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A7BF474-3718-42F6-83A0-55175DF2568C}" xr6:coauthVersionLast="47" xr6:coauthVersionMax="47" xr10:uidLastSave="{00000000-0000-0000-0000-000000000000}"/>
  <bookViews>
    <workbookView xWindow="4680" yWindow="4680" windowWidth="28800" windowHeight="15345" firstSheet="9" activeTab="9"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3" i="79" l="1"/>
  <c r="F153" i="79"/>
  <c r="G153" i="79"/>
  <c r="H153" i="79"/>
  <c r="I153" i="79"/>
  <c r="J153" i="79"/>
  <c r="K153" i="79"/>
  <c r="L153" i="79"/>
  <c r="M153" i="79"/>
  <c r="N153" i="79"/>
  <c r="O153" i="79"/>
  <c r="P153" i="79"/>
  <c r="E152" i="79"/>
  <c r="F152" i="79"/>
  <c r="G152" i="79"/>
  <c r="H152" i="79"/>
  <c r="I152" i="79"/>
  <c r="J152" i="79"/>
  <c r="K152" i="79"/>
  <c r="L152" i="79"/>
  <c r="M152" i="79"/>
  <c r="N152" i="79"/>
  <c r="O152" i="79"/>
  <c r="P152" i="79"/>
  <c r="E151" i="79"/>
  <c r="F151" i="79"/>
  <c r="G151" i="79"/>
  <c r="H151" i="79"/>
  <c r="I151" i="79"/>
  <c r="J151" i="79"/>
  <c r="K151" i="79"/>
  <c r="L151" i="79"/>
  <c r="M151" i="79"/>
  <c r="N151" i="79"/>
  <c r="O151" i="79"/>
  <c r="P151" i="79"/>
  <c r="E150" i="79"/>
  <c r="F150" i="79"/>
  <c r="G150" i="79"/>
  <c r="H150" i="79"/>
  <c r="I150" i="79"/>
  <c r="J150" i="79"/>
  <c r="K150" i="79"/>
  <c r="L150" i="79"/>
  <c r="M150" i="79"/>
  <c r="N150" i="79"/>
  <c r="O150" i="79"/>
  <c r="P150" i="79"/>
  <c r="K32" i="98" a="1"/>
  <c r="K32" i="98" s="1"/>
  <c r="D32" i="98" a="1"/>
  <c r="D32" i="98" s="1"/>
  <c r="K13" i="98" a="1"/>
  <c r="K13" i="98" s="1"/>
  <c r="D13" i="98" a="1"/>
  <c r="D13" i="98" s="1"/>
  <c r="L28" i="97" a="1"/>
  <c r="L28" i="97" s="1"/>
  <c r="D28" i="97" a="1"/>
  <c r="D28" i="97" s="1"/>
  <c r="L13" i="97" a="1"/>
  <c r="L13" i="97" s="1"/>
  <c r="D13" i="97" a="1"/>
  <c r="D13" i="97" s="1"/>
  <c r="D224" i="76" a="1"/>
  <c r="D224" i="76" s="1"/>
  <c r="D184" i="76" a="1"/>
  <c r="D184" i="76" s="1"/>
  <c r="U153" i="76" a="1"/>
  <c r="U153" i="76" s="1"/>
  <c r="D142" i="76" a="1"/>
  <c r="D142" i="76" s="1"/>
  <c r="D111" i="76" a="1"/>
  <c r="D111" i="76" s="1"/>
  <c r="D78" i="76" a="1"/>
  <c r="D78" i="76" s="1"/>
  <c r="D48" i="76" a="1"/>
  <c r="D48" i="76" s="1"/>
  <c r="D13" i="76" a="1"/>
  <c r="D13" i="76" s="1"/>
  <c r="D9" i="79"/>
  <c r="D8" i="79"/>
  <c r="G33" i="98"/>
  <c r="I158" i="69"/>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G14" i="98"/>
  <c r="E30" i="15"/>
  <c r="E33" i="15"/>
  <c r="E31" i="15"/>
  <c r="E32" i="15" s="1"/>
  <c r="N39" i="98"/>
  <c r="G39" i="98"/>
  <c r="O38" i="97"/>
  <c r="G38" i="97"/>
  <c r="X270" i="76"/>
  <c r="G232" i="76"/>
  <c r="Z279" i="69"/>
  <c r="G247" i="69"/>
  <c r="E172" i="69"/>
  <c r="E171" i="69"/>
  <c r="E180" i="70"/>
  <c r="E179"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D117" i="106"/>
  <c r="D117" i="106" a="1"/>
  <c r="D107" i="106" a="1"/>
  <c r="D107" i="106" s="1"/>
  <c r="D83" i="106" a="1"/>
  <c r="D83" i="106" s="1"/>
  <c r="D59" i="106" a="1"/>
  <c r="D59" i="106" s="1"/>
  <c r="H53" i="106"/>
  <c r="O120" i="70"/>
  <c r="O123" i="70"/>
  <c r="O122" i="70"/>
  <c r="O121" i="70"/>
  <c r="M120" i="70"/>
  <c r="N120" i="70" s="1"/>
  <c r="N121" i="70"/>
  <c r="N122" i="70"/>
  <c r="N123" i="70"/>
  <c r="M121" i="70"/>
  <c r="M122" i="70"/>
  <c r="M123" i="70"/>
  <c r="L123" i="70"/>
  <c r="L122" i="70"/>
  <c r="L121" i="70"/>
  <c r="L120" i="70"/>
  <c r="J123" i="70"/>
  <c r="J122" i="70"/>
  <c r="J121" i="70"/>
  <c r="J120" i="70"/>
  <c r="K122" i="70"/>
  <c r="K121" i="70"/>
  <c r="K120" i="70"/>
  <c r="K123" i="70"/>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J13" i="69" a="1"/>
  <c r="J13" i="69" s="1"/>
  <c r="I214" i="69" a="1"/>
  <c r="I214" i="69" s="1"/>
  <c r="I213" i="69" a="1"/>
  <c r="I213" i="69" s="1"/>
  <c r="I212" i="69" a="1"/>
  <c r="I212" i="69" s="1"/>
  <c r="I157" i="69" a="1"/>
  <c r="I157" i="69" s="1"/>
  <c r="I156" i="69" a="1"/>
  <c r="I156" i="69" s="1"/>
  <c r="I154" i="69" a="1"/>
  <c r="I154" i="69" s="1"/>
  <c r="I109" i="69" a="1"/>
  <c r="I109" i="69" s="1"/>
  <c r="I108" i="69" a="1"/>
  <c r="I108" i="69" s="1"/>
  <c r="H54" i="106" l="1"/>
  <c r="H51" i="106"/>
  <c r="H49" i="106"/>
  <c r="H52" i="106"/>
  <c r="H50" i="106"/>
  <c r="H48" i="106"/>
  <c r="W172" i="69"/>
  <c r="W171" i="69"/>
  <c r="H30" i="97" l="1"/>
  <c r="H226" i="76"/>
  <c r="G34" i="98"/>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J16" i="69"/>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X163" i="69"/>
  <c r="X158" i="76"/>
  <c r="X157" i="76"/>
  <c r="X156" i="76"/>
  <c r="X155" i="76"/>
  <c r="X154" i="76"/>
  <c r="X153" i="76"/>
  <c r="G147" i="76"/>
  <c r="G148" i="76"/>
  <c r="X171" i="69" l="1"/>
  <c r="X172" i="69"/>
  <c r="V181" i="76" a="1"/>
  <c r="V181" i="76" s="1"/>
  <c r="D127" i="70"/>
  <c r="W23" i="69"/>
  <c r="X30" i="69" s="1" a="1"/>
  <c r="X30" i="69" s="1"/>
  <c r="Y30" i="69" s="1" a="1"/>
  <c r="Y30" i="69" s="1"/>
  <c r="X22" i="69"/>
  <c r="W92" i="76"/>
  <c r="V104" i="76" a="1"/>
  <c r="V104" i="76" s="1"/>
  <c r="W104" i="76" s="1" a="1"/>
  <c r="W104" i="76" s="1"/>
  <c r="V191" i="76" a="1"/>
  <c r="V191" i="76" s="1"/>
  <c r="V105" i="76" a="1"/>
  <c r="V105" i="76" s="1"/>
  <c r="W105" i="76" s="1" a="1"/>
  <c r="W105" i="76" s="1"/>
  <c r="V182" i="76" a="1"/>
  <c r="V182" i="76" s="1"/>
  <c r="V106" i="76" a="1"/>
  <c r="V106" i="76" s="1"/>
  <c r="W106" i="76" s="1" a="1"/>
  <c r="W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V180" i="76" a="1"/>
  <c r="V180" i="76" s="1"/>
  <c r="V188" i="76" a="1"/>
  <c r="V188" i="76" s="1"/>
  <c r="V102" i="76" a="1"/>
  <c r="V102" i="76" s="1"/>
  <c r="W102" i="76" s="1" a="1"/>
  <c r="W102" i="76" s="1"/>
  <c r="V189" i="76" a="1"/>
  <c r="V189" i="76" s="1"/>
  <c r="V103" i="76" a="1"/>
  <c r="V103" i="76" s="1"/>
  <c r="W103" i="76" s="1" a="1"/>
  <c r="W103" i="76" s="1"/>
  <c r="V190" i="76" a="1"/>
  <c r="V190" i="76" s="1"/>
  <c r="E164" i="76" a="1"/>
  <c r="E164" i="76" s="1"/>
  <c r="E163" i="76" a="1"/>
  <c r="E163" i="76" s="1"/>
  <c r="E162" i="76" a="1"/>
  <c r="E162" i="76" s="1"/>
  <c r="E161" i="76" a="1"/>
  <c r="E161" i="76" s="1"/>
  <c r="M41" i="98" a="1"/>
  <c r="M41" i="98" s="1"/>
  <c r="K38" i="98" a="1"/>
  <c r="K38" i="98" s="1"/>
  <c r="F41" i="98" a="1"/>
  <c r="F41" i="98" s="1"/>
  <c r="D38" i="98" a="1"/>
  <c r="D38" i="98" s="1"/>
  <c r="M36" i="98"/>
  <c r="G18" i="98"/>
  <c r="G17" i="98"/>
  <c r="G16" i="98"/>
  <c r="F20" i="98"/>
  <c r="N40" i="97" a="1"/>
  <c r="N40" i="97" s="1"/>
  <c r="L37" i="97" a="1"/>
  <c r="L37" i="97" s="1"/>
  <c r="N16" i="97"/>
  <c r="F40" i="97" a="1"/>
  <c r="F40" i="97" s="1"/>
  <c r="D37" i="97" a="1"/>
  <c r="D37" i="97" s="1"/>
  <c r="H32" i="97"/>
  <c r="H31" i="97"/>
  <c r="F35" i="97"/>
  <c r="G9" i="13" s="1"/>
  <c r="G15" i="98"/>
  <c r="H14" i="97"/>
  <c r="AC101" i="76" l="1"/>
  <c r="AB101" i="76"/>
  <c r="AA101" i="76"/>
  <c r="AB102" i="76"/>
  <c r="AC102" i="76"/>
  <c r="AA102" i="76"/>
  <c r="AC105" i="76"/>
  <c r="AB105" i="76"/>
  <c r="AA105" i="76"/>
  <c r="AC106" i="76"/>
  <c r="AB106" i="76"/>
  <c r="AA106" i="76"/>
  <c r="AD30" i="69"/>
  <c r="AC30" i="69"/>
  <c r="AE30" i="69"/>
  <c r="AC103" i="76"/>
  <c r="AB103" i="76"/>
  <c r="AA103" i="76"/>
  <c r="AA104" i="76"/>
  <c r="AC104" i="76"/>
  <c r="AB104" i="76"/>
  <c r="X38" i="69" a="1"/>
  <c r="X38" i="69" s="1"/>
  <c r="X33" i="69" a="1"/>
  <c r="X33" i="69" s="1"/>
  <c r="Y33" i="69" s="1" a="1"/>
  <c r="Y33" i="69" s="1"/>
  <c r="X29" i="69" a="1"/>
  <c r="X29" i="69" s="1"/>
  <c r="Y29" i="69" s="1" a="1"/>
  <c r="Y29" i="69" s="1"/>
  <c r="X28" i="69" a="1"/>
  <c r="X28" i="69" s="1"/>
  <c r="X39" i="69" a="1"/>
  <c r="X39" i="69" s="1"/>
  <c r="X37" i="69" a="1"/>
  <c r="X37" i="69" s="1"/>
  <c r="X32" i="69" a="1"/>
  <c r="X32" i="69" s="1"/>
  <c r="Y32" i="69" s="1" a="1"/>
  <c r="Y32" i="69" s="1"/>
  <c r="X36" i="69" a="1"/>
  <c r="X36" i="69" s="1"/>
  <c r="X35" i="69" a="1"/>
  <c r="X35" i="69" s="1"/>
  <c r="X34" i="69" a="1"/>
  <c r="X34" i="69" s="1"/>
  <c r="Y34" i="69" s="1" a="1"/>
  <c r="Y34" i="69" s="1"/>
  <c r="X31" i="69" a="1"/>
  <c r="X31" i="69" s="1"/>
  <c r="Y31" i="69" s="1" a="1"/>
  <c r="Y31" i="69" s="1"/>
  <c r="N35" i="97"/>
  <c r="F36" i="98"/>
  <c r="G10" i="13" s="1"/>
  <c r="M20" i="98"/>
  <c r="AC33" i="69" l="1"/>
  <c r="AE33" i="69"/>
  <c r="AD33" i="69"/>
  <c r="AE32" i="69"/>
  <c r="AD32" i="69"/>
  <c r="AC32" i="69"/>
  <c r="AE29" i="69"/>
  <c r="AD29" i="69"/>
  <c r="AC29" i="69"/>
  <c r="AE31" i="69"/>
  <c r="AD31" i="69"/>
  <c r="AC31" i="69"/>
  <c r="AD34" i="69"/>
  <c r="AE34" i="69"/>
  <c r="AC34" i="69"/>
  <c r="F16" i="97"/>
  <c r="F229" i="76"/>
  <c r="AF257" i="76"/>
  <c r="AF206" i="76"/>
  <c r="AH111" i="76"/>
  <c r="AF82" i="76"/>
  <c r="AF37" i="76"/>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AE227" i="76"/>
  <c r="AD227" i="76"/>
  <c r="AC227" i="76"/>
  <c r="AB227" i="76"/>
  <c r="AA227" i="76"/>
  <c r="Z227" i="76"/>
  <c r="Y227" i="76"/>
  <c r="X227" i="76"/>
  <c r="W227" i="76"/>
  <c r="V227" i="76"/>
  <c r="AE226" i="76"/>
  <c r="AD226" i="76"/>
  <c r="AC226" i="76"/>
  <c r="AB226" i="76"/>
  <c r="AA226" i="76"/>
  <c r="Z226" i="76"/>
  <c r="Y226" i="76"/>
  <c r="X226" i="76"/>
  <c r="W226" i="76"/>
  <c r="V226" i="76"/>
  <c r="AE225" i="76"/>
  <c r="AD225" i="76"/>
  <c r="AC225" i="76"/>
  <c r="AB225" i="76"/>
  <c r="AA225" i="76"/>
  <c r="Z225" i="76"/>
  <c r="Y225" i="76"/>
  <c r="X225" i="76"/>
  <c r="W225" i="76"/>
  <c r="V225" i="76"/>
  <c r="AE224" i="76"/>
  <c r="AD224" i="76"/>
  <c r="AC224" i="76"/>
  <c r="AB224" i="76"/>
  <c r="AA224" i="76"/>
  <c r="Z224" i="76"/>
  <c r="Y224" i="76"/>
  <c r="X224" i="76"/>
  <c r="W224" i="76"/>
  <c r="V224" i="76"/>
  <c r="AE223" i="76"/>
  <c r="AD223" i="76"/>
  <c r="AC223" i="76"/>
  <c r="AB223" i="76"/>
  <c r="AA223" i="76"/>
  <c r="Z223" i="76"/>
  <c r="Y223" i="76"/>
  <c r="X223" i="76"/>
  <c r="W223" i="76"/>
  <c r="V223" i="76"/>
  <c r="AE222" i="76"/>
  <c r="AD222" i="76"/>
  <c r="AC222" i="76"/>
  <c r="AB222" i="76"/>
  <c r="AA222" i="76"/>
  <c r="Z222" i="76"/>
  <c r="Y222" i="76"/>
  <c r="X222" i="76"/>
  <c r="W222" i="76"/>
  <c r="V222" i="76"/>
  <c r="AE221" i="76"/>
  <c r="AD221" i="76"/>
  <c r="AC221" i="76"/>
  <c r="AB221" i="76"/>
  <c r="AA221" i="76"/>
  <c r="Z221" i="76"/>
  <c r="Y221" i="76"/>
  <c r="X221" i="76"/>
  <c r="W221" i="76"/>
  <c r="V221" i="76"/>
  <c r="AE220" i="76"/>
  <c r="AD220" i="76"/>
  <c r="AC220" i="76"/>
  <c r="AB220" i="76"/>
  <c r="AA220" i="76"/>
  <c r="Z220" i="76"/>
  <c r="Y220" i="76"/>
  <c r="X220" i="76"/>
  <c r="W220" i="76"/>
  <c r="V220" i="76"/>
  <c r="AE219" i="76"/>
  <c r="AD219" i="76"/>
  <c r="AC219" i="76"/>
  <c r="AB219" i="76"/>
  <c r="AA219" i="76"/>
  <c r="Z219" i="76"/>
  <c r="Y219" i="76"/>
  <c r="X219" i="76"/>
  <c r="W219" i="76"/>
  <c r="V219" i="76"/>
  <c r="AE218" i="76"/>
  <c r="AD218" i="76"/>
  <c r="AC218" i="76"/>
  <c r="AB218" i="76"/>
  <c r="AA218" i="76"/>
  <c r="Z218" i="76"/>
  <c r="Y218" i="76"/>
  <c r="X218" i="76"/>
  <c r="W218" i="76"/>
  <c r="V218" i="76"/>
  <c r="AE217" i="76"/>
  <c r="AD217" i="76"/>
  <c r="AC217" i="76"/>
  <c r="AB217" i="76"/>
  <c r="AA217" i="76"/>
  <c r="Z217" i="76"/>
  <c r="Y217" i="76"/>
  <c r="X217" i="76"/>
  <c r="W217" i="76"/>
  <c r="V217" i="76"/>
  <c r="AE216" i="76"/>
  <c r="AD216" i="76"/>
  <c r="AC216" i="76"/>
  <c r="AB216" i="76"/>
  <c r="AA216" i="76"/>
  <c r="Z216" i="76"/>
  <c r="Y216" i="76"/>
  <c r="X216" i="76"/>
  <c r="W216" i="76"/>
  <c r="V216"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H185" i="76"/>
  <c r="H184" i="76"/>
  <c r="H186" i="76"/>
  <c r="N202" i="76"/>
  <c r="M202" i="76"/>
  <c r="L202" i="76"/>
  <c r="K202" i="76"/>
  <c r="J202" i="76"/>
  <c r="I202" i="76"/>
  <c r="H202" i="76"/>
  <c r="G202" i="76"/>
  <c r="F202" i="76"/>
  <c r="E202" i="76"/>
  <c r="N201" i="76"/>
  <c r="M201" i="76"/>
  <c r="L201" i="76"/>
  <c r="K201" i="76"/>
  <c r="J201" i="76"/>
  <c r="I201" i="76"/>
  <c r="H201" i="76"/>
  <c r="G201" i="76"/>
  <c r="F201" i="76"/>
  <c r="E201" i="76"/>
  <c r="N200" i="76"/>
  <c r="M200" i="76"/>
  <c r="L200" i="76"/>
  <c r="K200" i="76"/>
  <c r="J200" i="76"/>
  <c r="I200" i="76"/>
  <c r="H200" i="76"/>
  <c r="G200" i="76"/>
  <c r="F200" i="76"/>
  <c r="E200" i="76"/>
  <c r="N199" i="76"/>
  <c r="M199" i="76"/>
  <c r="L199" i="76"/>
  <c r="K199" i="76"/>
  <c r="J199" i="76"/>
  <c r="I199" i="76"/>
  <c r="H199" i="76"/>
  <c r="G199" i="76"/>
  <c r="F199" i="76"/>
  <c r="E199" i="76"/>
  <c r="N194" i="76"/>
  <c r="M194" i="76"/>
  <c r="L194" i="76"/>
  <c r="K194" i="76"/>
  <c r="J194" i="76"/>
  <c r="I194" i="76"/>
  <c r="H194" i="76"/>
  <c r="G194" i="76"/>
  <c r="F194" i="76"/>
  <c r="E194" i="76"/>
  <c r="N193" i="76"/>
  <c r="M193" i="76"/>
  <c r="L193" i="76"/>
  <c r="K193" i="76"/>
  <c r="J193" i="76"/>
  <c r="I193" i="76"/>
  <c r="H193" i="76"/>
  <c r="G193" i="76"/>
  <c r="F193" i="76"/>
  <c r="E193" i="76"/>
  <c r="N192" i="76"/>
  <c r="M192" i="76"/>
  <c r="L192" i="76"/>
  <c r="K192" i="76"/>
  <c r="J192" i="76"/>
  <c r="I192" i="76"/>
  <c r="H192" i="76"/>
  <c r="G192" i="76"/>
  <c r="F192" i="76"/>
  <c r="E192" i="76"/>
  <c r="N191" i="76"/>
  <c r="M191" i="76"/>
  <c r="L191" i="76"/>
  <c r="K191" i="76"/>
  <c r="J191" i="76"/>
  <c r="I191" i="76"/>
  <c r="H191" i="76"/>
  <c r="G191" i="76"/>
  <c r="F191" i="76"/>
  <c r="E191" i="76"/>
  <c r="G144" i="76"/>
  <c r="G143" i="76"/>
  <c r="G146" i="76"/>
  <c r="G145" i="76"/>
  <c r="G142" i="76"/>
  <c r="D122" i="76"/>
  <c r="D121" i="76"/>
  <c r="D120" i="76"/>
  <c r="D119" i="76"/>
  <c r="G114" i="76"/>
  <c r="G112" i="76"/>
  <c r="G111" i="76"/>
  <c r="G113" i="76"/>
  <c r="D98" i="76"/>
  <c r="D97" i="76"/>
  <c r="D96" i="76"/>
  <c r="D95" i="76"/>
  <c r="I79" i="76"/>
  <c r="I82" i="76"/>
  <c r="I78" i="76"/>
  <c r="G49" i="76"/>
  <c r="G48"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F14" i="76"/>
  <c r="F13"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AG230" i="69"/>
  <c r="AF230" i="69"/>
  <c r="AE230" i="69"/>
  <c r="AD230" i="69"/>
  <c r="AC230" i="69"/>
  <c r="AB230" i="69"/>
  <c r="AA230" i="69"/>
  <c r="Z230" i="69"/>
  <c r="Y230" i="69"/>
  <c r="X230" i="69"/>
  <c r="AG229" i="69"/>
  <c r="AF229" i="69"/>
  <c r="AE229" i="69"/>
  <c r="AD229" i="69"/>
  <c r="AC229" i="69"/>
  <c r="AB229" i="69"/>
  <c r="AA229" i="69"/>
  <c r="Z229" i="69"/>
  <c r="Y229" i="69"/>
  <c r="X229" i="69"/>
  <c r="AG228" i="69"/>
  <c r="AF228" i="69"/>
  <c r="AE228" i="69"/>
  <c r="AD228" i="69"/>
  <c r="AC228" i="69"/>
  <c r="AB228" i="69"/>
  <c r="AA228" i="69"/>
  <c r="Z228" i="69"/>
  <c r="Y228" i="69"/>
  <c r="X228" i="69"/>
  <c r="AG227" i="69"/>
  <c r="AF227" i="69"/>
  <c r="AE227" i="69"/>
  <c r="AD227" i="69"/>
  <c r="AC227" i="69"/>
  <c r="AB227" i="69"/>
  <c r="AA227" i="69"/>
  <c r="Z227" i="69"/>
  <c r="Y227" i="69"/>
  <c r="X227" i="69"/>
  <c r="AG226" i="69"/>
  <c r="AF226" i="69"/>
  <c r="AE226" i="69"/>
  <c r="AD226" i="69"/>
  <c r="AC226" i="69"/>
  <c r="AB226" i="69"/>
  <c r="AA226" i="69"/>
  <c r="Z226" i="69"/>
  <c r="Y226" i="69"/>
  <c r="X226" i="69"/>
  <c r="AG225" i="69"/>
  <c r="AF225" i="69"/>
  <c r="AE225" i="69"/>
  <c r="AD225" i="69"/>
  <c r="AC225" i="69"/>
  <c r="AB225" i="69"/>
  <c r="AA225" i="69"/>
  <c r="Z225" i="69"/>
  <c r="Y225" i="69"/>
  <c r="X225" i="69"/>
  <c r="AG224" i="69"/>
  <c r="AF224" i="69"/>
  <c r="AE224" i="69"/>
  <c r="AD224" i="69"/>
  <c r="AC224" i="69"/>
  <c r="AB224" i="69"/>
  <c r="AA224" i="69"/>
  <c r="Z224" i="69"/>
  <c r="Y224" i="69"/>
  <c r="X224" i="69"/>
  <c r="AG223" i="69"/>
  <c r="AF223" i="69"/>
  <c r="AE223" i="69"/>
  <c r="AD223" i="69"/>
  <c r="AC223" i="69"/>
  <c r="AB223" i="69"/>
  <c r="AA223" i="69"/>
  <c r="Z223" i="69"/>
  <c r="Y223" i="69"/>
  <c r="X223" i="69"/>
  <c r="AG222" i="69"/>
  <c r="AF222" i="69"/>
  <c r="AE222" i="69"/>
  <c r="AD222" i="69"/>
  <c r="AC222" i="69"/>
  <c r="AB222" i="69"/>
  <c r="AA222" i="69"/>
  <c r="Z222" i="69"/>
  <c r="Y222" i="69"/>
  <c r="X222" i="69"/>
  <c r="AG221" i="69"/>
  <c r="AF221" i="69"/>
  <c r="AE221" i="69"/>
  <c r="AD221" i="69"/>
  <c r="AC221" i="69"/>
  <c r="AB221" i="69"/>
  <c r="AA221" i="69"/>
  <c r="Z221" i="69"/>
  <c r="Y221" i="69"/>
  <c r="X221" i="69"/>
  <c r="AG220" i="69"/>
  <c r="AF220" i="69"/>
  <c r="AE220" i="69"/>
  <c r="AD220" i="69"/>
  <c r="AC220" i="69"/>
  <c r="AB220" i="69"/>
  <c r="AA220" i="69"/>
  <c r="Z220" i="69"/>
  <c r="Y220" i="69"/>
  <c r="X220" i="69"/>
  <c r="AG219" i="69"/>
  <c r="AF219" i="69"/>
  <c r="AE219" i="69"/>
  <c r="AD219" i="69"/>
  <c r="AC219" i="69"/>
  <c r="AB219" i="69"/>
  <c r="AA219" i="69"/>
  <c r="Z219" i="69"/>
  <c r="Y219" i="69"/>
  <c r="X219" i="69"/>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N230" i="69"/>
  <c r="M230" i="69"/>
  <c r="L230" i="69"/>
  <c r="K230" i="69"/>
  <c r="J230" i="69"/>
  <c r="I230" i="69"/>
  <c r="H230" i="69"/>
  <c r="G230" i="69"/>
  <c r="F230" i="69"/>
  <c r="E230" i="69"/>
  <c r="N229" i="69"/>
  <c r="M229" i="69"/>
  <c r="L229" i="69"/>
  <c r="K229" i="69"/>
  <c r="J229" i="69"/>
  <c r="I229" i="69"/>
  <c r="H229" i="69"/>
  <c r="G229" i="69"/>
  <c r="F229" i="69"/>
  <c r="E229" i="69"/>
  <c r="N228" i="69"/>
  <c r="M228" i="69"/>
  <c r="L228" i="69"/>
  <c r="K228" i="69"/>
  <c r="J228" i="69"/>
  <c r="I228" i="69"/>
  <c r="H228" i="69"/>
  <c r="G228" i="69"/>
  <c r="F228" i="69"/>
  <c r="E228" i="69"/>
  <c r="N227" i="69"/>
  <c r="M227" i="69"/>
  <c r="L227" i="69"/>
  <c r="K227" i="69"/>
  <c r="J227" i="69"/>
  <c r="I227" i="69"/>
  <c r="H227" i="69"/>
  <c r="G227" i="69"/>
  <c r="F227" i="69"/>
  <c r="E227" i="69"/>
  <c r="N222" i="69"/>
  <c r="M222" i="69"/>
  <c r="L222" i="69"/>
  <c r="K222" i="69"/>
  <c r="J222" i="69"/>
  <c r="I222" i="69"/>
  <c r="H222" i="69"/>
  <c r="G222" i="69"/>
  <c r="F222" i="69"/>
  <c r="E222" i="69"/>
  <c r="N221" i="69"/>
  <c r="M221" i="69"/>
  <c r="L221" i="69"/>
  <c r="K221" i="69"/>
  <c r="J221" i="69"/>
  <c r="I221" i="69"/>
  <c r="H221" i="69"/>
  <c r="G221" i="69"/>
  <c r="F221" i="69"/>
  <c r="E221" i="69"/>
  <c r="N220" i="69"/>
  <c r="M220" i="69"/>
  <c r="L220" i="69"/>
  <c r="K220" i="69"/>
  <c r="J220" i="69"/>
  <c r="I220" i="69"/>
  <c r="H220" i="69"/>
  <c r="G220" i="69"/>
  <c r="F220" i="69"/>
  <c r="E220" i="69"/>
  <c r="N219" i="69"/>
  <c r="M219" i="69"/>
  <c r="L219" i="69"/>
  <c r="K219" i="69"/>
  <c r="J219" i="69"/>
  <c r="I219" i="69"/>
  <c r="H219" i="69"/>
  <c r="G219" i="69"/>
  <c r="F219" i="69"/>
  <c r="E219" i="69"/>
  <c r="AI268" i="69"/>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81" i="69"/>
  <c r="D177" i="69"/>
  <c r="I160" i="69"/>
  <c r="D172" i="69"/>
  <c r="D171" i="69"/>
  <c r="D166" i="69"/>
  <c r="D165" i="69"/>
  <c r="I155" i="69"/>
  <c r="AI194" i="69"/>
  <c r="W115" i="69"/>
  <c r="W131" i="69" s="1"/>
  <c r="X177" i="69" s="1"/>
  <c r="D171" i="70"/>
  <c r="D170" i="70"/>
  <c r="W125" i="69" s="1"/>
  <c r="W141" i="69" s="1"/>
  <c r="X187" i="69" s="1"/>
  <c r="D169" i="70"/>
  <c r="W124" i="69" s="1"/>
  <c r="W140" i="69" s="1"/>
  <c r="X186" i="69" s="1"/>
  <c r="D168" i="70"/>
  <c r="W123" i="69" s="1"/>
  <c r="W139" i="69" s="1"/>
  <c r="D167" i="70"/>
  <c r="W122" i="69" s="1"/>
  <c r="W138" i="69" s="1"/>
  <c r="D166" i="70"/>
  <c r="W121" i="69" s="1"/>
  <c r="W137" i="69" s="1"/>
  <c r="D165" i="70"/>
  <c r="W120" i="69" s="1"/>
  <c r="W136" i="69" s="1"/>
  <c r="D164" i="70"/>
  <c r="W119" i="69" s="1"/>
  <c r="W135" i="69" s="1"/>
  <c r="D163" i="70"/>
  <c r="W118" i="69" s="1"/>
  <c r="W134" i="69" s="1"/>
  <c r="X180" i="69" s="1"/>
  <c r="D162" i="70"/>
  <c r="W117" i="69" s="1"/>
  <c r="W133" i="69" s="1"/>
  <c r="X179" i="69" s="1"/>
  <c r="D161" i="70"/>
  <c r="W116" i="69" s="1"/>
  <c r="W132" i="69" s="1"/>
  <c r="X178" i="69" s="1"/>
  <c r="D160" i="70"/>
  <c r="D149" i="70"/>
  <c r="D148" i="70"/>
  <c r="D147" i="70"/>
  <c r="D146" i="70"/>
  <c r="D145" i="70"/>
  <c r="D144" i="70"/>
  <c r="D143" i="70"/>
  <c r="D142" i="70"/>
  <c r="D141" i="70"/>
  <c r="D140" i="70"/>
  <c r="D139" i="70"/>
  <c r="D138" i="70"/>
  <c r="I110"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26" i="69"/>
  <c r="W142" i="69" s="1"/>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L96" i="76" l="1"/>
  <c r="K96" i="76"/>
  <c r="J96" i="76"/>
  <c r="J97" i="76"/>
  <c r="L97" i="76"/>
  <c r="K97" i="76"/>
  <c r="X200" i="69"/>
  <c r="D71" i="69"/>
  <c r="D70" i="69"/>
  <c r="D69" i="69"/>
  <c r="D68" i="69"/>
  <c r="D55" i="69"/>
  <c r="D54" i="69"/>
  <c r="D53" i="69"/>
  <c r="D52" i="69"/>
  <c r="D369" i="79"/>
  <c r="E369" i="79"/>
  <c r="F369" i="79"/>
  <c r="G369" i="79"/>
  <c r="H369" i="79"/>
  <c r="I369" i="79"/>
  <c r="K369" i="79"/>
  <c r="N369" i="79"/>
  <c r="O369" i="79"/>
  <c r="D368" i="79"/>
  <c r="E368" i="79"/>
  <c r="F368" i="79"/>
  <c r="G368" i="79"/>
  <c r="H368" i="79"/>
  <c r="I368" i="79"/>
  <c r="K368" i="79"/>
  <c r="M368" i="79"/>
  <c r="O368" i="79"/>
  <c r="D367" i="79"/>
  <c r="E367" i="79"/>
  <c r="F367" i="79"/>
  <c r="G367" i="79"/>
  <c r="H367" i="79"/>
  <c r="J367" i="79"/>
  <c r="K367" i="79"/>
  <c r="L367" i="79"/>
  <c r="O367" i="79"/>
  <c r="D366" i="79"/>
  <c r="E366" i="79"/>
  <c r="F366" i="79"/>
  <c r="G366" i="79"/>
  <c r="H366" i="79"/>
  <c r="J366" i="79"/>
  <c r="K366" i="79"/>
  <c r="L366" i="79"/>
  <c r="O366" i="79"/>
  <c r="D365" i="79"/>
  <c r="E365" i="79"/>
  <c r="F365" i="79"/>
  <c r="G365" i="79"/>
  <c r="H365" i="79"/>
  <c r="I365" i="79"/>
  <c r="K365" i="79"/>
  <c r="M365" i="79"/>
  <c r="O365" i="79"/>
  <c r="D364" i="79"/>
  <c r="E364" i="79"/>
  <c r="F364" i="79"/>
  <c r="G364" i="79"/>
  <c r="H364" i="79"/>
  <c r="I364" i="79"/>
  <c r="K364" i="79"/>
  <c r="N364" i="79"/>
  <c r="O364" i="79"/>
  <c r="D363" i="79"/>
  <c r="E363" i="79"/>
  <c r="F363" i="79"/>
  <c r="G363" i="79"/>
  <c r="H363" i="79"/>
  <c r="J363" i="79"/>
  <c r="K363" i="79"/>
  <c r="N363" i="79"/>
  <c r="O363" i="79"/>
  <c r="O362" i="79"/>
  <c r="N362" i="79"/>
  <c r="K362" i="79"/>
  <c r="J362" i="79"/>
  <c r="H362" i="79"/>
  <c r="G362" i="79"/>
  <c r="F362" i="79"/>
  <c r="E362" i="79"/>
  <c r="D362" i="79"/>
  <c r="I338" i="79"/>
  <c r="K338" i="79"/>
  <c r="L338" i="79"/>
  <c r="I337" i="79"/>
  <c r="K337" i="79"/>
  <c r="L337" i="79"/>
  <c r="I336" i="79"/>
  <c r="K336" i="79"/>
  <c r="L336" i="79"/>
  <c r="L335" i="79"/>
  <c r="K335" i="79"/>
  <c r="I335" i="79"/>
  <c r="E282" i="79"/>
  <c r="F282" i="79"/>
  <c r="G282" i="79"/>
  <c r="H282" i="79"/>
  <c r="I282" i="79"/>
  <c r="J282" i="79"/>
  <c r="K282" i="79"/>
  <c r="L282" i="79"/>
  <c r="M282" i="79"/>
  <c r="N282" i="79"/>
  <c r="O282" i="79"/>
  <c r="P282" i="79"/>
  <c r="E281" i="79"/>
  <c r="F281" i="79"/>
  <c r="G281" i="79"/>
  <c r="H281" i="79"/>
  <c r="I281" i="79"/>
  <c r="J281" i="79"/>
  <c r="K281" i="79"/>
  <c r="L281" i="79"/>
  <c r="M281" i="79"/>
  <c r="N281" i="79"/>
  <c r="O281" i="79"/>
  <c r="P281" i="79"/>
  <c r="E280" i="79"/>
  <c r="F280" i="79"/>
  <c r="G280" i="79"/>
  <c r="H280" i="79"/>
  <c r="I280" i="79"/>
  <c r="J280" i="79"/>
  <c r="K280" i="79"/>
  <c r="L280" i="79"/>
  <c r="M280" i="79"/>
  <c r="N280" i="79"/>
  <c r="O280" i="79"/>
  <c r="P280" i="79"/>
  <c r="E279" i="79"/>
  <c r="F279" i="79"/>
  <c r="G279" i="79"/>
  <c r="H279" i="79"/>
  <c r="I279" i="79"/>
  <c r="J279" i="79"/>
  <c r="K279" i="79"/>
  <c r="L279" i="79"/>
  <c r="M279" i="79"/>
  <c r="N279" i="79"/>
  <c r="O279" i="79"/>
  <c r="P279" i="79"/>
  <c r="E278" i="79"/>
  <c r="F278" i="79"/>
  <c r="G278" i="79"/>
  <c r="H278" i="79"/>
  <c r="I278" i="79"/>
  <c r="J278" i="79"/>
  <c r="K278" i="79"/>
  <c r="L278" i="79"/>
  <c r="M278" i="79"/>
  <c r="N278" i="79"/>
  <c r="O278" i="79"/>
  <c r="P278" i="79"/>
  <c r="E277" i="79"/>
  <c r="F277" i="79"/>
  <c r="G277" i="79"/>
  <c r="H277" i="79"/>
  <c r="I277" i="79"/>
  <c r="J277" i="79"/>
  <c r="K277" i="79"/>
  <c r="L277" i="79"/>
  <c r="M277" i="79"/>
  <c r="N277" i="79"/>
  <c r="O277" i="79"/>
  <c r="P277" i="79"/>
  <c r="E276" i="79"/>
  <c r="F276" i="79"/>
  <c r="G276" i="79"/>
  <c r="H276" i="79"/>
  <c r="I276" i="79"/>
  <c r="J276" i="79"/>
  <c r="K276" i="79"/>
  <c r="L276" i="79"/>
  <c r="M276" i="79"/>
  <c r="N276" i="79"/>
  <c r="O276" i="79"/>
  <c r="P276" i="79"/>
  <c r="E275" i="79"/>
  <c r="F275" i="79"/>
  <c r="G275" i="79"/>
  <c r="H275" i="79"/>
  <c r="I275" i="79"/>
  <c r="J275" i="79"/>
  <c r="K275" i="79"/>
  <c r="L275" i="79"/>
  <c r="M275" i="79"/>
  <c r="N275" i="79"/>
  <c r="O275" i="79"/>
  <c r="P275" i="79"/>
  <c r="E274" i="79"/>
  <c r="F274" i="79"/>
  <c r="G274" i="79"/>
  <c r="H274" i="79"/>
  <c r="I274" i="79"/>
  <c r="J274" i="79"/>
  <c r="K274" i="79"/>
  <c r="L274" i="79"/>
  <c r="M274" i="79"/>
  <c r="N274" i="79"/>
  <c r="O274" i="79"/>
  <c r="P274" i="79"/>
  <c r="E273" i="79"/>
  <c r="F273" i="79"/>
  <c r="G273" i="79"/>
  <c r="H273" i="79"/>
  <c r="I273" i="79"/>
  <c r="J273" i="79"/>
  <c r="K273" i="79"/>
  <c r="L273" i="79"/>
  <c r="M273" i="79"/>
  <c r="N273" i="79"/>
  <c r="O273" i="79"/>
  <c r="P273" i="79"/>
  <c r="E272" i="79"/>
  <c r="F272" i="79"/>
  <c r="G272" i="79"/>
  <c r="H272" i="79"/>
  <c r="I272" i="79"/>
  <c r="J272" i="79"/>
  <c r="K272" i="79"/>
  <c r="L272" i="79"/>
  <c r="M272" i="79"/>
  <c r="N272" i="79"/>
  <c r="O272" i="79"/>
  <c r="P272" i="79"/>
  <c r="E271" i="79"/>
  <c r="F271" i="79"/>
  <c r="G271" i="79"/>
  <c r="H271" i="79"/>
  <c r="I271" i="79"/>
  <c r="J271" i="79"/>
  <c r="K271" i="79"/>
  <c r="L271" i="79"/>
  <c r="M271" i="79"/>
  <c r="N271" i="79"/>
  <c r="O271" i="79"/>
  <c r="P271" i="79"/>
  <c r="E270" i="79"/>
  <c r="F270" i="79"/>
  <c r="G270" i="79"/>
  <c r="H270" i="79"/>
  <c r="I270" i="79"/>
  <c r="J270" i="79"/>
  <c r="K270" i="79"/>
  <c r="L270" i="79"/>
  <c r="M270" i="79"/>
  <c r="N270" i="79"/>
  <c r="O270" i="79"/>
  <c r="P270" i="79"/>
  <c r="E269" i="79"/>
  <c r="F269" i="79"/>
  <c r="G269" i="79"/>
  <c r="H269" i="79"/>
  <c r="I269" i="79"/>
  <c r="J269" i="79"/>
  <c r="K269" i="79"/>
  <c r="L269" i="79"/>
  <c r="M269" i="79"/>
  <c r="N269" i="79"/>
  <c r="O269" i="79"/>
  <c r="P269" i="79"/>
  <c r="E268" i="79"/>
  <c r="F268" i="79"/>
  <c r="G268" i="79"/>
  <c r="H268" i="79"/>
  <c r="I268" i="79"/>
  <c r="J268" i="79"/>
  <c r="K268" i="79"/>
  <c r="L268" i="79"/>
  <c r="M268" i="79"/>
  <c r="N268" i="79"/>
  <c r="O268" i="79"/>
  <c r="P268" i="79"/>
  <c r="E267" i="79"/>
  <c r="F267" i="79"/>
  <c r="G267" i="79"/>
  <c r="H267" i="79"/>
  <c r="I267" i="79"/>
  <c r="J267" i="79"/>
  <c r="K267" i="79"/>
  <c r="L267" i="79"/>
  <c r="M267" i="79"/>
  <c r="N267" i="79"/>
  <c r="O267" i="79"/>
  <c r="P267" i="79"/>
  <c r="E266" i="79"/>
  <c r="F266" i="79"/>
  <c r="G266" i="79"/>
  <c r="H266" i="79"/>
  <c r="I266" i="79"/>
  <c r="J266" i="79"/>
  <c r="K266" i="79"/>
  <c r="L266" i="79"/>
  <c r="M266" i="79"/>
  <c r="N266" i="79"/>
  <c r="O266" i="79"/>
  <c r="P266" i="79"/>
  <c r="E265" i="79"/>
  <c r="F265" i="79"/>
  <c r="G265" i="79"/>
  <c r="H265" i="79"/>
  <c r="I265" i="79"/>
  <c r="J265" i="79"/>
  <c r="K265" i="79"/>
  <c r="L265" i="79"/>
  <c r="M265" i="79"/>
  <c r="N265" i="79"/>
  <c r="O265" i="79"/>
  <c r="P265" i="79"/>
  <c r="E264" i="79"/>
  <c r="F264" i="79"/>
  <c r="G264" i="79"/>
  <c r="H264" i="79"/>
  <c r="I264" i="79"/>
  <c r="J264" i="79"/>
  <c r="K264" i="79"/>
  <c r="L264" i="79"/>
  <c r="M264" i="79"/>
  <c r="N264" i="79"/>
  <c r="O264" i="79"/>
  <c r="P264" i="79"/>
  <c r="E263" i="79"/>
  <c r="F263" i="79"/>
  <c r="G263" i="79"/>
  <c r="H263" i="79"/>
  <c r="I263" i="79"/>
  <c r="J263" i="79"/>
  <c r="K263" i="79"/>
  <c r="L263" i="79"/>
  <c r="M263" i="79"/>
  <c r="N263" i="79"/>
  <c r="O263" i="79"/>
  <c r="P263" i="79"/>
  <c r="E262" i="79"/>
  <c r="F262" i="79"/>
  <c r="G262" i="79"/>
  <c r="H262" i="79"/>
  <c r="I262" i="79"/>
  <c r="J262" i="79"/>
  <c r="K262" i="79"/>
  <c r="L262" i="79"/>
  <c r="M262" i="79"/>
  <c r="N262" i="79"/>
  <c r="O262" i="79"/>
  <c r="P262" i="79"/>
  <c r="E261" i="79"/>
  <c r="F261" i="79"/>
  <c r="G261" i="79"/>
  <c r="H261" i="79"/>
  <c r="I261" i="79"/>
  <c r="J261" i="79"/>
  <c r="K261" i="79"/>
  <c r="L261" i="79"/>
  <c r="M261" i="79"/>
  <c r="N261" i="79"/>
  <c r="O261" i="79"/>
  <c r="P261" i="79"/>
  <c r="E260" i="79"/>
  <c r="F260" i="79"/>
  <c r="G260" i="79"/>
  <c r="H260" i="79"/>
  <c r="I260" i="79"/>
  <c r="J260" i="79"/>
  <c r="K260" i="79"/>
  <c r="L260" i="79"/>
  <c r="M260" i="79"/>
  <c r="N260" i="79"/>
  <c r="O260" i="79"/>
  <c r="P260" i="79"/>
  <c r="E259" i="79"/>
  <c r="F259" i="79"/>
  <c r="G259" i="79"/>
  <c r="H259" i="79"/>
  <c r="I259" i="79"/>
  <c r="J259" i="79"/>
  <c r="K259" i="79"/>
  <c r="L259" i="79"/>
  <c r="M259" i="79"/>
  <c r="N259" i="79"/>
  <c r="O259" i="79"/>
  <c r="P259" i="79"/>
  <c r="E258" i="79"/>
  <c r="F258" i="79"/>
  <c r="G258" i="79"/>
  <c r="H258" i="79"/>
  <c r="I258" i="79"/>
  <c r="J258" i="79"/>
  <c r="K258" i="79"/>
  <c r="L258" i="79"/>
  <c r="M258" i="79"/>
  <c r="N258" i="79"/>
  <c r="O258" i="79"/>
  <c r="P258" i="79"/>
  <c r="E257" i="79"/>
  <c r="F257" i="79"/>
  <c r="G257" i="79"/>
  <c r="H257" i="79"/>
  <c r="I257" i="79"/>
  <c r="J257" i="79"/>
  <c r="K257" i="79"/>
  <c r="L257" i="79"/>
  <c r="M257" i="79"/>
  <c r="N257" i="79"/>
  <c r="O257" i="79"/>
  <c r="P257" i="79"/>
  <c r="E256" i="79"/>
  <c r="F256" i="79"/>
  <c r="G256" i="79"/>
  <c r="H256" i="79"/>
  <c r="I256" i="79"/>
  <c r="J256" i="79"/>
  <c r="K256" i="79"/>
  <c r="L256" i="79"/>
  <c r="M256" i="79"/>
  <c r="N256" i="79"/>
  <c r="O256" i="79"/>
  <c r="P256" i="79"/>
  <c r="P255" i="79"/>
  <c r="O255" i="79"/>
  <c r="N255" i="79"/>
  <c r="M255" i="79"/>
  <c r="L255" i="79"/>
  <c r="K255" i="79"/>
  <c r="J255" i="79"/>
  <c r="I255" i="79"/>
  <c r="H255" i="79"/>
  <c r="G255" i="79"/>
  <c r="F255" i="79"/>
  <c r="E255" i="79"/>
  <c r="E254" i="79"/>
  <c r="F254" i="79"/>
  <c r="G254" i="79"/>
  <c r="H254" i="79"/>
  <c r="I254" i="79"/>
  <c r="J254" i="79"/>
  <c r="L254" i="79"/>
  <c r="M254" i="79"/>
  <c r="P254" i="79"/>
  <c r="E253" i="79"/>
  <c r="F253" i="79"/>
  <c r="G253" i="79"/>
  <c r="H253" i="79"/>
  <c r="I253" i="79"/>
  <c r="J253" i="79"/>
  <c r="K253" i="79"/>
  <c r="M253" i="79"/>
  <c r="P253" i="79"/>
  <c r="E252" i="79"/>
  <c r="F252" i="79"/>
  <c r="G252" i="79"/>
  <c r="H252" i="79"/>
  <c r="I252" i="79"/>
  <c r="J252" i="79"/>
  <c r="L252" i="79"/>
  <c r="M252" i="79"/>
  <c r="N252" i="79"/>
  <c r="E251" i="79"/>
  <c r="F251" i="79"/>
  <c r="G251" i="79"/>
  <c r="H251" i="79"/>
  <c r="I251" i="79"/>
  <c r="J251" i="79"/>
  <c r="L251" i="79"/>
  <c r="M251" i="79"/>
  <c r="N251" i="79"/>
  <c r="E250" i="79"/>
  <c r="F250" i="79"/>
  <c r="G250" i="79"/>
  <c r="H250" i="79"/>
  <c r="I250" i="79"/>
  <c r="J250" i="79"/>
  <c r="K250" i="79"/>
  <c r="M250" i="79"/>
  <c r="N250" i="79"/>
  <c r="E249" i="79"/>
  <c r="F249" i="79"/>
  <c r="G249" i="79"/>
  <c r="H249" i="79"/>
  <c r="I249" i="79"/>
  <c r="J249" i="79"/>
  <c r="K249" i="79"/>
  <c r="M249" i="79"/>
  <c r="N249" i="79"/>
  <c r="E248" i="79"/>
  <c r="F248" i="79"/>
  <c r="G248" i="79"/>
  <c r="H248" i="79"/>
  <c r="I248" i="79"/>
  <c r="J248" i="79"/>
  <c r="L248" i="79"/>
  <c r="M248" i="79"/>
  <c r="O248" i="79"/>
  <c r="E247" i="79"/>
  <c r="F247" i="79"/>
  <c r="G247" i="79"/>
  <c r="H247" i="79"/>
  <c r="I247" i="79"/>
  <c r="J247" i="79"/>
  <c r="L247" i="79"/>
  <c r="M247" i="79"/>
  <c r="P247" i="79"/>
  <c r="E246" i="79"/>
  <c r="F246" i="79"/>
  <c r="G246" i="79"/>
  <c r="H246" i="79"/>
  <c r="I246" i="79"/>
  <c r="J246" i="79"/>
  <c r="L246" i="79"/>
  <c r="M246" i="79"/>
  <c r="P246" i="79"/>
  <c r="E245" i="79"/>
  <c r="F245" i="79"/>
  <c r="G245" i="79"/>
  <c r="H245" i="79"/>
  <c r="I245" i="79"/>
  <c r="J245" i="79"/>
  <c r="L245" i="79"/>
  <c r="M245" i="79"/>
  <c r="P245" i="79"/>
  <c r="E244" i="79"/>
  <c r="F244" i="79"/>
  <c r="G244" i="79"/>
  <c r="H244" i="79"/>
  <c r="I244" i="79"/>
  <c r="J244" i="79"/>
  <c r="K244" i="79"/>
  <c r="M244" i="79"/>
  <c r="P244" i="79"/>
  <c r="E243" i="79"/>
  <c r="F243" i="79"/>
  <c r="G243" i="79"/>
  <c r="H243" i="79"/>
  <c r="I243" i="79"/>
  <c r="J243" i="79"/>
  <c r="L243" i="79"/>
  <c r="M243" i="79"/>
  <c r="P243" i="79"/>
  <c r="F242" i="79"/>
  <c r="G242" i="79"/>
  <c r="H242" i="79"/>
  <c r="I242" i="79"/>
  <c r="J242" i="79"/>
  <c r="K242" i="79"/>
  <c r="M242" i="79"/>
  <c r="N242" i="79"/>
  <c r="F241" i="79"/>
  <c r="G241" i="79"/>
  <c r="H241" i="79"/>
  <c r="I241" i="79"/>
  <c r="J241" i="79"/>
  <c r="K241" i="79"/>
  <c r="M241" i="79"/>
  <c r="O241" i="79"/>
  <c r="F240" i="79"/>
  <c r="G240" i="79"/>
  <c r="H240" i="79"/>
  <c r="I240" i="79"/>
  <c r="J240" i="79"/>
  <c r="L240" i="79"/>
  <c r="M240" i="79"/>
  <c r="P240" i="79"/>
  <c r="F239" i="79"/>
  <c r="G239" i="79"/>
  <c r="H239" i="79"/>
  <c r="I239" i="79"/>
  <c r="J239" i="79"/>
  <c r="K239" i="79"/>
  <c r="M239" i="79"/>
  <c r="P239" i="79"/>
  <c r="F238" i="79"/>
  <c r="G238" i="79"/>
  <c r="H238" i="79"/>
  <c r="I238" i="79"/>
  <c r="J238" i="79"/>
  <c r="L238" i="79"/>
  <c r="M238" i="79"/>
  <c r="N238" i="79"/>
  <c r="F237" i="79"/>
  <c r="G237" i="79"/>
  <c r="H237" i="79"/>
  <c r="I237" i="79"/>
  <c r="J237" i="79"/>
  <c r="L237" i="79"/>
  <c r="M237" i="79"/>
  <c r="N237" i="79"/>
  <c r="F236" i="79"/>
  <c r="G236" i="79"/>
  <c r="H236" i="79"/>
  <c r="I236" i="79"/>
  <c r="J236" i="79"/>
  <c r="K236" i="79"/>
  <c r="M236" i="79"/>
  <c r="N236" i="79"/>
  <c r="F235" i="79"/>
  <c r="G235" i="79"/>
  <c r="H235" i="79"/>
  <c r="I235" i="79"/>
  <c r="J235" i="79"/>
  <c r="K235" i="79"/>
  <c r="M235" i="79"/>
  <c r="N235" i="79"/>
  <c r="F234" i="79"/>
  <c r="G234" i="79"/>
  <c r="H234" i="79"/>
  <c r="I234" i="79"/>
  <c r="J234" i="79"/>
  <c r="L234" i="79"/>
  <c r="M234" i="79"/>
  <c r="O234" i="79"/>
  <c r="F233" i="79"/>
  <c r="G233" i="79"/>
  <c r="H233" i="79"/>
  <c r="I233" i="79"/>
  <c r="J233" i="79"/>
  <c r="L233" i="79"/>
  <c r="M233" i="79"/>
  <c r="P233" i="79"/>
  <c r="F232" i="79"/>
  <c r="G232" i="79"/>
  <c r="H232" i="79"/>
  <c r="I232" i="79"/>
  <c r="J232" i="79"/>
  <c r="L232" i="79"/>
  <c r="M232" i="79"/>
  <c r="P232" i="79"/>
  <c r="F231" i="79"/>
  <c r="G231" i="79"/>
  <c r="H231" i="79"/>
  <c r="I231" i="79"/>
  <c r="J231" i="79"/>
  <c r="L231" i="79"/>
  <c r="M231" i="79"/>
  <c r="P231" i="79"/>
  <c r="F226" i="79"/>
  <c r="G230" i="79"/>
  <c r="H226" i="79"/>
  <c r="I226" i="79"/>
  <c r="J226" i="79"/>
  <c r="L230" i="79"/>
  <c r="M226" i="79"/>
  <c r="P226" i="79"/>
  <c r="F229" i="79"/>
  <c r="G225" i="79"/>
  <c r="H225" i="79"/>
  <c r="I225" i="79"/>
  <c r="J225" i="79"/>
  <c r="K225" i="79"/>
  <c r="M225" i="79"/>
  <c r="N229" i="79"/>
  <c r="F228" i="79"/>
  <c r="G224" i="79"/>
  <c r="H224" i="79"/>
  <c r="I224" i="79"/>
  <c r="J224" i="79"/>
  <c r="K224" i="79"/>
  <c r="M224" i="79"/>
  <c r="N228" i="79"/>
  <c r="P223" i="79"/>
  <c r="M223" i="79"/>
  <c r="L223" i="79"/>
  <c r="J223" i="79"/>
  <c r="I223" i="79"/>
  <c r="H223" i="79"/>
  <c r="G227" i="79"/>
  <c r="F227" i="79"/>
  <c r="D99" i="70"/>
  <c r="D98" i="70"/>
  <c r="D97" i="70"/>
  <c r="D96" i="70"/>
  <c r="D95" i="70"/>
  <c r="D94" i="70"/>
  <c r="D93" i="70"/>
  <c r="D92" i="70"/>
  <c r="D91" i="70"/>
  <c r="D90" i="70"/>
  <c r="D89" i="70"/>
  <c r="D88" i="70"/>
  <c r="E7" i="70"/>
  <c r="E145" i="79"/>
  <c r="F145" i="79"/>
  <c r="F149" i="79" s="1"/>
  <c r="G145" i="79"/>
  <c r="H145" i="79"/>
  <c r="I145" i="79"/>
  <c r="J145" i="79"/>
  <c r="K145" i="79"/>
  <c r="L145" i="79"/>
  <c r="M145" i="79"/>
  <c r="N145" i="79"/>
  <c r="O145" i="79"/>
  <c r="P145" i="79"/>
  <c r="E144" i="79"/>
  <c r="F144" i="79"/>
  <c r="F148" i="79" s="1"/>
  <c r="G144" i="79"/>
  <c r="H144" i="79"/>
  <c r="I144" i="79"/>
  <c r="J144" i="79"/>
  <c r="K144" i="79"/>
  <c r="L144" i="79"/>
  <c r="M144" i="79"/>
  <c r="N144" i="79"/>
  <c r="O144" i="79"/>
  <c r="P144" i="79"/>
  <c r="E143" i="79"/>
  <c r="F143" i="79"/>
  <c r="F147" i="79" s="1"/>
  <c r="G143" i="79"/>
  <c r="H143" i="79"/>
  <c r="I143" i="79"/>
  <c r="J143" i="79"/>
  <c r="K143" i="79"/>
  <c r="L143" i="79"/>
  <c r="M143" i="79"/>
  <c r="N143" i="79"/>
  <c r="O143" i="79"/>
  <c r="P143" i="79"/>
  <c r="E142" i="79"/>
  <c r="F142" i="79"/>
  <c r="F146" i="79" s="1"/>
  <c r="G142" i="79"/>
  <c r="H142" i="79"/>
  <c r="I142" i="79"/>
  <c r="J142" i="79"/>
  <c r="K142" i="79"/>
  <c r="L142" i="79"/>
  <c r="M142" i="79"/>
  <c r="N142" i="79"/>
  <c r="O142" i="79"/>
  <c r="P142" i="79"/>
  <c r="E141" i="79"/>
  <c r="F141" i="79"/>
  <c r="G141" i="79"/>
  <c r="H141" i="79"/>
  <c r="I141" i="79"/>
  <c r="J141" i="79"/>
  <c r="K141" i="79"/>
  <c r="L141" i="79"/>
  <c r="M141" i="79"/>
  <c r="N141" i="79"/>
  <c r="O141" i="79"/>
  <c r="P141" i="79"/>
  <c r="E140" i="79"/>
  <c r="F140" i="79"/>
  <c r="G140" i="79"/>
  <c r="H140" i="79"/>
  <c r="I140" i="79"/>
  <c r="J140" i="79"/>
  <c r="K140" i="79"/>
  <c r="L140" i="79"/>
  <c r="M140" i="79"/>
  <c r="N140" i="79"/>
  <c r="O140" i="79"/>
  <c r="P140" i="79"/>
  <c r="E139" i="79"/>
  <c r="F139" i="79"/>
  <c r="G139" i="79"/>
  <c r="H139" i="79"/>
  <c r="I139" i="79"/>
  <c r="J139" i="79"/>
  <c r="K139" i="79"/>
  <c r="L139" i="79"/>
  <c r="M139" i="79"/>
  <c r="N139" i="79"/>
  <c r="O139" i="79"/>
  <c r="P139" i="79"/>
  <c r="E138" i="79"/>
  <c r="F138" i="79"/>
  <c r="G138" i="79"/>
  <c r="H138" i="79"/>
  <c r="I138" i="79"/>
  <c r="J138" i="79"/>
  <c r="K138" i="79"/>
  <c r="L138" i="79"/>
  <c r="M138" i="79"/>
  <c r="N138" i="79"/>
  <c r="O138" i="79"/>
  <c r="P138" i="79"/>
  <c r="E137" i="79"/>
  <c r="F137" i="79"/>
  <c r="G137" i="79"/>
  <c r="H137" i="79"/>
  <c r="I137" i="79"/>
  <c r="J137" i="79"/>
  <c r="K137" i="79"/>
  <c r="L137" i="79"/>
  <c r="M137" i="79"/>
  <c r="N137" i="79"/>
  <c r="O137" i="79"/>
  <c r="P137" i="79"/>
  <c r="E136" i="79"/>
  <c r="F136" i="79"/>
  <c r="G136" i="79"/>
  <c r="H136" i="79"/>
  <c r="I136" i="79"/>
  <c r="J136" i="79"/>
  <c r="K136" i="79"/>
  <c r="L136" i="79"/>
  <c r="M136" i="79"/>
  <c r="N136" i="79"/>
  <c r="O136" i="79"/>
  <c r="P136" i="79"/>
  <c r="E135" i="79"/>
  <c r="F135" i="79"/>
  <c r="G135" i="79"/>
  <c r="H135" i="79"/>
  <c r="I135" i="79"/>
  <c r="J135" i="79"/>
  <c r="K135" i="79"/>
  <c r="L135" i="79"/>
  <c r="M135" i="79"/>
  <c r="N135" i="79"/>
  <c r="O135" i="79"/>
  <c r="P135" i="79"/>
  <c r="E134" i="79"/>
  <c r="F134" i="79"/>
  <c r="G134" i="79"/>
  <c r="H134" i="79"/>
  <c r="I134" i="79"/>
  <c r="J134" i="79"/>
  <c r="K134" i="79"/>
  <c r="L134" i="79"/>
  <c r="M134" i="79"/>
  <c r="N134" i="79"/>
  <c r="O134" i="79"/>
  <c r="P134" i="79"/>
  <c r="E133" i="79"/>
  <c r="F133" i="79"/>
  <c r="G133" i="79"/>
  <c r="H133" i="79"/>
  <c r="I133" i="79"/>
  <c r="J133" i="79"/>
  <c r="K133" i="79"/>
  <c r="L133" i="79"/>
  <c r="M133" i="79"/>
  <c r="N133" i="79"/>
  <c r="O133" i="79"/>
  <c r="P133" i="79"/>
  <c r="E132" i="79"/>
  <c r="F132" i="79"/>
  <c r="G132" i="79"/>
  <c r="H132" i="79"/>
  <c r="I132" i="79"/>
  <c r="J132" i="79"/>
  <c r="K132" i="79"/>
  <c r="L132" i="79"/>
  <c r="M132" i="79"/>
  <c r="N132" i="79"/>
  <c r="O132" i="79"/>
  <c r="P132" i="79"/>
  <c r="E131" i="79"/>
  <c r="F131" i="79"/>
  <c r="G131" i="79"/>
  <c r="H131" i="79"/>
  <c r="I131" i="79"/>
  <c r="J131" i="79"/>
  <c r="K131" i="79"/>
  <c r="L131" i="79"/>
  <c r="M131" i="79"/>
  <c r="N131" i="79"/>
  <c r="O131" i="79"/>
  <c r="P131" i="79"/>
  <c r="E130" i="79"/>
  <c r="F130" i="79"/>
  <c r="G130" i="79"/>
  <c r="H130" i="79"/>
  <c r="I130" i="79"/>
  <c r="J130" i="79"/>
  <c r="K130" i="79"/>
  <c r="L130" i="79"/>
  <c r="M130" i="79"/>
  <c r="N130" i="79"/>
  <c r="O130" i="79"/>
  <c r="P130" i="79"/>
  <c r="E129" i="79"/>
  <c r="F129" i="79"/>
  <c r="G129" i="79"/>
  <c r="H129" i="79"/>
  <c r="I129" i="79"/>
  <c r="J129" i="79"/>
  <c r="K129" i="79"/>
  <c r="L129" i="79"/>
  <c r="M129" i="79"/>
  <c r="N129" i="79"/>
  <c r="O129" i="79"/>
  <c r="P129" i="79"/>
  <c r="E128" i="79"/>
  <c r="F128" i="79"/>
  <c r="G128" i="79"/>
  <c r="H128" i="79"/>
  <c r="I128" i="79"/>
  <c r="J128" i="79"/>
  <c r="K128" i="79"/>
  <c r="L128" i="79"/>
  <c r="M128" i="79"/>
  <c r="N128" i="79"/>
  <c r="O128" i="79"/>
  <c r="P128" i="79"/>
  <c r="E127" i="79"/>
  <c r="F127" i="79"/>
  <c r="G127" i="79"/>
  <c r="H127" i="79"/>
  <c r="I127" i="79"/>
  <c r="J127" i="79"/>
  <c r="K127" i="79"/>
  <c r="L127" i="79"/>
  <c r="M127" i="79"/>
  <c r="N127" i="79"/>
  <c r="O127" i="79"/>
  <c r="P127" i="79"/>
  <c r="E126" i="79"/>
  <c r="F126" i="79"/>
  <c r="G126" i="79"/>
  <c r="H126" i="79"/>
  <c r="I126" i="79"/>
  <c r="J126" i="79"/>
  <c r="K126" i="79"/>
  <c r="L126" i="79"/>
  <c r="M126" i="79"/>
  <c r="N126" i="79"/>
  <c r="O126" i="79"/>
  <c r="P126" i="79"/>
  <c r="E125" i="79"/>
  <c r="F125" i="79"/>
  <c r="G125" i="79"/>
  <c r="H125" i="79"/>
  <c r="I125" i="79"/>
  <c r="J125" i="79"/>
  <c r="K125" i="79"/>
  <c r="L125" i="79"/>
  <c r="M125" i="79"/>
  <c r="N125" i="79"/>
  <c r="O125" i="79"/>
  <c r="P125" i="79"/>
  <c r="E124" i="79"/>
  <c r="F124" i="79"/>
  <c r="G124" i="79"/>
  <c r="H124" i="79"/>
  <c r="I124" i="79"/>
  <c r="J124" i="79"/>
  <c r="K124" i="79"/>
  <c r="L124" i="79"/>
  <c r="M124" i="79"/>
  <c r="N124" i="79"/>
  <c r="O124" i="79"/>
  <c r="P124" i="79"/>
  <c r="E123" i="79"/>
  <c r="F123" i="79"/>
  <c r="G123" i="79"/>
  <c r="H123" i="79"/>
  <c r="I123" i="79"/>
  <c r="J123" i="79"/>
  <c r="K123" i="79"/>
  <c r="L123" i="79"/>
  <c r="M123" i="79"/>
  <c r="N123" i="79"/>
  <c r="O123" i="79"/>
  <c r="P123" i="79"/>
  <c r="E122" i="79"/>
  <c r="F122" i="79"/>
  <c r="G122" i="79"/>
  <c r="H122" i="79"/>
  <c r="I122" i="79"/>
  <c r="J122" i="79"/>
  <c r="K122" i="79"/>
  <c r="L122" i="79"/>
  <c r="M122" i="79"/>
  <c r="N122" i="79"/>
  <c r="O122" i="79"/>
  <c r="P122" i="79"/>
  <c r="E121" i="79"/>
  <c r="F121" i="79"/>
  <c r="G121" i="79"/>
  <c r="H121" i="79"/>
  <c r="I121" i="79"/>
  <c r="J121" i="79"/>
  <c r="K121" i="79"/>
  <c r="L121" i="79"/>
  <c r="M121" i="79"/>
  <c r="N121" i="79"/>
  <c r="O121" i="79"/>
  <c r="P121" i="79"/>
  <c r="E120" i="79"/>
  <c r="F120" i="79"/>
  <c r="G120" i="79"/>
  <c r="H120" i="79"/>
  <c r="I120" i="79"/>
  <c r="J120" i="79"/>
  <c r="K120" i="79"/>
  <c r="L120" i="79"/>
  <c r="M120" i="79"/>
  <c r="N120" i="79"/>
  <c r="O120" i="79"/>
  <c r="P120" i="79"/>
  <c r="E119" i="79"/>
  <c r="F119" i="79"/>
  <c r="G119" i="79"/>
  <c r="H119" i="79"/>
  <c r="I119" i="79"/>
  <c r="J119" i="79"/>
  <c r="K119" i="79"/>
  <c r="L119" i="79"/>
  <c r="M119" i="79"/>
  <c r="N119" i="79"/>
  <c r="O119" i="79"/>
  <c r="P119" i="79"/>
  <c r="P118" i="79"/>
  <c r="O118" i="79"/>
  <c r="N118" i="79"/>
  <c r="M118" i="79"/>
  <c r="L118" i="79"/>
  <c r="K118" i="79"/>
  <c r="J118" i="79"/>
  <c r="I118" i="79"/>
  <c r="H118" i="79"/>
  <c r="G118" i="79"/>
  <c r="F118" i="79"/>
  <c r="E118" i="79"/>
  <c r="E117" i="79"/>
  <c r="F117" i="79"/>
  <c r="G117" i="79"/>
  <c r="H117" i="79"/>
  <c r="I117" i="79"/>
  <c r="J117" i="79"/>
  <c r="K117" i="79"/>
  <c r="M117" i="79"/>
  <c r="N117" i="79"/>
  <c r="E116" i="79"/>
  <c r="F116" i="79"/>
  <c r="G116" i="79"/>
  <c r="H116" i="79"/>
  <c r="I116" i="79"/>
  <c r="J116" i="79"/>
  <c r="K116" i="79"/>
  <c r="M116" i="79"/>
  <c r="N116" i="79"/>
  <c r="E115" i="79"/>
  <c r="F115" i="79"/>
  <c r="G115" i="79"/>
  <c r="H115" i="79"/>
  <c r="I115" i="79"/>
  <c r="J115" i="79"/>
  <c r="K115" i="79"/>
  <c r="M115" i="79"/>
  <c r="N115" i="79"/>
  <c r="E114" i="79"/>
  <c r="F114" i="79"/>
  <c r="G114" i="79"/>
  <c r="H114" i="79"/>
  <c r="I114" i="79"/>
  <c r="J114" i="79"/>
  <c r="L114" i="79"/>
  <c r="M114" i="79"/>
  <c r="N114" i="79"/>
  <c r="E113" i="79"/>
  <c r="F113" i="79"/>
  <c r="G113" i="79"/>
  <c r="H113" i="79"/>
  <c r="I113" i="79"/>
  <c r="J113" i="79"/>
  <c r="L113" i="79"/>
  <c r="M113" i="79"/>
  <c r="O113" i="79"/>
  <c r="E112" i="79"/>
  <c r="F112" i="79"/>
  <c r="G112" i="79"/>
  <c r="H112" i="79"/>
  <c r="I112" i="79"/>
  <c r="J112" i="79"/>
  <c r="L112" i="79"/>
  <c r="M112" i="79"/>
  <c r="P112" i="79"/>
  <c r="E111" i="79"/>
  <c r="F111" i="79"/>
  <c r="G111" i="79"/>
  <c r="H111" i="79"/>
  <c r="I111" i="79"/>
  <c r="J111" i="79"/>
  <c r="L111" i="79"/>
  <c r="M111" i="79"/>
  <c r="N111" i="79"/>
  <c r="E110" i="79"/>
  <c r="F110" i="79"/>
  <c r="G110" i="79"/>
  <c r="H110" i="79"/>
  <c r="I110" i="79"/>
  <c r="J110" i="79"/>
  <c r="K110" i="79"/>
  <c r="M110" i="79"/>
  <c r="N110" i="79"/>
  <c r="E109" i="79"/>
  <c r="F109" i="79"/>
  <c r="G109" i="79"/>
  <c r="H109" i="79"/>
  <c r="I109" i="79"/>
  <c r="J109" i="79"/>
  <c r="L109" i="79"/>
  <c r="M109" i="79"/>
  <c r="N109" i="79"/>
  <c r="E108" i="79"/>
  <c r="F108" i="79"/>
  <c r="G108" i="79"/>
  <c r="H108" i="79"/>
  <c r="I108" i="79"/>
  <c r="J108" i="79"/>
  <c r="K108" i="79"/>
  <c r="M108" i="79"/>
  <c r="N108" i="79"/>
  <c r="E107" i="79"/>
  <c r="F107" i="79"/>
  <c r="G107" i="79"/>
  <c r="H107" i="79"/>
  <c r="I107" i="79"/>
  <c r="J107" i="79"/>
  <c r="L107" i="79"/>
  <c r="M107" i="79"/>
  <c r="N107" i="79"/>
  <c r="E106" i="79"/>
  <c r="F106" i="79"/>
  <c r="G106" i="79"/>
  <c r="H106" i="79"/>
  <c r="I106" i="79"/>
  <c r="J106" i="79"/>
  <c r="K106" i="79"/>
  <c r="M106" i="79"/>
  <c r="O106" i="79"/>
  <c r="G105" i="79"/>
  <c r="H105" i="79"/>
  <c r="I105" i="79"/>
  <c r="J105" i="79"/>
  <c r="K105" i="79"/>
  <c r="M105" i="79"/>
  <c r="N105" i="79"/>
  <c r="G104" i="79"/>
  <c r="H104" i="79"/>
  <c r="I104" i="79"/>
  <c r="J104" i="79"/>
  <c r="K104" i="79"/>
  <c r="M104" i="79"/>
  <c r="N104" i="79"/>
  <c r="G103" i="79"/>
  <c r="H103" i="79"/>
  <c r="I103" i="79"/>
  <c r="J103" i="79"/>
  <c r="K103" i="79"/>
  <c r="M103" i="79"/>
  <c r="O103" i="79"/>
  <c r="F98" i="79"/>
  <c r="G102" i="79"/>
  <c r="H102" i="79"/>
  <c r="I102" i="79"/>
  <c r="J102" i="79"/>
  <c r="L102" i="79"/>
  <c r="M102" i="79"/>
  <c r="P102" i="79"/>
  <c r="G101" i="79"/>
  <c r="H101" i="79"/>
  <c r="I101" i="79"/>
  <c r="J101" i="79"/>
  <c r="K101" i="79"/>
  <c r="M101" i="79"/>
  <c r="N101" i="79"/>
  <c r="G100" i="79"/>
  <c r="H100" i="79"/>
  <c r="I100" i="79"/>
  <c r="J100" i="79"/>
  <c r="K100" i="79"/>
  <c r="M100" i="79"/>
  <c r="N100" i="79"/>
  <c r="G99" i="79"/>
  <c r="H99" i="79"/>
  <c r="I99" i="79"/>
  <c r="J99" i="79"/>
  <c r="K99" i="79"/>
  <c r="M99" i="79"/>
  <c r="N99" i="79"/>
  <c r="F94" i="79"/>
  <c r="G98" i="79"/>
  <c r="H98" i="79"/>
  <c r="I98" i="79"/>
  <c r="J98" i="79"/>
  <c r="K98" i="79"/>
  <c r="M98" i="79"/>
  <c r="P98" i="79"/>
  <c r="G97" i="79"/>
  <c r="H97" i="79"/>
  <c r="I97" i="79"/>
  <c r="J97" i="79"/>
  <c r="L97" i="79"/>
  <c r="M97" i="79"/>
  <c r="N97" i="79"/>
  <c r="G96" i="79"/>
  <c r="H96" i="79"/>
  <c r="I96" i="79"/>
  <c r="J96" i="79"/>
  <c r="K96" i="79"/>
  <c r="M96" i="79"/>
  <c r="N96" i="79"/>
  <c r="G95" i="79"/>
  <c r="H95" i="79"/>
  <c r="I95" i="79"/>
  <c r="J95" i="79"/>
  <c r="K95" i="79"/>
  <c r="M95" i="79"/>
  <c r="N95" i="79"/>
  <c r="F90" i="79"/>
  <c r="G94" i="79"/>
  <c r="H94" i="79"/>
  <c r="I94" i="79"/>
  <c r="J94" i="79"/>
  <c r="K94" i="79"/>
  <c r="M94" i="79"/>
  <c r="O94" i="79"/>
  <c r="G93" i="79"/>
  <c r="H93" i="79"/>
  <c r="I93" i="79"/>
  <c r="J89" i="79"/>
  <c r="L89" i="79"/>
  <c r="M93" i="79"/>
  <c r="N93" i="79"/>
  <c r="G92" i="79"/>
  <c r="H92" i="79"/>
  <c r="I88" i="79"/>
  <c r="J88" i="79"/>
  <c r="L88" i="79"/>
  <c r="M92" i="79"/>
  <c r="N92" i="79"/>
  <c r="G87" i="79"/>
  <c r="H91" i="79"/>
  <c r="I87" i="79"/>
  <c r="J87" i="79"/>
  <c r="K91" i="79"/>
  <c r="M87" i="79"/>
  <c r="N91" i="79"/>
  <c r="N90" i="79"/>
  <c r="M86" i="79"/>
  <c r="K86" i="79"/>
  <c r="J90" i="79"/>
  <c r="I90" i="79"/>
  <c r="H86" i="79"/>
  <c r="G86" i="79"/>
  <c r="F86" i="79"/>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A20" i="98"/>
  <c r="A19" i="98"/>
  <c r="A18" i="98"/>
  <c r="A7" i="98"/>
  <c r="A4" i="98"/>
  <c r="A3" i="98"/>
  <c r="E28" i="76" l="1"/>
  <c r="D28" i="76"/>
  <c r="L28" i="76"/>
  <c r="J28" i="76"/>
  <c r="G28" i="76"/>
  <c r="F28" i="76"/>
  <c r="K28" i="76"/>
  <c r="I28" i="76"/>
  <c r="M28" i="76"/>
  <c r="H28" i="76"/>
  <c r="J72" i="70"/>
  <c r="F71" i="70"/>
  <c r="L69" i="70"/>
  <c r="H68" i="70"/>
  <c r="H63" i="70"/>
  <c r="L73" i="70"/>
  <c r="H72" i="70"/>
  <c r="N70" i="70"/>
  <c r="J69" i="70"/>
  <c r="F68" i="70"/>
  <c r="L66" i="70"/>
  <c r="M77" i="70"/>
  <c r="K66" i="70"/>
  <c r="E63" i="70"/>
  <c r="G77" i="70"/>
  <c r="M75" i="70"/>
  <c r="I74" i="70"/>
  <c r="E73" i="70"/>
  <c r="K71" i="70"/>
  <c r="H76" i="70"/>
  <c r="G74" i="70"/>
  <c r="E70" i="70"/>
  <c r="G76" i="70"/>
  <c r="E74" i="70"/>
  <c r="J73" i="70"/>
  <c r="L71" i="70"/>
  <c r="L67" i="70"/>
  <c r="E66" i="70"/>
  <c r="G62" i="70"/>
  <c r="F62" i="70"/>
  <c r="K72" i="70"/>
  <c r="J70" i="70"/>
  <c r="K68" i="70"/>
  <c r="M66" i="70"/>
  <c r="J66" i="70"/>
  <c r="F77" i="70"/>
  <c r="F72" i="70"/>
  <c r="H70" i="70"/>
  <c r="I68" i="70"/>
  <c r="N60" i="70"/>
  <c r="M60" i="70"/>
  <c r="G71" i="70"/>
  <c r="E71" i="70"/>
  <c r="N68" i="70"/>
  <c r="K61" i="70"/>
  <c r="K75" i="70"/>
  <c r="L70" i="70"/>
  <c r="G60" i="70"/>
  <c r="L62" i="70"/>
  <c r="E69" i="70"/>
  <c r="M61" i="70"/>
  <c r="F69" i="70"/>
  <c r="F73" i="70"/>
  <c r="N74" i="70"/>
  <c r="H69" i="70"/>
  <c r="F63" i="70"/>
  <c r="E60" i="70"/>
  <c r="M74" i="70"/>
  <c r="G69" i="70"/>
  <c r="K77" i="70"/>
  <c r="I71" i="70"/>
  <c r="H67" i="70"/>
  <c r="J77" i="70"/>
  <c r="G67" i="70"/>
  <c r="N75" i="70"/>
  <c r="K63" i="70"/>
  <c r="F67" i="70"/>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7" i="69"/>
  <c r="AJ36" i="69"/>
  <c r="AJ35" i="69"/>
  <c r="AJ34" i="69"/>
  <c r="AJ33" i="69"/>
  <c r="AJ32" i="69"/>
  <c r="AJ41" i="69"/>
  <c r="AJ40" i="69"/>
  <c r="AJ39" i="69"/>
  <c r="AJ38" i="69"/>
  <c r="I159" i="69"/>
  <c r="F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AE239" i="76"/>
  <c r="AG242" i="69"/>
  <c r="AD240" i="76"/>
  <c r="AF243" i="69"/>
  <c r="AC241" i="76"/>
  <c r="AE244" i="69"/>
  <c r="AB242" i="76"/>
  <c r="AD245" i="69"/>
  <c r="V243" i="76"/>
  <c r="X246" i="69"/>
  <c r="AE238" i="76"/>
  <c r="AG241" i="69"/>
  <c r="K33" i="70"/>
  <c r="AD235" i="69"/>
  <c r="AB232" i="76"/>
  <c r="AD233" i="76"/>
  <c r="AF236" i="69"/>
  <c r="AE234" i="76"/>
  <c r="AG237" i="69"/>
  <c r="AG238" i="69"/>
  <c r="AE235" i="76"/>
  <c r="AA236" i="76"/>
  <c r="AC239" i="69"/>
  <c r="AD237" i="76"/>
  <c r="AF240" i="69"/>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31" i="69"/>
  <c r="AJ30" i="69"/>
  <c r="F32"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N66" i="70" s="1"/>
  <c r="P114" i="79"/>
  <c r="G89" i="79"/>
  <c r="G149" i="79" s="1"/>
  <c r="L86" i="79"/>
  <c r="N88" i="79"/>
  <c r="J91" i="79"/>
  <c r="J147" i="79" s="1"/>
  <c r="L91" i="79"/>
  <c r="O90" i="79"/>
  <c r="L96" i="79"/>
  <c r="P94" i="79"/>
  <c r="L101" i="79"/>
  <c r="P100" i="79"/>
  <c r="O105" i="79"/>
  <c r="N113" i="79"/>
  <c r="O108" i="79"/>
  <c r="M69" i="70" s="1"/>
  <c r="O115" i="79"/>
  <c r="H89" i="79"/>
  <c r="H149" i="79" s="1"/>
  <c r="L87" i="79"/>
  <c r="O88" i="79"/>
  <c r="L92" i="79"/>
  <c r="P90" i="79"/>
  <c r="P95" i="79"/>
  <c r="O101" i="79"/>
  <c r="P105" i="79"/>
  <c r="K107" i="79"/>
  <c r="I61" i="70" s="1"/>
  <c r="K109" i="79"/>
  <c r="K111" i="79"/>
  <c r="K113" i="79"/>
  <c r="P108" i="79"/>
  <c r="P115" i="79"/>
  <c r="I86" i="79"/>
  <c r="I146" i="79" s="1"/>
  <c r="P88" i="79"/>
  <c r="L93" i="79"/>
  <c r="P91" i="79"/>
  <c r="P96" i="79"/>
  <c r="P101" i="79"/>
  <c r="N103" i="79"/>
  <c r="L106" i="79"/>
  <c r="J74" i="70" s="1"/>
  <c r="O109" i="79"/>
  <c r="M72" i="70" s="1"/>
  <c r="O116" i="79"/>
  <c r="N89" i="79"/>
  <c r="I92" i="79"/>
  <c r="I148" i="79" s="1"/>
  <c r="M90" i="79"/>
  <c r="M146" i="79" s="1"/>
  <c r="P92" i="79"/>
  <c r="P97" i="79"/>
  <c r="F102" i="79"/>
  <c r="N76" i="70" s="1"/>
  <c r="P109" i="79"/>
  <c r="N63" i="70" s="1"/>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L75" i="70" s="1"/>
  <c r="P86" i="79"/>
  <c r="N99" i="70" l="1"/>
  <c r="J98" i="70"/>
  <c r="F97" i="70"/>
  <c r="L95" i="70"/>
  <c r="H94" i="70"/>
  <c r="N92" i="70"/>
  <c r="J91" i="70"/>
  <c r="F90" i="70"/>
  <c r="L88" i="70"/>
  <c r="H85" i="70"/>
  <c r="N83" i="70"/>
  <c r="J82" i="70"/>
  <c r="M99" i="70"/>
  <c r="I98" i="70"/>
  <c r="E97" i="70"/>
  <c r="K95" i="70"/>
  <c r="G94" i="70"/>
  <c r="M92" i="70"/>
  <c r="I91" i="70"/>
  <c r="E90" i="70"/>
  <c r="K88" i="70"/>
  <c r="G85" i="70"/>
  <c r="M83" i="70"/>
  <c r="I82" i="70"/>
  <c r="L99" i="70"/>
  <c r="H98" i="70"/>
  <c r="N96" i="70"/>
  <c r="J95" i="70"/>
  <c r="F94" i="70"/>
  <c r="L92" i="70"/>
  <c r="H91" i="70"/>
  <c r="N89" i="70"/>
  <c r="J88" i="70"/>
  <c r="F85" i="70"/>
  <c r="L83" i="70"/>
  <c r="H82" i="70"/>
  <c r="M89" i="70"/>
  <c r="I88" i="70"/>
  <c r="E85" i="70"/>
  <c r="K83" i="70"/>
  <c r="G82" i="70"/>
  <c r="I89" i="70"/>
  <c r="G83" i="70"/>
  <c r="L97" i="70"/>
  <c r="N94" i="70"/>
  <c r="F92" i="70"/>
  <c r="N85" i="70"/>
  <c r="F83" i="70"/>
  <c r="E99" i="70"/>
  <c r="G96" i="70"/>
  <c r="E92" i="70"/>
  <c r="G89" i="70"/>
  <c r="I84" i="70"/>
  <c r="J97" i="70"/>
  <c r="L94" i="70"/>
  <c r="N91" i="70"/>
  <c r="F89" i="70"/>
  <c r="L85" i="70"/>
  <c r="M98" i="70"/>
  <c r="K94" i="70"/>
  <c r="M91" i="70"/>
  <c r="E89" i="70"/>
  <c r="G84" i="70"/>
  <c r="H97" i="70"/>
  <c r="J94" i="70"/>
  <c r="L91" i="70"/>
  <c r="J85" i="70"/>
  <c r="G97" i="70"/>
  <c r="E93" i="70"/>
  <c r="G90" i="70"/>
  <c r="K82" i="70"/>
  <c r="F84" i="70"/>
  <c r="I94" i="70"/>
  <c r="I85" i="70"/>
  <c r="K99" i="70"/>
  <c r="G98" i="70"/>
  <c r="M96" i="70"/>
  <c r="I95" i="70"/>
  <c r="E94" i="70"/>
  <c r="K92" i="70"/>
  <c r="G91" i="70"/>
  <c r="J99" i="70"/>
  <c r="F98" i="70"/>
  <c r="L96" i="70"/>
  <c r="H95" i="70"/>
  <c r="N93" i="70"/>
  <c r="J92" i="70"/>
  <c r="F91" i="70"/>
  <c r="L89" i="70"/>
  <c r="H88" i="70"/>
  <c r="N84" i="70"/>
  <c r="J83" i="70"/>
  <c r="F82" i="70"/>
  <c r="I99" i="70"/>
  <c r="E98" i="70"/>
  <c r="K96" i="70"/>
  <c r="G95" i="70"/>
  <c r="M93" i="70"/>
  <c r="I92" i="70"/>
  <c r="E91" i="70"/>
  <c r="K89" i="70"/>
  <c r="G88" i="70"/>
  <c r="M84" i="70"/>
  <c r="I83" i="70"/>
  <c r="E82" i="70"/>
  <c r="H99" i="70"/>
  <c r="N97" i="70"/>
  <c r="J96" i="70"/>
  <c r="F95" i="70"/>
  <c r="L93" i="70"/>
  <c r="H92" i="70"/>
  <c r="N90" i="70"/>
  <c r="J89" i="70"/>
  <c r="F88" i="70"/>
  <c r="L84" i="70"/>
  <c r="H83" i="70"/>
  <c r="G99" i="70"/>
  <c r="M97" i="70"/>
  <c r="I96" i="70"/>
  <c r="E95" i="70"/>
  <c r="K93" i="70"/>
  <c r="G92" i="70"/>
  <c r="M90" i="70"/>
  <c r="E88" i="70"/>
  <c r="K84" i="70"/>
  <c r="F99" i="70"/>
  <c r="H96" i="70"/>
  <c r="J93" i="70"/>
  <c r="L90" i="70"/>
  <c r="H89" i="70"/>
  <c r="J84" i="70"/>
  <c r="K97" i="70"/>
  <c r="M94" i="70"/>
  <c r="I93" i="70"/>
  <c r="K90" i="70"/>
  <c r="M85" i="70"/>
  <c r="E83" i="70"/>
  <c r="N98" i="70"/>
  <c r="F96" i="70"/>
  <c r="H93" i="70"/>
  <c r="J90" i="70"/>
  <c r="H84" i="70"/>
  <c r="N82" i="70"/>
  <c r="I97" i="70"/>
  <c r="E96" i="70"/>
  <c r="G93" i="70"/>
  <c r="I90" i="70"/>
  <c r="K85" i="70"/>
  <c r="M82" i="70"/>
  <c r="L98" i="70"/>
  <c r="N95" i="70"/>
  <c r="F93" i="70"/>
  <c r="H90" i="70"/>
  <c r="N88" i="70"/>
  <c r="L82" i="70"/>
  <c r="K98" i="70"/>
  <c r="M95" i="70"/>
  <c r="K91" i="70"/>
  <c r="M88" i="70"/>
  <c r="E84" i="70"/>
  <c r="N71" i="70"/>
  <c r="N72" i="70"/>
  <c r="M63" i="70"/>
  <c r="N61" i="70"/>
  <c r="N67" i="70"/>
  <c r="I77" i="70"/>
  <c r="I66" i="70"/>
  <c r="L74" i="70"/>
  <c r="J68" i="70"/>
  <c r="F76" i="70"/>
  <c r="E68" i="70"/>
  <c r="N73" i="70"/>
  <c r="L68" i="70"/>
  <c r="J61" i="70"/>
  <c r="N62" i="70"/>
  <c r="E62" i="70"/>
  <c r="G66" i="70"/>
  <c r="I70" i="70"/>
  <c r="K67" i="70"/>
  <c r="K60" i="70"/>
  <c r="F70" i="70"/>
  <c r="I69" i="70"/>
  <c r="J76" i="70"/>
  <c r="H75" i="70"/>
  <c r="I62" i="70"/>
  <c r="L63" i="70"/>
  <c r="G68" i="70"/>
  <c r="F75" i="70"/>
  <c r="I60" i="70"/>
  <c r="I67" i="70"/>
  <c r="F60" i="70"/>
  <c r="H73" i="70"/>
  <c r="E61" i="70"/>
  <c r="I72" i="70"/>
  <c r="K69" i="70"/>
  <c r="H62" i="70"/>
  <c r="E72" i="70"/>
  <c r="M70" i="70"/>
  <c r="N77" i="70"/>
  <c r="L76" i="70"/>
  <c r="L72" i="70"/>
  <c r="G63" i="70"/>
  <c r="I63" i="70"/>
  <c r="J62" i="70"/>
  <c r="K74" i="70"/>
  <c r="J71" i="70"/>
  <c r="F66" i="70"/>
  <c r="H74" i="70"/>
  <c r="G72" i="70"/>
  <c r="K76" i="70"/>
  <c r="M76" i="70"/>
  <c r="G61" i="70"/>
  <c r="L77" i="70"/>
  <c r="K70" i="70"/>
  <c r="H60" i="70"/>
  <c r="H66" i="70"/>
  <c r="H77" i="70"/>
  <c r="I73" i="70"/>
  <c r="M67" i="70"/>
  <c r="E77" i="70"/>
  <c r="K73" i="70"/>
  <c r="M73" i="70"/>
  <c r="F74" i="70"/>
  <c r="H71" i="70"/>
  <c r="L61" i="70"/>
  <c r="I75" i="70"/>
  <c r="J63" i="70"/>
  <c r="F61" i="70"/>
  <c r="H61" i="70"/>
  <c r="E76" i="70"/>
  <c r="N69" i="70"/>
  <c r="M68" i="70"/>
  <c r="E75" i="70"/>
  <c r="G75" i="70"/>
  <c r="J75" i="70"/>
  <c r="G73" i="70"/>
  <c r="J67" i="70"/>
  <c r="E67" i="70"/>
  <c r="K62" i="70"/>
  <c r="M62" i="70"/>
  <c r="L60" i="70"/>
  <c r="M71" i="70"/>
  <c r="G70" i="70"/>
  <c r="I76" i="70"/>
  <c r="J60" i="70"/>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W109" i="76" a="1"/>
  <c r="W109" i="76" s="1"/>
  <c r="W107" i="76" a="1"/>
  <c r="W107" i="76" s="1"/>
  <c r="W108" i="76" a="1"/>
  <c r="W108" i="76" s="1"/>
  <c r="F95" i="76" a="1"/>
  <c r="F95" i="76" s="1"/>
  <c r="W110" i="76" a="1"/>
  <c r="W110" i="76" s="1"/>
  <c r="W100" i="76" a="1"/>
  <c r="W100" i="76" s="1"/>
  <c r="W111" i="76" a="1"/>
  <c r="W111" i="76" s="1"/>
  <c r="Y39" i="69" a="1"/>
  <c r="Y39" i="69" s="1"/>
  <c r="Y38" i="69" a="1"/>
  <c r="Y38" i="69" s="1"/>
  <c r="Y28" i="69" a="1"/>
  <c r="Y28" i="69" s="1"/>
  <c r="Y37" i="69" a="1"/>
  <c r="Y37" i="69" s="1"/>
  <c r="Y36" i="69" a="1"/>
  <c r="Y36" i="69" s="1"/>
  <c r="Y35" i="69" a="1"/>
  <c r="Y35" i="69" s="1"/>
  <c r="X159" i="76"/>
  <c r="X239" i="76"/>
  <c r="Z242" i="69"/>
  <c r="AB236" i="76"/>
  <c r="AD239" i="69"/>
  <c r="AB235" i="76"/>
  <c r="AD238" i="69"/>
  <c r="AB245" i="69"/>
  <c r="Z242" i="76"/>
  <c r="AC234" i="76"/>
  <c r="AE237" i="69"/>
  <c r="AE240" i="76"/>
  <c r="AG243" i="69"/>
  <c r="X243" i="76"/>
  <c r="Z246" i="69"/>
  <c r="W236" i="76"/>
  <c r="Y239" i="69"/>
  <c r="Y236" i="76"/>
  <c r="AA239" i="69"/>
  <c r="X232" i="76"/>
  <c r="Z235" i="69"/>
  <c r="AB240" i="76"/>
  <c r="AD243" i="69"/>
  <c r="Y236" i="69"/>
  <c r="W233" i="76"/>
  <c r="Y243" i="76"/>
  <c r="AA246" i="69"/>
  <c r="X240" i="76"/>
  <c r="Z243" i="69"/>
  <c r="V242" i="76"/>
  <c r="X245" i="69"/>
  <c r="AD235" i="76"/>
  <c r="AF238" i="69"/>
  <c r="W242" i="76"/>
  <c r="Y245" i="69"/>
  <c r="Y238" i="76"/>
  <c r="AA241" i="69"/>
  <c r="AC244" i="69"/>
  <c r="AA241" i="76"/>
  <c r="AD242" i="69"/>
  <c r="AB239" i="76"/>
  <c r="W243" i="76"/>
  <c r="Y246" i="69"/>
  <c r="AD238" i="76"/>
  <c r="AF241" i="69"/>
  <c r="X244" i="69"/>
  <c r="V241" i="76"/>
  <c r="AC238" i="76"/>
  <c r="AE241" i="69"/>
  <c r="AB234" i="76"/>
  <c r="AD237" i="69"/>
  <c r="AD242" i="76"/>
  <c r="AF245" i="69"/>
  <c r="W237" i="76"/>
  <c r="Y240" i="69"/>
  <c r="AB238" i="69"/>
  <c r="Z235" i="76"/>
  <c r="AD232" i="76"/>
  <c r="AF235" i="69"/>
  <c r="Y241" i="69"/>
  <c r="W238" i="76"/>
  <c r="AC242" i="69"/>
  <c r="AA239" i="76"/>
  <c r="Z239" i="76"/>
  <c r="AB242" i="69"/>
  <c r="AC237" i="76"/>
  <c r="AE240" i="69"/>
  <c r="AA242" i="76"/>
  <c r="AC245" i="69"/>
  <c r="AB233" i="76"/>
  <c r="AD236" i="69"/>
  <c r="V237" i="76"/>
  <c r="X240" i="69"/>
  <c r="AC242" i="76"/>
  <c r="AE245" i="69"/>
  <c r="X242" i="76"/>
  <c r="Z245" i="69"/>
  <c r="Z236" i="76"/>
  <c r="AB239" i="69"/>
  <c r="W240" i="76"/>
  <c r="Y243" i="69"/>
  <c r="Z241" i="69"/>
  <c r="X238" i="76"/>
  <c r="AD241" i="76"/>
  <c r="AF244" i="69"/>
  <c r="AA233" i="76"/>
  <c r="AC236" i="69"/>
  <c r="Y241" i="76"/>
  <c r="AA244" i="69"/>
  <c r="V239" i="76"/>
  <c r="X242" i="69"/>
  <c r="Y276" i="69" s="1"/>
  <c r="X237" i="76"/>
  <c r="Z240" i="69"/>
  <c r="AC240" i="76"/>
  <c r="AE243" i="69"/>
  <c r="Z238" i="76"/>
  <c r="AB241" i="69"/>
  <c r="AB238" i="76"/>
  <c r="AD241" i="69"/>
  <c r="AC232" i="76"/>
  <c r="AE235" i="69"/>
  <c r="W241" i="76"/>
  <c r="Y244" i="69"/>
  <c r="Z234" i="76"/>
  <c r="AB237" i="69"/>
  <c r="Y233" i="76"/>
  <c r="AA236" i="69"/>
  <c r="W235" i="76"/>
  <c r="Y238" i="69"/>
  <c r="AE236" i="76"/>
  <c r="AG239" i="69"/>
  <c r="Z237" i="76"/>
  <c r="AB240" i="69"/>
  <c r="X241" i="76"/>
  <c r="Z244" i="69"/>
  <c r="AA240" i="76"/>
  <c r="AC243" i="69"/>
  <c r="AE243" i="76"/>
  <c r="AG246" i="69"/>
  <c r="AC239" i="76"/>
  <c r="AE242" i="69"/>
  <c r="AA238" i="69"/>
  <c r="Y235" i="76"/>
  <c r="AE232" i="76"/>
  <c r="AG235" i="69"/>
  <c r="X236" i="76"/>
  <c r="Z239" i="69"/>
  <c r="W239" i="76"/>
  <c r="Y242" i="69"/>
  <c r="Y239" i="76"/>
  <c r="AA242" i="69"/>
  <c r="AA240" i="69"/>
  <c r="Y237" i="76"/>
  <c r="Z233" i="76"/>
  <c r="AB236" i="69"/>
  <c r="AB237" i="76"/>
  <c r="AD240" i="69"/>
  <c r="AE246" i="69"/>
  <c r="AC243" i="76"/>
  <c r="V233" i="76"/>
  <c r="X236" i="69"/>
  <c r="Z241" i="76"/>
  <c r="AB244" i="69"/>
  <c r="AD234" i="76"/>
  <c r="AF237" i="69"/>
  <c r="Y240" i="76"/>
  <c r="AA243" i="69"/>
  <c r="Z232" i="76"/>
  <c r="AB235" i="69"/>
  <c r="V236" i="76"/>
  <c r="X239" i="69"/>
  <c r="AC235" i="69"/>
  <c r="AA232" i="76"/>
  <c r="AA234" i="76"/>
  <c r="AC237" i="69"/>
  <c r="AE237" i="76"/>
  <c r="AG240" i="69"/>
  <c r="AA237" i="76"/>
  <c r="AC240" i="69"/>
  <c r="AA235" i="76"/>
  <c r="AC238" i="69"/>
  <c r="AA238" i="76"/>
  <c r="AC241" i="69"/>
  <c r="AE241" i="76"/>
  <c r="AG244" i="69"/>
  <c r="Z240" i="76"/>
  <c r="AB243" i="69"/>
  <c r="AA245" i="69"/>
  <c r="Y242" i="76"/>
  <c r="X233" i="76"/>
  <c r="Z236" i="69"/>
  <c r="X234" i="76"/>
  <c r="Z237" i="69"/>
  <c r="AD239" i="76"/>
  <c r="AF242" i="69"/>
  <c r="AG236" i="69"/>
  <c r="AE233" i="76"/>
  <c r="X235" i="76"/>
  <c r="Z238" i="69"/>
  <c r="Y232" i="76"/>
  <c r="AA235" i="69"/>
  <c r="AE242" i="76"/>
  <c r="AG245" i="69"/>
  <c r="AC235" i="76"/>
  <c r="AE238" i="69"/>
  <c r="AE239" i="69"/>
  <c r="AC236" i="76"/>
  <c r="W234" i="76"/>
  <c r="Y237" i="69"/>
  <c r="AF246" i="69"/>
  <c r="AD243" i="76"/>
  <c r="V238" i="76"/>
  <c r="X241" i="69"/>
  <c r="AC233" i="76"/>
  <c r="AE236" i="69"/>
  <c r="Z243" i="76"/>
  <c r="AB246" i="69"/>
  <c r="AF239" i="69"/>
  <c r="AD236" i="76"/>
  <c r="V232" i="76"/>
  <c r="X235" i="69"/>
  <c r="W232" i="76"/>
  <c r="Y235" i="69"/>
  <c r="AA243" i="76"/>
  <c r="AC246" i="69"/>
  <c r="AB241" i="76"/>
  <c r="AD244" i="69"/>
  <c r="V240" i="76"/>
  <c r="X243" i="69"/>
  <c r="Y234" i="76"/>
  <c r="AA237" i="69"/>
  <c r="V235" i="76"/>
  <c r="X238" i="69"/>
  <c r="X237" i="69"/>
  <c r="V234" i="76"/>
  <c r="AB243" i="76"/>
  <c r="AD246" i="69"/>
  <c r="AB107" i="76" l="1"/>
  <c r="AA107" i="76"/>
  <c r="AC107" i="76"/>
  <c r="N31" i="69"/>
  <c r="M31" i="69"/>
  <c r="L31" i="69"/>
  <c r="AC39" i="69"/>
  <c r="AE39" i="69"/>
  <c r="AD39" i="69"/>
  <c r="AC111" i="76"/>
  <c r="AB111" i="76"/>
  <c r="AA111" i="76"/>
  <c r="AC110" i="76"/>
  <c r="AB110" i="76"/>
  <c r="AA110" i="76"/>
  <c r="AB109" i="76"/>
  <c r="AA109" i="76"/>
  <c r="AC109" i="76"/>
  <c r="N33" i="69"/>
  <c r="M33" i="69"/>
  <c r="L33" i="69"/>
  <c r="N30" i="69"/>
  <c r="M30" i="69"/>
  <c r="L30" i="69"/>
  <c r="AA100" i="76"/>
  <c r="AC100" i="76"/>
  <c r="AB100" i="76"/>
  <c r="L95" i="76"/>
  <c r="K95" i="76"/>
  <c r="J95" i="76"/>
  <c r="AC108" i="76"/>
  <c r="AB108" i="76"/>
  <c r="AA108" i="76"/>
  <c r="AC35" i="69"/>
  <c r="AE35" i="69"/>
  <c r="AD35" i="69"/>
  <c r="AE37" i="69"/>
  <c r="AD37" i="69"/>
  <c r="AC37" i="69"/>
  <c r="AD28" i="69"/>
  <c r="AE28" i="69"/>
  <c r="AC28" i="69"/>
  <c r="K98" i="76"/>
  <c r="J98" i="76"/>
  <c r="L98" i="76"/>
  <c r="AE36" i="69"/>
  <c r="AD36" i="69"/>
  <c r="AC36" i="69"/>
  <c r="AE38" i="69"/>
  <c r="AD38" i="69"/>
  <c r="AC38" i="69"/>
  <c r="M32" i="69"/>
  <c r="N32" i="69"/>
  <c r="L32" i="69"/>
  <c r="AC180" i="76" a="1"/>
  <c r="AC180" i="76" s="1"/>
  <c r="W180" i="76" a="1"/>
  <c r="W180" i="76" s="1"/>
  <c r="Y180" i="76" a="1"/>
  <c r="Y180" i="76" s="1"/>
  <c r="E165" i="69" l="1"/>
  <c r="E166" i="69"/>
  <c r="AC22" i="76"/>
  <c r="AC38" i="76" s="1"/>
  <c r="Y22" i="76"/>
  <c r="Y38" i="76" s="1"/>
  <c r="AD22" i="76"/>
  <c r="AD38" i="76" s="1"/>
  <c r="X22" i="76"/>
  <c r="X38" i="76" s="1"/>
  <c r="V22" i="76"/>
  <c r="V38" i="76" s="1"/>
  <c r="AA22" i="76"/>
  <c r="AA38" i="76" s="1"/>
  <c r="AB22" i="76"/>
  <c r="AB38" i="76" s="1"/>
  <c r="W22" i="76"/>
  <c r="W38" i="76" s="1"/>
  <c r="Z22" i="76"/>
  <c r="Z38" i="76" s="1"/>
  <c r="H227" i="76"/>
  <c r="H225" i="76" s="1"/>
  <c r="H33" i="97"/>
  <c r="H29" i="97" s="1"/>
  <c r="F69" i="69" l="1"/>
  <c r="F120" i="76"/>
  <c r="AF51" i="69"/>
  <c r="AD27" i="76"/>
  <c r="AD43" i="76" s="1"/>
  <c r="I68" i="69"/>
  <c r="I119" i="76"/>
  <c r="AA66" i="69"/>
  <c r="Y126" i="76"/>
  <c r="AD51" i="69"/>
  <c r="AB27" i="76"/>
  <c r="AB43" i="76" s="1"/>
  <c r="M68" i="69"/>
  <c r="M119" i="76"/>
  <c r="AB54" i="69"/>
  <c r="Z30" i="76"/>
  <c r="Z46" i="76" s="1"/>
  <c r="AG63" i="69"/>
  <c r="AE123" i="76"/>
  <c r="AC68" i="69"/>
  <c r="AA128" i="76"/>
  <c r="AC67" i="69"/>
  <c r="AA127" i="76"/>
  <c r="AE49" i="69"/>
  <c r="AC25" i="76"/>
  <c r="AC41" i="76" s="1"/>
  <c r="AF54" i="69"/>
  <c r="AD30" i="76"/>
  <c r="AD46" i="76" s="1"/>
  <c r="AD53" i="69"/>
  <c r="AB29" i="76"/>
  <c r="AB45" i="76" s="1"/>
  <c r="AB71" i="69"/>
  <c r="Z131" i="76"/>
  <c r="AE51" i="69"/>
  <c r="AC27" i="76"/>
  <c r="AC43" i="76" s="1"/>
  <c r="AD49" i="69"/>
  <c r="AB25" i="76"/>
  <c r="AB41" i="76" s="1"/>
  <c r="AC50" i="69"/>
  <c r="AA26" i="76"/>
  <c r="AA42" i="76" s="1"/>
  <c r="AF70" i="69"/>
  <c r="AD130" i="76"/>
  <c r="X49" i="69"/>
  <c r="V25" i="76"/>
  <c r="V41" i="76" s="1"/>
  <c r="AD62" i="69"/>
  <c r="AB122" i="76"/>
  <c r="AF69" i="69"/>
  <c r="AD129" i="76"/>
  <c r="X47" i="69"/>
  <c r="V23" i="76"/>
  <c r="V39" i="76" s="1"/>
  <c r="AC49" i="69"/>
  <c r="AA25" i="76"/>
  <c r="AA41" i="76" s="1"/>
  <c r="AB49" i="69"/>
  <c r="Z25" i="76"/>
  <c r="Z41" i="76" s="1"/>
  <c r="AA53" i="69"/>
  <c r="Y29" i="76"/>
  <c r="Y45" i="76" s="1"/>
  <c r="F70" i="69"/>
  <c r="F121" i="76"/>
  <c r="AB122" i="69"/>
  <c r="Z171" i="76"/>
  <c r="Z115" i="69"/>
  <c r="X164" i="76"/>
  <c r="AG120" i="69"/>
  <c r="AE169" i="76"/>
  <c r="F117" i="69"/>
  <c r="F155" i="76"/>
  <c r="AB116" i="69"/>
  <c r="Z165" i="76"/>
  <c r="G116" i="69"/>
  <c r="G154" i="76"/>
  <c r="Y115" i="69"/>
  <c r="W164" i="76"/>
  <c r="AF115" i="69"/>
  <c r="AD164" i="76"/>
  <c r="AB115" i="69"/>
  <c r="Z164" i="76"/>
  <c r="AF124" i="69"/>
  <c r="AD173" i="76"/>
  <c r="M117" i="69"/>
  <c r="M155" i="76"/>
  <c r="Y65" i="69"/>
  <c r="W125" i="76"/>
  <c r="AC64" i="69"/>
  <c r="AA124" i="76"/>
  <c r="AA50" i="69"/>
  <c r="Y26" i="76"/>
  <c r="Y42" i="76" s="1"/>
  <c r="X67" i="69"/>
  <c r="V127" i="76"/>
  <c r="AD52" i="69"/>
  <c r="AB28" i="76"/>
  <c r="AB44" i="76" s="1"/>
  <c r="AD70" i="69"/>
  <c r="AB130" i="76"/>
  <c r="AA52" i="69"/>
  <c r="Y28" i="76"/>
  <c r="Y44" i="76" s="1"/>
  <c r="H70" i="69"/>
  <c r="H121" i="76"/>
  <c r="L70" i="69"/>
  <c r="L121" i="76"/>
  <c r="Z64" i="69"/>
  <c r="X124" i="76"/>
  <c r="AB55" i="69"/>
  <c r="Z31" i="76"/>
  <c r="Z47" i="76" s="1"/>
  <c r="AA55" i="69"/>
  <c r="Y31" i="76"/>
  <c r="Y47" i="76" s="1"/>
  <c r="H68" i="69"/>
  <c r="H119" i="76"/>
  <c r="Z62" i="69"/>
  <c r="X122" i="76"/>
  <c r="G71" i="69"/>
  <c r="G122" i="76"/>
  <c r="AD48" i="69"/>
  <c r="AB24" i="76"/>
  <c r="AB40" i="76" s="1"/>
  <c r="AG49" i="69"/>
  <c r="AE25" i="76"/>
  <c r="AE41" i="76" s="1"/>
  <c r="AD71" i="69"/>
  <c r="AB131" i="76"/>
  <c r="AB52" i="69"/>
  <c r="Z28" i="76"/>
  <c r="Z44" i="76" s="1"/>
  <c r="Y62" i="69"/>
  <c r="W122" i="76"/>
  <c r="AD50" i="69"/>
  <c r="AB26" i="76"/>
  <c r="AB42" i="76" s="1"/>
  <c r="I71" i="69"/>
  <c r="I122" i="76"/>
  <c r="F118" i="69"/>
  <c r="F156" i="76"/>
  <c r="F115" i="69"/>
  <c r="F153" i="76"/>
  <c r="Z125" i="69"/>
  <c r="X174" i="76"/>
  <c r="G117" i="69"/>
  <c r="G155" i="76"/>
  <c r="AE121" i="69"/>
  <c r="AC170" i="76"/>
  <c r="AA126" i="69"/>
  <c r="Y175" i="76"/>
  <c r="AB126" i="69"/>
  <c r="Z175" i="76"/>
  <c r="Y120" i="69"/>
  <c r="W169" i="76"/>
  <c r="AC122" i="69"/>
  <c r="AA171" i="76"/>
  <c r="I116" i="69"/>
  <c r="I154" i="76"/>
  <c r="AC126" i="69"/>
  <c r="AA175" i="76"/>
  <c r="AE68" i="69"/>
  <c r="AC128" i="76"/>
  <c r="AG60" i="69"/>
  <c r="AE120" i="76"/>
  <c r="AE53" i="69"/>
  <c r="AC29" i="76"/>
  <c r="AC45" i="76" s="1"/>
  <c r="Z70" i="69"/>
  <c r="X130" i="76"/>
  <c r="AC51" i="69"/>
  <c r="AA27" i="76"/>
  <c r="AA43" i="76" s="1"/>
  <c r="AF62" i="69"/>
  <c r="AD122" i="76"/>
  <c r="AB60" i="69"/>
  <c r="Z120" i="76"/>
  <c r="Y63" i="69"/>
  <c r="W123" i="76"/>
  <c r="M71" i="69"/>
  <c r="M122" i="76"/>
  <c r="AB47" i="69"/>
  <c r="Z23" i="76"/>
  <c r="Z39" i="76" s="1"/>
  <c r="Y47" i="69"/>
  <c r="W23" i="76"/>
  <c r="W39" i="76" s="1"/>
  <c r="X55" i="69"/>
  <c r="V31" i="76"/>
  <c r="V47" i="76" s="1"/>
  <c r="N69" i="69"/>
  <c r="N120" i="76"/>
  <c r="AG51" i="69"/>
  <c r="AE27" i="76"/>
  <c r="AE43" i="76" s="1"/>
  <c r="AF50" i="69"/>
  <c r="AD26" i="76"/>
  <c r="AD42" i="76" s="1"/>
  <c r="AA67" i="69"/>
  <c r="Y127" i="76"/>
  <c r="Y60" i="69"/>
  <c r="W120" i="76"/>
  <c r="AC70" i="69"/>
  <c r="AA130" i="76"/>
  <c r="AF48" i="69"/>
  <c r="AD24" i="76"/>
  <c r="AD40" i="76" s="1"/>
  <c r="L69" i="69"/>
  <c r="L120" i="76"/>
  <c r="H118" i="69"/>
  <c r="H156" i="76"/>
  <c r="X121" i="69"/>
  <c r="V170" i="76"/>
  <c r="I115" i="69"/>
  <c r="I153" i="76"/>
  <c r="X126" i="69"/>
  <c r="V175" i="76"/>
  <c r="AD123" i="69"/>
  <c r="AB172" i="76"/>
  <c r="AC124" i="69"/>
  <c r="AA173" i="76"/>
  <c r="K116" i="69"/>
  <c r="K154" i="76"/>
  <c r="Z120" i="69"/>
  <c r="X169" i="76"/>
  <c r="Z121" i="69"/>
  <c r="X170" i="76"/>
  <c r="Y124" i="69"/>
  <c r="W173" i="76"/>
  <c r="AC119" i="69"/>
  <c r="AA168" i="76"/>
  <c r="AD119" i="69"/>
  <c r="AB168" i="76"/>
  <c r="AC48" i="69"/>
  <c r="AA24" i="76"/>
  <c r="AA40" i="76" s="1"/>
  <c r="AF67" i="69"/>
  <c r="AD127" i="76"/>
  <c r="AG62" i="69"/>
  <c r="AE122" i="76"/>
  <c r="AG54" i="69"/>
  <c r="AE30" i="76"/>
  <c r="AE46" i="76" s="1"/>
  <c r="AB63" i="69"/>
  <c r="Z123" i="76"/>
  <c r="AC55" i="69"/>
  <c r="AA31" i="76"/>
  <c r="AA47" i="76" s="1"/>
  <c r="AG67" i="69"/>
  <c r="AE127" i="76"/>
  <c r="Z45" i="69"/>
  <c r="X21" i="76"/>
  <c r="X37" i="76" s="1"/>
  <c r="AC63" i="69"/>
  <c r="AA123" i="76"/>
  <c r="AB50" i="69"/>
  <c r="Z26" i="76"/>
  <c r="Z42" i="76" s="1"/>
  <c r="AE44" i="69"/>
  <c r="AC20" i="76"/>
  <c r="AC36" i="76" s="1"/>
  <c r="K69" i="69"/>
  <c r="K120" i="76"/>
  <c r="Z124" i="69"/>
  <c r="X173" i="76"/>
  <c r="H115" i="69"/>
  <c r="H153" i="76"/>
  <c r="AC117" i="69"/>
  <c r="AA166" i="76"/>
  <c r="AA121" i="69"/>
  <c r="Y170" i="76"/>
  <c r="X115" i="69"/>
  <c r="V164" i="76"/>
  <c r="Y125" i="69"/>
  <c r="W174" i="76"/>
  <c r="J117" i="69"/>
  <c r="J155" i="76"/>
  <c r="AE119" i="69"/>
  <c r="AC168" i="76"/>
  <c r="Z117" i="69"/>
  <c r="X166" i="76"/>
  <c r="M118" i="69"/>
  <c r="M156" i="76"/>
  <c r="Z118" i="69"/>
  <c r="X167" i="76"/>
  <c r="AE126" i="69"/>
  <c r="AC175" i="76"/>
  <c r="Y51" i="69"/>
  <c r="W27" i="76"/>
  <c r="W43" i="76" s="1"/>
  <c r="AE61" i="69"/>
  <c r="AC121" i="76"/>
  <c r="AC71" i="69"/>
  <c r="AA131" i="76"/>
  <c r="Z52" i="69"/>
  <c r="X28" i="76"/>
  <c r="X44" i="76" s="1"/>
  <c r="AC69" i="69"/>
  <c r="AA129" i="76"/>
  <c r="AC45" i="69"/>
  <c r="AA21" i="76"/>
  <c r="AA37" i="76" s="1"/>
  <c r="X60" i="69"/>
  <c r="V120" i="76"/>
  <c r="AG69" i="69"/>
  <c r="AE129" i="76"/>
  <c r="F68" i="69"/>
  <c r="F119" i="76"/>
  <c r="AB48" i="69"/>
  <c r="Z24" i="76"/>
  <c r="Z40" i="76" s="1"/>
  <c r="Z63" i="69"/>
  <c r="X123" i="76"/>
  <c r="Z54" i="69"/>
  <c r="X30" i="76"/>
  <c r="X46" i="76" s="1"/>
  <c r="AA63" i="69"/>
  <c r="Y123" i="76"/>
  <c r="AB65" i="69"/>
  <c r="Z125" i="76"/>
  <c r="AD47" i="69"/>
  <c r="AB23" i="76"/>
  <c r="AB39" i="76" s="1"/>
  <c r="H69" i="69"/>
  <c r="H120" i="76"/>
  <c r="E71" i="69"/>
  <c r="E122" i="76"/>
  <c r="I69" i="69"/>
  <c r="I120" i="76"/>
  <c r="AC118" i="69"/>
  <c r="AA167" i="76"/>
  <c r="AF126" i="69"/>
  <c r="AD175" i="76"/>
  <c r="AF121" i="69"/>
  <c r="AD170" i="76"/>
  <c r="L115" i="69"/>
  <c r="L153" i="76"/>
  <c r="AG124" i="69"/>
  <c r="AE173" i="76"/>
  <c r="AC115" i="69"/>
  <c r="AA164" i="76"/>
  <c r="AF117" i="69"/>
  <c r="AD166" i="76"/>
  <c r="AB118" i="69"/>
  <c r="Z167" i="76"/>
  <c r="AC121" i="69"/>
  <c r="AA170" i="76"/>
  <c r="Y119" i="69"/>
  <c r="W168" i="76"/>
  <c r="AA125" i="69"/>
  <c r="Y174" i="76"/>
  <c r="AB125" i="69"/>
  <c r="Z174" i="76"/>
  <c r="AA61" i="69"/>
  <c r="Y121" i="76"/>
  <c r="AD44" i="69"/>
  <c r="AB20" i="76"/>
  <c r="AB36" i="76" s="1"/>
  <c r="Z49" i="69"/>
  <c r="X25" i="76"/>
  <c r="X41" i="76" s="1"/>
  <c r="H71" i="69"/>
  <c r="H122" i="76"/>
  <c r="AG71" i="69"/>
  <c r="AE131" i="76"/>
  <c r="G68" i="69"/>
  <c r="G119" i="76"/>
  <c r="AG55" i="69"/>
  <c r="AE31" i="76"/>
  <c r="AE47" i="76" s="1"/>
  <c r="L68" i="69"/>
  <c r="L119" i="76"/>
  <c r="AD63" i="69"/>
  <c r="AB123" i="76"/>
  <c r="AC61" i="69"/>
  <c r="AA121" i="76"/>
  <c r="AG52" i="69"/>
  <c r="AE28" i="76"/>
  <c r="AE44" i="76" s="1"/>
  <c r="Z51" i="69"/>
  <c r="X27" i="76"/>
  <c r="X43" i="76" s="1"/>
  <c r="AD60" i="69"/>
  <c r="AB120" i="76"/>
  <c r="AF65" i="69"/>
  <c r="AD125" i="76"/>
  <c r="Z69" i="69"/>
  <c r="X129" i="76"/>
  <c r="AF47" i="69"/>
  <c r="AD23" i="76"/>
  <c r="AD39" i="76" s="1"/>
  <c r="AE69" i="69"/>
  <c r="AC129" i="76"/>
  <c r="AG44" i="69"/>
  <c r="AE20" i="76"/>
  <c r="AE36" i="76" s="1"/>
  <c r="K71" i="69"/>
  <c r="K122" i="76"/>
  <c r="M69" i="69"/>
  <c r="M120" i="76"/>
  <c r="G69" i="69"/>
  <c r="G120" i="76"/>
  <c r="Y126" i="69"/>
  <c r="W175" i="76"/>
  <c r="M115" i="69"/>
  <c r="M153" i="76"/>
  <c r="AA120" i="69"/>
  <c r="Y169" i="76"/>
  <c r="AB119" i="69"/>
  <c r="Z168" i="76"/>
  <c r="Z122" i="69"/>
  <c r="X171" i="76"/>
  <c r="AD115" i="69"/>
  <c r="AB164" i="76"/>
  <c r="H116" i="69"/>
  <c r="H154" i="76"/>
  <c r="I118" i="69"/>
  <c r="I156" i="76"/>
  <c r="AE115" i="69"/>
  <c r="AC164" i="76"/>
  <c r="AD121" i="69"/>
  <c r="AB170" i="76"/>
  <c r="AB123" i="69"/>
  <c r="Z172" i="76"/>
  <c r="X124" i="69"/>
  <c r="V173" i="76"/>
  <c r="AB121" i="69"/>
  <c r="Z170" i="76"/>
  <c r="AA64" i="69"/>
  <c r="Y124" i="76"/>
  <c r="AA69" i="69"/>
  <c r="Y129" i="76"/>
  <c r="Z71" i="69"/>
  <c r="X131" i="76"/>
  <c r="Y55" i="69"/>
  <c r="W31" i="76"/>
  <c r="W47" i="76" s="1"/>
  <c r="Y50" i="69"/>
  <c r="W26" i="76"/>
  <c r="W42" i="76" s="1"/>
  <c r="AD67" i="69"/>
  <c r="AB127" i="76"/>
  <c r="AB67" i="69"/>
  <c r="Z127" i="76"/>
  <c r="F71" i="69"/>
  <c r="F122" i="76"/>
  <c r="AA70" i="69"/>
  <c r="Y130" i="76"/>
  <c r="AE50" i="69"/>
  <c r="AC26" i="76"/>
  <c r="AC42" i="76" s="1"/>
  <c r="AA45" i="69"/>
  <c r="Y21" i="76"/>
  <c r="Y37" i="76" s="1"/>
  <c r="E69" i="69"/>
  <c r="E120" i="76"/>
  <c r="AG65" i="69"/>
  <c r="AE125" i="76"/>
  <c r="Y45" i="69"/>
  <c r="W21" i="76"/>
  <c r="W37" i="76" s="1"/>
  <c r="AB64" i="69"/>
  <c r="Z124" i="76"/>
  <c r="AA68" i="69"/>
  <c r="Y128" i="76"/>
  <c r="Y61" i="69"/>
  <c r="W121" i="76"/>
  <c r="Y52" i="69"/>
  <c r="W28" i="76"/>
  <c r="W44" i="76" s="1"/>
  <c r="AE45" i="69"/>
  <c r="AC21" i="76"/>
  <c r="AC37" i="76" s="1"/>
  <c r="AE120" i="69"/>
  <c r="AC169" i="76"/>
  <c r="AD124" i="69"/>
  <c r="AB173" i="76"/>
  <c r="AE123" i="69"/>
  <c r="AC172" i="76"/>
  <c r="K115" i="69"/>
  <c r="K153" i="76"/>
  <c r="X125" i="69"/>
  <c r="V174" i="76"/>
  <c r="AE118" i="69"/>
  <c r="AC167" i="76"/>
  <c r="E116" i="69"/>
  <c r="E154" i="76"/>
  <c r="AF71" i="69"/>
  <c r="AD131" i="76"/>
  <c r="E115" i="69"/>
  <c r="E153" i="76"/>
  <c r="X120" i="69"/>
  <c r="V169" i="76"/>
  <c r="AE125" i="69"/>
  <c r="AC174" i="76"/>
  <c r="AE65" i="69"/>
  <c r="AC125" i="76"/>
  <c r="AE64" i="69"/>
  <c r="AC124" i="76"/>
  <c r="AB53" i="69"/>
  <c r="Z29" i="76"/>
  <c r="Z45" i="76" s="1"/>
  <c r="AB61" i="69"/>
  <c r="Z121" i="76"/>
  <c r="AG70" i="69"/>
  <c r="AE130" i="76"/>
  <c r="Z47" i="69"/>
  <c r="X23" i="76"/>
  <c r="X39" i="76" s="1"/>
  <c r="X118" i="69"/>
  <c r="V167" i="76"/>
  <c r="K117" i="69"/>
  <c r="K155" i="76"/>
  <c r="L116" i="69"/>
  <c r="L154" i="76"/>
  <c r="AG115" i="69"/>
  <c r="AE164" i="76"/>
  <c r="G115" i="69"/>
  <c r="G153" i="76"/>
  <c r="AF118" i="69"/>
  <c r="AD167" i="76"/>
  <c r="AA116" i="69"/>
  <c r="Y165" i="76"/>
  <c r="Y118" i="69"/>
  <c r="W167" i="76"/>
  <c r="AA124" i="69"/>
  <c r="Y173" i="76"/>
  <c r="AF125" i="69"/>
  <c r="AD174" i="76"/>
  <c r="Z67" i="69"/>
  <c r="X127" i="76"/>
  <c r="AB62" i="69"/>
  <c r="Z122" i="76"/>
  <c r="AC62" i="69"/>
  <c r="AA122" i="76"/>
  <c r="AG46" i="69"/>
  <c r="AE22" i="76"/>
  <c r="AE38" i="76" s="1"/>
  <c r="AA71" i="69"/>
  <c r="Y131" i="76"/>
  <c r="AF53" i="69"/>
  <c r="AD29" i="76"/>
  <c r="AD45" i="76" s="1"/>
  <c r="Y48" i="69"/>
  <c r="W24" i="76"/>
  <c r="W40" i="76" s="1"/>
  <c r="AE66" i="69"/>
  <c r="AC126" i="76"/>
  <c r="AC44" i="69"/>
  <c r="AA20" i="76"/>
  <c r="AA36" i="76" s="1"/>
  <c r="Y54" i="69"/>
  <c r="W30" i="76"/>
  <c r="W46" i="76" s="1"/>
  <c r="AE70" i="69"/>
  <c r="AC130" i="76"/>
  <c r="J69" i="69"/>
  <c r="J120" i="76"/>
  <c r="AF68" i="69"/>
  <c r="AD128" i="76"/>
  <c r="AA51" i="69"/>
  <c r="Y27" i="76"/>
  <c r="Y43" i="76" s="1"/>
  <c r="Z68" i="69"/>
  <c r="X128" i="76"/>
  <c r="AA44" i="69"/>
  <c r="Y20" i="76"/>
  <c r="Y36" i="76" s="1"/>
  <c r="AD64" i="69"/>
  <c r="AB124" i="76"/>
  <c r="AF60" i="69"/>
  <c r="AD120" i="76"/>
  <c r="AF49" i="69"/>
  <c r="AD25" i="76"/>
  <c r="AD41" i="76" s="1"/>
  <c r="AD61" i="69"/>
  <c r="AB121" i="76"/>
  <c r="AG48" i="69"/>
  <c r="AE24" i="76"/>
  <c r="AE40" i="76" s="1"/>
  <c r="AF64" i="69"/>
  <c r="AD124" i="76"/>
  <c r="AF55" i="69"/>
  <c r="AD31" i="76"/>
  <c r="AD47" i="76" s="1"/>
  <c r="X48" i="69"/>
  <c r="V24" i="76"/>
  <c r="V40" i="76" s="1"/>
  <c r="Y116" i="69"/>
  <c r="W165" i="76"/>
  <c r="AA115" i="69"/>
  <c r="Y164" i="76"/>
  <c r="AC123" i="69"/>
  <c r="AA172" i="76"/>
  <c r="G118" i="69"/>
  <c r="G156" i="76"/>
  <c r="Z123" i="69"/>
  <c r="X172" i="76"/>
  <c r="X116" i="69"/>
  <c r="V165" i="76"/>
  <c r="AA118" i="69"/>
  <c r="Y167" i="76"/>
  <c r="AD120" i="69"/>
  <c r="AB169" i="76"/>
  <c r="AG119" i="69"/>
  <c r="AE168" i="76"/>
  <c r="AD69" i="69"/>
  <c r="AB129" i="76"/>
  <c r="AF116" i="69"/>
  <c r="AD165" i="76"/>
  <c r="AB124" i="69"/>
  <c r="Z173" i="76"/>
  <c r="AE60" i="69"/>
  <c r="AC120" i="76"/>
  <c r="J71" i="69"/>
  <c r="J122" i="76"/>
  <c r="Y64" i="69"/>
  <c r="W124" i="76"/>
  <c r="X70" i="69"/>
  <c r="V130" i="76"/>
  <c r="I70" i="69"/>
  <c r="I121" i="76"/>
  <c r="K68" i="69"/>
  <c r="K119" i="76"/>
  <c r="J68" i="69"/>
  <c r="J119" i="76"/>
  <c r="X53" i="69"/>
  <c r="V29" i="76"/>
  <c r="V45" i="76" s="1"/>
  <c r="AE71" i="69"/>
  <c r="AC131" i="76"/>
  <c r="AC53" i="69"/>
  <c r="AA29" i="76"/>
  <c r="AA45" i="76" s="1"/>
  <c r="G70" i="69"/>
  <c r="G121" i="76"/>
  <c r="AD55" i="69"/>
  <c r="AB31" i="76"/>
  <c r="AB47" i="76" s="1"/>
  <c r="Z61" i="69"/>
  <c r="X121" i="76"/>
  <c r="AG53" i="69"/>
  <c r="AE29" i="76"/>
  <c r="AE45" i="76" s="1"/>
  <c r="Z50" i="69"/>
  <c r="X26" i="76"/>
  <c r="X42" i="76" s="1"/>
  <c r="AC47" i="69"/>
  <c r="AA23" i="76"/>
  <c r="AA39" i="76" s="1"/>
  <c r="Z65" i="69"/>
  <c r="X125" i="76"/>
  <c r="AD65" i="69"/>
  <c r="AB125" i="76"/>
  <c r="AF122" i="69"/>
  <c r="AD171" i="76"/>
  <c r="AB120" i="69"/>
  <c r="Z169" i="76"/>
  <c r="AF123" i="69"/>
  <c r="AD172" i="76"/>
  <c r="AF120" i="69"/>
  <c r="AD169" i="76"/>
  <c r="AG126" i="69"/>
  <c r="AE175" i="76"/>
  <c r="Y122" i="69"/>
  <c r="W171" i="76"/>
  <c r="X117" i="69"/>
  <c r="V166" i="76"/>
  <c r="AC116" i="69"/>
  <c r="AA165" i="76"/>
  <c r="I117" i="69"/>
  <c r="I155" i="76"/>
  <c r="AG123" i="69"/>
  <c r="AE172" i="76"/>
  <c r="Y53" i="69"/>
  <c r="W29" i="76"/>
  <c r="W45" i="76" s="1"/>
  <c r="AB69" i="69"/>
  <c r="Z129" i="76"/>
  <c r="X64" i="69"/>
  <c r="V124" i="76"/>
  <c r="AD68" i="69"/>
  <c r="AB128" i="76"/>
  <c r="AE55" i="69"/>
  <c r="AC31" i="76"/>
  <c r="AC47" i="76" s="1"/>
  <c r="AF61" i="69"/>
  <c r="AD121" i="76"/>
  <c r="Z60" i="69"/>
  <c r="X120" i="76"/>
  <c r="AE63" i="69"/>
  <c r="AC123" i="76"/>
  <c r="X61" i="69"/>
  <c r="V121" i="76"/>
  <c r="Y66" i="69"/>
  <c r="W126" i="76"/>
  <c r="AA60" i="69"/>
  <c r="Y120" i="76"/>
  <c r="AE52" i="69"/>
  <c r="AC28" i="76"/>
  <c r="AC44" i="76" s="1"/>
  <c r="AG66" i="69"/>
  <c r="AE126" i="76"/>
  <c r="AG50" i="69"/>
  <c r="AE26" i="76"/>
  <c r="AE42" i="76" s="1"/>
  <c r="AE47" i="69"/>
  <c r="AC23" i="76"/>
  <c r="AC39" i="76" s="1"/>
  <c r="AE62" i="69"/>
  <c r="AC122" i="76"/>
  <c r="X54" i="69"/>
  <c r="V30" i="76"/>
  <c r="V46" i="76" s="1"/>
  <c r="X71" i="69"/>
  <c r="V131" i="76"/>
  <c r="AF44" i="69"/>
  <c r="AD20" i="76"/>
  <c r="AD36" i="76" s="1"/>
  <c r="E68" i="69"/>
  <c r="E119" i="76"/>
  <c r="AA54" i="69"/>
  <c r="Y30" i="76"/>
  <c r="Y46" i="76" s="1"/>
  <c r="AC66" i="69"/>
  <c r="AA126" i="76"/>
  <c r="J115" i="69"/>
  <c r="J153" i="76"/>
  <c r="AE124" i="69"/>
  <c r="AC173" i="76"/>
  <c r="L118" i="69"/>
  <c r="L156" i="76"/>
  <c r="AG116" i="69"/>
  <c r="AE165" i="76"/>
  <c r="AA122" i="69"/>
  <c r="Y171" i="76"/>
  <c r="J118" i="69"/>
  <c r="J156" i="76"/>
  <c r="E117" i="69"/>
  <c r="E155" i="76"/>
  <c r="N116" i="69"/>
  <c r="N154" i="76"/>
  <c r="J116" i="69"/>
  <c r="J154" i="76"/>
  <c r="AE117" i="69"/>
  <c r="AC166" i="76"/>
  <c r="AD122" i="69"/>
  <c r="AB171" i="76"/>
  <c r="H117" i="69"/>
  <c r="H155" i="76"/>
  <c r="Y67" i="69"/>
  <c r="W127" i="76"/>
  <c r="AF45" i="69"/>
  <c r="AD21" i="76"/>
  <c r="AD37" i="76" s="1"/>
  <c r="Z44" i="69"/>
  <c r="X20" i="76"/>
  <c r="X36" i="76" s="1"/>
  <c r="AD54" i="69"/>
  <c r="AB30" i="76"/>
  <c r="AB46" i="76" s="1"/>
  <c r="AC60" i="69"/>
  <c r="AA120" i="76"/>
  <c r="AB51" i="69"/>
  <c r="Z27" i="76"/>
  <c r="Z43" i="76" s="1"/>
  <c r="AA65" i="69"/>
  <c r="Y125" i="76"/>
  <c r="X62" i="69"/>
  <c r="V122" i="76"/>
  <c r="Y68" i="69"/>
  <c r="W128" i="76"/>
  <c r="AB70" i="69"/>
  <c r="Z130" i="76"/>
  <c r="AE48" i="69"/>
  <c r="AC24" i="76"/>
  <c r="AC40" i="76" s="1"/>
  <c r="Y70" i="69"/>
  <c r="W130" i="76"/>
  <c r="Z55" i="69"/>
  <c r="X31" i="76"/>
  <c r="X47" i="76" s="1"/>
  <c r="X66" i="69"/>
  <c r="V126" i="76"/>
  <c r="X45" i="69"/>
  <c r="V21" i="76"/>
  <c r="V37" i="76" s="1"/>
  <c r="AF63" i="69"/>
  <c r="AD123" i="76"/>
  <c r="AG68" i="69"/>
  <c r="AE128" i="76"/>
  <c r="Y44" i="69"/>
  <c r="W20" i="76"/>
  <c r="W36" i="76" s="1"/>
  <c r="X63" i="69"/>
  <c r="V123" i="76"/>
  <c r="Y71" i="69"/>
  <c r="W131" i="76"/>
  <c r="AA119" i="69"/>
  <c r="Y168" i="76"/>
  <c r="X119" i="69"/>
  <c r="V168" i="76"/>
  <c r="Y117" i="69"/>
  <c r="W166" i="76"/>
  <c r="AD126" i="69"/>
  <c r="AB175" i="76"/>
  <c r="K118" i="69"/>
  <c r="K156" i="76"/>
  <c r="AA117" i="69"/>
  <c r="Y166" i="76"/>
  <c r="AG125" i="69"/>
  <c r="AE174" i="76"/>
  <c r="E118" i="69"/>
  <c r="E156" i="76"/>
  <c r="X122" i="69"/>
  <c r="V171" i="76"/>
  <c r="AD118" i="69"/>
  <c r="AB167" i="76"/>
  <c r="N115" i="69"/>
  <c r="N153" i="76"/>
  <c r="AD117" i="69"/>
  <c r="AB166" i="76"/>
  <c r="AG61" i="69"/>
  <c r="AE121" i="76"/>
  <c r="X44" i="69"/>
  <c r="V20" i="76"/>
  <c r="V36" i="76" s="1"/>
  <c r="X52" i="69"/>
  <c r="V28" i="76"/>
  <c r="V44" i="76" s="1"/>
  <c r="Y49" i="69"/>
  <c r="W25" i="76"/>
  <c r="W41" i="76" s="1"/>
  <c r="AB45" i="69"/>
  <c r="Z21" i="76"/>
  <c r="Z37" i="76" s="1"/>
  <c r="AG45" i="69"/>
  <c r="AE21" i="76"/>
  <c r="AE37" i="76" s="1"/>
  <c r="J70" i="69"/>
  <c r="J121" i="76"/>
  <c r="N71" i="69"/>
  <c r="N122" i="76"/>
  <c r="AA47" i="69"/>
  <c r="Y23" i="76"/>
  <c r="Y39" i="76" s="1"/>
  <c r="X68" i="69"/>
  <c r="V128" i="76"/>
  <c r="AE67" i="69"/>
  <c r="AC127" i="76"/>
  <c r="AG47" i="69"/>
  <c r="AE23" i="76"/>
  <c r="AE39" i="76" s="1"/>
  <c r="AF66" i="69"/>
  <c r="AD126" i="76"/>
  <c r="X69" i="69"/>
  <c r="V129" i="76"/>
  <c r="AD116" i="69"/>
  <c r="AB165" i="76"/>
  <c r="AA123" i="69"/>
  <c r="Y172" i="76"/>
  <c r="AD125" i="69"/>
  <c r="AB174" i="76"/>
  <c r="M116" i="69"/>
  <c r="M154" i="76"/>
  <c r="Y123" i="69"/>
  <c r="W172" i="76"/>
  <c r="AB117" i="69"/>
  <c r="Z166" i="76"/>
  <c r="N118" i="69"/>
  <c r="N156" i="76"/>
  <c r="Y121" i="69"/>
  <c r="W170" i="76"/>
  <c r="AG117" i="69"/>
  <c r="AE166" i="76"/>
  <c r="AG122" i="69"/>
  <c r="AE171" i="76"/>
  <c r="Z116" i="69"/>
  <c r="X165" i="76"/>
  <c r="AB68" i="69"/>
  <c r="Z128" i="76"/>
  <c r="AG121" i="69"/>
  <c r="AE170" i="76"/>
  <c r="Y69" i="69"/>
  <c r="W129" i="76"/>
  <c r="X50" i="69"/>
  <c r="V26" i="76"/>
  <c r="V42" i="76" s="1"/>
  <c r="N68" i="69"/>
  <c r="N119" i="76"/>
  <c r="AB66" i="69"/>
  <c r="Z126" i="76"/>
  <c r="Z53" i="69"/>
  <c r="X29" i="76"/>
  <c r="X45" i="76" s="1"/>
  <c r="E70" i="69"/>
  <c r="E121" i="76"/>
  <c r="AG64" i="69"/>
  <c r="AE124" i="76"/>
  <c r="AA48" i="69"/>
  <c r="Y24" i="76"/>
  <c r="Y40" i="76" s="1"/>
  <c r="AE54" i="69"/>
  <c r="AC30" i="76"/>
  <c r="AC46" i="76" s="1"/>
  <c r="L71" i="69"/>
  <c r="L122" i="76"/>
  <c r="X65" i="69"/>
  <c r="V125" i="76"/>
  <c r="X51" i="69"/>
  <c r="V27" i="76"/>
  <c r="V43" i="76" s="1"/>
  <c r="AA49" i="69"/>
  <c r="Y25" i="76"/>
  <c r="Y41" i="76" s="1"/>
  <c r="AA62" i="69"/>
  <c r="Y122" i="76"/>
  <c r="AF52" i="69"/>
  <c r="AD28" i="76"/>
  <c r="AD44" i="76" s="1"/>
  <c r="AC52" i="69"/>
  <c r="AA28" i="76"/>
  <c r="AA44" i="76" s="1"/>
  <c r="AB44" i="69"/>
  <c r="Z20" i="76"/>
  <c r="Z36" i="76" s="1"/>
  <c r="AD66" i="69"/>
  <c r="AB126" i="76"/>
  <c r="AC65" i="69"/>
  <c r="AA125" i="76"/>
  <c r="AC54" i="69"/>
  <c r="AA30" i="76"/>
  <c r="AA46" i="76" s="1"/>
  <c r="AD45" i="69"/>
  <c r="AB21" i="76"/>
  <c r="AB37" i="76" s="1"/>
  <c r="K70" i="69"/>
  <c r="K121" i="76"/>
  <c r="N70" i="69"/>
  <c r="N121" i="76"/>
  <c r="Z48" i="69"/>
  <c r="X24" i="76"/>
  <c r="X40" i="76" s="1"/>
  <c r="Z66" i="69"/>
  <c r="X126" i="76"/>
  <c r="M70" i="69"/>
  <c r="M121" i="76"/>
  <c r="N117" i="69"/>
  <c r="N155" i="76"/>
  <c r="L117" i="69"/>
  <c r="L155" i="76"/>
  <c r="AE122" i="69"/>
  <c r="AC171" i="76"/>
  <c r="AC125" i="69"/>
  <c r="AA174" i="76"/>
  <c r="F116" i="69"/>
  <c r="F154" i="76"/>
  <c r="AG118" i="69"/>
  <c r="AE167" i="76"/>
  <c r="Z119" i="69"/>
  <c r="X168" i="76"/>
  <c r="AF119" i="69"/>
  <c r="AD168" i="76"/>
  <c r="AE116" i="69"/>
  <c r="AC165" i="76"/>
  <c r="X123" i="69"/>
  <c r="V172" i="76"/>
  <c r="AC120" i="69"/>
  <c r="AA169" i="76"/>
  <c r="Z126" i="69"/>
  <c r="X175" i="76"/>
  <c r="L52" i="69"/>
  <c r="L20" i="76"/>
  <c r="L33" i="76" s="1"/>
  <c r="J55" i="69"/>
  <c r="J23" i="76"/>
  <c r="J36" i="76" s="1"/>
  <c r="AC46" i="69"/>
  <c r="K54" i="69"/>
  <c r="K22" i="76"/>
  <c r="K35" i="76" s="1"/>
  <c r="E55" i="69"/>
  <c r="E23" i="76"/>
  <c r="E36" i="76" s="1"/>
  <c r="I54" i="69"/>
  <c r="I22" i="76"/>
  <c r="I35" i="76" s="1"/>
  <c r="N54" i="69"/>
  <c r="N22" i="76"/>
  <c r="N35" i="76" s="1"/>
  <c r="I52" i="69"/>
  <c r="I20" i="76"/>
  <c r="I33" i="76" s="1"/>
  <c r="N52" i="69"/>
  <c r="N20" i="76"/>
  <c r="N33" i="76" s="1"/>
  <c r="Z46" i="69"/>
  <c r="K52" i="69"/>
  <c r="K20" i="76"/>
  <c r="K33" i="76" s="1"/>
  <c r="F55" i="69"/>
  <c r="F23" i="76"/>
  <c r="F36" i="76" s="1"/>
  <c r="I53" i="69"/>
  <c r="I21" i="76"/>
  <c r="I34" i="76" s="1"/>
  <c r="H52" i="69"/>
  <c r="H20" i="76"/>
  <c r="H33" i="76" s="1"/>
  <c r="N55" i="69"/>
  <c r="N23" i="76"/>
  <c r="N36" i="76" s="1"/>
  <c r="G55" i="69"/>
  <c r="G23" i="76"/>
  <c r="G36" i="76" s="1"/>
  <c r="K53" i="69"/>
  <c r="K21" i="76"/>
  <c r="K34" i="76" s="1"/>
  <c r="M55" i="69"/>
  <c r="M23" i="76"/>
  <c r="M36" i="76" s="1"/>
  <c r="AE46" i="69"/>
  <c r="E52" i="69"/>
  <c r="E20" i="76"/>
  <c r="E33" i="76" s="1"/>
  <c r="L55" i="69"/>
  <c r="L23" i="76"/>
  <c r="L36" i="76" s="1"/>
  <c r="F53" i="69"/>
  <c r="F21" i="76"/>
  <c r="F34" i="76" s="1"/>
  <c r="E54" i="69"/>
  <c r="E22" i="76"/>
  <c r="E35" i="76" s="1"/>
  <c r="J54" i="69"/>
  <c r="J22" i="76"/>
  <c r="J35" i="76" s="1"/>
  <c r="AA46" i="69"/>
  <c r="H54" i="69"/>
  <c r="H22" i="76"/>
  <c r="H35" i="76" s="1"/>
  <c r="I55" i="69"/>
  <c r="I23" i="76"/>
  <c r="I36" i="76" s="1"/>
  <c r="F52" i="69"/>
  <c r="F20" i="76"/>
  <c r="F33" i="76" s="1"/>
  <c r="L54" i="69"/>
  <c r="L22" i="76"/>
  <c r="L35" i="76" s="1"/>
  <c r="M52" i="69"/>
  <c r="M20" i="76"/>
  <c r="M33" i="76" s="1"/>
  <c r="G53" i="69"/>
  <c r="G21" i="76"/>
  <c r="G34" i="76" s="1"/>
  <c r="E53" i="69"/>
  <c r="E21" i="76"/>
  <c r="E34" i="76" s="1"/>
  <c r="J52" i="69"/>
  <c r="J20" i="76"/>
  <c r="J33" i="76" s="1"/>
  <c r="H55" i="69"/>
  <c r="H23" i="76"/>
  <c r="H36" i="76" s="1"/>
  <c r="X46" i="69"/>
  <c r="Y46" i="69"/>
  <c r="M53" i="69"/>
  <c r="M21" i="76"/>
  <c r="M34" i="76" s="1"/>
  <c r="N53" i="69"/>
  <c r="N21" i="76"/>
  <c r="N34" i="76" s="1"/>
  <c r="G54" i="69"/>
  <c r="G22" i="76"/>
  <c r="G35" i="76" s="1"/>
  <c r="L53" i="69"/>
  <c r="L85" i="69" s="1"/>
  <c r="L21" i="76"/>
  <c r="L34" i="76" s="1"/>
  <c r="AB46" i="69"/>
  <c r="AB78" i="69" s="1"/>
  <c r="AD46" i="69"/>
  <c r="M54" i="69"/>
  <c r="M22" i="76"/>
  <c r="M35" i="76" s="1"/>
  <c r="G52" i="69"/>
  <c r="G20" i="76"/>
  <c r="G33" i="76" s="1"/>
  <c r="F54" i="69"/>
  <c r="F22" i="76"/>
  <c r="F35" i="76" s="1"/>
  <c r="AF46" i="69"/>
  <c r="J53" i="69"/>
  <c r="J21" i="76"/>
  <c r="J34" i="76" s="1"/>
  <c r="K55" i="69"/>
  <c r="K23" i="76"/>
  <c r="K36" i="76" s="1"/>
  <c r="H53" i="69"/>
  <c r="H21" i="76"/>
  <c r="H34" i="76" s="1"/>
  <c r="AB133" i="69" l="1"/>
  <c r="AC191" i="69" s="1"/>
  <c r="AC265" i="69" s="1"/>
  <c r="L132" i="69"/>
  <c r="M182" i="69" s="1"/>
  <c r="M240" i="69" s="1"/>
  <c r="AE78" i="69"/>
  <c r="AE133" i="69" s="1"/>
  <c r="AF179" i="69" s="1"/>
  <c r="AF253" i="69" s="1"/>
  <c r="E85" i="69"/>
  <c r="E132" i="69" s="1"/>
  <c r="F178" i="69" s="1"/>
  <c r="F236" i="69" s="1"/>
  <c r="AA80" i="69"/>
  <c r="AA135" i="69" s="1"/>
  <c r="AB181" i="69" s="1"/>
  <c r="AB255" i="69" s="1"/>
  <c r="F84" i="69"/>
  <c r="F131" i="69" s="1"/>
  <c r="G181" i="69" s="1"/>
  <c r="G239" i="69" s="1"/>
  <c r="X83" i="69"/>
  <c r="X138" i="69" s="1"/>
  <c r="Y196" i="69" s="1"/>
  <c r="Y270" i="69" s="1"/>
  <c r="Z87" i="69"/>
  <c r="Z142" i="69" s="1"/>
  <c r="AA200" i="69" s="1"/>
  <c r="AA274" i="69" s="1"/>
  <c r="H85" i="69"/>
  <c r="H132" i="69" s="1"/>
  <c r="I182" i="69" s="1"/>
  <c r="I240" i="69" s="1"/>
  <c r="Z78" i="69"/>
  <c r="Z133" i="69" s="1"/>
  <c r="AA179" i="69" s="1"/>
  <c r="AA253" i="69" s="1"/>
  <c r="AB85" i="69"/>
  <c r="AB140" i="69" s="1"/>
  <c r="AC198" i="69" s="1"/>
  <c r="AC272" i="69" s="1"/>
  <c r="J87" i="69"/>
  <c r="J134" i="69" s="1"/>
  <c r="K180" i="69" s="1"/>
  <c r="K238" i="69" s="1"/>
  <c r="X77" i="69"/>
  <c r="X132" i="69" s="1"/>
  <c r="Y190" i="69" s="1"/>
  <c r="Y264" i="69" s="1"/>
  <c r="AG85" i="69"/>
  <c r="AG140" i="69" s="1"/>
  <c r="AH186" i="69" s="1"/>
  <c r="AH260" i="69" s="1"/>
  <c r="AC78" i="69"/>
  <c r="AC133" i="69" s="1"/>
  <c r="AD179" i="69" s="1"/>
  <c r="AD253" i="69" s="1"/>
  <c r="AG79" i="69"/>
  <c r="AG134" i="69" s="1"/>
  <c r="AH180" i="69" s="1"/>
  <c r="AH254" i="69" s="1"/>
  <c r="Z85" i="69"/>
  <c r="Z140" i="69" s="1"/>
  <c r="AA198" i="69" s="1"/>
  <c r="AA272" i="69" s="1"/>
  <c r="Y81" i="69"/>
  <c r="Y136" i="69" s="1"/>
  <c r="Z194" i="69" s="1"/>
  <c r="Z268" i="69" s="1"/>
  <c r="AB77" i="69"/>
  <c r="AB132" i="69" s="1"/>
  <c r="AC190" i="69" s="1"/>
  <c r="AC264" i="69" s="1"/>
  <c r="AF87" i="69"/>
  <c r="AF142" i="69" s="1"/>
  <c r="AG200" i="69" s="1"/>
  <c r="AG274" i="69" s="1"/>
  <c r="G86" i="69"/>
  <c r="G133" i="69" s="1"/>
  <c r="H183" i="69" s="1"/>
  <c r="H241" i="69" s="1"/>
  <c r="G87" i="69"/>
  <c r="G134" i="69" s="1"/>
  <c r="H180" i="69" s="1"/>
  <c r="H238" i="69" s="1"/>
  <c r="L84" i="69"/>
  <c r="L131" i="69" s="1"/>
  <c r="M177" i="69" s="1"/>
  <c r="M235" i="69" s="1"/>
  <c r="AA77" i="69"/>
  <c r="AA132" i="69" s="1"/>
  <c r="AB190" i="69" s="1"/>
  <c r="AB264" i="69" s="1"/>
  <c r="Y87" i="69"/>
  <c r="Y142" i="69" s="1"/>
  <c r="Z200" i="69" s="1"/>
  <c r="Z274" i="69" s="1"/>
  <c r="Z86" i="69"/>
  <c r="Z141" i="69" s="1"/>
  <c r="AA199" i="69" s="1"/>
  <c r="AA273" i="69" s="1"/>
  <c r="AC80" i="69"/>
  <c r="AC135" i="69" s="1"/>
  <c r="AD193" i="69" s="1"/>
  <c r="AD267" i="69" s="1"/>
  <c r="X87" i="69"/>
  <c r="X142" i="69" s="1"/>
  <c r="Y188" i="69" s="1"/>
  <c r="Y262" i="69" s="1"/>
  <c r="AC83" i="69"/>
  <c r="AC138" i="69" s="1"/>
  <c r="AD184" i="69" s="1"/>
  <c r="AD258" i="69" s="1"/>
  <c r="AA82" i="69"/>
  <c r="AA137" i="69" s="1"/>
  <c r="AB195" i="69" s="1"/>
  <c r="AB269" i="69" s="1"/>
  <c r="AF86" i="69"/>
  <c r="AF141" i="69" s="1"/>
  <c r="AG187" i="69" s="1"/>
  <c r="AG261" i="69" s="1"/>
  <c r="AA78" i="69"/>
  <c r="AA133" i="69" s="1"/>
  <c r="AB191" i="69" s="1"/>
  <c r="AB265" i="69" s="1"/>
  <c r="AA86" i="69"/>
  <c r="AA141" i="69" s="1"/>
  <c r="AB199" i="69" s="1"/>
  <c r="AB273" i="69" s="1"/>
  <c r="AG84" i="69"/>
  <c r="AG139" i="69" s="1"/>
  <c r="AH185" i="69" s="1"/>
  <c r="AH259" i="69" s="1"/>
  <c r="AG80" i="69"/>
  <c r="AG135" i="69" s="1"/>
  <c r="AH193" i="69" s="1"/>
  <c r="AH267" i="69" s="1"/>
  <c r="N84" i="69"/>
  <c r="N131" i="69" s="1"/>
  <c r="O177" i="69" s="1"/>
  <c r="O235" i="69" s="1"/>
  <c r="K86" i="69"/>
  <c r="K133" i="69" s="1"/>
  <c r="L183" i="69" s="1"/>
  <c r="L241" i="69" s="1"/>
  <c r="H86" i="69"/>
  <c r="H133" i="69" s="1"/>
  <c r="I183" i="69" s="1"/>
  <c r="I241" i="69" s="1"/>
  <c r="M87" i="69"/>
  <c r="M134" i="69" s="1"/>
  <c r="N184" i="69" s="1"/>
  <c r="N242" i="69" s="1"/>
  <c r="AC86" i="69"/>
  <c r="AC141" i="69" s="1"/>
  <c r="AD187" i="69" s="1"/>
  <c r="AD261" i="69" s="1"/>
  <c r="Y85" i="69"/>
  <c r="Y140" i="69" s="1"/>
  <c r="Z198" i="69" s="1"/>
  <c r="Z272" i="69" s="1"/>
  <c r="X85" i="69"/>
  <c r="X140" i="69" s="1"/>
  <c r="Y186" i="69" s="1"/>
  <c r="Y260" i="69" s="1"/>
  <c r="AB86" i="69"/>
  <c r="AB141" i="69" s="1"/>
  <c r="AC199" i="69" s="1"/>
  <c r="AC273" i="69" s="1"/>
  <c r="J84" i="69"/>
  <c r="J131" i="69" s="1"/>
  <c r="K181" i="69" s="1"/>
  <c r="K239" i="69" s="1"/>
  <c r="K84" i="69"/>
  <c r="K131" i="69" s="1"/>
  <c r="L177" i="69" s="1"/>
  <c r="L235" i="69" s="1"/>
  <c r="AA81" i="69"/>
  <c r="AA136" i="69" s="1"/>
  <c r="AB194" i="69" s="1"/>
  <c r="AB268" i="69" s="1"/>
  <c r="AF77" i="69"/>
  <c r="AF132" i="69" s="1"/>
  <c r="AG178" i="69" s="1"/>
  <c r="AG252" i="69" s="1"/>
  <c r="Z82" i="69"/>
  <c r="Z137" i="69" s="1"/>
  <c r="AA195" i="69" s="1"/>
  <c r="AA269" i="69" s="1"/>
  <c r="AA76" i="69"/>
  <c r="AA131" i="69" s="1"/>
  <c r="AB177" i="69" s="1"/>
  <c r="AB251" i="69" s="1"/>
  <c r="AC76" i="69"/>
  <c r="AC131" i="69" s="1"/>
  <c r="AD177" i="69" s="1"/>
  <c r="AD251" i="69" s="1"/>
  <c r="Z83" i="69"/>
  <c r="Z138" i="69" s="1"/>
  <c r="AA184" i="69" s="1"/>
  <c r="AA258" i="69" s="1"/>
  <c r="AG83" i="69"/>
  <c r="AG138" i="69" s="1"/>
  <c r="AH196" i="69" s="1"/>
  <c r="AH270" i="69" s="1"/>
  <c r="AA87" i="69"/>
  <c r="AA142" i="69" s="1"/>
  <c r="AB200" i="69" s="1"/>
  <c r="AB274" i="69" s="1"/>
  <c r="AD84" i="69"/>
  <c r="AD139" i="69" s="1"/>
  <c r="AE185" i="69" s="1"/>
  <c r="AE259" i="69" s="1"/>
  <c r="N86" i="69"/>
  <c r="N133" i="69" s="1"/>
  <c r="O183" i="69" s="1"/>
  <c r="O241" i="69" s="1"/>
  <c r="AE79" i="69"/>
  <c r="AE134" i="69" s="1"/>
  <c r="AF180" i="69" s="1"/>
  <c r="AF254" i="69" s="1"/>
  <c r="G84" i="69"/>
  <c r="G131" i="69" s="1"/>
  <c r="H181" i="69" s="1"/>
  <c r="H239" i="69" s="1"/>
  <c r="AD86" i="69"/>
  <c r="AD141" i="69" s="1"/>
  <c r="AE187" i="69" s="1"/>
  <c r="AE261" i="69" s="1"/>
  <c r="AD78" i="69"/>
  <c r="AD133" i="69" s="1"/>
  <c r="AE179" i="69" s="1"/>
  <c r="AE253" i="69" s="1"/>
  <c r="J85" i="69"/>
  <c r="J132" i="69" s="1"/>
  <c r="K178" i="69" s="1"/>
  <c r="K236" i="69" s="1"/>
  <c r="I84" i="69"/>
  <c r="I131" i="69" s="1"/>
  <c r="J177" i="69" s="1"/>
  <c r="J235" i="69" s="1"/>
  <c r="N87" i="69"/>
  <c r="N134" i="69" s="1"/>
  <c r="O180" i="69" s="1"/>
  <c r="O238" i="69" s="1"/>
  <c r="AA85" i="69"/>
  <c r="AA140" i="69" s="1"/>
  <c r="AB186" i="69" s="1"/>
  <c r="AB260" i="69" s="1"/>
  <c r="AE77" i="69"/>
  <c r="AE132" i="69" s="1"/>
  <c r="AF190" i="69" s="1"/>
  <c r="AF264" i="69" s="1"/>
  <c r="Y82" i="69"/>
  <c r="Y137" i="69" s="1"/>
  <c r="Z195" i="69" s="1"/>
  <c r="Z269" i="69" s="1"/>
  <c r="Y80" i="69"/>
  <c r="Y135" i="69" s="1"/>
  <c r="Z181" i="69" s="1"/>
  <c r="Z255" i="69" s="1"/>
  <c r="Z81" i="69"/>
  <c r="Z136" i="69" s="1"/>
  <c r="AA182" i="69" s="1"/>
  <c r="AA256" i="69" s="1"/>
  <c r="AE84" i="69"/>
  <c r="AE139" i="69" s="1"/>
  <c r="AF185" i="69" s="1"/>
  <c r="AF259" i="69" s="1"/>
  <c r="K85" i="69"/>
  <c r="K132" i="69" s="1"/>
  <c r="L178" i="69" s="1"/>
  <c r="L236" i="69" s="1"/>
  <c r="AG76" i="69"/>
  <c r="AG131" i="69" s="1"/>
  <c r="AH189" i="69" s="1"/>
  <c r="AH263" i="69" s="1"/>
  <c r="J86" i="69"/>
  <c r="J133" i="69" s="1"/>
  <c r="K183" i="69" s="1"/>
  <c r="K241" i="69" s="1"/>
  <c r="G85" i="69"/>
  <c r="G132" i="69" s="1"/>
  <c r="H182" i="69" s="1"/>
  <c r="H240" i="69" s="1"/>
  <c r="AA83" i="69"/>
  <c r="AA138" i="69" s="1"/>
  <c r="AB196" i="69" s="1"/>
  <c r="AB270" i="69" s="1"/>
  <c r="Y78" i="69"/>
  <c r="Y133" i="69" s="1"/>
  <c r="Z191" i="69" s="1"/>
  <c r="Z265" i="69" s="1"/>
  <c r="F87" i="69"/>
  <c r="F134" i="69" s="1"/>
  <c r="G184" i="69" s="1"/>
  <c r="G242" i="69" s="1"/>
  <c r="AB82" i="69"/>
  <c r="AB137" i="69" s="1"/>
  <c r="AC183" i="69" s="1"/>
  <c r="AC257" i="69" s="1"/>
  <c r="AG82" i="69"/>
  <c r="AG137" i="69" s="1"/>
  <c r="AH183" i="69" s="1"/>
  <c r="AH257" i="69" s="1"/>
  <c r="AC77" i="69"/>
  <c r="AC132" i="69" s="1"/>
  <c r="AD190" i="69" s="1"/>
  <c r="AD264" i="69" s="1"/>
  <c r="AD85" i="69"/>
  <c r="AD140" i="69" s="1"/>
  <c r="AE186" i="69" s="1"/>
  <c r="AE260" i="69" s="1"/>
  <c r="I85" i="69"/>
  <c r="I132" i="69" s="1"/>
  <c r="J182" i="69" s="1"/>
  <c r="J240" i="69" s="1"/>
  <c r="AF84" i="69"/>
  <c r="AF139" i="69" s="1"/>
  <c r="AG185" i="69" s="1"/>
  <c r="AG259" i="69" s="1"/>
  <c r="Y76" i="69"/>
  <c r="Y131" i="69" s="1"/>
  <c r="Z189" i="69" s="1"/>
  <c r="Z263" i="69" s="1"/>
  <c r="X86" i="69"/>
  <c r="X141" i="69" s="1"/>
  <c r="Y199" i="69" s="1"/>
  <c r="Y273" i="69" s="1"/>
  <c r="Z79" i="69"/>
  <c r="Z134" i="69" s="1"/>
  <c r="AA180" i="69" s="1"/>
  <c r="AA254" i="69" s="1"/>
  <c r="AA84" i="69"/>
  <c r="AA139" i="69" s="1"/>
  <c r="AB185" i="69" s="1"/>
  <c r="AB259" i="69" s="1"/>
  <c r="AD81" i="69"/>
  <c r="AD136" i="69" s="1"/>
  <c r="AE194" i="69" s="1"/>
  <c r="AE268" i="69" s="1"/>
  <c r="I86" i="69"/>
  <c r="I133" i="69" s="1"/>
  <c r="J183" i="69" s="1"/>
  <c r="J241" i="69" s="1"/>
  <c r="E87" i="69"/>
  <c r="E134" i="69" s="1"/>
  <c r="F180" i="69" s="1"/>
  <c r="F238" i="69" s="1"/>
  <c r="L87" i="69"/>
  <c r="L134" i="69" s="1"/>
  <c r="M184" i="69" s="1"/>
  <c r="M242" i="69" s="1"/>
  <c r="I87" i="69"/>
  <c r="I134" i="69" s="1"/>
  <c r="J180" i="69" s="1"/>
  <c r="J238" i="69" s="1"/>
  <c r="AD77" i="69"/>
  <c r="AD132" i="69" s="1"/>
  <c r="AE178" i="69" s="1"/>
  <c r="AE252" i="69" s="1"/>
  <c r="AG77" i="69"/>
  <c r="AG132" i="69" s="1"/>
  <c r="AH190" i="69" s="1"/>
  <c r="AH264" i="69" s="1"/>
  <c r="Y86" i="69"/>
  <c r="Y141" i="69" s="1"/>
  <c r="Z199" i="69" s="1"/>
  <c r="Z273" i="69" s="1"/>
  <c r="Y77" i="69"/>
  <c r="Y132" i="69" s="1"/>
  <c r="Z178" i="69" s="1"/>
  <c r="Z252" i="69" s="1"/>
  <c r="AD79" i="69"/>
  <c r="AD134" i="69" s="1"/>
  <c r="AE180" i="69" s="1"/>
  <c r="AE254" i="69" s="1"/>
  <c r="X79" i="69"/>
  <c r="X134" i="69" s="1"/>
  <c r="Y180" i="69" s="1"/>
  <c r="Y254" i="69" s="1"/>
  <c r="AB87" i="69"/>
  <c r="AB142" i="69" s="1"/>
  <c r="AC200" i="69" s="1"/>
  <c r="AC274" i="69" s="1"/>
  <c r="X84" i="69"/>
  <c r="X139" i="69" s="1"/>
  <c r="Y197" i="69" s="1"/>
  <c r="Y271" i="69" s="1"/>
  <c r="Y84" i="69"/>
  <c r="Y139" i="69" s="1"/>
  <c r="Z185" i="69" s="1"/>
  <c r="Z259" i="69" s="1"/>
  <c r="Z77" i="69"/>
  <c r="Z132" i="69" s="1"/>
  <c r="AA190" i="69" s="1"/>
  <c r="AA264" i="69" s="1"/>
  <c r="AF80" i="69"/>
  <c r="AF135" i="69" s="1"/>
  <c r="AG181" i="69" s="1"/>
  <c r="AG255" i="69" s="1"/>
  <c r="AG81" i="69"/>
  <c r="AG136" i="69" s="1"/>
  <c r="AH182" i="69" s="1"/>
  <c r="AH256" i="69" s="1"/>
  <c r="X81" i="69"/>
  <c r="X136" i="69" s="1"/>
  <c r="Y194" i="69" s="1"/>
  <c r="Y268" i="69" s="1"/>
  <c r="AD83" i="69"/>
  <c r="AD138" i="69" s="1"/>
  <c r="AE196" i="69" s="1"/>
  <c r="AE270" i="69" s="1"/>
  <c r="E86" i="69"/>
  <c r="E133" i="69" s="1"/>
  <c r="F183" i="69" s="1"/>
  <c r="F241" i="69" s="1"/>
  <c r="AF78" i="69"/>
  <c r="AF133" i="69" s="1"/>
  <c r="AG191" i="69" s="1"/>
  <c r="AG265" i="69" s="1"/>
  <c r="N85" i="69"/>
  <c r="N132" i="69" s="1"/>
  <c r="O182" i="69" s="1"/>
  <c r="O240" i="69" s="1"/>
  <c r="M84" i="69"/>
  <c r="M131" i="69" s="1"/>
  <c r="N181" i="69" s="1"/>
  <c r="N239" i="69" s="1"/>
  <c r="Z80" i="69"/>
  <c r="Z135" i="69" s="1"/>
  <c r="AA193" i="69" s="1"/>
  <c r="AA267" i="69" s="1"/>
  <c r="AB76" i="69"/>
  <c r="AB131" i="69" s="1"/>
  <c r="AC177" i="69" s="1"/>
  <c r="AC251" i="69" s="1"/>
  <c r="AA79" i="69"/>
  <c r="AA134" i="69" s="1"/>
  <c r="AB180" i="69" s="1"/>
  <c r="AB254" i="69" s="1"/>
  <c r="X76" i="69"/>
  <c r="X131" i="69" s="1"/>
  <c r="Y177" i="69" s="1"/>
  <c r="Y251" i="69" s="1"/>
  <c r="AB83" i="69"/>
  <c r="AB138" i="69" s="1"/>
  <c r="AC184" i="69" s="1"/>
  <c r="AC258" i="69" s="1"/>
  <c r="AF76" i="69"/>
  <c r="AF131" i="69" s="1"/>
  <c r="AG177" i="69" s="1"/>
  <c r="AG251" i="69" s="1"/>
  <c r="AE87" i="69"/>
  <c r="AE142" i="69" s="1"/>
  <c r="AF200" i="69" s="1"/>
  <c r="AF274" i="69" s="1"/>
  <c r="AD87" i="69"/>
  <c r="AD142" i="69" s="1"/>
  <c r="AE200" i="69" s="1"/>
  <c r="AE274" i="69" s="1"/>
  <c r="AF85" i="69"/>
  <c r="AF140" i="69" s="1"/>
  <c r="AG198" i="69" s="1"/>
  <c r="AG272" i="69" s="1"/>
  <c r="AE82" i="69"/>
  <c r="AE137" i="69" s="1"/>
  <c r="AF195" i="69" s="1"/>
  <c r="AF269" i="69" s="1"/>
  <c r="AF79" i="69"/>
  <c r="AF134" i="69" s="1"/>
  <c r="AG180" i="69" s="1"/>
  <c r="AG254" i="69" s="1"/>
  <c r="AD76" i="69"/>
  <c r="AD131" i="69" s="1"/>
  <c r="AE189" i="69" s="1"/>
  <c r="AE263" i="69" s="1"/>
  <c r="Z84" i="69"/>
  <c r="Z139" i="69" s="1"/>
  <c r="AA197" i="69" s="1"/>
  <c r="AA271" i="69" s="1"/>
  <c r="Y79" i="69"/>
  <c r="Y134" i="69" s="1"/>
  <c r="Z180" i="69" s="1"/>
  <c r="Z254" i="69" s="1"/>
  <c r="AD80" i="69"/>
  <c r="AD135" i="69" s="1"/>
  <c r="AE181" i="69" s="1"/>
  <c r="AE255" i="69" s="1"/>
  <c r="AE81" i="69"/>
  <c r="AE136" i="69" s="1"/>
  <c r="AF182" i="69" s="1"/>
  <c r="AF256" i="69" s="1"/>
  <c r="F85" i="69"/>
  <c r="F132" i="69" s="1"/>
  <c r="G182" i="69" s="1"/>
  <c r="G240" i="69" s="1"/>
  <c r="F86" i="69"/>
  <c r="F133" i="69" s="1"/>
  <c r="G183" i="69" s="1"/>
  <c r="G241" i="69" s="1"/>
  <c r="M85" i="69"/>
  <c r="M132" i="69" s="1"/>
  <c r="N178" i="69" s="1"/>
  <c r="N236" i="69" s="1"/>
  <c r="L86" i="69"/>
  <c r="L133" i="69" s="1"/>
  <c r="M183" i="69" s="1"/>
  <c r="M241" i="69" s="1"/>
  <c r="H84" i="69"/>
  <c r="H131" i="69" s="1"/>
  <c r="I177" i="69" s="1"/>
  <c r="I235" i="69" s="1"/>
  <c r="AC84" i="69"/>
  <c r="AC139" i="69" s="1"/>
  <c r="AD185" i="69" s="1"/>
  <c r="AD259" i="69" s="1"/>
  <c r="AE86" i="69"/>
  <c r="AE141" i="69" s="1"/>
  <c r="AF199" i="69" s="1"/>
  <c r="AF273" i="69" s="1"/>
  <c r="X82" i="69"/>
  <c r="X137" i="69" s="1"/>
  <c r="Y195" i="69" s="1"/>
  <c r="Y269" i="69" s="1"/>
  <c r="AF81" i="69"/>
  <c r="AF136" i="69" s="1"/>
  <c r="AG182" i="69" s="1"/>
  <c r="AG256" i="69" s="1"/>
  <c r="AB80" i="69"/>
  <c r="AB135" i="69" s="1"/>
  <c r="AC193" i="69" s="1"/>
  <c r="AC267" i="69" s="1"/>
  <c r="AC87" i="69"/>
  <c r="AC142" i="69" s="1"/>
  <c r="AD188" i="69" s="1"/>
  <c r="AD262" i="69" s="1"/>
  <c r="AB79" i="69"/>
  <c r="AB134" i="69" s="1"/>
  <c r="AC180" i="69" s="1"/>
  <c r="AC254" i="69" s="1"/>
  <c r="AE85" i="69"/>
  <c r="AE140" i="69" s="1"/>
  <c r="AF198" i="69" s="1"/>
  <c r="AF272" i="69" s="1"/>
  <c r="AB81" i="69"/>
  <c r="AB136" i="69" s="1"/>
  <c r="AC182" i="69" s="1"/>
  <c r="AC256" i="69" s="1"/>
  <c r="AC82" i="69"/>
  <c r="AC137" i="69" s="1"/>
  <c r="AD183" i="69" s="1"/>
  <c r="AD257" i="69" s="1"/>
  <c r="K87" i="69"/>
  <c r="K134" i="69" s="1"/>
  <c r="L180" i="69" s="1"/>
  <c r="L238" i="69" s="1"/>
  <c r="X78" i="69"/>
  <c r="X133" i="69" s="1"/>
  <c r="Y179" i="69" s="1"/>
  <c r="Y253" i="69" s="1"/>
  <c r="AE80" i="69"/>
  <c r="AE135" i="69" s="1"/>
  <c r="AF193" i="69" s="1"/>
  <c r="AF267" i="69" s="1"/>
  <c r="AC85" i="69"/>
  <c r="AC140" i="69" s="1"/>
  <c r="AD198" i="69" s="1"/>
  <c r="AD272" i="69" s="1"/>
  <c r="AG78" i="69"/>
  <c r="AG133" i="69" s="1"/>
  <c r="AH179" i="69" s="1"/>
  <c r="AH253" i="69" s="1"/>
  <c r="AG87" i="69"/>
  <c r="AG142" i="69" s="1"/>
  <c r="AH200" i="69" s="1"/>
  <c r="AH274" i="69" s="1"/>
  <c r="AD82" i="69"/>
  <c r="AD137" i="69" s="1"/>
  <c r="AE183" i="69" s="1"/>
  <c r="AE257" i="69" s="1"/>
  <c r="AC81" i="69"/>
  <c r="AC136" i="69" s="1"/>
  <c r="AD194" i="69" s="1"/>
  <c r="AD268" i="69" s="1"/>
  <c r="AF83" i="69"/>
  <c r="AF138" i="69" s="1"/>
  <c r="AG184" i="69" s="1"/>
  <c r="AG258" i="69" s="1"/>
  <c r="E84" i="69"/>
  <c r="E131" i="69" s="1"/>
  <c r="F181" i="69" s="1"/>
  <c r="F239" i="69" s="1"/>
  <c r="AB84" i="69"/>
  <c r="AB139" i="69" s="1"/>
  <c r="AC185" i="69" s="1"/>
  <c r="AC259" i="69" s="1"/>
  <c r="M86" i="69"/>
  <c r="M133" i="69" s="1"/>
  <c r="N179" i="69" s="1"/>
  <c r="N237" i="69" s="1"/>
  <c r="H87" i="69"/>
  <c r="H134" i="69" s="1"/>
  <c r="I184" i="69" s="1"/>
  <c r="I242" i="69" s="1"/>
  <c r="Z76" i="69"/>
  <c r="Z131" i="69" s="1"/>
  <c r="AA177" i="69" s="1"/>
  <c r="AA251" i="69" s="1"/>
  <c r="AC79" i="69"/>
  <c r="AC134" i="69" s="1"/>
  <c r="AD180" i="69" s="1"/>
  <c r="AD254" i="69" s="1"/>
  <c r="X80" i="69"/>
  <c r="X135" i="69" s="1"/>
  <c r="Y181" i="69" s="1"/>
  <c r="Y255" i="69" s="1"/>
  <c r="Y83" i="69"/>
  <c r="Y138" i="69" s="1"/>
  <c r="Z184" i="69" s="1"/>
  <c r="Z258" i="69" s="1"/>
  <c r="AE76" i="69"/>
  <c r="AE131" i="69" s="1"/>
  <c r="AF189" i="69" s="1"/>
  <c r="AF263" i="69" s="1"/>
  <c r="AG86" i="69"/>
  <c r="AG141" i="69" s="1"/>
  <c r="AH199" i="69" s="1"/>
  <c r="AH273" i="69" s="1"/>
  <c r="AF82" i="69"/>
  <c r="AF137" i="69" s="1"/>
  <c r="AG195" i="69" s="1"/>
  <c r="AG269" i="69" s="1"/>
  <c r="AE83" i="69"/>
  <c r="AE138" i="69" s="1"/>
  <c r="AF184" i="69" s="1"/>
  <c r="AF258" i="69" s="1"/>
  <c r="Z58" i="76"/>
  <c r="A39" i="74"/>
  <c r="A38" i="74"/>
  <c r="A37" i="74"/>
  <c r="A36" i="74"/>
  <c r="A33" i="74"/>
  <c r="A30" i="74"/>
  <c r="A29" i="74"/>
  <c r="A28" i="74"/>
  <c r="A27" i="74"/>
  <c r="A26" i="74"/>
  <c r="A25" i="74"/>
  <c r="A24" i="74"/>
  <c r="A19" i="74"/>
  <c r="A18" i="74"/>
  <c r="A15" i="74"/>
  <c r="A14" i="74"/>
  <c r="A13" i="74"/>
  <c r="A12" i="74"/>
  <c r="A11" i="74"/>
  <c r="A10" i="74"/>
  <c r="A9" i="74"/>
  <c r="A8" i="74"/>
  <c r="A7" i="74"/>
  <c r="A4" i="74"/>
  <c r="M178" i="69" l="1"/>
  <c r="M236" i="69" s="1"/>
  <c r="AC179" i="69"/>
  <c r="AC253" i="69" s="1"/>
  <c r="AF191" i="69"/>
  <c r="AF265" i="69" s="1"/>
  <c r="AC58" i="76"/>
  <c r="AC74" i="76" s="1"/>
  <c r="AC138" i="76" s="1"/>
  <c r="AC198" i="76" s="1"/>
  <c r="AC250" i="76" s="1"/>
  <c r="AB193" i="69"/>
  <c r="AB267" i="69" s="1"/>
  <c r="F182" i="69"/>
  <c r="F240" i="69" s="1"/>
  <c r="Y60" i="76"/>
  <c r="Y76" i="76" s="1"/>
  <c r="Y140" i="76" s="1"/>
  <c r="Y200" i="76" s="1"/>
  <c r="Y252" i="76" s="1"/>
  <c r="G177" i="69"/>
  <c r="G235" i="69" s="1"/>
  <c r="Y184" i="69"/>
  <c r="Y258" i="69" s="1"/>
  <c r="V63" i="76"/>
  <c r="V79" i="76" s="1"/>
  <c r="V143" i="76" s="1"/>
  <c r="V203" i="76" s="1"/>
  <c r="V255" i="76" s="1"/>
  <c r="AA188" i="69"/>
  <c r="AA262" i="69" s="1"/>
  <c r="X67" i="76"/>
  <c r="X83" i="76" s="1"/>
  <c r="X147" i="76" s="1"/>
  <c r="X207" i="76" s="1"/>
  <c r="X259" i="76" s="1"/>
  <c r="I178" i="69"/>
  <c r="I236" i="69" s="1"/>
  <c r="K184" i="69"/>
  <c r="K242" i="69" s="1"/>
  <c r="AA191" i="69"/>
  <c r="AA265" i="69" s="1"/>
  <c r="AC186" i="69"/>
  <c r="AC260" i="69" s="1"/>
  <c r="H184" i="69"/>
  <c r="H242" i="69" s="1"/>
  <c r="H179" i="69"/>
  <c r="H237" i="69" s="1"/>
  <c r="AD191" i="69"/>
  <c r="AD265" i="69" s="1"/>
  <c r="Y178" i="69"/>
  <c r="Y252" i="69" s="1"/>
  <c r="G56" i="76"/>
  <c r="G64" i="76" s="1"/>
  <c r="G129" i="76" s="1"/>
  <c r="G171" i="76" s="1"/>
  <c r="G209" i="76" s="1"/>
  <c r="AH198" i="69"/>
  <c r="AH272" i="69" s="1"/>
  <c r="AH197" i="69"/>
  <c r="AH271" i="69" s="1"/>
  <c r="AH192" i="69"/>
  <c r="AH266" i="69" s="1"/>
  <c r="AB178" i="69"/>
  <c r="AB252" i="69" s="1"/>
  <c r="M181" i="69"/>
  <c r="M239" i="69" s="1"/>
  <c r="Y57" i="76"/>
  <c r="Y73" i="76" s="1"/>
  <c r="Y137" i="76" s="1"/>
  <c r="Y197" i="76" s="1"/>
  <c r="Y249" i="76" s="1"/>
  <c r="AA186" i="69"/>
  <c r="AA260" i="69" s="1"/>
  <c r="AA60" i="76"/>
  <c r="AA76" i="76" s="1"/>
  <c r="AA140" i="76" s="1"/>
  <c r="AA200" i="76" s="1"/>
  <c r="AA252" i="76" s="1"/>
  <c r="Z182" i="69"/>
  <c r="Z256" i="69" s="1"/>
  <c r="G57" i="76"/>
  <c r="G65" i="76" s="1"/>
  <c r="G130" i="76" s="1"/>
  <c r="G172" i="76" s="1"/>
  <c r="G210" i="76" s="1"/>
  <c r="AB187" i="69"/>
  <c r="AB261" i="69" s="1"/>
  <c r="AD181" i="69"/>
  <c r="AD255" i="69" s="1"/>
  <c r="Y200" i="69"/>
  <c r="Y274" i="69" s="1"/>
  <c r="AC178" i="69"/>
  <c r="AC252" i="69" s="1"/>
  <c r="Z188" i="69"/>
  <c r="Z262" i="69" s="1"/>
  <c r="W67" i="76"/>
  <c r="W83" i="76" s="1"/>
  <c r="W147" i="76" s="1"/>
  <c r="W207" i="76" s="1"/>
  <c r="W259" i="76" s="1"/>
  <c r="Z57" i="76"/>
  <c r="Z73" i="76" s="1"/>
  <c r="Z137" i="76" s="1"/>
  <c r="Z197" i="76" s="1"/>
  <c r="Z249" i="76" s="1"/>
  <c r="AB179" i="69"/>
  <c r="AB253" i="69" s="1"/>
  <c r="AG199" i="69"/>
  <c r="AG273" i="69" s="1"/>
  <c r="AD196" i="69"/>
  <c r="AD270" i="69" s="1"/>
  <c r="Y58" i="76"/>
  <c r="Y74" i="76" s="1"/>
  <c r="Y138" i="76" s="1"/>
  <c r="Y198" i="76" s="1"/>
  <c r="Y250" i="76" s="1"/>
  <c r="AG188" i="69"/>
  <c r="AG262" i="69" s="1"/>
  <c r="AB183" i="69"/>
  <c r="AB257" i="69" s="1"/>
  <c r="AA187" i="69"/>
  <c r="AA261" i="69" s="1"/>
  <c r="AD67" i="76"/>
  <c r="AD83" i="76" s="1"/>
  <c r="AD147" i="76" s="1"/>
  <c r="AD207" i="76" s="1"/>
  <c r="AD259" i="76" s="1"/>
  <c r="Y62" i="76"/>
  <c r="Y78" i="76" s="1"/>
  <c r="Y142" i="76" s="1"/>
  <c r="Y202" i="76" s="1"/>
  <c r="Y254" i="76" s="1"/>
  <c r="O181" i="69"/>
  <c r="O239" i="69" s="1"/>
  <c r="AH181" i="69"/>
  <c r="AH255" i="69" s="1"/>
  <c r="AA196" i="69"/>
  <c r="AA270" i="69" s="1"/>
  <c r="Z186" i="69"/>
  <c r="Z260" i="69" s="1"/>
  <c r="L179" i="69"/>
  <c r="L237" i="69" s="1"/>
  <c r="I179" i="69"/>
  <c r="I237" i="69" s="1"/>
  <c r="Y198" i="69"/>
  <c r="Y272" i="69" s="1"/>
  <c r="AA183" i="69"/>
  <c r="AA257" i="69" s="1"/>
  <c r="AF192" i="69"/>
  <c r="AF266" i="69" s="1"/>
  <c r="L181" i="69"/>
  <c r="L239" i="69" s="1"/>
  <c r="AB182" i="69"/>
  <c r="AB256" i="69" s="1"/>
  <c r="AB189" i="69"/>
  <c r="AB263" i="69" s="1"/>
  <c r="AC187" i="69"/>
  <c r="AC261" i="69" s="1"/>
  <c r="K177" i="69"/>
  <c r="K235" i="69" s="1"/>
  <c r="AD57" i="76"/>
  <c r="AD73" i="76" s="1"/>
  <c r="AD137" i="76" s="1"/>
  <c r="AD197" i="76" s="1"/>
  <c r="AD249" i="76" s="1"/>
  <c r="AD189" i="69"/>
  <c r="AD263" i="69" s="1"/>
  <c r="AD199" i="69"/>
  <c r="AD273" i="69" s="1"/>
  <c r="AG190" i="69"/>
  <c r="AG264" i="69" s="1"/>
  <c r="AF178" i="69"/>
  <c r="AF252" i="69" s="1"/>
  <c r="N180" i="69"/>
  <c r="N238" i="69" s="1"/>
  <c r="H56" i="76"/>
  <c r="H64" i="76" s="1"/>
  <c r="H129" i="76" s="1"/>
  <c r="H171" i="76" s="1"/>
  <c r="H209" i="76" s="1"/>
  <c r="AE197" i="69"/>
  <c r="AE271" i="69" s="1"/>
  <c r="AB188" i="69"/>
  <c r="AB262" i="69" s="1"/>
  <c r="AH184" i="69"/>
  <c r="AH258" i="69" s="1"/>
  <c r="O179" i="69"/>
  <c r="O237" i="69" s="1"/>
  <c r="J181" i="69"/>
  <c r="J239" i="69" s="1"/>
  <c r="AE191" i="69"/>
  <c r="AE265" i="69" s="1"/>
  <c r="H177" i="69"/>
  <c r="H235" i="69" s="1"/>
  <c r="AE199" i="69"/>
  <c r="AE273" i="69" s="1"/>
  <c r="AD178" i="69"/>
  <c r="AD252" i="69" s="1"/>
  <c r="AB198" i="69"/>
  <c r="AB272" i="69" s="1"/>
  <c r="AG194" i="69"/>
  <c r="AG268" i="69" s="1"/>
  <c r="K182" i="69"/>
  <c r="K240" i="69" s="1"/>
  <c r="AE190" i="69"/>
  <c r="AE264" i="69" s="1"/>
  <c r="I180" i="69"/>
  <c r="I238" i="69" s="1"/>
  <c r="AC188" i="69"/>
  <c r="AC262" i="69" s="1"/>
  <c r="J178" i="69"/>
  <c r="J236" i="69" s="1"/>
  <c r="AH178" i="69"/>
  <c r="AH252" i="69" s="1"/>
  <c r="N57" i="76"/>
  <c r="N65" i="76" s="1"/>
  <c r="N130" i="76" s="1"/>
  <c r="N172" i="76" s="1"/>
  <c r="N210" i="76" s="1"/>
  <c r="Y191" i="69"/>
  <c r="Y265" i="69" s="1"/>
  <c r="O184" i="69"/>
  <c r="O242" i="69" s="1"/>
  <c r="Z193" i="69"/>
  <c r="Z267" i="69" s="1"/>
  <c r="AF197" i="69"/>
  <c r="AF271" i="69" s="1"/>
  <c r="AE192" i="69"/>
  <c r="AE266" i="69" s="1"/>
  <c r="AA194" i="69"/>
  <c r="AA268" i="69" s="1"/>
  <c r="AB184" i="69"/>
  <c r="AB258" i="69" s="1"/>
  <c r="AG189" i="69"/>
  <c r="AG263" i="69" s="1"/>
  <c r="AD192" i="69"/>
  <c r="AD266" i="69" s="1"/>
  <c r="G178" i="69"/>
  <c r="G236" i="69" s="1"/>
  <c r="AA189" i="69"/>
  <c r="AA263" i="69" s="1"/>
  <c r="K55" i="76"/>
  <c r="K63" i="76" s="1"/>
  <c r="K128" i="76" s="1"/>
  <c r="K170" i="76" s="1"/>
  <c r="K208" i="76" s="1"/>
  <c r="L182" i="69"/>
  <c r="L240" i="69" s="1"/>
  <c r="AE56" i="76"/>
  <c r="AE72" i="76" s="1"/>
  <c r="AE136" i="76" s="1"/>
  <c r="AE196" i="76" s="1"/>
  <c r="AE248" i="76" s="1"/>
  <c r="Z183" i="69"/>
  <c r="Z257" i="69" s="1"/>
  <c r="AH177" i="69"/>
  <c r="AH251" i="69" s="1"/>
  <c r="AA59" i="76"/>
  <c r="AA75" i="76" s="1"/>
  <c r="AA139" i="76" s="1"/>
  <c r="AA199" i="76" s="1"/>
  <c r="AA251" i="76" s="1"/>
  <c r="AA192" i="69"/>
  <c r="AA266" i="69" s="1"/>
  <c r="H178" i="69"/>
  <c r="H236" i="69" s="1"/>
  <c r="F57" i="76"/>
  <c r="F65" i="76" s="1"/>
  <c r="F130" i="76" s="1"/>
  <c r="F172" i="76" s="1"/>
  <c r="F210" i="76" s="1"/>
  <c r="Z62" i="76"/>
  <c r="Z78" i="76" s="1"/>
  <c r="Z142" i="76" s="1"/>
  <c r="Z202" i="76" s="1"/>
  <c r="Z254" i="76" s="1"/>
  <c r="G180" i="69"/>
  <c r="G238" i="69" s="1"/>
  <c r="I57" i="76"/>
  <c r="I65" i="76" s="1"/>
  <c r="I130" i="76" s="1"/>
  <c r="I172" i="76" s="1"/>
  <c r="I210" i="76" s="1"/>
  <c r="J184" i="69"/>
  <c r="J242" i="69" s="1"/>
  <c r="AG179" i="69"/>
  <c r="AG253" i="69" s="1"/>
  <c r="Y63" i="76"/>
  <c r="Y79" i="76" s="1"/>
  <c r="Y143" i="76" s="1"/>
  <c r="Y203" i="76" s="1"/>
  <c r="Y255" i="76" s="1"/>
  <c r="Z179" i="69"/>
  <c r="Z253" i="69" s="1"/>
  <c r="AB197" i="69"/>
  <c r="AB271" i="69" s="1"/>
  <c r="AC195" i="69"/>
  <c r="AC269" i="69" s="1"/>
  <c r="AE195" i="69"/>
  <c r="AE269" i="69" s="1"/>
  <c r="K179" i="69"/>
  <c r="K237" i="69" s="1"/>
  <c r="AB61" i="76"/>
  <c r="AB77" i="76" s="1"/>
  <c r="AB141" i="76" s="1"/>
  <c r="AB201" i="76" s="1"/>
  <c r="AB253" i="76" s="1"/>
  <c r="Y64" i="76"/>
  <c r="Y80" i="76" s="1"/>
  <c r="Y144" i="76" s="1"/>
  <c r="Y204" i="76" s="1"/>
  <c r="Y256" i="76" s="1"/>
  <c r="Y192" i="69"/>
  <c r="Y266" i="69" s="1"/>
  <c r="V59" i="76"/>
  <c r="V75" i="76" s="1"/>
  <c r="V139" i="76" s="1"/>
  <c r="V199" i="76" s="1"/>
  <c r="V251" i="76" s="1"/>
  <c r="Z177" i="69"/>
  <c r="Z251" i="69" s="1"/>
  <c r="AH195" i="69"/>
  <c r="AH269" i="69" s="1"/>
  <c r="AB59" i="76"/>
  <c r="AB75" i="76" s="1"/>
  <c r="AB139" i="76" s="1"/>
  <c r="AB199" i="76" s="1"/>
  <c r="AB251" i="76" s="1"/>
  <c r="AD59" i="76"/>
  <c r="AD75" i="76" s="1"/>
  <c r="AD139" i="76" s="1"/>
  <c r="AD199" i="76" s="1"/>
  <c r="AD251" i="76" s="1"/>
  <c r="AH187" i="69"/>
  <c r="AH261" i="69" s="1"/>
  <c r="Z197" i="69"/>
  <c r="Z271" i="69" s="1"/>
  <c r="AD200" i="69"/>
  <c r="AD274" i="69" s="1"/>
  <c r="Y193" i="69"/>
  <c r="Y267" i="69" s="1"/>
  <c r="AE198" i="69"/>
  <c r="AE272" i="69" s="1"/>
  <c r="I55" i="76"/>
  <c r="I63" i="76" s="1"/>
  <c r="I128" i="76" s="1"/>
  <c r="I170" i="76" s="1"/>
  <c r="I208" i="76" s="1"/>
  <c r="Z187" i="69"/>
  <c r="Z261" i="69" s="1"/>
  <c r="AD58" i="76"/>
  <c r="AD74" i="76" s="1"/>
  <c r="AD138" i="76" s="1"/>
  <c r="AD198" i="76" s="1"/>
  <c r="AD250" i="76" s="1"/>
  <c r="AC181" i="69"/>
  <c r="AC255" i="69" s="1"/>
  <c r="M179" i="69"/>
  <c r="M237" i="69" s="1"/>
  <c r="AE177" i="69"/>
  <c r="AE251" i="69" s="1"/>
  <c r="O178" i="69"/>
  <c r="O236" i="69" s="1"/>
  <c r="W66" i="76"/>
  <c r="W82" i="76" s="1"/>
  <c r="W146" i="76" s="1"/>
  <c r="W206" i="76" s="1"/>
  <c r="W258" i="76" s="1"/>
  <c r="AE57" i="76"/>
  <c r="AE73" i="76" s="1"/>
  <c r="AE137" i="76" s="1"/>
  <c r="AE197" i="76" s="1"/>
  <c r="AE249" i="76" s="1"/>
  <c r="G179" i="69"/>
  <c r="G237" i="69" s="1"/>
  <c r="AG192" i="69"/>
  <c r="AG266" i="69" s="1"/>
  <c r="F179" i="69"/>
  <c r="F237" i="69" s="1"/>
  <c r="F56" i="76"/>
  <c r="F64" i="76" s="1"/>
  <c r="F129" i="76" s="1"/>
  <c r="F171" i="76" s="1"/>
  <c r="F209" i="76" s="1"/>
  <c r="AB56" i="76"/>
  <c r="AB72" i="76" s="1"/>
  <c r="AB136" i="76" s="1"/>
  <c r="AB196" i="76" s="1"/>
  <c r="AB248" i="76" s="1"/>
  <c r="AG197" i="69"/>
  <c r="AG271" i="69" s="1"/>
  <c r="AC196" i="69"/>
  <c r="AC270" i="69" s="1"/>
  <c r="AA65" i="76"/>
  <c r="AA81" i="76" s="1"/>
  <c r="AA145" i="76" s="1"/>
  <c r="AA205" i="76" s="1"/>
  <c r="AA257" i="76" s="1"/>
  <c r="Z190" i="69"/>
  <c r="Z264" i="69" s="1"/>
  <c r="AF187" i="69"/>
  <c r="AF261" i="69" s="1"/>
  <c r="AF177" i="69"/>
  <c r="AF251" i="69" s="1"/>
  <c r="Z196" i="69"/>
  <c r="Z270" i="69" s="1"/>
  <c r="AH191" i="69"/>
  <c r="AH265" i="69" s="1"/>
  <c r="Y187" i="69"/>
  <c r="Y261" i="69" s="1"/>
  <c r="M180" i="69"/>
  <c r="M238" i="69" s="1"/>
  <c r="Y189" i="69"/>
  <c r="Y263" i="69" s="1"/>
  <c r="K57" i="76"/>
  <c r="K65" i="76" s="1"/>
  <c r="K130" i="76" s="1"/>
  <c r="K172" i="76" s="1"/>
  <c r="K210" i="76" s="1"/>
  <c r="V56" i="76"/>
  <c r="V72" i="76" s="1"/>
  <c r="V136" i="76" s="1"/>
  <c r="V196" i="76" s="1"/>
  <c r="V248" i="76" s="1"/>
  <c r="Y59" i="76"/>
  <c r="Y75" i="76" s="1"/>
  <c r="Y139" i="76" s="1"/>
  <c r="Y199" i="76" s="1"/>
  <c r="Y251" i="76" s="1"/>
  <c r="L184" i="69"/>
  <c r="L242" i="69" s="1"/>
  <c r="AD195" i="69"/>
  <c r="AD269" i="69" s="1"/>
  <c r="V61" i="76"/>
  <c r="V77" i="76" s="1"/>
  <c r="V141" i="76" s="1"/>
  <c r="V201" i="76" s="1"/>
  <c r="V253" i="76" s="1"/>
  <c r="F184" i="69"/>
  <c r="F242" i="69" s="1"/>
  <c r="N182" i="69"/>
  <c r="N240" i="69" s="1"/>
  <c r="AF186" i="69"/>
  <c r="AF260" i="69" s="1"/>
  <c r="AB192" i="69"/>
  <c r="AB266" i="69" s="1"/>
  <c r="AG193" i="69"/>
  <c r="AG267" i="69" s="1"/>
  <c r="Y185" i="69"/>
  <c r="Y259" i="69" s="1"/>
  <c r="AG186" i="69"/>
  <c r="AG260" i="69" s="1"/>
  <c r="J179" i="69"/>
  <c r="J237" i="69" s="1"/>
  <c r="AH188" i="69"/>
  <c r="AH262" i="69" s="1"/>
  <c r="AF181" i="69"/>
  <c r="AF255" i="69" s="1"/>
  <c r="AA178" i="69"/>
  <c r="AA252" i="69" s="1"/>
  <c r="Z67" i="76"/>
  <c r="Z83" i="76" s="1"/>
  <c r="Z147" i="76" s="1"/>
  <c r="Z207" i="76" s="1"/>
  <c r="Z259" i="76" s="1"/>
  <c r="AE182" i="69"/>
  <c r="AE256" i="69" s="1"/>
  <c r="AE188" i="69"/>
  <c r="AE262" i="69" s="1"/>
  <c r="AD62" i="76"/>
  <c r="AD78" i="76" s="1"/>
  <c r="AD142" i="76" s="1"/>
  <c r="AD202" i="76" s="1"/>
  <c r="AD254" i="76" s="1"/>
  <c r="AD197" i="69"/>
  <c r="AD271" i="69" s="1"/>
  <c r="L57" i="76"/>
  <c r="L65" i="76" s="1"/>
  <c r="L130" i="76" s="1"/>
  <c r="L172" i="76" s="1"/>
  <c r="L210" i="76" s="1"/>
  <c r="I56" i="76"/>
  <c r="I64" i="76" s="1"/>
  <c r="I129" i="76" s="1"/>
  <c r="I171" i="76" s="1"/>
  <c r="I209" i="76" s="1"/>
  <c r="AA57" i="76"/>
  <c r="AA73" i="76" s="1"/>
  <c r="AA137" i="76" s="1"/>
  <c r="AA197" i="76" s="1"/>
  <c r="AA249" i="76" s="1"/>
  <c r="AC192" i="69"/>
  <c r="AC266" i="69" s="1"/>
  <c r="F177" i="69"/>
  <c r="F235" i="69" s="1"/>
  <c r="Y183" i="69"/>
  <c r="Y257" i="69" s="1"/>
  <c r="AE184" i="69"/>
  <c r="AE258" i="69" s="1"/>
  <c r="AF194" i="69"/>
  <c r="AF268" i="69" s="1"/>
  <c r="AF183" i="69"/>
  <c r="AF257" i="69" s="1"/>
  <c r="AA67" i="76"/>
  <c r="AA83" i="76" s="1"/>
  <c r="AA147" i="76" s="1"/>
  <c r="AA207" i="76" s="1"/>
  <c r="AA259" i="76" s="1"/>
  <c r="N183" i="69"/>
  <c r="N241" i="69" s="1"/>
  <c r="AC61" i="76"/>
  <c r="AC77" i="76" s="1"/>
  <c r="AC141" i="76" s="1"/>
  <c r="AC201" i="76" s="1"/>
  <c r="AC253" i="76" s="1"/>
  <c r="AC197" i="69"/>
  <c r="AC271" i="69" s="1"/>
  <c r="AF196" i="69"/>
  <c r="AF270" i="69" s="1"/>
  <c r="AE193" i="69"/>
  <c r="AE267" i="69" s="1"/>
  <c r="AG196" i="69"/>
  <c r="AG270" i="69" s="1"/>
  <c r="AD65" i="76"/>
  <c r="AD81" i="76" s="1"/>
  <c r="AD145" i="76" s="1"/>
  <c r="AD205" i="76" s="1"/>
  <c r="AD257" i="76" s="1"/>
  <c r="I181" i="69"/>
  <c r="I239" i="69" s="1"/>
  <c r="AD186" i="69"/>
  <c r="AD260" i="69" s="1"/>
  <c r="AA181" i="69"/>
  <c r="AA255" i="69" s="1"/>
  <c r="Z192" i="69"/>
  <c r="Z266" i="69" s="1"/>
  <c r="AF188" i="69"/>
  <c r="AF262" i="69" s="1"/>
  <c r="AC189" i="69"/>
  <c r="AC263" i="69" s="1"/>
  <c r="AH194" i="69"/>
  <c r="AH268" i="69" s="1"/>
  <c r="AB62" i="76"/>
  <c r="AB78" i="76" s="1"/>
  <c r="AB142" i="76" s="1"/>
  <c r="AB202" i="76" s="1"/>
  <c r="AB254" i="76" s="1"/>
  <c r="Z64" i="76"/>
  <c r="Z80" i="76" s="1"/>
  <c r="Z144" i="76" s="1"/>
  <c r="Z204" i="76" s="1"/>
  <c r="Z256" i="76" s="1"/>
  <c r="AB60" i="76"/>
  <c r="AB76" i="76" s="1"/>
  <c r="AB140" i="76" s="1"/>
  <c r="AB200" i="76" s="1"/>
  <c r="AB252" i="76" s="1"/>
  <c r="AD63" i="76"/>
  <c r="AD79" i="76" s="1"/>
  <c r="AD143" i="76" s="1"/>
  <c r="AD203" i="76" s="1"/>
  <c r="AD255" i="76" s="1"/>
  <c r="Z56" i="76"/>
  <c r="Z72" i="76" s="1"/>
  <c r="Z136" i="76" s="1"/>
  <c r="Z196" i="76" s="1"/>
  <c r="Z248" i="76" s="1"/>
  <c r="AG183" i="69"/>
  <c r="AG257" i="69" s="1"/>
  <c r="AD182" i="69"/>
  <c r="AD256" i="69" s="1"/>
  <c r="AC194" i="69"/>
  <c r="AC268" i="69" s="1"/>
  <c r="N177" i="69"/>
  <c r="N235" i="69" s="1"/>
  <c r="AA185" i="69"/>
  <c r="AA259" i="69" s="1"/>
  <c r="W59" i="76"/>
  <c r="W75" i="76" s="1"/>
  <c r="W139" i="76" s="1"/>
  <c r="W199" i="76" s="1"/>
  <c r="W251" i="76" s="1"/>
  <c r="Y182" i="69"/>
  <c r="Y256" i="69" s="1"/>
  <c r="AC63" i="76"/>
  <c r="AC79" i="76" s="1"/>
  <c r="AC143" i="76" s="1"/>
  <c r="AC203" i="76" s="1"/>
  <c r="AC255" i="76" s="1"/>
  <c r="X60" i="76"/>
  <c r="X76" i="76" s="1"/>
  <c r="X140" i="76" s="1"/>
  <c r="X200" i="76" s="1"/>
  <c r="X252" i="76" s="1"/>
  <c r="Z74" i="76"/>
  <c r="Z138" i="76" s="1"/>
  <c r="Z198" i="76" s="1"/>
  <c r="Z250" i="76" s="1"/>
  <c r="W58" i="76"/>
  <c r="AC59" i="76"/>
  <c r="H54" i="76"/>
  <c r="AE59" i="76"/>
  <c r="AC67" i="76"/>
  <c r="W63" i="76"/>
  <c r="X56" i="76"/>
  <c r="X65" i="76"/>
  <c r="G54" i="76"/>
  <c r="V57" i="76"/>
  <c r="J57" i="76"/>
  <c r="AE65" i="76"/>
  <c r="AC66" i="76"/>
  <c r="AA64" i="76"/>
  <c r="Z65" i="76"/>
  <c r="M55" i="76"/>
  <c r="W62" i="76"/>
  <c r="E55" i="76"/>
  <c r="AD66" i="76"/>
  <c r="AE64" i="76"/>
  <c r="J55" i="76"/>
  <c r="AD61" i="76"/>
  <c r="W61" i="76"/>
  <c r="AB65" i="76"/>
  <c r="F55" i="76"/>
  <c r="V67" i="76"/>
  <c r="X59" i="76"/>
  <c r="M57" i="76"/>
  <c r="X58" i="76"/>
  <c r="AB57" i="76"/>
  <c r="E57" i="76"/>
  <c r="L56" i="76"/>
  <c r="L54" i="76"/>
  <c r="Z66" i="76"/>
  <c r="AB66" i="76"/>
  <c r="W60" i="76"/>
  <c r="H55" i="76"/>
  <c r="I54" i="76"/>
  <c r="N54" i="76"/>
  <c r="M54" i="76"/>
  <c r="AE63" i="76"/>
  <c r="W64" i="76"/>
  <c r="Z59" i="76"/>
  <c r="E56" i="76"/>
  <c r="AB64" i="76"/>
  <c r="AD64" i="76"/>
  <c r="Y61" i="76"/>
  <c r="M56" i="76"/>
  <c r="X66" i="76"/>
  <c r="AE67" i="76"/>
  <c r="X63" i="76"/>
  <c r="Y66" i="76"/>
  <c r="AE60" i="76"/>
  <c r="Y56" i="76"/>
  <c r="X64" i="76"/>
  <c r="AA61" i="76"/>
  <c r="X61" i="76"/>
  <c r="AB67" i="76"/>
  <c r="AC62" i="76"/>
  <c r="V65" i="76"/>
  <c r="AD56" i="76"/>
  <c r="AB63" i="76"/>
  <c r="AA56" i="76"/>
  <c r="X57" i="76"/>
  <c r="F54" i="76"/>
  <c r="K54" i="76"/>
  <c r="W56" i="76"/>
  <c r="V66" i="76"/>
  <c r="AD60" i="76"/>
  <c r="AB58" i="76"/>
  <c r="Z63" i="76"/>
  <c r="AC64" i="76"/>
  <c r="AE58" i="76"/>
  <c r="AC57" i="76"/>
  <c r="Z61" i="76"/>
  <c r="AC60" i="76"/>
  <c r="V60" i="76"/>
  <c r="AE62" i="76"/>
  <c r="Y67" i="76"/>
  <c r="AC56" i="76"/>
  <c r="AE61" i="76"/>
  <c r="L55" i="76"/>
  <c r="V62" i="76"/>
  <c r="AA63" i="76"/>
  <c r="G55" i="76"/>
  <c r="N55" i="76"/>
  <c r="H57" i="76"/>
  <c r="N56" i="76"/>
  <c r="V58" i="76"/>
  <c r="AA66" i="76"/>
  <c r="Y65" i="76"/>
  <c r="AA62" i="76"/>
  <c r="J54" i="76"/>
  <c r="X62" i="76"/>
  <c r="W65" i="76"/>
  <c r="K56" i="76"/>
  <c r="Z60" i="76"/>
  <c r="E54" i="76"/>
  <c r="J56" i="76"/>
  <c r="V64" i="76"/>
  <c r="AE66" i="76"/>
  <c r="W57" i="76"/>
  <c r="AA58" i="76"/>
  <c r="AC65" i="76"/>
  <c r="E62" i="76" l="1"/>
  <c r="E127" i="76" s="1"/>
  <c r="E169" i="76" s="1"/>
  <c r="E207" i="76" s="1"/>
  <c r="AA77" i="76"/>
  <c r="AA141" i="76" s="1"/>
  <c r="AA201" i="76" s="1"/>
  <c r="AA253" i="76" s="1"/>
  <c r="Z76" i="76"/>
  <c r="Z140" i="76" s="1"/>
  <c r="Z200" i="76" s="1"/>
  <c r="Z252" i="76" s="1"/>
  <c r="AD76" i="76"/>
  <c r="AD140" i="76" s="1"/>
  <c r="AD200" i="76" s="1"/>
  <c r="AD252" i="76" s="1"/>
  <c r="AE79" i="76"/>
  <c r="AE143" i="76" s="1"/>
  <c r="AE203" i="76" s="1"/>
  <c r="AE255" i="76" s="1"/>
  <c r="K64" i="76"/>
  <c r="K129" i="76" s="1"/>
  <c r="K171" i="76" s="1"/>
  <c r="K209" i="76" s="1"/>
  <c r="W81" i="76"/>
  <c r="W145" i="76" s="1"/>
  <c r="W205" i="76" s="1"/>
  <c r="W257" i="76" s="1"/>
  <c r="AE77" i="76"/>
  <c r="AE141" i="76" s="1"/>
  <c r="AE201" i="76" s="1"/>
  <c r="AE253" i="76" s="1"/>
  <c r="W72" i="76"/>
  <c r="W136" i="76" s="1"/>
  <c r="W196" i="76" s="1"/>
  <c r="W248" i="76" s="1"/>
  <c r="N62" i="76"/>
  <c r="N127" i="76" s="1"/>
  <c r="N169" i="76" s="1"/>
  <c r="N207" i="76" s="1"/>
  <c r="F63" i="76"/>
  <c r="F128" i="76" s="1"/>
  <c r="F170" i="76" s="1"/>
  <c r="F208" i="76" s="1"/>
  <c r="J65" i="76"/>
  <c r="J130" i="76" s="1"/>
  <c r="J172" i="76" s="1"/>
  <c r="J210" i="76" s="1"/>
  <c r="AC72" i="76"/>
  <c r="AC136" i="76" s="1"/>
  <c r="AC196" i="76" s="1"/>
  <c r="AC248" i="76" s="1"/>
  <c r="K62" i="76"/>
  <c r="K127" i="76" s="1"/>
  <c r="K169" i="76" s="1"/>
  <c r="K207" i="76" s="1"/>
  <c r="Y82" i="76"/>
  <c r="Y146" i="76" s="1"/>
  <c r="Y206" i="76" s="1"/>
  <c r="Y258" i="76" s="1"/>
  <c r="I62" i="76"/>
  <c r="I127" i="76" s="1"/>
  <c r="I169" i="76" s="1"/>
  <c r="I207" i="76" s="1"/>
  <c r="AB81" i="76"/>
  <c r="AB145" i="76" s="1"/>
  <c r="AB205" i="76" s="1"/>
  <c r="AB257" i="76" s="1"/>
  <c r="V73" i="76"/>
  <c r="V137" i="76" s="1"/>
  <c r="V197" i="76" s="1"/>
  <c r="V249" i="76" s="1"/>
  <c r="J62" i="76"/>
  <c r="J127" i="76" s="1"/>
  <c r="J169" i="76" s="1"/>
  <c r="J207" i="76" s="1"/>
  <c r="Y83" i="76"/>
  <c r="Y147" i="76" s="1"/>
  <c r="Y207" i="76" s="1"/>
  <c r="Y259" i="76" s="1"/>
  <c r="F62" i="76"/>
  <c r="F127" i="76" s="1"/>
  <c r="F169" i="76" s="1"/>
  <c r="F207" i="76" s="1"/>
  <c r="X79" i="76"/>
  <c r="X143" i="76" s="1"/>
  <c r="X203" i="76" s="1"/>
  <c r="X255" i="76" s="1"/>
  <c r="H63" i="76"/>
  <c r="H128" i="76" s="1"/>
  <c r="H170" i="76" s="1"/>
  <c r="H208" i="76" s="1"/>
  <c r="W77" i="76"/>
  <c r="W141" i="76" s="1"/>
  <c r="W201" i="76" s="1"/>
  <c r="W253" i="76" s="1"/>
  <c r="G62" i="76"/>
  <c r="G127" i="76" s="1"/>
  <c r="G169" i="76" s="1"/>
  <c r="G207" i="76" s="1"/>
  <c r="AA78" i="76"/>
  <c r="AA142" i="76" s="1"/>
  <c r="AA202" i="76" s="1"/>
  <c r="AA254" i="76" s="1"/>
  <c r="AE78" i="76"/>
  <c r="AE142" i="76" s="1"/>
  <c r="AE202" i="76" s="1"/>
  <c r="AE254" i="76" s="1"/>
  <c r="X73" i="76"/>
  <c r="X137" i="76" s="1"/>
  <c r="X197" i="76" s="1"/>
  <c r="X249" i="76" s="1"/>
  <c r="AE83" i="76"/>
  <c r="AE147" i="76" s="1"/>
  <c r="AE207" i="76" s="1"/>
  <c r="AE259" i="76" s="1"/>
  <c r="W76" i="76"/>
  <c r="W140" i="76" s="1"/>
  <c r="W200" i="76" s="1"/>
  <c r="W252" i="76" s="1"/>
  <c r="AD77" i="76"/>
  <c r="AD141" i="76" s="1"/>
  <c r="AD201" i="76" s="1"/>
  <c r="AD253" i="76" s="1"/>
  <c r="X81" i="76"/>
  <c r="X145" i="76" s="1"/>
  <c r="X205" i="76" s="1"/>
  <c r="X257" i="76" s="1"/>
  <c r="Z79" i="76"/>
  <c r="Z143" i="76" s="1"/>
  <c r="Z203" i="76" s="1"/>
  <c r="Z255" i="76" s="1"/>
  <c r="AA79" i="76"/>
  <c r="AA143" i="76" s="1"/>
  <c r="AA203" i="76" s="1"/>
  <c r="AA255" i="76" s="1"/>
  <c r="AB74" i="76"/>
  <c r="AB138" i="76" s="1"/>
  <c r="AB198" i="76" s="1"/>
  <c r="AB250" i="76" s="1"/>
  <c r="W80" i="76"/>
  <c r="W144" i="76" s="1"/>
  <c r="W204" i="76" s="1"/>
  <c r="W256" i="76" s="1"/>
  <c r="AA80" i="76"/>
  <c r="AA144" i="76" s="1"/>
  <c r="AA204" i="76" s="1"/>
  <c r="AA256" i="76" s="1"/>
  <c r="V78" i="76"/>
  <c r="V142" i="76" s="1"/>
  <c r="V202" i="76" s="1"/>
  <c r="V254" i="76" s="1"/>
  <c r="X75" i="76"/>
  <c r="X139" i="76" s="1"/>
  <c r="X199" i="76" s="1"/>
  <c r="X251" i="76" s="1"/>
  <c r="L63" i="76"/>
  <c r="L128" i="76" s="1"/>
  <c r="L170" i="76" s="1"/>
  <c r="L208" i="76" s="1"/>
  <c r="V82" i="76"/>
  <c r="V146" i="76" s="1"/>
  <c r="V206" i="76" s="1"/>
  <c r="V258" i="76" s="1"/>
  <c r="M62" i="76"/>
  <c r="M127" i="76" s="1"/>
  <c r="M169" i="76" s="1"/>
  <c r="M207" i="76" s="1"/>
  <c r="V83" i="76"/>
  <c r="V147" i="76" s="1"/>
  <c r="V207" i="76" s="1"/>
  <c r="V259" i="76" s="1"/>
  <c r="AE76" i="76"/>
  <c r="AE140" i="76" s="1"/>
  <c r="AE200" i="76" s="1"/>
  <c r="AE252" i="76" s="1"/>
  <c r="X78" i="76"/>
  <c r="X142" i="76" s="1"/>
  <c r="X202" i="76" s="1"/>
  <c r="X254" i="76" s="1"/>
  <c r="Y81" i="76"/>
  <c r="Y145" i="76" s="1"/>
  <c r="Y205" i="76" s="1"/>
  <c r="Y257" i="76" s="1"/>
  <c r="V76" i="76"/>
  <c r="V140" i="76" s="1"/>
  <c r="V200" i="76" s="1"/>
  <c r="V252" i="76" s="1"/>
  <c r="AA72" i="76"/>
  <c r="AA136" i="76" s="1"/>
  <c r="AA196" i="76" s="1"/>
  <c r="AA248" i="76" s="1"/>
  <c r="X82" i="76"/>
  <c r="X146" i="76" s="1"/>
  <c r="X206" i="76" s="1"/>
  <c r="X258" i="76" s="1"/>
  <c r="J63" i="76"/>
  <c r="J128" i="76" s="1"/>
  <c r="J170" i="76" s="1"/>
  <c r="J208" i="76" s="1"/>
  <c r="X72" i="76"/>
  <c r="X136" i="76" s="1"/>
  <c r="X196" i="76" s="1"/>
  <c r="X248" i="76" s="1"/>
  <c r="AC81" i="76"/>
  <c r="AC145" i="76" s="1"/>
  <c r="AC205" i="76" s="1"/>
  <c r="AC257" i="76" s="1"/>
  <c r="AA82" i="76"/>
  <c r="AA146" i="76" s="1"/>
  <c r="AA206" i="76" s="1"/>
  <c r="AA258" i="76" s="1"/>
  <c r="AB79" i="76"/>
  <c r="AB143" i="76" s="1"/>
  <c r="AB203" i="76" s="1"/>
  <c r="AB255" i="76" s="1"/>
  <c r="M64" i="76"/>
  <c r="M129" i="76" s="1"/>
  <c r="M171" i="76" s="1"/>
  <c r="M209" i="76" s="1"/>
  <c r="Z82" i="76"/>
  <c r="Z146" i="76" s="1"/>
  <c r="Z206" i="76" s="1"/>
  <c r="Z258" i="76" s="1"/>
  <c r="W79" i="76"/>
  <c r="W143" i="76" s="1"/>
  <c r="W203" i="76" s="1"/>
  <c r="W255" i="76" s="1"/>
  <c r="AA74" i="76"/>
  <c r="AA138" i="76" s="1"/>
  <c r="AA198" i="76" s="1"/>
  <c r="AA250" i="76" s="1"/>
  <c r="V74" i="76"/>
  <c r="V138" i="76" s="1"/>
  <c r="V198" i="76" s="1"/>
  <c r="V250" i="76" s="1"/>
  <c r="Z77" i="76"/>
  <c r="Z141" i="76" s="1"/>
  <c r="Z201" i="76" s="1"/>
  <c r="Z253" i="76" s="1"/>
  <c r="AD72" i="76"/>
  <c r="AD136" i="76" s="1"/>
  <c r="AD196" i="76" s="1"/>
  <c r="AD248" i="76" s="1"/>
  <c r="Y77" i="76"/>
  <c r="Y141" i="76" s="1"/>
  <c r="Y201" i="76" s="1"/>
  <c r="Y253" i="76" s="1"/>
  <c r="L62" i="76"/>
  <c r="L127" i="76" s="1"/>
  <c r="L169" i="76" s="1"/>
  <c r="L207" i="76" s="1"/>
  <c r="AD82" i="76"/>
  <c r="AD146" i="76" s="1"/>
  <c r="AD206" i="76" s="1"/>
  <c r="AD258" i="76" s="1"/>
  <c r="AC83" i="76"/>
  <c r="AC147" i="76" s="1"/>
  <c r="AC207" i="76" s="1"/>
  <c r="AC259" i="76" s="1"/>
  <c r="J64" i="76"/>
  <c r="J129" i="76" s="1"/>
  <c r="J171" i="76" s="1"/>
  <c r="J209" i="76" s="1"/>
  <c r="X80" i="76"/>
  <c r="X144" i="76" s="1"/>
  <c r="X204" i="76" s="1"/>
  <c r="X256" i="76" s="1"/>
  <c r="AC82" i="76"/>
  <c r="AC146" i="76" s="1"/>
  <c r="AC206" i="76" s="1"/>
  <c r="AC258" i="76" s="1"/>
  <c r="Y72" i="76"/>
  <c r="Y136" i="76" s="1"/>
  <c r="Y196" i="76" s="1"/>
  <c r="Y248" i="76" s="1"/>
  <c r="AE81" i="76"/>
  <c r="AE145" i="76" s="1"/>
  <c r="AE205" i="76" s="1"/>
  <c r="AE257" i="76" s="1"/>
  <c r="AB82" i="76"/>
  <c r="AB146" i="76" s="1"/>
  <c r="AB206" i="76" s="1"/>
  <c r="AB258" i="76" s="1"/>
  <c r="AC76" i="76"/>
  <c r="AC140" i="76" s="1"/>
  <c r="AC200" i="76" s="1"/>
  <c r="AC252" i="76" s="1"/>
  <c r="AE80" i="76"/>
  <c r="AE144" i="76" s="1"/>
  <c r="AE204" i="76" s="1"/>
  <c r="AE256" i="76" s="1"/>
  <c r="W73" i="76"/>
  <c r="W137" i="76" s="1"/>
  <c r="W197" i="76" s="1"/>
  <c r="W249" i="76" s="1"/>
  <c r="N64" i="76"/>
  <c r="N129" i="76" s="1"/>
  <c r="N171" i="76" s="1"/>
  <c r="N209" i="76" s="1"/>
  <c r="AC73" i="76"/>
  <c r="AC137" i="76" s="1"/>
  <c r="AC197" i="76" s="1"/>
  <c r="AC249" i="76" s="1"/>
  <c r="V81" i="76"/>
  <c r="V145" i="76" s="1"/>
  <c r="V205" i="76" s="1"/>
  <c r="V257" i="76" s="1"/>
  <c r="AD80" i="76"/>
  <c r="AD144" i="76" s="1"/>
  <c r="AD204" i="76" s="1"/>
  <c r="AD256" i="76" s="1"/>
  <c r="L64" i="76"/>
  <c r="L129" i="76" s="1"/>
  <c r="L171" i="76" s="1"/>
  <c r="L209" i="76" s="1"/>
  <c r="E63" i="76"/>
  <c r="E128" i="76" s="1"/>
  <c r="E170" i="76" s="1"/>
  <c r="E208" i="76" s="1"/>
  <c r="AE75" i="76"/>
  <c r="AE139" i="76" s="1"/>
  <c r="AE199" i="76" s="1"/>
  <c r="AE251" i="76" s="1"/>
  <c r="G63" i="76"/>
  <c r="G128" i="76" s="1"/>
  <c r="G170" i="76" s="1"/>
  <c r="G208" i="76" s="1"/>
  <c r="Z75" i="76"/>
  <c r="Z139" i="76" s="1"/>
  <c r="Z199" i="76" s="1"/>
  <c r="Z251" i="76" s="1"/>
  <c r="Z81" i="76"/>
  <c r="Z145" i="76" s="1"/>
  <c r="Z205" i="76" s="1"/>
  <c r="Z257" i="76" s="1"/>
  <c r="M65" i="76"/>
  <c r="M130" i="76" s="1"/>
  <c r="M172" i="76" s="1"/>
  <c r="M210" i="76" s="1"/>
  <c r="X77" i="76"/>
  <c r="X141" i="76" s="1"/>
  <c r="X201" i="76" s="1"/>
  <c r="X253" i="76" s="1"/>
  <c r="X74" i="76"/>
  <c r="X138" i="76" s="1"/>
  <c r="X198" i="76" s="1"/>
  <c r="X250" i="76" s="1"/>
  <c r="W74" i="76"/>
  <c r="W138" i="76" s="1"/>
  <c r="W198" i="76" s="1"/>
  <c r="W250" i="76" s="1"/>
  <c r="AE82" i="76"/>
  <c r="AE146" i="76" s="1"/>
  <c r="AE206" i="76" s="1"/>
  <c r="AE258" i="76" s="1"/>
  <c r="H65" i="76"/>
  <c r="H130" i="76" s="1"/>
  <c r="H172" i="76" s="1"/>
  <c r="H210" i="76" s="1"/>
  <c r="AE74" i="76"/>
  <c r="AE138" i="76" s="1"/>
  <c r="AE198" i="76" s="1"/>
  <c r="AE250" i="76" s="1"/>
  <c r="AC78" i="76"/>
  <c r="AC142" i="76" s="1"/>
  <c r="AC202" i="76" s="1"/>
  <c r="AC254" i="76" s="1"/>
  <c r="AB80" i="76"/>
  <c r="AB144" i="76" s="1"/>
  <c r="AB204" i="76" s="1"/>
  <c r="AB256" i="76" s="1"/>
  <c r="E65" i="76"/>
  <c r="E130" i="76" s="1"/>
  <c r="E172" i="76" s="1"/>
  <c r="E210" i="76" s="1"/>
  <c r="W78" i="76"/>
  <c r="W142" i="76" s="1"/>
  <c r="W202" i="76" s="1"/>
  <c r="W254" i="76" s="1"/>
  <c r="H62" i="76"/>
  <c r="H127" i="76" s="1"/>
  <c r="H169" i="76" s="1"/>
  <c r="H207" i="76" s="1"/>
  <c r="V80" i="76"/>
  <c r="V144" i="76" s="1"/>
  <c r="V204" i="76" s="1"/>
  <c r="V256" i="76" s="1"/>
  <c r="N63" i="76"/>
  <c r="N128" i="76" s="1"/>
  <c r="N170" i="76" s="1"/>
  <c r="N208" i="76" s="1"/>
  <c r="AC80" i="76"/>
  <c r="AC144" i="76" s="1"/>
  <c r="AC204" i="76" s="1"/>
  <c r="AC256" i="76" s="1"/>
  <c r="AB83" i="76"/>
  <c r="AB147" i="76" s="1"/>
  <c r="AB207" i="76" s="1"/>
  <c r="AB259" i="76" s="1"/>
  <c r="E64" i="76"/>
  <c r="E129" i="76" s="1"/>
  <c r="E171" i="76" s="1"/>
  <c r="E209" i="76" s="1"/>
  <c r="AB73" i="76"/>
  <c r="AB137" i="76" s="1"/>
  <c r="AB197" i="76" s="1"/>
  <c r="AB249" i="76" s="1"/>
  <c r="M63" i="76"/>
  <c r="M128" i="76" s="1"/>
  <c r="M170" i="76" s="1"/>
  <c r="M208" i="76" s="1"/>
  <c r="AC75" i="76"/>
  <c r="AC139" i="76" s="1"/>
  <c r="AC199" i="76" s="1"/>
  <c r="AC251" i="76" s="1"/>
  <c r="E212" i="76" l="1"/>
  <c r="H13" i="97" s="1"/>
  <c r="X276" i="69"/>
  <c r="Z278" i="69" s="1"/>
  <c r="X281" i="69" s="1" a="1"/>
  <c r="X281" i="69" s="1"/>
  <c r="I7" i="13" s="1"/>
  <c r="E244" i="69"/>
  <c r="G246" i="69" s="1"/>
  <c r="E249" i="69" s="1" a="1"/>
  <c r="E249" i="69" s="1"/>
  <c r="H7" i="13" s="1"/>
  <c r="E29" i="15"/>
  <c r="E16" i="97" l="1"/>
  <c r="H28" i="97" s="1"/>
  <c r="E35" i="97" s="1"/>
  <c r="G13" i="98"/>
  <c r="E20" i="98" s="1"/>
  <c r="E229" i="76"/>
  <c r="E8" i="13" s="1"/>
  <c r="V261" i="76"/>
  <c r="V267" i="76" s="1"/>
  <c r="E7" i="13"/>
  <c r="F7" i="13"/>
  <c r="E13" i="15"/>
  <c r="G231" i="76" l="1"/>
  <c r="E234" i="76" s="1" a="1"/>
  <c r="E234" i="76" s="1"/>
  <c r="H8" i="13" s="1"/>
  <c r="G37" i="97"/>
  <c r="E40" i="97" s="1" a="1"/>
  <c r="E40" i="97" s="1"/>
  <c r="H9" i="13" s="1"/>
  <c r="E9" i="13"/>
  <c r="G32" i="98"/>
  <c r="E36" i="98" s="1"/>
  <c r="N32" i="98"/>
  <c r="L36" i="98" s="1"/>
  <c r="N13" i="98"/>
  <c r="L20" i="98" s="1"/>
  <c r="P13" i="97"/>
  <c r="M16" i="97" l="1"/>
  <c r="P28" i="97" s="1"/>
  <c r="M35" i="97" s="1"/>
  <c r="F10" i="13"/>
  <c r="N38" i="98"/>
  <c r="L41" i="98" s="1" a="1"/>
  <c r="L41" i="98" s="1"/>
  <c r="I10" i="13" s="1"/>
  <c r="E10" i="13"/>
  <c r="G38" i="98"/>
  <c r="E41" i="98" s="1" a="1"/>
  <c r="E41" i="98" s="1"/>
  <c r="H10" i="13" s="1"/>
  <c r="H11" i="13" s="1"/>
  <c r="X269" i="76"/>
  <c r="V272" i="76" s="1" a="1"/>
  <c r="V272" i="76" s="1"/>
  <c r="I8" i="13" s="1"/>
  <c r="F8" i="13"/>
  <c r="O37" i="97" l="1"/>
  <c r="M40" i="97" s="1" a="1"/>
  <c r="M40" i="97" s="1"/>
  <c r="I9" i="13" s="1"/>
  <c r="I11"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<sst xmlns="http://schemas.openxmlformats.org/spreadsheetml/2006/main" count="2933" uniqueCount="692">
  <si>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</si>
  <si>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</si>
  <si>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</si>
  <si>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</si>
  <si>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</si>
  <si>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</si>
  <si>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</si>
  <si>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</si>
  <si>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</si>
  <si>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</si>
  <si>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</si>
  <si>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</si>
  <si>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</si>
  <si>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</si>
  <si>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</si>
  <si>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</si>
  <si>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</si>
  <si>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</si>
  <si>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</si>
  <si>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</si>
  <si>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</si>
  <si>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</si>
  <si>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</si>
  <si>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</si>
  <si>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</si>
  <si>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</si>
  <si>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</si>
  <si>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</si>
  <si>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</si>
  <si>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</si>
  <si>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</si>
  <si>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</si>
  <si>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</si>
  <si>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</si>
  <si>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</si>
  <si>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</si>
  <si>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</si>
  <si>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</si>
  <si>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</si>
  <si>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</si>
  <si>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</si>
  <si>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</si>
  <si>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</si>
  <si>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</si>
  <si>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</si>
  <si>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</si>
  <si>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</si>
  <si>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</si>
  <si>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</si>
  <si>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</si>
  <si>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</si>
  <si>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</si>
  <si>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</si>
  <si>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</si>
  <si>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</si>
  <si>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</si>
  <si>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</si>
  <si>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</si>
  <si>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</si>
  <si>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</si>
  <si>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</si>
  <si>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</si>
  <si>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</si>
  <si>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</si>
  <si>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</si>
  <si>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</si>
  <si>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</si>
  <si>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</si>
  <si>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</si>
  <si>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</si>
  <si>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</si>
  <si>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</si>
  <si>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</si>
  <si>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</si>
  <si>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</si>
  <si>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</si>
  <si>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</si>
  <si>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</si>
  <si>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</si>
  <si>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</si>
  <si>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</si>
  <si>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</si>
  <si>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</si>
  <si>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</si>
  <si>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</si>
  <si>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</si>
  <si>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</si>
  <si>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</si>
  <si>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</si>
  <si>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</si>
  <si>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</si>
  <si>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</si>
  <si>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</si>
  <si>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</si>
  <si>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</si>
  <si>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</si>
  <si>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</si>
  <si>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</si>
  <si>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</si>
  <si>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</si>
  <si>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</si>
  <si>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</si>
  <si>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</si>
  <si>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</si>
  <si>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</si>
  <si>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</si>
  <si>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</si>
  <si>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</si>
  <si>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</si>
  <si>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</si>
  <si>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</si>
  <si>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</si>
  <si>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</si>
  <si>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</si>
  <si>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</si>
  <si>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</si>
  <si>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</si>
  <si>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</si>
  <si>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</si>
  <si>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</si>
  <si>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</si>
  <si>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</si>
  <si>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</si>
  <si>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</si>
  <si>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</si>
  <si>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</si>
  <si>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</si>
  <si>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</si>
  <si>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</si>
  <si>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</si>
  <si>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</si>
  <si>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</si>
  <si>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</si>
  <si>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</si>
  <si>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</si>
  <si>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</si>
  <si>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</si>
  <si>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</si>
  <si>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</si>
  <si>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</si>
  <si>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</si>
  <si>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</si>
  <si>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</si>
  <si>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</si>
  <si>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</si>
  <si>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</si>
  <si>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</si>
  <si>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</si>
  <si>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</si>
  <si>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</si>
  <si>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</si>
  <si>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</si>
  <si>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</si>
  <si>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</si>
  <si>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</si>
  <si>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</si>
  <si>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</si>
  <si>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</si>
  <si>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</si>
  <si>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</si>
  <si>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</si>
  <si>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</si>
  <si>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</si>
  <si>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</si>
  <si>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</si>
  <si>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</si>
  <si>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</si>
  <si>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</si>
  <si>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</si>
  <si>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</si>
  <si>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</si>
  <si>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</si>
  <si>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</si>
  <si>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</si>
  <si>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</si>
  <si>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</si>
  <si>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</si>
  <si>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</si>
  <si>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</si>
  <si>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</si>
  <si>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</si>
  <si>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</si>
  <si>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</si>
  <si>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</si>
  <si>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</si>
  <si>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</si>
  <si>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</si>
  <si>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</si>
  <si>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</si>
  <si>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</si>
  <si>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</si>
  <si>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</si>
  <si>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</si>
  <si>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</si>
  <si>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</si>
  <si>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</si>
  <si>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</si>
  <si>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</si>
  <si>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</si>
  <si>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</si>
  <si>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</si>
  <si>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</si>
  <si>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</si>
  <si>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</si>
  <si>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</si>
  <si>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</si>
  <si>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</si>
  <si>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</si>
  <si>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</si>
  <si>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</si>
  <si>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</si>
  <si>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</si>
  <si>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</si>
  <si>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</si>
  <si>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</si>
  <si>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</si>
  <si>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</si>
  <si>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</si>
  <si>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</si>
  <si>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</si>
  <si>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</si>
  <si>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</si>
  <si>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</si>
  <si>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</si>
  <si>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</si>
  <si>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</si>
  <si>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</si>
  <si>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</si>
  <si>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</si>
  <si>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</si>
  <si>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</si>
  <si>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</si>
  <si>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</si>
  <si>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</si>
  <si>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</si>
  <si>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</si>
  <si>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</si>
  <si>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</si>
  <si>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</si>
  <si>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</si>
  <si>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</si>
  <si>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</si>
  <si>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</si>
  <si>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</si>
  <si>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</si>
  <si>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</si>
  <si>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</si>
  <si>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</si>
  <si>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</si>
  <si>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</si>
  <si>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</si>
  <si>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</si>
  <si>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</si>
  <si>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</si>
  <si>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</si>
  <si>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</si>
  <si>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</si>
  <si>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</si>
  <si>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</si>
  <si>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</si>
  <si>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</si>
  <si>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</si>
  <si>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</si>
  <si>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</si>
  <si>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</si>
  <si>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</si>
  <si>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</si>
  <si>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</si>
  <si>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</si>
  <si>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Methane conversion factor</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</si>
  <si>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</si>
  <si>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</si>
  <si>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</si>
  <si>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</si>
  <si>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</si>
  <si>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</si>
  <si>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</si>
  <si>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</si>
  <si>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</si>
  <si>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</si>
  <si>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</si>
  <si>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</si>
  <si>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</si>
  <si>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</si>
  <si>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</si>
  <si>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</si>
  <si>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</si>
  <si>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</si>
  <si>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</si>
  <si>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</si>
  <si>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</si>
  <si>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</si>
  <si>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</si>
  <si>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</si>
  <si>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</si>
  <si>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</si>
  <si>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</si>
  <si>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</si>
  <si>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</si>
  <si>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</si>
  <si>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</si>
  <si>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</si>
  <si>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</si>
  <si>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</si>
  <si>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</si>
  <si>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</si>
  <si>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</si>
  <si>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</si>
  <si>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</si>
  <si>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</si>
  <si>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</si>
  <si>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</si>
  <si>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</si>
  <si>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</si>
  <si>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</si>
  <si>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</si>
  <si>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</si>
  <si>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</si>
  <si>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</si>
  <si>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</si>
  <si>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</si>
  <si>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</si>
  <si>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</si>
  <si>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</si>
  <si>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</si>
  <si>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</si>
  <si>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</si>
  <si>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</si>
  <si>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</si>
  <si>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</si>
  <si>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</si>
  <si>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</si>
  <si>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</si>
  <si>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</si>
  <si>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</si>
  <si>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</si>
  <si>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</si>
  <si>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</si>
  <si>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</si>
  <si>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</si>
  <si>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</si>
  <si>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</si>
  <si>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</si>
  <si>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</si>
  <si>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</si>
  <si>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</si>
  <si>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</si>
  <si>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</si>
  <si>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</si>
  <si>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</si>
  <si>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</si>
  <si>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</si>
  <si>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</si>
  <si>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</si>
  <si>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</si>
  <si>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</si>
  <si>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</si>
  <si>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</si>
  <si>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</si>
  <si>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</si>
  <si>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</si>
  <si>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</si>
  <si>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</si>
  <si>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</si>
  <si>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Additional intake for milk production in the season of calving and the season after calving</t>
  </si>
  <si>
    <t>VEERG 2026: 3.2.1.1, Equation (4)</t>
  </si>
  <si>
    <t>MA_jk45</t>
  </si>
  <si>
    <t>LC_jk45</t>
  </si>
  <si>
    <t>proportion of cows greater than 1 year in calf in the season of calving expressed as a fraction</t>
  </si>
  <si>
    <t>FA_jk45calv</t>
  </si>
  <si>
    <t>feed adjustment value for lactating cows in the season of calving expressed as a fraction</t>
  </si>
  <si>
    <t>FA_jk45after</t>
  </si>
  <si>
    <t>feed adjustment value for lactating cows in the season immediately after calving expressed as a fraction</t>
  </si>
  <si>
    <t>b</t>
  </si>
  <si>
    <t>breed of cattle</t>
  </si>
  <si>
    <t>Input</t>
  </si>
  <si>
    <t>Constant</t>
  </si>
  <si>
    <t>Feed intake for grazing beef cattle</t>
  </si>
  <si>
    <t>VEERG 2026: 3.2.1.1, Equation (3)</t>
  </si>
  <si>
    <t>I_jkl</t>
  </si>
  <si>
    <t>kg DM/head/day</t>
  </si>
  <si>
    <t>W_jkl</t>
  </si>
  <si>
    <t>liveweight (kg)</t>
  </si>
  <si>
    <t>LWG_jkl</t>
  </si>
  <si>
    <t>live weight gain (kg/head/day)</t>
  </si>
  <si>
    <t>additional intake for milk production in cows greater than 2 years</t>
  </si>
  <si>
    <t>kg</t>
  </si>
  <si>
    <t>Calculated from 3.2.1.1, (4)</t>
  </si>
  <si>
    <t>Volatile solid production from grazing beef</t>
  </si>
  <si>
    <t>VEERG 2026: 4.2.1.1, Equation (3)</t>
  </si>
  <si>
    <t>VS_jkl</t>
  </si>
  <si>
    <t>dry matter intake as calculated in Chapter 3 Section 3.2.1</t>
  </si>
  <si>
    <t>DMD_jkl</t>
  </si>
  <si>
    <t>dry matter digestibility expressed as a fraction</t>
  </si>
  <si>
    <t>A</t>
  </si>
  <si>
    <t>ash content of feed intake expressed as a fraction</t>
  </si>
  <si>
    <t>Calculated from 3.2.1.1, (3)</t>
  </si>
  <si>
    <t>Methane production from the manure of grazing beef cattle</t>
  </si>
  <si>
    <t>VEERG 2026: 4.2.1.1, Equation (2)</t>
  </si>
  <si>
    <t>M_jklm</t>
  </si>
  <si>
    <t>kg CH4/head/day</t>
  </si>
  <si>
    <t>volatile solid production</t>
  </si>
  <si>
    <t>B_o</t>
  </si>
  <si>
    <t>emissions potential</t>
  </si>
  <si>
    <t>MMS_m</t>
  </si>
  <si>
    <t>fraction of waste in each manure management system</t>
  </si>
  <si>
    <t>MCF_im</t>
  </si>
  <si>
    <t>methane conversion factor for temperature zone and MMS</t>
  </si>
  <si>
    <t>rho</t>
  </si>
  <si>
    <t>density of methane</t>
  </si>
  <si>
    <t>i</t>
  </si>
  <si>
    <t>state</t>
  </si>
  <si>
    <t>region</t>
  </si>
  <si>
    <t>kg/day</t>
  </si>
  <si>
    <t>Calculated from 4.2.1.1 (3)</t>
  </si>
  <si>
    <t>m3 CH4/kg VS</t>
  </si>
  <si>
    <t>kg/m3</t>
  </si>
  <si>
    <t>Total annual methane production from manure management for grazing beef cattle</t>
  </si>
  <si>
    <t>VEERG 2026: 4.2.1.1, Equation (1)</t>
  </si>
  <si>
    <t>E_CH4</t>
  </si>
  <si>
    <t>N_jkl</t>
  </si>
  <si>
    <t>number of beef cattle in each time-period, class and subclass</t>
  </si>
  <si>
    <t>methane production from manure in each time-period, class, subclass and MMS</t>
  </si>
  <si>
    <t>D_j</t>
  </si>
  <si>
    <t>number of days in each time-period for each input class</t>
  </si>
  <si>
    <t>Calculated from 4.2.1.1 (2)</t>
  </si>
  <si>
    <t>Relative size of the cattle</t>
  </si>
  <si>
    <t>VEERG 2026: 4.2.1.3, Equation (7)</t>
  </si>
  <si>
    <t>Z_jkl</t>
  </si>
  <si>
    <t>ratio</t>
  </si>
  <si>
    <t>Intake relative to that needed for maintenance</t>
  </si>
  <si>
    <t>VEERG 2026: 4.2.1.3, Equation (6)</t>
  </si>
  <si>
    <t>L_jkl</t>
  </si>
  <si>
    <t>Milk production for the season of calving and season after calving</t>
  </si>
  <si>
    <t>VEERG 2026: 4.2.1.3, Equation (5)</t>
  </si>
  <si>
    <t>MP_jk5</t>
  </si>
  <si>
    <t>Amount of nitrogen retained by the body</t>
  </si>
  <si>
    <t>VEERG 2026: 4.2.1.3, Equation (4)</t>
  </si>
  <si>
    <t>NR_jkl</t>
  </si>
  <si>
    <t>kg N/head/day</t>
  </si>
  <si>
    <t>Nitrogen excreted</t>
  </si>
  <si>
    <t>VEERG 2026: 4.2.1.3, Equation (3)</t>
  </si>
  <si>
    <t>NE_jkl</t>
  </si>
  <si>
    <t>Total nitrogen excreted to pasture, range and paddock</t>
  </si>
  <si>
    <t>VEERG 2026: 4.2.1.3, Equation (2)</t>
  </si>
  <si>
    <t>kg N</t>
  </si>
  <si>
    <t>Total annual direct nitrous oxide emissions from agricultural soils from deposition of urine and dung</t>
  </si>
  <si>
    <t>VEERG 2026: 4.2.1.3, Equation (1)</t>
  </si>
  <si>
    <t>E_N2Odir</t>
  </si>
  <si>
    <t>Mass of nitrogen volatilised</t>
  </si>
  <si>
    <t>VEERG 2026: 4.2.1.5, Equation (2)</t>
  </si>
  <si>
    <t>M_vol</t>
  </si>
  <si>
    <t>Atmospheric deposition emissions from urine and dung deposited on pasture</t>
  </si>
  <si>
    <t>VEERG 2026: 4.2.1.5, Equation (1)</t>
  </si>
  <si>
    <t>E_N2Oad</t>
  </si>
  <si>
    <t>Mass of nitrogen lost to leaching and runoff</t>
  </si>
  <si>
    <t>VEERG 2026: 4.2.1.7, Equation (2)</t>
  </si>
  <si>
    <t>M_leach</t>
  </si>
  <si>
    <t>Leaching and runoff emissions from urine and dung deposited on pasture</t>
  </si>
  <si>
    <t>VEERG 2026: 4.2.1.7, Equation (1)</t>
  </si>
  <si>
    <t>E_N2Oleach</t>
  </si>
  <si>
    <t>Beef pasture cattle - Liveweight (kg) (Wjkl)</t>
  </si>
  <si>
    <t>VEERG 2026: Table A.1.2.1</t>
  </si>
  <si>
    <t>Wjkl</t>
  </si>
  <si>
    <t>ACT/NSW</t>
  </si>
  <si>
    <t>South Australia</t>
  </si>
  <si>
    <t>Tasmania</t>
  </si>
  <si>
    <t>Victoria</t>
  </si>
  <si>
    <t>Beef pasture cattle - Liveweight (kg) (Wjkl) for NT and QLD</t>
  </si>
  <si>
    <t>VEERG 2026: Table A.1.2.2</t>
  </si>
  <si>
    <t>Northern Territory</t>
  </si>
  <si>
    <t>NO</t>
  </si>
  <si>
    <t>Queensland</t>
  </si>
  <si>
    <t>Beef pasture cattle - Liveweight gain (kg) (LWGjkl)</t>
  </si>
  <si>
    <t>VEERG 2026: Table A.1.2.3</t>
  </si>
  <si>
    <t>LWGjkl</t>
  </si>
  <si>
    <t>Beef pasture cattle - Liveweight gain (kg) (LWGjkl) for NT and QLD</t>
  </si>
  <si>
    <t>VEERG 2026: Table A.1.2.4</t>
  </si>
  <si>
    <t>Beef pasture cattle - Dry matter digestibility of feed intake (fraction) (DMDj)</t>
  </si>
  <si>
    <t>VEERG 2026: Table A.1.2.5</t>
  </si>
  <si>
    <t>DMDj</t>
  </si>
  <si>
    <t>VARIATION ON SOURCE: Split ACT and NSW into separate rows. Duplicated QLD and NT rows with regions from table A.1.2.2 to aid lookup</t>
  </si>
  <si>
    <t>Beef pasture cattle - Crude protein content of feed intake (fraction) (CPj)</t>
  </si>
  <si>
    <t>VEERG 2026: Table A.1.2.6</t>
  </si>
  <si>
    <t>CPj</t>
  </si>
  <si>
    <t>Beef pasture cattle - Feed intake adjustment and milk production (kg/head/day)</t>
  </si>
  <si>
    <t>VEERG 2026: Table A.1.2.7</t>
  </si>
  <si>
    <t>MCjk=1,3,6; DMPjk=5</t>
  </si>
  <si>
    <t>Northern Brahman cross breed</t>
  </si>
  <si>
    <t>Beef pasture cattle - Standard reference weights (kg) (SRWk)</t>
  </si>
  <si>
    <t>VEERG 2026: Table A.1.2.8</t>
  </si>
  <si>
    <t>SRWk</t>
  </si>
  <si>
    <t>VARIATION ON SOURCE: Split ACT and NSW into separate rows. Added 'State abbreviation' column to aid lookup.</t>
  </si>
  <si>
    <t>Beef pasture cattle - Fraction of manure to each manure management system (fraction) (MMSm)</t>
  </si>
  <si>
    <t>VEERG 2026: Table A.1.2.9</t>
  </si>
  <si>
    <t>VARIATION ON SOURCE: Removed comma from 'Pasture range and paddock' to aid lookup</t>
  </si>
  <si>
    <t>Beef pasture cattle - Methane conversion factor per region (fraction) (MCFim)</t>
  </si>
  <si>
    <t>VEERG 2026: Table A.1.2.10</t>
  </si>
  <si>
    <t>MCFim</t>
  </si>
  <si>
    <t>Ash content of feed intake</t>
  </si>
  <si>
    <t>VEERG 2026: 4.2.2.3 CONSTANTS</t>
  </si>
  <si>
    <t>Methane emissions potential</t>
  </si>
  <si>
    <t>B0</t>
  </si>
  <si>
    <t>m3 CH4 / kg VS</t>
  </si>
  <si>
    <t>Fraction of nitrogen volatilised from urine and faeces deposited on pasture</t>
  </si>
  <si>
    <t>FracGASMSoil</t>
  </si>
  <si>
    <t>Default fraction of N that is lost through leaching and runoff</t>
  </si>
  <si>
    <t>FracLEACH</t>
  </si>
  <si>
    <t>Australian states and territories</t>
  </si>
  <si>
    <t>New South Wales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</si>
  <si>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</si>
  <si>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</si>
  <si>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</si>
  <si>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</si>
  <si>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</si>
  <si>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</si>
  <si>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</si>
  <si>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</si>
  <si>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</si>
  <si>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</si>
  <si>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</si>
  <si>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</si>
  <si>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</si>
  <si>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</si>
  <si>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</si>
  <si>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</si>
  <si>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</si>
  <si>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</si>
  <si>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</si>
  <si>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</si>
  <si>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</si>
  <si>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</si>
  <si>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</si>
  <si>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</si>
  <si>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</si>
  <si>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</si>
  <si>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</si>
  <si>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</si>
  <si>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</si>
  <si>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</si>
  <si>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</si>
  <si>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</si>
  <si>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</si>
  <si>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</si>
  <si>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</si>
  <si>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</si>
  <si>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</si>
  <si>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</si>
  <si>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</si>
  <si>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</si>
  <si>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</si>
  <si>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</si>
  <si>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</si>
  <si>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</si>
  <si>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</si>
  <si>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</si>
  <si>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</si>
  <si>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</si>
  <si>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</si>
  <si>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</si>
  <si>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</si>
  <si>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</si>
  <si>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</si>
  <si>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</si>
  <si>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</si>
  <si>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</si>
  <si>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</si>
  <si>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</si>
  <si>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</si>
  <si>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</si>
  <si>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</si>
  <si>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</si>
  <si>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</si>
  <si>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</si>
  <si>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</si>
  <si>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</si>
  <si>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</si>
  <si>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</si>
  <si>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</si>
  <si>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</si>
  <si>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</si>
  <si>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</si>
  <si>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</si>
  <si>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</si>
  <si>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</si>
  <si>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</si>
  <si>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</si>
  <si>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</si>
  <si>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</si>
  <si>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</si>
  <si>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</si>
  <si>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</si>
  <si>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</si>
  <si>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</si>
  <si>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</si>
  <si>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</si>
  <si>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</si>
  <si>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</si>
  <si>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</si>
  <si>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</si>
  <si>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</si>
  <si>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</si>
  <si>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</si>
  <si>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</si>
  <si>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</si>
  <si>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</si>
  <si>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</si>
  <si>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</si>
  <si>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</si>
  <si>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</si>
  <si>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</si>
  <si>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</si>
  <si>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</si>
  <si>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</si>
  <si>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</si>
  <si>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</si>
  <si>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</si>
  <si>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</si>
  <si>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</si>
  <si>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</si>
  <si>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</si>
  <si>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</si>
  <si>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</si>
  <si>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</si>
  <si>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</si>
  <si>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</si>
  <si>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</si>
  <si>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</si>
  <si>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</si>
  <si>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</si>
  <si>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</si>
  <si>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</si>
  <si>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</si>
  <si>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</si>
  <si>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</si>
  <si>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</si>
  <si>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</si>
  <si>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</si>
  <si>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</si>
  <si>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</si>
  <si>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</si>
  <si>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</si>
  <si>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</si>
  <si>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</si>
  <si>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</si>
  <si>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February</t>
  </si>
  <si>
    <t>March</t>
  </si>
  <si>
    <t>April</t>
  </si>
  <si>
    <t>May</t>
  </si>
  <si>
    <t>June</t>
  </si>
  <si>
    <t>July</t>
  </si>
  <si>
    <t>August</t>
  </si>
  <si>
    <t>September</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</si>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</sst>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3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00"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99"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98"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97"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96"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95"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94"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93"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92"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9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9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8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8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8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8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8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8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8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80"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53" totalsRowShown="0">
  <autoFilter ref="D85:P153"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79"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78"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77"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76"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75"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74"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73"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72"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71"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7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6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6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6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6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6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6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6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6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5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5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5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5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5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53"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5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5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5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4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4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4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4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4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4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4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4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4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4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3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3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3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3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35" dataCellStyle="Content normal">
      <calculatedColumnFormula>D351</calculatedColumnFormula>
    </tableColumn>
    <tableColumn id="2" xr3:uid="{B172192B-EDB5-47A5-A010-C82516ED13B5}" name="Bulls &lt; 1 year" dataDxfId="34" dataCellStyle="Content normal">
      <calculatedColumnFormula>E351</calculatedColumnFormula>
    </tableColumn>
    <tableColumn id="3" xr3:uid="{F83B528D-B6D7-4E92-967F-018ED1475D9B}" name="Bulls &gt; 1 year" dataDxfId="33" dataCellStyle="Content normal">
      <calculatedColumnFormula>F351</calculatedColumnFormula>
    </tableColumn>
    <tableColumn id="4" xr3:uid="{E83019D4-F113-4C9E-ADA7-433997A968A1}" name="Cows &lt; 1 year" dataDxfId="32" dataCellStyle="Content normal">
      <calculatedColumnFormula>G351</calculatedColumnFormula>
    </tableColumn>
    <tableColumn id="5" xr3:uid="{B51413B2-710F-409C-8C3C-6B72C8E99B49}" name="Cows 1-2 years" dataDxfId="31" dataCellStyle="Content normal">
      <calculatedColumnFormula>H351</calculatedColumnFormula>
    </tableColumn>
    <tableColumn id="6" xr3:uid="{F7B12596-1E7F-417C-83F5-67964BA7AAAE}" name="Cows 2-3 years" dataDxfId="30" dataCellStyle="Content normal">
      <calculatedColumnFormula>I351</calculatedColumnFormula>
    </tableColumn>
    <tableColumn id="7" xr3:uid="{C1B8EAD9-BCCE-49FF-9E3D-15E99DEC329C}" name="Cows &gt; 3 years" dataDxfId="29" dataCellStyle="Content normal">
      <calculatedColumnFormula>I351</calculatedColumnFormula>
    </tableColumn>
    <tableColumn id="8" xr3:uid="{6AB556D2-AF6C-4E98-9AA1-A8C6DC5F5CA9}" name="Steers &lt; 1 year" dataDxfId="28" dataCellStyle="Content normal">
      <calculatedColumnFormula>J351</calculatedColumnFormula>
    </tableColumn>
    <tableColumn id="9" xr3:uid="{46DC3CBA-6FB0-4A95-A39E-B2179DC8CFE6}" name="Steers 1-2 years" dataDxfId="27" dataCellStyle="Content normal">
      <calculatedColumnFormula>K351</calculatedColumnFormula>
    </tableColumn>
    <tableColumn id="10" xr3:uid="{105CEA90-EFAD-4757-B82A-B19E9A3F2664}" name="Steers 2-3 years" dataDxfId="26" dataCellStyle="Content normal"/>
    <tableColumn id="11" xr3:uid="{5E2A59D6-56CA-4967-885E-8602CA905B74}" name="Steers &gt;3 years" dataDxfId="25" dataCellStyle="Content normal"/>
    <tableColumn id="12" xr3:uid="{1C306FC1-FFBA-4C23-8EAD-1C07A5BAAA50}" name="State abbreviation" dataDxfId="24"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2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2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2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20"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1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1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1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1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1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1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1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1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1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1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1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1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1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0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8" t="e" vm="1">
        <v>#VALUE!</v>
      </c>
      <c r="C1" s="116" t="s">
        <v>161</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5" t="s">
        <v>113</v>
      </c>
      <c r="E6" s="115" t="s">
        <v>156</v>
      </c>
      <c r="F6" s="115" t="s">
        <v>157</v>
      </c>
      <c r="G6" s="115" t="s">
        <v>126</v>
      </c>
      <c r="H6" s="115" t="s">
        <v>158</v>
      </c>
      <c r="I6" s="115" t="s">
        <v>159</v>
      </c>
      <c r="J6" s="115" t="s">
        <v>127</v>
      </c>
      <c r="K6" s="22"/>
    </row>
    <row r="7" spans="1:11" ht="20.100000000000001" customHeight="1" x14ac:dyDescent="0.25">
      <c r="A7" s="17" t="str">
        <f>HYPERLINK("#'Input - Site'!A1", "Site")</f>
        <v>Site</v>
      </c>
      <c r="C7" s="22"/>
      <c r="D7" s="1" t="s">
        <v>162</v>
      </c>
      <c r="E7" s="112">
        <f>'4.2.1.1-2 Methane'!$E$244</f>
        <v>2.3956065897405399</v>
      </c>
      <c r="F7" s="112">
        <f>'4.2.1.1-2 Methane'!X276</f>
        <v>2.1745073472420153</v>
      </c>
      <c r="G7" s="54" t="s">
        <v>147</v>
      </c>
      <c r="H7" s="112">
        <f>'4.2.1.1-2 Methane'!$E$249</f>
        <v>67.076984512735123</v>
      </c>
      <c r="I7" s="112">
        <f>'4.2.1.1-2 Methane'!$X$281</f>
        <v>60.886205722776431</v>
      </c>
      <c r="J7" s="54" t="s">
        <v>152</v>
      </c>
      <c r="K7" s="22"/>
    </row>
    <row r="8" spans="1:11" ht="20.100000000000001" customHeight="1" x14ac:dyDescent="0.25">
      <c r="A8" s="17" t="str">
        <f>HYPERLINK("#'Input - Pasture Beef'!A1", "Pasture Beef")</f>
        <v>Pasture Beef</v>
      </c>
      <c r="C8" s="22"/>
      <c r="D8" s="1" t="s">
        <v>303</v>
      </c>
      <c r="E8" s="112">
        <f>'4.2.1.3-4 Soil direct N20'!$E$229</f>
        <v>0.21126043822504445</v>
      </c>
      <c r="F8" s="112">
        <f>'4.2.1.3-4 Soil direct N20'!$V$267</f>
        <v>0.18859599419036183</v>
      </c>
      <c r="G8" s="54" t="s">
        <v>302</v>
      </c>
      <c r="H8" s="112">
        <f>'4.2.1.3-4 Soil direct N20'!$E$234</f>
        <v>55.984016129636778</v>
      </c>
      <c r="I8" s="112">
        <f>'4.2.1.3-4 Soil direct N20'!$V$272</f>
        <v>49.977938460445884</v>
      </c>
      <c r="J8" s="54" t="s">
        <v>152</v>
      </c>
      <c r="K8" s="22"/>
    </row>
    <row r="9" spans="1:11" ht="20.100000000000001" customHeight="1" x14ac:dyDescent="0.25">
      <c r="A9" s="17"/>
      <c r="C9" s="22"/>
      <c r="D9" s="1" t="s">
        <v>304</v>
      </c>
      <c r="E9" s="112">
        <f>'4.2.1.5-6 Soil Atmos Dep'!$E$35</f>
        <v>3.9928222824533406E-2</v>
      </c>
      <c r="F9" s="112">
        <f>'4.2.1.5-6 Soil Atmos Dep'!$M$35</f>
        <v>3.5644642901978378E-2</v>
      </c>
      <c r="G9" s="54" t="str">
        <f>'4.2.1.5-6 Soil Atmos Dep'!$F$35</f>
        <v>t N2O</v>
      </c>
      <c r="H9" s="112">
        <f>'4.2.1.5-6 Soil Atmos Dep'!$E$40</f>
        <v>10.580979048501353</v>
      </c>
      <c r="I9" s="112">
        <f>'4.2.1.5-6 Soil Atmos Dep'!$M$40</f>
        <v>9.4458303690242698</v>
      </c>
      <c r="J9" s="54" t="s">
        <v>152</v>
      </c>
      <c r="K9" s="22"/>
    </row>
    <row r="10" spans="1:11" ht="20.100000000000001" customHeight="1" x14ac:dyDescent="0.25">
      <c r="A10" s="19" t="s">
        <v>76</v>
      </c>
      <c r="C10" s="22"/>
      <c r="D10" s="1" t="s">
        <v>305</v>
      </c>
      <c r="E10" s="112">
        <f>'4.2.1.7-8 Soil leach runoff'!$E$36</f>
        <v>0</v>
      </c>
      <c r="F10" s="112">
        <f>'4.2.1.7-8 Soil leach runoff'!$L$36</f>
        <v>0</v>
      </c>
      <c r="G10" s="54" t="str">
        <f>'4.2.1.7-8 Soil leach runoff'!$F$36</f>
        <v>t N2O</v>
      </c>
      <c r="H10" s="112">
        <f>'4.2.1.7-8 Soil leach runoff'!$E$41</f>
        <v>0</v>
      </c>
      <c r="I10" s="112">
        <f>'4.2.1.7-8 Soil leach runoff'!$L$41</f>
        <v>0</v>
      </c>
      <c r="J10" s="54" t="s">
        <v>152</v>
      </c>
      <c r="K10" s="22"/>
    </row>
    <row r="11" spans="1:11" ht="20.100000000000001" customHeight="1" x14ac:dyDescent="0.3">
      <c r="A11" s="17" t="str">
        <f>HYPERLINK("#'4.2.1.1-2 Methane'!A1", "4.2.1.1-2 Methane")</f>
        <v>4.2.1.1-2 Methane</v>
      </c>
      <c r="C11" s="22"/>
      <c r="D11" s="29" t="s">
        <v>125</v>
      </c>
      <c r="E11" s="23"/>
      <c r="F11" s="23"/>
      <c r="G11" s="29"/>
      <c r="H11" s="114">
        <f>SUM(H7:H10)</f>
        <v>133.64197969087326</v>
      </c>
      <c r="I11" s="114">
        <f>SUM(I7:I10)</f>
        <v>120.30997455224659</v>
      </c>
      <c r="J11" s="105" t="s">
        <v>152</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A3" sqref="A3:A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9"/>
      <c r="D4" s="69"/>
      <c r="E4" s="69"/>
      <c r="F4" s="69"/>
      <c r="G4" s="69"/>
      <c r="H4" s="69"/>
      <c r="I4" s="69"/>
      <c r="J4" s="69"/>
      <c r="K4" s="69"/>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72</v>
      </c>
      <c r="E8" s="33" t="s">
        <v>73</v>
      </c>
    </row>
    <row r="9" spans="1:24" ht="20.100000000000001" customHeight="1" x14ac:dyDescent="0.25">
      <c r="A9" s="17"/>
      <c r="N9" s="42"/>
    </row>
    <row r="10" spans="1:24" ht="20.100000000000001" customHeight="1" x14ac:dyDescent="0.25">
      <c r="A10" s="19" t="s">
        <v>76</v>
      </c>
      <c r="D10" s="94" t="s">
        <v>90</v>
      </c>
      <c r="E10" s="92"/>
      <c r="F10" s="95"/>
      <c r="G10" s="89"/>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96</v>
      </c>
      <c r="E12" s="64">
        <v>45292</v>
      </c>
      <c r="F12" s="2" t="s">
        <v>70</v>
      </c>
    </row>
    <row r="13" spans="1:24" ht="20.100000000000001" customHeight="1" x14ac:dyDescent="0.25">
      <c r="A13" s="17" t="str">
        <f>HYPERLINK("#'4.2.1.5-6 Soil Atmos Dep'!A1", "4.2.1.5-6 Soil atm. deposition")</f>
        <v>4.2.1.5-6 Soil atm. deposition</v>
      </c>
      <c r="D13" s="10" t="s">
        <v>97</v>
      </c>
      <c r="E13" s="70">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6" t="s">
        <v>16</v>
      </c>
      <c r="E18" s="91"/>
      <c r="F18" s="91"/>
      <c r="G18" s="87"/>
    </row>
    <row r="19" spans="1:25" ht="20.100000000000001" customHeight="1" x14ac:dyDescent="0.25">
      <c r="A19" s="17" t="str">
        <f>HYPERLINK("#'Constants - Common'!A1", "Constants - Common")</f>
        <v>Constants - Common</v>
      </c>
      <c r="D19" s="93" t="s">
        <v>71</v>
      </c>
      <c r="E19" s="90"/>
      <c r="F19" s="90"/>
      <c r="G19" s="88"/>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217</v>
      </c>
      <c r="F21" s="2" t="s">
        <v>11</v>
      </c>
    </row>
    <row r="22" spans="1:25" ht="20.100000000000001" customHeight="1" x14ac:dyDescent="0.25">
      <c r="A22" s="17"/>
      <c r="D22" s="1" t="s">
        <v>26</v>
      </c>
      <c r="E22" s="39" t="s">
        <v>34</v>
      </c>
      <c r="F22" s="2" t="s">
        <v>11</v>
      </c>
      <c r="G22" s="1"/>
    </row>
    <row r="23" spans="1:25" ht="20.100000000000001" customHeight="1" x14ac:dyDescent="0.25">
      <c r="A23" s="17"/>
      <c r="D23" s="1" t="s">
        <v>9</v>
      </c>
      <c r="E23" s="39" t="s">
        <v>95</v>
      </c>
      <c r="F23" s="2" t="s">
        <v>11</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12</v>
      </c>
      <c r="N25" s="41"/>
    </row>
    <row r="26" spans="1:25" ht="20.100000000000001" customHeight="1" x14ac:dyDescent="0.25">
      <c r="A26"/>
      <c r="D26" s="1" t="s">
        <v>62</v>
      </c>
      <c r="E26" s="33">
        <v>601</v>
      </c>
      <c r="F26" s="2" t="s">
        <v>13</v>
      </c>
    </row>
    <row r="27" spans="1:25" ht="20.100000000000001" customHeight="1" x14ac:dyDescent="0.25">
      <c r="A27"/>
      <c r="D27" s="10" t="s">
        <v>63</v>
      </c>
      <c r="E27" s="33">
        <v>1326</v>
      </c>
      <c r="F27" s="2" t="s">
        <v>13</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92</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1"/>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H109" zoomScale="115" zoomScaleNormal="115" workbookViewId="0">
      <selection activeCell="N126" sqref="N12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8" customFormat="1" ht="30" customHeight="1" x14ac:dyDescent="0.35">
      <c r="A1" s="68" t="e" vm="1">
        <v>#VALUE!</v>
      </c>
      <c r="C1" s="68" t="s">
        <v>160</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100</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203</v>
      </c>
      <c r="E8" s="39" t="s">
        <v>208</v>
      </c>
      <c r="F8" s="2" t="s">
        <v>11</v>
      </c>
      <c r="P8" s="3"/>
      <c r="T8" s="7"/>
    </row>
    <row r="9" spans="1:25" ht="20.100000000000001" customHeight="1" x14ac:dyDescent="0.25">
      <c r="A9" s="17"/>
      <c r="D9" s="1" t="s">
        <v>230</v>
      </c>
      <c r="E9" s="39" t="s">
        <v>238</v>
      </c>
      <c r="F9" s="2" t="s">
        <v>11</v>
      </c>
      <c r="T9" s="7"/>
    </row>
    <row r="10" spans="1:25" ht="20.100000000000001" customHeight="1" x14ac:dyDescent="0.25">
      <c r="A10" s="19" t="s">
        <v>76</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4" t="s">
        <v>180</v>
      </c>
      <c r="E12" s="95"/>
      <c r="F12" s="95"/>
      <c r="G12" s="89"/>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177</v>
      </c>
      <c r="T14" s="38"/>
    </row>
    <row r="15" spans="1:25" ht="20.100000000000001" customHeight="1" x14ac:dyDescent="0.25">
      <c r="A15" s="17"/>
      <c r="D15" s="63" t="s">
        <v>178</v>
      </c>
      <c r="E15" s="63" t="s">
        <v>130</v>
      </c>
      <c r="F15" s="63" t="s">
        <v>129</v>
      </c>
      <c r="G15" s="63" t="s">
        <v>164</v>
      </c>
      <c r="H15" s="63" t="s">
        <v>165</v>
      </c>
      <c r="I15" s="63" t="s">
        <v>166</v>
      </c>
      <c r="J15" s="63" t="s">
        <v>167</v>
      </c>
      <c r="K15" s="63" t="s">
        <v>168</v>
      </c>
      <c r="L15" s="63" t="s">
        <v>169</v>
      </c>
      <c r="M15" s="63" t="s">
        <v>170</v>
      </c>
      <c r="N15" s="63" t="s">
        <v>171</v>
      </c>
      <c r="T15" s="38"/>
    </row>
    <row r="16" spans="1:25" ht="20.100000000000001" customHeight="1" x14ac:dyDescent="0.25">
      <c r="A16" s="18" t="s">
        <v>4</v>
      </c>
      <c r="D16" s="1" t="s">
        <v>172</v>
      </c>
      <c r="E16" s="52">
        <v>91.25</v>
      </c>
      <c r="F16" s="52">
        <v>91.25</v>
      </c>
      <c r="G16" s="52">
        <v>91.25</v>
      </c>
      <c r="H16" s="52">
        <v>91.25</v>
      </c>
      <c r="I16" s="52">
        <v>91.25</v>
      </c>
      <c r="J16" s="52">
        <v>91.25</v>
      </c>
      <c r="K16" s="52">
        <v>91.25</v>
      </c>
      <c r="L16" s="52">
        <v>91.25</v>
      </c>
      <c r="M16" s="52">
        <v>91.25</v>
      </c>
      <c r="N16" s="52">
        <v>91.25</v>
      </c>
      <c r="O16" s="2" t="s">
        <v>54</v>
      </c>
      <c r="T16" s="38"/>
    </row>
    <row r="17" spans="1:20" ht="20.100000000000001" customHeight="1" x14ac:dyDescent="0.25">
      <c r="A17" s="17" t="str">
        <f>HYPERLINK("#'Constants - Pasture Beef'!A1", "Constants - Pasture Beef")</f>
        <v>Constants - Pasture Beef</v>
      </c>
      <c r="D17" s="1" t="s">
        <v>173</v>
      </c>
      <c r="E17" s="52">
        <v>91.25</v>
      </c>
      <c r="F17" s="52">
        <v>91.25</v>
      </c>
      <c r="G17" s="52">
        <v>91.25</v>
      </c>
      <c r="H17" s="52">
        <v>91.25</v>
      </c>
      <c r="I17" s="52">
        <v>91.25</v>
      </c>
      <c r="J17" s="52">
        <v>91.25</v>
      </c>
      <c r="K17" s="52">
        <v>91.25</v>
      </c>
      <c r="L17" s="52">
        <v>91.25</v>
      </c>
      <c r="M17" s="52">
        <v>91.25</v>
      </c>
      <c r="N17" s="52">
        <v>91.25</v>
      </c>
      <c r="O17" s="2" t="s">
        <v>54</v>
      </c>
      <c r="T17" s="7"/>
    </row>
    <row r="18" spans="1:20" ht="20.100000000000001" customHeight="1" x14ac:dyDescent="0.25">
      <c r="A18" s="17" t="str">
        <f>HYPERLINK("#'Constants - Livestock'!A1", "Constants - Livestock")</f>
        <v>Constants - Livestock</v>
      </c>
      <c r="D18" s="1" t="s">
        <v>174</v>
      </c>
      <c r="E18" s="52">
        <v>91.25</v>
      </c>
      <c r="F18" s="52">
        <v>91.25</v>
      </c>
      <c r="G18" s="52">
        <v>91.25</v>
      </c>
      <c r="H18" s="52">
        <v>91.25</v>
      </c>
      <c r="I18" s="52">
        <v>91.25</v>
      </c>
      <c r="J18" s="52">
        <v>91.25</v>
      </c>
      <c r="K18" s="52">
        <v>91.25</v>
      </c>
      <c r="L18" s="52">
        <v>91.25</v>
      </c>
      <c r="M18" s="52">
        <v>91.25</v>
      </c>
      <c r="N18" s="52">
        <v>91.25</v>
      </c>
      <c r="O18" s="2" t="s">
        <v>54</v>
      </c>
      <c r="T18" s="7"/>
    </row>
    <row r="19" spans="1:20" ht="20.100000000000001" customHeight="1" x14ac:dyDescent="0.25">
      <c r="A19" s="17" t="str">
        <f>HYPERLINK("#'Constants - Common'!A1", "Constants - Common")</f>
        <v>Constants - Common</v>
      </c>
      <c r="D19" s="1" t="s">
        <v>175</v>
      </c>
      <c r="E19" s="52">
        <v>91.25</v>
      </c>
      <c r="F19" s="52">
        <v>91.25</v>
      </c>
      <c r="G19" s="52">
        <v>91.25</v>
      </c>
      <c r="H19" s="52">
        <v>91.25</v>
      </c>
      <c r="I19" s="52">
        <v>91.25</v>
      </c>
      <c r="J19" s="52">
        <v>91.25</v>
      </c>
      <c r="K19" s="52">
        <v>91.25</v>
      </c>
      <c r="L19" s="52">
        <v>91.25</v>
      </c>
      <c r="M19" s="52">
        <v>91.25</v>
      </c>
      <c r="N19" s="52">
        <v>91.25</v>
      </c>
      <c r="O19" s="2" t="s">
        <v>54</v>
      </c>
      <c r="T19" s="7"/>
    </row>
    <row r="20" spans="1:20" ht="20.100000000000001" customHeight="1" x14ac:dyDescent="0.25">
      <c r="A20" s="17" t="str">
        <f>HYPERLINK("#'Acknowledgements'!A1", "Acknowledgements")</f>
        <v>Acknowledgements</v>
      </c>
      <c r="T20" s="7"/>
    </row>
    <row r="21" spans="1:20" ht="20.100000000000001" customHeight="1" x14ac:dyDescent="0.25">
      <c r="D21" s="63" t="s">
        <v>179</v>
      </c>
      <c r="E21" s="63" t="s">
        <v>130</v>
      </c>
      <c r="F21" s="63" t="s">
        <v>129</v>
      </c>
      <c r="G21" s="63" t="s">
        <v>164</v>
      </c>
      <c r="H21" s="63" t="s">
        <v>165</v>
      </c>
      <c r="I21" s="63" t="s">
        <v>166</v>
      </c>
      <c r="J21" s="63" t="s">
        <v>167</v>
      </c>
      <c r="K21" s="63" t="s">
        <v>168</v>
      </c>
      <c r="L21" s="63" t="s">
        <v>169</v>
      </c>
      <c r="M21" s="63" t="s">
        <v>170</v>
      </c>
      <c r="N21" s="63" t="s">
        <v>171</v>
      </c>
      <c r="T21" s="7"/>
    </row>
    <row r="22" spans="1:20" ht="20.100000000000001" customHeight="1" x14ac:dyDescent="0.25">
      <c r="A22" s="17"/>
      <c r="D22" s="1" t="str">
        <f>TEXT('Input - Site'!$E$12, "mmmm yyyy")</f>
        <v>January 2024</v>
      </c>
      <c r="E22" s="66">
        <f t="shared" ref="E22:N33" si="0">DAY(EOMONTH($D22,0))</f>
        <v>31</v>
      </c>
      <c r="F22" s="66">
        <f t="shared" si="0"/>
        <v>31</v>
      </c>
      <c r="G22" s="66">
        <f t="shared" si="0"/>
        <v>31</v>
      </c>
      <c r="H22" s="66">
        <f t="shared" si="0"/>
        <v>31</v>
      </c>
      <c r="I22" s="66">
        <f t="shared" si="0"/>
        <v>31</v>
      </c>
      <c r="J22" s="66">
        <f t="shared" si="0"/>
        <v>31</v>
      </c>
      <c r="K22" s="66">
        <f t="shared" si="0"/>
        <v>31</v>
      </c>
      <c r="L22" s="66">
        <f t="shared" si="0"/>
        <v>31</v>
      </c>
      <c r="M22" s="66">
        <f t="shared" si="0"/>
        <v>31</v>
      </c>
      <c r="N22" s="66">
        <f t="shared" si="0"/>
        <v>31</v>
      </c>
      <c r="O22" s="2" t="s">
        <v>54</v>
      </c>
      <c r="T22" s="7"/>
    </row>
    <row r="23" spans="1:20" ht="20.100000000000001" customHeight="1" x14ac:dyDescent="0.25">
      <c r="A23" s="17"/>
      <c r="D23" s="1" t="str">
        <f>TEXT(EDATE('Input - Site'!$E$12,1), "mmmm yyyy")</f>
        <v>February 2024</v>
      </c>
      <c r="E23" s="66">
        <f t="shared" si="0"/>
        <v>29</v>
      </c>
      <c r="F23" s="66">
        <f t="shared" si="0"/>
        <v>29</v>
      </c>
      <c r="G23" s="66">
        <f t="shared" si="0"/>
        <v>29</v>
      </c>
      <c r="H23" s="66">
        <f t="shared" si="0"/>
        <v>29</v>
      </c>
      <c r="I23" s="66">
        <f t="shared" si="0"/>
        <v>29</v>
      </c>
      <c r="J23" s="66">
        <f t="shared" si="0"/>
        <v>29</v>
      </c>
      <c r="K23" s="66">
        <f t="shared" si="0"/>
        <v>29</v>
      </c>
      <c r="L23" s="66">
        <f t="shared" si="0"/>
        <v>29</v>
      </c>
      <c r="M23" s="66">
        <f t="shared" si="0"/>
        <v>29</v>
      </c>
      <c r="N23" s="66">
        <f t="shared" si="0"/>
        <v>29</v>
      </c>
      <c r="O23" s="2" t="s">
        <v>54</v>
      </c>
      <c r="T23" s="7"/>
    </row>
    <row r="24" spans="1:20" ht="20.100000000000001" customHeight="1" x14ac:dyDescent="0.25">
      <c r="A24" s="17"/>
      <c r="D24" s="1" t="str">
        <f>TEXT(EDATE('Input - Site'!$E$12,2), "mmmm yyyy")</f>
        <v>March 2024</v>
      </c>
      <c r="E24" s="66">
        <f t="shared" si="0"/>
        <v>31</v>
      </c>
      <c r="F24" s="66">
        <f t="shared" si="0"/>
        <v>31</v>
      </c>
      <c r="G24" s="66">
        <f t="shared" si="0"/>
        <v>31</v>
      </c>
      <c r="H24" s="66">
        <f t="shared" si="0"/>
        <v>31</v>
      </c>
      <c r="I24" s="66">
        <f t="shared" si="0"/>
        <v>31</v>
      </c>
      <c r="J24" s="66">
        <f t="shared" si="0"/>
        <v>31</v>
      </c>
      <c r="K24" s="66">
        <f t="shared" si="0"/>
        <v>31</v>
      </c>
      <c r="L24" s="66">
        <f t="shared" si="0"/>
        <v>31</v>
      </c>
      <c r="M24" s="66">
        <f t="shared" si="0"/>
        <v>31</v>
      </c>
      <c r="N24" s="66">
        <f t="shared" si="0"/>
        <v>31</v>
      </c>
      <c r="O24" s="2" t="s">
        <v>54</v>
      </c>
      <c r="T24" s="7"/>
    </row>
    <row r="25" spans="1:20" ht="20.100000000000001" customHeight="1" x14ac:dyDescent="0.25">
      <c r="D25" s="1" t="str">
        <f>TEXT(EDATE('Input - Site'!$E$12,3), "mmmm yyyy")</f>
        <v>April 2024</v>
      </c>
      <c r="E25" s="66">
        <f t="shared" si="0"/>
        <v>30</v>
      </c>
      <c r="F25" s="66">
        <f t="shared" si="0"/>
        <v>30</v>
      </c>
      <c r="G25" s="66">
        <f t="shared" si="0"/>
        <v>30</v>
      </c>
      <c r="H25" s="66">
        <f t="shared" si="0"/>
        <v>30</v>
      </c>
      <c r="I25" s="66">
        <f t="shared" si="0"/>
        <v>30</v>
      </c>
      <c r="J25" s="66">
        <f t="shared" si="0"/>
        <v>30</v>
      </c>
      <c r="K25" s="66">
        <f t="shared" si="0"/>
        <v>30</v>
      </c>
      <c r="L25" s="66">
        <f t="shared" si="0"/>
        <v>30</v>
      </c>
      <c r="M25" s="66">
        <f t="shared" si="0"/>
        <v>30</v>
      </c>
      <c r="N25" s="66">
        <f t="shared" si="0"/>
        <v>30</v>
      </c>
      <c r="O25" s="2" t="s">
        <v>54</v>
      </c>
      <c r="T25" s="7"/>
    </row>
    <row r="26" spans="1:20" ht="20.100000000000001" customHeight="1" x14ac:dyDescent="0.25">
      <c r="A26" s="17"/>
      <c r="D26" s="1" t="str">
        <f>TEXT(EDATE('Input - Site'!$E$12,4), "mmmm yyyy")</f>
        <v>May 2024</v>
      </c>
      <c r="E26" s="66">
        <f t="shared" si="0"/>
        <v>31</v>
      </c>
      <c r="F26" s="66">
        <f t="shared" si="0"/>
        <v>31</v>
      </c>
      <c r="G26" s="66">
        <f t="shared" si="0"/>
        <v>31</v>
      </c>
      <c r="H26" s="66">
        <f t="shared" si="0"/>
        <v>31</v>
      </c>
      <c r="I26" s="66">
        <f t="shared" si="0"/>
        <v>31</v>
      </c>
      <c r="J26" s="66">
        <f t="shared" si="0"/>
        <v>31</v>
      </c>
      <c r="K26" s="66">
        <f t="shared" si="0"/>
        <v>31</v>
      </c>
      <c r="L26" s="66">
        <f t="shared" si="0"/>
        <v>31</v>
      </c>
      <c r="M26" s="66">
        <f t="shared" si="0"/>
        <v>31</v>
      </c>
      <c r="N26" s="66">
        <f t="shared" si="0"/>
        <v>31</v>
      </c>
      <c r="O26" s="2" t="s">
        <v>54</v>
      </c>
      <c r="T26" s="7"/>
    </row>
    <row r="27" spans="1:20" ht="20.100000000000001" customHeight="1" x14ac:dyDescent="0.25">
      <c r="A27" s="17"/>
      <c r="D27" s="1" t="str">
        <f>TEXT(EDATE('Input - Site'!$E$12,5), "mmmm yyyy")</f>
        <v>June 2024</v>
      </c>
      <c r="E27" s="66">
        <f t="shared" si="0"/>
        <v>30</v>
      </c>
      <c r="F27" s="66">
        <f t="shared" si="0"/>
        <v>30</v>
      </c>
      <c r="G27" s="66">
        <f t="shared" si="0"/>
        <v>30</v>
      </c>
      <c r="H27" s="66">
        <f t="shared" si="0"/>
        <v>30</v>
      </c>
      <c r="I27" s="66">
        <f t="shared" si="0"/>
        <v>30</v>
      </c>
      <c r="J27" s="66">
        <f t="shared" si="0"/>
        <v>30</v>
      </c>
      <c r="K27" s="66">
        <f t="shared" si="0"/>
        <v>30</v>
      </c>
      <c r="L27" s="66">
        <f t="shared" si="0"/>
        <v>30</v>
      </c>
      <c r="M27" s="66">
        <f t="shared" si="0"/>
        <v>30</v>
      </c>
      <c r="N27" s="66">
        <f t="shared" si="0"/>
        <v>30</v>
      </c>
      <c r="O27" s="2" t="s">
        <v>54</v>
      </c>
      <c r="T27" s="7"/>
    </row>
    <row r="28" spans="1:20" ht="20.100000000000001" customHeight="1" x14ac:dyDescent="0.25">
      <c r="A28" s="17"/>
      <c r="D28" s="1" t="str">
        <f>TEXT(EDATE('Input - Site'!$E$12,6), "mmmm yyyy")</f>
        <v>July 2024</v>
      </c>
      <c r="E28" s="66">
        <f t="shared" si="0"/>
        <v>31</v>
      </c>
      <c r="F28" s="66">
        <f t="shared" si="0"/>
        <v>31</v>
      </c>
      <c r="G28" s="66">
        <f t="shared" si="0"/>
        <v>31</v>
      </c>
      <c r="H28" s="66">
        <f t="shared" si="0"/>
        <v>31</v>
      </c>
      <c r="I28" s="66">
        <f t="shared" si="0"/>
        <v>31</v>
      </c>
      <c r="J28" s="66">
        <f t="shared" si="0"/>
        <v>31</v>
      </c>
      <c r="K28" s="66">
        <f t="shared" si="0"/>
        <v>31</v>
      </c>
      <c r="L28" s="66">
        <f t="shared" si="0"/>
        <v>31</v>
      </c>
      <c r="M28" s="66">
        <f t="shared" si="0"/>
        <v>31</v>
      </c>
      <c r="N28" s="66">
        <f t="shared" si="0"/>
        <v>31</v>
      </c>
      <c r="O28" s="2" t="s">
        <v>54</v>
      </c>
      <c r="T28" s="7"/>
    </row>
    <row r="29" spans="1:20" ht="20.100000000000001" customHeight="1" x14ac:dyDescent="0.25">
      <c r="A29" s="17"/>
      <c r="D29" s="1" t="str">
        <f>TEXT(EDATE('Input - Site'!$E$12,7), "mmmm yyyy")</f>
        <v>August 2024</v>
      </c>
      <c r="E29" s="66">
        <f t="shared" si="0"/>
        <v>31</v>
      </c>
      <c r="F29" s="66">
        <f t="shared" si="0"/>
        <v>31</v>
      </c>
      <c r="G29" s="66">
        <f t="shared" si="0"/>
        <v>31</v>
      </c>
      <c r="H29" s="66">
        <f t="shared" si="0"/>
        <v>31</v>
      </c>
      <c r="I29" s="66">
        <f t="shared" si="0"/>
        <v>31</v>
      </c>
      <c r="J29" s="66">
        <f t="shared" si="0"/>
        <v>31</v>
      </c>
      <c r="K29" s="66">
        <f t="shared" si="0"/>
        <v>31</v>
      </c>
      <c r="L29" s="66">
        <f t="shared" si="0"/>
        <v>31</v>
      </c>
      <c r="M29" s="66">
        <f t="shared" si="0"/>
        <v>31</v>
      </c>
      <c r="N29" s="66">
        <f t="shared" si="0"/>
        <v>31</v>
      </c>
      <c r="O29" s="2" t="s">
        <v>54</v>
      </c>
      <c r="T29" s="7"/>
    </row>
    <row r="30" spans="1:20" ht="20.100000000000001" customHeight="1" x14ac:dyDescent="0.25">
      <c r="A30" s="17"/>
      <c r="D30" s="1" t="str">
        <f>TEXT(EDATE('Input - Site'!$E$12,8), "mmmm yyyy")</f>
        <v>September 2024</v>
      </c>
      <c r="E30" s="66">
        <f t="shared" si="0"/>
        <v>30</v>
      </c>
      <c r="F30" s="66">
        <f t="shared" si="0"/>
        <v>30</v>
      </c>
      <c r="G30" s="66">
        <f t="shared" si="0"/>
        <v>30</v>
      </c>
      <c r="H30" s="66">
        <f t="shared" si="0"/>
        <v>30</v>
      </c>
      <c r="I30" s="66">
        <f t="shared" si="0"/>
        <v>30</v>
      </c>
      <c r="J30" s="66">
        <f t="shared" si="0"/>
        <v>30</v>
      </c>
      <c r="K30" s="66">
        <f t="shared" si="0"/>
        <v>30</v>
      </c>
      <c r="L30" s="66">
        <f t="shared" si="0"/>
        <v>30</v>
      </c>
      <c r="M30" s="66">
        <f t="shared" si="0"/>
        <v>30</v>
      </c>
      <c r="N30" s="66">
        <f t="shared" si="0"/>
        <v>30</v>
      </c>
      <c r="O30" s="2" t="s">
        <v>54</v>
      </c>
      <c r="T30" s="7"/>
    </row>
    <row r="31" spans="1:20" ht="20.100000000000001" customHeight="1" x14ac:dyDescent="0.25">
      <c r="A31" s="67"/>
      <c r="D31" s="1" t="str">
        <f>TEXT(EDATE('Input - Site'!$E$12,9), "mmmm yyyy")</f>
        <v>October 2024</v>
      </c>
      <c r="E31" s="66">
        <f t="shared" si="0"/>
        <v>31</v>
      </c>
      <c r="F31" s="66">
        <f t="shared" si="0"/>
        <v>31</v>
      </c>
      <c r="G31" s="66">
        <f t="shared" si="0"/>
        <v>31</v>
      </c>
      <c r="H31" s="66">
        <f t="shared" si="0"/>
        <v>31</v>
      </c>
      <c r="I31" s="66">
        <f t="shared" si="0"/>
        <v>31</v>
      </c>
      <c r="J31" s="66">
        <f t="shared" si="0"/>
        <v>31</v>
      </c>
      <c r="K31" s="66">
        <f t="shared" si="0"/>
        <v>31</v>
      </c>
      <c r="L31" s="66">
        <f t="shared" si="0"/>
        <v>31</v>
      </c>
      <c r="M31" s="66">
        <f t="shared" si="0"/>
        <v>31</v>
      </c>
      <c r="N31" s="66">
        <f t="shared" si="0"/>
        <v>31</v>
      </c>
      <c r="O31" s="2" t="s">
        <v>54</v>
      </c>
      <c r="T31" s="7"/>
    </row>
    <row r="32" spans="1:20" ht="20.100000000000001" customHeight="1" x14ac:dyDescent="0.25">
      <c r="A32" s="67"/>
      <c r="D32" s="1" t="str">
        <f>TEXT(EDATE('Input - Site'!$E$12,10), "mmmm yyyy")</f>
        <v>November 2024</v>
      </c>
      <c r="E32" s="66">
        <f t="shared" si="0"/>
        <v>30</v>
      </c>
      <c r="F32" s="66">
        <f t="shared" si="0"/>
        <v>30</v>
      </c>
      <c r="G32" s="66">
        <f t="shared" si="0"/>
        <v>30</v>
      </c>
      <c r="H32" s="66">
        <f t="shared" si="0"/>
        <v>30</v>
      </c>
      <c r="I32" s="66">
        <f t="shared" si="0"/>
        <v>30</v>
      </c>
      <c r="J32" s="66">
        <f t="shared" si="0"/>
        <v>30</v>
      </c>
      <c r="K32" s="66">
        <f t="shared" si="0"/>
        <v>30</v>
      </c>
      <c r="L32" s="66">
        <f t="shared" si="0"/>
        <v>30</v>
      </c>
      <c r="M32" s="66">
        <f t="shared" si="0"/>
        <v>30</v>
      </c>
      <c r="N32" s="66">
        <f t="shared" si="0"/>
        <v>30</v>
      </c>
      <c r="O32" s="2" t="s">
        <v>54</v>
      </c>
      <c r="T32" s="7"/>
    </row>
    <row r="33" spans="1:20" ht="20.100000000000001" customHeight="1" x14ac:dyDescent="0.25">
      <c r="A33" s="17"/>
      <c r="D33" s="1" t="str">
        <f>TEXT(EDATE('Input - Site'!$E$12,11), "mmmm yyyy")</f>
        <v>December 2024</v>
      </c>
      <c r="E33" s="66">
        <f t="shared" si="0"/>
        <v>31</v>
      </c>
      <c r="F33" s="66">
        <f t="shared" si="0"/>
        <v>31</v>
      </c>
      <c r="G33" s="66">
        <f t="shared" si="0"/>
        <v>31</v>
      </c>
      <c r="H33" s="66">
        <f t="shared" si="0"/>
        <v>31</v>
      </c>
      <c r="I33" s="66">
        <f t="shared" si="0"/>
        <v>31</v>
      </c>
      <c r="J33" s="66">
        <f t="shared" si="0"/>
        <v>31</v>
      </c>
      <c r="K33" s="66">
        <f t="shared" si="0"/>
        <v>31</v>
      </c>
      <c r="L33" s="66">
        <f t="shared" si="0"/>
        <v>31</v>
      </c>
      <c r="M33" s="66">
        <f t="shared" si="0"/>
        <v>31</v>
      </c>
      <c r="N33" s="66">
        <f t="shared" si="0"/>
        <v>31</v>
      </c>
      <c r="O33" s="2" t="s">
        <v>54</v>
      </c>
      <c r="T33" s="7"/>
    </row>
    <row r="34" spans="1:20" ht="20.100000000000001" customHeight="1" x14ac:dyDescent="0.25">
      <c r="T34" s="7"/>
    </row>
    <row r="35" spans="1:20" ht="20.100000000000001" customHeight="1" x14ac:dyDescent="0.25">
      <c r="T35" s="7"/>
    </row>
    <row r="36" spans="1:20" ht="20.100000000000001" customHeight="1" x14ac:dyDescent="0.25">
      <c r="D36" s="48" t="s">
        <v>102</v>
      </c>
      <c r="T36" s="7"/>
    </row>
    <row r="37" spans="1:20" ht="20.100000000000001" customHeight="1" x14ac:dyDescent="0.25">
      <c r="D37" s="63" t="s">
        <v>135</v>
      </c>
      <c r="E37" s="63" t="s">
        <v>130</v>
      </c>
      <c r="F37" s="63" t="s">
        <v>129</v>
      </c>
      <c r="G37" s="63" t="s">
        <v>164</v>
      </c>
      <c r="H37" s="63" t="s">
        <v>165</v>
      </c>
      <c r="I37" s="63" t="s">
        <v>166</v>
      </c>
      <c r="J37" s="63" t="s">
        <v>167</v>
      </c>
      <c r="K37" s="63" t="s">
        <v>168</v>
      </c>
      <c r="L37" s="63" t="s">
        <v>169</v>
      </c>
      <c r="M37" s="63" t="s">
        <v>170</v>
      </c>
      <c r="N37" s="63" t="s">
        <v>171</v>
      </c>
      <c r="T37" s="7"/>
    </row>
    <row r="38" spans="1:20" ht="20.100000000000001" customHeight="1" x14ac:dyDescent="0.25">
      <c r="D38" s="1" t="s">
        <v>172</v>
      </c>
      <c r="E38" s="66">
        <v>100</v>
      </c>
      <c r="F38" s="66">
        <v>100</v>
      </c>
      <c r="G38" s="66">
        <v>100</v>
      </c>
      <c r="H38" s="66">
        <v>100</v>
      </c>
      <c r="I38" s="66">
        <v>100</v>
      </c>
      <c r="J38" s="66">
        <v>100</v>
      </c>
      <c r="K38" s="66">
        <v>100</v>
      </c>
      <c r="L38" s="66">
        <v>100</v>
      </c>
      <c r="M38" s="66">
        <v>100</v>
      </c>
      <c r="N38" s="66">
        <v>100</v>
      </c>
      <c r="O38" s="2" t="s">
        <v>102</v>
      </c>
      <c r="T38" s="7"/>
    </row>
    <row r="39" spans="1:20" ht="20.100000000000001" customHeight="1" x14ac:dyDescent="0.25">
      <c r="A39" s="17"/>
      <c r="D39" s="1" t="s">
        <v>173</v>
      </c>
      <c r="E39" s="66">
        <v>100</v>
      </c>
      <c r="F39" s="66">
        <v>100</v>
      </c>
      <c r="G39" s="66">
        <v>100</v>
      </c>
      <c r="H39" s="66">
        <v>100</v>
      </c>
      <c r="I39" s="66">
        <v>100</v>
      </c>
      <c r="J39" s="66">
        <v>100</v>
      </c>
      <c r="K39" s="66">
        <v>100</v>
      </c>
      <c r="L39" s="66">
        <v>100</v>
      </c>
      <c r="M39" s="66">
        <v>100</v>
      </c>
      <c r="N39" s="66">
        <v>100</v>
      </c>
      <c r="O39" s="2" t="s">
        <v>102</v>
      </c>
      <c r="T39" s="7"/>
    </row>
    <row r="40" spans="1:20" ht="20.100000000000001" customHeight="1" x14ac:dyDescent="0.25">
      <c r="D40" s="1" t="s">
        <v>174</v>
      </c>
      <c r="E40" s="66">
        <v>200</v>
      </c>
      <c r="F40" s="66">
        <v>100</v>
      </c>
      <c r="G40" s="66">
        <v>200</v>
      </c>
      <c r="H40" s="66">
        <v>100</v>
      </c>
      <c r="I40" s="66">
        <v>100</v>
      </c>
      <c r="J40" s="66">
        <v>100</v>
      </c>
      <c r="K40" s="66">
        <v>200</v>
      </c>
      <c r="L40" s="66">
        <v>100</v>
      </c>
      <c r="M40" s="66">
        <v>100</v>
      </c>
      <c r="N40" s="66">
        <v>100</v>
      </c>
      <c r="O40" s="2" t="s">
        <v>102</v>
      </c>
      <c r="T40" s="7"/>
    </row>
    <row r="41" spans="1:20" ht="20.100000000000001" customHeight="1" x14ac:dyDescent="0.25">
      <c r="A41" s="44"/>
      <c r="D41" s="1" t="s">
        <v>175</v>
      </c>
      <c r="E41" s="66">
        <v>250</v>
      </c>
      <c r="F41" s="66">
        <v>100</v>
      </c>
      <c r="G41" s="66">
        <v>250</v>
      </c>
      <c r="H41" s="66">
        <v>100</v>
      </c>
      <c r="I41" s="66">
        <v>100</v>
      </c>
      <c r="J41" s="66">
        <v>100</v>
      </c>
      <c r="K41" s="66">
        <v>250</v>
      </c>
      <c r="L41" s="66">
        <v>100</v>
      </c>
      <c r="M41" s="66">
        <v>100</v>
      </c>
      <c r="N41" s="66">
        <v>100</v>
      </c>
      <c r="O41" s="2" t="s">
        <v>102</v>
      </c>
      <c r="T41" s="7"/>
    </row>
    <row r="42" spans="1:20" ht="20.100000000000001" customHeight="1" x14ac:dyDescent="0.25">
      <c r="O42" s="2"/>
      <c r="T42" s="7"/>
    </row>
    <row r="43" spans="1:20" ht="20.100000000000001" customHeight="1" x14ac:dyDescent="0.25">
      <c r="D43" s="63" t="s">
        <v>136</v>
      </c>
      <c r="E43" s="63" t="s">
        <v>130</v>
      </c>
      <c r="F43" s="63" t="s">
        <v>129</v>
      </c>
      <c r="G43" s="63" t="s">
        <v>164</v>
      </c>
      <c r="H43" s="63" t="s">
        <v>165</v>
      </c>
      <c r="I43" s="63" t="s">
        <v>166</v>
      </c>
      <c r="J43" s="63" t="s">
        <v>167</v>
      </c>
      <c r="K43" s="63" t="s">
        <v>168</v>
      </c>
      <c r="L43" s="63" t="s">
        <v>169</v>
      </c>
      <c r="M43" s="63" t="s">
        <v>170</v>
      </c>
      <c r="N43" s="63" t="s">
        <v>171</v>
      </c>
      <c r="O43" s="2"/>
      <c r="T43" s="7"/>
    </row>
    <row r="44" spans="1:20" ht="20.100000000000001" customHeight="1" x14ac:dyDescent="0.25">
      <c r="D44" s="1" t="str">
        <f>TEXT('Input - Site'!$E$12, "mmmm yyyy")</f>
        <v>January 2024</v>
      </c>
      <c r="E44" s="66">
        <v>100</v>
      </c>
      <c r="F44" s="66">
        <v>100</v>
      </c>
      <c r="G44" s="66">
        <v>100</v>
      </c>
      <c r="H44" s="66">
        <v>100</v>
      </c>
      <c r="I44" s="66">
        <v>100</v>
      </c>
      <c r="J44" s="66">
        <v>100</v>
      </c>
      <c r="K44" s="66">
        <v>100</v>
      </c>
      <c r="L44" s="66">
        <v>100</v>
      </c>
      <c r="M44" s="66">
        <v>100</v>
      </c>
      <c r="N44" s="66">
        <v>100</v>
      </c>
      <c r="O44" s="2" t="s">
        <v>102</v>
      </c>
      <c r="T44" s="7"/>
    </row>
    <row r="45" spans="1:20" ht="20.100000000000001" customHeight="1" x14ac:dyDescent="0.25">
      <c r="D45" s="1" t="str">
        <f>TEXT(EDATE('Input - Site'!$E$12,1), "mmmm yyyy")</f>
        <v>February 2024</v>
      </c>
      <c r="E45" s="66">
        <v>100</v>
      </c>
      <c r="F45" s="66">
        <v>100</v>
      </c>
      <c r="G45" s="66">
        <v>100</v>
      </c>
      <c r="H45" s="66">
        <v>100</v>
      </c>
      <c r="I45" s="66">
        <v>100</v>
      </c>
      <c r="J45" s="66">
        <v>100</v>
      </c>
      <c r="K45" s="66">
        <v>100</v>
      </c>
      <c r="L45" s="66">
        <v>100</v>
      </c>
      <c r="M45" s="66">
        <v>100</v>
      </c>
      <c r="N45" s="66">
        <v>100</v>
      </c>
      <c r="O45" s="2" t="s">
        <v>102</v>
      </c>
      <c r="T45" s="7"/>
    </row>
    <row r="46" spans="1:20" ht="20.100000000000001" customHeight="1" x14ac:dyDescent="0.25">
      <c r="D46" s="1" t="str">
        <f>TEXT(EDATE('Input - Site'!$E$12,2), "mmmm yyyy")</f>
        <v>March 2024</v>
      </c>
      <c r="E46" s="66">
        <v>100</v>
      </c>
      <c r="F46" s="66">
        <v>100</v>
      </c>
      <c r="G46" s="66">
        <v>100</v>
      </c>
      <c r="H46" s="66">
        <v>100</v>
      </c>
      <c r="I46" s="66">
        <v>100</v>
      </c>
      <c r="J46" s="66">
        <v>100</v>
      </c>
      <c r="K46" s="66">
        <v>100</v>
      </c>
      <c r="L46" s="66">
        <v>100</v>
      </c>
      <c r="M46" s="66">
        <v>100</v>
      </c>
      <c r="N46" s="66">
        <v>100</v>
      </c>
      <c r="O46" s="2" t="s">
        <v>102</v>
      </c>
      <c r="T46" s="7"/>
    </row>
    <row r="47" spans="1:20" ht="20.100000000000001" customHeight="1" x14ac:dyDescent="0.25">
      <c r="D47" s="1" t="str">
        <f>TEXT(EDATE('Input - Site'!$E$12,3), "mmmm yyyy")</f>
        <v>April 2024</v>
      </c>
      <c r="E47" s="66">
        <v>100</v>
      </c>
      <c r="F47" s="66">
        <v>100</v>
      </c>
      <c r="G47" s="66">
        <v>100</v>
      </c>
      <c r="H47" s="66">
        <v>100</v>
      </c>
      <c r="I47" s="66">
        <v>100</v>
      </c>
      <c r="J47" s="66">
        <v>100</v>
      </c>
      <c r="K47" s="66">
        <v>100</v>
      </c>
      <c r="L47" s="66">
        <v>100</v>
      </c>
      <c r="M47" s="66">
        <v>100</v>
      </c>
      <c r="N47" s="66">
        <v>100</v>
      </c>
      <c r="O47" s="2" t="s">
        <v>102</v>
      </c>
      <c r="T47" s="7"/>
    </row>
    <row r="48" spans="1:20" ht="20.100000000000001" customHeight="1" x14ac:dyDescent="0.25">
      <c r="D48" s="1" t="str">
        <f>TEXT(EDATE('Input - Site'!$E$12,4), "mmmm yyyy")</f>
        <v>May 2024</v>
      </c>
      <c r="E48" s="66">
        <v>100</v>
      </c>
      <c r="F48" s="66">
        <v>100</v>
      </c>
      <c r="G48" s="66">
        <v>100</v>
      </c>
      <c r="H48" s="66">
        <v>100</v>
      </c>
      <c r="I48" s="66">
        <v>100</v>
      </c>
      <c r="J48" s="66">
        <v>100</v>
      </c>
      <c r="K48" s="66">
        <v>100</v>
      </c>
      <c r="L48" s="66">
        <v>100</v>
      </c>
      <c r="M48" s="66">
        <v>100</v>
      </c>
      <c r="N48" s="66">
        <v>100</v>
      </c>
      <c r="O48" s="2" t="s">
        <v>102</v>
      </c>
      <c r="T48" s="7"/>
    </row>
    <row r="49" spans="4:20" ht="20.100000000000001" customHeight="1" x14ac:dyDescent="0.25">
      <c r="D49" s="1" t="str">
        <f>TEXT(EDATE('Input - Site'!$E$12,5), "mmmm yyyy")</f>
        <v>June 2024</v>
      </c>
      <c r="E49" s="66">
        <v>100</v>
      </c>
      <c r="F49" s="66">
        <v>100</v>
      </c>
      <c r="G49" s="66">
        <v>100</v>
      </c>
      <c r="H49" s="66">
        <v>100</v>
      </c>
      <c r="I49" s="66">
        <v>100</v>
      </c>
      <c r="J49" s="66">
        <v>100</v>
      </c>
      <c r="K49" s="66">
        <v>100</v>
      </c>
      <c r="L49" s="66">
        <v>100</v>
      </c>
      <c r="M49" s="66">
        <v>100</v>
      </c>
      <c r="N49" s="66">
        <v>100</v>
      </c>
      <c r="O49" s="2" t="s">
        <v>102</v>
      </c>
      <c r="T49" s="7"/>
    </row>
    <row r="50" spans="4:20" ht="20.100000000000001" customHeight="1" x14ac:dyDescent="0.25">
      <c r="D50" s="1" t="str">
        <f>TEXT(EDATE('Input - Site'!$E$12,6), "mmmm yyyy")</f>
        <v>July 2024</v>
      </c>
      <c r="E50" s="66">
        <v>100</v>
      </c>
      <c r="F50" s="66">
        <v>100</v>
      </c>
      <c r="G50" s="66">
        <v>100</v>
      </c>
      <c r="H50" s="66">
        <v>100</v>
      </c>
      <c r="I50" s="66">
        <v>100</v>
      </c>
      <c r="J50" s="66">
        <v>100</v>
      </c>
      <c r="K50" s="66">
        <v>100</v>
      </c>
      <c r="L50" s="66">
        <v>100</v>
      </c>
      <c r="M50" s="66">
        <v>100</v>
      </c>
      <c r="N50" s="66">
        <v>100</v>
      </c>
      <c r="O50" s="2" t="s">
        <v>102</v>
      </c>
      <c r="P50" s="3"/>
      <c r="T50" s="7"/>
    </row>
    <row r="51" spans="4:20" ht="20.100000000000001" customHeight="1" x14ac:dyDescent="0.25">
      <c r="D51" s="1" t="str">
        <f>TEXT(EDATE('Input - Site'!$E$12,7), "mmmm yyyy")</f>
        <v>August 2024</v>
      </c>
      <c r="E51" s="66">
        <v>100</v>
      </c>
      <c r="F51" s="66">
        <v>100</v>
      </c>
      <c r="G51" s="66">
        <v>100</v>
      </c>
      <c r="H51" s="66">
        <v>100</v>
      </c>
      <c r="I51" s="66">
        <v>100</v>
      </c>
      <c r="J51" s="66">
        <v>100</v>
      </c>
      <c r="K51" s="66">
        <v>100</v>
      </c>
      <c r="L51" s="66">
        <v>100</v>
      </c>
      <c r="M51" s="66">
        <v>100</v>
      </c>
      <c r="N51" s="66">
        <v>100</v>
      </c>
      <c r="O51" s="2" t="s">
        <v>102</v>
      </c>
      <c r="P51" s="3"/>
      <c r="T51" s="7"/>
    </row>
    <row r="52" spans="4:20" ht="20.100000000000001" customHeight="1" x14ac:dyDescent="0.25">
      <c r="D52" s="1" t="str">
        <f>TEXT(EDATE('Input - Site'!$E$12,8), "mmmm yyyy")</f>
        <v>September 2024</v>
      </c>
      <c r="E52" s="66">
        <v>100</v>
      </c>
      <c r="F52" s="66">
        <v>100</v>
      </c>
      <c r="G52" s="66">
        <v>100</v>
      </c>
      <c r="H52" s="66">
        <v>100</v>
      </c>
      <c r="I52" s="66">
        <v>100</v>
      </c>
      <c r="J52" s="66">
        <v>100</v>
      </c>
      <c r="K52" s="66">
        <v>100</v>
      </c>
      <c r="L52" s="66">
        <v>100</v>
      </c>
      <c r="M52" s="66">
        <v>100</v>
      </c>
      <c r="N52" s="66">
        <v>100</v>
      </c>
      <c r="O52" s="2" t="s">
        <v>102</v>
      </c>
      <c r="P52" s="3"/>
      <c r="T52" s="7"/>
    </row>
    <row r="53" spans="4:20" ht="20.100000000000001" customHeight="1" x14ac:dyDescent="0.25">
      <c r="D53" s="1" t="str">
        <f>TEXT(EDATE('Input - Site'!$E$12,9), "mmmm yyyy")</f>
        <v>October 2024</v>
      </c>
      <c r="E53" s="66">
        <v>100</v>
      </c>
      <c r="F53" s="66">
        <v>100</v>
      </c>
      <c r="G53" s="66">
        <v>100</v>
      </c>
      <c r="H53" s="66">
        <v>100</v>
      </c>
      <c r="I53" s="66">
        <v>100</v>
      </c>
      <c r="J53" s="66">
        <v>100</v>
      </c>
      <c r="K53" s="66">
        <v>100</v>
      </c>
      <c r="L53" s="66">
        <v>100</v>
      </c>
      <c r="M53" s="66">
        <v>100</v>
      </c>
      <c r="N53" s="66">
        <v>100</v>
      </c>
      <c r="O53" s="2" t="s">
        <v>102</v>
      </c>
      <c r="P53" s="3"/>
      <c r="T53" s="7"/>
    </row>
    <row r="54" spans="4:20" ht="20.100000000000001" customHeight="1" x14ac:dyDescent="0.25">
      <c r="D54" s="1" t="str">
        <f>TEXT(EDATE('Input - Site'!$E$12,10), "mmmm yyyy")</f>
        <v>November 2024</v>
      </c>
      <c r="E54" s="66">
        <v>100</v>
      </c>
      <c r="F54" s="66">
        <v>100</v>
      </c>
      <c r="G54" s="66">
        <v>100</v>
      </c>
      <c r="H54" s="66">
        <v>100</v>
      </c>
      <c r="I54" s="66">
        <v>100</v>
      </c>
      <c r="J54" s="66">
        <v>100</v>
      </c>
      <c r="K54" s="66">
        <v>100</v>
      </c>
      <c r="L54" s="66">
        <v>100</v>
      </c>
      <c r="M54" s="66">
        <v>100</v>
      </c>
      <c r="N54" s="66">
        <v>100</v>
      </c>
      <c r="O54" s="2" t="s">
        <v>102</v>
      </c>
      <c r="P54" s="3"/>
      <c r="T54" s="7"/>
    </row>
    <row r="55" spans="4:20" ht="20.100000000000001" customHeight="1" x14ac:dyDescent="0.25">
      <c r="D55" s="1" t="str">
        <f>TEXT(EDATE('Input - Site'!$E$12,11), "mmmm yyyy")</f>
        <v>December 2024</v>
      </c>
      <c r="E55" s="66">
        <v>100</v>
      </c>
      <c r="F55" s="66">
        <v>100</v>
      </c>
      <c r="G55" s="66">
        <v>100</v>
      </c>
      <c r="H55" s="66">
        <v>100</v>
      </c>
      <c r="I55" s="66">
        <v>100</v>
      </c>
      <c r="J55" s="66">
        <v>100</v>
      </c>
      <c r="K55" s="66">
        <v>100</v>
      </c>
      <c r="L55" s="66">
        <v>100</v>
      </c>
      <c r="M55" s="66">
        <v>100</v>
      </c>
      <c r="N55" s="66">
        <v>100</v>
      </c>
      <c r="O55" s="2" t="s">
        <v>102</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139</v>
      </c>
      <c r="P58" s="3"/>
      <c r="T58" s="7"/>
    </row>
    <row r="59" spans="4:20" ht="20.100000000000001" customHeight="1" x14ac:dyDescent="0.25">
      <c r="D59" s="63" t="s">
        <v>178</v>
      </c>
      <c r="E59" s="63" t="s">
        <v>130</v>
      </c>
      <c r="F59" s="63" t="s">
        <v>129</v>
      </c>
      <c r="G59" s="63" t="s">
        <v>164</v>
      </c>
      <c r="H59" s="63" t="s">
        <v>165</v>
      </c>
      <c r="I59" s="63" t="s">
        <v>166</v>
      </c>
      <c r="J59" s="63" t="s">
        <v>167</v>
      </c>
      <c r="K59" s="63" t="s">
        <v>168</v>
      </c>
      <c r="L59" s="63" t="s">
        <v>169</v>
      </c>
      <c r="M59" s="63" t="s">
        <v>170</v>
      </c>
      <c r="N59" s="63" t="s">
        <v>171</v>
      </c>
      <c r="P59" s="3"/>
      <c r="T59" s="7"/>
    </row>
    <row r="60" spans="4:20" ht="20.100000000000001" customHeight="1" x14ac:dyDescent="0.25">
      <c r="D60" s="1" t="s">
        <v>172</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132</v>
      </c>
      <c r="P60" s="3"/>
      <c r="T60" s="7"/>
    </row>
    <row r="61" spans="4:20" ht="20.100000000000001" customHeight="1" x14ac:dyDescent="0.25">
      <c r="D61" s="1" t="s">
        <v>173</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132</v>
      </c>
      <c r="P61" s="3"/>
      <c r="T61" s="7"/>
    </row>
    <row r="62" spans="4:20" ht="20.100000000000001" customHeight="1" x14ac:dyDescent="0.25">
      <c r="D62" s="1" t="s">
        <v>174</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132</v>
      </c>
      <c r="P62" s="3"/>
      <c r="T62" s="7"/>
    </row>
    <row r="63" spans="4:20" ht="20.100000000000001" customHeight="1" x14ac:dyDescent="0.25">
      <c r="D63" s="1" t="s">
        <v>175</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132</v>
      </c>
      <c r="P63" s="3"/>
      <c r="T63" s="7"/>
    </row>
    <row r="64" spans="4:20" ht="20.100000000000001" customHeight="1" x14ac:dyDescent="0.25">
      <c r="O64" s="2"/>
      <c r="P64" s="3"/>
      <c r="T64" s="7"/>
    </row>
    <row r="65" spans="4:20" ht="20.100000000000001" customHeight="1" x14ac:dyDescent="0.25">
      <c r="D65" s="63" t="s">
        <v>179</v>
      </c>
      <c r="E65" s="63" t="s">
        <v>130</v>
      </c>
      <c r="F65" s="63" t="s">
        <v>129</v>
      </c>
      <c r="G65" s="63" t="s">
        <v>164</v>
      </c>
      <c r="H65" s="63" t="s">
        <v>165</v>
      </c>
      <c r="I65" s="63" t="s">
        <v>166</v>
      </c>
      <c r="J65" s="63" t="s">
        <v>167</v>
      </c>
      <c r="K65" s="63" t="s">
        <v>168</v>
      </c>
      <c r="L65" s="63" t="s">
        <v>169</v>
      </c>
      <c r="M65" s="63" t="s">
        <v>170</v>
      </c>
      <c r="N65" s="63" t="s">
        <v>171</v>
      </c>
      <c r="O65" s="2"/>
      <c r="P65" s="3"/>
      <c r="T65" s="7"/>
    </row>
    <row r="66" spans="4:20" ht="20.100000000000001" customHeight="1" x14ac:dyDescent="0.25">
      <c r="D66" s="1" t="str">
        <f>TEXT('Input - Site'!$E$12, "mmmm yyyy")</f>
        <v>January 2024</v>
      </c>
      <c r="E66" s="66">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6">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6">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6">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6">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6">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6">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6">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6">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6">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132</v>
      </c>
      <c r="P66" s="3"/>
      <c r="T66" s="7"/>
    </row>
    <row r="67" spans="4:20" ht="20.100000000000001" customHeight="1" x14ac:dyDescent="0.25">
      <c r="D67" s="1" t="str">
        <f>TEXT(EDATE('Input - Site'!$E$12,1), "mmmm yyyy")</f>
        <v>February 2024</v>
      </c>
      <c r="E67" s="66">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6">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6">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6">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6">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6">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6">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6">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6">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6">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132</v>
      </c>
      <c r="P67" s="3"/>
      <c r="T67" s="7"/>
    </row>
    <row r="68" spans="4:20" ht="20.100000000000001" customHeight="1" x14ac:dyDescent="0.25">
      <c r="D68" s="1" t="str">
        <f>TEXT(EDATE('Input - Site'!$E$12,2), "mmmm yyyy")</f>
        <v>March 2024</v>
      </c>
      <c r="E68" s="66">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6">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6">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6">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6">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6">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6">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6">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6">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6">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132</v>
      </c>
      <c r="P68" s="3"/>
      <c r="T68" s="7"/>
    </row>
    <row r="69" spans="4:20" ht="20.100000000000001" customHeight="1" x14ac:dyDescent="0.25">
      <c r="D69" s="1" t="str">
        <f>TEXT(EDATE('Input - Site'!$E$12,3), "mmmm yyyy")</f>
        <v>April 2024</v>
      </c>
      <c r="E69" s="66">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6">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6">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6">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6">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6">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6">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6">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6">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6">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132</v>
      </c>
      <c r="P69" s="3"/>
      <c r="T69" s="7"/>
    </row>
    <row r="70" spans="4:20" ht="20.100000000000001" customHeight="1" x14ac:dyDescent="0.25">
      <c r="D70" s="1" t="str">
        <f>TEXT(EDATE('Input - Site'!$E$12,4), "mmmm yyyy")</f>
        <v>May 2024</v>
      </c>
      <c r="E70" s="66">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6">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6">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6">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6">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6">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6">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6">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6">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6">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132</v>
      </c>
      <c r="P70" s="3"/>
      <c r="T70" s="7"/>
    </row>
    <row r="71" spans="4:20" ht="20.100000000000001" customHeight="1" x14ac:dyDescent="0.25">
      <c r="D71" s="1" t="str">
        <f>TEXT(EDATE('Input - Site'!$E$12,5), "mmmm yyyy")</f>
        <v>June 2024</v>
      </c>
      <c r="E71" s="66">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6">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6">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6">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6">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6">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6">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6">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6">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6">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132</v>
      </c>
      <c r="P71" s="3"/>
      <c r="T71" s="7"/>
    </row>
    <row r="72" spans="4:20" ht="20.100000000000001" customHeight="1" x14ac:dyDescent="0.25">
      <c r="D72" s="1" t="str">
        <f>TEXT(EDATE('Input - Site'!$E$12,6), "mmmm yyyy")</f>
        <v>July 2024</v>
      </c>
      <c r="E72" s="66">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6">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6">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6">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6">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6">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6">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6">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6">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6">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132</v>
      </c>
      <c r="T72" s="7"/>
    </row>
    <row r="73" spans="4:20" ht="20.100000000000001" customHeight="1" x14ac:dyDescent="0.25">
      <c r="D73" s="1" t="str">
        <f>TEXT(EDATE('Input - Site'!$E$12,7), "mmmm yyyy")</f>
        <v>August 2024</v>
      </c>
      <c r="E73" s="66">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6">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6">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6">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6">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6">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6">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6">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6">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6">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132</v>
      </c>
      <c r="T73" s="7"/>
    </row>
    <row r="74" spans="4:20" ht="20.100000000000001" customHeight="1" x14ac:dyDescent="0.25">
      <c r="D74" s="1" t="str">
        <f>TEXT(EDATE('Input - Site'!$E$12,8), "mmmm yyyy")</f>
        <v>September 2024</v>
      </c>
      <c r="E74" s="66">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6">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6">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6">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6">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6">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6">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6">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6">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6">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132</v>
      </c>
      <c r="T74" s="7"/>
    </row>
    <row r="75" spans="4:20" ht="20.100000000000001" customHeight="1" x14ac:dyDescent="0.25">
      <c r="D75" s="1" t="str">
        <f>TEXT(EDATE('Input - Site'!$E$12,9), "mmmm yyyy")</f>
        <v>October 2024</v>
      </c>
      <c r="E75" s="66">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6">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6">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6">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6">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6">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6">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6">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6">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6">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132</v>
      </c>
      <c r="T75" s="7"/>
    </row>
    <row r="76" spans="4:20" ht="20.100000000000001" customHeight="1" x14ac:dyDescent="0.25">
      <c r="D76" s="1" t="str">
        <f>TEXT(EDATE('Input - Site'!$E$12,10), "mmmm yyyy")</f>
        <v>November 2024</v>
      </c>
      <c r="E76" s="66">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6">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6">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6">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6">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6">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6">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6">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6">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6">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132</v>
      </c>
      <c r="T76" s="7"/>
    </row>
    <row r="77" spans="4:20" ht="20.100000000000001" customHeight="1" x14ac:dyDescent="0.25">
      <c r="D77" s="1" t="str">
        <f>TEXT(EDATE('Input - Site'!$E$12,11), "mmmm yyyy")</f>
        <v>December 2024</v>
      </c>
      <c r="E77" s="66">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6">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6">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6">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6">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6">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6">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6">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6">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6">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132</v>
      </c>
      <c r="T77" s="7"/>
    </row>
    <row r="78" spans="4:20" ht="20.100000000000001" customHeight="1" x14ac:dyDescent="0.25">
      <c r="T78" s="7"/>
    </row>
    <row r="79" spans="4:20" ht="20.100000000000001" customHeight="1" x14ac:dyDescent="0.25">
      <c r="T79" s="7"/>
    </row>
    <row r="80" spans="4:20" ht="20.100000000000001" customHeight="1" x14ac:dyDescent="0.25">
      <c r="D80" s="48" t="s">
        <v>176</v>
      </c>
      <c r="T80" s="7"/>
    </row>
    <row r="81" spans="4:20" ht="20.100000000000001" customHeight="1" x14ac:dyDescent="0.25">
      <c r="D81" s="63" t="s">
        <v>178</v>
      </c>
      <c r="E81" s="63" t="s">
        <v>130</v>
      </c>
      <c r="F81" s="63" t="s">
        <v>129</v>
      </c>
      <c r="G81" s="63" t="s">
        <v>164</v>
      </c>
      <c r="H81" s="63" t="s">
        <v>165</v>
      </c>
      <c r="I81" s="63" t="s">
        <v>166</v>
      </c>
      <c r="J81" s="63" t="s">
        <v>167</v>
      </c>
      <c r="K81" s="63" t="s">
        <v>168</v>
      </c>
      <c r="L81" s="63" t="s">
        <v>169</v>
      </c>
      <c r="M81" s="63" t="s">
        <v>170</v>
      </c>
      <c r="N81" s="63" t="s">
        <v>171</v>
      </c>
      <c r="T81" s="7"/>
    </row>
    <row r="82" spans="4:20" ht="20.100000000000001" customHeight="1" x14ac:dyDescent="0.25">
      <c r="D82" s="1" t="s">
        <v>172</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133</v>
      </c>
      <c r="T82" s="7"/>
    </row>
    <row r="83" spans="4:20" ht="20.100000000000001" customHeight="1" x14ac:dyDescent="0.25">
      <c r="D83" s="1" t="s">
        <v>173</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133</v>
      </c>
      <c r="T83" s="7"/>
    </row>
    <row r="84" spans="4:20" ht="20.100000000000001" customHeight="1" x14ac:dyDescent="0.25">
      <c r="D84" s="1" t="s">
        <v>174</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133</v>
      </c>
      <c r="T84" s="7"/>
    </row>
    <row r="85" spans="4:20" ht="20.100000000000001" customHeight="1" x14ac:dyDescent="0.25">
      <c r="D85" s="1" t="s">
        <v>175</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133</v>
      </c>
      <c r="T85" s="7"/>
    </row>
    <row r="86" spans="4:20" ht="20.100000000000001" customHeight="1" x14ac:dyDescent="0.25">
      <c r="O86" s="2"/>
      <c r="T86" s="7"/>
    </row>
    <row r="87" spans="4:20" ht="20.100000000000001" customHeight="1" x14ac:dyDescent="0.25">
      <c r="D87" s="63" t="s">
        <v>179</v>
      </c>
      <c r="E87" s="63" t="s">
        <v>130</v>
      </c>
      <c r="F87" s="63" t="s">
        <v>129</v>
      </c>
      <c r="G87" s="63" t="s">
        <v>164</v>
      </c>
      <c r="H87" s="63" t="s">
        <v>165</v>
      </c>
      <c r="I87" s="63" t="s">
        <v>166</v>
      </c>
      <c r="J87" s="63" t="s">
        <v>167</v>
      </c>
      <c r="K87" s="63" t="s">
        <v>168</v>
      </c>
      <c r="L87" s="63" t="s">
        <v>169</v>
      </c>
      <c r="M87" s="63" t="s">
        <v>170</v>
      </c>
      <c r="N87" s="63" t="s">
        <v>171</v>
      </c>
      <c r="O87" s="2"/>
      <c r="T87" s="7"/>
    </row>
    <row r="88" spans="4:20" ht="20.100000000000001" customHeight="1" x14ac:dyDescent="0.25">
      <c r="D88" s="1" t="str">
        <f>TEXT('Input - Site'!$E$12, "mmmm yyyy")</f>
        <v>January 2024</v>
      </c>
      <c r="E88" s="66">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6">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6">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6">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6">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6">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6">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6">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6">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6">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133</v>
      </c>
      <c r="T88" s="7"/>
    </row>
    <row r="89" spans="4:20" ht="20.100000000000001" customHeight="1" x14ac:dyDescent="0.25">
      <c r="D89" s="1" t="str">
        <f>TEXT(EDATE('Input - Site'!$E$12,1), "mmmm yyyy")</f>
        <v>February 2024</v>
      </c>
      <c r="E89" s="66">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6">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6">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6">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6">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6">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6">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6">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6">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6">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133</v>
      </c>
      <c r="T89" s="7"/>
    </row>
    <row r="90" spans="4:20" ht="20.100000000000001" customHeight="1" x14ac:dyDescent="0.25">
      <c r="D90" s="1" t="str">
        <f>TEXT(EDATE('Input - Site'!$E$12,2), "mmmm yyyy")</f>
        <v>March 2024</v>
      </c>
      <c r="E90" s="66">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6">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6">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6">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6">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6">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6">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6">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6">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6">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133</v>
      </c>
      <c r="T90" s="7"/>
    </row>
    <row r="91" spans="4:20" ht="20.100000000000001" customHeight="1" x14ac:dyDescent="0.25">
      <c r="D91" s="1" t="str">
        <f>TEXT(EDATE('Input - Site'!$E$12,3), "mmmm yyyy")</f>
        <v>April 2024</v>
      </c>
      <c r="E91" s="66">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6">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6">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6">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6">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6">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6">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6">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6">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6">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133</v>
      </c>
      <c r="T91" s="7"/>
    </row>
    <row r="92" spans="4:20" ht="20.100000000000001" customHeight="1" x14ac:dyDescent="0.25">
      <c r="D92" s="1" t="str">
        <f>TEXT(EDATE('Input - Site'!$E$12,4), "mmmm yyyy")</f>
        <v>May 2024</v>
      </c>
      <c r="E92" s="66">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6">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6">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6">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6">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6">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6">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6">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6">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6">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133</v>
      </c>
      <c r="T92" s="7"/>
    </row>
    <row r="93" spans="4:20" ht="20.100000000000001" customHeight="1" x14ac:dyDescent="0.25">
      <c r="D93" s="1" t="str">
        <f>TEXT(EDATE('Input - Site'!$E$12,5), "mmmm yyyy")</f>
        <v>June 2024</v>
      </c>
      <c r="E93" s="66">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6">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6">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6">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6">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6">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6">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6">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6">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6">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133</v>
      </c>
      <c r="T93" s="7"/>
    </row>
    <row r="94" spans="4:20" ht="20.100000000000001" customHeight="1" x14ac:dyDescent="0.25">
      <c r="D94" s="1" t="str">
        <f>TEXT(EDATE('Input - Site'!$E$12,6), "mmmm yyyy")</f>
        <v>July 2024</v>
      </c>
      <c r="E94" s="66">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6">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6">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6">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6">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6">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6">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6">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6">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6">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133</v>
      </c>
      <c r="T94" s="7"/>
    </row>
    <row r="95" spans="4:20" ht="20.100000000000001" customHeight="1" x14ac:dyDescent="0.25">
      <c r="D95" s="1" t="str">
        <f>TEXT(EDATE('Input - Site'!$E$12,7), "mmmm yyyy")</f>
        <v>August 2024</v>
      </c>
      <c r="E95" s="66">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6">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6">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6">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6">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6">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6">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6">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6">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6">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133</v>
      </c>
      <c r="T95" s="7"/>
    </row>
    <row r="96" spans="4:20" ht="20.100000000000001" customHeight="1" x14ac:dyDescent="0.25">
      <c r="D96" s="1" t="str">
        <f>TEXT(EDATE('Input - Site'!$E$12,8), "mmmm yyyy")</f>
        <v>September 2024</v>
      </c>
      <c r="E96" s="66">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6">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6">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6">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6">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6">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6">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6">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6">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6">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133</v>
      </c>
      <c r="T96" s="7"/>
    </row>
    <row r="97" spans="4:20" ht="20.100000000000001" customHeight="1" x14ac:dyDescent="0.25">
      <c r="D97" s="1" t="str">
        <f>TEXT(EDATE('Input - Site'!$E$12,9), "mmmm yyyy")</f>
        <v>October 2024</v>
      </c>
      <c r="E97" s="66">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6">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6">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6">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6">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6">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6">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6">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6">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6">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133</v>
      </c>
      <c r="T97" s="7"/>
    </row>
    <row r="98" spans="4:20" ht="20.100000000000001" customHeight="1" x14ac:dyDescent="0.25">
      <c r="D98" s="1" t="str">
        <f>TEXT(EDATE('Input - Site'!$E$12,10), "mmmm yyyy")</f>
        <v>November 2024</v>
      </c>
      <c r="E98" s="66">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6">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6">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6">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6">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6">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6">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6">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6">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6">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133</v>
      </c>
      <c r="T98" s="7"/>
    </row>
    <row r="99" spans="4:20" ht="20.100000000000001" customHeight="1" x14ac:dyDescent="0.25">
      <c r="D99" s="1" t="str">
        <f>TEXT(EDATE('Input - Site'!$E$12,11), "mmmm yyyy")</f>
        <v>December 2024</v>
      </c>
      <c r="E99" s="66">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6">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6">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6">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6">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6">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6">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6">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6">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6">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133</v>
      </c>
      <c r="T99" s="7"/>
    </row>
    <row r="100" spans="4:20" ht="20.100000000000001" customHeight="1" x14ac:dyDescent="0.25">
      <c r="T100" s="7"/>
    </row>
    <row r="101" spans="4:20" ht="20.100000000000001" customHeight="1" x14ac:dyDescent="0.25">
      <c r="T101" s="7"/>
    </row>
    <row r="102" spans="4:20" ht="20.100000000000001" customHeight="1" x14ac:dyDescent="0.25">
      <c r="D102" s="48" t="s">
        <v>228</v>
      </c>
      <c r="K102" s="2"/>
      <c r="L102" s="2"/>
      <c r="M102" s="2"/>
      <c r="N102" s="2"/>
      <c r="O102" s="2"/>
      <c r="T102" s="7"/>
    </row>
    <row r="103" spans="4:20" ht="20.100000000000001" customHeight="1" x14ac:dyDescent="0.25">
      <c r="D103" s="63" t="s">
        <v>135</v>
      </c>
      <c r="E103" s="63"/>
      <c r="F103" s="63"/>
      <c r="G103" s="63"/>
      <c r="T103" s="7"/>
    </row>
    <row r="104" spans="4:20" ht="20.100000000000001" customHeight="1" x14ac:dyDescent="0.25">
      <c r="D104" s="1" t="s">
        <v>245</v>
      </c>
      <c r="E104" s="39" t="s">
        <v>175</v>
      </c>
      <c r="F104" s="2" t="s">
        <v>11</v>
      </c>
      <c r="T104" s="7"/>
    </row>
    <row r="105" spans="4:20" ht="20.100000000000001" customHeight="1" x14ac:dyDescent="0.25">
      <c r="T105" s="7"/>
    </row>
    <row r="106" spans="4:20" ht="20.100000000000001" customHeight="1" x14ac:dyDescent="0.25">
      <c r="T106" s="7"/>
    </row>
    <row r="107" spans="4:20" ht="20.100000000000001" customHeight="1" x14ac:dyDescent="0.25">
      <c r="K107" s="1" t="s">
        <v>354</v>
      </c>
    </row>
    <row r="108" spans="4:20" ht="20.100000000000001" customHeight="1" x14ac:dyDescent="0.25"/>
    <row r="109" spans="4:20" ht="20.100000000000001" customHeight="1" x14ac:dyDescent="0.25">
      <c r="E109" s="63" t="s">
        <v>350</v>
      </c>
      <c r="F109" s="63" t="s">
        <v>165</v>
      </c>
      <c r="G109" s="63" t="s">
        <v>166</v>
      </c>
      <c r="H109" s="63" t="s">
        <v>167</v>
      </c>
      <c r="L109" s="1" t="s">
        <v>164</v>
      </c>
      <c r="M109" s="1" t="s">
        <v>168</v>
      </c>
      <c r="N109" s="2"/>
      <c r="O109" s="2"/>
    </row>
    <row r="110" spans="4:20" ht="20.100000000000001" customHeight="1" x14ac:dyDescent="0.25">
      <c r="D110" s="1" t="str">
        <f>"Proportion of cows &gt; 1 years in calf in " &amp; E104</f>
        <v>Proportion of cows &gt; 1 years in calf in Winter</v>
      </c>
      <c r="E110" s="39" t="s">
        <v>349</v>
      </c>
      <c r="F110" s="46">
        <v>0.7</v>
      </c>
      <c r="G110" s="46">
        <v>0.5</v>
      </c>
      <c r="H110" s="46">
        <v>0.5</v>
      </c>
      <c r="I110" s="2" t="s">
        <v>19</v>
      </c>
      <c r="L110" s="52">
        <f>MAX(0, G41-G40)</f>
        <v>50</v>
      </c>
      <c r="M110" s="52">
        <f>MAX(0,K41-K40)</f>
        <v>50</v>
      </c>
      <c r="N110" s="2"/>
      <c r="O110" s="2"/>
    </row>
    <row r="111" spans="4:20" ht="20.100000000000001" customHeight="1" x14ac:dyDescent="0.25">
      <c r="D111" s="1" t="s">
        <v>172</v>
      </c>
      <c r="E111" s="39" t="s">
        <v>349</v>
      </c>
      <c r="F111" s="46">
        <v>0.1</v>
      </c>
      <c r="G111" s="46">
        <v>0.4</v>
      </c>
      <c r="H111" s="46">
        <v>0.4</v>
      </c>
      <c r="I111" s="2" t="s">
        <v>19</v>
      </c>
      <c r="L111" s="52">
        <f>MAX(0, G38-G41)</f>
        <v>0</v>
      </c>
      <c r="M111" s="52">
        <f>MAX(0,K38-K41)</f>
        <v>0</v>
      </c>
    </row>
    <row r="112" spans="4:20" ht="20.100000000000001" customHeight="1" x14ac:dyDescent="0.25">
      <c r="D112" s="1" t="s">
        <v>173</v>
      </c>
      <c r="E112" s="39" t="s">
        <v>349</v>
      </c>
      <c r="F112" s="46">
        <v>0.1</v>
      </c>
      <c r="G112" s="46">
        <v>0</v>
      </c>
      <c r="H112" s="46">
        <v>0</v>
      </c>
      <c r="I112" s="2" t="s">
        <v>19</v>
      </c>
      <c r="L112" s="52">
        <f>MAX(0, G39-G38)</f>
        <v>0</v>
      </c>
      <c r="M112" s="52">
        <f>MAX(0,K39-K38)</f>
        <v>0</v>
      </c>
    </row>
    <row r="113" spans="4:15" ht="20.100000000000001" customHeight="1" x14ac:dyDescent="0.25">
      <c r="D113" s="1" t="s">
        <v>174</v>
      </c>
      <c r="E113" s="39" t="s">
        <v>138</v>
      </c>
      <c r="F113" s="46">
        <v>0</v>
      </c>
      <c r="G113" s="46">
        <v>0</v>
      </c>
      <c r="H113" s="46">
        <v>0</v>
      </c>
      <c r="I113" s="2" t="s">
        <v>19</v>
      </c>
      <c r="L113" s="52">
        <f>MAX(0,G40-G39)</f>
        <v>100</v>
      </c>
      <c r="M113" s="52">
        <f>MAX(0,K40-K39)</f>
        <v>100</v>
      </c>
    </row>
    <row r="114" spans="4:15" ht="20.100000000000001" customHeight="1" x14ac:dyDescent="0.25">
      <c r="J114" s="1" t="s">
        <v>355</v>
      </c>
    </row>
    <row r="115" spans="4:15" ht="20.100000000000001" customHeight="1" x14ac:dyDescent="0.25"/>
    <row r="116" spans="4:15" ht="20.100000000000001" customHeight="1" x14ac:dyDescent="0.25"/>
    <row r="117" spans="4:15" ht="20.100000000000001" customHeight="1" x14ac:dyDescent="0.25">
      <c r="D117" s="63" t="s">
        <v>136</v>
      </c>
      <c r="E117" s="63"/>
      <c r="F117" s="63"/>
      <c r="G117" s="63"/>
      <c r="L117" s="129" t="s">
        <v>360</v>
      </c>
    </row>
    <row r="118" spans="4:15" ht="20.100000000000001" customHeight="1" x14ac:dyDescent="0.25">
      <c r="D118" s="1" t="s">
        <v>346</v>
      </c>
      <c r="E118" s="39" t="s">
        <v>342</v>
      </c>
      <c r="F118" s="2" t="s">
        <v>11</v>
      </c>
      <c r="J118" s="53" t="s">
        <v>130</v>
      </c>
    </row>
    <row r="119" spans="4:15" ht="20.100000000000001" customHeight="1" x14ac:dyDescent="0.25">
      <c r="D119" s="1" t="s">
        <v>340</v>
      </c>
      <c r="E119" s="52" t="str">
        <f>TEXT(EDATE(E118,1), "mmmm yyyy")</f>
        <v>September 2024</v>
      </c>
      <c r="J119" s="1" t="s">
        <v>102</v>
      </c>
      <c r="K119" s="1" t="s">
        <v>358</v>
      </c>
      <c r="L119" s="1" t="s">
        <v>355</v>
      </c>
      <c r="M119" s="1" t="s">
        <v>356</v>
      </c>
      <c r="N119" s="1" t="s">
        <v>357</v>
      </c>
      <c r="O119" s="1" t="s">
        <v>359</v>
      </c>
    </row>
    <row r="120" spans="4:15" ht="20.100000000000001" customHeight="1" x14ac:dyDescent="0.25">
      <c r="D120" s="1" t="s">
        <v>341</v>
      </c>
      <c r="E120" s="52" t="str">
        <f>TEXT(EDATE(E118,2), "mmmm yyyy")</f>
        <v>October 2024</v>
      </c>
      <c r="J120" s="52">
        <f>E38</f>
        <v>100</v>
      </c>
      <c r="K120" s="52">
        <f>MAX(0, E38-E41)</f>
        <v>0</v>
      </c>
      <c r="L120" s="1">
        <f>K120/J120</f>
        <v>0</v>
      </c>
      <c r="M120" s="1">
        <f>K123/J120</f>
        <v>0.5</v>
      </c>
      <c r="N120" s="2">
        <f>1-(L120+M120)</f>
        <v>0.5</v>
      </c>
      <c r="O120" s="53">
        <f>(L120*6)+(M120*4)+(N120*0)</f>
        <v>2</v>
      </c>
    </row>
    <row r="121" spans="4:15" ht="20.100000000000001" customHeight="1" x14ac:dyDescent="0.25">
      <c r="J121" s="52">
        <f>E39</f>
        <v>100</v>
      </c>
      <c r="K121" s="52">
        <f>MAX(0, E39-E38)</f>
        <v>0</v>
      </c>
      <c r="L121" s="1">
        <f>K121/J121</f>
        <v>0</v>
      </c>
      <c r="M121" s="1">
        <f>K120/J121</f>
        <v>0</v>
      </c>
      <c r="N121" s="2">
        <f>1-(L121+M121)</f>
        <v>1</v>
      </c>
      <c r="O121" s="53">
        <f t="shared" ref="O121:O123" si="1">(L121*6)+(M121*4)+(N121*0)</f>
        <v>0</v>
      </c>
    </row>
    <row r="122" spans="4:15" ht="20.100000000000001" customHeight="1" x14ac:dyDescent="0.25">
      <c r="J122" s="52">
        <f>E40</f>
        <v>200</v>
      </c>
      <c r="K122" s="52">
        <f>MAX(0,E40-E39)</f>
        <v>100</v>
      </c>
      <c r="L122" s="1">
        <f>K122/J122</f>
        <v>0.5</v>
      </c>
      <c r="M122" s="1">
        <f>K121/J122</f>
        <v>0</v>
      </c>
      <c r="N122" s="2">
        <f>1-(L122+M122)</f>
        <v>0.5</v>
      </c>
      <c r="O122" s="53">
        <f t="shared" si="1"/>
        <v>3</v>
      </c>
    </row>
    <row r="123" spans="4:15" ht="20.100000000000001" customHeight="1" x14ac:dyDescent="0.25">
      <c r="E123" s="63" t="s">
        <v>165</v>
      </c>
      <c r="F123" s="63" t="s">
        <v>166</v>
      </c>
      <c r="G123" s="63" t="s">
        <v>167</v>
      </c>
      <c r="J123" s="52">
        <f>E41</f>
        <v>250</v>
      </c>
      <c r="K123" s="52">
        <f>MAX(0, E41-E40)</f>
        <v>50</v>
      </c>
      <c r="L123" s="1">
        <f>K123/J123</f>
        <v>0.2</v>
      </c>
      <c r="M123" s="2">
        <f>K122/J123</f>
        <v>0.4</v>
      </c>
      <c r="N123" s="2">
        <f>1-(L123+M123)</f>
        <v>0.39999999999999991</v>
      </c>
      <c r="O123" s="53">
        <f t="shared" si="1"/>
        <v>2.8000000000000003</v>
      </c>
    </row>
    <row r="124" spans="4:15" ht="20.100000000000001" customHeight="1" x14ac:dyDescent="0.25">
      <c r="D124" s="1" t="str">
        <f>E118</f>
        <v>August 2024</v>
      </c>
      <c r="E124" s="46">
        <v>0.25</v>
      </c>
      <c r="F124" s="46">
        <v>0.25</v>
      </c>
      <c r="G124" s="46">
        <v>0.25</v>
      </c>
      <c r="H124" s="2" t="s">
        <v>19</v>
      </c>
      <c r="L124" s="2"/>
      <c r="M124" s="2"/>
      <c r="N124" s="2"/>
      <c r="O124" s="2"/>
    </row>
    <row r="125" spans="4:15" ht="20.100000000000001" customHeight="1" x14ac:dyDescent="0.25">
      <c r="D125" s="1" t="str">
        <f>E119</f>
        <v>September 2024</v>
      </c>
      <c r="E125" s="46">
        <v>0.25</v>
      </c>
      <c r="F125" s="46">
        <v>0.25</v>
      </c>
      <c r="G125" s="46">
        <v>0.25</v>
      </c>
      <c r="H125" s="2" t="s">
        <v>19</v>
      </c>
    </row>
    <row r="126" spans="4:15" ht="20.100000000000001" customHeight="1" x14ac:dyDescent="0.25">
      <c r="D126" s="1" t="str">
        <f>E120</f>
        <v>October 2024</v>
      </c>
      <c r="E126" s="46">
        <v>0.25</v>
      </c>
      <c r="F126" s="46">
        <v>0.25</v>
      </c>
      <c r="G126" s="46">
        <v>0.25</v>
      </c>
      <c r="H126" s="2" t="s">
        <v>19</v>
      </c>
    </row>
    <row r="127" spans="4:15" ht="20.100000000000001" customHeight="1" x14ac:dyDescent="0.25">
      <c r="D127" s="1" t="str">
        <f>"Proportion of cows &gt; 1 years in calf in " &amp; D124 &amp; " to " &amp; D126</f>
        <v>Proportion of cows &gt; 1 years in calf in August 2024 to October 2024</v>
      </c>
      <c r="E127" s="97">
        <f>SUM(E124:E126)</f>
        <v>0.75</v>
      </c>
      <c r="F127" s="97">
        <f>SUM(F124:F126)</f>
        <v>0.75</v>
      </c>
      <c r="G127" s="97">
        <f>SUM(G124:G126)</f>
        <v>0.75</v>
      </c>
      <c r="H127" s="2" t="s">
        <v>19</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18</v>
      </c>
      <c r="K130" s="2"/>
      <c r="L130" s="2"/>
      <c r="M130" s="2"/>
      <c r="N130" s="2"/>
      <c r="O130" s="2"/>
    </row>
    <row r="131" spans="4:15" ht="20.100000000000001" customHeight="1" x14ac:dyDescent="0.25">
      <c r="D131" s="63" t="s">
        <v>178</v>
      </c>
      <c r="E131" s="63" t="s">
        <v>130</v>
      </c>
      <c r="F131" s="63" t="s">
        <v>129</v>
      </c>
      <c r="G131" s="63" t="s">
        <v>164</v>
      </c>
      <c r="H131" s="63" t="s">
        <v>165</v>
      </c>
      <c r="I131" s="63" t="s">
        <v>166</v>
      </c>
      <c r="J131" s="63" t="s">
        <v>167</v>
      </c>
      <c r="K131" s="63" t="s">
        <v>168</v>
      </c>
      <c r="L131" s="63" t="s">
        <v>169</v>
      </c>
      <c r="M131" s="63" t="s">
        <v>170</v>
      </c>
      <c r="N131" s="63" t="s">
        <v>171</v>
      </c>
    </row>
    <row r="132" spans="4:15" ht="20.100000000000001" customHeight="1" x14ac:dyDescent="0.25">
      <c r="D132" s="1" t="s">
        <v>172</v>
      </c>
      <c r="E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2" s="2" t="s">
        <v>140</v>
      </c>
    </row>
    <row r="133" spans="4:15" ht="20.100000000000001" customHeight="1" x14ac:dyDescent="0.25">
      <c r="D133" s="1" t="s">
        <v>173</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3" s="2" t="s">
        <v>140</v>
      </c>
    </row>
    <row r="134" spans="4:15" ht="20.100000000000001" customHeight="1" x14ac:dyDescent="0.25">
      <c r="D134" s="1" t="s">
        <v>174</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4" s="2" t="s">
        <v>140</v>
      </c>
    </row>
    <row r="135" spans="4:15" ht="20.100000000000001" customHeight="1" x14ac:dyDescent="0.25">
      <c r="D135" s="1" t="s">
        <v>175</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5" s="2" t="s">
        <v>140</v>
      </c>
    </row>
    <row r="136" spans="4:15" ht="20.100000000000001" customHeight="1" x14ac:dyDescent="0.25"/>
    <row r="137" spans="4:15" ht="20.100000000000001" customHeight="1" x14ac:dyDescent="0.25">
      <c r="D137" s="63" t="s">
        <v>179</v>
      </c>
      <c r="E137" s="63" t="s">
        <v>130</v>
      </c>
      <c r="F137" s="63" t="s">
        <v>129</v>
      </c>
      <c r="G137" s="63" t="s">
        <v>164</v>
      </c>
      <c r="H137" s="63" t="s">
        <v>165</v>
      </c>
      <c r="I137" s="63" t="s">
        <v>166</v>
      </c>
      <c r="J137" s="63" t="s">
        <v>167</v>
      </c>
      <c r="K137" s="63" t="s">
        <v>168</v>
      </c>
      <c r="L137" s="63" t="s">
        <v>169</v>
      </c>
      <c r="M137" s="63" t="s">
        <v>170</v>
      </c>
      <c r="N137" s="63" t="s">
        <v>171</v>
      </c>
    </row>
    <row r="138" spans="4:15" ht="20.100000000000001" customHeight="1" x14ac:dyDescent="0.25">
      <c r="D138" s="1" t="str">
        <f>TEXT('Input - Site'!$E$12, "mmmm yyyy")</f>
        <v>January 2024</v>
      </c>
      <c r="E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8" s="2" t="s">
        <v>140</v>
      </c>
    </row>
    <row r="139" spans="4:15" ht="20.100000000000001" customHeight="1" x14ac:dyDescent="0.25">
      <c r="D139" s="1" t="str">
        <f>TEXT(EDATE('Input - Site'!$E$12,1), "mmmm yyyy")</f>
        <v>February 2024</v>
      </c>
      <c r="E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140</v>
      </c>
    </row>
    <row r="140" spans="4:15" ht="20.100000000000001" customHeight="1" x14ac:dyDescent="0.25">
      <c r="D140" s="1" t="str">
        <f>TEXT(EDATE('Input - Site'!$E$12,2), "mmmm yyyy")</f>
        <v>March 2024</v>
      </c>
      <c r="E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0" s="2" t="s">
        <v>140</v>
      </c>
    </row>
    <row r="141" spans="4:15" ht="20.100000000000001" customHeight="1" x14ac:dyDescent="0.25">
      <c r="D141" s="1" t="str">
        <f>TEXT(EDATE('Input - Site'!$E$12,3), "mmmm yyyy")</f>
        <v>April 2024</v>
      </c>
      <c r="E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140</v>
      </c>
    </row>
    <row r="142" spans="4:15" ht="20.100000000000001" customHeight="1" x14ac:dyDescent="0.25">
      <c r="D142" s="1" t="str">
        <f>TEXT(EDATE('Input - Site'!$E$12,4), "mmmm yyyy")</f>
        <v>May 2024</v>
      </c>
      <c r="E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140</v>
      </c>
    </row>
    <row r="143" spans="4:15" ht="20.100000000000001" customHeight="1" x14ac:dyDescent="0.25">
      <c r="D143" s="1" t="str">
        <f>TEXT(EDATE('Input - Site'!$E$12,5), "mmmm yyyy")</f>
        <v>June 2024</v>
      </c>
      <c r="E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3" s="2" t="s">
        <v>140</v>
      </c>
    </row>
    <row r="144" spans="4:15" ht="20.100000000000001" customHeight="1" x14ac:dyDescent="0.25">
      <c r="D144" s="1" t="str">
        <f>TEXT(EDATE('Input - Site'!$E$12,6), "mmmm yyyy")</f>
        <v>July 2024</v>
      </c>
      <c r="E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140</v>
      </c>
    </row>
    <row r="145" spans="4:15" ht="20.100000000000001" customHeight="1" x14ac:dyDescent="0.25">
      <c r="D145" s="1" t="str">
        <f>TEXT(EDATE('Input - Site'!$E$12,7), "mmmm yyyy")</f>
        <v>August 2024</v>
      </c>
      <c r="E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140</v>
      </c>
    </row>
    <row r="146" spans="4:15" ht="20.100000000000001" customHeight="1" x14ac:dyDescent="0.25">
      <c r="D146" s="1" t="str">
        <f>TEXT(EDATE('Input - Site'!$E$12,8), "mmmm yyyy")</f>
        <v>September 2024</v>
      </c>
      <c r="E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6" s="2" t="s">
        <v>140</v>
      </c>
    </row>
    <row r="147" spans="4:15" ht="20.100000000000001" customHeight="1" x14ac:dyDescent="0.25">
      <c r="D147" s="1" t="str">
        <f>TEXT(EDATE('Input - Site'!$E$12,9), "mmmm yyyy")</f>
        <v>October 2024</v>
      </c>
      <c r="E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140</v>
      </c>
    </row>
    <row r="148" spans="4:15" ht="20.100000000000001" customHeight="1" x14ac:dyDescent="0.25">
      <c r="D148" s="1" t="str">
        <f>TEXT(EDATE('Input - Site'!$E$12,10), "mmmm yyyy")</f>
        <v>November 2024</v>
      </c>
      <c r="E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140</v>
      </c>
    </row>
    <row r="149" spans="4:15" ht="20.100000000000001" customHeight="1" x14ac:dyDescent="0.25">
      <c r="D149" s="1" t="str">
        <f>TEXT(EDATE('Input - Site'!$E$12,11), "mmmm yyyy")</f>
        <v>December 2024</v>
      </c>
      <c r="E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9" s="2" t="s">
        <v>140</v>
      </c>
    </row>
    <row r="150" spans="4:15" ht="20.100000000000001" customHeight="1" x14ac:dyDescent="0.25"/>
    <row r="151" spans="4:15" ht="20.100000000000001" customHeight="1" x14ac:dyDescent="0.25"/>
    <row r="152" spans="4:15" ht="20.100000000000001" customHeight="1" x14ac:dyDescent="0.25">
      <c r="D152" s="48" t="s">
        <v>104</v>
      </c>
      <c r="K152" s="2"/>
      <c r="L152" s="2"/>
      <c r="M152" s="2"/>
      <c r="N152" s="2"/>
      <c r="O152" s="2"/>
    </row>
    <row r="153" spans="4:15" ht="20.100000000000001" customHeight="1" x14ac:dyDescent="0.25">
      <c r="D153" s="63" t="s">
        <v>178</v>
      </c>
      <c r="E153" s="63" t="s">
        <v>130</v>
      </c>
      <c r="F153" s="63" t="s">
        <v>129</v>
      </c>
      <c r="G153" s="63" t="s">
        <v>164</v>
      </c>
      <c r="H153" s="63" t="s">
        <v>165</v>
      </c>
      <c r="I153" s="63" t="s">
        <v>166</v>
      </c>
      <c r="J153" s="63" t="s">
        <v>167</v>
      </c>
      <c r="K153" s="63" t="s">
        <v>168</v>
      </c>
      <c r="L153" s="63" t="s">
        <v>169</v>
      </c>
      <c r="M153" s="63" t="s">
        <v>170</v>
      </c>
      <c r="N153" s="63" t="s">
        <v>171</v>
      </c>
    </row>
    <row r="154" spans="4:15" ht="20.100000000000001" customHeight="1" x14ac:dyDescent="0.25">
      <c r="D154" s="1" t="s">
        <v>172</v>
      </c>
      <c r="E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F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G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H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I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J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K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L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M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N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O154" s="2" t="s">
        <v>140</v>
      </c>
    </row>
    <row r="155" spans="4:15" ht="20.100000000000001" customHeight="1" x14ac:dyDescent="0.25">
      <c r="D155" s="1" t="s">
        <v>173</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O155" s="2" t="s">
        <v>140</v>
      </c>
    </row>
    <row r="156" spans="4:15" ht="20.100000000000001" customHeight="1" x14ac:dyDescent="0.25">
      <c r="D156" s="1" t="s">
        <v>174</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O156" s="2" t="s">
        <v>140</v>
      </c>
    </row>
    <row r="157" spans="4:15" ht="20.100000000000001" customHeight="1" x14ac:dyDescent="0.25">
      <c r="D157" s="1" t="s">
        <v>175</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O157" s="2" t="s">
        <v>140</v>
      </c>
    </row>
    <row r="158" spans="4:15" ht="20.100000000000001" customHeight="1" x14ac:dyDescent="0.25"/>
    <row r="159" spans="4:15" ht="20.100000000000001" customHeight="1" x14ac:dyDescent="0.25">
      <c r="D159" s="63" t="s">
        <v>179</v>
      </c>
      <c r="E159" s="63" t="s">
        <v>130</v>
      </c>
      <c r="F159" s="63" t="s">
        <v>129</v>
      </c>
      <c r="G159" s="63" t="s">
        <v>164</v>
      </c>
      <c r="H159" s="63" t="s">
        <v>165</v>
      </c>
      <c r="I159" s="63" t="s">
        <v>166</v>
      </c>
      <c r="J159" s="63" t="s">
        <v>167</v>
      </c>
      <c r="K159" s="63" t="s">
        <v>168</v>
      </c>
      <c r="L159" s="63" t="s">
        <v>169</v>
      </c>
      <c r="M159" s="63" t="s">
        <v>170</v>
      </c>
      <c r="N159" s="63" t="s">
        <v>171</v>
      </c>
    </row>
    <row r="160" spans="4:15" ht="20.100000000000001" customHeight="1" x14ac:dyDescent="0.25">
      <c r="D160" s="1" t="str">
        <f>TEXT('Input - Site'!$E$12, "mmmm yyyy")</f>
        <v>January 2024</v>
      </c>
      <c r="E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0" s="2" t="s">
        <v>140</v>
      </c>
    </row>
    <row r="161" spans="4:15" ht="20.100000000000001" customHeight="1" x14ac:dyDescent="0.25">
      <c r="D161" s="1" t="str">
        <f>TEXT(EDATE('Input - Site'!$E$12,1), "mmmm yyyy")</f>
        <v>February 2024</v>
      </c>
      <c r="E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140</v>
      </c>
    </row>
    <row r="162" spans="4:15" ht="20.100000000000001" customHeight="1" x14ac:dyDescent="0.25">
      <c r="D162" s="1" t="str">
        <f>TEXT(EDATE('Input - Site'!$E$12,2), "mmmm yyyy")</f>
        <v>March 2024</v>
      </c>
      <c r="E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2" s="2" t="s">
        <v>140</v>
      </c>
    </row>
    <row r="163" spans="4:15" ht="20.100000000000001" customHeight="1" x14ac:dyDescent="0.25">
      <c r="D163" s="1" t="str">
        <f>TEXT(EDATE('Input - Site'!$E$12,3), "mmmm yyyy")</f>
        <v>April 2024</v>
      </c>
      <c r="E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140</v>
      </c>
    </row>
    <row r="164" spans="4:15" ht="20.100000000000001" customHeight="1" x14ac:dyDescent="0.25">
      <c r="D164" s="1" t="str">
        <f>TEXT(EDATE('Input - Site'!$E$12,4), "mmmm yyyy")</f>
        <v>May 2024</v>
      </c>
      <c r="E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140</v>
      </c>
    </row>
    <row r="165" spans="4:15" ht="20.100000000000001" customHeight="1" x14ac:dyDescent="0.25">
      <c r="D165" s="1" t="str">
        <f>TEXT(EDATE('Input - Site'!$E$12,5), "mmmm yyyy")</f>
        <v>June 2024</v>
      </c>
      <c r="E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5" s="2" t="s">
        <v>140</v>
      </c>
    </row>
    <row r="166" spans="4:15" x14ac:dyDescent="0.25">
      <c r="D166" s="1" t="str">
        <f>TEXT(EDATE('Input - Site'!$E$12,6), "mmmm yyyy")</f>
        <v>July 2024</v>
      </c>
      <c r="E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140</v>
      </c>
    </row>
    <row r="167" spans="4:15" x14ac:dyDescent="0.25">
      <c r="D167" s="1" t="str">
        <f>TEXT(EDATE('Input - Site'!$E$12,7), "mmmm yyyy")</f>
        <v>August 2024</v>
      </c>
      <c r="E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140</v>
      </c>
    </row>
    <row r="168" spans="4:15" x14ac:dyDescent="0.25">
      <c r="D168" s="1" t="str">
        <f>TEXT(EDATE('Input - Site'!$E$12,8), "mmmm yyyy")</f>
        <v>September 2024</v>
      </c>
      <c r="E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140</v>
      </c>
    </row>
    <row r="169" spans="4:15" x14ac:dyDescent="0.25">
      <c r="D169" s="1" t="str">
        <f>TEXT(EDATE('Input - Site'!$E$12,9), "mmmm yyyy")</f>
        <v>October 2024</v>
      </c>
      <c r="E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140</v>
      </c>
    </row>
    <row r="170" spans="4:15" x14ac:dyDescent="0.25">
      <c r="D170" s="1" t="str">
        <f>TEXT(EDATE('Input - Site'!$E$12,10), "mmmm yyyy")</f>
        <v>November 2024</v>
      </c>
      <c r="E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140</v>
      </c>
    </row>
    <row r="171" spans="4:15" x14ac:dyDescent="0.25">
      <c r="D171" s="1" t="str">
        <f>TEXT(EDATE('Input - Site'!$E$12,11), "mmmm yyyy")</f>
        <v>December 2024</v>
      </c>
      <c r="E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1" s="2" t="s">
        <v>140</v>
      </c>
    </row>
    <row r="172" spans="4:15" x14ac:dyDescent="0.25">
      <c r="L172" s="2"/>
      <c r="M172" s="2"/>
      <c r="N172" s="2"/>
      <c r="O172" s="2"/>
    </row>
    <row r="173" spans="4:15" x14ac:dyDescent="0.25">
      <c r="L173" s="2"/>
      <c r="M173" s="2"/>
      <c r="N173" s="2"/>
      <c r="O173" s="2"/>
    </row>
    <row r="174" spans="4:15" ht="18.75" x14ac:dyDescent="0.25">
      <c r="D174" s="48" t="s">
        <v>262</v>
      </c>
      <c r="L174" s="2"/>
      <c r="M174" s="2"/>
      <c r="N174" s="2"/>
      <c r="O174" s="2"/>
    </row>
    <row r="176" spans="4:15" x14ac:dyDescent="0.25">
      <c r="D176" s="1" t="s">
        <v>263</v>
      </c>
      <c r="E176" s="39" t="s">
        <v>138</v>
      </c>
      <c r="F176" s="2" t="s">
        <v>11</v>
      </c>
      <c r="L176" s="2"/>
      <c r="M176" s="2"/>
      <c r="N176" s="2"/>
      <c r="O176" s="2"/>
    </row>
    <row r="178" spans="4:15" x14ac:dyDescent="0.25">
      <c r="D178" s="63" t="s">
        <v>21</v>
      </c>
      <c r="E178" s="63" t="s">
        <v>264</v>
      </c>
      <c r="L178" s="2"/>
      <c r="M178" s="2"/>
      <c r="N178" s="2"/>
      <c r="O178" s="2"/>
    </row>
    <row r="179" spans="4:15" x14ac:dyDescent="0.25">
      <c r="D179" s="1" t="s">
        <v>137</v>
      </c>
      <c r="E179" s="119">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19</v>
      </c>
      <c r="L179" s="2"/>
      <c r="M179" s="2"/>
      <c r="N179" s="2"/>
      <c r="O179" s="2"/>
    </row>
    <row r="180" spans="4:15" x14ac:dyDescent="0.25">
      <c r="D180" s="1" t="s">
        <v>265</v>
      </c>
      <c r="E180" s="119">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19</v>
      </c>
      <c r="L180" s="2"/>
      <c r="M180" s="2"/>
      <c r="N180" s="2"/>
      <c r="O180" s="2"/>
    </row>
    <row r="181" spans="4:15" x14ac:dyDescent="0.25">
      <c r="L181" s="2"/>
      <c r="M181" s="2"/>
      <c r="N181" s="2"/>
      <c r="O181" s="2"/>
    </row>
    <row r="183" spans="4:15" x14ac:dyDescent="0.25">
      <c r="D183" s="1" t="s">
        <v>320</v>
      </c>
      <c r="E183" s="39" t="s">
        <v>325</v>
      </c>
      <c r="F183" s="2" t="s">
        <v>11</v>
      </c>
      <c r="L183" s="2"/>
      <c r="M183" s="2"/>
      <c r="N183" s="2"/>
      <c r="O183" s="2"/>
    </row>
    <row r="184" spans="4:15" x14ac:dyDescent="0.25">
      <c r="E184" s="39" t="s">
        <v>120</v>
      </c>
      <c r="F184"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10" zoomScaleNormal="100" workbookViewId="0">
      <selection activeCell="K39" sqref="K39"/>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8" t="e" vm="1">
        <v>#VALUE!</v>
      </c>
      <c r="C1" s="8" t="s">
        <v>163</v>
      </c>
    </row>
    <row r="2" spans="1:37" s="9" customFormat="1" ht="20.100000000000001" customHeight="1" x14ac:dyDescent="0.25"/>
    <row r="3" spans="1:37" ht="20.100000000000001" customHeight="1" x14ac:dyDescent="0.25">
      <c r="A3" s="17" t="str">
        <f>HYPERLINK("#'Home'!A1", "Home")</f>
        <v>Home</v>
      </c>
      <c r="C3" s="4"/>
      <c r="D3" s="4" t="s">
        <v>107</v>
      </c>
      <c r="E3" s="4"/>
      <c r="F3" s="4"/>
      <c r="G3" s="4"/>
      <c r="H3" s="4"/>
      <c r="I3" s="4"/>
      <c r="J3" s="4"/>
      <c r="K3" s="4"/>
      <c r="L3" s="4"/>
      <c r="M3" s="4"/>
      <c r="N3" s="4"/>
      <c r="O3" s="4"/>
      <c r="P3" s="4"/>
      <c r="Q3" s="4"/>
      <c r="R3" s="4"/>
      <c r="S3" s="4"/>
      <c r="T3" s="4"/>
      <c r="V3" s="4"/>
      <c r="W3" s="4" t="s">
        <v>108</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
        <v>364</v>
      </c>
    </row>
    <row r="6" spans="1:37" ht="20.100000000000001" customHeight="1" x14ac:dyDescent="0.25">
      <c r="A6" s="20" t="s">
        <v>3</v>
      </c>
      <c r="D6" s="5" t="s">
        <v>365</v>
      </c>
    </row>
    <row r="7" spans="1:37" ht="20.100000000000001" customHeight="1" x14ac:dyDescent="0.25">
      <c r="A7" s="17" t="str">
        <f>HYPERLINK("#'Input - Site'!A1", "Site")</f>
        <v>Site</v>
      </c>
      <c r="D7" s="13"/>
      <c r="E7" s="13" t="s">
        <v>343</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76</v>
      </c>
      <c r="D10" s="53" t="s">
        <v>29</v>
      </c>
      <c r="E10" s="1" t="s">
        <v>366</v>
      </c>
    </row>
    <row r="11" spans="1:37" ht="20.100000000000001" customHeight="1" x14ac:dyDescent="0.25">
      <c r="A11" s="17" t="str">
        <f>HYPERLINK("#'4.2.1.1-2 Methane'!A1", "4.2.1.1-2 Methane")</f>
        <v>4.2.1.1-2 Methane</v>
      </c>
      <c r="D11" s="53" t="s">
        <v>20</v>
      </c>
      <c r="E11" s="54" t="s">
        <v>140</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21" t="s">
        <v>367</v>
      </c>
      <c r="E13" s="126" t="s">
        <v>368</v>
      </c>
      <c r="F13" s="127"/>
      <c r="G13" s="125"/>
      <c r="H13" s="121" t="s">
        <v>140</v>
      </c>
      <c r="I13" s="123" t="s">
        <v>375</v>
      </c>
      <c r="J13" s="120"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21" t="s">
        <v>369</v>
      </c>
      <c r="E14" s="126" t="s">
        <v>370</v>
      </c>
      <c r="F14" s="127"/>
      <c r="G14" s="125"/>
      <c r="H14" s="121" t="s">
        <v>140</v>
      </c>
      <c r="I14" s="122" t="s">
        <v>376</v>
      </c>
      <c r="J14" s="121"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21" t="s">
        <v>371</v>
      </c>
      <c r="E15" s="126" t="s">
        <v>372</v>
      </c>
      <c r="F15" s="127"/>
      <c r="G15" s="125"/>
      <c r="H15" s="121" t="s">
        <v>140</v>
      </c>
      <c r="I15" s="122" t="s">
        <v>376</v>
      </c>
      <c r="J15" s="121"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21" t="s">
        <v>373</v>
      </c>
      <c r="E16" s="126" t="s">
        <v>374</v>
      </c>
      <c r="F16" s="127"/>
      <c r="G16" s="125"/>
      <c r="H16" s="121"/>
      <c r="I16" s="123" t="s">
        <v>375</v>
      </c>
      <c r="J16" s="121" t="str">
        <f>'Input - Pasture Beef'!$E$9</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9" t="s">
        <v>229</v>
      </c>
      <c r="W19" s="99" t="s">
        <v>248</v>
      </c>
    </row>
    <row r="20" spans="1:36" ht="20.100000000000001" customHeight="1" x14ac:dyDescent="0.25">
      <c r="A20" s="17" t="str">
        <f>HYPERLINK("#'Acknowledgements'!A1", "Acknowledgements")</f>
        <v>Acknowledgements</v>
      </c>
      <c r="D20" s="98" t="s">
        <v>252</v>
      </c>
      <c r="W20" s="98" t="s">
        <v>249</v>
      </c>
    </row>
    <row r="21" spans="1:36" ht="20.100000000000001" customHeight="1" x14ac:dyDescent="0.25">
      <c r="D21" s="51" t="s">
        <v>183</v>
      </c>
      <c r="E21" s="124" t="s">
        <v>245</v>
      </c>
      <c r="F21" s="124" t="s">
        <v>165</v>
      </c>
      <c r="G21" s="124" t="s">
        <v>166</v>
      </c>
      <c r="H21" s="124" t="s">
        <v>167</v>
      </c>
      <c r="W21" s="51" t="s">
        <v>131</v>
      </c>
      <c r="X21" s="124" t="s">
        <v>165</v>
      </c>
      <c r="Y21" s="124" t="s">
        <v>166</v>
      </c>
      <c r="Z21" s="124" t="s">
        <v>167</v>
      </c>
    </row>
    <row r="22" spans="1:36" ht="20.100000000000001" customHeight="1" x14ac:dyDescent="0.25">
      <c r="A22" s="17"/>
      <c r="D22" s="52" t="s">
        <v>172</v>
      </c>
      <c r="E22" s="52" t="str">
        <f>'Input - Pasture Beef'!$E111</f>
        <v>Yes</v>
      </c>
      <c r="F22" s="52">
        <f>'Input - Pasture Beef'!$F111</f>
        <v>0.1</v>
      </c>
      <c r="G22" s="52">
        <f>'Input - Pasture Beef'!$G111</f>
        <v>0.4</v>
      </c>
      <c r="H22" s="52">
        <f>'Input - Pasture Beef'!$H111</f>
        <v>0.4</v>
      </c>
      <c r="I22" s="2" t="s">
        <v>99</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99</v>
      </c>
    </row>
    <row r="23" spans="1:36" ht="20.100000000000001" customHeight="1" x14ac:dyDescent="0.25">
      <c r="A23" s="17"/>
      <c r="D23" s="52" t="s">
        <v>173</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174</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175</v>
      </c>
      <c r="E25" s="52" t="str">
        <f>'Input - Pasture Beef'!$E111</f>
        <v>Yes</v>
      </c>
      <c r="F25" s="52">
        <f>'Input - Pasture Beef'!$F$110</f>
        <v>0.7</v>
      </c>
      <c r="G25" s="52">
        <f>'Input - Pasture Beef'!$G$110</f>
        <v>0.5</v>
      </c>
      <c r="H25" s="52">
        <f>'Input - Pasture Beef'!$H$110</f>
        <v>0.5</v>
      </c>
      <c r="W25" s="99" t="s">
        <v>250</v>
      </c>
    </row>
    <row r="26" spans="1:36" ht="20.100000000000001" customHeight="1" x14ac:dyDescent="0.25">
      <c r="W26" s="98" t="s">
        <v>251</v>
      </c>
    </row>
    <row r="27" spans="1:36" ht="20.100000000000001" customHeight="1" x14ac:dyDescent="0.25">
      <c r="D27" s="99" t="s">
        <v>239</v>
      </c>
      <c r="W27" s="51" t="s">
        <v>131</v>
      </c>
      <c r="X27" s="51" t="s">
        <v>245</v>
      </c>
      <c r="Y27" s="51" t="s">
        <v>339</v>
      </c>
      <c r="Z27" s="51" t="s">
        <v>130</v>
      </c>
      <c r="AA27" s="51" t="s">
        <v>129</v>
      </c>
      <c r="AB27" s="51" t="s">
        <v>164</v>
      </c>
      <c r="AC27" s="51" t="s">
        <v>165</v>
      </c>
      <c r="AD27" s="51" t="s">
        <v>166</v>
      </c>
      <c r="AE27" s="51" t="s">
        <v>167</v>
      </c>
      <c r="AF27" s="51" t="s">
        <v>168</v>
      </c>
      <c r="AG27" s="51" t="s">
        <v>169</v>
      </c>
      <c r="AH27" s="51" t="s">
        <v>170</v>
      </c>
    </row>
    <row r="28" spans="1:36" ht="20.100000000000001" customHeight="1" x14ac:dyDescent="0.25">
      <c r="D28" s="98" t="s">
        <v>240</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f>IFERROR(((X$22 * $Y28) + (1 - X$22)), 1)</f>
        <v>1.0750000000000002</v>
      </c>
      <c r="AD28" s="52">
        <f>IFERROR(((Y$22 * $Y28) + (1 - Y$22)), 1)</f>
        <v>1.0750000000000002</v>
      </c>
      <c r="AE28" s="52">
        <f>IFERROR(((Z$22 * $Y28) + (1 - Z$22)), 1)</f>
        <v>1.0750000000000002</v>
      </c>
      <c r="AF28" s="52">
        <v>1</v>
      </c>
      <c r="AG28" s="52">
        <v>1</v>
      </c>
      <c r="AH28" s="52">
        <v>1</v>
      </c>
    </row>
    <row r="29" spans="1:36" ht="20.100000000000001" customHeight="1" x14ac:dyDescent="0.25">
      <c r="D29" s="51" t="s">
        <v>183</v>
      </c>
      <c r="E29" s="51" t="s">
        <v>245</v>
      </c>
      <c r="F29" s="51" t="s">
        <v>246</v>
      </c>
      <c r="G29" s="51" t="s">
        <v>339</v>
      </c>
      <c r="H29" s="51" t="s">
        <v>339</v>
      </c>
      <c r="I29" s="51" t="s">
        <v>130</v>
      </c>
      <c r="J29" s="51" t="s">
        <v>129</v>
      </c>
      <c r="K29" s="51" t="s">
        <v>164</v>
      </c>
      <c r="L29" s="51" t="s">
        <v>165</v>
      </c>
      <c r="M29" s="51" t="s">
        <v>166</v>
      </c>
      <c r="N29" s="51" t="s">
        <v>167</v>
      </c>
      <c r="O29" s="51" t="s">
        <v>168</v>
      </c>
      <c r="P29" s="51" t="s">
        <v>169</v>
      </c>
      <c r="Q29" s="51" t="s">
        <v>170</v>
      </c>
      <c r="R29" s="51" t="s">
        <v>171</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f>IFERROR(((X$22 * $Y29) + (1 - X$22)), 1)</f>
        <v>1</v>
      </c>
      <c r="AD29" s="52">
        <f>IFERROR(((Y$22 * $Y29) + (1 - Y$22)), 1)</f>
        <v>1</v>
      </c>
      <c r="AE29" s="52">
        <f>IFERROR(((Z$22 * $Y29) + (1 - Z$22)), 1)</f>
        <v>1</v>
      </c>
      <c r="AF29" s="52">
        <v>1</v>
      </c>
      <c r="AG29" s="52">
        <v>1</v>
      </c>
      <c r="AH29" s="52">
        <v>1</v>
      </c>
      <c r="AI29" s="51" t="s">
        <v>171</v>
      </c>
    </row>
    <row r="30" spans="1:36" ht="20.100000000000001" customHeight="1" x14ac:dyDescent="0.25">
      <c r="D30" s="52" t="s">
        <v>172</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8">
        <f>(((F22 * $G30) + (F25 * $H30)) + (1 - (F22 + F25)))</f>
        <v>1.1000000000000001</v>
      </c>
      <c r="M30" s="128">
        <f>(((G22 * $G30) + (G25 * $H30)) + (1 - (G22 + G25)))</f>
        <v>1.17</v>
      </c>
      <c r="N30" s="128">
        <f>(((H22 * $G30) + (H25 * $H30)) + (1 - (H22 + H25)))</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f>IFERROR(((X$22 * $Y30) + (1 - X$22)), 1)</f>
        <v>1</v>
      </c>
      <c r="AD30" s="52">
        <f>IFERROR(((Y$22 * $Y30) + (1 - Y$22)), 1)</f>
        <v>1</v>
      </c>
      <c r="AE30" s="52">
        <f>IFERROR(((Z$22 * $Y30) + (1 - Z$22)), 1)</f>
        <v>1</v>
      </c>
      <c r="AF30" s="52">
        <v>1</v>
      </c>
      <c r="AG30" s="52">
        <v>1</v>
      </c>
      <c r="AH30" s="52">
        <v>1</v>
      </c>
      <c r="AI30" s="52">
        <v>1</v>
      </c>
      <c r="AJ30" s="2" t="str">
        <f>$E$11</f>
        <v>fraction</v>
      </c>
    </row>
    <row r="31" spans="1:36" ht="20.100000000000001" customHeight="1" x14ac:dyDescent="0.25">
      <c r="D31" s="52" t="s">
        <v>173</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8">
        <f>(((F23 * $G31) + (F22 * $H31)) + (1 - (F23 + F22)))</f>
        <v>1.04</v>
      </c>
      <c r="M31" s="128">
        <f>(((G23 * $G31) + (G22 * $H31)) + (1 - (G23 + G22)))</f>
        <v>1.04</v>
      </c>
      <c r="N31" s="128">
        <f>(((H23 * $G31) + (H22 * $H31)) + (1 - (H23 + H22)))</f>
        <v>1.04</v>
      </c>
      <c r="O31" s="52">
        <v>1</v>
      </c>
      <c r="P31" s="52">
        <v>1</v>
      </c>
      <c r="Q31" s="52">
        <v>1</v>
      </c>
      <c r="R31" s="52">
        <v>1</v>
      </c>
      <c r="S31" s="2" t="str">
        <f t="shared" ref="S31:S33" si="0">$E$11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f>IFERROR(((X$22 * $Y31) + (1 - X$22)), 1)</f>
        <v>1</v>
      </c>
      <c r="AD31" s="52">
        <f>IFERROR(((Y$22 * $Y31) + (1 - Y$22)), 1)</f>
        <v>1</v>
      </c>
      <c r="AE31" s="52">
        <f>IFERROR(((Z$22 * $Y31) + (1 - Z$22)), 1)</f>
        <v>1</v>
      </c>
      <c r="AF31" s="52">
        <v>1</v>
      </c>
      <c r="AG31" s="52">
        <v>1</v>
      </c>
      <c r="AH31" s="52">
        <v>1</v>
      </c>
      <c r="AI31" s="52">
        <v>1</v>
      </c>
      <c r="AJ31" s="2" t="str">
        <f t="shared" ref="AJ31:AJ41" si="1">$E$11</f>
        <v>fraction</v>
      </c>
    </row>
    <row r="32" spans="1:36" ht="20.100000000000001" customHeight="1" x14ac:dyDescent="0.25">
      <c r="D32" s="52" t="s">
        <v>174</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8">
        <f>(((F24 * $G32) + (F23 * $H32)) + (1 - (F24 + F23)))</f>
        <v>1.01</v>
      </c>
      <c r="M32" s="128">
        <f>(((G24 * $G32) + (G23 * $H32)) + (1 - (G24 + G23)))</f>
        <v>1</v>
      </c>
      <c r="N32" s="128">
        <f>(((H24 * $G32) + (H23 * $H32)) + (1 - (H24 + H23)))</f>
        <v>1</v>
      </c>
      <c r="O32" s="52">
        <v>1</v>
      </c>
      <c r="P32" s="52">
        <v>1</v>
      </c>
      <c r="Q32" s="52">
        <v>1</v>
      </c>
      <c r="R32" s="52">
        <v>1</v>
      </c>
      <c r="S32" s="2" t="str">
        <f t="shared" si="0"/>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f>IFERROR(((X$22 * $Y32) + (1 - X$22)), 1)</f>
        <v>1</v>
      </c>
      <c r="AD32" s="52">
        <f>IFERROR(((Y$22 * $Y32) + (1 - Y$22)), 1)</f>
        <v>1</v>
      </c>
      <c r="AE32" s="52">
        <f>IFERROR(((Z$22 * $Y32) + (1 - Z$22)), 1)</f>
        <v>1</v>
      </c>
      <c r="AF32" s="52">
        <v>1</v>
      </c>
      <c r="AG32" s="52">
        <v>1</v>
      </c>
      <c r="AH32" s="52">
        <v>1</v>
      </c>
      <c r="AI32" s="52">
        <v>1</v>
      </c>
      <c r="AJ32" s="2" t="str">
        <f t="shared" si="1"/>
        <v>fraction</v>
      </c>
    </row>
    <row r="33" spans="3:36" ht="20.100000000000001" customHeight="1" x14ac:dyDescent="0.25">
      <c r="D33" s="52" t="s">
        <v>175</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8">
        <f>(((F25 * $G33) + (F24 * $H33)) + (1 - (F25 + F24)))</f>
        <v>1.21</v>
      </c>
      <c r="M33" s="128">
        <f>(((G25 * $G33) + (G24 * $H33)) + (1 - (G25 + G24)))</f>
        <v>1.1499999999999999</v>
      </c>
      <c r="N33" s="128">
        <f>(((H25 * $G33) + (H24 * $H33)) + (1 - (H25 + H24)))</f>
        <v>1.1499999999999999</v>
      </c>
      <c r="O33" s="52">
        <v>1</v>
      </c>
      <c r="P33" s="52">
        <v>1</v>
      </c>
      <c r="Q33" s="52">
        <v>1</v>
      </c>
      <c r="R33" s="52">
        <v>1</v>
      </c>
      <c r="S33" s="2" t="str">
        <f t="shared" si="0"/>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f>IFERROR(((X$22 * $Y33) + (1 - X$22)), 1)</f>
        <v>1</v>
      </c>
      <c r="AD33" s="52">
        <f>IFERROR(((Y$22 * $Y33) + (1 - Y$22)), 1)</f>
        <v>1</v>
      </c>
      <c r="AE33" s="52">
        <f>IFERROR(((Z$22 * $Y33) + (1 - Z$22)), 1)</f>
        <v>1</v>
      </c>
      <c r="AF33" s="52">
        <v>1</v>
      </c>
      <c r="AG33" s="52">
        <v>1</v>
      </c>
      <c r="AH33" s="52">
        <v>1</v>
      </c>
      <c r="AI33" s="52">
        <v>1</v>
      </c>
      <c r="AJ33" s="2" t="str">
        <f t="shared" si="1"/>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f>IFERROR(((X$22 * $Y34) + (1 - X$22)), 1)</f>
        <v>1</v>
      </c>
      <c r="AD34" s="52">
        <f>IFERROR(((Y$22 * $Y34) + (1 - Y$22)), 1)</f>
        <v>1</v>
      </c>
      <c r="AE34" s="52">
        <f>IFERROR(((Z$22 * $Y34) + (1 - Z$22)), 1)</f>
        <v>1</v>
      </c>
      <c r="AF34" s="52">
        <v>1</v>
      </c>
      <c r="AG34" s="52">
        <v>1</v>
      </c>
      <c r="AH34" s="52">
        <v>1</v>
      </c>
      <c r="AI34" s="52">
        <v>1</v>
      </c>
      <c r="AJ34" s="2" t="str">
        <f t="shared" si="1"/>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f>IFERROR(((X$22 * $Y35) + (1 - X$22)), 1)</f>
        <v>1.2250000000000001</v>
      </c>
      <c r="AD35" s="52">
        <f>IFERROR(((Y$22 * $Y35) + (1 - Y$22)), 1)</f>
        <v>1.2250000000000001</v>
      </c>
      <c r="AE35" s="52">
        <f>IFERROR(((Z$22 * $Y35) + (1 - Z$22)), 1)</f>
        <v>1.2250000000000001</v>
      </c>
      <c r="AF35" s="52">
        <v>1</v>
      </c>
      <c r="AG35" s="52">
        <v>1</v>
      </c>
      <c r="AH35" s="52">
        <v>1</v>
      </c>
      <c r="AI35" s="52">
        <v>1</v>
      </c>
      <c r="AJ35" s="2" t="str">
        <f t="shared" si="1"/>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f>IFERROR(((X$22 * $Y36) + (1 - X$22)), 1)</f>
        <v>1.2250000000000001</v>
      </c>
      <c r="AD36" s="52">
        <f>IFERROR(((Y$22 * $Y36) + (1 - Y$22)), 1)</f>
        <v>1.2250000000000001</v>
      </c>
      <c r="AE36" s="52">
        <f>IFERROR(((Z$22 * $Y36) + (1 - Z$22)), 1)</f>
        <v>1.2250000000000001</v>
      </c>
      <c r="AF36" s="52">
        <v>1</v>
      </c>
      <c r="AG36" s="52">
        <v>1</v>
      </c>
      <c r="AH36" s="52">
        <v>1</v>
      </c>
      <c r="AI36" s="52">
        <v>1</v>
      </c>
      <c r="AJ36" s="2" t="str">
        <f t="shared" si="1"/>
        <v>fraction</v>
      </c>
    </row>
    <row r="37" spans="3:36" ht="20.100000000000001" customHeight="1" x14ac:dyDescent="0.25">
      <c r="D37" s="6" t="s">
        <v>377</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f>IFERROR(((X$22 * $Y37) + (1 - X$22)), 1)</f>
        <v>1.2250000000000001</v>
      </c>
      <c r="AD37" s="52">
        <f>IFERROR(((Y$22 * $Y37) + (1 - Y$22)), 1)</f>
        <v>1.2250000000000001</v>
      </c>
      <c r="AE37" s="52">
        <f>IFERROR(((Z$22 * $Y37) + (1 - Z$22)), 1)</f>
        <v>1.2250000000000001</v>
      </c>
      <c r="AF37" s="52">
        <v>1</v>
      </c>
      <c r="AG37" s="52">
        <v>1</v>
      </c>
      <c r="AH37" s="52">
        <v>1</v>
      </c>
      <c r="AI37" s="52">
        <v>1</v>
      </c>
      <c r="AJ37" s="2" t="str">
        <f t="shared" si="1"/>
        <v>fraction</v>
      </c>
    </row>
    <row r="38" spans="3:36" ht="20.100000000000001" customHeight="1" x14ac:dyDescent="0.25">
      <c r="D38" s="5" t="s">
        <v>378</v>
      </c>
      <c r="K38" s="1" t="s">
        <v>353</v>
      </c>
      <c r="L38" s="1" t="s">
        <v>351</v>
      </c>
      <c r="M38" s="1" t="s">
        <v>352</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f>IFERROR(((X$22 * $Y38) + (1 - X$22)), 1)</f>
        <v>1.0750000000000002</v>
      </c>
      <c r="AD38" s="52">
        <f>IFERROR(((Y$22 * $Y38) + (1 - Y$22)), 1)</f>
        <v>1.0750000000000002</v>
      </c>
      <c r="AE38" s="52">
        <f>IFERROR(((Z$22 * $Y38) + (1 - Z$22)), 1)</f>
        <v>1.0750000000000002</v>
      </c>
      <c r="AF38" s="52">
        <v>1</v>
      </c>
      <c r="AG38" s="52">
        <v>1</v>
      </c>
      <c r="AH38" s="52">
        <v>1</v>
      </c>
      <c r="AI38" s="52">
        <v>1</v>
      </c>
      <c r="AJ38" s="2" t="str">
        <f t="shared" si="1"/>
        <v>fraction</v>
      </c>
    </row>
    <row r="39" spans="3:36" ht="20.100000000000001" customHeight="1" x14ac:dyDescent="0.25">
      <c r="D39" s="13"/>
      <c r="E39" s="13"/>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f>IFERROR(((X$22 * $Y39) + (1 - X$22)), 1)</f>
        <v>1.0750000000000002</v>
      </c>
      <c r="AD39" s="52">
        <f>IFERROR(((Y$22 * $Y39) + (1 - Y$22)), 1)</f>
        <v>1.0750000000000002</v>
      </c>
      <c r="AE39" s="52">
        <f>IFERROR(((Z$22 * $Y39) + (1 - Z$22)), 1)</f>
        <v>1.0750000000000002</v>
      </c>
      <c r="AF39" s="52">
        <v>1</v>
      </c>
      <c r="AG39" s="52">
        <v>1</v>
      </c>
      <c r="AH39" s="52">
        <v>1</v>
      </c>
      <c r="AI39" s="52">
        <v>1</v>
      </c>
      <c r="AJ39" s="2" t="str">
        <f t="shared" si="1"/>
        <v>fraction</v>
      </c>
    </row>
    <row r="40" spans="3:36" ht="20.100000000000001" customHeight="1" x14ac:dyDescent="0.25">
      <c r="AI40" s="52">
        <v>1</v>
      </c>
      <c r="AJ40" s="2" t="str">
        <f t="shared" si="1"/>
        <v>fraction</v>
      </c>
    </row>
    <row r="41" spans="3:36" ht="20.100000000000001" customHeight="1" x14ac:dyDescent="0.25">
      <c r="W41" s="99" t="s">
        <v>347</v>
      </c>
      <c r="AI41" s="52">
        <v>1</v>
      </c>
      <c r="AJ41" s="2" t="str">
        <f t="shared" si="1"/>
        <v>fraction</v>
      </c>
    </row>
    <row r="42" spans="3:36" ht="20.100000000000001" customHeight="1" x14ac:dyDescent="0.25">
      <c r="D42" s="53" t="s">
        <v>29</v>
      </c>
      <c r="E42" s="1" t="s">
        <v>379</v>
      </c>
      <c r="W42" s="98" t="s">
        <v>254</v>
      </c>
    </row>
    <row r="43" spans="3:36" ht="20.100000000000001" customHeight="1" x14ac:dyDescent="0.25">
      <c r="D43" s="53" t="s">
        <v>20</v>
      </c>
      <c r="E43" s="54" t="s">
        <v>380</v>
      </c>
      <c r="W43" s="51" t="s">
        <v>131</v>
      </c>
      <c r="X43" s="124" t="s">
        <v>130</v>
      </c>
      <c r="Y43" s="124" t="s">
        <v>129</v>
      </c>
      <c r="Z43" s="124" t="s">
        <v>164</v>
      </c>
      <c r="AA43" s="124" t="s">
        <v>165</v>
      </c>
      <c r="AB43" s="124" t="s">
        <v>166</v>
      </c>
      <c r="AC43" s="124" t="s">
        <v>167</v>
      </c>
      <c r="AD43" s="124" t="s">
        <v>168</v>
      </c>
      <c r="AE43" s="124" t="s">
        <v>169</v>
      </c>
      <c r="AF43" s="124" t="s">
        <v>170</v>
      </c>
      <c r="AG43" s="124" t="s">
        <v>171</v>
      </c>
      <c r="AH43" s="2"/>
    </row>
    <row r="44" spans="3:36" ht="20.100000000000001" customHeight="1" x14ac:dyDescent="0.25">
      <c r="W44" s="52" t="str">
        <f>TEXT('Input - Site'!$E$12, "mmmm yyyy")</f>
        <v>January 2024</v>
      </c>
      <c r="X44" s="52">
        <f>'Input - Pasture Beef'!E66</f>
        <v>380</v>
      </c>
      <c r="Y44" s="52">
        <f>'Input - Pasture Beef'!F66</f>
        <v>780</v>
      </c>
      <c r="Z44" s="52">
        <f>'Input - Pasture Beef'!G66</f>
        <v>300</v>
      </c>
      <c r="AA44" s="52">
        <f>'Input - Pasture Beef'!H66</f>
        <v>450</v>
      </c>
      <c r="AB44" s="52">
        <f>'Input - Pasture Beef'!I66</f>
        <v>530</v>
      </c>
      <c r="AC44" s="52">
        <f>'Input - Pasture Beef'!J66</f>
        <v>530</v>
      </c>
      <c r="AD44" s="52">
        <f>'Input - Pasture Beef'!K66</f>
        <v>340</v>
      </c>
      <c r="AE44" s="52">
        <f>'Input - Pasture Beef'!L66</f>
        <v>470</v>
      </c>
      <c r="AF44" s="52">
        <f>'Input - Pasture Beef'!M66</f>
        <v>470</v>
      </c>
      <c r="AG44" s="52">
        <f>'Input - Pasture Beef'!N66</f>
        <v>470</v>
      </c>
      <c r="AH44" s="2" t="s">
        <v>132</v>
      </c>
    </row>
    <row r="45" spans="3:36" ht="20.100000000000001" customHeight="1" x14ac:dyDescent="0.25">
      <c r="D45" s="121" t="s">
        <v>381</v>
      </c>
      <c r="E45" s="126" t="s">
        <v>382</v>
      </c>
      <c r="F45" s="125"/>
      <c r="G45" s="121" t="s">
        <v>386</v>
      </c>
      <c r="H45" s="123" t="s">
        <v>375</v>
      </c>
      <c r="I45" s="120" t="str" cm="1">
        <f t="array" aca="1" ref="I45" ca="1">HYPERLINK(Common_InputFunctions.Utility_SourceHyperlink($D$49), $D$49)</f>
        <v>M1_Table_W_j_k_l</v>
      </c>
      <c r="W45" s="52" t="str">
        <f>TEXT(EDATE('Input - Site'!$E$12,1), "mmmm yyyy")</f>
        <v>February 2024</v>
      </c>
      <c r="X45" s="52">
        <f>'Input - Pasture Beef'!E67</f>
        <v>380</v>
      </c>
      <c r="Y45" s="52">
        <f>'Input - Pasture Beef'!F67</f>
        <v>780</v>
      </c>
      <c r="Z45" s="52">
        <f>'Input - Pasture Beef'!G67</f>
        <v>300</v>
      </c>
      <c r="AA45" s="52">
        <f>'Input - Pasture Beef'!H67</f>
        <v>450</v>
      </c>
      <c r="AB45" s="52">
        <f>'Input - Pasture Beef'!I67</f>
        <v>530</v>
      </c>
      <c r="AC45" s="52">
        <f>'Input - Pasture Beef'!J67</f>
        <v>530</v>
      </c>
      <c r="AD45" s="52">
        <f>'Input - Pasture Beef'!K67</f>
        <v>340</v>
      </c>
      <c r="AE45" s="52">
        <f>'Input - Pasture Beef'!L67</f>
        <v>470</v>
      </c>
      <c r="AF45" s="52">
        <f>'Input - Pasture Beef'!M67</f>
        <v>470</v>
      </c>
      <c r="AG45" s="52">
        <f>'Input - Pasture Beef'!N67</f>
        <v>470</v>
      </c>
      <c r="AH45" s="2" t="s">
        <v>132</v>
      </c>
    </row>
    <row r="46" spans="3:36" ht="20.100000000000001" customHeight="1" x14ac:dyDescent="0.25">
      <c r="D46" s="121" t="s">
        <v>383</v>
      </c>
      <c r="E46" s="126" t="s">
        <v>384</v>
      </c>
      <c r="F46" s="125"/>
      <c r="G46" s="121" t="s">
        <v>133</v>
      </c>
      <c r="H46" s="123" t="s">
        <v>375</v>
      </c>
      <c r="I46" s="120" t="str" cm="1">
        <f t="array" aca="1" ref="I46" ca="1">HYPERLINK(Common_InputFunctions.Utility_SourceHyperlink($D$65), $D$65)</f>
        <v>M1_Table_LWG_j_k_l</v>
      </c>
      <c r="W46" s="52" t="str">
        <f>TEXT(EDATE('Input - Site'!$E$12,2), "mmmm yyyy")</f>
        <v>March 2024</v>
      </c>
      <c r="X46" s="52">
        <f>'Input - Pasture Beef'!E68</f>
        <v>100</v>
      </c>
      <c r="Y46" s="52">
        <f>'Input - Pasture Beef'!F68</f>
        <v>680</v>
      </c>
      <c r="Z46" s="52">
        <f>'Input - Pasture Beef'!G68</f>
        <v>80</v>
      </c>
      <c r="AA46" s="52">
        <f>'Input - Pasture Beef'!H68</f>
        <v>320</v>
      </c>
      <c r="AB46" s="52">
        <f>'Input - Pasture Beef'!I68</f>
        <v>480</v>
      </c>
      <c r="AC46" s="52">
        <f>'Input - Pasture Beef'!J68</f>
        <v>480</v>
      </c>
      <c r="AD46" s="52">
        <f>'Input - Pasture Beef'!K68</f>
        <v>100</v>
      </c>
      <c r="AE46" s="52">
        <f>'Input - Pasture Beef'!L68</f>
        <v>340</v>
      </c>
      <c r="AF46" s="52">
        <f>'Input - Pasture Beef'!M68</f>
        <v>340</v>
      </c>
      <c r="AG46" s="52">
        <f>'Input - Pasture Beef'!N68</f>
        <v>340</v>
      </c>
      <c r="AH46" s="2" t="s">
        <v>132</v>
      </c>
    </row>
    <row r="47" spans="3:36" ht="20.100000000000001" customHeight="1" x14ac:dyDescent="0.25">
      <c r="D47" s="121" t="s">
        <v>366</v>
      </c>
      <c r="E47" s="126" t="s">
        <v>385</v>
      </c>
      <c r="F47" s="125"/>
      <c r="G47" s="121" t="s">
        <v>133</v>
      </c>
      <c r="H47" s="122" t="s">
        <v>387</v>
      </c>
      <c r="I47" s="120" t="str" cm="1">
        <f t="array" aca="1" ref="I47" ca="1">HYPERLINK(Common_InputFunctions.Utility_SourceHyperlink($D$27), $D$27)</f>
        <v>M1_Table_MA_j_k-4-5</v>
      </c>
      <c r="W47" s="52" t="str">
        <f>TEXT(EDATE('Input - Site'!$E$12,3), "mmmm yyyy")</f>
        <v>April 2024</v>
      </c>
      <c r="X47" s="52">
        <f>'Input - Pasture Beef'!E69</f>
        <v>100</v>
      </c>
      <c r="Y47" s="52">
        <f>'Input - Pasture Beef'!F69</f>
        <v>680</v>
      </c>
      <c r="Z47" s="52">
        <f>'Input - Pasture Beef'!G69</f>
        <v>80</v>
      </c>
      <c r="AA47" s="52">
        <f>'Input - Pasture Beef'!H69</f>
        <v>320</v>
      </c>
      <c r="AB47" s="52">
        <f>'Input - Pasture Beef'!I69</f>
        <v>480</v>
      </c>
      <c r="AC47" s="52">
        <f>'Input - Pasture Beef'!J69</f>
        <v>480</v>
      </c>
      <c r="AD47" s="52">
        <f>'Input - Pasture Beef'!K69</f>
        <v>100</v>
      </c>
      <c r="AE47" s="52">
        <f>'Input - Pasture Beef'!L69</f>
        <v>340</v>
      </c>
      <c r="AF47" s="52">
        <f>'Input - Pasture Beef'!M69</f>
        <v>340</v>
      </c>
      <c r="AG47" s="52">
        <f>'Input - Pasture Beef'!N69</f>
        <v>340</v>
      </c>
      <c r="AH47" s="2" t="s">
        <v>132</v>
      </c>
    </row>
    <row r="48" spans="3:36" ht="20.100000000000001" customHeight="1" x14ac:dyDescent="0.25">
      <c r="W48" s="52" t="str">
        <f>TEXT(EDATE('Input - Site'!$E$12,4), "mmmm yyyy")</f>
        <v>May 2024</v>
      </c>
      <c r="X48" s="52">
        <f>'Input - Pasture Beef'!E70</f>
        <v>100</v>
      </c>
      <c r="Y48" s="52">
        <f>'Input - Pasture Beef'!F70</f>
        <v>680</v>
      </c>
      <c r="Z48" s="52">
        <f>'Input - Pasture Beef'!G70</f>
        <v>80</v>
      </c>
      <c r="AA48" s="52">
        <f>'Input - Pasture Beef'!H70</f>
        <v>320</v>
      </c>
      <c r="AB48" s="52">
        <f>'Input - Pasture Beef'!I70</f>
        <v>480</v>
      </c>
      <c r="AC48" s="52">
        <f>'Input - Pasture Beef'!J70</f>
        <v>480</v>
      </c>
      <c r="AD48" s="52">
        <f>'Input - Pasture Beef'!K70</f>
        <v>100</v>
      </c>
      <c r="AE48" s="52">
        <f>'Input - Pasture Beef'!L70</f>
        <v>340</v>
      </c>
      <c r="AF48" s="52">
        <f>'Input - Pasture Beef'!M70</f>
        <v>340</v>
      </c>
      <c r="AG48" s="52">
        <f>'Input - Pasture Beef'!N70</f>
        <v>340</v>
      </c>
      <c r="AH48" s="2" t="s">
        <v>132</v>
      </c>
    </row>
    <row r="49" spans="4:36" ht="20.100000000000001" customHeight="1" x14ac:dyDescent="0.25">
      <c r="D49" s="99" t="s">
        <v>285</v>
      </c>
      <c r="W49" s="52" t="str">
        <f>TEXT(EDATE('Input - Site'!$E$12,5), "mmmm yyyy")</f>
        <v>June 2024</v>
      </c>
      <c r="X49" s="52">
        <f>'Input - Pasture Beef'!E71</f>
        <v>190</v>
      </c>
      <c r="Y49" s="52">
        <f>'Input - Pasture Beef'!F71</f>
        <v>700</v>
      </c>
      <c r="Z49" s="52">
        <f>'Input - Pasture Beef'!G71</f>
        <v>150</v>
      </c>
      <c r="AA49" s="52">
        <f>'Input - Pasture Beef'!H71</f>
        <v>330</v>
      </c>
      <c r="AB49" s="52">
        <f>'Input - Pasture Beef'!I71</f>
        <v>490</v>
      </c>
      <c r="AC49" s="52">
        <f>'Input - Pasture Beef'!J71</f>
        <v>490</v>
      </c>
      <c r="AD49" s="52">
        <f>'Input - Pasture Beef'!K71</f>
        <v>170</v>
      </c>
      <c r="AE49" s="52">
        <f>'Input - Pasture Beef'!L71</f>
        <v>360</v>
      </c>
      <c r="AF49" s="52">
        <f>'Input - Pasture Beef'!M71</f>
        <v>360</v>
      </c>
      <c r="AG49" s="52">
        <f>'Input - Pasture Beef'!N71</f>
        <v>360</v>
      </c>
      <c r="AH49" s="2" t="s">
        <v>132</v>
      </c>
    </row>
    <row r="50" spans="4:36" ht="20.100000000000001" customHeight="1" x14ac:dyDescent="0.25">
      <c r="D50" s="98" t="s">
        <v>243</v>
      </c>
      <c r="W50" s="52" t="str">
        <f>TEXT(EDATE('Input - Site'!$E$12,6), "mmmm yyyy")</f>
        <v>July 2024</v>
      </c>
      <c r="X50" s="52">
        <f>'Input - Pasture Beef'!E72</f>
        <v>190</v>
      </c>
      <c r="Y50" s="52">
        <f>'Input - Pasture Beef'!F72</f>
        <v>700</v>
      </c>
      <c r="Z50" s="52">
        <f>'Input - Pasture Beef'!G72</f>
        <v>150</v>
      </c>
      <c r="AA50" s="52">
        <f>'Input - Pasture Beef'!H72</f>
        <v>330</v>
      </c>
      <c r="AB50" s="52">
        <f>'Input - Pasture Beef'!I72</f>
        <v>490</v>
      </c>
      <c r="AC50" s="52">
        <f>'Input - Pasture Beef'!J72</f>
        <v>490</v>
      </c>
      <c r="AD50" s="52">
        <f>'Input - Pasture Beef'!K72</f>
        <v>170</v>
      </c>
      <c r="AE50" s="52">
        <f>'Input - Pasture Beef'!L72</f>
        <v>360</v>
      </c>
      <c r="AF50" s="52">
        <f>'Input - Pasture Beef'!M72</f>
        <v>360</v>
      </c>
      <c r="AG50" s="52">
        <f>'Input - Pasture Beef'!N72</f>
        <v>360</v>
      </c>
      <c r="AH50" s="2" t="s">
        <v>132</v>
      </c>
    </row>
    <row r="51" spans="4:36" ht="20.100000000000001" customHeight="1" x14ac:dyDescent="0.25">
      <c r="D51" s="51" t="s">
        <v>183</v>
      </c>
      <c r="E51" s="124" t="s">
        <v>130</v>
      </c>
      <c r="F51" s="124" t="s">
        <v>129</v>
      </c>
      <c r="G51" s="124" t="s">
        <v>164</v>
      </c>
      <c r="H51" s="124" t="s">
        <v>165</v>
      </c>
      <c r="I51" s="124" t="s">
        <v>166</v>
      </c>
      <c r="J51" s="124" t="s">
        <v>167</v>
      </c>
      <c r="K51" s="124" t="s">
        <v>168</v>
      </c>
      <c r="L51" s="124" t="s">
        <v>169</v>
      </c>
      <c r="M51" s="124" t="s">
        <v>170</v>
      </c>
      <c r="N51" s="124" t="s">
        <v>171</v>
      </c>
      <c r="W51" s="52" t="str">
        <f>TEXT(EDATE('Input - Site'!$E$12,7), "mmmm yyyy")</f>
        <v>August 2024</v>
      </c>
      <c r="X51" s="52">
        <f>'Input - Pasture Beef'!E73</f>
        <v>190</v>
      </c>
      <c r="Y51" s="52">
        <f>'Input - Pasture Beef'!F73</f>
        <v>700</v>
      </c>
      <c r="Z51" s="52">
        <f>'Input - Pasture Beef'!G73</f>
        <v>150</v>
      </c>
      <c r="AA51" s="52">
        <f>'Input - Pasture Beef'!H73</f>
        <v>330</v>
      </c>
      <c r="AB51" s="52">
        <f>'Input - Pasture Beef'!I73</f>
        <v>490</v>
      </c>
      <c r="AC51" s="52">
        <f>'Input - Pasture Beef'!J73</f>
        <v>490</v>
      </c>
      <c r="AD51" s="52">
        <f>'Input - Pasture Beef'!K73</f>
        <v>170</v>
      </c>
      <c r="AE51" s="52">
        <f>'Input - Pasture Beef'!L73</f>
        <v>360</v>
      </c>
      <c r="AF51" s="52">
        <f>'Input - Pasture Beef'!M73</f>
        <v>360</v>
      </c>
      <c r="AG51" s="52">
        <f>'Input - Pasture Beef'!N73</f>
        <v>360</v>
      </c>
      <c r="AH51" s="2" t="s">
        <v>132</v>
      </c>
      <c r="AI51" s="2"/>
      <c r="AJ51" s="2"/>
    </row>
    <row r="52" spans="4:36" ht="20.100000000000001" customHeight="1" x14ac:dyDescent="0.25">
      <c r="D52" s="52" t="str">
        <f>'Input - Pasture Beef'!D60</f>
        <v>Spring</v>
      </c>
      <c r="E52" s="52">
        <f>'Input - Pasture Beef'!E60</f>
        <v>340</v>
      </c>
      <c r="F52" s="52">
        <f>'Input - Pasture Beef'!F60</f>
        <v>800</v>
      </c>
      <c r="G52" s="52">
        <f>'Input - Pasture Beef'!G60</f>
        <v>260</v>
      </c>
      <c r="H52" s="52">
        <f>'Input - Pasture Beef'!H60</f>
        <v>420</v>
      </c>
      <c r="I52" s="52">
        <f>'Input - Pasture Beef'!I60</f>
        <v>550</v>
      </c>
      <c r="J52" s="52">
        <f>'Input - Pasture Beef'!J60</f>
        <v>550</v>
      </c>
      <c r="K52" s="52">
        <f>'Input - Pasture Beef'!K60</f>
        <v>300</v>
      </c>
      <c r="L52" s="52">
        <f>'Input - Pasture Beef'!L60</f>
        <v>480</v>
      </c>
      <c r="M52" s="52">
        <f>'Input - Pasture Beef'!M60</f>
        <v>480</v>
      </c>
      <c r="N52" s="52">
        <f>'Input - Pasture Beef'!N60</f>
        <v>480</v>
      </c>
      <c r="O52" s="2" t="s">
        <v>132</v>
      </c>
      <c r="P52" s="2"/>
      <c r="Q52" s="2"/>
      <c r="R52" s="2"/>
      <c r="S52" s="2"/>
      <c r="W52" s="52" t="str">
        <f>TEXT(EDATE('Input - Site'!$E$12,8), "mmmm yyyy")</f>
        <v>September 2024</v>
      </c>
      <c r="X52" s="52">
        <f>'Input - Pasture Beef'!E74</f>
        <v>340</v>
      </c>
      <c r="Y52" s="52">
        <f>'Input - Pasture Beef'!F74</f>
        <v>800</v>
      </c>
      <c r="Z52" s="52">
        <f>'Input - Pasture Beef'!G74</f>
        <v>260</v>
      </c>
      <c r="AA52" s="52">
        <f>'Input - Pasture Beef'!H74</f>
        <v>420</v>
      </c>
      <c r="AB52" s="52">
        <f>'Input - Pasture Beef'!I74</f>
        <v>550</v>
      </c>
      <c r="AC52" s="52">
        <f>'Input - Pasture Beef'!J74</f>
        <v>550</v>
      </c>
      <c r="AD52" s="52">
        <f>'Input - Pasture Beef'!K74</f>
        <v>300</v>
      </c>
      <c r="AE52" s="52">
        <f>'Input - Pasture Beef'!L74</f>
        <v>480</v>
      </c>
      <c r="AF52" s="52">
        <f>'Input - Pasture Beef'!M74</f>
        <v>480</v>
      </c>
      <c r="AG52" s="52">
        <f>'Input - Pasture Beef'!N74</f>
        <v>480</v>
      </c>
      <c r="AH52" s="2" t="s">
        <v>132</v>
      </c>
      <c r="AI52" s="2"/>
      <c r="AJ52" s="2"/>
    </row>
    <row r="53" spans="4:36" ht="20.100000000000001" customHeight="1" x14ac:dyDescent="0.25">
      <c r="D53" s="52" t="str">
        <f>'Input - Pasture Beef'!D61</f>
        <v>Summer</v>
      </c>
      <c r="E53" s="52">
        <f>'Input - Pasture Beef'!E61</f>
        <v>380</v>
      </c>
      <c r="F53" s="52">
        <f>'Input - Pasture Beef'!F61</f>
        <v>780</v>
      </c>
      <c r="G53" s="52">
        <f>'Input - Pasture Beef'!G61</f>
        <v>300</v>
      </c>
      <c r="H53" s="52">
        <f>'Input - Pasture Beef'!H61</f>
        <v>450</v>
      </c>
      <c r="I53" s="52">
        <f>'Input - Pasture Beef'!I61</f>
        <v>530</v>
      </c>
      <c r="J53" s="52">
        <f>'Input - Pasture Beef'!J61</f>
        <v>530</v>
      </c>
      <c r="K53" s="52">
        <f>'Input - Pasture Beef'!K61</f>
        <v>340</v>
      </c>
      <c r="L53" s="52">
        <f>'Input - Pasture Beef'!L61</f>
        <v>470</v>
      </c>
      <c r="M53" s="52">
        <f>'Input - Pasture Beef'!M61</f>
        <v>470</v>
      </c>
      <c r="N53" s="52">
        <f>'Input - Pasture Beef'!N61</f>
        <v>470</v>
      </c>
      <c r="O53" s="2" t="s">
        <v>132</v>
      </c>
      <c r="P53" s="2"/>
      <c r="Q53" s="2"/>
      <c r="R53" s="2"/>
      <c r="S53" s="2"/>
      <c r="W53" s="52" t="str">
        <f>TEXT(EDATE('Input - Site'!$E$12,9), "mmmm yyyy")</f>
        <v>October 2024</v>
      </c>
      <c r="X53" s="52">
        <f>'Input - Pasture Beef'!E75</f>
        <v>340</v>
      </c>
      <c r="Y53" s="52">
        <f>'Input - Pasture Beef'!F75</f>
        <v>800</v>
      </c>
      <c r="Z53" s="52">
        <f>'Input - Pasture Beef'!G75</f>
        <v>260</v>
      </c>
      <c r="AA53" s="52">
        <f>'Input - Pasture Beef'!H75</f>
        <v>420</v>
      </c>
      <c r="AB53" s="52">
        <f>'Input - Pasture Beef'!I75</f>
        <v>550</v>
      </c>
      <c r="AC53" s="52">
        <f>'Input - Pasture Beef'!J75</f>
        <v>550</v>
      </c>
      <c r="AD53" s="52">
        <f>'Input - Pasture Beef'!K75</f>
        <v>300</v>
      </c>
      <c r="AE53" s="52">
        <f>'Input - Pasture Beef'!L75</f>
        <v>480</v>
      </c>
      <c r="AF53" s="52">
        <f>'Input - Pasture Beef'!M75</f>
        <v>480</v>
      </c>
      <c r="AG53" s="52">
        <f>'Input - Pasture Beef'!N75</f>
        <v>480</v>
      </c>
      <c r="AH53" s="2" t="s">
        <v>132</v>
      </c>
      <c r="AI53" s="2"/>
      <c r="AJ53" s="2"/>
    </row>
    <row r="54" spans="4:36" ht="20.100000000000001" customHeight="1" x14ac:dyDescent="0.25">
      <c r="D54" s="52" t="str">
        <f>'Input - Pasture Beef'!D62</f>
        <v>Autumn</v>
      </c>
      <c r="E54" s="52">
        <f>'Input - Pasture Beef'!E62</f>
        <v>100</v>
      </c>
      <c r="F54" s="52">
        <f>'Input - Pasture Beef'!F62</f>
        <v>680</v>
      </c>
      <c r="G54" s="52">
        <f>'Input - Pasture Beef'!G62</f>
        <v>80</v>
      </c>
      <c r="H54" s="52">
        <f>'Input - Pasture Beef'!H62</f>
        <v>320</v>
      </c>
      <c r="I54" s="52">
        <f>'Input - Pasture Beef'!I62</f>
        <v>480</v>
      </c>
      <c r="J54" s="52">
        <f>'Input - Pasture Beef'!J62</f>
        <v>480</v>
      </c>
      <c r="K54" s="52">
        <f>'Input - Pasture Beef'!K62</f>
        <v>100</v>
      </c>
      <c r="L54" s="52">
        <f>'Input - Pasture Beef'!L62</f>
        <v>340</v>
      </c>
      <c r="M54" s="52">
        <f>'Input - Pasture Beef'!M62</f>
        <v>340</v>
      </c>
      <c r="N54" s="52">
        <f>'Input - Pasture Beef'!N62</f>
        <v>340</v>
      </c>
      <c r="O54" s="2" t="s">
        <v>132</v>
      </c>
      <c r="P54" s="2"/>
      <c r="Q54" s="2"/>
      <c r="R54" s="2"/>
      <c r="S54" s="2"/>
      <c r="W54" s="52" t="str">
        <f>TEXT(EDATE('Input - Site'!$E$12,10), "mmmm yyyy")</f>
        <v>November 2024</v>
      </c>
      <c r="X54" s="52">
        <f>'Input - Pasture Beef'!E76</f>
        <v>340</v>
      </c>
      <c r="Y54" s="52">
        <f>'Input - Pasture Beef'!F76</f>
        <v>800</v>
      </c>
      <c r="Z54" s="52">
        <f>'Input - Pasture Beef'!G76</f>
        <v>260</v>
      </c>
      <c r="AA54" s="52">
        <f>'Input - Pasture Beef'!H76</f>
        <v>420</v>
      </c>
      <c r="AB54" s="52">
        <f>'Input - Pasture Beef'!I76</f>
        <v>550</v>
      </c>
      <c r="AC54" s="52">
        <f>'Input - Pasture Beef'!J76</f>
        <v>550</v>
      </c>
      <c r="AD54" s="52">
        <f>'Input - Pasture Beef'!K76</f>
        <v>300</v>
      </c>
      <c r="AE54" s="52">
        <f>'Input - Pasture Beef'!L76</f>
        <v>480</v>
      </c>
      <c r="AF54" s="52">
        <f>'Input - Pasture Beef'!M76</f>
        <v>480</v>
      </c>
      <c r="AG54" s="52">
        <f>'Input - Pasture Beef'!N76</f>
        <v>480</v>
      </c>
      <c r="AH54" s="2" t="s">
        <v>132</v>
      </c>
      <c r="AI54" s="2"/>
      <c r="AJ54" s="2"/>
    </row>
    <row r="55" spans="4:36" ht="20.100000000000001" customHeight="1" x14ac:dyDescent="0.25">
      <c r="D55" s="52" t="str">
        <f>'Input - Pasture Beef'!D63</f>
        <v>Winter</v>
      </c>
      <c r="E55" s="52">
        <f>'Input - Pasture Beef'!E63</f>
        <v>190</v>
      </c>
      <c r="F55" s="52">
        <f>'Input - Pasture Beef'!F63</f>
        <v>700</v>
      </c>
      <c r="G55" s="52">
        <f>'Input - Pasture Beef'!G63</f>
        <v>150</v>
      </c>
      <c r="H55" s="52">
        <f>'Input - Pasture Beef'!H63</f>
        <v>330</v>
      </c>
      <c r="I55" s="52">
        <f>'Input - Pasture Beef'!I63</f>
        <v>490</v>
      </c>
      <c r="J55" s="52">
        <f>'Input - Pasture Beef'!J63</f>
        <v>490</v>
      </c>
      <c r="K55" s="52">
        <f>'Input - Pasture Beef'!K63</f>
        <v>170</v>
      </c>
      <c r="L55" s="52">
        <f>'Input - Pasture Beef'!L63</f>
        <v>360</v>
      </c>
      <c r="M55" s="52">
        <f>'Input - Pasture Beef'!M63</f>
        <v>360</v>
      </c>
      <c r="N55" s="52">
        <f>'Input - Pasture Beef'!N63</f>
        <v>360</v>
      </c>
      <c r="O55" s="2" t="s">
        <v>132</v>
      </c>
      <c r="P55" s="2"/>
      <c r="Q55" s="2"/>
      <c r="R55" s="2"/>
      <c r="S55" s="2"/>
      <c r="W55" s="52" t="str">
        <f>TEXT(EDATE('Input - Site'!$E$12,11), "mmmm yyyy")</f>
        <v>December 2024</v>
      </c>
      <c r="X55" s="52">
        <f>'Input - Pasture Beef'!E77</f>
        <v>380</v>
      </c>
      <c r="Y55" s="52">
        <f>'Input - Pasture Beef'!F77</f>
        <v>780</v>
      </c>
      <c r="Z55" s="52">
        <f>'Input - Pasture Beef'!G77</f>
        <v>300</v>
      </c>
      <c r="AA55" s="52">
        <f>'Input - Pasture Beef'!H77</f>
        <v>450</v>
      </c>
      <c r="AB55" s="52">
        <f>'Input - Pasture Beef'!I77</f>
        <v>530</v>
      </c>
      <c r="AC55" s="52">
        <f>'Input - Pasture Beef'!J77</f>
        <v>530</v>
      </c>
      <c r="AD55" s="52">
        <f>'Input - Pasture Beef'!K77</f>
        <v>340</v>
      </c>
      <c r="AE55" s="52">
        <f>'Input - Pasture Beef'!L77</f>
        <v>470</v>
      </c>
      <c r="AF55" s="52">
        <f>'Input - Pasture Beef'!M77</f>
        <v>470</v>
      </c>
      <c r="AG55" s="52">
        <f>'Input - Pasture Beef'!N77</f>
        <v>470</v>
      </c>
      <c r="AH55" s="2" t="s">
        <v>132</v>
      </c>
      <c r="AI55" s="2"/>
      <c r="AJ55" s="2"/>
    </row>
    <row r="56" spans="4:36" ht="20.100000000000001" customHeight="1" x14ac:dyDescent="0.25">
      <c r="AI56" s="2"/>
      <c r="AJ56" s="2"/>
    </row>
    <row r="57" spans="4:36" ht="20.100000000000001" customHeight="1" x14ac:dyDescent="0.25">
      <c r="W57" s="99" t="s">
        <v>255</v>
      </c>
      <c r="AI57" s="2"/>
      <c r="AJ57" s="2"/>
    </row>
    <row r="58" spans="4:36" ht="20.100000000000001" customHeight="1" x14ac:dyDescent="0.25">
      <c r="W58" s="98" t="s">
        <v>256</v>
      </c>
      <c r="AI58" s="2"/>
      <c r="AJ58" s="2"/>
    </row>
    <row r="59" spans="4:36" ht="20.100000000000001" customHeight="1" x14ac:dyDescent="0.25">
      <c r="W59" s="51" t="s">
        <v>131</v>
      </c>
      <c r="X59" s="124" t="s">
        <v>130</v>
      </c>
      <c r="Y59" s="124" t="s">
        <v>129</v>
      </c>
      <c r="Z59" s="124" t="s">
        <v>164</v>
      </c>
      <c r="AA59" s="124" t="s">
        <v>165</v>
      </c>
      <c r="AB59" s="124" t="s">
        <v>166</v>
      </c>
      <c r="AC59" s="124" t="s">
        <v>167</v>
      </c>
      <c r="AD59" s="124" t="s">
        <v>168</v>
      </c>
      <c r="AE59" s="124" t="s">
        <v>169</v>
      </c>
      <c r="AF59" s="124" t="s">
        <v>170</v>
      </c>
      <c r="AG59" s="124" t="s">
        <v>171</v>
      </c>
      <c r="AI59" s="2"/>
      <c r="AJ59" s="2"/>
    </row>
    <row r="60" spans="4:36" ht="20.100000000000001" customHeight="1" x14ac:dyDescent="0.25">
      <c r="W60" s="52" t="str">
        <f>TEXT('Input - Site'!$E$12, "mmmm yyyy")</f>
        <v>January 2024</v>
      </c>
      <c r="X60" s="52">
        <f>'Input - Pasture Beef'!E88</f>
        <v>0.44</v>
      </c>
      <c r="Y60" s="52">
        <f>'Input - Pasture Beef'!F88</f>
        <v>-0.22</v>
      </c>
      <c r="Z60" s="52">
        <f>'Input - Pasture Beef'!G88</f>
        <v>0.44</v>
      </c>
      <c r="AA60" s="52">
        <f>'Input - Pasture Beef'!H88</f>
        <v>0.33</v>
      </c>
      <c r="AB60" s="52">
        <f>'Input - Pasture Beef'!I88</f>
        <v>-0.22</v>
      </c>
      <c r="AC60" s="52">
        <f>'Input - Pasture Beef'!J88</f>
        <v>-0.22</v>
      </c>
      <c r="AD60" s="52">
        <f>'Input - Pasture Beef'!K88</f>
        <v>0.44</v>
      </c>
      <c r="AE60" s="52">
        <f>'Input - Pasture Beef'!L88</f>
        <v>-0.11</v>
      </c>
      <c r="AF60" s="52">
        <f>'Input - Pasture Beef'!M88</f>
        <v>-0.11</v>
      </c>
      <c r="AG60" s="52">
        <f>'Input - Pasture Beef'!N88</f>
        <v>-0.11</v>
      </c>
      <c r="AH60" s="2" t="s">
        <v>133</v>
      </c>
      <c r="AI60" s="2"/>
      <c r="AJ60" s="2"/>
    </row>
    <row r="61" spans="4:36" ht="20.100000000000001" customHeight="1" x14ac:dyDescent="0.25">
      <c r="W61" s="52" t="str">
        <f>TEXT(EDATE('Input - Site'!$E$12,1), "mmmm yyyy")</f>
        <v>February 2024</v>
      </c>
      <c r="X61" s="52">
        <f>'Input - Pasture Beef'!E89</f>
        <v>0.44</v>
      </c>
      <c r="Y61" s="52">
        <f>'Input - Pasture Beef'!F89</f>
        <v>-0.22</v>
      </c>
      <c r="Z61" s="52">
        <f>'Input - Pasture Beef'!G89</f>
        <v>0.44</v>
      </c>
      <c r="AA61" s="52">
        <f>'Input - Pasture Beef'!H89</f>
        <v>0.33</v>
      </c>
      <c r="AB61" s="52">
        <f>'Input - Pasture Beef'!I89</f>
        <v>-0.22</v>
      </c>
      <c r="AC61" s="52">
        <f>'Input - Pasture Beef'!J89</f>
        <v>-0.22</v>
      </c>
      <c r="AD61" s="52">
        <f>'Input - Pasture Beef'!K89</f>
        <v>0.44</v>
      </c>
      <c r="AE61" s="52">
        <f>'Input - Pasture Beef'!L89</f>
        <v>-0.11</v>
      </c>
      <c r="AF61" s="52">
        <f>'Input - Pasture Beef'!M89</f>
        <v>-0.11</v>
      </c>
      <c r="AG61" s="52">
        <f>'Input - Pasture Beef'!N89</f>
        <v>-0.11</v>
      </c>
      <c r="AH61" s="2" t="s">
        <v>133</v>
      </c>
      <c r="AI61" s="2"/>
      <c r="AJ61" s="2"/>
    </row>
    <row r="62" spans="4:36" ht="20.100000000000001" customHeight="1" x14ac:dyDescent="0.25">
      <c r="W62" s="52" t="str">
        <f>TEXT(EDATE('Input - Site'!$E$12,2), "mmmm yyyy")</f>
        <v>March 2024</v>
      </c>
      <c r="X62" s="52">
        <f>'Input - Pasture Beef'!E90</f>
        <v>0.6</v>
      </c>
      <c r="Y62" s="52">
        <f>'Input - Pasture Beef'!F90</f>
        <v>0</v>
      </c>
      <c r="Z62" s="52">
        <f>'Input - Pasture Beef'!G90</f>
        <v>0.6</v>
      </c>
      <c r="AA62" s="52">
        <f>'Input - Pasture Beef'!H90</f>
        <v>0.22</v>
      </c>
      <c r="AB62" s="52">
        <f>'Input - Pasture Beef'!I90</f>
        <v>-0.55000000000000004</v>
      </c>
      <c r="AC62" s="52">
        <f>'Input - Pasture Beef'!J90</f>
        <v>-0.55000000000000004</v>
      </c>
      <c r="AD62" s="52">
        <f>'Input - Pasture Beef'!K90</f>
        <v>0.6</v>
      </c>
      <c r="AE62" s="52">
        <f>'Input - Pasture Beef'!L90</f>
        <v>0</v>
      </c>
      <c r="AF62" s="52">
        <f>'Input - Pasture Beef'!M90</f>
        <v>0</v>
      </c>
      <c r="AG62" s="52">
        <f>'Input - Pasture Beef'!N90</f>
        <v>0</v>
      </c>
      <c r="AH62" s="2" t="s">
        <v>133</v>
      </c>
      <c r="AI62" s="2"/>
      <c r="AJ62" s="2"/>
    </row>
    <row r="63" spans="4:36" ht="20.100000000000001" customHeight="1" x14ac:dyDescent="0.25">
      <c r="W63" s="52" t="str">
        <f>TEXT(EDATE('Input - Site'!$E$12,3), "mmmm yyyy")</f>
        <v>April 2024</v>
      </c>
      <c r="X63" s="52">
        <f>'Input - Pasture Beef'!E91</f>
        <v>0.6</v>
      </c>
      <c r="Y63" s="52">
        <f>'Input - Pasture Beef'!F91</f>
        <v>0</v>
      </c>
      <c r="Z63" s="52">
        <f>'Input - Pasture Beef'!G91</f>
        <v>0.6</v>
      </c>
      <c r="AA63" s="52">
        <f>'Input - Pasture Beef'!H91</f>
        <v>0.22</v>
      </c>
      <c r="AB63" s="52">
        <f>'Input - Pasture Beef'!I91</f>
        <v>-0.55000000000000004</v>
      </c>
      <c r="AC63" s="52">
        <f>'Input - Pasture Beef'!J91</f>
        <v>-0.55000000000000004</v>
      </c>
      <c r="AD63" s="52">
        <f>'Input - Pasture Beef'!K91</f>
        <v>0.6</v>
      </c>
      <c r="AE63" s="52">
        <f>'Input - Pasture Beef'!L91</f>
        <v>0</v>
      </c>
      <c r="AF63" s="52">
        <f>'Input - Pasture Beef'!M91</f>
        <v>0</v>
      </c>
      <c r="AG63" s="52">
        <f>'Input - Pasture Beef'!N91</f>
        <v>0</v>
      </c>
      <c r="AH63" s="2" t="s">
        <v>133</v>
      </c>
      <c r="AI63" s="2"/>
      <c r="AJ63" s="2"/>
    </row>
    <row r="64" spans="4:36" ht="20.100000000000001" customHeight="1" x14ac:dyDescent="0.25">
      <c r="W64" s="52" t="str">
        <f>TEXT(EDATE('Input - Site'!$E$12,4), "mmmm yyyy")</f>
        <v>May 2024</v>
      </c>
      <c r="X64" s="52">
        <f>'Input - Pasture Beef'!E92</f>
        <v>0.6</v>
      </c>
      <c r="Y64" s="52">
        <f>'Input - Pasture Beef'!F92</f>
        <v>0</v>
      </c>
      <c r="Z64" s="52">
        <f>'Input - Pasture Beef'!G92</f>
        <v>0.6</v>
      </c>
      <c r="AA64" s="52">
        <f>'Input - Pasture Beef'!H92</f>
        <v>0.22</v>
      </c>
      <c r="AB64" s="52">
        <f>'Input - Pasture Beef'!I92</f>
        <v>-0.55000000000000004</v>
      </c>
      <c r="AC64" s="52">
        <f>'Input - Pasture Beef'!J92</f>
        <v>-0.55000000000000004</v>
      </c>
      <c r="AD64" s="52">
        <f>'Input - Pasture Beef'!K92</f>
        <v>0.6</v>
      </c>
      <c r="AE64" s="52">
        <f>'Input - Pasture Beef'!L92</f>
        <v>0</v>
      </c>
      <c r="AF64" s="52">
        <f>'Input - Pasture Beef'!M92</f>
        <v>0</v>
      </c>
      <c r="AG64" s="52">
        <f>'Input - Pasture Beef'!N92</f>
        <v>0</v>
      </c>
      <c r="AH64" s="2" t="s">
        <v>133</v>
      </c>
    </row>
    <row r="65" spans="4:36" ht="20.100000000000001" customHeight="1" x14ac:dyDescent="0.25">
      <c r="D65" s="99" t="s">
        <v>241</v>
      </c>
      <c r="W65" s="52" t="str">
        <f>TEXT(EDATE('Input - Site'!$E$12,5), "mmmm yyyy")</f>
        <v>June 2024</v>
      </c>
      <c r="X65" s="52">
        <f>'Input - Pasture Beef'!E93</f>
        <v>0.99</v>
      </c>
      <c r="Y65" s="52">
        <f>'Input - Pasture Beef'!F93</f>
        <v>0.22</v>
      </c>
      <c r="Z65" s="52">
        <f>'Input - Pasture Beef'!G93</f>
        <v>0.77</v>
      </c>
      <c r="AA65" s="52">
        <f>'Input - Pasture Beef'!H93</f>
        <v>0.11</v>
      </c>
      <c r="AB65" s="52">
        <f>'Input - Pasture Beef'!I93</f>
        <v>0.11</v>
      </c>
      <c r="AC65" s="52">
        <f>'Input - Pasture Beef'!J93</f>
        <v>0.11</v>
      </c>
      <c r="AD65" s="52">
        <f>'Input - Pasture Beef'!K93</f>
        <v>0.77</v>
      </c>
      <c r="AE65" s="52">
        <f>'Input - Pasture Beef'!L93</f>
        <v>0.44</v>
      </c>
      <c r="AF65" s="52">
        <f>'Input - Pasture Beef'!M93</f>
        <v>0.44</v>
      </c>
      <c r="AG65" s="52">
        <f>'Input - Pasture Beef'!N93</f>
        <v>0.44</v>
      </c>
      <c r="AH65" s="2" t="s">
        <v>133</v>
      </c>
    </row>
    <row r="66" spans="4:36" ht="20.100000000000001" customHeight="1" x14ac:dyDescent="0.25">
      <c r="D66" s="98" t="s">
        <v>242</v>
      </c>
      <c r="W66" s="52" t="str">
        <f>TEXT(EDATE('Input - Site'!$E$12,6), "mmmm yyyy")</f>
        <v>July 2024</v>
      </c>
      <c r="X66" s="52">
        <f>'Input - Pasture Beef'!E94</f>
        <v>0.99</v>
      </c>
      <c r="Y66" s="52">
        <f>'Input - Pasture Beef'!F94</f>
        <v>0.22</v>
      </c>
      <c r="Z66" s="52">
        <f>'Input - Pasture Beef'!G94</f>
        <v>0.77</v>
      </c>
      <c r="AA66" s="52">
        <f>'Input - Pasture Beef'!H94</f>
        <v>0.11</v>
      </c>
      <c r="AB66" s="52">
        <f>'Input - Pasture Beef'!I94</f>
        <v>0.11</v>
      </c>
      <c r="AC66" s="52">
        <f>'Input - Pasture Beef'!J94</f>
        <v>0.11</v>
      </c>
      <c r="AD66" s="52">
        <f>'Input - Pasture Beef'!K94</f>
        <v>0.77</v>
      </c>
      <c r="AE66" s="52">
        <f>'Input - Pasture Beef'!L94</f>
        <v>0.44</v>
      </c>
      <c r="AF66" s="52">
        <f>'Input - Pasture Beef'!M94</f>
        <v>0.44</v>
      </c>
      <c r="AG66" s="52">
        <f>'Input - Pasture Beef'!N94</f>
        <v>0.44</v>
      </c>
      <c r="AH66" s="2" t="s">
        <v>133</v>
      </c>
    </row>
    <row r="67" spans="4:36" ht="20.100000000000001" customHeight="1" x14ac:dyDescent="0.25">
      <c r="D67" s="51" t="s">
        <v>183</v>
      </c>
      <c r="E67" s="124" t="s">
        <v>130</v>
      </c>
      <c r="F67" s="124" t="s">
        <v>129</v>
      </c>
      <c r="G67" s="124" t="s">
        <v>164</v>
      </c>
      <c r="H67" s="124" t="s">
        <v>165</v>
      </c>
      <c r="I67" s="124" t="s">
        <v>166</v>
      </c>
      <c r="J67" s="124" t="s">
        <v>167</v>
      </c>
      <c r="K67" s="124" t="s">
        <v>168</v>
      </c>
      <c r="L67" s="124" t="s">
        <v>169</v>
      </c>
      <c r="M67" s="124" t="s">
        <v>170</v>
      </c>
      <c r="N67" s="124" t="s">
        <v>171</v>
      </c>
      <c r="W67" s="52" t="str">
        <f>TEXT(EDATE('Input - Site'!$E$12,7), "mmmm yyyy")</f>
        <v>August 2024</v>
      </c>
      <c r="X67" s="52">
        <f>'Input - Pasture Beef'!E95</f>
        <v>0.99</v>
      </c>
      <c r="Y67" s="52">
        <f>'Input - Pasture Beef'!F95</f>
        <v>0.22</v>
      </c>
      <c r="Z67" s="52">
        <f>'Input - Pasture Beef'!G95</f>
        <v>0.77</v>
      </c>
      <c r="AA67" s="52">
        <f>'Input - Pasture Beef'!H95</f>
        <v>0.11</v>
      </c>
      <c r="AB67" s="52">
        <f>'Input - Pasture Beef'!I95</f>
        <v>0.11</v>
      </c>
      <c r="AC67" s="52">
        <f>'Input - Pasture Beef'!J95</f>
        <v>0.11</v>
      </c>
      <c r="AD67" s="52">
        <f>'Input - Pasture Beef'!K95</f>
        <v>0.77</v>
      </c>
      <c r="AE67" s="52">
        <f>'Input - Pasture Beef'!L95</f>
        <v>0.44</v>
      </c>
      <c r="AF67" s="52">
        <f>'Input - Pasture Beef'!M95</f>
        <v>0.44</v>
      </c>
      <c r="AG67" s="52">
        <f>'Input - Pasture Beef'!N95</f>
        <v>0.44</v>
      </c>
      <c r="AH67" s="2" t="s">
        <v>133</v>
      </c>
    </row>
    <row r="68" spans="4:36" ht="20.100000000000001" customHeight="1" x14ac:dyDescent="0.25">
      <c r="D68" s="52" t="str">
        <f>'Input - Pasture Beef'!D82</f>
        <v>Spring</v>
      </c>
      <c r="E68" s="52">
        <f>'Input - Pasture Beef'!E82</f>
        <v>1.64</v>
      </c>
      <c r="F68" s="52">
        <f>'Input - Pasture Beef'!F82</f>
        <v>1.1000000000000001</v>
      </c>
      <c r="G68" s="52">
        <f>'Input - Pasture Beef'!G82</f>
        <v>1.21</v>
      </c>
      <c r="H68" s="52">
        <f>'Input - Pasture Beef'!H82</f>
        <v>0.99</v>
      </c>
      <c r="I68" s="52">
        <f>'Input - Pasture Beef'!I82</f>
        <v>0.66</v>
      </c>
      <c r="J68" s="52">
        <f>'Input - Pasture Beef'!J82</f>
        <v>0.66</v>
      </c>
      <c r="K68" s="52">
        <f>'Input - Pasture Beef'!K82</f>
        <v>1.42</v>
      </c>
      <c r="L68" s="52">
        <f>'Input - Pasture Beef'!L82</f>
        <v>1.1000000000000001</v>
      </c>
      <c r="M68" s="52">
        <f>'Input - Pasture Beef'!M82</f>
        <v>1.1000000000000001</v>
      </c>
      <c r="N68" s="52">
        <f>'Input - Pasture Beef'!N82</f>
        <v>1.1000000000000001</v>
      </c>
      <c r="O68" s="2" t="s">
        <v>132</v>
      </c>
      <c r="P68" s="2"/>
      <c r="Q68" s="2"/>
      <c r="R68" s="2"/>
      <c r="S68" s="2"/>
      <c r="W68" s="52" t="str">
        <f>TEXT(EDATE('Input - Site'!$E$12,8), "mmmm yyyy")</f>
        <v>September 2024</v>
      </c>
      <c r="X68" s="52">
        <f>'Input - Pasture Beef'!E96</f>
        <v>1.64</v>
      </c>
      <c r="Y68" s="52">
        <f>'Input - Pasture Beef'!F96</f>
        <v>1.1000000000000001</v>
      </c>
      <c r="Z68" s="52">
        <f>'Input - Pasture Beef'!G96</f>
        <v>1.21</v>
      </c>
      <c r="AA68" s="52">
        <f>'Input - Pasture Beef'!H96</f>
        <v>0.99</v>
      </c>
      <c r="AB68" s="52">
        <f>'Input - Pasture Beef'!I96</f>
        <v>0.66</v>
      </c>
      <c r="AC68" s="52">
        <f>'Input - Pasture Beef'!J96</f>
        <v>0.66</v>
      </c>
      <c r="AD68" s="52">
        <f>'Input - Pasture Beef'!K96</f>
        <v>1.42</v>
      </c>
      <c r="AE68" s="52">
        <f>'Input - Pasture Beef'!L96</f>
        <v>1.1000000000000001</v>
      </c>
      <c r="AF68" s="52">
        <f>'Input - Pasture Beef'!M96</f>
        <v>1.1000000000000001</v>
      </c>
      <c r="AG68" s="52">
        <f>'Input - Pasture Beef'!N96</f>
        <v>1.1000000000000001</v>
      </c>
      <c r="AH68" s="2" t="s">
        <v>133</v>
      </c>
      <c r="AI68" s="2"/>
      <c r="AJ68" s="2"/>
    </row>
    <row r="69" spans="4:36" ht="20.100000000000001" customHeight="1" x14ac:dyDescent="0.25">
      <c r="D69" s="52" t="str">
        <f>'Input - Pasture Beef'!D83</f>
        <v>Summer</v>
      </c>
      <c r="E69" s="52">
        <f>'Input - Pasture Beef'!E83</f>
        <v>0.44</v>
      </c>
      <c r="F69" s="52">
        <f>'Input - Pasture Beef'!F83</f>
        <v>-0.22</v>
      </c>
      <c r="G69" s="52">
        <f>'Input - Pasture Beef'!G83</f>
        <v>0.44</v>
      </c>
      <c r="H69" s="52">
        <f>'Input - Pasture Beef'!H83</f>
        <v>0.33</v>
      </c>
      <c r="I69" s="52">
        <f>'Input - Pasture Beef'!I83</f>
        <v>-0.22</v>
      </c>
      <c r="J69" s="52">
        <f>'Input - Pasture Beef'!J83</f>
        <v>-0.22</v>
      </c>
      <c r="K69" s="52">
        <f>'Input - Pasture Beef'!K83</f>
        <v>0.44</v>
      </c>
      <c r="L69" s="52">
        <f>'Input - Pasture Beef'!L83</f>
        <v>-0.11</v>
      </c>
      <c r="M69" s="52">
        <f>'Input - Pasture Beef'!M83</f>
        <v>-0.11</v>
      </c>
      <c r="N69" s="52">
        <f>'Input - Pasture Beef'!N83</f>
        <v>-0.11</v>
      </c>
      <c r="O69" s="2" t="s">
        <v>132</v>
      </c>
      <c r="P69" s="2"/>
      <c r="Q69" s="2"/>
      <c r="R69" s="2"/>
      <c r="S69" s="2"/>
      <c r="W69" s="52" t="str">
        <f>TEXT(EDATE('Input - Site'!$E$12,9), "mmmm yyyy")</f>
        <v>October 2024</v>
      </c>
      <c r="X69" s="52">
        <f>'Input - Pasture Beef'!E97</f>
        <v>1.64</v>
      </c>
      <c r="Y69" s="52">
        <f>'Input - Pasture Beef'!F97</f>
        <v>1.1000000000000001</v>
      </c>
      <c r="Z69" s="52">
        <f>'Input - Pasture Beef'!G97</f>
        <v>1.21</v>
      </c>
      <c r="AA69" s="52">
        <f>'Input - Pasture Beef'!H97</f>
        <v>0.99</v>
      </c>
      <c r="AB69" s="52">
        <f>'Input - Pasture Beef'!I97</f>
        <v>0.66</v>
      </c>
      <c r="AC69" s="52">
        <f>'Input - Pasture Beef'!J97</f>
        <v>0.66</v>
      </c>
      <c r="AD69" s="52">
        <f>'Input - Pasture Beef'!K97</f>
        <v>1.42</v>
      </c>
      <c r="AE69" s="52">
        <f>'Input - Pasture Beef'!L97</f>
        <v>1.1000000000000001</v>
      </c>
      <c r="AF69" s="52">
        <f>'Input - Pasture Beef'!M97</f>
        <v>1.1000000000000001</v>
      </c>
      <c r="AG69" s="52">
        <f>'Input - Pasture Beef'!N97</f>
        <v>1.1000000000000001</v>
      </c>
      <c r="AH69" s="2" t="s">
        <v>133</v>
      </c>
      <c r="AI69" s="2"/>
      <c r="AJ69" s="2"/>
    </row>
    <row r="70" spans="4:36" ht="20.100000000000001" customHeight="1" x14ac:dyDescent="0.25">
      <c r="D70" s="52" t="str">
        <f>'Input - Pasture Beef'!D84</f>
        <v>Autumn</v>
      </c>
      <c r="E70" s="52">
        <f>'Input - Pasture Beef'!E84</f>
        <v>0.6</v>
      </c>
      <c r="F70" s="52">
        <f>'Input - Pasture Beef'!F84</f>
        <v>0</v>
      </c>
      <c r="G70" s="52">
        <f>'Input - Pasture Beef'!G84</f>
        <v>0.6</v>
      </c>
      <c r="H70" s="52">
        <f>'Input - Pasture Beef'!H84</f>
        <v>0.22</v>
      </c>
      <c r="I70" s="52">
        <f>'Input - Pasture Beef'!I84</f>
        <v>-0.55000000000000004</v>
      </c>
      <c r="J70" s="52">
        <f>'Input - Pasture Beef'!J84</f>
        <v>-0.55000000000000004</v>
      </c>
      <c r="K70" s="52">
        <f>'Input - Pasture Beef'!K84</f>
        <v>0.6</v>
      </c>
      <c r="L70" s="52">
        <f>'Input - Pasture Beef'!L84</f>
        <v>0</v>
      </c>
      <c r="M70" s="52">
        <f>'Input - Pasture Beef'!M84</f>
        <v>0</v>
      </c>
      <c r="N70" s="52">
        <f>'Input - Pasture Beef'!N84</f>
        <v>0</v>
      </c>
      <c r="O70" s="2" t="s">
        <v>132</v>
      </c>
      <c r="P70" s="2"/>
      <c r="Q70" s="2"/>
      <c r="R70" s="2"/>
      <c r="S70" s="2"/>
      <c r="W70" s="52" t="str">
        <f>TEXT(EDATE('Input - Site'!$E$12,10), "mmmm yyyy")</f>
        <v>November 2024</v>
      </c>
      <c r="X70" s="52">
        <f>'Input - Pasture Beef'!E98</f>
        <v>1.64</v>
      </c>
      <c r="Y70" s="52">
        <f>'Input - Pasture Beef'!F98</f>
        <v>1.1000000000000001</v>
      </c>
      <c r="Z70" s="52">
        <f>'Input - Pasture Beef'!G98</f>
        <v>1.21</v>
      </c>
      <c r="AA70" s="52">
        <f>'Input - Pasture Beef'!H98</f>
        <v>0.99</v>
      </c>
      <c r="AB70" s="52">
        <f>'Input - Pasture Beef'!I98</f>
        <v>0.66</v>
      </c>
      <c r="AC70" s="52">
        <f>'Input - Pasture Beef'!J98</f>
        <v>0.66</v>
      </c>
      <c r="AD70" s="52">
        <f>'Input - Pasture Beef'!K98</f>
        <v>1.42</v>
      </c>
      <c r="AE70" s="52">
        <f>'Input - Pasture Beef'!L98</f>
        <v>1.1000000000000001</v>
      </c>
      <c r="AF70" s="52">
        <f>'Input - Pasture Beef'!M98</f>
        <v>1.1000000000000001</v>
      </c>
      <c r="AG70" s="52">
        <f>'Input - Pasture Beef'!N98</f>
        <v>1.1000000000000001</v>
      </c>
      <c r="AH70" s="2" t="s">
        <v>133</v>
      </c>
      <c r="AI70" s="2"/>
      <c r="AJ70" s="2"/>
    </row>
    <row r="71" spans="4:36" ht="20.100000000000001" customHeight="1" x14ac:dyDescent="0.25">
      <c r="D71" s="52" t="str">
        <f>'Input - Pasture Beef'!D85</f>
        <v>Winter</v>
      </c>
      <c r="E71" s="52">
        <f>'Input - Pasture Beef'!E85</f>
        <v>0.99</v>
      </c>
      <c r="F71" s="52">
        <f>'Input - Pasture Beef'!F85</f>
        <v>0.22</v>
      </c>
      <c r="G71" s="52">
        <f>'Input - Pasture Beef'!G85</f>
        <v>0.77</v>
      </c>
      <c r="H71" s="52">
        <f>'Input - Pasture Beef'!H85</f>
        <v>0.11</v>
      </c>
      <c r="I71" s="52">
        <f>'Input - Pasture Beef'!I85</f>
        <v>0.11</v>
      </c>
      <c r="J71" s="52">
        <f>'Input - Pasture Beef'!J85</f>
        <v>0.11</v>
      </c>
      <c r="K71" s="52">
        <f>'Input - Pasture Beef'!K85</f>
        <v>0.77</v>
      </c>
      <c r="L71" s="52">
        <f>'Input - Pasture Beef'!L85</f>
        <v>0.44</v>
      </c>
      <c r="M71" s="52">
        <f>'Input - Pasture Beef'!M85</f>
        <v>0.44</v>
      </c>
      <c r="N71" s="52">
        <f>'Input - Pasture Beef'!N85</f>
        <v>0.44</v>
      </c>
      <c r="O71" s="2" t="s">
        <v>132</v>
      </c>
      <c r="P71" s="2"/>
      <c r="Q71" s="2"/>
      <c r="R71" s="2"/>
      <c r="S71" s="2"/>
      <c r="W71" s="52" t="str">
        <f>TEXT(EDATE('Input - Site'!$E$12,11), "mmmm yyyy")</f>
        <v>December 2024</v>
      </c>
      <c r="X71" s="52">
        <f>'Input - Pasture Beef'!E99</f>
        <v>0.44</v>
      </c>
      <c r="Y71" s="52">
        <f>'Input - Pasture Beef'!F99</f>
        <v>-0.22</v>
      </c>
      <c r="Z71" s="52">
        <f>'Input - Pasture Beef'!G99</f>
        <v>0.44</v>
      </c>
      <c r="AA71" s="52">
        <f>'Input - Pasture Beef'!H99</f>
        <v>0.33</v>
      </c>
      <c r="AB71" s="52">
        <f>'Input - Pasture Beef'!I99</f>
        <v>-0.22</v>
      </c>
      <c r="AC71" s="52">
        <f>'Input - Pasture Beef'!J99</f>
        <v>-0.22</v>
      </c>
      <c r="AD71" s="52">
        <f>'Input - Pasture Beef'!K99</f>
        <v>0.44</v>
      </c>
      <c r="AE71" s="52">
        <f>'Input - Pasture Beef'!L99</f>
        <v>-0.11</v>
      </c>
      <c r="AF71" s="52">
        <f>'Input - Pasture Beef'!M99</f>
        <v>-0.11</v>
      </c>
      <c r="AG71" s="52">
        <f>'Input - Pasture Beef'!N99</f>
        <v>-0.11</v>
      </c>
      <c r="AH71" s="2" t="s">
        <v>133</v>
      </c>
      <c r="AI71" s="2"/>
      <c r="AJ71" s="2"/>
    </row>
    <row r="72" spans="4:36" ht="20.100000000000001" customHeight="1" x14ac:dyDescent="0.25">
      <c r="AI72" s="2"/>
      <c r="AJ72" s="2"/>
    </row>
    <row r="73" spans="4:36" ht="20.100000000000001" customHeight="1" x14ac:dyDescent="0.25">
      <c r="W73" s="99" t="s">
        <v>257</v>
      </c>
      <c r="AI73" s="2"/>
      <c r="AJ73" s="2"/>
    </row>
    <row r="74" spans="4:36" ht="20.100000000000001" customHeight="1" x14ac:dyDescent="0.25">
      <c r="W74" s="98" t="s">
        <v>142</v>
      </c>
      <c r="AI74" s="2"/>
      <c r="AJ74" s="2"/>
    </row>
    <row r="75" spans="4:36" ht="20.100000000000001" customHeight="1" x14ac:dyDescent="0.25">
      <c r="W75" s="51" t="s">
        <v>131</v>
      </c>
      <c r="X75" s="51" t="s">
        <v>130</v>
      </c>
      <c r="Y75" s="51" t="s">
        <v>129</v>
      </c>
      <c r="Z75" s="51" t="s">
        <v>164</v>
      </c>
      <c r="AA75" s="51" t="s">
        <v>165</v>
      </c>
      <c r="AB75" s="51" t="s">
        <v>166</v>
      </c>
      <c r="AC75" s="51" t="s">
        <v>167</v>
      </c>
      <c r="AD75" s="51" t="s">
        <v>168</v>
      </c>
      <c r="AE75" s="51" t="s">
        <v>169</v>
      </c>
      <c r="AF75" s="51" t="s">
        <v>170</v>
      </c>
      <c r="AG75" s="51" t="s">
        <v>171</v>
      </c>
      <c r="AI75" s="2"/>
      <c r="AJ75" s="2"/>
    </row>
    <row r="76" spans="4:36" ht="20.100000000000001" customHeight="1" x14ac:dyDescent="0.25">
      <c r="W76" s="52" t="str">
        <f>TEXT('Input - Site'!$E$12, "mmmm yyyy")</f>
        <v>January 2024</v>
      </c>
      <c r="X76" s="52">
        <f>((1.185 + 0.00454 * X44 - 0.0000026 * X44 ^ 2 + 0.315 * X60) ^ 2 * Z28)</f>
        <v>7.1468536895999959</v>
      </c>
      <c r="Y76" s="52">
        <f>((1.185 + 0.00454 * Y44 - 0.0000026 * Y44 ^ 2 + 0.315 * Y60) ^ 2 * AA28)</f>
        <v>9.4559940036000008</v>
      </c>
      <c r="Z76" s="52">
        <f>((1.185 + 0.00454 * Z44 - 0.0000026 * Z44 ^ 2 + 0.315 * Z60) ^ 2 * AB28)</f>
        <v>6.010342559999998</v>
      </c>
      <c r="AA76" s="52">
        <f>((1.185 + 0.00454 * AA44 - 0.0000026 * AA44 ^ 2 + 0.315 * AA60) ^ 2 * AC28)</f>
        <v>8.4608409301875014</v>
      </c>
      <c r="AB76" s="52">
        <f>((1.185 + 0.00454 * AB44 - 0.0000026 * AB44 ^ 2 + 0.315 * AB60) ^ 2 * AD28)</f>
        <v>8.3772677761199983</v>
      </c>
      <c r="AC76" s="52">
        <f>((1.185 + 0.00454 * AC44 - 0.0000026 * AC44 ^ 2 + 0.315 * AC60) ^ 2 * AE28)</f>
        <v>8.3772677761199983</v>
      </c>
      <c r="AD76" s="52">
        <f>((1.185 + 0.00454 * AD44 - 0.0000026 * AD44 ^ 2 + 0.315 * AD60) ^ 2 * AF28)</f>
        <v>6.5876408896000003</v>
      </c>
      <c r="AE76" s="52">
        <f>((1.185 + 0.00454 * AE44 - 0.0000026 * AE44 ^ 2 + 0.315 * AE60) ^ 2 * AG28)</f>
        <v>7.3430702361</v>
      </c>
      <c r="AF76" s="52">
        <f>((1.185 + 0.00454 * AF44 - 0.0000026 * AF44 ^ 2 + 0.315 * AF60) ^ 2 * AH28)</f>
        <v>7.3430702361</v>
      </c>
      <c r="AG76" s="52">
        <f>((1.185 + 0.00454 * AG44 - 0.0000026 * AG44 ^ 2 + 0.315 * AG60) ^ 2 * AI30)</f>
        <v>7.3430702361</v>
      </c>
      <c r="AH76" s="2" t="str">
        <f t="shared" ref="AH76:AH87" si="2">$E$43</f>
        <v>kg DM/head/day</v>
      </c>
      <c r="AI76" s="2"/>
      <c r="AJ76" s="2"/>
    </row>
    <row r="77" spans="4:36" ht="20.100000000000001" customHeight="1" x14ac:dyDescent="0.25">
      <c r="W77" s="52" t="str">
        <f>TEXT(EDATE('Input - Site'!$E$12,1), "mmmm yyyy")</f>
        <v>February 2024</v>
      </c>
      <c r="X77" s="52">
        <f>((1.185 + 0.00454 * X45 - 0.0000026 * X45 ^ 2 + 0.315 * X61) ^ 2 * Z29)</f>
        <v>7.1468536895999959</v>
      </c>
      <c r="Y77" s="52">
        <f>((1.185 + 0.00454 * Y45 - 0.0000026 * Y45 ^ 2 + 0.315 * Y61) ^ 2 * AA29)</f>
        <v>9.4559940036000008</v>
      </c>
      <c r="Z77" s="52">
        <f>((1.185 + 0.00454 * Z45 - 0.0000026 * Z45 ^ 2 + 0.315 * Z61) ^ 2 * AB29)</f>
        <v>6.010342559999998</v>
      </c>
      <c r="AA77" s="52">
        <f>((1.185 + 0.00454 * AA45 - 0.0000026 * AA45 ^ 2 + 0.315 * AA61) ^ 2 * AC29)</f>
        <v>7.8705497025</v>
      </c>
      <c r="AB77" s="52">
        <f>((1.185 + 0.00454 * AB45 - 0.0000026 * AB45 ^ 2 + 0.315 * AB61) ^ 2 * AD29)</f>
        <v>7.7928072335999978</v>
      </c>
      <c r="AC77" s="52">
        <f>((1.185 + 0.00454 * AC45 - 0.0000026 * AC45 ^ 2 + 0.315 * AC61) ^ 2 * AE29)</f>
        <v>7.7928072335999978</v>
      </c>
      <c r="AD77" s="52">
        <f>((1.185 + 0.00454 * AD45 - 0.0000026 * AD45 ^ 2 + 0.315 * AD61) ^ 2 * AF29)</f>
        <v>6.5876408896000003</v>
      </c>
      <c r="AE77" s="52">
        <f>((1.185 + 0.00454 * AE45 - 0.0000026 * AE45 ^ 2 + 0.315 * AE61) ^ 2 * AG29)</f>
        <v>7.3430702361</v>
      </c>
      <c r="AF77" s="52">
        <f>((1.185 + 0.00454 * AF45 - 0.0000026 * AF45 ^ 2 + 0.315 * AF61) ^ 2 * AH29)</f>
        <v>7.3430702361</v>
      </c>
      <c r="AG77" s="52">
        <f>((1.185 + 0.00454 * AG45 - 0.0000026 * AG45 ^ 2 + 0.315 * AG61) ^ 2 * AI31)</f>
        <v>7.3430702361</v>
      </c>
      <c r="AH77" s="2" t="str">
        <f t="shared" si="2"/>
        <v>kg DM/head/day</v>
      </c>
      <c r="AI77" s="2"/>
      <c r="AJ77" s="2"/>
    </row>
    <row r="78" spans="4:36" ht="20.100000000000001" customHeight="1" x14ac:dyDescent="0.25">
      <c r="W78" s="52" t="str">
        <f>TEXT(EDATE('Input - Site'!$E$12,2), "mmmm yyyy")</f>
        <v>March 2024</v>
      </c>
      <c r="X78" s="52">
        <f>((1.185 + 0.00454 * X46 - 0.0000026 * X46 ^ 2 + 0.315 * X62) ^ 2 * Z30)</f>
        <v>3.247204</v>
      </c>
      <c r="Y78" s="52">
        <f>((1.185 + 0.00454 * Y46 - 0.0000026 * Y46 ^ 2 + 0.315 * Y62) ^ 2 * AA30)</f>
        <v>9.4246544015999998</v>
      </c>
      <c r="Z78" s="52">
        <f>((1.185 + 0.00454 * Z46 - 0.0000026 * Z46 ^ 2 + 0.315 * Z62) ^ 2 * AB30)</f>
        <v>2.9603267136000002</v>
      </c>
      <c r="AA78" s="52">
        <f>((1.185 + 0.00454 * AA46 - 0.0000026 * AA46 ^ 2 + 0.315 * AA62) ^ 2 * AC30)</f>
        <v>5.9577975395999987</v>
      </c>
      <c r="AB78" s="52">
        <f>((1.185 + 0.00454 * AB46 - 0.0000026 * AB46 ^ 2 + 0.315 * AB62) ^ 2 * AD30)</f>
        <v>6.7179974480999993</v>
      </c>
      <c r="AC78" s="52">
        <f>((1.185 + 0.00454 * AC46 - 0.0000026 * AC46 ^ 2 + 0.315 * AC62) ^ 2 * AE30)</f>
        <v>6.7179974480999993</v>
      </c>
      <c r="AD78" s="52">
        <f>((1.185 + 0.00454 * AD46 - 0.0000026 * AD46 ^ 2 + 0.315 * AD62) ^ 2 * AF30)</f>
        <v>3.247204</v>
      </c>
      <c r="AE78" s="52">
        <f>((1.185 + 0.00454 * AE46 - 0.0000026 * AE46 ^ 2 + 0.315 * AE62) ^ 2 * AG30)</f>
        <v>5.8953782416000013</v>
      </c>
      <c r="AF78" s="52">
        <f>((1.185 + 0.00454 * AF46 - 0.0000026 * AF46 ^ 2 + 0.315 * AF62) ^ 2 * AH30)</f>
        <v>5.8953782416000013</v>
      </c>
      <c r="AG78" s="52">
        <f>((1.185 + 0.00454 * AG46 - 0.0000026 * AG46 ^ 2 + 0.315 * AG62) ^ 2 * AI32)</f>
        <v>5.8953782416000013</v>
      </c>
      <c r="AH78" s="2" t="str">
        <f t="shared" si="2"/>
        <v>kg DM/head/day</v>
      </c>
      <c r="AI78" s="2"/>
      <c r="AJ78" s="2"/>
    </row>
    <row r="79" spans="4:36" ht="20.100000000000001" customHeight="1" x14ac:dyDescent="0.25">
      <c r="W79" s="52" t="str">
        <f>TEXT(EDATE('Input - Site'!$E$12,3), "mmmm yyyy")</f>
        <v>April 2024</v>
      </c>
      <c r="X79" s="52">
        <f>((1.185 + 0.00454 * X47 - 0.0000026 * X47 ^ 2 + 0.315 * X63) ^ 2 * Z31)</f>
        <v>3.247204</v>
      </c>
      <c r="Y79" s="52">
        <f>((1.185 + 0.00454 * Y47 - 0.0000026 * Y47 ^ 2 + 0.315 * Y63) ^ 2 * AA31)</f>
        <v>9.4246544015999998</v>
      </c>
      <c r="Z79" s="52">
        <f>((1.185 + 0.00454 * Z47 - 0.0000026 * Z47 ^ 2 + 0.315 * Z63) ^ 2 * AB31)</f>
        <v>2.9603267136000002</v>
      </c>
      <c r="AA79" s="52">
        <f>((1.185 + 0.00454 * AA47 - 0.0000026 * AA47 ^ 2 + 0.315 * AA63) ^ 2 * AC31)</f>
        <v>5.9577975395999987</v>
      </c>
      <c r="AB79" s="52">
        <f>((1.185 + 0.00454 * AB47 - 0.0000026 * AB47 ^ 2 + 0.315 * AB63) ^ 2 * AD31)</f>
        <v>6.7179974480999993</v>
      </c>
      <c r="AC79" s="52">
        <f>((1.185 + 0.00454 * AC47 - 0.0000026 * AC47 ^ 2 + 0.315 * AC63) ^ 2 * AE31)</f>
        <v>6.7179974480999993</v>
      </c>
      <c r="AD79" s="52">
        <f>((1.185 + 0.00454 * AD47 - 0.0000026 * AD47 ^ 2 + 0.315 * AD63) ^ 2 * AF31)</f>
        <v>3.247204</v>
      </c>
      <c r="AE79" s="52">
        <f>((1.185 + 0.00454 * AE47 - 0.0000026 * AE47 ^ 2 + 0.315 * AE63) ^ 2 * AG31)</f>
        <v>5.8953782416000013</v>
      </c>
      <c r="AF79" s="52">
        <f>((1.185 + 0.00454 * AF47 - 0.0000026 * AF47 ^ 2 + 0.315 * AF63) ^ 2 * AH31)</f>
        <v>5.8953782416000013</v>
      </c>
      <c r="AG79" s="52">
        <f>((1.185 + 0.00454 * AG47 - 0.0000026 * AG47 ^ 2 + 0.315 * AG63) ^ 2 * AI33)</f>
        <v>5.8953782416000013</v>
      </c>
      <c r="AH79" s="2" t="str">
        <f t="shared" si="2"/>
        <v>kg DM/head/day</v>
      </c>
      <c r="AI79" s="2"/>
      <c r="AJ79" s="2"/>
    </row>
    <row r="80" spans="4:36" ht="20.100000000000001" customHeight="1" x14ac:dyDescent="0.25">
      <c r="W80" s="52" t="str">
        <f>TEXT(EDATE('Input - Site'!$E$12,4), "mmmm yyyy")</f>
        <v>May 2024</v>
      </c>
      <c r="X80" s="52">
        <f>((1.185 + 0.00454 * X48 - 0.0000026 * X48 ^ 2 + 0.315 * X64) ^ 2 * Z32)</f>
        <v>3.247204</v>
      </c>
      <c r="Y80" s="52">
        <f>((1.185 + 0.00454 * Y48 - 0.0000026 * Y48 ^ 2 + 0.315 * Y64) ^ 2 * AA32)</f>
        <v>9.4246544015999998</v>
      </c>
      <c r="Z80" s="52">
        <f>((1.185 + 0.00454 * Z48 - 0.0000026 * Z48 ^ 2 + 0.315 * Z64) ^ 2 * AB32)</f>
        <v>2.9603267136000002</v>
      </c>
      <c r="AA80" s="52">
        <f>((1.185 + 0.00454 * AA48 - 0.0000026 * AA48 ^ 2 + 0.315 * AA64) ^ 2 * AC32)</f>
        <v>5.9577975395999987</v>
      </c>
      <c r="AB80" s="52">
        <f>((1.185 + 0.00454 * AB48 - 0.0000026 * AB48 ^ 2 + 0.315 * AB64) ^ 2 * AD32)</f>
        <v>6.7179974480999993</v>
      </c>
      <c r="AC80" s="52">
        <f>((1.185 + 0.00454 * AC48 - 0.0000026 * AC48 ^ 2 + 0.315 * AC64) ^ 2 * AE32)</f>
        <v>6.7179974480999993</v>
      </c>
      <c r="AD80" s="52">
        <f>((1.185 + 0.00454 * AD48 - 0.0000026 * AD48 ^ 2 + 0.315 * AD64) ^ 2 * AF32)</f>
        <v>3.247204</v>
      </c>
      <c r="AE80" s="52">
        <f>((1.185 + 0.00454 * AE48 - 0.0000026 * AE48 ^ 2 + 0.315 * AE64) ^ 2 * AG32)</f>
        <v>5.8953782416000013</v>
      </c>
      <c r="AF80" s="52">
        <f>((1.185 + 0.00454 * AF48 - 0.0000026 * AF48 ^ 2 + 0.315 * AF64) ^ 2 * AH32)</f>
        <v>5.8953782416000013</v>
      </c>
      <c r="AG80" s="52">
        <f>((1.185 + 0.00454 * AG48 - 0.0000026 * AG48 ^ 2 + 0.315 * AG64) ^ 2 * AI34)</f>
        <v>5.8953782416000013</v>
      </c>
      <c r="AH80" s="2" t="str">
        <f t="shared" si="2"/>
        <v>kg DM/head/day</v>
      </c>
    </row>
    <row r="81" spans="4:36" ht="20.100000000000001" customHeight="1" x14ac:dyDescent="0.25">
      <c r="D81" s="99" t="s">
        <v>244</v>
      </c>
      <c r="W81" s="52" t="str">
        <f>TEXT(EDATE('Input - Site'!$E$12,5), "mmmm yyyy")</f>
        <v>June 2024</v>
      </c>
      <c r="X81" s="52">
        <f>((1.185 + 0.00454 * X49 - 0.0000026 * X49 ^ 2 + 0.315 * X65) ^ 2 * Z33)</f>
        <v>5.1328980481000004</v>
      </c>
      <c r="Y81" s="52">
        <f>((1.185 + 0.00454 * Y49 - 0.0000026 * Y49 ^ 2 + 0.315 * Y65) ^ 2 * AA33)</f>
        <v>9.9748588899999984</v>
      </c>
      <c r="Z81" s="52">
        <f>((1.185 + 0.00454 * Z49 - 0.0000026 * Z49 ^ 2 + 0.315 * Z65) ^ 2 * AB33)</f>
        <v>4.202705002500001</v>
      </c>
      <c r="AA81" s="52">
        <f>((1.185 + 0.00454 * AA49 - 0.0000026 * AA49 ^ 2 + 0.315 * AA65) ^ 2 * AC33)</f>
        <v>5.9278127841000021</v>
      </c>
      <c r="AB81" s="52">
        <f>((1.185 + 0.00454 * AB49 - 0.0000026 * AB49 ^ 2 + 0.315 * AB65) ^ 2 * AD33)</f>
        <v>7.952343600099999</v>
      </c>
      <c r="AC81" s="52">
        <f>((1.185 + 0.00454 * AC49 - 0.0000026 * AC49 ^ 2 + 0.315 * AC65) ^ 2 * AE33)</f>
        <v>7.952343600099999</v>
      </c>
      <c r="AD81" s="52">
        <f>((1.185 + 0.00454 * AD49 - 0.0000026 * AD49 ^ 2 + 0.315 * AD65) ^ 2 * AF33)</f>
        <v>4.5122681240999984</v>
      </c>
      <c r="AE81" s="52">
        <f>((1.185 + 0.00454 * AE49 - 0.0000026 * AE49 ^ 2 + 0.315 * AE65) ^ 2 * AG33)</f>
        <v>6.8698506815999991</v>
      </c>
      <c r="AF81" s="52">
        <f>((1.185 + 0.00454 * AF49 - 0.0000026 * AF49 ^ 2 + 0.315 * AF65) ^ 2 * AH33)</f>
        <v>6.8698506815999991</v>
      </c>
      <c r="AG81" s="52">
        <f>((1.185 + 0.00454 * AG49 - 0.0000026 * AG49 ^ 2 + 0.315 * AG65) ^ 2 * AI35)</f>
        <v>6.8698506815999991</v>
      </c>
      <c r="AH81" s="2" t="str">
        <f t="shared" si="2"/>
        <v>kg DM/head/day</v>
      </c>
    </row>
    <row r="82" spans="4:36" ht="20.100000000000001" customHeight="1" x14ac:dyDescent="0.25">
      <c r="D82" s="98" t="s">
        <v>143</v>
      </c>
      <c r="W82" s="52" t="str">
        <f>TEXT(EDATE('Input - Site'!$E$12,6), "mmmm yyyy")</f>
        <v>July 2024</v>
      </c>
      <c r="X82" s="52">
        <f>((1.185 + 0.00454 * X50 - 0.0000026 * X50 ^ 2 + 0.315 * X66) ^ 2 * Z34)</f>
        <v>5.1328980481000004</v>
      </c>
      <c r="Y82" s="52">
        <f>((1.185 + 0.00454 * Y50 - 0.0000026 * Y50 ^ 2 + 0.315 * Y66) ^ 2 * AA34)</f>
        <v>9.9748588899999984</v>
      </c>
      <c r="Z82" s="52">
        <f>((1.185 + 0.00454 * Z50 - 0.0000026 * Z50 ^ 2 + 0.315 * Z66) ^ 2 * AB34)</f>
        <v>4.202705002500001</v>
      </c>
      <c r="AA82" s="52">
        <f>((1.185 + 0.00454 * AA50 - 0.0000026 * AA50 ^ 2 + 0.315 * AA66) ^ 2 * AC34)</f>
        <v>5.9278127841000021</v>
      </c>
      <c r="AB82" s="52">
        <f>((1.185 + 0.00454 * AB50 - 0.0000026 * AB50 ^ 2 + 0.315 * AB66) ^ 2 * AD34)</f>
        <v>7.952343600099999</v>
      </c>
      <c r="AC82" s="52">
        <f>((1.185 + 0.00454 * AC50 - 0.0000026 * AC50 ^ 2 + 0.315 * AC66) ^ 2 * AE34)</f>
        <v>7.952343600099999</v>
      </c>
      <c r="AD82" s="52">
        <f>((1.185 + 0.00454 * AD50 - 0.0000026 * AD50 ^ 2 + 0.315 * AD66) ^ 2 * AF34)</f>
        <v>4.5122681240999984</v>
      </c>
      <c r="AE82" s="52">
        <f>((1.185 + 0.00454 * AE50 - 0.0000026 * AE50 ^ 2 + 0.315 * AE66) ^ 2 * AG34)</f>
        <v>6.8698506815999991</v>
      </c>
      <c r="AF82" s="52">
        <f>((1.185 + 0.00454 * AF50 - 0.0000026 * AF50 ^ 2 + 0.315 * AF66) ^ 2 * AH34)</f>
        <v>6.8698506815999991</v>
      </c>
      <c r="AG82" s="52">
        <f>((1.185 + 0.00454 * AG50 - 0.0000026 * AG50 ^ 2 + 0.315 * AG66) ^ 2 * AI36)</f>
        <v>6.8698506815999991</v>
      </c>
      <c r="AH82" s="2" t="str">
        <f t="shared" si="2"/>
        <v>kg DM/head/day</v>
      </c>
    </row>
    <row r="83" spans="4:36" ht="20.100000000000001" customHeight="1" x14ac:dyDescent="0.25">
      <c r="D83" s="51" t="s">
        <v>183</v>
      </c>
      <c r="E83" s="51" t="s">
        <v>130</v>
      </c>
      <c r="F83" s="51" t="s">
        <v>129</v>
      </c>
      <c r="G83" s="51" t="s">
        <v>164</v>
      </c>
      <c r="H83" s="51" t="s">
        <v>165</v>
      </c>
      <c r="I83" s="51" t="s">
        <v>166</v>
      </c>
      <c r="J83" s="51" t="s">
        <v>167</v>
      </c>
      <c r="K83" s="51" t="s">
        <v>168</v>
      </c>
      <c r="L83" s="51" t="s">
        <v>169</v>
      </c>
      <c r="M83" s="51" t="s">
        <v>170</v>
      </c>
      <c r="N83" s="51" t="s">
        <v>171</v>
      </c>
      <c r="W83" s="52" t="str">
        <f>TEXT(EDATE('Input - Site'!$E$12,7), "mmmm yyyy")</f>
        <v>August 2024</v>
      </c>
      <c r="X83" s="52">
        <f>((1.185 + 0.00454 * X51 - 0.0000026 * X51 ^ 2 + 0.315 * X67) ^ 2 * Z35)</f>
        <v>5.1328980481000004</v>
      </c>
      <c r="Y83" s="52">
        <f>((1.185 + 0.00454 * Y51 - 0.0000026 * Y51 ^ 2 + 0.315 * Y67) ^ 2 * AA35)</f>
        <v>9.9748588899999984</v>
      </c>
      <c r="Z83" s="52">
        <f>((1.185 + 0.00454 * Z51 - 0.0000026 * Z51 ^ 2 + 0.315 * Z67) ^ 2 * AB35)</f>
        <v>4.202705002500001</v>
      </c>
      <c r="AA83" s="52">
        <f>((1.185 + 0.00454 * AA51 - 0.0000026 * AA51 ^ 2 + 0.315 * AA67) ^ 2 * AC35)</f>
        <v>7.2615706605225032</v>
      </c>
      <c r="AB83" s="52">
        <f>((1.185 + 0.00454 * AB51 - 0.0000026 * AB51 ^ 2 + 0.315 * AB67) ^ 2 * AD35)</f>
        <v>9.7416209101224993</v>
      </c>
      <c r="AC83" s="52">
        <f>((1.185 + 0.00454 * AC51 - 0.0000026 * AC51 ^ 2 + 0.315 * AC67) ^ 2 * AE35)</f>
        <v>9.7416209101224993</v>
      </c>
      <c r="AD83" s="52">
        <f>((1.185 + 0.00454 * AD51 - 0.0000026 * AD51 ^ 2 + 0.315 * AD67) ^ 2 * AF35)</f>
        <v>4.5122681240999984</v>
      </c>
      <c r="AE83" s="52">
        <f>((1.185 + 0.00454 * AE51 - 0.0000026 * AE51 ^ 2 + 0.315 * AE67) ^ 2 * AG35)</f>
        <v>6.8698506815999991</v>
      </c>
      <c r="AF83" s="52">
        <f>((1.185 + 0.00454 * AF51 - 0.0000026 * AF51 ^ 2 + 0.315 * AF67) ^ 2 * AH35)</f>
        <v>6.8698506815999991</v>
      </c>
      <c r="AG83" s="52">
        <f>((1.185 + 0.00454 * AG51 - 0.0000026 * AG51 ^ 2 + 0.315 * AG67) ^ 2 * AI37)</f>
        <v>6.8698506815999991</v>
      </c>
      <c r="AH83" s="2" t="str">
        <f t="shared" si="2"/>
        <v>kg DM/head/day</v>
      </c>
    </row>
    <row r="84" spans="4:36" ht="20.100000000000001" customHeight="1" x14ac:dyDescent="0.25">
      <c r="D84" s="52" t="s">
        <v>172</v>
      </c>
      <c r="E84" s="52">
        <f>((1.185 + 0.00454 * E52 - 0.0000026 * E52 ^ 2 + 0.315 * E68) ^ 2 * I30)</f>
        <v>8.6709047296000001</v>
      </c>
      <c r="F84" s="52">
        <f>((1.185 + 0.00454 * F52 - 0.0000026 * F52 ^ 2 + 0.315 * F68) ^ 2 * J30)</f>
        <v>12.246500250000002</v>
      </c>
      <c r="G84" s="52">
        <f>((1.185 + 0.00454 * G52 - 0.0000026 * G52 ^ 2 + 0.315 * G68) ^ 2 * K30)</f>
        <v>6.6089612241000006</v>
      </c>
      <c r="H84" s="52">
        <f>((1.185 + 0.00454 * H52 - 0.0000026 * H52 ^ 2 + 0.315 * H68) ^ 2 * L30)</f>
        <v>9.5403922901100024</v>
      </c>
      <c r="I84" s="52">
        <f>((1.185 + 0.00454 * I52 - 0.0000026 * I52 ^ 2 + 0.315 * I68) ^ 2 * M30)</f>
        <v>11.268377125200001</v>
      </c>
      <c r="J84" s="52">
        <f>((1.185 + 0.00454 * J52 - 0.0000026 * J52 ^ 2 + 0.315 * J68) ^ 2 * N30)</f>
        <v>11.268377125200001</v>
      </c>
      <c r="K84" s="52">
        <f>((1.185 + 0.00454 * K52 - 0.0000026 * K52 ^ 2 + 0.315 * K68) ^ 2 * O30)</f>
        <v>7.6192560899999977</v>
      </c>
      <c r="L84" s="52">
        <f>((1.185 + 0.00454 * L52 - 0.0000026 * L52 ^ 2 + 0.315 * L68) ^ 2 * P30)</f>
        <v>9.6824279555999979</v>
      </c>
      <c r="M84" s="52">
        <f>((1.185 + 0.00454 * M52 - 0.0000026 * M52 ^ 2 + 0.315 * M68) ^ 2 * Q30)</f>
        <v>9.6824279555999979</v>
      </c>
      <c r="N84" s="52">
        <f>((1.185 + 0.00454 * N52 - 0.0000026 * N52 ^ 2 + 0.315 * N68) ^ 2 * R30)</f>
        <v>9.6824279555999979</v>
      </c>
      <c r="O84" s="2" t="str">
        <f>$E$43</f>
        <v>kg DM/head/day</v>
      </c>
      <c r="P84" s="2"/>
      <c r="Q84" s="2"/>
      <c r="R84" s="2"/>
      <c r="S84" s="2"/>
      <c r="W84" s="52" t="str">
        <f>TEXT(EDATE('Input - Site'!$E$12,8), "mmmm yyyy")</f>
        <v>September 2024</v>
      </c>
      <c r="X84" s="52">
        <f>((1.185 + 0.00454 * X52 - 0.0000026 * X52 ^ 2 + 0.315 * X68) ^ 2 * Z36)</f>
        <v>8.6709047296000001</v>
      </c>
      <c r="Y84" s="52">
        <f>((1.185 + 0.00454 * Y52 - 0.0000026 * Y52 ^ 2 + 0.315 * Y68) ^ 2 * AA36)</f>
        <v>12.246500250000002</v>
      </c>
      <c r="Z84" s="52">
        <f>((1.185 + 0.00454 * Z52 - 0.0000026 * Z52 ^ 2 + 0.315 * Z68) ^ 2 * AB36)</f>
        <v>6.6089612241000006</v>
      </c>
      <c r="AA84" s="52">
        <f>((1.185 + 0.00454 * AA52 - 0.0000026 * AA52 ^ 2 + 0.315 * AA68) ^ 2 * AC36)</f>
        <v>10.624527777622504</v>
      </c>
      <c r="AB84" s="52">
        <f>((1.185 + 0.00454 * AB52 - 0.0000026 * AB52 ^ 2 + 0.315 * AB68) ^ 2 * AD36)</f>
        <v>11.798087161000003</v>
      </c>
      <c r="AC84" s="52">
        <f>((1.185 + 0.00454 * AC52 - 0.0000026 * AC52 ^ 2 + 0.315 * AC68) ^ 2 * AE36)</f>
        <v>11.798087161000003</v>
      </c>
      <c r="AD84" s="52">
        <f>((1.185 + 0.00454 * AD52 - 0.0000026 * AD52 ^ 2 + 0.315 * AD68) ^ 2 * AF36)</f>
        <v>7.6192560899999977</v>
      </c>
      <c r="AE84" s="52">
        <f>((1.185 + 0.00454 * AE52 - 0.0000026 * AE52 ^ 2 + 0.315 * AE68) ^ 2 * AG36)</f>
        <v>9.6824279555999979</v>
      </c>
      <c r="AF84" s="52">
        <f>((1.185 + 0.00454 * AF52 - 0.0000026 * AF52 ^ 2 + 0.315 * AF68) ^ 2 * AH36)</f>
        <v>9.6824279555999979</v>
      </c>
      <c r="AG84" s="52">
        <f>((1.185 + 0.00454 * AG52 - 0.0000026 * AG52 ^ 2 + 0.315 * AG68) ^ 2 * AI38)</f>
        <v>9.6824279555999979</v>
      </c>
      <c r="AH84" s="2" t="str">
        <f t="shared" si="2"/>
        <v>kg DM/head/day</v>
      </c>
      <c r="AI84" s="2"/>
      <c r="AJ84" s="2"/>
    </row>
    <row r="85" spans="4:36" ht="20.100000000000001" customHeight="1" x14ac:dyDescent="0.25">
      <c r="D85" s="52" t="s">
        <v>173</v>
      </c>
      <c r="E85" s="52">
        <f>((1.185 + 0.00454 * E53 - 0.0000026 * E53 ^ 2 + 0.315 * E69) ^ 2 * I31)</f>
        <v>7.1468536895999959</v>
      </c>
      <c r="F85" s="52">
        <f>((1.185 + 0.00454 * F53 - 0.0000026 * F53 ^ 2 + 0.315 * F69) ^ 2 * J31)</f>
        <v>9.4559940036000008</v>
      </c>
      <c r="G85" s="52">
        <f>((1.185 + 0.00454 * G53 - 0.0000026 * G53 ^ 2 + 0.315 * G69) ^ 2 * K31)</f>
        <v>6.010342559999998</v>
      </c>
      <c r="H85" s="52">
        <f>((1.185 + 0.00454 * H53 - 0.0000026 * H53 ^ 2 + 0.315 * H69) ^ 2 * L31)</f>
        <v>8.1853716906000002</v>
      </c>
      <c r="I85" s="52">
        <f>((1.185 + 0.00454 * I53 - 0.0000026 * I53 ^ 2 + 0.315 * I69) ^ 2 * M31)</f>
        <v>8.1045195229439972</v>
      </c>
      <c r="J85" s="52">
        <f>((1.185 + 0.00454 * J53 - 0.0000026 * J53 ^ 2 + 0.315 * J69) ^ 2 * N31)</f>
        <v>8.1045195229439972</v>
      </c>
      <c r="K85" s="52">
        <f>((1.185 + 0.00454 * K53 - 0.0000026 * K53 ^ 2 + 0.315 * K69) ^ 2 * O31)</f>
        <v>6.5876408896000003</v>
      </c>
      <c r="L85" s="52">
        <f>((1.185 + 0.00454 * L53 - 0.0000026 * L53 ^ 2 + 0.315 * L69) ^ 2 * P31)</f>
        <v>7.3430702361</v>
      </c>
      <c r="M85" s="52">
        <f>((1.185 + 0.00454 * M53 - 0.0000026 * M53 ^ 2 + 0.315 * M69) ^ 2 * Q31)</f>
        <v>7.3430702361</v>
      </c>
      <c r="N85" s="52">
        <f>((1.185 + 0.00454 * N53 - 0.0000026 * N53 ^ 2 + 0.315 * N69) ^ 2 * R31)</f>
        <v>7.3430702361</v>
      </c>
      <c r="O85" s="2" t="str">
        <f>$E$43</f>
        <v>kg DM/head/day</v>
      </c>
      <c r="P85" s="2"/>
      <c r="Q85" s="2"/>
      <c r="R85" s="2"/>
      <c r="S85" s="2"/>
      <c r="W85" s="52" t="str">
        <f>TEXT(EDATE('Input - Site'!$E$12,9), "mmmm yyyy")</f>
        <v>October 2024</v>
      </c>
      <c r="X85" s="52">
        <f>((1.185 + 0.00454 * X53 - 0.0000026 * X53 ^ 2 + 0.315 * X69) ^ 2 * Z37)</f>
        <v>8.6709047296000001</v>
      </c>
      <c r="Y85" s="52">
        <f>((1.185 + 0.00454 * Y53 - 0.0000026 * Y53 ^ 2 + 0.315 * Y69) ^ 2 * AA37)</f>
        <v>12.246500250000002</v>
      </c>
      <c r="Z85" s="52">
        <f>((1.185 + 0.00454 * Z53 - 0.0000026 * Z53 ^ 2 + 0.315 * Z69) ^ 2 * AB37)</f>
        <v>6.6089612241000006</v>
      </c>
      <c r="AA85" s="52">
        <f>((1.185 + 0.00454 * AA53 - 0.0000026 * AA53 ^ 2 + 0.315 * AA69) ^ 2 * AC37)</f>
        <v>10.624527777622504</v>
      </c>
      <c r="AB85" s="52">
        <f>((1.185 + 0.00454 * AB53 - 0.0000026 * AB53 ^ 2 + 0.315 * AB69) ^ 2 * AD37)</f>
        <v>11.798087161000003</v>
      </c>
      <c r="AC85" s="52">
        <f>((1.185 + 0.00454 * AC53 - 0.0000026 * AC53 ^ 2 + 0.315 * AC69) ^ 2 * AE37)</f>
        <v>11.798087161000003</v>
      </c>
      <c r="AD85" s="52">
        <f>((1.185 + 0.00454 * AD53 - 0.0000026 * AD53 ^ 2 + 0.315 * AD69) ^ 2 * AF37)</f>
        <v>7.6192560899999977</v>
      </c>
      <c r="AE85" s="52">
        <f>((1.185 + 0.00454 * AE53 - 0.0000026 * AE53 ^ 2 + 0.315 * AE69) ^ 2 * AG37)</f>
        <v>9.6824279555999979</v>
      </c>
      <c r="AF85" s="52">
        <f>((1.185 + 0.00454 * AF53 - 0.0000026 * AF53 ^ 2 + 0.315 * AF69) ^ 2 * AH37)</f>
        <v>9.6824279555999979</v>
      </c>
      <c r="AG85" s="52">
        <f>((1.185 + 0.00454 * AG53 - 0.0000026 * AG53 ^ 2 + 0.315 * AG69) ^ 2 * AI39)</f>
        <v>9.6824279555999979</v>
      </c>
      <c r="AH85" s="2" t="str">
        <f t="shared" si="2"/>
        <v>kg DM/head/day</v>
      </c>
      <c r="AI85" s="2"/>
      <c r="AJ85" s="2"/>
    </row>
    <row r="86" spans="4:36" ht="20.100000000000001" customHeight="1" x14ac:dyDescent="0.25">
      <c r="D86" s="52" t="s">
        <v>174</v>
      </c>
      <c r="E86" s="52">
        <f>((1.185 + 0.00454 * E54 - 0.0000026 * E54 ^ 2 + 0.315 * E70) ^ 2 * I32)</f>
        <v>3.247204</v>
      </c>
      <c r="F86" s="52">
        <f>((1.185 + 0.00454 * F54 - 0.0000026 * F54 ^ 2 + 0.315 * F70) ^ 2 * J32)</f>
        <v>9.4246544015999998</v>
      </c>
      <c r="G86" s="52">
        <f>((1.185 + 0.00454 * G54 - 0.0000026 * G54 ^ 2 + 0.315 * G70) ^ 2 * K32)</f>
        <v>2.9603267136000002</v>
      </c>
      <c r="H86" s="52">
        <f>((1.185 + 0.00454 * H54 - 0.0000026 * H54 ^ 2 + 0.315 * H70) ^ 2 * L32)</f>
        <v>6.0173755149959991</v>
      </c>
      <c r="I86" s="52">
        <f>((1.185 + 0.00454 * I54 - 0.0000026 * I54 ^ 2 + 0.315 * I70) ^ 2 * M32)</f>
        <v>6.7179974480999993</v>
      </c>
      <c r="J86" s="52">
        <f>((1.185 + 0.00454 * J54 - 0.0000026 * J54 ^ 2 + 0.315 * J70) ^ 2 * N32)</f>
        <v>6.7179974480999993</v>
      </c>
      <c r="K86" s="52">
        <f>((1.185 + 0.00454 * K54 - 0.0000026 * K54 ^ 2 + 0.315 * K70) ^ 2 * O32)</f>
        <v>3.247204</v>
      </c>
      <c r="L86" s="52">
        <f>((1.185 + 0.00454 * L54 - 0.0000026 * L54 ^ 2 + 0.315 * L70) ^ 2 * P32)</f>
        <v>5.8953782416000013</v>
      </c>
      <c r="M86" s="52">
        <f>((1.185 + 0.00454 * M54 - 0.0000026 * M54 ^ 2 + 0.315 * M70) ^ 2 * Q32)</f>
        <v>5.8953782416000013</v>
      </c>
      <c r="N86" s="52">
        <f>((1.185 + 0.00454 * N54 - 0.0000026 * N54 ^ 2 + 0.315 * N70) ^ 2 * R32)</f>
        <v>5.8953782416000013</v>
      </c>
      <c r="O86" s="2" t="str">
        <f>$E$43</f>
        <v>kg DM/head/day</v>
      </c>
      <c r="P86" s="2"/>
      <c r="Q86" s="2"/>
      <c r="R86" s="2"/>
      <c r="S86" s="2"/>
      <c r="W86" s="52" t="str">
        <f>TEXT(EDATE('Input - Site'!$E$12,10), "mmmm yyyy")</f>
        <v>November 2024</v>
      </c>
      <c r="X86" s="52">
        <f>((1.185 + 0.00454 * X54 - 0.0000026 * X54 ^ 2 + 0.315 * X70) ^ 2 * Z38)</f>
        <v>8.6709047296000001</v>
      </c>
      <c r="Y86" s="52">
        <f>((1.185 + 0.00454 * Y54 - 0.0000026 * Y54 ^ 2 + 0.315 * Y70) ^ 2 * AA38)</f>
        <v>12.246500250000002</v>
      </c>
      <c r="Z86" s="52">
        <f>((1.185 + 0.00454 * Z54 - 0.0000026 * Z54 ^ 2 + 0.315 * Z70) ^ 2 * AB38)</f>
        <v>6.6089612241000006</v>
      </c>
      <c r="AA86" s="52">
        <f>((1.185 + 0.00454 * AA54 - 0.0000026 * AA54 ^ 2 + 0.315 * AA70) ^ 2 * AC38)</f>
        <v>9.3235651926075036</v>
      </c>
      <c r="AB86" s="52">
        <f>((1.185 + 0.00454 * AB54 - 0.0000026 * AB54 ^ 2 + 0.315 * AB70) ^ 2 * AD38)</f>
        <v>10.353423427000003</v>
      </c>
      <c r="AC86" s="52">
        <f>((1.185 + 0.00454 * AC54 - 0.0000026 * AC54 ^ 2 + 0.315 * AC70) ^ 2 * AE38)</f>
        <v>10.353423427000003</v>
      </c>
      <c r="AD86" s="52">
        <f>((1.185 + 0.00454 * AD54 - 0.0000026 * AD54 ^ 2 + 0.315 * AD70) ^ 2 * AF38)</f>
        <v>7.6192560899999977</v>
      </c>
      <c r="AE86" s="52">
        <f>((1.185 + 0.00454 * AE54 - 0.0000026 * AE54 ^ 2 + 0.315 * AE70) ^ 2 * AG38)</f>
        <v>9.6824279555999979</v>
      </c>
      <c r="AF86" s="52">
        <f>((1.185 + 0.00454 * AF54 - 0.0000026 * AF54 ^ 2 + 0.315 * AF70) ^ 2 * AH38)</f>
        <v>9.6824279555999979</v>
      </c>
      <c r="AG86" s="52">
        <f>((1.185 + 0.00454 * AG54 - 0.0000026 * AG54 ^ 2 + 0.315 * AG70) ^ 2 * AI40)</f>
        <v>9.6824279555999979</v>
      </c>
      <c r="AH86" s="2" t="str">
        <f t="shared" si="2"/>
        <v>kg DM/head/day</v>
      </c>
      <c r="AI86" s="2"/>
      <c r="AJ86" s="2"/>
    </row>
    <row r="87" spans="4:36" ht="20.100000000000001" customHeight="1" x14ac:dyDescent="0.25">
      <c r="D87" s="52" t="s">
        <v>175</v>
      </c>
      <c r="E87" s="52">
        <f>((1.185 + 0.00454 * E55 - 0.0000026 * E55 ^ 2 + 0.315 * E71) ^ 2 * I33)</f>
        <v>5.1328980481000004</v>
      </c>
      <c r="F87" s="52">
        <f>((1.185 + 0.00454 * F55 - 0.0000026 * F55 ^ 2 + 0.315 * F71) ^ 2 * J33)</f>
        <v>9.9748588899999984</v>
      </c>
      <c r="G87" s="52">
        <f>((1.185 + 0.00454 * G55 - 0.0000026 * G55 ^ 2 + 0.315 * G71) ^ 2 * K33)</f>
        <v>4.202705002500001</v>
      </c>
      <c r="H87" s="52">
        <f>((1.185 + 0.00454 * H55 - 0.0000026 * H55 ^ 2 + 0.315 * H71) ^ 2 * L33)</f>
        <v>7.172653468761002</v>
      </c>
      <c r="I87" s="52">
        <f>((1.185 + 0.00454 * I55 - 0.0000026 * I55 ^ 2 + 0.315 * I71) ^ 2 * M33)</f>
        <v>9.145195140114998</v>
      </c>
      <c r="J87" s="52">
        <f>((1.185 + 0.00454 * J55 - 0.0000026 * J55 ^ 2 + 0.315 * J71) ^ 2 * N33)</f>
        <v>9.145195140114998</v>
      </c>
      <c r="K87" s="52">
        <f>((1.185 + 0.00454 * K55 - 0.0000026 * K55 ^ 2 + 0.315 * K71) ^ 2 * O33)</f>
        <v>4.5122681240999984</v>
      </c>
      <c r="L87" s="52">
        <f>((1.185 + 0.00454 * L55 - 0.0000026 * L55 ^ 2 + 0.315 * L71) ^ 2 * P33)</f>
        <v>6.8698506815999991</v>
      </c>
      <c r="M87" s="52">
        <f>((1.185 + 0.00454 * M55 - 0.0000026 * M55 ^ 2 + 0.315 * M71) ^ 2 * Q33)</f>
        <v>6.8698506815999991</v>
      </c>
      <c r="N87" s="52">
        <f>((1.185 + 0.00454 * N55 - 0.0000026 * N55 ^ 2 + 0.315 * N71) ^ 2 * R33)</f>
        <v>6.8698506815999991</v>
      </c>
      <c r="O87" s="2" t="str">
        <f>$E$43</f>
        <v>kg DM/head/day</v>
      </c>
      <c r="P87" s="2"/>
      <c r="Q87" s="2"/>
      <c r="R87" s="2"/>
      <c r="S87" s="2"/>
      <c r="W87" s="52" t="str">
        <f>TEXT(EDATE('Input - Site'!$E$12,11), "mmmm yyyy")</f>
        <v>December 2024</v>
      </c>
      <c r="X87" s="52">
        <f>((1.185 + 0.00454 * X55 - 0.0000026 * X55 ^ 2 + 0.315 * X71) ^ 2 * Z39)</f>
        <v>7.1468536895999959</v>
      </c>
      <c r="Y87" s="52">
        <f>((1.185 + 0.00454 * Y55 - 0.0000026 * Y55 ^ 2 + 0.315 * Y71) ^ 2 * AA39)</f>
        <v>9.4559940036000008</v>
      </c>
      <c r="Z87" s="52">
        <f>((1.185 + 0.00454 * Z55 - 0.0000026 * Z55 ^ 2 + 0.315 * Z71) ^ 2 * AB39)</f>
        <v>6.010342559999998</v>
      </c>
      <c r="AA87" s="52">
        <f>((1.185 + 0.00454 * AA55 - 0.0000026 * AA55 ^ 2 + 0.315 * AA71) ^ 2 * AC39)</f>
        <v>8.4608409301875014</v>
      </c>
      <c r="AB87" s="52">
        <f>((1.185 + 0.00454 * AB55 - 0.0000026 * AB55 ^ 2 + 0.315 * AB71) ^ 2 * AD39)</f>
        <v>8.3772677761199983</v>
      </c>
      <c r="AC87" s="52">
        <f>((1.185 + 0.00454 * AC55 - 0.0000026 * AC55 ^ 2 + 0.315 * AC71) ^ 2 * AE39)</f>
        <v>8.3772677761199983</v>
      </c>
      <c r="AD87" s="52">
        <f>((1.185 + 0.00454 * AD55 - 0.0000026 * AD55 ^ 2 + 0.315 * AD71) ^ 2 * AF39)</f>
        <v>6.5876408896000003</v>
      </c>
      <c r="AE87" s="52">
        <f>((1.185 + 0.00454 * AE55 - 0.0000026 * AE55 ^ 2 + 0.315 * AE71) ^ 2 * AG39)</f>
        <v>7.3430702361</v>
      </c>
      <c r="AF87" s="52">
        <f>((1.185 + 0.00454 * AF55 - 0.0000026 * AF55 ^ 2 + 0.315 * AF71) ^ 2 * AH39)</f>
        <v>7.3430702361</v>
      </c>
      <c r="AG87" s="52">
        <f>((1.185 + 0.00454 * AG55 - 0.0000026 * AG55 ^ 2 + 0.315 * AG71) ^ 2 * AI41)</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
        <v>388</v>
      </c>
    </row>
    <row r="100" spans="3:37" ht="20.100000000000001" customHeight="1" x14ac:dyDescent="0.25">
      <c r="D100" s="5" t="s">
        <v>389</v>
      </c>
    </row>
    <row r="101" spans="3:37" ht="20.100000000000001" customHeight="1" x14ac:dyDescent="0.25">
      <c r="D101" s="13"/>
      <c r="E101" s="13"/>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29</v>
      </c>
      <c r="E105" s="1" t="s">
        <v>390</v>
      </c>
    </row>
    <row r="106" spans="3:37" ht="20.100000000000001" customHeight="1" x14ac:dyDescent="0.25">
      <c r="D106" s="53" t="s">
        <v>20</v>
      </c>
      <c r="E106" s="54" t="s">
        <v>133</v>
      </c>
    </row>
    <row r="107" spans="3:37" ht="20.100000000000001" customHeight="1" x14ac:dyDescent="0.25"/>
    <row r="108" spans="3:37" ht="20.100000000000001" customHeight="1" x14ac:dyDescent="0.25">
      <c r="D108" s="121" t="s">
        <v>379</v>
      </c>
      <c r="E108" s="126" t="s">
        <v>391</v>
      </c>
      <c r="F108" s="125"/>
      <c r="G108" s="121" t="s">
        <v>133</v>
      </c>
      <c r="H108" s="122" t="s">
        <v>396</v>
      </c>
      <c r="I108" s="120" t="str" cm="1">
        <f t="array" aca="1" ref="I108" ca="1">HYPERLINK(Common_InputFunctions.Utility_SourceHyperlink($D$81), $D$81)</f>
        <v>M1_Table_I_j_k_l</v>
      </c>
    </row>
    <row r="109" spans="3:37" ht="20.100000000000001" customHeight="1" x14ac:dyDescent="0.25">
      <c r="D109" s="121" t="s">
        <v>392</v>
      </c>
      <c r="E109" s="126" t="s">
        <v>393</v>
      </c>
      <c r="F109" s="125"/>
      <c r="G109" s="121" t="s">
        <v>140</v>
      </c>
      <c r="H109" s="123" t="s">
        <v>375</v>
      </c>
      <c r="I109" s="120" t="str" cm="1">
        <f t="array" aca="1" ref="I109" ca="1">HYPERLINK(Common_InputFunctions.Utility_SourceHyperlink($D$112), $D$112)</f>
        <v>M1_Table_DMD_j_k_l</v>
      </c>
    </row>
    <row r="110" spans="3:37" ht="20.100000000000001" customHeight="1" x14ac:dyDescent="0.25">
      <c r="D110" s="121" t="s">
        <v>394</v>
      </c>
      <c r="E110" s="126" t="s">
        <v>395</v>
      </c>
      <c r="F110" s="125"/>
      <c r="G110" s="121" t="s">
        <v>140</v>
      </c>
      <c r="H110" s="122" t="s">
        <v>376</v>
      </c>
      <c r="I110" s="121">
        <f>'Constants - Pature Beef'!$D$422</f>
        <v>0.08</v>
      </c>
    </row>
    <row r="111" spans="3:37" ht="20.100000000000001" customHeight="1" x14ac:dyDescent="0.25"/>
    <row r="112" spans="3:37" ht="20.100000000000001" customHeight="1" x14ac:dyDescent="0.25">
      <c r="D112" s="99" t="s">
        <v>258</v>
      </c>
      <c r="W112" s="99" t="s">
        <v>259</v>
      </c>
    </row>
    <row r="113" spans="4:36" ht="20.100000000000001" customHeight="1" x14ac:dyDescent="0.25">
      <c r="D113" s="98" t="s">
        <v>111</v>
      </c>
      <c r="W113" s="98" t="s">
        <v>141</v>
      </c>
    </row>
    <row r="114" spans="4:36" ht="20.100000000000001" customHeight="1" x14ac:dyDescent="0.25">
      <c r="D114" s="51" t="s">
        <v>183</v>
      </c>
      <c r="E114" s="124" t="s">
        <v>130</v>
      </c>
      <c r="F114" s="124" t="s">
        <v>129</v>
      </c>
      <c r="G114" s="124" t="s">
        <v>164</v>
      </c>
      <c r="H114" s="124" t="s">
        <v>165</v>
      </c>
      <c r="I114" s="124" t="s">
        <v>166</v>
      </c>
      <c r="J114" s="124" t="s">
        <v>167</v>
      </c>
      <c r="K114" s="124" t="s">
        <v>168</v>
      </c>
      <c r="L114" s="124" t="s">
        <v>169</v>
      </c>
      <c r="M114" s="124" t="s">
        <v>170</v>
      </c>
      <c r="N114" s="124" t="s">
        <v>171</v>
      </c>
      <c r="W114" s="51" t="s">
        <v>131</v>
      </c>
      <c r="X114" s="124" t="s">
        <v>130</v>
      </c>
      <c r="Y114" s="124" t="s">
        <v>129</v>
      </c>
      <c r="Z114" s="124" t="s">
        <v>164</v>
      </c>
      <c r="AA114" s="124" t="s">
        <v>165</v>
      </c>
      <c r="AB114" s="124" t="s">
        <v>166</v>
      </c>
      <c r="AC114" s="124" t="s">
        <v>167</v>
      </c>
      <c r="AD114" s="124" t="s">
        <v>168</v>
      </c>
      <c r="AE114" s="124" t="s">
        <v>169</v>
      </c>
      <c r="AF114" s="124" t="s">
        <v>170</v>
      </c>
      <c r="AG114" s="124" t="s">
        <v>171</v>
      </c>
    </row>
    <row r="115" spans="4:36" ht="20.100000000000001" customHeight="1" x14ac:dyDescent="0.25">
      <c r="D115" s="52" t="s">
        <v>172</v>
      </c>
      <c r="E115" s="52">
        <f>'Input - Pasture Beef'!E154</f>
        <v>0.2</v>
      </c>
      <c r="F115" s="52">
        <f>'Input - Pasture Beef'!F154</f>
        <v>0.2</v>
      </c>
      <c r="G115" s="52">
        <f>'Input - Pasture Beef'!G154</f>
        <v>0.2</v>
      </c>
      <c r="H115" s="52">
        <f>'Input - Pasture Beef'!H154</f>
        <v>0.2</v>
      </c>
      <c r="I115" s="52">
        <f>'Input - Pasture Beef'!I154</f>
        <v>0.2</v>
      </c>
      <c r="J115" s="52">
        <f>'Input - Pasture Beef'!J154</f>
        <v>0.2</v>
      </c>
      <c r="K115" s="52">
        <f>'Input - Pasture Beef'!K154</f>
        <v>0.2</v>
      </c>
      <c r="L115" s="52">
        <f>'Input - Pasture Beef'!L154</f>
        <v>0.2</v>
      </c>
      <c r="M115" s="52">
        <f>'Input - Pasture Beef'!M154</f>
        <v>0.2</v>
      </c>
      <c r="N115" s="52">
        <f>'Input - Pasture Beef'!N154</f>
        <v>0.2</v>
      </c>
      <c r="O115" s="2" t="s">
        <v>140</v>
      </c>
      <c r="P115" s="2"/>
      <c r="Q115" s="2"/>
      <c r="R115" s="2"/>
      <c r="S115" s="2"/>
      <c r="W115" s="52" t="str">
        <f>'Input - Pasture Beef'!D160</f>
        <v>January 2024</v>
      </c>
      <c r="X115" s="52">
        <f>'Input - Pasture Beef'!E160</f>
        <v>0.09</v>
      </c>
      <c r="Y115" s="52">
        <f>'Input - Pasture Beef'!F160</f>
        <v>0.09</v>
      </c>
      <c r="Z115" s="52">
        <f>'Input - Pasture Beef'!G160</f>
        <v>0.09</v>
      </c>
      <c r="AA115" s="52">
        <f>'Input - Pasture Beef'!H160</f>
        <v>0.09</v>
      </c>
      <c r="AB115" s="52">
        <f>'Input - Pasture Beef'!I160</f>
        <v>0.09</v>
      </c>
      <c r="AC115" s="52">
        <f>'Input - Pasture Beef'!J160</f>
        <v>0.09</v>
      </c>
      <c r="AD115" s="52">
        <f>'Input - Pasture Beef'!K160</f>
        <v>0.09</v>
      </c>
      <c r="AE115" s="52">
        <f>'Input - Pasture Beef'!L160</f>
        <v>0.09</v>
      </c>
      <c r="AF115" s="52">
        <f>'Input - Pasture Beef'!M160</f>
        <v>0.09</v>
      </c>
      <c r="AG115" s="52">
        <f>'Input - Pasture Beef'!N160</f>
        <v>0.09</v>
      </c>
      <c r="AH115" s="2" t="s">
        <v>140</v>
      </c>
      <c r="AI115" s="2"/>
      <c r="AJ115" s="2"/>
    </row>
    <row r="116" spans="4:36" ht="20.100000000000001" customHeight="1" x14ac:dyDescent="0.25">
      <c r="D116" s="52" t="s">
        <v>173</v>
      </c>
      <c r="E116" s="52">
        <f>'Input - Pasture Beef'!E155</f>
        <v>0.09</v>
      </c>
      <c r="F116" s="52">
        <f>'Input - Pasture Beef'!F155</f>
        <v>0.09</v>
      </c>
      <c r="G116" s="52">
        <f>'Input - Pasture Beef'!G155</f>
        <v>0.09</v>
      </c>
      <c r="H116" s="52">
        <f>'Input - Pasture Beef'!H155</f>
        <v>0.09</v>
      </c>
      <c r="I116" s="52">
        <f>'Input - Pasture Beef'!I155</f>
        <v>0.09</v>
      </c>
      <c r="J116" s="52">
        <f>'Input - Pasture Beef'!J155</f>
        <v>0.09</v>
      </c>
      <c r="K116" s="52">
        <f>'Input - Pasture Beef'!K155</f>
        <v>0.09</v>
      </c>
      <c r="L116" s="52">
        <f>'Input - Pasture Beef'!L155</f>
        <v>0.09</v>
      </c>
      <c r="M116" s="52">
        <f>'Input - Pasture Beef'!M155</f>
        <v>0.09</v>
      </c>
      <c r="N116" s="52">
        <f>'Input - Pasture Beef'!N155</f>
        <v>0.09</v>
      </c>
      <c r="O116" s="2" t="s">
        <v>140</v>
      </c>
      <c r="P116" s="2"/>
      <c r="Q116" s="2"/>
      <c r="R116" s="2"/>
      <c r="S116" s="2"/>
      <c r="W116" s="52" t="str">
        <f>'Input - Pasture Beef'!D161</f>
        <v>February 2024</v>
      </c>
      <c r="X116" s="52">
        <f>'Input - Pasture Beef'!E161</f>
        <v>0.09</v>
      </c>
      <c r="Y116" s="52">
        <f>'Input - Pasture Beef'!F161</f>
        <v>0.09</v>
      </c>
      <c r="Z116" s="52">
        <f>'Input - Pasture Beef'!G161</f>
        <v>0.09</v>
      </c>
      <c r="AA116" s="52">
        <f>'Input - Pasture Beef'!H161</f>
        <v>0.09</v>
      </c>
      <c r="AB116" s="52">
        <f>'Input - Pasture Beef'!I161</f>
        <v>0.09</v>
      </c>
      <c r="AC116" s="52">
        <f>'Input - Pasture Beef'!J161</f>
        <v>0.09</v>
      </c>
      <c r="AD116" s="52">
        <f>'Input - Pasture Beef'!K161</f>
        <v>0.09</v>
      </c>
      <c r="AE116" s="52">
        <f>'Input - Pasture Beef'!L161</f>
        <v>0.09</v>
      </c>
      <c r="AF116" s="52">
        <f>'Input - Pasture Beef'!M161</f>
        <v>0.09</v>
      </c>
      <c r="AG116" s="52">
        <f>'Input - Pasture Beef'!N161</f>
        <v>0.09</v>
      </c>
      <c r="AH116" s="2" t="s">
        <v>140</v>
      </c>
      <c r="AI116" s="2"/>
      <c r="AJ116" s="2"/>
    </row>
    <row r="117" spans="4:36" ht="20.100000000000001" customHeight="1" x14ac:dyDescent="0.25">
      <c r="D117" s="52" t="s">
        <v>174</v>
      </c>
      <c r="E117" s="52">
        <f>'Input - Pasture Beef'!E156</f>
        <v>0.06</v>
      </c>
      <c r="F117" s="52">
        <f>'Input - Pasture Beef'!F156</f>
        <v>0.06</v>
      </c>
      <c r="G117" s="52">
        <f>'Input - Pasture Beef'!G156</f>
        <v>0.06</v>
      </c>
      <c r="H117" s="52">
        <f>'Input - Pasture Beef'!H156</f>
        <v>0.06</v>
      </c>
      <c r="I117" s="52">
        <f>'Input - Pasture Beef'!I156</f>
        <v>0.06</v>
      </c>
      <c r="J117" s="52">
        <f>'Input - Pasture Beef'!J156</f>
        <v>0.06</v>
      </c>
      <c r="K117" s="52">
        <f>'Input - Pasture Beef'!K156</f>
        <v>0.06</v>
      </c>
      <c r="L117" s="52">
        <f>'Input - Pasture Beef'!L156</f>
        <v>0.06</v>
      </c>
      <c r="M117" s="52">
        <f>'Input - Pasture Beef'!M156</f>
        <v>0.06</v>
      </c>
      <c r="N117" s="52">
        <f>'Input - Pasture Beef'!N156</f>
        <v>0.06</v>
      </c>
      <c r="O117" s="2" t="s">
        <v>140</v>
      </c>
      <c r="P117" s="2"/>
      <c r="Q117" s="2"/>
      <c r="R117" s="2"/>
      <c r="S117" s="2"/>
      <c r="W117" s="52" t="str">
        <f>'Input - Pasture Beef'!D162</f>
        <v>March 2024</v>
      </c>
      <c r="X117" s="52">
        <f>'Input - Pasture Beef'!E162</f>
        <v>0.06</v>
      </c>
      <c r="Y117" s="52">
        <f>'Input - Pasture Beef'!F162</f>
        <v>0.06</v>
      </c>
      <c r="Z117" s="52">
        <f>'Input - Pasture Beef'!G162</f>
        <v>0.06</v>
      </c>
      <c r="AA117" s="52">
        <f>'Input - Pasture Beef'!H162</f>
        <v>0.06</v>
      </c>
      <c r="AB117" s="52">
        <f>'Input - Pasture Beef'!I162</f>
        <v>0.06</v>
      </c>
      <c r="AC117" s="52">
        <f>'Input - Pasture Beef'!J162</f>
        <v>0.06</v>
      </c>
      <c r="AD117" s="52">
        <f>'Input - Pasture Beef'!K162</f>
        <v>0.06</v>
      </c>
      <c r="AE117" s="52">
        <f>'Input - Pasture Beef'!L162</f>
        <v>0.06</v>
      </c>
      <c r="AF117" s="52">
        <f>'Input - Pasture Beef'!M162</f>
        <v>0.06</v>
      </c>
      <c r="AG117" s="52">
        <f>'Input - Pasture Beef'!N162</f>
        <v>0.06</v>
      </c>
      <c r="AH117" s="2" t="s">
        <v>140</v>
      </c>
      <c r="AI117" s="2"/>
      <c r="AJ117" s="2"/>
    </row>
    <row r="118" spans="4:36" ht="20.100000000000001" customHeight="1" x14ac:dyDescent="0.25">
      <c r="D118" s="52" t="s">
        <v>175</v>
      </c>
      <c r="E118" s="52">
        <f>'Input - Pasture Beef'!E157</f>
        <v>0.2</v>
      </c>
      <c r="F118" s="52">
        <f>'Input - Pasture Beef'!F157</f>
        <v>0.2</v>
      </c>
      <c r="G118" s="52">
        <f>'Input - Pasture Beef'!G157</f>
        <v>0.2</v>
      </c>
      <c r="H118" s="52">
        <f>'Input - Pasture Beef'!H157</f>
        <v>0.2</v>
      </c>
      <c r="I118" s="52">
        <f>'Input - Pasture Beef'!I157</f>
        <v>0.2</v>
      </c>
      <c r="J118" s="52">
        <f>'Input - Pasture Beef'!J157</f>
        <v>0.2</v>
      </c>
      <c r="K118" s="52">
        <f>'Input - Pasture Beef'!K157</f>
        <v>0.2</v>
      </c>
      <c r="L118" s="52">
        <f>'Input - Pasture Beef'!L157</f>
        <v>0.2</v>
      </c>
      <c r="M118" s="52">
        <f>'Input - Pasture Beef'!M157</f>
        <v>0.2</v>
      </c>
      <c r="N118" s="52">
        <f>'Input - Pasture Beef'!N157</f>
        <v>0.2</v>
      </c>
      <c r="O118" s="2" t="s">
        <v>140</v>
      </c>
      <c r="P118" s="2"/>
      <c r="Q118" s="2"/>
      <c r="R118" s="2"/>
      <c r="S118" s="2"/>
      <c r="W118" s="52" t="str">
        <f>'Input - Pasture Beef'!D163</f>
        <v>April 2024</v>
      </c>
      <c r="X118" s="52">
        <f>'Input - Pasture Beef'!E163</f>
        <v>0.06</v>
      </c>
      <c r="Y118" s="52">
        <f>'Input - Pasture Beef'!F163</f>
        <v>0.06</v>
      </c>
      <c r="Z118" s="52">
        <f>'Input - Pasture Beef'!G163</f>
        <v>0.06</v>
      </c>
      <c r="AA118" s="52">
        <f>'Input - Pasture Beef'!H163</f>
        <v>0.06</v>
      </c>
      <c r="AB118" s="52">
        <f>'Input - Pasture Beef'!I163</f>
        <v>0.06</v>
      </c>
      <c r="AC118" s="52">
        <f>'Input - Pasture Beef'!J163</f>
        <v>0.06</v>
      </c>
      <c r="AD118" s="52">
        <f>'Input - Pasture Beef'!K163</f>
        <v>0.06</v>
      </c>
      <c r="AE118" s="52">
        <f>'Input - Pasture Beef'!L163</f>
        <v>0.06</v>
      </c>
      <c r="AF118" s="52">
        <f>'Input - Pasture Beef'!M163</f>
        <v>0.06</v>
      </c>
      <c r="AG118" s="52">
        <f>'Input - Pasture Beef'!N163</f>
        <v>0.06</v>
      </c>
      <c r="AH118" s="2" t="s">
        <v>140</v>
      </c>
      <c r="AI118" s="2"/>
      <c r="AJ118" s="2"/>
    </row>
    <row r="119" spans="4:36" ht="20.100000000000001" customHeight="1" x14ac:dyDescent="0.25">
      <c r="W119" s="52" t="str">
        <f>'Input - Pasture Beef'!D164</f>
        <v>May 2024</v>
      </c>
      <c r="X119" s="52">
        <f>'Input - Pasture Beef'!E164</f>
        <v>0.06</v>
      </c>
      <c r="Y119" s="52">
        <f>'Input - Pasture Beef'!F164</f>
        <v>0.06</v>
      </c>
      <c r="Z119" s="52">
        <f>'Input - Pasture Beef'!G164</f>
        <v>0.06</v>
      </c>
      <c r="AA119" s="52">
        <f>'Input - Pasture Beef'!H164</f>
        <v>0.06</v>
      </c>
      <c r="AB119" s="52">
        <f>'Input - Pasture Beef'!I164</f>
        <v>0.06</v>
      </c>
      <c r="AC119" s="52">
        <f>'Input - Pasture Beef'!J164</f>
        <v>0.06</v>
      </c>
      <c r="AD119" s="52">
        <f>'Input - Pasture Beef'!K164</f>
        <v>0.06</v>
      </c>
      <c r="AE119" s="52">
        <f>'Input - Pasture Beef'!L164</f>
        <v>0.06</v>
      </c>
      <c r="AF119" s="52">
        <f>'Input - Pasture Beef'!M164</f>
        <v>0.06</v>
      </c>
      <c r="AG119" s="52">
        <f>'Input - Pasture Beef'!N164</f>
        <v>0.06</v>
      </c>
      <c r="AH119" s="2" t="s">
        <v>140</v>
      </c>
      <c r="AI119" s="2"/>
      <c r="AJ119" s="2"/>
    </row>
    <row r="120" spans="4:36" ht="20.100000000000001" customHeight="1" x14ac:dyDescent="0.25">
      <c r="W120" s="52" t="str">
        <f>'Input - Pasture Beef'!D165</f>
        <v>June 2024</v>
      </c>
      <c r="X120" s="52">
        <f>'Input - Pasture Beef'!E165</f>
        <v>0.2</v>
      </c>
      <c r="Y120" s="52">
        <f>'Input - Pasture Beef'!F165</f>
        <v>0.2</v>
      </c>
      <c r="Z120" s="52">
        <f>'Input - Pasture Beef'!G165</f>
        <v>0.2</v>
      </c>
      <c r="AA120" s="52">
        <f>'Input - Pasture Beef'!H165</f>
        <v>0.2</v>
      </c>
      <c r="AB120" s="52">
        <f>'Input - Pasture Beef'!I165</f>
        <v>0.2</v>
      </c>
      <c r="AC120" s="52">
        <f>'Input - Pasture Beef'!J165</f>
        <v>0.2</v>
      </c>
      <c r="AD120" s="52">
        <f>'Input - Pasture Beef'!K165</f>
        <v>0.2</v>
      </c>
      <c r="AE120" s="52">
        <f>'Input - Pasture Beef'!L165</f>
        <v>0.2</v>
      </c>
      <c r="AF120" s="52">
        <f>'Input - Pasture Beef'!M165</f>
        <v>0.2</v>
      </c>
      <c r="AG120" s="52">
        <f>'Input - Pasture Beef'!N165</f>
        <v>0.2</v>
      </c>
      <c r="AH120" s="2" t="s">
        <v>140</v>
      </c>
      <c r="AI120" s="2"/>
      <c r="AJ120" s="2"/>
    </row>
    <row r="121" spans="4:36" ht="20.100000000000001" customHeight="1" x14ac:dyDescent="0.25">
      <c r="W121" s="52" t="str">
        <f>'Input - Pasture Beef'!D166</f>
        <v>July 2024</v>
      </c>
      <c r="X121" s="52">
        <f>'Input - Pasture Beef'!E166</f>
        <v>0.2</v>
      </c>
      <c r="Y121" s="52">
        <f>'Input - Pasture Beef'!F166</f>
        <v>0.2</v>
      </c>
      <c r="Z121" s="52">
        <f>'Input - Pasture Beef'!G166</f>
        <v>0.2</v>
      </c>
      <c r="AA121" s="52">
        <f>'Input - Pasture Beef'!H166</f>
        <v>0.2</v>
      </c>
      <c r="AB121" s="52">
        <f>'Input - Pasture Beef'!I166</f>
        <v>0.2</v>
      </c>
      <c r="AC121" s="52">
        <f>'Input - Pasture Beef'!J166</f>
        <v>0.2</v>
      </c>
      <c r="AD121" s="52">
        <f>'Input - Pasture Beef'!K166</f>
        <v>0.2</v>
      </c>
      <c r="AE121" s="52">
        <f>'Input - Pasture Beef'!L166</f>
        <v>0.2</v>
      </c>
      <c r="AF121" s="52">
        <f>'Input - Pasture Beef'!M166</f>
        <v>0.2</v>
      </c>
      <c r="AG121" s="52">
        <f>'Input - Pasture Beef'!N166</f>
        <v>0.2</v>
      </c>
      <c r="AH121" s="2" t="s">
        <v>140</v>
      </c>
      <c r="AI121" s="2"/>
      <c r="AJ121" s="2"/>
    </row>
    <row r="122" spans="4:36" ht="20.100000000000001" customHeight="1" x14ac:dyDescent="0.25">
      <c r="W122" s="52" t="str">
        <f>'Input - Pasture Beef'!D167</f>
        <v>August 2024</v>
      </c>
      <c r="X122" s="52">
        <f>'Input - Pasture Beef'!E167</f>
        <v>0.2</v>
      </c>
      <c r="Y122" s="52">
        <f>'Input - Pasture Beef'!F167</f>
        <v>0.2</v>
      </c>
      <c r="Z122" s="52">
        <f>'Input - Pasture Beef'!G167</f>
        <v>0.2</v>
      </c>
      <c r="AA122" s="52">
        <f>'Input - Pasture Beef'!H167</f>
        <v>0.2</v>
      </c>
      <c r="AB122" s="52">
        <f>'Input - Pasture Beef'!I167</f>
        <v>0.2</v>
      </c>
      <c r="AC122" s="52">
        <f>'Input - Pasture Beef'!J167</f>
        <v>0.2</v>
      </c>
      <c r="AD122" s="52">
        <f>'Input - Pasture Beef'!K167</f>
        <v>0.2</v>
      </c>
      <c r="AE122" s="52">
        <f>'Input - Pasture Beef'!L167</f>
        <v>0.2</v>
      </c>
      <c r="AF122" s="52">
        <f>'Input - Pasture Beef'!M167</f>
        <v>0.2</v>
      </c>
      <c r="AG122" s="52">
        <f>'Input - Pasture Beef'!N167</f>
        <v>0.2</v>
      </c>
      <c r="AH122" s="2" t="s">
        <v>140</v>
      </c>
      <c r="AI122" s="2"/>
      <c r="AJ122" s="2"/>
    </row>
    <row r="123" spans="4:36" ht="20.100000000000001" customHeight="1" x14ac:dyDescent="0.25">
      <c r="W123" s="52" t="str">
        <f>'Input - Pasture Beef'!D168</f>
        <v>September 2024</v>
      </c>
      <c r="X123" s="52">
        <f>'Input - Pasture Beef'!E168</f>
        <v>0.2</v>
      </c>
      <c r="Y123" s="52">
        <f>'Input - Pasture Beef'!F168</f>
        <v>0.2</v>
      </c>
      <c r="Z123" s="52">
        <f>'Input - Pasture Beef'!G168</f>
        <v>0.2</v>
      </c>
      <c r="AA123" s="52">
        <f>'Input - Pasture Beef'!H168</f>
        <v>0.2</v>
      </c>
      <c r="AB123" s="52">
        <f>'Input - Pasture Beef'!I168</f>
        <v>0.2</v>
      </c>
      <c r="AC123" s="52">
        <f>'Input - Pasture Beef'!J168</f>
        <v>0.2</v>
      </c>
      <c r="AD123" s="52">
        <f>'Input - Pasture Beef'!K168</f>
        <v>0.2</v>
      </c>
      <c r="AE123" s="52">
        <f>'Input - Pasture Beef'!L168</f>
        <v>0.2</v>
      </c>
      <c r="AF123" s="52">
        <f>'Input - Pasture Beef'!M168</f>
        <v>0.2</v>
      </c>
      <c r="AG123" s="52">
        <f>'Input - Pasture Beef'!N168</f>
        <v>0.2</v>
      </c>
      <c r="AH123" s="2" t="s">
        <v>140</v>
      </c>
      <c r="AI123" s="2"/>
      <c r="AJ123" s="2"/>
    </row>
    <row r="124" spans="4:36" ht="20.100000000000001" customHeight="1" x14ac:dyDescent="0.25">
      <c r="W124" s="52" t="str">
        <f>'Input - Pasture Beef'!D169</f>
        <v>October 2024</v>
      </c>
      <c r="X124" s="52">
        <f>'Input - Pasture Beef'!E169</f>
        <v>0.2</v>
      </c>
      <c r="Y124" s="52">
        <f>'Input - Pasture Beef'!F169</f>
        <v>0.2</v>
      </c>
      <c r="Z124" s="52">
        <f>'Input - Pasture Beef'!G169</f>
        <v>0.2</v>
      </c>
      <c r="AA124" s="52">
        <f>'Input - Pasture Beef'!H169</f>
        <v>0.2</v>
      </c>
      <c r="AB124" s="52">
        <f>'Input - Pasture Beef'!I169</f>
        <v>0.2</v>
      </c>
      <c r="AC124" s="52">
        <f>'Input - Pasture Beef'!J169</f>
        <v>0.2</v>
      </c>
      <c r="AD124" s="52">
        <f>'Input - Pasture Beef'!K169</f>
        <v>0.2</v>
      </c>
      <c r="AE124" s="52">
        <f>'Input - Pasture Beef'!L169</f>
        <v>0.2</v>
      </c>
      <c r="AF124" s="52">
        <f>'Input - Pasture Beef'!M169</f>
        <v>0.2</v>
      </c>
      <c r="AG124" s="52">
        <f>'Input - Pasture Beef'!N169</f>
        <v>0.2</v>
      </c>
      <c r="AH124" s="2" t="s">
        <v>140</v>
      </c>
      <c r="AI124" s="2"/>
      <c r="AJ124" s="2"/>
    </row>
    <row r="125" spans="4:36" ht="20.100000000000001" customHeight="1" x14ac:dyDescent="0.25">
      <c r="W125" s="52" t="str">
        <f>'Input - Pasture Beef'!D170</f>
        <v>November 2024</v>
      </c>
      <c r="X125" s="52">
        <f>'Input - Pasture Beef'!E170</f>
        <v>0.2</v>
      </c>
      <c r="Y125" s="52">
        <f>'Input - Pasture Beef'!F170</f>
        <v>0.2</v>
      </c>
      <c r="Z125" s="52">
        <f>'Input - Pasture Beef'!G170</f>
        <v>0.2</v>
      </c>
      <c r="AA125" s="52">
        <f>'Input - Pasture Beef'!H170</f>
        <v>0.2</v>
      </c>
      <c r="AB125" s="52">
        <f>'Input - Pasture Beef'!I170</f>
        <v>0.2</v>
      </c>
      <c r="AC125" s="52">
        <f>'Input - Pasture Beef'!J170</f>
        <v>0.2</v>
      </c>
      <c r="AD125" s="52">
        <f>'Input - Pasture Beef'!K170</f>
        <v>0.2</v>
      </c>
      <c r="AE125" s="52">
        <f>'Input - Pasture Beef'!L170</f>
        <v>0.2</v>
      </c>
      <c r="AF125" s="52">
        <f>'Input - Pasture Beef'!M170</f>
        <v>0.2</v>
      </c>
      <c r="AG125" s="52">
        <f>'Input - Pasture Beef'!N170</f>
        <v>0.2</v>
      </c>
      <c r="AH125" s="2" t="s">
        <v>140</v>
      </c>
      <c r="AI125" s="2"/>
      <c r="AJ125" s="2"/>
    </row>
    <row r="126" spans="4:36" ht="20.100000000000001" customHeight="1" x14ac:dyDescent="0.25">
      <c r="W126" s="52" t="str">
        <f>'Input - Pasture Beef'!D171</f>
        <v>December 2024</v>
      </c>
      <c r="X126" s="52">
        <f>'Input - Pasture Beef'!E171</f>
        <v>0.09</v>
      </c>
      <c r="Y126" s="52">
        <f>'Input - Pasture Beef'!F171</f>
        <v>0.09</v>
      </c>
      <c r="Z126" s="52">
        <f>'Input - Pasture Beef'!G171</f>
        <v>0.09</v>
      </c>
      <c r="AA126" s="52">
        <f>'Input - Pasture Beef'!H171</f>
        <v>0.09</v>
      </c>
      <c r="AB126" s="52">
        <f>'Input - Pasture Beef'!I171</f>
        <v>0.09</v>
      </c>
      <c r="AC126" s="52">
        <f>'Input - Pasture Beef'!J171</f>
        <v>0.09</v>
      </c>
      <c r="AD126" s="52">
        <f>'Input - Pasture Beef'!K171</f>
        <v>0.09</v>
      </c>
      <c r="AE126" s="52">
        <f>'Input - Pasture Beef'!L171</f>
        <v>0.09</v>
      </c>
      <c r="AF126" s="52">
        <f>'Input - Pasture Beef'!M171</f>
        <v>0.09</v>
      </c>
      <c r="AG126" s="52">
        <f>'Input - Pasture Beef'!N171</f>
        <v>0.09</v>
      </c>
      <c r="AH126" s="2" t="s">
        <v>140</v>
      </c>
      <c r="AI126" s="2"/>
      <c r="AJ126" s="2"/>
    </row>
    <row r="127" spans="4:36" ht="20.100000000000001" customHeight="1" x14ac:dyDescent="0.25"/>
    <row r="128" spans="4:36" ht="20.100000000000001" customHeight="1" x14ac:dyDescent="0.25">
      <c r="D128" s="99" t="s">
        <v>260</v>
      </c>
      <c r="W128" s="99" t="s">
        <v>261</v>
      </c>
    </row>
    <row r="129" spans="4:36" ht="20.100000000000001" customHeight="1" x14ac:dyDescent="0.25">
      <c r="D129" s="98" t="s">
        <v>110</v>
      </c>
      <c r="W129" s="98" t="s">
        <v>112</v>
      </c>
    </row>
    <row r="130" spans="4:36" ht="20.100000000000001" customHeight="1" x14ac:dyDescent="0.25">
      <c r="D130" s="51" t="s">
        <v>183</v>
      </c>
      <c r="E130" s="51" t="s">
        <v>130</v>
      </c>
      <c r="F130" s="51" t="s">
        <v>129</v>
      </c>
      <c r="G130" s="51" t="s">
        <v>164</v>
      </c>
      <c r="H130" s="51" t="s">
        <v>165</v>
      </c>
      <c r="I130" s="51" t="s">
        <v>166</v>
      </c>
      <c r="J130" s="51" t="s">
        <v>167</v>
      </c>
      <c r="K130" s="51" t="s">
        <v>168</v>
      </c>
      <c r="L130" s="51" t="s">
        <v>169</v>
      </c>
      <c r="M130" s="51" t="s">
        <v>170</v>
      </c>
      <c r="N130" s="51" t="s">
        <v>171</v>
      </c>
      <c r="W130" s="51" t="s">
        <v>131</v>
      </c>
      <c r="X130" s="51" t="s">
        <v>130</v>
      </c>
      <c r="Y130" s="51" t="s">
        <v>129</v>
      </c>
      <c r="Z130" s="51" t="s">
        <v>164</v>
      </c>
      <c r="AA130" s="51" t="s">
        <v>165</v>
      </c>
      <c r="AB130" s="51" t="s">
        <v>166</v>
      </c>
      <c r="AC130" s="51" t="s">
        <v>167</v>
      </c>
      <c r="AD130" s="51" t="s">
        <v>168</v>
      </c>
      <c r="AE130" s="51" t="s">
        <v>169</v>
      </c>
      <c r="AF130" s="51" t="s">
        <v>170</v>
      </c>
      <c r="AG130" s="51" t="s">
        <v>171</v>
      </c>
    </row>
    <row r="131" spans="4:36" ht="20.100000000000001" customHeight="1" x14ac:dyDescent="0.25">
      <c r="D131" s="52" t="s">
        <v>172</v>
      </c>
      <c r="E131" s="52">
        <f>((E84 * (1 - E115) + (0.04 * E84)) * (1 - $I$110))</f>
        <v>6.7008751750348807</v>
      </c>
      <c r="F131" s="52">
        <f>((F84 * (1 - F115) + (0.04 * F84)) * (1 - $I$110))</f>
        <v>9.4640953932000045</v>
      </c>
      <c r="G131" s="52">
        <f>((G84 * (1 - G115) + (0.04 * G84)) * (1 - $I$110))</f>
        <v>5.1074052339844807</v>
      </c>
      <c r="H131" s="52">
        <f>((H84 * (1 - H115) + (0.04 * H84)) * (1 - $I$110))</f>
        <v>7.3728151617970106</v>
      </c>
      <c r="I131" s="52">
        <f>((I84 * (1 - I115) + (0.04 * I84)) * (1 - $I$110))</f>
        <v>8.708201842354562</v>
      </c>
      <c r="J131" s="52">
        <f>((J84 * (1 - J115) + (0.04 * J84)) * (1 - $I$110))</f>
        <v>8.708201842354562</v>
      </c>
      <c r="K131" s="52">
        <f>((K84 * (1 - K115) + (0.04 * K84)) * (1 - $I$110))</f>
        <v>5.8881611063519994</v>
      </c>
      <c r="L131" s="52">
        <f>((L84 * (1 - L115) + (0.04 * L84)) * (1 - $I$110))</f>
        <v>7.4825803240876798</v>
      </c>
      <c r="M131" s="52">
        <f>((M84 * (1 - M115) + (0.04 * M84)) * (1 - $I$110))</f>
        <v>7.4825803240876798</v>
      </c>
      <c r="N131" s="52">
        <f>((N84 * (1 - N115) + (0.04 * N84)) * (1 - $I$110))</f>
        <v>7.4825803240876798</v>
      </c>
      <c r="O131" s="2" t="str">
        <f>$E$106</f>
        <v>kg/head/day</v>
      </c>
      <c r="P131" s="2"/>
      <c r="Q131" s="2"/>
      <c r="R131" s="2"/>
      <c r="S131" s="2"/>
      <c r="W131" s="52" t="str">
        <f>W115</f>
        <v>January 2024</v>
      </c>
      <c r="X131" s="52">
        <f>((X76 * (1 - X115) + (0.04 * X76)) * (1 - $I$110))</f>
        <v>6.2463501247103963</v>
      </c>
      <c r="Y131" s="52">
        <f>((Y76 * (1 - Y115) + (0.04 * Y76)) * (1 - $I$110))</f>
        <v>8.2645387591464008</v>
      </c>
      <c r="Z131" s="52">
        <f>((Z76 * (1 - Z115) + (0.04 * Z76)) * (1 - $I$110))</f>
        <v>5.2530393974399985</v>
      </c>
      <c r="AA131" s="52">
        <f>((AA76 * (1 - AA115) + (0.04 * AA76)) * (1 - $I$110))</f>
        <v>7.3947749729838765</v>
      </c>
      <c r="AB131" s="52">
        <f>((AB76 * (1 - AB115) + (0.04 * AB76)) * (1 - $I$110))</f>
        <v>7.3217320363288785</v>
      </c>
      <c r="AC131" s="52">
        <f>((AC76 * (1 - AC115) + (0.04 * AC76)) * (1 - $I$110))</f>
        <v>7.3217320363288785</v>
      </c>
      <c r="AD131" s="52">
        <f>((AD76 * (1 - AD115) + (0.04 * AD76)) * (1 - $I$110))</f>
        <v>5.7575981375104002</v>
      </c>
      <c r="AE131" s="52">
        <f>((AE76 * (1 - AE115) + (0.04 * AE76)) * (1 - $I$110))</f>
        <v>6.4178433863514002</v>
      </c>
      <c r="AF131" s="52">
        <f>((AF76 * (1 - AF115) + (0.04 * AF76)) * (1 - $I$110))</f>
        <v>6.4178433863514002</v>
      </c>
      <c r="AG131" s="52">
        <f>((AG76 * (1 - AG115) + (0.04 * AG76)) * (1 - $I$110))</f>
        <v>6.4178433863514002</v>
      </c>
      <c r="AH131" s="2" t="str">
        <f t="shared" ref="AH131:AH142" si="3">$E$106</f>
        <v>kg/head/day</v>
      </c>
      <c r="AI131" s="2"/>
      <c r="AJ131" s="2"/>
    </row>
    <row r="132" spans="4:36" ht="20.100000000000001" customHeight="1" x14ac:dyDescent="0.25">
      <c r="D132" s="52" t="s">
        <v>173</v>
      </c>
      <c r="E132" s="52">
        <f>((E85 * (1 - E116) + (0.04 * E85)) * (1 - $I$110))</f>
        <v>6.2463501247103963</v>
      </c>
      <c r="F132" s="52">
        <f>((F85 * (1 - F116) + (0.04 * F85)) * (1 - $I$110))</f>
        <v>8.2645387591464008</v>
      </c>
      <c r="G132" s="52">
        <f>((G85 * (1 - G116) + (0.04 * G85)) * (1 - $I$110))</f>
        <v>5.2530393974399985</v>
      </c>
      <c r="H132" s="52">
        <f>((H85 * (1 - H116) + (0.04 * H85)) * (1 - $I$110))</f>
        <v>7.1540148575844009</v>
      </c>
      <c r="I132" s="52">
        <f>((I85 * (1 - I116) + (0.04 * I85)) * (1 - $I$110))</f>
        <v>7.0833500630530546</v>
      </c>
      <c r="J132" s="52">
        <f>((J85 * (1 - J116) + (0.04 * J85)) * (1 - $I$110))</f>
        <v>7.0833500630530546</v>
      </c>
      <c r="K132" s="52">
        <f>((K85 * (1 - K116) + (0.04 * K85)) * (1 - $I$110))</f>
        <v>5.7575981375104002</v>
      </c>
      <c r="L132" s="52">
        <f>((L85 * (1 - L116) + (0.04 * L85)) * (1 - $I$110))</f>
        <v>6.4178433863514002</v>
      </c>
      <c r="M132" s="52">
        <f>((M85 * (1 - M116) + (0.04 * M85)) * (1 - $I$110))</f>
        <v>6.4178433863514002</v>
      </c>
      <c r="N132" s="52">
        <f>((N85 * (1 - N116) + (0.04 * N85)) * (1 - $I$110))</f>
        <v>6.4178433863514002</v>
      </c>
      <c r="O132" s="2" t="str">
        <f t="shared" ref="O132:O134" si="4">$E$106</f>
        <v>kg/head/day</v>
      </c>
      <c r="P132" s="2"/>
      <c r="Q132" s="2"/>
      <c r="R132" s="2"/>
      <c r="S132" s="2"/>
      <c r="W132" s="52" t="str">
        <f t="shared" ref="W132:W142" si="5">W116</f>
        <v>February 2024</v>
      </c>
      <c r="X132" s="52">
        <f>((X77 * (1 - X116) + (0.04 * X77)) * (1 - $I$110))</f>
        <v>6.2463501247103963</v>
      </c>
      <c r="Y132" s="52">
        <f>((Y77 * (1 - Y116) + (0.04 * Y77)) * (1 - $I$110))</f>
        <v>8.2645387591464008</v>
      </c>
      <c r="Z132" s="52">
        <f>((Z77 * (1 - Z116) + (0.04 * Z77)) * (1 - $I$110))</f>
        <v>5.2530393974399985</v>
      </c>
      <c r="AA132" s="52">
        <f>((AA77 * (1 - AA116) + (0.04 * AA77)) * (1 - $I$110))</f>
        <v>6.8788604399850009</v>
      </c>
      <c r="AB132" s="52">
        <f>((AB77 * (1 - AB116) + (0.04 * AB77)) * (1 - $I$110))</f>
        <v>6.8109135221663992</v>
      </c>
      <c r="AC132" s="52">
        <f>((AC77 * (1 - AC116) + (0.04 * AC77)) * (1 - $I$110))</f>
        <v>6.8109135221663992</v>
      </c>
      <c r="AD132" s="52">
        <f>((AD77 * (1 - AD116) + (0.04 * AD77)) * (1 - $I$110))</f>
        <v>5.7575981375104002</v>
      </c>
      <c r="AE132" s="52">
        <f>((AE77 * (1 - AE116) + (0.04 * AE77)) * (1 - $I$110))</f>
        <v>6.4178433863514002</v>
      </c>
      <c r="AF132" s="52">
        <f>((AF77 * (1 - AF116) + (0.04 * AF77)) * (1 - $I$110))</f>
        <v>6.4178433863514002</v>
      </c>
      <c r="AG132" s="52">
        <f>((AG77 * (1 - AG116) + (0.04 * AG77)) * (1 - $I$110))</f>
        <v>6.4178433863514002</v>
      </c>
      <c r="AH132" s="2" t="str">
        <f t="shared" si="3"/>
        <v>kg/head/day</v>
      </c>
      <c r="AI132" s="2"/>
      <c r="AJ132" s="2"/>
    </row>
    <row r="133" spans="4:36" ht="20.100000000000001" customHeight="1" x14ac:dyDescent="0.25">
      <c r="D133" s="52" t="s">
        <v>174</v>
      </c>
      <c r="E133" s="52">
        <f>((E86 * (1 - E117) + (0.04 * E86)) * (1 - $I$110))</f>
        <v>2.9276791264000002</v>
      </c>
      <c r="F133" s="52">
        <f>((F86 * (1 - F117) + (0.04 * F86)) * (1 - $I$110))</f>
        <v>8.4972684084825598</v>
      </c>
      <c r="G133" s="52">
        <f>((G86 * (1 - G117) + (0.04 * G86)) * (1 - $I$110))</f>
        <v>2.6690305649817603</v>
      </c>
      <c r="H133" s="52">
        <f>((H86 * (1 - H117) + (0.04 * H86)) * (1 - $I$110))</f>
        <v>5.4252657643203923</v>
      </c>
      <c r="I133" s="52">
        <f>((I86 * (1 - I117) + (0.04 * I86)) * (1 - $I$110))</f>
        <v>6.0569464992069593</v>
      </c>
      <c r="J133" s="52">
        <f>((J86 * (1 - J117) + (0.04 * J86)) * (1 - $I$110))</f>
        <v>6.0569464992069593</v>
      </c>
      <c r="K133" s="52">
        <f>((K86 * (1 - K117) + (0.04 * K86)) * (1 - $I$110))</f>
        <v>2.9276791264000002</v>
      </c>
      <c r="L133" s="52">
        <f>((L86 * (1 - L117) + (0.04 * L86)) * (1 - $I$110))</f>
        <v>5.3152730226265614</v>
      </c>
      <c r="M133" s="52">
        <f>((M86 * (1 - M117) + (0.04 * M86)) * (1 - $I$110))</f>
        <v>5.3152730226265614</v>
      </c>
      <c r="N133" s="52">
        <f>((N86 * (1 - N117) + (0.04 * N86)) * (1 - $I$110))</f>
        <v>5.3152730226265614</v>
      </c>
      <c r="O133" s="2" t="str">
        <f t="shared" si="4"/>
        <v>kg/head/day</v>
      </c>
      <c r="P133" s="2"/>
      <c r="Q133" s="2"/>
      <c r="R133" s="2"/>
      <c r="S133" s="2"/>
      <c r="W133" s="52" t="str">
        <f t="shared" si="5"/>
        <v>March 2024</v>
      </c>
      <c r="X133" s="52">
        <f>((X78 * (1 - X117) + (0.04 * X78)) * (1 - $I$110))</f>
        <v>2.9276791264000002</v>
      </c>
      <c r="Y133" s="52">
        <f>((Y78 * (1 - Y117) + (0.04 * Y78)) * (1 - $I$110))</f>
        <v>8.4972684084825598</v>
      </c>
      <c r="Z133" s="52">
        <f>((Z78 * (1 - Z117) + (0.04 * Z78)) * (1 - $I$110))</f>
        <v>2.6690305649817603</v>
      </c>
      <c r="AA133" s="52">
        <f>((AA78 * (1 - AA117) + (0.04 * AA78)) * (1 - $I$110))</f>
        <v>5.3715502617033586</v>
      </c>
      <c r="AB133" s="52">
        <f>((AB78 * (1 - AB117) + (0.04 * AB78)) * (1 - $I$110))</f>
        <v>6.0569464992069593</v>
      </c>
      <c r="AC133" s="52">
        <f>((AC78 * (1 - AC117) + (0.04 * AC78)) * (1 - $I$110))</f>
        <v>6.0569464992069593</v>
      </c>
      <c r="AD133" s="52">
        <f>((AD78 * (1 - AD117) + (0.04 * AD78)) * (1 - $I$110))</f>
        <v>2.9276791264000002</v>
      </c>
      <c r="AE133" s="52">
        <f>((AE78 * (1 - AE117) + (0.04 * AE78)) * (1 - $I$110))</f>
        <v>5.3152730226265614</v>
      </c>
      <c r="AF133" s="52">
        <f>((AF78 * (1 - AF117) + (0.04 * AF78)) * (1 - $I$110))</f>
        <v>5.3152730226265614</v>
      </c>
      <c r="AG133" s="52">
        <f>((AG78 * (1 - AG117) + (0.04 * AG78)) * (1 - $I$110))</f>
        <v>5.3152730226265614</v>
      </c>
      <c r="AH133" s="2" t="str">
        <f t="shared" si="3"/>
        <v>kg/head/day</v>
      </c>
      <c r="AI133" s="2"/>
      <c r="AJ133" s="2"/>
    </row>
    <row r="134" spans="4:36" ht="20.100000000000001" customHeight="1" x14ac:dyDescent="0.25">
      <c r="D134" s="52" t="s">
        <v>175</v>
      </c>
      <c r="E134" s="52">
        <f>((E87 * (1 - E118) + (0.04 * E87)) * (1 - $I$110))</f>
        <v>3.9667036115716807</v>
      </c>
      <c r="F134" s="52">
        <f>((F87 * (1 - F118) + (0.04 * F87)) * (1 - $I$110))</f>
        <v>7.7085709501919997</v>
      </c>
      <c r="G134" s="52">
        <f>((G87 * (1 - G118) + (0.04 * G87)) * (1 - $I$110))</f>
        <v>3.2478504259320009</v>
      </c>
      <c r="H134" s="52">
        <f>((H87 * (1 - H118) + (0.04 * H87)) * (1 - $I$110))</f>
        <v>5.5430266006585027</v>
      </c>
      <c r="I134" s="52">
        <f>((I87 * (1 - I118) + (0.04 * I87)) * (1 - $I$110))</f>
        <v>7.0674068042808713</v>
      </c>
      <c r="J134" s="52">
        <f>((J87 * (1 - J118) + (0.04 * J87)) * (1 - $I$110))</f>
        <v>7.0674068042808713</v>
      </c>
      <c r="K134" s="52">
        <f>((K87 * (1 - K118) + (0.04 * K87)) * (1 - $I$110))</f>
        <v>3.4870808063044789</v>
      </c>
      <c r="L134" s="52">
        <f>((L87 * (1 - L118) + (0.04 * L87)) * (1 - $I$110))</f>
        <v>5.3090206067404795</v>
      </c>
      <c r="M134" s="52">
        <f>((M87 * (1 - M118) + (0.04 * M87)) * (1 - $I$110))</f>
        <v>5.3090206067404795</v>
      </c>
      <c r="N134" s="52">
        <f>((N87 * (1 - N118) + (0.04 * N87)) * (1 - $I$110))</f>
        <v>5.3090206067404795</v>
      </c>
      <c r="O134" s="2" t="str">
        <f t="shared" si="4"/>
        <v>kg/head/day</v>
      </c>
      <c r="P134" s="2"/>
      <c r="Q134" s="2"/>
      <c r="R134" s="2"/>
      <c r="S134" s="2"/>
      <c r="W134" s="52" t="str">
        <f t="shared" si="5"/>
        <v>April 2024</v>
      </c>
      <c r="X134" s="52">
        <f>((X79 * (1 - X118) + (0.04 * X79)) * (1 - $I$110))</f>
        <v>2.9276791264000002</v>
      </c>
      <c r="Y134" s="52">
        <f>((Y79 * (1 - Y118) + (0.04 * Y79)) * (1 - $I$110))</f>
        <v>8.4972684084825598</v>
      </c>
      <c r="Z134" s="52">
        <f>((Z79 * (1 - Z118) + (0.04 * Z79)) * (1 - $I$110))</f>
        <v>2.6690305649817603</v>
      </c>
      <c r="AA134" s="52">
        <f>((AA79 * (1 - AA118) + (0.04 * AA79)) * (1 - $I$110))</f>
        <v>5.3715502617033586</v>
      </c>
      <c r="AB134" s="52">
        <f>((AB79 * (1 - AB118) + (0.04 * AB79)) * (1 - $I$110))</f>
        <v>6.0569464992069593</v>
      </c>
      <c r="AC134" s="52">
        <f>((AC79 * (1 - AC118) + (0.04 * AC79)) * (1 - $I$110))</f>
        <v>6.0569464992069593</v>
      </c>
      <c r="AD134" s="52">
        <f>((AD79 * (1 - AD118) + (0.04 * AD79)) * (1 - $I$110))</f>
        <v>2.9276791264000002</v>
      </c>
      <c r="AE134" s="52">
        <f>((AE79 * (1 - AE118) + (0.04 * AE79)) * (1 - $I$110))</f>
        <v>5.3152730226265614</v>
      </c>
      <c r="AF134" s="52">
        <f>((AF79 * (1 - AF118) + (0.04 * AF79)) * (1 - $I$110))</f>
        <v>5.3152730226265614</v>
      </c>
      <c r="AG134" s="52">
        <f>((AG79 * (1 - AG118) + (0.04 * AG79)) * (1 - $I$110))</f>
        <v>5.3152730226265614</v>
      </c>
      <c r="AH134" s="2" t="str">
        <f t="shared" si="3"/>
        <v>kg/head/day</v>
      </c>
      <c r="AI134" s="2"/>
      <c r="AJ134" s="2"/>
    </row>
    <row r="135" spans="4:36" ht="20.100000000000001" customHeight="1" x14ac:dyDescent="0.25">
      <c r="W135" s="52" t="str">
        <f t="shared" si="5"/>
        <v>May 2024</v>
      </c>
      <c r="X135" s="52">
        <f>((X80 * (1 - X119) + (0.04 * X80)) * (1 - $I$110))</f>
        <v>2.9276791264000002</v>
      </c>
      <c r="Y135" s="52">
        <f>((Y80 * (1 - Y119) + (0.04 * Y80)) * (1 - $I$110))</f>
        <v>8.4972684084825598</v>
      </c>
      <c r="Z135" s="52">
        <f>((Z80 * (1 - Z119) + (0.04 * Z80)) * (1 - $I$110))</f>
        <v>2.6690305649817603</v>
      </c>
      <c r="AA135" s="52">
        <f>((AA80 * (1 - AA119) + (0.04 * AA80)) * (1 - $I$110))</f>
        <v>5.3715502617033586</v>
      </c>
      <c r="AB135" s="52">
        <f>((AB80 * (1 - AB119) + (0.04 * AB80)) * (1 - $I$110))</f>
        <v>6.0569464992069593</v>
      </c>
      <c r="AC135" s="52">
        <f>((AC80 * (1 - AC119) + (0.04 * AC80)) * (1 - $I$110))</f>
        <v>6.0569464992069593</v>
      </c>
      <c r="AD135" s="52">
        <f>((AD80 * (1 - AD119) + (0.04 * AD80)) * (1 - $I$110))</f>
        <v>2.9276791264000002</v>
      </c>
      <c r="AE135" s="52">
        <f>((AE80 * (1 - AE119) + (0.04 * AE80)) * (1 - $I$110))</f>
        <v>5.3152730226265614</v>
      </c>
      <c r="AF135" s="52">
        <f>((AF80 * (1 - AF119) + (0.04 * AF80)) * (1 - $I$110))</f>
        <v>5.3152730226265614</v>
      </c>
      <c r="AG135" s="52">
        <f>((AG80 * (1 - AG119) + (0.04 * AG80)) * (1 - $I$110))</f>
        <v>5.3152730226265614</v>
      </c>
      <c r="AH135" s="2" t="str">
        <f t="shared" si="3"/>
        <v>kg/head/day</v>
      </c>
      <c r="AI135" s="2"/>
      <c r="AJ135" s="2"/>
    </row>
    <row r="136" spans="4:36" ht="20.100000000000001" customHeight="1" x14ac:dyDescent="0.25">
      <c r="W136" s="52" t="str">
        <f t="shared" si="5"/>
        <v>June 2024</v>
      </c>
      <c r="X136" s="52">
        <f>((X81 * (1 - X120) + (0.04 * X81)) * (1 - $I$110))</f>
        <v>3.9667036115716807</v>
      </c>
      <c r="Y136" s="52">
        <f>((Y81 * (1 - Y120) + (0.04 * Y81)) * (1 - $I$110))</f>
        <v>7.7085709501919997</v>
      </c>
      <c r="Z136" s="52">
        <f>((Z81 * (1 - Z120) + (0.04 * Z81)) * (1 - $I$110))</f>
        <v>3.2478504259320009</v>
      </c>
      <c r="AA136" s="52">
        <f>((AA81 * (1 - AA120) + (0.04 * AA81)) * (1 - $I$110))</f>
        <v>4.581013719552482</v>
      </c>
      <c r="AB136" s="52">
        <f>((AB81 * (1 - AB120) + (0.04 * AB81)) * (1 - $I$110))</f>
        <v>6.1455711341572794</v>
      </c>
      <c r="AC136" s="52">
        <f>((AC81 * (1 - AC120) + (0.04 * AC81)) * (1 - $I$110))</f>
        <v>6.1455711341572794</v>
      </c>
      <c r="AD136" s="52">
        <f>((AD81 * (1 - AD120) + (0.04 * AD81)) * (1 - $I$110))</f>
        <v>3.4870808063044789</v>
      </c>
      <c r="AE136" s="52">
        <f>((AE81 * (1 - AE120) + (0.04 * AE81)) * (1 - $I$110))</f>
        <v>5.3090206067404795</v>
      </c>
      <c r="AF136" s="52">
        <f>((AF81 * (1 - AF120) + (0.04 * AF81)) * (1 - $I$110))</f>
        <v>5.3090206067404795</v>
      </c>
      <c r="AG136" s="52">
        <f>((AG81 * (1 - AG120) + (0.04 * AG81)) * (1 - $I$110))</f>
        <v>5.3090206067404795</v>
      </c>
      <c r="AH136" s="2" t="str">
        <f t="shared" si="3"/>
        <v>kg/head/day</v>
      </c>
      <c r="AI136" s="2"/>
      <c r="AJ136" s="2"/>
    </row>
    <row r="137" spans="4:36" ht="20.100000000000001" customHeight="1" x14ac:dyDescent="0.25">
      <c r="W137" s="52" t="str">
        <f t="shared" si="5"/>
        <v>July 2024</v>
      </c>
      <c r="X137" s="52">
        <f>((X82 * (1 - X121) + (0.04 * X82)) * (1 - $I$110))</f>
        <v>3.9667036115716807</v>
      </c>
      <c r="Y137" s="52">
        <f>((Y82 * (1 - Y121) + (0.04 * Y82)) * (1 - $I$110))</f>
        <v>7.7085709501919997</v>
      </c>
      <c r="Z137" s="52">
        <f>((Z82 * (1 - Z121) + (0.04 * Z82)) * (1 - $I$110))</f>
        <v>3.2478504259320009</v>
      </c>
      <c r="AA137" s="52">
        <f>((AA82 * (1 - AA121) + (0.04 * AA82)) * (1 - $I$110))</f>
        <v>4.581013719552482</v>
      </c>
      <c r="AB137" s="52">
        <f>((AB82 * (1 - AB121) + (0.04 * AB82)) * (1 - $I$110))</f>
        <v>6.1455711341572794</v>
      </c>
      <c r="AC137" s="52">
        <f>((AC82 * (1 - AC121) + (0.04 * AC82)) * (1 - $I$110))</f>
        <v>6.1455711341572794</v>
      </c>
      <c r="AD137" s="52">
        <f>((AD82 * (1 - AD121) + (0.04 * AD82)) * (1 - $I$110))</f>
        <v>3.4870808063044789</v>
      </c>
      <c r="AE137" s="52">
        <f>((AE82 * (1 - AE121) + (0.04 * AE82)) * (1 - $I$110))</f>
        <v>5.3090206067404795</v>
      </c>
      <c r="AF137" s="52">
        <f>((AF82 * (1 - AF121) + (0.04 * AF82)) * (1 - $I$110))</f>
        <v>5.3090206067404795</v>
      </c>
      <c r="AG137" s="52">
        <f>((AG82 * (1 - AG121) + (0.04 * AG82)) * (1 - $I$110))</f>
        <v>5.3090206067404795</v>
      </c>
      <c r="AH137" s="2" t="str">
        <f t="shared" si="3"/>
        <v>kg/head/day</v>
      </c>
      <c r="AI137" s="2"/>
      <c r="AJ137" s="2"/>
    </row>
    <row r="138" spans="4:36" ht="20.100000000000001" customHeight="1" x14ac:dyDescent="0.25">
      <c r="W138" s="52" t="str">
        <f t="shared" si="5"/>
        <v>August 2024</v>
      </c>
      <c r="X138" s="52">
        <f>((X83 * (1 - X122) + (0.04 * X83)) * (1 - $I$110))</f>
        <v>3.9667036115716807</v>
      </c>
      <c r="Y138" s="52">
        <f>((Y83 * (1 - Y122) + (0.04 * Y83)) * (1 - $I$110))</f>
        <v>7.7085709501919997</v>
      </c>
      <c r="Z138" s="52">
        <f>((Z83 * (1 - Z122) + (0.04 * Z83)) * (1 - $I$110))</f>
        <v>3.2478504259320009</v>
      </c>
      <c r="AA138" s="52">
        <f>((AA83 * (1 - AA122) + (0.04 * AA83)) * (1 - $I$110))</f>
        <v>5.6117418064517919</v>
      </c>
      <c r="AB138" s="52">
        <f>((AB83 * (1 - AB122) + (0.04 * AB83)) * (1 - $I$110))</f>
        <v>7.5283246393426682</v>
      </c>
      <c r="AC138" s="52">
        <f>((AC83 * (1 - AC122) + (0.04 * AC83)) * (1 - $I$110))</f>
        <v>7.5283246393426682</v>
      </c>
      <c r="AD138" s="52">
        <f>((AD83 * (1 - AD122) + (0.04 * AD83)) * (1 - $I$110))</f>
        <v>3.4870808063044789</v>
      </c>
      <c r="AE138" s="52">
        <f>((AE83 * (1 - AE122) + (0.04 * AE83)) * (1 - $I$110))</f>
        <v>5.3090206067404795</v>
      </c>
      <c r="AF138" s="52">
        <f>((AF83 * (1 - AF122) + (0.04 * AF83)) * (1 - $I$110))</f>
        <v>5.3090206067404795</v>
      </c>
      <c r="AG138" s="52">
        <f>((AG83 * (1 - AG122) + (0.04 * AG83)) * (1 - $I$110))</f>
        <v>5.3090206067404795</v>
      </c>
      <c r="AH138" s="2" t="str">
        <f t="shared" si="3"/>
        <v>kg/head/day</v>
      </c>
      <c r="AI138" s="2"/>
      <c r="AJ138" s="2"/>
    </row>
    <row r="139" spans="4:36" ht="20.100000000000001" customHeight="1" x14ac:dyDescent="0.25">
      <c r="W139" s="52" t="str">
        <f t="shared" si="5"/>
        <v>September 2024</v>
      </c>
      <c r="X139" s="52">
        <f>((X84 * (1 - X123) + (0.04 * X84)) * (1 - $I$110))</f>
        <v>6.7008751750348807</v>
      </c>
      <c r="Y139" s="52">
        <f>((Y84 * (1 - Y123) + (0.04 * Y84)) * (1 - $I$110))</f>
        <v>9.4640953932000045</v>
      </c>
      <c r="Z139" s="52">
        <f>((Z84 * (1 - Z123) + (0.04 * Z84)) * (1 - $I$110))</f>
        <v>5.1074052339844807</v>
      </c>
      <c r="AA139" s="52">
        <f>((AA84 * (1 - AA123) + (0.04 * AA84)) * (1 - $I$110))</f>
        <v>8.2106350665466703</v>
      </c>
      <c r="AB139" s="52">
        <f>((AB84 * (1 - AB123) + (0.04 * AB84)) * (1 - $I$110))</f>
        <v>9.1175617580208037</v>
      </c>
      <c r="AC139" s="52">
        <f>((AC84 * (1 - AC123) + (0.04 * AC84)) * (1 - $I$110))</f>
        <v>9.1175617580208037</v>
      </c>
      <c r="AD139" s="52">
        <f>((AD84 * (1 - AD123) + (0.04 * AD84)) * (1 - $I$110))</f>
        <v>5.8881611063519994</v>
      </c>
      <c r="AE139" s="52">
        <f>((AE84 * (1 - AE123) + (0.04 * AE84)) * (1 - $I$110))</f>
        <v>7.4825803240876798</v>
      </c>
      <c r="AF139" s="52">
        <f>((AF84 * (1 - AF123) + (0.04 * AF84)) * (1 - $I$110))</f>
        <v>7.4825803240876798</v>
      </c>
      <c r="AG139" s="52">
        <f>((AG84 * (1 - AG123) + (0.04 * AG84)) * (1 - $I$110))</f>
        <v>7.4825803240876798</v>
      </c>
      <c r="AH139" s="2" t="str">
        <f t="shared" si="3"/>
        <v>kg/head/day</v>
      </c>
      <c r="AI139" s="2"/>
      <c r="AJ139" s="2"/>
    </row>
    <row r="140" spans="4:36" ht="20.100000000000001" customHeight="1" x14ac:dyDescent="0.25">
      <c r="W140" s="52" t="str">
        <f t="shared" si="5"/>
        <v>October 2024</v>
      </c>
      <c r="X140" s="52">
        <f>((X85 * (1 - X124) + (0.04 * X85)) * (1 - $I$110))</f>
        <v>6.7008751750348807</v>
      </c>
      <c r="Y140" s="52">
        <f>((Y85 * (1 - Y124) + (0.04 * Y85)) * (1 - $I$110))</f>
        <v>9.4640953932000045</v>
      </c>
      <c r="Z140" s="52">
        <f>((Z85 * (1 - Z124) + (0.04 * Z85)) * (1 - $I$110))</f>
        <v>5.1074052339844807</v>
      </c>
      <c r="AA140" s="52">
        <f>((AA85 * (1 - AA124) + (0.04 * AA85)) * (1 - $I$110))</f>
        <v>8.2106350665466703</v>
      </c>
      <c r="AB140" s="52">
        <f>((AB85 * (1 - AB124) + (0.04 * AB85)) * (1 - $I$110))</f>
        <v>9.1175617580208037</v>
      </c>
      <c r="AC140" s="52">
        <f>((AC85 * (1 - AC124) + (0.04 * AC85)) * (1 - $I$110))</f>
        <v>9.1175617580208037</v>
      </c>
      <c r="AD140" s="52">
        <f>((AD85 * (1 - AD124) + (0.04 * AD85)) * (1 - $I$110))</f>
        <v>5.8881611063519994</v>
      </c>
      <c r="AE140" s="52">
        <f>((AE85 * (1 - AE124) + (0.04 * AE85)) * (1 - $I$110))</f>
        <v>7.4825803240876798</v>
      </c>
      <c r="AF140" s="52">
        <f>((AF85 * (1 - AF124) + (0.04 * AF85)) * (1 - $I$110))</f>
        <v>7.4825803240876798</v>
      </c>
      <c r="AG140" s="52">
        <f>((AG85 * (1 - AG124) + (0.04 * AG85)) * (1 - $I$110))</f>
        <v>7.4825803240876798</v>
      </c>
      <c r="AH140" s="2" t="str">
        <f t="shared" si="3"/>
        <v>kg/head/day</v>
      </c>
      <c r="AI140" s="2"/>
      <c r="AJ140" s="2"/>
    </row>
    <row r="141" spans="4:36" ht="20.100000000000001" customHeight="1" x14ac:dyDescent="0.25">
      <c r="W141" s="52" t="str">
        <f t="shared" si="5"/>
        <v>November 2024</v>
      </c>
      <c r="X141" s="52">
        <f>((X86 * (1 - X125) + (0.04 * X86)) * (1 - $I$110))</f>
        <v>6.7008751750348807</v>
      </c>
      <c r="Y141" s="52">
        <f>((Y86 * (1 - Y125) + (0.04 * Y86)) * (1 - $I$110))</f>
        <v>9.4640953932000045</v>
      </c>
      <c r="Z141" s="52">
        <f>((Z86 * (1 - Z125) + (0.04 * Z86)) * (1 - $I$110))</f>
        <v>5.1074052339844807</v>
      </c>
      <c r="AA141" s="52">
        <f>((AA86 * (1 - AA125) + (0.04 * AA86)) * (1 - $I$110))</f>
        <v>7.2052511808470792</v>
      </c>
      <c r="AB141" s="52">
        <f>((AB86 * (1 - AB125) + (0.04 * AB86)) * (1 - $I$110))</f>
        <v>8.0011256243856028</v>
      </c>
      <c r="AC141" s="52">
        <f>((AC86 * (1 - AC125) + (0.04 * AC86)) * (1 - $I$110))</f>
        <v>8.0011256243856028</v>
      </c>
      <c r="AD141" s="52">
        <f>((AD86 * (1 - AD125) + (0.04 * AD86)) * (1 - $I$110))</f>
        <v>5.8881611063519994</v>
      </c>
      <c r="AE141" s="52">
        <f>((AE86 * (1 - AE125) + (0.04 * AE86)) * (1 - $I$110))</f>
        <v>7.4825803240876798</v>
      </c>
      <c r="AF141" s="52">
        <f>((AF86 * (1 - AF125) + (0.04 * AF86)) * (1 - $I$110))</f>
        <v>7.4825803240876798</v>
      </c>
      <c r="AG141" s="52">
        <f>((AG86 * (1 - AG125) + (0.04 * AG86)) * (1 - $I$110))</f>
        <v>7.4825803240876798</v>
      </c>
      <c r="AH141" s="2" t="str">
        <f t="shared" si="3"/>
        <v>kg/head/day</v>
      </c>
      <c r="AI141" s="2"/>
      <c r="AJ141" s="2"/>
    </row>
    <row r="142" spans="4:36" ht="20.100000000000001" customHeight="1" x14ac:dyDescent="0.25">
      <c r="W142" s="52" t="str">
        <f t="shared" si="5"/>
        <v>December 2024</v>
      </c>
      <c r="X142" s="52">
        <f>((X87 * (1 - X126) + (0.04 * X87)) * (1 - $I$110))</f>
        <v>6.2463501247103963</v>
      </c>
      <c r="Y142" s="52">
        <f>((Y87 * (1 - Y126) + (0.04 * Y87)) * (1 - $I$110))</f>
        <v>8.2645387591464008</v>
      </c>
      <c r="Z142" s="52">
        <f>((Z87 * (1 - Z126) + (0.04 * Z87)) * (1 - $I$110))</f>
        <v>5.2530393974399985</v>
      </c>
      <c r="AA142" s="52">
        <f>((AA87 * (1 - AA126) + (0.04 * AA87)) * (1 - $I$110))</f>
        <v>7.3947749729838765</v>
      </c>
      <c r="AB142" s="52">
        <f>((AB87 * (1 - AB126) + (0.04 * AB87)) * (1 - $I$110))</f>
        <v>7.3217320363288785</v>
      </c>
      <c r="AC142" s="52">
        <f>((AC87 * (1 - AC126) + (0.04 * AC87)) * (1 - $I$110))</f>
        <v>7.3217320363288785</v>
      </c>
      <c r="AD142" s="52">
        <f>((AD87 * (1 - AD126) + (0.04 * AD87)) * (1 - $I$110))</f>
        <v>5.7575981375104002</v>
      </c>
      <c r="AE142" s="52">
        <f>((AE87 * (1 - AE126) + (0.04 * AE87)) * (1 - $I$110))</f>
        <v>6.4178433863514002</v>
      </c>
      <c r="AF142" s="52">
        <f>((AF87 * (1 - AF126) + (0.04 * AF87)) * (1 - $I$110))</f>
        <v>6.4178433863514002</v>
      </c>
      <c r="AG142" s="52">
        <f>((AG87 * (1 - AG126) + (0.04 * AG87)) * (1 - $I$110))</f>
        <v>6.4178433863514002</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
        <v>397</v>
      </c>
    </row>
    <row r="147" spans="3:37" ht="20.100000000000001" customHeight="1" x14ac:dyDescent="0.25">
      <c r="D147" s="5" t="s">
        <v>398</v>
      </c>
    </row>
    <row r="148" spans="3:37" ht="20.100000000000001" customHeight="1" x14ac:dyDescent="0.25">
      <c r="D148" s="13"/>
      <c r="E148" s="13"/>
    </row>
    <row r="149" spans="3:37" ht="20.100000000000001" customHeight="1" x14ac:dyDescent="0.25"/>
    <row r="150" spans="3:37" ht="20.100000000000001" customHeight="1" x14ac:dyDescent="0.25"/>
    <row r="151" spans="3:37" ht="20.100000000000001" customHeight="1" x14ac:dyDescent="0.25">
      <c r="D151" s="53" t="s">
        <v>29</v>
      </c>
      <c r="E151" s="1" t="s">
        <v>399</v>
      </c>
    </row>
    <row r="152" spans="3:37" ht="20.100000000000001" customHeight="1" x14ac:dyDescent="0.25">
      <c r="D152" s="53" t="s">
        <v>20</v>
      </c>
      <c r="E152" s="54" t="s">
        <v>400</v>
      </c>
    </row>
    <row r="153" spans="3:37" ht="20.100000000000001" customHeight="1" x14ac:dyDescent="0.25"/>
    <row r="154" spans="3:37" ht="20.100000000000001" customHeight="1" x14ac:dyDescent="0.25">
      <c r="D154" s="121" t="s">
        <v>390</v>
      </c>
      <c r="E154" s="126" t="s">
        <v>401</v>
      </c>
      <c r="F154" s="125"/>
      <c r="G154" s="121" t="s">
        <v>413</v>
      </c>
      <c r="H154" s="122" t="s">
        <v>414</v>
      </c>
      <c r="I154" s="120" t="str" cm="1">
        <f t="array" aca="1" ref="I154" ca="1">HYPERLINK(Common_InputFunctions.Utility_SourceHyperlink($D$128), $D$128)</f>
        <v>M1_Table_VS_j_k_l</v>
      </c>
    </row>
    <row r="155" spans="3:37" ht="20.100000000000001" customHeight="1" x14ac:dyDescent="0.25">
      <c r="D155" s="121" t="s">
        <v>402</v>
      </c>
      <c r="E155" s="126" t="s">
        <v>403</v>
      </c>
      <c r="F155" s="125"/>
      <c r="G155" s="121" t="s">
        <v>415</v>
      </c>
      <c r="H155" s="122" t="s">
        <v>376</v>
      </c>
      <c r="I155" s="121">
        <f>'Constants - Pature Beef'!$D$428</f>
        <v>0.19</v>
      </c>
    </row>
    <row r="156" spans="3:37" ht="20.100000000000001" customHeight="1" x14ac:dyDescent="0.25">
      <c r="D156" s="121" t="s">
        <v>404</v>
      </c>
      <c r="E156" s="126" t="s">
        <v>405</v>
      </c>
      <c r="F156" s="125"/>
      <c r="G156" s="121" t="s">
        <v>140</v>
      </c>
      <c r="H156" s="123" t="s">
        <v>375</v>
      </c>
      <c r="I156" s="120" t="str" cm="1">
        <f t="array" aca="1" ref="I156" ca="1">HYPERLINK(Common_InputFunctions.Utility_SourceHyperlink($D$162), $D$162)</f>
        <v>Table_MMS_m</v>
      </c>
    </row>
    <row r="157" spans="3:37" ht="20.100000000000001" customHeight="1" x14ac:dyDescent="0.25">
      <c r="D157" s="121" t="s">
        <v>406</v>
      </c>
      <c r="E157" s="126" t="s">
        <v>407</v>
      </c>
      <c r="F157" s="125"/>
      <c r="G157" s="121" t="s">
        <v>140</v>
      </c>
      <c r="H157" s="122" t="s">
        <v>376</v>
      </c>
      <c r="I157" s="120" t="str" cm="1">
        <f t="array" aca="1" ref="I157" ca="1">HYPERLINK(Common_InputFunctions.Utility_SourceHyperlink($D$168), $D$168)</f>
        <v>M1_Table_MCF_i_m</v>
      </c>
    </row>
    <row r="158" spans="3:37" ht="20.100000000000001" customHeight="1" x14ac:dyDescent="0.25">
      <c r="D158" s="121" t="s">
        <v>408</v>
      </c>
      <c r="E158" s="126" t="s">
        <v>409</v>
      </c>
      <c r="F158" s="125"/>
      <c r="G158" s="121" t="s">
        <v>416</v>
      </c>
      <c r="H158" s="122" t="s">
        <v>376</v>
      </c>
      <c r="I158" s="121">
        <f>'Constants - Common'!$D$175</f>
        <v>0.6784</v>
      </c>
    </row>
    <row r="159" spans="3:37" ht="20.100000000000001" customHeight="1" x14ac:dyDescent="0.25">
      <c r="D159" s="121" t="s">
        <v>410</v>
      </c>
      <c r="E159" s="126" t="s">
        <v>411</v>
      </c>
      <c r="F159" s="125"/>
      <c r="G159" s="121"/>
      <c r="H159" s="123" t="s">
        <v>375</v>
      </c>
      <c r="I159" s="121" t="str">
        <f>'Input - Pasture Beef'!$E$7</f>
        <v>Western Australia</v>
      </c>
    </row>
    <row r="160" spans="3:37" ht="20.100000000000001" customHeight="1" x14ac:dyDescent="0.25">
      <c r="D160" s="121" t="s">
        <v>410</v>
      </c>
      <c r="E160" s="126" t="s">
        <v>412</v>
      </c>
      <c r="F160" s="125"/>
      <c r="G160" s="121"/>
      <c r="H160" s="123" t="s">
        <v>375</v>
      </c>
      <c r="I160" s="121" t="str">
        <f>'Input - Pasture Beef'!$E$8</f>
        <v>South West</v>
      </c>
    </row>
    <row r="161" spans="4:34" ht="20.100000000000001" customHeight="1" x14ac:dyDescent="0.25"/>
    <row r="162" spans="4:34" ht="20.100000000000001" customHeight="1" x14ac:dyDescent="0.25">
      <c r="D162" s="99" t="s">
        <v>268</v>
      </c>
    </row>
    <row r="163" spans="4:34" ht="20.100000000000001" customHeight="1" x14ac:dyDescent="0.25">
      <c r="D163" s="98" t="s">
        <v>267</v>
      </c>
      <c r="X163" s="1" t="str">
        <f>'Input - Site'!E33</f>
        <v>Temperate</v>
      </c>
    </row>
    <row r="164" spans="4:34" ht="20.100000000000001" customHeight="1" x14ac:dyDescent="0.25">
      <c r="D164" s="51" t="s">
        <v>67</v>
      </c>
      <c r="E164" s="124" t="s">
        <v>348</v>
      </c>
      <c r="F164" s="2" t="s">
        <v>140</v>
      </c>
    </row>
    <row r="165" spans="4:34" ht="20.100000000000001" customHeight="1" x14ac:dyDescent="0.25">
      <c r="D165" s="52" t="str">
        <f>'Input - Pasture Beef'!$D$179</f>
        <v>Pasture range and paddock</v>
      </c>
      <c r="E165" s="52">
        <f>'Input - Pasture Beef'!$E$179</f>
        <v>0.99621999999999999</v>
      </c>
      <c r="F165" s="2" t="s">
        <v>140</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9" t="s">
        <v>144</v>
      </c>
      <c r="W168" s="99" t="s">
        <v>144</v>
      </c>
    </row>
    <row r="169" spans="4:34" ht="20.100000000000001" customHeight="1" x14ac:dyDescent="0.25">
      <c r="D169" s="98" t="s">
        <v>269</v>
      </c>
      <c r="W169" s="98" t="s">
        <v>269</v>
      </c>
    </row>
    <row r="170" spans="4:34" ht="20.100000000000001" customHeight="1" x14ac:dyDescent="0.25">
      <c r="D170" s="51" t="s">
        <v>67</v>
      </c>
      <c r="E170" s="51" t="s">
        <v>98</v>
      </c>
      <c r="W170" s="51" t="s">
        <v>67</v>
      </c>
      <c r="X170" s="51" t="s">
        <v>98</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Common_InputFunctions.Common_GetMCFTemperatureZone($X$163,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Common_InputFunctions.Common_GetMCFTemperatureZone($X$163,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9" t="s">
        <v>270</v>
      </c>
      <c r="W174" s="99" t="s">
        <v>272</v>
      </c>
    </row>
    <row r="175" spans="4:34" ht="20.100000000000001" customHeight="1" x14ac:dyDescent="0.25">
      <c r="D175" s="98" t="s">
        <v>271</v>
      </c>
      <c r="W175" s="98" t="s">
        <v>273</v>
      </c>
    </row>
    <row r="176" spans="4:34" ht="20.100000000000001" customHeight="1" x14ac:dyDescent="0.25">
      <c r="D176" s="51" t="s">
        <v>67</v>
      </c>
      <c r="E176" s="51" t="s">
        <v>183</v>
      </c>
      <c r="F176" s="51" t="s">
        <v>130</v>
      </c>
      <c r="G176" s="51" t="s">
        <v>129</v>
      </c>
      <c r="H176" s="51" t="s">
        <v>164</v>
      </c>
      <c r="I176" s="51" t="s">
        <v>165</v>
      </c>
      <c r="J176" s="51" t="s">
        <v>166</v>
      </c>
      <c r="K176" s="51" t="s">
        <v>167</v>
      </c>
      <c r="L176" s="51" t="s">
        <v>168</v>
      </c>
      <c r="M176" s="51" t="s">
        <v>169</v>
      </c>
      <c r="N176" s="51" t="s">
        <v>170</v>
      </c>
      <c r="O176" s="51" t="s">
        <v>171</v>
      </c>
      <c r="W176" s="51" t="s">
        <v>67</v>
      </c>
      <c r="X176" s="51" t="s">
        <v>131</v>
      </c>
      <c r="Y176" s="51" t="s">
        <v>130</v>
      </c>
      <c r="Z176" s="51" t="s">
        <v>129</v>
      </c>
      <c r="AA176" s="51" t="s">
        <v>164</v>
      </c>
      <c r="AB176" s="51" t="s">
        <v>165</v>
      </c>
      <c r="AC176" s="51" t="s">
        <v>166</v>
      </c>
      <c r="AD176" s="51" t="s">
        <v>167</v>
      </c>
      <c r="AE176" s="51" t="s">
        <v>168</v>
      </c>
      <c r="AF176" s="51" t="s">
        <v>169</v>
      </c>
      <c r="AG176" s="51" t="s">
        <v>170</v>
      </c>
      <c r="AH176" s="51" t="s">
        <v>171</v>
      </c>
    </row>
    <row r="177" spans="4:36" ht="20.100000000000001" customHeight="1" x14ac:dyDescent="0.25">
      <c r="D177" s="52" t="str">
        <f>'Input - Pasture Beef'!$D$179</f>
        <v>Pasture range and paddock</v>
      </c>
      <c r="E177" s="52" t="s">
        <v>172</v>
      </c>
      <c r="F177" s="52">
        <f>(E131 * $I$155 * $E$165 * $E$171 * $I$158)</f>
        <v>4.0441204522655228E-3</v>
      </c>
      <c r="G177" s="52">
        <f>(F131 * $I$155 * $E$165 * $E$171 * $I$158)</f>
        <v>5.711782527217847E-3</v>
      </c>
      <c r="H177" s="52">
        <f>(G131 * $I$155 * $E$165 * $E$171 * $I$158)</f>
        <v>3.0824275076362846E-3</v>
      </c>
      <c r="I177" s="52">
        <f>(H131 * $I$155 * $E$165 * $E$171 * $I$158)</f>
        <v>4.4496505020243755E-3</v>
      </c>
      <c r="J177" s="52">
        <f>(I131 * $I$155 * $E$165 * $E$171 * $I$158)</f>
        <v>5.2555847188929432E-3</v>
      </c>
      <c r="K177" s="52">
        <f>(J131 * $I$155 * $E$165 * $E$171 * $I$158)</f>
        <v>5.2555847188929432E-3</v>
      </c>
      <c r="L177" s="52">
        <f>(K131 * $I$155 * $E$165 * $E$171 * $I$158)</f>
        <v>3.5536302549179421E-3</v>
      </c>
      <c r="M177" s="52">
        <f>(L131 * $I$155 * $E$165 * $E$171 * $I$158)</f>
        <v>4.5158961081833695E-3</v>
      </c>
      <c r="N177" s="52">
        <f>(M131 * $I$155 * $E$165 * $E$171 * $I$158)</f>
        <v>4.5158961081833695E-3</v>
      </c>
      <c r="O177" s="52">
        <f>(N131 * $I$155 * $E$165 * $E$171 * $I$158)</f>
        <v>4.5158961081833695E-3</v>
      </c>
      <c r="P177" s="2" t="str">
        <f t="shared" ref="P177:P184" si="6">$E$152</f>
        <v>kg CH4/head/day</v>
      </c>
      <c r="Q177" s="2"/>
      <c r="R177" s="2"/>
      <c r="S177" s="2"/>
      <c r="W177" s="52" t="str">
        <f>'Input - Pasture Beef'!$D$179</f>
        <v>Pasture range and paddock</v>
      </c>
      <c r="X177" s="52" t="str">
        <f t="shared" ref="X177:X188" si="7">W131</f>
        <v>January 2024</v>
      </c>
      <c r="Y177" s="52">
        <f>(X131 * $I$155 * $E$165 * $E$171 * $I$158)</f>
        <v>3.7698049331624994E-3</v>
      </c>
      <c r="Z177" s="52">
        <f>(Y131 * $I$155 * $E$165 * $E$171 * $I$158)</f>
        <v>4.9878246275839805E-3</v>
      </c>
      <c r="AA177" s="52">
        <f>(Z131 * $I$155 * $E$165 * $E$171 * $I$158)</f>
        <v>3.1703208176285837E-3</v>
      </c>
      <c r="AB177" s="52">
        <f>(AA131 * $I$155 * $E$165 * $E$171 * $I$158)</f>
        <v>4.4629037143629011E-3</v>
      </c>
      <c r="AC177" s="52">
        <f>(AB131 * $I$155 * $E$165 * $E$171 * $I$158)</f>
        <v>4.4188207511224346E-3</v>
      </c>
      <c r="AD177" s="52">
        <f>(AC131 * $I$155 * $E$165 * $E$171 * $I$158)</f>
        <v>4.4188207511224346E-3</v>
      </c>
      <c r="AE177" s="52">
        <f>(AD131 * $I$155 * $E$165 * $E$171 * $I$158)</f>
        <v>3.4748327308918255E-3</v>
      </c>
      <c r="AF177" s="52">
        <f>(AE131 * $I$155 * $E$165 * $E$171 * $I$158)</f>
        <v>3.8733047579931406E-3</v>
      </c>
      <c r="AG177" s="52">
        <f>(AF131 * $I$155 * $E$165 * $E$171 * $I$158)</f>
        <v>3.8733047579931406E-3</v>
      </c>
      <c r="AH177" s="52">
        <f>(AG131 * $I$155 * $E$165 * $E$171 * $I$158)</f>
        <v>3.8733047579931406E-3</v>
      </c>
      <c r="AI177" s="2" t="str">
        <f t="shared" ref="AI177:AI200" si="8">$E$152</f>
        <v>kg CH4/head/day</v>
      </c>
      <c r="AJ177" s="2"/>
    </row>
    <row r="178" spans="4:36" ht="20.100000000000001" customHeight="1" x14ac:dyDescent="0.25">
      <c r="D178" s="52" t="str">
        <f>'Input - Pasture Beef'!$D$179</f>
        <v>Pasture range and paddock</v>
      </c>
      <c r="E178" s="52" t="s">
        <v>173</v>
      </c>
      <c r="F178" s="52">
        <f>(E132 * $I$155 * $E$165 * $E$171 * $I$158)</f>
        <v>3.7698049331624994E-3</v>
      </c>
      <c r="G178" s="52">
        <f>(F132 * $I$155 * $E$165 * $E$171 * $I$158)</f>
        <v>4.9878246275839805E-3</v>
      </c>
      <c r="H178" s="52">
        <f>(G132 * $I$155 * $E$165 * $E$171 * $I$158)</f>
        <v>3.1703208176285837E-3</v>
      </c>
      <c r="I178" s="52">
        <f>(H132 * $I$155 * $E$165 * $E$171 * $I$158)</f>
        <v>4.3175998724999231E-3</v>
      </c>
      <c r="J178" s="52">
        <f>(I132 * $I$155 * $E$165 * $E$171 * $I$158)</f>
        <v>4.2749521685277519E-3</v>
      </c>
      <c r="K178" s="52">
        <f>(J132 * $I$155 * $E$165 * $E$171 * $I$158)</f>
        <v>4.2749521685277519E-3</v>
      </c>
      <c r="L178" s="52">
        <f>(K132 * $I$155 * $E$165 * $E$171 * $I$158)</f>
        <v>3.4748327308918255E-3</v>
      </c>
      <c r="M178" s="52">
        <f>(L132 * $I$155 * $E$165 * $E$171 * $I$158)</f>
        <v>3.8733047579931406E-3</v>
      </c>
      <c r="N178" s="52">
        <f>(M132 * $I$155 * $E$165 * $E$171 * $I$158)</f>
        <v>3.8733047579931406E-3</v>
      </c>
      <c r="O178" s="52">
        <f>(N132 * $I$155 * $E$165 * $E$171 * $I$158)</f>
        <v>3.8733047579931406E-3</v>
      </c>
      <c r="P178" s="2" t="str">
        <f t="shared" si="6"/>
        <v>kg CH4/head/day</v>
      </c>
      <c r="Q178" s="2"/>
      <c r="R178" s="2"/>
      <c r="S178" s="2"/>
      <c r="W178" s="52" t="str">
        <f>'Input - Pasture Beef'!$D$179</f>
        <v>Pasture range and paddock</v>
      </c>
      <c r="X178" s="52" t="str">
        <f t="shared" si="7"/>
        <v>February 2024</v>
      </c>
      <c r="Y178" s="52">
        <f>(X132 * $I$155 * $E$165 * $E$171 * $I$158)</f>
        <v>3.7698049331624994E-3</v>
      </c>
      <c r="Z178" s="52">
        <f>(Y132 * $I$155 * $E$165 * $E$171 * $I$158)</f>
        <v>4.9878246275839805E-3</v>
      </c>
      <c r="AA178" s="52">
        <f>(Z132 * $I$155 * $E$165 * $E$171 * $I$158)</f>
        <v>3.1703208176285837E-3</v>
      </c>
      <c r="AB178" s="52">
        <f>(AA132 * $I$155 * $E$165 * $E$171 * $I$158)</f>
        <v>4.1515383389422343E-3</v>
      </c>
      <c r="AC178" s="52">
        <f>(AB132 * $I$155 * $E$165 * $E$171 * $I$158)</f>
        <v>4.1105309312766845E-3</v>
      </c>
      <c r="AD178" s="52">
        <f>(AC132 * $I$155 * $E$165 * $E$171 * $I$158)</f>
        <v>4.1105309312766845E-3</v>
      </c>
      <c r="AE178" s="52">
        <f>(AD132 * $I$155 * $E$165 * $E$171 * $I$158)</f>
        <v>3.4748327308918255E-3</v>
      </c>
      <c r="AF178" s="52">
        <f>(AE132 * $I$155 * $E$165 * $E$171 * $I$158)</f>
        <v>3.8733047579931406E-3</v>
      </c>
      <c r="AG178" s="52">
        <f>(AF132 * $I$155 * $E$165 * $E$171 * $I$158)</f>
        <v>3.8733047579931406E-3</v>
      </c>
      <c r="AH178" s="52">
        <f>(AG132 * $I$155 * $E$165 * $E$171 * $I$158)</f>
        <v>3.8733047579931406E-3</v>
      </c>
      <c r="AI178" s="2" t="str">
        <f t="shared" si="8"/>
        <v>kg CH4/head/day</v>
      </c>
      <c r="AJ178" s="2"/>
    </row>
    <row r="179" spans="4:36" ht="20.100000000000001" customHeight="1" x14ac:dyDescent="0.25">
      <c r="D179" s="52" t="str">
        <f>'Input - Pasture Beef'!$D$179</f>
        <v>Pasture range and paddock</v>
      </c>
      <c r="E179" s="52" t="s">
        <v>174</v>
      </c>
      <c r="F179" s="52">
        <f>(E133 * $I$155 * $E$165 * $E$171 * $I$158)</f>
        <v>1.7669165181372702E-3</v>
      </c>
      <c r="G179" s="52">
        <f>(F133 * $I$155 * $E$165 * $E$171 * $I$158)</f>
        <v>5.1282819126615281E-3</v>
      </c>
      <c r="H179" s="52">
        <f>(G133 * $I$155 * $E$165 * $E$171 * $I$158)</f>
        <v>1.610816619264715E-3</v>
      </c>
      <c r="I179" s="52">
        <f>(H133 * $I$155 * $E$165 * $E$171 * $I$158)</f>
        <v>3.2742630870377072E-3</v>
      </c>
      <c r="J179" s="52">
        <f>(I133 * $I$155 * $E$165 * $E$171 * $I$158)</f>
        <v>3.6554958234382307E-3</v>
      </c>
      <c r="K179" s="52">
        <f>(J133 * $I$155 * $E$165 * $E$171 * $I$158)</f>
        <v>3.6554958234382307E-3</v>
      </c>
      <c r="L179" s="52">
        <f>(K133 * $I$155 * $E$165 * $E$171 * $I$158)</f>
        <v>1.7669165181372702E-3</v>
      </c>
      <c r="M179" s="52">
        <f>(L133 * $I$155 * $E$165 * $E$171 * $I$158)</f>
        <v>3.2078801318765602E-3</v>
      </c>
      <c r="N179" s="52">
        <f>(M133 * $I$155 * $E$165 * $E$171 * $I$158)</f>
        <v>3.2078801318765602E-3</v>
      </c>
      <c r="O179" s="52">
        <f>(N133 * $I$155 * $E$165 * $E$171 * $I$158)</f>
        <v>3.2078801318765602E-3</v>
      </c>
      <c r="P179" s="2" t="str">
        <f t="shared" si="6"/>
        <v>kg CH4/head/day</v>
      </c>
      <c r="Q179" s="2"/>
      <c r="R179" s="2"/>
      <c r="S179" s="2"/>
      <c r="W179" s="52" t="str">
        <f>'Input - Pasture Beef'!$D$179</f>
        <v>Pasture range and paddock</v>
      </c>
      <c r="X179" s="52" t="str">
        <f t="shared" si="7"/>
        <v>March 2024</v>
      </c>
      <c r="Y179" s="52">
        <f>(X133 * $I$155 * $E$165 * $E$171 * $I$158)</f>
        <v>1.7669165181372702E-3</v>
      </c>
      <c r="Z179" s="52">
        <f>(Y133 * $I$155 * $E$165 * $E$171 * $I$158)</f>
        <v>5.1282819126615281E-3</v>
      </c>
      <c r="AA179" s="52">
        <f>(Z133 * $I$155 * $E$165 * $E$171 * $I$158)</f>
        <v>1.610816619264715E-3</v>
      </c>
      <c r="AB179" s="52">
        <f>(AA133 * $I$155 * $E$165 * $E$171 * $I$158)</f>
        <v>3.2418446406313932E-3</v>
      </c>
      <c r="AC179" s="52">
        <f>(AB133 * $I$155 * $E$165 * $E$171 * $I$158)</f>
        <v>3.6554958234382307E-3</v>
      </c>
      <c r="AD179" s="52">
        <f>(AC133 * $I$155 * $E$165 * $E$171 * $I$158)</f>
        <v>3.6554958234382307E-3</v>
      </c>
      <c r="AE179" s="52">
        <f>(AD133 * $I$155 * $E$165 * $E$171 * $I$158)</f>
        <v>1.7669165181372702E-3</v>
      </c>
      <c r="AF179" s="52">
        <f>(AE133 * $I$155 * $E$165 * $E$171 * $I$158)</f>
        <v>3.2078801318765602E-3</v>
      </c>
      <c r="AG179" s="52">
        <f>(AF133 * $I$155 * $E$165 * $E$171 * $I$158)</f>
        <v>3.2078801318765602E-3</v>
      </c>
      <c r="AH179" s="52">
        <f>(AG133 * $I$155 * $E$165 * $E$171 * $I$158)</f>
        <v>3.2078801318765602E-3</v>
      </c>
      <c r="AI179" s="2" t="str">
        <f t="shared" si="8"/>
        <v>kg CH4/head/day</v>
      </c>
      <c r="AJ179" s="2"/>
    </row>
    <row r="180" spans="4:36" ht="20.100000000000001" customHeight="1" x14ac:dyDescent="0.25">
      <c r="D180" s="52" t="str">
        <f>'Input - Pasture Beef'!$D$179</f>
        <v>Pasture range and paddock</v>
      </c>
      <c r="E180" s="52" t="s">
        <v>175</v>
      </c>
      <c r="F180" s="52">
        <f>(E134 * $I$155 * $E$165 * $E$171 * $I$158)</f>
        <v>2.3939898572351848E-3</v>
      </c>
      <c r="G180" s="52">
        <f>(F134 * $I$155 * $E$165 * $E$171 * $I$158)</f>
        <v>4.6522862496463481E-3</v>
      </c>
      <c r="H180" s="52">
        <f>(G134 * $I$155 * $E$165 * $E$171 * $I$158)</f>
        <v>1.9601466958146293E-3</v>
      </c>
      <c r="I180" s="52">
        <f>(H134 * $I$155 * $E$165 * $E$171 * $I$158)</f>
        <v>3.345334252261788E-3</v>
      </c>
      <c r="J180" s="52">
        <f>(I134 * $I$155 * $E$165 * $E$171 * $I$158)</f>
        <v>4.2653300733249393E-3</v>
      </c>
      <c r="K180" s="52">
        <f>(J134 * $I$155 * $E$165 * $E$171 * $I$158)</f>
        <v>4.2653300733249393E-3</v>
      </c>
      <c r="L180" s="52">
        <f>(K134 * $I$155 * $E$165 * $E$171 * $I$158)</f>
        <v>2.1045273101069351E-3</v>
      </c>
      <c r="M180" s="52">
        <f>(L134 * $I$155 * $E$165 * $E$171 * $I$158)</f>
        <v>3.2041066661276131E-3</v>
      </c>
      <c r="N180" s="52">
        <f>(M134 * $I$155 * $E$165 * $E$171 * $I$158)</f>
        <v>3.2041066661276131E-3</v>
      </c>
      <c r="O180" s="52">
        <f>(N134 * $I$155 * $E$165 * $E$171 * $I$158)</f>
        <v>3.2041066661276131E-3</v>
      </c>
      <c r="P180" s="2" t="str">
        <f t="shared" si="6"/>
        <v>kg CH4/head/day</v>
      </c>
      <c r="Q180" s="2"/>
      <c r="R180" s="2"/>
      <c r="S180" s="2"/>
      <c r="W180" s="52" t="str">
        <f>'Input - Pasture Beef'!$D$179</f>
        <v>Pasture range and paddock</v>
      </c>
      <c r="X180" s="52" t="str">
        <f t="shared" si="7"/>
        <v>April 2024</v>
      </c>
      <c r="Y180" s="52">
        <f>(X134 * $I$155 * $E$165 * $E$171 * $I$158)</f>
        <v>1.7669165181372702E-3</v>
      </c>
      <c r="Z180" s="52">
        <f>(Y134 * $I$155 * $E$165 * $E$171 * $I$158)</f>
        <v>5.1282819126615281E-3</v>
      </c>
      <c r="AA180" s="52">
        <f>(Z134 * $I$155 * $E$165 * $E$171 * $I$158)</f>
        <v>1.610816619264715E-3</v>
      </c>
      <c r="AB180" s="52">
        <f>(AA134 * $I$155 * $E$165 * $E$171 * $I$158)</f>
        <v>3.2418446406313932E-3</v>
      </c>
      <c r="AC180" s="52">
        <f>(AB134 * $I$155 * $E$165 * $E$171 * $I$158)</f>
        <v>3.6554958234382307E-3</v>
      </c>
      <c r="AD180" s="52">
        <f>(AC134 * $I$155 * $E$165 * $E$171 * $I$158)</f>
        <v>3.6554958234382307E-3</v>
      </c>
      <c r="AE180" s="52">
        <f>(AD134 * $I$155 * $E$165 * $E$171 * $I$158)</f>
        <v>1.7669165181372702E-3</v>
      </c>
      <c r="AF180" s="52">
        <f>(AE134 * $I$155 * $E$165 * $E$171 * $I$158)</f>
        <v>3.2078801318765602E-3</v>
      </c>
      <c r="AG180" s="52">
        <f>(AF134 * $I$155 * $E$165 * $E$171 * $I$158)</f>
        <v>3.2078801318765602E-3</v>
      </c>
      <c r="AH180" s="52">
        <f>(AG134 * $I$155 * $E$165 * $E$171 * $I$158)</f>
        <v>3.2078801318765602E-3</v>
      </c>
      <c r="AI180" s="2" t="str">
        <f t="shared" si="8"/>
        <v>kg CH4/head/day</v>
      </c>
      <c r="AJ180" s="2"/>
    </row>
    <row r="181" spans="4:36" ht="20.100000000000001" customHeight="1" x14ac:dyDescent="0.25">
      <c r="D181" s="52" t="str">
        <f>'Input - Pasture Beef'!$D$180</f>
        <v>Anaerobic lagoon</v>
      </c>
      <c r="E181" s="52" t="s">
        <v>172</v>
      </c>
      <c r="F181" s="52">
        <f>(E131 * $I$155 * $E$166 * $E$172 * $I$158)</f>
        <v>2.4812833436492908E-3</v>
      </c>
      <c r="G181" s="52">
        <f>(F131 * $I$155 * $E$166 * $E$172 * $I$158)</f>
        <v>3.5044828695429209E-3</v>
      </c>
      <c r="H181" s="52">
        <f>(G131 * $I$155 * $E$166 * $E$172 * $I$158)</f>
        <v>1.8912334889579457E-3</v>
      </c>
      <c r="I181" s="52">
        <f>(H131 * $I$155 * $E$166 * $E$172 * $I$158)</f>
        <v>2.7300976333552805E-3</v>
      </c>
      <c r="J181" s="52">
        <f>(I131 * $I$155 * $E$166 * $E$172 * $I$158)</f>
        <v>3.2245812106861055E-3</v>
      </c>
      <c r="K181" s="52">
        <f>(J131 * $I$155 * $E$166 * $E$172 * $I$158)</f>
        <v>3.2245812106861055E-3</v>
      </c>
      <c r="L181" s="52">
        <f>(K131 * $I$155 * $E$166 * $E$172 * $I$158)</f>
        <v>2.1803414772367767E-3</v>
      </c>
      <c r="M181" s="52">
        <f>(L131 * $I$155 * $E$166 * $E$172 * $I$158)</f>
        <v>2.7707428418975179E-3</v>
      </c>
      <c r="N181" s="52">
        <f>(M131 * $I$155 * $E$166 * $E$172 * $I$158)</f>
        <v>2.7707428418975179E-3</v>
      </c>
      <c r="O181" s="52">
        <f>(N131 * $I$155 * $E$166 * $E$172 * $I$158)</f>
        <v>2.7707428418975179E-3</v>
      </c>
      <c r="P181" s="2" t="str">
        <f t="shared" si="6"/>
        <v>kg CH4/head/day</v>
      </c>
      <c r="Q181" s="2"/>
      <c r="R181" s="2"/>
      <c r="S181" s="2"/>
      <c r="W181" s="52" t="str">
        <f>'Input - Pasture Beef'!$D$179</f>
        <v>Pasture range and paddock</v>
      </c>
      <c r="X181" s="52" t="str">
        <f t="shared" si="7"/>
        <v>May 2024</v>
      </c>
      <c r="Y181" s="52">
        <f>(X135 * $I$155 * $E$165 * $E$171 * $I$158)</f>
        <v>1.7669165181372702E-3</v>
      </c>
      <c r="Z181" s="52">
        <f>(Y135 * $I$155 * $E$165 * $E$171 * $I$158)</f>
        <v>5.1282819126615281E-3</v>
      </c>
      <c r="AA181" s="52">
        <f>(Z135 * $I$155 * $E$165 * $E$171 * $I$158)</f>
        <v>1.610816619264715E-3</v>
      </c>
      <c r="AB181" s="52">
        <f>(AA135 * $I$155 * $E$165 * $E$171 * $I$158)</f>
        <v>3.2418446406313932E-3</v>
      </c>
      <c r="AC181" s="52">
        <f>(AB135 * $I$155 * $E$165 * $E$171 * $I$158)</f>
        <v>3.6554958234382307E-3</v>
      </c>
      <c r="AD181" s="52">
        <f>(AC135 * $I$155 * $E$165 * $E$171 * $I$158)</f>
        <v>3.6554958234382307E-3</v>
      </c>
      <c r="AE181" s="52">
        <f>(AD135 * $I$155 * $E$165 * $E$171 * $I$158)</f>
        <v>1.7669165181372702E-3</v>
      </c>
      <c r="AF181" s="52">
        <f>(AE135 * $I$155 * $E$165 * $E$171 * $I$158)</f>
        <v>3.2078801318765602E-3</v>
      </c>
      <c r="AG181" s="52">
        <f>(AF135 * $I$155 * $E$165 * $E$171 * $I$158)</f>
        <v>3.2078801318765602E-3</v>
      </c>
      <c r="AH181" s="52">
        <f>(AG135 * $I$155 * $E$165 * $E$171 * $I$158)</f>
        <v>3.2078801318765602E-3</v>
      </c>
      <c r="AI181" s="2" t="str">
        <f t="shared" si="8"/>
        <v>kg CH4/head/day</v>
      </c>
      <c r="AJ181" s="2"/>
    </row>
    <row r="182" spans="4:36" ht="20.100000000000001" customHeight="1" x14ac:dyDescent="0.25">
      <c r="D182" s="52" t="str">
        <f>'Input - Pasture Beef'!$D$180</f>
        <v>Anaerobic lagoon</v>
      </c>
      <c r="E182" s="52" t="s">
        <v>173</v>
      </c>
      <c r="F182" s="52">
        <f>(E132 * $I$155 * $E$166 * $E$172 * $I$158)</f>
        <v>2.3129761588141953E-3</v>
      </c>
      <c r="G182" s="52">
        <f>(F132 * $I$155 * $E$166 * $E$172 * $I$158)</f>
        <v>3.0602961300360589E-3</v>
      </c>
      <c r="H182" s="52">
        <f>(G132 * $I$155 * $E$166 * $E$172 * $I$158)</f>
        <v>1.9451607170601457E-3</v>
      </c>
      <c r="I182" s="52">
        <f>(H132 * $I$155 * $E$166 * $E$172 * $I$158)</f>
        <v>2.6490775372862139E-3</v>
      </c>
      <c r="J182" s="52">
        <f>(I132 * $I$155 * $E$166 * $E$172 * $I$158)</f>
        <v>2.6229108988885487E-3</v>
      </c>
      <c r="K182" s="52">
        <f>(J132 * $I$155 * $E$166 * $E$172 * $I$158)</f>
        <v>2.6229108988885487E-3</v>
      </c>
      <c r="L182" s="52">
        <f>(K132 * $I$155 * $E$166 * $E$172 * $I$158)</f>
        <v>2.1319949983930825E-3</v>
      </c>
      <c r="M182" s="52">
        <f>(L132 * $I$155 * $E$166 * $E$172 * $I$158)</f>
        <v>2.3764788151900769E-3</v>
      </c>
      <c r="N182" s="52">
        <f>(M132 * $I$155 * $E$166 * $E$172 * $I$158)</f>
        <v>2.3764788151900769E-3</v>
      </c>
      <c r="O182" s="52">
        <f>(N132 * $I$155 * $E$166 * $E$172 * $I$158)</f>
        <v>2.3764788151900769E-3</v>
      </c>
      <c r="P182" s="2" t="str">
        <f t="shared" si="6"/>
        <v>kg CH4/head/day</v>
      </c>
      <c r="Q182" s="2"/>
      <c r="R182" s="2"/>
      <c r="S182" s="2"/>
      <c r="W182" s="52" t="str">
        <f>'Input - Pasture Beef'!$D$179</f>
        <v>Pasture range and paddock</v>
      </c>
      <c r="X182" s="52" t="str">
        <f t="shared" si="7"/>
        <v>June 2024</v>
      </c>
      <c r="Y182" s="52">
        <f>(X136 * $I$155 * $E$165 * $E$171 * $I$158)</f>
        <v>2.3939898572351848E-3</v>
      </c>
      <c r="Z182" s="52">
        <f>(Y136 * $I$155 * $E$165 * $E$171 * $I$158)</f>
        <v>4.6522862496463481E-3</v>
      </c>
      <c r="AA182" s="52">
        <f>(Z136 * $I$155 * $E$165 * $E$171 * $I$158)</f>
        <v>1.9601466958146293E-3</v>
      </c>
      <c r="AB182" s="52">
        <f>(AA136 * $I$155 * $E$165 * $E$171 * $I$158)</f>
        <v>2.7647390514560235E-3</v>
      </c>
      <c r="AC182" s="52">
        <f>(AB136 * $I$155 * $E$165 * $E$171 * $I$158)</f>
        <v>3.7089826724564685E-3</v>
      </c>
      <c r="AD182" s="52">
        <f>(AC136 * $I$155 * $E$165 * $E$171 * $I$158)</f>
        <v>3.7089826724564685E-3</v>
      </c>
      <c r="AE182" s="52">
        <f>(AD136 * $I$155 * $E$165 * $E$171 * $I$158)</f>
        <v>2.1045273101069351E-3</v>
      </c>
      <c r="AF182" s="52">
        <f>(AE136 * $I$155 * $E$165 * $E$171 * $I$158)</f>
        <v>3.2041066661276131E-3</v>
      </c>
      <c r="AG182" s="52">
        <f>(AF136 * $I$155 * $E$165 * $E$171 * $I$158)</f>
        <v>3.2041066661276131E-3</v>
      </c>
      <c r="AH182" s="52">
        <f>(AG136 * $I$155 * $E$165 * $E$171 * $I$158)</f>
        <v>3.2041066661276131E-3</v>
      </c>
      <c r="AI182" s="2" t="str">
        <f t="shared" si="8"/>
        <v>kg CH4/head/day</v>
      </c>
      <c r="AJ182" s="2"/>
    </row>
    <row r="183" spans="4:36" ht="20.100000000000001" customHeight="1" x14ac:dyDescent="0.25">
      <c r="D183" s="52" t="str">
        <f>'Input - Pasture Beef'!$D$180</f>
        <v>Anaerobic lagoon</v>
      </c>
      <c r="E183" s="52" t="s">
        <v>174</v>
      </c>
      <c r="F183" s="52">
        <f>(E133 * $I$155 * $E$166 * $E$172 * $I$158)</f>
        <v>1.0840974144617182E-3</v>
      </c>
      <c r="G183" s="52">
        <f>(F133 * $I$155 * $E$166 * $E$172 * $I$158)</f>
        <v>3.1464741571425175E-3</v>
      </c>
      <c r="H183" s="52">
        <f>(G133 * $I$155 * $E$166 * $E$172 * $I$158)</f>
        <v>9.8832181044853241E-4</v>
      </c>
      <c r="I183" s="52">
        <f>(H133 * $I$155 * $E$166 * $E$172 * $I$158)</f>
        <v>2.0089348367556864E-3</v>
      </c>
      <c r="J183" s="52">
        <f>(I133 * $I$155 * $E$166 * $E$172 * $I$158)</f>
        <v>2.2428414303030022E-3</v>
      </c>
      <c r="K183" s="52">
        <f>(J133 * $I$155 * $E$166 * $E$172 * $I$158)</f>
        <v>2.2428414303030022E-3</v>
      </c>
      <c r="L183" s="52">
        <f>(K133 * $I$155 * $E$166 * $E$172 * $I$158)</f>
        <v>1.0840974144617182E-3</v>
      </c>
      <c r="M183" s="52">
        <f>(L133 * $I$155 * $E$166 * $E$172 * $I$158)</f>
        <v>1.9682053572835068E-3</v>
      </c>
      <c r="N183" s="52">
        <f>(M133 * $I$155 * $E$166 * $E$172 * $I$158)</f>
        <v>1.9682053572835068E-3</v>
      </c>
      <c r="O183" s="52">
        <f>(N133 * $I$155 * $E$166 * $E$172 * $I$158)</f>
        <v>1.9682053572835068E-3</v>
      </c>
      <c r="P183" s="2" t="str">
        <f t="shared" si="6"/>
        <v>kg CH4/head/day</v>
      </c>
      <c r="Q183" s="2"/>
      <c r="R183" s="2"/>
      <c r="S183" s="2"/>
      <c r="W183" s="52" t="str">
        <f>'Input - Pasture Beef'!$D$179</f>
        <v>Pasture range and paddock</v>
      </c>
      <c r="X183" s="52" t="str">
        <f t="shared" si="7"/>
        <v>July 2024</v>
      </c>
      <c r="Y183" s="52">
        <f>(X137 * $I$155 * $E$165 * $E$171 * $I$158)</f>
        <v>2.3939898572351848E-3</v>
      </c>
      <c r="Z183" s="52">
        <f>(Y137 * $I$155 * $E$165 * $E$171 * $I$158)</f>
        <v>4.6522862496463481E-3</v>
      </c>
      <c r="AA183" s="52">
        <f>(Z137 * $I$155 * $E$165 * $E$171 * $I$158)</f>
        <v>1.9601466958146293E-3</v>
      </c>
      <c r="AB183" s="52">
        <f>(AA137 * $I$155 * $E$165 * $E$171 * $I$158)</f>
        <v>2.7647390514560235E-3</v>
      </c>
      <c r="AC183" s="52">
        <f>(AB137 * $I$155 * $E$165 * $E$171 * $I$158)</f>
        <v>3.7089826724564685E-3</v>
      </c>
      <c r="AD183" s="52">
        <f>(AC137 * $I$155 * $E$165 * $E$171 * $I$158)</f>
        <v>3.7089826724564685E-3</v>
      </c>
      <c r="AE183" s="52">
        <f>(AD137 * $I$155 * $E$165 * $E$171 * $I$158)</f>
        <v>2.1045273101069351E-3</v>
      </c>
      <c r="AF183" s="52">
        <f>(AE137 * $I$155 * $E$165 * $E$171 * $I$158)</f>
        <v>3.2041066661276131E-3</v>
      </c>
      <c r="AG183" s="52">
        <f>(AF137 * $I$155 * $E$165 * $E$171 * $I$158)</f>
        <v>3.2041066661276131E-3</v>
      </c>
      <c r="AH183" s="52">
        <f>(AG137 * $I$155 * $E$165 * $E$171 * $I$158)</f>
        <v>3.2041066661276131E-3</v>
      </c>
      <c r="AI183" s="2" t="str">
        <f t="shared" si="8"/>
        <v>kg CH4/head/day</v>
      </c>
      <c r="AJ183" s="2"/>
    </row>
    <row r="184" spans="4:36" ht="20.100000000000001" customHeight="1" x14ac:dyDescent="0.25">
      <c r="D184" s="52" t="str">
        <f>'Input - Pasture Beef'!$D$180</f>
        <v>Anaerobic lagoon</v>
      </c>
      <c r="E184" s="52" t="s">
        <v>175</v>
      </c>
      <c r="F184" s="52">
        <f>(E134 * $I$155 * $E$166 * $E$172 * $I$158)</f>
        <v>1.4688403146586094E-3</v>
      </c>
      <c r="G184" s="52">
        <f>(F134 * $I$155 * $E$166 * $E$172 * $I$158)</f>
        <v>2.854425459723719E-3</v>
      </c>
      <c r="H184" s="52">
        <f>(G134 * $I$155 * $E$166 * $E$172 * $I$158)</f>
        <v>1.2026544225974751E-3</v>
      </c>
      <c r="I184" s="52">
        <f>(H134 * $I$155 * $E$166 * $E$172 * $I$158)</f>
        <v>2.0525407828608446E-3</v>
      </c>
      <c r="J184" s="52">
        <f>(I134 * $I$155 * $E$166 * $E$172 * $I$158)</f>
        <v>2.6170072308748108E-3</v>
      </c>
      <c r="K184" s="52">
        <f>(J134 * $I$155 * $E$166 * $E$172 * $I$158)</f>
        <v>2.6170072308748108E-3</v>
      </c>
      <c r="L184" s="52">
        <f>(K134 * $I$155 * $E$166 * $E$172 * $I$158)</f>
        <v>1.291239621188348E-3</v>
      </c>
      <c r="M184" s="52">
        <f>(L134 * $I$155 * $E$166 * $E$172 * $I$158)</f>
        <v>1.9658901350191817E-3</v>
      </c>
      <c r="N184" s="52">
        <f>(M134 * $I$155 * $E$166 * $E$172 * $I$158)</f>
        <v>1.9658901350191817E-3</v>
      </c>
      <c r="O184" s="52">
        <f>(N134 * $I$155 * $E$166 * $E$172 * $I$158)</f>
        <v>1.9658901350191817E-3</v>
      </c>
      <c r="P184" s="2" t="str">
        <f t="shared" si="6"/>
        <v>kg CH4/head/day</v>
      </c>
      <c r="Q184" s="2"/>
      <c r="R184" s="2"/>
      <c r="S184" s="2"/>
      <c r="W184" s="52" t="str">
        <f>'Input - Pasture Beef'!$D$179</f>
        <v>Pasture range and paddock</v>
      </c>
      <c r="X184" s="52" t="str">
        <f t="shared" si="7"/>
        <v>August 2024</v>
      </c>
      <c r="Y184" s="52">
        <f>(X138 * $I$155 * $E$165 * $E$171 * $I$158)</f>
        <v>2.3939898572351848E-3</v>
      </c>
      <c r="Z184" s="52">
        <f>(Y138 * $I$155 * $E$165 * $E$171 * $I$158)</f>
        <v>4.6522862496463481E-3</v>
      </c>
      <c r="AA184" s="52">
        <f>(Z138 * $I$155 * $E$165 * $E$171 * $I$158)</f>
        <v>1.9601466958146293E-3</v>
      </c>
      <c r="AB184" s="52">
        <f>(AA138 * $I$155 * $E$165 * $E$171 * $I$158)</f>
        <v>3.3868053380336294E-3</v>
      </c>
      <c r="AC184" s="52">
        <f>(AB138 * $I$155 * $E$165 * $E$171 * $I$158)</f>
        <v>4.5435037737591747E-3</v>
      </c>
      <c r="AD184" s="52">
        <f>(AC138 * $I$155 * $E$165 * $E$171 * $I$158)</f>
        <v>4.5435037737591747E-3</v>
      </c>
      <c r="AE184" s="52">
        <f>(AD138 * $I$155 * $E$165 * $E$171 * $I$158)</f>
        <v>2.1045273101069351E-3</v>
      </c>
      <c r="AF184" s="52">
        <f>(AE138 * $I$155 * $E$165 * $E$171 * $I$158)</f>
        <v>3.2041066661276131E-3</v>
      </c>
      <c r="AG184" s="52">
        <f>(AF138 * $I$155 * $E$165 * $E$171 * $I$158)</f>
        <v>3.2041066661276131E-3</v>
      </c>
      <c r="AH184" s="52">
        <f>(AG138 * $I$155 * $E$165 * $E$171 * $I$158)</f>
        <v>3.2041066661276131E-3</v>
      </c>
      <c r="AI184" s="2" t="str">
        <f t="shared" si="8"/>
        <v>kg CH4/head/day</v>
      </c>
      <c r="AJ184" s="2"/>
    </row>
    <row r="185" spans="4:36" ht="20.100000000000001" customHeight="1" x14ac:dyDescent="0.25">
      <c r="W185" s="52" t="str">
        <f>'Input - Pasture Beef'!$D$179</f>
        <v>Pasture range and paddock</v>
      </c>
      <c r="X185" s="52" t="str">
        <f t="shared" si="7"/>
        <v>September 2024</v>
      </c>
      <c r="Y185" s="52">
        <f>(X139 * $I$155 * $E$165 * $E$171 * $I$158)</f>
        <v>4.0441204522655228E-3</v>
      </c>
      <c r="Z185" s="52">
        <f>(Y139 * $I$155 * $E$165 * $E$171 * $I$158)</f>
        <v>5.711782527217847E-3</v>
      </c>
      <c r="AA185" s="52">
        <f>(Z139 * $I$155 * $E$165 * $E$171 * $I$158)</f>
        <v>3.0824275076362846E-3</v>
      </c>
      <c r="AB185" s="52">
        <f>(AA139 * $I$155 * $E$165 * $E$171 * $I$158)</f>
        <v>4.9552926045271445E-3</v>
      </c>
      <c r="AC185" s="52">
        <f>(AB139 * $I$155 * $E$165 * $E$171 * $I$158)</f>
        <v>5.5026421202084251E-3</v>
      </c>
      <c r="AD185" s="52">
        <f>(AC139 * $I$155 * $E$165 * $E$171 * $I$158)</f>
        <v>5.5026421202084251E-3</v>
      </c>
      <c r="AE185" s="52">
        <f>(AD139 * $I$155 * $E$165 * $E$171 * $I$158)</f>
        <v>3.5536302549179421E-3</v>
      </c>
      <c r="AF185" s="52">
        <f>(AE139 * $I$155 * $E$165 * $E$171 * $I$158)</f>
        <v>4.5158961081833695E-3</v>
      </c>
      <c r="AG185" s="52">
        <f>(AF139 * $I$155 * $E$165 * $E$171 * $I$158)</f>
        <v>4.5158961081833695E-3</v>
      </c>
      <c r="AH185" s="52">
        <f>(AG139 * $I$155 * $E$165 * $E$171 * $I$158)</f>
        <v>4.5158961081833695E-3</v>
      </c>
      <c r="AI185" s="2" t="str">
        <f t="shared" si="8"/>
        <v>kg CH4/head/day</v>
      </c>
      <c r="AJ185" s="2"/>
    </row>
    <row r="186" spans="4:36" ht="20.100000000000001" customHeight="1" x14ac:dyDescent="0.25">
      <c r="W186" s="52" t="str">
        <f>'Input - Pasture Beef'!$D$179</f>
        <v>Pasture range and paddock</v>
      </c>
      <c r="X186" s="52" t="str">
        <f t="shared" si="7"/>
        <v>October 2024</v>
      </c>
      <c r="Y186" s="52">
        <f>(X140 * $I$155 * $E$165 * $E$171 * $I$158)</f>
        <v>4.0441204522655228E-3</v>
      </c>
      <c r="Z186" s="52">
        <f>(Y140 * $I$155 * $E$165 * $E$171 * $I$158)</f>
        <v>5.711782527217847E-3</v>
      </c>
      <c r="AA186" s="52">
        <f>(Z140 * $I$155 * $E$165 * $E$171 * $I$158)</f>
        <v>3.0824275076362846E-3</v>
      </c>
      <c r="AB186" s="52">
        <f>(AA140 * $I$155 * $E$165 * $E$171 * $I$158)</f>
        <v>4.9552926045271445E-3</v>
      </c>
      <c r="AC186" s="52">
        <f>(AB140 * $I$155 * $E$165 * $E$171 * $I$158)</f>
        <v>5.5026421202084251E-3</v>
      </c>
      <c r="AD186" s="52">
        <f>(AC140 * $I$155 * $E$165 * $E$171 * $I$158)</f>
        <v>5.5026421202084251E-3</v>
      </c>
      <c r="AE186" s="52">
        <f>(AD140 * $I$155 * $E$165 * $E$171 * $I$158)</f>
        <v>3.5536302549179421E-3</v>
      </c>
      <c r="AF186" s="52">
        <f>(AE140 * $I$155 * $E$165 * $E$171 * $I$158)</f>
        <v>4.5158961081833695E-3</v>
      </c>
      <c r="AG186" s="52">
        <f>(AF140 * $I$155 * $E$165 * $E$171 * $I$158)</f>
        <v>4.5158961081833695E-3</v>
      </c>
      <c r="AH186" s="52">
        <f>(AG140 * $I$155 * $E$165 * $E$171 * $I$158)</f>
        <v>4.5158961081833695E-3</v>
      </c>
      <c r="AI186" s="2" t="str">
        <f t="shared" si="8"/>
        <v>kg CH4/head/day</v>
      </c>
      <c r="AJ186" s="2"/>
    </row>
    <row r="187" spans="4:36" ht="20.100000000000001" customHeight="1" x14ac:dyDescent="0.25">
      <c r="W187" s="52" t="str">
        <f>'Input - Pasture Beef'!$D$179</f>
        <v>Pasture range and paddock</v>
      </c>
      <c r="X187" s="52" t="str">
        <f t="shared" si="7"/>
        <v>November 2024</v>
      </c>
      <c r="Y187" s="52">
        <f>(X141 * $I$155 * $E$165 * $E$171 * $I$158)</f>
        <v>4.0441204522655228E-3</v>
      </c>
      <c r="Z187" s="52">
        <f>(Y141 * $I$155 * $E$165 * $E$171 * $I$158)</f>
        <v>5.711782527217847E-3</v>
      </c>
      <c r="AA187" s="52">
        <f>(Z141 * $I$155 * $E$165 * $E$171 * $I$158)</f>
        <v>3.0824275076362846E-3</v>
      </c>
      <c r="AB187" s="52">
        <f>(AA141 * $I$155 * $E$165 * $E$171 * $I$158)</f>
        <v>4.3485220815238229E-3</v>
      </c>
      <c r="AC187" s="52">
        <f>(AB141 * $I$155 * $E$165 * $E$171 * $I$158)</f>
        <v>4.828849207529841E-3</v>
      </c>
      <c r="AD187" s="52">
        <f>(AC141 * $I$155 * $E$165 * $E$171 * $I$158)</f>
        <v>4.828849207529841E-3</v>
      </c>
      <c r="AE187" s="52">
        <f>(AD141 * $I$155 * $E$165 * $E$171 * $I$158)</f>
        <v>3.5536302549179421E-3</v>
      </c>
      <c r="AF187" s="52">
        <f>(AE141 * $I$155 * $E$165 * $E$171 * $I$158)</f>
        <v>4.5158961081833695E-3</v>
      </c>
      <c r="AG187" s="52">
        <f>(AF141 * $I$155 * $E$165 * $E$171 * $I$158)</f>
        <v>4.5158961081833695E-3</v>
      </c>
      <c r="AH187" s="52">
        <f>(AG141 * $I$155 * $E$165 * $E$171 * $I$158)</f>
        <v>4.5158961081833695E-3</v>
      </c>
      <c r="AI187" s="2" t="str">
        <f t="shared" si="8"/>
        <v>kg CH4/head/day</v>
      </c>
      <c r="AJ187" s="2"/>
    </row>
    <row r="188" spans="4:36" ht="20.100000000000001" customHeight="1" x14ac:dyDescent="0.25">
      <c r="W188" s="52" t="str">
        <f>'Input - Pasture Beef'!$D$179</f>
        <v>Pasture range and paddock</v>
      </c>
      <c r="X188" s="52" t="str">
        <f t="shared" si="7"/>
        <v>December 2024</v>
      </c>
      <c r="Y188" s="52">
        <f>(X142 * $I$155 * $E$165 * $E$171 * $I$158)</f>
        <v>3.7698049331624994E-3</v>
      </c>
      <c r="Z188" s="52">
        <f>(Y142 * $I$155 * $E$165 * $E$171 * $I$158)</f>
        <v>4.9878246275839805E-3</v>
      </c>
      <c r="AA188" s="52">
        <f>(Z142 * $I$155 * $E$165 * $E$171 * $I$158)</f>
        <v>3.1703208176285837E-3</v>
      </c>
      <c r="AB188" s="52">
        <f>(AA142 * $I$155 * $E$165 * $E$171 * $I$158)</f>
        <v>4.4629037143629011E-3</v>
      </c>
      <c r="AC188" s="52">
        <f>(AB142 * $I$155 * $E$165 * $E$171 * $I$158)</f>
        <v>4.4188207511224346E-3</v>
      </c>
      <c r="AD188" s="52">
        <f>(AC142 * $I$155 * $E$165 * $E$171 * $I$158)</f>
        <v>4.4188207511224346E-3</v>
      </c>
      <c r="AE188" s="52">
        <f>(AD142 * $I$155 * $E$165 * $E$171 * $I$158)</f>
        <v>3.4748327308918255E-3</v>
      </c>
      <c r="AF188" s="52">
        <f>(AE142 * $I$155 * $E$165 * $E$171 * $I$158)</f>
        <v>3.8733047579931406E-3</v>
      </c>
      <c r="AG188" s="52">
        <f>(AF142 * $I$155 * $E$165 * $E$171 * $I$158)</f>
        <v>3.8733047579931406E-3</v>
      </c>
      <c r="AH188" s="52">
        <f>(AG142 * $I$155 * $E$165 * $E$171 * $I$158)</f>
        <v>3.8733047579931406E-3</v>
      </c>
      <c r="AI188" s="2" t="str">
        <f t="shared" si="8"/>
        <v>kg CH4/head/day</v>
      </c>
      <c r="AJ188" s="2"/>
    </row>
    <row r="189" spans="4:36" ht="20.100000000000001" customHeight="1" x14ac:dyDescent="0.25">
      <c r="W189" s="52" t="str">
        <f>'Input - Pasture Beef'!$D$180</f>
        <v>Anaerobic lagoon</v>
      </c>
      <c r="X189" s="52" t="str">
        <f>W131</f>
        <v>January 2024</v>
      </c>
      <c r="Y189" s="52">
        <f>(X131 * $I$155 * $E$166 * $E$172 * $I$158)</f>
        <v>2.3129761588141953E-3</v>
      </c>
      <c r="Z189" s="52">
        <f>(Y131 * $I$155 * $E$166 * $E$172 * $I$158)</f>
        <v>3.0602961300360589E-3</v>
      </c>
      <c r="AA189" s="52">
        <f>(Z131 * $I$155 * $E$166 * $E$172 * $I$158)</f>
        <v>1.9451607170601457E-3</v>
      </c>
      <c r="AB189" s="52">
        <f>(AA131 * $I$155 * $E$166 * $E$172 * $I$158)</f>
        <v>2.7382291851756543E-3</v>
      </c>
      <c r="AC189" s="52">
        <f>(AB131 * $I$155 * $E$166 * $E$172 * $I$158)</f>
        <v>2.7111819387549904E-3</v>
      </c>
      <c r="AD189" s="52">
        <f>(AC131 * $I$155 * $E$166 * $E$172 * $I$158)</f>
        <v>2.7111819387549904E-3</v>
      </c>
      <c r="AE189" s="52">
        <f>(AD131 * $I$155 * $E$166 * $E$172 * $I$158)</f>
        <v>2.1319949983930825E-3</v>
      </c>
      <c r="AF189" s="52">
        <f>(AE131 * $I$155 * $E$166 * $E$172 * $I$158)</f>
        <v>2.3764788151900769E-3</v>
      </c>
      <c r="AG189" s="52">
        <f>(AF131 * $I$155 * $E$166 * $E$172 * $I$158)</f>
        <v>2.3764788151900769E-3</v>
      </c>
      <c r="AH189" s="52">
        <f>(AG131 * $I$155 * $E$166 * $E$172 * $I$158)</f>
        <v>2.3764788151900769E-3</v>
      </c>
      <c r="AI189" s="2" t="str">
        <f t="shared" si="8"/>
        <v>kg CH4/head/day</v>
      </c>
      <c r="AJ189" s="2"/>
    </row>
    <row r="190" spans="4:36" ht="20.100000000000001" customHeight="1" x14ac:dyDescent="0.25">
      <c r="W190" s="52" t="str">
        <f>'Input - Pasture Beef'!$D$180</f>
        <v>Anaerobic lagoon</v>
      </c>
      <c r="X190" s="52" t="str">
        <f t="shared" ref="X190:X200" si="9">W132</f>
        <v>February 2024</v>
      </c>
      <c r="Y190" s="52">
        <f>(X132 * $I$155 * $E$166 * $E$172 * $I$158)</f>
        <v>2.3129761588141953E-3</v>
      </c>
      <c r="Z190" s="52">
        <f>(Y132 * $I$155 * $E$166 * $E$172 * $I$158)</f>
        <v>3.0602961300360589E-3</v>
      </c>
      <c r="AA190" s="52">
        <f>(Z132 * $I$155 * $E$166 * $E$172 * $I$158)</f>
        <v>1.9451607170601457E-3</v>
      </c>
      <c r="AB190" s="52">
        <f>(AA132 * $I$155 * $E$166 * $E$172 * $I$158)</f>
        <v>2.5471899396982823E-3</v>
      </c>
      <c r="AC190" s="52">
        <f>(AB132 * $I$155 * $E$166 * $E$172 * $I$158)</f>
        <v>2.5220297104697588E-3</v>
      </c>
      <c r="AD190" s="52">
        <f>(AC132 * $I$155 * $E$166 * $E$172 * $I$158)</f>
        <v>2.5220297104697588E-3</v>
      </c>
      <c r="AE190" s="52">
        <f>(AD132 * $I$155 * $E$166 * $E$172 * $I$158)</f>
        <v>2.1319949983930825E-3</v>
      </c>
      <c r="AF190" s="52">
        <f>(AE132 * $I$155 * $E$166 * $E$172 * $I$158)</f>
        <v>2.3764788151900769E-3</v>
      </c>
      <c r="AG190" s="52">
        <f>(AF132 * $I$155 * $E$166 * $E$172 * $I$158)</f>
        <v>2.3764788151900769E-3</v>
      </c>
      <c r="AH190" s="52">
        <f>(AG132 * $I$155 * $E$166 * $E$172 * $I$158)</f>
        <v>2.3764788151900769E-3</v>
      </c>
      <c r="AI190" s="2" t="str">
        <f t="shared" si="8"/>
        <v>kg CH4/head/day</v>
      </c>
      <c r="AJ190" s="2"/>
    </row>
    <row r="191" spans="4:36" ht="20.100000000000001" customHeight="1" x14ac:dyDescent="0.25">
      <c r="W191" s="52" t="str">
        <f>'Input - Pasture Beef'!$D$180</f>
        <v>Anaerobic lagoon</v>
      </c>
      <c r="X191" s="52" t="str">
        <f t="shared" si="9"/>
        <v>March 2024</v>
      </c>
      <c r="Y191" s="52">
        <f>(X133 * $I$155 * $E$166 * $E$172 * $I$158)</f>
        <v>1.0840974144617182E-3</v>
      </c>
      <c r="Z191" s="52">
        <f>(Y133 * $I$155 * $E$166 * $E$172 * $I$158)</f>
        <v>3.1464741571425175E-3</v>
      </c>
      <c r="AA191" s="52">
        <f>(Z133 * $I$155 * $E$166 * $E$172 * $I$158)</f>
        <v>9.8832181044853241E-4</v>
      </c>
      <c r="AB191" s="52">
        <f>(AA133 * $I$155 * $E$166 * $E$172 * $I$158)</f>
        <v>1.9890443928274122E-3</v>
      </c>
      <c r="AC191" s="52">
        <f>(AB133 * $I$155 * $E$166 * $E$172 * $I$158)</f>
        <v>2.2428414303030022E-3</v>
      </c>
      <c r="AD191" s="52">
        <f>(AC133 * $I$155 * $E$166 * $E$172 * $I$158)</f>
        <v>2.2428414303030022E-3</v>
      </c>
      <c r="AE191" s="52">
        <f>(AD133 * $I$155 * $E$166 * $E$172 * $I$158)</f>
        <v>1.0840974144617182E-3</v>
      </c>
      <c r="AF191" s="52">
        <f>(AE133 * $I$155 * $E$166 * $E$172 * $I$158)</f>
        <v>1.9682053572835068E-3</v>
      </c>
      <c r="AG191" s="52">
        <f>(AF133 * $I$155 * $E$166 * $E$172 * $I$158)</f>
        <v>1.9682053572835068E-3</v>
      </c>
      <c r="AH191" s="52">
        <f>(AG133 * $I$155 * $E$166 * $E$172 * $I$158)</f>
        <v>1.9682053572835068E-3</v>
      </c>
      <c r="AI191" s="2" t="str">
        <f t="shared" si="8"/>
        <v>kg CH4/head/day</v>
      </c>
      <c r="AJ191" s="2"/>
    </row>
    <row r="192" spans="4:36" ht="20.100000000000001" customHeight="1" x14ac:dyDescent="0.25">
      <c r="W192" s="52" t="str">
        <f>'Input - Pasture Beef'!$D$180</f>
        <v>Anaerobic lagoon</v>
      </c>
      <c r="X192" s="52" t="str">
        <f t="shared" si="9"/>
        <v>April 2024</v>
      </c>
      <c r="Y192" s="52">
        <f>(X134 * $I$155 * $E$166 * $E$172 * $I$158)</f>
        <v>1.0840974144617182E-3</v>
      </c>
      <c r="Z192" s="52">
        <f>(Y134 * $I$155 * $E$166 * $E$172 * $I$158)</f>
        <v>3.1464741571425175E-3</v>
      </c>
      <c r="AA192" s="52">
        <f>(Z134 * $I$155 * $E$166 * $E$172 * $I$158)</f>
        <v>9.8832181044853241E-4</v>
      </c>
      <c r="AB192" s="52">
        <f>(AA134 * $I$155 * $E$166 * $E$172 * $I$158)</f>
        <v>1.9890443928274122E-3</v>
      </c>
      <c r="AC192" s="52">
        <f>(AB134 * $I$155 * $E$166 * $E$172 * $I$158)</f>
        <v>2.2428414303030022E-3</v>
      </c>
      <c r="AD192" s="52">
        <f>(AC134 * $I$155 * $E$166 * $E$172 * $I$158)</f>
        <v>2.2428414303030022E-3</v>
      </c>
      <c r="AE192" s="52">
        <f>(AD134 * $I$155 * $E$166 * $E$172 * $I$158)</f>
        <v>1.0840974144617182E-3</v>
      </c>
      <c r="AF192" s="52">
        <f>(AE134 * $I$155 * $E$166 * $E$172 * $I$158)</f>
        <v>1.9682053572835068E-3</v>
      </c>
      <c r="AG192" s="52">
        <f>(AF134 * $I$155 * $E$166 * $E$172 * $I$158)</f>
        <v>1.9682053572835068E-3</v>
      </c>
      <c r="AH192" s="52">
        <f>(AG134 * $I$155 * $E$166 * $E$172 * $I$158)</f>
        <v>1.9682053572835068E-3</v>
      </c>
      <c r="AI192" s="2" t="str">
        <f t="shared" si="8"/>
        <v>kg CH4/head/day</v>
      </c>
      <c r="AJ192" s="2"/>
    </row>
    <row r="193" spans="3:37" ht="20.100000000000001" customHeight="1" x14ac:dyDescent="0.25">
      <c r="W193" s="52" t="str">
        <f>'Input - Pasture Beef'!$D$180</f>
        <v>Anaerobic lagoon</v>
      </c>
      <c r="X193" s="52" t="str">
        <f t="shared" si="9"/>
        <v>May 2024</v>
      </c>
      <c r="Y193" s="52">
        <f>(X135 * $I$155 * $E$166 * $E$172 * $I$158)</f>
        <v>1.0840974144617182E-3</v>
      </c>
      <c r="Z193" s="52">
        <f>(Y135 * $I$155 * $E$166 * $E$172 * $I$158)</f>
        <v>3.1464741571425175E-3</v>
      </c>
      <c r="AA193" s="52">
        <f>(Z135 * $I$155 * $E$166 * $E$172 * $I$158)</f>
        <v>9.8832181044853241E-4</v>
      </c>
      <c r="AB193" s="52">
        <f>(AA135 * $I$155 * $E$166 * $E$172 * $I$158)</f>
        <v>1.9890443928274122E-3</v>
      </c>
      <c r="AC193" s="52">
        <f>(AB135 * $I$155 * $E$166 * $E$172 * $I$158)</f>
        <v>2.2428414303030022E-3</v>
      </c>
      <c r="AD193" s="52">
        <f>(AC135 * $I$155 * $E$166 * $E$172 * $I$158)</f>
        <v>2.2428414303030022E-3</v>
      </c>
      <c r="AE193" s="52">
        <f>(AD135 * $I$155 * $E$166 * $E$172 * $I$158)</f>
        <v>1.0840974144617182E-3</v>
      </c>
      <c r="AF193" s="52">
        <f>(AE135 * $I$155 * $E$166 * $E$172 * $I$158)</f>
        <v>1.9682053572835068E-3</v>
      </c>
      <c r="AG193" s="52">
        <f>(AF135 * $I$155 * $E$166 * $E$172 * $I$158)</f>
        <v>1.9682053572835068E-3</v>
      </c>
      <c r="AH193" s="52">
        <f>(AG135 * $I$155 * $E$166 * $E$172 * $I$158)</f>
        <v>1.9682053572835068E-3</v>
      </c>
      <c r="AI193" s="2" t="str">
        <f t="shared" si="8"/>
        <v>kg CH4/head/day</v>
      </c>
      <c r="AJ193" s="2"/>
    </row>
    <row r="194" spans="3:37" ht="20.100000000000001" customHeight="1" x14ac:dyDescent="0.25">
      <c r="W194" s="52" t="str">
        <f>'Input - Pasture Beef'!$D$180</f>
        <v>Anaerobic lagoon</v>
      </c>
      <c r="X194" s="52" t="str">
        <f t="shared" si="9"/>
        <v>June 2024</v>
      </c>
      <c r="Y194" s="52">
        <f>(X136 * $I$155 * $E$166 * $E$172 * $I$158)</f>
        <v>1.4688403146586094E-3</v>
      </c>
      <c r="Z194" s="52">
        <f>(Y136 * $I$155 * $E$166 * $E$172 * $I$158)</f>
        <v>2.854425459723719E-3</v>
      </c>
      <c r="AA194" s="52">
        <f>(Z136 * $I$155 * $E$166 * $E$172 * $I$158)</f>
        <v>1.2026544225974751E-3</v>
      </c>
      <c r="AB194" s="52">
        <f>(AA136 * $I$155 * $E$166 * $E$172 * $I$158)</f>
        <v>1.6963146965792107E-3</v>
      </c>
      <c r="AC194" s="52">
        <f>(AB136 * $I$155 * $E$166 * $E$172 * $I$158)</f>
        <v>2.2756584616302694E-3</v>
      </c>
      <c r="AD194" s="52">
        <f>(AC136 * $I$155 * $E$166 * $E$172 * $I$158)</f>
        <v>2.2756584616302694E-3</v>
      </c>
      <c r="AE194" s="52">
        <f>(AD136 * $I$155 * $E$166 * $E$172 * $I$158)</f>
        <v>1.291239621188348E-3</v>
      </c>
      <c r="AF194" s="52">
        <f>(AE136 * $I$155 * $E$166 * $E$172 * $I$158)</f>
        <v>1.9658901350191817E-3</v>
      </c>
      <c r="AG194" s="52">
        <f>(AF136 * $I$155 * $E$166 * $E$172 * $I$158)</f>
        <v>1.9658901350191817E-3</v>
      </c>
      <c r="AH194" s="52">
        <f>(AG136 * $I$155 * $E$166 * $E$172 * $I$158)</f>
        <v>1.9658901350191817E-3</v>
      </c>
      <c r="AI194" s="2" t="str">
        <f t="shared" si="8"/>
        <v>kg CH4/head/day</v>
      </c>
      <c r="AJ194" s="2"/>
    </row>
    <row r="195" spans="3:37" ht="20.100000000000001" customHeight="1" x14ac:dyDescent="0.25">
      <c r="W195" s="52" t="str">
        <f>'Input - Pasture Beef'!$D$180</f>
        <v>Anaerobic lagoon</v>
      </c>
      <c r="X195" s="52" t="str">
        <f t="shared" si="9"/>
        <v>July 2024</v>
      </c>
      <c r="Y195" s="52">
        <f>(X137 * $I$155 * $E$166 * $E$172 * $I$158)</f>
        <v>1.4688403146586094E-3</v>
      </c>
      <c r="Z195" s="52">
        <f>(Y137 * $I$155 * $E$166 * $E$172 * $I$158)</f>
        <v>2.854425459723719E-3</v>
      </c>
      <c r="AA195" s="52">
        <f>(Z137 * $I$155 * $E$166 * $E$172 * $I$158)</f>
        <v>1.2026544225974751E-3</v>
      </c>
      <c r="AB195" s="52">
        <f>(AA137 * $I$155 * $E$166 * $E$172 * $I$158)</f>
        <v>1.6963146965792107E-3</v>
      </c>
      <c r="AC195" s="52">
        <f>(AB137 * $I$155 * $E$166 * $E$172 * $I$158)</f>
        <v>2.2756584616302694E-3</v>
      </c>
      <c r="AD195" s="52">
        <f>(AC137 * $I$155 * $E$166 * $E$172 * $I$158)</f>
        <v>2.2756584616302694E-3</v>
      </c>
      <c r="AE195" s="52">
        <f>(AD137 * $I$155 * $E$166 * $E$172 * $I$158)</f>
        <v>1.291239621188348E-3</v>
      </c>
      <c r="AF195" s="52">
        <f>(AE137 * $I$155 * $E$166 * $E$172 * $I$158)</f>
        <v>1.9658901350191817E-3</v>
      </c>
      <c r="AG195" s="52">
        <f>(AF137 * $I$155 * $E$166 * $E$172 * $I$158)</f>
        <v>1.9658901350191817E-3</v>
      </c>
      <c r="AH195" s="52">
        <f>(AG137 * $I$155 * $E$166 * $E$172 * $I$158)</f>
        <v>1.9658901350191817E-3</v>
      </c>
      <c r="AI195" s="2" t="str">
        <f t="shared" si="8"/>
        <v>kg CH4/head/day</v>
      </c>
      <c r="AJ195" s="2"/>
    </row>
    <row r="196" spans="3:37" ht="20.100000000000001" customHeight="1" x14ac:dyDescent="0.25">
      <c r="W196" s="52" t="str">
        <f>'Input - Pasture Beef'!$D$180</f>
        <v>Anaerobic lagoon</v>
      </c>
      <c r="X196" s="52" t="str">
        <f t="shared" si="9"/>
        <v>August 2024</v>
      </c>
      <c r="Y196" s="52">
        <f>(X138 * $I$155 * $E$166 * $E$172 * $I$158)</f>
        <v>1.4688403146586094E-3</v>
      </c>
      <c r="Z196" s="52">
        <f>(Y138 * $I$155 * $E$166 * $E$172 * $I$158)</f>
        <v>2.854425459723719E-3</v>
      </c>
      <c r="AA196" s="52">
        <f>(Z138 * $I$155 * $E$166 * $E$172 * $I$158)</f>
        <v>1.2026544225974751E-3</v>
      </c>
      <c r="AB196" s="52">
        <f>(AA138 * $I$155 * $E$166 * $E$172 * $I$158)</f>
        <v>2.0779855033095339E-3</v>
      </c>
      <c r="AC196" s="52">
        <f>(AB138 * $I$155 * $E$166 * $E$172 * $I$158)</f>
        <v>2.7876816154970801E-3</v>
      </c>
      <c r="AD196" s="52">
        <f>(AC138 * $I$155 * $E$166 * $E$172 * $I$158)</f>
        <v>2.7876816154970801E-3</v>
      </c>
      <c r="AE196" s="52">
        <f>(AD138 * $I$155 * $E$166 * $E$172 * $I$158)</f>
        <v>1.291239621188348E-3</v>
      </c>
      <c r="AF196" s="52">
        <f>(AE138 * $I$155 * $E$166 * $E$172 * $I$158)</f>
        <v>1.9658901350191817E-3</v>
      </c>
      <c r="AG196" s="52">
        <f>(AF138 * $I$155 * $E$166 * $E$172 * $I$158)</f>
        <v>1.9658901350191817E-3</v>
      </c>
      <c r="AH196" s="52">
        <f>(AG138 * $I$155 * $E$166 * $E$172 * $I$158)</f>
        <v>1.9658901350191817E-3</v>
      </c>
      <c r="AI196" s="2" t="str">
        <f t="shared" si="8"/>
        <v>kg CH4/head/day</v>
      </c>
      <c r="AJ196" s="2"/>
    </row>
    <row r="197" spans="3:37" ht="20.100000000000001" customHeight="1" x14ac:dyDescent="0.25">
      <c r="W197" s="52" t="str">
        <f>'Input - Pasture Beef'!$D$180</f>
        <v>Anaerobic lagoon</v>
      </c>
      <c r="X197" s="52" t="str">
        <f t="shared" si="9"/>
        <v>September 2024</v>
      </c>
      <c r="Y197" s="52">
        <f>(X139 * $I$155 * $E$166 * $E$172 * $I$158)</f>
        <v>2.4812833436492908E-3</v>
      </c>
      <c r="Z197" s="52">
        <f>(Y139 * $I$155 * $E$166 * $E$172 * $I$158)</f>
        <v>3.5044828695429209E-3</v>
      </c>
      <c r="AA197" s="52">
        <f>(Z139 * $I$155 * $E$166 * $E$172 * $I$158)</f>
        <v>1.8912334889579457E-3</v>
      </c>
      <c r="AB197" s="52">
        <f>(AA139 * $I$155 * $E$166 * $E$172 * $I$158)</f>
        <v>3.0403360007820158E-3</v>
      </c>
      <c r="AC197" s="52">
        <f>(AB139 * $I$155 * $E$166 * $E$172 * $I$158)</f>
        <v>3.3761640881115212E-3</v>
      </c>
      <c r="AD197" s="52">
        <f>(AC139 * $I$155 * $E$166 * $E$172 * $I$158)</f>
        <v>3.3761640881115212E-3</v>
      </c>
      <c r="AE197" s="52">
        <f>(AD139 * $I$155 * $E$166 * $E$172 * $I$158)</f>
        <v>2.1803414772367767E-3</v>
      </c>
      <c r="AF197" s="52">
        <f>(AE139 * $I$155 * $E$166 * $E$172 * $I$158)</f>
        <v>2.7707428418975179E-3</v>
      </c>
      <c r="AG197" s="52">
        <f>(AF139 * $I$155 * $E$166 * $E$172 * $I$158)</f>
        <v>2.7707428418975179E-3</v>
      </c>
      <c r="AH197" s="52">
        <f>(AG139 * $I$155 * $E$166 * $E$172 * $I$158)</f>
        <v>2.7707428418975179E-3</v>
      </c>
      <c r="AI197" s="2" t="str">
        <f t="shared" si="8"/>
        <v>kg CH4/head/day</v>
      </c>
      <c r="AJ197" s="2"/>
    </row>
    <row r="198" spans="3:37" ht="20.100000000000001" customHeight="1" x14ac:dyDescent="0.25">
      <c r="W198" s="52" t="str">
        <f>'Input - Pasture Beef'!$D$180</f>
        <v>Anaerobic lagoon</v>
      </c>
      <c r="X198" s="52" t="str">
        <f t="shared" si="9"/>
        <v>October 2024</v>
      </c>
      <c r="Y198" s="52">
        <f>(X140 * $I$155 * $E$166 * $E$172 * $I$158)</f>
        <v>2.4812833436492908E-3</v>
      </c>
      <c r="Z198" s="52">
        <f>(Y140 * $I$155 * $E$166 * $E$172 * $I$158)</f>
        <v>3.5044828695429209E-3</v>
      </c>
      <c r="AA198" s="52">
        <f>(Z140 * $I$155 * $E$166 * $E$172 * $I$158)</f>
        <v>1.8912334889579457E-3</v>
      </c>
      <c r="AB198" s="52">
        <f>(AA140 * $I$155 * $E$166 * $E$172 * $I$158)</f>
        <v>3.0403360007820158E-3</v>
      </c>
      <c r="AC198" s="52">
        <f>(AB140 * $I$155 * $E$166 * $E$172 * $I$158)</f>
        <v>3.3761640881115212E-3</v>
      </c>
      <c r="AD198" s="52">
        <f>(AC140 * $I$155 * $E$166 * $E$172 * $I$158)</f>
        <v>3.3761640881115212E-3</v>
      </c>
      <c r="AE198" s="52">
        <f>(AD140 * $I$155 * $E$166 * $E$172 * $I$158)</f>
        <v>2.1803414772367767E-3</v>
      </c>
      <c r="AF198" s="52">
        <f>(AE140 * $I$155 * $E$166 * $E$172 * $I$158)</f>
        <v>2.7707428418975179E-3</v>
      </c>
      <c r="AG198" s="52">
        <f>(AF140 * $I$155 * $E$166 * $E$172 * $I$158)</f>
        <v>2.7707428418975179E-3</v>
      </c>
      <c r="AH198" s="52">
        <f>(AG140 * $I$155 * $E$166 * $E$172 * $I$158)</f>
        <v>2.7707428418975179E-3</v>
      </c>
      <c r="AI198" s="2" t="str">
        <f t="shared" si="8"/>
        <v>kg CH4/head/day</v>
      </c>
      <c r="AJ198" s="2"/>
    </row>
    <row r="199" spans="3:37" ht="20.100000000000001" customHeight="1" x14ac:dyDescent="0.25">
      <c r="W199" s="52" t="str">
        <f>'Input - Pasture Beef'!$D$180</f>
        <v>Anaerobic lagoon</v>
      </c>
      <c r="X199" s="52" t="str">
        <f t="shared" si="9"/>
        <v>November 2024</v>
      </c>
      <c r="Y199" s="52">
        <f>(X141 * $I$155 * $E$166 * $E$172 * $I$158)</f>
        <v>2.4812833436492908E-3</v>
      </c>
      <c r="Z199" s="52">
        <f>(Y141 * $I$155 * $E$166 * $E$172 * $I$158)</f>
        <v>3.5044828695429209E-3</v>
      </c>
      <c r="AA199" s="52">
        <f>(Z141 * $I$155 * $E$166 * $E$172 * $I$158)</f>
        <v>1.8912334889579457E-3</v>
      </c>
      <c r="AB199" s="52">
        <f>(AA141 * $I$155 * $E$166 * $E$172 * $I$158)</f>
        <v>2.6680499598699331E-3</v>
      </c>
      <c r="AC199" s="52">
        <f>(AB141 * $I$155 * $E$166 * $E$172 * $I$158)</f>
        <v>2.9627562405876609E-3</v>
      </c>
      <c r="AD199" s="52">
        <f>(AC141 * $I$155 * $E$166 * $E$172 * $I$158)</f>
        <v>2.9627562405876609E-3</v>
      </c>
      <c r="AE199" s="52">
        <f>(AD141 * $I$155 * $E$166 * $E$172 * $I$158)</f>
        <v>2.1803414772367767E-3</v>
      </c>
      <c r="AF199" s="52">
        <f>(AE141 * $I$155 * $E$166 * $E$172 * $I$158)</f>
        <v>2.7707428418975179E-3</v>
      </c>
      <c r="AG199" s="52">
        <f>(AF141 * $I$155 * $E$166 * $E$172 * $I$158)</f>
        <v>2.7707428418975179E-3</v>
      </c>
      <c r="AH199" s="52">
        <f>(AG141 * $I$155 * $E$166 * $E$172 * $I$158)</f>
        <v>2.7707428418975179E-3</v>
      </c>
      <c r="AI199" s="2" t="str">
        <f t="shared" si="8"/>
        <v>kg CH4/head/day</v>
      </c>
      <c r="AJ199" s="2"/>
    </row>
    <row r="200" spans="3:37" ht="20.100000000000001" customHeight="1" x14ac:dyDescent="0.25">
      <c r="W200" s="52" t="str">
        <f>'Input - Pasture Beef'!$D$180</f>
        <v>Anaerobic lagoon</v>
      </c>
      <c r="X200" s="52" t="str">
        <f t="shared" si="9"/>
        <v>December 2024</v>
      </c>
      <c r="Y200" s="52">
        <f>(X142 * $I$155 * $E$166 * $E$172 * $I$158)</f>
        <v>2.3129761588141953E-3</v>
      </c>
      <c r="Z200" s="52">
        <f>(Y142 * $I$155 * $E$166 * $E$172 * $I$158)</f>
        <v>3.0602961300360589E-3</v>
      </c>
      <c r="AA200" s="52">
        <f>(Z142 * $I$155 * $E$166 * $E$172 * $I$158)</f>
        <v>1.9451607170601457E-3</v>
      </c>
      <c r="AB200" s="52">
        <f>(AA142 * $I$155 * $E$166 * $E$172 * $I$158)</f>
        <v>2.7382291851756543E-3</v>
      </c>
      <c r="AC200" s="52">
        <f>(AB142 * $I$155 * $E$166 * $E$172 * $I$158)</f>
        <v>2.7111819387549904E-3</v>
      </c>
      <c r="AD200" s="52">
        <f>(AC142 * $I$155 * $E$166 * $E$172 * $I$158)</f>
        <v>2.7111819387549904E-3</v>
      </c>
      <c r="AE200" s="52">
        <f>(AD142 * $I$155 * $E$166 * $E$172 * $I$158)</f>
        <v>2.1319949983930825E-3</v>
      </c>
      <c r="AF200" s="52">
        <f>(AE142 * $I$155 * $E$166 * $E$172 * $I$158)</f>
        <v>2.3764788151900769E-3</v>
      </c>
      <c r="AG200" s="52">
        <f>(AF142 * $I$155 * $E$166 * $E$172 * $I$158)</f>
        <v>2.3764788151900769E-3</v>
      </c>
      <c r="AH200" s="52">
        <f>(AG142 * $I$155 * $E$166 * $E$172 * $I$158)</f>
        <v>2.3764788151900769E-3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
        <v>417</v>
      </c>
    </row>
    <row r="205" spans="3:37" ht="20.100000000000001" customHeight="1" x14ac:dyDescent="0.25">
      <c r="D205" s="5" t="s">
        <v>418</v>
      </c>
    </row>
    <row r="206" spans="3:37" ht="20.100000000000001" customHeight="1" x14ac:dyDescent="0.25">
      <c r="D206" s="13"/>
      <c r="E206" s="13"/>
    </row>
    <row r="207" spans="3:37" ht="20.100000000000001" customHeight="1" x14ac:dyDescent="0.25"/>
    <row r="208" spans="3:37" ht="20.100000000000001" customHeight="1" x14ac:dyDescent="0.25"/>
    <row r="209" spans="4:34" ht="20.100000000000001" customHeight="1" x14ac:dyDescent="0.25">
      <c r="D209" s="53" t="s">
        <v>29</v>
      </c>
      <c r="E209" s="1" t="s">
        <v>419</v>
      </c>
    </row>
    <row r="210" spans="4:34" ht="20.100000000000001" customHeight="1" x14ac:dyDescent="0.25">
      <c r="D210" s="53" t="s">
        <v>20</v>
      </c>
      <c r="E210" s="54" t="s">
        <v>147</v>
      </c>
    </row>
    <row r="211" spans="4:34" ht="20.100000000000001" customHeight="1" x14ac:dyDescent="0.25"/>
    <row r="212" spans="4:34" ht="20.100000000000001" customHeight="1" x14ac:dyDescent="0.25">
      <c r="D212" s="121" t="s">
        <v>420</v>
      </c>
      <c r="E212" s="126" t="s">
        <v>421</v>
      </c>
      <c r="F212" s="125"/>
      <c r="G212" s="121" t="s">
        <v>101</v>
      </c>
      <c r="H212" s="123" t="s">
        <v>375</v>
      </c>
      <c r="I212" s="120" t="str" cm="1">
        <f t="array" aca="1" ref="I212" ca="1">HYPERLINK(Common_InputFunctions.Utility_SourceHyperlink($D$216), $D$216)</f>
        <v>M1_Table_N_j_k_l</v>
      </c>
    </row>
    <row r="213" spans="4:34" ht="20.100000000000001" customHeight="1" x14ac:dyDescent="0.25">
      <c r="D213" s="121" t="s">
        <v>399</v>
      </c>
      <c r="E213" s="126" t="s">
        <v>422</v>
      </c>
      <c r="F213" s="125"/>
      <c r="G213" s="121" t="s">
        <v>133</v>
      </c>
      <c r="H213" s="122" t="s">
        <v>425</v>
      </c>
      <c r="I213" s="120" t="str" cm="1">
        <f t="array" aca="1" ref="I213" ca="1">HYPERLINK(Common_InputFunctions.Utility_SourceHyperlink($D$174), $D$174)</f>
        <v>M1_Table_M_j_k_l_m</v>
      </c>
    </row>
    <row r="214" spans="4:34" ht="20.100000000000001" customHeight="1" x14ac:dyDescent="0.25">
      <c r="D214" s="121" t="s">
        <v>423</v>
      </c>
      <c r="E214" s="126" t="s">
        <v>424</v>
      </c>
      <c r="F214" s="125"/>
      <c r="G214" s="121" t="s">
        <v>277</v>
      </c>
      <c r="H214" s="123" t="s">
        <v>375</v>
      </c>
      <c r="I214" s="120" t="str" cm="1">
        <f t="array" aca="1" ref="I214" ca="1">HYPERLINK(Common_InputFunctions.Utility_SourceHyperlink($D$224), $D$224)</f>
        <v>M1_Table_D_j</v>
      </c>
    </row>
    <row r="215" spans="4:34" ht="20.100000000000001" customHeight="1" x14ac:dyDescent="0.25"/>
    <row r="216" spans="4:34" ht="20.100000000000001" customHeight="1" x14ac:dyDescent="0.25">
      <c r="D216" s="99" t="s">
        <v>274</v>
      </c>
      <c r="W216" s="99" t="s">
        <v>279</v>
      </c>
    </row>
    <row r="217" spans="4:34" ht="20.100000000000001" customHeight="1" x14ac:dyDescent="0.25">
      <c r="D217" s="98" t="s">
        <v>275</v>
      </c>
      <c r="W217" s="98" t="s">
        <v>280</v>
      </c>
    </row>
    <row r="218" spans="4:34" ht="20.100000000000001" customHeight="1" x14ac:dyDescent="0.25">
      <c r="D218" s="51" t="s">
        <v>183</v>
      </c>
      <c r="E218" s="124" t="s">
        <v>130</v>
      </c>
      <c r="F218" s="124" t="s">
        <v>129</v>
      </c>
      <c r="G218" s="124" t="s">
        <v>164</v>
      </c>
      <c r="H218" s="124" t="s">
        <v>165</v>
      </c>
      <c r="I218" s="124" t="s">
        <v>166</v>
      </c>
      <c r="J218" s="124" t="s">
        <v>167</v>
      </c>
      <c r="K218" s="124" t="s">
        <v>168</v>
      </c>
      <c r="L218" s="124" t="s">
        <v>169</v>
      </c>
      <c r="M218" s="124" t="s">
        <v>170</v>
      </c>
      <c r="N218" s="124" t="s">
        <v>171</v>
      </c>
      <c r="W218" s="51" t="s">
        <v>131</v>
      </c>
      <c r="X218" s="124" t="s">
        <v>130</v>
      </c>
      <c r="Y218" s="124" t="s">
        <v>129</v>
      </c>
      <c r="Z218" s="124" t="s">
        <v>164</v>
      </c>
      <c r="AA218" s="124" t="s">
        <v>165</v>
      </c>
      <c r="AB218" s="124" t="s">
        <v>166</v>
      </c>
      <c r="AC218" s="124" t="s">
        <v>167</v>
      </c>
      <c r="AD218" s="124" t="s">
        <v>168</v>
      </c>
      <c r="AE218" s="124" t="s">
        <v>169</v>
      </c>
      <c r="AF218" s="124" t="s">
        <v>170</v>
      </c>
      <c r="AG218" s="124" t="s">
        <v>171</v>
      </c>
      <c r="AH218" s="2"/>
    </row>
    <row r="219" spans="4:34" ht="20.100000000000001" customHeight="1" x14ac:dyDescent="0.25">
      <c r="D219" s="52" t="s">
        <v>172</v>
      </c>
      <c r="E219" s="52">
        <f>'Input - Pasture Beef'!E38</f>
        <v>100</v>
      </c>
      <c r="F219" s="52">
        <f>'Input - Pasture Beef'!F38</f>
        <v>100</v>
      </c>
      <c r="G219" s="52">
        <f>'Input - Pasture Beef'!G38</f>
        <v>100</v>
      </c>
      <c r="H219" s="52">
        <f>'Input - Pasture Beef'!H38</f>
        <v>100</v>
      </c>
      <c r="I219" s="52">
        <f>'Input - Pasture Beef'!I38</f>
        <v>100</v>
      </c>
      <c r="J219" s="52">
        <f>'Input - Pasture Beef'!J38</f>
        <v>100</v>
      </c>
      <c r="K219" s="52">
        <f>'Input - Pasture Beef'!K38</f>
        <v>100</v>
      </c>
      <c r="L219" s="52">
        <f>'Input - Pasture Beef'!L38</f>
        <v>100</v>
      </c>
      <c r="M219" s="52">
        <f>'Input - Pasture Beef'!M38</f>
        <v>100</v>
      </c>
      <c r="N219" s="52">
        <f>'Input - Pasture Beef'!N38</f>
        <v>100</v>
      </c>
      <c r="O219" s="2" t="s">
        <v>101</v>
      </c>
      <c r="W219" s="52" t="str">
        <f>TEXT('Input - Site'!$E$12, "mmmm yyyy")</f>
        <v>January 2024</v>
      </c>
      <c r="X219" s="52">
        <f>'Input - Pasture Beef'!E44</f>
        <v>100</v>
      </c>
      <c r="Y219" s="52">
        <f>'Input - Pasture Beef'!F44</f>
        <v>100</v>
      </c>
      <c r="Z219" s="52">
        <f>'Input - Pasture Beef'!G44</f>
        <v>100</v>
      </c>
      <c r="AA219" s="52">
        <f>'Input - Pasture Beef'!H44</f>
        <v>100</v>
      </c>
      <c r="AB219" s="52">
        <f>'Input - Pasture Beef'!I44</f>
        <v>100</v>
      </c>
      <c r="AC219" s="52">
        <f>'Input - Pasture Beef'!J44</f>
        <v>100</v>
      </c>
      <c r="AD219" s="52">
        <f>'Input - Pasture Beef'!K44</f>
        <v>100</v>
      </c>
      <c r="AE219" s="52">
        <f>'Input - Pasture Beef'!L44</f>
        <v>100</v>
      </c>
      <c r="AF219" s="52">
        <f>'Input - Pasture Beef'!M44</f>
        <v>100</v>
      </c>
      <c r="AG219" s="52">
        <f>'Input - Pasture Beef'!N44</f>
        <v>100</v>
      </c>
      <c r="AH219" s="2" t="s">
        <v>102</v>
      </c>
    </row>
    <row r="220" spans="4:34" ht="20.100000000000001" customHeight="1" x14ac:dyDescent="0.25">
      <c r="D220" s="52" t="s">
        <v>173</v>
      </c>
      <c r="E220" s="52">
        <f>'Input - Pasture Beef'!E39</f>
        <v>100</v>
      </c>
      <c r="F220" s="52">
        <f>'Input - Pasture Beef'!F39</f>
        <v>100</v>
      </c>
      <c r="G220" s="52">
        <f>'Input - Pasture Beef'!G39</f>
        <v>100</v>
      </c>
      <c r="H220" s="52">
        <f>'Input - Pasture Beef'!H39</f>
        <v>100</v>
      </c>
      <c r="I220" s="52">
        <f>'Input - Pasture Beef'!I39</f>
        <v>100</v>
      </c>
      <c r="J220" s="52">
        <f>'Input - Pasture Beef'!J39</f>
        <v>100</v>
      </c>
      <c r="K220" s="52">
        <f>'Input - Pasture Beef'!K39</f>
        <v>100</v>
      </c>
      <c r="L220" s="52">
        <f>'Input - Pasture Beef'!L39</f>
        <v>100</v>
      </c>
      <c r="M220" s="52">
        <f>'Input - Pasture Beef'!M39</f>
        <v>100</v>
      </c>
      <c r="N220" s="52">
        <f>'Input - Pasture Beef'!N39</f>
        <v>100</v>
      </c>
      <c r="O220" s="2" t="s">
        <v>101</v>
      </c>
      <c r="W220" s="52" t="str">
        <f>TEXT(EDATE('Input - Site'!$E$12,1), "mmmm yyyy")</f>
        <v>February 2024</v>
      </c>
      <c r="X220" s="52">
        <f>'Input - Pasture Beef'!E45</f>
        <v>100</v>
      </c>
      <c r="Y220" s="52">
        <f>'Input - Pasture Beef'!F45</f>
        <v>100</v>
      </c>
      <c r="Z220" s="52">
        <f>'Input - Pasture Beef'!G45</f>
        <v>100</v>
      </c>
      <c r="AA220" s="52">
        <f>'Input - Pasture Beef'!H45</f>
        <v>100</v>
      </c>
      <c r="AB220" s="52">
        <f>'Input - Pasture Beef'!I45</f>
        <v>100</v>
      </c>
      <c r="AC220" s="52">
        <f>'Input - Pasture Beef'!J45</f>
        <v>100</v>
      </c>
      <c r="AD220" s="52">
        <f>'Input - Pasture Beef'!K45</f>
        <v>100</v>
      </c>
      <c r="AE220" s="52">
        <f>'Input - Pasture Beef'!L45</f>
        <v>100</v>
      </c>
      <c r="AF220" s="52">
        <f>'Input - Pasture Beef'!M45</f>
        <v>100</v>
      </c>
      <c r="AG220" s="52">
        <f>'Input - Pasture Beef'!N45</f>
        <v>100</v>
      </c>
      <c r="AH220" s="2" t="s">
        <v>102</v>
      </c>
    </row>
    <row r="221" spans="4:34" ht="20.100000000000001" customHeight="1" x14ac:dyDescent="0.25">
      <c r="D221" s="52" t="s">
        <v>174</v>
      </c>
      <c r="E221" s="52">
        <f>'Input - Pasture Beef'!E40</f>
        <v>200</v>
      </c>
      <c r="F221" s="52">
        <f>'Input - Pasture Beef'!F40</f>
        <v>100</v>
      </c>
      <c r="G221" s="52">
        <f>'Input - Pasture Beef'!G40</f>
        <v>200</v>
      </c>
      <c r="H221" s="52">
        <f>'Input - Pasture Beef'!H40</f>
        <v>100</v>
      </c>
      <c r="I221" s="52">
        <f>'Input - Pasture Beef'!I40</f>
        <v>100</v>
      </c>
      <c r="J221" s="52">
        <f>'Input - Pasture Beef'!J40</f>
        <v>100</v>
      </c>
      <c r="K221" s="52">
        <f>'Input - Pasture Beef'!K40</f>
        <v>200</v>
      </c>
      <c r="L221" s="52">
        <f>'Input - Pasture Beef'!L40</f>
        <v>100</v>
      </c>
      <c r="M221" s="52">
        <f>'Input - Pasture Beef'!M40</f>
        <v>100</v>
      </c>
      <c r="N221" s="52">
        <f>'Input - Pasture Beef'!N40</f>
        <v>100</v>
      </c>
      <c r="O221" s="2" t="s">
        <v>101</v>
      </c>
      <c r="W221" s="52" t="str">
        <f>TEXT(EDATE('Input - Site'!$E$12,2), "mmmm yyyy")</f>
        <v>March 2024</v>
      </c>
      <c r="X221" s="52">
        <f>'Input - Pasture Beef'!E46</f>
        <v>100</v>
      </c>
      <c r="Y221" s="52">
        <f>'Input - Pasture Beef'!F46</f>
        <v>100</v>
      </c>
      <c r="Z221" s="52">
        <f>'Input - Pasture Beef'!G46</f>
        <v>100</v>
      </c>
      <c r="AA221" s="52">
        <f>'Input - Pasture Beef'!H46</f>
        <v>100</v>
      </c>
      <c r="AB221" s="52">
        <f>'Input - Pasture Beef'!I46</f>
        <v>100</v>
      </c>
      <c r="AC221" s="52">
        <f>'Input - Pasture Beef'!J46</f>
        <v>100</v>
      </c>
      <c r="AD221" s="52">
        <f>'Input - Pasture Beef'!K46</f>
        <v>100</v>
      </c>
      <c r="AE221" s="52">
        <f>'Input - Pasture Beef'!L46</f>
        <v>100</v>
      </c>
      <c r="AF221" s="52">
        <f>'Input - Pasture Beef'!M46</f>
        <v>100</v>
      </c>
      <c r="AG221" s="52">
        <f>'Input - Pasture Beef'!N46</f>
        <v>100</v>
      </c>
      <c r="AH221" s="2" t="s">
        <v>102</v>
      </c>
    </row>
    <row r="222" spans="4:34" ht="20.100000000000001" customHeight="1" x14ac:dyDescent="0.25">
      <c r="D222" s="52" t="s">
        <v>175</v>
      </c>
      <c r="E222" s="52">
        <f>'Input - Pasture Beef'!E41</f>
        <v>250</v>
      </c>
      <c r="F222" s="52">
        <f>'Input - Pasture Beef'!F41</f>
        <v>100</v>
      </c>
      <c r="G222" s="52">
        <f>'Input - Pasture Beef'!G41</f>
        <v>250</v>
      </c>
      <c r="H222" s="52">
        <f>'Input - Pasture Beef'!H41</f>
        <v>100</v>
      </c>
      <c r="I222" s="52">
        <f>'Input - Pasture Beef'!I41</f>
        <v>100</v>
      </c>
      <c r="J222" s="52">
        <f>'Input - Pasture Beef'!J41</f>
        <v>100</v>
      </c>
      <c r="K222" s="52">
        <f>'Input - Pasture Beef'!K41</f>
        <v>250</v>
      </c>
      <c r="L222" s="52">
        <f>'Input - Pasture Beef'!L41</f>
        <v>100</v>
      </c>
      <c r="M222" s="52">
        <f>'Input - Pasture Beef'!M41</f>
        <v>100</v>
      </c>
      <c r="N222" s="52">
        <f>'Input - Pasture Beef'!N41</f>
        <v>100</v>
      </c>
      <c r="O222" s="2" t="s">
        <v>101</v>
      </c>
      <c r="W222" s="52" t="str">
        <f>TEXT(EDATE('Input - Site'!$E$12,3), "mmmm yyyy")</f>
        <v>April 2024</v>
      </c>
      <c r="X222" s="52">
        <f>'Input - Pasture Beef'!E47</f>
        <v>100</v>
      </c>
      <c r="Y222" s="52">
        <f>'Input - Pasture Beef'!F47</f>
        <v>100</v>
      </c>
      <c r="Z222" s="52">
        <f>'Input - Pasture Beef'!G47</f>
        <v>100</v>
      </c>
      <c r="AA222" s="52">
        <f>'Input - Pasture Beef'!H47</f>
        <v>100</v>
      </c>
      <c r="AB222" s="52">
        <f>'Input - Pasture Beef'!I47</f>
        <v>100</v>
      </c>
      <c r="AC222" s="52">
        <f>'Input - Pasture Beef'!J47</f>
        <v>100</v>
      </c>
      <c r="AD222" s="52">
        <f>'Input - Pasture Beef'!K47</f>
        <v>100</v>
      </c>
      <c r="AE222" s="52">
        <f>'Input - Pasture Beef'!L47</f>
        <v>100</v>
      </c>
      <c r="AF222" s="52">
        <f>'Input - Pasture Beef'!M47</f>
        <v>100</v>
      </c>
      <c r="AG222" s="52">
        <f>'Input - Pasture Beef'!N47</f>
        <v>100</v>
      </c>
      <c r="AH222" s="2" t="s">
        <v>102</v>
      </c>
    </row>
    <row r="223" spans="4:34" ht="20.100000000000001" customHeight="1" x14ac:dyDescent="0.25">
      <c r="W223" s="52" t="str">
        <f>TEXT(EDATE('Input - Site'!$E$12,4), "mmmm yyyy")</f>
        <v>May 2024</v>
      </c>
      <c r="X223" s="52">
        <f>'Input - Pasture Beef'!E48</f>
        <v>100</v>
      </c>
      <c r="Y223" s="52">
        <f>'Input - Pasture Beef'!F48</f>
        <v>100</v>
      </c>
      <c r="Z223" s="52">
        <f>'Input - Pasture Beef'!G48</f>
        <v>100</v>
      </c>
      <c r="AA223" s="52">
        <f>'Input - Pasture Beef'!H48</f>
        <v>100</v>
      </c>
      <c r="AB223" s="52">
        <f>'Input - Pasture Beef'!I48</f>
        <v>100</v>
      </c>
      <c r="AC223" s="52">
        <f>'Input - Pasture Beef'!J48</f>
        <v>100</v>
      </c>
      <c r="AD223" s="52">
        <f>'Input - Pasture Beef'!K48</f>
        <v>100</v>
      </c>
      <c r="AE223" s="52">
        <f>'Input - Pasture Beef'!L48</f>
        <v>100</v>
      </c>
      <c r="AF223" s="52">
        <f>'Input - Pasture Beef'!M48</f>
        <v>100</v>
      </c>
      <c r="AG223" s="52">
        <f>'Input - Pasture Beef'!N48</f>
        <v>100</v>
      </c>
      <c r="AH223" s="2" t="s">
        <v>102</v>
      </c>
    </row>
    <row r="224" spans="4:34" ht="20.100000000000001" customHeight="1" x14ac:dyDescent="0.25">
      <c r="D224" s="99" t="s">
        <v>145</v>
      </c>
      <c r="W224" s="52" t="str">
        <f>TEXT(EDATE('Input - Site'!$E$12,5), "mmmm yyyy")</f>
        <v>June 2024</v>
      </c>
      <c r="X224" s="52">
        <f>'Input - Pasture Beef'!E49</f>
        <v>100</v>
      </c>
      <c r="Y224" s="52">
        <f>'Input - Pasture Beef'!F49</f>
        <v>100</v>
      </c>
      <c r="Z224" s="52">
        <f>'Input - Pasture Beef'!G49</f>
        <v>100</v>
      </c>
      <c r="AA224" s="52">
        <f>'Input - Pasture Beef'!H49</f>
        <v>100</v>
      </c>
      <c r="AB224" s="52">
        <f>'Input - Pasture Beef'!I49</f>
        <v>100</v>
      </c>
      <c r="AC224" s="52">
        <f>'Input - Pasture Beef'!J49</f>
        <v>100</v>
      </c>
      <c r="AD224" s="52">
        <f>'Input - Pasture Beef'!K49</f>
        <v>100</v>
      </c>
      <c r="AE224" s="52">
        <f>'Input - Pasture Beef'!L49</f>
        <v>100</v>
      </c>
      <c r="AF224" s="52">
        <f>'Input - Pasture Beef'!M49</f>
        <v>100</v>
      </c>
      <c r="AG224" s="52">
        <f>'Input - Pasture Beef'!N49</f>
        <v>100</v>
      </c>
      <c r="AH224" s="2" t="s">
        <v>102</v>
      </c>
    </row>
    <row r="225" spans="4:34" ht="20.100000000000001" customHeight="1" x14ac:dyDescent="0.25">
      <c r="D225" s="98" t="s">
        <v>276</v>
      </c>
      <c r="W225" s="52" t="str">
        <f>TEXT(EDATE('Input - Site'!$E$12,6), "mmmm yyyy")</f>
        <v>July 2024</v>
      </c>
      <c r="X225" s="52">
        <f>'Input - Pasture Beef'!E50</f>
        <v>100</v>
      </c>
      <c r="Y225" s="52">
        <f>'Input - Pasture Beef'!F50</f>
        <v>100</v>
      </c>
      <c r="Z225" s="52">
        <f>'Input - Pasture Beef'!G50</f>
        <v>100</v>
      </c>
      <c r="AA225" s="52">
        <f>'Input - Pasture Beef'!H50</f>
        <v>100</v>
      </c>
      <c r="AB225" s="52">
        <f>'Input - Pasture Beef'!I50</f>
        <v>100</v>
      </c>
      <c r="AC225" s="52">
        <f>'Input - Pasture Beef'!J50</f>
        <v>100</v>
      </c>
      <c r="AD225" s="52">
        <f>'Input - Pasture Beef'!K50</f>
        <v>100</v>
      </c>
      <c r="AE225" s="52">
        <f>'Input - Pasture Beef'!L50</f>
        <v>100</v>
      </c>
      <c r="AF225" s="52">
        <f>'Input - Pasture Beef'!M50</f>
        <v>100</v>
      </c>
      <c r="AG225" s="52">
        <f>'Input - Pasture Beef'!N50</f>
        <v>100</v>
      </c>
      <c r="AH225" s="2" t="s">
        <v>102</v>
      </c>
    </row>
    <row r="226" spans="4:34" ht="20.100000000000001" customHeight="1" x14ac:dyDescent="0.25">
      <c r="D226" s="51" t="s">
        <v>183</v>
      </c>
      <c r="E226" s="124" t="s">
        <v>130</v>
      </c>
      <c r="F226" s="124" t="s">
        <v>129</v>
      </c>
      <c r="G226" s="124" t="s">
        <v>164</v>
      </c>
      <c r="H226" s="124" t="s">
        <v>165</v>
      </c>
      <c r="I226" s="124" t="s">
        <v>166</v>
      </c>
      <c r="J226" s="124" t="s">
        <v>167</v>
      </c>
      <c r="K226" s="124" t="s">
        <v>168</v>
      </c>
      <c r="L226" s="124" t="s">
        <v>169</v>
      </c>
      <c r="M226" s="124" t="s">
        <v>170</v>
      </c>
      <c r="N226" s="124" t="s">
        <v>171</v>
      </c>
      <c r="W226" s="52" t="str">
        <f>TEXT(EDATE('Input - Site'!$E$12,7), "mmmm yyyy")</f>
        <v>August 2024</v>
      </c>
      <c r="X226" s="52">
        <f>'Input - Pasture Beef'!E51</f>
        <v>100</v>
      </c>
      <c r="Y226" s="52">
        <f>'Input - Pasture Beef'!F51</f>
        <v>100</v>
      </c>
      <c r="Z226" s="52">
        <f>'Input - Pasture Beef'!G51</f>
        <v>100</v>
      </c>
      <c r="AA226" s="52">
        <f>'Input - Pasture Beef'!H51</f>
        <v>100</v>
      </c>
      <c r="AB226" s="52">
        <f>'Input - Pasture Beef'!I51</f>
        <v>100</v>
      </c>
      <c r="AC226" s="52">
        <f>'Input - Pasture Beef'!J51</f>
        <v>100</v>
      </c>
      <c r="AD226" s="52">
        <f>'Input - Pasture Beef'!K51</f>
        <v>100</v>
      </c>
      <c r="AE226" s="52">
        <f>'Input - Pasture Beef'!L51</f>
        <v>100</v>
      </c>
      <c r="AF226" s="52">
        <f>'Input - Pasture Beef'!M51</f>
        <v>100</v>
      </c>
      <c r="AG226" s="52">
        <f>'Input - Pasture Beef'!N51</f>
        <v>100</v>
      </c>
      <c r="AH226" s="2" t="s">
        <v>102</v>
      </c>
    </row>
    <row r="227" spans="4:34" ht="20.100000000000001" customHeight="1" x14ac:dyDescent="0.25">
      <c r="D227" s="52" t="s">
        <v>172</v>
      </c>
      <c r="E227" s="52">
        <f>'Input - Pasture Beef'!E16</f>
        <v>91.25</v>
      </c>
      <c r="F227" s="52">
        <f>'Input - Pasture Beef'!F16</f>
        <v>91.25</v>
      </c>
      <c r="G227" s="52">
        <f>'Input - Pasture Beef'!G16</f>
        <v>91.25</v>
      </c>
      <c r="H227" s="52">
        <f>'Input - Pasture Beef'!H16</f>
        <v>91.25</v>
      </c>
      <c r="I227" s="52">
        <f>'Input - Pasture Beef'!I16</f>
        <v>91.25</v>
      </c>
      <c r="J227" s="52">
        <f>'Input - Pasture Beef'!J16</f>
        <v>91.25</v>
      </c>
      <c r="K227" s="52">
        <f>'Input - Pasture Beef'!K16</f>
        <v>91.25</v>
      </c>
      <c r="L227" s="52">
        <f>'Input - Pasture Beef'!L16</f>
        <v>91.25</v>
      </c>
      <c r="M227" s="52">
        <f>'Input - Pasture Beef'!M16</f>
        <v>91.25</v>
      </c>
      <c r="N227" s="52">
        <f>'Input - Pasture Beef'!N16</f>
        <v>91.25</v>
      </c>
      <c r="O227" s="2" t="s">
        <v>277</v>
      </c>
      <c r="W227" s="52" t="str">
        <f>TEXT(EDATE('Input - Site'!$E$12,8), "mmmm yyyy")</f>
        <v>September 2024</v>
      </c>
      <c r="X227" s="52">
        <f>'Input - Pasture Beef'!E52</f>
        <v>100</v>
      </c>
      <c r="Y227" s="52">
        <f>'Input - Pasture Beef'!F52</f>
        <v>100</v>
      </c>
      <c r="Z227" s="52">
        <f>'Input - Pasture Beef'!G52</f>
        <v>100</v>
      </c>
      <c r="AA227" s="52">
        <f>'Input - Pasture Beef'!H52</f>
        <v>100</v>
      </c>
      <c r="AB227" s="52">
        <f>'Input - Pasture Beef'!I52</f>
        <v>100</v>
      </c>
      <c r="AC227" s="52">
        <f>'Input - Pasture Beef'!J52</f>
        <v>100</v>
      </c>
      <c r="AD227" s="52">
        <f>'Input - Pasture Beef'!K52</f>
        <v>100</v>
      </c>
      <c r="AE227" s="52">
        <f>'Input - Pasture Beef'!L52</f>
        <v>100</v>
      </c>
      <c r="AF227" s="52">
        <f>'Input - Pasture Beef'!M52</f>
        <v>100</v>
      </c>
      <c r="AG227" s="52">
        <f>'Input - Pasture Beef'!N52</f>
        <v>100</v>
      </c>
      <c r="AH227" s="2" t="s">
        <v>102</v>
      </c>
    </row>
    <row r="228" spans="4:34" ht="20.100000000000001" customHeight="1" x14ac:dyDescent="0.25">
      <c r="D228" s="52" t="s">
        <v>173</v>
      </c>
      <c r="E228" s="52">
        <f>'Input - Pasture Beef'!E17</f>
        <v>91.25</v>
      </c>
      <c r="F228" s="52">
        <f>'Input - Pasture Beef'!F17</f>
        <v>91.25</v>
      </c>
      <c r="G228" s="52">
        <f>'Input - Pasture Beef'!G17</f>
        <v>91.25</v>
      </c>
      <c r="H228" s="52">
        <f>'Input - Pasture Beef'!H17</f>
        <v>91.25</v>
      </c>
      <c r="I228" s="52">
        <f>'Input - Pasture Beef'!I17</f>
        <v>91.25</v>
      </c>
      <c r="J228" s="52">
        <f>'Input - Pasture Beef'!J17</f>
        <v>91.25</v>
      </c>
      <c r="K228" s="52">
        <f>'Input - Pasture Beef'!K17</f>
        <v>91.25</v>
      </c>
      <c r="L228" s="52">
        <f>'Input - Pasture Beef'!L17</f>
        <v>91.25</v>
      </c>
      <c r="M228" s="52">
        <f>'Input - Pasture Beef'!M17</f>
        <v>91.25</v>
      </c>
      <c r="N228" s="52">
        <f>'Input - Pasture Beef'!N17</f>
        <v>91.25</v>
      </c>
      <c r="O228" s="2" t="s">
        <v>277</v>
      </c>
      <c r="W228" s="52" t="str">
        <f>TEXT(EDATE('Input - Site'!$E$12,9), "mmmm yyyy")</f>
        <v>October 2024</v>
      </c>
      <c r="X228" s="52">
        <f>'Input - Pasture Beef'!E53</f>
        <v>100</v>
      </c>
      <c r="Y228" s="52">
        <f>'Input - Pasture Beef'!F53</f>
        <v>100</v>
      </c>
      <c r="Z228" s="52">
        <f>'Input - Pasture Beef'!G53</f>
        <v>100</v>
      </c>
      <c r="AA228" s="52">
        <f>'Input - Pasture Beef'!H53</f>
        <v>100</v>
      </c>
      <c r="AB228" s="52">
        <f>'Input - Pasture Beef'!I53</f>
        <v>100</v>
      </c>
      <c r="AC228" s="52">
        <f>'Input - Pasture Beef'!J53</f>
        <v>100</v>
      </c>
      <c r="AD228" s="52">
        <f>'Input - Pasture Beef'!K53</f>
        <v>100</v>
      </c>
      <c r="AE228" s="52">
        <f>'Input - Pasture Beef'!L53</f>
        <v>100</v>
      </c>
      <c r="AF228" s="52">
        <f>'Input - Pasture Beef'!M53</f>
        <v>100</v>
      </c>
      <c r="AG228" s="52">
        <f>'Input - Pasture Beef'!N53</f>
        <v>100</v>
      </c>
      <c r="AH228" s="2" t="s">
        <v>102</v>
      </c>
    </row>
    <row r="229" spans="4:34" ht="20.100000000000001" customHeight="1" x14ac:dyDescent="0.25">
      <c r="D229" s="52" t="s">
        <v>174</v>
      </c>
      <c r="E229" s="52">
        <f>'Input - Pasture Beef'!E18</f>
        <v>91.25</v>
      </c>
      <c r="F229" s="52">
        <f>'Input - Pasture Beef'!F18</f>
        <v>91.25</v>
      </c>
      <c r="G229" s="52">
        <f>'Input - Pasture Beef'!G18</f>
        <v>91.25</v>
      </c>
      <c r="H229" s="52">
        <f>'Input - Pasture Beef'!H18</f>
        <v>91.25</v>
      </c>
      <c r="I229" s="52">
        <f>'Input - Pasture Beef'!I18</f>
        <v>91.25</v>
      </c>
      <c r="J229" s="52">
        <f>'Input - Pasture Beef'!J18</f>
        <v>91.25</v>
      </c>
      <c r="K229" s="52">
        <f>'Input - Pasture Beef'!K18</f>
        <v>91.25</v>
      </c>
      <c r="L229" s="52">
        <f>'Input - Pasture Beef'!L18</f>
        <v>91.25</v>
      </c>
      <c r="M229" s="52">
        <f>'Input - Pasture Beef'!M18</f>
        <v>91.25</v>
      </c>
      <c r="N229" s="52">
        <f>'Input - Pasture Beef'!N18</f>
        <v>91.25</v>
      </c>
      <c r="O229" s="2" t="s">
        <v>277</v>
      </c>
      <c r="W229" s="52" t="str">
        <f>TEXT(EDATE('Input - Site'!$E$12,10), "mmmm yyyy")</f>
        <v>November 2024</v>
      </c>
      <c r="X229" s="52">
        <f>'Input - Pasture Beef'!E54</f>
        <v>100</v>
      </c>
      <c r="Y229" s="52">
        <f>'Input - Pasture Beef'!F54</f>
        <v>100</v>
      </c>
      <c r="Z229" s="52">
        <f>'Input - Pasture Beef'!G54</f>
        <v>100</v>
      </c>
      <c r="AA229" s="52">
        <f>'Input - Pasture Beef'!H54</f>
        <v>100</v>
      </c>
      <c r="AB229" s="52">
        <f>'Input - Pasture Beef'!I54</f>
        <v>100</v>
      </c>
      <c r="AC229" s="52">
        <f>'Input - Pasture Beef'!J54</f>
        <v>100</v>
      </c>
      <c r="AD229" s="52">
        <f>'Input - Pasture Beef'!K54</f>
        <v>100</v>
      </c>
      <c r="AE229" s="52">
        <f>'Input - Pasture Beef'!L54</f>
        <v>100</v>
      </c>
      <c r="AF229" s="52">
        <f>'Input - Pasture Beef'!M54</f>
        <v>100</v>
      </c>
      <c r="AG229" s="52">
        <f>'Input - Pasture Beef'!N54</f>
        <v>100</v>
      </c>
      <c r="AH229" s="2" t="s">
        <v>102</v>
      </c>
    </row>
    <row r="230" spans="4:34" ht="20.100000000000001" customHeight="1" x14ac:dyDescent="0.25">
      <c r="D230" s="52" t="s">
        <v>175</v>
      </c>
      <c r="E230" s="52">
        <f>'Input - Pasture Beef'!E19</f>
        <v>91.25</v>
      </c>
      <c r="F230" s="52">
        <f>'Input - Pasture Beef'!F19</f>
        <v>91.25</v>
      </c>
      <c r="G230" s="52">
        <f>'Input - Pasture Beef'!G19</f>
        <v>91.25</v>
      </c>
      <c r="H230" s="52">
        <f>'Input - Pasture Beef'!H19</f>
        <v>91.25</v>
      </c>
      <c r="I230" s="52">
        <f>'Input - Pasture Beef'!I19</f>
        <v>91.25</v>
      </c>
      <c r="J230" s="52">
        <f>'Input - Pasture Beef'!J19</f>
        <v>91.25</v>
      </c>
      <c r="K230" s="52">
        <f>'Input - Pasture Beef'!K19</f>
        <v>91.25</v>
      </c>
      <c r="L230" s="52">
        <f>'Input - Pasture Beef'!L19</f>
        <v>91.25</v>
      </c>
      <c r="M230" s="52">
        <f>'Input - Pasture Beef'!M19</f>
        <v>91.25</v>
      </c>
      <c r="N230" s="52">
        <f>'Input - Pasture Beef'!N19</f>
        <v>91.25</v>
      </c>
      <c r="O230" s="2" t="s">
        <v>277</v>
      </c>
      <c r="W230" s="52" t="str">
        <f>TEXT(EDATE('Input - Site'!$E$12,11), "mmmm yyyy")</f>
        <v>December 2024</v>
      </c>
      <c r="X230" s="52">
        <f>'Input - Pasture Beef'!E55</f>
        <v>100</v>
      </c>
      <c r="Y230" s="52">
        <f>'Input - Pasture Beef'!F55</f>
        <v>100</v>
      </c>
      <c r="Z230" s="52">
        <f>'Input - Pasture Beef'!G55</f>
        <v>100</v>
      </c>
      <c r="AA230" s="52">
        <f>'Input - Pasture Beef'!H55</f>
        <v>100</v>
      </c>
      <c r="AB230" s="52">
        <f>'Input - Pasture Beef'!I55</f>
        <v>100</v>
      </c>
      <c r="AC230" s="52">
        <f>'Input - Pasture Beef'!J55</f>
        <v>100</v>
      </c>
      <c r="AD230" s="52">
        <f>'Input - Pasture Beef'!K55</f>
        <v>100</v>
      </c>
      <c r="AE230" s="52">
        <f>'Input - Pasture Beef'!L55</f>
        <v>100</v>
      </c>
      <c r="AF230" s="52">
        <f>'Input - Pasture Beef'!M55</f>
        <v>100</v>
      </c>
      <c r="AG230" s="52">
        <f>'Input - Pasture Beef'!N55</f>
        <v>100</v>
      </c>
      <c r="AH230" s="2" t="s">
        <v>102</v>
      </c>
    </row>
    <row r="231" spans="4:34" ht="20.100000000000001" customHeight="1" x14ac:dyDescent="0.25"/>
    <row r="232" spans="4:34" ht="20.100000000000001" customHeight="1" x14ac:dyDescent="0.25">
      <c r="D232" s="99" t="s">
        <v>146</v>
      </c>
      <c r="W232" s="99" t="s">
        <v>148</v>
      </c>
    </row>
    <row r="233" spans="4:34" ht="20.100000000000001" customHeight="1" x14ac:dyDescent="0.25">
      <c r="D233" s="98" t="s">
        <v>278</v>
      </c>
      <c r="W233" s="98" t="s">
        <v>281</v>
      </c>
    </row>
    <row r="234" spans="4:34" ht="20.100000000000001" customHeight="1" x14ac:dyDescent="0.25">
      <c r="D234" s="51" t="s">
        <v>67</v>
      </c>
      <c r="E234" s="51" t="s">
        <v>183</v>
      </c>
      <c r="F234" s="51" t="s">
        <v>130</v>
      </c>
      <c r="G234" s="51" t="s">
        <v>129</v>
      </c>
      <c r="H234" s="51" t="s">
        <v>164</v>
      </c>
      <c r="I234" s="51" t="s">
        <v>165</v>
      </c>
      <c r="J234" s="51" t="s">
        <v>166</v>
      </c>
      <c r="K234" s="51" t="s">
        <v>167</v>
      </c>
      <c r="L234" s="51" t="s">
        <v>168</v>
      </c>
      <c r="M234" s="51" t="s">
        <v>169</v>
      </c>
      <c r="N234" s="51" t="s">
        <v>170</v>
      </c>
      <c r="O234" s="51" t="s">
        <v>171</v>
      </c>
      <c r="W234" s="51" t="s">
        <v>131</v>
      </c>
      <c r="X234" s="124" t="s">
        <v>130</v>
      </c>
      <c r="Y234" s="124" t="s">
        <v>129</v>
      </c>
      <c r="Z234" s="124" t="s">
        <v>164</v>
      </c>
      <c r="AA234" s="124" t="s">
        <v>165</v>
      </c>
      <c r="AB234" s="124" t="s">
        <v>166</v>
      </c>
      <c r="AC234" s="124" t="s">
        <v>167</v>
      </c>
      <c r="AD234" s="124" t="s">
        <v>168</v>
      </c>
      <c r="AE234" s="124" t="s">
        <v>169</v>
      </c>
      <c r="AF234" s="124" t="s">
        <v>170</v>
      </c>
      <c r="AG234" s="124" t="s">
        <v>171</v>
      </c>
      <c r="AH234" s="2"/>
    </row>
    <row r="235" spans="4:34" ht="20.100000000000001" customHeight="1" x14ac:dyDescent="0.25">
      <c r="D235" s="52" t="str">
        <f>'Input - Pasture Beef'!$D$179</f>
        <v>Pasture range and paddock</v>
      </c>
      <c r="E235" s="52" t="s">
        <v>172</v>
      </c>
      <c r="F235" s="52">
        <f>((E219 * F177 * E227) * 10 ^ -3)</f>
        <v>3.6902599126922897E-2</v>
      </c>
      <c r="G235" s="52">
        <f>((F219 * G177 * F227) * 10 ^ -3)</f>
        <v>5.2120015560862855E-2</v>
      </c>
      <c r="H235" s="52">
        <f>((G219 * H177 * G227) * 10 ^ -3)</f>
        <v>2.8127151007181096E-2</v>
      </c>
      <c r="I235" s="52">
        <f>((H219 * I177 * H227) * 10 ^ -3)</f>
        <v>4.0603060830972426E-2</v>
      </c>
      <c r="J235" s="52">
        <f>((I219 * J177 * I227) * 10 ^ -3)</f>
        <v>4.79572105598981E-2</v>
      </c>
      <c r="K235" s="52">
        <f>((J219 * K177 * J227) * 10 ^ -3)</f>
        <v>4.79572105598981E-2</v>
      </c>
      <c r="L235" s="52">
        <f>((K219 * L177 * K227) * 10 ^ -3)</f>
        <v>3.2426876076126224E-2</v>
      </c>
      <c r="M235" s="52">
        <f>((L219 * M177 * L227) * 10 ^ -3)</f>
        <v>4.1207551987173248E-2</v>
      </c>
      <c r="N235" s="52">
        <f>((M219 * N177 * M227) * 10 ^ -3)</f>
        <v>4.1207551987173248E-2</v>
      </c>
      <c r="O235" s="52">
        <f>((N219 * O177 * N227) * 10 ^ -3)</f>
        <v>4.1207551987173248E-2</v>
      </c>
      <c r="P235" s="2" t="str">
        <f>$E$210</f>
        <v>t CH4</v>
      </c>
      <c r="Q235" s="2"/>
      <c r="R235" s="2"/>
      <c r="S235" s="2"/>
      <c r="W235" s="52" t="str">
        <f>TEXT('Input - Site'!$E$12, "mmmm yyyy")</f>
        <v>January 2024</v>
      </c>
      <c r="X235" s="52">
        <f>'Input - Pasture Beef'!E22</f>
        <v>31</v>
      </c>
      <c r="Y235" s="52">
        <f>'Input - Pasture Beef'!F22</f>
        <v>31</v>
      </c>
      <c r="Z235" s="52">
        <f>'Input - Pasture Beef'!G22</f>
        <v>31</v>
      </c>
      <c r="AA235" s="52">
        <f>'Input - Pasture Beef'!H22</f>
        <v>31</v>
      </c>
      <c r="AB235" s="52">
        <f>'Input - Pasture Beef'!I22</f>
        <v>31</v>
      </c>
      <c r="AC235" s="52">
        <f>'Input - Pasture Beef'!J22</f>
        <v>31</v>
      </c>
      <c r="AD235" s="52">
        <f>'Input - Pasture Beef'!K22</f>
        <v>31</v>
      </c>
      <c r="AE235" s="52">
        <f>'Input - Pasture Beef'!L22</f>
        <v>31</v>
      </c>
      <c r="AF235" s="52">
        <f>'Input - Pasture Beef'!M22</f>
        <v>31</v>
      </c>
      <c r="AG235" s="52">
        <f>'Input - Pasture Beef'!N22</f>
        <v>31</v>
      </c>
      <c r="AH235" s="2" t="s">
        <v>277</v>
      </c>
    </row>
    <row r="236" spans="4:34" ht="20.100000000000001" customHeight="1" x14ac:dyDescent="0.25">
      <c r="D236" s="52" t="str">
        <f>'Input - Pasture Beef'!$D$179</f>
        <v>Pasture range and paddock</v>
      </c>
      <c r="E236" s="52" t="s">
        <v>173</v>
      </c>
      <c r="F236" s="52">
        <f>((E220 * F178 * E228) * 10 ^ -3)</f>
        <v>3.4399470015107812E-2</v>
      </c>
      <c r="G236" s="52">
        <f>((F220 * G178 * F228) * 10 ^ -3)</f>
        <v>4.5513899726703819E-2</v>
      </c>
      <c r="H236" s="52">
        <f>((G220 * H178 * G228) * 10 ^ -3)</f>
        <v>2.8929177460860826E-2</v>
      </c>
      <c r="I236" s="52">
        <f>((H220 * I178 * H228) * 10 ^ -3)</f>
        <v>3.9398098836561798E-2</v>
      </c>
      <c r="J236" s="52">
        <f>((I220 * J178 * I228) * 10 ^ -3)</f>
        <v>3.9008938537815736E-2</v>
      </c>
      <c r="K236" s="52">
        <f>((J220 * K178 * J228) * 10 ^ -3)</f>
        <v>3.9008938537815736E-2</v>
      </c>
      <c r="L236" s="52">
        <f>((K220 * L178 * K228) * 10 ^ -3)</f>
        <v>3.170784866938791E-2</v>
      </c>
      <c r="M236" s="52">
        <f>((L220 * M178 * L228) * 10 ^ -3)</f>
        <v>3.5343905916687415E-2</v>
      </c>
      <c r="N236" s="52">
        <f>((M220 * N178 * M228) * 10 ^ -3)</f>
        <v>3.5343905916687415E-2</v>
      </c>
      <c r="O236" s="52">
        <f>((N220 * O178 * N228) * 10 ^ -3)</f>
        <v>3.5343905916687415E-2</v>
      </c>
      <c r="P236" s="2" t="str">
        <f t="shared" ref="P236:P242" si="10">$E$210</f>
        <v>t CH4</v>
      </c>
      <c r="Q236" s="2"/>
      <c r="R236" s="2"/>
      <c r="S236" s="2"/>
      <c r="W236" s="52" t="str">
        <f>TEXT(EDATE('Input - Site'!$E$12,1), "mmmm yyyy")</f>
        <v>February 2024</v>
      </c>
      <c r="X236" s="52">
        <f>'Input - Pasture Beef'!E23</f>
        <v>29</v>
      </c>
      <c r="Y236" s="52">
        <f>'Input - Pasture Beef'!F23</f>
        <v>29</v>
      </c>
      <c r="Z236" s="52">
        <f>'Input - Pasture Beef'!G23</f>
        <v>29</v>
      </c>
      <c r="AA236" s="52">
        <f>'Input - Pasture Beef'!H23</f>
        <v>29</v>
      </c>
      <c r="AB236" s="52">
        <f>'Input - Pasture Beef'!I23</f>
        <v>29</v>
      </c>
      <c r="AC236" s="52">
        <f>'Input - Pasture Beef'!J23</f>
        <v>29</v>
      </c>
      <c r="AD236" s="52">
        <f>'Input - Pasture Beef'!K23</f>
        <v>29</v>
      </c>
      <c r="AE236" s="52">
        <f>'Input - Pasture Beef'!L23</f>
        <v>29</v>
      </c>
      <c r="AF236" s="52">
        <f>'Input - Pasture Beef'!M23</f>
        <v>29</v>
      </c>
      <c r="AG236" s="52">
        <f>'Input - Pasture Beef'!N23</f>
        <v>29</v>
      </c>
      <c r="AH236" s="2" t="s">
        <v>277</v>
      </c>
    </row>
    <row r="237" spans="4:34" ht="20.100000000000001" customHeight="1" x14ac:dyDescent="0.25">
      <c r="D237" s="52" t="str">
        <f>'Input - Pasture Beef'!$D$179</f>
        <v>Pasture range and paddock</v>
      </c>
      <c r="E237" s="52" t="s">
        <v>174</v>
      </c>
      <c r="F237" s="52">
        <f>((E221 * F179 * E229) * 10 ^ -3)</f>
        <v>3.2246226456005181E-2</v>
      </c>
      <c r="G237" s="52">
        <f>((F221 * G179 * F229) * 10 ^ -3)</f>
        <v>4.6795572453036442E-2</v>
      </c>
      <c r="H237" s="52">
        <f>((G221 * H179 * G229) * 10 ^ -3)</f>
        <v>2.9397403301581047E-2</v>
      </c>
      <c r="I237" s="52">
        <f>((H221 * I179 * H229) * 10 ^ -3)</f>
        <v>2.9877650669219075E-2</v>
      </c>
      <c r="J237" s="52">
        <f>((I221 * J179 * I229) * 10 ^ -3)</f>
        <v>3.3356399388873852E-2</v>
      </c>
      <c r="K237" s="52">
        <f>((J221 * K179 * J229) * 10 ^ -3)</f>
        <v>3.3356399388873852E-2</v>
      </c>
      <c r="L237" s="52">
        <f>((K221 * L179 * K229) * 10 ^ -3)</f>
        <v>3.2246226456005181E-2</v>
      </c>
      <c r="M237" s="52">
        <f>((L221 * M179 * L229) * 10 ^ -3)</f>
        <v>2.9271906203373613E-2</v>
      </c>
      <c r="N237" s="52">
        <f>((M221 * N179 * M229) * 10 ^ -3)</f>
        <v>2.9271906203373613E-2</v>
      </c>
      <c r="O237" s="52">
        <f>((N221 * O179 * N229) * 10 ^ -3)</f>
        <v>2.9271906203373613E-2</v>
      </c>
      <c r="P237" s="2" t="str">
        <f t="shared" si="10"/>
        <v>t CH4</v>
      </c>
      <c r="Q237" s="2"/>
      <c r="R237" s="2"/>
      <c r="S237" s="2"/>
      <c r="W237" s="52" t="str">
        <f>TEXT(EDATE('Input - Site'!$E$12,2), "mmmm yyyy")</f>
        <v>March 2024</v>
      </c>
      <c r="X237" s="52">
        <f>'Input - Pasture Beef'!E24</f>
        <v>31</v>
      </c>
      <c r="Y237" s="52">
        <f>'Input - Pasture Beef'!F24</f>
        <v>31</v>
      </c>
      <c r="Z237" s="52">
        <f>'Input - Pasture Beef'!G24</f>
        <v>31</v>
      </c>
      <c r="AA237" s="52">
        <f>'Input - Pasture Beef'!H24</f>
        <v>31</v>
      </c>
      <c r="AB237" s="52">
        <f>'Input - Pasture Beef'!I24</f>
        <v>31</v>
      </c>
      <c r="AC237" s="52">
        <f>'Input - Pasture Beef'!J24</f>
        <v>31</v>
      </c>
      <c r="AD237" s="52">
        <f>'Input - Pasture Beef'!K24</f>
        <v>31</v>
      </c>
      <c r="AE237" s="52">
        <f>'Input - Pasture Beef'!L24</f>
        <v>31</v>
      </c>
      <c r="AF237" s="52">
        <f>'Input - Pasture Beef'!M24</f>
        <v>31</v>
      </c>
      <c r="AG237" s="52">
        <f>'Input - Pasture Beef'!N24</f>
        <v>31</v>
      </c>
      <c r="AH237" s="2" t="s">
        <v>277</v>
      </c>
    </row>
    <row r="238" spans="4:34" ht="20.100000000000001" customHeight="1" x14ac:dyDescent="0.25">
      <c r="D238" s="52" t="str">
        <f>'Input - Pasture Beef'!$D$179</f>
        <v>Pasture range and paddock</v>
      </c>
      <c r="E238" s="52" t="s">
        <v>175</v>
      </c>
      <c r="F238" s="52">
        <f>((E222 * F180 * E230) * 10 ^ -3)</f>
        <v>5.4612893618177644E-2</v>
      </c>
      <c r="G238" s="52">
        <f>((F222 * G180 * F230) * 10 ^ -3)</f>
        <v>4.2452112028022924E-2</v>
      </c>
      <c r="H238" s="52">
        <f>((G222 * H180 * G230) * 10 ^ -3)</f>
        <v>4.4715846498271226E-2</v>
      </c>
      <c r="I238" s="52">
        <f>((H222 * I180 * H230) * 10 ^ -3)</f>
        <v>3.0526175051888815E-2</v>
      </c>
      <c r="J238" s="52">
        <f>((I222 * J180 * I230) * 10 ^ -3)</f>
        <v>3.8921136919090077E-2</v>
      </c>
      <c r="K238" s="52">
        <f>((J222 * K180 * J230) * 10 ^ -3)</f>
        <v>3.8921136919090077E-2</v>
      </c>
      <c r="L238" s="52">
        <f>((K222 * L180 * K230) * 10 ^ -3)</f>
        <v>4.8009529261814454E-2</v>
      </c>
      <c r="M238" s="52">
        <f>((L222 * M180 * L230) * 10 ^ -3)</f>
        <v>2.9237473328414466E-2</v>
      </c>
      <c r="N238" s="52">
        <f>((M222 * N180 * M230) * 10 ^ -3)</f>
        <v>2.9237473328414466E-2</v>
      </c>
      <c r="O238" s="52">
        <f>((N222 * O180 * N230) * 10 ^ -3)</f>
        <v>2.9237473328414466E-2</v>
      </c>
      <c r="P238" s="2" t="str">
        <f t="shared" si="10"/>
        <v>t CH4</v>
      </c>
      <c r="Q238" s="2"/>
      <c r="R238" s="2"/>
      <c r="S238" s="2"/>
      <c r="W238" s="52" t="str">
        <f>TEXT(EDATE('Input - Site'!$E$12,3), "mmmm yyyy")</f>
        <v>April 2024</v>
      </c>
      <c r="X238" s="52">
        <f>'Input - Pasture Beef'!E25</f>
        <v>30</v>
      </c>
      <c r="Y238" s="52">
        <f>'Input - Pasture Beef'!F25</f>
        <v>30</v>
      </c>
      <c r="Z238" s="52">
        <f>'Input - Pasture Beef'!G25</f>
        <v>30</v>
      </c>
      <c r="AA238" s="52">
        <f>'Input - Pasture Beef'!H25</f>
        <v>30</v>
      </c>
      <c r="AB238" s="52">
        <f>'Input - Pasture Beef'!I25</f>
        <v>30</v>
      </c>
      <c r="AC238" s="52">
        <f>'Input - Pasture Beef'!J25</f>
        <v>30</v>
      </c>
      <c r="AD238" s="52">
        <f>'Input - Pasture Beef'!K25</f>
        <v>30</v>
      </c>
      <c r="AE238" s="52">
        <f>'Input - Pasture Beef'!L25</f>
        <v>30</v>
      </c>
      <c r="AF238" s="52">
        <f>'Input - Pasture Beef'!M25</f>
        <v>30</v>
      </c>
      <c r="AG238" s="52">
        <f>'Input - Pasture Beef'!N25</f>
        <v>30</v>
      </c>
      <c r="AH238" s="2" t="s">
        <v>277</v>
      </c>
    </row>
    <row r="239" spans="4:34" ht="20.100000000000001" customHeight="1" x14ac:dyDescent="0.25">
      <c r="D239" s="52" t="str">
        <f>'Input - Pasture Beef'!$D$180</f>
        <v>Anaerobic lagoon</v>
      </c>
      <c r="E239" s="52" t="s">
        <v>172</v>
      </c>
      <c r="F239" s="52">
        <f>((E219 * F181 * E227) * 10 ^ -3)</f>
        <v>2.264171051079978E-2</v>
      </c>
      <c r="G239" s="52">
        <f>((F219 * G181 * F227) * 10 ^ -3)</f>
        <v>3.1978406184579151E-2</v>
      </c>
      <c r="H239" s="52">
        <f>((G219 * H181 * G227) * 10 ^ -3)</f>
        <v>1.7257505586741256E-2</v>
      </c>
      <c r="I239" s="52">
        <f>((H219 * I181 * H227) * 10 ^ -3)</f>
        <v>2.4912140904366935E-2</v>
      </c>
      <c r="J239" s="52">
        <f>((I219 * J181 * I227) * 10 ^ -3)</f>
        <v>2.9424303547510716E-2</v>
      </c>
      <c r="K239" s="52">
        <f>((J219 * K181 * J227) * 10 ^ -3)</f>
        <v>2.9424303547510716E-2</v>
      </c>
      <c r="L239" s="52">
        <f>((K219 * L181 * K227) * 10 ^ -3)</f>
        <v>1.9895615979785588E-2</v>
      </c>
      <c r="M239" s="52">
        <f>((L219 * M181 * L227) * 10 ^ -3)</f>
        <v>2.528302843231485E-2</v>
      </c>
      <c r="N239" s="52">
        <f>((M219 * N181 * M227) * 10 ^ -3)</f>
        <v>2.528302843231485E-2</v>
      </c>
      <c r="O239" s="52">
        <f>((N219 * O181 * N227) * 10 ^ -3)</f>
        <v>2.528302843231485E-2</v>
      </c>
      <c r="P239" s="2" t="str">
        <f t="shared" si="10"/>
        <v>t CH4</v>
      </c>
      <c r="Q239" s="2"/>
      <c r="R239" s="2"/>
      <c r="S239" s="2"/>
      <c r="W239" s="52" t="str">
        <f>TEXT(EDATE('Input - Site'!$E$12,4), "mmmm yyyy")</f>
        <v>May 2024</v>
      </c>
      <c r="X239" s="52">
        <f>'Input - Pasture Beef'!E26</f>
        <v>31</v>
      </c>
      <c r="Y239" s="52">
        <f>'Input - Pasture Beef'!F26</f>
        <v>31</v>
      </c>
      <c r="Z239" s="52">
        <f>'Input - Pasture Beef'!G26</f>
        <v>31</v>
      </c>
      <c r="AA239" s="52">
        <f>'Input - Pasture Beef'!H26</f>
        <v>31</v>
      </c>
      <c r="AB239" s="52">
        <f>'Input - Pasture Beef'!I26</f>
        <v>31</v>
      </c>
      <c r="AC239" s="52">
        <f>'Input - Pasture Beef'!J26</f>
        <v>31</v>
      </c>
      <c r="AD239" s="52">
        <f>'Input - Pasture Beef'!K26</f>
        <v>31</v>
      </c>
      <c r="AE239" s="52">
        <f>'Input - Pasture Beef'!L26</f>
        <v>31</v>
      </c>
      <c r="AF239" s="52">
        <f>'Input - Pasture Beef'!M26</f>
        <v>31</v>
      </c>
      <c r="AG239" s="52">
        <f>'Input - Pasture Beef'!N26</f>
        <v>31</v>
      </c>
      <c r="AH239" s="2" t="s">
        <v>277</v>
      </c>
    </row>
    <row r="240" spans="4:34" ht="20.100000000000001" customHeight="1" x14ac:dyDescent="0.25">
      <c r="D240" s="52" t="str">
        <f>'Input - Pasture Beef'!$D$180</f>
        <v>Anaerobic lagoon</v>
      </c>
      <c r="E240" s="52" t="s">
        <v>173</v>
      </c>
      <c r="F240" s="52">
        <f>((E220 * F182 * E228) * 10 ^ -3)</f>
        <v>2.1105907449179534E-2</v>
      </c>
      <c r="G240" s="52">
        <f>((F220 * G182 * F228) * 10 ^ -3)</f>
        <v>2.7925202186579037E-2</v>
      </c>
      <c r="H240" s="52">
        <f>((G220 * H182 * G228) * 10 ^ -3)</f>
        <v>1.7749591543173827E-2</v>
      </c>
      <c r="I240" s="52">
        <f>((H220 * I182 * H228) * 10 ^ -3)</f>
        <v>2.4172832527736703E-2</v>
      </c>
      <c r="J240" s="52">
        <f>((I220 * J182 * I228) * 10 ^ -3)</f>
        <v>2.3934061952358008E-2</v>
      </c>
      <c r="K240" s="52">
        <f>((J220 * K182 * J228) * 10 ^ -3)</f>
        <v>2.3934061952358008E-2</v>
      </c>
      <c r="L240" s="52">
        <f>((K220 * L182 * K228) * 10 ^ -3)</f>
        <v>1.9454454360336878E-2</v>
      </c>
      <c r="M240" s="52">
        <f>((L220 * M182 * L228) * 10 ^ -3)</f>
        <v>2.1685369188609454E-2</v>
      </c>
      <c r="N240" s="52">
        <f>((M220 * N182 * M228) * 10 ^ -3)</f>
        <v>2.1685369188609454E-2</v>
      </c>
      <c r="O240" s="52">
        <f>((N220 * O182 * N228) * 10 ^ -3)</f>
        <v>2.1685369188609454E-2</v>
      </c>
      <c r="P240" s="2" t="str">
        <f t="shared" si="10"/>
        <v>t CH4</v>
      </c>
      <c r="Q240" s="2"/>
      <c r="R240" s="2"/>
      <c r="S240" s="2"/>
      <c r="W240" s="52" t="str">
        <f>TEXT(EDATE('Input - Site'!$E$12,5), "mmmm yyyy")</f>
        <v>June 2024</v>
      </c>
      <c r="X240" s="52">
        <f>'Input - Pasture Beef'!E27</f>
        <v>30</v>
      </c>
      <c r="Y240" s="52">
        <f>'Input - Pasture Beef'!F27</f>
        <v>30</v>
      </c>
      <c r="Z240" s="52">
        <f>'Input - Pasture Beef'!G27</f>
        <v>30</v>
      </c>
      <c r="AA240" s="52">
        <f>'Input - Pasture Beef'!H27</f>
        <v>30</v>
      </c>
      <c r="AB240" s="52">
        <f>'Input - Pasture Beef'!I27</f>
        <v>30</v>
      </c>
      <c r="AC240" s="52">
        <f>'Input - Pasture Beef'!J27</f>
        <v>30</v>
      </c>
      <c r="AD240" s="52">
        <f>'Input - Pasture Beef'!K27</f>
        <v>30</v>
      </c>
      <c r="AE240" s="52">
        <f>'Input - Pasture Beef'!L27</f>
        <v>30</v>
      </c>
      <c r="AF240" s="52">
        <f>'Input - Pasture Beef'!M27</f>
        <v>30</v>
      </c>
      <c r="AG240" s="52">
        <f>'Input - Pasture Beef'!N27</f>
        <v>30</v>
      </c>
      <c r="AH240" s="2" t="s">
        <v>277</v>
      </c>
    </row>
    <row r="241" spans="4:36" ht="20.100000000000001" customHeight="1" x14ac:dyDescent="0.25">
      <c r="D241" s="52" t="str">
        <f>'Input - Pasture Beef'!$D$180</f>
        <v>Anaerobic lagoon</v>
      </c>
      <c r="E241" s="52" t="s">
        <v>174</v>
      </c>
      <c r="F241" s="52">
        <f>((E221 * F183 * E229) * 10 ^ -3)</f>
        <v>1.9784777813926357E-2</v>
      </c>
      <c r="G241" s="52">
        <f>((F221 * G183 * F229) * 10 ^ -3)</f>
        <v>2.8711576683925471E-2</v>
      </c>
      <c r="H241" s="52">
        <f>((G221 * H183 * G229) * 10 ^ -3)</f>
        <v>1.8036873040685717E-2</v>
      </c>
      <c r="I241" s="52">
        <f>((H221 * I183 * H229) * 10 ^ -3)</f>
        <v>1.8331530385395638E-2</v>
      </c>
      <c r="J241" s="52">
        <f>((I221 * J183 * I229) * 10 ^ -3)</f>
        <v>2.0465928051514898E-2</v>
      </c>
      <c r="K241" s="52">
        <f>((J221 * K183 * J229) * 10 ^ -3)</f>
        <v>2.0465928051514898E-2</v>
      </c>
      <c r="L241" s="52">
        <f>((K221 * L183 * K229) * 10 ^ -3)</f>
        <v>1.9784777813926357E-2</v>
      </c>
      <c r="M241" s="52">
        <f>((L221 * M183 * L229) * 10 ^ -3)</f>
        <v>1.7959873885211999E-2</v>
      </c>
      <c r="N241" s="52">
        <f>((M221 * N183 * M229) * 10 ^ -3)</f>
        <v>1.7959873885211999E-2</v>
      </c>
      <c r="O241" s="52">
        <f>((N221 * O183 * N229) * 10 ^ -3)</f>
        <v>1.7959873885211999E-2</v>
      </c>
      <c r="P241" s="2" t="str">
        <f t="shared" si="10"/>
        <v>t CH4</v>
      </c>
      <c r="Q241" s="2"/>
      <c r="R241" s="2"/>
      <c r="S241" s="2"/>
      <c r="W241" s="52" t="str">
        <f>TEXT(EDATE('Input - Site'!$E$12,6), "mmmm yyyy")</f>
        <v>July 2024</v>
      </c>
      <c r="X241" s="52">
        <f>'Input - Pasture Beef'!E28</f>
        <v>31</v>
      </c>
      <c r="Y241" s="52">
        <f>'Input - Pasture Beef'!F28</f>
        <v>31</v>
      </c>
      <c r="Z241" s="52">
        <f>'Input - Pasture Beef'!G28</f>
        <v>31</v>
      </c>
      <c r="AA241" s="52">
        <f>'Input - Pasture Beef'!H28</f>
        <v>31</v>
      </c>
      <c r="AB241" s="52">
        <f>'Input - Pasture Beef'!I28</f>
        <v>31</v>
      </c>
      <c r="AC241" s="52">
        <f>'Input - Pasture Beef'!J28</f>
        <v>31</v>
      </c>
      <c r="AD241" s="52">
        <f>'Input - Pasture Beef'!K28</f>
        <v>31</v>
      </c>
      <c r="AE241" s="52">
        <f>'Input - Pasture Beef'!L28</f>
        <v>31</v>
      </c>
      <c r="AF241" s="52">
        <f>'Input - Pasture Beef'!M28</f>
        <v>31</v>
      </c>
      <c r="AG241" s="52">
        <f>'Input - Pasture Beef'!N28</f>
        <v>31</v>
      </c>
      <c r="AH241" s="2" t="s">
        <v>277</v>
      </c>
    </row>
    <row r="242" spans="4:36" ht="20.100000000000001" customHeight="1" x14ac:dyDescent="0.25">
      <c r="D242" s="52" t="str">
        <f>'Input - Pasture Beef'!$D$180</f>
        <v>Anaerobic lagoon</v>
      </c>
      <c r="E242" s="52" t="s">
        <v>175</v>
      </c>
      <c r="F242" s="52">
        <f>((E222 * F184 * E230) * 10 ^ -3)</f>
        <v>3.3507919678149527E-2</v>
      </c>
      <c r="G242" s="52">
        <f>((F222 * G184 * F230) * 10 ^ -3)</f>
        <v>2.6046632319978936E-2</v>
      </c>
      <c r="H242" s="52">
        <f>((G222 * H184 * G230) * 10 ^ -3)</f>
        <v>2.7435554015504904E-2</v>
      </c>
      <c r="I242" s="52">
        <f>((H222 * I184 * H230) * 10 ^ -3)</f>
        <v>1.872943464360521E-2</v>
      </c>
      <c r="J242" s="52">
        <f>((I222 * J184 * I230) * 10 ^ -3)</f>
        <v>2.3880190981732649E-2</v>
      </c>
      <c r="K242" s="52">
        <f>((J222 * K184 * J230) * 10 ^ -3)</f>
        <v>2.3880190981732649E-2</v>
      </c>
      <c r="L242" s="52">
        <f>((K222 * L184 * K230) * 10 ^ -3)</f>
        <v>2.9456403858359188E-2</v>
      </c>
      <c r="M242" s="52">
        <f>((L222 * M184 * L230) * 10 ^ -3)</f>
        <v>1.7938747482050033E-2</v>
      </c>
      <c r="N242" s="52">
        <f>((M222 * N184 * M230) * 10 ^ -3)</f>
        <v>1.7938747482050033E-2</v>
      </c>
      <c r="O242" s="52">
        <f>((N222 * O184 * N230) * 10 ^ -3)</f>
        <v>1.7938747482050033E-2</v>
      </c>
      <c r="P242" s="2" t="str">
        <f t="shared" si="10"/>
        <v>t CH4</v>
      </c>
      <c r="Q242" s="2"/>
      <c r="R242" s="2"/>
      <c r="S242" s="2"/>
      <c r="W242" s="52" t="str">
        <f>TEXT(EDATE('Input - Site'!$E$12,7), "mmmm yyyy")</f>
        <v>August 2024</v>
      </c>
      <c r="X242" s="52">
        <f>'Input - Pasture Beef'!E29</f>
        <v>31</v>
      </c>
      <c r="Y242" s="52">
        <f>'Input - Pasture Beef'!F29</f>
        <v>31</v>
      </c>
      <c r="Z242" s="52">
        <f>'Input - Pasture Beef'!G29</f>
        <v>31</v>
      </c>
      <c r="AA242" s="52">
        <f>'Input - Pasture Beef'!H29</f>
        <v>31</v>
      </c>
      <c r="AB242" s="52">
        <f>'Input - Pasture Beef'!I29</f>
        <v>31</v>
      </c>
      <c r="AC242" s="52">
        <f>'Input - Pasture Beef'!J29</f>
        <v>31</v>
      </c>
      <c r="AD242" s="52">
        <f>'Input - Pasture Beef'!K29</f>
        <v>31</v>
      </c>
      <c r="AE242" s="52">
        <f>'Input - Pasture Beef'!L29</f>
        <v>31</v>
      </c>
      <c r="AF242" s="52">
        <f>'Input - Pasture Beef'!M29</f>
        <v>31</v>
      </c>
      <c r="AG242" s="52">
        <f>'Input - Pasture Beef'!N29</f>
        <v>31</v>
      </c>
      <c r="AH242" s="2" t="s">
        <v>277</v>
      </c>
    </row>
    <row r="243" spans="4:36" ht="20.100000000000001" customHeight="1" x14ac:dyDescent="0.25">
      <c r="W243" s="52" t="str">
        <f>TEXT(EDATE('Input - Site'!$E$12,8), "mmmm yyyy")</f>
        <v>September 2024</v>
      </c>
      <c r="X243" s="52">
        <f>'Input - Pasture Beef'!E30</f>
        <v>30</v>
      </c>
      <c r="Y243" s="52">
        <f>'Input - Pasture Beef'!F30</f>
        <v>30</v>
      </c>
      <c r="Z243" s="52">
        <f>'Input - Pasture Beef'!G30</f>
        <v>30</v>
      </c>
      <c r="AA243" s="52">
        <f>'Input - Pasture Beef'!H30</f>
        <v>30</v>
      </c>
      <c r="AB243" s="52">
        <f>'Input - Pasture Beef'!I30</f>
        <v>30</v>
      </c>
      <c r="AC243" s="52">
        <f>'Input - Pasture Beef'!J30</f>
        <v>30</v>
      </c>
      <c r="AD243" s="52">
        <f>'Input - Pasture Beef'!K30</f>
        <v>30</v>
      </c>
      <c r="AE243" s="52">
        <f>'Input - Pasture Beef'!L30</f>
        <v>30</v>
      </c>
      <c r="AF243" s="52">
        <f>'Input - Pasture Beef'!M30</f>
        <v>30</v>
      </c>
      <c r="AG243" s="52">
        <f>'Input - Pasture Beef'!N30</f>
        <v>30</v>
      </c>
      <c r="AH243" s="2" t="s">
        <v>277</v>
      </c>
    </row>
    <row r="244" spans="4:36" ht="20.100000000000001" customHeight="1" x14ac:dyDescent="0.25">
      <c r="D244" s="101" t="s">
        <v>301</v>
      </c>
      <c r="E244" s="102">
        <f>SUM(F235:O242)</f>
        <v>2.3956065897405399</v>
      </c>
      <c r="F244" s="103" t="str">
        <f>E210</f>
        <v>t CH4</v>
      </c>
      <c r="W244" s="52" t="str">
        <f>TEXT(EDATE('Input - Site'!$E$12,9), "mmmm yyyy")</f>
        <v>October 2024</v>
      </c>
      <c r="X244" s="52">
        <f>'Input - Pasture Beef'!E31</f>
        <v>31</v>
      </c>
      <c r="Y244" s="52">
        <f>'Input - Pasture Beef'!F31</f>
        <v>31</v>
      </c>
      <c r="Z244" s="52">
        <f>'Input - Pasture Beef'!G31</f>
        <v>31</v>
      </c>
      <c r="AA244" s="52">
        <f>'Input - Pasture Beef'!H31</f>
        <v>31</v>
      </c>
      <c r="AB244" s="52">
        <f>'Input - Pasture Beef'!I31</f>
        <v>31</v>
      </c>
      <c r="AC244" s="52">
        <f>'Input - Pasture Beef'!J31</f>
        <v>31</v>
      </c>
      <c r="AD244" s="52">
        <f>'Input - Pasture Beef'!K31</f>
        <v>31</v>
      </c>
      <c r="AE244" s="52">
        <f>'Input - Pasture Beef'!L31</f>
        <v>31</v>
      </c>
      <c r="AF244" s="52">
        <f>'Input - Pasture Beef'!M31</f>
        <v>31</v>
      </c>
      <c r="AG244" s="52">
        <f>'Input - Pasture Beef'!N31</f>
        <v>31</v>
      </c>
      <c r="AH244" s="2" t="s">
        <v>277</v>
      </c>
    </row>
    <row r="245" spans="4:36" ht="20.100000000000001" customHeight="1" x14ac:dyDescent="0.25">
      <c r="W245" s="52" t="str">
        <f>TEXT(EDATE('Input - Site'!$E$12,10), "mmmm yyyy")</f>
        <v>November 2024</v>
      </c>
      <c r="X245" s="52">
        <f>'Input - Pasture Beef'!E32</f>
        <v>30</v>
      </c>
      <c r="Y245" s="52">
        <f>'Input - Pasture Beef'!F32</f>
        <v>30</v>
      </c>
      <c r="Z245" s="52">
        <f>'Input - Pasture Beef'!G32</f>
        <v>30</v>
      </c>
      <c r="AA245" s="52">
        <f>'Input - Pasture Beef'!H32</f>
        <v>30</v>
      </c>
      <c r="AB245" s="52">
        <f>'Input - Pasture Beef'!I32</f>
        <v>30</v>
      </c>
      <c r="AC245" s="52">
        <f>'Input - Pasture Beef'!J32</f>
        <v>30</v>
      </c>
      <c r="AD245" s="52">
        <f>'Input - Pasture Beef'!K32</f>
        <v>30</v>
      </c>
      <c r="AE245" s="52">
        <f>'Input - Pasture Beef'!L32</f>
        <v>30</v>
      </c>
      <c r="AF245" s="52">
        <f>'Input - Pasture Beef'!M32</f>
        <v>30</v>
      </c>
      <c r="AG245" s="52">
        <f>'Input - Pasture Beef'!N32</f>
        <v>30</v>
      </c>
      <c r="AH245" s="2" t="s">
        <v>277</v>
      </c>
    </row>
    <row r="246" spans="4:36" ht="20.100000000000001" customHeight="1" x14ac:dyDescent="0.25">
      <c r="D246" s="57" t="str" cm="1">
        <f t="array" ref="D246:E247">Common_Equations.Common_ConvertCH4ToCO2e_Arguments()</f>
        <v>ECH4</v>
      </c>
      <c r="E246" s="58" t="str">
        <v>Methane emissions (t CH4)</v>
      </c>
      <c r="F246" s="104"/>
      <c r="G246" s="52">
        <f>E244</f>
        <v>2.3956065897405399</v>
      </c>
      <c r="W246" s="52" t="str">
        <f>TEXT(EDATE('Input - Site'!$E$12,11), "mmmm yyyy")</f>
        <v>December 2024</v>
      </c>
      <c r="X246" s="52">
        <f>'Input - Pasture Beef'!E33</f>
        <v>31</v>
      </c>
      <c r="Y246" s="52">
        <f>'Input - Pasture Beef'!F33</f>
        <v>31</v>
      </c>
      <c r="Z246" s="52">
        <f>'Input - Pasture Beef'!G33</f>
        <v>31</v>
      </c>
      <c r="AA246" s="52">
        <f>'Input - Pasture Beef'!H33</f>
        <v>31</v>
      </c>
      <c r="AB246" s="52">
        <f>'Input - Pasture Beef'!I33</f>
        <v>31</v>
      </c>
      <c r="AC246" s="52">
        <f>'Input - Pasture Beef'!J33</f>
        <v>31</v>
      </c>
      <c r="AD246" s="52">
        <f>'Input - Pasture Beef'!K33</f>
        <v>31</v>
      </c>
      <c r="AE246" s="52">
        <f>'Input - Pasture Beef'!L33</f>
        <v>31</v>
      </c>
      <c r="AF246" s="52">
        <f>'Input - Pasture Beef'!M33</f>
        <v>31</v>
      </c>
      <c r="AG246" s="52">
        <f>'Input - Pasture Beef'!N33</f>
        <v>31</v>
      </c>
      <c r="AH246" s="2" t="s">
        <v>277</v>
      </c>
    </row>
    <row r="247" spans="4:36" ht="20.100000000000001" customHeight="1" x14ac:dyDescent="0.25">
      <c r="D247" s="57" t="str">
        <v>GWPCH4</v>
      </c>
      <c r="E247" s="58" t="str">
        <v>Global warming potential for methane (t CO2-e / t CH4)</v>
      </c>
      <c r="F247" s="104"/>
      <c r="G247" s="52">
        <f>Common_InputFunctions.Utility_LookupValueInTableNumber("CH4",Table_GWPData[Gas],Table_GWPData[CO2-e factor])</f>
        <v>28</v>
      </c>
    </row>
    <row r="248" spans="4:36" ht="20.100000000000001" customHeight="1" x14ac:dyDescent="0.25">
      <c r="W248" s="99" t="s">
        <v>282</v>
      </c>
    </row>
    <row r="249" spans="4:36" ht="20.100000000000001" customHeight="1" x14ac:dyDescent="0.25">
      <c r="D249" s="45" t="s">
        <v>103</v>
      </c>
      <c r="E249" s="45" cm="1">
        <f t="array" ref="E249">Common_Equations.Common_ConvertN2OToCO2e(G246,G247)</f>
        <v>67.076984512735123</v>
      </c>
      <c r="F249" s="105" t="str" cm="1">
        <f t="array" ref="F249">Common_Equations.Common_ConvertN2OToCO2e_Unit()</f>
        <v>t CO2e</v>
      </c>
      <c r="W249" s="98" t="s">
        <v>283</v>
      </c>
    </row>
    <row r="250" spans="4:36" ht="20.100000000000001" customHeight="1" x14ac:dyDescent="0.25">
      <c r="W250" s="51" t="s">
        <v>67</v>
      </c>
      <c r="X250" s="51" t="s">
        <v>131</v>
      </c>
      <c r="Y250" s="51" t="s">
        <v>130</v>
      </c>
      <c r="Z250" s="51" t="s">
        <v>129</v>
      </c>
      <c r="AA250" s="51" t="s">
        <v>164</v>
      </c>
      <c r="AB250" s="51" t="s">
        <v>165</v>
      </c>
      <c r="AC250" s="51" t="s">
        <v>166</v>
      </c>
      <c r="AD250" s="51" t="s">
        <v>167</v>
      </c>
      <c r="AE250" s="51" t="s">
        <v>168</v>
      </c>
      <c r="AF250" s="51" t="s">
        <v>169</v>
      </c>
      <c r="AG250" s="51" t="s">
        <v>170</v>
      </c>
      <c r="AH250" s="51" t="s">
        <v>171</v>
      </c>
    </row>
    <row r="251" spans="4:36" ht="20.100000000000001" customHeight="1" x14ac:dyDescent="0.25">
      <c r="W251" s="52" t="str">
        <f>'Input - Pasture Beef'!$D$179</f>
        <v>Pasture range and paddock</v>
      </c>
      <c r="X251" s="52" t="str">
        <f>W235</f>
        <v>January 2024</v>
      </c>
      <c r="Y251" s="52">
        <f>((X219 * Y177 * X235) * 10 ^ -3)</f>
        <v>1.1686395292803749E-2</v>
      </c>
      <c r="Z251" s="52">
        <f>((Y219 * Z177 * Y235) * 10 ^ -3)</f>
        <v>1.5462256345510341E-2</v>
      </c>
      <c r="AA251" s="52">
        <f>((Z219 * AA177 * Z235) * 10 ^ -3)</f>
        <v>9.827994534648608E-3</v>
      </c>
      <c r="AB251" s="52">
        <f>((AA219 * AB177 * AA235) * 10 ^ -3)</f>
        <v>1.3835001514524993E-2</v>
      </c>
      <c r="AC251" s="52">
        <f>((AB219 * AC177 * AB235) * 10 ^ -3)</f>
        <v>1.3698344328479549E-2</v>
      </c>
      <c r="AD251" s="52">
        <f>((AC219 * AD177 * AC235) * 10 ^ -3)</f>
        <v>1.3698344328479549E-2</v>
      </c>
      <c r="AE251" s="52">
        <f>((AD219 * AE177 * AD235) * 10 ^ -3)</f>
        <v>1.0771981465764659E-2</v>
      </c>
      <c r="AF251" s="52">
        <f>((AE219 * AF177 * AE235) * 10 ^ -3)</f>
        <v>1.2007244749778738E-2</v>
      </c>
      <c r="AG251" s="52">
        <f>((AF219 * AG177 * AF235) * 10 ^ -3)</f>
        <v>1.2007244749778738E-2</v>
      </c>
      <c r="AH251" s="52">
        <f>((AG219 * AH177 * AG235) * 10 ^ -3)</f>
        <v>1.2007244749778738E-2</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2024</v>
      </c>
      <c r="Y252" s="52">
        <f>((X220 * Y178 * X236) * 10 ^ -3)</f>
        <v>1.0932434306171249E-2</v>
      </c>
      <c r="Z252" s="52">
        <f>((Y220 * Z178 * Y236) * 10 ^ -3)</f>
        <v>1.4464691419993545E-2</v>
      </c>
      <c r="AA252" s="52">
        <f>((Z220 * AA178 * Z236) * 10 ^ -3)</f>
        <v>9.1939303711228923E-3</v>
      </c>
      <c r="AB252" s="52">
        <f>((AA220 * AB178 * AA236) * 10 ^ -3)</f>
        <v>1.2039461182932479E-2</v>
      </c>
      <c r="AC252" s="52">
        <f>((AB220 * AC178 * AB236) * 10 ^ -3)</f>
        <v>1.1920539700702386E-2</v>
      </c>
      <c r="AD252" s="52">
        <f>((AC220 * AD178 * AC236) * 10 ^ -3)</f>
        <v>1.1920539700702386E-2</v>
      </c>
      <c r="AE252" s="52">
        <f>((AD220 * AE178 * AD236) * 10 ^ -3)</f>
        <v>1.0077014919586293E-2</v>
      </c>
      <c r="AF252" s="52">
        <f>((AE220 * AF178 * AE236) * 10 ^ -3)</f>
        <v>1.123258379818011E-2</v>
      </c>
      <c r="AG252" s="52">
        <f>((AF220 * AG178 * AF236) * 10 ^ -3)</f>
        <v>1.123258379818011E-2</v>
      </c>
      <c r="AH252" s="52">
        <f>((AG220 * AH178 * AG236) * 10 ^ -3)</f>
        <v>1.123258379818011E-2</v>
      </c>
      <c r="AI252" s="2" t="str">
        <f t="shared" si="11"/>
        <v>t CH4</v>
      </c>
      <c r="AJ252" s="2"/>
    </row>
    <row r="253" spans="4:36" ht="20.100000000000001" customHeight="1" x14ac:dyDescent="0.25">
      <c r="W253" s="52" t="str">
        <f>'Input - Pasture Beef'!$D$179</f>
        <v>Pasture range and paddock</v>
      </c>
      <c r="X253" s="52" t="str">
        <f t="shared" si="12"/>
        <v>March 2024</v>
      </c>
      <c r="Y253" s="52">
        <f>((X221 * Y179 * X237) * 10 ^ -3)</f>
        <v>5.4774412062255371E-3</v>
      </c>
      <c r="Z253" s="52">
        <f>((Y221 * Z179 * Y237) * 10 ^ -3)</f>
        <v>1.5897673929250736E-2</v>
      </c>
      <c r="AA253" s="52">
        <f>((Z221 * AA179 * Z237) * 10 ^ -3)</f>
        <v>4.9935315197206171E-3</v>
      </c>
      <c r="AB253" s="52">
        <f>((AA221 * AB179 * AA237) * 10 ^ -3)</f>
        <v>1.0049718385957321E-2</v>
      </c>
      <c r="AC253" s="52">
        <f>((AB221 * AC179 * AB237) * 10 ^ -3)</f>
        <v>1.1332037052658516E-2</v>
      </c>
      <c r="AD253" s="52">
        <f>((AC221 * AD179 * AC237) * 10 ^ -3)</f>
        <v>1.1332037052658516E-2</v>
      </c>
      <c r="AE253" s="52">
        <f>((AD221 * AE179 * AD237) * 10 ^ -3)</f>
        <v>5.4774412062255371E-3</v>
      </c>
      <c r="AF253" s="52">
        <f>((AE221 * AF179 * AE237) * 10 ^ -3)</f>
        <v>9.9444284088173376E-3</v>
      </c>
      <c r="AG253" s="52">
        <f>((AF221 * AG179 * AF237) * 10 ^ -3)</f>
        <v>9.9444284088173376E-3</v>
      </c>
      <c r="AH253" s="52">
        <f>((AG221 * AH179 * AG237) * 10 ^ -3)</f>
        <v>9.9444284088173376E-3</v>
      </c>
      <c r="AI253" s="2" t="str">
        <f t="shared" si="11"/>
        <v>t CH4</v>
      </c>
      <c r="AJ253" s="2"/>
    </row>
    <row r="254" spans="4:36" ht="20.100000000000001" customHeight="1" x14ac:dyDescent="0.25">
      <c r="W254" s="52" t="str">
        <f>'Input - Pasture Beef'!$D$179</f>
        <v>Pasture range and paddock</v>
      </c>
      <c r="X254" s="52" t="str">
        <f t="shared" si="12"/>
        <v>April 2024</v>
      </c>
      <c r="Y254" s="52">
        <f>((X222 * Y180 * X238) * 10 ^ -3)</f>
        <v>5.3007495544118103E-3</v>
      </c>
      <c r="Z254" s="52">
        <f>((Y222 * Z180 * Y238) * 10 ^ -3)</f>
        <v>1.5384845737984583E-2</v>
      </c>
      <c r="AA254" s="52">
        <f>((Z222 * AA180 * Z238) * 10 ^ -3)</f>
        <v>4.8324498577941447E-3</v>
      </c>
      <c r="AB254" s="52">
        <f>((AA222 * AB180 * AA238) * 10 ^ -3)</f>
        <v>9.7255339218941788E-3</v>
      </c>
      <c r="AC254" s="52">
        <f>((AB222 * AC180 * AB238) * 10 ^ -3)</f>
        <v>1.0966487470314694E-2</v>
      </c>
      <c r="AD254" s="52">
        <f>((AC222 * AD180 * AC238) * 10 ^ -3)</f>
        <v>1.0966487470314694E-2</v>
      </c>
      <c r="AE254" s="52">
        <f>((AD222 * AE180 * AD238) * 10 ^ -3)</f>
        <v>5.3007495544118103E-3</v>
      </c>
      <c r="AF254" s="52">
        <f>((AE222 * AF180 * AE238) * 10 ^ -3)</f>
        <v>9.6236403956296828E-3</v>
      </c>
      <c r="AG254" s="52">
        <f>((AF222 * AG180 * AF238) * 10 ^ -3)</f>
        <v>9.6236403956296828E-3</v>
      </c>
      <c r="AH254" s="52">
        <f>((AG222 * AH180 * AG238) * 10 ^ -3)</f>
        <v>9.6236403956296828E-3</v>
      </c>
      <c r="AI254" s="2" t="str">
        <f t="shared" si="11"/>
        <v>t CH4</v>
      </c>
      <c r="AJ254" s="2"/>
    </row>
    <row r="255" spans="4:36" ht="20.100000000000001" customHeight="1" x14ac:dyDescent="0.25">
      <c r="W255" s="52" t="str">
        <f>'Input - Pasture Beef'!$D$179</f>
        <v>Pasture range and paddock</v>
      </c>
      <c r="X255" s="52" t="str">
        <f t="shared" si="12"/>
        <v>May 2024</v>
      </c>
      <c r="Y255" s="52">
        <f>((X223 * Y181 * X239) * 10 ^ -3)</f>
        <v>5.4774412062255371E-3</v>
      </c>
      <c r="Z255" s="52">
        <f>((Y223 * Z181 * Y239) * 10 ^ -3)</f>
        <v>1.5897673929250736E-2</v>
      </c>
      <c r="AA255" s="52">
        <f>((Z223 * AA181 * Z239) * 10 ^ -3)</f>
        <v>4.9935315197206171E-3</v>
      </c>
      <c r="AB255" s="52">
        <f>((AA223 * AB181 * AA239) * 10 ^ -3)</f>
        <v>1.0049718385957321E-2</v>
      </c>
      <c r="AC255" s="52">
        <f>((AB223 * AC181 * AB239) * 10 ^ -3)</f>
        <v>1.1332037052658516E-2</v>
      </c>
      <c r="AD255" s="52">
        <f>((AC223 * AD181 * AC239) * 10 ^ -3)</f>
        <v>1.1332037052658516E-2</v>
      </c>
      <c r="AE255" s="52">
        <f>((AD223 * AE181 * AD239) * 10 ^ -3)</f>
        <v>5.4774412062255371E-3</v>
      </c>
      <c r="AF255" s="52">
        <f>((AE223 * AF181 * AE239) * 10 ^ -3)</f>
        <v>9.9444284088173376E-3</v>
      </c>
      <c r="AG255" s="52">
        <f>((AF223 * AG181 * AF239) * 10 ^ -3)</f>
        <v>9.9444284088173376E-3</v>
      </c>
      <c r="AH255" s="52">
        <f>((AG223 * AH181 * AG239) * 10 ^ -3)</f>
        <v>9.9444284088173376E-3</v>
      </c>
      <c r="AI255" s="2" t="str">
        <f t="shared" si="11"/>
        <v>t CH4</v>
      </c>
      <c r="AJ255" s="2"/>
    </row>
    <row r="256" spans="4:36" ht="20.100000000000001" customHeight="1" x14ac:dyDescent="0.25">
      <c r="W256" s="52" t="str">
        <f>'Input - Pasture Beef'!$D$179</f>
        <v>Pasture range and paddock</v>
      </c>
      <c r="X256" s="52" t="str">
        <f t="shared" si="12"/>
        <v>June 2024</v>
      </c>
      <c r="Y256" s="52">
        <f>((X224 * Y182 * X240) * 10 ^ -3)</f>
        <v>7.1819695717055543E-3</v>
      </c>
      <c r="Z256" s="52">
        <f>((Y224 * Z182 * Y240) * 10 ^ -3)</f>
        <v>1.3956858748939045E-2</v>
      </c>
      <c r="AA256" s="52">
        <f>((Z224 * AA182 * Z240) * 10 ^ -3)</f>
        <v>5.8804400874438879E-3</v>
      </c>
      <c r="AB256" s="52">
        <f>((AA224 * AB182 * AA240) * 10 ^ -3)</f>
        <v>8.29421715436807E-3</v>
      </c>
      <c r="AC256" s="52">
        <f>((AB224 * AC182 * AB240) * 10 ^ -3)</f>
        <v>1.1126948017369406E-2</v>
      </c>
      <c r="AD256" s="52">
        <f>((AC224 * AD182 * AC240) * 10 ^ -3)</f>
        <v>1.1126948017369406E-2</v>
      </c>
      <c r="AE256" s="52">
        <f>((AD224 * AE182 * AD240) * 10 ^ -3)</f>
        <v>6.3135819303208052E-3</v>
      </c>
      <c r="AF256" s="52">
        <f>((AE224 * AF182 * AE240) * 10 ^ -3)</f>
        <v>9.6123199983828393E-3</v>
      </c>
      <c r="AG256" s="52">
        <f>((AF224 * AG182 * AF240) * 10 ^ -3)</f>
        <v>9.6123199983828393E-3</v>
      </c>
      <c r="AH256" s="52">
        <f>((AG224 * AH182 * AG240) * 10 ^ -3)</f>
        <v>9.6123199983828393E-3</v>
      </c>
      <c r="AI256" s="2" t="str">
        <f t="shared" si="11"/>
        <v>t CH4</v>
      </c>
      <c r="AJ256" s="2"/>
    </row>
    <row r="257" spans="23:36" ht="20.100000000000001" customHeight="1" x14ac:dyDescent="0.25">
      <c r="W257" s="52" t="str">
        <f>'Input - Pasture Beef'!$D$179</f>
        <v>Pasture range and paddock</v>
      </c>
      <c r="X257" s="52" t="str">
        <f t="shared" si="12"/>
        <v>July 2024</v>
      </c>
      <c r="Y257" s="52">
        <f>((X225 * Y183 * X241) * 10 ^ -3)</f>
        <v>7.4213685574290728E-3</v>
      </c>
      <c r="Z257" s="52">
        <f>((Y225 * Z183 * Y241) * 10 ^ -3)</f>
        <v>1.4422087373903679E-2</v>
      </c>
      <c r="AA257" s="52">
        <f>((Z225 * AA183 * Z241) * 10 ^ -3)</f>
        <v>6.0764547570253506E-3</v>
      </c>
      <c r="AB257" s="52">
        <f>((AA225 * AB183 * AA241) * 10 ^ -3)</f>
        <v>8.5706910595136718E-3</v>
      </c>
      <c r="AC257" s="52">
        <f>((AB225 * AC183 * AB241) * 10 ^ -3)</f>
        <v>1.1497846284615053E-2</v>
      </c>
      <c r="AD257" s="52">
        <f>((AC225 * AD183 * AC241) * 10 ^ -3)</f>
        <v>1.1497846284615053E-2</v>
      </c>
      <c r="AE257" s="52">
        <f>((AD225 * AE183 * AD241) * 10 ^ -3)</f>
        <v>6.5240346613314988E-3</v>
      </c>
      <c r="AF257" s="52">
        <f>((AE225 * AF183 * AE241) * 10 ^ -3)</f>
        <v>9.9327306649955992E-3</v>
      </c>
      <c r="AG257" s="52">
        <f>((AF225 * AG183 * AF241) * 10 ^ -3)</f>
        <v>9.9327306649955992E-3</v>
      </c>
      <c r="AH257" s="52">
        <f>((AG225 * AH183 * AG241) * 10 ^ -3)</f>
        <v>9.9327306649955992E-3</v>
      </c>
      <c r="AI257" s="2" t="str">
        <f t="shared" si="11"/>
        <v>t CH4</v>
      </c>
      <c r="AJ257" s="2"/>
    </row>
    <row r="258" spans="23:36" ht="20.100000000000001" customHeight="1" x14ac:dyDescent="0.25">
      <c r="W258" s="52" t="str">
        <f>'Input - Pasture Beef'!$D$179</f>
        <v>Pasture range and paddock</v>
      </c>
      <c r="X258" s="52" t="str">
        <f t="shared" si="12"/>
        <v>August 2024</v>
      </c>
      <c r="Y258" s="52">
        <f>((X226 * Y184 * X242) * 10 ^ -3)</f>
        <v>7.4213685574290728E-3</v>
      </c>
      <c r="Z258" s="52">
        <f>((Y226 * Z184 * Y242) * 10 ^ -3)</f>
        <v>1.4422087373903679E-2</v>
      </c>
      <c r="AA258" s="52">
        <f>((Z226 * AA184 * Z242) * 10 ^ -3)</f>
        <v>6.0764547570253506E-3</v>
      </c>
      <c r="AB258" s="52">
        <f>((AA226 * AB184 * AA242) * 10 ^ -3)</f>
        <v>1.0499096547904251E-2</v>
      </c>
      <c r="AC258" s="52">
        <f>((AB226 * AC184 * AB242) * 10 ^ -3)</f>
        <v>1.4084861698653443E-2</v>
      </c>
      <c r="AD258" s="52">
        <f>((AC226 * AD184 * AC242) * 10 ^ -3)</f>
        <v>1.4084861698653443E-2</v>
      </c>
      <c r="AE258" s="52">
        <f>((AD226 * AE184 * AD242) * 10 ^ -3)</f>
        <v>6.5240346613314988E-3</v>
      </c>
      <c r="AF258" s="52">
        <f>((AE226 * AF184 * AE242) * 10 ^ -3)</f>
        <v>9.9327306649955992E-3</v>
      </c>
      <c r="AG258" s="52">
        <f>((AF226 * AG184 * AF242) * 10 ^ -3)</f>
        <v>9.9327306649955992E-3</v>
      </c>
      <c r="AH258" s="52">
        <f>((AG226 * AH184 * AG242) * 10 ^ -3)</f>
        <v>9.9327306649955992E-3</v>
      </c>
      <c r="AI258" s="2" t="str">
        <f t="shared" si="11"/>
        <v>t CH4</v>
      </c>
      <c r="AJ258" s="2"/>
    </row>
    <row r="259" spans="23:36" ht="20.100000000000001" customHeight="1" x14ac:dyDescent="0.25">
      <c r="W259" s="52" t="str">
        <f>'Input - Pasture Beef'!$D$179</f>
        <v>Pasture range and paddock</v>
      </c>
      <c r="X259" s="52" t="str">
        <f t="shared" si="12"/>
        <v>September 2024</v>
      </c>
      <c r="Y259" s="52">
        <f>((X227 * Y185 * X243) * 10 ^ -3)</f>
        <v>1.2132361356796569E-2</v>
      </c>
      <c r="Z259" s="52">
        <f>((Y227 * Z185 * Y243) * 10 ^ -3)</f>
        <v>1.713534758165354E-2</v>
      </c>
      <c r="AA259" s="52">
        <f>((Z227 * AA185 * Z243) * 10 ^ -3)</f>
        <v>9.2472825229088541E-3</v>
      </c>
      <c r="AB259" s="52">
        <f>((AA227 * AB185 * AA243) * 10 ^ -3)</f>
        <v>1.4865877813581433E-2</v>
      </c>
      <c r="AC259" s="52">
        <f>((AB227 * AC185 * AB243) * 10 ^ -3)</f>
        <v>1.6507926360625275E-2</v>
      </c>
      <c r="AD259" s="52">
        <f>((AC227 * AD185 * AC243) * 10 ^ -3)</f>
        <v>1.6507926360625275E-2</v>
      </c>
      <c r="AE259" s="52">
        <f>((AD227 * AE185 * AD243) * 10 ^ -3)</f>
        <v>1.0660890764753827E-2</v>
      </c>
      <c r="AF259" s="52">
        <f>((AE227 * AF185 * AE243) * 10 ^ -3)</f>
        <v>1.3547688324550109E-2</v>
      </c>
      <c r="AG259" s="52">
        <f>((AF227 * AG185 * AF243) * 10 ^ -3)</f>
        <v>1.3547688324550109E-2</v>
      </c>
      <c r="AH259" s="52">
        <f>((AG227 * AH185 * AG243) * 10 ^ -3)</f>
        <v>1.3547688324550109E-2</v>
      </c>
      <c r="AI259" s="2" t="str">
        <f t="shared" si="11"/>
        <v>t CH4</v>
      </c>
      <c r="AJ259" s="2"/>
    </row>
    <row r="260" spans="23:36" ht="20.100000000000001" customHeight="1" x14ac:dyDescent="0.25">
      <c r="W260" s="52" t="str">
        <f>'Input - Pasture Beef'!$D$179</f>
        <v>Pasture range and paddock</v>
      </c>
      <c r="X260" s="52" t="str">
        <f t="shared" si="12"/>
        <v>October 2024</v>
      </c>
      <c r="Y260" s="52">
        <f>((X228 * Y186 * X244) * 10 ^ -3)</f>
        <v>1.2536773402023121E-2</v>
      </c>
      <c r="Z260" s="52">
        <f>((Y228 * Z186 * Y244) * 10 ^ -3)</f>
        <v>1.7706525834375323E-2</v>
      </c>
      <c r="AA260" s="52">
        <f>((Z228 * AA186 * Z244) * 10 ^ -3)</f>
        <v>9.555525273672481E-3</v>
      </c>
      <c r="AB260" s="52">
        <f>((AA228 * AB186 * AA244) * 10 ^ -3)</f>
        <v>1.5361407074034147E-2</v>
      </c>
      <c r="AC260" s="52">
        <f>((AB228 * AC186 * AB244) * 10 ^ -3)</f>
        <v>1.7058190572646119E-2</v>
      </c>
      <c r="AD260" s="52">
        <f>((AC228 * AD186 * AC244) * 10 ^ -3)</f>
        <v>1.7058190572646119E-2</v>
      </c>
      <c r="AE260" s="52">
        <f>((AD228 * AE186 * AD244) * 10 ^ -3)</f>
        <v>1.1016253790245621E-2</v>
      </c>
      <c r="AF260" s="52">
        <f>((AE228 * AF186 * AE244) * 10 ^ -3)</f>
        <v>1.3999277935368445E-2</v>
      </c>
      <c r="AG260" s="52">
        <f>((AF228 * AG186 * AF244) * 10 ^ -3)</f>
        <v>1.3999277935368445E-2</v>
      </c>
      <c r="AH260" s="52">
        <f>((AG228 * AH186 * AG244) * 10 ^ -3)</f>
        <v>1.3999277935368445E-2</v>
      </c>
      <c r="AI260" s="2" t="str">
        <f t="shared" si="11"/>
        <v>t CH4</v>
      </c>
      <c r="AJ260" s="2"/>
    </row>
    <row r="261" spans="23:36" ht="20.100000000000001" customHeight="1" x14ac:dyDescent="0.25">
      <c r="W261" s="52" t="str">
        <f>'Input - Pasture Beef'!$D$179</f>
        <v>Pasture range and paddock</v>
      </c>
      <c r="X261" s="52" t="str">
        <f t="shared" si="12"/>
        <v>November 2024</v>
      </c>
      <c r="Y261" s="52">
        <f>((X229 * Y187 * X245) * 10 ^ -3)</f>
        <v>1.2132361356796569E-2</v>
      </c>
      <c r="Z261" s="52">
        <f>((Y229 * Z187 * Y245) * 10 ^ -3)</f>
        <v>1.713534758165354E-2</v>
      </c>
      <c r="AA261" s="52">
        <f>((Z229 * AA187 * Z245) * 10 ^ -3)</f>
        <v>9.2472825229088541E-3</v>
      </c>
      <c r="AB261" s="52">
        <f>((AA229 * AB187 * AA245) * 10 ^ -3)</f>
        <v>1.3045566244571469E-2</v>
      </c>
      <c r="AC261" s="52">
        <f>((AB229 * AC187 * AB245) * 10 ^ -3)</f>
        <v>1.4486547622589524E-2</v>
      </c>
      <c r="AD261" s="52">
        <f>((AC229 * AD187 * AC245) * 10 ^ -3)</f>
        <v>1.4486547622589524E-2</v>
      </c>
      <c r="AE261" s="52">
        <f>((AD229 * AE187 * AD245) * 10 ^ -3)</f>
        <v>1.0660890764753827E-2</v>
      </c>
      <c r="AF261" s="52">
        <f>((AE229 * AF187 * AE245) * 10 ^ -3)</f>
        <v>1.3547688324550109E-2</v>
      </c>
      <c r="AG261" s="52">
        <f>((AF229 * AG187 * AF245) * 10 ^ -3)</f>
        <v>1.3547688324550109E-2</v>
      </c>
      <c r="AH261" s="52">
        <f>((AG229 * AH187 * AG245) * 10 ^ -3)</f>
        <v>1.3547688324550109E-2</v>
      </c>
      <c r="AI261" s="2" t="str">
        <f t="shared" si="11"/>
        <v>t CH4</v>
      </c>
      <c r="AJ261" s="2"/>
    </row>
    <row r="262" spans="23:36" ht="20.100000000000001" customHeight="1" x14ac:dyDescent="0.25">
      <c r="W262" s="52" t="str">
        <f>'Input - Pasture Beef'!$D$179</f>
        <v>Pasture range and paddock</v>
      </c>
      <c r="X262" s="52" t="str">
        <f t="shared" si="12"/>
        <v>December 2024</v>
      </c>
      <c r="Y262" s="52">
        <f>((X230 * Y188 * X246) * 10 ^ -3)</f>
        <v>1.1686395292803749E-2</v>
      </c>
      <c r="Z262" s="52">
        <f>((Y230 * Z188 * Y246) * 10 ^ -3)</f>
        <v>1.5462256345510341E-2</v>
      </c>
      <c r="AA262" s="52">
        <f>((Z230 * AA188 * Z246) * 10 ^ -3)</f>
        <v>9.827994534648608E-3</v>
      </c>
      <c r="AB262" s="52">
        <f>((AA230 * AB188 * AA246) * 10 ^ -3)</f>
        <v>1.3835001514524993E-2</v>
      </c>
      <c r="AC262" s="52">
        <f>((AB230 * AC188 * AB246) * 10 ^ -3)</f>
        <v>1.3698344328479549E-2</v>
      </c>
      <c r="AD262" s="52">
        <f>((AC230 * AD188 * AC246) * 10 ^ -3)</f>
        <v>1.3698344328479549E-2</v>
      </c>
      <c r="AE262" s="52">
        <f>((AD230 * AE188 * AD246) * 10 ^ -3)</f>
        <v>1.0771981465764659E-2</v>
      </c>
      <c r="AF262" s="52">
        <f>((AE230 * AF188 * AE246) * 10 ^ -3)</f>
        <v>1.2007244749778738E-2</v>
      </c>
      <c r="AG262" s="52">
        <f>((AF230 * AG188 * AF246) * 10 ^ -3)</f>
        <v>1.2007244749778738E-2</v>
      </c>
      <c r="AH262" s="52">
        <f>((AG230 * AH188 * AG246) * 10 ^ -3)</f>
        <v>1.2007244749778738E-2</v>
      </c>
      <c r="AI262" s="2" t="str">
        <f t="shared" si="11"/>
        <v>t CH4</v>
      </c>
      <c r="AJ262" s="2"/>
    </row>
    <row r="263" spans="23:36" ht="20.100000000000001" customHeight="1" x14ac:dyDescent="0.25">
      <c r="W263" s="52" t="str">
        <f>'Input - Pasture Beef'!$D$180</f>
        <v>Anaerobic lagoon</v>
      </c>
      <c r="X263" s="52" t="str">
        <f>W235</f>
        <v>January 2024</v>
      </c>
      <c r="Y263" s="52">
        <f>((X219 * Y189 * X235) * 10 ^ -3)</f>
        <v>7.1702260923240061E-3</v>
      </c>
      <c r="Z263" s="52">
        <f>((Y219 * Z189 * Y235) * 10 ^ -3)</f>
        <v>9.4869180031117821E-3</v>
      </c>
      <c r="AA263" s="52">
        <f>((Z219 * AA189 * Z235) * 10 ^ -3)</f>
        <v>6.0299982228864514E-3</v>
      </c>
      <c r="AB263" s="52">
        <f>((AA219 * AB189 * AA235) * 10 ^ -3)</f>
        <v>8.4885104740445305E-3</v>
      </c>
      <c r="AC263" s="52">
        <f>((AB219 * AC189 * AB235) * 10 ^ -3)</f>
        <v>8.4046640101404727E-3</v>
      </c>
      <c r="AD263" s="52">
        <f>((AC219 * AD189 * AC235) * 10 ^ -3)</f>
        <v>8.4046640101404727E-3</v>
      </c>
      <c r="AE263" s="52">
        <f>((AD219 * AE189 * AD235) * 10 ^ -3)</f>
        <v>6.6091844950185562E-3</v>
      </c>
      <c r="AF263" s="52">
        <f>((AE219 * AF189 * AE235) * 10 ^ -3)</f>
        <v>7.3670843270892388E-3</v>
      </c>
      <c r="AG263" s="52">
        <f>((AF219 * AG189 * AF235) * 10 ^ -3)</f>
        <v>7.3670843270892388E-3</v>
      </c>
      <c r="AH263" s="52">
        <f>((AG219 * AH189 * AG235) * 10 ^ -3)</f>
        <v>7.3670843270892388E-3</v>
      </c>
      <c r="AI263" s="2" t="str">
        <f t="shared" si="11"/>
        <v>t CH4</v>
      </c>
      <c r="AJ263" s="2"/>
    </row>
    <row r="264" spans="23:36" ht="20.100000000000001" customHeight="1" x14ac:dyDescent="0.25">
      <c r="W264" s="52" t="str">
        <f>'Input - Pasture Beef'!$D$180</f>
        <v>Anaerobic lagoon</v>
      </c>
      <c r="X264" s="52" t="str">
        <f t="shared" ref="X264:X274" si="13">W236</f>
        <v>February 2024</v>
      </c>
      <c r="Y264" s="52">
        <f>((X220 * Y190 * X236) * 10 ^ -3)</f>
        <v>6.7076308605611666E-3</v>
      </c>
      <c r="Z264" s="52">
        <f>((Y220 * Z190 * Y236) * 10 ^ -3)</f>
        <v>8.874858777104571E-3</v>
      </c>
      <c r="AA264" s="52">
        <f>((Z220 * AA190 * Z236) * 10 ^ -3)</f>
        <v>5.6409660794744226E-3</v>
      </c>
      <c r="AB264" s="52">
        <f>((AA220 * AB190 * AA236) * 10 ^ -3)</f>
        <v>7.3868508251250182E-3</v>
      </c>
      <c r="AC264" s="52">
        <f>((AB220 * AC190 * AB236) * 10 ^ -3)</f>
        <v>7.3138861603623002E-3</v>
      </c>
      <c r="AD264" s="52">
        <f>((AC220 * AD190 * AC236) * 10 ^ -3)</f>
        <v>7.3138861603623002E-3</v>
      </c>
      <c r="AE264" s="52">
        <f>((AD220 * AE190 * AD236) * 10 ^ -3)</f>
        <v>6.1827854953399389E-3</v>
      </c>
      <c r="AF264" s="52">
        <f>((AE220 * AF190 * AE236) * 10 ^ -3)</f>
        <v>6.8917885640512235E-3</v>
      </c>
      <c r="AG264" s="52">
        <f>((AF220 * AG190 * AF236) * 10 ^ -3)</f>
        <v>6.8917885640512235E-3</v>
      </c>
      <c r="AH264" s="52">
        <f>((AG220 * AH190 * AG236) * 10 ^ -3)</f>
        <v>6.8917885640512235E-3</v>
      </c>
      <c r="AI264" s="2" t="str">
        <f t="shared" si="11"/>
        <v>t CH4</v>
      </c>
      <c r="AJ264" s="2"/>
    </row>
    <row r="265" spans="23:36" ht="20.100000000000001" customHeight="1" x14ac:dyDescent="0.25">
      <c r="W265" s="52" t="str">
        <f>'Input - Pasture Beef'!$D$180</f>
        <v>Anaerobic lagoon</v>
      </c>
      <c r="X265" s="52" t="str">
        <f t="shared" si="13"/>
        <v>March 2024</v>
      </c>
      <c r="Y265" s="52">
        <f>((X221 * Y191 * X237) * 10 ^ -3)</f>
        <v>3.3607019848313265E-3</v>
      </c>
      <c r="Z265" s="52">
        <f>((Y221 * Z191 * Y237) * 10 ^ -3)</f>
        <v>9.7540698871418051E-3</v>
      </c>
      <c r="AA265" s="52">
        <f>((Z221 * AA191 * Z237) * 10 ^ -3)</f>
        <v>3.0637976123904505E-3</v>
      </c>
      <c r="AB265" s="52">
        <f>((AA221 * AB191 * AA237) * 10 ^ -3)</f>
        <v>6.1660376177649781E-3</v>
      </c>
      <c r="AC265" s="52">
        <f>((AB221 * AC191 * AB237) * 10 ^ -3)</f>
        <v>6.9528084339393068E-3</v>
      </c>
      <c r="AD265" s="52">
        <f>((AC221 * AD191 * AC237) * 10 ^ -3)</f>
        <v>6.9528084339393068E-3</v>
      </c>
      <c r="AE265" s="52">
        <f>((AD221 * AE191 * AD237) * 10 ^ -3)</f>
        <v>3.3607019848313265E-3</v>
      </c>
      <c r="AF265" s="52">
        <f>((AE221 * AF191 * AE237) * 10 ^ -3)</f>
        <v>6.1014366075788718E-3</v>
      </c>
      <c r="AG265" s="52">
        <f>((AF221 * AG191 * AF237) * 10 ^ -3)</f>
        <v>6.1014366075788718E-3</v>
      </c>
      <c r="AH265" s="52">
        <f>((AG221 * AH191 * AG237) * 10 ^ -3)</f>
        <v>6.1014366075788718E-3</v>
      </c>
      <c r="AI265" s="2" t="str">
        <f t="shared" si="11"/>
        <v>t CH4</v>
      </c>
      <c r="AJ265" s="2"/>
    </row>
    <row r="266" spans="23:36" ht="20.100000000000001" customHeight="1" x14ac:dyDescent="0.25">
      <c r="W266" s="52" t="str">
        <f>'Input - Pasture Beef'!$D$180</f>
        <v>Anaerobic lagoon</v>
      </c>
      <c r="X266" s="52" t="str">
        <f t="shared" si="13"/>
        <v>April 2024</v>
      </c>
      <c r="Y266" s="52">
        <f>((X222 * Y192 * X238) * 10 ^ -3)</f>
        <v>3.2522922433851549E-3</v>
      </c>
      <c r="Z266" s="52">
        <f>((Y222 * Z192 * Y238) * 10 ^ -3)</f>
        <v>9.4394224714275544E-3</v>
      </c>
      <c r="AA266" s="52">
        <f>((Z222 * AA192 * Z238) * 10 ^ -3)</f>
        <v>2.9649654313455972E-3</v>
      </c>
      <c r="AB266" s="52">
        <f>((AA222 * AB192 * AA238) * 10 ^ -3)</f>
        <v>5.967133178482238E-3</v>
      </c>
      <c r="AC266" s="52">
        <f>((AB222 * AC192 * AB238) * 10 ^ -3)</f>
        <v>6.7285242909090066E-3</v>
      </c>
      <c r="AD266" s="52">
        <f>((AC222 * AD192 * AC238) * 10 ^ -3)</f>
        <v>6.7285242909090066E-3</v>
      </c>
      <c r="AE266" s="52">
        <f>((AD222 * AE192 * AD238) * 10 ^ -3)</f>
        <v>3.2522922433851549E-3</v>
      </c>
      <c r="AF266" s="52">
        <f>((AE222 * AF192 * AE238) * 10 ^ -3)</f>
        <v>5.90461607185052E-3</v>
      </c>
      <c r="AG266" s="52">
        <f>((AF222 * AG192 * AF238) * 10 ^ -3)</f>
        <v>5.90461607185052E-3</v>
      </c>
      <c r="AH266" s="52">
        <f>((AG222 * AH192 * AG238) * 10 ^ -3)</f>
        <v>5.90461607185052E-3</v>
      </c>
      <c r="AI266" s="2" t="str">
        <f t="shared" si="11"/>
        <v>t CH4</v>
      </c>
      <c r="AJ266" s="2"/>
    </row>
    <row r="267" spans="23:36" ht="20.100000000000001" customHeight="1" x14ac:dyDescent="0.25">
      <c r="W267" s="52" t="str">
        <f>'Input - Pasture Beef'!$D$180</f>
        <v>Anaerobic lagoon</v>
      </c>
      <c r="X267" s="52" t="str">
        <f t="shared" si="13"/>
        <v>May 2024</v>
      </c>
      <c r="Y267" s="52">
        <f>((X223 * Y193 * X239) * 10 ^ -3)</f>
        <v>3.3607019848313265E-3</v>
      </c>
      <c r="Z267" s="52">
        <f>((Y223 * Z193 * Y239) * 10 ^ -3)</f>
        <v>9.7540698871418051E-3</v>
      </c>
      <c r="AA267" s="52">
        <f>((Z223 * AA193 * Z239) * 10 ^ -3)</f>
        <v>3.0637976123904505E-3</v>
      </c>
      <c r="AB267" s="52">
        <f>((AA223 * AB193 * AA239) * 10 ^ -3)</f>
        <v>6.1660376177649781E-3</v>
      </c>
      <c r="AC267" s="52">
        <f>((AB223 * AC193 * AB239) * 10 ^ -3)</f>
        <v>6.9528084339393068E-3</v>
      </c>
      <c r="AD267" s="52">
        <f>((AC223 * AD193 * AC239) * 10 ^ -3)</f>
        <v>6.9528084339393068E-3</v>
      </c>
      <c r="AE267" s="52">
        <f>((AD223 * AE193 * AD239) * 10 ^ -3)</f>
        <v>3.3607019848313265E-3</v>
      </c>
      <c r="AF267" s="52">
        <f>((AE223 * AF193 * AE239) * 10 ^ -3)</f>
        <v>6.1014366075788718E-3</v>
      </c>
      <c r="AG267" s="52">
        <f>((AF223 * AG193 * AF239) * 10 ^ -3)</f>
        <v>6.1014366075788718E-3</v>
      </c>
      <c r="AH267" s="52">
        <f>((AG223 * AH193 * AG239) * 10 ^ -3)</f>
        <v>6.1014366075788718E-3</v>
      </c>
      <c r="AI267" s="2" t="str">
        <f t="shared" si="11"/>
        <v>t CH4</v>
      </c>
      <c r="AJ267" s="2"/>
    </row>
    <row r="268" spans="23:36" ht="20.100000000000001" customHeight="1" x14ac:dyDescent="0.25">
      <c r="W268" s="52" t="str">
        <f>'Input - Pasture Beef'!$D$180</f>
        <v>Anaerobic lagoon</v>
      </c>
      <c r="X268" s="52" t="str">
        <f t="shared" si="13"/>
        <v>June 2024</v>
      </c>
      <c r="Y268" s="52">
        <f>((X224 * Y194 * X240) * 10 ^ -3)</f>
        <v>4.4065209439758278E-3</v>
      </c>
      <c r="Z268" s="52">
        <f>((Y224 * Z194 * Y240) * 10 ^ -3)</f>
        <v>8.5632763791711562E-3</v>
      </c>
      <c r="AA268" s="52">
        <f>((Z224 * AA194 * Z240) * 10 ^ -3)</f>
        <v>3.607963267792425E-3</v>
      </c>
      <c r="AB268" s="52">
        <f>((AA224 * AB194 * AA240) * 10 ^ -3)</f>
        <v>5.088944089737632E-3</v>
      </c>
      <c r="AC268" s="52">
        <f>((AB224 * AC194 * AB240) * 10 ^ -3)</f>
        <v>6.8269753848908083E-3</v>
      </c>
      <c r="AD268" s="52">
        <f>((AC224 * AD194 * AC240) * 10 ^ -3)</f>
        <v>6.8269753848908083E-3</v>
      </c>
      <c r="AE268" s="52">
        <f>((AD224 * AE194 * AD240) * 10 ^ -3)</f>
        <v>3.8737188635650436E-3</v>
      </c>
      <c r="AF268" s="52">
        <f>((AE224 * AF194 * AE240) * 10 ^ -3)</f>
        <v>5.8976704050575455E-3</v>
      </c>
      <c r="AG268" s="52">
        <f>((AF224 * AG194 * AF240) * 10 ^ -3)</f>
        <v>5.8976704050575455E-3</v>
      </c>
      <c r="AH268" s="52">
        <f>((AG224 * AH194 * AG240) * 10 ^ -3)</f>
        <v>5.8976704050575455E-3</v>
      </c>
      <c r="AI268" s="2" t="str">
        <f t="shared" si="11"/>
        <v>t CH4</v>
      </c>
      <c r="AJ268" s="2"/>
    </row>
    <row r="269" spans="23:36" ht="20.100000000000001" customHeight="1" x14ac:dyDescent="0.25">
      <c r="W269" s="52" t="str">
        <f>'Input - Pasture Beef'!$D$180</f>
        <v>Anaerobic lagoon</v>
      </c>
      <c r="X269" s="52" t="str">
        <f t="shared" si="13"/>
        <v>July 2024</v>
      </c>
      <c r="Y269" s="52">
        <f>((X225 * Y195 * X241) * 10 ^ -3)</f>
        <v>4.5534049754416888E-3</v>
      </c>
      <c r="Z269" s="52">
        <f>((Y225 * Z195 * Y241) * 10 ^ -3)</f>
        <v>8.8487189251435297E-3</v>
      </c>
      <c r="AA269" s="52">
        <f>((Z225 * AA195 * Z241) * 10 ^ -3)</f>
        <v>3.728228710052173E-3</v>
      </c>
      <c r="AB269" s="52">
        <f>((AA225 * AB195 * AA241) * 10 ^ -3)</f>
        <v>5.2585755593955539E-3</v>
      </c>
      <c r="AC269" s="52">
        <f>((AB225 * AC195 * AB241) * 10 ^ -3)</f>
        <v>7.054541231053835E-3</v>
      </c>
      <c r="AD269" s="52">
        <f>((AC225 * AD195 * AC241) * 10 ^ -3)</f>
        <v>7.054541231053835E-3</v>
      </c>
      <c r="AE269" s="52">
        <f>((AD225 * AE195 * AD241) * 10 ^ -3)</f>
        <v>4.0028428256838784E-3</v>
      </c>
      <c r="AF269" s="52">
        <f>((AE225 * AF195 * AE241) * 10 ^ -3)</f>
        <v>6.0942594185594634E-3</v>
      </c>
      <c r="AG269" s="52">
        <f>((AF225 * AG195 * AF241) * 10 ^ -3)</f>
        <v>6.0942594185594634E-3</v>
      </c>
      <c r="AH269" s="52">
        <f>((AG225 * AH195 * AG241) * 10 ^ -3)</f>
        <v>6.0942594185594634E-3</v>
      </c>
      <c r="AI269" s="2" t="str">
        <f t="shared" si="11"/>
        <v>t CH4</v>
      </c>
      <c r="AJ269" s="2"/>
    </row>
    <row r="270" spans="23:36" ht="20.100000000000001" customHeight="1" x14ac:dyDescent="0.25">
      <c r="W270" s="52" t="str">
        <f>'Input - Pasture Beef'!$D$180</f>
        <v>Anaerobic lagoon</v>
      </c>
      <c r="X270" s="52" t="str">
        <f t="shared" si="13"/>
        <v>August 2024</v>
      </c>
      <c r="Y270" s="52">
        <f>((X226 * Y196 * X242) * 10 ^ -3)</f>
        <v>4.5534049754416888E-3</v>
      </c>
      <c r="Z270" s="52">
        <f>((Y226 * Z196 * Y242) * 10 ^ -3)</f>
        <v>8.8487189251435297E-3</v>
      </c>
      <c r="AA270" s="52">
        <f>((Z226 * AA196 * Z242) * 10 ^ -3)</f>
        <v>3.728228710052173E-3</v>
      </c>
      <c r="AB270" s="52">
        <f>((AA226 * AB196 * AA242) * 10 ^ -3)</f>
        <v>6.4417550602595556E-3</v>
      </c>
      <c r="AC270" s="52">
        <f>((AB226 * AC196 * AB242) * 10 ^ -3)</f>
        <v>8.641813008040948E-3</v>
      </c>
      <c r="AD270" s="52">
        <f>((AC226 * AD196 * AC242) * 10 ^ -3)</f>
        <v>8.641813008040948E-3</v>
      </c>
      <c r="AE270" s="52">
        <f>((AD226 * AE196 * AD242) * 10 ^ -3)</f>
        <v>4.0028428256838784E-3</v>
      </c>
      <c r="AF270" s="52">
        <f>((AE226 * AF196 * AE242) * 10 ^ -3)</f>
        <v>6.0942594185594634E-3</v>
      </c>
      <c r="AG270" s="52">
        <f>((AF226 * AG196 * AF242) * 10 ^ -3)</f>
        <v>6.0942594185594634E-3</v>
      </c>
      <c r="AH270" s="52">
        <f>((AG226 * AH196 * AG242) * 10 ^ -3)</f>
        <v>6.0942594185594634E-3</v>
      </c>
      <c r="AI270" s="2" t="str">
        <f t="shared" si="11"/>
        <v>t CH4</v>
      </c>
      <c r="AJ270" s="2"/>
    </row>
    <row r="271" spans="23:36" ht="20.100000000000001" customHeight="1" x14ac:dyDescent="0.25">
      <c r="W271" s="52" t="str">
        <f>'Input - Pasture Beef'!$D$180</f>
        <v>Anaerobic lagoon</v>
      </c>
      <c r="X271" s="52" t="str">
        <f t="shared" si="13"/>
        <v>September 2024</v>
      </c>
      <c r="Y271" s="52">
        <f>((X227 * Y197 * X243) * 10 ^ -3)</f>
        <v>7.4438500309478729E-3</v>
      </c>
      <c r="Z271" s="52">
        <f>((Y227 * Z197 * Y243) * 10 ^ -3)</f>
        <v>1.0513448608628762E-2</v>
      </c>
      <c r="AA271" s="52">
        <f>((Z227 * AA197 * Z243) * 10 ^ -3)</f>
        <v>5.6737004668738376E-3</v>
      </c>
      <c r="AB271" s="52">
        <f>((AA227 * AB197 * AA243) * 10 ^ -3)</f>
        <v>9.1210080023460469E-3</v>
      </c>
      <c r="AC271" s="52">
        <f>((AB227 * AC197 * AB243) * 10 ^ -3)</f>
        <v>1.0128492264334564E-2</v>
      </c>
      <c r="AD271" s="52">
        <f>((AC227 * AD197 * AC243) * 10 ^ -3)</f>
        <v>1.0128492264334564E-2</v>
      </c>
      <c r="AE271" s="52">
        <f>((AD227 * AE197 * AD243) * 10 ^ -3)</f>
        <v>6.541024431710331E-3</v>
      </c>
      <c r="AF271" s="52">
        <f>((AE227 * AF197 * AE243) * 10 ^ -3)</f>
        <v>8.3122285256925534E-3</v>
      </c>
      <c r="AG271" s="52">
        <f>((AF227 * AG197 * AF243) * 10 ^ -3)</f>
        <v>8.3122285256925534E-3</v>
      </c>
      <c r="AH271" s="52">
        <f>((AG227 * AH197 * AG243) * 10 ^ -3)</f>
        <v>8.3122285256925534E-3</v>
      </c>
      <c r="AI271" s="2" t="str">
        <f t="shared" si="11"/>
        <v>t CH4</v>
      </c>
      <c r="AJ271" s="2"/>
    </row>
    <row r="272" spans="23:36" x14ac:dyDescent="0.25">
      <c r="W272" s="52" t="str">
        <f>'Input - Pasture Beef'!$D$180</f>
        <v>Anaerobic lagoon</v>
      </c>
      <c r="X272" s="52" t="str">
        <f t="shared" si="13"/>
        <v>October 2024</v>
      </c>
      <c r="Y272" s="52">
        <f>((X228 * Y198 * X244) * 10 ^ -3)</f>
        <v>7.6919783653128021E-3</v>
      </c>
      <c r="Z272" s="52">
        <f>((Y228 * Z198 * Y244) * 10 ^ -3)</f>
        <v>1.0863896895583055E-2</v>
      </c>
      <c r="AA272" s="52">
        <f>((Z228 * AA198 * Z244) * 10 ^ -3)</f>
        <v>5.862823815769632E-3</v>
      </c>
      <c r="AB272" s="52">
        <f>((AA228 * AB198 * AA244) * 10 ^ -3)</f>
        <v>9.4250416024242497E-3</v>
      </c>
      <c r="AC272" s="52">
        <f>((AB228 * AC198 * AB244) * 10 ^ -3)</f>
        <v>1.0466108673145716E-2</v>
      </c>
      <c r="AD272" s="52">
        <f>((AC228 * AD198 * AC244) * 10 ^ -3)</f>
        <v>1.0466108673145716E-2</v>
      </c>
      <c r="AE272" s="52">
        <f>((AD228 * AE198 * AD244) * 10 ^ -3)</f>
        <v>6.7590585794340078E-3</v>
      </c>
      <c r="AF272" s="52">
        <f>((AE228 * AF198 * AE244) * 10 ^ -3)</f>
        <v>8.5893028098823054E-3</v>
      </c>
      <c r="AG272" s="52">
        <f>((AF228 * AG198 * AF244) * 10 ^ -3)</f>
        <v>8.5893028098823054E-3</v>
      </c>
      <c r="AH272" s="52">
        <f>((AG228 * AH198 * AG244) * 10 ^ -3)</f>
        <v>8.5893028098823054E-3</v>
      </c>
      <c r="AI272" s="2" t="str">
        <f t="shared" si="11"/>
        <v>t CH4</v>
      </c>
      <c r="AJ272" s="2"/>
    </row>
    <row r="273" spans="23:36" x14ac:dyDescent="0.25">
      <c r="W273" s="52" t="str">
        <f>'Input - Pasture Beef'!$D$180</f>
        <v>Anaerobic lagoon</v>
      </c>
      <c r="X273" s="52" t="str">
        <f t="shared" si="13"/>
        <v>November 2024</v>
      </c>
      <c r="Y273" s="52">
        <f>((X229 * Y199 * X245) * 10 ^ -3)</f>
        <v>7.4438500309478729E-3</v>
      </c>
      <c r="Z273" s="52">
        <f>((Y229 * Z199 * Y245) * 10 ^ -3)</f>
        <v>1.0513448608628762E-2</v>
      </c>
      <c r="AA273" s="52">
        <f>((Z229 * AA199 * Z245) * 10 ^ -3)</f>
        <v>5.6737004668738376E-3</v>
      </c>
      <c r="AB273" s="52">
        <f>((AA229 * AB199 * AA245) * 10 ^ -3)</f>
        <v>8.0041498796098003E-3</v>
      </c>
      <c r="AC273" s="52">
        <f>((AB229 * AC199 * AB245) * 10 ^ -3)</f>
        <v>8.8882687217629822E-3</v>
      </c>
      <c r="AD273" s="52">
        <f>((AC229 * AD199 * AC245) * 10 ^ -3)</f>
        <v>8.8882687217629822E-3</v>
      </c>
      <c r="AE273" s="52">
        <f>((AD229 * AE199 * AD245) * 10 ^ -3)</f>
        <v>6.541024431710331E-3</v>
      </c>
      <c r="AF273" s="52">
        <f>((AE229 * AF199 * AE245) * 10 ^ -3)</f>
        <v>8.3122285256925534E-3</v>
      </c>
      <c r="AG273" s="52">
        <f>((AF229 * AG199 * AF245) * 10 ^ -3)</f>
        <v>8.3122285256925534E-3</v>
      </c>
      <c r="AH273" s="52">
        <f>((AG229 * AH199 * AG245) * 10 ^ -3)</f>
        <v>8.3122285256925534E-3</v>
      </c>
      <c r="AI273" s="2" t="str">
        <f t="shared" si="11"/>
        <v>t CH4</v>
      </c>
      <c r="AJ273" s="2"/>
    </row>
    <row r="274" spans="23:36" x14ac:dyDescent="0.25">
      <c r="W274" s="52" t="str">
        <f>'Input - Pasture Beef'!$D$180</f>
        <v>Anaerobic lagoon</v>
      </c>
      <c r="X274" s="52" t="str">
        <f t="shared" si="13"/>
        <v>December 2024</v>
      </c>
      <c r="Y274" s="52">
        <f>((X230 * Y200 * X246) * 10 ^ -3)</f>
        <v>7.1702260923240061E-3</v>
      </c>
      <c r="Z274" s="52">
        <f>((Y230 * Z200 * Y246) * 10 ^ -3)</f>
        <v>9.4869180031117821E-3</v>
      </c>
      <c r="AA274" s="52">
        <f>((Z230 * AA200 * Z246) * 10 ^ -3)</f>
        <v>6.0299982228864514E-3</v>
      </c>
      <c r="AB274" s="52">
        <f>((AA230 * AB200 * AA246) * 10 ^ -3)</f>
        <v>8.4885104740445305E-3</v>
      </c>
      <c r="AC274" s="52">
        <f>((AB230 * AC200 * AB246) * 10 ^ -3)</f>
        <v>8.4046640101404727E-3</v>
      </c>
      <c r="AD274" s="52">
        <f>((AC230 * AD200 * AC246) * 10 ^ -3)</f>
        <v>8.4046640101404727E-3</v>
      </c>
      <c r="AE274" s="52">
        <f>((AD230 * AE200 * AD246) * 10 ^ -3)</f>
        <v>6.6091844950185562E-3</v>
      </c>
      <c r="AF274" s="52">
        <f>((AE230 * AF200 * AE246) * 10 ^ -3)</f>
        <v>7.3670843270892388E-3</v>
      </c>
      <c r="AG274" s="52">
        <f>((AF230 * AG200 * AF246) * 10 ^ -3)</f>
        <v>7.3670843270892388E-3</v>
      </c>
      <c r="AH274" s="52">
        <f>((AG230 * AH200 * AG246) * 10 ^ -3)</f>
        <v>7.3670843270892388E-3</v>
      </c>
      <c r="AI274" s="2" t="str">
        <f t="shared" si="11"/>
        <v>t CH4</v>
      </c>
      <c r="AJ274" s="2"/>
    </row>
    <row r="276" spans="23:36" ht="23.25" x14ac:dyDescent="0.25">
      <c r="W276" s="101" t="s">
        <v>301</v>
      </c>
      <c r="X276" s="102">
        <f>SUM(Y251:AH274)</f>
        <v>2.1745073472420153</v>
      </c>
      <c r="Y276" s="103">
        <f>X242</f>
        <v>31</v>
      </c>
    </row>
    <row r="278" spans="23:36" x14ac:dyDescent="0.25">
      <c r="W278" s="57" t="str" cm="1">
        <f t="array" ref="W278:X279">Common_Equations.Common_ConvertCH4ToCO2e_Arguments()</f>
        <v>ECH4</v>
      </c>
      <c r="X278" s="58" t="str">
        <v>Methane emissions (t CH4)</v>
      </c>
      <c r="Y278" s="104"/>
      <c r="Z278" s="52">
        <f>X276</f>
        <v>2.1745073472420153</v>
      </c>
    </row>
    <row r="279" spans="23:36" x14ac:dyDescent="0.25">
      <c r="W279" s="57" t="str">
        <v>GWPCH4</v>
      </c>
      <c r="X279" s="58" t="str">
        <v>Global warming potential for methane (t CO2-e / t CH4)</v>
      </c>
      <c r="Y279" s="104"/>
      <c r="Z279" s="52">
        <f>Common_InputFunctions.Utility_LookupValueInTableNumber("CH4",Table_GWPData[Gas],Table_GWPData[CO2-e factor])</f>
        <v>28</v>
      </c>
    </row>
    <row r="281" spans="23:36" ht="18.75" x14ac:dyDescent="0.25">
      <c r="W281" s="45" t="s">
        <v>103</v>
      </c>
      <c r="X281" s="45" cm="1">
        <f t="array" ref="X281">Common_Equations.Common_ConvertN2OToCO2e(Z278,Z279)</f>
        <v>60.886205722776431</v>
      </c>
      <c r="Y281" s="105" t="str" cm="1">
        <f t="array" ref="Y281">Common_Equations.Common_ConvertN2OToCO2e_Unit()</f>
        <v>t CO2e</v>
      </c>
    </row>
  </sheetData>
  <dataValidations disablePrompts="1" count="1">
    <dataValidation operator="equal" allowBlank="1" showInputMessage="1" showErrorMessage="1" sqref="Y167:AC167 E255 D154:G154 G166:J166 E121:J121 F122:J126 X206 E203 E258 X203 E141:J141 Y143:AC144 E206 F135:F136 F142:J144 F167:J167 F172:J173 X166:AC166 Y172:AC173"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A142" zoomScaleNormal="100" workbookViewId="0">
      <selection activeCell="I160" sqref="I160:K16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8" t="e" vm="1">
        <v>#VALUE!</v>
      </c>
      <c r="C1" s="8" t="s">
        <v>284</v>
      </c>
    </row>
    <row r="2" spans="1:35" s="9" customFormat="1" ht="20.100000000000001" customHeight="1" x14ac:dyDescent="0.25"/>
    <row r="3" spans="1:35" ht="20.100000000000001" customHeight="1" x14ac:dyDescent="0.25">
      <c r="A3" s="17" t="str">
        <f>HYPERLINK("#'Home'!A1", "Home")</f>
        <v>Home</v>
      </c>
      <c r="C3" s="4"/>
      <c r="D3" s="4" t="s">
        <v>107</v>
      </c>
      <c r="E3" s="4"/>
      <c r="F3" s="4"/>
      <c r="G3" s="4"/>
      <c r="H3" s="4"/>
      <c r="I3" s="4"/>
      <c r="J3" s="4"/>
      <c r="K3" s="4"/>
      <c r="L3" s="4"/>
      <c r="M3" s="4"/>
      <c r="N3" s="4"/>
      <c r="O3" s="4"/>
      <c r="P3" s="4"/>
      <c r="Q3" s="4"/>
      <c r="R3" s="4"/>
      <c r="T3" s="4"/>
      <c r="U3" s="4" t="s">
        <v>108</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
        <v>426</v>
      </c>
    </row>
    <row r="6" spans="1:35" ht="20.100000000000001" customHeight="1" x14ac:dyDescent="0.25">
      <c r="A6" s="20" t="s">
        <v>3</v>
      </c>
      <c r="D6" s="5" t="s">
        <v>427</v>
      </c>
    </row>
    <row r="7" spans="1:35" ht="20.100000000000001" customHeight="1" x14ac:dyDescent="0.25">
      <c r="A7" s="17" t="str">
        <f>HYPERLINK("#'Input - Site'!A1", "Site")</f>
        <v>Site</v>
      </c>
      <c r="D7" s="13"/>
      <c r="E7" s="13"/>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76</v>
      </c>
      <c r="D10" s="53" t="s">
        <v>29</v>
      </c>
      <c r="E10" s="1" t="s">
        <v>428</v>
      </c>
    </row>
    <row r="11" spans="1:35" ht="20.100000000000001" customHeight="1" x14ac:dyDescent="0.25">
      <c r="A11" s="17" t="str">
        <f>HYPERLINK("#'4.2.1.1-2 Methane'!A1", "4.2.1.1-2 Methane")</f>
        <v>4.2.1.1-2 Methane</v>
      </c>
      <c r="D11" s="53" t="s">
        <v>20</v>
      </c>
      <c r="E11" s="54" t="s">
        <v>429</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08" t="str" cm="1">
        <f t="array" ref="D13:E15">(_xlfn.MAKEARRAY(3, 2, _xlfn.LAMBDA(_xlpm.r,_xlpm.c, INDEX({"W_jkl","liveweight (kg)";"SRW_k","standard reference weight (kg)";"i","state"}, _xlpm.r, _xlpm.c))))</f>
        <v>W_jkl</v>
      </c>
      <c r="E13" s="108" t="str">
        <v>liveweight (kg)</v>
      </c>
      <c r="F13" s="108" t="str">
        <f>"See " &amp; D17</f>
        <v>See M1_Table_W_j_k_l</v>
      </c>
    </row>
    <row r="14" spans="1:35" ht="20.100000000000001" customHeight="1" x14ac:dyDescent="0.25">
      <c r="A14" s="17" t="str">
        <f>HYPERLINK("#'4.2.1.7-8 Soil leach runoff'!A1", "4.2.1.7-8 Soil leach &amp; runoff")</f>
        <v>4.2.1.7-8 Soil leach &amp; runoff</v>
      </c>
      <c r="D14" s="108" t="str">
        <v>SRW_k</v>
      </c>
      <c r="E14" s="108" t="str">
        <v>standard reference weight (kg)</v>
      </c>
      <c r="F14" s="108" t="str">
        <f>"See " &amp; D25</f>
        <v>See Table_SRW_k</v>
      </c>
    </row>
    <row r="15" spans="1:35" ht="20.100000000000001" customHeight="1" x14ac:dyDescent="0.25">
      <c r="A15" s="17"/>
      <c r="D15" s="57" t="str">
        <v>i</v>
      </c>
      <c r="E15" s="57" t="str">
        <v>state</v>
      </c>
      <c r="F15" s="57"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9" t="s">
        <v>285</v>
      </c>
      <c r="U17" s="99" t="s">
        <v>253</v>
      </c>
    </row>
    <row r="18" spans="1:34" ht="20.100000000000001" customHeight="1" x14ac:dyDescent="0.25">
      <c r="A18" s="17" t="str">
        <f>HYPERLINK("#'Constants - Livestock'!A1", "Constants - Livestock")</f>
        <v>Constants - Livestock</v>
      </c>
      <c r="D18" s="98" t="s">
        <v>243</v>
      </c>
      <c r="U18" s="98" t="s">
        <v>254</v>
      </c>
    </row>
    <row r="19" spans="1:34" ht="20.100000000000001" customHeight="1" x14ac:dyDescent="0.25">
      <c r="A19" s="17" t="str">
        <f>HYPERLINK("#'Constants - Common'!A1", "Constants - Common")</f>
        <v>Constants - Common</v>
      </c>
      <c r="D19" s="51" t="s">
        <v>183</v>
      </c>
      <c r="E19" s="51" t="s">
        <v>130</v>
      </c>
      <c r="F19" s="51" t="s">
        <v>129</v>
      </c>
      <c r="G19" s="51" t="s">
        <v>164</v>
      </c>
      <c r="H19" s="51" t="s">
        <v>165</v>
      </c>
      <c r="I19" s="51" t="s">
        <v>166</v>
      </c>
      <c r="J19" s="51" t="s">
        <v>167</v>
      </c>
      <c r="K19" s="51" t="s">
        <v>168</v>
      </c>
      <c r="L19" s="51" t="s">
        <v>169</v>
      </c>
      <c r="M19" s="51" t="s">
        <v>170</v>
      </c>
      <c r="N19" s="51" t="s">
        <v>171</v>
      </c>
      <c r="U19" s="51" t="s">
        <v>131</v>
      </c>
      <c r="V19" s="51" t="s">
        <v>130</v>
      </c>
      <c r="W19" s="51" t="s">
        <v>129</v>
      </c>
      <c r="X19" s="51" t="s">
        <v>164</v>
      </c>
      <c r="Y19" s="51" t="s">
        <v>165</v>
      </c>
      <c r="Z19" s="51" t="s">
        <v>166</v>
      </c>
      <c r="AA19" s="51" t="s">
        <v>167</v>
      </c>
      <c r="AB19" s="51" t="s">
        <v>168</v>
      </c>
      <c r="AC19" s="51" t="s">
        <v>169</v>
      </c>
      <c r="AD19" s="51" t="s">
        <v>170</v>
      </c>
      <c r="AE19" s="51" t="s">
        <v>171</v>
      </c>
      <c r="AF19" s="2"/>
      <c r="AG19" s="2"/>
      <c r="AH19" s="2"/>
    </row>
    <row r="20" spans="1:34" ht="20.100000000000001" customHeight="1" x14ac:dyDescent="0.25">
      <c r="A20" s="17" t="str">
        <f>HYPERLINK("#'Acknowledgements'!A1", "Acknowledgements")</f>
        <v>Acknowledgements</v>
      </c>
      <c r="D20" s="52" t="str">
        <f>'Input - Pasture Beef'!D60</f>
        <v>Spring</v>
      </c>
      <c r="E20" s="52">
        <f>'Input - Pasture Beef'!E60</f>
        <v>340</v>
      </c>
      <c r="F20" s="52">
        <f>'Input - Pasture Beef'!F60</f>
        <v>800</v>
      </c>
      <c r="G20" s="52">
        <f>'Input - Pasture Beef'!G60</f>
        <v>260</v>
      </c>
      <c r="H20" s="52">
        <f>'Input - Pasture Beef'!H60</f>
        <v>420</v>
      </c>
      <c r="I20" s="52">
        <f>'Input - Pasture Beef'!I60</f>
        <v>550</v>
      </c>
      <c r="J20" s="52">
        <f>'Input - Pasture Beef'!J60</f>
        <v>550</v>
      </c>
      <c r="K20" s="52">
        <f>'Input - Pasture Beef'!K60</f>
        <v>300</v>
      </c>
      <c r="L20" s="52">
        <f>'Input - Pasture Beef'!L60</f>
        <v>480</v>
      </c>
      <c r="M20" s="52">
        <f>'Input - Pasture Beef'!M60</f>
        <v>480</v>
      </c>
      <c r="N20" s="52">
        <f>'Input - Pasture Beef'!N60</f>
        <v>480</v>
      </c>
      <c r="O20" s="2" t="s">
        <v>132</v>
      </c>
      <c r="U20" s="52" t="str">
        <f>TEXT('Input - Site'!$E$12, "mmmm yyyy")</f>
        <v>January 2024</v>
      </c>
      <c r="V20" s="52">
        <f>'Input - Pasture Beef'!E66</f>
        <v>380</v>
      </c>
      <c r="W20" s="52">
        <f>'Input - Pasture Beef'!F66</f>
        <v>780</v>
      </c>
      <c r="X20" s="52">
        <f>'Input - Pasture Beef'!G66</f>
        <v>300</v>
      </c>
      <c r="Y20" s="52">
        <f>'Input - Pasture Beef'!H66</f>
        <v>450</v>
      </c>
      <c r="Z20" s="52">
        <f>'Input - Pasture Beef'!I66</f>
        <v>530</v>
      </c>
      <c r="AA20" s="52">
        <f>'Input - Pasture Beef'!J66</f>
        <v>530</v>
      </c>
      <c r="AB20" s="52">
        <f>'Input - Pasture Beef'!K66</f>
        <v>340</v>
      </c>
      <c r="AC20" s="52">
        <f>'Input - Pasture Beef'!L66</f>
        <v>470</v>
      </c>
      <c r="AD20" s="52">
        <f>'Input - Pasture Beef'!M66</f>
        <v>470</v>
      </c>
      <c r="AE20" s="52">
        <f>'Input - Pasture Beef'!N66</f>
        <v>470</v>
      </c>
      <c r="AF20" s="2" t="s">
        <v>132</v>
      </c>
      <c r="AG20" s="2"/>
      <c r="AH20" s="2"/>
    </row>
    <row r="21" spans="1:34" ht="20.100000000000001" customHeight="1" x14ac:dyDescent="0.25">
      <c r="D21" s="52" t="str">
        <f>'Input - Pasture Beef'!D61</f>
        <v>Summer</v>
      </c>
      <c r="E21" s="52">
        <f>'Input - Pasture Beef'!E61</f>
        <v>380</v>
      </c>
      <c r="F21" s="52">
        <f>'Input - Pasture Beef'!F61</f>
        <v>780</v>
      </c>
      <c r="G21" s="52">
        <f>'Input - Pasture Beef'!G61</f>
        <v>300</v>
      </c>
      <c r="H21" s="52">
        <f>'Input - Pasture Beef'!H61</f>
        <v>450</v>
      </c>
      <c r="I21" s="52">
        <f>'Input - Pasture Beef'!I61</f>
        <v>530</v>
      </c>
      <c r="J21" s="52">
        <f>'Input - Pasture Beef'!J61</f>
        <v>530</v>
      </c>
      <c r="K21" s="52">
        <f>'Input - Pasture Beef'!K61</f>
        <v>340</v>
      </c>
      <c r="L21" s="52">
        <f>'Input - Pasture Beef'!L61</f>
        <v>470</v>
      </c>
      <c r="M21" s="52">
        <f>'Input - Pasture Beef'!M61</f>
        <v>470</v>
      </c>
      <c r="N21" s="52">
        <f>'Input - Pasture Beef'!N61</f>
        <v>470</v>
      </c>
      <c r="O21" s="2" t="s">
        <v>132</v>
      </c>
      <c r="U21" s="52" t="str">
        <f>TEXT(EDATE('Input - Site'!$E$12,1), "mmmm yyyy")</f>
        <v>February 2024</v>
      </c>
      <c r="V21" s="52">
        <f>'Input - Pasture Beef'!E67</f>
        <v>380</v>
      </c>
      <c r="W21" s="52">
        <f>'Input - Pasture Beef'!F67</f>
        <v>780</v>
      </c>
      <c r="X21" s="52">
        <f>'Input - Pasture Beef'!G67</f>
        <v>300</v>
      </c>
      <c r="Y21" s="52">
        <f>'Input - Pasture Beef'!H67</f>
        <v>450</v>
      </c>
      <c r="Z21" s="52">
        <f>'Input - Pasture Beef'!I67</f>
        <v>530</v>
      </c>
      <c r="AA21" s="52">
        <f>'Input - Pasture Beef'!J67</f>
        <v>530</v>
      </c>
      <c r="AB21" s="52">
        <f>'Input - Pasture Beef'!K67</f>
        <v>340</v>
      </c>
      <c r="AC21" s="52">
        <f>'Input - Pasture Beef'!L67</f>
        <v>470</v>
      </c>
      <c r="AD21" s="52">
        <f>'Input - Pasture Beef'!M67</f>
        <v>470</v>
      </c>
      <c r="AE21" s="52">
        <f>'Input - Pasture Beef'!N67</f>
        <v>470</v>
      </c>
      <c r="AF21" s="2" t="s">
        <v>132</v>
      </c>
      <c r="AG21" s="2"/>
      <c r="AH21" s="2"/>
    </row>
    <row r="22" spans="1:34" ht="20.100000000000001" customHeight="1" x14ac:dyDescent="0.25">
      <c r="A22" s="17"/>
      <c r="D22" s="52" t="str">
        <f>'Input - Pasture Beef'!D62</f>
        <v>Autumn</v>
      </c>
      <c r="E22" s="52">
        <f>'Input - Pasture Beef'!E62</f>
        <v>100</v>
      </c>
      <c r="F22" s="52">
        <f>'Input - Pasture Beef'!F62</f>
        <v>680</v>
      </c>
      <c r="G22" s="52">
        <f>'Input - Pasture Beef'!G62</f>
        <v>80</v>
      </c>
      <c r="H22" s="52">
        <f>'Input - Pasture Beef'!H62</f>
        <v>320</v>
      </c>
      <c r="I22" s="52">
        <f>'Input - Pasture Beef'!I62</f>
        <v>480</v>
      </c>
      <c r="J22" s="52">
        <f>'Input - Pasture Beef'!J62</f>
        <v>480</v>
      </c>
      <c r="K22" s="52">
        <f>'Input - Pasture Beef'!K62</f>
        <v>100</v>
      </c>
      <c r="L22" s="52">
        <f>'Input - Pasture Beef'!L62</f>
        <v>340</v>
      </c>
      <c r="M22" s="52">
        <f>'Input - Pasture Beef'!M62</f>
        <v>340</v>
      </c>
      <c r="N22" s="52">
        <f>'Input - Pasture Beef'!N62</f>
        <v>340</v>
      </c>
      <c r="O22" s="2" t="s">
        <v>132</v>
      </c>
      <c r="U22" s="52" t="str">
        <f>TEXT(EDATE('Input - Site'!$E$12,2), "mmmm yyyy")</f>
        <v>March 2024</v>
      </c>
      <c r="V22" s="52">
        <f>'Input - Pasture Beef'!E68</f>
        <v>100</v>
      </c>
      <c r="W22" s="52">
        <f>'Input - Pasture Beef'!F68</f>
        <v>680</v>
      </c>
      <c r="X22" s="52">
        <f>'Input - Pasture Beef'!G68</f>
        <v>80</v>
      </c>
      <c r="Y22" s="52">
        <f>'Input - Pasture Beef'!H68</f>
        <v>320</v>
      </c>
      <c r="Z22" s="52">
        <f>'Input - Pasture Beef'!I68</f>
        <v>480</v>
      </c>
      <c r="AA22" s="52">
        <f>'Input - Pasture Beef'!J68</f>
        <v>480</v>
      </c>
      <c r="AB22" s="52">
        <f>'Input - Pasture Beef'!K68</f>
        <v>100</v>
      </c>
      <c r="AC22" s="52">
        <f>'Input - Pasture Beef'!L68</f>
        <v>340</v>
      </c>
      <c r="AD22" s="52">
        <f>'Input - Pasture Beef'!M68</f>
        <v>340</v>
      </c>
      <c r="AE22" s="52">
        <f>'Input - Pasture Beef'!N68</f>
        <v>340</v>
      </c>
      <c r="AF22" s="2" t="s">
        <v>132</v>
      </c>
      <c r="AG22" s="2"/>
      <c r="AH22" s="2"/>
    </row>
    <row r="23" spans="1:34" ht="20.100000000000001" customHeight="1" x14ac:dyDescent="0.25">
      <c r="A23" s="17"/>
      <c r="D23" s="52" t="str">
        <f>'Input - Pasture Beef'!D63</f>
        <v>Winter</v>
      </c>
      <c r="E23" s="52">
        <f>'Input - Pasture Beef'!E63</f>
        <v>190</v>
      </c>
      <c r="F23" s="52">
        <f>'Input - Pasture Beef'!F63</f>
        <v>700</v>
      </c>
      <c r="G23" s="52">
        <f>'Input - Pasture Beef'!G63</f>
        <v>150</v>
      </c>
      <c r="H23" s="52">
        <f>'Input - Pasture Beef'!H63</f>
        <v>330</v>
      </c>
      <c r="I23" s="52">
        <f>'Input - Pasture Beef'!I63</f>
        <v>490</v>
      </c>
      <c r="J23" s="52">
        <f>'Input - Pasture Beef'!J63</f>
        <v>490</v>
      </c>
      <c r="K23" s="52">
        <f>'Input - Pasture Beef'!K63</f>
        <v>170</v>
      </c>
      <c r="L23" s="52">
        <f>'Input - Pasture Beef'!L63</f>
        <v>360</v>
      </c>
      <c r="M23" s="52">
        <f>'Input - Pasture Beef'!M63</f>
        <v>360</v>
      </c>
      <c r="N23" s="52">
        <f>'Input - Pasture Beef'!N63</f>
        <v>360</v>
      </c>
      <c r="O23" s="2" t="s">
        <v>132</v>
      </c>
      <c r="U23" s="52" t="str">
        <f>TEXT(EDATE('Input - Site'!$E$12,3), "mmmm yyyy")</f>
        <v>April 2024</v>
      </c>
      <c r="V23" s="52">
        <f>'Input - Pasture Beef'!E69</f>
        <v>100</v>
      </c>
      <c r="W23" s="52">
        <f>'Input - Pasture Beef'!F69</f>
        <v>680</v>
      </c>
      <c r="X23" s="52">
        <f>'Input - Pasture Beef'!G69</f>
        <v>80</v>
      </c>
      <c r="Y23" s="52">
        <f>'Input - Pasture Beef'!H69</f>
        <v>320</v>
      </c>
      <c r="Z23" s="52">
        <f>'Input - Pasture Beef'!I69</f>
        <v>480</v>
      </c>
      <c r="AA23" s="52">
        <f>'Input - Pasture Beef'!J69</f>
        <v>480</v>
      </c>
      <c r="AB23" s="52">
        <f>'Input - Pasture Beef'!K69</f>
        <v>100</v>
      </c>
      <c r="AC23" s="52">
        <f>'Input - Pasture Beef'!L69</f>
        <v>340</v>
      </c>
      <c r="AD23" s="52">
        <f>'Input - Pasture Beef'!M69</f>
        <v>340</v>
      </c>
      <c r="AE23" s="52">
        <f>'Input - Pasture Beef'!N69</f>
        <v>340</v>
      </c>
      <c r="AF23" s="2" t="s">
        <v>132</v>
      </c>
      <c r="AG23" s="2"/>
      <c r="AH23" s="2"/>
    </row>
    <row r="24" spans="1:34" ht="20.100000000000001" customHeight="1" x14ac:dyDescent="0.25">
      <c r="A24" s="17"/>
      <c r="U24" s="52" t="str">
        <f>TEXT(EDATE('Input - Site'!$E$12,4), "mmmm yyyy")</f>
        <v>May 2024</v>
      </c>
      <c r="V24" s="52">
        <f>'Input - Pasture Beef'!E70</f>
        <v>100</v>
      </c>
      <c r="W24" s="52">
        <f>'Input - Pasture Beef'!F70</f>
        <v>680</v>
      </c>
      <c r="X24" s="52">
        <f>'Input - Pasture Beef'!G70</f>
        <v>80</v>
      </c>
      <c r="Y24" s="52">
        <f>'Input - Pasture Beef'!H70</f>
        <v>320</v>
      </c>
      <c r="Z24" s="52">
        <f>'Input - Pasture Beef'!I70</f>
        <v>480</v>
      </c>
      <c r="AA24" s="52">
        <f>'Input - Pasture Beef'!J70</f>
        <v>480</v>
      </c>
      <c r="AB24" s="52">
        <f>'Input - Pasture Beef'!K70</f>
        <v>100</v>
      </c>
      <c r="AC24" s="52">
        <f>'Input - Pasture Beef'!L70</f>
        <v>340</v>
      </c>
      <c r="AD24" s="52">
        <f>'Input - Pasture Beef'!M70</f>
        <v>340</v>
      </c>
      <c r="AE24" s="52">
        <f>'Input - Pasture Beef'!N70</f>
        <v>340</v>
      </c>
      <c r="AF24" s="2" t="s">
        <v>132</v>
      </c>
      <c r="AG24" s="2"/>
      <c r="AH24" s="2"/>
    </row>
    <row r="25" spans="1:34" ht="20.100000000000001" customHeight="1" x14ac:dyDescent="0.25">
      <c r="D25" s="99" t="s">
        <v>287</v>
      </c>
      <c r="U25" s="52" t="str">
        <f>TEXT(EDATE('Input - Site'!$E$12,5), "mmmm yyyy")</f>
        <v>June 2024</v>
      </c>
      <c r="V25" s="52">
        <f>'Input - Pasture Beef'!E71</f>
        <v>190</v>
      </c>
      <c r="W25" s="52">
        <f>'Input - Pasture Beef'!F71</f>
        <v>700</v>
      </c>
      <c r="X25" s="52">
        <f>'Input - Pasture Beef'!G71</f>
        <v>150</v>
      </c>
      <c r="Y25" s="52">
        <f>'Input - Pasture Beef'!H71</f>
        <v>330</v>
      </c>
      <c r="Z25" s="52">
        <f>'Input - Pasture Beef'!I71</f>
        <v>490</v>
      </c>
      <c r="AA25" s="52">
        <f>'Input - Pasture Beef'!J71</f>
        <v>490</v>
      </c>
      <c r="AB25" s="52">
        <f>'Input - Pasture Beef'!K71</f>
        <v>170</v>
      </c>
      <c r="AC25" s="52">
        <f>'Input - Pasture Beef'!L71</f>
        <v>360</v>
      </c>
      <c r="AD25" s="52">
        <f>'Input - Pasture Beef'!M71</f>
        <v>360</v>
      </c>
      <c r="AE25" s="52">
        <f>'Input - Pasture Beef'!N71</f>
        <v>360</v>
      </c>
      <c r="AF25" s="2" t="s">
        <v>132</v>
      </c>
      <c r="AG25" s="2"/>
      <c r="AH25" s="2"/>
    </row>
    <row r="26" spans="1:34" ht="20.100000000000001" customHeight="1" x14ac:dyDescent="0.25">
      <c r="D26" s="98" t="s">
        <v>286</v>
      </c>
      <c r="U26" s="52" t="str">
        <f>TEXT(EDATE('Input - Site'!$E$12,6), "mmmm yyyy")</f>
        <v>July 2024</v>
      </c>
      <c r="V26" s="52">
        <f>'Input - Pasture Beef'!E72</f>
        <v>190</v>
      </c>
      <c r="W26" s="52">
        <f>'Input - Pasture Beef'!F72</f>
        <v>700</v>
      </c>
      <c r="X26" s="52">
        <f>'Input - Pasture Beef'!G72</f>
        <v>150</v>
      </c>
      <c r="Y26" s="52">
        <f>'Input - Pasture Beef'!H72</f>
        <v>330</v>
      </c>
      <c r="Z26" s="52">
        <f>'Input - Pasture Beef'!I72</f>
        <v>490</v>
      </c>
      <c r="AA26" s="52">
        <f>'Input - Pasture Beef'!J72</f>
        <v>490</v>
      </c>
      <c r="AB26" s="52">
        <f>'Input - Pasture Beef'!K72</f>
        <v>170</v>
      </c>
      <c r="AC26" s="52">
        <f>'Input - Pasture Beef'!L72</f>
        <v>360</v>
      </c>
      <c r="AD26" s="52">
        <f>'Input - Pasture Beef'!M72</f>
        <v>360</v>
      </c>
      <c r="AE26" s="52">
        <f>'Input - Pasture Beef'!N72</f>
        <v>360</v>
      </c>
      <c r="AF26" s="2" t="s">
        <v>132</v>
      </c>
      <c r="AG26" s="2"/>
      <c r="AH26" s="2"/>
    </row>
    <row r="27" spans="1:34" ht="20.100000000000001" customHeight="1" x14ac:dyDescent="0.25">
      <c r="D27" s="51" t="s">
        <v>130</v>
      </c>
      <c r="E27" s="51" t="s">
        <v>129</v>
      </c>
      <c r="F27" s="51" t="s">
        <v>164</v>
      </c>
      <c r="G27" s="51" t="s">
        <v>165</v>
      </c>
      <c r="H27" s="51" t="s">
        <v>166</v>
      </c>
      <c r="I27" s="51" t="s">
        <v>167</v>
      </c>
      <c r="J27" s="51" t="s">
        <v>168</v>
      </c>
      <c r="K27" s="51" t="s">
        <v>169</v>
      </c>
      <c r="L27" s="51" t="s">
        <v>170</v>
      </c>
      <c r="M27" s="51" t="s">
        <v>171</v>
      </c>
      <c r="U27" s="52" t="str">
        <f>TEXT(EDATE('Input - Site'!$E$12,7), "mmmm yyyy")</f>
        <v>August 2024</v>
      </c>
      <c r="V27" s="52">
        <f>'Input - Pasture Beef'!E73</f>
        <v>190</v>
      </c>
      <c r="W27" s="52">
        <f>'Input - Pasture Beef'!F73</f>
        <v>700</v>
      </c>
      <c r="X27" s="52">
        <f>'Input - Pasture Beef'!G73</f>
        <v>150</v>
      </c>
      <c r="Y27" s="52">
        <f>'Input - Pasture Beef'!H73</f>
        <v>330</v>
      </c>
      <c r="Z27" s="52">
        <f>'Input - Pasture Beef'!I73</f>
        <v>490</v>
      </c>
      <c r="AA27" s="52">
        <f>'Input - Pasture Beef'!J73</f>
        <v>490</v>
      </c>
      <c r="AB27" s="52">
        <f>'Input - Pasture Beef'!K73</f>
        <v>170</v>
      </c>
      <c r="AC27" s="52">
        <f>'Input - Pasture Beef'!L73</f>
        <v>360</v>
      </c>
      <c r="AD27" s="52">
        <f>'Input - Pasture Beef'!M73</f>
        <v>360</v>
      </c>
      <c r="AE27" s="52">
        <f>'Input - Pasture Beef'!N73</f>
        <v>360</v>
      </c>
      <c r="AF27" s="2" t="s">
        <v>132</v>
      </c>
      <c r="AG27" s="2"/>
      <c r="AH27" s="2"/>
    </row>
    <row r="28" spans="1:34" ht="20.100000000000001" customHeight="1" x14ac:dyDescent="0.25">
      <c r="D28" s="52">
        <f>Common_InputFunctions.Utility_LookupValueInTableOneColumnAndHeader(Common_InputFunctions.Utility_ConvertStateCommonNameToAbbreviation($F$15,Table_AustralianStates[Common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Common_InputFunctions.Utility_LookupValueInTableOneColumnAndHeader(Common_InputFunctions.Utility_ConvertStateCommonNameToAbbreviation($F$15,Table_AustralianStates[Common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Common_InputFunctions.Utility_LookupValueInTableOneColumnAndHeader(Common_InputFunctions.Utility_ConvertStateCommonNameToAbbreviation($F$15,Table_AustralianStates[Common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Common_InputFunctions.Utility_LookupValueInTableOneColumnAndHeader(Common_InputFunctions.Utility_ConvertStateCommonNameToAbbreviation($F$15,Table_AustralianStates[Common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Common_InputFunctions.Utility_LookupValueInTableOneColumnAndHeader(Common_InputFunctions.Utility_ConvertStateCommonNameToAbbreviation($F$15,Table_AustralianStates[Common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Common_InputFunctions.Utility_LookupValueInTableOneColumnAndHeader(Common_InputFunctions.Utility_ConvertStateCommonNameToAbbreviation($F$15,Table_AustralianStates[Common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Common_InputFunctions.Utility_LookupValueInTableOneColumnAndHeader(Common_InputFunctions.Utility_ConvertStateCommonNameToAbbreviation($F$15,Table_AustralianStates[Common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Common_InputFunctions.Utility_LookupValueInTableOneColumnAndHeader(Common_InputFunctions.Utility_ConvertStateCommonNameToAbbreviation($F$15,Table_AustralianStates[Common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Common_InputFunctions.Utility_LookupValueInTableOneColumnAndHeader(Common_InputFunctions.Utility_ConvertStateCommonNameToAbbreviation($F$15,Table_AustralianStates[Common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Common_InputFunctions.Utility_LookupValueInTableOneColumnAndHeader(Common_InputFunctions.Utility_ConvertStateCommonNameToAbbreviation($F$15,Table_AustralianStates[Common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132</v>
      </c>
      <c r="U28" s="52" t="str">
        <f>TEXT(EDATE('Input - Site'!$E$12,8), "mmmm yyyy")</f>
        <v>September 2024</v>
      </c>
      <c r="V28" s="52">
        <f>'Input - Pasture Beef'!E74</f>
        <v>340</v>
      </c>
      <c r="W28" s="52">
        <f>'Input - Pasture Beef'!F74</f>
        <v>800</v>
      </c>
      <c r="X28" s="52">
        <f>'Input - Pasture Beef'!G74</f>
        <v>260</v>
      </c>
      <c r="Y28" s="52">
        <f>'Input - Pasture Beef'!H74</f>
        <v>420</v>
      </c>
      <c r="Z28" s="52">
        <f>'Input - Pasture Beef'!I74</f>
        <v>550</v>
      </c>
      <c r="AA28" s="52">
        <f>'Input - Pasture Beef'!J74</f>
        <v>550</v>
      </c>
      <c r="AB28" s="52">
        <f>'Input - Pasture Beef'!K74</f>
        <v>300</v>
      </c>
      <c r="AC28" s="52">
        <f>'Input - Pasture Beef'!L74</f>
        <v>480</v>
      </c>
      <c r="AD28" s="52">
        <f>'Input - Pasture Beef'!M74</f>
        <v>480</v>
      </c>
      <c r="AE28" s="52">
        <f>'Input - Pasture Beef'!N74</f>
        <v>480</v>
      </c>
      <c r="AF28" s="2" t="s">
        <v>132</v>
      </c>
      <c r="AG28" s="2"/>
      <c r="AH28" s="2"/>
    </row>
    <row r="29" spans="1:34" ht="20.100000000000001" customHeight="1" x14ac:dyDescent="0.25">
      <c r="U29" s="52" t="str">
        <f>TEXT(EDATE('Input - Site'!$E$12,9), "mmmm yyyy")</f>
        <v>October 2024</v>
      </c>
      <c r="V29" s="52">
        <f>'Input - Pasture Beef'!E75</f>
        <v>340</v>
      </c>
      <c r="W29" s="52">
        <f>'Input - Pasture Beef'!F75</f>
        <v>800</v>
      </c>
      <c r="X29" s="52">
        <f>'Input - Pasture Beef'!G75</f>
        <v>260</v>
      </c>
      <c r="Y29" s="52">
        <f>'Input - Pasture Beef'!H75</f>
        <v>420</v>
      </c>
      <c r="Z29" s="52">
        <f>'Input - Pasture Beef'!I75</f>
        <v>550</v>
      </c>
      <c r="AA29" s="52">
        <f>'Input - Pasture Beef'!J75</f>
        <v>550</v>
      </c>
      <c r="AB29" s="52">
        <f>'Input - Pasture Beef'!K75</f>
        <v>300</v>
      </c>
      <c r="AC29" s="52">
        <f>'Input - Pasture Beef'!L75</f>
        <v>480</v>
      </c>
      <c r="AD29" s="52">
        <f>'Input - Pasture Beef'!M75</f>
        <v>480</v>
      </c>
      <c r="AE29" s="52">
        <f>'Input - Pasture Beef'!N75</f>
        <v>480</v>
      </c>
      <c r="AF29" s="2" t="s">
        <v>132</v>
      </c>
      <c r="AG29" s="2"/>
      <c r="AH29" s="2"/>
    </row>
    <row r="30" spans="1:34" ht="20.100000000000001" customHeight="1" x14ac:dyDescent="0.25">
      <c r="D30" s="99" t="s">
        <v>288</v>
      </c>
      <c r="U30" s="52" t="str">
        <f>TEXT(EDATE('Input - Site'!$E$12,10), "mmmm yyyy")</f>
        <v>November 2024</v>
      </c>
      <c r="V30" s="52">
        <f>'Input - Pasture Beef'!E76</f>
        <v>340</v>
      </c>
      <c r="W30" s="52">
        <f>'Input - Pasture Beef'!F76</f>
        <v>800</v>
      </c>
      <c r="X30" s="52">
        <f>'Input - Pasture Beef'!G76</f>
        <v>260</v>
      </c>
      <c r="Y30" s="52">
        <f>'Input - Pasture Beef'!H76</f>
        <v>420</v>
      </c>
      <c r="Z30" s="52">
        <f>'Input - Pasture Beef'!I76</f>
        <v>550</v>
      </c>
      <c r="AA30" s="52">
        <f>'Input - Pasture Beef'!J76</f>
        <v>550</v>
      </c>
      <c r="AB30" s="52">
        <f>'Input - Pasture Beef'!K76</f>
        <v>300</v>
      </c>
      <c r="AC30" s="52">
        <f>'Input - Pasture Beef'!L76</f>
        <v>480</v>
      </c>
      <c r="AD30" s="52">
        <f>'Input - Pasture Beef'!M76</f>
        <v>480</v>
      </c>
      <c r="AE30" s="52">
        <f>'Input - Pasture Beef'!N76</f>
        <v>480</v>
      </c>
      <c r="AF30" s="2" t="s">
        <v>132</v>
      </c>
      <c r="AG30" s="2"/>
      <c r="AH30" s="2"/>
    </row>
    <row r="31" spans="1:34" ht="20.100000000000001" customHeight="1" x14ac:dyDescent="0.25">
      <c r="D31" s="98" t="s">
        <v>289</v>
      </c>
      <c r="U31" s="52" t="str">
        <f>TEXT(EDATE('Input - Site'!$E$12,11), "mmmm yyyy")</f>
        <v>December 2024</v>
      </c>
      <c r="V31" s="52">
        <f>'Input - Pasture Beef'!E77</f>
        <v>380</v>
      </c>
      <c r="W31" s="52">
        <f>'Input - Pasture Beef'!F77</f>
        <v>780</v>
      </c>
      <c r="X31" s="52">
        <f>'Input - Pasture Beef'!G77</f>
        <v>300</v>
      </c>
      <c r="Y31" s="52">
        <f>'Input - Pasture Beef'!H77</f>
        <v>450</v>
      </c>
      <c r="Z31" s="52">
        <f>'Input - Pasture Beef'!I77</f>
        <v>530</v>
      </c>
      <c r="AA31" s="52">
        <f>'Input - Pasture Beef'!J77</f>
        <v>530</v>
      </c>
      <c r="AB31" s="52">
        <f>'Input - Pasture Beef'!K77</f>
        <v>340</v>
      </c>
      <c r="AC31" s="52">
        <f>'Input - Pasture Beef'!L77</f>
        <v>470</v>
      </c>
      <c r="AD31" s="52">
        <f>'Input - Pasture Beef'!M77</f>
        <v>470</v>
      </c>
      <c r="AE31" s="52">
        <f>'Input - Pasture Beef'!N77</f>
        <v>470</v>
      </c>
      <c r="AF31" s="2" t="s">
        <v>132</v>
      </c>
      <c r="AG31" s="2"/>
      <c r="AH31" s="2"/>
    </row>
    <row r="32" spans="1:34" ht="20.100000000000001" customHeight="1" x14ac:dyDescent="0.25">
      <c r="D32" s="51" t="s">
        <v>183</v>
      </c>
      <c r="E32" s="51" t="s">
        <v>130</v>
      </c>
      <c r="F32" s="51" t="s">
        <v>129</v>
      </c>
      <c r="G32" s="51" t="s">
        <v>164</v>
      </c>
      <c r="H32" s="51" t="s">
        <v>165</v>
      </c>
      <c r="I32" s="51" t="s">
        <v>166</v>
      </c>
      <c r="J32" s="51" t="s">
        <v>167</v>
      </c>
      <c r="K32" s="51" t="s">
        <v>168</v>
      </c>
      <c r="L32" s="51" t="s">
        <v>169</v>
      </c>
      <c r="M32" s="51" t="s">
        <v>170</v>
      </c>
      <c r="N32" s="51" t="s">
        <v>171</v>
      </c>
    </row>
    <row r="33" spans="3:34" ht="20.100000000000001" customHeight="1" x14ac:dyDescent="0.25">
      <c r="D33" s="52" t="str">
        <f>'Input - Pasture Beef'!D60</f>
        <v>Spring</v>
      </c>
      <c r="E33" s="52">
        <f>(E20 / D$28)</f>
        <v>0.44155844155844154</v>
      </c>
      <c r="F33" s="52">
        <f>(F20 / E$28)</f>
        <v>1.0389610389610389</v>
      </c>
      <c r="G33" s="52">
        <f>(G20 / F$28)</f>
        <v>0.47272727272727272</v>
      </c>
      <c r="H33" s="52">
        <f>(H20 / G$28)</f>
        <v>0.76363636363636367</v>
      </c>
      <c r="I33" s="52">
        <f>(I20 / H$28)</f>
        <v>1</v>
      </c>
      <c r="J33" s="52">
        <f>(J20 / I$28)</f>
        <v>1</v>
      </c>
      <c r="K33" s="52">
        <f>(K20 / J$28)</f>
        <v>0.45454545454545453</v>
      </c>
      <c r="L33" s="52">
        <f>(L20 / K$28)</f>
        <v>0.72727272727272729</v>
      </c>
      <c r="M33" s="52">
        <f>(M20 / L$28)</f>
        <v>0.72727272727272729</v>
      </c>
      <c r="N33" s="52">
        <f>(N20 / M$28)</f>
        <v>0.72727272727272729</v>
      </c>
      <c r="O33" s="2" t="str">
        <f>$E$11</f>
        <v>ratio</v>
      </c>
      <c r="U33" s="99" t="s">
        <v>290</v>
      </c>
    </row>
    <row r="34" spans="3:34" ht="20.100000000000001" customHeight="1" x14ac:dyDescent="0.25">
      <c r="D34" s="52" t="str">
        <f>'Input - Pasture Beef'!D61</f>
        <v>Summer</v>
      </c>
      <c r="E34" s="52">
        <f>(E21 / D$28)</f>
        <v>0.4935064935064935</v>
      </c>
      <c r="F34" s="52">
        <f>(F21 / E$28)</f>
        <v>1.0129870129870129</v>
      </c>
      <c r="G34" s="52">
        <f>(G21 / F$28)</f>
        <v>0.54545454545454541</v>
      </c>
      <c r="H34" s="52">
        <f>(H21 / G$28)</f>
        <v>0.81818181818181823</v>
      </c>
      <c r="I34" s="52">
        <f>(I21 / H$28)</f>
        <v>0.96363636363636362</v>
      </c>
      <c r="J34" s="52">
        <f>(J21 / I$28)</f>
        <v>0.96363636363636362</v>
      </c>
      <c r="K34" s="52">
        <f>(K21 / J$28)</f>
        <v>0.51515151515151514</v>
      </c>
      <c r="L34" s="52">
        <f>(L21 / K$28)</f>
        <v>0.71212121212121215</v>
      </c>
      <c r="M34" s="52">
        <f>(M21 / L$28)</f>
        <v>0.71212121212121215</v>
      </c>
      <c r="N34" s="52">
        <f>(N21 / M$28)</f>
        <v>0.71212121212121215</v>
      </c>
      <c r="O34" s="2" t="str">
        <f t="shared" ref="O34:O36" si="0">$E$11</f>
        <v>ratio</v>
      </c>
      <c r="U34" s="98" t="s">
        <v>291</v>
      </c>
    </row>
    <row r="35" spans="3:34" ht="20.100000000000001" customHeight="1" x14ac:dyDescent="0.25">
      <c r="D35" s="52" t="str">
        <f>'Input - Pasture Beef'!D62</f>
        <v>Autumn</v>
      </c>
      <c r="E35" s="52">
        <f>(E22 / D$28)</f>
        <v>0.12987012987012986</v>
      </c>
      <c r="F35" s="52">
        <f>(F22 / E$28)</f>
        <v>0.88311688311688308</v>
      </c>
      <c r="G35" s="52">
        <f>(G22 / F$28)</f>
        <v>0.14545454545454545</v>
      </c>
      <c r="H35" s="52">
        <f>(H22 / G$28)</f>
        <v>0.58181818181818179</v>
      </c>
      <c r="I35" s="52">
        <f>(I22 / H$28)</f>
        <v>0.87272727272727268</v>
      </c>
      <c r="J35" s="52">
        <f>(J22 / I$28)</f>
        <v>0.87272727272727268</v>
      </c>
      <c r="K35" s="52">
        <f>(K22 / J$28)</f>
        <v>0.15151515151515152</v>
      </c>
      <c r="L35" s="52">
        <f>(L22 / K$28)</f>
        <v>0.51515151515151514</v>
      </c>
      <c r="M35" s="52">
        <f>(M22 / L$28)</f>
        <v>0.51515151515151514</v>
      </c>
      <c r="N35" s="52">
        <f>(N22 / M$28)</f>
        <v>0.51515151515151514</v>
      </c>
      <c r="O35" s="2" t="str">
        <f t="shared" si="0"/>
        <v>ratio</v>
      </c>
      <c r="U35" s="51" t="s">
        <v>131</v>
      </c>
      <c r="V35" s="51" t="s">
        <v>130</v>
      </c>
      <c r="W35" s="51" t="s">
        <v>129</v>
      </c>
      <c r="X35" s="51" t="s">
        <v>164</v>
      </c>
      <c r="Y35" s="51" t="s">
        <v>165</v>
      </c>
      <c r="Z35" s="51" t="s">
        <v>166</v>
      </c>
      <c r="AA35" s="51" t="s">
        <v>167</v>
      </c>
      <c r="AB35" s="51" t="s">
        <v>168</v>
      </c>
      <c r="AC35" s="51" t="s">
        <v>169</v>
      </c>
      <c r="AD35" s="51" t="s">
        <v>170</v>
      </c>
      <c r="AE35" s="51" t="s">
        <v>171</v>
      </c>
      <c r="AF35" s="2"/>
      <c r="AG35" s="2"/>
      <c r="AH35" s="2"/>
    </row>
    <row r="36" spans="3:34" ht="20.100000000000001" customHeight="1" x14ac:dyDescent="0.25">
      <c r="D36" s="52" t="str">
        <f>'Input - Pasture Beef'!D63</f>
        <v>Winter</v>
      </c>
      <c r="E36" s="52">
        <f>(E23 / D$28)</f>
        <v>0.24675324675324675</v>
      </c>
      <c r="F36" s="52">
        <f>(F23 / E$28)</f>
        <v>0.90909090909090906</v>
      </c>
      <c r="G36" s="52">
        <f>(G23 / F$28)</f>
        <v>0.27272727272727271</v>
      </c>
      <c r="H36" s="52">
        <f>(H23 / G$28)</f>
        <v>0.6</v>
      </c>
      <c r="I36" s="52">
        <f>(I23 / H$28)</f>
        <v>0.89090909090909087</v>
      </c>
      <c r="J36" s="52">
        <f>(J23 / I$28)</f>
        <v>0.89090909090909087</v>
      </c>
      <c r="K36" s="52">
        <f>(K23 / J$28)</f>
        <v>0.25757575757575757</v>
      </c>
      <c r="L36" s="52">
        <f>(L23 / K$28)</f>
        <v>0.54545454545454541</v>
      </c>
      <c r="M36" s="52">
        <f>(M23 / L$28)</f>
        <v>0.54545454545454541</v>
      </c>
      <c r="N36" s="52">
        <f>(N23 / M$28)</f>
        <v>0.54545454545454541</v>
      </c>
      <c r="O36" s="2" t="str">
        <f t="shared" si="0"/>
        <v>ratio</v>
      </c>
      <c r="U36" s="52" t="str">
        <f>TEXT('Input - Site'!$E$12, "mmmm yyyy")</f>
        <v>January 2024</v>
      </c>
      <c r="V36" s="52">
        <f>(V20 / D$28)</f>
        <v>0.4935064935064935</v>
      </c>
      <c r="W36" s="52">
        <f>(W20 / E$28)</f>
        <v>1.0129870129870129</v>
      </c>
      <c r="X36" s="52">
        <f>(X20 / F$28)</f>
        <v>0.54545454545454541</v>
      </c>
      <c r="Y36" s="52">
        <f>(Y20 / G$28)</f>
        <v>0.81818181818181823</v>
      </c>
      <c r="Z36" s="52">
        <f>(Z20 / H$28)</f>
        <v>0.96363636363636362</v>
      </c>
      <c r="AA36" s="52">
        <f>(AA20 / I$28)</f>
        <v>0.96363636363636362</v>
      </c>
      <c r="AB36" s="52">
        <f>(AB20 / J$28)</f>
        <v>0.51515151515151514</v>
      </c>
      <c r="AC36" s="52">
        <f>(AC20 / K$28)</f>
        <v>0.71212121212121215</v>
      </c>
      <c r="AD36" s="52">
        <f>(AD20 / L$28)</f>
        <v>0.71212121212121215</v>
      </c>
      <c r="AE36" s="52">
        <f>(AE20 / M$28)</f>
        <v>0.71212121212121215</v>
      </c>
      <c r="AF36" s="2" t="str">
        <f t="shared" ref="AF36:AF47" si="1">$E$11</f>
        <v>ratio</v>
      </c>
      <c r="AG36" s="2"/>
      <c r="AH36" s="2"/>
    </row>
    <row r="37" spans="3:34" ht="20.100000000000001" customHeight="1" x14ac:dyDescent="0.25">
      <c r="U37" s="52" t="str">
        <f>TEXT(EDATE('Input - Site'!$E$12,1), "mmmm yyyy")</f>
        <v>February 2024</v>
      </c>
      <c r="V37" s="52">
        <f>(V21 / D$28)</f>
        <v>0.4935064935064935</v>
      </c>
      <c r="W37" s="52">
        <f>(W21 / E$28)</f>
        <v>1.0129870129870129</v>
      </c>
      <c r="X37" s="52">
        <f>(X21 / F$28)</f>
        <v>0.54545454545454541</v>
      </c>
      <c r="Y37" s="52">
        <f>(Y21 / G$28)</f>
        <v>0.81818181818181823</v>
      </c>
      <c r="Z37" s="52">
        <f>(Z21 / H$28)</f>
        <v>0.96363636363636362</v>
      </c>
      <c r="AA37" s="52">
        <f>(AA21 / I$28)</f>
        <v>0.96363636363636362</v>
      </c>
      <c r="AB37" s="52">
        <f>(AB21 / J$28)</f>
        <v>0.51515151515151514</v>
      </c>
      <c r="AC37" s="52">
        <f>(AC21 / K$28)</f>
        <v>0.71212121212121215</v>
      </c>
      <c r="AD37" s="52">
        <f>(AD21 / L$28)</f>
        <v>0.71212121212121215</v>
      </c>
      <c r="AE37" s="52">
        <f>(AE21 / M$28)</f>
        <v>0.71212121212121215</v>
      </c>
      <c r="AF37" s="2" t="str">
        <f t="shared" si="1"/>
        <v>ratio</v>
      </c>
      <c r="AG37" s="2"/>
      <c r="AH37" s="2"/>
    </row>
    <row r="38" spans="3:34" ht="20.100000000000001" customHeight="1" x14ac:dyDescent="0.25">
      <c r="U38" s="52" t="str">
        <f>TEXT(EDATE('Input - Site'!$E$12,2), "mmmm yyyy")</f>
        <v>March 2024</v>
      </c>
      <c r="V38" s="52">
        <f>(V22 / D$28)</f>
        <v>0.12987012987012986</v>
      </c>
      <c r="W38" s="52">
        <f>(W22 / E$28)</f>
        <v>0.88311688311688308</v>
      </c>
      <c r="X38" s="52">
        <f>(X22 / F$28)</f>
        <v>0.14545454545454545</v>
      </c>
      <c r="Y38" s="52">
        <f>(Y22 / G$28)</f>
        <v>0.58181818181818179</v>
      </c>
      <c r="Z38" s="52">
        <f>(Z22 / H$28)</f>
        <v>0.87272727272727268</v>
      </c>
      <c r="AA38" s="52">
        <f>(AA22 / I$28)</f>
        <v>0.87272727272727268</v>
      </c>
      <c r="AB38" s="52">
        <f>(AB22 / J$28)</f>
        <v>0.15151515151515152</v>
      </c>
      <c r="AC38" s="52">
        <f>(AC22 / K$28)</f>
        <v>0.51515151515151514</v>
      </c>
      <c r="AD38" s="52">
        <f>(AD22 / L$28)</f>
        <v>0.51515151515151514</v>
      </c>
      <c r="AE38" s="52">
        <f>(AE22 / 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f>(V23 / D$28)</f>
        <v>0.12987012987012986</v>
      </c>
      <c r="W39" s="52">
        <f>(W23 / E$28)</f>
        <v>0.88311688311688308</v>
      </c>
      <c r="X39" s="52">
        <f>(X23 / F$28)</f>
        <v>0.14545454545454545</v>
      </c>
      <c r="Y39" s="52">
        <f>(Y23 / G$28)</f>
        <v>0.58181818181818179</v>
      </c>
      <c r="Z39" s="52">
        <f>(Z23 / H$28)</f>
        <v>0.87272727272727268</v>
      </c>
      <c r="AA39" s="52">
        <f>(AA23 / I$28)</f>
        <v>0.87272727272727268</v>
      </c>
      <c r="AB39" s="52">
        <f>(AB23 / J$28)</f>
        <v>0.15151515151515152</v>
      </c>
      <c r="AC39" s="52">
        <f>(AC23 / K$28)</f>
        <v>0.51515151515151514</v>
      </c>
      <c r="AD39" s="52">
        <f>(AD23 / L$28)</f>
        <v>0.51515151515151514</v>
      </c>
      <c r="AE39" s="52">
        <f>(AE23 / M$28)</f>
        <v>0.51515151515151514</v>
      </c>
      <c r="AF39" s="2" t="str">
        <f t="shared" si="1"/>
        <v>ratio</v>
      </c>
      <c r="AG39" s="2"/>
      <c r="AH39" s="2"/>
    </row>
    <row r="40" spans="3:34" ht="20.100000000000001" customHeight="1" x14ac:dyDescent="0.25">
      <c r="D40" s="6" t="s">
        <v>430</v>
      </c>
      <c r="U40" s="52" t="str">
        <f>TEXT(EDATE('Input - Site'!$E$12,4), "mmmm yyyy")</f>
        <v>May 2024</v>
      </c>
      <c r="V40" s="52">
        <f>(V24 / D$28)</f>
        <v>0.12987012987012986</v>
      </c>
      <c r="W40" s="52">
        <f>(W24 / E$28)</f>
        <v>0.88311688311688308</v>
      </c>
      <c r="X40" s="52">
        <f>(X24 / F$28)</f>
        <v>0.14545454545454545</v>
      </c>
      <c r="Y40" s="52">
        <f>(Y24 / G$28)</f>
        <v>0.58181818181818179</v>
      </c>
      <c r="Z40" s="52">
        <f>(Z24 / H$28)</f>
        <v>0.87272727272727268</v>
      </c>
      <c r="AA40" s="52">
        <f>(AA24 / I$28)</f>
        <v>0.87272727272727268</v>
      </c>
      <c r="AB40" s="52">
        <f>(AB24 / J$28)</f>
        <v>0.15151515151515152</v>
      </c>
      <c r="AC40" s="52">
        <f>(AC24 / K$28)</f>
        <v>0.51515151515151514</v>
      </c>
      <c r="AD40" s="52">
        <f>(AD24 / L$28)</f>
        <v>0.51515151515151514</v>
      </c>
      <c r="AE40" s="52">
        <f>(AE24 / M$28)</f>
        <v>0.51515151515151514</v>
      </c>
      <c r="AF40" s="2" t="str">
        <f t="shared" si="1"/>
        <v>ratio</v>
      </c>
      <c r="AG40" s="2"/>
      <c r="AH40" s="2"/>
    </row>
    <row r="41" spans="3:34" ht="20.100000000000001" customHeight="1" x14ac:dyDescent="0.25">
      <c r="D41" s="5" t="s">
        <v>431</v>
      </c>
      <c r="U41" s="52" t="str">
        <f>TEXT(EDATE('Input - Site'!$E$12,5), "mmmm yyyy")</f>
        <v>June 2024</v>
      </c>
      <c r="V41" s="52">
        <f>(V25 / D$28)</f>
        <v>0.24675324675324675</v>
      </c>
      <c r="W41" s="52">
        <f>(W25 / E$28)</f>
        <v>0.90909090909090906</v>
      </c>
      <c r="X41" s="52">
        <f>(X25 / F$28)</f>
        <v>0.27272727272727271</v>
      </c>
      <c r="Y41" s="52">
        <f>(Y25 / G$28)</f>
        <v>0.6</v>
      </c>
      <c r="Z41" s="52">
        <f>(Z25 / H$28)</f>
        <v>0.89090909090909087</v>
      </c>
      <c r="AA41" s="52">
        <f>(AA25 / I$28)</f>
        <v>0.89090909090909087</v>
      </c>
      <c r="AB41" s="52">
        <f>(AB25 / J$28)</f>
        <v>0.25757575757575757</v>
      </c>
      <c r="AC41" s="52">
        <f>(AC25 / K$28)</f>
        <v>0.54545454545454541</v>
      </c>
      <c r="AD41" s="52">
        <f>(AD25 / L$28)</f>
        <v>0.54545454545454541</v>
      </c>
      <c r="AE41" s="52">
        <f>(AE25 / M$28)</f>
        <v>0.54545454545454541</v>
      </c>
      <c r="AF41" s="2" t="str">
        <f t="shared" si="1"/>
        <v>ratio</v>
      </c>
      <c r="AG41" s="2"/>
      <c r="AH41" s="2"/>
    </row>
    <row r="42" spans="3:34" ht="20.100000000000001" customHeight="1" x14ac:dyDescent="0.25">
      <c r="D42" s="13"/>
      <c r="E42" s="13"/>
      <c r="U42" s="52" t="str">
        <f>TEXT(EDATE('Input - Site'!$E$12,6), "mmmm yyyy")</f>
        <v>July 2024</v>
      </c>
      <c r="V42" s="52">
        <f>(V26 / D$28)</f>
        <v>0.24675324675324675</v>
      </c>
      <c r="W42" s="52">
        <f>(W26 / E$28)</f>
        <v>0.90909090909090906</v>
      </c>
      <c r="X42" s="52">
        <f>(X26 / F$28)</f>
        <v>0.27272727272727271</v>
      </c>
      <c r="Y42" s="52">
        <f>(Y26 / G$28)</f>
        <v>0.6</v>
      </c>
      <c r="Z42" s="52">
        <f>(Z26 / H$28)</f>
        <v>0.89090909090909087</v>
      </c>
      <c r="AA42" s="52">
        <f>(AA26 / I$28)</f>
        <v>0.89090909090909087</v>
      </c>
      <c r="AB42" s="52">
        <f>(AB26 / J$28)</f>
        <v>0.25757575757575757</v>
      </c>
      <c r="AC42" s="52">
        <f>(AC26 / K$28)</f>
        <v>0.54545454545454541</v>
      </c>
      <c r="AD42" s="52">
        <f>(AD26 / L$28)</f>
        <v>0.54545454545454541</v>
      </c>
      <c r="AE42" s="52">
        <f>(AE26 / M$28)</f>
        <v>0.54545454545454541</v>
      </c>
      <c r="AF42" s="2" t="str">
        <f t="shared" si="1"/>
        <v>ratio</v>
      </c>
      <c r="AG42" s="2"/>
      <c r="AH42" s="2"/>
    </row>
    <row r="43" spans="3:34" ht="20.100000000000001" customHeight="1" x14ac:dyDescent="0.25">
      <c r="U43" s="52" t="str">
        <f>TEXT(EDATE('Input - Site'!$E$12,7), "mmmm yyyy")</f>
        <v>August 2024</v>
      </c>
      <c r="V43" s="52">
        <f>(V27 / D$28)</f>
        <v>0.24675324675324675</v>
      </c>
      <c r="W43" s="52">
        <f>(W27 / E$28)</f>
        <v>0.90909090909090906</v>
      </c>
      <c r="X43" s="52">
        <f>(X27 / F$28)</f>
        <v>0.27272727272727271</v>
      </c>
      <c r="Y43" s="52">
        <f>(Y27 / G$28)</f>
        <v>0.6</v>
      </c>
      <c r="Z43" s="52">
        <f>(Z27 / H$28)</f>
        <v>0.89090909090909087</v>
      </c>
      <c r="AA43" s="52">
        <f>(AA27 / I$28)</f>
        <v>0.89090909090909087</v>
      </c>
      <c r="AB43" s="52">
        <f>(AB27 / J$28)</f>
        <v>0.25757575757575757</v>
      </c>
      <c r="AC43" s="52">
        <f>(AC27 / K$28)</f>
        <v>0.54545454545454541</v>
      </c>
      <c r="AD43" s="52">
        <f>(AD27 / L$28)</f>
        <v>0.54545454545454541</v>
      </c>
      <c r="AE43" s="52">
        <f>(AE27 / M$28)</f>
        <v>0.54545454545454541</v>
      </c>
      <c r="AF43" s="2" t="str">
        <f t="shared" si="1"/>
        <v>ratio</v>
      </c>
      <c r="AG43" s="2"/>
      <c r="AH43" s="2"/>
    </row>
    <row r="44" spans="3:34" ht="20.100000000000001" customHeight="1" x14ac:dyDescent="0.25">
      <c r="U44" s="52" t="str">
        <f>TEXT(EDATE('Input - Site'!$E$12,8), "mmmm yyyy")</f>
        <v>September 2024</v>
      </c>
      <c r="V44" s="52">
        <f>(V28 / D$28)</f>
        <v>0.44155844155844154</v>
      </c>
      <c r="W44" s="52">
        <f>(W28 / E$28)</f>
        <v>1.0389610389610389</v>
      </c>
      <c r="X44" s="52">
        <f>(X28 / F$28)</f>
        <v>0.47272727272727272</v>
      </c>
      <c r="Y44" s="52">
        <f>(Y28 / G$28)</f>
        <v>0.76363636363636367</v>
      </c>
      <c r="Z44" s="52">
        <f>(Z28 / H$28)</f>
        <v>1</v>
      </c>
      <c r="AA44" s="52">
        <f>(AA28 / I$28)</f>
        <v>1</v>
      </c>
      <c r="AB44" s="52">
        <f>(AB28 / J$28)</f>
        <v>0.45454545454545453</v>
      </c>
      <c r="AC44" s="52">
        <f>(AC28 / K$28)</f>
        <v>0.72727272727272729</v>
      </c>
      <c r="AD44" s="52">
        <f>(AD28 / L$28)</f>
        <v>0.72727272727272729</v>
      </c>
      <c r="AE44" s="52">
        <f>(AE28 / M$28)</f>
        <v>0.72727272727272729</v>
      </c>
      <c r="AF44" s="2" t="str">
        <f t="shared" si="1"/>
        <v>ratio</v>
      </c>
      <c r="AG44" s="2"/>
      <c r="AH44" s="2"/>
    </row>
    <row r="45" spans="3:34" ht="20.100000000000001" customHeight="1" x14ac:dyDescent="0.25">
      <c r="D45" s="53" t="s">
        <v>29</v>
      </c>
      <c r="E45" s="1" t="s">
        <v>432</v>
      </c>
      <c r="U45" s="52" t="str">
        <f>TEXT(EDATE('Input - Site'!$E$12,9), "mmmm yyyy")</f>
        <v>October 2024</v>
      </c>
      <c r="V45" s="52">
        <f>(V29 / D$28)</f>
        <v>0.44155844155844154</v>
      </c>
      <c r="W45" s="52">
        <f>(W29 / E$28)</f>
        <v>1.0389610389610389</v>
      </c>
      <c r="X45" s="52">
        <f>(X29 / F$28)</f>
        <v>0.47272727272727272</v>
      </c>
      <c r="Y45" s="52">
        <f>(Y29 / G$28)</f>
        <v>0.76363636363636367</v>
      </c>
      <c r="Z45" s="52">
        <f>(Z29 / H$28)</f>
        <v>1</v>
      </c>
      <c r="AA45" s="52">
        <f>(AA29 / I$28)</f>
        <v>1</v>
      </c>
      <c r="AB45" s="52">
        <f>(AB29 / J$28)</f>
        <v>0.45454545454545453</v>
      </c>
      <c r="AC45" s="52">
        <f>(AC29 / K$28)</f>
        <v>0.72727272727272729</v>
      </c>
      <c r="AD45" s="52">
        <f>(AD29 / L$28)</f>
        <v>0.72727272727272729</v>
      </c>
      <c r="AE45" s="52">
        <f>(AE29 / M$28)</f>
        <v>0.72727272727272729</v>
      </c>
      <c r="AF45" s="2" t="str">
        <f t="shared" si="1"/>
        <v>ratio</v>
      </c>
      <c r="AG45" s="2"/>
      <c r="AH45" s="2"/>
    </row>
    <row r="46" spans="3:34" ht="20.100000000000001" customHeight="1" x14ac:dyDescent="0.25">
      <c r="D46" s="53" t="s">
        <v>20</v>
      </c>
      <c r="E46" s="54" t="s">
        <v>429</v>
      </c>
      <c r="U46" s="52" t="str">
        <f>TEXT(EDATE('Input - Site'!$E$12,10), "mmmm yyyy")</f>
        <v>November 2024</v>
      </c>
      <c r="V46" s="52">
        <f>(V30 / D$28)</f>
        <v>0.44155844155844154</v>
      </c>
      <c r="W46" s="52">
        <f>(W30 / E$28)</f>
        <v>1.0389610389610389</v>
      </c>
      <c r="X46" s="52">
        <f>(X30 / F$28)</f>
        <v>0.47272727272727272</v>
      </c>
      <c r="Y46" s="52">
        <f>(Y30 / G$28)</f>
        <v>0.76363636363636367</v>
      </c>
      <c r="Z46" s="52">
        <f>(Z30 / H$28)</f>
        <v>1</v>
      </c>
      <c r="AA46" s="52">
        <f>(AA30 / I$28)</f>
        <v>1</v>
      </c>
      <c r="AB46" s="52">
        <f>(AB30 / J$28)</f>
        <v>0.45454545454545453</v>
      </c>
      <c r="AC46" s="52">
        <f>(AC30 / K$28)</f>
        <v>0.72727272727272729</v>
      </c>
      <c r="AD46" s="52">
        <f>(AD30 / L$28)</f>
        <v>0.72727272727272729</v>
      </c>
      <c r="AE46" s="52">
        <f>(AE30 / M$28)</f>
        <v>0.72727272727272729</v>
      </c>
      <c r="AF46" s="2" t="str">
        <f t="shared" si="1"/>
        <v>ratio</v>
      </c>
      <c r="AG46" s="2"/>
      <c r="AH46" s="2"/>
    </row>
    <row r="47" spans="3:34" ht="20.100000000000001" customHeight="1" x14ac:dyDescent="0.25">
      <c r="U47" s="52" t="str">
        <f>TEXT(EDATE('Input - Site'!$E$12,11), "mmmm yyyy")</f>
        <v>December 2024</v>
      </c>
      <c r="V47" s="52">
        <f>(V31 / D$28)</f>
        <v>0.4935064935064935</v>
      </c>
      <c r="W47" s="52">
        <f>(W31 / E$28)</f>
        <v>1.0129870129870129</v>
      </c>
      <c r="X47" s="52">
        <f>(X31 / F$28)</f>
        <v>0.54545454545454541</v>
      </c>
      <c r="Y47" s="52">
        <f>(Y31 / G$28)</f>
        <v>0.81818181818181823</v>
      </c>
      <c r="Z47" s="52">
        <f>(Z31 / H$28)</f>
        <v>0.96363636363636362</v>
      </c>
      <c r="AA47" s="52">
        <f>(AA31 / I$28)</f>
        <v>0.96363636363636362</v>
      </c>
      <c r="AB47" s="52">
        <f>(AB31 / J$28)</f>
        <v>0.51515151515151514</v>
      </c>
      <c r="AC47" s="52">
        <f>(AC31 / K$28)</f>
        <v>0.71212121212121215</v>
      </c>
      <c r="AD47" s="52">
        <f>(AD31 / L$28)</f>
        <v>0.71212121212121215</v>
      </c>
      <c r="AE47" s="52">
        <f>(AE31 / M$28)</f>
        <v>0.71212121212121215</v>
      </c>
      <c r="AF47" s="2" t="str">
        <f t="shared" si="1"/>
        <v>ratio</v>
      </c>
      <c r="AG47" s="2"/>
      <c r="AH47" s="2"/>
    </row>
    <row r="48" spans="3:34" ht="20.100000000000001" customHeight="1" x14ac:dyDescent="0.25">
      <c r="D48" s="57" t="str" cm="1">
        <f t="array" ref="D48:E49">(_xlfn.MAKEARRAY(2, 2, _xlfn.LAMBDA(_xlpm.r,_xlpm.c, INDEX({"I_jkl","dry matter intake as calculated in Chapter 3 Section 3.2.1 (kg DM/head/day)";"W_jkl","liveweight (kg/head)"}, _xlpm.r, _xlpm.c))))</f>
        <v>I_jkl</v>
      </c>
      <c r="E48" s="58" t="str">
        <v>dry matter intake as calculated in Chapter 3 Section 3.2.1 (kg DM/head/day)</v>
      </c>
      <c r="F48" s="59"/>
      <c r="G48" s="57" t="str">
        <f>"See " &amp; D51</f>
        <v>See M1_Table_I_j_k_l</v>
      </c>
    </row>
    <row r="49" spans="4:35" ht="20.100000000000001" customHeight="1" x14ac:dyDescent="0.25">
      <c r="D49" s="57" t="str">
        <v>W_jkl</v>
      </c>
      <c r="E49" s="58" t="str">
        <v>liveweight (kg/head)</v>
      </c>
      <c r="F49" s="59"/>
      <c r="G49" s="57" t="str">
        <f>"See " &amp; D17</f>
        <v>See 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9" t="s">
        <v>244</v>
      </c>
      <c r="U51" s="6" t="s">
        <v>430</v>
      </c>
    </row>
    <row r="52" spans="4:35" ht="20.100000000000001" customHeight="1" x14ac:dyDescent="0.25">
      <c r="D52" s="98" t="s">
        <v>143</v>
      </c>
    </row>
    <row r="53" spans="4:35" ht="20.100000000000001" customHeight="1" x14ac:dyDescent="0.25">
      <c r="D53" s="51" t="s">
        <v>183</v>
      </c>
      <c r="E53" s="51" t="s">
        <v>130</v>
      </c>
      <c r="F53" s="51" t="s">
        <v>129</v>
      </c>
      <c r="G53" s="51" t="s">
        <v>164</v>
      </c>
      <c r="H53" s="51" t="s">
        <v>165</v>
      </c>
      <c r="I53" s="51" t="s">
        <v>166</v>
      </c>
      <c r="J53" s="51" t="s">
        <v>167</v>
      </c>
      <c r="K53" s="51" t="s">
        <v>168</v>
      </c>
      <c r="L53" s="51" t="s">
        <v>169</v>
      </c>
      <c r="M53" s="51" t="s">
        <v>170</v>
      </c>
      <c r="N53" s="51" t="s">
        <v>171</v>
      </c>
      <c r="U53" s="99" t="s">
        <v>257</v>
      </c>
    </row>
    <row r="54" spans="4:35" ht="20.100000000000001" customHeight="1" x14ac:dyDescent="0.25">
      <c r="D54" s="52" t="s">
        <v>172</v>
      </c>
      <c r="E54" s="52">
        <f>'4.2.1.1-2 Methane'!E84</f>
        <v>8.6709047296000001</v>
      </c>
      <c r="F54" s="52">
        <f>'4.2.1.1-2 Methane'!F84</f>
        <v>12.246500250000002</v>
      </c>
      <c r="G54" s="52">
        <f>'4.2.1.1-2 Methane'!G84</f>
        <v>6.6089612241000006</v>
      </c>
      <c r="H54" s="52">
        <f>'4.2.1.1-2 Methane'!H84</f>
        <v>9.5403922901100024</v>
      </c>
      <c r="I54" s="52">
        <f>'4.2.1.1-2 Methane'!I84</f>
        <v>11.268377125200001</v>
      </c>
      <c r="J54" s="52">
        <f>'4.2.1.1-2 Methane'!J84</f>
        <v>11.268377125200001</v>
      </c>
      <c r="K54" s="52">
        <f>'4.2.1.1-2 Methane'!K84</f>
        <v>7.6192560899999977</v>
      </c>
      <c r="L54" s="52">
        <f>'4.2.1.1-2 Methane'!L84</f>
        <v>9.6824279555999979</v>
      </c>
      <c r="M54" s="52">
        <f>'4.2.1.1-2 Methane'!M84</f>
        <v>9.6824279555999979</v>
      </c>
      <c r="N54" s="52">
        <f>'4.2.1.1-2 Methane'!N84</f>
        <v>9.6824279555999979</v>
      </c>
      <c r="O54" s="2" t="str">
        <f>'4.2.1.1-2 Methane'!O84</f>
        <v>kg DM/head/day</v>
      </c>
      <c r="U54" s="98" t="s">
        <v>142</v>
      </c>
    </row>
    <row r="55" spans="4:35" ht="20.100000000000001" customHeight="1" x14ac:dyDescent="0.25">
      <c r="D55" s="52" t="s">
        <v>173</v>
      </c>
      <c r="E55" s="52">
        <f>'4.2.1.1-2 Methane'!E85</f>
        <v>7.1468536895999959</v>
      </c>
      <c r="F55" s="52">
        <f>'4.2.1.1-2 Methane'!F85</f>
        <v>9.4559940036000008</v>
      </c>
      <c r="G55" s="52">
        <f>'4.2.1.1-2 Methane'!G85</f>
        <v>6.010342559999998</v>
      </c>
      <c r="H55" s="52">
        <f>'4.2.1.1-2 Methane'!H85</f>
        <v>8.1853716906000002</v>
      </c>
      <c r="I55" s="52">
        <f>'4.2.1.1-2 Methane'!I85</f>
        <v>8.1045195229439972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Methane'!O85</f>
        <v>kg DM/head/day</v>
      </c>
      <c r="U55" s="51" t="s">
        <v>131</v>
      </c>
      <c r="V55" s="51" t="s">
        <v>130</v>
      </c>
      <c r="W55" s="51" t="s">
        <v>129</v>
      </c>
      <c r="X55" s="51" t="s">
        <v>164</v>
      </c>
      <c r="Y55" s="51" t="s">
        <v>165</v>
      </c>
      <c r="Z55" s="51" t="s">
        <v>166</v>
      </c>
      <c r="AA55" s="51" t="s">
        <v>167</v>
      </c>
      <c r="AB55" s="51" t="s">
        <v>168</v>
      </c>
      <c r="AC55" s="51" t="s">
        <v>169</v>
      </c>
      <c r="AD55" s="51" t="s">
        <v>170</v>
      </c>
      <c r="AE55" s="51" t="s">
        <v>171</v>
      </c>
    </row>
    <row r="56" spans="4:35" ht="20.100000000000001" customHeight="1" x14ac:dyDescent="0.25">
      <c r="D56" s="52" t="s">
        <v>174</v>
      </c>
      <c r="E56" s="52">
        <f>'4.2.1.1-2 Methane'!E86</f>
        <v>3.247204</v>
      </c>
      <c r="F56" s="52">
        <f>'4.2.1.1-2 Methane'!F86</f>
        <v>9.4246544015999998</v>
      </c>
      <c r="G56" s="52">
        <f>'4.2.1.1-2 Methane'!G86</f>
        <v>2.9603267136000002</v>
      </c>
      <c r="H56" s="52">
        <f>'4.2.1.1-2 Methane'!H86</f>
        <v>6.0173755149959991</v>
      </c>
      <c r="I56" s="52">
        <f>'4.2.1.1-2 Methane'!I86</f>
        <v>6.7179974480999993</v>
      </c>
      <c r="J56" s="52">
        <f>'4.2.1.1-2 Methane'!J86</f>
        <v>6.7179974480999993</v>
      </c>
      <c r="K56" s="52">
        <f>'4.2.1.1-2 Methane'!K86</f>
        <v>3.247204</v>
      </c>
      <c r="L56" s="52">
        <f>'4.2.1.1-2 Methane'!L86</f>
        <v>5.8953782416000013</v>
      </c>
      <c r="M56" s="52">
        <f>'4.2.1.1-2 Methane'!M86</f>
        <v>5.8953782416000013</v>
      </c>
      <c r="N56" s="52">
        <f>'4.2.1.1-2 Methane'!N86</f>
        <v>5.8953782416000013</v>
      </c>
      <c r="O56" s="2" t="str">
        <f>'4.2.1.1-2 Methane'!O86</f>
        <v>kg DM/head/day</v>
      </c>
      <c r="U56" s="52" t="str">
        <f>TEXT('Input - Site'!$E$12, "mmmm yyyy")</f>
        <v>January 2024</v>
      </c>
      <c r="V56" s="52">
        <f>'4.2.1.1-2 Methane'!X76</f>
        <v>7.1468536895999959</v>
      </c>
      <c r="W56" s="52">
        <f>'4.2.1.1-2 Methane'!Y76</f>
        <v>9.4559940036000008</v>
      </c>
      <c r="X56" s="52">
        <f>'4.2.1.1-2 Methane'!Z76</f>
        <v>6.010342559999998</v>
      </c>
      <c r="Y56" s="52">
        <f>'4.2.1.1-2 Methane'!AA76</f>
        <v>8.4608409301875014</v>
      </c>
      <c r="Z56" s="52">
        <f>'4.2.1.1-2 Methane'!AB76</f>
        <v>8.3772677761199983</v>
      </c>
      <c r="AA56" s="52">
        <f>'4.2.1.1-2 Methane'!AC76</f>
        <v>8.3772677761199983</v>
      </c>
      <c r="AB56" s="52">
        <f>'4.2.1.1-2 Methane'!AD76</f>
        <v>6.5876408896000003</v>
      </c>
      <c r="AC56" s="52">
        <f>'4.2.1.1-2 Methane'!AE76</f>
        <v>7.3430702361</v>
      </c>
      <c r="AD56" s="52">
        <f>'4.2.1.1-2 Methane'!AF76</f>
        <v>7.3430702361</v>
      </c>
      <c r="AE56" s="52">
        <f>'4.2.1.1-2 Methane'!AG76</f>
        <v>7.3430702361</v>
      </c>
      <c r="AF56" s="2" t="str">
        <f>'4.2.1.1-2 Methane'!AH76</f>
        <v>kg DM/head/day</v>
      </c>
      <c r="AG56" s="2"/>
      <c r="AH56" s="2"/>
    </row>
    <row r="57" spans="4:35" ht="20.100000000000001" customHeight="1" x14ac:dyDescent="0.25">
      <c r="D57" s="52" t="s">
        <v>175</v>
      </c>
      <c r="E57" s="52">
        <f>'4.2.1.1-2 Methane'!E87</f>
        <v>5.1328980481000004</v>
      </c>
      <c r="F57" s="52">
        <f>'4.2.1.1-2 Methane'!F87</f>
        <v>9.9748588899999984</v>
      </c>
      <c r="G57" s="52">
        <f>'4.2.1.1-2 Methane'!G87</f>
        <v>4.202705002500001</v>
      </c>
      <c r="H57" s="52">
        <f>'4.2.1.1-2 Methane'!H87</f>
        <v>7.172653468761002</v>
      </c>
      <c r="I57" s="52">
        <f>'4.2.1.1-2 Methane'!I87</f>
        <v>9.145195140114998</v>
      </c>
      <c r="J57" s="52">
        <f>'4.2.1.1-2 Methane'!J87</f>
        <v>9.145195140114998</v>
      </c>
      <c r="K57" s="52">
        <f>'4.2.1.1-2 Methane'!K87</f>
        <v>4.5122681240999984</v>
      </c>
      <c r="L57" s="52">
        <f>'4.2.1.1-2 Methane'!L87</f>
        <v>6.8698506815999991</v>
      </c>
      <c r="M57" s="52">
        <f>'4.2.1.1-2 Methane'!M87</f>
        <v>6.8698506815999991</v>
      </c>
      <c r="N57" s="52">
        <f>'4.2.1.1-2 Methane'!N87</f>
        <v>6.8698506815999991</v>
      </c>
      <c r="O57" s="2" t="str">
        <f>'4.2.1.1-2 Methane'!O87</f>
        <v>kg DM/head/day</v>
      </c>
      <c r="U57" s="52" t="str">
        <f>TEXT(EDATE('Input - Site'!$E$12,1), "mmmm yyyy")</f>
        <v>February 2024</v>
      </c>
      <c r="V57" s="52">
        <f>'4.2.1.1-2 Methane'!X77</f>
        <v>7.1468536895999959</v>
      </c>
      <c r="W57" s="52">
        <f>'4.2.1.1-2 Methane'!Y77</f>
        <v>9.4559940036000008</v>
      </c>
      <c r="X57" s="52">
        <f>'4.2.1.1-2 Methane'!Z77</f>
        <v>6.010342559999998</v>
      </c>
      <c r="Y57" s="52">
        <f>'4.2.1.1-2 Methane'!AA77</f>
        <v>7.8705497025</v>
      </c>
      <c r="Z57" s="52">
        <f>'4.2.1.1-2 Methane'!AB77</f>
        <v>7.7928072335999978</v>
      </c>
      <c r="AA57" s="52">
        <f>'4.2.1.1-2 Methane'!AC77</f>
        <v>7.7928072335999978</v>
      </c>
      <c r="AB57" s="52">
        <f>'4.2.1.1-2 Methane'!AD77</f>
        <v>6.5876408896000003</v>
      </c>
      <c r="AC57" s="52">
        <f>'4.2.1.1-2 Methane'!AE77</f>
        <v>7.3430702361</v>
      </c>
      <c r="AD57" s="52">
        <f>'4.2.1.1-2 Methane'!AF77</f>
        <v>7.3430702361</v>
      </c>
      <c r="AE57" s="52">
        <f>'4.2.1.1-2 Methane'!AG77</f>
        <v>7.3430702361</v>
      </c>
      <c r="AF57" s="2" t="str">
        <f>'4.2.1.1-2 Methane'!AH77</f>
        <v>kg DM/head/day</v>
      </c>
      <c r="AG57" s="2"/>
      <c r="AH57" s="2"/>
    </row>
    <row r="58" spans="4:35" ht="20.100000000000001" customHeight="1" x14ac:dyDescent="0.25">
      <c r="U58" s="52" t="str">
        <f>TEXT(EDATE('Input - Site'!$E$12,2), "mmmm yyyy")</f>
        <v>March 2024</v>
      </c>
      <c r="V58" s="52">
        <f>'4.2.1.1-2 Methane'!X78</f>
        <v>3.247204</v>
      </c>
      <c r="W58" s="52">
        <f>'4.2.1.1-2 Methane'!Y78</f>
        <v>9.4246544015999998</v>
      </c>
      <c r="X58" s="52">
        <f>'4.2.1.1-2 Methane'!Z78</f>
        <v>2.9603267136000002</v>
      </c>
      <c r="Y58" s="52">
        <f>'4.2.1.1-2 Methane'!AA78</f>
        <v>5.9577975395999987</v>
      </c>
      <c r="Z58" s="52">
        <f>'4.2.1.1-2 Methane'!AB78</f>
        <v>6.7179974480999993</v>
      </c>
      <c r="AA58" s="52">
        <f>'4.2.1.1-2 Methane'!AC78</f>
        <v>6.7179974480999993</v>
      </c>
      <c r="AB58" s="52">
        <f>'4.2.1.1-2 Methane'!AD78</f>
        <v>3.247204</v>
      </c>
      <c r="AC58" s="52">
        <f>'4.2.1.1-2 Methane'!AE78</f>
        <v>5.8953782416000013</v>
      </c>
      <c r="AD58" s="52">
        <f>'4.2.1.1-2 Methane'!AF78</f>
        <v>5.8953782416000013</v>
      </c>
      <c r="AE58" s="52">
        <f>'4.2.1.1-2 Methane'!AG78</f>
        <v>5.8953782416000013</v>
      </c>
      <c r="AF58" s="2" t="str">
        <f>'4.2.1.1-2 Methane'!AH78</f>
        <v>kg DM/head/day</v>
      </c>
      <c r="AG58" s="2"/>
      <c r="AH58" s="2"/>
    </row>
    <row r="59" spans="4:35" ht="20.100000000000001" customHeight="1" x14ac:dyDescent="0.25">
      <c r="D59" s="99" t="s">
        <v>292</v>
      </c>
      <c r="U59" s="52" t="str">
        <f>TEXT(EDATE('Input - Site'!$E$12,3), "mmmm yyyy")</f>
        <v>April 2024</v>
      </c>
      <c r="V59" s="52">
        <f>'4.2.1.1-2 Methane'!X79</f>
        <v>3.247204</v>
      </c>
      <c r="W59" s="52">
        <f>'4.2.1.1-2 Methane'!Y79</f>
        <v>9.4246544015999998</v>
      </c>
      <c r="X59" s="52">
        <f>'4.2.1.1-2 Methane'!Z79</f>
        <v>2.9603267136000002</v>
      </c>
      <c r="Y59" s="52">
        <f>'4.2.1.1-2 Methane'!AA79</f>
        <v>5.9577975395999987</v>
      </c>
      <c r="Z59" s="52">
        <f>'4.2.1.1-2 Methane'!AB79</f>
        <v>6.7179974480999993</v>
      </c>
      <c r="AA59" s="52">
        <f>'4.2.1.1-2 Methane'!AC79</f>
        <v>6.7179974480999993</v>
      </c>
      <c r="AB59" s="52">
        <f>'4.2.1.1-2 Methane'!AD79</f>
        <v>3.247204</v>
      </c>
      <c r="AC59" s="52">
        <f>'4.2.1.1-2 Methane'!AE79</f>
        <v>5.8953782416000013</v>
      </c>
      <c r="AD59" s="52">
        <f>'4.2.1.1-2 Methane'!AF79</f>
        <v>5.8953782416000013</v>
      </c>
      <c r="AE59" s="52">
        <f>'4.2.1.1-2 Methane'!AG79</f>
        <v>5.8953782416000013</v>
      </c>
      <c r="AF59" s="2" t="str">
        <f>'4.2.1.1-2 Methane'!AH79</f>
        <v>kg DM/head/day</v>
      </c>
      <c r="AG59" s="2"/>
      <c r="AH59" s="2"/>
    </row>
    <row r="60" spans="4:35" ht="20.100000000000001" customHeight="1" x14ac:dyDescent="0.25">
      <c r="D60" s="98" t="s">
        <v>149</v>
      </c>
      <c r="U60" s="52" t="str">
        <f>TEXT(EDATE('Input - Site'!$E$12,4), "mmmm yyyy")</f>
        <v>May 2024</v>
      </c>
      <c r="V60" s="52">
        <f>'4.2.1.1-2 Methane'!X80</f>
        <v>3.247204</v>
      </c>
      <c r="W60" s="52">
        <f>'4.2.1.1-2 Methane'!Y80</f>
        <v>9.4246544015999998</v>
      </c>
      <c r="X60" s="52">
        <f>'4.2.1.1-2 Methane'!Z80</f>
        <v>2.9603267136000002</v>
      </c>
      <c r="Y60" s="52">
        <f>'4.2.1.1-2 Methane'!AA80</f>
        <v>5.9577975395999987</v>
      </c>
      <c r="Z60" s="52">
        <f>'4.2.1.1-2 Methane'!AB80</f>
        <v>6.7179974480999993</v>
      </c>
      <c r="AA60" s="52">
        <f>'4.2.1.1-2 Methane'!AC80</f>
        <v>6.7179974480999993</v>
      </c>
      <c r="AB60" s="52">
        <f>'4.2.1.1-2 Methane'!AD80</f>
        <v>3.247204</v>
      </c>
      <c r="AC60" s="52">
        <f>'4.2.1.1-2 Methane'!AE80</f>
        <v>5.8953782416000013</v>
      </c>
      <c r="AD60" s="52">
        <f>'4.2.1.1-2 Methane'!AF80</f>
        <v>5.8953782416000013</v>
      </c>
      <c r="AE60" s="52">
        <f>'4.2.1.1-2 Methane'!AG80</f>
        <v>5.8953782416000013</v>
      </c>
      <c r="AF60" s="2" t="str">
        <f>'4.2.1.1-2 Methane'!AH80</f>
        <v>kg DM/head/day</v>
      </c>
      <c r="AG60" s="2"/>
      <c r="AH60" s="2"/>
    </row>
    <row r="61" spans="4:35" ht="20.100000000000001" customHeight="1" x14ac:dyDescent="0.25">
      <c r="D61" s="51" t="s">
        <v>183</v>
      </c>
      <c r="E61" s="51" t="s">
        <v>130</v>
      </c>
      <c r="F61" s="51" t="s">
        <v>129</v>
      </c>
      <c r="G61" s="51" t="s">
        <v>164</v>
      </c>
      <c r="H61" s="51" t="s">
        <v>165</v>
      </c>
      <c r="I61" s="51" t="s">
        <v>166</v>
      </c>
      <c r="J61" s="51" t="s">
        <v>167</v>
      </c>
      <c r="K61" s="51" t="s">
        <v>168</v>
      </c>
      <c r="L61" s="51" t="s">
        <v>169</v>
      </c>
      <c r="M61" s="51" t="s">
        <v>170</v>
      </c>
      <c r="N61" s="51" t="s">
        <v>171</v>
      </c>
      <c r="U61" s="52" t="str">
        <f>TEXT(EDATE('Input - Site'!$E$12,5), "mmmm yyyy")</f>
        <v>June 2024</v>
      </c>
      <c r="V61" s="52">
        <f>'4.2.1.1-2 Methane'!X81</f>
        <v>5.1328980481000004</v>
      </c>
      <c r="W61" s="52">
        <f>'4.2.1.1-2 Methane'!Y81</f>
        <v>9.9748588899999984</v>
      </c>
      <c r="X61" s="52">
        <f>'4.2.1.1-2 Methane'!Z81</f>
        <v>4.202705002500001</v>
      </c>
      <c r="Y61" s="52">
        <f>'4.2.1.1-2 Methane'!AA81</f>
        <v>5.9278127841000021</v>
      </c>
      <c r="Z61" s="52">
        <f>'4.2.1.1-2 Methane'!AB81</f>
        <v>7.952343600099999</v>
      </c>
      <c r="AA61" s="52">
        <f>'4.2.1.1-2 Methane'!AC81</f>
        <v>7.952343600099999</v>
      </c>
      <c r="AB61" s="52">
        <f>'4.2.1.1-2 Methane'!AD81</f>
        <v>4.5122681240999984</v>
      </c>
      <c r="AC61" s="52">
        <f>'4.2.1.1-2 Methane'!AE81</f>
        <v>6.8698506815999991</v>
      </c>
      <c r="AD61" s="52">
        <f>'4.2.1.1-2 Methane'!AF81</f>
        <v>6.8698506815999991</v>
      </c>
      <c r="AE61" s="52">
        <f>'4.2.1.1-2 Methane'!AG81</f>
        <v>6.8698506815999991</v>
      </c>
      <c r="AF61" s="2" t="str">
        <f>'4.2.1.1-2 Methane'!AH81</f>
        <v>kg DM/head/day</v>
      </c>
      <c r="AG61" s="2"/>
      <c r="AH61" s="2"/>
    </row>
    <row r="62" spans="4:35" ht="20.100000000000001" customHeight="1" x14ac:dyDescent="0.25">
      <c r="D62" s="52" t="s">
        <v>172</v>
      </c>
      <c r="E62" s="52">
        <f>(E54 / ((1.185 + 0.00454 * E20 - 0.0000026 * E20 ^ 2) ^ 2))</f>
        <v>1.4707970166214006</v>
      </c>
      <c r="F62" s="52">
        <f>(F54 / ((1.185 + 0.00454 * F20 - 0.0000026 * F20 ^ 2) ^ 2))</f>
        <v>1.2318676608114607</v>
      </c>
      <c r="G62" s="52">
        <f>(G54 / ((1.185 + 0.00454 * G20 - 0.0000026 * G20 ^ 2) ^ 2))</f>
        <v>1.3784396841492426</v>
      </c>
      <c r="H62" s="52">
        <f>(H54 / ((1.185 + 0.00454 * H20 - 0.0000026 * H20 ^ 2) ^ 2))</f>
        <v>1.3759787739229594</v>
      </c>
      <c r="I62" s="52">
        <f>(I54 / ((1.185 + 0.00454 * I20 - 0.0000026 * I20 ^ 2) ^ 2))</f>
        <v>1.3440463159462901</v>
      </c>
      <c r="J62" s="52">
        <f>(J54 / ((1.185 + 0.00454 * J20 - 0.0000026 * J20 ^ 2) ^ 2))</f>
        <v>1.3440463159462901</v>
      </c>
      <c r="K62" s="52">
        <f>(K54 / ((1.185 + 0.00454 * K20 - 0.0000026 * K20 ^ 2) ^ 2))</f>
        <v>1.4241682690123998</v>
      </c>
      <c r="L62" s="52">
        <f>(L54 / ((1.185 + 0.00454 * L20 - 0.0000026 * L20 ^ 2) ^ 2))</f>
        <v>1.2663208058014268</v>
      </c>
      <c r="M62" s="52">
        <f>(M54 / ((1.185 + 0.00454 * M20 - 0.0000026 * M20 ^ 2) ^ 2))</f>
        <v>1.2663208058014268</v>
      </c>
      <c r="N62" s="52">
        <f>(N54 / ((1.185 + 0.00454 * N20 - 0.0000026 * N20 ^ 2) ^ 2))</f>
        <v>1.2663208058014268</v>
      </c>
      <c r="O62" s="2" t="str">
        <f>$E$46</f>
        <v>ratio</v>
      </c>
      <c r="U62" s="52" t="str">
        <f>TEXT(EDATE('Input - Site'!$E$12,6), "mmmm yyyy")</f>
        <v>July 2024</v>
      </c>
      <c r="V62" s="52">
        <f>'4.2.1.1-2 Methane'!X82</f>
        <v>5.1328980481000004</v>
      </c>
      <c r="W62" s="52">
        <f>'4.2.1.1-2 Methane'!Y82</f>
        <v>9.9748588899999984</v>
      </c>
      <c r="X62" s="52">
        <f>'4.2.1.1-2 Methane'!Z82</f>
        <v>4.202705002500001</v>
      </c>
      <c r="Y62" s="52">
        <f>'4.2.1.1-2 Methane'!AA82</f>
        <v>5.9278127841000021</v>
      </c>
      <c r="Z62" s="52">
        <f>'4.2.1.1-2 Methane'!AB82</f>
        <v>7.952343600099999</v>
      </c>
      <c r="AA62" s="52">
        <f>'4.2.1.1-2 Methane'!AC82</f>
        <v>7.952343600099999</v>
      </c>
      <c r="AB62" s="52">
        <f>'4.2.1.1-2 Methane'!AD82</f>
        <v>4.5122681240999984</v>
      </c>
      <c r="AC62" s="52">
        <f>'4.2.1.1-2 Methane'!AE82</f>
        <v>6.8698506815999991</v>
      </c>
      <c r="AD62" s="52">
        <f>'4.2.1.1-2 Methane'!AF82</f>
        <v>6.8698506815999991</v>
      </c>
      <c r="AE62" s="52">
        <f>'4.2.1.1-2 Methane'!AG82</f>
        <v>6.8698506815999991</v>
      </c>
      <c r="AF62" s="2" t="str">
        <f>'4.2.1.1-2 Methane'!AH82</f>
        <v>kg DM/head/day</v>
      </c>
      <c r="AG62" s="2"/>
      <c r="AH62" s="2"/>
    </row>
    <row r="63" spans="4:35" ht="20.100000000000001" customHeight="1" x14ac:dyDescent="0.25">
      <c r="D63" s="52" t="s">
        <v>173</v>
      </c>
      <c r="E63" s="52">
        <f>(E55 / ((1.185 + 0.00454 * E21 - 0.0000026 * E21 ^ 2) ^ 2))</f>
        <v>1.1123493391850732</v>
      </c>
      <c r="F63" s="52">
        <f>(F55 / ((1.185 + 0.00454 * F21 - 0.0000026 * F21 ^ 2) ^ 2))</f>
        <v>0.95640681558610863</v>
      </c>
      <c r="G63" s="52">
        <f>(G55 / ((1.185 + 0.00454 * G21 - 0.0000026 * G21 ^ 2) ^ 2))</f>
        <v>1.1234350255113625</v>
      </c>
      <c r="H63" s="52">
        <f>(H55 / ((1.185 + 0.00454 * H21 - 0.0000026 * H21 ^ 2) ^ 2))</f>
        <v>1.1215753644175104</v>
      </c>
      <c r="I63" s="52">
        <f>(I55 / ((1.185 + 0.00454 * I21 - 0.0000026 * I21 ^ 2) ^ 2))</f>
        <v>0.99022539901590001</v>
      </c>
      <c r="J63" s="52">
        <f>(J55 / ((1.185 + 0.00454 * J21 - 0.0000026 * J21 ^ 2) ^ 2))</f>
        <v>0.99022539901590001</v>
      </c>
      <c r="K63" s="52">
        <f>(K55 / ((1.185 + 0.00454 * K21 - 0.0000026 * K21 ^ 2) ^ 2))</f>
        <v>1.1174246366611618</v>
      </c>
      <c r="L63" s="52">
        <f>(L55 / ((1.185 + 0.00454 * L21 - 0.0000026 * L21 ^ 2) ^ 2))</f>
        <v>0.97490853257319487</v>
      </c>
      <c r="M63" s="52">
        <f>(M55 / ((1.185 + 0.00454 * M21 - 0.0000026 * M21 ^ 2) ^ 2))</f>
        <v>0.97490853257319487</v>
      </c>
      <c r="N63" s="52">
        <f>(N55 / ((1.185 + 0.00454 * N21 - 0.0000026 * N21 ^ 2) ^ 2))</f>
        <v>0.97490853257319487</v>
      </c>
      <c r="O63" s="2" t="str">
        <f t="shared" ref="O63:O65" si="2">$E$46</f>
        <v>ratio</v>
      </c>
      <c r="U63" s="52" t="str">
        <f>TEXT(EDATE('Input - Site'!$E$12,7), "mmmm yyyy")</f>
        <v>August 2024</v>
      </c>
      <c r="V63" s="52">
        <f>'4.2.1.1-2 Methane'!X83</f>
        <v>5.1328980481000004</v>
      </c>
      <c r="W63" s="52">
        <f>'4.2.1.1-2 Methane'!Y83</f>
        <v>9.9748588899999984</v>
      </c>
      <c r="X63" s="52">
        <f>'4.2.1.1-2 Methane'!Z83</f>
        <v>4.202705002500001</v>
      </c>
      <c r="Y63" s="52">
        <f>'4.2.1.1-2 Methane'!AA83</f>
        <v>7.2615706605225032</v>
      </c>
      <c r="Z63" s="52">
        <f>'4.2.1.1-2 Methane'!AB83</f>
        <v>9.7416209101224993</v>
      </c>
      <c r="AA63" s="52">
        <f>'4.2.1.1-2 Methane'!AC83</f>
        <v>9.7416209101224993</v>
      </c>
      <c r="AB63" s="52">
        <f>'4.2.1.1-2 Methane'!AD83</f>
        <v>4.5122681240999984</v>
      </c>
      <c r="AC63" s="52">
        <f>'4.2.1.1-2 Methane'!AE83</f>
        <v>6.8698506815999991</v>
      </c>
      <c r="AD63" s="52">
        <f>'4.2.1.1-2 Methane'!AF83</f>
        <v>6.8698506815999991</v>
      </c>
      <c r="AE63" s="52">
        <f>'4.2.1.1-2 Methane'!AG83</f>
        <v>6.8698506815999991</v>
      </c>
      <c r="AF63" s="2" t="str">
        <f>'4.2.1.1-2 Methane'!AH83</f>
        <v>kg DM/head/day</v>
      </c>
      <c r="AG63" s="2"/>
      <c r="AH63" s="2"/>
    </row>
    <row r="64" spans="4:35" ht="20.100000000000001" customHeight="1" x14ac:dyDescent="0.25">
      <c r="D64" s="52" t="s">
        <v>174</v>
      </c>
      <c r="E64" s="52">
        <f>(E56 / ((1.185 + 0.00454 * E22 - 0.0000026 * E22 ^ 2) ^ 2))</f>
        <v>1.2480754440536419</v>
      </c>
      <c r="F64" s="52">
        <f>(F56 / ((1.185 + 0.00454 * F22 - 0.0000026 * F22 ^ 2) ^ 2))</f>
        <v>1</v>
      </c>
      <c r="G64" s="52">
        <f>(G56 / ((1.185 + 0.00454 * G22 - 0.0000026 * G22 ^ 2) ^ 2))</f>
        <v>1.2620356226501883</v>
      </c>
      <c r="H64" s="52">
        <f>(H56 / ((1.185 + 0.00454 * H22 - 0.0000026 * H22 ^ 2) ^ 2))</f>
        <v>1.0698893911586809</v>
      </c>
      <c r="I64" s="52">
        <f>(I56 / ((1.185 + 0.00454 * I22 - 0.0000026 * I22 ^ 2) ^ 2))</f>
        <v>0.87861639465436669</v>
      </c>
      <c r="J64" s="52">
        <f>(J56 / ((1.185 + 0.00454 * J22 - 0.0000026 * J22 ^ 2) ^ 2))</f>
        <v>0.87861639465436669</v>
      </c>
      <c r="K64" s="52">
        <f>(K56 / ((1.185 + 0.00454 * K22 - 0.0000026 * K22 ^ 2) ^ 2))</f>
        <v>1.2480754440536419</v>
      </c>
      <c r="L64" s="52">
        <f>(L56 / ((1.185 + 0.00454 * L22 - 0.0000026 * L22 ^ 2) ^ 2))</f>
        <v>1</v>
      </c>
      <c r="M64" s="52">
        <f>(M56 / ((1.185 + 0.00454 * M22 - 0.0000026 * M22 ^ 2) ^ 2))</f>
        <v>1</v>
      </c>
      <c r="N64" s="52">
        <f>(N56 / ((1.185 + 0.00454 * N22 - 0.0000026 * N22 ^ 2) ^ 2))</f>
        <v>1</v>
      </c>
      <c r="O64" s="2" t="str">
        <f t="shared" si="2"/>
        <v>ratio</v>
      </c>
      <c r="U64" s="52" t="str">
        <f>TEXT(EDATE('Input - Site'!$E$12,8), "mmmm yyyy")</f>
        <v>September 2024</v>
      </c>
      <c r="V64" s="52">
        <f>'4.2.1.1-2 Methane'!X84</f>
        <v>8.6709047296000001</v>
      </c>
      <c r="W64" s="52">
        <f>'4.2.1.1-2 Methane'!Y84</f>
        <v>12.246500250000002</v>
      </c>
      <c r="X64" s="52">
        <f>'4.2.1.1-2 Methane'!Z84</f>
        <v>6.6089612241000006</v>
      </c>
      <c r="Y64" s="52">
        <f>'4.2.1.1-2 Methane'!AA84</f>
        <v>10.624527777622504</v>
      </c>
      <c r="Z64" s="52">
        <f>'4.2.1.1-2 Methane'!AB84</f>
        <v>11.798087161000003</v>
      </c>
      <c r="AA64" s="52">
        <f>'4.2.1.1-2 Methane'!AC84</f>
        <v>11.798087161000003</v>
      </c>
      <c r="AB64" s="52">
        <f>'4.2.1.1-2 Methane'!AD84</f>
        <v>7.6192560899999977</v>
      </c>
      <c r="AC64" s="52">
        <f>'4.2.1.1-2 Methane'!AE84</f>
        <v>9.6824279555999979</v>
      </c>
      <c r="AD64" s="52">
        <f>'4.2.1.1-2 Methane'!AF84</f>
        <v>9.6824279555999979</v>
      </c>
      <c r="AE64" s="52">
        <f>'4.2.1.1-2 Methane'!AG84</f>
        <v>9.6824279555999979</v>
      </c>
      <c r="AF64" s="2" t="str">
        <f>'4.2.1.1-2 Methane'!AH84</f>
        <v>kg DM/head/day</v>
      </c>
      <c r="AG64" s="2"/>
      <c r="AH64" s="2"/>
    </row>
    <row r="65" spans="3:34" ht="20.100000000000001" customHeight="1" x14ac:dyDescent="0.25">
      <c r="D65" s="52" t="s">
        <v>175</v>
      </c>
      <c r="E65" s="52">
        <f>(E57 / ((1.185 + 0.00454 * E23 - 0.0000026 * E23 ^ 2) ^ 2))</f>
        <v>1.3447114471128401</v>
      </c>
      <c r="F65" s="52">
        <f>(F57 / ((1.185 + 0.00454 * F23 - 0.0000026 * F23 ^ 2) ^ 2))</f>
        <v>1.0453721939219578</v>
      </c>
      <c r="G65" s="52">
        <f>(G57 / ((1.185 + 0.00454 * G23 - 0.0000026 * G23 ^ 2) ^ 2))</f>
        <v>1.2863889326974398</v>
      </c>
      <c r="H65" s="52">
        <f>(H57 / ((1.185 + 0.00454 * H23 - 0.0000026 * H23 ^ 2) ^ 2))</f>
        <v>1.2451900780444165</v>
      </c>
      <c r="I65" s="52">
        <f>(I57 / ((1.185 + 0.00454 * I23 - 0.0000026 * I23 ^ 2) ^ 2))</f>
        <v>1.1787902763034313</v>
      </c>
      <c r="J65" s="52">
        <f>(J57 / ((1.185 + 0.00454 * J23 - 0.0000026 * J23 ^ 2) ^ 2))</f>
        <v>1.1787902763034313</v>
      </c>
      <c r="K65" s="52">
        <f>(K57 / ((1.185 + 0.00454 * K23 - 0.0000026 * K23 ^ 2) ^ 2))</f>
        <v>1.2744200407937745</v>
      </c>
      <c r="L65" s="52">
        <f>(L57 / ((1.185 + 0.00454 * L23 - 0.0000026 * L23 ^ 2) ^ 2))</f>
        <v>1.1147815609185805</v>
      </c>
      <c r="M65" s="52">
        <f>(M57 / ((1.185 + 0.00454 * M23 - 0.0000026 * M23 ^ 2) ^ 2))</f>
        <v>1.1147815609185805</v>
      </c>
      <c r="N65" s="52">
        <f>(N57 / ((1.185 + 0.00454 * N23 - 0.0000026 * N23 ^ 2) ^ 2))</f>
        <v>1.1147815609185805</v>
      </c>
      <c r="O65" s="2" t="str">
        <f t="shared" si="2"/>
        <v>ratio</v>
      </c>
      <c r="U65" s="52" t="str">
        <f>TEXT(EDATE('Input - Site'!$E$12,9), "mmmm yyyy")</f>
        <v>October 2024</v>
      </c>
      <c r="V65" s="52">
        <f>'4.2.1.1-2 Methane'!X85</f>
        <v>8.6709047296000001</v>
      </c>
      <c r="W65" s="52">
        <f>'4.2.1.1-2 Methane'!Y85</f>
        <v>12.246500250000002</v>
      </c>
      <c r="X65" s="52">
        <f>'4.2.1.1-2 Methane'!Z85</f>
        <v>6.6089612241000006</v>
      </c>
      <c r="Y65" s="52">
        <f>'4.2.1.1-2 Methane'!AA85</f>
        <v>10.624527777622504</v>
      </c>
      <c r="Z65" s="52">
        <f>'4.2.1.1-2 Methane'!AB85</f>
        <v>11.798087161000003</v>
      </c>
      <c r="AA65" s="52">
        <f>'4.2.1.1-2 Methane'!AC85</f>
        <v>11.798087161000003</v>
      </c>
      <c r="AB65" s="52">
        <f>'4.2.1.1-2 Methane'!AD85</f>
        <v>7.6192560899999977</v>
      </c>
      <c r="AC65" s="52">
        <f>'4.2.1.1-2 Methane'!AE85</f>
        <v>9.6824279555999979</v>
      </c>
      <c r="AD65" s="52">
        <f>'4.2.1.1-2 Methane'!AF85</f>
        <v>9.6824279555999979</v>
      </c>
      <c r="AE65" s="52">
        <f>'4.2.1.1-2 Methane'!AG85</f>
        <v>9.6824279555999979</v>
      </c>
      <c r="AF65" s="2" t="str">
        <f>'4.2.1.1-2 Methane'!AH85</f>
        <v>kg DM/head/day</v>
      </c>
      <c r="AG65" s="2"/>
      <c r="AH65" s="2"/>
    </row>
    <row r="66" spans="3:34" ht="20.100000000000001" customHeight="1" x14ac:dyDescent="0.25">
      <c r="U66" s="52" t="str">
        <f>TEXT(EDATE('Input - Site'!$E$12,10), "mmmm yyyy")</f>
        <v>November 2024</v>
      </c>
      <c r="V66" s="52">
        <f>'4.2.1.1-2 Methane'!X86</f>
        <v>8.6709047296000001</v>
      </c>
      <c r="W66" s="52">
        <f>'4.2.1.1-2 Methane'!Y86</f>
        <v>12.246500250000002</v>
      </c>
      <c r="X66" s="52">
        <f>'4.2.1.1-2 Methane'!Z86</f>
        <v>6.6089612241000006</v>
      </c>
      <c r="Y66" s="52">
        <f>'4.2.1.1-2 Methane'!AA86</f>
        <v>9.3235651926075036</v>
      </c>
      <c r="Z66" s="52">
        <f>'4.2.1.1-2 Methane'!AB86</f>
        <v>10.353423427000003</v>
      </c>
      <c r="AA66" s="52">
        <f>'4.2.1.1-2 Methane'!AC86</f>
        <v>10.353423427000003</v>
      </c>
      <c r="AB66" s="52">
        <f>'4.2.1.1-2 Methane'!AD86</f>
        <v>7.6192560899999977</v>
      </c>
      <c r="AC66" s="52">
        <f>'4.2.1.1-2 Methane'!AE86</f>
        <v>9.6824279555999979</v>
      </c>
      <c r="AD66" s="52">
        <f>'4.2.1.1-2 Methane'!AF86</f>
        <v>9.6824279555999979</v>
      </c>
      <c r="AE66" s="52">
        <f>'4.2.1.1-2 Methane'!AG86</f>
        <v>9.6824279555999979</v>
      </c>
      <c r="AF66" s="2" t="str">
        <f>'4.2.1.1-2 Methane'!AH86</f>
        <v>kg DM/head/day</v>
      </c>
      <c r="AG66" s="2"/>
      <c r="AH66" s="2"/>
    </row>
    <row r="67" spans="3:34" ht="20.100000000000001" customHeight="1" x14ac:dyDescent="0.25">
      <c r="U67" s="52" t="str">
        <f>TEXT(EDATE('Input - Site'!$E$12,11), "mmmm yyyy")</f>
        <v>December 2024</v>
      </c>
      <c r="V67" s="52">
        <f>'4.2.1.1-2 Methane'!X87</f>
        <v>7.1468536895999959</v>
      </c>
      <c r="W67" s="52">
        <f>'4.2.1.1-2 Methane'!Y87</f>
        <v>9.4559940036000008</v>
      </c>
      <c r="X67" s="52">
        <f>'4.2.1.1-2 Methane'!Z87</f>
        <v>6.010342559999998</v>
      </c>
      <c r="Y67" s="52">
        <f>'4.2.1.1-2 Methane'!AA87</f>
        <v>8.4608409301875014</v>
      </c>
      <c r="Z67" s="52">
        <f>'4.2.1.1-2 Methane'!AB87</f>
        <v>8.3772677761199983</v>
      </c>
      <c r="AA67" s="52">
        <f>'4.2.1.1-2 Methane'!AC87</f>
        <v>8.3772677761199983</v>
      </c>
      <c r="AB67" s="52">
        <f>'4.2.1.1-2 Methane'!AD87</f>
        <v>6.5876408896000003</v>
      </c>
      <c r="AC67" s="52">
        <f>'4.2.1.1-2 Methane'!AE87</f>
        <v>7.3430702361</v>
      </c>
      <c r="AD67" s="52">
        <f>'4.2.1.1-2 Methane'!AF87</f>
        <v>7.3430702361</v>
      </c>
      <c r="AE67" s="52">
        <f>'4.2.1.1-2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
        <v>433</v>
      </c>
      <c r="U69" s="99" t="s">
        <v>307</v>
      </c>
    </row>
    <row r="70" spans="3:34" ht="20.100000000000001" customHeight="1" x14ac:dyDescent="0.25">
      <c r="D70" s="5" t="s">
        <v>434</v>
      </c>
      <c r="U70" s="98" t="s">
        <v>150</v>
      </c>
    </row>
    <row r="71" spans="3:34" ht="20.100000000000001" customHeight="1" x14ac:dyDescent="0.25">
      <c r="D71" s="55"/>
      <c r="U71" s="51" t="s">
        <v>131</v>
      </c>
      <c r="V71" s="51" t="s">
        <v>130</v>
      </c>
      <c r="W71" s="51" t="s">
        <v>129</v>
      </c>
      <c r="X71" s="51" t="s">
        <v>164</v>
      </c>
      <c r="Y71" s="51" t="s">
        <v>165</v>
      </c>
      <c r="Z71" s="51" t="s">
        <v>166</v>
      </c>
      <c r="AA71" s="51" t="s">
        <v>167</v>
      </c>
      <c r="AB71" s="51" t="s">
        <v>168</v>
      </c>
      <c r="AC71" s="51" t="s">
        <v>169</v>
      </c>
      <c r="AD71" s="51" t="s">
        <v>170</v>
      </c>
      <c r="AE71" s="51" t="s">
        <v>171</v>
      </c>
    </row>
    <row r="72" spans="3:34" ht="20.100000000000001" customHeight="1" x14ac:dyDescent="0.25">
      <c r="D72" s="13"/>
      <c r="E72" s="13" t="s">
        <v>345</v>
      </c>
      <c r="U72" s="52" t="str">
        <f>TEXT('Input - Site'!$E$12, "mmmm yyyy")</f>
        <v>January 2024</v>
      </c>
      <c r="V72" s="52">
        <f>(V56 / ((1.185 + 0.00454 * V20 - 0.0000026 * V20 ^ 2) ^ 2))</f>
        <v>1.1123493391850732</v>
      </c>
      <c r="W72" s="52">
        <f>(W56 / ((1.185 + 0.00454 * W20 - 0.0000026 * W20 ^ 2) ^ 2))</f>
        <v>0.95640681558610863</v>
      </c>
      <c r="X72" s="52">
        <f>(X56 / ((1.185 + 0.00454 * X20 - 0.0000026 * X20 ^ 2) ^ 2))</f>
        <v>1.1234350255113625</v>
      </c>
      <c r="Y72" s="52">
        <f>(Y56 / ((1.185 + 0.00454 * Y20 - 0.0000026 * Y20 ^ 2) ^ 2))</f>
        <v>1.1593206891815613</v>
      </c>
      <c r="Z72" s="52">
        <f>(Z56 / ((1.185 + 0.00454 * Z20 - 0.0000026 * Z20 ^ 2) ^ 2))</f>
        <v>1.0235502922520121</v>
      </c>
      <c r="AA72" s="52">
        <f>(AA56 / ((1.185 + 0.00454 * AA20 - 0.0000026 * AA20 ^ 2) ^ 2))</f>
        <v>1.0235502922520121</v>
      </c>
      <c r="AB72" s="52">
        <f>(AB56 / ((1.185 + 0.00454 * AB20 - 0.0000026 * AB20 ^ 2) ^ 2))</f>
        <v>1.1174246366611618</v>
      </c>
      <c r="AC72" s="52">
        <f>(AC56 / ((1.185 + 0.00454 * AC20 - 0.0000026 * AC20 ^ 2) ^ 2))</f>
        <v>0.97490853257319487</v>
      </c>
      <c r="AD72" s="52">
        <f>(AD56 / ((1.185 + 0.00454 * AD20 - 0.0000026 * AD20 ^ 2) ^ 2))</f>
        <v>0.97490853257319487</v>
      </c>
      <c r="AE72" s="52">
        <f>(AE56 / ((1.185 + 0.00454 * AE20 - 0.0000026 * AE20 ^ 2) ^ 2))</f>
        <v>0.97490853257319487</v>
      </c>
      <c r="AF72" s="2" t="str">
        <f t="shared" ref="AF72:AF83" si="3">$E$46</f>
        <v>ratio</v>
      </c>
      <c r="AG72" s="2"/>
      <c r="AH72" s="2"/>
    </row>
    <row r="73" spans="3:34" ht="20.100000000000001" customHeight="1" x14ac:dyDescent="0.25">
      <c r="U73" s="52" t="str">
        <f>TEXT(EDATE('Input - Site'!$E$12,1), "mmmm yyyy")</f>
        <v>February 2024</v>
      </c>
      <c r="V73" s="52">
        <f>(V57 / ((1.185 + 0.00454 * V21 - 0.0000026 * V21 ^ 2) ^ 2))</f>
        <v>1.1123493391850732</v>
      </c>
      <c r="W73" s="52">
        <f>(W57 / ((1.185 + 0.00454 * W21 - 0.0000026 * W21 ^ 2) ^ 2))</f>
        <v>0.95640681558610863</v>
      </c>
      <c r="X73" s="52">
        <f>(X57 / ((1.185 + 0.00454 * X21 - 0.0000026 * X21 ^ 2) ^ 2))</f>
        <v>1.1234350255113625</v>
      </c>
      <c r="Y73" s="52">
        <f>(Y57 / ((1.185 + 0.00454 * Y21 - 0.0000026 * Y21 ^ 2) ^ 2))</f>
        <v>1.0784378504014522</v>
      </c>
      <c r="Z73" s="52">
        <f>(Z57 / ((1.185 + 0.00454 * Z21 - 0.0000026 * Z21 ^ 2) ^ 2))</f>
        <v>0.95213980674605769</v>
      </c>
      <c r="AA73" s="52">
        <f>(AA57 / ((1.185 + 0.00454 * AA21 - 0.0000026 * AA21 ^ 2) ^ 2))</f>
        <v>0.95213980674605769</v>
      </c>
      <c r="AB73" s="52">
        <f>(AB57 / ((1.185 + 0.00454 * AB21 - 0.0000026 * AB21 ^ 2) ^ 2))</f>
        <v>1.1174246366611618</v>
      </c>
      <c r="AC73" s="52">
        <f>(AC57 / ((1.185 + 0.00454 * AC21 - 0.0000026 * AC21 ^ 2) ^ 2))</f>
        <v>0.97490853257319487</v>
      </c>
      <c r="AD73" s="52">
        <f>(AD57 / ((1.185 + 0.00454 * AD21 - 0.0000026 * AD21 ^ 2) ^ 2))</f>
        <v>0.97490853257319487</v>
      </c>
      <c r="AE73" s="52">
        <f>(AE57 / ((1.185 + 0.00454 * AE21 - 0.0000026 * AE21 ^ 2) ^ 2))</f>
        <v>0.97490853257319487</v>
      </c>
      <c r="AF73" s="2" t="str">
        <f t="shared" si="3"/>
        <v>ratio</v>
      </c>
      <c r="AG73" s="2"/>
      <c r="AH73" s="2"/>
    </row>
    <row r="74" spans="3:34" ht="20.100000000000001" customHeight="1" x14ac:dyDescent="0.25">
      <c r="U74" s="52" t="str">
        <f>TEXT(EDATE('Input - Site'!$E$12,2), "mmmm yyyy")</f>
        <v>March 2024</v>
      </c>
      <c r="V74" s="52">
        <f>(V58 / ((1.185 + 0.00454 * V22 - 0.0000026 * V22 ^ 2) ^ 2))</f>
        <v>1.2480754440536419</v>
      </c>
      <c r="W74" s="52">
        <f>(W58 / ((1.185 + 0.00454 * W22 - 0.0000026 * W22 ^ 2) ^ 2))</f>
        <v>1</v>
      </c>
      <c r="X74" s="52">
        <f>(X58 / ((1.185 + 0.00454 * X22 - 0.0000026 * X22 ^ 2) ^ 2))</f>
        <v>1.2620356226501883</v>
      </c>
      <c r="Y74" s="52">
        <f>(Y58 / ((1.185 + 0.00454 * Y22 - 0.0000026 * Y22 ^ 2) ^ 2))</f>
        <v>1.0592964268897831</v>
      </c>
      <c r="Z74" s="52">
        <f>(Z58 / ((1.185 + 0.00454 * Z22 - 0.0000026 * Z22 ^ 2) ^ 2))</f>
        <v>0.87861639465436669</v>
      </c>
      <c r="AA74" s="52">
        <f>(AA58 / ((1.185 + 0.00454 * AA22 - 0.0000026 * AA22 ^ 2) ^ 2))</f>
        <v>0.87861639465436669</v>
      </c>
      <c r="AB74" s="52">
        <f>(AB58 / ((1.185 + 0.00454 * AB22 - 0.0000026 * AB22 ^ 2) ^ 2))</f>
        <v>1.2480754440536419</v>
      </c>
      <c r="AC74" s="52">
        <f>(AC58 / ((1.185 + 0.00454 * AC22 - 0.0000026 * AC22 ^ 2) ^ 2))</f>
        <v>1</v>
      </c>
      <c r="AD74" s="52">
        <f>(AD58 / ((1.185 + 0.00454 * AD22 - 0.0000026 * AD22 ^ 2) ^ 2))</f>
        <v>1</v>
      </c>
      <c r="AE74" s="52">
        <f>(AE58 / ((1.185 + 0.00454 * AE22 - 0.0000026 * AE22 ^ 2) ^ 2))</f>
        <v>1</v>
      </c>
      <c r="AF74" s="2" t="str">
        <f t="shared" si="3"/>
        <v>ratio</v>
      </c>
      <c r="AG74" s="2"/>
      <c r="AH74" s="2"/>
    </row>
    <row r="75" spans="3:34" ht="20.100000000000001" customHeight="1" x14ac:dyDescent="0.25">
      <c r="D75" s="53" t="s">
        <v>29</v>
      </c>
      <c r="E75" s="1" t="s">
        <v>435</v>
      </c>
      <c r="U75" s="52" t="str">
        <f>TEXT(EDATE('Input - Site'!$E$12,3), "mmmm yyyy")</f>
        <v>April 2024</v>
      </c>
      <c r="V75" s="52">
        <f>(V59 / ((1.185 + 0.00454 * V23 - 0.0000026 * V23 ^ 2) ^ 2))</f>
        <v>1.2480754440536419</v>
      </c>
      <c r="W75" s="52">
        <f>(W59 / ((1.185 + 0.00454 * W23 - 0.0000026 * W23 ^ 2) ^ 2))</f>
        <v>1</v>
      </c>
      <c r="X75" s="52">
        <f>(X59 / ((1.185 + 0.00454 * X23 - 0.0000026 * X23 ^ 2) ^ 2))</f>
        <v>1.2620356226501883</v>
      </c>
      <c r="Y75" s="52">
        <f>(Y59 / ((1.185 + 0.00454 * Y23 - 0.0000026 * Y23 ^ 2) ^ 2))</f>
        <v>1.0592964268897831</v>
      </c>
      <c r="Z75" s="52">
        <f>(Z59 / ((1.185 + 0.00454 * Z23 - 0.0000026 * Z23 ^ 2) ^ 2))</f>
        <v>0.87861639465436669</v>
      </c>
      <c r="AA75" s="52">
        <f>(AA59 / ((1.185 + 0.00454 * AA23 - 0.0000026 * AA23 ^ 2) ^ 2))</f>
        <v>0.87861639465436669</v>
      </c>
      <c r="AB75" s="52">
        <f>(AB59 / ((1.185 + 0.00454 * AB23 - 0.0000026 * AB23 ^ 2) ^ 2))</f>
        <v>1.2480754440536419</v>
      </c>
      <c r="AC75" s="52">
        <f>(AC59 / ((1.185 + 0.00454 * AC23 - 0.0000026 * AC23 ^ 2) ^ 2))</f>
        <v>1</v>
      </c>
      <c r="AD75" s="52">
        <f>(AD59 / ((1.185 + 0.00454 * AD23 - 0.0000026 * AD23 ^ 2) ^ 2))</f>
        <v>1</v>
      </c>
      <c r="AE75" s="52">
        <f>(AE59 / ((1.185 + 0.00454 * AE23 - 0.0000026 * AE23 ^ 2) ^ 2))</f>
        <v>1</v>
      </c>
      <c r="AF75" s="2" t="str">
        <f t="shared" si="3"/>
        <v>ratio</v>
      </c>
      <c r="AG75" s="2"/>
      <c r="AH75" s="2"/>
    </row>
    <row r="76" spans="3:34" ht="20.100000000000001" customHeight="1" x14ac:dyDescent="0.25">
      <c r="D76" s="53" t="s">
        <v>20</v>
      </c>
      <c r="E76" s="54" t="s">
        <v>133</v>
      </c>
      <c r="U76" s="52" t="str">
        <f>TEXT(EDATE('Input - Site'!$E$12,4), "mmmm yyyy")</f>
        <v>May 2024</v>
      </c>
      <c r="V76" s="52">
        <f>(V60 / ((1.185 + 0.00454 * V24 - 0.0000026 * V24 ^ 2) ^ 2))</f>
        <v>1.2480754440536419</v>
      </c>
      <c r="W76" s="52">
        <f>(W60 / ((1.185 + 0.00454 * W24 - 0.0000026 * W24 ^ 2) ^ 2))</f>
        <v>1</v>
      </c>
      <c r="X76" s="52">
        <f>(X60 / ((1.185 + 0.00454 * X24 - 0.0000026 * X24 ^ 2) ^ 2))</f>
        <v>1.2620356226501883</v>
      </c>
      <c r="Y76" s="52">
        <f>(Y60 / ((1.185 + 0.00454 * Y24 - 0.0000026 * Y24 ^ 2) ^ 2))</f>
        <v>1.0592964268897831</v>
      </c>
      <c r="Z76" s="52">
        <f>(Z60 / ((1.185 + 0.00454 * Z24 - 0.0000026 * Z24 ^ 2) ^ 2))</f>
        <v>0.87861639465436669</v>
      </c>
      <c r="AA76" s="52">
        <f>(AA60 / ((1.185 + 0.00454 * AA24 - 0.0000026 * AA24 ^ 2) ^ 2))</f>
        <v>0.87861639465436669</v>
      </c>
      <c r="AB76" s="52">
        <f>(AB60 / ((1.185 + 0.00454 * AB24 - 0.0000026 * AB24 ^ 2) ^ 2))</f>
        <v>1.2480754440536419</v>
      </c>
      <c r="AC76" s="52">
        <f>(AC60 / ((1.185 + 0.00454 * AC24 - 0.0000026 * AC24 ^ 2) ^ 2))</f>
        <v>1</v>
      </c>
      <c r="AD76" s="52">
        <f>(AD60 / ((1.185 + 0.00454 * AD24 - 0.0000026 * AD24 ^ 2) ^ 2))</f>
        <v>1</v>
      </c>
      <c r="AE76" s="52">
        <f>(AE60 / ((1.185 + 0.00454 * AE24 - 0.0000026 * AE24 ^ 2) ^ 2))</f>
        <v>1</v>
      </c>
      <c r="AF76" s="2" t="str">
        <f t="shared" si="3"/>
        <v>ratio</v>
      </c>
      <c r="AG76" s="2"/>
      <c r="AH76" s="2"/>
    </row>
    <row r="77" spans="3:34" ht="20.100000000000001" customHeight="1" x14ac:dyDescent="0.25">
      <c r="U77" s="52" t="str">
        <f>TEXT(EDATE('Input - Site'!$E$12,5), "mmmm yyyy")</f>
        <v>June 2024</v>
      </c>
      <c r="V77" s="52">
        <f>(V61 / ((1.185 + 0.00454 * V25 - 0.0000026 * V25 ^ 2) ^ 2))</f>
        <v>1.3447114471128401</v>
      </c>
      <c r="W77" s="52">
        <f>(W61 / ((1.185 + 0.00454 * W25 - 0.0000026 * W25 ^ 2) ^ 2))</f>
        <v>1.0453721939219578</v>
      </c>
      <c r="X77" s="52">
        <f>(X61 / ((1.185 + 0.00454 * X25 - 0.0000026 * X25 ^ 2) ^ 2))</f>
        <v>1.2863889326974398</v>
      </c>
      <c r="Y77" s="52">
        <f>(Y61 / ((1.185 + 0.00454 * Y25 - 0.0000026 * Y25 ^ 2) ^ 2))</f>
        <v>1.0290827091276171</v>
      </c>
      <c r="Z77" s="52">
        <f>(Z61 / ((1.185 + 0.00454 * Z25 - 0.0000026 * Z25 ^ 2) ^ 2))</f>
        <v>1.0250350228725489</v>
      </c>
      <c r="AA77" s="52">
        <f>(AA61 / ((1.185 + 0.00454 * AA25 - 0.0000026 * AA25 ^ 2) ^ 2))</f>
        <v>1.0250350228725489</v>
      </c>
      <c r="AB77" s="52">
        <f>(AB61 / ((1.185 + 0.00454 * AB25 - 0.0000026 * AB25 ^ 2) ^ 2))</f>
        <v>1.2744200407937745</v>
      </c>
      <c r="AC77" s="52">
        <f>(AC61 / ((1.185 + 0.00454 * AC25 - 0.0000026 * AC25 ^ 2) ^ 2))</f>
        <v>1.1147815609185805</v>
      </c>
      <c r="AD77" s="52">
        <f>(AD61 / ((1.185 + 0.00454 * AD25 - 0.0000026 * AD25 ^ 2) ^ 2))</f>
        <v>1.1147815609185805</v>
      </c>
      <c r="AE77" s="52">
        <f>(AE61 / ((1.185 + 0.00454 * AE25 - 0.0000026 * AE25 ^ 2) ^ 2))</f>
        <v>1.1147815609185805</v>
      </c>
      <c r="AF77" s="2" t="str">
        <f t="shared" si="3"/>
        <v>ratio</v>
      </c>
      <c r="AG77" s="2"/>
      <c r="AH77" s="2"/>
    </row>
    <row r="78" spans="3:34" ht="20.100000000000001" customHeight="1" x14ac:dyDescent="0.25">
      <c r="D78" s="108" t="str" cm="1">
        <f t="array" ref="D78:E82">(_xlfn.MAKEARRAY(5,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f>
        <v>LC_jk5curr</v>
      </c>
      <c r="E78" s="110" t="str">
        <v>proportion of cows greater than 2 years lactating for the season of calving</v>
      </c>
      <c r="F78" s="117"/>
      <c r="G78" s="117"/>
      <c r="H78" s="109"/>
      <c r="I78" s="57" t="str">
        <f>"See " &amp; D84</f>
        <v>See M1_Table_LC_j_k-4-5</v>
      </c>
      <c r="U78" s="52" t="str">
        <f>TEXT(EDATE('Input - Site'!$E$12,6), "mmmm yyyy")</f>
        <v>July 2024</v>
      </c>
      <c r="V78" s="52">
        <f>(V62 / ((1.185 + 0.00454 * V26 - 0.0000026 * V26 ^ 2) ^ 2))</f>
        <v>1.3447114471128401</v>
      </c>
      <c r="W78" s="52">
        <f>(W62 / ((1.185 + 0.00454 * W26 - 0.0000026 * W26 ^ 2) ^ 2))</f>
        <v>1.0453721939219578</v>
      </c>
      <c r="X78" s="52">
        <f>(X62 / ((1.185 + 0.00454 * X26 - 0.0000026 * X26 ^ 2) ^ 2))</f>
        <v>1.2863889326974398</v>
      </c>
      <c r="Y78" s="52">
        <f>(Y62 / ((1.185 + 0.00454 * Y26 - 0.0000026 * Y26 ^ 2) ^ 2))</f>
        <v>1.0290827091276171</v>
      </c>
      <c r="Z78" s="52">
        <f>(Z62 / ((1.185 + 0.00454 * Z26 - 0.0000026 * Z26 ^ 2) ^ 2))</f>
        <v>1.0250350228725489</v>
      </c>
      <c r="AA78" s="52">
        <f>(AA62 / ((1.185 + 0.00454 * AA26 - 0.0000026 * AA26 ^ 2) ^ 2))</f>
        <v>1.0250350228725489</v>
      </c>
      <c r="AB78" s="52">
        <f>(AB62 / ((1.185 + 0.00454 * AB26 - 0.0000026 * AB26 ^ 2) ^ 2))</f>
        <v>1.2744200407937745</v>
      </c>
      <c r="AC78" s="52">
        <f>(AC62 / ((1.185 + 0.00454 * AC26 - 0.0000026 * AC26 ^ 2) ^ 2))</f>
        <v>1.1147815609185805</v>
      </c>
      <c r="AD78" s="52">
        <f>(AD62 / ((1.185 + 0.00454 * AD26 - 0.0000026 * AD26 ^ 2) ^ 2))</f>
        <v>1.1147815609185805</v>
      </c>
      <c r="AE78" s="52">
        <f>(AE62 / ((1.185 + 0.00454 * AE26 - 0.0000026 * AE26 ^ 2) ^ 2))</f>
        <v>1.1147815609185805</v>
      </c>
      <c r="AF78" s="2" t="str">
        <f t="shared" si="3"/>
        <v>ratio</v>
      </c>
      <c r="AG78" s="2"/>
      <c r="AH78" s="2"/>
    </row>
    <row r="79" spans="3:34" ht="20.100000000000001" customHeight="1" x14ac:dyDescent="0.25">
      <c r="D79" s="108" t="str">
        <v>LC_jk5prev</v>
      </c>
      <c r="E79" s="110" t="str">
        <v>proportion of cows greater than 2 years lactating for the season after calving</v>
      </c>
      <c r="F79" s="117"/>
      <c r="G79" s="117"/>
      <c r="H79" s="109"/>
      <c r="I79" s="57" t="str">
        <f>"See " &amp; D84</f>
        <v>See M1_Table_LC_j_k-4-5</v>
      </c>
      <c r="U79" s="52" t="str">
        <f>TEXT(EDATE('Input - Site'!$E$12,7), "mmmm yyyy")</f>
        <v>August 2024</v>
      </c>
      <c r="V79" s="52">
        <f>(V63 / ((1.185 + 0.00454 * V27 - 0.0000026 * V27 ^ 2) ^ 2))</f>
        <v>1.3447114471128401</v>
      </c>
      <c r="W79" s="52">
        <f>(W63 / ((1.185 + 0.00454 * W27 - 0.0000026 * W27 ^ 2) ^ 2))</f>
        <v>1.0453721939219578</v>
      </c>
      <c r="X79" s="52">
        <f>(X63 / ((1.185 + 0.00454 * X27 - 0.0000026 * X27 ^ 2) ^ 2))</f>
        <v>1.2863889326974398</v>
      </c>
      <c r="Y79" s="52">
        <f>(Y63 / ((1.185 + 0.00454 * Y27 - 0.0000026 * Y27 ^ 2) ^ 2))</f>
        <v>1.2606263186813311</v>
      </c>
      <c r="Z79" s="52">
        <f>(Z63 / ((1.185 + 0.00454 * Z27 - 0.0000026 * Z27 ^ 2) ^ 2))</f>
        <v>1.2556679030188727</v>
      </c>
      <c r="AA79" s="52">
        <f>(AA63 / ((1.185 + 0.00454 * AA27 - 0.0000026 * AA27 ^ 2) ^ 2))</f>
        <v>1.2556679030188727</v>
      </c>
      <c r="AB79" s="52">
        <f>(AB63 / ((1.185 + 0.00454 * AB27 - 0.0000026 * AB27 ^ 2) ^ 2))</f>
        <v>1.2744200407937745</v>
      </c>
      <c r="AC79" s="52">
        <f>(AC63 / ((1.185 + 0.00454 * AC27 - 0.0000026 * AC27 ^ 2) ^ 2))</f>
        <v>1.1147815609185805</v>
      </c>
      <c r="AD79" s="52">
        <f>(AD63 / ((1.185 + 0.00454 * AD27 - 0.0000026 * AD27 ^ 2) ^ 2))</f>
        <v>1.1147815609185805</v>
      </c>
      <c r="AE79" s="52">
        <f>(AE63 / ((1.185 + 0.00454 * AE27 - 0.0000026 * AE27 ^ 2) ^ 2))</f>
        <v>1.1147815609185805</v>
      </c>
      <c r="AF79" s="2" t="str">
        <f t="shared" si="3"/>
        <v>ratio</v>
      </c>
      <c r="AG79" s="2"/>
      <c r="AH79" s="2"/>
    </row>
    <row r="80" spans="3:34" ht="20.100000000000001" customHeight="1" x14ac:dyDescent="0.25">
      <c r="D80" s="108" t="str">
        <v>DMP_jk5calv</v>
      </c>
      <c r="E80" s="110" t="str">
        <v>daily milk production for the season of calving (kg/head/day)</v>
      </c>
      <c r="F80" s="117"/>
      <c r="G80" s="117"/>
      <c r="H80" s="109"/>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f>(V64 / ((1.185 + 0.00454 * V28 - 0.0000026 * V28 ^ 2) ^ 2))</f>
        <v>1.4707970166214006</v>
      </c>
      <c r="W80" s="52">
        <f>(W64 / ((1.185 + 0.00454 * W28 - 0.0000026 * W28 ^ 2) ^ 2))</f>
        <v>1.2318676608114607</v>
      </c>
      <c r="X80" s="52">
        <f>(X64 / ((1.185 + 0.00454 * X28 - 0.0000026 * X28 ^ 2) ^ 2))</f>
        <v>1.3784396841492426</v>
      </c>
      <c r="Y80" s="52">
        <f>(Y64 / ((1.185 + 0.00454 * Y28 - 0.0000026 * Y28 ^ 2) ^ 2))</f>
        <v>1.5323399982323869</v>
      </c>
      <c r="Z80" s="52">
        <f>(Z64 / ((1.185 + 0.00454 * Z28 - 0.0000026 * Z28 ^ 2) ^ 2))</f>
        <v>1.4072279803711161</v>
      </c>
      <c r="AA80" s="52">
        <f>(AA64 / ((1.185 + 0.00454 * AA28 - 0.0000026 * AA28 ^ 2) ^ 2))</f>
        <v>1.4072279803711161</v>
      </c>
      <c r="AB80" s="52">
        <f>(AB64 / ((1.185 + 0.00454 * AB28 - 0.0000026 * AB28 ^ 2) ^ 2))</f>
        <v>1.4241682690123998</v>
      </c>
      <c r="AC80" s="52">
        <f>(AC64 / ((1.185 + 0.00454 * AC28 - 0.0000026 * AC28 ^ 2) ^ 2))</f>
        <v>1.2663208058014268</v>
      </c>
      <c r="AD80" s="52">
        <f>(AD64 / ((1.185 + 0.00454 * AD28 - 0.0000026 * AD28 ^ 2) ^ 2))</f>
        <v>1.2663208058014268</v>
      </c>
      <c r="AE80" s="52">
        <f>(AE64 / ((1.185 + 0.00454 * AE28 - 0.0000026 * AE28 ^ 2) ^ 2))</f>
        <v>1.2663208058014268</v>
      </c>
      <c r="AF80" s="2" t="str">
        <f t="shared" si="3"/>
        <v>ratio</v>
      </c>
      <c r="AG80" s="2"/>
      <c r="AH80" s="2"/>
    </row>
    <row r="81" spans="4:35" ht="20.100000000000001" customHeight="1" x14ac:dyDescent="0.25">
      <c r="D81" s="108" t="str">
        <v>DMP_jk5after</v>
      </c>
      <c r="E81" s="110" t="str">
        <v>daily milk production for the season after calving (kg/head/day)</v>
      </c>
      <c r="F81" s="117"/>
      <c r="G81" s="117"/>
      <c r="H81" s="109"/>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f>(V65 / ((1.185 + 0.00454 * V29 - 0.0000026 * V29 ^ 2) ^ 2))</f>
        <v>1.4707970166214006</v>
      </c>
      <c r="W81" s="52">
        <f>(W65 / ((1.185 + 0.00454 * W29 - 0.0000026 * W29 ^ 2) ^ 2))</f>
        <v>1.2318676608114607</v>
      </c>
      <c r="X81" s="52">
        <f>(X65 / ((1.185 + 0.00454 * X29 - 0.0000026 * X29 ^ 2) ^ 2))</f>
        <v>1.3784396841492426</v>
      </c>
      <c r="Y81" s="52">
        <f>(Y65 / ((1.185 + 0.00454 * Y29 - 0.0000026 * Y29 ^ 2) ^ 2))</f>
        <v>1.5323399982323869</v>
      </c>
      <c r="Z81" s="52">
        <f>(Z65 / ((1.185 + 0.00454 * Z29 - 0.0000026 * Z29 ^ 2) ^ 2))</f>
        <v>1.4072279803711161</v>
      </c>
      <c r="AA81" s="52">
        <f>(AA65 / ((1.185 + 0.00454 * AA29 - 0.0000026 * AA29 ^ 2) ^ 2))</f>
        <v>1.4072279803711161</v>
      </c>
      <c r="AB81" s="52">
        <f>(AB65 / ((1.185 + 0.00454 * AB29 - 0.0000026 * AB29 ^ 2) ^ 2))</f>
        <v>1.4241682690123998</v>
      </c>
      <c r="AC81" s="52">
        <f>(AC65 / ((1.185 + 0.00454 * AC29 - 0.0000026 * AC29 ^ 2) ^ 2))</f>
        <v>1.2663208058014268</v>
      </c>
      <c r="AD81" s="52">
        <f>(AD65 / ((1.185 + 0.00454 * AD29 - 0.0000026 * AD29 ^ 2) ^ 2))</f>
        <v>1.2663208058014268</v>
      </c>
      <c r="AE81" s="52">
        <f>(AE65 / ((1.185 + 0.00454 * AE29 - 0.0000026 * AE29 ^ 2) ^ 2))</f>
        <v>1.2663208058014268</v>
      </c>
      <c r="AF81" s="2" t="str">
        <f t="shared" si="3"/>
        <v>ratio</v>
      </c>
      <c r="AG81" s="2"/>
      <c r="AH81" s="2"/>
    </row>
    <row r="82" spans="4:35" ht="20.100000000000001" customHeight="1" x14ac:dyDescent="0.25">
      <c r="D82" s="108" t="str">
        <v>b</v>
      </c>
      <c r="E82" s="110" t="str">
        <v>breed of cattle</v>
      </c>
      <c r="F82" s="117"/>
      <c r="G82" s="117"/>
      <c r="H82" s="109"/>
      <c r="I82" s="57" t="str">
        <f>'Input - Pasture Beef'!$E$9</f>
        <v>Hereford or Shorthorn breeds</v>
      </c>
      <c r="U82" s="52" t="str">
        <f>TEXT(EDATE('Input - Site'!$E$12,10), "mmmm yyyy")</f>
        <v>November 2024</v>
      </c>
      <c r="V82" s="52">
        <f>(V66 / ((1.185 + 0.00454 * V30 - 0.0000026 * V30 ^ 2) ^ 2))</f>
        <v>1.4707970166214006</v>
      </c>
      <c r="W82" s="52">
        <f>(W66 / ((1.185 + 0.00454 * W30 - 0.0000026 * W30 ^ 2) ^ 2))</f>
        <v>1.2318676608114607</v>
      </c>
      <c r="X82" s="52">
        <f>(X66 / ((1.185 + 0.00454 * X30 - 0.0000026 * X30 ^ 2) ^ 2))</f>
        <v>1.3784396841492426</v>
      </c>
      <c r="Y82" s="52">
        <f>(Y66 / ((1.185 + 0.00454 * Y30 - 0.0000026 * Y30 ^ 2) ^ 2))</f>
        <v>1.3447065290610742</v>
      </c>
      <c r="Z82" s="52">
        <f>(Z66 / ((1.185 + 0.00454 * Z30 - 0.0000026 * Z30 ^ 2) ^ 2))</f>
        <v>1.2349143501215916</v>
      </c>
      <c r="AA82" s="52">
        <f>(AA66 / ((1.185 + 0.00454 * AA30 - 0.0000026 * AA30 ^ 2) ^ 2))</f>
        <v>1.2349143501215916</v>
      </c>
      <c r="AB82" s="52">
        <f>(AB66 / ((1.185 + 0.00454 * AB30 - 0.0000026 * AB30 ^ 2) ^ 2))</f>
        <v>1.4241682690123998</v>
      </c>
      <c r="AC82" s="52">
        <f>(AC66 / ((1.185 + 0.00454 * AC30 - 0.0000026 * AC30 ^ 2) ^ 2))</f>
        <v>1.2663208058014268</v>
      </c>
      <c r="AD82" s="52">
        <f>(AD66 / ((1.185 + 0.00454 * AD30 - 0.0000026 * AD30 ^ 2) ^ 2))</f>
        <v>1.2663208058014268</v>
      </c>
      <c r="AE82" s="52">
        <f>(AE66 / ((1.185 + 0.00454 * AE30 - 0.0000026 * AE30 ^ 2) ^ 2))</f>
        <v>1.2663208058014268</v>
      </c>
      <c r="AF82" s="2" t="str">
        <f t="shared" si="3"/>
        <v>ratio</v>
      </c>
      <c r="AG82" s="2"/>
      <c r="AH82" s="2"/>
    </row>
    <row r="83" spans="4:35" ht="20.100000000000001" customHeight="1" x14ac:dyDescent="0.25">
      <c r="U83" s="52" t="str">
        <f>TEXT(EDATE('Input - Site'!$E$12,11), "mmmm yyyy")</f>
        <v>December 2024</v>
      </c>
      <c r="V83" s="52">
        <f>(V67 / ((1.185 + 0.00454 * V31 - 0.0000026 * V31 ^ 2) ^ 2))</f>
        <v>1.1123493391850732</v>
      </c>
      <c r="W83" s="52">
        <f>(W67 / ((1.185 + 0.00454 * W31 - 0.0000026 * W31 ^ 2) ^ 2))</f>
        <v>0.95640681558610863</v>
      </c>
      <c r="X83" s="52">
        <f>(X67 / ((1.185 + 0.00454 * X31 - 0.0000026 * X31 ^ 2) ^ 2))</f>
        <v>1.1234350255113625</v>
      </c>
      <c r="Y83" s="52">
        <f>(Y67 / ((1.185 + 0.00454 * Y31 - 0.0000026 * Y31 ^ 2) ^ 2))</f>
        <v>1.1593206891815613</v>
      </c>
      <c r="Z83" s="52">
        <f>(Z67 / ((1.185 + 0.00454 * Z31 - 0.0000026 * Z31 ^ 2) ^ 2))</f>
        <v>1.0235502922520121</v>
      </c>
      <c r="AA83" s="52">
        <f>(AA67 / ((1.185 + 0.00454 * AA31 - 0.0000026 * AA31 ^ 2) ^ 2))</f>
        <v>1.0235502922520121</v>
      </c>
      <c r="AB83" s="52">
        <f>(AB67 / ((1.185 + 0.00454 * AB31 - 0.0000026 * AB31 ^ 2) ^ 2))</f>
        <v>1.1174246366611618</v>
      </c>
      <c r="AC83" s="52">
        <f>(AC67 / ((1.185 + 0.00454 * AC31 - 0.0000026 * AC31 ^ 2) ^ 2))</f>
        <v>0.97490853257319487</v>
      </c>
      <c r="AD83" s="52">
        <f>(AD67 / ((1.185 + 0.00454 * AD31 - 0.0000026 * AD31 ^ 2) ^ 2))</f>
        <v>0.97490853257319487</v>
      </c>
      <c r="AE83" s="52">
        <f>(AE67 / ((1.185 + 0.00454 * AE31 - 0.0000026 * AE31 ^ 2) ^ 2))</f>
        <v>0.97490853257319487</v>
      </c>
      <c r="AF83" s="2" t="str">
        <f t="shared" si="3"/>
        <v>ratio</v>
      </c>
      <c r="AG83" s="2"/>
      <c r="AH83" s="2"/>
    </row>
    <row r="84" spans="4:35" ht="20.100000000000001" customHeight="1" x14ac:dyDescent="0.25">
      <c r="D84" s="99" t="s">
        <v>229</v>
      </c>
    </row>
    <row r="85" spans="4:35" ht="20.100000000000001" customHeight="1" x14ac:dyDescent="0.25">
      <c r="D85" s="98" t="s">
        <v>252</v>
      </c>
    </row>
    <row r="86" spans="4:35" ht="20.100000000000001" customHeight="1" x14ac:dyDescent="0.25">
      <c r="D86" s="51" t="s">
        <v>183</v>
      </c>
      <c r="E86" s="51" t="s">
        <v>165</v>
      </c>
      <c r="F86" s="51" t="s">
        <v>166</v>
      </c>
      <c r="G86" s="51" t="s">
        <v>167</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99</v>
      </c>
      <c r="U87" s="6" t="s">
        <v>433</v>
      </c>
    </row>
    <row r="88" spans="4:35" ht="20.100000000000001" customHeight="1" x14ac:dyDescent="0.25"/>
    <row r="89" spans="4:35" ht="20.100000000000001" customHeight="1" x14ac:dyDescent="0.25">
      <c r="U89" s="99" t="s">
        <v>248</v>
      </c>
    </row>
    <row r="90" spans="4:35" ht="20.100000000000001" customHeight="1" x14ac:dyDescent="0.25">
      <c r="U90" s="98" t="s">
        <v>249</v>
      </c>
    </row>
    <row r="91" spans="4:35" ht="20.100000000000001" customHeight="1" x14ac:dyDescent="0.25">
      <c r="U91" s="51" t="s">
        <v>131</v>
      </c>
      <c r="V91" s="51" t="s">
        <v>165</v>
      </c>
      <c r="W91" s="51" t="s">
        <v>166</v>
      </c>
      <c r="X91" s="51" t="s">
        <v>167</v>
      </c>
    </row>
    <row r="92" spans="4:35" ht="20.100000000000001" customHeight="1" x14ac:dyDescent="0.25">
      <c r="D92" s="99" t="s">
        <v>293</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99</v>
      </c>
    </row>
    <row r="93" spans="4:35" ht="20.100000000000001" customHeight="1" x14ac:dyDescent="0.25">
      <c r="D93" s="98" t="s">
        <v>134</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183</v>
      </c>
      <c r="E94" s="51" t="s">
        <v>245</v>
      </c>
      <c r="F94" s="51" t="s">
        <v>344</v>
      </c>
      <c r="G94" s="51" t="s">
        <v>130</v>
      </c>
      <c r="H94" s="51" t="s">
        <v>129</v>
      </c>
      <c r="I94" s="51" t="s">
        <v>164</v>
      </c>
      <c r="J94" s="51" t="s">
        <v>165</v>
      </c>
      <c r="K94" s="51" t="s">
        <v>166</v>
      </c>
      <c r="L94" s="51" t="s">
        <v>167</v>
      </c>
      <c r="M94" s="51" t="s">
        <v>168</v>
      </c>
      <c r="N94" s="51" t="s">
        <v>169</v>
      </c>
      <c r="O94" s="51" t="s">
        <v>170</v>
      </c>
      <c r="P94" s="51" t="s">
        <v>171</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f>IFERROR((E$87 * $F95), 0)</f>
        <v>2.8</v>
      </c>
      <c r="K95" s="52">
        <f>IFERROR((F$87 * $F95), 0)</f>
        <v>2</v>
      </c>
      <c r="L95" s="52">
        <f>IFERROR((G$87 * $F95),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f>IFERROR((E$87 * $F96), 0)</f>
        <v>0</v>
      </c>
      <c r="K96" s="52">
        <f>IFERROR((F$87 * $F96), 0)</f>
        <v>0</v>
      </c>
      <c r="L96" s="52">
        <f>IFERROR((G$87 * $F96),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f>IFERROR((E$87 * $F97), 0)</f>
        <v>0</v>
      </c>
      <c r="K97" s="52">
        <f>IFERROR((F$87 * $F97), 0)</f>
        <v>0</v>
      </c>
      <c r="L97" s="52">
        <f>IFERROR((G$87 * $F97), 0)</f>
        <v>0</v>
      </c>
      <c r="M97" s="52">
        <v>0</v>
      </c>
      <c r="N97" s="52">
        <v>0</v>
      </c>
      <c r="O97" s="52">
        <v>0</v>
      </c>
      <c r="P97" s="52">
        <v>0</v>
      </c>
      <c r="Q97" s="2" t="str">
        <f t="shared" si="4"/>
        <v>kg/head/day</v>
      </c>
      <c r="U97" s="99" t="s">
        <v>293</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f>IFERROR((E$87 * $F98), 0)</f>
        <v>4.1999999999999993</v>
      </c>
      <c r="K98" s="52">
        <f>IFERROR((F$87 * $F98), 0)</f>
        <v>3</v>
      </c>
      <c r="L98" s="52">
        <f>IFERROR((G$87 * $F98), 0)</f>
        <v>3</v>
      </c>
      <c r="M98" s="52">
        <v>0</v>
      </c>
      <c r="N98" s="52">
        <v>0</v>
      </c>
      <c r="O98" s="52">
        <v>0</v>
      </c>
      <c r="P98" s="52">
        <v>0</v>
      </c>
      <c r="Q98" s="2" t="str">
        <f t="shared" si="4"/>
        <v>kg/head/day</v>
      </c>
      <c r="U98" s="98" t="s">
        <v>134</v>
      </c>
    </row>
    <row r="99" spans="3:34" ht="20.100000000000001" customHeight="1" x14ac:dyDescent="0.25">
      <c r="U99" s="51" t="s">
        <v>131</v>
      </c>
      <c r="V99" s="51" t="s">
        <v>245</v>
      </c>
      <c r="W99" s="51" t="s">
        <v>344</v>
      </c>
      <c r="X99" s="51" t="s">
        <v>130</v>
      </c>
      <c r="Y99" s="51" t="s">
        <v>129</v>
      </c>
      <c r="Z99" s="51" t="s">
        <v>164</v>
      </c>
      <c r="AA99" s="51" t="s">
        <v>165</v>
      </c>
      <c r="AB99" s="51" t="s">
        <v>166</v>
      </c>
      <c r="AC99" s="51" t="s">
        <v>167</v>
      </c>
      <c r="AD99" s="51" t="s">
        <v>168</v>
      </c>
      <c r="AE99" s="51" t="s">
        <v>169</v>
      </c>
      <c r="AF99" s="51" t="s">
        <v>170</v>
      </c>
      <c r="AG99" s="51" t="s">
        <v>171</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f>IFERROR((V$92 * $W100), 0)</f>
        <v>3</v>
      </c>
      <c r="AB100" s="52">
        <f>IFERROR((W$92 * $W100), 0)</f>
        <v>3</v>
      </c>
      <c r="AC100" s="52">
        <f>IFERROR((X$92 *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f>IFERROR((V$92 * $W101), 0)</f>
        <v>0</v>
      </c>
      <c r="AB101" s="52">
        <f>IFERROR((W$92 * $W101), 0)</f>
        <v>0</v>
      </c>
      <c r="AC101" s="52">
        <f>IFERROR((X$92 * $W101), 0)</f>
        <v>0</v>
      </c>
      <c r="AD101" s="52">
        <v>0</v>
      </c>
      <c r="AE101" s="52">
        <v>0</v>
      </c>
      <c r="AF101" s="52">
        <v>0</v>
      </c>
      <c r="AG101" s="52">
        <v>0</v>
      </c>
      <c r="AH101" s="2" t="str">
        <f t="shared" si="5"/>
        <v>kg/head/day</v>
      </c>
    </row>
    <row r="102" spans="3:34" ht="20.100000000000001" customHeight="1" x14ac:dyDescent="0.25">
      <c r="D102" s="6" t="s">
        <v>436</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f>IFERROR((V$92 * $W102), 0)</f>
        <v>0</v>
      </c>
      <c r="AB102" s="52">
        <f>IFERROR((W$92 * $W102), 0)</f>
        <v>0</v>
      </c>
      <c r="AC102" s="52">
        <f>IFERROR((X$92 * $W102), 0)</f>
        <v>0</v>
      </c>
      <c r="AD102" s="52">
        <v>0</v>
      </c>
      <c r="AE102" s="52">
        <v>0</v>
      </c>
      <c r="AF102" s="52">
        <v>0</v>
      </c>
      <c r="AG102" s="52">
        <v>0</v>
      </c>
      <c r="AH102" s="2" t="str">
        <f t="shared" si="5"/>
        <v>kg/head/day</v>
      </c>
    </row>
    <row r="103" spans="3:34" ht="20.100000000000001" customHeight="1" x14ac:dyDescent="0.25">
      <c r="D103" s="5" t="s">
        <v>437</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f>IFERROR((V$92 * $W103), 0)</f>
        <v>0</v>
      </c>
      <c r="AB103" s="52">
        <f>IFERROR((W$92 * $W103), 0)</f>
        <v>0</v>
      </c>
      <c r="AC103" s="52">
        <f>IFERROR((X$92 * $W103), 0)</f>
        <v>0</v>
      </c>
      <c r="AD103" s="52">
        <v>0</v>
      </c>
      <c r="AE103" s="52">
        <v>0</v>
      </c>
      <c r="AF103" s="52">
        <v>0</v>
      </c>
      <c r="AG103" s="52">
        <v>0</v>
      </c>
      <c r="AH103" s="2" t="str">
        <f t="shared" si="5"/>
        <v>kg/head/day</v>
      </c>
    </row>
    <row r="104" spans="3:34" ht="20.100000000000001" customHeight="1" x14ac:dyDescent="0.25">
      <c r="D104" s="13"/>
      <c r="E104" s="13"/>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f>IFERROR((V$92 * $W104), 0)</f>
        <v>0</v>
      </c>
      <c r="AB104" s="52">
        <f>IFERROR((W$92 * $W104), 0)</f>
        <v>0</v>
      </c>
      <c r="AC104" s="52">
        <f>IFERROR((X$92 *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f>IFERROR((V$92 * $W105), 0)</f>
        <v>0</v>
      </c>
      <c r="AB105" s="52">
        <f>IFERROR((W$92 * $W105), 0)</f>
        <v>0</v>
      </c>
      <c r="AC105" s="52">
        <f>IFERROR((X$92 *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f>IFERROR((V$92 * $W106), 0)</f>
        <v>0</v>
      </c>
      <c r="AB106" s="52">
        <f>IFERROR((W$92 * $W106), 0)</f>
        <v>0</v>
      </c>
      <c r="AC106" s="52">
        <f>IFERROR((X$92 *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f>IFERROR((V$92 * $W107), 0)</f>
        <v>4.5</v>
      </c>
      <c r="AB107" s="52">
        <f>IFERROR((W$92 * $W107), 0)</f>
        <v>4.5</v>
      </c>
      <c r="AC107" s="52">
        <f>IFERROR((X$92 * $W107), 0)</f>
        <v>4.5</v>
      </c>
      <c r="AD107" s="52">
        <v>0</v>
      </c>
      <c r="AE107" s="52">
        <v>0</v>
      </c>
      <c r="AF107" s="52">
        <v>0</v>
      </c>
      <c r="AG107" s="52">
        <v>0</v>
      </c>
      <c r="AH107" s="2" t="str">
        <f t="shared" si="5"/>
        <v>kg/head/day</v>
      </c>
    </row>
    <row r="108" spans="3:34" ht="20.100000000000001" customHeight="1" x14ac:dyDescent="0.25">
      <c r="D108" s="53" t="s">
        <v>29</v>
      </c>
      <c r="E108" s="1" t="s">
        <v>438</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f>IFERROR((V$92 * $W108), 0)</f>
        <v>4.5</v>
      </c>
      <c r="AB108" s="52">
        <f>IFERROR((W$92 * $W108), 0)</f>
        <v>4.5</v>
      </c>
      <c r="AC108" s="52">
        <f>IFERROR((X$92 * $W108), 0)</f>
        <v>4.5</v>
      </c>
      <c r="AD108" s="52">
        <v>0</v>
      </c>
      <c r="AE108" s="52">
        <v>0</v>
      </c>
      <c r="AF108" s="52">
        <v>0</v>
      </c>
      <c r="AG108" s="52">
        <v>0</v>
      </c>
      <c r="AH108" s="2" t="str">
        <f t="shared" si="5"/>
        <v>kg/head/day</v>
      </c>
    </row>
    <row r="109" spans="3:34" ht="20.100000000000001" customHeight="1" x14ac:dyDescent="0.25">
      <c r="D109" s="53" t="s">
        <v>20</v>
      </c>
      <c r="E109" s="54" t="s">
        <v>439</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f>IFERROR((V$92 * $W109), 0)</f>
        <v>4.5</v>
      </c>
      <c r="AB109" s="52">
        <f>IFERROR((W$92 * $W109), 0)</f>
        <v>4.5</v>
      </c>
      <c r="AC109" s="52">
        <f>IFERROR((X$92 *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f>IFERROR((V$92 * $W110), 0)</f>
        <v>3</v>
      </c>
      <c r="AB110" s="52">
        <f>IFERROR((W$92 * $W110), 0)</f>
        <v>3</v>
      </c>
      <c r="AC110" s="52">
        <f>IFERROR((X$92 * $W110), 0)</f>
        <v>3</v>
      </c>
      <c r="AD110" s="52">
        <v>0</v>
      </c>
      <c r="AE110" s="52">
        <v>0</v>
      </c>
      <c r="AF110" s="52">
        <v>0</v>
      </c>
      <c r="AG110" s="52">
        <v>0</v>
      </c>
      <c r="AH110" s="2" t="str">
        <f t="shared" si="5"/>
        <v>kg/head/day</v>
      </c>
    </row>
    <row r="111" spans="3:34" ht="20.100000000000001" customHeight="1" x14ac:dyDescent="0.25">
      <c r="D111" s="108" t="str" cm="1">
        <f t="array" ref="D111:E114">(_xlfn.MAKEARRAY(4, 2, _xlfn.LAMBDA(_xlpm.r,_xlpm.c, INDEX({"MP_jk5","milk production (kg/head/day)";"L_jkl","intake relative to that needed for maintenance";"Z_jkl","relative size";"LWG_jkl","liveweight gain (kg/head/day)"}, _xlpm.r, _xlpm.c))))</f>
        <v>MP_jk5</v>
      </c>
      <c r="E111" s="110" t="str">
        <v>milk production (kg/head/day)</v>
      </c>
      <c r="F111" s="109"/>
      <c r="G111" s="108" t="str">
        <f>"See " &amp; D92</f>
        <v>See 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f>IFERROR((V$92 * $W111), 0)</f>
        <v>3</v>
      </c>
      <c r="AB111" s="52">
        <f>IFERROR((W$92 * $W111), 0)</f>
        <v>3</v>
      </c>
      <c r="AC111" s="52">
        <f>IFERROR((X$92 * $W111), 0)</f>
        <v>3</v>
      </c>
      <c r="AD111" s="52">
        <v>0</v>
      </c>
      <c r="AE111" s="52">
        <v>0</v>
      </c>
      <c r="AF111" s="52">
        <v>0</v>
      </c>
      <c r="AG111" s="52">
        <v>0</v>
      </c>
      <c r="AH111" s="2" t="str">
        <f t="shared" si="5"/>
        <v>kg/head/day</v>
      </c>
    </row>
    <row r="112" spans="3:34" ht="20.100000000000001" customHeight="1" x14ac:dyDescent="0.25">
      <c r="D112" s="108" t="str">
        <v>L_jkl</v>
      </c>
      <c r="E112" s="110" t="str">
        <v>intake relative to that needed for maintenance</v>
      </c>
      <c r="F112" s="109"/>
      <c r="G112" s="108" t="str">
        <f>"See " &amp; D59</f>
        <v>See M1_Table_L_j_k_l</v>
      </c>
    </row>
    <row r="113" spans="4:35" ht="20.100000000000001" customHeight="1" x14ac:dyDescent="0.25">
      <c r="D113" s="108" t="str">
        <v>Z_jkl</v>
      </c>
      <c r="E113" s="110" t="str">
        <v>relative size</v>
      </c>
      <c r="F113" s="109"/>
      <c r="G113" s="108" t="str">
        <f>"See " &amp; D30</f>
        <v>See M1_Table_Z_j_k_l</v>
      </c>
    </row>
    <row r="114" spans="4:35" ht="20.100000000000001" customHeight="1" x14ac:dyDescent="0.25">
      <c r="D114" s="108" t="str">
        <v>LWG_jkl</v>
      </c>
      <c r="E114" s="110" t="str">
        <v>liveweight gain (kg/head/day)</v>
      </c>
      <c r="F114" s="109"/>
      <c r="G114" s="108" t="str">
        <f>"See " &amp; D116</f>
        <v>See 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
        <v>436</v>
      </c>
    </row>
    <row r="116" spans="4:35" ht="20.100000000000001" customHeight="1" x14ac:dyDescent="0.25">
      <c r="D116" s="99" t="s">
        <v>241</v>
      </c>
    </row>
    <row r="117" spans="4:35" ht="20.100000000000001" customHeight="1" x14ac:dyDescent="0.25">
      <c r="D117" s="98" t="s">
        <v>242</v>
      </c>
      <c r="U117" s="99" t="s">
        <v>255</v>
      </c>
    </row>
    <row r="118" spans="4:35" ht="20.100000000000001" customHeight="1" x14ac:dyDescent="0.25">
      <c r="D118" s="51" t="s">
        <v>183</v>
      </c>
      <c r="E118" s="51" t="s">
        <v>130</v>
      </c>
      <c r="F118" s="51" t="s">
        <v>129</v>
      </c>
      <c r="G118" s="51" t="s">
        <v>164</v>
      </c>
      <c r="H118" s="51" t="s">
        <v>165</v>
      </c>
      <c r="I118" s="51" t="s">
        <v>166</v>
      </c>
      <c r="J118" s="51" t="s">
        <v>167</v>
      </c>
      <c r="K118" s="51" t="s">
        <v>168</v>
      </c>
      <c r="L118" s="51" t="s">
        <v>169</v>
      </c>
      <c r="M118" s="51" t="s">
        <v>170</v>
      </c>
      <c r="N118" s="51" t="s">
        <v>171</v>
      </c>
      <c r="U118" s="98" t="s">
        <v>256</v>
      </c>
    </row>
    <row r="119" spans="4:35" ht="20.100000000000001" customHeight="1" x14ac:dyDescent="0.25">
      <c r="D119" s="52" t="str">
        <f>'Input - Pasture Beef'!D82</f>
        <v>Spring</v>
      </c>
      <c r="E119" s="52">
        <f>'Input - Pasture Beef'!E82</f>
        <v>1.64</v>
      </c>
      <c r="F119" s="52">
        <f>'Input - Pasture Beef'!F82</f>
        <v>1.1000000000000001</v>
      </c>
      <c r="G119" s="52">
        <f>'Input - Pasture Beef'!G82</f>
        <v>1.21</v>
      </c>
      <c r="H119" s="52">
        <f>'Input - Pasture Beef'!H82</f>
        <v>0.99</v>
      </c>
      <c r="I119" s="52">
        <f>'Input - Pasture Beef'!I82</f>
        <v>0.66</v>
      </c>
      <c r="J119" s="52">
        <f>'Input - Pasture Beef'!J82</f>
        <v>0.66</v>
      </c>
      <c r="K119" s="52">
        <f>'Input - Pasture Beef'!K82</f>
        <v>1.42</v>
      </c>
      <c r="L119" s="52">
        <f>'Input - Pasture Beef'!L82</f>
        <v>1.1000000000000001</v>
      </c>
      <c r="M119" s="52">
        <f>'Input - Pasture Beef'!M82</f>
        <v>1.1000000000000001</v>
      </c>
      <c r="N119" s="52">
        <f>'Input - Pasture Beef'!N82</f>
        <v>1.1000000000000001</v>
      </c>
      <c r="O119" s="2" t="s">
        <v>132</v>
      </c>
      <c r="U119" s="51" t="s">
        <v>131</v>
      </c>
      <c r="V119" s="51" t="s">
        <v>130</v>
      </c>
      <c r="W119" s="51" t="s">
        <v>129</v>
      </c>
      <c r="X119" s="51" t="s">
        <v>164</v>
      </c>
      <c r="Y119" s="51" t="s">
        <v>165</v>
      </c>
      <c r="Z119" s="51" t="s">
        <v>166</v>
      </c>
      <c r="AA119" s="51" t="s">
        <v>167</v>
      </c>
      <c r="AB119" s="51" t="s">
        <v>168</v>
      </c>
      <c r="AC119" s="51" t="s">
        <v>169</v>
      </c>
      <c r="AD119" s="51" t="s">
        <v>170</v>
      </c>
      <c r="AE119" s="51" t="s">
        <v>171</v>
      </c>
    </row>
    <row r="120" spans="4:35" ht="20.100000000000001" customHeight="1" x14ac:dyDescent="0.25">
      <c r="D120" s="52" t="str">
        <f>'Input - Pasture Beef'!D83</f>
        <v>Summer</v>
      </c>
      <c r="E120" s="52">
        <f>'Input - Pasture Beef'!E83</f>
        <v>0.44</v>
      </c>
      <c r="F120" s="52">
        <f>'Input - Pasture Beef'!F83</f>
        <v>-0.22</v>
      </c>
      <c r="G120" s="52">
        <f>'Input - Pasture Beef'!G83</f>
        <v>0.44</v>
      </c>
      <c r="H120" s="52">
        <f>'Input - Pasture Beef'!H83</f>
        <v>0.33</v>
      </c>
      <c r="I120" s="52">
        <f>'Input - Pasture Beef'!I83</f>
        <v>-0.22</v>
      </c>
      <c r="J120" s="52">
        <f>'Input - Pasture Beef'!J83</f>
        <v>-0.22</v>
      </c>
      <c r="K120" s="52">
        <f>'Input - Pasture Beef'!K83</f>
        <v>0.44</v>
      </c>
      <c r="L120" s="52">
        <f>'Input - Pasture Beef'!L83</f>
        <v>-0.11</v>
      </c>
      <c r="M120" s="52">
        <f>'Input - Pasture Beef'!M83</f>
        <v>-0.11</v>
      </c>
      <c r="N120" s="52">
        <f>'Input - Pasture Beef'!N83</f>
        <v>-0.11</v>
      </c>
      <c r="O120" s="2" t="s">
        <v>132</v>
      </c>
      <c r="U120" s="52" t="str">
        <f>TEXT('Input - Site'!$E$12, "mmmm yyyy")</f>
        <v>January 2024</v>
      </c>
      <c r="V120" s="52">
        <f>'Input - Pasture Beef'!E88</f>
        <v>0.44</v>
      </c>
      <c r="W120" s="52">
        <f>'Input - Pasture Beef'!F88</f>
        <v>-0.22</v>
      </c>
      <c r="X120" s="52">
        <f>'Input - Pasture Beef'!G88</f>
        <v>0.44</v>
      </c>
      <c r="Y120" s="52">
        <f>'Input - Pasture Beef'!H88</f>
        <v>0.33</v>
      </c>
      <c r="Z120" s="52">
        <f>'Input - Pasture Beef'!I88</f>
        <v>-0.22</v>
      </c>
      <c r="AA120" s="52">
        <f>'Input - Pasture Beef'!J88</f>
        <v>-0.22</v>
      </c>
      <c r="AB120" s="52">
        <f>'Input - Pasture Beef'!K88</f>
        <v>0.44</v>
      </c>
      <c r="AC120" s="52">
        <f>'Input - Pasture Beef'!L88</f>
        <v>-0.11</v>
      </c>
      <c r="AD120" s="52">
        <f>'Input - Pasture Beef'!M88</f>
        <v>-0.11</v>
      </c>
      <c r="AE120" s="52">
        <f>'Input - Pasture Beef'!N88</f>
        <v>-0.11</v>
      </c>
      <c r="AF120" s="2" t="s">
        <v>133</v>
      </c>
      <c r="AG120" s="2"/>
      <c r="AH120" s="2"/>
    </row>
    <row r="121" spans="4:35" ht="20.100000000000001" customHeight="1" x14ac:dyDescent="0.25">
      <c r="D121" s="52" t="str">
        <f>'Input - Pasture Beef'!D84</f>
        <v>Autumn</v>
      </c>
      <c r="E121" s="52">
        <f>'Input - Pasture Beef'!E84</f>
        <v>0.6</v>
      </c>
      <c r="F121" s="52">
        <f>'Input - Pasture Beef'!F84</f>
        <v>0</v>
      </c>
      <c r="G121" s="52">
        <f>'Input - Pasture Beef'!G84</f>
        <v>0.6</v>
      </c>
      <c r="H121" s="52">
        <f>'Input - Pasture Beef'!H84</f>
        <v>0.22</v>
      </c>
      <c r="I121" s="52">
        <f>'Input - Pasture Beef'!I84</f>
        <v>-0.55000000000000004</v>
      </c>
      <c r="J121" s="52">
        <f>'Input - Pasture Beef'!J84</f>
        <v>-0.55000000000000004</v>
      </c>
      <c r="K121" s="52">
        <f>'Input - Pasture Beef'!K84</f>
        <v>0.6</v>
      </c>
      <c r="L121" s="52">
        <f>'Input - Pasture Beef'!L84</f>
        <v>0</v>
      </c>
      <c r="M121" s="52">
        <f>'Input - Pasture Beef'!M84</f>
        <v>0</v>
      </c>
      <c r="N121" s="52">
        <f>'Input - Pasture Beef'!N84</f>
        <v>0</v>
      </c>
      <c r="O121" s="2" t="s">
        <v>132</v>
      </c>
      <c r="U121" s="52" t="str">
        <f>TEXT(EDATE('Input - Site'!$E$12,1), "mmmm yyyy")</f>
        <v>February 2024</v>
      </c>
      <c r="V121" s="52">
        <f>'Input - Pasture Beef'!E89</f>
        <v>0.44</v>
      </c>
      <c r="W121" s="52">
        <f>'Input - Pasture Beef'!F89</f>
        <v>-0.22</v>
      </c>
      <c r="X121" s="52">
        <f>'Input - Pasture Beef'!G89</f>
        <v>0.44</v>
      </c>
      <c r="Y121" s="52">
        <f>'Input - Pasture Beef'!H89</f>
        <v>0.33</v>
      </c>
      <c r="Z121" s="52">
        <f>'Input - Pasture Beef'!I89</f>
        <v>-0.22</v>
      </c>
      <c r="AA121" s="52">
        <f>'Input - Pasture Beef'!J89</f>
        <v>-0.22</v>
      </c>
      <c r="AB121" s="52">
        <f>'Input - Pasture Beef'!K89</f>
        <v>0.44</v>
      </c>
      <c r="AC121" s="52">
        <f>'Input - Pasture Beef'!L89</f>
        <v>-0.11</v>
      </c>
      <c r="AD121" s="52">
        <f>'Input - Pasture Beef'!M89</f>
        <v>-0.11</v>
      </c>
      <c r="AE121" s="52">
        <f>'Input - Pasture Beef'!N89</f>
        <v>-0.11</v>
      </c>
      <c r="AF121" s="2" t="s">
        <v>133</v>
      </c>
      <c r="AG121" s="2"/>
      <c r="AH121" s="2"/>
    </row>
    <row r="122" spans="4:35" ht="20.100000000000001" customHeight="1" x14ac:dyDescent="0.25">
      <c r="D122" s="52" t="str">
        <f>'Input - Pasture Beef'!D85</f>
        <v>Winter</v>
      </c>
      <c r="E122" s="52">
        <f>'Input - Pasture Beef'!E85</f>
        <v>0.99</v>
      </c>
      <c r="F122" s="52">
        <f>'Input - Pasture Beef'!F85</f>
        <v>0.22</v>
      </c>
      <c r="G122" s="52">
        <f>'Input - Pasture Beef'!G85</f>
        <v>0.77</v>
      </c>
      <c r="H122" s="52">
        <f>'Input - Pasture Beef'!H85</f>
        <v>0.11</v>
      </c>
      <c r="I122" s="52">
        <f>'Input - Pasture Beef'!I85</f>
        <v>0.11</v>
      </c>
      <c r="J122" s="52">
        <f>'Input - Pasture Beef'!J85</f>
        <v>0.11</v>
      </c>
      <c r="K122" s="52">
        <f>'Input - Pasture Beef'!K85</f>
        <v>0.77</v>
      </c>
      <c r="L122" s="52">
        <f>'Input - Pasture Beef'!L85</f>
        <v>0.44</v>
      </c>
      <c r="M122" s="52">
        <f>'Input - Pasture Beef'!M85</f>
        <v>0.44</v>
      </c>
      <c r="N122" s="52">
        <f>'Input - Pasture Beef'!N85</f>
        <v>0.44</v>
      </c>
      <c r="O122" s="2" t="s">
        <v>132</v>
      </c>
      <c r="U122" s="52" t="str">
        <f>TEXT(EDATE('Input - Site'!$E$12,2), "mmmm yyyy")</f>
        <v>March 2024</v>
      </c>
      <c r="V122" s="52">
        <f>'Input - Pasture Beef'!E90</f>
        <v>0.6</v>
      </c>
      <c r="W122" s="52">
        <f>'Input - Pasture Beef'!F90</f>
        <v>0</v>
      </c>
      <c r="X122" s="52">
        <f>'Input - Pasture Beef'!G90</f>
        <v>0.6</v>
      </c>
      <c r="Y122" s="52">
        <f>'Input - Pasture Beef'!H90</f>
        <v>0.22</v>
      </c>
      <c r="Z122" s="52">
        <f>'Input - Pasture Beef'!I90</f>
        <v>-0.55000000000000004</v>
      </c>
      <c r="AA122" s="52">
        <f>'Input - Pasture Beef'!J90</f>
        <v>-0.55000000000000004</v>
      </c>
      <c r="AB122" s="52">
        <f>'Input - Pasture Beef'!K90</f>
        <v>0.6</v>
      </c>
      <c r="AC122" s="52">
        <f>'Input - Pasture Beef'!L90</f>
        <v>0</v>
      </c>
      <c r="AD122" s="52">
        <f>'Input - Pasture Beef'!M90</f>
        <v>0</v>
      </c>
      <c r="AE122" s="52">
        <f>'Input - Pasture Beef'!N90</f>
        <v>0</v>
      </c>
      <c r="AF122" s="2" t="s">
        <v>133</v>
      </c>
      <c r="AG122" s="2"/>
      <c r="AH122" s="2"/>
    </row>
    <row r="123" spans="4:35" ht="20.100000000000001" customHeight="1" x14ac:dyDescent="0.25">
      <c r="U123" s="52" t="str">
        <f>TEXT(EDATE('Input - Site'!$E$12,3), "mmmm yyyy")</f>
        <v>April 2024</v>
      </c>
      <c r="V123" s="52">
        <f>'Input - Pasture Beef'!E91</f>
        <v>0.6</v>
      </c>
      <c r="W123" s="52">
        <f>'Input - Pasture Beef'!F91</f>
        <v>0</v>
      </c>
      <c r="X123" s="52">
        <f>'Input - Pasture Beef'!G91</f>
        <v>0.6</v>
      </c>
      <c r="Y123" s="52">
        <f>'Input - Pasture Beef'!H91</f>
        <v>0.22</v>
      </c>
      <c r="Z123" s="52">
        <f>'Input - Pasture Beef'!I91</f>
        <v>-0.55000000000000004</v>
      </c>
      <c r="AA123" s="52">
        <f>'Input - Pasture Beef'!J91</f>
        <v>-0.55000000000000004</v>
      </c>
      <c r="AB123" s="52">
        <f>'Input - Pasture Beef'!K91</f>
        <v>0.6</v>
      </c>
      <c r="AC123" s="52">
        <f>'Input - Pasture Beef'!L91</f>
        <v>0</v>
      </c>
      <c r="AD123" s="52">
        <f>'Input - Pasture Beef'!M91</f>
        <v>0</v>
      </c>
      <c r="AE123" s="52">
        <f>'Input - Pasture Beef'!N91</f>
        <v>0</v>
      </c>
      <c r="AF123" s="2" t="s">
        <v>133</v>
      </c>
      <c r="AG123" s="2"/>
      <c r="AH123" s="2"/>
    </row>
    <row r="124" spans="4:35" ht="20.100000000000001" customHeight="1" x14ac:dyDescent="0.25">
      <c r="D124" s="99" t="s">
        <v>294</v>
      </c>
      <c r="U124" s="52" t="str">
        <f>TEXT(EDATE('Input - Site'!$E$12,4), "mmmm yyyy")</f>
        <v>May 2024</v>
      </c>
      <c r="V124" s="52">
        <f>'Input - Pasture Beef'!E92</f>
        <v>0.6</v>
      </c>
      <c r="W124" s="52">
        <f>'Input - Pasture Beef'!F92</f>
        <v>0</v>
      </c>
      <c r="X124" s="52">
        <f>'Input - Pasture Beef'!G92</f>
        <v>0.6</v>
      </c>
      <c r="Y124" s="52">
        <f>'Input - Pasture Beef'!H92</f>
        <v>0.22</v>
      </c>
      <c r="Z124" s="52">
        <f>'Input - Pasture Beef'!I92</f>
        <v>-0.55000000000000004</v>
      </c>
      <c r="AA124" s="52">
        <f>'Input - Pasture Beef'!J92</f>
        <v>-0.55000000000000004</v>
      </c>
      <c r="AB124" s="52">
        <f>'Input - Pasture Beef'!K92</f>
        <v>0.6</v>
      </c>
      <c r="AC124" s="52">
        <f>'Input - Pasture Beef'!L92</f>
        <v>0</v>
      </c>
      <c r="AD124" s="52">
        <f>'Input - Pasture Beef'!M92</f>
        <v>0</v>
      </c>
      <c r="AE124" s="52">
        <f>'Input - Pasture Beef'!N92</f>
        <v>0</v>
      </c>
      <c r="AF124" s="2" t="s">
        <v>133</v>
      </c>
      <c r="AG124" s="2"/>
      <c r="AH124" s="2"/>
    </row>
    <row r="125" spans="4:35" ht="20.100000000000001" customHeight="1" x14ac:dyDescent="0.25">
      <c r="D125" s="98" t="s">
        <v>295</v>
      </c>
      <c r="U125" s="52" t="str">
        <f>TEXT(EDATE('Input - Site'!$E$12,5), "mmmm yyyy")</f>
        <v>June 2024</v>
      </c>
      <c r="V125" s="52">
        <f>'Input - Pasture Beef'!E93</f>
        <v>0.99</v>
      </c>
      <c r="W125" s="52">
        <f>'Input - Pasture Beef'!F93</f>
        <v>0.22</v>
      </c>
      <c r="X125" s="52">
        <f>'Input - Pasture Beef'!G93</f>
        <v>0.77</v>
      </c>
      <c r="Y125" s="52">
        <f>'Input - Pasture Beef'!H93</f>
        <v>0.11</v>
      </c>
      <c r="Z125" s="52">
        <f>'Input - Pasture Beef'!I93</f>
        <v>0.11</v>
      </c>
      <c r="AA125" s="52">
        <f>'Input - Pasture Beef'!J93</f>
        <v>0.11</v>
      </c>
      <c r="AB125" s="52">
        <f>'Input - Pasture Beef'!K93</f>
        <v>0.77</v>
      </c>
      <c r="AC125" s="52">
        <f>'Input - Pasture Beef'!L93</f>
        <v>0.44</v>
      </c>
      <c r="AD125" s="52">
        <f>'Input - Pasture Beef'!M93</f>
        <v>0.44</v>
      </c>
      <c r="AE125" s="52">
        <f>'Input - Pasture Beef'!N93</f>
        <v>0.44</v>
      </c>
      <c r="AF125" s="2" t="s">
        <v>133</v>
      </c>
      <c r="AG125" s="2"/>
      <c r="AH125" s="2"/>
    </row>
    <row r="126" spans="4:35" ht="20.100000000000001" customHeight="1" x14ac:dyDescent="0.25">
      <c r="D126" s="51" t="s">
        <v>183</v>
      </c>
      <c r="E126" s="51" t="s">
        <v>130</v>
      </c>
      <c r="F126" s="51" t="s">
        <v>129</v>
      </c>
      <c r="G126" s="51" t="s">
        <v>164</v>
      </c>
      <c r="H126" s="51" t="s">
        <v>165</v>
      </c>
      <c r="I126" s="51" t="s">
        <v>166</v>
      </c>
      <c r="J126" s="51" t="s">
        <v>167</v>
      </c>
      <c r="K126" s="51" t="s">
        <v>168</v>
      </c>
      <c r="L126" s="51" t="s">
        <v>169</v>
      </c>
      <c r="M126" s="51" t="s">
        <v>170</v>
      </c>
      <c r="N126" s="51" t="s">
        <v>171</v>
      </c>
      <c r="U126" s="52" t="str">
        <f>TEXT(EDATE('Input - Site'!$E$12,6), "mmmm yyyy")</f>
        <v>July 2024</v>
      </c>
      <c r="V126" s="52">
        <f>'Input - Pasture Beef'!E94</f>
        <v>0.99</v>
      </c>
      <c r="W126" s="52">
        <f>'Input - Pasture Beef'!F94</f>
        <v>0.22</v>
      </c>
      <c r="X126" s="52">
        <f>'Input - Pasture Beef'!G94</f>
        <v>0.77</v>
      </c>
      <c r="Y126" s="52">
        <f>'Input - Pasture Beef'!H94</f>
        <v>0.11</v>
      </c>
      <c r="Z126" s="52">
        <f>'Input - Pasture Beef'!I94</f>
        <v>0.11</v>
      </c>
      <c r="AA126" s="52">
        <f>'Input - Pasture Beef'!J94</f>
        <v>0.11</v>
      </c>
      <c r="AB126" s="52">
        <f>'Input - Pasture Beef'!K94</f>
        <v>0.77</v>
      </c>
      <c r="AC126" s="52">
        <f>'Input - Pasture Beef'!L94</f>
        <v>0.44</v>
      </c>
      <c r="AD126" s="52">
        <f>'Input - Pasture Beef'!M94</f>
        <v>0.44</v>
      </c>
      <c r="AE126" s="52">
        <f>'Input - Pasture Beef'!N94</f>
        <v>0.44</v>
      </c>
      <c r="AF126" s="2" t="s">
        <v>133</v>
      </c>
      <c r="AG126" s="2"/>
      <c r="AH126" s="2"/>
    </row>
    <row r="127" spans="4:35" ht="20.100000000000001" customHeight="1" x14ac:dyDescent="0.25">
      <c r="D127" s="52" t="s">
        <v>172</v>
      </c>
      <c r="E127" s="52">
        <f>(((0.032 * G95) / 6.38) + (((0.212 - 0.008 * (E62 - 2) - ((0.14 - 0.008 * (E62 - 2)) / (1 + EXP(-6 * (E33 - 0.4))))) * (E119 * 0.92)) / 6.25))</f>
        <v>3.2631583658999173E-2</v>
      </c>
      <c r="F127" s="52">
        <f>(((0.032 * H95) / 6.38) + (((0.212 - 0.008 * (F62 - 2) - ((0.14 - 0.008 * (F62 - 2)) / (1 + EXP(-6 * (F33 - 0.4))))) * (F119 * 0.92)) / 6.25))</f>
        <v>1.2159206080141413E-2</v>
      </c>
      <c r="G127" s="52">
        <f>(((0.032 * I95) / 6.38) + (((0.212 - 0.008 * (G62 - 2) - ((0.14 - 0.008 * (G62 - 2)) / (1 + EXP(-6 * (G33 - 0.4))))) * (G119 * 0.92)) / 6.25))</f>
        <v>2.2961722562736007E-2</v>
      </c>
      <c r="H127" s="52">
        <f>(((0.032 * J95) / 6.38) + (((0.212 - 0.008 * (H62 - 2) - ((0.14 - 0.008 * (H62 - 2)) / (1 + EXP(-6 * (H33 - 0.4))))) * (H119 * 0.92)) / 6.25))</f>
        <v>2.6678723656787657E-2</v>
      </c>
      <c r="I127" s="52">
        <f>(((0.032 * K95) / 6.38) + (((0.212 - 0.008 * (I62 - 2) - ((0.14 - 0.008 * (I62 - 2)) / (1 + EXP(-6 * (I33 - 0.4))))) * (I119 * 0.92)) / 6.25))</f>
        <v>1.7401604737232124E-2</v>
      </c>
      <c r="J127" s="52">
        <f>(((0.032 * L95) / 6.38) + (((0.212 - 0.008 * (J62 - 2) - ((0.14 - 0.008 * (J62 - 2)) / (1 + EXP(-6 * (J33 - 0.4))))) * (J119 * 0.92)) / 6.25))</f>
        <v>1.7401604737232124E-2</v>
      </c>
      <c r="K127" s="52">
        <f>(((0.032 * M95) / 6.38) + (((0.212 - 0.008 * (K62 - 2) - ((0.14 - 0.008 * (K62 - 2)) / (1 + EXP(-6 * (K33 - 0.4))))) * (K119 * 0.92)) / 6.25))</f>
        <v>2.7711640554981157E-2</v>
      </c>
      <c r="L127" s="52">
        <f>(((0.032 * N95) / 6.38) + (((0.212 - 0.008 * (L62 - 2) - ((0.14 - 0.008 * (L62 - 2)) / (1 + EXP(-6 * (L33 - 0.4))))) * (L119 * 0.92)) / 6.25))</f>
        <v>1.4565147934229335E-2</v>
      </c>
      <c r="M127" s="52">
        <f>(((0.032 * O95) / 6.38) + (((0.212 - 0.008 * (M62 - 2) - ((0.14 - 0.008 * (M62 - 2)) / (1 + EXP(-6 * (M33 - 0.4))))) * (M119 * 0.92)) / 6.25))</f>
        <v>1.4565147934229335E-2</v>
      </c>
      <c r="N127" s="52">
        <f>(((0.032 * P95) / 6.38) + (((0.212 - 0.008 * (N62 - 2) - ((0.14 - 0.008 * (N62 - 2)) / (1 + EXP(-6 * (N33 - 0.4))))) * (N119 * 0.92)) / 6.25))</f>
        <v>1.4565147934229335E-2</v>
      </c>
      <c r="O127" s="2" t="str">
        <f>$E$109</f>
        <v>kg N/head/day</v>
      </c>
      <c r="U127" s="52" t="str">
        <f>TEXT(EDATE('Input - Site'!$E$12,7), "mmmm yyyy")</f>
        <v>August 2024</v>
      </c>
      <c r="V127" s="52">
        <f>'Input - Pasture Beef'!E95</f>
        <v>0.99</v>
      </c>
      <c r="W127" s="52">
        <f>'Input - Pasture Beef'!F95</f>
        <v>0.22</v>
      </c>
      <c r="X127" s="52">
        <f>'Input - Pasture Beef'!G95</f>
        <v>0.77</v>
      </c>
      <c r="Y127" s="52">
        <f>'Input - Pasture Beef'!H95</f>
        <v>0.11</v>
      </c>
      <c r="Z127" s="52">
        <f>'Input - Pasture Beef'!I95</f>
        <v>0.11</v>
      </c>
      <c r="AA127" s="52">
        <f>'Input - Pasture Beef'!J95</f>
        <v>0.11</v>
      </c>
      <c r="AB127" s="52">
        <f>'Input - Pasture Beef'!K95</f>
        <v>0.77</v>
      </c>
      <c r="AC127" s="52">
        <f>'Input - Pasture Beef'!L95</f>
        <v>0.44</v>
      </c>
      <c r="AD127" s="52">
        <f>'Input - Pasture Beef'!M95</f>
        <v>0.44</v>
      </c>
      <c r="AE127" s="52">
        <f>'Input - Pasture Beef'!N95</f>
        <v>0.44</v>
      </c>
      <c r="AF127" s="2" t="s">
        <v>133</v>
      </c>
      <c r="AG127" s="2"/>
      <c r="AH127" s="2"/>
    </row>
    <row r="128" spans="4:35" ht="20.100000000000001" customHeight="1" x14ac:dyDescent="0.25">
      <c r="D128" s="52" t="s">
        <v>173</v>
      </c>
      <c r="E128" s="52">
        <f>(((0.032 * G96) / 6.38) + (((0.212 - 0.008 * (E63 - 2) - ((0.14 - 0.008 * (E63 - 2)) / (1 + EXP(-6 * (E34 - 0.4))))) * (E120 * 0.92)) / 6.25))</f>
        <v>8.1246865273940476E-3</v>
      </c>
      <c r="F128" s="52">
        <f>(((0.032 * H96) / 6.38) + (((0.212 - 0.008 * (F63 - 2) - ((0.14 - 0.008 * (F63 - 2)) / (1 + EXP(-6 * (F34 - 0.4))))) * (F120 * 0.92)) / 6.25))</f>
        <v>-2.4500809510830074E-3</v>
      </c>
      <c r="G128" s="52">
        <f>(((0.032 * I96) / 6.38) + (((0.212 - 0.008 * (G63 - 2) - ((0.14 - 0.008 * (G63 - 2)) / (1 + EXP(-6 * (G34 - 0.4))))) * (G120 * 0.92)) / 6.25))</f>
        <v>7.4692204769955996E-3</v>
      </c>
      <c r="H128" s="52">
        <f>(((0.032 * J96) / 6.38) + (((0.212 - 0.008 * (H63 - 2) - ((0.14 - 0.008 * (H63 - 2)) / (1 + EXP(-6 * (H34 - 0.4))))) * (H120 * 0.92)) / 6.25))</f>
        <v>4.0347172063606223E-3</v>
      </c>
      <c r="I128" s="52">
        <f>(((0.032 * K96) / 6.38) + (((0.212 - 0.008 * (I63 - 2) - ((0.14 - 0.008 * (I63 - 2)) / (1 + EXP(-6 * (I34 - 0.4))))) * (I120 * 0.92)) / 6.25))</f>
        <v>-2.4892646670301153E-3</v>
      </c>
      <c r="J128" s="52">
        <f>(((0.032 * L96) / 6.38) + (((0.212 - 0.008 * (J63 - 2) - ((0.14 - 0.008 * (J63 - 2)) / (1 + EXP(-6 * (J34 - 0.4))))) * (J120 * 0.92)) / 6.25))</f>
        <v>-2.4892646670301153E-3</v>
      </c>
      <c r="K128" s="52">
        <f>(((0.032 * M96) / 6.38) + (((0.212 - 0.008 * (K63 - 2) - ((0.14 - 0.008 * (K63 - 2)) / (1 + EXP(-6 * (K34 - 0.4))))) * (K120 * 0.92)) / 6.25))</f>
        <v>7.842975342880058E-3</v>
      </c>
      <c r="L128" s="52">
        <f>(((0.032 * N96) / 6.38) + (((0.212 - 0.008 * (L63 - 2) - ((0.14 - 0.008 * (L63 - 2)) / (1 + EXP(-6 * (L34 - 0.4))))) * (L120 * 0.92)) / 6.25))</f>
        <v>-1.4855230625479237E-3</v>
      </c>
      <c r="M128" s="52">
        <f>(((0.032 * O96) / 6.38) + (((0.212 - 0.008 * (M63 - 2) - ((0.14 - 0.008 * (M63 - 2)) / (1 + EXP(-6 * (M34 - 0.4))))) * (M120 * 0.92)) / 6.25))</f>
        <v>-1.4855230625479237E-3</v>
      </c>
      <c r="N128" s="52">
        <f>(((0.032 * P96) / 6.38) + (((0.212 - 0.008 * (N63 - 2) - ((0.14 - 0.008 * (N63 - 2)) / (1 + EXP(-6 * (N34 - 0.4))))) * (N120 * 0.92)) / 6.25))</f>
        <v>-1.4855230625479237E-3</v>
      </c>
      <c r="O128" s="2" t="str">
        <f t="shared" ref="O128:O130" si="6">$E$109</f>
        <v>kg N/head/day</v>
      </c>
      <c r="U128" s="52" t="str">
        <f>TEXT(EDATE('Input - Site'!$E$12,8), "mmmm yyyy")</f>
        <v>September 2024</v>
      </c>
      <c r="V128" s="52">
        <f>'Input - Pasture Beef'!E96</f>
        <v>1.64</v>
      </c>
      <c r="W128" s="52">
        <f>'Input - Pasture Beef'!F96</f>
        <v>1.1000000000000001</v>
      </c>
      <c r="X128" s="52">
        <f>'Input - Pasture Beef'!G96</f>
        <v>1.21</v>
      </c>
      <c r="Y128" s="52">
        <f>'Input - Pasture Beef'!H96</f>
        <v>0.99</v>
      </c>
      <c r="Z128" s="52">
        <f>'Input - Pasture Beef'!I96</f>
        <v>0.66</v>
      </c>
      <c r="AA128" s="52">
        <f>'Input - Pasture Beef'!J96</f>
        <v>0.66</v>
      </c>
      <c r="AB128" s="52">
        <f>'Input - Pasture Beef'!K96</f>
        <v>1.42</v>
      </c>
      <c r="AC128" s="52">
        <f>'Input - Pasture Beef'!L96</f>
        <v>1.1000000000000001</v>
      </c>
      <c r="AD128" s="52">
        <f>'Input - Pasture Beef'!M96</f>
        <v>1.1000000000000001</v>
      </c>
      <c r="AE128" s="52">
        <f>'Input - Pasture Beef'!N96</f>
        <v>1.1000000000000001</v>
      </c>
      <c r="AF128" s="2" t="s">
        <v>133</v>
      </c>
      <c r="AG128" s="2"/>
      <c r="AH128" s="2"/>
    </row>
    <row r="129" spans="3:34" ht="20.100000000000001" customHeight="1" x14ac:dyDescent="0.25">
      <c r="D129" s="52" t="s">
        <v>174</v>
      </c>
      <c r="E129" s="52">
        <f>(((0.032 * G97) / 6.38) + (((0.212 - 0.008 * (E64 - 2) - ((0.14 - 0.008 * (E64 - 2)) / (1 + EXP(-6 * (E35 - 0.4))))) * (E121 * 0.92)) / 6.25))</f>
        <v>1.7126010126251881E-2</v>
      </c>
      <c r="F129" s="52">
        <f>(((0.032 * H97) / 6.38) + (((0.212 - 0.008 * (F64 - 2) - ((0.14 - 0.008 * (F64 - 2)) / (1 + EXP(-6 * (F35 - 0.4))))) * (F121 * 0.92)) / 6.25))</f>
        <v>0</v>
      </c>
      <c r="G129" s="52">
        <f>(((0.032 * I97) / 6.38) + (((0.212 - 0.008 * (G64 - 2) - ((0.14 - 0.008 * (G64 - 2)) / (1 + EXP(-6 * (G35 - 0.4))))) * (G121 * 0.92)) / 6.25))</f>
        <v>1.6946444473002843E-2</v>
      </c>
      <c r="H129" s="52">
        <f>(((0.032 * J97) / 6.38) + (((0.212 - 0.008 * (H64 - 2) - ((0.14 - 0.008 * (H64 - 2)) / (1 + EXP(-6 * (H35 - 0.4))))) * (H121 * 0.92)) / 6.25))</f>
        <v>3.53223904927357E-3</v>
      </c>
      <c r="I129" s="52">
        <f>(((0.032 * K97) / 6.38) + (((0.212 - 0.008 * (I64 - 2) - ((0.14 - 0.008 * (I64 - 2)) / (1 + EXP(-6 * (I35 - 0.4))))) * (I121 * 0.92)) / 6.25))</f>
        <v>-6.4971680016475087E-3</v>
      </c>
      <c r="J129" s="52">
        <f>(((0.032 * L97) / 6.38) + (((0.212 - 0.008 * (J64 - 2) - ((0.14 - 0.008 * (J64 - 2)) / (1 + EXP(-6 * (J35 - 0.4))))) * (J121 * 0.92)) / 6.25))</f>
        <v>-6.4971680016475087E-3</v>
      </c>
      <c r="K129" s="52">
        <f>(((0.032 * M97) / 6.38) + (((0.212 - 0.008 * (K64 - 2) - ((0.14 - 0.008 * (K64 - 2)) / (1 + EXP(-6 * (K35 - 0.4))))) * (K121 * 0.92)) / 6.25))</f>
        <v>1.6885009696797144E-2</v>
      </c>
      <c r="L129" s="52">
        <f>(((0.032 * N97) / 6.38) + (((0.212 - 0.008 * (L64 - 2) - ((0.14 - 0.008 * (L64 - 2)) / (1 + EXP(-6 * (L35 - 0.4))))) * (L121 * 0.92)) / 6.25))</f>
        <v>0</v>
      </c>
      <c r="M129" s="52">
        <f>(((0.032 * O97) / 6.38) + (((0.212 - 0.008 * (M64 - 2) - ((0.14 - 0.008 * (M64 - 2)) / (1 + EXP(-6 * (M35 - 0.4))))) * (M121 * 0.92)) / 6.25))</f>
        <v>0</v>
      </c>
      <c r="N129" s="52">
        <f>(((0.032 * P97) / 6.38) + (((0.212 - 0.008 * (N64 - 2) - ((0.14 - 0.008 * (N64 - 2)) / (1 + EXP(-6 * (N35 - 0.4))))) * (N121 * 0.92)) / 6.25))</f>
        <v>0</v>
      </c>
      <c r="O129" s="2" t="str">
        <f t="shared" si="6"/>
        <v>kg N/head/day</v>
      </c>
      <c r="U129" s="52" t="str">
        <f>TEXT(EDATE('Input - Site'!$E$12,9), "mmmm yyyy")</f>
        <v>October 2024</v>
      </c>
      <c r="V129" s="52">
        <f>'Input - Pasture Beef'!E97</f>
        <v>1.64</v>
      </c>
      <c r="W129" s="52">
        <f>'Input - Pasture Beef'!F97</f>
        <v>1.1000000000000001</v>
      </c>
      <c r="X129" s="52">
        <f>'Input - Pasture Beef'!G97</f>
        <v>1.21</v>
      </c>
      <c r="Y129" s="52">
        <f>'Input - Pasture Beef'!H97</f>
        <v>0.99</v>
      </c>
      <c r="Z129" s="52">
        <f>'Input - Pasture Beef'!I97</f>
        <v>0.66</v>
      </c>
      <c r="AA129" s="52">
        <f>'Input - Pasture Beef'!J97</f>
        <v>0.66</v>
      </c>
      <c r="AB129" s="52">
        <f>'Input - Pasture Beef'!K97</f>
        <v>1.42</v>
      </c>
      <c r="AC129" s="52">
        <f>'Input - Pasture Beef'!L97</f>
        <v>1.1000000000000001</v>
      </c>
      <c r="AD129" s="52">
        <f>'Input - Pasture Beef'!M97</f>
        <v>1.1000000000000001</v>
      </c>
      <c r="AE129" s="52">
        <f>'Input - Pasture Beef'!N97</f>
        <v>1.1000000000000001</v>
      </c>
      <c r="AF129" s="2" t="s">
        <v>133</v>
      </c>
      <c r="AG129" s="2"/>
      <c r="AH129" s="2"/>
    </row>
    <row r="130" spans="3:34" ht="20.100000000000001" customHeight="1" x14ac:dyDescent="0.25">
      <c r="D130" s="52" t="s">
        <v>175</v>
      </c>
      <c r="E130" s="52">
        <f>(((0.032 * G98) / 6.38) + (((0.212 - 0.008 * (E65 - 2) - ((0.14 - 0.008 * (E65 - 2)) / (1 + EXP(-6 * (E36 - 0.4))))) * (E122 * 0.92)) / 6.25))</f>
        <v>2.5624664446187655E-2</v>
      </c>
      <c r="F130" s="52">
        <f>(((0.032 * H98) / 6.38) + (((0.212 - 0.008 * (F65 - 2) - ((0.14 - 0.008 * (F65 - 2)) / (1 + EXP(-6 * (F36 - 0.4))))) * (F122 * 0.92)) / 6.25))</f>
        <v>2.5468999349659745E-3</v>
      </c>
      <c r="G130" s="52">
        <f>(((0.032 * I98) / 6.38) + (((0.212 - 0.008 * (G65 - 2) - ((0.14 - 0.008 * (G65 - 2)) / (1 + EXP(-6 * (G36 - 0.4))))) * (G122 * 0.92)) / 6.25))</f>
        <v>1.942651050577586E-2</v>
      </c>
      <c r="H130" s="52">
        <f>(((0.032 * J98) / 6.38) + (((0.212 - 0.008 * (H65 - 2) - ((0.14 - 0.008 * (H65 - 2)) / (1 + EXP(-6 * (H36 - 0.4))))) * (H122 * 0.92)) / 6.25))</f>
        <v>2.2779013762515499E-2</v>
      </c>
      <c r="I130" s="52">
        <f>(((0.032 * K98) / 6.38) + (((0.212 - 0.008 * (I65 - 2) - ((0.14 - 0.008 * (I65 - 2)) / (1 + EXP(-6 * (I36 - 0.4))))) * (I122 * 0.92)) / 6.25))</f>
        <v>1.6331394322564873E-2</v>
      </c>
      <c r="J130" s="52">
        <f>(((0.032 * L98) / 6.38) + (((0.212 - 0.008 * (J65 - 2) - ((0.14 - 0.008 * (J65 - 2)) / (1 + EXP(-6 * (J36 - 0.4))))) * (J122 * 0.92)) / 6.25))</f>
        <v>1.6331394322564873E-2</v>
      </c>
      <c r="K130" s="52">
        <f>(((0.032 * M98) / 6.38) + (((0.212 - 0.008 * (K65 - 2) - ((0.14 - 0.008 * (K65 - 2)) / (1 + EXP(-6 * (K36 - 0.4))))) * (K122 * 0.92)) / 6.25))</f>
        <v>1.9754140848253471E-2</v>
      </c>
      <c r="L130" s="52">
        <f>(((0.032 * N98) / 6.38) + (((0.212 - 0.008 * (L65 - 2) - ((0.14 - 0.008 * (L65 - 2)) / (1 + EXP(-6 * (L36 - 0.4))))) * (L122 * 0.92)) / 6.25))</f>
        <v>7.4705417776927329E-3</v>
      </c>
      <c r="M130" s="52">
        <f>(((0.032 * O98) / 6.38) + (((0.212 - 0.008 * (M65 - 2) - ((0.14 - 0.008 * (M65 - 2)) / (1 + EXP(-6 * (M36 - 0.4))))) * (M122 * 0.92)) / 6.25))</f>
        <v>7.4705417776927329E-3</v>
      </c>
      <c r="N130" s="52">
        <f>(((0.032 * P98) / 6.38) + (((0.212 - 0.008 * (N65 - 2) - ((0.14 - 0.008 * (N65 - 2)) / (1 + EXP(-6 * (N36 - 0.4))))) * (N122 * 0.92)) / 6.25))</f>
        <v>7.4705417776927329E-3</v>
      </c>
      <c r="O130" s="2" t="str">
        <f t="shared" si="6"/>
        <v>kg N/head/day</v>
      </c>
      <c r="U130" s="52" t="str">
        <f>TEXT(EDATE('Input - Site'!$E$12,10), "mmmm yyyy")</f>
        <v>November 2024</v>
      </c>
      <c r="V130" s="52">
        <f>'Input - Pasture Beef'!E98</f>
        <v>1.64</v>
      </c>
      <c r="W130" s="52">
        <f>'Input - Pasture Beef'!F98</f>
        <v>1.1000000000000001</v>
      </c>
      <c r="X130" s="52">
        <f>'Input - Pasture Beef'!G98</f>
        <v>1.21</v>
      </c>
      <c r="Y130" s="52">
        <f>'Input - Pasture Beef'!H98</f>
        <v>0.99</v>
      </c>
      <c r="Z130" s="52">
        <f>'Input - Pasture Beef'!I98</f>
        <v>0.66</v>
      </c>
      <c r="AA130" s="52">
        <f>'Input - Pasture Beef'!J98</f>
        <v>0.66</v>
      </c>
      <c r="AB130" s="52">
        <f>'Input - Pasture Beef'!K98</f>
        <v>1.42</v>
      </c>
      <c r="AC130" s="52">
        <f>'Input - Pasture Beef'!L98</f>
        <v>1.1000000000000001</v>
      </c>
      <c r="AD130" s="52">
        <f>'Input - Pasture Beef'!M98</f>
        <v>1.1000000000000001</v>
      </c>
      <c r="AE130" s="52">
        <f>'Input - Pasture Beef'!N98</f>
        <v>1.1000000000000001</v>
      </c>
      <c r="AF130" s="2" t="s">
        <v>133</v>
      </c>
      <c r="AG130" s="2"/>
      <c r="AH130" s="2"/>
    </row>
    <row r="131" spans="3:34" ht="20.100000000000001" customHeight="1" x14ac:dyDescent="0.25">
      <c r="U131" s="52" t="str">
        <f>TEXT(EDATE('Input - Site'!$E$12,11), "mmmm yyyy")</f>
        <v>December 2024</v>
      </c>
      <c r="V131" s="52">
        <f>'Input - Pasture Beef'!E99</f>
        <v>0.44</v>
      </c>
      <c r="W131" s="52">
        <f>'Input - Pasture Beef'!F99</f>
        <v>-0.22</v>
      </c>
      <c r="X131" s="52">
        <f>'Input - Pasture Beef'!G99</f>
        <v>0.44</v>
      </c>
      <c r="Y131" s="52">
        <f>'Input - Pasture Beef'!H99</f>
        <v>0.33</v>
      </c>
      <c r="Z131" s="52">
        <f>'Input - Pasture Beef'!I99</f>
        <v>-0.22</v>
      </c>
      <c r="AA131" s="52">
        <f>'Input - Pasture Beef'!J99</f>
        <v>-0.22</v>
      </c>
      <c r="AB131" s="52">
        <f>'Input - Pasture Beef'!K99</f>
        <v>0.44</v>
      </c>
      <c r="AC131" s="52">
        <f>'Input - Pasture Beef'!L99</f>
        <v>-0.11</v>
      </c>
      <c r="AD131" s="52">
        <f>'Input - Pasture Beef'!M99</f>
        <v>-0.11</v>
      </c>
      <c r="AE131" s="52">
        <f>'Input - Pasture Beef'!N99</f>
        <v>-0.11</v>
      </c>
      <c r="AF131" s="2" t="s">
        <v>133</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9" t="s">
        <v>308</v>
      </c>
    </row>
    <row r="134" spans="3:34" ht="20.100000000000001" customHeight="1" x14ac:dyDescent="0.25">
      <c r="D134" s="6" t="s">
        <v>440</v>
      </c>
      <c r="U134" s="98" t="s">
        <v>309</v>
      </c>
    </row>
    <row r="135" spans="3:34" ht="20.100000000000001" customHeight="1" x14ac:dyDescent="0.25">
      <c r="D135" s="5" t="s">
        <v>441</v>
      </c>
      <c r="U135" s="51" t="s">
        <v>131</v>
      </c>
      <c r="V135" s="51" t="s">
        <v>130</v>
      </c>
      <c r="W135" s="51" t="s">
        <v>129</v>
      </c>
      <c r="X135" s="51" t="s">
        <v>164</v>
      </c>
      <c r="Y135" s="51" t="s">
        <v>165</v>
      </c>
      <c r="Z135" s="51" t="s">
        <v>166</v>
      </c>
      <c r="AA135" s="51" t="s">
        <v>167</v>
      </c>
      <c r="AB135" s="51" t="s">
        <v>168</v>
      </c>
      <c r="AC135" s="51" t="s">
        <v>169</v>
      </c>
      <c r="AD135" s="51" t="s">
        <v>170</v>
      </c>
      <c r="AE135" s="51" t="s">
        <v>171</v>
      </c>
    </row>
    <row r="136" spans="3:34" ht="20.100000000000001" customHeight="1" x14ac:dyDescent="0.25">
      <c r="D136" s="13"/>
      <c r="E136" s="13"/>
      <c r="U136" s="52" t="str">
        <f>TEXT('Input - Site'!$E$12, "mmmm yyyy")</f>
        <v>January 2024</v>
      </c>
      <c r="V136" s="52">
        <f>(((0.032 * X100) / 6.38) + (((0.212 - 0.008 * (V72 - 2) - ((0.14 - 0.008 * (V72 - 2)) / (1 + EXP(-6 * (V36 - 0.4))))) * (V120 * 0.92)) / 6.25))</f>
        <v>8.1246865273940476E-3</v>
      </c>
      <c r="W136" s="52">
        <f>(((0.032 * Y100) / 6.38) + (((0.212 - 0.008 * (W72 - 2) - ((0.14 - 0.008 * (W72 - 2)) / (1 + EXP(-6 * (W36 - 0.4))))) * (W120 * 0.92)) / 6.25))</f>
        <v>-2.4500809510830074E-3</v>
      </c>
      <c r="X136" s="52">
        <f>(((0.032 * Z100) / 6.38) + (((0.212 - 0.008 * (X72 - 2) - ((0.14 - 0.008 * (X72 - 2)) / (1 + EXP(-6 * (X36 - 0.4))))) * (X120 * 0.92)) / 6.25))</f>
        <v>7.4692204769955996E-3</v>
      </c>
      <c r="Y136" s="52">
        <f>(((0.032 * AA100) / 6.38) + (((0.212 - 0.008 * (Y72 - 2) - ((0.14 - 0.008 * (Y72 - 2)) / (1 + EXP(-6 * (Y36 - 0.4))))) * (Y120 * 0.92)) / 6.25))</f>
        <v>1.9080635764024231E-2</v>
      </c>
      <c r="Z136" s="52">
        <f>(((0.032 * AB100) / 6.38) + (((0.212 - 0.008 * (Z72 - 2) - ((0.14 - 0.008 * (Z72 - 2)) / (1 + EXP(-6 * (Z36 - 0.4))))) * (Z120 * 0.92)) / 6.25))</f>
        <v>1.2558041048697144E-2</v>
      </c>
      <c r="AA136" s="52">
        <f>(((0.032 * AC100) / 6.38) + (((0.212 - 0.008 * (AA72 - 2) - ((0.14 - 0.008 * (AA72 - 2)) / (1 + EXP(-6 * (AA36 - 0.4))))) * (AA120 * 0.92)) / 6.25))</f>
        <v>1.2558041048697144E-2</v>
      </c>
      <c r="AB136" s="52">
        <f>(((0.032 * AD100) / 6.38) + (((0.212 - 0.008 * (AB72 - 2) - ((0.14 - 0.008 * (AB72 - 2)) / (1 + EXP(-6 * (AB36 - 0.4))))) * (AB120 * 0.92)) / 6.25))</f>
        <v>7.842975342880058E-3</v>
      </c>
      <c r="AC136" s="52">
        <f>(((0.032 * AE100) / 6.38) + (((0.212 - 0.008 * (AC72 - 2) - ((0.14 - 0.008 * (AC72 - 2)) / (1 + EXP(-6 * (AC36 - 0.4))))) * (AC120 * 0.92)) / 6.25))</f>
        <v>-1.4855230625479237E-3</v>
      </c>
      <c r="AD136" s="52">
        <f>(((0.032 * AF100) / 6.38) + (((0.212 - 0.008 * (AD72 - 2) - ((0.14 - 0.008 * (AD72 - 2)) / (1 + EXP(-6 * (AD36 - 0.4))))) * (AD120 * 0.92)) / 6.25))</f>
        <v>-1.4855230625479237E-3</v>
      </c>
      <c r="AE136" s="52">
        <f>(((0.032 * AG100) / 6.38) + (((0.212 - 0.008 * (AE72 - 2) - ((0.14 - 0.008 * (AE72 - 2)) / (1 + EXP(-6 * (AE36 - 0.4))))) * (AE120 * 0.92)) / 6.25))</f>
        <v>-1.4855230625479237E-3</v>
      </c>
      <c r="AF136" s="2" t="str">
        <f t="shared" ref="AF136:AF147" si="7">$E$109</f>
        <v>kg N/head/day</v>
      </c>
      <c r="AG136" s="2"/>
      <c r="AH136" s="2"/>
    </row>
    <row r="137" spans="3:34" ht="20.100000000000001" customHeight="1" x14ac:dyDescent="0.25">
      <c r="U137" s="52" t="str">
        <f>TEXT(EDATE('Input - Site'!$E$12,1), "mmmm yyyy")</f>
        <v>February 2024</v>
      </c>
      <c r="V137" s="52">
        <f>(((0.032 * X101) / 6.38) + (((0.212 - 0.008 * (V73 - 2) - ((0.14 - 0.008 * (V73 - 2)) / (1 + EXP(-6 * (V37 - 0.4))))) * (V121 * 0.92)) / 6.25))</f>
        <v>8.1246865273940476E-3</v>
      </c>
      <c r="W137" s="52">
        <f>(((0.032 * Y101) / 6.38) + (((0.212 - 0.008 * (W73 - 2) - ((0.14 - 0.008 * (W73 - 2)) / (1 + EXP(-6 * (W37 - 0.4))))) * (W121 * 0.92)) / 6.25))</f>
        <v>-2.4500809510830074E-3</v>
      </c>
      <c r="X137" s="52">
        <f>(((0.032 * Z101) / 6.38) + (((0.212 - 0.008 * (X73 - 2) - ((0.14 - 0.008 * (X73 - 2)) / (1 + EXP(-6 * (X37 - 0.4))))) * (X121 * 0.92)) / 6.25))</f>
        <v>7.4692204769955996E-3</v>
      </c>
      <c r="Y137" s="52">
        <f>(((0.032 * AA101) / 6.38) + (((0.212 - 0.008 * (Y73 - 2) - ((0.14 - 0.008 * (Y73 - 2)) / (1 + EXP(-6 * (Y37 - 0.4))))) * (Y121 * 0.92)) / 6.25))</f>
        <v>4.0359782188292637E-3</v>
      </c>
      <c r="Z137" s="52">
        <f>(((0.032 * AB101) / 6.38) + (((0.212 - 0.008 * (Z73 - 2) - ((0.14 - 0.008 * (Z73 - 2)) / (1 + EXP(-6 * (Z37 - 0.4))))) * (Z121 * 0.92)) / 6.25))</f>
        <v>-2.4895889780627905E-3</v>
      </c>
      <c r="AA137" s="52">
        <f>(((0.032 * AC101) / 6.38) + (((0.212 - 0.008 * (AA73 - 2) - ((0.14 - 0.008 * (AA73 - 2)) / (1 + EXP(-6 * (AA37 - 0.4))))) * (AA121 * 0.92)) / 6.25))</f>
        <v>-2.4895889780627905E-3</v>
      </c>
      <c r="AB137" s="52">
        <f>(((0.032 * AD101) / 6.38) + (((0.212 - 0.008 * (AB73 - 2) - ((0.14 - 0.008 * (AB73 - 2)) / (1 + EXP(-6 * (AB37 - 0.4))))) * (AB121 * 0.92)) / 6.25))</f>
        <v>7.842975342880058E-3</v>
      </c>
      <c r="AC137" s="52">
        <f>(((0.032 * AE101) / 6.38) + (((0.212 - 0.008 * (AC73 - 2) - ((0.14 - 0.008 * (AC73 - 2)) / (1 + EXP(-6 * (AC37 - 0.4))))) * (AC121 * 0.92)) / 6.25))</f>
        <v>-1.4855230625479237E-3</v>
      </c>
      <c r="AD137" s="52">
        <f>(((0.032 * AF101) / 6.38) + (((0.212 - 0.008 * (AD73 - 2) - ((0.14 - 0.008 * (AD73 - 2)) / (1 + EXP(-6 * (AD37 - 0.4))))) * (AD121 * 0.92)) / 6.25))</f>
        <v>-1.4855230625479237E-3</v>
      </c>
      <c r="AE137" s="52">
        <f>(((0.032 * AG101) / 6.38) + (((0.212 - 0.008 * (AE73 - 2) - ((0.14 - 0.008 * (AE73 - 2)) / (1 + EXP(-6 * (AE37 - 0.4))))) * (AE121 * 0.92)) / 6.25))</f>
        <v>-1.4855230625479237E-3</v>
      </c>
      <c r="AF137" s="2" t="str">
        <f t="shared" si="7"/>
        <v>kg N/head/day</v>
      </c>
      <c r="AG137" s="2"/>
      <c r="AH137" s="2"/>
    </row>
    <row r="138" spans="3:34" ht="20.100000000000001" customHeight="1" x14ac:dyDescent="0.25">
      <c r="U138" s="52" t="str">
        <f>TEXT(EDATE('Input - Site'!$E$12,2), "mmmm yyyy")</f>
        <v>March 2024</v>
      </c>
      <c r="V138" s="52">
        <f>(((0.032 * X102) / 6.38) + (((0.212 - 0.008 * (V74 - 2) - ((0.14 - 0.008 * (V74 - 2)) / (1 + EXP(-6 * (V38 - 0.4))))) * (V122 * 0.92)) / 6.25))</f>
        <v>1.7126010126251881E-2</v>
      </c>
      <c r="W138" s="52">
        <f>(((0.032 * Y102) / 6.38) + (((0.212 - 0.008 * (W74 - 2) - ((0.14 - 0.008 * (W74 - 2)) / (1 + EXP(-6 * (W38 - 0.4))))) * (W122 * 0.92)) / 6.25))</f>
        <v>0</v>
      </c>
      <c r="X138" s="52">
        <f>(((0.032 * Z102) / 6.38) + (((0.212 - 0.008 * (X74 - 2) - ((0.14 - 0.008 * (X74 - 2)) / (1 + EXP(-6 * (X38 - 0.4))))) * (X122 * 0.92)) / 6.25))</f>
        <v>1.6946444473002843E-2</v>
      </c>
      <c r="Y138" s="52">
        <f>(((0.032 * AA102) / 6.38) + (((0.212 - 0.008 * (Y74 - 2) - ((0.14 - 0.008 * (Y74 - 2)) / (1 + EXP(-6 * (Y38 - 0.4))))) * (Y122 * 0.92)) / 6.25))</f>
        <v>3.5329291057988096E-3</v>
      </c>
      <c r="Z138" s="52">
        <f>(((0.032 * AB102) / 6.38) + (((0.212 - 0.008 * (Z74 - 2) - ((0.14 - 0.008 * (Z74 - 2)) / (1 + EXP(-6 * (Z38 - 0.4))))) * (Z122 * 0.92)) / 6.25))</f>
        <v>-6.4971680016475087E-3</v>
      </c>
      <c r="AA138" s="52">
        <f>(((0.032 * AC102) / 6.38) + (((0.212 - 0.008 * (AA74 - 2) - ((0.14 - 0.008 * (AA74 - 2)) / (1 + EXP(-6 * (AA38 - 0.4))))) * (AA122 * 0.92)) / 6.25))</f>
        <v>-6.4971680016475087E-3</v>
      </c>
      <c r="AB138" s="52">
        <f>(((0.032 * AD102) / 6.38) + (((0.212 - 0.008 * (AB74 - 2) - ((0.14 - 0.008 * (AB74 - 2)) / (1 + EXP(-6 * (AB38 - 0.4))))) * (AB122 * 0.92)) / 6.25))</f>
        <v>1.6885009696797144E-2</v>
      </c>
      <c r="AC138" s="52">
        <f>(((0.032 * AE102) / 6.38) + (((0.212 - 0.008 * (AC74 - 2) - ((0.14 - 0.008 * (AC74 - 2)) / (1 + EXP(-6 * (AC38 - 0.4))))) * (AC122 * 0.92)) / 6.25))</f>
        <v>0</v>
      </c>
      <c r="AD138" s="52">
        <f>(((0.032 * AF102) / 6.38) + (((0.212 - 0.008 * (AD74 - 2) - ((0.14 - 0.008 * (AD74 - 2)) / (1 + EXP(-6 * (AD38 - 0.4))))) * (AD122 * 0.92)) / 6.25))</f>
        <v>0</v>
      </c>
      <c r="AE138" s="52">
        <f>(((0.032 * AG102) / 6.38) + (((0.212 - 0.008 * (AE74 - 2) - ((0.14 - 0.008 * (AE74 - 2)) / (1 + EXP(-6 * (AE38 - 0.4))))) * (AE122 * 0.92)) / 6.25))</f>
        <v>0</v>
      </c>
      <c r="AF138" s="2" t="str">
        <f t="shared" si="7"/>
        <v>kg N/head/day</v>
      </c>
      <c r="AG138" s="2"/>
      <c r="AH138" s="2"/>
    </row>
    <row r="139" spans="3:34" ht="20.100000000000001" customHeight="1" x14ac:dyDescent="0.25">
      <c r="D139" s="53" t="s">
        <v>29</v>
      </c>
      <c r="E139" s="1" t="s">
        <v>442</v>
      </c>
      <c r="U139" s="52" t="str">
        <f>TEXT(EDATE('Input - Site'!$E$12,3), "mmmm yyyy")</f>
        <v>April 2024</v>
      </c>
      <c r="V139" s="52">
        <f>(((0.032 * X103) / 6.38) + (((0.212 - 0.008 * (V75 - 2) - ((0.14 - 0.008 * (V75 - 2)) / (1 + EXP(-6 * (V39 - 0.4))))) * (V123 * 0.92)) / 6.25))</f>
        <v>1.7126010126251881E-2</v>
      </c>
      <c r="W139" s="52">
        <f>(((0.032 * Y103) / 6.38) + (((0.212 - 0.008 * (W75 - 2) - ((0.14 - 0.008 * (W75 - 2)) / (1 + EXP(-6 * (W39 - 0.4))))) * (W123 * 0.92)) / 6.25))</f>
        <v>0</v>
      </c>
      <c r="X139" s="52">
        <f>(((0.032 * Z103) / 6.38) + (((0.212 - 0.008 * (X75 - 2) - ((0.14 - 0.008 * (X75 - 2)) / (1 + EXP(-6 * (X39 - 0.4))))) * (X123 * 0.92)) / 6.25))</f>
        <v>1.6946444473002843E-2</v>
      </c>
      <c r="Y139" s="52">
        <f>(((0.032 * AA103) / 6.38) + (((0.212 - 0.008 * (Y75 - 2) - ((0.14 - 0.008 * (Y75 - 2)) / (1 + EXP(-6 * (Y39 - 0.4))))) * (Y123 * 0.92)) / 6.25))</f>
        <v>3.5329291057988096E-3</v>
      </c>
      <c r="Z139" s="52">
        <f>(((0.032 * AB103) / 6.38) + (((0.212 - 0.008 * (Z75 - 2) - ((0.14 - 0.008 * (Z75 - 2)) / (1 + EXP(-6 * (Z39 - 0.4))))) * (Z123 * 0.92)) / 6.25))</f>
        <v>-6.4971680016475087E-3</v>
      </c>
      <c r="AA139" s="52">
        <f>(((0.032 * AC103) / 6.38) + (((0.212 - 0.008 * (AA75 - 2) - ((0.14 - 0.008 * (AA75 - 2)) / (1 + EXP(-6 * (AA39 - 0.4))))) * (AA123 * 0.92)) / 6.25))</f>
        <v>-6.4971680016475087E-3</v>
      </c>
      <c r="AB139" s="52">
        <f>(((0.032 * AD103) / 6.38) + (((0.212 - 0.008 * (AB75 - 2) - ((0.14 - 0.008 * (AB75 - 2)) / (1 + EXP(-6 * (AB39 - 0.4))))) * (AB123 * 0.92)) / 6.25))</f>
        <v>1.6885009696797144E-2</v>
      </c>
      <c r="AC139" s="52">
        <f>(((0.032 * AE103) / 6.38) + (((0.212 - 0.008 * (AC75 - 2) - ((0.14 - 0.008 * (AC75 - 2)) / (1 + EXP(-6 * (AC39 - 0.4))))) * (AC123 * 0.92)) / 6.25))</f>
        <v>0</v>
      </c>
      <c r="AD139" s="52">
        <f>(((0.032 * AF103) / 6.38) + (((0.212 - 0.008 * (AD75 - 2) - ((0.14 - 0.008 * (AD75 - 2)) / (1 + EXP(-6 * (AD39 - 0.4))))) * (AD123 * 0.92)) / 6.25))</f>
        <v>0</v>
      </c>
      <c r="AE139" s="52">
        <f>(((0.032 * AG103) / 6.38) + (((0.212 - 0.008 * (AE75 - 2) - ((0.14 - 0.008 * (AE75 - 2)) / (1 + EXP(-6 * (AE39 - 0.4))))) * (AE123 * 0.92)) / 6.25))</f>
        <v>0</v>
      </c>
      <c r="AF139" s="2" t="str">
        <f t="shared" si="7"/>
        <v>kg N/head/day</v>
      </c>
      <c r="AG139" s="2"/>
      <c r="AH139" s="2"/>
    </row>
    <row r="140" spans="3:34" ht="20.100000000000001" customHeight="1" x14ac:dyDescent="0.25">
      <c r="D140" s="53" t="s">
        <v>20</v>
      </c>
      <c r="E140" s="54" t="s">
        <v>439</v>
      </c>
      <c r="U140" s="52" t="str">
        <f>TEXT(EDATE('Input - Site'!$E$12,4), "mmmm yyyy")</f>
        <v>May 2024</v>
      </c>
      <c r="V140" s="52">
        <f>(((0.032 * X104) / 6.38) + (((0.212 - 0.008 * (V76 - 2) - ((0.14 - 0.008 * (V76 - 2)) / (1 + EXP(-6 * (V40 - 0.4))))) * (V124 * 0.92)) / 6.25))</f>
        <v>1.7126010126251881E-2</v>
      </c>
      <c r="W140" s="52">
        <f>(((0.032 * Y104) / 6.38) + (((0.212 - 0.008 * (W76 - 2) - ((0.14 - 0.008 * (W76 - 2)) / (1 + EXP(-6 * (W40 - 0.4))))) * (W124 * 0.92)) / 6.25))</f>
        <v>0</v>
      </c>
      <c r="X140" s="52">
        <f>(((0.032 * Z104) / 6.38) + (((0.212 - 0.008 * (X76 - 2) - ((0.14 - 0.008 * (X76 - 2)) / (1 + EXP(-6 * (X40 - 0.4))))) * (X124 * 0.92)) / 6.25))</f>
        <v>1.6946444473002843E-2</v>
      </c>
      <c r="Y140" s="52">
        <f>(((0.032 * AA104) / 6.38) + (((0.212 - 0.008 * (Y76 - 2) - ((0.14 - 0.008 * (Y76 - 2)) / (1 + EXP(-6 * (Y40 - 0.4))))) * (Y124 * 0.92)) / 6.25))</f>
        <v>3.5329291057988096E-3</v>
      </c>
      <c r="Z140" s="52">
        <f>(((0.032 * AB104) / 6.38) + (((0.212 - 0.008 * (Z76 - 2) - ((0.14 - 0.008 * (Z76 - 2)) / (1 + EXP(-6 * (Z40 - 0.4))))) * (Z124 * 0.92)) / 6.25))</f>
        <v>-6.4971680016475087E-3</v>
      </c>
      <c r="AA140" s="52">
        <f>(((0.032 * AC104) / 6.38) + (((0.212 - 0.008 * (AA76 - 2) - ((0.14 - 0.008 * (AA76 - 2)) / (1 + EXP(-6 * (AA40 - 0.4))))) * (AA124 * 0.92)) / 6.25))</f>
        <v>-6.4971680016475087E-3</v>
      </c>
      <c r="AB140" s="52">
        <f>(((0.032 * AD104) / 6.38) + (((0.212 - 0.008 * (AB76 - 2) - ((0.14 - 0.008 * (AB76 - 2)) / (1 + EXP(-6 * (AB40 - 0.4))))) * (AB124 * 0.92)) / 6.25))</f>
        <v>1.6885009696797144E-2</v>
      </c>
      <c r="AC140" s="52">
        <f>(((0.032 * AE104) / 6.38) + (((0.212 - 0.008 * (AC76 - 2) - ((0.14 - 0.008 * (AC76 - 2)) / (1 + EXP(-6 * (AC40 - 0.4))))) * (AC124 * 0.92)) / 6.25))</f>
        <v>0</v>
      </c>
      <c r="AD140" s="52">
        <f>(((0.032 * AF104) / 6.38) + (((0.212 - 0.008 * (AD76 - 2) - ((0.14 - 0.008 * (AD76 - 2)) / (1 + EXP(-6 * (AD40 - 0.4))))) * (AD124 * 0.92)) / 6.25))</f>
        <v>0</v>
      </c>
      <c r="AE140" s="52">
        <f>(((0.032 * AG104) / 6.38) + (((0.212 - 0.008 * (AE76 - 2) - ((0.14 - 0.008 * (AE76 - 2)) / (1 + EXP(-6 * (AE40 - 0.4))))) * (AE124 * 0.92)) / 6.25))</f>
        <v>0</v>
      </c>
      <c r="AF140" s="2" t="str">
        <f t="shared" si="7"/>
        <v>kg N/head/day</v>
      </c>
      <c r="AG140" s="2"/>
      <c r="AH140" s="2"/>
    </row>
    <row r="141" spans="3:34" ht="20.100000000000001" customHeight="1" x14ac:dyDescent="0.25">
      <c r="U141" s="52" t="str">
        <f>TEXT(EDATE('Input - Site'!$E$12,5), "mmmm yyyy")</f>
        <v>June 2024</v>
      </c>
      <c r="V141" s="52">
        <f>(((0.032 * X105) / 6.38) + (((0.212 - 0.008 * (V77 - 2) - ((0.14 - 0.008 * (V77 - 2)) / (1 + EXP(-6 * (V41 - 0.4))))) * (V125 * 0.92)) / 6.25))</f>
        <v>2.5624664446187655E-2</v>
      </c>
      <c r="W141" s="52">
        <f>(((0.032 * Y105) / 6.38) + (((0.212 - 0.008 * (W77 - 2) - ((0.14 - 0.008 * (W77 - 2)) / (1 + EXP(-6 * (W41 - 0.4))))) * (W125 * 0.92)) / 6.25))</f>
        <v>2.5468999349659745E-3</v>
      </c>
      <c r="X141" s="52">
        <f>(((0.032 * Z105) / 6.38) + (((0.212 - 0.008 * (X77 - 2) - ((0.14 - 0.008 * (X77 - 2)) / (1 + EXP(-6 * (X41 - 0.4))))) * (X125 * 0.92)) / 6.25))</f>
        <v>1.942651050577586E-2</v>
      </c>
      <c r="Y141" s="52">
        <f>(((0.032 * AA105) / 6.38) + (((0.212 - 0.008 * (Y77 - 2) - ((0.14 - 0.008 * (Y77 - 2)) / (1 + EXP(-6 * (Y41 - 0.4))))) * (Y125 * 0.92)) / 6.25))</f>
        <v>1.7196628856093364E-3</v>
      </c>
      <c r="Z141" s="52">
        <f>(((0.032 * AB105) / 6.38) + (((0.212 - 0.008 * (Z77 - 2) - ((0.14 - 0.008 * (Z77 - 2)) / (1 + EXP(-6 * (Z41 - 0.4))))) * (Z125 * 0.92)) / 6.25))</f>
        <v>1.2853672606791778E-3</v>
      </c>
      <c r="AA141" s="52">
        <f>(((0.032 * AC105) / 6.38) + (((0.212 - 0.008 * (AA77 - 2) - ((0.14 - 0.008 * (AA77 - 2)) / (1 + EXP(-6 * (AA41 - 0.4))))) * (AA125 * 0.92)) / 6.25))</f>
        <v>1.2853672606791778E-3</v>
      </c>
      <c r="AB141" s="52">
        <f>(((0.032 * AD105) / 6.38) + (((0.212 - 0.008 * (AB77 - 2) - ((0.14 - 0.008 * (AB77 - 2)) / (1 + EXP(-6 * (AB41 - 0.4))))) * (AB125 * 0.92)) / 6.25))</f>
        <v>1.9754140848253471E-2</v>
      </c>
      <c r="AC141" s="52">
        <f>(((0.032 * AE105) / 6.38) + (((0.212 - 0.008 * (AC77 - 2) - ((0.14 - 0.008 * (AC77 - 2)) / (1 + EXP(-6 * (AC41 - 0.4))))) * (AC125 * 0.92)) / 6.25))</f>
        <v>7.4705417776927329E-3</v>
      </c>
      <c r="AD141" s="52">
        <f>(((0.032 * AF105) / 6.38) + (((0.212 - 0.008 * (AD77 - 2) - ((0.14 - 0.008 * (AD77 - 2)) / (1 + EXP(-6 * (AD41 - 0.4))))) * (AD125 * 0.92)) / 6.25))</f>
        <v>7.4705417776927329E-3</v>
      </c>
      <c r="AE141" s="52">
        <f>(((0.032 * AG105) / 6.38) + (((0.212 - 0.008 * (AE77 - 2) - ((0.14 - 0.008 * (AE77 - 2)) / (1 + EXP(-6 * (AE41 - 0.4))))) * (AE125 * 0.92)) / 6.25))</f>
        <v>7.4705417776927329E-3</v>
      </c>
      <c r="AF141" s="2" t="str">
        <f t="shared" si="7"/>
        <v>kg N/head/day</v>
      </c>
      <c r="AG141" s="2"/>
      <c r="AH141" s="2"/>
    </row>
    <row r="142" spans="3:34" ht="20.100000000000001" customHeight="1" x14ac:dyDescent="0.25">
      <c r="D142" s="57" t="str" cm="1">
        <f t="array" ref="D142:E148">(_xlfn.MAKEARRAY(7,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f>
        <v>I_jkl</v>
      </c>
      <c r="E142" s="58" t="str">
        <v>dry matter intake as calculated in Chapter 3 Section 3.2.1 (kg DM/head/day)</v>
      </c>
      <c r="F142" s="59"/>
      <c r="G142" s="57" t="str">
        <f>"See " &amp; D51</f>
        <v>See M1_Table_I_j_k_l</v>
      </c>
      <c r="U142" s="52" t="str">
        <f>TEXT(EDATE('Input - Site'!$E$12,6), "mmmm yyyy")</f>
        <v>July 2024</v>
      </c>
      <c r="V142" s="52">
        <f>(((0.032 * X106) / 6.38) + (((0.212 - 0.008 * (V78 - 2) - ((0.14 - 0.008 * (V78 - 2)) / (1 + EXP(-6 * (V42 - 0.4))))) * (V126 * 0.92)) / 6.25))</f>
        <v>2.5624664446187655E-2</v>
      </c>
      <c r="W142" s="52">
        <f>(((0.032 * Y106) / 6.38) + (((0.212 - 0.008 * (W78 - 2) - ((0.14 - 0.008 * (W78 - 2)) / (1 + EXP(-6 * (W42 - 0.4))))) * (W126 * 0.92)) / 6.25))</f>
        <v>2.5468999349659745E-3</v>
      </c>
      <c r="X142" s="52">
        <f>(((0.032 * Z106) / 6.38) + (((0.212 - 0.008 * (X78 - 2) - ((0.14 - 0.008 * (X78 - 2)) / (1 + EXP(-6 * (X42 - 0.4))))) * (X126 * 0.92)) / 6.25))</f>
        <v>1.942651050577586E-2</v>
      </c>
      <c r="Y142" s="52">
        <f>(((0.032 * AA106) / 6.38) + (((0.212 - 0.008 * (Y78 - 2) - ((0.14 - 0.008 * (Y78 - 2)) / (1 + EXP(-6 * (Y42 - 0.4))))) * (Y126 * 0.92)) / 6.25))</f>
        <v>1.7196628856093364E-3</v>
      </c>
      <c r="Z142" s="52">
        <f>(((0.032 * AB106) / 6.38) + (((0.212 - 0.008 * (Z78 - 2) - ((0.14 - 0.008 * (Z78 - 2)) / (1 + EXP(-6 * (Z42 - 0.4))))) * (Z126 * 0.92)) / 6.25))</f>
        <v>1.2853672606791778E-3</v>
      </c>
      <c r="AA142" s="52">
        <f>(((0.032 * AC106) / 6.38) + (((0.212 - 0.008 * (AA78 - 2) - ((0.14 - 0.008 * (AA78 - 2)) / (1 + EXP(-6 * (AA42 - 0.4))))) * (AA126 * 0.92)) / 6.25))</f>
        <v>1.2853672606791778E-3</v>
      </c>
      <c r="AB142" s="52">
        <f>(((0.032 * AD106) / 6.38) + (((0.212 - 0.008 * (AB78 - 2) - ((0.14 - 0.008 * (AB78 - 2)) / (1 + EXP(-6 * (AB42 - 0.4))))) * (AB126 * 0.92)) / 6.25))</f>
        <v>1.9754140848253471E-2</v>
      </c>
      <c r="AC142" s="52">
        <f>(((0.032 * AE106) / 6.38) + (((0.212 - 0.008 * (AC78 - 2) - ((0.14 - 0.008 * (AC78 - 2)) / (1 + EXP(-6 * (AC42 - 0.4))))) * (AC126 * 0.92)) / 6.25))</f>
        <v>7.4705417776927329E-3</v>
      </c>
      <c r="AD142" s="52">
        <f>(((0.032 * AF106) / 6.38) + (((0.212 - 0.008 * (AD78 - 2) - ((0.14 - 0.008 * (AD78 - 2)) / (1 + EXP(-6 * (AD42 - 0.4))))) * (AD126 * 0.92)) / 6.25))</f>
        <v>7.4705417776927329E-3</v>
      </c>
      <c r="AE142" s="52">
        <f>(((0.032 * AG106) / 6.38) + (((0.212 - 0.008 * (AE78 - 2) - ((0.14 - 0.008 * (AE78 - 2)) / (1 + EXP(-6 * (AE42 - 0.4))))) * (AE126 * 0.92)) / 6.25))</f>
        <v>7.4705417776927329E-3</v>
      </c>
      <c r="AF142" s="2" t="str">
        <f t="shared" si="7"/>
        <v>kg N/head/day</v>
      </c>
      <c r="AG142" s="2"/>
      <c r="AH142" s="2"/>
    </row>
    <row r="143" spans="3:34" ht="20.100000000000001" customHeight="1" x14ac:dyDescent="0.25">
      <c r="D143" s="57" t="str">
        <v>CP_j</v>
      </c>
      <c r="E143" s="58" t="str">
        <v>crude protein content of dry matter intake</v>
      </c>
      <c r="F143" s="59"/>
      <c r="G143" s="57" t="str">
        <f>"See " &amp; D150</f>
        <v>See M1_Table_CP_j</v>
      </c>
      <c r="U143" s="52" t="str">
        <f>TEXT(EDATE('Input - Site'!$E$12,7), "mmmm yyyy")</f>
        <v>August 2024</v>
      </c>
      <c r="V143" s="52">
        <f>(((0.032 * X107) / 6.38) + (((0.212 - 0.008 * (V79 - 2) - ((0.14 - 0.008 * (V79 - 2)) / (1 + EXP(-6 * (V43 - 0.4))))) * (V127 * 0.92)) / 6.25))</f>
        <v>2.5624664446187655E-2</v>
      </c>
      <c r="W143" s="52">
        <f>(((0.032 * Y107) / 6.38) + (((0.212 - 0.008 * (W79 - 2) - ((0.14 - 0.008 * (W79 - 2)) / (1 + EXP(-6 * (W43 - 0.4))))) * (W127 * 0.92)) / 6.25))</f>
        <v>2.5468999349659745E-3</v>
      </c>
      <c r="X143" s="52">
        <f>(((0.032 * Z107) / 6.38) + (((0.212 - 0.008 * (X79 - 2) - ((0.14 - 0.008 * (X79 - 2)) / (1 + EXP(-6 * (X43 - 0.4))))) * (X127 * 0.92)) / 6.25))</f>
        <v>1.942651050577586E-2</v>
      </c>
      <c r="Y143" s="52">
        <f>(((0.032 * AA107) / 6.38) + (((0.212 - 0.008 * (Y79 - 2) - ((0.14 - 0.008 * (Y79 - 2)) / (1 + EXP(-6 * (Y43 - 0.4))))) * (Y127 * 0.92)) / 6.25))</f>
        <v>2.4283253110865946E-2</v>
      </c>
      <c r="Z143" s="52">
        <f>(((0.032 * AB107) / 6.38) + (((0.212 - 0.008 * (Z79 - 2) - ((0.14 - 0.008 * (Z79 - 2)) / (1 + EXP(-6 * (Z43 - 0.4))))) * (Z127 * 0.92)) / 6.25))</f>
        <v>2.3854407853507724E-2</v>
      </c>
      <c r="AA143" s="52">
        <f>(((0.032 * AC107) / 6.38) + (((0.212 - 0.008 * (AA79 - 2) - ((0.14 - 0.008 * (AA79 - 2)) / (1 + EXP(-6 * (AA43 - 0.4))))) * (AA127 * 0.92)) / 6.25))</f>
        <v>2.3854407853507724E-2</v>
      </c>
      <c r="AB143" s="52">
        <f>(((0.032 * AD107) / 6.38) + (((0.212 - 0.008 * (AB79 - 2) - ((0.14 - 0.008 * (AB79 - 2)) / (1 + EXP(-6 * (AB43 - 0.4))))) * (AB127 * 0.92)) / 6.25))</f>
        <v>1.9754140848253471E-2</v>
      </c>
      <c r="AC143" s="52">
        <f>(((0.032 * AE107) / 6.38) + (((0.212 - 0.008 * (AC79 - 2) - ((0.14 - 0.008 * (AC79 - 2)) / (1 + EXP(-6 * (AC43 - 0.4))))) * (AC127 * 0.92)) / 6.25))</f>
        <v>7.4705417776927329E-3</v>
      </c>
      <c r="AD143" s="52">
        <f>(((0.032 * AF107) / 6.38) + (((0.212 - 0.008 * (AD79 - 2) - ((0.14 - 0.008 * (AD79 - 2)) / (1 + EXP(-6 * (AD43 - 0.4))))) * (AD127 * 0.92)) / 6.25))</f>
        <v>7.4705417776927329E-3</v>
      </c>
      <c r="AE143" s="52">
        <f>(((0.032 * AG107) / 6.38) + (((0.212 - 0.008 * (AE79 - 2) - ((0.14 - 0.008 * (AE79 - 2)) / (1 + EXP(-6 * (AE43 - 0.4))))) * (AE127 * 0.92)) / 6.25))</f>
        <v>7.4705417776927329E-3</v>
      </c>
      <c r="AF143" s="2" t="str">
        <f t="shared" si="7"/>
        <v>kg N/head/day</v>
      </c>
      <c r="AG143" s="2"/>
      <c r="AH143" s="2"/>
    </row>
    <row r="144" spans="3:34" ht="20.100000000000001" customHeight="1" x14ac:dyDescent="0.25">
      <c r="D144" s="57" t="str">
        <v>MC_jk136</v>
      </c>
      <c r="E144" s="58" t="str">
        <v>milk intake (kg/head/day)</v>
      </c>
      <c r="F144" s="59"/>
      <c r="G144" s="57" t="str">
        <f>"See " &amp; D158</f>
        <v>See M1_Table_MC_j_k_1-3-6</v>
      </c>
      <c r="U144" s="52" t="str">
        <f>TEXT(EDATE('Input - Site'!$E$12,8), "mmmm yyyy")</f>
        <v>September 2024</v>
      </c>
      <c r="V144" s="52">
        <f>(((0.032 * X108) / 6.38) + (((0.212 - 0.008 * (V80 - 2) - ((0.14 - 0.008 * (V80 - 2)) / (1 + EXP(-6 * (V44 - 0.4))))) * (V128 * 0.92)) / 6.25))</f>
        <v>3.2631583658999173E-2</v>
      </c>
      <c r="W144" s="52">
        <f>(((0.032 * Y108) / 6.38) + (((0.212 - 0.008 * (W80 - 2) - ((0.14 - 0.008 * (W80 - 2)) / (1 + EXP(-6 * (W44 - 0.4))))) * (W128 * 0.92)) / 6.25))</f>
        <v>1.2159206080141413E-2</v>
      </c>
      <c r="X144" s="52">
        <f>(((0.032 * Z108) / 6.38) + (((0.212 - 0.008 * (X80 - 2) - ((0.14 - 0.008 * (X80 - 2)) / (1 + EXP(-6 * (X44 - 0.4))))) * (X128 * 0.92)) / 6.25))</f>
        <v>2.2961722562736007E-2</v>
      </c>
      <c r="Y144" s="52">
        <f>(((0.032 * AA108) / 6.38) + (((0.212 - 0.008 * (Y80 - 2) - ((0.14 - 0.008 * (Y80 - 2)) / (1 + EXP(-6 * (Y44 - 0.4))))) * (Y128 * 0.92)) / 6.25))</f>
        <v>3.5186886137375313E-2</v>
      </c>
      <c r="Z144" s="52">
        <f>(((0.032 * AB108) / 6.38) + (((0.212 - 0.008 * (Z80 - 2) - ((0.14 - 0.008 * (Z80 - 2)) / (1 + EXP(-6 * (Z44 - 0.4))))) * (Z128 * 0.92)) / 6.25))</f>
        <v>2.993948362354976E-2</v>
      </c>
      <c r="AA144" s="52">
        <f>(((0.032 * AC108) / 6.38) + (((0.212 - 0.008 * (AA80 - 2) - ((0.14 - 0.008 * (AA80 - 2)) / (1 + EXP(-6 * (AA44 - 0.4))))) * (AA128 * 0.92)) / 6.25))</f>
        <v>2.993948362354976E-2</v>
      </c>
      <c r="AB144" s="52">
        <f>(((0.032 * AD108) / 6.38) + (((0.212 - 0.008 * (AB80 - 2) - ((0.14 - 0.008 * (AB80 - 2)) / (1 + EXP(-6 * (AB44 - 0.4))))) * (AB128 * 0.92)) / 6.25))</f>
        <v>2.7711640554981157E-2</v>
      </c>
      <c r="AC144" s="52">
        <f>(((0.032 * AE108) / 6.38) + (((0.212 - 0.008 * (AC80 - 2) - ((0.14 - 0.008 * (AC80 - 2)) / (1 + EXP(-6 * (AC44 - 0.4))))) * (AC128 * 0.92)) / 6.25))</f>
        <v>1.4565147934229335E-2</v>
      </c>
      <c r="AD144" s="52">
        <f>(((0.032 * AF108) / 6.38) + (((0.212 - 0.008 * (AD80 - 2) - ((0.14 - 0.008 * (AD80 - 2)) / (1 + EXP(-6 * (AD44 - 0.4))))) * (AD128 * 0.92)) / 6.25))</f>
        <v>1.4565147934229335E-2</v>
      </c>
      <c r="AE144" s="52">
        <f>(((0.032 * AG108) / 6.38) + (((0.212 - 0.008 * (AE80 - 2) - ((0.14 - 0.008 * (AE80 - 2)) / (1 + EXP(-6 * (AE44 - 0.4))))) * (AE128 * 0.92)) / 6.25))</f>
        <v>1.4565147934229335E-2</v>
      </c>
      <c r="AF144" s="2" t="str">
        <f t="shared" si="7"/>
        <v>kg N/head/day</v>
      </c>
      <c r="AG144" s="2"/>
      <c r="AH144" s="2"/>
    </row>
    <row r="145" spans="4:35" ht="20.100000000000001" customHeight="1" x14ac:dyDescent="0.25">
      <c r="D145" s="57" t="str">
        <v>NR_jkl</v>
      </c>
      <c r="E145" s="58" t="str">
        <v>the amount of nitrogen retained by the body (kg N/head/day)</v>
      </c>
      <c r="F145" s="59"/>
      <c r="G145" s="57" t="str">
        <f>"See " &amp; D124</f>
        <v>See M1_Table_NR_j_k_l</v>
      </c>
      <c r="U145" s="52" t="str">
        <f>TEXT(EDATE('Input - Site'!$E$12,9), "mmmm yyyy")</f>
        <v>October 2024</v>
      </c>
      <c r="V145" s="52">
        <f>(((0.032 * X109) / 6.38) + (((0.212 - 0.008 * (V81 - 2) - ((0.14 - 0.008 * (V81 - 2)) / (1 + EXP(-6 * (V45 - 0.4))))) * (V129 * 0.92)) / 6.25))</f>
        <v>3.2631583658999173E-2</v>
      </c>
      <c r="W145" s="52">
        <f>(((0.032 * Y109) / 6.38) + (((0.212 - 0.008 * (W81 - 2) - ((0.14 - 0.008 * (W81 - 2)) / (1 + EXP(-6 * (W45 - 0.4))))) * (W129 * 0.92)) / 6.25))</f>
        <v>1.2159206080141413E-2</v>
      </c>
      <c r="X145" s="52">
        <f>(((0.032 * Z109) / 6.38) + (((0.212 - 0.008 * (X81 - 2) - ((0.14 - 0.008 * (X81 - 2)) / (1 + EXP(-6 * (X45 - 0.4))))) * (X129 * 0.92)) / 6.25))</f>
        <v>2.2961722562736007E-2</v>
      </c>
      <c r="Y145" s="52">
        <f>(((0.032 * AA109) / 6.38) + (((0.212 - 0.008 * (Y81 - 2) - ((0.14 - 0.008 * (Y81 - 2)) / (1 + EXP(-6 * (Y45 - 0.4))))) * (Y129 * 0.92)) / 6.25))</f>
        <v>3.5186886137375313E-2</v>
      </c>
      <c r="Z145" s="52">
        <f>(((0.032 * AB109) / 6.38) + (((0.212 - 0.008 * (Z81 - 2) - ((0.14 - 0.008 * (Z81 - 2)) / (1 + EXP(-6 * (Z45 - 0.4))))) * (Z129 * 0.92)) / 6.25))</f>
        <v>2.993948362354976E-2</v>
      </c>
      <c r="AA145" s="52">
        <f>(((0.032 * AC109) / 6.38) + (((0.212 - 0.008 * (AA81 - 2) - ((0.14 - 0.008 * (AA81 - 2)) / (1 + EXP(-6 * (AA45 - 0.4))))) * (AA129 * 0.92)) / 6.25))</f>
        <v>2.993948362354976E-2</v>
      </c>
      <c r="AB145" s="52">
        <f>(((0.032 * AD109) / 6.38) + (((0.212 - 0.008 * (AB81 - 2) - ((0.14 - 0.008 * (AB81 - 2)) / (1 + EXP(-6 * (AB45 - 0.4))))) * (AB129 * 0.92)) / 6.25))</f>
        <v>2.7711640554981157E-2</v>
      </c>
      <c r="AC145" s="52">
        <f>(((0.032 * AE109) / 6.38) + (((0.212 - 0.008 * (AC81 - 2) - ((0.14 - 0.008 * (AC81 - 2)) / (1 + EXP(-6 * (AC45 - 0.4))))) * (AC129 * 0.92)) / 6.25))</f>
        <v>1.4565147934229335E-2</v>
      </c>
      <c r="AD145" s="52">
        <f>(((0.032 * AF109) / 6.38) + (((0.212 - 0.008 * (AD81 - 2) - ((0.14 - 0.008 * (AD81 - 2)) / (1 + EXP(-6 * (AD45 - 0.4))))) * (AD129 * 0.92)) / 6.25))</f>
        <v>1.4565147934229335E-2</v>
      </c>
      <c r="AE145" s="52">
        <f>(((0.032 * AG109) / 6.38) + (((0.212 - 0.008 * (AE81 - 2) - ((0.14 - 0.008 * (AE81 - 2)) / (1 + EXP(-6 * (AE45 - 0.4))))) * (AE129 * 0.92)) / 6.25))</f>
        <v>1.4565147934229335E-2</v>
      </c>
      <c r="AF145" s="2" t="str">
        <f t="shared" si="7"/>
        <v>kg N/head/day</v>
      </c>
      <c r="AG145" s="2"/>
      <c r="AH145" s="2"/>
    </row>
    <row r="146" spans="4:35" ht="20.100000000000001" customHeight="1" x14ac:dyDescent="0.25">
      <c r="D146" s="57" t="str">
        <v>W_jkl</v>
      </c>
      <c r="E146" s="58" t="str">
        <v>liveweight (kg/head)</v>
      </c>
      <c r="F146" s="59"/>
      <c r="G146" s="57" t="str">
        <f>"See " &amp; D17</f>
        <v>See M1_Table_W_j_k_l</v>
      </c>
      <c r="U146" s="52" t="str">
        <f>TEXT(EDATE('Input - Site'!$E$12,10), "mmmm yyyy")</f>
        <v>November 2024</v>
      </c>
      <c r="V146" s="52">
        <f>(((0.032 * X110) / 6.38) + (((0.212 - 0.008 * (V82 - 2) - ((0.14 - 0.008 * (V82 - 2)) / (1 + EXP(-6 * (V46 - 0.4))))) * (V130 * 0.92)) / 6.25))</f>
        <v>3.2631583658999173E-2</v>
      </c>
      <c r="W146" s="52">
        <f>(((0.032 * Y110) / 6.38) + (((0.212 - 0.008 * (W82 - 2) - ((0.14 - 0.008 * (W82 - 2)) / (1 + EXP(-6 * (W46 - 0.4))))) * (W130 * 0.92)) / 6.25))</f>
        <v>1.2159206080141413E-2</v>
      </c>
      <c r="X146" s="52">
        <f>(((0.032 * Z110) / 6.38) + (((0.212 - 0.008 * (X82 - 2) - ((0.14 - 0.008 * (X82 - 2)) / (1 + EXP(-6 * (X46 - 0.4))))) * (X130 * 0.92)) / 6.25))</f>
        <v>2.2961722562736007E-2</v>
      </c>
      <c r="Y146" s="52">
        <f>(((0.032 * AA110) / 6.38) + (((0.212 - 0.008 * (Y82 - 2) - ((0.14 - 0.008 * (Y82 - 2)) / (1 + EXP(-6 * (Y46 - 0.4))))) * (Y130 * 0.92)) / 6.25))</f>
        <v>2.7685555110513384E-2</v>
      </c>
      <c r="Z146" s="52">
        <f>(((0.032 * AB110) / 6.38) + (((0.212 - 0.008 * (Z82 - 2) - ((0.14 - 0.008 * (Z82 - 2)) / (1 + EXP(-6 * (Z46 - 0.4))))) * (Z130 * 0.92)) / 6.25))</f>
        <v>2.2419534651745895E-2</v>
      </c>
      <c r="AA146" s="52">
        <f>(((0.032 * AC110) / 6.38) + (((0.212 - 0.008 * (AA82 - 2) - ((0.14 - 0.008 * (AA82 - 2)) / (1 + EXP(-6 * (AA46 - 0.4))))) * (AA130 * 0.92)) / 6.25))</f>
        <v>2.2419534651745895E-2</v>
      </c>
      <c r="AB146" s="52">
        <f>(((0.032 * AD110) / 6.38) + (((0.212 - 0.008 * (AB82 - 2) - ((0.14 - 0.008 * (AB82 - 2)) / (1 + EXP(-6 * (AB46 - 0.4))))) * (AB130 * 0.92)) / 6.25))</f>
        <v>2.7711640554981157E-2</v>
      </c>
      <c r="AC146" s="52">
        <f>(((0.032 * AE110) / 6.38) + (((0.212 - 0.008 * (AC82 - 2) - ((0.14 - 0.008 * (AC82 - 2)) / (1 + EXP(-6 * (AC46 - 0.4))))) * (AC130 * 0.92)) / 6.25))</f>
        <v>1.4565147934229335E-2</v>
      </c>
      <c r="AD146" s="52">
        <f>(((0.032 * AF110) / 6.38) + (((0.212 - 0.008 * (AD82 - 2) - ((0.14 - 0.008 * (AD82 - 2)) / (1 + EXP(-6 * (AD46 - 0.4))))) * (AD130 * 0.92)) / 6.25))</f>
        <v>1.4565147934229335E-2</v>
      </c>
      <c r="AE146" s="52">
        <f>(((0.032 * AG110) / 6.38) + (((0.212 - 0.008 * (AE82 - 2) - ((0.14 - 0.008 * (AE82 - 2)) / (1 + EXP(-6 * (AE46 - 0.4))))) * (AE130 * 0.92)) / 6.25))</f>
        <v>1.4565147934229335E-2</v>
      </c>
      <c r="AF146" s="2" t="str">
        <f t="shared" si="7"/>
        <v>kg N/head/day</v>
      </c>
      <c r="AG146" s="2"/>
      <c r="AH146" s="2"/>
    </row>
    <row r="147" spans="4:35" ht="20.100000000000001" customHeight="1" x14ac:dyDescent="0.25">
      <c r="D147" s="57" t="str">
        <v>b</v>
      </c>
      <c r="E147" s="58" t="str">
        <v>breed of cattle</v>
      </c>
      <c r="F147" s="59"/>
      <c r="G147" s="57" t="str">
        <f>'Input - Pasture Beef'!$E$9</f>
        <v>Hereford or Shorthorn breeds</v>
      </c>
      <c r="U147" s="52" t="str">
        <f>TEXT(EDATE('Input - Site'!$E$12,11), "mmmm yyyy")</f>
        <v>December 2024</v>
      </c>
      <c r="V147" s="52">
        <f>(((0.032 * X111) / 6.38) + (((0.212 - 0.008 * (V83 - 2) - ((0.14 - 0.008 * (V83 - 2)) / (1 + EXP(-6 * (V47 - 0.4))))) * (V131 * 0.92)) / 6.25))</f>
        <v>8.1246865273940476E-3</v>
      </c>
      <c r="W147" s="52">
        <f>(((0.032 * Y111) / 6.38) + (((0.212 - 0.008 * (W83 - 2) - ((0.14 - 0.008 * (W83 - 2)) / (1 + EXP(-6 * (W47 - 0.4))))) * (W131 * 0.92)) / 6.25))</f>
        <v>-2.4500809510830074E-3</v>
      </c>
      <c r="X147" s="52">
        <f>(((0.032 * Z111) / 6.38) + (((0.212 - 0.008 * (X83 - 2) - ((0.14 - 0.008 * (X83 - 2)) / (1 + EXP(-6 * (X47 - 0.4))))) * (X131 * 0.92)) / 6.25))</f>
        <v>7.4692204769955996E-3</v>
      </c>
      <c r="Y147" s="52">
        <f>(((0.032 * AA111) / 6.38) + (((0.212 - 0.008 * (Y83 - 2) - ((0.14 - 0.008 * (Y83 - 2)) / (1 + EXP(-6 * (Y47 - 0.4))))) * (Y131 * 0.92)) / 6.25))</f>
        <v>1.9080635764024231E-2</v>
      </c>
      <c r="Z147" s="52">
        <f>(((0.032 * AB111) / 6.38) + (((0.212 - 0.008 * (Z83 - 2) - ((0.14 - 0.008 * (Z83 - 2)) / (1 + EXP(-6 * (Z47 - 0.4))))) * (Z131 * 0.92)) / 6.25))</f>
        <v>1.2558041048697144E-2</v>
      </c>
      <c r="AA147" s="52">
        <f>(((0.032 * AC111) / 6.38) + (((0.212 - 0.008 * (AA83 - 2) - ((0.14 - 0.008 * (AA83 - 2)) / (1 + EXP(-6 * (AA47 - 0.4))))) * (AA131 * 0.92)) / 6.25))</f>
        <v>1.2558041048697144E-2</v>
      </c>
      <c r="AB147" s="52">
        <f>(((0.032 * AD111) / 6.38) + (((0.212 - 0.008 * (AB83 - 2) - ((0.14 - 0.008 * (AB83 - 2)) / (1 + EXP(-6 * (AB47 - 0.4))))) * (AB131 * 0.92)) / 6.25))</f>
        <v>7.842975342880058E-3</v>
      </c>
      <c r="AC147" s="52">
        <f>(((0.032 * AE111) / 6.38) + (((0.212 - 0.008 * (AC83 - 2) - ((0.14 - 0.008 * (AC83 - 2)) / (1 + EXP(-6 * (AC47 - 0.4))))) * (AC131 * 0.92)) / 6.25))</f>
        <v>-1.4855230625479237E-3</v>
      </c>
      <c r="AD147" s="52">
        <f>(((0.032 * AF111) / 6.38) + (((0.212 - 0.008 * (AD83 - 2) - ((0.14 - 0.008 * (AD83 - 2)) / (1 + EXP(-6 * (AD47 - 0.4))))) * (AD131 * 0.92)) / 6.25))</f>
        <v>-1.4855230625479237E-3</v>
      </c>
      <c r="AE147" s="52">
        <f>(((0.032 * AG111) / 6.38) + (((0.212 - 0.008 * (AE83 - 2) - ((0.14 - 0.008 * (AE83 - 2)) / (1 + EXP(-6 * (AE47 - 0.4))))) * (AE131 * 0.92)) / 6.25))</f>
        <v>-1.4855230625479237E-3</v>
      </c>
      <c r="AF147" s="2" t="str">
        <f t="shared" si="7"/>
        <v>kg N/head/day</v>
      </c>
      <c r="AG147" s="2"/>
      <c r="AH147" s="2"/>
    </row>
    <row r="148" spans="4:35" ht="20.100000000000001" customHeight="1" x14ac:dyDescent="0.25">
      <c r="D148" s="57" t="str">
        <v>s</v>
      </c>
      <c r="E148" s="58" t="str">
        <v>Calving season</v>
      </c>
      <c r="F148" s="59"/>
      <c r="G148" s="57" t="str">
        <f>'Input - Pasture Beef'!$E$104</f>
        <v>Winter</v>
      </c>
    </row>
    <row r="149" spans="4:35" ht="20.100000000000001" customHeight="1" x14ac:dyDescent="0.25"/>
    <row r="150" spans="4:35" ht="20.100000000000001" customHeight="1" x14ac:dyDescent="0.25">
      <c r="D150" s="99" t="s">
        <v>105</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8" t="s">
        <v>311</v>
      </c>
      <c r="U151" s="6" t="s">
        <v>440</v>
      </c>
    </row>
    <row r="152" spans="4:35" ht="20.100000000000001" customHeight="1" x14ac:dyDescent="0.25">
      <c r="D152" s="51" t="s">
        <v>183</v>
      </c>
      <c r="E152" s="51" t="s">
        <v>130</v>
      </c>
      <c r="F152" s="51" t="s">
        <v>129</v>
      </c>
      <c r="G152" s="51" t="s">
        <v>164</v>
      </c>
      <c r="H152" s="51" t="s">
        <v>165</v>
      </c>
      <c r="I152" s="51" t="s">
        <v>166</v>
      </c>
      <c r="J152" s="51" t="s">
        <v>167</v>
      </c>
      <c r="K152" s="51" t="s">
        <v>168</v>
      </c>
      <c r="L152" s="51" t="s">
        <v>169</v>
      </c>
      <c r="M152" s="51" t="s">
        <v>170</v>
      </c>
      <c r="N152" s="51" t="s">
        <v>171</v>
      </c>
    </row>
    <row r="153" spans="4:35" ht="20.100000000000001" customHeight="1" x14ac:dyDescent="0.25">
      <c r="D153" s="52" t="s">
        <v>172</v>
      </c>
      <c r="E153" s="52">
        <f>'Input - Pasture Beef'!E154</f>
        <v>0.2</v>
      </c>
      <c r="F153" s="52">
        <f>'Input - Pasture Beef'!F154</f>
        <v>0.2</v>
      </c>
      <c r="G153" s="52">
        <f>'Input - Pasture Beef'!G154</f>
        <v>0.2</v>
      </c>
      <c r="H153" s="52">
        <f>'Input - Pasture Beef'!H154</f>
        <v>0.2</v>
      </c>
      <c r="I153" s="52">
        <f>'Input - Pasture Beef'!I154</f>
        <v>0.2</v>
      </c>
      <c r="J153" s="52">
        <f>'Input - Pasture Beef'!J154</f>
        <v>0.2</v>
      </c>
      <c r="K153" s="52">
        <f>'Input - Pasture Beef'!K154</f>
        <v>0.2</v>
      </c>
      <c r="L153" s="52">
        <f>'Input - Pasture Beef'!L154</f>
        <v>0.2</v>
      </c>
      <c r="M153" s="52">
        <f>'Input - Pasture Beef'!M154</f>
        <v>0.2</v>
      </c>
      <c r="N153" s="52">
        <f>'Input - Pasture Beef'!N154</f>
        <v>0.2</v>
      </c>
      <c r="O153" s="2" t="s">
        <v>140</v>
      </c>
      <c r="U153" s="57" t="str" cm="1">
        <f t="array" ref="U153:V159">(_xlfn.MAKEARRAY(7,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f>
        <v>I_jkl</v>
      </c>
      <c r="V153" s="58" t="str">
        <v>dry matter intake as calculated in Chapter 3 Section 3.2.1 (kg DM/head/day)</v>
      </c>
      <c r="W153" s="59"/>
      <c r="X153" s="57" t="str">
        <f>"See " &amp; $U$53</f>
        <v>See M2_Table_I_j_k_l</v>
      </c>
    </row>
    <row r="154" spans="4:35" ht="20.100000000000001" customHeight="1" x14ac:dyDescent="0.25">
      <c r="D154" s="52" t="s">
        <v>173</v>
      </c>
      <c r="E154" s="52">
        <f>'Input - Pasture Beef'!E155</f>
        <v>0.09</v>
      </c>
      <c r="F154" s="52">
        <f>'Input - Pasture Beef'!F155</f>
        <v>0.09</v>
      </c>
      <c r="G154" s="52">
        <f>'Input - Pasture Beef'!G155</f>
        <v>0.09</v>
      </c>
      <c r="H154" s="52">
        <f>'Input - Pasture Beef'!H155</f>
        <v>0.09</v>
      </c>
      <c r="I154" s="52">
        <f>'Input - Pasture Beef'!I155</f>
        <v>0.09</v>
      </c>
      <c r="J154" s="52">
        <f>'Input - Pasture Beef'!J155</f>
        <v>0.09</v>
      </c>
      <c r="K154" s="52">
        <f>'Input - Pasture Beef'!K155</f>
        <v>0.09</v>
      </c>
      <c r="L154" s="52">
        <f>'Input - Pasture Beef'!L155</f>
        <v>0.09</v>
      </c>
      <c r="M154" s="52">
        <f>'Input - Pasture Beef'!M155</f>
        <v>0.09</v>
      </c>
      <c r="N154" s="52">
        <f>'Input - Pasture Beef'!N155</f>
        <v>0.09</v>
      </c>
      <c r="O154" s="2" t="s">
        <v>140</v>
      </c>
      <c r="U154" s="57" t="str">
        <v>CP_j</v>
      </c>
      <c r="V154" s="58" t="str">
        <v>crude protein content of dry matter intake</v>
      </c>
      <c r="W154" s="59"/>
      <c r="X154" s="57" t="str">
        <f>"See " &amp; $U$161</f>
        <v>See M2_Table_CP_j</v>
      </c>
    </row>
    <row r="155" spans="4:35" ht="20.100000000000001" customHeight="1" x14ac:dyDescent="0.25">
      <c r="D155" s="52" t="s">
        <v>174</v>
      </c>
      <c r="E155" s="52">
        <f>'Input - Pasture Beef'!E156</f>
        <v>0.06</v>
      </c>
      <c r="F155" s="52">
        <f>'Input - Pasture Beef'!F156</f>
        <v>0.06</v>
      </c>
      <c r="G155" s="52">
        <f>'Input - Pasture Beef'!G156</f>
        <v>0.06</v>
      </c>
      <c r="H155" s="52">
        <f>'Input - Pasture Beef'!H156</f>
        <v>0.06</v>
      </c>
      <c r="I155" s="52">
        <f>'Input - Pasture Beef'!I156</f>
        <v>0.06</v>
      </c>
      <c r="J155" s="52">
        <f>'Input - Pasture Beef'!J156</f>
        <v>0.06</v>
      </c>
      <c r="K155" s="52">
        <f>'Input - Pasture Beef'!K156</f>
        <v>0.06</v>
      </c>
      <c r="L155" s="52">
        <f>'Input - Pasture Beef'!L156</f>
        <v>0.06</v>
      </c>
      <c r="M155" s="52">
        <f>'Input - Pasture Beef'!M156</f>
        <v>0.06</v>
      </c>
      <c r="N155" s="52">
        <f>'Input - Pasture Beef'!N156</f>
        <v>0.06</v>
      </c>
      <c r="O155" s="2" t="s">
        <v>140</v>
      </c>
      <c r="U155" s="57" t="str">
        <v>MC_jk136</v>
      </c>
      <c r="V155" s="58" t="str">
        <v>milk intake (kg/head/day)</v>
      </c>
      <c r="W155" s="59"/>
      <c r="X155" s="57" t="str">
        <f>"See " &amp; $U$161</f>
        <v>See M2_Table_CP_j</v>
      </c>
    </row>
    <row r="156" spans="4:35" ht="20.100000000000001" customHeight="1" x14ac:dyDescent="0.25">
      <c r="D156" s="52" t="s">
        <v>175</v>
      </c>
      <c r="E156" s="52">
        <f>'Input - Pasture Beef'!E157</f>
        <v>0.2</v>
      </c>
      <c r="F156" s="52">
        <f>'Input - Pasture Beef'!F157</f>
        <v>0.2</v>
      </c>
      <c r="G156" s="52">
        <f>'Input - Pasture Beef'!G157</f>
        <v>0.2</v>
      </c>
      <c r="H156" s="52">
        <f>'Input - Pasture Beef'!H157</f>
        <v>0.2</v>
      </c>
      <c r="I156" s="52">
        <f>'Input - Pasture Beef'!I157</f>
        <v>0.2</v>
      </c>
      <c r="J156" s="52">
        <f>'Input - Pasture Beef'!J157</f>
        <v>0.2</v>
      </c>
      <c r="K156" s="52">
        <f>'Input - Pasture Beef'!K157</f>
        <v>0.2</v>
      </c>
      <c r="L156" s="52">
        <f>'Input - Pasture Beef'!L157</f>
        <v>0.2</v>
      </c>
      <c r="M156" s="52">
        <f>'Input - Pasture Beef'!M157</f>
        <v>0.2</v>
      </c>
      <c r="N156" s="52">
        <f>'Input - Pasture Beef'!N157</f>
        <v>0.2</v>
      </c>
      <c r="O156" s="2" t="s">
        <v>140</v>
      </c>
      <c r="U156" s="57" t="str">
        <v>NR_jkl</v>
      </c>
      <c r="V156" s="58" t="str">
        <v>the amount of nitrogen retained by the body (kg N/head/day)</v>
      </c>
      <c r="W156" s="59"/>
      <c r="X156" s="57" t="str">
        <f>"See " &amp; $U$133</f>
        <v>See M2_Table_NR_j_k_l</v>
      </c>
    </row>
    <row r="157" spans="4:35" ht="20.100000000000001" customHeight="1" x14ac:dyDescent="0.25">
      <c r="U157" s="57" t="str">
        <v>W_jkl</v>
      </c>
      <c r="V157" s="58" t="str">
        <v>liveweight (kg/head)</v>
      </c>
      <c r="W157" s="59"/>
      <c r="X157" s="57" t="str">
        <f>"See " &amp; $U$17</f>
        <v>See M2_Table_LW_j_k_l</v>
      </c>
    </row>
    <row r="158" spans="4:35" ht="20.100000000000001" customHeight="1" x14ac:dyDescent="0.25">
      <c r="D158" s="99" t="s">
        <v>296</v>
      </c>
      <c r="U158" s="57" t="str">
        <v>b</v>
      </c>
      <c r="V158" s="58" t="str">
        <v>breed of cattle</v>
      </c>
      <c r="W158" s="59"/>
      <c r="X158" s="57" t="str">
        <f>'Input - Pasture Beef'!$E$9</f>
        <v>Hereford or Shorthorn breeds</v>
      </c>
    </row>
    <row r="159" spans="4:35" ht="20.100000000000001" customHeight="1" x14ac:dyDescent="0.25">
      <c r="D159" s="98" t="s">
        <v>313</v>
      </c>
      <c r="U159" s="57" t="str">
        <v>s</v>
      </c>
      <c r="V159" s="58" t="str">
        <v>Calving season</v>
      </c>
      <c r="W159" s="59"/>
      <c r="X159" s="57" t="e">
        <f>'Input - Pasture Beef'!#REF!</f>
        <v>#REF!</v>
      </c>
    </row>
    <row r="160" spans="4:35" ht="20.100000000000001" customHeight="1" x14ac:dyDescent="0.25">
      <c r="D160" s="51" t="s">
        <v>183</v>
      </c>
      <c r="E160" s="51" t="s">
        <v>245</v>
      </c>
      <c r="F160" s="51" t="s">
        <v>130</v>
      </c>
      <c r="G160" s="51" t="s">
        <v>129</v>
      </c>
      <c r="H160" s="51" t="s">
        <v>164</v>
      </c>
      <c r="I160" s="51" t="s">
        <v>165</v>
      </c>
      <c r="J160" s="51" t="s">
        <v>166</v>
      </c>
      <c r="K160" s="51" t="s">
        <v>167</v>
      </c>
      <c r="L160" s="51" t="s">
        <v>168</v>
      </c>
      <c r="M160" s="51" t="s">
        <v>169</v>
      </c>
      <c r="N160" s="51" t="s">
        <v>170</v>
      </c>
      <c r="O160" s="51" t="s">
        <v>171</v>
      </c>
    </row>
    <row r="161" spans="3:34" ht="20.100000000000001" customHeight="1" x14ac:dyDescent="0.25">
      <c r="D161" s="52" t="s">
        <v>172</v>
      </c>
      <c r="E161" s="52" t="str" cm="1">
        <f t="array" ref="E161">_xlfn.IFS($D$161=$G$148,"Calving season",$D$164=$G$148,"Season after calving",TRUE, "")</f>
        <v>Season after calving</v>
      </c>
      <c r="F161" s="52" cm="1">
        <f t="array" ref="F161">_xlfn.XLOOKUP(1, (Table_SourceData_PastureBeef_FeedIntakeAdjustment_Variation[Breed]=$G$147)*(Table_SourceData_PastureBeef_FeedIntakeAdjustment_Variation[Season]=$E161),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(Table_SourceData_PastureBeef_FeedIntakeAdjustment_Variation[Breed]=$G$147)*(Table_SourceData_PastureBeef_FeedIntakeAdjustment_Variation[Season]=$E161),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(Table_SourceData_PastureBeef_FeedIntakeAdjustment_Variation[Breed]=$G$147)*(Table_SourceData_PastureBeef_FeedIntakeAdjustment_Variation[Season]=$E161), Table_SourceData_PastureBeef_FeedIntakeAdjustment_Variation[Milk intake/production], 0)</f>
        <v>4</v>
      </c>
      <c r="M161" s="52">
        <v>0</v>
      </c>
      <c r="N161" s="52">
        <v>0</v>
      </c>
      <c r="O161" s="52">
        <v>0</v>
      </c>
      <c r="P161" s="2" t="s">
        <v>133</v>
      </c>
      <c r="Q161" s="2"/>
      <c r="U161" s="99" t="s">
        <v>106</v>
      </c>
    </row>
    <row r="162" spans="3:34" ht="20.100000000000001" customHeight="1" x14ac:dyDescent="0.25">
      <c r="D162" s="52" t="s">
        <v>173</v>
      </c>
      <c r="E162" s="52" t="str" cm="1">
        <f t="array" ref="E162">_xlfn.IFS($D$162=$G$148,"Calving season",$D$161=$G$148,"Season after calving",TRUE, "")</f>
        <v/>
      </c>
      <c r="F162" s="52" cm="1">
        <f t="array" ref="F162">_xlfn.XLOOKUP(1, (Table_SourceData_PastureBeef_FeedIntakeAdjustment_Variation[Breed]=$G$147)*(Table_SourceData_PastureBeef_FeedIntakeAdjustment_Variation[Season]=$E162),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(Table_SourceData_PastureBeef_FeedIntakeAdjustment_Variation[Breed]=$G$147)*(Table_SourceData_PastureBeef_FeedIntakeAdjustment_Variation[Season]=$E162),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(Table_SourceData_PastureBeef_FeedIntakeAdjustment_Variation[Breed]=$G$147)*(Table_SourceData_PastureBeef_FeedIntakeAdjustment_Variation[Season]=$E162), Table_SourceData_PastureBeef_FeedIntakeAdjustment_Variation[Milk intake/production], 0)</f>
        <v>0</v>
      </c>
      <c r="M162" s="52">
        <v>0</v>
      </c>
      <c r="N162" s="52">
        <v>0</v>
      </c>
      <c r="O162" s="52">
        <v>0</v>
      </c>
      <c r="P162" s="2" t="s">
        <v>133</v>
      </c>
      <c r="Q162" s="2"/>
      <c r="U162" s="98" t="s">
        <v>310</v>
      </c>
    </row>
    <row r="163" spans="3:34" ht="20.100000000000001" customHeight="1" x14ac:dyDescent="0.25">
      <c r="D163" s="52" t="s">
        <v>174</v>
      </c>
      <c r="E163" s="52" t="str" cm="1">
        <f t="array" ref="E163">_xlfn.IFS($D$163=$G$148,"Calving season",$D$162=$G$148,"Season after calving",TRUE, "")</f>
        <v/>
      </c>
      <c r="F163" s="52" cm="1">
        <f t="array" ref="F163">_xlfn.XLOOKUP(1, (Table_SourceData_PastureBeef_FeedIntakeAdjustment_Variation[Breed]=$G$147)*(Table_SourceData_PastureBeef_FeedIntakeAdjustment_Variation[Season]=$E163),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(Table_SourceData_PastureBeef_FeedIntakeAdjustment_Variation[Breed]=$G$147)*(Table_SourceData_PastureBeef_FeedIntakeAdjustment_Variation[Season]=$E163),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(Table_SourceData_PastureBeef_FeedIntakeAdjustment_Variation[Breed]=$G$147)*(Table_SourceData_PastureBeef_FeedIntakeAdjustment_Variation[Season]=$E163), Table_SourceData_PastureBeef_FeedIntakeAdjustment_Variation[Milk intake/production], 0)</f>
        <v>0</v>
      </c>
      <c r="M163" s="52">
        <v>0</v>
      </c>
      <c r="N163" s="52">
        <v>0</v>
      </c>
      <c r="O163" s="52">
        <v>0</v>
      </c>
      <c r="P163" s="2" t="s">
        <v>133</v>
      </c>
      <c r="Q163" s="2"/>
      <c r="U163" s="51" t="s">
        <v>131</v>
      </c>
      <c r="V163" s="51" t="s">
        <v>130</v>
      </c>
      <c r="W163" s="51" t="s">
        <v>129</v>
      </c>
      <c r="X163" s="51" t="s">
        <v>164</v>
      </c>
      <c r="Y163" s="51" t="s">
        <v>165</v>
      </c>
      <c r="Z163" s="51" t="s">
        <v>166</v>
      </c>
      <c r="AA163" s="51" t="s">
        <v>167</v>
      </c>
      <c r="AB163" s="51" t="s">
        <v>168</v>
      </c>
      <c r="AC163" s="51" t="s">
        <v>169</v>
      </c>
      <c r="AD163" s="51" t="s">
        <v>170</v>
      </c>
      <c r="AE163" s="51" t="s">
        <v>171</v>
      </c>
    </row>
    <row r="164" spans="3:34" ht="20.100000000000001" customHeight="1" x14ac:dyDescent="0.25">
      <c r="D164" s="52" t="s">
        <v>175</v>
      </c>
      <c r="E164" s="52" t="str" cm="1">
        <f t="array" ref="E164">_xlfn.IFS($D$164=$G$148,"Calving season",$D$163=$G$148,"Season after calving",TRUE, "")</f>
        <v>Calving season</v>
      </c>
      <c r="F164" s="52" cm="1">
        <f t="array" ref="F164">_xlfn.XLOOKUP(1, (Table_SourceData_PastureBeef_FeedIntakeAdjustment_Variation[Breed]=$G$147)*(Table_SourceData_PastureBeef_FeedIntakeAdjustment_Variation[Season]=$E164),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(Table_SourceData_PastureBeef_FeedIntakeAdjustment_Variation[Breed]=$G$147)*(Table_SourceData_PastureBeef_FeedIntakeAdjustment_Variation[Season]=$E164),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(Table_SourceData_PastureBeef_FeedIntakeAdjustment_Variation[Breed]=$G$147)*(Table_SourceData_PastureBeef_FeedIntakeAdjustment_Variation[Season]=$E164), Table_SourceData_PastureBeef_FeedIntakeAdjustment_Variation[Milk intake/production], 0)</f>
        <v>6</v>
      </c>
      <c r="M164" s="52">
        <v>0</v>
      </c>
      <c r="N164" s="52">
        <v>0</v>
      </c>
      <c r="O164" s="52">
        <v>0</v>
      </c>
      <c r="P164" s="2" t="s">
        <v>133</v>
      </c>
      <c r="Q164" s="2"/>
      <c r="U164" s="52" t="str">
        <f>TEXT('Input - Site'!$E$12, "mmmm yyyy")</f>
        <v>January 2024</v>
      </c>
      <c r="V164" s="52">
        <f>'Input - Pasture Beef'!E160</f>
        <v>0.09</v>
      </c>
      <c r="W164" s="52">
        <f>'Input - Pasture Beef'!F160</f>
        <v>0.09</v>
      </c>
      <c r="X164" s="52">
        <f>'Input - Pasture Beef'!G160</f>
        <v>0.09</v>
      </c>
      <c r="Y164" s="52">
        <f>'Input - Pasture Beef'!H160</f>
        <v>0.09</v>
      </c>
      <c r="Z164" s="52">
        <f>'Input - Pasture Beef'!I160</f>
        <v>0.09</v>
      </c>
      <c r="AA164" s="52">
        <f>'Input - Pasture Beef'!J160</f>
        <v>0.09</v>
      </c>
      <c r="AB164" s="52">
        <f>'Input - Pasture Beef'!K160</f>
        <v>0.09</v>
      </c>
      <c r="AC164" s="52">
        <f>'Input - Pasture Beef'!L160</f>
        <v>0.09</v>
      </c>
      <c r="AD164" s="52">
        <f>'Input - Pasture Beef'!M160</f>
        <v>0.09</v>
      </c>
      <c r="AE164" s="52">
        <f>'Input - Pasture Beef'!N160</f>
        <v>0.09</v>
      </c>
      <c r="AF164" s="2" t="s">
        <v>140</v>
      </c>
    </row>
    <row r="165" spans="3:34" ht="20.100000000000001" customHeight="1" x14ac:dyDescent="0.25">
      <c r="U165" s="52" t="str">
        <f>TEXT(EDATE('Input - Site'!$E$12,1), "mmmm yyyy")</f>
        <v>February 2024</v>
      </c>
      <c r="V165" s="52">
        <f>'Input - Pasture Beef'!E161</f>
        <v>0.09</v>
      </c>
      <c r="W165" s="52">
        <f>'Input - Pasture Beef'!F161</f>
        <v>0.09</v>
      </c>
      <c r="X165" s="52">
        <f>'Input - Pasture Beef'!G161</f>
        <v>0.09</v>
      </c>
      <c r="Y165" s="52">
        <f>'Input - Pasture Beef'!H161</f>
        <v>0.09</v>
      </c>
      <c r="Z165" s="52">
        <f>'Input - Pasture Beef'!I161</f>
        <v>0.09</v>
      </c>
      <c r="AA165" s="52">
        <f>'Input - Pasture Beef'!J161</f>
        <v>0.09</v>
      </c>
      <c r="AB165" s="52">
        <f>'Input - Pasture Beef'!K161</f>
        <v>0.09</v>
      </c>
      <c r="AC165" s="52">
        <f>'Input - Pasture Beef'!L161</f>
        <v>0.09</v>
      </c>
      <c r="AD165" s="52">
        <f>'Input - Pasture Beef'!M161</f>
        <v>0.09</v>
      </c>
      <c r="AE165" s="52">
        <f>'Input - Pasture Beef'!N161</f>
        <v>0.09</v>
      </c>
      <c r="AF165" s="2" t="s">
        <v>140</v>
      </c>
    </row>
    <row r="166" spans="3:34" ht="20.100000000000001" customHeight="1" x14ac:dyDescent="0.25">
      <c r="D166" s="99" t="s">
        <v>297</v>
      </c>
      <c r="U166" s="52" t="str">
        <f>TEXT(EDATE('Input - Site'!$E$12,2), "mmmm yyyy")</f>
        <v>March 2024</v>
      </c>
      <c r="V166" s="52">
        <f>'Input - Pasture Beef'!E162</f>
        <v>0.06</v>
      </c>
      <c r="W166" s="52">
        <f>'Input - Pasture Beef'!F162</f>
        <v>0.06</v>
      </c>
      <c r="X166" s="52">
        <f>'Input - Pasture Beef'!G162</f>
        <v>0.06</v>
      </c>
      <c r="Y166" s="52">
        <f>'Input - Pasture Beef'!H162</f>
        <v>0.06</v>
      </c>
      <c r="Z166" s="52">
        <f>'Input - Pasture Beef'!I162</f>
        <v>0.06</v>
      </c>
      <c r="AA166" s="52">
        <f>'Input - Pasture Beef'!J162</f>
        <v>0.06</v>
      </c>
      <c r="AB166" s="52">
        <f>'Input - Pasture Beef'!K162</f>
        <v>0.06</v>
      </c>
      <c r="AC166" s="52">
        <f>'Input - Pasture Beef'!L162</f>
        <v>0.06</v>
      </c>
      <c r="AD166" s="52">
        <f>'Input - Pasture Beef'!M162</f>
        <v>0.06</v>
      </c>
      <c r="AE166" s="52">
        <f>'Input - Pasture Beef'!N162</f>
        <v>0.06</v>
      </c>
      <c r="AF166" s="2" t="s">
        <v>140</v>
      </c>
    </row>
    <row r="167" spans="3:34" ht="20.100000000000001" customHeight="1" x14ac:dyDescent="0.25">
      <c r="D167" s="98" t="s">
        <v>314</v>
      </c>
      <c r="U167" s="52" t="str">
        <f>TEXT(EDATE('Input - Site'!$E$12,3), "mmmm yyyy")</f>
        <v>April 2024</v>
      </c>
      <c r="V167" s="52">
        <f>'Input - Pasture Beef'!E163</f>
        <v>0.06</v>
      </c>
      <c r="W167" s="52">
        <f>'Input - Pasture Beef'!F163</f>
        <v>0.06</v>
      </c>
      <c r="X167" s="52">
        <f>'Input - Pasture Beef'!G163</f>
        <v>0.06</v>
      </c>
      <c r="Y167" s="52">
        <f>'Input - Pasture Beef'!H163</f>
        <v>0.06</v>
      </c>
      <c r="Z167" s="52">
        <f>'Input - Pasture Beef'!I163</f>
        <v>0.06</v>
      </c>
      <c r="AA167" s="52">
        <f>'Input - Pasture Beef'!J163</f>
        <v>0.06</v>
      </c>
      <c r="AB167" s="52">
        <f>'Input - Pasture Beef'!K163</f>
        <v>0.06</v>
      </c>
      <c r="AC167" s="52">
        <f>'Input - Pasture Beef'!L163</f>
        <v>0.06</v>
      </c>
      <c r="AD167" s="52">
        <f>'Input - Pasture Beef'!M163</f>
        <v>0.06</v>
      </c>
      <c r="AE167" s="52">
        <f>'Input - Pasture Beef'!N163</f>
        <v>0.06</v>
      </c>
      <c r="AF167" s="2" t="s">
        <v>140</v>
      </c>
    </row>
    <row r="168" spans="3:34" ht="20.100000000000001" customHeight="1" x14ac:dyDescent="0.25">
      <c r="D168" s="51" t="s">
        <v>183</v>
      </c>
      <c r="E168" s="51" t="s">
        <v>130</v>
      </c>
      <c r="F168" s="51" t="s">
        <v>129</v>
      </c>
      <c r="G168" s="51" t="s">
        <v>164</v>
      </c>
      <c r="H168" s="51" t="s">
        <v>165</v>
      </c>
      <c r="I168" s="51" t="s">
        <v>166</v>
      </c>
      <c r="J168" s="51" t="s">
        <v>167</v>
      </c>
      <c r="K168" s="51" t="s">
        <v>168</v>
      </c>
      <c r="L168" s="51" t="s">
        <v>169</v>
      </c>
      <c r="M168" s="51" t="s">
        <v>170</v>
      </c>
      <c r="N168" s="51" t="s">
        <v>171</v>
      </c>
      <c r="U168" s="52" t="str">
        <f>TEXT(EDATE('Input - Site'!$E$12,4), "mmmm yyyy")</f>
        <v>May 2024</v>
      </c>
      <c r="V168" s="52">
        <f>'Input - Pasture Beef'!E164</f>
        <v>0.06</v>
      </c>
      <c r="W168" s="52">
        <f>'Input - Pasture Beef'!F164</f>
        <v>0.06</v>
      </c>
      <c r="X168" s="52">
        <f>'Input - Pasture Beef'!G164</f>
        <v>0.06</v>
      </c>
      <c r="Y168" s="52">
        <f>'Input - Pasture Beef'!H164</f>
        <v>0.06</v>
      </c>
      <c r="Z168" s="52">
        <f>'Input - Pasture Beef'!I164</f>
        <v>0.06</v>
      </c>
      <c r="AA168" s="52">
        <f>'Input - Pasture Beef'!J164</f>
        <v>0.06</v>
      </c>
      <c r="AB168" s="52">
        <f>'Input - Pasture Beef'!K164</f>
        <v>0.06</v>
      </c>
      <c r="AC168" s="52">
        <f>'Input - Pasture Beef'!L164</f>
        <v>0.06</v>
      </c>
      <c r="AD168" s="52">
        <f>'Input - Pasture Beef'!M164</f>
        <v>0.06</v>
      </c>
      <c r="AE168" s="52">
        <f>'Input - Pasture Beef'!N164</f>
        <v>0.06</v>
      </c>
      <c r="AF168" s="2" t="s">
        <v>140</v>
      </c>
      <c r="AG168" s="2"/>
      <c r="AH168" s="2"/>
    </row>
    <row r="169" spans="3:34" ht="20.100000000000001" customHeight="1" x14ac:dyDescent="0.25">
      <c r="D169" s="52" t="s">
        <v>172</v>
      </c>
      <c r="E169" s="52">
        <f>(((E54 * E153) / 6.25) + ((0.032 * F161) / 6.38) - E127 - ((1.1 * 10 ^ -4 * E20 ^ 0.75) / 6.25))</f>
        <v>0.26350651585923002</v>
      </c>
      <c r="F169" s="52">
        <f>(((F54 * F153) / 6.25) + ((0.032 * G161) / 6.38) - F127 - ((1.1 * 10 ^ -4 * F20 ^ 0.75) / 6.25))</f>
        <v>0.37708133734232585</v>
      </c>
      <c r="G169" s="52">
        <f>(((G54 * G153) / 6.25) + ((0.032 * H161) / 6.38) - G127 - ((1.1 * 10 ^ -4 * G20 ^ 0.75) / 6.25))</f>
        <v>0.20744815814809262</v>
      </c>
      <c r="H169" s="52">
        <f>(((H54 * H153) / 6.25) + ((0.032 * I161) / 6.38) - H127 - ((1.1 * 10 ^ -4 * H20 ^ 0.75) / 6.25))</f>
        <v>0.27698096705009545</v>
      </c>
      <c r="I169" s="52">
        <f>(((I54 * I153) / 6.25) + ((0.032 * J161) / 6.38) - I127 - ((1.1 * 10 ^ -4 * I20 ^ 0.75) / 6.25))</f>
        <v>0.34118759264783</v>
      </c>
      <c r="J169" s="52">
        <f>(((J54 * J153) / 6.25) + ((0.032 * K161) / 6.38) - J127 - ((1.1 * 10 ^ -4 * J20 ^ 0.75) / 6.25))</f>
        <v>0.34118759264783</v>
      </c>
      <c r="K169" s="52">
        <f>(((K54 * K153) / 6.25) + ((0.032 * L161) / 6.38) - K127 - ((1.1 * 10 ^ -4 * K20 ^ 0.75) / 6.25))</f>
        <v>0.23489856582312055</v>
      </c>
      <c r="L169" s="52">
        <f>(((L54 * L153) / 6.25) + ((0.032 * M161) / 6.38) - L127 - ((1.1 * 10 ^ -4 * L20 ^ 0.75) / 6.25))</f>
        <v>0.2934676863299529</v>
      </c>
      <c r="M169" s="52">
        <f>(((M54 * M153) / 6.25) + ((0.032 * N161) / 6.38) - M127 - ((1.1 * 10 ^ -4 * M20 ^ 0.75) / 6.25))</f>
        <v>0.2934676863299529</v>
      </c>
      <c r="N169" s="52">
        <f>(((N54 * N153) / 6.25) + ((0.032 * O161) / 6.38) - N127 - ((1.1 * 10 ^ -4 * N20 ^ 0.75) / 6.25))</f>
        <v>0.2934676863299529</v>
      </c>
      <c r="O169" s="2" t="str">
        <f>$E$140</f>
        <v>kg N/head/day</v>
      </c>
      <c r="U169" s="52" t="str">
        <f>TEXT(EDATE('Input - Site'!$E$12,5), "mmmm yyyy")</f>
        <v>June 2024</v>
      </c>
      <c r="V169" s="52">
        <f>'Input - Pasture Beef'!E165</f>
        <v>0.2</v>
      </c>
      <c r="W169" s="52">
        <f>'Input - Pasture Beef'!F165</f>
        <v>0.2</v>
      </c>
      <c r="X169" s="52">
        <f>'Input - Pasture Beef'!G165</f>
        <v>0.2</v>
      </c>
      <c r="Y169" s="52">
        <f>'Input - Pasture Beef'!H165</f>
        <v>0.2</v>
      </c>
      <c r="Z169" s="52">
        <f>'Input - Pasture Beef'!I165</f>
        <v>0.2</v>
      </c>
      <c r="AA169" s="52">
        <f>'Input - Pasture Beef'!J165</f>
        <v>0.2</v>
      </c>
      <c r="AB169" s="52">
        <f>'Input - Pasture Beef'!K165</f>
        <v>0.2</v>
      </c>
      <c r="AC169" s="52">
        <f>'Input - Pasture Beef'!L165</f>
        <v>0.2</v>
      </c>
      <c r="AD169" s="52">
        <f>'Input - Pasture Beef'!M165</f>
        <v>0.2</v>
      </c>
      <c r="AE169" s="52">
        <f>'Input - Pasture Beef'!N165</f>
        <v>0.2</v>
      </c>
      <c r="AF169" s="2" t="s">
        <v>140</v>
      </c>
      <c r="AG169" s="2"/>
      <c r="AH169" s="2"/>
    </row>
    <row r="170" spans="3:34" ht="20.100000000000001" customHeight="1" x14ac:dyDescent="0.25">
      <c r="D170" s="52" t="s">
        <v>173</v>
      </c>
      <c r="E170" s="52">
        <f>(((E55 * E154) / 6.25) + ((0.032 * F162) / 6.38) - E128 - ((1.1 * 10 ^ -4 * E21 ^ 0.75) / 6.25))</f>
        <v>9.3275223802458812E-2</v>
      </c>
      <c r="F170" s="52">
        <f>(((F55 * F154) / 6.25) + ((0.032 * G162) / 6.38) - F128 - ((1.1 * 10 ^ -4 * F21 ^ 0.75) / 6.25))</f>
        <v>0.13601872675007995</v>
      </c>
      <c r="G170" s="52">
        <f>(((G55 * G154) / 6.25) + ((0.032 * H162) / 6.38) - G128 - ((1.1 * 10 ^ -4 * G21 ^ 0.75) / 6.25))</f>
        <v>7.7811027960341214E-2</v>
      </c>
      <c r="H170" s="52">
        <f>(((H55 * H154) / 6.25) + ((0.032 * I162) / 6.38) - H128 - ((1.1 * 10 ^ -4 * H21 ^ 0.75) / 6.25))</f>
        <v>0.11211505645345723</v>
      </c>
      <c r="I170" s="52">
        <f>(((I55 * I154) / 6.25) + ((0.032 * J162) / 6.38) - I128 - ((1.1 * 10 ^ -4 * I21 ^ 0.75) / 6.25))</f>
        <v>0.11725024145638518</v>
      </c>
      <c r="J170" s="52">
        <f>(((J55 * J154) / 6.25) + ((0.032 * K162) / 6.38) - J128 - ((1.1 * 10 ^ -4 * J21 ^ 0.75) / 6.25))</f>
        <v>0.11725024145638518</v>
      </c>
      <c r="K170" s="52">
        <f>(((K55 * K154) / 6.25) + ((0.032 * L162) / 6.38) - K128 - ((1.1 * 10 ^ -4 * K21 ^ 0.75) / 6.25))</f>
        <v>8.562550571362422E-2</v>
      </c>
      <c r="L170" s="52">
        <f>(((L55 * L154) / 6.25) + ((0.032 * M162) / 6.38) - L128 - ((1.1 * 10 ^ -4 * L21 ^ 0.75) / 6.25))</f>
        <v>0.1054491491748196</v>
      </c>
      <c r="M170" s="52">
        <f>(((M55 * M154) / 6.25) + ((0.032 * N162) / 6.38) - M128 - ((1.1 * 10 ^ -4 * M21 ^ 0.75) / 6.25))</f>
        <v>0.1054491491748196</v>
      </c>
      <c r="N170" s="52">
        <f>(((N55 * N154) / 6.25) + ((0.032 * O162) / 6.38) - N128 - ((1.1 * 10 ^ -4 * N21 ^ 0.75) / 6.25))</f>
        <v>0.1054491491748196</v>
      </c>
      <c r="O170" s="2" t="str">
        <f t="shared" ref="O170:O172" si="8">$E$140</f>
        <v>kg N/head/day</v>
      </c>
      <c r="U170" s="52" t="str">
        <f>TEXT(EDATE('Input - Site'!$E$12,6), "mmmm yyyy")</f>
        <v>July 2024</v>
      </c>
      <c r="V170" s="52">
        <f>'Input - Pasture Beef'!E166</f>
        <v>0.2</v>
      </c>
      <c r="W170" s="52">
        <f>'Input - Pasture Beef'!F166</f>
        <v>0.2</v>
      </c>
      <c r="X170" s="52">
        <f>'Input - Pasture Beef'!G166</f>
        <v>0.2</v>
      </c>
      <c r="Y170" s="52">
        <f>'Input - Pasture Beef'!H166</f>
        <v>0.2</v>
      </c>
      <c r="Z170" s="52">
        <f>'Input - Pasture Beef'!I166</f>
        <v>0.2</v>
      </c>
      <c r="AA170" s="52">
        <f>'Input - Pasture Beef'!J166</f>
        <v>0.2</v>
      </c>
      <c r="AB170" s="52">
        <f>'Input - Pasture Beef'!K166</f>
        <v>0.2</v>
      </c>
      <c r="AC170" s="52">
        <f>'Input - Pasture Beef'!L166</f>
        <v>0.2</v>
      </c>
      <c r="AD170" s="52">
        <f>'Input - Pasture Beef'!M166</f>
        <v>0.2</v>
      </c>
      <c r="AE170" s="52">
        <f>'Input - Pasture Beef'!N166</f>
        <v>0.2</v>
      </c>
      <c r="AF170" s="2" t="s">
        <v>140</v>
      </c>
      <c r="AG170" s="2"/>
      <c r="AH170" s="2"/>
    </row>
    <row r="171" spans="3:34" ht="20.100000000000001" customHeight="1" x14ac:dyDescent="0.25">
      <c r="D171" s="52" t="s">
        <v>174</v>
      </c>
      <c r="E171" s="52">
        <f>(((E56 * E155) / 6.25) + ((0.032 * F163) / 6.38) - E129 - ((1.1 * 10 ^ -4 * E22 ^ 0.75) / 6.25))</f>
        <v>1.3490587405558481E-2</v>
      </c>
      <c r="F171" s="52">
        <f>(((F56 * F155) / 6.25) + ((0.032 * G163) / 6.38) - F129 - ((1.1 * 10 ^ -4 * F22 ^ 0.75) / 6.25))</f>
        <v>8.8133023634157495E-2</v>
      </c>
      <c r="G171" s="52">
        <f>(((G56 * G155) / 6.25) + ((0.032 * H163) / 6.38) - G129 - ((1.1 * 10 ^ -4 * G22 ^ 0.75) / 6.25))</f>
        <v>1.1001898802853755E-2</v>
      </c>
      <c r="H171" s="52">
        <f>(((H56 * H155) / 6.25) + ((0.032 * I163) / 6.38) - H129 - ((1.1 * 10 ^ -4 * H22 ^ 0.75) / 6.25))</f>
        <v>5.2902961709211542E-2</v>
      </c>
      <c r="I171" s="52">
        <f>(((I56 * I155) / 6.25) + ((0.032 * J163) / 6.38) - I129 - ((1.1 * 10 ^ -4 * I22 ^ 0.75) / 6.25))</f>
        <v>6.9185083188389812E-2</v>
      </c>
      <c r="J171" s="52">
        <f>(((J56 * J155) / 6.25) + ((0.032 * K163) / 6.38) - J129 - ((1.1 * 10 ^ -4 * J22 ^ 0.75) / 6.25))</f>
        <v>6.9185083188389812E-2</v>
      </c>
      <c r="K171" s="52">
        <f>(((K56 * K155) / 6.25) + ((0.032 * L163) / 6.38) - K129 - ((1.1 * 10 ^ -4 * K22 ^ 0.75) / 6.25))</f>
        <v>1.3731587835013218E-2</v>
      </c>
      <c r="L171" s="52">
        <f>(((L56 * L155) / 6.25) + ((0.032 * M163) / 6.38) - L129 - ((1.1 * 10 ^ -4 * L22 ^ 0.75) / 6.25))</f>
        <v>5.520208336562428E-2</v>
      </c>
      <c r="M171" s="52">
        <f>(((M56 * M155) / 6.25) + ((0.032 * N163) / 6.38) - M129 - ((1.1 * 10 ^ -4 * M22 ^ 0.75) / 6.25))</f>
        <v>5.520208336562428E-2</v>
      </c>
      <c r="N171" s="52">
        <f>(((N56 * N155) / 6.25) + ((0.032 * O163) / 6.38) - N129 - ((1.1 * 10 ^ -4 * N22 ^ 0.75) / 6.25))</f>
        <v>5.520208336562428E-2</v>
      </c>
      <c r="O171" s="2" t="str">
        <f t="shared" si="8"/>
        <v>kg N/head/day</v>
      </c>
      <c r="U171" s="52" t="str">
        <f>TEXT(EDATE('Input - Site'!$E$12,7), "mmmm yyyy")</f>
        <v>August 2024</v>
      </c>
      <c r="V171" s="52">
        <f>'Input - Pasture Beef'!E167</f>
        <v>0.2</v>
      </c>
      <c r="W171" s="52">
        <f>'Input - Pasture Beef'!F167</f>
        <v>0.2</v>
      </c>
      <c r="X171" s="52">
        <f>'Input - Pasture Beef'!G167</f>
        <v>0.2</v>
      </c>
      <c r="Y171" s="52">
        <f>'Input - Pasture Beef'!H167</f>
        <v>0.2</v>
      </c>
      <c r="Z171" s="52">
        <f>'Input - Pasture Beef'!I167</f>
        <v>0.2</v>
      </c>
      <c r="AA171" s="52">
        <f>'Input - Pasture Beef'!J167</f>
        <v>0.2</v>
      </c>
      <c r="AB171" s="52">
        <f>'Input - Pasture Beef'!K167</f>
        <v>0.2</v>
      </c>
      <c r="AC171" s="52">
        <f>'Input - Pasture Beef'!L167</f>
        <v>0.2</v>
      </c>
      <c r="AD171" s="52">
        <f>'Input - Pasture Beef'!M167</f>
        <v>0.2</v>
      </c>
      <c r="AE171" s="52">
        <f>'Input - Pasture Beef'!N167</f>
        <v>0.2</v>
      </c>
      <c r="AF171" s="2" t="s">
        <v>140</v>
      </c>
      <c r="AG171" s="2"/>
      <c r="AH171" s="2"/>
    </row>
    <row r="172" spans="3:34" ht="20.100000000000001" customHeight="1" x14ac:dyDescent="0.25">
      <c r="D172" s="52" t="s">
        <v>175</v>
      </c>
      <c r="E172" s="52">
        <f>(((E57 * E156) / 6.25) + ((0.032 * F164) / 6.38) - E130 - ((1.1 * 10 ^ -4 * E23 ^ 0.75) / 6.25))</f>
        <v>0.16782142173820769</v>
      </c>
      <c r="F172" s="52">
        <f>(((F57 * F156) / 6.25) + ((0.032 * G164) / 6.38) - F130 - ((1.1 * 10 ^ -4 * F23 ^ 0.75) / 6.25))</f>
        <v>0.31425341534791917</v>
      </c>
      <c r="G172" s="52">
        <f>(((G57 * G156) / 6.25) + ((0.032 * H164) / 6.38) - G130 - ((1.1 * 10 ^ -4 * G23 ^ 0.75) / 6.25))</f>
        <v>0.14439972918793106</v>
      </c>
      <c r="H172" s="52">
        <f>(((H57 * H156) / 6.25) + ((0.032 * I164) / 6.38) - H130 - ((1.1 * 10 ^ -4 * H23 ^ 0.75) / 6.25))</f>
        <v>0.20538320393122031</v>
      </c>
      <c r="I172" s="52">
        <f>(((I57 * I156) / 6.25) + ((0.032 * J164) / 6.38) - I130 - ((1.1 * 10 ^ -4 * I23 ^ 0.75) / 6.25))</f>
        <v>0.27448186171350092</v>
      </c>
      <c r="J172" s="52">
        <f>(((J57 * J156) / 6.25) + ((0.032 * K164) / 6.38) - J130 - ((1.1 * 10 ^ -4 * J23 ^ 0.75) / 6.25))</f>
        <v>0.27448186171350092</v>
      </c>
      <c r="K172" s="52">
        <f>(((K57 * K156) / 6.25) + ((0.032 * L164) / 6.38) - K130 - ((1.1 * 10 ^ -4 * K23 ^ 0.75) / 6.25))</f>
        <v>0.15390387455817453</v>
      </c>
      <c r="L172" s="52">
        <f>(((L57 * L156) / 6.25) + ((0.032 * M164) / 6.38) - L130 - ((1.1 * 10 ^ -4 * L23 ^ 0.75) / 6.25))</f>
        <v>0.21091009356426255</v>
      </c>
      <c r="M172" s="52">
        <f>(((M57 * M156) / 6.25) + ((0.032 * N164) / 6.38) - M130 - ((1.1 * 10 ^ -4 * M23 ^ 0.75) / 6.25))</f>
        <v>0.21091009356426255</v>
      </c>
      <c r="N172" s="52">
        <f>(((N57 * N156) / 6.25) + ((0.032 * O164) / 6.38) - N130 - ((1.1 * 10 ^ -4 * N23 ^ 0.75) / 6.25))</f>
        <v>0.21091009356426255</v>
      </c>
      <c r="O172" s="2" t="str">
        <f t="shared" si="8"/>
        <v>kg N/head/day</v>
      </c>
      <c r="U172" s="52" t="str">
        <f>TEXT(EDATE('Input - Site'!$E$12,8), "mmmm yyyy")</f>
        <v>September 2024</v>
      </c>
      <c r="V172" s="52">
        <f>'Input - Pasture Beef'!E168</f>
        <v>0.2</v>
      </c>
      <c r="W172" s="52">
        <f>'Input - Pasture Beef'!F168</f>
        <v>0.2</v>
      </c>
      <c r="X172" s="52">
        <f>'Input - Pasture Beef'!G168</f>
        <v>0.2</v>
      </c>
      <c r="Y172" s="52">
        <f>'Input - Pasture Beef'!H168</f>
        <v>0.2</v>
      </c>
      <c r="Z172" s="52">
        <f>'Input - Pasture Beef'!I168</f>
        <v>0.2</v>
      </c>
      <c r="AA172" s="52">
        <f>'Input - Pasture Beef'!J168</f>
        <v>0.2</v>
      </c>
      <c r="AB172" s="52">
        <f>'Input - Pasture Beef'!K168</f>
        <v>0.2</v>
      </c>
      <c r="AC172" s="52">
        <f>'Input - Pasture Beef'!L168</f>
        <v>0.2</v>
      </c>
      <c r="AD172" s="52">
        <f>'Input - Pasture Beef'!M168</f>
        <v>0.2</v>
      </c>
      <c r="AE172" s="52">
        <f>'Input - Pasture Beef'!N168</f>
        <v>0.2</v>
      </c>
      <c r="AF172" s="2" t="s">
        <v>140</v>
      </c>
      <c r="AG172" s="2"/>
      <c r="AH172" s="2"/>
    </row>
    <row r="173" spans="3:34" ht="20.100000000000001" customHeight="1" x14ac:dyDescent="0.25">
      <c r="U173" s="52" t="str">
        <f>TEXT(EDATE('Input - Site'!$E$12,9), "mmmm yyyy")</f>
        <v>October 2024</v>
      </c>
      <c r="V173" s="52">
        <f>'Input - Pasture Beef'!E169</f>
        <v>0.2</v>
      </c>
      <c r="W173" s="52">
        <f>'Input - Pasture Beef'!F169</f>
        <v>0.2</v>
      </c>
      <c r="X173" s="52">
        <f>'Input - Pasture Beef'!G169</f>
        <v>0.2</v>
      </c>
      <c r="Y173" s="52">
        <f>'Input - Pasture Beef'!H169</f>
        <v>0.2</v>
      </c>
      <c r="Z173" s="52">
        <f>'Input - Pasture Beef'!I169</f>
        <v>0.2</v>
      </c>
      <c r="AA173" s="52">
        <f>'Input - Pasture Beef'!J169</f>
        <v>0.2</v>
      </c>
      <c r="AB173" s="52">
        <f>'Input - Pasture Beef'!K169</f>
        <v>0.2</v>
      </c>
      <c r="AC173" s="52">
        <f>'Input - Pasture Beef'!L169</f>
        <v>0.2</v>
      </c>
      <c r="AD173" s="52">
        <f>'Input - Pasture Beef'!M169</f>
        <v>0.2</v>
      </c>
      <c r="AE173" s="52">
        <f>'Input - Pasture Beef'!N169</f>
        <v>0.2</v>
      </c>
      <c r="AF173" s="2" t="s">
        <v>140</v>
      </c>
      <c r="AG173" s="2"/>
      <c r="AH173" s="2"/>
    </row>
    <row r="174" spans="3:34" ht="20.100000000000001" customHeight="1" x14ac:dyDescent="0.25">
      <c r="U174" s="52" t="str">
        <f>TEXT(EDATE('Input - Site'!$E$12,10), "mmmm yyyy")</f>
        <v>November 2024</v>
      </c>
      <c r="V174" s="52">
        <f>'Input - Pasture Beef'!E170</f>
        <v>0.2</v>
      </c>
      <c r="W174" s="52">
        <f>'Input - Pasture Beef'!F170</f>
        <v>0.2</v>
      </c>
      <c r="X174" s="52">
        <f>'Input - Pasture Beef'!G170</f>
        <v>0.2</v>
      </c>
      <c r="Y174" s="52">
        <f>'Input - Pasture Beef'!H170</f>
        <v>0.2</v>
      </c>
      <c r="Z174" s="52">
        <f>'Input - Pasture Beef'!I170</f>
        <v>0.2</v>
      </c>
      <c r="AA174" s="52">
        <f>'Input - Pasture Beef'!J170</f>
        <v>0.2</v>
      </c>
      <c r="AB174" s="52">
        <f>'Input - Pasture Beef'!K170</f>
        <v>0.2</v>
      </c>
      <c r="AC174" s="52">
        <f>'Input - Pasture Beef'!L170</f>
        <v>0.2</v>
      </c>
      <c r="AD174" s="52">
        <f>'Input - Pasture Beef'!M170</f>
        <v>0.2</v>
      </c>
      <c r="AE174" s="52">
        <f>'Input - Pasture Beef'!N170</f>
        <v>0.2</v>
      </c>
      <c r="AF174" s="2" t="s">
        <v>140</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'Input - Pasture Beef'!E171</f>
        <v>0.09</v>
      </c>
      <c r="W175" s="52">
        <f>'Input - Pasture Beef'!F171</f>
        <v>0.09</v>
      </c>
      <c r="X175" s="52">
        <f>'Input - Pasture Beef'!G171</f>
        <v>0.09</v>
      </c>
      <c r="Y175" s="52">
        <f>'Input - Pasture Beef'!H171</f>
        <v>0.09</v>
      </c>
      <c r="Z175" s="52">
        <f>'Input - Pasture Beef'!I171</f>
        <v>0.09</v>
      </c>
      <c r="AA175" s="52">
        <f>'Input - Pasture Beef'!J171</f>
        <v>0.09</v>
      </c>
      <c r="AB175" s="52">
        <f>'Input - Pasture Beef'!K171</f>
        <v>0.09</v>
      </c>
      <c r="AC175" s="52">
        <f>'Input - Pasture Beef'!L171</f>
        <v>0.09</v>
      </c>
      <c r="AD175" s="52">
        <f>'Input - Pasture Beef'!M171</f>
        <v>0.09</v>
      </c>
      <c r="AE175" s="52">
        <f>'Input - Pasture Beef'!N171</f>
        <v>0.09</v>
      </c>
      <c r="AF175" s="2" t="s">
        <v>140</v>
      </c>
      <c r="AG175" s="2"/>
      <c r="AH175" s="2"/>
    </row>
    <row r="176" spans="3:34" ht="20.100000000000001" customHeight="1" x14ac:dyDescent="0.25">
      <c r="D176" s="6" t="s">
        <v>443</v>
      </c>
      <c r="AG176" s="2"/>
      <c r="AH176" s="2"/>
    </row>
    <row r="177" spans="4:34" ht="20.100000000000001" customHeight="1" x14ac:dyDescent="0.25">
      <c r="D177" s="5" t="s">
        <v>444</v>
      </c>
      <c r="U177" s="99" t="s">
        <v>296</v>
      </c>
      <c r="AH177" s="2"/>
    </row>
    <row r="178" spans="4:34" ht="20.100000000000001" customHeight="1" x14ac:dyDescent="0.25">
      <c r="D178" s="13"/>
      <c r="E178" s="13"/>
      <c r="U178" s="98" t="s">
        <v>312</v>
      </c>
      <c r="AH178" s="2"/>
    </row>
    <row r="179" spans="4:34" ht="20.100000000000001" customHeight="1" x14ac:dyDescent="0.25">
      <c r="U179" s="51" t="s">
        <v>131</v>
      </c>
      <c r="V179" s="51" t="s">
        <v>245</v>
      </c>
      <c r="W179" s="51" t="s">
        <v>130</v>
      </c>
      <c r="X179" s="51" t="s">
        <v>129</v>
      </c>
      <c r="Y179" s="51" t="s">
        <v>164</v>
      </c>
      <c r="Z179" s="51" t="s">
        <v>165</v>
      </c>
      <c r="AA179" s="51" t="s">
        <v>166</v>
      </c>
      <c r="AB179" s="51" t="s">
        <v>167</v>
      </c>
      <c r="AC179" s="51" t="s">
        <v>168</v>
      </c>
      <c r="AD179" s="51" t="s">
        <v>169</v>
      </c>
      <c r="AE179" s="51" t="s">
        <v>170</v>
      </c>
      <c r="AF179" s="51" t="s">
        <v>171</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(Table_SourceData_PastureBeef_FeedIntakeAdjustment_Variation[Breed]=$X$158)*(Table_SourceData_PastureBeef_FeedIntakeAdjustment_Variation[Season]=$V180), Table_SourceData_PastureBeef_FeedIntakeAdjustment_Variation[Milk intake/production], 0)</f>
        <v>4</v>
      </c>
      <c r="X180" s="52">
        <v>0</v>
      </c>
      <c r="Y180" s="52" cm="1">
        <f t="array" ref="Y180">_xlfn.XLOOKUP(1, (Table_SourceData_PastureBeef_FeedIntakeAdjustment_Variation[Breed]=$X$158)*(Table_SourceData_PastureBeef_FeedIntakeAdjustment_Variation[Season]=$V180), Table_SourceData_PastureBeef_FeedIntakeAdjustment_Variation[Milk intake/production], 0)</f>
        <v>4</v>
      </c>
      <c r="Z180" s="52">
        <v>0</v>
      </c>
      <c r="AA180" s="52">
        <v>0</v>
      </c>
      <c r="AB180" s="52">
        <v>0</v>
      </c>
      <c r="AC180" s="52" cm="1">
        <f t="array" ref="AC180">_xlfn.XLOOKUP(1, (Table_SourceData_PastureBeef_FeedIntakeAdjustment_Variation[Breed]=$X$158)*(Table_SourceData_PastureBeef_FeedIntakeAdjustment_Variation[Season]=$V180), Table_SourceData_PastureBeef_FeedIntakeAdjustment_Variation[Milk intake/production], 0)</f>
        <v>4</v>
      </c>
      <c r="AD180" s="52">
        <v>0</v>
      </c>
      <c r="AE180" s="52">
        <v>0</v>
      </c>
      <c r="AF180" s="52">
        <v>0</v>
      </c>
      <c r="AG180" s="2" t="s">
        <v>133</v>
      </c>
    </row>
    <row r="181" spans="4:34" ht="20.100000000000001" customHeight="1" x14ac:dyDescent="0.25">
      <c r="D181" s="53" t="s">
        <v>29</v>
      </c>
      <c r="E181" s="1" t="s">
        <v>300</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(Table_SourceData_PastureBeef_FeedIntakeAdjustment_Variation[Breed]=$X$158)*(Table_SourceData_PastureBeef_FeedIntakeAdjustment_Variation[Season]=$V181),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(Table_SourceData_PastureBeef_FeedIntakeAdjustment_Variation[Breed]=$X$158)*(Table_SourceData_PastureBeef_FeedIntakeAdjustment_Variation[Season]=$V181),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(Table_SourceData_PastureBeef_FeedIntakeAdjustment_Variation[Breed]=$X$158)*(Table_SourceData_PastureBeef_FeedIntakeAdjustment_Variation[Season]=$V181), Table_SourceData_PastureBeef_FeedIntakeAdjustment_Variation[Milk intake/production], 0)</f>
        <v>0</v>
      </c>
      <c r="AD181" s="52">
        <v>0</v>
      </c>
      <c r="AE181" s="52">
        <v>0</v>
      </c>
      <c r="AF181" s="52">
        <v>0</v>
      </c>
      <c r="AG181" s="2" t="s">
        <v>133</v>
      </c>
    </row>
    <row r="182" spans="4:34" ht="20.100000000000001" customHeight="1" x14ac:dyDescent="0.25">
      <c r="D182" s="53" t="s">
        <v>20</v>
      </c>
      <c r="E182" s="54" t="s">
        <v>445</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(Table_SourceData_PastureBeef_FeedIntakeAdjustment_Variation[Breed]=$X$158)*(Table_SourceData_PastureBeef_FeedIntakeAdjustment_Variation[Season]=$V182),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(Table_SourceData_PastureBeef_FeedIntakeAdjustment_Variation[Breed]=$X$158)*(Table_SourceData_PastureBeef_FeedIntakeAdjustment_Variation[Season]=$V182),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(Table_SourceData_PastureBeef_FeedIntakeAdjustment_Variation[Breed]=$X$158)*(Table_SourceData_PastureBeef_FeedIntakeAdjustment_Variation[Season]=$V182), Table_SourceData_PastureBeef_FeedIntakeAdjustment_Variation[Milk intake/production], 0)</f>
        <v>0</v>
      </c>
      <c r="AD182" s="52">
        <v>0</v>
      </c>
      <c r="AE182" s="52">
        <v>0</v>
      </c>
      <c r="AF182" s="52">
        <v>0</v>
      </c>
      <c r="AG182" s="2" t="s">
        <v>133</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(Table_SourceData_PastureBeef_FeedIntakeAdjustment_Variation[Breed]=$X$158)*(Table_SourceData_PastureBeef_FeedIntakeAdjustment_Variation[Season]=$V183),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(Table_SourceData_PastureBeef_FeedIntakeAdjustment_Variation[Breed]=$X$158)*(Table_SourceData_PastureBeef_FeedIntakeAdjustment_Variation[Season]=$V183),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(Table_SourceData_PastureBeef_FeedIntakeAdjustment_Variation[Breed]=$X$158)*(Table_SourceData_PastureBeef_FeedIntakeAdjustment_Variation[Season]=$V183), Table_SourceData_PastureBeef_FeedIntakeAdjustment_Variation[Milk intake/production], 0)</f>
        <v>0</v>
      </c>
      <c r="AD183" s="52">
        <v>0</v>
      </c>
      <c r="AE183" s="52">
        <v>0</v>
      </c>
      <c r="AF183" s="52">
        <v>0</v>
      </c>
      <c r="AG183" s="2" t="s">
        <v>133</v>
      </c>
    </row>
    <row r="184" spans="4:34" ht="20.100000000000001" customHeight="1" x14ac:dyDescent="0.25">
      <c r="D184" s="57" t="str" cm="1">
        <f t="array" ref="D184:E186">(_xlfn.MAKEARRAY(3, 2, _xlfn.LAMBDA(_xlpm.r,_xlpm.c, INDEX({"N_jkl","number of beef cattle by time-period, class and subclass (head)";"NE_jkl","nitrogen excreted in each time-period, by each class and subclass (kg N/head/day)";"D_j","number of days in each time-period (days)"}, _xlpm.r, _xlpm.c))))</f>
        <v>N_jkl</v>
      </c>
      <c r="E184" s="58" t="str">
        <v>number of beef cattle by time-period, class and subclass (head)</v>
      </c>
      <c r="F184" s="100"/>
      <c r="G184" s="59"/>
      <c r="H184" s="57" t="str">
        <f>"See " &amp; $D$188</f>
        <v>See 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(Table_SourceData_PastureBeef_FeedIntakeAdjustment_Variation[Breed]=$X$158)*(Table_SourceData_PastureBeef_FeedIntakeAdjustment_Variation[Season]=$V184),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(Table_SourceData_PastureBeef_FeedIntakeAdjustment_Variation[Breed]=$X$158)*(Table_SourceData_PastureBeef_FeedIntakeAdjustment_Variation[Season]=$V184),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(Table_SourceData_PastureBeef_FeedIntakeAdjustment_Variation[Breed]=$X$158)*(Table_SourceData_PastureBeef_FeedIntakeAdjustment_Variation[Season]=$V184), Table_SourceData_PastureBeef_FeedIntakeAdjustment_Variation[Milk intake/production], 0)</f>
        <v>0</v>
      </c>
      <c r="AD184" s="52">
        <v>0</v>
      </c>
      <c r="AE184" s="52">
        <v>0</v>
      </c>
      <c r="AF184" s="52">
        <v>0</v>
      </c>
      <c r="AG184" s="2" t="s">
        <v>133</v>
      </c>
      <c r="AH184" s="2"/>
    </row>
    <row r="185" spans="4:34" ht="20.100000000000001" customHeight="1" x14ac:dyDescent="0.25">
      <c r="D185" s="57" t="str">
        <v>NE_jkl</v>
      </c>
      <c r="E185" s="58" t="str">
        <v>nitrogen excreted in each time-period, by each class and subclass (kg N/head/day)</v>
      </c>
      <c r="F185" s="100"/>
      <c r="G185" s="59"/>
      <c r="H185" s="57" t="str">
        <f>"See " &amp; $D$166</f>
        <v>See 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(Table_SourceData_PastureBeef_FeedIntakeAdjustment_Variation[Breed]=$X$158)*(Table_SourceData_PastureBeef_FeedIntakeAdjustment_Variation[Season]=$V185),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(Table_SourceData_PastureBeef_FeedIntakeAdjustment_Variation[Breed]=$X$158)*(Table_SourceData_PastureBeef_FeedIntakeAdjustment_Variation[Season]=$V185),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(Table_SourceData_PastureBeef_FeedIntakeAdjustment_Variation[Breed]=$X$158)*(Table_SourceData_PastureBeef_FeedIntakeAdjustment_Variation[Season]=$V185), Table_SourceData_PastureBeef_FeedIntakeAdjustment_Variation[Milk intake/production], 0)</f>
        <v>0</v>
      </c>
      <c r="AD185" s="52">
        <v>0</v>
      </c>
      <c r="AE185" s="52">
        <v>0</v>
      </c>
      <c r="AF185" s="52">
        <v>0</v>
      </c>
      <c r="AG185" s="2" t="s">
        <v>133</v>
      </c>
      <c r="AH185" s="2"/>
    </row>
    <row r="186" spans="4:34" ht="20.100000000000001" customHeight="1" x14ac:dyDescent="0.25">
      <c r="D186" s="57" t="str">
        <v>D_j</v>
      </c>
      <c r="E186" s="58" t="str">
        <v>number of days in each time-period (days)</v>
      </c>
      <c r="F186" s="100"/>
      <c r="G186" s="59"/>
      <c r="H186" s="57" t="str">
        <f>"See " &amp; $D$196</f>
        <v>See 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(Table_SourceData_PastureBeef_FeedIntakeAdjustment_Variation[Breed]=$X$158)*(Table_SourceData_PastureBeef_FeedIntakeAdjustment_Variation[Season]=$V186),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(Table_SourceData_PastureBeef_FeedIntakeAdjustment_Variation[Breed]=$X$158)*(Table_SourceData_PastureBeef_FeedIntakeAdjustment_Variation[Season]=$V186),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(Table_SourceData_PastureBeef_FeedIntakeAdjustment_Variation[Breed]=$X$158)*(Table_SourceData_PastureBeef_FeedIntakeAdjustment_Variation[Season]=$V186), Table_SourceData_PastureBeef_FeedIntakeAdjustment_Variation[Milk intake/production], 0)</f>
        <v>0</v>
      </c>
      <c r="AD186" s="52">
        <v>0</v>
      </c>
      <c r="AE186" s="52">
        <v>0</v>
      </c>
      <c r="AF186" s="52">
        <v>0</v>
      </c>
      <c r="AG186" s="2" t="s">
        <v>133</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(Table_SourceData_PastureBeef_FeedIntakeAdjustment_Variation[Breed]=$X$158)*(Table_SourceData_PastureBeef_FeedIntakeAdjustment_Variation[Season]=$V187), Table_SourceData_PastureBeef_FeedIntakeAdjustment_Variation[Milk intake/production], 0)</f>
        <v>6</v>
      </c>
      <c r="X187" s="52">
        <v>0</v>
      </c>
      <c r="Y187" s="52" cm="1">
        <f t="array" ref="Y187">_xlfn.XLOOKUP(1, (Table_SourceData_PastureBeef_FeedIntakeAdjustment_Variation[Breed]=$X$158)*(Table_SourceData_PastureBeef_FeedIntakeAdjustment_Variation[Season]=$V187), Table_SourceData_PastureBeef_FeedIntakeAdjustment_Variation[Milk intake/production], 0)</f>
        <v>6</v>
      </c>
      <c r="Z187" s="52">
        <v>0</v>
      </c>
      <c r="AA187" s="52">
        <v>0</v>
      </c>
      <c r="AB187" s="52">
        <v>0</v>
      </c>
      <c r="AC187" s="52" cm="1">
        <f t="array" ref="AC187">_xlfn.XLOOKUP(1, (Table_SourceData_PastureBeef_FeedIntakeAdjustment_Variation[Breed]=$X$158)*(Table_SourceData_PastureBeef_FeedIntakeAdjustment_Variation[Season]=$V187), Table_SourceData_PastureBeef_FeedIntakeAdjustment_Variation[Milk intake/production], 0)</f>
        <v>6</v>
      </c>
      <c r="AD187" s="52">
        <v>0</v>
      </c>
      <c r="AE187" s="52">
        <v>0</v>
      </c>
      <c r="AF187" s="52">
        <v>0</v>
      </c>
      <c r="AG187" s="2" t="s">
        <v>133</v>
      </c>
      <c r="AH187" s="2"/>
    </row>
    <row r="188" spans="4:34" ht="20.100000000000001" customHeight="1" x14ac:dyDescent="0.25">
      <c r="D188" s="99" t="s">
        <v>274</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(Table_SourceData_PastureBeef_FeedIntakeAdjustment_Variation[Breed]=$X$158)*(Table_SourceData_PastureBeef_FeedIntakeAdjustment_Variation[Season]=$V188), Table_SourceData_PastureBeef_FeedIntakeAdjustment_Variation[Milk intake/production], 0)</f>
        <v>6</v>
      </c>
      <c r="X188" s="52">
        <v>0</v>
      </c>
      <c r="Y188" s="52" cm="1">
        <f t="array" ref="Y188">_xlfn.XLOOKUP(1, (Table_SourceData_PastureBeef_FeedIntakeAdjustment_Variation[Breed]=$X$158)*(Table_SourceData_PastureBeef_FeedIntakeAdjustment_Variation[Season]=$V188), Table_SourceData_PastureBeef_FeedIntakeAdjustment_Variation[Milk intake/production], 0)</f>
        <v>6</v>
      </c>
      <c r="Z188" s="52">
        <v>0</v>
      </c>
      <c r="AA188" s="52">
        <v>0</v>
      </c>
      <c r="AB188" s="52">
        <v>0</v>
      </c>
      <c r="AC188" s="52" cm="1">
        <f t="array" ref="AC188">_xlfn.XLOOKUP(1, (Table_SourceData_PastureBeef_FeedIntakeAdjustment_Variation[Breed]=$X$158)*(Table_SourceData_PastureBeef_FeedIntakeAdjustment_Variation[Season]=$V188), Table_SourceData_PastureBeef_FeedIntakeAdjustment_Variation[Milk intake/production], 0)</f>
        <v>6</v>
      </c>
      <c r="AD188" s="52">
        <v>0</v>
      </c>
      <c r="AE188" s="52">
        <v>0</v>
      </c>
      <c r="AF188" s="52">
        <v>0</v>
      </c>
      <c r="AG188" s="2" t="s">
        <v>133</v>
      </c>
    </row>
    <row r="189" spans="4:34" ht="20.100000000000001" customHeight="1" x14ac:dyDescent="0.25">
      <c r="D189" s="98" t="s">
        <v>275</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(Table_SourceData_PastureBeef_FeedIntakeAdjustment_Variation[Breed]=$X$158)*(Table_SourceData_PastureBeef_FeedIntakeAdjustment_Variation[Season]=$V189), Table_SourceData_PastureBeef_FeedIntakeAdjustment_Variation[Milk intake/production], 0)</f>
        <v>6</v>
      </c>
      <c r="X189" s="52">
        <v>0</v>
      </c>
      <c r="Y189" s="52" cm="1">
        <f t="array" ref="Y189">_xlfn.XLOOKUP(1, (Table_SourceData_PastureBeef_FeedIntakeAdjustment_Variation[Breed]=$X$158)*(Table_SourceData_PastureBeef_FeedIntakeAdjustment_Variation[Season]=$V189), Table_SourceData_PastureBeef_FeedIntakeAdjustment_Variation[Milk intake/production], 0)</f>
        <v>6</v>
      </c>
      <c r="Z189" s="52">
        <v>0</v>
      </c>
      <c r="AA189" s="52">
        <v>0</v>
      </c>
      <c r="AB189" s="52">
        <v>0</v>
      </c>
      <c r="AC189" s="52" cm="1">
        <f t="array" ref="AC189">_xlfn.XLOOKUP(1, (Table_SourceData_PastureBeef_FeedIntakeAdjustment_Variation[Breed]=$X$158)*(Table_SourceData_PastureBeef_FeedIntakeAdjustment_Variation[Season]=$V189), Table_SourceData_PastureBeef_FeedIntakeAdjustment_Variation[Milk intake/production], 0)</f>
        <v>6</v>
      </c>
      <c r="AD189" s="52">
        <v>0</v>
      </c>
      <c r="AE189" s="52">
        <v>0</v>
      </c>
      <c r="AF189" s="52">
        <v>0</v>
      </c>
      <c r="AG189" s="2" t="s">
        <v>133</v>
      </c>
    </row>
    <row r="190" spans="4:34" ht="20.100000000000001" customHeight="1" x14ac:dyDescent="0.25">
      <c r="D190" s="51" t="s">
        <v>183</v>
      </c>
      <c r="E190" s="51" t="s">
        <v>130</v>
      </c>
      <c r="F190" s="51" t="s">
        <v>129</v>
      </c>
      <c r="G190" s="51" t="s">
        <v>164</v>
      </c>
      <c r="H190" s="51" t="s">
        <v>165</v>
      </c>
      <c r="I190" s="51" t="s">
        <v>166</v>
      </c>
      <c r="J190" s="51" t="s">
        <v>167</v>
      </c>
      <c r="K190" s="51" t="s">
        <v>168</v>
      </c>
      <c r="L190" s="51" t="s">
        <v>169</v>
      </c>
      <c r="M190" s="51" t="s">
        <v>170</v>
      </c>
      <c r="N190" s="51" t="s">
        <v>171</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(Table_SourceData_PastureBeef_FeedIntakeAdjustment_Variation[Breed]=$X$158)*(Table_SourceData_PastureBeef_FeedIntakeAdjustment_Variation[Season]=$V190), Table_SourceData_PastureBeef_FeedIntakeAdjustment_Variation[Milk intake/production], 0)</f>
        <v>4</v>
      </c>
      <c r="X190" s="52">
        <v>0</v>
      </c>
      <c r="Y190" s="52" cm="1">
        <f t="array" ref="Y190">_xlfn.XLOOKUP(1, (Table_SourceData_PastureBeef_FeedIntakeAdjustment_Variation[Breed]=$X$158)*(Table_SourceData_PastureBeef_FeedIntakeAdjustment_Variation[Season]=$V190), Table_SourceData_PastureBeef_FeedIntakeAdjustment_Variation[Milk intake/production], 0)</f>
        <v>4</v>
      </c>
      <c r="Z190" s="52">
        <v>0</v>
      </c>
      <c r="AA190" s="52">
        <v>0</v>
      </c>
      <c r="AB190" s="52">
        <v>0</v>
      </c>
      <c r="AC190" s="52" cm="1">
        <f t="array" ref="AC190">_xlfn.XLOOKUP(1, (Table_SourceData_PastureBeef_FeedIntakeAdjustment_Variation[Breed]=$X$158)*(Table_SourceData_PastureBeef_FeedIntakeAdjustment_Variation[Season]=$V190), Table_SourceData_PastureBeef_FeedIntakeAdjustment_Variation[Milk intake/production], 0)</f>
        <v>4</v>
      </c>
      <c r="AD190" s="52">
        <v>0</v>
      </c>
      <c r="AE190" s="52">
        <v>0</v>
      </c>
      <c r="AF190" s="52">
        <v>0</v>
      </c>
      <c r="AG190" s="2" t="s">
        <v>133</v>
      </c>
    </row>
    <row r="191" spans="4:34" ht="20.100000000000001" customHeight="1" x14ac:dyDescent="0.25">
      <c r="D191" s="52" t="s">
        <v>172</v>
      </c>
      <c r="E191" s="52">
        <f>'Input - Pasture Beef'!E38</f>
        <v>100</v>
      </c>
      <c r="F191" s="52">
        <f>'Input - Pasture Beef'!F38</f>
        <v>100</v>
      </c>
      <c r="G191" s="52">
        <f>'Input - Pasture Beef'!G38</f>
        <v>100</v>
      </c>
      <c r="H191" s="52">
        <f>'Input - Pasture Beef'!H38</f>
        <v>100</v>
      </c>
      <c r="I191" s="52">
        <f>'Input - Pasture Beef'!I38</f>
        <v>100</v>
      </c>
      <c r="J191" s="52">
        <f>'Input - Pasture Beef'!J38</f>
        <v>100</v>
      </c>
      <c r="K191" s="52">
        <f>'Input - Pasture Beef'!K38</f>
        <v>100</v>
      </c>
      <c r="L191" s="52">
        <f>'Input - Pasture Beef'!L38</f>
        <v>100</v>
      </c>
      <c r="M191" s="52">
        <f>'Input - Pasture Beef'!M38</f>
        <v>100</v>
      </c>
      <c r="N191" s="52">
        <f>'Input - Pasture Beef'!N38</f>
        <v>100</v>
      </c>
      <c r="O191" s="2" t="s">
        <v>101</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(Table_SourceData_PastureBeef_FeedIntakeAdjustment_Variation[Breed]=$X$158)*(Table_SourceData_PastureBeef_FeedIntakeAdjustment_Variation[Season]=$V191), Table_SourceData_PastureBeef_FeedIntakeAdjustment_Variation[Milk intake/production], 0)</f>
        <v>4</v>
      </c>
      <c r="X191" s="52">
        <v>0</v>
      </c>
      <c r="Y191" s="52" cm="1">
        <f t="array" ref="Y191">_xlfn.XLOOKUP(1, (Table_SourceData_PastureBeef_FeedIntakeAdjustment_Variation[Breed]=$X$158)*(Table_SourceData_PastureBeef_FeedIntakeAdjustment_Variation[Season]=$V191), Table_SourceData_PastureBeef_FeedIntakeAdjustment_Variation[Milk intake/production], 0)</f>
        <v>4</v>
      </c>
      <c r="Z191" s="52">
        <v>0</v>
      </c>
      <c r="AA191" s="52">
        <v>0</v>
      </c>
      <c r="AB191" s="52">
        <v>0</v>
      </c>
      <c r="AC191" s="52" cm="1">
        <f t="array" ref="AC191">_xlfn.XLOOKUP(1, (Table_SourceData_PastureBeef_FeedIntakeAdjustment_Variation[Breed]=$X$158)*(Table_SourceData_PastureBeef_FeedIntakeAdjustment_Variation[Season]=$V191), Table_SourceData_PastureBeef_FeedIntakeAdjustment_Variation[Milk intake/production], 0)</f>
        <v>4</v>
      </c>
      <c r="AD191" s="52">
        <v>0</v>
      </c>
      <c r="AE191" s="52">
        <v>0</v>
      </c>
      <c r="AF191" s="52">
        <v>0</v>
      </c>
      <c r="AG191" s="2" t="s">
        <v>133</v>
      </c>
    </row>
    <row r="192" spans="4:34" ht="20.100000000000001" customHeight="1" x14ac:dyDescent="0.25">
      <c r="D192" s="52" t="s">
        <v>173</v>
      </c>
      <c r="E192" s="52">
        <f>'Input - Pasture Beef'!E39</f>
        <v>100</v>
      </c>
      <c r="F192" s="52">
        <f>'Input - Pasture Beef'!F39</f>
        <v>100</v>
      </c>
      <c r="G192" s="52">
        <f>'Input - Pasture Beef'!G39</f>
        <v>100</v>
      </c>
      <c r="H192" s="52">
        <f>'Input - Pasture Beef'!H39</f>
        <v>100</v>
      </c>
      <c r="I192" s="52">
        <f>'Input - Pasture Beef'!I39</f>
        <v>100</v>
      </c>
      <c r="J192" s="52">
        <f>'Input - Pasture Beef'!J39</f>
        <v>100</v>
      </c>
      <c r="K192" s="52">
        <f>'Input - Pasture Beef'!K39</f>
        <v>100</v>
      </c>
      <c r="L192" s="52">
        <f>'Input - Pasture Beef'!L39</f>
        <v>100</v>
      </c>
      <c r="M192" s="52">
        <f>'Input - Pasture Beef'!M39</f>
        <v>100</v>
      </c>
      <c r="N192" s="52">
        <f>'Input - Pasture Beef'!N39</f>
        <v>100</v>
      </c>
      <c r="O192" s="2" t="s">
        <v>101</v>
      </c>
    </row>
    <row r="193" spans="4:34" ht="20.100000000000001" customHeight="1" x14ac:dyDescent="0.25">
      <c r="D193" s="52" t="s">
        <v>174</v>
      </c>
      <c r="E193" s="52">
        <f>'Input - Pasture Beef'!E40</f>
        <v>200</v>
      </c>
      <c r="F193" s="52">
        <f>'Input - Pasture Beef'!F40</f>
        <v>100</v>
      </c>
      <c r="G193" s="52">
        <f>'Input - Pasture Beef'!G40</f>
        <v>200</v>
      </c>
      <c r="H193" s="52">
        <f>'Input - Pasture Beef'!H40</f>
        <v>100</v>
      </c>
      <c r="I193" s="52">
        <f>'Input - Pasture Beef'!I40</f>
        <v>100</v>
      </c>
      <c r="J193" s="52">
        <f>'Input - Pasture Beef'!J40</f>
        <v>100</v>
      </c>
      <c r="K193" s="52">
        <f>'Input - Pasture Beef'!K40</f>
        <v>200</v>
      </c>
      <c r="L193" s="52">
        <f>'Input - Pasture Beef'!L40</f>
        <v>100</v>
      </c>
      <c r="M193" s="52">
        <f>'Input - Pasture Beef'!M40</f>
        <v>100</v>
      </c>
      <c r="N193" s="52">
        <f>'Input - Pasture Beef'!N40</f>
        <v>100</v>
      </c>
      <c r="O193" s="2" t="s">
        <v>101</v>
      </c>
      <c r="U193" s="99" t="s">
        <v>315</v>
      </c>
    </row>
    <row r="194" spans="4:34" ht="20.100000000000001" customHeight="1" x14ac:dyDescent="0.25">
      <c r="D194" s="52" t="s">
        <v>175</v>
      </c>
      <c r="E194" s="52">
        <f>'Input - Pasture Beef'!E41</f>
        <v>250</v>
      </c>
      <c r="F194" s="52">
        <f>'Input - Pasture Beef'!F41</f>
        <v>100</v>
      </c>
      <c r="G194" s="52">
        <f>'Input - Pasture Beef'!G41</f>
        <v>250</v>
      </c>
      <c r="H194" s="52">
        <f>'Input - Pasture Beef'!H41</f>
        <v>100</v>
      </c>
      <c r="I194" s="52">
        <f>'Input - Pasture Beef'!I41</f>
        <v>100</v>
      </c>
      <c r="J194" s="52">
        <f>'Input - Pasture Beef'!J41</f>
        <v>100</v>
      </c>
      <c r="K194" s="52">
        <f>'Input - Pasture Beef'!K41</f>
        <v>250</v>
      </c>
      <c r="L194" s="52">
        <f>'Input - Pasture Beef'!L41</f>
        <v>100</v>
      </c>
      <c r="M194" s="52">
        <f>'Input - Pasture Beef'!M41</f>
        <v>100</v>
      </c>
      <c r="N194" s="52">
        <f>'Input - Pasture Beef'!N41</f>
        <v>100</v>
      </c>
      <c r="O194" s="2" t="s">
        <v>101</v>
      </c>
      <c r="U194" s="98" t="s">
        <v>316</v>
      </c>
    </row>
    <row r="195" spans="4:34" ht="20.100000000000001" customHeight="1" x14ac:dyDescent="0.25">
      <c r="U195" s="51" t="s">
        <v>131</v>
      </c>
      <c r="V195" s="51" t="s">
        <v>130</v>
      </c>
      <c r="W195" s="51" t="s">
        <v>129</v>
      </c>
      <c r="X195" s="51" t="s">
        <v>164</v>
      </c>
      <c r="Y195" s="51" t="s">
        <v>165</v>
      </c>
      <c r="Z195" s="51" t="s">
        <v>166</v>
      </c>
      <c r="AA195" s="51" t="s">
        <v>167</v>
      </c>
      <c r="AB195" s="51" t="s">
        <v>168</v>
      </c>
      <c r="AC195" s="51" t="s">
        <v>169</v>
      </c>
      <c r="AD195" s="51" t="s">
        <v>170</v>
      </c>
      <c r="AE195" s="51" t="s">
        <v>171</v>
      </c>
    </row>
    <row r="196" spans="4:34" ht="20.100000000000001" customHeight="1" x14ac:dyDescent="0.25">
      <c r="D196" s="99" t="s">
        <v>145</v>
      </c>
      <c r="U196" s="52" t="str">
        <f>TEXT('Input - Site'!$E$12, "mmmm yyyy")</f>
        <v>January 2024</v>
      </c>
      <c r="V196" s="52">
        <f>(((V56 * V164) / 6.25) + ((0.032 * W180) / 6.38) - V136 - ((1.1 * 10 ^ -4 * V20 ^ 0.75) / 6.25))</f>
        <v>0.11333791972722371</v>
      </c>
      <c r="W196" s="52">
        <f>(((W56 * W164) / 6.25) + ((0.032 * X180) / 6.38) - W136 - ((1.1 * 10 ^ -4 * W20 ^ 0.75) / 6.25))</f>
        <v>0.13601872675007995</v>
      </c>
      <c r="X196" s="52">
        <f>(((X56 * X164) / 6.25) + ((0.032 * Y180) / 6.38) - X136 - ((1.1 * 10 ^ -4 * X20 ^ 0.75) / 6.25))</f>
        <v>9.7873723885106109E-2</v>
      </c>
      <c r="Y196" s="52">
        <f>(((Y56 * Y164) / 6.25) + ((0.032 * Z180) / 6.38) - Y136 - ((1.1 * 10 ^ -4 * Y20 ^ 0.75) / 6.25))</f>
        <v>0.10103589494585365</v>
      </c>
      <c r="Z196" s="52">
        <f>(((Z56 * Z164) / 6.25) + ((0.032 * AA180) / 6.38) - Z136 - ((1.1 * 10 ^ -4 * Z20 ^ 0.75) / 6.25))</f>
        <v>0.10613051058639233</v>
      </c>
      <c r="AA196" s="52">
        <f>(((AA56 * AA164) / 6.25) + ((0.032 * AB180) / 6.38) - AA136 - ((1.1 * 10 ^ -4 * AA20 ^ 0.75) / 6.25))</f>
        <v>0.10613051058639233</v>
      </c>
      <c r="AB196" s="52">
        <f>(((AB56 * AB164) / 6.25) + ((0.032 * AC180) / 6.38) - AB136 - ((1.1 * 10 ^ -4 * AB20 ^ 0.75) / 6.25))</f>
        <v>0.10568820163838911</v>
      </c>
      <c r="AC196" s="52">
        <f>(((AC56 * AC164) / 6.25) + ((0.032 * AD180) / 6.38) - AC136 - ((1.1 * 10 ^ -4 * AC20 ^ 0.75) / 6.25))</f>
        <v>0.1054491491748196</v>
      </c>
      <c r="AD196" s="52">
        <f>(((AD56 * AD164) / 6.25) + ((0.032 * AE180) / 6.38) - AD136 - ((1.1 * 10 ^ -4 * AD20 ^ 0.75) / 6.25))</f>
        <v>0.1054491491748196</v>
      </c>
      <c r="AE196" s="52">
        <f>(((AE56 * AE164) / 6.25) + ((0.032 * AF180) / 6.38) - AE136 - ((1.1 * 10 ^ -4 * AE20 ^ 0.75) / 6.25))</f>
        <v>0.1054491491748196</v>
      </c>
      <c r="AF196" s="2" t="str">
        <f t="shared" ref="AF196:AF207" si="9">$E$140</f>
        <v>kg N/head/day</v>
      </c>
      <c r="AG196" s="2"/>
      <c r="AH196" s="2"/>
    </row>
    <row r="197" spans="4:34" ht="20.100000000000001" customHeight="1" x14ac:dyDescent="0.25">
      <c r="D197" s="98" t="s">
        <v>276</v>
      </c>
      <c r="U197" s="52" t="str">
        <f>TEXT(EDATE('Input - Site'!$E$12,1), "mmmm yyyy")</f>
        <v>February 2024</v>
      </c>
      <c r="V197" s="52">
        <f>(((V57 * V165) / 6.25) + ((0.032 * W181) / 6.38) - V137 - ((1.1 * 10 ^ -4 * V21 ^ 0.75) / 6.25))</f>
        <v>9.3275223802458812E-2</v>
      </c>
      <c r="W197" s="52">
        <f>(((W57 * W165) / 6.25) + ((0.032 * X181) / 6.38) - W137 - ((1.1 * 10 ^ -4 * W21 ^ 0.75) / 6.25))</f>
        <v>0.13601872675007995</v>
      </c>
      <c r="X197" s="52">
        <f>(((X57 * X165) / 6.25) + ((0.032 * Y181) / 6.38) - X137 - ((1.1 * 10 ^ -4 * X21 ^ 0.75) / 6.25))</f>
        <v>7.7811027960341214E-2</v>
      </c>
      <c r="Y197" s="52">
        <f>(((Y57 * Y165) / 6.25) + ((0.032 * Z181) / 6.38) - Y137 - ((1.1 * 10 ^ -4 * Y21 ^ 0.75) / 6.25))</f>
        <v>0.10758035881234858</v>
      </c>
      <c r="Z197" s="52">
        <f>(((Z57 * Z165) / 6.25) + ((0.032 * AA181) / 6.38) - Z137 - ((1.1 * 10 ^ -4 * Z21 ^ 0.75) / 6.25))</f>
        <v>0.11276190880086426</v>
      </c>
      <c r="AA197" s="52">
        <f>(((AA57 * AA165) / 6.25) + ((0.032 * AB181) / 6.38) - AA137 - ((1.1 * 10 ^ -4 * AA21 ^ 0.75) / 6.25))</f>
        <v>0.11276190880086426</v>
      </c>
      <c r="AB197" s="52">
        <f>(((AB57 * AB165) / 6.25) + ((0.032 * AC181) / 6.38) - AB137 - ((1.1 * 10 ^ -4 * AB21 ^ 0.75) / 6.25))</f>
        <v>8.562550571362422E-2</v>
      </c>
      <c r="AC197" s="52">
        <f>(((AC57 * AC165) / 6.25) + ((0.032 * AD181) / 6.38) - AC137 - ((1.1 * 10 ^ -4 * AC21 ^ 0.75) / 6.25))</f>
        <v>0.1054491491748196</v>
      </c>
      <c r="AD197" s="52">
        <f>(((AD57 * AD165) / 6.25) + ((0.032 * AE181) / 6.38) - AD137 - ((1.1 * 10 ^ -4 * AD21 ^ 0.75) / 6.25))</f>
        <v>0.1054491491748196</v>
      </c>
      <c r="AE197" s="52">
        <f>(((AE57 * AE165) / 6.25) + ((0.032 * AF181) / 6.38) - AE137 - ((1.1 * 10 ^ -4 * AE21 ^ 0.75) / 6.25))</f>
        <v>0.1054491491748196</v>
      </c>
      <c r="AF197" s="2" t="str">
        <f t="shared" si="9"/>
        <v>kg N/head/day</v>
      </c>
      <c r="AG197" s="2"/>
      <c r="AH197" s="2"/>
    </row>
    <row r="198" spans="4:34" ht="20.100000000000001" customHeight="1" x14ac:dyDescent="0.25">
      <c r="D198" s="51" t="s">
        <v>183</v>
      </c>
      <c r="E198" s="51" t="s">
        <v>130</v>
      </c>
      <c r="F198" s="51" t="s">
        <v>129</v>
      </c>
      <c r="G198" s="51" t="s">
        <v>164</v>
      </c>
      <c r="H198" s="51" t="s">
        <v>165</v>
      </c>
      <c r="I198" s="51" t="s">
        <v>166</v>
      </c>
      <c r="J198" s="51" t="s">
        <v>167</v>
      </c>
      <c r="K198" s="51" t="s">
        <v>168</v>
      </c>
      <c r="L198" s="51" t="s">
        <v>169</v>
      </c>
      <c r="M198" s="51" t="s">
        <v>170</v>
      </c>
      <c r="N198" s="51" t="s">
        <v>171</v>
      </c>
      <c r="U198" s="52" t="str">
        <f>TEXT(EDATE('Input - Site'!$E$12,2), "mmmm yyyy")</f>
        <v>March 2024</v>
      </c>
      <c r="V198" s="52">
        <f>(((V58 * V166) / 6.25) + ((0.032 * W182) / 6.38) - V138 - ((1.1 * 10 ^ -4 * V22 ^ 0.75) / 6.25))</f>
        <v>1.3490587405558481E-2</v>
      </c>
      <c r="W198" s="52">
        <f>(((W58 * W166) / 6.25) + ((0.032 * X182) / 6.38) - W138 - ((1.1 * 10 ^ -4 * W22 ^ 0.75) / 6.25))</f>
        <v>8.8133023634157495E-2</v>
      </c>
      <c r="X198" s="52">
        <f>(((X58 * X166) / 6.25) + ((0.032 * Y182) / 6.38) - X138 - ((1.1 * 10 ^ -4 * X22 ^ 0.75) / 6.25))</f>
        <v>1.1001898802853755E-2</v>
      </c>
      <c r="Y198" s="52">
        <f>(((Y58 * Y166) / 6.25) + ((0.032 * Z182) / 6.38) - Y138 - ((1.1 * 10 ^ -4 * Y22 ^ 0.75) / 6.25))</f>
        <v>5.2330323088884703E-2</v>
      </c>
      <c r="Z198" s="52">
        <f>(((Z58 * Z166) / 6.25) + ((0.032 * AA182) / 6.38) - Z138 - ((1.1 * 10 ^ -4 * Z22 ^ 0.75) / 6.25))</f>
        <v>6.9185083188389812E-2</v>
      </c>
      <c r="AA198" s="52">
        <f>(((AA58 * AA166) / 6.25) + ((0.032 * AB182) / 6.38) - AA138 - ((1.1 * 10 ^ -4 * AA22 ^ 0.75) / 6.25))</f>
        <v>6.9185083188389812E-2</v>
      </c>
      <c r="AB198" s="52">
        <f>(((AB58 * AB166) / 6.25) + ((0.032 * AC182) / 6.38) - AB138 - ((1.1 * 10 ^ -4 * AB22 ^ 0.75) / 6.25))</f>
        <v>1.3731587835013218E-2</v>
      </c>
      <c r="AC198" s="52">
        <f>(((AC58 * AC166) / 6.25) + ((0.032 * AD182) / 6.38) - AC138 - ((1.1 * 10 ^ -4 * AC22 ^ 0.75) / 6.25))</f>
        <v>5.520208336562428E-2</v>
      </c>
      <c r="AD198" s="52">
        <f>(((AD58 * AD166) / 6.25) + ((0.032 * AE182) / 6.38) - AD138 - ((1.1 * 10 ^ -4 * AD22 ^ 0.75) / 6.25))</f>
        <v>5.520208336562428E-2</v>
      </c>
      <c r="AE198" s="52">
        <f>(((AE58 * AE166) / 6.25) + ((0.032 * AF182) / 6.38) - AE138 - ((1.1 * 10 ^ -4 * AE22 ^ 0.75) / 6.25))</f>
        <v>5.520208336562428E-2</v>
      </c>
      <c r="AF198" s="2" t="str">
        <f t="shared" si="9"/>
        <v>kg N/head/day</v>
      </c>
      <c r="AG198" s="2"/>
      <c r="AH198" s="2"/>
    </row>
    <row r="199" spans="4:34" ht="20.100000000000001" customHeight="1" x14ac:dyDescent="0.25">
      <c r="D199" s="52" t="s">
        <v>172</v>
      </c>
      <c r="E199" s="52">
        <f>'Input - Pasture Beef'!E16</f>
        <v>91.25</v>
      </c>
      <c r="F199" s="52">
        <f>'Input - Pasture Beef'!F16</f>
        <v>91.25</v>
      </c>
      <c r="G199" s="52">
        <f>'Input - Pasture Beef'!G16</f>
        <v>91.25</v>
      </c>
      <c r="H199" s="52">
        <f>'Input - Pasture Beef'!H16</f>
        <v>91.25</v>
      </c>
      <c r="I199" s="52">
        <f>'Input - Pasture Beef'!I16</f>
        <v>91.25</v>
      </c>
      <c r="J199" s="52">
        <f>'Input - Pasture Beef'!J16</f>
        <v>91.25</v>
      </c>
      <c r="K199" s="52">
        <f>'Input - Pasture Beef'!K16</f>
        <v>91.25</v>
      </c>
      <c r="L199" s="52">
        <f>'Input - Pasture Beef'!L16</f>
        <v>91.25</v>
      </c>
      <c r="M199" s="52">
        <f>'Input - Pasture Beef'!M16</f>
        <v>91.25</v>
      </c>
      <c r="N199" s="52">
        <f>'Input - Pasture Beef'!N16</f>
        <v>91.25</v>
      </c>
      <c r="O199" s="2" t="s">
        <v>277</v>
      </c>
      <c r="U199" s="52" t="str">
        <f>TEXT(EDATE('Input - Site'!$E$12,3), "mmmm yyyy")</f>
        <v>April 2024</v>
      </c>
      <c r="V199" s="52">
        <f>(((V59 * V167) / 6.25) + ((0.032 * W183) / 6.38) - V139 - ((1.1 * 10 ^ -4 * V23 ^ 0.75) / 6.25))</f>
        <v>1.3490587405558481E-2</v>
      </c>
      <c r="W199" s="52">
        <f>(((W59 * W167) / 6.25) + ((0.032 * X183) / 6.38) - W139 - ((1.1 * 10 ^ -4 * W23 ^ 0.75) / 6.25))</f>
        <v>8.8133023634157495E-2</v>
      </c>
      <c r="X199" s="52">
        <f>(((X59 * X167) / 6.25) + ((0.032 * Y183) / 6.38) - X139 - ((1.1 * 10 ^ -4 * X23 ^ 0.75) / 6.25))</f>
        <v>1.1001898802853755E-2</v>
      </c>
      <c r="Y199" s="52">
        <f>(((Y59 * Y167) / 6.25) + ((0.032 * Z183) / 6.38) - Y139 - ((1.1 * 10 ^ -4 * Y23 ^ 0.75) / 6.25))</f>
        <v>5.2330323088884703E-2</v>
      </c>
      <c r="Z199" s="52">
        <f>(((Z59 * Z167) / 6.25) + ((0.032 * AA183) / 6.38) - Z139 - ((1.1 * 10 ^ -4 * Z23 ^ 0.75) / 6.25))</f>
        <v>6.9185083188389812E-2</v>
      </c>
      <c r="AA199" s="52">
        <f>(((AA59 * AA167) / 6.25) + ((0.032 * AB183) / 6.38) - AA139 - ((1.1 * 10 ^ -4 * AA23 ^ 0.75) / 6.25))</f>
        <v>6.9185083188389812E-2</v>
      </c>
      <c r="AB199" s="52">
        <f>(((AB59 * AB167) / 6.25) + ((0.032 * AC183) / 6.38) - AB139 - ((1.1 * 10 ^ -4 * AB23 ^ 0.75) / 6.25))</f>
        <v>1.3731587835013218E-2</v>
      </c>
      <c r="AC199" s="52">
        <f>(((AC59 * AC167) / 6.25) + ((0.032 * AD183) / 6.38) - AC139 - ((1.1 * 10 ^ -4 * AC23 ^ 0.75) / 6.25))</f>
        <v>5.520208336562428E-2</v>
      </c>
      <c r="AD199" s="52">
        <f>(((AD59 * AD167) / 6.25) + ((0.032 * AE183) / 6.38) - AD139 - ((1.1 * 10 ^ -4 * AD23 ^ 0.75) / 6.25))</f>
        <v>5.520208336562428E-2</v>
      </c>
      <c r="AE199" s="52">
        <f>(((AE59 * AE167) / 6.25) + ((0.032 * AF183) / 6.38) - AE139 - ((1.1 * 10 ^ -4 * AE23 ^ 0.75) / 6.25))</f>
        <v>5.520208336562428E-2</v>
      </c>
      <c r="AF199" s="2" t="str">
        <f t="shared" si="9"/>
        <v>kg N/head/day</v>
      </c>
      <c r="AG199" s="2"/>
      <c r="AH199" s="2"/>
    </row>
    <row r="200" spans="4:34" ht="20.100000000000001" customHeight="1" x14ac:dyDescent="0.25">
      <c r="D200" s="52" t="s">
        <v>173</v>
      </c>
      <c r="E200" s="52">
        <f>'Input - Pasture Beef'!E17</f>
        <v>91.25</v>
      </c>
      <c r="F200" s="52">
        <f>'Input - Pasture Beef'!F17</f>
        <v>91.25</v>
      </c>
      <c r="G200" s="52">
        <f>'Input - Pasture Beef'!G17</f>
        <v>91.25</v>
      </c>
      <c r="H200" s="52">
        <f>'Input - Pasture Beef'!H17</f>
        <v>91.25</v>
      </c>
      <c r="I200" s="52">
        <f>'Input - Pasture Beef'!I17</f>
        <v>91.25</v>
      </c>
      <c r="J200" s="52">
        <f>'Input - Pasture Beef'!J17</f>
        <v>91.25</v>
      </c>
      <c r="K200" s="52">
        <f>'Input - Pasture Beef'!K17</f>
        <v>91.25</v>
      </c>
      <c r="L200" s="52">
        <f>'Input - Pasture Beef'!L17</f>
        <v>91.25</v>
      </c>
      <c r="M200" s="52">
        <f>'Input - Pasture Beef'!M17</f>
        <v>91.25</v>
      </c>
      <c r="N200" s="52">
        <f>'Input - Pasture Beef'!N17</f>
        <v>91.25</v>
      </c>
      <c r="O200" s="2" t="s">
        <v>277</v>
      </c>
      <c r="U200" s="52" t="str">
        <f>TEXT(EDATE('Input - Site'!$E$12,4), "mmmm yyyy")</f>
        <v>May 2024</v>
      </c>
      <c r="V200" s="52">
        <f>(((V60 * V168) / 6.25) + ((0.032 * W184) / 6.38) - V140 - ((1.1 * 10 ^ -4 * V24 ^ 0.75) / 6.25))</f>
        <v>1.3490587405558481E-2</v>
      </c>
      <c r="W200" s="52">
        <f>(((W60 * W168) / 6.25) + ((0.032 * X184) / 6.38) - W140 - ((1.1 * 10 ^ -4 * W24 ^ 0.75) / 6.25))</f>
        <v>8.8133023634157495E-2</v>
      </c>
      <c r="X200" s="52">
        <f>(((X60 * X168) / 6.25) + ((0.032 * Y184) / 6.38) - X140 - ((1.1 * 10 ^ -4 * X24 ^ 0.75) / 6.25))</f>
        <v>1.1001898802853755E-2</v>
      </c>
      <c r="Y200" s="52">
        <f>(((Y60 * Y168) / 6.25) + ((0.032 * Z184) / 6.38) - Y140 - ((1.1 * 10 ^ -4 * Y24 ^ 0.75) / 6.25))</f>
        <v>5.2330323088884703E-2</v>
      </c>
      <c r="Z200" s="52">
        <f>(((Z60 * Z168) / 6.25) + ((0.032 * AA184) / 6.38) - Z140 - ((1.1 * 10 ^ -4 * Z24 ^ 0.75) / 6.25))</f>
        <v>6.9185083188389812E-2</v>
      </c>
      <c r="AA200" s="52">
        <f>(((AA60 * AA168) / 6.25) + ((0.032 * AB184) / 6.38) - AA140 - ((1.1 * 10 ^ -4 * AA24 ^ 0.75) / 6.25))</f>
        <v>6.9185083188389812E-2</v>
      </c>
      <c r="AB200" s="52">
        <f>(((AB60 * AB168) / 6.25) + ((0.032 * AC184) / 6.38) - AB140 - ((1.1 * 10 ^ -4 * AB24 ^ 0.75) / 6.25))</f>
        <v>1.3731587835013218E-2</v>
      </c>
      <c r="AC200" s="52">
        <f>(((AC60 * AC168) / 6.25) + ((0.032 * AD184) / 6.38) - AC140 - ((1.1 * 10 ^ -4 * AC24 ^ 0.75) / 6.25))</f>
        <v>5.520208336562428E-2</v>
      </c>
      <c r="AD200" s="52">
        <f>(((AD60 * AD168) / 6.25) + ((0.032 * AE184) / 6.38) - AD140 - ((1.1 * 10 ^ -4 * AD24 ^ 0.75) / 6.25))</f>
        <v>5.520208336562428E-2</v>
      </c>
      <c r="AE200" s="52">
        <f>(((AE60 * AE168) / 6.25) + ((0.032 * AF184) / 6.38) - AE140 - ((1.1 * 10 ^ -4 * AE24 ^ 0.75) / 6.25))</f>
        <v>5.520208336562428E-2</v>
      </c>
      <c r="AF200" s="2" t="str">
        <f t="shared" si="9"/>
        <v>kg N/head/day</v>
      </c>
      <c r="AG200" s="2"/>
      <c r="AH200" s="2"/>
    </row>
    <row r="201" spans="4:34" ht="20.100000000000001" customHeight="1" x14ac:dyDescent="0.25">
      <c r="D201" s="52" t="s">
        <v>174</v>
      </c>
      <c r="E201" s="52">
        <f>'Input - Pasture Beef'!E18</f>
        <v>91.25</v>
      </c>
      <c r="F201" s="52">
        <f>'Input - Pasture Beef'!F18</f>
        <v>91.25</v>
      </c>
      <c r="G201" s="52">
        <f>'Input - Pasture Beef'!G18</f>
        <v>91.25</v>
      </c>
      <c r="H201" s="52">
        <f>'Input - Pasture Beef'!H18</f>
        <v>91.25</v>
      </c>
      <c r="I201" s="52">
        <f>'Input - Pasture Beef'!I18</f>
        <v>91.25</v>
      </c>
      <c r="J201" s="52">
        <f>'Input - Pasture Beef'!J18</f>
        <v>91.25</v>
      </c>
      <c r="K201" s="52">
        <f>'Input - Pasture Beef'!K18</f>
        <v>91.25</v>
      </c>
      <c r="L201" s="52">
        <f>'Input - Pasture Beef'!L18</f>
        <v>91.25</v>
      </c>
      <c r="M201" s="52">
        <f>'Input - Pasture Beef'!M18</f>
        <v>91.25</v>
      </c>
      <c r="N201" s="52">
        <f>'Input - Pasture Beef'!N18</f>
        <v>91.25</v>
      </c>
      <c r="O201" s="2" t="s">
        <v>277</v>
      </c>
      <c r="U201" s="52" t="str">
        <f>TEXT(EDATE('Input - Site'!$E$12,5), "mmmm yyyy")</f>
        <v>June 2024</v>
      </c>
      <c r="V201" s="52">
        <f>(((V61 * V169) / 6.25) + ((0.032 * W185) / 6.38) - V141 - ((1.1 * 10 ^ -4 * V25 ^ 0.75) / 6.25))</f>
        <v>0.13772737785106035</v>
      </c>
      <c r="W201" s="52">
        <f>(((W61 * W169) / 6.25) + ((0.032 * X185) / 6.38) - W141 - ((1.1 * 10 ^ -4 * W25 ^ 0.75) / 6.25))</f>
        <v>0.31425341534791917</v>
      </c>
      <c r="X201" s="52">
        <f>(((X61 * X169) / 6.25) + ((0.032 * Y185) / 6.38) - X141 - ((1.1 * 10 ^ -4 * X25 ^ 0.75) / 6.25))</f>
        <v>0.11430568530078369</v>
      </c>
      <c r="Y201" s="52">
        <f>(((Y61 * Y169) / 6.25) + ((0.032 * Z185) / 6.38) - Y141 - ((1.1 * 10 ^ -4 * Y25 ^ 0.75) / 6.25))</f>
        <v>0.18660765289897449</v>
      </c>
      <c r="Z201" s="52">
        <f>(((Z61 * Z169) / 6.25) + ((0.032 * AA185) / 6.38) - Z141 - ((1.1 * 10 ^ -4 * Z25 ^ 0.75) / 6.25))</f>
        <v>0.25135663949490661</v>
      </c>
      <c r="AA201" s="52">
        <f>(((AA61 * AA169) / 6.25) + ((0.032 * AB185) / 6.38) - AA141 - ((1.1 * 10 ^ -4 * AA25 ^ 0.75) / 6.25))</f>
        <v>0.25135663949490661</v>
      </c>
      <c r="AB201" s="52">
        <f>(((AB61 * AB169) / 6.25) + ((0.032 * AC185) / 6.38) - AB141 - ((1.1 * 10 ^ -4 * AB25 ^ 0.75) / 6.25))</f>
        <v>0.12380983067102717</v>
      </c>
      <c r="AC201" s="52">
        <f>(((AC61 * AC169) / 6.25) + ((0.032 * AD185) / 6.38) - AC141 - ((1.1 * 10 ^ -4 * AC25 ^ 0.75) / 6.25))</f>
        <v>0.21091009356426255</v>
      </c>
      <c r="AD201" s="52">
        <f>(((AD61 * AD169) / 6.25) + ((0.032 * AE185) / 6.38) - AD141 - ((1.1 * 10 ^ -4 * AD25 ^ 0.75) / 6.25))</f>
        <v>0.21091009356426255</v>
      </c>
      <c r="AE201" s="52">
        <f>(((AE61 * AE169) / 6.25) + ((0.032 * AF185) / 6.38) - AE141 - ((1.1 * 10 ^ -4 * AE25 ^ 0.75) / 6.25))</f>
        <v>0.21091009356426255</v>
      </c>
      <c r="AF201" s="2" t="str">
        <f t="shared" si="9"/>
        <v>kg N/head/day</v>
      </c>
      <c r="AG201" s="2"/>
      <c r="AH201" s="2"/>
    </row>
    <row r="202" spans="4:34" ht="20.100000000000001" customHeight="1" x14ac:dyDescent="0.25">
      <c r="D202" s="52" t="s">
        <v>175</v>
      </c>
      <c r="E202" s="52">
        <f>'Input - Pasture Beef'!E19</f>
        <v>91.25</v>
      </c>
      <c r="F202" s="52">
        <f>'Input - Pasture Beef'!F19</f>
        <v>91.25</v>
      </c>
      <c r="G202" s="52">
        <f>'Input - Pasture Beef'!G19</f>
        <v>91.25</v>
      </c>
      <c r="H202" s="52">
        <f>'Input - Pasture Beef'!H19</f>
        <v>91.25</v>
      </c>
      <c r="I202" s="52">
        <f>'Input - Pasture Beef'!I19</f>
        <v>91.25</v>
      </c>
      <c r="J202" s="52">
        <f>'Input - Pasture Beef'!J19</f>
        <v>91.25</v>
      </c>
      <c r="K202" s="52">
        <f>'Input - Pasture Beef'!K19</f>
        <v>91.25</v>
      </c>
      <c r="L202" s="52">
        <f>'Input - Pasture Beef'!L19</f>
        <v>91.25</v>
      </c>
      <c r="M202" s="52">
        <f>'Input - Pasture Beef'!M19</f>
        <v>91.25</v>
      </c>
      <c r="N202" s="52">
        <f>'Input - Pasture Beef'!N19</f>
        <v>91.25</v>
      </c>
      <c r="O202" s="2" t="s">
        <v>277</v>
      </c>
      <c r="U202" s="52" t="str">
        <f>TEXT(EDATE('Input - Site'!$E$12,6), "mmmm yyyy")</f>
        <v>July 2024</v>
      </c>
      <c r="V202" s="52">
        <f>(((V62 * V170) / 6.25) + ((0.032 * W186) / 6.38) - V142 - ((1.1 * 10 ^ -4 * V26 ^ 0.75) / 6.25))</f>
        <v>0.13772737785106035</v>
      </c>
      <c r="W202" s="52">
        <f>(((W62 * W170) / 6.25) + ((0.032 * X186) / 6.38) - W142 - ((1.1 * 10 ^ -4 * W26 ^ 0.75) / 6.25))</f>
        <v>0.31425341534791917</v>
      </c>
      <c r="X202" s="52">
        <f>(((X62 * X170) / 6.25) + ((0.032 * Y186) / 6.38) - X142 - ((1.1 * 10 ^ -4 * X26 ^ 0.75) / 6.25))</f>
        <v>0.11430568530078369</v>
      </c>
      <c r="Y202" s="52">
        <f>(((Y62 * Y170) / 6.25) + ((0.032 * Z186) / 6.38) - Y142 - ((1.1 * 10 ^ -4 * Y26 ^ 0.75) / 6.25))</f>
        <v>0.18660765289897449</v>
      </c>
      <c r="Z202" s="52">
        <f>(((Z62 * Z170) / 6.25) + ((0.032 * AA186) / 6.38) - Z142 - ((1.1 * 10 ^ -4 * Z26 ^ 0.75) / 6.25))</f>
        <v>0.25135663949490661</v>
      </c>
      <c r="AA202" s="52">
        <f>(((AA62 * AA170) / 6.25) + ((0.032 * AB186) / 6.38) - AA142 - ((1.1 * 10 ^ -4 * AA26 ^ 0.75) / 6.25))</f>
        <v>0.25135663949490661</v>
      </c>
      <c r="AB202" s="52">
        <f>(((AB62 * AB170) / 6.25) + ((0.032 * AC186) / 6.38) - AB142 - ((1.1 * 10 ^ -4 * AB26 ^ 0.75) / 6.25))</f>
        <v>0.12380983067102717</v>
      </c>
      <c r="AC202" s="52">
        <f>(((AC62 * AC170) / 6.25) + ((0.032 * AD186) / 6.38) - AC142 - ((1.1 * 10 ^ -4 * AC26 ^ 0.75) / 6.25))</f>
        <v>0.21091009356426255</v>
      </c>
      <c r="AD202" s="52">
        <f>(((AD62 * AD170) / 6.25) + ((0.032 * AE186) / 6.38) - AD142 - ((1.1 * 10 ^ -4 * AD26 ^ 0.75) / 6.25))</f>
        <v>0.21091009356426255</v>
      </c>
      <c r="AE202" s="52">
        <f>(((AE62 * AE170) / 6.25) + ((0.032 * AF186) / 6.38) - AE142 - ((1.1 * 10 ^ -4 * AE26 ^ 0.75) / 6.25))</f>
        <v>0.21091009356426255</v>
      </c>
      <c r="AF202" s="2" t="str">
        <f t="shared" si="9"/>
        <v>kg N/head/day</v>
      </c>
      <c r="AG202" s="2"/>
      <c r="AH202" s="2"/>
    </row>
    <row r="203" spans="4:34" ht="20.100000000000001" customHeight="1" x14ac:dyDescent="0.25">
      <c r="U203" s="52" t="str">
        <f>TEXT(EDATE('Input - Site'!$E$12,7), "mmmm yyyy")</f>
        <v>August 2024</v>
      </c>
      <c r="V203" s="52">
        <f>(((V63 * V171) / 6.25) + ((0.032 * W187) / 6.38) - V143 - ((1.1 * 10 ^ -4 * V27 ^ 0.75) / 6.25))</f>
        <v>0.16782142173820769</v>
      </c>
      <c r="W203" s="52">
        <f>(((W63 * W171) / 6.25) + ((0.032 * X187) / 6.38) - W143 - ((1.1 * 10 ^ -4 * W27 ^ 0.75) / 6.25))</f>
        <v>0.31425341534791917</v>
      </c>
      <c r="X203" s="52">
        <f>(((X63 * X171) / 6.25) + ((0.032 * Y187) / 6.38) - X143 - ((1.1 * 10 ^ -4 * X27 ^ 0.75) / 6.25))</f>
        <v>0.14439972918793106</v>
      </c>
      <c r="Y203" s="52">
        <f>(((Y63 * Y171) / 6.25) + ((0.032 * Z187) / 6.38) - Y143 - ((1.1 * 10 ^ -4 * Y27 ^ 0.75) / 6.25))</f>
        <v>0.20672431471923791</v>
      </c>
      <c r="Z203" s="52">
        <f>(((Z63 * Z171) / 6.25) + ((0.032 * AA187) / 6.38) - Z143 - ((1.1 * 10 ^ -4 * Z27 ^ 0.75) / 6.25))</f>
        <v>0.28604447282279805</v>
      </c>
      <c r="AA203" s="52">
        <f>(((AA63 * AA171) / 6.25) + ((0.032 * AB187) / 6.38) - AA143 - ((1.1 * 10 ^ -4 * AA27 ^ 0.75) / 6.25))</f>
        <v>0.28604447282279805</v>
      </c>
      <c r="AB203" s="52">
        <f>(((AB63 * AB171) / 6.25) + ((0.032 * AC187) / 6.38) - AB143 - ((1.1 * 10 ^ -4 * AB27 ^ 0.75) / 6.25))</f>
        <v>0.15390387455817453</v>
      </c>
      <c r="AC203" s="52">
        <f>(((AC63 * AC171) / 6.25) + ((0.032 * AD187) / 6.38) - AC143 - ((1.1 * 10 ^ -4 * AC27 ^ 0.75) / 6.25))</f>
        <v>0.21091009356426255</v>
      </c>
      <c r="AD203" s="52">
        <f>(((AD63 * AD171) / 6.25) + ((0.032 * AE187) / 6.38) - AD143 - ((1.1 * 10 ^ -4 * AD27 ^ 0.75) / 6.25))</f>
        <v>0.21091009356426255</v>
      </c>
      <c r="AE203" s="52">
        <f>(((AE63 * AE171) / 6.25) + ((0.032 * AF187) / 6.38) - AE143 - ((1.1 * 10 ^ -4 * AE27 ^ 0.75) / 6.25))</f>
        <v>0.21091009356426255</v>
      </c>
      <c r="AF203" s="2" t="str">
        <f t="shared" si="9"/>
        <v>kg N/head/day</v>
      </c>
      <c r="AG203" s="2"/>
      <c r="AH203" s="2"/>
    </row>
    <row r="204" spans="4:34" ht="20.100000000000001" customHeight="1" x14ac:dyDescent="0.25">
      <c r="D204" s="99" t="s">
        <v>298</v>
      </c>
      <c r="U204" s="52" t="str">
        <f>TEXT(EDATE('Input - Site'!$E$12,8), "mmmm yyyy")</f>
        <v>September 2024</v>
      </c>
      <c r="V204" s="52">
        <f>(((V64 * V172) / 6.25) + ((0.032 * W188) / 6.38) - V144 - ((1.1 * 10 ^ -4 * V28 ^ 0.75) / 6.25))</f>
        <v>0.27353786382161244</v>
      </c>
      <c r="W204" s="52">
        <f>(((W64 * W172) / 6.25) + ((0.032 * X188) / 6.38) - W144 - ((1.1 * 10 ^ -4 * W28 ^ 0.75) / 6.25))</f>
        <v>0.37708133734232585</v>
      </c>
      <c r="X204" s="52">
        <f>(((X64 * X172) / 6.25) + ((0.032 * Y188) / 6.38) - X144 - ((1.1 * 10 ^ -4 * X28 ^ 0.75) / 6.25))</f>
        <v>0.21747950611047506</v>
      </c>
      <c r="Y204" s="52">
        <f>(((Y64 * Y172) / 6.25) + ((0.032 * Z188) / 6.38) - Y144 - ((1.1 * 10 ^ -4 * Y28 ^ 0.75) / 6.25))</f>
        <v>0.30316514016990781</v>
      </c>
      <c r="Z204" s="52">
        <f>(((Z64 * Z172) / 6.25) + ((0.032 * AA188) / 6.38) - Z144 - ((1.1 * 10 ^ -4 * Z28 ^ 0.75) / 6.25))</f>
        <v>0.3456004349071124</v>
      </c>
      <c r="AA204" s="52">
        <f>(((AA64 * AA172) / 6.25) + ((0.032 * AB188) / 6.38) - AA144 - ((1.1 * 10 ^ -4 * AA28 ^ 0.75) / 6.25))</f>
        <v>0.3456004349071124</v>
      </c>
      <c r="AB204" s="52">
        <f>(((AB64 * AB172) / 6.25) + ((0.032 * AC188) / 6.38) - AB144 - ((1.1 * 10 ^ -4 * AB28 ^ 0.75) / 6.25))</f>
        <v>0.24492991378550297</v>
      </c>
      <c r="AC204" s="52">
        <f>(((AC64 * AC172) / 6.25) + ((0.032 * AD188) / 6.38) - AC144 - ((1.1 * 10 ^ -4 * AC28 ^ 0.75) / 6.25))</f>
        <v>0.2934676863299529</v>
      </c>
      <c r="AD204" s="52">
        <f>(((AD64 * AD172) / 6.25) + ((0.032 * AE188) / 6.38) - AD144 - ((1.1 * 10 ^ -4 * AD28 ^ 0.75) / 6.25))</f>
        <v>0.2934676863299529</v>
      </c>
      <c r="AE204" s="52">
        <f>(((AE64 * AE172) / 6.25) + ((0.032 * AF188) / 6.38) - AE144 - ((1.1 * 10 ^ -4 * AE28 ^ 0.75) / 6.25))</f>
        <v>0.2934676863299529</v>
      </c>
      <c r="AF204" s="2" t="str">
        <f t="shared" si="9"/>
        <v>kg N/head/day</v>
      </c>
      <c r="AG204" s="2"/>
      <c r="AH204" s="2"/>
    </row>
    <row r="205" spans="4:34" ht="20.100000000000001" customHeight="1" x14ac:dyDescent="0.25">
      <c r="D205" s="98" t="s">
        <v>299</v>
      </c>
      <c r="U205" s="52" t="str">
        <f>TEXT(EDATE('Input - Site'!$E$12,9), "mmmm yyyy")</f>
        <v>October 2024</v>
      </c>
      <c r="V205" s="52">
        <f>(((V65 * V173) / 6.25) + ((0.032 * W189) / 6.38) - V145 - ((1.1 * 10 ^ -4 * V29 ^ 0.75) / 6.25))</f>
        <v>0.27353786382161244</v>
      </c>
      <c r="W205" s="52">
        <f>(((W65 * W173) / 6.25) + ((0.032 * X189) / 6.38) - W145 - ((1.1 * 10 ^ -4 * W29 ^ 0.75) / 6.25))</f>
        <v>0.37708133734232585</v>
      </c>
      <c r="X205" s="52">
        <f>(((X65 * X173) / 6.25) + ((0.032 * Y189) / 6.38) - X145 - ((1.1 * 10 ^ -4 * X29 ^ 0.75) / 6.25))</f>
        <v>0.21747950611047506</v>
      </c>
      <c r="Y205" s="52">
        <f>(((Y65 * Y173) / 6.25) + ((0.032 * Z189) / 6.38) - Y145 - ((1.1 * 10 ^ -4 * Y29 ^ 0.75) / 6.25))</f>
        <v>0.30316514016990781</v>
      </c>
      <c r="Z205" s="52">
        <f>(((Z65 * Z173) / 6.25) + ((0.032 * AA189) / 6.38) - Z145 - ((1.1 * 10 ^ -4 * Z29 ^ 0.75) / 6.25))</f>
        <v>0.3456004349071124</v>
      </c>
      <c r="AA205" s="52">
        <f>(((AA65 * AA173) / 6.25) + ((0.032 * AB189) / 6.38) - AA145 - ((1.1 * 10 ^ -4 * AA29 ^ 0.75) / 6.25))</f>
        <v>0.3456004349071124</v>
      </c>
      <c r="AB205" s="52">
        <f>(((AB65 * AB173) / 6.25) + ((0.032 * AC189) / 6.38) - AB145 - ((1.1 * 10 ^ -4 * AB29 ^ 0.75) / 6.25))</f>
        <v>0.24492991378550297</v>
      </c>
      <c r="AC205" s="52">
        <f>(((AC65 * AC173) / 6.25) + ((0.032 * AD189) / 6.38) - AC145 - ((1.1 * 10 ^ -4 * AC29 ^ 0.75) / 6.25))</f>
        <v>0.2934676863299529</v>
      </c>
      <c r="AD205" s="52">
        <f>(((AD65 * AD173) / 6.25) + ((0.032 * AE189) / 6.38) - AD145 - ((1.1 * 10 ^ -4 * AD29 ^ 0.75) / 6.25))</f>
        <v>0.2934676863299529</v>
      </c>
      <c r="AE205" s="52">
        <f>(((AE65 * AE173) / 6.25) + ((0.032 * AF189) / 6.38) - AE145 - ((1.1 * 10 ^ -4 * AE29 ^ 0.75) / 6.25))</f>
        <v>0.2934676863299529</v>
      </c>
      <c r="AF205" s="2" t="str">
        <f t="shared" si="9"/>
        <v>kg N/head/day</v>
      </c>
      <c r="AG205" s="2"/>
      <c r="AH205" s="2"/>
    </row>
    <row r="206" spans="4:34" ht="20.100000000000001" customHeight="1" x14ac:dyDescent="0.25">
      <c r="D206" s="51" t="s">
        <v>183</v>
      </c>
      <c r="E206" s="51" t="s">
        <v>130</v>
      </c>
      <c r="F206" s="51" t="s">
        <v>129</v>
      </c>
      <c r="G206" s="51" t="s">
        <v>164</v>
      </c>
      <c r="H206" s="51" t="s">
        <v>165</v>
      </c>
      <c r="I206" s="51" t="s">
        <v>166</v>
      </c>
      <c r="J206" s="51" t="s">
        <v>167</v>
      </c>
      <c r="K206" s="51" t="s">
        <v>168</v>
      </c>
      <c r="L206" s="51" t="s">
        <v>169</v>
      </c>
      <c r="M206" s="51" t="s">
        <v>170</v>
      </c>
      <c r="N206" s="51" t="s">
        <v>171</v>
      </c>
      <c r="U206" s="52" t="str">
        <f>TEXT(EDATE('Input - Site'!$E$12,10), "mmmm yyyy")</f>
        <v>November 2024</v>
      </c>
      <c r="V206" s="52">
        <f>(((V66 * V174) / 6.25) + ((0.032 * W190) / 6.38) - V146 - ((1.1 * 10 ^ -4 * V30 ^ 0.75) / 6.25))</f>
        <v>0.26350651585923002</v>
      </c>
      <c r="W206" s="52">
        <f>(((W66 * W174) / 6.25) + ((0.032 * X190) / 6.38) - W146 - ((1.1 * 10 ^ -4 * W30 ^ 0.75) / 6.25))</f>
        <v>0.37708133734232585</v>
      </c>
      <c r="X206" s="52">
        <f>(((X66 * X174) / 6.25) + ((0.032 * Y190) / 6.38) - X146 - ((1.1 * 10 ^ -4 * X30 ^ 0.75) / 6.25))</f>
        <v>0.20744815814809262</v>
      </c>
      <c r="Y206" s="52">
        <f>(((Y66 * Y174) / 6.25) + ((0.032 * Z190) / 6.38) - Y146 - ((1.1 * 10 ^ -4 * Y30 ^ 0.75) / 6.25))</f>
        <v>0.26903566847628974</v>
      </c>
      <c r="Z206" s="52">
        <f>(((Z66 * Z174) / 6.25) + ((0.032 * AA190) / 6.38) - Z146 - ((1.1 * 10 ^ -4 * Z30 ^ 0.75) / 6.25))</f>
        <v>0.30689114439091625</v>
      </c>
      <c r="AA206" s="52">
        <f>(((AA66 * AA174) / 6.25) + ((0.032 * AB190) / 6.38) - AA146 - ((1.1 * 10 ^ -4 * AA30 ^ 0.75) / 6.25))</f>
        <v>0.30689114439091625</v>
      </c>
      <c r="AB206" s="52">
        <f>(((AB66 * AB174) / 6.25) + ((0.032 * AC190) / 6.38) - AB146 - ((1.1 * 10 ^ -4 * AB30 ^ 0.75) / 6.25))</f>
        <v>0.23489856582312055</v>
      </c>
      <c r="AC206" s="52">
        <f>(((AC66 * AC174) / 6.25) + ((0.032 * AD190) / 6.38) - AC146 - ((1.1 * 10 ^ -4 * AC30 ^ 0.75) / 6.25))</f>
        <v>0.2934676863299529</v>
      </c>
      <c r="AD206" s="52">
        <f>(((AD66 * AD174) / 6.25) + ((0.032 * AE190) / 6.38) - AD146 - ((1.1 * 10 ^ -4 * AD30 ^ 0.75) / 6.25))</f>
        <v>0.2934676863299529</v>
      </c>
      <c r="AE206" s="52">
        <f>(((AE66 * AE174) / 6.25) + ((0.032 * AF190) / 6.38) - AE146 - ((1.1 * 10 ^ -4 * AE30 ^ 0.75) / 6.25))</f>
        <v>0.2934676863299529</v>
      </c>
      <c r="AF206" s="2" t="str">
        <f t="shared" si="9"/>
        <v>kg N/head/day</v>
      </c>
      <c r="AG206" s="2"/>
      <c r="AH206" s="2"/>
    </row>
    <row r="207" spans="4:34" ht="20.100000000000001" customHeight="1" x14ac:dyDescent="0.25">
      <c r="D207" s="52" t="s">
        <v>172</v>
      </c>
      <c r="E207" s="52">
        <f>(SUM((E191 * E169) * E199))</f>
        <v>2404.4969572154741</v>
      </c>
      <c r="F207" s="52">
        <f>(SUM((F191 * F169) * F199))</f>
        <v>3440.8672032487229</v>
      </c>
      <c r="G207" s="52">
        <f>(SUM((G191 * G169) * G199))</f>
        <v>1892.9644431013451</v>
      </c>
      <c r="H207" s="52">
        <f>(SUM((H191 * H169) * H199))</f>
        <v>2527.4513243321207</v>
      </c>
      <c r="I207" s="52">
        <f>(SUM((I191 * I169) * I199))</f>
        <v>3113.3367829114491</v>
      </c>
      <c r="J207" s="52">
        <f>(SUM((J191 * J169) * J199))</f>
        <v>3113.3367829114491</v>
      </c>
      <c r="K207" s="52">
        <f>(SUM((K191 * K169) * K199))</f>
        <v>2143.4494131359747</v>
      </c>
      <c r="L207" s="52">
        <f>(SUM((L191 * L169) * L199))</f>
        <v>2677.89263776082</v>
      </c>
      <c r="M207" s="52">
        <f>(SUM((M191 * M169) * M199))</f>
        <v>2677.89263776082</v>
      </c>
      <c r="N207" s="52">
        <f>(SUM((N191 * N169) * N199))</f>
        <v>2677.89263776082</v>
      </c>
      <c r="O207" s="2" t="str">
        <f>$E$182</f>
        <v>kg N</v>
      </c>
      <c r="U207" s="52" t="str">
        <f>TEXT(EDATE('Input - Site'!$E$12,11), "mmmm yyyy")</f>
        <v>December 2024</v>
      </c>
      <c r="V207" s="52">
        <f>(((V67 * V175) / 6.25) + ((0.032 * W191) / 6.38) - V147 - ((1.1 * 10 ^ -4 * V31 ^ 0.75) / 6.25))</f>
        <v>0.11333791972722371</v>
      </c>
      <c r="W207" s="52">
        <f>(((W67 * W175) / 6.25) + ((0.032 * X191) / 6.38) - W147 - ((1.1 * 10 ^ -4 * W31 ^ 0.75) / 6.25))</f>
        <v>0.13601872675007995</v>
      </c>
      <c r="X207" s="52">
        <f>(((X67 * X175) / 6.25) + ((0.032 * Y191) / 6.38) - X147 - ((1.1 * 10 ^ -4 * X31 ^ 0.75) / 6.25))</f>
        <v>9.7873723885106109E-2</v>
      </c>
      <c r="Y207" s="52">
        <f>(((Y67 * Y175) / 6.25) + ((0.032 * Z191) / 6.38) - Y147 - ((1.1 * 10 ^ -4 * Y31 ^ 0.75) / 6.25))</f>
        <v>0.10103589494585365</v>
      </c>
      <c r="Z207" s="52">
        <f>(((Z67 * Z175) / 6.25) + ((0.032 * AA191) / 6.38) - Z147 - ((1.1 * 10 ^ -4 * Z31 ^ 0.75) / 6.25))</f>
        <v>0.10613051058639233</v>
      </c>
      <c r="AA207" s="52">
        <f>(((AA67 * AA175) / 6.25) + ((0.032 * AB191) / 6.38) - AA147 - ((1.1 * 10 ^ -4 * AA31 ^ 0.75) / 6.25))</f>
        <v>0.10613051058639233</v>
      </c>
      <c r="AB207" s="52">
        <f>(((AB67 * AB175) / 6.25) + ((0.032 * AC191) / 6.38) - AB147 - ((1.1 * 10 ^ -4 * AB31 ^ 0.75) / 6.25))</f>
        <v>0.10568820163838911</v>
      </c>
      <c r="AC207" s="52">
        <f>(((AC67 * AC175) / 6.25) + ((0.032 * AD191) / 6.38) - AC147 - ((1.1 * 10 ^ -4 * AC31 ^ 0.75) / 6.25))</f>
        <v>0.1054491491748196</v>
      </c>
      <c r="AD207" s="52">
        <f>(((AD67 * AD175) / 6.25) + ((0.032 * AE191) / 6.38) - AD147 - ((1.1 * 10 ^ -4 * AD31 ^ 0.75) / 6.25))</f>
        <v>0.1054491491748196</v>
      </c>
      <c r="AE207" s="52">
        <f>(((AE67 * AE175) / 6.25) + ((0.032 * AF191) / 6.38) - AE147 - ((1.1 * 10 ^ -4 * AE31 ^ 0.75) / 6.25))</f>
        <v>0.1054491491748196</v>
      </c>
      <c r="AF207" s="2" t="str">
        <f t="shared" si="9"/>
        <v>kg N/head/day</v>
      </c>
      <c r="AG207" s="2"/>
      <c r="AH207" s="2"/>
    </row>
    <row r="208" spans="4:34" ht="20.100000000000001" customHeight="1" x14ac:dyDescent="0.25">
      <c r="D208" s="52" t="s">
        <v>173</v>
      </c>
      <c r="E208" s="52">
        <f>(SUM((E192 * E170) * E200))</f>
        <v>851.13641719743669</v>
      </c>
      <c r="F208" s="52">
        <f>(SUM((F192 * F170) * F200))</f>
        <v>1241.1708815944794</v>
      </c>
      <c r="G208" s="52">
        <f>(SUM((G192 * G170) * G200))</f>
        <v>710.02563013811357</v>
      </c>
      <c r="H208" s="52">
        <f>(SUM((H192 * H170) * H200))</f>
        <v>1023.0498901377973</v>
      </c>
      <c r="I208" s="52">
        <f>(SUM((I192 * I170) * I200))</f>
        <v>1069.9084532895147</v>
      </c>
      <c r="J208" s="52">
        <f>(SUM((J192 * J170) * J200))</f>
        <v>1069.9084532895147</v>
      </c>
      <c r="K208" s="52">
        <f>(SUM((K192 * K170) * K200))</f>
        <v>781.33273963682097</v>
      </c>
      <c r="L208" s="52">
        <f>(SUM((L192 * L170) * L200))</f>
        <v>962.22348622022878</v>
      </c>
      <c r="M208" s="52">
        <f>(SUM((M192 * M170) * M200))</f>
        <v>962.22348622022878</v>
      </c>
      <c r="N208" s="52">
        <f>(SUM((N192 * N170) * N200))</f>
        <v>962.22348622022878</v>
      </c>
      <c r="O208" s="2" t="str">
        <f>$E$182</f>
        <v>kg N</v>
      </c>
    </row>
    <row r="209" spans="3:35" ht="20.100000000000001" customHeight="1" x14ac:dyDescent="0.25">
      <c r="D209" s="52" t="s">
        <v>174</v>
      </c>
      <c r="E209" s="52">
        <f>(SUM((E193 * E171) * E201))</f>
        <v>246.20322015144228</v>
      </c>
      <c r="F209" s="52">
        <f>(SUM((F193 * F171) * F201))</f>
        <v>804.21384066168707</v>
      </c>
      <c r="G209" s="52">
        <f>(SUM((G193 * G171) * G201))</f>
        <v>200.78465315208103</v>
      </c>
      <c r="H209" s="52">
        <f>(SUM((H193 * H171) * H201))</f>
        <v>482.73952559655532</v>
      </c>
      <c r="I209" s="52">
        <f>(SUM((I193 * I171) * I201))</f>
        <v>631.31388409405702</v>
      </c>
      <c r="J209" s="52">
        <f>(SUM((J193 * J171) * J201))</f>
        <v>631.31388409405702</v>
      </c>
      <c r="K209" s="52">
        <f>(SUM((K193 * K171) * K201))</f>
        <v>250.60147798899126</v>
      </c>
      <c r="L209" s="52">
        <f>(SUM((L193 * L171) * L201))</f>
        <v>503.71901071132157</v>
      </c>
      <c r="M209" s="52">
        <f>(SUM((M193 * M171) * M201))</f>
        <v>503.71901071132157</v>
      </c>
      <c r="N209" s="52">
        <f>(SUM((N193 * N171) * N201))</f>
        <v>503.71901071132157</v>
      </c>
      <c r="O209" s="2" t="str">
        <f>$E$182</f>
        <v>kg N</v>
      </c>
    </row>
    <row r="210" spans="3:35" ht="20.100000000000001" customHeight="1" x14ac:dyDescent="0.25">
      <c r="D210" s="52" t="s">
        <v>175</v>
      </c>
      <c r="E210" s="52">
        <f>(SUM((E194 * E172) * E202))</f>
        <v>3828.4261834028625</v>
      </c>
      <c r="F210" s="52">
        <f>(SUM((F194 * F172) * F202))</f>
        <v>2867.5624150497624</v>
      </c>
      <c r="G210" s="52">
        <f>(SUM((G194 * G172) * G202))</f>
        <v>3294.1188220996773</v>
      </c>
      <c r="H210" s="52">
        <f>(SUM((H194 * H172) * H202))</f>
        <v>1874.1217358723854</v>
      </c>
      <c r="I210" s="52">
        <f>(SUM((I194 * I172) * I202))</f>
        <v>2504.6469881356957</v>
      </c>
      <c r="J210" s="52">
        <f>(SUM((J194 * J172) * J202))</f>
        <v>2504.6469881356957</v>
      </c>
      <c r="K210" s="52">
        <f>(SUM((K194 * K172) * K202))</f>
        <v>3510.9321383583565</v>
      </c>
      <c r="L210" s="52">
        <f>(SUM((L194 * L172) * L202))</f>
        <v>1924.5546037738959</v>
      </c>
      <c r="M210" s="52">
        <f>(SUM((M194 * M172) * M202))</f>
        <v>1924.5546037738959</v>
      </c>
      <c r="N210" s="52">
        <f>(SUM((N194 * N172) * 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
        <v>443</v>
      </c>
    </row>
    <row r="212" spans="3:35" ht="20.100000000000001" customHeight="1" x14ac:dyDescent="0.25">
      <c r="D212" s="113" t="s">
        <v>300</v>
      </c>
      <c r="E212" s="45">
        <f>SUM(E207:N210)</f>
        <v>67219.230344332333</v>
      </c>
      <c r="F212" s="105" t="str">
        <f>E182</f>
        <v>kg N</v>
      </c>
    </row>
    <row r="213" spans="3:35" ht="20.100000000000001" customHeight="1" x14ac:dyDescent="0.25">
      <c r="U213" s="99" t="s">
        <v>279</v>
      </c>
    </row>
    <row r="214" spans="3:35" ht="20.100000000000001" customHeight="1" x14ac:dyDescent="0.25">
      <c r="U214" s="98" t="s">
        <v>280</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131</v>
      </c>
      <c r="V215" s="51" t="s">
        <v>130</v>
      </c>
      <c r="W215" s="51" t="s">
        <v>129</v>
      </c>
      <c r="X215" s="51" t="s">
        <v>164</v>
      </c>
      <c r="Y215" s="51" t="s">
        <v>165</v>
      </c>
      <c r="Z215" s="51" t="s">
        <v>166</v>
      </c>
      <c r="AA215" s="51" t="s">
        <v>167</v>
      </c>
      <c r="AB215" s="51" t="s">
        <v>168</v>
      </c>
      <c r="AC215" s="51" t="s">
        <v>169</v>
      </c>
      <c r="AD215" s="51" t="s">
        <v>170</v>
      </c>
      <c r="AE215" s="51" t="s">
        <v>171</v>
      </c>
    </row>
    <row r="216" spans="3:35" ht="20.100000000000001" customHeight="1" x14ac:dyDescent="0.25">
      <c r="D216" s="6" t="s">
        <v>446</v>
      </c>
      <c r="U216" s="52" t="str">
        <f>TEXT('Input - Site'!$E$12, "mmmm yyyy")</f>
        <v>January 2024</v>
      </c>
      <c r="V216" s="52">
        <f>'Input - Pasture Beef'!E44</f>
        <v>100</v>
      </c>
      <c r="W216" s="52">
        <f>'Input - Pasture Beef'!F44</f>
        <v>100</v>
      </c>
      <c r="X216" s="52">
        <f>'Input - Pasture Beef'!G44</f>
        <v>100</v>
      </c>
      <c r="Y216" s="52">
        <f>'Input - Pasture Beef'!H44</f>
        <v>100</v>
      </c>
      <c r="Z216" s="52">
        <f>'Input - Pasture Beef'!I44</f>
        <v>100</v>
      </c>
      <c r="AA216" s="52">
        <f>'Input - Pasture Beef'!J44</f>
        <v>100</v>
      </c>
      <c r="AB216" s="52">
        <f>'Input - Pasture Beef'!K44</f>
        <v>100</v>
      </c>
      <c r="AC216" s="52">
        <f>'Input - Pasture Beef'!L44</f>
        <v>100</v>
      </c>
      <c r="AD216" s="52">
        <f>'Input - Pasture Beef'!M44</f>
        <v>100</v>
      </c>
      <c r="AE216" s="52">
        <f>'Input - Pasture Beef'!N44</f>
        <v>100</v>
      </c>
      <c r="AF216" s="2" t="s">
        <v>101</v>
      </c>
      <c r="AG216" s="2"/>
      <c r="AH216" s="2"/>
    </row>
    <row r="217" spans="3:35" ht="20.100000000000001" customHeight="1" x14ac:dyDescent="0.25">
      <c r="D217" s="5" t="s">
        <v>447</v>
      </c>
      <c r="U217" s="52" t="str">
        <f>TEXT(EDATE('Input - Site'!$E$12,1), "mmmm yyyy")</f>
        <v>February 2024</v>
      </c>
      <c r="V217" s="52">
        <f>'Input - Pasture Beef'!E45</f>
        <v>100</v>
      </c>
      <c r="W217" s="52">
        <f>'Input - Pasture Beef'!F45</f>
        <v>100</v>
      </c>
      <c r="X217" s="52">
        <f>'Input - Pasture Beef'!G45</f>
        <v>100</v>
      </c>
      <c r="Y217" s="52">
        <f>'Input - Pasture Beef'!H45</f>
        <v>100</v>
      </c>
      <c r="Z217" s="52">
        <f>'Input - Pasture Beef'!I45</f>
        <v>100</v>
      </c>
      <c r="AA217" s="52">
        <f>'Input - Pasture Beef'!J45</f>
        <v>100</v>
      </c>
      <c r="AB217" s="52">
        <f>'Input - Pasture Beef'!K45</f>
        <v>100</v>
      </c>
      <c r="AC217" s="52">
        <f>'Input - Pasture Beef'!L45</f>
        <v>100</v>
      </c>
      <c r="AD217" s="52">
        <f>'Input - Pasture Beef'!M45</f>
        <v>100</v>
      </c>
      <c r="AE217" s="52">
        <f>'Input - Pasture Beef'!N45</f>
        <v>100</v>
      </c>
      <c r="AF217" s="2" t="s">
        <v>101</v>
      </c>
      <c r="AG217" s="2"/>
      <c r="AH217" s="2"/>
    </row>
    <row r="218" spans="3:35" ht="20.100000000000001" customHeight="1" x14ac:dyDescent="0.25">
      <c r="D218" s="13"/>
      <c r="E218" s="13"/>
      <c r="U218" s="52" t="str">
        <f>TEXT(EDATE('Input - Site'!$E$12,2), "mmmm yyyy")</f>
        <v>March 2024</v>
      </c>
      <c r="V218" s="52">
        <f>'Input - Pasture Beef'!E46</f>
        <v>100</v>
      </c>
      <c r="W218" s="52">
        <f>'Input - Pasture Beef'!F46</f>
        <v>100</v>
      </c>
      <c r="X218" s="52">
        <f>'Input - Pasture Beef'!G46</f>
        <v>100</v>
      </c>
      <c r="Y218" s="52">
        <f>'Input - Pasture Beef'!H46</f>
        <v>100</v>
      </c>
      <c r="Z218" s="52">
        <f>'Input - Pasture Beef'!I46</f>
        <v>100</v>
      </c>
      <c r="AA218" s="52">
        <f>'Input - Pasture Beef'!J46</f>
        <v>100</v>
      </c>
      <c r="AB218" s="52">
        <f>'Input - Pasture Beef'!K46</f>
        <v>100</v>
      </c>
      <c r="AC218" s="52">
        <f>'Input - Pasture Beef'!L46</f>
        <v>100</v>
      </c>
      <c r="AD218" s="52">
        <f>'Input - Pasture Beef'!M46</f>
        <v>100</v>
      </c>
      <c r="AE218" s="52">
        <f>'Input - Pasture Beef'!N46</f>
        <v>100</v>
      </c>
      <c r="AF218" s="2" t="s">
        <v>101</v>
      </c>
      <c r="AG218" s="2"/>
      <c r="AH218" s="2"/>
    </row>
    <row r="219" spans="3:35" ht="20.100000000000001" customHeight="1" x14ac:dyDescent="0.25">
      <c r="U219" s="52" t="str">
        <f>TEXT(EDATE('Input - Site'!$E$12,3), "mmmm yyyy")</f>
        <v>April 2024</v>
      </c>
      <c r="V219" s="52">
        <f>'Input - Pasture Beef'!E47</f>
        <v>100</v>
      </c>
      <c r="W219" s="52">
        <f>'Input - Pasture Beef'!F47</f>
        <v>100</v>
      </c>
      <c r="X219" s="52">
        <f>'Input - Pasture Beef'!G47</f>
        <v>100</v>
      </c>
      <c r="Y219" s="52">
        <f>'Input - Pasture Beef'!H47</f>
        <v>100</v>
      </c>
      <c r="Z219" s="52">
        <f>'Input - Pasture Beef'!I47</f>
        <v>100</v>
      </c>
      <c r="AA219" s="52">
        <f>'Input - Pasture Beef'!J47</f>
        <v>100</v>
      </c>
      <c r="AB219" s="52">
        <f>'Input - Pasture Beef'!K47</f>
        <v>100</v>
      </c>
      <c r="AC219" s="52">
        <f>'Input - Pasture Beef'!L47</f>
        <v>100</v>
      </c>
      <c r="AD219" s="52">
        <f>'Input - Pasture Beef'!M47</f>
        <v>100</v>
      </c>
      <c r="AE219" s="52">
        <f>'Input - Pasture Beef'!N47</f>
        <v>100</v>
      </c>
      <c r="AF219" s="2" t="s">
        <v>101</v>
      </c>
      <c r="AG219" s="2"/>
      <c r="AH219" s="2"/>
    </row>
    <row r="220" spans="3:35" ht="20.100000000000001" customHeight="1" x14ac:dyDescent="0.25">
      <c r="U220" s="52" t="str">
        <f>TEXT(EDATE('Input - Site'!$E$12,4), "mmmm yyyy")</f>
        <v>May 2024</v>
      </c>
      <c r="V220" s="52">
        <f>'Input - Pasture Beef'!E48</f>
        <v>100</v>
      </c>
      <c r="W220" s="52">
        <f>'Input - Pasture Beef'!F48</f>
        <v>100</v>
      </c>
      <c r="X220" s="52">
        <f>'Input - Pasture Beef'!G48</f>
        <v>100</v>
      </c>
      <c r="Y220" s="52">
        <f>'Input - Pasture Beef'!H48</f>
        <v>100</v>
      </c>
      <c r="Z220" s="52">
        <f>'Input - Pasture Beef'!I48</f>
        <v>100</v>
      </c>
      <c r="AA220" s="52">
        <f>'Input - Pasture Beef'!J48</f>
        <v>100</v>
      </c>
      <c r="AB220" s="52">
        <f>'Input - Pasture Beef'!K48</f>
        <v>100</v>
      </c>
      <c r="AC220" s="52">
        <f>'Input - Pasture Beef'!L48</f>
        <v>100</v>
      </c>
      <c r="AD220" s="52">
        <f>'Input - Pasture Beef'!M48</f>
        <v>100</v>
      </c>
      <c r="AE220" s="52">
        <f>'Input - Pasture Beef'!N48</f>
        <v>100</v>
      </c>
      <c r="AF220" s="2" t="s">
        <v>101</v>
      </c>
      <c r="AG220" s="2"/>
      <c r="AH220" s="2"/>
    </row>
    <row r="221" spans="3:35" ht="20.100000000000001" customHeight="1" x14ac:dyDescent="0.25">
      <c r="D221" s="53" t="s">
        <v>29</v>
      </c>
      <c r="E221" s="1" t="s">
        <v>448</v>
      </c>
      <c r="U221" s="52" t="str">
        <f>TEXT(EDATE('Input - Site'!$E$12,5), "mmmm yyyy")</f>
        <v>June 2024</v>
      </c>
      <c r="V221" s="52">
        <f>'Input - Pasture Beef'!E49</f>
        <v>100</v>
      </c>
      <c r="W221" s="52">
        <f>'Input - Pasture Beef'!F49</f>
        <v>100</v>
      </c>
      <c r="X221" s="52">
        <f>'Input - Pasture Beef'!G49</f>
        <v>100</v>
      </c>
      <c r="Y221" s="52">
        <f>'Input - Pasture Beef'!H49</f>
        <v>100</v>
      </c>
      <c r="Z221" s="52">
        <f>'Input - Pasture Beef'!I49</f>
        <v>100</v>
      </c>
      <c r="AA221" s="52">
        <f>'Input - Pasture Beef'!J49</f>
        <v>100</v>
      </c>
      <c r="AB221" s="52">
        <f>'Input - Pasture Beef'!K49</f>
        <v>100</v>
      </c>
      <c r="AC221" s="52">
        <f>'Input - Pasture Beef'!L49</f>
        <v>100</v>
      </c>
      <c r="AD221" s="52">
        <f>'Input - Pasture Beef'!M49</f>
        <v>100</v>
      </c>
      <c r="AE221" s="52">
        <f>'Input - Pasture Beef'!N49</f>
        <v>100</v>
      </c>
      <c r="AF221" s="2" t="s">
        <v>101</v>
      </c>
      <c r="AG221" s="2"/>
      <c r="AH221" s="2"/>
    </row>
    <row r="222" spans="3:35" ht="20.100000000000001" customHeight="1" x14ac:dyDescent="0.25">
      <c r="D222" s="53" t="s">
        <v>20</v>
      </c>
      <c r="E222" s="54" t="s">
        <v>302</v>
      </c>
      <c r="U222" s="52" t="str">
        <f>TEXT(EDATE('Input - Site'!$E$12,6), "mmmm yyyy")</f>
        <v>July 2024</v>
      </c>
      <c r="V222" s="52">
        <f>'Input - Pasture Beef'!E50</f>
        <v>100</v>
      </c>
      <c r="W222" s="52">
        <f>'Input - Pasture Beef'!F50</f>
        <v>100</v>
      </c>
      <c r="X222" s="52">
        <f>'Input - Pasture Beef'!G50</f>
        <v>100</v>
      </c>
      <c r="Y222" s="52">
        <f>'Input - Pasture Beef'!H50</f>
        <v>100</v>
      </c>
      <c r="Z222" s="52">
        <f>'Input - Pasture Beef'!I50</f>
        <v>100</v>
      </c>
      <c r="AA222" s="52">
        <f>'Input - Pasture Beef'!J50</f>
        <v>100</v>
      </c>
      <c r="AB222" s="52">
        <f>'Input - Pasture Beef'!K50</f>
        <v>100</v>
      </c>
      <c r="AC222" s="52">
        <f>'Input - Pasture Beef'!L50</f>
        <v>100</v>
      </c>
      <c r="AD222" s="52">
        <f>'Input - Pasture Beef'!M50</f>
        <v>100</v>
      </c>
      <c r="AE222" s="52">
        <f>'Input - Pasture Beef'!N50</f>
        <v>100</v>
      </c>
      <c r="AF222" s="2" t="s">
        <v>101</v>
      </c>
      <c r="AG222" s="2"/>
      <c r="AH222" s="2"/>
    </row>
    <row r="223" spans="3:35" ht="20.100000000000001" customHeight="1" x14ac:dyDescent="0.25">
      <c r="U223" s="52" t="str">
        <f>TEXT(EDATE('Input - Site'!$E$12,7), "mmmm yyyy")</f>
        <v>August 2024</v>
      </c>
      <c r="V223" s="52">
        <f>'Input - Pasture Beef'!E51</f>
        <v>100</v>
      </c>
      <c r="W223" s="52">
        <f>'Input - Pasture Beef'!F51</f>
        <v>100</v>
      </c>
      <c r="X223" s="52">
        <f>'Input - Pasture Beef'!G51</f>
        <v>100</v>
      </c>
      <c r="Y223" s="52">
        <f>'Input - Pasture Beef'!H51</f>
        <v>100</v>
      </c>
      <c r="Z223" s="52">
        <f>'Input - Pasture Beef'!I51</f>
        <v>100</v>
      </c>
      <c r="AA223" s="52">
        <f>'Input - Pasture Beef'!J51</f>
        <v>100</v>
      </c>
      <c r="AB223" s="52">
        <f>'Input - Pasture Beef'!K51</f>
        <v>100</v>
      </c>
      <c r="AC223" s="52">
        <f>'Input - Pasture Beef'!L51</f>
        <v>100</v>
      </c>
      <c r="AD223" s="52">
        <f>'Input - Pasture Beef'!M51</f>
        <v>100</v>
      </c>
      <c r="AE223" s="52">
        <f>'Input - Pasture Beef'!N51</f>
        <v>100</v>
      </c>
      <c r="AF223" s="2" t="s">
        <v>101</v>
      </c>
      <c r="AG223" s="2"/>
      <c r="AH223" s="2"/>
    </row>
    <row r="224" spans="3:35" ht="20.100000000000001" customHeight="1" x14ac:dyDescent="0.25">
      <c r="D224" s="108" t="str" cm="1">
        <f t="array" ref="D224:E227">(_xlfn.MAKEARRAY(4,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f>
        <v>AE</v>
      </c>
      <c r="E224" s="110" t="str">
        <v>total mass of nitrogen excreted on PRP for beef cattle (kg N)</v>
      </c>
      <c r="F224" s="117"/>
      <c r="G224" s="109"/>
      <c r="H224" s="108" t="str">
        <f>"See " &amp; D204</f>
        <v>See M1_Table_AE</v>
      </c>
      <c r="U224" s="52" t="str">
        <f>TEXT(EDATE('Input - Site'!$E$12,8), "mmmm yyyy")</f>
        <v>September 2024</v>
      </c>
      <c r="V224" s="52">
        <f>'Input - Pasture Beef'!E52</f>
        <v>100</v>
      </c>
      <c r="W224" s="52">
        <f>'Input - Pasture Beef'!F52</f>
        <v>100</v>
      </c>
      <c r="X224" s="52">
        <f>'Input - Pasture Beef'!G52</f>
        <v>100</v>
      </c>
      <c r="Y224" s="52">
        <f>'Input - Pasture Beef'!H52</f>
        <v>100</v>
      </c>
      <c r="Z224" s="52">
        <f>'Input - Pasture Beef'!I52</f>
        <v>100</v>
      </c>
      <c r="AA224" s="52">
        <f>'Input - Pasture Beef'!J52</f>
        <v>100</v>
      </c>
      <c r="AB224" s="52">
        <f>'Input - Pasture Beef'!K52</f>
        <v>100</v>
      </c>
      <c r="AC224" s="52">
        <f>'Input - Pasture Beef'!L52</f>
        <v>100</v>
      </c>
      <c r="AD224" s="52">
        <f>'Input - Pasture Beef'!M52</f>
        <v>100</v>
      </c>
      <c r="AE224" s="52">
        <f>'Input - Pasture Beef'!N52</f>
        <v>100</v>
      </c>
      <c r="AF224" s="2" t="s">
        <v>101</v>
      </c>
      <c r="AG224" s="2"/>
      <c r="AH224" s="2"/>
    </row>
    <row r="225" spans="4:34" ht="20.100000000000001" customHeight="1" x14ac:dyDescent="0.25">
      <c r="D225" s="108" t="str">
        <v>EF_PRP</v>
      </c>
      <c r="E225" s="110" t="str">
        <v>emission factor for nitrous oxide from urine and dung deposited to soil (kg N2O-N/kg N deposited)</v>
      </c>
      <c r="F225" s="117"/>
      <c r="G225" s="109"/>
      <c r="H225" s="57">
        <f>_xlfn.XLOOKUP(H227,Table_SourceData_EFPastureRangeAndPaddock[Climate zone],Table_SourceData_EFPastureRangeAndPaddock[EFPRP])</f>
        <v>2E-3</v>
      </c>
      <c r="U225" s="52" t="str">
        <f>TEXT(EDATE('Input - Site'!$E$12,9), "mmmm yyyy")</f>
        <v>October 2024</v>
      </c>
      <c r="V225" s="52">
        <f>'Input - Pasture Beef'!E53</f>
        <v>100</v>
      </c>
      <c r="W225" s="52">
        <f>'Input - Pasture Beef'!F53</f>
        <v>100</v>
      </c>
      <c r="X225" s="52">
        <f>'Input - Pasture Beef'!G53</f>
        <v>100</v>
      </c>
      <c r="Y225" s="52">
        <f>'Input - Pasture Beef'!H53</f>
        <v>100</v>
      </c>
      <c r="Z225" s="52">
        <f>'Input - Pasture Beef'!I53</f>
        <v>100</v>
      </c>
      <c r="AA225" s="52">
        <f>'Input - Pasture Beef'!J53</f>
        <v>100</v>
      </c>
      <c r="AB225" s="52">
        <f>'Input - Pasture Beef'!K53</f>
        <v>100</v>
      </c>
      <c r="AC225" s="52">
        <f>'Input - Pasture Beef'!L53</f>
        <v>100</v>
      </c>
      <c r="AD225" s="52">
        <f>'Input - Pasture Beef'!M53</f>
        <v>100</v>
      </c>
      <c r="AE225" s="52">
        <f>'Input - Pasture Beef'!N53</f>
        <v>100</v>
      </c>
      <c r="AF225" s="2" t="s">
        <v>101</v>
      </c>
      <c r="AG225" s="2"/>
      <c r="AH225" s="2"/>
    </row>
    <row r="226" spans="4:34" ht="20.100000000000001" customHeight="1" x14ac:dyDescent="0.25">
      <c r="D226" s="108" t="str">
        <v>C_N2O</v>
      </c>
      <c r="E226" s="110" t="str">
        <v>factor to convert elemental mass of nitrous oxide to molecular mass</v>
      </c>
      <c r="F226" s="117"/>
      <c r="G226" s="109"/>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'Input - Pasture Beef'!E54</f>
        <v>100</v>
      </c>
      <c r="W226" s="52">
        <f>'Input - Pasture Beef'!F54</f>
        <v>100</v>
      </c>
      <c r="X226" s="52">
        <f>'Input - Pasture Beef'!G54</f>
        <v>100</v>
      </c>
      <c r="Y226" s="52">
        <f>'Input - Pasture Beef'!H54</f>
        <v>100</v>
      </c>
      <c r="Z226" s="52">
        <f>'Input - Pasture Beef'!I54</f>
        <v>100</v>
      </c>
      <c r="AA226" s="52">
        <f>'Input - Pasture Beef'!J54</f>
        <v>100</v>
      </c>
      <c r="AB226" s="52">
        <f>'Input - Pasture Beef'!K54</f>
        <v>100</v>
      </c>
      <c r="AC226" s="52">
        <f>'Input - Pasture Beef'!L54</f>
        <v>100</v>
      </c>
      <c r="AD226" s="52">
        <f>'Input - Pasture Beef'!M54</f>
        <v>100</v>
      </c>
      <c r="AE226" s="52">
        <f>'Input - Pasture Beef'!N54</f>
        <v>100</v>
      </c>
      <c r="AF226" s="2" t="s">
        <v>101</v>
      </c>
      <c r="AG226" s="2"/>
      <c r="AH226" s="2"/>
    </row>
    <row r="227" spans="4:34" ht="20.100000000000001" customHeight="1" x14ac:dyDescent="0.25">
      <c r="D227" s="108" t="str">
        <v>z</v>
      </c>
      <c r="E227" s="110" t="str">
        <v>wet or dry climate zone</v>
      </c>
      <c r="F227" s="117"/>
      <c r="G227" s="109"/>
      <c r="H227" s="108" t="str">
        <f>'Input - Site'!$E$32</f>
        <v>Dry climate zone</v>
      </c>
      <c r="U227" s="52" t="str">
        <f>TEXT(EDATE('Input - Site'!$E$12,11), "mmmm yyyy")</f>
        <v>December 2024</v>
      </c>
      <c r="V227" s="52">
        <f>'Input - Pasture Beef'!E55</f>
        <v>100</v>
      </c>
      <c r="W227" s="52">
        <f>'Input - Pasture Beef'!F55</f>
        <v>100</v>
      </c>
      <c r="X227" s="52">
        <f>'Input - Pasture Beef'!G55</f>
        <v>100</v>
      </c>
      <c r="Y227" s="52">
        <f>'Input - Pasture Beef'!H55</f>
        <v>100</v>
      </c>
      <c r="Z227" s="52">
        <f>'Input - Pasture Beef'!I55</f>
        <v>100</v>
      </c>
      <c r="AA227" s="52">
        <f>'Input - Pasture Beef'!J55</f>
        <v>100</v>
      </c>
      <c r="AB227" s="52">
        <f>'Input - Pasture Beef'!K55</f>
        <v>100</v>
      </c>
      <c r="AC227" s="52">
        <f>'Input - Pasture Beef'!L55</f>
        <v>100</v>
      </c>
      <c r="AD227" s="52">
        <f>'Input - Pasture Beef'!M55</f>
        <v>100</v>
      </c>
      <c r="AE227" s="52">
        <f>'Input - Pasture Beef'!N55</f>
        <v>100</v>
      </c>
      <c r="AF227" s="2" t="s">
        <v>101</v>
      </c>
      <c r="AG227" s="2"/>
      <c r="AH227" s="2"/>
    </row>
    <row r="228" spans="4:34" ht="20.100000000000001" customHeight="1" x14ac:dyDescent="0.25"/>
    <row r="229" spans="4:34" ht="20.100000000000001" customHeight="1" x14ac:dyDescent="0.25">
      <c r="D229" s="101" t="s">
        <v>109</v>
      </c>
      <c r="E229" s="102">
        <f>($E$212 * $H$225 * $H$226 * 10 ^ -3)</f>
        <v>0.21126043822504445</v>
      </c>
      <c r="F229" s="103" t="str">
        <f>$E$222</f>
        <v>t N2O</v>
      </c>
      <c r="U229" s="99" t="s">
        <v>148</v>
      </c>
    </row>
    <row r="230" spans="4:34" ht="20.100000000000001" customHeight="1" x14ac:dyDescent="0.25">
      <c r="U230" s="98" t="s">
        <v>281</v>
      </c>
    </row>
    <row r="231" spans="4:34" ht="20.100000000000001" customHeight="1" x14ac:dyDescent="0.25">
      <c r="D231" s="57" t="str" cm="1">
        <f t="array" ref="D231:E232">Common_Equations.Common_ConvertN2OToCO2e_Arguments()</f>
        <v>EN2O</v>
      </c>
      <c r="E231" s="58" t="str">
        <v>Nitrous oxide emissions (t N2O)</v>
      </c>
      <c r="F231" s="104"/>
      <c r="G231" s="52">
        <f>E229</f>
        <v>0.21126043822504445</v>
      </c>
      <c r="U231" s="51" t="s">
        <v>131</v>
      </c>
      <c r="V231" s="51" t="s">
        <v>130</v>
      </c>
      <c r="W231" s="51" t="s">
        <v>129</v>
      </c>
      <c r="X231" s="51" t="s">
        <v>164</v>
      </c>
      <c r="Y231" s="51" t="s">
        <v>165</v>
      </c>
      <c r="Z231" s="51" t="s">
        <v>166</v>
      </c>
      <c r="AA231" s="51" t="s">
        <v>167</v>
      </c>
      <c r="AB231" s="51" t="s">
        <v>168</v>
      </c>
      <c r="AC231" s="51" t="s">
        <v>169</v>
      </c>
      <c r="AD231" s="51" t="s">
        <v>170</v>
      </c>
      <c r="AE231" s="51" t="s">
        <v>171</v>
      </c>
    </row>
    <row r="232" spans="4:34" ht="20.100000000000001" customHeight="1" x14ac:dyDescent="0.25">
      <c r="D232" s="57" t="str">
        <v>GWPN2O</v>
      </c>
      <c r="E232" s="58" t="str">
        <v>Global warming potential for nitrous oxide (t CO2-e / t N2O)</v>
      </c>
      <c r="F232" s="104"/>
      <c r="G232" s="52">
        <f>Common_InputFunctions.Utility_LookupValueInTableNumber("N2O",Table_GWPData[Gas],Table_GWPData[CO2-e factor])</f>
        <v>265</v>
      </c>
      <c r="U232" s="52" t="str">
        <f>TEXT('Input - Site'!$E$12, "mmmm yyyy")</f>
        <v>January 2024</v>
      </c>
      <c r="V232" s="52">
        <f>'Input - Pasture Beef'!E22</f>
        <v>31</v>
      </c>
      <c r="W232" s="52">
        <f>'Input - Pasture Beef'!F22</f>
        <v>31</v>
      </c>
      <c r="X232" s="52">
        <f>'Input - Pasture Beef'!G22</f>
        <v>31</v>
      </c>
      <c r="Y232" s="52">
        <f>'Input - Pasture Beef'!H22</f>
        <v>31</v>
      </c>
      <c r="Z232" s="52">
        <f>'Input - Pasture Beef'!I22</f>
        <v>31</v>
      </c>
      <c r="AA232" s="52">
        <f>'Input - Pasture Beef'!J22</f>
        <v>31</v>
      </c>
      <c r="AB232" s="52">
        <f>'Input - Pasture Beef'!K22</f>
        <v>31</v>
      </c>
      <c r="AC232" s="52">
        <f>'Input - Pasture Beef'!L22</f>
        <v>31</v>
      </c>
      <c r="AD232" s="52">
        <f>'Input - Pasture Beef'!M22</f>
        <v>31</v>
      </c>
      <c r="AE232" s="52">
        <f>'Input - Pasture Beef'!N22</f>
        <v>31</v>
      </c>
      <c r="AF232" s="2" t="s">
        <v>277</v>
      </c>
      <c r="AG232" s="2"/>
      <c r="AH232" s="2"/>
    </row>
    <row r="233" spans="4:34" ht="20.100000000000001" customHeight="1" x14ac:dyDescent="0.25">
      <c r="U233" s="52" t="str">
        <f>TEXT(EDATE('Input - Site'!$E$12,1), "mmmm yyyy")</f>
        <v>February 2024</v>
      </c>
      <c r="V233" s="52">
        <f>'Input - Pasture Beef'!E23</f>
        <v>29</v>
      </c>
      <c r="W233" s="52">
        <f>'Input - Pasture Beef'!F23</f>
        <v>29</v>
      </c>
      <c r="X233" s="52">
        <f>'Input - Pasture Beef'!G23</f>
        <v>29</v>
      </c>
      <c r="Y233" s="52">
        <f>'Input - Pasture Beef'!H23</f>
        <v>29</v>
      </c>
      <c r="Z233" s="52">
        <f>'Input - Pasture Beef'!I23</f>
        <v>29</v>
      </c>
      <c r="AA233" s="52">
        <f>'Input - Pasture Beef'!J23</f>
        <v>29</v>
      </c>
      <c r="AB233" s="52">
        <f>'Input - Pasture Beef'!K23</f>
        <v>29</v>
      </c>
      <c r="AC233" s="52">
        <f>'Input - Pasture Beef'!L23</f>
        <v>29</v>
      </c>
      <c r="AD233" s="52">
        <f>'Input - Pasture Beef'!M23</f>
        <v>29</v>
      </c>
      <c r="AE233" s="52">
        <f>'Input - Pasture Beef'!N23</f>
        <v>29</v>
      </c>
      <c r="AF233" s="2" t="s">
        <v>277</v>
      </c>
      <c r="AG233" s="2"/>
      <c r="AH233" s="2"/>
    </row>
    <row r="234" spans="4:34" ht="20.100000000000001" customHeight="1" x14ac:dyDescent="0.25">
      <c r="D234" s="45" t="s">
        <v>103</v>
      </c>
      <c r="E234" s="45" cm="1">
        <f t="array" ref="E234">Common_Equations.Common_ConvertN2OToCO2e(G231,G232)</f>
        <v>55.984016129636778</v>
      </c>
      <c r="F234" s="105" t="str" cm="1">
        <f t="array" ref="F234">Common_Equations.Common_ConvertN2OToCO2e_Unit()</f>
        <v>t CO2e</v>
      </c>
      <c r="U234" s="52" t="str">
        <f>TEXT(EDATE('Input - Site'!$E$12,2), "mmmm yyyy")</f>
        <v>March 2024</v>
      </c>
      <c r="V234" s="52">
        <f>'Input - Pasture Beef'!E24</f>
        <v>31</v>
      </c>
      <c r="W234" s="52">
        <f>'Input - Pasture Beef'!F24</f>
        <v>31</v>
      </c>
      <c r="X234" s="52">
        <f>'Input - Pasture Beef'!G24</f>
        <v>31</v>
      </c>
      <c r="Y234" s="52">
        <f>'Input - Pasture Beef'!H24</f>
        <v>31</v>
      </c>
      <c r="Z234" s="52">
        <f>'Input - Pasture Beef'!I24</f>
        <v>31</v>
      </c>
      <c r="AA234" s="52">
        <f>'Input - Pasture Beef'!J24</f>
        <v>31</v>
      </c>
      <c r="AB234" s="52">
        <f>'Input - Pasture Beef'!K24</f>
        <v>31</v>
      </c>
      <c r="AC234" s="52">
        <f>'Input - Pasture Beef'!L24</f>
        <v>31</v>
      </c>
      <c r="AD234" s="52">
        <f>'Input - Pasture Beef'!M24</f>
        <v>31</v>
      </c>
      <c r="AE234" s="52">
        <f>'Input - Pasture Beef'!N24</f>
        <v>31</v>
      </c>
      <c r="AF234" s="2" t="s">
        <v>277</v>
      </c>
      <c r="AG234" s="2"/>
      <c r="AH234" s="2"/>
    </row>
    <row r="235" spans="4:34" ht="20.100000000000001" customHeight="1" x14ac:dyDescent="0.25">
      <c r="U235" s="52" t="str">
        <f>TEXT(EDATE('Input - Site'!$E$12,3), "mmmm yyyy")</f>
        <v>April 2024</v>
      </c>
      <c r="V235" s="52">
        <f>'Input - Pasture Beef'!E25</f>
        <v>30</v>
      </c>
      <c r="W235" s="52">
        <f>'Input - Pasture Beef'!F25</f>
        <v>30</v>
      </c>
      <c r="X235" s="52">
        <f>'Input - Pasture Beef'!G25</f>
        <v>30</v>
      </c>
      <c r="Y235" s="52">
        <f>'Input - Pasture Beef'!H25</f>
        <v>30</v>
      </c>
      <c r="Z235" s="52">
        <f>'Input - Pasture Beef'!I25</f>
        <v>30</v>
      </c>
      <c r="AA235" s="52">
        <f>'Input - Pasture Beef'!J25</f>
        <v>30</v>
      </c>
      <c r="AB235" s="52">
        <f>'Input - Pasture Beef'!K25</f>
        <v>30</v>
      </c>
      <c r="AC235" s="52">
        <f>'Input - Pasture Beef'!L25</f>
        <v>30</v>
      </c>
      <c r="AD235" s="52">
        <f>'Input - Pasture Beef'!M25</f>
        <v>30</v>
      </c>
      <c r="AE235" s="52">
        <f>'Input - Pasture Beef'!N25</f>
        <v>30</v>
      </c>
      <c r="AF235" s="2" t="s">
        <v>277</v>
      </c>
      <c r="AG235" s="2"/>
      <c r="AH235" s="2"/>
    </row>
    <row r="236" spans="4:34" ht="20.100000000000001" customHeight="1" x14ac:dyDescent="0.25">
      <c r="U236" s="52" t="str">
        <f>TEXT(EDATE('Input - Site'!$E$12,4), "mmmm yyyy")</f>
        <v>May 2024</v>
      </c>
      <c r="V236" s="52">
        <f>'Input - Pasture Beef'!E26</f>
        <v>31</v>
      </c>
      <c r="W236" s="52">
        <f>'Input - Pasture Beef'!F26</f>
        <v>31</v>
      </c>
      <c r="X236" s="52">
        <f>'Input - Pasture Beef'!G26</f>
        <v>31</v>
      </c>
      <c r="Y236" s="52">
        <f>'Input - Pasture Beef'!H26</f>
        <v>31</v>
      </c>
      <c r="Z236" s="52">
        <f>'Input - Pasture Beef'!I26</f>
        <v>31</v>
      </c>
      <c r="AA236" s="52">
        <f>'Input - Pasture Beef'!J26</f>
        <v>31</v>
      </c>
      <c r="AB236" s="52">
        <f>'Input - Pasture Beef'!K26</f>
        <v>31</v>
      </c>
      <c r="AC236" s="52">
        <f>'Input - Pasture Beef'!L26</f>
        <v>31</v>
      </c>
      <c r="AD236" s="52">
        <f>'Input - Pasture Beef'!M26</f>
        <v>31</v>
      </c>
      <c r="AE236" s="52">
        <f>'Input - Pasture Beef'!N26</f>
        <v>31</v>
      </c>
      <c r="AF236" s="2" t="s">
        <v>277</v>
      </c>
      <c r="AG236" s="2"/>
      <c r="AH236" s="2"/>
    </row>
    <row r="237" spans="4:34" ht="20.100000000000001" customHeight="1" x14ac:dyDescent="0.25">
      <c r="U237" s="52" t="str">
        <f>TEXT(EDATE('Input - Site'!$E$12,5), "mmmm yyyy")</f>
        <v>June 2024</v>
      </c>
      <c r="V237" s="52">
        <f>'Input - Pasture Beef'!E27</f>
        <v>30</v>
      </c>
      <c r="W237" s="52">
        <f>'Input - Pasture Beef'!F27</f>
        <v>30</v>
      </c>
      <c r="X237" s="52">
        <f>'Input - Pasture Beef'!G27</f>
        <v>30</v>
      </c>
      <c r="Y237" s="52">
        <f>'Input - Pasture Beef'!H27</f>
        <v>30</v>
      </c>
      <c r="Z237" s="52">
        <f>'Input - Pasture Beef'!I27</f>
        <v>30</v>
      </c>
      <c r="AA237" s="52">
        <f>'Input - Pasture Beef'!J27</f>
        <v>30</v>
      </c>
      <c r="AB237" s="52">
        <f>'Input - Pasture Beef'!K27</f>
        <v>30</v>
      </c>
      <c r="AC237" s="52">
        <f>'Input - Pasture Beef'!L27</f>
        <v>30</v>
      </c>
      <c r="AD237" s="52">
        <f>'Input - Pasture Beef'!M27</f>
        <v>30</v>
      </c>
      <c r="AE237" s="52">
        <f>'Input - Pasture Beef'!N27</f>
        <v>30</v>
      </c>
      <c r="AF237" s="2" t="s">
        <v>277</v>
      </c>
      <c r="AG237" s="2"/>
      <c r="AH237" s="2"/>
    </row>
    <row r="238" spans="4:34" ht="20.100000000000001" customHeight="1" x14ac:dyDescent="0.25">
      <c r="U238" s="52" t="str">
        <f>TEXT(EDATE('Input - Site'!$E$12,6), "mmmm yyyy")</f>
        <v>July 2024</v>
      </c>
      <c r="V238" s="52">
        <f>'Input - Pasture Beef'!E28</f>
        <v>31</v>
      </c>
      <c r="W238" s="52">
        <f>'Input - Pasture Beef'!F28</f>
        <v>31</v>
      </c>
      <c r="X238" s="52">
        <f>'Input - Pasture Beef'!G28</f>
        <v>31</v>
      </c>
      <c r="Y238" s="52">
        <f>'Input - Pasture Beef'!H28</f>
        <v>31</v>
      </c>
      <c r="Z238" s="52">
        <f>'Input - Pasture Beef'!I28</f>
        <v>31</v>
      </c>
      <c r="AA238" s="52">
        <f>'Input - Pasture Beef'!J28</f>
        <v>31</v>
      </c>
      <c r="AB238" s="52">
        <f>'Input - Pasture Beef'!K28</f>
        <v>31</v>
      </c>
      <c r="AC238" s="52">
        <f>'Input - Pasture Beef'!L28</f>
        <v>31</v>
      </c>
      <c r="AD238" s="52">
        <f>'Input - Pasture Beef'!M28</f>
        <v>31</v>
      </c>
      <c r="AE238" s="52">
        <f>'Input - Pasture Beef'!N28</f>
        <v>31</v>
      </c>
      <c r="AF238" s="2" t="s">
        <v>277</v>
      </c>
      <c r="AG238" s="2"/>
      <c r="AH238" s="2"/>
    </row>
    <row r="239" spans="4:34" ht="20.100000000000001" customHeight="1" x14ac:dyDescent="0.25">
      <c r="U239" s="52" t="str">
        <f>TEXT(EDATE('Input - Site'!$E$12,7), "mmmm yyyy")</f>
        <v>August 2024</v>
      </c>
      <c r="V239" s="52">
        <f>'Input - Pasture Beef'!E29</f>
        <v>31</v>
      </c>
      <c r="W239" s="52">
        <f>'Input - Pasture Beef'!F29</f>
        <v>31</v>
      </c>
      <c r="X239" s="52">
        <f>'Input - Pasture Beef'!G29</f>
        <v>31</v>
      </c>
      <c r="Y239" s="52">
        <f>'Input - Pasture Beef'!H29</f>
        <v>31</v>
      </c>
      <c r="Z239" s="52">
        <f>'Input - Pasture Beef'!I29</f>
        <v>31</v>
      </c>
      <c r="AA239" s="52">
        <f>'Input - Pasture Beef'!J29</f>
        <v>31</v>
      </c>
      <c r="AB239" s="52">
        <f>'Input - Pasture Beef'!K29</f>
        <v>31</v>
      </c>
      <c r="AC239" s="52">
        <f>'Input - Pasture Beef'!L29</f>
        <v>31</v>
      </c>
      <c r="AD239" s="52">
        <f>'Input - Pasture Beef'!M29</f>
        <v>31</v>
      </c>
      <c r="AE239" s="52">
        <f>'Input - Pasture Beef'!N29</f>
        <v>31</v>
      </c>
      <c r="AF239" s="2" t="s">
        <v>277</v>
      </c>
      <c r="AG239" s="2"/>
      <c r="AH239" s="2"/>
    </row>
    <row r="240" spans="4:34" ht="20.100000000000001" customHeight="1" x14ac:dyDescent="0.25">
      <c r="U240" s="52" t="str">
        <f>TEXT(EDATE('Input - Site'!$E$12,8), "mmmm yyyy")</f>
        <v>September 2024</v>
      </c>
      <c r="V240" s="52">
        <f>'Input - Pasture Beef'!E30</f>
        <v>30</v>
      </c>
      <c r="W240" s="52">
        <f>'Input - Pasture Beef'!F30</f>
        <v>30</v>
      </c>
      <c r="X240" s="52">
        <f>'Input - Pasture Beef'!G30</f>
        <v>30</v>
      </c>
      <c r="Y240" s="52">
        <f>'Input - Pasture Beef'!H30</f>
        <v>30</v>
      </c>
      <c r="Z240" s="52">
        <f>'Input - Pasture Beef'!I30</f>
        <v>30</v>
      </c>
      <c r="AA240" s="52">
        <f>'Input - Pasture Beef'!J30</f>
        <v>30</v>
      </c>
      <c r="AB240" s="52">
        <f>'Input - Pasture Beef'!K30</f>
        <v>30</v>
      </c>
      <c r="AC240" s="52">
        <f>'Input - Pasture Beef'!L30</f>
        <v>30</v>
      </c>
      <c r="AD240" s="52">
        <f>'Input - Pasture Beef'!M30</f>
        <v>30</v>
      </c>
      <c r="AE240" s="52">
        <f>'Input - Pasture Beef'!N30</f>
        <v>30</v>
      </c>
      <c r="AF240" s="2" t="s">
        <v>277</v>
      </c>
      <c r="AG240" s="2"/>
      <c r="AH240" s="2"/>
    </row>
    <row r="241" spans="21:34" ht="20.100000000000001" customHeight="1" x14ac:dyDescent="0.25">
      <c r="U241" s="52" t="str">
        <f>TEXT(EDATE('Input - Site'!$E$12,9), "mmmm yyyy")</f>
        <v>October 2024</v>
      </c>
      <c r="V241" s="52">
        <f>'Input - Pasture Beef'!E31</f>
        <v>31</v>
      </c>
      <c r="W241" s="52">
        <f>'Input - Pasture Beef'!F31</f>
        <v>31</v>
      </c>
      <c r="X241" s="52">
        <f>'Input - Pasture Beef'!G31</f>
        <v>31</v>
      </c>
      <c r="Y241" s="52">
        <f>'Input - Pasture Beef'!H31</f>
        <v>31</v>
      </c>
      <c r="Z241" s="52">
        <f>'Input - Pasture Beef'!I31</f>
        <v>31</v>
      </c>
      <c r="AA241" s="52">
        <f>'Input - Pasture Beef'!J31</f>
        <v>31</v>
      </c>
      <c r="AB241" s="52">
        <f>'Input - Pasture Beef'!K31</f>
        <v>31</v>
      </c>
      <c r="AC241" s="52">
        <f>'Input - Pasture Beef'!L31</f>
        <v>31</v>
      </c>
      <c r="AD241" s="52">
        <f>'Input - Pasture Beef'!M31</f>
        <v>31</v>
      </c>
      <c r="AE241" s="52">
        <f>'Input - Pasture Beef'!N31</f>
        <v>31</v>
      </c>
      <c r="AF241" s="2" t="s">
        <v>277</v>
      </c>
      <c r="AG241" s="2"/>
      <c r="AH241" s="2"/>
    </row>
    <row r="242" spans="21:34" ht="20.100000000000001" customHeight="1" x14ac:dyDescent="0.25">
      <c r="U242" s="52" t="str">
        <f>TEXT(EDATE('Input - Site'!$E$12,10), "mmmm yyyy")</f>
        <v>November 2024</v>
      </c>
      <c r="V242" s="52">
        <f>'Input - Pasture Beef'!E32</f>
        <v>30</v>
      </c>
      <c r="W242" s="52">
        <f>'Input - Pasture Beef'!F32</f>
        <v>30</v>
      </c>
      <c r="X242" s="52">
        <f>'Input - Pasture Beef'!G32</f>
        <v>30</v>
      </c>
      <c r="Y242" s="52">
        <f>'Input - Pasture Beef'!H32</f>
        <v>30</v>
      </c>
      <c r="Z242" s="52">
        <f>'Input - Pasture Beef'!I32</f>
        <v>30</v>
      </c>
      <c r="AA242" s="52">
        <f>'Input - Pasture Beef'!J32</f>
        <v>30</v>
      </c>
      <c r="AB242" s="52">
        <f>'Input - Pasture Beef'!K32</f>
        <v>30</v>
      </c>
      <c r="AC242" s="52">
        <f>'Input - Pasture Beef'!L32</f>
        <v>30</v>
      </c>
      <c r="AD242" s="52">
        <f>'Input - Pasture Beef'!M32</f>
        <v>30</v>
      </c>
      <c r="AE242" s="52">
        <f>'Input - Pasture Beef'!N32</f>
        <v>30</v>
      </c>
      <c r="AF242" s="2" t="s">
        <v>277</v>
      </c>
      <c r="AG242" s="2"/>
      <c r="AH242" s="2"/>
    </row>
    <row r="243" spans="21:34" ht="20.100000000000001" customHeight="1" x14ac:dyDescent="0.25">
      <c r="U243" s="52" t="str">
        <f>TEXT(EDATE('Input - Site'!$E$12,11), "mmmm yyyy")</f>
        <v>December 2024</v>
      </c>
      <c r="V243" s="52">
        <f>'Input - Pasture Beef'!E33</f>
        <v>31</v>
      </c>
      <c r="W243" s="52">
        <f>'Input - Pasture Beef'!F33</f>
        <v>31</v>
      </c>
      <c r="X243" s="52">
        <f>'Input - Pasture Beef'!G33</f>
        <v>31</v>
      </c>
      <c r="Y243" s="52">
        <f>'Input - Pasture Beef'!H33</f>
        <v>31</v>
      </c>
      <c r="Z243" s="52">
        <f>'Input - Pasture Beef'!I33</f>
        <v>31</v>
      </c>
      <c r="AA243" s="52">
        <f>'Input - Pasture Beef'!J33</f>
        <v>31</v>
      </c>
      <c r="AB243" s="52">
        <f>'Input - Pasture Beef'!K33</f>
        <v>31</v>
      </c>
      <c r="AC243" s="52">
        <f>'Input - Pasture Beef'!L33</f>
        <v>31</v>
      </c>
      <c r="AD243" s="52">
        <f>'Input - Pasture Beef'!M33</f>
        <v>31</v>
      </c>
      <c r="AE243" s="52">
        <f>'Input - Pasture Beef'!N33</f>
        <v>31</v>
      </c>
      <c r="AF243" s="2" t="s">
        <v>277</v>
      </c>
      <c r="AG243" s="2"/>
      <c r="AH243" s="2"/>
    </row>
    <row r="244" spans="21:34" ht="20.100000000000001" customHeight="1" x14ac:dyDescent="0.25"/>
    <row r="245" spans="21:34" ht="20.100000000000001" customHeight="1" x14ac:dyDescent="0.25">
      <c r="U245" s="99" t="s">
        <v>317</v>
      </c>
    </row>
    <row r="246" spans="21:34" ht="20.100000000000001" customHeight="1" x14ac:dyDescent="0.25">
      <c r="U246" s="98" t="s">
        <v>318</v>
      </c>
    </row>
    <row r="247" spans="21:34" ht="20.100000000000001" customHeight="1" x14ac:dyDescent="0.25">
      <c r="U247" s="51" t="s">
        <v>131</v>
      </c>
      <c r="V247" s="51" t="s">
        <v>130</v>
      </c>
      <c r="W247" s="51" t="s">
        <v>129</v>
      </c>
      <c r="X247" s="51" t="s">
        <v>164</v>
      </c>
      <c r="Y247" s="51" t="s">
        <v>165</v>
      </c>
      <c r="Z247" s="51" t="s">
        <v>166</v>
      </c>
      <c r="AA247" s="51" t="s">
        <v>167</v>
      </c>
      <c r="AB247" s="51" t="s">
        <v>168</v>
      </c>
      <c r="AC247" s="51" t="s">
        <v>169</v>
      </c>
      <c r="AD247" s="51" t="s">
        <v>170</v>
      </c>
      <c r="AE247" s="51" t="s">
        <v>171</v>
      </c>
    </row>
    <row r="248" spans="21:34" ht="20.100000000000001" customHeight="1" x14ac:dyDescent="0.25">
      <c r="U248" s="52" t="str">
        <f>TEXT('Input - Site'!$E$12, "mmmm yyyy")</f>
        <v>January 2024</v>
      </c>
      <c r="V248" s="52">
        <f>(SUM((V216 * V196) * V232))</f>
        <v>351.34755115439344</v>
      </c>
      <c r="W248" s="52">
        <f>(SUM((W216 * W196) * W232))</f>
        <v>421.65805292524783</v>
      </c>
      <c r="X248" s="52">
        <f>(SUM((X216 * X196) * X232))</f>
        <v>303.40854404382895</v>
      </c>
      <c r="Y248" s="52">
        <f>(SUM((Y216 * Y196) * Y232))</f>
        <v>313.21127433214627</v>
      </c>
      <c r="Z248" s="52">
        <f>(SUM((Z216 * Z196) * Z232))</f>
        <v>329.00458281781619</v>
      </c>
      <c r="AA248" s="52">
        <f>(SUM((AA216 * AA196) * AA232))</f>
        <v>329.00458281781619</v>
      </c>
      <c r="AB248" s="52">
        <f>(SUM((AB216 * AB196) * AB232))</f>
        <v>327.63342507900626</v>
      </c>
      <c r="AC248" s="52">
        <f>(SUM((AC216 * AC196) * AC232))</f>
        <v>326.89236244194075</v>
      </c>
      <c r="AD248" s="52">
        <f>(SUM((AD216 * AD196) * AD232))</f>
        <v>326.89236244194075</v>
      </c>
      <c r="AE248" s="52">
        <f>(SUM((AE216 * AE196) * AE232))</f>
        <v>326.89236244194075</v>
      </c>
      <c r="AF248" s="2" t="str">
        <f t="shared" ref="AF248:AF259" si="10">$E$182</f>
        <v>kg N</v>
      </c>
      <c r="AG248" s="2"/>
      <c r="AH248" s="2"/>
    </row>
    <row r="249" spans="21:34" ht="20.100000000000001" customHeight="1" x14ac:dyDescent="0.25">
      <c r="U249" s="52" t="str">
        <f>TEXT(EDATE('Input - Site'!$E$12,1), "mmmm yyyy")</f>
        <v>February 2024</v>
      </c>
      <c r="V249" s="52">
        <f>(SUM((V217 * V197) * V233))</f>
        <v>270.49814902713058</v>
      </c>
      <c r="W249" s="52">
        <f>(SUM((W217 * W197) * W233))</f>
        <v>394.45430757523184</v>
      </c>
      <c r="X249" s="52">
        <f>(SUM((X217 * X197) * X233))</f>
        <v>225.6519810849895</v>
      </c>
      <c r="Y249" s="52">
        <f>(SUM((Y217 * Y197) * Y233))</f>
        <v>311.98304055581087</v>
      </c>
      <c r="Z249" s="52">
        <f>(SUM((Z217 * Z197) * Z233))</f>
        <v>327.00953552250638</v>
      </c>
      <c r="AA249" s="52">
        <f>(SUM((AA217 * AA197) * AA233))</f>
        <v>327.00953552250638</v>
      </c>
      <c r="AB249" s="52">
        <f>(SUM((AB217 * AB197) * AB233))</f>
        <v>248.31396656951023</v>
      </c>
      <c r="AC249" s="52">
        <f>(SUM((AC217 * AC197) * AC233))</f>
        <v>305.8025326069768</v>
      </c>
      <c r="AD249" s="52">
        <f>(SUM((AD217 * AD197) * AD233))</f>
        <v>305.8025326069768</v>
      </c>
      <c r="AE249" s="52">
        <f>(SUM((AE217 * AE197) * AE233))</f>
        <v>305.8025326069768</v>
      </c>
      <c r="AF249" s="2" t="str">
        <f t="shared" si="10"/>
        <v>kg N</v>
      </c>
      <c r="AG249" s="2"/>
      <c r="AH249" s="2"/>
    </row>
    <row r="250" spans="21:34" ht="20.100000000000001" customHeight="1" x14ac:dyDescent="0.25">
      <c r="U250" s="52" t="str">
        <f>TEXT(EDATE('Input - Site'!$E$12,2), "mmmm yyyy")</f>
        <v>March 2024</v>
      </c>
      <c r="V250" s="52">
        <f>(SUM((V218 * V198) * V234))</f>
        <v>41.820820957231291</v>
      </c>
      <c r="W250" s="52">
        <f>(SUM((W218 * W198) * W234))</f>
        <v>273.21237326588823</v>
      </c>
      <c r="X250" s="52">
        <f>(SUM((X218 * X198) * X234))</f>
        <v>34.105886288846641</v>
      </c>
      <c r="Y250" s="52">
        <f>(SUM((Y218 * Y198) * Y234))</f>
        <v>162.22400157554256</v>
      </c>
      <c r="Z250" s="52">
        <f>(SUM((Z218 * Z198) * Z234))</f>
        <v>214.47375788400842</v>
      </c>
      <c r="AA250" s="52">
        <f>(SUM((AA218 * AA198) * AA234))</f>
        <v>214.47375788400842</v>
      </c>
      <c r="AB250" s="52">
        <f>(SUM((AB218 * AB198) * AB234))</f>
        <v>42.567922288540977</v>
      </c>
      <c r="AC250" s="52">
        <f>(SUM((AC218 * AC198) * AC234))</f>
        <v>171.12645843343526</v>
      </c>
      <c r="AD250" s="52">
        <f>(SUM((AD218 * AD198) * AD234))</f>
        <v>171.12645843343526</v>
      </c>
      <c r="AE250" s="52">
        <f>(SUM((AE218 * AE198) * AE234))</f>
        <v>171.12645843343526</v>
      </c>
      <c r="AF250" s="2" t="str">
        <f t="shared" si="10"/>
        <v>kg N</v>
      </c>
      <c r="AG250" s="2"/>
      <c r="AH250" s="2"/>
    </row>
    <row r="251" spans="21:34" ht="20.100000000000001" customHeight="1" x14ac:dyDescent="0.25">
      <c r="U251" s="52" t="str">
        <f>TEXT(EDATE('Input - Site'!$E$12,3), "mmmm yyyy")</f>
        <v>April 2024</v>
      </c>
      <c r="V251" s="52">
        <f>(SUM((V219 * V199) * V235))</f>
        <v>40.471762216675444</v>
      </c>
      <c r="W251" s="52">
        <f>(SUM((W219 * W199) * W235))</f>
        <v>264.39907090247249</v>
      </c>
      <c r="X251" s="52">
        <f>(SUM((X219 * X199) * X235))</f>
        <v>33.005696408561263</v>
      </c>
      <c r="Y251" s="52">
        <f>(SUM((Y219 * Y199) * Y235))</f>
        <v>156.9909692666541</v>
      </c>
      <c r="Z251" s="52">
        <f>(SUM((Z219 * Z199) * Z235))</f>
        <v>207.55524956516945</v>
      </c>
      <c r="AA251" s="52">
        <f>(SUM((AA219 * AA199) * AA235))</f>
        <v>207.55524956516945</v>
      </c>
      <c r="AB251" s="52">
        <f>(SUM((AB219 * AB199) * AB235))</f>
        <v>41.19476350503966</v>
      </c>
      <c r="AC251" s="52">
        <f>(SUM((AC219 * AC199) * AC235))</f>
        <v>165.60625009687283</v>
      </c>
      <c r="AD251" s="52">
        <f>(SUM((AD219 * AD199) * AD235))</f>
        <v>165.60625009687283</v>
      </c>
      <c r="AE251" s="52">
        <f>(SUM((AE219 * AE199) * AE235))</f>
        <v>165.60625009687283</v>
      </c>
      <c r="AF251" s="2" t="str">
        <f t="shared" si="10"/>
        <v>kg N</v>
      </c>
      <c r="AG251" s="2"/>
      <c r="AH251" s="2"/>
    </row>
    <row r="252" spans="21:34" ht="20.100000000000001" customHeight="1" x14ac:dyDescent="0.25">
      <c r="U252" s="52" t="str">
        <f>TEXT(EDATE('Input - Site'!$E$12,4), "mmmm yyyy")</f>
        <v>May 2024</v>
      </c>
      <c r="V252" s="52">
        <f>(SUM((V220 * V200) * V236))</f>
        <v>41.820820957231291</v>
      </c>
      <c r="W252" s="52">
        <f>(SUM((W220 * W200) * W236))</f>
        <v>273.21237326588823</v>
      </c>
      <c r="X252" s="52">
        <f>(SUM((X220 * X200) * X236))</f>
        <v>34.105886288846641</v>
      </c>
      <c r="Y252" s="52">
        <f>(SUM((Y220 * Y200) * Y236))</f>
        <v>162.22400157554256</v>
      </c>
      <c r="Z252" s="52">
        <f>(SUM((Z220 * Z200) * Z236))</f>
        <v>214.47375788400842</v>
      </c>
      <c r="AA252" s="52">
        <f>(SUM((AA220 * AA200) * AA236))</f>
        <v>214.47375788400842</v>
      </c>
      <c r="AB252" s="52">
        <f>(SUM((AB220 * AB200) * AB236))</f>
        <v>42.567922288540977</v>
      </c>
      <c r="AC252" s="52">
        <f>(SUM((AC220 * AC200) * AC236))</f>
        <v>171.12645843343526</v>
      </c>
      <c r="AD252" s="52">
        <f>(SUM((AD220 * AD200) * AD236))</f>
        <v>171.12645843343526</v>
      </c>
      <c r="AE252" s="52">
        <f>(SUM((AE220 * AE200) * AE236))</f>
        <v>171.12645843343526</v>
      </c>
      <c r="AF252" s="2" t="str">
        <f t="shared" si="10"/>
        <v>kg N</v>
      </c>
      <c r="AG252" s="2"/>
      <c r="AH252" s="2"/>
    </row>
    <row r="253" spans="21:34" ht="20.100000000000001" customHeight="1" x14ac:dyDescent="0.25">
      <c r="U253" s="52" t="str">
        <f>TEXT(EDATE('Input - Site'!$E$12,5), "mmmm yyyy")</f>
        <v>June 2024</v>
      </c>
      <c r="V253" s="52">
        <f>(SUM((V221 * V201) * V237))</f>
        <v>413.18213355318102</v>
      </c>
      <c r="W253" s="52">
        <f>(SUM((W221 * W201) * W237))</f>
        <v>942.76024604375755</v>
      </c>
      <c r="X253" s="52">
        <f>(SUM((X221 * X201) * X237))</f>
        <v>342.91705590235108</v>
      </c>
      <c r="Y253" s="52">
        <f>(SUM((Y221 * Y201) * Y237))</f>
        <v>559.82295869692348</v>
      </c>
      <c r="Z253" s="52">
        <f>(SUM((Z221 * Z201) * Z237))</f>
        <v>754.06991848471978</v>
      </c>
      <c r="AA253" s="52">
        <f>(SUM((AA221 * AA201) * AA237))</f>
        <v>754.06991848471978</v>
      </c>
      <c r="AB253" s="52">
        <f>(SUM((AB221 * AB201) * AB237))</f>
        <v>371.42949201308153</v>
      </c>
      <c r="AC253" s="52">
        <f>(SUM((AC221 * AC201) * AC237))</f>
        <v>632.73028069278769</v>
      </c>
      <c r="AD253" s="52">
        <f>(SUM((AD221 * AD201) * AD237))</f>
        <v>632.73028069278769</v>
      </c>
      <c r="AE253" s="52">
        <f>(SUM((AE221 * AE201) * AE237))</f>
        <v>632.73028069278769</v>
      </c>
      <c r="AF253" s="2" t="str">
        <f t="shared" si="10"/>
        <v>kg N</v>
      </c>
      <c r="AG253" s="2"/>
      <c r="AH253" s="2"/>
    </row>
    <row r="254" spans="21:34" ht="20.100000000000001" customHeight="1" x14ac:dyDescent="0.25">
      <c r="U254" s="52" t="str">
        <f>TEXT(EDATE('Input - Site'!$E$12,6), "mmmm yyyy")</f>
        <v>July 2024</v>
      </c>
      <c r="V254" s="52">
        <f>(SUM((V222 * V202) * V238))</f>
        <v>426.95487133828709</v>
      </c>
      <c r="W254" s="52">
        <f>(SUM((W222 * W202) * W238))</f>
        <v>974.18558757854953</v>
      </c>
      <c r="X254" s="52">
        <f>(SUM((X222 * X202) * X238))</f>
        <v>354.34762443242948</v>
      </c>
      <c r="Y254" s="52">
        <f>(SUM((Y222 * Y202) * Y238))</f>
        <v>578.48372398682091</v>
      </c>
      <c r="Z254" s="52">
        <f>(SUM((Z222 * Z202) * Z238))</f>
        <v>779.20558243421044</v>
      </c>
      <c r="AA254" s="52">
        <f>(SUM((AA222 * AA202) * AA238))</f>
        <v>779.20558243421044</v>
      </c>
      <c r="AB254" s="52">
        <f>(SUM((AB222 * AB202) * AB238))</f>
        <v>383.81047508018423</v>
      </c>
      <c r="AC254" s="52">
        <f>(SUM((AC222 * AC202) * AC238))</f>
        <v>653.82129004921387</v>
      </c>
      <c r="AD254" s="52">
        <f>(SUM((AD222 * AD202) * AD238))</f>
        <v>653.82129004921387</v>
      </c>
      <c r="AE254" s="52">
        <f>(SUM((AE222 * AE202) * AE238))</f>
        <v>653.82129004921387</v>
      </c>
      <c r="AF254" s="2" t="str">
        <f t="shared" si="10"/>
        <v>kg N</v>
      </c>
      <c r="AG254" s="2"/>
      <c r="AH254" s="2"/>
    </row>
    <row r="255" spans="21:34" ht="20.100000000000001" customHeight="1" x14ac:dyDescent="0.25">
      <c r="U255" s="52" t="str">
        <f>TEXT(EDATE('Input - Site'!$E$12,7), "mmmm yyyy")</f>
        <v>August 2024</v>
      </c>
      <c r="V255" s="52">
        <f>(SUM((V223 * V203) * V239))</f>
        <v>520.24640738844391</v>
      </c>
      <c r="W255" s="52">
        <f>(SUM((W223 * W203) * W239))</f>
        <v>974.18558757854953</v>
      </c>
      <c r="X255" s="52">
        <f>(SUM((X223 * X203) * X239))</f>
        <v>447.63916048258631</v>
      </c>
      <c r="Y255" s="52">
        <f>(SUM((Y223 * Y203) * Y239))</f>
        <v>640.84537562963749</v>
      </c>
      <c r="Z255" s="52">
        <f>(SUM((Z223 * Z203) * Z239))</f>
        <v>886.7378657506739</v>
      </c>
      <c r="AA255" s="52">
        <f>(SUM((AA223 * AA203) * AA239))</f>
        <v>886.7378657506739</v>
      </c>
      <c r="AB255" s="52">
        <f>(SUM((AB223 * AB203) * AB239))</f>
        <v>477.10201113034105</v>
      </c>
      <c r="AC255" s="52">
        <f>(SUM((AC223 * AC203) * AC239))</f>
        <v>653.82129004921387</v>
      </c>
      <c r="AD255" s="52">
        <f>(SUM((AD223 * AD203) * AD239))</f>
        <v>653.82129004921387</v>
      </c>
      <c r="AE255" s="52">
        <f>(SUM((AE223 * AE203) * AE239))</f>
        <v>653.82129004921387</v>
      </c>
      <c r="AF255" s="2" t="str">
        <f t="shared" si="10"/>
        <v>kg N</v>
      </c>
      <c r="AG255" s="2"/>
      <c r="AH255" s="2"/>
    </row>
    <row r="256" spans="21:34" ht="20.100000000000001" customHeight="1" x14ac:dyDescent="0.25">
      <c r="U256" s="52" t="str">
        <f>TEXT(EDATE('Input - Site'!$E$12,8), "mmmm yyyy")</f>
        <v>September 2024</v>
      </c>
      <c r="V256" s="52">
        <f>(SUM((V224 * V204) * V240))</f>
        <v>820.61359146483733</v>
      </c>
      <c r="W256" s="52">
        <f>(SUM((W224 * W204) * W240))</f>
        <v>1131.2440120269775</v>
      </c>
      <c r="X256" s="52">
        <f>(SUM((X224 * X204) * X240))</f>
        <v>652.43851833142526</v>
      </c>
      <c r="Y256" s="52">
        <f>(SUM((Y224 * Y204) * Y240))</f>
        <v>909.49542050972343</v>
      </c>
      <c r="Z256" s="52">
        <f>(SUM((Z224 * Z204) * Z240))</f>
        <v>1036.8013047213371</v>
      </c>
      <c r="AA256" s="52">
        <f>(SUM((AA224 * AA204) * AA240))</f>
        <v>1036.8013047213371</v>
      </c>
      <c r="AB256" s="52">
        <f>(SUM((AB224 * AB204) * AB240))</f>
        <v>734.7897413565089</v>
      </c>
      <c r="AC256" s="52">
        <f>(SUM((AC224 * AC204) * AC240))</f>
        <v>880.40305898985866</v>
      </c>
      <c r="AD256" s="52">
        <f>(SUM((AD224 * AD204) * AD240))</f>
        <v>880.40305898985866</v>
      </c>
      <c r="AE256" s="52">
        <f>(SUM((AE224 * AE204) * AE240))</f>
        <v>880.40305898985866</v>
      </c>
      <c r="AF256" s="2" t="str">
        <f t="shared" si="10"/>
        <v>kg N</v>
      </c>
      <c r="AG256" s="2"/>
      <c r="AH256" s="2"/>
    </row>
    <row r="257" spans="20:35" ht="20.100000000000001" customHeight="1" x14ac:dyDescent="0.25">
      <c r="U257" s="52" t="str">
        <f>TEXT(EDATE('Input - Site'!$E$12,9), "mmmm yyyy")</f>
        <v>October 2024</v>
      </c>
      <c r="V257" s="52">
        <f>(SUM((V225 * V205) * V241))</f>
        <v>847.96737784699849</v>
      </c>
      <c r="W257" s="52">
        <f>(SUM((W225 * W205) * W241))</f>
        <v>1168.95214576121</v>
      </c>
      <c r="X257" s="52">
        <f>(SUM((X225 * X205) * X241))</f>
        <v>674.18646894247274</v>
      </c>
      <c r="Y257" s="52">
        <f>(SUM((Y225 * Y205) * Y241))</f>
        <v>939.81193452671414</v>
      </c>
      <c r="Z257" s="52">
        <f>(SUM((Z225 * Z205) * Z241))</f>
        <v>1071.3613482120484</v>
      </c>
      <c r="AA257" s="52">
        <f>(SUM((AA225 * AA205) * AA241))</f>
        <v>1071.3613482120484</v>
      </c>
      <c r="AB257" s="52">
        <f>(SUM((AB225 * AB205) * AB241))</f>
        <v>759.2827327350592</v>
      </c>
      <c r="AC257" s="52">
        <f>(SUM((AC225 * AC205) * AC241))</f>
        <v>909.74982762285401</v>
      </c>
      <c r="AD257" s="52">
        <f>(SUM((AD225 * AD205) * AD241))</f>
        <v>909.74982762285401</v>
      </c>
      <c r="AE257" s="52">
        <f>(SUM((AE225 * AE205) * AE241))</f>
        <v>909.74982762285401</v>
      </c>
      <c r="AF257" s="2" t="str">
        <f t="shared" si="10"/>
        <v>kg N</v>
      </c>
      <c r="AG257" s="2"/>
      <c r="AH257" s="2"/>
    </row>
    <row r="258" spans="20:35" ht="20.100000000000001" customHeight="1" x14ac:dyDescent="0.25">
      <c r="U258" s="52" t="str">
        <f>TEXT(EDATE('Input - Site'!$E$12,10), "mmmm yyyy")</f>
        <v>November 2024</v>
      </c>
      <c r="V258" s="52">
        <f>(SUM((V226 * V206) * V242))</f>
        <v>790.5195475776901</v>
      </c>
      <c r="W258" s="52">
        <f>(SUM((W226 * W206) * W242))</f>
        <v>1131.2440120269775</v>
      </c>
      <c r="X258" s="52">
        <f>(SUM((X226 * X206) * X242))</f>
        <v>622.34447444427781</v>
      </c>
      <c r="Y258" s="52">
        <f>(SUM((Y226 * Y206) * Y242))</f>
        <v>807.10700542886923</v>
      </c>
      <c r="Z258" s="52">
        <f>(SUM((Z226 * Z206) * Z242))</f>
        <v>920.67343317274879</v>
      </c>
      <c r="AA258" s="52">
        <f>(SUM((AA226 * AA206) * AA242))</f>
        <v>920.67343317274879</v>
      </c>
      <c r="AB258" s="52">
        <f>(SUM((AB226 * AB206) * AB242))</f>
        <v>704.69569746936168</v>
      </c>
      <c r="AC258" s="52">
        <f>(SUM((AC226 * AC206) * AC242))</f>
        <v>880.40305898985866</v>
      </c>
      <c r="AD258" s="52">
        <f>(SUM((AD226 * AD206) * AD242))</f>
        <v>880.40305898985866</v>
      </c>
      <c r="AE258" s="52">
        <f>(SUM((AE226 * AE206) * AE242))</f>
        <v>880.40305898985866</v>
      </c>
      <c r="AF258" s="2" t="str">
        <f t="shared" si="10"/>
        <v>kg N</v>
      </c>
      <c r="AG258" s="2"/>
      <c r="AH258" s="2"/>
    </row>
    <row r="259" spans="20:35" ht="20.100000000000001" customHeight="1" x14ac:dyDescent="0.25">
      <c r="U259" s="52" t="str">
        <f>TEXT(EDATE('Input - Site'!$E$12,11), "mmmm yyyy")</f>
        <v>December 2024</v>
      </c>
      <c r="V259" s="52">
        <f>(SUM((V227 * V207) * V243))</f>
        <v>351.34755115439344</v>
      </c>
      <c r="W259" s="52">
        <f>(SUM((W227 * W207) * W243))</f>
        <v>421.65805292524783</v>
      </c>
      <c r="X259" s="52">
        <f>(SUM((X227 * X207) * X243))</f>
        <v>303.40854404382895</v>
      </c>
      <c r="Y259" s="52">
        <f>(SUM((Y227 * Y207) * Y243))</f>
        <v>313.21127433214627</v>
      </c>
      <c r="Z259" s="52">
        <f>(SUM((Z227 * Z207) * Z243))</f>
        <v>329.00458281781619</v>
      </c>
      <c r="AA259" s="52">
        <f>(SUM((AA227 * AA207) * AA243))</f>
        <v>329.00458281781619</v>
      </c>
      <c r="AB259" s="52">
        <f>(SUM((AB227 * AB207) * AB243))</f>
        <v>327.63342507900626</v>
      </c>
      <c r="AC259" s="52">
        <f>(SUM((AC227 * AC207) * AC243))</f>
        <v>326.89236244194075</v>
      </c>
      <c r="AD259" s="52">
        <f>(SUM((AD227 * AD207) * AD243))</f>
        <v>326.89236244194075</v>
      </c>
      <c r="AE259" s="52">
        <f>(SUM((AE227 * AE207) * AE243))</f>
        <v>326.89236244194075</v>
      </c>
      <c r="AF259" s="2" t="str">
        <f t="shared" si="10"/>
        <v>kg N</v>
      </c>
      <c r="AG259" s="2"/>
      <c r="AH259" s="2"/>
    </row>
    <row r="260" spans="20:35" ht="20.100000000000001" customHeight="1" x14ac:dyDescent="0.25"/>
    <row r="261" spans="20:35" ht="20.100000000000001" customHeight="1" x14ac:dyDescent="0.25">
      <c r="U261" s="113" t="s">
        <v>300</v>
      </c>
      <c r="V261" s="45">
        <f>SUM(V248:AE259)</f>
        <v>60007.816333296949</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
        <v>446</v>
      </c>
    </row>
    <row r="266" spans="20:35" ht="20.100000000000001" customHeight="1" x14ac:dyDescent="0.25"/>
    <row r="267" spans="20:35" ht="20.100000000000001" customHeight="1" x14ac:dyDescent="0.25">
      <c r="U267" s="101" t="s">
        <v>109</v>
      </c>
      <c r="V267" s="102">
        <f>($V$261 * $H$225 * $H$226 * 10 ^ -3)</f>
        <v>0.18859599419036183</v>
      </c>
      <c r="W267" s="103"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4"/>
      <c r="X269" s="52">
        <f>V267</f>
        <v>0.18859599419036183</v>
      </c>
    </row>
    <row r="270" spans="20:35" ht="20.100000000000001" customHeight="1" x14ac:dyDescent="0.25">
      <c r="U270" s="57" t="str">
        <v>GWPN2O</v>
      </c>
      <c r="V270" s="58" t="str">
        <v>Global warming potential for nitrous oxide (t CO2-e / t N2O)</v>
      </c>
      <c r="W270" s="104"/>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103</v>
      </c>
      <c r="V272" s="45" cm="1">
        <f t="array" ref="V272">Common_Equations.Common_ConvertN2OToCO2e(X269,X270)</f>
        <v>49.977938460445884</v>
      </c>
      <c r="W272" s="10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T165"/>
  <sheetViews>
    <sheetView showGridLines="0" topLeftCell="A24" workbookViewId="0">
      <selection activeCell="G8" sqref="G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9" width="30.7109375" style="1" customWidth="1"/>
    <col min="20" max="20" width="4.7109375" style="1" customWidth="1"/>
  </cols>
  <sheetData>
    <row r="1" spans="1:20" s="8" customFormat="1" ht="30" customHeight="1" x14ac:dyDescent="0.35">
      <c r="A1" s="8" t="e" vm="1">
        <v>#VALUE!</v>
      </c>
      <c r="C1" s="8" t="s">
        <v>306</v>
      </c>
    </row>
    <row r="2" spans="1:20" s="9" customFormat="1" ht="20.100000000000001" customHeight="1" x14ac:dyDescent="0.25"/>
    <row r="3" spans="1:20" ht="20.100000000000001" customHeight="1" x14ac:dyDescent="0.25">
      <c r="A3" s="17" t="str">
        <f>HYPERLINK("#'Home'!A1", "Home")</f>
        <v>Home</v>
      </c>
      <c r="C3" s="4"/>
      <c r="D3" s="4" t="s">
        <v>107</v>
      </c>
      <c r="E3" s="4"/>
      <c r="F3" s="4"/>
      <c r="G3" s="4"/>
      <c r="H3" s="4"/>
      <c r="I3" s="4"/>
      <c r="K3" s="4"/>
      <c r="L3" s="4" t="s">
        <v>108</v>
      </c>
      <c r="M3" s="4"/>
      <c r="N3" s="4"/>
      <c r="O3" s="4"/>
      <c r="P3" s="4"/>
      <c r="Q3" s="4"/>
      <c r="R3" s="4"/>
      <c r="S3" s="4"/>
      <c r="T3" s="4"/>
    </row>
    <row r="4" spans="1:20" ht="20.100000000000001" customHeight="1" x14ac:dyDescent="0.25">
      <c r="A4" s="17" t="str">
        <f>HYPERLINK("#'Results'!A1", "Results")</f>
        <v>Results</v>
      </c>
    </row>
    <row r="5" spans="1:20" ht="20.100000000000001" customHeight="1" x14ac:dyDescent="0.25">
      <c r="A5" s="16"/>
      <c r="D5" s="6" t="s">
        <v>449</v>
      </c>
    </row>
    <row r="6" spans="1:20" ht="20.100000000000001" customHeight="1" x14ac:dyDescent="0.25">
      <c r="A6" s="20" t="s">
        <v>3</v>
      </c>
      <c r="D6" s="5" t="s">
        <v>450</v>
      </c>
    </row>
    <row r="7" spans="1:20" ht="20.100000000000001" customHeight="1" x14ac:dyDescent="0.25">
      <c r="A7" s="17" t="str">
        <f>HYPERLINK("#'Input - Site'!A1", "Site")</f>
        <v>Site</v>
      </c>
      <c r="D7" s="13"/>
      <c r="E7" s="13"/>
    </row>
    <row r="8" spans="1:20" ht="20.100000000000001" customHeight="1" x14ac:dyDescent="0.25">
      <c r="A8" s="17" t="str">
        <f>HYPERLINK("#'Input - Pasture Beef'!A1", "Pasture Beef")</f>
        <v>Pasture Beef</v>
      </c>
    </row>
    <row r="9" spans="1:20" ht="20.100000000000001" customHeight="1" x14ac:dyDescent="0.25">
      <c r="A9" s="17"/>
    </row>
    <row r="10" spans="1:20" ht="20.100000000000001" customHeight="1" x14ac:dyDescent="0.25">
      <c r="A10" s="19" t="s">
        <v>76</v>
      </c>
      <c r="D10" s="53" t="s">
        <v>29</v>
      </c>
      <c r="E10" s="1" t="s">
        <v>451</v>
      </c>
    </row>
    <row r="11" spans="1:20" ht="20.100000000000001" customHeight="1" x14ac:dyDescent="0.25">
      <c r="A11" s="17" t="str">
        <f>HYPERLINK("#'4.2.1.1-2 Methane'!A1", "4.2.1.1-2 Methane")</f>
        <v>4.2.1.1-2 Methane</v>
      </c>
      <c r="D11" s="53" t="s">
        <v>20</v>
      </c>
      <c r="E11" s="54" t="s">
        <v>445</v>
      </c>
    </row>
    <row r="12" spans="1:20" ht="20.100000000000001" customHeight="1" x14ac:dyDescent="0.25">
      <c r="A12" s="17" t="str">
        <f>HYPERLINK("#'4.2.1.3-4 Soil direct N2O'!A1", "4.2.1.3-4 Soil direct N2O")</f>
        <v>4.2.1.3-4 Soil direct N2O</v>
      </c>
    </row>
    <row r="13" spans="1:20" ht="20.100000000000001" customHeight="1" x14ac:dyDescent="0.25">
      <c r="A13" s="17" t="str">
        <f>HYPERLINK("#'4.2.1.5-6 Soil Atmos Dep'!A1", "4.2.1.5-6 Soil atm. deposition")</f>
        <v>4.2.1.5-6 Soil atm. deposition</v>
      </c>
      <c r="D13" s="57" t="str" cm="1">
        <f t="array" ref="D13:E14">(_xlfn.MAKEARRAY(2, 2, _xlfn.LAMBDA(_xlpm.r,_xlpm.c, INDEX({"AE","total mass of nitrogen excreted on PRP for beef cattle (kg N)";"FracGASMsoil","fraction of nitrogen volatilised from urine and faeces deposited on pasture ((kg NH3-N + NOx-N)/kg N)"}, _xlpm.r, _xlpm.c))))</f>
        <v>AE</v>
      </c>
      <c r="E13" s="58" t="str">
        <v>total mass of nitrogen excreted on PRP for beef cattle (kg N)</v>
      </c>
      <c r="F13" s="100"/>
      <c r="G13" s="59"/>
      <c r="H13" s="57">
        <f>'4.2.1.3-4 Soil direct N20'!$E$212</f>
        <v>67219.230344332333</v>
      </c>
      <c r="L13" s="57" t="str" cm="1">
        <f t="array" ref="L13:M14">(_xlfn.MAKEARRAY(2, 2, _xlfn.LAMBDA(_xlpm.r,_xlpm.c, INDEX({"AE","total mass of nitrogen excreted on PRP for beef cattle (kg N)";"FracGASMsoil","fraction of nitrogen volatilised from urine and faeces deposited on pasture ((kg NH3-N + NOx-N)/kg N)"}, _xlpm.r, _xlpm.c))))</f>
        <v>AE</v>
      </c>
      <c r="M13" s="58" t="str">
        <v>total mass of nitrogen excreted on PRP for beef cattle (kg N)</v>
      </c>
      <c r="N13" s="100"/>
      <c r="O13" s="59"/>
      <c r="P13" s="57">
        <f>'4.2.1.3-4 Soil direct N20'!$V$261</f>
        <v>60007.816333296949</v>
      </c>
    </row>
    <row r="14" spans="1:20" ht="20.100000000000001" customHeight="1" x14ac:dyDescent="0.25">
      <c r="A14" s="17" t="str">
        <f>HYPERLINK("#'4.2.1.7-8 Soil leach runoff'!A1", "4.2.1.7-8 Soil leach &amp; runoff")</f>
        <v>4.2.1.7-8 Soil leach &amp; runoff</v>
      </c>
      <c r="D14" s="57" t="str">
        <v>FracGASMsoil</v>
      </c>
      <c r="E14" s="58" t="str">
        <v>fraction of nitrogen volatilised from urine and faeces deposited on pasture ((kg NH3-N + NOx-N)/kg N)</v>
      </c>
      <c r="F14" s="100"/>
      <c r="G14" s="59"/>
      <c r="H14" s="57">
        <f>'Constants - Pature Beef'!$D$434</f>
        <v>0.21</v>
      </c>
      <c r="L14" s="57" t="str">
        <v>FracGASMsoil</v>
      </c>
      <c r="M14" s="58" t="str">
        <v>fraction of nitrogen volatilised from urine and faeces deposited on pasture ((kg NH3-N + NOx-N)/kg N)</v>
      </c>
      <c r="N14" s="100"/>
      <c r="O14" s="59"/>
      <c r="P14" s="57"/>
    </row>
    <row r="15" spans="1:20" ht="20.100000000000001" customHeight="1" x14ac:dyDescent="0.25">
      <c r="A15" s="17"/>
    </row>
    <row r="16" spans="1:20" ht="20.100000000000001" customHeight="1" x14ac:dyDescent="0.25">
      <c r="A16" s="18" t="s">
        <v>4</v>
      </c>
      <c r="D16" s="113" t="s">
        <v>319</v>
      </c>
      <c r="E16" s="45">
        <f>(H13 * H14)</f>
        <v>14116.038372309789</v>
      </c>
      <c r="F16" s="105" t="str">
        <f>E11</f>
        <v>kg N</v>
      </c>
      <c r="J16" s="56"/>
      <c r="L16" s="113" t="s">
        <v>319</v>
      </c>
      <c r="M16" s="45">
        <f>(P13 * $H$14)</f>
        <v>12601.641429992358</v>
      </c>
      <c r="N16" s="105">
        <f>M11</f>
        <v>0</v>
      </c>
    </row>
    <row r="17" spans="1:20" ht="20.100000000000001" customHeight="1" x14ac:dyDescent="0.25">
      <c r="A17" s="17" t="str">
        <f>HYPERLINK("#'Constants - Pasture Beef'!A1", "Constants - Pasture Beef")</f>
        <v>Constants - Pasture Beef</v>
      </c>
      <c r="J17" s="56"/>
    </row>
    <row r="18" spans="1:20" ht="20.100000000000001" customHeight="1" x14ac:dyDescent="0.25">
      <c r="A18" s="17" t="str">
        <f>HYPERLINK("#'Constants - Livestock'!A1", "Constants - Livestock")</f>
        <v>Constants - Livestock</v>
      </c>
      <c r="J18" s="56"/>
    </row>
    <row r="19" spans="1:20" ht="20.100000000000001" customHeight="1" x14ac:dyDescent="0.25">
      <c r="A19" s="17" t="str">
        <f>HYPERLINK("#'Constants - Common'!A1", "Constants - Common")</f>
        <v>Constants - Common</v>
      </c>
      <c r="C19" s="45"/>
      <c r="D19" s="45"/>
      <c r="E19" s="45"/>
      <c r="F19" s="45"/>
      <c r="G19" s="45"/>
      <c r="H19" s="45"/>
      <c r="I19" s="45"/>
      <c r="J19" s="56"/>
      <c r="K19" s="45"/>
      <c r="L19" s="45"/>
      <c r="M19" s="45"/>
      <c r="N19" s="45"/>
      <c r="O19" s="45"/>
      <c r="P19" s="45"/>
      <c r="Q19" s="45"/>
      <c r="R19" s="45"/>
      <c r="S19" s="45"/>
      <c r="T19" s="45"/>
    </row>
    <row r="20" spans="1:20" ht="20.100000000000001" customHeight="1" x14ac:dyDescent="0.25">
      <c r="A20" s="17" t="str">
        <f>HYPERLINK("#'Acknowledgements'!A1", "Acknowledgements")</f>
        <v>Acknowledgements</v>
      </c>
      <c r="D20" s="6" t="s">
        <v>452</v>
      </c>
    </row>
    <row r="21" spans="1:20" ht="20.100000000000001" customHeight="1" x14ac:dyDescent="0.25">
      <c r="D21" s="5" t="s">
        <v>453</v>
      </c>
    </row>
    <row r="22" spans="1:20" ht="20.100000000000001" customHeight="1" x14ac:dyDescent="0.25">
      <c r="A22" s="17"/>
      <c r="D22" s="13"/>
      <c r="E22" s="13"/>
    </row>
    <row r="23" spans="1:20" ht="20.100000000000001" customHeight="1" x14ac:dyDescent="0.25">
      <c r="A23" s="17"/>
    </row>
    <row r="24" spans="1:20" ht="20.100000000000001" customHeight="1" x14ac:dyDescent="0.25">
      <c r="A24" s="17"/>
    </row>
    <row r="25" spans="1:20" ht="20.100000000000001" customHeight="1" x14ac:dyDescent="0.25">
      <c r="D25" s="53" t="s">
        <v>29</v>
      </c>
      <c r="E25" s="1" t="s">
        <v>454</v>
      </c>
    </row>
    <row r="26" spans="1:20" ht="20.100000000000001" customHeight="1" x14ac:dyDescent="0.25">
      <c r="D26" s="53" t="s">
        <v>20</v>
      </c>
      <c r="E26" s="54" t="s">
        <v>302</v>
      </c>
    </row>
    <row r="27" spans="1:20" ht="20.100000000000001" customHeight="1" x14ac:dyDescent="0.25"/>
    <row r="28" spans="1:20" ht="20.100000000000001" customHeight="1" x14ac:dyDescent="0.25">
      <c r="D28" s="57" t="str" cm="1">
        <f t="array" ref="D28:E33">(_xlfn.MAKEARRAY(6,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f>
        <v>M_vol</v>
      </c>
      <c r="E28" s="58" t="str">
        <v>mass of nitrogen volatilised from urine and faeces deposited on pasture (kg N)</v>
      </c>
      <c r="F28" s="100"/>
      <c r="G28" s="59"/>
      <c r="H28" s="57">
        <f>E16</f>
        <v>14116.038372309789</v>
      </c>
      <c r="L28" s="57" t="str" cm="1">
        <f t="array" ref="L28:M33">(_xlfn.MAKEARRAY(6,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f>
        <v>M_vol</v>
      </c>
      <c r="M28" s="58" t="str">
        <v>mass of nitrogen volatilised from urine and faeces deposited on pasture (kg N)</v>
      </c>
      <c r="N28" s="100"/>
      <c r="O28" s="59"/>
      <c r="P28" s="57">
        <f>M16</f>
        <v>12601.641429992358</v>
      </c>
    </row>
    <row r="29" spans="1:20" ht="20.100000000000001" customHeight="1" x14ac:dyDescent="0.25">
      <c r="D29" s="57" t="str">
        <v>EF_N2O</v>
      </c>
      <c r="E29" s="58" t="str">
        <v>nitrous oxide emission factor for atmospheric deposition (kg N2O-N/kg N)</v>
      </c>
      <c r="F29" s="100"/>
      <c r="G29" s="59"/>
      <c r="H29" s="57">
        <f>Common_InputFunctions.Utility_LookupN2OEFFromProdIrrigationRainfall($H$31,$H$32,$H$33,Table_SourceData_Common_EFN2O[Production system only],Table_SourceData_Common_EFN2O[Irrigation method],Table_SourceData_Common_EFN2O[Rainfall zone],Table_SourceData_Common_EFN2O[EFN2O])</f>
        <v>1.8E-3</v>
      </c>
      <c r="L29" s="57" t="str">
        <v>EF_N2O</v>
      </c>
      <c r="M29" s="58" t="str">
        <v>nitrous oxide emission factor for atmospheric deposition (kg N2O-N/kg N)</v>
      </c>
      <c r="N29" s="100"/>
      <c r="O29" s="59"/>
      <c r="P29" s="57"/>
    </row>
    <row r="30" spans="1:20" ht="20.100000000000001" customHeight="1" x14ac:dyDescent="0.25">
      <c r="D30" s="57" t="str">
        <v>C_N2O</v>
      </c>
      <c r="E30" s="58" t="str">
        <v>factor to convert elemental mass of N2O to molecular mass</v>
      </c>
      <c r="F30" s="100"/>
      <c r="G30" s="59"/>
      <c r="H30" s="57">
        <f>Common_InputFunctions.Utility_LookupValueInTableNumber("N2O",Table_GasToMolecularConversionFactor[Gas],Table_GasToMolecularConversionFactor[Conversion factor combined])</f>
        <v>1.5714285714285714</v>
      </c>
      <c r="L30" s="57" t="str">
        <v>C_N2O</v>
      </c>
      <c r="M30" s="58" t="str">
        <v>factor to convert elemental mass of N2O to molecular mass</v>
      </c>
      <c r="N30" s="100"/>
      <c r="O30" s="59"/>
      <c r="P30" s="57"/>
    </row>
    <row r="31" spans="1:20" ht="20.100000000000001" customHeight="1" x14ac:dyDescent="0.25">
      <c r="D31" s="57" t="str">
        <v>j</v>
      </c>
      <c r="E31" s="58" t="str">
        <v>production system</v>
      </c>
      <c r="F31" s="100"/>
      <c r="G31" s="59"/>
      <c r="H31" s="57" t="str">
        <f>'Input - Pasture Beef'!$E$183</f>
        <v>Pasture</v>
      </c>
      <c r="L31" s="57" t="str">
        <v>j</v>
      </c>
      <c r="M31" s="58" t="str">
        <v>production system</v>
      </c>
      <c r="N31" s="100"/>
      <c r="O31" s="59"/>
      <c r="P31" s="57"/>
    </row>
    <row r="32" spans="1:20" ht="20.100000000000001" customHeight="1" x14ac:dyDescent="0.25">
      <c r="D32" s="57" t="str">
        <v>i</v>
      </c>
      <c r="E32" s="58" t="str">
        <v>irrigation method</v>
      </c>
      <c r="F32" s="100"/>
      <c r="G32" s="59"/>
      <c r="H32" s="57" t="str">
        <f>'Input - Pasture Beef'!$E$184</f>
        <v>Not irrigated</v>
      </c>
      <c r="L32" s="57" t="str">
        <v>i</v>
      </c>
      <c r="M32" s="58" t="str">
        <v>irrigation method</v>
      </c>
      <c r="N32" s="100"/>
      <c r="O32" s="59"/>
      <c r="P32" s="57"/>
    </row>
    <row r="33" spans="4:16" ht="20.100000000000001" customHeight="1" x14ac:dyDescent="0.25">
      <c r="D33" s="57" t="str">
        <v>r</v>
      </c>
      <c r="E33" s="58" t="str">
        <v>rainfall zone</v>
      </c>
      <c r="F33" s="100"/>
      <c r="G33" s="59"/>
      <c r="H33" s="57" t="str">
        <f>'Input - Site'!$E$30</f>
        <v>High rainfall</v>
      </c>
      <c r="L33" s="57" t="str">
        <v>r</v>
      </c>
      <c r="M33" s="58" t="str">
        <v>rainfall zone</v>
      </c>
      <c r="N33" s="100"/>
      <c r="O33" s="59"/>
      <c r="P33" s="57"/>
    </row>
    <row r="34" spans="4:16" ht="20.100000000000001" customHeight="1" x14ac:dyDescent="0.25"/>
    <row r="35" spans="4:16" ht="20.100000000000001" customHeight="1" x14ac:dyDescent="0.25">
      <c r="D35" s="113" t="s">
        <v>322</v>
      </c>
      <c r="E35" s="45">
        <f>(H28 * H29 * H30 * 10 ^ -3)</f>
        <v>3.9928222824533406E-2</v>
      </c>
      <c r="F35" s="105" t="str">
        <f>$E$26</f>
        <v>t N2O</v>
      </c>
      <c r="L35" s="113" t="s">
        <v>322</v>
      </c>
      <c r="M35" s="45">
        <f>(P28 * H29 * H30 * 10 ^ -3)</f>
        <v>3.5644642901978378E-2</v>
      </c>
      <c r="N35" s="105" t="str">
        <f>$E$26</f>
        <v>t N2O</v>
      </c>
    </row>
    <row r="36" spans="4:16" ht="20.100000000000001" customHeight="1" x14ac:dyDescent="0.25"/>
    <row r="37" spans="4:16" ht="20.100000000000001" customHeight="1" x14ac:dyDescent="0.25">
      <c r="D37" s="57" t="str" cm="1">
        <f t="array" ref="D37:E38">Common_Equations.Common_ConvertN2OToCO2e_Arguments()</f>
        <v>EN2O</v>
      </c>
      <c r="E37" s="58" t="str">
        <v>Nitrous oxide emissions (t N2O)</v>
      </c>
      <c r="F37" s="104"/>
      <c r="G37" s="52">
        <f>E35</f>
        <v>3.9928222824533406E-2</v>
      </c>
      <c r="L37" s="57" t="str" cm="1">
        <f t="array" ref="L37:M38">Common_Equations.Common_ConvertN2OToCO2e_Arguments()</f>
        <v>EN2O</v>
      </c>
      <c r="M37" s="58" t="str">
        <v>Nitrous oxide emissions (t N2O)</v>
      </c>
      <c r="N37" s="104"/>
      <c r="O37" s="52">
        <f>M35</f>
        <v>3.5644642901978378E-2</v>
      </c>
    </row>
    <row r="38" spans="4:16" ht="20.100000000000001" customHeight="1" x14ac:dyDescent="0.25">
      <c r="D38" s="57" t="str">
        <v>GWPN2O</v>
      </c>
      <c r="E38" s="58" t="str">
        <v>Global warming potential for nitrous oxide (t CO2-e / t N2O)</v>
      </c>
      <c r="F38" s="104"/>
      <c r="G38" s="52">
        <f>Common_InputFunctions.Utility_LookupValueInTableNumber("N2O",Table_GWPData[Gas],Table_GWPData[CO2-e factor])</f>
        <v>265</v>
      </c>
      <c r="L38" s="57" t="str">
        <v>GWPN2O</v>
      </c>
      <c r="M38" s="58" t="str">
        <v>Global warming potential for nitrous oxide (t CO2-e / t N2O)</v>
      </c>
      <c r="N38" s="104"/>
      <c r="O38" s="52">
        <f>Common_InputFunctions.Utility_LookupValueInTableNumber("N2O",Table_GWPData[Gas],Table_GWPData[CO2-e factor])</f>
        <v>265</v>
      </c>
    </row>
    <row r="39" spans="4:16" ht="20.100000000000001" customHeight="1" x14ac:dyDescent="0.25"/>
    <row r="40" spans="4:16" ht="20.100000000000001" customHeight="1" x14ac:dyDescent="0.25">
      <c r="D40" s="45" t="s">
        <v>103</v>
      </c>
      <c r="E40" s="45" cm="1">
        <f t="array" ref="E40">Common_Equations.Common_ConvertN2OToCO2e(G37,G38)</f>
        <v>10.580979048501353</v>
      </c>
      <c r="F40" s="105" t="str" cm="1">
        <f t="array" ref="F40">Common_Equations.Common_ConvertN2OToCO2e_Unit()</f>
        <v>t CO2e</v>
      </c>
      <c r="L40" s="45" t="s">
        <v>103</v>
      </c>
      <c r="M40" s="45" cm="1">
        <f t="array" ref="M40">Common_Equations.Common_ConvertN2OToCO2e(O37,O38)</f>
        <v>9.4458303690242698</v>
      </c>
      <c r="N40" s="105" t="str" cm="1">
        <f t="array" ref="N40">Common_Equations.Common_ConvertN2OToCO2e_Unit()</f>
        <v>t CO2e</v>
      </c>
    </row>
    <row r="41" spans="4:16" ht="20.100000000000001" customHeight="1" x14ac:dyDescent="0.25"/>
    <row r="42" spans="4:16" ht="20.100000000000001" customHeight="1" x14ac:dyDescent="0.25"/>
    <row r="43" spans="4:16" ht="20.100000000000001" customHeight="1" x14ac:dyDescent="0.25"/>
    <row r="44" spans="4:16" ht="20.100000000000001" customHeight="1" x14ac:dyDescent="0.25"/>
    <row r="45" spans="4:16" ht="20.100000000000001" customHeight="1" x14ac:dyDescent="0.25"/>
    <row r="46" spans="4:16" ht="20.100000000000001" customHeight="1" x14ac:dyDescent="0.25"/>
    <row r="47" spans="4:16" ht="20.100000000000001" customHeight="1" x14ac:dyDescent="0.25"/>
    <row r="48" spans="4:1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M19 E24 M24" xr:uid="{27894986-D8F7-4ECC-BDC3-495A6C274A89}"/>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O165"/>
  <sheetViews>
    <sheetView showGridLines="0" workbookViewId="0">
      <selection activeCell="G15" sqref="G15"/>
    </sheetView>
  </sheetViews>
  <sheetFormatPr defaultRowHeight="15.75" x14ac:dyDescent="0.25"/>
  <cols>
    <col min="1" max="1" width="30.7109375" customWidth="1"/>
    <col min="2" max="2" width="4.7109375" customWidth="1"/>
    <col min="3" max="3" width="4.7109375" style="1" customWidth="1"/>
    <col min="4" max="7" width="30.7109375" style="1" customWidth="1"/>
    <col min="8" max="8" width="4.7109375" style="1" customWidth="1"/>
    <col min="9" max="9" width="4.7109375" customWidth="1"/>
    <col min="10" max="10" width="4.7109375" style="1" customWidth="1"/>
    <col min="11" max="14" width="30.7109375" style="1" customWidth="1"/>
    <col min="15" max="15" width="4.7109375" style="1" customWidth="1"/>
  </cols>
  <sheetData>
    <row r="1" spans="1:15" s="8" customFormat="1" ht="30" customHeight="1" x14ac:dyDescent="0.35">
      <c r="A1" s="8" t="e" vm="1">
        <v>#VALUE!</v>
      </c>
      <c r="C1" s="8" t="s">
        <v>154</v>
      </c>
    </row>
    <row r="2" spans="1:15" s="9" customFormat="1" ht="20.100000000000001" customHeight="1" x14ac:dyDescent="0.25"/>
    <row r="3" spans="1:15" ht="20.100000000000001" customHeight="1" x14ac:dyDescent="0.25">
      <c r="A3" s="17" t="str">
        <f>HYPERLINK("#'Home'!A1", "Home")</f>
        <v>Home</v>
      </c>
      <c r="C3" s="4"/>
      <c r="D3" s="4" t="s">
        <v>107</v>
      </c>
      <c r="E3" s="4"/>
      <c r="F3" s="4"/>
      <c r="G3" s="4"/>
      <c r="H3" s="4"/>
      <c r="J3" s="4"/>
      <c r="K3" s="4" t="s">
        <v>108</v>
      </c>
      <c r="L3" s="4"/>
      <c r="M3" s="4"/>
      <c r="N3" s="4"/>
      <c r="O3" s="4"/>
    </row>
    <row r="4" spans="1:15" ht="20.100000000000001" customHeight="1" x14ac:dyDescent="0.25">
      <c r="A4" s="17" t="str">
        <f>HYPERLINK("#'Results'!A1", "Results")</f>
        <v>Results</v>
      </c>
    </row>
    <row r="5" spans="1:15" ht="20.100000000000001" customHeight="1" x14ac:dyDescent="0.25">
      <c r="A5" s="16"/>
      <c r="D5" s="6" t="s">
        <v>455</v>
      </c>
    </row>
    <row r="6" spans="1:15" ht="20.100000000000001" customHeight="1" x14ac:dyDescent="0.25">
      <c r="A6" s="20" t="s">
        <v>3</v>
      </c>
      <c r="D6" s="5" t="s">
        <v>456</v>
      </c>
    </row>
    <row r="7" spans="1:15" ht="20.100000000000001" customHeight="1" x14ac:dyDescent="0.25">
      <c r="A7" s="17" t="str">
        <f>HYPERLINK("#'Input - Site'!A1", "Site")</f>
        <v>Site</v>
      </c>
      <c r="D7" s="13"/>
      <c r="E7" s="13"/>
    </row>
    <row r="8" spans="1:15" ht="20.100000000000001" customHeight="1" x14ac:dyDescent="0.25">
      <c r="A8" s="17" t="str">
        <f>HYPERLINK("#'Input - Pasture Beef'!A1", "Pasture Beef")</f>
        <v>Pasture Beef</v>
      </c>
    </row>
    <row r="9" spans="1:15" ht="20.100000000000001" customHeight="1" x14ac:dyDescent="0.25">
      <c r="A9" s="17"/>
    </row>
    <row r="10" spans="1:15" ht="20.100000000000001" customHeight="1" x14ac:dyDescent="0.25">
      <c r="A10" s="19" t="s">
        <v>76</v>
      </c>
      <c r="D10" s="53" t="s">
        <v>29</v>
      </c>
      <c r="E10" s="1" t="s">
        <v>457</v>
      </c>
    </row>
    <row r="11" spans="1:15" ht="20.100000000000001" customHeight="1" x14ac:dyDescent="0.25">
      <c r="A11" s="17" t="str">
        <f>HYPERLINK("#'4.2.1.1-2 Methane'!A1", "4.2.1.1-2 Methane")</f>
        <v>4.2.1.1-2 Methane</v>
      </c>
      <c r="D11" s="53" t="s">
        <v>20</v>
      </c>
      <c r="E11" s="54" t="s">
        <v>445</v>
      </c>
    </row>
    <row r="12" spans="1:15" ht="20.100000000000001" customHeight="1" x14ac:dyDescent="0.25">
      <c r="A12" s="17" t="str">
        <f>HYPERLINK("#'4.2.1.3-4 Soil direct N2O'!A1", "4.2.1.3-4 Soil direct N2O")</f>
        <v>4.2.1.3-4 Soil direct N2O</v>
      </c>
    </row>
    <row r="13" spans="1:15" ht="20.100000000000001" customHeight="1" x14ac:dyDescent="0.25">
      <c r="A13" s="17" t="str">
        <f>HYPERLINK("#'4.2.1.5-6 Soil Atmos Dep'!A1", "4.2.1.5-6 Soil atm. deposition")</f>
        <v>4.2.1.5-6 Soil atm. deposition</v>
      </c>
      <c r="D13" s="108" t="str" cm="1">
        <f t="array" ref="D13:E18">(_xlfn.MAKEARRAY(6,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f>
        <v>AE</v>
      </c>
      <c r="E13" s="110" t="str">
        <v>total mass of nitrogen excreted on PRP for beef cattle (kg N)</v>
      </c>
      <c r="F13" s="109"/>
      <c r="G13" s="57">
        <f>'4.2.1.3-4 Soil direct N20'!$E$212</f>
        <v>67219.230344332333</v>
      </c>
      <c r="K13" s="108" t="str" cm="1">
        <f t="array" ref="K13:L18">(_xlfn.MAKEARRAY(6,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f>
        <v>AE</v>
      </c>
      <c r="L13" s="110" t="str">
        <v>total mass of nitrogen excreted on PRP for beef cattle (kg N)</v>
      </c>
      <c r="M13" s="109"/>
      <c r="N13" s="57">
        <f>'4.2.1.3-4 Soil direct N20'!$V$261</f>
        <v>60007.816333296949</v>
      </c>
    </row>
    <row r="14" spans="1:15" ht="20.100000000000001" customHeight="1" x14ac:dyDescent="0.25">
      <c r="A14" s="17" t="str">
        <f>HYPERLINK("#'4.2.1.7-8 Soil leach runoff'!A1", "4.2.1.7-8 Soil leach &amp; runoff")</f>
        <v>4.2.1.7-8 Soil leach &amp; runoff</v>
      </c>
      <c r="D14" s="108" t="str">
        <v>FracWet</v>
      </c>
      <c r="E14" s="110" t="str">
        <v>fraction of N available for leaching and runoff</v>
      </c>
      <c r="F14" s="109"/>
      <c r="G14" s="57">
        <f>Common_InputFunctions.CommonCropping_GetFracWET(G16,G18,#REF!,#REF!,Table_SourceData_FracWETIrrigation[Irrigation type i],Table_SourceData_FracWETIrrigation[FracWET])</f>
        <v>0</v>
      </c>
      <c r="K14" s="108" t="str">
        <v>FracWet</v>
      </c>
      <c r="L14" s="110" t="str">
        <v>fraction of N available for leaching and runoff</v>
      </c>
      <c r="M14" s="109"/>
      <c r="N14" s="57"/>
    </row>
    <row r="15" spans="1:15" ht="20.100000000000001" customHeight="1" x14ac:dyDescent="0.25">
      <c r="A15" s="17"/>
      <c r="D15" s="108" t="str">
        <v>FracLEACH</v>
      </c>
      <c r="E15" s="110" t="str">
        <v>fraction of all N that is lost through leaching and runoff</v>
      </c>
      <c r="F15" s="109"/>
      <c r="G15" s="57">
        <f>'Constants - Pature Beef'!$D$440</f>
        <v>0.24</v>
      </c>
      <c r="K15" s="108" t="str">
        <v>FracLEACH</v>
      </c>
      <c r="L15" s="110" t="str">
        <v>fraction of all N that is lost through leaching and runoff</v>
      </c>
      <c r="M15" s="109"/>
      <c r="N15" s="57"/>
    </row>
    <row r="16" spans="1:15" ht="20.100000000000001" customHeight="1" x14ac:dyDescent="0.25">
      <c r="A16" s="18" t="s">
        <v>4</v>
      </c>
      <c r="D16" s="108" t="str">
        <v>z</v>
      </c>
      <c r="E16" s="110" t="str">
        <v>location in leaching zone</v>
      </c>
      <c r="F16" s="109"/>
      <c r="G16" s="57" t="str">
        <f>'Input - Site'!$E$23</f>
        <v>NO - Not in leaching zone</v>
      </c>
      <c r="K16" s="108" t="str">
        <v>z</v>
      </c>
      <c r="L16" s="110" t="str">
        <v>location in leaching zone</v>
      </c>
      <c r="M16" s="109"/>
      <c r="N16" s="57"/>
    </row>
    <row r="17" spans="1:15" ht="20.100000000000001" customHeight="1" x14ac:dyDescent="0.25">
      <c r="A17" s="17" t="str">
        <f>HYPERLINK("#'Constants - Pasture Beef'!A1", "Constants - Pasture Beef")</f>
        <v>Constants - Pasture Beef</v>
      </c>
      <c r="D17" s="108" t="str">
        <v>j</v>
      </c>
      <c r="E17" s="110" t="str">
        <v>production system</v>
      </c>
      <c r="F17" s="109"/>
      <c r="G17" s="57" t="str">
        <f>'Input - Pasture Beef'!$E$183</f>
        <v>Pasture</v>
      </c>
      <c r="K17" s="108" t="str">
        <v>j</v>
      </c>
      <c r="L17" s="110" t="str">
        <v>production system</v>
      </c>
      <c r="M17" s="109"/>
      <c r="N17" s="57"/>
    </row>
    <row r="18" spans="1:15" ht="20.100000000000001" customHeight="1" x14ac:dyDescent="0.25">
      <c r="A18" s="17" t="str">
        <f>HYPERLINK("#'Constants - Livestock'!A1", "Constants - Livestock")</f>
        <v>Constants - Livestock</v>
      </c>
      <c r="D18" s="108" t="str">
        <v>ir</v>
      </c>
      <c r="E18" s="110" t="str">
        <v>irrigation method</v>
      </c>
      <c r="F18" s="109"/>
      <c r="G18" s="57" t="str">
        <f>'Input - Pasture Beef'!$E$184</f>
        <v>Not irrigated</v>
      </c>
      <c r="K18" s="108" t="str">
        <v>ir</v>
      </c>
      <c r="L18" s="110" t="str">
        <v>irrigation method</v>
      </c>
      <c r="M18" s="109"/>
      <c r="N18" s="57"/>
    </row>
    <row r="19" spans="1:15" ht="20.100000000000001" customHeight="1" x14ac:dyDescent="0.25">
      <c r="A19" s="17" t="str">
        <f>HYPERLINK("#'Constants - Common'!A1", "Constants - Common")</f>
        <v>Constants - Common</v>
      </c>
    </row>
    <row r="20" spans="1:15" ht="20.100000000000001" customHeight="1" x14ac:dyDescent="0.25">
      <c r="A20" s="17" t="str">
        <f>HYPERLINK("#'Acknowledgements'!A1", "Acknowledgements")</f>
        <v>Acknowledgements</v>
      </c>
      <c r="D20" s="113" t="s">
        <v>323</v>
      </c>
      <c r="E20" s="45">
        <f>($G$13 * $G$14 * $G$15)</f>
        <v>0</v>
      </c>
      <c r="F20" s="105" t="str">
        <f>$E$11</f>
        <v>kg N</v>
      </c>
      <c r="I20" s="56"/>
      <c r="K20" s="113" t="s">
        <v>323</v>
      </c>
      <c r="L20" s="45">
        <f>($N$13 * $G$14 * $G$15)</f>
        <v>0</v>
      </c>
      <c r="M20" s="105" t="str">
        <f>$E$11</f>
        <v>kg N</v>
      </c>
    </row>
    <row r="21" spans="1:15" ht="20.100000000000001" customHeight="1" x14ac:dyDescent="0.25">
      <c r="I21" s="56"/>
    </row>
    <row r="22" spans="1:15" ht="20.100000000000001" customHeight="1" x14ac:dyDescent="0.25">
      <c r="I22" s="56"/>
    </row>
    <row r="23" spans="1:15" ht="20.100000000000001" customHeight="1" x14ac:dyDescent="0.25">
      <c r="C23" s="45"/>
      <c r="D23" s="45"/>
      <c r="E23" s="45"/>
      <c r="F23" s="45"/>
      <c r="G23" s="45"/>
      <c r="H23" s="45"/>
      <c r="I23" s="56"/>
      <c r="J23" s="45"/>
      <c r="K23" s="45"/>
      <c r="L23" s="45"/>
      <c r="M23" s="45"/>
      <c r="N23" s="45"/>
      <c r="O23" s="45"/>
    </row>
    <row r="24" spans="1:15" ht="20.100000000000001" customHeight="1" x14ac:dyDescent="0.25">
      <c r="D24" s="1" t="s">
        <v>458</v>
      </c>
    </row>
    <row r="25" spans="1:15" ht="20.100000000000001" customHeight="1" x14ac:dyDescent="0.25">
      <c r="D25" s="1" t="s">
        <v>459</v>
      </c>
    </row>
    <row r="26" spans="1:15" ht="20.100000000000001" customHeight="1" x14ac:dyDescent="0.25">
      <c r="D26" s="13"/>
      <c r="E26" s="13"/>
    </row>
    <row r="27" spans="1:15" ht="20.100000000000001" customHeight="1" x14ac:dyDescent="0.25"/>
    <row r="28" spans="1:15" ht="20.100000000000001" customHeight="1" x14ac:dyDescent="0.25"/>
    <row r="29" spans="1:15" ht="20.100000000000001" customHeight="1" x14ac:dyDescent="0.25">
      <c r="D29" s="53" t="s">
        <v>29</v>
      </c>
      <c r="E29" s="1" t="s">
        <v>460</v>
      </c>
    </row>
    <row r="30" spans="1:15" ht="20.100000000000001" customHeight="1" x14ac:dyDescent="0.25">
      <c r="D30" s="53" t="s">
        <v>20</v>
      </c>
      <c r="E30" s="54" t="s">
        <v>302</v>
      </c>
    </row>
    <row r="31" spans="1:15" ht="20.100000000000001" customHeight="1" x14ac:dyDescent="0.25"/>
    <row r="32" spans="1:15" ht="20.100000000000001" customHeight="1" x14ac:dyDescent="0.25">
      <c r="D32" s="57" t="str" cm="1">
        <f t="array" ref="D32:E34">(_xlfn.MAKEARRAY(3, 2, _xlfn.LAMBDA(_xlpm.r,_xlpm.c, INDEX({"M_leach","mass of nitrogen lost to leaching and runoff (kg N)";"EF_leach","emission factor for leaching and runoff (kg N2O-N/kg N)";"C_N2O","factor to convert elemental mass of N2O to molecular mass"}, _xlpm.r, _xlpm.c))))</f>
        <v>M_leach</v>
      </c>
      <c r="E32" s="57" t="str">
        <v>mass of nitrogen lost to leaching and runoff (kg N)</v>
      </c>
      <c r="F32" s="57"/>
      <c r="G32" s="57">
        <f>$E$20</f>
        <v>0</v>
      </c>
      <c r="K32" s="57" t="str" cm="1">
        <f t="array" ref="K32:L34">(_xlfn.MAKEARRAY(3, 2, _xlfn.LAMBDA(_xlpm.r,_xlpm.c, INDEX({"M_leach","mass of nitrogen lost to leaching and runoff (kg N)";"EF_leach","emission factor for leaching and runoff (kg N2O-N/kg N)";"C_N2O","factor to convert elemental mass of N2O to molecular mass"}, _xlpm.r, _xlpm.c))))</f>
        <v>M_leach</v>
      </c>
      <c r="L32" s="57" t="str">
        <v>mass of nitrogen lost to leaching and runoff (kg N)</v>
      </c>
      <c r="M32" s="57"/>
      <c r="N32" s="57">
        <f>$E$20</f>
        <v>0</v>
      </c>
    </row>
    <row r="33" spans="4:14" ht="20.100000000000001" customHeight="1" x14ac:dyDescent="0.25">
      <c r="D33" s="57" t="str">
        <v>EF_leach</v>
      </c>
      <c r="E33" s="57" t="str">
        <v>emission factor for leaching and runoff (kg N2O-N/kg N)</v>
      </c>
      <c r="F33" s="57"/>
      <c r="G33" s="57">
        <f>'Constants - Common'!$E$170</f>
        <v>0</v>
      </c>
      <c r="K33" s="57" t="str">
        <v>EF_leach</v>
      </c>
      <c r="L33" s="57" t="str">
        <v>emission factor for leaching and runoff (kg N2O-N/kg N)</v>
      </c>
      <c r="M33" s="57"/>
      <c r="N33" s="57"/>
    </row>
    <row r="34" spans="4:14" ht="20.100000000000001" customHeight="1" x14ac:dyDescent="0.25">
      <c r="D34" s="57" t="str">
        <v>C_N2O</v>
      </c>
      <c r="E34" s="57" t="str">
        <v>factor to convert elemental mass of N2O to molecular mass</v>
      </c>
      <c r="F34" s="57"/>
      <c r="G34" s="57">
        <f>Common_InputFunctions.Utility_LookupValueInTableNumber("N2O",Table_GasToMolecularConversionFactor[Gas],Table_GasToMolecularConversionFactor[Conversion factor combined])</f>
        <v>1.5714285714285714</v>
      </c>
      <c r="K34" s="57" t="str">
        <v>C_N2O</v>
      </c>
      <c r="L34" s="57" t="str">
        <v>factor to convert elemental mass of N2O to molecular mass</v>
      </c>
      <c r="M34" s="57"/>
      <c r="N34" s="57"/>
    </row>
    <row r="35" spans="4:14" ht="20.100000000000001" customHeight="1" x14ac:dyDescent="0.25"/>
    <row r="36" spans="4:14" ht="20.100000000000001" customHeight="1" x14ac:dyDescent="0.25">
      <c r="D36" s="113" t="s">
        <v>155</v>
      </c>
      <c r="E36" s="45">
        <f>(G32 * G33 * G34 * 10 ^ -3)</f>
        <v>0</v>
      </c>
      <c r="F36" s="105" t="str">
        <f>$E$30</f>
        <v>t N2O</v>
      </c>
      <c r="K36" s="113" t="s">
        <v>155</v>
      </c>
      <c r="L36" s="45">
        <f>(N32 * G33 * G34 * 10 ^ -3)</f>
        <v>0</v>
      </c>
      <c r="M36" s="105" t="str">
        <f>$E$30</f>
        <v>t N2O</v>
      </c>
    </row>
    <row r="37" spans="4:14" ht="20.100000000000001" customHeight="1" x14ac:dyDescent="0.25"/>
    <row r="38" spans="4:14" ht="20.100000000000001" customHeight="1" x14ac:dyDescent="0.25">
      <c r="D38" s="57" t="str" cm="1">
        <f t="array" ref="D38:E39">Common_Equations.Common_ConvertN2OToCO2e_Arguments()</f>
        <v>EN2O</v>
      </c>
      <c r="E38" s="58" t="str">
        <v>Nitrous oxide emissions (t N2O)</v>
      </c>
      <c r="F38" s="104"/>
      <c r="G38" s="52">
        <f>E36</f>
        <v>0</v>
      </c>
      <c r="K38" s="57" t="str" cm="1">
        <f t="array" ref="K38:L39">Common_Equations.Common_ConvertN2OToCO2e_Arguments()</f>
        <v>EN2O</v>
      </c>
      <c r="L38" s="58" t="str">
        <v>Nitrous oxide emissions (t N2O)</v>
      </c>
      <c r="M38" s="104"/>
      <c r="N38" s="52">
        <f>L36</f>
        <v>0</v>
      </c>
    </row>
    <row r="39" spans="4:14" ht="20.100000000000001" customHeight="1" x14ac:dyDescent="0.25">
      <c r="D39" s="57" t="str">
        <v>GWPN2O</v>
      </c>
      <c r="E39" s="58" t="str">
        <v>Global warming potential for nitrous oxide (t CO2-e / t N2O)</v>
      </c>
      <c r="F39" s="104"/>
      <c r="G39" s="52">
        <f>Common_InputFunctions.Utility_LookupValueInTableNumber("N2O",Table_GWPData[Gas],Table_GWPData[CO2-e factor])</f>
        <v>265</v>
      </c>
      <c r="K39" s="57" t="str">
        <v>GWPN2O</v>
      </c>
      <c r="L39" s="58" t="str">
        <v>Global warming potential for nitrous oxide (t CO2-e / t N2O)</v>
      </c>
      <c r="M39" s="104"/>
      <c r="N39" s="52">
        <f>Common_InputFunctions.Utility_LookupValueInTableNumber("N2O",Table_GWPData[Gas],Table_GWPData[CO2-e factor])</f>
        <v>265</v>
      </c>
    </row>
    <row r="40" spans="4:14" ht="20.100000000000001" customHeight="1" x14ac:dyDescent="0.25"/>
    <row r="41" spans="4:14" ht="20.100000000000001" customHeight="1" x14ac:dyDescent="0.25">
      <c r="D41" s="45" t="s">
        <v>103</v>
      </c>
      <c r="E41" s="45" cm="1">
        <f t="array" ref="E41">Common_Equations.Common_ConvertN2OToCO2e(G38,G39)</f>
        <v>0</v>
      </c>
      <c r="F41" s="105" t="str" cm="1">
        <f t="array" ref="F41">Common_Equations.Common_ConvertN2OToCO2e_Unit()</f>
        <v>t CO2e</v>
      </c>
      <c r="K41" s="45" t="s">
        <v>103</v>
      </c>
      <c r="L41" s="45" cm="1">
        <f t="array" ref="L41">Common_Equations.Common_ConvertN2OToCO2e(N38,N39)</f>
        <v>0</v>
      </c>
      <c r="M41" s="105" t="str" cm="1">
        <f t="array" ref="M41">Common_Equations.Common_ConvertN2OToCO2e_Unit()</f>
        <v>t CO2e</v>
      </c>
    </row>
    <row r="42" spans="4:14" ht="20.100000000000001" customHeight="1" x14ac:dyDescent="0.25"/>
    <row r="43" spans="4:14" ht="20.100000000000001" customHeight="1" x14ac:dyDescent="0.25"/>
    <row r="44" spans="4:14" ht="20.100000000000001" customHeight="1" x14ac:dyDescent="0.25"/>
    <row r="45" spans="4:14" ht="20.100000000000001" customHeight="1" x14ac:dyDescent="0.25"/>
    <row r="46" spans="4:14" ht="20.100000000000001" customHeight="1" x14ac:dyDescent="0.25"/>
    <row r="47" spans="4:14" ht="20.100000000000001" customHeight="1" x14ac:dyDescent="0.25"/>
    <row r="48" spans="4:14"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L23 E28 L28" xr:uid="{FFC3CBA3-2876-48FD-90FB-22BFDC268162}"/>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321</v>
      </c>
      <c r="G5" s="6" t="s">
        <v>119</v>
      </c>
      <c r="M5" s="1" t="s">
        <v>205</v>
      </c>
      <c r="O5" s="1" t="s">
        <v>206</v>
      </c>
      <c r="Q5" s="1" t="s">
        <v>207</v>
      </c>
      <c r="S5" s="1" t="s">
        <v>218</v>
      </c>
    </row>
    <row r="6" spans="1:21" ht="20.100000000000001" customHeight="1" x14ac:dyDescent="0.25">
      <c r="A6" s="20" t="s">
        <v>3</v>
      </c>
      <c r="M6" s="1"/>
    </row>
    <row r="7" spans="1:21" ht="20.100000000000001" customHeight="1" x14ac:dyDescent="0.25">
      <c r="A7" s="17" t="str">
        <f>HYPERLINK("#'Input - Site'!A1", "Site")</f>
        <v>Site</v>
      </c>
      <c r="D7" s="37" t="s">
        <v>118</v>
      </c>
      <c r="G7" s="37" t="s">
        <v>117</v>
      </c>
      <c r="M7" t="s">
        <v>182</v>
      </c>
      <c r="O7" s="37" t="s">
        <v>182</v>
      </c>
      <c r="Q7" s="37" t="s">
        <v>182</v>
      </c>
      <c r="S7" s="37" t="s">
        <v>182</v>
      </c>
    </row>
    <row r="8" spans="1:21" ht="20.100000000000001" customHeight="1" x14ac:dyDescent="0.25">
      <c r="A8" s="17" t="str">
        <f>HYPERLINK("#'Input - Pasture Beef'!A1", "Pasture Beef")</f>
        <v>Pasture Beef</v>
      </c>
      <c r="D8" s="37" t="str">
        <f>'Constants - Common'!$F$187</f>
        <v>Pasture</v>
      </c>
      <c r="G8" s="37" t="s">
        <v>120</v>
      </c>
      <c r="M8" s="37" t="s">
        <v>208</v>
      </c>
      <c r="O8" s="37" t="s">
        <v>210</v>
      </c>
      <c r="Q8" s="37" t="s">
        <v>213</v>
      </c>
      <c r="S8" s="37" t="s">
        <v>201</v>
      </c>
    </row>
    <row r="9" spans="1:21" ht="20.100000000000001" customHeight="1" x14ac:dyDescent="0.25">
      <c r="A9" s="17"/>
      <c r="D9" s="1" t="str">
        <f>'Constants - Common'!$F$188</f>
        <v>Crop</v>
      </c>
      <c r="G9" s="37" t="s">
        <v>121</v>
      </c>
      <c r="M9" s="37" t="s">
        <v>209</v>
      </c>
      <c r="O9" s="37" t="s">
        <v>211</v>
      </c>
      <c r="Q9" s="37" t="s">
        <v>214</v>
      </c>
    </row>
    <row r="10" spans="1:21" ht="20.100000000000001" customHeight="1" x14ac:dyDescent="0.25">
      <c r="A10" s="19" t="s">
        <v>76</v>
      </c>
      <c r="G10" s="1" t="s">
        <v>122</v>
      </c>
      <c r="M10" s="37" t="s">
        <v>204</v>
      </c>
      <c r="O10" s="37" t="s">
        <v>212</v>
      </c>
      <c r="Q10" s="37" t="s">
        <v>215</v>
      </c>
      <c r="S10" s="1" t="s">
        <v>219</v>
      </c>
    </row>
    <row r="11" spans="1:21" ht="20.100000000000001" customHeight="1" x14ac:dyDescent="0.25">
      <c r="A11" s="17" t="str">
        <f>HYPERLINK("#'4.2.1.1-2 Methane'!A1", "4.2.1.1-2 Methane")</f>
        <v>4.2.1.1-2 Methane</v>
      </c>
      <c r="G11" s="1" t="s">
        <v>123</v>
      </c>
      <c r="M11" s="1"/>
      <c r="Q11" s="37" t="s">
        <v>216</v>
      </c>
    </row>
    <row r="12" spans="1:21" ht="20.100000000000001" customHeight="1" x14ac:dyDescent="0.25">
      <c r="A12" s="17" t="str">
        <f>HYPERLINK("#'4.2.1.3-4 Soil direct N2O'!A1", "4.2.1.3-4 Soil direct N2O")</f>
        <v>4.2.1.3-4 Soil direct N2O</v>
      </c>
      <c r="G12" s="1" t="s">
        <v>124</v>
      </c>
      <c r="M12" s="1"/>
      <c r="S12" s="37" t="s">
        <v>182</v>
      </c>
    </row>
    <row r="13" spans="1:21" ht="20.100000000000001" customHeight="1" x14ac:dyDescent="0.25">
      <c r="A13" s="17" t="str">
        <f>HYPERLINK("#'4.2.1.5-6 Soil Atmos Dep'!A1", "4.2.1.5-6 Soil atm. deposition")</f>
        <v>4.2.1.5-6 Soil atm. deposition</v>
      </c>
      <c r="M13" s="1"/>
      <c r="S13" s="37" t="s">
        <v>201</v>
      </c>
    </row>
    <row r="14" spans="1:21" ht="20.100000000000001" customHeight="1" x14ac:dyDescent="0.25">
      <c r="A14" s="17" t="str">
        <f>HYPERLINK("#'4.2.1.7-8 Soil leach runoff'!A1", "4.2.1.7-8 Soil leach &amp; runoff")</f>
        <v>4.2.1.7-8 Soil leach &amp; runoff</v>
      </c>
      <c r="D14" s="6" t="s">
        <v>461</v>
      </c>
      <c r="M14" s="1"/>
    </row>
    <row r="15" spans="1:21" ht="20.100000000000001" customHeight="1" x14ac:dyDescent="0.25">
      <c r="A15" s="17"/>
      <c r="D15" s="5" t="s">
        <v>462</v>
      </c>
      <c r="M15" s="1"/>
      <c r="S15" s="1" t="s">
        <v>220</v>
      </c>
    </row>
    <row r="16" spans="1:21" ht="20.100000000000001" customHeight="1" x14ac:dyDescent="0.25">
      <c r="A16" s="18" t="s">
        <v>4</v>
      </c>
      <c r="D16" s="1" t="s">
        <v>463</v>
      </c>
      <c r="M16" s="1"/>
    </row>
    <row r="17" spans="1:19" ht="20.100000000000001" customHeight="1" x14ac:dyDescent="0.25">
      <c r="A17" s="17" t="str">
        <f>HYPERLINK("#'Constants - Pasture Beef'!A1", "Constants - Pasture Beef")</f>
        <v>Constants - Pasture Beef</v>
      </c>
      <c r="D17" s="54" t="s">
        <v>386</v>
      </c>
      <c r="M17" s="1"/>
      <c r="S17" s="37" t="s">
        <v>182</v>
      </c>
    </row>
    <row r="18" spans="1:19" ht="20.100000000000001" customHeight="1" x14ac:dyDescent="0.25">
      <c r="A18" s="17" t="str">
        <f>HYPERLINK("#'Constants - Livestock'!A1", "Constants - Livestock")</f>
        <v>Constants - Livestock</v>
      </c>
      <c r="D18" s="37" t="s">
        <v>8</v>
      </c>
      <c r="E18" s="37" t="s">
        <v>182</v>
      </c>
      <c r="F18" s="37" t="s">
        <v>183</v>
      </c>
      <c r="G18" s="37" t="s">
        <v>184</v>
      </c>
      <c r="H18" s="37" t="s">
        <v>185</v>
      </c>
      <c r="I18" s="37" t="s">
        <v>186</v>
      </c>
      <c r="J18" s="37" t="s">
        <v>187</v>
      </c>
      <c r="K18" s="37" t="s">
        <v>188</v>
      </c>
      <c r="L18" s="37" t="s">
        <v>189</v>
      </c>
      <c r="M18" s="37" t="s">
        <v>190</v>
      </c>
      <c r="S18" s="37" t="s">
        <v>201</v>
      </c>
    </row>
    <row r="19" spans="1:19" ht="20.100000000000001" customHeight="1" x14ac:dyDescent="0.25">
      <c r="A19" s="17" t="str">
        <f>HYPERLINK("#'Constants - Common'!A1", "Constants - Common")</f>
        <v>Constants - Common</v>
      </c>
      <c r="D19" s="37" t="s">
        <v>464</v>
      </c>
      <c r="E19" s="37" t="s">
        <v>201</v>
      </c>
      <c r="F19" s="37" t="s">
        <v>172</v>
      </c>
      <c r="G19" s="37">
        <v>80</v>
      </c>
      <c r="H19" s="37">
        <v>480</v>
      </c>
      <c r="I19" s="37">
        <v>75</v>
      </c>
      <c r="J19" s="37">
        <v>300</v>
      </c>
      <c r="K19" s="37">
        <v>440</v>
      </c>
      <c r="L19" s="37">
        <v>75</v>
      </c>
      <c r="M19" s="37">
        <v>380</v>
      </c>
    </row>
    <row r="20" spans="1:19" ht="20.100000000000001" customHeight="1" x14ac:dyDescent="0.25">
      <c r="A20" s="17" t="str">
        <f>HYPERLINK("#'Acknowledgements'!A1", "Acknowledgements")</f>
        <v>Acknowledgements</v>
      </c>
      <c r="D20" s="1" t="s">
        <v>464</v>
      </c>
      <c r="E20" s="37" t="s">
        <v>201</v>
      </c>
      <c r="F20" s="37" t="s">
        <v>173</v>
      </c>
      <c r="G20" s="37">
        <v>170</v>
      </c>
      <c r="H20" s="37">
        <v>520</v>
      </c>
      <c r="I20" s="37">
        <v>160</v>
      </c>
      <c r="J20" s="37">
        <v>360</v>
      </c>
      <c r="K20" s="37">
        <v>470</v>
      </c>
      <c r="L20" s="37">
        <v>160</v>
      </c>
      <c r="M20" s="37">
        <v>420</v>
      </c>
      <c r="S20" s="1" t="s">
        <v>221</v>
      </c>
    </row>
    <row r="21" spans="1:19" ht="20.100000000000001" customHeight="1" x14ac:dyDescent="0.25">
      <c r="D21" s="1" t="s">
        <v>464</v>
      </c>
      <c r="E21" s="37" t="s">
        <v>201</v>
      </c>
      <c r="F21" s="37" t="s">
        <v>174</v>
      </c>
      <c r="G21" s="37">
        <v>240</v>
      </c>
      <c r="H21" s="37">
        <v>550</v>
      </c>
      <c r="I21" s="37">
        <v>220</v>
      </c>
      <c r="J21" s="37">
        <v>390</v>
      </c>
      <c r="K21" s="37">
        <v>490</v>
      </c>
      <c r="L21" s="37">
        <v>220</v>
      </c>
      <c r="M21" s="37">
        <v>450</v>
      </c>
    </row>
    <row r="22" spans="1:19" ht="20.100000000000001" customHeight="1" x14ac:dyDescent="0.25">
      <c r="A22" s="17"/>
      <c r="D22" s="1" t="s">
        <v>464</v>
      </c>
      <c r="E22" s="37" t="s">
        <v>201</v>
      </c>
      <c r="F22" s="37" t="s">
        <v>175</v>
      </c>
      <c r="G22" s="37">
        <v>280</v>
      </c>
      <c r="H22" s="37">
        <v>560</v>
      </c>
      <c r="I22" s="37">
        <v>260</v>
      </c>
      <c r="J22" s="37">
        <v>410</v>
      </c>
      <c r="K22" s="37">
        <v>500</v>
      </c>
      <c r="L22" s="37">
        <v>260</v>
      </c>
      <c r="M22" s="37">
        <v>460</v>
      </c>
      <c r="S22" s="37" t="s">
        <v>182</v>
      </c>
    </row>
    <row r="23" spans="1:19" ht="20.100000000000001" customHeight="1" x14ac:dyDescent="0.25">
      <c r="A23" s="17"/>
      <c r="D23" s="1" t="s">
        <v>465</v>
      </c>
      <c r="E23" s="37" t="s">
        <v>201</v>
      </c>
      <c r="F23" s="37" t="s">
        <v>172</v>
      </c>
      <c r="G23" s="37">
        <v>250</v>
      </c>
      <c r="H23" s="37">
        <v>800</v>
      </c>
      <c r="I23" s="37">
        <v>220</v>
      </c>
      <c r="J23" s="37">
        <v>400</v>
      </c>
      <c r="K23" s="37">
        <v>500</v>
      </c>
      <c r="L23" s="37">
        <v>230</v>
      </c>
      <c r="M23" s="37">
        <v>420</v>
      </c>
      <c r="S23" s="37" t="s">
        <v>201</v>
      </c>
    </row>
    <row r="24" spans="1:19" ht="20.100000000000001" customHeight="1" x14ac:dyDescent="0.25">
      <c r="A24" s="17"/>
      <c r="D24" s="1" t="s">
        <v>465</v>
      </c>
      <c r="E24" s="37" t="s">
        <v>201</v>
      </c>
      <c r="F24" s="37" t="s">
        <v>173</v>
      </c>
      <c r="G24" s="37">
        <v>320</v>
      </c>
      <c r="H24" s="37">
        <v>800</v>
      </c>
      <c r="I24" s="37">
        <v>280</v>
      </c>
      <c r="J24" s="37">
        <v>420</v>
      </c>
      <c r="K24" s="37">
        <v>500</v>
      </c>
      <c r="L24" s="37">
        <v>290</v>
      </c>
      <c r="M24" s="37">
        <v>420</v>
      </c>
    </row>
    <row r="25" spans="1:19" ht="20.100000000000001" customHeight="1" x14ac:dyDescent="0.25">
      <c r="D25" s="1" t="s">
        <v>465</v>
      </c>
      <c r="E25" s="37" t="s">
        <v>201</v>
      </c>
      <c r="F25" s="37" t="s">
        <v>174</v>
      </c>
      <c r="G25" s="37">
        <v>80</v>
      </c>
      <c r="H25" s="37">
        <v>700</v>
      </c>
      <c r="I25" s="37">
        <v>70</v>
      </c>
      <c r="J25" s="37">
        <v>300</v>
      </c>
      <c r="K25" s="37">
        <v>450</v>
      </c>
      <c r="L25" s="37">
        <v>75</v>
      </c>
      <c r="M25" s="37">
        <v>400</v>
      </c>
      <c r="S25" s="1" t="s">
        <v>222</v>
      </c>
    </row>
    <row r="26" spans="1:19" ht="20.100000000000001" customHeight="1" x14ac:dyDescent="0.25">
      <c r="D26" s="1" t="s">
        <v>465</v>
      </c>
      <c r="E26" s="37" t="s">
        <v>201</v>
      </c>
      <c r="F26" s="37" t="s">
        <v>175</v>
      </c>
      <c r="G26" s="37">
        <v>160</v>
      </c>
      <c r="H26" s="37">
        <v>700</v>
      </c>
      <c r="I26" s="37">
        <v>140</v>
      </c>
      <c r="J26" s="37">
        <v>350</v>
      </c>
      <c r="K26" s="37">
        <v>450</v>
      </c>
      <c r="L26" s="37">
        <v>150</v>
      </c>
      <c r="M26" s="37">
        <v>400</v>
      </c>
    </row>
    <row r="27" spans="1:19" ht="20.100000000000001" customHeight="1" x14ac:dyDescent="0.25">
      <c r="D27" s="1" t="s">
        <v>466</v>
      </c>
      <c r="E27" s="37" t="s">
        <v>201</v>
      </c>
      <c r="F27" s="37" t="s">
        <v>172</v>
      </c>
      <c r="G27" s="37">
        <v>105</v>
      </c>
      <c r="H27" s="37">
        <v>700</v>
      </c>
      <c r="I27" s="37">
        <v>85</v>
      </c>
      <c r="J27" s="37">
        <v>300</v>
      </c>
      <c r="K27" s="37">
        <v>490</v>
      </c>
      <c r="L27" s="37">
        <v>90</v>
      </c>
      <c r="M27" s="37">
        <v>480</v>
      </c>
      <c r="S27" s="37" t="s">
        <v>182</v>
      </c>
    </row>
    <row r="28" spans="1:19" ht="20.100000000000001" customHeight="1" x14ac:dyDescent="0.25">
      <c r="D28" s="1" t="s">
        <v>466</v>
      </c>
      <c r="E28" s="37" t="s">
        <v>201</v>
      </c>
      <c r="F28" s="37" t="s">
        <v>173</v>
      </c>
      <c r="G28" s="37">
        <v>480</v>
      </c>
      <c r="H28" s="37">
        <v>750</v>
      </c>
      <c r="I28" s="37">
        <v>150</v>
      </c>
      <c r="J28" s="37">
        <v>350</v>
      </c>
      <c r="K28" s="37">
        <v>530</v>
      </c>
      <c r="L28" s="37">
        <v>160</v>
      </c>
      <c r="M28" s="37">
        <v>460</v>
      </c>
      <c r="S28" s="37" t="s">
        <v>201</v>
      </c>
    </row>
    <row r="29" spans="1:19" ht="20.100000000000001" customHeight="1" x14ac:dyDescent="0.25">
      <c r="D29" s="1" t="s">
        <v>466</v>
      </c>
      <c r="E29" s="37" t="s">
        <v>201</v>
      </c>
      <c r="F29" s="37" t="s">
        <v>174</v>
      </c>
      <c r="G29" s="37">
        <v>250</v>
      </c>
      <c r="H29" s="37">
        <v>725</v>
      </c>
      <c r="I29" s="37">
        <v>200</v>
      </c>
      <c r="J29" s="37">
        <v>360</v>
      </c>
      <c r="K29" s="37">
        <v>500</v>
      </c>
      <c r="L29" s="37">
        <v>215</v>
      </c>
      <c r="M29" s="37">
        <v>490</v>
      </c>
    </row>
    <row r="30" spans="1:19" ht="20.100000000000001" customHeight="1" x14ac:dyDescent="0.25">
      <c r="D30" s="1" t="s">
        <v>466</v>
      </c>
      <c r="E30" s="37" t="s">
        <v>201</v>
      </c>
      <c r="F30" s="37" t="s">
        <v>175</v>
      </c>
      <c r="G30" s="37">
        <v>260</v>
      </c>
      <c r="H30" s="37">
        <v>700</v>
      </c>
      <c r="I30" s="37">
        <v>210</v>
      </c>
      <c r="J30" s="37">
        <v>380</v>
      </c>
      <c r="K30" s="37">
        <v>460</v>
      </c>
      <c r="L30" s="37">
        <v>230</v>
      </c>
      <c r="M30" s="37">
        <v>470</v>
      </c>
    </row>
    <row r="31" spans="1:19" ht="20.100000000000001" customHeight="1" x14ac:dyDescent="0.25">
      <c r="D31" s="1" t="s">
        <v>467</v>
      </c>
      <c r="E31" s="37" t="s">
        <v>201</v>
      </c>
      <c r="F31" s="37" t="s">
        <v>172</v>
      </c>
      <c r="G31" s="37">
        <v>250</v>
      </c>
      <c r="H31" s="37">
        <v>820</v>
      </c>
      <c r="I31" s="37">
        <v>240</v>
      </c>
      <c r="J31" s="37">
        <v>410</v>
      </c>
      <c r="K31" s="37">
        <v>560</v>
      </c>
      <c r="L31" s="37">
        <v>240</v>
      </c>
      <c r="M31" s="37">
        <v>510</v>
      </c>
    </row>
    <row r="32" spans="1:19" ht="20.100000000000001" customHeight="1" x14ac:dyDescent="0.25">
      <c r="D32" s="1" t="s">
        <v>467</v>
      </c>
      <c r="E32" s="37" t="s">
        <v>201</v>
      </c>
      <c r="F32" s="37" t="s">
        <v>173</v>
      </c>
      <c r="G32" s="37">
        <v>280</v>
      </c>
      <c r="H32" s="37">
        <v>850</v>
      </c>
      <c r="I32" s="37">
        <v>260</v>
      </c>
      <c r="J32" s="37">
        <v>440</v>
      </c>
      <c r="K32" s="37">
        <v>550</v>
      </c>
      <c r="L32" s="37">
        <v>270</v>
      </c>
      <c r="M32" s="37">
        <v>520</v>
      </c>
    </row>
    <row r="33" spans="4:13" ht="20.100000000000001" customHeight="1" x14ac:dyDescent="0.25">
      <c r="D33" s="1" t="s">
        <v>467</v>
      </c>
      <c r="E33" s="37" t="s">
        <v>201</v>
      </c>
      <c r="F33" s="37" t="s">
        <v>174</v>
      </c>
      <c r="G33" s="37">
        <v>100</v>
      </c>
      <c r="H33" s="37">
        <v>700</v>
      </c>
      <c r="I33" s="37">
        <v>95</v>
      </c>
      <c r="J33" s="37">
        <v>300</v>
      </c>
      <c r="K33" s="37">
        <v>450</v>
      </c>
      <c r="L33" s="37">
        <v>95</v>
      </c>
      <c r="M33" s="37">
        <v>410</v>
      </c>
    </row>
    <row r="34" spans="4:13" ht="20.100000000000001" customHeight="1" x14ac:dyDescent="0.25">
      <c r="D34" s="1" t="s">
        <v>467</v>
      </c>
      <c r="E34" s="37" t="s">
        <v>201</v>
      </c>
      <c r="F34" s="37" t="s">
        <v>175</v>
      </c>
      <c r="G34" s="37">
        <v>150</v>
      </c>
      <c r="H34" s="37">
        <v>720</v>
      </c>
      <c r="I34" s="37">
        <v>140</v>
      </c>
      <c r="J34" s="37">
        <v>320</v>
      </c>
      <c r="K34" s="37">
        <v>470</v>
      </c>
      <c r="L34" s="37">
        <v>140</v>
      </c>
      <c r="M34" s="37">
        <v>440</v>
      </c>
    </row>
    <row r="35" spans="4:13" ht="20.100000000000001" customHeight="1" x14ac:dyDescent="0.25">
      <c r="D35" s="1" t="s">
        <v>217</v>
      </c>
      <c r="E35" s="37" t="s">
        <v>208</v>
      </c>
      <c r="F35" s="37" t="s">
        <v>172</v>
      </c>
      <c r="G35" s="37">
        <v>340</v>
      </c>
      <c r="H35" s="37">
        <v>800</v>
      </c>
      <c r="I35" s="37">
        <v>260</v>
      </c>
      <c r="J35" s="37">
        <v>420</v>
      </c>
      <c r="K35" s="37">
        <v>550</v>
      </c>
      <c r="L35" s="37">
        <v>300</v>
      </c>
      <c r="M35" s="37">
        <v>480</v>
      </c>
    </row>
    <row r="36" spans="4:13" ht="20.100000000000001" customHeight="1" x14ac:dyDescent="0.25">
      <c r="D36" s="1" t="s">
        <v>217</v>
      </c>
      <c r="E36" s="37" t="s">
        <v>208</v>
      </c>
      <c r="F36" s="37" t="s">
        <v>173</v>
      </c>
      <c r="G36" s="37">
        <v>380</v>
      </c>
      <c r="H36" s="37">
        <v>780</v>
      </c>
      <c r="I36" s="37">
        <v>300</v>
      </c>
      <c r="J36" s="37">
        <v>450</v>
      </c>
      <c r="K36" s="37">
        <v>530</v>
      </c>
      <c r="L36" s="37">
        <v>340</v>
      </c>
      <c r="M36" s="37">
        <v>470</v>
      </c>
    </row>
    <row r="37" spans="4:13" ht="20.100000000000001" customHeight="1" x14ac:dyDescent="0.25">
      <c r="D37" s="1" t="s">
        <v>217</v>
      </c>
      <c r="E37" s="37" t="s">
        <v>208</v>
      </c>
      <c r="F37" s="37" t="s">
        <v>174</v>
      </c>
      <c r="G37" s="37">
        <v>100</v>
      </c>
      <c r="H37" s="37">
        <v>680</v>
      </c>
      <c r="I37" s="37">
        <v>80</v>
      </c>
      <c r="J37" s="37">
        <v>320</v>
      </c>
      <c r="K37" s="37">
        <v>480</v>
      </c>
      <c r="L37" s="37">
        <v>100</v>
      </c>
      <c r="M37" s="37">
        <v>340</v>
      </c>
    </row>
    <row r="38" spans="4:13" ht="20.100000000000001" customHeight="1" x14ac:dyDescent="0.25">
      <c r="D38" s="1" t="s">
        <v>217</v>
      </c>
      <c r="E38" s="37" t="s">
        <v>208</v>
      </c>
      <c r="F38" s="37" t="s">
        <v>175</v>
      </c>
      <c r="G38" s="37">
        <v>190</v>
      </c>
      <c r="H38" s="37">
        <v>700</v>
      </c>
      <c r="I38" s="37">
        <v>150</v>
      </c>
      <c r="J38" s="37">
        <v>330</v>
      </c>
      <c r="K38" s="37">
        <v>490</v>
      </c>
      <c r="L38" s="37">
        <v>170</v>
      </c>
      <c r="M38" s="37">
        <v>360</v>
      </c>
    </row>
    <row r="39" spans="4:13" ht="20.100000000000001" customHeight="1" x14ac:dyDescent="0.25">
      <c r="D39" s="1" t="s">
        <v>217</v>
      </c>
      <c r="E39" s="37" t="s">
        <v>209</v>
      </c>
      <c r="F39" s="37" t="s">
        <v>172</v>
      </c>
      <c r="G39" s="37">
        <v>80</v>
      </c>
      <c r="H39" s="37">
        <v>450</v>
      </c>
      <c r="I39" s="37">
        <v>70</v>
      </c>
      <c r="J39" s="37">
        <v>260</v>
      </c>
      <c r="K39" s="37">
        <v>340</v>
      </c>
      <c r="L39" s="37">
        <v>80</v>
      </c>
      <c r="M39" s="37">
        <v>370</v>
      </c>
    </row>
    <row r="40" spans="4:13" ht="20.100000000000001" customHeight="1" x14ac:dyDescent="0.25">
      <c r="D40" s="1" t="s">
        <v>217</v>
      </c>
      <c r="E40" s="37" t="s">
        <v>209</v>
      </c>
      <c r="F40" s="37" t="s">
        <v>173</v>
      </c>
      <c r="G40" s="37">
        <v>150</v>
      </c>
      <c r="H40" s="37">
        <v>500</v>
      </c>
      <c r="I40" s="37">
        <v>140</v>
      </c>
      <c r="J40" s="37">
        <v>310</v>
      </c>
      <c r="K40" s="37">
        <v>360</v>
      </c>
      <c r="L40" s="37">
        <v>150</v>
      </c>
      <c r="M40" s="37">
        <v>400</v>
      </c>
    </row>
    <row r="41" spans="4:13" ht="20.100000000000001" customHeight="1" x14ac:dyDescent="0.25">
      <c r="D41" s="1" t="s">
        <v>217</v>
      </c>
      <c r="E41" s="37" t="s">
        <v>209</v>
      </c>
      <c r="F41" s="37" t="s">
        <v>174</v>
      </c>
      <c r="G41" s="37">
        <v>230</v>
      </c>
      <c r="H41" s="37">
        <v>550</v>
      </c>
      <c r="I41" s="37">
        <v>220</v>
      </c>
      <c r="J41" s="37">
        <v>330</v>
      </c>
      <c r="K41" s="37">
        <v>380</v>
      </c>
      <c r="L41" s="37">
        <v>230</v>
      </c>
      <c r="M41" s="37">
        <v>420</v>
      </c>
    </row>
    <row r="42" spans="4:13" ht="20.100000000000001" customHeight="1" x14ac:dyDescent="0.25">
      <c r="D42" s="1" t="s">
        <v>217</v>
      </c>
      <c r="E42" s="37" t="s">
        <v>209</v>
      </c>
      <c r="F42" s="37" t="s">
        <v>175</v>
      </c>
      <c r="G42" s="37">
        <v>250</v>
      </c>
      <c r="H42" s="37">
        <v>500</v>
      </c>
      <c r="I42" s="37">
        <v>240</v>
      </c>
      <c r="J42" s="37">
        <v>340</v>
      </c>
      <c r="K42" s="37">
        <v>360</v>
      </c>
      <c r="L42" s="37">
        <v>250</v>
      </c>
      <c r="M42" s="37">
        <v>390</v>
      </c>
    </row>
    <row r="43" spans="4:13" ht="20.100000000000001" customHeight="1" x14ac:dyDescent="0.25">
      <c r="D43" s="1" t="s">
        <v>217</v>
      </c>
      <c r="E43" s="37" t="s">
        <v>204</v>
      </c>
      <c r="F43" s="37" t="s">
        <v>172</v>
      </c>
      <c r="G43" s="37">
        <v>220</v>
      </c>
      <c r="H43" s="37">
        <v>500</v>
      </c>
      <c r="I43" s="37">
        <v>180</v>
      </c>
      <c r="J43" s="37">
        <v>300</v>
      </c>
      <c r="K43" s="37">
        <v>320</v>
      </c>
      <c r="L43" s="37">
        <v>210</v>
      </c>
      <c r="M43" s="37">
        <v>340</v>
      </c>
    </row>
    <row r="44" spans="4:13" ht="20.100000000000001" customHeight="1" x14ac:dyDescent="0.25">
      <c r="D44" s="1" t="s">
        <v>217</v>
      </c>
      <c r="E44" s="37" t="s">
        <v>204</v>
      </c>
      <c r="F44" s="37" t="s">
        <v>173</v>
      </c>
      <c r="G44" s="37">
        <v>110</v>
      </c>
      <c r="H44" s="37">
        <v>550</v>
      </c>
      <c r="I44" s="37">
        <v>90</v>
      </c>
      <c r="J44" s="37">
        <v>220</v>
      </c>
      <c r="K44" s="37">
        <v>380</v>
      </c>
      <c r="L44" s="37">
        <v>100</v>
      </c>
      <c r="M44" s="37">
        <v>390</v>
      </c>
    </row>
    <row r="45" spans="4:13" ht="20.100000000000001" customHeight="1" x14ac:dyDescent="0.25">
      <c r="D45" s="1" t="s">
        <v>217</v>
      </c>
      <c r="E45" s="37" t="s">
        <v>204</v>
      </c>
      <c r="F45" s="37" t="s">
        <v>174</v>
      </c>
      <c r="G45" s="37">
        <v>170</v>
      </c>
      <c r="H45" s="37">
        <v>600</v>
      </c>
      <c r="I45" s="37">
        <v>140</v>
      </c>
      <c r="J45" s="37">
        <v>270</v>
      </c>
      <c r="K45" s="37">
        <v>390</v>
      </c>
      <c r="L45" s="37">
        <v>160</v>
      </c>
      <c r="M45" s="37">
        <v>430</v>
      </c>
    </row>
    <row r="46" spans="4:13" ht="20.100000000000001" customHeight="1" x14ac:dyDescent="0.25">
      <c r="D46" s="1" t="s">
        <v>217</v>
      </c>
      <c r="E46" s="37" t="s">
        <v>204</v>
      </c>
      <c r="F46" s="37" t="s">
        <v>175</v>
      </c>
      <c r="G46" s="37">
        <v>200</v>
      </c>
      <c r="H46" s="37">
        <v>550</v>
      </c>
      <c r="I46" s="37">
        <v>150</v>
      </c>
      <c r="J46" s="37">
        <v>280</v>
      </c>
      <c r="K46" s="37">
        <v>350</v>
      </c>
      <c r="L46" s="37">
        <v>190</v>
      </c>
      <c r="M46" s="37">
        <v>400</v>
      </c>
    </row>
    <row r="47" spans="4:13" ht="20.100000000000001" customHeight="1" x14ac:dyDescent="0.25">
      <c r="M47" s="1"/>
    </row>
    <row r="48" spans="4:13" ht="20.100000000000001" customHeight="1" x14ac:dyDescent="0.25">
      <c r="M48" s="1"/>
    </row>
    <row r="49" spans="4:16" ht="20.100000000000001" customHeight="1" x14ac:dyDescent="0.25">
      <c r="D49" s="6" t="s">
        <v>468</v>
      </c>
      <c r="M49" s="1"/>
    </row>
    <row r="50" spans="4:16" ht="20.100000000000001" customHeight="1" x14ac:dyDescent="0.25">
      <c r="D50" s="5" t="s">
        <v>469</v>
      </c>
      <c r="M50" s="1"/>
    </row>
    <row r="51" spans="4:16" ht="20.100000000000001" customHeight="1" x14ac:dyDescent="0.25">
      <c r="D51" s="1" t="s">
        <v>463</v>
      </c>
      <c r="M51" s="1"/>
    </row>
    <row r="52" spans="4:16" ht="20.100000000000001" customHeight="1" x14ac:dyDescent="0.25">
      <c r="D52" s="54" t="s">
        <v>386</v>
      </c>
      <c r="M52" s="1"/>
    </row>
    <row r="53" spans="4:16" ht="20.100000000000001" customHeight="1" x14ac:dyDescent="0.25">
      <c r="D53" s="37" t="s">
        <v>8</v>
      </c>
      <c r="E53" s="37" t="s">
        <v>182</v>
      </c>
      <c r="F53" s="37" t="s">
        <v>183</v>
      </c>
      <c r="G53" s="37" t="s">
        <v>202</v>
      </c>
      <c r="H53" s="37" t="s">
        <v>191</v>
      </c>
      <c r="I53" s="37" t="s">
        <v>192</v>
      </c>
      <c r="J53" s="37" t="s">
        <v>193</v>
      </c>
      <c r="K53" s="37" t="s">
        <v>194</v>
      </c>
      <c r="L53" s="37" t="s">
        <v>195</v>
      </c>
      <c r="M53" s="37" t="s">
        <v>196</v>
      </c>
      <c r="N53" s="37" t="s">
        <v>197</v>
      </c>
      <c r="O53" s="37" t="s">
        <v>198</v>
      </c>
      <c r="P53" s="37" t="s">
        <v>199</v>
      </c>
    </row>
    <row r="54" spans="4:16" ht="20.100000000000001" customHeight="1" x14ac:dyDescent="0.25">
      <c r="D54" s="37" t="s">
        <v>470</v>
      </c>
      <c r="E54" s="37" t="s">
        <v>210</v>
      </c>
      <c r="F54" s="37" t="s">
        <v>172</v>
      </c>
      <c r="G54" s="37">
        <v>220</v>
      </c>
      <c r="H54" s="37">
        <v>706</v>
      </c>
      <c r="I54" s="37">
        <v>208</v>
      </c>
      <c r="J54" s="37">
        <v>323</v>
      </c>
      <c r="K54" s="37">
        <v>415</v>
      </c>
      <c r="L54" s="37">
        <v>467</v>
      </c>
      <c r="M54" s="37">
        <v>223</v>
      </c>
      <c r="N54" s="37">
        <v>371</v>
      </c>
      <c r="O54" s="37">
        <v>493</v>
      </c>
      <c r="P54" s="37">
        <v>585</v>
      </c>
    </row>
    <row r="55" spans="4:16" ht="20.100000000000001" customHeight="1" x14ac:dyDescent="0.25">
      <c r="D55" s="1" t="s">
        <v>470</v>
      </c>
      <c r="E55" s="37" t="s">
        <v>210</v>
      </c>
      <c r="F55" s="37" t="s">
        <v>173</v>
      </c>
      <c r="G55" s="37">
        <v>110</v>
      </c>
      <c r="H55" s="37">
        <v>703</v>
      </c>
      <c r="I55" s="37">
        <v>112</v>
      </c>
      <c r="J55" s="37">
        <v>256</v>
      </c>
      <c r="K55" s="37">
        <v>368</v>
      </c>
      <c r="L55" s="37">
        <v>465</v>
      </c>
      <c r="M55" s="37">
        <v>108</v>
      </c>
      <c r="N55" s="37">
        <v>280</v>
      </c>
      <c r="O55" s="37">
        <v>421</v>
      </c>
      <c r="P55" s="37">
        <v>543</v>
      </c>
    </row>
    <row r="56" spans="4:16" ht="20.100000000000001" customHeight="1" x14ac:dyDescent="0.25">
      <c r="D56" s="1" t="s">
        <v>470</v>
      </c>
      <c r="E56" s="37" t="s">
        <v>210</v>
      </c>
      <c r="F56" s="37" t="s">
        <v>174</v>
      </c>
      <c r="G56" s="37">
        <v>170</v>
      </c>
      <c r="H56" s="37">
        <v>721</v>
      </c>
      <c r="I56" s="37">
        <v>169</v>
      </c>
      <c r="J56" s="37">
        <v>306</v>
      </c>
      <c r="K56" s="37">
        <v>392</v>
      </c>
      <c r="L56" s="37">
        <v>464</v>
      </c>
      <c r="M56" s="37">
        <v>176</v>
      </c>
      <c r="N56" s="37">
        <v>339</v>
      </c>
      <c r="O56" s="37">
        <v>470</v>
      </c>
      <c r="P56" s="37">
        <v>580</v>
      </c>
    </row>
    <row r="57" spans="4:16" ht="20.100000000000001" customHeight="1" x14ac:dyDescent="0.25">
      <c r="D57" s="1" t="s">
        <v>470</v>
      </c>
      <c r="E57" s="37" t="s">
        <v>210</v>
      </c>
      <c r="F57" s="37" t="s">
        <v>175</v>
      </c>
      <c r="G57" s="37">
        <v>200</v>
      </c>
      <c r="H57" s="37">
        <v>727</v>
      </c>
      <c r="I57" s="37">
        <v>211</v>
      </c>
      <c r="J57" s="37">
        <v>338</v>
      </c>
      <c r="K57" s="37">
        <v>432</v>
      </c>
      <c r="L57" s="37">
        <v>492</v>
      </c>
      <c r="M57" s="37">
        <v>222</v>
      </c>
      <c r="N57" s="37">
        <v>377</v>
      </c>
      <c r="O57" s="37">
        <v>498</v>
      </c>
      <c r="P57" s="37">
        <v>590</v>
      </c>
    </row>
    <row r="58" spans="4:16" ht="20.100000000000001" customHeight="1" x14ac:dyDescent="0.25">
      <c r="D58" s="1" t="s">
        <v>470</v>
      </c>
      <c r="E58" s="37" t="s">
        <v>211</v>
      </c>
      <c r="F58" s="37" t="s">
        <v>172</v>
      </c>
      <c r="G58" s="37">
        <v>220</v>
      </c>
      <c r="H58" s="37">
        <v>620</v>
      </c>
      <c r="I58" s="37">
        <v>227</v>
      </c>
      <c r="J58" s="37">
        <v>319</v>
      </c>
      <c r="K58" s="37">
        <v>398</v>
      </c>
      <c r="L58" s="37">
        <v>452</v>
      </c>
      <c r="M58" s="37">
        <v>216</v>
      </c>
      <c r="N58" s="37">
        <v>334</v>
      </c>
      <c r="O58" s="37" t="s">
        <v>471</v>
      </c>
      <c r="P58" s="37" t="s">
        <v>471</v>
      </c>
    </row>
    <row r="59" spans="4:16" ht="20.100000000000001" customHeight="1" x14ac:dyDescent="0.25">
      <c r="D59" s="1" t="s">
        <v>470</v>
      </c>
      <c r="E59" s="37" t="s">
        <v>211</v>
      </c>
      <c r="F59" s="37" t="s">
        <v>173</v>
      </c>
      <c r="G59" s="37">
        <v>110</v>
      </c>
      <c r="H59" s="37">
        <v>650</v>
      </c>
      <c r="I59" s="37">
        <v>108</v>
      </c>
      <c r="J59" s="37">
        <v>262</v>
      </c>
      <c r="K59" s="37">
        <v>346</v>
      </c>
      <c r="L59" s="37">
        <v>430</v>
      </c>
      <c r="M59" s="37">
        <v>111</v>
      </c>
      <c r="N59" s="37">
        <v>236</v>
      </c>
      <c r="O59" s="37" t="s">
        <v>471</v>
      </c>
      <c r="P59" s="37" t="s">
        <v>471</v>
      </c>
    </row>
    <row r="60" spans="4:16" ht="20.100000000000001" customHeight="1" x14ac:dyDescent="0.25">
      <c r="D60" s="1" t="s">
        <v>470</v>
      </c>
      <c r="E60" s="37" t="s">
        <v>211</v>
      </c>
      <c r="F60" s="37" t="s">
        <v>174</v>
      </c>
      <c r="G60" s="37">
        <v>170</v>
      </c>
      <c r="H60" s="37">
        <v>670</v>
      </c>
      <c r="I60" s="37">
        <v>170</v>
      </c>
      <c r="J60" s="37">
        <v>266</v>
      </c>
      <c r="K60" s="37">
        <v>363</v>
      </c>
      <c r="L60" s="37">
        <v>444</v>
      </c>
      <c r="M60" s="37">
        <v>169</v>
      </c>
      <c r="N60" s="37">
        <v>282</v>
      </c>
      <c r="O60" s="37" t="s">
        <v>471</v>
      </c>
      <c r="P60" s="37" t="s">
        <v>471</v>
      </c>
    </row>
    <row r="61" spans="4:16" ht="20.100000000000001" customHeight="1" x14ac:dyDescent="0.25">
      <c r="D61" s="1" t="s">
        <v>470</v>
      </c>
      <c r="E61" s="37" t="s">
        <v>211</v>
      </c>
      <c r="F61" s="37" t="s">
        <v>175</v>
      </c>
      <c r="G61" s="37">
        <v>200</v>
      </c>
      <c r="H61" s="37">
        <v>660</v>
      </c>
      <c r="I61" s="37">
        <v>225</v>
      </c>
      <c r="J61" s="37">
        <v>307</v>
      </c>
      <c r="K61" s="37">
        <v>398</v>
      </c>
      <c r="L61" s="37">
        <v>452</v>
      </c>
      <c r="M61" s="37">
        <v>214</v>
      </c>
      <c r="N61" s="37">
        <v>326</v>
      </c>
      <c r="O61" s="37" t="s">
        <v>471</v>
      </c>
      <c r="P61" s="37" t="s">
        <v>471</v>
      </c>
    </row>
    <row r="62" spans="4:16" ht="20.100000000000001" customHeight="1" x14ac:dyDescent="0.25">
      <c r="D62" s="1" t="s">
        <v>470</v>
      </c>
      <c r="E62" s="37" t="s">
        <v>212</v>
      </c>
      <c r="F62" s="37" t="s">
        <v>172</v>
      </c>
      <c r="G62" s="37">
        <v>220</v>
      </c>
      <c r="H62" s="37">
        <v>620</v>
      </c>
      <c r="I62" s="37">
        <v>177</v>
      </c>
      <c r="J62" s="37">
        <v>267</v>
      </c>
      <c r="K62" s="37">
        <v>365</v>
      </c>
      <c r="L62" s="37">
        <v>406</v>
      </c>
      <c r="M62" s="37">
        <v>231</v>
      </c>
      <c r="N62" s="37">
        <v>249</v>
      </c>
      <c r="O62" s="37">
        <v>324</v>
      </c>
      <c r="P62" s="37" t="s">
        <v>471</v>
      </c>
    </row>
    <row r="63" spans="4:16" ht="20.100000000000001" customHeight="1" x14ac:dyDescent="0.25">
      <c r="D63" s="1" t="s">
        <v>470</v>
      </c>
      <c r="E63" s="37" t="s">
        <v>212</v>
      </c>
      <c r="F63" s="37" t="s">
        <v>173</v>
      </c>
      <c r="G63" s="37">
        <v>110</v>
      </c>
      <c r="H63" s="37">
        <v>650</v>
      </c>
      <c r="I63" s="37">
        <v>102</v>
      </c>
      <c r="J63" s="37">
        <v>203</v>
      </c>
      <c r="K63" s="37">
        <v>299</v>
      </c>
      <c r="L63" s="37">
        <v>380</v>
      </c>
      <c r="M63" s="37">
        <v>102</v>
      </c>
      <c r="N63" s="37">
        <v>218</v>
      </c>
      <c r="O63" s="37">
        <v>263</v>
      </c>
      <c r="P63" s="37" t="s">
        <v>471</v>
      </c>
    </row>
    <row r="64" spans="4:16" ht="20.100000000000001" customHeight="1" x14ac:dyDescent="0.25">
      <c r="D64" s="1" t="s">
        <v>470</v>
      </c>
      <c r="E64" s="37" t="s">
        <v>212</v>
      </c>
      <c r="F64" s="37" t="s">
        <v>174</v>
      </c>
      <c r="G64" s="37">
        <v>170</v>
      </c>
      <c r="H64" s="37">
        <v>670</v>
      </c>
      <c r="I64" s="37">
        <v>173</v>
      </c>
      <c r="J64" s="37">
        <v>250</v>
      </c>
      <c r="K64" s="37">
        <v>336</v>
      </c>
      <c r="L64" s="37">
        <v>414</v>
      </c>
      <c r="M64" s="37">
        <v>175</v>
      </c>
      <c r="N64" s="37">
        <v>243</v>
      </c>
      <c r="O64" s="37">
        <v>304</v>
      </c>
      <c r="P64" s="37" t="s">
        <v>471</v>
      </c>
    </row>
    <row r="65" spans="4:22" ht="20.100000000000001" customHeight="1" x14ac:dyDescent="0.25">
      <c r="D65" s="1" t="s">
        <v>470</v>
      </c>
      <c r="E65" s="37" t="s">
        <v>212</v>
      </c>
      <c r="F65" s="37" t="s">
        <v>175</v>
      </c>
      <c r="G65" s="37">
        <v>200</v>
      </c>
      <c r="H65" s="37">
        <v>660</v>
      </c>
      <c r="I65" s="37">
        <v>202</v>
      </c>
      <c r="J65" s="37">
        <v>272</v>
      </c>
      <c r="K65" s="37">
        <v>365</v>
      </c>
      <c r="L65" s="37">
        <v>390</v>
      </c>
      <c r="M65" s="37">
        <v>208</v>
      </c>
      <c r="N65" s="37">
        <v>260</v>
      </c>
      <c r="O65" s="37">
        <v>337</v>
      </c>
      <c r="P65" s="37" t="s">
        <v>471</v>
      </c>
    </row>
    <row r="66" spans="4:22" ht="20.100000000000001" customHeight="1" x14ac:dyDescent="0.25">
      <c r="D66" s="1" t="s">
        <v>472</v>
      </c>
      <c r="E66" s="37" t="s">
        <v>213</v>
      </c>
      <c r="F66" s="37" t="s">
        <v>172</v>
      </c>
      <c r="G66" s="37">
        <v>260</v>
      </c>
      <c r="H66" s="37">
        <v>705</v>
      </c>
      <c r="I66" s="37">
        <v>215</v>
      </c>
      <c r="J66" s="37">
        <v>302</v>
      </c>
      <c r="K66" s="37">
        <v>416</v>
      </c>
      <c r="L66" s="37">
        <v>519</v>
      </c>
      <c r="M66" s="37">
        <v>234</v>
      </c>
      <c r="N66" s="37">
        <v>455</v>
      </c>
      <c r="O66" s="37">
        <v>551</v>
      </c>
      <c r="P66" s="37">
        <v>660</v>
      </c>
    </row>
    <row r="67" spans="4:22" ht="20.100000000000001" customHeight="1" x14ac:dyDescent="0.25">
      <c r="D67" s="1" t="s">
        <v>472</v>
      </c>
      <c r="E67" s="37" t="s">
        <v>213</v>
      </c>
      <c r="F67" s="37" t="s">
        <v>173</v>
      </c>
      <c r="G67" s="37">
        <v>153</v>
      </c>
      <c r="H67" s="37">
        <v>703</v>
      </c>
      <c r="I67" s="37">
        <v>118</v>
      </c>
      <c r="J67" s="37">
        <v>277</v>
      </c>
      <c r="K67" s="37">
        <v>397</v>
      </c>
      <c r="L67" s="37">
        <v>483</v>
      </c>
      <c r="M67" s="37">
        <v>111</v>
      </c>
      <c r="N67" s="37">
        <v>304</v>
      </c>
      <c r="O67" s="37">
        <v>521</v>
      </c>
      <c r="P67" s="37">
        <v>547</v>
      </c>
    </row>
    <row r="68" spans="4:22" ht="20.100000000000001" customHeight="1" x14ac:dyDescent="0.25">
      <c r="D68" s="1" t="s">
        <v>472</v>
      </c>
      <c r="E68" s="37" t="s">
        <v>213</v>
      </c>
      <c r="F68" s="37" t="s">
        <v>174</v>
      </c>
      <c r="G68" s="37">
        <v>168</v>
      </c>
      <c r="H68" s="37">
        <v>718</v>
      </c>
      <c r="I68" s="37">
        <v>191</v>
      </c>
      <c r="J68" s="37">
        <v>319</v>
      </c>
      <c r="K68" s="37">
        <v>440</v>
      </c>
      <c r="L68" s="37">
        <v>506</v>
      </c>
      <c r="M68" s="37">
        <v>188</v>
      </c>
      <c r="N68" s="37">
        <v>326</v>
      </c>
      <c r="O68" s="37">
        <v>520</v>
      </c>
      <c r="P68" s="37">
        <v>582</v>
      </c>
    </row>
    <row r="69" spans="4:22" ht="20.100000000000001" customHeight="1" x14ac:dyDescent="0.25">
      <c r="D69" s="1" t="s">
        <v>472</v>
      </c>
      <c r="E69" s="37" t="s">
        <v>213</v>
      </c>
      <c r="F69" s="37" t="s">
        <v>175</v>
      </c>
      <c r="G69" s="37">
        <v>235</v>
      </c>
      <c r="H69" s="37">
        <v>722</v>
      </c>
      <c r="I69" s="37">
        <v>207</v>
      </c>
      <c r="J69" s="37">
        <v>352</v>
      </c>
      <c r="K69" s="37">
        <v>470</v>
      </c>
      <c r="L69" s="37">
        <v>514</v>
      </c>
      <c r="M69" s="37">
        <v>209</v>
      </c>
      <c r="N69" s="37">
        <v>421</v>
      </c>
      <c r="O69" s="37">
        <v>512</v>
      </c>
      <c r="P69" s="37">
        <v>605</v>
      </c>
    </row>
    <row r="70" spans="4:22" ht="20.100000000000001" customHeight="1" x14ac:dyDescent="0.25">
      <c r="D70" s="1" t="s">
        <v>472</v>
      </c>
      <c r="E70" s="37" t="s">
        <v>214</v>
      </c>
      <c r="F70" s="37" t="s">
        <v>172</v>
      </c>
      <c r="G70" s="37">
        <v>230</v>
      </c>
      <c r="H70" s="37">
        <v>674</v>
      </c>
      <c r="I70" s="37">
        <v>217</v>
      </c>
      <c r="J70" s="37">
        <v>344</v>
      </c>
      <c r="K70" s="37">
        <v>357</v>
      </c>
      <c r="L70" s="37">
        <v>467</v>
      </c>
      <c r="M70" s="37">
        <v>242</v>
      </c>
      <c r="N70" s="37">
        <v>370</v>
      </c>
      <c r="O70" s="37">
        <v>550</v>
      </c>
      <c r="P70" s="37">
        <v>620</v>
      </c>
    </row>
    <row r="71" spans="4:22" ht="20.100000000000001" customHeight="1" x14ac:dyDescent="0.25">
      <c r="D71" s="1" t="s">
        <v>472</v>
      </c>
      <c r="E71" s="37" t="s">
        <v>214</v>
      </c>
      <c r="F71" s="37" t="s">
        <v>173</v>
      </c>
      <c r="G71" s="37">
        <v>113</v>
      </c>
      <c r="H71" s="37">
        <v>669</v>
      </c>
      <c r="I71" s="37">
        <v>113</v>
      </c>
      <c r="J71" s="37">
        <v>283</v>
      </c>
      <c r="K71" s="37">
        <v>361</v>
      </c>
      <c r="L71" s="37">
        <v>477</v>
      </c>
      <c r="M71" s="37">
        <v>120</v>
      </c>
      <c r="N71" s="37">
        <v>273</v>
      </c>
      <c r="O71" s="37">
        <v>545</v>
      </c>
      <c r="P71" s="37">
        <v>553</v>
      </c>
      <c r="V71" s="1"/>
    </row>
    <row r="72" spans="4:22" ht="20.100000000000001" customHeight="1" x14ac:dyDescent="0.25">
      <c r="D72" s="1" t="s">
        <v>472</v>
      </c>
      <c r="E72" s="37" t="s">
        <v>214</v>
      </c>
      <c r="F72" s="37" t="s">
        <v>174</v>
      </c>
      <c r="G72" s="37">
        <v>172</v>
      </c>
      <c r="H72" s="37">
        <v>685</v>
      </c>
      <c r="I72" s="37">
        <v>172</v>
      </c>
      <c r="J72" s="37">
        <v>309</v>
      </c>
      <c r="K72" s="37">
        <v>376</v>
      </c>
      <c r="L72" s="37">
        <v>471</v>
      </c>
      <c r="M72" s="37">
        <v>238</v>
      </c>
      <c r="N72" s="37">
        <v>329</v>
      </c>
      <c r="O72" s="37">
        <v>573</v>
      </c>
      <c r="P72" s="37">
        <v>620</v>
      </c>
      <c r="V72" s="1"/>
    </row>
    <row r="73" spans="4:22" ht="20.100000000000001" customHeight="1" x14ac:dyDescent="0.25">
      <c r="D73" s="1" t="s">
        <v>472</v>
      </c>
      <c r="E73" s="37" t="s">
        <v>214</v>
      </c>
      <c r="F73" s="37" t="s">
        <v>175</v>
      </c>
      <c r="G73" s="37">
        <v>241</v>
      </c>
      <c r="H73" s="37">
        <v>692</v>
      </c>
      <c r="I73" s="37">
        <v>208</v>
      </c>
      <c r="J73" s="37">
        <v>344</v>
      </c>
      <c r="K73" s="37">
        <v>364</v>
      </c>
      <c r="L73" s="37">
        <v>484</v>
      </c>
      <c r="M73" s="37">
        <v>260</v>
      </c>
      <c r="N73" s="37">
        <v>350</v>
      </c>
      <c r="O73" s="37">
        <v>567</v>
      </c>
      <c r="P73" s="37">
        <v>620</v>
      </c>
      <c r="V73" s="1"/>
    </row>
    <row r="74" spans="4:22" ht="20.100000000000001" customHeight="1" x14ac:dyDescent="0.25">
      <c r="D74" s="1" t="s">
        <v>472</v>
      </c>
      <c r="E74" s="37" t="s">
        <v>215</v>
      </c>
      <c r="F74" s="37" t="s">
        <v>172</v>
      </c>
      <c r="G74" s="37">
        <v>236</v>
      </c>
      <c r="H74" s="37">
        <v>674</v>
      </c>
      <c r="I74" s="37">
        <v>178</v>
      </c>
      <c r="J74" s="37">
        <v>310</v>
      </c>
      <c r="K74" s="37">
        <v>428</v>
      </c>
      <c r="L74" s="37">
        <v>466</v>
      </c>
      <c r="M74" s="37">
        <v>193</v>
      </c>
      <c r="N74" s="37">
        <v>370</v>
      </c>
      <c r="O74" s="37">
        <v>519</v>
      </c>
      <c r="P74" s="37">
        <v>565</v>
      </c>
      <c r="V74" s="1"/>
    </row>
    <row r="75" spans="4:22" ht="20.100000000000001" customHeight="1" x14ac:dyDescent="0.25">
      <c r="D75" s="1" t="s">
        <v>472</v>
      </c>
      <c r="E75" s="37" t="s">
        <v>215</v>
      </c>
      <c r="F75" s="37" t="s">
        <v>173</v>
      </c>
      <c r="G75" s="37">
        <v>120</v>
      </c>
      <c r="H75" s="37">
        <v>669</v>
      </c>
      <c r="I75" s="37">
        <v>112</v>
      </c>
      <c r="J75" s="37">
        <v>250</v>
      </c>
      <c r="K75" s="37">
        <v>390</v>
      </c>
      <c r="L75" s="37">
        <v>448</v>
      </c>
      <c r="M75" s="37">
        <v>115</v>
      </c>
      <c r="N75" s="37">
        <v>273</v>
      </c>
      <c r="O75" s="37">
        <v>433</v>
      </c>
      <c r="P75" s="37">
        <v>556</v>
      </c>
      <c r="V75" s="1"/>
    </row>
    <row r="76" spans="4:22" ht="20.100000000000001" customHeight="1" x14ac:dyDescent="0.25">
      <c r="D76" s="1" t="s">
        <v>472</v>
      </c>
      <c r="E76" s="37" t="s">
        <v>215</v>
      </c>
      <c r="F76" s="37" t="s">
        <v>174</v>
      </c>
      <c r="G76" s="37">
        <v>125</v>
      </c>
      <c r="H76" s="37">
        <v>685</v>
      </c>
      <c r="I76" s="37">
        <v>140</v>
      </c>
      <c r="J76" s="37">
        <v>277</v>
      </c>
      <c r="K76" s="37">
        <v>407</v>
      </c>
      <c r="L76" s="37">
        <v>455</v>
      </c>
      <c r="M76" s="37">
        <v>141</v>
      </c>
      <c r="N76" s="37">
        <v>296</v>
      </c>
      <c r="O76" s="37">
        <v>445</v>
      </c>
      <c r="P76" s="37">
        <v>593</v>
      </c>
      <c r="V76" s="1"/>
    </row>
    <row r="77" spans="4:22" ht="20.100000000000001" customHeight="1" x14ac:dyDescent="0.25">
      <c r="D77" s="1" t="s">
        <v>472</v>
      </c>
      <c r="E77" s="37" t="s">
        <v>215</v>
      </c>
      <c r="F77" s="37" t="s">
        <v>175</v>
      </c>
      <c r="G77" s="37">
        <v>180</v>
      </c>
      <c r="H77" s="37">
        <v>692</v>
      </c>
      <c r="I77" s="37">
        <v>183</v>
      </c>
      <c r="J77" s="37">
        <v>316</v>
      </c>
      <c r="K77" s="37">
        <v>438</v>
      </c>
      <c r="L77" s="37">
        <v>468</v>
      </c>
      <c r="M77" s="37">
        <v>189</v>
      </c>
      <c r="N77" s="37">
        <v>354</v>
      </c>
      <c r="O77" s="37">
        <v>500</v>
      </c>
      <c r="P77" s="37">
        <v>553</v>
      </c>
      <c r="V77" s="1"/>
    </row>
    <row r="78" spans="4:22" ht="20.100000000000001" customHeight="1" x14ac:dyDescent="0.25">
      <c r="D78" s="1" t="s">
        <v>472</v>
      </c>
      <c r="E78" s="37" t="s">
        <v>216</v>
      </c>
      <c r="F78" s="37" t="s">
        <v>172</v>
      </c>
      <c r="G78" s="37">
        <v>190</v>
      </c>
      <c r="H78" s="37">
        <v>617</v>
      </c>
      <c r="I78" s="37">
        <v>174</v>
      </c>
      <c r="J78" s="37">
        <v>265</v>
      </c>
      <c r="K78" s="37">
        <v>371</v>
      </c>
      <c r="L78" s="37">
        <v>415</v>
      </c>
      <c r="M78" s="37">
        <v>170</v>
      </c>
      <c r="N78" s="37">
        <v>272</v>
      </c>
      <c r="O78" s="37">
        <v>392</v>
      </c>
      <c r="P78" s="37">
        <v>531</v>
      </c>
    </row>
    <row r="79" spans="4:22" ht="20.100000000000001" customHeight="1" x14ac:dyDescent="0.25">
      <c r="D79" s="1" t="s">
        <v>472</v>
      </c>
      <c r="E79" s="37" t="s">
        <v>216</v>
      </c>
      <c r="F79" s="37" t="s">
        <v>173</v>
      </c>
      <c r="G79" s="37">
        <v>119</v>
      </c>
      <c r="H79" s="37">
        <v>591</v>
      </c>
      <c r="I79" s="37">
        <v>140</v>
      </c>
      <c r="J79" s="37">
        <v>205</v>
      </c>
      <c r="K79" s="37">
        <v>310</v>
      </c>
      <c r="L79" s="37">
        <v>405</v>
      </c>
      <c r="M79" s="37">
        <v>133</v>
      </c>
      <c r="N79" s="37">
        <v>218</v>
      </c>
      <c r="O79" s="37">
        <v>315</v>
      </c>
      <c r="P79" s="37">
        <v>445</v>
      </c>
    </row>
    <row r="80" spans="4:22" ht="20.100000000000001" customHeight="1" x14ac:dyDescent="0.25">
      <c r="D80" s="1" t="s">
        <v>472</v>
      </c>
      <c r="E80" s="37" t="s">
        <v>216</v>
      </c>
      <c r="F80" s="37" t="s">
        <v>174</v>
      </c>
      <c r="G80" s="37">
        <v>175</v>
      </c>
      <c r="H80" s="37">
        <v>610</v>
      </c>
      <c r="I80" s="37">
        <v>163</v>
      </c>
      <c r="J80" s="37">
        <v>232</v>
      </c>
      <c r="K80" s="37">
        <v>351</v>
      </c>
      <c r="L80" s="37">
        <v>427</v>
      </c>
      <c r="M80" s="37">
        <v>146</v>
      </c>
      <c r="N80" s="37">
        <v>242</v>
      </c>
      <c r="O80" s="37">
        <v>320</v>
      </c>
      <c r="P80" s="37">
        <v>471</v>
      </c>
    </row>
    <row r="81" spans="4:22" ht="20.100000000000001" customHeight="1" x14ac:dyDescent="0.25">
      <c r="D81" s="1" t="s">
        <v>472</v>
      </c>
      <c r="E81" s="37" t="s">
        <v>216</v>
      </c>
      <c r="F81" s="37" t="s">
        <v>175</v>
      </c>
      <c r="G81" s="37">
        <v>192</v>
      </c>
      <c r="H81" s="37">
        <v>615</v>
      </c>
      <c r="I81" s="37">
        <v>162</v>
      </c>
      <c r="J81" s="37">
        <v>255</v>
      </c>
      <c r="K81" s="37">
        <v>364</v>
      </c>
      <c r="L81" s="37">
        <v>420</v>
      </c>
      <c r="M81" s="37">
        <v>157</v>
      </c>
      <c r="N81" s="37">
        <v>261</v>
      </c>
      <c r="O81" s="37">
        <v>342</v>
      </c>
      <c r="P81" s="37">
        <v>484</v>
      </c>
    </row>
    <row r="82" spans="4:22" ht="20.100000000000001" customHeight="1" x14ac:dyDescent="0.25">
      <c r="M82" s="1"/>
    </row>
    <row r="83" spans="4:22" ht="20.100000000000001" customHeight="1" x14ac:dyDescent="0.25">
      <c r="M83" s="1"/>
    </row>
    <row r="84" spans="4:22" ht="20.100000000000001" customHeight="1" x14ac:dyDescent="0.25">
      <c r="D84" s="6" t="s">
        <v>200</v>
      </c>
      <c r="M84" s="1"/>
    </row>
    <row r="85" spans="4:22" ht="20.100000000000001" customHeight="1" x14ac:dyDescent="0.25">
      <c r="D85" s="37" t="s">
        <v>8</v>
      </c>
      <c r="E85" s="37" t="s">
        <v>182</v>
      </c>
      <c r="F85" s="37" t="s">
        <v>183</v>
      </c>
      <c r="G85" s="118" t="s">
        <v>130</v>
      </c>
      <c r="H85" s="118" t="s">
        <v>129</v>
      </c>
      <c r="I85" s="118" t="s">
        <v>164</v>
      </c>
      <c r="J85" s="118" t="s">
        <v>165</v>
      </c>
      <c r="K85" s="118" t="s">
        <v>166</v>
      </c>
      <c r="L85" s="118" t="s">
        <v>167</v>
      </c>
      <c r="M85" s="118" t="s">
        <v>168</v>
      </c>
      <c r="N85" s="118" t="s">
        <v>169</v>
      </c>
      <c r="O85" s="118" t="s">
        <v>170</v>
      </c>
      <c r="P85" s="118" t="s">
        <v>171</v>
      </c>
      <c r="V85" s="1"/>
    </row>
    <row r="86" spans="4:22" ht="20.100000000000001" customHeight="1" x14ac:dyDescent="0.25">
      <c r="D86" s="37" t="s">
        <v>82</v>
      </c>
      <c r="E86" s="37" t="s">
        <v>201</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82</v>
      </c>
      <c r="E87" s="37" t="s">
        <v>201</v>
      </c>
      <c r="F87" s="37" t="s">
        <v>173</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82</v>
      </c>
      <c r="E88" s="37" t="s">
        <v>201</v>
      </c>
      <c r="F88" s="37" t="s">
        <v>174</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82</v>
      </c>
      <c r="E89" s="37" t="s">
        <v>201</v>
      </c>
      <c r="F89" s="37" t="s">
        <v>175</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83</v>
      </c>
      <c r="E90" s="37" t="s">
        <v>201</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83</v>
      </c>
      <c r="E91" s="37" t="s">
        <v>201</v>
      </c>
      <c r="F91" s="37" t="s">
        <v>173</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83</v>
      </c>
      <c r="E92" s="37" t="s">
        <v>201</v>
      </c>
      <c r="F92" s="37" t="s">
        <v>174</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83</v>
      </c>
      <c r="E93" s="37" t="s">
        <v>201</v>
      </c>
      <c r="F93" s="37" t="s">
        <v>175</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86</v>
      </c>
      <c r="E94" s="37" t="s">
        <v>201</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86</v>
      </c>
      <c r="E95" s="37" t="s">
        <v>201</v>
      </c>
      <c r="F95" s="37" t="s">
        <v>173</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86</v>
      </c>
      <c r="E96" s="37" t="s">
        <v>201</v>
      </c>
      <c r="F96" s="37" t="s">
        <v>174</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86</v>
      </c>
      <c r="E97" s="37" t="s">
        <v>201</v>
      </c>
      <c r="F97" s="37" t="s">
        <v>175</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87</v>
      </c>
      <c r="E98" s="37" t="s">
        <v>201</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87</v>
      </c>
      <c r="E99" s="37" t="s">
        <v>201</v>
      </c>
      <c r="F99" s="37" t="s">
        <v>173</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87</v>
      </c>
      <c r="E100" s="37" t="s">
        <v>201</v>
      </c>
      <c r="F100" s="37" t="s">
        <v>174</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87</v>
      </c>
      <c r="E101" s="37" t="s">
        <v>201</v>
      </c>
      <c r="F101" s="37" t="s">
        <v>175</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88</v>
      </c>
      <c r="E102" s="37" t="s">
        <v>201</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88</v>
      </c>
      <c r="E103" s="37" t="s">
        <v>201</v>
      </c>
      <c r="F103" s="37" t="s">
        <v>173</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88</v>
      </c>
      <c r="E104" s="37" t="s">
        <v>201</v>
      </c>
      <c r="F104" s="37" t="s">
        <v>174</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88</v>
      </c>
      <c r="E105" s="37" t="s">
        <v>201</v>
      </c>
      <c r="F105" s="37" t="s">
        <v>175</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89</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89</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89</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89</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89</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89</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89</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89</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89</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89</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89</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89</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84</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84</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84</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84</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84</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84</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84</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84</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84</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84</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84</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84</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85</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85</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85</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85</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85</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85</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85</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85</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85</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85</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85</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85</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85</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85</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85</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85</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361</v>
      </c>
      <c r="E146" s="1" t="s">
        <v>201</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361</v>
      </c>
      <c r="E147" s="1" t="s">
        <v>201</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361</v>
      </c>
      <c r="E148" s="1" t="s">
        <v>201</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361</v>
      </c>
      <c r="E149" s="1" t="s">
        <v>201</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
        <v>473</v>
      </c>
      <c r="E150" s="1" t="str">
        <f>E86</f>
        <v>n/a</v>
      </c>
      <c r="F150" s="1" t="str">
        <f>F86</f>
        <v>Spring</v>
      </c>
      <c r="G150" s="1">
        <f>G86</f>
        <v>80</v>
      </c>
      <c r="H150" s="1">
        <f>H86</f>
        <v>480</v>
      </c>
      <c r="I150" s="1">
        <f>I86</f>
        <v>75</v>
      </c>
      <c r="J150" s="1">
        <f>J86</f>
        <v>300</v>
      </c>
      <c r="K150" s="1">
        <f>K86</f>
        <v>440</v>
      </c>
      <c r="L150" s="1">
        <f>L86</f>
        <v>440</v>
      </c>
      <c r="M150" s="1">
        <f>M86</f>
        <v>75</v>
      </c>
      <c r="N150" s="1">
        <f>N86</f>
        <v>380</v>
      </c>
      <c r="O150" s="1">
        <f>O86</f>
        <v>380</v>
      </c>
      <c r="P150" s="1">
        <f>P86</f>
        <v>380</v>
      </c>
    </row>
    <row r="151" spans="4:16" ht="20.100000000000001" customHeight="1" x14ac:dyDescent="0.25">
      <c r="D151" s="5" t="s">
        <v>474</v>
      </c>
      <c r="E151" s="1" t="str">
        <f>E87</f>
        <v>n/a</v>
      </c>
      <c r="F151" s="1" t="str">
        <f>F87</f>
        <v>Summer</v>
      </c>
      <c r="G151" s="1">
        <f>G87</f>
        <v>170</v>
      </c>
      <c r="H151" s="1">
        <f>H87</f>
        <v>520</v>
      </c>
      <c r="I151" s="1">
        <f>I87</f>
        <v>160</v>
      </c>
      <c r="J151" s="1">
        <f>J87</f>
        <v>360</v>
      </c>
      <c r="K151" s="1">
        <f>K87</f>
        <v>470</v>
      </c>
      <c r="L151" s="1">
        <f>L87</f>
        <v>470</v>
      </c>
      <c r="M151" s="1">
        <f>M87</f>
        <v>160</v>
      </c>
      <c r="N151" s="1">
        <f>N87</f>
        <v>420</v>
      </c>
      <c r="O151" s="1">
        <f>O87</f>
        <v>420</v>
      </c>
      <c r="P151" s="1">
        <f>P87</f>
        <v>420</v>
      </c>
    </row>
    <row r="152" spans="4:16" ht="20.100000000000001" customHeight="1" x14ac:dyDescent="0.25">
      <c r="D152" s="1" t="s">
        <v>475</v>
      </c>
      <c r="E152" s="1" t="str">
        <f>E88</f>
        <v>n/a</v>
      </c>
      <c r="F152" s="1" t="str">
        <f>F88</f>
        <v>Autumn</v>
      </c>
      <c r="G152" s="1">
        <f>G88</f>
        <v>240</v>
      </c>
      <c r="H152" s="1">
        <f>H88</f>
        <v>550</v>
      </c>
      <c r="I152" s="1">
        <f>I88</f>
        <v>220</v>
      </c>
      <c r="J152" s="1">
        <f>J88</f>
        <v>390</v>
      </c>
      <c r="K152" s="1">
        <f>K88</f>
        <v>490</v>
      </c>
      <c r="L152" s="1">
        <f>L88</f>
        <v>490</v>
      </c>
      <c r="M152" s="1">
        <f>M88</f>
        <v>220</v>
      </c>
      <c r="N152" s="1">
        <f>N88</f>
        <v>450</v>
      </c>
      <c r="O152" s="1">
        <f>O88</f>
        <v>450</v>
      </c>
      <c r="P152" s="1">
        <f>P88</f>
        <v>450</v>
      </c>
    </row>
    <row r="153" spans="4:16" ht="20.100000000000001" customHeight="1" x14ac:dyDescent="0.25">
      <c r="D153" s="54" t="s">
        <v>386</v>
      </c>
      <c r="E153" s="1" t="str">
        <f>E89</f>
        <v>n/a</v>
      </c>
      <c r="F153" s="1" t="str">
        <f>F89</f>
        <v>Winter</v>
      </c>
      <c r="G153" s="1">
        <f>G89</f>
        <v>280</v>
      </c>
      <c r="H153" s="1">
        <f>H89</f>
        <v>560</v>
      </c>
      <c r="I153" s="1">
        <f>I89</f>
        <v>260</v>
      </c>
      <c r="J153" s="1">
        <f>J89</f>
        <v>410</v>
      </c>
      <c r="K153" s="1">
        <f>K89</f>
        <v>500</v>
      </c>
      <c r="L153" s="1">
        <f>L89</f>
        <v>500</v>
      </c>
      <c r="M153" s="1">
        <f>M89</f>
        <v>260</v>
      </c>
      <c r="N153" s="1">
        <f>N89</f>
        <v>460</v>
      </c>
      <c r="O153" s="1">
        <f>O89</f>
        <v>460</v>
      </c>
      <c r="P153" s="1">
        <f>P89</f>
        <v>460</v>
      </c>
    </row>
    <row r="154" spans="4:16" ht="20.100000000000001" customHeight="1" x14ac:dyDescent="0.25">
      <c r="D154" s="37" t="s">
        <v>8</v>
      </c>
      <c r="E154" s="37" t="s">
        <v>182</v>
      </c>
      <c r="F154" s="37" t="s">
        <v>183</v>
      </c>
      <c r="G154" s="37" t="s">
        <v>202</v>
      </c>
      <c r="H154" s="37" t="s">
        <v>191</v>
      </c>
      <c r="I154" s="37" t="s">
        <v>223</v>
      </c>
      <c r="J154" s="37" t="s">
        <v>187</v>
      </c>
      <c r="K154" s="37" t="s">
        <v>224</v>
      </c>
      <c r="L154" s="37" t="s">
        <v>196</v>
      </c>
      <c r="M154" s="37" t="s">
        <v>225</v>
      </c>
    </row>
    <row r="155" spans="4:16" ht="20.100000000000001" customHeight="1" x14ac:dyDescent="0.25">
      <c r="D155" s="37" t="s">
        <v>464</v>
      </c>
      <c r="E155" s="37" t="s">
        <v>201</v>
      </c>
      <c r="F155" s="37" t="s">
        <v>172</v>
      </c>
      <c r="G155" s="37">
        <v>0.5</v>
      </c>
      <c r="H155" s="37">
        <v>0.2</v>
      </c>
      <c r="I155" s="37">
        <v>0.5</v>
      </c>
      <c r="J155" s="37">
        <v>0.4</v>
      </c>
      <c r="K155" s="37">
        <v>0.3</v>
      </c>
      <c r="L155" s="37">
        <v>0.5</v>
      </c>
      <c r="M155" s="37">
        <v>0.4</v>
      </c>
    </row>
    <row r="156" spans="4:16" ht="20.100000000000001" customHeight="1" x14ac:dyDescent="0.25">
      <c r="D156" s="1" t="s">
        <v>464</v>
      </c>
      <c r="E156" s="37" t="s">
        <v>201</v>
      </c>
      <c r="F156" s="37" t="s">
        <v>173</v>
      </c>
      <c r="G156" s="37">
        <v>1</v>
      </c>
      <c r="H156" s="37">
        <v>0.4</v>
      </c>
      <c r="I156" s="37">
        <v>0.9</v>
      </c>
      <c r="J156" s="37">
        <v>0.7</v>
      </c>
      <c r="K156" s="37">
        <v>0.3</v>
      </c>
      <c r="L156" s="37">
        <v>0.9</v>
      </c>
      <c r="M156" s="37">
        <v>0.4</v>
      </c>
    </row>
    <row r="157" spans="4:16" ht="20.100000000000001" customHeight="1" x14ac:dyDescent="0.25">
      <c r="D157" s="1" t="s">
        <v>464</v>
      </c>
      <c r="E157" s="37" t="s">
        <v>201</v>
      </c>
      <c r="F157" s="37" t="s">
        <v>174</v>
      </c>
      <c r="G157" s="37">
        <v>0.8</v>
      </c>
      <c r="H157" s="37">
        <v>0.3</v>
      </c>
      <c r="I157" s="37">
        <v>0.7</v>
      </c>
      <c r="J157" s="37">
        <v>0.3</v>
      </c>
      <c r="K157" s="37">
        <v>0.2</v>
      </c>
      <c r="L157" s="37">
        <v>0.7</v>
      </c>
      <c r="M157" s="37">
        <v>0.3</v>
      </c>
    </row>
    <row r="158" spans="4:16" ht="20.100000000000001" customHeight="1" x14ac:dyDescent="0.25">
      <c r="D158" s="1" t="s">
        <v>464</v>
      </c>
      <c r="E158" s="37" t="s">
        <v>201</v>
      </c>
      <c r="F158" s="37" t="s">
        <v>175</v>
      </c>
      <c r="G158" s="37">
        <v>0.4</v>
      </c>
      <c r="H158" s="37">
        <v>0.1</v>
      </c>
      <c r="I158" s="37">
        <v>0.4</v>
      </c>
      <c r="J158" s="37">
        <v>0.2</v>
      </c>
      <c r="K158" s="37">
        <v>0.1</v>
      </c>
      <c r="L158" s="37">
        <v>0.4</v>
      </c>
      <c r="M158" s="37">
        <v>0.1</v>
      </c>
    </row>
    <row r="159" spans="4:16" ht="20.100000000000001" customHeight="1" x14ac:dyDescent="0.25">
      <c r="D159" s="1" t="s">
        <v>465</v>
      </c>
      <c r="E159" s="37" t="s">
        <v>201</v>
      </c>
      <c r="F159" s="37" t="s">
        <v>172</v>
      </c>
      <c r="G159" s="37">
        <v>0.99</v>
      </c>
      <c r="H159" s="37">
        <v>1.1000000000000001</v>
      </c>
      <c r="I159" s="37">
        <v>0.88</v>
      </c>
      <c r="J159" s="37">
        <v>0.55000000000000004</v>
      </c>
      <c r="K159" s="37">
        <v>0.55000000000000004</v>
      </c>
      <c r="L159" s="37">
        <v>0.88</v>
      </c>
      <c r="M159" s="37">
        <v>0.22</v>
      </c>
    </row>
    <row r="160" spans="4:16" ht="20.100000000000001" customHeight="1" x14ac:dyDescent="0.25">
      <c r="D160" s="1" t="s">
        <v>465</v>
      </c>
      <c r="E160" s="37" t="s">
        <v>201</v>
      </c>
      <c r="F160" s="37" t="s">
        <v>173</v>
      </c>
      <c r="G160" s="37">
        <v>0.77</v>
      </c>
      <c r="H160" s="37">
        <v>0</v>
      </c>
      <c r="I160" s="37">
        <v>0.66</v>
      </c>
      <c r="J160" s="37">
        <v>0.22</v>
      </c>
      <c r="K160" s="37">
        <v>0</v>
      </c>
      <c r="L160" s="37">
        <v>0.66</v>
      </c>
      <c r="M160" s="37">
        <v>0</v>
      </c>
    </row>
    <row r="161" spans="4:13" ht="20.100000000000001" customHeight="1" x14ac:dyDescent="0.25">
      <c r="D161" s="1" t="s">
        <v>465</v>
      </c>
      <c r="E161" s="37" t="s">
        <v>201</v>
      </c>
      <c r="F161" s="37" t="s">
        <v>174</v>
      </c>
      <c r="G161" s="37">
        <v>0.9</v>
      </c>
      <c r="H161" s="37">
        <v>-1.1000000000000001</v>
      </c>
      <c r="I161" s="37">
        <v>0.7</v>
      </c>
      <c r="J161" s="37">
        <v>0.22</v>
      </c>
      <c r="K161" s="37">
        <v>-0.55000000000000004</v>
      </c>
      <c r="L161" s="37">
        <v>0.8</v>
      </c>
      <c r="M161" s="37">
        <v>-0.22</v>
      </c>
    </row>
    <row r="162" spans="4:13" ht="20.100000000000001" customHeight="1" x14ac:dyDescent="0.25">
      <c r="D162" s="1" t="s">
        <v>465</v>
      </c>
      <c r="E162" s="37" t="s">
        <v>201</v>
      </c>
      <c r="F162" s="37" t="s">
        <v>175</v>
      </c>
      <c r="G162" s="37">
        <v>0.88</v>
      </c>
      <c r="H162" s="37">
        <v>0</v>
      </c>
      <c r="I162" s="37">
        <v>0.77</v>
      </c>
      <c r="J162" s="37">
        <v>0.55000000000000004</v>
      </c>
      <c r="K162" s="37">
        <v>0</v>
      </c>
      <c r="L162" s="37">
        <v>0.82</v>
      </c>
      <c r="M162" s="37">
        <v>0</v>
      </c>
    </row>
    <row r="163" spans="4:13" ht="20.100000000000001" customHeight="1" x14ac:dyDescent="0.25">
      <c r="D163" s="1" t="s">
        <v>466</v>
      </c>
      <c r="E163" s="37" t="s">
        <v>201</v>
      </c>
      <c r="F163" s="37" t="s">
        <v>172</v>
      </c>
      <c r="G163" s="37">
        <v>1</v>
      </c>
      <c r="H163" s="37">
        <v>0.5</v>
      </c>
      <c r="I163" s="37">
        <v>1</v>
      </c>
      <c r="J163" s="37">
        <v>1</v>
      </c>
      <c r="K163" s="37">
        <v>-0.44</v>
      </c>
      <c r="L163" s="37">
        <v>1</v>
      </c>
      <c r="M163" s="37">
        <v>0.5</v>
      </c>
    </row>
    <row r="164" spans="4:13" ht="20.100000000000001" customHeight="1" x14ac:dyDescent="0.25">
      <c r="D164" s="1" t="s">
        <v>466</v>
      </c>
      <c r="E164" s="37" t="s">
        <v>201</v>
      </c>
      <c r="F164" s="37" t="s">
        <v>173</v>
      </c>
      <c r="G164" s="37">
        <v>0.82</v>
      </c>
      <c r="H164" s="37">
        <v>0.55000000000000004</v>
      </c>
      <c r="I164" s="37">
        <v>0.71</v>
      </c>
      <c r="J164" s="37">
        <v>0.55000000000000004</v>
      </c>
      <c r="K164" s="37">
        <v>0.99</v>
      </c>
      <c r="L164" s="37">
        <v>0.77</v>
      </c>
      <c r="M164" s="37">
        <v>0.5</v>
      </c>
    </row>
    <row r="165" spans="4:13" ht="20.100000000000001" customHeight="1" x14ac:dyDescent="0.25">
      <c r="D165" s="1" t="s">
        <v>466</v>
      </c>
      <c r="E165" s="37" t="s">
        <v>201</v>
      </c>
      <c r="F165" s="37" t="s">
        <v>174</v>
      </c>
      <c r="G165" s="37">
        <v>0.77</v>
      </c>
      <c r="H165" s="37">
        <v>0.5</v>
      </c>
      <c r="I165" s="37">
        <v>0.55000000000000004</v>
      </c>
      <c r="J165" s="37">
        <v>0.11</v>
      </c>
      <c r="K165" s="37">
        <v>-0.33</v>
      </c>
      <c r="L165" s="37">
        <v>0.6</v>
      </c>
      <c r="M165" s="37">
        <v>0.33</v>
      </c>
    </row>
    <row r="166" spans="4:13" x14ac:dyDescent="0.25">
      <c r="D166" s="1" t="s">
        <v>466</v>
      </c>
      <c r="E166" s="37" t="s">
        <v>201</v>
      </c>
      <c r="F166" s="37" t="s">
        <v>175</v>
      </c>
      <c r="G166" s="37">
        <v>0.11</v>
      </c>
      <c r="H166" s="37">
        <v>-0.27</v>
      </c>
      <c r="I166" s="37">
        <v>0.11</v>
      </c>
      <c r="J166" s="37">
        <v>0.22</v>
      </c>
      <c r="K166" s="37">
        <v>-0.44</v>
      </c>
      <c r="L166" s="37">
        <v>0.16</v>
      </c>
      <c r="M166" s="37">
        <v>-0.22</v>
      </c>
    </row>
    <row r="167" spans="4:13" x14ac:dyDescent="0.25">
      <c r="D167" s="1" t="s">
        <v>467</v>
      </c>
      <c r="E167" s="37" t="s">
        <v>201</v>
      </c>
      <c r="F167" s="37" t="s">
        <v>172</v>
      </c>
      <c r="G167" s="37">
        <v>1.1000000000000001</v>
      </c>
      <c r="H167" s="37">
        <v>1.1000000000000001</v>
      </c>
      <c r="I167" s="37">
        <v>1.1000000000000001</v>
      </c>
      <c r="J167" s="37">
        <v>0.99</v>
      </c>
      <c r="K167" s="37">
        <v>0.99</v>
      </c>
      <c r="L167" s="37">
        <v>1.1000000000000001</v>
      </c>
      <c r="M167" s="37">
        <v>0.77</v>
      </c>
    </row>
    <row r="168" spans="4:13" x14ac:dyDescent="0.25">
      <c r="D168" s="1" t="s">
        <v>467</v>
      </c>
      <c r="E168" s="37" t="s">
        <v>201</v>
      </c>
      <c r="F168" s="37" t="s">
        <v>173</v>
      </c>
      <c r="G168" s="37">
        <v>0.33</v>
      </c>
      <c r="H168" s="37">
        <v>0.33</v>
      </c>
      <c r="I168" s="37">
        <v>0.22</v>
      </c>
      <c r="J168" s="37">
        <v>0.33</v>
      </c>
      <c r="K168" s="37">
        <v>-0.1</v>
      </c>
      <c r="L168" s="37">
        <v>0.33</v>
      </c>
      <c r="M168" s="37">
        <v>0.11</v>
      </c>
    </row>
    <row r="169" spans="4:13" x14ac:dyDescent="0.25">
      <c r="D169" s="1" t="s">
        <v>467</v>
      </c>
      <c r="E169" s="37" t="s">
        <v>201</v>
      </c>
      <c r="F169" s="37" t="s">
        <v>174</v>
      </c>
      <c r="G169" s="37">
        <v>0.5</v>
      </c>
      <c r="H169" s="37">
        <v>0.2</v>
      </c>
      <c r="I169" s="37">
        <v>0.55000000000000004</v>
      </c>
      <c r="J169" s="37">
        <v>0.44</v>
      </c>
      <c r="K169" s="37">
        <v>0.2</v>
      </c>
      <c r="L169" s="37">
        <v>0.55000000000000004</v>
      </c>
      <c r="M169" s="37">
        <v>0.2</v>
      </c>
    </row>
    <row r="170" spans="4:13" x14ac:dyDescent="0.25">
      <c r="D170" s="1" t="s">
        <v>467</v>
      </c>
      <c r="E170" s="37" t="s">
        <v>201</v>
      </c>
      <c r="F170" s="37" t="s">
        <v>175</v>
      </c>
      <c r="G170" s="37">
        <v>0.55000000000000004</v>
      </c>
      <c r="H170" s="37">
        <v>0.22</v>
      </c>
      <c r="I170" s="37">
        <v>0.49</v>
      </c>
      <c r="J170" s="37">
        <v>0.22</v>
      </c>
      <c r="K170" s="37">
        <v>0.22</v>
      </c>
      <c r="L170" s="37">
        <v>0.49</v>
      </c>
      <c r="M170" s="37">
        <v>0.33</v>
      </c>
    </row>
    <row r="171" spans="4:13" x14ac:dyDescent="0.25">
      <c r="D171" s="1" t="s">
        <v>217</v>
      </c>
      <c r="E171" s="37" t="s">
        <v>208</v>
      </c>
      <c r="F171" s="37" t="s">
        <v>172</v>
      </c>
      <c r="G171" s="37">
        <v>1.64</v>
      </c>
      <c r="H171" s="37">
        <v>1.1000000000000001</v>
      </c>
      <c r="I171" s="37">
        <v>1.21</v>
      </c>
      <c r="J171" s="37">
        <v>0.99</v>
      </c>
      <c r="K171" s="37">
        <v>0.66</v>
      </c>
      <c r="L171" s="37">
        <v>1.42</v>
      </c>
      <c r="M171" s="37">
        <v>1.1000000000000001</v>
      </c>
    </row>
    <row r="172" spans="4:13" x14ac:dyDescent="0.25">
      <c r="D172" s="1" t="s">
        <v>217</v>
      </c>
      <c r="E172" s="37" t="s">
        <v>208</v>
      </c>
      <c r="F172" s="37" t="s">
        <v>173</v>
      </c>
      <c r="G172" s="37">
        <v>0.44</v>
      </c>
      <c r="H172" s="37">
        <v>-0.22</v>
      </c>
      <c r="I172" s="37">
        <v>0.44</v>
      </c>
      <c r="J172" s="37">
        <v>0.33</v>
      </c>
      <c r="K172" s="37">
        <v>-0.22</v>
      </c>
      <c r="L172" s="37">
        <v>0.44</v>
      </c>
      <c r="M172" s="37">
        <v>-0.11</v>
      </c>
    </row>
    <row r="173" spans="4:13" x14ac:dyDescent="0.25">
      <c r="D173" s="1" t="s">
        <v>217</v>
      </c>
      <c r="E173" s="37" t="s">
        <v>208</v>
      </c>
      <c r="F173" s="37" t="s">
        <v>174</v>
      </c>
      <c r="G173" s="37">
        <v>0.6</v>
      </c>
      <c r="H173" s="37">
        <v>0</v>
      </c>
      <c r="I173" s="37">
        <v>0.6</v>
      </c>
      <c r="J173" s="37">
        <v>0.22</v>
      </c>
      <c r="K173" s="37">
        <v>-0.55000000000000004</v>
      </c>
      <c r="L173" s="37">
        <v>0.6</v>
      </c>
      <c r="M173" s="37">
        <v>0</v>
      </c>
    </row>
    <row r="174" spans="4:13" x14ac:dyDescent="0.25">
      <c r="D174" s="1" t="s">
        <v>217</v>
      </c>
      <c r="E174" s="37" t="s">
        <v>208</v>
      </c>
      <c r="F174" s="37" t="s">
        <v>175</v>
      </c>
      <c r="G174" s="37">
        <v>0.99</v>
      </c>
      <c r="H174" s="37">
        <v>0.22</v>
      </c>
      <c r="I174" s="37">
        <v>0.77</v>
      </c>
      <c r="J174" s="37">
        <v>0.11</v>
      </c>
      <c r="K174" s="37">
        <v>0.11</v>
      </c>
      <c r="L174" s="37">
        <v>0.77</v>
      </c>
      <c r="M174" s="37">
        <v>0.44</v>
      </c>
    </row>
    <row r="175" spans="4:13" x14ac:dyDescent="0.25">
      <c r="D175" s="1" t="s">
        <v>217</v>
      </c>
      <c r="E175" s="37" t="s">
        <v>209</v>
      </c>
      <c r="F175" s="37" t="s">
        <v>172</v>
      </c>
      <c r="G175" s="37">
        <v>0.7</v>
      </c>
      <c r="H175" s="37">
        <v>-0.55000000000000004</v>
      </c>
      <c r="I175" s="37">
        <v>0.7</v>
      </c>
      <c r="J175" s="37">
        <v>0.22</v>
      </c>
      <c r="K175" s="37">
        <v>-0.22</v>
      </c>
      <c r="L175" s="37">
        <v>0.7</v>
      </c>
      <c r="M175" s="37">
        <v>-0.22</v>
      </c>
    </row>
    <row r="176" spans="4:13" x14ac:dyDescent="0.25">
      <c r="D176" s="1" t="s">
        <v>217</v>
      </c>
      <c r="E176" s="37" t="s">
        <v>209</v>
      </c>
      <c r="F176" s="37" t="s">
        <v>173</v>
      </c>
      <c r="G176" s="37">
        <v>0.77</v>
      </c>
      <c r="H176" s="37">
        <v>0.55000000000000004</v>
      </c>
      <c r="I176" s="37">
        <v>0.77</v>
      </c>
      <c r="J176" s="37">
        <v>0.66</v>
      </c>
      <c r="K176" s="37">
        <v>0.55000000000000004</v>
      </c>
      <c r="L176" s="37">
        <v>0.77</v>
      </c>
      <c r="M176" s="37">
        <v>0.33</v>
      </c>
    </row>
    <row r="177" spans="4:16" x14ac:dyDescent="0.25">
      <c r="D177" s="1" t="s">
        <v>217</v>
      </c>
      <c r="E177" s="37" t="s">
        <v>209</v>
      </c>
      <c r="F177" s="37" t="s">
        <v>174</v>
      </c>
      <c r="G177" s="37">
        <v>0.88</v>
      </c>
      <c r="H177" s="37">
        <v>0.55000000000000004</v>
      </c>
      <c r="I177" s="37">
        <v>0.88</v>
      </c>
      <c r="J177" s="37">
        <v>0.22</v>
      </c>
      <c r="K177" s="37">
        <v>0.22</v>
      </c>
      <c r="L177" s="37">
        <v>0.88</v>
      </c>
      <c r="M177" s="37">
        <v>0.22</v>
      </c>
    </row>
    <row r="178" spans="4:16" x14ac:dyDescent="0.25">
      <c r="D178" s="1" t="s">
        <v>217</v>
      </c>
      <c r="E178" s="37" t="s">
        <v>209</v>
      </c>
      <c r="F178" s="37" t="s">
        <v>175</v>
      </c>
      <c r="G178" s="37">
        <v>0.22</v>
      </c>
      <c r="H178" s="37">
        <v>-0.55000000000000004</v>
      </c>
      <c r="I178" s="37">
        <v>0.22</v>
      </c>
      <c r="J178" s="37">
        <v>0.11</v>
      </c>
      <c r="K178" s="37">
        <v>-0.22</v>
      </c>
      <c r="L178" s="37">
        <v>0.22</v>
      </c>
      <c r="M178" s="37">
        <v>-0.33</v>
      </c>
    </row>
    <row r="179" spans="4:16" x14ac:dyDescent="0.25">
      <c r="D179" s="1" t="s">
        <v>217</v>
      </c>
      <c r="E179" s="37" t="s">
        <v>204</v>
      </c>
      <c r="F179" s="37" t="s">
        <v>172</v>
      </c>
      <c r="G179" s="37">
        <v>0.22</v>
      </c>
      <c r="H179" s="37">
        <v>-0.55000000000000004</v>
      </c>
      <c r="I179" s="37">
        <v>0.33</v>
      </c>
      <c r="J179" s="37">
        <v>0.22</v>
      </c>
      <c r="K179" s="37">
        <v>-0.33</v>
      </c>
      <c r="L179" s="37">
        <v>0.22</v>
      </c>
      <c r="M179" s="37">
        <v>-0.55000000000000004</v>
      </c>
    </row>
    <row r="180" spans="4:16" x14ac:dyDescent="0.25">
      <c r="D180" s="1" t="s">
        <v>217</v>
      </c>
      <c r="E180" s="37" t="s">
        <v>204</v>
      </c>
      <c r="F180" s="37" t="s">
        <v>173</v>
      </c>
      <c r="G180" s="37">
        <v>0.8</v>
      </c>
      <c r="H180" s="37">
        <v>0.55000000000000004</v>
      </c>
      <c r="I180" s="37">
        <v>0.7</v>
      </c>
      <c r="J180" s="37">
        <v>0.44</v>
      </c>
      <c r="K180" s="37">
        <v>0.66</v>
      </c>
      <c r="L180" s="37">
        <v>0.8</v>
      </c>
      <c r="M180" s="37">
        <v>0.55000000000000004</v>
      </c>
    </row>
    <row r="181" spans="4:16" x14ac:dyDescent="0.25">
      <c r="D181" s="1" t="s">
        <v>217</v>
      </c>
      <c r="E181" s="37" t="s">
        <v>204</v>
      </c>
      <c r="F181" s="37" t="s">
        <v>174</v>
      </c>
      <c r="G181" s="37">
        <v>0.66</v>
      </c>
      <c r="H181" s="37">
        <v>0.55000000000000004</v>
      </c>
      <c r="I181" s="37">
        <v>0.55000000000000004</v>
      </c>
      <c r="J181" s="37">
        <v>0.55000000000000004</v>
      </c>
      <c r="K181" s="37">
        <v>0.11</v>
      </c>
      <c r="L181" s="37">
        <v>0.66</v>
      </c>
      <c r="M181" s="37">
        <v>0.55000000000000004</v>
      </c>
    </row>
    <row r="182" spans="4:16" x14ac:dyDescent="0.25">
      <c r="D182" s="1" t="s">
        <v>217</v>
      </c>
      <c r="E182" s="37" t="s">
        <v>204</v>
      </c>
      <c r="F182" s="37" t="s">
        <v>175</v>
      </c>
      <c r="G182" s="37">
        <v>0.33</v>
      </c>
      <c r="H182" s="37">
        <v>-0.55000000000000004</v>
      </c>
      <c r="I182" s="37">
        <v>0.11</v>
      </c>
      <c r="J182" s="37">
        <v>0.11</v>
      </c>
      <c r="K182" s="37">
        <v>-0.44</v>
      </c>
      <c r="L182" s="37">
        <v>0.33</v>
      </c>
      <c r="M182" s="37">
        <v>-0.55000000000000004</v>
      </c>
    </row>
    <row r="183" spans="4:16" x14ac:dyDescent="0.25">
      <c r="M183" s="1"/>
    </row>
    <row r="184" spans="4:16" x14ac:dyDescent="0.25">
      <c r="M184" s="1"/>
    </row>
    <row r="185" spans="4:16" ht="23.25" x14ac:dyDescent="0.25">
      <c r="D185" s="6" t="s">
        <v>476</v>
      </c>
      <c r="M185" s="1"/>
    </row>
    <row r="186" spans="4:16" x14ac:dyDescent="0.25">
      <c r="D186" s="5" t="s">
        <v>477</v>
      </c>
      <c r="M186" s="1"/>
    </row>
    <row r="187" spans="4:16" x14ac:dyDescent="0.25">
      <c r="D187" s="1" t="s">
        <v>475</v>
      </c>
      <c r="M187" s="1"/>
    </row>
    <row r="188" spans="4:16" x14ac:dyDescent="0.25">
      <c r="D188" s="54" t="s">
        <v>386</v>
      </c>
      <c r="M188" s="1"/>
    </row>
    <row r="189" spans="4:16" x14ac:dyDescent="0.25">
      <c r="D189" s="37" t="s">
        <v>8</v>
      </c>
      <c r="E189" s="37" t="s">
        <v>182</v>
      </c>
      <c r="F189" s="37" t="s">
        <v>183</v>
      </c>
      <c r="G189" s="37" t="s">
        <v>202</v>
      </c>
      <c r="H189" s="37" t="s">
        <v>191</v>
      </c>
      <c r="I189" s="37" t="s">
        <v>223</v>
      </c>
      <c r="J189" s="37" t="s">
        <v>187</v>
      </c>
      <c r="K189" s="37" t="s">
        <v>226</v>
      </c>
      <c r="L189" s="37" t="s">
        <v>227</v>
      </c>
      <c r="M189" s="37" t="s">
        <v>196</v>
      </c>
      <c r="N189" s="37" t="s">
        <v>197</v>
      </c>
      <c r="O189" s="37" t="s">
        <v>198</v>
      </c>
      <c r="P189" s="37" t="s">
        <v>199</v>
      </c>
    </row>
    <row r="190" spans="4:16" x14ac:dyDescent="0.25">
      <c r="D190" s="37" t="s">
        <v>470</v>
      </c>
      <c r="E190" s="37" t="s">
        <v>210</v>
      </c>
      <c r="F190" s="37" t="s">
        <v>172</v>
      </c>
      <c r="G190" s="37">
        <v>0.22</v>
      </c>
      <c r="H190" s="37">
        <v>-0.23</v>
      </c>
      <c r="I190" s="37">
        <v>0.25</v>
      </c>
      <c r="J190" s="37">
        <v>0.17</v>
      </c>
      <c r="K190" s="37">
        <v>0.18</v>
      </c>
      <c r="L190" s="37">
        <v>-0.28000000000000003</v>
      </c>
      <c r="M190" s="37">
        <v>0.32</v>
      </c>
      <c r="N190" s="37">
        <v>0.24</v>
      </c>
      <c r="O190" s="37">
        <v>0.25</v>
      </c>
      <c r="P190" s="37">
        <v>-0.05</v>
      </c>
    </row>
    <row r="191" spans="4:16" x14ac:dyDescent="0.25">
      <c r="D191" s="1" t="s">
        <v>470</v>
      </c>
      <c r="E191" s="37" t="s">
        <v>210</v>
      </c>
      <c r="F191" s="37" t="s">
        <v>173</v>
      </c>
      <c r="G191" s="37">
        <v>0.66</v>
      </c>
      <c r="H191" s="37">
        <v>0.2</v>
      </c>
      <c r="I191" s="37">
        <v>0.62</v>
      </c>
      <c r="J191" s="37">
        <v>0.54</v>
      </c>
      <c r="K191" s="37">
        <v>0.38</v>
      </c>
      <c r="L191" s="37">
        <v>0.27</v>
      </c>
      <c r="M191" s="37">
        <v>0.75</v>
      </c>
      <c r="N191" s="37">
        <v>0.64</v>
      </c>
      <c r="O191" s="37">
        <v>0.55000000000000004</v>
      </c>
      <c r="P191" s="37">
        <v>0.48</v>
      </c>
    </row>
    <row r="192" spans="4:16" x14ac:dyDescent="0.25">
      <c r="D192" s="1" t="s">
        <v>470</v>
      </c>
      <c r="E192" s="37" t="s">
        <v>210</v>
      </c>
      <c r="F192" s="37" t="s">
        <v>174</v>
      </c>
      <c r="G192" s="37">
        <v>0.49</v>
      </c>
      <c r="H192" s="37">
        <v>0.13</v>
      </c>
      <c r="I192" s="37">
        <v>0.54</v>
      </c>
      <c r="J192" s="37">
        <v>0.45</v>
      </c>
      <c r="K192" s="37">
        <v>0.35</v>
      </c>
      <c r="L192" s="37">
        <v>0.15</v>
      </c>
      <c r="M192" s="37">
        <v>0.63</v>
      </c>
      <c r="N192" s="37">
        <v>0.54</v>
      </c>
      <c r="O192" s="37">
        <v>0.42</v>
      </c>
      <c r="P192" s="37">
        <v>0.26</v>
      </c>
    </row>
    <row r="193" spans="4:16" x14ac:dyDescent="0.25">
      <c r="D193" s="1" t="s">
        <v>470</v>
      </c>
      <c r="E193" s="37" t="s">
        <v>210</v>
      </c>
      <c r="F193" s="37" t="s">
        <v>175</v>
      </c>
      <c r="G193" s="37">
        <v>0.27</v>
      </c>
      <c r="H193" s="37">
        <v>-0.8</v>
      </c>
      <c r="I193" s="37">
        <v>0.22</v>
      </c>
      <c r="J193" s="37">
        <v>0.09</v>
      </c>
      <c r="K193" s="37">
        <v>0.12</v>
      </c>
      <c r="L193" s="37">
        <v>0.02</v>
      </c>
      <c r="M193" s="37">
        <v>0.25</v>
      </c>
      <c r="N193" s="37">
        <v>0.18</v>
      </c>
      <c r="O193" s="37">
        <v>0.12</v>
      </c>
      <c r="P193" s="37">
        <v>0.03</v>
      </c>
    </row>
    <row r="194" spans="4:16" x14ac:dyDescent="0.25">
      <c r="D194" s="1" t="s">
        <v>470</v>
      </c>
      <c r="E194" s="37" t="s">
        <v>211</v>
      </c>
      <c r="F194" s="37" t="s">
        <v>172</v>
      </c>
      <c r="G194" s="37">
        <v>0.22</v>
      </c>
      <c r="H194" s="37">
        <v>-0.44</v>
      </c>
      <c r="I194" s="37">
        <v>0.2</v>
      </c>
      <c r="J194" s="37">
        <v>0.21</v>
      </c>
      <c r="K194" s="37">
        <v>0.18</v>
      </c>
      <c r="L194" s="37">
        <v>0.01</v>
      </c>
      <c r="M194" s="37">
        <v>0.12</v>
      </c>
      <c r="N194" s="37">
        <v>0.09</v>
      </c>
      <c r="O194" s="37" t="s">
        <v>471</v>
      </c>
      <c r="P194" s="37" t="s">
        <v>471</v>
      </c>
    </row>
    <row r="195" spans="4:16" x14ac:dyDescent="0.25">
      <c r="D195" s="1" t="s">
        <v>470</v>
      </c>
      <c r="E195" s="37" t="s">
        <v>211</v>
      </c>
      <c r="F195" s="37" t="s">
        <v>173</v>
      </c>
      <c r="G195" s="37">
        <v>0.66</v>
      </c>
      <c r="H195" s="37">
        <v>0.22</v>
      </c>
      <c r="I195" s="37">
        <v>0.68</v>
      </c>
      <c r="J195" s="37">
        <v>0.22</v>
      </c>
      <c r="K195" s="37">
        <v>0.24</v>
      </c>
      <c r="L195" s="37">
        <v>0.25</v>
      </c>
      <c r="M195" s="37">
        <v>0.64</v>
      </c>
      <c r="N195" s="37">
        <v>0.37</v>
      </c>
      <c r="O195" s="37" t="s">
        <v>471</v>
      </c>
      <c r="P195" s="37" t="s">
        <v>471</v>
      </c>
    </row>
    <row r="196" spans="4:16" x14ac:dyDescent="0.25">
      <c r="D196" s="1" t="s">
        <v>470</v>
      </c>
      <c r="E196" s="37" t="s">
        <v>211</v>
      </c>
      <c r="F196" s="37" t="s">
        <v>174</v>
      </c>
      <c r="G196" s="37">
        <v>0.49</v>
      </c>
      <c r="H196" s="37">
        <v>0.05</v>
      </c>
      <c r="I196" s="37">
        <v>0.64</v>
      </c>
      <c r="J196" s="37">
        <v>0.25</v>
      </c>
      <c r="K196" s="37">
        <v>0.28999999999999998</v>
      </c>
      <c r="L196" s="37">
        <v>0.12</v>
      </c>
      <c r="M196" s="37">
        <v>0.56999999999999995</v>
      </c>
      <c r="N196" s="37">
        <v>0.49</v>
      </c>
      <c r="O196" s="37" t="s">
        <v>471</v>
      </c>
      <c r="P196" s="37" t="s">
        <v>471</v>
      </c>
    </row>
    <row r="197" spans="4:16" x14ac:dyDescent="0.25">
      <c r="D197" s="1" t="s">
        <v>470</v>
      </c>
      <c r="E197" s="37" t="s">
        <v>211</v>
      </c>
      <c r="F197" s="37" t="s">
        <v>175</v>
      </c>
      <c r="G197" s="37">
        <v>0.27</v>
      </c>
      <c r="H197" s="37">
        <v>-0.27</v>
      </c>
      <c r="I197" s="37">
        <v>0.31</v>
      </c>
      <c r="J197" s="37">
        <v>0.28999999999999998</v>
      </c>
      <c r="K197" s="37">
        <v>0.19</v>
      </c>
      <c r="L197" s="37">
        <v>0.04</v>
      </c>
      <c r="M197" s="37">
        <v>0.26</v>
      </c>
      <c r="N197" s="37">
        <v>0.28000000000000003</v>
      </c>
      <c r="O197" s="37" t="s">
        <v>471</v>
      </c>
      <c r="P197" s="37" t="s">
        <v>471</v>
      </c>
    </row>
    <row r="198" spans="4:16" x14ac:dyDescent="0.25">
      <c r="D198" s="1" t="s">
        <v>470</v>
      </c>
      <c r="E198" s="37" t="s">
        <v>212</v>
      </c>
      <c r="F198" s="37" t="s">
        <v>172</v>
      </c>
      <c r="G198" s="37">
        <v>0.22</v>
      </c>
      <c r="H198" s="37">
        <v>-0.44</v>
      </c>
      <c r="I198" s="37">
        <v>0</v>
      </c>
      <c r="J198" s="37">
        <v>0.15</v>
      </c>
      <c r="K198" s="37">
        <v>0.08</v>
      </c>
      <c r="L198" s="37">
        <v>0.17</v>
      </c>
      <c r="M198" s="37">
        <v>0.06</v>
      </c>
      <c r="N198" s="37">
        <v>0.02</v>
      </c>
      <c r="O198" s="37">
        <v>-0.14000000000000001</v>
      </c>
      <c r="P198" s="37" t="s">
        <v>471</v>
      </c>
    </row>
    <row r="199" spans="4:16" x14ac:dyDescent="0.25">
      <c r="D199" s="1" t="s">
        <v>470</v>
      </c>
      <c r="E199" s="37" t="s">
        <v>212</v>
      </c>
      <c r="F199" s="37" t="s">
        <v>173</v>
      </c>
      <c r="G199" s="37">
        <v>0.66</v>
      </c>
      <c r="H199" s="37">
        <v>0.22</v>
      </c>
      <c r="I199" s="37">
        <v>0.79</v>
      </c>
      <c r="J199" s="37">
        <v>0.4</v>
      </c>
      <c r="K199" s="37">
        <v>0.38</v>
      </c>
      <c r="L199" s="37">
        <v>0.27</v>
      </c>
      <c r="M199" s="37">
        <v>0.8</v>
      </c>
      <c r="N199" s="37">
        <v>0.16</v>
      </c>
      <c r="O199" s="37">
        <v>0.3</v>
      </c>
      <c r="P199" s="37" t="s">
        <v>471</v>
      </c>
    </row>
    <row r="200" spans="4:16" x14ac:dyDescent="0.25">
      <c r="D200" s="1" t="s">
        <v>470</v>
      </c>
      <c r="E200" s="37" t="s">
        <v>212</v>
      </c>
      <c r="F200" s="37" t="s">
        <v>174</v>
      </c>
      <c r="G200" s="37">
        <v>0.49</v>
      </c>
      <c r="H200" s="37">
        <v>0.05</v>
      </c>
      <c r="I200" s="37">
        <v>0.55000000000000004</v>
      </c>
      <c r="J200" s="37">
        <v>0.38</v>
      </c>
      <c r="K200" s="37">
        <v>0.36</v>
      </c>
      <c r="L200" s="37">
        <v>0.06</v>
      </c>
      <c r="M200" s="37">
        <v>0.57999999999999996</v>
      </c>
      <c r="N200" s="37">
        <v>0.23</v>
      </c>
      <c r="O200" s="37">
        <v>0.4</v>
      </c>
      <c r="P200" s="37" t="s">
        <v>471</v>
      </c>
    </row>
    <row r="201" spans="4:16" x14ac:dyDescent="0.25">
      <c r="D201" s="1" t="s">
        <v>470</v>
      </c>
      <c r="E201" s="37" t="s">
        <v>212</v>
      </c>
      <c r="F201" s="37" t="s">
        <v>175</v>
      </c>
      <c r="G201" s="37">
        <v>0.27</v>
      </c>
      <c r="H201" s="37">
        <v>-0.27</v>
      </c>
      <c r="I201" s="37">
        <v>0.02</v>
      </c>
      <c r="J201" s="37">
        <v>0.09</v>
      </c>
      <c r="K201" s="37">
        <v>0.16</v>
      </c>
      <c r="L201" s="37">
        <v>-0.04</v>
      </c>
      <c r="M201" s="37">
        <v>0.21</v>
      </c>
      <c r="N201" s="37">
        <v>0.03</v>
      </c>
      <c r="O201" s="37">
        <v>0.11</v>
      </c>
      <c r="P201" s="37" t="s">
        <v>471</v>
      </c>
    </row>
    <row r="202" spans="4:16" x14ac:dyDescent="0.25">
      <c r="D202" s="1" t="s">
        <v>472</v>
      </c>
      <c r="E202" s="37" t="s">
        <v>213</v>
      </c>
      <c r="F202" s="37" t="s">
        <v>172</v>
      </c>
      <c r="G202" s="37">
        <v>0.27</v>
      </c>
      <c r="H202" s="37">
        <v>-0.19</v>
      </c>
      <c r="I202" s="37">
        <v>0.38</v>
      </c>
      <c r="J202" s="37">
        <v>0.25</v>
      </c>
      <c r="K202" s="37">
        <v>7.0000000000000007E-2</v>
      </c>
      <c r="L202" s="37">
        <v>0.05</v>
      </c>
      <c r="M202" s="37">
        <v>0.52</v>
      </c>
      <c r="N202" s="37">
        <v>0.55000000000000004</v>
      </c>
      <c r="O202" s="37">
        <v>0.19</v>
      </c>
      <c r="P202" s="37">
        <v>0.6</v>
      </c>
    </row>
    <row r="203" spans="4:16" x14ac:dyDescent="0.25">
      <c r="D203" s="1" t="s">
        <v>472</v>
      </c>
      <c r="E203" s="37" t="s">
        <v>213</v>
      </c>
      <c r="F203" s="37" t="s">
        <v>173</v>
      </c>
      <c r="G203" s="37">
        <v>0.16</v>
      </c>
      <c r="H203" s="37">
        <v>0.16</v>
      </c>
      <c r="I203" s="37">
        <v>0.8</v>
      </c>
      <c r="J203" s="37">
        <v>0.56999999999999995</v>
      </c>
      <c r="K203" s="37">
        <v>0.76</v>
      </c>
      <c r="L203" s="37">
        <v>0.49</v>
      </c>
      <c r="M203" s="37">
        <v>0.84</v>
      </c>
      <c r="N203" s="37">
        <v>0.51</v>
      </c>
      <c r="O203" s="37">
        <v>0.36</v>
      </c>
      <c r="P203" s="37">
        <v>0.17</v>
      </c>
    </row>
    <row r="204" spans="4:16" x14ac:dyDescent="0.25">
      <c r="D204" s="1" t="s">
        <v>472</v>
      </c>
      <c r="E204" s="37" t="s">
        <v>213</v>
      </c>
      <c r="F204" s="37" t="s">
        <v>174</v>
      </c>
      <c r="G204" s="37">
        <v>0.45</v>
      </c>
      <c r="H204" s="37">
        <v>0.1</v>
      </c>
      <c r="I204" s="37">
        <v>0.49</v>
      </c>
      <c r="J204" s="37">
        <v>0.41</v>
      </c>
      <c r="K204" s="37">
        <v>0.4</v>
      </c>
      <c r="L204" s="37">
        <v>0.17</v>
      </c>
      <c r="M204" s="37">
        <v>0.54</v>
      </c>
      <c r="N204" s="37">
        <v>0.64</v>
      </c>
      <c r="O204" s="37">
        <v>-0.05</v>
      </c>
      <c r="P204" s="37">
        <v>0.32</v>
      </c>
    </row>
    <row r="205" spans="4:16" x14ac:dyDescent="0.25">
      <c r="D205" s="1" t="s">
        <v>472</v>
      </c>
      <c r="E205" s="37" t="s">
        <v>213</v>
      </c>
      <c r="F205" s="37" t="s">
        <v>175</v>
      </c>
      <c r="G205" s="37">
        <v>0.51</v>
      </c>
      <c r="H205" s="37">
        <v>-7.0000000000000007E-2</v>
      </c>
      <c r="I205" s="37">
        <v>0.13</v>
      </c>
      <c r="J205" s="37">
        <v>-0.09</v>
      </c>
      <c r="K205" s="37">
        <v>-0.13</v>
      </c>
      <c r="L205" s="37">
        <v>7.0000000000000007E-2</v>
      </c>
      <c r="M205" s="37">
        <v>0.25</v>
      </c>
      <c r="N205" s="37">
        <v>0.71</v>
      </c>
      <c r="O205" s="37">
        <v>0.17</v>
      </c>
      <c r="P205" s="37">
        <v>0.43</v>
      </c>
    </row>
    <row r="206" spans="4:16" x14ac:dyDescent="0.25">
      <c r="D206" s="1" t="s">
        <v>472</v>
      </c>
      <c r="E206" s="37" t="s">
        <v>214</v>
      </c>
      <c r="F206" s="37" t="s">
        <v>172</v>
      </c>
      <c r="G206" s="37">
        <v>-0.12</v>
      </c>
      <c r="H206" s="37">
        <v>-0.19</v>
      </c>
      <c r="I206" s="37">
        <v>0.41</v>
      </c>
      <c r="J206" s="37">
        <v>0.09</v>
      </c>
      <c r="K206" s="37">
        <v>0.41</v>
      </c>
      <c r="L206" s="37">
        <v>-0.19</v>
      </c>
      <c r="M206" s="37">
        <v>7.0000000000000007E-2</v>
      </c>
      <c r="N206" s="37">
        <v>1.07</v>
      </c>
      <c r="O206" s="37">
        <v>-0.08</v>
      </c>
      <c r="P206" s="37">
        <v>0</v>
      </c>
    </row>
    <row r="207" spans="4:16" x14ac:dyDescent="0.25">
      <c r="D207" s="1" t="s">
        <v>472</v>
      </c>
      <c r="E207" s="37" t="s">
        <v>214</v>
      </c>
      <c r="F207" s="37" t="s">
        <v>173</v>
      </c>
      <c r="G207" s="37">
        <v>0.65</v>
      </c>
      <c r="H207" s="37">
        <v>0.19</v>
      </c>
      <c r="I207" s="37">
        <v>0.65</v>
      </c>
      <c r="J207" s="37">
        <v>0.51</v>
      </c>
      <c r="K207" s="37">
        <v>0.18</v>
      </c>
      <c r="L207" s="37">
        <v>0.63</v>
      </c>
      <c r="M207" s="37">
        <v>1.3</v>
      </c>
      <c r="N207" s="37">
        <v>0.48</v>
      </c>
      <c r="O207" s="37">
        <v>1.1200000000000001</v>
      </c>
      <c r="P207" s="37">
        <v>0.38</v>
      </c>
    </row>
    <row r="208" spans="4:16" x14ac:dyDescent="0.25">
      <c r="D208" s="1" t="s">
        <v>472</v>
      </c>
      <c r="E208" s="37" t="s">
        <v>214</v>
      </c>
      <c r="F208" s="37" t="s">
        <v>174</v>
      </c>
      <c r="G208" s="37">
        <v>0.7</v>
      </c>
      <c r="H208" s="37">
        <v>0.13</v>
      </c>
      <c r="I208" s="37">
        <v>0.52</v>
      </c>
      <c r="J208" s="37">
        <v>0.34</v>
      </c>
      <c r="K208" s="37">
        <v>0.02</v>
      </c>
      <c r="L208" s="37">
        <v>0.04</v>
      </c>
      <c r="M208" s="37">
        <v>0.77</v>
      </c>
      <c r="N208" s="37">
        <v>0.42</v>
      </c>
      <c r="O208" s="37">
        <v>0.12</v>
      </c>
      <c r="P208" s="37">
        <v>0.74</v>
      </c>
    </row>
    <row r="209" spans="4:16" x14ac:dyDescent="0.25">
      <c r="D209" s="1" t="s">
        <v>472</v>
      </c>
      <c r="E209" s="37" t="s">
        <v>214</v>
      </c>
      <c r="F209" s="37" t="s">
        <v>175</v>
      </c>
      <c r="G209" s="37">
        <v>0.32</v>
      </c>
      <c r="H209" s="37">
        <v>-0.06</v>
      </c>
      <c r="I209" s="37">
        <v>0.25</v>
      </c>
      <c r="J209" s="37">
        <v>0.19</v>
      </c>
      <c r="K209" s="37">
        <v>-0.1</v>
      </c>
      <c r="L209" s="37">
        <v>-0.02</v>
      </c>
      <c r="M209" s="37">
        <v>0.02</v>
      </c>
      <c r="N209" s="37">
        <v>0.23</v>
      </c>
      <c r="O209" s="37">
        <v>-0.13</v>
      </c>
      <c r="P209" s="37">
        <v>0</v>
      </c>
    </row>
    <row r="210" spans="4:16" x14ac:dyDescent="0.25">
      <c r="D210" s="1" t="s">
        <v>472</v>
      </c>
      <c r="E210" s="37" t="s">
        <v>215</v>
      </c>
      <c r="F210" s="37" t="s">
        <v>172</v>
      </c>
      <c r="G210" s="37">
        <v>0.62</v>
      </c>
      <c r="H210" s="37">
        <v>-0.19</v>
      </c>
      <c r="I210" s="37">
        <v>0.37</v>
      </c>
      <c r="J210" s="37">
        <v>0.41</v>
      </c>
      <c r="K210" s="37">
        <v>0.06</v>
      </c>
      <c r="L210" s="37">
        <v>-0.02</v>
      </c>
      <c r="M210" s="37">
        <v>0.47</v>
      </c>
      <c r="N210" s="37">
        <v>0.44</v>
      </c>
      <c r="O210" s="37">
        <v>0.3</v>
      </c>
      <c r="P210" s="37">
        <v>0.13</v>
      </c>
    </row>
    <row r="211" spans="4:16" x14ac:dyDescent="0.25">
      <c r="D211" s="1" t="s">
        <v>472</v>
      </c>
      <c r="E211" s="37" t="s">
        <v>215</v>
      </c>
      <c r="F211" s="37" t="s">
        <v>173</v>
      </c>
      <c r="G211" s="37">
        <v>0.05</v>
      </c>
      <c r="H211" s="37">
        <v>0.19</v>
      </c>
      <c r="I211" s="37">
        <v>0.31</v>
      </c>
      <c r="J211" s="37">
        <v>0.54</v>
      </c>
      <c r="K211" s="37">
        <v>0.53</v>
      </c>
      <c r="L211" s="37">
        <v>0.15</v>
      </c>
      <c r="M211" s="37">
        <v>0.28000000000000003</v>
      </c>
      <c r="N211" s="37">
        <v>0.56999999999999995</v>
      </c>
      <c r="O211" s="37">
        <v>0.42</v>
      </c>
      <c r="P211" s="37">
        <v>0.4</v>
      </c>
    </row>
    <row r="212" spans="4:16" x14ac:dyDescent="0.25">
      <c r="D212" s="1" t="s">
        <v>472</v>
      </c>
      <c r="E212" s="37" t="s">
        <v>215</v>
      </c>
      <c r="F212" s="37" t="s">
        <v>174</v>
      </c>
      <c r="G212" s="37">
        <v>0.33</v>
      </c>
      <c r="H212" s="37">
        <v>0.13</v>
      </c>
      <c r="I212" s="37">
        <v>0.39</v>
      </c>
      <c r="J212" s="37">
        <v>0.36</v>
      </c>
      <c r="K212" s="37">
        <v>0.26</v>
      </c>
      <c r="L212" s="37">
        <v>0.11</v>
      </c>
      <c r="M212" s="37">
        <v>0.4</v>
      </c>
      <c r="N212" s="37">
        <v>0.44</v>
      </c>
      <c r="O212" s="37">
        <v>0.37</v>
      </c>
      <c r="P212" s="37">
        <v>-0.01</v>
      </c>
    </row>
    <row r="213" spans="4:16" x14ac:dyDescent="0.25">
      <c r="D213" s="1" t="s">
        <v>472</v>
      </c>
      <c r="E213" s="37" t="s">
        <v>215</v>
      </c>
      <c r="F213" s="37" t="s">
        <v>175</v>
      </c>
      <c r="G213" s="37">
        <v>0.61</v>
      </c>
      <c r="H213" s="37">
        <v>-0.06</v>
      </c>
      <c r="I213" s="37">
        <v>0.21</v>
      </c>
      <c r="J213" s="37">
        <v>0.18</v>
      </c>
      <c r="K213" s="37">
        <v>0.12</v>
      </c>
      <c r="L213" s="37">
        <v>0.06</v>
      </c>
      <c r="M213" s="37">
        <v>0.28999999999999998</v>
      </c>
      <c r="N213" s="37">
        <v>0.41</v>
      </c>
      <c r="O213" s="37">
        <v>0.41</v>
      </c>
      <c r="P213" s="37">
        <v>-0.15</v>
      </c>
    </row>
    <row r="214" spans="4:16" x14ac:dyDescent="0.25">
      <c r="D214" s="1" t="s">
        <v>472</v>
      </c>
      <c r="E214" s="37" t="s">
        <v>216</v>
      </c>
      <c r="F214" s="37" t="s">
        <v>172</v>
      </c>
      <c r="G214" s="37">
        <v>-0.2</v>
      </c>
      <c r="H214" s="37">
        <v>0.02</v>
      </c>
      <c r="I214" s="37">
        <v>0.24</v>
      </c>
      <c r="J214" s="37">
        <v>0.3</v>
      </c>
      <c r="K214" s="37">
        <v>0.23</v>
      </c>
      <c r="L214" s="37">
        <v>-0.05</v>
      </c>
      <c r="M214" s="37">
        <v>0.34</v>
      </c>
      <c r="N214" s="37">
        <v>0.3</v>
      </c>
      <c r="O214" s="37">
        <v>0.56999999999999995</v>
      </c>
      <c r="P214" s="37">
        <v>0.52</v>
      </c>
    </row>
    <row r="215" spans="4:16" x14ac:dyDescent="0.25">
      <c r="D215" s="1" t="s">
        <v>472</v>
      </c>
      <c r="E215" s="37" t="s">
        <v>216</v>
      </c>
      <c r="F215" s="37" t="s">
        <v>173</v>
      </c>
      <c r="G215" s="37">
        <v>0.62</v>
      </c>
      <c r="H215" s="37">
        <v>0.21</v>
      </c>
      <c r="I215" s="37">
        <v>0.25</v>
      </c>
      <c r="J215" s="37">
        <v>0.32</v>
      </c>
      <c r="K215" s="37">
        <v>0.47</v>
      </c>
      <c r="L215" s="37">
        <v>0.31</v>
      </c>
      <c r="M215" s="37">
        <v>0.14000000000000001</v>
      </c>
      <c r="N215" s="37">
        <v>0.4</v>
      </c>
      <c r="O215" s="37">
        <v>0.26</v>
      </c>
      <c r="P215" s="37">
        <v>0.43</v>
      </c>
    </row>
    <row r="216" spans="4:16" x14ac:dyDescent="0.25">
      <c r="D216" s="1" t="s">
        <v>472</v>
      </c>
      <c r="E216" s="37" t="s">
        <v>216</v>
      </c>
      <c r="F216" s="37" t="s">
        <v>174</v>
      </c>
      <c r="G216" s="37">
        <v>0.4</v>
      </c>
      <c r="H216" s="37">
        <v>0.13</v>
      </c>
      <c r="I216" s="37">
        <v>0.12</v>
      </c>
      <c r="J216" s="37">
        <v>0.27</v>
      </c>
      <c r="K216" s="37">
        <v>0.3</v>
      </c>
      <c r="L216" s="37">
        <v>0.08</v>
      </c>
      <c r="M216" s="37">
        <v>0.13</v>
      </c>
      <c r="N216" s="37">
        <v>0.24</v>
      </c>
      <c r="O216" s="37">
        <v>0.15</v>
      </c>
      <c r="P216" s="37">
        <v>0.21</v>
      </c>
    </row>
    <row r="217" spans="4:16" x14ac:dyDescent="0.25">
      <c r="D217" s="1" t="s">
        <v>472</v>
      </c>
      <c r="E217" s="37" t="s">
        <v>216</v>
      </c>
      <c r="F217" s="37" t="s">
        <v>175</v>
      </c>
      <c r="G217" s="37">
        <v>0.08</v>
      </c>
      <c r="H217" s="37">
        <v>0.04</v>
      </c>
      <c r="I217" s="37">
        <v>0.06</v>
      </c>
      <c r="J217" s="37">
        <v>0.18</v>
      </c>
      <c r="K217" s="37">
        <v>0.11</v>
      </c>
      <c r="L217" s="37">
        <v>-7.0000000000000007E-2</v>
      </c>
      <c r="M217" s="37">
        <v>0.13</v>
      </c>
      <c r="N217" s="37">
        <v>0.16</v>
      </c>
      <c r="O217" s="37">
        <v>0.4</v>
      </c>
      <c r="P217" s="37">
        <v>0.33</v>
      </c>
    </row>
    <row r="218" spans="4:16" x14ac:dyDescent="0.25">
      <c r="M218" s="1"/>
    </row>
    <row r="219" spans="4:16" x14ac:dyDescent="0.25">
      <c r="M219" s="1"/>
    </row>
    <row r="220" spans="4:16" ht="23.25" x14ac:dyDescent="0.25">
      <c r="D220" s="6" t="s">
        <v>200</v>
      </c>
      <c r="M220" s="1"/>
    </row>
    <row r="221" spans="4:16" x14ac:dyDescent="0.25">
      <c r="M221" s="1"/>
    </row>
    <row r="222" spans="4:16" x14ac:dyDescent="0.25">
      <c r="D222" s="37" t="s">
        <v>8</v>
      </c>
      <c r="E222" s="37" t="s">
        <v>182</v>
      </c>
      <c r="F222" s="37" t="s">
        <v>183</v>
      </c>
      <c r="G222" s="118" t="s">
        <v>130</v>
      </c>
      <c r="H222" s="118" t="s">
        <v>129</v>
      </c>
      <c r="I222" s="118" t="s">
        <v>164</v>
      </c>
      <c r="J222" s="118" t="s">
        <v>165</v>
      </c>
      <c r="K222" s="118" t="s">
        <v>166</v>
      </c>
      <c r="L222" s="118" t="s">
        <v>167</v>
      </c>
      <c r="M222" s="118" t="s">
        <v>168</v>
      </c>
      <c r="N222" s="118" t="s">
        <v>169</v>
      </c>
      <c r="O222" s="118" t="s">
        <v>170</v>
      </c>
      <c r="P222" s="118" t="s">
        <v>171</v>
      </c>
    </row>
    <row r="223" spans="4:16" x14ac:dyDescent="0.25">
      <c r="D223" s="37" t="s">
        <v>82</v>
      </c>
      <c r="E223" s="37" t="s">
        <v>201</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82</v>
      </c>
      <c r="E224" s="37" t="s">
        <v>201</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82</v>
      </c>
      <c r="E225" s="37" t="s">
        <v>201</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82</v>
      </c>
      <c r="E226" s="37" t="s">
        <v>201</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83</v>
      </c>
      <c r="E227" s="37" t="s">
        <v>201</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83</v>
      </c>
      <c r="E228" s="37" t="s">
        <v>201</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83</v>
      </c>
      <c r="E229" s="37" t="s">
        <v>201</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83</v>
      </c>
      <c r="E230" s="37" t="s">
        <v>201</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86</v>
      </c>
      <c r="E231" s="37" t="s">
        <v>201</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86</v>
      </c>
      <c r="E232" s="37" t="s">
        <v>201</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86</v>
      </c>
      <c r="E233" s="37" t="s">
        <v>201</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86</v>
      </c>
      <c r="E234" s="37" t="s">
        <v>201</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87</v>
      </c>
      <c r="E235" s="37" t="s">
        <v>201</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87</v>
      </c>
      <c r="E236" s="37" t="s">
        <v>201</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87</v>
      </c>
      <c r="E237" s="37" t="s">
        <v>201</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87</v>
      </c>
      <c r="E238" s="37" t="s">
        <v>201</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88</v>
      </c>
      <c r="E239" s="37" t="s">
        <v>201</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88</v>
      </c>
      <c r="E240" s="37" t="s">
        <v>201</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88</v>
      </c>
      <c r="E241" s="37" t="s">
        <v>201</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88</v>
      </c>
      <c r="E242" s="37" t="s">
        <v>201</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89</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89</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89</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89</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89</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89</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89</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89</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89</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89</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89</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89</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84</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84</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84</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84</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84</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84</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84</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84</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84</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84</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84</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84</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85</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85</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85</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85</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85</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85</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85</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85</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85</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85</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85</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85</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85</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85</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85</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85</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
        <v>478</v>
      </c>
      <c r="M285" s="22"/>
    </row>
    <row r="286" spans="4:16" x14ac:dyDescent="0.25">
      <c r="D286" s="5" t="s">
        <v>479</v>
      </c>
      <c r="M286" s="22"/>
    </row>
    <row r="287" spans="4:16" x14ac:dyDescent="0.25">
      <c r="D287" s="1" t="s">
        <v>480</v>
      </c>
      <c r="M287" s="22"/>
    </row>
    <row r="288" spans="4:16" x14ac:dyDescent="0.25">
      <c r="D288" s="54" t="s">
        <v>140</v>
      </c>
      <c r="M288" s="22"/>
    </row>
    <row r="289" spans="4:13" x14ac:dyDescent="0.25">
      <c r="D289" s="55" t="s">
        <v>481</v>
      </c>
      <c r="M289" s="22"/>
    </row>
    <row r="290" spans="4:13" x14ac:dyDescent="0.25">
      <c r="D290" s="37" t="s">
        <v>8</v>
      </c>
      <c r="E290" s="37" t="s">
        <v>182</v>
      </c>
      <c r="F290" s="37" t="s">
        <v>172</v>
      </c>
      <c r="G290" s="37" t="s">
        <v>173</v>
      </c>
      <c r="H290" s="37" t="s">
        <v>174</v>
      </c>
      <c r="I290" s="37" t="s">
        <v>175</v>
      </c>
      <c r="M290" s="22"/>
    </row>
    <row r="291" spans="4:13" x14ac:dyDescent="0.25">
      <c r="D291" s="37" t="s">
        <v>82</v>
      </c>
      <c r="E291" s="37" t="s">
        <v>201</v>
      </c>
      <c r="F291" s="37">
        <v>0.55000000000000004</v>
      </c>
      <c r="G291" s="37">
        <v>0.65</v>
      </c>
      <c r="H291" s="37">
        <v>0.6</v>
      </c>
      <c r="I291" s="37">
        <v>0.5</v>
      </c>
      <c r="M291" s="22"/>
    </row>
    <row r="292" spans="4:13" x14ac:dyDescent="0.25">
      <c r="D292" s="1" t="s">
        <v>83</v>
      </c>
      <c r="E292" s="37" t="s">
        <v>201</v>
      </c>
      <c r="F292" s="37">
        <v>0.55000000000000004</v>
      </c>
      <c r="G292" s="37">
        <v>0.65</v>
      </c>
      <c r="H292" s="37">
        <v>0.6</v>
      </c>
      <c r="I292" s="37">
        <v>0.5</v>
      </c>
      <c r="M292" s="22"/>
    </row>
    <row r="293" spans="4:13" x14ac:dyDescent="0.25">
      <c r="D293" s="1" t="s">
        <v>84</v>
      </c>
      <c r="E293" s="37" t="s">
        <v>210</v>
      </c>
      <c r="F293" s="37">
        <v>0.55000000000000004</v>
      </c>
      <c r="G293" s="37">
        <v>0.61</v>
      </c>
      <c r="H293" s="37">
        <v>0.56999999999999995</v>
      </c>
      <c r="I293" s="37">
        <v>0.54</v>
      </c>
      <c r="M293" s="22"/>
    </row>
    <row r="294" spans="4:13" x14ac:dyDescent="0.25">
      <c r="D294" s="1" t="s">
        <v>84</v>
      </c>
      <c r="E294" s="37" t="s">
        <v>211</v>
      </c>
      <c r="F294" s="37">
        <v>0.55000000000000004</v>
      </c>
      <c r="G294" s="37">
        <v>0.61</v>
      </c>
      <c r="H294" s="37">
        <v>0.56999999999999995</v>
      </c>
      <c r="I294" s="37">
        <v>0.54</v>
      </c>
      <c r="M294" s="22"/>
    </row>
    <row r="295" spans="4:13" x14ac:dyDescent="0.25">
      <c r="D295" s="1" t="s">
        <v>84</v>
      </c>
      <c r="E295" s="37" t="s">
        <v>212</v>
      </c>
      <c r="F295" s="37">
        <v>0.55000000000000004</v>
      </c>
      <c r="G295" s="37">
        <v>0.61</v>
      </c>
      <c r="H295" s="37">
        <v>0.56999999999999995</v>
      </c>
      <c r="I295" s="37">
        <v>0.54</v>
      </c>
      <c r="M295" s="22"/>
    </row>
    <row r="296" spans="4:13" x14ac:dyDescent="0.25">
      <c r="D296" s="1" t="s">
        <v>85</v>
      </c>
      <c r="E296" s="37" t="s">
        <v>213</v>
      </c>
      <c r="F296" s="37">
        <v>0.53</v>
      </c>
      <c r="G296" s="37">
        <v>0.56999999999999995</v>
      </c>
      <c r="H296" s="37">
        <v>0.55000000000000004</v>
      </c>
      <c r="I296" s="37">
        <v>0.51</v>
      </c>
      <c r="M296" s="22"/>
    </row>
    <row r="297" spans="4:13" x14ac:dyDescent="0.25">
      <c r="D297" s="1" t="s">
        <v>85</v>
      </c>
      <c r="E297" s="37" t="s">
        <v>214</v>
      </c>
      <c r="F297" s="37">
        <v>0.53</v>
      </c>
      <c r="G297" s="37">
        <v>0.56999999999999995</v>
      </c>
      <c r="H297" s="37">
        <v>0.55000000000000004</v>
      </c>
      <c r="I297" s="37">
        <v>0.51</v>
      </c>
      <c r="M297" s="22"/>
    </row>
    <row r="298" spans="4:13" x14ac:dyDescent="0.25">
      <c r="D298" s="1" t="s">
        <v>85</v>
      </c>
      <c r="E298" s="37" t="s">
        <v>215</v>
      </c>
      <c r="F298" s="37">
        <v>0.53</v>
      </c>
      <c r="G298" s="37">
        <v>0.56999999999999995</v>
      </c>
      <c r="H298" s="37">
        <v>0.55000000000000004</v>
      </c>
      <c r="I298" s="37">
        <v>0.51</v>
      </c>
      <c r="M298" s="22"/>
    </row>
    <row r="299" spans="4:13" x14ac:dyDescent="0.25">
      <c r="D299" s="1" t="s">
        <v>85</v>
      </c>
      <c r="E299" s="37" t="s">
        <v>216</v>
      </c>
      <c r="F299" s="37">
        <v>0.53</v>
      </c>
      <c r="G299" s="37">
        <v>0.56999999999999995</v>
      </c>
      <c r="H299" s="37">
        <v>0.55000000000000004</v>
      </c>
      <c r="I299" s="37">
        <v>0.51</v>
      </c>
      <c r="M299" s="22"/>
    </row>
    <row r="300" spans="4:13" x14ac:dyDescent="0.25">
      <c r="D300" s="1" t="s">
        <v>86</v>
      </c>
      <c r="E300" s="37" t="s">
        <v>201</v>
      </c>
      <c r="F300" s="37">
        <v>0.7</v>
      </c>
      <c r="G300" s="37">
        <v>0.55000000000000004</v>
      </c>
      <c r="H300" s="37">
        <v>0.55000000000000004</v>
      </c>
      <c r="I300" s="37">
        <v>0.75</v>
      </c>
      <c r="M300" s="22"/>
    </row>
    <row r="301" spans="4:13" x14ac:dyDescent="0.25">
      <c r="D301" s="1" t="s">
        <v>87</v>
      </c>
      <c r="E301" s="37" t="s">
        <v>201</v>
      </c>
      <c r="F301" s="37">
        <v>0.75</v>
      </c>
      <c r="G301" s="37">
        <v>0.6</v>
      </c>
      <c r="H301" s="37">
        <v>0.7</v>
      </c>
      <c r="I301" s="37">
        <v>0.75</v>
      </c>
      <c r="M301" s="22"/>
    </row>
    <row r="302" spans="4:13" x14ac:dyDescent="0.25">
      <c r="D302" s="1" t="s">
        <v>88</v>
      </c>
      <c r="E302" s="37" t="s">
        <v>201</v>
      </c>
      <c r="F302" s="37">
        <v>0.8</v>
      </c>
      <c r="G302" s="37">
        <v>0.55000000000000004</v>
      </c>
      <c r="H302" s="37">
        <v>0.6</v>
      </c>
      <c r="I302" s="37">
        <v>0.76</v>
      </c>
      <c r="M302" s="22"/>
    </row>
    <row r="303" spans="4:13" x14ac:dyDescent="0.25">
      <c r="D303" s="1" t="s">
        <v>89</v>
      </c>
      <c r="E303" s="37" t="s">
        <v>208</v>
      </c>
      <c r="F303" s="37">
        <v>0.8</v>
      </c>
      <c r="G303" s="37">
        <v>0.57999999999999996</v>
      </c>
      <c r="H303" s="37">
        <v>0.5</v>
      </c>
      <c r="I303" s="37">
        <v>0.75</v>
      </c>
      <c r="M303" s="22"/>
    </row>
    <row r="304" spans="4:13" x14ac:dyDescent="0.25">
      <c r="D304" s="1" t="s">
        <v>89</v>
      </c>
      <c r="E304" s="37" t="s">
        <v>209</v>
      </c>
      <c r="F304" s="37">
        <v>0.4</v>
      </c>
      <c r="G304" s="37">
        <v>0.65</v>
      </c>
      <c r="H304" s="37">
        <v>0.55000000000000004</v>
      </c>
      <c r="I304" s="37">
        <v>0.45</v>
      </c>
      <c r="M304" s="22"/>
    </row>
    <row r="305" spans="4:13" x14ac:dyDescent="0.25">
      <c r="D305" s="1" t="s">
        <v>89</v>
      </c>
      <c r="E305" s="37" t="s">
        <v>204</v>
      </c>
      <c r="F305" s="37">
        <v>0.4</v>
      </c>
      <c r="G305" s="37">
        <v>0.65</v>
      </c>
      <c r="H305" s="37">
        <v>0.55000000000000004</v>
      </c>
      <c r="I305" s="37">
        <v>0.45</v>
      </c>
      <c r="M305" s="22"/>
    </row>
    <row r="306" spans="4:13" x14ac:dyDescent="0.25">
      <c r="M306" s="22"/>
    </row>
    <row r="307" spans="4:13" x14ac:dyDescent="0.25">
      <c r="M307" s="22"/>
    </row>
    <row r="308" spans="4:13" ht="23.25" x14ac:dyDescent="0.25">
      <c r="D308" s="6" t="s">
        <v>482</v>
      </c>
      <c r="M308" s="22"/>
    </row>
    <row r="309" spans="4:13" x14ac:dyDescent="0.25">
      <c r="D309" s="5" t="s">
        <v>483</v>
      </c>
      <c r="M309" s="22"/>
    </row>
    <row r="310" spans="4:13" x14ac:dyDescent="0.25">
      <c r="D310" s="1" t="s">
        <v>484</v>
      </c>
      <c r="M310" s="22"/>
    </row>
    <row r="311" spans="4:13" x14ac:dyDescent="0.25">
      <c r="D311" s="54" t="s">
        <v>140</v>
      </c>
      <c r="M311" s="22"/>
    </row>
    <row r="312" spans="4:13" x14ac:dyDescent="0.25">
      <c r="D312" s="55" t="s">
        <v>481</v>
      </c>
      <c r="M312" s="22"/>
    </row>
    <row r="313" spans="4:13" x14ac:dyDescent="0.25">
      <c r="D313" s="37" t="s">
        <v>8</v>
      </c>
      <c r="E313" s="37" t="s">
        <v>182</v>
      </c>
      <c r="F313" s="37" t="s">
        <v>172</v>
      </c>
      <c r="G313" s="37" t="s">
        <v>173</v>
      </c>
      <c r="H313" s="37" t="s">
        <v>174</v>
      </c>
      <c r="I313" s="37" t="s">
        <v>175</v>
      </c>
      <c r="M313" s="22"/>
    </row>
    <row r="314" spans="4:13" x14ac:dyDescent="0.25">
      <c r="D314" s="37" t="s">
        <v>82</v>
      </c>
      <c r="E314" s="37" t="s">
        <v>201</v>
      </c>
      <c r="F314" s="37">
        <v>7.0000000000000007E-2</v>
      </c>
      <c r="G314" s="37">
        <v>0.13</v>
      </c>
      <c r="H314" s="37">
        <v>0.1</v>
      </c>
      <c r="I314" s="37">
        <v>0.06</v>
      </c>
      <c r="M314" s="22"/>
    </row>
    <row r="315" spans="4:13" x14ac:dyDescent="0.25">
      <c r="D315" s="37" t="s">
        <v>83</v>
      </c>
      <c r="E315" s="37" t="s">
        <v>201</v>
      </c>
      <c r="F315" s="37">
        <v>7.0000000000000007E-2</v>
      </c>
      <c r="G315" s="37">
        <v>0.13</v>
      </c>
      <c r="H315" s="37">
        <v>0.1</v>
      </c>
      <c r="I315" s="37">
        <v>0.06</v>
      </c>
      <c r="M315" s="22"/>
    </row>
    <row r="316" spans="4:13" x14ac:dyDescent="0.25">
      <c r="D316" s="37" t="s">
        <v>84</v>
      </c>
      <c r="E316" s="37" t="s">
        <v>210</v>
      </c>
      <c r="F316" s="37">
        <v>5.8000000000000003E-2</v>
      </c>
      <c r="G316" s="37">
        <v>9.1999999999999998E-2</v>
      </c>
      <c r="H316" s="37">
        <v>7.4999999999999997E-2</v>
      </c>
      <c r="I316" s="37">
        <v>5.2999999999999999E-2</v>
      </c>
      <c r="M316" s="22"/>
    </row>
    <row r="317" spans="4:13" x14ac:dyDescent="0.25">
      <c r="D317" s="37" t="s">
        <v>84</v>
      </c>
      <c r="E317" s="37" t="s">
        <v>211</v>
      </c>
      <c r="F317" s="37">
        <v>5.8000000000000003E-2</v>
      </c>
      <c r="G317" s="37">
        <v>9.1999999999999998E-2</v>
      </c>
      <c r="H317" s="37">
        <v>7.4999999999999997E-2</v>
      </c>
      <c r="I317" s="37">
        <v>5.2999999999999999E-2</v>
      </c>
      <c r="M317" s="22"/>
    </row>
    <row r="318" spans="4:13" x14ac:dyDescent="0.25">
      <c r="D318" s="37" t="s">
        <v>84</v>
      </c>
      <c r="E318" s="37" t="s">
        <v>212</v>
      </c>
      <c r="F318" s="37">
        <v>5.8000000000000003E-2</v>
      </c>
      <c r="G318" s="37">
        <v>9.1999999999999998E-2</v>
      </c>
      <c r="H318" s="37">
        <v>7.4999999999999997E-2</v>
      </c>
      <c r="I318" s="37">
        <v>5.2999999999999999E-2</v>
      </c>
      <c r="M318" s="22"/>
    </row>
    <row r="319" spans="4:13" x14ac:dyDescent="0.25">
      <c r="D319" s="37" t="s">
        <v>85</v>
      </c>
      <c r="E319" s="37" t="s">
        <v>213</v>
      </c>
      <c r="F319" s="37">
        <v>7.1999999999999995E-2</v>
      </c>
      <c r="G319" s="37">
        <v>9.9000000000000005E-2</v>
      </c>
      <c r="H319" s="37">
        <v>7.8E-2</v>
      </c>
      <c r="I319" s="37">
        <v>5.8999999999999997E-2</v>
      </c>
      <c r="M319" s="1"/>
    </row>
    <row r="320" spans="4:13" x14ac:dyDescent="0.25">
      <c r="D320" s="37" t="s">
        <v>85</v>
      </c>
      <c r="E320" s="37" t="s">
        <v>214</v>
      </c>
      <c r="F320" s="37">
        <v>7.1999999999999995E-2</v>
      </c>
      <c r="G320" s="37">
        <v>9.9000000000000005E-2</v>
      </c>
      <c r="H320" s="37">
        <v>7.8E-2</v>
      </c>
      <c r="I320" s="37">
        <v>5.8999999999999997E-2</v>
      </c>
      <c r="M320" s="1"/>
    </row>
    <row r="321" spans="4:13" x14ac:dyDescent="0.25">
      <c r="D321" s="37" t="s">
        <v>85</v>
      </c>
      <c r="E321" s="37" t="s">
        <v>215</v>
      </c>
      <c r="F321" s="37">
        <v>7.1999999999999995E-2</v>
      </c>
      <c r="G321" s="37">
        <v>9.9000000000000005E-2</v>
      </c>
      <c r="H321" s="37">
        <v>7.8E-2</v>
      </c>
      <c r="I321" s="37">
        <v>5.8999999999999997E-2</v>
      </c>
      <c r="M321" s="1"/>
    </row>
    <row r="322" spans="4:13" x14ac:dyDescent="0.25">
      <c r="D322" s="37" t="s">
        <v>85</v>
      </c>
      <c r="E322" s="37" t="s">
        <v>216</v>
      </c>
      <c r="F322" s="37">
        <v>7.1999999999999995E-2</v>
      </c>
      <c r="G322" s="37">
        <v>9.9000000000000005E-2</v>
      </c>
      <c r="H322" s="37">
        <v>7.8E-2</v>
      </c>
      <c r="I322" s="37">
        <v>5.8999999999999997E-2</v>
      </c>
      <c r="M322" s="1"/>
    </row>
    <row r="323" spans="4:13" x14ac:dyDescent="0.25">
      <c r="D323" s="37" t="s">
        <v>86</v>
      </c>
      <c r="E323" s="37" t="s">
        <v>201</v>
      </c>
      <c r="F323" s="37">
        <v>0.16</v>
      </c>
      <c r="G323" s="37">
        <v>7.0000000000000007E-2</v>
      </c>
      <c r="H323" s="37">
        <v>0.09</v>
      </c>
      <c r="I323" s="37">
        <v>0.2</v>
      </c>
      <c r="M323" s="1"/>
    </row>
    <row r="324" spans="4:13" x14ac:dyDescent="0.25">
      <c r="D324" s="37" t="s">
        <v>87</v>
      </c>
      <c r="E324" s="37" t="s">
        <v>201</v>
      </c>
      <c r="F324" s="37">
        <v>0.2</v>
      </c>
      <c r="G324" s="37">
        <v>0.1</v>
      </c>
      <c r="H324" s="37">
        <v>0.16</v>
      </c>
      <c r="I324" s="37">
        <v>0.2</v>
      </c>
      <c r="M324" s="1"/>
    </row>
    <row r="325" spans="4:13" x14ac:dyDescent="0.25">
      <c r="D325" s="37" t="s">
        <v>88</v>
      </c>
      <c r="E325" s="37" t="s">
        <v>201</v>
      </c>
      <c r="F325" s="37">
        <v>0.25</v>
      </c>
      <c r="G325" s="37">
        <v>7.0000000000000007E-2</v>
      </c>
      <c r="H325" s="37">
        <v>0.1</v>
      </c>
      <c r="I325" s="37">
        <v>0.21</v>
      </c>
      <c r="M325" s="1"/>
    </row>
    <row r="326" spans="4:13" x14ac:dyDescent="0.25">
      <c r="D326" s="37" t="s">
        <v>89</v>
      </c>
      <c r="E326" s="37" t="s">
        <v>208</v>
      </c>
      <c r="F326" s="37">
        <v>0.2</v>
      </c>
      <c r="G326" s="37">
        <v>0.09</v>
      </c>
      <c r="H326" s="37">
        <v>0.06</v>
      </c>
      <c r="I326" s="37">
        <v>0.2</v>
      </c>
      <c r="M326" s="1"/>
    </row>
    <row r="327" spans="4:13" x14ac:dyDescent="0.25">
      <c r="D327" s="37" t="s">
        <v>89</v>
      </c>
      <c r="E327" s="37" t="s">
        <v>209</v>
      </c>
      <c r="F327" s="37">
        <v>0.04</v>
      </c>
      <c r="G327" s="37">
        <v>0.12</v>
      </c>
      <c r="H327" s="37">
        <v>0.09</v>
      </c>
      <c r="I327" s="37">
        <v>0.06</v>
      </c>
      <c r="M327" s="1"/>
    </row>
    <row r="328" spans="4:13" x14ac:dyDescent="0.25">
      <c r="D328" s="37" t="s">
        <v>89</v>
      </c>
      <c r="E328" s="37" t="s">
        <v>204</v>
      </c>
      <c r="F328" s="37">
        <v>0.04</v>
      </c>
      <c r="G328" s="37">
        <v>0.12</v>
      </c>
      <c r="H328" s="37">
        <v>0.09</v>
      </c>
      <c r="I328" s="37">
        <v>0.06</v>
      </c>
      <c r="M328" s="1"/>
    </row>
    <row r="329" spans="4:13" x14ac:dyDescent="0.25">
      <c r="M329" s="1"/>
    </row>
    <row r="330" spans="4:13" x14ac:dyDescent="0.25">
      <c r="M330" s="1"/>
    </row>
    <row r="331" spans="4:13" ht="23.25" x14ac:dyDescent="0.25">
      <c r="D331" s="6" t="s">
        <v>485</v>
      </c>
      <c r="M331" s="1"/>
    </row>
    <row r="332" spans="4:13" x14ac:dyDescent="0.25">
      <c r="D332" s="5" t="s">
        <v>486</v>
      </c>
      <c r="M332" s="1"/>
    </row>
    <row r="333" spans="4:13" x14ac:dyDescent="0.25">
      <c r="D333" s="1" t="s">
        <v>487</v>
      </c>
      <c r="I333" s="55" t="s">
        <v>247</v>
      </c>
      <c r="M333" s="1"/>
    </row>
    <row r="334" spans="4:13" x14ac:dyDescent="0.25">
      <c r="D334" s="37" t="s">
        <v>128</v>
      </c>
      <c r="E334" s="37" t="s">
        <v>183</v>
      </c>
      <c r="F334" s="37" t="s">
        <v>231</v>
      </c>
      <c r="G334" s="37" t="s">
        <v>232</v>
      </c>
      <c r="I334" s="37" t="s">
        <v>128</v>
      </c>
      <c r="J334" s="37" t="s">
        <v>183</v>
      </c>
      <c r="K334" s="37" t="s">
        <v>231</v>
      </c>
      <c r="L334" s="37" t="s">
        <v>232</v>
      </c>
      <c r="M334" s="1"/>
    </row>
    <row r="335" spans="4:13" x14ac:dyDescent="0.25">
      <c r="D335" s="37" t="s">
        <v>238</v>
      </c>
      <c r="E335" s="37" t="s">
        <v>172</v>
      </c>
      <c r="F335" s="37">
        <v>1.3</v>
      </c>
      <c r="G335" s="37">
        <v>6</v>
      </c>
      <c r="I335" s="37" t="str">
        <f>Table_SourceData_PastureBeef_FeedIntakeAdjustment[[#This Row],[Breed]]</f>
        <v>Hereford or Shorthorn breeds</v>
      </c>
      <c r="J335" s="37" t="s">
        <v>245</v>
      </c>
      <c r="K335" s="37">
        <f>Table_SourceData_PastureBeef_FeedIntakeAdjustment[[#This Row],[Feed adjustment]]</f>
        <v>1.3</v>
      </c>
      <c r="L335" s="37">
        <f>Table_SourceData_PastureBeef_FeedIntakeAdjustment[[#This Row],[Milk intake/production]]</f>
        <v>6</v>
      </c>
      <c r="M335" s="1"/>
    </row>
    <row r="336" spans="4:13" x14ac:dyDescent="0.25">
      <c r="D336" s="1" t="s">
        <v>238</v>
      </c>
      <c r="E336" s="37" t="s">
        <v>173</v>
      </c>
      <c r="F336" s="37">
        <v>1.1000000000000001</v>
      </c>
      <c r="G336" s="37">
        <v>4</v>
      </c>
      <c r="I336" s="1" t="str">
        <f>Table_SourceData_PastureBeef_FeedIntakeAdjustment[[#This Row],[Breed]]</f>
        <v>Hereford or Shorthorn breeds</v>
      </c>
      <c r="J336" s="37" t="s">
        <v>246</v>
      </c>
      <c r="K336" s="37">
        <f>Table_SourceData_PastureBeef_FeedIntakeAdjustment[[#This Row],[Feed adjustment]]</f>
        <v>1.1000000000000001</v>
      </c>
      <c r="L336" s="37">
        <f>Table_SourceData_PastureBeef_FeedIntakeAdjustment[[#This Row],[Milk intake/production]]</f>
        <v>4</v>
      </c>
      <c r="M336" s="1"/>
    </row>
    <row r="337" spans="4:13" x14ac:dyDescent="0.25">
      <c r="D337" s="1" t="s">
        <v>238</v>
      </c>
      <c r="E337" s="37" t="s">
        <v>174</v>
      </c>
      <c r="F337" s="37">
        <v>0</v>
      </c>
      <c r="G337" s="37">
        <v>0</v>
      </c>
      <c r="I337" s="1" t="str">
        <f>D340</f>
        <v>Northern Brahman cross breed</v>
      </c>
      <c r="J337" s="37" t="s">
        <v>245</v>
      </c>
      <c r="K337" s="37">
        <f>F340</f>
        <v>1.3</v>
      </c>
      <c r="L337" s="37">
        <f t="shared" ref="L337:L338" si="135">G340</f>
        <v>4</v>
      </c>
      <c r="M337" s="1"/>
    </row>
    <row r="338" spans="4:13" x14ac:dyDescent="0.25">
      <c r="D338" s="1" t="s">
        <v>238</v>
      </c>
      <c r="E338" s="37" t="s">
        <v>175</v>
      </c>
      <c r="F338" s="37">
        <v>0</v>
      </c>
      <c r="G338" s="37">
        <v>0</v>
      </c>
      <c r="I338" s="1" t="str">
        <f>D341</f>
        <v>Northern Brahman cross breed</v>
      </c>
      <c r="J338" s="37" t="s">
        <v>246</v>
      </c>
      <c r="K338" s="37">
        <f t="shared" ref="K338" si="136">F341</f>
        <v>1.1000000000000001</v>
      </c>
      <c r="L338" s="37">
        <f t="shared" si="135"/>
        <v>3</v>
      </c>
      <c r="M338" s="1"/>
    </row>
    <row r="339" spans="4:13" x14ac:dyDescent="0.25">
      <c r="D339" s="1" t="s">
        <v>488</v>
      </c>
      <c r="E339" s="37" t="s">
        <v>172</v>
      </c>
      <c r="F339" s="37">
        <v>0</v>
      </c>
      <c r="G339" s="37">
        <v>0</v>
      </c>
      <c r="M339" s="1"/>
    </row>
    <row r="340" spans="4:13" x14ac:dyDescent="0.25">
      <c r="D340" s="1" t="s">
        <v>488</v>
      </c>
      <c r="E340" s="37" t="s">
        <v>173</v>
      </c>
      <c r="F340" s="37">
        <v>1.3</v>
      </c>
      <c r="G340" s="37">
        <v>4</v>
      </c>
      <c r="M340" s="1"/>
    </row>
    <row r="341" spans="4:13" x14ac:dyDescent="0.25">
      <c r="D341" s="1" t="s">
        <v>488</v>
      </c>
      <c r="E341" s="37" t="s">
        <v>174</v>
      </c>
      <c r="F341" s="37">
        <v>1.1000000000000001</v>
      </c>
      <c r="G341" s="37">
        <v>3</v>
      </c>
      <c r="M341" s="1"/>
    </row>
    <row r="342" spans="4:13" x14ac:dyDescent="0.25">
      <c r="D342" s="1" t="s">
        <v>488</v>
      </c>
      <c r="E342" s="37" t="s">
        <v>175</v>
      </c>
      <c r="F342" s="37">
        <v>0</v>
      </c>
      <c r="G342" s="37">
        <v>0</v>
      </c>
      <c r="M342" s="1"/>
    </row>
    <row r="343" spans="4:13" x14ac:dyDescent="0.25">
      <c r="M343" s="1"/>
    </row>
    <row r="344" spans="4:13" x14ac:dyDescent="0.25">
      <c r="M344" s="1"/>
    </row>
    <row r="345" spans="4:13" ht="23.25" x14ac:dyDescent="0.25">
      <c r="D345" s="6" t="s">
        <v>489</v>
      </c>
      <c r="M345" s="1"/>
    </row>
    <row r="346" spans="4:13" x14ac:dyDescent="0.25">
      <c r="D346" s="5" t="s">
        <v>490</v>
      </c>
      <c r="M346" s="1"/>
    </row>
    <row r="347" spans="4:13" x14ac:dyDescent="0.25">
      <c r="D347" s="1" t="s">
        <v>491</v>
      </c>
      <c r="M347" s="1"/>
    </row>
    <row r="348" spans="4:13" x14ac:dyDescent="0.25">
      <c r="D348" s="54" t="s">
        <v>386</v>
      </c>
      <c r="M348" s="1"/>
    </row>
    <row r="349" spans="4:13" x14ac:dyDescent="0.25">
      <c r="D349" s="55" t="s">
        <v>492</v>
      </c>
      <c r="M349" s="1"/>
    </row>
    <row r="350" spans="4:13" x14ac:dyDescent="0.25">
      <c r="D350" s="37" t="s">
        <v>8</v>
      </c>
      <c r="E350" s="37" t="s">
        <v>233</v>
      </c>
      <c r="F350" s="37" t="s">
        <v>234</v>
      </c>
      <c r="G350" s="37" t="s">
        <v>192</v>
      </c>
      <c r="H350" s="37" t="s">
        <v>193</v>
      </c>
      <c r="I350" s="37" t="s">
        <v>235</v>
      </c>
      <c r="J350" s="37" t="s">
        <v>196</v>
      </c>
      <c r="K350" s="37" t="s">
        <v>225</v>
      </c>
      <c r="L350" s="37" t="s">
        <v>236</v>
      </c>
      <c r="M350" s="1"/>
    </row>
    <row r="351" spans="4:13" x14ac:dyDescent="0.25">
      <c r="D351" s="37" t="s">
        <v>82</v>
      </c>
      <c r="E351" s="37">
        <v>700</v>
      </c>
      <c r="F351" s="37">
        <v>700</v>
      </c>
      <c r="G351" s="37">
        <v>500</v>
      </c>
      <c r="H351" s="37">
        <v>500</v>
      </c>
      <c r="I351" s="37">
        <v>500</v>
      </c>
      <c r="J351" s="37">
        <v>600</v>
      </c>
      <c r="K351" s="37">
        <v>600</v>
      </c>
      <c r="L351" s="37" t="s">
        <v>82</v>
      </c>
      <c r="M351" s="1"/>
    </row>
    <row r="352" spans="4:13" x14ac:dyDescent="0.25">
      <c r="D352" s="1" t="s">
        <v>83</v>
      </c>
      <c r="E352" s="37">
        <v>700</v>
      </c>
      <c r="F352" s="37">
        <v>700</v>
      </c>
      <c r="G352" s="37">
        <v>500</v>
      </c>
      <c r="H352" s="37">
        <v>500</v>
      </c>
      <c r="I352" s="37">
        <v>500</v>
      </c>
      <c r="J352" s="37">
        <v>600</v>
      </c>
      <c r="K352" s="37">
        <v>600</v>
      </c>
      <c r="L352" s="37" t="s">
        <v>83</v>
      </c>
      <c r="M352" s="1"/>
    </row>
    <row r="353" spans="4:15" x14ac:dyDescent="0.25">
      <c r="D353" s="1" t="s">
        <v>470</v>
      </c>
      <c r="E353" s="37">
        <v>770</v>
      </c>
      <c r="F353" s="37">
        <v>770</v>
      </c>
      <c r="G353" s="37">
        <v>550</v>
      </c>
      <c r="H353" s="37">
        <v>550</v>
      </c>
      <c r="I353" s="37">
        <v>550</v>
      </c>
      <c r="J353" s="37">
        <v>660</v>
      </c>
      <c r="K353" s="37">
        <v>660</v>
      </c>
      <c r="L353" s="37" t="s">
        <v>84</v>
      </c>
      <c r="M353" s="1"/>
    </row>
    <row r="354" spans="4:15" x14ac:dyDescent="0.25">
      <c r="D354" s="1" t="s">
        <v>472</v>
      </c>
      <c r="E354" s="37">
        <v>770</v>
      </c>
      <c r="F354" s="37">
        <v>770</v>
      </c>
      <c r="G354" s="37">
        <v>550</v>
      </c>
      <c r="H354" s="37">
        <v>550</v>
      </c>
      <c r="I354" s="37">
        <v>550</v>
      </c>
      <c r="J354" s="37">
        <v>660</v>
      </c>
      <c r="K354" s="37">
        <v>660</v>
      </c>
      <c r="L354" s="37" t="s">
        <v>85</v>
      </c>
      <c r="M354" s="1"/>
    </row>
    <row r="355" spans="4:15" x14ac:dyDescent="0.25">
      <c r="D355" s="1" t="s">
        <v>465</v>
      </c>
      <c r="E355" s="37">
        <v>770</v>
      </c>
      <c r="F355" s="37">
        <v>770</v>
      </c>
      <c r="G355" s="37">
        <v>550</v>
      </c>
      <c r="H355" s="37">
        <v>550</v>
      </c>
      <c r="I355" s="37">
        <v>550</v>
      </c>
      <c r="J355" s="37">
        <v>660</v>
      </c>
      <c r="K355" s="37">
        <v>660</v>
      </c>
      <c r="L355" s="37" t="s">
        <v>86</v>
      </c>
      <c r="M355" s="1"/>
    </row>
    <row r="356" spans="4:15" x14ac:dyDescent="0.25">
      <c r="D356" s="1" t="s">
        <v>466</v>
      </c>
      <c r="E356" s="37">
        <v>770</v>
      </c>
      <c r="F356" s="37">
        <v>770</v>
      </c>
      <c r="G356" s="37">
        <v>550</v>
      </c>
      <c r="H356" s="37">
        <v>550</v>
      </c>
      <c r="I356" s="37">
        <v>550</v>
      </c>
      <c r="J356" s="37">
        <v>660</v>
      </c>
      <c r="K356" s="37">
        <v>660</v>
      </c>
      <c r="L356" s="37" t="s">
        <v>87</v>
      </c>
      <c r="M356" s="1"/>
    </row>
    <row r="357" spans="4:15" x14ac:dyDescent="0.25">
      <c r="D357" s="1" t="s">
        <v>467</v>
      </c>
      <c r="E357" s="37">
        <v>770</v>
      </c>
      <c r="F357" s="37">
        <v>770</v>
      </c>
      <c r="G357" s="37">
        <v>550</v>
      </c>
      <c r="H357" s="37">
        <v>550</v>
      </c>
      <c r="I357" s="37">
        <v>550</v>
      </c>
      <c r="J357" s="37">
        <v>660</v>
      </c>
      <c r="K357" s="37">
        <v>660</v>
      </c>
      <c r="L357" s="37" t="s">
        <v>88</v>
      </c>
      <c r="M357" s="1"/>
    </row>
    <row r="358" spans="4:15" x14ac:dyDescent="0.25">
      <c r="D358" s="1" t="s">
        <v>217</v>
      </c>
      <c r="E358" s="37">
        <v>770</v>
      </c>
      <c r="F358" s="37">
        <v>770</v>
      </c>
      <c r="G358" s="37">
        <v>550</v>
      </c>
      <c r="H358" s="37">
        <v>550</v>
      </c>
      <c r="I358" s="37">
        <v>550</v>
      </c>
      <c r="J358" s="37">
        <v>660</v>
      </c>
      <c r="K358" s="37">
        <v>660</v>
      </c>
      <c r="L358" s="37" t="s">
        <v>89</v>
      </c>
      <c r="M358" s="1"/>
    </row>
    <row r="359" spans="4:15" x14ac:dyDescent="0.25">
      <c r="M359" s="1"/>
    </row>
    <row r="360" spans="4:15" x14ac:dyDescent="0.25">
      <c r="M360" s="1"/>
    </row>
    <row r="361" spans="4:15" x14ac:dyDescent="0.25">
      <c r="D361" s="37" t="s">
        <v>8</v>
      </c>
      <c r="E361" s="118" t="s">
        <v>130</v>
      </c>
      <c r="F361" s="118" t="s">
        <v>129</v>
      </c>
      <c r="G361" s="118" t="s">
        <v>164</v>
      </c>
      <c r="H361" s="118" t="s">
        <v>165</v>
      </c>
      <c r="I361" s="118" t="s">
        <v>166</v>
      </c>
      <c r="J361" s="118" t="s">
        <v>167</v>
      </c>
      <c r="K361" s="118" t="s">
        <v>168</v>
      </c>
      <c r="L361" s="118" t="s">
        <v>169</v>
      </c>
      <c r="M361" s="118" t="s">
        <v>170</v>
      </c>
      <c r="N361" s="118" t="s">
        <v>171</v>
      </c>
      <c r="O361" s="37" t="s">
        <v>236</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
        <v>493</v>
      </c>
      <c r="M372" s="1"/>
    </row>
    <row r="373" spans="4:15" x14ac:dyDescent="0.25">
      <c r="D373" s="5" t="s">
        <v>494</v>
      </c>
      <c r="M373" s="1"/>
    </row>
    <row r="374" spans="4:15" x14ac:dyDescent="0.25">
      <c r="D374" s="1" t="s">
        <v>348</v>
      </c>
      <c r="M374" s="1"/>
    </row>
    <row r="375" spans="4:15" x14ac:dyDescent="0.25">
      <c r="D375" s="54" t="s">
        <v>140</v>
      </c>
      <c r="E375" s="107" t="s">
        <v>266</v>
      </c>
      <c r="M375" s="1"/>
    </row>
    <row r="376" spans="4:15" x14ac:dyDescent="0.25">
      <c r="D376" s="55" t="s">
        <v>495</v>
      </c>
      <c r="M376" s="1"/>
    </row>
    <row r="377" spans="4:15" x14ac:dyDescent="0.25">
      <c r="D377" s="37" t="s">
        <v>8</v>
      </c>
      <c r="E377" s="37" t="s">
        <v>182</v>
      </c>
      <c r="F377" s="37" t="s">
        <v>137</v>
      </c>
      <c r="G377" s="37" t="s">
        <v>237</v>
      </c>
      <c r="M377" s="1"/>
    </row>
    <row r="378" spans="4:15" x14ac:dyDescent="0.25">
      <c r="D378" s="37" t="s">
        <v>82</v>
      </c>
      <c r="E378" s="37" t="s">
        <v>201</v>
      </c>
      <c r="F378" s="37">
        <v>99.191999999999993</v>
      </c>
      <c r="G378" s="37">
        <v>0.80800000000000005</v>
      </c>
      <c r="M378" s="1"/>
    </row>
    <row r="379" spans="4:15" x14ac:dyDescent="0.25">
      <c r="D379" s="1" t="s">
        <v>83</v>
      </c>
      <c r="E379" s="37" t="s">
        <v>201</v>
      </c>
      <c r="F379" s="37">
        <v>99.451999999999998</v>
      </c>
      <c r="G379" s="37">
        <v>0.54800000000000004</v>
      </c>
      <c r="M379" s="1"/>
    </row>
    <row r="380" spans="4:15" x14ac:dyDescent="0.25">
      <c r="D380" s="1" t="s">
        <v>86</v>
      </c>
      <c r="E380" s="37" t="s">
        <v>201</v>
      </c>
      <c r="F380" s="37">
        <v>99.759</v>
      </c>
      <c r="G380" s="37">
        <v>0.24099999999999999</v>
      </c>
      <c r="M380" s="1"/>
    </row>
    <row r="381" spans="4:15" x14ac:dyDescent="0.25">
      <c r="D381" s="1" t="s">
        <v>87</v>
      </c>
      <c r="E381" s="37" t="s">
        <v>201</v>
      </c>
      <c r="F381" s="37">
        <v>99.122</v>
      </c>
      <c r="G381" s="37">
        <v>0.878</v>
      </c>
      <c r="M381" s="1"/>
    </row>
    <row r="382" spans="4:15" x14ac:dyDescent="0.25">
      <c r="D382" s="1" t="s">
        <v>88</v>
      </c>
      <c r="E382" s="37" t="s">
        <v>201</v>
      </c>
      <c r="F382" s="37">
        <v>98.894000000000005</v>
      </c>
      <c r="G382" s="37">
        <v>1.1060000000000001</v>
      </c>
      <c r="M382" s="1"/>
    </row>
    <row r="383" spans="4:15" x14ac:dyDescent="0.25">
      <c r="D383" s="1" t="s">
        <v>89</v>
      </c>
      <c r="E383" s="37" t="s">
        <v>208</v>
      </c>
      <c r="F383" s="37">
        <v>99.622</v>
      </c>
      <c r="G383" s="37">
        <v>0.378</v>
      </c>
      <c r="M383" s="1"/>
    </row>
    <row r="384" spans="4:15" x14ac:dyDescent="0.25">
      <c r="D384" s="1" t="s">
        <v>89</v>
      </c>
      <c r="E384" s="37" t="s">
        <v>209</v>
      </c>
      <c r="F384" s="37">
        <v>99.998999999999995</v>
      </c>
      <c r="G384" s="37">
        <v>1E-3</v>
      </c>
      <c r="M384" s="1"/>
    </row>
    <row r="385" spans="4:13" x14ac:dyDescent="0.25">
      <c r="D385" s="1" t="s">
        <v>89</v>
      </c>
      <c r="E385" s="37" t="s">
        <v>204</v>
      </c>
      <c r="F385" s="37">
        <v>99.998999999999995</v>
      </c>
      <c r="G385" s="37">
        <v>1E-3</v>
      </c>
      <c r="M385" s="1"/>
    </row>
    <row r="386" spans="4:13" x14ac:dyDescent="0.25">
      <c r="D386" s="1" t="s">
        <v>84</v>
      </c>
      <c r="E386" s="37" t="s">
        <v>210</v>
      </c>
      <c r="F386" s="37">
        <v>99.998999999999995</v>
      </c>
      <c r="G386" s="37">
        <v>1E-3</v>
      </c>
      <c r="M386" s="1"/>
    </row>
    <row r="387" spans="4:13" x14ac:dyDescent="0.25">
      <c r="D387" s="1" t="s">
        <v>84</v>
      </c>
      <c r="E387" s="37" t="s">
        <v>211</v>
      </c>
      <c r="F387" s="37">
        <v>99.994</v>
      </c>
      <c r="G387" s="37">
        <v>6.0000000000000001E-3</v>
      </c>
      <c r="M387" s="1"/>
    </row>
    <row r="388" spans="4:13" x14ac:dyDescent="0.25">
      <c r="D388" s="1" t="s">
        <v>84</v>
      </c>
      <c r="E388" s="37" t="s">
        <v>212</v>
      </c>
      <c r="F388" s="37">
        <v>99.998999999999995</v>
      </c>
      <c r="G388" s="37">
        <v>1E-3</v>
      </c>
      <c r="M388" s="1"/>
    </row>
    <row r="389" spans="4:13" x14ac:dyDescent="0.25">
      <c r="D389" s="1" t="s">
        <v>85</v>
      </c>
      <c r="E389" s="37" t="s">
        <v>213</v>
      </c>
      <c r="F389" s="37">
        <v>99.772999999999996</v>
      </c>
      <c r="G389" s="37">
        <v>0.22700000000000001</v>
      </c>
      <c r="M389" s="1"/>
    </row>
    <row r="390" spans="4:13" x14ac:dyDescent="0.25">
      <c r="D390" s="1" t="s">
        <v>85</v>
      </c>
      <c r="E390" s="37" t="s">
        <v>214</v>
      </c>
      <c r="F390" s="37">
        <v>99.897999999999996</v>
      </c>
      <c r="G390" s="37">
        <v>0.10199999999999999</v>
      </c>
      <c r="M390" s="1"/>
    </row>
    <row r="391" spans="4:13" x14ac:dyDescent="0.25">
      <c r="D391" s="1" t="s">
        <v>85</v>
      </c>
      <c r="E391" s="37" t="s">
        <v>215</v>
      </c>
      <c r="F391" s="37">
        <v>99.978999999999999</v>
      </c>
      <c r="G391" s="37">
        <v>2.1000000000000001E-2</v>
      </c>
      <c r="M391" s="1"/>
    </row>
    <row r="392" spans="4:13" x14ac:dyDescent="0.25">
      <c r="D392" s="1" t="s">
        <v>85</v>
      </c>
      <c r="E392" s="37" t="s">
        <v>216</v>
      </c>
      <c r="F392" s="37">
        <v>99.977000000000004</v>
      </c>
      <c r="G392" s="37">
        <v>2.3E-2</v>
      </c>
      <c r="M392" s="1"/>
    </row>
    <row r="393" spans="4:13" x14ac:dyDescent="0.25">
      <c r="M393" s="1"/>
    </row>
    <row r="394" spans="4:13" x14ac:dyDescent="0.25">
      <c r="M394" s="1"/>
    </row>
    <row r="395" spans="4:13" ht="23.25" x14ac:dyDescent="0.25">
      <c r="D395" s="6" t="s">
        <v>496</v>
      </c>
      <c r="M395" s="1"/>
    </row>
    <row r="396" spans="4:13" x14ac:dyDescent="0.25">
      <c r="D396" s="5" t="s">
        <v>497</v>
      </c>
      <c r="M396" s="1"/>
    </row>
    <row r="397" spans="4:13" x14ac:dyDescent="0.25">
      <c r="D397" s="1" t="s">
        <v>498</v>
      </c>
      <c r="M397" s="1"/>
    </row>
    <row r="398" spans="4:13" x14ac:dyDescent="0.25">
      <c r="D398" s="54" t="s">
        <v>140</v>
      </c>
      <c r="M398" s="1"/>
    </row>
    <row r="399" spans="4:13" x14ac:dyDescent="0.25">
      <c r="D399" s="55" t="s">
        <v>495</v>
      </c>
      <c r="M399" s="1"/>
    </row>
    <row r="400" spans="4:13" x14ac:dyDescent="0.25">
      <c r="D400" s="37" t="s">
        <v>8</v>
      </c>
      <c r="E400" s="37" t="s">
        <v>182</v>
      </c>
      <c r="F400" s="37" t="s">
        <v>137</v>
      </c>
      <c r="G400" s="37" t="s">
        <v>237</v>
      </c>
      <c r="M400" s="1"/>
    </row>
    <row r="401" spans="4:13" x14ac:dyDescent="0.25">
      <c r="D401" s="37" t="s">
        <v>82</v>
      </c>
      <c r="E401" s="37" t="s">
        <v>201</v>
      </c>
      <c r="F401" s="37">
        <v>4.7000000000000002E-3</v>
      </c>
      <c r="G401" s="37">
        <v>0.71</v>
      </c>
      <c r="M401" s="1"/>
    </row>
    <row r="402" spans="4:13" x14ac:dyDescent="0.25">
      <c r="D402" s="37" t="s">
        <v>83</v>
      </c>
      <c r="E402" s="37" t="s">
        <v>201</v>
      </c>
      <c r="F402" s="37">
        <v>4.7000000000000002E-3</v>
      </c>
      <c r="G402" s="37">
        <v>0.75</v>
      </c>
      <c r="M402" s="1"/>
    </row>
    <row r="403" spans="4:13" x14ac:dyDescent="0.25">
      <c r="D403" s="37" t="s">
        <v>86</v>
      </c>
      <c r="E403" s="37" t="s">
        <v>201</v>
      </c>
      <c r="F403" s="37">
        <v>4.7000000000000002E-3</v>
      </c>
      <c r="G403" s="37">
        <v>0.74</v>
      </c>
      <c r="M403" s="1"/>
    </row>
    <row r="404" spans="4:13" x14ac:dyDescent="0.25">
      <c r="D404" s="37" t="s">
        <v>87</v>
      </c>
      <c r="E404" s="37" t="s">
        <v>201</v>
      </c>
      <c r="F404" s="37">
        <v>4.7000000000000002E-3</v>
      </c>
      <c r="G404" s="37">
        <v>0.7</v>
      </c>
      <c r="M404" s="1"/>
    </row>
    <row r="405" spans="4:13" x14ac:dyDescent="0.25">
      <c r="D405" s="37" t="s">
        <v>88</v>
      </c>
      <c r="E405" s="37" t="s">
        <v>201</v>
      </c>
      <c r="F405" s="37">
        <v>4.7000000000000002E-3</v>
      </c>
      <c r="G405" s="37">
        <v>0.74</v>
      </c>
      <c r="M405" s="1"/>
    </row>
    <row r="406" spans="4:13" x14ac:dyDescent="0.25">
      <c r="D406" s="37" t="s">
        <v>89</v>
      </c>
      <c r="E406" s="37" t="s">
        <v>208</v>
      </c>
      <c r="F406" s="37">
        <v>4.7000000000000002E-3</v>
      </c>
      <c r="G406" s="37">
        <v>0.76</v>
      </c>
      <c r="M406" s="1"/>
    </row>
    <row r="407" spans="4:13" x14ac:dyDescent="0.25">
      <c r="D407" s="37" t="s">
        <v>89</v>
      </c>
      <c r="E407" s="37" t="s">
        <v>209</v>
      </c>
      <c r="F407" s="37">
        <v>4.7000000000000002E-3</v>
      </c>
      <c r="G407" s="37">
        <v>0.76</v>
      </c>
      <c r="M407" s="1"/>
    </row>
    <row r="408" spans="4:13" x14ac:dyDescent="0.25">
      <c r="D408" s="37" t="s">
        <v>89</v>
      </c>
      <c r="E408" s="37" t="s">
        <v>204</v>
      </c>
      <c r="F408" s="37">
        <v>4.7000000000000002E-3</v>
      </c>
      <c r="G408" s="37">
        <v>0.76</v>
      </c>
      <c r="M408" s="1"/>
    </row>
    <row r="409" spans="4:13" x14ac:dyDescent="0.25">
      <c r="D409" s="37" t="s">
        <v>84</v>
      </c>
      <c r="E409" s="37" t="s">
        <v>210</v>
      </c>
      <c r="F409" s="37">
        <v>4.7000000000000002E-3</v>
      </c>
      <c r="G409" s="37">
        <v>0.8</v>
      </c>
      <c r="M409" s="1"/>
    </row>
    <row r="410" spans="4:13" x14ac:dyDescent="0.25">
      <c r="D410" s="37" t="s">
        <v>84</v>
      </c>
      <c r="E410" s="37" t="s">
        <v>211</v>
      </c>
      <c r="F410" s="37">
        <v>4.7000000000000002E-3</v>
      </c>
      <c r="G410" s="37">
        <v>0.8</v>
      </c>
      <c r="M410" s="1"/>
    </row>
    <row r="411" spans="4:13" x14ac:dyDescent="0.25">
      <c r="D411" s="37" t="s">
        <v>84</v>
      </c>
      <c r="E411" s="37" t="s">
        <v>212</v>
      </c>
      <c r="F411" s="37">
        <v>4.7000000000000002E-3</v>
      </c>
      <c r="G411" s="37">
        <v>0.8</v>
      </c>
      <c r="M411" s="1"/>
    </row>
    <row r="412" spans="4:13" x14ac:dyDescent="0.25">
      <c r="D412" s="37" t="s">
        <v>85</v>
      </c>
      <c r="E412" s="37" t="s">
        <v>213</v>
      </c>
      <c r="F412" s="37">
        <v>4.7000000000000002E-3</v>
      </c>
      <c r="G412" s="37">
        <v>0.78</v>
      </c>
      <c r="M412" s="1"/>
    </row>
    <row r="413" spans="4:13" x14ac:dyDescent="0.25">
      <c r="D413" s="37" t="s">
        <v>85</v>
      </c>
      <c r="E413" s="37" t="s">
        <v>214</v>
      </c>
      <c r="F413" s="37">
        <v>4.7000000000000002E-3</v>
      </c>
      <c r="G413" s="37">
        <v>0.78</v>
      </c>
      <c r="M413" s="1"/>
    </row>
    <row r="414" spans="4:13" x14ac:dyDescent="0.25">
      <c r="D414" s="37" t="s">
        <v>85</v>
      </c>
      <c r="E414" s="37" t="s">
        <v>215</v>
      </c>
      <c r="F414" s="37">
        <v>4.7000000000000002E-3</v>
      </c>
      <c r="G414" s="37">
        <v>0.78</v>
      </c>
      <c r="M414" s="1"/>
    </row>
    <row r="415" spans="4:13" x14ac:dyDescent="0.25">
      <c r="D415" s="37" t="s">
        <v>85</v>
      </c>
      <c r="E415" s="37" t="s">
        <v>216</v>
      </c>
      <c r="F415" s="37">
        <v>4.7000000000000002E-3</v>
      </c>
      <c r="G415" s="37">
        <v>0.78</v>
      </c>
      <c r="M415" s="1"/>
    </row>
    <row r="416" spans="4:13" x14ac:dyDescent="0.25">
      <c r="M416" s="1"/>
    </row>
    <row r="417" spans="4:13" x14ac:dyDescent="0.25">
      <c r="M417" s="1"/>
    </row>
    <row r="418" spans="4:13" ht="23.25" x14ac:dyDescent="0.25">
      <c r="D418" s="6" t="s">
        <v>499</v>
      </c>
      <c r="M418" s="1"/>
    </row>
    <row r="419" spans="4:13" x14ac:dyDescent="0.25">
      <c r="D419" s="5" t="s">
        <v>500</v>
      </c>
      <c r="M419" s="1"/>
    </row>
    <row r="420" spans="4:13" x14ac:dyDescent="0.25">
      <c r="D420" s="1" t="s">
        <v>394</v>
      </c>
      <c r="M420" s="1"/>
    </row>
    <row r="421" spans="4:13" x14ac:dyDescent="0.25">
      <c r="D421" s="54" t="s">
        <v>140</v>
      </c>
      <c r="M421" s="1"/>
    </row>
    <row r="422" spans="4:13" x14ac:dyDescent="0.25">
      <c r="D422" s="53">
        <v>0.08</v>
      </c>
      <c r="M422" s="1"/>
    </row>
    <row r="423" spans="4:13" x14ac:dyDescent="0.25">
      <c r="M423" s="1"/>
    </row>
    <row r="424" spans="4:13" ht="23.25" x14ac:dyDescent="0.25">
      <c r="D424" s="6" t="s">
        <v>501</v>
      </c>
      <c r="M424" s="1"/>
    </row>
    <row r="425" spans="4:13" x14ac:dyDescent="0.25">
      <c r="D425" s="5" t="s">
        <v>500</v>
      </c>
      <c r="M425" s="1"/>
    </row>
    <row r="426" spans="4:13" x14ac:dyDescent="0.25">
      <c r="D426" s="1" t="s">
        <v>502</v>
      </c>
      <c r="M426" s="1"/>
    </row>
    <row r="427" spans="4:13" x14ac:dyDescent="0.25">
      <c r="D427" s="54" t="s">
        <v>503</v>
      </c>
      <c r="M427" s="1"/>
    </row>
    <row r="428" spans="4:13" x14ac:dyDescent="0.25">
      <c r="D428" s="53">
        <v>0.19</v>
      </c>
      <c r="M428" s="1"/>
    </row>
    <row r="429" spans="4:13" x14ac:dyDescent="0.25">
      <c r="M429" s="1"/>
    </row>
    <row r="430" spans="4:13" ht="23.25" x14ac:dyDescent="0.25">
      <c r="D430" s="6" t="s">
        <v>504</v>
      </c>
      <c r="M430" s="1"/>
    </row>
    <row r="431" spans="4:13" x14ac:dyDescent="0.25">
      <c r="D431" s="5" t="s">
        <v>500</v>
      </c>
      <c r="M431" s="1"/>
    </row>
    <row r="432" spans="4:13" x14ac:dyDescent="0.25">
      <c r="D432" s="1" t="s">
        <v>505</v>
      </c>
      <c r="M432" s="1"/>
    </row>
    <row r="433" spans="4:13" x14ac:dyDescent="0.25">
      <c r="D433" s="54" t="s">
        <v>140</v>
      </c>
      <c r="M433" s="1"/>
    </row>
    <row r="434" spans="4:13" x14ac:dyDescent="0.25">
      <c r="D434" s="53">
        <v>0.21</v>
      </c>
      <c r="M434" s="1"/>
    </row>
    <row r="435" spans="4:13" x14ac:dyDescent="0.25">
      <c r="M435" s="1"/>
    </row>
    <row r="436" spans="4:13" ht="23.25" x14ac:dyDescent="0.25">
      <c r="D436" s="6" t="s">
        <v>506</v>
      </c>
      <c r="M436" s="1"/>
    </row>
    <row r="437" spans="4:13" x14ac:dyDescent="0.25">
      <c r="D437" s="5" t="s">
        <v>500</v>
      </c>
      <c r="M437" s="1"/>
    </row>
    <row r="438" spans="4:13" x14ac:dyDescent="0.25">
      <c r="D438" s="1" t="s">
        <v>507</v>
      </c>
      <c r="M438" s="1"/>
    </row>
    <row r="439" spans="4:13" x14ac:dyDescent="0.25">
      <c r="D439" s="54" t="s">
        <v>140</v>
      </c>
      <c r="M439" s="1"/>
    </row>
    <row r="440" spans="4:13" x14ac:dyDescent="0.25">
      <c r="D440" s="53">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508</v>
      </c>
      <c r="BM5" s="3"/>
    </row>
    <row r="6" spans="1:65" ht="20.100000000000001" customHeight="1" x14ac:dyDescent="0.25">
      <c r="A6"/>
      <c r="D6" s="37" t="s">
        <v>22</v>
      </c>
      <c r="E6" s="37" t="s">
        <v>23</v>
      </c>
      <c r="F6" s="37" t="s">
        <v>24</v>
      </c>
    </row>
    <row r="7" spans="1:65" ht="20.100000000000001" customHeight="1" x14ac:dyDescent="0.25">
      <c r="A7"/>
      <c r="D7" s="37" t="s">
        <v>509</v>
      </c>
      <c r="E7" s="37" t="s">
        <v>509</v>
      </c>
      <c r="F7" s="37" t="s">
        <v>83</v>
      </c>
    </row>
    <row r="8" spans="1:65" ht="20.100000000000001" customHeight="1" x14ac:dyDescent="0.25">
      <c r="A8"/>
      <c r="D8" s="37" t="s">
        <v>510</v>
      </c>
      <c r="E8" s="37" t="s">
        <v>82</v>
      </c>
      <c r="F8" s="37" t="s">
        <v>82</v>
      </c>
    </row>
    <row r="9" spans="1:65" ht="20.100000000000001" customHeight="1" x14ac:dyDescent="0.25">
      <c r="A9"/>
      <c r="D9" s="37" t="s">
        <v>467</v>
      </c>
      <c r="E9" s="37" t="s">
        <v>467</v>
      </c>
      <c r="F9" s="37" t="s">
        <v>88</v>
      </c>
    </row>
    <row r="10" spans="1:65" ht="20.100000000000001" customHeight="1" x14ac:dyDescent="0.25">
      <c r="A10"/>
      <c r="D10" s="37" t="s">
        <v>472</v>
      </c>
      <c r="E10" s="37" t="s">
        <v>472</v>
      </c>
      <c r="F10" s="37" t="s">
        <v>85</v>
      </c>
    </row>
    <row r="11" spans="1:65" ht="20.100000000000001" customHeight="1" x14ac:dyDescent="0.25">
      <c r="A11"/>
      <c r="D11" s="37" t="s">
        <v>465</v>
      </c>
      <c r="E11" s="37" t="s">
        <v>465</v>
      </c>
      <c r="F11" s="37" t="s">
        <v>86</v>
      </c>
      <c r="BM11" s="3"/>
    </row>
    <row r="12" spans="1:65" ht="20.100000000000001" customHeight="1" x14ac:dyDescent="0.25">
      <c r="A12"/>
      <c r="D12" s="37" t="s">
        <v>217</v>
      </c>
      <c r="E12" s="37" t="s">
        <v>217</v>
      </c>
      <c r="F12" s="37" t="s">
        <v>89</v>
      </c>
      <c r="BM12" s="3"/>
    </row>
    <row r="13" spans="1:65" ht="20.100000000000001" customHeight="1" x14ac:dyDescent="0.25">
      <c r="A13"/>
      <c r="D13" s="37" t="s">
        <v>466</v>
      </c>
      <c r="E13" s="37" t="s">
        <v>466</v>
      </c>
      <c r="F13" s="37" t="s">
        <v>87</v>
      </c>
    </row>
    <row r="14" spans="1:65" ht="20.100000000000001" customHeight="1" x14ac:dyDescent="0.25">
      <c r="A14"/>
      <c r="D14" s="37" t="s">
        <v>470</v>
      </c>
      <c r="E14" s="37" t="s">
        <v>470</v>
      </c>
      <c r="F14" s="37" t="s">
        <v>84</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511</v>
      </c>
    </row>
    <row r="19" spans="1:4" ht="20.100000000000001" customHeight="1" x14ac:dyDescent="0.25">
      <c r="A19"/>
      <c r="D19" s="5" t="s">
        <v>512</v>
      </c>
    </row>
    <row r="20" spans="1:4" ht="20.100000000000001" customHeight="1" x14ac:dyDescent="0.25">
      <c r="A20"/>
      <c r="D20" s="37" t="s">
        <v>25</v>
      </c>
    </row>
    <row r="21" spans="1:4" ht="20.100000000000001" customHeight="1" x14ac:dyDescent="0.25">
      <c r="A21"/>
      <c r="D21" s="37" t="s">
        <v>513</v>
      </c>
    </row>
    <row r="22" spans="1:4" ht="20.100000000000001" customHeight="1" x14ac:dyDescent="0.25">
      <c r="A22"/>
      <c r="D22" s="37" t="s">
        <v>514</v>
      </c>
    </row>
    <row r="23" spans="1:4" ht="20.100000000000001" customHeight="1" x14ac:dyDescent="0.25">
      <c r="A23"/>
      <c r="D23" s="37" t="s">
        <v>515</v>
      </c>
    </row>
    <row r="24" spans="1:4" ht="20.100000000000001" customHeight="1" x14ac:dyDescent="0.25">
      <c r="A24"/>
      <c r="D24" s="37" t="s">
        <v>516</v>
      </c>
    </row>
    <row r="25" spans="1:4" ht="20.100000000000001" customHeight="1" x14ac:dyDescent="0.25">
      <c r="A25"/>
      <c r="D25" s="37" t="s">
        <v>517</v>
      </c>
    </row>
    <row r="26" spans="1:4" ht="20.100000000000001" customHeight="1" x14ac:dyDescent="0.25">
      <c r="A26"/>
      <c r="D26" s="37" t="s">
        <v>518</v>
      </c>
    </row>
    <row r="27" spans="1:4" ht="20.100000000000001" customHeight="1" x14ac:dyDescent="0.25">
      <c r="A27"/>
      <c r="D27" s="37" t="s">
        <v>519</v>
      </c>
    </row>
    <row r="28" spans="1:4" ht="20.100000000000001" customHeight="1" x14ac:dyDescent="0.25">
      <c r="A28"/>
      <c r="D28" s="37" t="s">
        <v>520</v>
      </c>
    </row>
    <row r="29" spans="1:4" ht="20.100000000000001" customHeight="1" x14ac:dyDescent="0.25">
      <c r="A29"/>
      <c r="D29" s="37" t="s">
        <v>521</v>
      </c>
    </row>
    <row r="30" spans="1:4" ht="20.100000000000001" customHeight="1" x14ac:dyDescent="0.25">
      <c r="A30"/>
      <c r="D30" s="37" t="s">
        <v>34</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522</v>
      </c>
    </row>
    <row r="35" spans="1:8" ht="20.100000000000001" customHeight="1" x14ac:dyDescent="0.25">
      <c r="A35"/>
      <c r="D35" s="5" t="s">
        <v>523</v>
      </c>
    </row>
    <row r="36" spans="1:8" ht="20.100000000000001" customHeight="1" x14ac:dyDescent="0.25">
      <c r="A36"/>
      <c r="D36" s="37" t="s">
        <v>27</v>
      </c>
      <c r="E36" s="37" t="s">
        <v>28</v>
      </c>
    </row>
    <row r="37" spans="1:8" ht="20.100000000000001" customHeight="1" x14ac:dyDescent="0.25">
      <c r="A37"/>
      <c r="D37" s="37" t="s">
        <v>524</v>
      </c>
      <c r="E37" s="37">
        <v>1</v>
      </c>
    </row>
    <row r="38" spans="1:8" ht="20.100000000000001" customHeight="1" x14ac:dyDescent="0.25">
      <c r="A38"/>
      <c r="D38" s="37" t="s">
        <v>525</v>
      </c>
      <c r="E38" s="37">
        <v>28</v>
      </c>
    </row>
    <row r="39" spans="1:8" ht="20.100000000000001" customHeight="1" x14ac:dyDescent="0.25">
      <c r="A39"/>
      <c r="D39" s="37" t="s">
        <v>526</v>
      </c>
      <c r="E39" s="37">
        <v>265</v>
      </c>
    </row>
    <row r="40" spans="1:8" ht="20.100000000000001" customHeight="1" x14ac:dyDescent="0.25">
      <c r="A40"/>
      <c r="D40" s="37" t="s">
        <v>527</v>
      </c>
      <c r="E40" s="37">
        <v>6630</v>
      </c>
    </row>
    <row r="41" spans="1:8" ht="20.100000000000001" customHeight="1" x14ac:dyDescent="0.25">
      <c r="A41"/>
      <c r="D41" s="37" t="s">
        <v>528</v>
      </c>
      <c r="E41" s="37">
        <v>12200</v>
      </c>
    </row>
    <row r="42" spans="1:8" ht="20.100000000000001" customHeight="1" x14ac:dyDescent="0.25">
      <c r="D42" s="37" t="s">
        <v>529</v>
      </c>
      <c r="E42" s="37">
        <v>22800</v>
      </c>
    </row>
    <row r="43" spans="1:8" ht="20.100000000000001" customHeight="1" x14ac:dyDescent="0.25">
      <c r="D43" s="37" t="s">
        <v>530</v>
      </c>
      <c r="E43" s="37">
        <v>17200</v>
      </c>
    </row>
    <row r="44" spans="1:8" ht="20.100000000000001" customHeight="1" x14ac:dyDescent="0.25"/>
    <row r="45" spans="1:8" ht="20.100000000000001" customHeight="1" x14ac:dyDescent="0.25">
      <c r="D45" s="6" t="s">
        <v>531</v>
      </c>
    </row>
    <row r="46" spans="1:8" ht="20.100000000000001" customHeight="1" x14ac:dyDescent="0.25">
      <c r="D46" s="5" t="s">
        <v>523</v>
      </c>
    </row>
    <row r="47" spans="1:8" ht="20.100000000000001" customHeight="1" x14ac:dyDescent="0.25">
      <c r="D47" s="37" t="s">
        <v>27</v>
      </c>
      <c r="E47" s="37" t="s">
        <v>30</v>
      </c>
      <c r="F47" s="37" t="s">
        <v>31</v>
      </c>
      <c r="G47" s="37" t="s">
        <v>32</v>
      </c>
      <c r="H47" s="37" t="s">
        <v>33</v>
      </c>
    </row>
    <row r="48" spans="1:8" ht="20.100000000000001" customHeight="1" x14ac:dyDescent="0.25">
      <c r="D48" s="37" t="s">
        <v>524</v>
      </c>
      <c r="E48" s="37" t="s">
        <v>532</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525</v>
      </c>
      <c r="E49" s="37" t="s">
        <v>533</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526</v>
      </c>
      <c r="E50" s="37" t="s">
        <v>534</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535</v>
      </c>
      <c r="E51" s="37" t="s">
        <v>536</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537</v>
      </c>
      <c r="E52" s="37" t="s">
        <v>538</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539</v>
      </c>
      <c r="E53" s="37" t="s">
        <v>532</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540</v>
      </c>
      <c r="E54" s="37" t="s">
        <v>541</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542</v>
      </c>
    </row>
    <row r="58" spans="4:8" ht="20.100000000000001" customHeight="1" x14ac:dyDescent="0.25">
      <c r="D58" s="5" t="s">
        <v>543</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48</v>
      </c>
    </row>
    <row r="64" spans="4:8" ht="20.100000000000001" customHeight="1" x14ac:dyDescent="0.25">
      <c r="D64" s="37" t="s">
        <v>544</v>
      </c>
      <c r="E64" s="37" t="s">
        <v>545</v>
      </c>
    </row>
    <row r="65" spans="4:5" ht="20.100000000000001" customHeight="1" x14ac:dyDescent="0.25">
      <c r="D65" s="37" t="s">
        <v>546</v>
      </c>
      <c r="E65" s="37" t="s">
        <v>545</v>
      </c>
    </row>
    <row r="66" spans="4:5" ht="20.100000000000001" customHeight="1" x14ac:dyDescent="0.25">
      <c r="D66" s="37" t="s">
        <v>547</v>
      </c>
      <c r="E66" s="37" t="s">
        <v>545</v>
      </c>
    </row>
    <row r="67" spans="4:5" ht="20.100000000000001" customHeight="1" x14ac:dyDescent="0.25">
      <c r="D67" s="37" t="s">
        <v>548</v>
      </c>
      <c r="E67" s="37" t="s">
        <v>549</v>
      </c>
    </row>
    <row r="68" spans="4:5" ht="20.100000000000001" customHeight="1" x14ac:dyDescent="0.25">
      <c r="D68" s="37" t="s">
        <v>550</v>
      </c>
      <c r="E68" s="37" t="s">
        <v>545</v>
      </c>
    </row>
    <row r="69" spans="4:5" ht="20.100000000000001" customHeight="1" x14ac:dyDescent="0.25">
      <c r="D69" s="37" t="s">
        <v>551</v>
      </c>
      <c r="E69" s="37" t="s">
        <v>549</v>
      </c>
    </row>
    <row r="70" spans="4:5" ht="20.100000000000001" customHeight="1" x14ac:dyDescent="0.25">
      <c r="D70" s="37" t="s">
        <v>552</v>
      </c>
      <c r="E70" s="37" t="s">
        <v>545</v>
      </c>
    </row>
    <row r="71" spans="4:5" ht="20.100000000000001" customHeight="1" x14ac:dyDescent="0.25">
      <c r="D71" s="37" t="s">
        <v>553</v>
      </c>
      <c r="E71" s="37" t="s">
        <v>549</v>
      </c>
    </row>
    <row r="72" spans="4:5" ht="20.100000000000001" customHeight="1" x14ac:dyDescent="0.25">
      <c r="D72" s="37" t="s">
        <v>554</v>
      </c>
      <c r="E72" s="37" t="s">
        <v>545</v>
      </c>
    </row>
    <row r="73" spans="4:5" ht="20.100000000000001" customHeight="1" x14ac:dyDescent="0.25">
      <c r="D73" s="37" t="s">
        <v>555</v>
      </c>
      <c r="E73" s="37" t="s">
        <v>549</v>
      </c>
    </row>
    <row r="74" spans="4:5" ht="20.100000000000001" customHeight="1" x14ac:dyDescent="0.25">
      <c r="D74" s="37" t="s">
        <v>556</v>
      </c>
      <c r="E74" s="37" t="s">
        <v>545</v>
      </c>
    </row>
    <row r="75" spans="4:5" ht="20.100000000000001" customHeight="1" x14ac:dyDescent="0.25">
      <c r="D75" s="37" t="s">
        <v>557</v>
      </c>
      <c r="E75" s="37" t="s">
        <v>549</v>
      </c>
    </row>
    <row r="76" spans="4:5" ht="20.100000000000001" customHeight="1" x14ac:dyDescent="0.25">
      <c r="D76" s="37" t="s">
        <v>558</v>
      </c>
      <c r="E76" s="37" t="s">
        <v>545</v>
      </c>
    </row>
    <row r="77" spans="4:5" ht="20.100000000000001" customHeight="1" x14ac:dyDescent="0.25">
      <c r="D77" s="37" t="s">
        <v>559</v>
      </c>
      <c r="E77" s="37" t="s">
        <v>549</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560</v>
      </c>
    </row>
    <row r="82" spans="4:20" ht="20.100000000000001" customHeight="1" x14ac:dyDescent="0.25">
      <c r="D82" s="5" t="s">
        <v>561</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
        <v>544</v>
      </c>
      <c r="E90" s="37" t="s">
        <v>562</v>
      </c>
      <c r="F90" s="37" t="s">
        <v>563</v>
      </c>
      <c r="G90" s="37" t="s">
        <v>564</v>
      </c>
      <c r="H90" s="37" t="s">
        <v>565</v>
      </c>
      <c r="I90" s="37" t="s">
        <v>563</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546</v>
      </c>
      <c r="E91" s="37" t="s">
        <v>562</v>
      </c>
      <c r="F91" s="37" t="s">
        <v>566</v>
      </c>
      <c r="G91" s="37" t="s">
        <v>564</v>
      </c>
      <c r="H91" s="37" t="s">
        <v>567</v>
      </c>
      <c r="I91" s="37" t="s">
        <v>563</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547</v>
      </c>
      <c r="E92" s="37" t="s">
        <v>562</v>
      </c>
      <c r="F92" s="37" t="s">
        <v>568</v>
      </c>
      <c r="G92" s="37" t="s">
        <v>564</v>
      </c>
      <c r="H92" s="37" t="s">
        <v>567</v>
      </c>
      <c r="I92" s="37" t="s">
        <v>563</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548</v>
      </c>
      <c r="E93" s="37" t="s">
        <v>562</v>
      </c>
      <c r="F93" s="37" t="s">
        <v>569</v>
      </c>
      <c r="G93" s="37" t="s">
        <v>564</v>
      </c>
      <c r="H93" s="37" t="s">
        <v>567</v>
      </c>
      <c r="I93" s="37" t="s">
        <v>563</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550</v>
      </c>
      <c r="E94" s="37" t="s">
        <v>570</v>
      </c>
      <c r="F94" s="37" t="s">
        <v>563</v>
      </c>
      <c r="G94" s="37" t="s">
        <v>563</v>
      </c>
      <c r="H94" s="37" t="s">
        <v>563</v>
      </c>
      <c r="I94" s="37" t="s">
        <v>571</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551</v>
      </c>
      <c r="E95" s="37" t="s">
        <v>570</v>
      </c>
      <c r="F95" s="37" t="s">
        <v>563</v>
      </c>
      <c r="G95" s="37" t="s">
        <v>563</v>
      </c>
      <c r="H95" s="37" t="s">
        <v>563</v>
      </c>
      <c r="I95" s="37" t="s">
        <v>572</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552</v>
      </c>
      <c r="E96" s="37" t="s">
        <v>573</v>
      </c>
      <c r="F96" s="37" t="s">
        <v>563</v>
      </c>
      <c r="G96" s="37" t="s">
        <v>563</v>
      </c>
      <c r="H96" s="37" t="s">
        <v>563</v>
      </c>
      <c r="I96" s="37" t="s">
        <v>571</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553</v>
      </c>
      <c r="E97" s="37" t="s">
        <v>573</v>
      </c>
      <c r="F97" s="37" t="s">
        <v>563</v>
      </c>
      <c r="G97" s="37" t="s">
        <v>563</v>
      </c>
      <c r="H97" s="37" t="s">
        <v>563</v>
      </c>
      <c r="I97" s="37" t="s">
        <v>572</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4" t="s">
        <v>574</v>
      </c>
    </row>
    <row r="100" spans="4:20" ht="20.100000000000001" customHeight="1" x14ac:dyDescent="0.25">
      <c r="D100" s="54" t="s">
        <v>575</v>
      </c>
    </row>
    <row r="101" spans="4:20" ht="20.100000000000001" customHeight="1" x14ac:dyDescent="0.25">
      <c r="D101" s="54" t="s">
        <v>576</v>
      </c>
    </row>
    <row r="102" spans="4:20" ht="20.100000000000001" customHeight="1" x14ac:dyDescent="0.25">
      <c r="D102" s="54" t="s">
        <v>577</v>
      </c>
    </row>
    <row r="103" spans="4:20" ht="20.100000000000001" customHeight="1" x14ac:dyDescent="0.25">
      <c r="D103" s="54"/>
    </row>
    <row r="104" spans="4:20" ht="20.100000000000001" customHeight="1" x14ac:dyDescent="0.25"/>
    <row r="105" spans="4:20" ht="20.100000000000001" customHeight="1" x14ac:dyDescent="0.25">
      <c r="D105" s="6" t="s">
        <v>578</v>
      </c>
    </row>
    <row r="106" spans="4:20" ht="20.100000000000001" customHeight="1" x14ac:dyDescent="0.25">
      <c r="D106" s="5" t="s">
        <v>561</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
        <v>579</v>
      </c>
      <c r="E110" s="37" t="s">
        <v>580</v>
      </c>
      <c r="F110" s="37">
        <v>26</v>
      </c>
      <c r="G110" s="37">
        <v>999999</v>
      </c>
    </row>
    <row r="111" spans="4:20" ht="20.100000000000001" customHeight="1" x14ac:dyDescent="0.25">
      <c r="D111" s="37" t="s">
        <v>581</v>
      </c>
      <c r="E111" s="37" t="s">
        <v>582</v>
      </c>
      <c r="F111" s="37">
        <v>15</v>
      </c>
      <c r="G111" s="37">
        <v>25.998999999999999</v>
      </c>
    </row>
    <row r="112" spans="4:20" ht="20.100000000000001" customHeight="1" x14ac:dyDescent="0.25">
      <c r="D112" s="37" t="s">
        <v>583</v>
      </c>
      <c r="E112" s="37" t="s">
        <v>584</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585</v>
      </c>
      <c r="BN115" s="7"/>
    </row>
    <row r="116" spans="4:66" ht="20.100000000000001" customHeight="1" x14ac:dyDescent="0.25">
      <c r="D116" s="5" t="s">
        <v>561</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
        <v>586</v>
      </c>
      <c r="E120" s="37" t="s">
        <v>587</v>
      </c>
      <c r="F120" s="37">
        <v>600.00099999999998</v>
      </c>
      <c r="G120" s="37">
        <v>999999</v>
      </c>
      <c r="BN120" s="7"/>
    </row>
    <row r="121" spans="4:66" ht="20.100000000000001" customHeight="1" x14ac:dyDescent="0.25">
      <c r="D121" s="37" t="s">
        <v>588</v>
      </c>
      <c r="E121" s="37" t="s">
        <v>589</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590</v>
      </c>
    </row>
    <row r="125" spans="4:66" ht="20.100000000000001" customHeight="1" x14ac:dyDescent="0.25">
      <c r="D125" s="5" t="s">
        <v>561</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
        <v>591</v>
      </c>
      <c r="E128" s="37" t="s">
        <v>592</v>
      </c>
    </row>
    <row r="129" spans="4:77" ht="20.100000000000001" customHeight="1" x14ac:dyDescent="0.25">
      <c r="D129" s="37" t="s">
        <v>593</v>
      </c>
      <c r="E129" s="37" t="s">
        <v>594</v>
      </c>
    </row>
    <row r="130" spans="4:77" ht="20.100000000000001" customHeight="1" x14ac:dyDescent="0.25"/>
    <row r="131" spans="4:77" ht="20.100000000000001" customHeight="1" x14ac:dyDescent="0.25"/>
    <row r="132" spans="4:77" ht="20.100000000000001" customHeight="1" x14ac:dyDescent="0.25">
      <c r="D132" s="6" t="s">
        <v>595</v>
      </c>
      <c r="E132" s="22"/>
    </row>
    <row r="133" spans="4:77" ht="20.100000000000001" customHeight="1" x14ac:dyDescent="0.25">
      <c r="D133" s="5" t="s">
        <v>596</v>
      </c>
      <c r="E133" s="22"/>
    </row>
    <row r="134" spans="4:77" ht="20.100000000000001" customHeight="1" x14ac:dyDescent="0.25">
      <c r="D134" t="s">
        <v>93</v>
      </c>
      <c r="E134" t="s">
        <v>94</v>
      </c>
    </row>
    <row r="135" spans="4:77" ht="20.100000000000001" customHeight="1" x14ac:dyDescent="0.25">
      <c r="D135" t="s">
        <v>597</v>
      </c>
      <c r="E135">
        <v>1</v>
      </c>
    </row>
    <row r="136" spans="4:77" ht="20.100000000000001" customHeight="1" x14ac:dyDescent="0.25">
      <c r="D136" s="1" t="s">
        <v>598</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599</v>
      </c>
      <c r="BN139" s="7"/>
      <c r="BO139" s="7"/>
      <c r="BP139" s="7"/>
      <c r="BQ139" s="7"/>
      <c r="BR139" s="7"/>
      <c r="BS139" s="7"/>
      <c r="BT139" s="7"/>
      <c r="BU139" s="7"/>
      <c r="BV139" s="7"/>
      <c r="BW139" s="7"/>
      <c r="BX139" s="7"/>
      <c r="BY139" s="7"/>
    </row>
    <row r="140" spans="4:77" ht="20.100000000000001" customHeight="1" x14ac:dyDescent="0.25">
      <c r="D140" s="5" t="s">
        <v>600</v>
      </c>
      <c r="BN140" s="7"/>
      <c r="BO140" s="7"/>
      <c r="BP140" s="7"/>
      <c r="BQ140" s="7"/>
      <c r="BR140" s="7"/>
      <c r="BS140" s="7"/>
      <c r="BT140" s="7"/>
      <c r="BU140" s="7"/>
      <c r="BV140" s="7"/>
      <c r="BW140" s="7"/>
      <c r="BX140" s="7"/>
      <c r="BY140" s="7"/>
    </row>
    <row r="141" spans="4:77" ht="20.100000000000001" customHeight="1" x14ac:dyDescent="0.25">
      <c r="D141" s="55" t="s">
        <v>601</v>
      </c>
      <c r="BN141" s="7"/>
    </row>
    <row r="142" spans="4:77" ht="20.100000000000001" customHeight="1" x14ac:dyDescent="0.25">
      <c r="D142" s="37" t="s">
        <v>151</v>
      </c>
      <c r="E142" s="37" t="s">
        <v>94</v>
      </c>
      <c r="BN142" s="7"/>
    </row>
    <row r="143" spans="4:77" ht="20.100000000000001" customHeight="1" x14ac:dyDescent="0.25">
      <c r="D143" s="37" t="s">
        <v>120</v>
      </c>
      <c r="E143" s="37">
        <v>0</v>
      </c>
      <c r="BN143" s="7"/>
    </row>
    <row r="144" spans="4:77" ht="20.100000000000001" customHeight="1" x14ac:dyDescent="0.25">
      <c r="D144" s="1" t="s">
        <v>121</v>
      </c>
      <c r="E144" s="37">
        <v>0</v>
      </c>
      <c r="BN144" s="7"/>
    </row>
    <row r="145" spans="4:66" ht="20.100000000000001" customHeight="1" x14ac:dyDescent="0.25">
      <c r="D145" s="1" t="s">
        <v>122</v>
      </c>
      <c r="E145" s="37">
        <v>1</v>
      </c>
      <c r="BN145" s="7"/>
    </row>
    <row r="146" spans="4:66" ht="20.100000000000001" customHeight="1" x14ac:dyDescent="0.25">
      <c r="D146" s="1" t="s">
        <v>123</v>
      </c>
      <c r="E146" s="37">
        <v>1</v>
      </c>
      <c r="BN146" s="7"/>
    </row>
    <row r="147" spans="4:66" ht="20.100000000000001" customHeight="1" x14ac:dyDescent="0.25">
      <c r="D147" s="1" t="s">
        <v>124</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602</v>
      </c>
      <c r="BN150" s="7"/>
    </row>
    <row r="151" spans="4:66" ht="20.100000000000001" customHeight="1" x14ac:dyDescent="0.25">
      <c r="D151" s="5" t="s">
        <v>603</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
        <v>604</v>
      </c>
      <c r="E154" s="37">
        <v>1</v>
      </c>
      <c r="BC154" s="3"/>
      <c r="BD154" s="3"/>
      <c r="BE154" s="3"/>
      <c r="BF154" s="3"/>
      <c r="BG154" s="3"/>
      <c r="BH154" s="3"/>
      <c r="BI154" s="3"/>
      <c r="BJ154" s="3"/>
      <c r="BK154" s="3"/>
      <c r="BL154" s="3"/>
      <c r="BM154" s="3"/>
    </row>
    <row r="155" spans="4:66" ht="20.100000000000001" customHeight="1" x14ac:dyDescent="0.25">
      <c r="D155" s="37" t="s">
        <v>605</v>
      </c>
      <c r="E155" s="37">
        <v>2</v>
      </c>
      <c r="BC155" s="3"/>
      <c r="BD155" s="3"/>
      <c r="BE155" s="3"/>
      <c r="BF155" s="3"/>
      <c r="BG155" s="3"/>
      <c r="BH155" s="3"/>
      <c r="BI155" s="3"/>
      <c r="BJ155" s="3"/>
      <c r="BK155" s="3"/>
      <c r="BL155" s="3"/>
      <c r="BM155" s="3"/>
    </row>
    <row r="156" spans="4:66" ht="20.100000000000001" customHeight="1" x14ac:dyDescent="0.25">
      <c r="D156" s="37" t="s">
        <v>606</v>
      </c>
      <c r="E156" s="37">
        <v>3</v>
      </c>
    </row>
    <row r="157" spans="4:66" ht="20.100000000000001" customHeight="1" x14ac:dyDescent="0.25">
      <c r="D157" s="37" t="s">
        <v>607</v>
      </c>
      <c r="E157" s="37">
        <v>4</v>
      </c>
    </row>
    <row r="158" spans="4:66" ht="20.100000000000001" customHeight="1" x14ac:dyDescent="0.25">
      <c r="D158" s="37" t="s">
        <v>608</v>
      </c>
      <c r="E158" s="37">
        <v>5</v>
      </c>
    </row>
    <row r="159" spans="4:66" ht="20.100000000000001" customHeight="1" x14ac:dyDescent="0.25"/>
    <row r="160" spans="4:66" ht="20.100000000000001" customHeight="1" x14ac:dyDescent="0.25"/>
    <row r="161" spans="4:68" ht="20.100000000000001" customHeight="1" x14ac:dyDescent="0.25">
      <c r="D161" s="6" t="s">
        <v>595</v>
      </c>
      <c r="E161" s="22"/>
    </row>
    <row r="162" spans="4:68" ht="20.100000000000001" customHeight="1" x14ac:dyDescent="0.25">
      <c r="D162" s="5" t="s">
        <v>596</v>
      </c>
      <c r="E162" s="22"/>
    </row>
    <row r="163" spans="4:68" ht="20.100000000000001" customHeight="1" x14ac:dyDescent="0.25">
      <c r="D163" s="5" t="s">
        <v>609</v>
      </c>
      <c r="E163" s="22"/>
    </row>
    <row r="164" spans="4:68" ht="20.100000000000001" customHeight="1" x14ac:dyDescent="0.25">
      <c r="D164" s="22" t="s">
        <v>507</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610</v>
      </c>
      <c r="BN167" s="7"/>
      <c r="BO167" s="7"/>
      <c r="BP167" s="7"/>
    </row>
    <row r="168" spans="4:68" ht="20.100000000000001" customHeight="1" x14ac:dyDescent="0.25">
      <c r="D168" s="5" t="s">
        <v>596</v>
      </c>
      <c r="BN168" s="7"/>
      <c r="BO168" s="7"/>
      <c r="BP168" s="7"/>
    </row>
    <row r="169" spans="4:68" ht="20.100000000000001" customHeight="1" x14ac:dyDescent="0.25">
      <c r="D169" s="5" t="s">
        <v>611</v>
      </c>
      <c r="BN169" s="7"/>
      <c r="BO169" s="7"/>
      <c r="BP169" s="7"/>
    </row>
    <row r="170" spans="4:68" ht="20.100000000000001" customHeight="1" x14ac:dyDescent="0.25">
      <c r="D170" s="1" t="s">
        <v>612</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613</v>
      </c>
      <c r="BN173" s="7"/>
      <c r="BO173" s="7"/>
      <c r="BP173" s="7"/>
    </row>
    <row r="174" spans="4:68" ht="20.100000000000001" customHeight="1" x14ac:dyDescent="0.25">
      <c r="D174" s="5" t="s">
        <v>614</v>
      </c>
      <c r="BN174" s="7"/>
      <c r="BO174" s="7"/>
      <c r="BP174" s="7"/>
    </row>
    <row r="175" spans="4:68" ht="20.100000000000001" customHeight="1" x14ac:dyDescent="0.25">
      <c r="D175" s="1">
        <v>0.6784</v>
      </c>
      <c r="E175" s="54" t="s">
        <v>416</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615</v>
      </c>
      <c r="BN178" s="7"/>
      <c r="BO178" s="7"/>
      <c r="BP178" s="7"/>
    </row>
    <row r="179" spans="4:68" ht="20.100000000000001" customHeight="1" x14ac:dyDescent="0.25">
      <c r="D179" s="5" t="s">
        <v>616</v>
      </c>
      <c r="BN179" s="7"/>
      <c r="BO179" s="7"/>
      <c r="BP179" s="7"/>
    </row>
    <row r="180" spans="4:68" ht="20.100000000000001" customHeight="1" x14ac:dyDescent="0.25">
      <c r="D180" s="54" t="s">
        <v>617</v>
      </c>
    </row>
    <row r="181" spans="4:68" ht="20.100000000000001" customHeight="1" x14ac:dyDescent="0.25">
      <c r="D181" s="55" t="s">
        <v>618</v>
      </c>
    </row>
    <row r="182" spans="4:68" ht="20.100000000000001" customHeight="1" x14ac:dyDescent="0.25">
      <c r="D182" s="55" t="s">
        <v>619</v>
      </c>
    </row>
    <row r="183" spans="4:68" ht="20.100000000000001" customHeight="1" x14ac:dyDescent="0.25">
      <c r="D183" s="55" t="s">
        <v>620</v>
      </c>
    </row>
    <row r="184" spans="4:68" ht="20.100000000000001" customHeight="1" x14ac:dyDescent="0.25">
      <c r="D184" s="55" t="s">
        <v>621</v>
      </c>
    </row>
    <row r="185" spans="4:68" ht="20.100000000000001" customHeight="1" x14ac:dyDescent="0.25">
      <c r="D185" s="55" t="s">
        <v>622</v>
      </c>
    </row>
    <row r="186" spans="4:68" ht="20.100000000000001" customHeight="1" x14ac:dyDescent="0.25">
      <c r="D186" s="37" t="s">
        <v>114</v>
      </c>
      <c r="E186" s="37" t="s">
        <v>115</v>
      </c>
      <c r="F186" s="37" t="s">
        <v>116</v>
      </c>
      <c r="G186" s="37" t="s">
        <v>117</v>
      </c>
      <c r="H186" s="37" t="s">
        <v>35</v>
      </c>
    </row>
    <row r="187" spans="4:68" ht="20.100000000000001" customHeight="1" x14ac:dyDescent="0.25">
      <c r="D187" s="37" t="s">
        <v>623</v>
      </c>
      <c r="E187" s="37">
        <v>5.8999999999999999E-3</v>
      </c>
      <c r="F187" s="37" t="s">
        <v>325</v>
      </c>
      <c r="G187" s="37" t="s">
        <v>563</v>
      </c>
      <c r="H187" s="37" t="s">
        <v>563</v>
      </c>
    </row>
    <row r="188" spans="4:68" ht="20.100000000000001" customHeight="1" x14ac:dyDescent="0.25">
      <c r="D188" s="37" t="s">
        <v>624</v>
      </c>
      <c r="E188" s="37">
        <v>7.0000000000000001E-3</v>
      </c>
      <c r="F188" s="37" t="s">
        <v>625</v>
      </c>
      <c r="G188" s="37" t="s">
        <v>563</v>
      </c>
      <c r="H188" s="37" t="s">
        <v>563</v>
      </c>
    </row>
    <row r="189" spans="4:68" ht="20.100000000000001" customHeight="1" x14ac:dyDescent="0.25">
      <c r="D189" s="37" t="s">
        <v>626</v>
      </c>
      <c r="E189" s="37">
        <v>1.8E-3</v>
      </c>
      <c r="F189" s="37" t="s">
        <v>325</v>
      </c>
      <c r="G189" s="37" t="s">
        <v>120</v>
      </c>
      <c r="H189" s="37" t="s">
        <v>588</v>
      </c>
    </row>
    <row r="190" spans="4:68" ht="20.100000000000001" customHeight="1" x14ac:dyDescent="0.25">
      <c r="D190" s="37" t="s">
        <v>626</v>
      </c>
      <c r="E190" s="37">
        <v>1.8E-3</v>
      </c>
      <c r="F190" s="37" t="s">
        <v>325</v>
      </c>
      <c r="G190" s="37" t="s">
        <v>120</v>
      </c>
      <c r="H190" s="37" t="s">
        <v>586</v>
      </c>
    </row>
    <row r="191" spans="4:68" ht="20.100000000000001" customHeight="1" x14ac:dyDescent="0.25">
      <c r="D191" s="37" t="s">
        <v>627</v>
      </c>
      <c r="E191" s="37">
        <v>2.8999999999999998E-3</v>
      </c>
      <c r="F191" s="37" t="s">
        <v>625</v>
      </c>
      <c r="G191" s="37" t="s">
        <v>120</v>
      </c>
      <c r="H191" s="37" t="s">
        <v>588</v>
      </c>
    </row>
    <row r="192" spans="4:68" ht="20.100000000000001" customHeight="1" x14ac:dyDescent="0.25">
      <c r="D192" s="37" t="s">
        <v>628</v>
      </c>
      <c r="E192" s="37">
        <v>8.0000000000000002E-3</v>
      </c>
      <c r="F192" s="37" t="s">
        <v>625</v>
      </c>
      <c r="G192" s="37" t="s">
        <v>120</v>
      </c>
      <c r="H192" s="37" t="s">
        <v>586</v>
      </c>
    </row>
    <row r="193" spans="4:8" ht="20.100000000000001" customHeight="1" x14ac:dyDescent="0.25">
      <c r="D193" s="37" t="s">
        <v>629</v>
      </c>
      <c r="E193" s="37">
        <v>1.9900000000000001E-2</v>
      </c>
      <c r="F193" s="37" t="s">
        <v>629</v>
      </c>
      <c r="G193" s="37" t="s">
        <v>563</v>
      </c>
      <c r="H193" s="37" t="s">
        <v>563</v>
      </c>
    </row>
    <row r="194" spans="4:8" ht="20.100000000000001" customHeight="1" x14ac:dyDescent="0.25">
      <c r="D194" s="37" t="s">
        <v>630</v>
      </c>
      <c r="E194" s="37">
        <v>5.3E-3</v>
      </c>
      <c r="F194" s="37" t="s">
        <v>630</v>
      </c>
      <c r="G194" s="37" t="s">
        <v>563</v>
      </c>
      <c r="H194" s="37" t="s">
        <v>563</v>
      </c>
    </row>
    <row r="195" spans="4:8" ht="20.100000000000001" customHeight="1" x14ac:dyDescent="0.25">
      <c r="D195" s="37" t="s">
        <v>631</v>
      </c>
      <c r="E195" s="37">
        <v>6.4000000000000003E-3</v>
      </c>
      <c r="F195" s="37" t="s">
        <v>631</v>
      </c>
      <c r="G195" s="37" t="s">
        <v>563</v>
      </c>
      <c r="H195" s="37" t="s">
        <v>563</v>
      </c>
    </row>
    <row r="196" spans="4:8" ht="20.100000000000001" customHeight="1" x14ac:dyDescent="0.25">
      <c r="D196" s="37" t="s">
        <v>632</v>
      </c>
      <c r="E196" s="37">
        <v>3.0000000000000001E-3</v>
      </c>
      <c r="F196" s="37" t="s">
        <v>633</v>
      </c>
      <c r="G196" s="37" t="s">
        <v>634</v>
      </c>
      <c r="H196" s="37" t="s">
        <v>563</v>
      </c>
    </row>
    <row r="197" spans="4:8" x14ac:dyDescent="0.25">
      <c r="D197" s="37" t="s">
        <v>635</v>
      </c>
      <c r="E197" s="37">
        <v>5.0000000000000001E-3</v>
      </c>
      <c r="F197" s="37" t="s">
        <v>633</v>
      </c>
      <c r="G197" s="37" t="s">
        <v>636</v>
      </c>
      <c r="H197" s="37" t="s">
        <v>563</v>
      </c>
    </row>
    <row r="198" spans="4:8" x14ac:dyDescent="0.25">
      <c r="D198" s="37" t="s">
        <v>637</v>
      </c>
      <c r="E198" s="37">
        <v>2.5999999999999999E-3</v>
      </c>
      <c r="F198" s="37" t="s">
        <v>637</v>
      </c>
      <c r="G198" s="37" t="s">
        <v>563</v>
      </c>
      <c r="H198" s="37" t="s">
        <v>563</v>
      </c>
    </row>
    <row r="199" spans="4:8" x14ac:dyDescent="0.25">
      <c r="D199" s="37" t="s">
        <v>638</v>
      </c>
      <c r="E199" s="37">
        <v>1.8E-3</v>
      </c>
      <c r="F199" s="37" t="s">
        <v>638</v>
      </c>
      <c r="G199" s="37" t="s">
        <v>563</v>
      </c>
      <c r="H199" s="37" t="s">
        <v>563</v>
      </c>
    </row>
    <row r="202" spans="4:8" ht="23.25" x14ac:dyDescent="0.25">
      <c r="D202" s="6" t="s">
        <v>639</v>
      </c>
    </row>
    <row r="203" spans="4:8" x14ac:dyDescent="0.25">
      <c r="D203" s="5" t="s">
        <v>640</v>
      </c>
    </row>
    <row r="204" spans="4:8" x14ac:dyDescent="0.25">
      <c r="D204" s="55" t="s">
        <v>641</v>
      </c>
    </row>
    <row r="205" spans="4:8" x14ac:dyDescent="0.25">
      <c r="D205" s="54" t="s">
        <v>642</v>
      </c>
    </row>
    <row r="206" spans="4:8" x14ac:dyDescent="0.25">
      <c r="D206" s="37" t="s">
        <v>10</v>
      </c>
      <c r="E206" s="37" t="s">
        <v>153</v>
      </c>
    </row>
    <row r="207" spans="4:8" x14ac:dyDescent="0.25">
      <c r="D207" s="37" t="s">
        <v>545</v>
      </c>
      <c r="E207" s="37">
        <v>6.0000000000000001E-3</v>
      </c>
    </row>
    <row r="208" spans="4:8" x14ac:dyDescent="0.25">
      <c r="D208" s="1" t="s">
        <v>549</v>
      </c>
      <c r="E208" s="37">
        <v>2E-3</v>
      </c>
    </row>
    <row r="211" spans="4:5" x14ac:dyDescent="0.25">
      <c r="D211" s="1" t="s">
        <v>643</v>
      </c>
    </row>
    <row r="212" spans="4:5" x14ac:dyDescent="0.25">
      <c r="D212" s="37" t="s">
        <v>131</v>
      </c>
      <c r="E212" s="37" t="s">
        <v>183</v>
      </c>
    </row>
    <row r="213" spans="4:5" x14ac:dyDescent="0.25">
      <c r="D213" s="37" t="s">
        <v>644</v>
      </c>
      <c r="E213" s="37" t="s">
        <v>173</v>
      </c>
    </row>
    <row r="214" spans="4:5" x14ac:dyDescent="0.25">
      <c r="D214" s="1" t="s">
        <v>645</v>
      </c>
      <c r="E214" s="37" t="s">
        <v>173</v>
      </c>
    </row>
    <row r="215" spans="4:5" x14ac:dyDescent="0.25">
      <c r="D215" s="1" t="s">
        <v>646</v>
      </c>
      <c r="E215" s="37" t="s">
        <v>174</v>
      </c>
    </row>
    <row r="216" spans="4:5" x14ac:dyDescent="0.25">
      <c r="D216" s="1" t="s">
        <v>647</v>
      </c>
      <c r="E216" s="37" t="s">
        <v>174</v>
      </c>
    </row>
    <row r="217" spans="4:5" x14ac:dyDescent="0.25">
      <c r="D217" s="1" t="s">
        <v>648</v>
      </c>
      <c r="E217" s="37" t="s">
        <v>174</v>
      </c>
    </row>
    <row r="218" spans="4:5" x14ac:dyDescent="0.25">
      <c r="D218" s="1" t="s">
        <v>649</v>
      </c>
      <c r="E218" s="37" t="s">
        <v>175</v>
      </c>
    </row>
    <row r="219" spans="4:5" x14ac:dyDescent="0.25">
      <c r="D219" s="1" t="s">
        <v>650</v>
      </c>
      <c r="E219" s="37" t="s">
        <v>175</v>
      </c>
    </row>
    <row r="220" spans="4:5" x14ac:dyDescent="0.25">
      <c r="D220" s="1" t="s">
        <v>651</v>
      </c>
      <c r="E220" s="37" t="s">
        <v>175</v>
      </c>
    </row>
    <row r="221" spans="4:5" x14ac:dyDescent="0.25">
      <c r="D221" s="1" t="s">
        <v>652</v>
      </c>
      <c r="E221" s="37" t="s">
        <v>172</v>
      </c>
    </row>
    <row r="222" spans="4:5" x14ac:dyDescent="0.25">
      <c r="D222" s="1" t="s">
        <v>653</v>
      </c>
      <c r="E222" s="37" t="s">
        <v>172</v>
      </c>
    </row>
    <row r="223" spans="4:5" x14ac:dyDescent="0.25">
      <c r="D223" s="1" t="s">
        <v>654</v>
      </c>
      <c r="E223" s="37" t="s">
        <v>172</v>
      </c>
    </row>
    <row r="224" spans="4:5" x14ac:dyDescent="0.25">
      <c r="D224" s="1" t="s">
        <v>655</v>
      </c>
      <c r="E224" s="37" t="s">
        <v>173</v>
      </c>
    </row>
    <row r="227" spans="4:19" ht="23.25" x14ac:dyDescent="0.25">
      <c r="D227" s="6" t="s">
        <v>656</v>
      </c>
    </row>
    <row r="228" spans="4:19" x14ac:dyDescent="0.25">
      <c r="D228" s="5" t="s">
        <v>657</v>
      </c>
    </row>
    <row r="229" spans="4:19" x14ac:dyDescent="0.25">
      <c r="D229" s="55" t="s">
        <v>658</v>
      </c>
    </row>
    <row r="231" spans="4:19" x14ac:dyDescent="0.25">
      <c r="D231" s="37" t="s">
        <v>52</v>
      </c>
      <c r="E231" s="37" t="s">
        <v>326</v>
      </c>
      <c r="F231" s="36" t="s">
        <v>265</v>
      </c>
      <c r="G231" s="37" t="s">
        <v>327</v>
      </c>
      <c r="H231" s="37" t="s">
        <v>328</v>
      </c>
      <c r="I231" s="37" t="s">
        <v>329</v>
      </c>
      <c r="J231" s="37" t="s">
        <v>330</v>
      </c>
      <c r="K231" s="37" t="s">
        <v>331</v>
      </c>
      <c r="L231" s="37" t="s">
        <v>332</v>
      </c>
      <c r="M231" s="37" t="s">
        <v>333</v>
      </c>
      <c r="N231" s="37" t="s">
        <v>334</v>
      </c>
      <c r="O231" s="37" t="s">
        <v>335</v>
      </c>
      <c r="P231" s="37" t="s">
        <v>336</v>
      </c>
      <c r="Q231" s="37" t="s">
        <v>337</v>
      </c>
      <c r="R231" s="37" t="s">
        <v>137</v>
      </c>
      <c r="S231" s="37" t="s">
        <v>338</v>
      </c>
    </row>
    <row r="232" spans="4:19" x14ac:dyDescent="0.25">
      <c r="D232" s="37" t="s">
        <v>583</v>
      </c>
      <c r="E232" s="37" t="s">
        <v>659</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583</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583</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583</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583</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581</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581</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581</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581</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581</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581</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581</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581</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581</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581</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581</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579</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579</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579</v>
      </c>
      <c r="E250" s="37" t="s">
        <v>660</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661</v>
      </c>
    </row>
    <row r="254" spans="4:19" x14ac:dyDescent="0.25">
      <c r="D254" s="5" t="s">
        <v>662</v>
      </c>
    </row>
    <row r="255" spans="4:19" x14ac:dyDescent="0.25">
      <c r="D255" s="1" t="s">
        <v>363</v>
      </c>
    </row>
    <row r="256" spans="4:19" x14ac:dyDescent="0.25">
      <c r="D256" s="54" t="s">
        <v>642</v>
      </c>
    </row>
    <row r="257" spans="4:5" x14ac:dyDescent="0.25">
      <c r="D257" s="37" t="s">
        <v>362</v>
      </c>
      <c r="E257" s="37" t="s">
        <v>363</v>
      </c>
    </row>
    <row r="258" spans="4:5" x14ac:dyDescent="0.25">
      <c r="D258" s="37" t="s">
        <v>545</v>
      </c>
      <c r="E258" s="37">
        <v>6.0000000000000001E-3</v>
      </c>
    </row>
    <row r="259" spans="4:5" x14ac:dyDescent="0.25">
      <c r="D259" s="1" t="s">
        <v>549</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
        <v>663</v>
      </c>
      <c r="E6" s="3"/>
      <c r="F6" s="3"/>
      <c r="G6" s="3"/>
      <c r="H6" s="3"/>
    </row>
    <row r="7" spans="1:13" ht="20.100000000000001" customHeight="1" x14ac:dyDescent="0.25">
      <c r="A7" s="17" t="str">
        <f>HYPERLINK("#'Input - Site'!A1", "Site")</f>
        <v>Site</v>
      </c>
      <c r="D7" s="3" t="s">
        <v>67</v>
      </c>
      <c r="E7" s="3"/>
      <c r="F7" s="3"/>
      <c r="G7" s="3"/>
      <c r="H7" s="3"/>
    </row>
    <row r="8" spans="1:13" ht="20.100000000000001" customHeight="1" x14ac:dyDescent="0.25">
      <c r="A8" s="17" t="str">
        <f>HYPERLINK("#'Input - Pasture Beef'!A1", "Pasture Beef")</f>
        <v>Pasture Beef</v>
      </c>
      <c r="D8" s="5" t="s">
        <v>664</v>
      </c>
      <c r="E8" s="3"/>
      <c r="F8" s="3"/>
      <c r="G8" s="3"/>
      <c r="H8" s="3"/>
    </row>
    <row r="9" spans="1:13" ht="20.100000000000001" customHeight="1" x14ac:dyDescent="0.25">
      <c r="A9" s="17"/>
      <c r="D9" s="36" t="s">
        <v>80</v>
      </c>
      <c r="E9" s="37" t="s">
        <v>21</v>
      </c>
      <c r="F9" s="37" t="s">
        <v>81</v>
      </c>
      <c r="G9" s="3"/>
    </row>
    <row r="10" spans="1:13" ht="20.100000000000001" customHeight="1" x14ac:dyDescent="0.25">
      <c r="A10" s="19" t="s">
        <v>76</v>
      </c>
      <c r="D10" s="36">
        <v>1</v>
      </c>
      <c r="E10" s="36" t="s">
        <v>265</v>
      </c>
      <c r="F10" s="36" t="s">
        <v>665</v>
      </c>
      <c r="G10" s="3"/>
    </row>
    <row r="11" spans="1:13" ht="20.100000000000001" customHeight="1" x14ac:dyDescent="0.25">
      <c r="A11" s="17" t="str">
        <f>HYPERLINK("#'4.2.1.1-2 Methane'!A1", "4.2.1.1-2 Methane")</f>
        <v>4.2.1.1-2 Methane</v>
      </c>
      <c r="D11" s="36">
        <v>2</v>
      </c>
      <c r="E11" s="36" t="s">
        <v>328</v>
      </c>
      <c r="F11" s="36" t="s">
        <v>666</v>
      </c>
      <c r="G11" s="3"/>
    </row>
    <row r="12" spans="1:13" ht="20.100000000000001" customHeight="1" x14ac:dyDescent="0.25">
      <c r="A12" s="17" t="str">
        <f>HYPERLINK("#'4.2.1.3-4 Soil direct N2O'!A1", "4.2.1.3-4 Soil direct N2O")</f>
        <v>4.2.1.3-4 Soil direct N2O</v>
      </c>
      <c r="D12" s="37">
        <v>3</v>
      </c>
      <c r="E12" s="37" t="s">
        <v>329</v>
      </c>
      <c r="F12" s="37" t="s">
        <v>667</v>
      </c>
      <c r="G12" s="3"/>
    </row>
    <row r="13" spans="1:13" ht="20.100000000000001" customHeight="1" x14ac:dyDescent="0.25">
      <c r="A13" s="17" t="str">
        <f>HYPERLINK("#'4.2.1.5-6 Soil Atmos Dep'!A1", "4.2.1.5-6 Soil atm. deposition")</f>
        <v>4.2.1.5-6 Soil atm. deposition</v>
      </c>
      <c r="D13" s="37" t="s">
        <v>668</v>
      </c>
      <c r="E13" s="37" t="s">
        <v>669</v>
      </c>
      <c r="F13" s="37" t="s">
        <v>670</v>
      </c>
      <c r="G13" s="3"/>
    </row>
    <row r="14" spans="1:13" ht="20.100000000000001" customHeight="1" x14ac:dyDescent="0.25">
      <c r="A14" s="17" t="str">
        <f>HYPERLINK("#'4.2.1.7-8 Soil leach runoff'!A1", "4.2.1.7-8 Soil leach &amp; runoff")</f>
        <v>4.2.1.7-8 Soil leach &amp; runoff</v>
      </c>
      <c r="D14" s="37" t="s">
        <v>671</v>
      </c>
      <c r="E14" s="37" t="s">
        <v>672</v>
      </c>
      <c r="F14" s="37" t="s">
        <v>673</v>
      </c>
      <c r="G14" s="3"/>
    </row>
    <row r="15" spans="1:13" ht="20.100000000000001" customHeight="1" x14ac:dyDescent="0.25">
      <c r="A15" s="17"/>
      <c r="D15" s="37">
        <v>4</v>
      </c>
      <c r="E15" s="37" t="s">
        <v>331</v>
      </c>
      <c r="F15" s="37" t="s">
        <v>674</v>
      </c>
      <c r="G15" s="3"/>
    </row>
    <row r="16" spans="1:13" ht="20.100000000000001" customHeight="1" x14ac:dyDescent="0.25">
      <c r="A16" s="18" t="s">
        <v>4</v>
      </c>
      <c r="D16" s="37">
        <v>5</v>
      </c>
      <c r="E16" s="37" t="s">
        <v>675</v>
      </c>
      <c r="F16" s="37" t="s">
        <v>676</v>
      </c>
      <c r="G16" s="3"/>
    </row>
    <row r="17" spans="1:8" ht="20.100000000000001" customHeight="1" x14ac:dyDescent="0.25">
      <c r="A17" s="17" t="str">
        <f>HYPERLINK("#'Constants - Pasture Beef'!A1", "Constants - Pasture Beef")</f>
        <v>Constants - Pasture Beef</v>
      </c>
      <c r="D17" s="37">
        <v>6</v>
      </c>
      <c r="E17" s="37" t="s">
        <v>330</v>
      </c>
      <c r="F17" s="37" t="s">
        <v>677</v>
      </c>
      <c r="G17" s="3"/>
    </row>
    <row r="18" spans="1:8" ht="20.100000000000001" customHeight="1" x14ac:dyDescent="0.25">
      <c r="A18" s="17" t="str">
        <f>HYPERLINK("#'Constants - Livestock'!A1", "Constants - Livestock")</f>
        <v>Constants - Livestock</v>
      </c>
      <c r="D18" s="37">
        <v>7</v>
      </c>
      <c r="E18" s="37" t="s">
        <v>327</v>
      </c>
      <c r="F18" s="37" t="s">
        <v>678</v>
      </c>
      <c r="G18" s="3"/>
    </row>
    <row r="19" spans="1:8" ht="20.100000000000001" customHeight="1" x14ac:dyDescent="0.25">
      <c r="A19" s="17" t="str">
        <f>HYPERLINK("#'Constants - Common'!A1", "Constants - Common")</f>
        <v>Constants - Common</v>
      </c>
      <c r="D19" s="37">
        <v>8</v>
      </c>
      <c r="E19" s="37" t="s">
        <v>333</v>
      </c>
      <c r="F19" s="37" t="s">
        <v>679</v>
      </c>
      <c r="G19" s="3"/>
    </row>
    <row r="20" spans="1:8" ht="20.100000000000001" customHeight="1" x14ac:dyDescent="0.25">
      <c r="A20" s="17" t="str">
        <f>HYPERLINK("#'Acknowledgements'!A1", "Acknowledgements")</f>
        <v>Acknowledgements</v>
      </c>
      <c r="D20" s="37">
        <v>9</v>
      </c>
      <c r="E20" s="37" t="s">
        <v>332</v>
      </c>
      <c r="F20" s="37" t="s">
        <v>680</v>
      </c>
      <c r="G20" s="3"/>
    </row>
    <row r="21" spans="1:8" ht="20.100000000000001" customHeight="1" x14ac:dyDescent="0.25">
      <c r="D21" s="37">
        <v>10</v>
      </c>
      <c r="E21" s="37" t="s">
        <v>334</v>
      </c>
      <c r="F21" s="37" t="s">
        <v>681</v>
      </c>
      <c r="G21" s="3"/>
    </row>
    <row r="22" spans="1:8" ht="20.100000000000001" customHeight="1" x14ac:dyDescent="0.25">
      <c r="A22" s="17"/>
      <c r="D22" s="37">
        <v>11</v>
      </c>
      <c r="E22" s="37" t="s">
        <v>335</v>
      </c>
      <c r="F22" s="37" t="s">
        <v>682</v>
      </c>
      <c r="G22" s="3"/>
    </row>
    <row r="23" spans="1:8" ht="20.100000000000001" customHeight="1" x14ac:dyDescent="0.25">
      <c r="A23" s="17"/>
      <c r="D23" s="37" t="s">
        <v>683</v>
      </c>
      <c r="E23" s="37" t="s">
        <v>684</v>
      </c>
      <c r="F23" s="37" t="s">
        <v>685</v>
      </c>
      <c r="G23" s="3"/>
    </row>
    <row r="24" spans="1:8" ht="20.100000000000001" customHeight="1" x14ac:dyDescent="0.25">
      <c r="A24" s="17"/>
      <c r="D24" s="37" t="s">
        <v>686</v>
      </c>
      <c r="E24" s="37" t="s">
        <v>687</v>
      </c>
      <c r="F24" s="37" t="s">
        <v>688</v>
      </c>
      <c r="G24" s="3"/>
    </row>
    <row r="25" spans="1:8" ht="20.100000000000001" customHeight="1" x14ac:dyDescent="0.25">
      <c r="D25" s="37">
        <v>12</v>
      </c>
      <c r="E25" s="37" t="s">
        <v>336</v>
      </c>
      <c r="F25" s="37" t="s">
        <v>689</v>
      </c>
      <c r="G25" s="3"/>
    </row>
    <row r="26" spans="1:8" ht="20.100000000000001" customHeight="1" x14ac:dyDescent="0.25">
      <c r="D26" s="37">
        <v>13</v>
      </c>
      <c r="E26" s="37" t="s">
        <v>337</v>
      </c>
      <c r="F26" s="37" t="s">
        <v>690</v>
      </c>
      <c r="G26" s="3"/>
    </row>
    <row r="27" spans="1:8" ht="20.100000000000001" customHeight="1" x14ac:dyDescent="0.25">
      <c r="D27" s="37">
        <v>14</v>
      </c>
      <c r="E27" s="37" t="s">
        <v>137</v>
      </c>
      <c r="F27" s="37" t="s">
        <v>691</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78</v>
      </c>
    </row>
    <row r="17" spans="1:1" ht="20.100000000000001" customHeight="1" x14ac:dyDescent="0.25">
      <c r="A17" s="67"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7" t="s">
        <v>1</v>
      </c>
    </row>
    <row r="23" spans="1:1" ht="20.100000000000001" customHeight="1" x14ac:dyDescent="0.25">
      <c r="A23" s="67"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78</v>
      </c>
    </row>
    <row r="32" spans="1:1" ht="20.100000000000001" customHeight="1" x14ac:dyDescent="0.25">
      <c r="A32" s="67"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