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21BA5333-3B81-4412-88F7-CEBDBA6C18F9}" xr6:coauthVersionLast="47" xr6:coauthVersionMax="47" xr10:uidLastSave="{00000000-0000-0000-0000-000000000000}"/>
  <bookViews>
    <workbookView xWindow="4680" yWindow="4680" windowWidth="28800" windowHeight="15345" firstSheet="12" activeTab="12" xr2:uid="{992023F3-CAB7-4E5B-A348-08D563A0EF40}"/>
  </bookViews>
  <sheets>
    <sheet name="Home" sheetId="71" r:id="rId1"/>
    <sheet name="Overview" sheetId="118" r:id="rId2"/>
    <sheet name="Results" sheetId="13" r:id="rId3"/>
    <sheet name="Input - Site" sheetId="15" r:id="rId4"/>
    <sheet name="Input - Fertiliser" sheetId="70" r:id="rId5"/>
    <sheet name="5.1.1.1-2 Inorganic fert N2O" sheetId="69" r:id="rId6"/>
    <sheet name="5.1.1.3-4 Inorganic fert CO2" sheetId="74" r:id="rId7"/>
    <sheet name="5.2.1.1-2 Organic Fert N2O" sheetId="113" r:id="rId8"/>
    <sheet name="5.3.1.1-2 Lime CO2" sheetId="114" r:id="rId9"/>
    <sheet name="5.4.1.1-4 Atmos deposition" sheetId="115" r:id="rId10"/>
    <sheet name="5.5.1.1-2 Leaching and runoff" sheetId="116" r:id="rId11"/>
    <sheet name="Constants - Fertiliser" sheetId="110" r:id="rId12"/>
    <sheet name="Constants - Common" sheetId="119" r:id="rId13"/>
  </sheets>
  <definedNames>
    <definedName name="_Toc225350871" localSheetId="9">'5.4.1.1-4 Atmos deposition'!$C$1</definedName>
    <definedName name="_Toc225350871" localSheetId="10">'5.5.1.1-2 Leaching and runoff'!$C$1</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2">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2">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2">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2">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2">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SUMPRODUCT(_xlpm.criteria1 * _xlpm.criteria2 * _xlpm.AmountApplied)))</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NH3â€“N + NOxâ€“N)/kg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 ",0.096,"Phosphorus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 ",0.095,"Sulfur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ROW";"Include","50/50 nitrate and ammoniacal nitrogen (ammonium nitrate)","Campbells fertilisers Australia","Compass","Compass - Campbells Fertilisers Australasia","","","kg",1,"","","Nitrogen - Ammoniacal",0.075,"Nitrogen - Nitrate",0.075,"Potassium - Generic",0.125,"Phosphorus-Generic",0.065,"Sulfur - Generic",0.06,"","","","","","","","","","","END ROW"}, _xlpm.r, _xlpm.c))))</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0" i="113" l="1"/>
  <c r="I29" i="113"/>
  <c r="I28" i="113"/>
  <c r="I27" i="113"/>
  <c r="I26" i="113"/>
  <c r="I25" i="113"/>
  <c r="I24" i="113"/>
  <c r="I23" i="113"/>
  <c r="I22" i="113"/>
  <c r="I21" i="113"/>
  <c r="I20" i="113"/>
  <c r="V54" i="69"/>
  <c r="S54" i="69"/>
  <c r="R54" i="69"/>
  <c r="V53" i="69"/>
  <c r="S53" i="69"/>
  <c r="R53" i="69"/>
  <c r="V52" i="69"/>
  <c r="S52" i="69"/>
  <c r="R52" i="69"/>
  <c r="V49" i="69"/>
  <c r="S49" i="69"/>
  <c r="R49" i="69"/>
  <c r="V48" i="69"/>
  <c r="S48" i="69"/>
  <c r="R48" i="69"/>
  <c r="V47" i="69"/>
  <c r="S47" i="69"/>
  <c r="R47" i="69"/>
  <c r="I56" i="116"/>
  <c r="I14" i="116"/>
  <c r="I125" i="115"/>
  <c r="J50" i="115"/>
  <c r="I50" i="69"/>
  <c r="W54" i="69"/>
  <c r="W53" i="69"/>
  <c r="W52" i="69"/>
  <c r="W49" i="69"/>
  <c r="W48" i="69"/>
  <c r="W47" i="69"/>
  <c r="E30" i="15"/>
  <c r="E33" i="15"/>
  <c r="E31" i="15"/>
  <c r="E32" i="15" s="1"/>
  <c r="G97" i="116"/>
  <c r="G149" i="115"/>
  <c r="G82" i="115"/>
  <c r="G53" i="113"/>
  <c r="P91" i="69"/>
  <c r="G83" i="69"/>
  <c r="D117" i="119" a="1"/>
  <c r="D117" i="119" s="1"/>
  <c r="D107" i="119" a="1"/>
  <c r="D107" i="119" s="1"/>
  <c r="D83" i="119" a="1"/>
  <c r="D83" i="119" s="1"/>
  <c r="D59" i="119" a="1"/>
  <c r="D59" i="119" s="1"/>
  <c r="H54" i="119"/>
  <c r="H52" i="119" l="1"/>
  <c r="H51" i="119"/>
  <c r="H48" i="119"/>
  <c r="H50" i="119"/>
  <c r="H49" i="119"/>
  <c r="H53" i="119"/>
  <c r="S69" i="69" l="1"/>
  <c r="I51" i="69"/>
  <c r="K46" i="113"/>
  <c r="J51" i="115"/>
  <c r="I126" i="115"/>
  <c r="J92" i="116"/>
  <c r="I20" i="114"/>
  <c r="I51" i="74"/>
  <c r="F34" i="70"/>
  <c r="G34" i="70"/>
  <c r="K34" i="70"/>
  <c r="K33" i="70"/>
  <c r="F24" i="70"/>
  <c r="G24" i="70"/>
  <c r="H19" i="70"/>
  <c r="H18" i="70"/>
  <c r="F25" i="114" a="1"/>
  <c r="F25" i="114" s="1"/>
  <c r="A21" i="118"/>
  <c r="A20" i="118"/>
  <c r="A17" i="118"/>
  <c r="A16" i="118"/>
  <c r="A15" i="118"/>
  <c r="A14" i="118"/>
  <c r="A13" i="118"/>
  <c r="A12" i="118"/>
  <c r="A9" i="118"/>
  <c r="A8" i="118"/>
  <c r="A5" i="118"/>
  <c r="A4" i="118"/>
  <c r="A3" i="118"/>
  <c r="A21" i="110"/>
  <c r="A20" i="110"/>
  <c r="A17" i="110"/>
  <c r="A16" i="110"/>
  <c r="A15" i="110"/>
  <c r="A14" i="110"/>
  <c r="A13" i="110"/>
  <c r="A12" i="110"/>
  <c r="A9" i="110"/>
  <c r="A8" i="110"/>
  <c r="A5" i="110"/>
  <c r="A4" i="110"/>
  <c r="A3" i="110"/>
  <c r="A21" i="116"/>
  <c r="A20" i="116"/>
  <c r="A17" i="116"/>
  <c r="A16" i="116"/>
  <c r="A15" i="116"/>
  <c r="A14" i="116"/>
  <c r="A13" i="116"/>
  <c r="A12" i="116"/>
  <c r="A9" i="116"/>
  <c r="A8" i="116"/>
  <c r="A5" i="116"/>
  <c r="A4" i="116"/>
  <c r="A3" i="116"/>
  <c r="A21" i="115"/>
  <c r="A20" i="115"/>
  <c r="A17" i="115"/>
  <c r="A16" i="115"/>
  <c r="A15" i="115"/>
  <c r="A14" i="115"/>
  <c r="A13" i="115"/>
  <c r="A12" i="115"/>
  <c r="A9" i="115"/>
  <c r="A8" i="115"/>
  <c r="A5" i="115"/>
  <c r="A4" i="115"/>
  <c r="A3" i="115"/>
  <c r="A21" i="114"/>
  <c r="A20" i="114"/>
  <c r="A17" i="114"/>
  <c r="A16" i="114"/>
  <c r="A15" i="114"/>
  <c r="A14" i="114"/>
  <c r="A13" i="114"/>
  <c r="A12" i="114"/>
  <c r="A9" i="114"/>
  <c r="A8" i="114"/>
  <c r="A5" i="114"/>
  <c r="A4" i="114"/>
  <c r="A3" i="114"/>
  <c r="A21" i="113"/>
  <c r="A20" i="113"/>
  <c r="A17" i="113"/>
  <c r="A16" i="113"/>
  <c r="A15" i="113"/>
  <c r="A14" i="113"/>
  <c r="A13" i="113"/>
  <c r="A12" i="113"/>
  <c r="A9" i="113"/>
  <c r="A8" i="113"/>
  <c r="A5" i="113"/>
  <c r="A4" i="113"/>
  <c r="A3" i="113"/>
  <c r="A21" i="74"/>
  <c r="A20" i="74"/>
  <c r="A17" i="74"/>
  <c r="A16" i="74"/>
  <c r="A15" i="74"/>
  <c r="A14" i="74"/>
  <c r="A13" i="74"/>
  <c r="A12" i="74"/>
  <c r="A9" i="74"/>
  <c r="A8" i="74"/>
  <c r="A5" i="74"/>
  <c r="A4" i="74"/>
  <c r="A3" i="74"/>
  <c r="A21" i="69"/>
  <c r="A20" i="69"/>
  <c r="A17" i="69"/>
  <c r="A16" i="69"/>
  <c r="A15" i="69"/>
  <c r="A14" i="69"/>
  <c r="A13" i="69"/>
  <c r="A12" i="69"/>
  <c r="A9" i="69"/>
  <c r="A8" i="69"/>
  <c r="A5" i="69"/>
  <c r="A4" i="69"/>
  <c r="A3" i="69"/>
  <c r="A21" i="70"/>
  <c r="A20" i="70"/>
  <c r="A17" i="70"/>
  <c r="A16" i="70"/>
  <c r="A15" i="70"/>
  <c r="A14" i="70"/>
  <c r="A13" i="70"/>
  <c r="A12" i="70"/>
  <c r="A9" i="70"/>
  <c r="A8" i="70"/>
  <c r="A5" i="70"/>
  <c r="A4" i="70"/>
  <c r="A3" i="70"/>
  <c r="A21" i="15"/>
  <c r="A20" i="15"/>
  <c r="A17" i="15"/>
  <c r="A16" i="15"/>
  <c r="A15" i="15"/>
  <c r="A14" i="15"/>
  <c r="A13" i="15"/>
  <c r="A12" i="15"/>
  <c r="A9" i="15"/>
  <c r="A8" i="15"/>
  <c r="A5" i="15"/>
  <c r="A4" i="15"/>
  <c r="A3" i="15"/>
  <c r="A20" i="13"/>
  <c r="A17" i="13"/>
  <c r="A16" i="13"/>
  <c r="A15" i="13"/>
  <c r="A14" i="13"/>
  <c r="A13" i="13"/>
  <c r="A12" i="13"/>
  <c r="A9" i="13"/>
  <c r="A4" i="13"/>
  <c r="F99" i="116" a="1"/>
  <c r="F99" i="116" s="1"/>
  <c r="D96" i="116" a="1"/>
  <c r="D96" i="116" s="1"/>
  <c r="F94" i="116"/>
  <c r="D75" i="116"/>
  <c r="D74" i="116"/>
  <c r="D73" i="116"/>
  <c r="D72" i="116"/>
  <c r="D71" i="116"/>
  <c r="D70" i="116"/>
  <c r="D69" i="116"/>
  <c r="D68" i="116"/>
  <c r="D67" i="116"/>
  <c r="F77" i="116"/>
  <c r="I60" i="116"/>
  <c r="I59" i="116"/>
  <c r="I58" i="116"/>
  <c r="I55" i="116" a="1"/>
  <c r="I55" i="116" s="1"/>
  <c r="I13" i="116" a="1"/>
  <c r="I13" i="116" s="1"/>
  <c r="J91" i="116"/>
  <c r="I15" i="116"/>
  <c r="I127" i="115"/>
  <c r="J52" i="115"/>
  <c r="I17" i="116"/>
  <c r="I18" i="116"/>
  <c r="I16" i="116"/>
  <c r="I57" i="116" l="1"/>
  <c r="F75" i="116" l="1"/>
  <c r="F74" i="116"/>
  <c r="F73" i="116"/>
  <c r="F72" i="116"/>
  <c r="F71" i="116"/>
  <c r="F69" i="116"/>
  <c r="F68" i="116"/>
  <c r="F67" i="116"/>
  <c r="F66" i="116"/>
  <c r="F65" i="116"/>
  <c r="F70" i="116"/>
  <c r="A78" i="116"/>
  <c r="A44" i="116"/>
  <c r="F151" i="115" a="1"/>
  <c r="F151" i="115" s="1"/>
  <c r="D148" i="115" a="1"/>
  <c r="D148" i="115" s="1"/>
  <c r="D134" i="115" a="1"/>
  <c r="D134" i="115" s="1"/>
  <c r="I124" i="115" a="1"/>
  <c r="I124" i="115" s="1"/>
  <c r="I128" i="115"/>
  <c r="F146" i="115"/>
  <c r="I97" i="115"/>
  <c r="I96" i="115" a="1"/>
  <c r="I96" i="115" s="1"/>
  <c r="D102" i="115" a="1"/>
  <c r="D102" i="115" s="1"/>
  <c r="G102" i="115"/>
  <c r="F84" i="115" a="1"/>
  <c r="F84" i="115" s="1"/>
  <c r="D81" i="115" a="1"/>
  <c r="D81" i="115" s="1"/>
  <c r="J53" i="115"/>
  <c r="J49" i="115" a="1"/>
  <c r="J49" i="115" s="1"/>
  <c r="G59" i="115"/>
  <c r="I14" i="115" a="1"/>
  <c r="I14" i="115" s="1"/>
  <c r="I13" i="115" a="1"/>
  <c r="I13" i="115" s="1"/>
  <c r="A55" i="115"/>
  <c r="A34" i="115"/>
  <c r="I17" i="114" a="1"/>
  <c r="I17" i="114" s="1"/>
  <c r="I14" i="114" a="1"/>
  <c r="I14" i="114" s="1"/>
  <c r="I13" i="114" a="1"/>
  <c r="I13" i="114" s="1"/>
  <c r="D25" i="114" a="1"/>
  <c r="D25" i="114" s="1"/>
  <c r="F33" i="70"/>
  <c r="I15" i="114"/>
  <c r="G25" i="114" a="1"/>
  <c r="G25" i="114" s="1"/>
  <c r="A55" i="114"/>
  <c r="A34" i="114"/>
  <c r="A44" i="70"/>
  <c r="A37" i="69"/>
  <c r="A83" i="69"/>
  <c r="A76" i="74"/>
  <c r="A38" i="74"/>
  <c r="A34" i="113"/>
  <c r="A55" i="113"/>
  <c r="F55" i="113" a="1"/>
  <c r="F55" i="113" s="1"/>
  <c r="D52" i="113" a="1"/>
  <c r="D52" i="113" s="1"/>
  <c r="K47" i="113"/>
  <c r="F50" i="113"/>
  <c r="I15" i="113" a="1"/>
  <c r="I15" i="113" s="1"/>
  <c r="I14" i="113" a="1"/>
  <c r="I14" i="113" s="1"/>
  <c r="I13" i="113" a="1"/>
  <c r="I13" i="113" s="1"/>
  <c r="G44" i="70"/>
  <c r="H44" i="70"/>
  <c r="I44" i="70" s="1"/>
  <c r="H43" i="70"/>
  <c r="G43" i="70"/>
  <c r="H20" i="113" a="1"/>
  <c r="H20" i="113" s="1"/>
  <c r="E20" i="113" a="1"/>
  <c r="E20" i="113" s="1"/>
  <c r="D20" i="113" a="1"/>
  <c r="E74" i="116"/>
  <c r="E73" i="116"/>
  <c r="E72" i="116"/>
  <c r="E71" i="116"/>
  <c r="E70" i="116"/>
  <c r="E69" i="116"/>
  <c r="F106" i="115" l="1"/>
  <c r="F105" i="115"/>
  <c r="F104" i="115"/>
  <c r="F103" i="115"/>
  <c r="F109" i="115"/>
  <c r="F102" i="115"/>
  <c r="F107" i="115"/>
  <c r="F108" i="115"/>
  <c r="F111" i="115"/>
  <c r="F112" i="115"/>
  <c r="F110" i="115"/>
  <c r="E105" i="115"/>
  <c r="E68" i="116"/>
  <c r="E110" i="115"/>
  <c r="E111" i="115"/>
  <c r="E112" i="115"/>
  <c r="E75" i="116"/>
  <c r="E107" i="115"/>
  <c r="E108" i="115"/>
  <c r="E104" i="115"/>
  <c r="E67" i="116"/>
  <c r="E109" i="115"/>
  <c r="E141" i="115" s="1"/>
  <c r="F141" i="115" s="1"/>
  <c r="E143" i="115"/>
  <c r="F143" i="115" s="1"/>
  <c r="G20" i="113" a="1"/>
  <c r="G20" i="113" s="1"/>
  <c r="E65" i="116" s="1"/>
  <c r="D20" i="113"/>
  <c r="D65" i="116" s="1"/>
  <c r="D66" i="116"/>
  <c r="F43" i="116"/>
  <c r="E144" i="115"/>
  <c r="F144" i="115" s="1"/>
  <c r="E136" i="115"/>
  <c r="F136" i="115" s="1"/>
  <c r="E139" i="115"/>
  <c r="F139" i="115" s="1"/>
  <c r="E142" i="115"/>
  <c r="F142" i="115" s="1"/>
  <c r="E106" i="115"/>
  <c r="F79" i="115"/>
  <c r="I16" i="114"/>
  <c r="I19" i="114"/>
  <c r="I18" i="114"/>
  <c r="H29" i="114" s="1"/>
  <c r="F20" i="113" a="1"/>
  <c r="F20" i="113" s="1"/>
  <c r="J44" i="70"/>
  <c r="E137" i="115" l="1"/>
  <c r="F137" i="115" s="1"/>
  <c r="E140" i="115"/>
  <c r="F140" i="115" s="1"/>
  <c r="E138" i="115"/>
  <c r="F138" i="115" s="1"/>
  <c r="H26" i="114"/>
  <c r="H25" i="114"/>
  <c r="H27" i="114"/>
  <c r="H28" i="114"/>
  <c r="E66" i="116"/>
  <c r="E102" i="115"/>
  <c r="E134" i="115" s="1"/>
  <c r="F134" i="115" s="1"/>
  <c r="E32" i="113" l="1"/>
  <c r="K44" i="113" s="1"/>
  <c r="E103" i="115"/>
  <c r="E135" i="115" s="1"/>
  <c r="F135" i="115" s="1"/>
  <c r="F32" i="113"/>
  <c r="I53" i="74" a="1"/>
  <c r="I53" i="74" s="1"/>
  <c r="I49" i="74" a="1"/>
  <c r="I49" i="74" s="1"/>
  <c r="I52" i="74"/>
  <c r="I14" i="74" a="1"/>
  <c r="I14" i="74" s="1"/>
  <c r="I13" i="74" a="1"/>
  <c r="I13" i="74" s="1"/>
  <c r="R12" i="69" a="1"/>
  <c r="R12" i="69" s="1"/>
  <c r="R23" i="69" a="1"/>
  <c r="R23" i="69" s="1"/>
  <c r="R35" i="69" a="1"/>
  <c r="R35" i="69" s="1"/>
  <c r="S67" i="69" a="1"/>
  <c r="S67" i="69" s="1"/>
  <c r="I50" i="74" l="1"/>
  <c r="I49" i="69" l="1" a="1"/>
  <c r="I49" i="69" s="1"/>
  <c r="I14" i="69" a="1"/>
  <c r="I14" i="69" s="1"/>
  <c r="I13" i="69" a="1"/>
  <c r="I13" i="69" s="1"/>
  <c r="I53" i="69" l="1"/>
  <c r="F60" i="69"/>
  <c r="V43" i="69"/>
  <c r="V44" i="69"/>
  <c r="S43" i="69"/>
  <c r="S44" i="69"/>
  <c r="R43" i="69"/>
  <c r="R44" i="69"/>
  <c r="I43" i="70"/>
  <c r="G33" i="70"/>
  <c r="E25" i="114" s="1" a="1"/>
  <c r="E25" i="114" s="1"/>
  <c r="Q54" i="69"/>
  <c r="Q53" i="69"/>
  <c r="Q52" i="69"/>
  <c r="Q49" i="69"/>
  <c r="Q48" i="69"/>
  <c r="F23" i="70"/>
  <c r="O93" i="69" a="1"/>
  <c r="O93" i="69" s="1"/>
  <c r="M90" i="69" a="1"/>
  <c r="M90" i="69" s="1"/>
  <c r="N82" i="69" a="1"/>
  <c r="N82" i="69" s="1"/>
  <c r="N77" i="69" a="1"/>
  <c r="N77" i="69" s="1"/>
  <c r="S71" i="69"/>
  <c r="T54" i="69"/>
  <c r="T53" i="69"/>
  <c r="T52" i="69"/>
  <c r="U52" i="69" s="1"/>
  <c r="T49" i="69"/>
  <c r="U49" i="69" s="1"/>
  <c r="T48" i="69"/>
  <c r="U48" i="69" s="1"/>
  <c r="N50" i="69" a="1"/>
  <c r="N50" i="69" s="1"/>
  <c r="N45" i="69" a="1"/>
  <c r="N45" i="69" s="1"/>
  <c r="S73" i="69"/>
  <c r="S70" i="69"/>
  <c r="F85" i="69" a="1"/>
  <c r="F85" i="69" s="1"/>
  <c r="D82" i="69" a="1"/>
  <c r="D82" i="69" s="1"/>
  <c r="F58" i="74" l="1"/>
  <c r="F78" i="74"/>
  <c r="J43" i="70"/>
  <c r="U53" i="69"/>
  <c r="U54" i="69"/>
  <c r="J54" i="115" l="1"/>
  <c r="I129" i="115"/>
  <c r="O88" i="69"/>
  <c r="E77" i="116" l="1"/>
  <c r="J90" i="116" s="1"/>
  <c r="P45" i="69" a="1"/>
  <c r="G23" i="70"/>
  <c r="P50" i="69" a="1"/>
  <c r="P50" i="69" s="1"/>
  <c r="F80" i="69"/>
  <c r="E146" i="115" l="1"/>
  <c r="G148" i="115" s="1"/>
  <c r="E151" i="115" s="1" a="1"/>
  <c r="E151" i="115" s="1"/>
  <c r="E31" i="114"/>
  <c r="P45" i="69"/>
  <c r="H12" i="13" l="1"/>
  <c r="I12" i="13" s="1"/>
  <c r="E12" i="13"/>
  <c r="F12" i="13" s="1"/>
  <c r="I52" i="69"/>
  <c r="I54" i="69"/>
  <c r="R19" i="70" l="1" a="1"/>
  <c r="R19" i="70" s="1"/>
  <c r="S19" i="70" a="1"/>
  <c r="S19" i="70" s="1"/>
  <c r="T19" i="70" a="1"/>
  <c r="T19" i="70" s="1"/>
  <c r="U19" i="70" a="1"/>
  <c r="U19" i="70" s="1"/>
  <c r="G18" i="70"/>
  <c r="I18" i="70" s="1"/>
  <c r="F18" i="70"/>
  <c r="J19" i="70" a="1"/>
  <c r="J19" i="70" s="1"/>
  <c r="K18" i="70" a="1"/>
  <c r="K18" i="70" s="1"/>
  <c r="K19" i="70" a="1"/>
  <c r="K19" i="70" s="1"/>
  <c r="J18" i="70" a="1"/>
  <c r="J18" i="70" s="1"/>
  <c r="L19" i="70" a="1"/>
  <c r="L19" i="70" s="1"/>
  <c r="M19" i="70" a="1"/>
  <c r="M19" i="70" s="1"/>
  <c r="X18" i="70"/>
  <c r="N19" i="70" a="1"/>
  <c r="N19" i="70" s="1"/>
  <c r="W18" i="70"/>
  <c r="O19" i="70" a="1"/>
  <c r="O19" i="70" s="1"/>
  <c r="P19" i="70" a="1"/>
  <c r="P19" i="70" s="1"/>
  <c r="Q19" i="70" a="1"/>
  <c r="Q19" i="70" s="1"/>
  <c r="F19" i="70"/>
  <c r="G19" i="70"/>
  <c r="P24" i="70"/>
  <c r="L18" i="70" a="1"/>
  <c r="L18" i="70" s="1"/>
  <c r="D23" i="116" a="1"/>
  <c r="D23" i="116" s="1"/>
  <c r="D59" i="115" a="1"/>
  <c r="D59" i="115" s="1"/>
  <c r="D19" i="115" a="1"/>
  <c r="F37" i="115" s="1" a="1"/>
  <c r="F37" i="115" s="1"/>
  <c r="G37" i="115" s="1" a="1"/>
  <c r="G37" i="115" s="1"/>
  <c r="P18" i="70" a="1"/>
  <c r="P18" i="70" s="1"/>
  <c r="O18" i="70" a="1"/>
  <c r="O18" i="70" s="1"/>
  <c r="N18" i="70" a="1"/>
  <c r="N18" i="70" s="1"/>
  <c r="M18" i="70" a="1"/>
  <c r="M18" i="70" s="1"/>
  <c r="U18" i="70" a="1"/>
  <c r="U18" i="70" s="1"/>
  <c r="T18" i="70" a="1"/>
  <c r="T18" i="70" s="1"/>
  <c r="S18" i="70" a="1"/>
  <c r="S18" i="70" s="1"/>
  <c r="R18" i="70" a="1"/>
  <c r="R18" i="70" s="1"/>
  <c r="Q18" i="70" a="1"/>
  <c r="Q18" i="70" s="1"/>
  <c r="P23" i="70"/>
  <c r="D58" i="74" a="1"/>
  <c r="D58" i="74" s="1"/>
  <c r="D60" i="69" a="1"/>
  <c r="D60" i="69" s="1"/>
  <c r="D19" i="74" a="1"/>
  <c r="F37" i="74" s="1" a="1"/>
  <c r="F37" i="74" s="1"/>
  <c r="D19" i="69" a="1"/>
  <c r="F37" i="69" s="1" a="1"/>
  <c r="F37" i="69" s="1"/>
  <c r="A21" i="13"/>
  <c r="V19" i="70" l="1"/>
  <c r="I19" i="70"/>
  <c r="E30" i="74" s="1" a="1"/>
  <c r="E30" i="74" s="1"/>
  <c r="V18" i="70"/>
  <c r="O50" i="69" a="1"/>
  <c r="D19" i="115"/>
  <c r="F19" i="115" s="1" a="1"/>
  <c r="F19" i="115" s="1"/>
  <c r="G19" i="115" s="1" a="1"/>
  <c r="G19" i="115" s="1"/>
  <c r="F25" i="115" a="1"/>
  <c r="F25" i="115" s="1"/>
  <c r="G25" i="115" s="1" a="1"/>
  <c r="G25" i="115" s="1"/>
  <c r="F36" i="115" a="1"/>
  <c r="F36" i="115" s="1"/>
  <c r="G36" i="115" s="1" a="1"/>
  <c r="G36" i="115" s="1"/>
  <c r="F24" i="115" a="1"/>
  <c r="F24" i="115" s="1"/>
  <c r="G24" i="115" s="1" a="1"/>
  <c r="G24" i="115" s="1"/>
  <c r="F20" i="115" a="1"/>
  <c r="F20" i="115" s="1"/>
  <c r="G20" i="115" s="1" a="1"/>
  <c r="G20" i="115" s="1"/>
  <c r="F26" i="115" a="1"/>
  <c r="F26" i="115" s="1"/>
  <c r="G26" i="115" s="1" a="1"/>
  <c r="G26" i="115" s="1"/>
  <c r="F23" i="115" a="1"/>
  <c r="F23" i="115" s="1"/>
  <c r="G23" i="115" s="1" a="1"/>
  <c r="G23" i="115" s="1"/>
  <c r="F27" i="115" a="1"/>
  <c r="F27" i="115" s="1"/>
  <c r="G27" i="115" s="1" a="1"/>
  <c r="G27" i="115" s="1"/>
  <c r="F29" i="115" a="1"/>
  <c r="F29" i="115" s="1"/>
  <c r="G29" i="115" s="1" a="1"/>
  <c r="G29" i="115" s="1"/>
  <c r="F33" i="115" a="1"/>
  <c r="F33" i="115" s="1"/>
  <c r="G33" i="115" s="1" a="1"/>
  <c r="G33" i="115" s="1"/>
  <c r="F30" i="115" a="1"/>
  <c r="F30" i="115" s="1"/>
  <c r="G30" i="115" s="1" a="1"/>
  <c r="G30" i="115" s="1"/>
  <c r="F28" i="115" a="1"/>
  <c r="F28" i="115" s="1"/>
  <c r="G28" i="115" s="1" a="1"/>
  <c r="G28" i="115" s="1"/>
  <c r="F34" i="115" a="1"/>
  <c r="F34" i="115" s="1"/>
  <c r="G34" i="115" s="1" a="1"/>
  <c r="G34" i="115" s="1"/>
  <c r="F21" i="115" a="1"/>
  <c r="F21" i="115" s="1"/>
  <c r="G21" i="115" s="1" a="1"/>
  <c r="G21" i="115" s="1"/>
  <c r="F31" i="115" a="1"/>
  <c r="F31" i="115" s="1"/>
  <c r="G31" i="115" s="1" a="1"/>
  <c r="G31" i="115" s="1"/>
  <c r="F35" i="115" a="1"/>
  <c r="F35" i="115" s="1"/>
  <c r="G35" i="115" s="1" a="1"/>
  <c r="G35" i="115" s="1"/>
  <c r="F22" i="115" a="1"/>
  <c r="F22" i="115" s="1"/>
  <c r="G22" i="115" s="1" a="1"/>
  <c r="G22" i="115" s="1"/>
  <c r="F32" i="115" a="1"/>
  <c r="F32" i="115" s="1"/>
  <c r="G32" i="115" s="1" a="1"/>
  <c r="G32" i="115" s="1"/>
  <c r="F33" i="69" a="1"/>
  <c r="F33" i="69" s="1"/>
  <c r="F26" i="69" a="1"/>
  <c r="F26" i="69" s="1"/>
  <c r="F22" i="69" a="1"/>
  <c r="F22" i="69" s="1"/>
  <c r="F28" i="69" a="1"/>
  <c r="F28" i="69" s="1"/>
  <c r="F32" i="69" a="1"/>
  <c r="F32" i="69" s="1"/>
  <c r="F27" i="69" a="1"/>
  <c r="F27" i="69" s="1"/>
  <c r="F36" i="69" a="1"/>
  <c r="F36" i="69" s="1"/>
  <c r="F30" i="69" a="1"/>
  <c r="F30" i="69" s="1"/>
  <c r="F35" i="69" a="1"/>
  <c r="F35" i="69" s="1"/>
  <c r="F29" i="69" a="1"/>
  <c r="F29" i="69" s="1"/>
  <c r="F21" i="69" a="1"/>
  <c r="F21" i="69" s="1"/>
  <c r="D19" i="69"/>
  <c r="F19" i="69" s="1" a="1"/>
  <c r="F19" i="69" s="1"/>
  <c r="F34" i="69" a="1"/>
  <c r="F34" i="69" s="1"/>
  <c r="F31" i="69" a="1"/>
  <c r="F31" i="69" s="1"/>
  <c r="F25" i="69" a="1"/>
  <c r="F25" i="69" s="1"/>
  <c r="F24" i="69" a="1"/>
  <c r="F24" i="69" s="1"/>
  <c r="F23" i="69" a="1"/>
  <c r="F23" i="69" s="1"/>
  <c r="F20" i="69" a="1"/>
  <c r="F20" i="69" s="1"/>
  <c r="F32" i="74" a="1"/>
  <c r="F32" i="74" s="1"/>
  <c r="F24" i="74" a="1"/>
  <c r="F24" i="74" s="1"/>
  <c r="F20" i="74" a="1"/>
  <c r="F20" i="74" s="1"/>
  <c r="F22" i="74" a="1"/>
  <c r="F22" i="74" s="1"/>
  <c r="F25" i="74" a="1"/>
  <c r="F25" i="74" s="1"/>
  <c r="F35" i="74" a="1"/>
  <c r="F35" i="74" s="1"/>
  <c r="F29" i="74" a="1"/>
  <c r="F29" i="74" s="1"/>
  <c r="F36" i="74" a="1"/>
  <c r="F36" i="74" s="1"/>
  <c r="F31" i="74" a="1"/>
  <c r="F31" i="74" s="1"/>
  <c r="F34" i="74" a="1"/>
  <c r="F34" i="74" s="1"/>
  <c r="D19" i="74"/>
  <c r="F19" i="74" s="1" a="1"/>
  <c r="F19" i="74" s="1"/>
  <c r="F23" i="74" a="1"/>
  <c r="F23" i="74" s="1"/>
  <c r="F26" i="74" a="1"/>
  <c r="F26" i="74" s="1"/>
  <c r="F30" i="74" a="1"/>
  <c r="F30" i="74" s="1"/>
  <c r="F33" i="74" a="1"/>
  <c r="F33" i="74" s="1"/>
  <c r="F27" i="74" a="1"/>
  <c r="F27" i="74" s="1"/>
  <c r="F21" i="74" a="1"/>
  <c r="F21" i="74" s="1"/>
  <c r="F28" i="74" a="1"/>
  <c r="F28" i="74" s="1"/>
  <c r="A8" i="13"/>
  <c r="A5" i="13"/>
  <c r="A3" i="13"/>
  <c r="G30" i="74" l="1"/>
  <c r="E69" i="74" s="1"/>
  <c r="V51" i="69"/>
  <c r="S51" i="69"/>
  <c r="R51" i="69"/>
  <c r="W51" i="69"/>
  <c r="E37" i="74" a="1"/>
  <c r="E37" i="74" s="1"/>
  <c r="G37" i="74" s="1"/>
  <c r="E76" i="74" s="1"/>
  <c r="E26" i="69" a="1"/>
  <c r="E26" i="69" s="1"/>
  <c r="G26" i="69" s="1"/>
  <c r="E67" i="69" s="1"/>
  <c r="E22" i="74" a="1"/>
  <c r="E22" i="74" s="1"/>
  <c r="G22" i="74" s="1"/>
  <c r="E61" i="74" s="1"/>
  <c r="E19" i="74" a="1"/>
  <c r="E19" i="74" s="1"/>
  <c r="G19" i="74" s="1"/>
  <c r="E58" i="74" s="1"/>
  <c r="E20" i="69" a="1"/>
  <c r="E20" i="69" s="1"/>
  <c r="E31" i="74" a="1"/>
  <c r="E31" i="74" s="1"/>
  <c r="G31" i="74" s="1"/>
  <c r="E70" i="74" s="1"/>
  <c r="E35" i="74" a="1"/>
  <c r="E35" i="74" s="1"/>
  <c r="G35" i="74" s="1"/>
  <c r="E74" i="74" s="1"/>
  <c r="E25" i="69" a="1"/>
  <c r="E25" i="69" s="1"/>
  <c r="E23" i="69" a="1"/>
  <c r="E23" i="69" s="1"/>
  <c r="E37" i="69" a="1"/>
  <c r="E37" i="69" s="1"/>
  <c r="G37" i="69" s="1"/>
  <c r="E78" i="69" s="1"/>
  <c r="E33" i="74" a="1"/>
  <c r="E33" i="74" s="1"/>
  <c r="G33" i="74" s="1"/>
  <c r="E72" i="74" s="1"/>
  <c r="E34" i="74" a="1"/>
  <c r="E34" i="74" s="1"/>
  <c r="G34" i="74" s="1"/>
  <c r="E73" i="74" s="1"/>
  <c r="E26" i="74" a="1"/>
  <c r="E26" i="74" s="1"/>
  <c r="G26" i="74" s="1"/>
  <c r="E65" i="74" s="1"/>
  <c r="E27" i="69" a="1"/>
  <c r="E27" i="69" s="1"/>
  <c r="E21" i="74" a="1"/>
  <c r="E21" i="74" s="1"/>
  <c r="G21" i="74" s="1"/>
  <c r="E60" i="74" s="1"/>
  <c r="E21" i="69" a="1"/>
  <c r="E21" i="69" s="1"/>
  <c r="E28" i="74" a="1"/>
  <c r="E28" i="74" s="1"/>
  <c r="G28" i="74" s="1"/>
  <c r="E67" i="74" s="1"/>
  <c r="E29" i="69" a="1"/>
  <c r="E29" i="69" s="1"/>
  <c r="E28" i="69" a="1"/>
  <c r="E28" i="69" s="1"/>
  <c r="E35" i="69" a="1"/>
  <c r="E35" i="69" s="1"/>
  <c r="E31" i="69" a="1"/>
  <c r="E31" i="69" s="1"/>
  <c r="E23" i="74" a="1"/>
  <c r="E23" i="74" s="1"/>
  <c r="G23" i="74" s="1"/>
  <c r="E62" i="74" s="1"/>
  <c r="E25" i="74" a="1"/>
  <c r="E25" i="74" s="1"/>
  <c r="G25" i="74" s="1"/>
  <c r="E64" i="74" s="1"/>
  <c r="E29" i="74" a="1"/>
  <c r="E29" i="74" s="1"/>
  <c r="G29" i="74" s="1"/>
  <c r="E68" i="74" s="1"/>
  <c r="E36" i="74" a="1"/>
  <c r="E36" i="74" s="1"/>
  <c r="G36" i="74" s="1"/>
  <c r="E75" i="74" s="1"/>
  <c r="E19" i="69" a="1"/>
  <c r="E19" i="69" s="1"/>
  <c r="E32" i="74" a="1"/>
  <c r="E32" i="74" s="1"/>
  <c r="G32" i="74" s="1"/>
  <c r="E71" i="74" s="1"/>
  <c r="E34" i="69" a="1"/>
  <c r="E34" i="69" s="1"/>
  <c r="E20" i="74" a="1"/>
  <c r="E20" i="74" s="1"/>
  <c r="G20" i="74" s="1"/>
  <c r="E59" i="74" s="1"/>
  <c r="E33" i="69" a="1"/>
  <c r="E33" i="69" s="1"/>
  <c r="E32" i="69" a="1"/>
  <c r="E32" i="69" s="1"/>
  <c r="E30" i="69" a="1"/>
  <c r="E30" i="69" s="1"/>
  <c r="E27" i="74" a="1"/>
  <c r="E27" i="74" s="1"/>
  <c r="G27" i="74" s="1"/>
  <c r="E66" i="74" s="1"/>
  <c r="E22" i="69" a="1"/>
  <c r="E22" i="69" s="1"/>
  <c r="E24" i="74" a="1"/>
  <c r="E24" i="74" s="1"/>
  <c r="G24" i="74" s="1"/>
  <c r="E63" i="74" s="1"/>
  <c r="E24" i="69" a="1"/>
  <c r="E24" i="69" s="1"/>
  <c r="E36" i="69" a="1"/>
  <c r="E36" i="69" s="1"/>
  <c r="O50" i="69"/>
  <c r="Q51" i="69"/>
  <c r="T51" i="69"/>
  <c r="U51" i="69" s="1"/>
  <c r="O45" i="69" a="1"/>
  <c r="G32" i="69" l="1"/>
  <c r="E73" i="69" s="1"/>
  <c r="G22" i="69"/>
  <c r="E63" i="69" s="1"/>
  <c r="G34" i="69"/>
  <c r="E75" i="69" s="1"/>
  <c r="G23" i="69"/>
  <c r="E64" i="69" s="1"/>
  <c r="G35" i="69"/>
  <c r="E76" i="69" s="1"/>
  <c r="G33" i="69"/>
  <c r="E74" i="69" s="1"/>
  <c r="G27" i="69"/>
  <c r="E68" i="69" s="1"/>
  <c r="W46" i="69"/>
  <c r="S46" i="69"/>
  <c r="R46" i="69"/>
  <c r="G24" i="69"/>
  <c r="E65" i="69" s="1"/>
  <c r="G25" i="69"/>
  <c r="E66" i="69" s="1"/>
  <c r="G21" i="69"/>
  <c r="E62" i="69" s="1"/>
  <c r="T50" i="69"/>
  <c r="U50" i="69" s="1"/>
  <c r="S50" i="69"/>
  <c r="R50" i="69"/>
  <c r="W50" i="69"/>
  <c r="G36" i="69"/>
  <c r="E77" i="69" s="1"/>
  <c r="G31" i="69"/>
  <c r="E72" i="69" s="1"/>
  <c r="G20" i="69"/>
  <c r="E61" i="69" s="1"/>
  <c r="G30" i="69"/>
  <c r="E71" i="69" s="1"/>
  <c r="G29" i="69"/>
  <c r="E70" i="69" s="1"/>
  <c r="E30" i="116"/>
  <c r="F30" i="116" s="1"/>
  <c r="G19" i="69"/>
  <c r="E60" i="69" s="1"/>
  <c r="G28" i="69"/>
  <c r="E69" i="69" s="1"/>
  <c r="E37" i="115"/>
  <c r="E41" i="116"/>
  <c r="E78" i="74"/>
  <c r="Q50" i="69"/>
  <c r="E26" i="115"/>
  <c r="Q46" i="69"/>
  <c r="T46" i="69"/>
  <c r="U46" i="69" s="1"/>
  <c r="T47" i="69"/>
  <c r="U47" i="69" s="1"/>
  <c r="O45" i="69"/>
  <c r="Q47" i="69"/>
  <c r="E22" i="115" l="1"/>
  <c r="H22" i="115" s="1"/>
  <c r="E62" i="115" s="1"/>
  <c r="F62" i="115" s="1"/>
  <c r="E32" i="115"/>
  <c r="H32" i="115" s="1"/>
  <c r="E72" i="115" s="1"/>
  <c r="F72" i="115" s="1"/>
  <c r="E23" i="115"/>
  <c r="H23" i="115" s="1"/>
  <c r="E63" i="115" s="1"/>
  <c r="F63" i="115" s="1"/>
  <c r="E19" i="115"/>
  <c r="H19" i="115" s="1"/>
  <c r="E59" i="115" s="1"/>
  <c r="F59" i="115" s="1"/>
  <c r="E24" i="116"/>
  <c r="F24" i="116" s="1"/>
  <c r="E29" i="115"/>
  <c r="H29" i="115" s="1"/>
  <c r="E69" i="115" s="1"/>
  <c r="F69" i="115" s="1"/>
  <c r="E25" i="115"/>
  <c r="H25" i="115" s="1"/>
  <c r="E65" i="115" s="1"/>
  <c r="F65" i="115" s="1"/>
  <c r="E40" i="116"/>
  <c r="F40" i="116" s="1"/>
  <c r="E26" i="116"/>
  <c r="F26" i="116" s="1"/>
  <c r="E36" i="115"/>
  <c r="H36" i="115" s="1"/>
  <c r="E76" i="115" s="1"/>
  <c r="F76" i="115" s="1"/>
  <c r="E29" i="116"/>
  <c r="F29" i="116" s="1"/>
  <c r="E33" i="115"/>
  <c r="H33" i="115" s="1"/>
  <c r="E73" i="115" s="1"/>
  <c r="F73" i="115" s="1"/>
  <c r="E20" i="115"/>
  <c r="H20" i="115" s="1"/>
  <c r="E60" i="115" s="1"/>
  <c r="F60" i="115" s="1"/>
  <c r="E27" i="116"/>
  <c r="F27" i="116" s="1"/>
  <c r="E21" i="115"/>
  <c r="H21" i="115" s="1"/>
  <c r="E61" i="115" s="1"/>
  <c r="F61" i="115" s="1"/>
  <c r="E35" i="115"/>
  <c r="H35" i="115" s="1"/>
  <c r="E75" i="115" s="1"/>
  <c r="F75" i="115" s="1"/>
  <c r="E24" i="115"/>
  <c r="V50" i="69"/>
  <c r="E31" i="116"/>
  <c r="F31" i="116" s="1"/>
  <c r="E23" i="116"/>
  <c r="F23" i="116" s="1"/>
  <c r="H26" i="115"/>
  <c r="E66" i="115" s="1"/>
  <c r="F66" i="115" s="1"/>
  <c r="E34" i="115"/>
  <c r="E33" i="116"/>
  <c r="F33" i="116" s="1"/>
  <c r="E37" i="116"/>
  <c r="F37" i="116" s="1"/>
  <c r="E31" i="115"/>
  <c r="E34" i="116"/>
  <c r="F34" i="116" s="1"/>
  <c r="E25" i="116"/>
  <c r="F25" i="116" s="1"/>
  <c r="E39" i="116"/>
  <c r="F39" i="116" s="1"/>
  <c r="E28" i="115"/>
  <c r="E30" i="115"/>
  <c r="F41" i="116"/>
  <c r="E35" i="116"/>
  <c r="F35" i="116" s="1"/>
  <c r="E28" i="116"/>
  <c r="F28" i="116" s="1"/>
  <c r="E38" i="116"/>
  <c r="F38" i="116" s="1"/>
  <c r="E27" i="115"/>
  <c r="H37" i="115"/>
  <c r="E77" i="115" s="1"/>
  <c r="F77" i="115" s="1"/>
  <c r="E32" i="116"/>
  <c r="F32" i="116" s="1"/>
  <c r="V46" i="69"/>
  <c r="W45" i="69"/>
  <c r="S45" i="69"/>
  <c r="R45" i="69"/>
  <c r="E36" i="116"/>
  <c r="F36" i="116" s="1"/>
  <c r="T45" i="69"/>
  <c r="U45" i="69" s="1"/>
  <c r="H10" i="13"/>
  <c r="I10" i="13" s="1"/>
  <c r="E10" i="13"/>
  <c r="F10" i="13" s="1"/>
  <c r="Q45" i="69"/>
  <c r="S74" i="69"/>
  <c r="I55" i="69"/>
  <c r="E43" i="116" l="1"/>
  <c r="J89" i="116" s="1"/>
  <c r="E94" i="116" s="1"/>
  <c r="E14" i="13" s="1"/>
  <c r="F14" i="13" s="1"/>
  <c r="H34" i="115"/>
  <c r="E74" i="115" s="1"/>
  <c r="F74" i="115" s="1"/>
  <c r="H28" i="115"/>
  <c r="E68" i="115" s="1"/>
  <c r="F68" i="115" s="1"/>
  <c r="V45" i="69"/>
  <c r="H30" i="115"/>
  <c r="E70" i="115" s="1"/>
  <c r="F70" i="115" s="1"/>
  <c r="H31" i="115"/>
  <c r="E71" i="115" s="1"/>
  <c r="F71" i="115" s="1"/>
  <c r="H27" i="115"/>
  <c r="E67" i="115" s="1"/>
  <c r="F67" i="115" s="1"/>
  <c r="H24" i="115"/>
  <c r="E64" i="115" s="1"/>
  <c r="F64" i="115" s="1"/>
  <c r="S68" i="69" a="1"/>
  <c r="S68" i="69" s="1"/>
  <c r="E29" i="15"/>
  <c r="K48" i="113" s="1"/>
  <c r="K45" i="113" s="1"/>
  <c r="E50" i="113" s="1"/>
  <c r="G96" i="116" l="1"/>
  <c r="E99" i="116" s="1" a="1"/>
  <c r="E99" i="116" s="1"/>
  <c r="H14" i="13" s="1"/>
  <c r="I14" i="13" s="1"/>
  <c r="E79" i="115"/>
  <c r="E80" i="69"/>
  <c r="G52" i="113"/>
  <c r="E55" i="113" s="1" a="1"/>
  <c r="E55" i="113" s="1"/>
  <c r="H11" i="13" s="1"/>
  <c r="I11" i="13" s="1"/>
  <c r="E11" i="13"/>
  <c r="F11" i="13" s="1"/>
  <c r="O86" i="69" a="1"/>
  <c r="O86" i="69" s="1"/>
  <c r="P86" i="69" s="1"/>
  <c r="O84" i="69" a="1"/>
  <c r="O84" i="69" s="1"/>
  <c r="P84" i="69" s="1"/>
  <c r="O78" i="69" a="1"/>
  <c r="O78" i="69" s="1"/>
  <c r="P78" i="69" s="1"/>
  <c r="O80" i="69" a="1"/>
  <c r="O80" i="69" s="1"/>
  <c r="P80" i="69" s="1"/>
  <c r="O79" i="69" a="1"/>
  <c r="O79" i="69" s="1"/>
  <c r="P79" i="69" s="1"/>
  <c r="O81" i="69" a="1"/>
  <c r="O81" i="69" s="1"/>
  <c r="P81" i="69" s="1"/>
  <c r="O83" i="69" a="1"/>
  <c r="O83" i="69" s="1"/>
  <c r="P83" i="69" s="1"/>
  <c r="O85" i="69" a="1"/>
  <c r="O85" i="69" s="1"/>
  <c r="P85" i="69" s="1"/>
  <c r="O82" i="69" a="1"/>
  <c r="O82" i="69" s="1"/>
  <c r="P82" i="69" s="1"/>
  <c r="O77" i="69" a="1"/>
  <c r="O77" i="69" s="1"/>
  <c r="P77" i="69" s="1"/>
  <c r="E13" i="15"/>
  <c r="E13" i="13" l="1"/>
  <c r="F13" i="13" s="1"/>
  <c r="G81" i="115"/>
  <c r="E84" i="115" s="1" a="1"/>
  <c r="E84" i="115" s="1"/>
  <c r="H13" i="13" s="1"/>
  <c r="I13" i="13" s="1"/>
  <c r="G82" i="69"/>
  <c r="E85" i="69" s="1" a="1"/>
  <c r="E85" i="69" s="1"/>
  <c r="H9" i="13" s="1"/>
  <c r="E9" i="13"/>
  <c r="N88" i="69"/>
  <c r="H15" i="13" l="1"/>
  <c r="P90" i="69"/>
  <c r="N93" i="69" s="1" a="1"/>
  <c r="N93" i="69" s="1"/>
  <c r="I9" i="13" s="1"/>
  <c r="I15" i="13" s="1"/>
  <c r="F9" i="13"/>
  <c r="D31" i="70"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<sst xmlns="http://schemas.openxmlformats.org/spreadsheetml/2006/main" count="1480" uniqueCount="747">
  <si>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</si>
  <si>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</si>
  <si>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</si>
  <si>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</si>
  <si>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</si>
  <si>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</si>
  <si>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</si>
  <si>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</si>
  <si>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</si>
  <si>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</si>
  <si>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</si>
  <si>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</si>
  <si>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</si>
  <si>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</si>
  <si>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</si>
  <si>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</si>
  <si>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</si>
  <si>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</si>
  <si>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</si>
  <si>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</si>
  <si>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</si>
  <si>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</si>
  <si>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</si>
  <si>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</si>
  <si>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</si>
  <si>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</si>
  <si>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</si>
  <si>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</si>
  <si>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</si>
  <si>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</si>
  <si>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</si>
  <si>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</si>
  <si>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</si>
  <si>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</si>
  <si>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</si>
  <si>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</si>
  <si>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</si>
  <si>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</si>
  <si>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</si>
  <si>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</si>
  <si>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</si>
  <si>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</si>
  <si>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</si>
  <si>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</si>
  <si>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</si>
  <si>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</si>
  <si>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</si>
  <si>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</si>
  <si>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</si>
  <si>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</si>
  <si>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</si>
  <si>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</si>
  <si>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</si>
  <si>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</si>
  <si>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</si>
  <si>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</si>
  <si>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</si>
  <si>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</si>
  <si>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</si>
  <si>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</si>
  <si>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</si>
  <si>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</si>
  <si>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</si>
  <si>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</si>
  <si>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</si>
  <si>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</si>
  <si>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</si>
  <si>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</si>
  <si>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</si>
  <si>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</si>
  <si>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</si>
  <si>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</si>
  <si>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</si>
  <si>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</si>
  <si>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</si>
  <si>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</si>
  <si>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</si>
  <si>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</si>
  <si>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</si>
  <si>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</si>
  <si>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</si>
  <si>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</si>
  <si>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</si>
  <si>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</si>
  <si>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</si>
  <si>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</si>
  <si>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Production system</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</si>
  <si>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</si>
  <si>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</si>
  <si>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</si>
  <si>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</si>
  <si>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</si>
  <si>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</si>
  <si>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</si>
  <si>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</si>
  <si>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</si>
  <si>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</si>
  <si>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</si>
  <si>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</si>
  <si>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</si>
  <si>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</si>
  <si>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</si>
  <si>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</si>
  <si>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</si>
  <si>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</si>
  <si>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</si>
  <si>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</si>
  <si>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</si>
  <si>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Constants - Fertiliser</t>
  </si>
  <si>
    <t>Basis</t>
  </si>
  <si>
    <t>Source</t>
  </si>
  <si>
    <t>Fertiliser type f</t>
  </si>
  <si>
    <t>Fertiliser products</t>
  </si>
  <si>
    <t>Product</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</si>
  <si>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</si>
  <si>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</si>
  <si>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</si>
  <si>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</si>
  <si>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</si>
  <si>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</si>
  <si>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</si>
  <si>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</si>
  <si>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</si>
  <si>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</si>
  <si>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</si>
  <si>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</si>
  <si>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FU f</t>
  </si>
  <si>
    <t>FNinorganic f</t>
  </si>
  <si>
    <t>Lifecycles Scope 3 definition</t>
  </si>
  <si>
    <t>FracGASF f</t>
  </si>
  <si>
    <t>Crop</t>
  </si>
  <si>
    <t>Sprinkler irrigation</t>
  </si>
  <si>
    <t>Irrigation methods</t>
  </si>
  <si>
    <t>Pasture</t>
  </si>
  <si>
    <t>Not irrigated</t>
  </si>
  <si>
    <t>Drip irrigation</t>
  </si>
  <si>
    <t>Surface irrigation</t>
  </si>
  <si>
    <t>Other irrigation</t>
  </si>
  <si>
    <t>Maize</t>
  </si>
  <si>
    <t>Cotton</t>
  </si>
  <si>
    <t>Grains</t>
  </si>
  <si>
    <t>kg</t>
  </si>
  <si>
    <r>
      <t>FN</t>
    </r>
    <r>
      <rPr>
        <b/>
        <vertAlign val="subscript"/>
        <sz val="11"/>
        <color rgb="FF183C1B"/>
        <rFont val="Times New Roman"/>
        <family val="1"/>
      </rPr>
      <t>inorganic,f</t>
    </r>
  </si>
  <si>
    <r>
      <t>TM</t>
    </r>
    <r>
      <rPr>
        <b/>
        <vertAlign val="subscript"/>
        <sz val="11"/>
        <color rgb="FF533001"/>
        <rFont val="Times New Roman"/>
        <family val="1"/>
      </rPr>
      <t>jf</t>
    </r>
  </si>
  <si>
    <t>Table_MN_j_f</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</si>
  <si>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</si>
  <si>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</si>
  <si>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</si>
  <si>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</si>
  <si>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</si>
  <si>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</si>
  <si>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</si>
  <si>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Custom fertiliser blends</t>
  </si>
  <si>
    <t>Custom blend name</t>
  </si>
  <si>
    <t>Ingredient 1 (select)</t>
  </si>
  <si>
    <t>My first custom blend</t>
  </si>
  <si>
    <t>Potassium - Generic</t>
  </si>
  <si>
    <t>Sulfur - Generic</t>
  </si>
  <si>
    <r>
      <t xml:space="preserve">Amount applied </t>
    </r>
    <r>
      <rPr>
        <sz val="11"/>
        <color theme="1"/>
        <rFont val="Times New Roman"/>
        <family val="1"/>
      </rPr>
      <t>(kg / ha)</t>
    </r>
  </si>
  <si>
    <r>
      <t>MN</t>
    </r>
    <r>
      <rPr>
        <b/>
        <vertAlign val="subscript"/>
        <sz val="11"/>
        <color rgb="FF533001"/>
        <rFont val="Times New Roman"/>
        <family val="1"/>
      </rPr>
      <t>jf</t>
    </r>
  </si>
  <si>
    <t>Mass of nitrogen applied</t>
  </si>
  <si>
    <r>
      <t>E</t>
    </r>
    <r>
      <rPr>
        <b/>
        <vertAlign val="subscript"/>
        <sz val="16"/>
        <color theme="1" tint="0.24994659260841701"/>
        <rFont val="Times New Roman"/>
        <family val="1"/>
      </rPr>
      <t>N2O</t>
    </r>
  </si>
  <si>
    <t>Crop types</t>
  </si>
  <si>
    <t>Crop type</t>
  </si>
  <si>
    <t>N application rate (kg/ha)</t>
  </si>
  <si>
    <t>N Application rate</t>
  </si>
  <si>
    <t>Application area</t>
  </si>
  <si>
    <t>MN</t>
  </si>
  <si>
    <t>M1_Table_E_N2O</t>
  </si>
  <si>
    <t>Nitrous oxide emissions from inorganic fertiliser application (Method 1)</t>
  </si>
  <si>
    <t>Product applied</t>
  </si>
  <si>
    <t>Fertiliser product applications (Method 2)</t>
  </si>
  <si>
    <t>Not used - application rate calculated per product blend application</t>
  </si>
  <si>
    <t>M2_Table_FertApplications</t>
  </si>
  <si>
    <t>Custom blend</t>
  </si>
  <si>
    <t>Branded product</t>
  </si>
  <si>
    <t>MN for cotton</t>
  </si>
  <si>
    <t>hectares</t>
  </si>
  <si>
    <t>kg / hectare</t>
  </si>
  <si>
    <t>kg N2O-N/kg N applied</t>
  </si>
  <si>
    <t>N App. rate for cotton (max 300)</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</si>
  <si>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</si>
  <si>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r>
      <t>E</t>
    </r>
    <r>
      <rPr>
        <b/>
        <vertAlign val="subscript"/>
        <sz val="11"/>
        <color rgb="FF183C1B"/>
        <rFont val="Times New Roman"/>
        <family val="1"/>
      </rPr>
      <t>N2O</t>
    </r>
  </si>
  <si>
    <r>
      <t>EFj</t>
    </r>
    <r>
      <rPr>
        <b/>
        <vertAlign val="subscript"/>
        <sz val="11"/>
        <color rgb="FF183C1B"/>
        <rFont val="Times New Roman"/>
        <family val="1"/>
      </rPr>
      <t>N2O</t>
    </r>
  </si>
  <si>
    <t>Not used</t>
  </si>
  <si>
    <t>Area under cropping</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</si>
  <si>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</si>
  <si>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</si>
  <si>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</si>
  <si>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</si>
  <si>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</si>
  <si>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</si>
  <si>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</si>
  <si>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Organic fertiliser applied</t>
  </si>
  <si>
    <t>Organic fertiliser type (select)</t>
  </si>
  <si>
    <t>Percentage of N in fertiliser</t>
  </si>
  <si>
    <t>Amount applied (kg/hectare)</t>
  </si>
  <si>
    <t>Amount N applied (kg/hectare)</t>
  </si>
  <si>
    <t>Total organic fertliser applied</t>
  </si>
  <si>
    <t>Total nitrogen applied (kg)</t>
  </si>
  <si>
    <t>Capped cotton applicationj rate to 300 based on VEERG "application rate of inorganic fertiliser type f in the cotton crop (kg N/ha). This is capped at a maximum of 0.0183 kg CO2e/kg N, equivalent to N application rates of 300 kg N/ha "</t>
  </si>
  <si>
    <t>5.1.1.1-2 Inorganic fertiliser application N2O emissions</t>
  </si>
  <si>
    <t>5.1.1.3-4 Inorganic fertiliser application CO2 emissions</t>
  </si>
  <si>
    <t>Table_MU_j_f</t>
  </si>
  <si>
    <t>Mass of urea applied</t>
  </si>
  <si>
    <r>
      <t>FU</t>
    </r>
    <r>
      <rPr>
        <b/>
        <vertAlign val="subscript"/>
        <sz val="11"/>
        <color rgb="FF183C1B"/>
        <rFont val="Times New Roman"/>
        <family val="1"/>
      </rPr>
      <t>f</t>
    </r>
  </si>
  <si>
    <t>M1_Table_E_CO2</t>
  </si>
  <si>
    <t>Carbon dioxide oxide emissions from inorganic fertiliser application (Method 1)</t>
  </si>
  <si>
    <r>
      <t>MU</t>
    </r>
    <r>
      <rPr>
        <b/>
        <vertAlign val="subscript"/>
        <sz val="11"/>
        <color rgb="FF533001"/>
        <rFont val="Times New Roman"/>
        <family val="1"/>
      </rPr>
      <t>jf</t>
    </r>
  </si>
  <si>
    <t>MAT (ºC)</t>
  </si>
  <si>
    <t>Anaerobic lagoon</t>
  </si>
  <si>
    <t>Liquid systems</t>
  </si>
  <si>
    <t>Daily spread</t>
  </si>
  <si>
    <t>Pit storage</t>
  </si>
  <si>
    <t>Deep litter</t>
  </si>
  <si>
    <t>Poultry manure without bedding</t>
  </si>
  <si>
    <t>MAT raw</t>
  </si>
  <si>
    <t>Ingredient 7</t>
  </si>
  <si>
    <t>Ingredient 7 percent</t>
  </si>
  <si>
    <t>Ingredient 8</t>
  </si>
  <si>
    <t>Ingredient 8 percent</t>
  </si>
  <si>
    <t>Ingredient 9</t>
  </si>
  <si>
    <t>Ingredient 9 percent</t>
  </si>
  <si>
    <t>Imngredient 10</t>
  </si>
  <si>
    <t>Ingredient 10 percent</t>
  </si>
  <si>
    <t>Include or Exclude</t>
  </si>
  <si>
    <t>Notes</t>
  </si>
  <si>
    <t>Company</t>
  </si>
  <si>
    <t>Product name</t>
  </si>
  <si>
    <t>Density / gravity</t>
  </si>
  <si>
    <t>Urea source</t>
  </si>
  <si>
    <t>Ammonia source</t>
  </si>
  <si>
    <t>EF_jN2O</t>
  </si>
  <si>
    <r>
      <t>E</t>
    </r>
    <r>
      <rPr>
        <b/>
        <vertAlign val="subscript"/>
        <sz val="16"/>
        <color theme="1" tint="0.24994659260841701"/>
        <rFont val="Times New Roman"/>
        <family val="1"/>
      </rPr>
      <t>CO2</t>
    </r>
  </si>
  <si>
    <t>5.2.1.1 1-2 Organic fertiliser application N2O emissions</t>
  </si>
  <si>
    <t>Organic fertiliser types</t>
  </si>
  <si>
    <t>Organic fertiliser type</t>
  </si>
  <si>
    <t>Manure - Cattle</t>
  </si>
  <si>
    <t>Manure - Poultry</t>
  </si>
  <si>
    <t>Manure - Swine</t>
  </si>
  <si>
    <t>Manure - Other</t>
  </si>
  <si>
    <t>Other organic fertiliser</t>
  </si>
  <si>
    <t>Table_MNSoil_j_f</t>
  </si>
  <si>
    <t>Organic fertiliser type (f)</t>
  </si>
  <si>
    <t>Amount applied (kg/ha)</t>
  </si>
  <si>
    <r>
      <t>M</t>
    </r>
    <r>
      <rPr>
        <b/>
        <vertAlign val="subscript"/>
        <sz val="11"/>
        <color rgb="FF183C1B"/>
        <rFont val="Times New Roman"/>
        <family val="1"/>
      </rPr>
      <t>organicjf</t>
    </r>
  </si>
  <si>
    <r>
      <t>FN</t>
    </r>
    <r>
      <rPr>
        <b/>
        <vertAlign val="subscript"/>
        <sz val="11"/>
        <color rgb="FF183C1B"/>
        <rFont val="Times New Roman"/>
        <family val="1"/>
      </rPr>
      <t>organicf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</si>
  <si>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</si>
  <si>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</si>
  <si>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Mass of nitrogen in organic fertilisers</t>
  </si>
  <si>
    <t>Climate Zone</t>
  </si>
  <si>
    <t>EFNi &amp; EFN2Oi</t>
  </si>
  <si>
    <t>5.3.1.1 1-2 Lime application CO2</t>
  </si>
  <si>
    <t>Element</t>
  </si>
  <si>
    <t>M</t>
  </si>
  <si>
    <t>FracLime</t>
  </si>
  <si>
    <t>FracDol</t>
  </si>
  <si>
    <t>Elime</t>
  </si>
  <si>
    <r>
      <t>E</t>
    </r>
    <r>
      <rPr>
        <b/>
        <vertAlign val="subscript"/>
        <sz val="16"/>
        <color theme="1" tint="0.24994659260841701"/>
        <rFont val="Times New Roman"/>
        <family val="1"/>
      </rPr>
      <t>lime</t>
    </r>
  </si>
  <si>
    <t>t CO2</t>
  </si>
  <si>
    <t>Table_E_lime</t>
  </si>
  <si>
    <t>P</t>
  </si>
  <si>
    <t>EF</t>
  </si>
  <si>
    <t>Lime product 1</t>
  </si>
  <si>
    <t>Lime product 2</t>
  </si>
  <si>
    <t>Lime applications</t>
  </si>
  <si>
    <t>Chemical compound</t>
  </si>
  <si>
    <r>
      <t>MN</t>
    </r>
    <r>
      <rPr>
        <b/>
        <vertAlign val="subscript"/>
        <sz val="11"/>
        <color rgb="FF183C1B"/>
        <rFont val="Times New Roman"/>
        <family val="1"/>
      </rPr>
      <t>jf</t>
    </r>
  </si>
  <si>
    <r>
      <t>FracGASF</t>
    </r>
    <r>
      <rPr>
        <b/>
        <vertAlign val="subscript"/>
        <sz val="11"/>
        <color rgb="FF183C1B"/>
        <rFont val="Times New Roman"/>
        <family val="1"/>
      </rPr>
      <t>f</t>
    </r>
  </si>
  <si>
    <r>
      <t>M</t>
    </r>
    <r>
      <rPr>
        <b/>
        <vertAlign val="subscript"/>
        <sz val="11"/>
        <color rgb="FF183C1B"/>
        <rFont val="Times New Roman"/>
        <family val="1"/>
      </rPr>
      <t>volinorganicjf</t>
    </r>
  </si>
  <si>
    <t>Table_M_vol_inorganic_j_f</t>
  </si>
  <si>
    <t>Mass of nitrogen volatilised from inorganic fertiliser application</t>
  </si>
  <si>
    <r>
      <t>E</t>
    </r>
    <r>
      <rPr>
        <b/>
        <vertAlign val="subscript"/>
        <sz val="11"/>
        <color rgb="FF183C1B"/>
        <rFont val="Times New Roman"/>
        <family val="1"/>
      </rPr>
      <t>ad,inorganic</t>
    </r>
  </si>
  <si>
    <t>Table_M_vol_organic_j_f</t>
  </si>
  <si>
    <t>Mass of nitrogen volatilised from organic fertiliser applied</t>
  </si>
  <si>
    <r>
      <t>E</t>
    </r>
    <r>
      <rPr>
        <b/>
        <vertAlign val="subscript"/>
        <sz val="11"/>
        <color rgb="FF183C1B"/>
        <rFont val="Times New Roman"/>
        <family val="1"/>
      </rPr>
      <t>ad,organic</t>
    </r>
  </si>
  <si>
    <r>
      <t>M</t>
    </r>
    <r>
      <rPr>
        <b/>
        <vertAlign val="subscript"/>
        <sz val="11"/>
        <color rgb="FF183C1B"/>
        <rFont val="Times New Roman"/>
        <family val="1"/>
      </rPr>
      <t>vol,organic,jf</t>
    </r>
  </si>
  <si>
    <r>
      <t>E</t>
    </r>
    <r>
      <rPr>
        <b/>
        <vertAlign val="subscript"/>
        <sz val="16"/>
        <color theme="1" tint="0.24994659260841701"/>
        <rFont val="Times New Roman"/>
        <family val="1"/>
      </rPr>
      <t>ad,inorganic</t>
    </r>
  </si>
  <si>
    <r>
      <t>E</t>
    </r>
    <r>
      <rPr>
        <b/>
        <vertAlign val="subscript"/>
        <sz val="16"/>
        <color theme="1" tint="0.24994659260841701"/>
        <rFont val="Times New Roman"/>
        <family val="1"/>
      </rPr>
      <t>ad,organic</t>
    </r>
  </si>
  <si>
    <t>Table_E_ad_inorganic</t>
  </si>
  <si>
    <t>Atmospheric deposition emissions from inorganic fertiliser</t>
  </si>
  <si>
    <t>Table_E_ad_organic</t>
  </si>
  <si>
    <t>Atmospheric deposition emissions from organic fertiliser</t>
  </si>
  <si>
    <t>5.4.1.1-4  Atmospheric deposition resulting from fertiliser application</t>
  </si>
  <si>
    <t>5.5.1.1-2  Leaching and runoff</t>
  </si>
  <si>
    <r>
      <t>M</t>
    </r>
    <r>
      <rPr>
        <b/>
        <vertAlign val="subscript"/>
        <sz val="11"/>
        <color rgb="FF183C1B"/>
        <rFont val="Times New Roman"/>
        <family val="1"/>
      </rPr>
      <t>leach,inorganic,j</t>
    </r>
  </si>
  <si>
    <t>Table_M_leach_inorganic_j</t>
  </si>
  <si>
    <r>
      <t>M</t>
    </r>
    <r>
      <rPr>
        <b/>
        <vertAlign val="subscript"/>
        <sz val="12"/>
        <color theme="1" tint="0.24994659260841701"/>
        <rFont val="Times New Roman"/>
        <family val="1"/>
      </rPr>
      <t>leach,inorganic,j</t>
    </r>
  </si>
  <si>
    <t>Table_M_leach_organic_j</t>
  </si>
  <si>
    <t>Mass of nitrogen from inorganic fertiliser lost through leaching and runoff</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</si>
  <si>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</si>
  <si>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</si>
  <si>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</si>
  <si>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</si>
  <si>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5.1.1.1-2 Inorganic fertiliser N2O</t>
  </si>
  <si>
    <t>5.1.1.3-4 Inorganic fertiliser CO2</t>
  </si>
  <si>
    <t>5.2.1.1-2 Organic fertiliser N2O</t>
  </si>
  <si>
    <t>5.3.1.1-3 Lime CO2</t>
  </si>
  <si>
    <t>5.4.1.1-5 Atmospheric deposition</t>
  </si>
  <si>
    <t>5.5.1.1-2 Leaching and runoff</t>
  </si>
  <si>
    <t>Aqua Finish</t>
  </si>
  <si>
    <t>💡 NOTE: When there is no Method 2, the Method 2 result are the same as Method 1</t>
  </si>
  <si>
    <t>`</t>
  </si>
  <si>
    <t xml:space="preserve">  </t>
  </si>
  <si>
    <t>Input - Fertiliser</t>
  </si>
  <si>
    <t>5: Fertiliser Use: Overview</t>
  </si>
  <si>
    <t>5: Fertiliser Use: Results</t>
  </si>
  <si>
    <t>💡 Below is a diagram that maps the equations used to calculate emissions, and how they interact with each other.</t>
  </si>
  <si>
    <t xml:space="preserve">    Click on a box to go to the corresponding calculation.</t>
  </si>
  <si>
    <t>Production systems</t>
  </si>
  <si>
    <t>Application unit</t>
  </si>
  <si>
    <t>Density</t>
  </si>
  <si>
    <t>Boost-It</t>
  </si>
  <si>
    <t>Urea source (Select)</t>
  </si>
  <si>
    <t>Ammonia source (select)</t>
  </si>
  <si>
    <t>Canada</t>
  </si>
  <si>
    <t>Global</t>
  </si>
  <si>
    <t>Calcium nitrate</t>
  </si>
  <si>
    <t>Zinc - Generic</t>
  </si>
  <si>
    <t>Soil ameliorants (lime)</t>
  </si>
  <si>
    <t>Mass of nitrogen in inorganic fertiliser applied to production system</t>
  </si>
  <si>
    <t>VEERG 2026: 5.1.1.1, Equation (2)</t>
  </si>
  <si>
    <t>Emission factor for nitrous oxide for irrigated maize</t>
  </si>
  <si>
    <t>VEERG 2026: 5.1.1.2, Equation (1)</t>
  </si>
  <si>
    <t>EF_fjIrrigatedMaizeN2O</t>
  </si>
  <si>
    <t>MN_jf</t>
  </si>
  <si>
    <t>kg N</t>
  </si>
  <si>
    <t>N_fjIrrigatedMaize</t>
  </si>
  <si>
    <t>application rate of inorganic fertiliser type f in the irrigated maize crop</t>
  </si>
  <si>
    <t>f</t>
  </si>
  <si>
    <t>Inorganic fertiliser type</t>
  </si>
  <si>
    <t>kg N/ha</t>
  </si>
  <si>
    <t>Input</t>
  </si>
  <si>
    <t>Constant</t>
  </si>
  <si>
    <t>TM_jf</t>
  </si>
  <si>
    <t>total mass of inorganic fertiliser type f applied to production system j</t>
  </si>
  <si>
    <t>FN_inorganicf</t>
  </si>
  <si>
    <t xml:space="preserve">fraction of nitrogen in inorganic fertiliser type f </t>
  </si>
  <si>
    <t>kg N/kg</t>
  </si>
  <si>
    <t>Emission factor for nitrous oxide for non-irrigated grains in high rainfall zone</t>
  </si>
  <si>
    <t>VEERG 2026: 5.1.1.2, Equation (2)</t>
  </si>
  <si>
    <t>EF_fjNonIrrigatedGrainsN2O</t>
  </si>
  <si>
    <t>N_fjNonIrrigatedGrains</t>
  </si>
  <si>
    <t>application rate of inorganic fertiliser type f in the grains crop</t>
  </si>
  <si>
    <t>Emission factor for nitrous oxide for cotton</t>
  </si>
  <si>
    <t>VEERG 2026: 5.1.1.2, Equation (3)</t>
  </si>
  <si>
    <t>EF_fjCottonN2O</t>
  </si>
  <si>
    <t>N_fjCotton</t>
  </si>
  <si>
    <t>application rate of inorganic fertiliser type f in the cotton crop</t>
  </si>
  <si>
    <t>Nitrous oxide emissions from the application of all inorganic fertiliser types f to all production systems j</t>
  </si>
  <si>
    <t>VEERG 2026: 5.1.1.1, Equation (1)</t>
  </si>
  <si>
    <t>E_N2O</t>
  </si>
  <si>
    <t>mass of nitrogen in inorganic fertiliser type f applied to production system j</t>
  </si>
  <si>
    <t>emission factor for nitrous oxide for inorganic fertilisers</t>
  </si>
  <si>
    <t>C_N2O</t>
  </si>
  <si>
    <t>factor to convert elemental mass of nitrous oxide to molecular mass</t>
  </si>
  <si>
    <t>j</t>
  </si>
  <si>
    <t>ir</t>
  </si>
  <si>
    <t>irrigation method</t>
  </si>
  <si>
    <t>z</t>
  </si>
  <si>
    <t>rainfall zone</t>
  </si>
  <si>
    <t>Calculated from 5.1.1.1 (2)</t>
  </si>
  <si>
    <t>c</t>
  </si>
  <si>
    <t>Calculated from 5.1.1.2 (1)(2)(3)</t>
  </si>
  <si>
    <t>Mass of urea applied to production system</t>
  </si>
  <si>
    <t>VEERG 2026: 5.1.1.3, Equation (2)</t>
  </si>
  <si>
    <t>MU_jf</t>
  </si>
  <si>
    <t>kg urea</t>
  </si>
  <si>
    <t>FU_f</t>
  </si>
  <si>
    <t>fraction of urea in fertiliser type f</t>
  </si>
  <si>
    <t>kg urea/kg</t>
  </si>
  <si>
    <t>Lookup</t>
  </si>
  <si>
    <t>Carbon dioxide emissions resulting from the use of all inorganic, urea-based fertilisers</t>
  </si>
  <si>
    <t>VEERG 2026: 5.1.1.3, Equation (1)</t>
  </si>
  <si>
    <t>E_CO2</t>
  </si>
  <si>
    <t>mass of urea of inorganic fertiliser type f applied to production system j</t>
  </si>
  <si>
    <t>EF_ureaCO2</t>
  </si>
  <si>
    <t>emission factor for carbon emissions from urea-based fertilisers</t>
  </si>
  <si>
    <t>C_CO2</t>
  </si>
  <si>
    <t>factor to convert elemental mass of carbon to molecular mass of carbon dioxide</t>
  </si>
  <si>
    <t>Calculated</t>
  </si>
  <si>
    <t>kg C/kg urea</t>
  </si>
  <si>
    <t>Mass of nitrogen in purchased organic fertilisers applied to production system</t>
  </si>
  <si>
    <t>VEERG 2026: 5.2.1.1, Equation (2)</t>
  </si>
  <si>
    <t>MNSoil_jf</t>
  </si>
  <si>
    <t>M_organicjf</t>
  </si>
  <si>
    <t>mass of organic fertiliser type f applied to production system j</t>
  </si>
  <si>
    <t>FN_organicf</t>
  </si>
  <si>
    <t>nitrogen fraction of organic fertiliser type f</t>
  </si>
  <si>
    <t>Nitrous oxide emissions from the application of all organic fertiliser types f to all production systems j</t>
  </si>
  <si>
    <t>VEERG 2026: 5.2.1.1, Equation (1)</t>
  </si>
  <si>
    <t>mass of nitrogen in organic fertiliser type f applied to production system j</t>
  </si>
  <si>
    <t>EF_N2Oi</t>
  </si>
  <si>
    <t>emission factor for direct nitrous oxide emissions from organic fertiliser applied to soils and aquatic systems in climate zone i</t>
  </si>
  <si>
    <t>i</t>
  </si>
  <si>
    <t>Calculated from 5.2.1.1 (2)</t>
  </si>
  <si>
    <t>kg N2O-N/kg N</t>
  </si>
  <si>
    <t>Emissions from the application of lime and dolomite to production systems</t>
  </si>
  <si>
    <t>VEERG 2026: 5.3.1.1, Equation (1)</t>
  </si>
  <si>
    <t>E_lime</t>
  </si>
  <si>
    <t>M_lime</t>
  </si>
  <si>
    <t>total mass of lime applied to production system</t>
  </si>
  <si>
    <t>fraction of lime as limestone (CaCO3)</t>
  </si>
  <si>
    <t>P_lime</t>
  </si>
  <si>
    <t>fractional purity of limestone</t>
  </si>
  <si>
    <t>EF_lime</t>
  </si>
  <si>
    <t>emission factor for limestone fraction of lime</t>
  </si>
  <si>
    <t>fraction of lime as dolomite</t>
  </si>
  <si>
    <t>P_dol</t>
  </si>
  <si>
    <t>fractional purity of dolomite</t>
  </si>
  <si>
    <t>EF_dol</t>
  </si>
  <si>
    <t>emission factor for dolomite fraction of lime</t>
  </si>
  <si>
    <t>factor to convert elemental mass of carbon dioxide to molecular mass</t>
  </si>
  <si>
    <t>fraction</t>
  </si>
  <si>
    <t>kg C/kg</t>
  </si>
  <si>
    <t>Mass of nitrogen volatilised from inorganic fertiliser applied to production system</t>
  </si>
  <si>
    <t>VEERG 2026: 5.4.1.1, Equation (2)</t>
  </si>
  <si>
    <t>M_volinorganicjf</t>
  </si>
  <si>
    <t>mass of nitrogen in inorganic fertiliser applied</t>
  </si>
  <si>
    <t>FracGASF_f</t>
  </si>
  <si>
    <t>fraction of inorganic fertiliser that volatilises</t>
  </si>
  <si>
    <t>(kg NH3-N + NOx-N)/kg N</t>
  </si>
  <si>
    <t>Nitrous oxide emissions from atmospheric deposition from all inorganic fertiliser types f and all production systems j</t>
  </si>
  <si>
    <t>VEERG 2026: 5.4.1.1, Equation (1)</t>
  </si>
  <si>
    <t>E_adinorganic</t>
  </si>
  <si>
    <t>mass of nitrogen volatilised from inorganic fertiliser applied to production system</t>
  </si>
  <si>
    <t>EF_N2Oj</t>
  </si>
  <si>
    <t>emission factor for atmospheric deposition</t>
  </si>
  <si>
    <t>r</t>
  </si>
  <si>
    <t>rainfall region</t>
  </si>
  <si>
    <t>Calculated from 5.4.1.1 (2)</t>
  </si>
  <si>
    <t>Mass of nitrogen volatilised from organic fertiliser applied to production system</t>
  </si>
  <si>
    <t>VEERG 2026: 5.4.1.3, Equation (2)</t>
  </si>
  <si>
    <t>M_volorganicjf</t>
  </si>
  <si>
    <t>FracGASM_soil</t>
  </si>
  <si>
    <t>fraction of organic fertiliser N that volatilises</t>
  </si>
  <si>
    <t>Nitrous oxide emissions from atmospheric deposition of all organic fertiliser types f and all production systems j</t>
  </si>
  <si>
    <t>VEERG 2026: 5.4.1.3, Equation (1)</t>
  </si>
  <si>
    <t>E_adorganic</t>
  </si>
  <si>
    <t>mass of nitrogen volatilised from organic fertiliser applied to production system</t>
  </si>
  <si>
    <t>emission factor for atmospheric deposition in production system j</t>
  </si>
  <si>
    <t>Calculated from 5.4.1.3 (2)</t>
  </si>
  <si>
    <t>Mass of nitrogen lost through leaching and runoff from inorganic fertiliser application in production system j</t>
  </si>
  <si>
    <t>VEERG 2026: 5.5, Equation (2)</t>
  </si>
  <si>
    <t>M_leachinorganicj</t>
  </si>
  <si>
    <t>mass of nitrogen in inorganic fertiliser</t>
  </si>
  <si>
    <t>FracWETj</t>
  </si>
  <si>
    <t>fraction of N available for leaching and runoff</t>
  </si>
  <si>
    <t>FracLEACH</t>
  </si>
  <si>
    <t>fraction of N that is lost through leaching and runoff</t>
  </si>
  <si>
    <t>location in leaching zone</t>
  </si>
  <si>
    <t>production system</t>
  </si>
  <si>
    <t>Mass of nitrogen lost through leaching and runoff from organic fertiliser application in production system j</t>
  </si>
  <si>
    <t>VEERG 2026: 5.5, Equation (3)</t>
  </si>
  <si>
    <t>M_leachorganicj</t>
  </si>
  <si>
    <t>mass of nitrogen in organic fertiliser</t>
  </si>
  <si>
    <t>Nitrous oxide emissions from nitrogen leaching and runoff from the application of all fertilisers across all production systems j</t>
  </si>
  <si>
    <t>VEERG 2026: 5.5, Equation (1)</t>
  </si>
  <si>
    <t>E_fertleach</t>
  </si>
  <si>
    <t>mass of nitrogen lost through leaching and runoff from inorganic fertiliser application in production system j</t>
  </si>
  <si>
    <t>mass of nitrogen lost through leaching and runoff from organic fertiliser application</t>
  </si>
  <si>
    <t>EF_leach</t>
  </si>
  <si>
    <t>emission factor for nitrogen leaching and runoff</t>
  </si>
  <si>
    <t>Calculated from 5.5.1.1 (2)</t>
  </si>
  <si>
    <t>Calculated from 5.5.1.1 (3)</t>
  </si>
  <si>
    <t>Common inorganic fertilisers</t>
  </si>
  <si>
    <t>Table A.2.2.3: Fraction of nitrogen in common inorganic fertilisers (kgN/kg) (FNorganic,f) AND Table A.2.2.4: Fraction of urea in common inorganic fertilisers (kg urea/kg) (FUf)</t>
  </si>
  <si>
    <t>VARIATION ON SOURCE</t>
  </si>
  <si>
    <t>Added 'Basis' column to allow cross-referencing with table Table A.2.2.6: Fraction of inorganic fertiliser f that volatilises as NH3 and NOx ((kg NH3-N + NOx-N)/kg N) (FracGASFf)</t>
  </si>
  <si>
    <t>Added extra fertiliser types and generic chemical compounds to allow for custom NPKS blends</t>
  </si>
  <si>
    <t>Added extra 'Scope 3 definition' column to allow mapping with scope 3 data</t>
  </si>
  <si>
    <t>Added 'Source' column</t>
  </si>
  <si>
    <t>Combined data from Table A.2.2.3 and Table A.2.2.4 into one table to aid lookup.</t>
  </si>
  <si>
    <t>Excluded 'References' column</t>
  </si>
  <si>
    <t>Excluded 'Ammonium sulfate' as it is a duplicate of 'Sulphate of ammonia (SOA)'</t>
  </si>
  <si>
    <t>Excluded 'Calcium nitrate' as no scope 3 value available.</t>
  </si>
  <si>
    <t>Set 'Nitrogen - Generic' basis as 'Urea-based fertilisers, as urea is the most commonly used form of nitrogen in Australian fertilisers</t>
  </si>
  <si>
    <t>Set 'Urea-ammonium nitrate' basis as 'Urea-based fertiliser'</t>
  </si>
  <si>
    <t>Ammonia has an FN value of 0.8235 based on (14/17)x100, where 14 is the mass of nitrogen in ammonia and 17 is the molar mass of ammonia.</t>
  </si>
  <si>
    <t>Fraction of nitrogen in common inorganic fertilisers (kgN/kg) (FNorganic,f)</t>
  </si>
  <si>
    <t>VEERG 2026: Table A.2.2.3</t>
  </si>
  <si>
    <t>Fraction of urea in common inorganic fertilisers (kg urea/kg) (FUf)</t>
  </si>
  <si>
    <t>VEERG 2026: Table A.2.2.4</t>
  </si>
  <si>
    <t>Source regions for urea and ammonia</t>
  </si>
  <si>
    <t>Lifecycles. (2026). Greenhouse Gas Emission Intensities for Material Inputs to Australian Agriculture, Fisheries and Forestry. Version 48. doi 10.5281/zenodo.19656580</t>
  </si>
  <si>
    <t>Monoammonium phosphate (MAP)</t>
  </si>
  <si>
    <t>Ammonium-based fertilisers</t>
  </si>
  <si>
    <t>VEERG</t>
  </si>
  <si>
    <t>Diammonium phosphate (DAP)</t>
  </si>
  <si>
    <t>Urea</t>
  </si>
  <si>
    <t>Urea-based fertilisers</t>
  </si>
  <si>
    <t>Sulphate of ammonia (SOA)</t>
  </si>
  <si>
    <t>Urea-ammonium nitrate (UAN)</t>
  </si>
  <si>
    <t>Ammonium nitrate (AN)</t>
  </si>
  <si>
    <t>Ammonium-nitrate based fertilisers</t>
  </si>
  <si>
    <t>Calcium ammonium nitrate (CAN)</t>
  </si>
  <si>
    <t>Nitrogen - Ammoniacal</t>
  </si>
  <si>
    <t>LifeCycles</t>
  </si>
  <si>
    <t>Nitrogen - Nitrate</t>
  </si>
  <si>
    <t>Nitrate-based fertilisers</t>
  </si>
  <si>
    <t>Nitrogen from Nitrate</t>
  </si>
  <si>
    <t>Nitrogen - Generic</t>
  </si>
  <si>
    <t>Nitrogen from fertiliser</t>
  </si>
  <si>
    <t>Phosphorus - Generic</t>
  </si>
  <si>
    <t>Other fertilisers</t>
  </si>
  <si>
    <t>Phosphorus from fertiliser</t>
  </si>
  <si>
    <t>Potassium from fertiliser</t>
  </si>
  <si>
    <t>Sulfur from fertiliser</t>
  </si>
  <si>
    <t>Zinc from fertiliser</t>
  </si>
  <si>
    <t>Muriate of potash (MOP)</t>
  </si>
  <si>
    <t>Double superphosphate</t>
  </si>
  <si>
    <t>Single superphosphate (SSP)</t>
  </si>
  <si>
    <t>Ammonia</t>
  </si>
  <si>
    <t>Ammonium Sulfate</t>
  </si>
  <si>
    <t>Calcium Nitrate</t>
  </si>
  <si>
    <t>China</t>
  </si>
  <si>
    <t>Yemen</t>
  </si>
  <si>
    <t>Fraction of inorganic fertiliser that volatilises as NH3 and NOx</t>
  </si>
  <si>
    <t>Table A.2.2.6: Fraction of inorganic fertiliser f that volatilises as NH3 and NOx ((kg NH3â€“N + NOxâ€“N)/kg N) (FracGASFf)</t>
  </si>
  <si>
    <t>Emission factor for carbon emissions from urea application</t>
  </si>
  <si>
    <t>VEERG 2026: 5.1.2.2 Constant Parameters</t>
  </si>
  <si>
    <t>EFureaCO2</t>
  </si>
  <si>
    <t>Constants for lime, dolomite and gypsum</t>
  </si>
  <si>
    <t>VEERG 2026: 5.3.2.3 Constant Parameters</t>
  </si>
  <si>
    <t>Lime (Calcium carbonate)</t>
  </si>
  <si>
    <t>Dolomite (Magnesium carbonate)</t>
  </si>
  <si>
    <t>Gypsum</t>
  </si>
  <si>
    <t>Fraction of organic fertiliser that volatilises as NH3 and NOx</t>
  </si>
  <si>
    <t>VEERG 2026: 5.4.2.3 Constant Parameters</t>
  </si>
  <si>
    <t>FracGASMsoil</t>
  </si>
  <si>
    <t>Fraction of nitrogen that is lost through leaching and runoff</t>
  </si>
  <si>
    <t>VEERG 2026: 5.5.2.3 Constant Parameters</t>
  </si>
  <si>
    <t>Emission factor for nitrogen leaching and runoff</t>
  </si>
  <si>
    <t>EFLeach</t>
  </si>
  <si>
    <t>kg N2O-N / kg N</t>
  </si>
  <si>
    <t>Include</t>
  </si>
  <si>
    <t>Campbells fertilisers Australia</t>
  </si>
  <si>
    <t>L</t>
  </si>
  <si>
    <t>Aqua Grow</t>
  </si>
  <si>
    <t xml:space="preserve">Nitrogen - Generic </t>
  </si>
  <si>
    <t>Aqua Nitro AN</t>
  </si>
  <si>
    <t>Use Lime EF for calcium</t>
  </si>
  <si>
    <t>Aqua NitroCal</t>
  </si>
  <si>
    <t>Calcium - Generic</t>
  </si>
  <si>
    <t>Aqua NitroCal (VI)</t>
  </si>
  <si>
    <t>Aqua NitroCal Ultimate</t>
  </si>
  <si>
    <t>Nitrogen  - Nitrate</t>
  </si>
  <si>
    <t>Aqua Start</t>
  </si>
  <si>
    <t>Aqua Thio-Complete</t>
  </si>
  <si>
    <t>Aqua Thio-Emerge</t>
  </si>
  <si>
    <t>Exclude - Not relevant</t>
  </si>
  <si>
    <t>Aqua Thio-Flourish</t>
  </si>
  <si>
    <t>Asco Fol Plus</t>
  </si>
  <si>
    <t>Asco Plus</t>
  </si>
  <si>
    <t>Asco Rhizo Plus</t>
  </si>
  <si>
    <t>Include - Absent ingredients &lt; 2%</t>
  </si>
  <si>
    <t>Benefit PZ</t>
  </si>
  <si>
    <t>Amount of urea calculated from urea nitrogen amount</t>
  </si>
  <si>
    <t>Magnesium</t>
  </si>
  <si>
    <t>Zinc</t>
  </si>
  <si>
    <t>Manganese</t>
  </si>
  <si>
    <t>Iron</t>
  </si>
  <si>
    <t>Copper</t>
  </si>
  <si>
    <t>Boron</t>
  </si>
  <si>
    <t>Boroplus</t>
  </si>
  <si>
    <t>Brevisol Range</t>
  </si>
  <si>
    <t>Brexil Line</t>
  </si>
  <si>
    <t>Exclude - Absent ingredients &gt; 2%</t>
  </si>
  <si>
    <t>Bronze</t>
  </si>
  <si>
    <t>Muriate of Potash (MOP)</t>
  </si>
  <si>
    <t>Bud-Wiser Dry</t>
  </si>
  <si>
    <t>Calbit C</t>
  </si>
  <si>
    <t>Calcium 175</t>
  </si>
  <si>
    <t>CalPhos</t>
  </si>
  <si>
    <t>50/50 nitrate and ammoniacal nitrogen (ammonium nitrate)</t>
  </si>
  <si>
    <t>Compass</t>
  </si>
  <si>
    <t>Phosphorus-Generic</t>
  </si>
  <si>
    <t>Australian states and territories</t>
  </si>
  <si>
    <t>New South Wales</t>
  </si>
  <si>
    <t>NSW</t>
  </si>
  <si>
    <t>Australian Capital Territory</t>
  </si>
  <si>
    <t>ACT</t>
  </si>
  <si>
    <t>Victoria</t>
  </si>
  <si>
    <t>VIC</t>
  </si>
  <si>
    <t>Queensland</t>
  </si>
  <si>
    <t>QLD</t>
  </si>
  <si>
    <t>South Australia</t>
  </si>
  <si>
    <t>SA</t>
  </si>
  <si>
    <t>WA</t>
  </si>
  <si>
    <t>Tasmania</t>
  </si>
  <si>
    <t>TAS</t>
  </si>
  <si>
    <t>Northern Territory</t>
  </si>
  <si>
    <t>NT</t>
  </si>
  <si>
    <t>ABS Statistcal Areas Level 4 - Western Australia</t>
  </si>
  <si>
    <t>Australian Bureau of Statistics (ABS) - Statistical Areas Level 2 - 2021 - Shapefile</t>
  </si>
  <si>
    <t>Bunbury</t>
  </si>
  <si>
    <t>Mandurah</t>
  </si>
  <si>
    <t>Perth - Inner</t>
  </si>
  <si>
    <t>Perth - North East</t>
  </si>
  <si>
    <t>Perth - North West</t>
  </si>
  <si>
    <t>Perth - South East</t>
  </si>
  <si>
    <t>Perth - South West</t>
  </si>
  <si>
    <t>Western Australia - Wheat Belt</t>
  </si>
  <si>
    <t>Western Australia - Outback (North)</t>
  </si>
  <si>
    <t>Global warming potential for greenhouse gases</t>
  </si>
  <si>
    <t>XXXXXXX</t>
  </si>
  <si>
    <t>CO2</t>
  </si>
  <si>
    <t>CH4</t>
  </si>
  <si>
    <t>N2O</t>
  </si>
  <si>
    <t>CF4</t>
  </si>
  <si>
    <t>C2F6</t>
  </si>
  <si>
    <t>SF6</t>
  </si>
  <si>
    <t>NF3</t>
  </si>
  <si>
    <t>Factor to convert elemental mass of gas to molecular mass</t>
  </si>
  <si>
    <t>44/12</t>
  </si>
  <si>
    <t>16/12</t>
  </si>
  <si>
    <t>44/28</t>
  </si>
  <si>
    <t>Nox</t>
  </si>
  <si>
    <t>46/14</t>
  </si>
  <si>
    <t>CO</t>
  </si>
  <si>
    <t>28/12</t>
  </si>
  <si>
    <t>CO2 Lime</t>
  </si>
  <si>
    <t>NMVOC</t>
  </si>
  <si>
    <t>14/12</t>
  </si>
  <si>
    <t>VEERG Australian wet and dry zones</t>
  </si>
  <si>
    <t>VEERG 2026: Table 1.2: Translating climate zones to wet and dry zones</t>
  </si>
  <si>
    <t>Tropical montane</t>
  </si>
  <si>
    <t>Wet climate zone</t>
  </si>
  <si>
    <t>Tropical wet</t>
  </si>
  <si>
    <t>Tropical moist</t>
  </si>
  <si>
    <t>Tropical dry</t>
  </si>
  <si>
    <t>Dry climate zone</t>
  </si>
  <si>
    <t>Warm temperate moist</t>
  </si>
  <si>
    <t>Warm temperate dry</t>
  </si>
  <si>
    <t>Cool temperate moist</t>
  </si>
  <si>
    <t>Cool temperate dry</t>
  </si>
  <si>
    <t>Warm temperate moist - low frost</t>
  </si>
  <si>
    <t>Warm temperate dry - low frost</t>
  </si>
  <si>
    <t>Warm temperate moist - high temp</t>
  </si>
  <si>
    <t>Warm temperate dry - high temp</t>
  </si>
  <si>
    <t>Cool temperate moist - low frost</t>
  </si>
  <si>
    <t>Cool temperate dry - low frost</t>
  </si>
  <si>
    <t>VEERG Australian climate zones</t>
  </si>
  <si>
    <t>VEERG 2026: Table 1.3: Climate and Rainfall zone classifications and definitions</t>
  </si>
  <si>
    <t>&gt; 18 C</t>
  </si>
  <si>
    <t>Any</t>
  </si>
  <si>
    <t>≤ 7</t>
  </si>
  <si>
    <t>&gt; 1000 m</t>
  </si>
  <si>
    <t>&gt; 2000 mm</t>
  </si>
  <si>
    <t>≤ 1000 m</t>
  </si>
  <si>
    <t>&gt; 1000 mm - ≤ 2000 mm</t>
  </si>
  <si>
    <t>≤ 1000 mm</t>
  </si>
  <si>
    <t>&gt; 10 C</t>
  </si>
  <si>
    <t>&gt; 1</t>
  </si>
  <si>
    <t>≤ 1</t>
  </si>
  <si>
    <t>&gt; 0 C - ≤ 10 C</t>
  </si>
  <si>
    <t>Note:</t>
  </si>
  <si>
    <t>MAT = mean annual temperature</t>
  </si>
  <si>
    <t>MAP = mean annual precipitation</t>
  </si>
  <si>
    <t>PET = potential evapotranspiration</t>
  </si>
  <si>
    <t>VEERG Australian temperature zones</t>
  </si>
  <si>
    <t>Warm</t>
  </si>
  <si>
    <t>≥ 26 C</t>
  </si>
  <si>
    <t>Temperate</t>
  </si>
  <si>
    <t>15 - 25 C</t>
  </si>
  <si>
    <t>Cool</t>
  </si>
  <si>
    <t>≤ 14 C</t>
  </si>
  <si>
    <t>VEERG Australian rainfall zones</t>
  </si>
  <si>
    <t>High rainfall</t>
  </si>
  <si>
    <t>Annual rainfall &gt; 600mm</t>
  </si>
  <si>
    <t>Low rainfall</t>
  </si>
  <si>
    <t>Annual rainfall ≤ 600mm</t>
  </si>
  <si>
    <t>VEERG Australian leaching zones</t>
  </si>
  <si>
    <t>Leaching occurs</t>
  </si>
  <si>
    <t>Σ(𝑟𝑎𝑖𝑛)&gt;Σ(𝐸𝑇0)+𝑠𝑜𝑖𝑙 𝑤𝑎𝑡𝑒𝑟 ℎ𝑜𝑙𝑑𝑖𝑛𝑔 𝑐𝑎𝑝𝑎𝑐𝑖𝑡𝑦</t>
  </si>
  <si>
    <t>Leaching does not occur</t>
  </si>
  <si>
    <t>Σ(𝑟𝑎𝑖𝑛)≤Σ(𝐸𝑇0)+𝑠𝑜𝑖𝑙 𝑤𝑎𝑡𝑒𝑟 ℎ𝑜𝑙𝑑𝑖𝑛𝑔 𝑐𝑎𝑝𝑎𝑐𝑖𝑡𝑦</t>
  </si>
  <si>
    <t>Fraction of N that is available for leaching and runoff</t>
  </si>
  <si>
    <t>VEERG 2026:5.5.2.3 Constant Parameters</t>
  </si>
  <si>
    <t>Yes - in leaching zone</t>
  </si>
  <si>
    <t>No - not in leaching zone</t>
  </si>
  <si>
    <t>FracWET for irrigation types</t>
  </si>
  <si>
    <t>VEERG 2026: Chapter 1, section 1.8.2 Leaching, climate and rainfall zones</t>
  </si>
  <si>
    <t>VARIATION FROM SOURCE DATA: Table created based on VEERG text 'Areas are subject to leaching (i.e., in the leaching zone) when... the land is irrigated (except drip irrigation).'</t>
  </si>
  <si>
    <t>Australian data scores for scope 3</t>
  </si>
  <si>
    <t>VEERG 2026: XXXXXXXX</t>
  </si>
  <si>
    <t>International scope 3 database</t>
  </si>
  <si>
    <t>Australian scope 3 database</t>
  </si>
  <si>
    <t>State or regional scope 3 database</t>
  </si>
  <si>
    <t>Emissions intensity calculated from approved method</t>
  </si>
  <si>
    <t>Verified credential matching ISO14067</t>
  </si>
  <si>
    <t>National Inventory Report Volume 1: Leaching and runoff (3.D.b.2)</t>
  </si>
  <si>
    <t>National Inventory Report Volume 1: Equation 3.D.B_10</t>
  </si>
  <si>
    <t>EFleach</t>
  </si>
  <si>
    <t>p = density of methane</t>
  </si>
  <si>
    <t>National Inventory Report 2023 Volume 1: Equations 3.B.1a_2, 3.B.1c_2, 3.B.3_1, 3.B.4g_2</t>
  </si>
  <si>
    <t>kg/m3</t>
  </si>
  <si>
    <t>Nitrous oxide emission factors for inorganic fertiliser application</t>
  </si>
  <si>
    <t>VEERG 2026: Table A.2.2.1</t>
  </si>
  <si>
    <t>(kg N2O-N / kg N</t>
  </si>
  <si>
    <t>VARIATION OF SOURCE DATA:</t>
  </si>
  <si>
    <t>Removed duplicate 'Aquaculture' row.</t>
  </si>
  <si>
    <t>Removed asterisks to aid lookup.</t>
  </si>
  <si>
    <t>Added 'production system only', 'rainfall zone' and 'irrigation method' columns to aid lookup.</t>
  </si>
  <si>
    <t>Duplicated 'non-irrigated pasture' row with same EF for low and high rainfall zones to aid lookup.</t>
  </si>
  <si>
    <t>Irrigated pasture</t>
  </si>
  <si>
    <t>Irrigated crop</t>
  </si>
  <si>
    <t>Non-irrigated pasture</t>
  </si>
  <si>
    <t>Non-irrigated crop (low rainfall)</t>
  </si>
  <si>
    <t>Non-irrigated crop (high rainfall)</t>
  </si>
  <si>
    <t>Sugar</t>
  </si>
  <si>
    <t>Horticultural crops</t>
  </si>
  <si>
    <t>Rice (continuous flooding)</t>
  </si>
  <si>
    <t>Rice</t>
  </si>
  <si>
    <t>Continuous flooding</t>
  </si>
  <si>
    <t>Rice (single and multiple drainage, or alternate wetting and drying)</t>
  </si>
  <si>
    <t>Single and multiple drainage, or alternate wetting and drying</t>
  </si>
  <si>
    <t>Aquaculture</t>
  </si>
  <si>
    <t>Forestry</t>
  </si>
  <si>
    <t>Emission factor for urine and dung deposited on pasture, range or paddock</t>
  </si>
  <si>
    <t>VEERG 2026: Table A.2.2.2</t>
  </si>
  <si>
    <t>VARIATION FROM SOURCE DATA: Changed 'Dry climate zones' to singular 'Dry climate zone' to aid lookup.</t>
  </si>
  <si>
    <t>kg N2O - N / kg N</t>
  </si>
  <si>
    <t>Months to Seasons Mapping</t>
  </si>
  <si>
    <t>January</t>
  </si>
  <si>
    <t>Summer</t>
  </si>
  <si>
    <t>February</t>
  </si>
  <si>
    <t>March</t>
  </si>
  <si>
    <t>Autumn</t>
  </si>
  <si>
    <t>April</t>
  </si>
  <si>
    <t>May</t>
  </si>
  <si>
    <t>June</t>
  </si>
  <si>
    <t>Winter</t>
  </si>
  <si>
    <t>July</t>
  </si>
  <si>
    <t>August</t>
  </si>
  <si>
    <t>September</t>
  </si>
  <si>
    <t>Spring</t>
  </si>
  <si>
    <t>October</t>
  </si>
  <si>
    <t>November</t>
  </si>
  <si>
    <t>December</t>
  </si>
  <si>
    <t>Manure Management – Methane conversion factor per temperature zone (fraction) (MCFim)</t>
  </si>
  <si>
    <t>VEERG 2026: Table A.1.8.1</t>
  </si>
  <si>
    <t>VARIATION FROM SOURCE: Added row of NIR MMA definitions to aid lookup. Duplicated 'Poultry with and without litter' column with separate NIR definitions to aid lookup. Added 'MAT raw' column to allow lookup of numbers.</t>
  </si>
  <si>
    <t>≤10</t>
  </si>
  <si>
    <t>≥28</t>
  </si>
  <si>
    <t>Emission factor for organic fertiliser and crop residues returned to the soil</t>
  </si>
  <si>
    <t>VEERG 2026: Table A.2.1.4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</si>
</sst>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sz val="11"/>
      <name val="Times New Roman"/>
      <family val="1"/>
    </font>
    <font>
      <sz val="12"/>
      <name val="Times New Roman"/>
      <family val="1"/>
    </font>
    <font>
      <b/>
      <i/>
      <sz val="12"/>
      <color rgb="FFCC6600"/>
      <name val="Times New Roman"/>
      <family val="1"/>
    </font>
    <font>
      <b/>
      <sz val="10"/>
      <color theme="1" tint="0.14999847407452621"/>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sz val="11"/>
      <color theme="1"/>
      <name val="Times New Roman"/>
      <family val="2"/>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s>
  <borders count="26">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right/>
      <top style="thin">
        <color theme="0" tint="-0.499984740745262"/>
      </top>
      <bottom/>
      <diagonal/>
    </border>
    <border>
      <left style="thin">
        <color theme="3" tint="0.749961851863155"/>
      </left>
      <right/>
      <top/>
      <bottom/>
      <diagonal/>
    </border>
    <border>
      <left/>
      <right style="thin">
        <color theme="3" tint="0.749961851863155"/>
      </right>
      <top/>
      <bottom/>
      <diagonal/>
    </border>
    <border>
      <left/>
      <right/>
      <top/>
      <bottom style="thin">
        <color indexed="64"/>
      </bottom>
      <diagonal/>
    </border>
    <border>
      <left style="thin">
        <color theme="0" tint="-0.34998626667073579"/>
      </left>
      <right style="thin">
        <color theme="0" tint="-0.34998626667073579"/>
      </right>
      <top/>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5" borderId="2">
      <alignment horizontal="center" vertical="center"/>
    </xf>
    <xf numFmtId="0" fontId="58" fillId="16" borderId="2">
      <alignment horizontal="center" vertical="center"/>
    </xf>
    <xf numFmtId="0" fontId="66" fillId="4" borderId="2">
      <alignment horizontal="left" vertical="center"/>
    </xf>
    <xf numFmtId="0" fontId="35" fillId="4" borderId="2">
      <alignment horizontal="left" vertical="center"/>
    </xf>
    <xf numFmtId="0" fontId="68" fillId="0" borderId="0"/>
  </cellStyleXfs>
  <cellXfs count="181">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49" fillId="4" borderId="0" xfId="61">
      <alignment horizontal="left" vertical="center"/>
    </xf>
    <xf numFmtId="0" fontId="48" fillId="4" borderId="0" xfId="60">
      <alignment horizontal="left" vertical="center"/>
    </xf>
    <xf numFmtId="0" fontId="35" fillId="4" borderId="19" xfId="55" applyBorder="1" applyAlignment="1">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40" fillId="4" borderId="0" xfId="8" applyAlignment="1">
      <alignment horizontal="center" vertical="center"/>
    </xf>
    <xf numFmtId="0" fontId="45" fillId="13" borderId="9" xfId="41" applyBorder="1">
      <alignment horizontal="left" vertical="center"/>
    </xf>
    <xf numFmtId="0" fontId="57"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37" fillId="4" borderId="0" xfId="0" applyFont="1" applyFill="1"/>
    <xf numFmtId="0" fontId="0" fillId="0" borderId="0" xfId="0" applyAlignment="1">
      <alignment vertical="center"/>
    </xf>
    <xf numFmtId="0" fontId="13" fillId="6" borderId="0" xfId="30">
      <alignment horizontal="center" vertical="center"/>
      <protection locked="0"/>
    </xf>
    <xf numFmtId="0" fontId="62" fillId="4" borderId="0" xfId="0" applyFont="1" applyFill="1" applyAlignment="1">
      <alignment horizontal="center" vertical="center"/>
    </xf>
    <xf numFmtId="0" fontId="62" fillId="4" borderId="0" xfId="0" applyFont="1" applyFill="1"/>
    <xf numFmtId="0" fontId="63"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6" fillId="4" borderId="0" xfId="12" applyAlignment="1">
      <alignment horizontal="center" vertical="center"/>
    </xf>
    <xf numFmtId="0" fontId="58" fillId="16" borderId="2" xfId="66">
      <alignment horizontal="center" vertical="center"/>
    </xf>
    <xf numFmtId="0" fontId="59" fillId="15" borderId="2" xfId="65">
      <alignment horizontal="center" vertical="center"/>
    </xf>
    <xf numFmtId="0" fontId="35" fillId="4" borderId="6" xfId="55" applyBorder="1">
      <alignment horizontal="center" vertical="center"/>
    </xf>
    <xf numFmtId="0" fontId="3" fillId="12" borderId="2" xfId="16" applyAlignment="1">
      <alignment horizontal="center" vertical="center" wrapText="1"/>
    </xf>
    <xf numFmtId="4" fontId="0" fillId="0" borderId="0" xfId="18" applyFont="1" applyBorder="1" applyAlignment="1">
      <alignment horizontal="center" vertical="center" wrapText="1"/>
    </xf>
    <xf numFmtId="0" fontId="35" fillId="4" borderId="2" xfId="55" applyAlignment="1">
      <alignment horizontal="center" vertical="center" wrapText="1"/>
    </xf>
    <xf numFmtId="0" fontId="25" fillId="4" borderId="0" xfId="46" applyFont="1" applyFill="1" applyAlignment="1">
      <alignment horizontal="left" vertical="center" wrapText="1"/>
    </xf>
    <xf numFmtId="2" fontId="62" fillId="4" borderId="0" xfId="42" applyNumberFormat="1" applyFont="1" applyFill="1" applyBorder="1" applyAlignment="1" applyProtection="1">
      <alignment horizontal="center" wrapText="1"/>
      <protection locked="0"/>
    </xf>
    <xf numFmtId="1" fontId="62" fillId="4" borderId="0" xfId="42" applyNumberFormat="1" applyFont="1" applyFill="1" applyBorder="1" applyAlignment="1" applyProtection="1">
      <alignment horizontal="center" wrapText="1"/>
      <protection locked="0"/>
    </xf>
    <xf numFmtId="0" fontId="62" fillId="4" borderId="0" xfId="0" applyFont="1" applyFill="1" applyAlignment="1">
      <alignment horizontal="left" wrapText="1"/>
    </xf>
    <xf numFmtId="0" fontId="63" fillId="4" borderId="0" xfId="0" applyFont="1" applyFill="1" applyAlignment="1">
      <alignment wrapText="1"/>
    </xf>
    <xf numFmtId="0" fontId="40" fillId="4" borderId="0" xfId="8" applyAlignment="1">
      <alignment horizontal="left" vertical="center" wrapText="1"/>
    </xf>
    <xf numFmtId="0" fontId="54" fillId="4" borderId="0" xfId="50" applyAlignment="1">
      <alignment horizontal="left" vertical="center" wrapText="1"/>
    </xf>
    <xf numFmtId="0" fontId="0" fillId="4" borderId="0" xfId="0" applyFill="1" applyAlignment="1">
      <alignment wrapText="1"/>
    </xf>
    <xf numFmtId="0" fontId="0" fillId="0" borderId="0" xfId="0" applyAlignment="1">
      <alignment wrapText="1"/>
    </xf>
    <xf numFmtId="0" fontId="65" fillId="12" borderId="2" xfId="16" applyFont="1" applyAlignment="1">
      <alignment horizontal="center" vertical="center" wrapText="1"/>
    </xf>
    <xf numFmtId="0" fontId="65" fillId="12" borderId="2" xfId="16" applyFont="1">
      <alignment horizontal="center" vertical="center"/>
    </xf>
    <xf numFmtId="0" fontId="2" fillId="0" borderId="2" xfId="59">
      <alignment horizontal="center" vertical="center"/>
    </xf>
    <xf numFmtId="9" fontId="0" fillId="0" borderId="0" xfId="14" applyFont="1" applyFill="1" applyBorder="1" applyAlignment="1">
      <alignment horizontal="center" vertical="center" wrapText="1"/>
    </xf>
    <xf numFmtId="0" fontId="45" fillId="13" borderId="20" xfId="41" applyBorder="1">
      <alignment horizontal="left" vertical="center"/>
    </xf>
    <xf numFmtId="9" fontId="0" fillId="4" borderId="0" xfId="0" applyNumberFormat="1" applyFill="1"/>
    <xf numFmtId="0" fontId="13" fillId="6" borderId="0" xfId="30" applyAlignment="1">
      <alignment horizontal="center" vertical="center" wrapText="1"/>
      <protection locked="0"/>
    </xf>
    <xf numFmtId="0" fontId="0" fillId="0" borderId="0" xfId="15" applyFont="1" applyBorder="1" applyAlignment="1">
      <alignment horizontal="center" vertical="center" wrapText="1"/>
    </xf>
    <xf numFmtId="9" fontId="0" fillId="0" borderId="0" xfId="17" applyFont="1" applyBorder="1" applyAlignment="1">
      <alignment horizontal="center" vertical="center" wrapText="1"/>
    </xf>
    <xf numFmtId="0" fontId="37" fillId="0" borderId="0" xfId="0" applyFont="1" applyAlignment="1">
      <alignment wrapText="1"/>
    </xf>
    <xf numFmtId="0" fontId="0" fillId="0" borderId="0" xfId="0" applyAlignment="1">
      <alignment vertical="center" wrapText="1"/>
    </xf>
    <xf numFmtId="0" fontId="66" fillId="4" borderId="2" xfId="67">
      <alignment horizontal="left" vertical="center"/>
    </xf>
    <xf numFmtId="0" fontId="66" fillId="4" borderId="7" xfId="67" applyBorder="1">
      <alignment horizontal="left" vertical="center"/>
    </xf>
    <xf numFmtId="0" fontId="35" fillId="4" borderId="2" xfId="68">
      <alignment horizontal="left" vertical="center"/>
    </xf>
    <xf numFmtId="0" fontId="5" fillId="2" borderId="0" xfId="1">
      <alignment horizontal="left" vertical="center" indent="1"/>
      <protection locked="0"/>
    </xf>
    <xf numFmtId="0" fontId="41" fillId="4" borderId="1" xfId="8" applyFont="1" applyBorder="1">
      <alignment horizontal="left" vertical="center"/>
    </xf>
    <xf numFmtId="0" fontId="6" fillId="4" borderId="1" xfId="12" applyBorder="1">
      <alignment horizontal="left" vertical="center" indent="1"/>
    </xf>
    <xf numFmtId="4" fontId="35" fillId="4" borderId="2" xfId="55" applyNumberFormat="1">
      <alignment horizontal="center" vertical="center"/>
    </xf>
    <xf numFmtId="9" fontId="35" fillId="4" borderId="2" xfId="55" applyNumberFormat="1">
      <alignment horizontal="center"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40" fillId="4" borderId="21" xfId="8" applyBorder="1">
      <alignment horizontal="left" vertical="center"/>
    </xf>
    <xf numFmtId="0" fontId="68" fillId="0" borderId="0" xfId="69"/>
    <xf numFmtId="3" fontId="35" fillId="4" borderId="2" xfId="55" applyNumberFormat="1">
      <alignment horizontal="center" vertical="center"/>
    </xf>
    <xf numFmtId="4" fontId="35" fillId="4" borderId="2" xfId="49">
      <alignment horizontal="center" vertical="center"/>
    </xf>
    <xf numFmtId="0" fontId="52" fillId="4" borderId="1" xfId="12" applyFont="1" applyBorder="1">
      <alignment horizontal="left" vertical="center" indent="1"/>
    </xf>
    <xf numFmtId="0" fontId="45" fillId="13" borderId="22" xfId="41" applyBorder="1">
      <alignment horizontal="left" vertical="center"/>
    </xf>
    <xf numFmtId="0" fontId="45" fillId="13" borderId="0" xfId="41" applyBorder="1">
      <alignment horizontal="left" vertical="center"/>
    </xf>
    <xf numFmtId="0" fontId="45" fillId="13" borderId="23" xfId="41" applyBorder="1">
      <alignment horizontal="left" vertical="center"/>
    </xf>
    <xf numFmtId="9" fontId="3" fillId="4" borderId="0" xfId="14" applyFont="1" applyFill="1" applyAlignment="1">
      <alignment horizontal="center" vertical="center" wrapText="1"/>
    </xf>
    <xf numFmtId="0" fontId="5" fillId="2" borderId="0" xfId="9" applyAlignment="1">
      <alignment horizontal="center" vertical="center" wrapText="1"/>
    </xf>
    <xf numFmtId="0" fontId="40" fillId="4" borderId="24" xfId="8" applyBorder="1">
      <alignment horizontal="left" vertical="center"/>
    </xf>
    <xf numFmtId="0" fontId="5" fillId="2" borderId="0" xfId="1" applyAlignment="1">
      <alignment horizontal="center" vertical="center"/>
      <protection locked="0"/>
    </xf>
    <xf numFmtId="9" fontId="2" fillId="0" borderId="2" xfId="17">
      <alignment horizontal="center" vertical="center"/>
    </xf>
    <xf numFmtId="9" fontId="0" fillId="0" borderId="25" xfId="14" applyFont="1" applyFill="1" applyBorder="1" applyAlignment="1">
      <alignment horizontal="center" vertical="center" wrapText="1"/>
    </xf>
    <xf numFmtId="170" fontId="8" fillId="4" borderId="0" xfId="10" applyNumberFormat="1">
      <alignment horizontal="center" vertical="center"/>
    </xf>
    <xf numFmtId="0" fontId="70"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6"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0" fontId="10" fillId="0" borderId="0" xfId="58" applyAlignment="1" applyProtection="1">
      <alignment horizontal="center" vertical="center" wrapText="1"/>
      <protection locked="0"/>
    </xf>
    <xf numFmtId="0" fontId="10" fillId="0" borderId="0" xfId="58" applyAlignment="1">
      <alignment horizontal="center" vertical="center" wrapText="1"/>
    </xf>
    <xf numFmtId="4" fontId="69" fillId="0" borderId="2" xfId="18" applyFont="1" applyAlignment="1">
      <alignment horizontal="center" vertical="center" wrapText="1"/>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204">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203"/>
      <tableStyleElement type="headerRow" dxfId="202"/>
      <tableStyleElement type="totalRow" dxfId="201"/>
      <tableStyleElement type="firstColumn" dxfId="200"/>
      <tableStyleElement type="firstRowStripe" dxfId="199"/>
      <tableStyleElement type="secondRowStripe" dxfId="198"/>
    </tableStyle>
    <tableStyle name="Equation table" pivot="0" count="6" xr9:uid="{B247698E-E41D-4CCD-AA0A-C14817E9DE65}">
      <tableStyleElement type="wholeTable" dxfId="197"/>
      <tableStyleElement type="headerRow" dxfId="196"/>
      <tableStyleElement type="totalRow" dxfId="195"/>
      <tableStyleElement type="firstColumn" dxfId="194"/>
      <tableStyleElement type="firstRowStripe" dxfId="193"/>
      <tableStyleElement type="secondRowStripe" dxfId="192"/>
    </tableStyle>
    <tableStyle name="Table Style 1" pivot="0" count="0" xr9:uid="{97B370DB-5463-4A31-9160-5A96BD6A559D}"/>
  </tableStyles>
  <colors>
    <mruColors>
      <color rgb="FFFFCCCC"/>
      <color rgb="FF0C769E"/>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5.1.1.1-2 Inorganic fert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5.1.1.1-2 Inorganic fert N2O'!D40">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8" name="Connector: Curved 7">
          <a:extLst>
            <a:ext uri="{FF2B5EF4-FFF2-40B4-BE49-F238E27FC236}">
              <a16:creationId xmlns:a16="http://schemas.microsoft.com/office/drawing/2014/main" id="{CA339BE0-C9CC-A833-19C7-F0553D27BDF7}"/>
            </a:ext>
          </a:extLst>
        </xdr:cNvPr>
        <xdr:cNvCxnSpPr>
          <a:stCxn id="5" idx="2"/>
          <a:endCxn id="6"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5.1.1.1-2 Inorganic fert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5.1.1.1-2 Inorganic fert N2O'!M16">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5.1.1.1-2 Inorganic fert N2O'!M27">
      <xdr:nvSpPr>
        <xdr:cNvPr id="13" name="TextBox 12">
          <a:hlinkClick xmlns:r="http://schemas.openxmlformats.org/officeDocument/2006/relationships" r:id="rId5"/>
          <a:extLst>
            <a:ext uri="{FF2B5EF4-FFF2-40B4-BE49-F238E27FC236}">
              <a16:creationId xmlns:a16="http://schemas.microsoft.com/office/drawing/2014/main" id="{D28F4F2E-0FCD-48C1-90A3-54721DCA7AB8}"/>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16" name="Connector: Curved 15">
          <a:extLst>
            <a:ext uri="{FF2B5EF4-FFF2-40B4-BE49-F238E27FC236}">
              <a16:creationId xmlns:a16="http://schemas.microsoft.com/office/drawing/2014/main" id="{D71E5EA1-0A56-FD19-4E56-466CF3DC2F4C}"/>
            </a:ext>
          </a:extLst>
        </xdr:cNvPr>
        <xdr:cNvCxnSpPr>
          <a:stCxn id="5" idx="2"/>
          <a:endCxn id="10"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8" name="Connector: Curved 17">
          <a:extLst>
            <a:ext uri="{FF2B5EF4-FFF2-40B4-BE49-F238E27FC236}">
              <a16:creationId xmlns:a16="http://schemas.microsoft.com/office/drawing/2014/main" id="{6C5935F1-9B14-3038-CB15-A039FEFE702C}"/>
            </a:ext>
          </a:extLst>
        </xdr:cNvPr>
        <xdr:cNvCxnSpPr>
          <a:stCxn id="13" idx="2"/>
          <a:endCxn id="6"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5.1.1.3-4 Inorganic fert CO2'!D5">
      <xdr:nvSpPr>
        <xdr:cNvPr id="21" name="TextBox 20">
          <a:hlinkClick xmlns:r="http://schemas.openxmlformats.org/officeDocument/2006/relationships" r:id="rId6"/>
          <a:extLst>
            <a:ext uri="{FF2B5EF4-FFF2-40B4-BE49-F238E27FC236}">
              <a16:creationId xmlns:a16="http://schemas.microsoft.com/office/drawing/2014/main" id="{8C71CDED-7203-4C08-A42F-C497846ACCAF}"/>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5.1.1.3-4 Inorganic fert CO2'!D41">
      <xdr:nvSpPr>
        <xdr:cNvPr id="22" name="TextBox 21">
          <a:hlinkClick xmlns:r="http://schemas.openxmlformats.org/officeDocument/2006/relationships" r:id="rId7"/>
          <a:extLst>
            <a:ext uri="{FF2B5EF4-FFF2-40B4-BE49-F238E27FC236}">
              <a16:creationId xmlns:a16="http://schemas.microsoft.com/office/drawing/2014/main" id="{7F32EBC4-93BF-46D3-9370-FCED2B7ACD11}"/>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5.2.1.1-2 Organic Fert N2O'!D5">
      <xdr:nvSpPr>
        <xdr:cNvPr id="26" name="TextBox 25">
          <a:hlinkClick xmlns:r="http://schemas.openxmlformats.org/officeDocument/2006/relationships" r:id="rId8"/>
          <a:extLst>
            <a:ext uri="{FF2B5EF4-FFF2-40B4-BE49-F238E27FC236}">
              <a16:creationId xmlns:a16="http://schemas.microsoft.com/office/drawing/2014/main" id="{DBEED495-A986-4806-A242-51BB4242F56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5.2.1.1-2 Organic Fert N2O'!D36">
      <xdr:nvSpPr>
        <xdr:cNvPr id="27" name="TextBox 26">
          <a:hlinkClick xmlns:r="http://schemas.openxmlformats.org/officeDocument/2006/relationships" r:id="rId9"/>
          <a:extLst>
            <a:ext uri="{FF2B5EF4-FFF2-40B4-BE49-F238E27FC236}">
              <a16:creationId xmlns:a16="http://schemas.microsoft.com/office/drawing/2014/main" id="{8CEAD9A6-E131-42B7-B4B1-243C02C15E43}"/>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5.3.1.1-2 Lime CO2'!D5">
      <xdr:nvSpPr>
        <xdr:cNvPr id="31" name="TextBox 30">
          <a:hlinkClick xmlns:r="http://schemas.openxmlformats.org/officeDocument/2006/relationships" r:id="rId10"/>
          <a:extLst>
            <a:ext uri="{FF2B5EF4-FFF2-40B4-BE49-F238E27FC236}">
              <a16:creationId xmlns:a16="http://schemas.microsoft.com/office/drawing/2014/main" id="{B5CF1D1D-0430-4BEE-94E5-D4D9B7088BE2}"/>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32" name="TextBox 31">
          <a:extLst>
            <a:ext uri="{FF2B5EF4-FFF2-40B4-BE49-F238E27FC236}">
              <a16:creationId xmlns:a16="http://schemas.microsoft.com/office/drawing/2014/main" id="{AAC7B069-EFA5-4F5B-A272-7AF124499F81}"/>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5.4.1.1-4 Atmos deposition'!D5">
      <xdr:nvSpPr>
        <xdr:cNvPr id="33" name="TextBox 32">
          <a:hlinkClick xmlns:r="http://schemas.openxmlformats.org/officeDocument/2006/relationships" r:id="rId11"/>
          <a:extLst>
            <a:ext uri="{FF2B5EF4-FFF2-40B4-BE49-F238E27FC236}">
              <a16:creationId xmlns:a16="http://schemas.microsoft.com/office/drawing/2014/main" id="{CE7B40F5-86F3-49BD-8338-430E03F32B15}"/>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35" name="Connector: Curved 34">
          <a:extLst>
            <a:ext uri="{FF2B5EF4-FFF2-40B4-BE49-F238E27FC236}">
              <a16:creationId xmlns:a16="http://schemas.microsoft.com/office/drawing/2014/main" id="{114653D1-BEB6-BB2F-AA28-EC1736977239}"/>
            </a:ext>
          </a:extLst>
        </xdr:cNvPr>
        <xdr:cNvCxnSpPr>
          <a:stCxn id="5" idx="2"/>
          <a:endCxn id="3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5.4.1.1-4 Atmos deposition'!D88">
      <xdr:nvSpPr>
        <xdr:cNvPr id="37" name="TextBox 36">
          <a:hlinkClick xmlns:r="http://schemas.openxmlformats.org/officeDocument/2006/relationships" r:id="rId12"/>
          <a:extLst>
            <a:ext uri="{FF2B5EF4-FFF2-40B4-BE49-F238E27FC236}">
              <a16:creationId xmlns:a16="http://schemas.microsoft.com/office/drawing/2014/main" id="{8AE9877F-38C8-4ACC-B4B6-31299BF5E643}"/>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39" name="Connector: Curved 38">
          <a:extLst>
            <a:ext uri="{FF2B5EF4-FFF2-40B4-BE49-F238E27FC236}">
              <a16:creationId xmlns:a16="http://schemas.microsoft.com/office/drawing/2014/main" id="{F6854892-F6EC-34A5-377E-DE050F68C16D}"/>
            </a:ext>
          </a:extLst>
        </xdr:cNvPr>
        <xdr:cNvCxnSpPr>
          <a:stCxn id="26" idx="2"/>
          <a:endCxn id="37"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5.4.1.1-4 Atmos deposition'!D41">
      <xdr:nvSpPr>
        <xdr:cNvPr id="40" name="TextBox 39">
          <a:hlinkClick xmlns:r="http://schemas.openxmlformats.org/officeDocument/2006/relationships" r:id="rId13"/>
          <a:extLst>
            <a:ext uri="{FF2B5EF4-FFF2-40B4-BE49-F238E27FC236}">
              <a16:creationId xmlns:a16="http://schemas.microsoft.com/office/drawing/2014/main" id="{4B457B1B-5710-480A-BEA2-4EDA42E4B34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5.4.1.1-4 Atmos deposition'!D116">
      <xdr:nvSpPr>
        <xdr:cNvPr id="41" name="TextBox 40">
          <a:hlinkClick xmlns:r="http://schemas.openxmlformats.org/officeDocument/2006/relationships" r:id="rId14"/>
          <a:extLst>
            <a:ext uri="{FF2B5EF4-FFF2-40B4-BE49-F238E27FC236}">
              <a16:creationId xmlns:a16="http://schemas.microsoft.com/office/drawing/2014/main" id="{219CED91-8F7E-4FF2-9212-0E9449EBD4C6}"/>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43" name="Connector: Curved 42">
          <a:extLst>
            <a:ext uri="{FF2B5EF4-FFF2-40B4-BE49-F238E27FC236}">
              <a16:creationId xmlns:a16="http://schemas.microsoft.com/office/drawing/2014/main" id="{9249914C-D022-FE4B-16A3-2463F884560C}"/>
            </a:ext>
          </a:extLst>
        </xdr:cNvPr>
        <xdr:cNvCxnSpPr>
          <a:stCxn id="33" idx="2"/>
          <a:endCxn id="40"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46" name="Connector: Curved 45">
          <a:extLst>
            <a:ext uri="{FF2B5EF4-FFF2-40B4-BE49-F238E27FC236}">
              <a16:creationId xmlns:a16="http://schemas.microsoft.com/office/drawing/2014/main" id="{C07D9288-FBED-7B13-A287-D43C1FD98EC1}"/>
            </a:ext>
          </a:extLst>
        </xdr:cNvPr>
        <xdr:cNvCxnSpPr>
          <a:stCxn id="37" idx="2"/>
          <a:endCxn id="41"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47" name="TextBox 46">
          <a:extLst>
            <a:ext uri="{FF2B5EF4-FFF2-40B4-BE49-F238E27FC236}">
              <a16:creationId xmlns:a16="http://schemas.microsoft.com/office/drawing/2014/main" id="{B92566B2-CEAC-458D-ADB7-8EE2A2A9AFD2}"/>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5.5.1.1-2 Leaching and runoff'!D5">
      <xdr:nvSpPr>
        <xdr:cNvPr id="48" name="TextBox 47">
          <a:hlinkClick xmlns:r="http://schemas.openxmlformats.org/officeDocument/2006/relationships" r:id="rId15"/>
          <a:extLst>
            <a:ext uri="{FF2B5EF4-FFF2-40B4-BE49-F238E27FC236}">
              <a16:creationId xmlns:a16="http://schemas.microsoft.com/office/drawing/2014/main" id="{6E55054B-3C08-4C1B-8F41-B82F482404C1}"/>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5.5.1.1-2 Leaching and runoff'!D47">
      <xdr:nvSpPr>
        <xdr:cNvPr id="49" name="TextBox 48">
          <a:hlinkClick xmlns:r="http://schemas.openxmlformats.org/officeDocument/2006/relationships" r:id="rId16"/>
          <a:extLst>
            <a:ext uri="{FF2B5EF4-FFF2-40B4-BE49-F238E27FC236}">
              <a16:creationId xmlns:a16="http://schemas.microsoft.com/office/drawing/2014/main" id="{C4B151EE-83D6-4D11-AC53-5CB03B66B3F8}"/>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5.5.1.1-2 Leaching and runoff'!D81">
      <xdr:nvSpPr>
        <xdr:cNvPr id="50" name="TextBox 49">
          <a:hlinkClick xmlns:r="http://schemas.openxmlformats.org/officeDocument/2006/relationships" r:id="rId17"/>
          <a:extLst>
            <a:ext uri="{FF2B5EF4-FFF2-40B4-BE49-F238E27FC236}">
              <a16:creationId xmlns:a16="http://schemas.microsoft.com/office/drawing/2014/main" id="{04F99102-AF85-45DE-BAA2-D0C4ED1BF02F}"/>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52" name="Connector: Curved 51">
          <a:extLst>
            <a:ext uri="{FF2B5EF4-FFF2-40B4-BE49-F238E27FC236}">
              <a16:creationId xmlns:a16="http://schemas.microsoft.com/office/drawing/2014/main" id="{5E1F4B83-81C0-FB64-4DE4-76F17FC8F482}"/>
            </a:ext>
          </a:extLst>
        </xdr:cNvPr>
        <xdr:cNvCxnSpPr>
          <a:stCxn id="48" idx="2"/>
          <a:endCxn id="50"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54" name="Connector: Curved 53">
          <a:extLst>
            <a:ext uri="{FF2B5EF4-FFF2-40B4-BE49-F238E27FC236}">
              <a16:creationId xmlns:a16="http://schemas.microsoft.com/office/drawing/2014/main" id="{7CEB587D-BABA-653B-3856-519A63AE6759}"/>
            </a:ext>
          </a:extLst>
        </xdr:cNvPr>
        <xdr:cNvCxnSpPr>
          <a:stCxn id="49" idx="2"/>
          <a:endCxn id="50"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56" name="Connector: Curved 55">
          <a:extLst>
            <a:ext uri="{FF2B5EF4-FFF2-40B4-BE49-F238E27FC236}">
              <a16:creationId xmlns:a16="http://schemas.microsoft.com/office/drawing/2014/main" id="{DE03FE02-8EF4-5AAC-B6AB-EF40DC76AFE8}"/>
            </a:ext>
          </a:extLst>
        </xdr:cNvPr>
        <xdr:cNvCxnSpPr>
          <a:stCxn id="26" idx="2"/>
          <a:endCxn id="49"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58" name="Connector: Curved 57">
          <a:extLst>
            <a:ext uri="{FF2B5EF4-FFF2-40B4-BE49-F238E27FC236}">
              <a16:creationId xmlns:a16="http://schemas.microsoft.com/office/drawing/2014/main" id="{91F04BC1-4319-1D3D-68F4-FA9DE2990AB9}"/>
            </a:ext>
          </a:extLst>
        </xdr:cNvPr>
        <xdr:cNvCxnSpPr>
          <a:stCxn id="5" idx="2"/>
          <a:endCxn id="48"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𝐸_𝑁2𝑂=∑8_𝑗▒∑8_𝑓▒((𝑀𝑁𝑆𝑜𝑖𝑙_𝑗𝑓×𝐸𝐹_(𝑁2𝑂,𝑖)×𝐶_𝑁2𝑂 )×10^(−3)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𝑀_(𝑙𝑒𝑎𝑐ℎ,𝑖𝑛𝑜𝑟𝑔𝑎𝑛𝑖𝑐,𝑗)=∑10_𝑓▒(𝑀𝑁_𝑗𝑓×𝐹𝑟𝑎𝑐_(𝑊𝐸𝑇,𝑗)×𝐹𝑟𝑎𝑐_𝐿𝐸𝐴𝐶𝐻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673927C-FAF3-425F-8E58-192CAB5E17D4}" name="Table_Input_InorganicFertiliser_Brands" displayName="Table_Input_InorganicFertiliser_Brands" ref="D17:X19" headerRowDxfId="155" dataDxfId="154" totalsRowDxfId="153">
  <autoFilter ref="D17:X19"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D8E438D7-21E3-48DD-9144-E15C10C5819E}" name="Product (select)" dataDxfId="152" totalsRowDxfId="151" dataCellStyle="Input select"/>
    <tableColumn id="23" xr3:uid="{59B08BC3-EF27-48EB-BCEA-84F2987787EF}" name="Amount applied (kg / ha)" totalsRowFunction="custom" dataDxfId="150" totalsRowDxfId="149">
      <totalsRowFormula>SUM(Table_Input_InorganicFertiliser_Brands[[#Headers],[#Data],[Amount applied (kg / ha)]])</totalsRowFormula>
    </tableColumn>
    <tableColumn id="12" xr3:uid="{80233E62-DDAA-41E2-908D-8BF8A861A382}" name="Application unit" dataDxfId="148" totalsRowDxfId="147" dataCellStyle="Input number 2 decimal places">
      <calculatedColumnFormula>_xlfn.XLOOKUP(Table_Input_InorganicFertiliser_Brands[[#This Row],[Product (select)]],FertiliserProducts[Product name],FertiliserProducts[Unit])</calculatedColumnFormula>
    </tableColumn>
    <tableColumn id="9" xr3:uid="{AB2DBAEB-99CF-4592-ABB8-65CF9108B710}" name="Density" dataDxfId="146" totalsRowDxfId="145" dataCellStyle="Input number 2 decimal places">
      <calculatedColumnFormula>_xlfn.XLOOKUP(Table_Input_InorganicFertiliser_Brands[[#This Row],[Product (select)]],FertiliserProducts[Product name],FertiliserProducts[Density / gravity])</calculatedColumnFormula>
    </tableColumn>
    <tableColumn id="6" xr3:uid="{6844C17C-E015-4F91-924B-1E5867E2DFCF}" name="Application area (ha)" dataDxfId="144" totalsRowDxfId="143">
      <calculatedColumnFormula>$E$9</calculatedColumnFormula>
    </tableColumn>
    <tableColumn id="1" xr3:uid="{3BF774D0-ADA2-40B3-9242-8DFBBB9443B7}" name="Total applied (kg)" dataDxfId="142" totalsRowDxfId="141" dataCellStyle="Input number general calculated">
      <calculatedColumnFormula>(Table_Input_InorganicFertiliser_Brands[[#This Row],[Amount applied (kg / ha)]]*Table_Input_InorganicFertiliser_Brands[[#This Row],[Density]])*Table_Input_InorganicFertiliser_Brands[[#This Row],[Application area (ha)]]</calculatedColumnFormula>
    </tableColumn>
    <tableColumn id="3" xr3:uid="{F58E0D71-91B7-42EC-AE70-0662CA20A4A0}" name="Ingredient 1" dataDxfId="140" totalsRowDxfId="139"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E044E44D-94BE-4206-90A4-BA1AC9629175}" name="Ingredient 1 percent" dataDxfId="138" totalsRowDxfId="137"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658506A8-773F-406D-BF6E-4A595EC2B83E}" name="Ingredient 2" dataDxfId="136"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14C6792D-E1B3-4C47-95A3-750975538DDF}" name="Ingredient 2 percent" dataDxfId="135" totalsRowDxfId="134"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AAA6B0A4-09BF-4E94-A9FE-688D347CF7F0}" name="Ingredient 3" dataDxfId="133" totalsRowDxfId="132"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A67D8906-DD6A-480D-A8F6-E0E2FD65B673}" name="Ingredient 3 percent" dataDxfId="131" totalsRowDxfId="130"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239B3315-A1C7-4286-B68A-3639868C0EF9}" name="Ingredient 4" dataDxfId="129" totalsRowDxfId="128"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E99F178D-5310-4698-B219-B1950B041870}" name="Ingredient 4 percent" dataDxfId="127"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3E5AE9CD-D391-4137-B063-ACC476CDF5C0}" name="Ingredient 5" dataDxfId="126"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7C4F06C2-A537-435A-A087-76B91A9DF178}" name="Ingredient 5 percent" dataDxfId="125"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F29E9025-612B-444E-ABC6-F122293B67EE}" name="Ingredient 6" dataDxfId="124"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890ECB12-1799-4587-AABE-EB26A9F59082}" name="Ingredient 6 percent" dataDxfId="123"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79855DE6-CD57-4A4D-9E7A-DBDBAC0C93A1}" name="N application rate (kg/ha)" dataDxfId="122" totalsRowDxfId="121" dataCellStyle="Input number general calculated">
      <calculatedColumnFormula>(Table_Input_InorganicFertiliser_Brands[[#This Row],[Amount applied (kg / ha)]]*Table_Input_InorganicFertiliser_Brands[[#This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15" xr3:uid="{04D06624-34AF-43FA-AED1-16453D87BC8D}" name="Urea source" dataDxfId="120" totalsRowDxfId="119" dataCellStyle="Input number general calculated"/>
    <tableColumn id="18" xr3:uid="{9BDAF438-9ABD-4279-A4F5-8BE0B2E60216}" name="Ammonia source" dataDxfId="118" totalsRowDxfId="117" dataCellStyle="Input number general calculate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024A338-4140-4535-9AA6-449DA88B1C2C}" name="Table_Input_InorganicFertiliser_Custom" displayName="Table_Input_InorganicFertiliser_Custom" ref="D22:R24" totalsRowShown="0" headerRowDxfId="116" dataDxfId="115">
  <autoFilter ref="D22:R24"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B5F1DF07-A1A2-4FA2-8A3F-B3BE5D6FA2EF}" name="Custom blend name" dataCellStyle="Input text"/>
    <tableColumn id="2" xr3:uid="{7C7F2F97-8F52-4B32-ADCE-CCF50441D95B}" name="Amount applied (kg / ha)" dataDxfId="114"/>
    <tableColumn id="3" xr3:uid="{7EF8A17B-D965-4D18-A7A2-D90F9F680015}" name="Application area (ha)" dataDxfId="113" dataCellStyle="Input number 2 decimal places">
      <calculatedColumnFormula>$E$9</calculatedColumnFormula>
    </tableColumn>
    <tableColumn id="4" xr3:uid="{B5004E38-6D68-4E13-BED4-CB556D548532}" name="Total applied (kg)" dataDxfId="112" dataCellStyle="Input number general calculated">
      <calculatedColumnFormula>Table_Input_InorganicFertiliser_Custom[[#This Row],[Amount applied (kg / ha)]]*Table_Input_InorganicFertiliser_Custom[[#This Row],[Application area (ha)]]</calculatedColumnFormula>
    </tableColumn>
    <tableColumn id="5" xr3:uid="{412210B2-0F3E-4380-B533-FB2A32DCF46E}" name="Ingredient 1 (select)" dataDxfId="111" dataCellStyle="Input select"/>
    <tableColumn id="6" xr3:uid="{E4FC8E72-0059-40E6-A5E8-C29893BBF371}" name="Ingredient 1 percent" dataDxfId="110"/>
    <tableColumn id="8" xr3:uid="{3568E299-41D5-4DA4-822C-91EFC2C68B68}" name="Ingredient 2" dataDxfId="109" dataCellStyle="Input select"/>
    <tableColumn id="9" xr3:uid="{9DFD8E7A-8101-4927-89BF-3E994EB31F96}" name="Ingredient 2 percent" dataDxfId="108"/>
    <tableColumn id="11" xr3:uid="{A7F2C8C6-1FC3-42D4-A36B-254F6E195571}" name="Ingredient 3" dataDxfId="107" dataCellStyle="Input select"/>
    <tableColumn id="12" xr3:uid="{43F6AA9D-3E97-4BA6-8E27-81AE530E1428}" name="Ingredient 3 percent" dataDxfId="106"/>
    <tableColumn id="14" xr3:uid="{AAE79728-DB2A-45E8-B9AB-496D82682D02}" name="Ingredient 4" dataDxfId="105" dataCellStyle="Input select"/>
    <tableColumn id="15" xr3:uid="{48BA5E25-4596-49E4-8F81-BC0D52974ECA}" name="Ingredient 4 percent" dataCellStyle="Input percent"/>
    <tableColumn id="7" xr3:uid="{8A68B805-7FB6-49A9-B9BB-58ADF30E43B7}" name="N application rate (kg/ha)" dataDxfId="104"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5BDB029E-2061-4C43-8F9F-38BA300F9219}" name="Urea source (Select)" dataCellStyle="Input select"/>
    <tableColumn id="13" xr3:uid="{1FAD97DD-F8EB-4ABE-B4CE-0A99E59DEA07}" name="Ammonia source (select)" dataCellStyle="Input select"/>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C84B33D-ED8D-4C1D-B319-1B5D2D0181A1}" name="Table_Input_Lime" displayName="Table_Input_Lime" ref="D32:K34" totalsRowShown="0" headerRowDxfId="103" dataDxfId="102" headerRowCellStyle="Input table column header">
  <autoFilter ref="D32:K34"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2EBE8C9-DDAA-458C-A7AA-DCB847581DFF}" name="Product" dataDxfId="101"/>
    <tableColumn id="2" xr3:uid="{B4EAD8A0-4563-4BA4-8C32-F444D747B623}" name="Amount applied (t/hectare)" dataDxfId="100"/>
    <tableColumn id="4" xr3:uid="{AEB6AB68-6478-4B2B-9B85-2B6FAFAF4B19}" name="Application area (ha)" dataDxfId="99">
      <calculatedColumnFormula>$E$9</calculatedColumnFormula>
    </tableColumn>
    <tableColumn id="3" xr3:uid="{CB52F796-ECF9-4D56-B08E-72C1A090ECED}" name="Total amount applied (t)" dataDxfId="98" dataCellStyle="Input number general calculated">
      <calculatedColumnFormula>IFERROR(Table_Input_Lime[[#This Row],[Amount applied (t/hectare)]]*Table_Input_Lime[[#This Row],[Application area (ha)]], 0)</calculatedColumnFormula>
    </tableColumn>
    <tableColumn id="6" xr3:uid="{463C4932-5481-444B-B89A-91DEAB645D48}" name="Percent Lime CaCO3" dataDxfId="97"/>
    <tableColumn id="8" xr3:uid="{E6AC5B83-E41F-4CA3-8CB5-DAE2C8D31386}" name="Percent Dolomite CaMg(CO3)2" dataDxfId="96"/>
    <tableColumn id="7" xr3:uid="{C2FA7C98-73DF-4B0B-9D0B-AF335608BA35}" name="Percent Gypsum" dataDxfId="95"/>
    <tableColumn id="10" xr3:uid="{4BF71EEB-80F3-4DB1-B0D1-D4D93983D919}" name="Total" dataDxfId="94"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424D04C-9CD1-4344-A611-A0F26AAC6A09}" name="Table_Input_OrganicFertiliser" displayName="Table_Input_OrganicFertiliser" ref="D42:J44" totalsRowShown="0" headerRowDxfId="93" dataDxfId="92" headerRowCellStyle="Input table column header">
  <autoFilter ref="D42:J44"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A0150C9-E95C-4634-ACAA-18237EE0F81C}" name="Organic fertiliser type (select)" dataDxfId="91" dataCellStyle="Input select"/>
    <tableColumn id="5" xr3:uid="{A4835DDC-D01F-4121-BA81-061BD582AD81}" name="Percentage of N in fertiliser" dataDxfId="90"/>
    <tableColumn id="2" xr3:uid="{78F23607-4221-4C96-AE58-1738D148B281}" name="Amount applied (kg/hectare)" dataDxfId="89"/>
    <tableColumn id="11" xr3:uid="{743E34BE-5366-4C2E-A066-60503FC1C110}" name="Amount N applied (kg/hectare)" dataDxfId="88" dataCellStyle="Input number general calculated">
      <calculatedColumnFormula>Table_Input_OrganicFertiliser[[#This Row],[Amount applied (kg/hectare)]]*Table_Input_OrganicFertiliser[[#This Row],[Percentage of N in fertiliser]]</calculatedColumnFormula>
    </tableColumn>
    <tableColumn id="4" xr3:uid="{B88F455B-D8D9-4441-954D-CD168CA9D851}" name="Application area (ha)" dataDxfId="87">
      <calculatedColumnFormula>$E$9</calculatedColumnFormula>
    </tableColumn>
    <tableColumn id="7" xr3:uid="{7CBB769C-0807-447F-BE25-34DAD65EC446}" name="Total organic fertliser applied" dataDxfId="86" dataCellStyle="Input number general calculated">
      <calculatedColumnFormula>Table_Input_OrganicFertiliser[[#This Row],[Amount applied (kg/hectare)]]*Table_Input_OrganicFertiliser[[#This Row],[Application area (ha)]]</calculatedColumnFormula>
    </tableColumn>
    <tableColumn id="3" xr3:uid="{1F74E9BE-0840-40F9-B7FF-8F62A4E651FA}" name="Total nitrogen applied (kg)" dataDxfId="85"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2DD19F-CBC4-42A0-AD7E-F034180A8AA9}"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8C4C01E3-2923-4F94-8346-41D989BDE40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72E07C71-DD8D-4126-8655-0AFD44FCC6AB}" name="FNinorganic f">
      <calculatedColumnFormula array="1">Common_InputFunctions.Utility_DisplayArrayInTable(Fertiliser_SourceData.Fertiliser_ChemicalCompoundElements_Data(),Table_Fertiliser_ChemicalCompounds[[#Headers],[Fertiliser type f]], 0)</calculatedColumnFormula>
    </tableColumn>
    <tableColumn id="3" xr3:uid="{30037BC3-4142-4B1B-B7E0-8A23D8ADC7CE}" name="FU f">
      <calculatedColumnFormula array="1">Common_InputFunctions.Utility_DisplayArrayInTable(Fertiliser_SourceData.Fertiliser_ChemicalCompoundElements_Data(),Table_Fertiliser_ChemicalCompounds[[#Headers],[Fertiliser type f]], 0)</calculatedColumnFormula>
    </tableColumn>
    <tableColumn id="4" xr3:uid="{EAEC1FB5-77BC-47F7-AAD2-E4475E63C604}" name="Basis">
      <calculatedColumnFormula array="1">Common_InputFunctions.Utility_DisplayArrayInTable(Fertiliser_SourceData.Fertiliser_ChemicalCompoundElements_Data(),Table_Fertiliser_ChemicalCompounds[[#Headers],[Fertiliser type f]], 0)</calculatedColumnFormula>
    </tableColumn>
    <tableColumn id="5" xr3:uid="{10C0FE6E-3C31-41D7-A8E3-A5873BBFAF53}"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DBEA0D9E-021A-42DD-879C-0FE0921BFAA5}"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F03620B-9968-447A-A13F-E60FF3C81E47}"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A3F0E066-456E-4CE4-AA6E-2432945E94BE}" name="Include or Exclude" dataDxfId="84" totalsRowDxfId="83">
      <calculatedColumnFormula array="1">Common_InputFunctions.Utility_DisplayArrayInTable(Fertiliser_SourceData.Fertiliser_Products_Data1(),FertiliserProducts[[#Headers],[Include or Exclude]], -1)</calculatedColumnFormula>
    </tableColumn>
    <tableColumn id="2" xr3:uid="{A1127254-05BE-4396-ABB5-A675D872078F}" name="Notes" dataDxfId="82" totalsRowDxfId="81">
      <calculatedColumnFormula array="1">Common_InputFunctions.Utility_DisplayArrayInTable(Fertiliser_SourceData.Fertiliser_Products_Data1(),FertiliserProducts[[#Headers],[Include or Exclude]], 0)</calculatedColumnFormula>
    </tableColumn>
    <tableColumn id="3" xr3:uid="{38D957B7-EEA5-463D-BDB3-85B9FFD5BAA7}" name="Company" dataDxfId="80" totalsRowDxfId="79">
      <calculatedColumnFormula array="1">Common_InputFunctions.Utility_DisplayArrayInTable(Fertiliser_SourceData.Fertiliser_Products_Data1(),FertiliserProducts[[#Headers],[Include or Exclude]], 0)</calculatedColumnFormula>
    </tableColumn>
    <tableColumn id="4" xr3:uid="{B66302A1-05EA-480E-AA2A-DA54BBD38A46}" name="Product name" dataDxfId="78" totalsRowDxfId="77">
      <calculatedColumnFormula array="1">Common_InputFunctions.Utility_DisplayArrayInTable(Fertiliser_SourceData.Fertiliser_Products_Data1(),FertiliserProducts[[#Headers],[Include or Exclude]], 0)</calculatedColumnFormula>
    </tableColumn>
    <tableColumn id="5" xr3:uid="{1DD9CD43-0FC6-467F-B81B-17F2B18D92A6}" name="Unit" dataDxfId="76" totalsRowDxfId="75">
      <calculatedColumnFormula array="1">Common_InputFunctions.Utility_DisplayArrayInTable(Fertiliser_SourceData.Fertiliser_Products_Data1(),FertiliserProducts[[#Headers],[Include or Exclude]], 0,4)</calculatedColumnFormula>
    </tableColumn>
    <tableColumn id="6" xr3:uid="{2726F29B-265E-4968-9BDB-0822F320EC19}" name="Density / gravity" dataDxfId="74" totalsRowDxfId="73">
      <calculatedColumnFormula array="1">Common_InputFunctions.Utility_DisplayArrayInTable(Fertiliser_SourceData.Fertiliser_Products_Data1(),FertiliserProducts[[#Headers],[Include or Exclude]], 0,4)</calculatedColumnFormula>
    </tableColumn>
    <tableColumn id="7" xr3:uid="{BF1AF56A-2845-4920-860F-B10A736587C1}" name="Urea source" dataDxfId="72" totalsRowDxfId="71">
      <calculatedColumnFormula array="1">Common_InputFunctions.Utility_DisplayArrayInTable(Fertiliser_SourceData.Fertiliser_Products_Data1(),FertiliserProducts[[#Headers],[Include or Exclude]], 0,4)</calculatedColumnFormula>
    </tableColumn>
    <tableColumn id="8" xr3:uid="{E2EDC11B-C8E4-42A8-A90F-976309289390}" name="Ammonia source" dataDxfId="70" totalsRowDxfId="69">
      <calculatedColumnFormula array="1">Common_InputFunctions.Utility_DisplayArrayInTable(Fertiliser_SourceData.Fertiliser_Products_Data1(),FertiliserProducts[[#Headers],[Include or Exclude]], 0,4)</calculatedColumnFormula>
    </tableColumn>
    <tableColumn id="9" xr3:uid="{24252A97-7709-44EA-ABC3-5F607CC0348F}" name="Ingredient 1" dataDxfId="68" totalsRowDxfId="67">
      <calculatedColumnFormula array="1">Common_InputFunctions.Utility_DisplayArrayInTable(Fertiliser_SourceData.Fertiliser_Products_Data1(),FertiliserProducts[[#Headers],[Include or Exclude]], 0,4)</calculatedColumnFormula>
    </tableColumn>
    <tableColumn id="10" xr3:uid="{11AF6B47-3A72-4D46-9A4D-BBF30EC4193E}" name="Ingredient 1 percent" dataDxfId="66" totalsRowDxfId="65">
      <calculatedColumnFormula array="1">Common_InputFunctions.Utility_DisplayArrayInTable(Fertiliser_SourceData.Fertiliser_Products_Data1(),FertiliserProducts[[#Headers],[Include or Exclude]], 0,4)</calculatedColumnFormula>
    </tableColumn>
    <tableColumn id="11" xr3:uid="{0AAFCB45-5C80-4123-8736-D764334BFDB4}" name="Ingredient 2" dataDxfId="64" totalsRowDxfId="63">
      <calculatedColumnFormula array="1">Common_InputFunctions.Utility_DisplayArrayInTable(Fertiliser_SourceData.Fertiliser_Products_Data1(),FertiliserProducts[[#Headers],[Include or Exclude]], 0,4)</calculatedColumnFormula>
    </tableColumn>
    <tableColumn id="12" xr3:uid="{1191C429-7048-41F0-B9F1-7F3F733CF190}" name="Ingredient 2 percent" dataDxfId="62" totalsRowDxfId="61">
      <calculatedColumnFormula array="1">Common_InputFunctions.Utility_DisplayArrayInTable(Fertiliser_SourceData.Fertiliser_Products_Data1(),FertiliserProducts[[#Headers],[Include or Exclude]], 0,4)</calculatedColumnFormula>
    </tableColumn>
    <tableColumn id="13" xr3:uid="{FA476FFC-F776-4F53-9E0E-72EDBA1D1AE9}" name="Ingredient 3" dataDxfId="60" totalsRowDxfId="59">
      <calculatedColumnFormula array="1">Common_InputFunctions.Utility_DisplayArrayInTable(Fertiliser_SourceData.Fertiliser_Products_Data1(),FertiliserProducts[[#Headers],[Include or Exclude]], 0,4)</calculatedColumnFormula>
    </tableColumn>
    <tableColumn id="14" xr3:uid="{659EB097-21AA-48F2-ABBA-84390DA814E8}" name="Ingredient 3 percent" dataDxfId="58" totalsRowDxfId="57">
      <calculatedColumnFormula array="1">Common_InputFunctions.Utility_DisplayArrayInTable(Fertiliser_SourceData.Fertiliser_Products_Data1(),FertiliserProducts[[#Headers],[Include or Exclude]], 0,4)</calculatedColumnFormula>
    </tableColumn>
    <tableColumn id="15" xr3:uid="{41225C63-628E-47D6-9916-54724FB26AA0}" name="Ingredient 4" dataDxfId="56" totalsRowDxfId="55">
      <calculatedColumnFormula array="1">Common_InputFunctions.Utility_DisplayArrayInTable(Fertiliser_SourceData.Fertiliser_Products_Data1(),FertiliserProducts[[#Headers],[Include or Exclude]], 0,4)</calculatedColumnFormula>
    </tableColumn>
    <tableColumn id="16" xr3:uid="{5CC4BD9F-F4DC-4AFB-B330-906140042C26}" name="Ingredient 4 percent" dataDxfId="54" totalsRowDxfId="53">
      <calculatedColumnFormula array="1">Common_InputFunctions.Utility_DisplayArrayInTable(Fertiliser_SourceData.Fertiliser_Products_Data1(),FertiliserProducts[[#Headers],[Include or Exclude]], 0,4)</calculatedColumnFormula>
    </tableColumn>
    <tableColumn id="17" xr3:uid="{C8419B25-8A41-4C9D-9C06-4A39DBA4FAEA}" name="Ingredient 5" dataDxfId="52" totalsRowDxfId="51">
      <calculatedColumnFormula array="1">Common_InputFunctions.Utility_DisplayArrayInTable(Fertiliser_SourceData.Fertiliser_Products_Data1(),FertiliserProducts[[#Headers],[Include or Exclude]], 0,4)</calculatedColumnFormula>
    </tableColumn>
    <tableColumn id="18" xr3:uid="{E02EF3B5-039F-4565-B2D4-9A23C40746B9}" name="Ingredient 5 percent" dataDxfId="50" totalsRowDxfId="49">
      <calculatedColumnFormula array="1">Common_InputFunctions.Utility_DisplayArrayInTable(Fertiliser_SourceData.Fertiliser_Products_Data1(),FertiliserProducts[[#Headers],[Include or Exclude]], 0,4)</calculatedColumnFormula>
    </tableColumn>
    <tableColumn id="19" xr3:uid="{AC8B170D-2E32-4FB7-BD07-9CD91A23BA09}" name="Ingredient 6" dataDxfId="48" totalsRowDxfId="47">
      <calculatedColumnFormula array="1">Common_InputFunctions.Utility_DisplayArrayInTable(Fertiliser_SourceData.Fertiliser_Products_Data1(),FertiliserProducts[[#Headers],[Include or Exclude]], 0,4)</calculatedColumnFormula>
    </tableColumn>
    <tableColumn id="37" xr3:uid="{D87106C6-8480-4F48-8501-41D31D7A5FF8}" name="Ingredient 6 percent" dataDxfId="46" totalsRowDxfId="45">
      <calculatedColumnFormula array="1">Common_InputFunctions.Utility_DisplayArrayInTable(Fertiliser_SourceData.Fertiliser_Products_Data1(),FertiliserProducts[[#Headers],[Include or Exclude]], 0,4)</calculatedColumnFormula>
    </tableColumn>
    <tableColumn id="20" xr3:uid="{BA505D28-522B-43EB-A12C-7C8BE25DD8C7}" name="Ingredient 7" dataDxfId="44">
      <calculatedColumnFormula array="1">Common_InputFunctions.Utility_DisplayArrayInTable(Fertiliser_SourceData.Fertiliser_Products_Data1(),FertiliserProducts[[#Headers],[Include or Exclude]], 0,4)</calculatedColumnFormula>
    </tableColumn>
    <tableColumn id="24" xr3:uid="{3C80D87A-0310-479A-B767-6AACE3B3E29B}" name="Ingredient 7 percent" dataDxfId="43">
      <calculatedColumnFormula array="1">Common_InputFunctions.Utility_DisplayArrayInTable(Fertiliser_SourceData.Fertiliser_Products_Data1(),FertiliserProducts[[#Headers],[Include or Exclude]], 0,4)</calculatedColumnFormula>
    </tableColumn>
    <tableColumn id="23" xr3:uid="{CD58DC3E-C0F2-43B2-A1B0-76B51355BEA1}" name="Ingredient 8" dataDxfId="42">
      <calculatedColumnFormula array="1">Common_InputFunctions.Utility_DisplayArrayInTable(Fertiliser_SourceData.Fertiliser_Products_Data1(),FertiliserProducts[[#Headers],[Include or Exclude]], 0,4)</calculatedColumnFormula>
    </tableColumn>
    <tableColumn id="26" xr3:uid="{42E03324-7FDE-410D-A6C4-4B89738E9819}" name="Ingredient 8 percent" dataDxfId="41">
      <calculatedColumnFormula array="1">Common_InputFunctions.Utility_DisplayArrayInTable(Fertiliser_SourceData.Fertiliser_Products_Data1(),FertiliserProducts[[#Headers],[Include or Exclude]], 0,4)</calculatedColumnFormula>
    </tableColumn>
    <tableColumn id="25" xr3:uid="{84EB4292-6D04-4B8E-8047-079CEB05EA1D}" name="Ingredient 9" dataDxfId="40">
      <calculatedColumnFormula array="1">Common_InputFunctions.Utility_DisplayArrayInTable(Fertiliser_SourceData.Fertiliser_Products_Data1(),FertiliserProducts[[#Headers],[Include or Exclude]], 0,4)</calculatedColumnFormula>
    </tableColumn>
    <tableColumn id="30" xr3:uid="{EC662245-DC04-4101-9534-1830E772B6D9}" name="Ingredient 9 percent" dataDxfId="39">
      <calculatedColumnFormula array="1">Common_InputFunctions.Utility_DisplayArrayInTable(Fertiliser_SourceData.Fertiliser_Products_Data1(),FertiliserProducts[[#Headers],[Include or Exclude]], 0,4)</calculatedColumnFormula>
    </tableColumn>
    <tableColumn id="29" xr3:uid="{1CC52630-7C0B-476C-B2D2-4186BA938468}" name="Imngredient 10" dataDxfId="38">
      <calculatedColumnFormula array="1">Common_InputFunctions.Utility_DisplayArrayInTable(Fertiliser_SourceData.Fertiliser_Products_Data1(),FertiliserProducts[[#Headers],[Include or Exclude]], 0,4)</calculatedColumnFormula>
    </tableColumn>
    <tableColumn id="28" xr3:uid="{50F2BD5C-4FB9-4A6E-843C-95FB18A62F65}" name="Ingredient 10 percent" dataDxfId="37">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A6279EA-7DA2-46FA-80C0-81926E3CFC51}"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19E09D05-8D4E-4AE2-8358-E4A5E671DAF1}" name="Fertiliser type f">
      <calculatedColumnFormula array="1">Common_InputFunctions.Utility_DisplayArrayInTable(Fertiliser_SourceData.Fertiliser_FracGASF_Data(), Table_SourceData_Fertiliser_FracGASF[[#Headers],[Fertiliser type f]], 0)</calculatedColumnFormula>
    </tableColumn>
    <tableColumn id="2" xr3:uid="{DA8F3147-84CA-4496-93BC-D8C87A2057DC}" name="FracGASF f" dataDxfId="36"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4F3A11E-40F5-4BB9-BFF4-A71FA2ADA0EF}" name="Table_SourceData_Fertiliser_CropProdSystems" displayName="Table_SourceData_Fertiliser_CropProdSystems" ref="D41:D43" totalsRowShown="0">
  <autoFilter ref="D41:D43" xr:uid="{24F3A11E-40F5-4BB9-BFF4-A71FA2ADA0EF}">
    <filterColumn colId="0" hiddenButton="1"/>
  </autoFilter>
  <tableColumns count="1">
    <tableColumn id="1" xr3:uid="{E0B29DD2-DF66-45FE-971C-A5602D100E6D}"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6754DF9-B9B7-4777-A419-208519289931}"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A7BA260A-A23A-44C9-AF41-8341440492A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5044B5-FA3C-4AA2-B1AB-72F7E61D072F}" name="Table_SourceData_Fertiliser_CropTypes" displayName="Table_SourceData_Fertiliser_CropTypes" ref="F41:F45" totalsRowShown="0">
  <autoFilter ref="F41:F45" xr:uid="{CB5044B5-FA3C-4AA2-B1AB-72F7E61D072F}">
    <filterColumn colId="0" hiddenButton="1"/>
  </autoFilter>
  <tableColumns count="1">
    <tableColumn id="1" xr3:uid="{EAFA6706-EC03-46CB-966D-E46F556BEEFE}" name="Production system"/>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4627B1-537E-4ABC-92C3-57282CEE5B40}" name="Table_SourceData_OrganicFertiliserTypes" displayName="Table_SourceData_OrganicFertiliserTypes" ref="J41:J46" totalsRowShown="0">
  <autoFilter ref="J41:J46" xr:uid="{B44627B1-537E-4ABC-92C3-57282CEE5B40}">
    <filterColumn colId="0" hiddenButton="1"/>
  </autoFilter>
  <tableColumns count="1">
    <tableColumn id="1" xr3:uid="{830EDE15-A06E-4081-B62D-B9A731B5E02E}" name="Organic fertiliser type"/>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0169C1-BC7A-441C-840D-3C2EFD141B42}"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7CEDDCE-708E-44EF-8883-C9C87F6FC91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525CEAB5-65A0-48EA-A3AE-DCF37142FCC8}" name="P" dataDxfId="35"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3BE0F9E9-B383-442C-9A7C-0B6E1A3811F8}" name="EF" dataDxfId="34"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B93029-EB1F-4C4A-A946-CD673A8A6C46}" name="Table2" displayName="Table2" ref="K19:L28" totalsRowShown="0" dataDxfId="33" dataCellStyle="Content normal">
  <autoFilter ref="K19:L28" xr:uid="{27B93029-EB1F-4C4A-A946-CD673A8A6C46}">
    <filterColumn colId="0" hiddenButton="1"/>
    <filterColumn colId="1" hiddenButton="1"/>
  </autoFilter>
  <tableColumns count="2">
    <tableColumn id="1" xr3:uid="{7C622051-66CC-4C8F-B655-8BA4CF50466E}" name="Fertiliser type f" dataDxfId="32" dataCellStyle="Content normal">
      <calculatedColumnFormula array="1">Common_InputFunctions.Utility_DisplayArrayInTable(Fertiliser_SourceData.Fertiliser_FractionNCommonFertilisers_Data(), Table2[[#Headers],[Fertiliser type f]], 0)</calculatedColumnFormula>
    </tableColumn>
    <tableColumn id="2" xr3:uid="{14C58232-EA88-4179-B31D-8ECA2DB5A49D}" name="FNinorganic f" dataDxfId="31"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1CEA59-796C-47AB-86BC-41E8F699030C}" name="Table28" displayName="Table28" ref="Q19:R28" totalsRowShown="0" dataDxfId="30" dataCellStyle="Content normal">
  <autoFilter ref="Q19:R28" xr:uid="{791CEA59-796C-47AB-86BC-41E8F699030C}">
    <filterColumn colId="0" hiddenButton="1"/>
    <filterColumn colId="1" hiddenButton="1"/>
  </autoFilter>
  <tableColumns count="2">
    <tableColumn id="1" xr3:uid="{31D81A30-DB50-4875-A5AB-DFA2E5C18375}" name="Fertiliser type f" dataDxfId="29" dataCellStyle="Content normal">
      <calculatedColumnFormula array="1">Common_InputFunctions.Utility_DisplayArrayInTable(Fertiliser_SourceData.Fertiliser_FractionUreaCommonFertilisers_Data(), Table28[[#Headers],[Fertiliser type f]], 0)</calculatedColumnFormula>
    </tableColumn>
    <tableColumn id="2" xr3:uid="{03B10771-DDFB-45AA-AF49-E8C5F9477C5E}" name="FNinorganic f" dataDxfId="28"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CD2F96D-F34B-40EA-87DE-66D680DF332D}"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BCB7A35C-4B96-4371-AFC9-1AD88933FE44}"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4303C5C-3BB9-41A7-829D-8B4E71E0023B}"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FD75A020-5BB0-44A8-9D5E-DCC83AB1977D}" name="State/Territory">
      <calculatedColumnFormula array="1">Common_InputFunctions.Utility_DisplayArrayInTable(Common_SourceData.Common_SourceData_AustralianStatesTerritories_Data(),Table_AustralianStates[[#Headers],[State/Territory]],0)</calculatedColumnFormula>
    </tableColumn>
    <tableColumn id="2" xr3:uid="{79D55B61-ED45-4135-883D-FD347526CAB3}" name="Common Name">
      <calculatedColumnFormula array="1">Common_InputFunctions.Utility_DisplayArrayInTable(Common_SourceData.Common_SourceData_AustralianStatesTerritories_Data(),Table_AustralianStates[[#Headers],[State/Territory]],0)</calculatedColumnFormula>
    </tableColumn>
    <tableColumn id="3" xr3:uid="{B88E055F-8E5A-4C53-93A9-C24E776591B1}"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2DCD54D-7E93-4099-957D-AEA1DE4C4926}" name="Table_WASA4Areas" displayName="Table_WASA4Areas" ref="D20:D30" totalsRowShown="0">
  <autoFilter ref="D20:D30" xr:uid="{5FA81339-C6C8-4D36-BEEA-6C4AEDD9E676}">
    <filterColumn colId="0" hiddenButton="1"/>
  </autoFilter>
  <tableColumns count="1">
    <tableColumn id="1" xr3:uid="{65003749-65F5-40E3-99A9-AB401F699E36}"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DAA5495-4917-46C2-A299-A4345A855465}" name="Table_GWPData" displayName="Table_GWPData" ref="D36:E43" totalsRowShown="0">
  <autoFilter ref="D36:E43" xr:uid="{B8E87A66-3E41-4AD3-925D-01EE21B43D7A}">
    <filterColumn colId="0" hiddenButton="1"/>
    <filterColumn colId="1" hiddenButton="1"/>
  </autoFilter>
  <tableColumns count="2">
    <tableColumn id="1" xr3:uid="{A2C3F369-C535-498B-A609-D1951E259632}" name="Gas">
      <calculatedColumnFormula array="1">Common_InputFunctions.Utility_DisplayArrayInTable(Common_SourceData.Common_SourceData_GWP_Data(), Table_GWPData[[#Headers],[Gas]], 0)</calculatedColumnFormula>
    </tableColumn>
    <tableColumn id="2" xr3:uid="{30431AA3-A8E1-4BCB-8FF3-815AAD620AF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BE6CF9E-A072-44BF-8684-471FB964FF1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AD021D2-50B6-4052-8C28-07DE2821E241}" name="Gas">
      <calculatedColumnFormula array="1">Common_InputFunctions.Utility_DisplayArrayInTable(Common_SourceData.Common_SourceData_ConvertGasElementalToMolecular_Data(),Table_GasToMolecularConversionFactor[[#Headers],[Gas]], 0)</calculatedColumnFormula>
    </tableColumn>
    <tableColumn id="5" xr3:uid="{070B0089-E010-406C-A163-96667EDF65BA}" name="Conversion factor">
      <calculatedColumnFormula array="1">Common_InputFunctions.Utility_DisplayArrayInTable(Common_SourceData.Common_SourceData_ConvertGasElementalToMolecular_Data(),Table_GasToMolecularConversionFactor[[#Headers],[Gas]], 0)</calculatedColumnFormula>
    </tableColumn>
    <tableColumn id="2" xr3:uid="{442EC396-0F56-4AF3-9A40-5AC804CD7A86}" name="Conversion factor 1">
      <calculatedColumnFormula array="1">Common_InputFunctions.Utility_DisplayArrayInTable(Common_SourceData.Common_SourceData_ConvertGasElementalToMolecular_Data(),Table_GasToMolecularConversionFactor[[#Headers],[Gas]], 0)</calculatedColumnFormula>
    </tableColumn>
    <tableColumn id="3" xr3:uid="{A267475D-1B2F-4109-BB45-941B0A1E668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8B0D998-60A5-4C5C-BCEA-2617B46A5BCF}"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074C5BD-0896-455B-9D7F-FAEDC2D126E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41C3266-3F73-4EFD-88FE-8C44F498CB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E5553DB-5721-4C92-8D20-DFA036B0E73C}" name="MAT" totalsRowDxfId="191" totalsRowCellStyle="Content bold">
      <calculatedColumnFormula array="1">Common_InputFunctions.Utility_DisplayArrayInTable(Common_SourceData.Common_SourceData_ClimateZones_Data(), Table_SourceData_ClimateZones[[#Headers],[Climate zone]], 0)</calculatedColumnFormula>
    </tableColumn>
    <tableColumn id="3" xr3:uid="{0B330E80-A0C8-4CA7-8BED-303573742262}" name="MAP" totalsRowDxfId="190" totalsRowCellStyle="Content bold">
      <calculatedColumnFormula array="1">Common_InputFunctions.Utility_DisplayArrayInTable(Common_SourceData.Common_SourceData_ClimateZones_Data(), Table_SourceData_ClimateZones[[#Headers],[Climate zone]], 0)</calculatedColumnFormula>
    </tableColumn>
    <tableColumn id="4" xr3:uid="{F6D8D7BA-481D-44A8-8D63-7344999032D7}" name="Frost days per year" totalsRowDxfId="189" totalsRowCellStyle="Content bold">
      <calculatedColumnFormula array="1">Common_InputFunctions.Utility_DisplayArrayInTable(Common_SourceData.Common_SourceData_ClimateZones_Data(), Table_SourceData_ClimateZones[[#Headers],[Climate zone]], 0)</calculatedColumnFormula>
    </tableColumn>
    <tableColumn id="5" xr3:uid="{B51575DF-B51A-45A0-96F6-B09CF6CB7960}" name="Elevation" totalsRowDxfId="188" totalsRowCellStyle="Content bold">
      <calculatedColumnFormula array="1">Common_InputFunctions.Utility_DisplayArrayInTable(Common_SourceData.Common_SourceData_ClimateZones_Data(), Table_SourceData_ClimateZones[[#Headers],[Climate zone]], 0)</calculatedColumnFormula>
    </tableColumn>
    <tableColumn id="6" xr3:uid="{3DDF4932-CE19-401E-B9A8-96D6019290D4}" name="MAP:PET" totalsRowDxfId="187" totalsRowCellStyle="Content bold">
      <calculatedColumnFormula array="1">Common_InputFunctions.Utility_DisplayArrayInTable(Common_SourceData.Common_SourceData_ClimateZones_Data(), Table_SourceData_ClimateZones[[#Headers],[Climate zone]], 0)</calculatedColumnFormula>
    </tableColumn>
    <tableColumn id="7" xr3:uid="{CA67A8C2-1493-47C7-9556-E9B2171FF313}" name="Min temp" totalsRowDxfId="186" totalsRowCellStyle="Content bold">
      <calculatedColumnFormula array="1">Common_InputFunctions.Utility_DisplayArrayInTable(Common_SourceData.Common_SourceData_ClimateZones_Data(), Table_SourceData_ClimateZones[[#Headers],[Climate zone]], 0)</calculatedColumnFormula>
    </tableColumn>
    <tableColumn id="8" xr3:uid="{13DD9A77-6AFB-476B-9830-FB62437E21B4}" name="Max temp" totalsRowDxfId="185" totalsRowCellStyle="Content bold">
      <calculatedColumnFormula array="1">Common_InputFunctions.Utility_DisplayArrayInTable(Common_SourceData.Common_SourceData_ClimateZones_Data(), Table_SourceData_ClimateZones[[#Headers],[Climate zone]], 0)</calculatedColumnFormula>
    </tableColumn>
    <tableColumn id="9" xr3:uid="{D0C7F044-AC25-4B4D-A6C8-191E6D7ADEFB}" name="Min rainfall" totalsRowDxfId="184" totalsRowCellStyle="Content bold">
      <calculatedColumnFormula array="1">Common_InputFunctions.Utility_DisplayArrayInTable(Common_SourceData.Common_SourceData_ClimateZones_Data(), Table_SourceData_ClimateZones[[#Headers],[Climate zone]], 0)</calculatedColumnFormula>
    </tableColumn>
    <tableColumn id="10" xr3:uid="{7BE35E95-CD11-4907-B665-EDDFF05DF5F7}" name="Max rainfall" totalsRowDxfId="183" totalsRowCellStyle="Content bold">
      <calculatedColumnFormula array="1">Common_InputFunctions.Utility_DisplayArrayInTable(Common_SourceData.Common_SourceData_ClimateZones_Data(), Table_SourceData_ClimateZones[[#Headers],[Climate zone]], 0)</calculatedColumnFormula>
    </tableColumn>
    <tableColumn id="11" xr3:uid="{11FE130C-5EF5-4800-8D82-01037B7D1418}" name="Min frost days" totalsRowDxfId="182" totalsRowCellStyle="Content bold">
      <calculatedColumnFormula array="1">Common_InputFunctions.Utility_DisplayArrayInTable(Common_SourceData.Common_SourceData_ClimateZones_Data(), Table_SourceData_ClimateZones[[#Headers],[Climate zone]], 0)</calculatedColumnFormula>
    </tableColumn>
    <tableColumn id="15" xr3:uid="{D89184E1-5386-41A5-BC9C-23989AB9D394}" name="Max frost days" totalsRowDxfId="181" totalsRowCellStyle="Content bold">
      <calculatedColumnFormula array="1">Common_InputFunctions.Utility_DisplayArrayInTable(Common_SourceData.Common_SourceData_ClimateZones_Data(), Table_SourceData_ClimateZones[[#Headers],[Climate zone]], 0)</calculatedColumnFormula>
    </tableColumn>
    <tableColumn id="12" xr3:uid="{4326D09A-0A99-4588-A2C1-359761D54EEE}" name="Min elevation" totalsRowDxfId="180" totalsRowCellStyle="Content bold">
      <calculatedColumnFormula array="1">Common_InputFunctions.Utility_DisplayArrayInTable(Common_SourceData.Common_SourceData_ClimateZones_Data(), Table_SourceData_ClimateZones[[#Headers],[Climate zone]], 0)</calculatedColumnFormula>
    </tableColumn>
    <tableColumn id="16" xr3:uid="{4E8012CE-78A2-408D-84F0-804357D82CC1}" name="Max elevation" totalsRowDxfId="179" totalsRowCellStyle="Content bold">
      <calculatedColumnFormula array="1">Common_InputFunctions.Utility_DisplayArrayInTable(Common_SourceData.Common_SourceData_ClimateZones_Data(), Table_SourceData_ClimateZones[[#Headers],[Climate zone]], 0)</calculatedColumnFormula>
    </tableColumn>
    <tableColumn id="13" xr3:uid="{B54E6EF5-ABEB-4638-B06C-3EC0281E4117}" name="Min MAP:PET" totalsRowDxfId="178" totalsRowCellStyle="Content bold">
      <calculatedColumnFormula array="1">Common_InputFunctions.Utility_DisplayArrayInTable(Common_SourceData.Common_SourceData_ClimateZones_Data(), Table_SourceData_ClimateZones[[#Headers],[Climate zone]], 0)</calculatedColumnFormula>
    </tableColumn>
    <tableColumn id="17" xr3:uid="{8D917470-7CB8-4F3E-9726-6CE629E62415}" name="Max MAP:PET" totalsRowDxfId="17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7678D10-2267-4767-B2BC-D4CF7912B8C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34B9A861-A4AC-43D8-95CF-3562409A13E6}"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3E1A5654-2BB4-449B-8063-4EFB15F850C3}" name="Wet or Dry Zone" totalsRowDxfId="17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EA5653C-11FE-4C3B-AC4C-03EBB0DDB740}"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EC58373F-C785-4CF1-8C2C-1E8E7D608BF7}" name="Temperature Zone">
      <calculatedColumnFormula array="1">Common_InputFunctions.Utility_DisplayArrayInTable(Common_SourceData.Common_SourceData_TemperatureZones_Data(),Table_SourceData_TemperatureZones[[#Headers],[Temperature Zone]],0)</calculatedColumnFormula>
    </tableColumn>
    <tableColumn id="2" xr3:uid="{649DD81D-C070-4231-A7C0-B2F0F7667E2F}" name="MAT">
      <calculatedColumnFormula array="1">Common_InputFunctions.Utility_DisplayArrayInTable(Common_SourceData.Common_SourceData_TemperatureZones_Data(),Table_SourceData_TemperatureZones[[#Headers],[Temperature Zone]],0)</calculatedColumnFormula>
    </tableColumn>
    <tableColumn id="3" xr3:uid="{DCD1BE3E-0888-493D-ACAD-62FBCE7729EB}" name="Min MAT">
      <calculatedColumnFormula array="1">Common_InputFunctions.Utility_DisplayArrayInTable(Common_SourceData.Common_SourceData_TemperatureZones_Data(),Table_SourceData_TemperatureZones[[#Headers],[Temperature Zone]],0)</calculatedColumnFormula>
    </tableColumn>
    <tableColumn id="4" xr3:uid="{CE0C0D38-37FF-481A-9FB9-827AA8CD7F86}"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7E81831-5117-4090-8BF7-5BEFD02F9294}"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7427149-E8ED-4BC1-AEB7-88F0CC97E9DB}" name="Rainfall Zone">
      <calculatedColumnFormula array="1">Common_InputFunctions.Utility_DisplayArrayInTable(Common_SourceData.Common_SourceData_RainfallZones_Data(),Table_SourceData_RainfallZones[[#Headers],[Rainfall Zone]],0)</calculatedColumnFormula>
    </tableColumn>
    <tableColumn id="2" xr3:uid="{81706516-3381-4116-99E4-C08301492CE2}" name="Annual rainfall">
      <calculatedColumnFormula array="1">Common_InputFunctions.Utility_DisplayArrayInTable(Common_SourceData.Common_SourceData_RainfallZones_Data(),Table_SourceData_RainfallZones[[#Headers],[Rainfall Zone]],0)</calculatedColumnFormula>
    </tableColumn>
    <tableColumn id="3" xr3:uid="{7BD63AA6-3FB3-4581-86D4-EE2C3CEBB7AC}" name="Min rainfall">
      <calculatedColumnFormula array="1">Common_InputFunctions.Utility_DisplayArrayInTable(Common_SourceData.Common_SourceData_RainfallZones_Data(),Table_SourceData_RainfallZones[[#Headers],[Rainfall Zone]],0)</calculatedColumnFormula>
    </tableColumn>
    <tableColumn id="4" xr3:uid="{C0567C99-BC40-42B5-889D-DAEECBD90DE5}"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0086F55-DE85-4F7D-8526-BE62523F581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927CE5D0-E1EA-4DB3-A493-2EC5AEB4703D}" name="Leaching Zone">
      <calculatedColumnFormula array="1">Common_InputFunctions.Utility_DisplayArrayInTable(Common_SourceData.Common_SourceData_LeachingZones_Data(), Table_SourceData_LeachingZones[[#Headers],[Leaching Zone]], 0)</calculatedColumnFormula>
    </tableColumn>
    <tableColumn id="2" xr3:uid="{D8E6DC6E-BECE-44EF-B523-A58739CC0766}"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65EAD74-4B83-4097-9BDE-7556255EDAF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43831C4-1539-4B53-B4AD-9B4B6F6F16C7}" name="Data source">
      <calculatedColumnFormula array="1">Common_InputFunctions.Utility_DisplayArrayInTable(Common_SourceData.Common_SourceData_DataScores_Scope3_Data(), Table_SourceData_DataScores_Scope3[[#Headers],[Data source]], 0)</calculatedColumnFormula>
    </tableColumn>
    <tableColumn id="2" xr3:uid="{F78C92C4-8776-468E-83A7-F98862DA41B8}"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EF81CC99-EAC1-40C9-8D7E-9168752371DC}" name="Table_SourceData_FracWET" displayName="Table_SourceData_FracWET" ref="D134:E136" totalsRowShown="0">
  <autoFilter ref="D134:E136" xr:uid="{308E99BE-FE1F-47A4-B2CA-97217277C4E9}">
    <filterColumn colId="0" hiddenButton="1"/>
    <filterColumn colId="1" hiddenButton="1"/>
  </autoFilter>
  <tableColumns count="2">
    <tableColumn id="1" xr3:uid="{F32063F1-EC88-4F0F-8F0A-B391307FF85C}" name="Is in leaching zone">
      <calculatedColumnFormula array="1">Common_InputFunctions.Utility_DisplayArrayInTable(Common_SourceData.Common_SourceData_FracWET_Data(),Table_SourceData_FracWET[[#Headers],[Is in leaching zone]],0)</calculatedColumnFormula>
    </tableColumn>
    <tableColumn id="2" xr3:uid="{09F091BD-97D5-43A1-8BB9-00012C759188}" name="FracWET" dataDxfId="17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2680C3E-4B2E-49D0-BACF-C2E6D85E3F12}"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F004299-C7F5-47A6-B260-7F03DF27BA88}" name="Production system j">
      <calculatedColumnFormula array="1">Common_InputFunctions.Utility_DisplayArrayInTable(Common_SourceData.Common_SourceData_EFN2O_Data(), Table_SourceData_Common_EFN2O[[#Headers],[Production system j]], 0)</calculatedColumnFormula>
    </tableColumn>
    <tableColumn id="2" xr3:uid="{36A09B2D-C9D2-445D-AB07-5C85F8BF1D35}" name="EFN2O">
      <calculatedColumnFormula array="1">Common_InputFunctions.Utility_DisplayArrayInTable(Common_SourceData.Common_SourceData_EFN2O_Data(), Table_SourceData_Common_EFN2O[[#Headers],[Production system j]], 0)</calculatedColumnFormula>
    </tableColumn>
    <tableColumn id="3" xr3:uid="{DFD45054-FFD9-4A71-A7AE-17A809E0600D}" name="Production system only">
      <calculatedColumnFormula array="1">Common_InputFunctions.Utility_DisplayArrayInTable(Common_SourceData.Common_SourceData_EFN2O_Data(), Table_SourceData_Common_EFN2O[[#Headers],[Production system j]], 0)</calculatedColumnFormula>
    </tableColumn>
    <tableColumn id="4" xr3:uid="{E8477363-F8DF-4E44-85E9-468E6D6380D2}" name="Irrigation method">
      <calculatedColumnFormula array="1">Common_InputFunctions.Utility_DisplayArrayInTable(Common_SourceData.Common_SourceData_EFN2O_Data(), Table_SourceData_Common_EFN2O[[#Headers],[Production system j]], 0)</calculatedColumnFormula>
    </tableColumn>
    <tableColumn id="5" xr3:uid="{2CFFE5DA-1518-4535-899F-2A441D32C481}"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685A0BD2-14AC-47A4-A7AF-D9C28AEE7B48}"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E46B9AA9-CD98-409A-BD73-434C4F5F1023}" name="Irrigation type i">
      <calculatedColumnFormula array="1">Common_InputFunctions.Utility_DisplayArrayInTable(Common_SourceData.Common_SourceData_FracWETIrrigation_Data(), Table_SourceData_FracWETIrrigation[[#Headers],[Irrigation type i]], 0)</calculatedColumnFormula>
    </tableColumn>
    <tableColumn id="2" xr3:uid="{1D68E429-9D7F-421A-9CCF-668294663360}" name="FracWET" dataDxfId="17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10042AE-3EB0-4D68-898F-6C5816D107EE}"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982EDB4D-37AD-4BC8-9C9A-CC6FEF117D77}"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2672EC2F-8C4B-4AFF-A1E4-BE047C616172}" name="EFPRP" dataDxfId="17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484DE43-0F81-478C-97BA-CC8374389BA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EA26847-8B3D-4DF4-8ADE-78E4EC630C5A}" name="Month">
      <calculatedColumnFormula array="1">Common_InputFunctions.Utility_DisplayArrayInTable(Common_SourceData.Common_SourceData_MonthsToSeasons_Data(), Table_SourceData_Common_MonthToSeason[[#Headers],[Month]], 0)</calculatedColumnFormula>
    </tableColumn>
    <tableColumn id="2" xr3:uid="{B705B015-0041-4AD0-9029-1863E16227A8}" name="Season" dataDxfId="17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924471B-5177-4414-BE7A-49BBFED20B4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8DEEF8A-EC35-471D-89A0-A6BA1F7A541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79B7AC7-3F7E-49D8-B01B-A1C3EB4912C4}" name="MAT (ºC)" dataDxfId="17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FBE4CE2D-2FE2-47DC-B6BD-DE03D82C861E}" name="Anaerobic lagoon" dataDxfId="17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2716FB8-8AA0-4D71-9B6C-49CD860DA800}" name="Digester / covered lagoons" dataDxfId="16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0E699B1-A897-4C7C-9053-14F92CB09765}" name="Liquid systems" dataDxfId="16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DC26D90F-586A-4313-9D17-EA3F60F99D2E}" name="Daily spread" dataDxfId="16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23E660D-A90B-49D4-AD7B-781A673A8FD5}" name="Composting (passive windrow)" dataDxfId="16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816A1A7-44B7-45E9-91D9-4739F51D9FC6}" name="Solid storage" dataDxfId="16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04D1E3F-F230-4E26-9BED-D398A2E5CAA9}" name="Pit storage" dataDxfId="16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C8450748-AF1A-42C8-9336-0130FD209D15}" name="Deep litter" dataDxfId="16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932D931-70D8-448F-80B2-93723DE26EAC}" name="Poultry manure with bedding" dataDxfId="16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5CFC33E-60D4-4A44-8150-8CFDA042CE5C}" name="Poultry manure without bedding" dataDxfId="16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4983848-F85A-43D7-819D-147BD613425F}" name="Direct processing" dataDxfId="16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A13CFBF4-3E47-4442-8228-E9B7F32619AA}" name="Direct application" dataDxfId="1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D7D115C9-47BF-454F-BD88-0F416A297DB5}" name="Pasture range and paddock" dataDxfId="1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21599500-9827-47B6-AFE3-FE282D0DD776}" name="MAT raw" dataDxfId="1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7C1E6FA-DC54-45F2-950D-3354F6DA5C8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1C74287-9A68-47DF-9071-644BE837B8EF}"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E5944139-C90F-4A21-812E-0B5FDA4DDA26}" name="EFNi &amp; EFN2Oi" dataDxfId="15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29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12.xml"/><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table" Target="../tables/table6.xml"/><Relationship Id="rId1" Type="http://schemas.openxmlformats.org/officeDocument/2006/relationships/table" Target="../tables/table5.xml"/><Relationship Id="rId6" Type="http://schemas.openxmlformats.org/officeDocument/2006/relationships/table" Target="../tables/table10.xml"/><Relationship Id="rId11" Type="http://schemas.openxmlformats.org/officeDocument/2006/relationships/table" Target="../tables/table15.xml"/><Relationship Id="rId5" Type="http://schemas.openxmlformats.org/officeDocument/2006/relationships/table" Target="../tables/table9.xml"/><Relationship Id="rId10" Type="http://schemas.openxmlformats.org/officeDocument/2006/relationships/table" Target="../tables/table14.xml"/><Relationship Id="rId4" Type="http://schemas.openxmlformats.org/officeDocument/2006/relationships/table" Target="../tables/table8.xml"/><Relationship Id="rId9"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3.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2" t="e" vm="1">
        <v>#VALUE!</v>
      </c>
      <c r="C1" s="171" t="s">
        <v>305</v>
      </c>
      <c r="D1" s="172"/>
      <c r="E1" s="172"/>
      <c r="F1" s="172"/>
      <c r="G1" s="172"/>
      <c r="H1" s="172"/>
      <c r="I1" s="172"/>
      <c r="J1" s="172"/>
      <c r="K1" s="172"/>
      <c r="L1" s="172"/>
      <c r="M1" s="172"/>
      <c r="N1" s="172"/>
      <c r="O1" s="172"/>
      <c r="P1" s="172"/>
      <c r="Q1" s="172"/>
      <c r="R1" s="172"/>
      <c r="S1" s="172"/>
      <c r="T1" s="172"/>
      <c r="U1" s="172"/>
      <c r="V1" s="172"/>
      <c r="W1" s="172"/>
      <c r="X1" s="172"/>
      <c r="Y1" s="172"/>
      <c r="Z1" s="172"/>
      <c r="AA1" s="172"/>
      <c r="AB1" s="172"/>
      <c r="AC1" s="172"/>
      <c r="AD1" s="172"/>
      <c r="AE1" s="172"/>
      <c r="AF1" s="172"/>
      <c r="AG1" s="172"/>
      <c r="AH1" s="172"/>
      <c r="AI1" s="172"/>
      <c r="AJ1" s="172"/>
      <c r="AK1" s="172"/>
      <c r="AL1" s="172"/>
      <c r="AM1" s="172"/>
      <c r="AN1" s="172"/>
      <c r="AO1" s="172"/>
    </row>
    <row r="2" spans="1:42" ht="20.100000000000001" customHeight="1" x14ac:dyDescent="0.25">
      <c r="A2" s="9"/>
      <c r="C2" s="172"/>
      <c r="D2" s="172"/>
      <c r="E2" s="172"/>
      <c r="F2" s="172"/>
      <c r="G2" s="172"/>
      <c r="H2" s="172"/>
      <c r="I2" s="172"/>
      <c r="J2" s="172"/>
      <c r="K2" s="172"/>
      <c r="L2" s="172"/>
      <c r="M2" s="172"/>
      <c r="N2" s="172"/>
      <c r="O2" s="172"/>
      <c r="P2" s="172"/>
      <c r="Q2" s="172"/>
      <c r="R2" s="172"/>
      <c r="S2" s="172"/>
      <c r="T2" s="172"/>
      <c r="U2" s="172"/>
      <c r="V2" s="172"/>
      <c r="W2" s="172"/>
      <c r="X2" s="172"/>
      <c r="Y2" s="172"/>
      <c r="Z2" s="172"/>
      <c r="AA2" s="172"/>
      <c r="AB2" s="172"/>
      <c r="AC2" s="172"/>
      <c r="AD2" s="172"/>
      <c r="AE2" s="172"/>
      <c r="AF2" s="172"/>
      <c r="AG2" s="172"/>
      <c r="AH2" s="172"/>
      <c r="AI2" s="172"/>
      <c r="AJ2" s="172"/>
      <c r="AK2" s="172"/>
      <c r="AL2" s="172"/>
      <c r="AM2" s="172"/>
      <c r="AN2" s="172"/>
      <c r="AO2" s="172"/>
      <c r="AP2" s="173"/>
    </row>
    <row r="3" spans="1:42" ht="20.100000000000001" customHeight="1" x14ac:dyDescent="0.25">
      <c r="A3" s="17" t="str">
        <f>HYPERLINK("#'Home'!A1", "Home")</f>
        <v>Home</v>
      </c>
      <c r="C3" s="174"/>
      <c r="D3" s="174"/>
      <c r="E3" s="174"/>
      <c r="F3" s="174"/>
      <c r="G3" s="174"/>
      <c r="H3" s="174"/>
      <c r="I3" s="174"/>
      <c r="J3" s="174"/>
      <c r="K3" s="174"/>
      <c r="L3" s="174"/>
      <c r="M3" s="174"/>
      <c r="N3" s="174"/>
      <c r="O3" s="174"/>
      <c r="P3" s="174"/>
      <c r="Q3" s="174"/>
      <c r="R3" s="174"/>
      <c r="S3" s="174"/>
      <c r="T3" s="174"/>
      <c r="U3" s="174"/>
      <c r="V3" s="174"/>
      <c r="W3" s="174"/>
      <c r="X3" s="174"/>
      <c r="Y3" s="174"/>
      <c r="Z3" s="174"/>
      <c r="AA3" s="174"/>
      <c r="AB3" s="174"/>
      <c r="AC3" s="174"/>
      <c r="AD3" s="174"/>
      <c r="AE3" s="174"/>
      <c r="AF3" s="174"/>
      <c r="AG3" s="174"/>
      <c r="AH3" s="174"/>
      <c r="AI3" s="174"/>
      <c r="AJ3" s="174"/>
      <c r="AK3" s="174"/>
      <c r="AL3" s="174"/>
      <c r="AM3" s="174"/>
      <c r="AN3" s="174"/>
      <c r="AO3" s="174"/>
    </row>
    <row r="4" spans="1:42" ht="20.100000000000001" customHeight="1" x14ac:dyDescent="0.25">
      <c r="A4" s="109" t="str">
        <f>HYPERLINK("#'Overview'!A1", "Overview")</f>
        <v>Overview</v>
      </c>
    </row>
    <row r="5" spans="1:42" ht="20.100000000000001" customHeight="1" x14ac:dyDescent="0.25">
      <c r="A5" s="17" t="str">
        <f>HYPERLINK("#'Results'!A1", "Results")</f>
        <v>Results</v>
      </c>
      <c r="D5" s="106" t="s">
        <v>307</v>
      </c>
      <c r="E5" s="85"/>
      <c r="F5" s="85"/>
      <c r="G5" s="85"/>
      <c r="H5" s="85"/>
      <c r="I5" s="85"/>
      <c r="J5" s="85"/>
      <c r="K5" s="85"/>
      <c r="L5" s="85"/>
      <c r="M5" s="85"/>
      <c r="N5" s="85"/>
      <c r="O5" s="81"/>
    </row>
    <row r="6" spans="1:42" ht="20.100000000000001" customHeight="1" x14ac:dyDescent="0.25">
      <c r="A6" s="16"/>
      <c r="D6" s="175" t="s">
        <v>308</v>
      </c>
      <c r="E6" s="84"/>
      <c r="F6" s="84"/>
      <c r="G6" s="84"/>
      <c r="H6" s="84"/>
      <c r="I6" s="84"/>
      <c r="J6" s="84"/>
      <c r="K6" s="84"/>
      <c r="L6" s="84"/>
      <c r="M6" s="84"/>
      <c r="N6" s="84"/>
      <c r="O6" s="82"/>
    </row>
    <row r="7" spans="1:42" ht="20.100000000000001" customHeight="1" x14ac:dyDescent="0.25">
      <c r="A7" s="20" t="s">
        <v>1</v>
      </c>
    </row>
    <row r="8" spans="1:42" ht="20.100000000000001" customHeight="1" x14ac:dyDescent="0.25">
      <c r="A8" s="17" t="str">
        <f>HYPERLINK("#'Input - Site'!A1", "Site")</f>
        <v>Site</v>
      </c>
    </row>
    <row r="9" spans="1:42" ht="20.100000000000001" customHeight="1" x14ac:dyDescent="0.25">
      <c r="A9" s="17" t="str">
        <f>HYPERLINK("#'Input - Fertiliser'!A1", "Fertiliser")</f>
        <v>Fertiliser</v>
      </c>
    </row>
    <row r="10" spans="1:42" ht="20.100000000000001" customHeight="1" x14ac:dyDescent="0.25">
      <c r="A10" s="17"/>
    </row>
    <row r="11" spans="1:42" ht="20.100000000000001" customHeight="1" x14ac:dyDescent="0.25">
      <c r="A11" s="19" t="s">
        <v>68</v>
      </c>
    </row>
    <row r="12" spans="1:42" ht="20.100000000000001" customHeight="1" x14ac:dyDescent="0.25">
      <c r="A12" s="17" t="str">
        <f>HYPERLINK("#'5.1.1.1-2 Inorganic Fert N2O'!A1", "5.1.1.1-2 Inorganic Fert N2O")</f>
        <v>5.1.1.1-2 Inorganic Fert N2O</v>
      </c>
    </row>
    <row r="13" spans="1:42" ht="20.100000000000001" customHeight="1" x14ac:dyDescent="0.25">
      <c r="A13" s="17" t="str">
        <f>HYPERLINK("#'5.1.1.3-4 Inorganic fert CO2'!A1", "5.1.1.3-4 Inorganic fert CO2")</f>
        <v>5.1.1.3-4 Inorganic fert CO2</v>
      </c>
    </row>
    <row r="14" spans="1:42" ht="20.100000000000001" customHeight="1" x14ac:dyDescent="0.25">
      <c r="A14" s="17" t="str">
        <f>HYPERLINK("#'5.2.1.1-2 Organic Fert N2O'!A1", "5.2.1.1-2 Organic Fert N2O")</f>
        <v>5.2.1.1-2 Organic Fert N2O</v>
      </c>
    </row>
    <row r="15" spans="1:42" ht="20.100000000000001" customHeight="1" x14ac:dyDescent="0.25">
      <c r="A15" s="17" t="str">
        <f>HYPERLINK("#'5.3.1.1-2 Lime CO2'!A1", "5.3.1.1-2 Lime CO2")</f>
        <v>5.3.1.1-2 Lime CO2</v>
      </c>
    </row>
    <row r="16" spans="1:42" ht="20.100000000000001" customHeight="1" x14ac:dyDescent="0.25">
      <c r="A16" s="17" t="str">
        <f>HYPERLINK("#'5.4.1.1-4 Atmos deposition'!A1", "5.4.1.1-4 Atmos deposition")</f>
        <v>5.4.1.1-4 Atmos deposition</v>
      </c>
    </row>
    <row r="17" spans="1:1" ht="20.100000000000001" customHeight="1" x14ac:dyDescent="0.25">
      <c r="A17" s="17" t="str">
        <f>HYPERLINK("#'5.5.1.1-2 Leaching and runoff'!A1", "5.5.1.1-2 Leaching and runoff")</f>
        <v>5.5.1.1-2 Leaching and runoff</v>
      </c>
    </row>
    <row r="18" spans="1:1" ht="20.100000000000001" customHeight="1" x14ac:dyDescent="0.25"/>
    <row r="19" spans="1:1" ht="20.100000000000001" customHeight="1" x14ac:dyDescent="0.25">
      <c r="A19" s="18" t="s">
        <v>2</v>
      </c>
    </row>
    <row r="20" spans="1:1" ht="20.100000000000001" customHeight="1" x14ac:dyDescent="0.25">
      <c r="A20" s="17" t="str">
        <f>HYPERLINK("#'Constants - Fertiliser'!A1", "Constants - Fertiliser")</f>
        <v>Constants - Fertiliser</v>
      </c>
    </row>
    <row r="21" spans="1:1" ht="20.100000000000001" customHeight="1" x14ac:dyDescent="0.25">
      <c r="A21" s="17" t="str">
        <f>HYPERLINK("#'Constants - Common'!A1", "Constants - Common")</f>
        <v>Constants - Common</v>
      </c>
    </row>
    <row r="22" spans="1:1" ht="20.100000000000001" customHeight="1" x14ac:dyDescent="0.25"/>
    <row r="23" spans="1:1" ht="20.100000000000001" customHeight="1" x14ac:dyDescent="0.25">
      <c r="A23" s="17"/>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302</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303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D19" sqref="D19"/>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2" t="e" vm="1">
        <v>#VALUE!</v>
      </c>
      <c r="C1" s="171" t="s">
        <v>306</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09" t="str">
        <f>HYPERLINK("#'Results'!A1", "Results")</f>
        <v>Results</v>
      </c>
      <c r="C5" s="22"/>
      <c r="D5" s="26"/>
      <c r="E5" s="27"/>
      <c r="F5" s="27"/>
      <c r="G5" s="27"/>
      <c r="H5" s="24"/>
      <c r="I5" s="22"/>
      <c r="J5" s="22"/>
      <c r="K5" s="22"/>
    </row>
    <row r="6" spans="1:11" ht="20.100000000000001" customHeight="1" x14ac:dyDescent="0.25">
      <c r="A6" s="16"/>
      <c r="C6" s="22"/>
      <c r="D6" s="21" t="s">
        <v>301</v>
      </c>
      <c r="E6" s="22"/>
      <c r="F6" s="22"/>
      <c r="G6" s="22"/>
      <c r="H6" s="22"/>
      <c r="I6" s="22"/>
      <c r="J6" s="22"/>
      <c r="K6" s="22"/>
    </row>
    <row r="7" spans="1:11" ht="20.100000000000001" customHeight="1" x14ac:dyDescent="0.25">
      <c r="A7" s="20" t="s">
        <v>1</v>
      </c>
      <c r="C7" s="22"/>
      <c r="D7" s="22"/>
      <c r="E7" s="22"/>
      <c r="F7" s="22"/>
      <c r="G7" s="22"/>
      <c r="H7" s="22"/>
      <c r="I7" s="22"/>
      <c r="J7" s="22"/>
      <c r="K7" s="22"/>
    </row>
    <row r="8" spans="1:11" ht="20.100000000000001" customHeight="1" x14ac:dyDescent="0.25">
      <c r="A8" s="17" t="str">
        <f>HYPERLINK("#'Input - Site'!A1", "Site")</f>
        <v>Site</v>
      </c>
      <c r="C8" s="22"/>
      <c r="D8" s="104" t="s">
        <v>81</v>
      </c>
      <c r="E8" s="104" t="s">
        <v>94</v>
      </c>
      <c r="F8" s="104" t="s">
        <v>95</v>
      </c>
      <c r="G8" s="104" t="s">
        <v>88</v>
      </c>
      <c r="H8" s="104" t="s">
        <v>96</v>
      </c>
      <c r="I8" s="104" t="s">
        <v>97</v>
      </c>
      <c r="J8" s="104" t="s">
        <v>89</v>
      </c>
      <c r="K8" s="22"/>
    </row>
    <row r="9" spans="1:11" ht="20.100000000000001" customHeight="1" x14ac:dyDescent="0.25">
      <c r="A9" s="17" t="str">
        <f>HYPERLINK("#'Input - Fertiliser'!A1", "Fertiliser")</f>
        <v>Fertiliser</v>
      </c>
      <c r="C9" s="22"/>
      <c r="D9" s="1" t="s">
        <v>294</v>
      </c>
      <c r="E9" s="170">
        <f>'5.1.1.1-2 Inorganic fert N2O'!$E$80</f>
        <v>2.8771071997800001E-2</v>
      </c>
      <c r="F9" s="170">
        <f>'5.1.1.1-2 Inorganic fert N2O'!$N$88</f>
        <v>2.6897199997799999E-2</v>
      </c>
      <c r="G9" s="52" t="s">
        <v>100</v>
      </c>
      <c r="H9" s="102">
        <f>'5.1.1.1-2 Inorganic fert N2O'!E85</f>
        <v>7.6243340794170003</v>
      </c>
      <c r="I9" s="102">
        <f>'5.1.1.1-2 Inorganic fert N2O'!N93</f>
        <v>7.1277579994169997</v>
      </c>
      <c r="J9" s="52" t="s">
        <v>92</v>
      </c>
      <c r="K9" s="22"/>
    </row>
    <row r="10" spans="1:11" ht="20.100000000000001" customHeight="1" x14ac:dyDescent="0.25">
      <c r="A10" s="17"/>
      <c r="C10" s="22"/>
      <c r="D10" s="1" t="s">
        <v>295</v>
      </c>
      <c r="E10" s="170">
        <f>'5.1.1.3-4 Inorganic fert CO2'!$E$78</f>
        <v>0.38260869533333336</v>
      </c>
      <c r="F10" s="170">
        <f>E10</f>
        <v>0.38260869533333336</v>
      </c>
      <c r="G10" s="52" t="s">
        <v>259</v>
      </c>
      <c r="H10" s="102">
        <f>'5.1.1.3-4 Inorganic fert CO2'!$E$78</f>
        <v>0.38260869533333336</v>
      </c>
      <c r="I10" s="102">
        <f>H10</f>
        <v>0.38260869533333336</v>
      </c>
      <c r="J10" s="52" t="s">
        <v>92</v>
      </c>
      <c r="K10" s="22"/>
    </row>
    <row r="11" spans="1:11" ht="20.100000000000001" customHeight="1" x14ac:dyDescent="0.25">
      <c r="A11" s="19" t="s">
        <v>68</v>
      </c>
      <c r="C11" s="22"/>
      <c r="D11" s="1" t="s">
        <v>296</v>
      </c>
      <c r="E11" s="170">
        <f>'5.2.1.1-2 Organic Fert N2O'!$E$50</f>
        <v>4.3214285714285715E-3</v>
      </c>
      <c r="F11" s="170">
        <f>E11</f>
        <v>4.3214285714285715E-3</v>
      </c>
      <c r="G11" s="52" t="s">
        <v>100</v>
      </c>
      <c r="H11" s="102">
        <f>'5.2.1.1-2 Organic Fert N2O'!$E$55</f>
        <v>1.1451785714285714</v>
      </c>
      <c r="I11" s="102">
        <f>H11</f>
        <v>1.1451785714285714</v>
      </c>
      <c r="J11" s="52" t="s">
        <v>92</v>
      </c>
      <c r="K11" s="22"/>
    </row>
    <row r="12" spans="1:11" ht="20.100000000000001" customHeight="1" x14ac:dyDescent="0.25">
      <c r="A12" s="17" t="str">
        <f>HYPERLINK("#'5.1.1.1-2 Inorganic Fert N2O'!A1", "5.1.1.1-2 Inorganic Fert N2O")</f>
        <v>5.1.1.1-2 Inorganic Fert N2O</v>
      </c>
      <c r="C12" s="22"/>
      <c r="D12" s="1" t="s">
        <v>297</v>
      </c>
      <c r="E12" s="170">
        <f>'5.3.1.1-2 Lime CO2'!$E$31</f>
        <v>79.2</v>
      </c>
      <c r="F12" s="170">
        <f>E12</f>
        <v>79.2</v>
      </c>
      <c r="G12" s="52" t="s">
        <v>259</v>
      </c>
      <c r="H12" s="102">
        <f>'5.3.1.1-2 Lime CO2'!$E$31</f>
        <v>79.2</v>
      </c>
      <c r="I12" s="102">
        <f>H12</f>
        <v>79.2</v>
      </c>
      <c r="J12" s="52" t="s">
        <v>92</v>
      </c>
      <c r="K12" s="22"/>
    </row>
    <row r="13" spans="1:11" ht="20.100000000000001" customHeight="1" x14ac:dyDescent="0.25">
      <c r="A13" s="17" t="str">
        <f>HYPERLINK("#'5.1.1.3-4 Inorganic fert CO2'!A1", "5.1.1.3-4 Inorganic fert CO2")</f>
        <v>5.1.1.3-4 Inorganic fert CO2</v>
      </c>
      <c r="C13" s="22"/>
      <c r="D13" s="1" t="s">
        <v>298</v>
      </c>
      <c r="E13" s="170">
        <f>'5.4.1.1-4 Atmos deposition'!E79 + '5.4.1.1-4 Atmos deposition'!$E$146</f>
        <v>3.1991607996699999E-3</v>
      </c>
      <c r="F13" s="170">
        <f>E13</f>
        <v>3.1991607996699999E-3</v>
      </c>
      <c r="G13" s="52" t="s">
        <v>100</v>
      </c>
      <c r="H13" s="102">
        <f>'5.4.1.1-4 Atmos deposition'!E84 + '5.4.1.1-4 Atmos deposition'!$E$151</f>
        <v>0.84777761191254997</v>
      </c>
      <c r="I13" s="102">
        <f>H13</f>
        <v>0.84777761191254997</v>
      </c>
      <c r="J13" s="52" t="s">
        <v>92</v>
      </c>
      <c r="K13" s="22"/>
    </row>
    <row r="14" spans="1:11" ht="20.100000000000001" customHeight="1" x14ac:dyDescent="0.25">
      <c r="A14" s="17" t="str">
        <f>HYPERLINK("#'5.2.1.1-2 Organic Fert N2O'!A1", "5.2.1.1-2 Organic Fert N2O")</f>
        <v>5.2.1.1-2 Organic Fert N2O</v>
      </c>
      <c r="C14" s="22"/>
      <c r="D14" s="1" t="s">
        <v>299</v>
      </c>
      <c r="E14" s="170">
        <f>'5.5.1.1-2 Leaching and runoff'!$E$94</f>
        <v>0</v>
      </c>
      <c r="F14" s="170">
        <f>E14</f>
        <v>0</v>
      </c>
      <c r="G14" s="52" t="s">
        <v>100</v>
      </c>
      <c r="H14" s="102">
        <f>'5.5.1.1-2 Leaching and runoff'!$E$99</f>
        <v>0</v>
      </c>
      <c r="I14" s="102">
        <f>H14</f>
        <v>0</v>
      </c>
      <c r="J14" s="52" t="s">
        <v>92</v>
      </c>
      <c r="K14" s="22"/>
    </row>
    <row r="15" spans="1:11" ht="20.100000000000001" customHeight="1" x14ac:dyDescent="0.3">
      <c r="A15" s="17" t="str">
        <f>HYPERLINK("#'5.3.1.1-2 Lime CO2'!A1", "5.3.1.1-2 Lime CO2")</f>
        <v>5.3.1.1-2 Lime CO2</v>
      </c>
      <c r="C15" s="22"/>
      <c r="D15" s="29" t="s">
        <v>87</v>
      </c>
      <c r="E15" s="23"/>
      <c r="F15" s="23"/>
      <c r="G15" s="29"/>
      <c r="H15" s="103">
        <f>SUM(H9:H14)</f>
        <v>89.199898958091453</v>
      </c>
      <c r="I15" s="103">
        <f>SUM(I9:I14)</f>
        <v>88.703322878091456</v>
      </c>
      <c r="J15" s="98" t="s">
        <v>92</v>
      </c>
      <c r="K15" s="22"/>
    </row>
    <row r="16" spans="1:11" ht="20.100000000000001" customHeight="1" x14ac:dyDescent="0.25">
      <c r="A16" s="17" t="str">
        <f>HYPERLINK("#'5.4.1.1-4 Atmos deposition'!A1", "5.4.1.1-4 Atmos deposition")</f>
        <v>5.4.1.1-4 Atmos deposition</v>
      </c>
      <c r="C16" s="22"/>
      <c r="D16" s="99"/>
      <c r="E16" s="99"/>
      <c r="F16" s="99"/>
      <c r="G16" s="99"/>
      <c r="H16" s="99"/>
      <c r="I16" s="99"/>
      <c r="J16" s="99"/>
      <c r="K16" s="22"/>
    </row>
    <row r="17" spans="1:11" ht="20.100000000000001" customHeight="1" x14ac:dyDescent="0.25">
      <c r="A17" s="17" t="str">
        <f>HYPERLINK("#'5.5.1.1-2 Leaching and runoff'!A1", "5.5.1.1-2 Leaching and runoff")</f>
        <v>5.5.1.1-2 Leaching and runoff</v>
      </c>
      <c r="C17" s="22"/>
      <c r="D17" s="99"/>
      <c r="E17" s="1"/>
      <c r="F17" s="1"/>
      <c r="G17" s="1"/>
      <c r="H17" s="1"/>
      <c r="I17" s="1"/>
      <c r="J17" s="22"/>
      <c r="K17" s="22"/>
    </row>
    <row r="18" spans="1:11" ht="20.100000000000001" customHeight="1" x14ac:dyDescent="0.25">
      <c r="C18" s="22"/>
      <c r="D18" s="107"/>
      <c r="E18" s="1"/>
      <c r="F18" s="1"/>
      <c r="G18" s="1"/>
      <c r="H18" s="1"/>
      <c r="I18" s="1"/>
      <c r="J18" s="22"/>
      <c r="K18" s="22"/>
    </row>
    <row r="19" spans="1:11" ht="20.100000000000001" customHeight="1" x14ac:dyDescent="0.25">
      <c r="A19" s="18" t="s">
        <v>2</v>
      </c>
      <c r="C19" s="22"/>
      <c r="D19" s="1"/>
      <c r="E19" s="1"/>
      <c r="F19" s="1"/>
      <c r="G19" s="1"/>
      <c r="H19" s="1"/>
      <c r="I19" s="1"/>
      <c r="J19" s="22"/>
      <c r="K19" s="22"/>
    </row>
    <row r="20" spans="1:11" ht="20.100000000000001" customHeight="1" x14ac:dyDescent="0.25">
      <c r="A20" s="17" t="str">
        <f>HYPERLINK("#'Constants - Fertiliser'!A1", "Constants - Fertiliser")</f>
        <v>Constants - Fertiliser</v>
      </c>
      <c r="C20" s="22"/>
      <c r="D20" s="1"/>
      <c r="E20" s="1"/>
      <c r="F20" s="1"/>
      <c r="G20" s="1"/>
      <c r="H20" s="1"/>
      <c r="I20" s="1"/>
      <c r="J20" s="22"/>
      <c r="K20" s="22"/>
    </row>
    <row r="21" spans="1:11" ht="20.100000000000001" customHeight="1" x14ac:dyDescent="0.25">
      <c r="A21" s="17" t="str">
        <f>HYPERLINK("#'Constants - Common'!A1", "Constants - Common")</f>
        <v>Constants - Common</v>
      </c>
      <c r="C21" s="22"/>
      <c r="D21" s="1"/>
      <c r="E21" s="105"/>
      <c r="F21" s="52"/>
      <c r="G21" s="1"/>
      <c r="H21" s="1"/>
      <c r="I21" s="22"/>
      <c r="J21" s="22"/>
      <c r="K21" s="22"/>
    </row>
    <row r="22" spans="1:11" ht="20.100000000000001" customHeight="1" x14ac:dyDescent="0.25">
      <c r="C22" s="22"/>
      <c r="D22" s="1"/>
      <c r="E22" s="105"/>
      <c r="F22" s="52"/>
      <c r="G22" s="1"/>
      <c r="H22" s="1"/>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1"/>
      <c r="J38" s="101"/>
      <c r="K38" s="22"/>
    </row>
    <row r="39" spans="3:11" ht="20.100000000000001" customHeight="1" x14ac:dyDescent="0.25">
      <c r="C39" s="22"/>
      <c r="D39" s="1"/>
      <c r="E39" s="1"/>
      <c r="F39" s="1"/>
      <c r="G39" s="1"/>
      <c r="H39" s="1"/>
      <c r="I39" s="101"/>
      <c r="J39" s="101"/>
      <c r="K39" s="22"/>
    </row>
    <row r="40" spans="3:11" ht="20.100000000000001" customHeight="1" x14ac:dyDescent="0.25">
      <c r="C40" s="22"/>
      <c r="D40" s="1"/>
      <c r="E40" s="1"/>
      <c r="F40" s="1"/>
      <c r="G40" s="1"/>
      <c r="H40" s="1"/>
      <c r="I40" s="101"/>
      <c r="J40" s="101"/>
      <c r="K40" s="22"/>
    </row>
    <row r="41" spans="3:11" ht="20.100000000000001" customHeight="1" x14ac:dyDescent="0.25">
      <c r="C41" s="22"/>
      <c r="D41" s="1"/>
      <c r="E41" s="1"/>
      <c r="F41" s="1"/>
      <c r="G41" s="1"/>
      <c r="H41" s="1"/>
      <c r="I41" s="101"/>
      <c r="J41" s="101"/>
      <c r="K41" s="22"/>
    </row>
    <row r="42" spans="3:11" ht="20.100000000000001" customHeight="1" x14ac:dyDescent="0.25">
      <c r="C42" s="22"/>
      <c r="D42" s="1"/>
      <c r="E42" s="1"/>
      <c r="F42" s="1"/>
      <c r="G42" s="1"/>
      <c r="H42" s="1"/>
      <c r="I42" s="101"/>
      <c r="J42" s="101"/>
      <c r="K42" s="22"/>
    </row>
    <row r="43" spans="3:11" ht="20.100000000000001" customHeight="1" x14ac:dyDescent="0.25">
      <c r="C43" s="22"/>
      <c r="D43" s="1"/>
      <c r="E43" s="1"/>
      <c r="F43" s="1"/>
      <c r="G43" s="1"/>
      <c r="H43" s="1"/>
      <c r="I43" s="101"/>
      <c r="J43" s="101"/>
      <c r="K43" s="22"/>
    </row>
    <row r="44" spans="3:11" ht="20.100000000000001" customHeight="1" x14ac:dyDescent="0.25">
      <c r="C44" s="22"/>
      <c r="D44" s="1"/>
      <c r="E44" s="1"/>
      <c r="F44" s="1"/>
      <c r="G44" s="1"/>
      <c r="H44" s="1"/>
      <c r="I44" s="101"/>
      <c r="J44" s="101"/>
      <c r="K44" s="22"/>
    </row>
    <row r="45" spans="3:11" ht="20.100000000000001" customHeight="1" x14ac:dyDescent="0.25">
      <c r="C45" s="22"/>
      <c r="D45" s="1"/>
      <c r="E45" s="1"/>
      <c r="F45" s="1"/>
      <c r="G45" s="1"/>
      <c r="H45" s="1"/>
      <c r="I45" s="101"/>
      <c r="J45" s="101"/>
      <c r="K45" s="22"/>
    </row>
    <row r="46" spans="3:11" ht="20.100000000000001" customHeight="1" x14ac:dyDescent="0.25">
      <c r="C46" s="22"/>
      <c r="D46" s="1"/>
      <c r="E46" s="1"/>
      <c r="F46" s="1"/>
      <c r="G46" s="1"/>
      <c r="H46" s="1"/>
      <c r="I46" s="101"/>
      <c r="J46" s="101"/>
      <c r="K46" s="22"/>
    </row>
    <row r="47" spans="3:11" ht="20.100000000000001" customHeight="1" x14ac:dyDescent="0.25">
      <c r="C47" s="22"/>
      <c r="D47" s="1"/>
      <c r="E47" s="1"/>
      <c r="F47" s="1"/>
      <c r="G47" s="1"/>
      <c r="H47" s="1"/>
      <c r="I47" s="101"/>
      <c r="J47" s="101"/>
      <c r="K47" s="22"/>
    </row>
    <row r="48" spans="3:11" ht="20.100000000000001" customHeight="1" x14ac:dyDescent="0.25">
      <c r="C48" s="22"/>
      <c r="D48" s="1"/>
      <c r="E48" s="1"/>
      <c r="F48" s="1"/>
      <c r="G48" s="1"/>
      <c r="H48" s="1"/>
      <c r="I48" s="101"/>
      <c r="J48" s="101"/>
      <c r="K48" s="22"/>
    </row>
    <row r="49" spans="3:11" ht="20.100000000000001" customHeight="1" x14ac:dyDescent="0.25">
      <c r="C49" s="22"/>
      <c r="D49" s="1"/>
      <c r="E49" s="1"/>
      <c r="F49" s="1"/>
      <c r="G49" s="1"/>
      <c r="H49" s="101"/>
      <c r="I49" s="101"/>
      <c r="J49" s="101"/>
      <c r="K49" s="22"/>
    </row>
    <row r="50" spans="3:11" ht="20.100000000000001" customHeight="1" x14ac:dyDescent="0.25">
      <c r="C50" s="22"/>
      <c r="D50" s="1"/>
      <c r="E50" s="1"/>
      <c r="F50" s="1"/>
      <c r="G50" s="1"/>
      <c r="H50" s="101"/>
      <c r="I50" s="101"/>
      <c r="J50" s="101"/>
      <c r="K50" s="22"/>
    </row>
    <row r="51" spans="3:11" ht="20.100000000000001" customHeight="1" x14ac:dyDescent="0.25">
      <c r="C51" s="22"/>
      <c r="D51" s="1"/>
      <c r="E51" s="1"/>
      <c r="F51" s="1"/>
      <c r="G51" s="1"/>
      <c r="H51" s="101"/>
      <c r="I51" s="101"/>
      <c r="J51" s="101"/>
      <c r="K51" s="22"/>
    </row>
    <row r="52" spans="3:11" ht="20.100000000000001" customHeight="1" x14ac:dyDescent="0.25">
      <c r="C52" s="22"/>
      <c r="D52" s="1"/>
      <c r="E52" s="1"/>
      <c r="F52" s="1"/>
      <c r="G52" s="1"/>
      <c r="H52" s="101"/>
      <c r="I52" s="101"/>
      <c r="J52" s="101"/>
      <c r="K52" s="22"/>
    </row>
    <row r="53" spans="3:11" ht="20.100000000000001" customHeight="1" x14ac:dyDescent="0.25">
      <c r="C53" s="22"/>
      <c r="D53" s="1"/>
      <c r="E53" s="1"/>
      <c r="F53" s="1"/>
      <c r="G53" s="1"/>
      <c r="H53" s="101"/>
      <c r="I53" s="101"/>
      <c r="J53" s="101"/>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opLeftCell="A10" zoomScaleNormal="100" workbookViewId="0">
      <selection activeCell="D23" sqref="D23:F3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2" t="e" vm="1">
        <v>#VALUE!</v>
      </c>
      <c r="C1" s="12" t="s">
        <v>71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3"/>
      <c r="D4" s="63"/>
      <c r="E4" s="63"/>
      <c r="F4" s="63"/>
      <c r="G4" s="63"/>
      <c r="H4" s="63"/>
      <c r="I4" s="63"/>
      <c r="J4" s="63"/>
      <c r="K4" s="63"/>
    </row>
    <row r="5" spans="1:24" ht="20.100000000000001" customHeight="1" x14ac:dyDescent="0.25">
      <c r="A5" s="17" t="str">
        <f>HYPERLINK("#'Results'!A1", "Results")</f>
        <v>Results</v>
      </c>
      <c r="D5" s="6" t="s">
        <v>13</v>
      </c>
      <c r="N5" s="40"/>
    </row>
    <row r="6" spans="1:24" ht="20.100000000000001" customHeight="1" x14ac:dyDescent="0.25">
      <c r="D6" s="14"/>
      <c r="N6" s="41"/>
    </row>
    <row r="7" spans="1:24" ht="20.100000000000001" customHeight="1" x14ac:dyDescent="0.25">
      <c r="A7" s="20" t="s">
        <v>1</v>
      </c>
      <c r="D7" s="1" t="s">
        <v>5</v>
      </c>
      <c r="E7" s="33" t="s">
        <v>4</v>
      </c>
      <c r="F7" s="2"/>
    </row>
    <row r="8" spans="1:24" ht="20.100000000000001" customHeight="1" x14ac:dyDescent="0.25">
      <c r="A8" s="108" t="str">
        <f>HYPERLINK("#'Input - Site'!A1", "Site")</f>
        <v>Site</v>
      </c>
      <c r="D8" s="10" t="s">
        <v>66</v>
      </c>
      <c r="E8" s="33" t="s">
        <v>67</v>
      </c>
    </row>
    <row r="9" spans="1:24" ht="20.100000000000001" customHeight="1" x14ac:dyDescent="0.25">
      <c r="A9" s="17" t="str">
        <f>HYPERLINK("#'Input - Fertiliser'!A1", "Fertiliser")</f>
        <v>Fertiliser</v>
      </c>
      <c r="N9" s="42"/>
    </row>
    <row r="10" spans="1:24" ht="20.100000000000001" customHeight="1" x14ac:dyDescent="0.25">
      <c r="A10" s="17"/>
      <c r="D10" s="88" t="s">
        <v>70</v>
      </c>
      <c r="E10" s="86"/>
      <c r="F10" s="89"/>
      <c r="G10" s="83"/>
      <c r="N10" s="42"/>
    </row>
    <row r="11" spans="1:24" ht="20.100000000000001" customHeight="1" x14ac:dyDescent="0.25">
      <c r="A11" s="19" t="s">
        <v>68</v>
      </c>
      <c r="N11" s="43"/>
    </row>
    <row r="12" spans="1:24" ht="20.100000000000001" customHeight="1" x14ac:dyDescent="0.25">
      <c r="A12" s="17" t="str">
        <f>HYPERLINK("#'5.1.1.1-2 Inorganic Fert N2O'!A1", "5.1.1.1-2 Inorganic Fert N2O")</f>
        <v>5.1.1.1-2 Inorganic Fert N2O</v>
      </c>
      <c r="D12" s="10" t="s">
        <v>76</v>
      </c>
      <c r="E12" s="60">
        <v>45292</v>
      </c>
      <c r="F12" s="2" t="s">
        <v>64</v>
      </c>
    </row>
    <row r="13" spans="1:24" ht="20.100000000000001" customHeight="1" x14ac:dyDescent="0.25">
      <c r="A13" s="17" t="str">
        <f>HYPERLINK("#'5.1.1.3-4 Inorganic fert CO2'!A1", "5.1.1.3-4 Inorganic fert CO2")</f>
        <v>5.1.1.3-4 Inorganic fert CO2</v>
      </c>
      <c r="D13" s="10" t="s">
        <v>77</v>
      </c>
      <c r="E13" s="64">
        <f>DATE(YEAR(E12)+1,MONTH(E12),DAY(E12))-1</f>
        <v>45657</v>
      </c>
      <c r="F13" s="2" t="s">
        <v>15</v>
      </c>
      <c r="N13" s="38"/>
      <c r="O13" s="38"/>
    </row>
    <row r="14" spans="1:24" ht="20.100000000000001" customHeight="1" x14ac:dyDescent="0.25">
      <c r="A14" s="17" t="str">
        <f>HYPERLINK("#'5.2.1.1-2 Organic Fert N2O'!A1", "5.2.1.1-2 Organic Fert N2O")</f>
        <v>5.2.1.1-2 Organic Fert N2O</v>
      </c>
      <c r="N14" s="38"/>
      <c r="O14" s="38"/>
    </row>
    <row r="15" spans="1:24" ht="20.100000000000001" customHeight="1" x14ac:dyDescent="0.25">
      <c r="A15" s="17" t="str">
        <f>HYPERLINK("#'5.3.1.1-2 Lime CO2'!A1", "5.3.1.1-2 Lime CO2")</f>
        <v>5.3.1.1-2 Lime CO2</v>
      </c>
      <c r="N15" s="38"/>
      <c r="O15" s="38"/>
    </row>
    <row r="16" spans="1:24" ht="20.100000000000001" customHeight="1" x14ac:dyDescent="0.25">
      <c r="A16" s="17" t="str">
        <f>HYPERLINK("#'5.4.1.1-4 Atmos deposition'!A1", "5.4.1.1-4 Atmos deposition")</f>
        <v>5.4.1.1-4 Atmos deposition</v>
      </c>
      <c r="D16" s="6" t="s">
        <v>12</v>
      </c>
      <c r="N16" s="38"/>
      <c r="O16" s="38"/>
    </row>
    <row r="17" spans="1:25" ht="20.100000000000001" customHeight="1" x14ac:dyDescent="0.25">
      <c r="A17" s="17" t="str">
        <f>HYPERLINK("#'5.5.1.1-2 Leaching and runoff'!A1", "5.5.1.1-2 Leaching and runoff")</f>
        <v>5.5.1.1-2 Leaching and runoff</v>
      </c>
    </row>
    <row r="18" spans="1:25" ht="20.100000000000001" customHeight="1" x14ac:dyDescent="0.25">
      <c r="A18"/>
      <c r="D18" s="90" t="s">
        <v>14</v>
      </c>
      <c r="E18" s="85"/>
      <c r="F18" s="85"/>
      <c r="G18" s="81"/>
    </row>
    <row r="19" spans="1:25" ht="20.100000000000001" customHeight="1" x14ac:dyDescent="0.25">
      <c r="A19" s="18" t="s">
        <v>2</v>
      </c>
      <c r="D19" s="87" t="s">
        <v>65</v>
      </c>
      <c r="E19" s="84"/>
      <c r="F19" s="84"/>
      <c r="G19" s="82"/>
      <c r="N19" s="40"/>
    </row>
    <row r="20" spans="1:25" ht="20.100000000000001" customHeight="1" x14ac:dyDescent="0.25">
      <c r="A20" s="17" t="str">
        <f>HYPERLINK("#'Constants - Fertiliser'!A1", "Constants - Fertiliser")</f>
        <v>Constants - Fertiliser</v>
      </c>
      <c r="D20" s="1"/>
      <c r="E20" s="31"/>
      <c r="F20" s="2"/>
      <c r="N20" s="41"/>
    </row>
    <row r="21" spans="1:25" ht="20.100000000000001" customHeight="1" x14ac:dyDescent="0.25">
      <c r="A21" s="17" t="str">
        <f>HYPERLINK("#'Constants - Common'!A1", "Constants - Common")</f>
        <v>Constants - Common</v>
      </c>
      <c r="D21" s="1" t="s">
        <v>6</v>
      </c>
      <c r="E21" s="39" t="s">
        <v>99</v>
      </c>
      <c r="F21" s="2" t="s">
        <v>9</v>
      </c>
    </row>
    <row r="22" spans="1:25" ht="20.100000000000001" customHeight="1" x14ac:dyDescent="0.25">
      <c r="A22"/>
      <c r="D22" s="1" t="s">
        <v>21</v>
      </c>
      <c r="E22" s="39" t="s">
        <v>29</v>
      </c>
      <c r="F22" s="2" t="s">
        <v>9</v>
      </c>
      <c r="G22" s="1"/>
    </row>
    <row r="23" spans="1:25" ht="20.100000000000001" customHeight="1" x14ac:dyDescent="0.25">
      <c r="A23" s="17"/>
      <c r="D23" s="1" t="s">
        <v>7</v>
      </c>
      <c r="E23" s="39" t="s">
        <v>75</v>
      </c>
      <c r="F23" s="2" t="s">
        <v>9</v>
      </c>
    </row>
    <row r="24" spans="1:25" ht="20.100000000000001" customHeight="1" x14ac:dyDescent="0.25">
      <c r="A24"/>
      <c r="D24" s="1" t="s">
        <v>34</v>
      </c>
      <c r="E24" s="33">
        <v>307.7</v>
      </c>
      <c r="F24" s="2" t="s">
        <v>48</v>
      </c>
    </row>
    <row r="25" spans="1:25" ht="20.100000000000001" customHeight="1" x14ac:dyDescent="0.25">
      <c r="A25"/>
      <c r="D25" s="1" t="s">
        <v>56</v>
      </c>
      <c r="E25" s="33">
        <v>18</v>
      </c>
      <c r="F25" s="2" t="s">
        <v>10</v>
      </c>
      <c r="N25" s="41"/>
    </row>
    <row r="26" spans="1:25" ht="20.100000000000001" customHeight="1" x14ac:dyDescent="0.25">
      <c r="A26"/>
      <c r="D26" s="1" t="s">
        <v>57</v>
      </c>
      <c r="E26" s="33">
        <v>599</v>
      </c>
      <c r="F26" s="2" t="s">
        <v>11</v>
      </c>
    </row>
    <row r="27" spans="1:25" ht="20.100000000000001" customHeight="1" x14ac:dyDescent="0.25">
      <c r="A27"/>
      <c r="D27" s="10" t="s">
        <v>58</v>
      </c>
      <c r="E27" s="33">
        <v>1326</v>
      </c>
      <c r="F27" s="2" t="s">
        <v>11</v>
      </c>
    </row>
    <row r="28" spans="1:25" ht="20.100000000000001" customHeight="1" x14ac:dyDescent="0.25">
      <c r="A28"/>
      <c r="D28" s="1" t="s">
        <v>59</v>
      </c>
      <c r="E28" s="33">
        <v>7</v>
      </c>
      <c r="F28" s="2" t="s">
        <v>49</v>
      </c>
    </row>
    <row r="29" spans="1:25" ht="20.100000000000001" customHeight="1" x14ac:dyDescent="0.25">
      <c r="A29"/>
      <c r="D29" s="10" t="s">
        <v>55</v>
      </c>
      <c r="E29" s="50">
        <f>E26/E27</f>
        <v>0.45173453996983409</v>
      </c>
      <c r="F29" s="2"/>
    </row>
    <row r="30" spans="1:25" ht="20.100000000000001" customHeight="1" x14ac:dyDescent="0.25">
      <c r="A30"/>
      <c r="D30" s="10" t="s">
        <v>30</v>
      </c>
      <c r="E30" s="50" t="str">
        <f>Common_InputFunctions.Utility_LookupItemFromMinMax(E26,Table_SourceData_RainfallZones[Min rainfall],Table_SourceData_RainfallZones[Max rainfall],Table_SourceData_RainfallZones[Rainfall Zone])</f>
        <v>Low rainfall</v>
      </c>
      <c r="G30" s="32"/>
      <c r="L30" s="47"/>
      <c r="M30" s="47"/>
      <c r="N30" s="47"/>
      <c r="O30" s="47"/>
      <c r="P30" s="47"/>
      <c r="Q30" s="47"/>
      <c r="R30" s="47"/>
      <c r="S30" s="47"/>
      <c r="T30" s="47"/>
      <c r="U30" s="47"/>
      <c r="V30" s="47"/>
      <c r="W30" s="47"/>
      <c r="X30" s="47"/>
      <c r="Y30" s="47"/>
    </row>
    <row r="31" spans="1:25" ht="20.100000000000001" customHeight="1" x14ac:dyDescent="0.25">
      <c r="A31"/>
      <c r="D31" s="1" t="s">
        <v>8</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5"/>
      <c r="M31" s="45"/>
      <c r="N31" s="45"/>
      <c r="O31" s="45"/>
      <c r="P31" s="45"/>
      <c r="Q31" s="45"/>
      <c r="R31" s="45"/>
      <c r="S31" s="45"/>
      <c r="T31" s="45"/>
      <c r="U31" s="45"/>
      <c r="V31" s="45"/>
      <c r="W31" s="45"/>
      <c r="X31" s="45"/>
      <c r="Y31" s="45"/>
    </row>
    <row r="32" spans="1:25" ht="20.100000000000001" customHeight="1" x14ac:dyDescent="0.25">
      <c r="A32"/>
      <c r="D32" s="1" t="s">
        <v>72</v>
      </c>
      <c r="E32" s="50" t="str">
        <f>Common_InputFunctions.Utility_LookupValueInTable($E$31,Table_SourceData_WetDryZones[Climate zone],Table_SourceData_WetDryZones[Wet or Dry Zone])</f>
        <v>Dry climate zone</v>
      </c>
      <c r="F32" s="1"/>
      <c r="G32" s="31"/>
      <c r="L32" s="45"/>
      <c r="M32" s="45"/>
      <c r="N32" s="45"/>
      <c r="O32" s="45"/>
      <c r="P32" s="45"/>
      <c r="Q32" s="45"/>
      <c r="R32" s="45"/>
      <c r="S32" s="45"/>
      <c r="T32" s="45"/>
      <c r="U32" s="45"/>
      <c r="V32" s="45"/>
      <c r="W32" s="45"/>
      <c r="X32" s="45"/>
      <c r="Y32" s="45"/>
    </row>
    <row r="33" spans="1:25" ht="20.100000000000001" customHeight="1" x14ac:dyDescent="0.25">
      <c r="A33"/>
      <c r="D33" s="1" t="s">
        <v>47</v>
      </c>
      <c r="E33" s="50" t="str">
        <f>Common_InputFunctions.Utility_LookupItemFromMinMax(E25,Table_SourceData_TemperatureZones[Min MAT],Table_SourceData_TemperatureZones[Max MAT],Table_SourceData_TemperatureZones[Temperature Zone])</f>
        <v>Temperate</v>
      </c>
      <c r="G33" s="65"/>
      <c r="L33" s="45"/>
      <c r="M33" s="45"/>
      <c r="N33" s="45"/>
      <c r="O33" s="45"/>
      <c r="P33" s="45"/>
      <c r="Q33" s="45"/>
      <c r="R33" s="45"/>
      <c r="S33" s="45"/>
      <c r="T33" s="45"/>
      <c r="U33" s="45"/>
      <c r="V33" s="45"/>
      <c r="W33" s="45"/>
      <c r="X33" s="45"/>
      <c r="Y33" s="45"/>
    </row>
    <row r="34" spans="1:25" ht="20.100000000000001" customHeight="1" x14ac:dyDescent="0.25">
      <c r="A34"/>
      <c r="J34" s="58"/>
      <c r="K34" s="68"/>
      <c r="L34" s="45"/>
      <c r="M34" s="45"/>
      <c r="N34" s="45"/>
      <c r="O34" s="45"/>
      <c r="P34" s="45"/>
      <c r="Q34" s="45"/>
      <c r="R34" s="45"/>
      <c r="S34" s="45"/>
      <c r="T34" s="45"/>
      <c r="U34" s="45"/>
      <c r="V34" s="45"/>
      <c r="W34" s="45"/>
      <c r="X34" s="45"/>
      <c r="Y34" s="45"/>
    </row>
    <row r="35" spans="1:25" ht="20.100000000000001" customHeight="1" x14ac:dyDescent="0.25">
      <c r="A35"/>
      <c r="J35" s="58"/>
      <c r="K35" s="68"/>
      <c r="L35" s="45"/>
      <c r="M35" s="45"/>
      <c r="N35" s="45"/>
      <c r="O35" s="45"/>
      <c r="P35" s="45"/>
      <c r="Q35" s="45"/>
      <c r="R35" s="45"/>
      <c r="S35" s="45"/>
      <c r="T35" s="45"/>
      <c r="U35" s="45"/>
      <c r="V35" s="45"/>
      <c r="W35" s="45"/>
      <c r="X35" s="45"/>
      <c r="Y35" s="45"/>
    </row>
    <row r="36" spans="1:25" ht="20.100000000000001" customHeight="1" x14ac:dyDescent="0.25">
      <c r="A36"/>
      <c r="D36" s="66"/>
      <c r="E36" s="66"/>
      <c r="F36" s="67"/>
      <c r="G36" s="58"/>
      <c r="H36" s="58"/>
      <c r="I36" s="59"/>
      <c r="J36" s="58"/>
      <c r="K36" s="68"/>
      <c r="L36" s="45"/>
      <c r="M36" s="45"/>
      <c r="N36" s="45"/>
      <c r="O36" s="45"/>
      <c r="P36" s="45"/>
      <c r="Q36" s="45"/>
      <c r="R36" s="45"/>
      <c r="S36" s="45"/>
      <c r="T36" s="45"/>
      <c r="U36" s="45"/>
      <c r="V36" s="45"/>
      <c r="W36" s="45"/>
      <c r="X36" s="45"/>
      <c r="Y36" s="45"/>
    </row>
    <row r="37" spans="1:25" ht="20.100000000000001" customHeight="1" x14ac:dyDescent="0.25">
      <c r="A37"/>
      <c r="D37" s="66"/>
      <c r="E37" s="66"/>
      <c r="F37" s="67"/>
      <c r="G37" s="58"/>
      <c r="H37" s="58"/>
      <c r="I37" s="59"/>
      <c r="J37" s="58"/>
      <c r="K37" s="68"/>
      <c r="L37" s="45"/>
      <c r="M37" s="45"/>
      <c r="N37" s="45"/>
      <c r="O37" s="45"/>
      <c r="P37" s="45"/>
      <c r="Q37" s="45"/>
      <c r="R37" s="45"/>
      <c r="S37" s="45"/>
      <c r="T37" s="45"/>
      <c r="U37" s="45"/>
      <c r="V37" s="45"/>
      <c r="W37" s="45"/>
      <c r="X37" s="45"/>
      <c r="Y37" s="45"/>
    </row>
    <row r="38" spans="1:25" ht="20.100000000000001" customHeight="1" x14ac:dyDescent="0.25">
      <c r="A38"/>
      <c r="D38" s="66"/>
      <c r="E38" s="66"/>
      <c r="F38" s="67"/>
      <c r="G38" s="58"/>
      <c r="H38" s="58"/>
      <c r="I38" s="59"/>
      <c r="J38" s="58"/>
      <c r="K38" s="68"/>
      <c r="L38" s="45"/>
      <c r="M38" s="45"/>
      <c r="N38" s="45"/>
      <c r="O38" s="45"/>
      <c r="P38" s="45"/>
      <c r="Q38" s="45"/>
      <c r="R38" s="45"/>
      <c r="S38" s="45"/>
      <c r="T38" s="45"/>
      <c r="U38" s="45"/>
      <c r="V38" s="45"/>
      <c r="W38" s="45"/>
      <c r="X38" s="45"/>
      <c r="Y38" s="45"/>
    </row>
    <row r="39" spans="1:25" ht="20.100000000000001" customHeight="1" x14ac:dyDescent="0.25">
      <c r="A39"/>
      <c r="D39" s="66"/>
      <c r="E39" s="66"/>
      <c r="F39" s="67"/>
      <c r="G39" s="58"/>
      <c r="H39" s="58"/>
      <c r="I39" s="59"/>
      <c r="J39" s="58"/>
      <c r="K39" s="68"/>
      <c r="L39" s="45"/>
      <c r="M39" s="45"/>
      <c r="N39" s="45"/>
      <c r="O39" s="45"/>
      <c r="P39" s="45"/>
      <c r="Q39" s="45"/>
      <c r="R39" s="45"/>
      <c r="S39" s="45"/>
      <c r="T39" s="45"/>
      <c r="U39" s="45"/>
      <c r="V39" s="45"/>
      <c r="W39" s="45"/>
      <c r="X39" s="45"/>
      <c r="Y39" s="45"/>
    </row>
    <row r="40" spans="1:25" ht="20.100000000000001" customHeight="1" x14ac:dyDescent="0.25">
      <c r="A40"/>
      <c r="D40" s="69"/>
      <c r="E40" s="69"/>
      <c r="F40" s="69"/>
      <c r="G40" s="70"/>
      <c r="H40" s="71"/>
      <c r="I40" s="71"/>
      <c r="J40" s="71"/>
      <c r="K40" s="71"/>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2"/>
      <c r="E47" s="72"/>
      <c r="F47" s="72"/>
      <c r="G47" s="72"/>
      <c r="H47" s="72"/>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3"/>
      <c r="E51" s="74"/>
      <c r="F51" s="74"/>
      <c r="G51" s="74"/>
      <c r="H51" s="75"/>
    </row>
    <row r="52" spans="4:8" ht="20.100000000000001" customHeight="1" x14ac:dyDescent="0.25"/>
    <row r="53" spans="4:8" ht="20.100000000000001" customHeight="1" x14ac:dyDescent="0.25"/>
    <row r="54" spans="4:8" ht="20.100000000000001" customHeight="1" x14ac:dyDescent="0.25">
      <c r="G54" s="76"/>
    </row>
    <row r="55" spans="4:8" ht="20.100000000000001" customHeight="1" x14ac:dyDescent="0.25">
      <c r="D55" s="6"/>
    </row>
    <row r="56" spans="4:8" ht="20.100000000000001" customHeight="1" x14ac:dyDescent="0.25"/>
    <row r="57" spans="4:8" ht="20.100000000000001" customHeight="1" x14ac:dyDescent="0.25">
      <c r="D57" s="21"/>
      <c r="F57" s="77"/>
    </row>
    <row r="58" spans="4:8" ht="20.100000000000001" customHeight="1" x14ac:dyDescent="0.25">
      <c r="D58" s="1"/>
      <c r="E58" s="78"/>
    </row>
    <row r="59" spans="4:8" ht="20.100000000000001" customHeight="1" x14ac:dyDescent="0.25">
      <c r="D59" s="1"/>
      <c r="E59" s="78"/>
    </row>
    <row r="60" spans="4:8" ht="20.100000000000001" customHeight="1" x14ac:dyDescent="0.25">
      <c r="D60" s="1"/>
      <c r="E60" s="79"/>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78"/>
    </row>
    <row r="65" spans="4:9" ht="20.100000000000001" customHeight="1" x14ac:dyDescent="0.25">
      <c r="D65" s="1"/>
      <c r="E65" s="78"/>
    </row>
    <row r="66" spans="4:9" ht="20.100000000000001" customHeight="1" x14ac:dyDescent="0.25">
      <c r="D66" s="1"/>
      <c r="E66" s="79"/>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0"/>
    </row>
    <row r="79" spans="4:9" ht="20.100000000000001" customHeight="1" x14ac:dyDescent="0.25">
      <c r="D79" s="80"/>
    </row>
    <row r="80" spans="4:9" ht="20.100000000000001" customHeight="1" x14ac:dyDescent="0.25">
      <c r="D80" s="80"/>
    </row>
    <row r="81" spans="4:4" ht="20.100000000000001" customHeight="1" x14ac:dyDescent="0.25">
      <c r="D81" s="80"/>
    </row>
    <row r="82" spans="4:4" ht="20.100000000000001" customHeight="1" x14ac:dyDescent="0.25">
      <c r="D82" s="8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60"/>
  <sheetViews>
    <sheetView showGridLines="0" topLeftCell="A19" zoomScale="85" zoomScaleNormal="85" workbookViewId="0">
      <selection activeCell="L37" sqref="L37"/>
    </sheetView>
  </sheetViews>
  <sheetFormatPr defaultRowHeight="15.75" x14ac:dyDescent="0.25"/>
  <cols>
    <col min="1" max="1" width="30.7109375" customWidth="1"/>
    <col min="2" max="2" width="4.7109375" customWidth="1"/>
    <col min="3" max="3" width="4.7109375" style="1" customWidth="1"/>
    <col min="4" max="4" width="52.140625" style="1" customWidth="1"/>
    <col min="5" max="5" width="30.7109375" style="1" customWidth="1"/>
    <col min="6" max="24" width="15.7109375" style="1" customWidth="1"/>
    <col min="25" max="25" width="4.7109375" style="1" customWidth="1"/>
    <col min="26" max="26" width="4.7109375" customWidth="1"/>
  </cols>
  <sheetData>
    <row r="1" spans="1:25" s="62" customFormat="1" ht="30" customHeight="1" x14ac:dyDescent="0.35">
      <c r="A1" s="62" t="e" vm="1">
        <v>#VALUE!</v>
      </c>
      <c r="C1" s="62" t="s">
        <v>304</v>
      </c>
    </row>
    <row r="2" spans="1:25" s="9" customFormat="1" ht="20.100000000000001" customHeight="1" x14ac:dyDescent="0.25"/>
    <row r="3" spans="1:25" ht="20.100000000000001" customHeight="1" x14ac:dyDescent="0.25">
      <c r="A3" s="17" t="str">
        <f>HYPERLINK("#'Home'!A1", "Home")</f>
        <v>Home</v>
      </c>
      <c r="C3" s="15"/>
      <c r="D3" s="15"/>
      <c r="E3" s="15"/>
      <c r="F3" s="15"/>
      <c r="G3" s="15"/>
      <c r="H3" s="15"/>
      <c r="I3" s="15"/>
      <c r="J3" s="15"/>
      <c r="K3" s="15"/>
      <c r="L3" s="15"/>
      <c r="M3" s="15"/>
      <c r="N3" s="15"/>
      <c r="O3" s="15"/>
      <c r="P3" s="15"/>
      <c r="Q3" s="15"/>
      <c r="R3" s="15"/>
      <c r="S3" s="15"/>
      <c r="T3" s="15"/>
      <c r="U3" s="15"/>
      <c r="V3" s="15"/>
      <c r="W3" s="15"/>
      <c r="X3" s="15"/>
      <c r="Y3" s="15"/>
    </row>
    <row r="4" spans="1:25" ht="20.100000000000001" customHeight="1" x14ac:dyDescent="0.25">
      <c r="A4" s="17" t="str">
        <f>HYPERLINK("#'Overview'!A1", "Overview")</f>
        <v>Overview</v>
      </c>
    </row>
    <row r="5" spans="1:25" ht="20.100000000000001" customHeight="1" x14ac:dyDescent="0.25">
      <c r="A5" s="17" t="str">
        <f>HYPERLINK("#'Results'!A1", "Results")</f>
        <v>Results</v>
      </c>
    </row>
    <row r="6" spans="1:25" ht="20.100000000000001" customHeight="1" x14ac:dyDescent="0.25">
      <c r="A6" s="16"/>
      <c r="D6" s="1" t="s">
        <v>86</v>
      </c>
      <c r="E6" s="39" t="s">
        <v>130</v>
      </c>
      <c r="F6" s="2" t="s">
        <v>9</v>
      </c>
    </row>
    <row r="7" spans="1:25" ht="20.100000000000001" customHeight="1" x14ac:dyDescent="0.25">
      <c r="A7" s="20" t="s">
        <v>1</v>
      </c>
      <c r="D7" s="1" t="s">
        <v>163</v>
      </c>
      <c r="E7" s="39" t="s">
        <v>140</v>
      </c>
      <c r="F7" s="2" t="s">
        <v>9</v>
      </c>
    </row>
    <row r="8" spans="1:25" ht="20.100000000000001" customHeight="1" x14ac:dyDescent="0.25">
      <c r="A8" s="17" t="str">
        <f>HYPERLINK("#'Input - Site'!A1", "Site")</f>
        <v>Site</v>
      </c>
      <c r="D8" s="1" t="s">
        <v>85</v>
      </c>
      <c r="E8" s="39" t="s">
        <v>135</v>
      </c>
      <c r="F8" s="2" t="s">
        <v>9</v>
      </c>
    </row>
    <row r="9" spans="1:25" ht="20.100000000000001" customHeight="1" x14ac:dyDescent="0.25">
      <c r="A9" s="108" t="str">
        <f>HYPERLINK("#'Input - Fertiliser'!A1", "Fertiliser")</f>
        <v>Fertiliser</v>
      </c>
      <c r="D9" s="1" t="s">
        <v>185</v>
      </c>
      <c r="E9" s="136">
        <v>100</v>
      </c>
      <c r="F9" s="2" t="s">
        <v>177</v>
      </c>
    </row>
    <row r="10" spans="1:25" ht="20.100000000000001" customHeight="1" x14ac:dyDescent="0.25">
      <c r="A10" s="17"/>
    </row>
    <row r="11" spans="1:25" ht="20.100000000000001" customHeight="1" x14ac:dyDescent="0.25">
      <c r="A11" s="19" t="s">
        <v>68</v>
      </c>
      <c r="D11" s="6" t="s">
        <v>145</v>
      </c>
      <c r="E11" s="3"/>
      <c r="F11" s="3"/>
      <c r="G11" s="3"/>
      <c r="H11" s="3"/>
      <c r="I11" s="3"/>
      <c r="J11" s="3"/>
      <c r="K11" s="3"/>
      <c r="L11" s="3"/>
      <c r="M11" s="3"/>
    </row>
    <row r="12" spans="1:25" ht="20.100000000000001" customHeight="1" x14ac:dyDescent="0.25">
      <c r="A12" s="17" t="str">
        <f>HYPERLINK("#'5.1.1.1-2 Inorganic Fert N2O'!A1", "5.1.1.1-2 Inorganic Fert N2O")</f>
        <v>5.1.1.1-2 Inorganic Fert N2O</v>
      </c>
      <c r="D12" s="22"/>
      <c r="E12" s="22"/>
      <c r="F12" s="22"/>
      <c r="G12" s="22"/>
      <c r="H12" s="22"/>
      <c r="I12" s="22"/>
      <c r="J12" s="22"/>
      <c r="K12" s="22"/>
      <c r="L12" s="22"/>
      <c r="M12" s="22"/>
    </row>
    <row r="13" spans="1:25" ht="20.100000000000001" customHeight="1" x14ac:dyDescent="0.25">
      <c r="A13" s="17" t="str">
        <f>HYPERLINK("#'5.1.1.3-4 Inorganic fert CO2'!A1", "5.1.1.3-4 Inorganic fert CO2")</f>
        <v>5.1.1.3-4 Inorganic fert CO2</v>
      </c>
      <c r="D13" s="106" t="s">
        <v>146</v>
      </c>
      <c r="E13" s="85"/>
      <c r="F13" s="85"/>
      <c r="G13" s="85"/>
      <c r="H13" s="81"/>
      <c r="I13" s="113"/>
      <c r="J13" s="114"/>
      <c r="K13" s="115"/>
      <c r="L13" s="115"/>
      <c r="M13" s="115"/>
    </row>
    <row r="14" spans="1:25" ht="20.100000000000001" customHeight="1" x14ac:dyDescent="0.25">
      <c r="A14" s="17" t="str">
        <f>HYPERLINK("#'5.2.1.1-2 Organic Fert N2O'!A1", "5.2.1.1-2 Organic Fert N2O")</f>
        <v>5.2.1.1-2 Organic Fert N2O</v>
      </c>
      <c r="D14" s="87" t="s">
        <v>147</v>
      </c>
      <c r="E14" s="84"/>
      <c r="F14" s="84"/>
      <c r="G14" s="82"/>
      <c r="H14" s="138"/>
      <c r="I14" s="22"/>
      <c r="J14" s="22"/>
      <c r="K14" s="22"/>
      <c r="L14" s="22"/>
      <c r="M14" s="22"/>
    </row>
    <row r="15" spans="1:25" ht="20.100000000000001" customHeight="1" x14ac:dyDescent="0.25">
      <c r="A15" s="17" t="str">
        <f>HYPERLINK("#'5.3.1.1-2 Lime CO2'!A1", "5.3.1.1-2 Lime CO2")</f>
        <v>5.3.1.1-2 Lime CO2</v>
      </c>
      <c r="D15" s="22"/>
      <c r="E15" s="22"/>
      <c r="F15" s="22"/>
      <c r="G15" s="22"/>
      <c r="H15" s="22"/>
      <c r="I15" s="22"/>
      <c r="J15" s="22"/>
      <c r="K15" s="22"/>
      <c r="L15" s="22"/>
      <c r="M15" s="22"/>
    </row>
    <row r="16" spans="1:25" ht="20.100000000000001" customHeight="1" x14ac:dyDescent="0.25">
      <c r="A16" s="17" t="str">
        <f>HYPERLINK("#'5.4.1.1-4 Atmos deposition'!A1", "5.4.1.1-4 Atmos deposition")</f>
        <v>5.4.1.1-4 Atmos deposition</v>
      </c>
      <c r="D16" s="46" t="s">
        <v>148</v>
      </c>
      <c r="E16" s="22"/>
      <c r="F16" s="22"/>
      <c r="G16" s="22"/>
      <c r="H16" s="22"/>
      <c r="I16" s="22"/>
      <c r="J16" s="22"/>
      <c r="K16" s="22"/>
      <c r="L16" s="22"/>
      <c r="M16" s="22"/>
    </row>
    <row r="17" spans="1:25" ht="36" customHeight="1" x14ac:dyDescent="0.25">
      <c r="A17" s="17" t="str">
        <f>HYPERLINK("#'5.5.1.1-2 Leaching and runoff'!A1", "5.5.1.1-2 Leaching and runoff")</f>
        <v>5.5.1.1-2 Leaching and runoff</v>
      </c>
      <c r="D17" s="116" t="s">
        <v>149</v>
      </c>
      <c r="E17" s="117" t="s">
        <v>158</v>
      </c>
      <c r="F17" s="179" t="s">
        <v>310</v>
      </c>
      <c r="G17" s="179" t="s">
        <v>311</v>
      </c>
      <c r="H17" s="117" t="s">
        <v>150</v>
      </c>
      <c r="I17" s="117" t="s">
        <v>151</v>
      </c>
      <c r="J17" s="116" t="s">
        <v>114</v>
      </c>
      <c r="K17" s="116" t="s">
        <v>115</v>
      </c>
      <c r="L17" s="116" t="s">
        <v>116</v>
      </c>
      <c r="M17" s="116" t="s">
        <v>117</v>
      </c>
      <c r="N17" s="116" t="s">
        <v>118</v>
      </c>
      <c r="O17" s="116" t="s">
        <v>119</v>
      </c>
      <c r="P17" s="116" t="s">
        <v>120</v>
      </c>
      <c r="Q17" s="116" t="s">
        <v>121</v>
      </c>
      <c r="R17" s="116" t="s">
        <v>122</v>
      </c>
      <c r="S17" s="116" t="s">
        <v>123</v>
      </c>
      <c r="T17" s="116" t="s">
        <v>124</v>
      </c>
      <c r="U17" s="116" t="s">
        <v>125</v>
      </c>
      <c r="V17" s="116" t="s">
        <v>164</v>
      </c>
      <c r="W17" s="178" t="s">
        <v>230</v>
      </c>
      <c r="X17" s="178" t="s">
        <v>231</v>
      </c>
    </row>
    <row r="18" spans="1:25" ht="36" customHeight="1" x14ac:dyDescent="0.25">
      <c r="D18" s="122" t="s">
        <v>300</v>
      </c>
      <c r="E18" s="123">
        <v>200</v>
      </c>
      <c r="F18" s="50" t="str">
        <f>_xlfn.XLOOKUP(Table_Input_InorganicFertiliser_Brands[[#This Row],[Product (select)]],FertiliserProducts[Product name],FertiliserProducts[Unit])</f>
        <v>L</v>
      </c>
      <c r="G18" s="50">
        <f>_xlfn.XLOOKUP(Table_Input_InorganicFertiliser_Brands[[#This Row],[Product (select)]],FertiliserProducts[Product name],FertiliserProducts[Density / gravity])</f>
        <v>1.26</v>
      </c>
      <c r="H18" s="123">
        <f>$E$9</f>
        <v>100</v>
      </c>
      <c r="I18" s="124">
        <f>(Table_Input_InorganicFertiliser_Brands[[#This Row],[Amount applied (kg / ha)]]*Table_Input_InorganicFertiliser_Brands[[#This Row],[Density]])*Table_Input_InorganicFertiliser_Brands[[#This Row],[Application area (ha)]]</f>
        <v>25200</v>
      </c>
      <c r="J18" s="124" t="str" cm="1">
        <f t="array" ref="J18">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8" s="124" cm="1">
        <f t="array" ref="K18">Fertiliser_InputFunctions.Fertiliser_FertiliserProductLookup(Table_Input_InorganicFertiliser_Brands[[#This Row],[Product (select)]], Table_Input_InorganicFertiliser_Brands[[#Headers],[Ingredient 1 percent]], FertiliserProducts[#Data], FertiliserProducts[Product name], FertiliserProducts[#Headers])</f>
        <v>0.22500000000000001</v>
      </c>
      <c r="L18" s="124" t="str" cm="1">
        <f t="array" ref="L18">Fertiliser_InputFunctions.Fertiliser_FertiliserProductLookup(Table_Input_InorganicFertiliser_Brands[[#This Row],[Product (select)]], Table_Input_InorganicFertiliser_Brands[[#Headers],[Ingredient 2]], FertiliserProducts[#Data], FertiliserProducts[Product name], FertiliserProducts[#Headers])</f>
        <v>Phosphorus - Generic</v>
      </c>
      <c r="M18" s="124" cm="1">
        <f t="array" ref="M18">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8" s="124" t="str" cm="1">
        <f t="array" ref="N18">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8" s="124" cm="1">
        <f t="array" ref="O18">Fertiliser_InputFunctions.Fertiliser_FertiliserProductLookup(Table_Input_InorganicFertiliser_Brands[[#This Row],[Product (select)]], Table_Input_InorganicFertiliser_Brands[[#Headers],[Ingredient 3 percent]], FertiliserProducts[#Data], FertiliserProducts[Product name], FertiliserProducts[#Headers])</f>
        <v>2.5999999999999999E-2</v>
      </c>
      <c r="P18" s="124" cm="1">
        <f t="array" ref="P18">Fertiliser_InputFunctions.Fertiliser_FertiliserProductLookup(Table_Input_InorganicFertiliser_Brands[[#This Row],[Product (select)]], Table_Input_InorganicFertiliser_Brands[[#Headers],[Ingredient 4]], FertiliserProducts[#Data], FertiliserProducts[Product name], FertiliserProducts[#Headers])</f>
        <v>0</v>
      </c>
      <c r="Q18" s="124" cm="1">
        <f t="array" ref="Q18">Fertiliser_InputFunctions.Fertiliser_FertiliserProductLookup(Table_Input_InorganicFertiliser_Brands[[#This Row],[Product (select)]], Table_Input_InorganicFertiliser_Brands[[#Headers],[Ingredient 4 percent]], FertiliserProducts[#Data], FertiliserProducts[Product name], FertiliserProducts[#Headers])</f>
        <v>0</v>
      </c>
      <c r="R18" s="124" cm="1">
        <f t="array" ref="R18">Fertiliser_InputFunctions.Fertiliser_FertiliserProductLookup(Table_Input_InorganicFertiliser_Brands[[#This Row],[Product (select)]], Table_Input_InorganicFertiliser_Brands[[#Headers],[Ingredient 5]], FertiliserProducts[#Data], FertiliserProducts[Product name], FertiliserProducts[#Headers])</f>
        <v>0</v>
      </c>
      <c r="S18" s="124" cm="1">
        <f t="array" ref="S18">Fertiliser_InputFunctions.Fertiliser_FertiliserProductLookup(Table_Input_InorganicFertiliser_Brands[[#This Row],[Product (select)]], Table_Input_InorganicFertiliser_Brands[[#Headers],[Ingredient 5 percent]], FertiliserProducts[#Data], FertiliserProducts[Product name], FertiliserProducts[#Headers])</f>
        <v>0</v>
      </c>
      <c r="T18" s="124" cm="1">
        <f t="array" ref="T18">Fertiliser_InputFunctions.Fertiliser_FertiliserProductLookup(Table_Input_InorganicFertiliser_Brands[[#This Row],[Product (select)]], Table_Input_InorganicFertiliser_Brands[[#Headers],[Ingredient 6]], FertiliserProducts[#Data], FertiliserProducts[Product name], FertiliserProducts[#Headers])</f>
        <v>0</v>
      </c>
      <c r="U18" s="124" cm="1">
        <f t="array" ref="U18">Fertiliser_InputFunctions.Fertiliser_FertiliserProductLookup(Table_Input_InorganicFertiliser_Brands[[#This Row],[Product (select)]], Table_Input_InorganicFertiliser_Brands[[#Headers],[Ingredient 6 percent]], FertiliserProducts[#Data], FertiliserProducts[Product name], FertiliserProducts[#Headers])</f>
        <v>0</v>
      </c>
      <c r="V18" s="124">
        <f>(Table_Input_InorganicFertiliser_Brands[[#This Row],[Amount applied (kg / ha)]]*Table_Input_InorganicFertiliser_Brands[[#This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6.5519999999999996</v>
      </c>
      <c r="W18" s="50">
        <f>_xlfn.XLOOKUP(Table_Input_InorganicFertiliser_Brands[[#This Row],[Product (select)]],FertiliserProducts[Product name],FertiliserProducts[Urea source])</f>
        <v>0</v>
      </c>
      <c r="X18" s="50">
        <f>_xlfn.XLOOKUP(Table_Input_InorganicFertiliser_Brands[[#This Row],[Product (select)]],FertiliserProducts[Product name],FertiliserProducts[Ammonia source])</f>
        <v>0</v>
      </c>
    </row>
    <row r="19" spans="1:25" ht="36" customHeight="1" x14ac:dyDescent="0.25">
      <c r="A19" s="18" t="s">
        <v>2</v>
      </c>
      <c r="D19" s="122" t="s">
        <v>312</v>
      </c>
      <c r="E19" s="123">
        <v>10</v>
      </c>
      <c r="F19" s="50" t="str">
        <f>_xlfn.XLOOKUP(Table_Input_InorganicFertiliser_Brands[[#This Row],[Product (select)]],FertiliserProducts[Product name],FertiliserProducts[Unit])</f>
        <v>kg</v>
      </c>
      <c r="G19" s="50">
        <f>_xlfn.XLOOKUP(Table_Input_InorganicFertiliser_Brands[[#This Row],[Product (select)]],FertiliserProducts[Product name],FertiliserProducts[Density / gravity])</f>
        <v>1</v>
      </c>
      <c r="H19" s="123">
        <f>$E$9</f>
        <v>100</v>
      </c>
      <c r="I19" s="124">
        <f>(Table_Input_InorganicFertiliser_Brands[[#This Row],[Amount applied (kg / ha)]]*Table_Input_InorganicFertiliser_Brands[[#This Row],[Density]])*Table_Input_InorganicFertiliser_Brands[[#This Row],[Application area (ha)]]</f>
        <v>1000</v>
      </c>
      <c r="J19" s="124" t="str" cm="1">
        <f t="array" ref="J19">Fertiliser_InputFunctions.Fertiliser_FertiliserProductLookup(Table_Input_InorganicFertiliser_Brands[[#This Row],[Product (select)]], Table_Input_InorganicFertiliser_Brands[[#Headers],[Ingredient 1]], FertiliserProducts[#Data], FertiliserProducts[Product name], FertiliserProducts[#Headers])</f>
        <v>Urea</v>
      </c>
      <c r="K19" s="124" cm="1">
        <f t="array" ref="K19">Fertiliser_InputFunctions.Fertiliser_FertiliserProductLookup(Table_Input_InorganicFertiliser_Brands[[#This Row],[Product (select)]], Table_Input_InorganicFertiliser_Brands[[#Headers],[Ingredient 1 percent]], FertiliserProducts[#Data], FertiliserProducts[Product name], FertiliserProducts[#Headers])</f>
        <v>0.52173913000000005</v>
      </c>
      <c r="L19" s="124" t="str" cm="1">
        <f t="array" ref="L19">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19" s="124" cm="1">
        <f t="array" ref="M19">Fertiliser_InputFunctions.Fertiliser_FertiliserProductLookup(Table_Input_InorganicFertiliser_Brands[[#This Row],[Product (select)]], Table_Input_InorganicFertiliser_Brands[[#Headers],[Ingredient 2 percent]], FertiliserProducts[#Data], FertiliserProducts[Product name], FertiliserProducts[#Headers])</f>
        <v>0.08</v>
      </c>
      <c r="N19" s="124" t="str" cm="1">
        <f t="array" ref="N19">Fertiliser_InputFunctions.Fertiliser_FertiliserProductLookup(Table_Input_InorganicFertiliser_Brands[[#This Row],[Product (select)]], Table_Input_InorganicFertiliser_Brands[[#Headers],[Ingredient 3]], FertiliserProducts[#Data], FertiliserProducts[Product name], FertiliserProducts[#Headers])</f>
        <v>Sulfur - Generic</v>
      </c>
      <c r="O19" s="124" cm="1">
        <f t="array" ref="O19">Fertiliser_InputFunctions.Fertiliser_FertiliserProductLookup(Table_Input_InorganicFertiliser_Brands[[#This Row],[Product (select)]], Table_Input_InorganicFertiliser_Brands[[#Headers],[Ingredient 3 percent]], FertiliserProducts[#Data], FertiliserProducts[Product name], FertiliserProducts[#Headers])</f>
        <v>5.2999999999999999E-2</v>
      </c>
      <c r="P19" s="124" t="str" cm="1">
        <f t="array" ref="P19">Fertiliser_InputFunctions.Fertiliser_FertiliserProductLookup(Table_Input_InorganicFertiliser_Brands[[#This Row],[Product (select)]], Table_Input_InorganicFertiliser_Brands[[#Headers],[Ingredient 4]], FertiliserProducts[#Data], FertiliserProducts[Product name], FertiliserProducts[#Headers])</f>
        <v>Phosphorus - Generic</v>
      </c>
      <c r="Q19" s="124" cm="1">
        <f t="array" ref="Q19">Fertiliser_InputFunctions.Fertiliser_FertiliserProductLookup(Table_Input_InorganicFertiliser_Brands[[#This Row],[Product (select)]], Table_Input_InorganicFertiliser_Brands[[#Headers],[Ingredient 4 percent]], FertiliserProducts[#Data], FertiliserProducts[Product name], FertiliserProducts[#Headers])</f>
        <v>5.1999999999999998E-2</v>
      </c>
      <c r="R19" s="124" t="str" cm="1">
        <f t="array" ref="R19">Fertiliser_InputFunctions.Fertiliser_FertiliserProductLookup(Table_Input_InorganicFertiliser_Brands[[#This Row],[Product (select)]], Table_Input_InorganicFertiliser_Brands[[#Headers],[Ingredient 5]], FertiliserProducts[#Data], FertiliserProducts[Product name], FertiliserProducts[#Headers])</f>
        <v>Magnesium</v>
      </c>
      <c r="S19" s="124" cm="1">
        <f t="array" ref="S19">Fertiliser_InputFunctions.Fertiliser_FertiliserProductLookup(Table_Input_InorganicFertiliser_Brands[[#This Row],[Product (select)]], Table_Input_InorganicFertiliser_Brands[[#Headers],[Ingredient 5 percent]], FertiliserProducts[#Data], FertiliserProducts[Product name], FertiliserProducts[#Headers])</f>
        <v>1.2999999999999999E-2</v>
      </c>
      <c r="T19" s="124" t="str" cm="1">
        <f t="array" ref="T19">Fertiliser_InputFunctions.Fertiliser_FertiliserProductLookup(Table_Input_InorganicFertiliser_Brands[[#This Row],[Product (select)]], Table_Input_InorganicFertiliser_Brands[[#Headers],[Ingredient 6]], FertiliserProducts[#Data], FertiliserProducts[Product name], FertiliserProducts[#Headers])</f>
        <v>Zinc</v>
      </c>
      <c r="U19" s="124" cm="1">
        <f t="array" ref="U19">Fertiliser_InputFunctions.Fertiliser_FertiliserProductLookup(Table_Input_InorganicFertiliser_Brands[[#This Row],[Product (select)]], Table_Input_InorganicFertiliser_Brands[[#Headers],[Ingredient 6 percent]], FertiliserProducts[#Data], FertiliserProducts[Product name], FertiliserProducts[#Headers])</f>
        <v>2E-3</v>
      </c>
      <c r="V19" s="124">
        <f>(Table_Input_InorganicFertiliser_Brands[[#This Row],[Amount applied (kg / ha)]]*Table_Input_InorganicFertiliser_Brands[[#This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2.3999999980000002</v>
      </c>
      <c r="W19" s="124"/>
      <c r="X19" s="124"/>
    </row>
    <row r="20" spans="1:25" ht="36" customHeight="1" x14ac:dyDescent="0.25">
      <c r="A20" s="17" t="str">
        <f>HYPERLINK("#'Constants - Fertiliser'!A1", "Constants - Fertiliser")</f>
        <v>Constants - Fertiliser</v>
      </c>
      <c r="D20" s="125"/>
      <c r="E20" s="126"/>
      <c r="F20" s="127"/>
      <c r="G20" s="127"/>
      <c r="H20" s="127"/>
      <c r="I20" s="127"/>
      <c r="J20" s="128"/>
      <c r="K20" s="128"/>
      <c r="L20" s="129"/>
      <c r="M20" s="129"/>
      <c r="N20" s="130"/>
      <c r="O20" s="130"/>
      <c r="P20" s="130"/>
      <c r="Q20" s="130"/>
      <c r="R20" s="130"/>
      <c r="S20" s="130"/>
      <c r="T20" s="130"/>
      <c r="U20" s="130"/>
      <c r="V20" s="130"/>
      <c r="W20" s="130"/>
      <c r="X20" s="130"/>
    </row>
    <row r="21" spans="1:25" ht="36" customHeight="1" x14ac:dyDescent="0.25">
      <c r="A21" s="17" t="str">
        <f>HYPERLINK("#'Constants - Common'!A1", "Constants - Common")</f>
        <v>Constants - Common</v>
      </c>
      <c r="D21" s="131" t="s">
        <v>152</v>
      </c>
      <c r="E21" s="132"/>
      <c r="F21" s="132"/>
      <c r="G21" s="132"/>
      <c r="H21" s="132"/>
      <c r="I21" s="132"/>
      <c r="J21" s="132"/>
      <c r="K21" s="132"/>
      <c r="L21" s="132"/>
      <c r="M21" s="132"/>
      <c r="N21" s="130"/>
      <c r="O21" s="130"/>
      <c r="P21" s="130"/>
      <c r="Q21" s="130"/>
      <c r="R21" s="130"/>
      <c r="S21" s="130"/>
      <c r="T21" s="130"/>
      <c r="U21" s="130"/>
      <c r="V21" s="130"/>
      <c r="W21" s="130"/>
      <c r="X21" s="130"/>
    </row>
    <row r="22" spans="1:25" ht="36" customHeight="1" x14ac:dyDescent="0.25">
      <c r="D22" s="117" t="s">
        <v>153</v>
      </c>
      <c r="E22" s="117" t="s">
        <v>158</v>
      </c>
      <c r="F22" s="117" t="s">
        <v>150</v>
      </c>
      <c r="G22" s="117" t="s">
        <v>151</v>
      </c>
      <c r="H22" s="117" t="s">
        <v>154</v>
      </c>
      <c r="I22" s="117" t="s">
        <v>115</v>
      </c>
      <c r="J22" s="117" t="s">
        <v>116</v>
      </c>
      <c r="K22" s="117" t="s">
        <v>117</v>
      </c>
      <c r="L22" s="117" t="s">
        <v>118</v>
      </c>
      <c r="M22" s="117" t="s">
        <v>119</v>
      </c>
      <c r="N22" s="117" t="s">
        <v>120</v>
      </c>
      <c r="O22" s="117" t="s">
        <v>121</v>
      </c>
      <c r="P22" s="117" t="s">
        <v>164</v>
      </c>
      <c r="Q22" s="178" t="s">
        <v>313</v>
      </c>
      <c r="R22" s="178" t="s">
        <v>314</v>
      </c>
      <c r="S22" s="130"/>
      <c r="T22" s="130"/>
      <c r="U22" s="130"/>
      <c r="V22" s="130"/>
      <c r="W22" s="130"/>
      <c r="X22" s="130"/>
    </row>
    <row r="23" spans="1:25" ht="36" customHeight="1" x14ac:dyDescent="0.25">
      <c r="A23" s="17"/>
      <c r="D23" s="33" t="s">
        <v>155</v>
      </c>
      <c r="E23" s="117">
        <v>100</v>
      </c>
      <c r="F23" s="123">
        <f>$E$9</f>
        <v>100</v>
      </c>
      <c r="G23" s="124">
        <f>Table_Input_InorganicFertiliser_Custom[[#This Row],[Amount applied (kg / ha)]]*Table_Input_InorganicFertiliser_Custom[[#This Row],[Application area (ha)]]</f>
        <v>10000</v>
      </c>
      <c r="H23" s="134" t="s">
        <v>317</v>
      </c>
      <c r="I23" s="137">
        <v>1</v>
      </c>
      <c r="J23" s="134" t="s">
        <v>318</v>
      </c>
      <c r="K23" s="137">
        <v>0</v>
      </c>
      <c r="L23" s="134" t="s">
        <v>156</v>
      </c>
      <c r="M23" s="137">
        <v>0</v>
      </c>
      <c r="N23" s="135" t="s">
        <v>157</v>
      </c>
      <c r="O23" s="168">
        <v>0</v>
      </c>
      <c r="P23"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15.5</v>
      </c>
      <c r="Q23" s="39" t="s">
        <v>315</v>
      </c>
      <c r="R23" s="39" t="s">
        <v>316</v>
      </c>
    </row>
    <row r="24" spans="1:25" ht="36" customHeight="1" x14ac:dyDescent="0.25">
      <c r="D24" s="33"/>
      <c r="E24" s="117"/>
      <c r="F24" s="180">
        <f>$E$9</f>
        <v>100</v>
      </c>
      <c r="G24" s="124">
        <f>Table_Input_InorganicFertiliser_Custom[[#This Row],[Amount applied (kg / ha)]]*Table_Input_InorganicFertiliser_Custom[[#This Row],[Application area (ha)]]</f>
        <v>0</v>
      </c>
      <c r="H24" s="134"/>
      <c r="I24" s="169"/>
      <c r="J24" s="134"/>
      <c r="K24" s="169"/>
      <c r="L24" s="134"/>
      <c r="M24" s="169"/>
      <c r="N24" s="135"/>
      <c r="O24" s="168"/>
      <c r="P24"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4" s="39"/>
      <c r="R24" s="39"/>
    </row>
    <row r="25" spans="1:25" ht="36" customHeight="1" x14ac:dyDescent="0.25"/>
    <row r="26" spans="1:25" ht="36" customHeight="1" x14ac:dyDescent="0.25">
      <c r="D26" s="6" t="s">
        <v>319</v>
      </c>
      <c r="E26" s="3"/>
      <c r="F26" s="3"/>
      <c r="G26" s="3"/>
      <c r="H26" s="3"/>
      <c r="I26" s="3"/>
      <c r="J26" s="3"/>
      <c r="K26" s="22"/>
      <c r="L26" s="22"/>
      <c r="M26" s="22"/>
    </row>
    <row r="27" spans="1:25" ht="20.100000000000001" customHeight="1" x14ac:dyDescent="0.25">
      <c r="D27" s="22"/>
      <c r="E27" s="22"/>
      <c r="F27" s="22"/>
      <c r="G27" s="22"/>
      <c r="H27" s="22"/>
      <c r="I27" s="22"/>
      <c r="J27" s="22"/>
      <c r="K27" s="22"/>
      <c r="L27" s="22"/>
      <c r="M27" s="3"/>
    </row>
    <row r="28" spans="1:25" ht="20.100000000000001" customHeight="1" x14ac:dyDescent="0.25">
      <c r="D28" s="106" t="s">
        <v>186</v>
      </c>
      <c r="E28" s="85"/>
      <c r="F28" s="81"/>
      <c r="G28" s="106"/>
      <c r="H28" s="81"/>
      <c r="I28" s="3"/>
      <c r="J28" s="3"/>
      <c r="K28" s="22"/>
      <c r="L28" s="22"/>
      <c r="M28" s="22"/>
    </row>
    <row r="29" spans="1:25" ht="20.100000000000001" customHeight="1" x14ac:dyDescent="0.25">
      <c r="A29" s="17"/>
      <c r="D29" s="161" t="s">
        <v>187</v>
      </c>
      <c r="E29" s="162"/>
      <c r="F29" s="163"/>
      <c r="G29" s="161"/>
      <c r="H29" s="163"/>
      <c r="I29" s="22"/>
      <c r="J29" s="22"/>
      <c r="K29" s="22"/>
      <c r="L29" s="22"/>
      <c r="M29" s="3"/>
    </row>
    <row r="30" spans="1:25" ht="20.100000000000001" customHeight="1" x14ac:dyDescent="0.25">
      <c r="A30" s="17"/>
      <c r="D30" s="87" t="s">
        <v>147</v>
      </c>
      <c r="E30" s="84"/>
      <c r="F30" s="84"/>
      <c r="G30" s="84"/>
      <c r="H30" s="82"/>
      <c r="I30" s="22"/>
      <c r="J30" s="22"/>
      <c r="K30" s="22"/>
      <c r="L30" s="22"/>
      <c r="M30" s="3"/>
    </row>
    <row r="31" spans="1:25" ht="20.100000000000001" customHeight="1" x14ac:dyDescent="0.25">
      <c r="A31" s="61"/>
      <c r="D31" s="99" t="str">
        <f>IF(MAX(Table_Input_Lime[Total]) &gt; 1, "There can not be more than 100% ingredients in a product. Check the table below.", "")</f>
        <v/>
      </c>
    </row>
    <row r="32" spans="1:25" ht="30" customHeight="1" x14ac:dyDescent="0.25">
      <c r="A32" s="61"/>
      <c r="D32" s="140" t="s">
        <v>113</v>
      </c>
      <c r="E32" s="140" t="s">
        <v>188</v>
      </c>
      <c r="F32" s="140" t="s">
        <v>150</v>
      </c>
      <c r="G32" s="140" t="s">
        <v>189</v>
      </c>
      <c r="H32" s="140" t="s">
        <v>190</v>
      </c>
      <c r="I32" s="140" t="s">
        <v>191</v>
      </c>
      <c r="J32" s="140" t="s">
        <v>192</v>
      </c>
      <c r="K32" s="140" t="s">
        <v>87</v>
      </c>
      <c r="Y32"/>
    </row>
    <row r="33" spans="1:25" ht="36" customHeight="1" x14ac:dyDescent="0.25">
      <c r="A33" s="17"/>
      <c r="D33" s="141" t="s">
        <v>263</v>
      </c>
      <c r="E33" s="123">
        <v>1</v>
      </c>
      <c r="F33" s="123">
        <f>$E$9</f>
        <v>100</v>
      </c>
      <c r="G33" s="124">
        <f>IFERROR(Table_Input_Lime[[#This Row],[Amount applied (t/hectare)]]*Table_Input_Lime[[#This Row],[Application area (ha)]], 0)</f>
        <v>100</v>
      </c>
      <c r="H33" s="142">
        <v>1</v>
      </c>
      <c r="I33" s="142">
        <v>0</v>
      </c>
      <c r="J33" s="142">
        <v>0</v>
      </c>
      <c r="K33" s="164">
        <f>SUM(Table_Input_Lime[[#This Row],[Percent Lime CaCO3]:[Percent Gypsum]])</f>
        <v>1</v>
      </c>
      <c r="Y33"/>
    </row>
    <row r="34" spans="1:25" ht="36" customHeight="1" x14ac:dyDescent="0.25">
      <c r="D34" s="141" t="s">
        <v>264</v>
      </c>
      <c r="E34" s="123">
        <v>1</v>
      </c>
      <c r="F34" s="123">
        <f>$E$9</f>
        <v>100</v>
      </c>
      <c r="G34" s="124">
        <f>IFERROR(Table_Input_Lime[[#This Row],[Amount applied (t/hectare)]]*Table_Input_Lime[[#This Row],[Application area (ha)]], 0)</f>
        <v>100</v>
      </c>
      <c r="H34" s="142">
        <v>1</v>
      </c>
      <c r="I34" s="142"/>
      <c r="J34" s="142"/>
      <c r="K34" s="164">
        <f>SUM(Table_Input_Lime[[#This Row],[Percent Lime CaCO3]:[Percent Gypsum]])</f>
        <v>1</v>
      </c>
      <c r="L34" s="3"/>
    </row>
    <row r="35" spans="1:25" ht="36" customHeight="1" x14ac:dyDescent="0.25">
      <c r="D35" s="22"/>
      <c r="E35" s="22"/>
      <c r="F35" s="22"/>
      <c r="G35" s="22"/>
      <c r="H35" s="22"/>
      <c r="I35" s="22"/>
      <c r="J35" s="22"/>
      <c r="L35" s="3"/>
      <c r="M35" s="3"/>
    </row>
    <row r="36" spans="1:25" ht="36" customHeight="1" x14ac:dyDescent="0.25">
      <c r="D36" s="22"/>
      <c r="E36" s="22"/>
      <c r="F36" s="22"/>
      <c r="G36" s="22"/>
      <c r="H36" s="22"/>
      <c r="I36" s="22"/>
      <c r="J36" s="139"/>
      <c r="K36" s="3"/>
      <c r="L36" s="22"/>
      <c r="M36" s="3"/>
    </row>
    <row r="37" spans="1:25" ht="20.100000000000001" customHeight="1" x14ac:dyDescent="0.25">
      <c r="D37" s="6" t="s">
        <v>193</v>
      </c>
      <c r="E37" s="3"/>
      <c r="F37" s="3"/>
      <c r="G37" s="3"/>
      <c r="H37" s="22"/>
      <c r="I37" s="22"/>
      <c r="J37" s="22"/>
      <c r="K37" s="22"/>
      <c r="L37" s="22"/>
      <c r="M37" s="22"/>
    </row>
    <row r="38" spans="1:25" ht="20.100000000000001" customHeight="1" x14ac:dyDescent="0.25">
      <c r="C38" s="130"/>
      <c r="D38" s="22"/>
      <c r="E38" s="22"/>
      <c r="F38" s="22"/>
      <c r="G38" s="22"/>
      <c r="H38" s="22"/>
      <c r="I38" s="22"/>
      <c r="J38" s="22"/>
      <c r="K38" s="22"/>
      <c r="L38" s="22"/>
      <c r="M38" s="22"/>
    </row>
    <row r="39" spans="1:25" ht="20.100000000000001" customHeight="1" x14ac:dyDescent="0.25">
      <c r="A39" s="17"/>
      <c r="C39" s="130"/>
      <c r="D39" s="106" t="s">
        <v>186</v>
      </c>
      <c r="E39" s="85"/>
      <c r="F39" s="85"/>
      <c r="G39" s="85"/>
      <c r="H39" s="81"/>
      <c r="I39" s="22"/>
      <c r="J39" s="22"/>
      <c r="K39" s="22"/>
      <c r="L39" s="22"/>
      <c r="M39" s="22"/>
      <c r="Q39" s="130"/>
      <c r="R39" s="130"/>
      <c r="S39" s="130"/>
    </row>
    <row r="40" spans="1:25" s="133" customFormat="1" ht="20.100000000000001" customHeight="1" x14ac:dyDescent="0.25">
      <c r="C40" s="1"/>
      <c r="D40" s="87" t="s">
        <v>147</v>
      </c>
      <c r="E40" s="84"/>
      <c r="F40" s="84"/>
      <c r="G40" s="84"/>
      <c r="H40" s="82"/>
      <c r="I40" s="22"/>
      <c r="J40" s="22"/>
      <c r="K40" s="22"/>
      <c r="L40" s="22"/>
      <c r="M40" s="22"/>
      <c r="N40" s="1"/>
      <c r="O40" s="130"/>
      <c r="P40" s="130"/>
      <c r="Q40" s="130"/>
      <c r="R40" s="130"/>
      <c r="S40" s="130"/>
      <c r="T40" s="1"/>
      <c r="U40" s="1"/>
      <c r="V40" s="1"/>
      <c r="W40" s="1"/>
      <c r="X40" s="1"/>
      <c r="Y40" s="1"/>
    </row>
    <row r="41" spans="1:25" s="133" customFormat="1" ht="20.100000000000001" customHeight="1" x14ac:dyDescent="0.25">
      <c r="A41" s="143"/>
      <c r="C41" s="1"/>
      <c r="D41" s="22"/>
      <c r="E41" s="22"/>
      <c r="F41" s="22"/>
      <c r="G41" s="22"/>
      <c r="H41" s="22"/>
      <c r="I41" s="22"/>
      <c r="J41" s="22"/>
      <c r="K41" s="22"/>
      <c r="L41" s="132"/>
      <c r="M41" s="130"/>
      <c r="N41" s="130"/>
      <c r="O41" s="130"/>
      <c r="P41" s="130"/>
      <c r="Q41" s="1"/>
      <c r="R41" s="1"/>
      <c r="S41" s="1"/>
      <c r="T41" s="1"/>
      <c r="U41" s="1"/>
      <c r="V41" s="1"/>
      <c r="W41" s="1"/>
      <c r="X41" s="1"/>
      <c r="Y41" s="1"/>
    </row>
    <row r="42" spans="1:25" ht="30" customHeight="1" x14ac:dyDescent="0.25">
      <c r="D42" s="140" t="s">
        <v>194</v>
      </c>
      <c r="E42" s="140" t="s">
        <v>195</v>
      </c>
      <c r="F42" s="140" t="s">
        <v>196</v>
      </c>
      <c r="G42" s="140" t="s">
        <v>197</v>
      </c>
      <c r="H42" s="140" t="s">
        <v>150</v>
      </c>
      <c r="I42" s="140" t="s">
        <v>198</v>
      </c>
      <c r="J42" s="140" t="s">
        <v>199</v>
      </c>
      <c r="K42" s="132"/>
      <c r="L42" s="132"/>
      <c r="M42" s="130"/>
      <c r="N42" s="130"/>
    </row>
    <row r="43" spans="1:25" ht="36" customHeight="1" x14ac:dyDescent="0.25">
      <c r="D43" s="122" t="s">
        <v>240</v>
      </c>
      <c r="E43" s="142">
        <v>0.3</v>
      </c>
      <c r="F43" s="123">
        <v>10</v>
      </c>
      <c r="G43" s="124">
        <f>Table_Input_OrganicFertiliser[[#This Row],[Amount applied (kg/hectare)]]*Table_Input_OrganicFertiliser[[#This Row],[Percentage of N in fertiliser]]</f>
        <v>3</v>
      </c>
      <c r="H43" s="123">
        <f>$E$9</f>
        <v>100</v>
      </c>
      <c r="I43" s="124">
        <f>Table_Input_OrganicFertiliser[[#This Row],[Amount applied (kg/hectare)]]*Table_Input_OrganicFertiliser[[#This Row],[Application area (ha)]]</f>
        <v>1000</v>
      </c>
      <c r="J43" s="124">
        <f>IFERROR(Table_Input_OrganicFertiliser[[#This Row],[Amount N applied (kg/hectare)]]*Table_Input_OrganicFertiliser[[#This Row],[Application area (ha)]], 0)</f>
        <v>300</v>
      </c>
      <c r="K43" s="132"/>
    </row>
    <row r="44" spans="1:25" ht="36" customHeight="1" x14ac:dyDescent="0.25">
      <c r="A44" s="157" t="str">
        <f>HYPERLINK("#A1", "▲ Back to top")</f>
        <v>▲ Back to top</v>
      </c>
      <c r="D44" s="122" t="s">
        <v>238</v>
      </c>
      <c r="E44" s="142">
        <v>0.25</v>
      </c>
      <c r="F44" s="123">
        <v>10</v>
      </c>
      <c r="G44" s="124">
        <f>Table_Input_OrganicFertiliser[[#This Row],[Amount applied (kg/hectare)]]*Table_Input_OrganicFertiliser[[#This Row],[Percentage of N in fertiliser]]</f>
        <v>2.5</v>
      </c>
      <c r="H44" s="123">
        <f>$E$9</f>
        <v>100</v>
      </c>
      <c r="I44" s="124">
        <f>Table_Input_OrganicFertiliser[[#This Row],[Amount applied (kg/hectare)]]*Table_Input_OrganicFertiliser[[#This Row],[Application area (ha)]]</f>
        <v>1000</v>
      </c>
      <c r="J44" s="124">
        <f>IFERROR(Table_Input_OrganicFertiliser[[#This Row],[Amount N applied (kg/hectare)]]*Table_Input_OrganicFertiliser[[#This Row],[Application area (ha)]], 0)</f>
        <v>250</v>
      </c>
    </row>
    <row r="45" spans="1:25" ht="36" customHeight="1" x14ac:dyDescent="0.25"/>
    <row r="46" spans="1:25" ht="36" customHeight="1" x14ac:dyDescent="0.25"/>
    <row r="47" spans="1:25" ht="20.100000000000001" customHeight="1" x14ac:dyDescent="0.25"/>
    <row r="48" spans="1:25"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3:13" ht="20.100000000000001" customHeight="1" x14ac:dyDescent="0.25"/>
    <row r="98" spans="13:13" ht="20.100000000000001" customHeight="1" x14ac:dyDescent="0.25"/>
    <row r="99" spans="13:13" ht="20.100000000000001" customHeight="1" x14ac:dyDescent="0.25"/>
    <row r="100" spans="13:13" ht="20.100000000000001" customHeight="1" x14ac:dyDescent="0.25"/>
    <row r="101" spans="13:13" ht="20.100000000000001" customHeight="1" x14ac:dyDescent="0.25"/>
    <row r="102" spans="13:13" ht="20.100000000000001" customHeight="1" x14ac:dyDescent="0.25"/>
    <row r="103" spans="13:13" ht="20.100000000000001" customHeight="1" x14ac:dyDescent="0.25"/>
    <row r="104" spans="13:13" ht="20.100000000000001" customHeight="1" x14ac:dyDescent="0.25"/>
    <row r="105" spans="13:13" ht="20.100000000000001" customHeight="1" x14ac:dyDescent="0.25"/>
    <row r="106" spans="13:13" ht="20.100000000000001" customHeight="1" x14ac:dyDescent="0.25"/>
    <row r="107" spans="13:13" ht="20.100000000000001" customHeight="1" x14ac:dyDescent="0.25"/>
    <row r="108" spans="13:13" ht="20.100000000000001" customHeight="1" x14ac:dyDescent="0.25"/>
    <row r="109" spans="13:13" ht="20.100000000000001" customHeight="1" x14ac:dyDescent="0.25"/>
    <row r="110" spans="13:13" ht="20.100000000000001" customHeight="1" x14ac:dyDescent="0.25">
      <c r="M110" s="3"/>
    </row>
    <row r="111" spans="13:13" ht="20.100000000000001" customHeight="1" x14ac:dyDescent="0.25">
      <c r="M111" s="3"/>
    </row>
    <row r="112" spans="13:13" ht="20.100000000000001" customHeight="1" x14ac:dyDescent="0.25">
      <c r="M112" s="3"/>
    </row>
    <row r="113" spans="13:13" ht="20.100000000000001" customHeight="1" x14ac:dyDescent="0.25">
      <c r="M113" s="3"/>
    </row>
    <row r="114" spans="13:13" ht="20.100000000000001" customHeight="1" x14ac:dyDescent="0.25">
      <c r="M114" s="3"/>
    </row>
    <row r="115" spans="13:13" ht="20.100000000000001" customHeight="1" x14ac:dyDescent="0.25">
      <c r="M115" s="3"/>
    </row>
    <row r="116" spans="13:13" ht="20.100000000000001" customHeight="1" x14ac:dyDescent="0.25">
      <c r="M116" s="3"/>
    </row>
    <row r="117" spans="13:13" ht="20.100000000000001" customHeight="1" x14ac:dyDescent="0.25">
      <c r="M117" s="3"/>
    </row>
    <row r="118" spans="13:13" ht="20.100000000000001" customHeight="1" x14ac:dyDescent="0.25">
      <c r="M118" s="3"/>
    </row>
    <row r="119" spans="13:13" ht="20.100000000000001" customHeight="1" x14ac:dyDescent="0.25">
      <c r="M119" s="3"/>
    </row>
    <row r="120" spans="13:13" ht="20.100000000000001" customHeight="1" x14ac:dyDescent="0.25">
      <c r="M120" s="3"/>
    </row>
    <row r="121" spans="13:13" ht="20.100000000000001" customHeight="1" x14ac:dyDescent="0.25">
      <c r="M121" s="3"/>
    </row>
    <row r="122" spans="13:13" ht="20.100000000000001" customHeight="1" x14ac:dyDescent="0.25">
      <c r="M122" s="3"/>
    </row>
    <row r="123" spans="13:13" ht="20.100000000000001" customHeight="1" x14ac:dyDescent="0.25">
      <c r="M123" s="3"/>
    </row>
    <row r="124" spans="13:13" ht="20.100000000000001" customHeight="1" x14ac:dyDescent="0.25">
      <c r="M124" s="3"/>
    </row>
    <row r="125" spans="13:13" ht="20.100000000000001" customHeight="1" x14ac:dyDescent="0.25">
      <c r="M125" s="3"/>
    </row>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c r="M130" s="3"/>
    </row>
    <row r="131" spans="13:13" ht="20.100000000000001" customHeight="1" x14ac:dyDescent="0.25">
      <c r="M131" s="3"/>
    </row>
    <row r="132" spans="13:13" ht="20.100000000000001" customHeight="1" x14ac:dyDescent="0.25"/>
    <row r="133" spans="13:13" ht="20.100000000000001" customHeight="1" x14ac:dyDescent="0.25"/>
    <row r="134" spans="13:13" ht="20.100000000000001" customHeight="1" x14ac:dyDescent="0.25"/>
    <row r="135" spans="13:13" ht="20.100000000000001" customHeight="1" x14ac:dyDescent="0.25"/>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08" spans="12:12" x14ac:dyDescent="0.25">
      <c r="L208" s="2"/>
    </row>
    <row r="209" spans="12:12" x14ac:dyDescent="0.25">
      <c r="L209" s="2"/>
    </row>
    <row r="210" spans="12:12" x14ac:dyDescent="0.25">
      <c r="L210" s="2"/>
    </row>
    <row r="211" spans="12:12" x14ac:dyDescent="0.25">
      <c r="L211" s="2"/>
    </row>
    <row r="212" spans="12:12" x14ac:dyDescent="0.25">
      <c r="L212" s="2"/>
    </row>
    <row r="214" spans="12:12" x14ac:dyDescent="0.25">
      <c r="L214" s="2"/>
    </row>
    <row r="216" spans="12:12" x14ac:dyDescent="0.25">
      <c r="L216" s="2"/>
    </row>
    <row r="217" spans="12:12" x14ac:dyDescent="0.25">
      <c r="L217" s="2"/>
    </row>
    <row r="218" spans="12:12" x14ac:dyDescent="0.25">
      <c r="L218" s="2"/>
    </row>
    <row r="219" spans="12:12" x14ac:dyDescent="0.25">
      <c r="L219" s="2"/>
    </row>
    <row r="221" spans="12:12" x14ac:dyDescent="0.25">
      <c r="L221" s="2"/>
    </row>
    <row r="229" spans="12:12" x14ac:dyDescent="0.25">
      <c r="L229" s="2"/>
    </row>
    <row r="230" spans="12:12" x14ac:dyDescent="0.25">
      <c r="L230" s="2"/>
    </row>
    <row r="231" spans="12:12" x14ac:dyDescent="0.25">
      <c r="L231" s="2"/>
    </row>
    <row r="234" spans="12:12" x14ac:dyDescent="0.25">
      <c r="L234" s="2"/>
    </row>
    <row r="235" spans="12:12" x14ac:dyDescent="0.25">
      <c r="L235" s="2"/>
    </row>
    <row r="236" spans="12:12" x14ac:dyDescent="0.25">
      <c r="L236" s="2"/>
    </row>
    <row r="239" spans="12:12" x14ac:dyDescent="0.25">
      <c r="L239" s="2"/>
    </row>
    <row r="240" spans="12:12" x14ac:dyDescent="0.25">
      <c r="L240" s="2"/>
    </row>
    <row r="241" spans="11:12" x14ac:dyDescent="0.25">
      <c r="L241" s="2"/>
    </row>
    <row r="244" spans="11:12" x14ac:dyDescent="0.25">
      <c r="L244" s="2"/>
    </row>
    <row r="245" spans="11:12" x14ac:dyDescent="0.25">
      <c r="L245" s="2"/>
    </row>
    <row r="246" spans="11:12" x14ac:dyDescent="0.25">
      <c r="K246" s="2"/>
      <c r="L246" s="2"/>
    </row>
    <row r="251" spans="11:12" x14ac:dyDescent="0.25">
      <c r="K251" s="2"/>
    </row>
    <row r="253" spans="11:12" x14ac:dyDescent="0.25">
      <c r="L253" s="2"/>
    </row>
    <row r="254" spans="11:12" x14ac:dyDescent="0.25">
      <c r="L254" s="2"/>
    </row>
    <row r="255" spans="11:12" x14ac:dyDescent="0.25">
      <c r="L255" s="2"/>
    </row>
    <row r="256" spans="11:12" x14ac:dyDescent="0.25">
      <c r="K256" s="2"/>
    </row>
    <row r="258" spans="11:12" x14ac:dyDescent="0.25">
      <c r="L258" s="2"/>
    </row>
    <row r="259" spans="11:12" x14ac:dyDescent="0.25">
      <c r="L259" s="2"/>
    </row>
    <row r="260" spans="11:12" x14ac:dyDescent="0.25">
      <c r="L260" s="2"/>
    </row>
    <row r="261" spans="11:12" x14ac:dyDescent="0.25">
      <c r="K261" s="2"/>
    </row>
    <row r="262" spans="11:12" x14ac:dyDescent="0.25">
      <c r="K262" s="2"/>
    </row>
    <row r="263" spans="11:12" x14ac:dyDescent="0.25">
      <c r="K263" s="2"/>
      <c r="L263" s="2"/>
    </row>
    <row r="264" spans="11:12" x14ac:dyDescent="0.25">
      <c r="K264" s="2"/>
      <c r="L264" s="2"/>
    </row>
    <row r="265" spans="11:12" x14ac:dyDescent="0.25">
      <c r="K265" s="2"/>
      <c r="L265" s="2"/>
    </row>
    <row r="267" spans="11:12" x14ac:dyDescent="0.25">
      <c r="K267" s="2"/>
    </row>
    <row r="268" spans="11:12" x14ac:dyDescent="0.25">
      <c r="L268" s="2"/>
    </row>
    <row r="269" spans="11:12" x14ac:dyDescent="0.25">
      <c r="K269" s="2"/>
      <c r="L269" s="2"/>
    </row>
    <row r="270" spans="11:12" x14ac:dyDescent="0.25">
      <c r="K270" s="2"/>
      <c r="L270" s="2"/>
    </row>
    <row r="271" spans="11:12" x14ac:dyDescent="0.25">
      <c r="K271" s="2"/>
    </row>
    <row r="272" spans="11:12" x14ac:dyDescent="0.25">
      <c r="K272" s="2"/>
    </row>
    <row r="274" spans="11:11" x14ac:dyDescent="0.25">
      <c r="K274" s="2"/>
    </row>
    <row r="280" spans="11:11" x14ac:dyDescent="0.25">
      <c r="K280" s="2"/>
    </row>
    <row r="285" spans="11:11" x14ac:dyDescent="0.25">
      <c r="K285" s="2"/>
    </row>
    <row r="290" spans="11:11" x14ac:dyDescent="0.25">
      <c r="K290" s="2"/>
    </row>
    <row r="295" spans="11:11" x14ac:dyDescent="0.25">
      <c r="K295" s="2"/>
    </row>
    <row r="296" spans="11:11" x14ac:dyDescent="0.25">
      <c r="K296" s="2"/>
    </row>
    <row r="297" spans="11:11" x14ac:dyDescent="0.25">
      <c r="K297" s="2"/>
    </row>
    <row r="298" spans="11:11" x14ac:dyDescent="0.25">
      <c r="K298" s="2"/>
    </row>
    <row r="299" spans="11:11" x14ac:dyDescent="0.25">
      <c r="K299" s="2"/>
    </row>
    <row r="301" spans="11:11" x14ac:dyDescent="0.25">
      <c r="K301" s="2"/>
    </row>
    <row r="303" spans="11:11" x14ac:dyDescent="0.25">
      <c r="K303" s="2"/>
    </row>
    <row r="304" spans="11:11" x14ac:dyDescent="0.25">
      <c r="K304" s="2"/>
    </row>
    <row r="305" spans="11:11" x14ac:dyDescent="0.25">
      <c r="K305" s="2"/>
    </row>
    <row r="306" spans="11:11" x14ac:dyDescent="0.25">
      <c r="K306" s="2"/>
    </row>
    <row r="308" spans="11:11" x14ac:dyDescent="0.25">
      <c r="K308" s="2"/>
    </row>
    <row r="316" spans="11:11" x14ac:dyDescent="0.25">
      <c r="K316" s="2"/>
    </row>
    <row r="317" spans="11:11" x14ac:dyDescent="0.25">
      <c r="K317" s="2"/>
    </row>
    <row r="318" spans="11:11" x14ac:dyDescent="0.25">
      <c r="K318" s="2"/>
    </row>
    <row r="321" spans="11:11" x14ac:dyDescent="0.25">
      <c r="K321" s="2"/>
    </row>
    <row r="322" spans="11:11" x14ac:dyDescent="0.25">
      <c r="K322" s="2"/>
    </row>
    <row r="323" spans="11:11" x14ac:dyDescent="0.25">
      <c r="K323" s="2"/>
    </row>
    <row r="326" spans="11:11" x14ac:dyDescent="0.25">
      <c r="K326" s="2"/>
    </row>
    <row r="327" spans="11:11" x14ac:dyDescent="0.25">
      <c r="K327" s="2"/>
    </row>
    <row r="328" spans="11:11" x14ac:dyDescent="0.25">
      <c r="K328" s="2"/>
    </row>
    <row r="331" spans="11:11" x14ac:dyDescent="0.25">
      <c r="K331" s="2"/>
    </row>
    <row r="332" spans="11:11" x14ac:dyDescent="0.25">
      <c r="K332" s="2"/>
    </row>
    <row r="333" spans="11:11" x14ac:dyDescent="0.25">
      <c r="K333" s="2"/>
    </row>
    <row r="340" spans="11:11" x14ac:dyDescent="0.25">
      <c r="K340" s="2"/>
    </row>
    <row r="341" spans="11:11" x14ac:dyDescent="0.25">
      <c r="K341" s="2"/>
    </row>
    <row r="342" spans="11:11" x14ac:dyDescent="0.25">
      <c r="K342" s="2"/>
    </row>
    <row r="345" spans="11:11" x14ac:dyDescent="0.25">
      <c r="K345" s="2"/>
    </row>
    <row r="346" spans="11:11" x14ac:dyDescent="0.25">
      <c r="K346" s="2"/>
    </row>
    <row r="347" spans="11:11" x14ac:dyDescent="0.25">
      <c r="K347" s="2"/>
    </row>
    <row r="350" spans="11:11" x14ac:dyDescent="0.25">
      <c r="K350" s="2"/>
    </row>
    <row r="351" spans="11:11" x14ac:dyDescent="0.25">
      <c r="K351" s="2"/>
    </row>
    <row r="352" spans="11:11" x14ac:dyDescent="0.25">
      <c r="K352" s="2"/>
    </row>
    <row r="355" spans="4:11" x14ac:dyDescent="0.25">
      <c r="K355" s="2"/>
    </row>
    <row r="356" spans="4:11" x14ac:dyDescent="0.25">
      <c r="K356" s="2"/>
    </row>
    <row r="357" spans="4:11" x14ac:dyDescent="0.25">
      <c r="K357" s="2"/>
    </row>
    <row r="360" spans="4:11" x14ac:dyDescent="0.25">
      <c r="D360" s="99"/>
    </row>
  </sheetData>
  <conditionalFormatting sqref="F125:F126">
    <cfRule type="cellIs" dxfId="27" priority="21" operator="lessThan">
      <formula>0</formula>
    </cfRule>
  </conditionalFormatting>
  <conditionalFormatting sqref="F137:F138">
    <cfRule type="cellIs" dxfId="26" priority="20" operator="lessThan">
      <formula>0</formula>
    </cfRule>
  </conditionalFormatting>
  <conditionalFormatting sqref="F149:F150">
    <cfRule type="cellIs" dxfId="25" priority="19" operator="lessThan">
      <formula>0</formula>
    </cfRule>
  </conditionalFormatting>
  <conditionalFormatting sqref="F161:F162">
    <cfRule type="cellIs" dxfId="24" priority="18" operator="lessThan">
      <formula>0</formula>
    </cfRule>
  </conditionalFormatting>
  <conditionalFormatting sqref="F249:F250">
    <cfRule type="cellIs" dxfId="23" priority="93" operator="lessThan">
      <formula>0</formula>
    </cfRule>
  </conditionalFormatting>
  <conditionalFormatting sqref="F254:F255">
    <cfRule type="cellIs" dxfId="22" priority="92" operator="lessThan">
      <formula>0</formula>
    </cfRule>
  </conditionalFormatting>
  <conditionalFormatting sqref="F259:F260">
    <cfRule type="cellIs" dxfId="21" priority="91" operator="lessThan">
      <formula>0</formula>
    </cfRule>
  </conditionalFormatting>
  <conditionalFormatting sqref="F283:F284">
    <cfRule type="cellIs" dxfId="20" priority="85" operator="lessThan">
      <formula>0</formula>
    </cfRule>
  </conditionalFormatting>
  <conditionalFormatting sqref="F288:F289">
    <cfRule type="cellIs" dxfId="19" priority="84" operator="lessThan">
      <formula>0</formula>
    </cfRule>
  </conditionalFormatting>
  <conditionalFormatting sqref="F293:F294">
    <cfRule type="cellIs" dxfId="18" priority="83" operator="lessThan">
      <formula>0</formula>
    </cfRule>
  </conditionalFormatting>
  <conditionalFormatting sqref="I30 I40:I41 H42:H44 O43 N44 I45 I47:I49 I51:I52 I203:J203 E209:G209 I209:J209 K246 J247 K251 J252 K256 J257 K261:K265 J262:J266 K267 J268 K269:K272 J270:J273 K274 J275 K280 J281 K285 J286 K290 J291 K295:K299 J296:J300 K301 J302 K303:K306 J304:J307 K308 J309">
    <cfRule type="cellIs" dxfId="17" priority="79" operator="lessThan">
      <formula>0</formula>
    </cfRule>
  </conditionalFormatting>
  <conditionalFormatting sqref="I32:I36 F46 L182 K183 L186:L187 K187:K188 L190:L191 K191:K192 L196:L197 K197:K198 L200:L201 K201:K202 L207:L212 K208">
    <cfRule type="cellIs" dxfId="16" priority="62" operator="lessThan">
      <formula>0</formula>
    </cfRule>
  </conditionalFormatting>
  <conditionalFormatting sqref="I56:I60">
    <cfRule type="cellIs" dxfId="15" priority="5" operator="lessThan">
      <formula>0</formula>
    </cfRule>
  </conditionalFormatting>
  <conditionalFormatting sqref="I64 M103 I123:J123">
    <cfRule type="cellIs" dxfId="14" priority="74" operator="lessThan">
      <formula>0</formula>
    </cfRule>
  </conditionalFormatting>
  <conditionalFormatting sqref="I75:I77">
    <cfRule type="cellIs" dxfId="13" priority="4" operator="lessThan">
      <formula>0</formula>
    </cfRule>
  </conditionalFormatting>
  <conditionalFormatting sqref="I81:I84">
    <cfRule type="cellIs" dxfId="12" priority="3" operator="lessThan">
      <formula>0</formula>
    </cfRule>
  </conditionalFormatting>
  <conditionalFormatting sqref="I88:I92">
    <cfRule type="cellIs" dxfId="11" priority="1" operator="lessThan">
      <formula>0</formula>
    </cfRule>
  </conditionalFormatting>
  <conditionalFormatting sqref="J151">
    <cfRule type="cellIs" dxfId="10" priority="24" operator="lessThan">
      <formula>0</formula>
    </cfRule>
  </conditionalFormatting>
  <conditionalFormatting sqref="L115:L118">
    <cfRule type="cellIs" dxfId="9" priority="11" operator="lessThan">
      <formula>0</formula>
    </cfRule>
  </conditionalFormatting>
  <conditionalFormatting sqref="L121">
    <cfRule type="cellIs" dxfId="8" priority="17" operator="lessThan">
      <formula>0</formula>
    </cfRule>
  </conditionalFormatting>
  <conditionalFormatting sqref="L127:L130">
    <cfRule type="cellIs" dxfId="7" priority="10" operator="lessThan">
      <formula>0</formula>
    </cfRule>
  </conditionalFormatting>
  <conditionalFormatting sqref="L133">
    <cfRule type="cellIs" dxfId="6" priority="16" operator="lessThan">
      <formula>0</formula>
    </cfRule>
  </conditionalFormatting>
  <conditionalFormatting sqref="L139:L142">
    <cfRule type="cellIs" dxfId="5" priority="9" operator="lessThan">
      <formula>0</formula>
    </cfRule>
  </conditionalFormatting>
  <conditionalFormatting sqref="L145">
    <cfRule type="cellIs" dxfId="4" priority="15" operator="lessThan">
      <formula>0</formula>
    </cfRule>
  </conditionalFormatting>
  <conditionalFormatting sqref="L151:L154">
    <cfRule type="cellIs" dxfId="3" priority="8" operator="lessThan">
      <formula>0</formula>
    </cfRule>
  </conditionalFormatting>
  <conditionalFormatting sqref="L157">
    <cfRule type="cellIs" dxfId="2" priority="14" operator="lessThan">
      <formula>0</formula>
    </cfRule>
  </conditionalFormatting>
  <conditionalFormatting sqref="L161:L162">
    <cfRule type="cellIs" dxfId="1" priority="12" operator="lessThan">
      <formula>0</formula>
    </cfRule>
  </conditionalFormatting>
  <conditionalFormatting sqref="L214 L216:L219 L221 J227:J229 J232:J234">
    <cfRule type="cellIs" dxfId="0" priority="102" operator="lessThan">
      <formula>0</formula>
    </cfRule>
  </conditionalFormatting>
  <dataValidations count="12">
    <dataValidation type="list" allowBlank="1" showInputMessage="1" showErrorMessage="1" sqref="D276" xr:uid="{4E913AB3-F90B-4C35-BCE1-5DBB8FC05107}">
      <formula1>INDIRECT("Table_SourceData_PoultryMMSStage1[MMS]")</formula1>
    </dataValidation>
    <dataValidation type="list" allowBlank="1" showInputMessage="1" showErrorMessage="1" sqref="E224" xr:uid="{9FB53635-991F-44AA-A123-E8ABEF9EE0A6}">
      <formula1>INDIRECT("Table_SourceData_Dairy_ProductionSystemTemplates[Area]")</formula1>
    </dataValidation>
    <dataValidation type="list" allowBlank="1" showInputMessage="1" showErrorMessage="1" sqref="E248 E253 E258 E292 E287 E282 E160 E148 E124 E136" xr:uid="{00A4EA4C-90D3-4150-979D-4D71C7F37A31}">
      <formula1>"Yes, No"</formula1>
    </dataValidation>
    <dataValidation type="list" allowBlank="1" showInputMessage="1" showErrorMessage="1" sqref="E64" xr:uid="{DBA884B0-B52E-420E-8FD2-21B082EB75E2}">
      <formula1>INDIRECT("Table_SourceData_Swine_IrrigationMethods[Irrigation method]")</formula1>
    </dataValidation>
    <dataValidation type="list" allowBlank="1" showInputMessage="1" showErrorMessage="1" sqref="E63" xr:uid="{B95E29DC-96D0-4475-A29E-3F3A3B60CEA1}">
      <formula1>INDIRECT("Table_SourceData_Swine_CropProdSystems[Production system]")</formula1>
    </dataValidation>
    <dataValidation type="list" allowBlank="1" showInputMessage="1" showErrorMessage="1" sqref="E6" xr:uid="{0A0AE702-92B7-4071-9891-43CC75783AE0}">
      <formula1>INDIRECT("Table_SourceData_Fertiliser_CropProdSystems[Production system]")</formula1>
    </dataValidation>
    <dataValidation type="list" allowBlank="1" showInputMessage="1" showErrorMessage="1" sqref="E8" xr:uid="{A588F812-6D90-402D-B63E-4EE68B0D0E18}">
      <formula1>INDIRECT("Table_SourceData_Fertiliser_IrrigationMethods[Irrigation method]")</formula1>
    </dataValidation>
    <dataValidation type="list" allowBlank="1" showInputMessage="1" showErrorMessage="1" sqref="E7" xr:uid="{F72409F7-4F43-4214-A0C3-EC1C9D02F963}">
      <formula1>INDIRECT("Table_SourceData_Fertiliser_CropTypes[Production system]")</formula1>
    </dataValidation>
    <dataValidation type="list" allowBlank="1" showInputMessage="1" showErrorMessage="1" sqref="H23:H24 J23:J24 L23:L24 N23:N24" xr:uid="{4A7ED0FB-DC6D-4B9E-B043-37B0C0BD600A}">
      <formula1>INDIRECT("Table_Fertiliser_ChemicalCompounds[Fertiliser type f]")</formula1>
    </dataValidation>
    <dataValidation type="list" allowBlank="1" showInputMessage="1" showErrorMessage="1" sqref="D43:D44" xr:uid="{23F8C720-A764-46DD-9B01-B7EA3D86E5AB}">
      <formula1>INDIRECT("Table_SourceData_OrganicFertiliserTypes[Organic fertiliser type]")</formula1>
    </dataValidation>
    <dataValidation type="list" allowBlank="1" showInputMessage="1" showErrorMessage="1" sqref="D18:D19" xr:uid="{B23B57EC-703F-4AE4-9B1D-0AF66025057C}">
      <formula1>INDIRECT("FertiliserProducts[Product Name]")</formula1>
    </dataValidation>
    <dataValidation type="list" allowBlank="1" showInputMessage="1" showErrorMessage="1" sqref="Q23:R24" xr:uid="{6D99C1CC-E467-4127-AA10-A6BB1059614B}">
      <formula1>INDIRECT("Table_SourceData_Fertiliser_UreaAmmoniaSources[Source]")</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X342"/>
  <sheetViews>
    <sheetView showGridLines="0" topLeftCell="A15" zoomScaleNormal="100" workbookViewId="0">
      <selection activeCell="E37" sqref="E37"/>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23" width="30.7109375" style="1" customWidth="1"/>
    <col min="24" max="24" width="4.7109375" style="1" customWidth="1"/>
  </cols>
  <sheetData>
    <row r="1" spans="1:24" s="8" customFormat="1" ht="30" customHeight="1" x14ac:dyDescent="0.35">
      <c r="A1" s="62" t="e" vm="1">
        <v>#VALUE!</v>
      </c>
      <c r="C1" s="8" t="s">
        <v>201</v>
      </c>
      <c r="K1"/>
    </row>
    <row r="2" spans="1:24" s="9" customFormat="1" ht="20.100000000000001" customHeight="1" x14ac:dyDescent="0.25">
      <c r="K2"/>
    </row>
    <row r="3" spans="1:24" ht="20.100000000000001" customHeight="1" x14ac:dyDescent="0.25">
      <c r="A3" s="17" t="str">
        <f>HYPERLINK("#'Home'!A1", "Home")</f>
        <v>Home</v>
      </c>
      <c r="C3" s="4"/>
      <c r="D3" s="4" t="s">
        <v>79</v>
      </c>
      <c r="E3" s="4"/>
      <c r="F3" s="4"/>
      <c r="G3" s="4"/>
      <c r="H3" s="4"/>
      <c r="I3" s="4"/>
      <c r="J3" s="4"/>
      <c r="L3" s="4"/>
      <c r="M3" s="4" t="s">
        <v>80</v>
      </c>
      <c r="N3" s="4"/>
      <c r="O3" s="4"/>
      <c r="P3" s="4"/>
      <c r="Q3" s="4"/>
      <c r="R3" s="4"/>
      <c r="S3" s="4"/>
      <c r="T3" s="4"/>
      <c r="U3" s="4"/>
      <c r="V3" s="4"/>
      <c r="W3" s="4"/>
      <c r="X3" s="4"/>
    </row>
    <row r="4" spans="1:24" ht="20.100000000000001" customHeight="1" x14ac:dyDescent="0.25">
      <c r="A4" s="17" t="str">
        <f>HYPERLINK("#'Overview'!A1", "Overview")</f>
        <v>Overview</v>
      </c>
    </row>
    <row r="5" spans="1:24" ht="20.100000000000001" customHeight="1" x14ac:dyDescent="0.25">
      <c r="A5" s="17" t="str">
        <f>HYPERLINK("#'Results'!A1", "Results")</f>
        <v>Results</v>
      </c>
      <c r="D5" s="6" t="s">
        <v>320</v>
      </c>
      <c r="M5" s="6" t="s">
        <v>322</v>
      </c>
    </row>
    <row r="6" spans="1:24" ht="20.100000000000001" customHeight="1" x14ac:dyDescent="0.25">
      <c r="A6" s="16"/>
      <c r="D6" s="5" t="s">
        <v>321</v>
      </c>
      <c r="M6" s="5" t="s">
        <v>323</v>
      </c>
    </row>
    <row r="7" spans="1:24" ht="20.100000000000001" customHeight="1" x14ac:dyDescent="0.25">
      <c r="A7" s="20" t="s">
        <v>1</v>
      </c>
      <c r="D7" s="13"/>
      <c r="E7" s="13"/>
    </row>
    <row r="8" spans="1:24" ht="20.100000000000001" customHeight="1" x14ac:dyDescent="0.25">
      <c r="A8" s="17" t="str">
        <f>HYPERLINK("#'Input - Site'!A1", "Site")</f>
        <v>Site</v>
      </c>
    </row>
    <row r="9" spans="1:24" ht="20.100000000000001" customHeight="1" x14ac:dyDescent="0.25">
      <c r="A9" s="17" t="str">
        <f>HYPERLINK("#'Input - Fertiliser'!A1", "Fertiliser")</f>
        <v>Fertiliser</v>
      </c>
      <c r="M9" s="51" t="s">
        <v>24</v>
      </c>
      <c r="N9" s="1" t="s">
        <v>324</v>
      </c>
    </row>
    <row r="10" spans="1:24" ht="20.100000000000001" customHeight="1" x14ac:dyDescent="0.25">
      <c r="A10" s="17"/>
      <c r="D10" s="51" t="s">
        <v>24</v>
      </c>
      <c r="E10" s="1" t="s">
        <v>325</v>
      </c>
      <c r="M10" s="51" t="s">
        <v>16</v>
      </c>
      <c r="N10" s="52" t="s">
        <v>179</v>
      </c>
    </row>
    <row r="11" spans="1:24" ht="20.100000000000001" customHeight="1" x14ac:dyDescent="0.25">
      <c r="A11" s="19" t="s">
        <v>68</v>
      </c>
      <c r="D11" s="51" t="s">
        <v>16</v>
      </c>
      <c r="E11" s="52" t="s">
        <v>326</v>
      </c>
    </row>
    <row r="12" spans="1:24" ht="20.100000000000001" customHeight="1" x14ac:dyDescent="0.25">
      <c r="A12" s="176" t="str">
        <f>HYPERLINK("#'5.1.1.1-2 Inorganic Fert N2O'!A1", "5.1.1.1-2 Inorganic Fert N2O")</f>
        <v>5.1.1.1-2 Inorganic Fert N2O</v>
      </c>
      <c r="M12" s="54" t="s">
        <v>327</v>
      </c>
      <c r="N12" s="55" t="s">
        <v>328</v>
      </c>
      <c r="O12" s="93"/>
      <c r="P12" s="54" t="s">
        <v>331</v>
      </c>
      <c r="Q12" s="120" t="s">
        <v>332</v>
      </c>
      <c r="R12" s="146" t="str" cm="1">
        <f t="array" aca="1" ref="R12" ca="1">HYPERLINK(Common_InputFunctions.Utility_SourceHyperlink($M$41), $M$41)</f>
        <v>M2_Table_FertApplications</v>
      </c>
      <c r="S12" s="121"/>
    </row>
    <row r="13" spans="1:24" ht="20.100000000000001" customHeight="1" x14ac:dyDescent="0.25">
      <c r="A13" s="17" t="str">
        <f>HYPERLINK("#'5.1.1.3-4 Inorganic fert CO2'!A1", "5.1.1.3-4 Inorganic fert CO2")</f>
        <v>5.1.1.3-4 Inorganic fert CO2</v>
      </c>
      <c r="D13" s="54" t="s">
        <v>334</v>
      </c>
      <c r="E13" s="54" t="s">
        <v>335</v>
      </c>
      <c r="F13" s="54"/>
      <c r="G13" s="54" t="s">
        <v>141</v>
      </c>
      <c r="H13" s="120" t="s">
        <v>332</v>
      </c>
      <c r="I13" s="145" t="str" cm="1">
        <f t="array" aca="1" ref="I13" ca="1">HYPERLINK(Common_InputFunctions.Utility_SourceHyperlink($D$16), $D$16)</f>
        <v>Table_MN_j_f</v>
      </c>
      <c r="M13" s="54" t="s">
        <v>329</v>
      </c>
      <c r="N13" s="55" t="s">
        <v>330</v>
      </c>
      <c r="O13" s="93"/>
      <c r="P13" s="54"/>
      <c r="Q13" s="119" t="s">
        <v>333</v>
      </c>
      <c r="R13" s="55" t="s">
        <v>172</v>
      </c>
      <c r="S13" s="121"/>
    </row>
    <row r="14" spans="1:24" ht="20.100000000000001" customHeight="1" x14ac:dyDescent="0.25">
      <c r="A14" s="17" t="str">
        <f>HYPERLINK("#'5.2.1.1-2 Organic Fert N2O'!A1", "5.2.1.1-2 Organic Fert N2O")</f>
        <v>5.2.1.1-2 Organic Fert N2O</v>
      </c>
      <c r="D14" s="54" t="s">
        <v>336</v>
      </c>
      <c r="E14" s="55" t="s">
        <v>337</v>
      </c>
      <c r="F14" s="56"/>
      <c r="G14" s="54" t="s">
        <v>338</v>
      </c>
      <c r="H14" s="119" t="s">
        <v>333</v>
      </c>
      <c r="I14" s="145" t="str" cm="1">
        <f t="array" aca="1" ref="I14" ca="1">HYPERLINK(Common_InputFunctions.Utility_SourceHyperlink($D$16), $D$16)</f>
        <v>Table_MN_j_f</v>
      </c>
    </row>
    <row r="15" spans="1:24" ht="20.100000000000001" customHeight="1" x14ac:dyDescent="0.25">
      <c r="A15" s="17" t="str">
        <f>HYPERLINK("#'5.3.1.1-2 Lime CO2'!A1", "5.3.1.1-2 Lime CO2")</f>
        <v>5.3.1.1-2 Lime CO2</v>
      </c>
    </row>
    <row r="16" spans="1:24" ht="20.100000000000001" customHeight="1" x14ac:dyDescent="0.25">
      <c r="A16" s="17" t="str">
        <f>HYPERLINK("#'5.4.1.1-4 Atmos deposition'!A1", "5.4.1.1-4 Atmos deposition")</f>
        <v>5.4.1.1-4 Atmos deposition</v>
      </c>
      <c r="D16" s="92" t="s">
        <v>144</v>
      </c>
      <c r="M16" s="6" t="s">
        <v>339</v>
      </c>
    </row>
    <row r="17" spans="1:19" ht="20.100000000000001" customHeight="1" x14ac:dyDescent="0.25">
      <c r="A17" s="17" t="str">
        <f>HYPERLINK("#'5.5.1.1-2 Leaching and runoff'!A1", "5.5.1.1-2 Leaching and runoff")</f>
        <v>5.5.1.1-2 Leaching and runoff</v>
      </c>
      <c r="D17" s="91" t="s">
        <v>160</v>
      </c>
      <c r="M17" s="5" t="s">
        <v>340</v>
      </c>
    </row>
    <row r="18" spans="1:19" ht="20.100000000000001" customHeight="1" x14ac:dyDescent="0.25">
      <c r="D18" s="49" t="s">
        <v>111</v>
      </c>
      <c r="E18" s="112" t="s">
        <v>143</v>
      </c>
      <c r="F18" s="49" t="s">
        <v>142</v>
      </c>
      <c r="G18" s="49" t="s">
        <v>159</v>
      </c>
    </row>
    <row r="19" spans="1:19" ht="20.100000000000001" customHeight="1" x14ac:dyDescent="0.25">
      <c r="A19" s="18" t="s">
        <v>2</v>
      </c>
      <c r="D19" s="50" t="str" cm="1">
        <f t="array" ref="D19:D37">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f],Table_Fertiliser_ChemicalCompounds[FNinorganic f])</f>
        <v>0.1</v>
      </c>
      <c r="G19" s="50">
        <f>(E19 * F19)</f>
        <v>0</v>
      </c>
    </row>
    <row r="20" spans="1:19"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f],Table_Fertiliser_ChemicalCompounds[FNinorganic f])</f>
        <v>0.18</v>
      </c>
      <c r="G20" s="50">
        <f>(E20 * F20)</f>
        <v>0</v>
      </c>
      <c r="M20" s="51" t="s">
        <v>24</v>
      </c>
      <c r="N20" s="1" t="s">
        <v>341</v>
      </c>
    </row>
    <row r="21" spans="1:19"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521.73913000000005</v>
      </c>
      <c r="F21" s="50" cm="1">
        <f t="array" ref="F21">Common_InputFunctions.Utility_LookupValueInTableNumber(D21,Table_Fertiliser_ChemicalCompounds[Fertiliser type f],Table_Fertiliser_ChemicalCompounds[FNinorganic f])</f>
        <v>0.46</v>
      </c>
      <c r="G21" s="50">
        <f>(E21 * F21)</f>
        <v>239.99999980000004</v>
      </c>
      <c r="M21" s="51" t="s">
        <v>16</v>
      </c>
      <c r="N21" s="52" t="s">
        <v>179</v>
      </c>
    </row>
    <row r="22" spans="1:19"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f],Table_Fertiliser_ChemicalCompounds[FNinorganic f])</f>
        <v>0.21</v>
      </c>
      <c r="G22" s="50">
        <f>(E22 * F22)</f>
        <v>0</v>
      </c>
    </row>
    <row r="23" spans="1:19"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f],Table_Fertiliser_ChemicalCompounds[FNinorganic f])</f>
        <v>0.32</v>
      </c>
      <c r="G23" s="50">
        <f>(E23 * F23)</f>
        <v>0</v>
      </c>
      <c r="M23" s="54" t="s">
        <v>342</v>
      </c>
      <c r="N23" s="55" t="s">
        <v>343</v>
      </c>
      <c r="O23" s="93"/>
      <c r="P23" s="54" t="s">
        <v>331</v>
      </c>
      <c r="Q23" s="120" t="s">
        <v>332</v>
      </c>
      <c r="R23" s="146" t="str" cm="1">
        <f t="array" aca="1" ref="R23" ca="1">HYPERLINK(Common_InputFunctions.Utility_SourceHyperlink($M$41), $M$41)</f>
        <v>M2_Table_FertApplications</v>
      </c>
      <c r="S23" s="56"/>
    </row>
    <row r="24" spans="1:19"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f],Table_Fertiliser_ChemicalCompounds[FNinorganic f])</f>
        <v>0.33700000000000002</v>
      </c>
      <c r="G24" s="50">
        <f>(E24 * F24)</f>
        <v>0</v>
      </c>
      <c r="I24" s="2"/>
      <c r="M24" s="54" t="s">
        <v>329</v>
      </c>
      <c r="N24" s="55" t="s">
        <v>330</v>
      </c>
      <c r="O24" s="93"/>
      <c r="P24" s="54"/>
      <c r="Q24" s="119" t="s">
        <v>333</v>
      </c>
      <c r="R24" s="55" t="s">
        <v>172</v>
      </c>
      <c r="S24" s="56"/>
    </row>
    <row r="25" spans="1:19"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f],Table_Fertiliser_ChemicalCompounds[FNinorganic f])</f>
        <v>0.27</v>
      </c>
      <c r="G25" s="50">
        <f>(E25 * F25)</f>
        <v>0</v>
      </c>
      <c r="I25" s="2"/>
    </row>
    <row r="26" spans="1:19"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50" cm="1">
        <f t="array" ref="F26">Common_InputFunctions.Utility_LookupValueInTableNumber(D26,Table_Fertiliser_ChemicalCompounds[Fertiliser type f],Table_Fertiliser_ChemicalCompounds[FNinorganic f])</f>
        <v>1</v>
      </c>
      <c r="G26" s="50">
        <f>(E26 * F26)</f>
        <v>0</v>
      </c>
      <c r="I26" s="2"/>
    </row>
    <row r="27" spans="1:19"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7" s="50" cm="1">
        <f t="array" ref="F27">Common_InputFunctions.Utility_LookupValueInTableNumber(D27,Table_Fertiliser_ChemicalCompounds[Fertiliser type f],Table_Fertiliser_ChemicalCompounds[FNinorganic f])</f>
        <v>1</v>
      </c>
      <c r="G27" s="50">
        <f>(E27 * F27)</f>
        <v>0</v>
      </c>
      <c r="I27" s="2"/>
      <c r="M27" s="6" t="s">
        <v>344</v>
      </c>
    </row>
    <row r="28" spans="1:19"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825.55199999999991</v>
      </c>
      <c r="F28" s="50" cm="1">
        <f t="array" ref="F28">Common_InputFunctions.Utility_LookupValueInTableNumber(D28,Table_Fertiliser_ChemicalCompounds[Fertiliser type f],Table_Fertiliser_ChemicalCompounds[FNinorganic f])</f>
        <v>1</v>
      </c>
      <c r="G28" s="50">
        <f>(E28 * F28)</f>
        <v>825.55199999999991</v>
      </c>
      <c r="I28" s="2"/>
      <c r="M28" s="5" t="s">
        <v>345</v>
      </c>
    </row>
    <row r="29" spans="1:19"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1322.08</v>
      </c>
      <c r="F29" s="50" cm="1">
        <f t="array" ref="F29">Common_InputFunctions.Utility_LookupValueInTableNumber(D29,Table_Fertiliser_ChemicalCompounds[Fertiliser type f],Table_Fertiliser_ChemicalCompounds[FNinorganic f])</f>
        <v>0</v>
      </c>
      <c r="G29" s="50">
        <f>(E29 * F29)</f>
        <v>0</v>
      </c>
      <c r="I29" s="2"/>
    </row>
    <row r="30" spans="1:19"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7224.2</v>
      </c>
      <c r="F30" s="50" cm="1">
        <f t="array" ref="F30">Common_InputFunctions.Utility_LookupValueInTableNumber(D30,Table_Fertiliser_ChemicalCompounds[Fertiliser type f],Table_Fertiliser_ChemicalCompounds[FNinorganic f])</f>
        <v>0</v>
      </c>
      <c r="G30" s="50">
        <f>(E30 * F30)</f>
        <v>0</v>
      </c>
      <c r="I30" s="2"/>
    </row>
    <row r="31" spans="1:19"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53</v>
      </c>
      <c r="F31" s="50" cm="1">
        <f t="array" ref="F31">Common_InputFunctions.Utility_LookupValueInTableNumber(D31,Table_Fertiliser_ChemicalCompounds[Fertiliser type f],Table_Fertiliser_ChemicalCompounds[FNinorganic f])</f>
        <v>0</v>
      </c>
      <c r="G31" s="50">
        <f>(E31 * F31)</f>
        <v>0</v>
      </c>
      <c r="I31" s="2"/>
    </row>
    <row r="32" spans="1:19"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2" s="50" cm="1">
        <f t="array" ref="F32">Common_InputFunctions.Utility_LookupValueInTableNumber(D32,Table_Fertiliser_ChemicalCompounds[Fertiliser type f],Table_Fertiliser_ChemicalCompounds[FNinorganic f])</f>
        <v>0</v>
      </c>
      <c r="G32" s="50">
        <f>(E32 * F32)</f>
        <v>0</v>
      </c>
      <c r="I32" s="2"/>
      <c r="M32" s="51" t="s">
        <v>24</v>
      </c>
      <c r="N32" s="1" t="s">
        <v>346</v>
      </c>
    </row>
    <row r="33" spans="1:23"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f],Table_Fertiliser_ChemicalCompounds[FNinorganic f])</f>
        <v>0</v>
      </c>
      <c r="G33" s="50">
        <f>(E33 * F33)</f>
        <v>0</v>
      </c>
      <c r="I33" s="2"/>
      <c r="M33" s="51" t="s">
        <v>16</v>
      </c>
      <c r="N33" s="52" t="s">
        <v>179</v>
      </c>
    </row>
    <row r="34" spans="1:23"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f],Table_Fertiliser_ChemicalCompounds[FNinorganic f])</f>
        <v>0</v>
      </c>
      <c r="G34" s="50">
        <f>(E34 * F34)</f>
        <v>0</v>
      </c>
      <c r="I34" s="2"/>
    </row>
    <row r="35" spans="1:23"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f],Table_Fertiliser_ChemicalCompounds[FNinorganic f])</f>
        <v>0</v>
      </c>
      <c r="G35" s="50">
        <f>(E35 * F35)</f>
        <v>0</v>
      </c>
      <c r="I35" s="2"/>
      <c r="M35" s="54" t="s">
        <v>347</v>
      </c>
      <c r="N35" s="55" t="s">
        <v>348</v>
      </c>
      <c r="O35" s="93"/>
      <c r="P35" s="55" t="s">
        <v>331</v>
      </c>
      <c r="Q35" s="120" t="s">
        <v>332</v>
      </c>
      <c r="R35" s="146" t="str" cm="1">
        <f t="array" aca="1" ref="R35" ca="1">HYPERLINK(Common_InputFunctions.Utility_SourceHyperlink($M$41), $M$41)</f>
        <v>M2_Table_FertApplications</v>
      </c>
      <c r="S35" s="56"/>
    </row>
    <row r="36" spans="1:23"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6" s="50" cm="1">
        <f t="array" ref="F36">Common_InputFunctions.Utility_LookupValueInTableNumber(D36,Table_Fertiliser_ChemicalCompounds[Fertiliser type f],Table_Fertiliser_ChemicalCompounds[FNinorganic f])</f>
        <v>0.82350000000000001</v>
      </c>
      <c r="G36" s="50">
        <f>(E36 * F36)</f>
        <v>0</v>
      </c>
      <c r="I36" s="2"/>
      <c r="M36" s="54" t="s">
        <v>329</v>
      </c>
      <c r="N36" s="55" t="s">
        <v>330</v>
      </c>
      <c r="O36" s="93"/>
      <c r="P36" s="55"/>
      <c r="Q36" s="119" t="s">
        <v>333</v>
      </c>
      <c r="R36" s="55" t="s">
        <v>172</v>
      </c>
      <c r="S36" s="56"/>
    </row>
    <row r="37" spans="1:23" ht="20.100000000000001" customHeight="1" x14ac:dyDescent="0.25">
      <c r="A37" s="157" t="str">
        <f>HYPERLINK("#A1", "▲ Back to top")</f>
        <v>▲ Back to top</v>
      </c>
      <c r="D37" s="50" t="str">
        <v>Calcium nitrate</v>
      </c>
      <c r="E37" s="50"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37" s="50" cm="1">
        <f t="array" ref="F37">Common_InputFunctions.Utility_LookupValueInTableNumber(D37,Table_Fertiliser_ChemicalCompounds[Fertiliser type f],Table_Fertiliser_ChemicalCompounds[FNinorganic f])</f>
        <v>0.155</v>
      </c>
      <c r="G37" s="50">
        <f>(E37 * F37)</f>
        <v>1550</v>
      </c>
      <c r="H37" s="51"/>
      <c r="I37" s="2"/>
    </row>
    <row r="38" spans="1:23" ht="20.100000000000001" customHeight="1" x14ac:dyDescent="0.25">
      <c r="N38" s="99"/>
      <c r="O38" s="99"/>
      <c r="P38" s="99"/>
    </row>
    <row r="39" spans="1:23" ht="20.100000000000001" customHeight="1" x14ac:dyDescent="0.25">
      <c r="C39" s="44"/>
      <c r="D39" s="44"/>
      <c r="E39" s="44"/>
      <c r="F39" s="44"/>
      <c r="G39" s="44"/>
      <c r="H39" s="44"/>
      <c r="I39" s="44"/>
      <c r="J39" s="44"/>
      <c r="M39" s="99" t="s">
        <v>181</v>
      </c>
    </row>
    <row r="40" spans="1:23" ht="20.100000000000001" customHeight="1" x14ac:dyDescent="0.25">
      <c r="D40" s="6" t="s">
        <v>349</v>
      </c>
    </row>
    <row r="41" spans="1:23" ht="20.100000000000001" customHeight="1" x14ac:dyDescent="0.25">
      <c r="D41" s="5" t="s">
        <v>350</v>
      </c>
      <c r="M41" s="92" t="s">
        <v>173</v>
      </c>
      <c r="T41" s="100" t="s">
        <v>200</v>
      </c>
    </row>
    <row r="42" spans="1:23" ht="20.100000000000001" customHeight="1" x14ac:dyDescent="0.25">
      <c r="D42" s="13"/>
      <c r="E42" s="13"/>
      <c r="F42" s="2"/>
      <c r="M42" s="91" t="s">
        <v>171</v>
      </c>
    </row>
    <row r="43" spans="1:23" ht="20.100000000000001" customHeight="1" x14ac:dyDescent="0.25">
      <c r="F43" s="2"/>
      <c r="O43" s="118" t="s">
        <v>178</v>
      </c>
      <c r="P43" s="118" t="s">
        <v>177</v>
      </c>
      <c r="Q43" s="118" t="s">
        <v>141</v>
      </c>
      <c r="R43" s="118" t="str">
        <f>$N$10</f>
        <v>kg N2O-N/kg N applied</v>
      </c>
      <c r="S43" s="118" t="str">
        <f>$N$21</f>
        <v>kg N2O-N/kg N applied</v>
      </c>
      <c r="T43" s="118" t="s">
        <v>178</v>
      </c>
      <c r="U43" s="118" t="s">
        <v>141</v>
      </c>
      <c r="V43" s="118" t="str">
        <f>$N$33</f>
        <v>kg N2O-N/kg N applied</v>
      </c>
      <c r="W43" s="118" t="s">
        <v>179</v>
      </c>
    </row>
    <row r="44" spans="1:23" ht="20.100000000000001" customHeight="1" x14ac:dyDescent="0.25">
      <c r="F44" s="2"/>
      <c r="M44" s="49" t="s">
        <v>170</v>
      </c>
      <c r="N44" s="112" t="s">
        <v>170</v>
      </c>
      <c r="O44" s="112" t="s">
        <v>165</v>
      </c>
      <c r="P44" s="112" t="s">
        <v>166</v>
      </c>
      <c r="Q44" s="49" t="s">
        <v>167</v>
      </c>
      <c r="R44" s="49" t="str">
        <f>N9</f>
        <v>EF_fjIrrigatedMaizeN2O</v>
      </c>
      <c r="S44" s="49" t="str">
        <f>N20</f>
        <v>EF_fjNonIrrigatedGrainsN2O</v>
      </c>
      <c r="T44" s="49" t="s">
        <v>180</v>
      </c>
      <c r="U44" s="49" t="s">
        <v>176</v>
      </c>
      <c r="V44" s="49" t="str">
        <f>N32</f>
        <v>EF_fjCottonN2O</v>
      </c>
      <c r="W44" s="49" t="s">
        <v>232</v>
      </c>
    </row>
    <row r="45" spans="1:23" ht="20.100000000000001" customHeight="1" x14ac:dyDescent="0.25">
      <c r="F45" s="2"/>
      <c r="M45" s="50" t="s">
        <v>175</v>
      </c>
      <c r="N45" s="50" t="str" cm="1">
        <f t="array" ref="N45:N46">Table_Input_InorganicFertiliser_Brands[Product (select)]</f>
        <v>Aqua Finish</v>
      </c>
      <c r="O45" s="50" cm="1">
        <f t="array" ref="O45:O46">Table_Input_InorganicFertiliser_Brands[N application rate (kg/ha)]</f>
        <v>6.5519999999999996</v>
      </c>
      <c r="P45" s="50" cm="1">
        <f t="array" ref="P45:P46">Table_Input_InorganicFertiliser_Brands[Application area (ha)]</f>
        <v>100</v>
      </c>
      <c r="Q45" s="50">
        <f>O45*P45</f>
        <v>655.19999999999993</v>
      </c>
      <c r="R45" s="50">
        <f>IF(O45&gt;0, ((-0.1474 + (0.0061 * O45)) * 10 ^ -2), 0)</f>
        <v>-1.074328E-3</v>
      </c>
      <c r="S45" s="50">
        <f>IF(O45&gt;0, ((0.0781 + (0.0075 * O45)) * 10 ^ -2), 0)</f>
        <v>1.2723999999999999E-3</v>
      </c>
      <c r="T45" s="50">
        <f>IF(O45&gt;0, MIN(300, O45), 0)</f>
        <v>6.5519999999999996</v>
      </c>
      <c r="U45" s="50">
        <f>P45*T45</f>
        <v>655.19999999999993</v>
      </c>
      <c r="V45" s="50">
        <f>IF(O45&gt;0, ((0.01 * (0.29 + ((0.007 * (EXP(0.037 * T45) - 1)) / T45))) * 10 ^ -2), 0)</f>
        <v>2.9029309230349243E-5</v>
      </c>
      <c r="W45" s="50">
        <f>IF(O45&gt;0,Common_InputFunctions.Utility_LookupN2OEFFromProdIrrigationRainfall($S$70,$S$73,$S$74,Table_SourceData_Common_EFN2O[Production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6" spans="1:23" ht="20.100000000000001" customHeight="1" x14ac:dyDescent="0.25">
      <c r="D46" s="51" t="s">
        <v>24</v>
      </c>
      <c r="E46" s="1" t="s">
        <v>351</v>
      </c>
      <c r="F46" s="2"/>
      <c r="M46" s="50" t="s">
        <v>175</v>
      </c>
      <c r="N46" s="50" t="str">
        <v>Boost-It</v>
      </c>
      <c r="O46" s="50">
        <v>2.3999999980000002</v>
      </c>
      <c r="P46" s="50">
        <v>100</v>
      </c>
      <c r="Q46" s="50">
        <f>O46*P46</f>
        <v>239.99999980000001</v>
      </c>
      <c r="R46" s="50">
        <f>IF(O46&gt;0, ((-0.1474 + (0.0061 * O46)) * 10 ^ -2), 0)</f>
        <v>-1.327600000122E-3</v>
      </c>
      <c r="S46" s="50">
        <f>IF(O46&gt;0, ((0.0781 + (0.0075 * O46)) * 10 ^ -2), 0)</f>
        <v>9.6099999985000003E-4</v>
      </c>
      <c r="T46" s="50">
        <f t="shared" ref="T46:T54" si="0">IF(O46&gt;0, MIN(300, O46), 0)</f>
        <v>2.3999999980000002</v>
      </c>
      <c r="U46" s="50">
        <f t="shared" ref="U46:U54" si="1">P46*T46</f>
        <v>239.99999980000001</v>
      </c>
      <c r="V46" s="50">
        <f>IF(O46&gt;0, ((0.01 * (0.29 + ((0.007 * (EXP(0.037 * T46) - 1)) / T46))) * 10 ^ -2), 0)</f>
        <v>2.9027084768098419E-5</v>
      </c>
      <c r="W46" s="50">
        <f>IF(O46&gt;0,Common_InputFunctions.Utility_LookupN2OEFFromProdIrrigationRainfall($S$70,$S$73,$S$74,Table_SourceData_Common_EFN2O[Production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7" spans="1:23" ht="20.100000000000001" customHeight="1" x14ac:dyDescent="0.25">
      <c r="D47" s="51" t="s">
        <v>16</v>
      </c>
      <c r="E47" s="52" t="s">
        <v>100</v>
      </c>
      <c r="F47" s="2"/>
      <c r="M47" s="50" t="s">
        <v>175</v>
      </c>
      <c r="N47" s="50"/>
      <c r="O47" s="50"/>
      <c r="P47" s="50"/>
      <c r="Q47" s="50">
        <f t="shared" ref="Q47:Q54" si="2">O47*P47</f>
        <v>0</v>
      </c>
      <c r="R47" s="50">
        <f>IF(O47&gt;0, ((-0.1474 + (0.0061 * O47)) * 10 ^ -2), 0)</f>
        <v>0</v>
      </c>
      <c r="S47" s="50">
        <f>IF(O47&gt;0, ((0.0781 + (0.0075 * O47)) * 10 ^ -2), 0)</f>
        <v>0</v>
      </c>
      <c r="T47" s="50">
        <f t="shared" si="0"/>
        <v>0</v>
      </c>
      <c r="U47" s="50">
        <f t="shared" si="1"/>
        <v>0</v>
      </c>
      <c r="V47" s="50">
        <f>IF(O47&gt;0, ((0.01 * (0.29 + ((0.007 * (EXP(0.037 * T47) - 1)) / T47))) * 10 ^ -2), 0)</f>
        <v>0</v>
      </c>
      <c r="W47" s="50">
        <f>IF(O47&gt;0,Common_InputFunctions.Utility_LookupN2OEFFromProdIrrigationRainfall($S$70,$S$73,$S$74,Table_SourceData_Common_EFN2O[Production system only],Table_SourceData_Common_EFN2O[Irrigation method],Table_SourceData_Common_EFN2O[Rainfall zone],Table_SourceData_Common_EFN2O[EFN2O]), 0)</f>
        <v>0</v>
      </c>
    </row>
    <row r="48" spans="1:23" ht="20.100000000000001" customHeight="1" x14ac:dyDescent="0.25">
      <c r="F48" s="2"/>
      <c r="M48" s="50" t="s">
        <v>175</v>
      </c>
      <c r="N48" s="50"/>
      <c r="O48" s="50"/>
      <c r="P48" s="50"/>
      <c r="Q48" s="50">
        <f t="shared" si="2"/>
        <v>0</v>
      </c>
      <c r="R48" s="50">
        <f>IF(O48&gt;0, ((-0.1474 + (0.0061 * O48)) * 10 ^ -2), 0)</f>
        <v>0</v>
      </c>
      <c r="S48" s="50">
        <f>IF(O48&gt;0, ((0.0781 + (0.0075 * O48)) * 10 ^ -2), 0)</f>
        <v>0</v>
      </c>
      <c r="T48" s="50">
        <f t="shared" si="0"/>
        <v>0</v>
      </c>
      <c r="U48" s="50">
        <f t="shared" si="1"/>
        <v>0</v>
      </c>
      <c r="V48" s="50">
        <f>IF(O48&gt;0, ((0.01 * (0.29 + ((0.007 * (EXP(0.037 * T48) - 1)) / T48))) * 10 ^ -2), 0)</f>
        <v>0</v>
      </c>
      <c r="W48" s="50">
        <f>IF(O48&gt;0,Common_InputFunctions.Utility_LookupN2OEFFromProdIrrigationRainfall($S$70,$S$73,$S$74,Table_SourceData_Common_EFN2O[Production system only],Table_SourceData_Common_EFN2O[Irrigation method],Table_SourceData_Common_EFN2O[Rainfall zone],Table_SourceData_Common_EFN2O[EFN2O]), 0)</f>
        <v>0</v>
      </c>
    </row>
    <row r="49" spans="4:24" ht="20.100000000000001" customHeight="1" x14ac:dyDescent="0.25">
      <c r="D49" s="54" t="s">
        <v>325</v>
      </c>
      <c r="E49" s="55" t="s">
        <v>352</v>
      </c>
      <c r="F49" s="93"/>
      <c r="G49" s="54" t="s">
        <v>326</v>
      </c>
      <c r="H49" s="119" t="s">
        <v>361</v>
      </c>
      <c r="I49" s="145" t="str" cm="1">
        <f t="array" aca="1" ref="I49" ca="1">HYPERLINK(Common_InputFunctions.Utility_SourceHyperlink(D16), D16)</f>
        <v>Table_MN_j_f</v>
      </c>
      <c r="M49" s="50" t="s">
        <v>175</v>
      </c>
      <c r="N49" s="50"/>
      <c r="O49" s="50"/>
      <c r="P49" s="50"/>
      <c r="Q49" s="50">
        <f t="shared" si="2"/>
        <v>0</v>
      </c>
      <c r="R49" s="50">
        <f>IF(O49&gt;0, ((-0.1474 + (0.0061 * O49)) * 10 ^ -2), 0)</f>
        <v>0</v>
      </c>
      <c r="S49" s="50">
        <f>IF(O49&gt;0, ((0.0781 + (0.0075 * O49)) * 10 ^ -2), 0)</f>
        <v>0</v>
      </c>
      <c r="T49" s="50">
        <f t="shared" si="0"/>
        <v>0</v>
      </c>
      <c r="U49" s="50">
        <f t="shared" si="1"/>
        <v>0</v>
      </c>
      <c r="V49" s="50">
        <f>IF(O49&gt;0, ((0.01 * (0.29 + ((0.007 * (EXP(0.037 * T49) - 1)) / T49))) * 10 ^ -2), 0)</f>
        <v>0</v>
      </c>
      <c r="W49" s="50">
        <f>IF(O49&gt;0,Common_InputFunctions.Utility_LookupN2OEFFromProdIrrigationRainfall($S$70,$S$73,$S$74,Table_SourceData_Common_EFN2O[Production system only],Table_SourceData_Common_EFN2O[Irrigation method],Table_SourceData_Common_EFN2O[Rainfall zone],Table_SourceData_Common_EFN2O[EFN2O]), 0)</f>
        <v>0</v>
      </c>
    </row>
    <row r="50" spans="4:24" ht="20.100000000000001" customHeight="1" x14ac:dyDescent="0.25">
      <c r="D50" s="54" t="s">
        <v>232</v>
      </c>
      <c r="E50" s="55" t="s">
        <v>353</v>
      </c>
      <c r="F50" s="93"/>
      <c r="G50" s="54" t="s">
        <v>179</v>
      </c>
      <c r="H50" s="119" t="s">
        <v>333</v>
      </c>
      <c r="I50" s="54">
        <f>Common_InputFunctions.Utility_LookupN2OEFFromProdIrrigationRainfall(I52,I54,I55,Table_SourceData_Common_EFN2O[Production system only],Table_SourceData_Common_EFN2O[Irrigation method],Table_SourceData_Common_EFN2O[Rainfall zone],Table_SourceData_Common_EFN2O[EFN2O])</f>
        <v>7.0000000000000001E-3</v>
      </c>
      <c r="M50" s="50" t="s">
        <v>174</v>
      </c>
      <c r="N50" s="50" t="str" cm="1">
        <f t="array" ref="N50:N51">Table_Input_InorganicFertiliser_Custom[Custom blend name]</f>
        <v>My first custom blend</v>
      </c>
      <c r="O50" s="50" cm="1">
        <f t="array" ref="O50:O51">Table_Input_InorganicFertiliser_Custom[N application rate (kg/ha)]</f>
        <v>15.5</v>
      </c>
      <c r="P50" s="50" cm="1">
        <f t="array" ref="P50:P51">Table_Input_InorganicFertiliser_Custom[Application area (ha)]</f>
        <v>100</v>
      </c>
      <c r="Q50" s="50">
        <f t="shared" si="2"/>
        <v>1550</v>
      </c>
      <c r="R50" s="50">
        <f>IF(O50&gt;0, ((-0.1474 + (0.0061 * O50)) * 10 ^ -2), 0)</f>
        <v>-5.285E-4</v>
      </c>
      <c r="S50" s="50">
        <f>IF(O50&gt;0, ((0.0781 + (0.0075 * O50)) * 10 ^ -2), 0)</f>
        <v>1.9434999999999999E-3</v>
      </c>
      <c r="T50" s="50">
        <f t="shared" si="0"/>
        <v>15.5</v>
      </c>
      <c r="U50" s="50">
        <f t="shared" si="1"/>
        <v>1550</v>
      </c>
      <c r="V50" s="50">
        <f>IF(O50&gt;0, ((0.01 * (0.29 + ((0.007 * (EXP(0.037 * T50) - 1)) / T50))) * 10 ^ -2), 0)</f>
        <v>2.903497592132757E-5</v>
      </c>
      <c r="W50" s="50">
        <f>IF(O50&gt;0,Common_InputFunctions.Utility_LookupN2OEFFromProdIrrigationRainfall($S$70,$S$73,$S$74,Table_SourceData_Common_EFN2O[Production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1" spans="4:24" ht="20.100000000000001" customHeight="1" x14ac:dyDescent="0.25">
      <c r="D51" s="54" t="s">
        <v>354</v>
      </c>
      <c r="E51" s="55" t="s">
        <v>355</v>
      </c>
      <c r="F51" s="93"/>
      <c r="G51" s="54"/>
      <c r="H51" s="119" t="s">
        <v>333</v>
      </c>
      <c r="I51" s="54">
        <f>Common_InputFunctions.Utility_LookupValueInTableNumber("N2O",Table_GasToMolecularConversionFactor[Gas],Table_GasToMolecularConversionFactor[Conversion factor combined])</f>
        <v>1.5714285714285714</v>
      </c>
      <c r="M51" s="50" t="s">
        <v>174</v>
      </c>
      <c r="N51" s="50">
        <v>0</v>
      </c>
      <c r="O51" s="50">
        <v>0</v>
      </c>
      <c r="P51" s="50">
        <v>100</v>
      </c>
      <c r="Q51" s="50">
        <f t="shared" si="2"/>
        <v>0</v>
      </c>
      <c r="R51" s="50">
        <f>IF(O51&gt;0, ((-0.1474 + (0.0061 * O51)) * 10 ^ -2), 0)</f>
        <v>0</v>
      </c>
      <c r="S51" s="50">
        <f>IF(O51&gt;0, ((0.0781 + (0.0075 * O51)) * 10 ^ -2), 0)</f>
        <v>0</v>
      </c>
      <c r="T51" s="50">
        <f t="shared" si="0"/>
        <v>0</v>
      </c>
      <c r="U51" s="50">
        <f t="shared" si="1"/>
        <v>0</v>
      </c>
      <c r="V51" s="50">
        <f>IF(O51&gt;0, ((0.01 * (0.29 + ((0.007 * (EXP(0.037 * T51) - 1)) / T51))) * 10 ^ -2), 0)</f>
        <v>0</v>
      </c>
      <c r="W51" s="50">
        <f>IF(O51&gt;0,Common_InputFunctions.Utility_LookupN2OEFFromProdIrrigationRainfall($S$70,$S$73,$S$74,Table_SourceData_Common_EFN2O[Production system only],Table_SourceData_Common_EFN2O[Irrigation method],Table_SourceData_Common_EFN2O[Rainfall zone],Table_SourceData_Common_EFN2O[EFN2O]), 0)</f>
        <v>0</v>
      </c>
    </row>
    <row r="52" spans="4:24" ht="20.100000000000001" customHeight="1" x14ac:dyDescent="0.25">
      <c r="D52" s="54" t="s">
        <v>356</v>
      </c>
      <c r="E52" s="55" t="s">
        <v>86</v>
      </c>
      <c r="F52" s="93"/>
      <c r="G52" s="54"/>
      <c r="H52" s="120" t="s">
        <v>332</v>
      </c>
      <c r="I52" s="54" t="str">
        <f>'Input - Fertiliser'!$E$6</f>
        <v>Crop</v>
      </c>
      <c r="M52" s="50" t="s">
        <v>174</v>
      </c>
      <c r="N52" s="50"/>
      <c r="O52" s="50"/>
      <c r="P52" s="50"/>
      <c r="Q52" s="50">
        <f t="shared" si="2"/>
        <v>0</v>
      </c>
      <c r="R52" s="50">
        <f>IF(O52&gt;0, ((-0.1474 + (0.0061 * O52)) * 10 ^ -2), 0)</f>
        <v>0</v>
      </c>
      <c r="S52" s="50">
        <f>IF(O52&gt;0, ((0.0781 + (0.0075 * O52)) * 10 ^ -2), 0)</f>
        <v>0</v>
      </c>
      <c r="T52" s="50">
        <f t="shared" si="0"/>
        <v>0</v>
      </c>
      <c r="U52" s="50">
        <f t="shared" si="1"/>
        <v>0</v>
      </c>
      <c r="V52" s="50">
        <f>IF(O52&gt;0, ((0.01 * (0.29 + ((0.007 * (EXP(0.037 * T52) - 1)) / T52))) * 10 ^ -2), 0)</f>
        <v>0</v>
      </c>
      <c r="W52" s="50">
        <f>IF(O52&gt;0,Common_InputFunctions.Utility_LookupN2OEFFromProdIrrigationRainfall($S$70,$S$73,$S$74,Table_SourceData_Common_EFN2O[Production system only],Table_SourceData_Common_EFN2O[Irrigation method],Table_SourceData_Common_EFN2O[Rainfall zone],Table_SourceData_Common_EFN2O[EFN2O]), 0)</f>
        <v>0</v>
      </c>
    </row>
    <row r="53" spans="4:24" ht="20.100000000000001" customHeight="1" x14ac:dyDescent="0.25">
      <c r="D53" s="54" t="s">
        <v>329</v>
      </c>
      <c r="E53" s="55" t="s">
        <v>330</v>
      </c>
      <c r="F53" s="93"/>
      <c r="G53" s="54"/>
      <c r="H53" s="119" t="s">
        <v>333</v>
      </c>
      <c r="I53" s="54" t="str">
        <f>"See " &amp; D57</f>
        <v>See M1_Table_E_N2O</v>
      </c>
      <c r="M53" s="50" t="s">
        <v>174</v>
      </c>
      <c r="N53" s="50"/>
      <c r="O53" s="50"/>
      <c r="P53" s="50"/>
      <c r="Q53" s="50">
        <f t="shared" si="2"/>
        <v>0</v>
      </c>
      <c r="R53" s="50">
        <f>IF(O53&gt;0, ((-0.1474 + (0.0061 * O53)) * 10 ^ -2), 0)</f>
        <v>0</v>
      </c>
      <c r="S53" s="50">
        <f>IF(O53&gt;0, ((0.0781 + (0.0075 * O53)) * 10 ^ -2), 0)</f>
        <v>0</v>
      </c>
      <c r="T53" s="50">
        <f t="shared" si="0"/>
        <v>0</v>
      </c>
      <c r="U53" s="50">
        <f t="shared" si="1"/>
        <v>0</v>
      </c>
      <c r="V53" s="50">
        <f>IF(O53&gt;0, ((0.01 * (0.29 + ((0.007 * (EXP(0.037 * T53) - 1)) / T53))) * 10 ^ -2), 0)</f>
        <v>0</v>
      </c>
      <c r="W53" s="50">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4:24" ht="20.100000000000001" customHeight="1" x14ac:dyDescent="0.25">
      <c r="D54" s="54" t="s">
        <v>357</v>
      </c>
      <c r="E54" s="55" t="s">
        <v>358</v>
      </c>
      <c r="F54" s="93"/>
      <c r="G54" s="54"/>
      <c r="H54" s="120" t="s">
        <v>332</v>
      </c>
      <c r="I54" s="54" t="str">
        <f>'Input - Fertiliser'!$E$8</f>
        <v>Drip irrigation</v>
      </c>
      <c r="M54" s="50" t="s">
        <v>174</v>
      </c>
      <c r="N54" s="50"/>
      <c r="O54" s="50"/>
      <c r="P54" s="50"/>
      <c r="Q54" s="50">
        <f t="shared" si="2"/>
        <v>0</v>
      </c>
      <c r="R54" s="50">
        <f>IF(O54&gt;0, ((-0.1474 + (0.0061 * O54)) * 10 ^ -2), 0)</f>
        <v>0</v>
      </c>
      <c r="S54" s="50">
        <f>IF(O54&gt;0, ((0.0781 + (0.0075 * O54)) * 10 ^ -2), 0)</f>
        <v>0</v>
      </c>
      <c r="T54" s="50">
        <f t="shared" si="0"/>
        <v>0</v>
      </c>
      <c r="U54" s="50">
        <f t="shared" si="1"/>
        <v>0</v>
      </c>
      <c r="V54" s="50">
        <f>IF(O54&gt;0, ((0.01 * (0.29 + ((0.007 * (EXP(0.037 * T54) - 1)) / T54))) * 10 ^ -2), 0)</f>
        <v>0</v>
      </c>
      <c r="W54" s="50">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4:24" ht="20.100000000000001" customHeight="1" x14ac:dyDescent="0.25">
      <c r="D55" s="54" t="s">
        <v>359</v>
      </c>
      <c r="E55" s="55" t="s">
        <v>360</v>
      </c>
      <c r="F55" s="93"/>
      <c r="G55" s="54"/>
      <c r="H55" s="120" t="s">
        <v>332</v>
      </c>
      <c r="I55" s="54" t="str">
        <f>'Input - Site'!$E$30</f>
        <v>Low rainfall</v>
      </c>
    </row>
    <row r="56" spans="4:24" ht="20.100000000000001" customHeight="1" x14ac:dyDescent="0.25">
      <c r="F56" s="2"/>
    </row>
    <row r="57" spans="4:24" ht="20.100000000000001" customHeight="1" x14ac:dyDescent="0.25">
      <c r="D57" s="92" t="s">
        <v>168</v>
      </c>
      <c r="F57" s="2"/>
      <c r="L57" s="44"/>
      <c r="M57" s="44"/>
      <c r="N57" s="44"/>
      <c r="O57" s="44"/>
      <c r="P57" s="44"/>
      <c r="Q57" s="44"/>
      <c r="R57" s="44"/>
      <c r="S57" s="44"/>
      <c r="T57" s="44"/>
      <c r="U57" s="44"/>
      <c r="V57" s="44"/>
      <c r="W57" s="44"/>
      <c r="X57" s="44"/>
    </row>
    <row r="58" spans="4:24" ht="20.100000000000001" customHeight="1" x14ac:dyDescent="0.25">
      <c r="D58" s="91" t="s">
        <v>169</v>
      </c>
      <c r="F58" s="2"/>
      <c r="M58" s="6" t="s">
        <v>349</v>
      </c>
    </row>
    <row r="59" spans="4:24" ht="20.100000000000001" customHeight="1" x14ac:dyDescent="0.25">
      <c r="D59" s="49" t="s">
        <v>111</v>
      </c>
      <c r="E59" s="49" t="s">
        <v>182</v>
      </c>
      <c r="M59" s="5" t="s">
        <v>350</v>
      </c>
    </row>
    <row r="60" spans="4:24" ht="20.100000000000001" customHeight="1" x14ac:dyDescent="0.25">
      <c r="D60" s="50" t="str" cm="1">
        <f t="array" ref="D60:D78">Table_Fertiliser_ChemicalCompounds[Fertiliser type f]</f>
        <v>Monoammonium phosphate (MAP)</v>
      </c>
      <c r="E60" s="50">
        <f>((G19 * $I$50 * $I$51) * 10 ^ -3)</f>
        <v>0</v>
      </c>
      <c r="F60" s="2" t="str">
        <f>E47</f>
        <v>t N2O</v>
      </c>
      <c r="M60" s="13"/>
      <c r="N60" s="13"/>
    </row>
    <row r="61" spans="4:24" ht="20.100000000000001" customHeight="1" x14ac:dyDescent="0.25">
      <c r="D61" s="50" t="str">
        <v>Diammonium phosphate (DAP)</v>
      </c>
      <c r="E61" s="50">
        <f>((G20 * $I$50 * $I$51) * 10 ^ -3)</f>
        <v>0</v>
      </c>
    </row>
    <row r="62" spans="4:24" ht="20.100000000000001" customHeight="1" x14ac:dyDescent="0.25">
      <c r="D62" s="50" t="str">
        <v>Urea</v>
      </c>
      <c r="E62" s="50">
        <f>((G21 * $I$50 * $I$51) * 10 ^ -3)</f>
        <v>2.6399999978000003E-3</v>
      </c>
    </row>
    <row r="63" spans="4:24" ht="20.100000000000001" customHeight="1" x14ac:dyDescent="0.25">
      <c r="D63" s="50" t="str">
        <v>Sulphate of ammonia (SOA)</v>
      </c>
      <c r="E63" s="50">
        <f>((G22 * $I$50 * $I$51) * 10 ^ -3)</f>
        <v>0</v>
      </c>
    </row>
    <row r="64" spans="4:24" ht="20.100000000000001" customHeight="1" x14ac:dyDescent="0.25">
      <c r="D64" s="50" t="str">
        <v>Urea-ammonium nitrate (UAN)</v>
      </c>
      <c r="E64" s="50">
        <f>((G23 * $I$50 * $I$51) * 10 ^ -3)</f>
        <v>0</v>
      </c>
      <c r="M64" s="51" t="s">
        <v>24</v>
      </c>
      <c r="N64" s="1" t="s">
        <v>351</v>
      </c>
    </row>
    <row r="65" spans="4:19" ht="20.100000000000001" customHeight="1" x14ac:dyDescent="0.25">
      <c r="D65" s="50" t="str">
        <v>Ammonium nitrate (AN)</v>
      </c>
      <c r="E65" s="50">
        <f>((G24 * $I$50 * $I$51) * 10 ^ -3)</f>
        <v>0</v>
      </c>
      <c r="M65" s="51" t="s">
        <v>16</v>
      </c>
      <c r="N65" s="52" t="s">
        <v>100</v>
      </c>
    </row>
    <row r="66" spans="4:19" ht="20.100000000000001" customHeight="1" x14ac:dyDescent="0.25">
      <c r="D66" s="50" t="str">
        <v>Calcium ammonium nitrate (CAN)</v>
      </c>
      <c r="E66" s="50">
        <f>((G25 * $I$50 * $I$51) * 10 ^ -3)</f>
        <v>0</v>
      </c>
    </row>
    <row r="67" spans="4:19" ht="20.100000000000001" customHeight="1" x14ac:dyDescent="0.25">
      <c r="D67" s="50" t="str">
        <v>Nitrogen - Ammoniacal</v>
      </c>
      <c r="E67" s="50">
        <f>((G26 * $I$50 * $I$51) * 10 ^ -3)</f>
        <v>0</v>
      </c>
      <c r="M67" s="54" t="s">
        <v>325</v>
      </c>
      <c r="N67" s="55" t="s">
        <v>352</v>
      </c>
      <c r="O67" s="93"/>
      <c r="P67" s="56"/>
      <c r="Q67" s="54" t="s">
        <v>326</v>
      </c>
      <c r="R67" s="119" t="s">
        <v>361</v>
      </c>
      <c r="S67" s="145" t="str" cm="1">
        <f t="array" aca="1" ref="S67" ca="1">HYPERLINK(Common_InputFunctions.Utility_SourceHyperlink(M41), M41)</f>
        <v>M2_Table_FertApplications</v>
      </c>
    </row>
    <row r="68" spans="4:19" ht="20.100000000000001" customHeight="1" x14ac:dyDescent="0.25">
      <c r="D68" s="50" t="str">
        <v>Nitrogen - Nitrate</v>
      </c>
      <c r="E68" s="50">
        <f>((G27 * $I$50 * $I$51) * 10 ^ -3)</f>
        <v>0</v>
      </c>
      <c r="M68" s="54" t="s">
        <v>232</v>
      </c>
      <c r="N68" s="55" t="s">
        <v>353</v>
      </c>
      <c r="O68" s="93"/>
      <c r="P68" s="56"/>
      <c r="Q68" s="54" t="s">
        <v>179</v>
      </c>
      <c r="R68" s="119" t="s">
        <v>363</v>
      </c>
      <c r="S68" s="54" t="str" cm="1">
        <f t="array" ref="S68">_xlfn.IFS(
  AND(S70="crop", S71="grains", S73="not irrigated", S74="high rainfall"), $S$44,
  AND(S70="Crop", S71="maize", S73&lt;&gt;"not irrigated"), $R$44,
  AND(S70="Crop", S71="cotton"), $V$44,
  TRUE, $W$44
)</f>
        <v>EF_jN2O</v>
      </c>
    </row>
    <row r="69" spans="4:19" ht="20.100000000000001" customHeight="1" x14ac:dyDescent="0.25">
      <c r="D69" s="50" t="str">
        <v>Nitrogen - Generic</v>
      </c>
      <c r="E69" s="50">
        <f>((G28 * $I$50 * $I$51) * 10 ^ -3)</f>
        <v>9.0810719999999991E-3</v>
      </c>
      <c r="M69" s="54" t="s">
        <v>354</v>
      </c>
      <c r="N69" s="55" t="s">
        <v>355</v>
      </c>
      <c r="O69" s="93"/>
      <c r="P69" s="56"/>
      <c r="Q69" s="54"/>
      <c r="R69" s="119" t="s">
        <v>333</v>
      </c>
      <c r="S69" s="54">
        <f>Common_InputFunctions.Utility_LookupValueInTableNumber("N2O",Table_GasToMolecularConversionFactor[Gas],Table_GasToMolecularConversionFactor[Conversion factor combined])</f>
        <v>1.5714285714285714</v>
      </c>
    </row>
    <row r="70" spans="4:19" ht="20.100000000000001" customHeight="1" x14ac:dyDescent="0.25">
      <c r="D70" s="50" t="str">
        <v>Phosphorus - Generic</v>
      </c>
      <c r="E70" s="50">
        <f>((G29 * $I$50 * $I$51) * 10 ^ -3)</f>
        <v>0</v>
      </c>
      <c r="M70" s="54" t="s">
        <v>356</v>
      </c>
      <c r="N70" s="55" t="s">
        <v>86</v>
      </c>
      <c r="O70" s="93"/>
      <c r="P70" s="56"/>
      <c r="Q70" s="54"/>
      <c r="R70" s="120" t="s">
        <v>332</v>
      </c>
      <c r="S70" s="54" t="str">
        <f>'Input - Fertiliser'!$E$6</f>
        <v>Crop</v>
      </c>
    </row>
    <row r="71" spans="4:19" ht="20.100000000000001" customHeight="1" x14ac:dyDescent="0.25">
      <c r="D71" s="50" t="str">
        <v>Potassium - Generic</v>
      </c>
      <c r="E71" s="50">
        <f>((G30 * $I$50 * $I$51) * 10 ^ -3)</f>
        <v>0</v>
      </c>
      <c r="M71" s="54" t="s">
        <v>362</v>
      </c>
      <c r="N71" s="55" t="s">
        <v>163</v>
      </c>
      <c r="O71" s="93"/>
      <c r="P71" s="56"/>
      <c r="Q71" s="54"/>
      <c r="R71" s="120" t="s">
        <v>332</v>
      </c>
      <c r="S71" s="54" t="str">
        <f>'Input - Fertiliser'!$E$7</f>
        <v>Grains</v>
      </c>
    </row>
    <row r="72" spans="4:19" ht="20.100000000000001" customHeight="1" x14ac:dyDescent="0.25">
      <c r="D72" s="50" t="str">
        <v>Sulfur - Generic</v>
      </c>
      <c r="E72" s="50">
        <f>((G31 * $I$50 * $I$51) * 10 ^ -3)</f>
        <v>0</v>
      </c>
      <c r="M72" s="54" t="s">
        <v>329</v>
      </c>
      <c r="N72" s="55" t="s">
        <v>330</v>
      </c>
      <c r="O72" s="93"/>
      <c r="P72" s="56"/>
      <c r="Q72" s="54"/>
      <c r="R72" s="119" t="s">
        <v>333</v>
      </c>
      <c r="S72" s="54" t="s">
        <v>184</v>
      </c>
    </row>
    <row r="73" spans="4:19" ht="20.100000000000001" customHeight="1" x14ac:dyDescent="0.25">
      <c r="D73" s="50" t="str">
        <v>Zinc - Generic</v>
      </c>
      <c r="E73" s="50">
        <f>((G32 * $I$50 * $I$51) * 10 ^ -3)</f>
        <v>0</v>
      </c>
      <c r="M73" s="54" t="s">
        <v>357</v>
      </c>
      <c r="N73" s="55" t="s">
        <v>358</v>
      </c>
      <c r="O73" s="93"/>
      <c r="P73" s="56"/>
      <c r="Q73" s="54"/>
      <c r="R73" s="120" t="s">
        <v>332</v>
      </c>
      <c r="S73" s="54" t="str">
        <f>'Input - Fertiliser'!$E$8</f>
        <v>Drip irrigation</v>
      </c>
    </row>
    <row r="74" spans="4:19" ht="20.100000000000001" customHeight="1" x14ac:dyDescent="0.25">
      <c r="D74" s="50" t="str">
        <v>Muriate of potash (MOP)</v>
      </c>
      <c r="E74" s="50">
        <f>((G33 * $I$50 * $I$51) * 10 ^ -3)</f>
        <v>0</v>
      </c>
      <c r="M74" s="55" t="s">
        <v>359</v>
      </c>
      <c r="N74" s="55" t="s">
        <v>360</v>
      </c>
      <c r="O74" s="93"/>
      <c r="P74" s="93"/>
      <c r="Q74" s="54"/>
      <c r="R74" s="120" t="s">
        <v>332</v>
      </c>
      <c r="S74" s="54" t="str">
        <f>'Input - Site'!$E$30</f>
        <v>Low rainfall</v>
      </c>
    </row>
    <row r="75" spans="4:19" ht="20.100000000000001" customHeight="1" x14ac:dyDescent="0.25">
      <c r="D75" s="50" t="str">
        <v>Double superphosphate</v>
      </c>
      <c r="E75" s="50">
        <f>((G34 * $I$50 * $I$51) * 10 ^ -3)</f>
        <v>0</v>
      </c>
    </row>
    <row r="76" spans="4:19" ht="20.100000000000001" customHeight="1" x14ac:dyDescent="0.25">
      <c r="D76" s="50" t="str">
        <v>Single superphosphate (SSP)</v>
      </c>
      <c r="E76" s="50">
        <f>((G35 * $I$50 * $I$51) * 10 ^ -3)</f>
        <v>0</v>
      </c>
      <c r="M76" s="49" t="s">
        <v>170</v>
      </c>
      <c r="N76" s="49" t="s">
        <v>170</v>
      </c>
      <c r="O76" s="49" t="s">
        <v>183</v>
      </c>
      <c r="P76" s="49" t="s">
        <v>182</v>
      </c>
    </row>
    <row r="77" spans="4:19" ht="20.100000000000001" customHeight="1" x14ac:dyDescent="0.25">
      <c r="D77" s="50" t="str">
        <v>Ammonia</v>
      </c>
      <c r="E77" s="50">
        <f>((G36 * $I$50 * $I$51) * 10 ^ -3)</f>
        <v>0</v>
      </c>
      <c r="M77" s="50" t="s">
        <v>175</v>
      </c>
      <c r="N77" s="50" t="str" cm="1">
        <f t="array" ref="N77:N78">Table_Input_InorganicFertiliser_Brands[Product (select)]</f>
        <v>Aqua Finish</v>
      </c>
      <c r="O77" s="50" cm="1">
        <f t="array" ref="O77">_xlfn.XLOOKUP(N77,$N$45:$N$54,_xlfn.XLOOKUP($S$68,$R$44:$W$44,$R$45:$W$54), "")</f>
        <v>7.0000000000000001E-3</v>
      </c>
      <c r="P77" s="50">
        <f>((Q45 * O77 * $S$69) * 10 ^ -3)</f>
        <v>7.2071999999999987E-3</v>
      </c>
    </row>
    <row r="78" spans="4:19" ht="20.100000000000001" customHeight="1" x14ac:dyDescent="0.25">
      <c r="D78" s="50" t="str">
        <v>Calcium nitrate</v>
      </c>
      <c r="E78" s="50">
        <f>((G37 * $I$50 * $I$51) * 10 ^ -3)</f>
        <v>1.7050000000000003E-2</v>
      </c>
      <c r="M78" s="50" t="s">
        <v>175</v>
      </c>
      <c r="N78" s="50" t="str">
        <v>Boost-It</v>
      </c>
      <c r="O78" s="50" cm="1">
        <f t="array" ref="O78">_xlfn.XLOOKUP(N78,$N$45:$N$54,_xlfn.XLOOKUP($S$68,$R$44:$W$44,$R$45:$W$54), FALSE)</f>
        <v>7.0000000000000001E-3</v>
      </c>
      <c r="P78" s="50">
        <f>((Q46 * O78 * $S$69) * 10 ^ -3)</f>
        <v>2.6399999977999998E-3</v>
      </c>
    </row>
    <row r="79" spans="4:19" ht="20.100000000000001" customHeight="1" x14ac:dyDescent="0.25">
      <c r="M79" s="50" t="s">
        <v>175</v>
      </c>
      <c r="N79" s="50"/>
      <c r="O79" s="50" cm="1">
        <f t="array" ref="O79">_xlfn.XLOOKUP(N79,$N$45:$N$54,_xlfn.XLOOKUP($S$68,$R$44:$W$44,$R$45:$W$54))</f>
        <v>0</v>
      </c>
      <c r="P79" s="50">
        <f>((Q47 * O79 * $S$69) * 10 ^ -3)</f>
        <v>0</v>
      </c>
    </row>
    <row r="80" spans="4:19" ht="20.100000000000001" customHeight="1" x14ac:dyDescent="0.25">
      <c r="D80" s="94" t="s">
        <v>161</v>
      </c>
      <c r="E80" s="95">
        <f>SUM(E60:E78)</f>
        <v>2.8771071997800001E-2</v>
      </c>
      <c r="F80" s="96" t="str">
        <f>$E$47</f>
        <v>t N2O</v>
      </c>
      <c r="M80" s="50" t="s">
        <v>175</v>
      </c>
      <c r="N80" s="50"/>
      <c r="O80" s="50" cm="1">
        <f t="array" ref="O80">_xlfn.XLOOKUP(N80,$N$45:$N$54,_xlfn.XLOOKUP($S$68,$R$44:$W$44,$R$45:$W$54))</f>
        <v>0</v>
      </c>
      <c r="P80" s="50">
        <f>((Q48 * O80 * $S$69) * 10 ^ -3)</f>
        <v>0</v>
      </c>
    </row>
    <row r="81" spans="1:16" ht="20.100000000000001" customHeight="1" x14ac:dyDescent="0.25">
      <c r="M81" s="50" t="s">
        <v>175</v>
      </c>
      <c r="N81" s="50"/>
      <c r="O81" s="50" cm="1">
        <f t="array" ref="O81">_xlfn.XLOOKUP(N81,$N$45:$N$54,_xlfn.XLOOKUP($S$68,$R$44:$W$44,$R$45:$W$54))</f>
        <v>0</v>
      </c>
      <c r="P81" s="50">
        <f>((Q49 * O81 * $S$69) * 10 ^ -3)</f>
        <v>0</v>
      </c>
    </row>
    <row r="82" spans="1:16" ht="20.100000000000001" customHeight="1" x14ac:dyDescent="0.25">
      <c r="D82" s="54" t="str" cm="1">
        <f t="array" ref="D82:E83">Common_Equations.Common_ConvertN2OToCO2e_Arguments()</f>
        <v>EN2O</v>
      </c>
      <c r="E82" s="55" t="str">
        <v>Nitrous oxide emissions (t N2O)</v>
      </c>
      <c r="F82" s="97"/>
      <c r="G82" s="50">
        <f>E80</f>
        <v>2.8771071997800001E-2</v>
      </c>
      <c r="M82" s="50" t="s">
        <v>174</v>
      </c>
      <c r="N82" s="50" t="str" cm="1">
        <f t="array" ref="N82:N83">Table_Input_InorganicFertiliser_Custom[Custom blend name]</f>
        <v>My first custom blend</v>
      </c>
      <c r="O82" s="50" cm="1">
        <f t="array" ref="O82">_xlfn.XLOOKUP(N82,$N$45:$N$54,_xlfn.XLOOKUP($S$68,$R$44:$W$44,$R$45:$W$54))</f>
        <v>7.0000000000000001E-3</v>
      </c>
      <c r="P82" s="50">
        <f>((Q50 * O82 * $S$69) * 10 ^ -3)</f>
        <v>1.7050000000000003E-2</v>
      </c>
    </row>
    <row r="83" spans="1:16" ht="20.100000000000001" customHeight="1" x14ac:dyDescent="0.25">
      <c r="A83" s="157" t="str">
        <f>HYPERLINK("#A1", "▲ Back to top")</f>
        <v>▲ Back to top</v>
      </c>
      <c r="D83" s="54" t="str">
        <v>GWPN2O</v>
      </c>
      <c r="E83" s="55" t="str">
        <v>Global warming potential for nitrous oxide (t CO2-e / t N2O)</v>
      </c>
      <c r="F83" s="97"/>
      <c r="G83" s="50">
        <f>Common_InputFunctions.Utility_LookupValueInTableNumber("N2O",Table_GWPData[Gas],Table_GWPData[CO2-e factor])</f>
        <v>265</v>
      </c>
      <c r="M83" s="50" t="s">
        <v>174</v>
      </c>
      <c r="N83" s="50">
        <v>0</v>
      </c>
      <c r="O83" s="50" cm="1">
        <f t="array" ref="O83">_xlfn.XLOOKUP(N83,$N$45:$N$54,_xlfn.XLOOKUP($S$68,$R$44:$W$44,$R$45:$W$54))</f>
        <v>0</v>
      </c>
      <c r="P83" s="50">
        <f>((Q51 * O83 * $S$69) * 10 ^ -3)</f>
        <v>0</v>
      </c>
    </row>
    <row r="84" spans="1:16" ht="20.100000000000001" customHeight="1" x14ac:dyDescent="0.25">
      <c r="M84" s="50" t="s">
        <v>174</v>
      </c>
      <c r="N84" s="50"/>
      <c r="O84" s="50" cm="1">
        <f t="array" ref="O84">_xlfn.XLOOKUP(N84,$N$45:$N$54,_xlfn.XLOOKUP($S$68,$R$44:$W$44,$R$45:$W$54))</f>
        <v>0</v>
      </c>
      <c r="P84" s="50">
        <f>((Q52 * O84 * $S$69) * 10 ^ -3)</f>
        <v>0</v>
      </c>
    </row>
    <row r="85" spans="1:16" ht="20.100000000000001" customHeight="1" x14ac:dyDescent="0.25">
      <c r="D85" s="44" t="s">
        <v>78</v>
      </c>
      <c r="E85" s="44" cm="1">
        <f t="array" ref="E85">Common_Equations.Common_ConvertN2OToCO2e(G82,G83)</f>
        <v>7.6243340794170003</v>
      </c>
      <c r="F85" s="98" t="str" cm="1">
        <f t="array" ref="F85">Common_Equations.Common_ConvertN2OToCO2e_Unit()</f>
        <v>t CO2e</v>
      </c>
      <c r="M85" s="50" t="s">
        <v>174</v>
      </c>
      <c r="N85" s="50"/>
      <c r="O85" s="50" cm="1">
        <f t="array" ref="O85">_xlfn.XLOOKUP(N85,$N$45:$N$54,_xlfn.XLOOKUP($S$68,$R$44:$W$44,$R$45:$W$54))</f>
        <v>0</v>
      </c>
      <c r="P85" s="50">
        <f>((Q53 * O85 * $S$69) * 10 ^ -3)</f>
        <v>0</v>
      </c>
    </row>
    <row r="86" spans="1:16" ht="20.100000000000001" customHeight="1" x14ac:dyDescent="0.25">
      <c r="M86" s="50" t="s">
        <v>174</v>
      </c>
      <c r="N86" s="50"/>
      <c r="O86" s="50" cm="1">
        <f t="array" ref="O86">_xlfn.XLOOKUP(N86,$N$45:$N$54,_xlfn.XLOOKUP($S$68,$R$44:$W$44,$R$45:$W$54))</f>
        <v>0</v>
      </c>
      <c r="P86" s="50">
        <f>((Q54 * O86 * $S$69) * 10 ^ -3)</f>
        <v>0</v>
      </c>
    </row>
    <row r="87" spans="1:16" ht="20.100000000000001" customHeight="1" x14ac:dyDescent="0.25"/>
    <row r="88" spans="1:16" ht="20.100000000000001" customHeight="1" x14ac:dyDescent="0.25">
      <c r="M88" s="94" t="s">
        <v>161</v>
      </c>
      <c r="N88" s="95">
        <f>SUM(P77:P86)</f>
        <v>2.6897199997799999E-2</v>
      </c>
      <c r="O88" s="96" t="str">
        <f>$E$47</f>
        <v>t N2O</v>
      </c>
    </row>
    <row r="89" spans="1:16" ht="20.100000000000001" customHeight="1" x14ac:dyDescent="0.25"/>
    <row r="90" spans="1:16" ht="20.100000000000001" customHeight="1" x14ac:dyDescent="0.25">
      <c r="M90" s="54" t="str" cm="1">
        <f t="array" ref="M90:N91">Common_Equations.Common_ConvertN2OToCO2e_Arguments()</f>
        <v>EN2O</v>
      </c>
      <c r="N90" s="55" t="str">
        <v>Nitrous oxide emissions (t N2O)</v>
      </c>
      <c r="O90" s="97"/>
      <c r="P90" s="50">
        <f>N88</f>
        <v>2.6897199997799999E-2</v>
      </c>
    </row>
    <row r="91" spans="1:16" ht="20.100000000000001" customHeight="1" x14ac:dyDescent="0.25">
      <c r="M91" s="54" t="str">
        <v>GWPN2O</v>
      </c>
      <c r="N91" s="55" t="str">
        <v>Global warming potential for nitrous oxide (t CO2-e / t N2O)</v>
      </c>
      <c r="O91" s="97"/>
      <c r="P91" s="50">
        <f>Common_InputFunctions.Utility_LookupValueInTableNumber("N2O",Table_GWPData[Gas],Table_GWPData[CO2-e factor])</f>
        <v>265</v>
      </c>
    </row>
    <row r="92" spans="1:16" ht="20.100000000000001" customHeight="1" x14ac:dyDescent="0.25"/>
    <row r="93" spans="1:16" ht="20.100000000000001" customHeight="1" x14ac:dyDescent="0.25">
      <c r="M93" s="44" t="s">
        <v>78</v>
      </c>
      <c r="N93" s="44" cm="1">
        <f t="array" ref="N93">Common_Equations.Common_ConvertN2OToCO2e(P90,P91)</f>
        <v>7.1277579994169997</v>
      </c>
      <c r="O93" s="98" t="str" cm="1">
        <f t="array" ref="O93">Common_Equations.Common_ConvertN2OToCO2e_Unit()</f>
        <v>t CO2e</v>
      </c>
    </row>
    <row r="94" spans="1:16" ht="20.100000000000001" customHeight="1" x14ac:dyDescent="0.25"/>
    <row r="95" spans="1:16" ht="20.100000000000001" customHeight="1" x14ac:dyDescent="0.25"/>
    <row r="96" spans="1:1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N172:W172 O150:R150 E269 N166:W166 O143:W144 E228 O167:W167 G132 I129:I133 F134:I134 F129:F132 H128:H132 G129 F148:I148 I149 F150:I150 R149:W149"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56" workbookViewId="0">
      <selection activeCell="E79" sqref="E7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202</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
        <v>364</v>
      </c>
    </row>
    <row r="6" spans="1:21" ht="20.100000000000001" customHeight="1" x14ac:dyDescent="0.25">
      <c r="A6" s="16"/>
      <c r="D6" s="5" t="s">
        <v>365</v>
      </c>
    </row>
    <row r="7" spans="1:21" ht="20.100000000000001" customHeight="1" x14ac:dyDescent="0.25">
      <c r="A7" s="20" t="s">
        <v>1</v>
      </c>
      <c r="D7" s="13"/>
      <c r="E7" s="13"/>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
        <v>366</v>
      </c>
    </row>
    <row r="11" spans="1:21" ht="20.100000000000001" customHeight="1" x14ac:dyDescent="0.25">
      <c r="A11" s="19" t="s">
        <v>68</v>
      </c>
      <c r="D11" s="51" t="s">
        <v>16</v>
      </c>
      <c r="E11" s="52" t="s">
        <v>367</v>
      </c>
    </row>
    <row r="12" spans="1:21" ht="20.100000000000001" customHeight="1" x14ac:dyDescent="0.25">
      <c r="A12" s="17" t="str">
        <f>HYPERLINK("#'5.1.1.1-2 Inorganic Fert N2O'!A1", "5.1.1.1-2 Inorganic Fert N2O")</f>
        <v>5.1.1.1-2 Inorganic Fert N2O</v>
      </c>
    </row>
    <row r="13" spans="1:21" ht="20.100000000000001" customHeight="1" x14ac:dyDescent="0.25">
      <c r="A13" s="176" t="str">
        <f>HYPERLINK("#'5.1.1.3-4 Inorganic fert CO2'!A1", "5.1.1.3-4 Inorganic fert CO2")</f>
        <v>5.1.1.3-4 Inorganic fert CO2</v>
      </c>
      <c r="D13" s="54" t="s">
        <v>334</v>
      </c>
      <c r="E13" s="55" t="s">
        <v>335</v>
      </c>
      <c r="F13" s="56"/>
      <c r="G13" s="54" t="s">
        <v>141</v>
      </c>
      <c r="H13" s="120" t="s">
        <v>332</v>
      </c>
      <c r="I13" s="145" t="str" cm="1">
        <f t="array" aca="1" ref="I13" ca="1">HYPERLINK(Common_InputFunctions.Utility_SourceHyperlink($D$16), $D$16)</f>
        <v>Table_MU_j_f</v>
      </c>
    </row>
    <row r="14" spans="1:21" ht="20.100000000000001" customHeight="1" x14ac:dyDescent="0.25">
      <c r="A14" s="17" t="str">
        <f>HYPERLINK("#'5.2.1.1-2 Organic Fert N2O'!A1", "5.2.1.1-2 Organic Fert N2O")</f>
        <v>5.2.1.1-2 Organic Fert N2O</v>
      </c>
      <c r="D14" s="54" t="s">
        <v>368</v>
      </c>
      <c r="E14" s="55" t="s">
        <v>369</v>
      </c>
      <c r="F14" s="56"/>
      <c r="G14" s="54" t="s">
        <v>370</v>
      </c>
      <c r="H14" s="119" t="s">
        <v>371</v>
      </c>
      <c r="I14" s="145" t="str" cm="1">
        <f t="array" aca="1" ref="I14" ca="1">HYPERLINK(Common_InputFunctions.Utility_SourceHyperlink($D$16), $D$16)</f>
        <v>Table_MU_j_f</v>
      </c>
    </row>
    <row r="15" spans="1:21" ht="20.100000000000001" customHeight="1" x14ac:dyDescent="0.25">
      <c r="A15" s="17" t="str">
        <f>HYPERLINK("#'5.3.1.1-2 Lime CO2'!A1", "5.3.1.1-2 Lime CO2")</f>
        <v>5.3.1.1-2 Lime CO2</v>
      </c>
    </row>
    <row r="16" spans="1:21" ht="20.100000000000001" customHeight="1" x14ac:dyDescent="0.25">
      <c r="A16" s="17" t="str">
        <f>HYPERLINK("#'5.4.1.1-4 Atmos deposition'!A1", "5.4.1.1-4 Atmos deposition")</f>
        <v>5.4.1.1-4 Atmos deposition</v>
      </c>
      <c r="D16" s="92" t="s">
        <v>203</v>
      </c>
    </row>
    <row r="17" spans="1:7" ht="20.100000000000001" customHeight="1" x14ac:dyDescent="0.25">
      <c r="A17" s="17" t="str">
        <f>HYPERLINK("#'5.5.1.1-2 Leaching and runoff'!A1", "5.5.1.1-2 Leaching and runoff")</f>
        <v>5.5.1.1-2 Leaching and runoff</v>
      </c>
      <c r="D17" s="91" t="s">
        <v>204</v>
      </c>
    </row>
    <row r="18" spans="1:7" ht="20.100000000000001" customHeight="1" x14ac:dyDescent="0.25">
      <c r="D18" s="49" t="s">
        <v>111</v>
      </c>
      <c r="E18" s="112" t="s">
        <v>143</v>
      </c>
      <c r="F18" s="49" t="s">
        <v>205</v>
      </c>
      <c r="G18" s="49" t="s">
        <v>208</v>
      </c>
    </row>
    <row r="19" spans="1:7" ht="20.100000000000001" customHeight="1" x14ac:dyDescent="0.25">
      <c r="A19" s="18" t="s">
        <v>2</v>
      </c>
      <c r="D19" s="50" t="str" cm="1">
        <f t="array" ref="D19:D37">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f],Table_Fertiliser_ChemicalCompounds[FU f])</f>
        <v>0</v>
      </c>
      <c r="G19" s="50">
        <f>(E19 * F19)</f>
        <v>0</v>
      </c>
    </row>
    <row r="20" spans="1:7"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f],Table_Fertiliser_ChemicalCompounds[FU f])</f>
        <v>0</v>
      </c>
      <c r="G20" s="50">
        <f>(E20 * F20)</f>
        <v>0</v>
      </c>
    </row>
    <row r="21" spans="1:7"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521.73913000000005</v>
      </c>
      <c r="F21" s="50" cm="1">
        <f t="array" ref="F21">Common_InputFunctions.Utility_LookupValueInTableNumber(D21,Table_Fertiliser_ChemicalCompounds[Fertiliser type f],Table_Fertiliser_ChemicalCompounds[FU f])</f>
        <v>1</v>
      </c>
      <c r="G21" s="50">
        <f>(E21 * F21)</f>
        <v>521.73913000000005</v>
      </c>
    </row>
    <row r="22" spans="1:7"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f],Table_Fertiliser_ChemicalCompounds[FU f])</f>
        <v>0</v>
      </c>
      <c r="G22" s="50">
        <f>(E22 * F22)</f>
        <v>0</v>
      </c>
    </row>
    <row r="23" spans="1:7"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f],Table_Fertiliser_ChemicalCompounds[FU f])</f>
        <v>0.35</v>
      </c>
      <c r="G23" s="50">
        <f>(E23 * F23)</f>
        <v>0</v>
      </c>
    </row>
    <row r="24" spans="1:7"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f],Table_Fertiliser_ChemicalCompounds[FU f])</f>
        <v>0</v>
      </c>
      <c r="G24" s="50">
        <f>(E24 * F24)</f>
        <v>0</v>
      </c>
    </row>
    <row r="25" spans="1:7"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f],Table_Fertiliser_ChemicalCompounds[FU f])</f>
        <v>0</v>
      </c>
      <c r="G25" s="50">
        <f>(E25 * F25)</f>
        <v>0</v>
      </c>
    </row>
    <row r="26" spans="1:7"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50" cm="1">
        <f t="array" ref="F26">Common_InputFunctions.Utility_LookupValueInTableNumber(D26,Table_Fertiliser_ChemicalCompounds[Fertiliser type f],Table_Fertiliser_ChemicalCompounds[FU f])</f>
        <v>0</v>
      </c>
      <c r="G26" s="50">
        <f>(E26 * F26)</f>
        <v>0</v>
      </c>
    </row>
    <row r="27" spans="1:7"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7" s="50" cm="1">
        <f t="array" ref="F27">Common_InputFunctions.Utility_LookupValueInTableNumber(D27,Table_Fertiliser_ChemicalCompounds[Fertiliser type f],Table_Fertiliser_ChemicalCompounds[FU f])</f>
        <v>0</v>
      </c>
      <c r="G27" s="50">
        <f>(E27 * F27)</f>
        <v>0</v>
      </c>
    </row>
    <row r="28" spans="1:7"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825.55199999999991</v>
      </c>
      <c r="F28" s="50" cm="1">
        <f t="array" ref="F28">Common_InputFunctions.Utility_LookupValueInTableNumber(D28,Table_Fertiliser_ChemicalCompounds[Fertiliser type f],Table_Fertiliser_ChemicalCompounds[FU f])</f>
        <v>0</v>
      </c>
      <c r="G28" s="50">
        <f>(E28 * F28)</f>
        <v>0</v>
      </c>
    </row>
    <row r="29" spans="1:7"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1322.08</v>
      </c>
      <c r="F29" s="50" cm="1">
        <f t="array" ref="F29">Common_InputFunctions.Utility_LookupValueInTableNumber(D29,Table_Fertiliser_ChemicalCompounds[Fertiliser type f],Table_Fertiliser_ChemicalCompounds[FU f])</f>
        <v>0</v>
      </c>
      <c r="G29" s="50">
        <f>(E29 * F29)</f>
        <v>0</v>
      </c>
    </row>
    <row r="30" spans="1:7"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7224.2</v>
      </c>
      <c r="F30" s="50" cm="1">
        <f t="array" ref="F30">Common_InputFunctions.Utility_LookupValueInTableNumber(D30,Table_Fertiliser_ChemicalCompounds[Fertiliser type f],Table_Fertiliser_ChemicalCompounds[FU f])</f>
        <v>0</v>
      </c>
      <c r="G30" s="50">
        <f>(E30 * F30)</f>
        <v>0</v>
      </c>
    </row>
    <row r="31" spans="1:7"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53</v>
      </c>
      <c r="F31" s="50" cm="1">
        <f t="array" ref="F31">Common_InputFunctions.Utility_LookupValueInTableNumber(D31,Table_Fertiliser_ChemicalCompounds[Fertiliser type f],Table_Fertiliser_ChemicalCompounds[FU f])</f>
        <v>0</v>
      </c>
      <c r="G31" s="50">
        <f>(E31 * F31)</f>
        <v>0</v>
      </c>
    </row>
    <row r="32" spans="1:7"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2" s="50" cm="1">
        <f t="array" ref="F32">Common_InputFunctions.Utility_LookupValueInTableNumber(D32,Table_Fertiliser_ChemicalCompounds[Fertiliser type f],Table_Fertiliser_ChemicalCompounds[FU f])</f>
        <v>0</v>
      </c>
      <c r="G32" s="50">
        <f>(E32 * F32)</f>
        <v>0</v>
      </c>
    </row>
    <row r="33" spans="1:12"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f],Table_Fertiliser_ChemicalCompounds[FU f])</f>
        <v>0</v>
      </c>
      <c r="G33" s="50">
        <f>(E33 * F33)</f>
        <v>0</v>
      </c>
    </row>
    <row r="34" spans="1:12"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f],Table_Fertiliser_ChemicalCompounds[FU f])</f>
        <v>0</v>
      </c>
      <c r="G34" s="50">
        <f>(E34 * F34)</f>
        <v>0</v>
      </c>
    </row>
    <row r="35" spans="1:12"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f],Table_Fertiliser_ChemicalCompounds[FU f])</f>
        <v>0</v>
      </c>
      <c r="G35" s="50">
        <f>(E35 * F35)</f>
        <v>0</v>
      </c>
    </row>
    <row r="36" spans="1:12"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6" s="50" cm="1">
        <f t="array" ref="F36">Common_InputFunctions.Utility_LookupValueInTableNumber(D36,Table_Fertiliser_ChemicalCompounds[Fertiliser type f],Table_Fertiliser_ChemicalCompounds[FU f])</f>
        <v>0</v>
      </c>
      <c r="G36" s="50">
        <f>(E36 * F36)</f>
        <v>0</v>
      </c>
    </row>
    <row r="37" spans="1:12" ht="20.100000000000001" customHeight="1" x14ac:dyDescent="0.25">
      <c r="D37" s="50" t="str">
        <v>Calcium nitrate</v>
      </c>
      <c r="E37" s="50"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37" s="50" cm="1">
        <f t="array" ref="F37">Common_InputFunctions.Utility_LookupValueInTableNumber(D37,Table_Fertiliser_ChemicalCompounds[Fertiliser type f],Table_Fertiliser_ChemicalCompounds[FU f])</f>
        <v>0</v>
      </c>
      <c r="G37" s="50">
        <f>(E37 * F37)</f>
        <v>0</v>
      </c>
    </row>
    <row r="38" spans="1:12" ht="20.100000000000001" customHeight="1" x14ac:dyDescent="0.25">
      <c r="A38" s="157" t="str">
        <f>HYPERLINK("#A1", "▲ Back to top")</f>
        <v>▲ Back to top</v>
      </c>
    </row>
    <row r="39" spans="1:12" ht="20.100000000000001" customHeight="1" x14ac:dyDescent="0.25"/>
    <row r="40" spans="1:12" ht="20.100000000000001" customHeight="1" x14ac:dyDescent="0.25">
      <c r="C40" s="44"/>
      <c r="D40" s="44"/>
      <c r="E40" s="44"/>
      <c r="F40" s="44"/>
      <c r="G40" s="44"/>
      <c r="H40" s="44"/>
      <c r="I40" s="44"/>
      <c r="J40" s="44"/>
      <c r="K40" s="44"/>
      <c r="L40" s="44"/>
    </row>
    <row r="41" spans="1:12" ht="20.100000000000001" customHeight="1" x14ac:dyDescent="0.25">
      <c r="D41" s="6" t="s">
        <v>372</v>
      </c>
    </row>
    <row r="42" spans="1:12" ht="20.100000000000001" customHeight="1" x14ac:dyDescent="0.25">
      <c r="D42" s="5" t="s">
        <v>373</v>
      </c>
    </row>
    <row r="43" spans="1:12" ht="20.100000000000001" customHeight="1" x14ac:dyDescent="0.25">
      <c r="D43" s="13"/>
      <c r="E43" s="13"/>
    </row>
    <row r="44" spans="1:12" ht="20.100000000000001" customHeight="1" x14ac:dyDescent="0.25"/>
    <row r="45" spans="1:12" ht="20.100000000000001" customHeight="1" x14ac:dyDescent="0.25"/>
    <row r="46" spans="1:12" ht="20.100000000000001" customHeight="1" x14ac:dyDescent="0.25">
      <c r="D46" s="51" t="s">
        <v>24</v>
      </c>
      <c r="E46" s="1" t="s">
        <v>374</v>
      </c>
    </row>
    <row r="47" spans="1:12" ht="20.100000000000001" customHeight="1" x14ac:dyDescent="0.25">
      <c r="D47" s="51" t="s">
        <v>16</v>
      </c>
      <c r="E47" s="52" t="s">
        <v>259</v>
      </c>
    </row>
    <row r="48" spans="1:12" ht="20.100000000000001" customHeight="1" x14ac:dyDescent="0.25"/>
    <row r="49" spans="4:9" ht="20.100000000000001" customHeight="1" x14ac:dyDescent="0.25">
      <c r="D49" s="54" t="s">
        <v>366</v>
      </c>
      <c r="E49" s="55" t="s">
        <v>375</v>
      </c>
      <c r="F49" s="56"/>
      <c r="G49" s="54" t="s">
        <v>367</v>
      </c>
      <c r="H49" s="119" t="s">
        <v>380</v>
      </c>
      <c r="I49" s="145" t="str" cm="1">
        <f t="array" aca="1" ref="I49" ca="1">HYPERLINK(Common_InputFunctions.Utility_SourceHyperlink($D$16), $D$16)</f>
        <v>Table_MU_j_f</v>
      </c>
    </row>
    <row r="50" spans="4:9" ht="20.100000000000001" customHeight="1" x14ac:dyDescent="0.25">
      <c r="D50" s="54" t="s">
        <v>376</v>
      </c>
      <c r="E50" s="55" t="s">
        <v>377</v>
      </c>
      <c r="F50" s="56"/>
      <c r="G50" s="54" t="s">
        <v>381</v>
      </c>
      <c r="H50" s="119" t="s">
        <v>333</v>
      </c>
      <c r="I50" s="54">
        <f>'Constants - Fertiliser'!$E$60</f>
        <v>0.2</v>
      </c>
    </row>
    <row r="51" spans="4:9" ht="20.100000000000001" customHeight="1" x14ac:dyDescent="0.25">
      <c r="D51" s="54" t="s">
        <v>378</v>
      </c>
      <c r="E51" s="55" t="s">
        <v>379</v>
      </c>
      <c r="F51" s="56"/>
      <c r="G51" s="54"/>
      <c r="H51" s="119" t="s">
        <v>333</v>
      </c>
      <c r="I51" s="54">
        <f>Common_InputFunctions.Utility_LookupValueInTableNumber("CO2",Table_GasToMolecularConversionFactor[Gas], Table_GasToMolecularConversionFactor[Conversion factor combined])</f>
        <v>3.6666666666666665</v>
      </c>
    </row>
    <row r="52" spans="4:9" ht="20.100000000000001" customHeight="1" x14ac:dyDescent="0.25">
      <c r="D52" s="54" t="s">
        <v>356</v>
      </c>
      <c r="E52" s="55" t="s">
        <v>86</v>
      </c>
      <c r="F52" s="56"/>
      <c r="G52" s="54"/>
      <c r="H52" s="120" t="s">
        <v>332</v>
      </c>
      <c r="I52" s="54" t="str">
        <f>'Input - Fertiliser'!$E$6</f>
        <v>Crop</v>
      </c>
    </row>
    <row r="53" spans="4:9" ht="20.100000000000001" customHeight="1" x14ac:dyDescent="0.25">
      <c r="D53" s="54" t="s">
        <v>329</v>
      </c>
      <c r="E53" s="55" t="s">
        <v>330</v>
      </c>
      <c r="F53" s="56"/>
      <c r="G53" s="54"/>
      <c r="H53" s="119" t="s">
        <v>371</v>
      </c>
      <c r="I53" s="145" t="str" cm="1">
        <f t="array" aca="1" ref="I53" ca="1">HYPERLINK(Common_InputFunctions.Utility_SourceHyperlink($D$16), $D$16)</f>
        <v>Table_MU_j_f</v>
      </c>
    </row>
    <row r="54" spans="4:9" ht="20.100000000000001" customHeight="1" x14ac:dyDescent="0.25"/>
    <row r="55" spans="4:9" ht="20.100000000000001" customHeight="1" x14ac:dyDescent="0.25">
      <c r="D55" s="92" t="s">
        <v>206</v>
      </c>
    </row>
    <row r="56" spans="4:9" ht="20.100000000000001" customHeight="1" x14ac:dyDescent="0.25">
      <c r="D56" s="91" t="s">
        <v>207</v>
      </c>
    </row>
    <row r="57" spans="4:9" ht="20.100000000000001" customHeight="1" x14ac:dyDescent="0.25">
      <c r="D57" s="49" t="s">
        <v>111</v>
      </c>
      <c r="E57" s="49" t="s">
        <v>182</v>
      </c>
    </row>
    <row r="58" spans="4:9" ht="20.100000000000001" customHeight="1" x14ac:dyDescent="0.25">
      <c r="D58" s="50" t="str" cm="1">
        <f t="array" ref="D58:D76">Table_Fertiliser_ChemicalCompounds[Fertiliser type f]</f>
        <v>Monoammonium phosphate (MAP)</v>
      </c>
      <c r="E58" s="50">
        <f>((G19 * $I$50 * $I$51) * 10 ^ -3)</f>
        <v>0</v>
      </c>
      <c r="F58" s="2" t="str">
        <f>$E$47</f>
        <v>t CO2</v>
      </c>
    </row>
    <row r="59" spans="4:9" ht="20.100000000000001" customHeight="1" x14ac:dyDescent="0.25">
      <c r="D59" s="50" t="str">
        <v>Diammonium phosphate (DAP)</v>
      </c>
      <c r="E59" s="50">
        <f>((G20 * $I$50 * $I$51) * 10 ^ -3)</f>
        <v>0</v>
      </c>
    </row>
    <row r="60" spans="4:9" ht="20.100000000000001" customHeight="1" x14ac:dyDescent="0.25">
      <c r="D60" s="50" t="str">
        <v>Urea</v>
      </c>
      <c r="E60" s="50">
        <f>((G21 * $I$50 * $I$51) * 10 ^ -3)</f>
        <v>0.38260869533333336</v>
      </c>
    </row>
    <row r="61" spans="4:9" ht="20.100000000000001" customHeight="1" x14ac:dyDescent="0.25">
      <c r="D61" s="50" t="str">
        <v>Sulphate of ammonia (SOA)</v>
      </c>
      <c r="E61" s="50">
        <f>((G22 * $I$50 * $I$51) * 10 ^ -3)</f>
        <v>0</v>
      </c>
    </row>
    <row r="62" spans="4:9" ht="20.100000000000001" customHeight="1" x14ac:dyDescent="0.25">
      <c r="D62" s="50" t="str">
        <v>Urea-ammonium nitrate (UAN)</v>
      </c>
      <c r="E62" s="50">
        <f>((G23 * $I$50 * $I$51) * 10 ^ -3)</f>
        <v>0</v>
      </c>
    </row>
    <row r="63" spans="4:9" ht="20.100000000000001" customHeight="1" x14ac:dyDescent="0.25">
      <c r="D63" s="50" t="str">
        <v>Ammonium nitrate (AN)</v>
      </c>
      <c r="E63" s="50">
        <f>((G24 * $I$50 * $I$51) * 10 ^ -3)</f>
        <v>0</v>
      </c>
    </row>
    <row r="64" spans="4:9" ht="20.100000000000001" customHeight="1" x14ac:dyDescent="0.25">
      <c r="D64" s="50" t="str">
        <v>Calcium ammonium nitrate (CAN)</v>
      </c>
      <c r="E64" s="50">
        <f>((G25 * $I$50 * $I$51) * 10 ^ -3)</f>
        <v>0</v>
      </c>
    </row>
    <row r="65" spans="1:6" ht="20.100000000000001" customHeight="1" x14ac:dyDescent="0.25">
      <c r="D65" s="50" t="str">
        <v>Nitrogen - Ammoniacal</v>
      </c>
      <c r="E65" s="50">
        <f>((G26 * $I$50 * $I$51) * 10 ^ -3)</f>
        <v>0</v>
      </c>
    </row>
    <row r="66" spans="1:6" ht="20.100000000000001" customHeight="1" x14ac:dyDescent="0.25">
      <c r="D66" s="50" t="str">
        <v>Nitrogen - Nitrate</v>
      </c>
      <c r="E66" s="50">
        <f>((G27 * $I$50 * $I$51) * 10 ^ -3)</f>
        <v>0</v>
      </c>
    </row>
    <row r="67" spans="1:6" ht="20.100000000000001" customHeight="1" x14ac:dyDescent="0.25">
      <c r="D67" s="50" t="str">
        <v>Nitrogen - Generic</v>
      </c>
      <c r="E67" s="50">
        <f>((G28 * $I$50 * $I$51) * 10 ^ -3)</f>
        <v>0</v>
      </c>
    </row>
    <row r="68" spans="1:6" ht="20.100000000000001" customHeight="1" x14ac:dyDescent="0.25">
      <c r="D68" s="50" t="str">
        <v>Phosphorus - Generic</v>
      </c>
      <c r="E68" s="50">
        <f>((G29 * $I$50 * $I$51) * 10 ^ -3)</f>
        <v>0</v>
      </c>
    </row>
    <row r="69" spans="1:6" ht="20.100000000000001" customHeight="1" x14ac:dyDescent="0.25">
      <c r="D69" s="50" t="str">
        <v>Potassium - Generic</v>
      </c>
      <c r="E69" s="50">
        <f>((G30 * $I$50 * $I$51) * 10 ^ -3)</f>
        <v>0</v>
      </c>
    </row>
    <row r="70" spans="1:6" ht="20.100000000000001" customHeight="1" x14ac:dyDescent="0.25">
      <c r="D70" s="50" t="str">
        <v>Sulfur - Generic</v>
      </c>
      <c r="E70" s="50">
        <f>((G31 * $I$50 * $I$51) * 10 ^ -3)</f>
        <v>0</v>
      </c>
    </row>
    <row r="71" spans="1:6" ht="20.100000000000001" customHeight="1" x14ac:dyDescent="0.25">
      <c r="D71" s="50" t="str">
        <v>Zinc - Generic</v>
      </c>
      <c r="E71" s="50">
        <f>((G32 * $I$50 * $I$51) * 10 ^ -3)</f>
        <v>0</v>
      </c>
    </row>
    <row r="72" spans="1:6" ht="20.100000000000001" customHeight="1" x14ac:dyDescent="0.25">
      <c r="D72" s="50" t="str">
        <v>Muriate of potash (MOP)</v>
      </c>
      <c r="E72" s="50">
        <f>((G33 * $I$50 * $I$51) * 10 ^ -3)</f>
        <v>0</v>
      </c>
    </row>
    <row r="73" spans="1:6" ht="20.100000000000001" customHeight="1" x14ac:dyDescent="0.25">
      <c r="D73" s="50" t="str">
        <v>Double superphosphate</v>
      </c>
      <c r="E73" s="50">
        <f>((G34 * $I$50 * $I$51) * 10 ^ -3)</f>
        <v>0</v>
      </c>
    </row>
    <row r="74" spans="1:6" ht="20.100000000000001" customHeight="1" x14ac:dyDescent="0.25">
      <c r="D74" s="50" t="str">
        <v>Single superphosphate (SSP)</v>
      </c>
      <c r="E74" s="50">
        <f>((G35 * $I$50 * $I$51) * 10 ^ -3)</f>
        <v>0</v>
      </c>
    </row>
    <row r="75" spans="1:6" ht="20.100000000000001" customHeight="1" x14ac:dyDescent="0.25">
      <c r="D75" s="50" t="str">
        <v>Ammonia</v>
      </c>
      <c r="E75" s="50">
        <f>((G36 * $I$50 * $I$51) * 10 ^ -3)</f>
        <v>0</v>
      </c>
    </row>
    <row r="76" spans="1:6" ht="20.100000000000001" customHeight="1" x14ac:dyDescent="0.25">
      <c r="A76" s="157" t="str">
        <f>HYPERLINK("#A1", "▲ Back to top")</f>
        <v>▲ Back to top</v>
      </c>
      <c r="D76" s="50" t="str">
        <v>Calcium nitrate</v>
      </c>
      <c r="E76" s="50">
        <f>((G37 * $I$50 * $I$51) * 10 ^ -3)</f>
        <v>0</v>
      </c>
    </row>
    <row r="77" spans="1:6" ht="20.100000000000001" customHeight="1" x14ac:dyDescent="0.25"/>
    <row r="78" spans="1:6" ht="20.100000000000001" customHeight="1" x14ac:dyDescent="0.25">
      <c r="D78" s="94" t="s">
        <v>233</v>
      </c>
      <c r="E78" s="95">
        <f>SUM(E58:E76)</f>
        <v>0.38260869533333336</v>
      </c>
      <c r="F78" s="96" t="str">
        <f>$E$47</f>
        <v>t CO2</v>
      </c>
    </row>
    <row r="79" spans="1:6" ht="20.100000000000001" customHeight="1" x14ac:dyDescent="0.25"/>
    <row r="80" spans="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U165"/>
  <sheetViews>
    <sheetView showGridLines="0" workbookViewId="0">
      <selection activeCell="H58" sqref="H5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234</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
        <v>382</v>
      </c>
    </row>
    <row r="6" spans="1:21" ht="20.100000000000001" customHeight="1" x14ac:dyDescent="0.25">
      <c r="A6" s="16"/>
      <c r="D6" s="5" t="s">
        <v>383</v>
      </c>
    </row>
    <row r="7" spans="1:21" ht="20.100000000000001" customHeight="1" x14ac:dyDescent="0.25">
      <c r="A7" s="20" t="s">
        <v>1</v>
      </c>
      <c r="D7" s="13"/>
      <c r="E7" s="13"/>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
        <v>384</v>
      </c>
    </row>
    <row r="11" spans="1:21" ht="20.100000000000001" customHeight="1" x14ac:dyDescent="0.25">
      <c r="A11" s="19" t="s">
        <v>68</v>
      </c>
      <c r="D11" s="51" t="s">
        <v>16</v>
      </c>
      <c r="E11" s="52" t="s">
        <v>326</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54" t="s">
        <v>385</v>
      </c>
      <c r="E13" s="55" t="s">
        <v>386</v>
      </c>
      <c r="F13" s="56"/>
      <c r="G13" s="147" t="s">
        <v>141</v>
      </c>
      <c r="H13" s="120" t="s">
        <v>332</v>
      </c>
      <c r="I13" s="145" t="str" cm="1">
        <f t="array" aca="1" ref="I13" ca="1">HYPERLINK(Common_InputFunctions.Utility_SourceHyperlink($D$17), $D$17)</f>
        <v>Table_MNSoil_j_f</v>
      </c>
    </row>
    <row r="14" spans="1:21" ht="20.100000000000001" customHeight="1" x14ac:dyDescent="0.25">
      <c r="A14" s="176" t="str">
        <f>HYPERLINK("#'5.2.1.1-2 Organic Fert N2O'!A1", "5.2.1.1-2 Organic Fert N2O")</f>
        <v>5.2.1.1-2 Organic Fert N2O</v>
      </c>
      <c r="D14" s="54" t="s">
        <v>387</v>
      </c>
      <c r="E14" s="55" t="s">
        <v>388</v>
      </c>
      <c r="F14" s="56"/>
      <c r="G14" s="147" t="s">
        <v>338</v>
      </c>
      <c r="H14" s="120" t="s">
        <v>332</v>
      </c>
      <c r="I14" s="145" t="str" cm="1">
        <f t="array" aca="1" ref="I14" ca="1">HYPERLINK(Common_InputFunctions.Utility_SourceHyperlink($D$17), $D$17)</f>
        <v>Table_MNSoil_j_f</v>
      </c>
    </row>
    <row r="15" spans="1:21" ht="20.100000000000001" customHeight="1" x14ac:dyDescent="0.25">
      <c r="A15" s="17" t="str">
        <f>HYPERLINK("#'5.3.1.1-2 Lime CO2'!A1", "5.3.1.1-2 Lime CO2")</f>
        <v>5.3.1.1-2 Lime CO2</v>
      </c>
      <c r="D15" s="54" t="s">
        <v>329</v>
      </c>
      <c r="E15" s="55" t="s">
        <v>236</v>
      </c>
      <c r="F15" s="56"/>
      <c r="G15" s="147"/>
      <c r="H15" s="120" t="s">
        <v>332</v>
      </c>
      <c r="I15" s="145" t="str" cm="1">
        <f t="array" aca="1" ref="I15" ca="1">HYPERLINK(Common_InputFunctions.Utility_SourceHyperlink($D$17), $D$17)</f>
        <v>Table_MNSoil_j_f</v>
      </c>
    </row>
    <row r="16" spans="1:21" ht="20.100000000000001" customHeight="1" x14ac:dyDescent="0.25">
      <c r="A16" s="17" t="str">
        <f>HYPERLINK("#'5.4.1.1-4 Atmos deposition'!A1", "5.4.1.1-4 Atmos deposition")</f>
        <v>5.4.1.1-4 Atmos deposition</v>
      </c>
    </row>
    <row r="17" spans="1:10" ht="20.100000000000001" customHeight="1" x14ac:dyDescent="0.25">
      <c r="A17" s="17" t="str">
        <f>HYPERLINK("#'5.5.1.1-2 Leaching and runoff'!A1", "5.5.1.1-2 Leaching and runoff")</f>
        <v>5.5.1.1-2 Leaching and runoff</v>
      </c>
      <c r="D17" s="92" t="s">
        <v>242</v>
      </c>
    </row>
    <row r="18" spans="1:10" ht="20.100000000000001" customHeight="1" x14ac:dyDescent="0.25">
      <c r="D18" s="91" t="s">
        <v>249</v>
      </c>
    </row>
    <row r="19" spans="1:10" ht="20.100000000000001" customHeight="1" x14ac:dyDescent="0.25">
      <c r="A19" s="18" t="s">
        <v>2</v>
      </c>
      <c r="D19" s="112" t="s">
        <v>243</v>
      </c>
      <c r="E19" s="112" t="s">
        <v>244</v>
      </c>
      <c r="F19" s="112" t="s">
        <v>150</v>
      </c>
      <c r="G19" s="148" t="s">
        <v>245</v>
      </c>
      <c r="H19" s="148" t="s">
        <v>246</v>
      </c>
      <c r="I19" s="148" t="s">
        <v>247</v>
      </c>
    </row>
    <row r="20" spans="1:10" ht="20.100000000000001" customHeight="1" x14ac:dyDescent="0.25">
      <c r="A20" s="17" t="str">
        <f>HYPERLINK("#'Constants - Fertiliser'!A1", "Constants - Fertiliser")</f>
        <v>Constants - Fertiliser</v>
      </c>
      <c r="D20" s="50" t="str" cm="1">
        <f t="array" ref="D20:D21">Table_Input_OrganicFertiliser[Organic fertiliser type (select)]</f>
        <v>Manure - Other</v>
      </c>
      <c r="E20" s="151" cm="1">
        <f t="array" ref="E20:E21">Table_Input_OrganicFertiliser[Amount applied (kg/hectare)]</f>
        <v>10</v>
      </c>
      <c r="F20" s="151" cm="1">
        <f t="array" ref="F20:F21">Table_Input_OrganicFertiliser[Application area (ha)]</f>
        <v>100</v>
      </c>
      <c r="G20" s="50" cm="1">
        <f t="array" ref="G20:G21">Table_Input_OrganicFertiliser[Amount applied (kg/hectare)]*Table_Input_OrganicFertiliser[Application area (ha)]</f>
        <v>1000</v>
      </c>
      <c r="H20" s="152" cm="1">
        <f t="array" ref="H20:H21">Table_Input_OrganicFertiliser[Percentage of N in fertiliser]</f>
        <v>0.3</v>
      </c>
      <c r="I20" s="50">
        <f>(G20 * H20)</f>
        <v>300</v>
      </c>
    </row>
    <row r="21" spans="1:10" ht="20.100000000000001" customHeight="1" x14ac:dyDescent="0.25">
      <c r="A21" s="17" t="str">
        <f>HYPERLINK("#'Constants - Common'!A1", "Constants - Common")</f>
        <v>Constants - Common</v>
      </c>
      <c r="D21" s="50" t="str">
        <v>Manure - Poultry</v>
      </c>
      <c r="E21" s="50">
        <v>10</v>
      </c>
      <c r="F21" s="50">
        <v>100</v>
      </c>
      <c r="G21" s="50">
        <v>1000</v>
      </c>
      <c r="H21" s="50">
        <v>0.25</v>
      </c>
      <c r="I21" s="50">
        <f>(G21 * H21)</f>
        <v>250</v>
      </c>
    </row>
    <row r="22" spans="1:10" ht="20.100000000000001" customHeight="1" x14ac:dyDescent="0.25">
      <c r="D22" s="50"/>
      <c r="E22" s="50"/>
      <c r="F22" s="50"/>
      <c r="G22" s="50"/>
      <c r="H22" s="50"/>
      <c r="I22" s="50">
        <f>(G22 * H22)</f>
        <v>0</v>
      </c>
    </row>
    <row r="23" spans="1:10" ht="20.100000000000001" customHeight="1" x14ac:dyDescent="0.25">
      <c r="A23" s="17"/>
      <c r="D23" s="50"/>
      <c r="E23" s="50"/>
      <c r="F23" s="50"/>
      <c r="G23" s="50"/>
      <c r="H23" s="50"/>
      <c r="I23" s="50">
        <f>(G23 * H23)</f>
        <v>0</v>
      </c>
    </row>
    <row r="24" spans="1:10" ht="20.100000000000001" customHeight="1" x14ac:dyDescent="0.25">
      <c r="D24" s="50"/>
      <c r="E24" s="50"/>
      <c r="F24" s="50"/>
      <c r="G24" s="50"/>
      <c r="H24" s="50"/>
      <c r="I24" s="50">
        <f>(G24 * H24)</f>
        <v>0</v>
      </c>
    </row>
    <row r="25" spans="1:10" ht="20.100000000000001" customHeight="1" x14ac:dyDescent="0.25">
      <c r="D25" s="50"/>
      <c r="E25" s="50"/>
      <c r="F25" s="50"/>
      <c r="G25" s="50"/>
      <c r="H25" s="50"/>
      <c r="I25" s="50">
        <f>(G25 * H25)</f>
        <v>0</v>
      </c>
    </row>
    <row r="26" spans="1:10" ht="20.100000000000001" customHeight="1" x14ac:dyDescent="0.25">
      <c r="D26" s="50"/>
      <c r="E26" s="50"/>
      <c r="F26" s="50"/>
      <c r="G26" s="50"/>
      <c r="H26" s="50"/>
      <c r="I26" s="50">
        <f>(G26 * H26)</f>
        <v>0</v>
      </c>
    </row>
    <row r="27" spans="1:10" ht="20.100000000000001" customHeight="1" x14ac:dyDescent="0.25">
      <c r="D27" s="50"/>
      <c r="E27" s="50"/>
      <c r="F27" s="50"/>
      <c r="G27" s="50"/>
      <c r="H27" s="50"/>
      <c r="I27" s="50">
        <f>(G27 * H27)</f>
        <v>0</v>
      </c>
    </row>
    <row r="28" spans="1:10" ht="20.100000000000001" customHeight="1" x14ac:dyDescent="0.25">
      <c r="D28" s="50"/>
      <c r="E28" s="50"/>
      <c r="F28" s="50"/>
      <c r="G28" s="50"/>
      <c r="H28" s="50"/>
      <c r="I28" s="50">
        <f>(G28 * H28)</f>
        <v>0</v>
      </c>
    </row>
    <row r="29" spans="1:10" ht="20.100000000000001" customHeight="1" x14ac:dyDescent="0.25">
      <c r="D29" s="50"/>
      <c r="E29" s="50"/>
      <c r="F29" s="50"/>
      <c r="G29" s="50"/>
      <c r="H29" s="50"/>
      <c r="I29" s="50">
        <f>(G29 * H29)</f>
        <v>0</v>
      </c>
    </row>
    <row r="30" spans="1:10" ht="20.100000000000001" customHeight="1" x14ac:dyDescent="0.25">
      <c r="D30" s="50"/>
      <c r="E30" s="50"/>
      <c r="F30" s="50"/>
      <c r="G30" s="50"/>
      <c r="H30" s="50"/>
      <c r="I30" s="50">
        <f>(G30 * H30)</f>
        <v>0</v>
      </c>
    </row>
    <row r="31" spans="1:10" ht="20.100000000000001" customHeight="1" x14ac:dyDescent="0.25">
      <c r="D31" s="110"/>
      <c r="E31" s="110"/>
      <c r="F31" s="110"/>
      <c r="G31" s="110"/>
      <c r="H31" s="110"/>
      <c r="I31" s="110"/>
      <c r="J31" s="110"/>
    </row>
    <row r="32" spans="1:10" ht="20.100000000000001" customHeight="1" x14ac:dyDescent="0.25">
      <c r="D32" s="149" t="s">
        <v>248</v>
      </c>
      <c r="E32" s="149">
        <f>SUM(I20:I30)</f>
        <v>550</v>
      </c>
      <c r="F32" s="150" t="str">
        <f>$E$11</f>
        <v>kg N</v>
      </c>
      <c r="G32" s="110"/>
      <c r="H32" s="110"/>
      <c r="I32" s="110"/>
      <c r="J32" s="110"/>
    </row>
    <row r="33" spans="1:12" ht="20.100000000000001" customHeight="1" x14ac:dyDescent="0.25"/>
    <row r="34" spans="1:12" ht="20.100000000000001" customHeight="1" x14ac:dyDescent="0.25">
      <c r="A34" s="157" t="str">
        <f>HYPERLINK("#A1", "▲ Back to top")</f>
        <v>▲ Back to top</v>
      </c>
    </row>
    <row r="35" spans="1:12" ht="20.100000000000001" customHeight="1" x14ac:dyDescent="0.25">
      <c r="C35" s="156"/>
      <c r="D35" s="156"/>
      <c r="E35" s="156"/>
      <c r="F35" s="156"/>
      <c r="G35" s="156"/>
      <c r="H35" s="156"/>
      <c r="I35" s="156"/>
      <c r="J35" s="156"/>
      <c r="K35" s="156"/>
      <c r="L35" s="156"/>
    </row>
    <row r="36" spans="1:12" ht="20.100000000000001" customHeight="1" x14ac:dyDescent="0.25">
      <c r="D36" s="6" t="s">
        <v>389</v>
      </c>
    </row>
    <row r="37" spans="1:12" ht="20.100000000000001" customHeight="1" x14ac:dyDescent="0.25">
      <c r="D37" s="5" t="s">
        <v>390</v>
      </c>
    </row>
    <row r="38" spans="1:12" ht="20.100000000000001" customHeight="1" x14ac:dyDescent="0.25">
      <c r="D38" s="13"/>
      <c r="E38" s="13"/>
    </row>
    <row r="39" spans="1:12" ht="20.100000000000001" customHeight="1" x14ac:dyDescent="0.25"/>
    <row r="40" spans="1:12" ht="20.100000000000001" customHeight="1" x14ac:dyDescent="0.25"/>
    <row r="41" spans="1:12" ht="20.100000000000001" customHeight="1" x14ac:dyDescent="0.25">
      <c r="D41" s="51" t="s">
        <v>24</v>
      </c>
      <c r="E41" s="1" t="s">
        <v>351</v>
      </c>
    </row>
    <row r="42" spans="1:12" ht="20.100000000000001" customHeight="1" x14ac:dyDescent="0.25">
      <c r="D42" s="51" t="s">
        <v>16</v>
      </c>
      <c r="E42" s="52" t="s">
        <v>100</v>
      </c>
    </row>
    <row r="43" spans="1:12" ht="20.100000000000001" customHeight="1" x14ac:dyDescent="0.25"/>
    <row r="44" spans="1:12" ht="20.100000000000001" customHeight="1" x14ac:dyDescent="0.25">
      <c r="D44" s="147" t="s">
        <v>384</v>
      </c>
      <c r="E44" s="154" t="s">
        <v>391</v>
      </c>
      <c r="F44" s="155"/>
      <c r="G44" s="155"/>
      <c r="H44" s="153"/>
      <c r="I44" s="147" t="s">
        <v>326</v>
      </c>
      <c r="J44" s="119" t="s">
        <v>395</v>
      </c>
      <c r="K44" s="147">
        <f>$E$32</f>
        <v>550</v>
      </c>
    </row>
    <row r="45" spans="1:12" ht="20.100000000000001" customHeight="1" x14ac:dyDescent="0.25">
      <c r="D45" s="147" t="s">
        <v>392</v>
      </c>
      <c r="E45" s="154" t="s">
        <v>393</v>
      </c>
      <c r="F45" s="155"/>
      <c r="G45" s="155"/>
      <c r="H45" s="153"/>
      <c r="I45" s="147" t="s">
        <v>396</v>
      </c>
      <c r="J45" s="119" t="s">
        <v>371</v>
      </c>
      <c r="K45" s="147">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5">
      <c r="D46" s="147" t="s">
        <v>354</v>
      </c>
      <c r="E46" s="154" t="s">
        <v>355</v>
      </c>
      <c r="F46" s="155"/>
      <c r="G46" s="155"/>
      <c r="H46" s="153"/>
      <c r="I46" s="147"/>
      <c r="J46" s="119" t="s">
        <v>333</v>
      </c>
      <c r="K46" s="54">
        <f>Common_InputFunctions.Utility_LookupValueInTableNumber("N2O",Table_GasToMolecularConversionFactor[Gas],Table_GasToMolecularConversionFactor[Conversion factor combined])</f>
        <v>1.5714285714285714</v>
      </c>
    </row>
    <row r="47" spans="1:12" ht="20.100000000000001" customHeight="1" x14ac:dyDescent="0.25">
      <c r="D47" s="147" t="s">
        <v>356</v>
      </c>
      <c r="E47" s="154" t="s">
        <v>86</v>
      </c>
      <c r="F47" s="155"/>
      <c r="G47" s="155"/>
      <c r="H47" s="153"/>
      <c r="I47" s="147"/>
      <c r="J47" s="120" t="s">
        <v>332</v>
      </c>
      <c r="K47" s="147" t="str">
        <f>'Input - Fertiliser'!$E$6</f>
        <v>Crop</v>
      </c>
    </row>
    <row r="48" spans="1:12" ht="20.100000000000001" customHeight="1" x14ac:dyDescent="0.25">
      <c r="D48" s="147" t="s">
        <v>394</v>
      </c>
      <c r="E48" s="154" t="s">
        <v>72</v>
      </c>
      <c r="F48" s="155"/>
      <c r="G48" s="155"/>
      <c r="H48" s="153"/>
      <c r="I48" s="147"/>
      <c r="J48" s="120" t="s">
        <v>332</v>
      </c>
      <c r="K48" s="147" t="str">
        <f>'Input - Site'!$E$32</f>
        <v>Dry climate zone</v>
      </c>
    </row>
    <row r="49" spans="1:7" ht="20.100000000000001" customHeight="1" x14ac:dyDescent="0.25"/>
    <row r="50" spans="1:7" ht="20.100000000000001" customHeight="1" x14ac:dyDescent="0.25">
      <c r="D50" s="94" t="s">
        <v>161</v>
      </c>
      <c r="E50" s="95">
        <f>((K44 * K45 * K46) * 10 ^ -3)</f>
        <v>4.3214285714285715E-3</v>
      </c>
      <c r="F50" s="96" t="str">
        <f>$E$42</f>
        <v>t N2O</v>
      </c>
    </row>
    <row r="51" spans="1:7" ht="20.100000000000001" customHeight="1" x14ac:dyDescent="0.25"/>
    <row r="52" spans="1:7" ht="20.100000000000001" customHeight="1" x14ac:dyDescent="0.25">
      <c r="D52" s="54" t="str" cm="1">
        <f t="array" ref="D52:E53">Common_Equations.Common_ConvertN2OToCO2e_Arguments()</f>
        <v>EN2O</v>
      </c>
      <c r="E52" s="55" t="str">
        <v>Nitrous oxide emissions (t N2O)</v>
      </c>
      <c r="F52" s="97"/>
      <c r="G52" s="50">
        <f>E50</f>
        <v>4.3214285714285715E-3</v>
      </c>
    </row>
    <row r="53" spans="1:7" ht="20.100000000000001" customHeight="1" x14ac:dyDescent="0.25">
      <c r="D53" s="54" t="str">
        <v>GWPN2O</v>
      </c>
      <c r="E53" s="55" t="str">
        <v>Global warming potential for nitrous oxide (t CO2-e / t N2O)</v>
      </c>
      <c r="F53" s="97"/>
      <c r="G53" s="50">
        <f>Common_InputFunctions.Utility_LookupValueInTableNumber("N2O",Table_GWPData[Gas],Table_GWPData[CO2-e factor])</f>
        <v>265</v>
      </c>
    </row>
    <row r="54" spans="1:7" ht="20.100000000000001" customHeight="1" x14ac:dyDescent="0.25"/>
    <row r="55" spans="1:7" ht="20.100000000000001" customHeight="1" x14ac:dyDescent="0.25">
      <c r="A55" s="157" t="str">
        <f>HYPERLINK("#A1", "▲ Back to top")</f>
        <v>▲ Back to top</v>
      </c>
      <c r="D55" s="44" t="s">
        <v>78</v>
      </c>
      <c r="E55" s="44" cm="1">
        <f t="array" ref="E55">Common_Equations.Common_ConvertN2OToCO2e(G52,G53)</f>
        <v>1.1451785714285714</v>
      </c>
      <c r="F55" s="98" t="str" cm="1">
        <f t="array" ref="F55">Common_Equations.Common_ConvertN2OToCO2e_Unit()</f>
        <v>t CO2e</v>
      </c>
    </row>
    <row r="56" spans="1:7" ht="20.100000000000001" customHeight="1" x14ac:dyDescent="0.25"/>
    <row r="57" spans="1:7" ht="20.100000000000001" customHeight="1" x14ac:dyDescent="0.25"/>
    <row r="58" spans="1:7" ht="20.100000000000001" customHeight="1" x14ac:dyDescent="0.25"/>
    <row r="59" spans="1:7" ht="20.100000000000001" customHeight="1" x14ac:dyDescent="0.25"/>
    <row r="60" spans="1:7" ht="20.100000000000001" customHeight="1" x14ac:dyDescent="0.25"/>
    <row r="61" spans="1:7" ht="20.100000000000001" customHeight="1" x14ac:dyDescent="0.25"/>
    <row r="62" spans="1:7" ht="20.100000000000001" customHeight="1" x14ac:dyDescent="0.25"/>
    <row r="63" spans="1:7" ht="20.100000000000001" customHeight="1" x14ac:dyDescent="0.25"/>
    <row r="64" spans="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U165"/>
  <sheetViews>
    <sheetView showGridLines="0" workbookViewId="0">
      <selection activeCell="E25" sqref="E2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252</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
        <v>397</v>
      </c>
    </row>
    <row r="6" spans="1:21" ht="20.100000000000001" customHeight="1" x14ac:dyDescent="0.25">
      <c r="A6" s="16"/>
      <c r="D6" s="5" t="s">
        <v>398</v>
      </c>
    </row>
    <row r="7" spans="1:21" ht="20.100000000000001" customHeight="1" x14ac:dyDescent="0.25">
      <c r="A7" s="20" t="s">
        <v>1</v>
      </c>
      <c r="D7" s="13"/>
      <c r="E7" s="13"/>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
        <v>399</v>
      </c>
    </row>
    <row r="11" spans="1:21" ht="20.100000000000001" customHeight="1" x14ac:dyDescent="0.25">
      <c r="A11" s="19" t="s">
        <v>68</v>
      </c>
      <c r="D11" s="51" t="s">
        <v>16</v>
      </c>
      <c r="E11" s="52" t="s">
        <v>259</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
        <v>400</v>
      </c>
      <c r="E13" s="154" t="s">
        <v>401</v>
      </c>
      <c r="F13" s="153"/>
      <c r="G13" s="147" t="s">
        <v>141</v>
      </c>
      <c r="H13" s="120" t="s">
        <v>332</v>
      </c>
      <c r="I13" s="145" t="str" cm="1">
        <f t="array" aca="1" ref="I13" ca="1">HYPERLINK(Common_InputFunctions.Utility_SourceHyperlink($D$22), $D$22)</f>
        <v>Table_E_lime</v>
      </c>
    </row>
    <row r="14" spans="1:21" ht="20.100000000000001" customHeight="1" x14ac:dyDescent="0.25">
      <c r="A14" s="17" t="str">
        <f>HYPERLINK("#'5.2.1.1-2 Organic Fert N2O'!A1", "5.2.1.1-2 Organic Fert N2O")</f>
        <v>5.2.1.1-2 Organic Fert N2O</v>
      </c>
      <c r="D14" s="147" t="s">
        <v>255</v>
      </c>
      <c r="E14" s="154" t="s">
        <v>402</v>
      </c>
      <c r="F14" s="153"/>
      <c r="G14" s="147" t="s">
        <v>413</v>
      </c>
      <c r="H14" s="120" t="s">
        <v>332</v>
      </c>
      <c r="I14" s="145" t="str" cm="1">
        <f t="array" aca="1" ref="I14" ca="1">HYPERLINK(Common_InputFunctions.Utility_SourceHyperlink($D$22), $D$22)</f>
        <v>Table_E_lime</v>
      </c>
    </row>
    <row r="15" spans="1:21" ht="20.100000000000001" customHeight="1" x14ac:dyDescent="0.25">
      <c r="A15" s="176" t="str">
        <f>HYPERLINK("#'5.3.1.1-2 Lime CO2'!A1", "5.3.1.1-2 Lime CO2")</f>
        <v>5.3.1.1-2 Lime CO2</v>
      </c>
      <c r="D15" s="147" t="s">
        <v>403</v>
      </c>
      <c r="E15" s="154" t="s">
        <v>404</v>
      </c>
      <c r="F15" s="153"/>
      <c r="G15" s="147" t="s">
        <v>413</v>
      </c>
      <c r="H15" s="119" t="s">
        <v>333</v>
      </c>
      <c r="I15" s="147">
        <f>'Constants - Fertiliser'!$E$66</f>
        <v>0.9</v>
      </c>
    </row>
    <row r="16" spans="1:21" ht="20.100000000000001" customHeight="1" x14ac:dyDescent="0.25">
      <c r="A16" s="17" t="str">
        <f>HYPERLINK("#'5.4.1.1-4 Atmos deposition'!A1", "5.4.1.1-4 Atmos deposition")</f>
        <v>5.4.1.1-4 Atmos deposition</v>
      </c>
      <c r="D16" s="147" t="s">
        <v>405</v>
      </c>
      <c r="E16" s="154" t="s">
        <v>406</v>
      </c>
      <c r="F16" s="153"/>
      <c r="G16" s="147" t="s">
        <v>414</v>
      </c>
      <c r="H16" s="119" t="s">
        <v>333</v>
      </c>
      <c r="I16" s="147">
        <f>'Constants - Fertiliser'!$F$66</f>
        <v>0.12</v>
      </c>
    </row>
    <row r="17" spans="1:9" ht="20.100000000000001" customHeight="1" x14ac:dyDescent="0.25">
      <c r="A17" s="17" t="str">
        <f>HYPERLINK("#'5.5.1.1-2 Leaching and runoff'!A1", "5.5.1.1-2 Leaching and runoff")</f>
        <v>5.5.1.1-2 Leaching and runoff</v>
      </c>
      <c r="D17" s="147" t="s">
        <v>256</v>
      </c>
      <c r="E17" s="154" t="s">
        <v>407</v>
      </c>
      <c r="F17" s="153"/>
      <c r="G17" s="147" t="s">
        <v>413</v>
      </c>
      <c r="H17" s="120" t="s">
        <v>332</v>
      </c>
      <c r="I17" s="145" t="str" cm="1">
        <f t="array" aca="1" ref="I17" ca="1">HYPERLINK(Common_InputFunctions.Utility_SourceHyperlink($D$22), $D$22)</f>
        <v>Table_E_lime</v>
      </c>
    </row>
    <row r="18" spans="1:9" ht="20.100000000000001" customHeight="1" x14ac:dyDescent="0.25">
      <c r="D18" s="147" t="s">
        <v>408</v>
      </c>
      <c r="E18" s="154" t="s">
        <v>409</v>
      </c>
      <c r="F18" s="153"/>
      <c r="G18" s="147" t="s">
        <v>413</v>
      </c>
      <c r="H18" s="119" t="s">
        <v>333</v>
      </c>
      <c r="I18" s="147">
        <f>'Constants - Fertiliser'!$E$67</f>
        <v>0.95</v>
      </c>
    </row>
    <row r="19" spans="1:9" ht="20.100000000000001" customHeight="1" x14ac:dyDescent="0.25">
      <c r="A19" s="18" t="s">
        <v>2</v>
      </c>
      <c r="D19" s="147" t="s">
        <v>410</v>
      </c>
      <c r="E19" s="154" t="s">
        <v>411</v>
      </c>
      <c r="F19" s="153"/>
      <c r="G19" s="147" t="s">
        <v>414</v>
      </c>
      <c r="H19" s="119" t="s">
        <v>333</v>
      </c>
      <c r="I19" s="147">
        <f>'Constants - Fertiliser'!$F$67</f>
        <v>0.13</v>
      </c>
    </row>
    <row r="20" spans="1:9" ht="20.100000000000001" customHeight="1" x14ac:dyDescent="0.25">
      <c r="A20" s="17" t="str">
        <f>HYPERLINK("#'Constants - Fertiliser'!A1", "Constants - Fertiliser")</f>
        <v>Constants - Fertiliser</v>
      </c>
      <c r="D20" s="147" t="s">
        <v>378</v>
      </c>
      <c r="E20" s="154" t="s">
        <v>412</v>
      </c>
      <c r="F20" s="153"/>
      <c r="G20" s="147"/>
      <c r="H20" s="119" t="s">
        <v>333</v>
      </c>
      <c r="I20" s="54">
        <f>Common_InputFunctions.Utility_LookupValueInTableNumber("CO2",Table_GasToMolecularConversionFactor[Gas], Table_GasToMolecularConversionFactor[Conversion factor combined])</f>
        <v>3.6666666666666665</v>
      </c>
    </row>
    <row r="21" spans="1:9" ht="20.100000000000001" customHeight="1" x14ac:dyDescent="0.25">
      <c r="A21" s="17" t="str">
        <f>HYPERLINK("#'Constants - Common'!A1", "Constants - Common")</f>
        <v>Constants - Common</v>
      </c>
    </row>
    <row r="22" spans="1:9" ht="20.100000000000001" customHeight="1" x14ac:dyDescent="0.25">
      <c r="D22" s="92" t="s">
        <v>260</v>
      </c>
    </row>
    <row r="23" spans="1:9" ht="20.100000000000001" customHeight="1" x14ac:dyDescent="0.25">
      <c r="A23" s="17"/>
      <c r="D23" s="91" t="s">
        <v>265</v>
      </c>
    </row>
    <row r="24" spans="1:9" ht="20.100000000000001" customHeight="1" x14ac:dyDescent="0.25">
      <c r="D24" s="148" t="s">
        <v>253</v>
      </c>
      <c r="E24" s="49" t="s">
        <v>254</v>
      </c>
      <c r="F24" s="49" t="s">
        <v>255</v>
      </c>
      <c r="G24" s="49" t="s">
        <v>256</v>
      </c>
      <c r="H24" s="49" t="s">
        <v>257</v>
      </c>
    </row>
    <row r="25" spans="1:9" ht="20.100000000000001" customHeight="1" x14ac:dyDescent="0.25">
      <c r="D25" s="50" t="str" cm="1">
        <f t="array" ref="D25:D26">Table_Input_Lime[Product]</f>
        <v>Lime product 1</v>
      </c>
      <c r="E25" s="158" cm="1">
        <f t="array" ref="E25:E26">Table_Input_Lime[Total amount applied (t)]*10^3</f>
        <v>100000</v>
      </c>
      <c r="F25" s="159" cm="1">
        <f t="array" ref="F25:F26">Table_Input_Lime[Percent Lime CaCO3]</f>
        <v>1</v>
      </c>
      <c r="G25" s="159" cm="1">
        <f t="array" ref="G25:G26">Table_Input_Lime[Percent Dolomite CaMg(CO3)2]</f>
        <v>0</v>
      </c>
      <c r="H25" s="50">
        <f>(((E25 * F25 * $I$15 * $I$16) + (E25 * G25 * $I$18 * $I$19)) * $I$20 * 10 ^ -3)</f>
        <v>39.6</v>
      </c>
    </row>
    <row r="26" spans="1:9" ht="20.100000000000001" customHeight="1" x14ac:dyDescent="0.25">
      <c r="D26" s="50" t="str">
        <v>Lime product 2</v>
      </c>
      <c r="E26" s="50">
        <v>100000</v>
      </c>
      <c r="F26" s="50">
        <v>1</v>
      </c>
      <c r="G26" s="50">
        <v>0</v>
      </c>
      <c r="H26" s="50">
        <f>(((E26 * F26 * $I$15 * $I$16) + (E26 * G26 * $I$18 * $I$19)) * $I$20 * 10 ^ -3)</f>
        <v>39.6</v>
      </c>
    </row>
    <row r="27" spans="1:9" ht="20.100000000000001" customHeight="1" x14ac:dyDescent="0.25">
      <c r="D27" s="50"/>
      <c r="E27" s="50"/>
      <c r="F27" s="50"/>
      <c r="G27" s="50"/>
      <c r="H27" s="50">
        <f>(((E27 * F27 * $I$15 * $I$16) + (E27 * G27 * $I$18 * $I$19)) * $I$20 * 10 ^ -3)</f>
        <v>0</v>
      </c>
    </row>
    <row r="28" spans="1:9" ht="20.100000000000001" customHeight="1" x14ac:dyDescent="0.25">
      <c r="D28" s="50"/>
      <c r="E28" s="50"/>
      <c r="F28" s="50"/>
      <c r="G28" s="50"/>
      <c r="H28" s="50">
        <f>(((E28 * F28 * $I$15 * $I$16) + (E28 * G28 * $I$18 * $I$19)) * $I$20 * 10 ^ -3)</f>
        <v>0</v>
      </c>
    </row>
    <row r="29" spans="1:9" ht="20.100000000000001" customHeight="1" x14ac:dyDescent="0.25">
      <c r="D29" s="50"/>
      <c r="E29" s="50"/>
      <c r="F29" s="50"/>
      <c r="G29" s="50"/>
      <c r="H29" s="50">
        <f>(((E29 * F29 * $I$15 * $I$16) + (E29 * G29 * $I$18 * $I$19)) * $I$20 * 10 ^ -3)</f>
        <v>0</v>
      </c>
    </row>
    <row r="30" spans="1:9" ht="20.100000000000001" customHeight="1" x14ac:dyDescent="0.25"/>
    <row r="31" spans="1:9" ht="20.100000000000001" customHeight="1" x14ac:dyDescent="0.25">
      <c r="D31" s="94" t="s">
        <v>258</v>
      </c>
      <c r="E31" s="94">
        <f>SUM(H25:H29)</f>
        <v>79.2</v>
      </c>
      <c r="F31" s="160" t="s">
        <v>259</v>
      </c>
    </row>
    <row r="32" spans="1:9" ht="20.100000000000001" customHeight="1" x14ac:dyDescent="0.25"/>
    <row r="33" spans="1:1" ht="20.100000000000001" customHeight="1" x14ac:dyDescent="0.25"/>
    <row r="34" spans="1:1" ht="20.100000000000001" customHeight="1" x14ac:dyDescent="0.25">
      <c r="A34" s="157" t="str">
        <f>HYPERLINK("#A1", "▲ Back to top")</f>
        <v>▲ Back to top</v>
      </c>
    </row>
    <row r="35" spans="1:1" ht="20.100000000000001" customHeight="1" x14ac:dyDescent="0.25"/>
    <row r="36" spans="1:1" ht="20.100000000000001" customHeight="1" x14ac:dyDescent="0.25"/>
    <row r="37" spans="1:1" ht="20.100000000000001" customHeight="1" x14ac:dyDescent="0.25"/>
    <row r="38" spans="1:1" ht="20.100000000000001" customHeight="1" x14ac:dyDescent="0.25"/>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spans="1:1" ht="20.100000000000001" customHeight="1" x14ac:dyDescent="0.25"/>
    <row r="50" spans="1:1" ht="20.100000000000001" customHeight="1" x14ac:dyDescent="0.25"/>
    <row r="51" spans="1:1" ht="20.100000000000001" customHeight="1" x14ac:dyDescent="0.25"/>
    <row r="52" spans="1:1" ht="20.100000000000001" customHeight="1" x14ac:dyDescent="0.25"/>
    <row r="53" spans="1:1" ht="20.100000000000001" customHeight="1" x14ac:dyDescent="0.25"/>
    <row r="54" spans="1:1" ht="20.100000000000001" customHeight="1" x14ac:dyDescent="0.25"/>
    <row r="55" spans="1:1" ht="20.100000000000001" customHeight="1" x14ac:dyDescent="0.25">
      <c r="A55" s="157" t="str">
        <f>HYPERLINK("#A1", "▲ Back to top")</f>
        <v>▲ Back to top</v>
      </c>
    </row>
    <row r="56" spans="1:1" ht="20.100000000000001" customHeight="1" x14ac:dyDescent="0.25"/>
    <row r="57" spans="1:1" ht="20.100000000000001" customHeight="1" x14ac:dyDescent="0.25"/>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915A5-9E7A-48B1-BB4A-69314E8D064C}">
  <dimension ref="A1:U165"/>
  <sheetViews>
    <sheetView showGridLines="0" topLeftCell="A66" workbookViewId="0">
      <selection activeCell="E146" sqref="E1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283</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
        <v>415</v>
      </c>
    </row>
    <row r="6" spans="1:21" ht="20.100000000000001" customHeight="1" x14ac:dyDescent="0.25">
      <c r="A6" s="16"/>
      <c r="D6" s="5" t="s">
        <v>416</v>
      </c>
    </row>
    <row r="7" spans="1:21" ht="20.100000000000001" customHeight="1" x14ac:dyDescent="0.25">
      <c r="A7" s="20" t="s">
        <v>1</v>
      </c>
      <c r="D7" s="13"/>
      <c r="E7" s="13"/>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
        <v>417</v>
      </c>
    </row>
    <row r="11" spans="1:21" ht="20.100000000000001" customHeight="1" x14ac:dyDescent="0.25">
      <c r="A11" s="19" t="s">
        <v>68</v>
      </c>
      <c r="D11" s="51" t="s">
        <v>16</v>
      </c>
      <c r="E11" s="52" t="s">
        <v>326</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
        <v>325</v>
      </c>
      <c r="E13" s="154" t="s">
        <v>418</v>
      </c>
      <c r="F13" s="153"/>
      <c r="G13" s="147" t="s">
        <v>326</v>
      </c>
      <c r="H13" s="119" t="s">
        <v>361</v>
      </c>
      <c r="I13" s="145" t="str" cm="1">
        <f t="array" aca="1" ref="I13" ca="1">HYPERLINK(Common_InputFunctions.Utility_SourceHyperlink($D$16),$D$16)</f>
        <v>Table_M_vol_inorganic_j_f</v>
      </c>
    </row>
    <row r="14" spans="1:21" ht="20.100000000000001" customHeight="1" x14ac:dyDescent="0.25">
      <c r="A14" s="17" t="str">
        <f>HYPERLINK("#'5.2.1.1-2 Organic Fert N2O'!A1", "5.2.1.1-2 Organic Fert N2O")</f>
        <v>5.2.1.1-2 Organic Fert N2O</v>
      </c>
      <c r="D14" s="147" t="s">
        <v>419</v>
      </c>
      <c r="E14" s="154" t="s">
        <v>420</v>
      </c>
      <c r="F14" s="153"/>
      <c r="G14" s="147" t="s">
        <v>421</v>
      </c>
      <c r="H14" s="119" t="s">
        <v>333</v>
      </c>
      <c r="I14" s="145" t="str" cm="1">
        <f t="array" aca="1" ref="I14" ca="1">HYPERLINK(Common_InputFunctions.Utility_SourceHyperlink($D$16),$D$16)</f>
        <v>Table_M_vol_inorganic_j_f</v>
      </c>
    </row>
    <row r="15" spans="1:21" ht="20.100000000000001" customHeight="1" x14ac:dyDescent="0.25">
      <c r="A15" s="17" t="str">
        <f>HYPERLINK("#'5.3.1.1-2 Lime CO2'!A1", "5.3.1.1-2 Lime CO2")</f>
        <v>5.3.1.1-2 Lime CO2</v>
      </c>
    </row>
    <row r="16" spans="1:21" ht="20.100000000000001" customHeight="1" x14ac:dyDescent="0.25">
      <c r="A16" s="176" t="str">
        <f>HYPERLINK("#'5.4.1.1-4 Atmos deposition'!A1", "5.4.1.1-4 Atmos deposition")</f>
        <v>5.4.1.1-4 Atmos deposition</v>
      </c>
      <c r="D16" s="92" t="s">
        <v>270</v>
      </c>
    </row>
    <row r="17" spans="1:8" ht="20.100000000000001" customHeight="1" x14ac:dyDescent="0.25">
      <c r="A17" s="17" t="str">
        <f>HYPERLINK("#'5.5.1.1-2 Leaching and runoff'!A1", "5.5.1.1-2 Leaching and runoff")</f>
        <v>5.5.1.1-2 Leaching and runoff</v>
      </c>
      <c r="D17" s="91" t="s">
        <v>271</v>
      </c>
    </row>
    <row r="18" spans="1:8" ht="20.100000000000001" customHeight="1" x14ac:dyDescent="0.25">
      <c r="D18" s="49" t="s">
        <v>266</v>
      </c>
      <c r="E18" s="49" t="s">
        <v>267</v>
      </c>
      <c r="F18" s="49" t="s">
        <v>109</v>
      </c>
      <c r="G18" s="165" t="s">
        <v>268</v>
      </c>
      <c r="H18" s="165" t="s">
        <v>269</v>
      </c>
    </row>
    <row r="19" spans="1:8" ht="20.100000000000001" customHeight="1" x14ac:dyDescent="0.25">
      <c r="A19" s="18" t="s">
        <v>2</v>
      </c>
      <c r="D19" s="50" t="str" cm="1">
        <f t="array" ref="D19:D37">Table_Fertiliser_ChemicalCompounds[Fertiliser type f]</f>
        <v>Monoammonium phosphate (MAP)</v>
      </c>
      <c r="E19" s="50">
        <f>'5.1.1.1-2 Inorganic fert N2O'!G19</f>
        <v>0</v>
      </c>
      <c r="F19" s="50" t="str" cm="1">
        <f t="array" ref="F19">Common_InputFunctions.Utility_LookupValueInTable(D19, Table_Fertiliser_ChemicalCompounds[Fertiliser type f],Table_Fertiliser_ChemicalCompounds[Basis])</f>
        <v>Ammonium-based fertilisers</v>
      </c>
      <c r="G19" s="50" cm="1">
        <f t="array" ref="G19">Common_InputFunctions.Utility_LookupValueInTableNumber(F19, Table_SourceData_Fertiliser_FracGASF[Fertiliser type f],Table_SourceData_Fertiliser_FracGASF[FracGASF f])</f>
        <v>0.08</v>
      </c>
      <c r="H19" s="50">
        <f>(E19 * G19)</f>
        <v>0</v>
      </c>
    </row>
    <row r="20" spans="1:8" ht="20.100000000000001" customHeight="1" x14ac:dyDescent="0.25">
      <c r="A20" s="17" t="str">
        <f>HYPERLINK("#'Constants - Fertiliser'!A1", "Constants - Fertiliser")</f>
        <v>Constants - Fertiliser</v>
      </c>
      <c r="D20" s="50" t="str">
        <v>Diammonium phosphate (DAP)</v>
      </c>
      <c r="E20" s="50">
        <f>'5.1.1.1-2 Inorganic fert N2O'!G20</f>
        <v>0</v>
      </c>
      <c r="F20" s="50" t="str" cm="1">
        <f t="array" ref="F20">Common_InputFunctions.Utility_LookupValueInTable(D20, Table_Fertiliser_ChemicalCompounds[Fertiliser type f],Table_Fertiliser_ChemicalCompounds[Basis])</f>
        <v>Ammonium-based fertilisers</v>
      </c>
      <c r="G20" s="50" cm="1">
        <f t="array" ref="G20">Common_InputFunctions.Utility_LookupValueInTableNumber(F20, Table_SourceData_Fertiliser_FracGASF[Fertiliser type f],Table_SourceData_Fertiliser_FracGASF[FracGASF f])</f>
        <v>0.08</v>
      </c>
      <c r="H20" s="50">
        <f>(E20 * G20)</f>
        <v>0</v>
      </c>
    </row>
    <row r="21" spans="1:8" ht="20.100000000000001" customHeight="1" x14ac:dyDescent="0.25">
      <c r="A21" s="17" t="str">
        <f>HYPERLINK("#'Constants - Common'!A1", "Constants - Common")</f>
        <v>Constants - Common</v>
      </c>
      <c r="D21" s="50" t="str">
        <v>Urea</v>
      </c>
      <c r="E21" s="50">
        <f>'5.1.1.1-2 Inorganic fert N2O'!G21</f>
        <v>239.99999980000004</v>
      </c>
      <c r="F21" s="50" t="str" cm="1">
        <f t="array" ref="F21">Common_InputFunctions.Utility_LookupValueInTable(D21, Table_Fertiliser_ChemicalCompounds[Fertiliser type f],Table_Fertiliser_ChemicalCompounds[Basis])</f>
        <v>Urea-based fertilisers</v>
      </c>
      <c r="G21" s="50" cm="1">
        <f t="array" ref="G21">Common_InputFunctions.Utility_LookupValueInTableNumber(F21, Table_SourceData_Fertiliser_FracGASF[Fertiliser type f],Table_SourceData_Fertiliser_FracGASF[FracGASF f])</f>
        <v>0.15</v>
      </c>
      <c r="H21" s="50">
        <f>(E21 * G21)</f>
        <v>35.999999970000005</v>
      </c>
    </row>
    <row r="22" spans="1:8" ht="20.100000000000001" customHeight="1" x14ac:dyDescent="0.25">
      <c r="D22" s="50" t="str">
        <v>Sulphate of ammonia (SOA)</v>
      </c>
      <c r="E22" s="50">
        <f>'5.1.1.1-2 Inorganic fert N2O'!G22</f>
        <v>0</v>
      </c>
      <c r="F22" s="50" t="str" cm="1">
        <f t="array" ref="F22">Common_InputFunctions.Utility_LookupValueInTable(D22, Table_Fertiliser_ChemicalCompounds[Fertiliser type f],Table_Fertiliser_ChemicalCompounds[Basis])</f>
        <v>Ammonium-based fertilisers</v>
      </c>
      <c r="G22" s="50" cm="1">
        <f t="array" ref="G22">Common_InputFunctions.Utility_LookupValueInTableNumber(F22, Table_SourceData_Fertiliser_FracGASF[Fertiliser type f],Table_SourceData_Fertiliser_FracGASF[FracGASF f])</f>
        <v>0.08</v>
      </c>
      <c r="H22" s="50">
        <f>(E22 * G22)</f>
        <v>0</v>
      </c>
    </row>
    <row r="23" spans="1:8" ht="20.100000000000001" customHeight="1" x14ac:dyDescent="0.25">
      <c r="A23" s="17"/>
      <c r="D23" s="50" t="str">
        <v>Urea-ammonium nitrate (UAN)</v>
      </c>
      <c r="E23" s="50">
        <f>'5.1.1.1-2 Inorganic fert N2O'!G23</f>
        <v>0</v>
      </c>
      <c r="F23" s="50" t="str" cm="1">
        <f t="array" ref="F23">Common_InputFunctions.Utility_LookupValueInTable(D23, Table_Fertiliser_ChemicalCompounds[Fertiliser type f],Table_Fertiliser_ChemicalCompounds[Basis])</f>
        <v>Urea-based fertilisers</v>
      </c>
      <c r="G23" s="50" cm="1">
        <f t="array" ref="G23">Common_InputFunctions.Utility_LookupValueInTableNumber(F23, Table_SourceData_Fertiliser_FracGASF[Fertiliser type f],Table_SourceData_Fertiliser_FracGASF[FracGASF f])</f>
        <v>0.15</v>
      </c>
      <c r="H23" s="50">
        <f>(E23 * G23)</f>
        <v>0</v>
      </c>
    </row>
    <row r="24" spans="1:8" ht="20.100000000000001" customHeight="1" x14ac:dyDescent="0.25">
      <c r="D24" s="50" t="str">
        <v>Ammonium nitrate (AN)</v>
      </c>
      <c r="E24" s="50">
        <f>'5.1.1.1-2 Inorganic fert N2O'!G24</f>
        <v>0</v>
      </c>
      <c r="F24" s="50" t="str" cm="1">
        <f t="array" ref="F24">Common_InputFunctions.Utility_LookupValueInTable(D24, Table_Fertiliser_ChemicalCompounds[Fertiliser type f],Table_Fertiliser_ChemicalCompounds[Basis])</f>
        <v>Ammonium-nitrate based fertilisers</v>
      </c>
      <c r="G24" s="50" cm="1">
        <f t="array" ref="G24">Common_InputFunctions.Utility_LookupValueInTableNumber(F24, Table_SourceData_Fertiliser_FracGASF[Fertiliser type f],Table_SourceData_Fertiliser_FracGASF[FracGASF f])</f>
        <v>0.05</v>
      </c>
      <c r="H24" s="50">
        <f>(E24 * G24)</f>
        <v>0</v>
      </c>
    </row>
    <row r="25" spans="1:8" ht="20.100000000000001" customHeight="1" x14ac:dyDescent="0.25">
      <c r="D25" s="50" t="str">
        <v>Calcium ammonium nitrate (CAN)</v>
      </c>
      <c r="E25" s="50">
        <f>'5.1.1.1-2 Inorganic fert N2O'!G25</f>
        <v>0</v>
      </c>
      <c r="F25" s="50" t="str" cm="1">
        <f t="array" ref="F25">Common_InputFunctions.Utility_LookupValueInTable(D25, Table_Fertiliser_ChemicalCompounds[Fertiliser type f],Table_Fertiliser_ChemicalCompounds[Basis])</f>
        <v>Ammonium-nitrate based fertilisers</v>
      </c>
      <c r="G25" s="50" cm="1">
        <f t="array" ref="G25">Common_InputFunctions.Utility_LookupValueInTableNumber(F25, Table_SourceData_Fertiliser_FracGASF[Fertiliser type f],Table_SourceData_Fertiliser_FracGASF[FracGASF f])</f>
        <v>0.05</v>
      </c>
      <c r="H25" s="50">
        <f>(E25 * G25)</f>
        <v>0</v>
      </c>
    </row>
    <row r="26" spans="1:8" ht="20.100000000000001" customHeight="1" x14ac:dyDescent="0.25">
      <c r="D26" s="50" t="str">
        <v>Nitrogen - Ammoniacal</v>
      </c>
      <c r="E26" s="50">
        <f>'5.1.1.1-2 Inorganic fert N2O'!G26</f>
        <v>0</v>
      </c>
      <c r="F26" s="50" t="str" cm="1">
        <f t="array" ref="F26">Common_InputFunctions.Utility_LookupValueInTable(D26, Table_Fertiliser_ChemicalCompounds[Fertiliser type f],Table_Fertiliser_ChemicalCompounds[Basis])</f>
        <v>Ammonium-based fertilisers</v>
      </c>
      <c r="G26" s="50" cm="1">
        <f t="array" ref="G26">Common_InputFunctions.Utility_LookupValueInTableNumber(F26, Table_SourceData_Fertiliser_FracGASF[Fertiliser type f],Table_SourceData_Fertiliser_FracGASF[FracGASF f])</f>
        <v>0.08</v>
      </c>
      <c r="H26" s="50">
        <f>(E26 * G26)</f>
        <v>0</v>
      </c>
    </row>
    <row r="27" spans="1:8" ht="20.100000000000001" customHeight="1" x14ac:dyDescent="0.25">
      <c r="D27" s="50" t="str">
        <v>Nitrogen - Nitrate</v>
      </c>
      <c r="E27" s="50">
        <f>'5.1.1.1-2 Inorganic fert N2O'!G27</f>
        <v>0</v>
      </c>
      <c r="F27" s="50" t="str" cm="1">
        <f t="array" ref="F27">Common_InputFunctions.Utility_LookupValueInTable(D27, Table_Fertiliser_ChemicalCompounds[Fertiliser type f],Table_Fertiliser_ChemicalCompounds[Basis])</f>
        <v>Nitrate-based fertilisers</v>
      </c>
      <c r="G27" s="50" cm="1">
        <f t="array" ref="G27">Common_InputFunctions.Utility_LookupValueInTableNumber(F27, Table_SourceData_Fertiliser_FracGASF[Fertiliser type f],Table_SourceData_Fertiliser_FracGASF[FracGASF f])</f>
        <v>0.01</v>
      </c>
      <c r="H27" s="50">
        <f>(E27 * G27)</f>
        <v>0</v>
      </c>
    </row>
    <row r="28" spans="1:8" ht="20.100000000000001" customHeight="1" x14ac:dyDescent="0.25">
      <c r="D28" s="50" t="str">
        <v>Nitrogen - Generic</v>
      </c>
      <c r="E28" s="50">
        <f>'5.1.1.1-2 Inorganic fert N2O'!G28</f>
        <v>825.55199999999991</v>
      </c>
      <c r="F28" s="50" t="str" cm="1">
        <f t="array" ref="F28">Common_InputFunctions.Utility_LookupValueInTable(D28, Table_Fertiliser_ChemicalCompounds[Fertiliser type f],Table_Fertiliser_ChemicalCompounds[Basis])</f>
        <v>Urea-based fertilisers</v>
      </c>
      <c r="G28" s="50" cm="1">
        <f t="array" ref="G28">Common_InputFunctions.Utility_LookupValueInTableNumber(F28, Table_SourceData_Fertiliser_FracGASF[Fertiliser type f],Table_SourceData_Fertiliser_FracGASF[FracGASF f])</f>
        <v>0.15</v>
      </c>
      <c r="H28" s="50">
        <f>(E28 * G28)</f>
        <v>123.83279999999998</v>
      </c>
    </row>
    <row r="29" spans="1:8" ht="20.100000000000001" customHeight="1" x14ac:dyDescent="0.25">
      <c r="D29" s="50" t="str">
        <v>Phosphorus - Generic</v>
      </c>
      <c r="E29" s="50">
        <f>'5.1.1.1-2 Inorganic fert N2O'!G29</f>
        <v>0</v>
      </c>
      <c r="F29" s="50" t="str" cm="1">
        <f t="array" ref="F29">Common_InputFunctions.Utility_LookupValueInTable(D29, Table_Fertiliser_ChemicalCompounds[Fertiliser type f],Table_Fertiliser_ChemicalCompounds[Basis])</f>
        <v>Other fertilisers</v>
      </c>
      <c r="G29" s="50" cm="1">
        <f t="array" ref="G29">Common_InputFunctions.Utility_LookupValueInTableNumber(F29, Table_SourceData_Fertiliser_FracGASF[Fertiliser type f],Table_SourceData_Fertiliser_FracGASF[FracGASF f])</f>
        <v>0.11</v>
      </c>
      <c r="H29" s="50">
        <f>(E29 * G29)</f>
        <v>0</v>
      </c>
    </row>
    <row r="30" spans="1:8" ht="20.100000000000001" customHeight="1" x14ac:dyDescent="0.25">
      <c r="D30" s="50" t="str">
        <v>Potassium - Generic</v>
      </c>
      <c r="E30" s="50">
        <f>'5.1.1.1-2 Inorganic fert N2O'!G30</f>
        <v>0</v>
      </c>
      <c r="F30" s="50" t="str" cm="1">
        <f t="array" ref="F30">Common_InputFunctions.Utility_LookupValueInTable(D30, Table_Fertiliser_ChemicalCompounds[Fertiliser type f],Table_Fertiliser_ChemicalCompounds[Basis])</f>
        <v>Other fertilisers</v>
      </c>
      <c r="G30" s="50" cm="1">
        <f t="array" ref="G30">Common_InputFunctions.Utility_LookupValueInTableNumber(F30, Table_SourceData_Fertiliser_FracGASF[Fertiliser type f],Table_SourceData_Fertiliser_FracGASF[FracGASF f])</f>
        <v>0.11</v>
      </c>
      <c r="H30" s="50">
        <f>(E30 * G30)</f>
        <v>0</v>
      </c>
    </row>
    <row r="31" spans="1:8" ht="20.100000000000001" customHeight="1" x14ac:dyDescent="0.25">
      <c r="D31" s="50" t="str">
        <v>Sulfur - Generic</v>
      </c>
      <c r="E31" s="50">
        <f>'5.1.1.1-2 Inorganic fert N2O'!G31</f>
        <v>0</v>
      </c>
      <c r="F31" s="50" t="str" cm="1">
        <f t="array" ref="F31">Common_InputFunctions.Utility_LookupValueInTable(D31, Table_Fertiliser_ChemicalCompounds[Fertiliser type f],Table_Fertiliser_ChemicalCompounds[Basis])</f>
        <v>Other fertilisers</v>
      </c>
      <c r="G31" s="50" cm="1">
        <f t="array" ref="G31">Common_InputFunctions.Utility_LookupValueInTableNumber(F31, Table_SourceData_Fertiliser_FracGASF[Fertiliser type f],Table_SourceData_Fertiliser_FracGASF[FracGASF f])</f>
        <v>0.11</v>
      </c>
      <c r="H31" s="50">
        <f>(E31 * G31)</f>
        <v>0</v>
      </c>
    </row>
    <row r="32" spans="1:8" ht="20.100000000000001" customHeight="1" x14ac:dyDescent="0.25">
      <c r="D32" s="50" t="str">
        <v>Zinc - Generic</v>
      </c>
      <c r="E32" s="50">
        <f>'5.1.1.1-2 Inorganic fert N2O'!G32</f>
        <v>0</v>
      </c>
      <c r="F32" s="50" t="str" cm="1">
        <f t="array" ref="F32">Common_InputFunctions.Utility_LookupValueInTable(D32, Table_Fertiliser_ChemicalCompounds[Fertiliser type f],Table_Fertiliser_ChemicalCompounds[Basis])</f>
        <v>Other fertilisers</v>
      </c>
      <c r="G32" s="50" cm="1">
        <f t="array" ref="G32">Common_InputFunctions.Utility_LookupValueInTableNumber(F32, Table_SourceData_Fertiliser_FracGASF[Fertiliser type f],Table_SourceData_Fertiliser_FracGASF[FracGASF f])</f>
        <v>0.11</v>
      </c>
      <c r="H32" s="50">
        <f>(E32 * G32)</f>
        <v>0</v>
      </c>
    </row>
    <row r="33" spans="1:12" ht="20.100000000000001" customHeight="1" x14ac:dyDescent="0.25">
      <c r="D33" s="50" t="str">
        <v>Muriate of potash (MOP)</v>
      </c>
      <c r="E33" s="50">
        <f>'5.1.1.1-2 Inorganic fert N2O'!G33</f>
        <v>0</v>
      </c>
      <c r="F33" s="50" t="str" cm="1">
        <f t="array" ref="F33">Common_InputFunctions.Utility_LookupValueInTable(D33, Table_Fertiliser_ChemicalCompounds[Fertiliser type f],Table_Fertiliser_ChemicalCompounds[Basis])</f>
        <v>Other fertilisers</v>
      </c>
      <c r="G33" s="50" cm="1">
        <f t="array" ref="G33">Common_InputFunctions.Utility_LookupValueInTableNumber(F33, Table_SourceData_Fertiliser_FracGASF[Fertiliser type f],Table_SourceData_Fertiliser_FracGASF[FracGASF f])</f>
        <v>0.11</v>
      </c>
      <c r="H33" s="50">
        <f>(E33 * G33)</f>
        <v>0</v>
      </c>
    </row>
    <row r="34" spans="1:12" ht="20.100000000000001" customHeight="1" x14ac:dyDescent="0.25">
      <c r="A34" s="157" t="str">
        <f>HYPERLINK("#A1", "▲ Back to top")</f>
        <v>▲ Back to top</v>
      </c>
      <c r="D34" s="50" t="str">
        <v>Double superphosphate</v>
      </c>
      <c r="E34" s="50">
        <f>'5.1.1.1-2 Inorganic fert N2O'!G34</f>
        <v>0</v>
      </c>
      <c r="F34" s="50" t="str" cm="1">
        <f t="array" ref="F34">Common_InputFunctions.Utility_LookupValueInTable(D34, Table_Fertiliser_ChemicalCompounds[Fertiliser type f],Table_Fertiliser_ChemicalCompounds[Basis])</f>
        <v>Other fertilisers</v>
      </c>
      <c r="G34" s="50" cm="1">
        <f t="array" ref="G34">Common_InputFunctions.Utility_LookupValueInTableNumber(F34, Table_SourceData_Fertiliser_FracGASF[Fertiliser type f],Table_SourceData_Fertiliser_FracGASF[FracGASF f])</f>
        <v>0.11</v>
      </c>
      <c r="H34" s="50">
        <f>(E34 * G34)</f>
        <v>0</v>
      </c>
    </row>
    <row r="35" spans="1:12" ht="20.100000000000001" customHeight="1" x14ac:dyDescent="0.25">
      <c r="D35" s="50" t="str">
        <v>Single superphosphate (SSP)</v>
      </c>
      <c r="E35" s="50">
        <f>'5.1.1.1-2 Inorganic fert N2O'!G35</f>
        <v>0</v>
      </c>
      <c r="F35" s="50" t="str" cm="1">
        <f t="array" ref="F35">Common_InputFunctions.Utility_LookupValueInTable(D35, Table_Fertiliser_ChemicalCompounds[Fertiliser type f],Table_Fertiliser_ChemicalCompounds[Basis])</f>
        <v>Other fertilisers</v>
      </c>
      <c r="G35" s="50" cm="1">
        <f t="array" ref="G35">Common_InputFunctions.Utility_LookupValueInTableNumber(F35, Table_SourceData_Fertiliser_FracGASF[Fertiliser type f],Table_SourceData_Fertiliser_FracGASF[FracGASF f])</f>
        <v>0.11</v>
      </c>
      <c r="H35" s="50">
        <f>(E35 * G35)</f>
        <v>0</v>
      </c>
    </row>
    <row r="36" spans="1:12" ht="20.100000000000001" customHeight="1" x14ac:dyDescent="0.25">
      <c r="D36" s="50" t="str">
        <v>Ammonia</v>
      </c>
      <c r="E36" s="50">
        <f>'5.1.1.1-2 Inorganic fert N2O'!G36</f>
        <v>0</v>
      </c>
      <c r="F36" s="50" t="str" cm="1">
        <f t="array" ref="F36">Common_InputFunctions.Utility_LookupValueInTable(D36, Table_Fertiliser_ChemicalCompounds[Fertiliser type f],Table_Fertiliser_ChemicalCompounds[Basis])</f>
        <v>Ammonium-based fertilisers</v>
      </c>
      <c r="G36" s="50" cm="1">
        <f t="array" ref="G36">Common_InputFunctions.Utility_LookupValueInTableNumber(F36, Table_SourceData_Fertiliser_FracGASF[Fertiliser type f],Table_SourceData_Fertiliser_FracGASF[FracGASF f])</f>
        <v>0.08</v>
      </c>
      <c r="H36" s="50">
        <f>(E36 * G36)</f>
        <v>0</v>
      </c>
    </row>
    <row r="37" spans="1:12" ht="20.100000000000001" customHeight="1" x14ac:dyDescent="0.25">
      <c r="D37" s="50" t="str">
        <v>Calcium nitrate</v>
      </c>
      <c r="E37" s="50">
        <f>'5.1.1.1-2 Inorganic fert N2O'!G37</f>
        <v>1550</v>
      </c>
      <c r="F37" s="50" t="str" cm="1">
        <f t="array" ref="F37">Common_InputFunctions.Utility_LookupValueInTable(D37, Table_Fertiliser_ChemicalCompounds[Fertiliser type f],Table_Fertiliser_ChemicalCompounds[Basis])</f>
        <v>Nitrate-based fertilisers</v>
      </c>
      <c r="G37" s="50" cm="1">
        <f t="array" ref="G37">Common_InputFunctions.Utility_LookupValueInTableNumber(F37, Table_SourceData_Fertiliser_FracGASF[Fertiliser type f],Table_SourceData_Fertiliser_FracGASF[FracGASF f])</f>
        <v>0.01</v>
      </c>
      <c r="H37" s="50">
        <f>(E37 * G37)</f>
        <v>15.5</v>
      </c>
    </row>
    <row r="38" spans="1:12" ht="20.100000000000001" customHeight="1" x14ac:dyDescent="0.25"/>
    <row r="39" spans="1:12" ht="20.100000000000001" customHeight="1" x14ac:dyDescent="0.25"/>
    <row r="40" spans="1:12" ht="20.100000000000001" customHeight="1" x14ac:dyDescent="0.25">
      <c r="C40" s="156"/>
      <c r="D40" s="156"/>
      <c r="E40" s="156"/>
      <c r="F40" s="156"/>
      <c r="G40" s="156"/>
      <c r="H40" s="156"/>
      <c r="I40" s="156"/>
      <c r="J40" s="156"/>
      <c r="K40" s="156"/>
      <c r="L40" s="156"/>
    </row>
    <row r="41" spans="1:12" ht="20.100000000000001" customHeight="1" x14ac:dyDescent="0.25">
      <c r="D41" s="6" t="s">
        <v>422</v>
      </c>
    </row>
    <row r="42" spans="1:12" ht="20.100000000000001" customHeight="1" x14ac:dyDescent="0.25">
      <c r="D42" s="5" t="s">
        <v>423</v>
      </c>
    </row>
    <row r="43" spans="1:12" ht="20.100000000000001" customHeight="1" x14ac:dyDescent="0.25">
      <c r="D43" s="13"/>
      <c r="E43" s="13"/>
    </row>
    <row r="44" spans="1:12" ht="20.100000000000001" customHeight="1" x14ac:dyDescent="0.25"/>
    <row r="45" spans="1:12" ht="20.100000000000001" customHeight="1" x14ac:dyDescent="0.25"/>
    <row r="46" spans="1:12" ht="20.100000000000001" customHeight="1" x14ac:dyDescent="0.25">
      <c r="D46" s="51" t="s">
        <v>24</v>
      </c>
      <c r="E46" s="1" t="s">
        <v>424</v>
      </c>
    </row>
    <row r="47" spans="1:12" ht="20.100000000000001" customHeight="1" x14ac:dyDescent="0.25">
      <c r="D47" s="51" t="s">
        <v>16</v>
      </c>
      <c r="E47" s="52" t="s">
        <v>100</v>
      </c>
    </row>
    <row r="48" spans="1:12" ht="20.100000000000001" customHeight="1" x14ac:dyDescent="0.25"/>
    <row r="49" spans="1:10" ht="20.100000000000001" customHeight="1" x14ac:dyDescent="0.25">
      <c r="D49" s="147" t="s">
        <v>417</v>
      </c>
      <c r="E49" s="154" t="s">
        <v>425</v>
      </c>
      <c r="F49" s="155"/>
      <c r="G49" s="153"/>
      <c r="H49" s="147" t="s">
        <v>326</v>
      </c>
      <c r="I49" s="119" t="s">
        <v>430</v>
      </c>
      <c r="J49" s="145" t="str" cm="1">
        <f t="array" aca="1" ref="J49" ca="1">HYPERLINK(Common_InputFunctions.Utility_SourceHyperlink($D$16),$D$16)</f>
        <v>Table_M_vol_inorganic_j_f</v>
      </c>
    </row>
    <row r="50" spans="1:10" ht="20.100000000000001" customHeight="1" x14ac:dyDescent="0.25">
      <c r="D50" s="147" t="s">
        <v>426</v>
      </c>
      <c r="E50" s="154" t="s">
        <v>427</v>
      </c>
      <c r="F50" s="155"/>
      <c r="G50" s="153"/>
      <c r="H50" s="147" t="s">
        <v>396</v>
      </c>
      <c r="I50" s="119" t="s">
        <v>333</v>
      </c>
      <c r="J50" s="147">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1:10" ht="20.100000000000001" customHeight="1" x14ac:dyDescent="0.25">
      <c r="D51" s="147" t="s">
        <v>354</v>
      </c>
      <c r="E51" s="154" t="s">
        <v>355</v>
      </c>
      <c r="F51" s="155"/>
      <c r="G51" s="153"/>
      <c r="H51" s="147"/>
      <c r="I51" s="119" t="s">
        <v>333</v>
      </c>
      <c r="J51" s="54">
        <f>Common_InputFunctions.Utility_LookupValueInTableNumber("N2O",Table_GasToMolecularConversionFactor[Gas],Table_GasToMolecularConversionFactor[Conversion factor combined])</f>
        <v>1.5714285714285714</v>
      </c>
    </row>
    <row r="52" spans="1:10" ht="20.100000000000001" customHeight="1" x14ac:dyDescent="0.25">
      <c r="D52" s="147" t="s">
        <v>356</v>
      </c>
      <c r="E52" s="154" t="s">
        <v>86</v>
      </c>
      <c r="F52" s="155"/>
      <c r="G52" s="153"/>
      <c r="H52" s="147"/>
      <c r="I52" s="120" t="s">
        <v>332</v>
      </c>
      <c r="J52" s="147" t="str">
        <f>'Input - Fertiliser'!$E$6</f>
        <v>Crop</v>
      </c>
    </row>
    <row r="53" spans="1:10" ht="20.100000000000001" customHeight="1" x14ac:dyDescent="0.25">
      <c r="D53" s="147" t="s">
        <v>357</v>
      </c>
      <c r="E53" s="154" t="s">
        <v>358</v>
      </c>
      <c r="F53" s="155"/>
      <c r="G53" s="153"/>
      <c r="H53" s="147"/>
      <c r="I53" s="120" t="s">
        <v>332</v>
      </c>
      <c r="J53" s="147" t="str">
        <f>'Input - Fertiliser'!$E$8</f>
        <v>Drip irrigation</v>
      </c>
    </row>
    <row r="54" spans="1:10" ht="20.100000000000001" customHeight="1" x14ac:dyDescent="0.25">
      <c r="D54" s="147" t="s">
        <v>428</v>
      </c>
      <c r="E54" s="154" t="s">
        <v>429</v>
      </c>
      <c r="F54" s="155"/>
      <c r="G54" s="153"/>
      <c r="H54" s="147"/>
      <c r="I54" s="120" t="s">
        <v>332</v>
      </c>
      <c r="J54" s="147" t="str">
        <f>'Input - Site'!$E$30</f>
        <v>Low rainfall</v>
      </c>
    </row>
    <row r="55" spans="1:10" ht="20.100000000000001" customHeight="1" x14ac:dyDescent="0.25">
      <c r="A55" s="157" t="str">
        <f>HYPERLINK("#A1", "▲ Back to top")</f>
        <v>▲ Back to top</v>
      </c>
    </row>
    <row r="56" spans="1:10" ht="20.100000000000001" customHeight="1" x14ac:dyDescent="0.25">
      <c r="D56" s="92" t="s">
        <v>279</v>
      </c>
    </row>
    <row r="57" spans="1:10" ht="20.100000000000001" customHeight="1" x14ac:dyDescent="0.25">
      <c r="D57" s="91" t="s">
        <v>280</v>
      </c>
    </row>
    <row r="58" spans="1:10" ht="20.100000000000001" customHeight="1" x14ac:dyDescent="0.25">
      <c r="D58" s="49" t="s">
        <v>266</v>
      </c>
      <c r="E58" s="165" t="s">
        <v>269</v>
      </c>
      <c r="F58" s="165" t="s">
        <v>272</v>
      </c>
    </row>
    <row r="59" spans="1:10" ht="20.100000000000001" customHeight="1" x14ac:dyDescent="0.25">
      <c r="D59" s="50" t="str" cm="1">
        <f t="array" ref="D59:D77">Table_Fertiliser_ChemicalCompounds[Fertiliser type f]</f>
        <v>Monoammonium phosphate (MAP)</v>
      </c>
      <c r="E59" s="50">
        <f t="shared" ref="E59:E77" si="0">H19</f>
        <v>0</v>
      </c>
      <c r="F59" s="50">
        <f>((E59 * $J$50) * $J$51 * 10 ^ -3)</f>
        <v>0</v>
      </c>
      <c r="G59" s="2" t="str">
        <f>E47</f>
        <v>t N2O</v>
      </c>
    </row>
    <row r="60" spans="1:10" ht="20.100000000000001" customHeight="1" x14ac:dyDescent="0.25">
      <c r="D60" s="50" t="str">
        <v>Diammonium phosphate (DAP)</v>
      </c>
      <c r="E60" s="50">
        <f t="shared" si="0"/>
        <v>0</v>
      </c>
      <c r="F60" s="50">
        <f>((E60 * $J$50) * $J$51 * 10 ^ -3)</f>
        <v>0</v>
      </c>
    </row>
    <row r="61" spans="1:10" ht="20.100000000000001" customHeight="1" x14ac:dyDescent="0.25">
      <c r="D61" s="50" t="str">
        <v>Urea</v>
      </c>
      <c r="E61" s="50">
        <f t="shared" si="0"/>
        <v>35.999999970000005</v>
      </c>
      <c r="F61" s="50">
        <f>((E61 * $J$50) * $J$51 * 10 ^ -3)</f>
        <v>3.9599999967000006E-4</v>
      </c>
    </row>
    <row r="62" spans="1:10" ht="20.100000000000001" customHeight="1" x14ac:dyDescent="0.25">
      <c r="D62" s="50" t="str">
        <v>Sulphate of ammonia (SOA)</v>
      </c>
      <c r="E62" s="50">
        <f t="shared" si="0"/>
        <v>0</v>
      </c>
      <c r="F62" s="50">
        <f>((E62 * $J$50) * $J$51 * 10 ^ -3)</f>
        <v>0</v>
      </c>
    </row>
    <row r="63" spans="1:10" ht="20.100000000000001" customHeight="1" x14ac:dyDescent="0.25">
      <c r="D63" s="50" t="str">
        <v>Urea-ammonium nitrate (UAN)</v>
      </c>
      <c r="E63" s="50">
        <f t="shared" si="0"/>
        <v>0</v>
      </c>
      <c r="F63" s="50">
        <f>((E63 * $J$50) * $J$51 * 10 ^ -3)</f>
        <v>0</v>
      </c>
    </row>
    <row r="64" spans="1:10" ht="20.100000000000001" customHeight="1" x14ac:dyDescent="0.25">
      <c r="D64" s="50" t="str">
        <v>Ammonium nitrate (AN)</v>
      </c>
      <c r="E64" s="50">
        <f t="shared" si="0"/>
        <v>0</v>
      </c>
      <c r="F64" s="50">
        <f>((E64 * $J$50) * $J$51 * 10 ^ -3)</f>
        <v>0</v>
      </c>
    </row>
    <row r="65" spans="4:6" ht="20.100000000000001" customHeight="1" x14ac:dyDescent="0.25">
      <c r="D65" s="50" t="str">
        <v>Calcium ammonium nitrate (CAN)</v>
      </c>
      <c r="E65" s="50">
        <f t="shared" si="0"/>
        <v>0</v>
      </c>
      <c r="F65" s="50">
        <f>((E65 * $J$50) * $J$51 * 10 ^ -3)</f>
        <v>0</v>
      </c>
    </row>
    <row r="66" spans="4:6" ht="20.100000000000001" customHeight="1" x14ac:dyDescent="0.25">
      <c r="D66" s="50" t="str">
        <v>Nitrogen - Ammoniacal</v>
      </c>
      <c r="E66" s="50">
        <f t="shared" si="0"/>
        <v>0</v>
      </c>
      <c r="F66" s="50">
        <f>((E66 * $J$50) * $J$51 * 10 ^ -3)</f>
        <v>0</v>
      </c>
    </row>
    <row r="67" spans="4:6" ht="20.100000000000001" customHeight="1" x14ac:dyDescent="0.25">
      <c r="D67" s="50" t="str">
        <v>Nitrogen - Nitrate</v>
      </c>
      <c r="E67" s="50">
        <f t="shared" si="0"/>
        <v>0</v>
      </c>
      <c r="F67" s="50">
        <f>((E67 * $J$50) * $J$51 * 10 ^ -3)</f>
        <v>0</v>
      </c>
    </row>
    <row r="68" spans="4:6" ht="20.100000000000001" customHeight="1" x14ac:dyDescent="0.25">
      <c r="D68" s="50" t="str">
        <v>Nitrogen - Generic</v>
      </c>
      <c r="E68" s="50">
        <f t="shared" si="0"/>
        <v>123.83279999999998</v>
      </c>
      <c r="F68" s="50">
        <f>((E68 * $J$50) * $J$51 * 10 ^ -3)</f>
        <v>1.3621607999999999E-3</v>
      </c>
    </row>
    <row r="69" spans="4:6" ht="20.100000000000001" customHeight="1" x14ac:dyDescent="0.25">
      <c r="D69" s="50" t="str">
        <v>Phosphorus - Generic</v>
      </c>
      <c r="E69" s="50">
        <f t="shared" si="0"/>
        <v>0</v>
      </c>
      <c r="F69" s="50">
        <f>((E69 * $J$50) * $J$51 * 10 ^ -3)</f>
        <v>0</v>
      </c>
    </row>
    <row r="70" spans="4:6" ht="20.100000000000001" customHeight="1" x14ac:dyDescent="0.25">
      <c r="D70" s="50" t="str">
        <v>Potassium - Generic</v>
      </c>
      <c r="E70" s="50">
        <f t="shared" si="0"/>
        <v>0</v>
      </c>
      <c r="F70" s="50">
        <f>((E70 * $J$50) * $J$51 * 10 ^ -3)</f>
        <v>0</v>
      </c>
    </row>
    <row r="71" spans="4:6" ht="20.100000000000001" customHeight="1" x14ac:dyDescent="0.25">
      <c r="D71" s="50" t="str">
        <v>Sulfur - Generic</v>
      </c>
      <c r="E71" s="50">
        <f t="shared" si="0"/>
        <v>0</v>
      </c>
      <c r="F71" s="50">
        <f>((E71 * $J$50) * $J$51 * 10 ^ -3)</f>
        <v>0</v>
      </c>
    </row>
    <row r="72" spans="4:6" ht="20.100000000000001" customHeight="1" x14ac:dyDescent="0.25">
      <c r="D72" s="50" t="str">
        <v>Zinc - Generic</v>
      </c>
      <c r="E72" s="50">
        <f t="shared" si="0"/>
        <v>0</v>
      </c>
      <c r="F72" s="50">
        <f>((E72 * $J$50) * $J$51 * 10 ^ -3)</f>
        <v>0</v>
      </c>
    </row>
    <row r="73" spans="4:6" ht="20.100000000000001" customHeight="1" x14ac:dyDescent="0.25">
      <c r="D73" s="50" t="str">
        <v>Muriate of potash (MOP)</v>
      </c>
      <c r="E73" s="50">
        <f t="shared" si="0"/>
        <v>0</v>
      </c>
      <c r="F73" s="50">
        <f>((E73 * $J$50) * $J$51 * 10 ^ -3)</f>
        <v>0</v>
      </c>
    </row>
    <row r="74" spans="4:6" ht="20.100000000000001" customHeight="1" x14ac:dyDescent="0.25">
      <c r="D74" s="50" t="str">
        <v>Double superphosphate</v>
      </c>
      <c r="E74" s="50">
        <f t="shared" si="0"/>
        <v>0</v>
      </c>
      <c r="F74" s="50">
        <f>((E74 * $J$50) * $J$51 * 10 ^ -3)</f>
        <v>0</v>
      </c>
    </row>
    <row r="75" spans="4:6" ht="20.100000000000001" customHeight="1" x14ac:dyDescent="0.25">
      <c r="D75" s="50" t="str">
        <v>Single superphosphate (SSP)</v>
      </c>
      <c r="E75" s="50">
        <f t="shared" si="0"/>
        <v>0</v>
      </c>
      <c r="F75" s="50">
        <f>((E75 * $J$50) * $J$51 * 10 ^ -3)</f>
        <v>0</v>
      </c>
    </row>
    <row r="76" spans="4:6" ht="20.100000000000001" customHeight="1" x14ac:dyDescent="0.25">
      <c r="D76" s="50" t="str">
        <v>Ammonia</v>
      </c>
      <c r="E76" s="50">
        <f t="shared" si="0"/>
        <v>0</v>
      </c>
      <c r="F76" s="50">
        <f>((E76 * $J$50) * $J$51 * 10 ^ -3)</f>
        <v>0</v>
      </c>
    </row>
    <row r="77" spans="4:6" ht="20.100000000000001" customHeight="1" x14ac:dyDescent="0.25">
      <c r="D77" s="50" t="str">
        <v>Calcium nitrate</v>
      </c>
      <c r="E77" s="50">
        <f t="shared" si="0"/>
        <v>15.5</v>
      </c>
      <c r="F77" s="50">
        <f>((E77 * $J$50) * $J$51 * 10 ^ -3)</f>
        <v>1.705E-4</v>
      </c>
    </row>
    <row r="78" spans="4:6" ht="20.100000000000001" customHeight="1" x14ac:dyDescent="0.25"/>
    <row r="79" spans="4:6" ht="20.100000000000001" customHeight="1" x14ac:dyDescent="0.25">
      <c r="D79" s="94" t="s">
        <v>277</v>
      </c>
      <c r="E79" s="95">
        <f>SUM(F59:F77)</f>
        <v>1.9286607996699999E-3</v>
      </c>
      <c r="F79" s="96" t="str">
        <f>$E$47</f>
        <v>t N2O</v>
      </c>
    </row>
    <row r="80" spans="4:6" ht="20.100000000000001" customHeight="1" x14ac:dyDescent="0.25"/>
    <row r="81" spans="3:12" ht="20.100000000000001" customHeight="1" x14ac:dyDescent="0.25">
      <c r="D81" s="54" t="str" cm="1">
        <f t="array" ref="D81:E82">Common_Equations.Common_ConvertN2OToCO2e_Arguments()</f>
        <v>EN2O</v>
      </c>
      <c r="E81" s="55" t="str">
        <v>Nitrous oxide emissions (t N2O)</v>
      </c>
      <c r="F81" s="97"/>
      <c r="G81" s="50">
        <f>E79</f>
        <v>1.9286607996699999E-3</v>
      </c>
    </row>
    <row r="82" spans="3:12" ht="20.100000000000001" customHeight="1" x14ac:dyDescent="0.25">
      <c r="D82" s="54" t="str">
        <v>GWPN2O</v>
      </c>
      <c r="E82" s="55" t="str">
        <v>Global warming potential for nitrous oxide (t CO2-e / t N2O)</v>
      </c>
      <c r="F82" s="97"/>
      <c r="G82" s="50">
        <f>Common_InputFunctions.Utility_LookupValueInTableNumber("N2O",Table_GWPData[Gas],Table_GWPData[CO2-e factor])</f>
        <v>265</v>
      </c>
    </row>
    <row r="83" spans="3:12" ht="20.100000000000001" customHeight="1" x14ac:dyDescent="0.25"/>
    <row r="84" spans="3:12" ht="20.100000000000001" customHeight="1" x14ac:dyDescent="0.25">
      <c r="D84" s="44" t="s">
        <v>78</v>
      </c>
      <c r="E84" s="44" cm="1">
        <f t="array" ref="E84">Common_Equations.Common_ConvertN2OToCO2e(G81,G82)</f>
        <v>0.51109511191254997</v>
      </c>
      <c r="F84" s="98"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56"/>
      <c r="D87" s="156"/>
      <c r="E87" s="156"/>
      <c r="F87" s="156"/>
      <c r="G87" s="156"/>
      <c r="H87" s="156"/>
      <c r="I87" s="156"/>
      <c r="J87" s="156"/>
      <c r="K87" s="156"/>
      <c r="L87" s="156"/>
    </row>
    <row r="88" spans="3:12" ht="20.100000000000001" customHeight="1" x14ac:dyDescent="0.25">
      <c r="D88" s="6" t="s">
        <v>431</v>
      </c>
    </row>
    <row r="89" spans="3:12" ht="20.100000000000001" customHeight="1" x14ac:dyDescent="0.25">
      <c r="D89" s="5" t="s">
        <v>432</v>
      </c>
    </row>
    <row r="90" spans="3:12" ht="20.100000000000001" customHeight="1" x14ac:dyDescent="0.25">
      <c r="D90" s="13"/>
      <c r="E90" s="13"/>
    </row>
    <row r="91" spans="3:12" ht="20.100000000000001" customHeight="1" x14ac:dyDescent="0.25"/>
    <row r="92" spans="3:12" ht="20.100000000000001" customHeight="1" x14ac:dyDescent="0.25"/>
    <row r="93" spans="3:12" ht="20.100000000000001" customHeight="1" x14ac:dyDescent="0.25">
      <c r="D93" s="51" t="s">
        <v>24</v>
      </c>
      <c r="E93" s="1" t="s">
        <v>433</v>
      </c>
    </row>
    <row r="94" spans="3:12" ht="20.100000000000001" customHeight="1" x14ac:dyDescent="0.25">
      <c r="D94" s="51" t="s">
        <v>16</v>
      </c>
      <c r="E94" s="52" t="s">
        <v>326</v>
      </c>
    </row>
    <row r="95" spans="3:12" ht="20.100000000000001" customHeight="1" x14ac:dyDescent="0.25"/>
    <row r="96" spans="3:12" ht="20.100000000000001" customHeight="1" x14ac:dyDescent="0.25">
      <c r="D96" s="147" t="s">
        <v>384</v>
      </c>
      <c r="E96" s="147" t="s">
        <v>391</v>
      </c>
      <c r="F96" s="147"/>
      <c r="G96" s="147" t="s">
        <v>326</v>
      </c>
      <c r="H96" s="119" t="s">
        <v>395</v>
      </c>
      <c r="I96" s="145" t="str" cm="1">
        <f t="array" aca="1" ref="I96" ca="1">HYPERLINK(Common_InputFunctions.Utility_SourceHyperlink($D$99), $D$99)</f>
        <v>Table_M_vol_organic_j_f</v>
      </c>
    </row>
    <row r="97" spans="4:9" ht="20.100000000000001" customHeight="1" x14ac:dyDescent="0.25">
      <c r="D97" s="147" t="s">
        <v>434</v>
      </c>
      <c r="E97" s="147" t="s">
        <v>435</v>
      </c>
      <c r="F97" s="147"/>
      <c r="G97" s="147" t="s">
        <v>421</v>
      </c>
      <c r="H97" s="119" t="s">
        <v>333</v>
      </c>
      <c r="I97" s="147">
        <f>'Constants - Fertiliser'!$E$73</f>
        <v>0.21</v>
      </c>
    </row>
    <row r="98" spans="4:9" ht="20.100000000000001" customHeight="1" x14ac:dyDescent="0.25"/>
    <row r="99" spans="4:9" ht="20.100000000000001" customHeight="1" x14ac:dyDescent="0.25">
      <c r="D99" s="92" t="s">
        <v>273</v>
      </c>
    </row>
    <row r="100" spans="4:9" ht="20.100000000000001" customHeight="1" x14ac:dyDescent="0.25">
      <c r="D100" s="91" t="s">
        <v>274</v>
      </c>
    </row>
    <row r="101" spans="4:9" ht="20.100000000000001" customHeight="1" x14ac:dyDescent="0.25">
      <c r="D101" s="112" t="s">
        <v>243</v>
      </c>
      <c r="E101" s="148" t="s">
        <v>247</v>
      </c>
      <c r="F101" s="148" t="s">
        <v>276</v>
      </c>
    </row>
    <row r="102" spans="4:9" ht="20.100000000000001" customHeight="1" x14ac:dyDescent="0.25">
      <c r="D102" s="50" t="str" cm="1">
        <f t="array" ref="D102:D103">Table_Input_OrganicFertiliser[Organic fertiliser type (select)]</f>
        <v>Manure - Other</v>
      </c>
      <c r="E102" s="50">
        <f>'5.2.1.1-2 Organic Fert N2O'!I20</f>
        <v>300</v>
      </c>
      <c r="F102" s="50">
        <f>(E102 * $I$97)</f>
        <v>63</v>
      </c>
      <c r="G102" s="2" t="str">
        <f>$E$94</f>
        <v>kg N</v>
      </c>
    </row>
    <row r="103" spans="4:9" ht="20.100000000000001" customHeight="1" x14ac:dyDescent="0.25">
      <c r="D103" s="50" t="str">
        <v>Manure - Poultry</v>
      </c>
      <c r="E103" s="50">
        <f>'5.2.1.1-2 Organic Fert N2O'!I21</f>
        <v>250</v>
      </c>
      <c r="F103" s="50">
        <f>(E103 * $I$97)</f>
        <v>52.5</v>
      </c>
    </row>
    <row r="104" spans="4:9" ht="20.100000000000001" customHeight="1" x14ac:dyDescent="0.25">
      <c r="D104" s="50"/>
      <c r="E104" s="50">
        <f>'5.2.1.1-2 Organic Fert N2O'!I22</f>
        <v>0</v>
      </c>
      <c r="F104" s="50">
        <f>(E104 * $I$97)</f>
        <v>0</v>
      </c>
    </row>
    <row r="105" spans="4:9" ht="20.100000000000001" customHeight="1" x14ac:dyDescent="0.25">
      <c r="D105" s="50"/>
      <c r="E105" s="50">
        <f>'5.2.1.1-2 Organic Fert N2O'!I23</f>
        <v>0</v>
      </c>
      <c r="F105" s="50">
        <f>(E105 * $I$97)</f>
        <v>0</v>
      </c>
    </row>
    <row r="106" spans="4:9" ht="20.100000000000001" customHeight="1" x14ac:dyDescent="0.25">
      <c r="D106" s="50"/>
      <c r="E106" s="50">
        <f>'5.2.1.1-2 Organic Fert N2O'!I24</f>
        <v>0</v>
      </c>
      <c r="F106" s="50">
        <f>(E106 * $I$97)</f>
        <v>0</v>
      </c>
    </row>
    <row r="107" spans="4:9" ht="20.100000000000001" customHeight="1" x14ac:dyDescent="0.25">
      <c r="D107" s="50"/>
      <c r="E107" s="50">
        <f>'5.2.1.1-2 Organic Fert N2O'!I25</f>
        <v>0</v>
      </c>
      <c r="F107" s="50">
        <f>(E107 * $I$97)</f>
        <v>0</v>
      </c>
    </row>
    <row r="108" spans="4:9" ht="20.100000000000001" customHeight="1" x14ac:dyDescent="0.25">
      <c r="D108" s="50"/>
      <c r="E108" s="50">
        <f>'5.2.1.1-2 Organic Fert N2O'!I26</f>
        <v>0</v>
      </c>
      <c r="F108" s="50">
        <f>(E108 * $I$97)</f>
        <v>0</v>
      </c>
    </row>
    <row r="109" spans="4:9" ht="20.100000000000001" customHeight="1" x14ac:dyDescent="0.25">
      <c r="D109" s="50"/>
      <c r="E109" s="50">
        <f>'5.2.1.1-2 Organic Fert N2O'!I27</f>
        <v>0</v>
      </c>
      <c r="F109" s="50">
        <f>(E109 * $I$97)</f>
        <v>0</v>
      </c>
    </row>
    <row r="110" spans="4:9" ht="20.100000000000001" customHeight="1" x14ac:dyDescent="0.25">
      <c r="D110" s="50"/>
      <c r="E110" s="50">
        <f>'5.2.1.1-2 Organic Fert N2O'!I28</f>
        <v>0</v>
      </c>
      <c r="F110" s="50">
        <f>(E110 * $I$97)</f>
        <v>0</v>
      </c>
    </row>
    <row r="111" spans="4:9" ht="20.100000000000001" customHeight="1" x14ac:dyDescent="0.25">
      <c r="D111" s="50"/>
      <c r="E111" s="50">
        <f>'5.2.1.1-2 Organic Fert N2O'!I29</f>
        <v>0</v>
      </c>
      <c r="F111" s="50">
        <f>(E111 * $I$97)</f>
        <v>0</v>
      </c>
    </row>
    <row r="112" spans="4:9" ht="20.100000000000001" customHeight="1" x14ac:dyDescent="0.25">
      <c r="D112" s="50"/>
      <c r="E112" s="50">
        <f>'5.2.1.1-2 Organic Fert N2O'!I30</f>
        <v>0</v>
      </c>
      <c r="F112" s="50">
        <f>(E112 * $I$97)</f>
        <v>0</v>
      </c>
    </row>
    <row r="113" spans="3:12" ht="20.100000000000001" customHeight="1" x14ac:dyDescent="0.25"/>
    <row r="114" spans="3:12" ht="20.100000000000001" customHeight="1" x14ac:dyDescent="0.25"/>
    <row r="115" spans="3:12" ht="20.100000000000001" customHeight="1" x14ac:dyDescent="0.25">
      <c r="C115" s="156"/>
      <c r="D115" s="156"/>
      <c r="E115" s="156"/>
      <c r="F115" s="156"/>
      <c r="G115" s="156"/>
      <c r="H115" s="156"/>
      <c r="I115" s="156"/>
      <c r="J115" s="156"/>
      <c r="K115" s="156"/>
      <c r="L115" s="156"/>
    </row>
    <row r="116" spans="3:12" ht="20.100000000000001" customHeight="1" x14ac:dyDescent="0.25">
      <c r="D116" s="6" t="s">
        <v>436</v>
      </c>
    </row>
    <row r="117" spans="3:12" ht="20.100000000000001" customHeight="1" x14ac:dyDescent="0.25">
      <c r="D117" s="5" t="s">
        <v>437</v>
      </c>
    </row>
    <row r="118" spans="3:12" ht="20.100000000000001" customHeight="1" x14ac:dyDescent="0.25">
      <c r="D118" s="13"/>
      <c r="E118" s="13"/>
    </row>
    <row r="119" spans="3:12" ht="20.100000000000001" customHeight="1" x14ac:dyDescent="0.25"/>
    <row r="120" spans="3:12" ht="20.100000000000001" customHeight="1" x14ac:dyDescent="0.25"/>
    <row r="121" spans="3:12" ht="20.100000000000001" customHeight="1" x14ac:dyDescent="0.25">
      <c r="D121" s="51" t="s">
        <v>24</v>
      </c>
      <c r="E121" s="1" t="s">
        <v>438</v>
      </c>
    </row>
    <row r="122" spans="3:12" ht="20.100000000000001" customHeight="1" x14ac:dyDescent="0.25">
      <c r="D122" s="51" t="s">
        <v>16</v>
      </c>
      <c r="E122" s="52" t="s">
        <v>100</v>
      </c>
    </row>
    <row r="123" spans="3:12" ht="20.100000000000001" customHeight="1" x14ac:dyDescent="0.25"/>
    <row r="124" spans="3:12" ht="20.100000000000001" customHeight="1" x14ac:dyDescent="0.25">
      <c r="D124" s="147" t="s">
        <v>433</v>
      </c>
      <c r="E124" s="154" t="s">
        <v>439</v>
      </c>
      <c r="F124" s="153"/>
      <c r="G124" s="147" t="s">
        <v>326</v>
      </c>
      <c r="H124" s="119" t="s">
        <v>441</v>
      </c>
      <c r="I124" s="145" t="str" cm="1">
        <f t="array" aca="1" ref="I124" ca="1">HYPERLINK(Common_InputFunctions.Utility_SourceHyperlink($D$99), $D$99)</f>
        <v>Table_M_vol_organic_j_f</v>
      </c>
    </row>
    <row r="125" spans="3:12" ht="20.100000000000001" customHeight="1" x14ac:dyDescent="0.25">
      <c r="D125" s="147" t="s">
        <v>426</v>
      </c>
      <c r="E125" s="154" t="s">
        <v>440</v>
      </c>
      <c r="F125" s="153"/>
      <c r="G125" s="147" t="s">
        <v>396</v>
      </c>
      <c r="H125" s="119" t="s">
        <v>333</v>
      </c>
      <c r="I125" s="147">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3:12" ht="20.100000000000001" customHeight="1" x14ac:dyDescent="0.25">
      <c r="D126" s="147" t="s">
        <v>354</v>
      </c>
      <c r="E126" s="154" t="s">
        <v>355</v>
      </c>
      <c r="F126" s="153"/>
      <c r="G126" s="147"/>
      <c r="H126" s="119" t="s">
        <v>333</v>
      </c>
      <c r="I126" s="54">
        <f>Common_InputFunctions.Utility_LookupValueInTableNumber("N2O",Table_GasToMolecularConversionFactor[Gas],Table_GasToMolecularConversionFactor[Conversion factor combined])</f>
        <v>1.5714285714285714</v>
      </c>
    </row>
    <row r="127" spans="3:12" ht="20.100000000000001" customHeight="1" x14ac:dyDescent="0.25">
      <c r="D127" s="147" t="s">
        <v>356</v>
      </c>
      <c r="E127" s="154" t="s">
        <v>86</v>
      </c>
      <c r="F127" s="153"/>
      <c r="G127" s="147"/>
      <c r="H127" s="120" t="s">
        <v>332</v>
      </c>
      <c r="I127" s="147" t="str">
        <f>'Input - Fertiliser'!$E$6</f>
        <v>Crop</v>
      </c>
    </row>
    <row r="128" spans="3:12" ht="20.100000000000001" customHeight="1" x14ac:dyDescent="0.25">
      <c r="D128" s="147" t="s">
        <v>357</v>
      </c>
      <c r="E128" s="154" t="s">
        <v>358</v>
      </c>
      <c r="F128" s="153"/>
      <c r="G128" s="147"/>
      <c r="H128" s="120" t="s">
        <v>332</v>
      </c>
      <c r="I128" s="147" t="str">
        <f>'Input - Fertiliser'!$E$8</f>
        <v>Drip irrigation</v>
      </c>
    </row>
    <row r="129" spans="4:9" ht="20.100000000000001" customHeight="1" x14ac:dyDescent="0.25">
      <c r="D129" s="147" t="s">
        <v>428</v>
      </c>
      <c r="E129" s="154" t="s">
        <v>429</v>
      </c>
      <c r="F129" s="153"/>
      <c r="G129" s="147"/>
      <c r="H129" s="120" t="s">
        <v>332</v>
      </c>
      <c r="I129" s="147" t="str">
        <f>'Input - Site'!$E$30</f>
        <v>Low rainfall</v>
      </c>
    </row>
    <row r="130" spans="4:9" ht="20.100000000000001" customHeight="1" x14ac:dyDescent="0.25"/>
    <row r="131" spans="4:9" ht="20.100000000000001" customHeight="1" x14ac:dyDescent="0.25">
      <c r="D131" s="92" t="s">
        <v>281</v>
      </c>
    </row>
    <row r="132" spans="4:9" ht="20.100000000000001" customHeight="1" x14ac:dyDescent="0.25">
      <c r="D132" s="91" t="s">
        <v>282</v>
      </c>
    </row>
    <row r="133" spans="4:9" ht="20.100000000000001" customHeight="1" x14ac:dyDescent="0.25">
      <c r="D133" s="112" t="s">
        <v>243</v>
      </c>
      <c r="E133" s="148" t="s">
        <v>276</v>
      </c>
      <c r="F133" s="148" t="s">
        <v>275</v>
      </c>
    </row>
    <row r="134" spans="4:9" ht="20.100000000000001" customHeight="1" x14ac:dyDescent="0.25">
      <c r="D134" s="50" t="str" cm="1">
        <f t="array" ref="D134:D135">Table_Input_OrganicFertiliser[Organic fertiliser type (select)]</f>
        <v>Manure - Other</v>
      </c>
      <c r="E134" s="50">
        <f>F102</f>
        <v>63</v>
      </c>
      <c r="F134" s="50">
        <f>((E134 * $I$125) * $I$126 * 10 ^ -3)</f>
        <v>6.9299999999999993E-4</v>
      </c>
    </row>
    <row r="135" spans="4:9" ht="20.100000000000001" customHeight="1" x14ac:dyDescent="0.25">
      <c r="D135" s="50" t="str">
        <v>Manure - Poultry</v>
      </c>
      <c r="E135" s="50">
        <f t="shared" ref="E135:E144" si="1">F103</f>
        <v>52.5</v>
      </c>
      <c r="F135" s="50">
        <f>((E135 * $I$125) * $I$126 * 10 ^ -3)</f>
        <v>5.775E-4</v>
      </c>
    </row>
    <row r="136" spans="4:9" ht="20.100000000000001" customHeight="1" x14ac:dyDescent="0.25">
      <c r="D136" s="50"/>
      <c r="E136" s="50">
        <f t="shared" si="1"/>
        <v>0</v>
      </c>
      <c r="F136" s="50">
        <f>((E136 * $I$125) * $I$126 * 10 ^ -3)</f>
        <v>0</v>
      </c>
    </row>
    <row r="137" spans="4:9" ht="20.100000000000001" customHeight="1" x14ac:dyDescent="0.25">
      <c r="D137" s="50"/>
      <c r="E137" s="50">
        <f t="shared" si="1"/>
        <v>0</v>
      </c>
      <c r="F137" s="50">
        <f>((E137 * $I$125) * $I$126 * 10 ^ -3)</f>
        <v>0</v>
      </c>
    </row>
    <row r="138" spans="4:9" ht="20.100000000000001" customHeight="1" x14ac:dyDescent="0.25">
      <c r="D138" s="50"/>
      <c r="E138" s="50">
        <f t="shared" si="1"/>
        <v>0</v>
      </c>
      <c r="F138" s="50">
        <f>((E138 * $I$125) * $I$126 * 10 ^ -3)</f>
        <v>0</v>
      </c>
    </row>
    <row r="139" spans="4:9" ht="20.100000000000001" customHeight="1" x14ac:dyDescent="0.25">
      <c r="D139" s="50"/>
      <c r="E139" s="50">
        <f t="shared" si="1"/>
        <v>0</v>
      </c>
      <c r="F139" s="50">
        <f>((E139 * $I$125) * $I$126 * 10 ^ -3)</f>
        <v>0</v>
      </c>
    </row>
    <row r="140" spans="4:9" ht="20.100000000000001" customHeight="1" x14ac:dyDescent="0.25">
      <c r="D140" s="50"/>
      <c r="E140" s="50">
        <f t="shared" si="1"/>
        <v>0</v>
      </c>
      <c r="F140" s="50">
        <f>((E140 * $I$125) * $I$126 * 10 ^ -3)</f>
        <v>0</v>
      </c>
    </row>
    <row r="141" spans="4:9" ht="20.100000000000001" customHeight="1" x14ac:dyDescent="0.25">
      <c r="D141" s="50"/>
      <c r="E141" s="50">
        <f t="shared" si="1"/>
        <v>0</v>
      </c>
      <c r="F141" s="50">
        <f>((E141 * $I$125) * $I$126 * 10 ^ -3)</f>
        <v>0</v>
      </c>
    </row>
    <row r="142" spans="4:9" ht="20.100000000000001" customHeight="1" x14ac:dyDescent="0.25">
      <c r="D142" s="50"/>
      <c r="E142" s="50">
        <f t="shared" si="1"/>
        <v>0</v>
      </c>
      <c r="F142" s="50">
        <f>((E142 * $I$125) * $I$126 * 10 ^ -3)</f>
        <v>0</v>
      </c>
    </row>
    <row r="143" spans="4:9" ht="20.100000000000001" customHeight="1" x14ac:dyDescent="0.25">
      <c r="D143" s="50"/>
      <c r="E143" s="50">
        <f t="shared" si="1"/>
        <v>0</v>
      </c>
      <c r="F143" s="50">
        <f>((E143 * $I$125) * $I$126 * 10 ^ -3)</f>
        <v>0</v>
      </c>
    </row>
    <row r="144" spans="4:9" ht="20.100000000000001" customHeight="1" x14ac:dyDescent="0.25">
      <c r="D144" s="50"/>
      <c r="E144" s="50">
        <f t="shared" si="1"/>
        <v>0</v>
      </c>
      <c r="F144" s="50">
        <f>((E144 * $I$125) * $I$126 * 10 ^ -3)</f>
        <v>0</v>
      </c>
    </row>
    <row r="145" spans="4:7" ht="20.100000000000001" customHeight="1" x14ac:dyDescent="0.25"/>
    <row r="146" spans="4:7" ht="20.100000000000001" customHeight="1" x14ac:dyDescent="0.25">
      <c r="D146" s="94" t="s">
        <v>278</v>
      </c>
      <c r="E146" s="95">
        <f>SUM(F134:F144)</f>
        <v>1.2704999999999999E-3</v>
      </c>
      <c r="F146" s="96" t="str">
        <f>$E$122</f>
        <v>t N2O</v>
      </c>
    </row>
    <row r="147" spans="4:7" ht="20.100000000000001" customHeight="1" x14ac:dyDescent="0.25"/>
    <row r="148" spans="4:7" ht="20.100000000000001" customHeight="1" x14ac:dyDescent="0.25">
      <c r="D148" s="54" t="str" cm="1">
        <f t="array" ref="D148:E149">Common_Equations.Common_ConvertN2OToCO2e_Arguments()</f>
        <v>EN2O</v>
      </c>
      <c r="E148" s="55" t="str">
        <v>Nitrous oxide emissions (t N2O)</v>
      </c>
      <c r="F148" s="97"/>
      <c r="G148" s="50">
        <f>E146</f>
        <v>1.2704999999999999E-3</v>
      </c>
    </row>
    <row r="149" spans="4:7" ht="20.100000000000001" customHeight="1" x14ac:dyDescent="0.25">
      <c r="D149" s="54" t="str">
        <v>GWPN2O</v>
      </c>
      <c r="E149" s="55" t="str">
        <v>Global warming potential for nitrous oxide (t CO2-e / t N2O)</v>
      </c>
      <c r="F149" s="97"/>
      <c r="G149" s="50">
        <f>Common_InputFunctions.Utility_LookupValueInTableNumber("N2O",Table_GWPData[Gas],Table_GWPData[CO2-e factor])</f>
        <v>265</v>
      </c>
    </row>
    <row r="150" spans="4:7" ht="20.100000000000001" customHeight="1" x14ac:dyDescent="0.25"/>
    <row r="151" spans="4:7" ht="20.100000000000001" customHeight="1" x14ac:dyDescent="0.25">
      <c r="D151" s="44" t="s">
        <v>78</v>
      </c>
      <c r="E151" s="44" cm="1">
        <f t="array" ref="E151">Common_Equations.Common_ConvertN2OToCO2e(G148,G149)</f>
        <v>0.3366825</v>
      </c>
      <c r="F151" s="98"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8851-D6B4-4BB9-8BBB-54962A7BE4C3}">
  <dimension ref="A1:T165"/>
  <sheetViews>
    <sheetView showGridLines="0" topLeftCell="A78" zoomScaleNormal="100" workbookViewId="0">
      <selection activeCell="A9" sqref="A9"/>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284</v>
      </c>
    </row>
    <row r="2" spans="1:20" s="9" customFormat="1" ht="20.100000000000001" customHeight="1" x14ac:dyDescent="0.25">
      <c r="A2"/>
    </row>
    <row r="3" spans="1:20" ht="20.100000000000001" customHeight="1" x14ac:dyDescent="0.25">
      <c r="A3" s="17" t="str">
        <f>HYPERLINK("#'Home'!A1", "Home")</f>
        <v>Home</v>
      </c>
      <c r="C3" s="4"/>
      <c r="D3" s="4" t="s">
        <v>79</v>
      </c>
      <c r="E3" s="4"/>
      <c r="F3" s="4"/>
      <c r="G3" s="4"/>
      <c r="H3" s="4"/>
      <c r="I3" s="4"/>
      <c r="J3" s="4"/>
      <c r="K3" s="4"/>
      <c r="M3" s="4"/>
      <c r="N3" s="4" t="s">
        <v>80</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
        <v>442</v>
      </c>
    </row>
    <row r="6" spans="1:20" ht="20.100000000000001" customHeight="1" x14ac:dyDescent="0.25">
      <c r="A6" s="16"/>
      <c r="D6" s="5" t="s">
        <v>443</v>
      </c>
    </row>
    <row r="7" spans="1:20" ht="20.100000000000001" customHeight="1" x14ac:dyDescent="0.25">
      <c r="A7" s="20" t="s">
        <v>1</v>
      </c>
      <c r="D7" s="13"/>
      <c r="E7" s="13"/>
    </row>
    <row r="8" spans="1:20" ht="20.100000000000001" customHeight="1" x14ac:dyDescent="0.25">
      <c r="A8" s="17" t="str">
        <f>HYPERLINK("#'Input - Site'!A1", "Site")</f>
        <v>Site</v>
      </c>
    </row>
    <row r="9" spans="1:20" ht="20.100000000000001" customHeight="1" x14ac:dyDescent="0.25">
      <c r="A9" s="17" t="str">
        <f>HYPERLINK("#'Input - Fertiliser'!A1", "Fertiliser")</f>
        <v>Fertiliser</v>
      </c>
    </row>
    <row r="10" spans="1:20" ht="20.100000000000001" customHeight="1" x14ac:dyDescent="0.25">
      <c r="A10" s="17"/>
      <c r="D10" s="51" t="s">
        <v>24</v>
      </c>
      <c r="E10" s="1" t="s">
        <v>444</v>
      </c>
    </row>
    <row r="11" spans="1:20" ht="20.100000000000001" customHeight="1" x14ac:dyDescent="0.25">
      <c r="A11" s="19" t="s">
        <v>68</v>
      </c>
      <c r="D11" s="51" t="s">
        <v>16</v>
      </c>
      <c r="E11" s="52" t="s">
        <v>326</v>
      </c>
    </row>
    <row r="12" spans="1:20" ht="20.100000000000001" customHeight="1" x14ac:dyDescent="0.25">
      <c r="A12" s="17" t="str">
        <f>HYPERLINK("#'5.1.1.1-2 Inorganic Fert N2O'!A1", "5.1.1.1-2 Inorganic Fert N2O")</f>
        <v>5.1.1.1-2 Inorganic Fert N2O</v>
      </c>
    </row>
    <row r="13" spans="1:20" ht="20.100000000000001" customHeight="1" x14ac:dyDescent="0.25">
      <c r="A13" s="17" t="str">
        <f>HYPERLINK("#'5.1.1.3-4 Inorganic fert CO2'!A1", "5.1.1.3-4 Inorganic fert CO2")</f>
        <v>5.1.1.3-4 Inorganic fert CO2</v>
      </c>
      <c r="D13" s="147" t="s">
        <v>325</v>
      </c>
      <c r="E13" s="154" t="s">
        <v>445</v>
      </c>
      <c r="F13" s="153"/>
      <c r="G13" s="147" t="s">
        <v>326</v>
      </c>
      <c r="H13" s="119" t="s">
        <v>361</v>
      </c>
      <c r="I13" s="145" t="str" cm="1">
        <f t="array" aca="1" ref="I13" ca="1">HYPERLINK(Common_InputFunctions.Utility_SourceHyperlink(D20), D20)</f>
        <v>Table_M_leach_inorganic_j</v>
      </c>
    </row>
    <row r="14" spans="1:20" ht="20.100000000000001" customHeight="1" x14ac:dyDescent="0.25">
      <c r="A14" s="17" t="str">
        <f>HYPERLINK("#'5.2.1.1-2 Organic Fert N2O'!A1", "5.2.1.1-2 Organic Fert N2O")</f>
        <v>5.2.1.1-2 Organic Fert N2O</v>
      </c>
      <c r="D14" s="147" t="s">
        <v>446</v>
      </c>
      <c r="E14" s="154" t="s">
        <v>447</v>
      </c>
      <c r="F14" s="153"/>
      <c r="G14" s="147" t="s">
        <v>413</v>
      </c>
      <c r="H14" s="119" t="s">
        <v>333</v>
      </c>
      <c r="I14" s="147">
        <f>Common_InputFunctions.CommonCropping_GetFracWET(I16,I18,#REF!,#REF!,Table_SourceData_FracWETIrrigation[Irrigation type i],Table_SourceData_FracWETIrrigation[FracWET])</f>
        <v>0</v>
      </c>
    </row>
    <row r="15" spans="1:20" ht="20.100000000000001" customHeight="1" x14ac:dyDescent="0.25">
      <c r="A15" s="17" t="str">
        <f>HYPERLINK("#'5.3.1.1-2 Lime CO2'!A1", "5.3.1.1-2 Lime CO2")</f>
        <v>5.3.1.1-2 Lime CO2</v>
      </c>
      <c r="D15" s="147" t="s">
        <v>448</v>
      </c>
      <c r="E15" s="154" t="s">
        <v>449</v>
      </c>
      <c r="F15" s="153"/>
      <c r="G15" s="147" t="s">
        <v>413</v>
      </c>
      <c r="H15" s="119" t="s">
        <v>333</v>
      </c>
      <c r="I15" s="147">
        <f>'Constants - Fertiliser'!$E$78</f>
        <v>0.24</v>
      </c>
    </row>
    <row r="16" spans="1:20" ht="20.100000000000001" customHeight="1" x14ac:dyDescent="0.25">
      <c r="A16" s="17" t="str">
        <f>HYPERLINK("#'5.4.1.1-4 Atmos deposition'!A1", "5.4.1.1-4 Atmos deposition")</f>
        <v>5.4.1.1-4 Atmos deposition</v>
      </c>
      <c r="D16" s="147" t="s">
        <v>359</v>
      </c>
      <c r="E16" s="154" t="s">
        <v>450</v>
      </c>
      <c r="F16" s="153"/>
      <c r="G16" s="147"/>
      <c r="H16" s="120" t="s">
        <v>332</v>
      </c>
      <c r="I16" s="147" t="str">
        <f>'Input - Site'!$E$23</f>
        <v>NO - Not in leaching zone</v>
      </c>
    </row>
    <row r="17" spans="1:9" ht="20.100000000000001" customHeight="1" x14ac:dyDescent="0.25">
      <c r="A17" s="176" t="str">
        <f>HYPERLINK("#'5.5.1.1-2 Leaching and runoff'!A1", "5.5.1.1-2 Leaching and runoff")</f>
        <v>5.5.1.1-2 Leaching and runoff</v>
      </c>
      <c r="D17" s="147" t="s">
        <v>356</v>
      </c>
      <c r="E17" s="154" t="s">
        <v>451</v>
      </c>
      <c r="F17" s="153"/>
      <c r="G17" s="147"/>
      <c r="H17" s="120" t="s">
        <v>332</v>
      </c>
      <c r="I17" s="147" t="str">
        <f>'Input - Fertiliser'!$E$6</f>
        <v>Crop</v>
      </c>
    </row>
    <row r="18" spans="1:9" ht="20.100000000000001" customHeight="1" x14ac:dyDescent="0.25">
      <c r="D18" s="147" t="s">
        <v>357</v>
      </c>
      <c r="E18" s="154" t="s">
        <v>358</v>
      </c>
      <c r="F18" s="153"/>
      <c r="G18" s="147"/>
      <c r="H18" s="120" t="s">
        <v>332</v>
      </c>
      <c r="I18" s="147" t="str">
        <f>'Input - Fertiliser'!$E$8</f>
        <v>Drip irrigation</v>
      </c>
    </row>
    <row r="19" spans="1:9" ht="20.100000000000001" customHeight="1" x14ac:dyDescent="0.25">
      <c r="A19" s="18" t="s">
        <v>2</v>
      </c>
    </row>
    <row r="20" spans="1:9" ht="20.100000000000001" customHeight="1" x14ac:dyDescent="0.25">
      <c r="A20" s="17" t="str">
        <f>HYPERLINK("#'Constants - Fertiliser'!A1", "Constants - Fertiliser")</f>
        <v>Constants - Fertiliser</v>
      </c>
      <c r="D20" s="92" t="s">
        <v>286</v>
      </c>
    </row>
    <row r="21" spans="1:9" ht="20.100000000000001" customHeight="1" x14ac:dyDescent="0.25">
      <c r="A21" s="17" t="str">
        <f>HYPERLINK("#'Constants - Common'!A1", "Constants - Common")</f>
        <v>Constants - Common</v>
      </c>
      <c r="D21" s="91" t="s">
        <v>289</v>
      </c>
    </row>
    <row r="22" spans="1:9" ht="20.100000000000001" customHeight="1" x14ac:dyDescent="0.25">
      <c r="D22" s="49" t="s">
        <v>111</v>
      </c>
      <c r="E22" s="49" t="s">
        <v>267</v>
      </c>
      <c r="F22" s="49" t="s">
        <v>285</v>
      </c>
    </row>
    <row r="23" spans="1:9" ht="20.100000000000001" customHeight="1" x14ac:dyDescent="0.25">
      <c r="A23" s="17"/>
      <c r="D23" s="50" t="str" cm="1">
        <f t="array" ref="D23:D41">Table_Fertiliser_ChemicalCompounds[Fertiliser type f]</f>
        <v>Monoammonium phosphate (MAP)</v>
      </c>
      <c r="E23" s="50">
        <f>'5.1.1.1-2 Inorganic fert N2O'!G19</f>
        <v>0</v>
      </c>
      <c r="F23" s="50">
        <f>(E23 * $I$14 * $I$15)</f>
        <v>0</v>
      </c>
    </row>
    <row r="24" spans="1:9" ht="20.100000000000001" customHeight="1" x14ac:dyDescent="0.25">
      <c r="D24" s="50" t="str">
        <v>Diammonium phosphate (DAP)</v>
      </c>
      <c r="E24" s="50">
        <f>'5.1.1.1-2 Inorganic fert N2O'!G20</f>
        <v>0</v>
      </c>
      <c r="F24" s="50">
        <f>(E24 * $I$14 * $I$15)</f>
        <v>0</v>
      </c>
    </row>
    <row r="25" spans="1:9" ht="20.100000000000001" customHeight="1" x14ac:dyDescent="0.25">
      <c r="D25" s="50" t="str">
        <v>Urea</v>
      </c>
      <c r="E25" s="50">
        <f>'5.1.1.1-2 Inorganic fert N2O'!G21</f>
        <v>239.99999980000004</v>
      </c>
      <c r="F25" s="50">
        <f>(E25 * $I$14 * $I$15)</f>
        <v>0</v>
      </c>
    </row>
    <row r="26" spans="1:9" ht="20.100000000000001" customHeight="1" x14ac:dyDescent="0.25">
      <c r="D26" s="50" t="str">
        <v>Sulphate of ammonia (SOA)</v>
      </c>
      <c r="E26" s="50">
        <f>'5.1.1.1-2 Inorganic fert N2O'!G22</f>
        <v>0</v>
      </c>
      <c r="F26" s="50">
        <f>(E26 * $I$14 * $I$15)</f>
        <v>0</v>
      </c>
    </row>
    <row r="27" spans="1:9" ht="20.100000000000001" customHeight="1" x14ac:dyDescent="0.25">
      <c r="D27" s="50" t="str">
        <v>Urea-ammonium nitrate (UAN)</v>
      </c>
      <c r="E27" s="50">
        <f>'5.1.1.1-2 Inorganic fert N2O'!G23</f>
        <v>0</v>
      </c>
      <c r="F27" s="50">
        <f>(E27 * $I$14 * $I$15)</f>
        <v>0</v>
      </c>
    </row>
    <row r="28" spans="1:9" ht="20.100000000000001" customHeight="1" x14ac:dyDescent="0.25">
      <c r="D28" s="50" t="str">
        <v>Ammonium nitrate (AN)</v>
      </c>
      <c r="E28" s="50">
        <f>'5.1.1.1-2 Inorganic fert N2O'!G24</f>
        <v>0</v>
      </c>
      <c r="F28" s="50">
        <f>(E28 * $I$14 * $I$15)</f>
        <v>0</v>
      </c>
    </row>
    <row r="29" spans="1:9" ht="20.100000000000001" customHeight="1" x14ac:dyDescent="0.25">
      <c r="D29" s="50" t="str">
        <v>Calcium ammonium nitrate (CAN)</v>
      </c>
      <c r="E29" s="50">
        <f>'5.1.1.1-2 Inorganic fert N2O'!G25</f>
        <v>0</v>
      </c>
      <c r="F29" s="50">
        <f>(E29 * $I$14 * $I$15)</f>
        <v>0</v>
      </c>
    </row>
    <row r="30" spans="1:9" ht="20.100000000000001" customHeight="1" x14ac:dyDescent="0.25">
      <c r="D30" s="50" t="str">
        <v>Nitrogen - Ammoniacal</v>
      </c>
      <c r="E30" s="50">
        <f>'5.1.1.1-2 Inorganic fert N2O'!G26</f>
        <v>0</v>
      </c>
      <c r="F30" s="50">
        <f>(E30 * $I$14 * $I$15)</f>
        <v>0</v>
      </c>
    </row>
    <row r="31" spans="1:9" ht="20.100000000000001" customHeight="1" x14ac:dyDescent="0.25">
      <c r="D31" s="50" t="str">
        <v>Nitrogen - Nitrate</v>
      </c>
      <c r="E31" s="50">
        <f>'5.1.1.1-2 Inorganic fert N2O'!G27</f>
        <v>0</v>
      </c>
      <c r="F31" s="50">
        <f>(E31 * $I$14 * $I$15)</f>
        <v>0</v>
      </c>
    </row>
    <row r="32" spans="1:9" ht="20.100000000000001" customHeight="1" x14ac:dyDescent="0.25">
      <c r="D32" s="50" t="str">
        <v>Nitrogen - Generic</v>
      </c>
      <c r="E32" s="50">
        <f>'5.1.1.1-2 Inorganic fert N2O'!G28</f>
        <v>825.55199999999991</v>
      </c>
      <c r="F32" s="50">
        <f>(E32 * $I$14 * $I$15)</f>
        <v>0</v>
      </c>
    </row>
    <row r="33" spans="1:11" ht="20.100000000000001" customHeight="1" x14ac:dyDescent="0.25">
      <c r="D33" s="50" t="str">
        <v>Phosphorus - Generic</v>
      </c>
      <c r="E33" s="50">
        <f>'5.1.1.1-2 Inorganic fert N2O'!G29</f>
        <v>0</v>
      </c>
      <c r="F33" s="50">
        <f>(E33 * $I$14 * $I$15)</f>
        <v>0</v>
      </c>
    </row>
    <row r="34" spans="1:11" ht="20.100000000000001" customHeight="1" x14ac:dyDescent="0.25">
      <c r="D34" s="50" t="str">
        <v>Potassium - Generic</v>
      </c>
      <c r="E34" s="50">
        <f>'5.1.1.1-2 Inorganic fert N2O'!G30</f>
        <v>0</v>
      </c>
      <c r="F34" s="50">
        <f>(E34 * $I$14 * $I$15)</f>
        <v>0</v>
      </c>
    </row>
    <row r="35" spans="1:11" ht="20.100000000000001" customHeight="1" x14ac:dyDescent="0.25">
      <c r="D35" s="50" t="str">
        <v>Sulfur - Generic</v>
      </c>
      <c r="E35" s="50">
        <f>'5.1.1.1-2 Inorganic fert N2O'!G31</f>
        <v>0</v>
      </c>
      <c r="F35" s="50">
        <f>(E35 * $I$14 * $I$15)</f>
        <v>0</v>
      </c>
    </row>
    <row r="36" spans="1:11" ht="20.100000000000001" customHeight="1" x14ac:dyDescent="0.25">
      <c r="D36" s="50" t="str">
        <v>Zinc - Generic</v>
      </c>
      <c r="E36" s="50">
        <f>'5.1.1.1-2 Inorganic fert N2O'!G32</f>
        <v>0</v>
      </c>
      <c r="F36" s="50">
        <f>(E36 * $I$14 * $I$15)</f>
        <v>0</v>
      </c>
    </row>
    <row r="37" spans="1:11" ht="20.100000000000001" customHeight="1" x14ac:dyDescent="0.25">
      <c r="D37" s="50" t="str">
        <v>Muriate of potash (MOP)</v>
      </c>
      <c r="E37" s="50">
        <f>'5.1.1.1-2 Inorganic fert N2O'!G33</f>
        <v>0</v>
      </c>
      <c r="F37" s="50">
        <f>(E37 * $I$14 * $I$15)</f>
        <v>0</v>
      </c>
    </row>
    <row r="38" spans="1:11" ht="20.100000000000001" customHeight="1" x14ac:dyDescent="0.25">
      <c r="D38" s="50" t="str">
        <v>Double superphosphate</v>
      </c>
      <c r="E38" s="50">
        <f>'5.1.1.1-2 Inorganic fert N2O'!G34</f>
        <v>0</v>
      </c>
      <c r="F38" s="50">
        <f>(E38 * $I$14 * $I$15)</f>
        <v>0</v>
      </c>
    </row>
    <row r="39" spans="1:11" ht="20.100000000000001" customHeight="1" x14ac:dyDescent="0.25">
      <c r="D39" s="50" t="str">
        <v>Single superphosphate (SSP)</v>
      </c>
      <c r="E39" s="50">
        <f>'5.1.1.1-2 Inorganic fert N2O'!G35</f>
        <v>0</v>
      </c>
      <c r="F39" s="50">
        <f>(E39 * $I$14 * $I$15)</f>
        <v>0</v>
      </c>
    </row>
    <row r="40" spans="1:11" ht="20.100000000000001" customHeight="1" x14ac:dyDescent="0.25">
      <c r="D40" s="50" t="str">
        <v>Ammonia</v>
      </c>
      <c r="E40" s="50">
        <f>'5.1.1.1-2 Inorganic fert N2O'!G36</f>
        <v>0</v>
      </c>
      <c r="F40" s="50">
        <f>(E40 * $I$14 * $I$15)</f>
        <v>0</v>
      </c>
    </row>
    <row r="41" spans="1:11" ht="20.100000000000001" customHeight="1" x14ac:dyDescent="0.25">
      <c r="D41" s="50" t="str">
        <v>Calcium nitrate</v>
      </c>
      <c r="E41" s="50">
        <f>'5.1.1.1-2 Inorganic fert N2O'!G37</f>
        <v>1550</v>
      </c>
      <c r="F41" s="50">
        <f>(E41 * $I$14 * $I$15)</f>
        <v>0</v>
      </c>
    </row>
    <row r="42" spans="1:11" ht="20.100000000000001" customHeight="1" x14ac:dyDescent="0.25"/>
    <row r="43" spans="1:11" ht="20.100000000000001" customHeight="1" x14ac:dyDescent="0.25">
      <c r="D43" s="149" t="s">
        <v>287</v>
      </c>
      <c r="E43" s="44">
        <f>SUM(F23:F41)</f>
        <v>0</v>
      </c>
      <c r="F43" s="98" t="str">
        <f>$E$11</f>
        <v>kg N</v>
      </c>
    </row>
    <row r="44" spans="1:11" ht="20.100000000000001" customHeight="1" x14ac:dyDescent="0.25">
      <c r="A44" s="157" t="str">
        <f>HYPERLINK("#A1", "▲ Back to top")</f>
        <v>▲ Back to top</v>
      </c>
    </row>
    <row r="45" spans="1:11" ht="20.100000000000001" customHeight="1" x14ac:dyDescent="0.25">
      <c r="C45" s="166"/>
      <c r="D45" s="166"/>
      <c r="E45" s="166"/>
      <c r="F45" s="166"/>
      <c r="G45" s="166"/>
      <c r="H45" s="166"/>
      <c r="I45" s="166"/>
      <c r="J45" s="166"/>
      <c r="K45" s="166"/>
    </row>
    <row r="46" spans="1:11" ht="20.100000000000001" customHeight="1" x14ac:dyDescent="0.25"/>
    <row r="47" spans="1:11" ht="20.100000000000001" customHeight="1" x14ac:dyDescent="0.25">
      <c r="D47" s="6" t="s">
        <v>452</v>
      </c>
    </row>
    <row r="48" spans="1:11" ht="20.100000000000001" customHeight="1" x14ac:dyDescent="0.25">
      <c r="D48" s="5" t="s">
        <v>453</v>
      </c>
    </row>
    <row r="49" spans="4:9" ht="20.100000000000001" customHeight="1" x14ac:dyDescent="0.25">
      <c r="D49" s="13"/>
      <c r="E49" s="13"/>
    </row>
    <row r="50" spans="4:9" ht="20.100000000000001" customHeight="1" x14ac:dyDescent="0.25"/>
    <row r="51" spans="4:9" ht="20.100000000000001" customHeight="1" x14ac:dyDescent="0.25"/>
    <row r="52" spans="4:9" ht="20.100000000000001" customHeight="1" x14ac:dyDescent="0.25">
      <c r="D52" s="51" t="s">
        <v>24</v>
      </c>
      <c r="E52" s="1" t="s">
        <v>454</v>
      </c>
    </row>
    <row r="53" spans="4:9" ht="20.100000000000001" customHeight="1" x14ac:dyDescent="0.25">
      <c r="D53" s="51" t="s">
        <v>16</v>
      </c>
      <c r="E53" s="52" t="s">
        <v>326</v>
      </c>
    </row>
    <row r="54" spans="4:9" ht="20.100000000000001" customHeight="1" x14ac:dyDescent="0.25"/>
    <row r="55" spans="4:9" ht="20.100000000000001" customHeight="1" x14ac:dyDescent="0.25">
      <c r="D55" s="147" t="s">
        <v>384</v>
      </c>
      <c r="E55" s="154" t="s">
        <v>455</v>
      </c>
      <c r="F55" s="153"/>
      <c r="G55" s="147" t="s">
        <v>326</v>
      </c>
      <c r="H55" s="119" t="s">
        <v>395</v>
      </c>
      <c r="I55" s="145" t="str" cm="1">
        <f t="array" aca="1" ref="I55" ca="1">HYPERLINK(Common_InputFunctions.Utility_SourceHyperlink(D62), D62)</f>
        <v>Table_M_leach_organic_j</v>
      </c>
    </row>
    <row r="56" spans="4:9" ht="20.100000000000001" customHeight="1" x14ac:dyDescent="0.25">
      <c r="D56" s="147" t="s">
        <v>446</v>
      </c>
      <c r="E56" s="154" t="s">
        <v>447</v>
      </c>
      <c r="F56" s="153"/>
      <c r="G56" s="147" t="s">
        <v>413</v>
      </c>
      <c r="H56" s="119" t="s">
        <v>333</v>
      </c>
      <c r="I56" s="147">
        <f>Common_InputFunctions.CommonCropping_GetFracWET(I58,I60,#REF!,#REF!,Table_SourceData_FracWETIrrigation[Irrigation type i],Table_SourceData_FracWETIrrigation[FracWET])</f>
        <v>0</v>
      </c>
    </row>
    <row r="57" spans="4:9" ht="20.100000000000001" customHeight="1" x14ac:dyDescent="0.25">
      <c r="D57" s="147" t="s">
        <v>448</v>
      </c>
      <c r="E57" s="154" t="s">
        <v>449</v>
      </c>
      <c r="F57" s="153"/>
      <c r="G57" s="147" t="s">
        <v>413</v>
      </c>
      <c r="H57" s="119" t="s">
        <v>333</v>
      </c>
      <c r="I57" s="147">
        <f>'Constants - Fertiliser'!$E$78</f>
        <v>0.24</v>
      </c>
    </row>
    <row r="58" spans="4:9" ht="20.100000000000001" customHeight="1" x14ac:dyDescent="0.25">
      <c r="D58" s="147" t="s">
        <v>359</v>
      </c>
      <c r="E58" s="154" t="s">
        <v>450</v>
      </c>
      <c r="F58" s="153"/>
      <c r="G58" s="147"/>
      <c r="H58" s="120" t="s">
        <v>332</v>
      </c>
      <c r="I58" s="147" t="str">
        <f>'Input - Site'!$E$23</f>
        <v>NO - Not in leaching zone</v>
      </c>
    </row>
    <row r="59" spans="4:9" ht="20.100000000000001" customHeight="1" x14ac:dyDescent="0.25">
      <c r="D59" s="147" t="s">
        <v>356</v>
      </c>
      <c r="E59" s="154" t="s">
        <v>451</v>
      </c>
      <c r="F59" s="153"/>
      <c r="G59" s="147"/>
      <c r="H59" s="120" t="s">
        <v>332</v>
      </c>
      <c r="I59" s="147" t="str">
        <f>'Input - Fertiliser'!$E$6</f>
        <v>Crop</v>
      </c>
    </row>
    <row r="60" spans="4:9" ht="20.100000000000001" customHeight="1" x14ac:dyDescent="0.25">
      <c r="D60" s="147" t="s">
        <v>357</v>
      </c>
      <c r="E60" s="154" t="s">
        <v>358</v>
      </c>
      <c r="F60" s="153"/>
      <c r="G60" s="147"/>
      <c r="H60" s="120" t="s">
        <v>332</v>
      </c>
      <c r="I60" s="147" t="str">
        <f>'Input - Fertiliser'!$E$8</f>
        <v>Drip irrigation</v>
      </c>
    </row>
    <row r="61" spans="4:9" ht="20.100000000000001" customHeight="1" x14ac:dyDescent="0.25"/>
    <row r="62" spans="4:9" ht="20.100000000000001" customHeight="1" x14ac:dyDescent="0.25">
      <c r="D62" s="92" t="s">
        <v>288</v>
      </c>
    </row>
    <row r="63" spans="4:9" ht="20.100000000000001" customHeight="1" x14ac:dyDescent="0.25">
      <c r="D63" s="91" t="s">
        <v>290</v>
      </c>
    </row>
    <row r="64" spans="4:9" ht="20.100000000000001" customHeight="1" x14ac:dyDescent="0.25">
      <c r="D64" s="112" t="s">
        <v>243</v>
      </c>
      <c r="E64" s="167" t="s">
        <v>247</v>
      </c>
      <c r="F64" s="49" t="s">
        <v>291</v>
      </c>
    </row>
    <row r="65" spans="1:11" ht="20.100000000000001" customHeight="1" x14ac:dyDescent="0.25">
      <c r="D65" s="50" t="str">
        <f>'5.2.1.1-2 Organic Fert N2O'!D20</f>
        <v>Manure - Other</v>
      </c>
      <c r="E65" s="50">
        <f>'5.2.1.1-2 Organic Fert N2O'!I20</f>
        <v>300</v>
      </c>
      <c r="F65" s="50">
        <f>(E65 * $I$56 * $I$57)</f>
        <v>0</v>
      </c>
    </row>
    <row r="66" spans="1:11" ht="20.100000000000001" customHeight="1" x14ac:dyDescent="0.25">
      <c r="D66" s="50" t="str">
        <f>'5.2.1.1-2 Organic Fert N2O'!D21</f>
        <v>Manure - Poultry</v>
      </c>
      <c r="E66" s="50">
        <f>'5.2.1.1-2 Organic Fert N2O'!I21</f>
        <v>250</v>
      </c>
      <c r="F66" s="50">
        <f>(E66 * $I$56 * $I$57)</f>
        <v>0</v>
      </c>
    </row>
    <row r="67" spans="1:11" ht="20.100000000000001" customHeight="1" x14ac:dyDescent="0.25">
      <c r="D67" s="50">
        <f>'5.2.1.1-2 Organic Fert N2O'!D22</f>
        <v>0</v>
      </c>
      <c r="E67" s="50">
        <f>'5.2.1.1-2 Organic Fert N2O'!I22</f>
        <v>0</v>
      </c>
      <c r="F67" s="50">
        <f>(E67 * $I$56 * $I$57)</f>
        <v>0</v>
      </c>
    </row>
    <row r="68" spans="1:11" ht="20.100000000000001" customHeight="1" x14ac:dyDescent="0.25">
      <c r="D68" s="50">
        <f>'5.2.1.1-2 Organic Fert N2O'!D23</f>
        <v>0</v>
      </c>
      <c r="E68" s="50">
        <f>'5.2.1.1-2 Organic Fert N2O'!I23</f>
        <v>0</v>
      </c>
      <c r="F68" s="50">
        <f>(E68 * $I$56 * $I$57)</f>
        <v>0</v>
      </c>
    </row>
    <row r="69" spans="1:11" ht="20.100000000000001" customHeight="1" x14ac:dyDescent="0.25">
      <c r="D69" s="50">
        <f>'5.2.1.1-2 Organic Fert N2O'!D24</f>
        <v>0</v>
      </c>
      <c r="E69" s="50">
        <f>'5.2.1.1-2 Organic Fert N2O'!I24</f>
        <v>0</v>
      </c>
      <c r="F69" s="50">
        <f>(E69 * $I$56 * $I$57)</f>
        <v>0</v>
      </c>
    </row>
    <row r="70" spans="1:11" ht="20.100000000000001" customHeight="1" x14ac:dyDescent="0.25">
      <c r="D70" s="50">
        <f>'5.2.1.1-2 Organic Fert N2O'!D25</f>
        <v>0</v>
      </c>
      <c r="E70" s="50">
        <f>'5.2.1.1-2 Organic Fert N2O'!I25</f>
        <v>0</v>
      </c>
      <c r="F70" s="50">
        <f>(E70 * $I$56 * $I$57)</f>
        <v>0</v>
      </c>
    </row>
    <row r="71" spans="1:11" ht="20.100000000000001" customHeight="1" x14ac:dyDescent="0.25">
      <c r="D71" s="50">
        <f>'5.2.1.1-2 Organic Fert N2O'!D26</f>
        <v>0</v>
      </c>
      <c r="E71" s="50">
        <f>'5.2.1.1-2 Organic Fert N2O'!I26</f>
        <v>0</v>
      </c>
      <c r="F71" s="50">
        <f>(E71 * $I$56 * $I$57)</f>
        <v>0</v>
      </c>
    </row>
    <row r="72" spans="1:11" ht="20.100000000000001" customHeight="1" x14ac:dyDescent="0.25">
      <c r="D72" s="50">
        <f>'5.2.1.1-2 Organic Fert N2O'!D27</f>
        <v>0</v>
      </c>
      <c r="E72" s="50">
        <f>'5.2.1.1-2 Organic Fert N2O'!I27</f>
        <v>0</v>
      </c>
      <c r="F72" s="50">
        <f>(E72 * $I$56 * $I$57)</f>
        <v>0</v>
      </c>
    </row>
    <row r="73" spans="1:11" ht="20.100000000000001" customHeight="1" x14ac:dyDescent="0.25">
      <c r="D73" s="50">
        <f>'5.2.1.1-2 Organic Fert N2O'!D28</f>
        <v>0</v>
      </c>
      <c r="E73" s="50">
        <f>'5.2.1.1-2 Organic Fert N2O'!I28</f>
        <v>0</v>
      </c>
      <c r="F73" s="50">
        <f>(E73 * $I$56 * $I$57)</f>
        <v>0</v>
      </c>
    </row>
    <row r="74" spans="1:11" ht="20.100000000000001" customHeight="1" x14ac:dyDescent="0.25">
      <c r="D74" s="50">
        <f>'5.2.1.1-2 Organic Fert N2O'!D29</f>
        <v>0</v>
      </c>
      <c r="E74" s="50">
        <f>'5.2.1.1-2 Organic Fert N2O'!I29</f>
        <v>0</v>
      </c>
      <c r="F74" s="50">
        <f>(E74 * $I$56 * $I$57)</f>
        <v>0</v>
      </c>
    </row>
    <row r="75" spans="1:11" ht="20.100000000000001" customHeight="1" x14ac:dyDescent="0.25">
      <c r="D75" s="50">
        <f>'5.2.1.1-2 Organic Fert N2O'!D30</f>
        <v>0</v>
      </c>
      <c r="E75" s="50">
        <f>'5.2.1.1-2 Organic Fert N2O'!I30</f>
        <v>0</v>
      </c>
      <c r="F75" s="50">
        <f>(E75 * $I$56 * $I$57)</f>
        <v>0</v>
      </c>
    </row>
    <row r="76" spans="1:11" ht="20.100000000000001" customHeight="1" x14ac:dyDescent="0.25"/>
    <row r="77" spans="1:11" ht="20.100000000000001" customHeight="1" x14ac:dyDescent="0.25">
      <c r="D77" s="149" t="s">
        <v>292</v>
      </c>
      <c r="E77" s="44">
        <f>SUM(F65:F75)</f>
        <v>0</v>
      </c>
      <c r="F77" s="98" t="str">
        <f>$E$53</f>
        <v>kg N</v>
      </c>
    </row>
    <row r="78" spans="1:11" ht="20.100000000000001" customHeight="1" x14ac:dyDescent="0.25">
      <c r="A78" s="157" t="str">
        <f>HYPERLINK("#A1", "▲ Back to top")</f>
        <v>▲ Back to top</v>
      </c>
    </row>
    <row r="79" spans="1:11" ht="20.100000000000001" customHeight="1" x14ac:dyDescent="0.25">
      <c r="C79" s="166"/>
      <c r="D79" s="166"/>
      <c r="E79" s="166"/>
      <c r="F79" s="166"/>
      <c r="G79" s="166"/>
      <c r="H79" s="166"/>
      <c r="I79" s="166"/>
      <c r="J79" s="166"/>
      <c r="K79" s="166"/>
    </row>
    <row r="80" spans="1:11" ht="20.100000000000001" customHeight="1" x14ac:dyDescent="0.25"/>
    <row r="81" spans="4:10" ht="20.100000000000001" customHeight="1" x14ac:dyDescent="0.25">
      <c r="D81" s="6" t="s">
        <v>456</v>
      </c>
    </row>
    <row r="82" spans="4:10" ht="20.100000000000001" customHeight="1" x14ac:dyDescent="0.25">
      <c r="D82" s="5" t="s">
        <v>457</v>
      </c>
    </row>
    <row r="83" spans="4:10" ht="20.100000000000001" customHeight="1" x14ac:dyDescent="0.25">
      <c r="D83" s="13"/>
      <c r="E83" s="13"/>
    </row>
    <row r="84" spans="4:10" ht="20.100000000000001" customHeight="1" x14ac:dyDescent="0.25"/>
    <row r="85" spans="4:10" ht="20.100000000000001" customHeight="1" x14ac:dyDescent="0.25"/>
    <row r="86" spans="4:10" ht="20.100000000000001" customHeight="1" x14ac:dyDescent="0.25">
      <c r="D86" s="51" t="s">
        <v>24</v>
      </c>
      <c r="E86" s="1" t="s">
        <v>458</v>
      </c>
    </row>
    <row r="87" spans="4:10" ht="20.100000000000001" customHeight="1" x14ac:dyDescent="0.25">
      <c r="D87" s="51" t="s">
        <v>16</v>
      </c>
      <c r="E87" s="52" t="s">
        <v>100</v>
      </c>
    </row>
    <row r="88" spans="4:10" ht="20.100000000000001" customHeight="1" x14ac:dyDescent="0.25"/>
    <row r="89" spans="4:10" ht="20.100000000000001" customHeight="1" x14ac:dyDescent="0.25">
      <c r="D89" s="147" t="s">
        <v>444</v>
      </c>
      <c r="E89" s="154" t="s">
        <v>459</v>
      </c>
      <c r="F89" s="155"/>
      <c r="G89" s="153"/>
      <c r="H89" s="147" t="s">
        <v>326</v>
      </c>
      <c r="I89" s="119" t="s">
        <v>463</v>
      </c>
      <c r="J89" s="147">
        <f>$E$43</f>
        <v>0</v>
      </c>
    </row>
    <row r="90" spans="4:10" ht="20.100000000000001" customHeight="1" x14ac:dyDescent="0.25">
      <c r="D90" s="147" t="s">
        <v>454</v>
      </c>
      <c r="E90" s="154" t="s">
        <v>460</v>
      </c>
      <c r="F90" s="155"/>
      <c r="G90" s="153"/>
      <c r="H90" s="147" t="s">
        <v>326</v>
      </c>
      <c r="I90" s="119" t="s">
        <v>464</v>
      </c>
      <c r="J90" s="147">
        <f>$E$77</f>
        <v>0</v>
      </c>
    </row>
    <row r="91" spans="4:10" ht="20.100000000000001" customHeight="1" x14ac:dyDescent="0.25">
      <c r="D91" s="147" t="s">
        <v>461</v>
      </c>
      <c r="E91" s="154" t="s">
        <v>462</v>
      </c>
      <c r="F91" s="155"/>
      <c r="G91" s="153"/>
      <c r="H91" s="147" t="s">
        <v>396</v>
      </c>
      <c r="I91" s="119" t="s">
        <v>333</v>
      </c>
      <c r="J91" s="147">
        <f>'Constants - Fertiliser'!$E$83</f>
        <v>1.0999999999999999E-2</v>
      </c>
    </row>
    <row r="92" spans="4:10" ht="20.100000000000001" customHeight="1" x14ac:dyDescent="0.25">
      <c r="D92" s="147" t="s">
        <v>354</v>
      </c>
      <c r="E92" s="154" t="s">
        <v>355</v>
      </c>
      <c r="F92" s="155"/>
      <c r="G92" s="153"/>
      <c r="H92" s="147"/>
      <c r="I92" s="119" t="s">
        <v>333</v>
      </c>
      <c r="J92" s="54">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94" t="s">
        <v>293</v>
      </c>
      <c r="E94" s="95">
        <f>((J89 + J90) * J91 * J92 * 10 ^ -3)</f>
        <v>0</v>
      </c>
      <c r="F94" s="96" t="str">
        <f>$E$87</f>
        <v>t N2O</v>
      </c>
    </row>
    <row r="95" spans="4:10" ht="20.100000000000001" customHeight="1" x14ac:dyDescent="0.25"/>
    <row r="96" spans="4:10" ht="20.100000000000001" customHeight="1" x14ac:dyDescent="0.25">
      <c r="D96" s="54" t="str" cm="1">
        <f t="array" ref="D96:E97">Common_Equations.Common_ConvertN2OToCO2e_Arguments()</f>
        <v>EN2O</v>
      </c>
      <c r="E96" s="55" t="str">
        <v>Nitrous oxide emissions (t N2O)</v>
      </c>
      <c r="F96" s="97"/>
      <c r="G96" s="50">
        <f>E94</f>
        <v>0</v>
      </c>
    </row>
    <row r="97" spans="4:7" ht="20.100000000000001" customHeight="1" x14ac:dyDescent="0.25">
      <c r="D97" s="54" t="str">
        <v>GWPN2O</v>
      </c>
      <c r="E97" s="55" t="str">
        <v>Global warming potential for nitrous oxide (t CO2-e / t N2O)</v>
      </c>
      <c r="F97" s="97"/>
      <c r="G97" s="50">
        <f>Common_InputFunctions.Utility_LookupValueInTableNumber("N2O",Table_GWPData[Gas],Table_GWPData[CO2-e factor])</f>
        <v>265</v>
      </c>
    </row>
    <row r="98" spans="4:7" ht="20.100000000000001" customHeight="1" x14ac:dyDescent="0.25"/>
    <row r="99" spans="4:7" ht="20.100000000000001" customHeight="1" x14ac:dyDescent="0.25">
      <c r="D99" s="44" t="s">
        <v>78</v>
      </c>
      <c r="E99" s="44" cm="1">
        <f t="array" ref="E99">Common_Equations.Common_ConvertN2OToCO2e(G96,G97)</f>
        <v>0</v>
      </c>
      <c r="F99" s="98"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zoomScaleNormal="100" workbookViewId="0">
      <selection activeCell="A5" sqref="A5"/>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8" t="e" vm="1">
        <v>#VALUE!</v>
      </c>
      <c r="C1" s="8" t="s">
        <v>108</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
        <v>465</v>
      </c>
      <c r="E5" s="110"/>
      <c r="F5" s="110"/>
      <c r="G5" s="110"/>
      <c r="H5" s="110"/>
      <c r="I5" s="110"/>
      <c r="J5" s="110"/>
    </row>
    <row r="6" spans="1:35" ht="20.100000000000001" customHeight="1" x14ac:dyDescent="0.25">
      <c r="A6" s="16"/>
      <c r="D6" s="5" t="s">
        <v>466</v>
      </c>
    </row>
    <row r="7" spans="1:35" ht="20.100000000000001" customHeight="1" x14ac:dyDescent="0.25">
      <c r="A7" s="20" t="s">
        <v>1</v>
      </c>
      <c r="D7" s="53" t="s">
        <v>467</v>
      </c>
    </row>
    <row r="8" spans="1:35" ht="20.100000000000001" customHeight="1" x14ac:dyDescent="0.25">
      <c r="A8" s="17" t="str">
        <f>HYPERLINK("#'Input - Site'!A1", "Site")</f>
        <v>Site</v>
      </c>
      <c r="D8" s="53" t="s">
        <v>468</v>
      </c>
    </row>
    <row r="9" spans="1:35" ht="20.100000000000001" customHeight="1" x14ac:dyDescent="0.25">
      <c r="A9" s="17" t="str">
        <f>HYPERLINK("#'Input - Fertiliser'!A1", "Fertiliser")</f>
        <v>Fertiliser</v>
      </c>
      <c r="D9" s="53" t="s">
        <v>469</v>
      </c>
    </row>
    <row r="10" spans="1:35" ht="20.100000000000001" customHeight="1" x14ac:dyDescent="0.25">
      <c r="A10" s="17"/>
      <c r="D10" s="53" t="s">
        <v>470</v>
      </c>
    </row>
    <row r="11" spans="1:35" ht="20.100000000000001" customHeight="1" x14ac:dyDescent="0.25">
      <c r="A11" s="19" t="s">
        <v>68</v>
      </c>
      <c r="D11" s="53" t="s">
        <v>471</v>
      </c>
    </row>
    <row r="12" spans="1:35" ht="20.100000000000001" customHeight="1" x14ac:dyDescent="0.25">
      <c r="A12" s="17" t="str">
        <f>HYPERLINK("#'5.1.1.1-2 Inorganic Fert N2O'!A1", "5.1.1.1-2 Inorganic Fert N2O")</f>
        <v>5.1.1.1-2 Inorganic Fert N2O</v>
      </c>
      <c r="D12" s="53" t="s">
        <v>472</v>
      </c>
    </row>
    <row r="13" spans="1:35" ht="20.100000000000001" customHeight="1" x14ac:dyDescent="0.25">
      <c r="A13" s="17" t="str">
        <f>HYPERLINK("#'5.1.1.3-4 Inorganic fert CO2'!A1", "5.1.1.3-4 Inorganic fert CO2")</f>
        <v>5.1.1.3-4 Inorganic fert CO2</v>
      </c>
      <c r="D13" s="53" t="s">
        <v>473</v>
      </c>
    </row>
    <row r="14" spans="1:35" ht="20.100000000000001" customHeight="1" x14ac:dyDescent="0.25">
      <c r="A14" s="17" t="str">
        <f>HYPERLINK("#'5.2.1.1-2 Organic Fert N2O'!A1", "5.2.1.1-2 Organic Fert N2O")</f>
        <v>5.2.1.1-2 Organic Fert N2O</v>
      </c>
      <c r="D14" s="53" t="s">
        <v>474</v>
      </c>
    </row>
    <row r="15" spans="1:35" ht="20.100000000000001" customHeight="1" x14ac:dyDescent="0.25">
      <c r="A15" s="17" t="str">
        <f>HYPERLINK("#'5.3.1.1-2 Lime CO2'!A1", "5.3.1.1-2 Lime CO2")</f>
        <v>5.3.1.1-2 Lime CO2</v>
      </c>
      <c r="D15" s="53" t="s">
        <v>475</v>
      </c>
    </row>
    <row r="16" spans="1:35" ht="20.100000000000001" customHeight="1" x14ac:dyDescent="0.25">
      <c r="A16" s="17" t="str">
        <f>HYPERLINK("#'5.4.1.1-4 Atmos deposition'!A1", "5.4.1.1-4 Atmos deposition")</f>
        <v>5.4.1.1-4 Atmos deposition</v>
      </c>
      <c r="D16" s="53" t="s">
        <v>476</v>
      </c>
    </row>
    <row r="17" spans="1:22" ht="20.100000000000001" customHeight="1" x14ac:dyDescent="0.25">
      <c r="A17" s="17" t="str">
        <f>HYPERLINK("#'5.5.1.1-2 Leaching and runoff'!A1", "5.5.1.1-2 Leaching and runoff")</f>
        <v>5.5.1.1-2 Leaching and runoff</v>
      </c>
      <c r="D17" s="53" t="s">
        <v>477</v>
      </c>
      <c r="K17" s="6" t="s">
        <v>479</v>
      </c>
      <c r="Q17" s="6" t="s">
        <v>481</v>
      </c>
      <c r="V17" s="6" t="s">
        <v>483</v>
      </c>
    </row>
    <row r="18" spans="1:22" ht="20.100000000000001" customHeight="1" x14ac:dyDescent="0.25">
      <c r="D18" s="53" t="s">
        <v>478</v>
      </c>
      <c r="K18" s="5" t="s">
        <v>480</v>
      </c>
      <c r="Q18" s="5" t="s">
        <v>482</v>
      </c>
      <c r="V18" s="5" t="s">
        <v>484</v>
      </c>
    </row>
    <row r="19" spans="1:22" ht="20.100000000000001" customHeight="1" x14ac:dyDescent="0.25">
      <c r="A19" s="18" t="s">
        <v>2</v>
      </c>
      <c r="D19" t="s">
        <v>111</v>
      </c>
      <c r="E19" t="s">
        <v>127</v>
      </c>
      <c r="F19" t="s">
        <v>126</v>
      </c>
      <c r="G19" t="s">
        <v>109</v>
      </c>
      <c r="H19" t="s">
        <v>128</v>
      </c>
      <c r="I19" t="s">
        <v>110</v>
      </c>
      <c r="K19" s="37" t="s">
        <v>111</v>
      </c>
      <c r="L19" s="37" t="s">
        <v>127</v>
      </c>
      <c r="Q19" s="37" t="s">
        <v>111</v>
      </c>
      <c r="R19" s="37" t="s">
        <v>127</v>
      </c>
      <c r="V19" s="37" t="s">
        <v>110</v>
      </c>
    </row>
    <row r="20" spans="1:22" ht="20.100000000000001" customHeight="1" x14ac:dyDescent="0.25">
      <c r="A20" s="177" t="str">
        <f>HYPERLINK("#'Constants - Fertiliser'!A1", "Constants - Fertiliser")</f>
        <v>Constants - Fertiliser</v>
      </c>
      <c r="D20" s="111" t="s">
        <v>485</v>
      </c>
      <c r="E20" s="111">
        <v>0.1</v>
      </c>
      <c r="F20" s="111">
        <v>0</v>
      </c>
      <c r="G20" s="111" t="s">
        <v>486</v>
      </c>
      <c r="H20" s="111" t="s">
        <v>485</v>
      </c>
      <c r="I20" s="111" t="s">
        <v>487</v>
      </c>
      <c r="K20" s="37" t="s">
        <v>485</v>
      </c>
      <c r="L20" s="37">
        <v>0.1</v>
      </c>
      <c r="Q20" s="37" t="s">
        <v>485</v>
      </c>
      <c r="R20" s="37">
        <v>0</v>
      </c>
      <c r="V20" s="37" t="s">
        <v>316</v>
      </c>
    </row>
    <row r="21" spans="1:22" ht="20.100000000000001" customHeight="1" x14ac:dyDescent="0.25">
      <c r="A21" s="17" t="str">
        <f>HYPERLINK("#'Constants - Common'!A1", "Constants - Common")</f>
        <v>Constants - Common</v>
      </c>
      <c r="D21" s="111" t="s">
        <v>488</v>
      </c>
      <c r="E21" s="111">
        <v>0.18</v>
      </c>
      <c r="F21" s="111">
        <v>0</v>
      </c>
      <c r="G21" s="111" t="s">
        <v>486</v>
      </c>
      <c r="H21" s="111" t="s">
        <v>488</v>
      </c>
      <c r="I21" s="111" t="s">
        <v>487</v>
      </c>
      <c r="K21" s="37" t="s">
        <v>488</v>
      </c>
      <c r="L21" s="37">
        <v>0.18</v>
      </c>
      <c r="Q21" s="37" t="s">
        <v>488</v>
      </c>
      <c r="R21" s="37">
        <v>0</v>
      </c>
      <c r="V21" s="37" t="s">
        <v>315</v>
      </c>
    </row>
    <row r="22" spans="1:22" ht="20.100000000000001" customHeight="1" x14ac:dyDescent="0.25">
      <c r="D22" s="111" t="s">
        <v>489</v>
      </c>
      <c r="E22" s="111">
        <v>0.46</v>
      </c>
      <c r="F22" s="111">
        <v>1</v>
      </c>
      <c r="G22" s="111" t="s">
        <v>490</v>
      </c>
      <c r="H22" s="111" t="s">
        <v>489</v>
      </c>
      <c r="I22" s="111" t="s">
        <v>487</v>
      </c>
      <c r="K22" s="37" t="s">
        <v>489</v>
      </c>
      <c r="L22" s="37">
        <v>0.46</v>
      </c>
      <c r="Q22" s="37" t="s">
        <v>489</v>
      </c>
      <c r="R22" s="37">
        <v>1</v>
      </c>
      <c r="V22" s="37" t="s">
        <v>515</v>
      </c>
    </row>
    <row r="23" spans="1:22" ht="20.100000000000001" customHeight="1" x14ac:dyDescent="0.25">
      <c r="A23" s="17"/>
      <c r="D23" s="111" t="s">
        <v>491</v>
      </c>
      <c r="E23" s="111">
        <v>0.21</v>
      </c>
      <c r="F23" s="111">
        <v>0</v>
      </c>
      <c r="G23" s="111" t="s">
        <v>486</v>
      </c>
      <c r="H23" s="111" t="s">
        <v>491</v>
      </c>
      <c r="I23" s="111" t="s">
        <v>487</v>
      </c>
      <c r="K23" s="37" t="s">
        <v>491</v>
      </c>
      <c r="L23" s="37">
        <v>0.21</v>
      </c>
      <c r="Q23" s="37" t="s">
        <v>491</v>
      </c>
      <c r="R23" s="37">
        <v>0</v>
      </c>
      <c r="V23" s="37" t="s">
        <v>516</v>
      </c>
    </row>
    <row r="24" spans="1:22" ht="20.100000000000001" customHeight="1" x14ac:dyDescent="0.25">
      <c r="D24" s="111" t="s">
        <v>492</v>
      </c>
      <c r="E24" s="111">
        <v>0.32</v>
      </c>
      <c r="F24" s="111">
        <v>0.35</v>
      </c>
      <c r="G24" s="111" t="s">
        <v>490</v>
      </c>
      <c r="H24" s="111" t="s">
        <v>492</v>
      </c>
      <c r="I24" s="111" t="s">
        <v>487</v>
      </c>
      <c r="K24" s="37" t="s">
        <v>492</v>
      </c>
      <c r="L24" s="37">
        <v>0.32</v>
      </c>
      <c r="Q24" s="37" t="s">
        <v>492</v>
      </c>
      <c r="R24" s="37">
        <v>0.35</v>
      </c>
    </row>
    <row r="25" spans="1:22" ht="20.100000000000001" customHeight="1" x14ac:dyDescent="0.25">
      <c r="D25" s="111" t="s">
        <v>493</v>
      </c>
      <c r="E25" s="111">
        <v>0.33700000000000002</v>
      </c>
      <c r="F25" s="111">
        <v>0</v>
      </c>
      <c r="G25" s="111" t="s">
        <v>494</v>
      </c>
      <c r="H25" s="111" t="s">
        <v>493</v>
      </c>
      <c r="I25" s="111" t="s">
        <v>487</v>
      </c>
      <c r="K25" s="37" t="s">
        <v>493</v>
      </c>
      <c r="L25" s="37">
        <v>0.33700000000000002</v>
      </c>
      <c r="Q25" s="37" t="s">
        <v>493</v>
      </c>
      <c r="R25" s="37">
        <v>0</v>
      </c>
    </row>
    <row r="26" spans="1:22" ht="20.100000000000001" customHeight="1" x14ac:dyDescent="0.25">
      <c r="D26" s="111" t="s">
        <v>495</v>
      </c>
      <c r="E26" s="111">
        <v>0.27</v>
      </c>
      <c r="F26" s="111">
        <v>0</v>
      </c>
      <c r="G26" s="111" t="s">
        <v>494</v>
      </c>
      <c r="H26" s="111" t="s">
        <v>495</v>
      </c>
      <c r="I26" s="111" t="s">
        <v>487</v>
      </c>
      <c r="K26" s="37" t="s">
        <v>495</v>
      </c>
      <c r="L26" s="37">
        <v>0.27</v>
      </c>
      <c r="Q26" s="37" t="s">
        <v>495</v>
      </c>
      <c r="R26" s="37">
        <v>0</v>
      </c>
    </row>
    <row r="27" spans="1:22" ht="20.100000000000001" customHeight="1" x14ac:dyDescent="0.25">
      <c r="D27" s="111" t="s">
        <v>496</v>
      </c>
      <c r="E27" s="111">
        <v>1</v>
      </c>
      <c r="F27" s="111">
        <v>0</v>
      </c>
      <c r="G27" s="111" t="s">
        <v>486</v>
      </c>
      <c r="H27" s="111" t="s">
        <v>496</v>
      </c>
      <c r="I27" s="111" t="s">
        <v>497</v>
      </c>
      <c r="K27" s="37" t="s">
        <v>513</v>
      </c>
      <c r="L27" s="37">
        <v>0.21</v>
      </c>
      <c r="Q27" s="37" t="s">
        <v>513</v>
      </c>
      <c r="R27" s="37">
        <v>0</v>
      </c>
    </row>
    <row r="28" spans="1:22" ht="20.100000000000001" customHeight="1" x14ac:dyDescent="0.25">
      <c r="D28" s="111" t="s">
        <v>498</v>
      </c>
      <c r="E28" s="111">
        <v>1</v>
      </c>
      <c r="F28" s="111">
        <v>0</v>
      </c>
      <c r="G28" s="111" t="s">
        <v>499</v>
      </c>
      <c r="H28" s="111" t="s">
        <v>500</v>
      </c>
      <c r="I28" s="111" t="s">
        <v>497</v>
      </c>
      <c r="K28" s="37" t="s">
        <v>514</v>
      </c>
      <c r="L28" s="37">
        <v>0.155</v>
      </c>
      <c r="Q28" s="37" t="s">
        <v>514</v>
      </c>
      <c r="R28" s="37">
        <v>0</v>
      </c>
    </row>
    <row r="29" spans="1:22" ht="20.100000000000001" customHeight="1" x14ac:dyDescent="0.25">
      <c r="D29" s="111" t="s">
        <v>501</v>
      </c>
      <c r="E29" s="111">
        <v>1</v>
      </c>
      <c r="F29" s="111">
        <v>0</v>
      </c>
      <c r="G29" s="111" t="s">
        <v>490</v>
      </c>
      <c r="H29" s="111" t="s">
        <v>502</v>
      </c>
      <c r="I29" s="111" t="s">
        <v>497</v>
      </c>
    </row>
    <row r="30" spans="1:22" ht="20.100000000000001" customHeight="1" x14ac:dyDescent="0.25">
      <c r="D30" s="111" t="s">
        <v>503</v>
      </c>
      <c r="E30" s="111">
        <v>0</v>
      </c>
      <c r="F30" s="111">
        <v>0</v>
      </c>
      <c r="G30" s="111" t="s">
        <v>504</v>
      </c>
      <c r="H30" s="111" t="s">
        <v>505</v>
      </c>
      <c r="I30" s="111" t="s">
        <v>497</v>
      </c>
    </row>
    <row r="31" spans="1:22" ht="20.100000000000001" customHeight="1" x14ac:dyDescent="0.25">
      <c r="D31" s="111" t="s">
        <v>156</v>
      </c>
      <c r="E31" s="111">
        <v>0</v>
      </c>
      <c r="F31" s="111">
        <v>0</v>
      </c>
      <c r="G31" s="111" t="s">
        <v>504</v>
      </c>
      <c r="H31" s="111" t="s">
        <v>506</v>
      </c>
      <c r="I31" s="111" t="s">
        <v>497</v>
      </c>
    </row>
    <row r="32" spans="1:22" ht="20.100000000000001" customHeight="1" x14ac:dyDescent="0.25">
      <c r="D32" s="111" t="s">
        <v>157</v>
      </c>
      <c r="E32" s="111">
        <v>0</v>
      </c>
      <c r="F32" s="111">
        <v>0</v>
      </c>
      <c r="G32" s="111" t="s">
        <v>504</v>
      </c>
      <c r="H32" s="111" t="s">
        <v>507</v>
      </c>
      <c r="I32" s="111" t="s">
        <v>497</v>
      </c>
    </row>
    <row r="33" spans="4:10" ht="20.100000000000001" customHeight="1" x14ac:dyDescent="0.25">
      <c r="D33" s="111" t="s">
        <v>318</v>
      </c>
      <c r="E33" s="111">
        <v>0</v>
      </c>
      <c r="F33" s="111">
        <v>0</v>
      </c>
      <c r="G33" s="111" t="s">
        <v>504</v>
      </c>
      <c r="H33" s="111" t="s">
        <v>508</v>
      </c>
      <c r="I33" s="111" t="s">
        <v>497</v>
      </c>
    </row>
    <row r="34" spans="4:10" ht="20.100000000000001" customHeight="1" x14ac:dyDescent="0.25">
      <c r="D34" s="111" t="s">
        <v>509</v>
      </c>
      <c r="E34" s="111">
        <v>0</v>
      </c>
      <c r="F34" s="111">
        <v>0</v>
      </c>
      <c r="G34" s="111" t="s">
        <v>504</v>
      </c>
      <c r="H34" s="111" t="s">
        <v>509</v>
      </c>
      <c r="I34" s="111" t="s">
        <v>497</v>
      </c>
    </row>
    <row r="35" spans="4:10" ht="20.100000000000001" customHeight="1" x14ac:dyDescent="0.25">
      <c r="D35" s="111" t="s">
        <v>510</v>
      </c>
      <c r="E35" s="111">
        <v>0</v>
      </c>
      <c r="F35" s="111">
        <v>0</v>
      </c>
      <c r="G35" s="111" t="s">
        <v>504</v>
      </c>
      <c r="H35" s="111" t="s">
        <v>510</v>
      </c>
      <c r="I35" s="111" t="s">
        <v>497</v>
      </c>
    </row>
    <row r="36" spans="4:10" ht="20.100000000000001" customHeight="1" x14ac:dyDescent="0.25">
      <c r="D36" s="111" t="s">
        <v>511</v>
      </c>
      <c r="E36" s="111">
        <v>0</v>
      </c>
      <c r="F36" s="111">
        <v>0</v>
      </c>
      <c r="G36" s="111" t="s">
        <v>504</v>
      </c>
      <c r="H36" s="111" t="s">
        <v>511</v>
      </c>
      <c r="I36" s="111" t="s">
        <v>497</v>
      </c>
    </row>
    <row r="37" spans="4:10" ht="20.100000000000001" customHeight="1" x14ac:dyDescent="0.25">
      <c r="D37" s="111" t="s">
        <v>512</v>
      </c>
      <c r="E37" s="111">
        <v>0.82350000000000001</v>
      </c>
      <c r="F37" s="111">
        <v>0</v>
      </c>
      <c r="G37" s="111" t="s">
        <v>486</v>
      </c>
      <c r="H37" s="111" t="s">
        <v>512</v>
      </c>
      <c r="I37" s="111" t="s">
        <v>497</v>
      </c>
    </row>
    <row r="38" spans="4:10" ht="20.100000000000001" customHeight="1" x14ac:dyDescent="0.25">
      <c r="D38" s="37" t="s">
        <v>317</v>
      </c>
      <c r="E38" s="37">
        <v>0.155</v>
      </c>
      <c r="F38" s="37">
        <v>0</v>
      </c>
      <c r="G38" s="37" t="s">
        <v>499</v>
      </c>
      <c r="H38" s="37" t="s">
        <v>317</v>
      </c>
      <c r="I38" s="37" t="s">
        <v>487</v>
      </c>
    </row>
    <row r="39" spans="4:10" ht="20.100000000000001" customHeight="1" x14ac:dyDescent="0.25"/>
    <row r="40" spans="4:10" ht="20.100000000000001" customHeight="1" x14ac:dyDescent="0.25">
      <c r="D40" s="6" t="s">
        <v>309</v>
      </c>
      <c r="F40" s="6" t="s">
        <v>162</v>
      </c>
      <c r="H40" s="6" t="s">
        <v>132</v>
      </c>
      <c r="J40" s="6" t="s">
        <v>235</v>
      </c>
    </row>
    <row r="41" spans="4:10" ht="20.100000000000001" customHeight="1" x14ac:dyDescent="0.25">
      <c r="D41" s="37" t="s">
        <v>86</v>
      </c>
      <c r="F41" s="37" t="s">
        <v>86</v>
      </c>
      <c r="H41" s="37" t="s">
        <v>85</v>
      </c>
      <c r="J41" s="37" t="s">
        <v>236</v>
      </c>
    </row>
    <row r="42" spans="4:10" ht="20.100000000000001" customHeight="1" x14ac:dyDescent="0.25">
      <c r="D42" s="37" t="s">
        <v>133</v>
      </c>
      <c r="F42" s="37" t="s">
        <v>133</v>
      </c>
      <c r="H42" s="37" t="s">
        <v>134</v>
      </c>
      <c r="J42" s="37" t="s">
        <v>237</v>
      </c>
    </row>
    <row r="43" spans="4:10" ht="20.100000000000001" customHeight="1" x14ac:dyDescent="0.25">
      <c r="D43" s="1" t="s">
        <v>130</v>
      </c>
      <c r="F43" s="1" t="s">
        <v>140</v>
      </c>
      <c r="H43" s="37" t="s">
        <v>135</v>
      </c>
      <c r="J43" s="1" t="s">
        <v>238</v>
      </c>
    </row>
    <row r="44" spans="4:10" ht="20.100000000000001" customHeight="1" x14ac:dyDescent="0.25">
      <c r="F44" s="1" t="s">
        <v>138</v>
      </c>
      <c r="H44" s="1" t="s">
        <v>131</v>
      </c>
      <c r="J44" s="1" t="s">
        <v>239</v>
      </c>
    </row>
    <row r="45" spans="4:10" ht="20.100000000000001" customHeight="1" x14ac:dyDescent="0.25">
      <c r="F45" s="1" t="s">
        <v>139</v>
      </c>
      <c r="H45" s="1" t="s">
        <v>136</v>
      </c>
      <c r="J45" s="1" t="s">
        <v>240</v>
      </c>
    </row>
    <row r="46" spans="4:10" ht="20.100000000000001" customHeight="1" x14ac:dyDescent="0.25">
      <c r="H46" s="1" t="s">
        <v>137</v>
      </c>
      <c r="J46" s="1" t="s">
        <v>241</v>
      </c>
    </row>
    <row r="47" spans="4:10" ht="20.100000000000001" customHeight="1" x14ac:dyDescent="0.25"/>
    <row r="48" spans="4:10" ht="20.100000000000001" customHeight="1" x14ac:dyDescent="0.25">
      <c r="D48" s="6" t="s">
        <v>517</v>
      </c>
      <c r="G48" s="110"/>
    </row>
    <row r="49" spans="4:8" ht="20.100000000000001" customHeight="1" x14ac:dyDescent="0.25">
      <c r="D49" s="5" t="s">
        <v>518</v>
      </c>
      <c r="G49" s="110"/>
    </row>
    <row r="50" spans="4:8" ht="20.100000000000001" customHeight="1" x14ac:dyDescent="0.25">
      <c r="D50" s="37" t="s">
        <v>111</v>
      </c>
      <c r="E50" s="37" t="s">
        <v>129</v>
      </c>
      <c r="G50" s="110"/>
    </row>
    <row r="51" spans="4:8" ht="20.100000000000001" customHeight="1" x14ac:dyDescent="0.25">
      <c r="D51" s="37" t="s">
        <v>490</v>
      </c>
      <c r="E51" s="37">
        <v>0.15</v>
      </c>
      <c r="G51" s="110"/>
    </row>
    <row r="52" spans="4:8" ht="20.100000000000001" customHeight="1" x14ac:dyDescent="0.25">
      <c r="D52" s="1" t="s">
        <v>486</v>
      </c>
      <c r="E52" s="37">
        <v>0.08</v>
      </c>
      <c r="G52" s="110"/>
    </row>
    <row r="53" spans="4:8" ht="20.100000000000001" customHeight="1" x14ac:dyDescent="0.25">
      <c r="D53" s="1" t="s">
        <v>499</v>
      </c>
      <c r="E53" s="37">
        <v>0.01</v>
      </c>
      <c r="G53" s="110"/>
    </row>
    <row r="54" spans="4:8" ht="20.100000000000001" customHeight="1" x14ac:dyDescent="0.25">
      <c r="D54" s="1" t="s">
        <v>494</v>
      </c>
      <c r="E54" s="37">
        <v>0.05</v>
      </c>
      <c r="G54" s="110"/>
      <c r="H54" s="110"/>
    </row>
    <row r="55" spans="4:8" ht="20.100000000000001" customHeight="1" x14ac:dyDescent="0.25">
      <c r="D55" s="1" t="s">
        <v>504</v>
      </c>
      <c r="E55" s="37">
        <v>0.11</v>
      </c>
      <c r="G55" s="110"/>
      <c r="H55" s="110"/>
    </row>
    <row r="56" spans="4:8" ht="20.100000000000001" customHeight="1" x14ac:dyDescent="0.25"/>
    <row r="57" spans="4:8" ht="20.100000000000001" customHeight="1" x14ac:dyDescent="0.25"/>
    <row r="58" spans="4:8" ht="20.100000000000001" customHeight="1" x14ac:dyDescent="0.25">
      <c r="D58" s="6" t="s">
        <v>519</v>
      </c>
    </row>
    <row r="59" spans="4:8" ht="20.100000000000001" customHeight="1" x14ac:dyDescent="0.25">
      <c r="D59" s="5" t="s">
        <v>520</v>
      </c>
    </row>
    <row r="60" spans="4:8" ht="20.100000000000001" customHeight="1" x14ac:dyDescent="0.25">
      <c r="D60" s="51" t="s">
        <v>521</v>
      </c>
      <c r="E60" s="1">
        <v>0.2</v>
      </c>
      <c r="F60" s="52" t="s">
        <v>381</v>
      </c>
    </row>
    <row r="61" spans="4:8" ht="20.100000000000001" customHeight="1" x14ac:dyDescent="0.25"/>
    <row r="62" spans="4:8" ht="20.100000000000001" customHeight="1" x14ac:dyDescent="0.25"/>
    <row r="63" spans="4:8" ht="20.100000000000001" customHeight="1" x14ac:dyDescent="0.25">
      <c r="D63" s="6" t="s">
        <v>522</v>
      </c>
    </row>
    <row r="64" spans="4:8" ht="20.100000000000001" customHeight="1" x14ac:dyDescent="0.25">
      <c r="D64" s="5" t="s">
        <v>523</v>
      </c>
    </row>
    <row r="65" spans="4:6" ht="20.100000000000001" customHeight="1" x14ac:dyDescent="0.25">
      <c r="D65" s="37" t="s">
        <v>253</v>
      </c>
      <c r="E65" s="37" t="s">
        <v>261</v>
      </c>
      <c r="F65" s="37" t="s">
        <v>262</v>
      </c>
    </row>
    <row r="66" spans="4:6" ht="20.100000000000001" customHeight="1" x14ac:dyDescent="0.25">
      <c r="D66" s="37" t="s">
        <v>524</v>
      </c>
      <c r="E66" s="37">
        <v>0.9</v>
      </c>
      <c r="F66" s="37">
        <v>0.12</v>
      </c>
    </row>
    <row r="67" spans="4:6" ht="20.100000000000001" customHeight="1" x14ac:dyDescent="0.25">
      <c r="D67" s="1" t="s">
        <v>525</v>
      </c>
      <c r="E67" s="37">
        <v>0.95</v>
      </c>
      <c r="F67" s="37">
        <v>0.13</v>
      </c>
    </row>
    <row r="68" spans="4:6" ht="20.100000000000001" customHeight="1" x14ac:dyDescent="0.25">
      <c r="D68" s="1" t="s">
        <v>526</v>
      </c>
      <c r="E68" s="37">
        <v>0</v>
      </c>
      <c r="F68" s="37">
        <v>0</v>
      </c>
    </row>
    <row r="69" spans="4:6" ht="20.100000000000001" customHeight="1" x14ac:dyDescent="0.25"/>
    <row r="70" spans="4:6" ht="20.100000000000001" customHeight="1" x14ac:dyDescent="0.25"/>
    <row r="71" spans="4:6" ht="20.100000000000001" customHeight="1" x14ac:dyDescent="0.25">
      <c r="D71" s="6" t="s">
        <v>527</v>
      </c>
    </row>
    <row r="72" spans="4:6" ht="20.100000000000001" customHeight="1" x14ac:dyDescent="0.25">
      <c r="D72" s="5" t="s">
        <v>528</v>
      </c>
    </row>
    <row r="73" spans="4:6" ht="20.100000000000001" customHeight="1" x14ac:dyDescent="0.25">
      <c r="D73" s="51" t="s">
        <v>529</v>
      </c>
      <c r="E73" s="1">
        <v>0.21</v>
      </c>
      <c r="F73" s="52" t="s">
        <v>421</v>
      </c>
    </row>
    <row r="74" spans="4:6" ht="20.100000000000001" customHeight="1" x14ac:dyDescent="0.25"/>
    <row r="75" spans="4:6" ht="20.100000000000001" customHeight="1" x14ac:dyDescent="0.25"/>
    <row r="76" spans="4:6" ht="20.100000000000001" customHeight="1" x14ac:dyDescent="0.25">
      <c r="D76" s="6" t="s">
        <v>530</v>
      </c>
    </row>
    <row r="77" spans="4:6" ht="20.100000000000001" customHeight="1" x14ac:dyDescent="0.25">
      <c r="D77" s="5" t="s">
        <v>531</v>
      </c>
    </row>
    <row r="78" spans="4:6" ht="20.100000000000001" customHeight="1" x14ac:dyDescent="0.25">
      <c r="D78" s="51" t="s">
        <v>448</v>
      </c>
      <c r="E78" s="1">
        <v>0.24</v>
      </c>
      <c r="F78" s="52" t="s">
        <v>413</v>
      </c>
    </row>
    <row r="79" spans="4:6" ht="20.100000000000001" customHeight="1" x14ac:dyDescent="0.25"/>
    <row r="80" spans="4:6" ht="20.100000000000001" customHeight="1" x14ac:dyDescent="0.25"/>
    <row r="81" spans="4:31" ht="20.100000000000001" customHeight="1" x14ac:dyDescent="0.25">
      <c r="D81" s="6" t="s">
        <v>532</v>
      </c>
    </row>
    <row r="82" spans="4:31" ht="20.100000000000001" customHeight="1" x14ac:dyDescent="0.25">
      <c r="D82" s="5" t="s">
        <v>531</v>
      </c>
    </row>
    <row r="83" spans="4:31" ht="20.100000000000001" customHeight="1" x14ac:dyDescent="0.25">
      <c r="D83" s="51" t="s">
        <v>533</v>
      </c>
      <c r="E83" s="1">
        <v>1.0999999999999999E-2</v>
      </c>
      <c r="F83" s="52" t="s">
        <v>534</v>
      </c>
    </row>
    <row r="84" spans="4:31" ht="20.100000000000001" customHeight="1" x14ac:dyDescent="0.25"/>
    <row r="85" spans="4:31" ht="20.100000000000001" customHeight="1" x14ac:dyDescent="0.25"/>
    <row r="86" spans="4:31" ht="20.100000000000001" customHeight="1" x14ac:dyDescent="0.25"/>
    <row r="87" spans="4:31" ht="20.100000000000001" customHeight="1" x14ac:dyDescent="0.25">
      <c r="D87" s="6" t="s">
        <v>112</v>
      </c>
      <c r="E87" s="110"/>
      <c r="F87" s="110"/>
      <c r="G87" s="110"/>
      <c r="H87" s="110"/>
      <c r="I87" s="110"/>
      <c r="J87" s="110"/>
      <c r="K87" s="110"/>
      <c r="L87" s="110"/>
      <c r="N87" s="110"/>
      <c r="O87" s="110"/>
      <c r="P87" s="110"/>
      <c r="Q87" s="110"/>
      <c r="R87" s="110"/>
      <c r="S87" s="110"/>
      <c r="T87" s="110"/>
      <c r="U87" s="110"/>
    </row>
    <row r="88" spans="4:31" ht="20.100000000000001" customHeight="1" x14ac:dyDescent="0.25">
      <c r="D88" s="110"/>
    </row>
    <row r="89" spans="4:31" ht="20.100000000000001" customHeight="1" x14ac:dyDescent="0.25">
      <c r="D89" s="144" t="s">
        <v>225</v>
      </c>
      <c r="E89" s="37" t="s">
        <v>226</v>
      </c>
      <c r="F89" s="37" t="s">
        <v>227</v>
      </c>
      <c r="G89" s="117" t="s">
        <v>228</v>
      </c>
      <c r="H89" s="117" t="s">
        <v>16</v>
      </c>
      <c r="I89" s="117" t="s">
        <v>229</v>
      </c>
      <c r="J89" s="117" t="s">
        <v>230</v>
      </c>
      <c r="K89" s="117" t="s">
        <v>231</v>
      </c>
      <c r="L89" s="117" t="s">
        <v>114</v>
      </c>
      <c r="M89" s="117" t="s">
        <v>115</v>
      </c>
      <c r="N89" s="117" t="s">
        <v>116</v>
      </c>
      <c r="O89" s="37" t="s">
        <v>117</v>
      </c>
      <c r="P89" s="37" t="s">
        <v>118</v>
      </c>
      <c r="Q89" s="37" t="s">
        <v>119</v>
      </c>
      <c r="R89" s="117" t="s">
        <v>120</v>
      </c>
      <c r="S89" s="117" t="s">
        <v>121</v>
      </c>
      <c r="T89" s="37" t="s">
        <v>122</v>
      </c>
      <c r="U89" s="117" t="s">
        <v>123</v>
      </c>
      <c r="V89" s="117" t="s">
        <v>124</v>
      </c>
      <c r="W89" s="117" t="s">
        <v>125</v>
      </c>
      <c r="X89" s="117" t="s">
        <v>217</v>
      </c>
      <c r="Y89" s="117" t="s">
        <v>218</v>
      </c>
      <c r="Z89" s="37" t="s">
        <v>219</v>
      </c>
      <c r="AA89" s="37" t="s">
        <v>220</v>
      </c>
      <c r="AB89" s="37" t="s">
        <v>221</v>
      </c>
      <c r="AC89" s="37" t="s">
        <v>222</v>
      </c>
      <c r="AD89" s="37" t="s">
        <v>223</v>
      </c>
      <c r="AE89" s="37" t="s">
        <v>224</v>
      </c>
    </row>
    <row r="90" spans="4:31" ht="20.100000000000001" customHeight="1" x14ac:dyDescent="0.25">
      <c r="D90" s="111" t="s">
        <v>535</v>
      </c>
      <c r="E90" s="111"/>
      <c r="F90" s="111" t="s">
        <v>536</v>
      </c>
      <c r="G90" s="111" t="s">
        <v>300</v>
      </c>
      <c r="H90" s="111" t="s">
        <v>537</v>
      </c>
      <c r="I90" s="111">
        <v>1.26</v>
      </c>
      <c r="J90" s="111"/>
      <c r="K90" s="111"/>
      <c r="L90" s="111" t="s">
        <v>156</v>
      </c>
      <c r="M90" s="111">
        <v>0.22500000000000001</v>
      </c>
      <c r="N90" s="111" t="s">
        <v>503</v>
      </c>
      <c r="O90" s="111">
        <v>0.04</v>
      </c>
      <c r="P90" s="111" t="s">
        <v>501</v>
      </c>
      <c r="Q90" s="111">
        <v>2.5999999999999999E-2</v>
      </c>
      <c r="R90" s="111"/>
      <c r="S90" s="111"/>
      <c r="T90" s="111"/>
      <c r="U90" s="111"/>
      <c r="V90" s="111"/>
      <c r="W90" s="111"/>
      <c r="X90" s="111"/>
      <c r="Y90" s="111"/>
      <c r="Z90" s="111"/>
      <c r="AA90" s="111"/>
      <c r="AB90" s="111"/>
      <c r="AC90" s="111"/>
      <c r="AD90" s="111"/>
      <c r="AE90" s="111"/>
    </row>
    <row r="91" spans="4:31" ht="20.100000000000001" customHeight="1" x14ac:dyDescent="0.25">
      <c r="D91" s="111" t="s">
        <v>535</v>
      </c>
      <c r="E91" s="111"/>
      <c r="F91" s="111" t="s">
        <v>536</v>
      </c>
      <c r="G91" s="111" t="s">
        <v>538</v>
      </c>
      <c r="H91" s="111" t="s">
        <v>537</v>
      </c>
      <c r="I91" s="111">
        <v>1.26</v>
      </c>
      <c r="J91" s="111"/>
      <c r="K91" s="111"/>
      <c r="L91" s="111" t="s">
        <v>156</v>
      </c>
      <c r="M91" s="111">
        <v>0.105</v>
      </c>
      <c r="N91" s="111" t="s">
        <v>539</v>
      </c>
      <c r="O91" s="111">
        <v>9.6000000000000002E-2</v>
      </c>
      <c r="P91" s="111" t="s">
        <v>503</v>
      </c>
      <c r="Q91" s="111">
        <v>0.05</v>
      </c>
      <c r="R91" s="111"/>
      <c r="S91" s="111"/>
      <c r="T91" s="111"/>
      <c r="U91" s="111"/>
      <c r="V91" s="111"/>
      <c r="W91" s="111"/>
      <c r="X91" s="111"/>
      <c r="Y91" s="111"/>
      <c r="Z91" s="111"/>
      <c r="AA91" s="111"/>
      <c r="AB91" s="111"/>
      <c r="AC91" s="111"/>
      <c r="AD91" s="111"/>
      <c r="AE91" s="111"/>
    </row>
    <row r="92" spans="4:31" ht="20.100000000000001" customHeight="1" x14ac:dyDescent="0.25">
      <c r="D92" s="111" t="s">
        <v>535</v>
      </c>
      <c r="E92" s="111"/>
      <c r="F92" s="111" t="s">
        <v>536</v>
      </c>
      <c r="G92" s="111" t="s">
        <v>540</v>
      </c>
      <c r="H92" s="111" t="s">
        <v>537</v>
      </c>
      <c r="I92" s="111">
        <v>1.24</v>
      </c>
      <c r="J92" s="111"/>
      <c r="K92" s="111"/>
      <c r="L92" s="111" t="s">
        <v>496</v>
      </c>
      <c r="M92" s="111">
        <v>0.223</v>
      </c>
      <c r="N92" s="111"/>
      <c r="O92" s="111"/>
      <c r="P92" s="111"/>
      <c r="Q92" s="111"/>
      <c r="R92" s="111"/>
      <c r="S92" s="111"/>
      <c r="T92" s="111"/>
      <c r="U92" s="111"/>
      <c r="V92" s="111"/>
      <c r="W92" s="111"/>
      <c r="X92" s="111"/>
      <c r="Y92" s="111"/>
      <c r="Z92" s="111"/>
      <c r="AA92" s="111"/>
      <c r="AB92" s="111"/>
      <c r="AC92" s="111"/>
      <c r="AD92" s="111"/>
      <c r="AE92" s="111"/>
    </row>
    <row r="93" spans="4:31" ht="20.100000000000001" customHeight="1" x14ac:dyDescent="0.25">
      <c r="D93" s="111" t="s">
        <v>535</v>
      </c>
      <c r="E93" s="111" t="s">
        <v>541</v>
      </c>
      <c r="F93" s="111" t="s">
        <v>536</v>
      </c>
      <c r="G93" s="111" t="s">
        <v>542</v>
      </c>
      <c r="H93" s="111" t="s">
        <v>537</v>
      </c>
      <c r="I93" s="111">
        <v>1.5</v>
      </c>
      <c r="J93" s="111"/>
      <c r="K93" s="111"/>
      <c r="L93" s="111" t="s">
        <v>543</v>
      </c>
      <c r="M93" s="111">
        <v>0.16200000000000001</v>
      </c>
      <c r="N93" s="111" t="s">
        <v>498</v>
      </c>
      <c r="O93" s="111">
        <v>0.13200000000000001</v>
      </c>
      <c r="P93" s="111"/>
      <c r="Q93" s="111"/>
      <c r="R93" s="111"/>
      <c r="S93" s="111"/>
      <c r="T93" s="111"/>
      <c r="U93" s="111"/>
      <c r="V93" s="111"/>
      <c r="W93" s="111"/>
      <c r="X93" s="111"/>
      <c r="Y93" s="111"/>
      <c r="Z93" s="111"/>
      <c r="AA93" s="111"/>
      <c r="AB93" s="111"/>
      <c r="AC93" s="111"/>
      <c r="AD93" s="111"/>
      <c r="AE93" s="111"/>
    </row>
    <row r="94" spans="4:31" ht="20.100000000000001" customHeight="1" x14ac:dyDescent="0.25">
      <c r="D94" s="111" t="s">
        <v>535</v>
      </c>
      <c r="E94" s="111" t="s">
        <v>541</v>
      </c>
      <c r="F94" s="111" t="s">
        <v>536</v>
      </c>
      <c r="G94" s="111" t="s">
        <v>544</v>
      </c>
      <c r="H94" s="111" t="s">
        <v>537</v>
      </c>
      <c r="I94" s="111">
        <v>1.5</v>
      </c>
      <c r="J94" s="111"/>
      <c r="K94" s="111"/>
      <c r="L94" s="111" t="s">
        <v>543</v>
      </c>
      <c r="M94" s="111">
        <v>0.187</v>
      </c>
      <c r="N94" s="111" t="s">
        <v>498</v>
      </c>
      <c r="O94" s="111">
        <v>0.13200000000000001</v>
      </c>
      <c r="P94" s="111"/>
      <c r="Q94" s="111"/>
      <c r="R94" s="111"/>
      <c r="S94" s="111"/>
      <c r="T94" s="111"/>
      <c r="U94" s="111"/>
      <c r="V94" s="111"/>
      <c r="W94" s="111"/>
      <c r="X94" s="111"/>
      <c r="Y94" s="111"/>
      <c r="Z94" s="111"/>
      <c r="AA94" s="111"/>
      <c r="AB94" s="111"/>
      <c r="AC94" s="111"/>
      <c r="AD94" s="111"/>
      <c r="AE94" s="111"/>
    </row>
    <row r="95" spans="4:31" ht="20.100000000000001" customHeight="1" x14ac:dyDescent="0.25">
      <c r="D95" s="111" t="s">
        <v>535</v>
      </c>
      <c r="E95" s="111" t="s">
        <v>541</v>
      </c>
      <c r="F95" s="111" t="s">
        <v>536</v>
      </c>
      <c r="G95" s="111" t="s">
        <v>545</v>
      </c>
      <c r="H95" s="111" t="s">
        <v>537</v>
      </c>
      <c r="I95" s="111">
        <v>1.5</v>
      </c>
      <c r="J95" s="111"/>
      <c r="K95" s="111"/>
      <c r="L95" s="111" t="s">
        <v>543</v>
      </c>
      <c r="M95" s="111">
        <v>0.183</v>
      </c>
      <c r="N95" s="111" t="s">
        <v>546</v>
      </c>
      <c r="O95" s="111">
        <v>0.13200000000000001</v>
      </c>
      <c r="P95" s="111"/>
      <c r="Q95" s="111"/>
      <c r="R95" s="111"/>
      <c r="S95" s="111"/>
      <c r="T95" s="111"/>
      <c r="U95" s="111"/>
      <c r="V95" s="111"/>
      <c r="W95" s="111"/>
      <c r="X95" s="111"/>
      <c r="Y95" s="111"/>
      <c r="Z95" s="111"/>
      <c r="AA95" s="111"/>
      <c r="AB95" s="111"/>
      <c r="AC95" s="111"/>
      <c r="AD95" s="111"/>
      <c r="AE95" s="111"/>
    </row>
    <row r="96" spans="4:31" ht="20.100000000000001" customHeight="1" x14ac:dyDescent="0.25">
      <c r="D96" s="111" t="s">
        <v>535</v>
      </c>
      <c r="E96" s="111"/>
      <c r="F96" s="111" t="s">
        <v>536</v>
      </c>
      <c r="G96" s="111" t="s">
        <v>547</v>
      </c>
      <c r="H96" s="111" t="s">
        <v>537</v>
      </c>
      <c r="I96" s="111">
        <v>1.25</v>
      </c>
      <c r="J96" s="111"/>
      <c r="K96" s="111"/>
      <c r="L96" s="111" t="s">
        <v>501</v>
      </c>
      <c r="M96" s="111">
        <v>0.10299999999999999</v>
      </c>
      <c r="N96" s="111" t="s">
        <v>503</v>
      </c>
      <c r="O96" s="111">
        <v>0.1</v>
      </c>
      <c r="P96" s="111" t="s">
        <v>156</v>
      </c>
      <c r="Q96" s="111">
        <v>3.4000000000000002E-2</v>
      </c>
      <c r="R96" s="111"/>
      <c r="S96" s="111"/>
      <c r="T96" s="111"/>
      <c r="U96" s="111"/>
      <c r="V96" s="111"/>
      <c r="W96" s="111"/>
      <c r="X96" s="111"/>
      <c r="Y96" s="111"/>
      <c r="Z96" s="111"/>
      <c r="AA96" s="111"/>
      <c r="AB96" s="111"/>
      <c r="AC96" s="111"/>
      <c r="AD96" s="111"/>
      <c r="AE96" s="111"/>
    </row>
    <row r="97" spans="4:31" ht="20.100000000000001" customHeight="1" x14ac:dyDescent="0.25">
      <c r="D97" s="111" t="s">
        <v>535</v>
      </c>
      <c r="E97" s="111"/>
      <c r="F97" s="111" t="s">
        <v>536</v>
      </c>
      <c r="G97" s="111" t="s">
        <v>548</v>
      </c>
      <c r="H97" s="111" t="s">
        <v>537</v>
      </c>
      <c r="I97" s="111">
        <v>1.43</v>
      </c>
      <c r="J97" s="111"/>
      <c r="K97" s="111"/>
      <c r="L97" s="111" t="s">
        <v>156</v>
      </c>
      <c r="M97" s="111">
        <v>0.22500000000000001</v>
      </c>
      <c r="N97" s="111" t="s">
        <v>503</v>
      </c>
      <c r="O97" s="111">
        <v>3.7999999999999999E-2</v>
      </c>
      <c r="P97" s="111" t="s">
        <v>501</v>
      </c>
      <c r="Q97" s="111">
        <v>2.5000000000000001E-2</v>
      </c>
      <c r="R97" s="111"/>
      <c r="S97" s="111"/>
      <c r="T97" s="111"/>
      <c r="U97" s="111"/>
      <c r="V97" s="111"/>
      <c r="W97" s="111"/>
      <c r="X97" s="111"/>
      <c r="Y97" s="111"/>
      <c r="Z97" s="111"/>
      <c r="AA97" s="111"/>
      <c r="AB97" s="111"/>
      <c r="AC97" s="111"/>
      <c r="AD97" s="111"/>
      <c r="AE97" s="111"/>
    </row>
    <row r="98" spans="4:31" ht="20.100000000000001" customHeight="1" x14ac:dyDescent="0.25">
      <c r="D98" s="111" t="s">
        <v>535</v>
      </c>
      <c r="E98" s="111"/>
      <c r="F98" s="111" t="s">
        <v>536</v>
      </c>
      <c r="G98" s="111" t="s">
        <v>549</v>
      </c>
      <c r="H98" s="111" t="s">
        <v>537</v>
      </c>
      <c r="I98" s="111">
        <v>1.29</v>
      </c>
      <c r="J98" s="111"/>
      <c r="K98" s="111"/>
      <c r="L98" s="111" t="s">
        <v>501</v>
      </c>
      <c r="M98" s="111">
        <v>0.105</v>
      </c>
      <c r="N98" s="111" t="s">
        <v>503</v>
      </c>
      <c r="O98" s="111">
        <v>9.4E-2</v>
      </c>
      <c r="P98" s="111" t="s">
        <v>156</v>
      </c>
      <c r="Q98" s="111">
        <v>0.04</v>
      </c>
      <c r="R98" s="111" t="s">
        <v>157</v>
      </c>
      <c r="S98" s="111">
        <v>0.03</v>
      </c>
      <c r="T98" s="111"/>
      <c r="U98" s="111"/>
      <c r="V98" s="111"/>
      <c r="W98" s="111"/>
      <c r="X98" s="111"/>
      <c r="Y98" s="111"/>
      <c r="Z98" s="111"/>
      <c r="AA98" s="111"/>
      <c r="AB98" s="111"/>
      <c r="AC98" s="111"/>
      <c r="AD98" s="111"/>
      <c r="AE98" s="111"/>
    </row>
    <row r="99" spans="4:31" ht="20.100000000000001" customHeight="1" x14ac:dyDescent="0.25">
      <c r="D99" s="111" t="s">
        <v>550</v>
      </c>
      <c r="E99" s="111"/>
      <c r="F99" s="111" t="s">
        <v>536</v>
      </c>
      <c r="G99" s="111" t="s">
        <v>551</v>
      </c>
      <c r="H99" s="111" t="s">
        <v>537</v>
      </c>
      <c r="I99" s="111">
        <v>1.32</v>
      </c>
      <c r="J99" s="111"/>
      <c r="K99" s="111"/>
      <c r="L99" s="111" t="s">
        <v>156</v>
      </c>
      <c r="M99" s="111">
        <v>0.108</v>
      </c>
      <c r="N99" s="111" t="s">
        <v>539</v>
      </c>
      <c r="O99" s="111">
        <v>9.5000000000000001E-2</v>
      </c>
      <c r="P99" s="111" t="s">
        <v>157</v>
      </c>
      <c r="Q99" s="111">
        <v>8.1000000000000003E-2</v>
      </c>
      <c r="R99" s="111" t="s">
        <v>503</v>
      </c>
      <c r="S99" s="111">
        <v>4.7E-2</v>
      </c>
      <c r="T99" s="111"/>
      <c r="U99" s="111"/>
      <c r="V99" s="111"/>
      <c r="W99" s="111"/>
      <c r="X99" s="111"/>
      <c r="Y99" s="111"/>
      <c r="Z99" s="111"/>
      <c r="AA99" s="111"/>
      <c r="AB99" s="111"/>
      <c r="AC99" s="111"/>
      <c r="AD99" s="111"/>
      <c r="AE99" s="111"/>
    </row>
    <row r="100" spans="4:31" ht="20.100000000000001" customHeight="1" x14ac:dyDescent="0.25">
      <c r="D100" s="111" t="s">
        <v>550</v>
      </c>
      <c r="E100" s="111"/>
      <c r="F100" s="111" t="s">
        <v>536</v>
      </c>
      <c r="G100" s="111" t="s">
        <v>552</v>
      </c>
      <c r="H100" s="111"/>
      <c r="I100" s="111"/>
      <c r="J100" s="111"/>
      <c r="K100" s="111"/>
      <c r="L100" s="111"/>
      <c r="M100" s="111"/>
      <c r="N100" s="111"/>
      <c r="O100" s="111"/>
      <c r="P100" s="111"/>
      <c r="Q100" s="111"/>
      <c r="R100" s="111"/>
      <c r="S100" s="111"/>
      <c r="T100" s="111"/>
      <c r="U100" s="111"/>
      <c r="V100" s="111"/>
      <c r="W100" s="111"/>
      <c r="X100" s="111"/>
      <c r="Y100" s="111"/>
      <c r="Z100" s="111"/>
      <c r="AA100" s="111"/>
      <c r="AB100" s="111"/>
      <c r="AC100" s="111"/>
      <c r="AD100" s="111"/>
      <c r="AE100" s="111"/>
    </row>
    <row r="101" spans="4:31" ht="20.100000000000001" customHeight="1" x14ac:dyDescent="0.25">
      <c r="D101" s="111" t="s">
        <v>550</v>
      </c>
      <c r="E101" s="111"/>
      <c r="F101" s="111" t="s">
        <v>536</v>
      </c>
      <c r="G101" s="111" t="s">
        <v>553</v>
      </c>
      <c r="H101" s="111"/>
      <c r="I101" s="111"/>
      <c r="J101" s="111"/>
      <c r="K101" s="111"/>
      <c r="L101" s="111"/>
      <c r="M101" s="111"/>
      <c r="N101" s="111"/>
      <c r="O101" s="111"/>
      <c r="P101" s="111"/>
      <c r="Q101" s="111"/>
      <c r="R101" s="111"/>
      <c r="S101" s="111"/>
      <c r="T101" s="111"/>
      <c r="U101" s="111"/>
      <c r="V101" s="111"/>
      <c r="W101" s="111"/>
      <c r="X101" s="111"/>
      <c r="Y101" s="111"/>
      <c r="Z101" s="111"/>
      <c r="AA101" s="111"/>
      <c r="AB101" s="111"/>
      <c r="AC101" s="111"/>
      <c r="AD101" s="111"/>
      <c r="AE101" s="111"/>
    </row>
    <row r="102" spans="4:31" ht="20.100000000000001" customHeight="1" x14ac:dyDescent="0.25">
      <c r="D102" s="111" t="s">
        <v>550</v>
      </c>
      <c r="E102" s="111"/>
      <c r="F102" s="111" t="s">
        <v>536</v>
      </c>
      <c r="G102" s="111" t="s">
        <v>554</v>
      </c>
      <c r="H102" s="111"/>
      <c r="I102" s="111"/>
      <c r="J102" s="111"/>
      <c r="K102" s="111"/>
      <c r="L102" s="111"/>
      <c r="M102" s="111"/>
      <c r="N102" s="111"/>
      <c r="O102" s="111"/>
      <c r="P102" s="111"/>
      <c r="Q102" s="111"/>
      <c r="R102" s="111"/>
      <c r="S102" s="111"/>
      <c r="T102" s="111"/>
      <c r="U102" s="111"/>
      <c r="V102" s="111"/>
      <c r="W102" s="111"/>
      <c r="X102" s="111"/>
      <c r="Y102" s="111"/>
      <c r="Z102" s="111"/>
      <c r="AA102" s="111"/>
      <c r="AB102" s="111"/>
      <c r="AC102" s="111"/>
      <c r="AD102" s="111"/>
      <c r="AE102" s="111"/>
    </row>
    <row r="103" spans="4:31" ht="20.100000000000001" customHeight="1" x14ac:dyDescent="0.25">
      <c r="D103" s="111" t="s">
        <v>555</v>
      </c>
      <c r="E103" s="111"/>
      <c r="F103" s="111" t="s">
        <v>536</v>
      </c>
      <c r="G103" s="111" t="s">
        <v>556</v>
      </c>
      <c r="H103" s="111"/>
      <c r="I103" s="111"/>
      <c r="J103" s="111"/>
      <c r="K103" s="111"/>
      <c r="L103" s="111"/>
      <c r="M103" s="111"/>
      <c r="N103" s="111"/>
      <c r="O103" s="111"/>
      <c r="P103" s="111"/>
      <c r="Q103" s="111"/>
      <c r="R103" s="111"/>
      <c r="S103" s="111"/>
      <c r="T103" s="111"/>
      <c r="U103" s="111"/>
      <c r="V103" s="111"/>
      <c r="W103" s="111"/>
      <c r="X103" s="111"/>
      <c r="Y103" s="111"/>
      <c r="Z103" s="111"/>
      <c r="AA103" s="111"/>
      <c r="AB103" s="111"/>
      <c r="AC103" s="111"/>
      <c r="AD103" s="111"/>
      <c r="AE103" s="111"/>
    </row>
    <row r="104" spans="4:31" ht="20.100000000000001" customHeight="1" x14ac:dyDescent="0.25">
      <c r="D104" s="111" t="s">
        <v>550</v>
      </c>
      <c r="E104" s="111" t="s">
        <v>557</v>
      </c>
      <c r="F104" s="111" t="s">
        <v>536</v>
      </c>
      <c r="G104" s="111" t="s">
        <v>312</v>
      </c>
      <c r="H104" s="111" t="s">
        <v>141</v>
      </c>
      <c r="I104" s="111">
        <v>1</v>
      </c>
      <c r="J104" s="111"/>
      <c r="K104" s="111"/>
      <c r="L104" s="111" t="s">
        <v>489</v>
      </c>
      <c r="M104" s="111">
        <v>0.52173913000000005</v>
      </c>
      <c r="N104" s="111" t="s">
        <v>156</v>
      </c>
      <c r="O104" s="111">
        <v>0.08</v>
      </c>
      <c r="P104" s="111" t="s">
        <v>157</v>
      </c>
      <c r="Q104" s="111">
        <v>5.2999999999999999E-2</v>
      </c>
      <c r="R104" s="111" t="s">
        <v>503</v>
      </c>
      <c r="S104" s="111">
        <v>5.1999999999999998E-2</v>
      </c>
      <c r="T104" s="111" t="s">
        <v>558</v>
      </c>
      <c r="U104" s="111">
        <v>1.2999999999999999E-2</v>
      </c>
      <c r="V104" s="111" t="s">
        <v>559</v>
      </c>
      <c r="W104" s="111">
        <v>2E-3</v>
      </c>
      <c r="X104" s="111" t="s">
        <v>560</v>
      </c>
      <c r="Y104" s="111">
        <v>3.5000000000000001E-3</v>
      </c>
      <c r="Z104" s="111" t="s">
        <v>561</v>
      </c>
      <c r="AA104" s="111">
        <v>1.2999999999999999E-3</v>
      </c>
      <c r="AB104" s="111" t="s">
        <v>562</v>
      </c>
      <c r="AC104" s="111">
        <v>6.9999999999999999E-4</v>
      </c>
      <c r="AD104" s="111" t="s">
        <v>563</v>
      </c>
      <c r="AE104" s="111">
        <v>6.9999999999999999E-4</v>
      </c>
    </row>
    <row r="105" spans="4:31" ht="20.100000000000001" customHeight="1" x14ac:dyDescent="0.25">
      <c r="D105" s="111" t="s">
        <v>550</v>
      </c>
      <c r="E105" s="111"/>
      <c r="F105" s="111" t="s">
        <v>536</v>
      </c>
      <c r="G105" s="111" t="s">
        <v>564</v>
      </c>
      <c r="H105" s="111"/>
      <c r="I105" s="111"/>
      <c r="J105" s="111"/>
      <c r="K105" s="111"/>
      <c r="L105" s="111"/>
      <c r="M105" s="111"/>
      <c r="N105" s="111"/>
      <c r="O105" s="111"/>
      <c r="P105" s="111"/>
      <c r="Q105" s="111"/>
      <c r="R105" s="111"/>
      <c r="S105" s="111"/>
      <c r="T105" s="111"/>
      <c r="U105" s="111"/>
      <c r="V105" s="111"/>
      <c r="W105" s="111"/>
      <c r="X105" s="111"/>
      <c r="Y105" s="111"/>
      <c r="Z105" s="111"/>
      <c r="AA105" s="111"/>
      <c r="AB105" s="111"/>
      <c r="AC105" s="111"/>
      <c r="AD105" s="111"/>
      <c r="AE105" s="111"/>
    </row>
    <row r="106" spans="4:31" ht="20.100000000000001" customHeight="1" x14ac:dyDescent="0.25">
      <c r="D106" s="111" t="s">
        <v>550</v>
      </c>
      <c r="E106" s="111"/>
      <c r="F106" s="111" t="s">
        <v>536</v>
      </c>
      <c r="G106" s="111" t="s">
        <v>565</v>
      </c>
      <c r="H106" s="111"/>
      <c r="I106" s="111"/>
      <c r="J106" s="111"/>
      <c r="K106" s="111"/>
      <c r="L106" s="111"/>
      <c r="M106" s="111"/>
      <c r="N106" s="111"/>
      <c r="O106" s="111"/>
      <c r="P106" s="111"/>
      <c r="Q106" s="111"/>
      <c r="R106" s="111"/>
      <c r="S106" s="111"/>
      <c r="T106" s="111"/>
      <c r="U106" s="111"/>
      <c r="V106" s="111"/>
      <c r="W106" s="111"/>
      <c r="X106" s="111"/>
      <c r="Y106" s="111"/>
      <c r="Z106" s="111"/>
      <c r="AA106" s="111"/>
      <c r="AB106" s="111"/>
      <c r="AC106" s="111"/>
      <c r="AD106" s="111"/>
      <c r="AE106" s="111"/>
    </row>
    <row r="107" spans="4:31" ht="20.100000000000001" customHeight="1" x14ac:dyDescent="0.25">
      <c r="D107" s="111" t="s">
        <v>535</v>
      </c>
      <c r="E107" s="111"/>
      <c r="F107" s="111" t="s">
        <v>536</v>
      </c>
      <c r="G107" s="111" t="s">
        <v>566</v>
      </c>
      <c r="H107" s="111"/>
      <c r="I107" s="111"/>
      <c r="J107" s="111"/>
      <c r="K107" s="111"/>
      <c r="L107" s="111"/>
      <c r="M107" s="111"/>
      <c r="N107" s="111"/>
      <c r="O107" s="111"/>
      <c r="P107" s="111"/>
      <c r="Q107" s="111"/>
      <c r="R107" s="111"/>
      <c r="S107" s="111"/>
      <c r="T107" s="111"/>
      <c r="U107" s="111"/>
      <c r="V107" s="111"/>
      <c r="W107" s="111"/>
      <c r="X107" s="111"/>
      <c r="Y107" s="111"/>
      <c r="Z107" s="111"/>
      <c r="AA107" s="111"/>
      <c r="AB107" s="111"/>
      <c r="AC107" s="111"/>
      <c r="AD107" s="111"/>
      <c r="AE107" s="111"/>
    </row>
    <row r="108" spans="4:31" ht="20.100000000000001" customHeight="1" x14ac:dyDescent="0.25">
      <c r="D108" s="111" t="s">
        <v>567</v>
      </c>
      <c r="E108" s="111"/>
      <c r="F108" s="111" t="s">
        <v>536</v>
      </c>
      <c r="G108" s="111" t="s">
        <v>568</v>
      </c>
      <c r="H108" s="111" t="s">
        <v>141</v>
      </c>
      <c r="I108" s="111"/>
      <c r="J108" s="111"/>
      <c r="K108" s="111"/>
      <c r="L108" s="111" t="s">
        <v>569</v>
      </c>
      <c r="M108" s="111">
        <v>0.23200000000000001</v>
      </c>
      <c r="N108" s="111" t="s">
        <v>501</v>
      </c>
      <c r="O108" s="111">
        <v>0.17</v>
      </c>
      <c r="P108" s="111" t="s">
        <v>157</v>
      </c>
      <c r="Q108" s="111">
        <v>5.0000000000000001E-3</v>
      </c>
      <c r="R108" s="111" t="s">
        <v>558</v>
      </c>
      <c r="S108" s="111">
        <v>2.3999999999999998E-3</v>
      </c>
      <c r="T108" s="111" t="s">
        <v>503</v>
      </c>
      <c r="U108" s="111">
        <v>4.0000000000000002E-4</v>
      </c>
      <c r="V108" s="111"/>
      <c r="W108" s="111"/>
      <c r="X108" s="111"/>
      <c r="Y108" s="111"/>
      <c r="Z108" s="111"/>
      <c r="AA108" s="111"/>
      <c r="AB108" s="111"/>
      <c r="AC108" s="111"/>
      <c r="AD108" s="111"/>
      <c r="AE108" s="111"/>
    </row>
    <row r="109" spans="4:31" ht="20.100000000000001" customHeight="1" x14ac:dyDescent="0.25">
      <c r="D109" s="111" t="s">
        <v>550</v>
      </c>
      <c r="E109" s="111"/>
      <c r="F109" s="111" t="s">
        <v>536</v>
      </c>
      <c r="G109" s="111" t="s">
        <v>570</v>
      </c>
      <c r="H109" s="111" t="s">
        <v>141</v>
      </c>
      <c r="I109" s="111"/>
      <c r="J109" s="111"/>
      <c r="K109" s="111"/>
      <c r="L109" s="111" t="s">
        <v>157</v>
      </c>
      <c r="M109" s="111">
        <v>9.4E-2</v>
      </c>
      <c r="N109" s="111" t="s">
        <v>558</v>
      </c>
      <c r="O109" s="111">
        <v>0.06</v>
      </c>
      <c r="P109" s="111" t="s">
        <v>563</v>
      </c>
      <c r="Q109" s="111">
        <v>4.4999999999999998E-2</v>
      </c>
      <c r="R109" s="111" t="s">
        <v>559</v>
      </c>
      <c r="S109" s="111">
        <v>2.7E-2</v>
      </c>
      <c r="T109" s="111"/>
      <c r="U109" s="111"/>
      <c r="V109" s="111"/>
      <c r="W109" s="111"/>
      <c r="X109" s="111"/>
      <c r="Y109" s="111"/>
      <c r="Z109" s="111"/>
      <c r="AA109" s="111"/>
      <c r="AB109" s="111"/>
      <c r="AC109" s="111"/>
      <c r="AD109" s="111"/>
      <c r="AE109" s="111"/>
    </row>
    <row r="110" spans="4:31" ht="20.100000000000001" customHeight="1" x14ac:dyDescent="0.25">
      <c r="D110" s="111" t="s">
        <v>550</v>
      </c>
      <c r="E110" s="111"/>
      <c r="F110" s="111" t="s">
        <v>536</v>
      </c>
      <c r="G110" s="111" t="s">
        <v>571</v>
      </c>
      <c r="H110" s="111" t="s">
        <v>537</v>
      </c>
      <c r="I110" s="111"/>
      <c r="J110" s="111"/>
      <c r="K110" s="111"/>
      <c r="L110" s="111"/>
      <c r="M110" s="111"/>
      <c r="N110" s="111"/>
      <c r="O110" s="111"/>
      <c r="P110" s="111"/>
      <c r="Q110" s="111"/>
      <c r="R110" s="111"/>
      <c r="S110" s="111"/>
      <c r="T110" s="111"/>
      <c r="U110" s="111"/>
      <c r="V110" s="111"/>
      <c r="W110" s="111"/>
      <c r="X110" s="111"/>
      <c r="Y110" s="111"/>
      <c r="Z110" s="111"/>
      <c r="AA110" s="111"/>
      <c r="AB110" s="111"/>
      <c r="AC110" s="111"/>
      <c r="AD110" s="111"/>
      <c r="AE110" s="111"/>
    </row>
    <row r="111" spans="4:31" ht="20.100000000000001" customHeight="1" x14ac:dyDescent="0.25">
      <c r="D111" s="111" t="s">
        <v>535</v>
      </c>
      <c r="E111" s="111"/>
      <c r="F111" s="111" t="s">
        <v>536</v>
      </c>
      <c r="G111" s="111" t="s">
        <v>572</v>
      </c>
      <c r="H111" s="111" t="s">
        <v>537</v>
      </c>
      <c r="I111" s="111"/>
      <c r="J111" s="111"/>
      <c r="K111" s="111"/>
      <c r="L111" s="111"/>
      <c r="M111" s="111"/>
      <c r="N111" s="111"/>
      <c r="O111" s="111"/>
      <c r="P111" s="111"/>
      <c r="Q111" s="111"/>
      <c r="R111" s="111"/>
      <c r="S111" s="111"/>
      <c r="T111" s="111"/>
      <c r="U111" s="111"/>
      <c r="V111" s="111"/>
      <c r="W111" s="111"/>
      <c r="X111" s="111"/>
      <c r="Y111" s="111"/>
      <c r="Z111" s="111"/>
      <c r="AA111" s="111"/>
      <c r="AB111" s="111"/>
      <c r="AC111" s="111"/>
      <c r="AD111" s="111"/>
      <c r="AE111" s="111"/>
    </row>
    <row r="112" spans="4:31" ht="20.100000000000001" customHeight="1" x14ac:dyDescent="0.25">
      <c r="D112" s="111" t="s">
        <v>535</v>
      </c>
      <c r="E112" s="111" t="s">
        <v>541</v>
      </c>
      <c r="F112" s="111" t="s">
        <v>536</v>
      </c>
      <c r="G112" s="111" t="s">
        <v>573</v>
      </c>
      <c r="H112" s="111" t="s">
        <v>537</v>
      </c>
      <c r="I112" s="111">
        <v>1.2849999999999999</v>
      </c>
      <c r="J112" s="111"/>
      <c r="K112" s="111"/>
      <c r="L112" s="111" t="s">
        <v>503</v>
      </c>
      <c r="M112" s="111">
        <v>0.13500000000000001</v>
      </c>
      <c r="N112" s="111" t="s">
        <v>543</v>
      </c>
      <c r="O112" s="111">
        <v>0.04</v>
      </c>
      <c r="P112" s="111"/>
      <c r="Q112" s="111"/>
      <c r="R112" s="111"/>
      <c r="S112" s="111"/>
      <c r="T112" s="111"/>
      <c r="U112" s="111"/>
      <c r="V112" s="111"/>
      <c r="W112" s="111"/>
      <c r="X112" s="111"/>
      <c r="Y112" s="111"/>
      <c r="Z112" s="111"/>
      <c r="AA112" s="111"/>
      <c r="AB112" s="111"/>
      <c r="AC112" s="111"/>
      <c r="AD112" s="111"/>
      <c r="AE112" s="111"/>
    </row>
    <row r="113" spans="4:31" ht="20.100000000000001" customHeight="1" x14ac:dyDescent="0.25">
      <c r="D113" s="111"/>
      <c r="E113" s="111" t="s">
        <v>574</v>
      </c>
      <c r="F113" s="111" t="s">
        <v>536</v>
      </c>
      <c r="G113" s="111" t="s">
        <v>575</v>
      </c>
      <c r="H113" s="111" t="s">
        <v>141</v>
      </c>
      <c r="I113" s="111">
        <v>1</v>
      </c>
      <c r="J113" s="111"/>
      <c r="K113" s="111"/>
      <c r="L113" s="111" t="s">
        <v>496</v>
      </c>
      <c r="M113" s="111">
        <v>7.4999999999999997E-2</v>
      </c>
      <c r="N113" s="111" t="s">
        <v>498</v>
      </c>
      <c r="O113" s="111">
        <v>7.4999999999999997E-2</v>
      </c>
      <c r="P113" s="111" t="s">
        <v>156</v>
      </c>
      <c r="Q113" s="111">
        <v>0.125</v>
      </c>
      <c r="R113" s="111" t="s">
        <v>576</v>
      </c>
      <c r="S113" s="111">
        <v>6.5000000000000002E-2</v>
      </c>
      <c r="T113" s="111" t="s">
        <v>157</v>
      </c>
      <c r="U113" s="111">
        <v>0.06</v>
      </c>
      <c r="V113" s="111"/>
      <c r="W113" s="111"/>
      <c r="X113" s="111"/>
      <c r="Y113" s="111"/>
      <c r="Z113" s="111"/>
      <c r="AA113" s="111"/>
      <c r="AB113" s="111"/>
      <c r="AC113" s="111"/>
      <c r="AD113" s="111"/>
      <c r="AE113" s="111"/>
    </row>
    <row r="114" spans="4:31" ht="20.100000000000001" customHeight="1" x14ac:dyDescent="0.25">
      <c r="D114" s="111"/>
      <c r="E114" s="111"/>
      <c r="F114" s="111"/>
      <c r="G114" s="111"/>
      <c r="H114" s="111"/>
      <c r="I114" s="111"/>
      <c r="J114" s="111"/>
      <c r="K114" s="111"/>
      <c r="L114" s="111"/>
      <c r="M114" s="111"/>
      <c r="N114" s="111"/>
      <c r="O114" s="111"/>
      <c r="P114" s="111"/>
      <c r="Q114" s="111"/>
      <c r="R114" s="111"/>
      <c r="S114" s="111"/>
      <c r="T114" s="111"/>
      <c r="U114" s="111"/>
      <c r="V114" s="111"/>
      <c r="W114" s="111"/>
      <c r="X114" s="111"/>
      <c r="Y114" s="111"/>
      <c r="Z114" s="111"/>
      <c r="AA114" s="111"/>
      <c r="AB114" s="111"/>
      <c r="AC114" s="111"/>
      <c r="AD114" s="111"/>
      <c r="AE114" s="111"/>
    </row>
    <row r="115" spans="4:31" ht="20.100000000000001" customHeight="1" x14ac:dyDescent="0.25">
      <c r="D115" s="111"/>
      <c r="E115" s="111"/>
      <c r="F115" s="111"/>
      <c r="G115" s="111"/>
      <c r="H115" s="111"/>
      <c r="I115" s="111"/>
      <c r="J115" s="111"/>
      <c r="K115" s="111"/>
      <c r="L115" s="111"/>
      <c r="M115" s="111"/>
      <c r="N115" s="111"/>
      <c r="O115" s="111"/>
      <c r="P115" s="111"/>
      <c r="Q115" s="111"/>
      <c r="R115" s="111"/>
      <c r="S115" s="111"/>
      <c r="T115" s="111"/>
      <c r="U115" s="111"/>
      <c r="V115" s="111"/>
      <c r="W115" s="111"/>
      <c r="X115" s="111"/>
      <c r="Y115" s="111"/>
      <c r="Z115" s="111"/>
      <c r="AA115" s="111"/>
      <c r="AB115" s="111"/>
      <c r="AC115" s="111"/>
      <c r="AD115" s="111"/>
      <c r="AE115" s="111"/>
    </row>
    <row r="116" spans="4:31" ht="20.100000000000001" customHeight="1" x14ac:dyDescent="0.25">
      <c r="D116" s="111"/>
      <c r="E116" s="111"/>
      <c r="F116" s="111"/>
      <c r="G116" s="111"/>
      <c r="H116" s="111"/>
      <c r="I116" s="111"/>
      <c r="J116" s="111"/>
      <c r="K116" s="111"/>
      <c r="L116" s="111"/>
      <c r="M116" s="111"/>
      <c r="N116" s="111"/>
      <c r="O116" s="111"/>
      <c r="P116" s="111"/>
      <c r="Q116" s="111"/>
      <c r="R116" s="111"/>
      <c r="S116" s="111"/>
      <c r="T116" s="111"/>
      <c r="U116" s="111"/>
      <c r="V116" s="111"/>
      <c r="W116" s="111"/>
      <c r="X116" s="111"/>
      <c r="Y116" s="111"/>
      <c r="Z116" s="111"/>
      <c r="AA116" s="111"/>
      <c r="AB116" s="111"/>
      <c r="AC116" s="111"/>
      <c r="AD116" s="111"/>
      <c r="AE116" s="111"/>
    </row>
    <row r="117" spans="4:31" ht="20.100000000000001" customHeight="1" x14ac:dyDescent="0.25">
      <c r="D117" s="111"/>
      <c r="E117" s="111"/>
      <c r="F117" s="111"/>
      <c r="G117" s="111"/>
      <c r="H117" s="111"/>
      <c r="I117" s="111"/>
      <c r="J117" s="111"/>
      <c r="K117" s="111"/>
      <c r="L117" s="111"/>
      <c r="M117" s="111"/>
      <c r="N117" s="111"/>
      <c r="O117" s="111"/>
      <c r="P117" s="111"/>
      <c r="Q117" s="111"/>
      <c r="R117" s="111"/>
      <c r="S117" s="111"/>
      <c r="T117" s="111"/>
      <c r="U117" s="111"/>
      <c r="V117" s="111"/>
      <c r="W117" s="111"/>
      <c r="X117" s="111"/>
      <c r="Y117" s="111"/>
      <c r="Z117" s="111"/>
      <c r="AA117" s="111"/>
      <c r="AB117" s="111"/>
      <c r="AC117" s="111"/>
      <c r="AD117" s="111"/>
      <c r="AE117" s="111"/>
    </row>
    <row r="118" spans="4:31" ht="20.100000000000001" customHeight="1" x14ac:dyDescent="0.25">
      <c r="D118" s="111"/>
      <c r="E118" s="111"/>
      <c r="F118" s="111"/>
      <c r="G118" s="111"/>
      <c r="H118" s="111"/>
      <c r="I118" s="111"/>
      <c r="J118" s="111"/>
      <c r="K118" s="111"/>
      <c r="L118" s="111"/>
      <c r="M118" s="111"/>
      <c r="N118" s="111"/>
      <c r="O118" s="111"/>
      <c r="P118" s="111"/>
      <c r="Q118" s="111"/>
      <c r="R118" s="111"/>
      <c r="S118" s="111"/>
      <c r="T118" s="111"/>
      <c r="U118" s="111"/>
      <c r="V118" s="111"/>
      <c r="W118" s="111"/>
      <c r="X118" s="111"/>
      <c r="Y118" s="111"/>
      <c r="Z118" s="111"/>
      <c r="AA118" s="111"/>
      <c r="AB118" s="111"/>
      <c r="AC118" s="111"/>
      <c r="AD118" s="111"/>
      <c r="AE118" s="111"/>
    </row>
    <row r="119" spans="4:31" ht="20.100000000000001" customHeight="1" x14ac:dyDescent="0.25">
      <c r="D119" s="111"/>
      <c r="E119" s="111"/>
      <c r="F119" s="111"/>
      <c r="G119" s="111"/>
      <c r="H119" s="111"/>
      <c r="I119" s="111"/>
      <c r="J119" s="111"/>
      <c r="K119" s="111"/>
      <c r="L119" s="111"/>
      <c r="M119" s="111"/>
      <c r="N119" s="111"/>
      <c r="O119" s="111"/>
      <c r="P119" s="111"/>
      <c r="Q119" s="111"/>
      <c r="R119" s="111"/>
      <c r="S119" s="111"/>
      <c r="T119" s="111"/>
      <c r="U119" s="111"/>
      <c r="V119" s="111"/>
      <c r="W119" s="111"/>
      <c r="X119" s="111"/>
      <c r="Y119" s="111"/>
      <c r="Z119" s="111"/>
      <c r="AA119" s="111"/>
      <c r="AB119" s="111"/>
      <c r="AC119" s="111"/>
      <c r="AD119" s="111"/>
      <c r="AE119" s="111"/>
    </row>
    <row r="120" spans="4:31" ht="20.100000000000001" customHeight="1" x14ac:dyDescent="0.25">
      <c r="D120" s="111"/>
      <c r="E120" s="111"/>
      <c r="F120" s="111"/>
      <c r="G120" s="111"/>
      <c r="H120" s="111"/>
      <c r="I120" s="111"/>
      <c r="J120" s="111"/>
      <c r="K120" s="111"/>
      <c r="L120" s="111"/>
      <c r="M120" s="111"/>
      <c r="N120" s="111"/>
      <c r="O120" s="111"/>
      <c r="P120" s="111"/>
      <c r="Q120" s="111"/>
      <c r="R120" s="111"/>
      <c r="S120" s="111"/>
      <c r="T120" s="111"/>
      <c r="U120" s="111"/>
      <c r="V120" s="111"/>
      <c r="W120" s="111"/>
      <c r="X120" s="111"/>
      <c r="Y120" s="111"/>
      <c r="Z120" s="111"/>
      <c r="AA120" s="111"/>
      <c r="AB120" s="111"/>
      <c r="AC120" s="111"/>
      <c r="AD120" s="111"/>
      <c r="AE120" s="111"/>
    </row>
    <row r="121" spans="4:31" ht="20.100000000000001" customHeight="1" x14ac:dyDescent="0.25">
      <c r="D121" s="111"/>
      <c r="E121" s="111"/>
      <c r="F121" s="111"/>
      <c r="G121" s="111"/>
      <c r="H121" s="111"/>
      <c r="I121" s="111"/>
      <c r="J121" s="111"/>
      <c r="K121" s="111"/>
      <c r="L121" s="111"/>
      <c r="M121" s="111"/>
      <c r="N121" s="111"/>
      <c r="O121" s="111"/>
      <c r="P121" s="111"/>
      <c r="Q121" s="111"/>
      <c r="R121" s="111"/>
      <c r="S121" s="111"/>
      <c r="T121" s="111"/>
      <c r="U121" s="111"/>
      <c r="V121" s="111"/>
      <c r="W121" s="111"/>
      <c r="X121" s="111"/>
      <c r="Y121" s="111"/>
      <c r="Z121" s="111"/>
      <c r="AA121" s="111"/>
      <c r="AB121" s="111"/>
      <c r="AC121" s="111"/>
      <c r="AD121" s="111"/>
      <c r="AE121" s="111"/>
    </row>
    <row r="122" spans="4:31" ht="20.100000000000001" customHeight="1" x14ac:dyDescent="0.25">
      <c r="D122" s="111"/>
      <c r="E122" s="111"/>
      <c r="F122" s="111"/>
      <c r="G122" s="111"/>
      <c r="H122" s="111"/>
      <c r="I122" s="111"/>
      <c r="J122" s="111"/>
      <c r="K122" s="111"/>
      <c r="L122" s="111"/>
      <c r="M122" s="111"/>
      <c r="N122" s="111"/>
      <c r="O122" s="111"/>
      <c r="P122" s="111"/>
      <c r="Q122" s="111"/>
      <c r="R122" s="111"/>
      <c r="S122" s="111"/>
      <c r="T122" s="111"/>
      <c r="U122" s="111"/>
      <c r="V122" s="111"/>
      <c r="W122" s="111"/>
      <c r="X122" s="111"/>
      <c r="Y122" s="111"/>
      <c r="Z122" s="111"/>
      <c r="AA122" s="111"/>
      <c r="AB122" s="111"/>
      <c r="AC122" s="111"/>
      <c r="AD122" s="111"/>
      <c r="AE122" s="111"/>
    </row>
    <row r="123" spans="4:31" ht="20.100000000000001" customHeight="1" x14ac:dyDescent="0.25">
      <c r="D123" s="111"/>
      <c r="E123" s="111"/>
      <c r="F123" s="111"/>
      <c r="G123" s="111"/>
      <c r="H123" s="111"/>
      <c r="I123" s="111"/>
      <c r="J123" s="111"/>
      <c r="K123" s="111"/>
      <c r="L123" s="111"/>
      <c r="M123" s="111"/>
      <c r="N123" s="111"/>
      <c r="O123" s="111"/>
      <c r="P123" s="111"/>
      <c r="Q123" s="111"/>
      <c r="R123" s="111"/>
      <c r="S123" s="111"/>
      <c r="T123" s="111"/>
      <c r="U123" s="111"/>
      <c r="V123" s="111"/>
      <c r="W123" s="111"/>
      <c r="X123" s="111"/>
      <c r="Y123" s="111"/>
      <c r="Z123" s="111"/>
      <c r="AA123" s="111"/>
      <c r="AB123" s="111"/>
      <c r="AC123" s="111"/>
      <c r="AD123" s="111"/>
      <c r="AE123" s="111"/>
    </row>
    <row r="124" spans="4:31" ht="20.100000000000001" customHeight="1" x14ac:dyDescent="0.25">
      <c r="D124" s="111"/>
      <c r="E124" s="111"/>
      <c r="F124" s="111"/>
      <c r="G124" s="111"/>
      <c r="H124" s="111"/>
      <c r="I124" s="111"/>
      <c r="J124" s="111"/>
      <c r="K124" s="111"/>
      <c r="L124" s="111"/>
      <c r="M124" s="111"/>
      <c r="N124" s="111"/>
      <c r="O124" s="111"/>
      <c r="P124" s="111"/>
      <c r="Q124" s="111"/>
      <c r="R124" s="111"/>
      <c r="S124" s="111"/>
      <c r="T124" s="111"/>
      <c r="U124" s="111"/>
      <c r="V124" s="111"/>
      <c r="W124" s="111"/>
      <c r="X124" s="111"/>
      <c r="Y124" s="111"/>
      <c r="Z124" s="111"/>
      <c r="AA124" s="111"/>
      <c r="AB124" s="111"/>
      <c r="AC124" s="111"/>
      <c r="AD124" s="111"/>
      <c r="AE124" s="111"/>
    </row>
    <row r="125" spans="4:31" ht="20.100000000000001" customHeight="1" x14ac:dyDescent="0.25">
      <c r="D125" s="111"/>
      <c r="E125" s="111"/>
      <c r="F125" s="111"/>
      <c r="G125" s="111"/>
      <c r="H125" s="111"/>
      <c r="I125" s="111"/>
      <c r="J125" s="111"/>
      <c r="K125" s="111"/>
      <c r="L125" s="111"/>
      <c r="M125" s="111"/>
      <c r="N125" s="111"/>
      <c r="O125" s="111"/>
      <c r="P125" s="111"/>
      <c r="Q125" s="111"/>
      <c r="R125" s="111"/>
      <c r="S125" s="111"/>
      <c r="T125" s="111"/>
      <c r="U125" s="111"/>
      <c r="V125" s="111"/>
      <c r="W125" s="111"/>
      <c r="X125" s="111"/>
      <c r="Y125" s="111"/>
      <c r="Z125" s="111"/>
      <c r="AA125" s="111"/>
      <c r="AB125" s="111"/>
      <c r="AC125" s="111"/>
      <c r="AD125" s="111"/>
      <c r="AE125" s="111"/>
    </row>
    <row r="126" spans="4:31" ht="20.100000000000001" customHeight="1" x14ac:dyDescent="0.25">
      <c r="D126" s="111"/>
      <c r="E126" s="111"/>
      <c r="F126" s="111"/>
      <c r="G126" s="111"/>
      <c r="H126" s="111"/>
      <c r="I126" s="111"/>
      <c r="J126" s="111"/>
      <c r="K126" s="111"/>
      <c r="L126" s="111"/>
      <c r="M126" s="111"/>
      <c r="N126" s="111"/>
      <c r="O126" s="111"/>
      <c r="P126" s="111"/>
      <c r="Q126" s="111"/>
      <c r="R126" s="111"/>
      <c r="S126" s="111"/>
      <c r="T126" s="111"/>
      <c r="U126" s="111"/>
      <c r="V126" s="111"/>
      <c r="W126" s="111"/>
      <c r="X126" s="111"/>
      <c r="Y126" s="111"/>
      <c r="Z126" s="111"/>
      <c r="AA126" s="111"/>
      <c r="AB126" s="111"/>
      <c r="AC126" s="111"/>
      <c r="AD126" s="111"/>
      <c r="AE126" s="111"/>
    </row>
    <row r="127" spans="4:31" ht="20.100000000000001" customHeight="1" x14ac:dyDescent="0.25">
      <c r="D127" s="111"/>
      <c r="E127" s="111"/>
      <c r="F127" s="111"/>
      <c r="G127" s="111"/>
      <c r="H127" s="111"/>
      <c r="I127" s="111"/>
      <c r="J127" s="111"/>
      <c r="K127" s="111"/>
      <c r="L127" s="111"/>
      <c r="M127" s="111"/>
      <c r="N127" s="111"/>
      <c r="O127" s="111"/>
      <c r="P127" s="111"/>
      <c r="Q127" s="111"/>
      <c r="R127" s="111"/>
      <c r="S127" s="111"/>
      <c r="T127" s="111"/>
      <c r="U127" s="111"/>
      <c r="V127" s="111"/>
      <c r="W127" s="111"/>
      <c r="X127" s="111"/>
      <c r="Y127" s="111"/>
      <c r="Z127" s="111"/>
      <c r="AA127" s="111"/>
      <c r="AB127" s="111"/>
      <c r="AC127" s="111"/>
      <c r="AD127" s="111"/>
      <c r="AE127" s="111"/>
    </row>
    <row r="128" spans="4:31" ht="20.100000000000001" customHeight="1" x14ac:dyDescent="0.25">
      <c r="D128" s="111"/>
      <c r="E128" s="111"/>
      <c r="F128" s="111"/>
      <c r="G128" s="111"/>
      <c r="H128" s="111"/>
      <c r="I128" s="111"/>
      <c r="J128" s="111"/>
      <c r="K128" s="111"/>
      <c r="L128" s="111"/>
      <c r="M128" s="111"/>
      <c r="N128" s="111"/>
      <c r="O128" s="111"/>
      <c r="P128" s="111"/>
      <c r="Q128" s="111"/>
      <c r="R128" s="111"/>
      <c r="S128" s="111"/>
      <c r="T128" s="111"/>
      <c r="U128" s="111"/>
      <c r="V128" s="111"/>
      <c r="W128" s="111"/>
      <c r="X128" s="111"/>
      <c r="Y128" s="111"/>
      <c r="Z128" s="111"/>
      <c r="AA128" s="111"/>
      <c r="AB128" s="111"/>
      <c r="AC128" s="111"/>
      <c r="AD128" s="111"/>
      <c r="AE128" s="111"/>
    </row>
    <row r="129" spans="4:31" ht="20.100000000000001" customHeight="1" x14ac:dyDescent="0.25">
      <c r="D129" s="111"/>
      <c r="E129" s="111"/>
      <c r="F129" s="111"/>
      <c r="G129" s="111"/>
      <c r="H129" s="111"/>
      <c r="I129" s="111"/>
      <c r="J129" s="111"/>
      <c r="K129" s="111"/>
      <c r="L129" s="111"/>
      <c r="M129" s="111"/>
      <c r="N129" s="111"/>
      <c r="O129" s="111"/>
      <c r="P129" s="111"/>
      <c r="Q129" s="111"/>
      <c r="R129" s="111"/>
      <c r="S129" s="111"/>
      <c r="T129" s="111"/>
      <c r="U129" s="111"/>
      <c r="V129" s="111"/>
      <c r="W129" s="111"/>
      <c r="X129" s="111"/>
      <c r="Y129" s="111"/>
      <c r="Z129" s="111"/>
      <c r="AA129" s="111"/>
      <c r="AB129" s="111"/>
      <c r="AC129" s="111"/>
      <c r="AD129" s="111"/>
      <c r="AE129" s="111"/>
    </row>
    <row r="130" spans="4:31" ht="20.100000000000001" customHeight="1" x14ac:dyDescent="0.25">
      <c r="D130" s="111"/>
      <c r="E130" s="111"/>
      <c r="F130" s="111"/>
      <c r="G130" s="111"/>
      <c r="H130" s="111"/>
      <c r="I130" s="111"/>
      <c r="J130" s="111"/>
      <c r="K130" s="111"/>
      <c r="L130" s="111"/>
      <c r="M130" s="111"/>
      <c r="N130" s="111"/>
      <c r="O130" s="111"/>
      <c r="P130" s="111"/>
      <c r="Q130" s="111"/>
      <c r="R130" s="111"/>
      <c r="S130" s="111"/>
      <c r="T130" s="111"/>
      <c r="U130" s="111"/>
      <c r="V130" s="111"/>
      <c r="W130" s="111"/>
      <c r="X130" s="111"/>
      <c r="Y130" s="111"/>
      <c r="Z130" s="111"/>
      <c r="AA130" s="111"/>
      <c r="AB130" s="111"/>
      <c r="AC130" s="111"/>
      <c r="AD130" s="111"/>
      <c r="AE130" s="111"/>
    </row>
    <row r="131" spans="4:31" ht="20.100000000000001" customHeight="1" x14ac:dyDescent="0.25">
      <c r="D131" s="111"/>
      <c r="E131" s="111"/>
      <c r="F131" s="111"/>
      <c r="G131" s="111"/>
      <c r="H131" s="111"/>
      <c r="I131" s="111"/>
      <c r="J131" s="111"/>
      <c r="K131" s="111"/>
      <c r="L131" s="111"/>
      <c r="M131" s="111"/>
      <c r="N131" s="111"/>
      <c r="O131" s="111"/>
      <c r="P131" s="111"/>
      <c r="Q131" s="111"/>
      <c r="R131" s="111"/>
      <c r="S131" s="111"/>
      <c r="T131" s="111"/>
      <c r="U131" s="111"/>
      <c r="V131" s="111"/>
      <c r="W131" s="111"/>
      <c r="X131" s="111"/>
      <c r="Y131" s="111"/>
      <c r="Z131" s="111"/>
      <c r="AA131" s="111"/>
      <c r="AB131" s="111"/>
      <c r="AC131" s="111"/>
      <c r="AD131" s="111"/>
      <c r="AE131" s="111"/>
    </row>
    <row r="132" spans="4:31" ht="20.100000000000001" customHeight="1" x14ac:dyDescent="0.25">
      <c r="D132" s="111"/>
      <c r="E132" s="111"/>
      <c r="F132" s="111"/>
      <c r="G132" s="111"/>
      <c r="H132" s="111"/>
      <c r="I132" s="111"/>
      <c r="J132" s="111"/>
      <c r="K132" s="111"/>
      <c r="L132" s="111"/>
      <c r="M132" s="111"/>
      <c r="N132" s="111"/>
      <c r="O132" s="111"/>
      <c r="P132" s="111"/>
      <c r="Q132" s="111"/>
      <c r="R132" s="111"/>
      <c r="S132" s="111"/>
      <c r="T132" s="111"/>
      <c r="U132" s="111"/>
      <c r="V132" s="111"/>
      <c r="W132" s="111"/>
      <c r="X132" s="111"/>
      <c r="Y132" s="111"/>
      <c r="Z132" s="111"/>
      <c r="AA132" s="111"/>
      <c r="AB132" s="111"/>
      <c r="AC132" s="111"/>
      <c r="AD132" s="111"/>
      <c r="AE132" s="111"/>
    </row>
    <row r="133" spans="4:31" ht="20.100000000000001" customHeight="1" x14ac:dyDescent="0.25">
      <c r="D133" s="111"/>
      <c r="E133" s="111"/>
      <c r="F133" s="111"/>
      <c r="G133" s="111"/>
      <c r="H133" s="111"/>
      <c r="I133" s="111"/>
      <c r="J133" s="111"/>
      <c r="K133" s="111"/>
      <c r="L133" s="111"/>
      <c r="M133" s="111"/>
      <c r="N133" s="111"/>
      <c r="O133" s="111"/>
      <c r="P133" s="111"/>
      <c r="Q133" s="111"/>
      <c r="R133" s="111"/>
      <c r="S133" s="111"/>
      <c r="T133" s="111"/>
      <c r="U133" s="111"/>
      <c r="V133" s="111"/>
      <c r="W133" s="111"/>
      <c r="X133" s="111"/>
      <c r="Y133" s="111"/>
      <c r="Z133" s="111"/>
      <c r="AA133" s="111"/>
      <c r="AB133" s="111"/>
      <c r="AC133" s="111"/>
      <c r="AD133" s="111"/>
      <c r="AE133" s="111"/>
    </row>
    <row r="134" spans="4:31" ht="20.100000000000001" customHeight="1" x14ac:dyDescent="0.25">
      <c r="D134" s="111"/>
      <c r="E134" s="111"/>
      <c r="F134" s="111"/>
      <c r="G134" s="111"/>
      <c r="H134" s="111"/>
      <c r="I134" s="111"/>
      <c r="J134" s="111"/>
      <c r="K134" s="111"/>
      <c r="L134" s="111"/>
      <c r="M134" s="111"/>
      <c r="N134" s="111"/>
      <c r="O134" s="111"/>
      <c r="P134" s="111"/>
      <c r="Q134" s="111"/>
      <c r="R134" s="111"/>
      <c r="S134" s="111"/>
      <c r="T134" s="111"/>
      <c r="U134" s="111"/>
      <c r="V134" s="111"/>
      <c r="W134" s="111"/>
      <c r="X134" s="111"/>
      <c r="Y134" s="111"/>
      <c r="Z134" s="111"/>
      <c r="AA134" s="111"/>
      <c r="AB134" s="111"/>
      <c r="AC134" s="111"/>
      <c r="AD134" s="111"/>
      <c r="AE134" s="111"/>
    </row>
    <row r="135" spans="4:31" ht="20.100000000000001" customHeight="1" x14ac:dyDescent="0.25">
      <c r="D135" s="111"/>
      <c r="E135" s="111"/>
      <c r="F135" s="111"/>
      <c r="G135" s="111"/>
      <c r="H135" s="111"/>
      <c r="I135" s="111"/>
      <c r="J135" s="111"/>
      <c r="K135" s="111"/>
      <c r="L135" s="111"/>
      <c r="M135" s="111"/>
      <c r="N135" s="111"/>
      <c r="O135" s="111"/>
      <c r="P135" s="111"/>
      <c r="Q135" s="111"/>
      <c r="R135" s="111"/>
      <c r="S135" s="111"/>
      <c r="T135" s="111"/>
      <c r="U135" s="111"/>
      <c r="V135" s="111"/>
      <c r="W135" s="111"/>
      <c r="X135" s="111"/>
      <c r="Y135" s="111"/>
      <c r="Z135" s="111"/>
      <c r="AA135" s="111"/>
      <c r="AB135" s="111"/>
      <c r="AC135" s="111"/>
      <c r="AD135" s="111"/>
      <c r="AE135" s="111"/>
    </row>
    <row r="136" spans="4:31" ht="20.100000000000001" customHeight="1" x14ac:dyDescent="0.25">
      <c r="D136" s="111"/>
      <c r="E136" s="111"/>
      <c r="F136" s="111"/>
      <c r="G136" s="111"/>
      <c r="H136" s="111"/>
      <c r="I136" s="111"/>
      <c r="J136" s="111"/>
      <c r="K136" s="111"/>
      <c r="L136" s="111"/>
      <c r="M136" s="111"/>
      <c r="N136" s="111"/>
      <c r="O136" s="111"/>
      <c r="P136" s="111"/>
      <c r="Q136" s="111"/>
      <c r="R136" s="111"/>
      <c r="S136" s="111"/>
      <c r="T136" s="111"/>
      <c r="U136" s="111"/>
      <c r="V136" s="111"/>
      <c r="W136" s="111"/>
      <c r="X136" s="111"/>
      <c r="Y136" s="111"/>
      <c r="Z136" s="111"/>
      <c r="AA136" s="111"/>
      <c r="AB136" s="111"/>
      <c r="AC136" s="111"/>
      <c r="AD136" s="111"/>
      <c r="AE136" s="111"/>
    </row>
    <row r="137" spans="4:31" ht="20.100000000000001" customHeight="1" x14ac:dyDescent="0.25">
      <c r="D137" s="111"/>
      <c r="E137" s="111"/>
      <c r="F137" s="111"/>
      <c r="G137" s="111"/>
      <c r="H137" s="111"/>
      <c r="I137" s="111"/>
      <c r="J137" s="111"/>
      <c r="K137" s="111"/>
      <c r="L137" s="111"/>
      <c r="M137" s="111"/>
      <c r="N137" s="111"/>
      <c r="O137" s="111"/>
      <c r="P137" s="111"/>
      <c r="Q137" s="111"/>
      <c r="R137" s="111"/>
      <c r="S137" s="111"/>
      <c r="T137" s="111"/>
      <c r="U137" s="111"/>
      <c r="V137" s="111"/>
      <c r="W137" s="111"/>
      <c r="X137" s="111"/>
      <c r="Y137" s="111"/>
      <c r="Z137" s="111"/>
      <c r="AA137" s="111"/>
      <c r="AB137" s="111"/>
      <c r="AC137" s="111"/>
      <c r="AD137" s="111"/>
      <c r="AE137" s="111"/>
    </row>
    <row r="138" spans="4:31" ht="20.100000000000001" customHeight="1" x14ac:dyDescent="0.25">
      <c r="D138" s="111"/>
      <c r="E138" s="111"/>
      <c r="F138" s="111"/>
      <c r="G138" s="111"/>
      <c r="H138" s="111"/>
      <c r="I138" s="111"/>
      <c r="J138" s="111"/>
      <c r="K138" s="111"/>
      <c r="L138" s="111"/>
      <c r="M138" s="111"/>
      <c r="N138" s="111"/>
      <c r="O138" s="111"/>
      <c r="P138" s="111"/>
      <c r="Q138" s="111"/>
      <c r="R138" s="111"/>
      <c r="S138" s="111"/>
      <c r="T138" s="111"/>
      <c r="U138" s="111"/>
      <c r="V138" s="111"/>
      <c r="W138" s="111"/>
      <c r="X138" s="111"/>
      <c r="Y138" s="111"/>
      <c r="Z138" s="111"/>
      <c r="AA138" s="111"/>
      <c r="AB138" s="111"/>
      <c r="AC138" s="111"/>
      <c r="AD138" s="111"/>
      <c r="AE138" s="111"/>
    </row>
    <row r="139" spans="4:31" ht="20.100000000000001" customHeight="1" x14ac:dyDescent="0.25">
      <c r="D139" s="111"/>
      <c r="E139" s="111"/>
      <c r="F139" s="111"/>
      <c r="G139" s="111"/>
      <c r="H139" s="111"/>
      <c r="I139" s="111"/>
      <c r="J139" s="111"/>
      <c r="K139" s="111"/>
      <c r="L139" s="111"/>
      <c r="M139" s="111"/>
      <c r="N139" s="111"/>
      <c r="O139" s="111"/>
      <c r="P139" s="111"/>
      <c r="Q139" s="111"/>
      <c r="R139" s="111"/>
      <c r="S139" s="111"/>
      <c r="T139" s="111"/>
      <c r="U139" s="111"/>
      <c r="V139" s="111"/>
      <c r="W139" s="111"/>
      <c r="X139" s="111"/>
      <c r="Y139" s="111"/>
      <c r="Z139" s="111"/>
      <c r="AA139" s="111"/>
      <c r="AB139" s="111"/>
      <c r="AC139" s="111"/>
      <c r="AD139" s="111"/>
      <c r="AE139" s="111"/>
    </row>
    <row r="140" spans="4:31" ht="20.100000000000001" customHeight="1" x14ac:dyDescent="0.25">
      <c r="D140" s="111"/>
      <c r="E140" s="111"/>
      <c r="F140" s="111"/>
      <c r="G140" s="111"/>
      <c r="H140" s="111"/>
      <c r="I140" s="111"/>
      <c r="J140" s="111"/>
      <c r="K140" s="111"/>
      <c r="L140" s="111"/>
      <c r="M140" s="111"/>
      <c r="N140" s="111"/>
      <c r="O140" s="111"/>
      <c r="P140" s="111"/>
      <c r="Q140" s="111"/>
      <c r="R140" s="111"/>
      <c r="S140" s="111"/>
      <c r="T140" s="111"/>
      <c r="U140" s="111"/>
      <c r="V140" s="111"/>
      <c r="W140" s="111"/>
      <c r="X140" s="111"/>
      <c r="Y140" s="111"/>
      <c r="Z140" s="111"/>
      <c r="AA140" s="111"/>
      <c r="AB140" s="111"/>
      <c r="AC140" s="111"/>
      <c r="AD140" s="111"/>
      <c r="AE140" s="111"/>
    </row>
    <row r="141" spans="4:31" ht="20.100000000000001" customHeight="1" x14ac:dyDescent="0.25">
      <c r="D141" s="111"/>
      <c r="E141" s="111"/>
      <c r="F141" s="111"/>
      <c r="G141" s="111"/>
      <c r="H141" s="111"/>
      <c r="I141" s="111"/>
      <c r="J141" s="111"/>
      <c r="K141" s="111"/>
      <c r="L141" s="111"/>
      <c r="M141" s="111"/>
      <c r="N141" s="111"/>
      <c r="O141" s="111"/>
      <c r="P141" s="111"/>
      <c r="Q141" s="111"/>
      <c r="R141" s="111"/>
      <c r="S141" s="111"/>
      <c r="T141" s="111"/>
      <c r="U141" s="111"/>
      <c r="V141" s="111"/>
      <c r="W141" s="111"/>
      <c r="X141" s="111"/>
      <c r="Y141" s="111"/>
      <c r="Z141" s="111"/>
      <c r="AA141" s="111"/>
      <c r="AB141" s="111"/>
      <c r="AC141" s="111"/>
      <c r="AD141" s="111"/>
      <c r="AE141" s="111"/>
    </row>
    <row r="142" spans="4:31" ht="20.100000000000001" customHeight="1" x14ac:dyDescent="0.25">
      <c r="D142" s="111"/>
      <c r="E142" s="111"/>
      <c r="F142" s="111"/>
      <c r="G142" s="111"/>
      <c r="H142" s="111"/>
      <c r="I142" s="111"/>
      <c r="J142" s="111"/>
      <c r="K142" s="111"/>
      <c r="L142" s="111"/>
      <c r="M142" s="111"/>
      <c r="N142" s="111"/>
      <c r="O142" s="111"/>
      <c r="P142" s="111"/>
      <c r="Q142" s="111"/>
      <c r="R142" s="111"/>
      <c r="S142" s="111"/>
      <c r="T142" s="111"/>
      <c r="U142" s="111"/>
      <c r="V142" s="111"/>
      <c r="W142" s="111"/>
      <c r="X142" s="111"/>
      <c r="Y142" s="111"/>
      <c r="Z142" s="111"/>
      <c r="AA142" s="111"/>
      <c r="AB142" s="111"/>
      <c r="AC142" s="111"/>
      <c r="AD142" s="111"/>
      <c r="AE142" s="111"/>
    </row>
    <row r="143" spans="4:31" ht="20.100000000000001" customHeight="1" x14ac:dyDescent="0.25">
      <c r="D143" s="111"/>
      <c r="E143" s="111"/>
      <c r="F143" s="111"/>
      <c r="G143" s="111"/>
      <c r="H143" s="111"/>
      <c r="I143" s="111"/>
      <c r="J143" s="111"/>
      <c r="K143" s="111"/>
      <c r="L143" s="111"/>
      <c r="M143" s="111"/>
      <c r="N143" s="111"/>
      <c r="O143" s="111"/>
      <c r="P143" s="111"/>
      <c r="Q143" s="111"/>
      <c r="R143" s="111"/>
      <c r="S143" s="111"/>
      <c r="T143" s="111"/>
      <c r="U143" s="111"/>
      <c r="V143" s="111"/>
      <c r="W143" s="111"/>
      <c r="X143" s="111"/>
      <c r="Y143" s="111"/>
      <c r="Z143" s="111"/>
      <c r="AA143" s="111"/>
      <c r="AB143" s="111"/>
      <c r="AC143" s="111"/>
      <c r="AD143" s="111"/>
      <c r="AE143" s="111"/>
    </row>
    <row r="144" spans="4:31" ht="20.100000000000001" customHeight="1" x14ac:dyDescent="0.25">
      <c r="D144" s="111"/>
      <c r="E144" s="111"/>
      <c r="F144" s="111"/>
      <c r="G144" s="111"/>
      <c r="H144" s="111"/>
      <c r="I144" s="111"/>
      <c r="J144" s="111"/>
      <c r="K144" s="111"/>
      <c r="L144" s="111"/>
      <c r="M144" s="111"/>
      <c r="N144" s="111"/>
      <c r="O144" s="111"/>
      <c r="P144" s="111"/>
      <c r="Q144" s="111"/>
      <c r="R144" s="111"/>
      <c r="S144" s="111"/>
      <c r="T144" s="111"/>
      <c r="U144" s="111"/>
      <c r="V144" s="111"/>
      <c r="W144" s="111"/>
      <c r="X144" s="111"/>
      <c r="Y144" s="111"/>
      <c r="Z144" s="111"/>
      <c r="AA144" s="111"/>
      <c r="AB144" s="111"/>
      <c r="AC144" s="111"/>
      <c r="AD144" s="111"/>
      <c r="AE144" s="111"/>
    </row>
    <row r="145" spans="4:31" ht="20.100000000000001" customHeight="1" x14ac:dyDescent="0.25">
      <c r="D145" s="111"/>
      <c r="E145" s="111"/>
      <c r="F145" s="111"/>
      <c r="G145" s="111"/>
      <c r="H145" s="111"/>
      <c r="I145" s="111"/>
      <c r="J145" s="111"/>
      <c r="K145" s="111"/>
      <c r="L145" s="111"/>
      <c r="M145" s="111"/>
      <c r="N145" s="111"/>
      <c r="O145" s="111"/>
      <c r="P145" s="111"/>
      <c r="Q145" s="111"/>
      <c r="R145" s="111"/>
      <c r="S145" s="111"/>
      <c r="T145" s="111"/>
      <c r="U145" s="111"/>
      <c r="V145" s="111"/>
      <c r="W145" s="111"/>
      <c r="X145" s="111"/>
      <c r="Y145" s="111"/>
      <c r="Z145" s="111"/>
      <c r="AA145" s="111"/>
      <c r="AB145" s="111"/>
      <c r="AC145" s="111"/>
      <c r="AD145" s="111"/>
      <c r="AE145" s="111"/>
    </row>
    <row r="146" spans="4:31" ht="20.100000000000001" customHeight="1" x14ac:dyDescent="0.25">
      <c r="D146" s="111"/>
      <c r="E146" s="111"/>
      <c r="F146" s="111"/>
      <c r="G146" s="111"/>
      <c r="H146" s="111"/>
      <c r="I146" s="111"/>
      <c r="J146" s="111"/>
      <c r="K146" s="111"/>
      <c r="L146" s="111"/>
      <c r="M146" s="111"/>
      <c r="N146" s="111"/>
      <c r="O146" s="111"/>
      <c r="P146" s="111"/>
      <c r="Q146" s="111"/>
      <c r="R146" s="111"/>
      <c r="S146" s="111"/>
      <c r="T146" s="111"/>
      <c r="U146" s="111"/>
      <c r="V146" s="111"/>
      <c r="W146" s="111"/>
      <c r="X146" s="111"/>
      <c r="Y146" s="111"/>
      <c r="Z146" s="111"/>
      <c r="AA146" s="111"/>
      <c r="AB146" s="111"/>
      <c r="AC146" s="111"/>
      <c r="AD146" s="111"/>
      <c r="AE146" s="111"/>
    </row>
    <row r="147" spans="4:31" ht="20.100000000000001" customHeight="1" x14ac:dyDescent="0.25">
      <c r="D147" s="111"/>
      <c r="E147" s="111"/>
      <c r="F147" s="111"/>
      <c r="G147" s="111"/>
      <c r="H147" s="111"/>
      <c r="I147" s="111"/>
      <c r="J147" s="111"/>
      <c r="K147" s="111"/>
      <c r="L147" s="111"/>
      <c r="M147" s="111"/>
      <c r="N147" s="111"/>
      <c r="O147" s="111"/>
      <c r="P147" s="111"/>
      <c r="Q147" s="111"/>
      <c r="R147" s="111"/>
      <c r="S147" s="111"/>
      <c r="T147" s="111"/>
      <c r="U147" s="111"/>
      <c r="V147" s="111"/>
      <c r="W147" s="111"/>
      <c r="X147" s="111"/>
      <c r="Y147" s="111"/>
      <c r="Z147" s="111"/>
      <c r="AA147" s="111"/>
      <c r="AB147" s="111"/>
      <c r="AC147" s="111"/>
      <c r="AD147" s="111"/>
      <c r="AE147" s="111"/>
    </row>
    <row r="148" spans="4:31" ht="20.100000000000001" customHeight="1" x14ac:dyDescent="0.25">
      <c r="D148" s="111"/>
      <c r="E148" s="111"/>
      <c r="F148" s="111"/>
      <c r="G148" s="111"/>
      <c r="H148" s="111"/>
      <c r="I148" s="111"/>
      <c r="J148" s="111"/>
      <c r="K148" s="111"/>
      <c r="L148" s="111"/>
      <c r="M148" s="111"/>
      <c r="N148" s="111"/>
      <c r="O148" s="111"/>
      <c r="P148" s="111"/>
      <c r="Q148" s="111"/>
      <c r="R148" s="111"/>
      <c r="S148" s="111"/>
      <c r="T148" s="111"/>
      <c r="U148" s="111"/>
      <c r="V148" s="111"/>
      <c r="W148" s="111"/>
      <c r="X148" s="111"/>
      <c r="Y148" s="111"/>
      <c r="Z148" s="111"/>
      <c r="AA148" s="111"/>
      <c r="AB148" s="111"/>
      <c r="AC148" s="111"/>
      <c r="AD148" s="111"/>
      <c r="AE148" s="111"/>
    </row>
    <row r="149" spans="4:31" ht="20.100000000000001" customHeight="1" x14ac:dyDescent="0.25">
      <c r="D149" s="111"/>
      <c r="E149" s="111"/>
      <c r="F149" s="111"/>
      <c r="G149" s="111"/>
      <c r="H149" s="111"/>
      <c r="I149" s="111"/>
      <c r="J149" s="111"/>
      <c r="K149" s="111"/>
      <c r="L149" s="111"/>
      <c r="M149" s="111"/>
      <c r="N149" s="111"/>
      <c r="O149" s="111"/>
      <c r="P149" s="111"/>
      <c r="Q149" s="111"/>
      <c r="R149" s="111"/>
      <c r="S149" s="111"/>
      <c r="T149" s="111"/>
      <c r="U149" s="111"/>
      <c r="V149" s="111"/>
      <c r="W149" s="111"/>
      <c r="X149" s="111"/>
      <c r="Y149" s="111"/>
      <c r="Z149" s="111"/>
      <c r="AA149" s="111"/>
      <c r="AB149" s="111"/>
      <c r="AC149" s="111"/>
      <c r="AD149" s="111"/>
      <c r="AE149" s="111"/>
    </row>
    <row r="150" spans="4:31" ht="20.100000000000001" customHeight="1" x14ac:dyDescent="0.25">
      <c r="D150" s="111"/>
      <c r="E150" s="111"/>
      <c r="F150" s="111"/>
      <c r="G150" s="111"/>
      <c r="H150" s="111"/>
      <c r="I150" s="111"/>
      <c r="J150" s="111"/>
      <c r="K150" s="111"/>
      <c r="L150" s="111"/>
      <c r="M150" s="111"/>
      <c r="N150" s="111"/>
      <c r="O150" s="111"/>
      <c r="P150" s="111"/>
      <c r="Q150" s="111"/>
      <c r="R150" s="111"/>
      <c r="S150" s="111"/>
      <c r="T150" s="111"/>
      <c r="U150" s="111"/>
      <c r="V150" s="111"/>
      <c r="W150" s="111"/>
      <c r="X150" s="111"/>
      <c r="Y150" s="111"/>
      <c r="Z150" s="111"/>
      <c r="AA150" s="111"/>
      <c r="AB150" s="111"/>
      <c r="AC150" s="111"/>
      <c r="AD150" s="111"/>
      <c r="AE150" s="111"/>
    </row>
    <row r="151" spans="4:31" ht="20.100000000000001" customHeight="1" x14ac:dyDescent="0.25">
      <c r="D151" s="111"/>
      <c r="E151" s="111"/>
      <c r="F151" s="111"/>
      <c r="G151" s="111"/>
      <c r="H151" s="111"/>
      <c r="I151" s="111"/>
      <c r="J151" s="111"/>
      <c r="K151" s="111"/>
      <c r="L151" s="111"/>
      <c r="M151" s="111"/>
      <c r="N151" s="111"/>
      <c r="O151" s="111"/>
      <c r="P151" s="111"/>
      <c r="Q151" s="111"/>
      <c r="R151" s="111"/>
      <c r="S151" s="111"/>
      <c r="T151" s="111"/>
      <c r="U151" s="111"/>
      <c r="V151" s="111"/>
      <c r="W151" s="111"/>
      <c r="X151" s="111"/>
      <c r="Y151" s="111"/>
      <c r="Z151" s="111"/>
      <c r="AA151" s="111"/>
      <c r="AB151" s="111"/>
      <c r="AC151" s="111"/>
      <c r="AD151" s="111"/>
      <c r="AE151" s="111"/>
    </row>
    <row r="152" spans="4:31" ht="20.100000000000001" customHeight="1" x14ac:dyDescent="0.25">
      <c r="D152" s="111"/>
      <c r="E152" s="111"/>
      <c r="F152" s="111"/>
      <c r="G152" s="111"/>
      <c r="H152" s="111"/>
      <c r="I152" s="111"/>
      <c r="J152" s="111"/>
      <c r="K152" s="111"/>
      <c r="L152" s="111"/>
      <c r="M152" s="111"/>
      <c r="N152" s="111"/>
      <c r="O152" s="111"/>
      <c r="P152" s="111"/>
      <c r="Q152" s="111"/>
      <c r="R152" s="111"/>
      <c r="S152" s="111"/>
      <c r="T152" s="111"/>
      <c r="U152" s="111"/>
      <c r="V152" s="111"/>
      <c r="W152" s="111"/>
      <c r="X152" s="111"/>
      <c r="Y152" s="111"/>
      <c r="Z152" s="111"/>
      <c r="AA152" s="111"/>
      <c r="AB152" s="111"/>
      <c r="AC152" s="111"/>
      <c r="AD152" s="111"/>
      <c r="AE152" s="111"/>
    </row>
    <row r="153" spans="4:31" ht="20.100000000000001" customHeight="1" x14ac:dyDescent="0.25">
      <c r="D153" s="111"/>
      <c r="E153" s="111"/>
      <c r="F153" s="111"/>
      <c r="G153" s="111"/>
      <c r="H153" s="111"/>
      <c r="I153" s="111"/>
      <c r="J153" s="111"/>
      <c r="K153" s="111"/>
      <c r="L153" s="111"/>
      <c r="M153" s="111"/>
      <c r="N153" s="111"/>
      <c r="O153" s="111"/>
      <c r="P153" s="111"/>
      <c r="Q153" s="111"/>
      <c r="R153" s="111"/>
      <c r="S153" s="111"/>
      <c r="T153" s="111"/>
      <c r="U153" s="111"/>
      <c r="V153" s="111"/>
      <c r="W153" s="111"/>
      <c r="X153" s="111"/>
      <c r="Y153" s="111"/>
      <c r="Z153" s="111"/>
      <c r="AA153" s="111"/>
      <c r="AB153" s="111"/>
      <c r="AC153" s="111"/>
      <c r="AD153" s="111"/>
      <c r="AE153" s="111"/>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3" type="noConversion"/>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E6C86-3575-4401-8297-289E0384C5A2}">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69</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
        <v>577</v>
      </c>
      <c r="BM5" s="3"/>
    </row>
    <row r="6" spans="1:65" ht="20.100000000000001" customHeight="1" x14ac:dyDescent="0.25">
      <c r="A6"/>
      <c r="D6" s="37" t="s">
        <v>17</v>
      </c>
      <c r="E6" s="37" t="s">
        <v>18</v>
      </c>
      <c r="F6" s="37" t="s">
        <v>19</v>
      </c>
    </row>
    <row r="7" spans="1:65" ht="20.100000000000001" customHeight="1" x14ac:dyDescent="0.25">
      <c r="A7"/>
      <c r="D7" s="37" t="s">
        <v>578</v>
      </c>
      <c r="E7" s="37" t="s">
        <v>578</v>
      </c>
      <c r="F7" s="37" t="s">
        <v>579</v>
      </c>
    </row>
    <row r="8" spans="1:65" ht="20.100000000000001" customHeight="1" x14ac:dyDescent="0.25">
      <c r="A8"/>
      <c r="D8" s="37" t="s">
        <v>580</v>
      </c>
      <c r="E8" s="37" t="s">
        <v>581</v>
      </c>
      <c r="F8" s="37" t="s">
        <v>581</v>
      </c>
    </row>
    <row r="9" spans="1:65" ht="20.100000000000001" customHeight="1" x14ac:dyDescent="0.25">
      <c r="A9"/>
      <c r="D9" s="37" t="s">
        <v>582</v>
      </c>
      <c r="E9" s="37" t="s">
        <v>582</v>
      </c>
      <c r="F9" s="37" t="s">
        <v>583</v>
      </c>
    </row>
    <row r="10" spans="1:65" ht="20.100000000000001" customHeight="1" x14ac:dyDescent="0.25">
      <c r="A10"/>
      <c r="D10" s="37" t="s">
        <v>584</v>
      </c>
      <c r="E10" s="37" t="s">
        <v>584</v>
      </c>
      <c r="F10" s="37" t="s">
        <v>585</v>
      </c>
    </row>
    <row r="11" spans="1:65" ht="20.100000000000001" customHeight="1" x14ac:dyDescent="0.25">
      <c r="A11"/>
      <c r="D11" s="37" t="s">
        <v>586</v>
      </c>
      <c r="E11" s="37" t="s">
        <v>586</v>
      </c>
      <c r="F11" s="37" t="s">
        <v>587</v>
      </c>
      <c r="BM11" s="3"/>
    </row>
    <row r="12" spans="1:65" ht="20.100000000000001" customHeight="1" x14ac:dyDescent="0.25">
      <c r="A12"/>
      <c r="D12" s="37" t="s">
        <v>99</v>
      </c>
      <c r="E12" s="37" t="s">
        <v>99</v>
      </c>
      <c r="F12" s="37" t="s">
        <v>588</v>
      </c>
      <c r="BM12" s="3"/>
    </row>
    <row r="13" spans="1:65" ht="20.100000000000001" customHeight="1" x14ac:dyDescent="0.25">
      <c r="A13"/>
      <c r="D13" s="37" t="s">
        <v>589</v>
      </c>
      <c r="E13" s="37" t="s">
        <v>589</v>
      </c>
      <c r="F13" s="37" t="s">
        <v>590</v>
      </c>
    </row>
    <row r="14" spans="1:65" ht="20.100000000000001" customHeight="1" x14ac:dyDescent="0.25">
      <c r="A14"/>
      <c r="D14" s="37" t="s">
        <v>591</v>
      </c>
      <c r="E14" s="37" t="s">
        <v>591</v>
      </c>
      <c r="F14" s="37" t="s">
        <v>592</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
        <v>593</v>
      </c>
    </row>
    <row r="19" spans="1:4" ht="20.100000000000001" customHeight="1" x14ac:dyDescent="0.25">
      <c r="A19"/>
      <c r="D19" s="5" t="s">
        <v>594</v>
      </c>
    </row>
    <row r="20" spans="1:4" ht="20.100000000000001" customHeight="1" x14ac:dyDescent="0.25">
      <c r="A20"/>
      <c r="D20" s="37" t="s">
        <v>20</v>
      </c>
    </row>
    <row r="21" spans="1:4" ht="20.100000000000001" customHeight="1" x14ac:dyDescent="0.25">
      <c r="A21"/>
      <c r="D21" s="37" t="s">
        <v>595</v>
      </c>
    </row>
    <row r="22" spans="1:4" ht="20.100000000000001" customHeight="1" x14ac:dyDescent="0.25">
      <c r="A22"/>
      <c r="D22" s="37" t="s">
        <v>596</v>
      </c>
    </row>
    <row r="23" spans="1:4" ht="20.100000000000001" customHeight="1" x14ac:dyDescent="0.25">
      <c r="A23"/>
      <c r="D23" s="37" t="s">
        <v>597</v>
      </c>
    </row>
    <row r="24" spans="1:4" ht="20.100000000000001" customHeight="1" x14ac:dyDescent="0.25">
      <c r="A24"/>
      <c r="D24" s="37" t="s">
        <v>598</v>
      </c>
    </row>
    <row r="25" spans="1:4" ht="20.100000000000001" customHeight="1" x14ac:dyDescent="0.25">
      <c r="A25"/>
      <c r="D25" s="37" t="s">
        <v>599</v>
      </c>
    </row>
    <row r="26" spans="1:4" ht="20.100000000000001" customHeight="1" x14ac:dyDescent="0.25">
      <c r="A26"/>
      <c r="D26" s="37" t="s">
        <v>600</v>
      </c>
    </row>
    <row r="27" spans="1:4" ht="20.100000000000001" customHeight="1" x14ac:dyDescent="0.25">
      <c r="A27"/>
      <c r="D27" s="37" t="s">
        <v>601</v>
      </c>
    </row>
    <row r="28" spans="1:4" ht="20.100000000000001" customHeight="1" x14ac:dyDescent="0.25">
      <c r="A28"/>
      <c r="D28" s="37" t="s">
        <v>602</v>
      </c>
    </row>
    <row r="29" spans="1:4" ht="20.100000000000001" customHeight="1" x14ac:dyDescent="0.25">
      <c r="A29"/>
      <c r="D29" s="37" t="s">
        <v>603</v>
      </c>
    </row>
    <row r="30" spans="1:4" ht="20.100000000000001" customHeight="1" x14ac:dyDescent="0.25">
      <c r="A30"/>
      <c r="D30" s="37" t="s">
        <v>29</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
        <v>604</v>
      </c>
    </row>
    <row r="35" spans="1:8" ht="20.100000000000001" customHeight="1" x14ac:dyDescent="0.25">
      <c r="A35"/>
      <c r="D35" s="5" t="s">
        <v>605</v>
      </c>
    </row>
    <row r="36" spans="1:8" ht="20.100000000000001" customHeight="1" x14ac:dyDescent="0.25">
      <c r="A36"/>
      <c r="D36" s="37" t="s">
        <v>22</v>
      </c>
      <c r="E36" s="37" t="s">
        <v>23</v>
      </c>
    </row>
    <row r="37" spans="1:8" ht="20.100000000000001" customHeight="1" x14ac:dyDescent="0.25">
      <c r="A37"/>
      <c r="D37" s="37" t="s">
        <v>606</v>
      </c>
      <c r="E37" s="37">
        <v>1</v>
      </c>
    </row>
    <row r="38" spans="1:8" ht="20.100000000000001" customHeight="1" x14ac:dyDescent="0.25">
      <c r="A38"/>
      <c r="D38" s="37" t="s">
        <v>607</v>
      </c>
      <c r="E38" s="37">
        <v>28</v>
      </c>
    </row>
    <row r="39" spans="1:8" ht="20.100000000000001" customHeight="1" x14ac:dyDescent="0.25">
      <c r="A39"/>
      <c r="D39" s="37" t="s">
        <v>608</v>
      </c>
      <c r="E39" s="37">
        <v>265</v>
      </c>
    </row>
    <row r="40" spans="1:8" ht="20.100000000000001" customHeight="1" x14ac:dyDescent="0.25">
      <c r="A40"/>
      <c r="D40" s="37" t="s">
        <v>609</v>
      </c>
      <c r="E40" s="37">
        <v>6630</v>
      </c>
    </row>
    <row r="41" spans="1:8" ht="20.100000000000001" customHeight="1" x14ac:dyDescent="0.25">
      <c r="A41"/>
      <c r="D41" s="37" t="s">
        <v>610</v>
      </c>
      <c r="E41" s="37">
        <v>12200</v>
      </c>
    </row>
    <row r="42" spans="1:8" ht="20.100000000000001" customHeight="1" x14ac:dyDescent="0.25">
      <c r="D42" s="37" t="s">
        <v>611</v>
      </c>
      <c r="E42" s="37">
        <v>22800</v>
      </c>
    </row>
    <row r="43" spans="1:8" ht="20.100000000000001" customHeight="1" x14ac:dyDescent="0.25">
      <c r="D43" s="37" t="s">
        <v>612</v>
      </c>
      <c r="E43" s="37">
        <v>17200</v>
      </c>
    </row>
    <row r="44" spans="1:8" ht="20.100000000000001" customHeight="1" x14ac:dyDescent="0.25"/>
    <row r="45" spans="1:8" ht="20.100000000000001" customHeight="1" x14ac:dyDescent="0.25">
      <c r="D45" s="6" t="s">
        <v>613</v>
      </c>
    </row>
    <row r="46" spans="1:8" ht="20.100000000000001" customHeight="1" x14ac:dyDescent="0.25">
      <c r="D46" s="5" t="s">
        <v>605</v>
      </c>
    </row>
    <row r="47" spans="1:8" ht="20.100000000000001" customHeight="1" x14ac:dyDescent="0.25">
      <c r="D47" s="37" t="s">
        <v>22</v>
      </c>
      <c r="E47" s="37" t="s">
        <v>25</v>
      </c>
      <c r="F47" s="37" t="s">
        <v>26</v>
      </c>
      <c r="G47" s="37" t="s">
        <v>27</v>
      </c>
      <c r="H47" s="37" t="s">
        <v>28</v>
      </c>
    </row>
    <row r="48" spans="1:8" ht="20.100000000000001" customHeight="1" x14ac:dyDescent="0.25">
      <c r="D48" s="37" t="s">
        <v>606</v>
      </c>
      <c r="E48" s="37" t="s">
        <v>614</v>
      </c>
      <c r="F48" s="37">
        <v>44</v>
      </c>
      <c r="G48" s="37">
        <v>12</v>
      </c>
      <c r="H48" s="37">
        <f>Table_GasToMolecularConversionFactor[[#This Row],[Conversion factor 1]]/Table_GasToMolecularConversionFactor[[#This Row],[Conversion factor 2]]</f>
        <v>3.6666666666666665</v>
      </c>
    </row>
    <row r="49" spans="4:8" ht="20.100000000000001" customHeight="1" x14ac:dyDescent="0.25">
      <c r="D49" s="37" t="s">
        <v>607</v>
      </c>
      <c r="E49" s="37" t="s">
        <v>615</v>
      </c>
      <c r="F49" s="37">
        <v>16</v>
      </c>
      <c r="G49" s="37">
        <v>12</v>
      </c>
      <c r="H49" s="37">
        <f>Table_GasToMolecularConversionFactor[[#This Row],[Conversion factor 1]]/Table_GasToMolecularConversionFactor[[#This Row],[Conversion factor 2]]</f>
        <v>1.3333333333333333</v>
      </c>
    </row>
    <row r="50" spans="4:8" ht="20.100000000000001" customHeight="1" x14ac:dyDescent="0.25">
      <c r="D50" s="37" t="s">
        <v>608</v>
      </c>
      <c r="E50" s="37" t="s">
        <v>616</v>
      </c>
      <c r="F50" s="37">
        <v>44</v>
      </c>
      <c r="G50" s="37">
        <v>28</v>
      </c>
      <c r="H50" s="37">
        <f>Table_GasToMolecularConversionFactor[[#This Row],[Conversion factor 1]]/Table_GasToMolecularConversionFactor[[#This Row],[Conversion factor 2]]</f>
        <v>1.5714285714285714</v>
      </c>
    </row>
    <row r="51" spans="4:8" ht="20.100000000000001" customHeight="1" x14ac:dyDescent="0.25">
      <c r="D51" s="37" t="s">
        <v>617</v>
      </c>
      <c r="E51" s="37" t="s">
        <v>618</v>
      </c>
      <c r="F51" s="37">
        <v>46</v>
      </c>
      <c r="G51" s="37">
        <v>14</v>
      </c>
      <c r="H51" s="37">
        <f>Table_GasToMolecularConversionFactor[[#This Row],[Conversion factor 1]]/Table_GasToMolecularConversionFactor[[#This Row],[Conversion factor 2]]</f>
        <v>3.2857142857142856</v>
      </c>
    </row>
    <row r="52" spans="4:8" ht="20.100000000000001" customHeight="1" x14ac:dyDescent="0.25">
      <c r="D52" s="37" t="s">
        <v>619</v>
      </c>
      <c r="E52" s="37" t="s">
        <v>620</v>
      </c>
      <c r="F52" s="37">
        <v>28</v>
      </c>
      <c r="G52" s="37">
        <v>12</v>
      </c>
      <c r="H52" s="37">
        <f>Table_GasToMolecularConversionFactor[[#This Row],[Conversion factor 1]]/Table_GasToMolecularConversionFactor[[#This Row],[Conversion factor 2]]</f>
        <v>2.3333333333333335</v>
      </c>
    </row>
    <row r="53" spans="4:8" ht="20.100000000000001" customHeight="1" x14ac:dyDescent="0.25">
      <c r="D53" s="37" t="s">
        <v>621</v>
      </c>
      <c r="E53" s="37" t="s">
        <v>614</v>
      </c>
      <c r="F53" s="37">
        <v>44</v>
      </c>
      <c r="G53" s="37">
        <v>12</v>
      </c>
      <c r="H53" s="37">
        <f>Table_GasToMolecularConversionFactor[[#This Row],[Conversion factor 1]]/Table_GasToMolecularConversionFactor[[#This Row],[Conversion factor 2]]</f>
        <v>3.6666666666666665</v>
      </c>
    </row>
    <row r="54" spans="4:8" ht="20.100000000000001" customHeight="1" x14ac:dyDescent="0.25">
      <c r="D54" s="37" t="s">
        <v>622</v>
      </c>
      <c r="E54" s="37" t="s">
        <v>623</v>
      </c>
      <c r="F54" s="37">
        <v>14</v>
      </c>
      <c r="G54" s="37">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
        <v>624</v>
      </c>
    </row>
    <row r="58" spans="4:8" ht="20.100000000000001" customHeight="1" x14ac:dyDescent="0.25">
      <c r="D58" s="5" t="s">
        <v>625</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8</v>
      </c>
      <c r="E63" s="37" t="s">
        <v>43</v>
      </c>
    </row>
    <row r="64" spans="4:8" ht="20.100000000000001" customHeight="1" x14ac:dyDescent="0.25">
      <c r="D64" s="37" t="s">
        <v>626</v>
      </c>
      <c r="E64" s="37" t="s">
        <v>627</v>
      </c>
    </row>
    <row r="65" spans="4:5" ht="20.100000000000001" customHeight="1" x14ac:dyDescent="0.25">
      <c r="D65" s="37" t="s">
        <v>628</v>
      </c>
      <c r="E65" s="37" t="s">
        <v>627</v>
      </c>
    </row>
    <row r="66" spans="4:5" ht="20.100000000000001" customHeight="1" x14ac:dyDescent="0.25">
      <c r="D66" s="37" t="s">
        <v>629</v>
      </c>
      <c r="E66" s="37" t="s">
        <v>627</v>
      </c>
    </row>
    <row r="67" spans="4:5" ht="20.100000000000001" customHeight="1" x14ac:dyDescent="0.25">
      <c r="D67" s="37" t="s">
        <v>630</v>
      </c>
      <c r="E67" s="37" t="s">
        <v>631</v>
      </c>
    </row>
    <row r="68" spans="4:5" ht="20.100000000000001" customHeight="1" x14ac:dyDescent="0.25">
      <c r="D68" s="37" t="s">
        <v>632</v>
      </c>
      <c r="E68" s="37" t="s">
        <v>627</v>
      </c>
    </row>
    <row r="69" spans="4:5" ht="20.100000000000001" customHeight="1" x14ac:dyDescent="0.25">
      <c r="D69" s="37" t="s">
        <v>633</v>
      </c>
      <c r="E69" s="37" t="s">
        <v>631</v>
      </c>
    </row>
    <row r="70" spans="4:5" ht="20.100000000000001" customHeight="1" x14ac:dyDescent="0.25">
      <c r="D70" s="37" t="s">
        <v>634</v>
      </c>
      <c r="E70" s="37" t="s">
        <v>627</v>
      </c>
    </row>
    <row r="71" spans="4:5" ht="20.100000000000001" customHeight="1" x14ac:dyDescent="0.25">
      <c r="D71" s="37" t="s">
        <v>635</v>
      </c>
      <c r="E71" s="37" t="s">
        <v>631</v>
      </c>
    </row>
    <row r="72" spans="4:5" ht="20.100000000000001" customHeight="1" x14ac:dyDescent="0.25">
      <c r="D72" s="37" t="s">
        <v>636</v>
      </c>
      <c r="E72" s="37" t="s">
        <v>627</v>
      </c>
    </row>
    <row r="73" spans="4:5" ht="20.100000000000001" customHeight="1" x14ac:dyDescent="0.25">
      <c r="D73" s="37" t="s">
        <v>637</v>
      </c>
      <c r="E73" s="37" t="s">
        <v>631</v>
      </c>
    </row>
    <row r="74" spans="4:5" ht="20.100000000000001" customHeight="1" x14ac:dyDescent="0.25">
      <c r="D74" s="37" t="s">
        <v>638</v>
      </c>
      <c r="E74" s="37" t="s">
        <v>627</v>
      </c>
    </row>
    <row r="75" spans="4:5" ht="20.100000000000001" customHeight="1" x14ac:dyDescent="0.25">
      <c r="D75" s="37" t="s">
        <v>639</v>
      </c>
      <c r="E75" s="37" t="s">
        <v>631</v>
      </c>
    </row>
    <row r="76" spans="4:5" ht="20.100000000000001" customHeight="1" x14ac:dyDescent="0.25">
      <c r="D76" s="37" t="s">
        <v>640</v>
      </c>
      <c r="E76" s="37" t="s">
        <v>627</v>
      </c>
    </row>
    <row r="77" spans="4:5" ht="20.100000000000001" customHeight="1" x14ac:dyDescent="0.25">
      <c r="D77" s="37" t="s">
        <v>641</v>
      </c>
      <c r="E77" s="37" t="s">
        <v>631</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
        <v>642</v>
      </c>
    </row>
    <row r="82" spans="4:20" ht="20.100000000000001" customHeight="1" x14ac:dyDescent="0.25">
      <c r="D82" s="5" t="s">
        <v>643</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8</v>
      </c>
      <c r="E89" s="37" t="s">
        <v>31</v>
      </c>
      <c r="F89" s="37" t="s">
        <v>32</v>
      </c>
      <c r="G89" s="37" t="s">
        <v>33</v>
      </c>
      <c r="H89" s="37" t="s">
        <v>34</v>
      </c>
      <c r="I89" s="37" t="s">
        <v>35</v>
      </c>
      <c r="J89" s="37" t="s">
        <v>36</v>
      </c>
      <c r="K89" s="37" t="s">
        <v>37</v>
      </c>
      <c r="L89" s="37" t="s">
        <v>38</v>
      </c>
      <c r="M89" s="37" t="s">
        <v>39</v>
      </c>
      <c r="N89" s="37" t="s">
        <v>40</v>
      </c>
      <c r="O89" s="37" t="s">
        <v>44</v>
      </c>
      <c r="P89" s="37" t="s">
        <v>41</v>
      </c>
      <c r="Q89" s="37" t="s">
        <v>45</v>
      </c>
      <c r="R89" s="37" t="s">
        <v>42</v>
      </c>
      <c r="S89" s="37" t="s">
        <v>46</v>
      </c>
      <c r="T89" s="37"/>
    </row>
    <row r="90" spans="4:20" ht="20.100000000000001" customHeight="1" x14ac:dyDescent="0.25">
      <c r="D90" s="37" t="s">
        <v>626</v>
      </c>
      <c r="E90" s="37" t="s">
        <v>644</v>
      </c>
      <c r="F90" s="37" t="s">
        <v>645</v>
      </c>
      <c r="G90" s="37" t="s">
        <v>646</v>
      </c>
      <c r="H90" s="37" t="s">
        <v>647</v>
      </c>
      <c r="I90" s="37" t="s">
        <v>645</v>
      </c>
      <c r="J90" s="37">
        <v>18.001000000000001</v>
      </c>
      <c r="K90" s="37">
        <v>999999</v>
      </c>
      <c r="L90" s="37">
        <v>-999999</v>
      </c>
      <c r="M90" s="37">
        <v>999999</v>
      </c>
      <c r="N90" s="37">
        <v>-999999</v>
      </c>
      <c r="O90" s="37">
        <v>7</v>
      </c>
      <c r="P90" s="37">
        <v>1000</v>
      </c>
      <c r="Q90" s="37">
        <v>999999</v>
      </c>
      <c r="R90" s="37">
        <v>-999999</v>
      </c>
      <c r="S90" s="37">
        <v>999999</v>
      </c>
      <c r="T90" s="37"/>
    </row>
    <row r="91" spans="4:20" ht="20.100000000000001" customHeight="1" x14ac:dyDescent="0.25">
      <c r="D91" s="37" t="s">
        <v>628</v>
      </c>
      <c r="E91" s="37" t="s">
        <v>644</v>
      </c>
      <c r="F91" s="37" t="s">
        <v>648</v>
      </c>
      <c r="G91" s="37" t="s">
        <v>646</v>
      </c>
      <c r="H91" s="37" t="s">
        <v>649</v>
      </c>
      <c r="I91" s="37" t="s">
        <v>645</v>
      </c>
      <c r="J91" s="37">
        <v>18.001000000000001</v>
      </c>
      <c r="K91" s="37">
        <v>999999</v>
      </c>
      <c r="L91" s="37">
        <v>2000.001</v>
      </c>
      <c r="M91" s="37">
        <v>999999</v>
      </c>
      <c r="N91" s="37">
        <v>-999999</v>
      </c>
      <c r="O91" s="37">
        <v>7</v>
      </c>
      <c r="P91" s="37">
        <v>-999999</v>
      </c>
      <c r="Q91" s="37">
        <v>999.99900000000002</v>
      </c>
      <c r="R91" s="37">
        <v>-999999</v>
      </c>
      <c r="S91" s="37">
        <v>999999</v>
      </c>
      <c r="T91" s="37"/>
    </row>
    <row r="92" spans="4:20" ht="20.100000000000001" customHeight="1" x14ac:dyDescent="0.25">
      <c r="D92" s="37" t="s">
        <v>629</v>
      </c>
      <c r="E92" s="37" t="s">
        <v>644</v>
      </c>
      <c r="F92" s="37" t="s">
        <v>650</v>
      </c>
      <c r="G92" s="37" t="s">
        <v>646</v>
      </c>
      <c r="H92" s="37" t="s">
        <v>649</v>
      </c>
      <c r="I92" s="37" t="s">
        <v>645</v>
      </c>
      <c r="J92" s="37">
        <v>18.001000000000001</v>
      </c>
      <c r="K92" s="37">
        <v>999999</v>
      </c>
      <c r="L92" s="37">
        <v>1000.001</v>
      </c>
      <c r="M92" s="37">
        <v>2000</v>
      </c>
      <c r="N92" s="37">
        <v>-999999</v>
      </c>
      <c r="O92" s="37">
        <v>7</v>
      </c>
      <c r="P92" s="37">
        <v>-999999</v>
      </c>
      <c r="Q92" s="37">
        <v>999.99900000000002</v>
      </c>
      <c r="R92" s="37">
        <v>-999999</v>
      </c>
      <c r="S92" s="37">
        <v>999999</v>
      </c>
      <c r="T92" s="37"/>
    </row>
    <row r="93" spans="4:20" ht="20.100000000000001" customHeight="1" x14ac:dyDescent="0.25">
      <c r="D93" s="37" t="s">
        <v>630</v>
      </c>
      <c r="E93" s="37" t="s">
        <v>644</v>
      </c>
      <c r="F93" s="37" t="s">
        <v>651</v>
      </c>
      <c r="G93" s="37" t="s">
        <v>646</v>
      </c>
      <c r="H93" s="37" t="s">
        <v>649</v>
      </c>
      <c r="I93" s="37" t="s">
        <v>645</v>
      </c>
      <c r="J93" s="37">
        <v>18.001000000000001</v>
      </c>
      <c r="K93" s="37">
        <v>999999</v>
      </c>
      <c r="L93" s="37">
        <v>-999999</v>
      </c>
      <c r="M93" s="37">
        <v>1000</v>
      </c>
      <c r="N93" s="37">
        <v>-999999</v>
      </c>
      <c r="O93" s="37">
        <v>7</v>
      </c>
      <c r="P93" s="37">
        <v>-999999</v>
      </c>
      <c r="Q93" s="37">
        <v>999.99900000000002</v>
      </c>
      <c r="R93" s="37">
        <v>-999999</v>
      </c>
      <c r="S93" s="37">
        <v>999999</v>
      </c>
      <c r="T93" s="37"/>
    </row>
    <row r="94" spans="4:20" ht="20.100000000000001" customHeight="1" x14ac:dyDescent="0.25">
      <c r="D94" s="37" t="s">
        <v>632</v>
      </c>
      <c r="E94" s="37" t="s">
        <v>652</v>
      </c>
      <c r="F94" s="37" t="s">
        <v>645</v>
      </c>
      <c r="G94" s="37" t="s">
        <v>645</v>
      </c>
      <c r="H94" s="37" t="s">
        <v>645</v>
      </c>
      <c r="I94" s="37" t="s">
        <v>653</v>
      </c>
      <c r="J94" s="37">
        <v>10.000999999999999</v>
      </c>
      <c r="K94" s="37">
        <v>999999</v>
      </c>
      <c r="L94" s="37">
        <v>-999999</v>
      </c>
      <c r="M94" s="37">
        <v>999999</v>
      </c>
      <c r="N94" s="37">
        <v>-999999</v>
      </c>
      <c r="O94" s="37">
        <v>999999</v>
      </c>
      <c r="P94" s="37">
        <v>-999999</v>
      </c>
      <c r="Q94" s="37">
        <v>999999</v>
      </c>
      <c r="R94" s="37">
        <v>1.0009999999999999</v>
      </c>
      <c r="S94" s="37">
        <v>999999</v>
      </c>
      <c r="T94" s="37"/>
    </row>
    <row r="95" spans="4:20" ht="20.100000000000001" customHeight="1" x14ac:dyDescent="0.25">
      <c r="D95" s="37" t="s">
        <v>633</v>
      </c>
      <c r="E95" s="37" t="s">
        <v>652</v>
      </c>
      <c r="F95" s="37" t="s">
        <v>645</v>
      </c>
      <c r="G95" s="37" t="s">
        <v>645</v>
      </c>
      <c r="H95" s="37" t="s">
        <v>645</v>
      </c>
      <c r="I95" s="37" t="s">
        <v>654</v>
      </c>
      <c r="J95" s="37">
        <v>10.000999999999999</v>
      </c>
      <c r="K95" s="37">
        <v>999999</v>
      </c>
      <c r="L95" s="37">
        <v>-999999</v>
      </c>
      <c r="M95" s="37">
        <v>999999</v>
      </c>
      <c r="N95" s="37">
        <v>-999999</v>
      </c>
      <c r="O95" s="37">
        <v>999999</v>
      </c>
      <c r="P95" s="37">
        <v>-999999</v>
      </c>
      <c r="Q95" s="37">
        <v>999999</v>
      </c>
      <c r="R95" s="37">
        <v>-999999</v>
      </c>
      <c r="S95" s="37">
        <v>1</v>
      </c>
      <c r="T95" s="37"/>
    </row>
    <row r="96" spans="4:20" ht="20.100000000000001" customHeight="1" x14ac:dyDescent="0.25">
      <c r="D96" s="37" t="s">
        <v>634</v>
      </c>
      <c r="E96" s="37" t="s">
        <v>655</v>
      </c>
      <c r="F96" s="37" t="s">
        <v>645</v>
      </c>
      <c r="G96" s="37" t="s">
        <v>645</v>
      </c>
      <c r="H96" s="37" t="s">
        <v>645</v>
      </c>
      <c r="I96" s="37" t="s">
        <v>653</v>
      </c>
      <c r="J96" s="37">
        <v>-999999</v>
      </c>
      <c r="K96" s="37">
        <v>10</v>
      </c>
      <c r="L96" s="37">
        <v>-999999</v>
      </c>
      <c r="M96" s="37">
        <v>999999</v>
      </c>
      <c r="N96" s="37">
        <v>-999999</v>
      </c>
      <c r="O96" s="37">
        <v>999999</v>
      </c>
      <c r="P96" s="37">
        <v>-999999</v>
      </c>
      <c r="Q96" s="37">
        <v>999999</v>
      </c>
      <c r="R96" s="37">
        <v>1.0009999999999999</v>
      </c>
      <c r="S96" s="37">
        <v>999999</v>
      </c>
      <c r="T96" s="37"/>
    </row>
    <row r="97" spans="4:20" ht="20.100000000000001" customHeight="1" x14ac:dyDescent="0.25">
      <c r="D97" s="37" t="s">
        <v>635</v>
      </c>
      <c r="E97" s="37" t="s">
        <v>655</v>
      </c>
      <c r="F97" s="37" t="s">
        <v>645</v>
      </c>
      <c r="G97" s="37" t="s">
        <v>645</v>
      </c>
      <c r="H97" s="37" t="s">
        <v>645</v>
      </c>
      <c r="I97" s="37" t="s">
        <v>654</v>
      </c>
      <c r="J97" s="37">
        <v>-999999</v>
      </c>
      <c r="K97" s="37">
        <v>10</v>
      </c>
      <c r="L97" s="37">
        <v>-999999</v>
      </c>
      <c r="M97" s="37">
        <v>999999</v>
      </c>
      <c r="N97" s="37">
        <v>-999999</v>
      </c>
      <c r="O97" s="37">
        <v>999999</v>
      </c>
      <c r="P97" s="37">
        <v>-999999</v>
      </c>
      <c r="Q97" s="37">
        <v>999999</v>
      </c>
      <c r="R97" s="37">
        <v>-999999</v>
      </c>
      <c r="S97" s="37">
        <v>1</v>
      </c>
      <c r="T97" s="37"/>
    </row>
    <row r="98" spans="4:20" ht="20.100000000000001" customHeight="1" x14ac:dyDescent="0.25"/>
    <row r="99" spans="4:20" ht="20.100000000000001" customHeight="1" x14ac:dyDescent="0.25">
      <c r="D99" s="52" t="s">
        <v>656</v>
      </c>
    </row>
    <row r="100" spans="4:20" ht="20.100000000000001" customHeight="1" x14ac:dyDescent="0.25">
      <c r="D100" s="52" t="s">
        <v>657</v>
      </c>
    </row>
    <row r="101" spans="4:20" ht="20.100000000000001" customHeight="1" x14ac:dyDescent="0.25">
      <c r="D101" s="52" t="s">
        <v>658</v>
      </c>
    </row>
    <row r="102" spans="4:20" ht="20.100000000000001" customHeight="1" x14ac:dyDescent="0.25">
      <c r="D102" s="52" t="s">
        <v>659</v>
      </c>
    </row>
    <row r="103" spans="4:20" ht="20.100000000000001" customHeight="1" x14ac:dyDescent="0.25">
      <c r="D103" s="52"/>
    </row>
    <row r="104" spans="4:20" ht="20.100000000000001" customHeight="1" x14ac:dyDescent="0.25"/>
    <row r="105" spans="4:20" ht="20.100000000000001" customHeight="1" x14ac:dyDescent="0.25">
      <c r="D105" s="6" t="s">
        <v>660</v>
      </c>
    </row>
    <row r="106" spans="4:20" ht="20.100000000000001" customHeight="1" x14ac:dyDescent="0.25">
      <c r="D106" s="5" t="s">
        <v>643</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50</v>
      </c>
      <c r="E109" s="37" t="s">
        <v>31</v>
      </c>
      <c r="F109" s="37" t="s">
        <v>51</v>
      </c>
      <c r="G109" s="37" t="s">
        <v>52</v>
      </c>
    </row>
    <row r="110" spans="4:20" ht="20.100000000000001" customHeight="1" x14ac:dyDescent="0.25">
      <c r="D110" s="37" t="s">
        <v>661</v>
      </c>
      <c r="E110" s="37" t="s">
        <v>662</v>
      </c>
      <c r="F110" s="37">
        <v>26</v>
      </c>
      <c r="G110" s="37">
        <v>999999</v>
      </c>
    </row>
    <row r="111" spans="4:20" ht="20.100000000000001" customHeight="1" x14ac:dyDescent="0.25">
      <c r="D111" s="37" t="s">
        <v>663</v>
      </c>
      <c r="E111" s="37" t="s">
        <v>664</v>
      </c>
      <c r="F111" s="37">
        <v>15</v>
      </c>
      <c r="G111" s="37">
        <v>25.998999999999999</v>
      </c>
    </row>
    <row r="112" spans="4:20" ht="20.100000000000001" customHeight="1" x14ac:dyDescent="0.25">
      <c r="D112" s="37" t="s">
        <v>665</v>
      </c>
      <c r="E112" s="37" t="s">
        <v>666</v>
      </c>
      <c r="F112" s="37">
        <v>-999999</v>
      </c>
      <c r="G112" s="37">
        <v>14.999000000000001</v>
      </c>
    </row>
    <row r="113" spans="4:66" ht="20.100000000000001" customHeight="1" x14ac:dyDescent="0.25"/>
    <row r="114" spans="4:66" ht="20.100000000000001" customHeight="1" x14ac:dyDescent="0.25"/>
    <row r="115" spans="4:66" ht="20.100000000000001" customHeight="1" x14ac:dyDescent="0.25">
      <c r="D115" s="6" t="s">
        <v>667</v>
      </c>
      <c r="BN115" s="7"/>
    </row>
    <row r="116" spans="4:66" ht="20.100000000000001" customHeight="1" x14ac:dyDescent="0.25">
      <c r="D116" s="5" t="s">
        <v>643</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53</v>
      </c>
      <c r="E119" s="37" t="s">
        <v>54</v>
      </c>
      <c r="F119" s="37" t="s">
        <v>38</v>
      </c>
      <c r="G119" s="37" t="s">
        <v>39</v>
      </c>
      <c r="BN119" s="7"/>
    </row>
    <row r="120" spans="4:66" ht="20.100000000000001" customHeight="1" x14ac:dyDescent="0.25">
      <c r="D120" s="37" t="s">
        <v>668</v>
      </c>
      <c r="E120" s="37" t="s">
        <v>669</v>
      </c>
      <c r="F120" s="37">
        <v>600.00099999999998</v>
      </c>
      <c r="G120" s="37">
        <v>999999</v>
      </c>
      <c r="BN120" s="7"/>
    </row>
    <row r="121" spans="4:66" ht="20.100000000000001" customHeight="1" x14ac:dyDescent="0.25">
      <c r="D121" s="37" t="s">
        <v>670</v>
      </c>
      <c r="E121" s="37" t="s">
        <v>671</v>
      </c>
      <c r="F121" s="37">
        <v>-999999</v>
      </c>
      <c r="G121" s="37">
        <v>600</v>
      </c>
      <c r="BN121" s="7"/>
    </row>
    <row r="122" spans="4:66" ht="20.100000000000001" customHeight="1" x14ac:dyDescent="0.25">
      <c r="BN122" s="7"/>
    </row>
    <row r="123" spans="4:66" ht="20.100000000000001" customHeight="1" x14ac:dyDescent="0.25"/>
    <row r="124" spans="4:66" ht="20.100000000000001" customHeight="1" x14ac:dyDescent="0.25">
      <c r="D124" s="6" t="s">
        <v>672</v>
      </c>
    </row>
    <row r="125" spans="4:66" ht="20.100000000000001" customHeight="1" x14ac:dyDescent="0.25">
      <c r="D125" s="5" t="s">
        <v>643</v>
      </c>
    </row>
    <row r="126" spans="4:66" ht="20.100000000000001" customHeight="1" x14ac:dyDescent="0.25"/>
    <row r="127" spans="4:66" ht="20.100000000000001" customHeight="1" x14ac:dyDescent="0.25">
      <c r="D127" s="37" t="s">
        <v>60</v>
      </c>
      <c r="E127" s="37" t="s">
        <v>61</v>
      </c>
    </row>
    <row r="128" spans="4:66" ht="20.100000000000001" customHeight="1" x14ac:dyDescent="0.25">
      <c r="D128" s="37" t="s">
        <v>673</v>
      </c>
      <c r="E128" s="37" t="s">
        <v>674</v>
      </c>
    </row>
    <row r="129" spans="4:77" ht="20.100000000000001" customHeight="1" x14ac:dyDescent="0.25">
      <c r="D129" s="37" t="s">
        <v>675</v>
      </c>
      <c r="E129" s="37" t="s">
        <v>676</v>
      </c>
    </row>
    <row r="130" spans="4:77" ht="20.100000000000001" customHeight="1" x14ac:dyDescent="0.25"/>
    <row r="131" spans="4:77" ht="20.100000000000001" customHeight="1" x14ac:dyDescent="0.25"/>
    <row r="132" spans="4:77" ht="20.100000000000001" customHeight="1" x14ac:dyDescent="0.25">
      <c r="D132" s="6" t="s">
        <v>677</v>
      </c>
      <c r="E132" s="22"/>
    </row>
    <row r="133" spans="4:77" ht="20.100000000000001" customHeight="1" x14ac:dyDescent="0.25">
      <c r="D133" s="5" t="s">
        <v>678</v>
      </c>
      <c r="E133" s="22"/>
    </row>
    <row r="134" spans="4:77" ht="20.100000000000001" customHeight="1" x14ac:dyDescent="0.25">
      <c r="D134" t="s">
        <v>73</v>
      </c>
      <c r="E134" t="s">
        <v>74</v>
      </c>
    </row>
    <row r="135" spans="4:77" ht="20.100000000000001" customHeight="1" x14ac:dyDescent="0.25">
      <c r="D135" t="s">
        <v>679</v>
      </c>
      <c r="E135">
        <v>1</v>
      </c>
    </row>
    <row r="136" spans="4:77" ht="20.100000000000001" customHeight="1" x14ac:dyDescent="0.25">
      <c r="D136" s="1" t="s">
        <v>680</v>
      </c>
      <c r="E136" s="37">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
        <v>681</v>
      </c>
      <c r="BN139" s="7"/>
      <c r="BO139" s="7"/>
      <c r="BP139" s="7"/>
      <c r="BQ139" s="7"/>
      <c r="BR139" s="7"/>
      <c r="BS139" s="7"/>
      <c r="BT139" s="7"/>
      <c r="BU139" s="7"/>
      <c r="BV139" s="7"/>
      <c r="BW139" s="7"/>
      <c r="BX139" s="7"/>
      <c r="BY139" s="7"/>
    </row>
    <row r="140" spans="4:77" ht="20.100000000000001" customHeight="1" x14ac:dyDescent="0.25">
      <c r="D140" s="5" t="s">
        <v>682</v>
      </c>
      <c r="BN140" s="7"/>
      <c r="BO140" s="7"/>
      <c r="BP140" s="7"/>
      <c r="BQ140" s="7"/>
      <c r="BR140" s="7"/>
      <c r="BS140" s="7"/>
      <c r="BT140" s="7"/>
      <c r="BU140" s="7"/>
      <c r="BV140" s="7"/>
      <c r="BW140" s="7"/>
      <c r="BX140" s="7"/>
      <c r="BY140" s="7"/>
    </row>
    <row r="141" spans="4:77" ht="20.100000000000001" customHeight="1" x14ac:dyDescent="0.25">
      <c r="D141" s="53" t="s">
        <v>683</v>
      </c>
      <c r="BN141" s="7"/>
    </row>
    <row r="142" spans="4:77" ht="20.100000000000001" customHeight="1" x14ac:dyDescent="0.25">
      <c r="D142" s="37" t="s">
        <v>91</v>
      </c>
      <c r="E142" s="37" t="s">
        <v>74</v>
      </c>
      <c r="BN142" s="7"/>
    </row>
    <row r="143" spans="4:77" ht="20.100000000000001" customHeight="1" x14ac:dyDescent="0.25">
      <c r="D143" s="37" t="s">
        <v>134</v>
      </c>
      <c r="E143" s="37">
        <v>0</v>
      </c>
      <c r="BN143" s="7"/>
    </row>
    <row r="144" spans="4:77" ht="20.100000000000001" customHeight="1" x14ac:dyDescent="0.25">
      <c r="D144" s="1" t="s">
        <v>135</v>
      </c>
      <c r="E144" s="37">
        <v>0</v>
      </c>
      <c r="BN144" s="7"/>
    </row>
    <row r="145" spans="4:66" ht="20.100000000000001" customHeight="1" x14ac:dyDescent="0.25">
      <c r="D145" s="1" t="s">
        <v>131</v>
      </c>
      <c r="E145" s="37">
        <v>1</v>
      </c>
      <c r="BN145" s="7"/>
    </row>
    <row r="146" spans="4:66" ht="20.100000000000001" customHeight="1" x14ac:dyDescent="0.25">
      <c r="D146" s="1" t="s">
        <v>136</v>
      </c>
      <c r="E146" s="37">
        <v>1</v>
      </c>
      <c r="BN146" s="7"/>
    </row>
    <row r="147" spans="4:66" ht="20.100000000000001" customHeight="1" x14ac:dyDescent="0.25">
      <c r="D147" s="1" t="s">
        <v>137</v>
      </c>
      <c r="E147" s="37">
        <v>1</v>
      </c>
      <c r="BN147" s="7"/>
    </row>
    <row r="148" spans="4:66" ht="20.100000000000001" customHeight="1" x14ac:dyDescent="0.25">
      <c r="BN148" s="7"/>
    </row>
    <row r="149" spans="4:66" ht="20.100000000000001" customHeight="1" x14ac:dyDescent="0.25">
      <c r="BN149" s="7"/>
    </row>
    <row r="150" spans="4:66" ht="20.100000000000001" customHeight="1" x14ac:dyDescent="0.25">
      <c r="D150" s="6" t="s">
        <v>684</v>
      </c>
      <c r="BN150" s="7"/>
    </row>
    <row r="151" spans="4:66" ht="20.100000000000001" customHeight="1" x14ac:dyDescent="0.25">
      <c r="D151" s="5" t="s">
        <v>685</v>
      </c>
      <c r="BN151" s="7"/>
    </row>
    <row r="152" spans="4:66" ht="20.100000000000001" customHeight="1" x14ac:dyDescent="0.25">
      <c r="BN152" s="7"/>
    </row>
    <row r="153" spans="4:66" ht="20.100000000000001" customHeight="1" x14ac:dyDescent="0.25">
      <c r="D153" s="37" t="s">
        <v>62</v>
      </c>
      <c r="E153" s="37" t="s">
        <v>63</v>
      </c>
      <c r="BC153" s="3"/>
      <c r="BD153" s="3"/>
      <c r="BE153" s="3"/>
      <c r="BF153" s="3"/>
      <c r="BG153" s="3"/>
      <c r="BH153" s="3"/>
      <c r="BI153" s="3"/>
      <c r="BJ153" s="3"/>
      <c r="BK153" s="3"/>
      <c r="BL153" s="3"/>
      <c r="BM153" s="3"/>
    </row>
    <row r="154" spans="4:66" ht="20.100000000000001" customHeight="1" x14ac:dyDescent="0.25">
      <c r="D154" s="37" t="s">
        <v>686</v>
      </c>
      <c r="E154" s="37">
        <v>1</v>
      </c>
      <c r="BC154" s="3"/>
      <c r="BD154" s="3"/>
      <c r="BE154" s="3"/>
      <c r="BF154" s="3"/>
      <c r="BG154" s="3"/>
      <c r="BH154" s="3"/>
      <c r="BI154" s="3"/>
      <c r="BJ154" s="3"/>
      <c r="BK154" s="3"/>
      <c r="BL154" s="3"/>
      <c r="BM154" s="3"/>
    </row>
    <row r="155" spans="4:66" ht="20.100000000000001" customHeight="1" x14ac:dyDescent="0.25">
      <c r="D155" s="37" t="s">
        <v>687</v>
      </c>
      <c r="E155" s="37">
        <v>2</v>
      </c>
      <c r="BC155" s="3"/>
      <c r="BD155" s="3"/>
      <c r="BE155" s="3"/>
      <c r="BF155" s="3"/>
      <c r="BG155" s="3"/>
      <c r="BH155" s="3"/>
      <c r="BI155" s="3"/>
      <c r="BJ155" s="3"/>
      <c r="BK155" s="3"/>
      <c r="BL155" s="3"/>
      <c r="BM155" s="3"/>
    </row>
    <row r="156" spans="4:66" ht="20.100000000000001" customHeight="1" x14ac:dyDescent="0.25">
      <c r="D156" s="37" t="s">
        <v>688</v>
      </c>
      <c r="E156" s="37">
        <v>3</v>
      </c>
    </row>
    <row r="157" spans="4:66" ht="20.100000000000001" customHeight="1" x14ac:dyDescent="0.25">
      <c r="D157" s="37" t="s">
        <v>689</v>
      </c>
      <c r="E157" s="37">
        <v>4</v>
      </c>
    </row>
    <row r="158" spans="4:66" ht="20.100000000000001" customHeight="1" x14ac:dyDescent="0.25">
      <c r="D158" s="37" t="s">
        <v>690</v>
      </c>
      <c r="E158" s="37">
        <v>5</v>
      </c>
    </row>
    <row r="159" spans="4:66" ht="20.100000000000001" customHeight="1" x14ac:dyDescent="0.25"/>
    <row r="160" spans="4:66" ht="20.100000000000001" customHeight="1" x14ac:dyDescent="0.25"/>
    <row r="161" spans="4:68" ht="20.100000000000001" customHeight="1" x14ac:dyDescent="0.25">
      <c r="D161" s="6" t="s">
        <v>677</v>
      </c>
      <c r="E161" s="22"/>
    </row>
    <row r="162" spans="4:68" ht="20.100000000000001" customHeight="1" x14ac:dyDescent="0.25">
      <c r="D162" s="5" t="s">
        <v>678</v>
      </c>
      <c r="E162" s="22"/>
    </row>
    <row r="163" spans="4:68" ht="20.100000000000001" customHeight="1" x14ac:dyDescent="0.25">
      <c r="D163" s="5" t="s">
        <v>691</v>
      </c>
      <c r="E163" s="22"/>
    </row>
    <row r="164" spans="4:68" ht="20.100000000000001" customHeight="1" x14ac:dyDescent="0.25">
      <c r="D164" s="22" t="s">
        <v>448</v>
      </c>
      <c r="E164" s="22"/>
    </row>
    <row r="165" spans="4:68" ht="20.100000000000001" customHeight="1" x14ac:dyDescent="0.25">
      <c r="D165" s="1">
        <v>0.24</v>
      </c>
      <c r="BN165" s="7"/>
      <c r="BO165" s="7"/>
      <c r="BP165" s="7"/>
    </row>
    <row r="166" spans="4:68" ht="20.100000000000001" customHeight="1" x14ac:dyDescent="0.25">
      <c r="BN166" s="7"/>
      <c r="BO166" s="7"/>
      <c r="BP166" s="7"/>
    </row>
    <row r="167" spans="4:68" ht="20.100000000000001" customHeight="1" x14ac:dyDescent="0.25">
      <c r="D167" s="6" t="s">
        <v>532</v>
      </c>
      <c r="BN167" s="7"/>
      <c r="BO167" s="7"/>
      <c r="BP167" s="7"/>
    </row>
    <row r="168" spans="4:68" ht="20.100000000000001" customHeight="1" x14ac:dyDescent="0.25">
      <c r="D168" s="5" t="s">
        <v>678</v>
      </c>
      <c r="BN168" s="7"/>
      <c r="BO168" s="7"/>
      <c r="BP168" s="7"/>
    </row>
    <row r="169" spans="4:68" ht="20.100000000000001" customHeight="1" x14ac:dyDescent="0.25">
      <c r="D169" s="5" t="s">
        <v>692</v>
      </c>
      <c r="BN169" s="7"/>
      <c r="BO169" s="7"/>
      <c r="BP169" s="7"/>
    </row>
    <row r="170" spans="4:68" ht="20.100000000000001" customHeight="1" x14ac:dyDescent="0.25">
      <c r="D170" s="1" t="s">
        <v>693</v>
      </c>
      <c r="BN170" s="7"/>
      <c r="BO170" s="7"/>
      <c r="BP170" s="7"/>
    </row>
    <row r="171" spans="4:68" ht="20.100000000000001" customHeight="1" x14ac:dyDescent="0.25">
      <c r="D171" s="1">
        <v>1.0999999999999999E-2</v>
      </c>
      <c r="BN171" s="7"/>
      <c r="BO171" s="7"/>
      <c r="BP171" s="7"/>
    </row>
    <row r="172" spans="4:68" ht="20.100000000000001" customHeight="1" x14ac:dyDescent="0.25">
      <c r="BN172" s="7"/>
      <c r="BO172" s="7"/>
      <c r="BP172" s="7"/>
    </row>
    <row r="173" spans="4:68" ht="20.100000000000001" customHeight="1" x14ac:dyDescent="0.25">
      <c r="D173" s="6" t="s">
        <v>694</v>
      </c>
      <c r="BN173" s="7"/>
      <c r="BO173" s="7"/>
      <c r="BP173" s="7"/>
    </row>
    <row r="174" spans="4:68" ht="20.100000000000001" customHeight="1" x14ac:dyDescent="0.25">
      <c r="D174" s="5" t="s">
        <v>695</v>
      </c>
      <c r="BN174" s="7"/>
      <c r="BO174" s="7"/>
      <c r="BP174" s="7"/>
    </row>
    <row r="175" spans="4:68" ht="20.100000000000001" customHeight="1" x14ac:dyDescent="0.25">
      <c r="D175" s="1">
        <v>0.6784</v>
      </c>
      <c r="E175" s="52" t="s">
        <v>696</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
        <v>697</v>
      </c>
      <c r="BN178" s="7"/>
      <c r="BO178" s="7"/>
      <c r="BP178" s="7"/>
    </row>
    <row r="179" spans="4:68" ht="20.100000000000001" customHeight="1" x14ac:dyDescent="0.25">
      <c r="D179" s="5" t="s">
        <v>698</v>
      </c>
      <c r="BN179" s="7"/>
      <c r="BO179" s="7"/>
      <c r="BP179" s="7"/>
    </row>
    <row r="180" spans="4:68" ht="20.100000000000001" customHeight="1" x14ac:dyDescent="0.25">
      <c r="D180" s="52" t="s">
        <v>699</v>
      </c>
    </row>
    <row r="181" spans="4:68" ht="20.100000000000001" customHeight="1" x14ac:dyDescent="0.25">
      <c r="D181" s="53" t="s">
        <v>700</v>
      </c>
    </row>
    <row r="182" spans="4:68" ht="20.100000000000001" customHeight="1" x14ac:dyDescent="0.25">
      <c r="D182" s="53" t="s">
        <v>701</v>
      </c>
    </row>
    <row r="183" spans="4:68" ht="20.100000000000001" customHeight="1" x14ac:dyDescent="0.25">
      <c r="D183" s="53" t="s">
        <v>702</v>
      </c>
    </row>
    <row r="184" spans="4:68" ht="20.100000000000001" customHeight="1" x14ac:dyDescent="0.25">
      <c r="D184" s="53" t="s">
        <v>703</v>
      </c>
    </row>
    <row r="185" spans="4:68" ht="20.100000000000001" customHeight="1" x14ac:dyDescent="0.25">
      <c r="D185" s="53" t="s">
        <v>704</v>
      </c>
    </row>
    <row r="186" spans="4:68" ht="20.100000000000001" customHeight="1" x14ac:dyDescent="0.25">
      <c r="D186" s="37" t="s">
        <v>82</v>
      </c>
      <c r="E186" s="37" t="s">
        <v>83</v>
      </c>
      <c r="F186" s="37" t="s">
        <v>84</v>
      </c>
      <c r="G186" s="37" t="s">
        <v>85</v>
      </c>
      <c r="H186" s="37" t="s">
        <v>30</v>
      </c>
    </row>
    <row r="187" spans="4:68" ht="20.100000000000001" customHeight="1" x14ac:dyDescent="0.25">
      <c r="D187" s="37" t="s">
        <v>705</v>
      </c>
      <c r="E187" s="37">
        <v>5.8999999999999999E-3</v>
      </c>
      <c r="F187" s="37" t="s">
        <v>133</v>
      </c>
      <c r="G187" s="37" t="s">
        <v>645</v>
      </c>
      <c r="H187" s="37" t="s">
        <v>645</v>
      </c>
    </row>
    <row r="188" spans="4:68" ht="20.100000000000001" customHeight="1" x14ac:dyDescent="0.25">
      <c r="D188" s="37" t="s">
        <v>706</v>
      </c>
      <c r="E188" s="37">
        <v>7.0000000000000001E-3</v>
      </c>
      <c r="F188" s="37" t="s">
        <v>130</v>
      </c>
      <c r="G188" s="37" t="s">
        <v>645</v>
      </c>
      <c r="H188" s="37" t="s">
        <v>645</v>
      </c>
    </row>
    <row r="189" spans="4:68" ht="20.100000000000001" customHeight="1" x14ac:dyDescent="0.25">
      <c r="D189" s="37" t="s">
        <v>707</v>
      </c>
      <c r="E189" s="37">
        <v>1.8E-3</v>
      </c>
      <c r="F189" s="37" t="s">
        <v>133</v>
      </c>
      <c r="G189" s="37" t="s">
        <v>134</v>
      </c>
      <c r="H189" s="37" t="s">
        <v>670</v>
      </c>
    </row>
    <row r="190" spans="4:68" ht="20.100000000000001" customHeight="1" x14ac:dyDescent="0.25">
      <c r="D190" s="37" t="s">
        <v>707</v>
      </c>
      <c r="E190" s="37">
        <v>1.8E-3</v>
      </c>
      <c r="F190" s="37" t="s">
        <v>133</v>
      </c>
      <c r="G190" s="37" t="s">
        <v>134</v>
      </c>
      <c r="H190" s="37" t="s">
        <v>668</v>
      </c>
    </row>
    <row r="191" spans="4:68" ht="20.100000000000001" customHeight="1" x14ac:dyDescent="0.25">
      <c r="D191" s="37" t="s">
        <v>708</v>
      </c>
      <c r="E191" s="37">
        <v>2.8999999999999998E-3</v>
      </c>
      <c r="F191" s="37" t="s">
        <v>130</v>
      </c>
      <c r="G191" s="37" t="s">
        <v>134</v>
      </c>
      <c r="H191" s="37" t="s">
        <v>670</v>
      </c>
    </row>
    <row r="192" spans="4:68" ht="20.100000000000001" customHeight="1" x14ac:dyDescent="0.25">
      <c r="D192" s="37" t="s">
        <v>709</v>
      </c>
      <c r="E192" s="37">
        <v>8.0000000000000002E-3</v>
      </c>
      <c r="F192" s="37" t="s">
        <v>130</v>
      </c>
      <c r="G192" s="37" t="s">
        <v>134</v>
      </c>
      <c r="H192" s="37" t="s">
        <v>668</v>
      </c>
    </row>
    <row r="193" spans="4:8" ht="20.100000000000001" customHeight="1" x14ac:dyDescent="0.25">
      <c r="D193" s="37" t="s">
        <v>710</v>
      </c>
      <c r="E193" s="37">
        <v>1.9900000000000001E-2</v>
      </c>
      <c r="F193" s="37" t="s">
        <v>710</v>
      </c>
      <c r="G193" s="37" t="s">
        <v>645</v>
      </c>
      <c r="H193" s="37" t="s">
        <v>645</v>
      </c>
    </row>
    <row r="194" spans="4:8" ht="20.100000000000001" customHeight="1" x14ac:dyDescent="0.25">
      <c r="D194" s="37" t="s">
        <v>139</v>
      </c>
      <c r="E194" s="37">
        <v>5.3E-3</v>
      </c>
      <c r="F194" s="37" t="s">
        <v>139</v>
      </c>
      <c r="G194" s="37" t="s">
        <v>645</v>
      </c>
      <c r="H194" s="37" t="s">
        <v>645</v>
      </c>
    </row>
    <row r="195" spans="4:8" ht="20.100000000000001" customHeight="1" x14ac:dyDescent="0.25">
      <c r="D195" s="37" t="s">
        <v>711</v>
      </c>
      <c r="E195" s="37">
        <v>6.4000000000000003E-3</v>
      </c>
      <c r="F195" s="37" t="s">
        <v>711</v>
      </c>
      <c r="G195" s="37" t="s">
        <v>645</v>
      </c>
      <c r="H195" s="37" t="s">
        <v>645</v>
      </c>
    </row>
    <row r="196" spans="4:8" ht="20.100000000000001" customHeight="1" x14ac:dyDescent="0.25">
      <c r="D196" s="37" t="s">
        <v>712</v>
      </c>
      <c r="E196" s="37">
        <v>3.0000000000000001E-3</v>
      </c>
      <c r="F196" s="37" t="s">
        <v>713</v>
      </c>
      <c r="G196" s="37" t="s">
        <v>714</v>
      </c>
      <c r="H196" s="37" t="s">
        <v>645</v>
      </c>
    </row>
    <row r="197" spans="4:8" x14ac:dyDescent="0.25">
      <c r="D197" s="37" t="s">
        <v>715</v>
      </c>
      <c r="E197" s="37">
        <v>5.0000000000000001E-3</v>
      </c>
      <c r="F197" s="37" t="s">
        <v>713</v>
      </c>
      <c r="G197" s="37" t="s">
        <v>716</v>
      </c>
      <c r="H197" s="37" t="s">
        <v>645</v>
      </c>
    </row>
    <row r="198" spans="4:8" x14ac:dyDescent="0.25">
      <c r="D198" s="37" t="s">
        <v>717</v>
      </c>
      <c r="E198" s="37">
        <v>2.5999999999999999E-3</v>
      </c>
      <c r="F198" s="37" t="s">
        <v>717</v>
      </c>
      <c r="G198" s="37" t="s">
        <v>645</v>
      </c>
      <c r="H198" s="37" t="s">
        <v>645</v>
      </c>
    </row>
    <row r="199" spans="4:8" x14ac:dyDescent="0.25">
      <c r="D199" s="37" t="s">
        <v>718</v>
      </c>
      <c r="E199" s="37">
        <v>1.8E-3</v>
      </c>
      <c r="F199" s="37" t="s">
        <v>718</v>
      </c>
      <c r="G199" s="37" t="s">
        <v>645</v>
      </c>
      <c r="H199" s="37" t="s">
        <v>645</v>
      </c>
    </row>
    <row r="202" spans="4:8" ht="23.25" x14ac:dyDescent="0.25">
      <c r="D202" s="6" t="s">
        <v>719</v>
      </c>
    </row>
    <row r="203" spans="4:8" x14ac:dyDescent="0.25">
      <c r="D203" s="5" t="s">
        <v>720</v>
      </c>
    </row>
    <row r="204" spans="4:8" x14ac:dyDescent="0.25">
      <c r="D204" s="53" t="s">
        <v>721</v>
      </c>
    </row>
    <row r="205" spans="4:8" x14ac:dyDescent="0.25">
      <c r="D205" s="52" t="s">
        <v>722</v>
      </c>
    </row>
    <row r="206" spans="4:8" x14ac:dyDescent="0.25">
      <c r="D206" s="37" t="s">
        <v>8</v>
      </c>
      <c r="E206" s="37" t="s">
        <v>93</v>
      </c>
    </row>
    <row r="207" spans="4:8" x14ac:dyDescent="0.25">
      <c r="D207" s="37" t="s">
        <v>627</v>
      </c>
      <c r="E207" s="37">
        <v>6.0000000000000001E-3</v>
      </c>
    </row>
    <row r="208" spans="4:8" x14ac:dyDescent="0.25">
      <c r="D208" s="1" t="s">
        <v>631</v>
      </c>
      <c r="E208" s="37">
        <v>2E-3</v>
      </c>
    </row>
    <row r="211" spans="4:5" x14ac:dyDescent="0.25">
      <c r="D211" s="1" t="s">
        <v>723</v>
      </c>
    </row>
    <row r="212" spans="4:5" x14ac:dyDescent="0.25">
      <c r="D212" s="37" t="s">
        <v>90</v>
      </c>
      <c r="E212" s="37" t="s">
        <v>98</v>
      </c>
    </row>
    <row r="213" spans="4:5" x14ac:dyDescent="0.25">
      <c r="D213" s="37" t="s">
        <v>724</v>
      </c>
      <c r="E213" s="37" t="s">
        <v>725</v>
      </c>
    </row>
    <row r="214" spans="4:5" x14ac:dyDescent="0.25">
      <c r="D214" s="1" t="s">
        <v>726</v>
      </c>
      <c r="E214" s="37" t="s">
        <v>725</v>
      </c>
    </row>
    <row r="215" spans="4:5" x14ac:dyDescent="0.25">
      <c r="D215" s="1" t="s">
        <v>727</v>
      </c>
      <c r="E215" s="37" t="s">
        <v>728</v>
      </c>
    </row>
    <row r="216" spans="4:5" x14ac:dyDescent="0.25">
      <c r="D216" s="1" t="s">
        <v>729</v>
      </c>
      <c r="E216" s="37" t="s">
        <v>728</v>
      </c>
    </row>
    <row r="217" spans="4:5" x14ac:dyDescent="0.25">
      <c r="D217" s="1" t="s">
        <v>730</v>
      </c>
      <c r="E217" s="37" t="s">
        <v>728</v>
      </c>
    </row>
    <row r="218" spans="4:5" x14ac:dyDescent="0.25">
      <c r="D218" s="1" t="s">
        <v>731</v>
      </c>
      <c r="E218" s="37" t="s">
        <v>732</v>
      </c>
    </row>
    <row r="219" spans="4:5" x14ac:dyDescent="0.25">
      <c r="D219" s="1" t="s">
        <v>733</v>
      </c>
      <c r="E219" s="37" t="s">
        <v>732</v>
      </c>
    </row>
    <row r="220" spans="4:5" x14ac:dyDescent="0.25">
      <c r="D220" s="1" t="s">
        <v>734</v>
      </c>
      <c r="E220" s="37" t="s">
        <v>732</v>
      </c>
    </row>
    <row r="221" spans="4:5" x14ac:dyDescent="0.25">
      <c r="D221" s="1" t="s">
        <v>735</v>
      </c>
      <c r="E221" s="37" t="s">
        <v>736</v>
      </c>
    </row>
    <row r="222" spans="4:5" x14ac:dyDescent="0.25">
      <c r="D222" s="1" t="s">
        <v>737</v>
      </c>
      <c r="E222" s="37" t="s">
        <v>736</v>
      </c>
    </row>
    <row r="223" spans="4:5" x14ac:dyDescent="0.25">
      <c r="D223" s="1" t="s">
        <v>738</v>
      </c>
      <c r="E223" s="37" t="s">
        <v>736</v>
      </c>
    </row>
    <row r="224" spans="4:5" x14ac:dyDescent="0.25">
      <c r="D224" s="1" t="s">
        <v>739</v>
      </c>
      <c r="E224" s="37" t="s">
        <v>725</v>
      </c>
    </row>
    <row r="227" spans="4:19" ht="23.25" x14ac:dyDescent="0.25">
      <c r="D227" s="6" t="s">
        <v>740</v>
      </c>
    </row>
    <row r="228" spans="4:19" x14ac:dyDescent="0.25">
      <c r="D228" s="5" t="s">
        <v>741</v>
      </c>
    </row>
    <row r="229" spans="4:19" x14ac:dyDescent="0.25">
      <c r="D229" s="53" t="s">
        <v>742</v>
      </c>
    </row>
    <row r="231" spans="4:19" x14ac:dyDescent="0.25">
      <c r="D231" s="37" t="s">
        <v>47</v>
      </c>
      <c r="E231" s="37" t="s">
        <v>209</v>
      </c>
      <c r="F231" s="36" t="s">
        <v>210</v>
      </c>
      <c r="G231" s="37" t="s">
        <v>104</v>
      </c>
      <c r="H231" s="37" t="s">
        <v>211</v>
      </c>
      <c r="I231" s="37" t="s">
        <v>212</v>
      </c>
      <c r="J231" s="37" t="s">
        <v>103</v>
      </c>
      <c r="K231" s="37" t="s">
        <v>102</v>
      </c>
      <c r="L231" s="37" t="s">
        <v>213</v>
      </c>
      <c r="M231" s="37" t="s">
        <v>214</v>
      </c>
      <c r="N231" s="37" t="s">
        <v>101</v>
      </c>
      <c r="O231" s="37" t="s">
        <v>215</v>
      </c>
      <c r="P231" s="37" t="s">
        <v>106</v>
      </c>
      <c r="Q231" s="37" t="s">
        <v>107</v>
      </c>
      <c r="R231" s="37" t="s">
        <v>105</v>
      </c>
      <c r="S231" s="37" t="s">
        <v>216</v>
      </c>
    </row>
    <row r="232" spans="4:19" x14ac:dyDescent="0.25">
      <c r="D232" s="37" t="s">
        <v>665</v>
      </c>
      <c r="E232" s="37" t="s">
        <v>743</v>
      </c>
      <c r="F232" s="37">
        <v>0.66</v>
      </c>
      <c r="G232" s="37">
        <v>0.1</v>
      </c>
      <c r="H232" s="37">
        <v>0.1</v>
      </c>
      <c r="I232" s="37">
        <v>1E-3</v>
      </c>
      <c r="J232" s="37">
        <v>5.0000000000000001E-3</v>
      </c>
      <c r="K232" s="37">
        <v>0.02</v>
      </c>
      <c r="L232" s="37">
        <v>0.03</v>
      </c>
      <c r="M232" s="37">
        <v>0.04</v>
      </c>
      <c r="N232" s="37">
        <v>1.4999999999999999E-2</v>
      </c>
      <c r="O232" s="37">
        <v>1.4999999999999999E-2</v>
      </c>
      <c r="P232" s="37">
        <v>0</v>
      </c>
      <c r="Q232" s="37">
        <v>0</v>
      </c>
      <c r="R232" s="37">
        <v>4.7000000000000002E-3</v>
      </c>
      <c r="S232" s="37">
        <v>10</v>
      </c>
    </row>
    <row r="233" spans="4:19" x14ac:dyDescent="0.25">
      <c r="D233" s="1" t="s">
        <v>665</v>
      </c>
      <c r="E233" s="37">
        <v>11</v>
      </c>
      <c r="F233" s="37">
        <v>0.68</v>
      </c>
      <c r="G233" s="37">
        <v>0.1</v>
      </c>
      <c r="H233" s="37">
        <v>0.11</v>
      </c>
      <c r="I233" s="37">
        <v>1E-3</v>
      </c>
      <c r="J233" s="37">
        <v>5.0000000000000001E-3</v>
      </c>
      <c r="K233" s="37">
        <v>0.02</v>
      </c>
      <c r="L233" s="37">
        <v>0.03</v>
      </c>
      <c r="M233" s="37">
        <v>0.04</v>
      </c>
      <c r="N233" s="37">
        <v>1.4999999999999999E-2</v>
      </c>
      <c r="O233" s="37">
        <v>1.4999999999999999E-2</v>
      </c>
      <c r="P233" s="37">
        <v>0</v>
      </c>
      <c r="Q233" s="37">
        <v>0</v>
      </c>
      <c r="R233" s="37">
        <v>4.7000000000000002E-3</v>
      </c>
      <c r="S233" s="37">
        <v>11</v>
      </c>
    </row>
    <row r="234" spans="4:19" x14ac:dyDescent="0.25">
      <c r="D234" s="1" t="s">
        <v>665</v>
      </c>
      <c r="E234" s="37">
        <v>12</v>
      </c>
      <c r="F234" s="37">
        <v>0.7</v>
      </c>
      <c r="G234" s="37">
        <v>0.1</v>
      </c>
      <c r="H234" s="37">
        <v>0.13</v>
      </c>
      <c r="I234" s="37">
        <v>1E-3</v>
      </c>
      <c r="J234" s="37">
        <v>5.0000000000000001E-3</v>
      </c>
      <c r="K234" s="37">
        <v>0.02</v>
      </c>
      <c r="L234" s="37">
        <v>0.03</v>
      </c>
      <c r="M234" s="37">
        <v>0.04</v>
      </c>
      <c r="N234" s="37">
        <v>1.4999999999999999E-2</v>
      </c>
      <c r="O234" s="37">
        <v>1.4999999999999999E-2</v>
      </c>
      <c r="P234" s="37">
        <v>0</v>
      </c>
      <c r="Q234" s="37">
        <v>0</v>
      </c>
      <c r="R234" s="37">
        <v>4.7000000000000002E-3</v>
      </c>
      <c r="S234" s="37">
        <v>12</v>
      </c>
    </row>
    <row r="235" spans="4:19" x14ac:dyDescent="0.25">
      <c r="D235" s="1" t="s">
        <v>665</v>
      </c>
      <c r="E235" s="37">
        <v>13</v>
      </c>
      <c r="F235" s="37">
        <v>0.71</v>
      </c>
      <c r="G235" s="37">
        <v>0.1</v>
      </c>
      <c r="H235" s="37">
        <v>0.14000000000000001</v>
      </c>
      <c r="I235" s="37">
        <v>1E-3</v>
      </c>
      <c r="J235" s="37">
        <v>5.0000000000000001E-3</v>
      </c>
      <c r="K235" s="37">
        <v>0.02</v>
      </c>
      <c r="L235" s="37">
        <v>0.03</v>
      </c>
      <c r="M235" s="37">
        <v>0.04</v>
      </c>
      <c r="N235" s="37">
        <v>1.4999999999999999E-2</v>
      </c>
      <c r="O235" s="37">
        <v>1.4999999999999999E-2</v>
      </c>
      <c r="P235" s="37">
        <v>0</v>
      </c>
      <c r="Q235" s="37">
        <v>0</v>
      </c>
      <c r="R235" s="37">
        <v>4.7000000000000002E-3</v>
      </c>
      <c r="S235" s="37">
        <v>13</v>
      </c>
    </row>
    <row r="236" spans="4:19" x14ac:dyDescent="0.25">
      <c r="D236" s="1" t="s">
        <v>665</v>
      </c>
      <c r="E236" s="37">
        <v>14</v>
      </c>
      <c r="F236" s="37">
        <v>0.73</v>
      </c>
      <c r="G236" s="37">
        <v>0.1</v>
      </c>
      <c r="H236" s="37">
        <v>0.15</v>
      </c>
      <c r="I236" s="37">
        <v>1E-3</v>
      </c>
      <c r="J236" s="37">
        <v>5.0000000000000001E-3</v>
      </c>
      <c r="K236" s="37">
        <v>0.02</v>
      </c>
      <c r="L236" s="37">
        <v>0.03</v>
      </c>
      <c r="M236" s="37">
        <v>0.04</v>
      </c>
      <c r="N236" s="37">
        <v>1.4999999999999999E-2</v>
      </c>
      <c r="O236" s="37">
        <v>1.4999999999999999E-2</v>
      </c>
      <c r="P236" s="37">
        <v>0</v>
      </c>
      <c r="Q236" s="37">
        <v>0</v>
      </c>
      <c r="R236" s="37">
        <v>4.7000000000000002E-3</v>
      </c>
      <c r="S236" s="37">
        <v>14</v>
      </c>
    </row>
    <row r="237" spans="4:19" x14ac:dyDescent="0.25">
      <c r="D237" s="1" t="s">
        <v>663</v>
      </c>
      <c r="E237" s="37">
        <v>15</v>
      </c>
      <c r="F237" s="37">
        <v>0.74</v>
      </c>
      <c r="G237" s="37">
        <v>0.1</v>
      </c>
      <c r="H237" s="37">
        <v>0.17</v>
      </c>
      <c r="I237" s="37">
        <v>5.0000000000000001E-3</v>
      </c>
      <c r="J237" s="37">
        <v>0.01</v>
      </c>
      <c r="K237" s="37">
        <v>0.02</v>
      </c>
      <c r="L237" s="37">
        <v>0.03</v>
      </c>
      <c r="M237" s="37">
        <v>0.04</v>
      </c>
      <c r="N237" s="37">
        <v>1.4999999999999999E-2</v>
      </c>
      <c r="O237" s="37">
        <v>1.4999999999999999E-2</v>
      </c>
      <c r="P237" s="37">
        <v>0</v>
      </c>
      <c r="Q237" s="37">
        <v>0</v>
      </c>
      <c r="R237" s="37">
        <v>4.7000000000000002E-3</v>
      </c>
      <c r="S237" s="37">
        <v>15</v>
      </c>
    </row>
    <row r="238" spans="4:19" x14ac:dyDescent="0.25">
      <c r="D238" s="1" t="s">
        <v>663</v>
      </c>
      <c r="E238" s="37">
        <v>16</v>
      </c>
      <c r="F238" s="37">
        <v>0.75</v>
      </c>
      <c r="G238" s="37">
        <v>0.1</v>
      </c>
      <c r="H238" s="37">
        <v>0.18</v>
      </c>
      <c r="I238" s="37">
        <v>5.0000000000000001E-3</v>
      </c>
      <c r="J238" s="37">
        <v>0.01</v>
      </c>
      <c r="K238" s="37">
        <v>0.02</v>
      </c>
      <c r="L238" s="37">
        <v>0.03</v>
      </c>
      <c r="M238" s="37">
        <v>0.04</v>
      </c>
      <c r="N238" s="37">
        <v>1.4999999999999999E-2</v>
      </c>
      <c r="O238" s="37">
        <v>1.4999999999999999E-2</v>
      </c>
      <c r="P238" s="37">
        <v>0</v>
      </c>
      <c r="Q238" s="37">
        <v>0</v>
      </c>
      <c r="R238" s="37">
        <v>4.7000000000000002E-3</v>
      </c>
      <c r="S238" s="37">
        <v>16</v>
      </c>
    </row>
    <row r="239" spans="4:19" x14ac:dyDescent="0.25">
      <c r="D239" s="1" t="s">
        <v>663</v>
      </c>
      <c r="E239" s="37">
        <v>17</v>
      </c>
      <c r="F239" s="37">
        <v>0.76</v>
      </c>
      <c r="G239" s="37">
        <v>0.1</v>
      </c>
      <c r="H239" s="37">
        <v>0.2</v>
      </c>
      <c r="I239" s="37">
        <v>5.0000000000000001E-3</v>
      </c>
      <c r="J239" s="37">
        <v>0.01</v>
      </c>
      <c r="K239" s="37">
        <v>0.02</v>
      </c>
      <c r="L239" s="37">
        <v>0.03</v>
      </c>
      <c r="M239" s="37">
        <v>0.04</v>
      </c>
      <c r="N239" s="37">
        <v>1.4999999999999999E-2</v>
      </c>
      <c r="O239" s="37">
        <v>1.4999999999999999E-2</v>
      </c>
      <c r="P239" s="37">
        <v>0</v>
      </c>
      <c r="Q239" s="37">
        <v>0</v>
      </c>
      <c r="R239" s="37">
        <v>4.7000000000000002E-3</v>
      </c>
      <c r="S239" s="37">
        <v>17</v>
      </c>
    </row>
    <row r="240" spans="4:19" x14ac:dyDescent="0.25">
      <c r="D240" s="1" t="s">
        <v>663</v>
      </c>
      <c r="E240" s="37">
        <v>18</v>
      </c>
      <c r="F240" s="37">
        <v>0.77</v>
      </c>
      <c r="G240" s="37">
        <v>0.1</v>
      </c>
      <c r="H240" s="37">
        <v>0.22</v>
      </c>
      <c r="I240" s="37">
        <v>5.0000000000000001E-3</v>
      </c>
      <c r="J240" s="37">
        <v>0.01</v>
      </c>
      <c r="K240" s="37">
        <v>0.02</v>
      </c>
      <c r="L240" s="37">
        <v>0.03</v>
      </c>
      <c r="M240" s="37">
        <v>0.04</v>
      </c>
      <c r="N240" s="37">
        <v>1.4999999999999999E-2</v>
      </c>
      <c r="O240" s="37">
        <v>1.4999999999999999E-2</v>
      </c>
      <c r="P240" s="37">
        <v>0</v>
      </c>
      <c r="Q240" s="37">
        <v>0</v>
      </c>
      <c r="R240" s="37">
        <v>4.7000000000000002E-3</v>
      </c>
      <c r="S240" s="37">
        <v>18</v>
      </c>
    </row>
    <row r="241" spans="4:19" x14ac:dyDescent="0.25">
      <c r="D241" s="1" t="s">
        <v>663</v>
      </c>
      <c r="E241" s="37">
        <v>19</v>
      </c>
      <c r="F241" s="37">
        <v>0.77</v>
      </c>
      <c r="G241" s="37">
        <v>0.1</v>
      </c>
      <c r="H241" s="37">
        <v>0.24</v>
      </c>
      <c r="I241" s="37">
        <v>5.0000000000000001E-3</v>
      </c>
      <c r="J241" s="37">
        <v>0.01</v>
      </c>
      <c r="K241" s="37">
        <v>0.02</v>
      </c>
      <c r="L241" s="37">
        <v>0.03</v>
      </c>
      <c r="M241" s="37">
        <v>0.04</v>
      </c>
      <c r="N241" s="37">
        <v>1.4999999999999999E-2</v>
      </c>
      <c r="O241" s="37">
        <v>1.4999999999999999E-2</v>
      </c>
      <c r="P241" s="37">
        <v>0</v>
      </c>
      <c r="Q241" s="37">
        <v>0</v>
      </c>
      <c r="R241" s="37">
        <v>4.7000000000000002E-3</v>
      </c>
      <c r="S241" s="37">
        <v>19</v>
      </c>
    </row>
    <row r="242" spans="4:19" x14ac:dyDescent="0.25">
      <c r="D242" s="1" t="s">
        <v>663</v>
      </c>
      <c r="E242" s="37">
        <v>20</v>
      </c>
      <c r="F242" s="37">
        <v>0.78</v>
      </c>
      <c r="G242" s="37">
        <v>0.1</v>
      </c>
      <c r="H242" s="37">
        <v>0.26</v>
      </c>
      <c r="I242" s="37">
        <v>5.0000000000000001E-3</v>
      </c>
      <c r="J242" s="37">
        <v>0.01</v>
      </c>
      <c r="K242" s="37">
        <v>0.02</v>
      </c>
      <c r="L242" s="37">
        <v>0.03</v>
      </c>
      <c r="M242" s="37">
        <v>0.04</v>
      </c>
      <c r="N242" s="37">
        <v>1.4999999999999999E-2</v>
      </c>
      <c r="O242" s="37">
        <v>1.4999999999999999E-2</v>
      </c>
      <c r="P242" s="37">
        <v>0</v>
      </c>
      <c r="Q242" s="37">
        <v>0</v>
      </c>
      <c r="R242" s="37">
        <v>4.7000000000000002E-3</v>
      </c>
      <c r="S242" s="37">
        <v>20</v>
      </c>
    </row>
    <row r="243" spans="4:19" x14ac:dyDescent="0.25">
      <c r="D243" s="1" t="s">
        <v>663</v>
      </c>
      <c r="E243" s="37">
        <v>21</v>
      </c>
      <c r="F243" s="37">
        <v>0.78</v>
      </c>
      <c r="G243" s="37">
        <v>0.1</v>
      </c>
      <c r="H243" s="37">
        <v>0.28999999999999998</v>
      </c>
      <c r="I243" s="37">
        <v>5.0000000000000001E-3</v>
      </c>
      <c r="J243" s="37">
        <v>0.01</v>
      </c>
      <c r="K243" s="37">
        <v>0.02</v>
      </c>
      <c r="L243" s="37">
        <v>0.03</v>
      </c>
      <c r="M243" s="37">
        <v>0.04</v>
      </c>
      <c r="N243" s="37">
        <v>1.4999999999999999E-2</v>
      </c>
      <c r="O243" s="37">
        <v>1.4999999999999999E-2</v>
      </c>
      <c r="P243" s="37">
        <v>0</v>
      </c>
      <c r="Q243" s="37">
        <v>0</v>
      </c>
      <c r="R243" s="37">
        <v>4.7000000000000002E-3</v>
      </c>
      <c r="S243" s="37">
        <v>21</v>
      </c>
    </row>
    <row r="244" spans="4:19" x14ac:dyDescent="0.25">
      <c r="D244" s="1" t="s">
        <v>663</v>
      </c>
      <c r="E244" s="37">
        <v>22</v>
      </c>
      <c r="F244" s="37">
        <v>0.78</v>
      </c>
      <c r="G244" s="37">
        <v>0.1</v>
      </c>
      <c r="H244" s="37">
        <v>0.31</v>
      </c>
      <c r="I244" s="37">
        <v>5.0000000000000001E-3</v>
      </c>
      <c r="J244" s="37">
        <v>0.01</v>
      </c>
      <c r="K244" s="37">
        <v>0.02</v>
      </c>
      <c r="L244" s="37">
        <v>0.03</v>
      </c>
      <c r="M244" s="37">
        <v>0.04</v>
      </c>
      <c r="N244" s="37">
        <v>1.4999999999999999E-2</v>
      </c>
      <c r="O244" s="37">
        <v>1.4999999999999999E-2</v>
      </c>
      <c r="P244" s="37">
        <v>0</v>
      </c>
      <c r="Q244" s="37">
        <v>0</v>
      </c>
      <c r="R244" s="37">
        <v>4.7000000000000002E-3</v>
      </c>
      <c r="S244" s="37">
        <v>22</v>
      </c>
    </row>
    <row r="245" spans="4:19" x14ac:dyDescent="0.25">
      <c r="D245" s="1" t="s">
        <v>663</v>
      </c>
      <c r="E245" s="37">
        <v>23</v>
      </c>
      <c r="F245" s="37">
        <v>0.79</v>
      </c>
      <c r="G245" s="37">
        <v>0.1</v>
      </c>
      <c r="H245" s="37">
        <v>0.34</v>
      </c>
      <c r="I245" s="37">
        <v>5.0000000000000001E-3</v>
      </c>
      <c r="J245" s="37">
        <v>0.01</v>
      </c>
      <c r="K245" s="37">
        <v>0.02</v>
      </c>
      <c r="L245" s="37">
        <v>0.03</v>
      </c>
      <c r="M245" s="37">
        <v>0.04</v>
      </c>
      <c r="N245" s="37">
        <v>1.4999999999999999E-2</v>
      </c>
      <c r="O245" s="37">
        <v>1.4999999999999999E-2</v>
      </c>
      <c r="P245" s="37">
        <v>0</v>
      </c>
      <c r="Q245" s="37">
        <v>0</v>
      </c>
      <c r="R245" s="37">
        <v>4.7000000000000002E-3</v>
      </c>
      <c r="S245" s="37">
        <v>23</v>
      </c>
    </row>
    <row r="246" spans="4:19" x14ac:dyDescent="0.25">
      <c r="D246" s="1" t="s">
        <v>663</v>
      </c>
      <c r="E246" s="37">
        <v>24</v>
      </c>
      <c r="F246" s="37">
        <v>0.79</v>
      </c>
      <c r="G246" s="37">
        <v>0.1</v>
      </c>
      <c r="H246" s="37">
        <v>0.37</v>
      </c>
      <c r="I246" s="37">
        <v>5.0000000000000001E-3</v>
      </c>
      <c r="J246" s="37">
        <v>0.01</v>
      </c>
      <c r="K246" s="37">
        <v>0.02</v>
      </c>
      <c r="L246" s="37">
        <v>0.03</v>
      </c>
      <c r="M246" s="37">
        <v>0.04</v>
      </c>
      <c r="N246" s="37">
        <v>1.4999999999999999E-2</v>
      </c>
      <c r="O246" s="37">
        <v>1.4999999999999999E-2</v>
      </c>
      <c r="P246" s="37">
        <v>0</v>
      </c>
      <c r="Q246" s="37">
        <v>0</v>
      </c>
      <c r="R246" s="37">
        <v>4.7000000000000002E-3</v>
      </c>
      <c r="S246" s="37">
        <v>24</v>
      </c>
    </row>
    <row r="247" spans="4:19" x14ac:dyDescent="0.25">
      <c r="D247" s="1" t="s">
        <v>663</v>
      </c>
      <c r="E247" s="37">
        <v>25</v>
      </c>
      <c r="F247" s="37">
        <v>0.79</v>
      </c>
      <c r="G247" s="37">
        <v>0.1</v>
      </c>
      <c r="H247" s="37">
        <v>0.41</v>
      </c>
      <c r="I247" s="37">
        <v>5.0000000000000001E-3</v>
      </c>
      <c r="J247" s="37">
        <v>0.01</v>
      </c>
      <c r="K247" s="37">
        <v>0.02</v>
      </c>
      <c r="L247" s="37">
        <v>0.03</v>
      </c>
      <c r="M247" s="37">
        <v>0.04</v>
      </c>
      <c r="N247" s="37">
        <v>1.4999999999999999E-2</v>
      </c>
      <c r="O247" s="37">
        <v>1.4999999999999999E-2</v>
      </c>
      <c r="P247" s="37">
        <v>0</v>
      </c>
      <c r="Q247" s="37">
        <v>0</v>
      </c>
      <c r="R247" s="37">
        <v>4.7000000000000002E-3</v>
      </c>
      <c r="S247" s="37">
        <v>25</v>
      </c>
    </row>
    <row r="248" spans="4:19" x14ac:dyDescent="0.25">
      <c r="D248" s="1" t="s">
        <v>661</v>
      </c>
      <c r="E248" s="37">
        <v>26</v>
      </c>
      <c r="F248" s="37">
        <v>0.79</v>
      </c>
      <c r="G248" s="37">
        <v>0.1</v>
      </c>
      <c r="H248" s="37">
        <v>0.44</v>
      </c>
      <c r="I248" s="37">
        <v>0.01</v>
      </c>
      <c r="J248" s="37">
        <v>1.4999999999999999E-2</v>
      </c>
      <c r="K248" s="37">
        <v>0.02</v>
      </c>
      <c r="L248" s="37">
        <v>0.03</v>
      </c>
      <c r="M248" s="37">
        <v>0.04</v>
      </c>
      <c r="N248" s="37">
        <v>1.4999999999999999E-2</v>
      </c>
      <c r="O248" s="37">
        <v>1.4999999999999999E-2</v>
      </c>
      <c r="P248" s="37">
        <v>0</v>
      </c>
      <c r="Q248" s="37">
        <v>0</v>
      </c>
      <c r="R248" s="37">
        <v>4.7000000000000002E-3</v>
      </c>
      <c r="S248" s="37">
        <v>26</v>
      </c>
    </row>
    <row r="249" spans="4:19" x14ac:dyDescent="0.25">
      <c r="D249" s="1" t="s">
        <v>661</v>
      </c>
      <c r="E249" s="37">
        <v>27</v>
      </c>
      <c r="F249" s="37">
        <v>0.8</v>
      </c>
      <c r="G249" s="37">
        <v>0.1</v>
      </c>
      <c r="H249" s="37">
        <v>0.48</v>
      </c>
      <c r="I249" s="37">
        <v>0.01</v>
      </c>
      <c r="J249" s="37">
        <v>1.4999999999999999E-2</v>
      </c>
      <c r="K249" s="37">
        <v>0.02</v>
      </c>
      <c r="L249" s="37">
        <v>0.03</v>
      </c>
      <c r="M249" s="37">
        <v>0.04</v>
      </c>
      <c r="N249" s="37">
        <v>1.4999999999999999E-2</v>
      </c>
      <c r="O249" s="37">
        <v>1.4999999999999999E-2</v>
      </c>
      <c r="P249" s="37">
        <v>0</v>
      </c>
      <c r="Q249" s="37">
        <v>0</v>
      </c>
      <c r="R249" s="37">
        <v>4.7000000000000002E-3</v>
      </c>
      <c r="S249" s="37">
        <v>27</v>
      </c>
    </row>
    <row r="250" spans="4:19" x14ac:dyDescent="0.25">
      <c r="D250" s="1" t="s">
        <v>661</v>
      </c>
      <c r="E250" s="37" t="s">
        <v>744</v>
      </c>
      <c r="F250" s="37">
        <v>0.8</v>
      </c>
      <c r="G250" s="37">
        <v>0.1</v>
      </c>
      <c r="H250" s="37">
        <v>0.5</v>
      </c>
      <c r="I250" s="37">
        <v>0.01</v>
      </c>
      <c r="J250" s="37">
        <v>1.4999999999999999E-2</v>
      </c>
      <c r="K250" s="37">
        <v>0.02</v>
      </c>
      <c r="L250" s="37">
        <v>0.03</v>
      </c>
      <c r="M250" s="37">
        <v>0.04</v>
      </c>
      <c r="N250" s="37">
        <v>1.4999999999999999E-2</v>
      </c>
      <c r="O250" s="37">
        <v>1.4999999999999999E-2</v>
      </c>
      <c r="P250" s="37">
        <v>0</v>
      </c>
      <c r="Q250" s="37">
        <v>0</v>
      </c>
      <c r="R250" s="37">
        <v>4.7000000000000002E-3</v>
      </c>
      <c r="S250" s="37">
        <v>28</v>
      </c>
    </row>
    <row r="253" spans="4:19" ht="23.25" x14ac:dyDescent="0.25">
      <c r="D253" s="6" t="s">
        <v>745</v>
      </c>
    </row>
    <row r="254" spans="4:19" x14ac:dyDescent="0.25">
      <c r="D254" s="5" t="s">
        <v>746</v>
      </c>
    </row>
    <row r="255" spans="4:19" x14ac:dyDescent="0.25">
      <c r="D255" s="1" t="s">
        <v>251</v>
      </c>
    </row>
    <row r="256" spans="4:19" x14ac:dyDescent="0.25">
      <c r="D256" s="52" t="s">
        <v>722</v>
      </c>
    </row>
    <row r="257" spans="4:5" x14ac:dyDescent="0.25">
      <c r="D257" s="37" t="s">
        <v>250</v>
      </c>
      <c r="E257" s="37" t="s">
        <v>251</v>
      </c>
    </row>
    <row r="258" spans="4:5" x14ac:dyDescent="0.25">
      <c r="D258" s="37" t="s">
        <v>627</v>
      </c>
      <c r="E258" s="37">
        <v>6.0000000000000001E-3</v>
      </c>
    </row>
    <row r="259" spans="4:5" x14ac:dyDescent="0.25">
      <c r="D259" s="1" t="s">
        <v>631</v>
      </c>
      <c r="E259" s="37">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BcAHUAMAAwADIANwBCAGEAcwBpAHMAXAB1ADAAMAAyAD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BcAHUAMAAwADIANwBTAGMAbwBwAGUAIAAzACAAZABlAGYAaQBuAGkAdABpAG8AbgBcAHUAMAAwADIANwAgAGMAbwBsAHUAbQBuACAAdABvACAAYQBsAGwAbwB3ACAAbQBhAHAAcABpAG4AZwAgAHcAaQB0AGgAIABzAGMAbwBwAGUAIAAzACAAZABhAHQAYQBcACIAOwBcAG4AIAAgAFwAIgBBAGQAZABlAGQAIABcAHUAMAAwADIANwBTAG8AdQByAGMAZQBcAHUAMAAwADIAN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BcAHUAMAAwADIANwBSAGUAZgBlAHIAZQBuAGMAZQBzAFwAdQAwADAAMgA3ACAAYwBvAGwAdQBtAG4AXAAiADsAXABuACAAIABcACIARQB4AGMAbAB1AGQAZQBkACAAXAB1ADAAMAAyADcAQQBtAG0AbwBuAGkAdQBtACAAcwB1AGwAZgBhAHQAZQBcAHUAMAAwADIANwAgAGEAcwAgAGkAdAAgAGkAcwAgAGEAIABkAHUAcABsAGkAYwBhAHQAZQAgAG8AZgAgAFwAdQAwADAAMgA3AFMAdQBsAHAAaABhAHQAZQAgAG8AZgAgAGEAbQBtAG8AbgBpAGEAIAAoAFMATwBBACkAXAB1ADAAMAAyADcAXAAiADsAXABuACAAIABcACIARQB4AGMAbAB1AGQAZQBkACAAXAB1ADAAMAAyADcAQwBhAGwAYwBpAHUAbQAgAG4AaQB0AHIAYQB0AGUAXAB1ADAAMAAyADcAIABhAHMAIABuAG8AIABzAGMAbwBwAGUAIAAzACAAdgBhAGwAdQBlACAAYQB2AGEAaQBsAGEAYgBsAGUALgBcACIAOwBcAG4AIAAgAFwAIgBTAGUAdAAgAFwAdQAwADAAMgA3AE4AaQB0AHIAbwBnAGUAbgAgAC0AIABHAGUAbgBlAHIAaQBjAFwAdQAwADAAMgA3ACAAYgBhAHMAaQBzACAAYQBzACAAXAB1ADAAMAAyAD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FwAdQAwADAAMgA3AFUAcgBlAGEALQBhAG0AbQBvAG4AaQB1AG0AIABuAGkAdAByAGEAdABlAFwAdQAwADAAMgA3ACAAYgBhAHMAaQBzACAAYQBzACAAXAB1ADAAMAAyADcAVQByAGUAYQAtAGIAYQBzAGUAZAAgAGYAZQByAHQAaQBsAGkAcwBlAHIAXAB1ADAAMAAyAD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DiAKwgHCBOACAAKwAgAE4ATwB4AOIArCAcI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MAOQAsACAAMwAyACwAXABuACAATABBAE0AQgBEAEEAKAByACwAYwAsAFwAbgAgACAASQBOAEQARQBYACgAewBcAG4AXABuAFwAIgBJAG4AYwBsAHUAZABlACAAbwByACAAZQB4AGMAbAB1AGQAZQBcACIALABcACIATgBvAHQAZQBzAFwAIgAsAFwAIgBDAG8AbQBwAGEAbgB5AFwAIgAsAFwAIgBQAHIAbwBkAHUAYwB0ACAATgBhAG0AZQBcACIALABcACIATABpAG4AawBcACIALABcACIARABhAHQAYQAgAHMAbwB1AHIAYwBlAFwAIgAsAFwAIgBTAG8AdQByAGMAZQAgAGkAbQBhAGcAZQBzAFwAIgAsAFwAIgBVAG4AaQB0AFwAIgAsAFwAIgBEAGUAbgBzAGkAdAB5ACAAKABsACAAdABvACAAawBnACkAXAAiACwAXAAiAFUAcgBlAGEAIABzAG8AdQByAGMAZQBcACIALABcACIAQQBtAG0AbwBuAGkAYQAgAHMAbwB1AHIAYwBlAFwAIgAsAFwAIgBJAG4AZwByAGUAZABpAGUAbgB0ACAAMQBcACIALABcACIASQBuAGcAcgBlAGQAaQBlAG4AdAAgADEAIABwAGUAcgBjAGUAbgB0AFwAIgAsAFwAIgBJAG4AZwByAGUAZABpAGUAbgB0ACAAMgBcACIALABcACIASQBuAGcAcgBlAGQAaQBlAG4AdAAgADIAIABwAGUAcgBjAGUAbgB0AFwAIgAsAFwAIgBJAG4AZwByAGUAZABpAGUAbgB0ACAAMwBcACIALABcACIASQBuAGcAcgBlAGQAaQBlAG4AdAAgADMAIABwAGUAcgBjAGUAbgB0AFwAIgAsAFwAIgBJAG4AZwByAGUAZABpAGUAbgB0ACAANABcACIALABcACIASQBuAGcAcgBlAGQAaQBlAG4AdAAgADQAIABwAGUAcgBjAGUAbgB0AFwAIgAsAFwAIgBJAG4AZwByAGUAZABpAGUAbgB0ACAANQBcACIALABcACIASQBuAGcAcgBlAGQAaQBlAG4AdAAgADUAIABwAGUAcgBjAGUAbgB0AFwAIgAsAFwAIgBJAG4AZwByAGUAZABpAGUAbgB0ACAANgBcACIALABcACIASQBuAGcAcgBlAGQAaQBlAG4AdAAgADYAIABwAGUAcgBjAGUAbgB0AFwAIgAsAFwAIgBJAG4AZwByAGUAZABpAGUAbgB0ACAANwBcACIALABcACIASQBuAGcAcgBlAGQAaQBlAG4AdAAgADcAIABwAGUAcgBjAGUAbgB0AFwAIgAsAFwAIgBJAG4AZwByAGUAZABpAGUAbgB0ACAAOABcACIALABcACIASQBuAGcAcgBlAGQAaQBlAG4AdAAgADgAIABwAGUAcgBjAGUAbgB0AFwAIgAsAFwAIgBJAG4AZwByAGUAZABpAGUAbgB0ACAAOQBcACIALABcACIASQBuAGcAcgBlAGQAaQBlAG4AdAAgADkAIABwAGUAcgBjAGUAbgB0AFwAIgAsAFwAIgBJAG4AZwByAGUAZABpAGUAbgB0ACAAMQAwAFwAIgAsAFwAIgBJAG4AZwByAGUAZABpAGUAbgB0ACAAMQAwACAAcABlAHIAYwBlAG4AdABcACIALABcACIARQBOAEQAIABSAE8AVwBcACIAOwBcAG4AXAAiAEkAbgBjAGwAdQBkAGUAXAAiACwAXAAiAFwAIgAsAFwAIgBDAGEAbQBwAGIAZQBsAGwAcwAgAGYAZQByAHQAaQBsAGkAcwBlAHIAcwAgAEEAdQBzAHQAcgBhAGwAaQBhAFwAIgAsAFwAIgBBAHEAdQBhACAARgBpAG4AaQBzAGgAXAAiACwAXAAiAEEAcQB1AGEAIABGAGkAbgBpAHMAaAAgAC0AIABDAGEAbQBwAGIAZQBsAGwAcwAgAEYAZQByAHQAaQBsAGkAcwBlAHIAcwAgAEEAdQBzAHQAcgBhAGwAYQBzAGkAYQBcACIALABcACIAVwBlAGIAcwBpAHQAZQBcACIALABcACIAXAAiACwAXAAiAEwAXAAiACwAMQAuADIANgAsAFwAIgBcACI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cAcgBvAHcAXAAiACwAXAAiAEEAcQB1AGEAIABHAHIAbwB3ACAALQAgAEMAYQBtAHAAYgBlAGwAbABzACAARgBlAHIAdABpAGwAaQBzAGUAcgBzACAAQQB1AHMAdAByAGEAbABhAHMAaQBhAFwAIgAsAFwAIgBXAGUAYgBzAGkAdABlAFwAIgAsAFwAIgBcACIALABcACIATABcACIALAAxAC4AMgA2ACwAXAAiAFwAIgAsAFwAIgBcACIALABcACIAUABvAHQAYQBzAHMAaQB1AG0AIAAtACAARwBlAG4AZQByAGkAYwBcACIALAAwAC4AMQAwADUALABcACIATgBpAHQAcgBvAGcAZQBuACAALQAgAEcAZQBuAGUAcgBpAGMAIABcACIALAAwAC4AMAA5ADYALABcACIAUABoAG8AcwBwAGgAbwByAHUAcwAgAC0AIABHAGUAbgBlAHIAaQBjAFwAIgAsADAALgAwADU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OAGkAdAByAG8AIABBAE4AXAAiACwAXAAiAEEAcQB1AGEAIABOAGkAdAByAG8AIABBAE4AIAAtACAAQwBhAG0AcABiAGUAbABsAHMAIABGAGUAcgB0AGkAbABpAHMAZQByAHMAIABBAHUAcwB0AHIAYQBsAGEAcwBpAGEAXAAiACwAXAAiAFcAZQBiAHMAaQB0AGUALgAgAEIAcgBvAGMAaAB1AHIAZQBcACIALABcACIAXAAiACwAXAAiAEwAXAAiACwAMQAuADIANAAsAFwAIgBcACIALABcACIAXAAiACwAXAAiAE4AaQB0AHIAbwBnAGUAbgAgAC0AIABBAG0AbQBvAG4AaQBhAGMAYQBsAFwAIgAsADAALgAyADIAMw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FwAIgAsAFwAIgBBAHEAdQBhACAATgBpAHQAcgBvAEMAYQBsACAALQAgAEMAYQBtAHAAYgBlAGwAbABzACAARgBlAHIAdABpAGwAaQBzAGUAcgBzACAAQQB1AHMAdAByAGEAbABhAHMAaQBhAFwAIgAsAFwAIgBXAGUAYgBzAGkAdABlACAAUwBEAFMAXAAiACwAXAAiAFwAIgAsAFwAIgBMAFwAIgAsADEALgA1ACwAXAAiAFwAIgAsAFwAIgBcACIALABcACIAQwBhAGwAYwBpAHUAbQAgAC0AIABHAGUAbgBlAHIAaQBjAFwAIgAsADAALgAxADYAMg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EAcQB1AGEAIABOAGkAdAByAG8AQwBhAGwAIAAoAFYASQApAFwAIgAsAFwAIgBBAHEAdQBhACAATgBpAHQAcgBvAEMAYQBsACAAKABWAEkAK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c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VQBsAHQAaQBtAGEAdABlAFwAIgAsAFwAIgBBAHEAdQBhACAATgBpAHQAcgBvAEMAYQBsACAAVQBsAHQAaQBtAGEAdABlACAALQAgAEMAYQBtAHAAYgBlAGwAbABzACAARgBlAHIAdABpAGwAaQBzAGUAcgBzACAAQQB1AHMAdAByAGEAbABhAHMAaQBhAFwAIgAsAFwAIgBXAGUAYgBzAGkAdABlACAAUwBEAFMAXAAiACwAXAAiAFwAIgAsAFwAIgBMAFwAIgAsADEALgA1ACwAXAAiAFwAIgAsAFwAIgBcACIALABcACIAQwBhAGwAYwBpAHUAbQAgAC0AIABHAGUAbgBlAHIAaQBjAFwAIgAsADAALgAxADgAMwAsAFwAIgBOAGkAdAByAG8AZwBlAG4AIA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UwB0AGEAcgB0AFwAIgAsAFwAIgBBAHEAdQBhACAAUwB0AGEAcgB0ACAALQAgAEMAYQBtAHAAYgBlAGwAbABzACAARgBlAHIAdABpAGwAaQBzAGUAcgBzACAAQQB1AHMAdAByAGEAbABhAHMAaQBhAFwAIgAsAFwAIgBXAGUAYgBzAGkAdABlACAAUwBEAFMAXAAiACwAXAAiAFwAIgAsAFwAIgBMAFwAIgAsADEALgAyADUALABcACIAXAAiACwAXAAiAFwAIgAsAFwAIgBOAGkAdAByAG8AZwBlAG4AIAAtACAARwBlAG4AZQByAGkAYwBcACIALAAwAC4AMQAwADMALABcACIAUABoAG8AcwBwAGgAbwByAHUAcwAgAC0AIABHAGUAbgBlAHIAaQBjAFwAIgAsADAALgAxACwAXAAiAFAAbwB0AGEAcwBzAGkAdQBtACAALQAgAEcAZQBuAGUAcgBpAGMAXAAiACwAMAAuADAAMwA0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VABoAGkAbwAtAEMAbwBtAHAAbABlAHQAZQBcACIALABcACIAQQBxAHUAYQAgAFQAaABpAG8ALQBDAG8AbQBwAGwAZQB0AGUAIAAtACAAQwBhAG0AcABiAGUAbABsAHMAIABGAGUAcgB0AGkAbABpAHMAZQByAHMAIABBAHUAcwB0AHIAYQBsAGEAcwBpAGEAXAAiACwAXAAiAFcAZQBiAHMAaQB0AGUAIABTAEQAUwBcACIALABcACIAXAAiACwAXAAiAEwAXAAiACwAMQAuADQAMwAsAFwAIgBcACIALABcACIAXAAiACwAXAAiAFAAbwB0AGEAcwBzAGkAdQBtACAALQAgAEcAZQBuAGUAcgBpAGMAXAAiACwAMAAuADIAMgA1ACwAXAAiAFAAaABvAHMAcABoAG8AcgB1AHMAIAAtACAARwBlAG4AZQByAGkAYwBcACIALAAwAC4AMAAzADgALABcACIATgBpAHQAcgBvAGcAZQBuACAALQAgAEcAZQBuAGUAcgBpAGMAXAAiACwAMAAuADAAMg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VABoAGkAbwAtAEUAbQBlAHIAZwBlAFwAIgAsAFwAIgBBAHEAdQBhACAAVABoAGkAbwAtAEUAbQBlAHIAZwBlACAALQAgAEMAYQBtAHAAYgBlAGwAbABzACAARgBlAHIAdABpAGwAaQBzAGUAcgBzACAAQQB1AHMAdAByAGEAbABhAHMAaQBhAFwAIgAsAFwAIgBXAGUAYgBzAGkAdABlACAAUwBEAFMAXAAiACwAXAAiAFwAIgAsAFwAIgBMAFwAIgAsADEALgAyADkALABcACIAXAAiACwAXAAiAFwAIgAsAFwAIgBOAGkAdAByAG8AZwBlAG4AIAAtACAARwBlAG4AZQByAGkAYwBcACIALAAwAC4AMQAwADUALABcACIAUABoAG8AcwBwAGgAbwByAHUAcwAgAC0AIABHAGUAbgBlAHIAaQBjAFwAIgAsADAALgAwADkANAAsAFwAIgBQAG8AdABhAHMAcwBpAHUAbQAgAC0AIABHAGUAbgBlAHIAaQBjAFwAIgAsADAALgAwADQALABcACIAUwB1AGwAZgB1AHIAIAAtACAARwBlAG4AZQByAGkAYwBcACIALAAwAC4AMAAz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GAGwAbwB1AHIAaQBzAGgAXAAiACwAXAAiAEEAcQB1AGEAIABUAGgAaQBvAC0ARgBsAG8AdQByAGkAcwBoACAALQAgAEMAYQBtAHAAYgBlAGwAbABzACAARgBlAHIAdABpAGwAaQBzAGUAcgBzACAAQQB1AHMAdAByAGEAbABhAHMAaQBhAFwAIgAsAFwAIgBXAGUAYgBzAGkAdABlACAAUwBEAFMAXAAiACwAXAAiAFwAIgAsAFwAIgBMAFwAIgAsADEALgAzADIALABcACIAXAAiACwAXAAiAFwAIgAsAFwAIgBQAG8AdABhAHMAcwBpAHUAbQAgAC0AIABHAGUAbgBlAHIAaQBjAFwAIgAsADAALgAxADAAOAAsAFwAIgBOAGkAdAByAG8AZwBlAG4AIAAtACAARwBlAG4AZQByAGkAYwAgAFwAIgAsADAALgAwADkANQAsAFwAIgBTAHUAbABmAHUAcgAgAC0AIABHAGUAbgBlAHIAaQBjAFwAIgAsADAALgAwADgAMQAsAFwAIgBQAGgAbwBzAHAAaABvAHIAdQBzACAALQAgAEcAZQBuAGUAcgBpAGMAXAAiACwAMAAuADAANAA3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EYAbwBsACAAUABsAHUAcwBcACIALABcACIAQQBzAGMAbwAgAEYAbwBsACAAUABsAHUAcwAgAC0AIABDAGEAbQBwAGIAZQBsAGwAcwAgAEYAZQByAHQAaQBsAGkAcwBlAHIAcwAgAEEAdQBzAHQAcgBhAGwAYQBzAGkAYQBcACIALABcACIAXAAiACwAXAAiAE8AcgBnAGEAbgBpAGM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EAcwBjAG8AIABQAGwAdQBzAFwAIgAsAFwAIgBBAHMAYwBvACAAUABsAHUAcwAgAC0AIABDAGEAbQBwAGIAZQBsAGwAcwAgAEYAZQByAHQAaQBsAGkAcwBlAHIAcwAgAEEAdQBzAHQAcgBhAGwAYQBzAGkAYQBcACIALABcACIAXAAiACwAXAAiAE8AcgBnAGEAbgBpAGM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EAcwBjAG8AIABSAGgAaQB6AG8AIABQAGwAdQBzAFwAIgAsAFwAIgBBAHMAYwBvACAAUgBoAGkAegBvACAAUABsAHUAcwAgAC0AIABDAGEAbQBwAGIAZQBsAGwAcwAgAEYAZQByAHQAaQBsAGkAcwBlAHIAcwAgAEEAdQBzAHQAcgBhAGwAYQBzAGkAYQBcACIALABcACIAXAAiACwAXAAiAEIAaQBvAHMAdABpAG0AdQBsAGEAbgB0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GUAbgBlAGYAaQB0ACAAUABaAFwAIgAsAFwAIgBCAGUAbgBlAGYAaQB0ACAAUABa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QQBtAG8AdQBuAHQAIABvAGYAIAB1AHIAZQBhACAAYwBhAGwAYwB1AGwAYQB0AGUAZAAgAGYAcgBvAG0AIAB1AHIAZQBhACAAbgBpAHQAcgBvAGcAZQBuACAAYQBtAG8AdQBuAHQAXAAiACwAXAAiAEMAYQBtAHAAYgBlAGwAbABzACAAZgBlAHIAdABpAGwAaQBzAGUAcgBzACAAQQB1AHMAdAByAGEAbABpAGEAXAAiACwAXAAiAEIAbwBvAHMAdAAtAEkAdABcACIALABcACIAQgBvAG8AcwB0AC0ASQB0ACAALQAgAEMAYQBtAHAAYgBlAGwAbABzACAARgBlAHIAdABpAGwAaQBzAGUAcgBzACAAQQB1AHMAdAByAGEAbABhAHMAaQBhAFwAIgAsAFwAIgBXAGUAYgBzAGkAdABlACAAUwBEAFMAXAAiACwAXAAiAFwAIgAsAFwAIgBrAGcAXAAiACwAMQAsAFwAIgBcACIALABcACIAXAAiACwAXAAiAFUAcgBlAGEAXAAiACwAMAAuADUAMgAxADcAMwA5ADEAMwAsAFwAIgBQAG8AdABhAHMAcwBpAHUAbQAgAC0AIABHAGUAbgBlAHIAaQBjAFwAIgAsADAALgAwADgALABcACIAUwB1AGwAZgB1AHIAIAAtACAARwBlAG4AZQByAGkAYwBcACIALAAwAC4AMAA1ADMALABcACIAUABoAG8AcwBwAGgAbwByAHUAcwAgAC0AIABHAGUAbgBlAHIAaQBjAFwAIgAsADAALgAwADUAMgAsAFwAIgBNAGEAZwBuAGUAcwBpAHUAbQBcACIALAAwAC4AMAAxADMALABcACIAWgBpAG4AYwBcACIALAAwAC4AMAAwADIALABcACIATQBhAG4AZwBhAG4AZQBzAGUAXAAiACwAMAAuADAAMAAzADUALABcACIASQByAG8AbgBcACIALAAwAC4AMAAwADEAMwAsAFwAIgBDAG8AcABwAGUAcgBcACIALAAwAC4AMAAwADAANwAsAFwAIgBCAG8AcgBvAG4AXAAiACwAMAAuADAAMAAwADcALABcACIARQBOAEQAIABSAE8AVwBcACIAOwBcAG4AXAAiAEUAeABjAGwAdQBkAGUAIAAtACAATgBvAHQAIAByAGUAbABlAHYAYQBuAHQAXAAiACwAXAAiAFwAIgAsAFwAIgBDAGEAbQBwAGIAZQBsAGwAcwAgAGYAZQByAHQAaQBsAGkAcwBlAHIAcwAgAEEAdQBzAHQAcgBhAGwAaQBhAFwAIgAsAFwAIgBCAG8AcgBvAHAAbAB1AHMAXAAiACwAXAAiAEIAbwByAG8AcABsAHUAcw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gByAGUAdgBpAHMAbwBsACAAUgBhAG4AZwBlAFwAIgAsAFwAIgBCAHIAZQB2AGkAUwBvAGwAIABSAGEAbgBnAGU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gAaQBsACAATABpAG4AZQBcACIALABcACIAQgByAGUAeABpAGwAIABMAGkAbg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CAHIAbwBuAHoAZQBcACIALABcACIAQgByAG8AbgB6AGUAIAAtACAAQwBhAG0AcABiAGUAbABsAHMAIABGAGUAcgB0AGkAbABpAHMAZQByAHMAIABBAHUAcwB0AHIAYQBsAGEAcwBpAGEAXAAiACwAXAAiAFcAZQBiAHMAaQB0AGUAXAAiACwAXAAiAFwAIgAsAFwAIgBrAGcAXAAiACwAXAAiAFwAIgAsAFwAIgBcACIALABcACIAXAAiACwAXAAiAE0AdQByAGkAYQB0AGUAIABvAGYAIABQAG8AdABhAHMAaAAgACgATQBPAFAAKQBcACIALAAwAC4AMgAzADIALABcACIATgBpAHQAcgBvAGcAZQBuACAALQAgAEcAZQBuAGUAcgBpAGMAXAAiACwAMAAuADEANwAsAFwAIgBTAHUAbABmAHUAcgAgAC0AIABHAGUAbgBlAHIAaQBjAFwAIgAsADAALgAwADAANQAsAFwAIgBNAGEAZwBuAGUAcwBpAHUAbQBcACIALAAwAC4AMAAwADIANAAsAFwAIgBQAGgAbwBzAHAAaABvAHIAdQBzACAALQAgAEcAZQBuAGUAcgBpAGMAXAAiACwAMAAuADAAMAAwADQALABcACIAXAAiACwAXAAiAFwAIgAsAFwAIgBcACIALABcACIAXAAiACwAXAAiAFwAIgAsAFwAIgBcACIALABcACIAXAAiACwAXAAiAFwAIgAsAFwAIgBcACIALABcACIAXAAiACwAXAAiAEUATgBEACAAUgBPAFcAXAAiADsAXABuAFwAIgBFAHgAYwBsAHUAZABlACAALQAgAEEAYgBzAGUAbgB0ACAAaQBuAGcAcgBlAGQAaQBlAG4AdABzACAAXAB1ADAAMAAzAGUAIAAyACUAXAAiACwAXAAiAFwAIgAsAFwAIgBDAGEAbQBwAGIAZQBsAGwAcwAgAGYAZQByAHQAaQBsAGkAcwBlAHIAcwAgAEEAdQBzAHQAcgBhAGwAaQBhAFwAIgAsAFwAIgBCAHUAZAAtAFcAaQBzAGUAcgAgAEQAcgB5AFwAIgAsAFwAIgBCAHUAZAAtAFcAaQBzAGUAcgAgAEQAcgB5ACAALQAgAEMAYQBtAHAAYgBlAGwAbABzACAARgBlAHIAdABpAGwAaQBzAGUAcgBzACAAQQB1AHMAdAByAGEAbABhAHMAaQBhAFwAIgAsAFwAIgBcACIALABcACIAXAAiACwAXAAiAGsAZwBcACIALABcACI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gBpAHQAIABDAFwAIgAsAFwAIgBDAGEAbABiAGkAdAAgAEM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wBpAHUAbQAgADEANwA1AFwAIgAsAFwAIgBDAGEAbABjAGkAdQBtACAAMQA3ADU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MAYQBsAFAAaABvAHMAXAAiACwAXAAiAEMAYQBsAHAAaABvAHMAIAAtACAAQwBhAG0AcABiAGUAbABsAHMAIABGAGUAcgB0AGkAbABpAHMAZQByAHMAIABBAHUAcwB0AHIAYQBsAGEAcwBpAGEAXAAiACwAXAAiAFcAZQBiAHMAaQB0AGUAXAAiACwAXAAiAFwAIgAsAFwAIgBMAFwAIgAsADEALgAyADgANQAsAFwAIgBcACI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A1ADAALwA1ADAAIABuAGkAdAByAGEAdABlACAAYQBuAGQAIABhAG0AbQBvAG4AaQBhAGMAYQBsACAAbgBpAHQAcgBvAGcAZQBuACAAKABhAG0AbQBvAG4AaQB1AG0AIABuAGkAdAByAGEAdABlACkAXAAiACwAXAAiAEMAYQBtAHAAYgBlAGwAbABzACAAZgBlAHIAdABpAGwAaQBzAGUAcgBzACAAQQB1AHMAdAByAGEAbABpAGEAXAAiACwAXAAiAEMAbwBtAHAAYQBzAHMAXAAiACwAXAAiAEMAbwBtAHAAYQBzAHMAIAAtACAAQwBhAG0AcABiAGUAbABsAHMAIABGAGUAcgB0AGkAbABpAHMAZQByAHMAIABBAHUAcwB0AHIAYQBsAGEAcwBpAGEAXAAiACwAXAAiAFwAIgAsAFwAIgBcACIALABcACIAawBnAFwAIgAsADEALABcACIAXAAi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EMAbwBuAHQAcgBvAGwAbABlAGQAIAByAGUAbABlAGEAcwBlACAATgAgAHQAcgBlAGEAdABlAGQAIABhAHMAIABnAGUAbgBlAHIAaQBjACAAQQBtAG8AdQBuAHQAIABvAGYAIAB1AHIAZQBhACAAYwBhAGwAYwB1AGwAYQB0AGUAZAAgAGYAcgBvAG0AIAB1AHIAZQBhACAAbgBpAHQAcgBvAGcAZQBuACAAYQBtAG8AdQBuAHQAXAAiACwAXAAiAEMAYQBtAHAAYgBlAGwAbABzACAAZgBlAHIAdABpAGwAaQBzAGUAcgBzACAAQQB1AHMAdAByAGEAbABpAGEAXAAiACwAXAAiAEMAbwBSAG8ATgAgADEAMgAtADAALQAxADAAXAAiACwAXAAiAEMAbwByAG8AbgAgADEAMgAtADAALQAxADAAIAAtACAAQwBhAG0AcABiAGUAbABsAHMAIABGAGUAcgB0AGkAbABpAHMAZQByAHMAIABBAHUAcwB0AHIAYQBsAGEAcwBpAGEAXAAiACwAXAAiAFcAZQBiAHMAaQB0AGUAIABTAEQAUwAgAEIAcgBvAGMAaAB1AHIAZQBcACIALABcACIAXAAiACwAXAAiAEwAXAAiACwAMQAuADIAMQA1ACwAXAAiAFwAIgAsAFwAIgBcACIALABcACIAVQByAGUAYQBcACIALAAwAC4AMQA5ADUANgA1ADIAMQA3ADQALABcACIAUABvAHQAYQBzAHMAaQB1AG0AIAAtACAARwBlAG4AZQByAGkAYwBcACIALAAwAC4AMQAsAFwAIgBOAGkAdAByAG8AZwBlAG4AIAAtACAARwBlAG4AZQByAGkAYwBcACIALAAwAC4AMAAzACwAXAAiAEIAbwByAG8AbgBcACIALAAwAC4AMAAwADUALABcACIAXAAiACwAXAAiAFwAIgAsAFwAIgBcACIALABcACIAXAAiACwAXAAiAFwAIgAsAFwAIgBcACIALABcACIAXAAiACwAXAAiAFwAIgAsAFwAIgBcACIALABcACIAXAAiACwAXAAiAFwAIgAsAFwAIgBcACIALABcACIARQBOAEQAIABSAE8AVwBcACIAOwBcAG4AXAAiAEkAbgBjAGwAdQBkAGUAXAAiACwAXAAiAFUAcwBlAGQAIABTAHUAbABwAGgAYQB0AGUAIABvAGYAIABBAG0AbQBvAG4AaQBhACAAYQBuAGQAIABBAG0AbQBvAG4AaQB1AG0AIABuAGkAdAByAGEAdABlACAAdgBhAGwAdQBlAHMAIABmAHIAbwBtACAAUwBEAFMAXAAiACwAXAAiAEMAYQBtAHAAYgBlAGwAbABzACAAZgBlAHIAdABpAGwAaQBzAGUAcgBzACAAQQB1AHMAdAByAGEAbABpAGEAXAAiACwAXAAiAE0AYQB4AGkAbQB1AG0AIABRAHUAaQBjAGsALQBOAFwAIgAsAFwAIgBNAGEAeABpAG0AdQBtACAAUQB1AGkAYwBrAC0ATgAgAC0AIABDAGEAbQBwAGIAZQBsAGwAcwAgAEYAZQByAHQAaQBsAGkAcwBlAHIAcwAgAEEAdQBzAHQAcgBhAGwAYQBzAGkAYQBcACIALABcACIAVwBlAGIAcwBpAHQAZQAgAFMARABTAFwAIgAsAFwAIgBcACIALABcACIAawBnAFwAIgAsADEALABcACIAXAAiACwAXAAiAFwAIgAsAFwAIgBTAHUAbABwAGgAYQB0AGUAIABvAGYAIABhAG0AbQBvAG4AaQBhAFwAIgAsADAALgA1ADUALABcACIAQQBtAG0AbwBuAGkAdQBtACAAbgBpAHQAcgBhAHQAZQBcACIALAAwAC4AMw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QQBiAHMAZQBuAHQAIABpAG4AZwByAGUAZABpAGUAbgB0AHMAIABcAHUAMAAwADMAZQAgADIAJQBcACIALABcACIAXAAiACwAXAAiAEEAZwBzAHQAYQBcACIALABcACIAQQBnAFMAdABhAHIAIABNAGEAbgBnAGEAbgBlAHMAZQBcACIALABcACIAQQBnAFMAdABhAHIAIABNAGEAbgBnAGEAbgBlAHMAZQAgAHwAIABXAGUAbABjAG8AbQBlACAAdABvACAAQQBnAHMAdABhAHIAXAAiACwAXAAiAEwAYQBiAGUAbAAgAFMARABTAFwAIgAsAFwAIgBcACIALABcACIATABcACIALAAxAC4ANAA3ACwAXAAiAFwAIgAsAFwAIgBcACIALABcACIATQBhAG4AZwBhAG4AZQBzAGUAIABuAGkAdAByAGEAdABlAFwAIgAsADAALgA0ADU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TAEwAIABUAGUAYwBcACIALABcACIAQwByAG8AcAAgAEIAbwBvAHMAdABlAHIAIABQAEwAVQBTAFwAIgAsAFwAIgBoAHQAdABwAHMAOgAvAC8AdwB3AHcALgBzAGwAdABlAGMALgBjAG8AbQAuAGEAdQAvAHMAbAB0AGUAYwAvAGYAYQBjAHQAXwBzAGgAZQBlAHQAcwAvAFMATABUAEUAQwBfAEMAcgBvAHAAQgBvAG8AcwB0AGUAcgBQAGwAdQBzAC4AcABkAGYAXAAiACwAXAAiAEIAcgBvAGMAaAB1AHIAZQAgAHcAZQBiAHMAaQB0AGUAXAAiACwAXAAiAFwAIgAsAFwAIgBMAFwAIgAsADEALgAzADEAOQAsAFwAIgBcACIALABcACIAXAAiACwAXAAiAFAAaABvAHMAcABoAG8AcgB1AHMAIAAtACAARwBlAG4AZQByAGkAYwBcACIALAAwAC4AMQA1ACwAXAAiAEMAYQBsAGMAaQB1AG0AIAAtACAARwBlAG4AZQByAGkAYwBcACIALAAwAC4AMAA0ACwAXAAiAE4AaQB0AHIAbwBnAGUAbgAgAC0AIABBAG0AbQBvAG4AaQBhAGMAYQBsAFwAIgAsADAALgAwADIAOQAsAFwAIgBOAGkAdAByAG8AZwBlAG4AIAAtACAATgBpAHQAcgBhAHQAZQBcACIALAAwAC4AMAAyADEALABcACIAUABvAHQAYQBzAHMAaQB1AG0AIAAtACAARwBlAG4AZQByAGkAYwBcACIALAAwAC4AMAAyADEALABcACIAQwBvAG8AcABlAHIAXAAiACwAMAAuADAAMAA1ACwAXAAiAFoAaQBuAGMAXAAiACwAMAAuADAAMAA0ACwAXAAiAE0AYQBuAGcAYQBuAGUAcwBlAFwAIgAsADAALgAwADAANAAsAFwAIgBNAGEAZwBuAGUAcwBpAHUAbQBcACIALAAwAC4AMAAwADIALABcACIAXAAiACwAXAAiAFwAIgAsAFwAIgBFAE4ARAAgAFIATwBXAFwAIgA7AFwAbgBcACIASQBuAGMAbAB1AGQAZQBcACIALABcACIASQBuAGcAcgBlAGQAaQBlAG4AdAAgAGkAcwAgAGEAYwB0AHUAYQBsAGwAeQAgAGEAbQBtAG8AbgBpAHUAbQAgAGIAaQBjAGEAcgBiAG8AbgBhAHQAZQAgAHQAaABlACAAZQBsAGUAbQBlAG4AdABhAGwAIABjAG8AbQBwAG8AcwBpAHQAaQBvAG4AIABoAGEAcwAgADEANwAuADcAJQAgAE4AaQB0AHIAbwBnAGUAbgBcACIALABcACIAUgBpAHMAcwBvAC0AQwBoAGUAbQBpAGMAYQBsAFwAIgAsAFwAIgBBAG0AbQBvAG4AaQB1AG0AIABCAGkAYwBhAHIAYgBvAG4AYQB0AGUAXAAiACwAXAAiAEEAbQBtAG8AbgBpAHUAbQAgAEIAaQBjAGEAcgBiAG8AbgBhAHQAZQAgAP3/IABIAGkAZwBoAC0AUQB1AGEAbABpAHQAeQAgAEYAZQByAHQAaQBsAGkAegBlAHIAIABcAHUAMAAwADIANgAgAEwAZQBhAHYAZQBuAGkAbgBnACAAQQBnAGUAbgB0AFwAIgAsAFwAIgBXAGUAYgBzAGkAdABlACAAUwBEAFMAIAAgAGgAdAB0AHAAcwA6AC8ALwBtAGUAcgBjAGsAaQBuAGQAZQB4AC4AcgBzAGMALgBvAHIAZwAvAG0AbwBuAG8AZwByAGEAcABoAHMALwBtADEANwA2ADQAPwBhAGMAYwBlAHMAcwA9AGYAdABcACIALABcACIAXAAiACwAXAAiAGsAZwBcACIALAAxACwAXAAiAFwAIgAsAFwAIgBDAGgAaQBuAGEAXAAiACwAXAAiAE4AaQB0AHIAbwBnAGUAbgAgAC0AIABBAG0AbQBvAG4AaQBhAGMAYQBsAFwAIgAsADAALgAxADcANw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FIAaQBzAHMAbwAtAEMAaABlAG0AaQBjAGEAbABcACIALABcACIAQQBtAG0AbwBuAGkAdQBtACAAUwB1AGwAZgBhAHQAZQBcACIALABcACIAQQBtAG0AbwBuAGkAdQBtACAAUwB1AGwAZgBhAHQAZQAgAEYAZQByAHQAaQBsAGkAegBlAHIAIAD9/yAASABpAGcAaAAtAFEAdQBhAGwAaQB0AHkAIABOAGkAdAByAG8AZwBlAG4AIABhAG4AZAAgAFMAdQBsAGYAdQByACAAZgBvAHIAIABDAHIAbwBwAHMAXAAiACwAXAAiAFcAZQBiAHMAaQB0AGUAXAAiACwAXAAiAFwAIgAsAFwAIgBrAGcAXAAiACwAMQAsAFwAIgBcACIALABcACIAQwBoAGkAbgBhAFwAIgAsAFwAIgBTAHUAbABmAHUAcgAgAC0AIABHAGUAbgBlAHIAaQBjAFwAIgAsADAALgAyADQALABcACIATgBpAHQAcgBvAGcAZQBuACAALQAgAEEAbQBtAG8AbgBpAGEAYwBhAGwAXAAiACwAMAAuADIAMQ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SAGEAdgBlAG4AcwBkAG8AdwBuAFwAIgAsAFwAIgBBAG0AbQBvAG4AaQB1AG0AIABTAHUAbABwAGgAYQB0AGUAIAAtACAARwByAGEAbgB1AGwAYQByAFwAIgAsAFwAIgBSAGEAdgBlAG4AcwBkAG8AdwBuACAAfAAgAEcAcgBhAG4AdQBsAGEAcgAgAEEAbQBtAG8AbgBpAHUAbQAgAFMAdQBsAHAAaABhAHQAZQAgACgARwBBAFMALwBTAE8AQQApAFwAIgAsAFwAIgBXAGUAYgBzAGkAdABlACAAUwBEAFMAXAAiACwAXAAiAFwAIgAsAFwAIgBrAGcAXAAiACwAMQAsAFwAIgBcACIALABcACIAXAAiACwAXAAiAFMAdQBsAGYAdQByACAALQAgAEcAZQBuAGUAcgBpAGMAXAAiACwAMAAuADIAMwAsAFwAIgBOAGkAdAByAG8AZwBlAG4AIAAtACAAQQBtAG0AbwBuAGkAYQBjAGEAbABcACIALAAwAC4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JAG0AcABhAGMAdAAgAEYAZQByAHQAaQBsAGkAcwBlAHIAcwBcACIALABcACIARABpAC0AQQBtAG0AbwBuAGkAdQBtACAAUABoAG8AcwBwAGgAYQB0AGUAIAAoAEQAQQBQACkAXAAiACwAXAAiAEQAaQAtAEEAbQBtAG8AbgBpAHUAbQAgAFAAaABvAHMAcABoAGEAdABlACAAKABEAEEAUAApACAALQAgAEkAbQBwAGEAYwB0ACAARgBlAHIAdABpAGwAaQBzAGUAcgBzAFwAIgAsAFwAIgBXAGUAYgBzAGkAdABlAFwAIgAsAFwAIgBcACIALABcACIAawBnAFwAIgAsADEALABcACIAXAAiACwAXAAiAFwAIgAsAFwAIgBQAGgAbwBzAHAAaABvAHIAdQBzACAALQAgAEcAZQBuAGUAcgBpAGMAXAAiACwAMAAuADIAMAAyACwAXAAiAE4AaQB0AHIAbwBnAGUAbgAgAC0AIABHAGUAbgBlAHIAaQBjAFwAIgAsADAALgAxADgALABcACIAUwB1AGwAZgB1AHIAIAAtACAARwBlAG4AZQByAGkAYwBcACIALAAwAC4AMAAxADU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cACIALABcACIASQBuAGMAaQB0AGUAYwAgAFAAaQB2AG8AdAAgAEYAZQByAHQAaQBsAGkAcwBlAHIAcwBcACIALABcACIAQgBhAHMAYQBsAHQAIABCAG8AbwBTAFMAdABhAFwAIgAsAFwAIgBCAGEAZwAgAFQAYQBnAHMAXAAiACwAXAAiAEIAcgBvAGMAaAB1AHIAZQBcACIALABcACIAXAAiACwAXAAiAGsAZwBcACIALAAxACwAXAAiAFwAIgAsAFwAIgBcACIALABcACIAUwB1AGwAZgB1AHIAIAAtACAARwBlAG4AZQByAGkAYwBcACIALAAwAC4AMgA3ADYALABcACIAUABoAG8AcwBwAGgAbwByAHUAcwAgAC0AIABHAGUAbgBlAHIAaQBjAFwAIgAsADAALgAxADQALABcACIATgBpAHQAcgBvAGcAZQBuACAALQAgAEcAZQBuAGUAcgBpAGMAXAAiACwAMAAuADAAOAAsAFwAIgBGAGwAbwB1AHIAaQBkAGUAXAAiACwAMAAuADAAMgA0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FwAIgAsAFwAIgBTAHUAbQBtAGkAdAAgAEYAZQByAHQAaQBsAGkAegBlAHIAcwBcACIALABcACIARABBAFAAUwBaAEMAXAAiACwAXAAiAE0AaQBjAHIAbwBzAG8AZgB0ACAAVwBvAHIAZAAgAC0AIABEAEEAUABTAFoAQwAgAFMAYQBmAGUAdAB5ACAARABhAHQAYQAgAFMAaABlAGUAdABcACIALABcACIAUwBEAFMAXAAiACwAXAAiAFwAIgAsAFwAIgBrAGcAXAAiACwAMQAsAFwAIgBcACIALABcACIAXAAiACwAXAAiAFAAaABvAHMAcABoAG8AcgB1AHMAIAAtACAARwBlAG4AZQByAGkAYwBcACIALAAwAC4AMQA4ADIALABcACIATgBpAHQAcgBvAGcAZQBuACAALQAgAEcAZQBuAGUAcgBpAGMAXAAiACwAMAAuADEANgA5ACwAXAAiAFMAdQBsAGYAdQByACAALQAgAEcAZQBuAGUAcgBpAGMAXAAiACwAMAAuADAAOAAsAFwAIgBaAGkAbgBjACAALQAgAEcAZQBuAGUAcgBpAGMAXAAiACwAMAAuADAAMAAyACwAXAAiAEMAbwBwAHAAZQByAFwAIgAsADAALgAwADAAMQAsAFwAIgBcACIALABcACIAXAAiACwAXAAiAFwAIgAsAFwAIgBcACIALABcACIAXAAiACwAXAAiAFwAIgAsAFwAIgBcACIALABcACIAXAAiACwAXAAiAFwAIgAsAFwAIgBcACIALABcACIARQBOAEQAIABSAE8AVwBcACIAOwBcAG4AXAAiAEkAbgBjAGwAdQBkAGUAXAAiACwAXAAiAEEAbQBvAHUAbgB0ACAAbwBmACAAdQByAGUAYQAgAGMAYQBsAGMAdQBsAGEAdABlAGQAIABmAHIAbwBtACAAdQByAGUAYQAgAG4AaQB0AHIAbwBnAGUAbgAgAGEAbQBvAHUAbgB0AFwAIgAsAFwAIgBJAG4AYwBpAHQAZQBjACAAUABpAHYAbwB0ACAARgBlAHIAdABpAGwAaQBzAGUAcgBzAFwAIgAsAFwAIgBFAGEAcwB5ACAATgBcACIALABcACIAaAB0AHQAcABzADoALwAvAHcAdwB3AC4AaQBuAGMAaQB0AGUAYwBwAGkAdgBvAHQAZgBlAHIAdABpAGwAaQBzAGUAcgBzAC4AYwBvAG0ALgBhAHUALwBwAHIAbwBkAHUAYwB0AHMALQBzAGUAcgB2AGkAYwBlAHMALwBvAHUAcgAtAHAAcgBvAGQAdQBjAHQAcwAvAGwAaQBxAHUAaQBkAHMALwBlAGEAcwB5AC0AbgAvAFwAIgAsAFwAIgBXAGUAYgBzAGkAdABlACAAYgByAG8AYwBoAHUAcgBlACAAQgBhAGcAIAB0AGEAZwBcACIALABcACIAXAAiACwAXAAiAEwAXAAiACwAMQAuADMAMgAsAFwAIgBcACIALABcACIAXAAiACwAXAAiAFUAcgBlAGEAXAAiACwAMAAuADQANgA3ADMAOQAxADMAMAA0ACwAXAAiAE4AaQB0AHIAbwBnAGUAbgAgAC0AIABOAGkAdAByAGEAdABlAFwAIgAsADAALgAxADAANQAsAFwAIgBOAGkAdAByAG8AZwBlAG4AIAAtACAAQQBtAG0AbwBuAGkAYQBjAGEAbABcACIALAAwAC4AMQAwADUALABcACIAQgBpAHUAcgBlAHQAXAAiACwAMAAuADAAMAA2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FIAaQBzAHMAbwAtAEMAaABlAG0AaQBjAGEAbABcACIALABcACIAQwBhAGwAYwBpAHUAbQAgAEEAbQBtAG8AbgBpAHUAbQAgAE4AaQB0AHIAYQB0AGUAXAAiACwAXAAiAEMAYQBsAGMAaQB1AG0AIABBAG0AbQBvAG4AaQB1AG0AIABOAGkAdAByAGEAdABlACAA/f8gAEIAYQBsAGEAbgBjAGUAZAAgAEYAZQByAHQAaQBsAGkAegBlAHIAIABmAG8AcgAgAEUAbgBoAGEAbgBjAGUAZAAgAEMAcgBvAHAAIABHAHIAbwB3AHQAaAAgAHwAIABSAGkAcwBzAG8AXAAiACwAXAAiAFwAIgAsAFwAIgBcACIALABcACIAawBnAFwAIgAsADEALABcACIAXAAiACwAXAAiAEMAaABpAG4AYQBcACIALABcACIATgBpAHQAcgBvAGcAZQBuACAALQAgAEEAbQBtAG8AbgBpAGEAYwBhAGwAXAAiACwAMAAuADIANwAsAFwAIgBOAGkAdAByAG8AZwBlAG4AIAAtACAATgBpAHQAcgBhAHQAZQBcACIALAAwAC4AMQAzADUALABcACIAQwBhAGwAYwBpAHUAbQAgAC0AIABHAGUAbgBlAHIAaQBjAFwAIgAsADAALgAxAD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TAEwAIABUAGUAYwBcACIALABcACIAQwBlAGwAbABDAEEATAAgAFAAbAB1AHMAXAAiACwAXAAiAFMATABUAEUAQwBfAEMAZQBsAGwAQwBBAEwAUABMAFUAUwAuAHAAZABmAFwAIgAsAFwAIgBCAHIAbwBjAGgAdQByAGUAXAAiACwAXAAiAFwAIgAsAFwAIgBMAFwAIgAsADEALgAxADMAOAAsAFwAIgBcACIALABcACIAXAAiACwAXAAiAEMAYQBsAGMAaQB1AG0AIAAtACAARwBlAG4AZQByAGkAYwBcACIALAAwAC4AMAA1ADkALABcACIAQwBvAHAAcABlAHIAXAAiACwAMAAuADAAMAAzACwAXAAiAEIAbwByAG8AbgBcACIALAAwAC4AMAAwADE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VAHMAZQAgAG0AdQByAGkAYQB0AGUAIABvAGYAIABwAG8AdABhAHMAaAAgACgATQBPAFAAKQAgAGkAbgBzAHQAZQBhAGQAIABvAGYAIABcAHUAMAAwADIANwBwAG8AdABhAHMAcwBpAHUAbQAgAGEAcwAgAGMAaABsAG8AcgBpAGQAZQBcAHUAMAAwADIANwBcACIALABcACIASQBuAGMAaQB0AGUAYwAgAFAAaQB2AG8AdAAgAEYAZQByAHQAaQBsAGkAcwBlAHIAcwBcACIALABcACIAQwBLADUANQBcACIALABcACIAQgBhAGcAIABUAGEAZwBzAFwAIgAsAFwAIgBCAGEAZwAgAHQAYQBnAFwAIgAsAFwAIgBcACIALABcACIAawBnAFwAIgAsADEALABcACIAXAAiACwAXAAiAFwAIgAsAFwAIgBQAGgAbwBzAHAAaABvAHIAdQBzACAALQAgAEcAZQBuAGUAcgBpAGMAXAAiACwAMAAuADEANQAsAFwAIgBOAGkAdAByAG8AZwBlAG4AIAAtACAAQQBtAG0AbwBuAGkAYQBjAGEAbABcACIALAAwAC4AMQAzADUALABcACIATQB1AHIAaQBhAHQAZQAgAG8AZgAgAFAAbwB0AGEAcwBoACAAKABNAE8AUAApAFwAIgAsADAALgAxADIANQAsAFwAIgBGAGwAbwB1AHIAaQBkAGUAXAAiACwAMAAuADAAMgAzACwAXAAiAFMAdQBsAGYAdQByACAALQAgAEcAZQBuAGUAcgBpAGMAXAAiACwAMAAuADAAMQAyACwAXAAiAFwAIgAsAFwAIgBcACIALABcACIAXAAiACwAXAAiAFwAIgAsAFwAIgBcACIALABcACIAXAAiACwAXAAiAFwAIgAsAFwAIgBcACIALABcACIAXAAiACwAXAAiAFwAIgAsAFwAIgBFAE4ARAAgAFIATwBXAFwAIgBcAG4AIAAgAH0ALAAgAHIALAAgAGMAKQBcAG4AKQApACkAOwBcAG4AXABuAC8AKgBcAG4ARgBlAHIAdABpAGwAaQBzAGUAcgBfAFAAcgBvAGQAdQBjAHQAcwBfAEQAYQB0AGEAMgBcAG4APQBMAEEATQBCAEQAQQAoAFwAbgAgAE0AQQBLAEUAQQBSAFIAQQBZACgANgAsACAAMgA4ACwAXABuACAATABBAE0AQgBEAEEAKAByACwAYwAsAFwAbgAgACAASQBOAEQARQBYACgAewBcAG4AXAAiAEUAeABjAGwAdQBkAGUAIAAtACAAQQBiAHMAZQBuAHQAIABpAG4AZwByAGUAZABpAGUAbgB0AHMAIABcAHUAMAAwADMAZQAgADIAJQBcACIALABcACIAXAAiACwAXAAiAEMAYQBtAHAAYgBlAGwAbABzACAAZgBlAHIAdABpAGwAaQBzAGUAcgBzACAAQQB1AHMAdAByAGEAbABpAGEAXAAiACwAXAAiAEIAdQBkAC0AVwBpAHMAZQByACAARAByAHkAXAAiACwAXAAiAGsAZwBcACIALABcACIAXAAiACwAXAAiAFwAIgAsAFwAIgBTAHUAbABmAHUAcgAgAC0AIABHAGUAbgBlAHIAaQBjAFwAIgAsADAALgAwADkANAAsAFwAIgBNAGEAZwBuAGUAcwBpAHUAbQBcACIALAAwAC4AMAA2ACwAXAAiAEIAbwByAG8AbgBcACIALAAwAC4AMAA0ADUALABcACIAWgBpAG4AYwBcACIALAAwAC4AMAAyADcALABcACIAXAAiACwAXAAiAFwAIgAsAFwAIgBcACIALABcACIAXAAiACwAXAAiAFwAIgAsAFwAIgBcACIALABcACIAXAAiACwAXAAiAFwAIgAsAFwAIgBcACIALABcACIAXAAiACwAXAAiAFwAIgAsAFwAIgBcACIAOwBcAG4AXAAiAEUAeABjAGwAdQBkAGUAIAAtACAATgBvAHQAIAByAGUAbABlAHYAYQBuAHQAXAAiACwAXAAiAFwAIgAsAFwAIgBDAGEAbQBwAGIAZQBsAGwAcwAgAGYAZQByAHQAaQBsAGkAcwBlAHIAcwAgAEEAdQBzAHQAcgBhAGwAaQBhAFwAIgAsAFwAIgBDAGEAbABiAGkAdAAgAEM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EUAeABjAGwAdQBkAGUAIAAtACAATgBvAHQAIAByAGUAbABlAHYAYQBuAHQAXAAiACwAXAAiAFwAIgAsAFwAIgBDAGEAbQBwAGIAZQBsAGwAcwAgAGYAZQByAHQAaQBsAGkAcwBlAHIAcwAgAEEAdQBzAHQAcgBhAGwAaQBhAFwAIgAsAFwAIgBDAGEAbABjAGkAdQBtACAAMQA3ADU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EUAeABjAGwAdQBkAGUAIAAtACAAQQBiAHMAZQBuAHQAIABpAG4AZwByAGUAZABpAGUAbgB0AHMAIABcAHUAMAAwADMAZQAgADIAJQBcACIALABcACIAXAAiACwAXAAiAEMAYQBtAHAAYgBlAGwAbABzACAAZgBlAHIAdABpAGwAaQBzAGUAcgBzACAAQQB1AHMAdAByAGEAbABpAGEAXAAiACwAXAAiAEMAYQBsAFAAaABvAHMAXAAiACwAXAAiAEwAXAAiACwAMQAuADIAOAA1ACwAXAAiAFwAIgAsAFwAIgBQAGgAbwBzAHAAaABvAHIAdQBzACAALQAgAEcAZQBuAGUAcgBpAGMAXAAiACwAMAAuADEAMwA1ACwAXAAiAEMAYQBsAGMAaQB1AG0AIAAtACAARwBlAG4AZQByAGkAYwBcACIALAAwAC4AMAA0ACwAXAAiAFwAIgAsAFwAIgBcACIALABcACIAXAAiACwAXAAiAFwAIgAsAFwAIgBcACIALABcACIAXAAiACwAXAAiAFwAIgAsAFwAIgBcACIALABcACIAXAAiACwAXAAiAFwAIgAsAFwAIgBcACIALABcACIAXAAiACwAXAAiAFwAIgAsAFwAIgBcACIAOwBcAG4AXAAiAEkAbgBjAGwAdQBkAGUAXAAiACwAXAAiADUAMAAvADUAMAAgAG4AaQB0AHIAYQB0AGUAIABhAG4AZAAgAGEAbQBtAG8AbgBpAGEAYwBhAGwAIABuAGkAdAByAG8AZwBlAG4AIAAoAGEAbQBtAG8AbgBpAHUAbQAgAG4AaQB0AHIAYQB0AGUAKQBcACIALABcACIAXAAiACwAXAAiAEMAYQBtAHAAYgBlAGwAbABzACAAZgBlAHIAdABpAGwAaQBzAGUAcgBzACAAQQB1AHMAdAByAGEAbABpAGEAXAAiACwAXAAiAEMAbwBtAHAAYQBzAHMAXAAiACwAXAAiAGsAZwBcACIALAAx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7AFwAbgBcACIASQBuAGMAbAB1AGQAZQAgAC0AIABBAGIAcwBlAG4AdAAgAGkAbgBnAHIAZQBkAGkAZQBuAHQAcwAgAFwAdQAwADAAMwBjACAAMgAlAFwAIgAsAFwAIgBDAG8AbgB0AHIAbwBsAGwAZQBkACAAcgBlAGwAZQBhAHMAZQAgAE4AIAB0AHIAZQBhAHQAZQBkACAAYQBzACAAZwBlAG4AZQByAGkAYwBcACIALABcACIAXAAiACwAXAAiAEMAYQBtAHAAYgBlAGwAbABzACAAZgBlAHIAdABpAGwAaQBzAGUAcgBzACAAQQB1AHMAdAByAGEAbABpAGEAXAAiACwAXAAiAEMAbwBSAG8ATgAgADEAMgAtADAALQAxADAAXAAiACwAXAAiAEwAXAAiACwAMQAuADIAMQA1ACwAXAAiAFwAIgAsAFwAIgBOAGkAdAByAG8AZwBlAG4AIAAtACAAVQByAGUAaQBjAFwAIgAsADAALgAwADkALABcACIAUABvAHQAYQBzAHMAaQB1AG0AIAAtACAARwBlAG4AZQByAGkAYwBcACIALAAwAC4AMQAsAFwAIgBOAGkAdAByAG8AZwBlAG4AIAAtACAARwBlAG4AZQByAGkAYwBcACIALAAwAC4AMAAzACwAXAAiAEIAbwByAG8AbgBcACIALAAwAC4AMAAwADUALABcACIAXAAiACwAXAAiAFwAIgAsAFwAIgBcACIALABcACIAXAAiACwAXAAiAFwAIgAsAFwAIgBcACIALABcACIAXAAiACwAXAAiAFwAIgAsAFwAIgBcACIAXABuACAAIAB9ACwAIAByACwAIABjACkAXABuACkAKQApADsAXABuAFwAbgBcAG4ARgBlAHIAdABpAGwAaQBzAGUAcgBfAFAAcgBvAGQAdQBjAHQAcwBfAEQAYQB0AGEAMwBcAG4APQBMAEEATQBCAEQAQQAoAFwAbgAgAE0AQQBLAEUAQQBSAFIAQQBZACgAMgAwACwAIAAzADUALABcAG4AIABMAEEATQBCAEQAQQAoAHIALABjACwAXABuACAAIABJAE4ARABFAFgAKAB7AFwAbgBcACIAUgB1AHMAdABpAGMAYQAgAE4AZQByAGcAZQB0AGkAYwBcACIALABcACIAawBnAFwAIgAsADEALABcACIAUABvAHQAYQBzAHMAaQB1AG0AIAAtACAARwBlAG4AZQByAGkAYwBcACIALAAwAC4AMQA0ADEALABcACIATABvAGMAYQB0AGkAbwBuACAAbgBvAHQAIABzAHAAZQBjAGkAZgBpAGUAZABcACIALABcACIATgBpAHQAcgBvAGcAZQBuACAALQAgAEcAZQBuAGUAcgBpAGMAXAAiACwAMAAuADEAMgAsAFwAIgBMAG8AYwBhAHQAaQBvAG4AIABuAG8AdAAgAHMAcABlAGMAaQBmAGkAZQBkAFwAIgAsAFwAIgBTAHUAbABmAHUAcgAgAC0AIABHAGUAbgBlAHIAaQBjAFwAIgAsADAALgAwADkANgAsAFwAIgBMAG8AYwBhAHQAaQBvAG4AIABuAG8AdAAgAHMAcABlAGMAaQBmAGkAZQBkAFwAIgAsAFwAIgBQAGgAbwBzAHAAaABvAHIAdQBzACAALQAgAEcAZQBuAGUAcgBpAGMAXAAiACwAMAAuADAANQAyACwAXAAiAEwAbwBjAGEAdABpAG8AbgAgAG4AbwB0ACAAcwBwAGUAYwBpAGYAaQBlAGQAXAAiACwAXAAiAE0AYQBnAG4AZQBzAGkAdQBtACAALQAgAGcAZQBuAGUAcgBpAGMAXAAiACwAMAAuADAAMQAyACwAXAAiAEwAbwBjAGEAdABpAG8AbgAgAG4AbwB0ACAAcwBwAGUAYwBpAGYAaQBlAGQAXAAiACwAXAAiAFoAaQBuAGMAIAAtACAARwBlAG4AZQByAGkAYwBcACIALAAwAC4AMAAwADAAOA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gAsAFwAIgBMAG8AYwBhAHQAaQBvAG4AIABuAG8AdAAgAHMAcABlAGMAaQBmAGkAZQBkAFwAIgAsAFwAIgBCAG8AcgBvAG4AIAAtACAAZwBlAG4AZQByAGkAYwBcACIALAAwAC4AMAAwADAAMgAsAFwAIgBMAG8AYwBhAHQAaQBvAG4AIABuAG8AdAAgAHMAcABlAGMAaQBmAGkAZQBkAFwAIgAsAFwAIgBcACIALABcACIAXAAiACwAXAAiAFwAIgA7AFwAbgBcACIAUwBFAFQAbgBTAEkAWgBFAFwAIgAsAFwAIgBMAFwAIgAsADEALgAzACwAXAAiAFAAbwB0AGEAcwBzAGkAdQBtACAALQAgAEcAZQBuAGUAcgBpAGMAXAAiACwAMAAuADAANwA5ADIALABcACIATABvAGMAYQB0AGkAbwBuACAAbgBvAHQAIABzAHAAZQBjAGkAZgBpAGUAZABcACIALABcACIAUABoAG8AcwBwAGgAbwByAHUAcwAgAC0AIABHAGUAbgBlAHIAaQBjAFwAIgAsADAALgAwADYAMAA1ACwAXAAiAEwAbwBjAGEAdABpAG8AbgAgAG4AbwB0ACAAcwBwAGUAYwBpAGYAaQBlAGQAXAAiACwAXAAiAE4AaQB0AHIAbwBnAGUAbgAgAC0AIABHAGUAbgBlAHIAaQBjAFwAIgAsADAALgAwADEAMAA4ACwAXAAiAEwAbwBjAGEAdABpAG8AbgAgAG4AbwB0ACAAcwBwAGUAYwBpAGYAaQBlAGQAXAAiACwAXAAiAFoAaQBuAGMAIAAtACAARwBlAG4AZQByAGkAYwBcACIALAAwAC4AMAAxADAANwAsAFwAIgBMAG8AYwBhAHQAaQBvAG4AIABuAG8AdAAgAHMAcABlAGMAaQBmAGkAZQBkAFwAIgAsAFwAIgBNAGEAZwBuAGUAcwBpAHUAbQAgAC0AIABnAGUAbgBlAHIAaQBjAFwAIgAsADAALgAwADEAMAA0ACwAXAAiAEwAbwBjAGEAdABpAG8AbgAgAG4AbwB0ACAAcwBwAGUAYwBpAGYAaQBlAGQAXAAiACwAXAAiAE0AYQBuAGcAYQBuAGUAcwBlACAALQAgAEcAZQBuAGUAcgBpAGMAXAAiACwAMAAuADAAMAA3ADUALABcACIATABvAGMAYQB0AGkAbwBuACAAbgBvAHQAIABzAHAAZQBjAGkAZgBpAGUAZABcACIALABcACIAUwB1AGwAZgB1AHIAIAAtACAARwBlAG4AZQByAGkAYwBcACIALAAwAC4AMAAwADUANAAsAFwAIgBMAG8AYwBhAHQAaQBvAG4AIABuAG8AdAAgAHMAcABlAGMAaQBmAGkAZQBkAFwAIgAsAFwAIgBDAG8AYgBhAGwAdAAgAC0AIABnAGUAbgBlAHIAaQBjAFwAIgAsADAALgAwADAAMQA4ACwAXAAiAEwAbwBjAGEAdABpAG8AbgAgAG4AbwB0ACAAcwBwAGUAYwBpAGYAaQBlAGQAXAAiACwAXAAiAEkAcgBvAG4AIAAtACAAZwBlAG4AZQByAGkAYwBcACIALAAwAC4AMAAwADEANQAsAFwAIgBMAG8AYwBhAHQAaQBvAG4AIABuAG8AdAAgAHMAcABlAGMAaQBmAGkAZQBkAFwAIgAsAFwAIgBDAG8AcABwAGUAcgAgAC0AIABnAGUAbgBlAHIAaQBjAFwAIgAsADAALgAwADAAMQAxACwAXAAiAEwAbwBjAGEAdABpAG8AbgAgAG4AbwB0ACAAcwBwAGUAYwBpAGYAaQBlAGQAXAAiADsAXABuAFwAIgBTAE8AQQBcACIALABcACIAawBnAFwAIgAsADEALABcACIATgBpAHQAcgBvAGcAZQBuACAALQAgAEEAbQBtAG8AbgBpAGEAYwBhAGwAXAAiACwAMAAuADIAMQAsAFwAIgBMAG8AYwBhAHQAaQBvAG4AIABuAG8AdAAgAHMAcABlAGMAaQBmAGkAZQBkAFwAIgAsAFwAIgBTAHUAbABmAHUAcgAgAC0AIABHAGUAbgBlAHIAaQBjAFwAIgAsADAALgAy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NAEEAUABcACIALABcACIAawBnAFwAIgAsADEALABcACIAUABoAG8AcwBwAGgAbwByAHUAcwAgAC0AIABHAGUAbgBlAHIAaQBjAFwAIgAsADAALgAyADYANgAsAFwAIgBMAG8AYwBhAHQAaQBvAG4AIABuAG8AdAAgAHMAcABlAGMAaQBmAGkAZQBkAFwAIgAsAFwAIgBOAGkAdAByAG8AZwBlAG4AIAAtACAAQQBtAG0AbwBuAGkAYQBjAGEAbABcACIALAAwAC4AMQAy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TQBLAFAAXAAiACwAXAAiAGsAZwBcACIALAAxACwAXAAiAFAAaABvAHMAcABoAG8AcgB1AHMAIAAtACAARwBlAG4AZQByAGkAYwBcACIALAAwAC4AMgAyADcALABcACIATABvAGMAYQB0AGkAbwBuACAAbgBvAHQAIABzAHAAZQBjAGkAZgBpAGUAZABcACIALABcACIAUABvAHQAYQBzAHMAaQB1AG0AIAAtACAARwBlAG4AZQByAGkAYwBcACIALAAwAC4AMgA4ADU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TAGEAbQBcACIALABcACIAawBnAFwAIgAsADEALABcACIATgBpAHQAcgBvAGcAZQBuACAALQAgAEEAbQBtAG8AbgBpAGEAYwBhAGwAXAAiACwAMAAuADIAMAA4ACwAXAAiAEwAbwBjAGEAdABpAG8AbgAgAG4AbwB0ACAAcwBwAGUAYwBpAGYAaQBlAGQAXAAiACwAXAAiAFMAdQBsAGYAdQByACAALQAgAEcAZQBuAGUAcgBpAGMAXAAiACwAMAAuADIAMwA4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WgBpAG4AYwBcACIALABcACIAawBnAFwAIgAsADEALABcACIAWgBpAG4AYwAgAC0AIABHAGUAbgBlAHIAaQBjAFwAIgAsADAALgAyADEALABcACIATABvAGMAYQB0AGkAbwBuACAAbgBvAHQAIABzAHAAZQBjAGkAZgBpAGUAZABcACIALABcACIAUwB1AGwAZgB1AHIAIAAtACAARwBlAG4AZQByAGkAYwBcACIALAAwAC4AMQAwADU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LAFwAIgAsAFwAIgBMAFwAIgAsADEALgA0ADcALABcACIAUABvAHQAYQBzAHMAaQB1AG0AIAAtACAARwBlAG4AZQByAGkAYwBcACIALAAwAC4AMwAsAFwAIgBMAG8AYwBhAHQAaQBvAG4AIABuAG8AdAAgAHMAcABlAGMAaQBmAGkAZQBkAFwAIgAsAFwAIgBTAHUAbABmAHUAcgAgAC0AIABHAGUAbgBlAHIAaQBjAFwAIgAsADAALgAyADU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OAFwAIgAsAFwAIgBMAFwAIgAsADEALgAzADIALABcACIATgBpAHQAcgBvAGcAZQBuACAALQAgAEcAZQBuAGUAcgBpAGMAXAAiACwAMAAuADMANwAyACwAXAAiAEwAbwBjAGEAdABpAG8AbgAgAG4AbwB0ACAAcwBwAGUAYwBpAGYAaQBlAGQAXAAiACwAXAAiAFMAdQBsAGYAdQByACAALQAgAEcAZQBuAGUAcgBpAGMAXAAiACwAMAAuADA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4AIABQAGwAdQBzAFwAIgAsAFwAIgBMAFwAIgAsADEALgAzADIALABcACIATgBpAHQAcgBvAGcAZQBuACAALQAgAEcAZQBuAGUAcgBpAGMAXAAiACwAMAAuADMANgA0ACwAXAAiAEwAbwBjAGEAdABpAG8AbgAgAG4AbwB0ACAAcwBwAGUAYwBpAGYAaQBlAGQAXAAiACwAXAAiAFMAdQBsAGYAdQByACAALQAgAEcAZQBuAGUAcgBpAGMAXAAiACwAMAAuADA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FMAdQBsAFwAIgAsAFwAIgBMAFwAIgAsADEALgAzADUALABcACIAUwB1AGwAZgB1AHIAIAAtACAARwBlAG4AZQByAGkAYwBcACIALAAwAC4AMwA1ACwAXAAiAEwAbwBjAGEAdABpAG8AbgAgAG4AbwB0ACAAcwBwAGUAYwBpAGYAaQBlAGQAXAAiACwAXAAiAE4AaQB0AHIAbwBnAGUAbgAgAC0AIABBAG0AbQBvAG4AaQBhAGMAYQBsAFwAIgAsADAALgAxADY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UAQQBTAFwAIgAsAFwAIgBMAFwAIgAsADEALgAyADMANQAsAFwAIgBOAGkAdAByAG8AZwBlAG4AIAAtACAARwBlAG4AZQByAGkAYwBcACIALAAwAC4AMgAwADkALABcACIATABvAGMAYQB0AGkAbwBuACAAbgBvAHQAIABzAHAAZQBjAGkAZgBpAGUAZABcACIALABcACIAUwB1AGwAZgB1AHIAIAAtACAARwBlAG4AZQByAGkAYwBcACIALAAwAC4AMAA2ADcALABcACIATABvAGMAYQB0AGkAbwBuACAAbgBvAHQAIABzAHAAZQBjAGkAZgBpAGUAZABcACIALABcACIATgBpAHQAcgBvAGcAZQBuACAALQAgAEEAbQBtAG8AbgBpAGEAYwBhAGwAXAAiACwAMAAuADAANQ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ZAGEAcgBhACAATABpAHEAdQBpAGQAcwAgAE4ALQBGAE8ATAAgADIANAArAFQARQBcACIALABcACIAawBnAFwAIgAsADEALABcACIATgBpAHQAcgBvAGcAZQBuACAALQAgAEcAZQBuAGUAcgBpAGMAXAAiACwAMAAuADEAOQAsAFwAIgBMAG8AYwBhAHQAaQBvAG4AIABuAG8AdAAgAHMAcABlAGMAaQBmAGkAZQBkAFwAIgAsAFwAIgBQAG8AdABhAHMAcwBpAHUAbQAgAC0AIABHAGUAbgBlAHIAaQBjAFwAIgAsADAALgAxADYANgAsAFwAIgBMAG8AYwBhAHQAaQBvAG4AIABuAG8AdAAgAHMAcABlAGMAaQBmAGkAZQBkAFwAIgAsAFwAIgBTAHUAbABmAHUAcgAgAC0AIABHAGUAbgBlAHIAaQBjAFwAIgAsADAALgAwADMALABcACIATABvAGMAYQB0AGkAbwBuACAAbgBvAHQAIABzAHAAZQBjAGkAZgBpAGUAZABcACIALABcACIAUABoAG8AcwBwAGgAbwByAHUAcwAgAC0AIABHAGUAbgBlAHIAaQBjAFwAIgAsADAALgAwADIANgAsAFwAIgBMAG8AYwBhAHQAaQBvAG4AIABuAG8AdAAgAHMAcABlAGMAaQBmAGkAZQBkAFwAIgAsAFwAIgBNAGEAZwBuAGUAcwBpAHUAbQAgAC0AIABnAGUAbgBlAHIAaQBjAFwAIgAsADAALgAwADEAOA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IABVAG4AaQBrAGEAIABQAGwAdQBzAFwAIgAsAFwAIgBrAGcAXAAiACwAMQAsAFwAIgBQAG8AdABhAHMAcwBpAHUAbQAgAC0AIABHAGUAbgBlAHIAaQBjAFwAIgAsADAALgAzADgAMgAsAFwAIgBMAG8AYwBhAHQAaQBvAG4AIABuAG8AdAAgAHMAcABlAGMAaQBmAGkAZQBkAFwAIgAsAFwAIgBOAGkAdAByAG8AZwBlAG4AIAAtACAARwBlAG4AZQByAGkAYwBcACIALAAwAC4AMQAyACwAXAAiAEwAbwBjAGEAdABpAG8AbgAgAG4AbwB0ACAAcwBwAGUAYwBpAGYAaQBlAGQAXAAiACwAXAAiAFMAdQBsAGYAdQByACAALQAgAEcAZQBuAGUAcgBpAGMAXAAiACwAMAAuADA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ZAGEAcgBhAE0AaQBsAGEAIAAyADEALQA3AC0AMwAoADQAKQBcACIALABcACIAawBnAFwAIgAsADEALABcACIATgBpAHQAcgBvAGcAZQBuACAALQAgAEcAZQBuAGUAcgBpAGMAXAAiACwAMAAuADIAMQAsAFwAIgBMAG8AYwBhAHQAaQBvAG4AIABuAG8AdAAgAHMAcABlAGMAaQBmAGkAZQBkAFwAIgAsAFwAIgBQAGgAbwBzAHAAaABvAHIAdQBzACAALQAgAEcAZQBuAGUAcgBpAGMAXAAiACwAMAAuADAANwA0ACwAXAAiAEwAbwBjAGEAdABpAG8AbgAgAG4AbwB0ACAAcwBwAGUAYwBpAGYAaQBlAGQAXAAiACwAXAAiAFMAdQBsAGYAdQByACAALQAgAEcAZQBuAGUAcgBpAGMAXAAiACwAMAAuADAANAAsAFwAIgBMAG8AYwBhAHQAaQBvAG4AIABuAG8AdAAgAHMAcABlAGMAaQBmAGkAZQBkAFwAIgAsAFwAIgBQAG8AdABhAHMAcwBpAHUAbQAgAC0AIABHAGUAbgBlAHIAaQBjAFwAIgAsADAALgAwADIANQAsAFwAIgBMAG8AYwBhAHQAaQBvAG4AIABuAG8AdAAgAHMAcABlAGMAaQBmAGkAZQBkAFwAIgAsAFwAIgBNAGEAZwBuAGUAcwBpAHUAbQAgAC0AIABnAGUAbgBlAHIAaQBjAFwAIgAsADAALgAwADAANAAsAFwAIgBMAG8AYwBhAHQAaQBvAG4AIABuAG8AdAAgAHMAcABlAGMAaQBmAGkAZQBkAFwAIgAsAFwAIgBaAGkAbgBjACAALQAgAEcAZQBuAGUAcgBpAGMAXAAiACwAMAAuADAAMAAxADUALABcACIATABvAGMAYQB0AGkAbwBuACAAbgBvAHQAIABzAHAAZQBjAGkAZgBpAGUAZABcACIALABcACIAXAAiACwAXAAiAFwAIgAsAFwAIgBcACIALABcACIAXAAiACwAXAAiAFwAIgAsAFwAIgBcACIALABcACIAXAAiACwAXAAiAFwAIgAsAFwAIgBcACIALABcACIAXAAiACwAXAAiAFwAIgAsAFwAIgBcACIAOwBcAG4AXAAiAFkAYQByAGEAUgBlAGcAYQAgADEAMwAtADIALQAyADEAXAAiACwAXAAiAGsAZwBcACIALAAxACwAXAAiAFAAbwB0AGEAcwBzAGkAdQBtACAALQAgAEcAZQBuAGUAcgBpAGMAXAAiACwAMAAuADIAMQAsAFwAIgBMAG8AYwBhAHQAaQBvAG4AIABuAG8AdAAgAHMAcABlAGMAaQBmAGkAZQBkAFwAIgAsAFwAIgBTAHUAbABmAHUAcgAgAC0AIABHAGUAbgBlAHIAaQBjAFwAIgAsADAALgAxADAAOAAsAFwAIgBMAG8AYwBhAHQAaQBvAG4AIABuAG8AdAAgAHMAcABlAGMAaQBmAGkAZQBkAFwAIgAsAFwAIgBOAGkAdAByAG8AZwBlAG4AIAAtACAAQQBtAG0AbwBuAGkAYQBjAGEAbABcACIALAAwAC4AMAA3ADcALABcACIATABvAGMAYQB0AGkAbwBuACAAbgBvAHQAIABzAHAAZQBjAGkAZgBpAGUAZABcACIALABcACIATgBpAHQAcgBvAGcAZQBuACAAZgByAG8AbQAgAE4AaQB0AHIAYQB0AGUAXAAiACwAMAAuADAANQAzACwAXAAiAEwAbwBjAGEAdABpAG8AbgAgAG4AbwB0ACAAcwBwAGUAYwBpAGYAaQBlAGQAXAAiACwAXAAiAFAAaABvAHMAcABoAG8AcgB1AHMAIAAtACAARwBlAG4AZQByAGkAYwBcACIALAAwAC4AMAAxADcANQAsAFwAIgBMAG8AYwBhAHQAaQBvAG4AIABuAG8AdAAgAHMAcABlAGMAaQBmAGkAZQBkAFwAIgAsAFwAIgBNAGEAZwBuAGUAcwBpAHUAbQAgAC0AIABnAGUAbgBlAHIAaQBjAFwAIgAsADAALgAwADAANAAsAFwAIgBMAG8AYwBhAHQAaQBvAG4AIABuAG8AdAAgAHMAcABlAGMAaQBmAGkAZQBkAFwAIgAsAFwAIgBCAG8AcgBvAG4AIAAtACAAZwBlAG4AZQByAGkAYwBcACIALAAwAC4AMAAwADAAOAAsAFwAIgBMAG8AYwBhAHQAaQBvAG4AIABuAG8AdAAgAHMAcABlAGMAaQBmAGkAZQBkAFwAIgAsAFwAIgBaAGkAbgBjACAALQAgAEcAZQBuAGUAcgBpAGMAXAAiACwAMAAuADAAMAAwADgALABcACIATABvAGMAYQB0AGkAbwBuACAAbgBvAHQAIABzAHAAZQBjAGkAZgBpAGUAZABcACIALABcACIAXAAiACwAXAAiAFwAIgAsAFwAIgBcACIALABcACIAXAAiACwAXAAiAFwAIgAsAFwAIgBcACIAOwBcAG4AXAAiAFkAYQByAGEAUgBlAGcAYQAgADkALQAwAC0AMwAwACAAKAAxADQAKQBcACIALABcACIAawBnAFwAIgAsADEALABcACIAUABvAHQAYQBzAHMAaQB1AG0AIAAtACAARwBlAG4AZQByAGkAYwBcACIALAAwAC4AMwAsAFwAIgBMAG8AYwBhAHQAaQBvAG4AIABuAG8AdAAgAHMAcABlAGMAaQBmAGkAZQBkAFwAIgAsAFwAIgBTAHUAbABmAHUAcgAgAC0AIABHAGUAbgBlAHIAaQBjAFwAIgAsADAALgAxADQALABcACIATABvAGMAYQB0AGkAbwBuACAAbgBvAHQAIABzAHAAZQBjAGkAZgBpAGUAZABcACIALABcACIATgBpAHQAcgBvAGcAZQBuACAALQAgAEEAbQBtAG8AbgBpAGEAYwBhAGwAXAAiACwAMAAuADAANAA1ACwAXAAiAEwAbwBjAGEAdABpAG8AbgAgAG4AbwB0ACAAcwBwAGUAYwBpAGYAaQBlAGQAXAAiACwAXAAiAE4AaQB0AHIAbwBnAGUAbgAgAGYAcgBvAG0AIABOAGkAdAByAGEAdABlAFwAIgAsADAALgAwADQ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LACAAUABMAFUAUwBcACIALABcACIAawBnAFwAIgAsADEALABcACIATgBpAHQAcgBvAGcAZQBuACAALQAgAEcAZQBuAGUAcgBpAGMAXAAiACwAMAAuADEAMwA3ACwAXAAiAEwAbwBjAGEAdABpAG8AbgAgAG4AbwB0ACAAcwBwAGUAYwBpAGYAaQBlAGQAXAAiACwAXAAiAFAAbwB0AGEAcwBzAGkAdQBtACAALQAgAEcAZQBuAGUAcgBpAGMAXAAiACwAMAAuADMAOAA0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0AQQBQAFwAIgAsAFwAIgBrAGcAXAAiACwAMQAsAFwAIgBQAGgAbwBzAHAAaABvAHIAdQBzACAALQAgAEcAZQBuAGUAcgBpAGMAXAAiACwAMAAuADIANgA2ACwAXAAiAEwAbwBjAGEAdABpAG8AbgAgAG4AbwB0ACAAcwBwAGUAYwBpAGYAaQBlAGQAXAAiACwAXAAiAE4AaQB0AHIAbwBnAGUAbgAgAC0AIABBAG0AbQBvAG4AaQBhAGMAYQBsAFwAIgAsADAALgAxADI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TQBLAFAAXAAiACwAXAAiAGsAZwBcACIALAAxACwAXAAiAFAAbwB0AGEAcwBzAGkAdQBtACAALQAgAEcAZQBuAGUAcgBpAGMAXAAiACwAMAAuADIAOAAyACwAXAAiAEwAbwBjAGEAdABpAG8AbgAgAG4AbwB0ACAAcwBwAGUAYwBpAGYAaQBlAGQAXAAiACwAXAAiAFAAaABvAHMAcABoAG8AcgB1AHMAIAAtACAARwBlAG4AZQByAGkAYwBcACIALAAwAC4AMgAy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XABuACAAIAB9ACwAIAByACwAIABjACkAXABuACkAKQApADsAXABuAFwAbgBGAGUAcgB0AGkAbABpAHMAZQByAF8AUAByAG8AZAB1AGMAdABzAF8ARABhAHQAYQA0AFwAbgA9AEwAQQBNAEIARABBACgAXABuACAATQBBAEsARQBBAFIAUgBBAFkAKAA1ACwAIAAzADUALABcAG4AIABMAEEATQBCAEQAQQAoAHIALABjACwAXABuACAAIABJAE4ARABFAFgAKAB7AFwAbgBcACIAWQBhAHIAYQBUAGUAcgBhACAASwBSAEkAUwBUAEEATABPAE4AIABSAEUARABcACIALABcACIAawBnAFwAIgAsADEALABcACIAUABvAHQAYQBzAHMAaQB1AG0AIAAtACAARwBlAG4AZQByAGkAYwBcACIALAAwAC4AMgA5ADgAOAAsAFwAIgBMAG8AYwBhAHQAaQBvAG4AIABuAG8AdAAgAHMAcABlAGMAaQBmAGkAZQBkAFwAIgAsAFwAIgBOAGkAdAByAG8AZwBlAG4AIAAtACAARwBlAG4AZQByAGkAYwBcACIALAAwAC4AMQAyACwAXAAiAEwAbwBjAGEAdABpAG8AbgAgAG4AbwB0ACAAcwBwAGUAYwBpAGYAaQBlAGQAXAAiACwAXAAiAFAAaABvAHMAcABoAG8AcgB1AHMAIAAtACAARwBlAG4AZQByAGkAYwBcACIALAAwAC4AMAA1ADIANAA0ACwAXAAiAEwAbwBjAGEAdABpAG8AbgAgAG4AbwB0ACAAcwBwAGUAYwBpAGYAaQBlAGQAXAAiACwAXAAiAFMAdQBsAGYAdQByACAALQAgAEcAZQBuAGUAcgBpAGMAXAAiACwAMAAuADAAMQAsAFwAIgBMAG8AYwBhAHQAaQBvAG4AIABuAG8AdAAgAHMAcABlAGMAaQBmAGkAZQBkAFwAIgAsAFwAIgBNAGEAZwBuAGUAcwBpAHUAbQAgAC0AIABnAGUAbgBlAHIAaQBjAFwAIgAsADAALgAwADAANgAwADM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QALABcACIATABvAGMAYQB0AGkAbwBuACAAbgBvAHQAIABzAHAAZQBjAGkAZgBpAGUAZABcACIALABcACIAQgBvAHIAbwBuACAALQAgAGcAZQBuAGUAcgBpAGMAXAAiACwAMAAuADAAMAAwADIANQAsAFwAIgBMAG8AYwBhAHQAaQBvAG4AIABuAG8AdAAgAHMAcABlAGMAaQBmAGkAZQBkAFwAIgAsAFwAIgBaAGkAbgBjACAALQAgAEcAZQBuAGUAcgBpAGMAXAAiACwAMAAuADAAMAAwADIANQAsAFwAIgBMAG8AYwBhAHQAaQBvAG4AIABuAG8AdAAgAHMAcABlAGMAaQBmAGkAZQBkAFwAIgAsAFwAIgBDAG8AcABwAGUAcgAgAC0AIABnAGUAbgBlAHIAaQBjAFwAIgAsADAALgAwADAAMAAxACwAXAAiAEwAbwBjAGEAdABpAG8AbgAgAG4AbwB0ACAAcwBwAGUAYwBpAGYAaQBlAGQAXAAiADsAXABuAFwAIgBZAGEAcgBhAFQAZQByAGEAIABLAFIASQBTAFQAQQBMAE8ATgAgAFMAUABFAEMASQBBAEwAXAAiACwAXAAiAGsAZwBcACIALAAxACwAXAAiAE4AaQB0AHIAbwBnAGUAbgAgAC0AIABHAGUAbgBlAHIAaQBjAFwAIgAsADAALgAxADgALABcACIATABvAGMAYQB0AGkAbwBuACAAbgBvAHQAIABzAHAAZQBjAGkAZgBpAGUAZABcACIALABcACIAUABvAHQAYQBzAHMAaQB1AG0AIAAtACAARwBlAG4AZQByAGkAYwBcACIALAAwAC4AMQA0ADkALABcACIATABvAGMAYQB0AGkAbwBuACAAbgBvAHQAIABzAHAAZQBjAGkAZgBpAGUAZABcACIALABcACIAUABoAG8AcwBwAGgAbwByAHUAcwAgAC0AIABHAGUAbgBlAHIAaQBjAFwAIgAsADAALgAwADcAOQAsAFwAIgBMAG8AYwBhAHQAaQBvAG4AIABuAG8AdAAgAHMAcABlAGMAaQBmAGkAZQBkAFwAIgAsAFwAIgBTAHUAbABmAHUAcgAgAC0AIABHAGUAbgBlAHIAaQBjAFwAIgAsADAALgAwADIALABcACIATABvAGMAYQB0AGkAbwBuACAAbgBvAHQAIABzAHAAZQBjAGkAZgBpAGUAZABcACIALABcACIATQBhAGcAbgBlAHMAaQB1AG0AIAAtACAAZwBlAG4AZQByAGkAYwBcACIALAAwAC4AMAAxADg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QALABcACIATABvAGMAYQB0AGkAbwBuACAAbgBvAHQAIABzAHAAZQBjAGkAZgBpAGUAZABcACIALABcACIAQgBvAHIAbwBuACAALQAgAGcAZQBuAGUAcgBpAGMAXAAiACwAMAAuADAAMAAwADIANQAsAFwAIgBMAG8AYwBhAHQAaQBvAG4AIABuAG8AdAAgAHMAcABlAGMAaQBmAGkAZQBkAFwAIgAsAFwAIgBaAGkAbgBjACAALQAgAEcAZQBuAGUAcgBpAGMAXAAiACwAMAAuADAAMAAwADIANQAsAFwAIgBMAG8AYwBhAHQAaQBvAG4AIABuAG8AdAAgAHMAcABlAGMAaQBmAGkAZQBkAFwAIgAsAFwAIgBDAG8AcABwAGUAcgAgAC0AIABnAGUAbgBlAHIAaQBjAFwAIgAsADAALgAwADAAMAAxACwAXAAiAEwAbwBjAGEAdABpAG8AbgAgAG4AbwB0ACAAcwBwAGUAYwBpAGYAaQBlAGQAXAAiADsAXABuAFwAIgBZAGEAcgBhAFYAaQB0AGEAIABHAGwAeQB0AHIAZQBsACAAWgBuAFAAXAAiACwAXAAiAEwAXAAiACwAMQAuADMANQA0ACwAXAAiAFoAaQBuAGMAIAAtACAARwBlAG4AZQByAGkAYwBcACIALAAwAC4AMQAsAFwAIgBMAG8AYwBhAHQAaQBvAG4AIABuAG8AdAAgAHMAcABlAGMAaQBmAGkAZQBkAFwAIgAsAFwAIgBQAGgAbwBzAHAAaABvAHIAdQBzACAALQAgAEcAZQBuAGUAcgBpAGMAXAAiACwAMAAuADAANAA0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ZAGEAcgBhAFYAaQB0AGEAIABaAGkAbgB0AHIAYQBjAFwAIgAsAFwAIgBMAFwAIgAsADEALgA3ADMANAAsAFwAIgBaAGkAbgBjACAALQAgAEcAZQBuAGUAcgBpAGMAXAAiACwAMAAuADcALABcACIATABvAGMAYQB0AGkAbwBuACAAbgBvAHQAIABzAHAAZQBjAGkAZgBpAGUAZABcACIALABcACIATgBpAHQAcgBvAGcAZQBuACAALQAgAEcAZQBuAGUAcgBpAGMAXAAiACwAMAAuADAAMQA4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aAGkAbgBjAFMAdABhAHIAXAAiACwAXAAiAGsAZwBcACIALAAxACwAXAAiAE4AaQB0AHIAbwBnAGUAbgAgAC0AIABBAG0AbQBvAG4AaQBhAGMAYQBsAFwAIgAsADAALgAxACwAXAAiAEwAbwBjAGEAdABpAG8AbgAgAG4AbwB0ACAAcwBwAGUAYwBpAGYAaQBlAGQAXAAiACwAXAAiAFAAaABvAHMAcABoAG8AcgB1AHMAIAAtACAARwBlAG4AZQByAGkAYwBcACIALAAwAC4AMgAyACwAXAAiAEwAbwBjAGEAdABpAG8AbgAgAG4AbwB0ACAAcwBwAGUAYwBpAGYAaQBlAGQAXAAiACwAXAAiAFMAdQBsAGYAdQByACAALQAgAEcAZQBuAGUAcgBpAGMAXAAiACwAMAAuADAAMgAsAFwAIgBMAG8AYwBhAHQAaQBvAG4AIABuAG8AdAAgAHMAcABlAGMAaQBmAGkAZQBkAFwAIgAsAFwAIgBaAGkAbgBjACAALQAgAEcAZQBuAGUAcgBpAGMAXAAiACwAMAAuADAAM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BcAG4AIAAgAH0ALAAgAHIALAAgAGMAKQBcAG4AKQApACkAOwBcAG4AKgAvAFwAbgBcAG4AXABu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GMAcgBpAHQAZQByAGkAYQAxACAAKgAgAGMAcgBpAHQAZQByAGkAYQAyACAAKgAgAEEAbQBvAHUAbgB0AEEAcABwAGwAaQBlAGQ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DAHIAbwBwAHAAaQBuAGcAXwBJAG4AcAB1AHQARgB1AG4AYwB0AGkAbwBuAHMALgBDAG8AbQBtAG8AbgBDAHIAbwBwAHAAaQBuAGcAXwBHAGUAdABGAHIAYQBjAFcARQBUACIALAAiAEMAbwBtAG0AbwBuAEMAcgBvAHAAcABpAG4AZwBfAEkAbgBwAHUAdABGAHUAbgBjAHQAaQBvAG4AcwAuAEMAbwBtAG0AbwBuAEMAcgBvAHAAcABpAG4AZwBfAEMAYQBsAGMAdQBsAGEAdABlAEgAYQByAHYAZQBzAHQASQBuAGQAZQB4ACIALAAiAEMAbwBtAG0AbwBuAEMAcgBvAHAAcABpAG4AZwBfAEkAbgBwAHUAdABGAHUAbgBjAHQAaQBvAG4AcwAuAEMAbwBtAG0AbwBuAEMAcgBvAHAAcABpAG4AZwBfAEMAYQBsAGMAdQBsAGEAdABlAFIAZQBzAGkAZAB1AGUAQwByAG8AcABSAGEAdABpAG8AIgAsACIAQwBvAG0AbQBvAG4AQwByAG8AcABwAGkAbgBnAF8ASQBuAHAAdQB0AEYAdQBuAGMAdABpAG8AbgBzAC4AQwBvAG0AbQBvAG4AQwByAG8AcABwAGkAbgBnAF8AQwBhAGwAYwB1AGwAYQB0AGUARgByAGEAYwB0AGkAbwBuAFIAZQBzAGkAZAB1AGUAUgBlAG0AbwB2AGUAZAAiACwAIgBGAGUAcgB0AGkAbABpAHMAZQByAF8AUwBvAHUAcgBjAGUARABhAHQAYQAuAEYAZQByAHQAaQBsAGkAcwBlAHIAXwBDAGgAZQBtAGkAYwBhAGwAQwBvAG0AcABvAHUAbgBkAEUAbABlAG0AZQBuAHQAcwBfAFQAaQB0AGwAZQAiACwAIgBGAGUAcgB0AGkAbABpAHMAZQByAF8AUwBvAHUAcgBjAGUARABhAHQAYQAuAEYAZQByAHQAaQBsAGkAcwBlAHIAXwBDAGgAZQBtAGkAYwBhAGwAQwBvAG0AcABvAHUAbgBkAEUAbABlAG0AZQBuAHQAcwBfAFMAbwB1AHIAYwBlACIALAAiAEYAZQByAHQAaQBsAGkAcwBlAHIAXwBTAG8AdQByAGMAZQBEAGEAdABhAC4ARgBlAHIAdABpAGwAaQBzAGUAcgBfAEMAaABlAG0AaQBjAGEAbABDAG8AbQBwAG8AdQBuAGQARQBsAGUAbQBlAG4AdABzAF8ARABhAHQAYQAiACwAIgBGAGUAcgB0AGkAbABpAHMAZQByAF8AUwBvAHUAcgBjAGUARABhAHQAYQAuAEYAZQByAHQAaQBsAGkAcwBlAHIAXwBDAGgAZQBtAGkAYwBhAGwAQwBvAG0AcABvAHUAbgBkAEUAbABlAG0AZQBuAHQAcwBfAFYAYQByAGkAYQB0AGkAbwBuACIALAAiAEYAZQByAHQAaQBsAGkAcwBlAHIAXwBTAG8AdQByAGMAZQBEAGEAdABhAC4ARgBlAHIAdABpAGwAaQBzAGUAcgBfAEYAcgBhAGMARwBBAFMARgBfAFQAaQB0AGwAZQAiACwAIgBGAGUAcgB0AGkAbABpAHMAZQByAF8AUwBvAHUAcgBjAGUARABhAHQAYQAuAEYAZQByAHQAaQBsAGkAcwBlAHIAXwBGAHIAYQBjAEcAQQBTAEYAXwBTAG8AdQByAGMAZQAiACwAIgBGAGUAcgB0AGkAbABpAHMAZQByAF8AUwBvAHUAcgBjAGUARABhAHQAYQAuAEYAZQByAHQAaQBsAGkAcwBlAHIAXwBGAHIAYQBjAEcAQQBTAEYAXwBEAGEAdABhACIALAAiAEYAZQByAHQAaQBsAGkAcwBlAHIAXwBTAG8AdQByAGMAZQBEAGEAdABhAC4ARgBlAHIAdABpAGwAaQBzAGUAcgBfAEYAcgBhAGMARwBBAFMARgBfAFYAYQByAGkAYQB0AGkAbwBuACIALAAiAEYAZQByAHQAaQBsAGkAcwBlAHIAXwBTAG8AdQByAGMAZQBEAGEAdABhAC4ARgBlAHIAdABpAGwAaQBzAGUAcgBfAEUARgBVAHIAZQBhAEMATwAyAF8AVABpAHQAbABlACIALAAiAEYAZQByAHQAaQBsAGkAcwBlAHIAXwBTAG8AdQByAGMAZQBEAGEAdABhAC4ARgBlAHIAdABpAGwAaQBzAGUAcgBfAEUARgBVAHIAZQBhAEMATwAyAF8AUwBvAHUAcgBjAGUAIgAsACIARgBlAHIAdABpAGwAaQBzAGUAcgBfAFMAbwB1AHIAYwBlAEQAYQB0AGEALgBGAGUAcgB0AGkAbABpAHMAZQByAF8ARQBGAFUAcgBlAGEAQwBPADIAXwBWAGEAcgBpAGEAYgBsAGUAIgAsACIARgBlAHIAdABpAGwAaQBzAGUAcgBfAFMAbwB1AHIAYwBlAEQAYQB0AGEALgBGAGUAcgB0AGkAbABpAHMAZQByAF8ARQBGAFUAcgBlAGEAQwBPADIAXwBVAG4AaQB0ACIALAAiAEYAZQByAHQAaQBsAGkAcwBlAHIAXwBTAG8AdQByAGMAZQBEAGEAdABhAC4ARgBlAHIAdABpAGwAaQBzAGUAcgBfAEUARgBVAHIAZQBhAEMATwAyAF8ARABhAHQAYQAiACwAIgBGAGUAcgB0AGkAbABpAHMAZQByAF8AUwBvAHUAcgBjAGUARABhAHQAYQAuAEYAZQByAHQAaQBsAGkAcwBlAHIAXwBFAEYAVQByAGUAYQBDAE8AMgBfAFYAYQByAGkAYQB0AGkAbwBuACIALAAiAEYAZQByAHQAaQBsAGkAcwBlAHIAXwBTAG8AdQByAGMAZQBEAGEAdABhAC4ARgBlAHIAdABpAGwAaQBzAGUAcgBfAEYAcgBhAGMARwBBAFMATQBTAG8AaQBsAF8AVABpAHQAbABlACIALAAiAEYAZQByAHQAaQBsAGkAcwBlAHIAXwBTAG8AdQByAGMAZQBEAGEAdABhAC4ARgBlAHIAdABpAGwAaQBzAGUAcgBfAEYAcgBhAGMARwBBAFMATQBTAG8AaQBsAF8AUwBvAHUAcgBjAGUAIgAsACIARgBlAHIAdABpAGwAaQBzAGUAcgBfAFMAbwB1AHIAYwBlAEQAYQB0AGEALgBGAGUAcgB0AGkAbABpAHMAZQByAF8ARgByAGEAYwBHAEEAUwBNAFMAbwBpAGwAXwBWAGEAcgBpAGEAYgBsAGUAIgAsACIARgBlAHIAdABpAGwAaQBzAGUAcgBfAFMAbwB1AHIAYwBlAEQAYQB0AGEALgBGAGUAcgB0AGkAbABpAHMAZQByAF8ARgByAGEAYwBHAEEAUwBNAFMAbwBpAGwAXwBVAG4AaQB0ACIALAAiAEYAZQByAHQAaQBsAGkAcwBlAHIAXwBTAG8AdQByAGMAZQBEAGEAdABhAC4ARgBlAHIAdABpAGwAaQBzAGUAcgBfAEYAcgBhAGMARwBBAFMATQBTAG8AaQBsAF8ARABhAHQAYQAiACwAIgBGAGUAcgB0AGkAbABpAHMAZQByAF8AUwBvAHUAcgBjAGUARABhAHQAYQAuAEYAZQByAHQAaQBsAGkAcwBlAHIAXwBGAHIAYQBjAEcAQQBTAE0AUwBvAGkAbABfAFYAYQByAGkAYQB0AGkAbwBuACIALAAiAEYAZQByAHQAaQBsAGkAcwBlAHIAXwBTAG8AdQByAGMAZQBEAGEAdABhAC4ARgBlAHIAdABpAGwAaQBzAGUAcgBfAEYAcgBhAGMATABFAEEAQwBIAF8AVABpAHQAbABlACIALAAiAEYAZQByAHQAaQBsAGkAcwBlAHIAXwBTAG8AdQByAGMAZQBEAGEAdABhAC4ARgBlAHIAdABpAGwAaQBzAGUAcgBfAEYAcgBhAGMATABFAEEAQwBIAF8AUwBvAHUAcgBjAGUAIgAsACIARgBlAHIAdABpAGwAaQBzAGUAcgBfAFMAbwB1AHIAYwBlAEQAYQB0AGEALgBGAGUAcgB0AGkAbABpAHMAZQByAF8ARgByAGEAYwBMAEUAQQBDAEgAXwBWAGEAcgBpAGEAYgBsAGUAIgAsACIARgBlAHIAdABpAGwAaQBzAGUAcgBfAFMAbwB1AHIAYwBlAEQAYQB0AGEALgBGAGUAcgB0AGkAbABpAHMAZQByAF8ARgByAGEAYwBMAEUAQQBDAEgAXwBVAG4AaQB0ACIALAAiAEYAZQByAHQAaQBsAGkAcwBlAHIAXwBTAG8AdQByAGMAZQBEAGEAdABhAC4ARgBlAHIAdABpAGwAaQBzAGUAcgBfAEYAcgBhAGMATABFAEEAQwBIAF8ARABhAHQAYQAiACwAIgBGAGUAcgB0AGkAbABpAHMAZQByAF8AUwBvAHUAcgBjAGUARABhAHQAYQAuAEYAZQByAHQAaQBsAGkAcwBlAHIAXwBGAHIAYQBjAEwARQBBAEMASABfAFYAYQByAGkAYQB0AGkAbwBuACIALAAiAEYAZQByAHQAaQBsAGkAcwBlAHIAXwBTAG8AdQByAGMAZQBEAGEAdABhAC4ARgBlAHIAdABpAGwAaQBzAGUAcgBfAEUARgBMAGUAYQBjAGgAXwBUAGkAdABsAGUAIgAsACIARgBlAHIAdABpAGwAaQBzAGUAcgBfAFMAbwB1AHIAYwBlAEQAYQB0AGEALgBGAGUAcgB0AGkAbABpAHMAZQByAF8ARQBGAEwAZQBhAGMAaABfAFMAbwB1AHIAYwBlACIALAAiAEYAZQByAHQAaQBsAGkAcwBlAHIAXwBTAG8AdQByAGMAZQBEAGEAdABhAC4ARgBlAHIAdABpAGwAaQBzAGUAcgBfAEUARgBMAGUAYQBjAGgAXwBWAGEAcgBpAGEAYgBsAGUAIgAsACIARgBlAHIAdABpAGwAaQBzAGUAcgBfAFMAbwB1AHIAYwBlAEQAYQB0AGEALgBGAGUAcgB0AGkAbABpAHMAZQByAF8ARQBGAEwAZQBhAGMAaABfAFUAbgBpAHQAIgAsACIARgBlAHIAdABpAGwAaQBzAGUAcgBfAFMAbwB1AHIAYwBlAEQAYQB0AGEALgBGAGUAcgB0AGkAbABpAHMAZQByAF8ARQBGAEwAZQBhAGMAaABfAEQAYQB0AGEAIgAsACIARgBlAHIAdABpAGwAaQBzAGUAcgBfAFMAbwB1AHIAYwBlAEQAYQB0AGEALgBGAGUAcgB0AGkAbABpAHMAZQByAF8ARQBGAEwAZQBhAGMAaABfAFYAYQByAGkAYQB0AGkAbwBuACIALAAiAEYAZQByAHQAaQBsAGkAcwBlAHIAXwBTAG8AdQByAGMAZQBEAGEAdABhAC4ARgBlAHIAdABpAGwAaQBzAGUAcgBfAEwAaQBtAGUARABvAGwAbwBtAGkAdABlAEcAeQBwAHMAdQBtAEMAbwBuAHMAdABhAG4AdABzAF8AVABpAHQAbABlACIALAAiAEYAZQByAHQAaQBsAGkAcwBlAHIAXwBTAG8AdQByAGMAZQBEAGEAdABhAC4ARgBlAHIAdABpAGwAaQBzAGUAcgBfAEwAaQBtAGUARABvAGwAbwBtAGkAdABlAEcAeQBwAHMAdQBtAEMAbwBuAHMAdABhAG4AdABzAF8ARABlAHMAYwByAGkAcAB0AGkAbwBuACIALAAiAEYAZQByAHQAaQBsAGkAcwBlAHIAXwBTAG8AdQByAGMAZQBEAGEAdABhAC4ARgBlAHIAdABpAGwAaQBzAGUAcgBfAEwAaQBtAGUARABvAGwAbwBtAGkAdABlAEcAeQBwAHMAdQBtAEMAbwBuAHMAdABhAG4AdABzAF8AUwBvAHUAcgBjAGUAIgAsACIARgBlAHIAdABpAGwAaQBzAGUAcgBfAFMAbwB1AHIAYwBlAEQAYQB0AGEALgBGAGUAcgB0AGkAbABpAHMAZQByAF8ATABpAG0AZQBEAG8AbABvAG0AaQB0AGUARwB5AHAAcwB1AG0AQwBvAG4AcwB0AGEAbgB0AHMAXwBEAGEAdABhACIALAAiAEYAZQByAHQAaQBsAGkAcwBlAHIAXwBTAG8AdQByAGMAZQBEAGEAdABhAC4ARgBlAHIAdABpAGwAaQBzAGUAcgBfAEwAaQBtAGUARABvAGwAbwBtAGkAdABlAEcAeQBwAHMAdQBtAEMAbwBuAHMAdABhAG4AdABzAF8AVgBhAHIAaQBhAHQAaQBvAG4AIgAsACIARgBlAHIAdABpAGwAaQBzAGUAcgBfAFMAbwB1AHIAYwBlAEQAYQB0AGEALgBGAGUAcgB0AGkAbABpAHMAZQByAF8ARgByAGEAYwB0AGkAbwBuAE4AQwBvAG0AbQBvAG4ARgBlAHIAdABpAGwAaQBzAGUAcgBzAF8AVABpAHQAbABlACIALAAiAEYAZQByAHQAaQBsAGkAcwBlAHIAXwBTAG8AdQByAGMAZQBEAGEAdABhAC4ARgBlAHIAdABpAGwAaQBzAGUAcgBfAEYAcgBhAGMAdABpAG8AbgBOAEMAbwBtAG0AbwBuAEYAZQByAHQAaQBsAGkAcwBlAHIAcwBfAFMAbwB1AHIAYwBlACIALAAiAEYAZQByAHQAaQBsAGkAcwBlAHIAXwBTAG8AdQByAGMAZQBEAGEAdABhAC4ARgBlAHIAdABpAGwAaQBzAGUAcgBfAEYAcgBhAGMAdABpAG8AbgBOAEMAbwBtAG0AbwBuAEYAZQByAHQAaQBsAGkAcwBlAHIAcwBfAEQAYQB0AGEAIgAsACIARgBlAHIAdABpAGwAaQBzAGUAcgBfAFMAbwB1AHIAYwBlAEQAYQB0AGEALgBGAGUAcgB0AGkAbABpAHMAZQByAF8ARgByAGEAYwB0AGkAbwBuAE4AQwBvAG0AbQBvAG4ARgBlAHIAdABpAGwAaQBzAGUAcgBzAF8AVgBhAHIAaQBhAHQAaQBvAG4AIgAsACIARgBlAHIAdABpAGwAaQBzAGUAcgBfAFMAbwB1AHIAYwBlAEQAYQB0AGEALgBGAGUAcgB0AGkAbABpAHMAZQByAF8ARgByAGEAYwB0AGkAbwBuAFUAcgBlAGEAQwBvAG0AbQBvAG4ARgBlAHIAdABpAGwAaQBzAGUAcgBzAF8AVABpAHQAbABlACIALAAiAEYAZQByAHQAaQBsAGkAcwBlAHIAXwBTAG8AdQByAGMAZQBEAGEAdABhAC4ARgBlAHIAdABpAGwAaQBzAGUAcgBfAEYAcgBhAGMAdABpAG8AbgBVAHIAZQBhAEMAbwBtAG0AbwBuAEYAZQByAHQAaQBsAGkAcwBlAHIAcwBfAFMAbwB1AHIAYwBlACIALAAiAEYAZQByAHQAaQBsAGkAcwBlAHIAXwBTAG8AdQByAGMAZQBEAGEAdABhAC4ARgBlAHIAdABpAGwAaQBzAGUAcgBfAEYAcgBhAGMAdABpAG8AbgBVAHIAZQBhAEMAbwBtAG0AbwBuAEYAZQByAHQAaQBsAGkAcwBlAHIAcwBfAEQAYQB0AGEAIgAsACIARgBlAHIAdABpAGwAaQBzAGUAcgBfAFMAbwB1AHIAYwBlAEQAYQB0AGEALgBGAGUAcgB0AGkAbABpAHMAZQByAF8ARgByAGEAYwB0AGkAbwBuAFUAcgBlAGEAQwBvAG0AbQBvAG4ARgBlAHIAdABpAGwAaQBzAGUAcgBzAF8AVgBhAHIAaQBhAHQAaQBvAG4AIgAsACIARgBlAHIAdABpAGwAaQBzAGUAcgBfAFMAbwB1AHIAYwBlAEQAYQB0AGEALgBGAGUAcgB0AGkAbABpAHMAZQByAF8AVQByAGUAYQBBAG0AbQBvAG4AaQBhAFMAbwB1AHIAYwBlAFIAZQBnAGkAbwBuAHMAXwBUAGkAdABsAGUAIgAsACIARgBlAHIAdABpAGwAaQBzAGUAcgBfAFMAbwB1AHIAYwBlAEQAYQB0AGEALgBGAGUAcgB0AGkAbABpAHMAZQByAF8AVQByAGUAYQBBAG0AbQBvAG4AaQBhAFMAbwB1AHIAYwBlAFIAZQBnAGkAbwBuAHMAXwBTAG8AdQByAGMAZQAiACwAIgBGAGUAcgB0AGkAbABpAHMAZQByAF8AUwBvAHUAcgBjAGUARABhAHQAYQAuAEYAZQByAHQAaQBsAGkAcwBlAHIAXwBVAHIAZQBhAEEAbQBtAG8AbgBpAGEAUwBvAHUAcgBjAGUAUgBlAGcAaQBvAG4AcwBfAEQAYQB0AGEAIgAsACIARgBlAHIAdABpAGwAaQBzAGUAcgBfAFMAbwB1AHIAYwBlAEQAYQB0AGEALgBGAGUAcgB0AGkAbABpAHMAZQByAF8AUAByAG8AZAB1AGMAdABzAF8AVABpAHQAbABlACIALAAiAEYAZQByAHQAaQBsAGkAcwBlAHIAXwBTAG8AdQByAGMAZQBEAGEAdABhAC4ARgBlAHIAdABpAGwAaQBzAGUAcgBfAFAAcgBvAGQAdQBjAHQAcwBfAFMAbwB1AHIAYwBlACIALAAiAEYAZQByAHQAaQBsAGkAcwBlAHIAXwBTAG8AdQByAGMAZQBEAGEAdABhAC4ARgBlAHIAdABpAGwAaQBzAGUAcgBfAFAAcgBvAGQAdQBjAHQAcwBfAEQAYQB0AGEAMQAiACwAIgBGAGUAcgB0AGkAbABpAHMAZQByAF8ASQBuAHAAdQB0AEYAdQBuAGMAdABpAG8AbgBzAC4ARgBlAHIAdABpAGwAaQBzAGUAcgBfAEYAZQByAHQAaQBsAGkAcwBlAHIAUAByAG8AZAB1AGMAdABMAG8AbwBrAHUAcAAiACwAIgBGAGUAcgB0AGkAbABpAHMAZQByAF8ASQBuAHAAdQB0AEYAdQBuAGMAdABpAG8AbgBzAC4ARgBlAHIAdABpAGwAaQBzAGUAcgBfAFMAdQBtAFAAcgBvAGQAdQBjAHQAQQBwAHAAbABpAGUAZAAiACwAIgBGAGUAcgB0AGkAbABpAHMAZQByAF8ASQBuAHAAdQB0AEYAdQBuAGMAdABpAG8AbgBzAC4ARgBlAHIAdABpAGwAaQBzAGUAcgBfAFQAbwB0AGEAbABTAG8AaQBsAEEAbQBlAG4AZABtAGUAbgB0AEEAcABwAGwAaQBlAGQAIgAsACIARgBlAHIAdABpAGwAaQBzAGUAcgBfAEkAbgBwAHUAdABGAHUAbgBjAHQAaQBvAG4AcwAuAEYAZQByAHQAaQBsAGkAcwBlAHIAXwBUAG8AdABhAGwAQwBoAGUAbQBpAGMAYQBsAEMAbwBtAHAAbwB1AG4AZABBAHAAcABsAGkAZQBkAEEAbABsAEkAbgBnAHIAZQBkAGkAZQBuAHQAcwAiACwAIgBGAGUAcgB0AGkAbABpAHMAZQByAF8ASQBuAHAAdQB0AEYAdQBuAGMAdABpAG8AbgBzAC4ARgBlAHIAdABpAGwAaQBzAGUAcgBfAFQAbwB0AGEAbABDAGgAZQBtAGkAYwBhAGwAQwBvAG0AcABvAHUAbgBkAHQAQQBwAHAAbABpAGUAZABCAHkAUwBvAHUAcgBjAGUAQQBsAGwASQBuAGcAcgBlAGQAaQBlAG4AdABzACIALAAiAEYAZQByAHQAaQBsAGkAcwBlAHIAXwBJAG4AcAB1AHQARgB1AG4AYwB0AGkAbwBuAHMALgBGAGUAcgB0AGkAbABpAHMAZQByAF8ARwBlAHQAUwBjAG8AcABlADMARQBGACIALAAiAEYAZQByAHQAaQBsAGkAcwBlAHIAXwBJAG4AcAB1AHQARgB1AG4AYwB0AGkAbwBuAHMALgBGAGUAcgB0AGkAbABpAHMAZQByAF8ARwBlAHQAQwBoAGUAbQBpAGMAYQBsAEMAbwBtAHAAbwB1AG4AZABFAGwAZQBtAGUAbgB0AEYAcgBhAGMAdABpAG8AbgAiACwAIgBGAGUAcgB0AGkAbABpAHMAZQByAF8ASQBuAHAAdQB0AEYAdQBuAGMAdABpAG8AbgBzAC4ARgBlAHIAdABpAGwAaQBzAGUAcgBfAFQAbwB0AGEAbABBAGMAdABpAHYAZQBJAG4AZwByAGUAZABpAGUAbgB0AEEAcABwAGwAaQBlAGQAQQBsAGwASQBuAGcAcgBlAGQAaQBlAG4AdABzACIALAAiAEYAZQByAHQAaQBsAGkAcwBlAHIAXwBFAHEAdQBhAHQAaQBvAG4AcwBfAEkAbgBvAHIAZwBhAG4AaQBjAE4AMgBPAC4AVgBFAEUAUgBHAF8ANQBfADEAXwAxAF8AMQBfAF8AMQBfAEkAbgBvAHIAZwBhAG4AaQBjAEYAZQByAHQAaQBsAGkAcwBlAHIAQQBwAHAAbABpAGMAYQB0AGkAbwBuAE4AMgBPAEUAbQBpAHMAcwBpAG8AbgBzACIALAAiAEYAZQByAHQAaQBsAGkAcwBlAHIAXwBFAHEAdQBhAHQAaQBvAG4AcwBfAEkAbgBvAHIAZwBhAG4AaQBjAE4AMgBPAC4AVgBFAEUAUgBHAF8ANQBfADEAXwAxAF8AMQBfAF8AMQBfAEkAbgBvAHIAZwBhAG4AaQBjAEYAZQByAHQAaQBsAGkAcwBlAHIAQQBwAHAAbABpAGMAYQB0AGkAbwBuAE4AMgBPAEUAbQBpAHMAcwBpAG8AbgBzAF8AVABpAHQAbABlACIALAAiAEYAZQByAHQAaQBsAGkAcwBlAHIAXwBFAHEAdQBhAHQAaQBvAG4AcwBfAEkAbgBvAHIAZwBhAG4AaQBjAE4AMgBPAC4AVgBFAEUAUgBHAF8ANQBfADEAXwAxAF8AMQBfAF8AMQBfAEkAbgBvAHIAZwBhAG4AaQBjAEYAZQByAHQAaQBsAGkAcwBlAHIAQQBwAHAAbABpAGMAYQB0AGkAbwBuAE4AMgBPAEUAbQBpAHMAcwBpAG8AbgBzAF8AVgBhAHIAaQBhAGIAbABlACIALAAiAEYAZQByAHQAaQBsAGkAcwBlAHIAXwBFAHEAdQBhAHQAaQBvAG4AcwBfAEkAbgBvAHIAZwBhAG4AaQBjAE4AMgBPAC4AVgBFAEUAUgBHAF8ANQBfADEAXwAxAF8AMQBfAF8AMQBfAEkAbgBvAHIAZwBhAG4AaQBjAEYAZQByAHQAaQBsAGkAcwBlAHIAQQBwAHAAbABpAGMAYQB0AGkAbwBuAE4AMgBPAEUAbQBpAHMAcwBpAG8AbgBzAF8AVQBuAGkAdAAiACwAIgBGAGUAcgB0AGkAbABpAHMAZQByAF8ARQBxAHUAYQB0AGkAbwBuAHMAXwBJAG4AbwByAGcAYQBuAGkAYwBOADIATwAuAFYARQBFAFIARwBfADUAXwAxAF8AMQBfADEAXwBfADEAXwBJAG4AbwByAGcAYQBuAGkAYwBGAGUAcgB0AGkAbABpAHMAZQByAEEAcABwAGwAaQBjAGEAdABpAG8AbgBOADIATwBFAG0AaQBzAHMAaQBvAG4AcwBfAFMAbwB1AHIAYwBlACIALAAiAEYAZQByAHQAaQBsAGkAcwBlAHIAXwBFAHEAdQBhAHQAaQBvAG4AcwBfAEkAbgBvAHIAZwBhAG4AaQBjAE4AMgBPAC4AVgBFAEUAUgBHAF8ANQBfADEAXwAxAF8AMQBfAF8AMQBfAEkAbgBvAHIAZwBhAG4AaQBjAEYAZQByAHQAaQBsAGkAcwBlAHIAQQBwAHAAbABpAGMAYQB0AGkAbwBuAE4AMgBPAEUAbQBpAHMAcwBpAG8AbgBzAF8ATgBJAFIAUgBlAGYAZQByAGUAbgBjAGUAIgAsACIARgBlAHIAdABpAGwAaQBzAGUAcgBfAEUAcQB1AGEAdABpAG8AbgBzAF8ASQBuAG8AcgBnAGEAbgBpAGMATgAyAE8ALgBWAEUARQBSAEcAXwA1AF8AMQBfADEAXwAxAF8AXwAxAF8ASQBuAG8AcgBnAGEAbgBpAGMARgBlAHIAdABpAGwAaQBzAGUAcgBBAHAAcABsAGkAYwBhAHQAaQBvAG4ATgAyAE8ARQBtAGkAcwBzAGkAbwBuAHMAXwBMAGEAdABlAHgARQBxAHUAYQB0AGkAbwBuACIALAAiAEYAZQByAHQAaQBsAGkAcwBlAHIAXwBFAHEAdQBhAHQAaQBvAG4AcwBfAEkAbgBvAHIAZwBhAG4AaQBjAE4AMgBPAC4AVgBFAEUAUgBHAF8ANQBfADEAXwAxAF8AMQBfAF8AMQBfAEkAbgBvAHIAZwBhAG4AaQBjAEYAZQByAHQAaQBsAGkAcwBlAHIAQQBwAHAAbABpAGMAYQB0AGkAbwBuAE4AMgBPAEUAbQBpAHMAcwBpAG8AbgBzAF8AQQByAGcAdQBtAGUAbgB0AHMAIgAsACIARgBlAHIAdABpAGwAaQBzAGUAcgBfAEUAcQB1AGEAdABpAG8AbgBzAF8ASQBuAG8AcgBnAGEAbgBpAGMATgAyAE8ALgBWAEUARQBSAEcAXwA1AF8AMQBfADEAXwAxAF8AXwAxAF8ASQBuAG8AcgBnAGEAbgBpAGMARgBlAHIAdABpAGwAaQBzAGUAcgBBAHAAcABsAGkAYwBhAHQAaQBvAG4ATgAyAE8ARQBtAGkAcwBzAGkAbwBuAHMAXwBBAHIAZwB1AG0AZQBuAHQAcwBfAE0AZQB0AGgAbwBkADIAIgAsACIARgBlAHIAdABpAGwAaQBzAGUAcgBfAEUAcQB1AGEAdABpAG8AbgBzAF8ASQBuAG8AcgBnAGEAbgBpAGMATgAyAE8ALgBWAEUARQBSAEcAXwA1AF8AMQBfADEAXwAxAF8AXwAyAF8ATQBhAHMAcwBPAGYATgBpAHQAcgBvAGcAZQBuAEkAbgBJAG4AbwByAGcAYQBuAGkAYwBGAGUAcgB0AGkAbABpAHMAZQByACIALAAiAEYAZQByAHQAaQBsAGkAcwBlAHIAXwBFAHEAdQBhAHQAaQBvAG4AcwBfAEkAbgBvAHIAZwBhAG4AaQBjAE4AMgBPAC4AVgBFAEUAUgBHAF8ANQBfADEAXwAxAF8AMQBfAF8AMgBfAE0AYQBzAHMATwBmAE4AaQB0AHIAbwBnAGUAbgBJAG4ASQBuAG8AcgBnAGEAbgBpAGMARgBlAHIAdABpAGwAaQBzAGUAcgBfAFQAaQB0AGwAZQAiACwAIgBGAGUAcgB0AGkAbABpAHMAZQByAF8ARQBxAHUAYQB0AGkAbwBuAHMAXwBJAG4AbwByAGcAYQBuAGkAYwBOADIATwAuAFYARQBFAFIARwBfADUAXwAxAF8AMQBfADEAXwBfADIAXwBNAGEAcwBzAE8AZgBOAGkAdAByAG8AZwBlAG4ASQBuAEkAbgBvAHIAZwBhAG4AaQBjAEYAZQByAHQAaQBsAGkAcwBlAHIAXwBWAGEAcgBpAGEAYgBsAGUAIgAsACIARgBlAHIAdABpAGwAaQBzAGUAcgBfAEUAcQB1AGEAdABpAG8AbgBzAF8ASQBuAG8AcgBnAGEAbgBpAGMATgAyAE8ALgBWAEUARQBSAEcAXwA1AF8AMQBfADEAXwAxAF8AXwAyAF8ATQBhAHMAcwBPAGYATgBpAHQAcgBvAGcAZQBuAEkAbgBJAG4AbwByAGcAYQBuAGkAYwBGAGUAcgB0AGkAbABpAHMAZQByAF8AVQBuAGkAdAAiACwAIgBGAGUAcgB0AGkAbABpAHMAZQByAF8ARQBxAHUAYQB0AGkAbwBuAHMAXwBJAG4AbwByAGcAYQBuAGkAYwBOADIATwAuAFYARQBFAFIARwBfADUAXwAxAF8AMQBfADEAXwBfADIAXwBNAGEAcwBzAE8AZgBOAGkAdAByAG8AZwBlAG4ASQBuAEkAbgBvAHIAZwBhAG4AaQBjAEYAZQByAHQAaQBsAGkAcwBlAHIAXwBTAG8AdQByAGMAZQAiACwAIgBGAGUAcgB0AGkAbABpAHMAZQByAF8ARQBxAHUAYQB0AGkAbwBuAHMAXwBJAG4AbwByAGcAYQBuAGkAYwBOADIATwAuAFYARQBFAFIARwBfADUAXwAxAF8AMQBfADEAXwBfADIAXwBNAGEAcwBzAE8AZgBOAGkAdAByAG8AZwBlAG4ASQBuAEkAbgBvAHIAZwBhAG4AaQBjAEYAZQByAHQAaQBsAGkAcwBlAHIAXwBOAEkAUgBSAGUAZgBlAHIAZQBuAGMAZQAiACwAIgBGAGUAcgB0AGkAbABpAHMAZQByAF8ARQBxAHUAYQB0AGkAbwBuAHMAXwBJAG4AbwByAGcAYQBuAGkAYwBOADIATwAuAFYARQBFAFIARwBfADUAXwAxAF8AMQBfADEAXwBfADIAXwBNAGEAcwBzAE8AZgBOAGkAdAByAG8AZwBlAG4ASQBuAEkAbgBvAHIAZwBhAG4AaQBjAEYAZQByAHQAaQBsAGkAcwBlAHIAXwBMAGEAdABlAHgARQBxAHUAYQB0AGkAbwBuACIALAAiAEYAZQByAHQAaQBsAGkAcwBlAHIAXwBFAHEAdQBhAHQAaQBvAG4AcwBfAEkAbgBvAHIAZwBhAG4AaQBjAE4AMgBPAC4AVgBFAEUAUgBHAF8ANQBfADEAXwAxAF8AMQBfAF8AMgBfAE0AYQBzAHMATwBmAE4AaQB0AHIAbwBnAGUAbgBJAG4ASQBuAG8AcgBnAGEAbgBpAGMARgBlAHIAdABpAGwAaQBzAGUAcgBfAEEAcgBnAHUAbQBlAG4AdABzACIALAAiAEYAZQByAHQAaQBsAGkAcwBlAHIAXwBFAHEAdQBhAHQAaQBvAG4AcwBfAEkAbgBvAHIAZwBhAG4AaQBjAE4AMgBPAC4AVgBFAEUAUgBHAF8ANQBfADEAXwAxAF8AMgBfAF8AMQBfAEUAbQBpAHMAcwBpAG8AbgBGAGEAYwB0AG8AcgBJAHIAcgBpAGcAYQB0AGUAZABNAGEAaQB6AGUAIgAsACIARgBlAHIAdABpAGwAaQBzAGUAcgBfAEUAcQB1AGEAdABpAG8AbgBzAF8ASQBuAG8AcgBnAGEAbgBpAGMATgAyAE8ALgBWAEUARQBSAEcAXwA1AF8AMQBfADEAXwAyAF8AXwAxAF8ARQBtAGkAcwBzAGkAbwBuAEYAYQBjAHQAbwByAEkAcgByAGkAZwBhAHQAZQBkAE0AYQBpAHoAZQBfAFQAaQB0AGwAZQAiACwAIgBGAGUAcgB0AGkAbABpAHMAZQByAF8ARQBxAHUAYQB0AGkAbwBuAHMAXwBJAG4AbwByAGcAYQBuAGkAYwBOADIATwAuAFYARQBFAFIARwBfADUAXwAxAF8AMQBfADIAXwBfADEAXwBFAG0AaQBzAHMAaQBvAG4ARgBhAGMAdABvAHIASQByAHIAaQBnAGEAdABlAGQATQBhAGkAegBlAF8AVgBhAHIAaQBhAGIAbABlACIALAAiAEYAZQByAHQAaQBsAGkAcwBlAHIAXwBFAHEAdQBhAHQAaQBvAG4AcwBfAEkAbgBvAHIAZwBhAG4AaQBjAE4AMgBPAC4AVgBFAEUAUgBHAF8ANQBfADEAXwAxAF8AMgBfAF8AMQBfAEUAbQBpAHMAcwBpAG8AbgBGAGEAYwB0AG8AcgBJAHIAcgBpAGcAYQB0AGUAZABNAGEAaQB6AGUAXwBVAG4AaQB0ACIALAAiAEYAZQByAHQAaQBsAGkAcwBlAHIAXwBFAHEAdQBhAHQAaQBvAG4AcwBfAEkAbgBvAHIAZwBhAG4AaQBjAE4AMgBPAC4AVgBFAEUAUgBHAF8ANQBfADEAXwAxAF8AMgBfAF8AMQBfAEUAbQBpAHMAcwBpAG8AbgBGAGEAYwB0AG8AcgBJAHIAcgBpAGcAYQB0AGUAZABNAGEAaQB6AGUAXwBTAG8AdQByAGMAZQAiACwAIgBGAGUAcgB0AGkAbABpAHMAZQByAF8ARQBxAHUAYQB0AGkAbwBuAHMAXwBJAG4AbwByAGcAYQBuAGkAYwBOADIATwAuAFYARQBFAFIARwBfADUAXwAxAF8AMQBfADIAXwBfADEAXwBFAG0AaQBzAHMAaQBvAG4ARgBhAGMAdABvAHIASQByAHIAaQBnAGEAdABlAGQATQBhAGkAegBlAF8ATgBJAFIAUgBlAGYAZQByAGUAbgBjAGUAIgAsACIARgBlAHIAdABpAGwAaQBzAGUAcgBfAEUAcQB1AGEAdABpAG8AbgBzAF8ASQBuAG8AcgBnAGEAbgBpAGMATgAyAE8ALgBWAEUARQBSAEcAXwA1AF8AMQBfADEAXwAyAF8AXwAxAF8ARQBtAGkAcwBzAGkAbwBuAEYAYQBjAHQAbwByAEkAcgByAGkAZwBhAHQAZQBkAE0AYQBpAHoAZQBfAEwAYQB0AGUAeABFAHEAdQBhAHQAaQBvAG4AIgAsACIARgBlAHIAdABpAGwAaQBzAGUAcgBfAEUAcQB1AGEAdABpAG8AbgBzAF8ASQBuAG8AcgBnAGEAbgBpAGMATgAyAE8ALgBWAEUARQBSAEcAXwA1AF8AMQBfADEAXwAyAF8AXwAxAF8ARQBtAGkAcwBzAGkAbwBuAEYAYQBjAHQAbwByAEkAcgByAGkAZwBhAHQAZQBkAE0AYQBpAHoAZQBfAEEAcgBnAHUAbQBlAG4AdABzACIALAAiAEYAZQByAHQAaQBsAGkAcwBlAHIAXwBFAHEAdQBhAHQAaQBvAG4AcwBfAEkAbgBvAHIAZwBhAG4AaQBjAE4AMgBPAC4AVgBFAEUAUgBHAF8ANQBfADEAXwAxAF8AMgBfAF8AMgBfAEUAbQBpAHMAcwBpAG8AbgBGAGEAYwB0AG8AcgBOAG8AbgBJAHIAcgBpAGcAYQB0AGUAZABHAHIAYQBpAG4AcwBIAGkAZwBoAFIAYQBpAG4AZgBhAGwAbAAiACwAIgBGAGUAcgB0AGkAbABpAHMAZQByAF8ARQBxAHUAYQB0AGkAbwBuAHMAXwBJAG4AbwByAGcAYQBuAGkAYwBOADIATwAuAFYARQBFAFIARwBfADUAXwAxAF8AMQBfADIAXwBfADIAXwBFAG0AaQBzAHMAaQBvAG4ARgBhAGMAdABvAHIATgBvAG4ASQByAHIAaQBnAGEAdABlAGQARwByAGEAaQBuAHMASABpAGcAaABSAGEAaQBuAGYAYQBsAGwAXwBUAGkAdABsAGUAIgAsACIARgBlAHIAdABpAGwAaQBzAGUAcgBfAEUAcQB1AGEAdABpAG8AbgBzAF8ASQBuAG8AcgBnAGEAbgBpAGMATgAyAE8ALgBWAEUARQBSAEcAXwA1AF8AMQBfADEAXwAyAF8AXwAyAF8ARQBtAGkAcwBzAGkAbwBuAEYAYQBjAHQAbwByAE4AbwBuAEkAcgByAGkAZwBhAHQAZQBkAEcAcgBhAGkAbgBzAEgAaQBnAGgAUgBhAGkAbgBmAGEAbABsAF8AVgBhAHIAaQBhAGIAbABlACIALAAiAEYAZQByAHQAaQBsAGkAcwBlAHIAXwBFAHEAdQBhAHQAaQBvAG4AcwBfAEkAbgBvAHIAZwBhAG4AaQBjAE4AMgBPAC4AVgBFAEUAUgBHAF8ANQBfADEAXwAxAF8AMgBfAF8AMgBfAEUAbQBpAHMAcwBpAG8AbgBGAGEAYwB0AG8AcgBOAG8AbgBJAHIAcgBpAGcAYQB0AGUAZABHAHIAYQBpAG4AcwBIAGkAZwBoAFIAYQBpAG4AZgBhAGwAbABfAFUAbgBpAHQAIgAsACIARgBlAHIAdABpAGwAaQBzAGUAcgBfAEUAcQB1AGEAdABpAG8AbgBzAF8ASQBuAG8AcgBnAGEAbgBpAGMATgAyAE8ALgBWAEUARQBSAEcAXwA1AF8AMQBfADEAXwAyAF8AXwAyAF8ARQBtAGkAcwBzAGkAbwBuAEYAYQBjAHQAbwByAE4AbwBuAEkAcgByAGkAZwBhAHQAZQBkAEcAcgBhAGkAbgBzAEgAaQBnAGgAUgBhAGkAbgBmAGEAbABsAF8AUwBvAHUAcgBjAGUAIgAsACIARgBlAHIAdABpAGwAaQBzAGUAcgBfAEUAcQB1AGEAdABpAG8AbgBzAF8ASQBuAG8AcgBnAGEAbgBpAGMATgAyAE8ALgBWAEUARQBSAEcAXwA1AF8AMQBfADEAXwAyAF8AXwAyAF8ARQBtAGkAcwBzAGkAbwBuAEYAYQBjAHQAbwByAE4AbwBuAEkAcgByAGkAZwBhAHQAZQBkAEcAcgBhAGkAbgBzAEgAaQBnAGgAUgBhAGkAbgBmAGEAbABsAF8ATgBJAFIAUgBlAGYAZQByAGUAbgBjAGUAIgAsACIARgBlAHIAdABpAGwAaQBzAGUAcgBfAEUAcQB1AGEAdABpAG8AbgBzAF8ASQBuAG8AcgBnAGEAbgBpAGMATgAyAE8ALgBWAEUARQBSAEcAXwA1AF8AMQBfADEAXwAyAF8AXwAyAF8ARQBtAGkAcwBzAGkAbwBuAEYAYQBjAHQAbwByAE4AbwBuAEkAcgByAGkAZwBhAHQAZQBkAEcAcgBhAGkAbgBzAEgAaQBnAGgAUgBhAGkAbgBmAGEAbABsAF8ATABhAHQAZQB4AEUAcQB1AGEAdABpAG8AbgAiACwAIgBGAGUAcgB0AGkAbABpAHMAZQByAF8ARQBxAHUAYQB0AGkAbwBuAHMAXwBJAG4AbwByAGcAYQBuAGkAYwBOADIATwAuAFYARQBFAFIARwBfADUAXwAxAF8AMQBfADIAXwBfADIAXwBFAG0AaQBzAHMAaQBvAG4ARgBhAGMAdABvAHIATgBvAG4ASQByAHIAaQBnAGEAdABlAGQARwByAGEAaQBuAHMASABpAGcAaABSAGEAaQBuAGYAYQBsAGwAXwBBAHIAZwB1AG0AZQBuAHQAcwAiACwAIgBGAGUAcgB0AGkAbABpAHMAZQByAF8ARQBxAHUAYQB0AGkAbwBuAHMAXwBJAG4AbwByAGcAYQBuAGkAYwBOADIATwAuAFYARQBFAFIARwBfADUAXwAxAF8AMQBfADIAXwBfADMAXwBFAG0AaQBzAHMAaQBvAG4ARgBhAGMAdABvAHIAQwBvAHQAdABvAG4AIgAsACIARgBlAHIAdABpAGwAaQBzAGUAcgBfAEUAcQB1AGEAdABpAG8AbgBzAF8ASQBuAG8AcgBnAGEAbgBpAGMATgAyAE8ALgBWAEUARQBSAEcAXwA1AF8AMQBfADEAXwAyAF8AXwAzAF8ARQBtAGkAcwBzAGkAbwBuAEYAYQBjAHQAbwByAEMAbwB0AHQAbwBuAF8AVABpAHQAbABlACIALAAiAEYAZQByAHQAaQBsAGkAcwBlAHIAXwBFAHEAdQBhAHQAaQBvAG4AcwBfAEkAbgBvAHIAZwBhAG4AaQBjAE4AMgBPAC4AVgBFAEUAUgBHAF8ANQBfADEAXwAxAF8AMgBfAF8AMwBfAEUAbQBpAHMAcwBpAG8AbgBGAGEAYwB0AG8AcgBDAG8AdAB0AG8AbgBfAFYAYQByAGkAYQBiAGwAZQAiACwAIgBGAGUAcgB0AGkAbABpAHMAZQByAF8ARQBxAHUAYQB0AGkAbwBuAHMAXwBJAG4AbwByAGcAYQBuAGkAYwBOADIATwAuAFYARQBFAFIARwBfADUAXwAxAF8AMQBfADIAXwBfADMAXwBFAG0AaQBzAHMAaQBvAG4ARgBhAGMAdABvAHIAQwBvAHQAdABvAG4AXwBVAG4AaQB0ACIALAAiAEYAZQByAHQAaQBsAGkAcwBlAHIAXwBFAHEAdQBhAHQAaQBvAG4AcwBfAEkAbgBvAHIAZwBhAG4AaQBjAE4AMgBPAC4AVgBFAEUAUgBHAF8ANQBfADEAXwAxAF8AMgBfAF8AMwBfAEUAbQBpAHMAcwBpAG8AbgBGAGEAYwB0AG8AcgBDAG8AdAB0AG8AbgBfAFMAbwB1AHIAYwBlACIALAAiAEYAZQByAHQAaQBsAGkAcwBlAHIAXwBFAHEAdQBhAHQAaQBvAG4AcwBfAEkAbgBvAHIAZwBhAG4AaQBjAE4AMgBPAC4AVgBFAEUAUgBHAF8ANQBfADEAXwAxAF8AMgBfAF8AMwBfAEUAbQBpAHMAcwBpAG8AbgBGAGEAYwB0AG8AcgBDAG8AdAB0AG8AbgBfAE4ASQBSAFIAZQBmAGUAcgBlAG4AYwBlACIALAAiAEYAZQByAHQAaQBsAGkAcwBlAHIAXwBFAHEAdQBhAHQAaQBvAG4AcwBfAEkAbgBvAHIAZwBhAG4AaQBjAE4AMgBPAC4AVgBFAEUAUgBHAF8ANQBfADEAXwAxAF8AMgBfAF8AMwBfAEUAbQBpAHMAcwBpAG8AbgBGAGEAYwB0AG8AcgBDAG8AdAB0AG8AbgBfAEwAYQB0AGUAeABFAHEAdQBhAHQAaQBvAG4AIgAsACIARgBlAHIAdABpAGwAaQBzAGUAcgBfAEUAcQB1AGEAdABpAG8AbgBzAF8ASQBuAG8AcgBnAGEAbgBpAGMATgAyAE8ALgBWAEUARQBSAEcAXwA1AF8AMQBfADEAXwAyAF8AXwAzAF8ARQBtAGkAcwBzAGkAbwBuAEYAYQBjAHQAbwByAEMAbwB0AHQAbwBuAF8AQQByAGcAdQBtAGUAbgB0AHMAIgAsACIARgBlAHIAdABpAGwAaQBzAGUAcgBfAEUAcQB1AGEAdABpAG8AbgBzAF8ASQBuAG8AcgBnAGEAbgBpAGMAQwBPADIALgBWAEUARQBSAEcAXwA1AF8AMQBfADEAXwAzAF8AXwAxAF8ASQBuAG8AcgBnAGEAbgBpAGMARgBlAHIAdABpAGwAaQBzAGUAcgBBAHAAcABsAGkAYwBhAHQAaQBvAG4AQwBPADIARQBtAGkAcwBzAGkAbwBuAHMAIgAsACIARgBlAHIAdABpAGwAaQBzAGUAcgBfAEUAcQB1AGEAdABpAG8AbgBzAF8ASQBuAG8AcgBnAGEAbgBpAGMAQwBPADIALgBWAEUARQBSAEcAXwA1AF8AMQBfADEAXwAzAF8AXwAxAF8ASQBuAG8AcgBnAGEAbgBpAGMARgBlAHIAdABpAGwAaQBzAGUAcgBBAHAAcABsAGkAYwBhAHQAaQBvAG4AQwBPADIARQBtAGkAcwBzAGkAbwBuAHMAXwBUAGkAdABsAGUAIgAsACIARgBlAHIAdABpAGwAaQBzAGUAcgBfAEUAcQB1AGEAdABpAG8AbgBzAF8ASQBuAG8AcgBnAGEAbgBpAGMAQwBPADIALgBWAEUARQBSAEcAXwA1AF8AMQBfADEAXwAzAF8AXwAxAF8ASQBuAG8AcgBnAGEAbgBpAGMARgBlAHIAdABpAGwAaQBzAGUAcgBBAHAAcABsAGkAYwBhAHQAaQBvAG4AQwBPADIARQBtAGkAcwBzAGkAbwBuAHMAXwBWAGEAcgBpAGEAYgBsAGUAIgAsACIARgBlAHIAdABpAGwAaQBzAGUAcgBfAEUAcQB1AGEAdABpAG8AbgBzAF8ASQBuAG8AcgBnAGEAbgBpAGMAQwBPADIALgBWAEUARQBSAEcAXwA1AF8AMQBfADEAXwAzAF8AXwAxAF8ASQBuAG8AcgBnAGEAbgBpAGMARgBlAHIAdABpAGwAaQBzAGUAcgBBAHAAcABsAGkAYwBhAHQAaQBvAG4AQwBPADIARQBtAGkAcwBzAGkAbwBuAHMAXwBVAG4AaQB0ACIALAAiAEYAZQByAHQAaQBsAGkAcwBlAHIAXwBFAHEAdQBhAHQAaQBvAG4AcwBfAEkAbgBvAHIAZwBhAG4AaQBjAEMATwAyAC4AVgBFAEUAUgBHAF8ANQBfADEAXwAxAF8AMwBfAF8AMQBfAEkAbgBvAHIAZwBhAG4AaQBjAEYAZQByAHQAaQBsAGkAcwBlAHIAQQBwAHAAbABpAGMAYQB0AGkAbwBuAEMATwAyAEUAbQBpAHMAcwBpAG8AbgBzAF8AUwBvAHUAcgBjAGUAIgAsACIARgBlAHIAdABpAGwAaQBzAGUAcgBfAEUAcQB1AGEAdABpAG8AbgBzAF8ASQBuAG8AcgBnAGEAbgBpAGMAQwBPADIALgBWAEUARQBSAEcAXwA1AF8AMQBfADEAXwAzAF8AXwAxAF8ASQBuAG8AcgBnAGEAbgBpAGMARgBlAHIAdABpAGwAaQBzAGUAcgBBAHAAcABsAGkAYwBhAHQAaQBvAG4AQwBPADIARQBtAGkAcwBzAGkAbwBuAHMAXwBOAEkAUgBSAGUAZgBlAHIAZQBuAGMAZQAiACwAIgBGAGUAcgB0AGkAbABpAHMAZQByAF8ARQBxAHUAYQB0AGkAbwBuAHMAXwBJAG4AbwByAGcAYQBuAGkAYwBDAE8AMgAuAFYARQBFAFIARwBfADUAXwAxAF8AMQBfADMAXwBfADEAXwBJAG4AbwByAGcAYQBuAGkAYwBGAGUAcgB0AGkAbABpAHMAZQByAEEAcABwAGwAaQBjAGEAdABpAG8AbgBDAE8AMgBFAG0AaQBzAHMAaQBvAG4AcwBfAEwAYQB0AGUAeABFAHEAdQBhAHQAaQBvAG4AIgAsACIARgBlAHIAdABpAGwAaQBzAGUAcgBfAEUAcQB1AGEAdABpAG8AbgBzAF8ASQBuAG8AcgBnAGEAbgBpAGMAQwBPADIALgBWAEUARQBSAEcAXwA1AF8AMQBfADEAXwAzAF8AXwAxAF8ASQBuAG8AcgBnAGEAbgBpAGMARgBlAHIAdABpAGwAaQBzAGUAcgBBAHAAcABsAGkAYwBhAHQAaQBvAG4AQwBPADIARQBtAGkAcwBzAGkAbwBuAHMAXwBBAHIAZwB1AG0AZQBuAHQAcwAiACwAIgBGAGUAcgB0AGkAbABpAHMAZQByAF8ARQBxAHUAYQB0AGkAbwBuAHMAXwBJAG4AbwByAGcAYQBuAGkAYwBDAE8AMgAuAFYARQBFAFIARwBfADUAXwAxAF8AMQBfADMAXwBfADIAXwBNAGEAcwBzAE8AZgBVAHIAZQBhAEkAbgBJAG4AbwByAGcAYQBuAGkAYwBGAGUAcgB0AGkAbABpAHMAZQByACIALAAiAEYAZQByAHQAaQBsAGkAcwBlAHIAXwBFAHEAdQBhAHQAaQBvAG4AcwBfAEkAbgBvAHIAZwBhAG4AaQBjAEMATwAyAC4AVgBFAEUAUgBHAF8ANQBfADEAXwAxAF8AMwBfAF8AMgBfAE0AYQBzAHMATwBmAFUAcgBlAGEASQBuAEkAbgBvAHIAZwBhAG4AaQBjAEYAZQByAHQAaQBsAGkAcwBlAHIAXwBUAGkAdABsAGUAIgAsACIARgBlAHIAdABpAGwAaQBzAGUAcgBfAEUAcQB1AGEAdABpAG8AbgBzAF8ASQBuAG8AcgBnAGEAbgBpAGMAQwBPADIALgBWAEUARQBSAEcAXwA1AF8AMQBfADEAXwAzAF8AXwAyAF8ATQBhAHMAcwBPAGYAVQByAGUAYQBJAG4ASQBuAG8AcgBnAGEAbgBpAGMARgBlAHIAdABpAGwAaQBzAGUAcgBfAFYAYQByAGkAYQBiAGwAZQAiACwAIgBGAGUAcgB0AGkAbABpAHMAZQByAF8ARQBxAHUAYQB0AGkAbwBuAHMAXwBJAG4AbwByAGcAYQBuAGkAYwBDAE8AMgAuAFYARQBFAFIARwBfADUAXwAxAF8AMQBfADMAXwBfADIAXwBNAGEAcwBzAE8AZgBVAHIAZQBhAEkAbgBJAG4AbwByAGcAYQBuAGkAYwBGAGUAcgB0AGkAbABpAHMAZQByAF8AVQBuAGkAdAAiACwAIgBGAGUAcgB0AGkAbABpAHMAZQByAF8ARQBxAHUAYQB0AGkAbwBuAHMAXwBJAG4AbwByAGcAYQBuAGkAYwBDAE8AMgAuAFYARQBFAFIARwBfADUAXwAxAF8AMQBfADMAXwBfADIAXwBNAGEAcwBzAE8AZgBVAHIAZQBhAEkAbgBJAG4AbwByAGcAYQBuAGkAYwBGAGUAcgB0AGkAbABpAHMAZQByAF8AUwBvAHUAcgBjAGUAIgAsACIARgBlAHIAdABpAGwAaQBzAGUAcgBfAEUAcQB1AGEAdABpAG8AbgBzAF8ASQBuAG8AcgBnAGEAbgBpAGMAQwBPADIALgBWAEUARQBSAEcAXwA1AF8AMQBfADEAXwAzAF8AXwAyAF8ATQBhAHMAcwBPAGYAVQByAGUAYQBJAG4ASQBuAG8AcgBnAGEAbgBpAGMARgBlAHIAdABpAGwAaQBzAGUAcgBfAE4ASQBSAFIAZQBmAGUAcgBlAG4AYwBlACIALAAiAEYAZQByAHQAaQBsAGkAcwBlAHIAXwBFAHEAdQBhAHQAaQBvAG4AcwBfAEkAbgBvAHIAZwBhAG4AaQBjAEMATwAyAC4AVgBFAEUAUgBHAF8ANQBfADEAXwAxAF8AMwBfAF8AMgBfAE0AYQBzAHMATwBmAFUAcgBlAGEASQBuAEkAbgBvAHIAZwBhAG4AaQBjAEYAZQByAHQAaQBsAGkAcwBlAHIAXwBMAGEAdABlAHgARQBxAHUAYQB0AGkAbwBuACIALAAiAEYAZQByAHQAaQBsAGkAcwBlAHIAXwBFAHEAdQBhAHQAaQBvAG4AcwBfAEkAbgBvAHIAZwBhAG4AaQBjAEMATwAyAC4AVgBFAEUAUgBHAF8ANQBfADEAXwAxAF8AMwBfAF8AMgBfAE0AYQBzAHMATwBmAFUAcgBlAGEASQBuAEkAbgBvAHIAZwBhAG4AaQBjAEYAZQByAHQAaQBsAGkAcwBlAHIAXwBBAHIAZwB1AG0AZQBuAHQAcwAiACwAIgBGAGUAcgB0AGkAbABpAHMAZQByAF8ARQBxAHUAYQB0AGkAbwBuAHMAXwBPAHIAZwBhAG4AaQBjAE4AMgBPAC4AVgBFAEUAUgBHAF8ANQBfADIAXwAxAF8AMQBfAF8AMQBfAE8AcgBnAGEAbgBpAGMARgBlAHIAdABpAGwAaQBzAGUAcgBBAHAAcABsAGkAYwBhAHQAaQBvAG4ATgAyAE8ARQBtAGkAcwBzAGkAbwBuAHMAIgAsACIARgBlAHIAdABpAGwAaQBzAGUAcgBfAEUAcQB1AGEAdABpAG8AbgBzAF8ATwByAGcAYQBuAGkAYwBOADIATwAuAFYARQBFAFIARwBfADUAXwAyAF8AMQBfADEAXwBfADEAXwBPAHIAZwBhAG4AaQBjAEYAZQByAHQAaQBsAGkAcwBlAHIAQQBwAHAAbABpAGMAYQB0AGkAbwBuAE4AMgBPAEUAbQBpAHMAcwBpAG8AbgBzAF8AVABpAHQAbABlACIALAAiAEYAZQByAHQAaQBsAGkAcwBlAHIAXwBFAHEAdQBhAHQAaQBvAG4AcwBfAE8AcgBnAGEAbgBpAGMATgAyAE8ALgBWAEUARQBSAEcAXwA1AF8AMgBfADEAXwAxAF8AXwAxAF8ATwByAGcAYQBuAGkAYwBGAGUAcgB0AGkAbABpAHMAZQByAEEAcABwAGwAaQBjAGEAdABpAG8AbgBOADIATwBFAG0AaQBzAHMAaQBvAG4AcwBfAFYAYQByAGkAYQBiAGwAZQAiACwAIgBGAGUAcgB0AGkAbABpAHMAZQByAF8ARQBxAHUAYQB0AGkAbwBuAHMAXwBPAHIAZwBhAG4AaQBjAE4AMgBPAC4AVgBFAEUAUgBHAF8ANQBfADIAXwAxAF8AMQBfAF8AMQBfAE8AcgBnAGEAbgBpAGMARgBlAHIAdABpAGwAaQBzAGUAcgBBAHAAcABsAGkAYwBhAHQAaQBvAG4ATgAyAE8ARQBtAGkAcwBzAGkAbwBuAHMAXwBVAG4AaQB0ACIALAAiAEYAZQByAHQAaQBsAGkAcwBlAHIAXwBFAHEAdQBhAHQAaQBvAG4AcwBfAE8AcgBnAGEAbgBpAGMATgAyAE8ALgBWAEUARQBSAEcAXwA1AF8AMgBfADEAXwAxAF8AXwAxAF8ATwByAGcAYQBuAGkAYwBGAGUAcgB0AGkAbABpAHMAZQByAEEAcABwAGwAaQBjAGEAdABpAG8AbgBOADIATwBFAG0AaQBzAHMAaQBvAG4AcwBfAFMAbwB1AHIAYwBlACIALAAiAEYAZQByAHQAaQBsAGkAcwBlAHIAXwBFAHEAdQBhAHQAaQBvAG4AcwBfAE8AcgBnAGEAbgBpAGMATgAyAE8ALgBWAEUARQBSAEcAXwA1AF8AMgBfADEAXwAxAF8AXwAxAF8ATwByAGcAYQBuAGkAYwBGAGUAcgB0AGkAbABpAHMAZQByAEEAcABwAGwAaQBjAGEAdABpAG8AbgBOADIATwBFAG0AaQBzAHMAaQBvAG4AcwBfAE4ASQBSAFIAZQBmAGUAcgBlAG4AYwBlACIALAAiAEYAZQByAHQAaQBsAGkAcwBlAHIAXwBFAHEAdQBhAHQAaQBvAG4AcwBfAE8AcgBnAGEAbgBpAGMATgAyAE8ALgBWAEUARQBSAEcAXwA1AF8AMgBfADEAXwAxAF8AXwAxAF8ATwByAGcAYQBuAGkAYwBGAGUAcgB0AGkAbABpAHMAZQByAEEAcABwAGwAaQBjAGEAdABpAG8AbgBOADIATwBFAG0AaQBzAHMAaQBvAG4AcwBfAEwAYQB0AGUAeABFAHEAdQBhAHQAaQBvAG4AIgAsACIARgBlAHIAdABpAGwAaQBzAGUAcgBfAEUAcQB1AGEAdABpAG8AbgBzAF8ATwByAGcAYQBuAGkAYwBOADIATwAuAFYARQBFAFIARwBfADUAXwAyAF8AMQBfADEAXwBfADEAXwBPAHIAZwBhAG4AaQBjAEYAZQByAHQAaQBsAGkAcwBlAHIAQQBwAHAAbABpAGMAYQB0AGkAbwBuAE4AMgBPAEUAbQBpAHMAcwBpAG8AbgBzAF8AQQByAGcAdQBtAGUAbgB0AHMAIgAsACIARgBlAHIAdABpAGwAaQBzAGUAcgBfAEUAcQB1AGEAdABpAG8AbgBzAF8ATwByAGcAYQBuAGkAYwBOADIATwAuAFYARQBFAFIARwBfADUAXwAyAF8AMQBfADEAXwBfADIAXwBNAGEAcwBzAE8AZgBOAGkAdAByAG8AZwBlAG4ASQBuAE8AcgBnAGEAbgBpAGMARgBlAHIAdABpAGwAaQBzAGUAcgAiACwAIgBGAGUAcgB0AGkAbABpAHMAZQByAF8ARQBxAHUAYQB0AGkAbwBuAHMAXwBPAHIAZwBhAG4AaQBjAE4AMgBPAC4AVgBFAEUAUgBHAF8ANQBfADIAXwAxAF8AMQBfAF8AMgBfAE0AYQBzAHMATwBmAE4AaQB0AHIAbwBnAGUAbgBJAG4ATwByAGcAYQBuAGkAYwBGAGUAcgB0AGkAbABpAHMAZQByAF8AVABpAHQAbABlACIALAAiAEYAZQByAHQAaQBsAGkAcwBlAHIAXwBFAHEAdQBhAHQAaQBvAG4AcwBfAE8AcgBnAGEAbgBpAGMATgAyAE8ALgBWAEUARQBSAEcAXwA1AF8AMgBfADEAXwAxAF8AXwAyAF8ATQBhAHMAcwBPAGYATgBpAHQAcgBvAGcAZQBuAEkAbgBPAHIAZwBhAG4AaQBjAEYAZQByAHQAaQBsAGkAcwBlAHIAXwBWAGEAcgBpAGEAYgBsAGUAIgAsACIARgBlAHIAdABpAGwAaQBzAGUAcgBfAEUAcQB1AGEAdABpAG8AbgBzAF8ATwByAGcAYQBuAGkAYwBOADIATwAuAFYARQBFAFIARwBfADUAXwAyAF8AMQBfADEAXwBfADIAXwBNAGEAcwBzAE8AZgBOAGkAdAByAG8AZwBlAG4ASQBuAE8AcgBnAGEAbgBpAGMARgBlAHIAdABpAGwAaQBzAGUAcgBfAFUAbgBpAHQAIgAsACIARgBlAHIAdABpAGwAaQBzAGUAcgBfAEUAcQB1AGEAdABpAG8AbgBzAF8ATwByAGcAYQBuAGkAYwBOADIATwAuAFYARQBFAFIARwBfADUAXwAyAF8AMQBfADEAXwBfADIAXwBNAGEAcwBzAE8AZgBOAGkAdAByAG8AZwBlAG4ASQBuAE8AcgBnAGEAbgBpAGMARgBlAHIAdABpAGwAaQBzAGUAcgBfAFMAbwB1AHIAYwBlACIALAAiAEYAZQByAHQAaQBsAGkAcwBlAHIAXwBFAHEAdQBhAHQAaQBvAG4AcwBfAE8AcgBnAGEAbgBpAGMATgAyAE8ALgBWAEUARQBSAEcAXwA1AF8AMgBfADEAXwAxAF8AXwAyAF8ATQBhAHMAcwBPAGYATgBpAHQAcgBvAGcAZQBuAEkAbgBPAHIAZwBhAG4AaQBjAEYAZQByAHQAaQBsAGkAcwBlAHIAXwBOAEkAUgBSAGUAZgBlAHIAZQBuAGMAZQAiACwAIgBGAGUAcgB0AGkAbABpAHMAZQByAF8ARQBxAHUAYQB0AGkAbwBuAHMAXwBPAHIAZwBhAG4AaQBjAE4AMgBPAC4AVgBFAEUAUgBHAF8ANQBfADIAXwAxAF8AMQBfAF8AMgBfAE0AYQBzAHMATwBmAE4AaQB0AHIAbwBnAGUAbgBJAG4ATwByAGcAYQBuAGkAYwBGAGUAcgB0AGkAbABpAHMAZQByAF8ATABhAHQAZQB4AEUAcQB1AGEAdABpAG8AbgAiACwAIgBGAGUAcgB0AGkAbABpAHMAZQByAF8ARQBxAHUAYQB0AGkAbwBuAHMAXwBPAHIAZwBhAG4AaQBjAE4AMgBPAC4AVgBFAEUAUgBHAF8ANQBfADIAXwAxAF8AMQBfAF8AMgBfAE0AYQBzAHMATwBmAE4AaQB0AHIAbwBnAGUAbgBJAG4ATwByAGcAYQBuAGkAYwBGAGUAcgB0AGkAbABpAHMAZQByAF8AQQByAGcAdQBtAGUAbgB0AHMAIgAsACIARgBlAHIAdABpAGwAaQBzAGUAcgBfAEUAcQB1AGEAdABpAG8AbgBzAF8ATABpAG0AZQAuAFYARQBFAFIARwBfADUAXwAzAF8AMQBfADEAXwBfADEAXwBMAGkAbQBlAEEAcABwAGwAaQBjAGEAdABpAG8AbgBDAE8AMgBFAG0AaQBzAHMAaQBvAG4AcwAiACwAIgBGAGUAcgB0AGkAbABpAHMAZQByAF8ARQBxAHUAYQB0AGkAbwBuAHMAXwBMAGkAbQBlAC4AVgBFAEUAUgBHAF8ANQBfADMAXwAxAF8AMQBfAF8AMQBfAEwAaQBtAGUAQQBwAHAAbABpAGMAYQB0AGkAbwBuAEMATwAyAEUAbQBpAHMAcwBpAG8AbgBzAF8AVABpAHQAbABlACIALAAiAEYAZQByAHQAaQBsAGkAcwBlAHIAXwBFAHEAdQBhAHQAaQBvAG4AcwBfAEwAaQBtAGUALgBWAEUARQBSAEcAXwA1AF8AMwBfADEAXwAxAF8AXwAxAF8ATABpAG0AZQBBAHAAcABsAGkAYwBhAHQAaQBvAG4AQwBPADIARQBtAGkAcwBzAGkAbwBuAHMAXwBWAGEAcgBpAGEAYgBsAGUAIgAsACIARgBlAHIAdABpAGwAaQBzAGUAcgBfAEUAcQB1AGEAdABpAG8AbgBzAF8ATABpAG0AZQAuAFYARQBFAFIARwBfADUAXwAzAF8AMQBfADEAXwBfADEAXwBMAGkAbQBlAEEAcABwAGwAaQBjAGEAdABpAG8AbgBDAE8AMgBFAG0AaQBzAHMAaQBvAG4AcwBfAFUAbgBpAHQAIgAsACIARgBlAHIAdABpAGwAaQBzAGUAcgBfAEUAcQB1AGEAdABpAG8AbgBzAF8ATABpAG0AZQAuAFYARQBFAFIARwBfADUAXwAzAF8AMQBfADEAXwBfADEAXwBMAGkAbQBlAEEAcABwAGwAaQBjAGEAdABpAG8AbgBDAE8AMgBFAG0AaQBzAHMAaQBvAG4AcwBfAFMAbwB1AHIAYwBlACIALAAiAEYAZQByAHQAaQBsAGkAcwBlAHIAXwBFAHEAdQBhAHQAaQBvAG4AcwBfAEwAaQBtAGUALgBWAEUARQBSAEcAXwA1AF8AMwBfADEAXwAxAF8AXwAxAF8ATABpAG0AZQBBAHAAcABsAGkAYwBhAHQAaQBvAG4AQwBPADIARQBtAGkAcwBzAGkAbwBuAHMAXwBOAEkAUgBSAGUAZgBlAHIAZQBuAGMAZQAiACwAIgBGAGUAcgB0AGkAbABpAHMAZQByAF8ARQBxAHUAYQB0AGkAbwBuAHMAXwBMAGkAbQBlAC4AVgBFAEUAUgBHAF8ANQBfADMAXwAxAF8AMQBfAF8AMQBfAEwAaQBtAGUAQQBwAHAAbABpAGMAYQB0AGkAbwBuAEMATwAyAEUAbQBpAHMAcwBpAG8AbgBzAF8ATABhAHQAZQB4AEUAcQB1AGEAdABpAG8AbgAiACwAIgBGAGUAcgB0AGkAbABpAHMAZQByAF8ARQBxAHUAYQB0AGkAbwBuAHMAXwBMAGkAbQBlAC4AVgBFAEUAUgBHAF8ANQBfADMAXwAxAF8AMQBfAF8AMQBfAEwAaQBtAGUAQQBwAHAAbABpAGMAYQB0AGkAbwBuAEMATwAyAEUAbQBpAHMAcwBpAG8AbgBzAF8AQQByAGcAdQBtAGUAbgB0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ABpAHQ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MAbwB1AHI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QQByAGcAdQBtAGUAbgB0AHM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UAGkAdABs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WAGEAcgBpAGEAYgBs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VAG4AaQB0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UwBvAHUAc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OAEkAUgBSAGUAZgBlAHIAZQBu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wAYQB0AGUAeABFAHEAdQBhAHQAaQBvAG4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BAHIAZwB1AG0AZQBuAHQ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ABpAHQ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MAbwB1AHIAYw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QQByAGcAdQBtAGUAbgB0AHM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ABpAHQ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WAGEAcgBpAGEAYg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UAbgBpAHQ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MAbwB1AHI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OAEkAUgBSAGUAZgBlAHIAZQBu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ABhAHQAZQB4AEUAcQB1AGEAdABpAG8Abg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QQByAGcAdQBtAGUAbgB0AHMAIgAsACIARgBlAHIAdABpAGwAaQBzAGUAcgBfAEUAcQB1AGEAdABpAG8AbgBzAF8ATABlAGEAYwBoAGkAbgBnAEEAbgBkAFIAdQBuAG8AZgBmAC4AVgBFAEUAUgBHAF8ANQBfADUAXwAxAF8AMQBfAF8AMQBfAEYAZQByAHQAaQBsAGkAcwBlAHIATABlAGEAYwBoAGkAbgBnAEEAbgBkAFIAdQBuAG8AZgBmAE4AMgBPAEUAbQBpAHMAcwBpAG8AbgBzACIALAAiAEYAZQByAHQAaQBsAGkAcwBlAHIAXwBFAHEAdQBhAHQAaQBvAG4AcwBfAEwAZQBhAGMAaABpAG4AZwBBAG4AZABSAHUAbgBvAGYAZgAuAFYARQBFAFIARwBfADUAXwA1AF8AMQBfADEAXwBfADEAXwBGAGUAcgB0AGkAbABpAHMAZQByAEwAZQBhAGMAaABpAG4AZwBBAG4AZABSAHUAbgBvAGYAZgBOADIATwBFAG0AaQBzAHMAaQBvAG4AcwBfAFQAaQB0AGwAZQAiACwAIgBGAGUAcgB0AGkAbABpAHMAZQByAF8ARQBxAHUAYQB0AGkAbwBuAHMAXwBMAGUAYQBjAGgAaQBuAGcAQQBuAGQAUgB1AG4AbwBmAGYALgBWAEUARQBSAEcAXwA1AF8ANQBfADEAXwAxAF8AXwAxAF8ARgBlAHIAdABpAGwAaQBzAGUAcgBMAGUAYQBjAGgAaQBuAGcAQQBuAGQAUgB1AG4AbwBmAGYATgAyAE8ARQBtAGkAcwBzAGkAbwBuAHMAXwBWAGEAcgBpAGEAYgBsAGUAIgAsACIARgBlAHIAdABpAGwAaQBzAGUAcgBfAEUAcQB1AGEAdABpAG8AbgBzAF8ATABlAGEAYwBoAGkAbgBnAEEAbgBkAFIAdQBuAG8AZgBmAC4AVgBFAEUAUgBHAF8ANQBfADUAXwAxAF8AMQBfAF8AMQBfAEYAZQByAHQAaQBsAGkAcwBlAHIATABlAGEAYwBoAGkAbgBnAEEAbgBkAFIAdQBuAG8AZgBmAE4AMgBPAEUAbQBpAHMAcwBpAG8AbgBzAF8AVQBuAGkAdAAiACwAIgBGAGUAcgB0AGkAbABpAHMAZQByAF8ARQBxAHUAYQB0AGkAbwBuAHMAXwBMAGUAYQBjAGgAaQBuAGcAQQBuAGQAUgB1AG4AbwBmAGYALgBWAEUARQBSAEcAXwA1AF8ANQBfADEAXwAxAF8AXwAxAF8ARgBlAHIAdABpAGwAaQBzAGUAcgBMAGUAYQBjAGgAaQBuAGcAQQBuAGQAUgB1AG4AbwBmAGYATgAyAE8ARQBtAGkAcwBzAGkAbwBuAHMAXwBTAG8AdQByAGMAZQAiACwAIgBGAGUAcgB0AGkAbABpAHMAZQByAF8ARQBxAHUAYQB0AGkAbwBuAHMAXwBMAGUAYQBjAGgAaQBuAGcAQQBuAGQAUgB1AG4AbwBmAGYALgBWAEUARQBSAEcAXwA1AF8ANQBfADEAXwAxAF8AXwAxAF8ARgBlAHIAdABpAGwAaQBzAGUAcgBMAGUAYQBjAGgAaQBuAGcAQQBuAGQAUgB1AG4AbwBmAGYATgAyAE8ARQBtAGkAcwBzAGkAbwBuAHMAXwBOAEkAUgBSAGUAZgBlAHIAZQBuAGMAZQAiACwAIgBGAGUAcgB0AGkAbABpAHMAZQByAF8ARQBxAHUAYQB0AGkAbwBuAHMAXwBMAGUAYQBjAGgAaQBuAGcAQQBuAGQAUgB1AG4AbwBmAGYALgBWAEUARQBSAEcAXwA1AF8ANQBfADEAXwAxAF8AXwAxAF8ARgBlAHIAdABpAGwAaQBzAGUAcgBMAGUAYQBjAGgAaQBuAGcAQQBuAGQAUgB1AG4AbwBmAGYATgAyAE8ARQBtAGkAcwBzAGkAbwBuAHMAXwBMAGEAdABlAHgARQBxAHUAYQB0AGkAbwBuACIALAAiAEYAZQByAHQAaQBsAGkAcwBlAHIAXwBFAHEAdQBhAHQAaQBvAG4AcwBfAEwAZQBhAGMAaABpAG4AZwBBAG4AZABSAHUAbgBvAGYAZgAuAFYARQBFAFIARwBfADUAXwA1AF8AMQBfADEAXwBfADEAXwBGAGUAcgB0AGkAbABpAHMAZQByAEwAZQBhAGMAaABpAG4AZwBBAG4AZABSAHUAbgBvAGYAZgBOADIATwBFAG0AaQBzAHMAaQBvAG4AcwBfAEEAcgBnAHUAbQBlAG4AdABzACIALAAiAEYAZQByAHQAaQBsAGkAcwBlAHIAXwBFAHEAdQBhAHQAaQBvAG4AcwBfAEwAZQBhAGMAaABpAG4AZwBBAG4AZABSAHUAbgBvAGYAZgAuAFYARQBFAFIARwBfADUAXwA1AF8AMQBfADEAXwBfADIAXwBNAGEAcwBzAE8AZgBOAGkAdAByAG8AZwBlAG4ATABlAGEAYwBoAGUAZABGAHIAbwBtAEkAbgBvAHIAZwBhAG4AaQBjAEYAZQByAHQAaQBsAGkAcwBlAHIAIgAsACIARgBlAHIAdABpAGwAaQBzAGUAcgBfAEUAcQB1AGEAdABpAG8AbgBzAF8ATABlAGEAYwBoAGkAbgBnAEEAbgBkAFIAdQBuAG8AZgBmAC4AVgBFAEUAUgBHAF8ANQBfADUAXwAxAF8AMQBfAF8AMgBfAE0AYQBzAHMATwBmAE4AaQB0AHIAbwBnAGUAbgBMAGUAYQBjAGgAZQBkAEYAcgBvAG0ASQBuAG8AcgBnAGEAbgBpAGMARgBlAHIAdABpAGwAaQBzAGUAcgBfAFQAaQB0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gBhAHIAaQBhAGI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VAG4AaQB0ACIALAAiAEYAZQByAHQAaQBsAGkAcwBlAHIAXwBFAHEAdQBhAHQAaQBvAG4AcwBfAEwAZQBhAGMAaABpAG4AZwBBAG4AZABSAHUAbgBvAGYAZgAuAFYARQBFAFIARwBfADUAXwA1AF8AMQBfADEAXwBfADIAXwBNAGEAcwBzAE8AZgBOAGkAdAByAG8AZwBlAG4ATABlAGEAYwBoAGUAZABGAHIAbwBtAEkAbgBvAHIAZwBhAG4AaQBjAEYAZQByAHQAaQBsAGkAcwBlAHIAXwBTAG8AdQBy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gBJAFIAUgBlAGYAZQByAGUAb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wAYQB0AGUAeABFAHEAdQBhAHQAaQBvAG4AIgAsACIARgBlAHIAdABpAGwAaQBzAGUAcgBfAEUAcQB1AGEAdABpAG8AbgBzAF8ATABlAGEAYwBoAGkAbgBnAEEAbgBkAFIAdQBuAG8AZgBmAC4AVgBFAEUAUgBHAF8ANQBfADUAXwAxAF8AMQBfAF8AMgBfAE0AYQBzAHMATwBmAE4AaQB0AHIAbwBnAGUAbgBMAGUAYQBjAGgAZQBkAEYAcgBvAG0ASQBuAG8AcgBnAGEAbgBpAGMARgBlAHIAdABpAGwAaQBzAGUAcgBfAEEAcgBnAHUAbQBlAG4AdABzACIALAAiAEYAZQByAHQAaQBsAGkAcwBlAHIAXwBFAHEAdQBhAHQAaQBvAG4AcwBfAEwAZQBhAGMAaABpAG4AZwBBAG4AZABSAHUAbgBvAGYAZgAuAFYARQBFAFIARwBfADUAXwA1AF8AMQBfADEAXwBfADMAXwBNAGEAcwBzAE8AZgBOAGkAdAByAG8AZwBlAG4ATABlAGEAYwBoAGUAZABGAHIAbwBtAE8AcgBnAGEAbgBpAGMARgBlAHIAdABpAGwAaQBzAGUAcgAiACwAIgBGAGUAcgB0AGkAbABpAHMAZQByAF8ARQBxAHUAYQB0AGkAbwBuAHMAXwBMAGUAYQBjAGgAaQBuAGcAQQBuAGQAUgB1AG4AbwBmAGYALgBWAEUARQBSAEcAXwA1AF8ANQBfADEAXwAxAF8AXwAzAF8ATQBhAHMAcwBPAGYATgBpAHQAcgBvAGcAZQBuAEwAZQBhAGMAaABlAGQARgByAG8AbQBPAHIAZwBhAG4AaQBjAEYAZQByAHQAaQBsAGkAcwBlAHIAXwBUAGkAdABsAGUAIgAsACIARgBlAHIAdABpAGwAaQBzAGUAcgBfAEUAcQB1AGEAdABpAG8AbgBzAF8ATABlAGEAYwBoAGkAbgBnAEEAbgBkAFIAdQBuAG8AZgBmAC4AVgBFAEUAUgBHAF8ANQBfADUAXwAxAF8AMQBfAF8AMwBfAE0AYQBzAHMATwBmAE4AaQB0AHIAbwBnAGUAbgBMAGUAYQBjAGgAZQBkAEYAcgBvAG0ATwByAGcAYQBuAGkAYwBGAGUAcgB0AGkAbABpAHMAZQByAF8AVgBhAHIAaQBhAGIAbABlACIALAAiAEYAZQByAHQAaQBsAGkAcwBlAHIAXwBFAHEAdQBhAHQAaQBvAG4AcwBfAEwAZQBhAGMAaABpAG4AZwBBAG4AZABSAHUAbgBvAGYAZgAuAFYARQBFAFIARwBfADUAXwA1AF8AMQBfADEAXwBfADMAXwBNAGEAcwBzAE8AZgBOAGkAdAByAG8AZwBlAG4ATABlAGEAYwBoAGUAZABGAHIAbwBtAE8AcgBnAGEAbgBpAGMARgBlAHIAdABpAGwAaQBzAGUAcgBfAFUAbgBpAHQAIgAsACIARgBlAHIAdABpAGwAaQBzAGUAcgBfAEUAcQB1AGEAdABpAG8AbgBzAF8ATABlAGEAYwBoAGkAbgBnAEEAbgBkAFIAdQBuAG8AZgBmAC4AVgBFAEUAUgBHAF8ANQBfADUAXwAxAF8AMQBfAF8AMwBfAE0AYQBzAHMATwBmAE4AaQB0AHIAbwBnAGUAbgBMAGUAYQBjAGgAZQBkAEYAcgBvAG0ATwByAGcAYQBuAGkAYwBGAGUAcgB0AGkAbABpAHMAZQByAF8AUwBvAHUAcgBjAGUAIgAsACIARgBlAHIAdABpAGwAaQBzAGUAcgBfAEUAcQB1AGEAdABpAG8AbgBzAF8ATABlAGEAYwBoAGkAbgBnAEEAbgBkAFIAdQBuAG8AZgBmAC4AVgBFAEUAUgBHAF8ANQBfADUAXwAxAF8AMQBfAF8AMwBfAE0AYQBzAHMATwBmAE4AaQB0AHIAbwBnAGUAbgBMAGUAYQBjAGgAZQBkAEYAcgBvAG0ATwByAGcAYQBuAGkAYwBGAGUAcgB0AGkAbABpAHMAZQByAF8ATgBJAFIAUgBlAGYAZQByAGUAbgBjAGUAIgAsACIARgBlAHIAdABpAGwAaQBzAGUAcgBfAEUAcQB1AGEAdABpAG8AbgBzAF8ATABlAGEAYwBoAGkAbgBnAEEAbgBkAFIAdQBuAG8AZgBmAC4AVgBFAEUAUgBHAF8ANQBfADUAXwAxAF8AMQBfAF8AMwBfAE0AYQBzAHMATwBmAE4AaQB0AHIAbwBnAGUAbgBMAGUAYQBjAGgAZQBkAEYAcgBvAG0ATwByAGcAYQBuAGkAYwBGAGUAcgB0AGkAbABpAHMAZQByAF8ATABhAHQAZQB4AEUAcQB1AGEAdABpAG8AbgAiACwAIgBGAGUAcgB0AGkAbABpAHMAZQByAF8ARQBxAHUAYQB0AGkAbwBuAHMAXwBMAGUAYQBjAGgAaQBuAGcAQQBuAGQAUgB1AG4AbwBmAGYALgBWAEUARQBSAEcAXwA1AF8ANQBfADEAXwAxAF8AXwAzAF8ATQBhAHMAcwBPAGYATgBpAHQAcgBvAGcAZQBuAEwAZQBhAGMAaABlAGQARgByAG8AbQBPAHIAZwBhAG4AaQBjAEYAZQByAHQAaQBsAGkAcwBlAHI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vt:i4>
      </vt:variant>
    </vt:vector>
  </HeadingPairs>
  <TitlesOfParts>
    <vt:vector size="15" baseType="lpstr">
      <vt:lpstr>Home</vt:lpstr>
      <vt:lpstr>Overview</vt:lpstr>
      <vt:lpstr>Results</vt:lpstr>
      <vt:lpstr>Input - Site</vt:lpstr>
      <vt:lpstr>Input - Fertiliser</vt:lpstr>
      <vt:lpstr>5.1.1.1-2 Inorganic fert N2O</vt:lpstr>
      <vt:lpstr>5.1.1.3-4 Inorganic fert CO2</vt:lpstr>
      <vt:lpstr>5.2.1.1-2 Organic Fert N2O</vt:lpstr>
      <vt:lpstr>5.3.1.1-2 Lime CO2</vt:lpstr>
      <vt:lpstr>5.4.1.1-4 Atmos deposition</vt:lpstr>
      <vt:lpstr>5.5.1.1-2 Leaching and runoff</vt:lpstr>
      <vt:lpstr>Constants - Fertiliser</vt:lpstr>
      <vt:lpstr>Constants - Common</vt:lpstr>
      <vt:lpstr>'5.4.1.1-4 Atmos deposition'!_Toc225350871</vt:lpstr>
      <vt:lpstr>'5.5.1.1-2 Leaching and runoff'!_Toc225350871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2026-06-10T02:30:46Z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