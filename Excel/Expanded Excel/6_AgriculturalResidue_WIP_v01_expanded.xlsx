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4B0C02D5-0B8C-48EB-A872-422D037142E3}" xr6:coauthVersionLast="47" xr6:coauthVersionMax="47" xr10:uidLastSave="{00000000-0000-0000-0000-000000000000}"/>
  <bookViews>
    <workbookView xWindow="4680" yWindow="4680" windowWidth="28800" windowHeight="15345" firstSheet="11" activeTab="11" xr2:uid="{992023F3-CAB7-4E5B-A348-08D563A0EF40}"/>
  </bookViews>
  <sheets>
    <sheet name="Home" sheetId="71" r:id="rId1"/>
    <sheet name="Overview" sheetId="118" r:id="rId2"/>
    <sheet name="Results" sheetId="13" r:id="rId3"/>
    <sheet name="Input - Site" sheetId="15" r:id="rId4"/>
    <sheet name="Input - Crop" sheetId="70" r:id="rId5"/>
    <sheet name="Input - Pasture" sheetId="120" r:id="rId6"/>
    <sheet name="6.1.1.1-2 Crop residue N2O" sheetId="69" r:id="rId7"/>
    <sheet name="6.2.1.1-2 Pasture residue N2O" sheetId="74" r:id="rId8"/>
    <sheet name="6.3.1.1-2 Leaching and runoff" sheetId="113" r:id="rId9"/>
    <sheet name="6.4.1.1-2 Residue burning" sheetId="114" r:id="rId10"/>
    <sheet name="Constants - Ag Residue" sheetId="110" r:id="rId11"/>
    <sheet name="Constants - Common" sheetId="121" r:id="rId12"/>
  </sheets>
  <externalReferences>
    <externalReference r:id="rId13"/>
  </externalReferences>
  <definedNames>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c","dimensionless","Constant";"R_BGc","below ground-residue to above ground residue ratio for crop c","dimensionless","Constant";"F_c","fraction of crop residue that is burnt for crop c","dimensionless","Input";"FFOD_c","fraction of the crop residue that is removed for crop c","dimensionless","Constant";"DM_c","dry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c","dimensionless","Constant";"R_BGc","below ground-residue to above ground residue ratio for crop c","dimensionless","Constant";"F_c","fraction of crop residue that is burnt for crop c","dimensionless","Input";"FFOD_c","fraction of the crop residue that is removed for crop c","dimensionless","Calculated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generated","dimensionless","Input";"M_B","mass of each bale","kg","Input";"P_c","annual production of crop c","kg","Input";"R_AGc","residue to crop ratio for crop c","dimensionless","Input";"c","Crop type","","Input"}, _xlpm.r, _xlpm.c))))</definedName>
    <definedName name="AgResidue_Equations_CropResidue.VEERG_6_1_1_2__1__FractionOfCropResidueRemovedBaled_LatexEquation">_xlfn.LAMBDA("FFOD_{c,baled}=\frac{B\times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_xlfn.LAMBDA("dimensionless")</definedName>
    <definedName name="AgResidue_Equations_CropResidue.VEERG_6_1_1_2__1__FractionOfCropResidueRemovedBaled_Variable">_xlfn.LAMBDA("FFOD_cbaled")</definedName>
    <definedName name="AgResidue_Equations_CropResidue.VEERG_6_1_1_2__1__FractionOfCropResidueRemovedBaled_Variation">_xlfn.LAMBDA("VARIATION FROM SOURCE: Added 'baled' to variable subscript")</definedName>
    <definedName name="AgResidue_Equations_CropResidue.VEERG_6_1_1_2__1a__FractionOfCropResidueRemoved">_xlfn.LAMBDA(_xlpm.FFOD_cbaled,_xlpm.FFOD_cother, _xlpm.FFOD_cbaled + _xlpm.FFOD_cother)</definedName>
    <definedName name="AgResidue_Equations_CropResidue.VEERG_6_1_1_2__1a__FractionOfCropResidueRemoved_Arguments">_xlfn.LAMBDA(_xlfn.MAKEARRAY(2, 4, _xlfn.LAMBDA(_xlpm.r,_xlpm.c, INDEX({"FFOD_cbaled","Fraction of crop residue that is removed for crop c, calculated where residues are baled","fraction","Calculated from 6.1.1.2, (1)";"FFOD_cother","Fraction of crop residue that is removed for crop c, calculated where residues are removed by other means","fraction","Input"}, _xlpm.r, _xlpm.c))))</definedName>
    <definedName name="AgResidue_Equations_CropResidue.VEERG_6_1_1_2__1a__FractionOfCropResidueRemoved_LatexEquation">_xlfn.LAMBDA("FFOD_{c} = FFOD_{c,baled} + FFOD_{c,other}")</definedName>
    <definedName name="AgResidue_Equations_CropResidue.VEERG_6_1_1_2__1a__FractionOfCropResidueRemoved_NIRReference">_xlfn.LAMBDA("")</definedName>
    <definedName name="AgResidue_Equations_CropResidue.VEERG_6_1_1_2__1a__FractionOfCropResidueRemoved_Source">_xlfn.LAMBDA("")</definedName>
    <definedName name="AgResidue_Equations_CropResidue.VEERG_6_1_1_2__1a__FractionOfCropResidueRemoved_Title">_xlfn.LAMBDA("Fraction of crop residue that is removed for crop c")</definedName>
    <definedName name="AgResidue_Equations_CropResidue.VEERG_6_1_1_2__1a__FractionOfCropResidueRemoved_Unit">_xlfn.LAMBDA("dimensionless")</definedName>
    <definedName name="AgResidue_Equations_CropResidue.VEERG_6_1_1_2__1a__FractionOfCropResidueRemoved_Variable">_xlfn.LAMBDA("FFOD_c")</definedName>
    <definedName name="AgResidue_Equations_CropResidue.VEERG_6_1_1_2__1a__FractionOfCropResidueRemoved_Variation">_xlfn.LAMBDA("VARIATION FROM SOURCE: Added this equation to accommodate user-defined residue removal other than baling.")</definedName>
    <definedName name="AgResidue_Equations_FieldBurning.VEERG_6_4_1_1__1__MethaneEmissionsFromBurningOfCropResidues">_xlfn.LAMBDA(_xlpm.M_burnc,_xlpm.CC_c,_xlpm.EF_CH4,_xlpm.C_CH4, (_xlpm.M_burnc * _xlpm.CC_c) * _xlpm.EF_CH4 * _xlpm.C_CH4 * 10 ^ (-3))</definedName>
    <definedName name="AgResidue_Equations_FieldBurning.VEERG_6_4_1_1__1__MethaneEmissionsFromBurningOfCropResidues_Arguments">_xlfn.LAMBDA(_xlfn.MAKEARRAY(5, 4, _xlfn.LAMBDA(_xlpm.r,_xlpm.c, INDEX({"M_burnc","mass of residue burnt for crop type c","kg","Calculated from 6.4.1.1 (3)";"CC_c","carbon mass fraction in the residues of crop type c","dimensionless","Constant";"EF_CH4","emission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_xlfn.LAMBDA(_xlpm.M_burnc,_xlpm.NC_AGc,_xlpm.EF_N2O,_xlpm.C_N2O, (_xlpm.M_burnc * _xlpm.NC_AGc) * _xlpm.EF_N2O * _xlpm.C_N2O * 10 ^ (-3))</definedName>
    <definedName name="AgResidue_Equations_FieldBurning.VEERG_6_4_1_1__2__NitrousOxideEmissionsFromBurningOfCropResidues_Arguments">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_xlfn.LAMBDA(_xlpm.P_c,_xlpm.R_AGc,_xlpm.S_c,_xlpm.DM_c,_xlpm.Z_c,_xlpm.F_c, _xlpm.P_c * _xlpm.R_AGc * _xlpm.S_c * _xlpm.DM_c * _xlpm.Z_c * _xlpm.F_c)</definedName>
    <definedName name="AgResidue_Equations_FieldBurning.VEERG_6_4_1_1__3__MassOfCropResidueBurnt_Arguments">_xlfn.LAMBDA(_xlfn.MAKEARRAY(7, 4, _xlfn.LAMBDA(_xlpm.r,_xlpm.c, INDEX({"P_c","annual production of crop type c","kg","Input";"R_AGc","residue to crop ratio of crop type c","kg crop residue/kg crop","Constant";"S_c","fraction of residues of crop type c remaining at burning","dimensionless","Constant";"DM_c","dry matter content of crop type c","kg dry weight/kg crop residue","Constant";"Z_c","burning efficiency (ratio of fuel burnt to fuel load) of crop type c","dimensionless","Constant";"F_c","fraction of the annual production of crop type c that is burnt","dimensionless","Constant";"c","Crop type","","Input"},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ir","dimensionless","Constant";"FracLEACH","fraction of N that is lost through leaching and runoff","dimensionless","Constant";"z","Location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crop","dimensionless","Constant";"NC_BGp","N content of below-ground pasture crop residue","kg N/kg DM","Constant";"FFOD_p","fraction of pasture yield that is removed","dimensionless","Constant";"p","Pasture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crop","dimensionless","Constant";"NC_BGp","N content of below-ground pasture crop residue","kg N/kg DM","Constant";"FFOD_p","fraction of pasture yield that is removed","dimensionless","Constant";"p","Pasture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Fertiliser_InputFunctions.Fertiliser_SumProductApplied(_xlpm.ChemicalCompound, _xlpm.ProductIngredient1, _xlpm.calculatedAmount1) + IFERROR(IF(_xlfn.ISOMITTED(_xlpm.ProductIngredient2), 0, Fertiliser_InputFunctions.Fertiliser_SumProductApplied(_xlpm.ChemicalCompound, _xlpm.ProductIngredient2, _xlpm.calculatedAmount2)), 0) + IFERROR(IF(_xlfn.ISOMITTED(_xlpm.ProductIngredient3), 0, Fertiliser_InputFunctions.Fertiliser_SumProductApplied(_xlpm.ChemicalCompound, _xlpm.ProductIngredient3, _xlpm.calculatedAmount3)), 0) + IFERROR(IF(_xlfn.ISOMITTED(_xlpm.ProductIngredient4), 0, Fertiliser_InputFunctions.Fertiliser_SumProductApplied(_xlpm.ChemicalCompound, _xlpm.ProductIngredient4, _xlpm.calculatedAmount4)), 0) + IFERROR(IF(_xlfn.ISOMITTED(_xlpm.ProductIngredient5), 0, Fertiliser_InputFunctions.Fertiliser_SumProductApplied(_xlpm.ChemicalCompound, _xlpm.ProductIngredient5, _xlpm.calculatedAmount5)), 0) + IFERROR(IF(_xlfn.ISOMITTED(_xlpm.ProductIngredient6), 0, 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_xlpm.Source, _xlpm.ProductIngredient1Source) + IFERROR(Fertiliser_InputFunctions.Fertiliser_SumProductApplied(_xlpm.ChemicalCompound, _xlpm.ProductIngredient2, _xlpm.calculatedAmount2, _xlpm.Source, _xlpm.ProductIngredient2Source), 0) + IFERROR(Fertiliser_InputFunctions.Fertiliser_SumProductApplied(_xlpm.ChemicalCompound, _xlpm.ProductIngredient3, _xlpm.calculatedAmount3, _xlpm.Source, _xlpm.ProductIngredient3Source), 0) + IFERROR(Fertiliser_InputFunctions.Fertiliser_SumProductApplied(_xlpm.ChemicalCompound, _xlpm.ProductIngredient4, _xlpm.calculatedAmount4, _xlpm.Source, _xlpm.ProductIngredient4Source), 0) + IFERROR(Fertiliser_InputFunctions.Fertiliser_SumProductApplied(_xlpm.ChemicalCompound, _xlpm.ProductIngredient5, _xlpm.calculatedAmount5, _xlpm.Source, _xlpm.ProductIngredient5Source), 0) + IFERROR(Fertiliser_InputFunctions.Fertiliser_SumProductApplied(_xlpm.ChemicalCompound, _xlpm.ProductIngredient6, _xlpm.calculatedAmount6, _xlpm.Source, _xlpm.ProductIngredient6Source), 0)))</definedName>
    <definedName name="Fertiliser_InputFunctions.Fertiliser_TotalSoilAmendmentApplied">_xlfn.LAMBDA(_xlpm.AmountApplied,_xlpm.AmendmentPercent, SUMPRODUCT(_xlpm.AmountApplied * _xlpm.AmendmentPercent))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6" i="69" l="1"/>
  <c r="M7" i="69"/>
  <c r="J37" i="113"/>
  <c r="J15" i="113"/>
  <c r="H25" i="113"/>
  <c r="H24" i="113"/>
  <c r="E30" i="15"/>
  <c r="E33" i="15"/>
  <c r="E31" i="15"/>
  <c r="E32" i="15" s="1"/>
  <c r="H65" i="114"/>
  <c r="H42" i="114"/>
  <c r="Q51" i="113"/>
  <c r="G51" i="113"/>
  <c r="Q43" i="74"/>
  <c r="G43" i="74"/>
  <c r="P80" i="69"/>
  <c r="G45" i="69"/>
  <c r="I22" i="69"/>
  <c r="D117" i="121" a="1"/>
  <c r="D117" i="121" s="1"/>
  <c r="D107" i="121" a="1"/>
  <c r="D107" i="121" s="1"/>
  <c r="D83" i="121" a="1"/>
  <c r="D83" i="121" s="1"/>
  <c r="D59" i="121" a="1"/>
  <c r="D59" i="121" s="1"/>
  <c r="A20" i="110"/>
  <c r="A19" i="110"/>
  <c r="A16" i="110"/>
  <c r="A15" i="110"/>
  <c r="A14" i="110"/>
  <c r="A13" i="110"/>
  <c r="A10" i="110"/>
  <c r="A9" i="110"/>
  <c r="A8" i="110"/>
  <c r="A5" i="110"/>
  <c r="A4" i="110"/>
  <c r="A3" i="110"/>
  <c r="A20" i="114"/>
  <c r="A19" i="114"/>
  <c r="A16" i="114"/>
  <c r="A15" i="114"/>
  <c r="A14" i="114"/>
  <c r="A13" i="114"/>
  <c r="A10" i="114"/>
  <c r="A9" i="114"/>
  <c r="A8" i="114"/>
  <c r="A5" i="114"/>
  <c r="A4" i="114"/>
  <c r="A3" i="114"/>
  <c r="A20" i="113"/>
  <c r="A19" i="113"/>
  <c r="A16" i="113"/>
  <c r="A15" i="113"/>
  <c r="A14" i="113"/>
  <c r="A13" i="113"/>
  <c r="A10" i="113"/>
  <c r="A9" i="113"/>
  <c r="A8" i="113"/>
  <c r="A5" i="113"/>
  <c r="A4" i="113"/>
  <c r="A3" i="113"/>
  <c r="A20" i="74"/>
  <c r="A19" i="74"/>
  <c r="A16" i="74"/>
  <c r="A15" i="74"/>
  <c r="A14" i="74"/>
  <c r="A13" i="74"/>
  <c r="A10" i="74"/>
  <c r="A9" i="74"/>
  <c r="A8" i="74"/>
  <c r="A5" i="74"/>
  <c r="A4" i="74"/>
  <c r="A3" i="74"/>
  <c r="A20" i="69"/>
  <c r="A19" i="69"/>
  <c r="A16" i="69"/>
  <c r="A15" i="69"/>
  <c r="A14" i="69"/>
  <c r="A13" i="69"/>
  <c r="A10" i="69"/>
  <c r="A9" i="69"/>
  <c r="A8" i="69"/>
  <c r="A5" i="69"/>
  <c r="A4" i="69"/>
  <c r="A3" i="69"/>
  <c r="A20" i="120"/>
  <c r="A19" i="120"/>
  <c r="A16" i="120"/>
  <c r="A15" i="120"/>
  <c r="A14" i="120"/>
  <c r="A13" i="120"/>
  <c r="A10" i="120"/>
  <c r="A9" i="120"/>
  <c r="A8" i="120"/>
  <c r="A5" i="120"/>
  <c r="A4" i="120"/>
  <c r="A3" i="120"/>
  <c r="A20" i="70"/>
  <c r="A19" i="70"/>
  <c r="A16" i="70"/>
  <c r="A15" i="70"/>
  <c r="A14" i="70"/>
  <c r="A13" i="70"/>
  <c r="A10" i="70"/>
  <c r="A9" i="70"/>
  <c r="A8" i="70"/>
  <c r="A5" i="70"/>
  <c r="A4" i="70"/>
  <c r="A3" i="70"/>
  <c r="A20" i="15"/>
  <c r="A19" i="15"/>
  <c r="A16" i="15"/>
  <c r="A15" i="15"/>
  <c r="A14" i="15"/>
  <c r="A13" i="15"/>
  <c r="A10" i="15"/>
  <c r="A9" i="15"/>
  <c r="A8" i="15"/>
  <c r="A5" i="15"/>
  <c r="A4" i="15"/>
  <c r="A3" i="15"/>
  <c r="A20" i="13"/>
  <c r="A19" i="13"/>
  <c r="A16" i="13"/>
  <c r="A15" i="13"/>
  <c r="A14" i="13"/>
  <c r="A13" i="13"/>
  <c r="A10" i="13"/>
  <c r="A9" i="13"/>
  <c r="A8" i="13"/>
  <c r="A5" i="13"/>
  <c r="A4" i="13"/>
  <c r="A3" i="13"/>
  <c r="A19" i="118"/>
  <c r="A16" i="118"/>
  <c r="A15" i="118"/>
  <c r="A14" i="118"/>
  <c r="A13" i="118"/>
  <c r="A10" i="118"/>
  <c r="A9" i="118"/>
  <c r="H51" i="121" l="1"/>
  <c r="H48" i="121"/>
  <c r="H53" i="121"/>
  <c r="H50" i="121"/>
  <c r="H49" i="121"/>
  <c r="I59" i="114" s="1"/>
  <c r="H54" i="121"/>
  <c r="H52" i="121"/>
  <c r="F17" i="70"/>
  <c r="D26" i="70"/>
  <c r="D25" i="70"/>
  <c r="D24" i="70"/>
  <c r="D17" i="70"/>
  <c r="F22" i="70"/>
  <c r="I38" i="69" l="1"/>
  <c r="I36" i="114"/>
  <c r="J38" i="113"/>
  <c r="R73" i="69"/>
  <c r="J35" i="74"/>
  <c r="I60" i="114"/>
  <c r="I37" i="114"/>
  <c r="I58" i="114" a="1"/>
  <c r="I58" i="114" s="1"/>
  <c r="I18" i="114"/>
  <c r="I19" i="114"/>
  <c r="F67" i="114" a="1"/>
  <c r="F67" i="114" s="1"/>
  <c r="D64" i="114" a="1"/>
  <c r="D64" i="114" s="1"/>
  <c r="F44" i="114" a="1"/>
  <c r="F44" i="114" s="1"/>
  <c r="D41" i="114" a="1"/>
  <c r="D41" i="114" s="1"/>
  <c r="P53" i="113" a="1"/>
  <c r="P53" i="113" s="1"/>
  <c r="N50" i="113" a="1"/>
  <c r="N50" i="113" s="1"/>
  <c r="G25" i="113"/>
  <c r="G24" i="113"/>
  <c r="F25" i="113"/>
  <c r="F24" i="113"/>
  <c r="J40" i="113"/>
  <c r="J36" i="113" a="1"/>
  <c r="J36" i="113" s="1"/>
  <c r="J19" i="113" a="1"/>
  <c r="J19" i="113" s="1"/>
  <c r="J16" i="113" a="1"/>
  <c r="J16" i="113" s="1"/>
  <c r="J14" i="113" a="1"/>
  <c r="J14" i="113" s="1"/>
  <c r="J13" i="113" a="1"/>
  <c r="J13" i="113" s="1"/>
  <c r="J18" i="113"/>
  <c r="J17" i="113"/>
  <c r="D91" i="110" a="1"/>
  <c r="D91" i="110" s="1"/>
  <c r="D17" i="110" a="1"/>
  <c r="D17" i="110" s="1"/>
  <c r="I39" i="69"/>
  <c r="J36" i="74"/>
  <c r="J19" i="74"/>
  <c r="A47" i="69"/>
  <c r="F48" i="113"/>
  <c r="F53" i="113" a="1"/>
  <c r="F53" i="113" s="1"/>
  <c r="D50" i="113" a="1"/>
  <c r="D50" i="113" s="1"/>
  <c r="J39" i="113"/>
  <c r="P48" i="113" l="1"/>
  <c r="I57" i="114" a="1"/>
  <c r="I57" i="114" s="1"/>
  <c r="I35" i="114" a="1"/>
  <c r="I35" i="114" s="1"/>
  <c r="I15" i="114" a="1"/>
  <c r="I15" i="114" s="1"/>
  <c r="I34" i="114" a="1"/>
  <c r="I34" i="114" s="1"/>
  <c r="I17" i="114" a="1"/>
  <c r="I17" i="114" s="1"/>
  <c r="I16" i="114" a="1"/>
  <c r="I16" i="114" s="1"/>
  <c r="P45" i="74" l="1" a="1"/>
  <c r="P45" i="74" s="1"/>
  <c r="N42" i="74" a="1"/>
  <c r="N42" i="74" s="1"/>
  <c r="J13" i="74"/>
  <c r="F45" i="74" a="1"/>
  <c r="F45" i="74" s="1"/>
  <c r="D42" i="74" a="1"/>
  <c r="D42" i="74" s="1"/>
  <c r="I16" i="69"/>
  <c r="I13" i="69"/>
  <c r="O82" i="69" a="1"/>
  <c r="O82" i="69" s="1"/>
  <c r="M79" i="69" a="1"/>
  <c r="M79" i="69" s="1"/>
  <c r="S34" i="69"/>
  <c r="Q16" i="69"/>
  <c r="F42" i="69"/>
  <c r="F24" i="69"/>
  <c r="I21" i="69"/>
  <c r="I15" i="69" s="1" a="1"/>
  <c r="I15" i="69" s="1"/>
  <c r="F47" i="69" a="1"/>
  <c r="F47" i="69" s="1"/>
  <c r="D44" i="69" a="1"/>
  <c r="D44" i="69" s="1"/>
  <c r="D30" i="70"/>
  <c r="E22" i="70"/>
  <c r="I13" i="114" s="1"/>
  <c r="J16" i="74" l="1" a="1"/>
  <c r="J16" i="74" s="1"/>
  <c r="E19" i="120"/>
  <c r="J17" i="74" a="1"/>
  <c r="J17" i="74" s="1"/>
  <c r="J18" i="74" a="1"/>
  <c r="J18" i="74" s="1"/>
  <c r="Q17" i="69"/>
  <c r="J14" i="74" a="1"/>
  <c r="J14" i="74" s="1"/>
  <c r="J15" i="74" a="1"/>
  <c r="J15" i="74" s="1"/>
  <c r="E18" i="70" a="1"/>
  <c r="E18" i="70" s="1"/>
  <c r="O77" i="69"/>
  <c r="O59" i="69"/>
  <c r="I19" i="69" a="1"/>
  <c r="I19" i="69" s="1"/>
  <c r="I18" i="69" a="1"/>
  <c r="I18" i="69" s="1"/>
  <c r="I20" i="69" a="1"/>
  <c r="I20" i="69" s="1"/>
  <c r="E21" i="74" l="1"/>
  <c r="E25" i="113" s="1"/>
  <c r="I25" i="113" s="1"/>
  <c r="T14" i="74"/>
  <c r="O21" i="74" s="1"/>
  <c r="E20" i="120"/>
  <c r="E19" i="70"/>
  <c r="E20" i="70" s="1"/>
  <c r="I14" i="114"/>
  <c r="E21" i="114" s="1"/>
  <c r="Q18" i="69"/>
  <c r="I14" i="69"/>
  <c r="E30" i="70" l="1"/>
  <c r="E44" i="70" s="1"/>
  <c r="T33" i="74"/>
  <c r="O25" i="113"/>
  <c r="S25" i="113" s="1"/>
  <c r="I33" i="114"/>
  <c r="E39" i="114" s="1"/>
  <c r="I56" i="114"/>
  <c r="E62" i="114" s="1"/>
  <c r="J33" i="74"/>
  <c r="E36" i="70" l="1"/>
  <c r="E35" i="70" s="1"/>
  <c r="Q15" i="69" s="1"/>
  <c r="N21" i="69" s="1"/>
  <c r="S33" i="69" s="1"/>
  <c r="E40" i="70"/>
  <c r="A20" i="118"/>
  <c r="A8" i="118"/>
  <c r="A5" i="118"/>
  <c r="A4" i="118"/>
  <c r="A3" i="118"/>
  <c r="E46" i="70" l="1"/>
  <c r="N36" i="69"/>
  <c r="R52" i="69" s="1"/>
  <c r="N59" i="69" s="1"/>
  <c r="A67" i="114"/>
  <c r="A46" i="114"/>
  <c r="A44" i="70"/>
  <c r="A83" i="69"/>
  <c r="A76" i="74"/>
  <c r="A45" i="74"/>
  <c r="A34" i="113"/>
  <c r="A55" i="113"/>
  <c r="O24" i="113" l="1"/>
  <c r="S24" i="113" s="1"/>
  <c r="N45" i="113" s="1"/>
  <c r="O45" i="113" s="1"/>
  <c r="R71" i="69"/>
  <c r="I17" i="69" a="1"/>
  <c r="I17" i="69" s="1"/>
  <c r="E24" i="69" l="1"/>
  <c r="I36" i="69" s="1"/>
  <c r="H64" i="114"/>
  <c r="E67" i="114" s="1" a="1"/>
  <c r="E67" i="114" s="1"/>
  <c r="H13" i="13" s="1"/>
  <c r="I13" i="13" s="1"/>
  <c r="E13" i="13"/>
  <c r="F13" i="13" s="1"/>
  <c r="D46" i="113"/>
  <c r="E46" i="113" s="1"/>
  <c r="N46" i="113"/>
  <c r="O46" i="113" s="1"/>
  <c r="E24" i="113" l="1"/>
  <c r="I24" i="113" s="1"/>
  <c r="D45" i="113" s="1"/>
  <c r="E45" i="113" s="1"/>
  <c r="H41" i="114"/>
  <c r="E44" i="114" s="1" a="1"/>
  <c r="E44" i="114" s="1"/>
  <c r="H12" i="13" s="1"/>
  <c r="I12" i="13" s="1"/>
  <c r="E12" i="13"/>
  <c r="F12" i="13" s="1"/>
  <c r="E29" i="15"/>
  <c r="J37" i="74" s="1"/>
  <c r="J34" i="74" s="1" a="1"/>
  <c r="J34" i="74" s="1"/>
  <c r="O40" i="74" l="1"/>
  <c r="E40" i="74"/>
  <c r="O48" i="113"/>
  <c r="Q50" i="113" s="1"/>
  <c r="O53" i="113" s="1" a="1"/>
  <c r="O53" i="113" s="1"/>
  <c r="I11" i="13" s="1"/>
  <c r="E48" i="113"/>
  <c r="E11" i="13" s="1"/>
  <c r="I40" i="69"/>
  <c r="I37" i="69" s="1" a="1"/>
  <c r="I37" i="69" s="1"/>
  <c r="E42" i="69" s="1"/>
  <c r="R75" i="69"/>
  <c r="R72" i="69" s="1" a="1"/>
  <c r="R72" i="69" s="1"/>
  <c r="N77" i="69" s="1"/>
  <c r="E13" i="15"/>
  <c r="F11" i="13" l="1"/>
  <c r="G50" i="113"/>
  <c r="E53" i="113" s="1" a="1"/>
  <c r="E53" i="113" s="1"/>
  <c r="H11" i="13" s="1"/>
  <c r="G42" i="74"/>
  <c r="E45" i="74" s="1" a="1"/>
  <c r="E45" i="74" s="1"/>
  <c r="H10" i="13" s="1"/>
  <c r="E10" i="13"/>
  <c r="Q42" i="74"/>
  <c r="O45" i="74" s="1" a="1"/>
  <c r="O45" i="74" s="1"/>
  <c r="I10" i="13" s="1"/>
  <c r="F10" i="13"/>
  <c r="G44" i="69"/>
  <c r="E47" i="69" s="1" a="1"/>
  <c r="E47" i="69" s="1"/>
  <c r="H9" i="13" s="1"/>
  <c r="E9" i="13"/>
  <c r="P79" i="69"/>
  <c r="N82" i="69" s="1" a="1"/>
  <c r="N82" i="69" s="1"/>
  <c r="I9" i="13" s="1"/>
  <c r="F9" i="13"/>
  <c r="I14" i="13" l="1"/>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<sst xmlns="http://schemas.openxmlformats.org/spreadsheetml/2006/main" count="1490" uniqueCount="582">
  <si>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</si>
  <si>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</si>
  <si>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</si>
  <si>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</si>
  <si>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</si>
  <si>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</si>
  <si>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</si>
  <si>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</si>
  <si>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</si>
  <si>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</si>
  <si>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</si>
  <si>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</si>
  <si>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</si>
  <si>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</si>
  <si>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</si>
  <si>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</si>
  <si>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</si>
  <si>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</si>
  <si>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</si>
  <si>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</si>
  <si>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</si>
  <si>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</si>
  <si>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</si>
  <si>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</si>
  <si>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</si>
  <si>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</si>
  <si>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</si>
  <si>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</si>
  <si>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</si>
  <si>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</si>
  <si>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</si>
  <si>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</si>
  <si>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</si>
  <si>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</si>
  <si>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</si>
  <si>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</si>
  <si>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</si>
  <si>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</si>
  <si>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</si>
  <si>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</si>
  <si>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</si>
  <si>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</si>
  <si>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</si>
  <si>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</si>
  <si>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</si>
  <si>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</si>
  <si>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</si>
  <si>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</si>
  <si>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</si>
  <si>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</si>
  <si>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</si>
  <si>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</si>
  <si>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</si>
  <si>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</si>
  <si>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</si>
  <si>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</si>
  <si>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</si>
  <si>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</si>
  <si>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</si>
  <si>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</si>
  <si>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</si>
  <si>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</si>
  <si>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</si>
  <si>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</si>
  <si>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</si>
  <si>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</si>
  <si>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</si>
  <si>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</si>
  <si>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</si>
  <si>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</si>
  <si>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</si>
  <si>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</si>
  <si>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</si>
  <si>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</si>
  <si>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</si>
  <si>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</si>
  <si>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</si>
  <si>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</si>
  <si>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</si>
  <si>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</si>
  <si>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</si>
  <si>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</si>
  <si>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</si>
  <si>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</si>
  <si>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</si>
  <si>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</si>
  <si>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</si>
  <si>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</si>
  <si>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</si>
  <si>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</si>
  <si>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</si>
  <si>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</si>
  <si>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</si>
  <si>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</si>
  <si>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</si>
  <si>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</si>
  <si>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</si>
  <si>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</si>
  <si>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</si>
  <si>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</si>
  <si>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</si>
  <si>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</si>
  <si>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</si>
  <si>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</si>
  <si>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</si>
  <si>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</si>
  <si>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</si>
  <si>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Sprinkler irrigation</t>
  </si>
  <si>
    <r>
      <t>E</t>
    </r>
    <r>
      <rPr>
        <b/>
        <vertAlign val="subscript"/>
        <sz val="16"/>
        <color theme="1" tint="0.24994659260841701"/>
        <rFont val="Times New Roman"/>
        <family val="1"/>
      </rPr>
      <t>N2O</t>
    </r>
  </si>
  <si>
    <t>Crop type</t>
  </si>
  <si>
    <t>Area under cropping</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</si>
  <si>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</si>
  <si>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</si>
  <si>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</si>
  <si>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</si>
  <si>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</si>
  <si>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</si>
  <si>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</si>
  <si>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</si>
  <si>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</si>
  <si>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</si>
  <si>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</si>
  <si>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</si>
  <si>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</si>
  <si>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</si>
  <si>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</si>
  <si>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6: Agricultural Residue Management: Overview</t>
  </si>
  <si>
    <t>6: Agricultural Residue Management: Results</t>
  </si>
  <si>
    <t>6.1.1.1-2 Crop residue N2O emissions</t>
  </si>
  <si>
    <t>Input - Crop</t>
  </si>
  <si>
    <t>Area</t>
  </si>
  <si>
    <t>If multiple paddocks were managed in the same way at the same time, you can enter information for them all together.</t>
  </si>
  <si>
    <t>Wheat</t>
  </si>
  <si>
    <r>
      <rPr>
        <sz val="12"/>
        <color theme="1" tint="0.34998626667073579"/>
        <rFont val="Times New Roman"/>
        <family val="1"/>
      </rPr>
      <t>←</t>
    </r>
    <r>
      <rPr>
        <i/>
        <sz val="12"/>
        <color theme="1" tint="0.34998626667073579"/>
        <rFont val="Times New Roman"/>
        <family val="1"/>
      </rPr>
      <t xml:space="preserve"> Please select</t>
    </r>
  </si>
  <si>
    <t>Crop purpose</t>
  </si>
  <si>
    <t>Hectares</t>
  </si>
  <si>
    <t>Yield</t>
  </si>
  <si>
    <t>Whole plant above ground biomass</t>
  </si>
  <si>
    <t>Tonnes per hectare</t>
  </si>
  <si>
    <t>Crop residue biomass</t>
  </si>
  <si>
    <t>Residue management</t>
  </si>
  <si>
    <t>Tonnes</t>
  </si>
  <si>
    <t>Baled residue</t>
  </si>
  <si>
    <t>Percentage of residue that was baled</t>
  </si>
  <si>
    <t>Percent</t>
  </si>
  <si>
    <t>Average weight per bale</t>
  </si>
  <si>
    <t>Kilograms</t>
  </si>
  <si>
    <t>Number of bales</t>
  </si>
  <si>
    <t>Bales</t>
  </si>
  <si>
    <t>Total residue baled</t>
  </si>
  <si>
    <t>Grazed residue</t>
  </si>
  <si>
    <t>Percentage of residue that was grazed</t>
  </si>
  <si>
    <t>Total residue grazed</t>
  </si>
  <si>
    <t>Burned residue</t>
  </si>
  <si>
    <t>Percentage of residue that was burned</t>
  </si>
  <si>
    <t>Total residue burned</t>
  </si>
  <si>
    <t>Residue retained on paddocks</t>
  </si>
  <si>
    <t>Constants - Agricultural residue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</si>
  <si>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</si>
  <si>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</si>
  <si>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</si>
  <si>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</si>
  <si>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</si>
  <si>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</si>
  <si>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</si>
  <si>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</si>
  <si>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Crop type c</t>
  </si>
  <si>
    <t>Fraction removed</t>
  </si>
  <si>
    <t>Purpose</t>
  </si>
  <si>
    <t>Per hectare unit</t>
  </si>
  <si>
    <t>harvest term</t>
  </si>
  <si>
    <t>harvest endpoint</t>
  </si>
  <si>
    <t>Harvest uit</t>
  </si>
  <si>
    <t>Cash grain crop</t>
  </si>
  <si>
    <r>
      <t>FFOD</t>
    </r>
    <r>
      <rPr>
        <b/>
        <vertAlign val="subscript"/>
        <sz val="12"/>
        <color theme="1" tint="0.24994659260841701"/>
        <rFont val="Times New Roman"/>
        <family val="1"/>
      </rPr>
      <t>c,baled</t>
    </r>
  </si>
  <si>
    <r>
      <t>FFOD</t>
    </r>
    <r>
      <rPr>
        <b/>
        <vertAlign val="subscript"/>
        <sz val="12"/>
        <color theme="1" tint="0.24994659260841701"/>
        <rFont val="Times New Roman"/>
        <family val="1"/>
      </rPr>
      <t>c</t>
    </r>
  </si>
  <si>
    <r>
      <t>M</t>
    </r>
    <r>
      <rPr>
        <b/>
        <vertAlign val="subscript"/>
        <sz val="12"/>
        <color theme="1" tint="0.24994659260841701"/>
        <rFont val="Times New Roman"/>
        <family val="1"/>
      </rPr>
      <t>c</t>
    </r>
  </si>
  <si>
    <t>Climate zone type i</t>
  </si>
  <si>
    <t>EF i N2O</t>
  </si>
  <si>
    <t>6.2.1.1-2 Return of pasture residue to soils</t>
  </si>
  <si>
    <t>Pasture type</t>
  </si>
  <si>
    <t>Average Yield (t DM ha) Yp</t>
  </si>
  <si>
    <t>Below-ground: above-ground residue ratio RBGp</t>
  </si>
  <si>
    <t>N content Above-ground NCAGp</t>
  </si>
  <si>
    <t>N content Below-ground NCBGp</t>
  </si>
  <si>
    <t>Fraction of pasture yield that is removed FFODp</t>
  </si>
  <si>
    <r>
      <t>M</t>
    </r>
    <r>
      <rPr>
        <b/>
        <vertAlign val="subscript"/>
        <sz val="12"/>
        <color theme="1" tint="0.24994659260841701"/>
        <rFont val="Times New Roman"/>
        <family val="1"/>
      </rPr>
      <t>p</t>
    </r>
  </si>
  <si>
    <r>
      <t>E</t>
    </r>
    <r>
      <rPr>
        <vertAlign val="subscript"/>
        <sz val="12"/>
        <color theme="1" tint="0.24994659260841701"/>
        <rFont val="Times New Roman"/>
        <family val="1"/>
      </rPr>
      <t>N2O</t>
    </r>
    <r>
      <rPr>
        <sz val="12"/>
        <color theme="1" tint="0.24994659260841701"/>
        <rFont val="Times New Roman"/>
        <family val="1"/>
      </rPr>
      <t xml:space="preserve"> GWP</t>
    </r>
  </si>
  <si>
    <t>Area under pasture</t>
  </si>
  <si>
    <t>💡 'Pasture yield' is the average amount of dry matter that is grazed.</t>
  </si>
  <si>
    <t xml:space="preserve">       A default value is provided based on pasture type. You can edit this if known.</t>
  </si>
  <si>
    <t>Pasture yield</t>
  </si>
  <si>
    <t>Tonnes dry matter / hectare</t>
  </si>
  <si>
    <t>Total pasture yield</t>
  </si>
  <si>
    <t>Area of pasture renewed or removed</t>
  </si>
  <si>
    <t>← Please select</t>
  </si>
  <si>
    <t>Input - Pasture</t>
  </si>
  <si>
    <t>6.3.1.1-2 Leaching and run-off from crop and pasture residues</t>
  </si>
  <si>
    <r>
      <t>E</t>
    </r>
    <r>
      <rPr>
        <b/>
        <vertAlign val="subscript"/>
        <sz val="16"/>
        <color theme="1"/>
        <rFont val="Times New Roman"/>
        <family val="1"/>
        <scheme val="minor"/>
      </rPr>
      <t>N2O</t>
    </r>
  </si>
  <si>
    <t>Crop</t>
  </si>
  <si>
    <t>Pasture</t>
  </si>
  <si>
    <t>Crop or pasture</t>
  </si>
  <si>
    <t>FracWET_j</t>
  </si>
  <si>
    <t>M_cp</t>
  </si>
  <si>
    <t>M_leachcp</t>
  </si>
  <si>
    <t>Irrigation</t>
  </si>
  <si>
    <t>E_N2O</t>
  </si>
  <si>
    <t>M1_Table_M_leach_cp</t>
  </si>
  <si>
    <t>Mass of nitrogen lost through leaching and runoff (Method 1)</t>
  </si>
  <si>
    <t>M1_Table_E_N2O</t>
  </si>
  <si>
    <t>Nitrous oxide leaching and runoff emissions (Method 1)</t>
  </si>
  <si>
    <t>6.4.1.1-2 Field burning of crop residues</t>
  </si>
  <si>
    <r>
      <rPr>
        <b/>
        <sz val="12"/>
        <color theme="1" tint="0.24994659260841701"/>
        <rFont val="Times New Roman"/>
        <family val="1"/>
      </rPr>
      <t>M</t>
    </r>
    <r>
      <rPr>
        <b/>
        <vertAlign val="subscript"/>
        <sz val="12"/>
        <color theme="1" tint="0.24994659260841701"/>
        <rFont val="Times New Roman"/>
        <family val="1"/>
      </rPr>
      <t>burn,c</t>
    </r>
  </si>
  <si>
    <t>Gas species</t>
  </si>
  <si>
    <t>Emission factor EFg (Gg element in species/ Gg element in fuel burnt)</t>
  </si>
  <si>
    <t>Elemental to molecular mass conversion factor (Cg)</t>
  </si>
  <si>
    <t>6.1.1.1-2 Crop residue N2O</t>
  </si>
  <si>
    <t>6.2.1.1-2 Pasture residue N2O</t>
  </si>
  <si>
    <t>6.3.1.1-2 Leaching and runoff</t>
  </si>
  <si>
    <t>6.4.1.1-2 Residue burning</t>
  </si>
  <si>
    <t>t CH4</t>
  </si>
  <si>
    <t>Grass clover mixture</t>
  </si>
  <si>
    <t>Irrigation methods</t>
  </si>
  <si>
    <t>Not irrigated</t>
  </si>
  <si>
    <t>Drip irrigation</t>
  </si>
  <si>
    <t>Surface irrigation</t>
  </si>
  <si>
    <t>Other irrigation</t>
  </si>
  <si>
    <t>Yield note</t>
  </si>
  <si>
    <t>Residue crop ratio note</t>
  </si>
  <si>
    <t>Total production note</t>
  </si>
  <si>
    <t>Residue:crop ratio²</t>
  </si>
  <si>
    <t>Total production of crop³</t>
  </si>
  <si>
    <t>Mass of nitrogen in crop residues returned to the soil</t>
  </si>
  <si>
    <t>VEERG 2026: 6.1.1.1, Equation (2)</t>
  </si>
  <si>
    <t>Fraction of crop residue that is removed for crop c, calculated where residues are baled</t>
  </si>
  <si>
    <t>VEERG 2026: 6.1.1.2, Equation (1)</t>
  </si>
  <si>
    <t>M_c</t>
  </si>
  <si>
    <t>kg N</t>
  </si>
  <si>
    <t>P_c</t>
  </si>
  <si>
    <t>annual production of crop c</t>
  </si>
  <si>
    <t>R_AGc</t>
  </si>
  <si>
    <t>residue to crop ratio for crop c</t>
  </si>
  <si>
    <t>R_BGc</t>
  </si>
  <si>
    <t>below ground-residue to above ground residue ratio for crop c</t>
  </si>
  <si>
    <t>F_c</t>
  </si>
  <si>
    <t>fraction of crop residue that is burnt for crop c</t>
  </si>
  <si>
    <t>FFOD_c</t>
  </si>
  <si>
    <t>fraction of the crop residue that is removed for crop c</t>
  </si>
  <si>
    <t>DM_c</t>
  </si>
  <si>
    <t>dry matter content of crop c</t>
  </si>
  <si>
    <t>NC_AGc</t>
  </si>
  <si>
    <t>nitrogen content of above-ground crop residue of crop c</t>
  </si>
  <si>
    <t>NC_BGc</t>
  </si>
  <si>
    <t>nitrogen content of below-ground crop residue of crop c</t>
  </si>
  <si>
    <t>c</t>
  </si>
  <si>
    <t>State or territory</t>
  </si>
  <si>
    <t>kg</t>
  </si>
  <si>
    <t>Input</t>
  </si>
  <si>
    <t>dimensionless</t>
  </si>
  <si>
    <t>Constant</t>
  </si>
  <si>
    <t>kg dry weight/kg crop residue</t>
  </si>
  <si>
    <t>kg N/kg DM</t>
  </si>
  <si>
    <t>FFOD_cbaled</t>
  </si>
  <si>
    <t>B</t>
  </si>
  <si>
    <t>number of bales generated</t>
  </si>
  <si>
    <t>M_B</t>
  </si>
  <si>
    <t>mass of each bale</t>
  </si>
  <si>
    <t>Fraction of crop residue that is removed for crop c</t>
  </si>
  <si>
    <t>Nitrous oxide emissions from the return of crop residues across all crops c to the soil</t>
  </si>
  <si>
    <t>VEERG 2026: 6.1.1.1, Equation (1)</t>
  </si>
  <si>
    <t>FFOD_cother</t>
  </si>
  <si>
    <t>Fraction of crop residue that is removed for crop c, calculated where residues are removed by other means</t>
  </si>
  <si>
    <t>fraction</t>
  </si>
  <si>
    <t>Calculated from 6.1.1.2, (1)</t>
  </si>
  <si>
    <t>E</t>
  </si>
  <si>
    <t>mass of nitrogen in crop c residues returned to the soil</t>
  </si>
  <si>
    <t>EF_Ni</t>
  </si>
  <si>
    <t>emission factor for crop residues returned to the soil</t>
  </si>
  <si>
    <t>C_N2O</t>
  </si>
  <si>
    <t>factor to convert elemental mass of nitrous oxide to molecular mass</t>
  </si>
  <si>
    <t>i</t>
  </si>
  <si>
    <t>Calculated from 6.1.1.1 (2)</t>
  </si>
  <si>
    <t>kg N2O-N/kg N</t>
  </si>
  <si>
    <t>Calculated from 6.1.1.2 (1)</t>
  </si>
  <si>
    <t>Mass of nitrogen in pasture residues returned to the soil</t>
  </si>
  <si>
    <t>VEERG 2026: 6.2.1.1, Equation (2)</t>
  </si>
  <si>
    <t>Mp</t>
  </si>
  <si>
    <t>A_p</t>
  </si>
  <si>
    <t>area of pasture renewed or removed</t>
  </si>
  <si>
    <t>Y_p</t>
  </si>
  <si>
    <t>average yield of pasture crop</t>
  </si>
  <si>
    <t>NC_AGp</t>
  </si>
  <si>
    <t>N content of above-ground pasture residue</t>
  </si>
  <si>
    <t>R_BGp</t>
  </si>
  <si>
    <t>below-ground residue to above-ground residue ratio for pasture crop</t>
  </si>
  <si>
    <t>NC_BGp</t>
  </si>
  <si>
    <t>N content of below-ground pasture crop residue</t>
  </si>
  <si>
    <t>FFOD_p</t>
  </si>
  <si>
    <t>fraction of pasture yield that is removed</t>
  </si>
  <si>
    <t>p</t>
  </si>
  <si>
    <t>ha</t>
  </si>
  <si>
    <t>t DM/ha</t>
  </si>
  <si>
    <t>Nitrous oxide emissions from the return of pasture residues from all pasture types to the soil</t>
  </si>
  <si>
    <t>VEERG 2026: 6.2.1.1, Equation (1)</t>
  </si>
  <si>
    <t>EN2O</t>
  </si>
  <si>
    <t>M_p</t>
  </si>
  <si>
    <t>mass of nitrogen in pasture p residues returned to the soil</t>
  </si>
  <si>
    <t>emission factor for crop residues returned to the soil in climate zone i</t>
  </si>
  <si>
    <t>Calculated from 6.2.1.1 (2)</t>
  </si>
  <si>
    <t>Mass of nitrogen lost through leaching and runoff</t>
  </si>
  <si>
    <t>VEERG 2026: 6.3.1.1, Equation (2)</t>
  </si>
  <si>
    <t>mass of nitrogen in crop residues c or pasture residues p applied to soils</t>
  </si>
  <si>
    <t>fraction of N that is available for leaching and runoff from the leaching zone z and irrigation type ir</t>
  </si>
  <si>
    <t>FracLEACH</t>
  </si>
  <si>
    <t>fraction of N that is lost through leaching and runoff</t>
  </si>
  <si>
    <t>z</t>
  </si>
  <si>
    <t>Location in leaching zone</t>
  </si>
  <si>
    <t>Crop residue type</t>
  </si>
  <si>
    <t>Pasture residue type</t>
  </si>
  <si>
    <t>ir</t>
  </si>
  <si>
    <t>Irrigation type</t>
  </si>
  <si>
    <t>Calc from 6.1.1.1 (2) and 6.2.1.1 (2)</t>
  </si>
  <si>
    <t>Nitrous oxide leaching and runoff emissions from crop and pasture residues returned to the soil</t>
  </si>
  <si>
    <t>VEERG 2026: 6.3.1.1, Equation (1)</t>
  </si>
  <si>
    <t>mass of nitrogen lost through leaching and runoff from the crop residue c or pasture residue p</t>
  </si>
  <si>
    <t>EF_leach</t>
  </si>
  <si>
    <t>emission factor for leaching and runoff</t>
  </si>
  <si>
    <t>Calculated from 6.3.1.1 (2)</t>
  </si>
  <si>
    <t>Mass of residue of crop c burnt</t>
  </si>
  <si>
    <t>VEERG 2026: 6.4.1.1, Equation (3)</t>
  </si>
  <si>
    <t>M_burnc</t>
  </si>
  <si>
    <t>annual production of crop type c</t>
  </si>
  <si>
    <t>residue to crop ratio of crop type c</t>
  </si>
  <si>
    <t>S_c</t>
  </si>
  <si>
    <t>fraction of residues of crop type c remaining at burning</t>
  </si>
  <si>
    <t>dry matter content of crop type c</t>
  </si>
  <si>
    <t>Z_c</t>
  </si>
  <si>
    <t>burning efficiency (ratio of fuel burnt to fuel load) of crop type c</t>
  </si>
  <si>
    <t>fraction of the annual production of crop type c that is burnt</t>
  </si>
  <si>
    <t>kg crop residue/kg crop</t>
  </si>
  <si>
    <t>Nitrous oxide emissions from the burning of crop residues</t>
  </si>
  <si>
    <t>VEERG 2026: 6.4.1.1, Equation (2)</t>
  </si>
  <si>
    <t>mass of residue burnt for crop type c</t>
  </si>
  <si>
    <t>nitrogen content in the above-ground residue of crop type c</t>
  </si>
  <si>
    <t>EF_N2O</t>
  </si>
  <si>
    <t>emission factor for nitrous oxide from burning of crop residues</t>
  </si>
  <si>
    <t>Calculated from 6.4.1.1 (3)</t>
  </si>
  <si>
    <t>kg N2O/kg N2O burnt</t>
  </si>
  <si>
    <t>Methane emissions from the burning of crop residues</t>
  </si>
  <si>
    <t>VEERG 2026: 6.4.1.1, Equation (1)</t>
  </si>
  <si>
    <t>ECH4</t>
  </si>
  <si>
    <t>CC_c</t>
  </si>
  <si>
    <t>carbon mass fraction in the residues of crop type c</t>
  </si>
  <si>
    <t>EF_CH4</t>
  </si>
  <si>
    <t>emission factor for methane from burning of crop residues</t>
  </si>
  <si>
    <t>C_CH4</t>
  </si>
  <si>
    <t>factor to convert elemental mass of methane to molecular mass</t>
  </si>
  <si>
    <t>kg CH4 / kg CH4 burnt</t>
  </si>
  <si>
    <t>Crop purpose and yield</t>
  </si>
  <si>
    <t>grain</t>
  </si>
  <si>
    <t>yield</t>
  </si>
  <si>
    <t>harvest</t>
  </si>
  <si>
    <t>Yield is the grain harvested from the plant</t>
  </si>
  <si>
    <t>Residue to crop ratio is provided from default values</t>
  </si>
  <si>
    <t>Total production is the total grain harvested</t>
  </si>
  <si>
    <t>Cash crop for hay/silage</t>
  </si>
  <si>
    <t>above ground biomass</t>
  </si>
  <si>
    <t>plant biomass</t>
  </si>
  <si>
    <t>Yield is the whole plant harvested for hay/silage</t>
  </si>
  <si>
    <t>Residue to crop ratio is 0 assuming the whole plant is harvested for hay/silage</t>
  </si>
  <si>
    <t>Total production is the total whole plant biomass harvested as hay/silage</t>
  </si>
  <si>
    <t>Cover crop</t>
  </si>
  <si>
    <t>mass</t>
  </si>
  <si>
    <t>end of crop cycle</t>
  </si>
  <si>
    <t>Yield is the whole plant kept as cover crop</t>
  </si>
  <si>
    <t>Residue to crop ratio is 1 assuming the whole plant is kept as cover crop</t>
  </si>
  <si>
    <t>Total production is the total whole plant biomass kept as cover crop</t>
  </si>
  <si>
    <t>Table A.2.1.1: Crop attributes</t>
  </si>
  <si>
    <t>VEERG 2026: Table A.2.1.1: Crop attributes</t>
  </si>
  <si>
    <t>Barley</t>
  </si>
  <si>
    <t>Maize</t>
  </si>
  <si>
    <t>Oats</t>
  </si>
  <si>
    <t>Rice</t>
  </si>
  <si>
    <t>Sorghum</t>
  </si>
  <si>
    <t>Triticale</t>
  </si>
  <si>
    <t>Other cereals</t>
  </si>
  <si>
    <t>Pulses</t>
  </si>
  <si>
    <t>Tubers and roots</t>
  </si>
  <si>
    <t>n/a</t>
  </si>
  <si>
    <t>Peanuts</t>
  </si>
  <si>
    <t>Sugar cane</t>
  </si>
  <si>
    <t>Cotton</t>
  </si>
  <si>
    <t>Hops</t>
  </si>
  <si>
    <t>Oilseeds</t>
  </si>
  <si>
    <t>Forage crops</t>
  </si>
  <si>
    <t>Other annual crops</t>
  </si>
  <si>
    <t>Other perennial crops</t>
  </si>
  <si>
    <t>Emission factor for organic fertiliser and crop residues returned to the soil</t>
  </si>
  <si>
    <t>VEERG 2026: Table A.2.1.4</t>
  </si>
  <si>
    <t>Wet climate zone</t>
  </si>
  <si>
    <t>Dry climate zone</t>
  </si>
  <si>
    <t>Table A.2.1.3 Pasture attributes</t>
  </si>
  <si>
    <t>VEERG 2026: Table A.2.1.3: Pasture attributes</t>
  </si>
  <si>
    <t>Annual grass</t>
  </si>
  <si>
    <t>Lucerne</t>
  </si>
  <si>
    <t>Other legume</t>
  </si>
  <si>
    <t>Perennial pasture</t>
  </si>
  <si>
    <t>Table 5.31 Burning of agricultural residues - EFs</t>
  </si>
  <si>
    <t>National Inventory Report 2023 volume 2: Table 5.31: Burning of agricultural residues - EFs</t>
  </si>
  <si>
    <t>CH4</t>
  </si>
  <si>
    <t>16/12</t>
  </si>
  <si>
    <t>N2O</t>
  </si>
  <si>
    <t>44/28</t>
  </si>
  <si>
    <t>NOx</t>
  </si>
  <si>
    <t>46/14</t>
  </si>
  <si>
    <t>CO</t>
  </si>
  <si>
    <t>28/12</t>
  </si>
  <si>
    <t>NMVOC</t>
  </si>
  <si>
    <t>14/12</t>
  </si>
  <si>
    <t>Table A.2.1.2: Crop attributes - Fraction removed (FFODc)</t>
  </si>
  <si>
    <t>VEERG 2026: Table A.2.1.2: Crop attributes - Fraction removed (FFODc)</t>
  </si>
  <si>
    <t>All states</t>
  </si>
  <si>
    <t>Sugar Cane</t>
  </si>
  <si>
    <t>NSW</t>
  </si>
  <si>
    <t>QLD</t>
  </si>
  <si>
    <t>WA</t>
  </si>
  <si>
    <t>All other crop types</t>
  </si>
  <si>
    <t>VIC</t>
  </si>
  <si>
    <t>SA</t>
  </si>
  <si>
    <t>TAS</t>
  </si>
  <si>
    <t>NT</t>
  </si>
  <si>
    <t>ACT</t>
  </si>
  <si>
    <t>N/A</t>
  </si>
  <si>
    <t>Australian states and territories</t>
  </si>
  <si>
    <t>New South Wales</t>
  </si>
  <si>
    <t>Australian Capital Territory</t>
  </si>
  <si>
    <t>Victoria</t>
  </si>
  <si>
    <t>Queensland</t>
  </si>
  <si>
    <t>South Australia</t>
  </si>
  <si>
    <t>Tasmania</t>
  </si>
  <si>
    <t>Northern Territory</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</si>
  <si>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</si>
  <si>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</si>
  <si>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</si>
  <si>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</si>
  <si>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</si>
  <si>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</si>
  <si>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</si>
  <si>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</si>
  <si>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</si>
  <si>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</si>
  <si>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</si>
  <si>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Global warming potential for greenhouse gases</t>
  </si>
  <si>
    <t>XXXXXXX</t>
  </si>
  <si>
    <t>CO2</t>
  </si>
  <si>
    <t>CF4</t>
  </si>
  <si>
    <t>C2F6</t>
  </si>
  <si>
    <t>SF6</t>
  </si>
  <si>
    <t>NF3</t>
  </si>
  <si>
    <t>Factor to convert elemental mass of gas to molecular mass</t>
  </si>
  <si>
    <t>44/12</t>
  </si>
  <si>
    <t>Nox</t>
  </si>
  <si>
    <t>CO2 Lime</t>
  </si>
  <si>
    <t>VEERG Australian wet and dry zones</t>
  </si>
  <si>
    <t>VEERG 2026: Table 1.2: Translating climate zones to wet and dry zones</t>
  </si>
  <si>
    <t>Tropical montane</t>
  </si>
  <si>
    <t>Tropical wet</t>
  </si>
  <si>
    <t>Tropical moist</t>
  </si>
  <si>
    <t>Tropical dry</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</si>
  <si>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</si>
  <si>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</si>
  <si>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</si>
  <si>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</si>
  <si>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</si>
  <si>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</si>
  <si>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</si>
  <si>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</si>
  <si>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</si>
  <si>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</si>
  <si>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</si>
  <si>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</si>
  <si>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</si>
  <si>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</si>
  <si>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</si>
  <si>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</si>
  <si>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</si>
  <si>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</si>
  <si>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</si>
  <si>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</si>
  <si>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</si>
  <si>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</si>
  <si>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</si>
  <si>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</si>
  <si>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</si>
  <si>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</si>
  <si>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</si>
  <si>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</si>
  <si>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</si>
  <si>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</si>
  <si>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</si>
  <si>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</si>
  <si>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</si>
  <si>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</si>
  <si>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</si>
  <si>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</si>
  <si>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</si>
  <si>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</si>
  <si>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</si>
  <si>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</si>
  <si>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</si>
  <si>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</si>
  <si>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</si>
  <si>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</si>
  <si>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</si>
  <si>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</si>
  <si>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</si>
  <si>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</si>
  <si>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</si>
  <si>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</si>
  <si>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</si>
  <si>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</si>
  <si>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</si>
  <si>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</si>
  <si>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</si>
  <si>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</si>
  <si>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</si>
  <si>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</si>
  <si>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</si>
  <si>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</si>
  <si>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Emission factor for nitrogen leaching and runoff</t>
  </si>
  <si>
    <t>National Inventory Report Volume 1: Equation 3.D.B_10</t>
  </si>
  <si>
    <t>EFleach</t>
  </si>
  <si>
    <t>p = density of methane</t>
  </si>
  <si>
    <t>National Inventory Report 2023 Volume 1: Equations 3.B.1a_2, 3.B.1c_2, 3.B.3_1, 3.B.4g_2</t>
  </si>
  <si>
    <t>kg/m3</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</si>
  <si>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</si>
  <si>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</si>
  <si>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</si>
  <si>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</si>
  <si>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</si>
  <si>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</si>
  <si>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</si>
  <si>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</si>
  <si>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</si>
  <si>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Irrigated crop</t>
  </si>
  <si>
    <t>Non-irrigated pasture</t>
  </si>
  <si>
    <t>Non-irrigated crop (low rainfall)</t>
  </si>
  <si>
    <t>Non-irrigated crop (high rainfall)</t>
  </si>
  <si>
    <t>Sugar</t>
  </si>
  <si>
    <t>Horticultural crops</t>
  </si>
  <si>
    <t>Rice (continuous flooding)</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</si>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</sst>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0000000000"/>
  </numFmts>
  <fonts count="67"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b/>
      <sz val="20"/>
      <color theme="3" tint="9.9978637043366805E-2"/>
      <name val="Times New Roman"/>
      <family val="1"/>
    </font>
    <font>
      <b/>
      <sz val="16"/>
      <color theme="1"/>
      <name val="Times New Roman"/>
      <family val="1"/>
      <scheme val="minor"/>
    </font>
    <font>
      <b/>
      <vertAlign val="subscript"/>
      <sz val="16"/>
      <color theme="1"/>
      <name val="Times New Roman"/>
      <family val="1"/>
      <scheme val="minor"/>
    </font>
    <font>
      <sz val="16"/>
      <color theme="1"/>
      <name val="Times New Roman"/>
      <family val="1"/>
      <scheme val="minor"/>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4" borderId="2">
      <alignment horizontal="center" vertical="center"/>
    </xf>
    <xf numFmtId="0" fontId="58" fillId="15" borderId="2">
      <alignment horizontal="center" vertical="center"/>
    </xf>
    <xf numFmtId="0" fontId="60" fillId="4" borderId="2">
      <alignment horizontal="left" vertical="center"/>
    </xf>
    <xf numFmtId="0" fontId="35" fillId="4" borderId="2">
      <alignment horizontal="left" vertical="center"/>
    </xf>
    <xf numFmtId="0" fontId="62" fillId="0" borderId="0"/>
  </cellStyleXfs>
  <cellXfs count="145">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0" fillId="0" borderId="0" xfId="0" applyAlignment="1">
      <alignment vertical="center"/>
    </xf>
    <xf numFmtId="0" fontId="13" fillId="6" borderId="0" xfId="30">
      <alignment horizontal="center" vertical="center"/>
      <protection locked="0"/>
    </xf>
    <xf numFmtId="0" fontId="58" fillId="15" borderId="2" xfId="66">
      <alignment horizontal="center" vertical="center"/>
    </xf>
    <xf numFmtId="0" fontId="59" fillId="14" borderId="2" xfId="65">
      <alignment horizontal="center" vertical="center"/>
    </xf>
    <xf numFmtId="0" fontId="40" fillId="4" borderId="0" xfId="8" applyAlignment="1">
      <alignment horizontal="left" vertical="center" wrapText="1"/>
    </xf>
    <xf numFmtId="0" fontId="0" fillId="0" borderId="0" xfId="0" applyAlignment="1">
      <alignment wrapText="1"/>
    </xf>
    <xf numFmtId="0" fontId="2" fillId="0" borderId="2" xfId="59">
      <alignment horizontal="center" vertical="center"/>
    </xf>
    <xf numFmtId="0" fontId="37" fillId="0" borderId="0" xfId="0" applyFont="1" applyAlignment="1">
      <alignment wrapText="1"/>
    </xf>
    <xf numFmtId="0" fontId="60" fillId="4" borderId="2" xfId="67">
      <alignment horizontal="left" vertical="center"/>
    </xf>
    <xf numFmtId="0" fontId="35" fillId="4" borderId="2" xfId="68">
      <alignment horizontal="left" vertical="center"/>
    </xf>
    <xf numFmtId="0" fontId="41" fillId="4" borderId="1" xfId="8" applyFont="1" applyBorder="1">
      <alignment horizontal="left" vertical="center"/>
    </xf>
    <xf numFmtId="0" fontId="6" fillId="4" borderId="1" xfId="12" applyBorder="1">
      <alignment horizontal="left" vertical="center" indent="1"/>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62" fillId="0" borderId="0" xfId="69"/>
    <xf numFmtId="9" fontId="2" fillId="0" borderId="2" xfId="17">
      <alignment horizontal="center" vertical="center"/>
    </xf>
    <xf numFmtId="170" fontId="8" fillId="4" borderId="0" xfId="10" applyNumberFormat="1">
      <alignment horizontal="center" vertical="center"/>
    </xf>
    <xf numFmtId="0" fontId="63"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4" fontId="2" fillId="0" borderId="2" xfId="18">
      <alignment horizontal="center" vertical="center"/>
    </xf>
    <xf numFmtId="0" fontId="45" fillId="13" borderId="9" xfId="41" quotePrefix="1" applyBorder="1">
      <alignment horizontal="left" vertical="center"/>
    </xf>
    <xf numFmtId="3" fontId="35" fillId="4" borderId="2" xfId="43">
      <alignment horizontal="center" vertical="center"/>
    </xf>
    <xf numFmtId="0" fontId="31" fillId="0" borderId="0" xfId="0" applyFont="1"/>
    <xf numFmtId="0" fontId="0" fillId="4" borderId="1" xfId="0" applyFill="1" applyBorder="1"/>
    <xf numFmtId="0" fontId="0" fillId="4" borderId="1" xfId="0" applyFill="1" applyBorder="1" applyAlignment="1">
      <alignment vertical="center"/>
    </xf>
    <xf numFmtId="3" fontId="35" fillId="4" borderId="2" xfId="68" applyNumberFormat="1">
      <alignment horizontal="left" vertical="center"/>
    </xf>
    <xf numFmtId="0" fontId="35" fillId="4" borderId="6" xfId="55" applyBorder="1">
      <alignment horizontal="center" vertical="center"/>
    </xf>
    <xf numFmtId="0" fontId="0" fillId="4" borderId="0" xfId="0" quotePrefix="1" applyFill="1"/>
    <xf numFmtId="0" fontId="64" fillId="4" borderId="1" xfId="0" applyFont="1" applyFill="1" applyBorder="1"/>
    <xf numFmtId="0" fontId="66" fillId="4" borderId="1" xfId="0" applyFont="1" applyFill="1" applyBorder="1"/>
    <xf numFmtId="171" fontId="8" fillId="4" borderId="0" xfId="10" applyNumberFormat="1">
      <alignment horizontal="center" vertical="center"/>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7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i val="0"/>
        <strike val="0"/>
        <condense val="0"/>
        <extend val="0"/>
        <outline val="0"/>
        <shadow val="0"/>
        <u val="none"/>
        <vertAlign val="baseline"/>
        <sz val="11"/>
        <color theme="1"/>
        <name val="Times New Roman"/>
        <family val="1"/>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7"/>
      <tableStyleElement type="headerRow" dxfId="76"/>
      <tableStyleElement type="totalRow" dxfId="75"/>
      <tableStyleElement type="firstColumn" dxfId="74"/>
      <tableStyleElement type="firstRowStripe" dxfId="73"/>
      <tableStyleElement type="secondRowStripe" dxfId="72"/>
    </tableStyle>
    <tableStyle name="Equation table" pivot="0" count="6" xr9:uid="{B247698E-E41D-4CCD-AA0A-C14817E9DE65}">
      <tableStyleElement type="wholeTable" dxfId="71"/>
      <tableStyleElement type="headerRow" dxfId="70"/>
      <tableStyleElement type="totalRow" dxfId="69"/>
      <tableStyleElement type="firstColumn" dxfId="68"/>
      <tableStyleElement type="firstRowStripe" dxfId="67"/>
      <tableStyleElement type="secondRowStripe" dxfId="66"/>
    </tableStyle>
    <tableStyle name="Table Style 1" pivot="0" count="0" xr9:uid="{97B370DB-5463-4A31-9160-5A96BD6A559D}"/>
  </tableStyles>
  <colors>
    <mruColors>
      <color rgb="FF0C769E"/>
      <color rgb="FFC44340"/>
      <color rgb="FFFFCCCC"/>
      <color rgb="FFCC660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6.3.1.1-2 Leaching and runoff'!D28"/><Relationship Id="rId3" Type="http://schemas.openxmlformats.org/officeDocument/2006/relationships/hyperlink" Target="#'6.1.1.1-2 Crop residue N2O'!M5"/><Relationship Id="rId7" Type="http://schemas.openxmlformats.org/officeDocument/2006/relationships/hyperlink" Target="#'6.3.1.1-2 Leaching and runoff'!D5"/><Relationship Id="rId2" Type="http://schemas.openxmlformats.org/officeDocument/2006/relationships/hyperlink" Target="#'6.1.1.1-2 Crop residue N2O'!D28"/><Relationship Id="rId1" Type="http://schemas.openxmlformats.org/officeDocument/2006/relationships/hyperlink" Target="#'6.1.1.1-2 Crop residue N2O'!D5"/><Relationship Id="rId6" Type="http://schemas.openxmlformats.org/officeDocument/2006/relationships/hyperlink" Target="#'6.2.1.1-2 Pasture residue N2O'!D25"/><Relationship Id="rId11" Type="http://schemas.openxmlformats.org/officeDocument/2006/relationships/hyperlink" Target="#'6.4.1.1-2 Residue burning'!D48"/><Relationship Id="rId5" Type="http://schemas.openxmlformats.org/officeDocument/2006/relationships/hyperlink" Target="#'6.2.1.1-2 Pasture residue N2O'!D5"/><Relationship Id="rId10" Type="http://schemas.openxmlformats.org/officeDocument/2006/relationships/hyperlink" Target="#'6.4.1.1-2 Residue burning'!D25"/><Relationship Id="rId4" Type="http://schemas.openxmlformats.org/officeDocument/2006/relationships/hyperlink" Target="#'6.1.1.1-2 Crop residue N2O'!M24"/><Relationship Id="rId9" Type="http://schemas.openxmlformats.org/officeDocument/2006/relationships/hyperlink" Target="#'6.4.1.1-2 Residue burning'!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6.1.1.1-2 </a:t>
          </a:r>
          <a:br>
            <a:rPr lang="en-AU" sz="1400" b="0">
              <a:solidFill>
                <a:srgbClr val="0C769E"/>
              </a:solidFill>
            </a:rPr>
          </a:br>
          <a:r>
            <a:rPr lang="en-AU" sz="1400" b="0">
              <a:solidFill>
                <a:srgbClr val="0C769E"/>
              </a:solidFill>
            </a:rPr>
            <a:t>Crop residue N2O</a:t>
          </a:r>
        </a:p>
      </xdr:txBody>
    </xdr:sp>
    <xdr:clientData/>
  </xdr:oneCellAnchor>
  <xdr:twoCellAnchor>
    <xdr:from>
      <xdr:col>3</xdr:col>
      <xdr:colOff>110835</xdr:colOff>
      <xdr:row>18</xdr:row>
      <xdr:rowOff>13855</xdr:rowOff>
    </xdr:from>
    <xdr:to>
      <xdr:col>5</xdr:col>
      <xdr:colOff>403635</xdr:colOff>
      <xdr:row>20</xdr:row>
      <xdr:rowOff>238555</xdr:rowOff>
    </xdr:to>
    <xdr:sp macro="" textlink="'6.1.1.1-2 Crop residue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46049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8F877F-2135-416A-A46F-CAABBC04AD48}" type="TxLink">
            <a:rPr lang="en-US" sz="1000" b="0" i="0" u="none" strike="noStrike">
              <a:solidFill>
                <a:srgbClr val="0C769E"/>
              </a:solidFill>
              <a:latin typeface="Times New Roman"/>
              <a:cs typeface="Times New Roman"/>
            </a:rPr>
            <a:pPr algn="ctr"/>
            <a:t>Mass of nitrogen in crop residues returned to the soil</a:t>
          </a:fld>
          <a:endParaRPr lang="en-AU" sz="1000">
            <a:solidFill>
              <a:srgbClr val="0C769E"/>
            </a:solidFill>
          </a:endParaRPr>
        </a:p>
      </xdr:txBody>
    </xdr:sp>
    <xdr:clientData/>
  </xdr:twoCellAnchor>
  <xdr:twoCellAnchor>
    <xdr:from>
      <xdr:col>3</xdr:col>
      <xdr:colOff>110835</xdr:colOff>
      <xdr:row>28</xdr:row>
      <xdr:rowOff>7421</xdr:rowOff>
    </xdr:from>
    <xdr:to>
      <xdr:col>5</xdr:col>
      <xdr:colOff>403635</xdr:colOff>
      <xdr:row>32</xdr:row>
      <xdr:rowOff>96821</xdr:rowOff>
    </xdr:to>
    <xdr:sp macro="" textlink="'6.1.1.1-2 Crop residue N2O'!D28">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0749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A8866F-96CC-4485-B727-458D801885D1}" type="TxLink">
            <a:rPr lang="en-US" sz="1000" b="1" i="0" u="none" strike="noStrike">
              <a:solidFill>
                <a:srgbClr val="0C769E"/>
              </a:solidFill>
              <a:latin typeface="Times New Roman"/>
              <a:cs typeface="Times New Roman"/>
            </a:rPr>
            <a:pPr algn="ctr"/>
            <a:t>Nitrous oxide emissions from the return of crop residues across all crops c to the soil</a:t>
          </a:fld>
          <a:endParaRPr lang="en-AU" sz="1000" b="1">
            <a:solidFill>
              <a:srgbClr val="0C769E"/>
            </a:solidFill>
          </a:endParaRPr>
        </a:p>
      </xdr:txBody>
    </xdr:sp>
    <xdr:clientData/>
  </xdr:twoCellAnchor>
  <xdr:twoCellAnchor>
    <xdr:from>
      <xdr:col>5</xdr:col>
      <xdr:colOff>212519</xdr:colOff>
      <xdr:row>10</xdr:row>
      <xdr:rowOff>242454</xdr:rowOff>
    </xdr:from>
    <xdr:to>
      <xdr:col>7</xdr:col>
      <xdr:colOff>505319</xdr:colOff>
      <xdr:row>13</xdr:row>
      <xdr:rowOff>94600</xdr:rowOff>
    </xdr:to>
    <xdr:sp macro="" textlink="'6.1.1.1-2 Crop residue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08244" y="2852304"/>
          <a:ext cx="1512000" cy="595096"/>
        </a:xfrm>
        <a:prstGeom prst="rect">
          <a:avLst/>
        </a:prstGeom>
        <a:solidFill>
          <a:schemeClr val="lt1"/>
        </a:solidFill>
        <a:ln w="9525" cmpd="sng">
          <a:solidFill>
            <a:srgbClr val="0C769E"/>
          </a:solidFill>
          <a:prstDash val="dash"/>
          <a:extLst>
            <a:ext uri="{C807C97D-BFC1-408E-A445-0C87EB9F89A2}">
              <ask:lineSketchStyleProps xmlns:ask="http://schemas.microsoft.com/office/drawing/2018/sketchyshapes" sd="981765707">
                <a:custGeom>
                  <a:avLst/>
                  <a:gdLst>
                    <a:gd name="csX0" fmla="*/ 0 w 1512000"/>
                    <a:gd name="csY0" fmla="*/ 0 h 595096"/>
                    <a:gd name="csX1" fmla="*/ 1512000 w 1512000"/>
                    <a:gd name="csY1" fmla="*/ 0 h 595096"/>
                    <a:gd name="csX2" fmla="*/ 1512000 w 1512000"/>
                    <a:gd name="csY2" fmla="*/ 595096 h 595096"/>
                    <a:gd name="csX3" fmla="*/ 0 w 1512000"/>
                    <a:gd name="csY3" fmla="*/ 595096 h 595096"/>
                    <a:gd name="csX4" fmla="*/ 0 w 1512000"/>
                    <a:gd name="csY4" fmla="*/ 0 h 595096"/>
                  </a:gdLst>
                  <a:ahLst/>
                  <a:cxnLst>
                    <a:cxn ang="0">
                      <a:pos x="csX0" y="csY0"/>
                    </a:cxn>
                    <a:cxn ang="0">
                      <a:pos x="csX1" y="csY1"/>
                    </a:cxn>
                    <a:cxn ang="0">
                      <a:pos x="csX2" y="csY2"/>
                    </a:cxn>
                    <a:cxn ang="0">
                      <a:pos x="csX3" y="csY3"/>
                    </a:cxn>
                    <a:cxn ang="0">
                      <a:pos x="csX4" y="csY4"/>
                    </a:cxn>
                  </a:cxnLst>
                  <a:rect l="l" t="t" r="r" b="b"/>
                  <a:pathLst>
                    <a:path w="1512000" h="595096" fill="none" extrusionOk="0">
                      <a:moveTo>
                        <a:pt x="0" y="0"/>
                      </a:moveTo>
                      <a:cubicBezTo>
                        <a:pt x="351985" y="-88655"/>
                        <a:pt x="1321200" y="53433"/>
                        <a:pt x="1512000" y="0"/>
                      </a:cubicBezTo>
                      <a:cubicBezTo>
                        <a:pt x="1475347" y="147579"/>
                        <a:pt x="1504401" y="300380"/>
                        <a:pt x="1512000" y="595096"/>
                      </a:cubicBezTo>
                      <a:cubicBezTo>
                        <a:pt x="952601" y="693766"/>
                        <a:pt x="586528" y="489720"/>
                        <a:pt x="0" y="595096"/>
                      </a:cubicBezTo>
                      <a:cubicBezTo>
                        <a:pt x="16543" y="485270"/>
                        <a:pt x="26644" y="72834"/>
                        <a:pt x="0" y="0"/>
                      </a:cubicBezTo>
                      <a:close/>
                    </a:path>
                    <a:path w="1512000" h="595096" stroke="0" extrusionOk="0">
                      <a:moveTo>
                        <a:pt x="0" y="0"/>
                      </a:moveTo>
                      <a:cubicBezTo>
                        <a:pt x="741294" y="-103087"/>
                        <a:pt x="941791" y="40558"/>
                        <a:pt x="1512000" y="0"/>
                      </a:cubicBezTo>
                      <a:cubicBezTo>
                        <a:pt x="1502451" y="119951"/>
                        <a:pt x="1497496" y="405644"/>
                        <a:pt x="1512000" y="595096"/>
                      </a:cubicBezTo>
                      <a:cubicBezTo>
                        <a:pt x="919860" y="655721"/>
                        <a:pt x="526565" y="539527"/>
                        <a:pt x="0" y="595096"/>
                      </a:cubicBezTo>
                      <a:cubicBezTo>
                        <a:pt x="28147" y="429756"/>
                        <a:pt x="17071" y="29533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AB987F-AD2C-407E-808B-9D3DB3AFA73C}" type="TxLink">
            <a:rPr lang="en-US" sz="1000" b="0" i="0" u="none" strike="noStrike">
              <a:solidFill>
                <a:srgbClr val="0C769E"/>
              </a:solidFill>
              <a:latin typeface="Times New Roman"/>
              <a:cs typeface="Times New Roman"/>
            </a:rPr>
            <a:pPr algn="ctr"/>
            <a:t>Fraction of crop residue that is removed for crop c, calculated where residues are baled</a:t>
          </a:fld>
          <a:endParaRPr lang="en-AU" sz="1000">
            <a:solidFill>
              <a:srgbClr val="0C769E"/>
            </a:solidFill>
          </a:endParaRPr>
        </a:p>
      </xdr:txBody>
    </xdr:sp>
    <xdr:clientData/>
  </xdr:twoCellAnchor>
  <xdr:twoCellAnchor>
    <xdr:from>
      <xdr:col>5</xdr:col>
      <xdr:colOff>212519</xdr:colOff>
      <xdr:row>14</xdr:row>
      <xdr:rowOff>18104</xdr:rowOff>
    </xdr:from>
    <xdr:to>
      <xdr:col>7</xdr:col>
      <xdr:colOff>505319</xdr:colOff>
      <xdr:row>16</xdr:row>
      <xdr:rowOff>183124</xdr:rowOff>
    </xdr:to>
    <xdr:sp macro="" textlink="'6.1.1.1-2 Crop residue N2O'!M24">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08244" y="3618554"/>
          <a:ext cx="1512000" cy="660320"/>
        </a:xfrm>
        <a:prstGeom prst="rect">
          <a:avLst/>
        </a:prstGeom>
        <a:solidFill>
          <a:schemeClr val="lt1"/>
        </a:solidFill>
        <a:ln w="9525" cmpd="sng">
          <a:solidFill>
            <a:srgbClr val="0C769E"/>
          </a:solidFill>
          <a:prstDash val="dash"/>
          <a:extLst>
            <a:ext uri="{C807C97D-BFC1-408E-A445-0C87EB9F89A2}">
              <ask:lineSketchStyleProps xmlns:ask="http://schemas.microsoft.com/office/drawing/2018/sketchyshapes" sd="1219033472">
                <a:custGeom>
                  <a:avLst/>
                  <a:gdLst>
                    <a:gd name="csX0" fmla="*/ 0 w 1512000"/>
                    <a:gd name="csY0" fmla="*/ 0 h 660320"/>
                    <a:gd name="csX1" fmla="*/ 1512000 w 1512000"/>
                    <a:gd name="csY1" fmla="*/ 0 h 660320"/>
                    <a:gd name="csX2" fmla="*/ 1512000 w 1512000"/>
                    <a:gd name="csY2" fmla="*/ 660320 h 660320"/>
                    <a:gd name="csX3" fmla="*/ 0 w 1512000"/>
                    <a:gd name="csY3" fmla="*/ 660320 h 660320"/>
                    <a:gd name="csX4" fmla="*/ 0 w 1512000"/>
                    <a:gd name="csY4" fmla="*/ 0 h 660320"/>
                  </a:gdLst>
                  <a:ahLst/>
                  <a:cxnLst>
                    <a:cxn ang="0">
                      <a:pos x="csX0" y="csY0"/>
                    </a:cxn>
                    <a:cxn ang="0">
                      <a:pos x="csX1" y="csY1"/>
                    </a:cxn>
                    <a:cxn ang="0">
                      <a:pos x="csX2" y="csY2"/>
                    </a:cxn>
                    <a:cxn ang="0">
                      <a:pos x="csX3" y="csY3"/>
                    </a:cxn>
                    <a:cxn ang="0">
                      <a:pos x="csX4" y="csY4"/>
                    </a:cxn>
                  </a:cxnLst>
                  <a:rect l="l" t="t" r="r" b="b"/>
                  <a:pathLst>
                    <a:path w="1512000" h="660320" fill="none" extrusionOk="0">
                      <a:moveTo>
                        <a:pt x="0" y="0"/>
                      </a:moveTo>
                      <a:cubicBezTo>
                        <a:pt x="735012" y="-48253"/>
                        <a:pt x="915414" y="66151"/>
                        <a:pt x="1512000" y="0"/>
                      </a:cubicBezTo>
                      <a:cubicBezTo>
                        <a:pt x="1455180" y="212826"/>
                        <a:pt x="1478967" y="480100"/>
                        <a:pt x="1512000" y="660320"/>
                      </a:cubicBezTo>
                      <a:cubicBezTo>
                        <a:pt x="1082717" y="531929"/>
                        <a:pt x="551777" y="600135"/>
                        <a:pt x="0" y="660320"/>
                      </a:cubicBezTo>
                      <a:cubicBezTo>
                        <a:pt x="40189" y="566168"/>
                        <a:pt x="-7720" y="246070"/>
                        <a:pt x="0" y="0"/>
                      </a:cubicBezTo>
                      <a:close/>
                    </a:path>
                    <a:path w="1512000" h="660320" stroke="0" extrusionOk="0">
                      <a:moveTo>
                        <a:pt x="0" y="0"/>
                      </a:moveTo>
                      <a:cubicBezTo>
                        <a:pt x="179393" y="31125"/>
                        <a:pt x="886742" y="-53428"/>
                        <a:pt x="1512000" y="0"/>
                      </a:cubicBezTo>
                      <a:cubicBezTo>
                        <a:pt x="1489907" y="293155"/>
                        <a:pt x="1455842" y="478481"/>
                        <a:pt x="1512000" y="660320"/>
                      </a:cubicBezTo>
                      <a:cubicBezTo>
                        <a:pt x="926750" y="708840"/>
                        <a:pt x="543592" y="643764"/>
                        <a:pt x="0" y="660320"/>
                      </a:cubicBezTo>
                      <a:cubicBezTo>
                        <a:pt x="52058" y="452402"/>
                        <a:pt x="-25266" y="21220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898658-55FF-4CEA-BA46-AFAB02210E5A}" type="TxLink">
            <a:rPr lang="en-US" sz="1000" b="0" i="0" u="none" strike="noStrike">
              <a:solidFill>
                <a:srgbClr val="0C769E"/>
              </a:solidFill>
              <a:latin typeface="Times New Roman"/>
              <a:cs typeface="Times New Roman"/>
            </a:rPr>
            <a:pPr algn="ctr"/>
            <a:t>Fraction of crop residue that is removed for crop c</a:t>
          </a:fld>
          <a:endParaRPr lang="en-AU" sz="1000">
            <a:solidFill>
              <a:srgbClr val="0C769E"/>
            </a:solidFill>
          </a:endParaRPr>
        </a:p>
      </xdr:txBody>
    </xdr:sp>
    <xdr:clientData/>
  </xdr:twoCellAnchor>
  <xdr:oneCellAnchor>
    <xdr:from>
      <xdr:col>5</xdr:col>
      <xdr:colOff>404388</xdr:colOff>
      <xdr:row>9</xdr:row>
      <xdr:rowOff>139552</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300113" y="2501752"/>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8</xdr:col>
      <xdr:colOff>425587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61501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6.2.1.1-2 </a:t>
          </a:r>
          <a:br>
            <a:rPr lang="en-AU" sz="1400" b="0">
              <a:solidFill>
                <a:schemeClr val="accent5">
                  <a:lumMod val="75000"/>
                </a:schemeClr>
              </a:solidFill>
            </a:rPr>
          </a:br>
          <a:r>
            <a:rPr lang="en-AU" sz="1400" b="0">
              <a:solidFill>
                <a:schemeClr val="accent5">
                  <a:lumMod val="75000"/>
                </a:schemeClr>
              </a:solidFill>
            </a:rPr>
            <a:t>Pasture</a:t>
          </a:r>
          <a:r>
            <a:rPr lang="en-AU" sz="1400" b="0" baseline="0">
              <a:solidFill>
                <a:schemeClr val="accent5">
                  <a:lumMod val="75000"/>
                </a:schemeClr>
              </a:solidFill>
            </a:rPr>
            <a:t> residue N2O</a:t>
          </a:r>
          <a:endParaRPr lang="en-AU" sz="1400" b="0">
            <a:solidFill>
              <a:schemeClr val="accent5">
                <a:lumMod val="75000"/>
              </a:schemeClr>
            </a:solidFill>
          </a:endParaRPr>
        </a:p>
      </xdr:txBody>
    </xdr:sp>
    <xdr:clientData/>
  </xdr:oneCellAnchor>
  <xdr:twoCellAnchor>
    <xdr:from>
      <xdr:col>8</xdr:col>
      <xdr:colOff>604405</xdr:colOff>
      <xdr:row>9</xdr:row>
      <xdr:rowOff>113433</xdr:rowOff>
    </xdr:from>
    <xdr:to>
      <xdr:col>11</xdr:col>
      <xdr:colOff>287605</xdr:colOff>
      <xdr:row>12</xdr:row>
      <xdr:rowOff>90483</xdr:rowOff>
    </xdr:to>
    <xdr:sp macro="" textlink="'6.2.1.1-2 Pasture residue N2O'!D5">
      <xdr:nvSpPr>
        <xdr:cNvPr id="21" name="TextBox 20">
          <a:hlinkClick xmlns:r="http://schemas.openxmlformats.org/officeDocument/2006/relationships" r:id="rId5"/>
          <a:extLst>
            <a:ext uri="{FF2B5EF4-FFF2-40B4-BE49-F238E27FC236}">
              <a16:creationId xmlns:a16="http://schemas.microsoft.com/office/drawing/2014/main" id="{8C71CDED-7203-4C08-A42F-C497846ACCAF}"/>
            </a:ext>
          </a:extLst>
        </xdr:cNvPr>
        <xdr:cNvSpPr txBox="1"/>
      </xdr:nvSpPr>
      <xdr:spPr>
        <a:xfrm>
          <a:off x="63289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8D72C6-034D-43A6-BC4D-ED6DBD8D8AD9}" type="TxLink">
            <a:rPr lang="en-US" sz="1000" b="0" i="0" u="none" strike="noStrike">
              <a:solidFill>
                <a:schemeClr val="accent5">
                  <a:lumMod val="75000"/>
                </a:schemeClr>
              </a:solidFill>
              <a:latin typeface="Times New Roman"/>
              <a:cs typeface="Times New Roman"/>
            </a:rPr>
            <a:pPr algn="ctr"/>
            <a:t>Mass of nitrogen in pasture residues returned to the soil</a:t>
          </a:fld>
          <a:endParaRPr lang="en-AU" sz="1000">
            <a:solidFill>
              <a:schemeClr val="accent5">
                <a:lumMod val="75000"/>
              </a:schemeClr>
            </a:solidFill>
          </a:endParaRPr>
        </a:p>
      </xdr:txBody>
    </xdr:sp>
    <xdr:clientData/>
  </xdr:twoCellAnchor>
  <xdr:twoCellAnchor>
    <xdr:from>
      <xdr:col>8</xdr:col>
      <xdr:colOff>604405</xdr:colOff>
      <xdr:row>27</xdr:row>
      <xdr:rowOff>245546</xdr:rowOff>
    </xdr:from>
    <xdr:to>
      <xdr:col>11</xdr:col>
      <xdr:colOff>287605</xdr:colOff>
      <xdr:row>32</xdr:row>
      <xdr:rowOff>87296</xdr:rowOff>
    </xdr:to>
    <xdr:sp macro="" textlink="'6.2.1.1-2 Pasture residue N2O'!D25">
      <xdr:nvSpPr>
        <xdr:cNvPr id="22" name="TextBox 21">
          <a:hlinkClick xmlns:r="http://schemas.openxmlformats.org/officeDocument/2006/relationships" r:id="rId6"/>
          <a:extLst>
            <a:ext uri="{FF2B5EF4-FFF2-40B4-BE49-F238E27FC236}">
              <a16:creationId xmlns:a16="http://schemas.microsoft.com/office/drawing/2014/main" id="{7F32EBC4-93BF-46D3-9370-FCED2B7ACD11}"/>
            </a:ext>
          </a:extLst>
        </xdr:cNvPr>
        <xdr:cNvSpPr txBox="1"/>
      </xdr:nvSpPr>
      <xdr:spPr>
        <a:xfrm>
          <a:off x="6328930" y="70654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37A85A-DCD3-4A55-B19B-4B30DFFCEFEC}" type="TxLink">
            <a:rPr lang="en-US" sz="1000" b="1" i="0" u="none" strike="noStrike">
              <a:solidFill>
                <a:schemeClr val="accent5">
                  <a:lumMod val="75000"/>
                </a:schemeClr>
              </a:solidFill>
              <a:latin typeface="Times New Roman"/>
              <a:cs typeface="Times New Roman"/>
            </a:rPr>
            <a:pPr algn="ctr"/>
            <a:t>Nitrous oxide emissions from the return of pasture residues from all pasture types to the soil</a:t>
          </a:fld>
          <a:endParaRPr lang="en-AU" sz="1000" b="1">
            <a:solidFill>
              <a:schemeClr val="accent5">
                <a:lumMod val="75000"/>
              </a:schemeClr>
            </a:solidFill>
          </a:endParaRPr>
        </a:p>
      </xdr:txBody>
    </xdr:sp>
    <xdr:clientData/>
  </xdr:twoCellAnchor>
  <xdr:twoCellAnchor>
    <xdr:from>
      <xdr:col>10</xdr:col>
      <xdr:colOff>134856</xdr:colOff>
      <xdr:row>12</xdr:row>
      <xdr:rowOff>96832</xdr:rowOff>
    </xdr:from>
    <xdr:to>
      <xdr:col>10</xdr:col>
      <xdr:colOff>147556</xdr:colOff>
      <xdr:row>28</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5150024" y="5130539"/>
          <a:ext cx="38698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12</xdr:col>
      <xdr:colOff>504825</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8667750"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6.3.1.1-2 </a:t>
          </a:r>
          <a:br>
            <a:rPr lang="en-AU" sz="1400" b="0">
              <a:solidFill>
                <a:srgbClr val="7030A0"/>
              </a:solidFill>
            </a:rPr>
          </a:br>
          <a:r>
            <a:rPr lang="en-AU" sz="1400" b="0">
              <a:solidFill>
                <a:srgbClr val="7030A0"/>
              </a:solidFill>
            </a:rPr>
            <a:t>Leaching and runoff</a:t>
          </a:r>
        </a:p>
      </xdr:txBody>
    </xdr:sp>
    <xdr:clientData/>
  </xdr:oneCellAnchor>
  <xdr:twoCellAnchor>
    <xdr:from>
      <xdr:col>13</xdr:col>
      <xdr:colOff>71004</xdr:colOff>
      <xdr:row>23</xdr:row>
      <xdr:rowOff>122958</xdr:rowOff>
    </xdr:from>
    <xdr:to>
      <xdr:col>15</xdr:col>
      <xdr:colOff>363804</xdr:colOff>
      <xdr:row>26</xdr:row>
      <xdr:rowOff>100008</xdr:rowOff>
    </xdr:to>
    <xdr:sp macro="" textlink="'6.3.1.1-2 Leaching and runoff'!D5">
      <xdr:nvSpPr>
        <xdr:cNvPr id="26" name="TextBox 25">
          <a:hlinkClick xmlns:r="http://schemas.openxmlformats.org/officeDocument/2006/relationships" r:id="rId7"/>
          <a:extLst>
            <a:ext uri="{FF2B5EF4-FFF2-40B4-BE49-F238E27FC236}">
              <a16:creationId xmlns:a16="http://schemas.microsoft.com/office/drawing/2014/main" id="{DBEED495-A986-4806-A242-51BB4242F564}"/>
            </a:ext>
          </a:extLst>
        </xdr:cNvPr>
        <xdr:cNvSpPr txBox="1"/>
      </xdr:nvSpPr>
      <xdr:spPr>
        <a:xfrm>
          <a:off x="8843529" y="59522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DD3B76-7745-47A2-8A6A-9C455BAAC583}" type="TxLink">
            <a:rPr lang="en-US" sz="1000" b="0" i="0" u="none" strike="noStrike">
              <a:solidFill>
                <a:srgbClr val="7030A0"/>
              </a:solidFill>
              <a:latin typeface="Times New Roman"/>
              <a:cs typeface="Times New Roman"/>
            </a:rPr>
            <a:pPr algn="ctr"/>
            <a:t>Mass of nitrogen lost through leaching and runoff</a:t>
          </a:fld>
          <a:endParaRPr lang="en-AU" sz="1000">
            <a:solidFill>
              <a:srgbClr val="7030A0"/>
            </a:solidFill>
          </a:endParaRPr>
        </a:p>
      </xdr:txBody>
    </xdr:sp>
    <xdr:clientData/>
  </xdr:twoCellAnchor>
  <xdr:twoCellAnchor>
    <xdr:from>
      <xdr:col>13</xdr:col>
      <xdr:colOff>71005</xdr:colOff>
      <xdr:row>27</xdr:row>
      <xdr:rowOff>236021</xdr:rowOff>
    </xdr:from>
    <xdr:to>
      <xdr:col>15</xdr:col>
      <xdr:colOff>363805</xdr:colOff>
      <xdr:row>32</xdr:row>
      <xdr:rowOff>77771</xdr:rowOff>
    </xdr:to>
    <xdr:sp macro="" textlink="'6.3.1.1-2 Leaching and runoff'!D28">
      <xdr:nvSpPr>
        <xdr:cNvPr id="27" name="TextBox 26">
          <a:hlinkClick xmlns:r="http://schemas.openxmlformats.org/officeDocument/2006/relationships" r:id="rId8"/>
          <a:extLst>
            <a:ext uri="{FF2B5EF4-FFF2-40B4-BE49-F238E27FC236}">
              <a16:creationId xmlns:a16="http://schemas.microsoft.com/office/drawing/2014/main" id="{8CEAD9A6-E131-42B7-B4B1-243C02C15E43}"/>
            </a:ext>
          </a:extLst>
        </xdr:cNvPr>
        <xdr:cNvSpPr txBox="1"/>
      </xdr:nvSpPr>
      <xdr:spPr>
        <a:xfrm>
          <a:off x="8843530" y="70559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22ECB4-5552-4D48-9A15-1E47087F67BD}" type="TxLink">
            <a:rPr lang="en-US" sz="1000" b="1" i="0" u="none" strike="noStrike">
              <a:solidFill>
                <a:srgbClr val="7030A0"/>
              </a:solidFill>
              <a:latin typeface="Times New Roman"/>
              <a:cs typeface="Times New Roman"/>
            </a:rPr>
            <a:pPr algn="ctr"/>
            <a:t>Nitrous oxide leaching and runoff emissions from crop and pasture residues returned to the soil</a:t>
          </a:fld>
          <a:endParaRPr lang="en-AU" sz="1000" b="1">
            <a:solidFill>
              <a:srgbClr val="7030A0"/>
            </a:solidFill>
          </a:endParaRPr>
        </a:p>
      </xdr:txBody>
    </xdr:sp>
    <xdr:clientData/>
  </xdr:twoCellAnchor>
  <xdr:twoCellAnchor>
    <xdr:from>
      <xdr:col>14</xdr:col>
      <xdr:colOff>217404</xdr:colOff>
      <xdr:row>26</xdr:row>
      <xdr:rowOff>100007</xdr:rowOff>
    </xdr:from>
    <xdr:to>
      <xdr:col>14</xdr:col>
      <xdr:colOff>217405</xdr:colOff>
      <xdr:row>27</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9407698" y="6864088"/>
          <a:ext cx="3836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17</xdr:col>
      <xdr:colOff>390526</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11601451"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6.4.1.1-2 </a:t>
          </a:r>
          <a:br>
            <a:rPr lang="en-AU" sz="1400" b="0">
              <a:solidFill>
                <a:srgbClr val="C44340"/>
              </a:solidFill>
            </a:rPr>
          </a:br>
          <a:r>
            <a:rPr lang="en-AU" sz="1400" b="0">
              <a:solidFill>
                <a:srgbClr val="C44340"/>
              </a:solidFill>
            </a:rPr>
            <a:t>Residue burning</a:t>
          </a:r>
        </a:p>
      </xdr:txBody>
    </xdr:sp>
    <xdr:clientData/>
  </xdr:oneCellAnchor>
  <xdr:twoCellAnchor>
    <xdr:from>
      <xdr:col>17</xdr:col>
      <xdr:colOff>424792</xdr:colOff>
      <xdr:row>9</xdr:row>
      <xdr:rowOff>94383</xdr:rowOff>
    </xdr:from>
    <xdr:to>
      <xdr:col>20</xdr:col>
      <xdr:colOff>107992</xdr:colOff>
      <xdr:row>12</xdr:row>
      <xdr:rowOff>71433</xdr:rowOff>
    </xdr:to>
    <xdr:sp macro="" textlink="'6.4.1.1-2 Residue burning'!D5">
      <xdr:nvSpPr>
        <xdr:cNvPr id="31" name="TextBox 30">
          <a:hlinkClick xmlns:r="http://schemas.openxmlformats.org/officeDocument/2006/relationships" r:id="rId9"/>
          <a:extLst>
            <a:ext uri="{FF2B5EF4-FFF2-40B4-BE49-F238E27FC236}">
              <a16:creationId xmlns:a16="http://schemas.microsoft.com/office/drawing/2014/main" id="{B5CF1D1D-0430-4BEE-94E5-D4D9B7088BE2}"/>
            </a:ext>
          </a:extLst>
        </xdr:cNvPr>
        <xdr:cNvSpPr txBox="1"/>
      </xdr:nvSpPr>
      <xdr:spPr>
        <a:xfrm>
          <a:off x="11635717"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42A1A8-2A3C-4DBD-AD3F-9F5B046B1CD5}" type="TxLink">
            <a:rPr lang="en-US" sz="1000" b="0" i="0" u="none" strike="noStrike">
              <a:solidFill>
                <a:srgbClr val="C00000"/>
              </a:solidFill>
              <a:latin typeface="Times New Roman"/>
              <a:cs typeface="Times New Roman"/>
            </a:rPr>
            <a:pPr algn="ctr"/>
            <a:t>Mass of residue of crop c burnt</a:t>
          </a:fld>
          <a:endParaRPr lang="en-AU" sz="1000" b="1">
            <a:solidFill>
              <a:srgbClr val="C00000"/>
            </a:solidFill>
          </a:endParaRPr>
        </a:p>
      </xdr:txBody>
    </xdr:sp>
    <xdr:clientData/>
  </xdr:twoCellAnchor>
  <xdr:twoCellAnchor>
    <xdr:from>
      <xdr:col>16</xdr:col>
      <xdr:colOff>423430</xdr:colOff>
      <xdr:row>27</xdr:row>
      <xdr:rowOff>236021</xdr:rowOff>
    </xdr:from>
    <xdr:to>
      <xdr:col>19</xdr:col>
      <xdr:colOff>106630</xdr:colOff>
      <xdr:row>32</xdr:row>
      <xdr:rowOff>77771</xdr:rowOff>
    </xdr:to>
    <xdr:sp macro="" textlink="'6.4.1.1-2 Residue burning'!D25">
      <xdr:nvSpPr>
        <xdr:cNvPr id="9" name="TextBox 8">
          <a:hlinkClick xmlns:r="http://schemas.openxmlformats.org/officeDocument/2006/relationships" r:id="rId10"/>
          <a:extLst>
            <a:ext uri="{FF2B5EF4-FFF2-40B4-BE49-F238E27FC236}">
              <a16:creationId xmlns:a16="http://schemas.microsoft.com/office/drawing/2014/main" id="{E2D7A35D-5983-462E-9E84-1DD45E71FD24}"/>
            </a:ext>
          </a:extLst>
        </xdr:cNvPr>
        <xdr:cNvSpPr txBox="1"/>
      </xdr:nvSpPr>
      <xdr:spPr>
        <a:xfrm>
          <a:off x="11024755" y="7055921"/>
          <a:ext cx="1512000" cy="1080000"/>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1EFC4B-FCD2-47CD-B816-D94744160E77}" type="TxLink">
            <a:rPr lang="en-US" sz="1000" b="1" i="0" u="none" strike="noStrike">
              <a:solidFill>
                <a:srgbClr val="C00000"/>
              </a:solidFill>
              <a:latin typeface="Times New Roman"/>
              <a:cs typeface="Times New Roman"/>
            </a:rPr>
            <a:pPr algn="ctr"/>
            <a:t>Nitrous oxide emissions from the burning of crop residues</a:t>
          </a:fld>
          <a:endParaRPr lang="en-AU" sz="1000" b="1">
            <a:solidFill>
              <a:srgbClr val="C00000"/>
            </a:solidFill>
          </a:endParaRPr>
        </a:p>
      </xdr:txBody>
    </xdr:sp>
    <xdr:clientData/>
  </xdr:twoCellAnchor>
  <xdr:twoCellAnchor>
    <xdr:from>
      <xdr:col>19</xdr:col>
      <xdr:colOff>271030</xdr:colOff>
      <xdr:row>27</xdr:row>
      <xdr:rowOff>236021</xdr:rowOff>
    </xdr:from>
    <xdr:to>
      <xdr:col>21</xdr:col>
      <xdr:colOff>563830</xdr:colOff>
      <xdr:row>32</xdr:row>
      <xdr:rowOff>77771</xdr:rowOff>
    </xdr:to>
    <xdr:sp macro="" textlink="'6.4.1.1-2 Residue burning'!D48">
      <xdr:nvSpPr>
        <xdr:cNvPr id="11" name="TextBox 10">
          <a:hlinkClick xmlns:r="http://schemas.openxmlformats.org/officeDocument/2006/relationships" r:id="rId11"/>
          <a:extLst>
            <a:ext uri="{FF2B5EF4-FFF2-40B4-BE49-F238E27FC236}">
              <a16:creationId xmlns:a16="http://schemas.microsoft.com/office/drawing/2014/main" id="{E67335F8-C5A7-4B82-B51E-9764E59BA89A}"/>
            </a:ext>
          </a:extLst>
        </xdr:cNvPr>
        <xdr:cNvSpPr txBox="1"/>
      </xdr:nvSpPr>
      <xdr:spPr>
        <a:xfrm>
          <a:off x="12701155" y="7055921"/>
          <a:ext cx="1512000" cy="1080000"/>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6AD2B7-57B9-4EB1-9726-F2BB398BB068}" type="TxLink">
            <a:rPr lang="en-US" sz="1000" b="1" i="0" u="none" strike="noStrike">
              <a:solidFill>
                <a:srgbClr val="C00000"/>
              </a:solidFill>
              <a:latin typeface="Times New Roman"/>
              <a:cs typeface="Times New Roman"/>
            </a:rPr>
            <a:pPr algn="ctr"/>
            <a:t>Methane emissions from the burning of crop residues</a:t>
          </a:fld>
          <a:endParaRPr lang="en-AU" sz="1000" b="1">
            <a:solidFill>
              <a:srgbClr val="C00000"/>
            </a:solidFill>
          </a:endParaRPr>
        </a:p>
      </xdr:txBody>
    </xdr:sp>
    <xdr:clientData/>
  </xdr:twoCellAnchor>
  <xdr:twoCellAnchor>
    <xdr:from>
      <xdr:col>6</xdr:col>
      <xdr:colOff>352569</xdr:colOff>
      <xdr:row>13</xdr:row>
      <xdr:rowOff>100950</xdr:rowOff>
    </xdr:from>
    <xdr:to>
      <xdr:col>6</xdr:col>
      <xdr:colOff>365269</xdr:colOff>
      <xdr:row>14</xdr:row>
      <xdr:rowOff>24454</xdr:rowOff>
    </xdr:to>
    <xdr:cxnSp macro="">
      <xdr:nvCxnSpPr>
        <xdr:cNvPr id="15" name="Connector: Curved 14">
          <a:extLst>
            <a:ext uri="{FF2B5EF4-FFF2-40B4-BE49-F238E27FC236}">
              <a16:creationId xmlns:a16="http://schemas.microsoft.com/office/drawing/2014/main" id="{A1AB2F3D-3B64-8201-90B1-43DD7D3A21D9}"/>
            </a:ext>
          </a:extLst>
        </xdr:cNvPr>
        <xdr:cNvCxnSpPr>
          <a:stCxn id="10" idx="2"/>
          <a:endCxn id="12" idx="0"/>
        </xdr:cNvCxnSpPr>
      </xdr:nvCxnSpPr>
      <xdr:spPr>
        <a:xfrm rot="5400000">
          <a:off x="4778667" y="3532977"/>
          <a:ext cx="171154"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16</xdr:row>
      <xdr:rowOff>183123</xdr:rowOff>
    </xdr:from>
    <xdr:to>
      <xdr:col>6</xdr:col>
      <xdr:colOff>358920</xdr:colOff>
      <xdr:row>18</xdr:row>
      <xdr:rowOff>13854</xdr:rowOff>
    </xdr:to>
    <xdr:cxnSp macro="">
      <xdr:nvCxnSpPr>
        <xdr:cNvPr id="23" name="Connector: Curved 22">
          <a:extLst>
            <a:ext uri="{FF2B5EF4-FFF2-40B4-BE49-F238E27FC236}">
              <a16:creationId xmlns:a16="http://schemas.microsoft.com/office/drawing/2014/main" id="{4E5A1D22-7D48-3A65-7E21-61760AB44463}"/>
            </a:ext>
          </a:extLst>
        </xdr:cNvPr>
        <xdr:cNvCxnSpPr>
          <a:stCxn id="12" idx="2"/>
          <a:endCxn id="5" idx="0"/>
        </xdr:cNvCxnSpPr>
      </xdr:nvCxnSpPr>
      <xdr:spPr>
        <a:xfrm rot="5400000">
          <a:off x="4040787" y="3781447"/>
          <a:ext cx="326031" cy="132088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250885</xdr:colOff>
      <xdr:row>20</xdr:row>
      <xdr:rowOff>244905</xdr:rowOff>
    </xdr:from>
    <xdr:to>
      <xdr:col>4</xdr:col>
      <xdr:colOff>263585</xdr:colOff>
      <xdr:row>28</xdr:row>
      <xdr:rowOff>13771</xdr:rowOff>
    </xdr:to>
    <xdr:cxnSp macro="">
      <xdr:nvCxnSpPr>
        <xdr:cNvPr id="34" name="Connector: Curved 33">
          <a:extLst>
            <a:ext uri="{FF2B5EF4-FFF2-40B4-BE49-F238E27FC236}">
              <a16:creationId xmlns:a16="http://schemas.microsoft.com/office/drawing/2014/main" id="{DC594EE4-C581-961D-8C60-672FC7C9C76E}"/>
            </a:ext>
          </a:extLst>
        </xdr:cNvPr>
        <xdr:cNvCxnSpPr>
          <a:stCxn id="5" idx="2"/>
          <a:endCxn id="6" idx="0"/>
        </xdr:cNvCxnSpPr>
      </xdr:nvCxnSpPr>
      <xdr:spPr>
        <a:xfrm rot="5400000">
          <a:off x="2668327" y="6199938"/>
          <a:ext cx="17500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257235</xdr:colOff>
      <xdr:row>20</xdr:row>
      <xdr:rowOff>238554</xdr:rowOff>
    </xdr:from>
    <xdr:to>
      <xdr:col>14</xdr:col>
      <xdr:colOff>217404</xdr:colOff>
      <xdr:row>23</xdr:row>
      <xdr:rowOff>122957</xdr:rowOff>
    </xdr:to>
    <xdr:cxnSp macro="">
      <xdr:nvCxnSpPr>
        <xdr:cNvPr id="38" name="Connector: Curved 37">
          <a:extLst>
            <a:ext uri="{FF2B5EF4-FFF2-40B4-BE49-F238E27FC236}">
              <a16:creationId xmlns:a16="http://schemas.microsoft.com/office/drawing/2014/main" id="{5EA60C04-25B3-630C-14E4-3BFF4C1F8F59}"/>
            </a:ext>
          </a:extLst>
        </xdr:cNvPr>
        <xdr:cNvCxnSpPr>
          <a:stCxn id="5" idx="2"/>
          <a:endCxn id="26" idx="0"/>
        </xdr:cNvCxnSpPr>
      </xdr:nvCxnSpPr>
      <xdr:spPr>
        <a:xfrm rot="16200000" flipH="1">
          <a:off x="6257768" y="2610496"/>
          <a:ext cx="627353" cy="605616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141205</xdr:colOff>
      <xdr:row>12</xdr:row>
      <xdr:rowOff>90482</xdr:rowOff>
    </xdr:from>
    <xdr:to>
      <xdr:col>14</xdr:col>
      <xdr:colOff>217404</xdr:colOff>
      <xdr:row>23</xdr:row>
      <xdr:rowOff>122957</xdr:rowOff>
    </xdr:to>
    <xdr:cxnSp macro="">
      <xdr:nvCxnSpPr>
        <xdr:cNvPr id="51" name="Connector: Curved 50">
          <a:extLst>
            <a:ext uri="{FF2B5EF4-FFF2-40B4-BE49-F238E27FC236}">
              <a16:creationId xmlns:a16="http://schemas.microsoft.com/office/drawing/2014/main" id="{29656220-1623-68CD-E3AC-28B599DD10A5}"/>
            </a:ext>
          </a:extLst>
        </xdr:cNvPr>
        <xdr:cNvCxnSpPr>
          <a:stCxn id="21" idx="2"/>
          <a:endCxn id="26" idx="0"/>
        </xdr:cNvCxnSpPr>
      </xdr:nvCxnSpPr>
      <xdr:spPr>
        <a:xfrm rot="16200000" flipH="1">
          <a:off x="6963917" y="3316645"/>
          <a:ext cx="2756625" cy="25145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569830</xdr:colOff>
      <xdr:row>12</xdr:row>
      <xdr:rowOff>71433</xdr:rowOff>
    </xdr:from>
    <xdr:to>
      <xdr:col>18</xdr:col>
      <xdr:colOff>571192</xdr:colOff>
      <xdr:row>27</xdr:row>
      <xdr:rowOff>236021</xdr:rowOff>
    </xdr:to>
    <xdr:cxnSp macro="">
      <xdr:nvCxnSpPr>
        <xdr:cNvPr id="60" name="Connector: Curved 59">
          <a:extLst>
            <a:ext uri="{FF2B5EF4-FFF2-40B4-BE49-F238E27FC236}">
              <a16:creationId xmlns:a16="http://schemas.microsoft.com/office/drawing/2014/main" id="{02E48B0B-1811-62DF-A16A-AF6EEE8BCBC7}"/>
            </a:ext>
          </a:extLst>
        </xdr:cNvPr>
        <xdr:cNvCxnSpPr>
          <a:stCxn id="31" idx="2"/>
          <a:endCxn id="9" idx="0"/>
        </xdr:cNvCxnSpPr>
      </xdr:nvCxnSpPr>
      <xdr:spPr>
        <a:xfrm rot="5400000">
          <a:off x="10146567" y="4810771"/>
          <a:ext cx="3879338" cy="610962"/>
        </a:xfrm>
        <a:prstGeom prst="curvedConnector3">
          <a:avLst/>
        </a:prstGeom>
        <a:ln>
          <a:solidFill>
            <a:srgbClr val="C4434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571192</xdr:colOff>
      <xdr:row>12</xdr:row>
      <xdr:rowOff>71433</xdr:rowOff>
    </xdr:from>
    <xdr:to>
      <xdr:col>20</xdr:col>
      <xdr:colOff>417430</xdr:colOff>
      <xdr:row>27</xdr:row>
      <xdr:rowOff>236021</xdr:rowOff>
    </xdr:to>
    <xdr:cxnSp macro="">
      <xdr:nvCxnSpPr>
        <xdr:cNvPr id="62" name="Connector: Curved 61">
          <a:extLst>
            <a:ext uri="{FF2B5EF4-FFF2-40B4-BE49-F238E27FC236}">
              <a16:creationId xmlns:a16="http://schemas.microsoft.com/office/drawing/2014/main" id="{30B7DB86-05BE-4A2F-7008-A1FB09FE1B91}"/>
            </a:ext>
          </a:extLst>
        </xdr:cNvPr>
        <xdr:cNvCxnSpPr>
          <a:stCxn id="31" idx="2"/>
          <a:endCxn id="11" idx="0"/>
        </xdr:cNvCxnSpPr>
      </xdr:nvCxnSpPr>
      <xdr:spPr>
        <a:xfrm rot="16200000" flipH="1">
          <a:off x="10984767" y="4583533"/>
          <a:ext cx="3879338" cy="1065438"/>
        </a:xfrm>
        <a:prstGeom prst="curvedConnector3">
          <a:avLst/>
        </a:prstGeom>
        <a:ln>
          <a:solidFill>
            <a:srgbClr val="C4434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12</xdr:col>
      <xdr:colOff>28575</xdr:colOff>
      <xdr:row>8</xdr:row>
      <xdr:rowOff>71437</xdr:rowOff>
    </xdr:from>
    <xdr:ext cx="1604735" cy="35843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b="0" i="1">
                            <a:latin typeface="Cambria Math" panose="02040503050406030204" pitchFamily="18" charset="0"/>
                          </a:rPr>
                          <m:t>,</m:t>
                        </m:r>
                        <m:r>
                          <m:rPr>
                            <m:sty m:val="p"/>
                          </m:rPr>
                          <a:rPr lang="en-AU" sz="1100" b="0" i="1">
                            <a:latin typeface="Cambria Math" panose="02040503050406030204" pitchFamily="18" charset="0"/>
                          </a:rPr>
                          <m:t>baled</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𝐵</m:t>
                        </m:r>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𝐵</m:t>
                            </m:r>
                          </m:sub>
                        </m:sSub>
                      </m:num>
                      <m:den>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m:t>
                            </m:r>
                            <m:r>
                              <a:rPr lang="en-AU" sz="1100" i="1">
                                <a:latin typeface="Cambria Math" panose="02040503050406030204" pitchFamily="18" charset="0"/>
                              </a:rPr>
                              <m:t>,</m:t>
                            </m:r>
                            <m:r>
                              <a:rPr lang="en-AU" sz="1100" i="1">
                                <a:latin typeface="Cambria Math" panose="02040503050406030204" pitchFamily="18" charset="0"/>
                              </a:rPr>
                              <m:t>𝑐</m:t>
                            </m:r>
                          </m:sub>
                        </m:sSub>
                      </m:den>
                    </m:f>
                    <m:r>
                      <a:rPr lang="en-AU" sz="1100" i="1">
                        <a:latin typeface="Cambria Math" panose="02040503050406030204" pitchFamily="18" charset="0"/>
                      </a:rPr>
                      <m:t> </m:t>
                    </m:r>
                  </m:oMath>
                </m:oMathPara>
              </a14:m>
              <a:endParaRPr lang="en-AU" sz="1100"/>
            </a:p>
          </xdr:txBody>
        </xdr:sp>
      </mc:Choice>
      <mc:Fallback xmlns="">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a:t>
              </a:r>
              <a:r>
                <a:rPr lang="en-AU" sz="1100" b="0" i="0">
                  <a:latin typeface="Cambria Math" panose="02040503050406030204" pitchFamily="18" charset="0"/>
                </a:rPr>
                <a:t>,baled)</a:t>
              </a:r>
              <a:r>
                <a:rPr lang="en-AU" sz="1100" i="0">
                  <a:latin typeface="Cambria Math" panose="02040503050406030204" pitchFamily="18" charset="0"/>
                </a:rPr>
                <a:t>=(𝐵× 𝑀_𝐵)/(𝑃_𝑐× 𝑅_(𝐴𝐺,𝑐) ) </a:t>
              </a:r>
              <a:endParaRPr lang="en-AU" sz="1100"/>
            </a:p>
          </xdr:txBody>
        </xdr:sp>
      </mc:Fallback>
    </mc:AlternateContent>
    <xdr:clientData/>
  </xdr:oneCellAnchor>
  <xdr:oneCellAnchor>
    <xdr:from>
      <xdr:col>2</xdr:col>
      <xdr:colOff>295275</xdr:colOff>
      <xdr:row>7</xdr:row>
      <xdr:rowOff>147637</xdr:rowOff>
    </xdr:from>
    <xdr:ext cx="5559406" cy="16536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3</xdr:col>
      <xdr:colOff>19050</xdr:colOff>
      <xdr:row>30</xdr:row>
      <xdr:rowOff>28575</xdr:rowOff>
    </xdr:from>
    <xdr:ext cx="2260682" cy="312906"/>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e>
                        </m:d>
                      </m:e>
                    </m:nary>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𝐸=∑10_𝑐▒(𝑀_𝑐×𝐸𝐹_𝑁 ) ×𝐶_(𝑔,𝑁2𝑂)×10^(−3)</a:t>
              </a:r>
              <a:endParaRPr lang="en-AU" sz="1100"/>
            </a:p>
          </xdr:txBody>
        </xdr:sp>
      </mc:Fallback>
    </mc:AlternateContent>
    <xdr:clientData/>
  </xdr:oneCellAnchor>
  <xdr:oneCellAnchor>
    <xdr:from>
      <xdr:col>12</xdr:col>
      <xdr:colOff>0</xdr:colOff>
      <xdr:row>27</xdr:row>
      <xdr:rowOff>0</xdr:rowOff>
    </xdr:from>
    <xdr:ext cx="2265236" cy="17665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E4A76611-2242-450B-A203-A2BE5A365185}"/>
                </a:ext>
              </a:extLst>
            </xdr:cNvPr>
            <xdr:cNvSpPr txBox="1"/>
          </xdr:nvSpPr>
          <xdr:spPr>
            <a:xfrm>
              <a:off x="2676525" y="6819900"/>
              <a:ext cx="226523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i="1">
                            <a:latin typeface="Cambria Math" panose="02040503050406030204" pitchFamily="18" charset="0"/>
                          </a:rPr>
                          <m:t>,</m:t>
                        </m:r>
                        <m:r>
                          <a:rPr lang="en-AU" sz="1100" i="1">
                            <a:latin typeface="Cambria Math" panose="02040503050406030204" pitchFamily="18" charset="0"/>
                          </a:rPr>
                          <m:t>𝑏𝑎𝑙𝑒𝑑</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i="1">
                            <a:latin typeface="Cambria Math" panose="02040503050406030204" pitchFamily="18" charset="0"/>
                          </a:rPr>
                          <m:t>,</m:t>
                        </m:r>
                        <m:r>
                          <a:rPr lang="en-AU" sz="1100" i="1">
                            <a:latin typeface="Cambria Math" panose="02040503050406030204" pitchFamily="18" charset="0"/>
                          </a:rPr>
                          <m:t>𝑜𝑡h𝑒𝑟</m:t>
                        </m:r>
                      </m:sub>
                    </m:sSub>
                  </m:oMath>
                </m:oMathPara>
              </a14:m>
              <a:endParaRPr lang="en-AU" sz="1100"/>
            </a:p>
          </xdr:txBody>
        </xdr:sp>
      </mc:Choice>
      <mc:Fallback xmlns="">
        <xdr:sp macro="" textlink="">
          <xdr:nvSpPr>
            <xdr:cNvPr id="10" name="TextBox 9">
              <a:extLst>
                <a:ext uri="{FF2B5EF4-FFF2-40B4-BE49-F238E27FC236}">
                  <a16:creationId xmlns:a16="http://schemas.microsoft.com/office/drawing/2014/main" id="{E4A76611-2242-450B-A203-A2BE5A365185}"/>
                </a:ext>
              </a:extLst>
            </xdr:cNvPr>
            <xdr:cNvSpPr txBox="1"/>
          </xdr:nvSpPr>
          <xdr:spPr>
            <a:xfrm>
              <a:off x="2676525" y="6819900"/>
              <a:ext cx="226523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𝐹𝐹𝑂𝐷_𝑐=𝐹𝐹𝑂𝐷_(𝑐,𝑏𝑎𝑙𝑒𝑑)+𝐹𝐹𝑂𝐷_(𝑐,𝑜𝑡ℎ𝑒𝑟)</a:t>
              </a:r>
              <a:endParaRPr lang="en-AU" sz="1100"/>
            </a:p>
          </xdr:txBody>
        </xdr:sp>
      </mc:Fallback>
    </mc:AlternateContent>
    <xdr:clientData/>
  </xdr:oneCellAnchor>
  <xdr:oneCellAnchor>
    <xdr:from>
      <xdr:col>11</xdr:col>
      <xdr:colOff>295275</xdr:colOff>
      <xdr:row>42</xdr:row>
      <xdr:rowOff>147637</xdr:rowOff>
    </xdr:from>
    <xdr:ext cx="5559406" cy="165366"/>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12</xdr:col>
      <xdr:colOff>19050</xdr:colOff>
      <xdr:row>65</xdr:row>
      <xdr:rowOff>28575</xdr:rowOff>
    </xdr:from>
    <xdr:ext cx="2111860" cy="410753"/>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nary>
                  </m:oMath>
                </m:oMathPara>
              </a14:m>
              <a:endParaRPr lang="en-AU" sz="1100"/>
            </a:p>
          </xdr:txBody>
        </xdr:sp>
      </mc:Choice>
      <mc:Fallback xmlns="">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𝐸=∑_𝑐▒〖𝑀_𝑐×𝐸𝐹_𝑁×𝐶_(𝑔,𝑁2𝑂)×10^(−3)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nary>
                      <m:naryPr>
                        <m:chr m:val="∑"/>
                        <m:limLoc m:val="subSup"/>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e>
                        </m:d>
                      </m:e>
                    </m:nary>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𝐸_𝑁2𝑂=∑10_𝑝▒(𝑀_𝑝×𝐸𝐹_𝑁𝑖 ) ×𝐶_𝑁2𝑂×10^(−3)</a:t>
              </a:r>
              <a:endParaRPr lang="en-AU" sz="11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mlns="">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79595E21-FF86-43A2-9573-647953AF1605}"/>
                </a:ext>
              </a:extLst>
            </xdr:cNvPr>
            <xdr:cNvSpPr txBox="1"/>
          </xdr:nvSpPr>
          <xdr:spPr>
            <a:xfrm>
              <a:off x="26003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79595E21-FF86-43A2-9573-647953AF1605}"/>
                </a:ext>
              </a:extLst>
            </xdr:cNvPr>
            <xdr:cNvSpPr txBox="1"/>
          </xdr:nvSpPr>
          <xdr:spPr>
            <a:xfrm>
              <a:off x="26003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𝐸_𝑁2O=∑_𝑝▒(𝑀_𝑝×𝐸𝐹_𝑁𝑖×𝐶_𝑁2𝑂×10^(−3)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968D220-90DE-48A9-90C2-1DAB676B920B}"/>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1968D220-90DE-48A9-90C2-1DAB676B920B}"/>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246DCD0-83A0-4E05-A131-CEF316CE933C}"/>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246DCD0-83A0-4E05-A131-CEF316CE933C}"/>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𝐸_𝑁2𝑂=∑10_𝑐▒∑10_𝑝▒(𝑀_(𝑙𝑒𝑎𝑐ℎ,𝑐𝑝)×𝐸𝐹_𝑙𝑒𝑎𝑐ℎ×𝐶_𝑁2𝑂×10^(−3)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9525</xdr:colOff>
      <xdr:row>7</xdr:row>
      <xdr:rowOff>114300</xdr:rowOff>
    </xdr:from>
    <xdr:ext cx="2544606" cy="17665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5DE2AA7-4C7B-4657-AD41-E51AF8ABBD98}"/>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75DE2AA7-4C7B-4657-AD41-E51AF8ABBD98}"/>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𝑀_(𝑏𝑢𝑟𝑛,𝑐)=𝑃_𝑐×𝑅_𝐴𝐺𝑐×𝑆_𝑐×𝐷𝑀_𝑐×𝑍_𝑐×𝐹_𝑐</a:t>
              </a:r>
              <a:endParaRPr lang="en-AU" sz="1100"/>
            </a:p>
          </xdr:txBody>
        </xdr:sp>
      </mc:Fallback>
    </mc:AlternateContent>
    <xdr:clientData/>
  </xdr:oneCellAnchor>
  <xdr:oneCellAnchor>
    <xdr:from>
      <xdr:col>2</xdr:col>
      <xdr:colOff>300037</xdr:colOff>
      <xdr:row>27</xdr:row>
      <xdr:rowOff>28575</xdr:rowOff>
    </xdr:from>
    <xdr:ext cx="3330079"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B935B8C-49BA-4FE1-908F-9B84A7830754}"/>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BB935B8C-49BA-4FE1-908F-9B84A7830754}"/>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𝐸_𝑁2𝑂=∑10_𝑐▒(𝑀_(𝑏𝑢𝑟𝑛,𝑐)×𝑁𝐶_𝐴𝐺𝑐 ) ×𝐸𝐹_𝑁2𝑂×𝐶_𝑁2𝑂×10^(−3)</a:t>
              </a:r>
              <a:endParaRPr lang="en-AU" sz="1100"/>
            </a:p>
          </xdr:txBody>
        </xdr:sp>
      </mc:Fallback>
    </mc:AlternateContent>
    <xdr:clientData/>
  </xdr:oneCellAnchor>
  <xdr:oneCellAnchor>
    <xdr:from>
      <xdr:col>2</xdr:col>
      <xdr:colOff>300037</xdr:colOff>
      <xdr:row>50</xdr:row>
      <xdr:rowOff>28575</xdr:rowOff>
    </xdr:from>
    <xdr:ext cx="3148105" cy="31290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1536FF2F-7E95-4B3D-B650-98D67BFF519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1536FF2F-7E95-4B3D-B650-98D67BFF519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𝐸_𝐶𝐻4=∑10_𝑐▒(𝑀_(𝑏𝑢𝑟𝑛,𝑐)×𝐶𝐶_𝑐 ) ×𝐸𝐹_𝐶𝐻4×𝐶_𝐶𝐻4×10^(−3)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Old\GAF2-Template-WIP-v30.xlsx" TargetMode="External"/><Relationship Id="rId1" Type="http://schemas.openxmlformats.org/officeDocument/2006/relationships/externalLinkPath" Target="Old/GAF2-Template-WIP-v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 - MMS - Feedlot"/>
      <sheetName val="Calcs - CH4 MMS Feedlot"/>
      <sheetName val="Input - MMS - Poultry"/>
      <sheetName val="Calcs - CH4 MMS Poultry"/>
      <sheetName val="Input - Herd - Swine"/>
      <sheetName val="Input - MMS - Swine"/>
      <sheetName val="Calcs - CH4 MMS Swine"/>
      <sheetName val="Tab template"/>
      <sheetName val="Results"/>
      <sheetName val="Input - Site"/>
      <sheetName val="Input - Production"/>
      <sheetName val="Input - Herd - Dairy"/>
      <sheetName val="Input - Feed - Dairy"/>
      <sheetName val="Input - Herd - Feedlot"/>
      <sheetName val="Input - Grains"/>
      <sheetName val="Input - Pasture"/>
      <sheetName val="Input - Fert Lime Chem"/>
      <sheetName val="Input - Fuel &amp; Energy"/>
      <sheetName val="Input - Other Farm Inputs"/>
      <sheetName val="Input - Aquaculture"/>
      <sheetName val="Input - Data Quality"/>
      <sheetName val="Input - LULUCF"/>
      <sheetName val="Calcs - Fert Lime"/>
      <sheetName val="Calcs - Residue mgmt - Crop"/>
      <sheetName val="Calcs - Residue mgmt - Pasture"/>
      <sheetName val="Calcs - Field burning"/>
      <sheetName val="Calcs - Fuel"/>
      <sheetName val="Calcs - Electricity"/>
      <sheetName val="Calcs - Refrigerants"/>
      <sheetName val="Calcs - Scope 3"/>
      <sheetName val="Constants - Common"/>
      <sheetName val="Constants - Cropping"/>
      <sheetName val="Constants - Livestock"/>
      <sheetName val="Constants - Dairy"/>
      <sheetName val="Constants - Feedlot"/>
      <sheetName val="Sty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9">
          <cell r="E9" t="str">
            <v>Wheat</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F7211C-A71E-4F6D-A358-4E6EB133956B}"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1EC8425C-19BD-4F2B-BE37-5A6C190FA54F}" name="Crop type">
      <calculatedColumnFormula array="1">Common_InputFunctions.Utility_DisplayArrayInTable(Agresidue_SourceData.CropAttributes_Data(),Table_SourceData_CropAttributes[[#Headers],[Crop type]], -1)</calculatedColumnFormula>
    </tableColumn>
    <tableColumn id="2" xr3:uid="{CBEF375B-D817-45D6-849F-65178CB10FFE}" name="Residue: Crop ratio">
      <calculatedColumnFormula array="1">Common_InputFunctions.Utility_DisplayArrayInTable(Agresidue_SourceData.CropAttributes_Data(),Table_SourceData_CropAttributes[[#Headers],[Crop type]], -1)</calculatedColumnFormula>
    </tableColumn>
    <tableColumn id="3" xr3:uid="{B65386B8-01B5-4086-9D4F-090882108C07}" name="Below-ground: above-ground residue ratio">
      <calculatedColumnFormula array="1">Common_InputFunctions.Utility_DisplayArrayInTable(Agresidue_SourceData.CropAttributes_Data(),Table_SourceData_CropAttributes[[#Headers],[Crop type]], -1)</calculatedColumnFormula>
    </tableColumn>
    <tableColumn id="4" xr3:uid="{C9DB41EE-18C0-487A-B25B-E90C0A14F2C3}" name="Dry matter content">
      <calculatedColumnFormula array="1">Common_InputFunctions.Utility_DisplayArrayInTable(Agresidue_SourceData.CropAttributes_Data(),Table_SourceData_CropAttributes[[#Headers],[Crop type]], -1)</calculatedColumnFormula>
    </tableColumn>
    <tableColumn id="5" xr3:uid="{18C569B1-AAF4-4080-8509-D4AC5E59D253}" name="Carbon fraction in dry matter">
      <calculatedColumnFormula array="1">Common_InputFunctions.Utility_DisplayArrayInTable(Agresidue_SourceData.CropAttributes_Data(),Table_SourceData_CropAttributes[[#Headers],[Crop type]], -1)</calculatedColumnFormula>
    </tableColumn>
    <tableColumn id="6" xr3:uid="{29C03DA2-AA0C-4396-A223-37D62FD0A77C}" name="N content above-ground">
      <calculatedColumnFormula array="1">Common_InputFunctions.Utility_DisplayArrayInTable(Agresidue_SourceData.CropAttributes_Data(),Table_SourceData_CropAttributes[[#Headers],[Crop type]], -1)</calculatedColumnFormula>
    </tableColumn>
    <tableColumn id="7" xr3:uid="{E04BBA94-5C0E-4F1C-A813-456293B55F71}" name="N content below-ground">
      <calculatedColumnFormula array="1">Common_InputFunctions.Utility_DisplayArrayInTable(Agresidue_SourceData.CropAttributes_Data(),Table_SourceData_CropAttributes[[#Headers],[Crop type]], -1)</calculatedColumnFormula>
    </tableColumn>
    <tableColumn id="8" xr3:uid="{4455E2B9-7BA4-478A-8050-879C5AEF8411}"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40821647-085A-4F22-8E0F-4CAA40A363E6}"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D0B032-9881-4EF1-81E3-483C7C16D9D0}" name="Table76" displayName="Table76" ref="D73:F89" totalsRowShown="0">
  <autoFilter ref="D73:F89" xr:uid="{7CD0B032-9881-4EF1-81E3-483C7C16D9D0}">
    <filterColumn colId="0" hiddenButton="1"/>
    <filterColumn colId="1" hiddenButton="1"/>
    <filterColumn colId="2" hiddenButton="1"/>
  </autoFilter>
  <tableColumns count="3">
    <tableColumn id="1" xr3:uid="{6FD2CE65-BF9A-4E21-A9CE-80870270DECD}" name="Crop type c">
      <calculatedColumnFormula array="1">Common_InputFunctions.Utility_DisplayArrayInTable(Agresidue_SourceData.CropFractionRemoved_Data(), Table76[[#Headers],[Crop type c]], 0)</calculatedColumnFormula>
    </tableColumn>
    <tableColumn id="2" xr3:uid="{3CAAA707-49F5-4EAC-B48E-E8DC1B8205E1}" name="State" dataDxfId="29">
      <calculatedColumnFormula array="1">Common_InputFunctions.Utility_DisplayArrayInTable(Agresidue_SourceData.CropFractionRemoved_Data(), Table76[[#Headers],[Crop type c]], 0)</calculatedColumnFormula>
    </tableColumn>
    <tableColumn id="3" xr3:uid="{BB1819D3-B175-4610-A8F6-4C85437820E5}" name="Fraction removed" dataDxfId="28">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A7CC86-1C1E-41FA-9AA1-AAD48AA2EEF0}" name="Table77" displayName="Table77" ref="D92:F235" totalsRowShown="0">
  <autoFilter ref="D92:F235" xr:uid="{1FA7CC86-1C1E-41FA-9AA1-AAD48AA2EEF0}">
    <filterColumn colId="0" hiddenButton="1"/>
    <filterColumn colId="1" hiddenButton="1"/>
    <filterColumn colId="2" hiddenButton="1"/>
  </autoFilter>
  <tableColumns count="3">
    <tableColumn id="1" xr3:uid="{049E50B7-80D0-4C4A-AACF-92CF67DE19B6}" name="Crop type c">
      <calculatedColumnFormula array="1">Common_InputFunctions.Utility_DisplayArrayInTable(Agresidue_SourceData.CropFractionRemoved_CustomisedData(), Table77[[#Headers],[Crop type c]], 0)</calculatedColumnFormula>
    </tableColumn>
    <tableColumn id="2" xr3:uid="{8664DFEF-27FD-41CC-8EAA-DB47D755C823}" name="State" dataDxfId="27">
      <calculatedColumnFormula array="1">Common_InputFunctions.Utility_DisplayArrayInTable(Agresidue_SourceData.CropFractionRemoved_CustomisedData(), Table77[[#Headers],[Crop type c]], 0)</calculatedColumnFormula>
    </tableColumn>
    <tableColumn id="3" xr3:uid="{D6D9A758-CEA4-4B65-BD5F-735FB1C52F87}" name="Fraction removed" dataDxfId="26">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70AB6D-D03A-4D71-95C0-00BA6BB02732}" name="Table_SourceData_N2OEFOrganicFert" displayName="Table_SourceData_N2OEFOrganicFert" ref="D43:E45" totalsRowShown="0" dataDxfId="25" dataCellStyle="Content bold">
  <autoFilter ref="D43:E45" xr:uid="{2270AB6D-D03A-4D71-95C0-00BA6BB02732}">
    <filterColumn colId="0" hiddenButton="1"/>
    <filterColumn colId="1" hiddenButton="1"/>
  </autoFilter>
  <tableColumns count="2">
    <tableColumn id="1" xr3:uid="{C1F5DE5C-442A-47C8-B53B-A669D141AC48}" name="Climate zone type i" dataDxfId="24" dataCellStyle="Content bold">
      <calculatedColumnFormula array="1">Common_InputFunctions.Utility_DisplayArrayInTable(Agresidue_SourceData.N2OEFOrganicFertiliser_Data(), Table_SourceData_N2OEFOrganicFert[[#Headers],[Climate zone type i]], 0)</calculatedColumnFormula>
    </tableColumn>
    <tableColumn id="2" xr3:uid="{0B992E9C-FEE4-422E-9A8F-E4AA59791F47}" name="EF i N2O" dataDxfId="23"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AE5C0F-BD48-43B0-80A1-E554D23A8F67}" name="Table_SourceData_PastureAttributes" displayName="Table_SourceData_PastureAttributes" ref="D51:I56" totalsRowShown="0" dataDxfId="22"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1838B418-F6EE-47A1-B9FC-0647B6C84134}" name="Pasture type" dataDxfId="21" dataCellStyle="Content normal">
      <calculatedColumnFormula array="1">Common_InputFunctions.Utility_DisplayArrayInTable(Agresidue_SourceData.PastureAttributes_Data(), Table_SourceData_PastureAttributes[[#Headers],[Pasture type]], 0)</calculatedColumnFormula>
    </tableColumn>
    <tableColumn id="2" xr3:uid="{873E13DA-944F-4361-8ECD-8EA6A285C43B}" name="Average Yield (t DM ha) Yp" dataDxfId="20" dataCellStyle="Content normal">
      <calculatedColumnFormula array="1">Common_InputFunctions.Utility_DisplayArrayInTable(Agresidue_SourceData.PastureAttributes_Data(), Table_SourceData_PastureAttributes[[#Headers],[Pasture type]], 0)</calculatedColumnFormula>
    </tableColumn>
    <tableColumn id="3" xr3:uid="{02527ED8-93BF-4F3A-8866-8E901E417C28}" name="Below-ground: above-ground residue ratio RBGp" dataDxfId="19" dataCellStyle="Content normal">
      <calculatedColumnFormula array="1">Common_InputFunctions.Utility_DisplayArrayInTable(Agresidue_SourceData.PastureAttributes_Data(), Table_SourceData_PastureAttributes[[#Headers],[Pasture type]], 0)</calculatedColumnFormula>
    </tableColumn>
    <tableColumn id="4" xr3:uid="{E0539BAE-485C-4C9E-A978-EF37B49B7CA0}" name="N content Above-ground NCAGp" dataDxfId="18" dataCellStyle="Content normal">
      <calculatedColumnFormula array="1">Common_InputFunctions.Utility_DisplayArrayInTable(Agresidue_SourceData.PastureAttributes_Data(), Table_SourceData_PastureAttributes[[#Headers],[Pasture type]], 0)</calculatedColumnFormula>
    </tableColumn>
    <tableColumn id="5" xr3:uid="{6B8DA215-9C35-4A18-9209-8BA7D350605B}" name="N content Below-ground NCBGp" dataDxfId="17" dataCellStyle="Content normal">
      <calculatedColumnFormula array="1">Common_InputFunctions.Utility_DisplayArrayInTable(Agresidue_SourceData.PastureAttributes_Data(), Table_SourceData_PastureAttributes[[#Headers],[Pasture type]], 0)</calculatedColumnFormula>
    </tableColumn>
    <tableColumn id="6" xr3:uid="{96E943F4-C0CA-4C28-8B72-47D33522B954}" name="Fraction of pasture yield that is removed FFODp" dataDxfId="16"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F5439AB-496D-443A-987D-2B47D1EC32A7}"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AA486717-CEAE-4ABC-8844-B1C3E6D1678A}" name="Gas species">
      <calculatedColumnFormula array="1">Common_InputFunctions.Utility_DisplayArrayInTable(AgResidues_SourceData.BurningOfAgriculturalResiduesEFs_Data(), Table_SourceData_BurningResidueEFs[[#Headers],[Gas species]], 0)</calculatedColumnFormula>
    </tableColumn>
    <tableColumn id="2" xr3:uid="{79796003-A994-46BF-ACB6-AECF4F1CD710}" name="Emission factor EFg (Gg element in species/ Gg element in fuel burnt)" dataDxfId="15" dataCellStyle="Content normal">
      <calculatedColumnFormula array="1">Common_InputFunctions.Utility_DisplayArrayInTable(AgResidues_SourceData.BurningOfAgriculturalResiduesEFs_Data(), Table_SourceData_BurningResidueEFs[[#Headers],[Gas species]], 0)</calculatedColumnFormula>
    </tableColumn>
    <tableColumn id="3" xr3:uid="{981D8431-0BB9-4F9D-BDD4-ED5B545ADC76}" name="Elemental to molecular mass conversion factor (Cg)" dataDxfId="14"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2BEDD81-DD4E-48EE-9D36-B81EDA1F3FAE}" name="Table_SourceData_CropPurposeAndYields" displayName="Table_SourceData_CropPurposeAndYields" ref="D7:K10" totalsRowShown="0" headerRowDxfId="13">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9DD535A-77F7-423C-8CFD-670236F0115D}" name="Purpose">
      <calculatedColumnFormula array="1">Common_InputFunctions.Utility_DisplayArrayInTable(Agresidue_SourceData.CropPurposeAndYield_Data(), Table_SourceData_CropPurposeAndYields[[#Headers],[Purpose]], 0)</calculatedColumnFormula>
    </tableColumn>
    <tableColumn id="2" xr3:uid="{6A0A741A-D7B1-4817-B9F8-958D74C38EDF}" name="Per hectare unit">
      <calculatedColumnFormula array="1">Common_InputFunctions.Utility_DisplayArrayInTable(Agresidue_SourceData.CropPurposeAndYield_Data(), Table_SourceData_CropPurposeAndYields[[#Headers],[Purpose]], 0)</calculatedColumnFormula>
    </tableColumn>
    <tableColumn id="3" xr3:uid="{E5AB5C25-7560-4000-AD35-65ACF06C7737}" name="harvest term">
      <calculatedColumnFormula array="1">Common_InputFunctions.Utility_DisplayArrayInTable(Agresidue_SourceData.CropPurposeAndYield_Data(), Table_SourceData_CropPurposeAndYields[[#Headers],[Purpose]], 0)</calculatedColumnFormula>
    </tableColumn>
    <tableColumn id="4" xr3:uid="{88D6F5F4-EF2C-41D4-9046-1BDB27F66663}" name="harvest endpoint">
      <calculatedColumnFormula array="1">Common_InputFunctions.Utility_DisplayArrayInTable(Agresidue_SourceData.CropPurposeAndYield_Data(), Table_SourceData_CropPurposeAndYields[[#Headers],[Purpose]], 0)</calculatedColumnFormula>
    </tableColumn>
    <tableColumn id="5" xr3:uid="{A2A11291-D805-49EA-9025-EB73C0E860E5}" name="Harvest uit">
      <calculatedColumnFormula array="1">Common_InputFunctions.Utility_DisplayArrayInTable(Agresidue_SourceData.CropPurposeAndYield_Data(), Table_SourceData_CropPurposeAndYields[[#Headers],[Purpose]], 0)</calculatedColumnFormula>
    </tableColumn>
    <tableColumn id="6" xr3:uid="{A41EC583-4AE6-4929-8E67-62D2AE655F60}" name="Yield note">
      <calculatedColumnFormula array="1">Common_InputFunctions.Utility_DisplayArrayInTable(Agresidue_SourceData.CropPurposeAndYield_Data(), Table_SourceData_CropPurposeAndYields[[#Headers],[Purpose]], 0)</calculatedColumnFormula>
    </tableColumn>
    <tableColumn id="8" xr3:uid="{8BE31AE8-A08C-4333-A86E-37C71E1829E3}" name="Residue crop ratio note">
      <calculatedColumnFormula array="1">Common_InputFunctions.Utility_DisplayArrayInTable(Agresidue_SourceData.CropPurposeAndYield_Data(), Table_SourceData_CropPurposeAndYields[[#Headers],[Purpose]], 0)</calculatedColumnFormula>
    </tableColumn>
    <tableColumn id="9" xr3:uid="{796A7FB8-5F67-4075-92BE-CF6B0CB24E24}"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AC5909E-E06C-4A79-81E9-C25A0B6D9E90}" name="Table_SourceData_Fertiliser_IrrigationMethods" displayName="Table_SourceData_Fertiliser_IrrigationMethods" ref="N21:N26" totalsRowShown="0">
  <autoFilter ref="N21:N26" xr:uid="{1AC5909E-E06C-4A79-81E9-C25A0B6D9E90}">
    <filterColumn colId="0" hiddenButton="1"/>
  </autoFilter>
  <tableColumns count="1">
    <tableColumn id="1" xr3:uid="{58E65523-E496-4D4A-BAFA-CE90F5141B0D}" name="Irrigation method"/>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4D72AE-1099-4C8E-B641-BABDB7A9E75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BD4618D-D005-4A02-A2F6-CE2429A7BCC5}" name="State/Territory">
      <calculatedColumnFormula array="1">Common_InputFunctions.Utility_DisplayArrayInTable(Common_SourceData.Common_SourceData_AustralianStatesTerritories_Data(),Table_AustralianStates[[#Headers],[State/Territory]],0)</calculatedColumnFormula>
    </tableColumn>
    <tableColumn id="2" xr3:uid="{C3B51FC6-18B6-479A-A1A1-D9A47B3F8AFD}" name="Common Name">
      <calculatedColumnFormula array="1">Common_InputFunctions.Utility_DisplayArrayInTable(Common_SourceData.Common_SourceData_AustralianStatesTerritories_Data(),Table_AustralianStates[[#Headers],[State/Territory]],0)</calculatedColumnFormula>
    </tableColumn>
    <tableColumn id="3" xr3:uid="{72368A62-93DB-4CD4-BE4B-B0A39D41D212}"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2EA1FBF-5F2C-425D-ABE6-8499619D4751}" name="Table_WASA4Areas" displayName="Table_WASA4Areas" ref="D20:D30" totalsRowShown="0">
  <autoFilter ref="D20:D30" xr:uid="{5FA81339-C6C8-4D36-BEEA-6C4AEDD9E676}">
    <filterColumn colId="0" hiddenButton="1"/>
  </autoFilter>
  <tableColumns count="1">
    <tableColumn id="1" xr3:uid="{CA89749D-BBFC-4AB9-8AF1-258E8CDA4E8B}"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FC6FF0F-21B3-458C-ADE6-0EEA76A61635}" name="Table_GWPData" displayName="Table_GWPData" ref="D36:E43" totalsRowShown="0">
  <autoFilter ref="D36:E43" xr:uid="{B8E87A66-3E41-4AD3-925D-01EE21B43D7A}">
    <filterColumn colId="0" hiddenButton="1"/>
    <filterColumn colId="1" hiddenButton="1"/>
  </autoFilter>
  <tableColumns count="2">
    <tableColumn id="1" xr3:uid="{ECDE723F-7415-4863-97D8-444684B43DAE}" name="Gas">
      <calculatedColumnFormula array="1">Common_InputFunctions.Utility_DisplayArrayInTable(Common_SourceData.Common_SourceData_GWP_Data(), Table_GWPData[[#Headers],[Gas]], 0)</calculatedColumnFormula>
    </tableColumn>
    <tableColumn id="2" xr3:uid="{415CD21A-4663-4A39-9858-FD148308E98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59F33D9-E420-40F0-9DDD-3D19C17F934C}"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200F383-3EDB-4A28-AC76-DAF0AB3D90CE}" name="Gas">
      <calculatedColumnFormula array="1">Common_InputFunctions.Utility_DisplayArrayInTable(Common_SourceData.Common_SourceData_ConvertGasElementalToMolecular_Data(),Table_GasToMolecularConversionFactor[[#Headers],[Gas]], 0)</calculatedColumnFormula>
    </tableColumn>
    <tableColumn id="5" xr3:uid="{31FE8040-4D42-4E90-81DE-959B7221D1D0}" name="Conversion factor">
      <calculatedColumnFormula array="1">Common_InputFunctions.Utility_DisplayArrayInTable(Common_SourceData.Common_SourceData_ConvertGasElementalToMolecular_Data(),Table_GasToMolecularConversionFactor[[#Headers],[Gas]], 0)</calculatedColumnFormula>
    </tableColumn>
    <tableColumn id="2" xr3:uid="{D258343C-F9A4-4549-A33F-D5753CAF2E0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E30A0F0-1A64-4EDC-886E-C68A4A45747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FAECF81-54BF-40CB-ADA7-8AA192DD81C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DC0FC57-8662-4A1B-A7B6-C15D341AF50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3310468-F448-4840-9D23-7B97A9273DF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2C46D09-4C51-41CF-8F33-248F2C492D25}" name="MAT" totalsRowDxfId="65" totalsRowCellStyle="Content bold">
      <calculatedColumnFormula array="1">Common_InputFunctions.Utility_DisplayArrayInTable(Common_SourceData.Common_SourceData_ClimateZones_Data(), Table_SourceData_ClimateZones[[#Headers],[Climate zone]], 0)</calculatedColumnFormula>
    </tableColumn>
    <tableColumn id="3" xr3:uid="{1E21332D-3F16-4953-B495-58AFDCA6D1DF}" name="MAP" totalsRowDxfId="64" totalsRowCellStyle="Content bold">
      <calculatedColumnFormula array="1">Common_InputFunctions.Utility_DisplayArrayInTable(Common_SourceData.Common_SourceData_ClimateZones_Data(), Table_SourceData_ClimateZones[[#Headers],[Climate zone]], 0)</calculatedColumnFormula>
    </tableColumn>
    <tableColumn id="4" xr3:uid="{B629E4D9-DC24-4749-9E65-6B58F288E43C}" name="Frost days per year"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5" xr3:uid="{6CAEBBC0-3FCE-4A74-8E50-D10374C179C2}" name="Elevation"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6" xr3:uid="{76E89EC3-AEDA-49AD-89A6-558AB4BAB6C7}" name="MAP:PET"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7" xr3:uid="{35BAB4F7-B76C-487E-BCDA-E5BDA004ACC2}" name="Min temp"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8" xr3:uid="{089CEAA9-034D-4699-AFA3-3DE691E42224}" name="Max temp"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9" xr3:uid="{4B404478-0A87-4483-A768-ED15A9F50EA7}" name="Min rainfall"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10" xr3:uid="{D72CFE6A-3F99-4ABF-AC24-DF7E7DFFFB65}" name="Max rainfall"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11" xr3:uid="{7666A2F5-089E-4DCF-B288-845256D5841E}" name="Min frost days"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5" xr3:uid="{27C7F345-B498-45B4-9401-F70B3BF17347}" name="Max frost days"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2" xr3:uid="{8BB50D35-7FE0-4BC4-92F1-E024BE78CE58}" name="Min elevation"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6" xr3:uid="{B414653C-D8A1-4744-BA64-8E2E7D1A8D0D}" name="Max elevation"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3" xr3:uid="{A1F7AC64-95FB-405D-B3B5-C83532730531}" name="Min MAP:PET"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7" xr3:uid="{2655FBEB-CC8B-4994-84B4-3BADD0EA3036}" name="Max MAP:PET" totalsRowDxfId="5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E19E1BF-F52E-489A-86BC-8BF92E0DE8C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7E12FDC-1357-41EF-88F6-94D4F72FE5F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6201C564-907C-44C0-9F24-656FA52A3CFD}" name="Wet or Dry Zone" totalsRowDxfId="5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1F2755B-90F2-45A5-B269-EC98523EF04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3B335BF-1D4B-47A5-8591-96D89DA20A3C}" name="Temperature Zone">
      <calculatedColumnFormula array="1">Common_InputFunctions.Utility_DisplayArrayInTable(Common_SourceData.Common_SourceData_TemperatureZones_Data(),Table_SourceData_TemperatureZones[[#Headers],[Temperature Zone]],0)</calculatedColumnFormula>
    </tableColumn>
    <tableColumn id="2" xr3:uid="{03CEC008-9990-4C41-9129-925EDA4285E1}" name="MAT">
      <calculatedColumnFormula array="1">Common_InputFunctions.Utility_DisplayArrayInTable(Common_SourceData.Common_SourceData_TemperatureZones_Data(),Table_SourceData_TemperatureZones[[#Headers],[Temperature Zone]],0)</calculatedColumnFormula>
    </tableColumn>
    <tableColumn id="3" xr3:uid="{0C8F4AD7-8ACF-46EB-B427-042CAFBCF1C7}" name="Min MAT">
      <calculatedColumnFormula array="1">Common_InputFunctions.Utility_DisplayArrayInTable(Common_SourceData.Common_SourceData_TemperatureZones_Data(),Table_SourceData_TemperatureZones[[#Headers],[Temperature Zone]],0)</calculatedColumnFormula>
    </tableColumn>
    <tableColumn id="4" xr3:uid="{101CA768-2CBD-42E0-B528-1A3B30C9CCC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FF9849B-A998-4EF0-A50E-86CBA16E27BA}"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87C73D22-7C15-4E26-856C-5A31F1CDEA25}" name="Rainfall Zone">
      <calculatedColumnFormula array="1">Common_InputFunctions.Utility_DisplayArrayInTable(Common_SourceData.Common_SourceData_RainfallZones_Data(),Table_SourceData_RainfallZones[[#Headers],[Rainfall Zone]],0)</calculatedColumnFormula>
    </tableColumn>
    <tableColumn id="2" xr3:uid="{3F465077-C442-4A02-B331-2C854377A9D2}" name="Annual rainfall">
      <calculatedColumnFormula array="1">Common_InputFunctions.Utility_DisplayArrayInTable(Common_SourceData.Common_SourceData_RainfallZones_Data(),Table_SourceData_RainfallZones[[#Headers],[Rainfall Zone]],0)</calculatedColumnFormula>
    </tableColumn>
    <tableColumn id="3" xr3:uid="{2D36C837-7BC4-4E34-80F1-776B7B7A7F9B}" name="Min rainfall">
      <calculatedColumnFormula array="1">Common_InputFunctions.Utility_DisplayArrayInTable(Common_SourceData.Common_SourceData_RainfallZones_Data(),Table_SourceData_RainfallZones[[#Headers],[Rainfall Zone]],0)</calculatedColumnFormula>
    </tableColumn>
    <tableColumn id="4" xr3:uid="{F7951BB1-7431-45BD-9900-5B1CD70C9F6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6D7FD53-E498-4A76-913E-A27C0349D72D}"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46D03D3-EFCA-49DC-979E-10F92839AFFE}" name="Leaching Zone">
      <calculatedColumnFormula array="1">Common_InputFunctions.Utility_DisplayArrayInTable(Common_SourceData.Common_SourceData_LeachingZones_Data(), Table_SourceData_LeachingZones[[#Headers],[Leaching Zone]], 0)</calculatedColumnFormula>
    </tableColumn>
    <tableColumn id="2" xr3:uid="{63A395B6-6F3A-4FFE-8C25-5E738F145305}"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FB19A60-83D7-464A-BD92-D6BE719F10F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5BFDB36-1A35-4EB3-A8E7-D51F51DA348A}" name="Data source">
      <calculatedColumnFormula array="1">Common_InputFunctions.Utility_DisplayArrayInTable(Common_SourceData.Common_SourceData_DataScores_Scope3_Data(), Table_SourceData_DataScores_Scope3[[#Headers],[Data source]], 0)</calculatedColumnFormula>
    </tableColumn>
    <tableColumn id="2" xr3:uid="{780F2395-0E08-4B4F-BA36-CF11FF99576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C638743-BCFD-4588-A641-2D5C7D5295AB}" name="Table_SourceData_FracWET" displayName="Table_SourceData_FracWET" ref="D134:E136" totalsRowShown="0">
  <autoFilter ref="D134:E136" xr:uid="{308E99BE-FE1F-47A4-B2CA-97217277C4E9}">
    <filterColumn colId="0" hiddenButton="1"/>
    <filterColumn colId="1" hiddenButton="1"/>
  </autoFilter>
  <tableColumns count="2">
    <tableColumn id="1" xr3:uid="{3C2642A0-4935-40A4-8F80-249D8A40B2A9}" name="Is in leaching zone">
      <calculatedColumnFormula array="1">Common_InputFunctions.Utility_DisplayArrayInTable(Common_SourceData.Common_SourceData_FracWET_Data(),Table_SourceData_FracWET[[#Headers],[Is in leaching zone]],0)</calculatedColumnFormula>
    </tableColumn>
    <tableColumn id="2" xr3:uid="{2F972032-EFA9-4859-9F16-971F82F3C3C6}" name="FracWET" dataDxfId="4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02B8564-66AD-43BD-8C6E-E74AF15DFA0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DCF75D29-4FE8-433B-8EA3-3AE18BAB2AB7}" name="Production system j">
      <calculatedColumnFormula array="1">Common_InputFunctions.Utility_DisplayArrayInTable(Common_SourceData.Common_SourceData_EFN2O_Data(), Table_SourceData_Common_EFN2O[[#Headers],[Production system j]], 0)</calculatedColumnFormula>
    </tableColumn>
    <tableColumn id="2" xr3:uid="{1F852024-C3AD-49B6-AB69-261AF781072B}" name="EFN2O">
      <calculatedColumnFormula array="1">Common_InputFunctions.Utility_DisplayArrayInTable(Common_SourceData.Common_SourceData_EFN2O_Data(), Table_SourceData_Common_EFN2O[[#Headers],[Production system j]], 0)</calculatedColumnFormula>
    </tableColumn>
    <tableColumn id="3" xr3:uid="{0C2F7CFF-F5D7-4CE9-A33D-DC1DCCDB9C7E}" name="Production system only">
      <calculatedColumnFormula array="1">Common_InputFunctions.Utility_DisplayArrayInTable(Common_SourceData.Common_SourceData_EFN2O_Data(), Table_SourceData_Common_EFN2O[[#Headers],[Production system j]], 0)</calculatedColumnFormula>
    </tableColumn>
    <tableColumn id="4" xr3:uid="{8D42A163-EFB7-4E92-A731-E48ACCAB7033}" name="Irrigation method">
      <calculatedColumnFormula array="1">Common_InputFunctions.Utility_DisplayArrayInTable(Common_SourceData.Common_SourceData_EFN2O_Data(), Table_SourceData_Common_EFN2O[[#Headers],[Production system j]], 0)</calculatedColumnFormula>
    </tableColumn>
    <tableColumn id="5" xr3:uid="{CAD996CB-3835-441F-AF99-65BDC4F27AE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F919364D-6F84-47AC-8AB0-5857A8DC38D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49258DB-F75A-4EBF-A710-C1EE31702734}" name="Irrigation type i">
      <calculatedColumnFormula array="1">Common_InputFunctions.Utility_DisplayArrayInTable(Common_SourceData.Common_SourceData_FracWETIrrigation_Data(), Table_SourceData_FracWETIrrigation[[#Headers],[Irrigation type i]], 0)</calculatedColumnFormula>
    </tableColumn>
    <tableColumn id="2" xr3:uid="{E4D2C662-73D0-493D-9A77-742997AECD72}" name="FracWET" dataDxfId="4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617F714-4AFE-42E1-BB7E-AEFD3DA892D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0E23C0C-7F94-405E-BA69-DAD756D69E9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7E7A1DE-267A-4501-8460-07C0CFD86784}" name="EFPRP" dataDxfId="4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2408AA1-FDD9-4143-8547-AEFE25FA553E}"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0C58677-C24E-4A1A-9943-E32A7FB69CD9}" name="Month">
      <calculatedColumnFormula array="1">Common_InputFunctions.Utility_DisplayArrayInTable(Common_SourceData.Common_SourceData_MonthsToSeasons_Data(), Table_SourceData_Common_MonthToSeason[[#Headers],[Month]], 0)</calculatedColumnFormula>
    </tableColumn>
    <tableColumn id="2" xr3:uid="{7C17C79F-B92B-4F4E-812D-890C3C9AA38E}" name="Season" dataDxfId="4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6AAF74B-B363-45CB-AEBB-9F11A90BADEC}"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E7CDCD6-6BF2-4E5A-A0A9-7259BA45FB4E}"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0E2B460F-2624-4E7A-8AAA-A1779016EAC5}" name="MAT (ºC)"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5B106A7A-85AA-4F96-830D-63834D821408}" name="Anaerobic lagoon" dataDxfId="4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6E2D4A9-7CC5-434C-A675-156EB6086CA4}" name="Digester / covered lagoons"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EA49349-06A2-4345-902E-28C88A40D531}" name="Liquid systems"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0596AE0-CC62-4479-B272-940E5AA09BF0}" name="Daily spread"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85369AC-6A82-4BDC-90AA-C60E87C77CA7}" name="Composting (passive windrow)"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6B80A7C-7F3C-4931-9AE6-3C8BFF3A05B4}" name="Solid storage"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FD34F53-6808-4FC9-B9A5-9401C92930D5}" name="Pit storage"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A11B1892-68A0-4B35-8D20-E6F1E1FF2995}" name="Deep litter"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31E4B652-05BA-4B95-BBD0-B2ED6710EFEE}" name="Poultry manure with bedding"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5C810F0-F22C-436F-B67A-E2329FE70BDA}" name="Poultry manure without bedding"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B43A27B-E03C-4D32-B16A-E99AFF2E9922}" name="Direct process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39EEC5D6-7562-45BF-9E4A-EE23DCC9F847}" name="Direct application"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CCD90574-4E9A-4F11-BD63-2F82E6A7B5E1}" name="Pasture range and paddock"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B7CC60A-C865-4625-B625-11B296B903CB}" name="MAT raw"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58C2D788-C74A-4ACA-A75F-066F3F185BB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9275F03-E5C8-45B4-AEB4-E9E9F5B8209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45363D1E-AA92-454E-9052-564634AB074D}" name="EFNi &amp; EFN2Oi" dataDxfId="3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5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3.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4.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26" t="s">
        <v>126</v>
      </c>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c r="AH1" s="127"/>
      <c r="AI1" s="127"/>
      <c r="AJ1" s="127"/>
      <c r="AK1" s="127"/>
      <c r="AL1" s="127"/>
      <c r="AM1" s="127"/>
      <c r="AN1" s="127"/>
      <c r="AO1" s="127"/>
    </row>
    <row r="2" spans="1:42" ht="20.100000000000001" customHeight="1" x14ac:dyDescent="0.25">
      <c r="A2" s="9"/>
      <c r="C2" s="127"/>
      <c r="D2" s="127"/>
      <c r="E2" s="127"/>
      <c r="F2" s="127"/>
      <c r="G2" s="127"/>
      <c r="H2" s="127"/>
      <c r="I2" s="127"/>
      <c r="J2" s="127"/>
      <c r="K2" s="127"/>
      <c r="L2" s="127"/>
      <c r="M2" s="127"/>
      <c r="N2" s="127"/>
      <c r="O2" s="127"/>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8"/>
    </row>
    <row r="3" spans="1:42" ht="20.100000000000001" customHeight="1" x14ac:dyDescent="0.25">
      <c r="A3" s="17" t="str">
        <f>HYPERLINK("#'Home'!A1", "Home")</f>
        <v>Home</v>
      </c>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row>
    <row r="4" spans="1:42" ht="20.100000000000001" customHeight="1" x14ac:dyDescent="0.25">
      <c r="A4" s="107" t="str">
        <f>HYPERLINK("#'Overview'!A1", "Overview")</f>
        <v>Overview</v>
      </c>
    </row>
    <row r="5" spans="1:42" ht="20.100000000000001" customHeight="1" x14ac:dyDescent="0.25">
      <c r="A5" s="17" t="str">
        <f>HYPERLINK("#'Results'!A1", "Results")</f>
        <v>Results</v>
      </c>
      <c r="D5" s="104" t="s">
        <v>124</v>
      </c>
      <c r="E5" s="85"/>
      <c r="F5" s="85"/>
      <c r="G5" s="85"/>
      <c r="H5" s="85"/>
      <c r="I5" s="85"/>
      <c r="J5" s="85"/>
      <c r="K5" s="85"/>
      <c r="L5" s="85"/>
      <c r="M5" s="85"/>
      <c r="N5" s="85"/>
      <c r="O5" s="81"/>
    </row>
    <row r="6" spans="1:42" ht="20.100000000000001" customHeight="1" x14ac:dyDescent="0.25">
      <c r="A6" s="16"/>
      <c r="D6" s="130" t="s">
        <v>125</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Crop'!A1", "Crop")</f>
        <v>Crop</v>
      </c>
    </row>
    <row r="10" spans="1:42" ht="20.100000000000001" customHeight="1" x14ac:dyDescent="0.25">
      <c r="A10" s="17" t="str">
        <f>HYPERLINK("#'Input - Pasture'!A1", "Pasture")</f>
        <v>Pasture</v>
      </c>
    </row>
    <row r="11" spans="1:42" ht="20.100000000000001" customHeight="1" x14ac:dyDescent="0.25"/>
    <row r="12" spans="1:42" ht="20.100000000000001" customHeight="1" x14ac:dyDescent="0.25">
      <c r="A12" s="19" t="s">
        <v>68</v>
      </c>
    </row>
    <row r="13" spans="1:42" ht="20.100000000000001" customHeight="1" x14ac:dyDescent="0.25">
      <c r="A13" s="17" t="str">
        <f>HYPERLINK("#'6.1.1.1-2 Crop residue N2O'!A1", "6.1.1.1-2 Crop residue N2O")</f>
        <v>6.1.1.1-2 Crop residue N2O</v>
      </c>
    </row>
    <row r="14" spans="1:42" ht="20.100000000000001" customHeight="1" x14ac:dyDescent="0.25">
      <c r="A14" s="17" t="str">
        <f>HYPERLINK("#'6.2.1.1-2 Pasture residue N2O'!A1", "6.2.1.1-2 Pasture residue N2O")</f>
        <v>6.2.1.1-2 Pasture residue N2O</v>
      </c>
    </row>
    <row r="15" spans="1:42" ht="20.100000000000001" customHeight="1" x14ac:dyDescent="0.25">
      <c r="A15" s="17" t="str">
        <f>HYPERLINK("#'6.3.1.1-2 Leaching and runoff'!A1", "6.3.1.1-2 Leaching and runoff")</f>
        <v>6.3.1.1-2 Leaching and runoff</v>
      </c>
    </row>
    <row r="16" spans="1:42" ht="20.100000000000001" customHeight="1" x14ac:dyDescent="0.25">
      <c r="A16" s="17" t="str">
        <f>HYPERLINK("#'6.4.1.1-2 Residue burning'!A1", "6.4.1.1-2 Residue burning")</f>
        <v>6.4.1.1-2 Residue burning</v>
      </c>
    </row>
    <row r="17" spans="1:1" ht="20.100000000000001" customHeight="1" x14ac:dyDescent="0.25">
      <c r="A17" s="17"/>
    </row>
    <row r="18" spans="1:1" ht="20.100000000000001" customHeight="1" x14ac:dyDescent="0.25">
      <c r="A18" s="18" t="s">
        <v>2</v>
      </c>
    </row>
    <row r="19" spans="1:1" ht="20.100000000000001" customHeight="1" x14ac:dyDescent="0.25">
      <c r="A19" s="17" t="str">
        <f>HYPERLINK("#'Constants - Ag Residue'!A1", "Constants - Ag Residue")</f>
        <v>Constants - Ag Residue</v>
      </c>
    </row>
    <row r="20" spans="1:1" ht="20.100000000000001" customHeight="1" x14ac:dyDescent="0.25">
      <c r="A20" s="17" t="str">
        <f>HYPERLINK("#'Constants - Common'!A1", "Constants - Common")</f>
        <v>Constants - Common</v>
      </c>
    </row>
    <row r="21" spans="1:1" ht="20.100000000000001" customHeight="1" x14ac:dyDescent="0.25"/>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122</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123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E17" sqref="E17"/>
    </sheetView>
  </sheetViews>
  <sheetFormatPr defaultRowHeight="15" x14ac:dyDescent="0.25"/>
  <cols>
    <col min="1" max="1" width="30.7109375" customWidth="1"/>
    <col min="2" max="3" width="2.7109375" customWidth="1"/>
    <col min="4" max="4" width="60" customWidth="1"/>
    <col min="5" max="6" width="30.7109375" customWidth="1"/>
    <col min="7" max="7" width="18.5703125" customWidth="1"/>
    <col min="8" max="9" width="30.7109375" customWidth="1"/>
    <col min="10" max="10" width="20" customWidth="1"/>
    <col min="11" max="11" width="7.42578125" customWidth="1"/>
    <col min="12" max="26" width="28.7109375" customWidth="1"/>
  </cols>
  <sheetData>
    <row r="1" spans="1:11" ht="30" customHeight="1" x14ac:dyDescent="0.35">
      <c r="A1" s="62" t="e" vm="1">
        <v>#VALUE!</v>
      </c>
      <c r="C1" s="126" t="s">
        <v>127</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7" t="str">
        <f>HYPERLINK("#'Results'!A1", "Results")</f>
        <v>Results</v>
      </c>
      <c r="C5" s="22"/>
      <c r="D5" s="26"/>
      <c r="E5" s="27"/>
      <c r="F5" s="27"/>
      <c r="G5" s="27"/>
      <c r="H5" s="24"/>
      <c r="I5" s="22"/>
      <c r="J5" s="22"/>
      <c r="K5" s="22"/>
    </row>
    <row r="6" spans="1:11" ht="20.100000000000001" customHeight="1" x14ac:dyDescent="0.25">
      <c r="A6" s="16"/>
      <c r="C6" s="22"/>
      <c r="D6" s="88" t="s">
        <v>121</v>
      </c>
      <c r="E6" s="83"/>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2" t="s">
        <v>81</v>
      </c>
      <c r="E8" s="102" t="s">
        <v>93</v>
      </c>
      <c r="F8" s="102" t="s">
        <v>94</v>
      </c>
      <c r="G8" s="102" t="s">
        <v>87</v>
      </c>
      <c r="H8" s="102" t="s">
        <v>95</v>
      </c>
      <c r="I8" s="102" t="s">
        <v>96</v>
      </c>
      <c r="J8" s="102" t="s">
        <v>88</v>
      </c>
      <c r="K8" s="22"/>
    </row>
    <row r="9" spans="1:11" ht="20.100000000000001" customHeight="1" x14ac:dyDescent="0.25">
      <c r="A9" s="17" t="str">
        <f>HYPERLINK("#'Input - Crop'!A1", "Crop")</f>
        <v>Crop</v>
      </c>
      <c r="C9" s="22"/>
      <c r="D9" s="1" t="s">
        <v>216</v>
      </c>
      <c r="E9" s="125">
        <f>'6.1.1.1-2 Crop residue N2O'!E42</f>
        <v>6.6792000000000012E-4</v>
      </c>
      <c r="F9" s="125">
        <f>'6.1.1.1-2 Crop residue N2O'!N77</f>
        <v>6.6792000000000012E-4</v>
      </c>
      <c r="G9" s="52" t="s">
        <v>99</v>
      </c>
      <c r="H9" s="100">
        <f>'6.1.1.1-2 Crop residue N2O'!E47</f>
        <v>0.17699880000000004</v>
      </c>
      <c r="I9" s="100">
        <f>'6.1.1.1-2 Crop residue N2O'!N82</f>
        <v>0.17699880000000004</v>
      </c>
      <c r="J9" s="52" t="s">
        <v>91</v>
      </c>
      <c r="K9" s="22"/>
    </row>
    <row r="10" spans="1:11" ht="20.100000000000001" customHeight="1" x14ac:dyDescent="0.25">
      <c r="A10" s="17" t="str">
        <f>HYPERLINK("#'Input - Pasture'!A1", "Pasture")</f>
        <v>Pasture</v>
      </c>
      <c r="C10" s="22"/>
      <c r="D10" s="1" t="s">
        <v>217</v>
      </c>
      <c r="E10" s="144">
        <f>'6.2.1.1-2 Pasture residue N2O'!E40</f>
        <v>5.8320428571428569E-7</v>
      </c>
      <c r="F10" s="144">
        <f>'6.2.1.1-2 Pasture residue N2O'!O40</f>
        <v>5.8320428571428569E-7</v>
      </c>
      <c r="G10" s="52" t="s">
        <v>99</v>
      </c>
      <c r="H10" s="100">
        <f>'6.2.1.1-2 Pasture residue N2O'!E45</f>
        <v>1.545491357142857E-4</v>
      </c>
      <c r="I10" s="100">
        <f>'6.2.1.1-2 Pasture residue N2O'!O45</f>
        <v>1.545491357142857E-4</v>
      </c>
      <c r="J10" s="52" t="s">
        <v>91</v>
      </c>
      <c r="K10" s="22"/>
    </row>
    <row r="11" spans="1:11" ht="20.100000000000001" customHeight="1" x14ac:dyDescent="0.25">
      <c r="C11" s="22"/>
      <c r="D11" s="1" t="s">
        <v>218</v>
      </c>
      <c r="E11" s="125">
        <f>'6.3.1.1-2 Leaching and runoff'!E48</f>
        <v>0</v>
      </c>
      <c r="F11" s="125">
        <f>'6.3.1.1-2 Leaching and runoff'!O48</f>
        <v>0</v>
      </c>
      <c r="G11" s="52" t="s">
        <v>99</v>
      </c>
      <c r="H11" s="100">
        <f>'6.3.1.1-2 Leaching and runoff'!E53</f>
        <v>0</v>
      </c>
      <c r="I11" s="100">
        <f>'6.3.1.1-2 Leaching and runoff'!O53</f>
        <v>0</v>
      </c>
      <c r="J11" s="52" t="s">
        <v>91</v>
      </c>
      <c r="K11" s="22"/>
    </row>
    <row r="12" spans="1:11" ht="20.100000000000001" customHeight="1" x14ac:dyDescent="0.25">
      <c r="A12" s="19" t="s">
        <v>68</v>
      </c>
      <c r="C12" s="22"/>
      <c r="D12" s="1" t="s">
        <v>219</v>
      </c>
      <c r="E12" s="125">
        <f>'6.4.1.1-2 Residue burning'!E39</f>
        <v>1.276930285714286E-4</v>
      </c>
      <c r="F12" s="125">
        <f>E12</f>
        <v>1.276930285714286E-4</v>
      </c>
      <c r="G12" s="52" t="s">
        <v>99</v>
      </c>
      <c r="H12" s="100">
        <f>'6.4.1.1-2 Residue burning'!E44</f>
        <v>3.3838652571428582E-2</v>
      </c>
      <c r="I12" s="100">
        <f>H12</f>
        <v>3.3838652571428582E-2</v>
      </c>
      <c r="J12" s="52" t="s">
        <v>91</v>
      </c>
      <c r="K12" s="22"/>
    </row>
    <row r="13" spans="1:11" ht="20.100000000000001" customHeight="1" x14ac:dyDescent="0.25">
      <c r="A13" s="17" t="str">
        <f>HYPERLINK("#'6.1.1.1-2 Crop residue N2O'!A1", "6.1.1.1-2 Crop residue N2O")</f>
        <v>6.1.1.1-2 Crop residue N2O</v>
      </c>
      <c r="C13" s="22"/>
      <c r="D13" s="1" t="s">
        <v>219</v>
      </c>
      <c r="E13" s="125">
        <f>'6.4.1.1-2 Residue burning'!E62</f>
        <v>3.3264000000000002E-3</v>
      </c>
      <c r="F13" s="125">
        <f>E13</f>
        <v>3.3264000000000002E-3</v>
      </c>
      <c r="G13" s="52" t="s">
        <v>220</v>
      </c>
      <c r="H13" s="100">
        <f>'6.4.1.1-2 Residue burning'!E67</f>
        <v>9.3139200000000005E-2</v>
      </c>
      <c r="I13" s="100">
        <f>H13</f>
        <v>9.3139200000000005E-2</v>
      </c>
      <c r="J13" s="52" t="s">
        <v>91</v>
      </c>
      <c r="K13" s="22"/>
    </row>
    <row r="14" spans="1:11" ht="20.100000000000001" customHeight="1" x14ac:dyDescent="0.3">
      <c r="A14" s="17" t="str">
        <f>HYPERLINK("#'6.2.1.1-2 Pasture residue N2O'!A1", "6.2.1.1-2 Pasture residue N2O")</f>
        <v>6.2.1.1-2 Pasture residue N2O</v>
      </c>
      <c r="C14" s="22"/>
      <c r="D14" s="29" t="s">
        <v>86</v>
      </c>
      <c r="E14" s="23"/>
      <c r="F14" s="23"/>
      <c r="G14" s="29"/>
      <c r="H14" s="101">
        <f>SUM(H9:H13)</f>
        <v>0.30413120170714292</v>
      </c>
      <c r="I14" s="101">
        <f>SUM(I9:I13)</f>
        <v>0.30413120170714292</v>
      </c>
      <c r="J14" s="97" t="s">
        <v>91</v>
      </c>
      <c r="K14" s="22"/>
    </row>
    <row r="15" spans="1:11" ht="20.100000000000001" customHeight="1" x14ac:dyDescent="0.25">
      <c r="A15" s="17" t="str">
        <f>HYPERLINK("#'6.3.1.1-2 Leaching and runoff'!A1", "6.3.1.1-2 Leaching and runoff")</f>
        <v>6.3.1.1-2 Leaching and runoff</v>
      </c>
      <c r="C15" s="22"/>
      <c r="D15" s="1"/>
      <c r="E15" s="1"/>
      <c r="F15" s="1"/>
      <c r="G15" s="1"/>
      <c r="H15" s="1"/>
      <c r="I15" s="1"/>
      <c r="J15" s="1"/>
      <c r="K15" s="22"/>
    </row>
    <row r="16" spans="1:11" ht="20.100000000000001" customHeight="1" x14ac:dyDescent="0.25">
      <c r="A16" s="17" t="str">
        <f>HYPERLINK("#'6.4.1.1-2 Residue burning'!A1", "6.4.1.1-2 Residue burning")</f>
        <v>6.4.1.1-2 Residue burning</v>
      </c>
      <c r="C16" s="22"/>
      <c r="D16" s="98"/>
      <c r="E16" s="98"/>
      <c r="F16" s="98"/>
      <c r="G16" s="98"/>
      <c r="H16" s="98"/>
      <c r="I16" s="98"/>
      <c r="J16" s="98"/>
      <c r="K16" s="22"/>
    </row>
    <row r="17" spans="1:11" ht="20.100000000000001" customHeight="1" x14ac:dyDescent="0.25">
      <c r="A17" s="17"/>
      <c r="C17" s="22"/>
      <c r="D17" s="98"/>
      <c r="E17" s="1"/>
      <c r="F17" s="1"/>
      <c r="G17" s="1"/>
      <c r="H17" s="1"/>
      <c r="I17" s="1"/>
      <c r="J17" s="22"/>
      <c r="K17" s="22"/>
    </row>
    <row r="18" spans="1:11" ht="20.100000000000001" customHeight="1" x14ac:dyDescent="0.25">
      <c r="A18" s="18" t="s">
        <v>2</v>
      </c>
      <c r="C18" s="22"/>
      <c r="D18" s="105"/>
      <c r="E18" s="1"/>
      <c r="F18" s="1"/>
      <c r="G18" s="1"/>
      <c r="H18" s="1"/>
      <c r="I18" s="1"/>
      <c r="J18" s="22"/>
      <c r="K18" s="22"/>
    </row>
    <row r="19" spans="1:11" ht="20.100000000000001" customHeight="1" x14ac:dyDescent="0.25">
      <c r="A19" s="17" t="str">
        <f>HYPERLINK("#'Constants - Ag Residue'!A1", "Constants - Ag Residue")</f>
        <v>Constants - Ag Residue</v>
      </c>
      <c r="C19" s="22"/>
      <c r="D19" s="1"/>
      <c r="E19" s="1"/>
      <c r="F19" s="1"/>
      <c r="G19" s="1"/>
      <c r="H19" s="1"/>
      <c r="I19" s="1"/>
      <c r="J19" s="22"/>
      <c r="K19" s="22"/>
    </row>
    <row r="20" spans="1:11" ht="20.100000000000001" customHeight="1" x14ac:dyDescent="0.25">
      <c r="A20" s="17" t="str">
        <f>HYPERLINK("#'Constants - Common'!A1", "Constants - Common")</f>
        <v>Constants - Common</v>
      </c>
      <c r="C20" s="22"/>
      <c r="D20" s="1"/>
      <c r="E20" s="1"/>
      <c r="F20" s="1"/>
      <c r="G20" s="1"/>
      <c r="H20" s="1"/>
      <c r="I20" s="1"/>
      <c r="J20" s="22"/>
      <c r="K20" s="22"/>
    </row>
    <row r="21" spans="1:11" ht="20.100000000000001" customHeight="1" x14ac:dyDescent="0.25">
      <c r="C21" s="22"/>
      <c r="D21" s="1"/>
      <c r="E21" s="103"/>
      <c r="F21" s="52"/>
      <c r="G21" s="1"/>
      <c r="H21" s="1"/>
      <c r="I21" s="22"/>
      <c r="J21" s="22"/>
      <c r="K21" s="22"/>
    </row>
    <row r="22" spans="1:11" ht="20.100000000000001" customHeight="1" x14ac:dyDescent="0.25">
      <c r="C22" s="22"/>
      <c r="D22" s="1"/>
      <c r="E22" s="103"/>
      <c r="F22" s="52"/>
      <c r="G22" s="1"/>
      <c r="H22" s="1"/>
      <c r="I22" s="22"/>
      <c r="J22" s="22"/>
      <c r="K22" s="22"/>
    </row>
    <row r="23" spans="1:11" ht="20.100000000000001" customHeight="1" x14ac:dyDescent="0.3">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99"/>
      <c r="J38" s="99"/>
      <c r="K38" s="22"/>
    </row>
    <row r="39" spans="3:11" ht="20.100000000000001" customHeight="1" x14ac:dyDescent="0.25">
      <c r="C39" s="22"/>
      <c r="D39" s="1"/>
      <c r="E39" s="1"/>
      <c r="F39" s="1"/>
      <c r="G39" s="1"/>
      <c r="H39" s="1"/>
      <c r="I39" s="99"/>
      <c r="J39" s="99"/>
      <c r="K39" s="22"/>
    </row>
    <row r="40" spans="3:11" ht="20.100000000000001" customHeight="1" x14ac:dyDescent="0.25">
      <c r="C40" s="22"/>
      <c r="D40" s="1"/>
      <c r="E40" s="1"/>
      <c r="F40" s="1"/>
      <c r="G40" s="1"/>
      <c r="H40" s="1"/>
      <c r="I40" s="99"/>
      <c r="J40" s="99"/>
      <c r="K40" s="22"/>
    </row>
    <row r="41" spans="3:11" ht="20.100000000000001" customHeight="1" x14ac:dyDescent="0.25">
      <c r="C41" s="22"/>
      <c r="D41" s="1"/>
      <c r="E41" s="1"/>
      <c r="F41" s="1"/>
      <c r="G41" s="1"/>
      <c r="H41" s="1"/>
      <c r="I41" s="99"/>
      <c r="J41" s="99"/>
      <c r="K41" s="22"/>
    </row>
    <row r="42" spans="3:11" ht="20.100000000000001" customHeight="1" x14ac:dyDescent="0.25">
      <c r="C42" s="22"/>
      <c r="D42" s="1"/>
      <c r="E42" s="1"/>
      <c r="F42" s="1"/>
      <c r="G42" s="1"/>
      <c r="H42" s="1"/>
      <c r="I42" s="99"/>
      <c r="J42" s="99"/>
      <c r="K42" s="22"/>
    </row>
    <row r="43" spans="3:11" ht="20.100000000000001" customHeight="1" x14ac:dyDescent="0.25">
      <c r="C43" s="22"/>
      <c r="D43" s="1"/>
      <c r="E43" s="1"/>
      <c r="F43" s="1"/>
      <c r="G43" s="1"/>
      <c r="H43" s="1"/>
      <c r="I43" s="99"/>
      <c r="J43" s="99"/>
      <c r="K43" s="22"/>
    </row>
    <row r="44" spans="3:11" ht="20.100000000000001" customHeight="1" x14ac:dyDescent="0.25">
      <c r="C44" s="22"/>
      <c r="D44" s="1"/>
      <c r="E44" s="1"/>
      <c r="F44" s="1"/>
      <c r="G44" s="1"/>
      <c r="H44" s="1"/>
      <c r="I44" s="99"/>
      <c r="J44" s="99"/>
      <c r="K44" s="22"/>
    </row>
    <row r="45" spans="3:11" ht="20.100000000000001" customHeight="1" x14ac:dyDescent="0.25">
      <c r="C45" s="22"/>
      <c r="D45" s="1"/>
      <c r="E45" s="1"/>
      <c r="F45" s="1"/>
      <c r="G45" s="1"/>
      <c r="H45" s="1"/>
      <c r="I45" s="99"/>
      <c r="J45" s="99"/>
      <c r="K45" s="22"/>
    </row>
    <row r="46" spans="3:11" ht="20.100000000000001" customHeight="1" x14ac:dyDescent="0.25">
      <c r="C46" s="22"/>
      <c r="D46" s="1"/>
      <c r="E46" s="1"/>
      <c r="F46" s="1"/>
      <c r="G46" s="1"/>
      <c r="H46" s="1"/>
      <c r="I46" s="99"/>
      <c r="J46" s="99"/>
      <c r="K46" s="22"/>
    </row>
    <row r="47" spans="3:11" ht="20.100000000000001" customHeight="1" x14ac:dyDescent="0.25">
      <c r="C47" s="22"/>
      <c r="D47" s="1"/>
      <c r="E47" s="1"/>
      <c r="F47" s="1"/>
      <c r="G47" s="1"/>
      <c r="H47" s="1"/>
      <c r="I47" s="99"/>
      <c r="J47" s="99"/>
      <c r="K47" s="22"/>
    </row>
    <row r="48" spans="3:11" ht="20.100000000000001" customHeight="1" x14ac:dyDescent="0.25">
      <c r="C48" s="22"/>
      <c r="D48" s="1"/>
      <c r="E48" s="1"/>
      <c r="F48" s="1"/>
      <c r="G48" s="1"/>
      <c r="H48" s="1"/>
      <c r="I48" s="99"/>
      <c r="J48" s="99"/>
      <c r="K48" s="22"/>
    </row>
    <row r="49" spans="3:11" ht="20.100000000000001" customHeight="1" x14ac:dyDescent="0.25">
      <c r="C49" s="22"/>
      <c r="D49" s="1"/>
      <c r="E49" s="1"/>
      <c r="F49" s="1"/>
      <c r="G49" s="1"/>
      <c r="H49" s="99"/>
      <c r="I49" s="99"/>
      <c r="J49" s="99"/>
      <c r="K49" s="22"/>
    </row>
    <row r="50" spans="3:11" ht="20.100000000000001" customHeight="1" x14ac:dyDescent="0.25">
      <c r="C50" s="22"/>
      <c r="D50" s="1"/>
      <c r="E50" s="1"/>
      <c r="F50" s="1"/>
      <c r="G50" s="1"/>
      <c r="H50" s="99"/>
      <c r="I50" s="99"/>
      <c r="J50" s="99"/>
      <c r="K50" s="22"/>
    </row>
    <row r="51" spans="3:11" ht="20.100000000000001" customHeight="1" x14ac:dyDescent="0.25">
      <c r="C51" s="22"/>
      <c r="D51" s="1"/>
      <c r="E51" s="1"/>
      <c r="F51" s="1"/>
      <c r="G51" s="1"/>
      <c r="H51" s="99"/>
      <c r="I51" s="99"/>
      <c r="J51" s="99"/>
      <c r="K51" s="22"/>
    </row>
    <row r="52" spans="3:11" ht="20.100000000000001" customHeight="1" x14ac:dyDescent="0.25">
      <c r="C52" s="22"/>
      <c r="D52" s="1"/>
      <c r="E52" s="1"/>
      <c r="F52" s="1"/>
      <c r="G52" s="1"/>
      <c r="H52" s="99"/>
      <c r="I52" s="99"/>
      <c r="J52" s="99"/>
      <c r="K52" s="22"/>
    </row>
    <row r="53" spans="3:11" ht="20.100000000000001" customHeight="1" x14ac:dyDescent="0.25">
      <c r="C53" s="22"/>
      <c r="D53" s="1"/>
      <c r="E53" s="1"/>
      <c r="F53" s="1"/>
      <c r="G53" s="1"/>
      <c r="H53" s="99"/>
      <c r="I53" s="99"/>
      <c r="J53" s="99"/>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5" sqref="A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71</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13</v>
      </c>
      <c r="N5" s="40"/>
    </row>
    <row r="6" spans="1:24" ht="20.100000000000001" customHeight="1" x14ac:dyDescent="0.25">
      <c r="D6" s="14"/>
      <c r="N6" s="41"/>
    </row>
    <row r="7" spans="1:24" ht="20.100000000000001" customHeight="1" x14ac:dyDescent="0.25">
      <c r="A7" s="20" t="s">
        <v>1</v>
      </c>
      <c r="D7" s="1" t="s">
        <v>5</v>
      </c>
      <c r="E7" s="33" t="s">
        <v>4</v>
      </c>
      <c r="F7" s="2"/>
    </row>
    <row r="8" spans="1:24" ht="20.100000000000001" customHeight="1" x14ac:dyDescent="0.25">
      <c r="A8" s="106" t="str">
        <f>HYPERLINK("#'Input - Site'!A1", "Site")</f>
        <v>Site</v>
      </c>
      <c r="D8" s="10" t="s">
        <v>66</v>
      </c>
      <c r="E8" s="33" t="s">
        <v>67</v>
      </c>
    </row>
    <row r="9" spans="1:24" ht="20.100000000000001" customHeight="1" x14ac:dyDescent="0.25">
      <c r="A9" s="17" t="str">
        <f>HYPERLINK("#'Input - Crop'!A1", "Crop")</f>
        <v>Crop</v>
      </c>
      <c r="N9" s="42"/>
    </row>
    <row r="10" spans="1:24" ht="20.100000000000001" customHeight="1" x14ac:dyDescent="0.25">
      <c r="A10" s="17" t="str">
        <f>HYPERLINK("#'Input - Pasture'!A1", "Pasture")</f>
        <v>Pasture</v>
      </c>
      <c r="D10" s="88" t="s">
        <v>70</v>
      </c>
      <c r="E10" s="86"/>
      <c r="F10" s="89"/>
      <c r="G10" s="83"/>
      <c r="N10" s="42"/>
    </row>
    <row r="11" spans="1:24" ht="20.100000000000001" customHeight="1" x14ac:dyDescent="0.25">
      <c r="A11"/>
      <c r="N11" s="43"/>
    </row>
    <row r="12" spans="1:24" ht="20.100000000000001" customHeight="1" x14ac:dyDescent="0.25">
      <c r="A12" s="19" t="s">
        <v>68</v>
      </c>
      <c r="D12" s="10" t="s">
        <v>76</v>
      </c>
      <c r="E12" s="60">
        <v>45292</v>
      </c>
      <c r="F12" s="2" t="s">
        <v>64</v>
      </c>
    </row>
    <row r="13" spans="1:24" ht="20.100000000000001" customHeight="1" x14ac:dyDescent="0.25">
      <c r="A13" s="17" t="str">
        <f>HYPERLINK("#'6.1.1.1-2 Crop residue N2O'!A1", "6.1.1.1-2 Crop residue N2O")</f>
        <v>6.1.1.1-2 Crop residue N2O</v>
      </c>
      <c r="D13" s="10" t="s">
        <v>77</v>
      </c>
      <c r="E13" s="64">
        <f>DATE(YEAR(E12)+1,MONTH(E12),DAY(E12))-1</f>
        <v>45657</v>
      </c>
      <c r="F13" s="2" t="s">
        <v>15</v>
      </c>
      <c r="N13" s="38"/>
      <c r="O13" s="38"/>
    </row>
    <row r="14" spans="1:24" ht="20.100000000000001" customHeight="1" x14ac:dyDescent="0.25">
      <c r="A14" s="17" t="str">
        <f>HYPERLINK("#'6.2.1.1-2 Pasture residue N2O'!A1", "6.2.1.1-2 Pasture residue N2O")</f>
        <v>6.2.1.1-2 Pasture residue N2O</v>
      </c>
      <c r="N14" s="38"/>
      <c r="O14" s="38"/>
    </row>
    <row r="15" spans="1:24" ht="20.100000000000001" customHeight="1" x14ac:dyDescent="0.25">
      <c r="A15" s="17" t="str">
        <f>HYPERLINK("#'6.3.1.1-2 Leaching and runoff'!A1", "6.3.1.1-2 Leaching and runoff")</f>
        <v>6.3.1.1-2 Leaching and runoff</v>
      </c>
      <c r="N15" s="38"/>
      <c r="O15" s="38"/>
    </row>
    <row r="16" spans="1:24" ht="20.100000000000001" customHeight="1" x14ac:dyDescent="0.25">
      <c r="A16" s="17" t="str">
        <f>HYPERLINK("#'6.4.1.1-2 Residue burning'!A1", "6.4.1.1-2 Residue burning")</f>
        <v>6.4.1.1-2 Residue burning</v>
      </c>
      <c r="D16" s="6" t="s">
        <v>12</v>
      </c>
      <c r="N16" s="38"/>
      <c r="O16" s="38"/>
    </row>
    <row r="17" spans="1:25" ht="20.100000000000001" customHeight="1" x14ac:dyDescent="0.25">
      <c r="A17" s="17"/>
    </row>
    <row r="18" spans="1:25" ht="20.100000000000001" customHeight="1" x14ac:dyDescent="0.25">
      <c r="A18" s="18" t="s">
        <v>2</v>
      </c>
      <c r="D18" s="90" t="s">
        <v>14</v>
      </c>
      <c r="E18" s="85"/>
      <c r="F18" s="85"/>
      <c r="G18" s="81"/>
    </row>
    <row r="19" spans="1:25" ht="20.100000000000001" customHeight="1" x14ac:dyDescent="0.25">
      <c r="A19" s="17" t="str">
        <f>HYPERLINK("#'Constants - Ag Residue'!A1", "Constants - Ag Residue")</f>
        <v>Constants - Ag Residue</v>
      </c>
      <c r="D19" s="87" t="s">
        <v>65</v>
      </c>
      <c r="E19" s="84"/>
      <c r="F19" s="84"/>
      <c r="G19" s="82"/>
      <c r="N19" s="40"/>
    </row>
    <row r="20" spans="1:25" ht="20.100000000000001" customHeight="1" x14ac:dyDescent="0.25">
      <c r="A20" s="17" t="str">
        <f>HYPERLINK("#'Constants - Common'!A1", "Constants - Common")</f>
        <v>Constants - Common</v>
      </c>
      <c r="D20" s="1"/>
      <c r="E20" s="31"/>
      <c r="F20" s="2"/>
      <c r="N20" s="41"/>
    </row>
    <row r="21" spans="1:25" ht="20.100000000000001" customHeight="1" x14ac:dyDescent="0.25">
      <c r="A21"/>
      <c r="D21" s="1" t="s">
        <v>6</v>
      </c>
      <c r="E21" s="39" t="s">
        <v>98</v>
      </c>
      <c r="F21" s="2" t="s">
        <v>9</v>
      </c>
    </row>
    <row r="22" spans="1:25" ht="20.100000000000001" customHeight="1" x14ac:dyDescent="0.25">
      <c r="A22"/>
      <c r="D22" s="1" t="s">
        <v>21</v>
      </c>
      <c r="E22" s="39" t="s">
        <v>29</v>
      </c>
      <c r="F22" s="2" t="s">
        <v>9</v>
      </c>
      <c r="G22" s="1"/>
    </row>
    <row r="23" spans="1:25" ht="20.100000000000001" customHeight="1" x14ac:dyDescent="0.25">
      <c r="A23"/>
      <c r="D23" s="1" t="s">
        <v>7</v>
      </c>
      <c r="E23" s="39" t="s">
        <v>75</v>
      </c>
      <c r="F23" s="2" t="s">
        <v>9</v>
      </c>
    </row>
    <row r="24" spans="1:25" ht="20.100000000000001" customHeight="1" x14ac:dyDescent="0.25">
      <c r="A24"/>
      <c r="D24" s="1" t="s">
        <v>34</v>
      </c>
      <c r="E24" s="33">
        <v>307.7</v>
      </c>
      <c r="F24" s="2" t="s">
        <v>48</v>
      </c>
    </row>
    <row r="25" spans="1:25" ht="20.100000000000001" customHeight="1" x14ac:dyDescent="0.25">
      <c r="A25"/>
      <c r="D25" s="1" t="s">
        <v>56</v>
      </c>
      <c r="E25" s="33">
        <v>18</v>
      </c>
      <c r="F25" s="2" t="s">
        <v>10</v>
      </c>
      <c r="N25" s="41"/>
    </row>
    <row r="26" spans="1:25" ht="20.100000000000001" customHeight="1" x14ac:dyDescent="0.25">
      <c r="A26"/>
      <c r="D26" s="1" t="s">
        <v>57</v>
      </c>
      <c r="E26" s="33">
        <v>599</v>
      </c>
      <c r="F26" s="2" t="s">
        <v>11</v>
      </c>
    </row>
    <row r="27" spans="1:25" ht="20.100000000000001" customHeight="1" x14ac:dyDescent="0.25">
      <c r="A27"/>
      <c r="D27" s="10" t="s">
        <v>58</v>
      </c>
      <c r="E27" s="33">
        <v>1326</v>
      </c>
      <c r="F27" s="2" t="s">
        <v>11</v>
      </c>
    </row>
    <row r="28" spans="1:25" ht="20.100000000000001" customHeight="1" x14ac:dyDescent="0.25">
      <c r="A28"/>
      <c r="D28" s="1" t="s">
        <v>59</v>
      </c>
      <c r="E28" s="33">
        <v>7</v>
      </c>
      <c r="F28" s="2" t="s">
        <v>49</v>
      </c>
    </row>
    <row r="29" spans="1:25" ht="20.100000000000001" customHeight="1" x14ac:dyDescent="0.25">
      <c r="A29"/>
      <c r="D29" s="10" t="s">
        <v>55</v>
      </c>
      <c r="E29" s="50">
        <f>E26/E27</f>
        <v>0.45173453996983409</v>
      </c>
      <c r="F29" s="2"/>
    </row>
    <row r="30" spans="1:25" ht="20.100000000000001" customHeight="1" x14ac:dyDescent="0.25">
      <c r="A30"/>
      <c r="D30" s="10" t="s">
        <v>30</v>
      </c>
      <c r="E30" s="50" t="str">
        <f>Common_InputFunctions.Utility_LookupItemFromMinMax(E26,Table_SourceData_RainfallZones[Min rainfall],Table_SourceData_RainfallZones[Max rainfall],Table_SourceData_RainfallZones[Rainfall Zone])</f>
        <v>Low rainfall</v>
      </c>
      <c r="G30" s="32"/>
      <c r="L30" s="47"/>
      <c r="M30" s="47"/>
      <c r="N30" s="47"/>
      <c r="O30" s="47"/>
      <c r="P30" s="47"/>
      <c r="Q30" s="47"/>
      <c r="R30" s="47"/>
      <c r="S30" s="47"/>
      <c r="T30" s="47"/>
      <c r="U30" s="47"/>
      <c r="V30" s="47"/>
      <c r="W30" s="47"/>
      <c r="X30" s="47"/>
      <c r="Y30" s="47"/>
    </row>
    <row r="31" spans="1:25" ht="20.100000000000001" customHeight="1" x14ac:dyDescent="0.25">
      <c r="A31"/>
      <c r="D31" s="1" t="s">
        <v>8</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72</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47</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H361"/>
  <sheetViews>
    <sheetView showGridLines="0" zoomScale="85" zoomScaleNormal="85" workbookViewId="0">
      <selection activeCell="E19" sqref="E19"/>
    </sheetView>
  </sheetViews>
  <sheetFormatPr defaultRowHeight="15.75" x14ac:dyDescent="0.25"/>
  <cols>
    <col min="1" max="1" width="30.7109375" customWidth="1"/>
    <col min="2" max="2" width="4.7109375" customWidth="1"/>
    <col min="3" max="3" width="4.7109375" style="1" customWidth="1"/>
    <col min="4" max="4" width="52.140625" style="1" customWidth="1"/>
    <col min="5" max="7" width="30.7109375" style="1" customWidth="1"/>
    <col min="8" max="8" width="4.7109375" style="1" customWidth="1"/>
    <col min="9" max="9" width="4.7109375" customWidth="1"/>
  </cols>
  <sheetData>
    <row r="1" spans="1:8" s="62" customFormat="1" ht="30" customHeight="1" x14ac:dyDescent="0.35">
      <c r="A1" s="62" t="e" vm="1">
        <v>#VALUE!</v>
      </c>
      <c r="C1" s="62" t="s">
        <v>129</v>
      </c>
    </row>
    <row r="2" spans="1:8" s="9" customFormat="1" ht="20.100000000000001" customHeight="1" x14ac:dyDescent="0.25">
      <c r="A2"/>
    </row>
    <row r="3" spans="1:8" ht="20.100000000000001" customHeight="1" x14ac:dyDescent="0.25">
      <c r="A3" s="17" t="str">
        <f>HYPERLINK("#'Home'!A1", "Home")</f>
        <v>Home</v>
      </c>
      <c r="C3" s="15"/>
      <c r="D3" s="15"/>
      <c r="E3" s="15"/>
      <c r="F3" s="15"/>
      <c r="G3" s="15"/>
      <c r="H3" s="15"/>
    </row>
    <row r="4" spans="1:8" ht="20.100000000000001" customHeight="1" x14ac:dyDescent="0.25">
      <c r="A4" s="17" t="str">
        <f>HYPERLINK("#'Overview'!A1", "Overview")</f>
        <v>Overview</v>
      </c>
    </row>
    <row r="5" spans="1:8" ht="20.100000000000001" customHeight="1" x14ac:dyDescent="0.25">
      <c r="A5" s="17" t="str">
        <f>HYPERLINK("#'Results'!A1", "Results")</f>
        <v>Results</v>
      </c>
      <c r="D5" s="6" t="s">
        <v>130</v>
      </c>
    </row>
    <row r="6" spans="1:8" ht="20.100000000000001" customHeight="1" x14ac:dyDescent="0.25">
      <c r="A6" s="16"/>
    </row>
    <row r="7" spans="1:8" ht="20.100000000000001" customHeight="1" x14ac:dyDescent="0.25">
      <c r="A7" s="20" t="s">
        <v>1</v>
      </c>
      <c r="D7" s="88" t="s">
        <v>131</v>
      </c>
      <c r="E7" s="89"/>
      <c r="F7" s="89"/>
      <c r="G7" s="83"/>
    </row>
    <row r="8" spans="1:8" ht="20.100000000000001" customHeight="1" x14ac:dyDescent="0.25">
      <c r="A8" s="17" t="str">
        <f>HYPERLINK("#'Input - Site'!A1", "Site")</f>
        <v>Site</v>
      </c>
    </row>
    <row r="9" spans="1:8" ht="20.100000000000001" customHeight="1" x14ac:dyDescent="0.25">
      <c r="A9" s="106" t="str">
        <f>HYPERLINK("#'Input - Crop'!A1", "Crop")</f>
        <v>Crop</v>
      </c>
      <c r="D9" s="1" t="s">
        <v>109</v>
      </c>
      <c r="E9" s="39" t="s">
        <v>132</v>
      </c>
      <c r="F9" s="2" t="s">
        <v>133</v>
      </c>
    </row>
    <row r="10" spans="1:8" ht="20.100000000000001" customHeight="1" x14ac:dyDescent="0.25">
      <c r="A10" s="17" t="str">
        <f>HYPERLINK("#'Input - Pasture'!A1", "Pasture")</f>
        <v>Pasture</v>
      </c>
      <c r="D10" s="1" t="s">
        <v>134</v>
      </c>
      <c r="E10" s="39" t="s">
        <v>173</v>
      </c>
      <c r="F10" s="2" t="s">
        <v>133</v>
      </c>
    </row>
    <row r="11" spans="1:8" ht="20.100000000000001" customHeight="1" x14ac:dyDescent="0.25">
      <c r="D11" s="10" t="s">
        <v>85</v>
      </c>
      <c r="E11" s="39" t="s">
        <v>107</v>
      </c>
      <c r="F11" s="2" t="s">
        <v>133</v>
      </c>
    </row>
    <row r="12" spans="1:8" ht="20.100000000000001" customHeight="1" x14ac:dyDescent="0.25">
      <c r="A12" s="19" t="s">
        <v>68</v>
      </c>
    </row>
    <row r="13" spans="1:8" ht="20.100000000000001" customHeight="1" x14ac:dyDescent="0.25">
      <c r="A13" s="17" t="str">
        <f>HYPERLINK("#'6.1.1.1-2 Crop residue N2O'!A1", "6.1.1.1-2 Crop residue N2O")</f>
        <v>6.1.1.1-2 Crop residue N2O</v>
      </c>
      <c r="D13" s="1" t="s">
        <v>110</v>
      </c>
      <c r="E13" s="133">
        <v>1000</v>
      </c>
      <c r="F13" s="2" t="s">
        <v>135</v>
      </c>
    </row>
    <row r="14" spans="1:8" ht="20.100000000000001" customHeight="1" x14ac:dyDescent="0.25">
      <c r="A14" s="17" t="str">
        <f>HYPERLINK("#'6.2.1.1-2 Pasture residue N2O'!A1", "6.2.1.1-2 Pasture residue N2O")</f>
        <v>6.2.1.1-2 Pasture residue N2O</v>
      </c>
    </row>
    <row r="15" spans="1:8" ht="20.100000000000001" customHeight="1" x14ac:dyDescent="0.25">
      <c r="A15" s="17" t="str">
        <f>HYPERLINK("#'6.3.1.1-2 Leaching and runoff'!A1", "6.3.1.1-2 Leaching and runoff")</f>
        <v>6.3.1.1-2 Leaching and runoff</v>
      </c>
      <c r="D15" s="6" t="s">
        <v>136</v>
      </c>
    </row>
    <row r="16" spans="1:8" ht="20.100000000000001" customHeight="1" x14ac:dyDescent="0.25">
      <c r="A16" s="17" t="str">
        <f>HYPERLINK("#'6.4.1.1-2 Residue burning'!A1", "6.4.1.1-2 Residue burning")</f>
        <v>6.4.1.1-2 Residue burning</v>
      </c>
    </row>
    <row r="17" spans="1:6" ht="20.100000000000001" customHeight="1" x14ac:dyDescent="0.25">
      <c r="A17" s="17"/>
      <c r="D17" s="1" t="str">
        <f>E10 &amp; " " &amp; _xlfn.XLOOKUP(E10,Table_SourceData_CropPurposeAndYields[Purpose], Table_SourceData_CropPurposeAndYields[harvest term]) &amp; " per hectare¹"</f>
        <v>Cash grain crop yield per hectare¹</v>
      </c>
      <c r="E17" s="114">
        <v>10</v>
      </c>
      <c r="F17" s="2" t="str">
        <f>"Tonnes " &amp; _xlfn.XLOOKUP(E10, Table_SourceData_CropPurposeAndYields[Purpose], Table_SourceData_CropPurposeAndYields[Per hectare unit], FALSE) &amp; " per hectare"</f>
        <v>Tonnes grain per hectare</v>
      </c>
    </row>
    <row r="18" spans="1:6" ht="20.100000000000001" customHeight="1" x14ac:dyDescent="0.25">
      <c r="A18" s="18" t="s">
        <v>2</v>
      </c>
      <c r="D18" s="1" t="s">
        <v>230</v>
      </c>
      <c r="E18" s="50" cm="1">
        <f t="array" ref="E18">_xlfn.IFS(E10="Cash grain crop", Common_InputFunctions.Utility_LookupValueInTableNumber(E9, Table_SourceData_CropAttributes[Crop type],Table_SourceData_CropAttributes[Residue: Crop ratio]), E10="Cash crop for hay/silage", 0, E10="Cover crop", 1)</f>
        <v>1.5</v>
      </c>
    </row>
    <row r="19" spans="1:6" ht="20.100000000000001" customHeight="1" x14ac:dyDescent="0.25">
      <c r="A19" s="17" t="str">
        <f>HYPERLINK("#'Constants - Ag Residue'!A1", "Constants - Ag Residue")</f>
        <v>Constants - Ag Residue</v>
      </c>
      <c r="D19" s="1" t="s">
        <v>139</v>
      </c>
      <c r="E19" s="50">
        <f>E17*E18</f>
        <v>15</v>
      </c>
      <c r="F19" s="2" t="s">
        <v>138</v>
      </c>
    </row>
    <row r="20" spans="1:6" ht="20.100000000000001" customHeight="1" x14ac:dyDescent="0.25">
      <c r="A20" s="17" t="str">
        <f>HYPERLINK("#'Constants - Common'!A1", "Constants - Common")</f>
        <v>Constants - Common</v>
      </c>
      <c r="D20" s="1" t="s">
        <v>137</v>
      </c>
      <c r="E20" s="50">
        <f>E17+E19</f>
        <v>25</v>
      </c>
      <c r="F20" s="2" t="s">
        <v>138</v>
      </c>
    </row>
    <row r="21" spans="1:6" ht="20.100000000000001" customHeight="1" x14ac:dyDescent="0.25"/>
    <row r="22" spans="1:6" ht="20.100000000000001" customHeight="1" x14ac:dyDescent="0.25">
      <c r="D22" s="51" t="s">
        <v>231</v>
      </c>
      <c r="E22" s="50">
        <f>E17*E13</f>
        <v>10000</v>
      </c>
      <c r="F22" s="2" t="str">
        <f>"Tonnes " &amp; _xlfn.XLOOKUP(E10, Table_SourceData_CropPurposeAndYields[Purpose], Table_SourceData_CropPurposeAndYields[Harvest uit], FALSE)</f>
        <v>Tonnes grain</v>
      </c>
    </row>
    <row r="23" spans="1:6" ht="20.100000000000001" customHeight="1" x14ac:dyDescent="0.25"/>
    <row r="24" spans="1:6" ht="20.100000000000001" customHeight="1" x14ac:dyDescent="0.25">
      <c r="D24" s="98" t="str">
        <f>"¹ " &amp; _xlfn.XLOOKUP(E10, Table_SourceData_CropPurposeAndYields[Purpose],Table_SourceData_CropPurposeAndYields[Yield note])</f>
        <v>¹ Yield is the grain harvested from the plant</v>
      </c>
    </row>
    <row r="25" spans="1:6" ht="20.100000000000001" customHeight="1" x14ac:dyDescent="0.25">
      <c r="D25" s="98" t="str">
        <f>"² " &amp; _xlfn.XLOOKUP(E10, Table_SourceData_CropPurposeAndYields[Purpose],Table_SourceData_CropPurposeAndYields[Residue crop ratio note])</f>
        <v>² Residue to crop ratio is provided from default values</v>
      </c>
    </row>
    <row r="26" spans="1:6" ht="20.100000000000001" customHeight="1" x14ac:dyDescent="0.25">
      <c r="D26" s="98" t="str">
        <f>"³ " &amp; _xlfn.XLOOKUP(E10,Table_SourceData_CropPurposeAndYields[Purpose],Table_SourceData_CropPurposeAndYields[Total production note])</f>
        <v>³ Total production is the total grain harvested</v>
      </c>
    </row>
    <row r="27" spans="1:6" ht="20.100000000000001" customHeight="1" x14ac:dyDescent="0.25"/>
    <row r="28" spans="1:6" ht="20.100000000000001" customHeight="1" x14ac:dyDescent="0.25">
      <c r="D28" s="6" t="s">
        <v>140</v>
      </c>
    </row>
    <row r="29" spans="1:6" ht="20.100000000000001" customHeight="1" x14ac:dyDescent="0.25">
      <c r="A29" s="17"/>
    </row>
    <row r="30" spans="1:6" ht="20.100000000000001" customHeight="1" x14ac:dyDescent="0.25">
      <c r="A30" s="17"/>
      <c r="D30" s="1" t="str">
        <f>"Residue after " &amp; VLOOKUP(E10,'Constants - Ag Residue'!D8:G10, 4, FALSE)</f>
        <v>Residue after harvest</v>
      </c>
      <c r="E30" s="50">
        <f>E19*E13</f>
        <v>15000</v>
      </c>
      <c r="F30" s="2" t="s">
        <v>141</v>
      </c>
    </row>
    <row r="31" spans="1:6" ht="20.100000000000001" customHeight="1" x14ac:dyDescent="0.25">
      <c r="A31" s="61"/>
    </row>
    <row r="32" spans="1:6" ht="20.100000000000001" customHeight="1" x14ac:dyDescent="0.25">
      <c r="A32" s="61"/>
      <c r="D32" s="46" t="s">
        <v>142</v>
      </c>
    </row>
    <row r="33" spans="1:8" ht="20.100000000000001" customHeight="1" x14ac:dyDescent="0.25">
      <c r="A33" s="17"/>
      <c r="D33" s="1" t="s">
        <v>143</v>
      </c>
      <c r="E33" s="124">
        <v>0.1</v>
      </c>
      <c r="F33" s="2" t="s">
        <v>144</v>
      </c>
    </row>
    <row r="34" spans="1:8" ht="20.100000000000001" customHeight="1" x14ac:dyDescent="0.25">
      <c r="D34" s="1" t="s">
        <v>145</v>
      </c>
      <c r="E34" s="114">
        <v>60</v>
      </c>
      <c r="F34" s="2" t="s">
        <v>146</v>
      </c>
    </row>
    <row r="35" spans="1:8" ht="20.100000000000001" customHeight="1" x14ac:dyDescent="0.25">
      <c r="D35" s="51" t="s">
        <v>147</v>
      </c>
      <c r="E35" s="135">
        <f>IFERROR((E36*10^3)/E34, 0)</f>
        <v>25000</v>
      </c>
      <c r="F35" s="2" t="s">
        <v>148</v>
      </c>
    </row>
    <row r="36" spans="1:8" ht="20.100000000000001" customHeight="1" x14ac:dyDescent="0.25">
      <c r="D36" s="51" t="s">
        <v>149</v>
      </c>
      <c r="E36" s="50">
        <f>E30*E33</f>
        <v>1500</v>
      </c>
      <c r="F36" s="2" t="s">
        <v>141</v>
      </c>
    </row>
    <row r="37" spans="1:8" ht="20.100000000000001" customHeight="1" x14ac:dyDescent="0.25">
      <c r="C37" s="112"/>
    </row>
    <row r="38" spans="1:8" ht="20.100000000000001" customHeight="1" x14ac:dyDescent="0.25">
      <c r="C38" s="112"/>
      <c r="D38" s="46" t="s">
        <v>150</v>
      </c>
    </row>
    <row r="39" spans="1:8" ht="20.100000000000001" customHeight="1" x14ac:dyDescent="0.25">
      <c r="A39" s="17"/>
      <c r="D39" s="1" t="s">
        <v>151</v>
      </c>
      <c r="E39" s="124">
        <v>0.01</v>
      </c>
      <c r="F39" s="2" t="s">
        <v>144</v>
      </c>
    </row>
    <row r="40" spans="1:8" s="113" customFormat="1" ht="20.100000000000001" customHeight="1" x14ac:dyDescent="0.25">
      <c r="C40" s="1"/>
      <c r="D40" s="1" t="s">
        <v>152</v>
      </c>
      <c r="E40" s="50">
        <f>E30*E39</f>
        <v>150</v>
      </c>
      <c r="F40" s="2" t="s">
        <v>141</v>
      </c>
      <c r="G40" s="1"/>
      <c r="H40" s="1"/>
    </row>
    <row r="41" spans="1:8" s="113" customFormat="1" ht="20.100000000000001" customHeight="1" x14ac:dyDescent="0.25">
      <c r="A41" s="115"/>
      <c r="C41" s="1"/>
      <c r="D41" s="1"/>
      <c r="E41" s="1"/>
      <c r="F41" s="1"/>
      <c r="G41" s="1"/>
      <c r="H41" s="1"/>
    </row>
    <row r="42" spans="1:8" ht="20.100000000000001" customHeight="1" x14ac:dyDescent="0.25">
      <c r="D42" s="46" t="s">
        <v>153</v>
      </c>
    </row>
    <row r="43" spans="1:8" ht="20.100000000000001" customHeight="1" x14ac:dyDescent="0.25">
      <c r="D43" s="1" t="s">
        <v>154</v>
      </c>
      <c r="E43" s="124">
        <v>0.3</v>
      </c>
      <c r="F43" s="2" t="s">
        <v>144</v>
      </c>
    </row>
    <row r="44" spans="1:8" ht="20.100000000000001" customHeight="1" x14ac:dyDescent="0.25">
      <c r="A44" s="123" t="str">
        <f>HYPERLINK("#A1", "▲ Back to top")</f>
        <v>▲ Back to top</v>
      </c>
      <c r="D44" s="1" t="s">
        <v>155</v>
      </c>
      <c r="E44" s="50">
        <f>E30*E43</f>
        <v>4500</v>
      </c>
      <c r="F44" s="2" t="s">
        <v>141</v>
      </c>
    </row>
    <row r="45" spans="1:8" ht="20.100000000000001" customHeight="1" x14ac:dyDescent="0.25"/>
    <row r="46" spans="1:8" ht="20.100000000000001" customHeight="1" x14ac:dyDescent="0.25">
      <c r="D46" s="1" t="s">
        <v>156</v>
      </c>
      <c r="E46" s="50">
        <f>E30-E36-E40-E44</f>
        <v>8850</v>
      </c>
      <c r="F46" s="2" t="s">
        <v>141</v>
      </c>
    </row>
    <row r="47" spans="1:8" ht="20.100000000000001" customHeight="1" x14ac:dyDescent="0.25"/>
    <row r="48" spans="1:8" ht="20.100000000000001" customHeight="1" x14ac:dyDescent="0.25">
      <c r="D48" s="6"/>
    </row>
    <row r="49" spans="4:6" ht="20.100000000000001" customHeight="1" x14ac:dyDescent="0.25"/>
    <row r="50" spans="4:6" ht="20.100000000000001" customHeight="1" x14ac:dyDescent="0.25">
      <c r="D50" s="10"/>
      <c r="F50" s="2"/>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1" spans="4:4" x14ac:dyDescent="0.25">
      <c r="D361" s="98"/>
    </row>
  </sheetData>
  <conditionalFormatting sqref="E210:G210">
    <cfRule type="cellIs" dxfId="12" priority="79" operator="lessThan">
      <formula>0</formula>
    </cfRule>
  </conditionalFormatting>
  <conditionalFormatting sqref="F46">
    <cfRule type="cellIs" dxfId="11" priority="62" operator="lessThan">
      <formula>0</formula>
    </cfRule>
  </conditionalFormatting>
  <conditionalFormatting sqref="F126:F127">
    <cfRule type="cellIs" dxfId="10" priority="21" operator="lessThan">
      <formula>0</formula>
    </cfRule>
  </conditionalFormatting>
  <conditionalFormatting sqref="F138:F139">
    <cfRule type="cellIs" dxfId="9" priority="20" operator="lessThan">
      <formula>0</formula>
    </cfRule>
  </conditionalFormatting>
  <conditionalFormatting sqref="F150:F151">
    <cfRule type="cellIs" dxfId="8" priority="19" operator="lessThan">
      <formula>0</formula>
    </cfRule>
  </conditionalFormatting>
  <conditionalFormatting sqref="F162:F163">
    <cfRule type="cellIs" dxfId="7" priority="18" operator="lessThan">
      <formula>0</formula>
    </cfRule>
  </conditionalFormatting>
  <conditionalFormatting sqref="F250:F251">
    <cfRule type="cellIs" dxfId="6" priority="93" operator="lessThan">
      <formula>0</formula>
    </cfRule>
  </conditionalFormatting>
  <conditionalFormatting sqref="F255:F256">
    <cfRule type="cellIs" dxfId="5" priority="92" operator="lessThan">
      <formula>0</formula>
    </cfRule>
  </conditionalFormatting>
  <conditionalFormatting sqref="F260:F261">
    <cfRule type="cellIs" dxfId="4" priority="91" operator="lessThan">
      <formula>0</formula>
    </cfRule>
  </conditionalFormatting>
  <conditionalFormatting sqref="F284:F285">
    <cfRule type="cellIs" dxfId="3" priority="85" operator="lessThan">
      <formula>0</formula>
    </cfRule>
  </conditionalFormatting>
  <conditionalFormatting sqref="F289:F290">
    <cfRule type="cellIs" dxfId="2" priority="84" operator="lessThan">
      <formula>0</formula>
    </cfRule>
  </conditionalFormatting>
  <conditionalFormatting sqref="F294:F295">
    <cfRule type="cellIs" dxfId="1" priority="83" operator="lessThan">
      <formula>0</formula>
    </cfRule>
  </conditionalFormatting>
  <dataValidations count="8">
    <dataValidation type="list" allowBlank="1" showInputMessage="1" showErrorMessage="1" sqref="D277" xr:uid="{4E913AB3-F90B-4C35-BCE1-5DBB8FC05107}">
      <formula1>INDIRECT("Table_SourceData_PoultryMMSStage1[MMS]")</formula1>
    </dataValidation>
    <dataValidation type="list" allowBlank="1" showInputMessage="1" showErrorMessage="1" sqref="E225" xr:uid="{9FB53635-991F-44AA-A123-E8ABEF9EE0A6}">
      <formula1>INDIRECT("Table_SourceData_Dairy_ProductionSystemTemplates[Area]")</formula1>
    </dataValidation>
    <dataValidation type="list" allowBlank="1" showInputMessage="1" showErrorMessage="1" sqref="E249 E254 E259 E293 E288 E283 E161 E149 E125 E137" xr:uid="{00A4EA4C-90D3-4150-979D-4D71C7F37A31}">
      <formula1>"Yes, No"</formula1>
    </dataValidation>
    <dataValidation type="list" allowBlank="1" showInputMessage="1" showErrorMessage="1" sqref="E65" xr:uid="{DBA884B0-B52E-420E-8FD2-21B082EB75E2}">
      <formula1>INDIRECT("Table_SourceData_Swine_IrrigationMethods[Irrigation method]")</formula1>
    </dataValidation>
    <dataValidation type="list" allowBlank="1" showInputMessage="1" showErrorMessage="1" sqref="E64" xr:uid="{B95E29DC-96D0-4475-A29E-3F3A3B60CEA1}">
      <formula1>INDIRECT("Table_SourceData_Swine_CropProdSystems[Production system]")</formula1>
    </dataValidation>
    <dataValidation type="list" allowBlank="1" showInputMessage="1" showErrorMessage="1" sqref="E10" xr:uid="{592DACDE-0EAE-4ADF-A3F2-183C51E20C70}">
      <formula1>INDIRECT("Table_SourceData_CropPurposeAndYields[Purpose]")</formula1>
    </dataValidation>
    <dataValidation type="list" allowBlank="1" showInputMessage="1" showErrorMessage="1" sqref="E9" xr:uid="{2C3CA787-BB6D-4639-BF2A-0185599765E7}">
      <formula1>INDIRECT("Table_SourceData_CropAttributes[Crop type]")</formula1>
    </dataValidation>
    <dataValidation type="list" allowBlank="1" showInputMessage="1" showErrorMessage="1" sqref="E11" xr:uid="{9CB8E160-F682-4FAB-8A2E-FE2008746B2B}">
      <formula1>INDIRECT("Table_SourceData_Fertiliser_IrrigationMethods[Irrigation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446E5-1B14-4357-B6E7-A941464E9D52}">
  <dimension ref="A1:G39"/>
  <sheetViews>
    <sheetView showGridLines="0" workbookViewId="0">
      <selection activeCell="E10" sqref="E10"/>
    </sheetView>
  </sheetViews>
  <sheetFormatPr defaultRowHeight="15.75" x14ac:dyDescent="0.25"/>
  <cols>
    <col min="1" max="1" width="30.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62" t="e" vm="1">
        <v>#VALUE!</v>
      </c>
      <c r="C1" s="62" t="s">
        <v>196</v>
      </c>
      <c r="D1" s="62"/>
      <c r="E1" s="62"/>
      <c r="F1" s="62"/>
      <c r="G1" s="62"/>
    </row>
    <row r="2" spans="1:7" ht="20.100000000000001" customHeight="1" x14ac:dyDescent="0.25">
      <c r="C2" s="9"/>
      <c r="D2" s="9"/>
      <c r="E2" s="9"/>
      <c r="F2" s="9"/>
      <c r="G2" s="9"/>
    </row>
    <row r="3" spans="1:7" ht="20.100000000000001" customHeight="1" x14ac:dyDescent="0.25">
      <c r="A3" s="17" t="str">
        <f>HYPERLINK("#'Home'!A1", "Home")</f>
        <v>Home</v>
      </c>
      <c r="C3" s="15"/>
      <c r="D3" s="15"/>
      <c r="E3" s="15"/>
      <c r="F3" s="15"/>
      <c r="G3" s="15"/>
    </row>
    <row r="4" spans="1:7" ht="20.100000000000001" customHeight="1" x14ac:dyDescent="0.25">
      <c r="A4" s="17" t="str">
        <f>HYPERLINK("#'Overview'!A1", "Overview")</f>
        <v>Overview</v>
      </c>
    </row>
    <row r="5" spans="1:7" ht="20.100000000000001" customHeight="1" x14ac:dyDescent="0.25">
      <c r="A5" s="17" t="str">
        <f>HYPERLINK("#'Results'!A1", "Results")</f>
        <v>Results</v>
      </c>
      <c r="D5" s="6" t="s">
        <v>130</v>
      </c>
    </row>
    <row r="6" spans="1:7" ht="20.100000000000001" customHeight="1" x14ac:dyDescent="0.25">
      <c r="A6" s="16"/>
    </row>
    <row r="7" spans="1:7" ht="20.100000000000001" customHeight="1" x14ac:dyDescent="0.25">
      <c r="A7" s="20" t="s">
        <v>1</v>
      </c>
      <c r="D7" s="21" t="s">
        <v>131</v>
      </c>
      <c r="E7" s="21"/>
      <c r="F7" s="21"/>
    </row>
    <row r="8" spans="1:7" ht="20.100000000000001" customHeight="1" x14ac:dyDescent="0.25">
      <c r="A8" s="17" t="str">
        <f>HYPERLINK("#'Input - Site'!A1", "Site")</f>
        <v>Site</v>
      </c>
    </row>
    <row r="9" spans="1:7" ht="20.100000000000001" customHeight="1" x14ac:dyDescent="0.25">
      <c r="A9" s="17" t="str">
        <f>HYPERLINK("#'Input - Crop'!A1", "Crop")</f>
        <v>Crop</v>
      </c>
      <c r="D9" s="1" t="s">
        <v>180</v>
      </c>
      <c r="E9" s="39" t="s">
        <v>221</v>
      </c>
      <c r="F9" s="2" t="s">
        <v>195</v>
      </c>
    </row>
    <row r="10" spans="1:7" ht="20.100000000000001" customHeight="1" x14ac:dyDescent="0.25">
      <c r="A10" s="106" t="str">
        <f>HYPERLINK("#'Input - Pasture'!A1", "Pasture")</f>
        <v>Pasture</v>
      </c>
      <c r="D10" s="1" t="s">
        <v>85</v>
      </c>
      <c r="E10" s="39" t="s">
        <v>225</v>
      </c>
      <c r="F10" s="2" t="s">
        <v>195</v>
      </c>
    </row>
    <row r="11" spans="1:7" ht="20.100000000000001" customHeight="1" x14ac:dyDescent="0.25"/>
    <row r="12" spans="1:7" ht="20.100000000000001" customHeight="1" x14ac:dyDescent="0.25">
      <c r="A12" s="19" t="s">
        <v>68</v>
      </c>
      <c r="D12" s="1" t="s">
        <v>188</v>
      </c>
      <c r="E12" s="114">
        <v>1000</v>
      </c>
      <c r="F12" s="2" t="s">
        <v>135</v>
      </c>
    </row>
    <row r="13" spans="1:7" ht="20.100000000000001" customHeight="1" x14ac:dyDescent="0.25">
      <c r="A13" s="17" t="str">
        <f>HYPERLINK("#'6.1.1.1-2 Crop residue N2O'!A1", "6.1.1.1-2 Crop residue N2O")</f>
        <v>6.1.1.1-2 Crop residue N2O</v>
      </c>
    </row>
    <row r="14" spans="1:7" ht="20.100000000000001" customHeight="1" x14ac:dyDescent="0.25">
      <c r="A14" s="17" t="str">
        <f>HYPERLINK("#'6.2.1.1-2 Pasture residue N2O'!A1", "6.2.1.1-2 Pasture residue N2O")</f>
        <v>6.2.1.1-2 Pasture residue N2O</v>
      </c>
      <c r="D14" s="6" t="s">
        <v>136</v>
      </c>
    </row>
    <row r="15" spans="1:7" ht="20.100000000000001" customHeight="1" x14ac:dyDescent="0.25">
      <c r="A15" s="17" t="str">
        <f>HYPERLINK("#'6.3.1.1-2 Leaching and runoff'!A1", "6.3.1.1-2 Leaching and runoff")</f>
        <v>6.3.1.1-2 Leaching and runoff</v>
      </c>
    </row>
    <row r="16" spans="1:7" ht="20.100000000000001" customHeight="1" x14ac:dyDescent="0.25">
      <c r="A16" s="17" t="str">
        <f>HYPERLINK("#'6.4.1.1-2 Residue burning'!A1", "6.4.1.1-2 Residue burning")</f>
        <v>6.4.1.1-2 Residue burning</v>
      </c>
      <c r="D16" s="134" t="s">
        <v>189</v>
      </c>
      <c r="E16" s="85"/>
      <c r="F16" s="81"/>
    </row>
    <row r="17" spans="1:6" ht="20.100000000000001" customHeight="1" x14ac:dyDescent="0.25">
      <c r="A17" s="17"/>
      <c r="D17" s="87" t="s">
        <v>190</v>
      </c>
      <c r="E17" s="84"/>
      <c r="F17" s="82"/>
    </row>
    <row r="18" spans="1:6" ht="20.100000000000001" customHeight="1" x14ac:dyDescent="0.25">
      <c r="A18" s="18" t="s">
        <v>2</v>
      </c>
    </row>
    <row r="19" spans="1:6" ht="20.100000000000001" customHeight="1" x14ac:dyDescent="0.25">
      <c r="A19" s="17" t="str">
        <f>HYPERLINK("#'Constants - Ag Residue'!A1", "Constants - Ag Residue")</f>
        <v>Constants - Ag Residue</v>
      </c>
      <c r="D19" s="1" t="s">
        <v>191</v>
      </c>
      <c r="E19" s="114">
        <f>_xlfn.XLOOKUP(E9, Table_SourceData_PastureAttributes[Pasture type],Table_SourceData_PastureAttributes[Average Yield (t DM ha) Yp])</f>
        <v>8.34</v>
      </c>
      <c r="F19" s="2" t="s">
        <v>192</v>
      </c>
    </row>
    <row r="20" spans="1:6" ht="20.100000000000001" customHeight="1" x14ac:dyDescent="0.25">
      <c r="A20" s="17" t="str">
        <f>HYPERLINK("#'Constants - Common'!A1", "Constants - Common")</f>
        <v>Constants - Common</v>
      </c>
      <c r="D20" s="1" t="s">
        <v>193</v>
      </c>
      <c r="E20" s="50">
        <f>E12*E19</f>
        <v>8340</v>
      </c>
      <c r="F20" s="2" t="s">
        <v>141</v>
      </c>
    </row>
    <row r="21" spans="1:6" ht="20.100000000000001" customHeight="1" x14ac:dyDescent="0.25"/>
    <row r="22" spans="1:6" ht="20.100000000000001" customHeight="1" x14ac:dyDescent="0.25"/>
    <row r="23" spans="1:6" ht="20.100000000000001" customHeight="1" x14ac:dyDescent="0.25">
      <c r="D23" s="6" t="s">
        <v>140</v>
      </c>
    </row>
    <row r="24" spans="1:6" ht="20.100000000000001" customHeight="1" x14ac:dyDescent="0.25"/>
    <row r="25" spans="1:6" ht="20.100000000000001" customHeight="1" x14ac:dyDescent="0.25">
      <c r="D25" s="1" t="s">
        <v>194</v>
      </c>
      <c r="E25" s="114">
        <v>500</v>
      </c>
      <c r="F25" s="2" t="s">
        <v>135</v>
      </c>
    </row>
    <row r="26" spans="1:6" ht="20.100000000000001" customHeight="1" x14ac:dyDescent="0.25"/>
    <row r="27" spans="1:6" ht="20.100000000000001" customHeight="1" x14ac:dyDescent="0.25"/>
    <row r="28" spans="1:6" ht="20.100000000000001" customHeight="1" x14ac:dyDescent="0.25"/>
    <row r="29" spans="1:6" ht="20.100000000000001" customHeight="1" x14ac:dyDescent="0.25"/>
    <row r="30" spans="1:6" ht="20.100000000000001" customHeight="1" x14ac:dyDescent="0.25"/>
    <row r="31" spans="1:6" ht="20.100000000000001" customHeight="1" x14ac:dyDescent="0.25"/>
    <row r="32" spans="1:6"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sheetData>
  <conditionalFormatting sqref="D16:G16">
    <cfRule type="expression" dxfId="0" priority="1">
      <formula>$D$24&gt;$D$11</formula>
    </cfRule>
  </conditionalFormatting>
  <dataValidations count="2">
    <dataValidation type="list" allowBlank="1" showInputMessage="1" showErrorMessage="1" sqref="E9" xr:uid="{6A28EF6D-8A45-4725-BF96-0B0C797CE4BE}">
      <formula1>INDIRECT("Table_SourceData_PastureAttributes[Pasture type]")</formula1>
    </dataValidation>
    <dataValidation type="list" allowBlank="1" showInputMessage="1" showErrorMessage="1" sqref="E10" xr:uid="{FF0C78E2-6745-4837-B7E3-1C1338CAEED4}">
      <formula1>INDIRECT("Table_SourceData_Fertiliser_IrrigationMethods[Irrigation method]")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T342"/>
  <sheetViews>
    <sheetView showGridLines="0"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9" width="30.7109375" style="1" customWidth="1"/>
    <col min="20" max="20" width="4.7109375" style="1" customWidth="1"/>
  </cols>
  <sheetData>
    <row r="1" spans="1:20" s="8" customFormat="1" ht="30" customHeight="1" x14ac:dyDescent="0.35">
      <c r="A1" s="62" t="e" vm="1">
        <v>#VALUE!</v>
      </c>
      <c r="C1" s="8" t="s">
        <v>128</v>
      </c>
      <c r="K1"/>
    </row>
    <row r="2" spans="1:20" s="9" customFormat="1" ht="20.100000000000001" customHeight="1" x14ac:dyDescent="0.25">
      <c r="K2"/>
    </row>
    <row r="3" spans="1:20" ht="20.100000000000001" customHeight="1" x14ac:dyDescent="0.25">
      <c r="A3" s="17" t="str">
        <f>HYPERLINK("#'Home'!A1", "Home")</f>
        <v>Home</v>
      </c>
      <c r="C3" s="4"/>
      <c r="D3" s="4" t="s">
        <v>79</v>
      </c>
      <c r="E3" s="4"/>
      <c r="F3" s="4"/>
      <c r="G3" s="4"/>
      <c r="H3" s="4"/>
      <c r="I3" s="4"/>
      <c r="J3" s="4"/>
      <c r="L3" s="4"/>
      <c r="M3" s="4" t="s">
        <v>80</v>
      </c>
      <c r="N3" s="4"/>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
        <v>232</v>
      </c>
      <c r="E5" s="22"/>
      <c r="F5" s="22"/>
      <c r="G5" s="22"/>
      <c r="H5" s="22"/>
      <c r="L5" s="22"/>
      <c r="M5" s="6" t="s">
        <v>234</v>
      </c>
      <c r="N5" s="22"/>
      <c r="O5" s="22"/>
      <c r="P5" s="22"/>
      <c r="Q5" s="22"/>
    </row>
    <row r="6" spans="1:20" ht="20.100000000000001" customHeight="1" x14ac:dyDescent="0.25">
      <c r="A6" s="16"/>
      <c r="D6" s="5" t="s">
        <v>233</v>
      </c>
      <c r="E6" s="22"/>
      <c r="F6" s="22"/>
      <c r="G6" s="22"/>
      <c r="H6" s="22"/>
      <c r="J6" s="22"/>
      <c r="L6" s="22"/>
      <c r="M6" s="5" t="s">
        <v>235</v>
      </c>
      <c r="N6" s="22"/>
      <c r="O6" s="22"/>
      <c r="P6" s="22"/>
      <c r="Q6" s="22"/>
    </row>
    <row r="7" spans="1:20" ht="20.100000000000001" customHeight="1" x14ac:dyDescent="0.25">
      <c r="A7" s="20" t="s">
        <v>1</v>
      </c>
      <c r="D7" s="13"/>
      <c r="E7" s="13"/>
      <c r="F7" s="22"/>
      <c r="G7" s="22"/>
      <c r="H7" s="22"/>
      <c r="J7" s="22"/>
      <c r="L7" s="22"/>
      <c r="M7" s="53" t="str">
        <f>"⚠️" &amp; ("VARIATION FROM SOURCE: Added 'baled' to variable subscript")</f>
        <v>⚠️VARIATION FROM SOURCE: Added 'baled' to variable subscript</v>
      </c>
      <c r="N7" s="22"/>
      <c r="O7" s="22"/>
      <c r="P7" s="22"/>
      <c r="Q7" s="22"/>
    </row>
    <row r="8" spans="1:20" ht="20.100000000000001" customHeight="1" x14ac:dyDescent="0.25">
      <c r="A8" s="17" t="str">
        <f>HYPERLINK("#'Input - Site'!A1", "Site")</f>
        <v>Site</v>
      </c>
      <c r="F8" s="22"/>
      <c r="G8" s="22"/>
      <c r="H8" s="22"/>
      <c r="J8" s="22"/>
      <c r="L8" s="22"/>
      <c r="M8" s="13"/>
      <c r="N8" s="13"/>
      <c r="O8" s="22"/>
      <c r="P8" s="22"/>
      <c r="Q8" s="22"/>
    </row>
    <row r="9" spans="1:20" ht="20.100000000000001" customHeight="1" x14ac:dyDescent="0.25">
      <c r="A9" s="17" t="str">
        <f>HYPERLINK("#'Input - Crop'!A1", "Crop")</f>
        <v>Crop</v>
      </c>
      <c r="D9" s="22"/>
      <c r="E9" s="22"/>
      <c r="F9" s="22"/>
      <c r="G9" s="22"/>
      <c r="H9" s="22"/>
      <c r="J9" s="22"/>
      <c r="L9" s="22"/>
      <c r="M9" s="22"/>
      <c r="N9" s="22"/>
      <c r="O9" s="22"/>
      <c r="P9" s="22"/>
      <c r="Q9" s="22"/>
    </row>
    <row r="10" spans="1:20" ht="20.100000000000001" customHeight="1" x14ac:dyDescent="0.25">
      <c r="A10" s="17" t="str">
        <f>HYPERLINK("#'Input - Pasture'!A1", "Pasture")</f>
        <v>Pasture</v>
      </c>
      <c r="D10" s="51" t="s">
        <v>24</v>
      </c>
      <c r="E10" s="1" t="s">
        <v>236</v>
      </c>
      <c r="F10" s="22"/>
      <c r="G10" s="22"/>
      <c r="H10" s="22"/>
      <c r="J10" s="22"/>
      <c r="L10" s="22"/>
      <c r="M10" s="22"/>
      <c r="N10" s="22"/>
      <c r="O10" s="22"/>
      <c r="P10" s="22"/>
      <c r="Q10" s="22"/>
    </row>
    <row r="11" spans="1:20" ht="20.100000000000001" customHeight="1" x14ac:dyDescent="0.25">
      <c r="D11" s="51" t="s">
        <v>16</v>
      </c>
      <c r="E11" s="52" t="s">
        <v>237</v>
      </c>
      <c r="F11" s="22"/>
      <c r="G11" s="22"/>
      <c r="H11" s="22"/>
      <c r="J11" s="22"/>
      <c r="L11" s="22"/>
      <c r="M11" s="22"/>
      <c r="N11" s="22"/>
      <c r="O11" s="22"/>
      <c r="P11" s="22"/>
      <c r="Q11" s="22"/>
    </row>
    <row r="12" spans="1:20" ht="20.100000000000001" customHeight="1" x14ac:dyDescent="0.25">
      <c r="A12" s="19" t="s">
        <v>68</v>
      </c>
      <c r="D12" s="22"/>
      <c r="E12" s="22"/>
      <c r="F12" s="22"/>
      <c r="G12" s="22"/>
      <c r="J12" s="22"/>
      <c r="L12" s="22"/>
      <c r="M12" s="51" t="s">
        <v>24</v>
      </c>
      <c r="N12" s="1" t="s">
        <v>262</v>
      </c>
      <c r="O12" s="22"/>
      <c r="P12" s="22"/>
      <c r="Q12" s="22"/>
    </row>
    <row r="13" spans="1:20" ht="20.100000000000001" customHeight="1" x14ac:dyDescent="0.25">
      <c r="A13" s="131" t="str">
        <f>HYPERLINK("#'6.1.1.1-2 Crop residue N2O'!A1", "6.1.1.1-2 Crop residue N2O")</f>
        <v>6.1.1.1-2 Crop residue N2O</v>
      </c>
      <c r="D13" s="117" t="s">
        <v>238</v>
      </c>
      <c r="E13" s="121" t="s">
        <v>239</v>
      </c>
      <c r="F13" s="120"/>
      <c r="G13" s="117" t="s">
        <v>256</v>
      </c>
      <c r="H13" s="111" t="s">
        <v>257</v>
      </c>
      <c r="I13" s="117">
        <f>'Input - Crop'!$E$17*10^3</f>
        <v>10000</v>
      </c>
      <c r="J13" s="22"/>
      <c r="L13" s="22"/>
      <c r="M13" s="51" t="s">
        <v>16</v>
      </c>
      <c r="N13" s="52" t="s">
        <v>258</v>
      </c>
      <c r="O13" s="22"/>
      <c r="P13" s="22"/>
      <c r="Q13" s="22"/>
    </row>
    <row r="14" spans="1:20" ht="20.100000000000001" customHeight="1" x14ac:dyDescent="0.25">
      <c r="A14" s="17" t="str">
        <f>HYPERLINK("#'6.2.1.1-2 Pasture residue N2O'!A1", "6.2.1.1-2 Pasture residue N2O")</f>
        <v>6.2.1.1-2 Pasture residue N2O</v>
      </c>
      <c r="D14" s="117" t="s">
        <v>240</v>
      </c>
      <c r="E14" s="121" t="s">
        <v>241</v>
      </c>
      <c r="F14" s="120"/>
      <c r="G14" s="117" t="s">
        <v>258</v>
      </c>
      <c r="H14" s="110" t="s">
        <v>259</v>
      </c>
      <c r="I14" s="117">
        <f>'Input - Crop'!$E$18</f>
        <v>1.5</v>
      </c>
      <c r="J14" s="22"/>
      <c r="L14" s="22"/>
      <c r="M14" s="22"/>
      <c r="N14" s="22"/>
      <c r="O14" s="22"/>
      <c r="P14" s="22"/>
    </row>
    <row r="15" spans="1:20" ht="20.100000000000001" customHeight="1" x14ac:dyDescent="0.25">
      <c r="A15" s="17" t="str">
        <f>HYPERLINK("#'6.3.1.1-2 Leaching and runoff'!A1", "6.3.1.1-2 Leaching and runoff")</f>
        <v>6.3.1.1-2 Leaching and runoff</v>
      </c>
      <c r="D15" s="117" t="s">
        <v>242</v>
      </c>
      <c r="E15" s="121" t="s">
        <v>243</v>
      </c>
      <c r="F15" s="120"/>
      <c r="G15" s="117" t="s">
        <v>258</v>
      </c>
      <c r="H15" s="110" t="s">
        <v>259</v>
      </c>
      <c r="I15" s="117" cm="1">
        <f t="array" ref="I15">Common_InputFunctions.Utility_LookupValueInTableNumber($I$21,Table_SourceData_CropAttributes[Crop type],Table_SourceData_CropAttributes[Below-ground: above-ground residue ratio])</f>
        <v>0.28999999999999998</v>
      </c>
      <c r="L15" s="22"/>
      <c r="M15" s="117" t="s">
        <v>263</v>
      </c>
      <c r="N15" s="117" t="s">
        <v>264</v>
      </c>
      <c r="O15" s="117" t="s">
        <v>258</v>
      </c>
      <c r="P15" s="111" t="s">
        <v>257</v>
      </c>
      <c r="Q15" s="139">
        <f>'Input - Crop'!$E$35</f>
        <v>25000</v>
      </c>
    </row>
    <row r="16" spans="1:20" ht="20.100000000000001" customHeight="1" x14ac:dyDescent="0.25">
      <c r="A16" s="17" t="str">
        <f>HYPERLINK("#'6.4.1.1-2 Residue burning'!A1", "6.4.1.1-2 Residue burning")</f>
        <v>6.4.1.1-2 Residue burning</v>
      </c>
      <c r="D16" s="117" t="s">
        <v>244</v>
      </c>
      <c r="E16" s="121" t="s">
        <v>245</v>
      </c>
      <c r="F16" s="120"/>
      <c r="G16" s="117" t="s">
        <v>258</v>
      </c>
      <c r="H16" s="111" t="s">
        <v>257</v>
      </c>
      <c r="I16" s="117">
        <f>'Input - Crop'!$E$43</f>
        <v>0.3</v>
      </c>
      <c r="L16" s="22"/>
      <c r="M16" s="117" t="s">
        <v>265</v>
      </c>
      <c r="N16" s="117" t="s">
        <v>266</v>
      </c>
      <c r="O16" s="117" t="s">
        <v>256</v>
      </c>
      <c r="P16" s="111" t="s">
        <v>257</v>
      </c>
      <c r="Q16" s="117">
        <f>'Input - Crop'!$E$34</f>
        <v>60</v>
      </c>
    </row>
    <row r="17" spans="1:17" ht="20.100000000000001" customHeight="1" x14ac:dyDescent="0.25">
      <c r="A17" s="17"/>
      <c r="D17" s="117" t="s">
        <v>246</v>
      </c>
      <c r="E17" s="121" t="s">
        <v>247</v>
      </c>
      <c r="F17" s="120"/>
      <c r="G17" s="117" t="s">
        <v>258</v>
      </c>
      <c r="H17" s="110" t="s">
        <v>259</v>
      </c>
      <c r="I17" s="117" cm="1">
        <f t="array" ref="I17">IF(ISNUMBER(_xlfn.XLOOKUP(1, (Table77[Crop type c]=$I$21)*(Table77[State]=$I$22),Table77[Fraction removed])), _xlfn.XLOOKUP(1, (Table77[Crop type c]=$I$21)*(Table77[State]=$I$22),Table77[Fraction removed]), 0)</f>
        <v>0.11</v>
      </c>
      <c r="L17" s="22"/>
      <c r="M17" s="117" t="s">
        <v>238</v>
      </c>
      <c r="N17" s="117" t="s">
        <v>239</v>
      </c>
      <c r="O17" s="117" t="s">
        <v>256</v>
      </c>
      <c r="P17" s="111" t="s">
        <v>257</v>
      </c>
      <c r="Q17" s="117">
        <f>'Input - Crop'!$E$22*10^3</f>
        <v>10000000</v>
      </c>
    </row>
    <row r="18" spans="1:17" ht="20.100000000000001" customHeight="1" x14ac:dyDescent="0.25">
      <c r="A18" s="18" t="s">
        <v>2</v>
      </c>
      <c r="D18" s="117" t="s">
        <v>248</v>
      </c>
      <c r="E18" s="121" t="s">
        <v>249</v>
      </c>
      <c r="F18" s="120"/>
      <c r="G18" s="117" t="s">
        <v>260</v>
      </c>
      <c r="H18" s="110" t="s">
        <v>259</v>
      </c>
      <c r="I18" s="117" cm="1">
        <f t="array" ref="I18">Common_InputFunctions.Utility_LookupValueInTableNumber($I$21,Table_SourceData_CropAttributes[Crop type],Table_SourceData_CropAttributes[Dry matter content])</f>
        <v>0.88</v>
      </c>
      <c r="L18" s="22"/>
      <c r="M18" s="117" t="s">
        <v>240</v>
      </c>
      <c r="N18" s="117" t="s">
        <v>241</v>
      </c>
      <c r="O18" s="117" t="s">
        <v>258</v>
      </c>
      <c r="P18" s="111" t="s">
        <v>257</v>
      </c>
      <c r="Q18" s="117">
        <f>'Input - Crop'!$E$18</f>
        <v>1.5</v>
      </c>
    </row>
    <row r="19" spans="1:17" ht="20.100000000000001" customHeight="1" x14ac:dyDescent="0.25">
      <c r="A19" s="17" t="str">
        <f>HYPERLINK("#'Constants - Ag Residue'!A1", "Constants - Ag Residue")</f>
        <v>Constants - Ag Residue</v>
      </c>
      <c r="D19" s="117" t="s">
        <v>250</v>
      </c>
      <c r="E19" s="121" t="s">
        <v>251</v>
      </c>
      <c r="F19" s="120"/>
      <c r="G19" s="117" t="s">
        <v>261</v>
      </c>
      <c r="H19" s="110" t="s">
        <v>259</v>
      </c>
      <c r="I19" s="117" cm="1">
        <f t="array" ref="I19">Common_InputFunctions.Utility_LookupValueInTableNumber($I$21,Table_SourceData_CropAttributes[Crop type],Table_SourceData_CropAttributes[N content above-ground])</f>
        <v>6.0000000000000001E-3</v>
      </c>
      <c r="L19" s="22"/>
      <c r="M19" s="117" t="s">
        <v>254</v>
      </c>
      <c r="N19" s="117" t="s">
        <v>109</v>
      </c>
      <c r="O19" s="117"/>
      <c r="P19" s="111" t="s">
        <v>257</v>
      </c>
      <c r="Q19" s="117" t="s">
        <v>132</v>
      </c>
    </row>
    <row r="20" spans="1:17" ht="20.100000000000001" customHeight="1" x14ac:dyDescent="0.25">
      <c r="A20" s="17" t="str">
        <f>HYPERLINK("#'Constants - Common'!A1", "Constants - Common")</f>
        <v>Constants - Common</v>
      </c>
      <c r="D20" s="117" t="s">
        <v>252</v>
      </c>
      <c r="E20" s="121" t="s">
        <v>253</v>
      </c>
      <c r="F20" s="120"/>
      <c r="G20" s="117" t="s">
        <v>261</v>
      </c>
      <c r="H20" s="110" t="s">
        <v>259</v>
      </c>
      <c r="I20" s="117" cm="1">
        <f t="array" ref="I20">Common_InputFunctions.Utility_LookupValueInTableNumber($I$21,Table_SourceData_CropAttributes[Crop type],Table_SourceData_CropAttributes[N content below-ground])</f>
        <v>0.01</v>
      </c>
      <c r="L20" s="22"/>
      <c r="M20" s="22"/>
      <c r="N20" s="22"/>
      <c r="O20" s="22"/>
      <c r="P20" s="22"/>
      <c r="Q20" s="22"/>
    </row>
    <row r="21" spans="1:17" ht="20.100000000000001" customHeight="1" x14ac:dyDescent="0.25">
      <c r="D21" s="117" t="s">
        <v>254</v>
      </c>
      <c r="E21" s="121" t="s">
        <v>109</v>
      </c>
      <c r="F21" s="120"/>
      <c r="G21" s="117"/>
      <c r="H21" s="111" t="s">
        <v>257</v>
      </c>
      <c r="I21" s="117" t="str">
        <f>'Input - Crop'!$E$9</f>
        <v>Wheat</v>
      </c>
      <c r="L21" s="22"/>
      <c r="M21" s="118" t="s">
        <v>174</v>
      </c>
      <c r="N21" s="44">
        <f>(IFERROR((Q15 * Q16) / (Q17 * Q18), 0))</f>
        <v>0.1</v>
      </c>
    </row>
    <row r="22" spans="1:17" ht="20.100000000000001" customHeight="1" x14ac:dyDescent="0.25">
      <c r="D22" s="117" t="s">
        <v>6</v>
      </c>
      <c r="E22" s="121" t="s">
        <v>255</v>
      </c>
      <c r="F22" s="120"/>
      <c r="G22" s="117"/>
      <c r="H22" s="111" t="s">
        <v>257</v>
      </c>
      <c r="I22" s="117" t="str">
        <f>Common_InputFunctions.Utility_ConvertStateCommonNameToAbbreviation('Input - Site'!$E$21,Table_AustralianStates[Common Name],Table_AustralianStates[Abbreviation])</f>
        <v>WA</v>
      </c>
      <c r="L22" s="22"/>
      <c r="M22" s="22"/>
      <c r="N22" s="22"/>
      <c r="O22" s="22"/>
      <c r="P22" s="22"/>
      <c r="Q22" s="22"/>
    </row>
    <row r="23" spans="1:17" ht="20.100000000000001" customHeight="1" x14ac:dyDescent="0.25">
      <c r="D23" s="22"/>
      <c r="E23" s="22"/>
      <c r="F23" s="22"/>
      <c r="G23" s="22"/>
      <c r="H23" s="22"/>
      <c r="L23" s="22"/>
      <c r="M23" s="22"/>
      <c r="N23" s="22"/>
      <c r="O23" s="22"/>
      <c r="P23" s="22"/>
      <c r="Q23" s="22"/>
    </row>
    <row r="24" spans="1:17" ht="20.100000000000001" customHeight="1" x14ac:dyDescent="0.25">
      <c r="D24" s="118" t="s">
        <v>176</v>
      </c>
      <c r="E24" s="138">
        <f>((I13 * I14 * (1 - I16 - I17) * I18 * I19) + (I13 * I14 * I15 * I18 * I20))</f>
        <v>85.00800000000001</v>
      </c>
      <c r="F24" s="119" t="str">
        <f>$E$11</f>
        <v>kg N</v>
      </c>
      <c r="L24" s="22"/>
      <c r="M24" s="6" t="s">
        <v>267</v>
      </c>
      <c r="N24" s="22"/>
      <c r="O24" s="22"/>
      <c r="P24" s="22"/>
      <c r="Q24" s="22"/>
    </row>
    <row r="25" spans="1:17" ht="20.100000000000001" customHeight="1" x14ac:dyDescent="0.25">
      <c r="D25" s="51"/>
      <c r="E25" s="22"/>
      <c r="F25" s="22"/>
      <c r="G25" s="22"/>
      <c r="H25" s="22"/>
      <c r="L25" s="22"/>
      <c r="M25" s="6"/>
      <c r="N25" s="22"/>
      <c r="O25" s="22"/>
      <c r="P25" s="22"/>
      <c r="Q25" s="22"/>
    </row>
    <row r="26" spans="1:17" ht="20.100000000000001" customHeight="1" x14ac:dyDescent="0.25">
      <c r="D26" s="22"/>
      <c r="E26" s="22"/>
      <c r="F26" s="22"/>
      <c r="G26" s="22"/>
      <c r="H26" s="22"/>
      <c r="L26" s="22"/>
      <c r="M26" s="53" t="str">
        <f>"⚠️" &amp; ("VARIATION FROM SOURCE: Added this equation to accommodate user-defined residue removal other than baling.")</f>
        <v>⚠️VARIATION FROM SOURCE: Added this equation to accommodate user-defined residue removal other than baling.</v>
      </c>
      <c r="N26" s="22"/>
      <c r="O26" s="22"/>
      <c r="P26" s="22"/>
      <c r="Q26" s="22"/>
    </row>
    <row r="27" spans="1:17" ht="20.100000000000001" customHeight="1" x14ac:dyDescent="0.25">
      <c r="D27" s="137"/>
      <c r="E27" s="137"/>
      <c r="F27" s="137"/>
      <c r="G27" s="137"/>
      <c r="H27" s="137"/>
      <c r="I27" s="137"/>
      <c r="L27" s="22"/>
      <c r="M27" s="22"/>
      <c r="N27" s="22"/>
      <c r="O27" s="22"/>
      <c r="P27" s="22"/>
      <c r="Q27" s="22"/>
    </row>
    <row r="28" spans="1:17" ht="20.100000000000001" customHeight="1" x14ac:dyDescent="0.25">
      <c r="D28" s="6" t="s">
        <v>268</v>
      </c>
      <c r="E28" s="22"/>
      <c r="F28" s="22"/>
      <c r="G28" s="22"/>
      <c r="H28" s="22"/>
      <c r="J28" s="22"/>
      <c r="L28" s="22"/>
      <c r="M28" s="22"/>
      <c r="N28" s="22"/>
      <c r="O28" s="22"/>
      <c r="P28" s="22"/>
      <c r="Q28" s="22"/>
    </row>
    <row r="29" spans="1:17" ht="20.100000000000001" customHeight="1" x14ac:dyDescent="0.25">
      <c r="D29" s="5" t="s">
        <v>269</v>
      </c>
      <c r="E29" s="22"/>
      <c r="F29" s="22"/>
      <c r="G29" s="22"/>
      <c r="H29" s="22"/>
      <c r="J29" s="22"/>
      <c r="L29" s="22"/>
      <c r="M29" s="22"/>
      <c r="N29" s="22"/>
      <c r="O29" s="22"/>
      <c r="P29" s="53"/>
      <c r="Q29" s="22"/>
    </row>
    <row r="30" spans="1:17" ht="20.100000000000001" customHeight="1" x14ac:dyDescent="0.25">
      <c r="D30" s="13"/>
      <c r="E30" s="13"/>
      <c r="F30" s="22"/>
      <c r="G30" s="22"/>
      <c r="H30" s="22"/>
      <c r="L30" s="22"/>
      <c r="M30" s="51" t="s">
        <v>24</v>
      </c>
      <c r="N30" s="1" t="s">
        <v>246</v>
      </c>
      <c r="O30" s="22"/>
      <c r="P30" s="22"/>
      <c r="Q30" s="22"/>
    </row>
    <row r="31" spans="1:17" ht="20.100000000000001" customHeight="1" x14ac:dyDescent="0.25">
      <c r="F31" s="22"/>
      <c r="G31" s="22"/>
      <c r="H31" s="22"/>
      <c r="J31" s="22"/>
      <c r="L31" s="22"/>
      <c r="M31" s="51" t="s">
        <v>16</v>
      </c>
      <c r="N31" s="52" t="s">
        <v>258</v>
      </c>
      <c r="O31" s="22"/>
      <c r="P31" s="22"/>
      <c r="Q31" s="22"/>
    </row>
    <row r="32" spans="1:17" ht="20.100000000000001" customHeight="1" x14ac:dyDescent="0.25">
      <c r="D32" s="22"/>
      <c r="E32" s="22"/>
      <c r="F32" s="22"/>
      <c r="G32" s="22"/>
      <c r="H32" s="22"/>
      <c r="J32" s="22"/>
      <c r="M32" s="22"/>
      <c r="N32" s="22"/>
      <c r="O32" s="22"/>
      <c r="P32" s="22"/>
      <c r="Q32" s="22"/>
    </row>
    <row r="33" spans="1:20" ht="20.100000000000001" customHeight="1" x14ac:dyDescent="0.25">
      <c r="D33" s="51" t="s">
        <v>24</v>
      </c>
      <c r="E33" s="1" t="s">
        <v>274</v>
      </c>
      <c r="F33" s="22"/>
      <c r="G33" s="22"/>
      <c r="H33" s="22"/>
      <c r="J33" s="22"/>
      <c r="M33" s="117" t="s">
        <v>262</v>
      </c>
      <c r="N33" s="117" t="s">
        <v>234</v>
      </c>
      <c r="O33" s="117"/>
      <c r="P33" s="117"/>
      <c r="Q33" s="117" t="s">
        <v>272</v>
      </c>
      <c r="R33" s="110" t="s">
        <v>273</v>
      </c>
      <c r="S33" s="117">
        <f>$N$21</f>
        <v>0.1</v>
      </c>
    </row>
    <row r="34" spans="1:20" ht="20.100000000000001" customHeight="1" x14ac:dyDescent="0.25">
      <c r="D34" s="51" t="s">
        <v>16</v>
      </c>
      <c r="E34" s="52" t="s">
        <v>99</v>
      </c>
      <c r="F34" s="22"/>
      <c r="G34" s="22"/>
      <c r="H34" s="22"/>
      <c r="J34" s="22"/>
      <c r="M34" s="117" t="s">
        <v>270</v>
      </c>
      <c r="N34" s="117" t="s">
        <v>271</v>
      </c>
      <c r="O34" s="117"/>
      <c r="P34" s="117"/>
      <c r="Q34" s="117" t="s">
        <v>272</v>
      </c>
      <c r="R34" s="111" t="s">
        <v>257</v>
      </c>
      <c r="S34" s="117">
        <f>'Input - Crop'!$E$39</f>
        <v>0.01</v>
      </c>
    </row>
    <row r="35" spans="1:20" ht="20.100000000000001" customHeight="1" x14ac:dyDescent="0.25">
      <c r="D35" s="22"/>
      <c r="E35" s="22"/>
      <c r="F35" s="22"/>
      <c r="G35" s="22"/>
      <c r="H35" s="22"/>
      <c r="J35" s="22"/>
      <c r="M35" s="22"/>
      <c r="N35" s="22"/>
      <c r="O35" s="22"/>
      <c r="P35" s="22"/>
      <c r="Q35" s="22"/>
    </row>
    <row r="36" spans="1:20" ht="20.100000000000001" customHeight="1" x14ac:dyDescent="0.25">
      <c r="D36" s="117" t="s">
        <v>236</v>
      </c>
      <c r="E36" s="121" t="s">
        <v>275</v>
      </c>
      <c r="F36" s="120"/>
      <c r="G36" s="117" t="s">
        <v>237</v>
      </c>
      <c r="H36" s="110" t="s">
        <v>281</v>
      </c>
      <c r="I36" s="117">
        <f>E24</f>
        <v>85.00800000000001</v>
      </c>
      <c r="J36" s="22"/>
      <c r="M36" s="118" t="s">
        <v>175</v>
      </c>
      <c r="N36" s="44">
        <f>($S$33 + $S$34)</f>
        <v>0.11</v>
      </c>
    </row>
    <row r="37" spans="1:20" ht="20.100000000000001" customHeight="1" x14ac:dyDescent="0.25">
      <c r="A37" s="123"/>
      <c r="D37" s="117" t="s">
        <v>276</v>
      </c>
      <c r="E37" s="121" t="s">
        <v>277</v>
      </c>
      <c r="F37" s="120"/>
      <c r="G37" s="117" t="s">
        <v>282</v>
      </c>
      <c r="H37" s="110" t="s">
        <v>259</v>
      </c>
      <c r="I37" s="117" cm="1">
        <f t="array" ref="I37">Common_InputFunctions.Utility_LookupValueInTableNumber(I40,Table_SourceData_N2OEFOrganicFert[Climate zone type i],Table_SourceData_N2OEFOrganicFert[EF i N2O])</f>
        <v>5.0000000000000001E-3</v>
      </c>
      <c r="J37" s="22"/>
      <c r="L37" s="22"/>
      <c r="M37" s="22"/>
    </row>
    <row r="38" spans="1:20" ht="20.100000000000001" customHeight="1" x14ac:dyDescent="0.25">
      <c r="D38" s="117" t="s">
        <v>278</v>
      </c>
      <c r="E38" s="121" t="s">
        <v>279</v>
      </c>
      <c r="F38" s="120"/>
      <c r="G38" s="117" t="s">
        <v>258</v>
      </c>
      <c r="H38" s="110" t="s">
        <v>259</v>
      </c>
      <c r="I38" s="117">
        <f>Common_InputFunctions.Utility_LookupValueInTableNumber("N2O",Table_GasToMolecularConversionFactor[Gas],Table_GasToMolecularConversionFactor[Conversion factor combined])</f>
        <v>1.5714285714285714</v>
      </c>
      <c r="J38" s="22"/>
      <c r="L38" s="22"/>
      <c r="M38" s="22"/>
    </row>
    <row r="39" spans="1:20" ht="20.100000000000001" customHeight="1" x14ac:dyDescent="0.25">
      <c r="D39" s="117" t="s">
        <v>254</v>
      </c>
      <c r="E39" s="121" t="s">
        <v>109</v>
      </c>
      <c r="F39" s="120"/>
      <c r="G39" s="117"/>
      <c r="H39" s="111" t="s">
        <v>257</v>
      </c>
      <c r="I39" s="117" t="str">
        <f>'Input - Crop'!$E$9</f>
        <v>Wheat</v>
      </c>
      <c r="J39" s="22"/>
      <c r="L39" s="44"/>
      <c r="M39" s="44"/>
      <c r="N39" s="44"/>
      <c r="O39" s="44"/>
      <c r="P39" s="44"/>
      <c r="Q39" s="44"/>
      <c r="R39" s="44"/>
      <c r="S39" s="44"/>
      <c r="T39" s="44"/>
    </row>
    <row r="40" spans="1:20" ht="20.100000000000001" customHeight="1" x14ac:dyDescent="0.25">
      <c r="D40" s="117" t="s">
        <v>280</v>
      </c>
      <c r="E40" s="121" t="s">
        <v>72</v>
      </c>
      <c r="F40" s="120"/>
      <c r="G40" s="117"/>
      <c r="H40" s="111" t="s">
        <v>257</v>
      </c>
      <c r="I40" s="117" t="str">
        <f>'Input - Site'!$E$32</f>
        <v>Dry climate zone</v>
      </c>
      <c r="M40" s="6" t="s">
        <v>232</v>
      </c>
      <c r="N40" s="22"/>
      <c r="O40" s="22"/>
      <c r="P40" s="22"/>
      <c r="Q40" s="22"/>
    </row>
    <row r="41" spans="1:20" ht="20.100000000000001" customHeight="1" x14ac:dyDescent="0.25">
      <c r="D41" s="22"/>
      <c r="E41" s="22"/>
      <c r="F41" s="22"/>
      <c r="G41" s="22"/>
      <c r="H41" s="22"/>
      <c r="L41" s="22"/>
      <c r="M41" s="5" t="s">
        <v>233</v>
      </c>
      <c r="N41" s="22"/>
      <c r="O41" s="22"/>
      <c r="P41" s="22"/>
      <c r="Q41" s="22"/>
    </row>
    <row r="42" spans="1:20" ht="20.100000000000001" customHeight="1" x14ac:dyDescent="0.25">
      <c r="D42" s="93" t="s">
        <v>108</v>
      </c>
      <c r="E42" s="94">
        <f>(I36 * I37 * I38 * 10 ^ (-3))</f>
        <v>6.6792000000000012E-4</v>
      </c>
      <c r="F42" s="95" t="str">
        <f>$E$34</f>
        <v>t N2O</v>
      </c>
      <c r="H42" s="22"/>
      <c r="L42" s="22"/>
      <c r="M42" s="13"/>
      <c r="N42" s="13"/>
      <c r="O42" s="22"/>
      <c r="P42" s="22"/>
      <c r="Q42" s="22"/>
    </row>
    <row r="43" spans="1:20" ht="20.100000000000001" customHeight="1" x14ac:dyDescent="0.25">
      <c r="H43" s="22"/>
      <c r="L43" s="22"/>
      <c r="O43" s="22"/>
      <c r="P43" s="22"/>
      <c r="Q43" s="22"/>
    </row>
    <row r="44" spans="1:20" ht="20.100000000000001" customHeight="1" x14ac:dyDescent="0.25">
      <c r="D44" s="54" t="str" cm="1">
        <f t="array" ref="D44:E45">Common_Equations.Common_ConvertN2OToCO2e_Arguments()</f>
        <v>EN2O</v>
      </c>
      <c r="E44" s="55" t="str">
        <v>Nitrous oxide emissions (t N2O)</v>
      </c>
      <c r="F44" s="96"/>
      <c r="G44" s="50">
        <f>E42</f>
        <v>6.6792000000000012E-4</v>
      </c>
      <c r="L44" s="22"/>
      <c r="M44" s="22"/>
      <c r="N44" s="22"/>
      <c r="O44" s="22"/>
      <c r="P44" s="22"/>
      <c r="Q44" s="22"/>
    </row>
    <row r="45" spans="1:20" ht="20.100000000000001" customHeight="1" x14ac:dyDescent="0.25">
      <c r="D45" s="54" t="str">
        <v>GWPN2O</v>
      </c>
      <c r="E45" s="55" t="str">
        <v>Global warming potential for nitrous oxide (t CO2-e / t N2O)</v>
      </c>
      <c r="F45" s="96"/>
      <c r="G45" s="50">
        <f>Common_InputFunctions.Utility_LookupValueInTableNumber("N2O",Table_GWPData[Gas],Table_GWPData[CO2-e factor])</f>
        <v>265</v>
      </c>
      <c r="J45" s="22"/>
      <c r="L45" s="22"/>
      <c r="M45" s="51" t="s">
        <v>24</v>
      </c>
      <c r="N45" s="1" t="s">
        <v>236</v>
      </c>
      <c r="O45" s="22"/>
      <c r="P45" s="22"/>
      <c r="Q45" s="22"/>
    </row>
    <row r="46" spans="1:20" ht="20.100000000000001" customHeight="1" x14ac:dyDescent="0.25">
      <c r="H46" s="22"/>
      <c r="J46" s="22"/>
      <c r="L46" s="22"/>
      <c r="M46" s="51" t="s">
        <v>16</v>
      </c>
      <c r="N46" s="52" t="s">
        <v>237</v>
      </c>
      <c r="O46" s="22"/>
      <c r="P46" s="22"/>
      <c r="Q46" s="22"/>
    </row>
    <row r="47" spans="1:20" ht="20.100000000000001" customHeight="1" x14ac:dyDescent="0.25">
      <c r="A47" s="123" t="str">
        <f>HYPERLINK("#A1", "▲ Back to top")</f>
        <v>▲ Back to top</v>
      </c>
      <c r="D47" s="44" t="s">
        <v>78</v>
      </c>
      <c r="E47" s="44" cm="1">
        <f t="array" ref="E47">Common_Equations.Common_ConvertN2OToCO2e(G44,G45)</f>
        <v>0.17699880000000004</v>
      </c>
      <c r="F47" s="97" t="str" cm="1">
        <f t="array" ref="F47">Common_Equations.Common_ConvertN2OToCO2e_Unit()</f>
        <v>t CO2e</v>
      </c>
      <c r="H47" s="22"/>
      <c r="J47" s="22"/>
      <c r="L47" s="22"/>
      <c r="M47" s="22"/>
      <c r="N47" s="22"/>
      <c r="O47" s="22"/>
      <c r="P47" s="22"/>
    </row>
    <row r="48" spans="1:20" ht="20.100000000000001" customHeight="1" x14ac:dyDescent="0.25">
      <c r="D48" s="22"/>
      <c r="E48" s="22"/>
      <c r="F48" s="103"/>
      <c r="G48" s="22"/>
      <c r="H48" s="22"/>
      <c r="I48" s="22"/>
      <c r="J48" s="22"/>
      <c r="L48" s="22"/>
      <c r="M48" s="117" t="s">
        <v>238</v>
      </c>
      <c r="N48" s="121" t="s">
        <v>239</v>
      </c>
      <c r="O48" s="120"/>
      <c r="P48" s="117" t="s">
        <v>256</v>
      </c>
      <c r="Q48" s="111" t="s">
        <v>257</v>
      </c>
      <c r="R48" s="117"/>
    </row>
    <row r="49" spans="10:20" ht="20.100000000000001" customHeight="1" x14ac:dyDescent="0.25">
      <c r="J49" s="22"/>
      <c r="M49" s="117" t="s">
        <v>240</v>
      </c>
      <c r="N49" s="121" t="s">
        <v>241</v>
      </c>
      <c r="O49" s="120"/>
      <c r="P49" s="117" t="s">
        <v>258</v>
      </c>
      <c r="Q49" s="110" t="s">
        <v>259</v>
      </c>
      <c r="R49" s="117"/>
    </row>
    <row r="50" spans="10:20" ht="20.100000000000001" customHeight="1" x14ac:dyDescent="0.25">
      <c r="J50" s="22"/>
      <c r="M50" s="117" t="s">
        <v>242</v>
      </c>
      <c r="N50" s="121" t="s">
        <v>243</v>
      </c>
      <c r="O50" s="120"/>
      <c r="P50" s="117" t="s">
        <v>258</v>
      </c>
      <c r="Q50" s="110" t="s">
        <v>259</v>
      </c>
      <c r="R50" s="117"/>
    </row>
    <row r="51" spans="10:20" ht="20.100000000000001" customHeight="1" x14ac:dyDescent="0.25">
      <c r="J51" s="22"/>
      <c r="M51" s="117" t="s">
        <v>244</v>
      </c>
      <c r="N51" s="121" t="s">
        <v>245</v>
      </c>
      <c r="O51" s="120"/>
      <c r="P51" s="117" t="s">
        <v>258</v>
      </c>
      <c r="Q51" s="111" t="s">
        <v>257</v>
      </c>
      <c r="R51" s="117"/>
    </row>
    <row r="52" spans="10:20" ht="20.100000000000001" customHeight="1" x14ac:dyDescent="0.25">
      <c r="J52" s="22"/>
      <c r="M52" s="117" t="s">
        <v>246</v>
      </c>
      <c r="N52" s="121" t="s">
        <v>247</v>
      </c>
      <c r="O52" s="120"/>
      <c r="P52" s="117" t="s">
        <v>258</v>
      </c>
      <c r="Q52" s="110" t="s">
        <v>283</v>
      </c>
      <c r="R52" s="117">
        <f>N36</f>
        <v>0.11</v>
      </c>
    </row>
    <row r="53" spans="10:20" ht="20.100000000000001" customHeight="1" x14ac:dyDescent="0.25">
      <c r="M53" s="117" t="s">
        <v>248</v>
      </c>
      <c r="N53" s="121" t="s">
        <v>249</v>
      </c>
      <c r="O53" s="120"/>
      <c r="P53" s="117" t="s">
        <v>260</v>
      </c>
      <c r="Q53" s="110" t="s">
        <v>259</v>
      </c>
      <c r="R53" s="117"/>
    </row>
    <row r="54" spans="10:20" ht="20.100000000000001" customHeight="1" x14ac:dyDescent="0.25">
      <c r="M54" s="117" t="s">
        <v>250</v>
      </c>
      <c r="N54" s="121" t="s">
        <v>251</v>
      </c>
      <c r="O54" s="120"/>
      <c r="P54" s="117" t="s">
        <v>261</v>
      </c>
      <c r="Q54" s="110" t="s">
        <v>259</v>
      </c>
      <c r="R54" s="117"/>
    </row>
    <row r="55" spans="10:20" ht="20.100000000000001" customHeight="1" x14ac:dyDescent="0.25">
      <c r="M55" s="117" t="s">
        <v>252</v>
      </c>
      <c r="N55" s="121" t="s">
        <v>253</v>
      </c>
      <c r="O55" s="120"/>
      <c r="P55" s="117" t="s">
        <v>261</v>
      </c>
      <c r="Q55" s="110" t="s">
        <v>259</v>
      </c>
      <c r="R55" s="117"/>
    </row>
    <row r="56" spans="10:20" ht="20.100000000000001" customHeight="1" x14ac:dyDescent="0.25">
      <c r="M56" s="117" t="s">
        <v>254</v>
      </c>
      <c r="N56" s="121" t="s">
        <v>109</v>
      </c>
      <c r="O56" s="120"/>
      <c r="P56" s="117"/>
      <c r="Q56" s="111" t="s">
        <v>257</v>
      </c>
      <c r="R56" s="117"/>
    </row>
    <row r="57" spans="10:20" ht="20.100000000000001" customHeight="1" x14ac:dyDescent="0.25">
      <c r="M57" s="117" t="s">
        <v>6</v>
      </c>
      <c r="N57" s="121" t="s">
        <v>255</v>
      </c>
      <c r="O57" s="120"/>
      <c r="P57" s="117"/>
      <c r="Q57" s="111" t="s">
        <v>257</v>
      </c>
      <c r="R57" s="117"/>
    </row>
    <row r="58" spans="10:20" ht="20.100000000000001" customHeight="1" x14ac:dyDescent="0.25">
      <c r="M58" s="22"/>
      <c r="N58" s="22"/>
      <c r="O58" s="22"/>
      <c r="P58" s="22"/>
      <c r="Q58" s="22"/>
    </row>
    <row r="59" spans="10:20" ht="20.100000000000001" customHeight="1" x14ac:dyDescent="0.25">
      <c r="M59" s="118" t="s">
        <v>176</v>
      </c>
      <c r="N59" s="138">
        <f>((I13 * I14 * (1 - I16 - R52) * I18 * I19) + (I13 * I14 * I15 * I18 * I20))</f>
        <v>85.00800000000001</v>
      </c>
      <c r="O59" s="119" t="str">
        <f>$E$11</f>
        <v>kg N</v>
      </c>
    </row>
    <row r="60" spans="10:20" ht="20.100000000000001" customHeight="1" x14ac:dyDescent="0.25">
      <c r="M60" s="51"/>
      <c r="N60" s="22"/>
      <c r="O60" s="22"/>
      <c r="P60" s="22"/>
      <c r="Q60" s="22"/>
    </row>
    <row r="61" spans="10:20" ht="20.100000000000001" customHeight="1" x14ac:dyDescent="0.25">
      <c r="M61" s="22"/>
      <c r="N61" s="22"/>
      <c r="O61" s="22"/>
      <c r="P61" s="22"/>
      <c r="Q61" s="22"/>
    </row>
    <row r="62" spans="10:20" ht="20.100000000000001" customHeight="1" x14ac:dyDescent="0.25">
      <c r="L62" s="137"/>
      <c r="M62" s="137"/>
      <c r="N62" s="137"/>
      <c r="O62" s="137"/>
      <c r="P62" s="137"/>
      <c r="Q62" s="137"/>
      <c r="R62" s="137"/>
      <c r="S62" s="137"/>
      <c r="T62" s="137"/>
    </row>
    <row r="63" spans="10:20" ht="20.100000000000001" customHeight="1" x14ac:dyDescent="0.25">
      <c r="L63" s="22"/>
      <c r="M63" s="6" t="s">
        <v>268</v>
      </c>
      <c r="N63" s="22"/>
      <c r="O63" s="22"/>
      <c r="P63" s="22"/>
      <c r="Q63" s="22"/>
    </row>
    <row r="64" spans="10:20" ht="20.100000000000001" customHeight="1" x14ac:dyDescent="0.25">
      <c r="M64" s="5" t="s">
        <v>269</v>
      </c>
      <c r="N64" s="22"/>
      <c r="O64" s="22"/>
      <c r="P64" s="22"/>
      <c r="Q64" s="22"/>
    </row>
    <row r="65" spans="12:18" ht="20.100000000000001" customHeight="1" x14ac:dyDescent="0.25">
      <c r="L65" s="22"/>
      <c r="M65" s="13"/>
      <c r="N65" s="13"/>
      <c r="O65" s="22"/>
      <c r="P65" s="22"/>
      <c r="Q65" s="22"/>
    </row>
    <row r="66" spans="12:18" ht="20.100000000000001" customHeight="1" x14ac:dyDescent="0.25">
      <c r="L66" s="22"/>
      <c r="O66" s="22"/>
      <c r="P66" s="22"/>
      <c r="Q66" s="22"/>
    </row>
    <row r="67" spans="12:18" ht="20.100000000000001" customHeight="1" x14ac:dyDescent="0.25">
      <c r="L67" s="22"/>
      <c r="M67" s="22"/>
      <c r="N67" s="22"/>
      <c r="O67" s="22"/>
      <c r="P67" s="22"/>
      <c r="Q67" s="22"/>
    </row>
    <row r="68" spans="12:18" ht="20.100000000000001" customHeight="1" x14ac:dyDescent="0.25">
      <c r="L68" s="22"/>
      <c r="M68" s="51" t="s">
        <v>24</v>
      </c>
      <c r="N68" s="1" t="s">
        <v>274</v>
      </c>
      <c r="O68" s="22"/>
      <c r="P68" s="22"/>
      <c r="Q68" s="22"/>
    </row>
    <row r="69" spans="12:18" ht="20.100000000000001" customHeight="1" x14ac:dyDescent="0.25">
      <c r="L69" s="22"/>
      <c r="M69" s="51" t="s">
        <v>16</v>
      </c>
      <c r="N69" s="52" t="s">
        <v>99</v>
      </c>
      <c r="O69" s="22"/>
      <c r="P69" s="22"/>
      <c r="Q69" s="22"/>
    </row>
    <row r="70" spans="12:18" ht="20.100000000000001" customHeight="1" x14ac:dyDescent="0.25">
      <c r="L70" s="22"/>
      <c r="M70" s="22"/>
      <c r="N70" s="22"/>
      <c r="O70" s="22"/>
      <c r="P70" s="22"/>
      <c r="Q70" s="22"/>
    </row>
    <row r="71" spans="12:18" ht="20.100000000000001" customHeight="1" x14ac:dyDescent="0.25">
      <c r="L71" s="22"/>
      <c r="M71" s="117" t="s">
        <v>236</v>
      </c>
      <c r="N71" s="121" t="s">
        <v>275</v>
      </c>
      <c r="O71" s="120"/>
      <c r="P71" s="117" t="s">
        <v>237</v>
      </c>
      <c r="Q71" s="110" t="s">
        <v>281</v>
      </c>
      <c r="R71" s="117">
        <f>N59</f>
        <v>85.00800000000001</v>
      </c>
    </row>
    <row r="72" spans="12:18" ht="20.100000000000001" customHeight="1" x14ac:dyDescent="0.25">
      <c r="L72" s="22"/>
      <c r="M72" s="117" t="s">
        <v>276</v>
      </c>
      <c r="N72" s="121" t="s">
        <v>277</v>
      </c>
      <c r="O72" s="120"/>
      <c r="P72" s="117" t="s">
        <v>282</v>
      </c>
      <c r="Q72" s="110" t="s">
        <v>259</v>
      </c>
      <c r="R72" s="117" cm="1">
        <f t="array" ref="R72">Common_InputFunctions.Utility_LookupValueInTableNumber(R75,Table_SourceData_N2OEFOrganicFert[Climate zone type i],Table_SourceData_N2OEFOrganicFert[EF i N2O])</f>
        <v>5.0000000000000001E-3</v>
      </c>
    </row>
    <row r="73" spans="12:18" ht="20.100000000000001" customHeight="1" x14ac:dyDescent="0.25">
      <c r="L73" s="22"/>
      <c r="M73" s="117" t="s">
        <v>278</v>
      </c>
      <c r="N73" s="121" t="s">
        <v>279</v>
      </c>
      <c r="O73" s="120"/>
      <c r="P73" s="117" t="s">
        <v>258</v>
      </c>
      <c r="Q73" s="110" t="s">
        <v>259</v>
      </c>
      <c r="R73" s="117">
        <f>Common_InputFunctions.Utility_LookupValueInTableNumber("N2O",Table_GasToMolecularConversionFactor[Gas],Table_GasToMolecularConversionFactor[Conversion factor combined])</f>
        <v>1.5714285714285714</v>
      </c>
    </row>
    <row r="74" spans="12:18" ht="20.100000000000001" customHeight="1" x14ac:dyDescent="0.25">
      <c r="L74" s="22"/>
      <c r="M74" s="117" t="s">
        <v>254</v>
      </c>
      <c r="N74" s="121" t="s">
        <v>109</v>
      </c>
      <c r="O74" s="120"/>
      <c r="P74" s="117"/>
      <c r="Q74" s="111" t="s">
        <v>257</v>
      </c>
      <c r="R74" s="117" t="s">
        <v>132</v>
      </c>
    </row>
    <row r="75" spans="12:18" ht="20.100000000000001" customHeight="1" x14ac:dyDescent="0.25">
      <c r="L75" s="22"/>
      <c r="M75" s="117" t="s">
        <v>280</v>
      </c>
      <c r="N75" s="121" t="s">
        <v>72</v>
      </c>
      <c r="O75" s="120"/>
      <c r="P75" s="117"/>
      <c r="Q75" s="111" t="s">
        <v>257</v>
      </c>
      <c r="R75" s="117" t="str">
        <f>'Input - Site'!$E$32</f>
        <v>Dry climate zone</v>
      </c>
    </row>
    <row r="76" spans="12:18" ht="20.100000000000001" customHeight="1" x14ac:dyDescent="0.25">
      <c r="L76" s="22"/>
      <c r="M76" s="22"/>
      <c r="N76" s="22"/>
      <c r="O76" s="22"/>
      <c r="P76" s="22"/>
      <c r="Q76" s="22"/>
    </row>
    <row r="77" spans="12:18" ht="20.100000000000001" customHeight="1" x14ac:dyDescent="0.25">
      <c r="L77" s="22"/>
      <c r="M77" s="93" t="s">
        <v>108</v>
      </c>
      <c r="N77" s="94">
        <f>(R71 * R72 * R73 * 10 ^ (-3))</f>
        <v>6.6792000000000012E-4</v>
      </c>
      <c r="O77" s="95" t="str">
        <f>$E$34</f>
        <v>t N2O</v>
      </c>
      <c r="Q77" s="22"/>
    </row>
    <row r="78" spans="12:18" ht="20.100000000000001" customHeight="1" x14ac:dyDescent="0.25">
      <c r="L78" s="22"/>
      <c r="Q78" s="22"/>
    </row>
    <row r="79" spans="12:18" ht="20.100000000000001" customHeight="1" x14ac:dyDescent="0.25">
      <c r="L79" s="22"/>
      <c r="M79" s="54" t="str" cm="1">
        <f t="array" ref="M79:N80">Common_Equations.Common_ConvertN2OToCO2e_Arguments()</f>
        <v>EN2O</v>
      </c>
      <c r="N79" s="55" t="str">
        <v>Nitrous oxide emissions (t N2O)</v>
      </c>
      <c r="O79" s="96"/>
      <c r="P79" s="50">
        <f>N77</f>
        <v>6.6792000000000012E-4</v>
      </c>
    </row>
    <row r="80" spans="12:18" ht="20.100000000000001" customHeight="1" x14ac:dyDescent="0.25">
      <c r="L80" s="22"/>
      <c r="M80" s="54" t="str">
        <v>GWPN2O</v>
      </c>
      <c r="N80" s="55" t="str">
        <v>Global warming potential for nitrous oxide (t CO2-e / t N2O)</v>
      </c>
      <c r="O80" s="96"/>
      <c r="P80" s="50">
        <f>Common_InputFunctions.Utility_LookupValueInTableNumber("N2O",Table_GWPData[Gas],Table_GWPData[CO2-e factor])</f>
        <v>265</v>
      </c>
    </row>
    <row r="81" spans="1:18" ht="20.100000000000001" customHeight="1" x14ac:dyDescent="0.25">
      <c r="L81" s="22"/>
      <c r="Q81" s="22"/>
    </row>
    <row r="82" spans="1:18" ht="20.100000000000001" customHeight="1" x14ac:dyDescent="0.25">
      <c r="L82" s="22"/>
      <c r="M82" s="44" t="s">
        <v>78</v>
      </c>
      <c r="N82" s="44" cm="1">
        <f t="array" ref="N82">Common_Equations.Common_ConvertN2OToCO2e(P79,P80)</f>
        <v>0.17699880000000004</v>
      </c>
      <c r="O82" s="97" t="str" cm="1">
        <f t="array" ref="O82">Common_Equations.Common_ConvertN2OToCO2e_Unit()</f>
        <v>t CO2e</v>
      </c>
      <c r="Q82" s="22"/>
    </row>
    <row r="83" spans="1:18" ht="20.100000000000001" customHeight="1" x14ac:dyDescent="0.25">
      <c r="A83" s="123" t="str">
        <f>HYPERLINK("#A1", "▲ Back to top")</f>
        <v>▲ Back to top</v>
      </c>
      <c r="L83" s="22"/>
      <c r="M83" s="22"/>
      <c r="N83" s="22"/>
      <c r="O83" s="103"/>
      <c r="P83" s="22"/>
      <c r="Q83" s="22"/>
      <c r="R83" s="22"/>
    </row>
    <row r="84" spans="1:18" ht="20.100000000000001" customHeight="1" x14ac:dyDescent="0.25">
      <c r="L84" s="22"/>
    </row>
    <row r="85" spans="1:18" ht="20.100000000000001" customHeight="1" x14ac:dyDescent="0.25">
      <c r="L85" s="22"/>
    </row>
    <row r="86" spans="1:18" ht="20.100000000000001" customHeight="1" x14ac:dyDescent="0.25">
      <c r="L86" s="22"/>
    </row>
    <row r="87" spans="1:18" ht="20.100000000000001" customHeight="1" x14ac:dyDescent="0.25"/>
    <row r="88" spans="1:18" ht="20.100000000000001" customHeight="1" x14ac:dyDescent="0.25"/>
    <row r="89" spans="1:18" ht="20.100000000000001" customHeight="1" x14ac:dyDescent="0.25"/>
    <row r="90" spans="1:18" ht="20.100000000000001" customHeight="1" x14ac:dyDescent="0.25"/>
    <row r="91" spans="1:18" ht="20.100000000000001" customHeight="1" x14ac:dyDescent="0.25"/>
    <row r="92" spans="1:18" ht="20.100000000000001" customHeight="1" x14ac:dyDescent="0.25"/>
    <row r="93" spans="1:18" ht="20.100000000000001" customHeight="1" x14ac:dyDescent="0.25"/>
    <row r="94" spans="1:18" ht="20.100000000000001" customHeight="1" x14ac:dyDescent="0.25"/>
    <row r="95" spans="1:18" ht="20.100000000000001" customHeight="1" x14ac:dyDescent="0.25"/>
    <row r="96" spans="1:18"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S172 O150:R150 E269 N166:S166 O143:S144 E228 O167:S167 G132 I129:I133 F134:I134 F129:F132 H128:H132 G129 F148:I148 I149 F150:I150 R149:S149" xr:uid="{AF7BB680-B75F-4AE8-AA2D-EDF03FCB10D8}"/>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zoomScaleNormal="100" workbookViewId="0">
      <selection activeCell="A13" sqref="A1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179</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M3" s="4"/>
      <c r="N3" s="4" t="s">
        <v>80</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
        <v>284</v>
      </c>
    </row>
    <row r="6" spans="1:21" ht="20.100000000000001" customHeight="1" x14ac:dyDescent="0.25">
      <c r="A6" s="16"/>
      <c r="D6" s="5" t="s">
        <v>285</v>
      </c>
    </row>
    <row r="7" spans="1:21" ht="20.100000000000001" customHeight="1" x14ac:dyDescent="0.25">
      <c r="A7" s="20" t="s">
        <v>1</v>
      </c>
      <c r="D7" s="13"/>
      <c r="E7" s="13"/>
    </row>
    <row r="8" spans="1:21" ht="20.100000000000001" customHeight="1" x14ac:dyDescent="0.25">
      <c r="A8" s="17" t="str">
        <f>HYPERLINK("#'Input - Site'!A1", "Site")</f>
        <v>Site</v>
      </c>
    </row>
    <row r="9" spans="1:21" ht="20.100000000000001" customHeight="1" x14ac:dyDescent="0.25">
      <c r="A9" s="17" t="str">
        <f>HYPERLINK("#'Input - Crop'!A1", "Crop")</f>
        <v>Crop</v>
      </c>
    </row>
    <row r="10" spans="1:21" ht="20.100000000000001" customHeight="1" x14ac:dyDescent="0.25">
      <c r="A10" s="17" t="str">
        <f>HYPERLINK("#'Input - Pasture'!A1", "Pasture")</f>
        <v>Pasture</v>
      </c>
      <c r="D10" s="3" t="s">
        <v>24</v>
      </c>
      <c r="E10" s="1" t="s">
        <v>286</v>
      </c>
    </row>
    <row r="11" spans="1:21" ht="20.100000000000001" customHeight="1" x14ac:dyDescent="0.25">
      <c r="D11" s="3" t="s">
        <v>16</v>
      </c>
      <c r="E11" s="52" t="s">
        <v>237</v>
      </c>
    </row>
    <row r="12" spans="1:21" ht="20.100000000000001" customHeight="1" x14ac:dyDescent="0.25">
      <c r="A12" s="19" t="s">
        <v>68</v>
      </c>
    </row>
    <row r="13" spans="1:21" ht="20.100000000000001" customHeight="1" x14ac:dyDescent="0.25">
      <c r="A13" s="17" t="str">
        <f>HYPERLINK("#'6.1.1.1-2 Crop residue N2O'!A1", "6.1.1.1-2 Crop residue N2O")</f>
        <v>6.1.1.1-2 Crop residue N2O</v>
      </c>
      <c r="D13" s="117" t="s">
        <v>287</v>
      </c>
      <c r="E13" s="121" t="s">
        <v>288</v>
      </c>
      <c r="F13" s="122"/>
      <c r="G13" s="120"/>
      <c r="H13" s="117" t="s">
        <v>300</v>
      </c>
      <c r="I13" s="111" t="s">
        <v>257</v>
      </c>
      <c r="J13" s="117">
        <f>'Input - Pasture'!$E$25</f>
        <v>500</v>
      </c>
      <c r="N13" s="117" t="s">
        <v>287</v>
      </c>
      <c r="O13" s="121" t="s">
        <v>288</v>
      </c>
      <c r="P13" s="122"/>
      <c r="Q13" s="120"/>
      <c r="R13" s="117" t="s">
        <v>300</v>
      </c>
      <c r="S13" s="111" t="s">
        <v>257</v>
      </c>
      <c r="T13" s="117"/>
    </row>
    <row r="14" spans="1:21" ht="20.100000000000001" customHeight="1" x14ac:dyDescent="0.25">
      <c r="A14" s="131" t="str">
        <f>HYPERLINK("#'6.2.1.1-2 Pasture residue N2O'!A1", "6.2.1.1-2 Pasture residue N2O")</f>
        <v>6.2.1.1-2 Pasture residue N2O</v>
      </c>
      <c r="D14" s="117" t="s">
        <v>289</v>
      </c>
      <c r="E14" s="121" t="s">
        <v>290</v>
      </c>
      <c r="F14" s="122"/>
      <c r="G14" s="120"/>
      <c r="H14" s="117" t="s">
        <v>301</v>
      </c>
      <c r="I14" s="110" t="s">
        <v>259</v>
      </c>
      <c r="J14" s="117" cm="1">
        <f t="array" ref="J14">Common_InputFunctions.Utility_LookupValueInTableNumber($J$19,Table_SourceData_PastureAttributes[Pasture type],Table_SourceData_PastureAttributes[Average Yield (t DM ha) Yp])</f>
        <v>8.34</v>
      </c>
      <c r="N14" s="117" t="s">
        <v>289</v>
      </c>
      <c r="O14" s="121" t="s">
        <v>290</v>
      </c>
      <c r="P14" s="122"/>
      <c r="Q14" s="120"/>
      <c r="R14" s="117" t="s">
        <v>301</v>
      </c>
      <c r="S14" s="111" t="s">
        <v>257</v>
      </c>
      <c r="T14" s="117">
        <f>'Input - Pasture'!$E$19</f>
        <v>8.34</v>
      </c>
    </row>
    <row r="15" spans="1:21" ht="20.100000000000001" customHeight="1" x14ac:dyDescent="0.25">
      <c r="A15" s="17" t="str">
        <f>HYPERLINK("#'6.3.1.1-2 Leaching and runoff'!A1", "6.3.1.1-2 Leaching and runoff")</f>
        <v>6.3.1.1-2 Leaching and runoff</v>
      </c>
      <c r="D15" s="117" t="s">
        <v>291</v>
      </c>
      <c r="E15" s="121" t="s">
        <v>292</v>
      </c>
      <c r="F15" s="122"/>
      <c r="G15" s="120"/>
      <c r="H15" s="117" t="s">
        <v>261</v>
      </c>
      <c r="I15" s="110" t="s">
        <v>259</v>
      </c>
      <c r="J15" s="117" cm="1">
        <f t="array" ref="J15">Common_InputFunctions.Utility_LookupValueInTableNumber($J$19,Table_SourceData_PastureAttributes[Pasture type],Table_SourceData_PastureAttributes[N content Above-ground NCAGp])</f>
        <v>2.5000000000000001E-2</v>
      </c>
      <c r="N15" s="117" t="s">
        <v>291</v>
      </c>
      <c r="O15" s="121" t="s">
        <v>292</v>
      </c>
      <c r="P15" s="122"/>
      <c r="Q15" s="120"/>
      <c r="R15" s="117" t="s">
        <v>261</v>
      </c>
      <c r="S15" s="110" t="s">
        <v>259</v>
      </c>
      <c r="T15" s="117"/>
    </row>
    <row r="16" spans="1:21" ht="20.100000000000001" customHeight="1" x14ac:dyDescent="0.25">
      <c r="A16" s="17" t="str">
        <f>HYPERLINK("#'6.4.1.1-2 Residue burning'!A1", "6.4.1.1-2 Residue burning")</f>
        <v>6.4.1.1-2 Residue burning</v>
      </c>
      <c r="D16" s="117" t="s">
        <v>293</v>
      </c>
      <c r="E16" s="121" t="s">
        <v>294</v>
      </c>
      <c r="F16" s="122"/>
      <c r="G16" s="120"/>
      <c r="H16" s="117" t="s">
        <v>258</v>
      </c>
      <c r="I16" s="110" t="s">
        <v>259</v>
      </c>
      <c r="J16" s="117" cm="1">
        <f t="array" ref="J16">Common_InputFunctions.Utility_LookupValueInTableNumber($J$19,Table_SourceData_PastureAttributes[Pasture type],Table_SourceData_PastureAttributes[Below-ground: above-ground residue ratio RBGp])</f>
        <v>0.8</v>
      </c>
      <c r="N16" s="117" t="s">
        <v>293</v>
      </c>
      <c r="O16" s="121" t="s">
        <v>294</v>
      </c>
      <c r="P16" s="122"/>
      <c r="Q16" s="120"/>
      <c r="R16" s="117" t="s">
        <v>258</v>
      </c>
      <c r="S16" s="110" t="s">
        <v>259</v>
      </c>
      <c r="T16" s="117"/>
    </row>
    <row r="17" spans="1:21" ht="20.100000000000001" customHeight="1" x14ac:dyDescent="0.25">
      <c r="A17" s="17"/>
      <c r="D17" s="117" t="s">
        <v>295</v>
      </c>
      <c r="E17" s="121" t="s">
        <v>296</v>
      </c>
      <c r="F17" s="122"/>
      <c r="G17" s="120"/>
      <c r="H17" s="117" t="s">
        <v>261</v>
      </c>
      <c r="I17" s="110" t="s">
        <v>259</v>
      </c>
      <c r="J17" s="117" cm="1">
        <f t="array" ref="J17">Common_InputFunctions.Utility_LookupValueInTableNumber($J$19,Table_SourceData_PastureAttributes[Pasture type],Table_SourceData_PastureAttributes[N content Below-ground NCBGp])</f>
        <v>1.6E-2</v>
      </c>
      <c r="N17" s="117" t="s">
        <v>295</v>
      </c>
      <c r="O17" s="121" t="s">
        <v>296</v>
      </c>
      <c r="P17" s="122"/>
      <c r="Q17" s="120"/>
      <c r="R17" s="117" t="s">
        <v>261</v>
      </c>
      <c r="S17" s="110" t="s">
        <v>259</v>
      </c>
      <c r="T17" s="117"/>
    </row>
    <row r="18" spans="1:21" ht="20.100000000000001" customHeight="1" x14ac:dyDescent="0.25">
      <c r="A18" s="18" t="s">
        <v>2</v>
      </c>
      <c r="D18" s="117" t="s">
        <v>297</v>
      </c>
      <c r="E18" s="121" t="s">
        <v>298</v>
      </c>
      <c r="F18" s="122"/>
      <c r="G18" s="120"/>
      <c r="H18" s="117" t="s">
        <v>258</v>
      </c>
      <c r="I18" s="110" t="s">
        <v>259</v>
      </c>
      <c r="J18" s="117" cm="1">
        <f t="array" ref="J18">Common_InputFunctions.Utility_LookupValueInTableNumber($J$19,Table_SourceData_PastureAttributes[Pasture type],Table_SourceData_PastureAttributes[Fraction of pasture yield that is removed FFODp])</f>
        <v>0.8</v>
      </c>
      <c r="N18" s="117" t="s">
        <v>297</v>
      </c>
      <c r="O18" s="121" t="s">
        <v>298</v>
      </c>
      <c r="P18" s="122"/>
      <c r="Q18" s="120"/>
      <c r="R18" s="117" t="s">
        <v>258</v>
      </c>
      <c r="S18" s="110" t="s">
        <v>259</v>
      </c>
      <c r="T18" s="117"/>
    </row>
    <row r="19" spans="1:21" ht="20.100000000000001" customHeight="1" x14ac:dyDescent="0.25">
      <c r="A19" s="17" t="str">
        <f>HYPERLINK("#'Constants - Ag Residue'!A1", "Constants - Ag Residue")</f>
        <v>Constants - Ag Residue</v>
      </c>
      <c r="D19" s="117" t="s">
        <v>299</v>
      </c>
      <c r="E19" s="121" t="s">
        <v>180</v>
      </c>
      <c r="F19" s="122"/>
      <c r="G19" s="120"/>
      <c r="H19" s="117"/>
      <c r="I19" s="111" t="s">
        <v>257</v>
      </c>
      <c r="J19" s="117" t="str">
        <f>'Input - Pasture'!$E$9</f>
        <v>Grass clover mixture</v>
      </c>
      <c r="N19" s="117" t="s">
        <v>299</v>
      </c>
      <c r="O19" s="121" t="s">
        <v>180</v>
      </c>
      <c r="P19" s="122"/>
      <c r="Q19" s="120"/>
      <c r="R19" s="117"/>
      <c r="S19" s="111" t="s">
        <v>257</v>
      </c>
      <c r="T19" s="117"/>
    </row>
    <row r="20" spans="1:21" ht="20.100000000000001" customHeight="1" x14ac:dyDescent="0.25">
      <c r="A20" s="17" t="str">
        <f>HYPERLINK("#'Constants - Common'!A1", "Constants - Common")</f>
        <v>Constants - Common</v>
      </c>
    </row>
    <row r="21" spans="1:21" ht="20.100000000000001" customHeight="1" x14ac:dyDescent="0.25">
      <c r="D21" s="118" t="s">
        <v>186</v>
      </c>
      <c r="E21" s="44">
        <f>((J13 * (J14 * 10 ^ (-3)) * (1 - J18) * J15) + (J13 * (J14 * 10 ^ (-3)) * J16 * J17))</f>
        <v>7.4226E-2</v>
      </c>
      <c r="F21" s="97" t="s">
        <v>237</v>
      </c>
      <c r="N21" s="118" t="s">
        <v>186</v>
      </c>
      <c r="O21" s="44">
        <f>((J13 * (T14 * 10 ^ (-3)) * (1 - J18) * J15) + (J13 * (T14 * 10 ^ (-3)) * J16 * J17))</f>
        <v>7.4226E-2</v>
      </c>
      <c r="P21" s="97" t="s">
        <v>237</v>
      </c>
    </row>
    <row r="22" spans="1:21" ht="20.100000000000001" customHeight="1" x14ac:dyDescent="0.25"/>
    <row r="23" spans="1:21" ht="20.100000000000001" customHeight="1" x14ac:dyDescent="0.25"/>
    <row r="24" spans="1:21" ht="20.100000000000001" customHeight="1" x14ac:dyDescent="0.25">
      <c r="C24" s="44"/>
      <c r="D24" s="44"/>
      <c r="E24" s="44"/>
      <c r="F24" s="44"/>
      <c r="G24" s="44"/>
      <c r="H24" s="44"/>
      <c r="I24" s="44"/>
      <c r="J24" s="44"/>
      <c r="K24" s="44"/>
      <c r="M24" s="44"/>
      <c r="N24" s="44"/>
      <c r="O24" s="44"/>
      <c r="P24" s="44"/>
      <c r="Q24" s="44"/>
      <c r="R24" s="44"/>
      <c r="S24" s="44"/>
      <c r="T24" s="44"/>
      <c r="U24" s="44"/>
    </row>
    <row r="25" spans="1:21" ht="20.100000000000001" customHeight="1" x14ac:dyDescent="0.25">
      <c r="D25" s="6" t="s">
        <v>302</v>
      </c>
      <c r="N25" s="6" t="s">
        <v>302</v>
      </c>
    </row>
    <row r="26" spans="1:21" ht="20.100000000000001" customHeight="1" x14ac:dyDescent="0.25">
      <c r="D26" s="5" t="s">
        <v>303</v>
      </c>
      <c r="N26" s="5" t="s">
        <v>303</v>
      </c>
    </row>
    <row r="27" spans="1:21" ht="20.100000000000001" customHeight="1" x14ac:dyDescent="0.25">
      <c r="D27" s="13"/>
      <c r="E27" s="13"/>
      <c r="N27" s="13"/>
      <c r="O27" s="13"/>
    </row>
    <row r="28" spans="1:21" ht="20.100000000000001" customHeight="1" x14ac:dyDescent="0.25"/>
    <row r="29" spans="1:21" ht="20.100000000000001" customHeight="1" x14ac:dyDescent="0.25"/>
    <row r="30" spans="1:21" ht="20.100000000000001" customHeight="1" x14ac:dyDescent="0.25">
      <c r="D30" s="3" t="s">
        <v>24</v>
      </c>
      <c r="E30" s="1" t="s">
        <v>304</v>
      </c>
      <c r="N30" s="3" t="s">
        <v>24</v>
      </c>
      <c r="O30" s="1" t="s">
        <v>304</v>
      </c>
    </row>
    <row r="31" spans="1:21" ht="20.100000000000001" customHeight="1" x14ac:dyDescent="0.25">
      <c r="D31" s="3" t="s">
        <v>16</v>
      </c>
      <c r="E31" s="52" t="s">
        <v>99</v>
      </c>
      <c r="N31" s="3" t="s">
        <v>16</v>
      </c>
      <c r="O31" s="52" t="s">
        <v>99</v>
      </c>
    </row>
    <row r="32" spans="1:21" ht="20.100000000000001" customHeight="1" x14ac:dyDescent="0.25"/>
    <row r="33" spans="1:20" ht="20.100000000000001" customHeight="1" x14ac:dyDescent="0.25">
      <c r="D33" s="117" t="s">
        <v>305</v>
      </c>
      <c r="E33" s="121" t="s">
        <v>306</v>
      </c>
      <c r="F33" s="122"/>
      <c r="G33" s="120"/>
      <c r="H33" s="117" t="s">
        <v>237</v>
      </c>
      <c r="I33" s="110" t="s">
        <v>308</v>
      </c>
      <c r="J33" s="117">
        <f>$E$21</f>
        <v>7.4226E-2</v>
      </c>
      <c r="N33" s="117" t="s">
        <v>305</v>
      </c>
      <c r="O33" s="121" t="s">
        <v>306</v>
      </c>
      <c r="P33" s="122"/>
      <c r="Q33" s="120"/>
      <c r="R33" s="117" t="s">
        <v>237</v>
      </c>
      <c r="S33" s="110" t="s">
        <v>308</v>
      </c>
      <c r="T33" s="117">
        <f>$O$21</f>
        <v>7.4226E-2</v>
      </c>
    </row>
    <row r="34" spans="1:20" ht="20.100000000000001" customHeight="1" x14ac:dyDescent="0.25">
      <c r="D34" s="117" t="s">
        <v>276</v>
      </c>
      <c r="E34" s="121" t="s">
        <v>307</v>
      </c>
      <c r="F34" s="122"/>
      <c r="G34" s="120"/>
      <c r="H34" s="117" t="s">
        <v>282</v>
      </c>
      <c r="I34" s="110" t="s">
        <v>259</v>
      </c>
      <c r="J34" s="117" cm="1">
        <f t="array" ref="J34">Common_InputFunctions.Utility_LookupValueInTableNumber(J37,Table_SourceData_N2OEFOrganicFert[Climate zone type i],Table_SourceData_N2OEFOrganicFert[EF i N2O])</f>
        <v>5.0000000000000001E-3</v>
      </c>
      <c r="N34" s="117" t="s">
        <v>276</v>
      </c>
      <c r="O34" s="121" t="s">
        <v>307</v>
      </c>
      <c r="P34" s="122"/>
      <c r="Q34" s="120"/>
      <c r="R34" s="117" t="s">
        <v>282</v>
      </c>
      <c r="S34" s="110" t="s">
        <v>259</v>
      </c>
      <c r="T34" s="117"/>
    </row>
    <row r="35" spans="1:20" ht="20.100000000000001" customHeight="1" x14ac:dyDescent="0.25">
      <c r="D35" s="117" t="s">
        <v>278</v>
      </c>
      <c r="E35" s="121" t="s">
        <v>279</v>
      </c>
      <c r="F35" s="122"/>
      <c r="G35" s="120"/>
      <c r="H35" s="117" t="s">
        <v>258</v>
      </c>
      <c r="I35" s="110" t="s">
        <v>259</v>
      </c>
      <c r="J35" s="117">
        <f>Common_InputFunctions.Utility_LookupValueInTableNumber("N2O",Table_GasToMolecularConversionFactor[Gas],Table_GasToMolecularConversionFactor[Conversion factor combined])</f>
        <v>1.5714285714285714</v>
      </c>
      <c r="N35" s="117" t="s">
        <v>278</v>
      </c>
      <c r="O35" s="121" t="s">
        <v>279</v>
      </c>
      <c r="P35" s="122"/>
      <c r="Q35" s="120"/>
      <c r="R35" s="117" t="s">
        <v>258</v>
      </c>
      <c r="S35" s="110" t="s">
        <v>259</v>
      </c>
      <c r="T35" s="117"/>
    </row>
    <row r="36" spans="1:20" ht="20.100000000000001" customHeight="1" x14ac:dyDescent="0.25">
      <c r="D36" s="117" t="s">
        <v>299</v>
      </c>
      <c r="E36" s="121" t="s">
        <v>180</v>
      </c>
      <c r="F36" s="122"/>
      <c r="G36" s="120"/>
      <c r="H36" s="117"/>
      <c r="I36" s="111" t="s">
        <v>257</v>
      </c>
      <c r="J36" s="117" t="str">
        <f>'Input - Pasture'!$E$9</f>
        <v>Grass clover mixture</v>
      </c>
      <c r="N36" s="117" t="s">
        <v>299</v>
      </c>
      <c r="O36" s="121" t="s">
        <v>180</v>
      </c>
      <c r="P36" s="122"/>
      <c r="Q36" s="120"/>
      <c r="R36" s="117"/>
      <c r="S36" s="111" t="s">
        <v>257</v>
      </c>
      <c r="T36" s="117"/>
    </row>
    <row r="37" spans="1:20" ht="20.100000000000001" customHeight="1" x14ac:dyDescent="0.25">
      <c r="D37" s="117" t="s">
        <v>280</v>
      </c>
      <c r="E37" s="121" t="s">
        <v>72</v>
      </c>
      <c r="F37" s="122"/>
      <c r="G37" s="120"/>
      <c r="H37" s="117"/>
      <c r="I37" s="111" t="s">
        <v>257</v>
      </c>
      <c r="J37" s="117" t="str">
        <f>'Input - Site'!$E$32</f>
        <v>Dry climate zone</v>
      </c>
      <c r="N37" s="117" t="s">
        <v>280</v>
      </c>
      <c r="O37" s="121" t="s">
        <v>72</v>
      </c>
      <c r="P37" s="122"/>
      <c r="Q37" s="120"/>
      <c r="R37" s="117"/>
      <c r="S37" s="111" t="s">
        <v>257</v>
      </c>
      <c r="T37" s="117"/>
    </row>
    <row r="38" spans="1:20" ht="20.100000000000001" customHeight="1" x14ac:dyDescent="0.25"/>
    <row r="39" spans="1:20" ht="20.100000000000001" customHeight="1" x14ac:dyDescent="0.25"/>
    <row r="40" spans="1:20" ht="20.100000000000001" customHeight="1" x14ac:dyDescent="0.25">
      <c r="D40" s="93" t="s">
        <v>108</v>
      </c>
      <c r="E40" s="94">
        <f>((J33 * J34) * J35 * 10 ^ (-3))</f>
        <v>5.8320428571428569E-7</v>
      </c>
      <c r="F40" s="95" t="s">
        <v>99</v>
      </c>
      <c r="N40" s="93" t="s">
        <v>108</v>
      </c>
      <c r="O40" s="94">
        <f>((T33 * J34) * J35 * 10 ^ (-3))</f>
        <v>5.8320428571428569E-7</v>
      </c>
      <c r="P40" s="95" t="s">
        <v>99</v>
      </c>
    </row>
    <row r="41" spans="1:20" ht="20.100000000000001" customHeight="1" x14ac:dyDescent="0.25"/>
    <row r="42" spans="1:20" ht="20.100000000000001" customHeight="1" x14ac:dyDescent="0.25">
      <c r="D42" s="54" t="str" cm="1">
        <f t="array" ref="D42:E43">Common_Equations.Common_ConvertN2OToCO2e_Arguments()</f>
        <v>EN2O</v>
      </c>
      <c r="E42" s="55" t="str">
        <v>Nitrous oxide emissions (t N2O)</v>
      </c>
      <c r="F42" s="56"/>
      <c r="G42" s="54">
        <f>E40</f>
        <v>5.8320428571428569E-7</v>
      </c>
      <c r="N42" s="54" t="str" cm="1">
        <f t="array" ref="N42:O43">Common_Equations.Common_ConvertN2OToCO2e_Arguments()</f>
        <v>EN2O</v>
      </c>
      <c r="O42" s="55" t="str">
        <v>Nitrous oxide emissions (t N2O)</v>
      </c>
      <c r="P42" s="56"/>
      <c r="Q42" s="54">
        <f>O40</f>
        <v>5.8320428571428569E-7</v>
      </c>
    </row>
    <row r="43" spans="1:20" ht="20.100000000000001" customHeight="1" x14ac:dyDescent="0.25">
      <c r="D43" s="54" t="str">
        <v>GWPN2O</v>
      </c>
      <c r="E43" s="55" t="str">
        <v>Global warming potential for nitrous oxide (t CO2-e / t N2O)</v>
      </c>
      <c r="F43" s="56"/>
      <c r="G43" s="50">
        <f>Common_InputFunctions.Utility_LookupValueInTableNumber("N2O",Table_GWPData[Gas],Table_GWPData[CO2-e factor])</f>
        <v>265</v>
      </c>
      <c r="N43" s="54" t="str">
        <v>GWPN2O</v>
      </c>
      <c r="O43" s="55" t="str">
        <v>Global warming potential for nitrous oxide (t CO2-e / t N2O)</v>
      </c>
      <c r="P43" s="56"/>
      <c r="Q43" s="50">
        <f>Common_InputFunctions.Utility_LookupValueInTableNumber("N2O",Table_GWPData[Gas],Table_GWPData[CO2-e factor])</f>
        <v>265</v>
      </c>
    </row>
    <row r="44" spans="1:20" ht="20.100000000000001" customHeight="1" x14ac:dyDescent="0.25"/>
    <row r="45" spans="1:20" ht="20.100000000000001" customHeight="1" x14ac:dyDescent="0.25">
      <c r="A45" s="123" t="str">
        <f>HYPERLINK("#A1", "▲ Back to top")</f>
        <v>▲ Back to top</v>
      </c>
      <c r="D45" s="1" t="s">
        <v>187</v>
      </c>
      <c r="E45" s="1" cm="1">
        <f t="array" ref="E45">Common_Equations.Common_ConvertN2OToCO2e(G42,G43)</f>
        <v>1.545491357142857E-4</v>
      </c>
      <c r="F45" s="52" t="str" cm="1">
        <f t="array" ref="F45">Common_Equations.Common_ConvertN2OToCO2e_Unit()</f>
        <v>t CO2e</v>
      </c>
      <c r="N45" s="1" t="s">
        <v>187</v>
      </c>
      <c r="O45" s="1" cm="1">
        <f t="array" ref="O45">Common_Equations.Common_ConvertN2OToCO2e(Q42,Q43)</f>
        <v>1.545491357142857E-4</v>
      </c>
      <c r="P45" s="52" t="str" cm="1">
        <f t="array" ref="P45">Common_Equations.Common_ConvertN2OToCO2e_Unit()</f>
        <v>t CO2e</v>
      </c>
    </row>
    <row r="46" spans="1:20" ht="20.100000000000001" customHeight="1" x14ac:dyDescent="0.25"/>
    <row r="47" spans="1:20" ht="20.100000000000001" customHeight="1" x14ac:dyDescent="0.25"/>
    <row r="48" spans="1:2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c r="A76" s="123" t="str">
        <f>HYPERLINK("#A1", "▲ Back to top")</f>
        <v>▲ Back to top</v>
      </c>
    </row>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T165"/>
  <sheetViews>
    <sheetView showGridLines="0" workbookViewId="0">
      <selection activeCell="A14" sqref="A1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197</v>
      </c>
    </row>
    <row r="2" spans="1:20" s="9" customFormat="1" ht="20.100000000000001" customHeight="1" x14ac:dyDescent="0.25">
      <c r="A2"/>
    </row>
    <row r="3" spans="1:20" ht="20.100000000000001" customHeight="1" x14ac:dyDescent="0.25">
      <c r="A3" s="17" t="str">
        <f>HYPERLINK("#'Home'!A1", "Home")</f>
        <v>Home</v>
      </c>
      <c r="C3" s="4"/>
      <c r="D3" s="4" t="s">
        <v>79</v>
      </c>
      <c r="E3" s="4"/>
      <c r="F3" s="4"/>
      <c r="G3" s="4"/>
      <c r="H3" s="4"/>
      <c r="I3" s="4"/>
      <c r="J3" s="4"/>
      <c r="K3" s="4"/>
      <c r="M3" s="4"/>
      <c r="N3" s="4" t="s">
        <v>80</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C5" s="22"/>
      <c r="D5" s="6" t="s">
        <v>309</v>
      </c>
      <c r="E5" s="22"/>
      <c r="F5" s="22"/>
      <c r="G5" s="22"/>
      <c r="H5" s="22"/>
      <c r="I5" s="22"/>
      <c r="J5" s="22"/>
      <c r="K5" s="22"/>
    </row>
    <row r="6" spans="1:20" ht="20.100000000000001" customHeight="1" x14ac:dyDescent="0.25">
      <c r="A6" s="16"/>
      <c r="C6" s="22"/>
      <c r="D6" s="5" t="s">
        <v>310</v>
      </c>
      <c r="E6" s="22"/>
      <c r="F6" s="22"/>
      <c r="G6" s="22"/>
      <c r="H6" s="22"/>
      <c r="I6" s="22"/>
      <c r="J6" s="22"/>
      <c r="K6" s="22"/>
    </row>
    <row r="7" spans="1:20" ht="20.100000000000001" customHeight="1" x14ac:dyDescent="0.25">
      <c r="A7" s="20" t="s">
        <v>1</v>
      </c>
      <c r="C7" s="22"/>
      <c r="D7" s="13"/>
      <c r="E7" s="13"/>
      <c r="F7" s="13"/>
      <c r="G7" s="22"/>
      <c r="H7" s="22"/>
      <c r="I7" s="22"/>
      <c r="J7" s="22"/>
      <c r="K7" s="22"/>
    </row>
    <row r="8" spans="1:20" ht="20.100000000000001" customHeight="1" x14ac:dyDescent="0.25">
      <c r="A8" s="17" t="str">
        <f>HYPERLINK("#'Input - Site'!A1", "Site")</f>
        <v>Site</v>
      </c>
      <c r="C8" s="22"/>
      <c r="F8" s="22"/>
      <c r="G8" s="22"/>
      <c r="H8" s="22"/>
      <c r="I8" s="22"/>
      <c r="J8" s="22"/>
      <c r="K8" s="22"/>
    </row>
    <row r="9" spans="1:20" ht="20.100000000000001" customHeight="1" x14ac:dyDescent="0.25">
      <c r="A9" s="17" t="str">
        <f>HYPERLINK("#'Input - Crop'!A1", "Crop")</f>
        <v>Crop</v>
      </c>
      <c r="C9" s="22"/>
      <c r="D9" s="22"/>
      <c r="E9" s="22"/>
      <c r="F9" s="22"/>
      <c r="G9" s="22"/>
      <c r="H9" s="22"/>
      <c r="I9" s="22"/>
      <c r="J9" s="22"/>
      <c r="K9" s="22"/>
    </row>
    <row r="10" spans="1:20" ht="20.100000000000001" customHeight="1" x14ac:dyDescent="0.25">
      <c r="A10" s="17" t="str">
        <f>HYPERLINK("#'Input - Pasture'!A1", "Pasture")</f>
        <v>Pasture</v>
      </c>
      <c r="C10" s="22"/>
      <c r="D10" s="26" t="s">
        <v>24</v>
      </c>
      <c r="E10" s="22" t="s">
        <v>204</v>
      </c>
      <c r="F10" s="22"/>
      <c r="G10" s="5"/>
      <c r="H10" s="22"/>
      <c r="I10" s="22"/>
      <c r="J10" s="22"/>
      <c r="K10" s="22"/>
    </row>
    <row r="11" spans="1:20" ht="20.100000000000001" customHeight="1" x14ac:dyDescent="0.25">
      <c r="C11" s="22"/>
      <c r="D11" s="26" t="s">
        <v>16</v>
      </c>
      <c r="E11" s="52" t="s">
        <v>237</v>
      </c>
      <c r="F11" s="22"/>
      <c r="G11" s="22"/>
      <c r="H11" s="22"/>
      <c r="I11" s="22"/>
      <c r="J11" s="22"/>
      <c r="K11" s="22"/>
    </row>
    <row r="12" spans="1:20" ht="20.100000000000001" customHeight="1" x14ac:dyDescent="0.25">
      <c r="A12" s="19" t="s">
        <v>68</v>
      </c>
      <c r="C12" s="22"/>
      <c r="D12" s="22"/>
      <c r="E12" s="22"/>
      <c r="F12" s="22"/>
      <c r="G12" s="22"/>
      <c r="H12" s="22"/>
      <c r="I12" s="22"/>
      <c r="J12" s="22"/>
      <c r="K12" s="22"/>
    </row>
    <row r="13" spans="1:20" ht="20.100000000000001" customHeight="1" x14ac:dyDescent="0.25">
      <c r="A13" s="17" t="str">
        <f>HYPERLINK("#'6.1.1.1-2 Crop residue N2O'!A1", "6.1.1.1-2 Crop residue N2O")</f>
        <v>6.1.1.1-2 Crop residue N2O</v>
      </c>
      <c r="C13" s="22"/>
      <c r="D13" s="117" t="s">
        <v>203</v>
      </c>
      <c r="E13" s="121" t="s">
        <v>311</v>
      </c>
      <c r="F13" s="122"/>
      <c r="G13" s="120"/>
      <c r="H13" s="117" t="s">
        <v>237</v>
      </c>
      <c r="I13" s="110" t="s">
        <v>321</v>
      </c>
      <c r="J13" s="116" t="str" cm="1">
        <f t="array" aca="1" ref="J13" ca="1">HYPERLINK(Common_InputFunctions.Utility_SourceHyperlink($D$21), $D$21)</f>
        <v>M1_Table_M_leach_cp</v>
      </c>
      <c r="K13" s="22"/>
    </row>
    <row r="14" spans="1:20" ht="20.100000000000001" customHeight="1" x14ac:dyDescent="0.25">
      <c r="A14" s="17" t="str">
        <f>HYPERLINK("#'6.2.1.1-2 Pasture residue N2O'!A1", "6.2.1.1-2 Pasture residue N2O")</f>
        <v>6.2.1.1-2 Pasture residue N2O</v>
      </c>
      <c r="C14" s="22"/>
      <c r="D14" s="117" t="s">
        <v>202</v>
      </c>
      <c r="E14" s="121" t="s">
        <v>312</v>
      </c>
      <c r="F14" s="122"/>
      <c r="G14" s="120"/>
      <c r="H14" s="117" t="s">
        <v>258</v>
      </c>
      <c r="I14" s="110" t="s">
        <v>259</v>
      </c>
      <c r="J14" s="116" t="str" cm="1">
        <f t="array" aca="1" ref="J14" ca="1">HYPERLINK(Common_InputFunctions.Utility_SourceHyperlink($D$21), $D$21)</f>
        <v>M1_Table_M_leach_cp</v>
      </c>
      <c r="K14" s="22"/>
    </row>
    <row r="15" spans="1:20" ht="20.100000000000001" customHeight="1" x14ac:dyDescent="0.25">
      <c r="A15" s="131" t="str">
        <f>HYPERLINK("#'6.3.1.1-2 Leaching and runoff'!A1", "6.3.1.1-2 Leaching and runoff")</f>
        <v>6.3.1.1-2 Leaching and runoff</v>
      </c>
      <c r="C15" s="22"/>
      <c r="D15" s="117" t="s">
        <v>313</v>
      </c>
      <c r="E15" s="121" t="s">
        <v>314</v>
      </c>
      <c r="F15" s="122"/>
      <c r="G15" s="120"/>
      <c r="H15" s="117" t="s">
        <v>258</v>
      </c>
      <c r="I15" s="110" t="s">
        <v>259</v>
      </c>
      <c r="J15" s="117">
        <f>'Constants - Common'!$E$164</f>
        <v>0</v>
      </c>
      <c r="K15" s="22"/>
    </row>
    <row r="16" spans="1:20" ht="20.100000000000001" customHeight="1" x14ac:dyDescent="0.25">
      <c r="A16" s="17" t="str">
        <f>HYPERLINK("#'6.4.1.1-2 Residue burning'!A1", "6.4.1.1-2 Residue burning")</f>
        <v>6.4.1.1-2 Residue burning</v>
      </c>
      <c r="C16" s="22"/>
      <c r="D16" s="117" t="s">
        <v>315</v>
      </c>
      <c r="E16" s="121" t="s">
        <v>316</v>
      </c>
      <c r="F16" s="122"/>
      <c r="G16" s="120"/>
      <c r="H16" s="117"/>
      <c r="I16" s="111" t="s">
        <v>257</v>
      </c>
      <c r="J16" s="116" t="str" cm="1">
        <f t="array" aca="1" ref="J16" ca="1">HYPERLINK(Common_InputFunctions.Utility_SourceHyperlink($D$21), $D$21)</f>
        <v>M1_Table_M_leach_cp</v>
      </c>
      <c r="K16" s="22"/>
    </row>
    <row r="17" spans="1:20" ht="20.100000000000001" customHeight="1" x14ac:dyDescent="0.25">
      <c r="A17" s="17"/>
      <c r="C17" s="22"/>
      <c r="D17" s="117" t="s">
        <v>254</v>
      </c>
      <c r="E17" s="121" t="s">
        <v>317</v>
      </c>
      <c r="F17" s="122"/>
      <c r="G17" s="120"/>
      <c r="H17" s="117"/>
      <c r="I17" s="111" t="s">
        <v>257</v>
      </c>
      <c r="J17" s="117" t="str">
        <f>'Input - Crop'!$E$9</f>
        <v>Wheat</v>
      </c>
      <c r="K17" s="22"/>
    </row>
    <row r="18" spans="1:20" ht="20.100000000000001" customHeight="1" x14ac:dyDescent="0.25">
      <c r="A18" s="18" t="s">
        <v>2</v>
      </c>
      <c r="C18" s="22"/>
      <c r="D18" s="117" t="s">
        <v>299</v>
      </c>
      <c r="E18" s="121" t="s">
        <v>318</v>
      </c>
      <c r="F18" s="122"/>
      <c r="G18" s="120"/>
      <c r="H18" s="117"/>
      <c r="I18" s="111" t="s">
        <v>257</v>
      </c>
      <c r="J18" s="117" t="str">
        <f>'Input - Pasture'!$E$9</f>
        <v>Grass clover mixture</v>
      </c>
      <c r="K18" s="22"/>
    </row>
    <row r="19" spans="1:20" ht="20.100000000000001" customHeight="1" x14ac:dyDescent="0.25">
      <c r="A19" s="17" t="str">
        <f>HYPERLINK("#'Constants - Ag Residue'!A1", "Constants - Ag Residue")</f>
        <v>Constants - Ag Residue</v>
      </c>
      <c r="C19" s="22"/>
      <c r="D19" s="117" t="s">
        <v>319</v>
      </c>
      <c r="E19" s="121" t="s">
        <v>320</v>
      </c>
      <c r="F19" s="122"/>
      <c r="G19" s="120"/>
      <c r="H19" s="117"/>
      <c r="I19" s="111" t="s">
        <v>257</v>
      </c>
      <c r="J19" s="116" t="str" cm="1">
        <f t="array" aca="1" ref="J19" ca="1">HYPERLINK(Common_InputFunctions.Utility_SourceHyperlink($D$21), $D$21)</f>
        <v>M1_Table_M_leach_cp</v>
      </c>
      <c r="K19" s="22"/>
    </row>
    <row r="20" spans="1:20" ht="20.100000000000001" customHeight="1" x14ac:dyDescent="0.25">
      <c r="A20" s="17" t="str">
        <f>HYPERLINK("#'Constants - Common'!A1", "Constants - Common")</f>
        <v>Constants - Common</v>
      </c>
      <c r="C20" s="22"/>
      <c r="D20" s="22"/>
      <c r="E20" s="22"/>
      <c r="F20" s="22"/>
      <c r="G20" s="22"/>
      <c r="H20" s="22"/>
      <c r="I20" s="22"/>
      <c r="J20" s="22"/>
      <c r="K20" s="22"/>
    </row>
    <row r="21" spans="1:20" ht="20.100000000000001" customHeight="1" x14ac:dyDescent="0.25">
      <c r="C21" s="22"/>
      <c r="D21" s="92" t="s">
        <v>207</v>
      </c>
      <c r="E21" s="22"/>
      <c r="F21" s="22"/>
      <c r="G21" s="22"/>
      <c r="H21" s="22"/>
      <c r="I21" s="22"/>
      <c r="J21" s="22"/>
      <c r="K21" s="22"/>
      <c r="N21" s="92" t="s">
        <v>207</v>
      </c>
      <c r="O21" s="22"/>
      <c r="P21" s="22"/>
      <c r="Q21" s="22"/>
      <c r="R21" s="22"/>
      <c r="S21" s="22"/>
    </row>
    <row r="22" spans="1:20" ht="20.100000000000001" customHeight="1" x14ac:dyDescent="0.25">
      <c r="C22" s="22"/>
      <c r="D22" s="91" t="s">
        <v>208</v>
      </c>
      <c r="E22" s="22"/>
      <c r="F22" s="22"/>
      <c r="G22" s="22"/>
      <c r="H22" s="22"/>
      <c r="I22" s="22"/>
      <c r="J22" s="22"/>
      <c r="K22" s="22"/>
      <c r="N22" s="91" t="s">
        <v>208</v>
      </c>
      <c r="O22" s="22"/>
      <c r="P22" s="22"/>
      <c r="Q22" s="22"/>
      <c r="R22" s="22"/>
      <c r="S22" s="22"/>
    </row>
    <row r="23" spans="1:20" ht="20.100000000000001" customHeight="1" x14ac:dyDescent="0.25">
      <c r="A23" s="17"/>
      <c r="C23" s="22"/>
      <c r="D23" s="109" t="s">
        <v>201</v>
      </c>
      <c r="E23" s="49" t="s">
        <v>203</v>
      </c>
      <c r="F23" s="109" t="s">
        <v>205</v>
      </c>
      <c r="G23" s="109" t="s">
        <v>7</v>
      </c>
      <c r="H23" s="49" t="s">
        <v>202</v>
      </c>
      <c r="I23" s="49" t="s">
        <v>204</v>
      </c>
      <c r="J23" s="22"/>
      <c r="K23" s="22"/>
      <c r="N23" s="109" t="s">
        <v>201</v>
      </c>
      <c r="O23" s="49" t="s">
        <v>203</v>
      </c>
      <c r="P23" s="109" t="s">
        <v>205</v>
      </c>
      <c r="Q23" s="109" t="s">
        <v>7</v>
      </c>
      <c r="R23" s="49" t="s">
        <v>202</v>
      </c>
      <c r="S23" s="49" t="s">
        <v>204</v>
      </c>
    </row>
    <row r="24" spans="1:20" ht="20.100000000000001" customHeight="1" x14ac:dyDescent="0.25">
      <c r="D24" s="50" t="s">
        <v>199</v>
      </c>
      <c r="E24" s="50">
        <f>'6.1.1.1-2 Crop residue N2O'!$E$24</f>
        <v>85.00800000000001</v>
      </c>
      <c r="F24" s="50" t="str">
        <f>'Input - Crop'!$E$11</f>
        <v>Sprinkler irrigation</v>
      </c>
      <c r="G24" s="50" t="str">
        <f>'Input - Site'!E$23</f>
        <v>NO - Not in leaching zone</v>
      </c>
      <c r="H24" s="50">
        <f>CommonCropping_InputFunctions.CommonCropping_GetFracWET(G24,F24,#REF!,#REF!, Table_SourceData_FracWETIrrigation[Irrigation type i],Table_SourceData_FracWETIrrigation[FracWET])</f>
        <v>1</v>
      </c>
      <c r="I24" s="50">
        <f>(E24 * H24 * $J$15)</f>
        <v>0</v>
      </c>
      <c r="N24" s="50"/>
      <c r="O24" s="50">
        <f>'6.1.1.1-2 Crop residue N2O'!$N$59</f>
        <v>85.00800000000001</v>
      </c>
      <c r="P24" s="50"/>
      <c r="Q24" s="50"/>
      <c r="R24" s="50"/>
      <c r="S24" s="50">
        <f>(O24 * H24 * $J$15)</f>
        <v>0</v>
      </c>
    </row>
    <row r="25" spans="1:20" ht="20.100000000000001" customHeight="1" x14ac:dyDescent="0.25">
      <c r="D25" s="50" t="s">
        <v>200</v>
      </c>
      <c r="E25" s="50">
        <f>'6.2.1.1-2 Pasture residue N2O'!$E$21</f>
        <v>7.4226E-2</v>
      </c>
      <c r="F25" s="50" t="str">
        <f>'Input - Pasture'!$E$10</f>
        <v>Surface irrigation</v>
      </c>
      <c r="G25" s="50" t="str">
        <f>'Input - Site'!E$23</f>
        <v>NO - Not in leaching zone</v>
      </c>
      <c r="H25" s="50">
        <f>CommonCropping_InputFunctions.CommonCropping_GetFracWET(G25,F25,#REF!,#REF!, Table_SourceData_FracWETIrrigation[Irrigation type i],Table_SourceData_FracWETIrrigation[FracWET])</f>
        <v>1</v>
      </c>
      <c r="I25" s="50">
        <f>(E25 * H25 * $J$15)</f>
        <v>0</v>
      </c>
      <c r="N25" s="50"/>
      <c r="O25" s="50">
        <f>'6.2.1.1-2 Pasture residue N2O'!$O$21</f>
        <v>7.4226E-2</v>
      </c>
      <c r="P25" s="50"/>
      <c r="Q25" s="50"/>
      <c r="R25" s="50"/>
      <c r="S25" s="50">
        <f>(O25 * H25 * $J$15)</f>
        <v>0</v>
      </c>
    </row>
    <row r="26" spans="1:20" ht="20.100000000000001" customHeight="1" x14ac:dyDescent="0.25"/>
    <row r="27" spans="1:20" ht="20.100000000000001" customHeight="1" x14ac:dyDescent="0.25">
      <c r="C27" s="137"/>
      <c r="D27" s="137"/>
      <c r="E27" s="137"/>
      <c r="F27" s="137"/>
      <c r="G27" s="137"/>
      <c r="H27" s="137"/>
      <c r="I27" s="137"/>
      <c r="J27" s="137"/>
      <c r="K27" s="137"/>
      <c r="M27" s="137"/>
      <c r="N27" s="137"/>
      <c r="O27" s="137"/>
      <c r="P27" s="137"/>
      <c r="Q27" s="137"/>
      <c r="R27" s="137"/>
      <c r="S27" s="137"/>
      <c r="T27" s="137"/>
    </row>
    <row r="28" spans="1:20" ht="20.100000000000001" customHeight="1" x14ac:dyDescent="0.25">
      <c r="C28" s="22"/>
      <c r="D28" s="6" t="s">
        <v>322</v>
      </c>
      <c r="E28" s="22"/>
      <c r="F28" s="141"/>
      <c r="G28" s="22"/>
      <c r="H28" s="22"/>
      <c r="I28" s="22"/>
      <c r="J28" s="22"/>
      <c r="K28" s="22"/>
    </row>
    <row r="29" spans="1:20" ht="20.100000000000001" customHeight="1" x14ac:dyDescent="0.25">
      <c r="C29" s="22"/>
      <c r="D29" s="5" t="s">
        <v>323</v>
      </c>
      <c r="E29" s="22"/>
      <c r="F29" s="22"/>
      <c r="G29" s="22"/>
      <c r="H29" s="22"/>
      <c r="I29" s="22"/>
      <c r="J29" s="22"/>
      <c r="K29" s="22"/>
    </row>
    <row r="30" spans="1:20" ht="20.100000000000001" customHeight="1" x14ac:dyDescent="0.25">
      <c r="C30" s="22"/>
      <c r="D30" s="13"/>
      <c r="E30" s="13"/>
      <c r="F30" s="22"/>
      <c r="G30" s="22"/>
      <c r="H30" s="22"/>
      <c r="I30" s="22"/>
      <c r="J30" s="22"/>
      <c r="K30" s="22"/>
    </row>
    <row r="31" spans="1:20" ht="20.100000000000001" customHeight="1" x14ac:dyDescent="0.25">
      <c r="C31" s="22"/>
      <c r="D31" s="22"/>
      <c r="E31" s="22"/>
      <c r="F31" s="22"/>
      <c r="G31" s="22"/>
      <c r="H31" s="22"/>
      <c r="I31" s="22"/>
      <c r="J31" s="22"/>
      <c r="K31" s="22"/>
    </row>
    <row r="32" spans="1:20" ht="20.100000000000001" customHeight="1" x14ac:dyDescent="0.25">
      <c r="C32" s="22"/>
      <c r="D32" s="22"/>
      <c r="E32" s="22"/>
      <c r="F32" s="5"/>
      <c r="G32" s="22"/>
      <c r="H32" s="22"/>
      <c r="I32" s="22"/>
      <c r="J32" s="22"/>
      <c r="K32" s="22"/>
    </row>
    <row r="33" spans="1:17" ht="20.100000000000001" customHeight="1" x14ac:dyDescent="0.25">
      <c r="C33" s="22"/>
      <c r="D33" s="26" t="s">
        <v>24</v>
      </c>
      <c r="E33" s="22" t="s">
        <v>304</v>
      </c>
      <c r="F33" s="22"/>
      <c r="G33" s="22"/>
      <c r="H33" s="22"/>
      <c r="I33" s="22"/>
      <c r="J33" s="22"/>
      <c r="K33" s="22"/>
    </row>
    <row r="34" spans="1:17" ht="20.100000000000001" customHeight="1" x14ac:dyDescent="0.25">
      <c r="A34" s="123" t="str">
        <f>HYPERLINK("#A1", "▲ Back to top")</f>
        <v>▲ Back to top</v>
      </c>
      <c r="C34" s="22"/>
      <c r="D34" s="26" t="s">
        <v>16</v>
      </c>
      <c r="E34" s="52" t="s">
        <v>99</v>
      </c>
      <c r="F34" s="22"/>
      <c r="G34" s="22"/>
      <c r="H34" s="22"/>
      <c r="I34" s="22"/>
      <c r="J34" s="22"/>
      <c r="K34" s="22"/>
    </row>
    <row r="35" spans="1:17" ht="20.100000000000001" customHeight="1" x14ac:dyDescent="0.25">
      <c r="C35" s="22"/>
      <c r="D35" s="22"/>
      <c r="E35" s="22"/>
      <c r="F35" s="22"/>
      <c r="G35" s="22"/>
      <c r="H35" s="22"/>
      <c r="I35" s="22"/>
      <c r="J35" s="22"/>
      <c r="K35" s="22"/>
    </row>
    <row r="36" spans="1:17" ht="20.100000000000001" customHeight="1" x14ac:dyDescent="0.25">
      <c r="C36" s="22"/>
      <c r="D36" s="117" t="s">
        <v>204</v>
      </c>
      <c r="E36" s="121" t="s">
        <v>324</v>
      </c>
      <c r="F36" s="122"/>
      <c r="G36" s="120"/>
      <c r="H36" s="117" t="s">
        <v>237</v>
      </c>
      <c r="I36" s="110" t="s">
        <v>327</v>
      </c>
      <c r="J36" s="117" t="str" cm="1">
        <f t="array" aca="1" ref="J36" ca="1">HYPERLINK(Common_InputFunctions.Utility_SourceHyperlink($D$21), $D$21)</f>
        <v>M1_Table_M_leach_cp</v>
      </c>
      <c r="K36" s="22"/>
    </row>
    <row r="37" spans="1:17" ht="20.100000000000001" customHeight="1" x14ac:dyDescent="0.25">
      <c r="C37" s="22"/>
      <c r="D37" s="117" t="s">
        <v>325</v>
      </c>
      <c r="E37" s="121" t="s">
        <v>326</v>
      </c>
      <c r="F37" s="122"/>
      <c r="G37" s="120"/>
      <c r="H37" s="117" t="s">
        <v>282</v>
      </c>
      <c r="I37" s="110" t="s">
        <v>259</v>
      </c>
      <c r="J37" s="117">
        <f>'Constants - Common'!$E$170</f>
        <v>0</v>
      </c>
      <c r="K37" s="22"/>
    </row>
    <row r="38" spans="1:17" ht="20.100000000000001" customHeight="1" x14ac:dyDescent="0.25">
      <c r="C38" s="22"/>
      <c r="D38" s="117" t="s">
        <v>278</v>
      </c>
      <c r="E38" s="121" t="s">
        <v>279</v>
      </c>
      <c r="F38" s="122"/>
      <c r="G38" s="120"/>
      <c r="H38" s="117" t="s">
        <v>258</v>
      </c>
      <c r="I38" s="110" t="s">
        <v>259</v>
      </c>
      <c r="J38" s="117">
        <f>Common_InputFunctions.Utility_LookupValueInTableNumber("N2O",Table_GasToMolecularConversionFactor[Gas],Table_GasToMolecularConversionFactor[Conversion factor combined])</f>
        <v>1.5714285714285714</v>
      </c>
      <c r="K38" s="22"/>
    </row>
    <row r="39" spans="1:17" ht="20.100000000000001" customHeight="1" x14ac:dyDescent="0.25">
      <c r="C39" s="22"/>
      <c r="D39" s="117" t="s">
        <v>254</v>
      </c>
      <c r="E39" s="121" t="s">
        <v>317</v>
      </c>
      <c r="F39" s="122"/>
      <c r="G39" s="120"/>
      <c r="H39" s="117"/>
      <c r="I39" s="111" t="s">
        <v>257</v>
      </c>
      <c r="J39" s="117" t="str">
        <f>'[1]Input - Grains'!$E$9</f>
        <v>Wheat</v>
      </c>
      <c r="K39" s="22"/>
    </row>
    <row r="40" spans="1:17" ht="20.100000000000001" customHeight="1" x14ac:dyDescent="0.25">
      <c r="C40" s="22"/>
      <c r="D40" s="117" t="s">
        <v>299</v>
      </c>
      <c r="E40" s="121" t="s">
        <v>318</v>
      </c>
      <c r="F40" s="122"/>
      <c r="G40" s="120"/>
      <c r="H40" s="117"/>
      <c r="I40" s="111" t="s">
        <v>257</v>
      </c>
      <c r="J40" s="117" t="str">
        <f>'Input - Pasture'!$E$9</f>
        <v>Grass clover mixture</v>
      </c>
      <c r="K40" s="22"/>
    </row>
    <row r="41" spans="1:17" ht="20.100000000000001" customHeight="1" x14ac:dyDescent="0.25">
      <c r="C41" s="22"/>
      <c r="D41" s="22"/>
      <c r="E41" s="22"/>
      <c r="F41" s="22"/>
      <c r="G41" s="22"/>
      <c r="H41" s="22"/>
      <c r="I41" s="22"/>
      <c r="J41" s="22"/>
      <c r="K41" s="22"/>
    </row>
    <row r="42" spans="1:17" ht="20.100000000000001" customHeight="1" x14ac:dyDescent="0.25">
      <c r="C42" s="22"/>
      <c r="D42" s="92" t="s">
        <v>209</v>
      </c>
      <c r="E42" s="22"/>
      <c r="F42" s="22"/>
      <c r="G42" s="22"/>
      <c r="H42" s="22"/>
      <c r="I42" s="22"/>
      <c r="J42" s="22"/>
      <c r="K42" s="22"/>
      <c r="N42" s="92" t="s">
        <v>209</v>
      </c>
      <c r="O42" s="22"/>
      <c r="P42" s="22"/>
      <c r="Q42" s="22"/>
    </row>
    <row r="43" spans="1:17" ht="20.100000000000001" customHeight="1" x14ac:dyDescent="0.25">
      <c r="C43" s="22"/>
      <c r="D43" s="91" t="s">
        <v>210</v>
      </c>
      <c r="E43" s="22"/>
      <c r="F43" s="22"/>
      <c r="G43" s="22"/>
      <c r="H43" s="22"/>
      <c r="I43" s="22"/>
      <c r="J43" s="22"/>
      <c r="K43" s="22"/>
      <c r="N43" s="91" t="s">
        <v>210</v>
      </c>
      <c r="O43" s="22"/>
      <c r="P43" s="22"/>
      <c r="Q43" s="22"/>
    </row>
    <row r="44" spans="1:17" ht="20.100000000000001" customHeight="1" x14ac:dyDescent="0.25">
      <c r="C44" s="22"/>
      <c r="D44" s="49" t="s">
        <v>204</v>
      </c>
      <c r="E44" s="49" t="s">
        <v>206</v>
      </c>
      <c r="F44" s="22"/>
      <c r="G44" s="22"/>
      <c r="H44" s="22"/>
      <c r="I44" s="22"/>
      <c r="J44" s="22"/>
      <c r="K44" s="22"/>
      <c r="N44" s="49" t="s">
        <v>204</v>
      </c>
      <c r="O44" s="49" t="s">
        <v>206</v>
      </c>
      <c r="P44" s="22"/>
      <c r="Q44" s="22"/>
    </row>
    <row r="45" spans="1:17" ht="20.100000000000001" customHeight="1" x14ac:dyDescent="0.25">
      <c r="C45" s="22"/>
      <c r="D45" s="50">
        <f>I24</f>
        <v>0</v>
      </c>
      <c r="E45" s="50">
        <f>(D45 * $J$37 * $J$38 * 10 ^ (-3))</f>
        <v>0</v>
      </c>
      <c r="F45" s="22"/>
      <c r="G45" s="22"/>
      <c r="H45" s="22"/>
      <c r="I45" s="22"/>
      <c r="J45" s="22"/>
      <c r="K45" s="22"/>
      <c r="N45" s="50">
        <f>S24</f>
        <v>0</v>
      </c>
      <c r="O45" s="50">
        <f>(N45 * $J$37 * $J$38 * 10 ^ (-3))</f>
        <v>0</v>
      </c>
      <c r="P45" s="22"/>
      <c r="Q45" s="22"/>
    </row>
    <row r="46" spans="1:17" ht="20.100000000000001" customHeight="1" x14ac:dyDescent="0.25">
      <c r="C46" s="22"/>
      <c r="D46" s="50">
        <f>I25</f>
        <v>0</v>
      </c>
      <c r="E46" s="50">
        <f>(D46 * $J$37 * $J$38 * 10 ^ (-3))</f>
        <v>0</v>
      </c>
      <c r="F46" s="22"/>
      <c r="G46" s="22"/>
      <c r="H46" s="22"/>
      <c r="I46" s="22"/>
      <c r="J46" s="22"/>
      <c r="K46" s="22"/>
      <c r="N46" s="50">
        <f>S25</f>
        <v>0</v>
      </c>
      <c r="O46" s="50">
        <f>(N46 * $J$37 * $J$38 * 10 ^ (-3))</f>
        <v>0</v>
      </c>
      <c r="P46" s="22"/>
      <c r="Q46" s="22"/>
    </row>
    <row r="47" spans="1:17" ht="20.100000000000001" customHeight="1" x14ac:dyDescent="0.25">
      <c r="C47" s="22"/>
      <c r="F47" s="22"/>
      <c r="G47" s="22"/>
      <c r="H47" s="22"/>
      <c r="I47" s="22"/>
      <c r="J47" s="22"/>
      <c r="K47" s="22"/>
      <c r="P47" s="22"/>
      <c r="Q47" s="22"/>
    </row>
    <row r="48" spans="1:17" ht="20.100000000000001" customHeight="1" x14ac:dyDescent="0.4">
      <c r="C48" s="22"/>
      <c r="D48" s="142" t="s">
        <v>198</v>
      </c>
      <c r="E48" s="143">
        <f>SUM(E45:E46)</f>
        <v>0</v>
      </c>
      <c r="F48" s="95" t="str">
        <f>$E$34</f>
        <v>t N2O</v>
      </c>
      <c r="G48" s="22"/>
      <c r="H48" s="22"/>
      <c r="I48" s="22"/>
      <c r="J48" s="22"/>
      <c r="K48" s="22"/>
      <c r="N48" s="142" t="s">
        <v>198</v>
      </c>
      <c r="O48" s="143">
        <f>SUM(O45:O46)</f>
        <v>0</v>
      </c>
      <c r="P48" s="95" t="str">
        <f>$E$34</f>
        <v>t N2O</v>
      </c>
      <c r="Q48" s="22"/>
    </row>
    <row r="49" spans="1:17" ht="20.100000000000001" customHeight="1" x14ac:dyDescent="0.25">
      <c r="D49" s="22"/>
      <c r="E49" s="22"/>
      <c r="F49" s="22"/>
      <c r="G49" s="22"/>
      <c r="N49" s="22"/>
      <c r="O49" s="22"/>
      <c r="P49" s="22"/>
      <c r="Q49" s="22"/>
    </row>
    <row r="50" spans="1:17" ht="20.100000000000001" customHeight="1" x14ac:dyDescent="0.25">
      <c r="D50" s="54" t="str" cm="1">
        <f t="array" ref="D50:E51">Common_Equations.Common_ConvertN2OToCO2e_Arguments()</f>
        <v>EN2O</v>
      </c>
      <c r="E50" s="55" t="str">
        <v>Nitrous oxide emissions (t N2O)</v>
      </c>
      <c r="F50" s="96"/>
      <c r="G50" s="50">
        <f>E48</f>
        <v>0</v>
      </c>
      <c r="N50" s="54" t="str" cm="1">
        <f t="array" ref="N50:O51">Common_Equations.Common_ConvertN2OToCO2e_Arguments()</f>
        <v>EN2O</v>
      </c>
      <c r="O50" s="55" t="str">
        <v>Nitrous oxide emissions (t N2O)</v>
      </c>
      <c r="P50" s="96"/>
      <c r="Q50" s="50">
        <f>O48</f>
        <v>0</v>
      </c>
    </row>
    <row r="51" spans="1:17" ht="20.100000000000001" customHeight="1" x14ac:dyDescent="0.25">
      <c r="D51" s="54" t="str">
        <v>GWPN2O</v>
      </c>
      <c r="E51" s="55" t="str">
        <v>Global warming potential for nitrous oxide (t CO2-e / t N2O)</v>
      </c>
      <c r="F51" s="96"/>
      <c r="G51" s="50">
        <f>Common_InputFunctions.Utility_LookupValueInTableNumber("N2O",Table_GWPData[Gas],Table_GWPData[CO2-e factor])</f>
        <v>265</v>
      </c>
      <c r="H51" s="22"/>
      <c r="I51" s="22"/>
      <c r="N51" s="54" t="str">
        <v>GWPN2O</v>
      </c>
      <c r="O51" s="55" t="str">
        <v>Global warming potential for nitrous oxide (t CO2-e / t N2O)</v>
      </c>
      <c r="P51" s="96"/>
      <c r="Q51" s="50">
        <f>Common_InputFunctions.Utility_LookupValueInTableNumber("N2O",Table_GWPData[Gas],Table_GWPData[CO2-e factor])</f>
        <v>265</v>
      </c>
    </row>
    <row r="52" spans="1:17" ht="20.100000000000001" customHeight="1" x14ac:dyDescent="0.25">
      <c r="H52" s="22"/>
      <c r="I52" s="22"/>
    </row>
    <row r="53" spans="1:17" ht="20.100000000000001" customHeight="1" x14ac:dyDescent="0.25">
      <c r="D53" s="44" t="s">
        <v>78</v>
      </c>
      <c r="E53" s="44" cm="1">
        <f t="array" ref="E53">Common_Equations.Common_ConvertN2OToCO2e(G50,G51)</f>
        <v>0</v>
      </c>
      <c r="F53" s="97" t="str" cm="1">
        <f t="array" ref="F53">Common_Equations.Common_ConvertN2OToCO2e_Unit()</f>
        <v>t CO2e</v>
      </c>
      <c r="I53" s="22"/>
      <c r="N53" s="44" t="s">
        <v>78</v>
      </c>
      <c r="O53" s="44" cm="1">
        <f t="array" ref="O53">Common_Equations.Common_ConvertN2OToCO2e(Q50,Q51)</f>
        <v>0</v>
      </c>
      <c r="P53" s="97" t="str" cm="1">
        <f t="array" ref="P53">Common_Equations.Common_ConvertN2OToCO2e_Unit()</f>
        <v>t CO2e</v>
      </c>
    </row>
    <row r="54" spans="1:17" ht="20.100000000000001" customHeight="1" x14ac:dyDescent="0.25">
      <c r="I54" s="22"/>
    </row>
    <row r="55" spans="1:17" ht="20.100000000000001" customHeight="1" x14ac:dyDescent="0.25">
      <c r="A55" s="123" t="str">
        <f>HYPERLINK("#A1", "▲ Back to top")</f>
        <v>▲ Back to top</v>
      </c>
    </row>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c r="H60" s="22"/>
      <c r="I60" s="22"/>
    </row>
    <row r="61" spans="1:17" ht="20.100000000000001" customHeight="1" x14ac:dyDescent="0.25">
      <c r="H61" s="22"/>
      <c r="I61" s="22"/>
    </row>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S165"/>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211</v>
      </c>
    </row>
    <row r="2" spans="1:19" s="9" customFormat="1" ht="20.100000000000001" customHeight="1" x14ac:dyDescent="0.25">
      <c r="A2"/>
    </row>
    <row r="3" spans="1:19" ht="20.100000000000001" customHeight="1" x14ac:dyDescent="0.25">
      <c r="A3" s="17" t="str">
        <f>HYPERLINK("#'Home'!A1", "Home")</f>
        <v>Home</v>
      </c>
      <c r="C3" s="4"/>
      <c r="D3" s="4" t="s">
        <v>79</v>
      </c>
      <c r="E3" s="4"/>
      <c r="F3" s="4"/>
      <c r="G3" s="4"/>
      <c r="H3" s="4"/>
      <c r="I3" s="4"/>
      <c r="J3" s="4"/>
      <c r="L3" s="4"/>
      <c r="M3" s="4" t="s">
        <v>80</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
        <v>328</v>
      </c>
    </row>
    <row r="6" spans="1:19" ht="20.100000000000001" customHeight="1" x14ac:dyDescent="0.25">
      <c r="A6" s="16"/>
      <c r="D6" s="5" t="s">
        <v>329</v>
      </c>
    </row>
    <row r="7" spans="1:19" ht="20.100000000000001" customHeight="1" x14ac:dyDescent="0.25">
      <c r="A7" s="20" t="s">
        <v>1</v>
      </c>
      <c r="D7" s="13"/>
      <c r="E7" s="13"/>
    </row>
    <row r="8" spans="1:19" ht="20.100000000000001" customHeight="1" x14ac:dyDescent="0.25">
      <c r="A8" s="17" t="str">
        <f>HYPERLINK("#'Input - Site'!A1", "Site")</f>
        <v>Site</v>
      </c>
    </row>
    <row r="9" spans="1:19" ht="20.100000000000001" customHeight="1" x14ac:dyDescent="0.25">
      <c r="A9" s="17" t="str">
        <f>HYPERLINK("#'Input - Crop'!A1", "Crop")</f>
        <v>Crop</v>
      </c>
    </row>
    <row r="10" spans="1:19" ht="20.100000000000001" customHeight="1" x14ac:dyDescent="0.25">
      <c r="A10" s="17" t="str">
        <f>HYPERLINK("#'Input - Pasture'!A1", "Pasture")</f>
        <v>Pasture</v>
      </c>
      <c r="D10" s="51" t="s">
        <v>24</v>
      </c>
      <c r="E10" s="1" t="s">
        <v>330</v>
      </c>
    </row>
    <row r="11" spans="1:19" ht="20.100000000000001" customHeight="1" x14ac:dyDescent="0.25">
      <c r="D11" s="51" t="s">
        <v>16</v>
      </c>
      <c r="E11" s="52" t="s">
        <v>256</v>
      </c>
    </row>
    <row r="12" spans="1:19" ht="20.100000000000001" customHeight="1" x14ac:dyDescent="0.25">
      <c r="A12" s="19" t="s">
        <v>68</v>
      </c>
    </row>
    <row r="13" spans="1:19" ht="20.100000000000001" customHeight="1" x14ac:dyDescent="0.25">
      <c r="A13" s="17" t="str">
        <f>HYPERLINK("#'6.1.1.1-2 Crop residue N2O'!A1", "6.1.1.1-2 Crop residue N2O")</f>
        <v>6.1.1.1-2 Crop residue N2O</v>
      </c>
      <c r="D13" s="117" t="s">
        <v>238</v>
      </c>
      <c r="E13" s="121" t="s">
        <v>331</v>
      </c>
      <c r="F13" s="120"/>
      <c r="G13" s="117" t="s">
        <v>256</v>
      </c>
      <c r="H13" s="111" t="s">
        <v>257</v>
      </c>
      <c r="I13" s="117">
        <f>'Input - Crop'!$E$22</f>
        <v>10000</v>
      </c>
    </row>
    <row r="14" spans="1:19" ht="20.100000000000001" customHeight="1" x14ac:dyDescent="0.25">
      <c r="A14" s="17" t="str">
        <f>HYPERLINK("#'6.2.1.1-2 Pasture residue N2O'!A1", "6.2.1.1-2 Pasture residue N2O")</f>
        <v>6.2.1.1-2 Pasture residue N2O</v>
      </c>
      <c r="D14" s="117" t="s">
        <v>240</v>
      </c>
      <c r="E14" s="121" t="s">
        <v>332</v>
      </c>
      <c r="F14" s="120"/>
      <c r="G14" s="117" t="s">
        <v>339</v>
      </c>
      <c r="H14" s="110" t="s">
        <v>259</v>
      </c>
      <c r="I14" s="117">
        <f>'Input - Crop'!$E$18</f>
        <v>1.5</v>
      </c>
    </row>
    <row r="15" spans="1:19" ht="20.100000000000001" customHeight="1" x14ac:dyDescent="0.25">
      <c r="A15" s="17" t="str">
        <f>HYPERLINK("#'6.3.1.1-2 Leaching and runoff'!A1", "6.3.1.1-2 Leaching and runoff")</f>
        <v>6.3.1.1-2 Leaching and runoff</v>
      </c>
      <c r="D15" s="117" t="s">
        <v>333</v>
      </c>
      <c r="E15" s="121" t="s">
        <v>334</v>
      </c>
      <c r="F15" s="120"/>
      <c r="G15" s="117" t="s">
        <v>258</v>
      </c>
      <c r="H15" s="110" t="s">
        <v>259</v>
      </c>
      <c r="I15" s="117" cm="1">
        <f t="array" ref="I15">Common_InputFunctions.Utility_LookupValueInTableNumber($I$19,Table_SourceData_CropAttributes[Crop type],Table_SourceData_CropAttributes[Fraction of residue remaining at time of burning (b)])</f>
        <v>0.5</v>
      </c>
    </row>
    <row r="16" spans="1:19" ht="20.100000000000001" customHeight="1" x14ac:dyDescent="0.25">
      <c r="A16" s="131" t="str">
        <f>HYPERLINK("#'6.4.1.1-2 Residue burning'!A1", "6.4.1.1-2 Residue burning")</f>
        <v>6.4.1.1-2 Residue burning</v>
      </c>
      <c r="D16" s="117" t="s">
        <v>248</v>
      </c>
      <c r="E16" s="121" t="s">
        <v>335</v>
      </c>
      <c r="F16" s="120"/>
      <c r="G16" s="117" t="s">
        <v>260</v>
      </c>
      <c r="H16" s="110" t="s">
        <v>259</v>
      </c>
      <c r="I16" s="117" cm="1">
        <f t="array" ref="I16">Common_InputFunctions.Utility_LookupValueInTableNumber($I$19,Table_SourceData_CropAttributes[Crop type],Table_SourceData_CropAttributes[Dry matter content])</f>
        <v>0.88</v>
      </c>
    </row>
    <row r="17" spans="1:10" ht="20.100000000000001" customHeight="1" x14ac:dyDescent="0.25">
      <c r="A17" s="17"/>
      <c r="D17" s="117" t="s">
        <v>336</v>
      </c>
      <c r="E17" s="121" t="s">
        <v>337</v>
      </c>
      <c r="F17" s="120"/>
      <c r="G17" s="117" t="s">
        <v>258</v>
      </c>
      <c r="H17" s="110" t="s">
        <v>259</v>
      </c>
      <c r="I17" s="117" cm="1">
        <f t="array" ref="I17">Common_InputFunctions.Utility_LookupValueInTableNumber($I$19,Table_SourceData_CropAttributes[Crop type],Table_SourceData_CropAttributes[Fraction burnt])</f>
        <v>0.9</v>
      </c>
    </row>
    <row r="18" spans="1:10" ht="20.100000000000001" customHeight="1" x14ac:dyDescent="0.25">
      <c r="A18" s="18" t="s">
        <v>2</v>
      </c>
      <c r="D18" s="117" t="s">
        <v>244</v>
      </c>
      <c r="E18" s="121" t="s">
        <v>338</v>
      </c>
      <c r="F18" s="120"/>
      <c r="G18" s="117" t="s">
        <v>258</v>
      </c>
      <c r="H18" s="110" t="s">
        <v>259</v>
      </c>
      <c r="I18" s="117">
        <f>'Input - Crop'!$E$43</f>
        <v>0.3</v>
      </c>
    </row>
    <row r="19" spans="1:10" ht="20.100000000000001" customHeight="1" x14ac:dyDescent="0.25">
      <c r="A19" s="17" t="str">
        <f>HYPERLINK("#'Constants - Ag Residue'!A1", "Constants - Ag Residue")</f>
        <v>Constants - Ag Residue</v>
      </c>
      <c r="D19" s="117" t="s">
        <v>254</v>
      </c>
      <c r="E19" s="121" t="s">
        <v>109</v>
      </c>
      <c r="F19" s="120"/>
      <c r="G19" s="117"/>
      <c r="H19" s="111" t="s">
        <v>257</v>
      </c>
      <c r="I19" s="117" t="str">
        <f>'Input - Crop'!$E$9</f>
        <v>Wheat</v>
      </c>
    </row>
    <row r="20" spans="1:10" ht="20.100000000000001" customHeight="1" x14ac:dyDescent="0.25">
      <c r="A20" s="17" t="str">
        <f>HYPERLINK("#'Constants - Common'!A1", "Constants - Common")</f>
        <v>Constants - Common</v>
      </c>
    </row>
    <row r="21" spans="1:10" ht="20.100000000000001" customHeight="1" x14ac:dyDescent="0.25">
      <c r="D21" s="118" t="s">
        <v>212</v>
      </c>
      <c r="E21" s="44">
        <f>(I13 * I14 * I15 * I16 * I17 * I18)</f>
        <v>1782</v>
      </c>
      <c r="F21" s="97" t="s">
        <v>256</v>
      </c>
    </row>
    <row r="22" spans="1:10" ht="20.100000000000001" customHeight="1" x14ac:dyDescent="0.25"/>
    <row r="23" spans="1:10" ht="20.100000000000001" customHeight="1" x14ac:dyDescent="0.25"/>
    <row r="24" spans="1:10" ht="20.100000000000001" customHeight="1" x14ac:dyDescent="0.25">
      <c r="C24" s="44"/>
      <c r="D24" s="44"/>
      <c r="E24" s="44"/>
      <c r="F24" s="44"/>
      <c r="G24" s="44"/>
      <c r="H24" s="44"/>
      <c r="I24" s="44"/>
      <c r="J24" s="44"/>
    </row>
    <row r="25" spans="1:10" ht="20.100000000000001" customHeight="1" x14ac:dyDescent="0.25">
      <c r="D25" s="6" t="s">
        <v>340</v>
      </c>
    </row>
    <row r="26" spans="1:10" ht="20.100000000000001" customHeight="1" x14ac:dyDescent="0.25">
      <c r="D26" s="5" t="s">
        <v>341</v>
      </c>
    </row>
    <row r="27" spans="1:10" ht="20.100000000000001" customHeight="1" x14ac:dyDescent="0.25">
      <c r="D27" s="13"/>
      <c r="E27" s="13"/>
    </row>
    <row r="28" spans="1:10" ht="20.100000000000001" customHeight="1" x14ac:dyDescent="0.25"/>
    <row r="29" spans="1:10" ht="20.100000000000001" customHeight="1" x14ac:dyDescent="0.25"/>
    <row r="30" spans="1:10" ht="20.100000000000001" customHeight="1" x14ac:dyDescent="0.25">
      <c r="D30" s="51" t="s">
        <v>24</v>
      </c>
      <c r="E30" s="1" t="s">
        <v>304</v>
      </c>
    </row>
    <row r="31" spans="1:10" ht="20.100000000000001" customHeight="1" x14ac:dyDescent="0.25">
      <c r="D31" s="51" t="s">
        <v>16</v>
      </c>
      <c r="E31" s="52" t="s">
        <v>99</v>
      </c>
    </row>
    <row r="32" spans="1:10" ht="20.100000000000001" customHeight="1" x14ac:dyDescent="0.25"/>
    <row r="33" spans="1:10" ht="20.100000000000001" customHeight="1" x14ac:dyDescent="0.25">
      <c r="D33" s="117" t="s">
        <v>330</v>
      </c>
      <c r="E33" s="121" t="s">
        <v>342</v>
      </c>
      <c r="F33" s="120"/>
      <c r="G33" s="117" t="s">
        <v>256</v>
      </c>
      <c r="H33" s="110" t="s">
        <v>346</v>
      </c>
      <c r="I33" s="117">
        <f>$E$21</f>
        <v>1782</v>
      </c>
    </row>
    <row r="34" spans="1:10" ht="20.100000000000001" customHeight="1" x14ac:dyDescent="0.25">
      <c r="D34" s="117" t="s">
        <v>250</v>
      </c>
      <c r="E34" s="121" t="s">
        <v>343</v>
      </c>
      <c r="F34" s="120"/>
      <c r="G34" s="117" t="s">
        <v>261</v>
      </c>
      <c r="H34" s="110" t="s">
        <v>259</v>
      </c>
      <c r="I34" s="117" cm="1">
        <f t="array" ref="I34">Common_InputFunctions.Utility_LookupValueInTableNumber($I$37,Table_SourceData_CropAttributes[Crop type],Table_SourceData_CropAttributes[N content above-ground])</f>
        <v>6.0000000000000001E-3</v>
      </c>
    </row>
    <row r="35" spans="1:10" ht="20.100000000000001" customHeight="1" x14ac:dyDescent="0.25">
      <c r="D35" s="117" t="s">
        <v>344</v>
      </c>
      <c r="E35" s="121" t="s">
        <v>345</v>
      </c>
      <c r="F35" s="120"/>
      <c r="G35" s="117" t="s">
        <v>347</v>
      </c>
      <c r="H35" s="110" t="s">
        <v>259</v>
      </c>
      <c r="I35" s="117" cm="1">
        <f t="array" ref="I35">Common_InputFunctions.Utility_LookupValueInTableNumber("N2O", Table_SourceData_BurningResidueEFs[Gas species],Table_SourceData_BurningResidueEFs[Emission factor EFg (Gg element in species/ Gg element in fuel burnt)])</f>
        <v>7.6E-3</v>
      </c>
    </row>
    <row r="36" spans="1:10" ht="20.100000000000001" customHeight="1" x14ac:dyDescent="0.25">
      <c r="D36" s="117" t="s">
        <v>278</v>
      </c>
      <c r="E36" s="121" t="s">
        <v>279</v>
      </c>
      <c r="F36" s="120"/>
      <c r="G36" s="117" t="s">
        <v>258</v>
      </c>
      <c r="H36" s="110" t="s">
        <v>259</v>
      </c>
      <c r="I36" s="117">
        <f>Common_InputFunctions.Utility_LookupValueInTableNumber("N2O",Table_GasToMolecularConversionFactor[Gas],Table_GasToMolecularConversionFactor[Conversion factor combined])</f>
        <v>1.5714285714285714</v>
      </c>
    </row>
    <row r="37" spans="1:10" ht="20.100000000000001" customHeight="1" x14ac:dyDescent="0.25">
      <c r="D37" s="117" t="s">
        <v>254</v>
      </c>
      <c r="E37" s="121" t="s">
        <v>109</v>
      </c>
      <c r="F37" s="120"/>
      <c r="G37" s="117"/>
      <c r="H37" s="111" t="s">
        <v>257</v>
      </c>
      <c r="I37" s="117" t="str">
        <f>'Input - Crop'!$E$9</f>
        <v>Wheat</v>
      </c>
    </row>
    <row r="38" spans="1:10" ht="20.100000000000001" customHeight="1" x14ac:dyDescent="0.25"/>
    <row r="39" spans="1:10" ht="20.100000000000001" customHeight="1" x14ac:dyDescent="0.25">
      <c r="D39" s="93" t="s">
        <v>108</v>
      </c>
      <c r="E39" s="94">
        <f>((I33 * I34) * I35 * I36 * 10 ^ (-3))</f>
        <v>1.276930285714286E-4</v>
      </c>
      <c r="F39" s="95" t="s">
        <v>99</v>
      </c>
    </row>
    <row r="40" spans="1:10" ht="20.100000000000001" customHeight="1" x14ac:dyDescent="0.25"/>
    <row r="41" spans="1:10" ht="20.100000000000001" customHeight="1" x14ac:dyDescent="0.25">
      <c r="D41" s="54" t="str" cm="1">
        <f t="array" ref="D41:E42">Common_Equations.Common_ConvertN2OToCO2e_Arguments()</f>
        <v>EN2O</v>
      </c>
      <c r="E41" s="55" t="str">
        <v>Nitrous oxide emissions (t N2O)</v>
      </c>
      <c r="F41" s="96"/>
      <c r="G41" s="140"/>
      <c r="H41" s="50">
        <f>E39</f>
        <v>1.276930285714286E-4</v>
      </c>
    </row>
    <row r="42" spans="1:10" ht="20.100000000000001" customHeight="1" x14ac:dyDescent="0.25">
      <c r="D42" s="54" t="str">
        <v>GWPN2O</v>
      </c>
      <c r="E42" s="55" t="str">
        <v>Global warming potential for nitrous oxide (t CO2-e / t N2O)</v>
      </c>
      <c r="F42" s="96"/>
      <c r="G42" s="140"/>
      <c r="H42" s="50">
        <f>Common_InputFunctions.Utility_LookupValueInTableNumber("N2O",Table_GWPData[Gas],Table_GWPData[CO2-e factor])</f>
        <v>265</v>
      </c>
    </row>
    <row r="43" spans="1:10" ht="20.100000000000001" customHeight="1" x14ac:dyDescent="0.25">
      <c r="H43" s="22"/>
    </row>
    <row r="44" spans="1:10" ht="20.100000000000001" customHeight="1" x14ac:dyDescent="0.25">
      <c r="D44" s="44" t="s">
        <v>78</v>
      </c>
      <c r="E44" s="44" cm="1">
        <f t="array" ref="E44">Common_Equations.Common_ConvertN2OToCO2e(H41,H42)</f>
        <v>3.3838652571428582E-2</v>
      </c>
      <c r="F44" s="97" t="str" cm="1">
        <f t="array" ref="F44">Common_Equations.Common_ConvertN2OToCO2e_Unit()</f>
        <v>t CO2e</v>
      </c>
      <c r="H44" s="22"/>
    </row>
    <row r="45" spans="1:10" ht="20.100000000000001" customHeight="1" x14ac:dyDescent="0.25"/>
    <row r="46" spans="1:10" ht="20.100000000000001" customHeight="1" x14ac:dyDescent="0.25">
      <c r="A46" s="123" t="str">
        <f>HYPERLINK("#A1", "▲ Back to top")</f>
        <v>▲ Back to top</v>
      </c>
    </row>
    <row r="47" spans="1:10" ht="20.100000000000001" customHeight="1" x14ac:dyDescent="0.25">
      <c r="C47" s="44"/>
      <c r="D47" s="44"/>
      <c r="E47" s="44"/>
      <c r="F47" s="44"/>
      <c r="G47" s="44"/>
      <c r="H47" s="44"/>
      <c r="I47" s="44"/>
      <c r="J47" s="44"/>
    </row>
    <row r="48" spans="1:10" ht="20.100000000000001" customHeight="1" x14ac:dyDescent="0.25">
      <c r="D48" s="6" t="s">
        <v>348</v>
      </c>
    </row>
    <row r="49" spans="4:9" ht="20.100000000000001" customHeight="1" x14ac:dyDescent="0.25">
      <c r="D49" s="5" t="s">
        <v>349</v>
      </c>
    </row>
    <row r="50" spans="4:9" ht="20.100000000000001" customHeight="1" x14ac:dyDescent="0.25">
      <c r="D50" s="13"/>
      <c r="E50" s="13"/>
    </row>
    <row r="51" spans="4:9" ht="20.100000000000001" customHeight="1" x14ac:dyDescent="0.25"/>
    <row r="52" spans="4:9" ht="20.100000000000001" customHeight="1" x14ac:dyDescent="0.25"/>
    <row r="53" spans="4:9" ht="20.100000000000001" customHeight="1" x14ac:dyDescent="0.25">
      <c r="D53" s="51" t="s">
        <v>24</v>
      </c>
      <c r="E53" s="1" t="s">
        <v>350</v>
      </c>
      <c r="F53" s="5"/>
    </row>
    <row r="54" spans="4:9" ht="20.100000000000001" customHeight="1" x14ac:dyDescent="0.25">
      <c r="D54" s="51" t="s">
        <v>16</v>
      </c>
      <c r="E54" s="52" t="s">
        <v>220</v>
      </c>
    </row>
    <row r="55" spans="4:9" ht="20.100000000000001" customHeight="1" x14ac:dyDescent="0.25"/>
    <row r="56" spans="4:9" ht="20.100000000000001" customHeight="1" x14ac:dyDescent="0.25">
      <c r="D56" s="117" t="s">
        <v>330</v>
      </c>
      <c r="E56" s="121" t="s">
        <v>342</v>
      </c>
      <c r="F56" s="120"/>
      <c r="G56" s="117" t="s">
        <v>256</v>
      </c>
      <c r="H56" s="110" t="s">
        <v>346</v>
      </c>
      <c r="I56" s="117">
        <f>$E$21</f>
        <v>1782</v>
      </c>
    </row>
    <row r="57" spans="4:9" ht="20.100000000000001" customHeight="1" x14ac:dyDescent="0.25">
      <c r="D57" s="117" t="s">
        <v>351</v>
      </c>
      <c r="E57" s="121" t="s">
        <v>352</v>
      </c>
      <c r="F57" s="120"/>
      <c r="G57" s="117" t="s">
        <v>258</v>
      </c>
      <c r="H57" s="110" t="s">
        <v>259</v>
      </c>
      <c r="I57" s="117" cm="1">
        <f t="array" ref="I57">Common_InputFunctions.Utility_LookupValueInTableNumber($I$60,Table_SourceData_CropAttributes[Crop type],Table_SourceData_CropAttributes[Carbon fraction in dry matter])</f>
        <v>0.4</v>
      </c>
    </row>
    <row r="58" spans="4:9" ht="20.100000000000001" customHeight="1" x14ac:dyDescent="0.25">
      <c r="D58" s="117" t="s">
        <v>353</v>
      </c>
      <c r="E58" s="121" t="s">
        <v>354</v>
      </c>
      <c r="F58" s="120"/>
      <c r="G58" s="117" t="s">
        <v>357</v>
      </c>
      <c r="H58" s="110" t="s">
        <v>259</v>
      </c>
      <c r="I58" s="117" cm="1">
        <f t="array" ref="I58">Common_InputFunctions.Utility_LookupValueInTableNumber("CH4", Table_SourceData_BurningResidueEFs[Gas species],Table_SourceData_BurningResidueEFs[Emission factor EFg (Gg element in species/ Gg element in fuel burnt)])</f>
        <v>3.5000000000000001E-3</v>
      </c>
    </row>
    <row r="59" spans="4:9" ht="20.100000000000001" customHeight="1" x14ac:dyDescent="0.25">
      <c r="D59" s="117" t="s">
        <v>355</v>
      </c>
      <c r="E59" s="121" t="s">
        <v>356</v>
      </c>
      <c r="F59" s="120"/>
      <c r="G59" s="117" t="s">
        <v>258</v>
      </c>
      <c r="H59" s="110" t="s">
        <v>259</v>
      </c>
      <c r="I59" s="117">
        <f>Common_InputFunctions.Utility_LookupValueInTableNumber("CH4",Table_GasToMolecularConversionFactor[Gas],Table_GasToMolecularConversionFactor[Conversion factor combined])</f>
        <v>1.3333333333333333</v>
      </c>
    </row>
    <row r="60" spans="4:9" ht="20.100000000000001" customHeight="1" x14ac:dyDescent="0.25">
      <c r="D60" s="117" t="s">
        <v>254</v>
      </c>
      <c r="E60" s="121" t="s">
        <v>109</v>
      </c>
      <c r="F60" s="120"/>
      <c r="G60" s="117"/>
      <c r="H60" s="111" t="s">
        <v>257</v>
      </c>
      <c r="I60" s="117" t="str">
        <f>'Input - Crop'!$E$9</f>
        <v>Wheat</v>
      </c>
    </row>
    <row r="61" spans="4:9" ht="20.100000000000001" customHeight="1" x14ac:dyDescent="0.25"/>
    <row r="62" spans="4:9" ht="20.100000000000001" customHeight="1" x14ac:dyDescent="0.25">
      <c r="D62" s="93" t="s">
        <v>108</v>
      </c>
      <c r="E62" s="94">
        <f>((I56 * I57) * I58 * I59 * 10 ^ (-3))</f>
        <v>3.3264000000000002E-3</v>
      </c>
      <c r="F62" s="95" t="s">
        <v>99</v>
      </c>
    </row>
    <row r="63" spans="4:9" ht="20.100000000000001" customHeight="1" x14ac:dyDescent="0.25"/>
    <row r="64" spans="4:9" ht="20.100000000000001" customHeight="1" x14ac:dyDescent="0.25">
      <c r="D64" s="54" t="str" cm="1">
        <f t="array" ref="D64:E65">Common_Equations.Common_ConvertCH4ToCO2e_Arguments()</f>
        <v>ECH4</v>
      </c>
      <c r="E64" s="55" t="str">
        <v>Methane emissions (t CH4)</v>
      </c>
      <c r="F64" s="96"/>
      <c r="G64" s="140"/>
      <c r="H64" s="50">
        <f>E62</f>
        <v>3.3264000000000002E-3</v>
      </c>
    </row>
    <row r="65" spans="1:8" ht="20.100000000000001" customHeight="1" x14ac:dyDescent="0.25">
      <c r="D65" s="54" t="str">
        <v>GWPCH4</v>
      </c>
      <c r="E65" s="55" t="str">
        <v>Global warming potential for methane (t CO2-e / t CH4)</v>
      </c>
      <c r="F65" s="96"/>
      <c r="G65" s="140"/>
      <c r="H65" s="50">
        <f>Common_InputFunctions.Utility_LookupValueInTableNumber("CH4",Table_GWPData[Gas],Table_GWPData[CO2-e factor])</f>
        <v>28</v>
      </c>
    </row>
    <row r="66" spans="1:8" ht="20.100000000000001" customHeight="1" x14ac:dyDescent="0.25">
      <c r="H66" s="22"/>
    </row>
    <row r="67" spans="1:8" ht="20.100000000000001" customHeight="1" x14ac:dyDescent="0.25">
      <c r="A67" s="123" t="str">
        <f>HYPERLINK("#A1", "▲ Back to top")</f>
        <v>▲ Back to top</v>
      </c>
      <c r="D67" s="44" t="s">
        <v>78</v>
      </c>
      <c r="E67" s="44" cm="1">
        <f t="array" ref="E67">Common_Equations.Common_ConvertCH4ToCO2e(H64,H65)</f>
        <v>9.3139200000000005E-2</v>
      </c>
      <c r="F67" s="97" t="str" cm="1">
        <f t="array" ref="F67">Common_Equations.Common_ConvertCH4ToCO2e_Unit()</f>
        <v>t CO2e</v>
      </c>
      <c r="H67" s="22"/>
    </row>
    <row r="68" spans="1:8" ht="20.100000000000001" customHeight="1" x14ac:dyDescent="0.25"/>
    <row r="69" spans="1:8" ht="20.100000000000001" customHeight="1" x14ac:dyDescent="0.25"/>
    <row r="70" spans="1:8" ht="20.100000000000001" customHeight="1" x14ac:dyDescent="0.25"/>
    <row r="71" spans="1:8" ht="20.100000000000001" customHeight="1" x14ac:dyDescent="0.25"/>
    <row r="72" spans="1:8" ht="20.100000000000001" customHeight="1" x14ac:dyDescent="0.25"/>
    <row r="73" spans="1:8" ht="20.100000000000001" customHeight="1" x14ac:dyDescent="0.25"/>
    <row r="74" spans="1:8" ht="20.100000000000001" customHeight="1" x14ac:dyDescent="0.25"/>
    <row r="75" spans="1:8" ht="20.100000000000001" customHeight="1" x14ac:dyDescent="0.25"/>
    <row r="76" spans="1:8" ht="20.100000000000001" customHeight="1" x14ac:dyDescent="0.25"/>
    <row r="77" spans="1:8" ht="20.100000000000001" customHeight="1" x14ac:dyDescent="0.25"/>
    <row r="78" spans="1:8" ht="20.100000000000001" customHeight="1" x14ac:dyDescent="0.25"/>
    <row r="79" spans="1:8" ht="20.100000000000001" customHeight="1" x14ac:dyDescent="0.25"/>
    <row r="80" spans="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235"/>
  <sheetViews>
    <sheetView showGridLines="0" topLeftCell="B1" zoomScaleNormal="100" workbookViewId="0">
      <selection activeCell="D6" sqref="D6"/>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157</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
        <v>358</v>
      </c>
    </row>
    <row r="6" spans="1:35" ht="20.100000000000001" customHeight="1" x14ac:dyDescent="0.25">
      <c r="A6" s="16"/>
    </row>
    <row r="7" spans="1:35" ht="20.100000000000001" customHeight="1" x14ac:dyDescent="0.25">
      <c r="A7" s="20" t="s">
        <v>1</v>
      </c>
      <c r="D7" s="136" t="s">
        <v>168</v>
      </c>
      <c r="E7" s="136" t="s">
        <v>169</v>
      </c>
      <c r="F7" s="136" t="s">
        <v>170</v>
      </c>
      <c r="G7" s="136" t="s">
        <v>171</v>
      </c>
      <c r="H7" s="136" t="s">
        <v>172</v>
      </c>
      <c r="I7" s="136" t="s">
        <v>227</v>
      </c>
      <c r="J7" s="136" t="s">
        <v>228</v>
      </c>
      <c r="K7" s="136" t="s">
        <v>229</v>
      </c>
      <c r="AG7" s="1"/>
      <c r="AH7" s="1"/>
      <c r="AI7" s="1"/>
    </row>
    <row r="8" spans="1:35" ht="20.100000000000001" customHeight="1" x14ac:dyDescent="0.25">
      <c r="A8" s="17" t="str">
        <f>HYPERLINK("#'Input - Site'!A1", "Site")</f>
        <v>Site</v>
      </c>
      <c r="D8" t="s">
        <v>173</v>
      </c>
      <c r="E8" t="s">
        <v>359</v>
      </c>
      <c r="F8" t="s">
        <v>360</v>
      </c>
      <c r="G8" t="s">
        <v>361</v>
      </c>
      <c r="H8" t="s">
        <v>359</v>
      </c>
      <c r="I8" t="s">
        <v>362</v>
      </c>
      <c r="J8" t="s">
        <v>363</v>
      </c>
      <c r="K8" t="s">
        <v>364</v>
      </c>
      <c r="AG8" s="1"/>
      <c r="AH8" s="1"/>
      <c r="AI8" s="1"/>
    </row>
    <row r="9" spans="1:35" ht="20.100000000000001" customHeight="1" x14ac:dyDescent="0.25">
      <c r="A9" s="17" t="str">
        <f>HYPERLINK("#'Input - Crop'!A1", "Crop")</f>
        <v>Crop</v>
      </c>
      <c r="D9" t="s">
        <v>365</v>
      </c>
      <c r="E9" t="s">
        <v>366</v>
      </c>
      <c r="F9" t="s">
        <v>360</v>
      </c>
      <c r="G9" t="s">
        <v>361</v>
      </c>
      <c r="H9" t="s">
        <v>367</v>
      </c>
      <c r="I9" t="s">
        <v>368</v>
      </c>
      <c r="J9" t="s">
        <v>369</v>
      </c>
      <c r="K9" t="s">
        <v>370</v>
      </c>
      <c r="AG9" s="1"/>
      <c r="AH9" s="1"/>
      <c r="AI9" s="1"/>
    </row>
    <row r="10" spans="1:35" ht="20.100000000000001" customHeight="1" x14ac:dyDescent="0.25">
      <c r="A10" s="17" t="str">
        <f>HYPERLINK("#'Input - Pasture'!A1", "Pasture")</f>
        <v>Pasture</v>
      </c>
      <c r="D10" t="s">
        <v>371</v>
      </c>
      <c r="E10" t="s">
        <v>366</v>
      </c>
      <c r="F10" t="s">
        <v>372</v>
      </c>
      <c r="G10" t="s">
        <v>373</v>
      </c>
      <c r="H10" t="s">
        <v>366</v>
      </c>
      <c r="I10" t="s">
        <v>374</v>
      </c>
      <c r="J10" t="s">
        <v>375</v>
      </c>
      <c r="K10" t="s">
        <v>376</v>
      </c>
      <c r="AG10" s="1"/>
      <c r="AH10" s="1"/>
      <c r="AI10" s="1"/>
    </row>
    <row r="11" spans="1:35" ht="20.100000000000001" customHeight="1" x14ac:dyDescent="0.25"/>
    <row r="12" spans="1:35" ht="20.100000000000001" customHeight="1" x14ac:dyDescent="0.25">
      <c r="A12" s="19" t="s">
        <v>68</v>
      </c>
    </row>
    <row r="13" spans="1:35" ht="20.100000000000001" customHeight="1" x14ac:dyDescent="0.25">
      <c r="A13" s="17" t="str">
        <f>HYPERLINK("#'6.1.1.1-2 Crop residue N2O'!A1", "6.1.1.1-2 Crop residue N2O")</f>
        <v>6.1.1.1-2 Crop residue N2O</v>
      </c>
    </row>
    <row r="14" spans="1:35" ht="20.100000000000001" customHeight="1" x14ac:dyDescent="0.25">
      <c r="A14" s="17" t="str">
        <f>HYPERLINK("#'6.2.1.1-2 Pasture residue N2O'!A1", "6.2.1.1-2 Pasture residue N2O")</f>
        <v>6.2.1.1-2 Pasture residue N2O</v>
      </c>
    </row>
    <row r="15" spans="1:35" ht="20.100000000000001" customHeight="1" x14ac:dyDescent="0.25">
      <c r="A15" s="17" t="str">
        <f>HYPERLINK("#'6.3.1.1-2 Leaching and runoff'!A1", "6.3.1.1-2 Leaching and runoff")</f>
        <v>6.3.1.1-2 Leaching and runoff</v>
      </c>
      <c r="D15" s="6" t="s">
        <v>377</v>
      </c>
      <c r="E15" s="22"/>
      <c r="F15" s="22"/>
      <c r="G15" s="22"/>
      <c r="H15" s="22"/>
      <c r="I15" s="22"/>
      <c r="J15" s="22"/>
      <c r="K15" s="22"/>
      <c r="L15" s="22"/>
    </row>
    <row r="16" spans="1:35" ht="20.100000000000001" customHeight="1" x14ac:dyDescent="0.25">
      <c r="A16" s="17" t="str">
        <f>HYPERLINK("#'6.4.1.1-2 Residue burning'!A1", "6.4.1.1-2 Residue burning")</f>
        <v>6.4.1.1-2 Residue burning</v>
      </c>
      <c r="D16" s="5" t="s">
        <v>378</v>
      </c>
      <c r="E16" s="22"/>
      <c r="F16" s="22"/>
      <c r="G16" s="22"/>
      <c r="H16" s="22"/>
      <c r="I16" s="22"/>
      <c r="J16" s="22"/>
      <c r="K16" s="22"/>
      <c r="L16" s="22"/>
    </row>
    <row r="17" spans="1:14" ht="20.100000000000001" customHeight="1" x14ac:dyDescent="0.25">
      <c r="A17" s="17"/>
      <c r="D17" s="53" t="str" cm="1">
        <f t="array" ref="D17">"⚠️" &amp; Agresidue_SourceData.CropAttributes_Variation()</f>
        <v>⚠️VARIATION FROM SOURCE: 'N/A' values passed as zero for calculations.</v>
      </c>
      <c r="E17" s="22"/>
      <c r="F17" s="22"/>
      <c r="G17" s="22"/>
      <c r="H17" s="22"/>
      <c r="I17" s="22"/>
      <c r="J17" s="22"/>
      <c r="K17" s="22"/>
      <c r="L17" s="22"/>
    </row>
    <row r="18" spans="1:14" ht="20.100000000000001" customHeight="1" x14ac:dyDescent="0.25">
      <c r="A18" s="18" t="s">
        <v>2</v>
      </c>
      <c r="D18" s="22"/>
      <c r="E18" s="22"/>
      <c r="F18" s="22"/>
      <c r="G18" s="22"/>
      <c r="H18" s="22"/>
      <c r="I18" s="22"/>
      <c r="J18" s="22"/>
      <c r="K18" s="22"/>
      <c r="L18" s="22"/>
    </row>
    <row r="19" spans="1:14" ht="20.100000000000001" customHeight="1" x14ac:dyDescent="0.25">
      <c r="A19" s="132" t="str">
        <f>HYPERLINK("#'Constants - Ag Residue'!A1", "Constants - Ag Residue")</f>
        <v>Constants - Ag Residue</v>
      </c>
      <c r="D19" t="s">
        <v>109</v>
      </c>
      <c r="E19" t="s">
        <v>158</v>
      </c>
      <c r="F19" t="s">
        <v>159</v>
      </c>
      <c r="G19" t="s">
        <v>160</v>
      </c>
      <c r="H19" t="s">
        <v>161</v>
      </c>
      <c r="I19" t="s">
        <v>162</v>
      </c>
      <c r="J19" t="s">
        <v>163</v>
      </c>
      <c r="K19" t="s">
        <v>164</v>
      </c>
      <c r="L19" t="s">
        <v>165</v>
      </c>
      <c r="N19" s="6" t="s">
        <v>222</v>
      </c>
    </row>
    <row r="20" spans="1:14" ht="20.100000000000001" customHeight="1" x14ac:dyDescent="0.25">
      <c r="A20" s="17" t="str">
        <f>HYPERLINK("#'Constants - Common'!A1", "Constants - Common")</f>
        <v>Constants - Common</v>
      </c>
      <c r="D20" t="s">
        <v>132</v>
      </c>
      <c r="E20">
        <v>1.5</v>
      </c>
      <c r="F20">
        <v>0.28999999999999998</v>
      </c>
      <c r="G20">
        <v>0.88</v>
      </c>
      <c r="H20">
        <v>0.4</v>
      </c>
      <c r="I20">
        <v>6.0000000000000001E-3</v>
      </c>
      <c r="J20">
        <v>0.01</v>
      </c>
      <c r="K20">
        <v>0.5</v>
      </c>
      <c r="L20">
        <v>0.9</v>
      </c>
    </row>
    <row r="21" spans="1:14" ht="20.100000000000001" customHeight="1" x14ac:dyDescent="0.25">
      <c r="D21" t="s">
        <v>379</v>
      </c>
      <c r="E21">
        <v>1.24</v>
      </c>
      <c r="F21">
        <v>0.32</v>
      </c>
      <c r="G21">
        <v>0.88</v>
      </c>
      <c r="H21">
        <v>0.4</v>
      </c>
      <c r="I21">
        <v>7.0000000000000001E-3</v>
      </c>
      <c r="J21">
        <v>0.01</v>
      </c>
      <c r="K21">
        <v>0.5</v>
      </c>
      <c r="L21">
        <v>0.85</v>
      </c>
      <c r="N21" s="37" t="s">
        <v>85</v>
      </c>
    </row>
    <row r="22" spans="1:14" ht="20.100000000000001" customHeight="1" x14ac:dyDescent="0.25">
      <c r="D22" t="s">
        <v>380</v>
      </c>
      <c r="E22">
        <v>0.81</v>
      </c>
      <c r="F22">
        <v>0.39</v>
      </c>
      <c r="G22">
        <v>0.85</v>
      </c>
      <c r="H22">
        <v>0.42</v>
      </c>
      <c r="I22">
        <v>5.0000000000000001E-3</v>
      </c>
      <c r="J22">
        <v>7.0000000000000001E-3</v>
      </c>
      <c r="K22">
        <v>1</v>
      </c>
      <c r="L22">
        <v>0.8</v>
      </c>
      <c r="N22" s="37" t="s">
        <v>223</v>
      </c>
    </row>
    <row r="23" spans="1:14" ht="20.100000000000001" customHeight="1" x14ac:dyDescent="0.25">
      <c r="A23" s="17"/>
      <c r="D23" t="s">
        <v>381</v>
      </c>
      <c r="E23">
        <v>1.42</v>
      </c>
      <c r="F23">
        <v>0.43</v>
      </c>
      <c r="G23">
        <v>0.88</v>
      </c>
      <c r="H23">
        <v>0.4</v>
      </c>
      <c r="I23">
        <v>6.0000000000000001E-3</v>
      </c>
      <c r="J23">
        <v>0.01</v>
      </c>
      <c r="K23">
        <v>0.5</v>
      </c>
      <c r="L23">
        <v>0.85</v>
      </c>
      <c r="N23" s="37" t="s">
        <v>224</v>
      </c>
    </row>
    <row r="24" spans="1:14" ht="20.100000000000001" customHeight="1" x14ac:dyDescent="0.25">
      <c r="D24" t="s">
        <v>382</v>
      </c>
      <c r="E24">
        <v>1.31</v>
      </c>
      <c r="F24">
        <v>0.16</v>
      </c>
      <c r="G24">
        <v>0.8</v>
      </c>
      <c r="H24">
        <v>0.42</v>
      </c>
      <c r="I24">
        <v>7.0000000000000001E-3</v>
      </c>
      <c r="J24">
        <v>0.01</v>
      </c>
      <c r="K24">
        <v>1</v>
      </c>
      <c r="L24">
        <v>0.8</v>
      </c>
      <c r="N24" s="1" t="s">
        <v>107</v>
      </c>
    </row>
    <row r="25" spans="1:14" ht="20.100000000000001" customHeight="1" x14ac:dyDescent="0.25">
      <c r="D25" t="s">
        <v>383</v>
      </c>
      <c r="E25">
        <v>1.5</v>
      </c>
      <c r="F25">
        <v>0.22</v>
      </c>
      <c r="G25">
        <v>0.8</v>
      </c>
      <c r="H25">
        <v>0.4</v>
      </c>
      <c r="I25">
        <v>8.0000000000000002E-3</v>
      </c>
      <c r="J25">
        <v>7.0000000000000001E-3</v>
      </c>
      <c r="K25">
        <v>0.5</v>
      </c>
      <c r="L25">
        <v>0.85</v>
      </c>
      <c r="N25" s="1" t="s">
        <v>225</v>
      </c>
    </row>
    <row r="26" spans="1:14" ht="20.100000000000001" customHeight="1" x14ac:dyDescent="0.25">
      <c r="D26" t="s">
        <v>384</v>
      </c>
      <c r="E26">
        <v>1.5</v>
      </c>
      <c r="F26">
        <v>0.42</v>
      </c>
      <c r="G26">
        <v>0.88</v>
      </c>
      <c r="H26">
        <v>0.4</v>
      </c>
      <c r="I26">
        <v>6.0000000000000001E-3</v>
      </c>
      <c r="J26">
        <v>0.01</v>
      </c>
      <c r="K26">
        <v>0.5</v>
      </c>
      <c r="L26">
        <v>0.85</v>
      </c>
      <c r="N26" s="1" t="s">
        <v>226</v>
      </c>
    </row>
    <row r="27" spans="1:14" ht="20.100000000000001" customHeight="1" x14ac:dyDescent="0.25">
      <c r="D27" t="s">
        <v>385</v>
      </c>
      <c r="E27">
        <v>1.46</v>
      </c>
      <c r="F27">
        <v>0.36</v>
      </c>
      <c r="G27">
        <v>0.88</v>
      </c>
      <c r="H27">
        <v>0.4</v>
      </c>
      <c r="I27">
        <v>6.0000000000000001E-3</v>
      </c>
      <c r="J27">
        <v>0.01</v>
      </c>
      <c r="K27">
        <v>0.5</v>
      </c>
      <c r="L27">
        <v>0.85</v>
      </c>
    </row>
    <row r="28" spans="1:14" ht="20.100000000000001" customHeight="1" x14ac:dyDescent="0.25">
      <c r="D28" t="s">
        <v>386</v>
      </c>
      <c r="E28">
        <v>1.37</v>
      </c>
      <c r="F28">
        <v>0.51</v>
      </c>
      <c r="G28">
        <v>0.87</v>
      </c>
      <c r="H28">
        <v>0.4</v>
      </c>
      <c r="I28">
        <v>8.9999999999999993E-3</v>
      </c>
      <c r="J28">
        <v>0.01</v>
      </c>
      <c r="K28">
        <v>0.5</v>
      </c>
      <c r="L28">
        <v>0.85</v>
      </c>
    </row>
    <row r="29" spans="1:14" ht="20.100000000000001" customHeight="1" x14ac:dyDescent="0.25">
      <c r="D29" t="s">
        <v>387</v>
      </c>
      <c r="E29">
        <v>0.34</v>
      </c>
      <c r="F29">
        <v>0.43</v>
      </c>
      <c r="G29">
        <v>0.25</v>
      </c>
      <c r="H29">
        <v>0.4</v>
      </c>
      <c r="I29">
        <v>0.02</v>
      </c>
      <c r="J29">
        <v>0.01</v>
      </c>
      <c r="K29" t="s">
        <v>388</v>
      </c>
      <c r="L29">
        <v>0.85</v>
      </c>
    </row>
    <row r="30" spans="1:14" ht="20.100000000000001" customHeight="1" x14ac:dyDescent="0.25">
      <c r="D30" t="s">
        <v>389</v>
      </c>
      <c r="E30">
        <v>1.07</v>
      </c>
      <c r="F30">
        <v>0.2</v>
      </c>
      <c r="G30">
        <v>0.8</v>
      </c>
      <c r="H30">
        <v>0.42</v>
      </c>
      <c r="I30">
        <v>1.6E-2</v>
      </c>
      <c r="J30">
        <v>1.4E-2</v>
      </c>
      <c r="K30">
        <v>0.5</v>
      </c>
      <c r="L30">
        <v>0.85</v>
      </c>
    </row>
    <row r="31" spans="1:14" ht="20.100000000000001" customHeight="1" x14ac:dyDescent="0.25">
      <c r="D31" t="s">
        <v>390</v>
      </c>
      <c r="E31">
        <v>0.25</v>
      </c>
      <c r="F31">
        <v>0.45</v>
      </c>
      <c r="G31">
        <v>0.2</v>
      </c>
      <c r="H31">
        <v>0.4</v>
      </c>
      <c r="I31">
        <v>5.0000000000000001E-3</v>
      </c>
      <c r="J31">
        <v>7.0000000000000001E-3</v>
      </c>
      <c r="K31">
        <v>1</v>
      </c>
      <c r="L31">
        <v>0.8</v>
      </c>
    </row>
    <row r="32" spans="1:14" ht="20.100000000000001" customHeight="1" x14ac:dyDescent="0.25">
      <c r="D32" t="s">
        <v>391</v>
      </c>
      <c r="E32">
        <v>1.9</v>
      </c>
      <c r="F32">
        <v>0.3</v>
      </c>
      <c r="G32">
        <v>0.9</v>
      </c>
      <c r="H32">
        <v>0.4</v>
      </c>
      <c r="I32">
        <v>0.01</v>
      </c>
      <c r="J32">
        <v>0.01</v>
      </c>
      <c r="K32" t="s">
        <v>388</v>
      </c>
      <c r="L32">
        <v>0.85</v>
      </c>
    </row>
    <row r="33" spans="4:13" ht="20.100000000000001" customHeight="1" x14ac:dyDescent="0.25">
      <c r="D33" t="s">
        <v>392</v>
      </c>
      <c r="E33">
        <v>1.5</v>
      </c>
      <c r="F33">
        <v>0.28999999999999998</v>
      </c>
      <c r="G33">
        <v>0.88</v>
      </c>
      <c r="H33">
        <v>0.4</v>
      </c>
      <c r="I33">
        <v>6.0000000000000001E-3</v>
      </c>
      <c r="J33" t="s">
        <v>388</v>
      </c>
      <c r="K33" t="s">
        <v>388</v>
      </c>
      <c r="L33">
        <v>0.85</v>
      </c>
    </row>
    <row r="34" spans="4:13" ht="20.100000000000001" customHeight="1" x14ac:dyDescent="0.25">
      <c r="D34" t="s">
        <v>393</v>
      </c>
      <c r="E34">
        <v>2.08</v>
      </c>
      <c r="F34">
        <v>0.33</v>
      </c>
      <c r="G34">
        <v>0.96</v>
      </c>
      <c r="H34">
        <v>0.4</v>
      </c>
      <c r="I34">
        <v>8.9999999999999993E-3</v>
      </c>
      <c r="J34">
        <v>0.01</v>
      </c>
      <c r="K34">
        <v>0.5</v>
      </c>
      <c r="L34">
        <v>0.85</v>
      </c>
    </row>
    <row r="35" spans="4:13" ht="20.100000000000001" customHeight="1" x14ac:dyDescent="0.25">
      <c r="D35" t="s">
        <v>394</v>
      </c>
      <c r="E35">
        <v>1.34</v>
      </c>
      <c r="F35">
        <v>0.37</v>
      </c>
      <c r="G35">
        <v>0.88</v>
      </c>
      <c r="H35">
        <v>0.4</v>
      </c>
      <c r="I35">
        <v>6.0000000000000001E-3</v>
      </c>
      <c r="J35">
        <v>0.01</v>
      </c>
      <c r="K35" t="s">
        <v>388</v>
      </c>
      <c r="L35">
        <v>0.85</v>
      </c>
    </row>
    <row r="36" spans="4:13" ht="20.100000000000001" customHeight="1" x14ac:dyDescent="0.25">
      <c r="D36" t="s">
        <v>395</v>
      </c>
      <c r="E36">
        <v>1</v>
      </c>
      <c r="F36">
        <v>0.22</v>
      </c>
      <c r="G36">
        <v>0.85</v>
      </c>
      <c r="H36">
        <v>0.4</v>
      </c>
      <c r="I36">
        <v>8.0000000000000002E-3</v>
      </c>
      <c r="J36">
        <v>8.9999999999999993E-3</v>
      </c>
      <c r="K36" t="s">
        <v>388</v>
      </c>
      <c r="L36" t="s">
        <v>388</v>
      </c>
    </row>
    <row r="37" spans="4:13" ht="20.100000000000001" customHeight="1" x14ac:dyDescent="0.25">
      <c r="D37" t="s">
        <v>396</v>
      </c>
      <c r="E37">
        <v>1.5</v>
      </c>
      <c r="F37">
        <v>0.28999999999999998</v>
      </c>
      <c r="G37">
        <v>0.88</v>
      </c>
      <c r="H37">
        <v>0.4</v>
      </c>
      <c r="I37">
        <v>6.0000000000000001E-3</v>
      </c>
      <c r="J37" t="s">
        <v>388</v>
      </c>
      <c r="K37" t="s">
        <v>388</v>
      </c>
      <c r="L37" t="s">
        <v>388</v>
      </c>
    </row>
    <row r="38" spans="4:13" ht="20.100000000000001" customHeight="1" x14ac:dyDescent="0.25">
      <c r="D38" s="22"/>
      <c r="E38" s="22"/>
      <c r="F38" s="22"/>
      <c r="G38" s="22"/>
      <c r="H38" s="22"/>
      <c r="I38" s="22"/>
      <c r="J38" s="22"/>
      <c r="K38" s="22"/>
      <c r="L38" s="22"/>
    </row>
    <row r="39" spans="4:13" ht="20.100000000000001" customHeight="1" x14ac:dyDescent="0.25">
      <c r="D39" s="22"/>
      <c r="E39" s="22"/>
      <c r="F39" s="22"/>
      <c r="G39" s="22"/>
      <c r="H39" s="22"/>
      <c r="I39" s="22"/>
      <c r="J39" s="22"/>
      <c r="K39" s="22"/>
      <c r="L39" s="22"/>
    </row>
    <row r="40" spans="4:13" ht="20.100000000000001" customHeight="1" x14ac:dyDescent="0.25">
      <c r="D40" s="6" t="s">
        <v>397</v>
      </c>
      <c r="E40" s="3"/>
      <c r="F40" s="3"/>
      <c r="G40" s="22"/>
      <c r="H40" s="22"/>
      <c r="I40" s="22"/>
      <c r="J40" s="22"/>
      <c r="K40" s="22"/>
      <c r="L40" s="22"/>
    </row>
    <row r="41" spans="4:13" ht="20.100000000000001" customHeight="1" x14ac:dyDescent="0.25">
      <c r="D41" s="5" t="s">
        <v>398</v>
      </c>
      <c r="E41" s="3"/>
      <c r="F41" s="3"/>
      <c r="G41" s="22"/>
      <c r="H41" s="22"/>
      <c r="I41" s="22"/>
      <c r="J41" s="22"/>
      <c r="K41" s="22"/>
      <c r="L41" s="22"/>
    </row>
    <row r="42" spans="4:13" ht="20.100000000000001" customHeight="1" x14ac:dyDescent="0.25">
      <c r="D42" s="5"/>
      <c r="E42" s="3"/>
      <c r="F42" s="3"/>
      <c r="H42" s="22"/>
      <c r="I42" s="22"/>
      <c r="M42" s="3"/>
    </row>
    <row r="43" spans="4:13" ht="20.100000000000001" customHeight="1" x14ac:dyDescent="0.25">
      <c r="D43" s="108" t="s">
        <v>177</v>
      </c>
      <c r="E43" s="108" t="s">
        <v>178</v>
      </c>
      <c r="F43" s="3"/>
      <c r="H43" s="22"/>
      <c r="I43" s="22"/>
      <c r="M43" s="3"/>
    </row>
    <row r="44" spans="4:13" ht="20.100000000000001" customHeight="1" x14ac:dyDescent="0.25">
      <c r="D44" s="36" t="s">
        <v>399</v>
      </c>
      <c r="E44" s="36">
        <v>6.0000000000000001E-3</v>
      </c>
      <c r="F44" s="3"/>
      <c r="H44" s="22"/>
      <c r="I44" s="22"/>
      <c r="M44" s="3"/>
    </row>
    <row r="45" spans="4:13" ht="20.100000000000001" customHeight="1" x14ac:dyDescent="0.25">
      <c r="D45" s="36" t="s">
        <v>400</v>
      </c>
      <c r="E45" s="36">
        <v>5.0000000000000001E-3</v>
      </c>
      <c r="F45" s="3"/>
      <c r="H45" s="22"/>
      <c r="I45" s="22"/>
      <c r="M45" s="3"/>
    </row>
    <row r="46" spans="4:13" ht="20.100000000000001" customHeight="1" x14ac:dyDescent="0.25">
      <c r="H46" s="22"/>
      <c r="I46" s="22"/>
      <c r="M46" s="3"/>
    </row>
    <row r="47" spans="4:13" ht="20.100000000000001" customHeight="1" x14ac:dyDescent="0.25">
      <c r="M47" s="3"/>
    </row>
    <row r="48" spans="4:13" ht="20.100000000000001" customHeight="1" x14ac:dyDescent="0.25">
      <c r="D48" s="6" t="s">
        <v>401</v>
      </c>
      <c r="K48" s="22"/>
      <c r="L48" s="22"/>
    </row>
    <row r="49" spans="4:12" ht="20.100000000000001" customHeight="1" x14ac:dyDescent="0.25">
      <c r="D49" s="5" t="s">
        <v>402</v>
      </c>
      <c r="K49" s="22"/>
      <c r="L49" s="22"/>
    </row>
    <row r="50" spans="4:12" ht="20.100000000000001" customHeight="1" x14ac:dyDescent="0.25">
      <c r="K50" s="22"/>
      <c r="L50" s="22"/>
    </row>
    <row r="51" spans="4:12" ht="20.100000000000001" customHeight="1" x14ac:dyDescent="0.25">
      <c r="D51" s="37" t="s">
        <v>180</v>
      </c>
      <c r="E51" s="37" t="s">
        <v>181</v>
      </c>
      <c r="F51" s="37" t="s">
        <v>182</v>
      </c>
      <c r="G51" s="37" t="s">
        <v>183</v>
      </c>
      <c r="H51" s="37" t="s">
        <v>184</v>
      </c>
      <c r="I51" s="37" t="s">
        <v>185</v>
      </c>
      <c r="K51" s="22"/>
      <c r="L51" s="22"/>
    </row>
    <row r="52" spans="4:12" ht="20.100000000000001" customHeight="1" x14ac:dyDescent="0.25">
      <c r="D52" s="37" t="s">
        <v>403</v>
      </c>
      <c r="E52" s="37">
        <v>4.41</v>
      </c>
      <c r="F52" s="37">
        <v>0.4</v>
      </c>
      <c r="G52" s="37">
        <v>1.4999999999999999E-2</v>
      </c>
      <c r="H52" s="37">
        <v>1.2E-2</v>
      </c>
      <c r="I52" s="37">
        <v>0.8</v>
      </c>
      <c r="L52" s="22"/>
    </row>
    <row r="53" spans="4:12" ht="20.100000000000001" customHeight="1" x14ac:dyDescent="0.25">
      <c r="D53" s="37" t="s">
        <v>221</v>
      </c>
      <c r="E53" s="37">
        <v>8.34</v>
      </c>
      <c r="F53" s="37">
        <v>0.8</v>
      </c>
      <c r="G53" s="37">
        <v>2.5000000000000001E-2</v>
      </c>
      <c r="H53" s="37">
        <v>1.6E-2</v>
      </c>
      <c r="I53" s="37">
        <v>0.8</v>
      </c>
      <c r="L53" s="22"/>
    </row>
    <row r="54" spans="4:12" ht="20.100000000000001" customHeight="1" x14ac:dyDescent="0.25">
      <c r="D54" s="37" t="s">
        <v>404</v>
      </c>
      <c r="E54" s="37">
        <v>8.6199999999999992</v>
      </c>
      <c r="F54" s="37">
        <v>0.4</v>
      </c>
      <c r="G54" s="37">
        <v>2.7E-2</v>
      </c>
      <c r="H54" s="37">
        <v>1.9E-2</v>
      </c>
      <c r="I54" s="37">
        <v>0.8</v>
      </c>
    </row>
    <row r="55" spans="4:12" ht="20.100000000000001" customHeight="1" x14ac:dyDescent="0.25">
      <c r="D55" s="37" t="s">
        <v>405</v>
      </c>
      <c r="E55" s="37">
        <v>5.62</v>
      </c>
      <c r="F55" s="37">
        <v>0.4</v>
      </c>
      <c r="G55" s="37">
        <v>2.7E-2</v>
      </c>
      <c r="H55" s="37">
        <v>2.1999999999999999E-2</v>
      </c>
      <c r="I55" s="37">
        <v>0.8</v>
      </c>
    </row>
    <row r="56" spans="4:12" ht="20.100000000000001" customHeight="1" x14ac:dyDescent="0.25">
      <c r="D56" s="37" t="s">
        <v>406</v>
      </c>
      <c r="E56" s="37">
        <v>8.35</v>
      </c>
      <c r="F56" s="37">
        <v>0.8</v>
      </c>
      <c r="G56" s="37">
        <v>1.4999999999999999E-2</v>
      </c>
      <c r="H56" s="37">
        <v>1.2E-2</v>
      </c>
      <c r="I56" s="37">
        <v>0.8</v>
      </c>
    </row>
    <row r="57" spans="4:12" ht="20.100000000000001" customHeight="1" x14ac:dyDescent="0.25">
      <c r="H57" s="22"/>
    </row>
    <row r="58" spans="4:12" ht="20.100000000000001" customHeight="1" x14ac:dyDescent="0.25"/>
    <row r="59" spans="4:12" ht="20.100000000000001" customHeight="1" x14ac:dyDescent="0.25">
      <c r="D59" s="6" t="s">
        <v>407</v>
      </c>
    </row>
    <row r="60" spans="4:12" ht="20.100000000000001" customHeight="1" x14ac:dyDescent="0.25">
      <c r="D60" s="5" t="s">
        <v>408</v>
      </c>
    </row>
    <row r="61" spans="4:12" ht="20.100000000000001" customHeight="1" x14ac:dyDescent="0.25"/>
    <row r="62" spans="4:12" ht="20.100000000000001" customHeight="1" x14ac:dyDescent="0.25">
      <c r="D62" s="37" t="s">
        <v>213</v>
      </c>
      <c r="E62" s="37" t="s">
        <v>214</v>
      </c>
      <c r="F62" s="37" t="s">
        <v>215</v>
      </c>
    </row>
    <row r="63" spans="4:12" ht="20.100000000000001" customHeight="1" x14ac:dyDescent="0.25">
      <c r="D63" s="37" t="s">
        <v>409</v>
      </c>
      <c r="E63" s="37">
        <v>3.5000000000000001E-3</v>
      </c>
      <c r="F63" s="37" t="s">
        <v>410</v>
      </c>
      <c r="K63" s="22"/>
      <c r="L63" s="22"/>
    </row>
    <row r="64" spans="4:12" ht="20.100000000000001" customHeight="1" x14ac:dyDescent="0.25">
      <c r="D64" s="1" t="s">
        <v>411</v>
      </c>
      <c r="E64" s="37">
        <v>7.6E-3</v>
      </c>
      <c r="F64" s="37" t="s">
        <v>412</v>
      </c>
      <c r="K64" s="22"/>
      <c r="L64" s="22"/>
    </row>
    <row r="65" spans="4:12" ht="20.100000000000001" customHeight="1" x14ac:dyDescent="0.25">
      <c r="D65" s="1" t="s">
        <v>413</v>
      </c>
      <c r="E65" s="37">
        <v>0.21</v>
      </c>
      <c r="F65" s="37" t="s">
        <v>414</v>
      </c>
      <c r="K65" s="22"/>
      <c r="L65" s="22"/>
    </row>
    <row r="66" spans="4:12" ht="20.100000000000001" customHeight="1" x14ac:dyDescent="0.25">
      <c r="D66" s="1" t="s">
        <v>415</v>
      </c>
      <c r="E66" s="37">
        <v>7.8E-2</v>
      </c>
      <c r="F66" s="37" t="s">
        <v>416</v>
      </c>
      <c r="K66" s="22"/>
      <c r="L66" s="22"/>
    </row>
    <row r="67" spans="4:12" ht="20.100000000000001" customHeight="1" x14ac:dyDescent="0.25">
      <c r="D67" s="1" t="s">
        <v>417</v>
      </c>
      <c r="E67" s="37">
        <v>9.1000000000000004E-3</v>
      </c>
      <c r="F67" s="37" t="s">
        <v>418</v>
      </c>
      <c r="K67" s="22"/>
      <c r="L67" s="22"/>
    </row>
    <row r="68" spans="4:12" ht="20.100000000000001" customHeight="1" x14ac:dyDescent="0.25">
      <c r="K68" s="22"/>
      <c r="L68" s="22"/>
    </row>
    <row r="69" spans="4:12" ht="20.100000000000001" customHeight="1" x14ac:dyDescent="0.25">
      <c r="K69" s="22"/>
      <c r="L69" s="22"/>
    </row>
    <row r="70" spans="4:12" ht="20.100000000000001" customHeight="1" x14ac:dyDescent="0.25">
      <c r="D70" s="6" t="s">
        <v>419</v>
      </c>
      <c r="E70" s="22"/>
      <c r="F70" s="22"/>
      <c r="G70" s="22"/>
      <c r="K70" s="22"/>
      <c r="L70" s="22"/>
    </row>
    <row r="71" spans="4:12" ht="20.100000000000001" customHeight="1" x14ac:dyDescent="0.25">
      <c r="D71" s="5" t="s">
        <v>420</v>
      </c>
      <c r="E71" s="22"/>
      <c r="F71" s="22"/>
      <c r="G71" s="22"/>
      <c r="K71" s="22"/>
      <c r="L71" s="22"/>
    </row>
    <row r="72" spans="4:12" ht="20.100000000000001" customHeight="1" x14ac:dyDescent="0.25">
      <c r="D72" s="22"/>
      <c r="E72" s="22"/>
      <c r="F72" s="22"/>
      <c r="G72" s="22"/>
      <c r="K72" s="22"/>
      <c r="L72" s="22"/>
    </row>
    <row r="73" spans="4:12" ht="20.100000000000001" customHeight="1" x14ac:dyDescent="0.25">
      <c r="D73" t="s">
        <v>166</v>
      </c>
      <c r="E73" t="s">
        <v>6</v>
      </c>
      <c r="F73" t="s">
        <v>167</v>
      </c>
      <c r="G73" s="22"/>
      <c r="K73" s="22"/>
      <c r="L73" s="22"/>
    </row>
    <row r="74" spans="4:12" ht="20.100000000000001" customHeight="1" x14ac:dyDescent="0.25">
      <c r="D74" t="s">
        <v>382</v>
      </c>
      <c r="E74" t="s">
        <v>421</v>
      </c>
      <c r="F74">
        <v>0.06</v>
      </c>
      <c r="G74" s="22"/>
      <c r="K74" s="22"/>
      <c r="L74" s="22"/>
    </row>
    <row r="75" spans="4:12" ht="20.100000000000001" customHeight="1" x14ac:dyDescent="0.25">
      <c r="D75" s="22" t="s">
        <v>387</v>
      </c>
      <c r="E75" t="s">
        <v>421</v>
      </c>
      <c r="F75">
        <v>1</v>
      </c>
      <c r="G75" s="22"/>
      <c r="H75" s="22"/>
      <c r="K75" s="22"/>
      <c r="L75" s="22"/>
    </row>
    <row r="76" spans="4:12" ht="20.100000000000001" customHeight="1" x14ac:dyDescent="0.25">
      <c r="D76" s="22" t="s">
        <v>391</v>
      </c>
      <c r="E76" t="s">
        <v>421</v>
      </c>
      <c r="F76">
        <v>0</v>
      </c>
      <c r="G76" s="22"/>
      <c r="H76" s="22"/>
      <c r="K76" s="22"/>
      <c r="L76" s="22"/>
    </row>
    <row r="77" spans="4:12" ht="20.100000000000001" customHeight="1" x14ac:dyDescent="0.25">
      <c r="D77" s="22" t="s">
        <v>392</v>
      </c>
      <c r="E77" t="s">
        <v>421</v>
      </c>
      <c r="F77">
        <v>0</v>
      </c>
      <c r="G77" s="22"/>
      <c r="H77" s="22"/>
      <c r="I77" s="22"/>
      <c r="J77" s="22"/>
      <c r="K77" s="22"/>
      <c r="L77" s="22"/>
    </row>
    <row r="78" spans="4:12" ht="20.100000000000001" customHeight="1" x14ac:dyDescent="0.25">
      <c r="D78" s="22" t="s">
        <v>394</v>
      </c>
      <c r="E78" t="s">
        <v>421</v>
      </c>
      <c r="F78">
        <v>0.8</v>
      </c>
      <c r="G78" s="22"/>
      <c r="H78" s="22"/>
      <c r="I78" s="22"/>
      <c r="J78" s="22"/>
      <c r="K78" s="22"/>
      <c r="L78" s="22"/>
    </row>
    <row r="79" spans="4:12" ht="20.100000000000001" customHeight="1" x14ac:dyDescent="0.25">
      <c r="D79" s="22" t="s">
        <v>422</v>
      </c>
      <c r="E79" t="s">
        <v>423</v>
      </c>
      <c r="F79">
        <v>0</v>
      </c>
      <c r="G79" s="22"/>
      <c r="H79" s="22"/>
      <c r="I79" s="22"/>
      <c r="J79" s="22"/>
      <c r="K79" s="22"/>
      <c r="L79" s="22"/>
    </row>
    <row r="80" spans="4:12" ht="20.100000000000001" customHeight="1" x14ac:dyDescent="0.25">
      <c r="D80" s="22" t="s">
        <v>422</v>
      </c>
      <c r="E80" t="s">
        <v>424</v>
      </c>
      <c r="F80">
        <v>0.03</v>
      </c>
      <c r="G80" s="22"/>
      <c r="H80" s="22"/>
      <c r="I80" s="22"/>
      <c r="J80" s="22"/>
      <c r="K80" s="22"/>
      <c r="L80" s="22"/>
    </row>
    <row r="81" spans="4:12" ht="20.100000000000001" customHeight="1" x14ac:dyDescent="0.25">
      <c r="D81" s="22" t="s">
        <v>422</v>
      </c>
      <c r="E81" t="s">
        <v>425</v>
      </c>
      <c r="F81">
        <v>0</v>
      </c>
      <c r="G81" s="22"/>
      <c r="H81" s="22"/>
      <c r="I81" s="22"/>
      <c r="J81" s="22"/>
      <c r="K81" s="22"/>
      <c r="L81" s="22"/>
    </row>
    <row r="82" spans="4:12" ht="20.100000000000001" customHeight="1" x14ac:dyDescent="0.25">
      <c r="D82" s="22" t="s">
        <v>426</v>
      </c>
      <c r="E82" t="s">
        <v>423</v>
      </c>
      <c r="F82">
        <v>0.05</v>
      </c>
      <c r="G82" s="22"/>
      <c r="H82" s="22"/>
      <c r="I82" s="22"/>
      <c r="J82" s="22"/>
      <c r="K82" s="22"/>
      <c r="L82" s="22"/>
    </row>
    <row r="83" spans="4:12" ht="20.100000000000001" customHeight="1" x14ac:dyDescent="0.25">
      <c r="D83" s="22" t="s">
        <v>426</v>
      </c>
      <c r="E83" t="s">
        <v>427</v>
      </c>
      <c r="F83">
        <v>7.0000000000000007E-2</v>
      </c>
      <c r="G83" s="22"/>
      <c r="H83" s="22"/>
      <c r="I83" s="22"/>
      <c r="J83" s="22"/>
      <c r="K83" s="22"/>
      <c r="L83" s="22"/>
    </row>
    <row r="84" spans="4:12" ht="20.100000000000001" customHeight="1" x14ac:dyDescent="0.25">
      <c r="D84" s="22" t="s">
        <v>426</v>
      </c>
      <c r="E84" t="s">
        <v>424</v>
      </c>
      <c r="F84">
        <v>0.04</v>
      </c>
      <c r="G84" s="22"/>
      <c r="H84" s="22"/>
      <c r="I84" s="22"/>
      <c r="J84" s="22"/>
      <c r="K84" s="22"/>
      <c r="L84" s="22"/>
    </row>
    <row r="85" spans="4:12" ht="20.100000000000001" customHeight="1" x14ac:dyDescent="0.25">
      <c r="D85" s="22" t="s">
        <v>426</v>
      </c>
      <c r="E85" t="s">
        <v>428</v>
      </c>
      <c r="F85">
        <v>0.09</v>
      </c>
      <c r="G85" s="22"/>
      <c r="H85" s="22"/>
      <c r="I85" s="22"/>
      <c r="J85" s="22"/>
      <c r="K85" s="22"/>
      <c r="L85" s="22"/>
    </row>
    <row r="86" spans="4:12" ht="20.100000000000001" customHeight="1" x14ac:dyDescent="0.25">
      <c r="D86" s="22" t="s">
        <v>426</v>
      </c>
      <c r="E86" t="s">
        <v>425</v>
      </c>
      <c r="F86">
        <v>0.11</v>
      </c>
      <c r="G86" s="22"/>
      <c r="H86" s="22"/>
      <c r="I86" s="22"/>
      <c r="J86" s="22"/>
      <c r="K86" s="22"/>
      <c r="L86" s="22"/>
    </row>
    <row r="87" spans="4:12" ht="20.100000000000001" customHeight="1" x14ac:dyDescent="0.25">
      <c r="D87" s="22" t="s">
        <v>426</v>
      </c>
      <c r="E87" t="s">
        <v>429</v>
      </c>
      <c r="F87">
        <v>0.16</v>
      </c>
      <c r="G87" s="22"/>
      <c r="H87" s="22"/>
      <c r="I87" s="22"/>
      <c r="J87" s="22"/>
      <c r="K87" s="22"/>
      <c r="L87" s="22"/>
    </row>
    <row r="88" spans="4:12" ht="20.100000000000001" customHeight="1" x14ac:dyDescent="0.25">
      <c r="D88" s="22" t="s">
        <v>426</v>
      </c>
      <c r="E88" t="s">
        <v>430</v>
      </c>
      <c r="F88">
        <v>0.01</v>
      </c>
      <c r="G88" s="22"/>
      <c r="H88" s="22"/>
      <c r="I88" s="22"/>
      <c r="J88" s="22"/>
      <c r="K88" s="22"/>
      <c r="L88" s="22"/>
    </row>
    <row r="89" spans="4:12" ht="20.100000000000001" customHeight="1" x14ac:dyDescent="0.25">
      <c r="D89" s="22" t="s">
        <v>426</v>
      </c>
      <c r="E89" t="s">
        <v>431</v>
      </c>
      <c r="F89">
        <v>0</v>
      </c>
      <c r="G89" s="22"/>
      <c r="H89" s="22"/>
      <c r="I89" s="22"/>
      <c r="J89" s="22"/>
      <c r="K89" s="22"/>
      <c r="L89" s="22"/>
    </row>
    <row r="90" spans="4:12" ht="20.100000000000001" customHeight="1" x14ac:dyDescent="0.25">
      <c r="D90" s="22"/>
      <c r="E90" s="22"/>
      <c r="F90" s="22"/>
      <c r="G90" s="22"/>
      <c r="H90" s="22"/>
      <c r="I90" s="22"/>
      <c r="J90" s="22"/>
      <c r="K90" s="22"/>
      <c r="L90" s="22"/>
    </row>
    <row r="91" spans="4:12" ht="20.100000000000001" customHeight="1" x14ac:dyDescent="0.25">
      <c r="D91" s="53" t="str" cm="1">
        <f t="array" ref="D91">"⚠️" &amp; Agresidue_SourceData.CropFractionRemoved_Variation()</f>
        <v>⚠️VARIATION OF SOURCE DATA: Split 'All other crop types' into individual crop types for each state. Listed all states for Sugar Cane, with 'N/A' for states where it is not grown.</v>
      </c>
      <c r="E91" s="22"/>
      <c r="F91" s="22"/>
      <c r="G91" s="22"/>
      <c r="H91" s="22"/>
      <c r="I91" s="22"/>
      <c r="J91" s="22"/>
      <c r="K91" s="22"/>
      <c r="L91" s="22"/>
    </row>
    <row r="92" spans="4:12" ht="20.100000000000001" customHeight="1" x14ac:dyDescent="0.25">
      <c r="D92" t="s">
        <v>166</v>
      </c>
      <c r="E92" t="s">
        <v>6</v>
      </c>
      <c r="F92" t="s">
        <v>167</v>
      </c>
      <c r="G92" s="22"/>
      <c r="H92" s="22"/>
      <c r="I92" s="22"/>
      <c r="J92" s="22"/>
      <c r="K92" s="22"/>
      <c r="L92" s="22"/>
    </row>
    <row r="93" spans="4:12" ht="20.100000000000001" customHeight="1" x14ac:dyDescent="0.25">
      <c r="D93" t="s">
        <v>382</v>
      </c>
      <c r="E93" t="s">
        <v>423</v>
      </c>
      <c r="F93">
        <v>0.06</v>
      </c>
      <c r="G93" s="22"/>
      <c r="H93" s="22"/>
      <c r="I93" s="22"/>
      <c r="J93" s="22"/>
      <c r="K93" s="22"/>
      <c r="L93" s="22"/>
    </row>
    <row r="94" spans="4:12" ht="20.100000000000001" customHeight="1" x14ac:dyDescent="0.25">
      <c r="D94" s="22" t="s">
        <v>382</v>
      </c>
      <c r="E94" t="s">
        <v>427</v>
      </c>
      <c r="F94">
        <v>0.06</v>
      </c>
      <c r="G94" s="22"/>
      <c r="H94" s="22"/>
      <c r="I94" s="22"/>
      <c r="J94" s="22"/>
      <c r="K94" s="22"/>
      <c r="L94" s="22"/>
    </row>
    <row r="95" spans="4:12" ht="20.100000000000001" customHeight="1" x14ac:dyDescent="0.25">
      <c r="D95" s="22" t="s">
        <v>382</v>
      </c>
      <c r="E95" t="s">
        <v>424</v>
      </c>
      <c r="F95">
        <v>0.06</v>
      </c>
      <c r="G95" s="22"/>
      <c r="H95" s="22"/>
      <c r="I95" s="22"/>
      <c r="J95" s="22"/>
      <c r="K95" s="22"/>
      <c r="L95" s="22"/>
    </row>
    <row r="96" spans="4:12" ht="20.100000000000001" customHeight="1" x14ac:dyDescent="0.25">
      <c r="D96" s="22" t="s">
        <v>382</v>
      </c>
      <c r="E96" t="s">
        <v>428</v>
      </c>
      <c r="F96">
        <v>0.06</v>
      </c>
      <c r="G96" s="22"/>
      <c r="H96" s="22"/>
      <c r="I96" s="22"/>
      <c r="J96" s="22"/>
      <c r="K96" s="22"/>
      <c r="L96" s="22"/>
    </row>
    <row r="97" spans="4:12" ht="20.100000000000001" customHeight="1" x14ac:dyDescent="0.25">
      <c r="D97" s="22" t="s">
        <v>382</v>
      </c>
      <c r="E97" t="s">
        <v>425</v>
      </c>
      <c r="F97">
        <v>0.06</v>
      </c>
      <c r="G97" s="22"/>
      <c r="H97" s="22"/>
      <c r="I97" s="22"/>
      <c r="J97" s="22"/>
      <c r="K97" s="22"/>
      <c r="L97" s="22"/>
    </row>
    <row r="98" spans="4:12" ht="20.100000000000001" customHeight="1" x14ac:dyDescent="0.25">
      <c r="D98" s="22" t="s">
        <v>382</v>
      </c>
      <c r="E98" t="s">
        <v>429</v>
      </c>
      <c r="F98">
        <v>0.06</v>
      </c>
      <c r="G98" s="22"/>
      <c r="H98" s="22"/>
      <c r="I98" s="22"/>
      <c r="J98" s="22"/>
      <c r="K98" s="22"/>
      <c r="L98" s="22"/>
    </row>
    <row r="99" spans="4:12" ht="20.100000000000001" customHeight="1" x14ac:dyDescent="0.25">
      <c r="D99" s="22" t="s">
        <v>382</v>
      </c>
      <c r="E99" t="s">
        <v>430</v>
      </c>
      <c r="F99">
        <v>0.06</v>
      </c>
      <c r="G99" s="22"/>
      <c r="H99" s="22"/>
      <c r="I99" s="22"/>
      <c r="J99" s="22"/>
      <c r="K99" s="22"/>
      <c r="L99" s="22"/>
    </row>
    <row r="100" spans="4:12" ht="20.100000000000001" customHeight="1" x14ac:dyDescent="0.25">
      <c r="D100" s="22" t="s">
        <v>382</v>
      </c>
      <c r="E100" t="s">
        <v>431</v>
      </c>
      <c r="F100">
        <v>0.06</v>
      </c>
      <c r="G100" s="22"/>
      <c r="H100" s="22"/>
      <c r="I100" s="22"/>
      <c r="J100" s="22"/>
      <c r="K100" s="22"/>
      <c r="L100" s="22"/>
    </row>
    <row r="101" spans="4:12" ht="20.100000000000001" customHeight="1" x14ac:dyDescent="0.25">
      <c r="D101" s="22" t="s">
        <v>387</v>
      </c>
      <c r="E101" t="s">
        <v>423</v>
      </c>
      <c r="F101">
        <v>1</v>
      </c>
      <c r="G101" s="22"/>
      <c r="H101" s="22"/>
      <c r="I101" s="22"/>
      <c r="J101" s="22"/>
      <c r="K101" s="22"/>
      <c r="L101" s="22"/>
    </row>
    <row r="102" spans="4:12" ht="20.100000000000001" customHeight="1" x14ac:dyDescent="0.25">
      <c r="D102" s="22" t="s">
        <v>387</v>
      </c>
      <c r="E102" t="s">
        <v>427</v>
      </c>
      <c r="F102">
        <v>1</v>
      </c>
      <c r="G102" s="22"/>
      <c r="H102" s="22"/>
      <c r="I102" s="22"/>
      <c r="J102" s="22"/>
      <c r="K102" s="22"/>
      <c r="L102" s="22"/>
    </row>
    <row r="103" spans="4:12" ht="20.100000000000001" customHeight="1" x14ac:dyDescent="0.25">
      <c r="D103" s="22" t="s">
        <v>387</v>
      </c>
      <c r="E103" t="s">
        <v>424</v>
      </c>
      <c r="F103">
        <v>1</v>
      </c>
      <c r="G103" s="22"/>
      <c r="H103" s="22"/>
      <c r="I103" s="22"/>
      <c r="J103" s="22"/>
      <c r="K103" s="22"/>
      <c r="L103" s="22"/>
    </row>
    <row r="104" spans="4:12" ht="20.100000000000001" customHeight="1" x14ac:dyDescent="0.25">
      <c r="D104" s="22" t="s">
        <v>387</v>
      </c>
      <c r="E104" t="s">
        <v>428</v>
      </c>
      <c r="F104">
        <v>1</v>
      </c>
      <c r="G104" s="22"/>
      <c r="H104" s="22"/>
      <c r="I104" s="22"/>
      <c r="J104" s="22"/>
      <c r="K104" s="22"/>
      <c r="L104" s="22"/>
    </row>
    <row r="105" spans="4:12" ht="20.100000000000001" customHeight="1" x14ac:dyDescent="0.25">
      <c r="D105" s="22" t="s">
        <v>387</v>
      </c>
      <c r="E105" t="s">
        <v>425</v>
      </c>
      <c r="F105">
        <v>1</v>
      </c>
      <c r="G105" s="22"/>
      <c r="H105" s="22"/>
      <c r="I105" s="22"/>
      <c r="J105" s="22"/>
      <c r="K105" s="22"/>
      <c r="L105" s="22"/>
    </row>
    <row r="106" spans="4:12" ht="20.100000000000001" customHeight="1" x14ac:dyDescent="0.25">
      <c r="D106" s="22" t="s">
        <v>387</v>
      </c>
      <c r="E106" t="s">
        <v>429</v>
      </c>
      <c r="F106">
        <v>1</v>
      </c>
      <c r="G106" s="22"/>
      <c r="H106" s="22"/>
      <c r="I106" s="22"/>
      <c r="J106" s="22"/>
      <c r="K106" s="22"/>
      <c r="L106" s="22"/>
    </row>
    <row r="107" spans="4:12" ht="20.100000000000001" customHeight="1" x14ac:dyDescent="0.25">
      <c r="D107" s="22" t="s">
        <v>387</v>
      </c>
      <c r="E107" t="s">
        <v>430</v>
      </c>
      <c r="F107">
        <v>1</v>
      </c>
      <c r="G107" s="22"/>
      <c r="H107" s="22"/>
      <c r="I107" s="22"/>
      <c r="J107" s="22"/>
      <c r="K107" s="22"/>
      <c r="L107" s="22"/>
    </row>
    <row r="108" spans="4:12" ht="20.100000000000001" customHeight="1" x14ac:dyDescent="0.25">
      <c r="D108" s="22" t="s">
        <v>387</v>
      </c>
      <c r="E108" t="s">
        <v>431</v>
      </c>
      <c r="F108">
        <v>1</v>
      </c>
      <c r="G108" s="22"/>
      <c r="H108" s="22"/>
      <c r="I108" s="22"/>
      <c r="J108" s="22"/>
      <c r="K108" s="22"/>
      <c r="L108" s="22"/>
    </row>
    <row r="109" spans="4:12" ht="20.100000000000001" customHeight="1" x14ac:dyDescent="0.25">
      <c r="D109" s="22" t="s">
        <v>391</v>
      </c>
      <c r="E109" t="s">
        <v>423</v>
      </c>
      <c r="F109">
        <v>0</v>
      </c>
      <c r="G109" s="22"/>
      <c r="H109" s="22"/>
      <c r="I109" s="22"/>
      <c r="J109" s="22"/>
      <c r="K109" s="22"/>
      <c r="L109" s="22"/>
    </row>
    <row r="110" spans="4:12" ht="20.100000000000001" customHeight="1" x14ac:dyDescent="0.25">
      <c r="D110" s="22" t="s">
        <v>391</v>
      </c>
      <c r="E110" t="s">
        <v>427</v>
      </c>
      <c r="F110">
        <v>0</v>
      </c>
      <c r="G110" s="22"/>
      <c r="H110" s="22"/>
      <c r="I110" s="22"/>
      <c r="J110" s="22"/>
      <c r="K110" s="22"/>
      <c r="L110" s="22"/>
    </row>
    <row r="111" spans="4:12" ht="20.100000000000001" customHeight="1" x14ac:dyDescent="0.25">
      <c r="D111" s="22" t="s">
        <v>391</v>
      </c>
      <c r="E111" t="s">
        <v>424</v>
      </c>
      <c r="F111">
        <v>0</v>
      </c>
      <c r="G111" s="22"/>
      <c r="H111" s="22"/>
      <c r="I111" s="22"/>
      <c r="J111" s="22"/>
      <c r="K111" s="22"/>
      <c r="L111" s="22"/>
    </row>
    <row r="112" spans="4:12" ht="20.100000000000001" customHeight="1" x14ac:dyDescent="0.25">
      <c r="D112" s="22" t="s">
        <v>391</v>
      </c>
      <c r="E112" t="s">
        <v>428</v>
      </c>
      <c r="F112">
        <v>0</v>
      </c>
      <c r="G112" s="22"/>
      <c r="H112" s="22"/>
      <c r="I112" s="22"/>
      <c r="J112" s="22"/>
      <c r="K112" s="22"/>
      <c r="L112" s="22"/>
    </row>
    <row r="113" spans="4:12" ht="20.100000000000001" customHeight="1" x14ac:dyDescent="0.25">
      <c r="D113" s="22" t="s">
        <v>391</v>
      </c>
      <c r="E113" t="s">
        <v>425</v>
      </c>
      <c r="F113">
        <v>0</v>
      </c>
      <c r="G113" s="22"/>
      <c r="H113" s="22"/>
      <c r="I113" s="22"/>
      <c r="J113" s="22"/>
      <c r="K113" s="22"/>
      <c r="L113" s="22"/>
    </row>
    <row r="114" spans="4:12" ht="20.100000000000001" customHeight="1" x14ac:dyDescent="0.25">
      <c r="D114" s="22" t="s">
        <v>391</v>
      </c>
      <c r="E114" t="s">
        <v>429</v>
      </c>
      <c r="F114">
        <v>0</v>
      </c>
      <c r="G114" s="22"/>
      <c r="H114" s="22"/>
      <c r="I114" s="22"/>
      <c r="J114" s="22"/>
      <c r="K114" s="22"/>
      <c r="L114" s="22"/>
    </row>
    <row r="115" spans="4:12" ht="20.100000000000001" customHeight="1" x14ac:dyDescent="0.25">
      <c r="D115" s="22" t="s">
        <v>391</v>
      </c>
      <c r="E115" t="s">
        <v>430</v>
      </c>
      <c r="F115">
        <v>0</v>
      </c>
      <c r="G115" s="22"/>
      <c r="H115" s="22"/>
      <c r="I115" s="22"/>
      <c r="J115" s="22"/>
      <c r="K115" s="22"/>
      <c r="L115" s="22"/>
    </row>
    <row r="116" spans="4:12" ht="20.100000000000001" customHeight="1" x14ac:dyDescent="0.25">
      <c r="D116" s="22" t="s">
        <v>391</v>
      </c>
      <c r="E116" t="s">
        <v>431</v>
      </c>
      <c r="F116">
        <v>0</v>
      </c>
      <c r="G116" s="22"/>
      <c r="H116" s="22"/>
      <c r="I116" s="22"/>
      <c r="J116" s="22"/>
      <c r="K116" s="22"/>
      <c r="L116" s="22"/>
    </row>
    <row r="117" spans="4:12" ht="20.100000000000001" customHeight="1" x14ac:dyDescent="0.25">
      <c r="D117" s="22" t="s">
        <v>392</v>
      </c>
      <c r="E117" t="s">
        <v>423</v>
      </c>
      <c r="F117">
        <v>0</v>
      </c>
      <c r="G117" s="22"/>
      <c r="H117" s="22"/>
      <c r="I117" s="22"/>
      <c r="J117" s="22"/>
      <c r="K117" s="22"/>
      <c r="L117" s="22"/>
    </row>
    <row r="118" spans="4:12" ht="20.100000000000001" customHeight="1" x14ac:dyDescent="0.25">
      <c r="D118" s="22" t="s">
        <v>392</v>
      </c>
      <c r="E118" t="s">
        <v>427</v>
      </c>
      <c r="F118">
        <v>0</v>
      </c>
      <c r="G118" s="22"/>
      <c r="H118" s="22"/>
      <c r="I118" s="22"/>
      <c r="J118" s="22"/>
      <c r="K118" s="22"/>
      <c r="L118" s="22"/>
    </row>
    <row r="119" spans="4:12" ht="20.100000000000001" customHeight="1" x14ac:dyDescent="0.25">
      <c r="D119" s="22" t="s">
        <v>392</v>
      </c>
      <c r="E119" t="s">
        <v>424</v>
      </c>
      <c r="F119">
        <v>0</v>
      </c>
      <c r="G119" s="22"/>
      <c r="H119" s="22"/>
      <c r="I119" s="22"/>
      <c r="J119" s="22"/>
      <c r="K119" s="22"/>
      <c r="L119" s="22"/>
    </row>
    <row r="120" spans="4:12" ht="20.100000000000001" customHeight="1" x14ac:dyDescent="0.25">
      <c r="D120" s="22" t="s">
        <v>392</v>
      </c>
      <c r="E120" t="s">
        <v>428</v>
      </c>
      <c r="F120">
        <v>0</v>
      </c>
      <c r="G120" s="22"/>
      <c r="H120" s="22"/>
      <c r="I120" s="22"/>
      <c r="J120" s="22"/>
      <c r="K120" s="22"/>
      <c r="L120" s="22"/>
    </row>
    <row r="121" spans="4:12" ht="20.100000000000001" customHeight="1" x14ac:dyDescent="0.25">
      <c r="D121" s="22" t="s">
        <v>392</v>
      </c>
      <c r="E121" t="s">
        <v>425</v>
      </c>
      <c r="F121">
        <v>0</v>
      </c>
      <c r="G121" s="22"/>
      <c r="H121" s="22"/>
      <c r="I121" s="22"/>
      <c r="J121" s="22"/>
      <c r="K121" s="22"/>
      <c r="L121" s="22"/>
    </row>
    <row r="122" spans="4:12" ht="20.100000000000001" customHeight="1" x14ac:dyDescent="0.25">
      <c r="D122" s="22" t="s">
        <v>392</v>
      </c>
      <c r="E122" t="s">
        <v>429</v>
      </c>
      <c r="F122">
        <v>0</v>
      </c>
      <c r="G122" s="22"/>
      <c r="H122" s="22"/>
      <c r="I122" s="22"/>
      <c r="J122" s="22"/>
      <c r="K122" s="22"/>
      <c r="L122" s="22"/>
    </row>
    <row r="123" spans="4:12" ht="20.100000000000001" customHeight="1" x14ac:dyDescent="0.25">
      <c r="D123" s="22" t="s">
        <v>392</v>
      </c>
      <c r="E123" t="s">
        <v>430</v>
      </c>
      <c r="F123">
        <v>0</v>
      </c>
      <c r="G123" s="22"/>
      <c r="H123" s="22"/>
      <c r="I123" s="22"/>
      <c r="J123" s="22"/>
      <c r="K123" s="22"/>
      <c r="L123" s="22"/>
    </row>
    <row r="124" spans="4:12" ht="20.100000000000001" customHeight="1" x14ac:dyDescent="0.25">
      <c r="D124" s="22" t="s">
        <v>392</v>
      </c>
      <c r="E124" t="s">
        <v>431</v>
      </c>
      <c r="F124">
        <v>0</v>
      </c>
      <c r="G124" s="22"/>
      <c r="H124" s="22"/>
      <c r="I124" s="22"/>
      <c r="J124" s="22"/>
      <c r="K124" s="22"/>
      <c r="L124" s="22"/>
    </row>
    <row r="125" spans="4:12" ht="20.100000000000001" customHeight="1" x14ac:dyDescent="0.25">
      <c r="D125" s="22" t="s">
        <v>394</v>
      </c>
      <c r="E125" t="s">
        <v>423</v>
      </c>
      <c r="F125">
        <v>0.8</v>
      </c>
      <c r="G125" s="22"/>
      <c r="H125" s="22"/>
      <c r="I125" s="22"/>
      <c r="J125" s="22"/>
      <c r="K125" s="22"/>
      <c r="L125" s="22"/>
    </row>
    <row r="126" spans="4:12" ht="20.100000000000001" customHeight="1" x14ac:dyDescent="0.25">
      <c r="D126" s="22" t="s">
        <v>394</v>
      </c>
      <c r="E126" t="s">
        <v>427</v>
      </c>
      <c r="F126">
        <v>0.8</v>
      </c>
      <c r="G126" s="22"/>
      <c r="H126" s="22"/>
      <c r="I126" s="22"/>
      <c r="J126" s="22"/>
      <c r="K126" s="22"/>
      <c r="L126" s="22"/>
    </row>
    <row r="127" spans="4:12" ht="20.100000000000001" customHeight="1" x14ac:dyDescent="0.25">
      <c r="D127" s="22" t="s">
        <v>394</v>
      </c>
      <c r="E127" t="s">
        <v>424</v>
      </c>
      <c r="F127">
        <v>0.8</v>
      </c>
      <c r="G127" s="22"/>
      <c r="H127" s="22"/>
      <c r="I127" s="22"/>
      <c r="J127" s="22"/>
      <c r="K127" s="22"/>
      <c r="L127" s="22"/>
    </row>
    <row r="128" spans="4:12" ht="20.100000000000001" customHeight="1" x14ac:dyDescent="0.25">
      <c r="D128" s="22" t="s">
        <v>394</v>
      </c>
      <c r="E128" t="s">
        <v>428</v>
      </c>
      <c r="F128">
        <v>0.8</v>
      </c>
      <c r="G128" s="22"/>
      <c r="H128" s="22"/>
      <c r="I128" s="22"/>
      <c r="J128" s="22"/>
      <c r="K128" s="22"/>
      <c r="L128" s="22"/>
    </row>
    <row r="129" spans="4:12" ht="20.100000000000001" customHeight="1" x14ac:dyDescent="0.25">
      <c r="D129" s="22" t="s">
        <v>394</v>
      </c>
      <c r="E129" t="s">
        <v>425</v>
      </c>
      <c r="F129">
        <v>0.8</v>
      </c>
      <c r="G129" s="22"/>
      <c r="H129" s="22"/>
      <c r="I129" s="22"/>
      <c r="J129" s="22"/>
      <c r="K129" s="22"/>
      <c r="L129" s="22"/>
    </row>
    <row r="130" spans="4:12" ht="20.100000000000001" customHeight="1" x14ac:dyDescent="0.25">
      <c r="D130" s="22" t="s">
        <v>394</v>
      </c>
      <c r="E130" t="s">
        <v>429</v>
      </c>
      <c r="F130">
        <v>0.8</v>
      </c>
      <c r="G130" s="22"/>
      <c r="H130" s="22"/>
      <c r="I130" s="22"/>
      <c r="J130" s="22"/>
      <c r="K130" s="22"/>
      <c r="L130" s="22"/>
    </row>
    <row r="131" spans="4:12" ht="20.100000000000001" customHeight="1" x14ac:dyDescent="0.25">
      <c r="D131" s="22" t="s">
        <v>394</v>
      </c>
      <c r="E131" t="s">
        <v>430</v>
      </c>
      <c r="F131">
        <v>0.8</v>
      </c>
      <c r="G131" s="22"/>
      <c r="H131" s="22"/>
      <c r="I131" s="22"/>
      <c r="J131" s="22"/>
      <c r="K131" s="22"/>
      <c r="L131" s="22"/>
    </row>
    <row r="132" spans="4:12" ht="20.100000000000001" customHeight="1" x14ac:dyDescent="0.25">
      <c r="D132" s="22" t="s">
        <v>394</v>
      </c>
      <c r="E132" t="s">
        <v>431</v>
      </c>
      <c r="F132">
        <v>0.8</v>
      </c>
      <c r="G132" s="22"/>
      <c r="H132" s="22"/>
      <c r="I132" s="22"/>
      <c r="J132" s="22"/>
      <c r="K132" s="22"/>
      <c r="L132" s="22"/>
    </row>
    <row r="133" spans="4:12" ht="20.100000000000001" customHeight="1" x14ac:dyDescent="0.25">
      <c r="D133" s="22" t="s">
        <v>422</v>
      </c>
      <c r="E133" t="s">
        <v>423</v>
      </c>
      <c r="F133">
        <v>0</v>
      </c>
      <c r="G133" s="22"/>
      <c r="H133" s="22"/>
      <c r="I133" s="22"/>
      <c r="J133" s="22"/>
      <c r="K133" s="22"/>
      <c r="L133" s="22"/>
    </row>
    <row r="134" spans="4:12" ht="20.100000000000001" customHeight="1" x14ac:dyDescent="0.25">
      <c r="D134" s="22" t="s">
        <v>422</v>
      </c>
      <c r="E134" t="s">
        <v>427</v>
      </c>
      <c r="F134" t="s">
        <v>432</v>
      </c>
      <c r="G134" s="22"/>
      <c r="H134" s="22"/>
      <c r="I134" s="22"/>
      <c r="J134" s="22"/>
      <c r="K134" s="22"/>
      <c r="L134" s="22"/>
    </row>
    <row r="135" spans="4:12" ht="20.100000000000001" customHeight="1" x14ac:dyDescent="0.25">
      <c r="D135" s="22" t="s">
        <v>422</v>
      </c>
      <c r="E135" t="s">
        <v>424</v>
      </c>
      <c r="F135">
        <v>0.03</v>
      </c>
      <c r="G135" s="22"/>
      <c r="H135" s="22"/>
      <c r="I135" s="22"/>
      <c r="J135" s="22"/>
      <c r="K135" s="22"/>
      <c r="L135" s="22"/>
    </row>
    <row r="136" spans="4:12" ht="20.100000000000001" customHeight="1" x14ac:dyDescent="0.25">
      <c r="D136" s="22" t="s">
        <v>422</v>
      </c>
      <c r="E136" t="s">
        <v>428</v>
      </c>
      <c r="F136" t="s">
        <v>432</v>
      </c>
      <c r="G136" s="22"/>
      <c r="H136" s="22"/>
      <c r="I136" s="22"/>
      <c r="J136" s="22"/>
      <c r="K136" s="22"/>
      <c r="L136" s="22"/>
    </row>
    <row r="137" spans="4:12" ht="20.100000000000001" customHeight="1" x14ac:dyDescent="0.25">
      <c r="D137" s="22" t="s">
        <v>422</v>
      </c>
      <c r="E137" t="s">
        <v>425</v>
      </c>
      <c r="F137">
        <v>0</v>
      </c>
      <c r="G137" s="22"/>
      <c r="H137" s="22"/>
      <c r="I137" s="22"/>
      <c r="J137" s="22"/>
      <c r="K137" s="22"/>
      <c r="L137" s="22"/>
    </row>
    <row r="138" spans="4:12" ht="20.100000000000001" customHeight="1" x14ac:dyDescent="0.25">
      <c r="D138" s="22" t="s">
        <v>422</v>
      </c>
      <c r="E138" t="s">
        <v>429</v>
      </c>
      <c r="F138" t="s">
        <v>432</v>
      </c>
      <c r="G138" s="22"/>
      <c r="H138" s="22"/>
      <c r="I138" s="22"/>
      <c r="J138" s="22"/>
      <c r="K138" s="22"/>
      <c r="L138" s="22"/>
    </row>
    <row r="139" spans="4:12" ht="20.100000000000001" customHeight="1" x14ac:dyDescent="0.25">
      <c r="D139" s="22" t="s">
        <v>422</v>
      </c>
      <c r="E139" t="s">
        <v>430</v>
      </c>
      <c r="F139" t="s">
        <v>432</v>
      </c>
      <c r="G139" s="22"/>
      <c r="H139" s="22"/>
      <c r="I139" s="22"/>
      <c r="J139" s="22"/>
      <c r="K139" s="22"/>
      <c r="L139" s="22"/>
    </row>
    <row r="140" spans="4:12" ht="20.100000000000001" customHeight="1" x14ac:dyDescent="0.25">
      <c r="D140" s="22" t="s">
        <v>422</v>
      </c>
      <c r="E140" t="s">
        <v>431</v>
      </c>
      <c r="F140" t="s">
        <v>432</v>
      </c>
      <c r="G140" s="22"/>
      <c r="H140" s="22"/>
      <c r="I140" s="22"/>
      <c r="J140" s="22"/>
      <c r="K140" s="22"/>
      <c r="L140" s="22"/>
    </row>
    <row r="141" spans="4:12" ht="20.100000000000001" customHeight="1" x14ac:dyDescent="0.25">
      <c r="D141" s="22" t="s">
        <v>132</v>
      </c>
      <c r="E141" t="s">
        <v>423</v>
      </c>
      <c r="F141">
        <v>0.05</v>
      </c>
      <c r="G141" s="22"/>
      <c r="H141" s="22"/>
      <c r="I141" s="22"/>
      <c r="J141" s="22"/>
      <c r="K141" s="22"/>
      <c r="L141" s="22"/>
    </row>
    <row r="142" spans="4:12" ht="20.100000000000001" customHeight="1" x14ac:dyDescent="0.25">
      <c r="D142" s="22" t="s">
        <v>132</v>
      </c>
      <c r="E142" t="s">
        <v>427</v>
      </c>
      <c r="F142">
        <v>7.0000000000000007E-2</v>
      </c>
      <c r="G142" s="22"/>
      <c r="H142" s="22"/>
      <c r="I142" s="22"/>
      <c r="J142" s="22"/>
      <c r="K142" s="22"/>
      <c r="L142" s="22"/>
    </row>
    <row r="143" spans="4:12" ht="20.100000000000001" customHeight="1" x14ac:dyDescent="0.25">
      <c r="D143" s="22" t="s">
        <v>132</v>
      </c>
      <c r="E143" t="s">
        <v>424</v>
      </c>
      <c r="F143">
        <v>0.04</v>
      </c>
      <c r="G143" s="22"/>
      <c r="H143" s="22"/>
      <c r="I143" s="22"/>
      <c r="J143" s="22"/>
      <c r="K143" s="22"/>
      <c r="L143" s="22"/>
    </row>
    <row r="144" spans="4:12" ht="20.100000000000001" customHeight="1" x14ac:dyDescent="0.25">
      <c r="D144" s="22" t="s">
        <v>132</v>
      </c>
      <c r="E144" t="s">
        <v>428</v>
      </c>
      <c r="F144">
        <v>0.09</v>
      </c>
      <c r="G144" s="22"/>
      <c r="H144" s="22"/>
      <c r="I144" s="22"/>
      <c r="J144" s="22"/>
      <c r="K144" s="22"/>
      <c r="L144" s="22"/>
    </row>
    <row r="145" spans="4:12" ht="20.100000000000001" customHeight="1" x14ac:dyDescent="0.25">
      <c r="D145" s="22" t="s">
        <v>132</v>
      </c>
      <c r="E145" t="s">
        <v>425</v>
      </c>
      <c r="F145">
        <v>0.11</v>
      </c>
      <c r="G145" s="22"/>
      <c r="H145" s="22"/>
      <c r="I145" s="22"/>
      <c r="J145" s="22"/>
      <c r="K145" s="22"/>
      <c r="L145" s="22"/>
    </row>
    <row r="146" spans="4:12" ht="20.100000000000001" customHeight="1" x14ac:dyDescent="0.25">
      <c r="D146" s="22" t="s">
        <v>132</v>
      </c>
      <c r="E146" t="s">
        <v>429</v>
      </c>
      <c r="F146">
        <v>0.16</v>
      </c>
      <c r="G146" s="22"/>
      <c r="H146" s="22"/>
      <c r="I146" s="22"/>
      <c r="J146" s="22"/>
      <c r="K146" s="22"/>
      <c r="L146" s="22"/>
    </row>
    <row r="147" spans="4:12" ht="20.100000000000001" customHeight="1" x14ac:dyDescent="0.25">
      <c r="D147" s="22" t="s">
        <v>132</v>
      </c>
      <c r="E147" t="s">
        <v>430</v>
      </c>
      <c r="F147">
        <v>0.01</v>
      </c>
      <c r="G147" s="22"/>
      <c r="H147" s="22"/>
      <c r="I147" s="22"/>
      <c r="J147" s="22"/>
      <c r="K147" s="22"/>
      <c r="L147" s="22"/>
    </row>
    <row r="148" spans="4:12" ht="20.100000000000001" customHeight="1" x14ac:dyDescent="0.25">
      <c r="D148" s="22" t="s">
        <v>132</v>
      </c>
      <c r="E148" t="s">
        <v>431</v>
      </c>
      <c r="F148">
        <v>0</v>
      </c>
      <c r="G148" s="22"/>
      <c r="H148" s="22"/>
      <c r="I148" s="22"/>
      <c r="J148" s="22"/>
      <c r="K148" s="22"/>
      <c r="L148" s="22"/>
    </row>
    <row r="149" spans="4:12" ht="20.100000000000001" customHeight="1" x14ac:dyDescent="0.25">
      <c r="D149" s="22" t="s">
        <v>379</v>
      </c>
      <c r="E149" t="s">
        <v>423</v>
      </c>
      <c r="F149">
        <v>0.05</v>
      </c>
      <c r="G149" s="22"/>
      <c r="H149" s="22"/>
      <c r="I149" s="22"/>
      <c r="J149" s="22"/>
      <c r="K149" s="22"/>
      <c r="L149" s="22"/>
    </row>
    <row r="150" spans="4:12" ht="20.100000000000001" customHeight="1" x14ac:dyDescent="0.25">
      <c r="D150" s="22" t="s">
        <v>379</v>
      </c>
      <c r="E150" t="s">
        <v>427</v>
      </c>
      <c r="F150">
        <v>7.0000000000000007E-2</v>
      </c>
      <c r="G150" s="22"/>
      <c r="H150" s="22"/>
      <c r="I150" s="22"/>
      <c r="J150" s="22"/>
      <c r="K150" s="22"/>
      <c r="L150" s="22"/>
    </row>
    <row r="151" spans="4:12" ht="20.100000000000001" customHeight="1" x14ac:dyDescent="0.25">
      <c r="D151" s="22" t="s">
        <v>379</v>
      </c>
      <c r="E151" t="s">
        <v>424</v>
      </c>
      <c r="F151">
        <v>0.04</v>
      </c>
      <c r="G151" s="22"/>
      <c r="H151" s="22"/>
      <c r="I151" s="22"/>
      <c r="J151" s="22"/>
      <c r="K151" s="22"/>
      <c r="L151" s="22"/>
    </row>
    <row r="152" spans="4:12" ht="20.100000000000001" customHeight="1" x14ac:dyDescent="0.25">
      <c r="D152" s="22" t="s">
        <v>379</v>
      </c>
      <c r="E152" t="s">
        <v>428</v>
      </c>
      <c r="F152">
        <v>0.09</v>
      </c>
      <c r="G152" s="22"/>
      <c r="H152" s="22"/>
      <c r="I152" s="22"/>
      <c r="J152" s="22"/>
      <c r="K152" s="22"/>
      <c r="L152" s="22"/>
    </row>
    <row r="153" spans="4:12" ht="20.100000000000001" customHeight="1" x14ac:dyDescent="0.25">
      <c r="D153" s="22" t="s">
        <v>379</v>
      </c>
      <c r="E153" t="s">
        <v>425</v>
      </c>
      <c r="F153">
        <v>0.11</v>
      </c>
      <c r="G153" s="22"/>
      <c r="H153" s="22"/>
      <c r="I153" s="22"/>
      <c r="J153" s="22"/>
      <c r="K153" s="22"/>
      <c r="L153" s="22"/>
    </row>
    <row r="154" spans="4:12" ht="20.100000000000001" customHeight="1" x14ac:dyDescent="0.25">
      <c r="D154" s="22" t="s">
        <v>379</v>
      </c>
      <c r="E154" t="s">
        <v>429</v>
      </c>
      <c r="F154">
        <v>0.16</v>
      </c>
      <c r="G154" s="22"/>
      <c r="H154" s="22"/>
      <c r="I154" s="22"/>
      <c r="J154" s="22"/>
      <c r="K154" s="22"/>
      <c r="L154" s="22"/>
    </row>
    <row r="155" spans="4:12" ht="20.100000000000001" customHeight="1" x14ac:dyDescent="0.25">
      <c r="D155" s="22" t="s">
        <v>379</v>
      </c>
      <c r="E155" t="s">
        <v>430</v>
      </c>
      <c r="F155">
        <v>0.01</v>
      </c>
      <c r="G155" s="22"/>
      <c r="H155" s="22"/>
      <c r="I155" s="22"/>
      <c r="J155" s="22"/>
      <c r="K155" s="22"/>
      <c r="L155" s="22"/>
    </row>
    <row r="156" spans="4:12" ht="20.100000000000001" customHeight="1" x14ac:dyDescent="0.25">
      <c r="D156" s="22" t="s">
        <v>379</v>
      </c>
      <c r="E156" t="s">
        <v>431</v>
      </c>
      <c r="F156">
        <v>0</v>
      </c>
      <c r="G156" s="22"/>
      <c r="H156" s="22"/>
      <c r="I156" s="22"/>
      <c r="J156" s="22"/>
      <c r="K156" s="22"/>
      <c r="L156" s="22"/>
    </row>
    <row r="157" spans="4:12" ht="20.100000000000001" customHeight="1" x14ac:dyDescent="0.25">
      <c r="D157" s="22" t="s">
        <v>380</v>
      </c>
      <c r="E157" t="s">
        <v>423</v>
      </c>
      <c r="F157">
        <v>0.05</v>
      </c>
      <c r="G157" s="22"/>
      <c r="H157" s="22"/>
      <c r="I157" s="22"/>
      <c r="J157" s="22"/>
      <c r="K157" s="22"/>
      <c r="L157" s="22"/>
    </row>
    <row r="158" spans="4:12" ht="20.100000000000001" customHeight="1" x14ac:dyDescent="0.25">
      <c r="D158" s="22" t="s">
        <v>380</v>
      </c>
      <c r="E158" t="s">
        <v>427</v>
      </c>
      <c r="F158">
        <v>7.0000000000000007E-2</v>
      </c>
      <c r="G158" s="22"/>
      <c r="H158" s="22"/>
      <c r="I158" s="22"/>
      <c r="J158" s="22"/>
      <c r="K158" s="22"/>
      <c r="L158" s="22"/>
    </row>
    <row r="159" spans="4:12" ht="20.100000000000001" customHeight="1" x14ac:dyDescent="0.25">
      <c r="D159" s="22" t="s">
        <v>380</v>
      </c>
      <c r="E159" t="s">
        <v>424</v>
      </c>
      <c r="F159">
        <v>0.04</v>
      </c>
      <c r="G159" s="22"/>
      <c r="H159" s="22"/>
      <c r="I159" s="22"/>
      <c r="J159" s="22"/>
      <c r="K159" s="22"/>
      <c r="L159" s="22"/>
    </row>
    <row r="160" spans="4:12" ht="20.100000000000001" customHeight="1" x14ac:dyDescent="0.25">
      <c r="D160" s="22" t="s">
        <v>380</v>
      </c>
      <c r="E160" t="s">
        <v>428</v>
      </c>
      <c r="F160">
        <v>0.09</v>
      </c>
      <c r="G160" s="22"/>
      <c r="H160" s="22"/>
      <c r="I160" s="22"/>
      <c r="J160" s="22"/>
      <c r="K160" s="22"/>
      <c r="L160" s="22"/>
    </row>
    <row r="161" spans="4:12" ht="20.100000000000001" customHeight="1" x14ac:dyDescent="0.25">
      <c r="D161" s="22" t="s">
        <v>380</v>
      </c>
      <c r="E161" t="s">
        <v>425</v>
      </c>
      <c r="F161">
        <v>0.11</v>
      </c>
      <c r="G161" s="22"/>
      <c r="H161" s="22"/>
      <c r="I161" s="22"/>
      <c r="J161" s="22"/>
      <c r="K161" s="22"/>
      <c r="L161" s="22"/>
    </row>
    <row r="162" spans="4:12" ht="20.100000000000001" customHeight="1" x14ac:dyDescent="0.25">
      <c r="D162" s="22" t="s">
        <v>380</v>
      </c>
      <c r="E162" t="s">
        <v>429</v>
      </c>
      <c r="F162">
        <v>0.16</v>
      </c>
      <c r="G162" s="22"/>
      <c r="H162" s="22"/>
      <c r="I162" s="22"/>
      <c r="J162" s="22"/>
      <c r="K162" s="22"/>
      <c r="L162" s="22"/>
    </row>
    <row r="163" spans="4:12" ht="20.100000000000001" customHeight="1" x14ac:dyDescent="0.25">
      <c r="D163" s="22" t="s">
        <v>380</v>
      </c>
      <c r="E163" t="s">
        <v>430</v>
      </c>
      <c r="F163">
        <v>0.01</v>
      </c>
      <c r="G163" s="22"/>
      <c r="H163" s="22"/>
      <c r="I163" s="22"/>
      <c r="J163" s="22"/>
      <c r="K163" s="22"/>
      <c r="L163" s="22"/>
    </row>
    <row r="164" spans="4:12" ht="20.100000000000001" customHeight="1" x14ac:dyDescent="0.25">
      <c r="D164" s="22" t="s">
        <v>380</v>
      </c>
      <c r="E164" t="s">
        <v>431</v>
      </c>
      <c r="F164">
        <v>0</v>
      </c>
      <c r="G164" s="22"/>
      <c r="H164" s="22"/>
      <c r="I164" s="22"/>
      <c r="J164" s="22"/>
      <c r="K164" s="22"/>
      <c r="L164" s="22"/>
    </row>
    <row r="165" spans="4:12" ht="20.100000000000001" customHeight="1" x14ac:dyDescent="0.25">
      <c r="D165" s="22" t="s">
        <v>381</v>
      </c>
      <c r="E165" t="s">
        <v>423</v>
      </c>
      <c r="F165">
        <v>0.05</v>
      </c>
      <c r="G165" s="22"/>
      <c r="H165" s="22"/>
      <c r="I165" s="22"/>
      <c r="J165" s="22"/>
      <c r="K165" s="22"/>
      <c r="L165" s="22"/>
    </row>
    <row r="166" spans="4:12" x14ac:dyDescent="0.25">
      <c r="D166" s="22" t="s">
        <v>381</v>
      </c>
      <c r="E166" t="s">
        <v>427</v>
      </c>
      <c r="F166">
        <v>7.0000000000000007E-2</v>
      </c>
      <c r="G166" s="22"/>
      <c r="H166" s="22"/>
      <c r="I166" s="22"/>
      <c r="J166" s="22"/>
      <c r="K166" s="22"/>
      <c r="L166" s="22"/>
    </row>
    <row r="167" spans="4:12" x14ac:dyDescent="0.25">
      <c r="D167" s="22" t="s">
        <v>381</v>
      </c>
      <c r="E167" t="s">
        <v>424</v>
      </c>
      <c r="F167">
        <v>0.04</v>
      </c>
      <c r="G167" s="22"/>
      <c r="H167" s="22"/>
      <c r="I167" s="22"/>
      <c r="J167" s="22"/>
      <c r="K167" s="22"/>
      <c r="L167" s="22"/>
    </row>
    <row r="168" spans="4:12" x14ac:dyDescent="0.25">
      <c r="D168" s="22" t="s">
        <v>381</v>
      </c>
      <c r="E168" t="s">
        <v>428</v>
      </c>
      <c r="F168">
        <v>0.09</v>
      </c>
      <c r="G168" s="22"/>
      <c r="H168" s="22"/>
      <c r="I168" s="22"/>
      <c r="J168" s="22"/>
      <c r="K168" s="22"/>
      <c r="L168" s="22"/>
    </row>
    <row r="169" spans="4:12" x14ac:dyDescent="0.25">
      <c r="D169" s="22" t="s">
        <v>381</v>
      </c>
      <c r="E169" t="s">
        <v>425</v>
      </c>
      <c r="F169">
        <v>0.11</v>
      </c>
      <c r="G169" s="22"/>
      <c r="H169" s="22"/>
      <c r="I169" s="22"/>
      <c r="J169" s="22"/>
      <c r="K169" s="22"/>
      <c r="L169" s="22"/>
    </row>
    <row r="170" spans="4:12" x14ac:dyDescent="0.25">
      <c r="D170" s="22" t="s">
        <v>381</v>
      </c>
      <c r="E170" t="s">
        <v>429</v>
      </c>
      <c r="F170">
        <v>0.16</v>
      </c>
      <c r="G170" s="22"/>
      <c r="H170" s="22"/>
      <c r="I170" s="22"/>
      <c r="J170" s="22"/>
      <c r="K170" s="22"/>
      <c r="L170" s="22"/>
    </row>
    <row r="171" spans="4:12" x14ac:dyDescent="0.25">
      <c r="D171" s="22" t="s">
        <v>381</v>
      </c>
      <c r="E171" t="s">
        <v>430</v>
      </c>
      <c r="F171">
        <v>0.01</v>
      </c>
      <c r="G171" s="22"/>
      <c r="H171" s="22"/>
      <c r="I171" s="22"/>
      <c r="J171" s="22"/>
      <c r="K171" s="22"/>
      <c r="L171" s="22"/>
    </row>
    <row r="172" spans="4:12" x14ac:dyDescent="0.25">
      <c r="D172" s="22" t="s">
        <v>381</v>
      </c>
      <c r="E172" t="s">
        <v>431</v>
      </c>
      <c r="F172">
        <v>0</v>
      </c>
      <c r="G172" s="22"/>
      <c r="H172" s="22"/>
      <c r="I172" s="22"/>
      <c r="J172" s="22"/>
      <c r="K172" s="22"/>
      <c r="L172" s="22"/>
    </row>
    <row r="173" spans="4:12" x14ac:dyDescent="0.25">
      <c r="D173" s="22" t="s">
        <v>383</v>
      </c>
      <c r="E173" t="s">
        <v>423</v>
      </c>
      <c r="F173">
        <v>0.05</v>
      </c>
      <c r="G173" s="22"/>
      <c r="H173" s="22"/>
      <c r="I173" s="22"/>
      <c r="J173" s="22"/>
      <c r="K173" s="22"/>
      <c r="L173" s="22"/>
    </row>
    <row r="174" spans="4:12" x14ac:dyDescent="0.25">
      <c r="D174" s="22" t="s">
        <v>383</v>
      </c>
      <c r="E174" t="s">
        <v>427</v>
      </c>
      <c r="F174">
        <v>7.0000000000000007E-2</v>
      </c>
      <c r="G174" s="22"/>
      <c r="H174" s="22"/>
      <c r="I174" s="22"/>
      <c r="J174" s="22"/>
      <c r="K174" s="22"/>
      <c r="L174" s="22"/>
    </row>
    <row r="175" spans="4:12" x14ac:dyDescent="0.25">
      <c r="D175" s="22" t="s">
        <v>383</v>
      </c>
      <c r="E175" t="s">
        <v>424</v>
      </c>
      <c r="F175">
        <v>0.04</v>
      </c>
      <c r="G175" s="22"/>
      <c r="H175" s="22"/>
      <c r="I175" s="22"/>
      <c r="J175" s="22"/>
      <c r="K175" s="22"/>
      <c r="L175" s="22"/>
    </row>
    <row r="176" spans="4:12" x14ac:dyDescent="0.25">
      <c r="D176" s="22" t="s">
        <v>383</v>
      </c>
      <c r="E176" t="s">
        <v>428</v>
      </c>
      <c r="F176">
        <v>0.09</v>
      </c>
      <c r="G176" s="22"/>
      <c r="H176" s="22"/>
      <c r="I176" s="22"/>
      <c r="J176" s="22"/>
      <c r="K176" s="22"/>
      <c r="L176" s="22"/>
    </row>
    <row r="177" spans="4:12" x14ac:dyDescent="0.25">
      <c r="D177" s="22" t="s">
        <v>383</v>
      </c>
      <c r="E177" t="s">
        <v>425</v>
      </c>
      <c r="F177">
        <v>0.11</v>
      </c>
      <c r="G177" s="22"/>
      <c r="H177" s="22"/>
      <c r="I177" s="22"/>
      <c r="J177" s="22"/>
      <c r="K177" s="22"/>
      <c r="L177" s="22"/>
    </row>
    <row r="178" spans="4:12" x14ac:dyDescent="0.25">
      <c r="D178" s="22" t="s">
        <v>383</v>
      </c>
      <c r="E178" t="s">
        <v>429</v>
      </c>
      <c r="F178">
        <v>0.16</v>
      </c>
      <c r="G178" s="22"/>
      <c r="H178" s="22"/>
      <c r="I178" s="22"/>
      <c r="J178" s="22"/>
      <c r="K178" s="22"/>
      <c r="L178" s="22"/>
    </row>
    <row r="179" spans="4:12" x14ac:dyDescent="0.25">
      <c r="D179" s="22" t="s">
        <v>383</v>
      </c>
      <c r="E179" t="s">
        <v>430</v>
      </c>
      <c r="F179">
        <v>0.01</v>
      </c>
      <c r="G179" s="22"/>
      <c r="H179" s="22"/>
      <c r="I179" s="22"/>
      <c r="J179" s="22"/>
      <c r="K179" s="22"/>
      <c r="L179" s="22"/>
    </row>
    <row r="180" spans="4:12" x14ac:dyDescent="0.25">
      <c r="D180" s="22" t="s">
        <v>383</v>
      </c>
      <c r="E180" t="s">
        <v>431</v>
      </c>
      <c r="F180">
        <v>0</v>
      </c>
      <c r="G180" s="22"/>
      <c r="H180" s="22"/>
      <c r="I180" s="22"/>
      <c r="J180" s="22"/>
      <c r="K180" s="22"/>
      <c r="L180" s="22"/>
    </row>
    <row r="181" spans="4:12" x14ac:dyDescent="0.25">
      <c r="D181" s="22" t="s">
        <v>384</v>
      </c>
      <c r="E181" t="s">
        <v>423</v>
      </c>
      <c r="F181">
        <v>0.05</v>
      </c>
      <c r="G181" s="22"/>
      <c r="H181" s="22"/>
      <c r="I181" s="22"/>
      <c r="J181" s="22"/>
      <c r="K181" s="22"/>
      <c r="L181" s="22"/>
    </row>
    <row r="182" spans="4:12" x14ac:dyDescent="0.25">
      <c r="D182" s="22" t="s">
        <v>384</v>
      </c>
      <c r="E182" t="s">
        <v>427</v>
      </c>
      <c r="F182">
        <v>7.0000000000000007E-2</v>
      </c>
      <c r="G182" s="22"/>
      <c r="H182" s="22"/>
      <c r="I182" s="22"/>
      <c r="J182" s="22"/>
      <c r="K182" s="22"/>
      <c r="L182" s="22"/>
    </row>
    <row r="183" spans="4:12" x14ac:dyDescent="0.25">
      <c r="D183" s="22" t="s">
        <v>384</v>
      </c>
      <c r="E183" t="s">
        <v>424</v>
      </c>
      <c r="F183">
        <v>0.04</v>
      </c>
      <c r="G183" s="22"/>
      <c r="H183" s="22"/>
      <c r="I183" s="22"/>
      <c r="J183" s="22"/>
      <c r="K183" s="22"/>
      <c r="L183" s="22"/>
    </row>
    <row r="184" spans="4:12" x14ac:dyDescent="0.25">
      <c r="D184" s="22" t="s">
        <v>384</v>
      </c>
      <c r="E184" t="s">
        <v>428</v>
      </c>
      <c r="F184">
        <v>0.09</v>
      </c>
      <c r="G184" s="22"/>
      <c r="H184" s="22"/>
      <c r="I184" s="22"/>
      <c r="J184" s="22"/>
      <c r="K184" s="22"/>
      <c r="L184" s="22"/>
    </row>
    <row r="185" spans="4:12" x14ac:dyDescent="0.25">
      <c r="D185" s="22" t="s">
        <v>384</v>
      </c>
      <c r="E185" t="s">
        <v>425</v>
      </c>
      <c r="F185">
        <v>0.11</v>
      </c>
      <c r="G185" s="22"/>
      <c r="H185" s="22"/>
      <c r="I185" s="22"/>
      <c r="J185" s="22"/>
      <c r="K185" s="22"/>
      <c r="L185" s="22"/>
    </row>
    <row r="186" spans="4:12" x14ac:dyDescent="0.25">
      <c r="D186" s="22" t="s">
        <v>384</v>
      </c>
      <c r="E186" t="s">
        <v>429</v>
      </c>
      <c r="F186">
        <v>0.16</v>
      </c>
      <c r="G186" s="22"/>
      <c r="H186" s="22"/>
      <c r="I186" s="22"/>
      <c r="J186" s="22"/>
      <c r="K186" s="22"/>
      <c r="L186" s="22"/>
    </row>
    <row r="187" spans="4:12" x14ac:dyDescent="0.25">
      <c r="D187" s="22" t="s">
        <v>384</v>
      </c>
      <c r="E187" t="s">
        <v>430</v>
      </c>
      <c r="F187">
        <v>0.01</v>
      </c>
      <c r="G187" s="22"/>
      <c r="H187" s="22"/>
      <c r="I187" s="22"/>
      <c r="J187" s="22"/>
      <c r="K187" s="22"/>
      <c r="L187" s="22"/>
    </row>
    <row r="188" spans="4:12" x14ac:dyDescent="0.25">
      <c r="D188" s="22" t="s">
        <v>384</v>
      </c>
      <c r="E188" t="s">
        <v>431</v>
      </c>
      <c r="F188">
        <v>0</v>
      </c>
      <c r="G188" s="22"/>
      <c r="H188" s="22"/>
      <c r="I188" s="22"/>
      <c r="J188" s="22"/>
      <c r="K188" s="22"/>
      <c r="L188" s="22"/>
    </row>
    <row r="189" spans="4:12" x14ac:dyDescent="0.25">
      <c r="D189" s="22" t="s">
        <v>385</v>
      </c>
      <c r="E189" t="s">
        <v>423</v>
      </c>
      <c r="F189">
        <v>0.05</v>
      </c>
      <c r="G189" s="22"/>
      <c r="H189" s="22"/>
      <c r="I189" s="22"/>
      <c r="J189" s="22"/>
      <c r="K189" s="22"/>
      <c r="L189" s="22"/>
    </row>
    <row r="190" spans="4:12" x14ac:dyDescent="0.25">
      <c r="D190" s="22" t="s">
        <v>385</v>
      </c>
      <c r="E190" t="s">
        <v>427</v>
      </c>
      <c r="F190">
        <v>7.0000000000000007E-2</v>
      </c>
      <c r="G190" s="22"/>
      <c r="H190" s="22"/>
      <c r="I190" s="22"/>
      <c r="J190" s="22"/>
      <c r="K190" s="22"/>
      <c r="L190" s="22"/>
    </row>
    <row r="191" spans="4:12" x14ac:dyDescent="0.25">
      <c r="D191" s="22" t="s">
        <v>385</v>
      </c>
      <c r="E191" t="s">
        <v>424</v>
      </c>
      <c r="F191">
        <v>0.04</v>
      </c>
      <c r="G191" s="22"/>
      <c r="H191" s="22"/>
      <c r="I191" s="22"/>
      <c r="J191" s="22"/>
      <c r="K191" s="22"/>
      <c r="L191" s="22"/>
    </row>
    <row r="192" spans="4:12" x14ac:dyDescent="0.25">
      <c r="D192" s="22" t="s">
        <v>385</v>
      </c>
      <c r="E192" t="s">
        <v>428</v>
      </c>
      <c r="F192">
        <v>0.09</v>
      </c>
      <c r="G192" s="22"/>
      <c r="H192" s="22"/>
      <c r="I192" s="22"/>
      <c r="J192" s="22"/>
      <c r="K192" s="22"/>
      <c r="L192" s="22"/>
    </row>
    <row r="193" spans="4:12" x14ac:dyDescent="0.25">
      <c r="D193" s="22" t="s">
        <v>385</v>
      </c>
      <c r="E193" t="s">
        <v>425</v>
      </c>
      <c r="F193">
        <v>0.11</v>
      </c>
      <c r="G193" s="22"/>
      <c r="H193" s="22"/>
      <c r="I193" s="22"/>
      <c r="J193" s="22"/>
      <c r="K193" s="22"/>
      <c r="L193" s="22"/>
    </row>
    <row r="194" spans="4:12" x14ac:dyDescent="0.25">
      <c r="D194" s="22" t="s">
        <v>385</v>
      </c>
      <c r="E194" t="s">
        <v>429</v>
      </c>
      <c r="F194">
        <v>0.16</v>
      </c>
      <c r="G194" s="22"/>
      <c r="H194" s="22"/>
      <c r="I194" s="22"/>
      <c r="J194" s="22"/>
      <c r="K194" s="22"/>
      <c r="L194" s="22"/>
    </row>
    <row r="195" spans="4:12" x14ac:dyDescent="0.25">
      <c r="D195" s="22" t="s">
        <v>385</v>
      </c>
      <c r="E195" t="s">
        <v>430</v>
      </c>
      <c r="F195">
        <v>0.01</v>
      </c>
      <c r="G195" s="22"/>
      <c r="H195" s="22"/>
      <c r="I195" s="22"/>
      <c r="J195" s="22"/>
      <c r="K195" s="22"/>
      <c r="L195" s="22"/>
    </row>
    <row r="196" spans="4:12" x14ac:dyDescent="0.25">
      <c r="D196" s="22" t="s">
        <v>385</v>
      </c>
      <c r="E196" t="s">
        <v>431</v>
      </c>
      <c r="F196">
        <v>0</v>
      </c>
      <c r="G196" s="22"/>
      <c r="H196" s="22"/>
      <c r="I196" s="22"/>
      <c r="J196" s="22"/>
      <c r="K196" s="22"/>
      <c r="L196" s="22"/>
    </row>
    <row r="197" spans="4:12" x14ac:dyDescent="0.25">
      <c r="D197" s="22" t="s">
        <v>386</v>
      </c>
      <c r="E197" t="s">
        <v>423</v>
      </c>
      <c r="F197">
        <v>0.05</v>
      </c>
      <c r="G197" s="22"/>
      <c r="H197" s="22"/>
      <c r="I197" s="22"/>
      <c r="J197" s="22"/>
      <c r="K197" s="22"/>
      <c r="L197" s="22"/>
    </row>
    <row r="198" spans="4:12" x14ac:dyDescent="0.25">
      <c r="D198" s="22" t="s">
        <v>386</v>
      </c>
      <c r="E198" t="s">
        <v>427</v>
      </c>
      <c r="F198">
        <v>7.0000000000000007E-2</v>
      </c>
      <c r="G198" s="22"/>
      <c r="H198" s="22"/>
      <c r="I198" s="22"/>
      <c r="J198" s="22"/>
      <c r="K198" s="22"/>
      <c r="L198" s="22"/>
    </row>
    <row r="199" spans="4:12" x14ac:dyDescent="0.25">
      <c r="D199" s="22" t="s">
        <v>386</v>
      </c>
      <c r="E199" t="s">
        <v>424</v>
      </c>
      <c r="F199">
        <v>0.04</v>
      </c>
      <c r="G199" s="22"/>
      <c r="H199" s="22"/>
      <c r="I199" s="22"/>
      <c r="J199" s="22"/>
      <c r="K199" s="22"/>
      <c r="L199" s="22"/>
    </row>
    <row r="200" spans="4:12" x14ac:dyDescent="0.25">
      <c r="D200" s="22" t="s">
        <v>386</v>
      </c>
      <c r="E200" t="s">
        <v>428</v>
      </c>
      <c r="F200">
        <v>0.09</v>
      </c>
      <c r="G200" s="22"/>
      <c r="H200" s="22"/>
      <c r="I200" s="22"/>
      <c r="J200" s="22"/>
      <c r="K200" s="22"/>
      <c r="L200" s="22"/>
    </row>
    <row r="201" spans="4:12" x14ac:dyDescent="0.25">
      <c r="D201" s="22" t="s">
        <v>386</v>
      </c>
      <c r="E201" t="s">
        <v>425</v>
      </c>
      <c r="F201">
        <v>0.11</v>
      </c>
      <c r="G201" s="22"/>
      <c r="H201" s="22"/>
      <c r="I201" s="22"/>
      <c r="J201" s="22"/>
      <c r="K201" s="22"/>
      <c r="L201" s="22"/>
    </row>
    <row r="202" spans="4:12" x14ac:dyDescent="0.25">
      <c r="D202" s="22" t="s">
        <v>386</v>
      </c>
      <c r="E202" t="s">
        <v>429</v>
      </c>
      <c r="F202">
        <v>0.16</v>
      </c>
      <c r="G202" s="22"/>
      <c r="H202" s="22"/>
      <c r="I202" s="22"/>
      <c r="J202" s="22"/>
      <c r="K202" s="22"/>
      <c r="L202" s="22"/>
    </row>
    <row r="203" spans="4:12" x14ac:dyDescent="0.25">
      <c r="D203" s="22" t="s">
        <v>386</v>
      </c>
      <c r="E203" t="s">
        <v>430</v>
      </c>
      <c r="F203">
        <v>0.01</v>
      </c>
      <c r="G203" s="22"/>
      <c r="H203" s="22"/>
      <c r="I203" s="22"/>
      <c r="J203" s="22"/>
      <c r="K203" s="22"/>
      <c r="L203" s="22"/>
    </row>
    <row r="204" spans="4:12" x14ac:dyDescent="0.25">
      <c r="D204" s="22" t="s">
        <v>386</v>
      </c>
      <c r="E204" t="s">
        <v>431</v>
      </c>
      <c r="F204">
        <v>0</v>
      </c>
      <c r="G204" s="22"/>
      <c r="H204" s="22"/>
      <c r="I204" s="22"/>
      <c r="J204" s="22"/>
      <c r="K204" s="22"/>
      <c r="L204" s="22"/>
    </row>
    <row r="205" spans="4:12" x14ac:dyDescent="0.25">
      <c r="D205" s="22" t="s">
        <v>389</v>
      </c>
      <c r="E205" t="s">
        <v>423</v>
      </c>
      <c r="F205">
        <v>0.05</v>
      </c>
      <c r="G205" s="22"/>
      <c r="H205" s="22"/>
      <c r="I205" s="22"/>
      <c r="J205" s="22"/>
      <c r="K205" s="22"/>
      <c r="L205" s="22"/>
    </row>
    <row r="206" spans="4:12" x14ac:dyDescent="0.25">
      <c r="D206" s="22" t="s">
        <v>389</v>
      </c>
      <c r="E206" t="s">
        <v>427</v>
      </c>
      <c r="F206">
        <v>7.0000000000000007E-2</v>
      </c>
      <c r="G206" s="22"/>
      <c r="H206" s="22"/>
      <c r="I206" s="22"/>
      <c r="J206" s="22"/>
      <c r="K206" s="22"/>
      <c r="L206" s="22"/>
    </row>
    <row r="207" spans="4:12" x14ac:dyDescent="0.25">
      <c r="D207" s="22" t="s">
        <v>389</v>
      </c>
      <c r="E207" t="s">
        <v>424</v>
      </c>
      <c r="F207">
        <v>0.04</v>
      </c>
      <c r="G207" s="22"/>
      <c r="H207" s="22"/>
      <c r="I207" s="22"/>
      <c r="J207" s="22"/>
      <c r="K207" s="22"/>
      <c r="L207" s="22"/>
    </row>
    <row r="208" spans="4:12" x14ac:dyDescent="0.25">
      <c r="D208" s="22" t="s">
        <v>389</v>
      </c>
      <c r="E208" t="s">
        <v>428</v>
      </c>
      <c r="F208">
        <v>0.09</v>
      </c>
      <c r="G208" s="22"/>
      <c r="H208" s="22"/>
      <c r="I208" s="22"/>
      <c r="J208" s="22"/>
      <c r="K208" s="22"/>
      <c r="L208" s="22"/>
    </row>
    <row r="209" spans="4:12" x14ac:dyDescent="0.25">
      <c r="D209" s="22" t="s">
        <v>389</v>
      </c>
      <c r="E209" t="s">
        <v>425</v>
      </c>
      <c r="F209">
        <v>0.11</v>
      </c>
      <c r="G209" s="22"/>
      <c r="H209" s="22"/>
      <c r="I209" s="22"/>
      <c r="J209" s="22"/>
      <c r="K209" s="22"/>
      <c r="L209" s="22"/>
    </row>
    <row r="210" spans="4:12" x14ac:dyDescent="0.25">
      <c r="D210" s="22" t="s">
        <v>389</v>
      </c>
      <c r="E210" t="s">
        <v>429</v>
      </c>
      <c r="F210">
        <v>0.16</v>
      </c>
      <c r="G210" s="22"/>
      <c r="H210" s="22"/>
      <c r="I210" s="22"/>
      <c r="J210" s="22"/>
      <c r="K210" s="22"/>
      <c r="L210" s="22"/>
    </row>
    <row r="211" spans="4:12" x14ac:dyDescent="0.25">
      <c r="D211" s="22" t="s">
        <v>389</v>
      </c>
      <c r="E211" t="s">
        <v>430</v>
      </c>
      <c r="F211">
        <v>0.01</v>
      </c>
      <c r="G211" s="22"/>
      <c r="H211" s="22"/>
      <c r="I211" s="22"/>
      <c r="J211" s="22"/>
      <c r="K211" s="22"/>
      <c r="L211" s="22"/>
    </row>
    <row r="212" spans="4:12" x14ac:dyDescent="0.25">
      <c r="D212" s="22" t="s">
        <v>389</v>
      </c>
      <c r="E212" t="s">
        <v>431</v>
      </c>
      <c r="F212">
        <v>0</v>
      </c>
      <c r="G212" s="22"/>
      <c r="H212" s="22"/>
      <c r="I212" s="22"/>
      <c r="J212" s="22"/>
      <c r="K212" s="22"/>
      <c r="L212" s="22"/>
    </row>
    <row r="213" spans="4:12" x14ac:dyDescent="0.25">
      <c r="D213" s="22" t="s">
        <v>393</v>
      </c>
      <c r="E213" t="s">
        <v>423</v>
      </c>
      <c r="F213">
        <v>0.05</v>
      </c>
      <c r="G213" s="22"/>
      <c r="H213" s="22"/>
      <c r="I213" s="22"/>
      <c r="J213" s="22"/>
      <c r="K213" s="22"/>
      <c r="L213" s="22"/>
    </row>
    <row r="214" spans="4:12" x14ac:dyDescent="0.25">
      <c r="D214" s="22" t="s">
        <v>393</v>
      </c>
      <c r="E214" t="s">
        <v>427</v>
      </c>
      <c r="F214">
        <v>7.0000000000000007E-2</v>
      </c>
      <c r="G214" s="22"/>
      <c r="H214" s="22"/>
      <c r="I214" s="22"/>
      <c r="J214" s="22"/>
    </row>
    <row r="215" spans="4:12" x14ac:dyDescent="0.25">
      <c r="D215" s="22" t="s">
        <v>393</v>
      </c>
      <c r="E215" t="s">
        <v>424</v>
      </c>
      <c r="F215">
        <v>0.04</v>
      </c>
      <c r="G215" s="22"/>
      <c r="H215" s="22"/>
      <c r="I215" s="22"/>
      <c r="J215" s="22"/>
    </row>
    <row r="216" spans="4:12" x14ac:dyDescent="0.25">
      <c r="D216" s="22" t="s">
        <v>393</v>
      </c>
      <c r="E216" t="s">
        <v>428</v>
      </c>
      <c r="F216">
        <v>0.09</v>
      </c>
      <c r="G216" s="22"/>
      <c r="H216" s="22"/>
      <c r="I216" s="22"/>
      <c r="J216" s="22"/>
    </row>
    <row r="217" spans="4:12" x14ac:dyDescent="0.25">
      <c r="D217" s="22" t="s">
        <v>393</v>
      </c>
      <c r="E217" t="s">
        <v>425</v>
      </c>
      <c r="F217">
        <v>0.11</v>
      </c>
      <c r="G217" s="22"/>
      <c r="H217" s="22"/>
      <c r="I217" s="22"/>
      <c r="J217" s="22"/>
    </row>
    <row r="218" spans="4:12" x14ac:dyDescent="0.25">
      <c r="D218" s="22" t="s">
        <v>393</v>
      </c>
      <c r="E218" t="s">
        <v>429</v>
      </c>
      <c r="F218">
        <v>0.16</v>
      </c>
      <c r="G218" s="22"/>
      <c r="H218" s="22"/>
      <c r="I218" s="22"/>
      <c r="J218" s="22"/>
    </row>
    <row r="219" spans="4:12" x14ac:dyDescent="0.25">
      <c r="D219" s="22" t="s">
        <v>393</v>
      </c>
      <c r="E219" t="s">
        <v>430</v>
      </c>
      <c r="F219">
        <v>0.01</v>
      </c>
      <c r="G219" s="22"/>
      <c r="H219" s="22"/>
      <c r="I219" s="22"/>
      <c r="J219" s="22"/>
    </row>
    <row r="220" spans="4:12" x14ac:dyDescent="0.25">
      <c r="D220" s="22" t="s">
        <v>393</v>
      </c>
      <c r="E220" t="s">
        <v>431</v>
      </c>
      <c r="F220">
        <v>0</v>
      </c>
      <c r="G220" s="22"/>
      <c r="H220" s="22"/>
      <c r="I220" s="22"/>
      <c r="J220" s="22"/>
    </row>
    <row r="221" spans="4:12" x14ac:dyDescent="0.25">
      <c r="D221" s="22" t="s">
        <v>395</v>
      </c>
      <c r="E221" t="s">
        <v>423</v>
      </c>
      <c r="F221">
        <v>0.05</v>
      </c>
      <c r="G221" s="22"/>
      <c r="H221" s="22"/>
      <c r="I221" s="22"/>
      <c r="J221" s="22"/>
    </row>
    <row r="222" spans="4:12" x14ac:dyDescent="0.25">
      <c r="D222" s="22" t="s">
        <v>395</v>
      </c>
      <c r="E222" t="s">
        <v>427</v>
      </c>
      <c r="F222">
        <v>7.0000000000000007E-2</v>
      </c>
      <c r="G222" s="22"/>
      <c r="H222" s="22"/>
      <c r="I222" s="22"/>
      <c r="J222" s="22"/>
    </row>
    <row r="223" spans="4:12" x14ac:dyDescent="0.25">
      <c r="D223" s="22" t="s">
        <v>395</v>
      </c>
      <c r="E223" t="s">
        <v>424</v>
      </c>
      <c r="F223">
        <v>0.04</v>
      </c>
      <c r="G223" s="22"/>
      <c r="H223" s="22"/>
      <c r="I223" s="22"/>
      <c r="J223" s="22"/>
    </row>
    <row r="224" spans="4:12" x14ac:dyDescent="0.25">
      <c r="D224" s="22" t="s">
        <v>395</v>
      </c>
      <c r="E224" t="s">
        <v>428</v>
      </c>
      <c r="F224">
        <v>0.09</v>
      </c>
      <c r="G224" s="22"/>
      <c r="H224" s="22"/>
      <c r="I224" s="22"/>
      <c r="J224" s="22"/>
    </row>
    <row r="225" spans="4:10" x14ac:dyDescent="0.25">
      <c r="D225" s="22" t="s">
        <v>395</v>
      </c>
      <c r="E225" t="s">
        <v>425</v>
      </c>
      <c r="F225">
        <v>0.11</v>
      </c>
      <c r="G225" s="22"/>
      <c r="H225" s="22"/>
      <c r="I225" s="22"/>
      <c r="J225" s="22"/>
    </row>
    <row r="226" spans="4:10" x14ac:dyDescent="0.25">
      <c r="D226" s="22" t="s">
        <v>395</v>
      </c>
      <c r="E226" t="s">
        <v>429</v>
      </c>
      <c r="F226">
        <v>0.16</v>
      </c>
      <c r="G226" s="22"/>
      <c r="H226" s="22"/>
      <c r="I226" s="22"/>
      <c r="J226" s="22"/>
    </row>
    <row r="227" spans="4:10" x14ac:dyDescent="0.25">
      <c r="D227" s="22" t="s">
        <v>395</v>
      </c>
      <c r="E227" t="s">
        <v>430</v>
      </c>
      <c r="F227">
        <v>0.01</v>
      </c>
      <c r="G227" s="22"/>
      <c r="H227" s="22"/>
      <c r="I227" s="22"/>
      <c r="J227" s="22"/>
    </row>
    <row r="228" spans="4:10" x14ac:dyDescent="0.25">
      <c r="D228" s="22" t="s">
        <v>395</v>
      </c>
      <c r="E228" t="s">
        <v>431</v>
      </c>
      <c r="F228">
        <v>0</v>
      </c>
      <c r="G228" s="22"/>
      <c r="H228" s="22"/>
    </row>
    <row r="229" spans="4:10" x14ac:dyDescent="0.25">
      <c r="D229" s="22" t="s">
        <v>396</v>
      </c>
      <c r="E229" t="s">
        <v>423</v>
      </c>
      <c r="F229">
        <v>0.05</v>
      </c>
      <c r="G229" s="22"/>
    </row>
    <row r="230" spans="4:10" x14ac:dyDescent="0.25">
      <c r="D230" s="22" t="s">
        <v>396</v>
      </c>
      <c r="E230" t="s">
        <v>427</v>
      </c>
      <c r="F230">
        <v>7.0000000000000007E-2</v>
      </c>
      <c r="G230" s="22"/>
    </row>
    <row r="231" spans="4:10" x14ac:dyDescent="0.25">
      <c r="D231" s="22" t="s">
        <v>396</v>
      </c>
      <c r="E231" t="s">
        <v>424</v>
      </c>
      <c r="F231">
        <v>0.04</v>
      </c>
      <c r="G231" s="22"/>
    </row>
    <row r="232" spans="4:10" x14ac:dyDescent="0.25">
      <c r="D232" s="22" t="s">
        <v>396</v>
      </c>
      <c r="E232" t="s">
        <v>428</v>
      </c>
      <c r="F232">
        <v>0.09</v>
      </c>
      <c r="G232" s="22"/>
    </row>
    <row r="233" spans="4:10" x14ac:dyDescent="0.25">
      <c r="D233" s="22" t="s">
        <v>396</v>
      </c>
      <c r="E233" t="s">
        <v>425</v>
      </c>
      <c r="F233">
        <v>0.11</v>
      </c>
      <c r="G233" s="22"/>
    </row>
    <row r="234" spans="4:10" x14ac:dyDescent="0.25">
      <c r="D234" s="22" t="s">
        <v>396</v>
      </c>
      <c r="E234" t="s">
        <v>429</v>
      </c>
      <c r="F234">
        <v>0.16</v>
      </c>
      <c r="G234" s="22"/>
    </row>
    <row r="235" spans="4:10" x14ac:dyDescent="0.25">
      <c r="D235" s="22" t="s">
        <v>396</v>
      </c>
      <c r="E235" t="s">
        <v>430</v>
      </c>
      <c r="F235">
        <v>0.01</v>
      </c>
      <c r="G235" s="22"/>
    </row>
  </sheetData>
  <phoneticPr fontId="23" type="noConversion"/>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C3B84-7EA6-4A99-AEF7-7326AE57C45D}">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69</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
        <v>433</v>
      </c>
      <c r="BM5" s="3"/>
    </row>
    <row r="6" spans="1:65" ht="20.100000000000001" customHeight="1" x14ac:dyDescent="0.25">
      <c r="A6"/>
      <c r="D6" s="37" t="s">
        <v>17</v>
      </c>
      <c r="E6" s="37" t="s">
        <v>18</v>
      </c>
      <c r="F6" s="37" t="s">
        <v>19</v>
      </c>
    </row>
    <row r="7" spans="1:65" ht="20.100000000000001" customHeight="1" x14ac:dyDescent="0.25">
      <c r="A7"/>
      <c r="D7" s="37" t="s">
        <v>434</v>
      </c>
      <c r="E7" s="37" t="s">
        <v>434</v>
      </c>
      <c r="F7" s="37" t="s">
        <v>423</v>
      </c>
    </row>
    <row r="8" spans="1:65" ht="20.100000000000001" customHeight="1" x14ac:dyDescent="0.25">
      <c r="A8"/>
      <c r="D8" s="37" t="s">
        <v>435</v>
      </c>
      <c r="E8" s="37" t="s">
        <v>431</v>
      </c>
      <c r="F8" s="37" t="s">
        <v>431</v>
      </c>
    </row>
    <row r="9" spans="1:65" ht="20.100000000000001" customHeight="1" x14ac:dyDescent="0.25">
      <c r="A9"/>
      <c r="D9" s="37" t="s">
        <v>436</v>
      </c>
      <c r="E9" s="37" t="s">
        <v>436</v>
      </c>
      <c r="F9" s="37" t="s">
        <v>427</v>
      </c>
    </row>
    <row r="10" spans="1:65" ht="20.100000000000001" customHeight="1" x14ac:dyDescent="0.25">
      <c r="A10"/>
      <c r="D10" s="37" t="s">
        <v>437</v>
      </c>
      <c r="E10" s="37" t="s">
        <v>437</v>
      </c>
      <c r="F10" s="37" t="s">
        <v>424</v>
      </c>
    </row>
    <row r="11" spans="1:65" ht="20.100000000000001" customHeight="1" x14ac:dyDescent="0.25">
      <c r="A11"/>
      <c r="D11" s="37" t="s">
        <v>438</v>
      </c>
      <c r="E11" s="37" t="s">
        <v>438</v>
      </c>
      <c r="F11" s="37" t="s">
        <v>428</v>
      </c>
      <c r="BM11" s="3"/>
    </row>
    <row r="12" spans="1:65" ht="20.100000000000001" customHeight="1" x14ac:dyDescent="0.25">
      <c r="A12"/>
      <c r="D12" s="37" t="s">
        <v>98</v>
      </c>
      <c r="E12" s="37" t="s">
        <v>98</v>
      </c>
      <c r="F12" s="37" t="s">
        <v>425</v>
      </c>
      <c r="BM12" s="3"/>
    </row>
    <row r="13" spans="1:65" ht="20.100000000000001" customHeight="1" x14ac:dyDescent="0.25">
      <c r="A13"/>
      <c r="D13" s="37" t="s">
        <v>439</v>
      </c>
      <c r="E13" s="37" t="s">
        <v>439</v>
      </c>
      <c r="F13" s="37" t="s">
        <v>429</v>
      </c>
    </row>
    <row r="14" spans="1:65" ht="20.100000000000001" customHeight="1" x14ac:dyDescent="0.25">
      <c r="A14"/>
      <c r="D14" s="37" t="s">
        <v>440</v>
      </c>
      <c r="E14" s="37" t="s">
        <v>440</v>
      </c>
      <c r="F14" s="37" t="s">
        <v>430</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
        <v>441</v>
      </c>
    </row>
    <row r="19" spans="1:4" ht="20.100000000000001" customHeight="1" x14ac:dyDescent="0.25">
      <c r="A19"/>
      <c r="D19" s="5" t="s">
        <v>442</v>
      </c>
    </row>
    <row r="20" spans="1:4" ht="20.100000000000001" customHeight="1" x14ac:dyDescent="0.25">
      <c r="A20"/>
      <c r="D20" s="37" t="s">
        <v>20</v>
      </c>
    </row>
    <row r="21" spans="1:4" ht="20.100000000000001" customHeight="1" x14ac:dyDescent="0.25">
      <c r="A21"/>
      <c r="D21" s="37" t="s">
        <v>443</v>
      </c>
    </row>
    <row r="22" spans="1:4" ht="20.100000000000001" customHeight="1" x14ac:dyDescent="0.25">
      <c r="A22"/>
      <c r="D22" s="37" t="s">
        <v>444</v>
      </c>
    </row>
    <row r="23" spans="1:4" ht="20.100000000000001" customHeight="1" x14ac:dyDescent="0.25">
      <c r="A23"/>
      <c r="D23" s="37" t="s">
        <v>445</v>
      </c>
    </row>
    <row r="24" spans="1:4" ht="20.100000000000001" customHeight="1" x14ac:dyDescent="0.25">
      <c r="A24"/>
      <c r="D24" s="37" t="s">
        <v>446</v>
      </c>
    </row>
    <row r="25" spans="1:4" ht="20.100000000000001" customHeight="1" x14ac:dyDescent="0.25">
      <c r="A25"/>
      <c r="D25" s="37" t="s">
        <v>447</v>
      </c>
    </row>
    <row r="26" spans="1:4" ht="20.100000000000001" customHeight="1" x14ac:dyDescent="0.25">
      <c r="A26"/>
      <c r="D26" s="37" t="s">
        <v>448</v>
      </c>
    </row>
    <row r="27" spans="1:4" ht="20.100000000000001" customHeight="1" x14ac:dyDescent="0.25">
      <c r="A27"/>
      <c r="D27" s="37" t="s">
        <v>449</v>
      </c>
    </row>
    <row r="28" spans="1:4" ht="20.100000000000001" customHeight="1" x14ac:dyDescent="0.25">
      <c r="A28"/>
      <c r="D28" s="37" t="s">
        <v>450</v>
      </c>
    </row>
    <row r="29" spans="1:4" ht="20.100000000000001" customHeight="1" x14ac:dyDescent="0.25">
      <c r="A29"/>
      <c r="D29" s="37" t="s">
        <v>451</v>
      </c>
    </row>
    <row r="30" spans="1:4" ht="20.100000000000001" customHeight="1" x14ac:dyDescent="0.25">
      <c r="A30"/>
      <c r="D30" s="37" t="s">
        <v>29</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
        <v>452</v>
      </c>
    </row>
    <row r="35" spans="1:8" ht="20.100000000000001" customHeight="1" x14ac:dyDescent="0.25">
      <c r="A35"/>
      <c r="D35" s="5" t="s">
        <v>453</v>
      </c>
    </row>
    <row r="36" spans="1:8" ht="20.100000000000001" customHeight="1" x14ac:dyDescent="0.25">
      <c r="A36"/>
      <c r="D36" s="37" t="s">
        <v>22</v>
      </c>
      <c r="E36" s="37" t="s">
        <v>23</v>
      </c>
    </row>
    <row r="37" spans="1:8" ht="20.100000000000001" customHeight="1" x14ac:dyDescent="0.25">
      <c r="A37"/>
      <c r="D37" s="37" t="s">
        <v>454</v>
      </c>
      <c r="E37" s="37">
        <v>1</v>
      </c>
    </row>
    <row r="38" spans="1:8" ht="20.100000000000001" customHeight="1" x14ac:dyDescent="0.25">
      <c r="A38"/>
      <c r="D38" s="37" t="s">
        <v>409</v>
      </c>
      <c r="E38" s="37">
        <v>28</v>
      </c>
    </row>
    <row r="39" spans="1:8" ht="20.100000000000001" customHeight="1" x14ac:dyDescent="0.25">
      <c r="A39"/>
      <c r="D39" s="37" t="s">
        <v>411</v>
      </c>
      <c r="E39" s="37">
        <v>265</v>
      </c>
    </row>
    <row r="40" spans="1:8" ht="20.100000000000001" customHeight="1" x14ac:dyDescent="0.25">
      <c r="A40"/>
      <c r="D40" s="37" t="s">
        <v>455</v>
      </c>
      <c r="E40" s="37">
        <v>6630</v>
      </c>
    </row>
    <row r="41" spans="1:8" ht="20.100000000000001" customHeight="1" x14ac:dyDescent="0.25">
      <c r="A41"/>
      <c r="D41" s="37" t="s">
        <v>456</v>
      </c>
      <c r="E41" s="37">
        <v>12200</v>
      </c>
    </row>
    <row r="42" spans="1:8" ht="20.100000000000001" customHeight="1" x14ac:dyDescent="0.25">
      <c r="D42" s="37" t="s">
        <v>457</v>
      </c>
      <c r="E42" s="37">
        <v>22800</v>
      </c>
    </row>
    <row r="43" spans="1:8" ht="20.100000000000001" customHeight="1" x14ac:dyDescent="0.25">
      <c r="D43" s="37" t="s">
        <v>458</v>
      </c>
      <c r="E43" s="37">
        <v>17200</v>
      </c>
    </row>
    <row r="44" spans="1:8" ht="20.100000000000001" customHeight="1" x14ac:dyDescent="0.25"/>
    <row r="45" spans="1:8" ht="20.100000000000001" customHeight="1" x14ac:dyDescent="0.25">
      <c r="D45" s="6" t="s">
        <v>459</v>
      </c>
    </row>
    <row r="46" spans="1:8" ht="20.100000000000001" customHeight="1" x14ac:dyDescent="0.25">
      <c r="D46" s="5" t="s">
        <v>453</v>
      </c>
    </row>
    <row r="47" spans="1:8" ht="20.100000000000001" customHeight="1" x14ac:dyDescent="0.25">
      <c r="D47" s="37" t="s">
        <v>22</v>
      </c>
      <c r="E47" s="37" t="s">
        <v>25</v>
      </c>
      <c r="F47" s="37" t="s">
        <v>26</v>
      </c>
      <c r="G47" s="37" t="s">
        <v>27</v>
      </c>
      <c r="H47" s="37" t="s">
        <v>28</v>
      </c>
    </row>
    <row r="48" spans="1:8" ht="20.100000000000001" customHeight="1" x14ac:dyDescent="0.25">
      <c r="D48" s="37" t="s">
        <v>454</v>
      </c>
      <c r="E48" s="37" t="s">
        <v>460</v>
      </c>
      <c r="F48" s="37">
        <v>44</v>
      </c>
      <c r="G48" s="37">
        <v>12</v>
      </c>
      <c r="H48" s="37">
        <f>Table_GasToMolecularConversionFactor[[#This Row],[Conversion factor 1]]/Table_GasToMolecularConversionFactor[[#This Row],[Conversion factor 2]]</f>
        <v>3.6666666666666665</v>
      </c>
    </row>
    <row r="49" spans="4:8" ht="20.100000000000001" customHeight="1" x14ac:dyDescent="0.25">
      <c r="D49" s="37" t="s">
        <v>409</v>
      </c>
      <c r="E49" s="37" t="s">
        <v>410</v>
      </c>
      <c r="F49" s="37">
        <v>16</v>
      </c>
      <c r="G49" s="37">
        <v>12</v>
      </c>
      <c r="H49" s="37">
        <f>Table_GasToMolecularConversionFactor[[#This Row],[Conversion factor 1]]/Table_GasToMolecularConversionFactor[[#This Row],[Conversion factor 2]]</f>
        <v>1.3333333333333333</v>
      </c>
    </row>
    <row r="50" spans="4:8" ht="20.100000000000001" customHeight="1" x14ac:dyDescent="0.25">
      <c r="D50" s="37" t="s">
        <v>411</v>
      </c>
      <c r="E50" s="37" t="s">
        <v>412</v>
      </c>
      <c r="F50" s="37">
        <v>44</v>
      </c>
      <c r="G50" s="37">
        <v>28</v>
      </c>
      <c r="H50" s="37">
        <f>Table_GasToMolecularConversionFactor[[#This Row],[Conversion factor 1]]/Table_GasToMolecularConversionFactor[[#This Row],[Conversion factor 2]]</f>
        <v>1.5714285714285714</v>
      </c>
    </row>
    <row r="51" spans="4:8" ht="20.100000000000001" customHeight="1" x14ac:dyDescent="0.25">
      <c r="D51" s="37" t="s">
        <v>461</v>
      </c>
      <c r="E51" s="37" t="s">
        <v>414</v>
      </c>
      <c r="F51" s="37">
        <v>46</v>
      </c>
      <c r="G51" s="37">
        <v>14</v>
      </c>
      <c r="H51" s="37">
        <f>Table_GasToMolecularConversionFactor[[#This Row],[Conversion factor 1]]/Table_GasToMolecularConversionFactor[[#This Row],[Conversion factor 2]]</f>
        <v>3.2857142857142856</v>
      </c>
    </row>
    <row r="52" spans="4:8" ht="20.100000000000001" customHeight="1" x14ac:dyDescent="0.25">
      <c r="D52" s="37" t="s">
        <v>415</v>
      </c>
      <c r="E52" s="37" t="s">
        <v>416</v>
      </c>
      <c r="F52" s="37">
        <v>28</v>
      </c>
      <c r="G52" s="37">
        <v>12</v>
      </c>
      <c r="H52" s="37">
        <f>Table_GasToMolecularConversionFactor[[#This Row],[Conversion factor 1]]/Table_GasToMolecularConversionFactor[[#This Row],[Conversion factor 2]]</f>
        <v>2.3333333333333335</v>
      </c>
    </row>
    <row r="53" spans="4:8" ht="20.100000000000001" customHeight="1" x14ac:dyDescent="0.25">
      <c r="D53" s="37" t="s">
        <v>462</v>
      </c>
      <c r="E53" s="37" t="s">
        <v>460</v>
      </c>
      <c r="F53" s="37">
        <v>44</v>
      </c>
      <c r="G53" s="37">
        <v>12</v>
      </c>
      <c r="H53" s="37">
        <f>Table_GasToMolecularConversionFactor[[#This Row],[Conversion factor 1]]/Table_GasToMolecularConversionFactor[[#This Row],[Conversion factor 2]]</f>
        <v>3.6666666666666665</v>
      </c>
    </row>
    <row r="54" spans="4:8" ht="20.100000000000001" customHeight="1" x14ac:dyDescent="0.25">
      <c r="D54" s="37" t="s">
        <v>417</v>
      </c>
      <c r="E54" s="37" t="s">
        <v>418</v>
      </c>
      <c r="F54" s="37">
        <v>14</v>
      </c>
      <c r="G54" s="37">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
        <v>463</v>
      </c>
    </row>
    <row r="58" spans="4:8" ht="20.100000000000001" customHeight="1" x14ac:dyDescent="0.25">
      <c r="D58" s="5" t="s">
        <v>464</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43</v>
      </c>
    </row>
    <row r="64" spans="4:8" ht="20.100000000000001" customHeight="1" x14ac:dyDescent="0.25">
      <c r="D64" s="37" t="s">
        <v>465</v>
      </c>
      <c r="E64" s="37" t="s">
        <v>399</v>
      </c>
    </row>
    <row r="65" spans="4:5" ht="20.100000000000001" customHeight="1" x14ac:dyDescent="0.25">
      <c r="D65" s="37" t="s">
        <v>466</v>
      </c>
      <c r="E65" s="37" t="s">
        <v>399</v>
      </c>
    </row>
    <row r="66" spans="4:5" ht="20.100000000000001" customHeight="1" x14ac:dyDescent="0.25">
      <c r="D66" s="37" t="s">
        <v>467</v>
      </c>
      <c r="E66" s="37" t="s">
        <v>399</v>
      </c>
    </row>
    <row r="67" spans="4:5" ht="20.100000000000001" customHeight="1" x14ac:dyDescent="0.25">
      <c r="D67" s="37" t="s">
        <v>468</v>
      </c>
      <c r="E67" s="37" t="s">
        <v>400</v>
      </c>
    </row>
    <row r="68" spans="4:5" ht="20.100000000000001" customHeight="1" x14ac:dyDescent="0.25">
      <c r="D68" s="37" t="s">
        <v>469</v>
      </c>
      <c r="E68" s="37" t="s">
        <v>399</v>
      </c>
    </row>
    <row r="69" spans="4:5" ht="20.100000000000001" customHeight="1" x14ac:dyDescent="0.25">
      <c r="D69" s="37" t="s">
        <v>470</v>
      </c>
      <c r="E69" s="37" t="s">
        <v>400</v>
      </c>
    </row>
    <row r="70" spans="4:5" ht="20.100000000000001" customHeight="1" x14ac:dyDescent="0.25">
      <c r="D70" s="37" t="s">
        <v>471</v>
      </c>
      <c r="E70" s="37" t="s">
        <v>399</v>
      </c>
    </row>
    <row r="71" spans="4:5" ht="20.100000000000001" customHeight="1" x14ac:dyDescent="0.25">
      <c r="D71" s="37" t="s">
        <v>472</v>
      </c>
      <c r="E71" s="37" t="s">
        <v>400</v>
      </c>
    </row>
    <row r="72" spans="4:5" ht="20.100000000000001" customHeight="1" x14ac:dyDescent="0.25">
      <c r="D72" s="37" t="s">
        <v>473</v>
      </c>
      <c r="E72" s="37" t="s">
        <v>399</v>
      </c>
    </row>
    <row r="73" spans="4:5" ht="20.100000000000001" customHeight="1" x14ac:dyDescent="0.25">
      <c r="D73" s="37" t="s">
        <v>474</v>
      </c>
      <c r="E73" s="37" t="s">
        <v>400</v>
      </c>
    </row>
    <row r="74" spans="4:5" ht="20.100000000000001" customHeight="1" x14ac:dyDescent="0.25">
      <c r="D74" s="37" t="s">
        <v>475</v>
      </c>
      <c r="E74" s="37" t="s">
        <v>399</v>
      </c>
    </row>
    <row r="75" spans="4:5" ht="20.100000000000001" customHeight="1" x14ac:dyDescent="0.25">
      <c r="D75" s="37" t="s">
        <v>476</v>
      </c>
      <c r="E75" s="37" t="s">
        <v>400</v>
      </c>
    </row>
    <row r="76" spans="4:5" ht="20.100000000000001" customHeight="1" x14ac:dyDescent="0.25">
      <c r="D76" s="37" t="s">
        <v>477</v>
      </c>
      <c r="E76" s="37" t="s">
        <v>399</v>
      </c>
    </row>
    <row r="77" spans="4:5" ht="20.100000000000001" customHeight="1" x14ac:dyDescent="0.25">
      <c r="D77" s="37" t="s">
        <v>478</v>
      </c>
      <c r="E77" s="37" t="s">
        <v>400</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
        <v>479</v>
      </c>
    </row>
    <row r="82" spans="4:20" ht="20.100000000000001" customHeight="1" x14ac:dyDescent="0.25">
      <c r="D82" s="5" t="s">
        <v>480</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31</v>
      </c>
      <c r="F89" s="37" t="s">
        <v>32</v>
      </c>
      <c r="G89" s="37" t="s">
        <v>33</v>
      </c>
      <c r="H89" s="37" t="s">
        <v>34</v>
      </c>
      <c r="I89" s="37" t="s">
        <v>35</v>
      </c>
      <c r="J89" s="37" t="s">
        <v>36</v>
      </c>
      <c r="K89" s="37" t="s">
        <v>37</v>
      </c>
      <c r="L89" s="37" t="s">
        <v>38</v>
      </c>
      <c r="M89" s="37" t="s">
        <v>39</v>
      </c>
      <c r="N89" s="37" t="s">
        <v>40</v>
      </c>
      <c r="O89" s="37" t="s">
        <v>44</v>
      </c>
      <c r="P89" s="37" t="s">
        <v>41</v>
      </c>
      <c r="Q89" s="37" t="s">
        <v>45</v>
      </c>
      <c r="R89" s="37" t="s">
        <v>42</v>
      </c>
      <c r="S89" s="37" t="s">
        <v>46</v>
      </c>
      <c r="T89" s="37"/>
    </row>
    <row r="90" spans="4:20" ht="20.100000000000001" customHeight="1" x14ac:dyDescent="0.25">
      <c r="D90" s="37" t="s">
        <v>465</v>
      </c>
      <c r="E90" s="37" t="s">
        <v>481</v>
      </c>
      <c r="F90" s="37" t="s">
        <v>482</v>
      </c>
      <c r="G90" s="37" t="s">
        <v>483</v>
      </c>
      <c r="H90" s="37" t="s">
        <v>484</v>
      </c>
      <c r="I90" s="37" t="s">
        <v>482</v>
      </c>
      <c r="J90" s="37">
        <v>18.001000000000001</v>
      </c>
      <c r="K90" s="37">
        <v>999999</v>
      </c>
      <c r="L90" s="37">
        <v>-999999</v>
      </c>
      <c r="M90" s="37">
        <v>999999</v>
      </c>
      <c r="N90" s="37">
        <v>-999999</v>
      </c>
      <c r="O90" s="37">
        <v>7</v>
      </c>
      <c r="P90" s="37">
        <v>1000</v>
      </c>
      <c r="Q90" s="37">
        <v>999999</v>
      </c>
      <c r="R90" s="37">
        <v>-999999</v>
      </c>
      <c r="S90" s="37">
        <v>999999</v>
      </c>
      <c r="T90" s="37"/>
    </row>
    <row r="91" spans="4:20" ht="20.100000000000001" customHeight="1" x14ac:dyDescent="0.25">
      <c r="D91" s="37" t="s">
        <v>466</v>
      </c>
      <c r="E91" s="37" t="s">
        <v>481</v>
      </c>
      <c r="F91" s="37" t="s">
        <v>485</v>
      </c>
      <c r="G91" s="37" t="s">
        <v>483</v>
      </c>
      <c r="H91" s="37" t="s">
        <v>486</v>
      </c>
      <c r="I91" s="37" t="s">
        <v>482</v>
      </c>
      <c r="J91" s="37">
        <v>18.001000000000001</v>
      </c>
      <c r="K91" s="37">
        <v>999999</v>
      </c>
      <c r="L91" s="37">
        <v>2000.001</v>
      </c>
      <c r="M91" s="37">
        <v>999999</v>
      </c>
      <c r="N91" s="37">
        <v>-999999</v>
      </c>
      <c r="O91" s="37">
        <v>7</v>
      </c>
      <c r="P91" s="37">
        <v>-999999</v>
      </c>
      <c r="Q91" s="37">
        <v>999.99900000000002</v>
      </c>
      <c r="R91" s="37">
        <v>-999999</v>
      </c>
      <c r="S91" s="37">
        <v>999999</v>
      </c>
      <c r="T91" s="37"/>
    </row>
    <row r="92" spans="4:20" ht="20.100000000000001" customHeight="1" x14ac:dyDescent="0.25">
      <c r="D92" s="37" t="s">
        <v>467</v>
      </c>
      <c r="E92" s="37" t="s">
        <v>481</v>
      </c>
      <c r="F92" s="37" t="s">
        <v>487</v>
      </c>
      <c r="G92" s="37" t="s">
        <v>483</v>
      </c>
      <c r="H92" s="37" t="s">
        <v>486</v>
      </c>
      <c r="I92" s="37" t="s">
        <v>482</v>
      </c>
      <c r="J92" s="37">
        <v>18.001000000000001</v>
      </c>
      <c r="K92" s="37">
        <v>999999</v>
      </c>
      <c r="L92" s="37">
        <v>1000.001</v>
      </c>
      <c r="M92" s="37">
        <v>2000</v>
      </c>
      <c r="N92" s="37">
        <v>-999999</v>
      </c>
      <c r="O92" s="37">
        <v>7</v>
      </c>
      <c r="P92" s="37">
        <v>-999999</v>
      </c>
      <c r="Q92" s="37">
        <v>999.99900000000002</v>
      </c>
      <c r="R92" s="37">
        <v>-999999</v>
      </c>
      <c r="S92" s="37">
        <v>999999</v>
      </c>
      <c r="T92" s="37"/>
    </row>
    <row r="93" spans="4:20" ht="20.100000000000001" customHeight="1" x14ac:dyDescent="0.25">
      <c r="D93" s="37" t="s">
        <v>468</v>
      </c>
      <c r="E93" s="37" t="s">
        <v>481</v>
      </c>
      <c r="F93" s="37" t="s">
        <v>488</v>
      </c>
      <c r="G93" s="37" t="s">
        <v>483</v>
      </c>
      <c r="H93" s="37" t="s">
        <v>486</v>
      </c>
      <c r="I93" s="37" t="s">
        <v>482</v>
      </c>
      <c r="J93" s="37">
        <v>18.001000000000001</v>
      </c>
      <c r="K93" s="37">
        <v>999999</v>
      </c>
      <c r="L93" s="37">
        <v>-999999</v>
      </c>
      <c r="M93" s="37">
        <v>1000</v>
      </c>
      <c r="N93" s="37">
        <v>-999999</v>
      </c>
      <c r="O93" s="37">
        <v>7</v>
      </c>
      <c r="P93" s="37">
        <v>-999999</v>
      </c>
      <c r="Q93" s="37">
        <v>999.99900000000002</v>
      </c>
      <c r="R93" s="37">
        <v>-999999</v>
      </c>
      <c r="S93" s="37">
        <v>999999</v>
      </c>
      <c r="T93" s="37"/>
    </row>
    <row r="94" spans="4:20" ht="20.100000000000001" customHeight="1" x14ac:dyDescent="0.25">
      <c r="D94" s="37" t="s">
        <v>469</v>
      </c>
      <c r="E94" s="37" t="s">
        <v>489</v>
      </c>
      <c r="F94" s="37" t="s">
        <v>482</v>
      </c>
      <c r="G94" s="37" t="s">
        <v>482</v>
      </c>
      <c r="H94" s="37" t="s">
        <v>482</v>
      </c>
      <c r="I94" s="37" t="s">
        <v>490</v>
      </c>
      <c r="J94" s="37">
        <v>10.000999999999999</v>
      </c>
      <c r="K94" s="37">
        <v>999999</v>
      </c>
      <c r="L94" s="37">
        <v>-999999</v>
      </c>
      <c r="M94" s="37">
        <v>999999</v>
      </c>
      <c r="N94" s="37">
        <v>-999999</v>
      </c>
      <c r="O94" s="37">
        <v>999999</v>
      </c>
      <c r="P94" s="37">
        <v>-999999</v>
      </c>
      <c r="Q94" s="37">
        <v>999999</v>
      </c>
      <c r="R94" s="37">
        <v>1.0009999999999999</v>
      </c>
      <c r="S94" s="37">
        <v>999999</v>
      </c>
      <c r="T94" s="37"/>
    </row>
    <row r="95" spans="4:20" ht="20.100000000000001" customHeight="1" x14ac:dyDescent="0.25">
      <c r="D95" s="37" t="s">
        <v>470</v>
      </c>
      <c r="E95" s="37" t="s">
        <v>489</v>
      </c>
      <c r="F95" s="37" t="s">
        <v>482</v>
      </c>
      <c r="G95" s="37" t="s">
        <v>482</v>
      </c>
      <c r="H95" s="37" t="s">
        <v>482</v>
      </c>
      <c r="I95" s="37" t="s">
        <v>491</v>
      </c>
      <c r="J95" s="37">
        <v>10.000999999999999</v>
      </c>
      <c r="K95" s="37">
        <v>999999</v>
      </c>
      <c r="L95" s="37">
        <v>-999999</v>
      </c>
      <c r="M95" s="37">
        <v>999999</v>
      </c>
      <c r="N95" s="37">
        <v>-999999</v>
      </c>
      <c r="O95" s="37">
        <v>999999</v>
      </c>
      <c r="P95" s="37">
        <v>-999999</v>
      </c>
      <c r="Q95" s="37">
        <v>999999</v>
      </c>
      <c r="R95" s="37">
        <v>-999999</v>
      </c>
      <c r="S95" s="37">
        <v>1</v>
      </c>
      <c r="T95" s="37"/>
    </row>
    <row r="96" spans="4:20" ht="20.100000000000001" customHeight="1" x14ac:dyDescent="0.25">
      <c r="D96" s="37" t="s">
        <v>471</v>
      </c>
      <c r="E96" s="37" t="s">
        <v>492</v>
      </c>
      <c r="F96" s="37" t="s">
        <v>482</v>
      </c>
      <c r="G96" s="37" t="s">
        <v>482</v>
      </c>
      <c r="H96" s="37" t="s">
        <v>482</v>
      </c>
      <c r="I96" s="37" t="s">
        <v>490</v>
      </c>
      <c r="J96" s="37">
        <v>-999999</v>
      </c>
      <c r="K96" s="37">
        <v>10</v>
      </c>
      <c r="L96" s="37">
        <v>-999999</v>
      </c>
      <c r="M96" s="37">
        <v>999999</v>
      </c>
      <c r="N96" s="37">
        <v>-999999</v>
      </c>
      <c r="O96" s="37">
        <v>999999</v>
      </c>
      <c r="P96" s="37">
        <v>-999999</v>
      </c>
      <c r="Q96" s="37">
        <v>999999</v>
      </c>
      <c r="R96" s="37">
        <v>1.0009999999999999</v>
      </c>
      <c r="S96" s="37">
        <v>999999</v>
      </c>
      <c r="T96" s="37"/>
    </row>
    <row r="97" spans="4:20" ht="20.100000000000001" customHeight="1" x14ac:dyDescent="0.25">
      <c r="D97" s="37" t="s">
        <v>472</v>
      </c>
      <c r="E97" s="37" t="s">
        <v>492</v>
      </c>
      <c r="F97" s="37" t="s">
        <v>482</v>
      </c>
      <c r="G97" s="37" t="s">
        <v>482</v>
      </c>
      <c r="H97" s="37" t="s">
        <v>482</v>
      </c>
      <c r="I97" s="37" t="s">
        <v>491</v>
      </c>
      <c r="J97" s="37">
        <v>-999999</v>
      </c>
      <c r="K97" s="37">
        <v>10</v>
      </c>
      <c r="L97" s="37">
        <v>-999999</v>
      </c>
      <c r="M97" s="37">
        <v>999999</v>
      </c>
      <c r="N97" s="37">
        <v>-999999</v>
      </c>
      <c r="O97" s="37">
        <v>999999</v>
      </c>
      <c r="P97" s="37">
        <v>-999999</v>
      </c>
      <c r="Q97" s="37">
        <v>999999</v>
      </c>
      <c r="R97" s="37">
        <v>-999999</v>
      </c>
      <c r="S97" s="37">
        <v>1</v>
      </c>
      <c r="T97" s="37"/>
    </row>
    <row r="98" spans="4:20" ht="20.100000000000001" customHeight="1" x14ac:dyDescent="0.25"/>
    <row r="99" spans="4:20" ht="20.100000000000001" customHeight="1" x14ac:dyDescent="0.25">
      <c r="D99" s="52" t="s">
        <v>493</v>
      </c>
    </row>
    <row r="100" spans="4:20" ht="20.100000000000001" customHeight="1" x14ac:dyDescent="0.25">
      <c r="D100" s="52" t="s">
        <v>494</v>
      </c>
    </row>
    <row r="101" spans="4:20" ht="20.100000000000001" customHeight="1" x14ac:dyDescent="0.25">
      <c r="D101" s="52" t="s">
        <v>495</v>
      </c>
    </row>
    <row r="102" spans="4:20" ht="20.100000000000001" customHeight="1" x14ac:dyDescent="0.25">
      <c r="D102" s="52" t="s">
        <v>496</v>
      </c>
    </row>
    <row r="103" spans="4:20" ht="20.100000000000001" customHeight="1" x14ac:dyDescent="0.25">
      <c r="D103" s="52"/>
    </row>
    <row r="104" spans="4:20" ht="20.100000000000001" customHeight="1" x14ac:dyDescent="0.25"/>
    <row r="105" spans="4:20" ht="20.100000000000001" customHeight="1" x14ac:dyDescent="0.25">
      <c r="D105" s="6" t="s">
        <v>497</v>
      </c>
    </row>
    <row r="106" spans="4:20" ht="20.100000000000001" customHeight="1" x14ac:dyDescent="0.25">
      <c r="D106" s="5" t="s">
        <v>480</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50</v>
      </c>
      <c r="E109" s="37" t="s">
        <v>31</v>
      </c>
      <c r="F109" s="37" t="s">
        <v>51</v>
      </c>
      <c r="G109" s="37" t="s">
        <v>52</v>
      </c>
    </row>
    <row r="110" spans="4:20" ht="20.100000000000001" customHeight="1" x14ac:dyDescent="0.25">
      <c r="D110" s="37" t="s">
        <v>498</v>
      </c>
      <c r="E110" s="37" t="s">
        <v>499</v>
      </c>
      <c r="F110" s="37">
        <v>26</v>
      </c>
      <c r="G110" s="37">
        <v>999999</v>
      </c>
    </row>
    <row r="111" spans="4:20" ht="20.100000000000001" customHeight="1" x14ac:dyDescent="0.25">
      <c r="D111" s="37" t="s">
        <v>500</v>
      </c>
      <c r="E111" s="37" t="s">
        <v>501</v>
      </c>
      <c r="F111" s="37">
        <v>15</v>
      </c>
      <c r="G111" s="37">
        <v>25.998999999999999</v>
      </c>
    </row>
    <row r="112" spans="4:20" ht="20.100000000000001" customHeight="1" x14ac:dyDescent="0.25">
      <c r="D112" s="37" t="s">
        <v>502</v>
      </c>
      <c r="E112" s="37" t="s">
        <v>503</v>
      </c>
      <c r="F112" s="37">
        <v>-999999</v>
      </c>
      <c r="G112" s="37">
        <v>14.999000000000001</v>
      </c>
    </row>
    <row r="113" spans="4:66" ht="20.100000000000001" customHeight="1" x14ac:dyDescent="0.25"/>
    <row r="114" spans="4:66" ht="20.100000000000001" customHeight="1" x14ac:dyDescent="0.25"/>
    <row r="115" spans="4:66" ht="20.100000000000001" customHeight="1" x14ac:dyDescent="0.25">
      <c r="D115" s="6" t="s">
        <v>504</v>
      </c>
      <c r="BN115" s="7"/>
    </row>
    <row r="116" spans="4:66" ht="20.100000000000001" customHeight="1" x14ac:dyDescent="0.25">
      <c r="D116" s="5" t="s">
        <v>480</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53</v>
      </c>
      <c r="E119" s="37" t="s">
        <v>54</v>
      </c>
      <c r="F119" s="37" t="s">
        <v>38</v>
      </c>
      <c r="G119" s="37" t="s">
        <v>39</v>
      </c>
      <c r="BN119" s="7"/>
    </row>
    <row r="120" spans="4:66" ht="20.100000000000001" customHeight="1" x14ac:dyDescent="0.25">
      <c r="D120" s="37" t="s">
        <v>505</v>
      </c>
      <c r="E120" s="37" t="s">
        <v>506</v>
      </c>
      <c r="F120" s="37">
        <v>600.00099999999998</v>
      </c>
      <c r="G120" s="37">
        <v>999999</v>
      </c>
      <c r="BN120" s="7"/>
    </row>
    <row r="121" spans="4:66" ht="20.100000000000001" customHeight="1" x14ac:dyDescent="0.25">
      <c r="D121" s="37" t="s">
        <v>507</v>
      </c>
      <c r="E121" s="37" t="s">
        <v>508</v>
      </c>
      <c r="F121" s="37">
        <v>-999999</v>
      </c>
      <c r="G121" s="37">
        <v>600</v>
      </c>
      <c r="BN121" s="7"/>
    </row>
    <row r="122" spans="4:66" ht="20.100000000000001" customHeight="1" x14ac:dyDescent="0.25">
      <c r="BN122" s="7"/>
    </row>
    <row r="123" spans="4:66" ht="20.100000000000001" customHeight="1" x14ac:dyDescent="0.25"/>
    <row r="124" spans="4:66" ht="20.100000000000001" customHeight="1" x14ac:dyDescent="0.25">
      <c r="D124" s="6" t="s">
        <v>509</v>
      </c>
    </row>
    <row r="125" spans="4:66" ht="20.100000000000001" customHeight="1" x14ac:dyDescent="0.25">
      <c r="D125" s="5" t="s">
        <v>480</v>
      </c>
    </row>
    <row r="126" spans="4:66" ht="20.100000000000001" customHeight="1" x14ac:dyDescent="0.25"/>
    <row r="127" spans="4:66" ht="20.100000000000001" customHeight="1" x14ac:dyDescent="0.25">
      <c r="D127" s="37" t="s">
        <v>60</v>
      </c>
      <c r="E127" s="37" t="s">
        <v>61</v>
      </c>
    </row>
    <row r="128" spans="4:66" ht="20.100000000000001" customHeight="1" x14ac:dyDescent="0.25">
      <c r="D128" s="37" t="s">
        <v>510</v>
      </c>
      <c r="E128" s="37" t="s">
        <v>511</v>
      </c>
    </row>
    <row r="129" spans="4:77" ht="20.100000000000001" customHeight="1" x14ac:dyDescent="0.25">
      <c r="D129" s="37" t="s">
        <v>512</v>
      </c>
      <c r="E129" s="37" t="s">
        <v>513</v>
      </c>
    </row>
    <row r="130" spans="4:77" ht="20.100000000000001" customHeight="1" x14ac:dyDescent="0.25"/>
    <row r="131" spans="4:77" ht="20.100000000000001" customHeight="1" x14ac:dyDescent="0.25"/>
    <row r="132" spans="4:77" ht="20.100000000000001" customHeight="1" x14ac:dyDescent="0.25">
      <c r="D132" s="6" t="s">
        <v>514</v>
      </c>
      <c r="E132" s="22"/>
    </row>
    <row r="133" spans="4:77" ht="20.100000000000001" customHeight="1" x14ac:dyDescent="0.25">
      <c r="D133" s="5" t="s">
        <v>515</v>
      </c>
      <c r="E133" s="22"/>
    </row>
    <row r="134" spans="4:77" ht="20.100000000000001" customHeight="1" x14ac:dyDescent="0.25">
      <c r="D134" t="s">
        <v>73</v>
      </c>
      <c r="E134" t="s">
        <v>74</v>
      </c>
    </row>
    <row r="135" spans="4:77" ht="20.100000000000001" customHeight="1" x14ac:dyDescent="0.25">
      <c r="D135" t="s">
        <v>516</v>
      </c>
      <c r="E135">
        <v>1</v>
      </c>
    </row>
    <row r="136" spans="4:77" ht="20.100000000000001" customHeight="1" x14ac:dyDescent="0.25">
      <c r="D136" s="1" t="s">
        <v>517</v>
      </c>
      <c r="E136" s="37">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
        <v>518</v>
      </c>
      <c r="BN139" s="7"/>
      <c r="BO139" s="7"/>
      <c r="BP139" s="7"/>
      <c r="BQ139" s="7"/>
      <c r="BR139" s="7"/>
      <c r="BS139" s="7"/>
      <c r="BT139" s="7"/>
      <c r="BU139" s="7"/>
      <c r="BV139" s="7"/>
      <c r="BW139" s="7"/>
      <c r="BX139" s="7"/>
      <c r="BY139" s="7"/>
    </row>
    <row r="140" spans="4:77" ht="20.100000000000001" customHeight="1" x14ac:dyDescent="0.25">
      <c r="D140" s="5" t="s">
        <v>519</v>
      </c>
      <c r="BN140" s="7"/>
      <c r="BO140" s="7"/>
      <c r="BP140" s="7"/>
      <c r="BQ140" s="7"/>
      <c r="BR140" s="7"/>
      <c r="BS140" s="7"/>
      <c r="BT140" s="7"/>
      <c r="BU140" s="7"/>
      <c r="BV140" s="7"/>
      <c r="BW140" s="7"/>
      <c r="BX140" s="7"/>
      <c r="BY140" s="7"/>
    </row>
    <row r="141" spans="4:77" ht="20.100000000000001" customHeight="1" x14ac:dyDescent="0.25">
      <c r="D141" s="53" t="s">
        <v>520</v>
      </c>
      <c r="BN141" s="7"/>
    </row>
    <row r="142" spans="4:77" ht="20.100000000000001" customHeight="1" x14ac:dyDescent="0.25">
      <c r="D142" s="37" t="s">
        <v>90</v>
      </c>
      <c r="E142" s="37" t="s">
        <v>74</v>
      </c>
      <c r="BN142" s="7"/>
    </row>
    <row r="143" spans="4:77" ht="20.100000000000001" customHeight="1" x14ac:dyDescent="0.25">
      <c r="D143" s="37" t="s">
        <v>223</v>
      </c>
      <c r="E143" s="37">
        <v>0</v>
      </c>
      <c r="BN143" s="7"/>
    </row>
    <row r="144" spans="4:77" ht="20.100000000000001" customHeight="1" x14ac:dyDescent="0.25">
      <c r="D144" s="1" t="s">
        <v>224</v>
      </c>
      <c r="E144" s="37">
        <v>0</v>
      </c>
      <c r="BN144" s="7"/>
    </row>
    <row r="145" spans="4:66" ht="20.100000000000001" customHeight="1" x14ac:dyDescent="0.25">
      <c r="D145" s="1" t="s">
        <v>107</v>
      </c>
      <c r="E145" s="37">
        <v>1</v>
      </c>
      <c r="BN145" s="7"/>
    </row>
    <row r="146" spans="4:66" ht="20.100000000000001" customHeight="1" x14ac:dyDescent="0.25">
      <c r="D146" s="1" t="s">
        <v>225</v>
      </c>
      <c r="E146" s="37">
        <v>1</v>
      </c>
      <c r="BN146" s="7"/>
    </row>
    <row r="147" spans="4:66" ht="20.100000000000001" customHeight="1" x14ac:dyDescent="0.25">
      <c r="D147" s="1" t="s">
        <v>226</v>
      </c>
      <c r="E147" s="37">
        <v>1</v>
      </c>
      <c r="BN147" s="7"/>
    </row>
    <row r="148" spans="4:66" ht="20.100000000000001" customHeight="1" x14ac:dyDescent="0.25">
      <c r="BN148" s="7"/>
    </row>
    <row r="149" spans="4:66" ht="20.100000000000001" customHeight="1" x14ac:dyDescent="0.25">
      <c r="BN149" s="7"/>
    </row>
    <row r="150" spans="4:66" ht="20.100000000000001" customHeight="1" x14ac:dyDescent="0.25">
      <c r="D150" s="6" t="s">
        <v>521</v>
      </c>
      <c r="BN150" s="7"/>
    </row>
    <row r="151" spans="4:66" ht="20.100000000000001" customHeight="1" x14ac:dyDescent="0.25">
      <c r="D151" s="5" t="s">
        <v>522</v>
      </c>
      <c r="BN151" s="7"/>
    </row>
    <row r="152" spans="4:66" ht="20.100000000000001" customHeight="1" x14ac:dyDescent="0.25">
      <c r="BN152" s="7"/>
    </row>
    <row r="153" spans="4:66" ht="20.100000000000001" customHeight="1" x14ac:dyDescent="0.25">
      <c r="D153" s="37" t="s">
        <v>62</v>
      </c>
      <c r="E153" s="37" t="s">
        <v>63</v>
      </c>
      <c r="BC153" s="3"/>
      <c r="BD153" s="3"/>
      <c r="BE153" s="3"/>
      <c r="BF153" s="3"/>
      <c r="BG153" s="3"/>
      <c r="BH153" s="3"/>
      <c r="BI153" s="3"/>
      <c r="BJ153" s="3"/>
      <c r="BK153" s="3"/>
      <c r="BL153" s="3"/>
      <c r="BM153" s="3"/>
    </row>
    <row r="154" spans="4:66" ht="20.100000000000001" customHeight="1" x14ac:dyDescent="0.25">
      <c r="D154" s="37" t="s">
        <v>523</v>
      </c>
      <c r="E154" s="37">
        <v>1</v>
      </c>
      <c r="BC154" s="3"/>
      <c r="BD154" s="3"/>
      <c r="BE154" s="3"/>
      <c r="BF154" s="3"/>
      <c r="BG154" s="3"/>
      <c r="BH154" s="3"/>
      <c r="BI154" s="3"/>
      <c r="BJ154" s="3"/>
      <c r="BK154" s="3"/>
      <c r="BL154" s="3"/>
      <c r="BM154" s="3"/>
    </row>
    <row r="155" spans="4:66" ht="20.100000000000001" customHeight="1" x14ac:dyDescent="0.25">
      <c r="D155" s="37" t="s">
        <v>524</v>
      </c>
      <c r="E155" s="37">
        <v>2</v>
      </c>
      <c r="BC155" s="3"/>
      <c r="BD155" s="3"/>
      <c r="BE155" s="3"/>
      <c r="BF155" s="3"/>
      <c r="BG155" s="3"/>
      <c r="BH155" s="3"/>
      <c r="BI155" s="3"/>
      <c r="BJ155" s="3"/>
      <c r="BK155" s="3"/>
      <c r="BL155" s="3"/>
      <c r="BM155" s="3"/>
    </row>
    <row r="156" spans="4:66" ht="20.100000000000001" customHeight="1" x14ac:dyDescent="0.25">
      <c r="D156" s="37" t="s">
        <v>525</v>
      </c>
      <c r="E156" s="37">
        <v>3</v>
      </c>
    </row>
    <row r="157" spans="4:66" ht="20.100000000000001" customHeight="1" x14ac:dyDescent="0.25">
      <c r="D157" s="37" t="s">
        <v>526</v>
      </c>
      <c r="E157" s="37">
        <v>4</v>
      </c>
    </row>
    <row r="158" spans="4:66" ht="20.100000000000001" customHeight="1" x14ac:dyDescent="0.25">
      <c r="D158" s="37" t="s">
        <v>527</v>
      </c>
      <c r="E158" s="37">
        <v>5</v>
      </c>
    </row>
    <row r="159" spans="4:66" ht="20.100000000000001" customHeight="1" x14ac:dyDescent="0.25"/>
    <row r="160" spans="4:66" ht="20.100000000000001" customHeight="1" x14ac:dyDescent="0.25"/>
    <row r="161" spans="4:68" ht="20.100000000000001" customHeight="1" x14ac:dyDescent="0.25">
      <c r="D161" s="6" t="s">
        <v>514</v>
      </c>
      <c r="E161" s="22"/>
    </row>
    <row r="162" spans="4:68" ht="20.100000000000001" customHeight="1" x14ac:dyDescent="0.25">
      <c r="D162" s="5" t="s">
        <v>515</v>
      </c>
      <c r="E162" s="22"/>
    </row>
    <row r="163" spans="4:68" ht="20.100000000000001" customHeight="1" x14ac:dyDescent="0.25">
      <c r="D163" s="5" t="s">
        <v>528</v>
      </c>
      <c r="E163" s="22"/>
    </row>
    <row r="164" spans="4:68" ht="20.100000000000001" customHeight="1" x14ac:dyDescent="0.25">
      <c r="D164" s="22" t="s">
        <v>313</v>
      </c>
      <c r="E164" s="22"/>
    </row>
    <row r="165" spans="4:68" ht="20.100000000000001" customHeight="1" x14ac:dyDescent="0.25">
      <c r="D165" s="1">
        <v>0.24</v>
      </c>
      <c r="BN165" s="7"/>
      <c r="BO165" s="7"/>
      <c r="BP165" s="7"/>
    </row>
    <row r="166" spans="4:68" ht="20.100000000000001" customHeight="1" x14ac:dyDescent="0.25">
      <c r="BN166" s="7"/>
      <c r="BO166" s="7"/>
      <c r="BP166" s="7"/>
    </row>
    <row r="167" spans="4:68" ht="20.100000000000001" customHeight="1" x14ac:dyDescent="0.25">
      <c r="D167" s="6" t="s">
        <v>529</v>
      </c>
      <c r="BN167" s="7"/>
      <c r="BO167" s="7"/>
      <c r="BP167" s="7"/>
    </row>
    <row r="168" spans="4:68" ht="20.100000000000001" customHeight="1" x14ac:dyDescent="0.25">
      <c r="D168" s="5" t="s">
        <v>515</v>
      </c>
      <c r="BN168" s="7"/>
      <c r="BO168" s="7"/>
      <c r="BP168" s="7"/>
    </row>
    <row r="169" spans="4:68" ht="20.100000000000001" customHeight="1" x14ac:dyDescent="0.25">
      <c r="D169" s="5" t="s">
        <v>530</v>
      </c>
      <c r="BN169" s="7"/>
      <c r="BO169" s="7"/>
      <c r="BP169" s="7"/>
    </row>
    <row r="170" spans="4:68" ht="20.100000000000001" customHeight="1" x14ac:dyDescent="0.25">
      <c r="D170" s="1" t="s">
        <v>531</v>
      </c>
      <c r="BN170" s="7"/>
      <c r="BO170" s="7"/>
      <c r="BP170" s="7"/>
    </row>
    <row r="171" spans="4:68" ht="20.100000000000001" customHeight="1" x14ac:dyDescent="0.25">
      <c r="D171" s="1">
        <v>1.0999999999999999E-2</v>
      </c>
      <c r="BN171" s="7"/>
      <c r="BO171" s="7"/>
      <c r="BP171" s="7"/>
    </row>
    <row r="172" spans="4:68" ht="20.100000000000001" customHeight="1" x14ac:dyDescent="0.25">
      <c r="BN172" s="7"/>
      <c r="BO172" s="7"/>
      <c r="BP172" s="7"/>
    </row>
    <row r="173" spans="4:68" ht="20.100000000000001" customHeight="1" x14ac:dyDescent="0.25">
      <c r="D173" s="6" t="s">
        <v>532</v>
      </c>
      <c r="BN173" s="7"/>
      <c r="BO173" s="7"/>
      <c r="BP173" s="7"/>
    </row>
    <row r="174" spans="4:68" ht="20.100000000000001" customHeight="1" x14ac:dyDescent="0.25">
      <c r="D174" s="5" t="s">
        <v>533</v>
      </c>
      <c r="BN174" s="7"/>
      <c r="BO174" s="7"/>
      <c r="BP174" s="7"/>
    </row>
    <row r="175" spans="4:68" ht="20.100000000000001" customHeight="1" x14ac:dyDescent="0.25">
      <c r="D175" s="1">
        <v>0.6784</v>
      </c>
      <c r="E175" s="52" t="s">
        <v>534</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
        <v>535</v>
      </c>
      <c r="BN178" s="7"/>
      <c r="BO178" s="7"/>
      <c r="BP178" s="7"/>
    </row>
    <row r="179" spans="4:68" ht="20.100000000000001" customHeight="1" x14ac:dyDescent="0.25">
      <c r="D179" s="5" t="s">
        <v>536</v>
      </c>
      <c r="BN179" s="7"/>
      <c r="BO179" s="7"/>
      <c r="BP179" s="7"/>
    </row>
    <row r="180" spans="4:68" ht="20.100000000000001" customHeight="1" x14ac:dyDescent="0.25">
      <c r="D180" s="52" t="s">
        <v>537</v>
      </c>
    </row>
    <row r="181" spans="4:68" ht="20.100000000000001" customHeight="1" x14ac:dyDescent="0.25">
      <c r="D181" s="53" t="s">
        <v>538</v>
      </c>
    </row>
    <row r="182" spans="4:68" ht="20.100000000000001" customHeight="1" x14ac:dyDescent="0.25">
      <c r="D182" s="53" t="s">
        <v>539</v>
      </c>
    </row>
    <row r="183" spans="4:68" ht="20.100000000000001" customHeight="1" x14ac:dyDescent="0.25">
      <c r="D183" s="53" t="s">
        <v>540</v>
      </c>
    </row>
    <row r="184" spans="4:68" ht="20.100000000000001" customHeight="1" x14ac:dyDescent="0.25">
      <c r="D184" s="53" t="s">
        <v>541</v>
      </c>
    </row>
    <row r="185" spans="4:68" ht="20.100000000000001" customHeight="1" x14ac:dyDescent="0.25">
      <c r="D185" s="53" t="s">
        <v>542</v>
      </c>
    </row>
    <row r="186" spans="4:68" ht="20.100000000000001" customHeight="1" x14ac:dyDescent="0.25">
      <c r="D186" s="37" t="s">
        <v>82</v>
      </c>
      <c r="E186" s="37" t="s">
        <v>83</v>
      </c>
      <c r="F186" s="37" t="s">
        <v>84</v>
      </c>
      <c r="G186" s="37" t="s">
        <v>85</v>
      </c>
      <c r="H186" s="37" t="s">
        <v>30</v>
      </c>
    </row>
    <row r="187" spans="4:68" ht="20.100000000000001" customHeight="1" x14ac:dyDescent="0.25">
      <c r="D187" s="37" t="s">
        <v>543</v>
      </c>
      <c r="E187" s="37">
        <v>5.8999999999999999E-3</v>
      </c>
      <c r="F187" s="37" t="s">
        <v>200</v>
      </c>
      <c r="G187" s="37" t="s">
        <v>482</v>
      </c>
      <c r="H187" s="37" t="s">
        <v>482</v>
      </c>
    </row>
    <row r="188" spans="4:68" ht="20.100000000000001" customHeight="1" x14ac:dyDescent="0.25">
      <c r="D188" s="37" t="s">
        <v>544</v>
      </c>
      <c r="E188" s="37">
        <v>7.0000000000000001E-3</v>
      </c>
      <c r="F188" s="37" t="s">
        <v>199</v>
      </c>
      <c r="G188" s="37" t="s">
        <v>482</v>
      </c>
      <c r="H188" s="37" t="s">
        <v>482</v>
      </c>
    </row>
    <row r="189" spans="4:68" ht="20.100000000000001" customHeight="1" x14ac:dyDescent="0.25">
      <c r="D189" s="37" t="s">
        <v>545</v>
      </c>
      <c r="E189" s="37">
        <v>1.8E-3</v>
      </c>
      <c r="F189" s="37" t="s">
        <v>200</v>
      </c>
      <c r="G189" s="37" t="s">
        <v>223</v>
      </c>
      <c r="H189" s="37" t="s">
        <v>507</v>
      </c>
    </row>
    <row r="190" spans="4:68" ht="20.100000000000001" customHeight="1" x14ac:dyDescent="0.25">
      <c r="D190" s="37" t="s">
        <v>545</v>
      </c>
      <c r="E190" s="37">
        <v>1.8E-3</v>
      </c>
      <c r="F190" s="37" t="s">
        <v>200</v>
      </c>
      <c r="G190" s="37" t="s">
        <v>223</v>
      </c>
      <c r="H190" s="37" t="s">
        <v>505</v>
      </c>
    </row>
    <row r="191" spans="4:68" ht="20.100000000000001" customHeight="1" x14ac:dyDescent="0.25">
      <c r="D191" s="37" t="s">
        <v>546</v>
      </c>
      <c r="E191" s="37">
        <v>2.8999999999999998E-3</v>
      </c>
      <c r="F191" s="37" t="s">
        <v>199</v>
      </c>
      <c r="G191" s="37" t="s">
        <v>223</v>
      </c>
      <c r="H191" s="37" t="s">
        <v>507</v>
      </c>
    </row>
    <row r="192" spans="4:68" ht="20.100000000000001" customHeight="1" x14ac:dyDescent="0.25">
      <c r="D192" s="37" t="s">
        <v>547</v>
      </c>
      <c r="E192" s="37">
        <v>8.0000000000000002E-3</v>
      </c>
      <c r="F192" s="37" t="s">
        <v>199</v>
      </c>
      <c r="G192" s="37" t="s">
        <v>223</v>
      </c>
      <c r="H192" s="37" t="s">
        <v>505</v>
      </c>
    </row>
    <row r="193" spans="4:8" ht="20.100000000000001" customHeight="1" x14ac:dyDescent="0.25">
      <c r="D193" s="37" t="s">
        <v>548</v>
      </c>
      <c r="E193" s="37">
        <v>1.9900000000000001E-2</v>
      </c>
      <c r="F193" s="37" t="s">
        <v>548</v>
      </c>
      <c r="G193" s="37" t="s">
        <v>482</v>
      </c>
      <c r="H193" s="37" t="s">
        <v>482</v>
      </c>
    </row>
    <row r="194" spans="4:8" ht="20.100000000000001" customHeight="1" x14ac:dyDescent="0.25">
      <c r="D194" s="37" t="s">
        <v>391</v>
      </c>
      <c r="E194" s="37">
        <v>5.3E-3</v>
      </c>
      <c r="F194" s="37" t="s">
        <v>391</v>
      </c>
      <c r="G194" s="37" t="s">
        <v>482</v>
      </c>
      <c r="H194" s="37" t="s">
        <v>482</v>
      </c>
    </row>
    <row r="195" spans="4:8" ht="20.100000000000001" customHeight="1" x14ac:dyDescent="0.25">
      <c r="D195" s="37" t="s">
        <v>549</v>
      </c>
      <c r="E195" s="37">
        <v>6.4000000000000003E-3</v>
      </c>
      <c r="F195" s="37" t="s">
        <v>549</v>
      </c>
      <c r="G195" s="37" t="s">
        <v>482</v>
      </c>
      <c r="H195" s="37" t="s">
        <v>482</v>
      </c>
    </row>
    <row r="196" spans="4:8" ht="20.100000000000001" customHeight="1" x14ac:dyDescent="0.25">
      <c r="D196" s="37" t="s">
        <v>550</v>
      </c>
      <c r="E196" s="37">
        <v>3.0000000000000001E-3</v>
      </c>
      <c r="F196" s="37" t="s">
        <v>382</v>
      </c>
      <c r="G196" s="37" t="s">
        <v>551</v>
      </c>
      <c r="H196" s="37" t="s">
        <v>482</v>
      </c>
    </row>
    <row r="197" spans="4:8" x14ac:dyDescent="0.25">
      <c r="D197" s="37" t="s">
        <v>552</v>
      </c>
      <c r="E197" s="37">
        <v>5.0000000000000001E-3</v>
      </c>
      <c r="F197" s="37" t="s">
        <v>382</v>
      </c>
      <c r="G197" s="37" t="s">
        <v>553</v>
      </c>
      <c r="H197" s="37" t="s">
        <v>482</v>
      </c>
    </row>
    <row r="198" spans="4:8" x14ac:dyDescent="0.25">
      <c r="D198" s="37" t="s">
        <v>554</v>
      </c>
      <c r="E198" s="37">
        <v>2.5999999999999999E-3</v>
      </c>
      <c r="F198" s="37" t="s">
        <v>554</v>
      </c>
      <c r="G198" s="37" t="s">
        <v>482</v>
      </c>
      <c r="H198" s="37" t="s">
        <v>482</v>
      </c>
    </row>
    <row r="199" spans="4:8" x14ac:dyDescent="0.25">
      <c r="D199" s="37" t="s">
        <v>555</v>
      </c>
      <c r="E199" s="37">
        <v>1.8E-3</v>
      </c>
      <c r="F199" s="37" t="s">
        <v>555</v>
      </c>
      <c r="G199" s="37" t="s">
        <v>482</v>
      </c>
      <c r="H199" s="37" t="s">
        <v>482</v>
      </c>
    </row>
    <row r="202" spans="4:8" ht="23.25" x14ac:dyDescent="0.25">
      <c r="D202" s="6" t="s">
        <v>556</v>
      </c>
    </row>
    <row r="203" spans="4:8" x14ac:dyDescent="0.25">
      <c r="D203" s="5" t="s">
        <v>557</v>
      </c>
    </row>
    <row r="204" spans="4:8" x14ac:dyDescent="0.25">
      <c r="D204" s="53" t="s">
        <v>558</v>
      </c>
    </row>
    <row r="205" spans="4:8" x14ac:dyDescent="0.25">
      <c r="D205" s="52" t="s">
        <v>559</v>
      </c>
    </row>
    <row r="206" spans="4:8" x14ac:dyDescent="0.25">
      <c r="D206" s="37" t="s">
        <v>8</v>
      </c>
      <c r="E206" s="37" t="s">
        <v>92</v>
      </c>
    </row>
    <row r="207" spans="4:8" x14ac:dyDescent="0.25">
      <c r="D207" s="37" t="s">
        <v>399</v>
      </c>
      <c r="E207" s="37">
        <v>6.0000000000000001E-3</v>
      </c>
    </row>
    <row r="208" spans="4:8" x14ac:dyDescent="0.25">
      <c r="D208" s="1" t="s">
        <v>400</v>
      </c>
      <c r="E208" s="37">
        <v>2E-3</v>
      </c>
    </row>
    <row r="211" spans="4:5" x14ac:dyDescent="0.25">
      <c r="D211" s="1" t="s">
        <v>560</v>
      </c>
    </row>
    <row r="212" spans="4:5" x14ac:dyDescent="0.25">
      <c r="D212" s="37" t="s">
        <v>89</v>
      </c>
      <c r="E212" s="37" t="s">
        <v>97</v>
      </c>
    </row>
    <row r="213" spans="4:5" x14ac:dyDescent="0.25">
      <c r="D213" s="37" t="s">
        <v>561</v>
      </c>
      <c r="E213" s="37" t="s">
        <v>562</v>
      </c>
    </row>
    <row r="214" spans="4:5" x14ac:dyDescent="0.25">
      <c r="D214" s="1" t="s">
        <v>563</v>
      </c>
      <c r="E214" s="37" t="s">
        <v>562</v>
      </c>
    </row>
    <row r="215" spans="4:5" x14ac:dyDescent="0.25">
      <c r="D215" s="1" t="s">
        <v>564</v>
      </c>
      <c r="E215" s="37" t="s">
        <v>565</v>
      </c>
    </row>
    <row r="216" spans="4:5" x14ac:dyDescent="0.25">
      <c r="D216" s="1" t="s">
        <v>566</v>
      </c>
      <c r="E216" s="37" t="s">
        <v>565</v>
      </c>
    </row>
    <row r="217" spans="4:5" x14ac:dyDescent="0.25">
      <c r="D217" s="1" t="s">
        <v>567</v>
      </c>
      <c r="E217" s="37" t="s">
        <v>565</v>
      </c>
    </row>
    <row r="218" spans="4:5" x14ac:dyDescent="0.25">
      <c r="D218" s="1" t="s">
        <v>568</v>
      </c>
      <c r="E218" s="37" t="s">
        <v>569</v>
      </c>
    </row>
    <row r="219" spans="4:5" x14ac:dyDescent="0.25">
      <c r="D219" s="1" t="s">
        <v>570</v>
      </c>
      <c r="E219" s="37" t="s">
        <v>569</v>
      </c>
    </row>
    <row r="220" spans="4:5" x14ac:dyDescent="0.25">
      <c r="D220" s="1" t="s">
        <v>571</v>
      </c>
      <c r="E220" s="37" t="s">
        <v>569</v>
      </c>
    </row>
    <row r="221" spans="4:5" x14ac:dyDescent="0.25">
      <c r="D221" s="1" t="s">
        <v>572</v>
      </c>
      <c r="E221" s="37" t="s">
        <v>573</v>
      </c>
    </row>
    <row r="222" spans="4:5" x14ac:dyDescent="0.25">
      <c r="D222" s="1" t="s">
        <v>574</v>
      </c>
      <c r="E222" s="37" t="s">
        <v>573</v>
      </c>
    </row>
    <row r="223" spans="4:5" x14ac:dyDescent="0.25">
      <c r="D223" s="1" t="s">
        <v>575</v>
      </c>
      <c r="E223" s="37" t="s">
        <v>573</v>
      </c>
    </row>
    <row r="224" spans="4:5" x14ac:dyDescent="0.25">
      <c r="D224" s="1" t="s">
        <v>576</v>
      </c>
      <c r="E224" s="37" t="s">
        <v>562</v>
      </c>
    </row>
    <row r="227" spans="4:19" ht="23.25" x14ac:dyDescent="0.25">
      <c r="D227" s="6" t="s">
        <v>577</v>
      </c>
    </row>
    <row r="228" spans="4:19" x14ac:dyDescent="0.25">
      <c r="D228" s="5" t="s">
        <v>578</v>
      </c>
    </row>
    <row r="229" spans="4:19" x14ac:dyDescent="0.25">
      <c r="D229" s="53" t="s">
        <v>579</v>
      </c>
    </row>
    <row r="231" spans="4:19" x14ac:dyDescent="0.25">
      <c r="D231" s="37" t="s">
        <v>47</v>
      </c>
      <c r="E231" s="37" t="s">
        <v>111</v>
      </c>
      <c r="F231" s="36" t="s">
        <v>112</v>
      </c>
      <c r="G231" s="37" t="s">
        <v>103</v>
      </c>
      <c r="H231" s="37" t="s">
        <v>113</v>
      </c>
      <c r="I231" s="37" t="s">
        <v>114</v>
      </c>
      <c r="J231" s="37" t="s">
        <v>102</v>
      </c>
      <c r="K231" s="37" t="s">
        <v>101</v>
      </c>
      <c r="L231" s="37" t="s">
        <v>115</v>
      </c>
      <c r="M231" s="37" t="s">
        <v>116</v>
      </c>
      <c r="N231" s="37" t="s">
        <v>100</v>
      </c>
      <c r="O231" s="37" t="s">
        <v>117</v>
      </c>
      <c r="P231" s="37" t="s">
        <v>105</v>
      </c>
      <c r="Q231" s="37" t="s">
        <v>106</v>
      </c>
      <c r="R231" s="37" t="s">
        <v>104</v>
      </c>
      <c r="S231" s="37" t="s">
        <v>118</v>
      </c>
    </row>
    <row r="232" spans="4:19" x14ac:dyDescent="0.25">
      <c r="D232" s="37" t="s">
        <v>502</v>
      </c>
      <c r="E232" s="37" t="s">
        <v>580</v>
      </c>
      <c r="F232" s="37">
        <v>0.66</v>
      </c>
      <c r="G232" s="37">
        <v>0.1</v>
      </c>
      <c r="H232" s="37">
        <v>0.1</v>
      </c>
      <c r="I232" s="37">
        <v>1E-3</v>
      </c>
      <c r="J232" s="37">
        <v>5.0000000000000001E-3</v>
      </c>
      <c r="K232" s="37">
        <v>0.02</v>
      </c>
      <c r="L232" s="37">
        <v>0.03</v>
      </c>
      <c r="M232" s="37">
        <v>0.04</v>
      </c>
      <c r="N232" s="37">
        <v>1.4999999999999999E-2</v>
      </c>
      <c r="O232" s="37">
        <v>1.4999999999999999E-2</v>
      </c>
      <c r="P232" s="37">
        <v>0</v>
      </c>
      <c r="Q232" s="37">
        <v>0</v>
      </c>
      <c r="R232" s="37">
        <v>4.7000000000000002E-3</v>
      </c>
      <c r="S232" s="37">
        <v>10</v>
      </c>
    </row>
    <row r="233" spans="4:19" x14ac:dyDescent="0.25">
      <c r="D233" s="1" t="s">
        <v>502</v>
      </c>
      <c r="E233" s="37">
        <v>11</v>
      </c>
      <c r="F233" s="37">
        <v>0.68</v>
      </c>
      <c r="G233" s="37">
        <v>0.1</v>
      </c>
      <c r="H233" s="37">
        <v>0.11</v>
      </c>
      <c r="I233" s="37">
        <v>1E-3</v>
      </c>
      <c r="J233" s="37">
        <v>5.0000000000000001E-3</v>
      </c>
      <c r="K233" s="37">
        <v>0.02</v>
      </c>
      <c r="L233" s="37">
        <v>0.03</v>
      </c>
      <c r="M233" s="37">
        <v>0.04</v>
      </c>
      <c r="N233" s="37">
        <v>1.4999999999999999E-2</v>
      </c>
      <c r="O233" s="37">
        <v>1.4999999999999999E-2</v>
      </c>
      <c r="P233" s="37">
        <v>0</v>
      </c>
      <c r="Q233" s="37">
        <v>0</v>
      </c>
      <c r="R233" s="37">
        <v>4.7000000000000002E-3</v>
      </c>
      <c r="S233" s="37">
        <v>11</v>
      </c>
    </row>
    <row r="234" spans="4:19" x14ac:dyDescent="0.25">
      <c r="D234" s="1" t="s">
        <v>502</v>
      </c>
      <c r="E234" s="37">
        <v>12</v>
      </c>
      <c r="F234" s="37">
        <v>0.7</v>
      </c>
      <c r="G234" s="37">
        <v>0.1</v>
      </c>
      <c r="H234" s="37">
        <v>0.13</v>
      </c>
      <c r="I234" s="37">
        <v>1E-3</v>
      </c>
      <c r="J234" s="37">
        <v>5.0000000000000001E-3</v>
      </c>
      <c r="K234" s="37">
        <v>0.02</v>
      </c>
      <c r="L234" s="37">
        <v>0.03</v>
      </c>
      <c r="M234" s="37">
        <v>0.04</v>
      </c>
      <c r="N234" s="37">
        <v>1.4999999999999999E-2</v>
      </c>
      <c r="O234" s="37">
        <v>1.4999999999999999E-2</v>
      </c>
      <c r="P234" s="37">
        <v>0</v>
      </c>
      <c r="Q234" s="37">
        <v>0</v>
      </c>
      <c r="R234" s="37">
        <v>4.7000000000000002E-3</v>
      </c>
      <c r="S234" s="37">
        <v>12</v>
      </c>
    </row>
    <row r="235" spans="4:19" x14ac:dyDescent="0.25">
      <c r="D235" s="1" t="s">
        <v>502</v>
      </c>
      <c r="E235" s="37">
        <v>13</v>
      </c>
      <c r="F235" s="37">
        <v>0.71</v>
      </c>
      <c r="G235" s="37">
        <v>0.1</v>
      </c>
      <c r="H235" s="37">
        <v>0.14000000000000001</v>
      </c>
      <c r="I235" s="37">
        <v>1E-3</v>
      </c>
      <c r="J235" s="37">
        <v>5.0000000000000001E-3</v>
      </c>
      <c r="K235" s="37">
        <v>0.02</v>
      </c>
      <c r="L235" s="37">
        <v>0.03</v>
      </c>
      <c r="M235" s="37">
        <v>0.04</v>
      </c>
      <c r="N235" s="37">
        <v>1.4999999999999999E-2</v>
      </c>
      <c r="O235" s="37">
        <v>1.4999999999999999E-2</v>
      </c>
      <c r="P235" s="37">
        <v>0</v>
      </c>
      <c r="Q235" s="37">
        <v>0</v>
      </c>
      <c r="R235" s="37">
        <v>4.7000000000000002E-3</v>
      </c>
      <c r="S235" s="37">
        <v>13</v>
      </c>
    </row>
    <row r="236" spans="4:19" x14ac:dyDescent="0.25">
      <c r="D236" s="1" t="s">
        <v>502</v>
      </c>
      <c r="E236" s="37">
        <v>14</v>
      </c>
      <c r="F236" s="37">
        <v>0.73</v>
      </c>
      <c r="G236" s="37">
        <v>0.1</v>
      </c>
      <c r="H236" s="37">
        <v>0.15</v>
      </c>
      <c r="I236" s="37">
        <v>1E-3</v>
      </c>
      <c r="J236" s="37">
        <v>5.0000000000000001E-3</v>
      </c>
      <c r="K236" s="37">
        <v>0.02</v>
      </c>
      <c r="L236" s="37">
        <v>0.03</v>
      </c>
      <c r="M236" s="37">
        <v>0.04</v>
      </c>
      <c r="N236" s="37">
        <v>1.4999999999999999E-2</v>
      </c>
      <c r="O236" s="37">
        <v>1.4999999999999999E-2</v>
      </c>
      <c r="P236" s="37">
        <v>0</v>
      </c>
      <c r="Q236" s="37">
        <v>0</v>
      </c>
      <c r="R236" s="37">
        <v>4.7000000000000002E-3</v>
      </c>
      <c r="S236" s="37">
        <v>14</v>
      </c>
    </row>
    <row r="237" spans="4:19" x14ac:dyDescent="0.25">
      <c r="D237" s="1" t="s">
        <v>500</v>
      </c>
      <c r="E237" s="37">
        <v>15</v>
      </c>
      <c r="F237" s="37">
        <v>0.74</v>
      </c>
      <c r="G237" s="37">
        <v>0.1</v>
      </c>
      <c r="H237" s="37">
        <v>0.17</v>
      </c>
      <c r="I237" s="37">
        <v>5.0000000000000001E-3</v>
      </c>
      <c r="J237" s="37">
        <v>0.01</v>
      </c>
      <c r="K237" s="37">
        <v>0.02</v>
      </c>
      <c r="L237" s="37">
        <v>0.03</v>
      </c>
      <c r="M237" s="37">
        <v>0.04</v>
      </c>
      <c r="N237" s="37">
        <v>1.4999999999999999E-2</v>
      </c>
      <c r="O237" s="37">
        <v>1.4999999999999999E-2</v>
      </c>
      <c r="P237" s="37">
        <v>0</v>
      </c>
      <c r="Q237" s="37">
        <v>0</v>
      </c>
      <c r="R237" s="37">
        <v>4.7000000000000002E-3</v>
      </c>
      <c r="S237" s="37">
        <v>15</v>
      </c>
    </row>
    <row r="238" spans="4:19" x14ac:dyDescent="0.25">
      <c r="D238" s="1" t="s">
        <v>500</v>
      </c>
      <c r="E238" s="37">
        <v>16</v>
      </c>
      <c r="F238" s="37">
        <v>0.75</v>
      </c>
      <c r="G238" s="37">
        <v>0.1</v>
      </c>
      <c r="H238" s="37">
        <v>0.18</v>
      </c>
      <c r="I238" s="37">
        <v>5.0000000000000001E-3</v>
      </c>
      <c r="J238" s="37">
        <v>0.01</v>
      </c>
      <c r="K238" s="37">
        <v>0.02</v>
      </c>
      <c r="L238" s="37">
        <v>0.03</v>
      </c>
      <c r="M238" s="37">
        <v>0.04</v>
      </c>
      <c r="N238" s="37">
        <v>1.4999999999999999E-2</v>
      </c>
      <c r="O238" s="37">
        <v>1.4999999999999999E-2</v>
      </c>
      <c r="P238" s="37">
        <v>0</v>
      </c>
      <c r="Q238" s="37">
        <v>0</v>
      </c>
      <c r="R238" s="37">
        <v>4.7000000000000002E-3</v>
      </c>
      <c r="S238" s="37">
        <v>16</v>
      </c>
    </row>
    <row r="239" spans="4:19" x14ac:dyDescent="0.25">
      <c r="D239" s="1" t="s">
        <v>500</v>
      </c>
      <c r="E239" s="37">
        <v>17</v>
      </c>
      <c r="F239" s="37">
        <v>0.76</v>
      </c>
      <c r="G239" s="37">
        <v>0.1</v>
      </c>
      <c r="H239" s="37">
        <v>0.2</v>
      </c>
      <c r="I239" s="37">
        <v>5.0000000000000001E-3</v>
      </c>
      <c r="J239" s="37">
        <v>0.01</v>
      </c>
      <c r="K239" s="37">
        <v>0.02</v>
      </c>
      <c r="L239" s="37">
        <v>0.03</v>
      </c>
      <c r="M239" s="37">
        <v>0.04</v>
      </c>
      <c r="N239" s="37">
        <v>1.4999999999999999E-2</v>
      </c>
      <c r="O239" s="37">
        <v>1.4999999999999999E-2</v>
      </c>
      <c r="P239" s="37">
        <v>0</v>
      </c>
      <c r="Q239" s="37">
        <v>0</v>
      </c>
      <c r="R239" s="37">
        <v>4.7000000000000002E-3</v>
      </c>
      <c r="S239" s="37">
        <v>17</v>
      </c>
    </row>
    <row r="240" spans="4:19" x14ac:dyDescent="0.25">
      <c r="D240" s="1" t="s">
        <v>500</v>
      </c>
      <c r="E240" s="37">
        <v>18</v>
      </c>
      <c r="F240" s="37">
        <v>0.77</v>
      </c>
      <c r="G240" s="37">
        <v>0.1</v>
      </c>
      <c r="H240" s="37">
        <v>0.22</v>
      </c>
      <c r="I240" s="37">
        <v>5.0000000000000001E-3</v>
      </c>
      <c r="J240" s="37">
        <v>0.01</v>
      </c>
      <c r="K240" s="37">
        <v>0.02</v>
      </c>
      <c r="L240" s="37">
        <v>0.03</v>
      </c>
      <c r="M240" s="37">
        <v>0.04</v>
      </c>
      <c r="N240" s="37">
        <v>1.4999999999999999E-2</v>
      </c>
      <c r="O240" s="37">
        <v>1.4999999999999999E-2</v>
      </c>
      <c r="P240" s="37">
        <v>0</v>
      </c>
      <c r="Q240" s="37">
        <v>0</v>
      </c>
      <c r="R240" s="37">
        <v>4.7000000000000002E-3</v>
      </c>
      <c r="S240" s="37">
        <v>18</v>
      </c>
    </row>
    <row r="241" spans="4:19" x14ac:dyDescent="0.25">
      <c r="D241" s="1" t="s">
        <v>500</v>
      </c>
      <c r="E241" s="37">
        <v>19</v>
      </c>
      <c r="F241" s="37">
        <v>0.77</v>
      </c>
      <c r="G241" s="37">
        <v>0.1</v>
      </c>
      <c r="H241" s="37">
        <v>0.24</v>
      </c>
      <c r="I241" s="37">
        <v>5.0000000000000001E-3</v>
      </c>
      <c r="J241" s="37">
        <v>0.01</v>
      </c>
      <c r="K241" s="37">
        <v>0.02</v>
      </c>
      <c r="L241" s="37">
        <v>0.03</v>
      </c>
      <c r="M241" s="37">
        <v>0.04</v>
      </c>
      <c r="N241" s="37">
        <v>1.4999999999999999E-2</v>
      </c>
      <c r="O241" s="37">
        <v>1.4999999999999999E-2</v>
      </c>
      <c r="P241" s="37">
        <v>0</v>
      </c>
      <c r="Q241" s="37">
        <v>0</v>
      </c>
      <c r="R241" s="37">
        <v>4.7000000000000002E-3</v>
      </c>
      <c r="S241" s="37">
        <v>19</v>
      </c>
    </row>
    <row r="242" spans="4:19" x14ac:dyDescent="0.25">
      <c r="D242" s="1" t="s">
        <v>500</v>
      </c>
      <c r="E242" s="37">
        <v>20</v>
      </c>
      <c r="F242" s="37">
        <v>0.78</v>
      </c>
      <c r="G242" s="37">
        <v>0.1</v>
      </c>
      <c r="H242" s="37">
        <v>0.26</v>
      </c>
      <c r="I242" s="37">
        <v>5.0000000000000001E-3</v>
      </c>
      <c r="J242" s="37">
        <v>0.01</v>
      </c>
      <c r="K242" s="37">
        <v>0.02</v>
      </c>
      <c r="L242" s="37">
        <v>0.03</v>
      </c>
      <c r="M242" s="37">
        <v>0.04</v>
      </c>
      <c r="N242" s="37">
        <v>1.4999999999999999E-2</v>
      </c>
      <c r="O242" s="37">
        <v>1.4999999999999999E-2</v>
      </c>
      <c r="P242" s="37">
        <v>0</v>
      </c>
      <c r="Q242" s="37">
        <v>0</v>
      </c>
      <c r="R242" s="37">
        <v>4.7000000000000002E-3</v>
      </c>
      <c r="S242" s="37">
        <v>20</v>
      </c>
    </row>
    <row r="243" spans="4:19" x14ac:dyDescent="0.25">
      <c r="D243" s="1" t="s">
        <v>500</v>
      </c>
      <c r="E243" s="37">
        <v>21</v>
      </c>
      <c r="F243" s="37">
        <v>0.78</v>
      </c>
      <c r="G243" s="37">
        <v>0.1</v>
      </c>
      <c r="H243" s="37">
        <v>0.28999999999999998</v>
      </c>
      <c r="I243" s="37">
        <v>5.0000000000000001E-3</v>
      </c>
      <c r="J243" s="37">
        <v>0.01</v>
      </c>
      <c r="K243" s="37">
        <v>0.02</v>
      </c>
      <c r="L243" s="37">
        <v>0.03</v>
      </c>
      <c r="M243" s="37">
        <v>0.04</v>
      </c>
      <c r="N243" s="37">
        <v>1.4999999999999999E-2</v>
      </c>
      <c r="O243" s="37">
        <v>1.4999999999999999E-2</v>
      </c>
      <c r="P243" s="37">
        <v>0</v>
      </c>
      <c r="Q243" s="37">
        <v>0</v>
      </c>
      <c r="R243" s="37">
        <v>4.7000000000000002E-3</v>
      </c>
      <c r="S243" s="37">
        <v>21</v>
      </c>
    </row>
    <row r="244" spans="4:19" x14ac:dyDescent="0.25">
      <c r="D244" s="1" t="s">
        <v>500</v>
      </c>
      <c r="E244" s="37">
        <v>22</v>
      </c>
      <c r="F244" s="37">
        <v>0.78</v>
      </c>
      <c r="G244" s="37">
        <v>0.1</v>
      </c>
      <c r="H244" s="37">
        <v>0.31</v>
      </c>
      <c r="I244" s="37">
        <v>5.0000000000000001E-3</v>
      </c>
      <c r="J244" s="37">
        <v>0.01</v>
      </c>
      <c r="K244" s="37">
        <v>0.02</v>
      </c>
      <c r="L244" s="37">
        <v>0.03</v>
      </c>
      <c r="M244" s="37">
        <v>0.04</v>
      </c>
      <c r="N244" s="37">
        <v>1.4999999999999999E-2</v>
      </c>
      <c r="O244" s="37">
        <v>1.4999999999999999E-2</v>
      </c>
      <c r="P244" s="37">
        <v>0</v>
      </c>
      <c r="Q244" s="37">
        <v>0</v>
      </c>
      <c r="R244" s="37">
        <v>4.7000000000000002E-3</v>
      </c>
      <c r="S244" s="37">
        <v>22</v>
      </c>
    </row>
    <row r="245" spans="4:19" x14ac:dyDescent="0.25">
      <c r="D245" s="1" t="s">
        <v>500</v>
      </c>
      <c r="E245" s="37">
        <v>23</v>
      </c>
      <c r="F245" s="37">
        <v>0.79</v>
      </c>
      <c r="G245" s="37">
        <v>0.1</v>
      </c>
      <c r="H245" s="37">
        <v>0.34</v>
      </c>
      <c r="I245" s="37">
        <v>5.0000000000000001E-3</v>
      </c>
      <c r="J245" s="37">
        <v>0.01</v>
      </c>
      <c r="K245" s="37">
        <v>0.02</v>
      </c>
      <c r="L245" s="37">
        <v>0.03</v>
      </c>
      <c r="M245" s="37">
        <v>0.04</v>
      </c>
      <c r="N245" s="37">
        <v>1.4999999999999999E-2</v>
      </c>
      <c r="O245" s="37">
        <v>1.4999999999999999E-2</v>
      </c>
      <c r="P245" s="37">
        <v>0</v>
      </c>
      <c r="Q245" s="37">
        <v>0</v>
      </c>
      <c r="R245" s="37">
        <v>4.7000000000000002E-3</v>
      </c>
      <c r="S245" s="37">
        <v>23</v>
      </c>
    </row>
    <row r="246" spans="4:19" x14ac:dyDescent="0.25">
      <c r="D246" s="1" t="s">
        <v>500</v>
      </c>
      <c r="E246" s="37">
        <v>24</v>
      </c>
      <c r="F246" s="37">
        <v>0.79</v>
      </c>
      <c r="G246" s="37">
        <v>0.1</v>
      </c>
      <c r="H246" s="37">
        <v>0.37</v>
      </c>
      <c r="I246" s="37">
        <v>5.0000000000000001E-3</v>
      </c>
      <c r="J246" s="37">
        <v>0.01</v>
      </c>
      <c r="K246" s="37">
        <v>0.02</v>
      </c>
      <c r="L246" s="37">
        <v>0.03</v>
      </c>
      <c r="M246" s="37">
        <v>0.04</v>
      </c>
      <c r="N246" s="37">
        <v>1.4999999999999999E-2</v>
      </c>
      <c r="O246" s="37">
        <v>1.4999999999999999E-2</v>
      </c>
      <c r="P246" s="37">
        <v>0</v>
      </c>
      <c r="Q246" s="37">
        <v>0</v>
      </c>
      <c r="R246" s="37">
        <v>4.7000000000000002E-3</v>
      </c>
      <c r="S246" s="37">
        <v>24</v>
      </c>
    </row>
    <row r="247" spans="4:19" x14ac:dyDescent="0.25">
      <c r="D247" s="1" t="s">
        <v>500</v>
      </c>
      <c r="E247" s="37">
        <v>25</v>
      </c>
      <c r="F247" s="37">
        <v>0.79</v>
      </c>
      <c r="G247" s="37">
        <v>0.1</v>
      </c>
      <c r="H247" s="37">
        <v>0.41</v>
      </c>
      <c r="I247" s="37">
        <v>5.0000000000000001E-3</v>
      </c>
      <c r="J247" s="37">
        <v>0.01</v>
      </c>
      <c r="K247" s="37">
        <v>0.02</v>
      </c>
      <c r="L247" s="37">
        <v>0.03</v>
      </c>
      <c r="M247" s="37">
        <v>0.04</v>
      </c>
      <c r="N247" s="37">
        <v>1.4999999999999999E-2</v>
      </c>
      <c r="O247" s="37">
        <v>1.4999999999999999E-2</v>
      </c>
      <c r="P247" s="37">
        <v>0</v>
      </c>
      <c r="Q247" s="37">
        <v>0</v>
      </c>
      <c r="R247" s="37">
        <v>4.7000000000000002E-3</v>
      </c>
      <c r="S247" s="37">
        <v>25</v>
      </c>
    </row>
    <row r="248" spans="4:19" x14ac:dyDescent="0.25">
      <c r="D248" s="1" t="s">
        <v>498</v>
      </c>
      <c r="E248" s="37">
        <v>26</v>
      </c>
      <c r="F248" s="37">
        <v>0.79</v>
      </c>
      <c r="G248" s="37">
        <v>0.1</v>
      </c>
      <c r="H248" s="37">
        <v>0.44</v>
      </c>
      <c r="I248" s="37">
        <v>0.01</v>
      </c>
      <c r="J248" s="37">
        <v>1.4999999999999999E-2</v>
      </c>
      <c r="K248" s="37">
        <v>0.02</v>
      </c>
      <c r="L248" s="37">
        <v>0.03</v>
      </c>
      <c r="M248" s="37">
        <v>0.04</v>
      </c>
      <c r="N248" s="37">
        <v>1.4999999999999999E-2</v>
      </c>
      <c r="O248" s="37">
        <v>1.4999999999999999E-2</v>
      </c>
      <c r="P248" s="37">
        <v>0</v>
      </c>
      <c r="Q248" s="37">
        <v>0</v>
      </c>
      <c r="R248" s="37">
        <v>4.7000000000000002E-3</v>
      </c>
      <c r="S248" s="37">
        <v>26</v>
      </c>
    </row>
    <row r="249" spans="4:19" x14ac:dyDescent="0.25">
      <c r="D249" s="1" t="s">
        <v>498</v>
      </c>
      <c r="E249" s="37">
        <v>27</v>
      </c>
      <c r="F249" s="37">
        <v>0.8</v>
      </c>
      <c r="G249" s="37">
        <v>0.1</v>
      </c>
      <c r="H249" s="37">
        <v>0.48</v>
      </c>
      <c r="I249" s="37">
        <v>0.01</v>
      </c>
      <c r="J249" s="37">
        <v>1.4999999999999999E-2</v>
      </c>
      <c r="K249" s="37">
        <v>0.02</v>
      </c>
      <c r="L249" s="37">
        <v>0.03</v>
      </c>
      <c r="M249" s="37">
        <v>0.04</v>
      </c>
      <c r="N249" s="37">
        <v>1.4999999999999999E-2</v>
      </c>
      <c r="O249" s="37">
        <v>1.4999999999999999E-2</v>
      </c>
      <c r="P249" s="37">
        <v>0</v>
      </c>
      <c r="Q249" s="37">
        <v>0</v>
      </c>
      <c r="R249" s="37">
        <v>4.7000000000000002E-3</v>
      </c>
      <c r="S249" s="37">
        <v>27</v>
      </c>
    </row>
    <row r="250" spans="4:19" x14ac:dyDescent="0.25">
      <c r="D250" s="1" t="s">
        <v>498</v>
      </c>
      <c r="E250" s="37" t="s">
        <v>581</v>
      </c>
      <c r="F250" s="37">
        <v>0.8</v>
      </c>
      <c r="G250" s="37">
        <v>0.1</v>
      </c>
      <c r="H250" s="37">
        <v>0.5</v>
      </c>
      <c r="I250" s="37">
        <v>0.01</v>
      </c>
      <c r="J250" s="37">
        <v>1.4999999999999999E-2</v>
      </c>
      <c r="K250" s="37">
        <v>0.02</v>
      </c>
      <c r="L250" s="37">
        <v>0.03</v>
      </c>
      <c r="M250" s="37">
        <v>0.04</v>
      </c>
      <c r="N250" s="37">
        <v>1.4999999999999999E-2</v>
      </c>
      <c r="O250" s="37">
        <v>1.4999999999999999E-2</v>
      </c>
      <c r="P250" s="37">
        <v>0</v>
      </c>
      <c r="Q250" s="37">
        <v>0</v>
      </c>
      <c r="R250" s="37">
        <v>4.7000000000000002E-3</v>
      </c>
      <c r="S250" s="37">
        <v>28</v>
      </c>
    </row>
    <row r="253" spans="4:19" ht="23.25" x14ac:dyDescent="0.25">
      <c r="D253" s="6" t="s">
        <v>397</v>
      </c>
    </row>
    <row r="254" spans="4:19" x14ac:dyDescent="0.25">
      <c r="D254" s="5" t="s">
        <v>398</v>
      </c>
    </row>
    <row r="255" spans="4:19" x14ac:dyDescent="0.25">
      <c r="D255" s="1" t="s">
        <v>120</v>
      </c>
    </row>
    <row r="256" spans="4:19" x14ac:dyDescent="0.25">
      <c r="D256" s="52" t="s">
        <v>559</v>
      </c>
    </row>
    <row r="257" spans="4:5" x14ac:dyDescent="0.25">
      <c r="D257" s="37" t="s">
        <v>119</v>
      </c>
      <c r="E257" s="37" t="s">
        <v>120</v>
      </c>
    </row>
    <row r="258" spans="4:5" x14ac:dyDescent="0.25">
      <c r="D258" s="37" t="s">
        <v>399</v>
      </c>
      <c r="E258" s="37">
        <v>6.0000000000000001E-3</v>
      </c>
    </row>
    <row r="259" spans="4:5" x14ac:dyDescent="0.25">
      <c r="D259" s="1" t="s">
        <v>400</v>
      </c>
      <c r="E259" s="37">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GMAcgBpAHQAZQByAGkAYQAxACAAKgAgAGMAcgBpAHQAZQByAGkAYQAyACAAKgAgAEEAbQBvAHUAbgB0AEEAcABwAGwAaQBlAGQ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EAZwByAGUAcwBpAGQAdQBlAF8AUwBvAHUAcgBjAGUARABhAHQAYQAiACwAIgB0AGUAeAB0ACIAOgAiAC8AKgBcAG4APQA9AD0APQA9AD0APQA9AD0APQA9AD0APQA9AD0APQA9AD0APQA9AD0APQA9AD0APQA9AD0APQA9AD0APQA9AD0APQA9AD0APQA9AD0APQA9AD0APQA9AD0APQA9AD0APQA9AD0APQA9AD0APQA9AD0APQA9AD0APQA9AD0APQA9AD0APQA9AD0APQA9AD0APQA9AD0APQBcAG4AQwByAG8AcAAgAHAAdQByAHAAbwBzAGUAIABhAG4AZAAgAHkAaQBlAGwAZABcAG4APQA9AD0APQA9AD0APQA9AD0APQA9AD0APQA9AD0APQA9AD0APQA9AD0APQA9AD0APQA9AD0APQA9AD0APQA9AD0APQA9AD0APQA9AD0APQA9AD0APQA9AD0APQA9AD0APQA9AD0APQA9AD0APQA9AD0APQA9AD0APQA9AD0APQA9AD0APQA9AD0APQA9AD0APQA9AD0APQBcAG4AKgAvAFwAbgBcAG4AQwByAG8AcABQAHUAcgBwAG8AcwBlAEEAbgBkAFkAaQBlAGwAZABfAFQAaQB0AGwAZQBcAG4APQBMAEEATQBCAEQAQQAoACgAXAAiAEMAcgBvAHAAIABwAHUAcgBwAG8AcwBlACAAYQBuAGQAIAB5AGkAZQBsAGQAXAAiACkAKQA7AFwAbgBcAG4AQwByAG8AcABQAHUAcgBwAG8AcwBlAEEAbgBkAFkAaQBlAGwAZABfAEQAYQB0AGEAXABuAD0ATABBAE0AQgBEAEEAKABcAG4AIAAgAE0AQQBLAEUAQQBSAFIAQQBZACgANAAsACAAOAAsAFwAbgAgACAAIAAgAEwAQQBNAEIARABBACgAcgAsAGMALABcAG4AIAAgACAAIAAgACAASQBOAEQARQBYACgAewBcAG4AIAAgACAAIAAgACAAIAAgAFwAIgBQAHUAcgBwAG8AcwBlAFwAIgAsACAAXAAiAFAAZQByACAAaABlAGMAdABhAHIAZQAgAHUAbgBpAHQAXAAiACwAIABcACIAaABhAHIAdgBlAHMAdAAgAHQAZQByAG0AXAAiACwAIABcACIAaABhAHIAdgBlAHMAdAAgAGUAbgBkAHAAbwBpAG4AdABcACIALAAgAFwAIgBIAGEAcgB2AGUAcwB0ACAAdQBpAHQAXAAiACwAIABcACIAWQBpAGUAbABkACAAbgBvAHQAZQBcACIALAAgAFwAIgBSAGUAcwBpAGQAdQBlACAAYwByAG8AcAAgAHIAYQB0AGkAbwAgAG4AbwB0AGUAXAAiACwAIABcACIAVABvAHQAYQBsACAAcAByAG8AZAB1AGMAdABpAG8AbgAgAG4AbwB0AGUAXAAiADsAXABuACAAIAAgACAAIAAgACAAIABcACIAQwBhAHMAaAAgAGcAcgBhAGkAbgAgAGMAcgBvAHAAXAAiACwAIABcACIAZwByAGEAaQBuAFwAIgAsACAAXAAiAHkAaQBlAGwAZABcACIALAAgAFwAIgBoAGEAcgB2AGUAcwB0AFwAIgAsACAAXAAiAGcAcgBhAGkAbgBcACIALAAgAFwAIgBZAGkAZQBsAGQAIABpAHMAIAB0AGgAZQAgAGcAcgBhAGkAbgAgAGgAYQByAHYAZQBzAHQAZQBkACAAZgByAG8AbQAgAHQAaABlACAAcABsAGEAbgB0AFwAIgAsACAAXAAiAFIAZQBzAGkAZAB1AGUAIAB0AG8AIABjAHIAbwBwACAAcgBhAHQAaQBvACAAaQBzACAAcAByAG8AdgBpAGQAZQBkACAAZgByAG8AbQAgAGQAZQBmAGEAdQBsAHQAIAB2AGEAbAB1AGUAcwBcACIALAAgAFwAIgBUAG8AdABhAGwAIABwAHIAbwBkAHUAYwB0AGkAbwBuACAAaQBzACAAdABoAGUAIAB0AG8AdABhAGwAIABnAHIAYQBpAG4AIABoAGEAcgB2AGUAcwB0AGUAZABcACIAOwBcAG4AIAAgACAAIAAgACAAIAAgAFwAIgBDAGEAcwBoACAAYwByAG8AcAAgAGYAbwByACAAaABhAHkALwBzAGkAbABhAGcAZQBcACIALAAgAFwAIgBhAGIAbwB2AGUAIABnAHIAbwB1AG4AZAAgAGIAaQBvAG0AYQBzAHMAXAAiACwAIABcACIAeQBpAGUAbABkAFwAIgAsACAAXAAiAGgAYQByAHYAZQBzAHQAXAAiACwAIABcACIAcABsAGEAbgB0ACAAYgBpAG8AbQBhAHMAcwBcACIALAAgAFwAIgBZAGkAZQBsAGQAIABpAHMAIAB0AGgAZQAgAHcAaABvAGwAZQAgAHAAbABhAG4AdAAgAGgAYQByAHYAZQBzAHQAZQBkACAAZgBvAHIAIABoAGEAeQAvAHMAaQBsAGEAZwBlAFwAIgAsACAAXAAiAFIAZQBzAGkAZAB1AGUAIAB0AG8AIABjAHIAbwBwACAAcgBhAHQAaQBvACAAaQBzACAAMAAgAGEAcwBzAHUAbQBpAG4AZwAgAHQAaABlACAAdwBoAG8AbABlACAAcABsAGEAbgB0ACAAaQBzACAAaABhAHIAdgBlAHMAdABlAGQAIABmAG8AcgAgAGgAYQB5AC8AcwBpAGwAYQBnAGUAXAAiACwAIABcACIAVABvAHQAYQBsACAAcAByAG8AZAB1AGMAdABpAG8AbgAgAGkAcwAgAHQAaABlACAAdABvAHQAYQBsACAAdwBoAG8AbABlACAAcABsAGEAbgB0ACAAYgBpAG8AbQBhAHMAcwAgAGgAYQByAHYAZQBzAHQAZQBkACAAYQBzACAAaABhAHkALwBzAGkAbABhAGcAZQBcACIAOwBcAG4AIAAgACAAIAAgACAAIAAgAFwAIgBDAG8AdgBlAHIAIABjAHIAbwBwAFwAIgAsACAAXAAiAGEAYgBvAHYAZQAgAGcAcgBvAHUAbgBkACAAYgBpAG8AbQBhAHMAcwBcACIALAAgAFwAIgBtAGEAcwBzAFwAIgAsACAAXAAiAGUAbgBkACAAbwBmACAAYwByAG8AcAAgAGMAeQBjAGwAZQBcACIALAAgAFwAIgBhAGIAbwB2AGUAIABnAHIAbwB1AG4AZAAgAGIAaQBvAG0AYQBzAHMAXAAiACwAIABcACIAWQBpAGUAbABkACAAaQBzACAAdABoAGUAIAB3AGgAbwBsAGUAIABwAGwAYQBuAHQAIABrAGUAcAB0ACAAYQBzACAAYwBvAHYAZQByACAAYwByAG8AcABcACIALAAgAFwAIgBSAGUAcwBpAGQAdQBlACAAdABvACAAYwByAG8AcAAgAHIAYQB0AGkAbwAgAGkAcwAgADEAIABhAHMAcwB1AG0AaQBuAGcAIAB0AGgAZQAgAHcAaABvAGwAZQAgAHAAbABhAG4AdAAgAGkAcwAgAGsAZQBwAHQAIABhAHMAIABjAG8AdgBlAHIAIABjAHIAbwBwAFwAIgAsACAAXAAiAFQAbwB0AGEAbAAgAHAAcgBvAGQAdQBjAHQAaQBvAG4AIABpAHMAIAB0AGgAZQAgAHQAbwB0AGEAbAAgAHcAaABvAGwAZQAgAHAAbABhAG4AdAAgAGIAaQBvAG0AYQBzAHMAIABrAGUAcAB0ACAAYQBzACAAYwBvAHYAZQByACAAYwByAG8Ac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QwByAG8AcAAgAGEAdAB0AHIAaQBiAHUAdABlAHMAXABuAD0APQA9AD0APQA9AD0APQA9AD0APQA9AD0APQA9AD0APQA9AD0APQA9AD0APQA9AD0APQA9AD0APQA9AD0APQA9AD0APQA9AD0APQA9AD0APQA9AD0APQA9AD0APQA9AD0APQA9AD0APQA9AD0APQA9AD0APQA9AD0APQA9AD0APQA9AD0APQA9AD0APQA9AD0APQA9AD0AXABuACoALwBcAG4AXABuAEMAcgBvAHAAQQB0AHQAcgBpAGIAdQB0AGUAcwBfAFQAaQB0AGwAZQBcAG4APQBMAEEATQBCAEQAQQAoACgAXAAiAFQAYQBiAGwAZQAgAEEALgAyAC4AMQAuADEAOgAgAEMAcgBvAHAAIABhAHQAdAByAGkAYgB1AHQAZQBzAFwAIgApACkAOwBcAG4AXABuAEMAcgBvAHAAQQB0AHQAcgBpAGIAdQB0AGUAcwBfAEQAZQBzAGMAcgBpAHAAdABpAG8AbgBcAG4APQBMAEEATQBCAEQAQQAoACgAXAAiAEMAcgBvAHAAIABhAHQAdAByAGkAYgB1AHQAZQBzAFwAIgApACkAOwBcAG4AXABuAEMAcgBvAHAAQQB0AHQAcgBpAGIAdQB0AGUAcwBfAFMAbwB1AHIAYwBlAFwAbgA9AEwAQQBNAEIARABBACgAKABcACIAVgBFAEUAUgBHACAAMgAwADIANgA6ACAAVABhAGIAbABlACAAQQAuADIALgAxAC4AMQA6ACAAQwByAG8AcAAgAGEAdAB0AHIAaQBiAHUAdABlAHMAXAAiACkAKQA7AFwAbgBcAG4AQwByAG8AcABBAHQAdAByAGkAYgB1AHQAZQBzAF8ARABhAHQAYQBcAG4APQBMAEEATQBCAEQAQQAoAFwAbgAgACAATQBBAEsARQBBAFIAUgBBAFkAKAAyADAALAAgADkALABcAG4AIAAgACAAIABMAEEATQBCAEQAQQAoAHIALABjACwAXABuACAAIAAgACAAIAAgAEkATgBEAEUAWAAoAHsAXABuACAAIAAgACAAIAAgACAAIABcACIAQwByAG8AcAAgAHQAeQBwAGUAXAAiACwAIABcACIAUgBlAHMAaQBkAHUAZQA6ACAAQwByAG8AcAAgAHIAYQB0AGkAbwBcACIALAAgAFwAIgBCAGUAbABvAHcALQBnAHIAbwB1AG4AZAA6ACAAYQBiAG8AdgBlAC0AZwByAG8AdQBuAGQAIAByAGUAcwBpAGQAdQBlACAAcgBhAHQAaQBvAFwAIgAsACAAXAAiAEQAcgB5ACAAbQBhAHQAdABlAHIAIABjAG8AbgB0AGUAbgB0AFwAIgAsACAAXAAiAEMAYQByAGIAbwBuACAAZgByAGEAYwB0AGkAbwBuACAAaQBuACAAZAByAHkAIABtAGEAdAB0AGUAcgBcACIALAAgAFwAIgBOACAAYwBvAG4AdABlAG4AdAAgAGEAYgBvAHYAZQAtAGcAcgBvAHUAbgBkAFwAIgAsACAAXAAiAE4AIABjAG8AbgB0AGUAbgB0ACAAYgBlAGwAbwB3AC0AZwByAG8AdQBuAGQAXAAiACwAIABcACIARgByAGEAYwB0AGkAbwBuACAAbwBmACAAcgBlAHMAaQBkAHUAZQAgAHIAZQBtAGEAaQBuAGkAbgBnACAAYQB0ACAAdABpAG0AZQAgAG8AZgAgAGIAdQByAG4AaQBuAGcAXAAiACwAIABcACIAQgB1AHIAbgBpAG4AZwAgAGUAZgBmAGkAYwBpAGUAbgBjAHkAdABcACIAOwBcAG4AIAAgACAAIAAgACAAIAAgAFwAIgBjAFwAIgAsACAAXAAiAFIAQQBHAGMAXAAiACwAIABcACIAUgBCAEcAYwBcACIALAAgAFwAIgBEAE0AYwBcACIALAAgAFwAIgBDAEMAYwBcACIALAAgAFwAIgBOAEMAQQBHAGMAXAAiACwAIABcACIATgBDAEIARwBjAFwAIgAsACAAXAAiAFMAYwBcACIALAAgAFwAIgBaAGMAXAAiADsAXABuACAAIAAgACAAIAAgACAAIABcACIAVwBoAGUAYQB0AFwAIgAsACAAMQAuADUAMAAsACAAMAAuADIAOQAsACAAMAAuADgAOAAsACAAMAAuADQAMAAsACAAMAAuADAAMAA2ACwAIAAwAC4AMAAxADAALAAgADAALgA1ACwAIAAwAC4AOQAwADsAXABuACAAIAAgACAAIAAgACAAIABcACIAQgBhAHIAbABlAHkAXAAiACwAIAAxAC4AMgA0ACwAIAAwAC4AMwAyACwAIAAwAC4AOAA4ACwAIAAwAC4ANAAwACwAIAAwAC4AMAAwADcALAAgADAALgAwADEAMAAsACAAMAAuADUALAAgADAALgA4ADUAOwBcAG4AIAAgACAAIAAgACAAIAAgAFwAIgBNAGEAaQB6AGUAXAAiACwAIAAwAC4AOAAxACwAIAAwAC4AMwA5ACwAIAAwAC4AOAA1ACwAIAAwAC4ANAAyACwAIAAwAC4AMAAwADUALAAgADAALgAwADAANwAsACAAMQAuADAALAAgADAALgA4ADAAOwBcAG4AIAAgACAAIAAgACAAIAAgAFwAIgBPAGEAdABzAFwAIgAsACAAMQAuADQAMgAsACAAMAAuADQAMwAsACAAMAAuADgAOAAsACAAMAAuADQAMAAsACAAMAAuADAAMAA2ACwAIAAwAC4AMAAxADAALAAgADAALgA1ACwAIAAwAC4AOAA1ADsAXABuACAAIAAgACAAIAAgACAAIABcACIAUgBpAGMAZQBcACIALAAgADEALgAzADEALAAgADAALgAxADYALAAgADAALgA4ADAALAAgADAALgA0ADIALAAgADAALgAwADAANwAsACAAMAAuADAAMQAwACwAIAAxAC4AMAAsACAAMAAuADgAMAA7AFwAbgAgACAAIAAgACAAIAAgACAAXAAiAFMAbwByAGcAaAB1AG0AXAAiACwAIAAxAC4ANQAwACwAIAAwAC4AMgAyACwAIAAwAC4AOAAwACwAIAAwAC4ANAAwACwAIAAwAC4AMAAwADgALAAgADAALgAwADAANwAsACAAMAAuADUALAAgADAALgA4ADUAOwBcAG4AIAAgACAAIAAgACAAIAAgAFwAIgBUAHIAaQB0AGkAYwBhAGwAZQBcACIALAAgADEALgA1ADAALAAgADAALgA0ADIALAAgADAALgA4ADgALAAgADAALgA0ADAALAAgADAALgAwADAANgAsACAAMAAuADAAMQAwACwAIAAwAC4ANQAsACAAMAAuADgANQA7AFwAbgAgACAAIAAgACAAIAAgACAAXAAiAE8AdABoAGUAcgAgAGMAZQByAGUAYQBsAHMAXAAiACwAIAAxAC4ANAA2ACwAIAAwAC4AMwA2ACwAIAAwAC4AOAA4ACwAIAAwAC4ANAAwACwAIAAwAC4AMAAwADYALAAgADAALgAwADEAMAAsACAAMAAuADUALAAgADAALgA4ADUAOwBcAG4AIAAgACAAIAAgACAAIAAgAFwAIgBQAHUAbABzAGUAcwBcACIALAAgADEALgAzADcALAAgADAALgA1ADEALAAgADAALgA4ADcALAAgADAALgA0ADAALAAgADAALgAwADAAOQAsACAAMAAuADAAMQAwACwAIAAwAC4ANQAsACAAMAAuADgANQA7AFwAbgAgACAAIAAgACAAIAAgACAAXAAiAFQAdQBiAGUAcgBzACAAYQBuAGQAIAByAG8AbwB0AHMAXAAiACwAIAAwAC4AMwA0ACwAIAAwAC4ANAAzACwAIAAwAC4AMgA1ACwAIAAwAC4ANAAwACwAIAAwAC4AMAAyADAALAAgADAALgAwADEAMAAsACAAXAAiAG4ALwBhAFwAIgAsACAAMAAuADgANQA7AFwAbgAgACAAIAAgACAAIAAgACAAXAAiAFAAZQBhAG4AdQB0AHMAXAAiACwAIAAxAC4AMAA3ACwAIAAwAC4AMgAwACwAIAAwAC4AOAAwACwAIAAwAC4ANAAyACwAIAAwAC4AMAAxADYALAAgADAALgAwADEANAAsACAAMAAuADUALAAgADAALgA4ADUAOwBcAG4AIAAgACAAIAAgACAAIAAgAFwAIgBTAHUAZwBhAHIAIABjAGEAbgBlAFwAIgAsACAAMAAuADIANQAsACAAMAAuADQANQAsACAAMAAuADIAMAAsACAAMAAuADQAMAAsACAAMAAuADAAMAA1ACwAIAAwAC4AMAAwADcALAAgADEALgAwACwAIAAwAC4AOAAwADsAXABuACAAIAAgACAAIAAgACAAIABcACIAQwBvAHQAdABvAG4AXAAiACwAIAAxAC4AOQAwACwAIAAwAC4AMwAwACwAIAAwAC4AOQAwACwAIAAwAC4ANAAwACwAIAAwAC4AMAAxACwAIAAwAC4AMAAxACwAIABcACIAbgAvAGEAXAAiACwAIAAwAC4AOAA1ADsAXABuACAAIAAgACAAIAAgACAAIABcACIASABvAHAAcwBcACIALAAgADEALgA1ADAALAAgADAALgAyADkALAAgADAALgA4ADgALAAgADAALgA0ADAALAAgADAALgAwADAANgAsACAAXAAiAG4ALwBhAFwAIgAsACAAXAAiAG4ALwBhAFwAIgAsACAAMAAuADgANQA7AFwAbgAgACAAIAAgACAAIAAgACAAXAAiAE8AaQBsAHMAZQBlAGQAcwBcACIALAAgADIALgAwADgALAAgADAALgAzADMALAAgADAALgA5ADYALAAgADAALgA0ADAALAAgADAALgAwADAAOQAsACAAMAAuADAAMQAwACwAIAAwAC4ANQAsACAAMAAuADgANQA7AFwAbgAgACAAIAAgACAAIAAgACAAXAAiAEYAbwByAGEAZwBlACAAYwByAG8AcABzAFwAIgAsACAAMQAuADMANAAsACAAMAAuADMANwAsACAAMAAuADgAOAAsACAAMAAuADQAMAAsACAAMAAuADAAMAA2ACwAIAAwAC4AMAAxADAALAAgAFwAIgBuAC8AYQBcACIALAAgADAALgA4ADUAOwBcAG4AIAAgACAAIAAgACAAIAAgAFwAIgBPAHQAaABlAHIAIABhAG4AbgB1AGEAbAAgAGMAcgBvAHAAcwBcACIALAAgADEALgAwADAALAAgADAALgAyADIALAAgADAALgA4ADUALAAgADAALgA0ADAALAAgADAALgAwADAAOAAsACAAMAAuADAAMAA5ACwAIABcACIAbgAvAGEAXAAiACwAIABcACIAbgAvAGEAXAAiADsAXABuACAAIAAgACAAIAAgACAAIABcACIATwB0AGgAZQByACAAcABlAHIAZQBuAG4AaQBhAGwAIABjAHIAbwBwAHMAXAAiACwAIAAxAC4ANQAsACAAMAAuADIAOQAsACAAMAAuADgAOAAsACAAMAAuADQALAAgADAALgAwADAANgAsACAAXAAiAG4ALwBhAFwAIgAsACAAXAAiAG4ALwBhAFwAIgAsACAAXAAiAG4ALwBhAFwAIgBcAG4AIAAgACAAIAAgACAAfQAsACAAcgAsACAAYwApAFwAbgApACkAKQA7AFwAbgBcAG4AQwByAG8AcABBAHQAdAByAGkAYgB1AHQAZQBzAF8AVgBhAHIAaQBhAHQAaQBvAG4AXABuAD0ATABBAE0AQgBEAEEAKAAoAFwAIgBWAEEAUgBJAEEAVABJAE8ATgAgAEYAUgBPAE0AIABTAE8AVQBSAEMARQA6ACAAXAB1ADAAMAAyADcATgAvAEEAXAB1ADAAMAAyADcAIAB2AGEAbAB1AGUAcwAgAHAAYQBzAHMAZQBkACAAYQBzACAAegBlAHIAbwAgAGYAbwByACAAYwBhAGwAYwB1AGwAYQB0AGkAbwBuAHMALgBcACIAKQApADsAXABuAFwAbgAvACoAXABuAD0APQA9AD0APQA9AD0APQA9AD0APQA9AD0APQA9AD0APQA9AD0APQA9AD0APQA9AD0APQA9AD0APQA9AD0APQA9AD0APQA9AD0APQA9AD0APQA9AD0APQA9AD0APQA9AD0APQA9AD0APQA9AD0APQA9AD0APQA9AD0APQA9AD0APQA9AD0APQA9AD0APQA9AD0APQA9AD0AXABuAEMAcgBvAHAAIABhAHQAdAByAGkAYgB1AHQAZQBzACAALQAgAEYAcgBhAGMAdABpAG8AbgAgAHIAZQBtAG8AdgBlAGQAIAAoAEYARgBPAEQAYwApAFwAbgA9AD0APQA9AD0APQA9AD0APQA9AD0APQA9AD0APQA9AD0APQA9AD0APQA9AD0APQA9AD0APQA9AD0APQA9AD0APQA9AD0APQA9AD0APQA9AD0APQA9AD0APQA9AD0APQA9AD0APQA9AD0APQA9AD0APQA9AD0APQA9AD0APQA9AD0APQA9AD0APQA9AD0APQA9AD0APQA9AFwAbgAqAC8AXABuAFwAbgBDAHIAbwBwAEYAcgBhAGMAdABpAG8AbgBSAGUAbQBvAHYAZQBkAF8AVABpAHQAbABlAFwAbgA9AEwAQQBNAEIARABBACgAKABcACIAVABhAGIAbABlACAAQQAuADIALgAxAC4AMgA6ACAAQwByAG8AcAAgAGEAdAB0AHIAaQBiAHUAdABlAHMAIAAtACAARgByAGEAYwB0AGkAbwBuACAAcgBlAG0AbwB2AGUAZAAgACgARgBGAE8ARABjACkAXAAiACkAKQA7AFwAbgBcAG4AQwByAG8AcABGAHIAYQBjAHQAaQBvAG4AUgBlAG0AbwB2AGUAZABfAEQAZQBzAGMAcgBpAHAAdABpAG8AbgBcAG4APQBMAEEATQBCAEQAQQAoACgAXAAiAEMAcgBvAHAAIABhAHQAdAByAGkAYgB1AHQAZQBzACAALQAgAEYAcgBhAGMAdABpAG8AbgAgAHIAZQBtAG8AdgBlAGQAIAAoAEYARgBPAEQAYwApAFwAIgApACkAOwBcAG4AXABuAEMAcgBvAHAARgByAGEAYwB0AGkAbwBuAFIAZQBtAG8AdgBlAGQAXwBTAG8AdQByAGMAZQBcAG4APQBMAEEATQBCAEQAQQAoACgAXAAiAFYARQBFAFIARwAgADIAMAAyADYAOgAgAFQAYQBiAGwAZQAgAEEALgAyAC4AMQAuADIAOgAgAEMAcgBvAHAAIABhAHQAdAByAGkAYgB1AHQAZQBzACAALQAgAEYAcgBhAGMAdABpAG8AbgAgAHIAZQBtAG8AdgBlAGQAIAAoAEYARgBPAEQAYwApAFwAIgApACkAOwBcAG4AXABuAEMAcgBvAHAARgByAGEAYwB0AGkAbwBuAFIAZQBtAG8AdgBlAGQAXwBEAGEAdABhAFwAbgA9AEwAQQBNAEIARABBACgAXABuACAAIABNAEEASwBFAEEAUgBSAEEAWQAoADIAMAAsACAAMwAsAFwAbgAgACAAIAAgAEwAQQBNAEIARABBACgAcgAsAGMALABcAG4AIAAgACAAIAAgACAASQBOAEQARQBYACgAewBcAG4AIAAgACAAIAAgACAAIAAgAFwAIgBDAHIAbwBwACAAdAB5AHAAZQAgAGMAXAAiACwAIABcACIAUwB0AGEAdABlAFwAIgAsACAAXAAiAEYAcgBhAGMAdABpAG8AbgAgAHIAZQBtAG8AdgBlAGQAIABGAEYATwBEAGMAXAAiADsAXABuACAAIAAgACAAIAAgACAAIABcACIAUgBpAGMAZQBcACIALAAgAFwAIgBBAGwAbAAgAHMAdABhAHQAZQBzAFwAIgAsACAAMAAuADAANgA7AFwAbgAgACAAIAAgACAAIAAgACAAXAAiAFQAdQBiAGUAcgBzACAAYQBuAGQAIAByAG8AbwB0AHMAXAAiACwAIABcACIAQQBsAGwAIABzAHQAYQB0AGUAcwBcACIALAAgADEAOwBcAG4AIAAgACAAIAAgACAAIAAgAFwAIgBDAG8AdAB0AG8AbgBcACIALAAgAFwAIgBBAGwAbAAgAHMAdABhAHQAZQBzAFwAIgAsACAAMAA7AFwAbgAgACAAIAAgACAAIAAgACAAXAAiAEgAbwBwAHMAXAAiACwAIABcACIAQQBsAGwAIABzAHQAYQB0AGUAcwBcACIALAAgADAAOwBcAG4AIAAgACAAIAAgACAAIAAgAFwAIgBGAG8AcgBhAGcAZQAgAGMAcgBvAHAAcwBcACIALAAgAFwAIgBBAGwAbAAgAHMAdABhAHQAZQBzAFwAIgAsACAAMAAuADgAOwBcAG4AIAAgACAAIAAgACAAIAAgAFwAIgBTAHUAZwBhAHIAIABDAGEAbgBlAFwAIgAsACAAXAAiAE4AUwBXAFwAIgAsACAAMAA7AFwAbgAgACAAIAAgACAAIAAgACAAXAAiAFMAdQBnAGEAcgAgAEMAYQBuAGUAXAAiACwAIABcACIAUQBMAEQAXAAiACwAIAAwAC4AMAAzADsAXABuACAAIAAgACAAIAAgACAAIABcACIAUwB1AGcAYQByACAAQwBhAG4AZQBcACIALAAgAFwAIgBXAEEAXAAiACwAIAAwADsAXABuACAAIAAgACAAIAAgACAAIABcACIAQQBsAGwAIABvAHQAaABlAHIAIABjAHIAbwBwACAAdAB5AHAAZQBzAFwAIgAsACAAXAAiAE4AUwBXAFwAIgAsACAAMAAuADAANQA7AFwAbgAgACAAIAAgACAAIAAgACAAXAAiAEEAbABsACAAbwB0AGgAZQByACAAYwByAG8AcAAgAHQAeQBwAGUAcwBcACIALAAgAFwAIgBWAEkAQwBcACIALAAgADAALgAwADcAOwBcAG4AIAAgACAAIAAgACAAIAAgAFwAIgBBAGwAbAAgAG8AdABoAGUAcgAgAGMAcgBvAHAAIAB0AHkAcABlAHMAXAAiACwAIABcACIAUQBMAEQAXAAiACwAIAAwAC4AMAA0ADsAXABuACAAIAAgACAAIAAgACAAIABcACIAQQBsAGwAIABvAHQAaABlAHIAIABjAHIAbwBwACAAdAB5AHAAZQBzAFwAIgAsACAAXAAiAFMAQQBcACIALAAgADAALgAwADkAOwBcAG4AIAAgACAAIAAgACAAIAAgAFwAIgBBAGwAbAAgAG8AdABoAGUAcgAgAGMAcgBvAHAAIAB0AHkAcABlAHMAXAAiACwAIABcACIAVwBBAFwAIgAsACAAMAAuADEAMQA7AFwAbgAgACAAIAAgACAAIAAgACAAXAAiAEEAbABsACAAbwB0AGgAZQByACAAYwByAG8AcAAgAHQAeQBwAGUAcwBcACIALAAgAFwAIgBUAEEAUwBcACIALAAgADAALgAxADYAOwBcAG4AIAAgACAAIAAgACAAIAAgAFwAIgBBAGwAbAAgAG8AdABoAGUAcgAgAGMAcgBvAHAAIAB0AHkAcABlAHMAXAAiACwAIABcACIATgBUAFwAIgAsACAAMAAuADAAMQA7AFwAbgAgACAAIAAgACAAIAAgACAAXAAiAEEAbABsACAAbwB0AGgAZQByACAAYwByAG8AcAAgAHQAeQBwAGUAcwBcACIALAAgAFwAIgBBAEMAVABcACIALAAgADAALgAwADAAXABuACAAIAAgACAAIAAgAH0ALAAgAHIALAAgAGMAKQBcAG4AKQApACkAOwBcAG4AXABuAEMAcgBvAHAARgByAGEAYwB0AGkAbwBuAFIAZQBtAG8AdgBlAGQAXwBDAHUAcwB0AG8AbQBpAHMAZQBkAEQAYQB0AGEAXABuAD0ATABBAE0AQgBEAEEAKABcAG4AIAAgAE0AQQBLAEUAQQBSAFIAQQBZACgAMQA0ADQ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TgBTAFcAXAAiACwAIAAwAC4AMAA2ADsAXABuACAAIAAgACAAIAAgACAAIABcACIAUgBpAGMAZQBcACIALAAgAFwAIgBWAEkAQwBcACIALAAgADAALgAwADYAOwBcAG4AIAAgACAAIAAgACAAIAAgAFwAIgBSAGkAYwBlAFwAIgAsACAAXAAiAFEATABEAFwAIgAsACAAMAAuADAANgA7AFwAbgAgACAAIAAgACAAIAAgACAAXAAiAFIAaQBjAGUAXAAiACwAIABcACIAUwBBAFwAIgAsACAAMAAuADAANgA7AFwAbgAgACAAIAAgACAAIAAgACAAXAAiAFIAaQBjAGUAXAAiACwAIABcACIAVwBBAFwAIgAsACAAMAAuADAANgA7AFwAbgAgACAAIAAgACAAIAAgACAAXAAiAFIAaQBjAGUAXAAiACwAIABcACIAVABBAFMAXAAiACwAIAAwAC4AMAA2ADsAXABuACAAIAAgACAAIAAgACAAIABcACIAUgBpAGMAZQBcACIALAAgAFwAIgBOAFQAXAAiACwAIAAwAC4AMAA2ADsAXABuACAAIAAgACAAIAAgACAAIABcACIAUgBpAGMAZQBcACIALAAgAFwAIgBBAEMAVABcACIALAAgADAALgAwADYAOwBcAG4AIAAgACAAIAAgACAAIAAgAFwAIgBUAHUAYgBlAHIAcwAgAGEAbgBkACAAcgBvAG8AdABzAFwAIgAsACAAXAAiAE4AUwBXAFwAIgAsACAAMQA7AFwAbgAgACAAIAAgACAAIAAgACAAXAAiAFQAdQBiAGUAcgBzACAAYQBuAGQAIAByAG8AbwB0AHMAXAAiACwAIABcACIAVgBJAEMAXAAiACwAIAAxADsAXABuACAAIAAgACAAIAAgACAAIABcACIAVAB1AGIAZQByAHMAIABhAG4AZAAgAHIAbwBvAHQAcwBcACIALAAgAFwAIgBRAEwARABcACIALAAgADEAOwBcAG4AIAAgACAAIAAgACAAIAAgAFwAIgBUAHUAYgBlAHIAcwAgAGEAbgBkACAAcgBvAG8AdABzAFwAIgAsACAAXAAiAFMAQQBcACIALAAgADEAOwBcAG4AIAAgACAAIAAgACAAIAAgAFwAIgBUAHUAYgBlAHIAcwAgAGEAbgBkACAAcgBvAG8AdABzAFwAIgAsACAAXAAiAFcAQQBcACIALAAgADEAOwBcAG4AIAAgACAAIAAgACAAIAAgAFwAIgBUAHUAYgBlAHIAcwAgAGEAbgBkACAAcgBvAG8AdABzAFwAIgAsACAAXAAiAFQAQQBTAFwAIgAsACAAMQA7AFwAbgAgACAAIAAgACAAIAAgACAAXAAiAFQAdQBiAGUAcgBzACAAYQBuAGQAIAByAG8AbwB0AHMAXAAiACwAIABcACIATgBUAFwAIgAsACAAMQA7AFwAbgAgACAAIAAgACAAIAAgACAAXAAiAFQAdQBiAGUAcgBzACAAYQBuAGQAIAByAG8AbwB0AHMAXAAiACwAIABcACIAQQBDAFQAXAAiACwAIAAxADsAXABuACAAIAAgACAAIAAgACAAIABcACIAQwBvAHQAdABvAG4AXAAiACwAIABcACIATgBTAFcAXAAiACwAIAAwADsAXABuACAAIAAgACAAIAAgACAAIABcACIAQwBvAHQAdABvAG4AXAAiACwAIABcACIAVgBJAEMAXAAiACwAIAAwADsAXABuACAAIAAgACAAIAAgACAAIABcACIAQwBvAHQAdABvAG4AXAAiACwAIABcACIAUQBMAEQAXAAiACwAIAAwADsAXABuACAAIAAgACAAIAAgACAAIABcACIAQwBvAHQAdABvAG4AXAAiACwAIABcACIAUwBBAFwAIgAsACAAMAA7AFwAbgAgACAAIAAgACAAIAAgACAAXAAiAEMAbwB0AHQAbwBuAFwAIgAsACAAXAAiAFcAQQBcACIALAAgADAAOwBcAG4AIAAgACAAIAAgACAAIAAgAFwAIgBDAG8AdAB0AG8AbgBcACIALAAgAFwAIgBUAEEAUwBcACIALAAgADAAOwBcAG4AIAAgACAAIAAgACAAIAAgAFwAIgBDAG8AdAB0AG8AbgBcACIALAAgAFwAIgBOAFQAXAAiACwAIAAwADsAXABuACAAIAAgACAAIAAgACAAIABcACIAQwBvAHQAdABvAG4AXAAiACwAIABcACIAQQBDAFQAXAAiACwAIAAwADsAXABuACAAIAAgACAAIAAgACAAIABcACIASABvAHAAcwBcACIALAAgAFwAIgBOAFMAVwBcACIALAAgADAAOwBcAG4AIAAgACAAIAAgACAAIAAgAFwAIgBIAG8AcABzAFwAIgAsACAAXAAiAFYASQBDAFwAIgAsACAAMAA7AFwAbgAgACAAIAAgACAAIAAgACAAXAAiAEgAbwBwAHMAXAAiACwAIABcACIAUQBMAEQAXAAiACwAIAAwADsAXABuACAAIAAgACAAIAAgACAAIABcACIASABvAHAAcwBcACIALAAgAFwAIgBTAEEAXAAiACwAIAAwADsAXABuACAAIAAgACAAIAAgACAAIABcACIASABvAHAAcwBcACIALAAgAFwAIgBXAEEAXAAiACwAIAAwADsAXABuACAAIAAgACAAIAAgACAAIABcACIASABvAHAAcwBcACIALAAgAFwAIgBUAEEAUwBcACIALAAgADAAOwBcAG4AIAAgACAAIAAgACAAIAAgAFwAIgBIAG8AcABzAFwAIgAsACAAXAAiAE4AVABcACIALAAgADAAOwBcAG4AIAAgACAAIAAgACAAIAAgAFwAIgBIAG8AcABzAFwAIgAsACAAXAAiAEEAQwBUAFwAIgAsACAAMAA7AFwAbgAgACAAIAAgACAAIAAgACAAXAAiAEYAbwByAGEAZwBlACAAYwByAG8AcABzAFwAIgAsACAAXAAiAE4AUwBXAFwAIgAsACAAMAAuADgAOwBcAG4AIAAgACAAIAAgACAAIAAgAFwAIgBGAG8AcgBhAGcAZQAgAGMAcgBvAHAAcwBcACIALAAgAFwAIgBWAEkAQwBcACIALAAgADAALgA4ADsAXABuACAAIAAgACAAIAAgACAAIABcACIARgBvAHIAYQBnAGUAIABjAHIAbwBwAHMAXAAiACwAIABcACIAUQBMAEQAXAAiACwAIAAwAC4AOAA7AFwAbgAgACAAIAAgACAAIAAgACAAXAAiAEYAbwByAGEAZwBlACAAYwByAG8AcABzAFwAIgAsACAAXAAiAFMAQQBcACIALAAgADAALgA4ADsAXABuACAAIAAgACAAIAAgACAAIABcACIARgBvAHIAYQBnAGUAIABjAHIAbwBwAHMAXAAiACwAIABcACIAVwBBAFwAIgAsACAAMAAuADgAOwBcAG4AIAAgACAAIAAgACAAIAAgAFwAIgBGAG8AcgBhAGcAZQAgAGMAcgBvAHAAcwBcACIALAAgAFwAIgBUAEEAUwBcACIALAAgADAALgA4ADsAXABuACAAIAAgACAAIAAgACAAIABcACIARgBvAHIAYQBnAGUAIABjAHIAbwBwAHMAXAAiACwAIABcACIATgBUAFwAIgAsACAAMAAuADgAOwBcAG4AIAAgACAAIAAgACAAIAAgAFwAIgBGAG8AcgBhAGcAZQAgAGMAcgBvAHAAcwBcACIALAAgAFwAIgBBAEMAVABcACIALAAgADAALgA4ADsAXABuACAAIAAgACAAIAAgACAAIABcACIAUwB1AGcAYQByACAAQwBhAG4AZQBcACIALAAgAFwAIgBOAFMAVwBcACIALAAgADAAOwBcAG4AIAAgACAAIAAgACAAIAAgAFwAIgBTAHUAZwBhAHIAIABDAGEAbgBlAFwAIgAsACAAXAAiAFYASQBDAFwAIgAsACAAXAAiAE4ALwBBAFwAIgA7AFwAbgAgACAAIAAgACAAIAAgACAAXAAiAFMAdQBnAGEAcgAgAEMAYQBuAGUAXAAiACwAIABcACIAUQBMAEQAXAAiACwAIAAwAC4AMAAzADsAXABuACAAIAAgACAAIAAgACAAIABcACIAUwB1AGcAYQByACAAQwBhAG4AZQBcACIALAAgAFwAIgBTAEEAXAAiACwAIABcACIATgAvAEEAXAAiADsAXABuACAAIAAgACAAIAAgACAAIABcACIAUwB1AGcAYQByACAAQwBhAG4AZQBcACIALAAgAFwAIgBXAEEAXAAiACwAIAAwADsAXABuACAAIAAgACAAIAAgACAAIABcACIAUwB1AGcAYQByACAAQwBhAG4AZQBcACIALAAgAFwAIgBUAEEAUwBcACIALAAgAFwAIgBOAC8AQQBcACIAOwBcAG4AIAAgACAAIAAgACAAIAAgAFwAIgBTAHUAZwBhAHIAIABDAGEAbgBlAFwAIgAsACAAXAAiAE4AVABcACIALAAgAFwAIgBOAC8AQQBcACIAOwBcAG4AIAAgACAAIAAgACAAIAAgAFwAIgBTAHUAZwBhAHIAIABDAGEAbgBlAFwAIgAsACAAXAAiAEEAQwBUAFwAIgAsACAAXAAiAE4ALwBBAFwAIgA7AFwAbgAgACAAIAAgACAAIAAgACAAXAAiAFcAaABlAGEAdABcACIALAAgAFwAIgBOAFMAVwBcACIALAAgADAALgAwADUAOwBcAG4AIAAgACAAIAAgACAAIAAgAFwAIgBXAGgAZQBhAHQAXAAiACwAIABcACIAVgBJAEMAXAAiACwAIAAwAC4AMAA3ADsAXABuACAAIAAgACAAIAAgACAAIABcACIAVwBoAGUAYQB0AFwAIgAsACAAXAAiAFEATABEAFwAIgAsACAAMAAuADAANAA7AFwAbgAgACAAIAAgACAAIAAgACAAXAAiAFcAaABlAGEAdABcACIALAAgAFwAIgBTAEEAXAAiACwAIAAwAC4AMAA5ADsAXABuACAAIAAgACAAIAAgACAAIABcACIAVwBoAGUAYQB0AFwAIgAsACAAXAAiAFcAQQBcACIALAAgADAALgAxADEAOwBcAG4AIAAgACAAIAAgACAAIAAgAFwAIgBXAGgAZQBhAHQAXAAiACwAIABcACIAVABBAFMAXAAiACwAIAAwAC4AMQA2ADsAXABuACAAIAAgACAAIAAgACAAIABcACIAVwBoAGUAYQB0AFwAIgAsACAAXAAiAE4AVABcACIALAAgADAALgAwADEAOwBcAG4AIAAgACAAIAAgACAAIAAgAFwAIgBXAGgAZQBhAHQAXAAiACwAIABcACIAQQBDAFQAXAAiACwAIAAwAC4AMAAwADsAXABuACAAIAAgACAAIAAgACAAIABcACIAQgBhAHIAbABlAHkAXAAiACwAIABcACIATgBTAFcAXAAiACwAIAAwAC4AMAA1ADsAXABuACAAIAAgACAAIAAgACAAIABcACIAQgBhAHIAbABlAHkAXAAiACwAIABcACIAVgBJAEMAXAAiACwAIAAwAC4AMAA3ADsAXABuACAAIAAgACAAIAAgACAAIABcACIAQgBhAHIAbABlAHkAXAAiACwAIABcACIAUQBMAEQAXAAiACwAIAAwAC4AMAA0ADsAXABuACAAIAAgACAAIAAgACAAIABcACIAQgBhAHIAbABlAHkAXAAiACwAIABcACIAUwBBAFwAIgAsACAAMAAuADAAOQA7AFwAbgAgACAAIAAgACAAIAAgACAAXAAiAEIAYQByAGwAZQB5AFwAIgAsACAAXAAiAFcAQQBcACIALAAgADAALgAxADEAOwBcAG4AIAAgACAAIAAgACAAIAAgAFwAIgBCAGEAcgBsAGUAeQBcACIALAAgAFwAIgBUAEEAUwBcACIALAAgADAALgAxADYAOwBcAG4AIAAgACAAIAAgACAAIAAgAFwAIgBCAGEAcgBsAGUAeQBcACIALAAgAFwAIgBOAFQAXAAiACwAIAAwAC4AMAAxADsAXABuACAAIAAgACAAIAAgACAAIABcACIAQgBhAHIAbABlAHkAXAAiACwAIABcACIAQQBDAFQAXAAiACwAIAAwAC4AMAAwADsAXABuACAAIAAgACAAIAAgACAAIABcACIATQBhAGkAegBlAFwAIgAsACAAXAAiAE4AUwBXAFwAIgAsACAAMAAuADAANQA7AFwAbgAgACAAIAAgACAAIAAgACAAXAAiAE0AYQBpAHoAZQBcACIALAAgAFwAIgBWAEkAQwBcACIALAAgADAALgAwADcAOwBcAG4AIAAgACAAIAAgACAAIAAgAFwAIgBNAGEAaQB6AGUAXAAiACwAIABcACIAUQBMAEQAXAAiACwAIAAwAC4AMAA0ADsAXABuACAAIAAgACAAIAAgACAAIABcACIATQBhAGkAegBlAFwAIgAsACAAXAAiAFMAQQBcACIALAAgADAALgAwADkAOwBcAG4AIAAgACAAIAAgACAAIAAgAFwAIgBNAGEAaQB6AGUAXAAiACwAIABcACIAVwBBAFwAIgAsACAAMAAuADEAMQA7AFwAbgAgACAAIAAgACAAIAAgACAAXAAiAE0AYQBpAHoAZQBcACIALAAgAFwAIgBUAEEAUwBcACIALAAgADAALgAxADYAOwBcAG4AIAAgACAAIAAgACAAIAAgAFwAIgBNAGEAaQB6AGUAXAAiACwAIABcACIATgBUAFwAIgAsACAAMAAuADAAMQA7AFwAbgAgACAAIAAgACAAIAAgACAAXAAiAE0AYQBpAHoAZQBcACIALAAgAFwAIgBBAEMAVABcACIALAAgADAALgAwADAAOwBcAG4AIAAgACAAIAAgACAAIAAgAFwAIgBPAGEAdABzAFwAIgAsACAAXAAiAE4AUwBXAFwAIgAsACAAMAAuADAANQA7AFwAbgAgACAAIAAgACAAIAAgACAAXAAiAE8AYQB0AHMAXAAiACwAIABcACIAVgBJAEMAXAAiACwAIAAwAC4AMAA3ADsAXABuACAAIAAgACAAIAAgACAAIABcACIATwBhAHQAcwBcACIALAAgAFwAIgBRAEwARABcACIALAAgADAALgAwADQAOwBcAG4AIAAgACAAIAAgACAAIAAgAFwAIgBPAGEAdABzAFwAIgAsACAAXAAiAFMAQQBcACIALAAgADAALgAwADkAOwBcAG4AIAAgACAAIAAgACAAIAAgAFwAIgBPAGEAdABzAFwAIgAsACAAXAAiAFcAQQBcACIALAAgADAALgAxADEAOwBcAG4AIAAgACAAIAAgACAAIAAgAFwAIgBPAGEAdABzAFwAIgAsACAAXAAiAFQAQQBTAFwAIgAsACAAMAAuADEANgA7AFwAbgAgACAAIAAgACAAIAAgACAAXAAiAE8AYQB0AHMAXAAiACwAIABcACIATgBUAFwAIgAsACAAMAAuADAAMQA7AFwAbgAgACAAIAAgACAAIAAgACAAXAAiAE8AYQB0AHMAXAAiACwAIABcACIAQQBDAFQAXAAiACwAIAAwAC4AMAAwADsAXABuACAAIAAgACAAIAAgACAAIABcACIAUwBvAHIAZwBoAHUAbQBcACIALAAgAFwAIgBOAFMAVwBcACIALAAgADAALgAwADUAOwBcAG4AIAAgACAAIAAgACAAIAAgAFwAIgBTAG8AcgBnAGgAdQBtAFwAIgAsACAAXAAiAFYASQBDAFwAIgAsACAAMAAuADAANwA7AFwAbgAgACAAIAAgACAAIAAgACAAXAAiAFMAbwByAGcAaAB1AG0AXAAiACwAIABcACIAUQBMAEQAXAAiACwAIAAwAC4AMAA0ADsAXABuACAAIAAgACAAIAAgACAAIABcACIAUwBvAHIAZwBoAHUAbQBcACIALAAgAFwAIgBTAEEAXAAiACwAIAAwAC4AMAA5ADsAXABuACAAIAAgACAAIAAgACAAIABcACIAUwBvAHIAZwBoAHUAbQBcACIALAAgAFwAIgBXAEEAXAAiACwAIAAwAC4AMQAxADsAXABuACAAIAAgACAAIAAgACAAIABcACIAUwBvAHIAZwBoAHUAbQBcACIALAAgAFwAIgBUAEEAUwBcACIALAAgADAALgAxADYAOwBcAG4AIAAgACAAIAAgACAAIAAgAFwAIgBTAG8AcgBnAGgAdQBtAFwAIgAsACAAXAAiAE4AVABcACIALAAgADAALgAwADEAOwBcAG4AIAAgACAAIAAgACAAIAAgAFwAIgBTAG8AcgBnAGgAdQBtAFwAIgAsACAAXAAiAEEAQwBUAFwAIgAsACAAMAAuADAAMAA7AFwAbgAgACAAIAAgACAAIAAgACAAXAAiAFQAcgBpAHQAaQBjAGEAbABlAFwAIgAsACAAXAAiAE4AUwBXAFwAIgAsACAAMAAuADAANQA7AFwAbgAgACAAIAAgACAAIAAgACAAXAAiAFQAcgBpAHQAaQBjAGEAbABlAFwAIgAsACAAXAAiAFYASQBDAFwAIgAsACAAMAAuADAANwA7AFwAbgAgACAAIAAgACAAIAAgACAAXAAiAFQAcgBpAHQAaQBjAGEAbABlAFwAIgAsACAAXAAiAFEATABEAFwAIgAsACAAMAAuADAANAA7AFwAbgAgACAAIAAgACAAIAAgACAAXAAiAFQAcgBpAHQAaQBjAGEAbABlAFwAIgAsACAAXAAiAFMAQQBcACIALAAgADAALgAwADkAOwBcAG4AIAAgACAAIAAgACAAIAAgAFwAIgBUAHIAaQB0AGkAYwBhAGwAZQBcACIALAAgAFwAIgBXAEEAXAAiACwAIAAwAC4AMQAxADsAXABuACAAIAAgACAAIAAgACAAIABcACIAVAByAGkAdABpAGMAYQBsAGUAXAAiACwAIABcACIAVABBAFMAXAAiACwAIAAwAC4AMQA2ADsAXABuACAAIAAgACAAIAAgACAAIABcACIAVAByAGkAdABpAGMAYQBsAGUAXAAiACwAIABcACIATgBUAFwAIgAsACAAMAAuADAAMQA7AFwAbgAgACAAIAAgACAAIAAgACAAXAAiAFQAcgBpAHQAaQBjAGEAbABlAFwAIgAsACAAXAAiAEEAQwBUAFwAIgAsACAAMAAuADAAMAA7AFwAbgAgACAAIAAgACAAIAAgACAAXAAiAE8AdABoAGUAcgAgAGMAZQByAGUAYQBsAHMAXAAiACwAIABcACIATgBTAFcAXAAiACwAIAAwAC4AMAA1ADsAXABuACAAIAAgACAAIAAgACAAIABcACIATwB0AGgAZQByACAAYwBlAHIAZQBhAGwAcwBcACIALAAgAFwAIgBWAEkAQwBcACIALAAgADAALgAwADcAOwBcAG4AIAAgACAAIAAgACAAIAAgAFwAIgBPAHQAaABlAHIAIABjAGUAcgBlAGEAbABzAFwAIgAsACAAXAAiAFEATABEAFwAIgAsACAAMAAuADAANAA7AFwAbgAgACAAIAAgACAAIAAgACAAXAAiAE8AdABoAGUAcgAgAGMAZQByAGUAYQBsAHMAXAAiACwAIABcACIAUwBBAFwAIgAsACAAMAAuADAAOQA7AFwAbgAgACAAIAAgACAAIAAgACAAXAAiAE8AdABoAGUAcgAgAGMAZQByAGUAYQBsAHMAXAAiACwAIABcACIAVwBBAFwAIgAsACAAMAAuADEAMQA7AFwAbgAgACAAIAAgACAAIAAgACAAXAAiAE8AdABoAGUAcgAgAGMAZQByAGUAYQBsAHMAXAAiACwAIABcACIAVABBAFMAXAAiACwAIAAwAC4AMQA2ADsAXABuACAAIAAgACAAIAAgACAAIABcACIATwB0AGgAZQByACAAYwBlAHIAZQBhAGwAcwBcACIALAAgAFwAIgBOAFQAXAAiACwAIAAwAC4AMAAxADsAXABuACAAIAAgACAAIAAgACAAIABcACIATwB0AGgAZQByACAAYwBlAHIAZQBhAGwAcwBcACIALAAgAFwAIgBBAEMAVABcACIALAAgADAALgAwADAAOwBcAG4AIAAgACAAIAAgACAAIAAgAFwAIgBQAHUAbABzAGUAcwBcACIALAAgAFwAIgBOAFMAVwBcACIALAAgADAALgAwADUAOwBcAG4AIAAgACAAIAAgACAAIAAgAFwAIgBQAHUAbABzAGUAcwBcACIALAAgAFwAIgBWAEkAQwBcACIALAAgADAALgAwADcAOwBcAG4AIAAgACAAIAAgACAAIAAgAFwAIgBQAHUAbABzAGUAcwBcACIALAAgAFwAIgBRAEwARABcACIALAAgADAALgAwADQAOwBcAG4AIAAgACAAIAAgACAAIAAgAFwAIgBQAHUAbABzAGUAcwBcACIALAAgAFwAIgBTAEEAXAAiACwAIAAwAC4AMAA5ADsAXABuACAAIAAgACAAIAAgACAAIABcACIAUAB1AGwAcwBlAHMAXAAiACwAIABcACIAVwBBAFwAIgAsACAAMAAuADEAMQA7AFwAbgAgACAAIAAgACAAIAAgACAAXAAiAFAAdQBsAHMAZQBzAFwAIgAsACAAXAAiAFQAQQBTAFwAIgAsACAAMAAuADEANgA7AFwAbgAgACAAIAAgACAAIAAgACAAXAAiAFAAdQBsAHMAZQBzAFwAIgAsACAAXAAiAE4AVABcACIALAAgADAALgAwADEAOwBcAG4AIAAgACAAIAAgACAAIAAgAFwAIgBQAHUAbABzAGUAcwBcACIALAAgAFwAIgBBAEMAVABcACIALAAgADAALgAwADAAOwBcAG4AIAAgACAAIAAgACAAIAAgAFwAIgBQAGUAYQBuAHUAdABzAFwAIgAsACAAXAAiAE4AUwBXAFwAIgAsACAAMAAuADAANQA7AFwAbgAgACAAIAAgACAAIAAgACAAXAAiAFAAZQBhAG4AdQB0AHMAXAAiACwAIABcACIAVgBJAEMAXAAiACwAIAAwAC4AMAA3ADsAXABuACAAIAAgACAAIAAgACAAIABcACIAUABlAGEAbgB1AHQAcwBcACIALAAgAFwAIgBRAEwARABcACIALAAgADAALgAwADQAOwBcAG4AIAAgACAAIAAgACAAIAAgAFwAIgBQAGUAYQBuAHUAdABzAFwAIgAsACAAXAAiAFMAQQBcACIALAAgADAALgAwADkAOwBcAG4AIAAgACAAIAAgACAAIAAgAFwAIgBQAGUAYQBuAHUAdABzAFwAIgAsACAAXAAiAFcAQQBcACIALAAgADAALgAxADEAOwBcAG4AIAAgACAAIAAgACAAIAAgAFwAIgBQAGUAYQBuAHUAdABzAFwAIgAsACAAXAAiAFQAQQBTAFwAIgAsACAAMAAuADEANgA7AFwAbgAgACAAIAAgACAAIAAgACAAXAAiAFAAZQBhAG4AdQB0AHMAXAAiACwAIABcACIATgBUAFwAIgAsACAAMAAuADAAMQA7AFwAbgAgACAAIAAgACAAIAAgACAAXAAiAFAAZQBhAG4AdQB0AHMAXAAiACwAIABcACIAQQBDAFQAXAAiACwAIAAwAC4AMAAwADsAXABuACAAIAAgACAAIAAgACAAIABcACIATwBpAGwAcwBlAGUAZABzAFwAIgAsACAAXAAiAE4AUwBXAFwAIgAsACAAMAAuADAANQA7AFwAbgAgACAAIAAgACAAIAAgACAAXAAiAE8AaQBsAHMAZQBlAGQAcwBcACIALAAgAFwAIgBWAEkAQwBcACIALAAgADAALgAwADcAOwBcAG4AIAAgACAAIAAgACAAIAAgAFwAIgBPAGkAbABzAGUAZQBkAHMAXAAiACwAIABcACIAUQBMAEQAXAAiACwAIAAwAC4AMAA0ADsAXABuACAAIAAgACAAIAAgACAAIABcACIATwBpAGwAcwBlAGUAZABzAFwAIgAsACAAXAAiAFMAQQBcACIALAAgADAALgAwADkAOwBcAG4AIAAgACAAIAAgACAAIAAgAFwAIgBPAGkAbABzAGUAZQBkAHMAXAAiACwAIABcACIAVwBBAFwAIgAsACAAMAAuADEAMQA7AFwAbgAgACAAIAAgACAAIAAgACAAXAAiAE8AaQBsAHMAZQBlAGQAcwBcACIALAAgAFwAIgBUAEEAUwBcACIALAAgADAALgAxADYAOwBcAG4AIAAgACAAIAAgACAAIAAgAFwAIgBPAGkAbABzAGUAZQBkAHMAXAAiACwAIABcACIATgBUAFwAIgAsACAAMAAuADAAMQA7AFwAbgAgACAAIAAgACAAIAAgACAAXAAiAE8AaQBsAHMAZQBlAGQAcwBcACIALAAgAFwAIgBBAEMAVABcACIALAAgADAALgAwADAAOwBcAG4AIAAgACAAIAAgACAAIAAgAFwAIgBPAHQAaABlAHIAIABhAG4AbgB1AGEAbAAgAGMAcgBvAHAAcwBcACIALAAgAFwAIgBOAFMAVwBcACIALAAgADAALgAwADUAOwBcAG4AIAAgACAAIAAgACAAIAAgAFwAIgBPAHQAaABlAHIAIABhAG4AbgB1AGEAbAAgAGMAcgBvAHAAcwBcACIALAAgAFwAIgBWAEkAQwBcACIALAAgADAALgAwADcAOwBcAG4AIAAgACAAIAAgACAAIAAgAFwAIgBPAHQAaABlAHIAIABhAG4AbgB1AGEAbAAgAGMAcgBvAHAAcwBcACIALAAgAFwAIgBRAEwARABcACIALAAgADAALgAwADQAOwBcAG4AIAAgACAAIAAgACAAIAAgAFwAIgBPAHQAaABlAHIAIABhAG4AbgB1AGEAbAAgAGMAcgBvAHAAcwBcACIALAAgAFwAIgBTAEEAXAAiACwAIAAwAC4AMAA5ADsAXABuACAAIAAgACAAIAAgACAAIABcACIATwB0AGgAZQByACAAYQBuAG4AdQBhAGwAIABjAHIAbwBwAHMAXAAiACwAIABcACIAVwBBAFwAIgAsACAAMAAuADEAMQA7AFwAbgAgACAAIAAgACAAIAAgACAAXAAiAE8AdABoAGUAcgAgAGEAbgBuAHUAYQBsACAAYwByAG8AcABzAFwAIgAsACAAXAAiAFQAQQBTAFwAIgAsACAAMAAuADEANgA7AFwAbgAgACAAIAAgACAAIAAgACAAXAAiAE8AdABoAGUAcgAgAGEAbgBuAHUAYQBsACAAYwByAG8AcABzAFwAIgAsACAAXAAiAE4AVABcACIALAAgADAALgAwADEAOwBcAG4AIAAgACAAIAAgACAAIAAgAFwAIgBPAHQAaABlAHIAIABhAG4AbgB1AGEAbAAgAGMAcgBvAHAAcwBcACIALAAgAFwAIgBBAEMAVABcACIALAAgADAALgAwADAAOwBcAG4AIAAgACAAIAAgACAAIAAgAFwAIgBPAHQAaABlAHIAIABwAGUAcgBlAG4AbgBpAGEAbAAgAGMAcgBvAHAAcwBcACIALAAgAFwAIgBOAFMAVwBcACIALAAgADAALgAwADUAOwBcAG4AIAAgACAAIAAgACAAIAAgAFwAIgBPAHQAaABlAHIAIABwAGUAcgBlAG4AbgBpAGEAbAAgAGMAcgBvAHAAcwBcACIALAAgAFwAIgBWAEkAQwBcACIALAAgADAALgAwADcAOwBcAG4AIAAgACAAIAAgACAAIAAgAFwAIgBPAHQAaABlAHIAIABwAGUAcgBlAG4AbgBpAGEAbAAgAGMAcgBvAHAAcwBcACIALAAgAFwAIgBRAEwARABcACIALAAgADAALgAwADQAOwBcAG4AIAAgACAAIAAgACAAIAAgAFwAIgBPAHQAaABlAHIAIABwAGUAcgBlAG4AbgBpAGEAbAAgAGMAcgBvAHAAcwBcACIALAAgAFwAIgBTAEEAXAAiACwAIAAwAC4AMAA5ADsAXABuACAAIAAgACAAIAAgACAAIABcACIATwB0AGgAZQByACAAcABlAHIAZQBuAG4AaQBhAGwAIABjAHIAbwBwAHMAXAAiACwAIABcACIAVwBBAFwAIgAsACAAMAAuADEAMQA7AFwAbgAgACAAIAAgACAAIAAgACAAXAAiAE8AdABoAGUAcgAgAHAAZQByAGUAbgBuAGkAYQBsACAAYwByAG8AcABzAFwAIgAsACAAXAAiAFQAQQBTAFwAIgAsACAAMAAuADEANgA7AFwAbgAgACAAIAAgACAAIAAgACAAXAAiAE8AdABoAGUAcgAgAHAAZQByAGUAbgBuAGkAYQBsACAAYwByAG8AcABzAFwAIgAsACAAXAAiAE4AVABcACIALAAgADAALgAwADEAOwBcAG4AIAAgACAAIAAgACAAIAAgAFwAIgBPAHQAaABlAHIAIABwAGUAcgBlAG4AbgBpAGEAbAAgAGMAcgBvAHAAcwBcACIALAAgAFwAIgBBAEMAVABcACIALAAgADAALgAwADAAXABuACAAIAAgACAAIAAgAH0ALAAgAHIALAAgAGMAKQBcAG4AKQApACkAOwBcAG4AXABuAEMAcgBvAHAARgByAGEAYwB0AGkAbwBuAFIAZQBtAG8AdgBlAGQAXwBWAGEAcgBpAGEAdABpAG8AbgBcAG4APQBMAEEATQBCAEQAQQAoACgAXAAiAFYAQQBSAEkAQQBUAEkATwBOACAATwBGACAAUwBPAFUAUgBDAEUAIABEAEEAVABBADoAIABTAHAAbABpAHQAIABcAHUAMAAwADIANwBBAGwAbAAgAG8AdABoAGUAcgAgAGMAcgBvAHAAIAB0AHkAcABlAHMAXAB1ADAAMAAyADcAIABpAG4AdABvACAAaQBuAGQAaQB2AGkAZAB1AGEAbAAgAGMAcgBvAHAAIAB0AHkAcABlAHMAIABmAG8AcgAgAGUAYQBjAGgAIABzAHQAYQB0AGUALgAgAEwAaQBzAHQAZQBkACAAYQBsAGwAIABzAHQAYQB0AGUAcwAgAGYAbwByACAAUwB1AGcAYQByACAAQwBhAG4AZQAsACAAdwBpAHQAaAAgAFwAdQAwADAAMgA3AE4ALwBBAFwAdQAwADAAMgA3ACAAZgBvAHIAIABzAHQAYQB0AGUAcwAgAHcAaABlAHIAZQAgAGkAdAAgAGkAcwAgAG4AbwB0ACAAZwByAG8AdwBuAC4AXAAiACkAKQA7AFwAbgBcAG4AXABuAC8AKgBcAG4APQA9AD0APQA9AD0APQA9AD0APQA9AD0APQA9AD0APQA9AD0APQA9AD0APQA9AD0APQA9AD0APQA9AD0APQA9AD0APQA9AD0APQA9AD0APQA9AD0APQA9AD0APQA9AD0APQA9AD0APQA9AD0APQA9AD0APQA9AD0APQA9AD0APQA9AD0APQA9AD0APQA9AD0APQA9AD0APQBcAG4AUABhAHMAdAB1AHIAZQAgAGEAdAB0AHIAaQBiAHUAdABlAHMAXABuAD0APQA9AD0APQA9AD0APQA9AD0APQA9AD0APQA9AD0APQA9AD0APQA9AD0APQA9AD0APQA9AD0APQA9AD0APQA9AD0APQA9AD0APQA9AD0APQA9AD0APQA9AD0APQA9AD0APQA9AD0APQA9AD0APQA9AD0APQA9AD0APQA9AD0APQA9AD0APQA9AD0APQA9AD0APQA9AD0AXABuACoALwBcAG4AXABuAFAAYQBzAHQAdQByAGUAQQB0AHQAcgBpAGIAdQB0AGUAcwBfAFQAaQB0AGwAZQBcAG4APQBMAEEATQBCAEQAQQAoACgAXAAiAFQAYQBiAGwAZQAgAEEALgAyAC4AMQAuADMAIABQAGEAcwB0AHUAcgBlACAAYQB0AHQAcgBpAGIAdQB0AGUAcwBcACIAKQApADsAXABuAFwAbgBQAGEAcwB0AHUAcgBlAEEAdAB0AHIAaQBiAHUAdABlAHMAXwBEAGUAcwBjAHIAaQBwAHQAaQBvAG4AXABuAD0ATABBAE0AQgBEAEEAKAAoAFwAIgBQAGEAcwB0AHUAcgBlACAAYQB0AHQAcgBpAGIAdQB0AGUAcwBcACIAKQApADsAXABuAFwAbgBQAGEAcwB0AHUAcgBlAEEAdAB0AHIAaQBiAHUAdABlAHMAXwBTAG8AdQByAGMAZQBcAG4APQBMAEEATQBCAEQAQQAoACgAXAAiAFYARQBFAFIARwAgADIAMAAyADYAOgAgAFQAYQBiAGwAZQAgAEEALgAyAC4AMQAuADMAOgAgAFAAYQBzAHQAdQByAGUAIABhAHQAdAByAGkAYgB1AHQAZQBzAFwAIgApACkAOwBcAG4AXABuAFAAYQBzAHQAdQByAGUAQQB0AHQAcgBpAGIAdQB0AGUAcwBfAEQAYQB0AGEAXABuAD0ATABBAE0AQgBEAEEAKABcAG4AIAAgAE0AQQBLAEUAQQBSAFIAQQBZACgANgAsACAANgAsAFwAbgAgACAAIAAgAEwAQQBNAEIARABBACgAcgAsAGMALABcAG4AIAAgACAAIAAgACAASQBOAEQARQBYACgAewBcAG4AIAAgACAAIAAgACAAIAAgAFwAIgBQAGEAcwB0AHUAcgBlACAAdAB5AHAAZQBcACIALAAgAFwAIgBBAHYAZQByAGEAZwBlACAAWQBpAGUAbABkACAAKAB0ACAARABNACAAaABhACkAIABZAHAAXAAiACwAIABcACIAQgBlAGwAbwB3AC0AZwByAG8AdQBuAGQAOgAgAGEAYgBvAHYAZQAtAGcAcgBvAHUAbgBkACAAcgBlAHMAaQBkAHUAZQAgAHIAYQB0AGkAbwAgAFIAQgBHAHAAXAAiACwAIABcACIATgAgAGMAbwBuAHQAZQBuAHQAIABBAGIAbwB2AGUALQBnAHIAbwB1AG4AZAAgAE4AQwBBAEcAcABcACIALAAgAFwAIgBOACAAYwBvAG4AdABlAG4AdAAgAEIAZQBsAG8AdwAtAGcAcgBvAHUAbgBkACAATgBDAEIARwBwAFwAIgAsACAAXAAiAEYAcgBhAGMAdABpAG8AbgAgAG8AZgAgAHAAYQBzAHQAdQByAGUAIAB5AGkAZQBsAGQAIAB0AGgAYQB0ACAAaQBzACAAcgBlAG0AbwB2AGUAZAAgAEYARgBPAEQAcABcACIAOwBcAG4AIAAgACAAIAAgACAAIAAgAFwAIgBBAG4AbgB1AGEAbAAgAGcAcgBhAHMAcwBcACIALAAgADQALgA0ADEALAAgADAALgA0ACwAIAAwAC4AMAAxADUALAAgADAALgAwADEAMgAsACAAMAAuADgAOwBcAG4AIAAgACAAIAAgACAAIAAgAFwAIgBHAHIAYQBzAHMAIABjAGwAbwB2AGUAcgAgAG0AaQB4AHQAdQByAGUAXAAiACwAIAA4AC4AMwA0ACwAIAAwAC4AOAAsACAAMAAuADAAMgA1ACwAIAAwAC4AMAAxADYALAAgADAALgA4ADsAXABuACAAIAAgACAAIAAgACAAIABcACIATAB1AGMAZQByAG4AZQBcACIALAAgADgALgA2ADIALAAgADAALgA0ACwAIAAwAC4AMAAyADcALAAgADAALgAwADEAOQAsACAAMAAuADgAOwBcAG4AIAAgACAAIAAgACAAIAAgAFwAIgBPAHQAaABlAHIAIABsAGUAZwB1AG0AZQBcACIALAAgADUALgA2ADIALAAgADAALgA0ACwAIAAwAC4AMAAyADcALAAgADAALgAwADIAMgAsACAAMAAuADgAOwBcAG4AIAAgACAAIAAgACAAIAAgAFwAIgBQAGUAcgBlAG4AbgBpAGEAbAAgAHAAYQBzAHQAdQByAGUAXAAiACwAIAA4AC4AMwA1ACwAIAAwAC4AOAAsACAAMAAuADAAMQA1ACwAIAAwAC4AMAAxADIALAAgADAALgA4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A1AC4AMwAxACAAQgB1AHIAbgBpAG4AZwAgAG8AZgAgAGEAZwByAGkAYwB1AGwAdAB1AHIAYQBsACAAcgBlAHMAaQBkAHUAZQBzACAALQAgAEUARgBzAFwAbgA9AD0APQA9AD0APQA9AD0APQA9AD0APQA9AD0APQA9AD0APQA9AD0APQA9AD0APQA9AD0APQA9AD0APQA9AD0APQA9AD0APQA9AD0APQA9AD0APQA9AD0APQA9AD0APQA9AD0APQA9AD0APQA9AD0APQA9AD0APQA9AD0APQA9AD0APQA9AD0APQA9AD0APQA9AD0APQA9AFwAbgAqAC8AXABuAFwAbgBCAHUAcgBuAGkAbgBnAE8AZgBBAGcAcgBpAGMAdQBsAHQAdQByAGEAbABSAGUAcwBpAGQAdQBlAHMARQBGAHMAXwBUAGkAdABsAGUAXABuAD0ATABBAE0AQgBEAEEAKAAoAFwAIgBUAGEAYgBsAGUAIAA1AC4AMwAxACAAQgB1AHIAbgBpAG4AZwAgAG8AZgAgAGEAZwByAGkAYwB1AGwAdAB1AHIAYQBsACAAcgBlAHMAaQBkAHUAZQBzACAALQAgAEUARgBzAFwAIgApACkAOwBcAG4AXABuAEIAdQByAG4AaQBuAGcATwBmAEEAZwByAGkAYwB1AGwAdAB1AHIAYQBsAFIAZQBzAGkAZAB1AGUAcwBFAEYAcwBfAEQAZQBzAGMAcgBpAHAAdABpAG8AbgBcAG4APQBMAEEATQBCAEQAQQAoACgAXAAiAEIAdQByAG4AaQBuAGcAIABvAGYAIABhAGcAcgBpAGMAdQBsAHQAdQByAGEAbAAgAHIAZQBzAGkAZAB1AGUAcwAgAC0AIABFAEYAcwBcACIAKQApADsAXABuAFwAbgBCAHUAcgBuAGkAbgBnAE8AZgBBAGcAcgBpAGMAdQBsAHQAdQByAGEAbABSAGUAcwBpAGQAdQBlAHMARQBGAHMAXwBTAG8AdQByAGMAZQBcAG4APQBMAEEATQBCAEQAQQAoACgAXAAiAE4AYQB0AGkAbwBuAGEAbAAgAEkAbgB2AGUAbgB0AG8AcgB5ACAAUgBlAHAAbwByAHQAIAAyADAAMgAzACAAdgBvAGwAdQBtAGUAIAAyADoAIABUAGEAYgBsAGUAIAA1AC4AMwAxADoAIABCAHUAcgBuAGkAbgBnACAAbwBmACAAYQBnAHIAaQBjAHUAbAB0AHUAcgBhAGwAIAByAGUAcwBpAGQAdQBlAHMAIAAtACAARQBGAHMAXAAiACkAKQA7AFwAbgBcAG4AQgB1AHIAbgBpAG4AZwBPAGYAQQBnAHIAaQBjAHUAbAB0AHUAcgBhAGwAUgBlAHMAaQBkAHUAZQBzAEUARgBzAF8ARABhAHQAYQBcAG4APQBMAEEATQBCAEQAQQAoAFwAbgAgACAATQBBAEsARQBBAFIAUgBBAFkAKAA2ACwAIAAzACwAXABuACAAIAAgACAATABBAE0AQgBEAEEAKAByACwAYwAsAFwAbgAgACAAIAAgACAAIABJAE4ARABFAFgAKAB7AFwAbgAgACAAIAAgACAAIAAgACAAXAAiAEcAYQBzACAAcwBwAGUAYwBpAGUAcwBcACIALAAgAFwAIgBFAG0AaQBzAHMAaQBvAG4AIABmAGEAYwB0AG8AcgAgAEUARgBnACAAKABHAGcAIABlAGwAZQBtAGUAbgB0ACAAaQBuACAAcwBwAGUAYwBpAGUAcwAvACAARwBnACAAZQBsAGUAbQBlAG4AdAAgAGkAbgAgAGYAdQBlAGwAIABiAHUAcgBuAHQAKQBcACIALAAgAFwAIgBFAGwAZQBtAGUAbgB0AGEAbAAgAHQAbwAgAG0AbwBsAGUAYwB1AGwAYQByACAAbQBhAHMAcwAgAGMAbwBuAHYAZQByAHMAaQBvAG4AIABmAGEAYwB0AG8AcgAgACgAQwBnACkAXAAiADsAXABuACAAIAAgACAAIAAgACAAIABcACIAQwBIADQAXAAiACwAIAAwAC4AMAAwADMANQAsACAAXAAiADEANgAvADEAMgBcACIAOwBcAG4AIAAgACAAIAAgACAAIAAgAFwAIgBOADIATwBcACIALAAgADAALgAwADAANwA2ACwAIABcACIANAA0AC8AMgA4AFwAIgA7AFwAbgAgACAAIAAgACAAIAAgACAAXAAiAE4ATwB4AFwAIgAsACAAMAAuADIAMQAwADAALAAgAFwAIgA0ADYALwAxADQAXAAiADsAXABuACAAIAAgACAAIAAgACAAIABcACIAQwBPAFwAIgAsACAAMAAuADAANwA4ADAALAAgAFwAIgAyADgALwAxADIAXAAiADsAXABuACAAIAAgACAAIAAgACAAIABcACIATgBNAFYATwBDAFwAIgAsACAAMAAuADAAMAA5ADEALAAgAFwAIgAxADQALwAxADIAXAAiAFwAbgAgACAAIAAgACAAIAB9ACwAIAByACwAIABjACkAXABuACkAKQApADsAXABuAFwAbgBcAG4ALwAqACAAXABuAC0ALQAtAC0ALQAtAC0ALQAtAC0ALQAtAC0ALQAtAC0ALQAtAC0ALQAtAC0ALQAtAC0ALQAtAC0ALQAtAC0ALQAtAC0ALQAtAC0ALQBcAG4ATgAyAE8ARQBGAE8AcgBnAGEAbgBpAGMARgBlAHIAdABpAGwAaQBzAGUAcgBcAG4AVgBFAEUAUgBHACAAMgAwADIANgA6ACAAVABhAGIAbABlACAAQQAuADIALgAxAC4ANAAgAEUAbQBpAHMAcwBpAG8AbgAgAGYAYQBjAHQAbwByACAAZgBvAHIAIABvAHIAZwBhAG4AaQBjACAAZgBlAHIAdABpAGwAaQBzAGUAcgAgAGEAbgBkACAAYwByAG8AcAAgAHIAZQBzAGkAZAB1AGUAcwAgAHIAZQB0AHUAcgBuAGUAZAAgAHQAbwAgAHQAaABlACAAcwBvAGkAbABcAG4ALQAtAC0ALQAtAC0ALQAtAC0ALQAtAC0ALQAtAC0ALQAtAC0ALQAtAC0ALQAtAC0ALQAtAC0ALQAtAC0ALQAtAC0ALQAtAC0ALQAtAFwAbgAqAC8AXABuAFwAbgBOADIATwBFAEYATwByAGcAYQBuAGkAYwBGAGUAcgB0AGkAbABpAHMAZQBy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4AMgBPAEUARgBPAHIAZwBhAG4AaQBjAEYAZQByAHQAaQBsAGkAcwBlAHIAXwBVAG4AaQB0AFwAbgAgACAAPQBMAEEATQBCAEQAQQAoAFwAIgBrAGcAIABOADIATwAgAC0AIABOACAALwAgAGsAZwAgAE4AXAAiACkAOwBcAG4AXABuAE4AMgBPAEUARgBPAHIAZwBhAG4AaQBjAEYAZQByAHQAaQBsAGkAcwBlAHIAXwBTAG8AdQByAGMAZQBcAG4AIAAgAD0ATABBAE0AQgBEAEEAKABcACIAVgBFAEUAUgBHACAAMgAwADIANgA6ACAAVABhAGIAbABlACAAQQAuADIALgAxAC4ANABcACIAKQA7AFwAbgBcAG4ATgAyAE8ARQBGAE8AcgBnAGEAbgBpAGMARgBlAHIAdABpAGwAaQBzAGUAcgBfAE4ASQBSAFIAZQBmAGUAcgBlAG4AYwBlAFwAbgAgACAAPQBMAEEATQBCAEQAQQAoAFwAIgBJAFAAQwBDACAAMgAwADEAOQAgAFIAZQBmAGkAbgBlAG0AZQBuAHQAIABWAG8AbAB1AG0AZQAgADQAIABUAGEAYgBsAGUAIAAxADEALgAxACAAWwAxACwAIABwAC4AIAAxADEAXQBcACIAKQA7AFwAbgBcAG4ATgAyAE8ARQBGAE8AcgBnAGEAbgBpAGMARgBlAHIAdABpAGwAaQBzAGUAcgBfAEQAYQB0AGEAXABuACAAIAA9AEwAQQBNAEIARABBACgAXABuACAAIAAgACAATQBBAEsARQBBAFIAUgBBAFkAKAAzACwAIAAyACwAIABcAG4AIAAgACAAIAAgACAATABBAE0AQgBEAEEAKAByACwAYwAsACAAXABuACAAIAAgACAAIAAgACAAIABJAE4ARABFAFgAKAB7AFwAbgAgACAAIAAgACAAIAAgACAAIAAgAFwAIgBDAGwAaQBtAGEAdABlACAAegBvAG4AZQAgAGkAXAAiACwAIABcACIARQBGACAAaQAgAE4AMgBPAFwAIgA7AFwAbgAgACAAIAAgACAAIAAgACAAIAAgACAAIABcACIAVwBlAHQAIABjAGwAaQBtAGEAdABlACAAegBvAG4AZQBcACIALAAgADAALgAwADAANgA7AFwAbgAgACAAIAAgACAAIAAgACAAIAAgACAAIABcACIARAByAHkAIABjAGwAaQBtAGEAdABlACAAegBvAG4AZQBcACIALAAgADAALgAwADAANQBcAG4AIAAgACAAIAAgACAAIAAgAH0ALAAgAHIALAAgAGMAKQBcAG4AIAAgACAAIAAgACAAKQBcAG4AIAAgACAAIAApAFwAbgAgACAAKQA7AFwAbgBcAG4AXABuAFwAbgAiAH0ALAB7ACIAcABhAHQAaAAiADoAIgAvAHAAcgBvAGoAZQBjAHQAcwAvAEEAZwBSAGUAcwBpAGQAdQBlAF8ARQBxAHUAYQB0AGkAbwBuAHMAXwBDAHIAbwBwAFIAZQBzAGkAZAB1AGUAIgAsACIAdABlAHgAdAAiADoAIgAvACoAIABcAG4ALQAtAC0ALQAtAC0ALQAtAC0ALQAtAC0ALQAtAC0ALQAtAC0ALQAtAC0ALQAtAC0ALQAtAC0ALQAtAC0ALQAtAC0ALQAtAC0ALQAtAFwAbgBWAEUARQBSAEcAXwA2AF8AMQBfADEAXwAxAF8AXwAxAF8AXwBOAGkAdAByAG8AdQBzAE8AeABpAGQAZQBFAG0AaQBzAHMAaQBvAG4AcwBGAHIAbwBtAEMAcgBvAHAAUgBlAHMAaQBkAHUAZQBzAFwAbgBOAGkAdAByAG8AdQBzACAAbwB4AGkAZABlACAAZQBtAGkAcwBzAGkAbwBuAHMAIABmAHIAbwBtACAAdABoAGUAIAByAGUAdAB1AHIAbgAgAG8AZgAgAGMAcgBvAHAAIAByAGUAcwBpAGQAdQBlAHMAIABhAGMAcgBvAHMAcwAgAGEAbABsACAAYwByAG8AcABzACAAYwAgAHQAbwAgAHQAaABlACAAcwBvAGkAbABcAG4ARQBcAG4AdAAgAE4AMgBPAFwAbgBFAD0AXABcAHMAdQBtAF8AewBjAH0AewBNAF8AewBjAH0AXABcAHQAaQBtAGUAcwAgAEUARgBfAHsATgB9AFwAXAB0AGkAbQBlAHMAIABDAF8AewBnACwATgAyAE8AfQBcAFwAdABpAG0AZQBzACAAMQAwAF4AewAtADMAfQB9AFwAbgBNAGMAIAA9ACAAbQBhAHMAcwAgAG8AZgAgAG4AaQB0AHIAbwBnAGUAbgAgAGkAbgAgAGMAcgBvAHAAIABjACAAcgBlAHMAaQBkAHUAZQBzACAAcgBlAHQAdQByAG4AZQBkACAAdABvACAAdABoAGUAIABzAG8AaQBsACAAKABrAGcAIABOACkAXABuAEUARgBOAGkAIAA9ACAAZQBtAGkAcwBzAGkAbwBuACAAZgBhAGMAdABvAHIAIABmAG8AcgAgAGMAcgBvAHAAIAByAGUAcwBpAGQAdQBlAHMAIAByAGUAdAB1AHIAbgBlAGQAIAB0AG8AIAB0AGgAZQAgAHMAbwBpAGwAIAAoAGsAZwAgAE4AMgBPAC0ATgAvAGsAZwAgAE4AKQBcAG4AQwBn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MQBfADEAXwAxAF8AXwAxAF8AXwBOAGkAdAByAG8AdQBzAE8AeABpAGQAZQBFAG0AaQBzAHMAaQBvAG4AcwBGAHIAbwBtAEMAcgBvAHAAUgBlAHMAaQBkAHUAZQBzAFwAbgAgACAAPQBMAEEATQBCAEQAQQAoAFwAbgAgACAAIAAgAE0AXwBjACwAIABFAEYAXwBOAGkALAAgAEMAXwBOADIATwAsAFwAbgAgACAAIAAgAE0AXwBjACAAKgAgAEUARgBfAE4AaQAgACoAIABDAF8ATgAyAE8AIAAqACAAMQAwAF4AKAAtADMAKQBcAG4AIAAgACkAXABuADsAXABuAFwAbgBWAEUARQBSAEcAXwA2AF8AMQBfADEAXwAxAF8AXwAxAF8AXwBOAGkAdAByAG8AdQBzAE8AeABpAGQAZQBFAG0AaQBzAHMAaQBvAG4AcwBGAHIAbwBtAEMAcgBvAHAAUgBlAHMAaQBkAHUAZQBzAF8ARgB1AG4AYwB0AGkAbwBuAE4AYQBtAGUAXABuACAAIAA9AEwAQQBNAEIARABBACgAXAAiAFYARQBFAFIARwBfADYAXwAxAF8AMQBfADEAXwBfADEAXwBfAE4AaQB0AHIAbwB1AHMATwB4AGkAZABlAEUAbQBpAHMAcwBpAG8AbgBzAEYAcgBvAG0AQwByAG8AcABSAGUAcwBpAGQAdQBlAHMAXAAiACkAOwBcAG4AXABuAFYARQBFAFIARwBfADYAXwAxAF8AMQBfADEAXwBfADEAXwBfAE4AaQB0AHIAbwB1AHMATwB4AGkAZABlAEUAbQBpAHMAcwBpAG8AbgBzAEYAcgBvAG0AQwByAG8AcABSAGUAcwBpAGQAdQBlAHMAXwBUAGkAdABsAGUAXABuACAAIAA9AEwAQQBNAEIARABBACgAXAAiAE4AaQB0AHIAbwB1AHMAIABvAHgAaQBkAGUAIABlAG0AaQBzAHMAaQBvAG4AcwAgAGYAcgBvAG0AIAB0AGgAZQAgAHIAZQB0AHUAcgBuACAAbwBmACAAYwByAG8AcAAgAHIAZQBzAGkAZAB1AGUAcwAgAGEAYwByAG8AcwBzACAAYQBsAGwAIABjAHIAbwBwAHMAIABjACAAdABvACAAdABoAGUAIABzAG8AaQBsAFwAIgApADsAXABuAFwAbgBWAEUARQBSAEcAXwA2AF8AMQBfADEAXwAxAF8AXwAxAF8AXwBOAGkAdAByAG8AdQBzAE8AeABpAGQAZQBFAG0AaQBzAHMAaQBvAG4AcwBGAHIAbwBtAEMAcgBvAHAAUgBlAHMAaQBkAHUAZQBzAF8AVgBhAHIAaQBhAGIAbABlAFwAbgAgACAAPQBMAEEATQBCAEQAQQAoAFwAIgBFAFwAIgApADsAXABuAFwAbgBWAEUARQBSAEcAXwA2AF8AMQBfADEAXwAxAF8AXwAxAF8AXwBOAGkAdAByAG8AdQBzAE8AeABpAGQAZQBFAG0AaQBzAHMAaQBvAG4AcwBGAHIAbwBtAEMAcgBvAHAAUgBlAHMAaQBkAHUAZQBzAF8AVQBuAGkAdABcAG4AIAAgAD0ATABBAE0AQgBEAEEAKABcACIAdAAgAE4AMgBPAFwAIgApADsAXABuAFwAbgBWAEUARQBSAEcAXwA2AF8AMQBfADEAXwAxAF8AXwAxAF8AXwBOAGkAdAByAG8AdQBzAE8AeABpAGQAZQBFAG0AaQBzAHMAaQBvAG4AcwBGAHIAbwBtAEMAcgBvAHAAUgBlAHMAaQBkAHUAZQBzAF8AUwBvAHUAcgBjAGUAXABuACAAIAA9AEwAQQBNAEIARABBACgAXAAiAFYARQBFAFIARwAgADIAMAAyADYAOgAgADYALgAxAC4AMQAuADEALAAgAEUAcQB1AGEAdABpAG8AbgAgACgAMQApAFwAIgApADsAXABuAFwAbgBWAEUARQBSAEcAXwA2AF8AMQBfADEAXwAxAF8AXwAxAF8AXwBOAGkAdAByAG8AdQBzAE8AeABpAGQAZQBFAG0AaQBzAHMAaQBvAG4AcwBGAHIAbwBtAEMAcgBvAHAAUgBlAHMAaQBkAHUAZQBzAF8ATgBJAFIAUgBlAGYAZQByAGUAbgBjAGUAXABuACAAIAA9AEwAQQBNAEIARABBACgAXAAiAFwAIgApADsAXABuAFwAbgBWAEUARQBSAEcAXwA2AF8AMQBfADEAXwAxAF8AXwAxAF8AXwBOAGkAdAByAG8AdQBzAE8AeABpAGQAZQBFAG0AaQBzAHMAaQBvAG4AcwBGAHIAbwBtAEMAcgBvAHAAUgBlAHMAaQBkAHUAZQBzAF8ATABhAHQAZQB4AEUAcQB1AGEAdABpAG8AbgBcAG4AIAAgAD0ATABBAE0AQgBEAEEAKABcACIARQA9AFwAXABzAHUAbQBcAFwAbgBvAGwAaQBtAGkAdABzAF8AYwBcAFwAbABlAGYAdAAoAE0AXwB7AGMAfQBcAFwAdABpAG0AZQBzACAARQBGAF8AewBOAH0AXABcAHIAaQBnAGgAdAApAFwAXAB0AGkAbQBlAHMAIABDAF8AewBnACwATgAyAE8AfQBcAFwAdABpAG0AZQBzACAAMQAwAF4AewAtADMAfQBcACIAKQA7AFwAbgBcAG4AVgBFAEUAUgBHAF8ANgBfADEAXwAxAF8AMQBfAF8AMQBfAF8ATgBpAHQAcgBvAHUAcwBPAHgAaQBkAGUARQBtAGkAcwBzAGkAbwBuAHMARgByAG8AbQBDAHIAbwBw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GMAXAAiACwAXAAiAG0AYQBzAHMAIABvAGYAIABuAGkAdAByAG8AZwBlAG4AIABpAG4AIABjAHIAbwBwACAAYwAgAHIAZQBzAGkAZAB1AGUAcwAgAHIAZQB0AHUAcgBuAGUAZAAgAHQAbwAgAHQAaABlACAAcwBvAGkAbABcACIALAAgAFwAIgBrAGcAIABOAFwAIgAsACAAXAAiAEMAYQBsAGMAdQBsAGEAdABlAGQAIABmAHIAbwBtACAANgAuADEALgAxAC4AMQAgACgAMgApAFwAIgA7AFwAbgAgACAAIAAgACAAIAAgACAAIAAgAFwAIgBFAEYAXwBOAGkAXAAiACwAXAAiAGUAbQBpAHMAcwBpAG8AbgAgAGYAYQBjAHQAbwByACAAZgBvAHIAIABjAHIAbwBwACAAcgBlAHMAaQBkAHUAZQBzACAAcgBlAHQAdQByAG4AZQBkACAAdABvACAAdABoAGUAIABzAG8AaQBs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EAXwBfADIAXwBfAE0AYQBzAHMATwBmAE4AaQB0AHIAbwBnAGUAbgBJAG4AQwByAG8AcABSAGUAcwBpAGQAdQBlAHMAXABuAE0AYQBzAHMAIABvAGYAIABuAGkAdAByAG8AZwBlAG4AIABpAG4AIABjAHIAbwBwACAAcgBlAHMAaQBkAHUAZQBzACAAcgBlAHQAdQByAG4AZQBkACAAdABvACAAdABoAGUAIABzAG8AaQBsAFwAbgBNAGMAXABuAGsAZwAgAE4AXABuAE0AXwB7AGMAfQA9ACgAUABfAHsAYwB9AFwAXAB0AGkAbQBlAHMAIABSAF8AewBBAEcAYwB9AFwAXAB0AGkAbQBlAHMAKAAxAC0ARgBfAHsAYwB9AC0ARgBGAE8ARABfAHsAYwB9ACkAXABcAHQAaQBtAGUAcwAgAEQATQBfAHsAYwB9AFwAXAB0AGkAbQBlAHMAIABOAEMAXwB7AEEARwBjAH0AKQArACgAUABfAHsAYwB9AFwAXAB0AGkAbQBlAHMAIABSAF8AewBBAEcAYwB9AFwAXAB0AGkAbQBlAHMAIABSAF8AewBCAEcAYwB9AFwAXAB0AGkAbQBlAHMAIABEAE0AXwB7AGMAfQBcAFwAdABpAG0AZQBzACAATgBDAF8AewBCAEcAYwB9ACkAXABuAFAAYwAgAD0AIABhAG4AbgB1AGEAbAAgAHAAcgBvAGQAdQBjAHQAaQBvAG4AIABvAGYAIABjAHIAbwBwACAAYwAgACgAawBnACkAXABuAFIAQQBHAGMAIAA9ACAAcgBlAHMAaQBkAHUAZQAgAHQAbwAgAGMAcgBvAHAAIAByAGEAdABpAG8AIABmAG8AcgAgAGMAcgBvAHAAIABjACAAKABkAGkAbQBlAG4AcwBpAG8AbgBsAGUAcwBzACkAXABuAFIAQgBHAGMAIAA9ACAAYgBlAGwAbwB3ACAAZwByAG8AdQBuAGQALQByAGUAcwBpAGQAdQBlACAAdABvACAAYQBiAG8AdgBlACAAZwByAG8AdQBuAGQAIAByAGUAcwBpAGQAdQBlACAAcgBhAHQAaQBvACAAZgBvAHIAIABjAHIAbwBwACAAYwAgACgAZABpAG0AZQBuAHMAaQBvAG4AbABlAHMAcwApAFwAbgBGAGMAIAA9ACAAZgByAGEAYwB0AGkAbwBuACAAbwBmACAAYwByAG8AcAAgAHIAZQBzAGkAZAB1AGUAIAB0AGgAYQB0ACAAaQBzACAAYgB1AHIAbgB0ACAAZgBvAHIAIABjAHIAbwBwACAAYwAgACgAZABpAG0AZQBuAHMAaQBvAG4AbABlAHMAcwApAFwAbgBGAEYATwBEAGMAIAA9ACAAZgByAGEAYwB0AGkAbwBuACAAbwBmACAAdABoAGUAIABjAHIAbwBwACAAcgBlAHMAaQBkAHUAZQAgAHQAaABhAHQAIABpAHMAIAByAGUAbQBvAHYAZQBkACAAZgBvAHIAIABjAHIAbwBwACAAYwAgACgAZABpAG0AZQBuAHMAaQBvAG4AbABlAHMAcwApAFwAbgBEAE0AYwAgAD0AIABkAHIAeQAgAG0AYQB0AHQAZQByACAAYwBvAG4AdABlAG4AdAAgAG8AZgAgAGMAcgBvAHAAIABjACAAKABrAGcAIABkAHIAeQAgAHcAZQBpAGcAaAB0AC8AawBnACAAYwByAG8AcAAgAHIAZQBzAGkAZAB1AGUAKQBcAG4ATgBDAEEARwBjACAAPQAgAG4AaQB0AHIAbwBnAGUAbgAgAGMAbwBuAHQAZQBuAHQAIABvAGYAIABhAGIAbwB2AGUALQBnAHIAbwB1AG4AZAAgAGMAcgBvAHAAIAByAGUAcwBpAGQAdQBlACAAbwBmACAAYwByAG8AcAAgAGMAIAAoAGsAZwAgAE4ALwBrAGcAIABEAE0AKQBcAG4ATgBDAEIARwBjACAAPQAgAG4AaQB0AHIAbwBnAGUAbgAgAGMAbwBuAHQAZQBuAHQAIABvAGYAIABiAGUAbABvAHcALQBnAHIAbwB1AG4AZAAgAGMAcgBvAHAAIAByAGUAcwBpAGQAdQBlACAAbwBmACAAYwByAG8AcAAgAGMAIAAoAGsAZwAgAE4ALwBrAGcAIABEAE0AKQBcAG4AYwAgAD0AIABDAHIAbwBwACAAdAB5AHAAZQBcAG4ALQAtAC0ALQAtAC0ALQAtAC0ALQAtAC0ALQAtAC0ALQAtAC0ALQAtAC0ALQAtAC0ALQAtAC0ALQAtAC0ALQAtAC0ALQAtAC0ALQAtAFwAbgAqAC8AXABuAFwAbgBWAEUARQBSAEcAXwA2AF8AMQBfADEAXwAxAF8AXwAyAF8AXwBNAGEAcwBzAE8AZgBOAGkAdAByAG8AZwBlAG4ASQBuAEMAcgBvAHAAUgBlAHMAaQBkAHUAZQBzAFwAbgAgACAAPQBMAEEATQBCAEQAQQAoAFwAbgAgACAAIAAgAFAAXwBjACwAIABSAF8AQQBHAGMALAAgAEYAXwBjACwAIABGAEYATwBEAF8AYwAsACAARABNAF8AYwAsACAATgBDAF8AQQBHAGMALAAgAFIAXwBCAEcAYwAsACAATgBDAF8AQgBHAGMALABcAG4AIAAgACAAIAAoAFAAXwBjACAAKgAgAFIAXwBBAEcAYwAgACoAIAAoADEAIAAtACAARgBfAGMAIAAtACAARgBGAE8ARABfAGMAKQAgACoAIABEAE0AXwBjACAAKgAgAE4AQwBfAEEARwBjACkAIAArACAAKABQAF8AYwAgACoAIABSAF8AQQBHAGMAIAAqACAAUgBfAEIARwBjACAAKgAgAEQATQBfAGMAIAAqACAATgBDAF8AQgBHAGMAKQBcAG4AIAAgACkAXABuADsAXABuAFwAbgBWAEUARQBSAEcAXwA2AF8AMQBfADEAXwAxAF8AXwAyAF8AXwBNAGEAcwBzAE8AZgBOAGkAdAByAG8AZwBlAG4ASQBuAEMAcgBvAHAAUgBlAHMAaQBkAHUAZQBzAF8AVABpAHQAbABlAFwAbgAgACAAPQBMAEEATQBCAEQAQQAoAFwAIgBNAGEAcwBzACAAbwBmACAAbgBpAHQAcgBvAGcAZQBuACAAaQBuACAAYwByAG8AcAAgAHIAZQBzAGkAZAB1AGUAcwAgAHIAZQB0AHUAcgBuAGUAZAAgAHQAbwAgAHQAaABlACAAcwBvAGkAbABcACIAKQA7AFwAbgBcAG4AVgBFAEUAUgBHAF8ANgBfADEAXwAxAF8AMQBfAF8AMgBfAF8ATQBhAHMAcwBPAGYATgBpAHQAcgBvAGcAZQBuAEkAbgBDAHIAbwBwAFIAZQBzAGkAZAB1AGUAcwBfAFYAYQByAGkAYQBiAGwAZQBcAG4AIAAgAD0ATABBAE0AQgBEAEEAKABcACIATQBfAGMAXAAiACkAOwBcAG4AXABuAFYARQBFAFIARwBfADYAXwAxAF8AMQBfADEAXwBfADIAXwBfAE0AYQBzAHMATwBmAE4AaQB0AHIAbwBnAGUAbgBJAG4AQwByAG8AcABSAGUAcwBpAGQAdQBlAHMAXwBVAG4AaQB0AFwAbgAgACAAPQBMAEEATQBCAEQAQQAoAFwAIgBrAGcAIABOAFwAIgApADsAXABuAFwAbgBWAEUARQBSAEcAXwA2AF8AMQBfADEAXwAxAF8AXwAyAF8AXwBNAGEAcwBzAE8AZgBOAGkAdAByAG8AZwBlAG4ASQBuAEMAcgBvAHAAUgBlAHMAaQBkAHUAZQBzAF8AUwBvAHUAcgBjAGUAXABuACAAIAA9AEwAQQBNAEIARABBACgAXAAiAFYARQBFAFIARwAgADIAMAAyADYAOgAgADYALgAxAC4AMQAuADEALAAgAEUAcQB1AGEAdABpAG8AbgAgACgAMgApAFwAIgApADsAXABuAFwAbgBWAEUARQBSAEcAXwA2AF8AMQBfADEAXwAxAF8AXwAyAF8AXwBNAGEAcwBzAE8AZgBOAGkAdAByAG8AZwBlAG4ASQBuAEMAcgBvAHAAUgBlAHMAaQBkAHUAZQBzAF8ATgBJAFIAUgBlAGYAZQByAGUAbgBjAGUAXABuACAAIAA9AEwAQQBNAEIARABBACgAXAAiAFwAIgApADsAXABuAFwAbgBWAEUARQBSAEcAXwA2AF8AMQBfADEAXwAxAF8AXwAyAF8AXwBNAGEAcwBzAE8AZgBOAGkAdAByAG8AZwBlAG4ASQBuAEMAcgBvAHAAUgBlAHMAaQBkAHUAZQBzAF8ATABhAHQAZQB4AEUAcQB1AGEAdABpAG8AbgBcAG4AIAAgAD0ATABBAE0AQgBEAEEAKABcACI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CIAKQA7AFwAbgBcAG4AVgBFAEUAUgBHAF8ANgBfADEAXwAxAF8AMQBfAF8AMgBfAF8ATQBhAHMAcwBPAGYATgBpAHQAcgBvAGcAZQBuAEkAbgBDAHIAbwBwAFIAZQBzAGkAZAB1AGUAcwBfAEEAcgBnAHUAbQBlAG4AdABzAFwAbgAgACAAPQBMAEEATQBCAEQAQQAoAFwAbgAgACAAIAAgAE0AQQBLAEUAQQBSAFIAQQBZACgAMQAwACwAIAA0ACwAIABcAG4AIAAgACAAIAAgACAATABBAE0AQgBEAEEAKAByACwAYwAsACAAXABuACAAIAAgACAAIAAgACAAIABJAE4ARABFAFgAKAB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ZABpAG0AZQBuAHMAaQBvAG4AbABlAHMAcw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kAGkAbQBlAG4AcwBpAG8AbgBsAGUAcwBzAFwAIgAsACAAXAAiAEMAbwBuAHMAdABhAG4AdABcACIAOwBcAG4AIAAgACAAIAAgACAAIAAgACAAIABcACIARgBfAGMAXAAiACwAXAAiAGYAcgBhAGMAdABpAG8AbgAgAG8AZgAgAGMAcgBvAHAAIAByAGUAcwBpAGQAdQBlACAAdABoAGEAdAAgAGkAcwAgAGIAdQByAG4AdAAgAGYAbwByACAAYwByAG8AcAAgAGMAXAAiACwAIABcACIAZABpAG0AZQBuAHMAaQBvAG4AbABlAHMAcwBcACIALAAgAFwAIgBJAG4AcAB1AHQAXAAiADsAXABuACAAIAAgACAAIAAgACAAIAAgACAAXAAiAEYARgBPAEQAXwBjAFwAIgAsAFwAIgBmAHIAYQBjAHQAaQBvAG4AIABvAGYAIAB0AGgAZQAgAGMAcgBvAHAAIAByAGUAcwBpAGQAdQBlACAAdABoAGEAdAAgAGkAcwAgAHIAZQBtAG8AdgBlAGQAIABmAG8AcgAgAGMAcgBvAHAAIABjAFwAIgAsACAAXAAiAGQAaQBtAGUAbgBzAGkAbwBuAGwAZQBzAHMAXAAiACwAIABcACIAQwBvAG4AcwB0AGEAbgB0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FYARQBFAFIARwBfADYAXwAxAF8AMQBfADEAXwBfADIAXwBfAE0AYQBzAHMATwBmAE4AaQB0AHIAbwBnAGUAbgBJAG4AQwByAG8AcABSAGUAcwBpAGQAdQBlAHMAXwBBAHIAZwB1AG0AZQBuAHQAcwBfAE0AZQB0AGgAbwBkADI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kAGkAbQBlAG4AcwBpAG8AbgBsAGUAcwBzAFwAIgAsACAAXAAiAEMAbwBuAHMAdABhAG4AdABcACIAOwBcAG4AIAAgACAAIAAgACAAIAAgACAAIABcACIAUgBfAEIARwBjAFwAIgAsAFwAIgBiAGUAbABvAHcAIABnAHIAbwB1AG4AZAAtAHIAZQBzAGkAZAB1AGUAIAB0AG8AIABhAGIAbwB2AGUAIABnAHIAbwB1AG4AZAAgAHIAZQBzAGkAZAB1AGUAIAByAGEAdABpAG8AIABmAG8AcgAgAGMAcgBvAHAAIABjAFwAIgAsACAAXAAiAGQAaQBtAGUAbgBzAGkAbwBuAGwAZQBzAHMAXAAiACwAIABcACIAQwBvAG4AcwB0AGEAbgB0AFwAIgA7AFwAbgAgACAAIAAgACAAIAAgACAAIAAgAFwAIgBGAF8AYwBcACIALABcACIAZgByAGEAYwB0AGkAbwBuACAAbwBmACAAYwByAG8AcAAgAHIAZQBzAGkAZAB1AGUAIAB0AGgAYQB0ACAAaQBzACAAYgB1AHIAbgB0ACAAZgBvAHIAIABjAHIAbwBwACAAYwBcACIALAAgAFwAIgBkAGkAbQBlAG4AcwBpAG8AbgBsAGUAcwBzAFwAIgAsACAAXAAiAEkAbgBwAHUAdABcACIAOwBcAG4AIAAgACAAIAAgACAAIAAgACAAIABcACIARgBGAE8ARABfAGMAXAAiACwAXAAiAGYAcgBhAGMAdABpAG8AbgAgAG8AZgAgAHQAaABlACAAYwByAG8AcAAgAHIAZQBzAGkAZAB1AGUAIAB0AGgAYQB0ACAAaQBzACAAcgBlAG0AbwB2AGUAZAAgAGYAbwByACAAYwByAG8AcAAgAGMAXAAiACwAIABcACIAZABpAG0AZQBuAHMAaQBvAG4AbABlAHMAcwBcACIALAAgAFwAIgBDAGEAbABjAHUAbABhAHQAZQBkACAAZgByAG8AbQAgADYALgAxAC4AMQAuADIAIAAoADEAKQBcACIAOwBcAG4AIAAgACAAIAAgACAAIAAgACAAIABcACIARABNAF8AYwBcACIALABcACIAZAByAHkAIABtAGEAdAB0AGUAcgAgAGMAbwBuAHQAZQBuAHQAIABvAGYAIABjAHIAbwBwACAAYwBcACIALAAgAFwAIgBrAGcAIABkAHIAeQAgAHcAZQBpAGcAaAB0AC8AawBnACAAYwByAG8AcAAgAHIAZQBzAGkAZAB1AGUAXAAiACwAIABcACIAQwBvAG4AcwB0AGEAbgB0AFwAIgA7AFwAbgAgACAAIAAgACAAIAAgACAAIAAgAFwAIgBOAEMAXwBBAEcAYwBcACIALABcACIAbgBpAHQAcgBvAGcAZQBuACAAYwBvAG4AdABlAG4AdAAgAG8AZgAgAGEAYgBvAHYAZQAtAGcAcgBvAHUAbgBkACAAYwByAG8AcAAgAHIAZQBzAGkAZAB1AGUAIABvAGYAIABjAHIAbwBwACAAYwBcACIALAAgAFwAIgBrAGcAIABOAC8AawBnACAARABNAFwAIgAsACAAXAAiAEMAbwBuAHMAdABhAG4AdABcACIAOwBcAG4AIAAgACAAIAAgACAAIAAgACAAIABcACIATgBDAF8AQgBHAGMAXAAiACwAXAAiAG4AaQB0AHIAbwBnAGUAbgAgAGMAbwBuAHQAZQBuAHQAIABvAGYAIABiAGUAbABvAHcALQBnAHIAbwB1AG4AZAAgAGMAcgBvAHAAIAByAGUAcwBpAGQAdQBlACAAbwBmACAAYwByAG8AcAAgAGMAXAAiACwAIABcACIAawBnACAATgAvAGsAZwAgAEQATQBcACIALAAgAFwAIgBDAG8AbgBzAHQAYQBuAHQAXAAiADsAXABuACAAIAAgACAAIAAgACAAIAAgACAAXAAiAGMAXAAiACwAXAAiAEMAcgBvAHAAIAB0AHkAcABlAFwAIgAsACAAXAAiAFwAIgAsACAAXAAiAEkAbgBwAHUAdABcACIAOwBcAG4AIAAgACAAIAAgACAAIAAgACAAIABcACIAUwB0AGEAdABlAFwAIgAsAFwAIgBTAHQAYQB0AGUAIABvAHIAIAB0AGUAcgByAGkAdABvAHIAe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QBfADEAXwAyAF8AXwAxAF8AXwBGAHIAYQBjAHQAaQBvAG4ATwBmAEMAcgBvAHAAUgBlAHMAaQBkAHUAZQBSAGUAbQBvAHYAZQBkAEIAYQBsAGUAZABcAG4ARgByAGEAYwB0AGkAbwBuACAAbwBmACAAYwByAG8AcAAgAHIAZQBzAGkAZAB1AGUAIAB0AGgAYQB0ACAAaQBzACAAcgBlAG0AbwB2AGUAZAAgAGYAbwByACAAYwByAG8AcAAgAGMALAAgAGMAYQBsAGMAdQBsAGEAdABlAGQAIAB3AGgAZQByAGUAIAByAGUAcwBpAGQAdQBlAHMAIABhAHIAZQAgAGIAYQBsAGUAZABcAG4ARgBGAE8ARABjAGIAYQBsAGUAZABcAG4AZABpAG0AZQBuAHMAaQBvAG4AbABlAHMAcwBcAG4ARgBGAE8ARABfAHsAYwB9AD0AXABcAGYAcgBhAGMAewBCAFwAXAB0AGkAbQBlAHMAIABNAF8AewBCAH0AfQB7AFAAXwB7AGMAfQBcAFwAdABpAG0AZQBzACAAUgBfAHsAQQBHACwAYwB9AH0AXABuAEIAIAA9ACAAbgB1AG0AYgBlAHIAIABvAGYAIABiAGEAbABlAHMAIABnAGUAbgBlAHIAYQB0AGUAZAAgACgAZABpAG0AZQBuAHMAaQBvAG4AbABlAHMAcwApAFwAbgBNAEIAIAA9ACAAbQBhAHMAcwAgAG8AZgAgAGUAYQBjAGgAIABiAGEAbABlACAAKABrAGcAKQBcAG4AUABjACAAPQAgAGEAbgBuAHUAYQBsACAAcAByAG8AZAB1AGMAdABpAG8AbgAgAG8AZgAgAGMAcgBvAHAAIABjACAAKABrAGcAKQBcAG4AUgBBAEcAYwAgAD0AIAByAGUAcwBpAGQAdQBlACAAdABvACAAYwByAG8AcAAgAHIAYQB0AGkAbwAgAGYAbwByACAAYwByAG8AcAAgAGMAIAAoAGQAaQBtAGUAbgBzAGkAbwBuAGwAZQBzAHMAKQBcAG4AYwAgAD0AIABDAHIAbwBwACAAdAB5AHAAZQBcAG4ALQAtAC0ALQAtAC0ALQAtAC0ALQAtAC0ALQAtAC0ALQAtAC0ALQAtAC0ALQAtAC0ALQAtAC0ALQAtAC0ALQAtAC0ALQAtAC0ALQAtAFwAbgAqAC8AXABuAFwAbgBWAEUARQBSAEcAXwA2AF8AMQBfADEAXwAyAF8AXwAxAF8AXwBGAHIAYQBjAHQAaQBvAG4ATwBmAEMAcgBvAHAAUgBlAHMAaQBkAHUAZQBSAGUAbQBvAHYAZQBkAEIAYQBsAGUAZABcAG4AIAAgAD0ATABBAE0AQgBEAEEAKABcAG4AIAAgACAAIABCACwAIABNAF8AQgAsACAAUABfAGMALAAgAFIAXwBBAEcAYwAsAFwAbgAgACAAIAAgAEkARgBFAFIAUgBPAFIAKAAoAEIAIAAqACAATQBfAEIAKQAgAC8AIAAoAFAAXwBjACAAKgAgAFIAXwBBAEcAYwApACwAIAAwACkAXABuACAAIAApAFwAbgA7AFwAbgBcAG4AVgBFAEUAUgBHAF8ANgBfADEAXwAxAF8AMgBfAF8AMQBfAF8ARgByAGEAYwB0AGkAbwBuAE8AZgBDAHIAbwBwAFIAZQBzAGkAZAB1AGUAUgBlAG0AbwB2AGUAZABCAGEAbABlAGQAXwBUAGkAdABsAGUAXABuACAAIAA9AEwAQQBNAEIARABBACgAXAAiAEYAcgBhAGMAdABpAG8AbgAgAG8AZgAgAGMAcgBvAHAAIAByAGUAcwBpAGQAdQBlACAAdABoAGEAdAAgAGkAcwAgAHIAZQBtAG8AdgBlAGQAIABmAG8AcgAgAGMAcgBvAHAAIABjACwAIABjAGEAbABjAHUAbABhAHQAZQBkACAAdwBoAGUAcgBlACAAcgBlAHMAaQBkAHUAZQBzACAAYQByAGUAIABiAGEAbABlAGQAXAAiACkAOwBcAG4AXABuAFYARQBFAFIARwBfADYAXwAxAF8AMQBfADIAXwBfADEAXwBfAEYAcgBhAGMAdABpAG8AbgBPAGYAQwByAG8AcABSAGUAcwBpAGQAdQBlAFIAZQBtAG8AdgBlAGQAQgBhAGwAZQBkAF8AVgBhAHIAaQBhAGIAbABlAFwAbgAgACAAPQBMAEEATQBCAEQAQQAoAFwAIgBGAEYATwBEAF8AYwBiAGEAbABlAGQAXAAiACkAOwBcAG4AXABuAFYARQBFAFIARwBfADYAXwAxAF8AMQBfADIAXwBfADEAXwBfAEYAcgBhAGMAdABpAG8AbgBPAGYAQwByAG8AcABSAGUAcwBpAGQAdQBlAFIAZQBtAG8AdgBlAGQAQgBhAGwAZQBkAF8AVQBuAGkAdABcAG4AIAAgAD0ATABBAE0AQgBEAEEAKABcACIAZABpAG0AZQBuAHMAaQBvAG4AbABlAHMAcwBcACIAKQA7AFwAbgBcAG4AVgBFAEUAUgBHAF8ANgBfADEAXwAxAF8AMgBfAF8AMQBfAF8ARgByAGEAYwB0AGkAbwBuAE8AZgBDAHIAbwBwAFIAZQBzAGkAZAB1AGUAUgBlAG0AbwB2AGUAZABCAGEAbABlAGQAXwBTAG8AdQByAGMAZQBcAG4AIAAgAD0ATABBAE0AQgBEAEEAKABcACIAVgBFAEUAUgBHACAAMgAwADIANgA6ACAANgAuADEALgAxAC4AMgAsACAARQBxAHUAYQB0AGkAbwBuACAAKAAxACkAXAAiACkAOwBcAG4AXABuAFYARQBFAFIARwBfADYAXwAxAF8AMQBfADIAXwBfADEAXwBfAEYAcgBhAGMAdABpAG8AbgBPAGYAQwByAG8AcABSAGUAcwBpAGQAdQBlAFIAZQBtAG8AdgBlAGQAQgBhAGwAZQBkAF8ATgBJAFIAUgBlAGYAZQByAGUAbgBjAGUAXABuACAAIAA9AEwAQQBNAEIARABBACgAXAAiAFwAIgApADsAXABuAFwAbgBWAEUARQBSAEcAXwA2AF8AMQBfADEAXwAyAF8AXwAxAF8AXwBGAHIAYQBjAHQAaQBvAG4ATwBmAEMAcgBvAHAAUgBlAHMAaQBkAHUAZQBSAGUAbQBvAHYAZQBkAEIAYQBsAGUAZABfAEwAYQB0AGUAeABFAHEAdQBhAHQAaQBvAG4AXABuACAAIAA9AEwAQQBNAEIARABBACgAXAAiAEYARgBPAEQAXwB7AGMALABiAGEAbABlAGQAfQA9AFwAXABmAHIAYQBjAHsAQgBcAFwAdABpAG0AZQBzACAATQBfAHsAQgB9AH0AewBQAF8AewBjAH0AXABcAHQAaQBtAGUAcwAgAFIAXwB7AEEARwAsAGMAfQB9AFwAIgApADsAXABuAFwAbgBWAEUARQBSAEcAXwA2AF8AMQBfADEAXwAyAF8AXwAxAF8AXwBGAHIAYQBjAHQAaQBvAG4ATwBmAEMAcgBvAHAAUgBlAHMAaQBkAHUAZQBSAGUAbQBvAHYAZQBkAEIAYQBsAGUAZABfAEEAcgBnAHUAbQBlAG4AdABzAFwAbgAgACAAPQBMAEEATQBCAEQAQQAoAFwAbgAgACAAIAAgAE0AQQBLAEUAQQBSAFIAQQBZACgANQAsACAANAAsACAAXABuACAAIAAgACAAIAAgAEwAQQBNAEIARABBACgAcgAsAGMALAAgAFwAbgAgACAAIAAgACAAIAAgACAASQBOAEQARQBYACgAewBcAG4AIAAgACAAIAAgACAAIAAgACAAIABcACIAQgBcACIALABcACIAbgB1AG0AYgBlAHIAIABvAGYAIABiAGEAbABlAHMAIABnAGUAbgBlAHIAYQB0AGUAZABcACIALAAgAFwAIgBkAGkAbQBlAG4AcwBpAG8AbgBsAGUAcwBzAFwAIgAsACAAXAAiAEkAbgBwAHUAdABcACIAOwBcAG4AIAAgACAAIAAgACAAIAAgACAAIABcACIATQBfAEIAXAAiACwAXAAiAG0AYQBzAHMAIABvAGYAIABlAGEAYwBoACAAYgBhAGwAZQBcACIALAAgAFwAIgBrAGcAXAAiACwAIABcACIASQBuAHAAdQB0AFwAIgA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ZABpAG0AZQBuAHMAaQBvAG4AbABlAHMAcwBcACIALAAgAFwAIgBJAG4AcAB1AHQAXAAiADsAXABuACAAIAAgACAAIAAgACAAIAAgACAAXAAiAGMAXAAiACwAXAAiAEMAcgBvAHAAIAB0AHkAcABlAFwAIgAsACAAXAAiAFwAIgAsACAAXAAiAEkAbgBwAHUAdABcACIAXABuACAAIAAgACAAIAAgACAAIAB9ACwAIAByACwAIABjACkAXABuACAAIAAgACAAIAAgACkAXABuACAAIAAgACAAKQBcAG4AIAAgACkAOwBcAG4AXABuAFYARQBFAFIARwBfADYAXwAxAF8AMQBfADIAXwBfADEAXwBfAEYAcgBhAGMAdABpAG8AbgBPAGYAQwByAG8AcABSAGUAcwBpAGQAdQBlAFIAZQBtAG8AdgBlAGQAQgBhAGwAZQBkAF8AVgBhAHIAaQBhAHQAaQBvAG4AXABuACAAIAA9AEwAQQBNAEIARABBACgAXAAiAFYAQQBSAEkAQQBUAEkATwBOACAARgBSAE8ATQAgAFMATwBVAFIAQwBFADoAIABBAGQAZABlAGQAIABcAHUAMAAwADIANwBiAGEAbABlAGQAXAB1ADAAMAAyADcAIAB0AG8AIAB2AGEAcgBpAGEAYgBsAGUAIABzAHUAYgBzAGMAcgBpAHAAdABcACIAKQA7AFwAbgBcAG4AXABuAFwAbgAvACoAIABcAG4ALQAtAC0ALQAtAC0ALQAtAC0ALQAtAC0ALQAtAC0ALQAtAC0ALQAtAC0ALQAtAC0ALQAtAC0ALQAtAC0ALQAtAC0ALQAtAC0ALQAtAFwAbgBWAEUARQBSAEcAXwA2AF8AMQBfADEAXwAyAF8AXwAxAGEAXwBfAEYAcgBhAGMAdABpAG8AbgBPAGYAQwByAG8AcABSAGUAcwBpAGQAdQBlAFIAZQBtAG8AdgBlAGQAXABuAEYAcgBhAGMAdABpAG8AbgAgAG8AZgAgAGMAcgBvAHAAIAByAGUAcwBpAGQAdQBlACAAdABoAGEAdAAgAGkAcwAgAHIAZQBtAG8AdgBlAGQAIABmAG8AcgAgAGMAcgBvAHAAIABjAFwAbgBGAEYATwBEAGMAXABuAGQAaQBtAGUAbgBzAGkAbwBuAGwAZQBzAHMAXABuAFwAbgAtAC0ALQAtAC0ALQAtAC0ALQAtAC0ALQAtAC0ALQAtAC0ALQAtAC0ALQAtAC0ALQAtAC0ALQAtAC0ALQAtAC0ALQAtAC0ALQAtAC0AXABuACoALwBcAG4AXABuAFYARQBFAFIARwBfADYAXwAxAF8AMQBfADIAXwBfADEAYQBfAF8ARgByAGEAYwB0AGkAbwBuAE8AZgBDAHIAbwBwAFIAZQBzAGkAZAB1AGUAUgBlAG0AbwB2AGUAZABcAG4AIAAgAD0ATABBAE0AQgBEAEEAKABcAG4AIAAgACAAIABGAEYATwBEAF8AYwBiAGEAbABlAGQALAAgAEYARgBPAEQAXwBjAG8AdABoAGUAcgAsAFwAbgAgACAAIAAgAEYARgBPAEQAXwBjAGIAYQBsAGUAZAAgACsAIABGAEYATwBEAF8AYwBvAHQAaABlAHIAXABuACAAIAApAFwAbgA7AFwAbgBcAG4AVgBFAEUAUgBHAF8ANgBfADEAXwAxAF8AMgBfAF8AMQBhAF8AXwBGAHIAYQBjAHQAaQBvAG4ATwBmAEMAcgBvAHAAUgBlAHMAaQBkAHUAZQBSAGUAbQBvAHYAZQBkAF8AVABpAHQAbABlAFwAbgAgACAAPQBMAEEATQBCAEQAQQAoAFwAIgBGAHIAYQBjAHQAaQBvAG4AIABvAGYAIABjAHIAbwBwACAAcgBlAHMAaQBkAHUAZQAgAHQAaABhAHQAIABpAHMAIAByAGUAbQBvAHYAZQBkACAAZgBvAHIAIABjAHIAbwBwACAAYwBcACIAKQA7AFwAbgBcAG4AVgBFAEUAUgBHAF8ANgBfADEAXwAxAF8AMgBfAF8AMQBhAF8AXwBGAHIAYQBjAHQAaQBvAG4ATwBmAEMAcgBvAHAAUgBlAHMAaQBkAHUAZQBSAGUAbQBvAHYAZQBkAF8AVgBhAHIAaQBhAGIAbABlAFwAbgAgACAAPQBMAEEATQBCAEQAQQAoAFwAIgBGAEYATwBEAF8AYwBcACIAKQA7AFwAbgBcAG4AVgBFAEUAUgBHAF8ANgBfADEAXwAxAF8AMgBfAF8AMQBhAF8AXwBGAHIAYQBjAHQAaQBvAG4ATwBmAEMAcgBvAHAAUgBlAHMAaQBkAHUAZQBSAGUAbQBvAHYAZQBkAF8AVQBuAGkAdABcAG4AIAAgAD0ATABBAE0AQgBEAEEAKABcACIAZABpAG0AZQBuAHMAaQBvAG4AbABlAHMAcwBcACIAKQA7AFwAbgBcAG4AVgBFAEUAUgBHAF8ANgBfADEAXwAxAF8AMgBfAF8AMQBhAF8AXwBGAHIAYQBjAHQAaQBvAG4ATwBmAEMAcgBvAHAAUgBlAHMAaQBkAHUAZQBSAGUAbQBvAHYAZQBkAF8AUwBvAHUAcgBjAGUAXABuACAAIAA9AEwAQQBNAEIARABBACgAXAAiAFwAIgApADsAXABuAFwAbgBWAEUARQBSAEcAXwA2AF8AMQBfADEAXwAyAF8AXwAxAGEAXwBfAEYAcgBhAGMAdABpAG8AbgBPAGYAQwByAG8AcABSAGUAcwBpAGQAdQBlAFIAZQBtAG8AdgBlAGQAXwBOAEkAUgBSAGUAZgBlAHIAZQBuAGMAZQBcAG4AIAAgAD0ATABBAE0AQgBEAEEAKABcACIAXAAiACkAOwBcAG4AXABuAFYARQBFAFIARwBfADYAXwAxAF8AMQBfADIAXwBfADEAYQBfAF8ARgByAGEAYwB0AGkAbwBuAE8AZgBDAHIAbwBwAFIAZQBzAGkAZAB1AGUAUgBlAG0AbwB2AGUAZABfAEwAYQB0AGUAeABFAHEAdQBhAHQAaQBvAG4AXABuACAAIAA9AEwAQQBNAEIARABBACgAXAAiAEYARgBPAEQAXwB7AGMAfQAgAD0AIABGAEYATwBEAF8AewBjACwAYgBhAGwAZQBkAH0AIAArACAARgBGAE8ARABfAHsAYwAsAG8AdABoAGUAcgB9AFwAIgApADsAXABuAFwAbgBWAEUARQBSAEcAXwA2AF8AMQBfADEAXwAyAF8AXwAxAGEAXwBfAEYAcgBhAGMAdABpAG8AbgBPAGYAQwByAG8AcABSAGUAcwBpAGQAdQBlAFIAZQBtAG8AdgBlAGQAXwBBAHIAZwB1AG0AZQBuAHQAcwBcAG4AIAAgAD0ATABBAE0AQgBEAEEAKABcAG4AIAAgACAAIABNAEEASwBFAEEAUgBSAEEAWQAoADIALAAgADQALAAgAFwAbgAgACAAIAAgACAAIABMAEEATQBCAEQAQQAoAHIALABjACwAIABcAG4AIAAgACAAIAAgACAAIAAgAEkATgBEAEUAWAAoAHsAXABuACAAIAAgACAAIAAgACAAIAAgACAAXAAiAEYARgBPAEQAXwBjAGIAYQBsAGUAZABcACIALABcACIARgByAGEAYwB0AGkAbwBuACAAbwBmACAAYwByAG8AcAAgAHIAZQBzAGkAZAB1AGUAIAB0AGgAYQB0ACAAaQBzACAAcgBlAG0AbwB2AGUAZAAgAGYAbwByACAAYwByAG8AcAAgAGMALAAgAGMAYQBsAGMAdQBsAGEAdABlAGQAIAB3AGgAZQByAGUAIAByAGUAcwBpAGQAdQBlAHMAIABhAHIAZQAgAGIAYQBsAGUAZABcACIALAAgAFwAIgBmAHIAYQBjAHQAaQBvAG4AXAAiACwAIABcACIAQwBhAGwAYwB1AGwAYQB0AGUAZAAgAGYAcgBvAG0AIAA2AC4AMQAuADEALgAyACwAIAAoADEAKQBcACIAOwBcAG4AIAAgACAAIAAgACAAIAAgACAAIABcACIARgBGAE8ARABfAGMAbwB0AGgAZQByAFwAIgAsAFwAIgBGAHIAYQBjAHQAaQBvAG4AIABvAGYAIABjAHIAbwBwACAAcgBlAHMAaQBkAHUAZQAgAHQAaABhAHQAIABpAHMAIAByAGUAbQBvAHYAZQBkACAAZgBvAHIAIABjAHIAbwBwACAAYwAsACAAYwBhAGwAYwB1AGwAYQB0AGUAZAAgAHcAaABlAHIAZQAgAHIAZQBzAGkAZAB1AGUAcwAgAGEAcgBlACAAcgBlAG0AbwB2AGUAZAAgAGIAeQAgAG8AdABoAGUAcgAgAG0AZQBhAG4AcwBcACIALAAgAFwAIgBmAHIAYQBjAHQAaQBvAG4AXAAiACwAIABcACIASQBuAHAAdQB0AFwAIgBcAG4AIAAgACAAIAAgACAAIAAgAH0ALAAgAHIALAAgAGMAKQBcAG4AIAAgACAAIAAgACAAKQBcAG4AIAAgACAAIAApAFwAbgAgACAAKQA7AFwAbgBcAG4AVgBFAEUAUgBHAF8ANgBfADEAXwAxAF8AMgBfAF8AMQBhAF8AXwBGAHIAYQBjAHQAaQBvAG4ATwBmAEMAcgBvAHAAUgBlAHMAaQBkAHUAZQBSAGUAbQBvAHYAZQBkAF8AVgBhAHIAaQBhAHQAaQBvAG4AXABuACAAIAA9AEwAQQBNAEIARABBACgAXAAiAFYAQQBSAEkAQQBUAEkATwBOACAARgBSAE8ATQAgAFMATwBVAFIAQwBFADoAIABBAGQAZABlAGQAIAB0AGgAaQBzACAAZQBxAHUAYQB0AGkAbwBuACAAdABvACAAYQBjAGMAbwBtAG0AbwBkAGEAdABlACAAdQBzAGUAcgAtAGQAZQBmAGkAbgBlAGQAIAByAGUAcwBpAGQAdQBlACAAcgBlAG0AbwB2AGEAbAAgAG8AdABoAGUAcgAgAHQAaABhAG4AIABiAGEAbABpAG4AZwAuAFwAIgApADsAIgB9ACwAewAiAHAAYQB0AGgAIgA6ACIALwBwAHIAbwBqAGUAYwB0AHMALwBBAGcAUgBlAHMAaQBkAHUAZQBfAEUAcQB1AGEAdABpAG8AbgBzAF8ARgBpAGUAbABkAEIAdQByAG4AaQBuAGcAIgAsACIAdABlAHgAdAAiADoAIgAvACoAIABcAG4ALQAtAC0ALQAtAC0ALQAtAC0ALQAtAC0ALQAtAC0ALQAtAC0ALQAtAC0ALQAtAC0ALQAtAC0ALQAtAC0ALQAtAC0ALQAtAC0ALQAtAFwAbgBWAEUARQBSAEcAXwA2AF8ANABfADEAXwAxAF8AXwAxAF8AXwBNAGUAdABoAGEAbgBlAEUAbQBpAHMAcwBpAG8AbgBzAEYAcgBvAG0AQgB1AHIAbgBpAG4AZwBPAGYAQwByAG8AcABSAGUAcwBpAGQAdQBlAHMAXABuAE0AZQB0AGgAYQBuAGUAIABlAG0AaQBzAHMAaQBvAG4AcwAgAGYAcgBvAG0AIAB0AGgAZQAgAGIAdQByAG4AaQBuAGcAIABvAGYAIABjAHIAbwBwACAAcgBlAHMAaQBkAHUAZQBzAFwAbgBFAEMASAA0AFwAbgB0ACAAQwBIADQAXABuAEUAXwB7AEMASAA0AH0APQBcAG4AXABcAHMAdQBtAF8AewBjAH0AKABNAF8AewBiAHUAcgBuACwAYwB9AFwAXAB0AGkAbQBlAHMAIABDAEMAXwB7AGMAfQBcAFwAdABpAG0AZQBzACAARQBGAF8AewBDAEgANAB9AFwAXAB0AGkAbQBlAHMAIABDAF8AewBDAEgANAB9AFwAXAB0AGkAbQBlAHMAIAAxADAAXgB7AC0AMwB9ACkAXABuAE0AXwBiAHUAcgBuAGMAIAA9ACAAbQBhAHMAcwAgAG8AZgAgAHIAZQBzAGkAZAB1AGUAIABiAHUAcgBuAHQAIABmAG8AcgAgAGMAcgBvAHAAIAB0AHkAcABlACAAYwAgACgAawBnACkAXABuAEMAQwBfAGMAIAA9ACAAYwBhAHIAYgBvAG4AIABtAGEAcwBzACAAZgByAGEAYwB0AGkAbwBuACAAaQBuACAAdABoAGUAIAByAGUAcwBpAGQAdQBlAHMAIABvAGYAIABjAHIAbwBwACAAdAB5AHAAZQAgAGMAIAAoAGQAaQBtAGUAbgBzAGkAbwBuAGwAZQBzAHMAKQBcAG4ARQBGAF8AQwBIADQAIAA9ACAAZQBtAGkAcwBzAGkAbwBuACAAZgBhAGMAdABvAHIAIABmAG8AcgAgAG0AZQB0AGgAYQBuAGUAIABmAHIAbwBtACAAYgB1AHIAbgBpAG4AZwAgAG8AZgAgAGMAcgBvAHAAIAByAGUAcwBpAGQAdQBlAHMAIAAoAGsAZwAgAEMASAA0AC8AawBnACAAQwBIADQAIABiAHUAcgBuAHQAKQBcAG4AQwBDAEgANAAgAD0AIABmAGEAYwB0AG8AcgAgAHQAbwAgAGMAbwBuAHYAZQByAHQAIABlAGwAZQBtAGUAbgB0AGEAbAAgAG0AYQBzAHMAIABvAGYAIABtAGUAdABoAGEAbg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QBfAF8ATQBlAHQAaABhAG4AZQBFAG0AaQBzAHMAaQBvAG4AcwBGAHIAbwBtAEIAdQByAG4AaQBuAGcATwBmAEMAcgBvAHAAUgBlAHMAaQBkAHUAZQBzAFwAbgAgACAAPQBMAEEATQBCAEQAQQAoAFwAbgAgACAAIAAgAE0AXwBiAHUAcgBuAGMALAAgAEMAQwBfAGMALAAgAEUARgBfAEMASAA0ACwAIABDAF8AQwBIADQALABcAG4AIAAgACAAIAAoAE0AXwBiAHUAcgBuAGMAIAAqACAAQwBDAF8AYwApACAAKgAgAEUARgBfAEMASAA0ACAAKgAgAEMAXwBDAEgANAAgACoAIAAxADAAXgAoAC0AMwApAFwAbgAgACAAKQA7AFwAbgBcAG4AVgBFAEUAUgBHAF8ANgBfADQAXwAxAF8AMQBfAF8AMQBfAF8ATQBlAHQAaABhAG4AZQBFAG0AaQBzAHMAaQBvAG4AcwBGAHIAbwBtAEIAdQByAG4AaQBuAGcATwBmAEMAcgBvAHAAUgBlAHMAaQBkAHUAZQBzAF8ARgB1AG4AYwB0AGkAbwBuAE4AYQBtAGUAXABuACAAIAA9AEwAQQBNAEIARABBACgAXAAiAFYARQBFAFIARwBfADYAXwA0AF8AMQBfADEAXwBfADEAXwBfAE0AZQB0AGgAYQBuAGUARQBtAGkAcwBzAGkAbwBuAHMARgByAG8AbQBCAHUAcgBuAGkAbgBnAE8AZgBDAHIAbwBwAFIAZQBzAGkAZAB1AGUAcwBcACIAKQA7AFwAbgBcAG4AVgBFAEUAUgBHAF8ANgBfADQAXwAxAF8AMQBfAF8AMQBfAF8ATQBlAHQAaABhAG4AZQBFAG0AaQBzAHMAaQBvAG4AcwBGAHIAbwBtAEIAdQByAG4AaQBuAGcATwBmAEMAcgBvAHAAUgBlAHMAaQBkAHUAZQBzAF8AVABpAHQAbABlAFwAbgAgACAAPQBMAEEATQBCAEQAQQAoAFwAIgBNAGUAdABoAGEAbgBlACAAZQBtAGkAcwBzAGkAbwBuAHMAIABmAHIAbwBtACAAdABoAGUAIABiAHUAcgBuAGkAbgBnACAAbwBmACAAYwByAG8AcAAgAHIAZQBzAGkAZAB1AGUAcwBcACIAKQA7AFwAbgBcAG4AVgBFAEUAUgBHAF8ANgBfADQAXwAxAF8AMQBfAF8AMQBfAF8ATQBlAHQAaABhAG4AZQBFAG0AaQBzAHMAaQBvAG4AcwBGAHIAbwBtAEIAdQByAG4AaQBuAGcATwBmAEMAcgBvAHAAUgBlAHMAaQBkAHUAZQBzAF8AVgBhAHIAaQBhAGIAbABlAFwAbgAgACAAPQBMAEEATQBCAEQAQQAoAFwAIgBFAEMASAA0AFwAIgApADsAXABuAFwAbgBWAEUARQBSAEcAXwA2AF8ANABfADEAXwAxAF8AXwAxAF8AXwBNAGUAdABoAGEAbgBlAEUAbQBpAHMAcwBpAG8AbgBzAEYAcgBvAG0AQgB1AHIAbgBpAG4AZwBPAGYAQwByAG8AcABSAGUAcwBpAGQAdQBlAHMAXwBVAG4AaQB0AFwAbgAgACAAPQBMAEEATQBCAEQAQQAoAFwAIgB0ACAAQwBIADQAXAAiACkAOwBcAG4AXABuAFYARQBFAFIARwBfADYAXwA0AF8AMQBfADEAXwBfADEAXwBfAE0AZQB0AGgAYQBuAGUARQBtAGkAcwBzAGkAbwBuAHMARgByAG8AbQBCAHUAcgBuAGkAbgBnAE8AZgBDAHIAbwBwAFIAZQBzAGkAZAB1AGUAcwBfAFMAbwB1AHIAYwBlAFwAbgAgACAAPQBMAEEATQBCAEQAQQAoAFwAIgBWAEUARQBSAEcAIAAyADAAMgA2ADoAIAA2AC4ANAAuADEALgAxACwAIABFAHEAdQBhAHQAaQBvAG4AIAAoADEAKQBcACIAKQA7AFwAbgBcAG4AVgBFAEUAUgBHAF8ANgBfADQAXwAxAF8AMQBfAF8AMQBfAF8ATQBlAHQAaABhAG4AZQBFAG0AaQBzAHMAaQBvAG4AcwBGAHIAbwBtAEIAdQByAG4AaQBuAGcATwBmAEMAcgBvAHAAUgBlAHMAaQBkAHUAZQBzAF8ATgBJAFIAUgBlAGYAZQByAGUAbgBjAGUAXABuACAAIAA9AEwAQQBNAEIARABBACgAXAAiAFwAIgApADsAXABuAFwAbgBWAEUARQBSAEcAXwA2AF8ANABfADEAXwAxAF8AXwAxAF8AXwBNAGUAdABoAGEAbgBlAEUAbQBpAHMAcwBpAG8AbgBzAEYAcgBvAG0AQgB1AHIAbgBpAG4AZwBPAGYAQwByAG8AcABSAGUAcwBpAGQAdQBlAHMAXwBMAGEAdABlAHgARQBxAHUAYQB0AGkAbwBuAFwAbgAgACAAPQBMAEEATQBCAEQAQQAoAFwAIgBFAF8AewBDAEgANAB9AD0AXABcAHMAdQBtAFwAXABuAG8AbABpAG0AaQB0AHMAXwBjACgATQBfAHsAYgB1AHIAbgAsAGMAfQBcAFwAdABpAG0AZQBzACAAQwBDAF8AewBjAH0AKQBcAFwAdABpAG0AZQBzACAARQBGAF8AewBDAEgANAB9AFwAXAB0AGkAbQBlAHMAIABDAF8AewBDAEgANAB9AFwAXAB0AGkAbQBlAHMAIAAxADAAXgB7AC0AMwB9AFwAIgApADsAXABuAFwAbgBWAEUARQBSAEcAXwA2AF8ANABfADEAXwAxAF8AXwAxAF8AXwBNAGUAdABoAGEAbg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MAQwBfAGMAXAAiACwAXAAiAGMAYQByAGIAbwBuACAAbQBhAHMAcwAgAGYAcgBhAGMAdABpAG8AbgAgAGkAbgAgAHQAaABlACAAcgBlAHMAaQBkAHUAZQBzACAAbwBmACAAYwByAG8AcAAgAHQAeQBwAGUAIABjAFwAIgAsACAAXAAiAGQAaQBtAGUAbgBzAGkAbwBuAGwAZQBzAHMAXAAiACwAIABcACIAQwBvAG4AcwB0AGEAbgB0AFwAIgA7AFwAbgAgACAAIAAgACAAIAAgACAAIAAgAFwAIgBFAEYAXwBDAEgANABcACIALABcACIAZQBtAGkAcwBzAGkAbwBuACAAZgBhAGMAdABvAHIAIABmAG8AcgAgAG0AZQB0AGgAYQBuAGUAIABmAHIAbwBtACAAYgB1AHIAbgBpAG4AZwAgAG8AZgAgAGMAcgBvAHAAIAByAGUAcwBpAGQAdQBlAHMAXAAiACwAIABcACIAawBnACAAQwBIADQAIAAvACAAawBnACAAQwBIADQAIABiAHUAcgBuAHQAXAAiACwAIABcACIAQwBvAG4AcwB0AGEAbgB0AFwAIgA7AFwAbgAgACAAIAAgACAAIAAgACAAIAAgAFwAIgBDAF8AQwBIADQAXAAiACwAXAAiAGYAYQBjAHQAbwByACAAdABvACAAYwBvAG4AdgBlAHIAdAAgAGUAbABlAG0AZQBuAHQAYQBsACAAbQBhAHMAcwAgAG8AZgAgAG0AZQB0AGgAYQBuAGUAIAB0AG8AIABtAG8AbABlAGMAdQBsAGEAcgAgAG0AYQBzAHMAXAAiACwAIABcACIAZABpAG0AZQBuAHMAaQBvAG4AbABlAHMAcw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0AF8AMQBfADEAXwBfADIAXwBfAE4AaQB0AHIAbwB1AHMATwB4AGkAZABlAEUAbQBpAHMAcwBpAG8AbgBzAEYAcgBvAG0AQgB1AHIAbgBpAG4AZwBPAGYAQwByAG8AcABSAGUAcwBpAGQAdQBlAHMAXABuAE4AaQB0AHIAbwB1AHMAIABvAHgAaQBkAGUAIABlAG0AaQBzAHMAaQBvAG4AcwAgAGYAcgBvAG0AIAB0AGgAZQAgAGIAdQByAG4AaQBuAGcAIABvAGYAIABjAHIAbwBwACAAcgBlAHMAaQBkAHUAZQBzAFwAbgBFAE4AMgBPAFwAbgB0ACAATgAyAE8AXABuAEUAXwB7AE4AMgBPAH0APQBcAFwAcwB1AG0AXwB7AGMAfQAoAE0AXwB7AGIAdQByAG4ALABjAH0AXABcAHQAaQBtAGUAcwAgAE4AQwBfAHsAQQBHAGMAfQBcAFwAdABpAG0AZQBzACAARQBGAF8AewBOADIATwB9AFwAXAB0AGkAbQBlAHMAIABDAF8AewBOADIATwB9AFwAXAB0AGkAbQBlAHMAIAAxADAAXgB7AC0AMwB9ACkAXABuAE0AXwBiAHUAcgBuAGMAIAA9ACAAbQBhAHMAcwAgAG8AZgAgAHIAZQBzAGkAZAB1AGUAIABiAHUAcgBuAHQAIABmAG8AcgAgAGMAcgBvAHAAIAB0AHkAcABlACAAYwAgACgAawBnACkAXABuAE4AQwBfAEEARwBjACAAPQAgAG4AaQB0AHIAbwBnAGUAbgAgAGMAbwBuAHQAZQBuAHQAIABpAG4AIAB0AGgAZQAgAGEAYgBvAHYAZQAtAGcAcgBvAHUAbgBkACAAcgBlAHMAaQBkAHUAZQAgAG8AZgAgAGMAcgBvAHAAIAB0AHkAcABlACAAYwAgACgAawBnACAATgAvAGsAZwAgAEQATQApAFwAbgBFAEYAXwBOADIATwAgAD0AIABlAG0AaQBzAHMAaQBvAG4AIABmAGEAYwB0AG8AcgAgAGYAbwByACAAbgBpAHQAcgBvAHUAcwAgAG8AeABpAGQAZQAgAGYAcgBvAG0AIABiAHUAcgBuAGkAbgBnACAAbwBmACAAYwByAG8AcAAgAHIAZQBzAGkAZAB1AGUAcwAgACgAawBnACAATgAyAE8ALwBrAGcAIABOADIATwAgAGIAdQByAG4AdAApAFwAbgBDAF8ATgAyAE8AIAA9ACAAZgBhAGMAdABvAHIAIAB0AG8AIABjAG8AbgB2AGUAcgB0ACAAZQBsAGUAbQBlAG4AdABhAGwAIABtAGEAcwBzACAAbwBmACAAbgBpAHQAcgBvAHUAcwAgAG8AeABpAGQ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0AF8AMQBfADEAXwBfADIAXwBfAE4AaQB0AHIAbwB1AHMATwB4AGkAZABlAEUAbQBpAHMAcwBpAG8AbgBzAEYAcgBvAG0AQgB1AHIAbgBpAG4AZwBPAGYAQwByAG8AcABSAGUAcwBpAGQAdQBlAHMAXABuACAAIAA9AEwAQQBNAEIARABBACgAXABuACAAIAAgACAATQBfAGIAdQByAG4AYwAsACAATgBDAF8AQQBHAGMALAAgAEUARgBfAE4AMgBPACwAIABDAF8ATgAyAE8ALABcAG4AIAAgACAAIAAoAE0AXwBiAHUAcgBuAGMAIAAqACAATgBDAF8AQQBHAGMAKQAgACoAIABFAEYAXwBOADIATwAgACoAIABDAF8ATgAyAE8AIAAqACAAMQAwAF4AKAAtADMAKQBcAG4AIAAgACkAOwBcAG4AXABuAFYARQBFAFIARwBfADYAXwA0AF8AMQBfADEAXwBfADIAXwBfAE4AaQB0AHIAbwB1AHMATwB4AGkAZABlAEUAbQBpAHMAcwBpAG8AbgBzAEYAcgBvAG0AQgB1AHIAbgBpAG4AZwBPAGYAQwByAG8AcABSAGUAcwBpAGQAdQBlAHMAXwBGAHUAbgBjAHQAaQBvAG4ATgBhAG0AZQBcAG4AIAAgAD0ATABBAE0AQgBEAEEAKABcACIAVgBFAEUAUgBHAF8ANgBfADQAXwAxAF8AMQBfAF8AMgBfAF8ATgBpAHQAcgBvAHUAcwBPAHgAaQBkAGUARQBtAGkAcwBzAGkAbwBuAHMARgByAG8AbQBCAHUAcgBuAGkAbgBnAE8AZgBDAHIAbwBwAFIAZQBzAGkAZAB1AGUAcwBcACIAKQA7AFwAbgBcAG4AVgBFAEUAUgBHAF8ANgBfADQAXwAxAF8AMQBfAF8AMgBfAF8ATgBpAHQAcgBvAHUAcwBPAHgAaQBkAGUARQBtAGkAcwBzAGkAbwBuAHMARgByAG8AbQBCAHUAcgBuAGkAbgBnAE8AZgBDAHIAbwBwAFIAZQBzAGkAZAB1AGUAcwBfAFQAaQB0AGwAZQBcAG4AIAAgAD0ATABBAE0AQgBEAEEAKABcACIATgBpAHQAcgBvAHUAcwAgAG8AeABpAGQAZQAgAGUAbQBpAHMAcwBpAG8AbgBzACAAZgByAG8AbQAgAHQAaABlACAAYgB1AHIAbgBpAG4AZwAgAG8AZgAgAGMAcgBvAHAAIAByAGUAcwBpAGQAdQBlAHMAXAAiACkAOwBcAG4AXABuAFYARQBFAFIARwBfADYAXwA0AF8AMQBfADEAXwBfADIAXwBfAE4AaQB0AHIAbwB1AHMATwB4AGkAZABlAEUAbQBpAHMAcwBpAG8AbgBzAEYAcgBvAG0AQgB1AHIAbgBpAG4AZwBPAGYAQwByAG8AcABSAGUAcwBpAGQAdQBlAHMAXwBWAGEAcgBpAGEAYgBsAGUAXABuACAAIAA9AEwAQQBNAEIARABBACgAXAAiAEUATgAyAE8AXAAiACkAOwBcAG4AXABuAFYARQBFAFIARwBfADYAXwA0AF8AMQBfADEAXwBfADIAXwBfAE4AaQB0AHIAbwB1AHMATwB4AGkAZABlAEUAbQBpAHMAcwBpAG8AbgBzAEYAcgBvAG0AQgB1AHIAbgBpAG4AZwBPAGYAQwByAG8AcABSAGUAcwBpAGQAdQBlAHMAXwBVAG4AaQB0AFwAbgAgACAAPQBMAEEATQBCAEQAQQAoAFwAIgB0ACAATgAyAE8AXAAiACkAOwBcAG4AXABuAFYARQBFAFIARwBfADYAXwA0AF8AMQBfADEAXwBfADIAXwBfAE4AaQB0AHIAbwB1AHMATwB4AGkAZABlAEUAbQBpAHMAcwBpAG8AbgBzAEYAcgBvAG0AQgB1AHIAbgBpAG4AZwBPAGYAQwByAG8AcABSAGUAcwBpAGQAdQBlAHMAXwBTAG8AdQByAGMAZQBcAG4AIAAgAD0ATABBAE0AQgBEAEEAKABcACIAVgBFAEUAUgBHACAAMgAwADIANgA6ACAANgAuADQALgAxAC4AMQAsACAARQBxAHUAYQB0AGkAbwBuACAAKAAyACkAXAAiACkAOwBcAG4AXABuAFYARQBFAFIARwBfADYAXwA0AF8AMQBfADEAXwBfADIAXwBfAE4AaQB0AHIAbwB1AHMATwB4AGkAZABlAEUAbQBpAHMAcwBpAG8AbgBzAEYAcgBvAG0AQgB1AHIAbgBpAG4AZwBPAGYAQwByAG8AcABSAGUAcwBpAGQAdQBlAHMAXwBOAEkAUgBSAGUAZgBlAHIAZQBuAGMAZQBcAG4AIAAgAD0ATABBAE0AQgBEAEEAKABcACIAXAAiACkAOwBcAG4AXABuAFYARQBFAFIARwBfADYAXwA0AF8AMQBfADEAXwBfADIAXwBfAE4AaQB0AHIAbwB1AHMATwB4AGkAZABlAEUAbQBpAHMAcwBpAG8AbgBzAEYAcgBvAG0AQgB1AHIAbgBpAG4AZwBPAGYAQwByAG8AcABSAGUAcwBpAGQAdQBlAHMAXwBMAGEAdABlAHgARQBxAHUAYQB0AGkAbwBuAFwAbgAgACAAPQBMAEEATQBCAEQAQQAoAFwAIgBFAF8AewBOADIATwB9AD0AXABcAHMAdQBtAFwAXABuAG8AbABpAG0AaQB0AHMAXwBjACgATQBfAHsAYgB1AHIAbgAsAGMAfQBcAFwAdABpAG0AZQBzACAATgBDAF8AewBBAEcAYwB9ACkAXABcAHQAaQBtAGUAcwAgAEUARgBfAHsATgAyAE8AfQBcAFwAdABpAG0AZQBzACAAQwBfAHsATgAyAE8AfQBcAFwAdABpAG0AZQBzACAAMQAwAF4AewAtADMAfQBcACIAKQA7AFwAbgBcAG4AVgBFAEUAUgBHAF8ANgBfADQAXwAxAF8AMQBfAF8AMgBfAF8ATgBpAHQAcgBvAHUAcwBPAHgAaQBkAGUARQBtAGkAcwBzAGkAbwBuAHMARgByAG8AbQBCAHUAcgBuAGkAbgBnAE8AZgBDAHIAbwBwAFIAZQBzAGkAZAB1AGUAcwBfAEEAcgBnAHUAbQBlAG4AdABzAFwAbgAgACAAPQBMAEEATQBCAEQAQQAoAFwAbgAgACAAIAAgAE0AQQBLAEUAQQBSAFIAQQBZACgANQAsACAANAAsAFwAbgAgACAAIAAgACAAIABMAEEATQBCAEQAQQAoAHIALABjACwAXABuACAAIAAgACAAIAAgACAAIABJAE4ARABFAFgAKAB7AFwAbgAgACAAIAAgACAAIAAgACAAIAAgAFwAIgBNAF8AYgB1AHIAbgBjAFwAIgAsAFwAIgBtAGEAcwBzACAAbwBmACAAcgBlAHMAaQBkAHUAZQAgAGIAdQByAG4AdAAgAGYAbwByACAAYwByAG8AcAAgAHQAeQBwAGUAIABjAFwAIgAsACAAXAAiAGsAZwBcACIALAAgAFwAIgBDAGEAbABjAHUAbABhAHQAZQBkACAAZgByAG8AbQAgADYALgA0AC4AMQAuADEAIAAoADMAKQBcACIAOwBcAG4AIAAgACAAIAAgACAAIAAgACAAIABcACIATgBDAF8AQQBHAGMAXAAiACwAXAAiAG4AaQB0AHIAbwBnAGUAbgAgAGMAbwBuAHQAZQBuAHQAIABpAG4AIAB0AGgAZQAgAGEAYgBvAHYAZQAtAGcAcgBvAHUAbgBkACAAcgBlAHMAaQBkAHUAZQAgAG8AZgAgAGMAcgBvAHAAIAB0AHkAcABlACAAYwBcACIALAAgAFwAIgBrAGcAIABOAC8AawBnACAARABNAFwAIgAsACAAXAAiAEMAbwBuAHMAdABhAG4AdABcACIAOwBcAG4AIAAgACAAIAAgACAAIAAgACAAIABcACIARQBGAF8ATgAyAE8AXAAiACwAXAAiAGUAbQBpAHMAcwBpAG8AbgAgAGYAYQBjAHQAbwByACAAZgBvAHIAIABuAGkAdAByAG8AdQBzACAAbwB4AGkAZABlACAAZgByAG8AbQAgAGIAdQByAG4AaQBuAGcAIABvAGYAIABjAHIAbwBwACAAcgBlAHMAaQBkAHUAZQBzAFwAIgAsACAAXAAiAGsAZwAgAE4AMgBPAC8AawBnACAATgAyAE8AIABiAHUAcgBuAHQ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0AF8AMQBfADEAXwBfADMAXwBfAE0AYQBzAHMATwBmAEMAcgBvAHAAUgBlAHMAaQBkAHUAZQBCAHUAcgBuAHQAXABuAE0AYQBzAHMAIABvAGYAIAByAGUAcwBpAGQAdQBlACAAbwBmACAAYwByAG8AcAAgAGMAIABiAHUAcgBuAHQAXABuAE0AXwBiAHUAcgBuAGMAXABuAGsAZwBcAG4ATQBfAHsAYgB1AHIAbgAsAGMAfQA9AFAAXwB7AGMAfQBcAFwAdABpAG0AZQBzACAAUgBfAHsAQQBHAGMAfQBcAFwAdABpAG0AZQBzACAAUwBfAHsAYwB9AFwAXAB0AGkAbQBlAHMAIABEAE0AXwB7AGMAfQBcAFwAdABpAG0AZQBzACAAWgBfAHsAYwB9AFwAXAB0AGkAbQBlAHMAIABGAF8AewBjAH0AXABuAFAAXwBjACAAPQAgAGEAbgBuAHUAYQBsACAAcAByAG8AZAB1AGMAdABpAG8AbgAgAG8AZgAgAGMAcgBvAHAAIAB0AHkAcABlACAAYwAgACgAawBnACkAXABuAFIAXwBBAEcAYwAgAD0AIAByAGUAcwBpAGQAdQBlACAAdABvACAAYwByAG8AcAAgAHIAYQB0AGkAbwAgAG8AZgAgAGMAcgBvAHAAIAB0AHkAcABlACAAYwAgACgAawBnACAAYwByAG8AcAAgAHIAZQBzAGkAZAB1AGUALwBrAGcAIABjAHIAbwBwACkAXABuAFMAXwBjACAAPQAgAGYAcgBhAGMAdABpAG8AbgAgAG8AZgAgAHIAZQBzAGkAZAB1AGUAcwAgAG8AZgAgAGMAcgBvAHAAIAB0AHkAcABlACAAYwAgAHIAZQBtAGEAaQBuAGkAbgBnACAAYQB0ACAAYgB1AHIAbgBpAG4AZwAgACgAZABpAG0AZQBuAHMAaQBvAG4AbABlAHMAcwApAFwAbgBEAE0AXwBjACAAPQAgAGQAcgB5ACAAbQBhAHQAdABlAHIAIABjAG8AbgB0AGUAbgB0ACAAbwBmACAAYwByAG8AcAAgAHQAeQBwAGUAIABjACAAKABrAGcAIABkAHIAeQAgAHcAZQBpAGcAaAB0AC8AawBnACAAYwByAG8AcAAgAHIAZQBzAGkAZAB1AGUAKQBcAG4AWgBfAGMAIAA9ACAAYgB1AHIAbgBpAG4AZwAgAGUAZgBmAGkAYwBpAGUAbgBjAHkAIAAoAHIAYQB0AGkAbwAgAG8AZgAgAGYAdQBlAGwAIABiAHUAcgBuAHQAIAB0AG8AIABmAHUAZQBsACAAbABvAGEAZAApACAAbwBmACAAYwByAG8AcAAgAHQAeQBwAGUAIABjACAAKABkAGkAbQBlAG4AcwBpAG8AbgBsAGUAcwBzACkAXABuAEYAXwBjACAAPQAgAGYAcgBhAGMAdABpAG8AbgAgAG8AZgAgAHQAaABlACAAYQBuAG4AdQBhAGwAIABwAHIAbwBkAHUAYwB0AGkAbwBuACAAbwBmACAAYwByAG8AcAAgAHQAeQBwAGUAIABjACAAdABoAGEAdAAgAGkAcwAgAGIAdQByAG4AdAAgACgAZABpAG0AZQBuAHMAaQBvAG4AbABlAHMAcwApAFwAbgBjACAAPQAgAEMAcgBvAHAAIAB0AHkAcABlAFwAbgAtAC0ALQAtAC0ALQAtAC0ALQAtAC0ALQAtAC0ALQAtAC0ALQAtAC0ALQAtAC0ALQAtAC0ALQAtAC0ALQAtAC0ALQAtAC0ALQAtAC0AXABuACoALwBcAG4AXABuAFYARQBFAFIARwBfADYAXwA0AF8AMQBfADEAXwBfADMAXwBfAE0AYQBzAHMATwBmAEMAcgBvAHAAUgBlAHMAaQBkAHUAZQBCAHUAcgBuAHQAXABuACAAIAA9AEwAQQBNAEIARABBACgAXABuACAAIAAgACAAUABfAGMALAAgAFIAXwBBAEcAYwAsACAAUwBfAGMALAAgAEQATQBfAGMALAAgAFoAXwBjACwAIABGAF8AYwAsAFwAbgAgACAAIAAgAFAAXwBjACAAKgAgAFIAXwBBAEcAYwAgACoAIABTAF8AYwAgACoAIABEAE0AXwBjACAAKgAgAFoAXwBjACAAKgAgAEYAXwBjAFwAbgAgACAAKQA7AFwAbgBcAG4AVgBFAEUAUgBHAF8ANgBfADQAXwAxAF8AMQBfAF8AMwBfAF8ATQBhAHMAcwBPAGYAQwByAG8AcABSAGUAcwBpAGQAdQBlAEIAdQByAG4AdABfAEYAdQBuAGMAdABpAG8AbgBOAGEAbQBlAFwAbgAgACAAPQBMAEEATQBCAEQAQQAoAFwAIgBWAEUARQBSAEcAXwA2AF8ANABfADEAXwAxAF8AXwAzAF8AXwBNAGEAcwBzAE8AZgBDAHIAbwBwAFIAZQBzAGkAZAB1AGUAQgB1AHIAbgB0AFwAIgApADsAXABuAFwAbgBWAEUARQBSAEcAXwA2AF8ANABfADEAXwAxAF8AXwAzAF8AXwBNAGEAcwBzAE8AZgBDAHIAbwBwAFIAZQBzAGkAZAB1AGUAQgB1AHIAbgB0AF8AVABpAHQAbABlAFwAbgAgACAAPQBMAEEATQBCAEQAQQAoAFwAIgBNAGEAcwBzACAAbwBmACAAcgBlAHMAaQBkAHUAZQAgAG8AZgAgAGMAcgBvAHAAIABjACAAYgB1AHIAbgB0AFwAIgApADsAXABuAFwAbgBWAEUARQBSAEcAXwA2AF8ANABfADEAXwAxAF8AXwAzAF8AXwBNAGEAcwBzAE8AZgBDAHIAbwBwAFIAZQBzAGkAZAB1AGUAQgB1AHIAbgB0AF8AVgBhAHIAaQBhAGIAbABlAFwAbgAgACAAPQBMAEEATQBCAEQAQQAoAFwAIgBNAF8AYgB1AHIAbgBjAFwAIgApADsAXABuAFwAbgBWAEUARQBSAEcAXwA2AF8ANABfADEAXwAxAF8AXwAzAF8AXwBNAGEAcwBzAE8AZgBDAHIAbwBwAFIAZQBzAGkAZAB1AGUAQgB1AHIAbgB0AF8AVQBuAGkAdABcAG4AIAAgAD0ATABBAE0AQgBEAEEAKABcACIAawBnAFwAIgApADsAXABuAFwAbgBWAEUARQBSAEcAXwA2AF8ANABfADEAXwAxAF8AXwAzAF8AXwBNAGEAcwBzAE8AZgBDAHIAbwBwAFIAZQBzAGkAZAB1AGUAQgB1AHIAbgB0AF8AUwBvAHUAcgBjAGUAXABuACAAIAA9AEwAQQBNAEIARABBACgAXAAiAFYARQBFAFIARwAgADIAMAAyADYAOgAgADYALgA0AC4AMQAuADEALAAgAEUAcQB1AGEAdABpAG8AbgAgACgAMwApAFwAIgApADsAXABuAFwAbgBWAEUARQBSAEcAXwA2AF8ANABfADEAXwAxAF8AXwAzAF8AXwBNAGEAcwBzAE8AZgBDAHIAbwBwAFIAZQBzAGkAZAB1AGUAQgB1AHIAbgB0AF8ATgBJAFIAUgBlAGYAZQByAGUAbgBjAGUAXABuACAAIAA9AEwAQQBNAEIARABBACgAXAAiAFwAIgApADsAXABuAFwAbgBWAEUARQBSAEcAXwA2AF8ANABfADEAXwAxAF8AXwAzAF8AXwBNAGEAcwBzAE8AZgBDAHIAbwBwAFIAZQBzAGkAZAB1AGUAQgB1AHIAbgB0AF8ATABhAHQAZQB4AEUAcQB1AGEAdABpAG8AbgBcAG4AIAAgAD0ATABBAE0AQgBEAEEAKABcACIATQBfAHsAYgB1AHIAbgAsAGMAfQA9AFAAXwB7AGMAfQBcAFwAdABpAG0AZQBzACAAUgBfAHsAQQBHAGMAfQBcAFwAdABpAG0AZQBzACAAUwBfAHsAYwB9AFwAXAB0AGkAbQBlAHMAIABEAE0AXwB7AGMAfQBcAFwAdABpAG0AZQBzACAAWgBfAHsAYwB9AFwAXAB0AGkAbQBlAHMAIABGAF8AewBjAH0AXAAiACkAOwBcAG4AXABuAFYARQBFAFIARwBfADYAXwA0AF8AMQBfADEAXwBfADMAXwBfAE0AYQBzAHMATwBmAEMAcgBvAHAAUgBlAHMAaQBkAHUAZQBCAHUAcgBuAHQAXwBBAHIAZwB1AG0AZQBuAHQAcwBcAG4AIAAgAD0ATABBAE0AQgBEAEEAKABcAG4AIAAgACAAIABNAEEASwBFAEEAUgBSAEEAWQAoADcALAAgADQALABcAG4AIAAgACAAIAAgACAATABBAE0AQgBEAEEAKAByACwAYwAsAFwAbgAgACAAIAAgACAAIAAgACAASQBOAEQARQBYACgAewBcAG4AIAAgACAAIAAgACAAIAAgACAAIABcACIAUABfAGMAXAAiACwAXAAiAGEAbgBuAHUAYQBsACAAcAByAG8AZAB1AGMAdABpAG8AbgAgAG8AZgAgAGMAcgBvAHAAIAB0AHkAcABlACAAYwBcACIALAAgAFwAIgBrAGcAXAAiACwAIABcACIASQBuAHAAdQB0AFwAIgA7AFwAbgAgACAAIAAgACAAIAAgACAAIAAgAFwAIgBSAF8AQQBHAGMAXAAiACwAXAAiAHIAZQBzAGkAZAB1AGUAIAB0AG8AIABjAHIAbwBwACAAcgBhAHQAaQBvACAAbwBmACAAYwByAG8AcAAgAHQAeQBwAGUAIABjAFwAIgAsACAAXAAiAGsAZwAgAGMAcgBvAHAAIAByAGUAcwBpAGQAdQBlAC8AawBnACAAYwByAG8AcABcACIALAAgAFwAIgBDAG8AbgBzAHQAYQBuAHQAXAAiADsAXABuACAAIAAgACAAIAAgACAAIAAgACAAXAAiAFMAXwBjAFwAIgAsAFwAIgBmAHIAYQBjAHQAaQBvAG4AIABvAGYAIAByAGUAcwBpAGQAdQBlAHMAIABvAGYAIABjAHIAbwBwACAAdAB5AHAAZQAgAGMAIAByAGUAbQBhAGkAbgBpAG4AZwAgAGEAdAAgAGIAdQByAG4AaQBuAGcAXAAiACwAIABcACIAZABpAG0AZQBuAHMAaQBvAG4AbABlAHMAcwBcACIALAAgAFwAIgBDAG8AbgBzAHQAYQBuAHQAXAAiADsAXABuACAAIAAgACAAIAAgACAAIAAgACAAXAAiAEQATQBfAGMAXAAiACwAXAAiAGQAcgB5ACAAbQBhAHQAdABlAHIAIABjAG8AbgB0AGUAbgB0ACAAbwBmACAAYwByAG8AcAAgAHQAeQBwAGUAIABjAFwAIgAsACAAXAAiAGsAZwAgAGQAcgB5ACAAdwBlAGkAZwBoAHQALwBrAGcAIABjAHIAbwBwACAAcgBlAHMAaQBkAHUAZQBcACIALAAgAFwAIgBDAG8AbgBzAHQAYQBuAHQAXAAiADsAXABuACAAIAAgACAAIAAgACAAIAAgACAAXAAiAFoAXwBjAFwAIgAsAFwAIgBiAHUAcgBuAGkAbgBnACAAZQBmAGYAaQBjAGkAZQBuAGMAeQAgACgAcgBhAHQAaQBvACAAbwBmACAAZgB1AGUAbAAgAGIAdQByAG4AdAAgAHQAbwAgAGYAdQBlAGwAIABsAG8AYQBkACkAIABvAGYAIABjAHIAbwBwACAAdAB5AHAAZQAgAGMAXAAiACwAIABcACIAZABpAG0AZQBuAHMAaQBvAG4AbABlAHMAcwBcACIALAAgAFwAIgBDAG8AbgBzAHQAYQBuAHQAXAAiADsAXABuACAAIAAgACAAIAAgACAAIAAgACAAXAAiAEYAXwBjAFwAIgAsAFwAIgBmAHIAYQBjAHQAaQBvAG4AIABvAGYAIAB0AGgAZQAgAGEAbgBuAHUAYQBsACAAcAByAG8AZAB1AGMAdABpAG8AbgAgAG8AZgAgAGMAcgBvAHAAIAB0AHkAcABlACAAYwAgAHQAaABhAHQAIABpAHMAIABiAHUAcgBuAHQAXAAiACwAIABcACIAZABpAG0AZQBuAHMAaQBvAG4AbABlAHMAcw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AiAH0ALAB7ACIAcABhAHQAaAAiADoAIgAvAHAAcgBvAGoAZQBjAHQAcwAvAEEAZwBSAGUAcwBpAGQAdQBlAF8ARQBxAHUAYQB0AGkAbwBuAHMAXwBMAGUAYQBjAGgAaQBuAGcAIgAsACIAdABlAHgAdAAiADoAIgAvACoAIABcAG4ALQAtAC0ALQAtAC0ALQAtAC0ALQAtAC0ALQAtAC0ALQAtAC0ALQAtAC0ALQAtAC0ALQAtAC0ALQAtAC0ALQAtAC0ALQAtAC0ALQAtAFwAbgBWAEUARQBSAEcAXwA2AF8AMwBfADEAXwAxAF8AXwAxAF8AXwBMAGUAYQBjAGgAaQBuAGcAQQBuAGQAUgB1AG4AbwBmAGYARQBtAGkAcwBzAGkAbwBuAHMAQwByAG8AcABBAG4AZABQAGEAcwB0AHUAcgBlAFIAZQBzAGkAZAB1AGUAXABuAE4AaQB0AHIAbwB1AHMAIABvAHgAaQBkAGUAIABsAGUAYQBjAGgAaQBuAGcAIABhAG4AZAAgAHIAdQBuAG8AZgBmACAAZQBtAGkAcwBzAGkAbwBuAHMAIABmAHIAbwBtACAAYwByAG8AcAAgAGEAbgBkACAAcABhAHMAdAB1AHIAZQAgAHIAZQBzAGkAZAB1AGUAcwAgAHIAZQB0AHUAcgBuAGUAZAAgAHQAbwAgAHQAaABlACAAcwBvAGkAbAAsACAAYQBjAHIAbwBzAHMAIABhAGwAbAAgAGMAcgBvAHAAIAByAGUAcwBpAGQAdQBlAHMAIABjACAAYQBuAGQAIABwAGEAcwB0AHUAcgBlACAAcgBlAHMAaQBkAHUAZQBzACAAcABcAG4ARQBOADIATwBcAG4AdAAgAE4AMgBPAFwAbgBFAF8AewBOADIATwB9AD0AXABcAHMAdQBtAF8AewBjAH0AXABcAHMAdQBtAF8AewBwAH0AKABNAF8AewBsAGUAYQBjAGgALABjAHAAfQBcAFwAdABpAG0AZQBzACAARQBGAF8AewBsAGUAYQBjAGgAfQBcAFwAdABpAG0AZQBzACAAQwBfAHsATgAyAE8AfQBcAFwAdABpAG0AZQBzACAAMQAwAF4AewAtADMAfQApAFwAbgBNAF8AbABlAGEAYwBoAGMAcAAgAD0AIABtAGEAcwBzACAAbwBmACAAbgBpAHQAcgBvAGcAZQBuACAAbABvAHMAdAAgAHQAaAByAG8AdQBnAGgAIABsAGUAYQBjAGgAaQBuAGcAIABhAG4AZAAgAHIAdQBuAG8AZgBmACAAZgByAG8AbQAgAHQAaABlACAAYwByAG8AcAAgAHIAZQBzAGkAZAB1AGUAIABjACAAbwByACAAcABhAHMAdAB1AHIAZQAgAHIAZQBzAGkAZAB1AGUAIABwACAAKABrAGcAIABOACkAXABuAEUARgBfAGwAZQBhAGMAaAAgAD0AIABlAG0AaQBzAHMAaQBvAG4AIABmAGEAYwB0AG8AcgAgAGYAbwByACAAbABlAGEAYwBoAGkAbgBnACAAYQBuAGQAIAByAHUAbgBvAGYAZg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YwAgAD0AIABDAHIAbwBwACAAcgBlAHMAaQBkAHUAZQAgAHQAeQBwAGUAXABuAHAAIAA9ACAAUABhAHMAdAB1AHIAZQAgAHIAZQBzAGkAZAB1AGUAIAB0AHkAcABlAFwAbgAtAC0ALQAtAC0ALQAtAC0ALQAtAC0ALQAtAC0ALQAtAC0ALQAtAC0ALQAtAC0ALQAtAC0ALQAtAC0ALQAtAC0ALQAtAC0ALQAtAC0AXABuACoALwBcAG4AXABuAFYARQBFAFIARwBfADYAXwAzAF8AMQBfADEAXwBfADEAXwBfAEwAZQBhAGMAaABpAG4AZwBBAG4AZABSAHUAbgBvAGYAZgBFAG0AaQBzAHMAaQBvAG4AcwBDAHIAbwBwAEEAbgBkAFAAYQBzAHQAdQByAGUAUgBlAHMAaQBkAHUAZQBcAG4AIAAgAD0ATABBAE0AQgBEAEEAKABcAG4AIAAgACAAIABNAF8AbABlAGEAYwBoAGMAcAAsACAARQBGAF8AbABlAGEAYwBoACwAIABDAF8ATgAyAE8ALABcAG4AIAAgACAAIAAoAE0AXwBsAGUAYQBjAGgAYwBwACAAKgAgAEUARgBfAGwAZQBhAGMAaAApACAAKgAgAEMAXwBOADIATwAgACoAIAAxADAAXgAoAC0AMwApAFwAbgAgACAAKQBcAG4AOwBcAG4AXABuAFYARQBFAFIARwBfADYAXwAzAF8AMQBfADEAXwBfADEAXwBfAEwAZQBhAGMAaABpAG4AZwBBAG4AZABSAHUAbgBvAGYAZgBFAG0AaQBzAHMAaQBvAG4AcwBDAHIAbwBwAEEAbgBkAFAAYQBzAHQAdQByAGUAUgBlAHMAaQBkAHUAZQBfAFQAaQB0AGwAZQBcAG4AIAAgAD0ATABBAE0AQgBEAEEAKABcACIATgBpAHQAcgBvAHUAcwAgAG8AeABpAGQAZQAgAGwAZQBhAGMAaABpAG4AZwAgAGEAbgBkACAAcgB1AG4AbwBmAGYAIABlAG0AaQBzAHMAaQBvAG4AcwAgAGYAcgBvAG0AIABjAHIAbwBwACAAYQBuAGQAIABwAGEAcwB0AHUAcgBlACAAcgBlAHMAaQBkAHUAZQBzACAAcgBlAHQAdQByAG4AZQBkACAAdABvACAAdABoAGUAIABzAG8AaQBsAFwAIgApADsAXABuAFwAbgBWAEUARQBSAEcAXwA2AF8AMwBfADEAXwAxAF8AXwAxAF8AXwBMAGUAYQBjAGgAaQBuAGcAQQBuAGQAUgB1AG4AbwBmAGYARQBtAGkAcwBzAGkAbwBuAHMAQwByAG8AcABBAG4AZABQAGEAcwB0AHUAcgBlAFIAZQBzAGkAZAB1AGUAXwBWAGEAcgBpAGEAYgBsAGUAXABuACAAIAA9AEwAQQBNAEIARABBACgAXAAiAEUATgAyAE8AXAAiACkAOwBcAG4AXABuAFYARQBFAFIARwBfADYAXwAzAF8AMQBfADEAXwBfADEAXwBfAEwAZQBhAGMAaABpAG4AZwBBAG4AZABSAHUAbgBvAGYAZgBFAG0AaQBzAHMAaQBvAG4AcwBDAHIAbwBwAEEAbgBkAFAAYQBzAHQAdQByAGUAUgBlAHMAaQBkAHUAZQBfAFUAbgBpAHQAXABuACAAIAA9AEwAQQBNAEIARABBACgAXAAiAHQAIABOADIATwBcACIAKQA7AFwAbgBcAG4AVgBFAEUAUgBHAF8ANgBfADMAXwAxAF8AMQBfAF8AMQBfAF8ATABlAGEAYwBoAGkAbgBnAEEAbgBkAFIAdQBuAG8AZgBmAEUAbQBpAHMAcwBpAG8AbgBzAEMAcgBvAHAAQQBuAGQAUABhAHMAdAB1AHIAZQBSAGUAcwBpAGQAdQBlAF8AUwBvAHUAcgBjAGUAXABuACAAIAA9AEwAQQBNAEIARABBACgAXAAiAFYARQBFAFIARwAgADIAMAAyADYAOgAgADYALgAzAC4AMQAuADEALAAgAEUAcQB1AGEAdABpAG8AbgAgACgAMQApAFwAIgApADsAXABuAFwAbgBWAEUARQBSAEcAXwA2AF8AMwBfADEAXwAxAF8AXwAxAF8AXwBMAGUAYQBjAGgAaQBuAGcAQQBuAGQAUgB1AG4AbwBmAGYARQBtAGkAcwBzAGkAbwBuAHMAQwByAG8AcABBAG4AZABQAGEAcwB0AHUAcgBlAFIAZQBzAGkAZAB1AGUAXwBOAEkAUgBSAGUAZgBlAHIAZQBuAGMAZQBcAG4AIAAgAD0ATABBAE0AQgBEAEEAKABcACIAXAAiACkAOwBcAG4AXABuAFYARQBFAFIARwBfADYAXwAzAF8AMQBfADEAXwBfADEAXwBfAEwAZQBhAGMAaABpAG4AZwBBAG4AZABSAHUAbgBvAGYAZgBFAG0AaQBzAHMAaQBvAG4AcwBDAHIAbwBwAEEAbgBkAFAAYQBzAHQAdQByAGUAUgBlAHMAaQBkAHUAZQBfAEwAYQB0AGUAeABFAHEAdQBhAHQAaQBvAG4AXABuACAAIAA9AEwAQQBNAEIARABBACgAXAAiAEUAXwB7AE4AMgBPAH0APQBcAFwAcwB1AG0AXABcAG4AbwBsAGkAbQBpAHQAcwBfAGMAXABcAHMAdQBtAFwAXABuAG8AbABpAG0AaQB0AHMAXwBwACgATQBfAHsAbABlAGEAYwBoACwAYwBwAH0AXABcAHQAaQBtAGUAcwAgAEUARgBfAHsAbABlAGEAYwBoAH0AXABcAHQAaQBtAGUAcwAgAEMAXwB7AE4AMgBPAH0AXABcAHQAaQBtAGUAcwAgADEAMABeAHsALQAzAH0AKQBcACIAKQA7AFwAbgBcAG4AVgBFAEUAUgBHAF8ANgBfADMAXwAxAF8AMQBfAF8AMQBfAF8ATABlAGEAYwBoAGkAbgBnAEEAbgBkAFIAdQBuAG8AZgBmAEUAbQBpAHMAcwBpAG8AbgBzAEMAcgBvAHAAQQBuAGQAUABhAHMAdAB1AHIAZQBSAGUAcwBpAGQAdQBlAF8AQQByAGcAdQBtAGUAbgB0AHMAXABuACAAIAA9AEwAQQBNAEIARABBACgAXABuACAAIAAgACAATQBBAEsARQBBAFIAUgBBAFkAKAA1ACwAIAA0ACwAIABcAG4AIAAgACAAIAAgACAATABBAE0AQgBEAEEAKAByACwAYwAsACAAXABuACAAIAAgACAAIAAgACAAIABJAE4ARABFAFgAKAB7AFwAbgAgACAAIAAgACAAIAAgACAAIAAgAFwAIgBNAF8AbABlAGEAYwBoAGMAcABcACIALABcACIAbQBhAHMAcwAgAG8AZgAgAG4AaQB0AHIAbwBnAGUAbgAgAGwAbwBzAHQAIAB0AGgAcgBvAHUAZwBoACAAbABlAGEAYwBoAGkAbgBnACAAYQBuAGQAIAByAHUAbgBvAGYAZgAgAGYAcgBvAG0AIAB0AGgAZQAgAGMAcgBvAHAAIAByAGUAcwBpAGQAdQBlACAAYwAgAG8AcgAgAHAAYQBzAHQAdQByAGUAIAByAGUAcwBpAGQAdQBlACAAcABcACIALAAgAFwAIgBrAGcAIABOAFwAIgAsACAAXAAiAEMAYQBsAGMAdQBsAGEAdABlAGQAIABmAHIAbwBtACAANgAuADMALgAxAC4AMQAgACgAMgApAFwAIgA7AFwAbgAgACAAIAAgACAAIAAgACAAIAAgAFwAIgBFAEYAXwBsAGUAYQBjAGgAXAAiACwAXAAiAGUAbQBpAHMAcwBpAG8AbgAgAGYAYQBjAHQAbwByACAAZgBvAHI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wBfADEAXwAxAF8AXwAyAF8AXwBNAGEAcwBzAE8AZgBOAGkAdAByAG8AZwBlAG4ATABvAHMAdABUAGgAcgBvAHUAZwBoAEwAZQBhAGMAaABpAG4AZwBBAG4AZABSAHUAbgBvAGYAZgBcAG4ATQBhAHMAcwAgAG8AZgAgAG4AaQB0AHIAbwBnAGUAbgAgAGwAbwBzAHQAIAB0AGgAcgBvAHUAZwBoACAAbABlAGEAYwBoAGkAbgBnACAAYQBuAGQAIAByAHUAbgBvAGYAZgBcAG4ATQBfAGwAZQBhAGMAaABjAHAAXABuAGsAZwAgAE4AXABuAE0AXwB7AGwAZQBhAGMAaAAsAGMAcAB9AD0ATQBfAHsAYwBwAH0AXABcAHQAaQBtAGUAcwAgAEYAcgBhAGMAVwBFAFQAXwB7AGoAfQBcAFwAdABpAG0AZQBzACAARgByAGEAYwBMAEUAQQBDAEgAXABuAE0AXwBjAHAAIAA9ACAAbQBhAHMAcwAgAG8AZgAgAG4AaQB0AHIAbwBnAGUAbgAgAGkAbgAgAGMAcgBvAHAAIAByAGUAcwBpAGQAdQBlAHMAIABjACAAbwByACAAcABhAHMAdAB1AHIAZQAgAHIAZQBzAGkAZAB1AGUAcwAgAHAAIABhAHAAcABsAGkAZQBkACAAdABvACAAcwBvAGkAbABzACAAKABrAGcAIABOACkAXABuAEYAcgBhAGMAVwBFAFQAagAgAD0AIABmAHIAYQBjAHQAaQBvAG4AIABvAGYAIABOACAAdABoAGEAdAAgAGkAcwAgAGEAdgBhAGkAbABhAGIAbABlACAAZgBvAHIAIABsAGUAYQBjAGgAaQBuAGcAIABhAG4AZAAgAHIAdQBuAG8AZgBmACAAZgByAG8AbQAgAHAAcgBvAGQAdQBjAHQAaQBvAG4AIABzAHkAcwB0AGUAbQAgAGoAIAAoAGQAaQBtAGUAbgBzAGkAbwBuAGwAZQBzAHMAKQBcAG4ARgByAGEAYwBMAEUAQQBDAEgAIAA9ACAAZgByAGEAYwB0AGkAbwBuACAAbwBmACAATgAgAHQAaABhAHQAIABpAHMAIABsAG8AcwB0ACAAdABoAHIAbwB1AGcAaAAgAGwAZQBhAGMAaABpAG4AZwAgAGEAbgBkACAAcgB1AG4AbwBmAGYAIAAoAGQAaQBtAGUAbgBzAGkAbwBuAGwAZQBzAHMAKQBcAG4AYwAgAD0AIABDAHIAbwBwACAAcgBlAHMAaQBkAHUAZQAgAHQAeQBwAGUAXABuAHAAIAA9ACAAUABhAHMAdAB1AHIAZQAgAHIAZQBzAGkAZAB1AGUAIAB0AHkAcABlAFwAbgBpAHIAIAA9ACAAaQByAHIAaQBnAGEAdABpAG8AbgAgAHQAeQBwAGUAXABuAC0ALQAtAC0ALQAtAC0ALQAtAC0ALQAtAC0ALQAtAC0ALQAtAC0ALQAtAC0ALQAtAC0ALQAtAC0ALQAtAC0ALQAtAC0ALQAtAC0ALQBcAG4AKgAvAFwAbgBcAG4AVgBFAEUAUgBHAF8ANgBfADMAXwAxAF8AMQBfAF8AMgBfAF8ATQBhAHMAcwBPAGYATgBpAHQAcgBvAGcAZQBuAEwAbwBzAHQAVABoAHIAbwB1AGcAaABMAGUAYQBjAGgAaQBuAGcAQQBuAGQAUgB1AG4AbwBmAGYAXABuACAAIAA9AEwAQQBNAEIARABBACgAXABuACAAIAAgACAATQBfAGMAcAAsACAARgByAGEAYwBXAEUAVABfAGoALAAgAEYAcgBhAGMATABFAEEAQwBIACwAXABuACAAIAAgACAATQBfAGMAcAAgACoAIABGAHIAYQBjAFcARQBUAF8AagAgACoAIABGAHIAYQBjAEwARQBBAEMASABcAG4AIAAgACkAXABuADsAXABuAFwAbgBWAEUARQBSAEcAXwA2AF8AMwBfADEAXwAxAF8AXwAyAF8AXwBNAGEAcwBzAE8AZgBOAGkAdAByAG8AZwBlAG4ATABvAHMAdABUAGgAcgBvAHUAZwBoAEwAZQBhAGMAaABpAG4AZwBBAG4AZABSAHUAbgBvAGYAZgBfAFQAaQB0AGwAZQBcAG4AIAAgAD0ATABBAE0AQgBEAEEAKABcACIATQBhAHMAcwAgAG8AZgAgAG4AaQB0AHIAbwBnAGUAbgAgAGwAbwBzAHQAIAB0AGgAcgBvAHUAZwBoACAAbABlAGEAYwBoAGkAbgBnACAAYQBuAGQAIAByAHUAbgBvAGYAZgBcACIAKQA7AFwAbgBcAG4AVgBFAEUAUgBHAF8ANgBfADMAXwAxAF8AMQBfAF8AMgBfAF8ATQBhAHMAcwBPAGYATgBpAHQAcgBvAGcAZQBuAEwAbwBzAHQAVABoAHIAbwB1AGcAaABMAGUAYQBjAGgAaQBuAGcAQQBuAGQAUgB1AG4AbwBmAGYAXwBWAGEAcgBpAGEAYgBsAGUAXABuACAAIAA9AEwAQQBNAEIARABBACgAXAAiAE0AXwBsAGUAYQBjAGgAYwBwAFwAIgApADsAXABuAFwAbgBWAEUARQBSAEcAXwA2AF8AMwBfADEAXwAxAF8AXwAyAF8AXwBNAGEAcwBzAE8AZgBOAGkAdAByAG8AZwBlAG4ATABvAHMAdABUAGgAcgBvAHUAZwBoAEwAZQBhAGMAaABpAG4AZwBBAG4AZABSAHUAbgBvAGYAZgBfAFUAbgBpAHQAXABuACAAIAA9AEwAQQBNAEIARABBACgAXAAiAGsAZwAgAE4AXAAiACkAOwBcAG4AXABuAFYARQBFAFIARwBfADYAXwAzAF8AMQBfADEAXwBfADIAXwBfAE0AYQBzAHMATwBmAE4AaQB0AHIAbwBnAGUAbgBMAG8AcwB0AFQAaAByAG8AdQBnAGgATABlAGEAYwBoAGkAbgBnAEEAbgBkAFIAdQBuAG8AZgBmAF8AUwBvAHUAcgBjAGUAXABuACAAIAA9AEwAQQBNAEIARABBACgAXAAiAFYARQBFAFIARwAgADIAMAAyADYAOgAgADYALgAzAC4AMQAuADEALAAgAEUAcQB1AGEAdABpAG8AbgAgACgAMgApAFwAIgApADsAXABuAFwAbgBWAEUARQBSAEcAXwA2AF8AMwBfADEAXwAxAF8AXwAyAF8AXwBNAGEAcwBzAE8AZgBOAGkAdAByAG8AZwBlAG4ATABvAHMAdABUAGgAcgBvAHUAZwBoAEwAZQBhAGMAaABpAG4AZwBBAG4AZABSAHUAbgBvAGYAZgBfAE4ASQBSAFIAZQBmAGUAcgBlAG4AYwBlAFwAbgAgACAAPQBMAEEATQBCAEQAQQAoAFwAIgBcACIAKQA7AFwAbgBcAG4AVgBFAEUAUgBHAF8ANgBfADMAXwAxAF8AMQBfAF8AMgBfAF8ATQBhAHMAcwBPAGYATgBpAHQAcgBvAGcAZQBuAEwAbwBzAHQAVABoAHIAbwB1AGcAaABMAGUAYQBjAGgAaQBuAGcAQQBuAGQAUgB1AG4AbwBmAGYAXwBMAGEAdABlAHgARQBxAHUAYQB0AGkAbwBuAFwAbgAgACAAPQBMAEEATQBCAEQAQQAoAFwAIgBNAF8AewBsAGUAYQBjAGgALABjAHAAfQA9AE0AXwB7AGMAcAB9AFwAXAB0AGkAbQBlAHMAIABGAHIAYQBjAFcARQBUAF8AewBqAH0AXABcAHQAaQBtAGUAcwAgAEYAcgBhAGMATABFAEEAQwBIAFwAIgApADsAXABuAFwAbgBWAEUARQBSAEcAXwA2AF8AMwBfADEAXwAxAF8AXwAyAF8AXwBNAGEAcwBzAE8AZgBOAGkAdAByAG8AZwBlAG4ATABvAHMAdABUAGgAcgBvAHUAZwBoAEwAZQBhAGMAaABpAG4AZwBBAG4AZABSAHUAbgBvAGYAZgBfAEEAcgBnAHUAbQBlAG4AdABzAFwAbgAgACAAPQBMAEEATQBCAEQAQQAoAFwAbgAgACAAIAAgAE0AQQBLAEUAQQBSAFIAQQBZACgANwAsACAANAAsACAAXABuACAAIAAgACAAIAAgAEwAQQBNAEIARABBACgAcgAsAGMALAAgAFwAbgAgACAAIAAgACAAIAAgACAASQBOAEQARQBYACgAewBcAG4AIAAgACAAIAAgACAAIAAgACAAIABcACIATQBfAGMAcABcACIALABcACIAbQBhAHMAcwAgAG8AZgAgAG4AaQB0AHIAbwBnAGUAbgAgAGkAbgAgAGMAcgBvAHAAIAByAGUAcwBpAGQAdQBlAHMAIABjACAAbwByACAAcABhAHMAdAB1AHIAZQAgAHIAZQBzAGkAZAB1AGUAcwAgAHAAIABhAHAAcABsAGkAZQBkACAAdABvACAAcwBvAGkAbABzAFwAIgAsACAAXAAiAGsAZwAgAE4AXAAiACwAIABcACIAQwBhAGwAYwAgAGYAcgBvAG0AIAA2AC4AMQAuADEALgAxACAAKAAyACkAIABhAG4AZAAgADYALgAyAC4AMQAuADEAIAAoADIAKQBcACIAOwBcAG4AIAAgACAAIAAgACAAIAAgACAAIABcACIARgByAGEAYwBXAEUAVABfAGoAXAAiACw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ABpAG0AZQBuAHMAaQBvAG4AbABlAHMAcw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kAGkAbQBlAG4AcwBpAG8AbgBsAGUAcwBzAFwAIgAsACAAXAAiAEMAbwBuAHMAdABhAG4AdABcACIAOwBcAG4AIAAgACAAIAAgACAAIAAgACAAIABcACIAegBcACIALAAgAFwAIgBMAG8AYwBhAHQAaQBvAG4AIABpAG4AIABsAGUAYQBjAGgAaQBuAGcAIAB6AG8AbgBlAFwAIgAsACAAXAAiAFwAIgAsACAAXAAiAEkAbgBwAHUAdABcACIAOwBcAG4AIAAgACAAIAAgACAAIAAgACAAIABcACIAYwBcACIALABcACIAQwByAG8AcAAgAHIAZQBzAGkAZAB1AGUAIAB0AHkAcABlAFwAIgAsACAAXAAiAFwAIgAsACAAXAAiAEkAbgBwAHUAdABcACIAOwBcAG4AIAAgACAAIAAgACAAIAAgACAAIABcACIAcABcACIALABcACIAUABhAHMAdAB1AHIAZQAgAHIAZQBzAGkAZAB1AGUAIAB0AHkAcABlAFwAIgAsACAAXAAiAFwAIgAsACAAXAAiAEkAbgBwAHUAdABcACIAOwBcAG4AIAAgACAAIAAgACAAIAAgACAAIABcACIAaQByAFwAIgAsACAAXAAiAEkAcgByAGkAZwBhAHQAaQBvAG4AIAB0AHkAcABlAFwAIgAsACAAXAAiAFwAIgAsACAAXAAiAEkAbgBwAHUAdABcACIAXABuACAAIAAgACAAIAAgACAAIAB9ACwAIAByACwAIABjACkAXABuACAAIAAgACAAIAAgACkAXABuACAAIAAgACAAKQBcAG4AIAAgACkAOwBcAG4AXABuACAAIABWAEUARQBSAEcAXwA2AF8AMwBfADEAXwAxAF8AXwAyAF8AXwBNAGEAcwBzAE8AZgBOAGkAdAByAG8AZwBlAG4ATABvAHMAdABUAGgAcgBvAHUAZwBoAEwAZQBhAGMAaABpAG4AZwBBAG4AZABSAHUAbgBvAGYAZgBfAFYAYQByAGkAYQB0AGkAbwBuAFwAbgAgACAAPQBMAEEATQBCAEQAQQAoAFwAIgBcACIAKQA7AFwAbgBcAG4AXABuAFwAbgAiAH0ALAB7ACIAcABhAHQAaAAiADoAIgAvAHAAcgBvAGoAZQBjAHQAcwAvAEEAZwBSAGUAcwBpAGQAdQBlAF8ARQBxAHUAYQB0AGkAbwBuAHMAXwBQAGEAcwB0AHUAcgBlAFIAZQBzAGkAZAB1AGUAIgAsACIAdABlAHgAdAAiADoAIgAvACoAIABcAG4ALQAtAC0ALQAtAC0ALQAtAC0ALQAtAC0ALQAtAC0ALQAtAC0ALQAtAC0ALQAtAC0ALQAtAC0ALQAtAC0ALQAtAC0ALQAtAC0ALQAtAFwAbgBWAEUARQBSAEcAXwA2AF8AMgBfADEAXwAxAF8AXwAxAF8AXwBOAGkAdAByAG8AdQBzAE8AeABpAGQAZQBFAG0AaQBzAHMAaQBvAG4AcwBGAHIAbwBtAFAAYQBzAHQAdQByAGUAUgBlAHMAaQBkAHUAZQBzAFwAbgBOAGkAdAByAG8AdQBzACAAbwB4AGkAZABlACAAZQBtAGkAcwBzAGkAbwBuAHMAIABmAHIAbwBtACAAdABoAGUAIAByAGUAdAB1AHIAbgAgAG8AZgAgAHAAYQBzAHQAdQByAGUAIAByAGUAcwBpAGQAdQBlAHMAIABmAHIAbwBtACAAYQBsAGwAIABwAGEAcwB0AHUAcgBlACAAdAB5AHAAZQBzACAAdABvACAAdABoAGUAIABzAG8AaQBsAFwAbgBFAE4AMgBPAFwAbgB0ACAATgAyAE8AXABuAEUAXwB7AE4AMgBPAH0APQBcAFwAcwB1AG0AXwB7AHAAfQBcAFwAbABlAGYAdAAoAE0AXwBwAFwAXAB0AGkAbQBlAHMAIABFAEYAXwB7AE4AaQB9AFwAXAB0AGkAbQBlAHMAIABDAF8AewBOADIATwB9AFwAXAB0AGkAbQBlAHMAewAxADAAfQBeAHsALQAzAH0AXABcAHIAaQBnAGgAdAApAFwAbgBNAHAAIAA9ACAAbQBhAHMAcwAgAG8AZgAgAG4AaQB0AHIAbwBnAGUAbgAgAGkAbgAgAHAAYQBzAHQAdQByAGUAIABwACAAcgBlAHMAaQBkAHUAZQBzACAAcgBlAHQAdQByAG4AZQBkACAAdABvACAAdABoAGUAIABzAG8AaQBsACAAKABrAGcAIABOACkAXABuAEUARgBOAGkAIAA9ACAAZQBtAGkAcwBzAGkAbwBuACAAZgBhAGMAdABvAHIAIABmAG8AcgAgAGMAcgBvAHAAIAByAGUAcwBpAGQAdQBlAHMAIAByAGUAdAB1AHIAbgBlAGQAIAB0AG8AIAB0AGgAZQAgAHMAbwBpAGwAIABpAG4AIABjAGwAaQBtAGEAdABlACAAegBvAG4AZQAgAGk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HAAIAA9ACAAUABhAHMAdAB1AHIAZQAgAHQAeQBwAGUAXABuAGkAIAA9ACAAQwBsAGkAbQBhAHQAZQAgAHoAbwBuAGUAXABuAC0ALQAtAC0ALQAtAC0ALQAtAC0ALQAtAC0ALQAtAC0ALQAtAC0ALQAtAC0ALQAtAC0ALQAtAC0ALQAtAC0ALQAtAC0ALQAtAC0ALQBcAG4AKgAvAFwAbgBcAG4AVgBFAEUAUgBHAF8ANgBfADIAXwAxAF8AMQBfAF8AMQBfAF8ATgBpAHQAcgBvAHUAcwBPAHgAaQBkAGUARQBtAGkAcwBzAGkAbwBuAHMARgByAG8AbQBQAGEAcwB0AHUAcgBlAFIAZQBzAGkAZAB1AGUAcwBcAG4AIAAgAD0ATABBAE0AQgBEAEEAKABcAG4AIAAgACAAIABNAF8AcAAsACAARQBGAF8ATgBpACwAIABDAF8ATgAyAE8ALABcAG4AIAAgACAAIAAoAE0AXwBwACAAKgAgAEUARgBfAE4AaQApACAAKgAgAEMAXwBOADIATwAgACoAIAAxADAAXgAoAC0AMwApAFwAbgAgACAAKQA7AFwAbgBcAG4AVgBFAEUAUgBHAF8ANgBfADIAXwAxAF8AMQBfAF8AMQBfAF8ATgBpAHQAcgBvAHUAcwBPAHgAaQBkAGUARQBtAGkAcwBzAGkAbwBuAHMARgByAG8AbQBQAGEAcwB0AHUAcgBlAFIAZQBzAGkAZAB1AGUAcwBfAFQAaQB0AGwAZQBcAG4AIAAgAD0ATABBAE0AQgBEAEEAKABcACIATgBpAHQAcgBvAHUAcwAgAG8AeABpAGQAZQAgAGUAbQBpAHMAcwBpAG8AbgBzACAAZgByAG8AbQAgAHQAaABlACAAcgBlAHQAdQByAG4AIABvAGYAIABwAGEAcwB0AHUAcgBlACAAcgBlAHMAaQBkAHUAZQBzACAAZgByAG8AbQAgAGEAbABsACAAcABhAHMAdAB1AHIAZQAgAHQAeQBwAGUAcwAgAHQAbwAgAHQAaABlACAAcwBvAGkAbABcACIAKQA7AFwAbgBcAG4AVgBFAEUAUgBHAF8ANgBfADIAXwAxAF8AMQBfAF8AMQBfAF8ATgBpAHQAcgBvAHUAcwBPAHgAaQBkAGUARQBtAGkAcwBzAGkAbwBuAHMARgByAG8AbQBQAGEAcwB0AHUAcgBlAFIAZQBzAGkAZAB1AGUAcwBfAFYAYQByAGkAYQBiAGwAZQBcAG4AIAAgAD0ATABBAE0AQgBEAEEAKABcACIARQBOADIATwBcACIAKQA7AFwAbgBcAG4AVgBFAEUAUgBHAF8ANgBfADIAXwAxAF8AMQBfAF8AMQBfAF8ATgBpAHQAcgBvAHUAcwBPAHgAaQBkAGUARQBtAGkAcwBzAGkAbwBuAHMARgByAG8AbQBQAGEAcwB0AHUAcgBlAFIAZQBzAGkAZAB1AGUAcwBfAFUAbgBpAHQAXABuACAAIAA9AEwAQQBNAEIARABBACgAXAAiAHQAIABOADIATwBcACIAKQA7AFwAbgBcAG4AVgBFAEUAUgBHAF8ANgBfADIAXwAxAF8AMQBfAF8AMQBfAF8ATgBpAHQAcgBvAHUAcwBPAHgAaQBkAGUARQBtAGkAcwBzAGkAbwBuAHMARgByAG8AbQBQAGEAcwB0AHUAcgBlAFIAZQBzAGkAZAB1AGUAcwBfAFMAbwB1AHIAYwBlAFwAbgAgACAAPQBMAEEATQBCAEQAQQAoAFwAIgBWAEUARQBSAEcAIAAyADAAMgA2ADoAIAA2AC4AMgAuADEALgAxACwAIABFAHEAdQBhAHQAaQBvAG4AIAAoADEAKQBcACIAKQA7AFwAbgBcAG4AVgBFAEUAUgBHAF8ANgBfADIAXwAxAF8AMQBfAF8AMQBfAF8ATgBpAHQAcgBvAHUAcwBPAHgAaQBkAGUARQBtAGkAcwBzAGkAbwBuAHMARgByAG8AbQBQAGEAcwB0AHUAcgBlAFIAZQBzAGkAZAB1AGUAcwBfAE4ASQBSAFIAZQBmAGUAcgBlAG4AYwBlAFwAbgAgACAAPQBMAEEATQBCAEQAQQAoAFwAIgBcACIAKQA7AFwAbgBcAG4AVgBFAEUAUgBHAF8ANgBfADIAXwAxAF8AMQBfAF8AMQBfAF8ATgBpAHQAcgBvAHUAcwBPAHgAaQBkAGUARQBtAGkAcwBzAGkAbwBuAHMARgByAG8AbQBQAGEAcwB0AHUAcgBlAFIAZQBzAGkAZAB1AGUAcwBfAEwAYQB0AGUAeABFAHEAdQBhAHQAaQBvAG4AXABuACAAIAA9AEwAQQBNAEIARABBACgAXAAiAEUAXwB7AE4AMgBPAH0APQBcAFwAcwB1AG0AXABcAG4AbwBsAGkAbQBpAHQAcwBfAHAAXABcAGwAZQBmAHQAKABNAF8AcABcAFwAdABpAG0AZQBzACAARQBGAF8AewBOAGkAfQBcAFwAcgBpAGcAaAB0ACkAXABcAHQAaQBtAGUAcwAgAEMAXwB7AE4AMgBPAH0AXABcAHQAaQBtAGUAcwB7ADEAMAB9AF4AewAtADMAfQBcACIAKQA7AFwAbgBcAG4AVgBFAEUAUgBHAF8ANgBfADIAXwAxAF8AMQBfAF8AMQBfAF8ATgBpAHQAcgBvAHUAcwBPAHgAaQBkAGUARQBtAGkAcwBzAGkAbwBuAHMARgByAG8AbQBQAGEAcwB0AHUAcgBl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HAAXAAiACwAXAAiAG0AYQBzAHMAIABvAGYAIABuAGkAdAByAG8AZwBlAG4AIABpAG4AIABwAGEAcwB0AHUAcgBlACAAcAAgAHIAZQBzAGkAZAB1AGUAcwAgAHIAZQB0AHUAcgBuAGUAZAAgAHQAbwAgAHQAaABlACAAcwBvAGkAbABcACIALAAgAFwAIgBrAGcAIABOAFwAIgAsACAAXAAiAEMAYQBsAGMAdQBsAGEAdABlAGQAIABmAHIAbwBtACAANgAuADIALgAxAC4AMQAgACgAMgApAFwAIgA7AFwAbgAgACAAIAAgACAAIAAgACAAIAAgAFwAIgBFAEYAXwBOAGkAXAAiACwAXAAiAGUAbQBpAHMAcwBpAG8AbgAgAGYAYQBjAHQAbwByACAAZgBvAHIAIABjAHIAbwBwACAAcgBlAHMAaQBkAHUAZQBzACAAcgBlAHQAdQByAG4AZQBkACAAdABvACAAdABoAGUAIABzAG8AaQBsACAAaQBuACAAYwBsAGkAbQBhAHQAZQAgAHoAbwBuAGUAIABp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HAAXAAiACwAXAAiAFAAYQBzAHQAdQByAGU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yAF8AMQBfADEAXwBfADIAXwBfAE0AYQBzAHMATwBmAE4AaQB0AHIAbwBnAGUAbgBJAG4AUABhAHMAdAB1AHIAZQBSAGUAcwBpAGQAdQBlAHMAXABuAE0AYQBzAHMAIABvAGYAIABuAGkAdAByAG8AZwBlAG4AIABpAG4AIABwAGEAcwB0AHUAcgBlACAAcgBlAHMAaQBkAHUAZQBzACAAcgBlAHQAdQByAG4AZQBkACAAdABvACAAdABoAGUAIABzAG8AaQBsAFwAbgBNAHAAXABuAGsAZwAgAE4AXABuAE0AXwBwACAAPQAgACgAQQBfAHAAIADX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bgBBAF8AcAAgAD0AIABhAHIAZQBhACAAbwBmACAAcABhAHMAdAB1AHIAZQAgAHIAZQBuAGUAdwBlAGQAIABvAHIAIAByAGUAbQBvAHYAZQBkACAAKABoAGEAKQBcAG4AWQBwACAAPQAgAGEAdgBlAHIAYQBnAGUAIAB5AGkAZQBsAGQAIABvAGYAIABwAGEAcwB0AHUAcgBlACAAYwByAG8AcAAgACgAdAAgAEQATQAvAGgAYQApAFwAbgBOAEMAQQBHAHAAIAA9ACAATgAgAGMAbwBuAHQAZQBuAHQAIABvAGYAIABhAGIAbwB2AGUALQBnAHIAbwB1AG4AZAAgAHAAYQBzAHQAdQByAGUAIAByAGUAcwBpAGQAdQBlACAAKABrAGcAIABOAC8AawBnACAARABNACkAXABuAFIAXwBCAEcAcAAgAD0AIABiAGUAbABvAHcALQBnAHIAbwB1AG4AZAAgAHIAZQBzAGkAZAB1AGUAIAB0AG8AIABhAGIAbwB2AGUALQBnAHIAbwB1AG4AZAAgAHIAZQBzAGkAZAB1AGUAIAByAGEAdABpAG8AIABmAG8AcgAgAHAAYQBzAHQAdQByAGUAIABjAHIAbwBwACAAKABkAGkAbQBlAG4AcwBpAG8AbgBsAGUAcwBzACkAXABuAE4AQwBfAEIARwBwACAAPQAgAE4AIABjAG8AbgB0AGUAbgB0ACAAbwBmACAAYgBlAGwAbwB3AC0AZwByAG8AdQBuAGQAIABwAGEAcwB0AHUAcgBlACAAYwByAG8AcAAgAHIAZQBzAGkAZAB1AGUAIAAoAGsAZwAgAE4ALwBrAGcAIABEAE0AKQBcAG4ARgBGAE8ARABwACAAPQAgAGYAcgBhAGMAdABpAG8AbgAgAG8AZgAgAHAAYQBzAHQAdQByAGUAIAB5AGkAZQBsAGQAIAB0AGgAYQB0ACAAaQBzACAAcgBlAG0AbwB2AGUAZAAgACgAZABpAG0AZQBuAHMAaQBvAG4AbABlAHMAcwApAFwAbgBwACAAPQAgAFAAYQBzAHQAdQByAGUAIAB0AHkAcABlAFwAbgAtAC0ALQAtAC0ALQAtAC0ALQAtAC0ALQAtAC0ALQAtAC0ALQAtAC0ALQAtAC0ALQAtAC0ALQAtAC0ALQAtAC0ALQAtAC0ALQAtAC0AXABuACoALwBcAG4AXABuAFYARQBFAFIARwBfADYAXwAyAF8AMQBfADEAXwBfADIAXwBfAE0AYQBzAHMATwBmAE4AaQB0AHIAbwBnAGUAbgBJAG4AUABhAHMAdAB1AHIAZQBSAGUAcwBpAGQAdQBlAHMAXABuACAAIAA9AEwAQQBNAEIARABBACgAXABuACAAIAAgACAAQQBfAHAALAAgAFkAXwBwACwAIABGAEYATwBEAF8AcAAsACAATgBDAF8AQQBHAHAALAAgAFIAXwBCAEcAcAAsACAATgBDAF8AQgBHAHAALABcAG4AIAAgACAAIAAoAEEAXwBwACAAKgAgACgAWQBfAHAAIAAqACAAMQAwAF4AKAAtADMAKQApACAAKgAgACgAMQAgAC0AIABGAEYATwBEAF8AcAApACAAKgAgAE4AQwBfAEEARwBwACkAIAArACAAKABBAF8AcAAgACoAIAAoAFkAXwBwACAAKgAgADEAMABeACgALQAzACkAKQAgACoAIABSAF8AQgBHAHAAIAAqACAATgBDAF8AQgBHAHAAKQBcAG4AIAAgACkAOwBcAG4AXABuAFYARQBFAFIARwBfADYAXwAyAF8AMQBfADEAXwBfADIAXwBfAE0AYQBzAHMATwBmAE4AaQB0AHIAbwBnAGUAbgBJAG4AUABhAHMAdAB1AHIAZQBSAGUAcwBpAGQAdQBlAHMAXwBUAGkAdABsAGUAXABuACAAIAA9AEwAQQBNAEIARABBACgAXAAiAE0AYQBzAHMAIABvAGYAIABuAGkAdAByAG8AZwBlAG4AIABpAG4AIABwAGEAcwB0AHUAcgBlACAAcgBlAHMAaQBkAHUAZQBzACAAcgBlAHQAdQByAG4AZQBkACAAdABvACAAdABoAGUAIABzAG8AaQBsAFwAIgApADsAXABuAFwAbgBWAEUARQBSAEcAXwA2AF8AMgBfADEAXwAxAF8AXwAyAF8AXwBNAGEAcwBzAE8AZgBOAGkAdAByAG8AZwBlAG4ASQBuAFAAYQBzAHQAdQByAGUAUgBlAHMAaQBkAHUAZQBzAF8AVgBhAHIAaQBhAGIAbABlAFwAbgAgACAAPQBMAEEATQBCAEQAQQAoAFwAIgBNAHAAXAAiACkAOwBcAG4AXABuAFYARQBFAFIARwBfADYAXwAyAF8AMQBfADEAXwBfADIAXwBfAE0AYQBzAHMATwBmAE4AaQB0AHIAbwBnAGUAbgBJAG4AUABhAHMAdAB1AHIAZQBSAGUAcwBpAGQAdQBlAHMAXwBVAG4AaQB0AFwAbgAgACAAPQBMAEEATQBCAEQAQQAoAFwAIgBrAGcAIABOAFwAIgApADsAXABuAFwAbgBWAEUARQBSAEcAXwA2AF8AMgBfADEAXwAxAF8AXwAyAF8AXwBNAGEAcwBzAE8AZgBOAGkAdAByAG8AZwBlAG4ASQBuAFAAYQBzAHQAdQByAGUAUgBlAHMAaQBkAHUAZQBzAF8AUwBvAHUAcgBjAGUAXABuACAAIAA9AEwAQQBNAEIARABBACgAXAAiAFYARQBFAFIARwAgADIAMAAyADYAOgAgADYALgAyAC4AMQAuADEALAAgAEUAcQB1AGEAdABpAG8AbgAgACgAMgApAFwAIgApADsAXABuAFwAbgBWAEUARQBSAEcAXwA2AF8AMgBfADEAXwAxAF8AXwAyAF8AXwBNAGEAcwBzAE8AZgBOAGkAdAByAG8AZwBlAG4ASQBuAFAAYQBzAHQAdQByAGUAUgBlAHMAaQBkAHUAZQBzAF8ATgBJAFIAUgBlAGYAZQByAGUAbgBjAGUAXABuACAAIAA9AEwAQQBNAEIARABBACgAXAAiAFwAIgApADsAXABuAFwAbgBWAEUARQBSAEcAXwA2AF8AMgBfADEAXwAxAF8AXwAyAF8AXwBNAGEAcwBzAE8AZgBOAGkAdAByAG8AZwBlAG4ASQBuAFAAYQBzAHQAdQByAGUAUgBlAHMAaQBkAHUAZQBzAF8ATABhAHQAZQB4AEUAcQB1AGEAdABpAG8AbgBcAG4AIAAgAD0ATABBAE0AQgBEAEEAKABcACIATQBfAHAAIAA9ACAAKABBAF8AcAAgAFwAXAB0AGkAbQBlAHMAIA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CIAKQA7AFwAbgBcAG4AVgBFAEUAUgBHAF8ANgBfADIAXwAxAF8AMQBfAF8AMgBfAF8ATQBhAHMAcwBPAGYATgBpAHQAcgBvAGcAZQBuAEkAbgBQAGEAcwB0AHUAcgBlAFIAZQBzAGkAZAB1AGUAcwBfAEEAcgBnAHUAbQBlAG4AdABz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MAbwBuAHMAdABhAG4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GQAaQBtAGUAbgBzAGkAbwBuAGwAZQBzAHMAXAAiACwAIABcACIAQwBvAG4AcwB0AGEAbgB0AFwAIgA7AFwAbgAgACAAIAAgACAAIAAgACAAIAAgAFwAIgBOAEMAXwBCAEcAcABcACIALABcACIATgAgAGMAbwBuAHQAZQBuAHQAIABvAGYAIABiAGUAbABvAHcALQBnAHIAbwB1AG4AZAAgAHAAYQBzAHQAdQByAGUAIABjAHIAbwBwACAAcgBlAHMAaQBkAHUAZQBcACIALAAgAFwAIgBrAGcAIABOAC8AawBnACAARABNAFwAIgAsACAAXAAiAEMAbwBuAHMAdABhAG4AdABcACIAOwBcAG4AIAAgACAAIAAgACAAIAAgACAAIABcACIARgBGAE8ARABfAHAAXAAiACwAXAAiAGYAcgBhAGMAdABpAG8AbgAgAG8AZgAgAHAAYQBzAHQAdQByAGUAIAB5AGkAZQBsAGQAIAB0AGgAYQB0ACAAaQBzACAAcgBlAG0AbwB2AGUAZABcACIALAAgAFwAIgBkAGkAbQBlAG4AcwBpAG8AbgBsAGUAcwBz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YARQBFAFIARwBfADYAXwAyAF8AMQBfADEAXwBfADIAXwBfAE0AYQBzAHMATwBmAE4AaQB0AHIAbwBnAGUAbgBJAG4AUABhAHMAdAB1AHIAZQBSAGUAcwBpAGQAdQBlAHMAXwBBAHIAZwB1AG0AZQBuAHQAcwBfAE0AZQB0AGgAbwBkADIAXABuACAAIAA9AEwAQQBNAEIARABBACgAXABuACAAIAAgACAATQBBAEsARQBBAFIAUgBBAFkAKAA3ACwAIAA0ACwAIABcAG4AIAAgACAAIAAgACAATABBAE0AQgBEAEEAKAByACwAYwAsACAAXABuACAAIAAgACAAIAAgACAAIABJAE4ARABFAFgAKAB7AFwAbgAgACAAIAAgACAAIAAgACAAIAAgAFwAIgBBAF8AcABcACIALABcACIAYQByAGUAYQAgAG8AZgAgAHAAYQBzAHQAdQByAGUAIAByAGUAbgBlAHcAZQBkACAAbwByACAAcgBlAG0AbwB2AGUAZABcACIALAAgAFwAIgBoAGEAXAAiACwAIABcACIASQBuAHAAdQB0AFwAIgA7AFwAbgAgACAAIAAgACAAIAAgACAAIAAgAFwAIgBZAF8AcABcACIALABcACIAYQB2AGUAcgBhAGcAZQAgAHkAaQBlAGwAZAAgAG8AZgAgAHAAYQBzAHQAdQByAGUAIABjAHIAbwBwAFwAIgAsACAAXAAiAHQAIABEAE0ALwBoAGEAXAAiACwAIABcACIASQBuAHAAdQB0AFwAIgA7AFwAbgAgACAAIAAgACAAIAAgACAAIAAgAFwAIgBOAEMAXwBBAEcAcABcACIALABcACIATgAgAGMAbwBuAHQAZQBuAHQAIABvAGYAIABhAGIAbwB2AGUALQBnAHIAbwB1AG4AZAAgAHAAYQBzAHQAdQByAGUAIAByAGUAcwBpAGQAdQBlAFwAIgAsACAAXAAiAGsAZwAgAE4ALwBrAGcAIABEAE0AXAAiACwAIABcACIAQwBvAG4AcwB0AGEAbgB0AFwAIgA7AFwAbgAgACAAIAAgACAAIAAgACAAIAAgAFwAIgBSAF8AQgBHAHAAXAAiACwAXAAiAGIAZQBsAG8AdwAtAGcAcgBvAHUAbgBkACAAcgBlAHMAaQBkAHUAZQAgAHQAbwAgAGEAYgBvAHYAZQAtAGcAcgBvAHUAbgBkACAAcgBlAHMAaQBkAHUAZQAgAHIAYQB0AGkAbwAgAGYAbwByACAAcABhAHMAdAB1AHIAZQAgAGMAcgBvAHAAXAAiACwAIABcACIAZABpAG0AZQBuAHMAaQBvAG4AbABlAHMAcwBcACIALAAgAFwAIgBDAG8AbgBzAHQAYQBuAHQAXAAiADsAXABuACAAIAAgACAAIAAgACAAIAAgACAAXAAiAE4AQwBfAEIARwBwAFwAIgAsAFwAIgBOACAAYwBvAG4AdABlAG4AdAAgAG8AZgAgAGIAZQBsAG8AdwAtAGcAcgBvAHUAbgBkACAAcABhAHMAdAB1AHIAZQAgAGMAcgBvAHAAIAByAGUAcwBpAGQAdQBlAFwAIgAsACAAXAAiAGsAZwAgAE4ALwBrAGcAIABEAE0AXAAiACwAIABcACIAQwBvAG4AcwB0AGEAbgB0AFwAIgA7AFwAbgAgACAAIAAgACAAIAAgACAAIAAgAFwAIgBGAEYATwBEAF8AcABcACIALABcACIAZgByAGEAYwB0AGkAbwBuACAAbwBmACAAcABhAHMAdAB1AHIAZQAgAHkAaQBlAGwAZAAgAHQAaABhAHQAIABpAHMAIAByAGUAbQBvAHYAZQBkAFwAIgAsACAAXAAiAGQAaQBtAGUAbgBzAGkAbwBuAGwAZQBzAHMAXAAiACwAIABcACIAQwBvAG4AcwB0AGEAbgB0AFwAIgA7AFwAbgAgACAAIAAgACAAIAAgACAAIAAgAFwAIgBwAFwAIgAsAFwAIgBQAGEAcwB0AHUAcgBlACAAdAB5AHAAZQBcACIALAAgAFwAIgBcACIALAAgAFwAIgBJAG4AcAB1AHQAXAAiAFwAbgAgACAAIAAgACAAIAAgACAAfQAsACAAcgAsACAAYwApAFwAbgAgACAAIAAgACAAIAApAFwAbgAgACAAIAAgACkAXABuACAAIAApADsAXABuAFwAbgBcAG4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RQBxAHUAYQB0AGkAbwBuAHMAXwBJAG4AbwByAGcAYQBuAGkAYwBOADIATwAuAFYARQBFAFIARwBfADUAXwAxAF8AMQBfADEAXwBfADEAXwBJAG4AbwByAGcAYQBuAGkAYwBGAGUAcgB0AGkAbABpAHMAZQByAEEAcABwAGwAaQBjAGEAdABpAG8AbgBOADIATwBFAG0AaQBzAHMAaQBvAG4AcwAiACwAIgBGAGUAcgB0AGkAbABpAHMAZQByAF8ARQBxAHUAYQB0AGkAbwBuAHMAXwBJAG4AbwByAGcAYQBuAGkAYwBOADIATwAuAFYARQBFAFIARwBfADUAXwAxAF8AMQBfADEAXwBfADEAXwBJAG4AbwByAGcAYQBuAGkAYwBGAGUAcgB0AGkAbABpAHMAZQByAEEAcABwAGwAaQBjAGEAdABpAG8AbgBOADIATwBFAG0AaQBzAHMAaQBvAG4AcwBfAFQAaQB0AGwAZQAiACwAIgBGAGUAcgB0AGkAbABpAHMAZQByAF8ARQBxAHUAYQB0AGkAbwBuAHMAXwBJAG4AbwByAGcAYQBuAGkAYwBOADIATwAuAFYARQBFAFIARwBfADUAXwAxAF8AMQBfADEAXwBfADEAXwBJAG4AbwByAGcAYQBuAGkAYwBGAGUAcgB0AGkAbABpAHMAZQByAEEAcABwAGwAaQBjAGEAdABpAG8AbgBOADIATwBFAG0AaQBzAHMAaQBvAG4AcwBfAFYAYQByAGkAYQBiAGwAZQAiACwAIgBGAGUAcgB0AGkAbABpAHMAZQByAF8ARQBxAHUAYQB0AGkAbwBuAHMAXwBJAG4AbwByAGcAYQBuAGkAYwBOADIATwAuAFYARQBFAFIARwBfADUAXwAxAF8AMQBfADEAXwBfADEAXwBJAG4AbwByAGcAYQBuAGkAYwBGAGUAcgB0AGkAbABpAHMAZQByAEEAcABwAGwAaQBjAGEAdABpAG8AbgBOADIATwBFAG0AaQBzAHMAaQBvAG4AcwBfAFUAbgBpAHQAIgAsACIARgBlAHIAdABpAGwAaQBzAGUAcgBfAEUAcQB1AGEAdABpAG8AbgBzAF8ASQBuAG8AcgBnAGEAbgBpAGMATgAyAE8ALgBWAEUARQBSAEcAXwA1AF8AMQBfADEAXwAxAF8AXwAxAF8ASQBuAG8AcgBnAGEAbgBpAGMARgBlAHIAdABpAGwAaQBzAGUAcgBBAHAAcABsAGkAYwBhAHQAaQBvAG4ATgAyAE8ARQBtAGkAcwBzAGkAbwBuAHMAXwBTAG8AdQByAGMAZQAiACwAIgBGAGUAcgB0AGkAbABpAHMAZQByAF8ARQBxAHUAYQB0AGkAbwBuAHMAXwBJAG4AbwByAGcAYQBuAGkAYwBOADIATwAuAFYARQBFAFIARwBfADUAXwAxAF8AMQBfADEAXwBfADEAXwBJAG4AbwByAGcAYQBuAGkAYwBGAGUAcgB0AGkAbABpAHMAZQByAEEAcABwAGwAaQBjAGEAdABpAG8AbgBOADIATwBFAG0AaQBzAHMAaQBvAG4AcwBfAE4ASQBSAFIAZQBmAGUAcgBlAG4AYwBlACIALAAiAEYAZQByAHQAaQBsAGkAcwBlAHIAXwBFAHEAdQBhAHQAaQBvAG4AcwBfAEkAbgBvAHIAZwBhAG4AaQBjAE4AMgBPAC4AVgBFAEUAUgBHAF8ANQBfADEAXwAxAF8AMQBfAF8AMQBfAEkAbgBvAHIAZwBhAG4AaQBjAEYAZQByAHQAaQBsAGkAcwBlAHIAQQBwAHAAbABpAGMAYQB0AGkAbwBuAE4AMgBPAEUAbQBpAHMAcwBpAG8AbgBzAF8ATABhAHQAZQB4AEUAcQB1AGEAdABpAG8Abg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XwBNAGUAdABoAG8AZAAyACIALAAiAEYAZQByAHQAaQBsAGkAcwBlAHIAXwBFAHEAdQBhAHQAaQBvAG4AcwBfAEkAbgBvAHIAZwBhAG4AaQBjAE4AMgBPAC4AVgBFAEUAUgBHAF8ANQBfADEAXwAxAF8AMQBfAF8AMgBfAE0AYQBzAHMATwBmAE4AaQB0AHIAbwBnAGUAbgBJAG4ASQBuAG8AcgBnAGEAbgBpAGMARgBlAHIAdABpAGwAaQBzAGUAcgAiACwAIgBGAGUAcgB0AGkAbABpAHMAZQByAF8ARQBxAHUAYQB0AGkAbwBuAHMAXwBJAG4AbwByAGcAYQBuAGkAYwBOADIATwAuAFYARQBFAFIARwBfADUAXwAxAF8AMQBfADEAXwBfADIAXwBNAGEAcwBzAE8AZgBOAGkAdAByAG8AZwBlAG4ASQBuAEkAbgBvAHIAZwBhAG4AaQBjAEYAZQByAHQAaQBsAGkAcwBlAHIAXwBUAGkAdABsAGUAIgAsACIARgBlAHIAdABpAGwAaQBzAGUAcgBfAEUAcQB1AGEAdABpAG8AbgBzAF8ASQBuAG8AcgBnAGEAbgBpAGMATgAyAE8ALgBWAEUARQBSAEcAXwA1AF8AMQBfADEAXwAxAF8AXwAyAF8ATQBhAHMAcwBPAGYATgBpAHQAcgBvAGcAZQBuAEkAbgBJAG4AbwByAGcAYQBuAGkAYwBGAGUAcgB0AGkAbABpAHMAZQByAF8AVgBhAHIAaQBhAGIAbABlACIALAAiAEYAZQByAHQAaQBsAGkAcwBlAHIAXwBFAHEAdQBhAHQAaQBvAG4AcwBfAEkAbgBvAHIAZwBhAG4AaQBjAE4AMgBPAC4AVgBFAEUAUgBHAF8ANQBfADEAXwAxAF8AMQBfAF8AMgBfAE0AYQBzAHMATwBmAE4AaQB0AHIAbwBnAGUAbgBJAG4ASQBuAG8AcgBnAGEAbgBpAGMARgBlAHIAdABpAGwAaQBzAGUAcgBfAFUAbgBpAHQAIgAsACIARgBlAHIAdABpAGwAaQBzAGUAcgBfAEUAcQB1AGEAdABpAG8AbgBzAF8ASQBuAG8AcgBnAGEAbgBpAGMATgAyAE8ALgBWAEUARQBSAEcAXwA1AF8AMQBfADEAXwAxAF8AXwAyAF8ATQBhAHMAcwBPAGYATgBpAHQAcgBvAGcAZQBuAEkAbgBJAG4AbwByAGcAYQBuAGkAYwBGAGUAcgB0AGkAbABpAHMAZQByAF8AUwBvAHUAcgBjAGUAIgAsACIARgBlAHIAdABpAGwAaQBzAGUAcgBfAEUAcQB1AGEAdABpAG8AbgBzAF8ASQBuAG8AcgBnAGEAbgBpAGMATgAyAE8ALgBWAEUARQBSAEcAXwA1AF8AMQBfADEAXwAxAF8AXwAyAF8ATQBhAHMAcwBPAGYATgBpAHQAcgBvAGcAZQBuAEkAbgBJAG4AbwByAGcAYQBuAGkAYwBGAGUAcgB0AGkAbABpAHMAZQByAF8ATgBJAFIAUgBlAGYAZQByAGUAbgBjAGUAIgAsACIARgBlAHIAdABpAGwAaQBzAGUAcgBfAEUAcQB1AGEAdABpAG8AbgBzAF8ASQBuAG8AcgBnAGEAbgBpAGMATgAyAE8ALgBWAEUARQBSAEcAXwA1AF8AMQBfADEAXwAxAF8AXwAyAF8ATQBhAHMAcwBPAGYATgBpAHQAcgBvAGcAZQBuAEkAbgBJAG4AbwByAGcAYQBuAGkAYwBGAGUAcgB0AGkAbABpAHMAZQByAF8ATABhAHQAZQB4AEUAcQB1AGEAdABpAG8AbgAiACwAIgBGAGUAcgB0AGkAbABpAHMAZQByAF8ARQBxAHUAYQB0AGkAbwBuAHMAXwBJAG4AbwByAGcAYQBuAGkAYwBOADIATwAuAFYARQBFAFIARwBfADUAXwAxAF8AMQBfADEAXwBfADIAXwBNAGEAcwBzAE8AZgBOAGkAdAByAG8AZwBlAG4ASQBuAEkAbgBvAHIAZwBhAG4AaQBjAEYAZQByAHQAaQBsAGkAcwBlAHIAXwBBAHIAZwB1AG0AZQBuAHQAcwAiACwAIgBGAGUAcgB0AGkAbABpAHMAZQByAF8ARQBxAHUAYQB0AGkAbwBuAHMAXwBJAG4AbwByAGcAYQBuAGkAYwBOADIATwAuAFYARQBFAFIARwBfADUAXwAxAF8AMQBfADIAXwBfADEAXwBFAG0AaQBzAHMAaQBvAG4ARgBhAGMAdABvAHIASQByAHIAaQBnAGEAdABlAGQATQBhAGkAegBlACIALAAiAEYAZQByAHQAaQBsAGkAcwBlAHIAXwBFAHEAdQBhAHQAaQBvAG4AcwBfAEkAbgBvAHIAZwBhAG4AaQBjAE4AMgBPAC4AVgBFAEUAUgBHAF8ANQBfADEAXwAxAF8AMgBfAF8AMQBfAEUAbQBpAHMAcwBpAG8AbgBGAGEAYwB0AG8AcgBJAHIAcgBpAGcAYQB0AGUAZABNAGEAaQB6AGUAXwBUAGkAdABsAGUAIgAsACIARgBlAHIAdABpAGwAaQBzAGUAcgBfAEUAcQB1AGEAdABpAG8AbgBzAF8ASQBuAG8AcgBnAGEAbgBpAGMATgAyAE8ALgBWAEUARQBSAEcAXwA1AF8AMQBfADEAXwAyAF8AXwAxAF8ARQBtAGkAcwBzAGkAbwBuAEYAYQBjAHQAbwByAEkAcgByAGkAZwBhAHQAZQBkAE0AYQBpAHoAZQBfAFYAYQByAGkAYQBiAGwAZQAiACwAIgBGAGUAcgB0AGkAbABpAHMAZQByAF8ARQBxAHUAYQB0AGkAbwBuAHMAXwBJAG4AbwByAGcAYQBuAGkAYwBOADIATwAuAFYARQBFAFIARwBfADUAXwAxAF8AMQBfADIAXwBfADEAXwBFAG0AaQBzAHMAaQBvAG4ARgBhAGMAdABvAHIASQByAHIAaQBnAGEAdABlAGQATQBhAGkAegBlAF8AVQBuAGkAdAAiACwAIgBGAGUAcgB0AGkAbABpAHMAZQByAF8ARQBxAHUAYQB0AGkAbwBuAHMAXwBJAG4AbwByAGcAYQBuAGkAYwBOADIATwAuAFYARQBFAFIARwBfADUAXwAxAF8AMQBfADIAXwBfADEAXwBFAG0AaQBzAHMAaQBvAG4ARgBhAGMAdABvAHIASQByAHIAaQBnAGEAdABlAGQATQBhAGkAegBlAF8AUwBvAHUAcgBjAGUAIgAsACIARgBlAHIAdABpAGwAaQBzAGUAcgBfAEUAcQB1AGEAdABpAG8AbgBzAF8ASQBuAG8AcgBnAGEAbgBpAGMATgAyAE8ALgBWAEUARQBSAEcAXwA1AF8AMQBfADEAXwAyAF8AXwAxAF8ARQBtAGkAcwBzAGkAbwBuAEYAYQBjAHQAbwByAEkAcgByAGkAZwBhAHQAZQBkAE0AYQBpAHoAZQBfAE4ASQBSAFIAZQBmAGUAcgBlAG4AYwBlACIALAAiAEYAZQByAHQAaQBsAGkAcwBlAHIAXwBFAHEAdQBhAHQAaQBvAG4AcwBfAEkAbgBvAHIAZwBhAG4AaQBjAE4AMgBPAC4AVgBFAEUAUgBHAF8ANQBfADEAXwAxAF8AMgBfAF8AMQBfAEUAbQBpAHMAcwBpAG8AbgBGAGEAYwB0AG8AcgBJAHIAcgBpAGcAYQB0AGUAZABNAGEAaQB6AGUAXwBMAGEAdABlAHgARQBxAHUAYQB0AGkAbwBuACIALAAiAEYAZQByAHQAaQBsAGkAcwBlAHIAXwBFAHEAdQBhAHQAaQBvAG4AcwBfAEkAbgBvAHIAZwBhAG4AaQBjAE4AMgBPAC4AVgBFAEUAUgBHAF8ANQBfADEAXwAxAF8AMgBfAF8AMQBfAEUAbQBpAHMAcwBpAG8AbgBGAGEAYwB0AG8AcgBJAHIAcgBpAGcAYQB0AGUAZABNAGEAaQB6AGUAXwBBAHIAZwB1AG0AZQBuAHQAcwAiACwAIgBGAGUAcgB0AGkAbABpAHMAZQByAF8ARQBxAHUAYQB0AGkAbwBuAHMAXwBJAG4AbwByAGcAYQBuAGkAYwBOADIATwAuAFYARQBFAFIARwBfADUAXwAxAF8AMQBfADIAXwBfADIAXwBFAG0AaQBzAHMAaQBvAG4ARgBhAGMAdABvAHIATgBvAG4ASQByAHIAaQBnAGEAdABlAGQARwByAGEAaQBuAHMASABpAGcAaABSAGEAaQBuAGYAYQBsAGwAIgAsACIARgBlAHIAdABpAGwAaQBzAGUAcgBfAEUAcQB1AGEAdABpAG8AbgBzAF8ASQBuAG8AcgBnAGEAbgBpAGMATgAyAE8ALgBWAEUARQBSAEcAXwA1AF8AMQBfADEAXwAyAF8AXwAyAF8ARQBtAGkAcwBzAGkAbwBuAEYAYQBjAHQAbwByAE4AbwBuAEkAcgByAGkAZwBhAHQAZQBkAEcAcgBhAGkAbgBzAEgAaQBnAGgAUgBhAGkAbgBmAGEAbABsAF8AVABpAHQAbABlACIALAAiAEYAZQByAHQAaQBsAGkAcwBlAHIAXwBFAHEAdQBhAHQAaQBvAG4AcwBfAEkAbgBvAHIAZwBhAG4AaQBjAE4AMgBPAC4AVgBFAEUAUgBHAF8ANQBfADEAXwAxAF8AMgBfAF8AMgBfAEUAbQBpAHMAcwBpAG8AbgBGAGEAYwB0AG8AcgBOAG8AbgBJAHIAcgBpAGcAYQB0AGUAZABHAHIAYQBpAG4AcwBIAGkAZwBoAFIAYQBpAG4AZgBhAGwAbABfAFYAYQByAGkAYQBiAGwAZQAiACwAIgBGAGUAcgB0AGkAbABpAHMAZQByAF8ARQBxAHUAYQB0AGkAbwBuAHMAXwBJAG4AbwByAGcAYQBuAGkAYwBOADIATwAuAFYARQBFAFIARwBfADUAXwAxAF8AMQBfADIAXwBfADIAXwBFAG0AaQBzAHMAaQBvAG4ARgBhAGMAdABvAHIATgBvAG4ASQByAHIAaQBnAGEAdABlAGQARwByAGEAaQBuAHMASABpAGcAaABSAGEAaQBuAGYAYQBsAGwAXwBVAG4AaQB0ACIALAAiAEYAZQByAHQAaQBsAGkAcwBlAHIAXwBFAHEAdQBhAHQAaQBvAG4AcwBfAEkAbgBvAHIAZwBhAG4AaQBjAE4AMgBPAC4AVgBFAEUAUgBHAF8ANQBfADEAXwAxAF8AMgBfAF8AMgBfAEUAbQBpAHMAcwBpAG8AbgBGAGEAYwB0AG8AcgBOAG8AbgBJAHIAcgBpAGcAYQB0AGUAZABHAHIAYQBpAG4AcwBIAGkAZwBoAFIAYQBpAG4AZgBhAGwAbABfAFMAbwB1AHIAYwBlACIALAAiAEYAZQByAHQAaQBsAGkAcwBlAHIAXwBFAHEAdQBhAHQAaQBvAG4AcwBfAEkAbgBvAHIAZwBhAG4AaQBjAE4AMgBPAC4AVgBFAEUAUgBHAF8ANQBfADEAXwAxAF8AMgBfAF8AMgBfAEUAbQBpAHMAcwBpAG8AbgBGAGEAYwB0AG8AcgBOAG8AbgBJAHIAcgBpAGcAYQB0AGUAZABHAHIAYQBpAG4AcwBIAGkAZwBoAFIAYQBpAG4AZgBhAGwAbABfAE4ASQBSAFIAZQBmAGUAcgBlAG4AYwBlACIALAAiAEYAZQByAHQAaQBsAGkAcwBlAHIAXwBFAHEAdQBhAHQAaQBvAG4AcwBfAEkAbgBvAHIAZwBhAG4AaQBjAE4AMgBPAC4AVgBFAEUAUgBHAF8ANQBfADEAXwAxAF8AMgBfAF8AMgBfAEUAbQBpAHMAcwBpAG8AbgBGAGEAYwB0AG8AcgBOAG8AbgBJAHIAcgBpAGcAYQB0AGUAZABHAHIAYQBpAG4AcwBIAGkAZwBoAFIAYQBpAG4AZgBhAGwAbABfAEwAYQB0AGUAeABFAHEAdQBhAHQAaQBvAG4AIgAsACIARgBlAHIAdABpAGwAaQBzAGUAcgBfAEUAcQB1AGEAdABpAG8AbgBzAF8ASQBuAG8AcgBnAGEAbgBpAGMATgAyAE8ALgBWAEUARQBSAEcAXwA1AF8AMQBfADEAXwAyAF8AXwAyAF8ARQBtAGkAcwBzAGkAbwBuAEYAYQBjAHQAbwByAE4AbwBuAEkAcgByAGkAZwBhAHQAZQBkAEcAcgBhAGkAbgBzAEgAaQBnAGgAUgBhAGkAbgBmAGEAbABsAF8AQQByAGcAdQBtAGUAbgB0AHMAIgAsACIARgBlAHIAdABpAGwAaQBzAGUAcgBfAEUAcQB1AGEAdABpAG8AbgBzAF8ASQBuAG8AcgBnAGEAbgBpAGMATgAyAE8ALgBWAEUARQBSAEcAXwA1AF8AMQBfADEAXwAyAF8AXwAzAF8ARQBtAGkAcwBzAGkAbwBuAEYAYQBjAHQAbwByAEMAbwB0AHQAbwBuACIALAAiAEYAZQByAHQAaQBsAGkAcwBlAHIAXwBFAHEAdQBhAHQAaQBvAG4AcwBfAEkAbgBvAHIAZwBhAG4AaQBjAE4AMgBPAC4AVgBFAEUAUgBHAF8ANQBfADEAXwAxAF8AMgBfAF8AMwBfAEUAbQBpAHMAcwBpAG8AbgBGAGEAYwB0AG8AcgBDAG8AdAB0AG8AbgBfAFQAaQB0AGwAZQAiACwAIgBGAGUAcgB0AGkAbABpAHMAZQByAF8ARQBxAHUAYQB0AGkAbwBuAHMAXwBJAG4AbwByAGcAYQBuAGkAYwBOADIATwAuAFYARQBFAFIARwBfADUAXwAxAF8AMQBfADIAXwBfADMAXwBFAG0AaQBzAHMAaQBvAG4ARgBhAGMAdABvAHIAQwBvAHQAdABvAG4AXwBWAGEAcgBpAGEAYgBsAGUAIgAsACIARgBlAHIAdABpAGwAaQBzAGUAcgBfAEUAcQB1AGEAdABpAG8AbgBzAF8ASQBuAG8AcgBnAGEAbgBpAGMATgAyAE8ALgBWAEUARQBSAEcAXwA1AF8AMQBfADEAXwAyAF8AXwAzAF8ARQBtAGkAcwBzAGkAbwBuAEYAYQBjAHQAbwByAEMAbwB0AHQAbwBuAF8AVQBuAGkAdAAiACwAIgBGAGUAcgB0AGkAbABpAHMAZQByAF8ARQBxAHUAYQB0AGkAbwBuAHMAXwBJAG4AbwByAGcAYQBuAGkAYwBOADIATwAuAFYARQBFAFIARwBfADUAXwAxAF8AMQBfADIAXwBfADMAXwBFAG0AaQBzAHMAaQBvAG4ARgBhAGMAdABvAHIAQwBvAHQAdABvAG4AXwBTAG8AdQByAGMAZQAiACwAIgBGAGUAcgB0AGkAbABpAHMAZQByAF8ARQBxAHUAYQB0AGkAbwBuAHMAXwBJAG4AbwByAGcAYQBuAGkAYwBOADIATwAuAFYARQBFAFIARwBfADUAXwAxAF8AMQBfADIAXwBfADMAXwBFAG0AaQBzAHMAaQBvAG4ARgBhAGMAdABvAHIAQwBvAHQAdABvAG4AXwBOAEkAUgBSAGUAZgBlAHIAZQBuAGMAZQAiACwAIgBGAGUAcgB0AGkAbABpAHMAZQByAF8ARQBxAHUAYQB0AGkAbwBuAHMAXwBJAG4AbwByAGcAYQBuAGkAYwBOADIATwAuAFYARQBFAFIARwBfADUAXwAxAF8AMQBfADIAXwBfADMAXwBFAG0AaQBzAHMAaQBvAG4ARgBhAGMAdABvAHIAQwBvAHQAdABvAG4AXwBMAGEAdABlAHgARQBxAHUAYQB0AGkAbwBuACIALAAiAEYAZQByAHQAaQBsAGkAcwBlAHIAXwBFAHEAdQBhAHQAaQBvAG4AcwBfAEkAbgBvAHIAZwBhAG4AaQBjAE4AMgBPAC4AVgBFAEUAUgBHAF8ANQBfADEAXwAxAF8AMgBfAF8AMwBfAEUAbQBpAHMAcwBpAG8AbgBGAGEAYwB0AG8AcgBDAG8AdAB0AG8AbgBfAEEAcgBnAHUAbQBlAG4AdABzACIALAAiAEYAZQByAHQAaQBsAGkAcwBlAHIAXwBFAHEAdQBhAHQAaQBvAG4AcwBfAEkAbgBvAHIAZwBhAG4AaQBjAEMATwAyAC4AVgBFAEUAUgBHAF8ANQBfADEAXwAxAF8AMwBfAF8AMQBfAEkAbgBvAHIAZwBhAG4AaQBjAEYAZQByAHQAaQBsAGkAcwBlAHIAQQBwAHAAbABpAGMAYQB0AGkAbwBuAEMATwAyAEUAbQBpAHMAcwBpAG8AbgBzACIALAAiAEYAZQByAHQAaQBsAGkAcwBlAHIAXwBFAHEAdQBhAHQAaQBvAG4AcwBfAEkAbgBvAHIAZwBhAG4AaQBjAEMATwAyAC4AVgBFAEUAUgBHAF8ANQBfADEAXwAxAF8AMwBfAF8AMQBfAEkAbgBvAHIAZwBhAG4AaQBjAEYAZQByAHQAaQBsAGkAcwBlAHIAQQBwAHAAbABpAGMAYQB0AGkAbwBuAEMATwAyAEUAbQBpAHMAcwBpAG8AbgBzAF8AVABpAHQAbABlACIALAAiAEYAZQByAHQAaQBsAGkAcwBlAHIAXwBFAHEAdQBhAHQAaQBvAG4AcwBfAEkAbgBvAHIAZwBhAG4AaQBjAEMATwAyAC4AVgBFAEUAUgBHAF8ANQBfADEAXwAxAF8AMwBfAF8AMQBfAEkAbgBvAHIAZwBhAG4AaQBjAEYAZQByAHQAaQBsAGkAcwBlAHIAQQBwAHAAbABpAGMAYQB0AGkAbwBuAEMATwAyAEUAbQBpAHMAcwBpAG8AbgBzAF8AVgBhAHIAaQBhAGIAbABlACIALAAiAEYAZQByAHQAaQBsAGkAcwBlAHIAXwBFAHEAdQBhAHQAaQBvAG4AcwBfAEkAbgBvAHIAZwBhAG4AaQBjAEMATwAyAC4AVgBFAEUAUgBHAF8ANQBfADEAXwAxAF8AMwBfAF8AMQBfAEkAbgBvAHIAZwBhAG4AaQBjAEYAZQByAHQAaQBsAGkAcwBlAHIAQQBwAHAAbABpAGMAYQB0AGkAbwBuAEMATwAyAEUAbQBpAHMAcwBpAG8AbgBzAF8AVQBuAGkAdAAiACwAIgBGAGUAcgB0AGkAbABpAHMAZQByAF8ARQBxAHUAYQB0AGkAbwBuAHMAXwBJAG4AbwByAGcAYQBuAGkAYwBDAE8AMgAuAFYARQBFAFIARwBfADUAXwAxAF8AMQBfADMAXwBfADEAXwBJAG4AbwByAGcAYQBuAGkAYwBGAGUAcgB0AGkAbABpAHMAZQByAEEAcABwAGwAaQBjAGEAdABpAG8AbgBDAE8AMgBFAG0AaQBzAHMAaQBvAG4AcwBfAFMAbwB1AHIAYwBlACIALAAiAEYAZQByAHQAaQBsAGkAcwBlAHIAXwBFAHEAdQBhAHQAaQBvAG4AcwBfAEkAbgBvAHIAZwBhAG4AaQBjAEMATwAyAC4AVgBFAEUAUgBHAF8ANQBfADEAXwAxAF8AMwBfAF8AMQBfAEkAbgBvAHIAZwBhAG4AaQBjAEYAZQByAHQAaQBsAGkAcwBlAHIAQQBwAHAAbABpAGMAYQB0AGkAbwBuAEMATwAyAEUAbQBpAHMAcwBpAG8AbgBzAF8ATgBJAFIAUgBlAGYAZQByAGUAbgBjAGUAIgAsACIARgBlAHIAdABpAGwAaQBzAGUAcgBfAEUAcQB1AGEAdABpAG8AbgBzAF8ASQBuAG8AcgBnAGEAbgBpAGMAQwBPADIALgBWAEUARQBSAEcAXwA1AF8AMQBfADEAXwAzAF8AXwAxAF8ASQBuAG8AcgBnAGEAbgBpAGMARgBlAHIAdABpAGwAaQBzAGUAcgBBAHAAcABsAGkAYwBhAHQAaQBvAG4AQwBPADIARQBtAGkAcwBzAGkAbwBuAHMAXwBMAGEAdABlAHgARQBxAHUAYQB0AGkAbwBuACIALAAiAEYAZQByAHQAaQBsAGkAcwBlAHIAXwBFAHEAdQBhAHQAaQBvAG4AcwBfAEkAbgBvAHIAZwBhAG4AaQBjAEMATwAyAC4AVgBFAEUAUgBHAF8ANQBfADEAXwAxAF8AMwBfAF8AMQBfAEkAbgBvAHIAZwBhAG4AaQBjAEYAZQByAHQAaQBsAGkAcwBlAHIAQQBwAHAAbABpAGMAYQB0AGkAbwBuAEMATwAyAEUAbQBpAHMAcwBpAG8AbgBzAF8AQQByAGcAdQBtAGUAbgB0AHMAIgAsACIARgBlAHIAdABpAGwAaQBzAGUAcgBfAEUAcQB1AGEAdABpAG8AbgBzAF8ASQBuAG8AcgBnAGEAbgBpAGMAQwBPADIALgBWAEUARQBSAEcAXwA1AF8AMQBfADEAXwAzAF8AXwAyAF8ATQBhAHMAcwBPAGYAVQByAGUAYQBJAG4ASQBuAG8AcgBnAGEAbgBpAGMARgBlAHIAdABpAGwAaQBzAGUAcgAiACwAIgBGAGUAcgB0AGkAbABpAHMAZQByAF8ARQBxAHUAYQB0AGkAbwBuAHMAXwBJAG4AbwByAGcAYQBuAGkAYwBDAE8AMgAuAFYARQBFAFIARwBfADUAXwAxAF8AMQBfADMAXwBfADIAXwBNAGEAcwBzAE8AZgBVAHIAZQBhAEkAbgBJAG4AbwByAGcAYQBuAGkAYwBGAGUAcgB0AGkAbABpAHMAZQByAF8AVABpAHQAbABlACIALAAiAEYAZQByAHQAaQBsAGkAcwBlAHIAXwBFAHEAdQBhAHQAaQBvAG4AcwBfAEkAbgBvAHIAZwBhAG4AaQBjAEMATwAyAC4AVgBFAEUAUgBHAF8ANQBfADEAXwAxAF8AMwBfAF8AMgBfAE0AYQBzAHMATwBmAFUAcgBlAGEASQBuAEkAbgBvAHIAZwBhAG4AaQBjAEYAZQByAHQAaQBsAGkAcwBlAHIAXwBWAGEAcgBpAGEAYgBsAGUAIgAsACIARgBlAHIAdABpAGwAaQBzAGUAcgBfAEUAcQB1AGEAdABpAG8AbgBzAF8ASQBuAG8AcgBnAGEAbgBpAGMAQwBPADIALgBWAEUARQBSAEcAXwA1AF8AMQBfADEAXwAzAF8AXwAyAF8ATQBhAHMAcwBPAGYAVQByAGUAYQBJAG4ASQBuAG8AcgBnAGEAbgBpAGMARgBlAHIAdABpAGwAaQBzAGUAcgBfAFUAbgBpAHQAIgAsACIARgBlAHIAdABpAGwAaQBzAGUAcgBfAEUAcQB1AGEAdABpAG8AbgBzAF8ASQBuAG8AcgBnAGEAbgBpAGMAQwBPADIALgBWAEUARQBSAEcAXwA1AF8AMQBfADEAXwAzAF8AXwAyAF8ATQBhAHMAcwBPAGYAVQByAGUAYQBJAG4ASQBuAG8AcgBnAGEAbgBpAGMARgBlAHIAdABpAGwAaQBzAGUAcgBfAFMAbwB1AHIAYwBlACIALAAiAEYAZQByAHQAaQBsAGkAcwBlAHIAXwBFAHEAdQBhAHQAaQBvAG4AcwBfAEkAbgBvAHIAZwBhAG4AaQBjAEMATwAyAC4AVgBFAEUAUgBHAF8ANQBfADEAXwAxAF8AMwBfAF8AMgBfAE0AYQBzAHMATwBmAFUAcgBlAGEASQBuAEkAbgBvAHIAZwBhAG4AaQBjAEYAZQByAHQAaQBsAGkAcwBlAHIAXwBOAEkAUgBSAGUAZgBlAHIAZQBuAGMAZQAiACwAIgBGAGUAcgB0AGkAbABpAHMAZQByAF8ARQBxAHUAYQB0AGkAbwBuAHMAXwBJAG4AbwByAGcAYQBuAGkAYwBDAE8AMgAuAFYARQBFAFIARwBfADUAXwAxAF8AMQBfADMAXwBfADIAXwBNAGEAcwBzAE8AZgBVAHIAZQBhAEkAbgBJAG4AbwByAGcAYQBuAGkAYwBGAGUAcgB0AGkAbABpAHMAZQByAF8ATABhAHQAZQB4AEUAcQB1AGEAdABpAG8AbgAiACwAIgBGAGUAcgB0AGkAbABpAHMAZQByAF8ARQBxAHUAYQB0AGkAbwBuAHMAXwBJAG4AbwByAGcAYQBuAGkAYwBDAE8AMgAuAFYARQBFAFIARwBfADUAXwAxAF8AMQBfADMAXwBfADIAXwBNAGEAcwBzAE8AZgBVAHIAZQBhAEkAbgBJAG4AbwByAGcAYQBuAGkAYwBGAGUAcgB0AGkAbABpAHMAZQByAF8AQQByAGcAdQBtAGUAbgB0AHMAIgAsACIARgBlAHIAdABpAGwAaQBzAGUAcgBfAEUAcQB1AGEAdABpAG8AbgBzAF8ATwByAGcAYQBuAGkAYwBOADIATwAuAFYARQBFAFIARwBfADUAXwAyAF8AMQBfADEAXwBfADEAXwBPAHIAZwBhAG4AaQBjAEYAZQByAHQAaQBsAGkAcwBlAHIAQQBwAHAAbABpAGMAYQB0AGkAbwBuAE4AMgBPAEUAbQBpAHMAcwBpAG8AbgBzACIALAAiAEYAZQByAHQAaQBsAGkAcwBlAHIAXwBFAHEAdQBhAHQAaQBvAG4AcwBfAE8AcgBnAGEAbgBpAGMATgAyAE8ALgBWAEUARQBSAEcAXwA1AF8AMgBfADEAXwAxAF8AXwAxAF8ATwByAGcAYQBuAGkAYwBGAGUAcgB0AGkAbABpAHMAZQByAEEAcABwAGwAaQBjAGEAdABpAG8AbgBOADIATwBFAG0AaQBzAHMAaQBvAG4AcwBfAFQAaQB0AGwAZQAiACwAIgBGAGUAcgB0AGkAbABpAHMAZQByAF8ARQBxAHUAYQB0AGkAbwBuAHMAXwBPAHIAZwBhAG4AaQBjAE4AMgBPAC4AVgBFAEUAUgBHAF8ANQBfADIAXwAxAF8AMQBfAF8AMQBfAE8AcgBnAGEAbgBpAGMARgBlAHIAdABpAGwAaQBzAGUAcgBBAHAAcABsAGkAYwBhAHQAaQBvAG4ATgAyAE8ARQBtAGkAcwBzAGkAbwBuAHMAXwBWAGEAcgBpAGEAYgBsAGUAIgAsACIARgBlAHIAdABpAGwAaQBzAGUAcgBfAEUAcQB1AGEAdABpAG8AbgBzAF8ATwByAGcAYQBuAGkAYwBOADIATwAuAFYARQBFAFIARwBfADUAXwAyAF8AMQBfADEAXwBfADEAXwBPAHIAZwBhAG4AaQBjAEYAZQByAHQAaQBsAGkAcwBlAHIAQQBwAHAAbABpAGMAYQB0AGkAbwBuAE4AMgBPAEUAbQBpAHMAcwBpAG8AbgBzAF8AVQBuAGkAdAAiACwAIgBGAGUAcgB0AGkAbABpAHMAZQByAF8ARQBxAHUAYQB0AGkAbwBuAHMAXwBPAHIAZwBhAG4AaQBjAE4AMgBPAC4AVgBFAEUAUgBHAF8ANQBfADIAXwAxAF8AMQBfAF8AMQBfAE8AcgBnAGEAbgBpAGMARgBlAHIAdABpAGwAaQBzAGUAcgBBAHAAcABsAGkAYwBhAHQAaQBvAG4ATgAyAE8ARQBtAGkAcwBzAGkAbwBuAHMAXwBTAG8AdQByAGMAZQAiACwAIgBGAGUAcgB0AGkAbABpAHMAZQByAF8ARQBxAHUAYQB0AGkAbwBuAHMAXwBPAHIAZwBhAG4AaQBjAE4AMgBPAC4AVgBFAEUAUgBHAF8ANQBfADIAXwAxAF8AMQBfAF8AMQBfAE8AcgBnAGEAbgBpAGMARgBlAHIAdABpAGwAaQBzAGUAcgBBAHAAcABsAGkAYwBhAHQAaQBvAG4ATgAyAE8ARQBtAGkAcwBzAGkAbwBuAHMAXwBOAEkAUgBSAGUAZgBlAHIAZQBuAGMAZQAiACwAIgBGAGUAcgB0AGkAbABpAHMAZQByAF8ARQBxAHUAYQB0AGkAbwBuAHMAXwBPAHIAZwBhAG4AaQBjAE4AMgBPAC4AVgBFAEUAUgBHAF8ANQBfADIAXwAxAF8AMQBfAF8AMQBfAE8AcgBnAGEAbgBpAGMARgBlAHIAdABpAGwAaQBzAGUAcgBBAHAAcABsAGkAYwBhAHQAaQBvAG4ATgAyAE8ARQBtAGkAcwBzAGkAbwBuAHMAXwBMAGEAdABlAHgARQBxAHUAYQB0AGkAbwBuACIALAAiAEYAZQByAHQAaQBsAGkAcwBlAHIAXwBFAHEAdQBhAHQAaQBvAG4AcwBfAE8AcgBnAGEAbgBpAGMATgAyAE8ALgBWAEUARQBSAEcAXwA1AF8AMgBfADEAXwAxAF8AXwAxAF8ATwByAGcAYQBuAGkAYwBGAGUAcgB0AGkAbABpAHMAZQByAEEAcABwAGwAaQBjAGEAdABpAG8AbgBOADIATwBFAG0AaQBzAHMAaQBvAG4AcwBfAEEAcgBnAHUAbQBlAG4AdABzACIALAAiAEYAZQByAHQAaQBsAGkAcwBlAHIAXwBFAHEAdQBhAHQAaQBvAG4AcwBfAE8AcgBnAGEAbgBpAGMATgAyAE8ALgBWAEUARQBSAEcAXwA1AF8AMgBfADEAXwAxAF8AXwAyAF8ATQBhAHMAcwBPAGYATgBpAHQAcgBvAGcAZQBuAEkAbgBPAHIAZwBhAG4AaQBjAEYAZQByAHQAaQBsAGkAcwBlAHIAIgAsACIARgBlAHIAdABpAGwAaQBzAGUAcgBfAEUAcQB1AGEAdABpAG8AbgBzAF8ATwByAGcAYQBuAGkAYwBOADIATwAuAFYARQBFAFIARwBfADUAXwAyAF8AMQBfADEAXwBfADIAXwBNAGEAcwBzAE8AZgBOAGkAdAByAG8AZwBlAG4ASQBuAE8AcgBnAGEAbgBpAGMARgBlAHIAdABpAGwAaQBzAGUAcgBfAFQAaQB0AGwAZQAiACwAIgBGAGUAcgB0AGkAbABpAHMAZQByAF8ARQBxAHUAYQB0AGkAbwBuAHMAXwBPAHIAZwBhAG4AaQBjAE4AMgBPAC4AVgBFAEUAUgBHAF8ANQBfADIAXwAxAF8AMQBfAF8AMgBfAE0AYQBzAHMATwBmAE4AaQB0AHIAbwBnAGUAbgBJAG4ATwByAGcAYQBuAGkAYwBGAGUAcgB0AGkAbABpAHMAZQByAF8AVgBhAHIAaQBhAGIAbABlACIALAAiAEYAZQByAHQAaQBsAGkAcwBlAHIAXwBFAHEAdQBhAHQAaQBvAG4AcwBfAE8AcgBnAGEAbgBpAGMATgAyAE8ALgBWAEUARQBSAEcAXwA1AF8AMgBfADEAXwAxAF8AXwAyAF8ATQBhAHMAcwBPAGYATgBpAHQAcgBvAGcAZQBuAEkAbgBPAHIAZwBhAG4AaQBjAEYAZQByAHQAaQBsAGkAcwBlAHIAXwBVAG4AaQB0ACIALAAiAEYAZQByAHQAaQBsAGkAcwBlAHIAXwBFAHEAdQBhAHQAaQBvAG4AcwBfAE8AcgBnAGEAbgBpAGMATgAyAE8ALgBWAEUARQBSAEcAXwA1AF8AMgBfADEAXwAxAF8AXwAyAF8ATQBhAHMAcwBPAGYATgBpAHQAcgBvAGcAZQBuAEkAbgBPAHIAZwBhAG4AaQBjAEYAZQByAHQAaQBsAGkAcwBlAHIAXwBTAG8AdQByAGMAZQAiACwAIgBGAGUAcgB0AGkAbABpAHMAZQByAF8ARQBxAHUAYQB0AGkAbwBuAHMAXwBPAHIAZwBhAG4AaQBjAE4AMgBPAC4AVgBFAEUAUgBHAF8ANQBfADIAXwAxAF8AMQBfAF8AMgBfAE0AYQBzAHMATwBmAE4AaQB0AHIAbwBnAGUAbgBJAG4ATwByAGcAYQBuAGkAYwBGAGUAcgB0AGkAbABpAHMAZQByAF8ATgBJAFIAUgBlAGYAZQByAGUAbgBjAGUAIgAsACIARgBlAHIAdABpAGwAaQBzAGUAcgBfAEUAcQB1AGEAdABpAG8AbgBzAF8ATwByAGcAYQBuAGkAYwBOADIATwAuAFYARQBFAFIARwBfADUAXwAyAF8AMQBfADEAXwBfADIAXwBNAGEAcwBzAE8AZgBOAGkAdAByAG8AZwBlAG4ASQBuAE8AcgBnAGEAbgBpAGMARgBlAHIAdABpAGwAaQBzAGUAcgBfAEwAYQB0AGUAeABFAHEAdQBhAHQAaQBvAG4AIgAsACIARgBlAHIAdABpAGwAaQBzAGUAcgBfAEUAcQB1AGEAdABpAG8AbgBzAF8ATwByAGcAYQBuAGkAYwBOADIATwAuAFYARQBFAFIARwBfADUAXwAyAF8AMQBfADEAXwBfADIAXwBNAGEAcwBzAE8AZgBOAGkAdAByAG8AZwBlAG4ASQBuAE8AcgBnAGEAbgBpAGMARgBlAHIAdABpAGwAaQBzAGUAcgBfAEEAcgBnAHUAbQBlAG4AdABzACIALAAiAEYAZQByAHQAaQBsAGkAcwBlAHIAXwBFAHEAdQBhAHQAaQBvAG4AcwBfAEwAaQBtAGUALgBWAEUARQBSAEcAXwA1AF8AMwBfADEAXwAxAF8AXwAxAF8ATABpAG0AZQBBAHAAcABsAGkAYwBhAHQAaQBvAG4AQwBPADIARQBtAGkAcwBzAGkAbwBuAHMAIgAsACIARgBlAHIAdABpAGwAaQBzAGUAcgBfAEUAcQB1AGEAdABpAG8AbgBzAF8ATABpAG0AZQAuAFYARQBFAFIARwBfADUAXwAzAF8AMQBfADEAXwBfADEAXwBMAGkAbQBlAEEAcABwAGwAaQBjAGEAdABpAG8AbgBDAE8AMgBFAG0AaQBzAHMAaQBvAG4AcwBfAFQAaQB0AGwAZQAiACwAIgBGAGUAcgB0AGkAbABpAHMAZQByAF8ARQBxAHUAYQB0AGkAbwBuAHMAXwBMAGkAbQBlAC4AVgBFAEUAUgBHAF8ANQBfADMAXwAxAF8AMQBfAF8AMQBfAEwAaQBtAGUAQQBwAHAAbABpAGMAYQB0AGkAbwBuAEMATwAyAEUAbQBpAHMAcwBpAG8AbgBzAF8AVgBhAHIAaQBhAGIAbABlACIALAAiAEYAZQByAHQAaQBsAGkAcwBlAHIAXwBFAHEAdQBhAHQAaQBvAG4AcwBfAEwAaQBtAGUALgBWAEUARQBSAEcAXwA1AF8AMwBfADEAXwAxAF8AXwAxAF8ATABpAG0AZQBBAHAAcABsAGkAYwBhAHQAaQBvAG4AQwBPADIARQBtAGkAcwBzAGkAbwBuAHMAXwBVAG4AaQB0ACIALAAiAEYAZQByAHQAaQBsAGkAcwBlAHIAXwBFAHEAdQBhAHQAaQBvAG4AcwBfAEwAaQBtAGUALgBWAEUARQBSAEcAXwA1AF8AMwBfADEAXwAxAF8AXwAxAF8ATABpAG0AZQBBAHAAcABsAGkAYwBhAHQAaQBvAG4AQwBPADIARQBtAGkAcwBzAGkAbwBuAHMAXwBTAG8AdQByAGMAZQAiACwAIgBGAGUAcgB0AGkAbABpAHMAZQByAF8ARQBxAHUAYQB0AGkAbwBuAHMAXwBMAGkAbQBlAC4AVgBFAEUAUgBHAF8ANQBfADMAXwAxAF8AMQBfAF8AMQBfAEwAaQBtAGUAQQBwAHAAbABpAGMAYQB0AGkAbwBuAEMATwAyAEUAbQBpAHMAcwBpAG8AbgBzAF8ATgBJAFIAUgBlAGYAZQByAGUAbgBjAGUAIgAsACIARgBlAHIAdABpAGwAaQBzAGUAcgBfAEUAcQB1AGEAdABpAG8AbgBzAF8ATABpAG0AZQAuAFYARQBFAFIARwBfADUAXwAzAF8AMQBfADEAXwBfADEAXwBMAGkAbQBlAEEAcABwAGwAaQBjAGEAdABpAG8AbgBDAE8AMgBFAG0AaQBzAHMAaQBvAG4AcwBfAEwAYQB0AGUAeABFAHEAdQBhAHQAaQBvAG4AIgAsACIARgBlAHIAdABpAGwAaQBzAGUAcgBfAEUAcQB1AGEAdABpAG8AbgBzAF8ATABpAG0AZQAuAFYARQBFAFIARwBfADUAXwAzAF8AMQBfADEAXwBfADEAXwBMAGkAbQBlAEEAcABwAGwAaQBjAGEAdABpAG8AbgBDAE8AMgBFAG0AaQBzAHMAaQBvAG4AcwBfAEEAcgBnAHUAbQBlAG4AdA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ABpAHQ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gBhAHIAaQBhAGI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QBuAGkAdA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MAbwB1AHI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gBJAFIAUgBlAGYAZQByAGUAb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MAGEAdABlAHgARQBxAHUAYQB0AGkAbwBu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QQByAGcAdQBtAGUAbgB0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QAaQB0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gBhAHIAaQBhAGI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VAG4AaQB0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TAG8AdQBy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gBJAFIAUgBlAGYAZQByAGUAb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wAYQB0AGUAeABFAHEAdQBhAHQAaQBvAG4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EAcgBnAHUAbQBlAG4AdABzACIALAAiAEYAZQByAHQAaQBsAGkAcwBlAHIAXwBFAHEAdQBhAHQAaQBvAG4AcwBfAEwAZQBhAGMAaABpAG4AZwBBAG4AZABSAHUAbgBvAGYAZgAuAFYARQBFAFIARwBfADUAXwA1AF8AMQBfADEAXwBfADEAXwBGAGUAcgB0AGkAbABpAHMAZQByAEwAZQBhAGMAaABpAG4AZwBBAG4AZABSAHUAbgBvAGYAZgBOADIATwBFAG0AaQBzAHMAaQBvAG4AcwAiACwAIgBGAGUAcgB0AGkAbABpAHMAZQByAF8ARQBxAHUAYQB0AGkAbwBuAHMAXwBMAGUAYQBjAGgAaQBuAGcAQQBuAGQAUgB1AG4AbwBmAGYALgBWAEUARQBSAEcAXwA1AF8ANQBfADEAXwAxAF8AXwAxAF8ARgBlAHIAdABpAGwAaQBzAGUAcgBMAGUAYQBjAGgAaQBuAGcAQQBuAGQAUgB1AG4AbwBmAGYATgAyAE8ARQBtAGkAcwBzAGkAbwBuAHMAXwBUAGkAdABsAGUAIgAsACIARgBlAHIAdABpAGwAaQBzAGUAcgBfAEUAcQB1AGEAdABpAG8AbgBzAF8ATABlAGEAYwBoAGkAbgBnAEEAbgBkAFIAdQBuAG8AZgBmAC4AVgBFAEUAUgBHAF8ANQBfADUAXwAxAF8AMQBfAF8AMQBfAEYAZQByAHQAaQBsAGkAcwBlAHIATABlAGEAYwBoAGkAbgBnAEEAbgBkAFIAdQBuAG8AZgBmAE4AMgBPAEUAbQBpAHMAcwBpAG8AbgBzAF8AVgBhAHIAaQBhAGIAbABlACIALAAiAEYAZQByAHQAaQBsAGkAcwBlAHIAXwBFAHEAdQBhAHQAaQBvAG4AcwBfAEwAZQBhAGMAaABpAG4AZwBBAG4AZABSAHUAbgBvAGYAZgAuAFYARQBFAFIARwBfADUAXwA1AF8AMQBfADEAXwBfADEAXwBGAGUAcgB0AGkAbABpAHMAZQByAEwAZQBhAGMAaABpAG4AZwBBAG4AZABSAHUAbgBvAGYAZgBOADIATwBFAG0AaQBzAHMAaQBvAG4AcwBfAFUAbgBpAHQAIgAsACIARgBlAHIAdABpAGwAaQBzAGUAcgBfAEUAcQB1AGEAdABpAG8AbgBzAF8ATABlAGEAYwBoAGkAbgBnAEEAbgBkAFIAdQBuAG8AZgBmAC4AVgBFAEUAUgBHAF8ANQBfADUAXwAxAF8AMQBfAF8AMQBfAEYAZQByAHQAaQBsAGkAcwBlAHIATABlAGEAYwBoAGkAbgBnAEEAbgBkAFIAdQBuAG8AZgBmAE4AMgBPAEUAbQBpAHMAcwBpAG8AbgBzAF8AUwBvAHUAcgBjAGUAIgAsACIARgBlAHIAdABpAGwAaQBzAGUAcgBfAEUAcQB1AGEAdABpAG8AbgBzAF8ATABlAGEAYwBoAGkAbgBnAEEAbgBkAFIAdQBuAG8AZgBmAC4AVgBFAEUAUgBHAF8ANQBfADUAXwAxAF8AMQBfAF8AMQBfAEYAZQByAHQAaQBsAGkAcwBlAHIATABlAGEAYwBoAGkAbgBnAEEAbgBkAFIAdQBuAG8AZgBmAE4AMgBPAEUAbQBpAHMAcwBpAG8AbgBzAF8ATgBJAFIAUgBlAGYAZQByAGUAbgBjAGUAIgAsACIARgBlAHIAdABpAGwAaQBzAGUAcgBfAEUAcQB1AGEAdABpAG8AbgBzAF8ATABlAGEAYwBoAGkAbgBnAEEAbgBkAFIAdQBuAG8AZgBmAC4AVgBFAEUAUgBHAF8ANQBfADUAXwAxAF8AMQBfAF8AMQBfAEYAZQByAHQAaQBsAGkAcwBlAHIATABlAGEAYwBoAGkAbgBnAEEAbgBkAFIAdQBuAG8AZgBmAE4AMgBPAEUAbQBpAHMAcwBpAG8AbgBzAF8ATABhAHQAZQB4AEUAcQB1AGEAdABpAG8AbgAiACwAIgBGAGUAcgB0AGkAbABpAHMAZQByAF8ARQBxAHUAYQB0AGkAbwBuAHMAXwBMAGUAYQBjAGgAaQBuAGcAQQBuAGQAUgB1AG4AbwBmAGYALgBWAEUARQBSAEcAXwA1AF8ANQBfADEAXwAxAF8AXwAxAF8ARgBlAHIAdABpAGwAaQBzAGUAcgBMAGUAYQBjAGgAaQBuAGcAQQBuAGQAUgB1AG4AbwBmAGYATgAyAE8ARQBtAGkAcwBzAGkAbwBuAHMAXwBBAHIAZwB1AG0AZQBuAHQAcwAiACwAIgBGAGUAcgB0AGkAbABpAHMAZQByAF8ARQBxAHUAYQB0AGkAbwBuAHMAXwBMAGUAYQBjAGgAaQBuAGcAQQBuAGQAUgB1AG4AbwBmAGYALgBWAEUARQBSAEcAXwA1AF8ANQBfADEAXwAxAF8AXwAyAF8ATQBhAHMAcwBPAGYATgBpAHQAcgBvAGcAZQBuAEwAZQBhAGMAaABlAGQARgByAG8AbQBJAG4AbwByAGcAYQBuAGkAYwBGAGUAcgB0AGkAbABpAHMAZQByACIALAAiAEYAZQByAHQAaQBsAGkAcwBlAHIAXwBFAHEAdQBhAHQAaQBvAG4AcwBfAEwAZQBhAGMAaABpAG4AZwBBAG4AZABSAHUAbgBvAGYAZgAuAFYARQBFAFIARwBfADUAXwA1AF8AMQBfADEAXwBfADIAXwBNAGEAcwBzAE8AZgBOAGkAdAByAG8AZwBlAG4ATABlAGEAYwBoAGUAZABGAHIAbwBtAEkAbgBvAHIAZwBhAG4AaQBjAEYAZQByAHQAaQBsAGkAcwBlAHIAXwBUAGkAdA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YAYQByAGkAYQBi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QBuAGkAdAAiACwAIgBGAGUAcgB0AGkAbABpAHMAZQByAF8ARQBxAHUAYQB0AGkAbwBuAHMAXwBMAGUAYQBjAGgAaQBuAGcAQQBuAGQAUgB1AG4AbwBmAGYALgBWAEUARQBSAEcAXwA1AF8ANQBfADEAXwAxAF8AXwAyAF8ATQBhAHMAcwBPAGYATgBpAHQAcgBvAGcAZQBuAEwAZQBhAGMAaABlAGQARgByAG8AbQBJAG4AbwByAGcAYQBuAGkAYwBGAGUAcgB0AGkAbABpAHMAZQByAF8AUwBvAHUAc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4ASQBSAFIAZQBmAGUAcgBlAG4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MAGEAdABlAHgARQBxAHUAYQB0AGkAbwBuACIALAAiAEYAZQByAHQAaQBsAGkAcwBlAHIAXwBFAHEAdQBhAHQAaQBvAG4AcwBfAEwAZQBhAGMAaABpAG4AZwBBAG4AZABSAHUAbgBvAGYAZgAuAFYARQBFAFIARwBfADUAXwA1AF8AMQBfADEAXwBfADIAXwBNAGEAcwBzAE8AZgBOAGkAdAByAG8AZwBlAG4ATABlAGEAYwBoAGUAZABGAHIAbwBtAEkAbgBvAHIAZwBhAG4AaQBjAEYAZQByAHQAaQBsAGkAcwBlAHIAXwBBAHIAZwB1AG0AZQBuAHQAcwAiACwAIgBGAGUAcgB0AGkAbABpAHMAZQByAF8ARQBxAHUAYQB0AGkAbwBuAHMAXwBMAGUAYQBjAGgAaQBuAGcAQQBuAGQAUgB1AG4AbwBmAGYALgBWAEUARQBSAEcAXwA1AF8ANQBfADEAXwAxAF8AXwAzAF8ATQBhAHMAcwBPAGYATgBpAHQAcgBvAGcAZQBuAEwAZQBhAGMAaABlAGQARgByAG8AbQBPAHIAZwBhAG4AaQBjAEYAZQByAHQAaQBsAGkAcwBlAHIAIgAsACIARgBlAHIAdABpAGwAaQBzAGUAcgBfAEUAcQB1AGEAdABpAG8AbgBzAF8ATABlAGEAYwBoAGkAbgBnAEEAbgBkAFIAdQBuAG8AZgBmAC4AVgBFAEUAUgBHAF8ANQBfADUAXwAxAF8AMQBfAF8AMwBfAE0AYQBzAHMATwBmAE4AaQB0AHIAbwBnAGUAbgBMAGUAYQBjAGgAZQBkAEYAcgBvAG0ATwByAGcAYQBuAGkAYwBGAGUAcgB0AGkAbABpAHMAZQByAF8AVABpAHQAbABlACIALAAiAEYAZQByAHQAaQBsAGkAcwBlAHIAXwBFAHEAdQBhAHQAaQBvAG4AcwBfAEwAZQBhAGMAaABpAG4AZwBBAG4AZABSAHUAbgBvAGYAZgAuAFYARQBFAFIARwBfADUAXwA1AF8AMQBfADEAXwBfADMAXwBNAGEAcwBzAE8AZgBOAGkAdAByAG8AZwBlAG4ATABlAGEAYwBoAGUAZABGAHIAbwBtAE8AcgBnAGEAbgBpAGMARgBlAHIAdABpAGwAaQBzAGUAcgBfAFYAYQByAGkAYQBiAGwAZQAiACwAIgBGAGUAcgB0AGkAbABpAHMAZQByAF8ARQBxAHUAYQB0AGkAbwBuAHMAXwBMAGUAYQBjAGgAaQBuAGcAQQBuAGQAUgB1AG4AbwBmAGYALgBWAEUARQBSAEcAXwA1AF8ANQBfADEAXwAxAF8AXwAzAF8ATQBhAHMAcwBPAGYATgBpAHQAcgBvAGcAZQBuAEwAZQBhAGMAaABlAGQARgByAG8AbQBPAHIAZwBhAG4AaQBjAEYAZQByAHQAaQBsAGkAcwBlAHIAXwBVAG4AaQB0ACIALAAiAEYAZQByAHQAaQBsAGkAcwBlAHIAXwBFAHEAdQBhAHQAaQBvAG4AcwBfAEwAZQBhAGMAaABpAG4AZwBBAG4AZABSAHUAbgBvAGYAZgAuAFYARQBFAFIARwBfADUAXwA1AF8AMQBfADEAXwBfADMAXwBNAGEAcwBzAE8AZgBOAGkAdAByAG8AZwBlAG4ATABlAGEAYwBoAGUAZABGAHIAbwBtAE8AcgBnAGEAbgBpAGMARgBlAHIAdABpAGwAaQBzAGUAcgBfAFMAbwB1AHIAYwBlACIALAAiAEYAZQByAHQAaQBsAGkAcwBlAHIAXwBFAHEAdQBhAHQAaQBvAG4AcwBfAEwAZQBhAGMAaABpAG4AZwBBAG4AZABSAHUAbgBvAGYAZgAuAFYARQBFAFIARwBfADUAXwA1AF8AMQBfADEAXwBfADMAXwBNAGEAcwBzAE8AZgBOAGkAdAByAG8AZwBlAG4ATABlAGEAYwBoAGUAZABGAHIAbwBtAE8AcgBnAGEAbgBpAGMARgBlAHIAdABpAGwAaQBzAGUAcgBfAE4ASQBSAFIAZQBmAGUAcgBlAG4AYwBlACIALAAiAEYAZQByAHQAaQBsAGkAcwBlAHIAXwBFAHEAdQBhAHQAaQBvAG4AcwBfAEwAZQBhAGMAaABpAG4AZwBBAG4AZABSAHUAbgBvAGYAZgAuAFYARQBFAFIARwBfADUAXwA1AF8AMQBfADEAXwBfADMAXwBNAGEAcwBzAE8AZgBOAGkAdAByAG8AZwBlAG4ATABlAGEAYwBoAGUAZABGAHIAbwBtAE8AcgBnAGEAbgBpAGMARgBlAHIAdABpAGwAaQBzAGUAcgBfAEwAYQB0AGUAeABFAHEAdQBhAHQAaQBvAG4AIgAsACIARgBlAHIAdABpAGwAaQBzAGUAcgBfAEUAcQB1AGEAdABpAG8AbgBzAF8ATABlAGEAYwBoAGkAbgBnAEEAbgBkAFIAdQBuAG8AZgBmAC4AVgBFAEUAUgBHAF8ANQBfADUAXwAxAF8AMQBfAF8AMwBfAE0AYQBzAHMATwBmAE4AaQB0AHIAbwBnAGUAbgBMAGUAYQBjAGgAZQBkAEYAcgBvAG0ATwByAGcAYQBuAGkAYwBGAGUAcgB0AGkAbABpAHMAZQByAF8AQQByAGcAdQBtAGUAbgB0AHMAIgAsACIAQQBnAHIAZQBzAGkAZAB1AGUAXwBTAG8AdQByAGMAZQBEAGEAdABhAC4AQwByAG8AcABQAHUAcgBwAG8AcwBlAEEAbgBkAFkAaQBlAGwAZABfAFQAaQB0AGwAZQAiACwAIgBBAGcAcgBlAHMAaQBkAHUAZQBfAFMAbwB1AHIAYwBlAEQAYQB0AGEALgBDAHIAbwBwAFAAdQByAHAAbwBzAGUAQQBuAGQAWQBpAGUAbABkAF8ARABhAHQAYQAiACwAIgBBAGcAcgBlAHMAaQBkAHUAZQBfAFMAbwB1AHIAYwBlAEQAYQB0AGEALgBDAHIAbwBwAEEAdAB0AHIAaQBiAHUAdABlAHMAXwBUAGkAdABsAGUAIgAsACIAQQBnAHIAZQBzAGkAZAB1AGUAXwBTAG8AdQByAGMAZQBEAGEAdABhAC4AQwByAG8AcABBAHQAdAByAGkAYgB1AHQAZQBzAF8ARABlAHMAYwByAGkAcAB0AGkAbwBuACIALAAiAEEAZwByAGUAcwBpAGQAdQBlAF8AUwBvAHUAcgBjAGUARABhAHQAYQAuAEMAcgBvAHAAQQB0AHQAcgBpAGIAdQB0AGUAcwBfAFMAbwB1AHIAYwBlACIALAAiAEEAZwByAGUAcwBpAGQAdQBlAF8AUwBvAHUAcgBjAGUARABhAHQAYQAuAEMAcgBvAHAAQQB0AHQAcgBpAGIAdQB0AGUAcwBfAEQAYQB0AGEAIgAsACIAQQBnAHIAZQBzAGkAZAB1AGUAXwBTAG8AdQByAGMAZQBEAGEAdABhAC4AQwByAG8AcABBAHQAdAByAGkAYgB1AHQAZQBzAF8AVgBhAHIAaQBhAHQAaQBvAG4AIgAsACIAQQBnAHIAZQBzAGkAZAB1AGUAXwBTAG8AdQByAGMAZQBEAGEAdABhAC4AQwByAG8AcABGAHIAYQBjAHQAaQBvAG4AUgBlAG0AbwB2AGUAZABfAFQAaQB0AGwAZQAiACwAIgBBAGcAcgBlAHMAaQBkAHUAZQBfAFMAbwB1AHIAYwBlAEQAYQB0AGEALgBDAHIAbwBwAEYAcgBhAGMAdABpAG8AbgBSAGUAbQBvAHYAZQBkAF8ARABlAHMAYwByAGkAcAB0AGkAbwBuACIALAAiAEEAZwByAGUAcwBpAGQAdQBlAF8AUwBvAHUAcgBjAGUARABhAHQAYQAuAEMAcgBvAHAARgByAGEAYwB0AGkAbwBuAFIAZQBtAG8AdgBlAGQAXwBTAG8AdQByAGMAZQAiACwAIgBBAGcAcgBlAHMAaQBkAHUAZQBfAFMAbwB1AHIAYwBlAEQAYQB0AGEALgBDAHIAbwBwAEYAcgBhAGMAdABpAG8AbgBSAGUAbQBvAHYAZQBkAF8ARABhAHQAYQAiACwAIgBBAGcAcgBlAHMAaQBkAHUAZQBfAFMAbwB1AHIAYwBlAEQAYQB0AGEALgBDAHIAbwBwAEYAcgBhAGMAdABpAG8AbgBSAGUAbQBvAHYAZQBkAF8AQwB1AHMAdABvAG0AaQBzAGUAZABEAGEAdABhACIALAAiAEEAZwByAGUAcwBpAGQAdQBlAF8AUwBvAHUAcgBjAGUARABhAHQAYQAuAEMAcgBvAHAARgByAGEAYwB0AGkAbwBuAFIAZQBtAG8AdgBlAGQAXwBWAGEAcgBpAGEAdABpAG8AbgAiACwAIgBBAGcAcgBlAHMAaQBkAHUAZQBfAFMAbwB1AHIAYwBlAEQAYQB0AGEALgBQAGEAcwB0AHUAcgBlAEEAdAB0AHIAaQBiAHUAdABlAHMAXwBUAGkAdABsAGUAIgAsACIAQQBnAHIAZQBzAGkAZAB1AGUAXwBTAG8AdQByAGMAZQBEAGEAdABhAC4AUABhAHMAdAB1AHIAZQBBAHQAdAByAGkAYgB1AHQAZQBzAF8ARABlAHMAYwByAGkAcAB0AGkAbwBuACIALAAiAEEAZwByAGUAcwBpAGQAdQBlAF8AUwBvAHUAcgBjAGUARABhAHQAYQAuAFAAYQBzAHQAdQByAGUAQQB0AHQAcgBpAGIAdQB0AGUAcwBfAFMAbwB1AHIAYwBlACIALAAiAEEAZwByAGUAcwBpAGQAdQBlAF8AUwBvAHUAcgBjAGUARABhAHQAYQAuAFAAYQBzAHQAdQByAGUAQQB0AHQAcgBpAGIAdQB0AGUAcwBfAEQAYQB0AGEAIgAsACIAQQBnAHIAZQBzAGkAZAB1AGUAXwBTAG8AdQByAGMAZQBEAGEAdABhAC4AQgB1AHIAbgBpAG4AZwBPAGYAQQBnAHIAaQBjAHUAbAB0AHUAcgBhAGwAUgBlAHMAaQBkAHUAZQBzAEUARgBzAF8AVABpAHQAbABlACIALAAiAEEAZwByAGUAcwBpAGQAdQBlAF8AUwBvAHUAcgBjAGUARABhAHQAYQAuAEIAdQByAG4AaQBuAGcATwBmAEEAZwByAGkAYwB1AGwAdAB1AHIAYQBsAFIAZQBzAGkAZAB1AGUAcwBFAEYAcwBfAEQAZQBzAGMAcgBpAHAAdABpAG8AbgAiACwAIgBBAGcAcgBlAHMAaQBkAHUAZQBfAFMAbwB1AHIAYwBlAEQAYQB0AGEALgBCAHUAcgBuAGkAbgBnAE8AZgBBAGcAcgBpAGMAdQBsAHQAdQByAGEAbABSAGUAcwBpAGQAdQBlAHMARQBGAHMAXwBTAG8AdQByAGMAZQAiACwAIgBBAGcAcgBlAHMAaQBkAHUAZQBfAFMAbwB1AHIAYwBlAEQAYQB0AGEALgBCAHUAcgBuAGkAbgBnAE8AZgBBAGcAcgBpAGMAdQBsAHQAdQByAGEAbABSAGUAcwBpAGQAdQBlAHMARQBGAHMAXwBEAGEAdABhACIALAAiAEEAZwByAGUAcwBpAGQAdQBlAF8AUwBvAHUAcgBjAGUARABhAHQAYQAuAE4AMgBPAEUARgBPAHIAZwBhAG4AaQBjAEYAZQByAHQAaQBsAGkAcwBlAHIAXwBUAGkAdABsAGUAIgAsACIAQQBnAHIAZQBzAGkAZAB1AGUAXwBTAG8AdQByAGMAZQBEAGEAdABhAC4ATgAyAE8ARQBGAE8AcgBnAGEAbgBpAGMARgBlAHIAdABpAGwAaQBzAGUAcgBfAFUAbgBpAHQAIgAsACIAQQBnAHIAZQBzAGkAZAB1AGUAXwBTAG8AdQByAGMAZQBEAGEAdABhAC4ATgAyAE8ARQBGAE8AcgBnAGEAbgBpAGMARgBlAHIAdABpAGwAaQBzAGUAcgBfAFMAbwB1AHIAYwBlACIALAAiAEEAZwByAGUAcwBpAGQAdQBlAF8AUwBvAHUAcgBjAGUARABhAHQAYQAuAE4AMgBPAEUARgBPAHIAZwBhAG4AaQBjAEYAZQByAHQAaQBsAGkAcwBlAHIAXwBOAEkAUgBSAGUAZgBlAHIAZQBuAGMAZQAiACwAIgBBAGcAcgBlAHMAaQBkAHUAZQBfAFMAbwB1AHIAYwBlAEQAYQB0AGEALgBOADIATwBFAEYATwByAGcAYQBuAGkAYwBGAGUAcgB0AGkAbABpAHMAZQByAF8ARABhAHQAYQAiACwAIgBBAGcAUgBlAHMAaQBkAHUAZQBfAEUAcQB1AGEAdABpAG8AbgBzAF8AQwByAG8AcABSAGUAcwBpAGQAdQBlAC4AVgBFAEUAUgBHAF8ANgBfADEAXwAxAF8AMQBfAF8AMQBfAF8ATgBpAHQAcgBvAHUAcwBPAHgAaQBkAGUARQBtAGkAcwBzAGkAbwBuAHMARgByAG8AbQBDAHIAbwBwAFIAZQBzAGkAZAB1AGUAcwAiACwAIgBBAGcAUgBlAHMAaQBkAHUAZQBfAEUAcQB1AGEAdABpAG8AbgBzAF8AQwByAG8AcABSAGUAcwBpAGQAdQBlAC4AVgBFAEUAUgBHAF8ANgBfADEAXwAxAF8AMQBfAF8AMQBfAF8ATgBpAHQAcgBvAHUAcwBPAHgAaQBkAGUARQBtAGkAcwBzAGkAbwBuAHMARgByAG8AbQBDAHIAbwBwAFIAZQBzAGkAZAB1AGUAcwBfAEYAdQBuAGMAdABpAG8AbgBOAGEAbQBlACIALAAiAEEAZwBSAGUAcwBpAGQAdQBlAF8ARQBxAHUAYQB0AGkAbwBuAHMAXwBDAHIAbwBwAFIAZQBzAGkAZAB1AGUALgBWAEUARQBSAEcAXwA2AF8AMQBfADEAXwAxAF8AXwAxAF8AXwBOAGkAdAByAG8AdQBzAE8AeABpAGQAZQBFAG0AaQBzAHMAaQBvAG4AcwBGAHIAbwBtAEMAcgBvAHAAUgBlAHMAaQBkAHUAZQBzAF8AVABpAHQAbABlACIALAAiAEEAZwBSAGUAcwBpAGQAdQBlAF8ARQBxAHUAYQB0AGkAbwBuAHMAXwBDAHIAbwBwAFIAZQBzAGkAZAB1AGUALgBWAEUARQBSAEcAXwA2AF8AMQBfADEAXwAxAF8AXwAxAF8AXwBOAGkAdAByAG8AdQBzAE8AeABpAGQAZQBFAG0AaQBzAHMAaQBvAG4AcwBGAHIAbwBtAEMAcgBvAHAAUgBlAHMAaQBkAHUAZQBzAF8AVgBhAHIAaQBhAGIAbABlACIALAAiAEEAZwBSAGUAcwBpAGQAdQBlAF8ARQBxAHUAYQB0AGkAbwBuAHMAXwBDAHIAbwBwAFIAZQBzAGkAZAB1AGUALgBWAEUARQBSAEcAXwA2AF8AMQBfADEAXwAxAF8AXwAxAF8AXwBOAGkAdAByAG8AdQBzAE8AeABpAGQAZQBFAG0AaQBzAHMAaQBvAG4AcwBGAHIAbwBtAEMAcgBvAHAAUgBlAHMAaQBkAHUAZQBzAF8AVQBuAGkAdAAiACwAIgBBAGcAUgBlAHMAaQBkAHUAZQBfAEUAcQB1AGEAdABpAG8AbgBzAF8AQwByAG8AcABSAGUAcwBpAGQAdQBlAC4AVgBFAEUAUgBHAF8ANgBfADEAXwAxAF8AMQBfAF8AMQBfAF8ATgBpAHQAcgBvAHUAcwBPAHgAaQBkAGUARQBtAGkAcwBzAGkAbwBuAHMARgByAG8AbQBDAHIAbwBwAFIAZQBzAGkAZAB1AGUAcwBfAFMAbwB1AHIAYwBlACIALAAiAEEAZwBSAGUAcwBpAGQAdQBlAF8ARQBxAHUAYQB0AGkAbwBuAHMAXwBDAHIAbwBwAFIAZQBzAGkAZAB1AGUALgBWAEUARQBSAEcAXwA2AF8AMQBfADEAXwAxAF8AXwAxAF8AXwBOAGkAdAByAG8AdQBzAE8AeABpAGQAZQBFAG0AaQBzAHMAaQBvAG4AcwBGAHIAbwBtAEMAcgBvAHAAUgBlAHMAaQBkAHUAZQBzAF8ATgBJAFIAUgBlAGYAZQByAGUAbgBjAGUAIgAsACIAQQBnAFIAZQBzAGkAZAB1AGUAXwBFAHEAdQBhAHQAaQBvAG4AcwBfAEMAcgBvAHAAUgBlAHMAaQBkAHUAZQAuAFYARQBFAFIARwBfADYAXwAxAF8AMQBfADEAXwBfADEAXwBfAE4AaQB0AHIAbwB1AHMATwB4AGkAZABlAEUAbQBpAHMAcwBpAG8AbgBzAEYAcgBvAG0AQwByAG8AcABSAGUAcwBpAGQAdQBlAHMAXwBMAGEAdABlAHgARQBxAHUAYQB0AGkAbwBuACIALAAiAEEAZwBSAGUAcwBpAGQAdQBlAF8ARQBxAHUAYQB0AGkAbwBuAHMAXwBDAHIAbwBwAFIAZQBzAGkAZAB1AGUALgBWAEUARQBSAEcAXwA2AF8AMQBfADEAXwAxAF8AXwAxAF8AXwBOAGkAdAByAG8AdQBzAE8AeABpAGQAZQBFAG0AaQBzAHMAaQBvAG4AcwBGAHIAbwBtAEMAcgBvAHAAUgBlAHMAaQBkAHUAZQBzAF8AQQByAGcAdQBtAGUAbgB0AHMAIgAsACIAQQBnAFIAZQBzAGkAZAB1AGUAXwBFAHEAdQBhAHQAaQBvAG4AcwBfAEMAcgBvAHAAUgBlAHMAaQBkAHUAZQAuAFYARQBFAFIARwBfADYAXwAxAF8AMQBfADEAXwBfADIAXwBfAE0AYQBzAHMATwBmAE4AaQB0AHIAbwBnAGUAbgBJAG4AQwByAG8AcABSAGUAcwBpAGQAdQBlAHMAIgAsACIAQQBnAFIAZQBzAGkAZAB1AGUAXwBFAHEAdQBhAHQAaQBvAG4AcwBfAEMAcgBvAHAAUgBlAHMAaQBkAHUAZQAuAFYARQBFAFIARwBfADYAXwAxAF8AMQBfADEAXwBfADIAXwBfAE0AYQBzAHMATwBmAE4AaQB0AHIAbwBnAGUAbgBJAG4AQwByAG8AcABSAGUAcwBpAGQAdQBlAHMAXwBUAGkAdABsAGUAIgAsACIAQQBnAFIAZQBzAGkAZAB1AGUAXwBFAHEAdQBhAHQAaQBvAG4AcwBfAEMAcgBvAHAAUgBlAHMAaQBkAHUAZQAuAFYARQBFAFIARwBfADYAXwAxAF8AMQBfADEAXwBfADIAXwBfAE0AYQBzAHMATwBmAE4AaQB0AHIAbwBnAGUAbgBJAG4AQwByAG8AcABSAGUAcwBpAGQAdQBlAHMAXwBWAGEAcgBpAGEAYgBsAGUAIgAsACIAQQBnAFIAZQBzAGkAZAB1AGUAXwBFAHEAdQBhAHQAaQBvAG4AcwBfAEMAcgBvAHAAUgBlAHMAaQBkAHUAZQAuAFYARQBFAFIARwBfADYAXwAxAF8AMQBfADEAXwBfADIAXwBfAE0AYQBzAHMATwBmAE4AaQB0AHIAbwBnAGUAbgBJAG4AQwByAG8AcABSAGUAcwBpAGQAdQBlAHMAXwBVAG4AaQB0ACIALAAiAEEAZwBSAGUAcwBpAGQAdQBlAF8ARQBxAHUAYQB0AGkAbwBuAHMAXwBDAHIAbwBwAFIAZQBzAGkAZAB1AGUALgBWAEUARQBSAEcAXwA2AF8AMQBfADEAXwAxAF8AXwAyAF8AXwBNAGEAcwBzAE8AZgBOAGkAdAByAG8AZwBlAG4ASQBuAEMAcgBvAHAAUgBlAHMAaQBkAHUAZQBzAF8AUwBvAHUAcgBjAGUAIgAsACIAQQBnAFIAZQBzAGkAZAB1AGUAXwBFAHEAdQBhAHQAaQBvAG4AcwBfAEMAcgBvAHAAUgBlAHMAaQBkAHUAZQAuAFYARQBFAFIARwBfADYAXwAxAF8AMQBfADEAXwBfADIAXwBfAE0AYQBzAHMATwBmAE4AaQB0AHIAbwBnAGUAbgBJAG4AQwByAG8AcABSAGUAcwBpAGQAdQBlAHMAXwBOAEkAUgBSAGUAZgBlAHIAZQBuAGMAZQAiACwAIgBBAGcAUgBlAHMAaQBkAHUAZQBfAEUAcQB1AGEAdABpAG8AbgBzAF8AQwByAG8AcABSAGUAcwBpAGQAdQBlAC4AVgBFAEUAUgBHAF8ANgBfADEAXwAxAF8AMQBfAF8AMgBfAF8ATQBhAHMAcwBPAGYATgBpAHQAcgBvAGcAZQBuAEkAbgBDAHIAbwBwAFIAZQBzAGkAZAB1AGUAcwBfAEwAYQB0AGUAeABFAHEAdQBhAHQAaQBvAG4AIgAsACIAQQBnAFIAZQBzAGkAZAB1AGUAXwBFAHEAdQBhAHQAaQBvAG4AcwBfAEMAcgBvAHAAUgBlAHMAaQBkAHUAZQAuAFYARQBFAFIARwBfADYAXwAxAF8AMQBfADEAXwBfADIAXwBfAE0AYQBzAHMATwBmAE4AaQB0AHIAbwBnAGUAbgBJAG4AQwByAG8AcABSAGUAcwBpAGQAdQBlAHMAXwBBAHIAZwB1AG0AZQBuAHQAcwAiACwAIgBBAGcAUgBlAHMAaQBkAHUAZQBfAEUAcQB1AGEAdABpAG8AbgBzAF8AQwByAG8AcABSAGUAcwBpAGQAdQBlAC4AVgBFAEUAUgBHAF8ANgBfADEAXwAxAF8AMQBfAF8AMgBfAF8ATQBhAHMAcwBPAGYATgBpAHQAcgBvAGcAZQBuAEkAbgBDAHIAbwBwAFIAZQBzAGkAZAB1AGUAcwBfAEEAcgBnAHUAbQBlAG4AdABzAF8ATQBlAHQAaABvAGQAMgAiACwAIgBBAGcAUgBlAHMAaQBkAHUAZQBfAEUAcQB1AGEAdABpAG8AbgBzAF8AQwByAG8AcABSAGUAcwBpAGQAdQBlAC4AVgBFAEUAUgBHAF8ANgBfADEAXwAxAF8AMgBfAF8AMQBfAF8ARgByAGEAYwB0AGkAbwBuAE8AZgBDAHIAbwBwAFIAZQBzAGkAZAB1AGUAUgBlAG0AbwB2AGUAZABCAGEAbABlAGQAIgAsACIAQQBnAFIAZQBzAGkAZAB1AGUAXwBFAHEAdQBhAHQAaQBvAG4AcwBfAEMAcgBvAHAAUgBlAHMAaQBkAHUAZQAuAFYARQBFAFIARwBfADYAXwAxAF8AMQBfADIAXwBfADEAXwBfAEYAcgBhAGMAdABpAG8AbgBPAGYAQwByAG8AcABSAGUAcwBpAGQAdQBlAFIAZQBtAG8AdgBlAGQAQgBhAGwAZQBkAF8AVABpAHQAbABlACIALAAiAEEAZwBSAGUAcwBpAGQAdQBlAF8ARQBxAHUAYQB0AGkAbwBuAHMAXwBDAHIAbwBwAFIAZQBzAGkAZAB1AGUALgBWAEUARQBSAEcAXwA2AF8AMQBfADEAXwAyAF8AXwAxAF8AXwBGAHIAYQBjAHQAaQBvAG4ATwBmAEMAcgBvAHAAUgBlAHMAaQBkAHUAZQBSAGUAbQBvAHYAZQBkAEIAYQBsAGUAZABfAFYAYQByAGkAYQBiAGwAZQAiACwAIgBBAGcAUgBlAHMAaQBkAHUAZQBfAEUAcQB1AGEAdABpAG8AbgBzAF8AQwByAG8AcABSAGUAcwBpAGQAdQBlAC4AVgBFAEUAUgBHAF8ANgBfADEAXwAxAF8AMgBfAF8AMQBfAF8ARgByAGEAYwB0AGkAbwBuAE8AZgBDAHIAbwBwAFIAZQBzAGkAZAB1AGUAUgBlAG0AbwB2AGUAZABCAGEAbABlAGQAXwBVAG4AaQB0ACIALAAiAEEAZwBSAGUAcwBpAGQAdQBlAF8ARQBxAHUAYQB0AGkAbwBuAHMAXwBDAHIAbwBwAFIAZQBzAGkAZAB1AGUALgBWAEUARQBSAEcAXwA2AF8AMQBfADEAXwAyAF8AXwAxAF8AXwBGAHIAYQBjAHQAaQBvAG4ATwBmAEMAcgBvAHAAUgBlAHMAaQBkAHUAZQBSAGUAbQBvAHYAZQBkAEIAYQBsAGUAZABfAFMAbwB1AHIAYwBlACIALAAiAEEAZwBSAGUAcwBpAGQAdQBlAF8ARQBxAHUAYQB0AGkAbwBuAHMAXwBDAHIAbwBwAFIAZQBzAGkAZAB1AGUALgBWAEUARQBSAEcAXwA2AF8AMQBfADEAXwAyAF8AXwAxAF8AXwBGAHIAYQBjAHQAaQBvAG4ATwBmAEMAcgBvAHAAUgBlAHMAaQBkAHUAZQBSAGUAbQBvAHYAZQBkAEIAYQBsAGUAZABfAE4ASQBSAFIAZQBmAGUAcgBlAG4AYwBlACIALAAiAEEAZwBSAGUAcwBpAGQAdQBlAF8ARQBxAHUAYQB0AGkAbwBuAHMAXwBDAHIAbwBwAFIAZQBzAGkAZAB1AGUALgBWAEUARQBSAEcAXwA2AF8AMQBfADEAXwAyAF8AXwAxAF8AXwBGAHIAYQBjAHQAaQBvAG4ATwBmAEMAcgBvAHAAUgBlAHMAaQBkAHUAZQBSAGUAbQBvAHYAZQBkAEIAYQBsAGUAZABfAEwAYQB0AGUAeABFAHEAdQBhAHQAaQBvAG4AIgAsACIAQQBnAFIAZQBzAGkAZAB1AGUAXwBFAHEAdQBhAHQAaQBvAG4AcwBfAEMAcgBvAHAAUgBlAHMAaQBkAHUAZQAuAFYARQBFAFIARwBfADYAXwAxAF8AMQBfADIAXwBfADEAXwBfAEYAcgBhAGMAdABpAG8AbgBPAGYAQwByAG8AcABSAGUAcwBpAGQAdQBlAFIAZQBtAG8AdgBlAGQAQgBhAGwAZQBkAF8AQQByAGcAdQBtAGUAbgB0AHMAIgAsACIAQQBnAFIAZQBzAGkAZAB1AGUAXwBFAHEAdQBhAHQAaQBvAG4AcwBfAEMAcgBvAHAAUgBlAHMAaQBkAHUAZQAuAFYARQBFAFIARwBfADYAXwAxAF8AMQBfADIAXwBfADEAXwBfAEYAcgBhAGMAdABpAG8AbgBPAGYAQwByAG8AcABSAGUAcwBpAGQAdQBlAFIAZQBtAG8AdgBlAGQAQgBhAGwAZQBkAF8AVgBhAHIAaQBhAHQAaQBvAG4AIgAsACIAQQBnAFIAZQBzAGkAZAB1AGUAXwBFAHEAdQBhAHQAaQBvAG4AcwBfAEMAcgBvAHAAUgBlAHMAaQBkAHUAZQAuAFYARQBFAFIARwBfADYAXwAxAF8AMQBfADIAXwBfADEAYQBfAF8ARgByAGEAYwB0AGkAbwBuAE8AZgBDAHIAbwBwAFIAZQBzAGkAZAB1AGUAUgBlAG0AbwB2AGUAZAAiACwAIgBBAGcAUgBlAHMAaQBkAHUAZQBfAEUAcQB1AGEAdABpAG8AbgBzAF8AQwByAG8AcABSAGUAcwBpAGQAdQBlAC4AVgBFAEUAUgBHAF8ANgBfADEAXwAxAF8AMgBfAF8AMQBhAF8AXwBGAHIAYQBjAHQAaQBvAG4ATwBmAEMAcgBvAHAAUgBlAHMAaQBkAHUAZQBSAGUAbQBvAHYAZQBkAF8AVABpAHQAbABlACIALAAiAEEAZwBSAGUAcwBpAGQAdQBlAF8ARQBxAHUAYQB0AGkAbwBuAHMAXwBDAHIAbwBwAFIAZQBzAGkAZAB1AGUALgBWAEUARQBSAEcAXwA2AF8AMQBfADEAXwAyAF8AXwAxAGEAXwBfAEYAcgBhAGMAdABpAG8AbgBPAGYAQwByAG8AcABSAGUAcwBpAGQAdQBlAFIAZQBtAG8AdgBlAGQAXwBWAGEAcgBpAGEAYgBsAGUAIgAsACIAQQBnAFIAZQBzAGkAZAB1AGUAXwBFAHEAdQBhAHQAaQBvAG4AcwBfAEMAcgBvAHAAUgBlAHMAaQBkAHUAZQAuAFYARQBFAFIARwBfADYAXwAxAF8AMQBfADIAXwBfADEAYQBfAF8ARgByAGEAYwB0AGkAbwBuAE8AZgBDAHIAbwBwAFIAZQBzAGkAZAB1AGUAUgBlAG0AbwB2AGUAZABfAFUAbgBpAHQAIgAsACIAQQBnAFIAZQBzAGkAZAB1AGUAXwBFAHEAdQBhAHQAaQBvAG4AcwBfAEMAcgBvAHAAUgBlAHMAaQBkAHUAZQAuAFYARQBFAFIARwBfADYAXwAxAF8AMQBfADIAXwBfADEAYQBfAF8ARgByAGEAYwB0AGkAbwBuAE8AZgBDAHIAbwBwAFIAZQBzAGkAZAB1AGUAUgBlAG0AbwB2AGUAZABfAFMAbwB1AHIAYwBlACIALAAiAEEAZwBSAGUAcwBpAGQAdQBlAF8ARQBxAHUAYQB0AGkAbwBuAHMAXwBDAHIAbwBwAFIAZQBzAGkAZAB1AGUALgBWAEUARQBSAEcAXwA2AF8AMQBfADEAXwAyAF8AXwAxAGEAXwBfAEYAcgBhAGMAdABpAG8AbgBPAGYAQwByAG8AcABSAGUAcwBpAGQAdQBlAFIAZQBtAG8AdgBlAGQAXwBOAEkAUgBSAGUAZgBlAHIAZQBuAGMAZQAiACwAIgBBAGcAUgBlAHMAaQBkAHUAZQBfAEUAcQB1AGEAdABpAG8AbgBzAF8AQwByAG8AcABSAGUAcwBpAGQAdQBlAC4AVgBFAEUAUgBHAF8ANgBfADEAXwAxAF8AMgBfAF8AMQBhAF8AXwBGAHIAYQBjAHQAaQBvAG4ATwBmAEMAcgBvAHAAUgBlAHMAaQBkAHUAZQBSAGUAbQBvAHYAZQBkAF8ATABhAHQAZQB4AEUAcQB1AGEAdABpAG8AbgAiACwAIgBBAGcAUgBlAHMAaQBkAHUAZQBfAEUAcQB1AGEAdABpAG8AbgBzAF8AQwByAG8AcABSAGUAcwBpAGQAdQBlAC4AVgBFAEUAUgBHAF8ANgBfADEAXwAxAF8AMgBfAF8AMQBhAF8AXwBGAHIAYQBjAHQAaQBvAG4ATwBmAEMAcgBvAHAAUgBlAHMAaQBkAHUAZQBSAGUAbQBvAHYAZQBkAF8AQQByAGcAdQBtAGUAbgB0AHMAIgAsACIAQQBnAFIAZQBzAGkAZAB1AGUAXwBFAHEAdQBhAHQAaQBvAG4AcwBfAEMAcgBvAHAAUgBlAHMAaQBkAHUAZQAuAFYARQBFAFIARwBfADYAXwAxAF8AMQBfADIAXwBfADEAYQBfAF8ARgByAGEAYwB0AGkAbwBuAE8AZgBDAHIAbwBwAFIAZQBzAGkAZAB1AGUAUgBlAG0AbwB2AGUAZABfAFYAYQByAGkAYQB0AGkAbwBuACIALAAiAEEAZwBSAGUAcwBpAGQAdQBlAF8ARQBxAHUAYQB0AGkAbwBuAHMAXwBGAGkAZQBsAGQAQgB1AHIAbgBpAG4AZwAuAFYARQBFAFIARwBfADYAXwA0AF8AMQBfADEAXwBfADEAXwBfAE0AZQB0AGgAYQBuAGUARQBtAGkAcwBzAGkAbwBuAHMARgByAG8AbQBCAHUAcgBuAGkAbgBnAE8AZgBDAHIAbwBwAFIAZQBzAGkAZAB1AGUAcwAiACwAIgBBAGcAUgBlAHMAaQBkAHUAZQBfAEUAcQB1AGEAdABpAG8AbgBzAF8ARgBpAGUAbABkAEIAdQByAG4AaQBuAGcALgBWAEUARQBSAEcAXwA2AF8ANABfADEAXwAxAF8AXwAxAF8AXwBNAGUAdABoAGEAbgBlAEUAbQBpAHMAcwBpAG8AbgBzAEYAcgBvAG0AQgB1AHIAbgBpAG4AZwBPAGYAQwByAG8AcABSAGUAcwBpAGQAdQBlAHMAXwBGAHUAbgBjAHQAaQBvAG4ATgBhAG0AZQAiACwAIgBBAGcAUgBlAHMAaQBkAHUAZQBfAEUAcQB1AGEAdABpAG8AbgBzAF8ARgBpAGUAbABkAEIAdQByAG4AaQBuAGcALgBWAEUARQBSAEcAXwA2AF8ANABfADEAXwAxAF8AXwAxAF8AXwBNAGUAdABoAGEAbgBlAEUAbQBpAHMAcwBpAG8AbgBzAEYAcgBvAG0AQgB1AHIAbgBpAG4AZwBPAGYAQwByAG8AcABSAGUAcwBpAGQAdQBlAHMAXwBUAGkAdABsAGUAIgAsACIAQQBnAFIAZQBzAGkAZAB1AGUAXwBFAHEAdQBhAHQAaQBvAG4AcwBfAEYAaQBlAGwAZABCAHUAcgBuAGkAbgBnAC4AVgBFAEUAUgBHAF8ANgBfADQAXwAxAF8AMQBfAF8AMQBfAF8ATQBlAHQAaABhAG4AZQBFAG0AaQBzAHMAaQBvAG4AcwBGAHIAbwBtAEIAdQByAG4AaQBuAGcATwBmAEMAcgBvAHAAUgBlAHMAaQBkAHUAZQBzAF8AVgBhAHIAaQBhAGIAbABlACIALAAiAEEAZwBSAGUAcwBpAGQAdQBlAF8ARQBxAHUAYQB0AGkAbwBuAHMAXwBGAGkAZQBsAGQAQgB1AHIAbgBpAG4AZwAuAFYARQBFAFIARwBfADYAXwA0AF8AMQBfADEAXwBfADEAXwBfAE0AZQB0AGgAYQBuAGUARQBtAGkAcwBzAGkAbwBuAHMARgByAG8AbQBCAHUAcgBuAGkAbgBnAE8AZgBDAHIAbwBwAFIAZQBzAGkAZAB1AGUAcwBfAFUAbgBpAHQAIgAsACIAQQBnAFIAZQBzAGkAZAB1AGUAXwBFAHEAdQBhAHQAaQBvAG4AcwBfAEYAaQBlAGwAZABCAHUAcgBuAGkAbgBnAC4AVgBFAEUAUgBHAF8ANgBfADQAXwAxAF8AMQBfAF8AMQBfAF8ATQBlAHQAaABhAG4AZQBFAG0AaQBzAHMAaQBvAG4AcwBGAHIAbwBtAEIAdQByAG4AaQBuAGcATwBmAEMAcgBvAHAAUgBlAHMAaQBkAHUAZQBzAF8AUwBvAHUAcgBjAGUAIgAsACIAQQBnAFIAZQBzAGkAZAB1AGUAXwBFAHEAdQBhAHQAaQBvAG4AcwBfAEYAaQBlAGwAZABCAHUAcgBuAGkAbgBnAC4AVgBFAEUAUgBHAF8ANgBfADQAXwAxAF8AMQBfAF8AMQBfAF8ATQBlAHQAaABhAG4AZQBFAG0AaQBzAHMAaQBvAG4AcwBGAHIAbwBtAEIAdQByAG4AaQBuAGcATwBmAEMAcgBvAHAAUgBlAHMAaQBkAHUAZQBzAF8ATgBJAFIAUgBlAGYAZQByAGUAbgBjAGUAIgAsACIAQQBnAFIAZQBzAGkAZAB1AGUAXwBFAHEAdQBhAHQAaQBvAG4AcwBfAEYAaQBlAGwAZABCAHUAcgBuAGkAbgBnAC4AVgBFAEUAUgBHAF8ANgBfADQAXwAxAF8AMQBfAF8AMQBfAF8ATQBlAHQAaABhAG4AZQBFAG0AaQBzAHMAaQBvAG4AcwBGAHIAbwBtAEIAdQByAG4AaQBuAGcATwBmAEMAcgBvAHAAUgBlAHMAaQBkAHUAZQBzAF8ATABhAHQAZQB4AEUAcQB1AGEAdABpAG8AbgAiACwAIgBBAGcAUgBlAHMAaQBkAHUAZQBfAEUAcQB1AGEAdABpAG8AbgBzAF8ARgBpAGUAbABkAEIAdQByAG4AaQBuAGcALgBWAEUARQBSAEcAXwA2AF8ANABfADEAXwAxAF8AXwAxAF8AXwBNAGUAdABoAGEAbgBlAEUAbQBpAHMAcwBpAG8AbgBzAEYAcgBvAG0AQgB1AHIAbgBpAG4AZwBPAGYAQwByAG8AcABSAGUAcwBpAGQAdQBlAHMAXwBBAHIAZwB1AG0AZQBuAHQAcwAiACwAIgBBAGcAUgBlAHMAaQBkAHUAZQBfAEUAcQB1AGEAdABpAG8AbgBzAF8ARgBpAGUAbABkAEIAdQByAG4AaQBuAGcALgBWAEUARQBSAEcAXwA2AF8ANABfADEAXwAxAF8AXwAyAF8AXwBOAGkAdAByAG8AdQBzAE8AeABpAGQAZQBFAG0AaQBzAHMAaQBvAG4AcwBGAHIAbwBtAEIAdQByAG4AaQBuAGcATwBmAEMAcgBvAHAAUgBlAHMAaQBkAHUAZQBzACIALAAiAEEAZwBSAGUAcwBpAGQAdQBlAF8ARQBxAHUAYQB0AGkAbwBuAHMAXwBGAGkAZQBsAGQAQgB1AHIAbgBpAG4AZwAuAFYARQBFAFIARwBfADYAXwA0AF8AMQBfADEAXwBfADIAXwBfAE4AaQB0AHIAbwB1AHMATwB4AGkAZABlAEUAbQBpAHMAcwBpAG8AbgBzAEYAcgBvAG0AQgB1AHIAbgBpAG4AZwBPAGYAQwByAG8AcABSAGUAcwBpAGQAdQBlAHMAXwBGAHUAbgBjAHQAaQBvAG4ATgBhAG0AZQAiACwAIgBBAGcAUgBlAHMAaQBkAHUAZQBfAEUAcQB1AGEAdABpAG8AbgBzAF8ARgBpAGUAbABkAEIAdQByAG4AaQBuAGcALgBWAEUARQBSAEcAXwA2AF8ANABfADEAXwAxAF8AXwAyAF8AXwBOAGkAdAByAG8AdQBzAE8AeABpAGQAZQBFAG0AaQBzAHMAaQBvAG4AcwBGAHIAbwBtAEIAdQByAG4AaQBuAGcATwBmAEMAcgBvAHAAUgBlAHMAaQBkAHUAZQBzAF8AVABpAHQAbABlACIALAAiAEEAZwBSAGUAcwBpAGQAdQBlAF8ARQBxAHUAYQB0AGkAbwBuAHMAXwBGAGkAZQBsAGQAQgB1AHIAbgBpAG4AZwAuAFYARQBFAFIARwBfADYAXwA0AF8AMQBfADEAXwBfADIAXwBfAE4AaQB0AHIAbwB1AHMATwB4AGkAZABlAEUAbQBpAHMAcwBpAG8AbgBzAEYAcgBvAG0AQgB1AHIAbgBpAG4AZwBPAGYAQwByAG8AcABSAGUAcwBpAGQAdQBlAHMAXwBWAGEAcgBpAGEAYgBsAGUAIgAsACIAQQBnAFIAZQBzAGkAZAB1AGUAXwBFAHEAdQBhAHQAaQBvAG4AcwBfAEYAaQBlAGwAZABCAHUAcgBuAGkAbgBnAC4AVgBFAEUAUgBHAF8ANgBfADQAXwAxAF8AMQBfAF8AMgBfAF8ATgBpAHQAcgBvAHUAcwBPAHgAaQBkAGUARQBtAGkAcwBzAGkAbwBuAHMARgByAG8AbQBCAHUAcgBuAGkAbgBnAE8AZgBDAHIAbwBwAFIAZQBzAGkAZAB1AGUAcwBfAFUAbgBpAHQAIgAsACIAQQBnAFIAZQBzAGkAZAB1AGUAXwBFAHEAdQBhAHQAaQBvAG4AcwBfAEYAaQBlAGwAZABCAHUAcgBuAGkAbgBnAC4AVgBFAEUAUgBHAF8ANgBfADQAXwAxAF8AMQBfAF8AMgBfAF8ATgBpAHQAcgBvAHUAcwBPAHgAaQBkAGUARQBtAGkAcwBzAGkAbwBuAHMARgByAG8AbQBCAHUAcgBuAGkAbgBnAE8AZgBDAHIAbwBwAFIAZQBzAGkAZAB1AGUAcwBfAFMAbwB1AHIAYwBlACIALAAiAEEAZwBSAGUAcwBpAGQAdQBlAF8ARQBxAHUAYQB0AGkAbwBuAHMAXwBGAGkAZQBsAGQAQgB1AHIAbgBpAG4AZwAuAFYARQBFAFIARwBfADYAXwA0AF8AMQBfADEAXwBfADIAXwBfAE4AaQB0AHIAbwB1AHMATwB4AGkAZABlAEUAbQBpAHMAcwBpAG8AbgBzAEYAcgBvAG0AQgB1AHIAbgBpAG4AZwBPAGYAQwByAG8AcABSAGUAcwBpAGQAdQBlAHMAXwBOAEkAUgBSAGUAZgBlAHIAZQBuAGMAZQAiACwAIgBBAGcAUgBlAHMAaQBkAHUAZQBfAEUAcQB1AGEAdABpAG8AbgBzAF8ARgBpAGUAbABkAEIAdQByAG4AaQBuAGcALgBWAEUARQBSAEcAXwA2AF8ANABfADEAXwAxAF8AXwAyAF8AXwBOAGkAdAByAG8AdQBzAE8AeABpAGQAZQBFAG0AaQBzAHMAaQBvAG4AcwBGAHIAbwBtAEIAdQByAG4AaQBuAGcATwBmAEMAcgBvAHAAUgBlAHMAaQBkAHUAZQBzAF8ATABhAHQAZQB4AEUAcQB1AGEAdABpAG8AbgAiACwAIgBBAGcAUgBlAHMAaQBkAHUAZQBfAEUAcQB1AGEAdABpAG8AbgBzAF8ARgBpAGUAbABkAEIAdQByAG4AaQBuAGcALgBWAEUARQBSAEcAXwA2AF8ANABfADEAXwAxAF8AXwAyAF8AXwBOAGkAdAByAG8AdQBzAE8AeABpAGQAZQBFAG0AaQBzAHMAaQBvAG4AcwBGAHIAbwBtAEIAdQByAG4AaQBuAGcATwBmAEMAcgBvAHAAUgBlAHMAaQBkAHUAZQBzAF8AQQByAGcAdQBtAGUAbgB0AHMAIgAsACIAQQBnAFIAZQBzAGkAZAB1AGUAXwBFAHEAdQBhAHQAaQBvAG4AcwBfAEYAaQBlAGwAZABCAHUAcgBuAGkAbgBnAC4AVgBFAEUAUgBHAF8ANgBfADQAXwAxAF8AMQBfAF8AMwBfAF8ATQBhAHMAcwBPAGYAQwByAG8AcABSAGUAcwBpAGQAdQBlAEIAdQByAG4AdAAiACwAIgBBAGcAUgBlAHMAaQBkAHUAZQBfAEUAcQB1AGEAdABpAG8AbgBzAF8ARgBpAGUAbABkAEIAdQByAG4AaQBuAGcALgBWAEUARQBSAEcAXwA2AF8ANABfADEAXwAxAF8AXwAzAF8AXwBNAGEAcwBzAE8AZgBDAHIAbwBwAFIAZQBzAGkAZAB1AGUAQgB1AHIAbgB0AF8ARgB1AG4AYwB0AGkAbwBuAE4AYQBtAGUAIgAsACIAQQBnAFIAZQBzAGkAZAB1AGUAXwBFAHEAdQBhAHQAaQBvAG4AcwBfAEYAaQBlAGwAZABCAHUAcgBuAGkAbgBnAC4AVgBFAEUAUgBHAF8ANgBfADQAXwAxAF8AMQBfAF8AMwBfAF8ATQBhAHMAcwBPAGYAQwByAG8AcABSAGUAcwBpAGQAdQBlAEIAdQByAG4AdABfAFQAaQB0AGwAZQAiACwAIgBBAGcAUgBlAHMAaQBkAHUAZQBfAEUAcQB1AGEAdABpAG8AbgBzAF8ARgBpAGUAbABkAEIAdQByAG4AaQBuAGcALgBWAEUARQBSAEcAXwA2AF8ANABfADEAXwAxAF8AXwAzAF8AXwBNAGEAcwBzAE8AZgBDAHIAbwBwAFIAZQBzAGkAZAB1AGUAQgB1AHIAbgB0AF8AVgBhAHIAaQBhAGIAbABlACIALAAiAEEAZwBSAGUAcwBpAGQAdQBlAF8ARQBxAHUAYQB0AGkAbwBuAHMAXwBGAGkAZQBsAGQAQgB1AHIAbgBpAG4AZwAuAFYARQBFAFIARwBfADYAXwA0AF8AMQBfADEAXwBfADMAXwBfAE0AYQBzAHMATwBmAEMAcgBvAHAAUgBlAHMAaQBkAHUAZQBCAHUAcgBuAHQAXwBVAG4AaQB0ACIALAAiAEEAZwBSAGUAcwBpAGQAdQBlAF8ARQBxAHUAYQB0AGkAbwBuAHMAXwBGAGkAZQBsAGQAQgB1AHIAbgBpAG4AZwAuAFYARQBFAFIARwBfADYAXwA0AF8AMQBfADEAXwBfADMAXwBfAE0AYQBzAHMATwBmAEMAcgBvAHAAUgBlAHMAaQBkAHUAZQBCAHUAcgBuAHQAXwBTAG8AdQByAGMAZQAiACwAIgBBAGcAUgBlAHMAaQBkAHUAZQBfAEUAcQB1AGEAdABpAG8AbgBzAF8ARgBpAGUAbABkAEIAdQByAG4AaQBuAGcALgBWAEUARQBSAEcAXwA2AF8ANABfADEAXwAxAF8AXwAzAF8AXwBNAGEAcwBzAE8AZgBDAHIAbwBwAFIAZQBzAGkAZAB1AGUAQgB1AHIAbgB0AF8ATgBJAFIAUgBlAGYAZQByAGUAbgBjAGUAIgAsACIAQQBnAFIAZQBzAGkAZAB1AGUAXwBFAHEAdQBhAHQAaQBvAG4AcwBfAEYAaQBlAGwAZABCAHUAcgBuAGkAbgBnAC4AVgBFAEUAUgBHAF8ANgBfADQAXwAxAF8AMQBfAF8AMwBfAF8ATQBhAHMAcwBPAGYAQwByAG8AcABSAGUAcwBpAGQAdQBlAEIAdQByAG4AdABfAEwAYQB0AGUAeABFAHEAdQBhAHQAaQBvAG4AIgAsACIAQQBnAFIAZQBzAGkAZAB1AGUAXwBFAHEAdQBhAHQAaQBvAG4AcwBfAEYAaQBlAGwAZABCAHUAcgBuAGkAbgBnAC4AVgBFAEUAUgBHAF8ANgBfADQAXwAxAF8AMQBfAF8AMwBfAF8ATQBhAHMAcwBPAGYAQwByAG8AcABSAGUAcwBpAGQAdQBlAEIAdQByAG4AdABfAEEAcgBnAHUAbQBlAG4AdABzACIALAAiAEEAZwBSAGUAcwBpAGQAdQBlAF8ARQBxAHUAYQB0AGkAbwBuAHMAXwBMAGUAYQBjAGgAaQBuAGcALgBWAEUARQBSAEcAXwA2AF8AMwBfADEAXwAxAF8AXwAxAF8AXwBMAGUAYQBjAGgAaQBuAGcAQQBuAGQAUgB1AG4AbwBmAGYARQBtAGkAcwBzAGkAbwBuAHMAQwByAG8AcABBAG4AZABQAGEAcwB0AHUAcgBlAFIAZQBzAGkAZAB1AGUAIgAsACIAQQBnAFIAZQBzAGkAZAB1AGUAXwBFAHEAdQBhAHQAaQBvAG4AcwBfAEwAZQBhAGMAaABpAG4AZwAuAFYARQBFAFIARwBfADYAXwAzAF8AMQBfADEAXwBfADEAXwBfAEwAZQBhAGMAaABpAG4AZwBBAG4AZABSAHUAbgBvAGYAZgBFAG0AaQBzAHMAaQBvAG4AcwBDAHIAbwBwAEEAbgBkAFAAYQBzAHQAdQByAGUAUgBlAHMAaQBkAHUAZQBfAFQAaQB0AGwAZQAiACwAIgBBAGcAUgBlAHMAaQBkAHUAZQBfAEUAcQB1AGEAdABpAG8AbgBzAF8ATABlAGEAYwBoAGkAbgBnAC4AVgBFAEUAUgBHAF8ANgBfADMAXwAxAF8AMQBfAF8AMQBfAF8ATABlAGEAYwBoAGkAbgBnAEEAbgBkAFIAdQBuAG8AZgBmAEUAbQBpAHMAcwBpAG8AbgBzAEMAcgBvAHAAQQBuAGQAUABhAHMAdAB1AHIAZQBSAGUAcwBpAGQAdQBlAF8AVgBhAHIAaQBhAGIAbABlACIALAAiAEEAZwBSAGUAcwBpAGQAdQBlAF8ARQBxAHUAYQB0AGkAbwBuAHMAXwBMAGUAYQBjAGgAaQBuAGcALgBWAEUARQBSAEcAXwA2AF8AMwBfADEAXwAxAF8AXwAxAF8AXwBMAGUAYQBjAGgAaQBuAGcAQQBuAGQAUgB1AG4AbwBmAGYARQBtAGkAcwBzAGkAbwBuAHMAQwByAG8AcABBAG4AZABQAGEAcwB0AHUAcgBlAFIAZQBzAGkAZAB1AGUAXwBVAG4AaQB0ACIALAAiAEEAZwBSAGUAcwBpAGQAdQBlAF8ARQBxAHUAYQB0AGkAbwBuAHMAXwBMAGUAYQBjAGgAaQBuAGcALgBWAEUARQBSAEcAXwA2AF8AMwBfADEAXwAxAF8AXwAxAF8AXwBMAGUAYQBjAGgAaQBuAGcAQQBuAGQAUgB1AG4AbwBmAGYARQBtAGkAcwBzAGkAbwBuAHMAQwByAG8AcABBAG4AZABQAGEAcwB0AHUAcgBlAFIAZQBzAGkAZAB1AGUAXwBTAG8AdQByAGMAZQAiACwAIgBBAGcAUgBlAHMAaQBkAHUAZQBfAEUAcQB1AGEAdABpAG8AbgBzAF8ATABlAGEAYwBoAGkAbgBnAC4AVgBFAEUAUgBHAF8ANgBfADMAXwAxAF8AMQBfAF8AMQBfAF8ATABlAGEAYwBoAGkAbgBnAEEAbgBkAFIAdQBuAG8AZgBmAEUAbQBpAHMAcwBpAG8AbgBzAEMAcgBvAHAAQQBuAGQAUABhAHMAdAB1AHIAZQBSAGUAcwBpAGQAdQBlAF8ATgBJAFIAUgBlAGYAZQByAGUAbgBjAGUAIgAsACIAQQBnAFIAZQBzAGkAZAB1AGUAXwBFAHEAdQBhAHQAaQBvAG4AcwBfAEwAZQBhAGMAaABpAG4AZwAuAFYARQBFAFIARwBfADYAXwAzAF8AMQBfADEAXwBfADEAXwBfAEwAZQBhAGMAaABpAG4AZwBBAG4AZABSAHUAbgBvAGYAZgBFAG0AaQBzAHMAaQBvAG4AcwBDAHIAbwBwAEEAbgBkAFAAYQBzAHQAdQByAGUAUgBlAHMAaQBkAHUAZQBfAEwAYQB0AGUAeABFAHEAdQBhAHQAaQBvAG4AIgAsACIAQQBnAFIAZQBzAGkAZAB1AGUAXwBFAHEAdQBhAHQAaQBvAG4AcwBfAEwAZQBhAGMAaABpAG4AZwAuAFYARQBFAFIARwBfADYAXwAzAF8AMQBfADEAXwBfADEAXwBfAEwAZQBhAGMAaABpAG4AZwBBAG4AZABSAHUAbgBvAGYAZgBFAG0AaQBzAHMAaQBvAG4AcwBDAHIAbwBwAEEAbgBkAFAAYQBzAHQAdQByAGUAUgBlAHMAaQBkAHUAZQBfAEEAcgBnAHUAbQBlAG4AdABzACIALAAiAEEAZwBSAGUAcwBpAGQAdQBlAF8ARQBxAHUAYQB0AGkAbwBuAHMAXwBMAGUAYQBjAGgAaQBuAGcALgBWAEUARQBSAEcAXwA2AF8AMwBfADEAXwAxAF8AXwAyAF8AXwBNAGEAcwBzAE8AZgBOAGkAdAByAG8AZwBlAG4ATABvAHMAdABUAGgAcgBvAHUAZwBoAEwAZQBhAGMAaABpAG4AZwBBAG4AZABSAHUAbgBvAGYAZgAiACwAIgBBAGcAUgBlAHMAaQBkAHUAZQBfAEUAcQB1AGEAdABpAG8AbgBzAF8ATABlAGEAYwBoAGkAbgBnAC4AVgBFAEUAUgBHAF8ANgBfADMAXwAxAF8AMQBfAF8AMgBfAF8ATQBhAHMAcwBPAGYATgBpAHQAcgBvAGcAZQBuAEwAbwBzAHQAVABoAHIAbwB1AGcAaABMAGUAYQBjAGgAaQBuAGcAQQBuAGQAUgB1AG4AbwBmAGYAXwBUAGkAdABsAGUAIgAsACIAQQBnAFIAZQBzAGkAZAB1AGUAXwBFAHEAdQBhAHQAaQBvAG4AcwBfAEwAZQBhAGMAaABpAG4AZwAuAFYARQBFAFIARwBfADYAXwAzAF8AMQBfADEAXwBfADIAXwBfAE0AYQBzAHMATwBmAE4AaQB0AHIAbwBnAGUAbgBMAG8AcwB0AFQAaAByAG8AdQBnAGgATABlAGEAYwBoAGkAbgBnAEEAbgBkAFIAdQBuAG8AZgBmAF8AVgBhAHIAaQBhAGIAbABlACIALAAiAEEAZwBSAGUAcwBpAGQAdQBlAF8ARQBxAHUAYQB0AGkAbwBuAHMAXwBMAGUAYQBjAGgAaQBuAGcALgBWAEUARQBSAEcAXwA2AF8AMwBfADEAXwAxAF8AXwAyAF8AXwBNAGEAcwBzAE8AZgBOAGkAdAByAG8AZwBlAG4ATABvAHMAdABUAGgAcgBvAHUAZwBoAEwAZQBhAGMAaABpAG4AZwBBAG4AZABSAHUAbgBvAGYAZgBfAFUAbgBpAHQAIgAsACIAQQBnAFIAZQBzAGkAZAB1AGUAXwBFAHEAdQBhAHQAaQBvAG4AcwBfAEwAZQBhAGMAaABpAG4AZwAuAFYARQBFAFIARwBfADYAXwAzAF8AMQBfADEAXwBfADIAXwBfAE0AYQBzAHMATwBmAE4AaQB0AHIAbwBnAGUAbgBMAG8AcwB0AFQAaAByAG8AdQBnAGgATABlAGEAYwBoAGkAbgBnAEEAbgBkAFIAdQBuAG8AZgBmAF8AUwBvAHUAcgBjAGUAIgAsACIAQQBnAFIAZQBzAGkAZAB1AGUAXwBFAHEAdQBhAHQAaQBvAG4AcwBfAEwAZQBhAGMAaABpAG4AZwAuAFYARQBFAFIARwBfADYAXwAzAF8AMQBfADEAXwBfADIAXwBfAE0AYQBzAHMATwBmAE4AaQB0AHIAbwBnAGUAbgBMAG8AcwB0AFQAaAByAG8AdQBnAGgATABlAGEAYwBoAGkAbgBnAEEAbgBkAFIAdQBuAG8AZgBmAF8ATgBJAFIAUgBlAGYAZQByAGUAbgBjAGUAIgAsACIAQQBnAFIAZQBzAGkAZAB1AGUAXwBFAHEAdQBhAHQAaQBvAG4AcwBfAEwAZQBhAGMAaABpAG4AZwAuAFYARQBFAFIARwBfADYAXwAzAF8AMQBfADEAXwBfADIAXwBfAE0AYQBzAHMATwBmAE4AaQB0AHIAbwBnAGUAbgBMAG8AcwB0AFQAaAByAG8AdQBnAGgATABlAGEAYwBoAGkAbgBnAEEAbgBkAFIAdQBuAG8AZgBmAF8ATABhAHQAZQB4AEUAcQB1AGEAdABpAG8AbgAiACwAIgBBAGcAUgBlAHMAaQBkAHUAZQBfAEUAcQB1AGEAdABpAG8AbgBzAF8ATABlAGEAYwBoAGkAbgBnAC4AVgBFAEUAUgBHAF8ANgBfADMAXwAxAF8AMQBfAF8AMgBfAF8ATQBhAHMAcwBPAGYATgBpAHQAcgBvAGcAZQBuAEwAbwBzAHQAVABoAHIAbwB1AGcAaABMAGUAYQBjAGgAaQBuAGcAQQBuAGQAUgB1AG4AbwBmAGYAXwBBAHIAZwB1AG0AZQBuAHQAcwAiACwAIgBBAGcAUgBlAHMAaQBkAHUAZQBfAEUAcQB1AGEAdABpAG8AbgBzAF8ATABlAGEAYwBoAGkAbgBnAC4AVgBFAEUAUgBHAF8ANgBfADMAXwAxAF8AMQBfAF8AMgBfAF8ATQBhAHMAcwBPAGYATgBpAHQAcgBvAGcAZQBuAEwAbwBzAHQAVABoAHIAbwB1AGcAaABMAGUAYQBjAGgAaQBuAGcAQQBuAGQAUgB1AG4AbwBmAGYAXwBWAGEAcgBpAGEAdABpAG8AbgAiACwAIgBBAGcAUgBlAHMAaQBkAHUAZQBfAEUAcQB1AGEAdABpAG8AbgBzAF8AUABhAHMAdAB1AHIAZQBSAGUAcwBpAGQAdQBlAC4AVgBFAEUAUgBHAF8ANgBfADIAXwAxAF8AMQBfAF8AMQBfAF8ATgBpAHQAcgBvAHUAcwBPAHgAaQBkAGUARQBtAGkAcwBzAGkAbwBuAHMARgByAG8AbQBQAGEAcwB0AHUAcgBlAFIAZQBzAGkAZAB1AGUAcwAiACwAIgBBAGcAUgBlAHMAaQBkAHUAZQBfAEUAcQB1AGEAdABpAG8AbgBzAF8AUABhAHMAdAB1AHIAZQBSAGUAcwBpAGQAdQBlAC4AVgBFAEUAUgBHAF8ANgBfADIAXwAxAF8AMQBfAF8AMQBfAF8ATgBpAHQAcgBvAHUAcwBPAHgAaQBkAGUARQBtAGkAcwBzAGkAbwBuAHMARgByAG8AbQBQAGEAcwB0AHUAcgBlAFIAZQBzAGkAZAB1AGUAcwBfAFQAaQB0AGwAZQAiACwAIgBBAGcAUgBlAHMAaQBkAHUAZQBfAEUAcQB1AGEAdABpAG8AbgBzAF8AUABhAHMAdAB1AHIAZQBSAGUAcwBpAGQAdQBlAC4AVgBFAEUAUgBHAF8ANgBfADIAXwAxAF8AMQBfAF8AMQBfAF8ATgBpAHQAcgBvAHUAcwBPAHgAaQBkAGUARQBtAGkAcwBzAGkAbwBuAHMARgByAG8AbQBQAGEAcwB0AHUAcgBlAFIAZQBzAGkAZAB1AGUAcwBfAFYAYQByAGkAYQBiAGwAZQAiACwAIgBBAGcAUgBlAHMAaQBkAHUAZQBfAEUAcQB1AGEAdABpAG8AbgBzAF8AUABhAHMAdAB1AHIAZQBSAGUAcwBpAGQAdQBlAC4AVgBFAEUAUgBHAF8ANgBfADIAXwAxAF8AMQBfAF8AMQBfAF8ATgBpAHQAcgBvAHUAcwBPAHgAaQBkAGUARQBtAGkAcwBzAGkAbwBuAHMARgByAG8AbQBQAGEAcwB0AHUAcgBlAFIAZQBzAGkAZAB1AGUAcwBfAFUAbgBpAHQAIgAsACIAQQBnAFIAZQBzAGkAZAB1AGUAXwBFAHEAdQBhAHQAaQBvAG4AcwBfAFAAYQBzAHQAdQByAGUAUgBlAHMAaQBkAHUAZQAuAFYARQBFAFIARwBfADYAXwAyAF8AMQBfADEAXwBfADEAXwBfAE4AaQB0AHIAbwB1AHMATwB4AGkAZABlAEUAbQBpAHMAcwBpAG8AbgBzAEYAcgBvAG0AUABhAHMAdAB1AHIAZQBSAGUAcwBpAGQAdQBlAHMAXwBTAG8AdQByAGMAZQAiACwAIgBBAGcAUgBlAHMAaQBkAHUAZQBfAEUAcQB1AGEAdABpAG8AbgBzAF8AUABhAHMAdAB1AHIAZQBSAGUAcwBpAGQAdQBlAC4AVgBFAEUAUgBHAF8ANgBfADIAXwAxAF8AMQBfAF8AMQBfAF8ATgBpAHQAcgBvAHUAcwBPAHgAaQBkAGUARQBtAGkAcwBzAGkAbwBuAHMARgByAG8AbQBQAGEAcwB0AHUAcgBlAFIAZQBzAGkAZAB1AGUAcwBfAE4ASQBSAFIAZQBmAGUAcgBlAG4AYwBlACIALAAiAEEAZwBSAGUAcwBpAGQAdQBlAF8ARQBxAHUAYQB0AGkAbwBuAHMAXwBQAGEAcwB0AHUAcgBlAFIAZQBzAGkAZAB1AGUALgBWAEUARQBSAEcAXwA2AF8AMgBfADEAXwAxAF8AXwAxAF8AXwBOAGkAdAByAG8AdQBzAE8AeABpAGQAZQBFAG0AaQBzAHMAaQBvAG4AcwBGAHIAbwBtAFAAYQBzAHQAdQByAGUAUgBlAHMAaQBkAHUAZQBzAF8ATABhAHQAZQB4AEUAcQB1AGEAdABpAG8AbgAiACwAIgBBAGcAUgBlAHMAaQBkAHUAZQBfAEUAcQB1AGEAdABpAG8AbgBzAF8AUABhAHMAdAB1AHIAZQBSAGUAcwBpAGQAdQBlAC4AVgBFAEUAUgBHAF8ANgBfADIAXwAxAF8AMQBfAF8AMQBfAF8ATgBpAHQAcgBvAHUAcwBPAHgAaQBkAGUARQBtAGkAcwBzAGkAbwBuAHMARgByAG8AbQBQAGEAcwB0AHUAcgBlAFIAZQBzAGkAZAB1AGUAcwBfAEEAcgBnAHUAbQBlAG4AdABzACIALAAiAEEAZwBSAGUAcwBpAGQAdQBlAF8ARQBxAHUAYQB0AGkAbwBuAHMAXwBQAGEAcwB0AHUAcgBlAFIAZQBzAGkAZAB1AGUALgBWAEUARQBSAEcAXwA2AF8AMgBfADEAXwAxAF8AXwAyAF8AXwBNAGEAcwBzAE8AZgBOAGkAdAByAG8AZwBlAG4ASQBuAFAAYQBzAHQAdQByAGUAUgBlAHMAaQBkAHUAZQBzACIALAAiAEEAZwBSAGUAcwBpAGQAdQBlAF8ARQBxAHUAYQB0AGkAbwBuAHMAXwBQAGEAcwB0AHUAcgBlAFIAZQBzAGkAZAB1AGUALgBWAEUARQBSAEcAXwA2AF8AMgBfADEAXwAxAF8AXwAyAF8AXwBNAGEAcwBzAE8AZgBOAGkAdAByAG8AZwBlAG4ASQBuAFAAYQBzAHQAdQByAGUAUgBlAHMAaQBkAHUAZQBzAF8AVABpAHQAbABlACIALAAiAEEAZwBSAGUAcwBpAGQAdQBlAF8ARQBxAHUAYQB0AGkAbwBuAHMAXwBQAGEAcwB0AHUAcgBlAFIAZQBzAGkAZAB1AGUALgBWAEUARQBSAEcAXwA2AF8AMgBfADEAXwAxAF8AXwAyAF8AXwBNAGEAcwBzAE8AZgBOAGkAdAByAG8AZwBlAG4ASQBuAFAAYQBzAHQAdQByAGUAUgBlAHMAaQBkAHUAZQBzAF8AVgBhAHIAaQBhAGIAbABlACIALAAiAEEAZwBSAGUAcwBpAGQAdQBlAF8ARQBxAHUAYQB0AGkAbwBuAHMAXwBQAGEAcwB0AHUAcgBlAFIAZQBzAGkAZAB1AGUALgBWAEUARQBSAEcAXwA2AF8AMgBfADEAXwAxAF8AXwAyAF8AXwBNAGEAcwBzAE8AZgBOAGkAdAByAG8AZwBlAG4ASQBuAFAAYQBzAHQAdQByAGUAUgBlAHMAaQBkAHUAZQBzAF8AVQBuAGkAdAAiACwAIgBBAGcAUgBlAHMAaQBkAHUAZQBfAEUAcQB1AGEAdABpAG8AbgBzAF8AUABhAHMAdAB1AHIAZQBSAGUAcwBpAGQAdQBlAC4AVgBFAEUAUgBHAF8ANgBfADIAXwAxAF8AMQBfAF8AMgBfAF8ATQBhAHMAcwBPAGYATgBpAHQAcgBvAGcAZQBuAEkAbgBQAGEAcwB0AHUAcgBlAFIAZQBzAGkAZAB1AGUAcwBfAFMAbwB1AHIAYwBlACIALAAiAEEAZwBSAGUAcwBpAGQAdQBlAF8ARQBxAHUAYQB0AGkAbwBuAHMAXwBQAGEAcwB0AHUAcgBlAFIAZQBzAGkAZAB1AGUALgBWAEUARQBSAEcAXwA2AF8AMgBfADEAXwAxAF8AXwAyAF8AXwBNAGEAcwBzAE8AZgBOAGkAdAByAG8AZwBlAG4ASQBuAFAAYQBzAHQAdQByAGUAUgBlAHMAaQBkAHUAZQBzAF8ATgBJAFIAUgBlAGYAZQByAGUAbgBjAGUAIgAsACIAQQBnAFIAZQBzAGkAZAB1AGUAXwBFAHEAdQBhAHQAaQBvAG4AcwBfAFAAYQBzAHQAdQByAGUAUgBlAHMAaQBkAHUAZQAuAFYARQBFAFIARwBfADYAXwAyAF8AMQBfADEAXwBfADIAXwBfAE0AYQBzAHMATwBmAE4AaQB0AHIAbwBnAGUAbgBJAG4AUABhAHMAdAB1AHIAZQBSAGUAcwBpAGQAdQBlAHMAXwBMAGEAdABlAHgARQBxAHUAYQB0AGkAbwBuACIALAAiAEEAZwBSAGUAcwBpAGQAdQBlAF8ARQBxAHUAYQB0AGkAbwBuAHMAXwBQAGEAcwB0AHUAcgBlAFIAZQBzAGkAZAB1AGUALgBWAEUARQBSAEcAXwA2AF8AMgBfADEAXwAxAF8AXwAyAF8AXwBNAGEAcwBzAE8AZgBOAGkAdAByAG8AZwBlAG4ASQBuAFAAYQBzAHQAdQByAGUAUgBlAHMAaQBkAHUAZQBzAF8AQQByAGcAdQBtAGUAbgB0AHMAIgAsACIAQQBnAFIAZQBzAGkAZAB1AGUAXwBFAHEAdQBhAHQAaQBvAG4AcwBfAFAAYQBzAHQAdQByAGUAUgBlAHMAaQBkAHUAZQAuAFYARQBFAFIARwBfADYAXwAyAF8AMQBfADEAXwBfADIAXwBfAE0AYQBzAHMATwBmAE4AaQB0AHIAbwBnAGUAbgBJAG4AUABhAHMAdAB1AHIAZQBSAGUAcwBpAGQAdQBlAHMAXwBBAHIAZwB1AG0AZQBuAHQAcwBfAE0AZQB0AGgAbwBkADI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Home</vt:lpstr>
      <vt:lpstr>Overview</vt:lpstr>
      <vt:lpstr>Results</vt:lpstr>
      <vt:lpstr>Input - Site</vt:lpstr>
      <vt:lpstr>Input - Crop</vt:lpstr>
      <vt:lpstr>Input - Pasture</vt:lpstr>
      <vt:lpstr>6.1.1.1-2 Crop residue N2O</vt:lpstr>
      <vt:lpstr>6.2.1.1-2 Pasture residue N2O</vt:lpstr>
      <vt:lpstr>6.3.1.1-2 Leaching and runoff</vt:lpstr>
      <vt:lpstr>6.4.1.1-2 Residue burning</vt:lpstr>
      <vt:lpstr>Constants - Ag Residue</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2026-06-10T02:31:06Z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