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tables/table100.xml" ContentType="application/vnd.openxmlformats-officedocument.spreadsheetml.table+xml"/>
  <Override PartName="/xl/tables/table101.xml" ContentType="application/vnd.openxmlformats-officedocument.spreadsheetml.table+xml"/>
  <Override PartName="/xl/tables/table102.xml" ContentType="application/vnd.openxmlformats-officedocument.spreadsheetml.table+xml"/>
  <Override PartName="/xl/tables/table103.xml" ContentType="application/vnd.openxmlformats-officedocument.spreadsheetml.table+xml"/>
  <Override PartName="/xl/tables/table104.xml" ContentType="application/vnd.openxmlformats-officedocument.spreadsheetml.table+xml"/>
  <Override PartName="/xl/tables/table105.xml" ContentType="application/vnd.openxmlformats-officedocument.spreadsheetml.table+xml"/>
  <Override PartName="/xl/tables/table106.xml" ContentType="application/vnd.openxmlformats-officedocument.spreadsheetml.table+xml"/>
  <Override PartName="/xl/tables/table107.xml" ContentType="application/vnd.openxmlformats-officedocument.spreadsheetml.table+xml"/>
  <Override PartName="/xl/tables/table108.xml" ContentType="application/vnd.openxmlformats-officedocument.spreadsheetml.table+xml"/>
  <Override PartName="/xl/tables/table109.xml" ContentType="application/vnd.openxmlformats-officedocument.spreadsheetml.table+xml"/>
  <Override PartName="/xl/tables/table110.xml" ContentType="application/vnd.openxmlformats-officedocument.spreadsheetml.table+xml"/>
  <Override PartName="/xl/tables/table111.xml" ContentType="application/vnd.openxmlformats-officedocument.spreadsheetml.table+xml"/>
  <Override PartName="/xl/tables/table112.xml" ContentType="application/vnd.openxmlformats-officedocument.spreadsheetml.table+xml"/>
  <Override PartName="/xl/tables/table113.xml" ContentType="application/vnd.openxmlformats-officedocument.spreadsheetml.table+xml"/>
  <Override PartName="/xl/tables/table114.xml" ContentType="application/vnd.openxmlformats-officedocument.spreadsheetml.table+xml"/>
  <Override PartName="/xl/tables/table115.xml" ContentType="application/vnd.openxmlformats-officedocument.spreadsheetml.table+xml"/>
  <Override PartName="/xl/tables/table116.xml" ContentType="application/vnd.openxmlformats-officedocument.spreadsheetml.table+xml"/>
  <Override PartName="/xl/tables/table117.xml" ContentType="application/vnd.openxmlformats-officedocument.spreadsheetml.table+xml"/>
  <Override PartName="/xl/tables/table118.xml" ContentType="application/vnd.openxmlformats-officedocument.spreadsheetml.table+xml"/>
  <Override PartName="/xl/tables/table119.xml" ContentType="application/vnd.openxmlformats-officedocument.spreadsheetml.table+xml"/>
  <Override PartName="/xl/tables/table120.xml" ContentType="application/vnd.openxmlformats-officedocument.spreadsheetml.table+xml"/>
  <Override PartName="/xl/tables/table121.xml" ContentType="application/vnd.openxmlformats-officedocument.spreadsheetml.table+xml"/>
  <Override PartName="/xl/tables/table122.xml" ContentType="application/vnd.openxmlformats-officedocument.spreadsheetml.table+xml"/>
  <Override PartName="/xl/tables/table123.xml" ContentType="application/vnd.openxmlformats-officedocument.spreadsheetml.table+xml"/>
  <Override PartName="/xl/tables/table124.xml" ContentType="application/vnd.openxmlformats-officedocument.spreadsheetml.table+xml"/>
  <Override PartName="/xl/tables/table125.xml" ContentType="application/vnd.openxmlformats-officedocument.spreadsheetml.table+xml"/>
  <Override PartName="/xl/tables/table126.xml" ContentType="application/vnd.openxmlformats-officedocument.spreadsheetml.table+xml"/>
  <Override PartName="/xl/tables/table127.xml" ContentType="application/vnd.openxmlformats-officedocument.spreadsheetml.table+xml"/>
  <Override PartName="/xl/tables/table128.xml" ContentType="application/vnd.openxmlformats-officedocument.spreadsheetml.table+xml"/>
  <Override PartName="/xl/tables/table129.xml" ContentType="application/vnd.openxmlformats-officedocument.spreadsheetml.table+xml"/>
  <Override PartName="/xl/tables/table130.xml" ContentType="application/vnd.openxmlformats-officedocument.spreadsheetml.table+xml"/>
  <Override PartName="/xl/tables/table131.xml" ContentType="application/vnd.openxmlformats-officedocument.spreadsheetml.table+xml"/>
  <Override PartName="/xl/tables/table132.xml" ContentType="application/vnd.openxmlformats-officedocument.spreadsheetml.table+xml"/>
  <Override PartName="/xl/tables/table133.xml" ContentType="application/vnd.openxmlformats-officedocument.spreadsheetml.table+xml"/>
  <Override PartName="/xl/tables/table134.xml" ContentType="application/vnd.openxmlformats-officedocument.spreadsheetml.table+xml"/>
  <Override PartName="/xl/tables/table135.xml" ContentType="application/vnd.openxmlformats-officedocument.spreadsheetml.table+xml"/>
  <Override PartName="/xl/tables/table136.xml" ContentType="application/vnd.openxmlformats-officedocument.spreadsheetml.table+xml"/>
  <Override PartName="/xl/tables/table137.xml" ContentType="application/vnd.openxmlformats-officedocument.spreadsheetml.table+xml"/>
  <Override PartName="/xl/tables/table138.xml" ContentType="application/vnd.openxmlformats-officedocument.spreadsheetml.table+xml"/>
  <Override PartName="/xl/tables/table139.xml" ContentType="application/vnd.openxmlformats-officedocument.spreadsheetml.table+xml"/>
  <Override PartName="/xl/tables/table140.xml" ContentType="application/vnd.openxmlformats-officedocument.spreadsheetml.table+xml"/>
  <Override PartName="/xl/tables/table141.xml" ContentType="application/vnd.openxmlformats-officedocument.spreadsheetml.table+xml"/>
  <Override PartName="/xl/tables/table142.xml" ContentType="application/vnd.openxmlformats-officedocument.spreadsheetml.table+xml"/>
  <Override PartName="/xl/tables/table143.xml" ContentType="application/vnd.openxmlformats-officedocument.spreadsheetml.table+xml"/>
  <Override PartName="/xl/tables/table144.xml" ContentType="application/vnd.openxmlformats-officedocument.spreadsheetml.table+xml"/>
  <Override PartName="/xl/tables/table145.xml" ContentType="application/vnd.openxmlformats-officedocument.spreadsheetml.table+xml"/>
  <Override PartName="/xl/tables/table146.xml" ContentType="application/vnd.openxmlformats-officedocument.spreadsheetml.table+xml"/>
  <Override PartName="/xl/tables/table147.xml" ContentType="application/vnd.openxmlformats-officedocument.spreadsheetml.table+xml"/>
  <Override PartName="/xl/tables/table148.xml" ContentType="application/vnd.openxmlformats-officedocument.spreadsheetml.table+xml"/>
  <Override PartName="/xl/tables/table149.xml" ContentType="application/vnd.openxmlformats-officedocument.spreadsheetml.table+xml"/>
  <Override PartName="/xl/tables/table150.xml" ContentType="application/vnd.openxmlformats-officedocument.spreadsheetml.table+xml"/>
  <Override PartName="/xl/tables/table151.xml" ContentType="application/vnd.openxmlformats-officedocument.spreadsheetml.table+xml"/>
  <Override PartName="/xl/tables/table152.xml" ContentType="application/vnd.openxmlformats-officedocument.spreadsheetml.table+xml"/>
  <Override PartName="/xl/tables/table153.xml" ContentType="application/vnd.openxmlformats-officedocument.spreadsheetml.table+xml"/>
  <Override PartName="/xl/tables/table154.xml" ContentType="application/vnd.openxmlformats-officedocument.spreadsheetml.table+xml"/>
  <Override PartName="/xl/tables/table155.xml" ContentType="application/vnd.openxmlformats-officedocument.spreadsheetml.table+xml"/>
  <Override PartName="/xl/tables/table156.xml" ContentType="application/vnd.openxmlformats-officedocument.spreadsheetml.table+xml"/>
  <Override PartName="/xl/tables/table157.xml" ContentType="application/vnd.openxmlformats-officedocument.spreadsheetml.table+xml"/>
  <Override PartName="/xl/tables/table158.xml" ContentType="application/vnd.openxmlformats-officedocument.spreadsheetml.table+xml"/>
  <Override PartName="/xl/tables/table159.xml" ContentType="application/vnd.openxmlformats-officedocument.spreadsheetml.table+xml"/>
  <Override PartName="/xl/tables/table160.xml" ContentType="application/vnd.openxmlformats-officedocument.spreadsheetml.table+xml"/>
  <Override PartName="/xl/tables/table161.xml" ContentType="application/vnd.openxmlformats-officedocument.spreadsheetml.table+xml"/>
  <Override PartName="/xl/tables/table162.xml" ContentType="application/vnd.openxmlformats-officedocument.spreadsheetml.table+xml"/>
  <Override PartName="/xl/tables/table163.xml" ContentType="application/vnd.openxmlformats-officedocument.spreadsheetml.table+xml"/>
  <Override PartName="/xl/tables/table164.xml" ContentType="application/vnd.openxmlformats-officedocument.spreadsheetml.table+xml"/>
  <Override PartName="/xl/tables/table16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859B73FA-557D-4A06-AC4A-A9C76BAF7551}" xr6:coauthVersionLast="47" xr6:coauthVersionMax="47" xr10:uidLastSave="{00000000-0000-0000-0000-000000000000}"/>
  <bookViews>
    <workbookView xWindow="4680" yWindow="4680" windowWidth="28800" windowHeight="15345" firstSheet="24" activeTab="24" xr2:uid="{D37248E2-1193-4B5E-BE4F-D7532AB14CA0}"/>
  </bookViews>
  <sheets>
    <sheet name="Overview" sheetId="40" r:id="rId1"/>
    <sheet name="Results" sheetId="41" r:id="rId2"/>
    <sheet name="Input - Site" sheetId="10" r:id="rId3"/>
    <sheet name="Input - Fuel" sheetId="30" r:id="rId4"/>
    <sheet name="Input - Fertiliser" sheetId="7" r:id="rId5"/>
    <sheet name="Input - Farm Inputs" sheetId="13" r:id="rId6"/>
    <sheet name="Input - Freight" sheetId="39" r:id="rId7"/>
    <sheet name="Input - Waste sent off-site" sheetId="33" r:id="rId8"/>
    <sheet name="Input - Electricity" sheetId="9" r:id="rId9"/>
    <sheet name="15 Scope 3" sheetId="19" r:id="rId10"/>
    <sheet name="10.1.1-2 Solid waste treatment" sheetId="38" r:id="rId11"/>
    <sheet name="Calcs - Manure sent off-site" sheetId="34" r:id="rId12"/>
    <sheet name="8.1.1.1-2 Transport fuel" sheetId="31" r:id="rId13"/>
    <sheet name="8.2.1.1-2 Stationary fuel" sheetId="32" r:id="rId14"/>
    <sheet name="Constants - Scope 3" sheetId="20" r:id="rId15"/>
    <sheet name="Constants - Solid Waste" sheetId="36" r:id="rId16"/>
    <sheet name="Constants - Fuel" sheetId="29" r:id="rId17"/>
    <sheet name="Constants - Poultry" sheetId="26" r:id="rId18"/>
    <sheet name="Constants - Swine" sheetId="25" r:id="rId19"/>
    <sheet name="Constants - Dairy" sheetId="23" r:id="rId20"/>
    <sheet name="Constants - Pasture Beef" sheetId="22" r:id="rId21"/>
    <sheet name="Constants - Common Livestock" sheetId="18" r:id="rId22"/>
    <sheet name="Constants - Fertiliser" sheetId="6" r:id="rId23"/>
    <sheet name="Constants - Electricity" sheetId="8" r:id="rId24"/>
    <sheet name="Constants - Common" sheetId="45" r:id="rId25"/>
  </sheets>
  <definedNames>
    <definedName name="AgResidue_Equations_FieldBurning.VEERG_6_4_1_1__1__MethaneEmissionsFromBurningOfCropResidues">_xlfn.LAMBDA(_xlpm.Mburnc,_xlpm.CCc,_xlpm.EFCH4,_xlpm.C_CH4, _xlpm.Mburnc * _xlpm.CCc * _xlpm.EFCH4 * _xlpm.C_CH4 * 10 ^ (-3))</definedName>
    <definedName name="AgResidue_Equations_FieldBurning.VEERG_6_4_1_1__1__MethaneEmissionsFromBurningOfCropResidues_Arguments">_xlfn.LAMBDA(_xlfn.MAKEARRAY(5, 2, _xlfn.LAMBDA(_xlpm.r,_xlpm.c, INDEX({"Mburnc","mass of residue burnt for crop type c (kg)";"CCc","carbon mass fraction in the residues of crop type c (dimensionless)";"EFCH4","emission factor for methane from burning of crop residues (kg CH4/kg CH4 burnt)";"CCH4","factor to convert elemental mass of methane to molecular mass (dimensionless)";"c","Crop type"}, _xlpm.r, _xlpm.c))))</definedName>
    <definedName name="AgResidue_Equations_FieldBurning.VEERG_6_4_1_1__1__MethaneEmissionsFromBurningOfCropResidues_FunctionName">_xlfn.LAMBDA("VEERG_6_4_1_1__1__MethaneEmissionsFromBurningOfCropResidues")</definedName>
    <definedName name="AgResidue_Equations_FieldBurning.VEERG_6_4_1_1__1__MethaneEmissionsFromBurningOfCropResidues_LatexEquation">_xlfn.LAMBDA("E_{CH4}=\sum_{c}(M_{burn,c}\times CC_{c}\times EF_{CH4}\times C_{CH4}\times 10^{-3})")</definedName>
    <definedName name="AgResidue_Equations_FieldBurning.VEERG_6_4_1_1__1__MethaneEmissionsFromBurningOfCropResidues_NIRReference">_xlfn.LAMBDA("")</definedName>
    <definedName name="AgResidue_Equations_FieldBurning.VEERG_6_4_1_1__1__MethaneEmissionsFromBurningOfCropResidues_Source">_xlfn.LAMBDA("VEERG 2026: 6.4.1.1, Equation (1)")</definedName>
    <definedName name="AgResidue_Equations_FieldBurning.VEERG_6_4_1_1__1__MethaneEmissionsFromBurningOfCropResidues_Title">_xlfn.LAMBDA("Methane emissions from the burning of crop residues")</definedName>
    <definedName name="AgResidue_Equations_FieldBurning.VEERG_6_4_1_1__1__MethaneEmissionsFromBurningOfCropResidues_Unit">_xlfn.LAMBDA("t CH4")</definedName>
    <definedName name="AgResidue_Equations_FieldBurning.VEERG_6_4_1_1__1__MethaneEmissionsFromBurningOfCropResidues_Variable">_xlfn.LAMBDA("ECH4")</definedName>
    <definedName name="AgResidue_Equations_FieldBurning.VEERG_6_4_1_1__2__NitrousOxideEmissionsFromBurningOfCropResidues">_xlfn.LAMBDA(_xlpm.Mburnc,_xlpm.NCAGc,_xlpm.EFN2O,_xlpm.CN2O, _xlpm.Mburnc * _xlpm.NCAGc * _xlpm.EFN2O * _xlpm.CN2O * 10 ^ (-3))</definedName>
    <definedName name="AgResidue_Equations_FieldBurning.VEERG_6_4_1_1__2__NitrousOxideEmissionsFromBurningOfCropResidues_Arguments">_xlfn.LAMBDA(_xlfn.MAKEARRAY(5, 2, _xlfn.LAMBDA(_xlpm.r,_xlpm.c, INDEX({"Mburnc","mass of residue burnt for crop type c (kg)";"NCAGc","nitrogen content in the above-ground residue of crop type c (kg N/kg DM)";"EFN2O","emission factor for nitrous oxide from burning of crop residues (kg N2O/kg N2O burnt)";"CN2O","factor to convert elemental mass of nitrous oxide to molecular mass (dimensionless)";"c","Crop type"}, _xlpm.r, _xlpm.c))))</definedName>
    <definedName name="AgResidue_Equations_FieldBurning.VEERG_6_4_1_1__2__NitrousOxideEmissionsFromBurningOfCropResidues_FunctionName">_xlfn.LAMBDA("VEERG_6_4_1_1__2__NitrousOxideEmissionsFromBurningOfCropResidues")</definedName>
    <definedName name="AgResidue_Equations_FieldBurning.VEERG_6_4_1_1__2__NitrousOxideEmissionsFromBurningOfCropResidues_LatexEquation">_xlfn.LAMBDA("E_{N2O}=\sum_{c}(M_{burn,c}\times NC_{AGc}\times EF_{N2O}\times C_{N2O}\times 10^{-3})")</definedName>
    <definedName name="AgResidue_Equations_FieldBurning.VEERG_6_4_1_1__2__NitrousOxideEmissionsFromBurningOfCropResidues_NIRReference">_xlfn.LAMBDA("")</definedName>
    <definedName name="AgResidue_Equations_FieldBurning.VEERG_6_4_1_1__2__NitrousOxideEmissionsFromBurningOfCropResidues_Source">_xlfn.LAMBDA("VEERG 2026: 6.4.1.1, Equation (2)")</definedName>
    <definedName name="AgResidue_Equations_FieldBurning.VEERG_6_4_1_1__2__NitrousOxideEmissionsFromBurningOfCropResidues_Title">_xlfn.LAMBDA("Nitrous oxide emissions from the burning of crop residues")</definedName>
    <definedName name="AgResidue_Equations_FieldBurning.VEERG_6_4_1_1__2__NitrousOxideEmissionsFromBurningOfCropResidues_Unit">_xlfn.LAMBDA("t N2O")</definedName>
    <definedName name="AgResidue_Equations_FieldBurning.VEERG_6_4_1_1__2__NitrousOxideEmissionsFromBurningOfCropResidues_Variable">_xlfn.LAMBDA("EN2O")</definedName>
    <definedName name="AgResidue_Equations_FieldBurning.VEERG_6_4_1_1__3__MassOfCropResidueBurnt">_xlfn.LAMBDA(_xlpm.Pc,_xlpm.RAGc,_xlpm.Sc,_xlpm.DMc,_xlpm.Zc,_xlpm.Fc, _xlpm.Pc * _xlpm.RAGc * _xlpm.Sc * _xlpm.DMc * _xlpm.Zc * _xlpm.Fc)</definedName>
    <definedName name="AgResidue_Equations_FieldBurning.VEERG_6_4_1_1__3__MassOfCropResidueBurnt_Arguments">_xlfn.LAMBDA(_xlfn.MAKEARRAY(7, 2, _xlfn.LAMBDA(_xlpm.r,_xlpm.c, INDEX({"Pc","annual production of crop type c (kg)";"RAGc","residue to crop ratio of crop type c (kg crop residue/kg crop)";"Sc","fraction of residues of crop type c remaining at burning (dimensionless)";"DMc","dry matter content of crop type c (kg dry weight/kg crop residue)";"Zc","burning efficiency (ratio of fuel burnt to fuel load) of crop type c (dimensionless)";"Fc","fraction of the annual production of crop type c that is burnt (dimensionless)";"c","Crop type"}, _xlpm.r, _xlpm.c))))</definedName>
    <definedName name="AgResidue_Equations_FieldBurning.VEERG_6_4_1_1__3__MassOfCropResidueBurnt_FunctionName">_xlfn.LAMBDA("VEERG_6_4_1_1__3__MassOfCropResidueBurnt")</definedName>
    <definedName name="AgResidue_Equations_FieldBurning.VEERG_6_4_1_1__3__MassOfCropResidueBurnt_LatexEquation">_xlfn.LAMBDA("M_{burn,c}=P_{c}\times R_{AGc}\times S_{c}\times DM_{c}\times Z_{c}\times F_{c}")</definedName>
    <definedName name="AgResidue_Equations_FieldBurning.VEERG_6_4_1_1__3__MassOfCropResidueBurnt_NIRReference">_xlfn.LAMBDA("")</definedName>
    <definedName name="AgResidue_Equations_FieldBurning.VEERG_6_4_1_1__3__MassOfCropResidueBurnt_Source">_xlfn.LAMBDA("VEERG 2026: 6.4.1.1, Equation (3)")</definedName>
    <definedName name="AgResidue_Equations_FieldBurning.VEERG_6_4_1_1__3__MassOfCropResidueBurnt_Title">_xlfn.LAMBDA("Mass of residue of crop c burnt")</definedName>
    <definedName name="AgResidue_Equations_FieldBurning.VEERG_6_4_1_1__3__MassOfCropResidueBurnt_Unit">_xlfn.LAMBDA("kg")</definedName>
    <definedName name="AgResidue_Equations_FieldBurning.VEERG_6_4_1_1__3__MassOfCropResidueBurnt_Variable">_xlfn.LAMBDA("Mburnc")</definedName>
    <definedName name="AgResidues_Equations_CropResidues.VEERG_6_1_1_1__1__NitrousOxideEmissionsFromCropResidues">_xlfn.LAMBDA(_xlpm.Mc,_xlpm.EFNi,_xlpm.CgN2O, _xlpm.Mc * _xlpm.EFNi * _xlpm.CgN2O * 10 ^ (-3))</definedName>
    <definedName name="AgResidues_Equations_CropResidues.VEERG_6_1_1_1__1__NitrousOxideEmissionsFromCropResidues_Arguments">_xlfn.LAMBDA(_xlfn.MAKEARRAY(5, 2, _xlfn.LAMBDA(_xlpm.r,_xlpm.c, INDEX({"Mc","mass of nitrogen in crop c residues returned to the soil (kg N)";"EFNi","emission factor for crop residues returned to the soil (kg N2O-N/kg N)";"CgN2O","factor to convert elemental mass of nitrous oxide to molecular mass (dimensionless)";"c","Crop type";"i","Climate zone"}, _xlpm.r, _xlpm.c))))</definedName>
    <definedName name="AgResidues_Equations_CropResidues.VEERG_6_1_1_1__1__NitrousOxideEmissionsFromCropResidues_FunctionName">_xlfn.LAMBDA("VEERG_6_1_1_1__1__NitrousOxideEmissionsFromCropResidues")</definedName>
    <definedName name="AgResidues_Equations_CropResidues.VEERG_6_1_1_1__1__NitrousOxideEmissionsFromCropResidues_LatexEquation">_xlfn.LAMBDA("E=\sum_{c}{M_{c}\times EF_{N}\times C_{g,N2O}\times 10^{-3}}")</definedName>
    <definedName name="AgResidues_Equations_CropResidues.VEERG_6_1_1_1__1__NitrousOxideEmissionsFromCropResidues_NIRReference">_xlfn.LAMBDA("")</definedName>
    <definedName name="AgResidues_Equations_CropResidues.VEERG_6_1_1_1__1__NitrousOxideEmissionsFromCropResidues_Source">_xlfn.LAMBDA("VEERG 2026: 6.1.1.1, Equation (1)")</definedName>
    <definedName name="AgResidues_Equations_CropResidues.VEERG_6_1_1_1__1__NitrousOxideEmissionsFromCropResidues_Title">_xlfn.LAMBDA("Nitrous oxide emissions from the return of crop residues across all crops c to the soil")</definedName>
    <definedName name="AgResidues_Equations_CropResidues.VEERG_6_1_1_1__1__NitrousOxideEmissionsFromCropResidues_Unit">_xlfn.LAMBDA("t N2O")</definedName>
    <definedName name="AgResidues_Equations_CropResidues.VEERG_6_1_1_1__1__NitrousOxideEmissionsFromCropResidues_Variable">_xlfn.LAMBDA("E")</definedName>
    <definedName name="AgResidues_Equations_CropResidues.VEERG_6_1_1_1__2__MassOfNitrogenInCropResidues">_xlfn.LAMBDA(_xlpm.Pc,_xlpm.RAGc,_xlpm.Fc,_xlpm.FFODc,_xlpm.DMc,_xlpm.NCAGc,_xlpm.RBGc,_xlpm.NCBGc, (_xlpm.Pc * _xlpm.RAGc * (1 - _xlpm.Fc - _xlpm.FFODc) * _xlpm.DMc * _xlpm.NCAGc) + (_xlpm.Pc * _xlpm.RAGc * _xlpm.RBGc * _xlpm.DMc * _xlpm.NCBGc))</definedName>
    <definedName name="AgResidues_Equations_CropResidues.VEERG_6_1_1_1__2__MassOfNitrogenInCropResidues_Arguments">_xlfn.LAMBDA(_xlfn.MAKEARRAY(10, 2, _xlfn.LAMBDA(_xlpm.r,_xlpm.c, INDEX({"Pc","annual production of crop c (kg)";"RAGc","residue to crop ratio for crop c (dimensionless)";"RBGc","below ground-residue to above ground residue ratio for crop c (dimensionless)";"Fc","fraction of crop residue that is burnt for crop c (dimensionless)";"FFODc","fraction of the crop residue that is removed for crop c (dimensionless)";"DMc","dry matter content of crop c (kg dry weight/kg crop residue)";"NCAGc","nitrogen content of above-ground crop residue of crop c (kg N/kg DM)";"NCBGc","nitrogen content of below-ground crop residue of crop c (kg N/kg DM)";"c","Crop type";"State","State or territory"}, _xlpm.r, _xlpm.c))))</definedName>
    <definedName name="AgResidues_Equations_CropResidues.VEERG_6_1_1_1__2__MassOfNitrogenInCropResidues_LatexEquation">_xlfn.LAMBDA("M_{c}=(P_{c}\times R_{AGc}\times(1-F_{c}-FFOD_{c})\times DM_{c}\times NC_{AGc})+(P_{c}\times R_{AGc}\times R_{BGc}\times DM_{c}\times NC_{BGc})")</definedName>
    <definedName name="AgResidues_Equations_CropResidues.VEERG_6_1_1_1__2__MassOfNitrogenInCropResidues_NIRReference">_xlfn.LAMBDA("")</definedName>
    <definedName name="AgResidues_Equations_CropResidues.VEERG_6_1_1_1__2__MassOfNitrogenInCropResidues_Source">_xlfn.LAMBDA("VEERG 2026: 6.1.1.1, Equation (2)")</definedName>
    <definedName name="AgResidues_Equations_CropResidues.VEERG_6_1_1_1__2__MassOfNitrogenInCropResidues_Title">_xlfn.LAMBDA("Mass of nitrogen in crop residues returned to the soil")</definedName>
    <definedName name="AgResidues_Equations_CropResidues.VEERG_6_1_1_1__2__MassOfNitrogenInCropResidues_Unit">_xlfn.LAMBDA("kg N")</definedName>
    <definedName name="AgResidues_Equations_CropResidues.VEERG_6_1_1_1__2__MassOfNitrogenInCropResidues_Variable">_xlfn.LAMBDA("Mc")</definedName>
    <definedName name="AgResidues_Equations_CropResidues.VEERG_6_1_1_2__1__FractionOfCropResidueRemovedBaled">_xlfn.LAMBDA(_xlpm.B,_xlpm.MB,_xlpm.Pc,_xlpm.RAGc, IFERROR((_xlpm.B * _xlpm.MB) / (_xlpm.Pc * _xlpm.RAGc), 0))</definedName>
    <definedName name="AgResidues_Equations_CropResidues.VEERG_6_1_1_2__1__FractionOfCropResidueRemovedBaled_Arguments">_xlfn.LAMBDA(_xlfn.MAKEARRAY(5, 2, _xlfn.LAMBDA(_xlpm.r,_xlpm.c, INDEX({"B","number of bales generated (dimensionless)";"MB","mass of each bale (kg)";"Pc","annual production of crop c (kg)";"RAGc","residue to crop ratio for crop c (dimensionless)";"c","Crop type"}, _xlpm.r, _xlpm.c))))</definedName>
    <definedName name="AgResidues_Equations_CropResidues.VEERG_6_1_1_2__1__FractionOfCropResidueRemovedBaled_LatexEquation">_xlfn.LAMBDA("FFOD_{c,baled}=\frac{B\times M_{B}}{P_{c}\times R_{AG,c}}")</definedName>
    <definedName name="AgResidues_Equations_CropResidues.VEERG_6_1_1_2__1__FractionOfCropResidueRemovedBaled_NIRReference">_xlfn.LAMBDA("")</definedName>
    <definedName name="AgResidues_Equations_CropResidues.VEERG_6_1_1_2__1__FractionOfCropResidueRemovedBaled_Source">_xlfn.LAMBDA("VEERG 2026: 6.1.1.2, Equation (1)")</definedName>
    <definedName name="AgResidues_Equations_CropResidues.VEERG_6_1_1_2__1__FractionOfCropResidueRemovedBaled_Title">_xlfn.LAMBDA("Fraction of crop residue that is removed for crop c, calculated where residues are baled")</definedName>
    <definedName name="AgResidues_Equations_CropResidues.VEERG_6_1_1_2__1__FractionOfCropResidueRemovedBaled_Unit">_xlfn.LAMBDA("dimensionless")</definedName>
    <definedName name="AgResidues_Equations_CropResidues.VEERG_6_1_1_2__1__FractionOfCropResidueRemovedBaled_Variable">_xlfn.LAMBDA("FFODcbaled")</definedName>
    <definedName name="AgResidues_Equations_CropResidues.VEERG_6_1_1_2__1__FractionOfCropResidueRemovedBaled_Variation">_xlfn.LAMBDA("VARIATION FROM SOURCE: Added 'baled' to variable subscript")</definedName>
    <definedName name="AgResidues_Equations_CropResidues.VEERG_6_1_1_2__1a__FractionOfCropResidueRemoved">_xlfn.LAMBDA(_xlpm.FFODcbaled,_xlpm.FFODcother, _xlpm.FFODcbaled + _xlpm.FFODcother)</definedName>
    <definedName name="AgResidues_Equations_CropResidues.VEERG_6_1_1_2__1a__FractionOfCropResidueRemoved_Arguments">_xlfn.LAMBDA(_xlfn.MAKEARRAY(2, 2, _xlfn.LAMBDA(_xlpm.r,_xlpm.c, INDEX({"FFODcbaled","Fraction of crop residue that is removed for crop c, calculated where residues are baled";"FFODcother","Fraction of crop residue that is removed for crop c, calculated where residues are removed by other means"}, _xlpm.r, _xlpm.c))))</definedName>
    <definedName name="AgResidues_Equations_CropResidues.VEERG_6_1_1_2__1a__FractionOfCropResidueRemoved_LatexEquation">_xlfn.LAMBDA("FFOD_{c} = FFOD_{c,baled} + FFOD_{c,other}")</definedName>
    <definedName name="AgResidues_Equations_CropResidues.VEERG_6_1_1_2__1a__FractionOfCropResidueRemoved_NIRReference">_xlfn.LAMBDA("")</definedName>
    <definedName name="AgResidues_Equations_CropResidues.VEERG_6_1_1_2__1a__FractionOfCropResidueRemoved_Source">_xlfn.LAMBDA("")</definedName>
    <definedName name="AgResidues_Equations_CropResidues.VEERG_6_1_1_2__1a__FractionOfCropResidueRemoved_Title">_xlfn.LAMBDA("Fraction of crop residue that is removed for crop c")</definedName>
    <definedName name="AgResidues_Equations_CropResidues.VEERG_6_1_1_2__1a__FractionOfCropResidueRemoved_Unit">_xlfn.LAMBDA("dimensionless")</definedName>
    <definedName name="AgResidues_Equations_CropResidues.VEERG_6_1_1_2__1a__FractionOfCropResidueRemoved_Variable">_xlfn.LAMBDA("FFODc")</definedName>
    <definedName name="AgResidues_Equations_CropResidues.VEERG_6_1_1_2__1a__FractionOfCropResidueRemoved_Variation">_xlfn.LAMBDA("VARIATION FROM SOURCE: Added this equation to accommodate user-defined residue removal other than baling.")</definedName>
    <definedName name="AgResidues_Equations_Leaching.VEERG_6_3_1_1__1__LeachingAndRunoffEmissionsCropAndPastureResidue">_xlfn.LAMBDA(_xlpm.Mleachcp,_xlpm.EFleach,_xlpm.CgN2O, _xlpm.Mleachcp * _xlpm.EFleach * _xlpm.CgN2O * 10 ^ (-3))</definedName>
    <definedName name="AgResidues_Equations_Leaching.VEERG_6_3_1_1__1__LeachingAndRunoffEmissionsCropAndPastureResidue_Arguments">_xlfn.LAMBDA(_xlfn.MAKEARRAY(5, 2, _xlfn.LAMBDA(_xlpm.r,_xlpm.c, INDEX({"Mleachcp","mass of nitrogen lost through leaching and runoff from the crop residue c or pasture residue p (kg N)";"EFleach","emission factor for leaching and runoff (kg N2O-N/kg N)";"CgN2O","factor to convert elemental mass of nitrous oxide to molecular mass (dimensionless)";"c","Crop residue type";"p","Pasture residue type"}, _xlpm.r, _xlpm.c))))</definedName>
    <definedName name="AgResidues_Equations_Leaching.VEERG_6_3_1_1__1__LeachingAndRunoffEmissionsCropAndPastureResidue_LatexEquation">_xlfn.LAMBDA("E_{N2O}=\sum_{c}\sum_{p}(M_{leach,cp}\times EF_{leach}\times Cg_{N2O}\times 10^{-3})")</definedName>
    <definedName name="AgResidues_Equations_Leaching.VEERG_6_3_1_1__1__LeachingAndRunoffEmissionsCropAndPastureResidue_NIRReference">_xlfn.LAMBDA("")</definedName>
    <definedName name="AgResidues_Equations_Leaching.VEERG_6_3_1_1__1__LeachingAndRunoffEmissionsCropAndPastureResidue_Source">_xlfn.LAMBDA("VEERG 2026: 6.3.1.1, Equation (1)")</definedName>
    <definedName name="AgResidues_Equations_Leaching.VEERG_6_3_1_1__1__LeachingAndRunoffEmissionsCropAndPastureResidue_Title">_xlfn.LAMBDA("Nitrous oxide leaching and runoff emissions from crop and pasture residues returned to the soil")</definedName>
    <definedName name="AgResidues_Equations_Leaching.VEERG_6_3_1_1__1__LeachingAndRunoffEmissionsCropAndPastureResidue_Unit">_xlfn.LAMBDA("t N2O")</definedName>
    <definedName name="AgResidues_Equations_Leaching.VEERG_6_3_1_1__1__LeachingAndRunoffEmissionsCropAndPastureResidue_Variable">_xlfn.LAMBDA("EN2O")</definedName>
    <definedName name="AgResidues_Equations_Leaching.VEERG_6_3_1_1__2__MassOfNitrogenLostThroughLeachingAndRunoff">_xlfn.LAMBDA(_xlpm.Mcp,_xlpm.FracWETzir,_xlpm.FracLEACH, _xlpm.Mcp * _xlpm.FracWETzir * _xlpm.FracLEACH)</definedName>
    <definedName name="AgResidues_Equations_Leaching.VEERG_6_3_1_1__2__MassOfNitrogenLostThroughLeachingAndRunoff_Arguments">_xlfn.LAMBDA(_xlfn.MAKEARRAY(7, 2, _xlfn.LAMBDA(_xlpm.r,_xlpm.c, INDEX({"Mcp","mass of nitrogen in crop residues c or pasture residues p applied to soils (kg N)";"FracWETzir","fraction of N that is available for leaching and runoff from the leaching zone z and irrigation type ir (dimensionless)";"FracLEACH","fraction of N that is lost through leaching and runoff (dimensionless)";"z","Location in leaching zone (dimensionless)";"c","Crop residue type";"p","Pasture residue type";"ir","Irrigation type"}, _xlpm.r, _xlpm.c))))</definedName>
    <definedName name="AgResidues_Equations_Leaching.VEERG_6_3_1_1__2__MassOfNitrogenLostThroughLeachingAndRunoff_LatexEquation">_xlfn.LAMBDA("M_{leach,cp}=M_{cp}\times FracWET_{z,ir}\times FracLEACH")</definedName>
    <definedName name="AgResidues_Equations_Leaching.VEERG_6_3_1_1__2__MassOfNitrogenLostThroughLeachingAndRunoff_NIRReference">_xlfn.LAMBDA("")</definedName>
    <definedName name="AgResidues_Equations_Leaching.VEERG_6_3_1_1__2__MassOfNitrogenLostThroughLeachingAndRunoff_Source">_xlfn.LAMBDA("VEERG 2026: 6.3.1.1, Equation (2)")</definedName>
    <definedName name="AgResidues_Equations_Leaching.VEERG_6_3_1_1__2__MassOfNitrogenLostThroughLeachingAndRunoff_Title">_xlfn.LAMBDA("Mass of nitrogen lost through leaching and runoff")</definedName>
    <definedName name="AgResidues_Equations_Leaching.VEERG_6_3_1_1__2__MassOfNitrogenLostThroughLeachingAndRunoff_Unit">_xlfn.LAMBDA("kg N")</definedName>
    <definedName name="AgResidues_Equations_Leaching.VEERG_6_3_1_1__2__MassOfNitrogenLostThroughLeachingAndRunoff_Variable">_xlfn.LAMBDA("Mleachcp")</definedName>
    <definedName name="AgResidues_Equations_Leaching.VEERG_6_3_1_1__2__MassOfNitrogenLostThroughLeachingAndRunoff_Variation">_xlfn.LAMBDA("VARIATION FROM SOURCE: Added criteria for leaching zone z and irrigation type ir. Removed production system criteria j.")</definedName>
    <definedName name="AgResidues_Equations_PastureResidues.VEERG_6_2_1_1__1__NitrousOxideEmissionsFromPastureResidues">_xlfn.LAMBDA(_xlpm.Mp,_xlpm.EFNi,_xlpm.CN2O, _xlpm.Mp * _xlpm.EFNi * _xlpm.CN2O * 10 ^ (-3))</definedName>
    <definedName name="AgResidues_Equations_PastureResidues.VEERG_6_2_1_1__1__NitrousOxideEmissionsFromPastureResidues_Arguments">_xlfn.LAMBDA(_xlfn.MAKEARRAY(5, 2, _xlfn.LAMBDA(_xlpm.r,_xlpm.c, INDEX({"Mp","mass of nitrogen in pasture p residues returned to the soil (kg N)";"EFNi","emission factor for crop residues returned to the soil in climate zone i (kg N2O-N/kg N)";"CgN2O","factor to convert elemental mass of nitrous oxide to molecular mass (dimensionless)";"p","Pasture type";"i","Climate zone"}, _xlpm.r, _xlpm.c))))</definedName>
    <definedName name="AgResidues_Equations_PastureResidues.VEERG_6_2_1_1__1__NitrousOxideEmissionsFromPastureResidues_FunctionName">_xlfn.LAMBDA("VEERG_6_2_1_1__1__NitrousOxideEmissionsFromPastureResidues")</definedName>
    <definedName name="AgResidues_Equations_PastureResidues.VEERG_6_2_1_1__1__NitrousOxideEmissionsFromPastureResidues_LatexEquation">_xlfn.LAMBDA("E_{N2O}=\sum_{p}\left(M_p\times EF_{Ni}\times C_{N2O}\times{10}^{-3}\right)")</definedName>
    <definedName name="AgResidues_Equations_PastureResidues.VEERG_6_2_1_1__1__NitrousOxideEmissionsFromPastureResidues_NIRReference">_xlfn.LAMBDA("")</definedName>
    <definedName name="AgResidues_Equations_PastureResidues.VEERG_6_2_1_1__1__NitrousOxideEmissionsFromPastureResidues_Source">_xlfn.LAMBDA("VEERG 2026: 6.2.1.1, Equation (1)")</definedName>
    <definedName name="AgResidues_Equations_PastureResidues.VEERG_6_2_1_1__1__NitrousOxideEmissionsFromPastureResidues_Title">_xlfn.LAMBDA("Nitrous oxide emissions from the return of pasture residues from all pasture types to the soil")</definedName>
    <definedName name="AgResidues_Equations_PastureResidues.VEERG_6_2_1_1__1__NitrousOxideEmissionsFromPastureResidues_Unit">_xlfn.LAMBDA("t N2O")</definedName>
    <definedName name="AgResidues_Equations_PastureResidues.VEERG_6_2_1_1__1__NitrousOxideEmissionsFromPastureResidues_Variable">_xlfn.LAMBDA("EN2O")</definedName>
    <definedName name="AgResidues_Equations_PastureResidues.VEERG_6_2_1_1__2__MassOfNitrogenInPastureResidues">_xlfn.LAMBDA(_xlpm.Ap,_xlpm.Yp,_xlpm.FFODp,_xlpm.NCAGp,_xlpm.RBGp,_xlpm.NCBGp, (_xlpm.Ap * (_xlpm.Yp * 10 ^ (-3)) * (1 - _xlpm.FFODp) * _xlpm.NCAGp) + (_xlpm.Ap * (_xlpm.Yp * 10 ^ (-3)) * _xlpm.RBGp * _xlpm.NCBGp))</definedName>
    <definedName name="AgResidues_Equations_PastureResidues.VEERG_6_2_1_1__2__MassOfNitrogenInPastureResidues_Arguments">_xlfn.LAMBDA(_xlfn.MAKEARRAY(7, 2, _xlfn.LAMBDA(_xlpm.r,_xlpm.c, INDEX({"Ap","area of pasture renewed or removed (ha)";"Yp","average yield of pasture crop (t DM/ha)";"NCAGp","N content of above-ground pasture residue (kg N/kg DM)";"RBGp","below-ground residue to above-ground residue ratio for pasture crop (dimensionless)";"NCBGp","N content of below-ground pasture crop residue (kg N/kg DM)";"FFODp","fraction of pasture yield that is removed (dimensionless)";"p","Pasture type"}, _xlpm.r, _xlpm.c))))</definedName>
    <definedName name="AgResidues_Equations_PastureResidues.VEERG_6_2_1_1__2__MassOfNitrogenInPastureResidues_FunctionName">_xlfn.LAMBDA("VEERG_6_2_1_1__2__MassOfNitrogenInPastureResidues")</definedName>
    <definedName name="AgResidues_Equations_PastureResidues.VEERG_6_2_1_1__2__MassOfNitrogenInPastureResidues_LatexEquation">_xlfn.LAMBDA("M_p = (A_p \times (Y_p \times 10^{-3}) \times (1- FFOD_p) \times NC_{AGp}) + (A_p \times (Y_p \times 10^{-3})\times R_{BGp} \times NC_{BGp})")</definedName>
    <definedName name="AgResidues_Equations_PastureResidues.VEERG_6_2_1_1__2__MassOfNitrogenInPastureResidues_NIRReference">_xlfn.LAMBDA("")</definedName>
    <definedName name="AgResidues_Equations_PastureResidues.VEERG_6_2_1_1__2__MassOfNitrogenInPastureResidues_Source">_xlfn.LAMBDA("VEERG 2026: 6.2.1.1, Equation (2)")</definedName>
    <definedName name="AgResidues_Equations_PastureResidues.VEERG_6_2_1_1__2__MassOfNitrogenInPastureResidues_Title">_xlfn.LAMBDA("Mass of nitrogen in pasture residues returned to the soil")</definedName>
    <definedName name="AgResidues_Equations_PastureResidues.VEERG_6_2_1_1__2__MassOfNitrogenInPastureResidues_Unit">_xlfn.LAMBDA("kg N")</definedName>
    <definedName name="AgResidues_Equations_PastureResidues.VEERG_6_2_1_1__2__MassOfNitrogenInPastureResidues_Variable">_xlfn.LAMBDA("Mp")</definedName>
    <definedName name="AgResidues_SourceData.BurningOfAgriculturalResiduesEFs_Data">_xlfn.LAMBDA(_xlfn.MAKEARRAY(6, 3, _xlfn.LAMBDA(_xlpm.r,_xlpm.c, INDEX({"Gas species","Emission factor EFg (Gg element in species/ Gg element in fuel burnt)","Elemental to molecular mass conversion factor (Cg)";"CH4",0.0035,"16/12";"N2O",0.0076,"44/28";"NOx",0.21,"46/14";"CO",0.078,"28/12";"NMVOC",0.0091,"14/12"}, _xlpm.r, _xlpm.c))))</definedName>
    <definedName name="AgResidues_SourceData.BurningOfAgriculturalResiduesEFs_Description">_xlfn.LAMBDA(("Burning of agricultural residues - EFs"))</definedName>
    <definedName name="AgResidues_SourceData.BurningOfAgriculturalResiduesEFs_Source">_xlfn.LAMBDA(("National Inventory Report 2023 volume 2: Table 5.31: Burning of agricultural residues - EFs"))</definedName>
    <definedName name="AgResidues_SourceData.BurningOfAgriculturalResiduesEFs_Title">_xlfn.LAMBDA(("Table 5.31 Burning of agricultural residues - EFs"))</definedName>
    <definedName name="AgResidues_SourceData.CropAttributes_Data">_xlfn.LAMBDA(_xlfn.MAKEARRAY(20, 9, _xlfn.LAMBDA(_xlpm.r,_xlpm.c, INDEX({"Crop type","Residue: Crop ratio","Below-ground: above-ground residue ratio","Dry matter content","Carbon fraction in dry matter","N content above-ground","N content below-ground","Fraction of residue remaining at time of burning","Burning efficiencyt";"c","RAGc","RBGc","DMc","CCc","NCAGc","NCBGc","Sc","Zc";"Wheat",1.5,0.29,0.88,0.4,0.006,0.01,0.5,0.9;"Barley",1.24,0.32,0.88,0.4,0.007,0.01,0.5,0.85;"Maize",0.81,0.39,0.85,0.42,0.005,0.007,1,0.8;"Oats",1.42,0.43,0.88,0.4,0.006,0.01,0.5,0.85;"Rice",1.31,0.16,0.8,0.42,0.007,0.01,1,0.8;"Sorghum",1.5,0.22,0.8,0.4,0.008,0.007,0.5,0.85;"Triticale",1.5,0.42,0.88,0.4,0.006,0.01,0.5,0.85;"Other cereals",1.46,0.36,0.88,0.4,0.006,0.01,0.5,0.85;"Pulses",1.37,0.51,0.87,0.4,0.009,0.01,0.5,0.85;"Tubers and roots",0.34,0.43,0.25,0.4,0.02,0.01,"n/a",0.85;"Peanuts",1.07,0.2,0.8,0.42,0.016,0.014,0.5,0.85;"Sugar cane",0.25,0.45,0.2,0.4,0.005,0.007,1,0.8;"Cotton",1.9,0.3,0.9,0.4,0.01,0.01,"n/a",0.85;"Hops",1.5,0.29,0.88,0.4,0.006,"n/a","n/a",0.85;"Oilseeds",2.08,0.33,0.96,0.4,0.009,0.01,0.5,0.85;"Forage crops",1.34,0.37,0.88,0.4,0.006,0.01,"n/a",0.85;"Other annual crops",1,0.22,0.85,0.4,0.008,0.009,"n/a","n/a";"Other perennial crops",1.5,0.29,0.88,0.4,0.006,"n/a","n/a","n/a"}, _xlpm.r, _xlpm.c))))</definedName>
    <definedName name="AgResidues_SourceData.CropAttributes_Description">_xlfn.LAMBDA(("Crop attributes"))</definedName>
    <definedName name="AgResidues_SourceData.CropAttributes_Source">_xlfn.LAMBDA(("VEERG 2026: Table A.2.1.1: Crop attributes"))</definedName>
    <definedName name="AgResidues_SourceData.CropAttributes_Title">_xlfn.LAMBDA(("Table A.2.1.1: Crop attributes"))</definedName>
    <definedName name="AgResidues_SourceData.CropAttributes_Variation">_xlfn.LAMBDA(("VARIATION FROM SOURCE: 'N/A' values passed as zero for calculations."))</definedName>
    <definedName name="AgResidues_SourceData.CropFractionRemoved_CustomisedData">_xlfn.LAMBDA(_xlfn.MAKEARRAY(144, 3, _xlfn.LAMBDA(_xlpm.r,_xlpm.c, INDEX({"Crop type c","State","Fraction removed FFODc";"Rice","NSW",0.06;"Rice","VIC",0.06;"Rice","QLD",0.06;"Rice","SA",0.06;"Rice","WA",0.06;"Rice","TAS",0.06;"Rice","NT",0.06;"Rice","ACT",0.06;"Tubers and roots","NSW",1;"Tubers and roots","VIC",1;"Tubers and roots","QLD",1;"Tubers and roots","SA",1;"Tubers and roots","WA",1;"Tubers and roots","TAS",1;"Tubers and roots","NT",1;"Tubers and roots","ACT",1;"Cotton","NSW",0;"Cotton","VIC",0;"Cotton","QLD",0;"Cotton","SA",0;"Cotton","WA",0;"Cotton","TAS",0;"Cotton","NT",0;"Cotton","ACT",0;"Hops","NSW",0;"Hops","VIC",0;"Hops","QLD",0;"Hops","SA",0;"Hops","WA",0;"Hops","TAS",0;"Hops","NT",0;"Hops","ACT",0;"Forage crops","NSW",0.8;"Forage crops","VIC",0.8;"Forage crops","QLD",0.8;"Forage crops","SA",0.8;"Forage crops","WA",0.8;"Forage crops","TAS",0.8;"Forage crops","NT",0.8;"Forage crops","ACT",0.8;"Sugar Cane","NSW",0;"Sugar Cane","VIC","N/A";"Sugar Cane","QLD",0.03;"Sugar Cane","SA","N/A";"Sugar Cane","WA",0;"Sugar Cane","TAS","N/A";"Sugar Cane","NT","N/A";"Sugar Cane","ACT","N/A";"Wheat","NSW",0.05;"Wheat","VIC",0.07;"Wheat","QLD",0.04;"Wheat","SA",0.09;"Wheat","WA",0.11;"Wheat","TAS",0.16;"Wheat","NT",0.01;"Wheat","ACT",0;"Barley","NSW",0.05;"Barley","VIC",0.07;"Barley","QLD",0.04;"Barley","SA",0.09;"Barley","WA",0.11;"Barley","TAS",0.16;"Barley","NT",0.01;"Barley","ACT",0;"Maize","NSW",0.05;"Maize","VIC",0.07;"Maize","QLD",0.04;"Maize","SA",0.09;"Maize","WA",0.11;"Maize","TAS",0.16;"Maize","NT",0.01;"Maize","ACT",0;"Oats","NSW",0.05;"Oats","VIC",0.07;"Oats","QLD",0.04;"Oats","SA",0.09;"Oats","WA",0.11;"Oats","TAS",0.16;"Oats","NT",0.01;"Oats","ACT",0;"Sorghum","NSW",0.05;"Sorghum","VIC",0.07;"Sorghum","QLD",0.04;"Sorghum","SA",0.09;"Sorghum","WA",0.11;"Sorghum","TAS",0.16;"Sorghum","NT",0.01;"Sorghum","ACT",0;"Triticale","NSW",0.05;"Triticale","VIC",0.07;"Triticale","QLD",0.04;"Triticale","SA",0.09;"Triticale","WA",0.11;"Triticale","TAS",0.16;"Triticale","NT",0.01;"Triticale","ACT",0;"Other cereals","NSW",0.05;"Other cereals","VIC",0.07;"Other cereals","QLD",0.04;"Other cereals","SA",0.09;"Other cereals","WA",0.11;"Other cereals","TAS",0.16;"Other cereals","NT",0.01;"Other cereals","ACT",0;"Pulses","NSW",0.05;"Pulses","VIC",0.07;"Pulses","QLD",0.04;"Pulses","SA",0.09;"Pulses","WA",0.11;"Pulses","TAS",0.16;"Pulses","NT",0.01;"Pulses","ACT",0;"Peanuts","NSW",0.05;"Peanuts","VIC",0.07;"Peanuts","QLD",0.04;"Peanuts","SA",0.09;"Peanuts","WA",0.11;"Peanuts","TAS",0.16;"Peanuts","NT",0.01;"Peanuts","ACT",0;"Oilseeds","NSW",0.05;"Oilseeds","VIC",0.07;"Oilseeds","QLD",0.04;"Oilseeds","SA",0.09;"Oilseeds","WA",0.11;"Oilseeds","TAS",0.16;"Oilseeds","NT",0.01;"Oilseeds","ACT",0;"Other annual crops","NSW",0.05;"Other annual crops","VIC",0.07;"Other annual crops","QLD",0.04;"Other annual crops","SA",0.09;"Other annual crops","WA",0.11;"Other annual crops","TAS",0.16;"Other annual crops","NT",0.01;"Other annual crops","ACT",0;"Other perennial crops","NSW",0.05;"Other perennial crops","VIC",0.07;"Other perennial crops","QLD",0.04;"Other perennial crops","SA",0.09;"Other perennial crops","WA",0.11;"Other perennial crops","TAS",0.16;"Other perennial crops","NT",0.01;"Other perennial crops","ACT",0}, _xlpm.r, _xlpm.c))))</definedName>
    <definedName name="AgResidues_SourceData.CropFractionRemoved_Data">_xlfn.LAMBDA(_xlfn.MAKEARRAY(20, 3, _xlfn.LAMBDA(_xlpm.r,_xlpm.c, INDEX({"Crop type c","State","Fraction removed FFODc";"Rice","All states",0.06;"Tubers and roots","All states",1;"Cotton","All states",0;"Hops","All states",0;"Forage crops","All states",0.8;"Sugar Cane","NSW",0;"Sugar Cane","QLD",0.03;"Sugar Cane","WA",0;"All other crop types","NSW",0.05;"All other crop types","VIC",0.07;"All other crop types","QLD",0.04;"All other crop types","SA",0.09;"All other crop types","WA",0.11;"All other crop types","TAS",0.16;"All other crop types","NT",0.01;"All other crop types","ACT",0}, _xlpm.r, _xlpm.c))))</definedName>
    <definedName name="AgResidues_SourceData.CropFractionRemoved_Description">_xlfn.LAMBDA(("Crop attributes - Fraction removed (FFODc)"))</definedName>
    <definedName name="AgResidues_SourceData.CropFractionRemoved_Source">_xlfn.LAMBDA(("VEERG 2026: Table A.2.1.2: Crop attributes - Fraction removed (FFODc)"))</definedName>
    <definedName name="AgResidues_SourceData.CropFractionRemoved_Title">_xlfn.LAMBDA(("Table A.2.1.2: Crop attributes - Fraction removed (FFODc)"))</definedName>
    <definedName name="AgResidues_SourceData.CropFractionRemoved_Variation">_xlfn.LAMBDA(("VARIATION OF SOURCE DATA: Split 'All other crop types' into individual crop types for each state. Listed all states for Sugar Cane, with 'N/A' for states where it is not grown."))</definedName>
    <definedName name="AgResidues_SourceData.PastureAttributes_Data">_xlfn.LAMBDA(_xlfn.MAKEARRAY(6, 6, _xlfn.LAMBDA(_xlpm.r,_xlpm.c, INDEX({"Pasture type","Average Yield (t DM ha) Yp","Below-ground: above-ground residue ratio RBGp","N content Above-ground NCAGp","N content Below-ground NCBGp","Fraction of pasture yield that is removed FFODp";"Annual grass",4.41,0.4,0.015,0.012,0.8;"Grass clover mixture",8.34,0.8,0.025,0.016,0.8;"Lucerne",8.62,0.4,0.027,0.019,0.8;"Other legume",5.62,0.4,0.027,0.022,0.8;"Perennial pasture",8.35,0.8,0.015,0.012,0.8}, _xlpm.r, _xlpm.c))))</definedName>
    <definedName name="AgResidues_SourceData.PastureAttributes_Description">_xlfn.LAMBDA(("Pasture attributes"))</definedName>
    <definedName name="AgResidues_SourceData.PastureAttributes_Source">_xlfn.LAMBDA(("VEERG 2026: Table A.2.1.3: Pasture attributes"))</definedName>
    <definedName name="AgResidues_SourceData.PastureAttributes_Title">_xlfn.LAMBDA(("Table A.2.1.3 Pasture attributes"))</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IFERROR(_xlfn.XLOOKUP(_xlpm.LookupValue1, _xlpm.LookupArray1, _xlfn.XLOOKUP(_xlpm.LookupValue2, _xlpm.LookupArray2, _xlpm.ReturnArray)), IF(_xlfn.ISOMITTED(_xlpm.ValueIfFalse), "", _xlpm.ValueIfFalse)))</definedName>
    <definedName name="Common_InputFunctions.Utility_LookupValueInTableTwoColumns">_xlfn.LAMBDA(_xlpm.LookupValue1,_xlpm.LookupValue2,_xlpm.LookupArray1,_xlpm.LookupArray2,_xlpm.ReturnArray,_xlop.ValueIFFalse, _xlfn.XLOOKUP(1, (_xlpm.LookupArray1 = _xlpm.LookupValue1) * (_xlpm.LookupArray2 = _xlpm.LookupValue2), _xlpm.ReturnArray, IF(_xlfn.ISOMITTED(_xlpm.ValueIFFalse), "", _xlpm.ValueIFFalse)))</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AgSoils_Equations.AgSoils_AtmosphericDeposition">_xlfn.LAMBDA(_xlpm.Mvolm,_xlpm.Efad,_xlpm.CgN2O, (_xlpm.Mvolm * _xlpm.Efad * _xlpm.CgN2O * 10 ^ -3))</definedName>
    <definedName name="CommonAgSoils_Equations.AgSoils_AtmosphericDeposition_Arguments">_xlfn.LAMBDA(_xlfn.MAKEARRAY(3, 3, _xlfn.LAMBDA(_xlpm.r,_xlpm.c, INDEX({"Mvolm","Mass of nitrogen volatilised from urine and faeces deposited on pasture","kg N";"EFad","Emission factor for atmospheric deposition","kg N2O-N/kg N";"CgN2O","Factor to convert elemental mass of N2O to molecular mass",""}, _xlpm.r, _xlpm.c))))</definedName>
    <definedName name="CommonAgSoils_Equations.AgSoils_AtmosphericDeposition_GWP">_xlfn.LAMBDA(_xlpm.EN2Oad,_xlpm.GWPN2O, (_xlpm.EN2Oad * _xlpm.GWPN2O))</definedName>
    <definedName name="CommonAgSoils_Equations.AgSoils_AtmosphericDeposition_NIRReference">_xlfn.LAMBDA("National Inventory Report Volume 1, 2023: 3.D.B_4")</definedName>
    <definedName name="CommonAgSoils_Equations.AgSoils_AtmosphericDeposition_ReadableEquation">_xlfn.LAMBDA("EN2Oad = Mvolm * EFad * CgN2O * 10 ^ - 3")</definedName>
    <definedName name="CommonAgSoils_Equations.AgSoils_AtmosphericDeposition_Title">_xlfn.LAMBDA("Atmospheric deposition emissions from urine and dung deposited by grazing animals on pasture, range and paddock")</definedName>
    <definedName name="CommonAgSoils_Equations.AgSoils_AtmosphericDeposition_Unit">_xlfn.LAMBDA("t N2O")</definedName>
    <definedName name="CommonAgSoils_Equations.AgSoils_AtmosphericDeposition_Variable">_xlfn.LAMBDA("EN2Oad")</definedName>
    <definedName name="CommonAgSoils_Equations.AgSoils_LeachingAndRunoff">_xlfn.LAMBDA(_xlpm.Mleach,_xlpm.EFleach,_xlpm.CgN2O, (_xlpm.Mleach * _xlpm.EFleach * _xlpm.CgN2O * 10 ^ -3))</definedName>
    <definedName name="CommonAgSoils_Equations.AgSoils_LeachingAndRunoff_Arguments">_xlfn.LAMBDA(_xlfn.MAKEARRAY(3, 3, _xlfn.LAMBDA(_xlpm.r,_xlpm.c, INDEX({"Mleach","Mass of nitrogen lost to leached and run off","kg N";"EFleach","Emission factor for leaching and runoff","kg N2O-N/kg N";"CgN2O","Factor to convert elemental mass of N2O to molecular mass",""}, _xlpm.r, _xlpm.c))))</definedName>
    <definedName name="CommonAgSoils_Equations.AgSoils_LeachingAndRunoff_GWP">_xlfn.LAMBDA(_xlpm.EN2Oleach,_xlpm.GWPN2O, (_xlpm.EN2Oleach * _xlpm.GWPN2O))</definedName>
    <definedName name="CommonAgSoils_Equations.AgSoils_LeachingAndRunoff_NIRReference">_xlfn.LAMBDA("National Inventory Report Volume 1, 2023: 3.D.B_10")</definedName>
    <definedName name="CommonAgSoils_Equations.AgSoils_LeachingAndRunoff_ReadableEquation">_xlfn.LAMBDA("EN2Oleach = Mleach * EFleach * CgN2O * 10 ^ - 3")</definedName>
    <definedName name="CommonAgSoils_Equations.AgSoils_LeachingAndRunoff_Title">_xlfn.LAMBDA("Leaching and runoff emissions from crop residue,inorganic and organic fertiliser applied to soil, urine and dung deposited on pasture")</definedName>
    <definedName name="CommonAgSoils_Equations.AgSoils_LeachingAndRunoff_Unit">_xlfn.LAMBDA("t N2O")</definedName>
    <definedName name="CommonAgSoils_Equations.AgSoils_LeachingAndRunoff_Variable">_xlfn.LAMBDA("EN2Oleach")</definedName>
    <definedName name="CommonAgSoils_Equations.AgSoils_MassAnimalWasteNLost">_xlfn.LAMBDA(_xlpm.MNjm,_xlpm.UNjm,_xlpm.FNjm,_xlpm.FracWET,_xlpm.FracLEACH, (_xlpm.MNjm + _xlpm.UNjm + _xlpm.FNjm) * _xlpm.FracWET * _xlpm.FracLEACH)</definedName>
    <definedName name="CommonAgSoils_Equations.AgSoils_MassAnimalWasteNLost_Arguments">_xlfn.LAMBDA(_xlfn.MAKEARRAY(3, 3, _xlfn.LAMBDA(_xlpm.r,_xlpm.c, INDEX({"MNjm","Mass of nitrogen in manure applied to soils","kg N";"UNjm","Mass of nitrogen in urine deposited on pasture, range and paddock","kg N";"FNjm","Mass of nitrogen in dung deposited on pasture,range and paddock","kg N";"FracWET","Fraction of nitrogen available for leaching and runoff in the climate zone of the entity","fraction";"FracLEACH","Fraction of nitrogen that is lost through leaching and runoff","fraction"}, _xlpm.r, _xlpm.c))))</definedName>
    <definedName name="CommonAgSoils_Equations.AgSoils_MassAnimalWasteNLost_NIRReference">_xlfn.LAMBDA("National Inventory Report Volume 1, 2023: 3.D.B_6")</definedName>
    <definedName name="CommonAgSoils_Equations.AgSoils_MassAnimalWasteNLost_ReadableEquation">_xlfn.LAMBDA("Mleachanimalwaste=(MNjm+UNjm+FNjm)*FracWET*FracLEACH")</definedName>
    <definedName name="CommonAgSoils_Equations.AgSoils_MassAnimalWasteNLost_Title">_xlfn.LAMBDA("Mass of nitrogen lost from manure, urine and dung to leaching and runoff")</definedName>
    <definedName name="CommonAgSoils_Equations.AgSoils_MassAnimalWasteNLost_Unit">_xlfn.LAMBDA("kg N")</definedName>
    <definedName name="CommonAgSoils_Equations.AgSoils_MassAnimalWasteNLost_Variable">_xlfn.LAMBDA("Mleachanimalwaste")</definedName>
    <definedName name="CommonAgSoils_Equations.AgSoils_MassCropResidueNLost">_xlfn.LAMBDA(_xlpm.M,_xlpm.FracWET,_xlpm.FracLEACH, _xlpm.M * _xlpm.FracWET * _xlpm.FracLEACH)</definedName>
    <definedName name="CommonAgSoils_Equations.AgSoils_MassCropResidueNLost_Arguments">_xlfn.LAMBDA(_xlfn.MAKEARRAY(3, 3, _xlfn.LAMBDA(_xlpm.r,_xlpm.c, INDEX({"M","Mass of nitrogen in crop residue applied to soils","kg N";"FracWET","Fraction of nitrogen available for leaching and runoff in the climate zone of the entity","fraction";"FracLEACH","Fraction of nitrogen that is lost through leaching and runoff","fraction"}, _xlpm.r, _xlpm.c))))</definedName>
    <definedName name="CommonAgSoils_Equations.AgSoils_MassCropResidueNLost_NIRReference">_xlfn.LAMBDA("National Inventory Report Volume 1, 2023: 3.D.B_8")</definedName>
    <definedName name="CommonAgSoils_Equations.AgSoils_MassCropResidueNLost_ReadableEquation">_xlfn.LAMBDA("Mleachresidue = M * FracWET * FracLEACH")</definedName>
    <definedName name="CommonAgSoils_Equations.AgSoils_MassCropResidueNLost_Title">_xlfn.LAMBDA("Mass of nitrogen lost from crop residue to leaching and runoff")</definedName>
    <definedName name="CommonAgSoils_Equations.AgSoils_MassCropResidueNLost_Unit">_xlfn.LAMBDA("kg N")</definedName>
    <definedName name="CommonAgSoils_Equations.AgSoils_MassCropResidueNLost_Variable">_xlfn.LAMBDA("Mleachresidue")</definedName>
    <definedName name="CommonAgSoils_Equations.AgSoils_MassInorganicFertiliserNLost">_xlfn.LAMBDA(_xlpm.M,_xlpm.FracWET,_xlpm.FracLEACH, _xlpm.M * _xlpm.FracWET * _xlpm.FracLEACH)</definedName>
    <definedName name="CommonAgSoils_Equations.AgSoils_MassInorganicFertiliserNLost_Arguments">_xlfn.LAMBDA(_xlfn.MAKEARRAY(3, 3, _xlfn.LAMBDA(_xlpm.r,_xlpm.c, INDEX({"M","Mass of nitrogen in inorganic fertiliser applied to soils","kg N";"FracWET","Fraction of nitrogen available for leaching and runoff in the climate zone of the entity","fraction";"FracLEACH","Fraction of nitrogen that is lost through leaching and runoff","fraction"}, _xlpm.r, _xlpm.c))))</definedName>
    <definedName name="CommonAgSoils_Equations.AgSoils_MassInorganicFertiliserNLost_NIRReference">_xlfn.LAMBDA("National Inventory Report Volume 1, 2023: 3.D.B_5")</definedName>
    <definedName name="CommonAgSoils_Equations.AgSoils_MassInorganicFertiliserNLost_ReadableEquation">_xlfn.LAMBDA("Mleachinorganic = M * FracWET * FracLEACH")</definedName>
    <definedName name="CommonAgSoils_Equations.AgSoils_MassInorganicFertiliserNLost_Title">_xlfn.LAMBDA("Mass of nitrogen lost from inorganic fertiliser to leaching and runoff")</definedName>
    <definedName name="CommonAgSoils_Equations.AgSoils_MassInorganicFertiliserNLost_Unit">_xlfn.LAMBDA("kg N")</definedName>
    <definedName name="CommonAgSoils_Equations.AgSoils_MassInorganicFertiliserNLost_Variable">_xlfn.LAMBDA("Mleachinorganic")</definedName>
    <definedName name="CommonAgSoils_Equations.AgSoils_MassVolatilisedAnimalWaste">_xlfn.LAMBDA(_xlpm.MNjm,_xlpm.UNjm,_xlpm.FNjm,_xlpm.FracGASMsoil, (_xlpm.MNjm + _xlpm.UNjm + _xlpm.FNjm) * _xlpm.FracGASMsoil)</definedName>
    <definedName name="CommonAgSoils_Equations.AgSoils_MassVolatilisedAnimalWaste_Arguments">_xlfn.LAMBDA(_xlfn.MAKEARRAY(4, 3, _xlfn.LAMBDA(_xlpm.r,_xlpm.c, INDEX({"MNjm","Mass of manure nitrogen applied to soils","kg N";"UNjm","Mass of urine nitrogen excreted on pasture, range and paddock for each dairy cattle class","kg N";"FNjm","Mass of faecal nitrogen excreted on pasture, range and paddock for each dairy cattle class","kg N";"FracGASMsoil","Fraction of nitrogen volatilised from urine and faeces deposited on pasture","(kg NH3-N + NOx-N)/kg N"}, _xlpm.r, _xlpm.c))))</definedName>
    <definedName name="CommonAgSoils_Equations.AgSoils_MassVolatilisedAnimalWaste_NIRReference">_xlfn.LAMBDA("National Inventory Report Volume 1, 2023: 3.D.B_2")</definedName>
    <definedName name="CommonAgSoils_Equations.AgSoils_MassVolatilisedAnimalWaste_ReadableEquation">_xlfn.LAMBDA("Mvolm = (MNjm + UNjm + FNjm) * FracGASMsoil")</definedName>
    <definedName name="CommonAgSoils_Equations.AgSoils_MassVolatilisedAnimalWaste_Title">_xlfn.LAMBDA("Mass of nitrogen volatilised from manure, urine and faeces deposited on soils")</definedName>
    <definedName name="CommonAgSoils_Equations.AgSoils_MassVolatilisedAnimalWaste_Unit">_xlfn.LAMBDA("kg N")</definedName>
    <definedName name="CommonAgSoils_Equations.AgSoils_MassVolatilisedAnimalWaste_Variable">_xlfn.LAMBDA("Mvolm")</definedName>
    <definedName name="CommonAgSoils_Equations.Agsoils_MassVolatilisedInorganicFertiliser">_xlfn.LAMBDA(_xlpm.MNf,_xlpm.FracGASFf, _xlpm.MNf * _xlpm.FracGASFf)</definedName>
    <definedName name="CommonAgSoils_Equations.Agsoils_MassVolatilisedInorganicFertiliser_Arguments">_xlfn.LAMBDA(_xlfn.MAKEARRAY(2, 3, _xlfn.LAMBDA(_xlpm.r,_xlpm.c, INDEX({"MNf","Mass of nitrogen in inorganic fertiliser applied","kg N";"FracGASFf","Fraction of inorganic fertiliser that volatilises","(kg NH3–N + NOx–N)/kg N"}, _xlpm.r, _xlpm.c))))</definedName>
    <definedName name="CommonAgSoils_Equations.Agsoils_MassVolatilisedInorganicFertiliser_NIRReference">_xlfn.LAMBDA("National Inventory Report Volume 1, 2023: 3.D.B_1")</definedName>
    <definedName name="CommonAgSoils_Equations.Agsoils_MassVolatilisedInorganicFertiliser_ReadableEquation">_xlfn.LAMBDA("Mvolinorganic = MNf * FracGASFf")</definedName>
    <definedName name="CommonAgSoils_Equations.Agsoils_MassVolatilisedInorganicFertiliser_Title">_xlfn.LAMBDA("Mass of nitrogen volatilised from inorganic fertiliser deposited on soils")</definedName>
    <definedName name="CommonAgSoils_Equations.Agsoils_MassVolatilisedInorganicFertiliser_Unit">_xlfn.LAMBDA("kg N")</definedName>
    <definedName name="CommonAgSoils_Equations.Agsoils_MassVolatilisedInorganicFertiliser_Variable">_xlfn.LAMBDA("Mvolinorganic")</definedName>
    <definedName name="CommonAgSoils_Equations.AgSoils_UrineAndDungDeposited">_xlfn.LAMBDA(_xlpm.AFjm,_xlpm.AUjm,_xlpm.EFPRP,_xlpm.CgN2O, ((_xlpm.AFjm * _xlpm.EFPRP * _xlpm.CgN2O) + (_xlpm.AUjm * _xlpm.EFPRP * _xlpm.CgN2O)) * 10 ^ -3)</definedName>
    <definedName name="CommonAgSoils_Equations.AgSoils_UrineAndDungDeposited_Arguments">_xlfn.LAMBDA(_xlfn.MAKEARRAY(4, 3, _xlfn.LAMBDA(_xlpm.r,_xlpm.c, INDEX({"AFjm","mass of N in dung deposited on pasture, range and paddock","kg N";"AUjm","mass of N in urine deposited on pasture, range and paddock","kg N";"EFPRP","direct N2O emission factor for pasture, range and paddock","kg N2O-N/kg N";"CgN2O","factor to convert elemental mass of N2O to molecular mass",""}, _xlpm.r, _xlpm.c))))</definedName>
    <definedName name="CommonAgSoils_Equations.AgSoils_UrineAndDungDeposited_GWP">_xlfn.LAMBDA(_xlpm.EN2Odir,_xlpm.GWPN2O, (_xlpm.EN2Odir * _xlpm.GWPN2O))</definedName>
    <definedName name="CommonAgSoils_Equations.AgSoils_UrineAndDungDeposited_NIRReference">_xlfn.LAMBDA("National Inventory Report Volume 1, 2023: 3.D.a.3")</definedName>
    <definedName name="CommonAgSoils_Equations.AgSoils_UrineAndDungDeposited_ReadableEquation">_xlfn.LAMBDA("EN2Odir = ((AFjm=14 * EFPRP * CgN2O) + (AUjm=14 * EFPRP * CgN2O)) * 10^-3")</definedName>
    <definedName name="CommonAgSoils_Equations.AgSoils_UrineAndDungDeposited_Title">_xlfn.LAMBDA("Nitrous oxide production from urine and dung deposited by grazing animals on pasture, range and paddock")</definedName>
    <definedName name="CommonAgSoils_Equations.AgSoils_UrineAndDungDeposited_Unit">_xlfn.LAMBDA("t N2O")</definedName>
    <definedName name="CommonAgSoils_Equations.AgSoils_UrineAndDungDeposited_Variable">_xlfn.LAMBDA("EN2Odir")</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[0]!Common_InputFunctions.Utility_LookupValueInTableNumber(_xlpm.CropType,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Cropping_SourceData.CommonCropping_SourceData_FracWETIrrigation_Data">_xlfn.LAMBDA(_xlfn.MAKEARRAY(6, 2, _xlfn.LAMBDA(_xlpm.r,_xlpm.c, INDEX({"Irrigation type ir","FracWET";"Not irrigated",0;"Drip irrigation",0;"Sprinkler irrigation",1;"Surface irrigation",1;"Other irrigation",1}, _xlpm.r, _xlpm.c))))</definedName>
    <definedName name="CommonCropping_SourceData.CommonCropping_SourceData_FracWETIrrigation_NIRReference">_xlfn.LAMBDA("IPCC 2019 Refinement Volume 4: Chapter 11: N2O Emissions from Managed Soils, and CO2 Emissions from Lime and Urea Application")</definedName>
    <definedName name="CommonCropping_SourceData.CommonCropping_SourceData_FracWETIrrigation_Source">_xlfn.LAMBDA("VEERG 2026: Chapter 1, section 1.8.2 Leaching, climate and rainfall zones")</definedName>
    <definedName name="CommonCropping_SourceData.CommonCropping_SourceData_FracWETIrrigation_Title">_xlfn.LAMBDA("FracWET for irrigation types")</definedName>
    <definedName name="CommonCropping_SourceData.CommonCropping_SourceData_FracWETIrrigation_Unit">_xlfn.LAMBDA("dimensionless")</definedName>
    <definedName name="CommonCropping_SourceData.CommonCropping_SourceData_FracWETIrrigation_Variation">_xlfn.LAMBDA("VARIATION FROM SOURCE DATA: Table created based on VEERG text 'Areas are subject to leaching (i.e., in the leaching zone) when... the land is irrigated (except drip irrigation).'")</definedName>
    <definedName name="CommonCropping_SourceData.CommonCropping_SourceData_N2OEFOrganicFertiliser_Data">_xlfn.LAMBDA(_xlfn.MAKEARRAY(3, 2, _xlfn.LAMBDA(_xlpm.r,_xlpm.c, INDEX({"Climate zone i","EF i N2O";"Wet climate zone",0.006;"Dry climate zone",0.005}, _xlpm.r, _xlpm.c))))</definedName>
    <definedName name="CommonCropping_SourceData.CommonCropping_SourceData_N2OEFOrganicFertiliser_NIRReference">_xlfn.LAMBDA("IPCC 2019 Refinement Volume 4 Table 11.1 [1, p. 11]")</definedName>
    <definedName name="CommonCropping_SourceData.CommonCropping_SourceData_N2OEFOrganicFertiliser_Source">_xlfn.LAMBDA("VEERG 2026: Table A.2.1.4")</definedName>
    <definedName name="CommonCropping_SourceData.CommonCropping_SourceData_N2OEFOrganicFertiliser_Title">_xlfn.LAMBDA("Emission factor for organic fertiliser and crop residues returned to the soil")</definedName>
    <definedName name="CommonCropping_SourceData.CommonCropping_SourceData_N2OEFOrganicFertiliser_Unit">_xlfn.LAMBDA("kg N2O - N / kg N")</definedName>
    <definedName name="CommonCropping_SourceData.CommonCropping_SourceData_N2OEFsInorganicFertiliser_Data">_xlfn.LAMBDA(_xlfn.MAKEARRAY(8, 2, _xlfn.LAMBDA(_xlpm.r,_xlpm.c, INDEX({"Production system","Emission factor";"Irrigated pasture",0.0059;"Irrigated crop",0.007;"Non-irrigated pasture",0.0018;"Non-irrigated crop",0.0041;"Sugar cane",0.0199;"Cotton",0.0053;"Horticulture",0.0064}, _xlpm.r, _xlpm.c))))</definedName>
    <definedName name="CommonCropping_SourceData.CommonCropping_SourceData_N2OEFsInorganicFertiliser_Source">_xlfn.LAMBDA("National Inventory Report 2023 Volume 1: Table 5.21")</definedName>
    <definedName name="CommonCropping_SourceData.CommonCropping_SourceData_N2OEFsInorganicFertiliser_Title">_xlfn.LAMBDA("Nitrous oxide EFs for inorganic fertiliser")</definedName>
    <definedName name="CommonCropping_SourceData.CommonCropping_SourceData_N2OEFsInorganicFertiliser_Unit">_xlfn.LAMBDA("Gg N2O-N/ Gg N")</definedName>
    <definedName name="CommonCropping_SourceData.CommonCropping_SourceData_UreaCO2EF_Data">_xlfn.LAMBDA(0.2)</definedName>
    <definedName name="CommonCropping_SourceData.CommonCropping_SourceData_UreaCO2EF_Source">_xlfn.LAMBDA("National Inventory Report 2023 Volume 1: Equation 3.H_1")</definedName>
    <definedName name="CommonCropping_SourceData.CommonCropping_SourceData_UreaCO2EF_Title">_xlfn.LAMBDA("Emission factor for carbon emissions from urea application")</definedName>
    <definedName name="CommonCropping_SourceData.CommonCropping_SourceData_UreaCO2EF_Unit">_xlfn.LAMBDA("tonne C/tonne urea")</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24">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24">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24">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24">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24">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lectricity_Equations.VEERG_10_1_1__1_Scope2Electricity_LocationBased">_xlfn.LAMBDA(_xlpm.Qelec,_xlpm.EF2elec, _xlpm.Qelec * _xlpm.EF2elec * 10 ^ -3)</definedName>
    <definedName name="Electricity_Equations.VEERG_10_1_1__1_Scope2Electricity_LocationBased_Arguments">_xlfn.LAMBDA(_xlfn.MAKEARRAY(3, 3, _xlfn.LAMBDA(_xlpm.r,_xlpm.c, INDEX({"Qelec","Amount of electricity purchased from the grid","kWh";"EF2,elec","Location - based Scope 2 emission factor for electricity","kg CO2e / kWh";"2","Scope 2",""}, _xlpm.r, _xlpm.c))))</definedName>
    <definedName name="Electricity_Equations.VEERG_10_1_1__1_Scope2Electricity_LocationBased_NIRReference">_xlfn.LAMBDA("Australian National Greenhouse Accounts Factors 2025 - 2.2 Estimating emissions from stationary energy sources")</definedName>
    <definedName name="Electricity_Equations.VEERG_10_1_1__1_Scope2Electricity_LocationBased_ReadableEquation">_xlfn.LAMBDA("E2,elec = Qelec * EF2,elec * 10 ^ - 3")</definedName>
    <definedName name="Electricity_Equations.VEERG_10_1_1__1_Scope2Electricity_LocationBased_Source">_xlfn.LAMBDA("VEERG 2026: 10.1.1, Equation (1)")</definedName>
    <definedName name="Electricity_Equations.VEERG_10_1_1__1_Scope2Electricity_LocationBased_Title">_xlfn.LAMBDA("Location-based Scope 2 emissions from purchased electricity")</definedName>
    <definedName name="Electricity_Equations.VEERG_10_1_1__1_Scope2Electricity_LocationBased_Unit">_xlfn.LAMBDA("t CO2-e")</definedName>
    <definedName name="Electricity_Equations.VEERG_10_1_1__1_Scope2Electricity_LocationBased_Variable">_xlfn.LAMBDA("E2elec")</definedName>
    <definedName name="Electricity_Equations.VEERG_11_9_1_1__1_Scope3Electricity_LocationBased">_xlfn.LAMBDA(_xlpm.Qelec,_xlpm.EF3elec, _xlpm.Qelec * _xlpm.EF3elec * 10 ^ -3)</definedName>
    <definedName name="Electricity_Equations.VEERG_11_9_1_1__1_Scope3Electricity_LocationBased_Arguments">_xlfn.LAMBDA(_xlfn.MAKEARRAY(3, 3, _xlfn.LAMBDA(_xlpm.r,_xlpm.c, INDEX({"Qelec","Amount of electricity purchased from the grid","kWh";"EF3,elec","Location - based Scope 3 emission factor for electricity","kg CO2e / kWh";"3","Scope 3",""}, _xlpm.r, _xlpm.c))))</definedName>
    <definedName name="Electricity_Equations.VEERG_11_9_1_1__1_Scope3Electricity_LocationBased_NIRReference">_xlfn.LAMBDA("Australian National Greenhouse Accounts Factors 2025 - 2.2 Estimating emissions from stationary energy sources")</definedName>
    <definedName name="Electricity_Equations.VEERG_11_9_1_1__1_Scope3Electricity_LocationBased_ReadableEquation">_xlfn.LAMBDA("E3,elec = Qelec * EF3,elec * 10 ^ - 3")</definedName>
    <definedName name="Electricity_Equations.VEERG_11_9_1_1__1_Scope3Electricity_LocationBased_Source">_xlfn.LAMBDA("VEERG 2026: 11.9.1.1, Equation (1)")</definedName>
    <definedName name="Electricity_Equations.VEERG_11_9_1_1__1_Scope3Electricity_LocationBased_Title">_xlfn.LAMBDA("Location-based Scope 3 emissions from purchased electricity")</definedName>
    <definedName name="Electricity_Equations.VEERG_11_9_1_1__1_Scope3Electricity_LocationBased_Unit">_xlfn.LAMBDA("t CO2-e")</definedName>
    <definedName name="Electricity_Equations.VEERG_11_9_1_1__1_Scope3Electricity_LocationBased_Variable">_xlfn.LAMBDA("E3elec")</definedName>
    <definedName name="Electricity_Equations.VEERG_14_1_1__1_LocationBasedScopeElectricityEmissions">_xlfn.LAMBDA(_xlpm.Q_elec,_xlpm.EF_2elec, _xlpm.Q_elec * _xlpm.EF_2elec * 10 ^ -3)</definedName>
    <definedName name="Electricity_Equations.VEERG_14_1_1__1_LocationBasedScopeElectricityEmissions_Arguments">_xlfn.LAMBDA(_xlfn.MAKEARRAY(3, 4, _xlfn.LAMBDA(_xlpm.r,_xlpm.c, INDEX({"Q_elec","amount of electricity purchased from the grid","kWh","Input";"EF_2elec","location-based Scope 2 emission factor for electricity","kg CO2e/kWh","Constant";"g","Grid electricity was purchased from","","Input"}, _xlpm.r, _xlpm.c))))</definedName>
    <definedName name="Electricity_Equations.VEERG_14_1_1__1_LocationBasedScopeElectricityEmissions_LatexEquation">_xlfn.LAMBDA("E_{2,elec}=Q_{elec}\times EF_{2,elec}\times 10^{-3}")</definedName>
    <definedName name="Electricity_Equations.VEERG_14_1_1__1_LocationBasedScopeElectricityEmissions_NIRReference">_xlfn.LAMBDA("")</definedName>
    <definedName name="Electricity_Equations.VEERG_14_1_1__1_LocationBasedScopeElectricityEmissions_Source">_xlfn.LAMBDA("VEERG 2026: 14.1.1, Equation (1)")</definedName>
    <definedName name="Electricity_Equations.VEERG_14_1_1__1_LocationBasedScopeElectricityEmissions_Title">_xlfn.LAMBDA("Location-based Scope 2 emissions from purchased electricity")</definedName>
    <definedName name="Electricity_Equations.VEERG_14_1_1__1_LocationBasedScopeElectricityEmissions_Unit">_xlfn.LAMBDA("t CO2e")</definedName>
    <definedName name="Electricity_Equations.VEERG_14_1_1__1_LocationBasedScopeElectricityEmissions_Variable">_xlfn.LAMBDA("E_2elec")</definedName>
    <definedName name="Electricity_Equations.VEERG_14_1_1__1_LocationBasedScopeElectricityEmissions_Variation">_xlfn.LAMBDA("Added g variable to capture which grid electricity was purchased from")</definedName>
    <definedName name="Electricity_Equations.VEERG_14_1_2__1_MarketBasedScopeElectricityEmissions">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_Arguments">_xlfn.LAMBDA(_xlfn.MAKEARRAY(7, 4, _xlfn.LAMBDA(_xlpm.r,_xlpm.c, INDEX({"Q_elec","amount of electricity purchased from the grid","kWh","Input";"RPP","Renewable Power Percentage under the Large-scale Renewable Energy Target (LRET)","per cent","Input";"JRPP","jurisdictional renewable power percentage for the applicable period (ACT only)","per cent","Input";"REC_surrendered","Renewable Energy Certificates voluntarily surrendered in the reporting year","MWh","Input";"REC_onsite","Renewable Energy Certificates issued for electricity produced on-site during the year and consumed by the entity","MWh","Input";"EF_RMF2elec","Scope 2 residual mix emission factor for electricity","kg CO2e/kWh","Constant";"i","state","","Input"}, _xlpm.r, _xlpm.c))))</definedName>
    <definedName name="Electricity_Equations.VEERG_14_1_2__1_MarketBasedScopeElectricityEmissions_LatexEquation">_xlfn.LAMBDA("E_{2,elec}=(Q_{elec} \times (1-(RPP+JRPP)) - ((REC_{surrendered}-REC_{onsite})\times 10^{-3})) \times EF_{RMF2,elec} \times 10^{-3}")</definedName>
    <definedName name="Electricity_Equations.VEERG_14_1_2__1_MarketBasedScopeElectricityEmissions_NIRReference">_xlfn.LAMBDA("")</definedName>
    <definedName name="Electricity_Equations.VEERG_14_1_2__1_MarketBasedScopeElectricityEmissions_Source">_xlfn.LAMBDA("VEERG 2026: 14.1.2, Equation (1)")</definedName>
    <definedName name="Electricity_Equations.VEERG_14_1_2__1_MarketBasedScopeElectricityEmissions_Title">_xlfn.LAMBDA("Market-based Scope 2 emissions from purchased electricity")</definedName>
    <definedName name="Electricity_Equations.VEERG_14_1_2__1_MarketBasedScopeElectricityEmissions_Unit">_xlfn.LAMBDA("t CO2e")</definedName>
    <definedName name="Electricity_Equations.VEERG_14_1_2__1_MarketBasedScopeElectricityEmissions_Variable">_xlfn.LAMBDA("E_2elec")</definedName>
    <definedName name="Electricity_Equations.VEERG_14_1_2__1_MarketBasedScopeElectricityEmissions_Variation">_xlfn.LAMBDA("VARIATION ON SOURCE: In order to convert megawatt hours to kilowatt hours, the REC_surrendered and REC_onsite variables are multiplied by 10^3 instead of 10^-3.")</definedName>
    <definedName name="Electricity_Equations.VEERG_14_1_2__1_MarketBasedScopeElectricityEmissionsVariation">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Variation_LatexEquation">_xlfn.LAMBDA("E_{2,elec}=(Q_{elec} \times (1-(RPP+JRPP)) - ((REC_{surrendered}-REC_{onsite})\times 10^{3})) \times EF_{RMF2,elec} \times 10^{-3}")</definedName>
    <definedName name="Electricity_SourceData.Electricity_Scope2LocationBased_Description">_xlfn.LAMBDA(("Indirect (scope 2 and scope 3) location-based emission factors associated with the consumption and losses of purchased or acquired electricity"))</definedName>
    <definedName name="Electricity_SourceData.Electricity_Scope2MarketBased_Description">_xlfn.LAMBDA(("Table 2a Indirect (scope 2 and scope 3) emission factors from consumption of purchased or acquired electricity: market-based factors "))</definedName>
    <definedName name="Electricity_SourceData.Electricity_Scope2Scope3LocationBased_Data">_xlfn.LAMBDA(_xlfn.MAKEARRAY(11,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definedName>
    <definedName name="Electricity_SourceData.Electricity_Scope2Scope3LocationBased_Source">_xlfn.LAMBDA(("Australian National Greenhouse Accounts Factors 2025 - Table 1"))</definedName>
    <definedName name="Electricity_SourceData.Electricity_Scope2Scope3LocationBased_Title">_xlfn.LAMBDA(("Electricity scope 2 and scope 3 location-based emission factors"))</definedName>
    <definedName name="Electricity_SourceData.Electricity_Scope2Scope3LocationBased_Variation">_xlfn.LAMBDA(("VARIATION OF SOURCE DATA: NSW and ACT split into separate rows."))</definedName>
    <definedName name="Electricity_SourceData.Electricity_Scope2Scope3MarketBased_Data">_xlfn.LAMBDA(_xlfn.MAKEARRAY(2, 5, _xlfn.LAMBDA(_xlpm.r,_xlpm.c, INDEX({"State, Territory or grid description","Scope 2 Emission Factors (kg CO2-e/kWh)","Scope 2 Emission Factors (kg CO2-e/GJ)","Scope 3 Emission Factors (kg CO2 - e / kWh)","Scope 3 Emission Factors (kg CO2 - e / GJ)";"National",0.81,226,0.1,29}, _xlpm.r, _xlpm.c))))</definedName>
    <definedName name="Electricity_SourceData.Electricity_Scope2Scope3MarketBased_Source">_xlfn.LAMBDA(("Australian National Greenhouse Accounts Factors 2025 - Table 2a"))</definedName>
    <definedName name="Electricity_SourceData.Electricity_Scope2Scope3MarketBased_Title">_xlfn.LAMBDA(("Electricity scope 2 and scope 3 market-based emission factors"))</definedName>
    <definedName name="Electricity_SourceData.Electricity_Scope2Scope3MarketBased_Variation">_xlfn.LAMBDA((""))</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_xlfn.LAMBDA(_xlfn.MAKEARRAY(4, 4, _xlfn.LAMBDA(_xlpm.r,_xlpm.c, INDEX({"MPU","input milk production unit","","Input";"MS_j","daily production of milk solids","kg MS/head/day","Input";"FC_j","fat content in fat and protein corrected milk","per cent","Constant";"PC_j","protein content in fat and protein corrected milk","per cent","Constant"}, _xlpm.r, _xlpm.c))))</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_xlfn.LAMBDA("MA_{jk=4,5}=((LC_{jk=4,5}\times FA_{jk=4,5,calv})+(LC_{jk=4,5}\times FA_{jk=4,5,after}))+(1-(LC_{jk=4,5}+LC_{jk=4,5}))")</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_xlfn.LAMBDA(_xlpm.LC_jk45,_xlpm.FA_jk45calv,_xlpm.FA_jk45after, ((_xlpm.LC_jk45 * _xlpm.FA_jk45calv) + (_xlpm.LC_jk45 * _xlpm.FA_jk45after)) + (1 - (_xlpm.LC_jk45 + _xlpm.LC_jk45)))</definedName>
    <definedName name="EntericMethane_Swine_Equations.VEERG_3_5_1_1__1_TotalAnnualMethaneFromEntericFermentation">_xlfn.LAMBDA(_xlpm.N_j,_xlpm.M_j,_xlpm.D_j, (_xlpm.N_j * _xlpm.M_j * _xlpm.D_j) * 10 ^ -3)</definedName>
    <definedName name="EntericMethane_Swine_Equations.VEERG_3_5_1_1__1_TotalAnnualMethaneFromEntericFermentation_Arguments">_xlfn.LAMBDA(_xlfn.MAKEARRAY(3, 4, _xlfn.LAMBDA(_xlpm.r,_xlpm.c, INDEX({"N_j","numbers of swine of each class","head","Input";"M_j","methane production","kg CH4/head/day","Calculated from 3.5.1.1, (2)";"D_j","the average number of days on farm for each swine class","days","Input"}, _xlpm.r, _xlpm.c))))</definedName>
    <definedName name="EntericMethane_Swine_Equations.VEERG_3_5_1_1__1_TotalAnnualMethaneFromEntericFermentation_LatexEquation">_xlfn.LAMBDA("E_{enteric}=\sum\nolimits_j(N_j\times M_j\times D_j)\times 10^{-3}")</definedName>
    <definedName name="EntericMethane_Swine_Equations.VEERG_3_5_1_1__1_TotalAnnualMethaneFromEntericFermentation_NIRReference">_xlfn.LAMBDA("")</definedName>
    <definedName name="EntericMethane_Swine_Equations.VEERG_3_5_1_1__1_TotalAnnualMethaneFromEntericFermentation_Source">_xlfn.LAMBDA("VEERG 2026: 3.5.1.1, Equation (1)")</definedName>
    <definedName name="EntericMethane_Swine_Equations.VEERG_3_5_1_1__1_TotalAnnualMethaneFromEntericFermentation_Title">_xlfn.LAMBDA("Total annual methane production from enteric fermentation in swine")</definedName>
    <definedName name="EntericMethane_Swine_Equations.VEERG_3_5_1_1__1_TotalAnnualMethaneFromEntericFermentation_Unit">_xlfn.LAMBDA("t CH4")</definedName>
    <definedName name="EntericMethane_Swine_Equations.VEERG_3_5_1_1__1_TotalAnnualMethaneFromEntericFermentation_Variable">_xlfn.LAMBDA("E_enteric")</definedName>
    <definedName name="EntericMethane_Swine_Equations.VEERG_3_5_1_1__2_DailyEntericMethaneProduction">_xlfn.LAMBDA(_xlpm.I_j,_xlpm.F, (_xlpm.I_j * 18.6 * 0.007) / _xlpm.F)</definedName>
    <definedName name="EntericMethane_Swine_Equations.VEERG_3_5_1_1__2_DailyEntericMethaneProduction_Arguments">_xlfn.LAMBDA(_xlfn.MAKEARRAY(4, 4, _xlfn.LAMBDA(_xlpm.r,_xlpm.c, INDEX({"I_j","daily feed ingested by each swine class","kg/head/day","Input";"18.6","gross energy (GE) content of feed","MJ GE/kg feed","Constant";"0.007","fraction of GE intake converted to methane by swine","fraction","Constant";"F","megajoules per kilogram of methane","MJ/kg CH4","Constant"}, _xlpm.r, _xlpm.c))))</definedName>
    <definedName name="EntericMethane_Swine_Equations.VEERG_3_5_1_1__2_DailyEntericMethaneProduction_LatexEquation">_xlfn.LAMBDA("M_j=\frac{I_j\times 18.6\times 0.007}{F}")</definedName>
    <definedName name="EntericMethane_Swine_Equations.VEERG_3_5_1_1__2_DailyEntericMethaneProduction_NIRReference">_xlfn.LAMBDA("")</definedName>
    <definedName name="EntericMethane_Swine_Equations.VEERG_3_5_1_1__2_DailyEntericMethaneProduction_Source">_xlfn.LAMBDA("VEERG 2026: 3.5.1.1, Equation (2)")</definedName>
    <definedName name="EntericMethane_Swine_Equations.VEERG_3_5_1_1__2_DailyEntericMethaneProduction_Title">_xlfn.LAMBDA("Total daily production of enteric methane of swine")</definedName>
    <definedName name="EntericMethane_Swine_Equations.VEERG_3_5_1_1__2_DailyEntericMethaneProduction_Unit">_xlfn.LAMBDA("kg CH4/head/day")</definedName>
    <definedName name="EntericMethane_Swine_Equations.VEERG_3_5_1_1__2_DailyEntericMethaneProduction_Variable">_xlfn.LAMBDA("M_j")</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Organic.VEERG_5_2_1_1__2_MassOfNitrogenInOrganicFertiliser">_xlfn.LAMBDA(_xlpm.Morganicjf,_xlpm.FNorganicf, _xlpm.Morganicjf * _xlpm.FNorganicf)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_xlfn.LAMBDA(_xlpm.LookupTarget1,_xlpm.LookupArray1,_xlpm.AmountApplied,_xlop.LookupTarget2,_xlop.LookupArray2, _xlfn.LET(_xlpm.criteria1, --(_xlpm.LookupArray1 = _xlpm.LookupTarget1), _xlpm.criteria2, IF(_xlfn.ISOMITTED(_xlpm.LookupTarget2), 1, --(_xlpm.LookupArray2 = _xlpm.LookupTarget2)), SUMPRODUCT(_xlpm.criteria1 * _xlpm.criteria2 * _xlpm.AmountApplied)))</definedName>
    <definedName name="Fertiliser_InputFunctions.Fertiliser_TotalActiveIngredientAppliedAllIngredients">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 + IFERROR(Fertiliser_InputFunctions.Fertiliser_SumProductApplied(_xlpm.ChemicalCompound, _xlpm.ProductIngredient4, _xlpm.calculatedAmount4), 0) + IFERROR(Fertiliser_InputFunctions.Fertiliser_SumProductApplied(_xlpm.ChemicalCompound, _xlpm.ProductIngredient5, _xlpm.calculatedAmount5), 0) + IFERROR(Fertiliser_InputFunctions.Fertiliser_SumProductApplied(_xlpm.ChemicalCompound, _xlpm.ProductIngredient6, _xlpm.calculatedAmount6), 0)))</definedName>
    <definedName name="Fertiliser_InputFunctions.Fertiliser_TotalChemicalCompoundtAppliedBySourceAllIngredients">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Fertiliser_InputFunctions.Fertiliser_SumProductApplied(_xlpm.ChemicalCompound, _xlpm.ProductIngredient1, _xlpm.calculatedAmount1, _xlpm.Source, _xlpm.ProductIngredientSource) + IFERROR(Fertiliser_InputFunctions.Fertiliser_SumProductApplied(_xlpm.ChemicalCompound, _xlpm.ProductIngredient2, _xlpm.calculatedAmount2, _xlpm.Source, _xlpm.ProductIngredientSource), 0) + IFERROR(Fertiliser_InputFunctions.Fertiliser_SumProductApplied(_xlpm.ChemicalCompound, _xlpm.ProductIngredient3, _xlpm.calculatedAmount3, _xlpm.Source, _xlpm.ProductIngredientSource), 0) + IFERROR(Fertiliser_InputFunctions.Fertiliser_SumProductApplied(_xlpm.ChemicalCompound, _xlpm.ProductIngredient4, _xlpm.calculatedAmount4, _xlpm.Source, _xlpm.ProductIngredientSource), 0) + IFERROR(Fertiliser_InputFunctions.Fertiliser_SumProductApplied(_xlpm.ChemicalCompound, _xlpm.ProductIngredient5, _xlpm.calculatedAmount5, _xlpm.Source, _xlpm.ProductIngredientSource), 0) + IFERROR(Fertiliser_InputFunctions.Fertiliser_SumProductApplied(_xlpm.ChemicalCompound, _xlpm.ProductIngredient6, _xlpm.calculatedAmount6, _xlpm.Source, _xlpm.ProductIngredientSource), 0)))</definedName>
    <definedName name="Fertiliser_InputFunctions.Fertiliser_TotalSoilAmendmentApplied">_xlfn.LAMBDA(_xlpm.AmountApplied,_xlpm.AmendmentPercent, SUMPRODUCT(_xlpm.AmountApplied * _xlpm.AmendmentPercent))</definedName>
    <definedName name="Fertiliser_SourceData.Fertiliser_ChemicalCompoundElements_Data">_xlfn.LAMBDA(_xlfn.MAKEARRAY(20,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definedName>
    <definedName name="Fertiliser_SourceData.Fertiliser_ChemicalCompoundElements_Description">_xlfn.LAMBDA(("Chemical compounds used in fertilisers, along with their elemental composition"))</definedName>
    <definedName name="Fertiliser_SourceData.Fertiliser_ChemicalCompoundElements_Source">_xlfn.LAMBDA(("Table A.2.2.3: Fraction of nitrogen in common inorganic fertilisers (kgN/kg) (FNorganic,f) AND Table A.2.2.4: Fraction of urea in common inorganic fertilisers (kg urea/kg) (FUf)"))</definedName>
    <definedName name="Fertiliser_SourceData.Fertiliser_ChemicalCompoundElements_Title">_xlfn.LAMBDA(("Common inorganic fertilisers"))</definedName>
    <definedName name="Fertiliser_SourceData.Fertiliser_ChemicalCompoundElements_Variation">_xlfn.LAMBDA(_xlfn.MAKEARRAY(12, 1, _xlfn.LAMBDA(_xlpm.r,_xlpm.c, INDEX({"VARIATION ON SOURCE";"Added 'Basis' column to allow cross-referencing with table Table A.2.2.6: Fraction of inorganic fertiliser f that volatilises as NH3 and NOx ((kg NH3-N + NOx-N)/kg N) (FracGASFf)";"Added extra fertiliser types and generic chemical compounds to allow for custom NPKS blends";"Added extra 'Scope 3 definition' column to allow mapping with scope 3 data";"Added 'Source' column";"Combined data from Table A.2.2.3 and Table A.2.2.4 into one table to aid lookup.";"Excluded 'References' column";"Excluded 'Ammonium sulfate' as it is a duplicate of 'Sulphate of ammonia (SOA)'";"Excluded 'Calcium nitrate' as no scope 3 value available.";"Set 'Nitrogen - Generic' basis as 'Urea-based fertilisers, as urea is the most commonly used form of nitrogen in Australian fertilisers";"Set 'Urea-ammonium nitrate' basis as 'Urea-based fertiliser'";"Ammonia has an FN value of 0.8235 based on (14/17)x100, where 14 is the mass of nitrogen in ammonia and 17 is the molar mass of ammonia."}, _xlpm.r, _xlpm.c))))</definedName>
    <definedName name="Fertiliser_SourceData.Fertiliser_EFLeach_Data">_xlfn.LAMBDA(0.011)</definedName>
    <definedName name="Fertiliser_SourceData.Fertiliser_EFLeach_Source">_xlfn.LAMBDA(("VEERG 2026: 5.5.2.3 Constant Parameters"))</definedName>
    <definedName name="Fertiliser_SourceData.Fertiliser_EFLeach_Title">_xlfn.LAMBDA(("Emission factor for nitrogen leaching and runoff"))</definedName>
    <definedName name="Fertiliser_SourceData.Fertiliser_EFLeach_Unit">_xlfn.LAMBDA(("kg N2O-N / kg N"))</definedName>
    <definedName name="Fertiliser_SourceData.Fertiliser_EFLeach_Variable">_xlfn.LAMBDA(("EFLeach"))</definedName>
    <definedName name="Fertiliser_SourceData.Fertiliser_EFLeach_Variation">_xlfn.LAMBDA("")</definedName>
    <definedName name="Fertiliser_SourceData.Fertiliser_EFUreaCO2_Data">_xlfn.LAMBDA(0.2)</definedName>
    <definedName name="Fertiliser_SourceData.Fertiliser_EFUreaCO2_Source">_xlfn.LAMBDA(("VEERG 2026: 5.1.2.2 Constant Parameters"))</definedName>
    <definedName name="Fertiliser_SourceData.Fertiliser_EFUreaCO2_Title">_xlfn.LAMBDA(("Emission factor for carbon emissions from urea application"))</definedName>
    <definedName name="Fertiliser_SourceData.Fertiliser_EFUreaCO2_Unit">_xlfn.LAMBDA(("kg C/kg urea"))</definedName>
    <definedName name="Fertiliser_SourceData.Fertiliser_EFUreaCO2_Variable">_xlfn.LAMBDA(("EFureaCO2"))</definedName>
    <definedName name="Fertiliser_SourceData.Fertiliser_EFUreaCO2_Variation">_xlfn.LAMBDA("")</definedName>
    <definedName name="Fertiliser_SourceData.Fertiliser_FracGASF_Data">_xlfn.LAMBDA(_xlfn.MAKEARRAY(6, 2, _xlfn.LAMBDA(_xlpm.r,_xlpm.c, INDEX({"Fertiliser type f","FracGASFf";"Urea-based fertilisers",0.15;"Ammonium-based fertilisers",0.08;"Nitrate-based fertilisers",0.01;"Ammonium-nitrate based fertilisers",0.05;"Other fertilisers",0.11}, _xlpm.r, _xlpm.c))))</definedName>
    <definedName name="Fertiliser_SourceData.Fertiliser_FracGASF_Source">_xlfn.LAMBDA(("Table A.2.2.6: Fraction of inorganic fertiliser f that volatilises as NH3 and NOx ((kg NH3–N + NOx–N)/kg N) (FracGASFf)"))</definedName>
    <definedName name="Fertiliser_SourceData.Fertiliser_FracGASF_Title">_xlfn.LAMBDA(("Fraction of inorganic fertiliser that volatilises as NH3 and NOx"))</definedName>
    <definedName name="Fertiliser_SourceData.Fertiliser_FracGASF_Variation">_xlfn.LAMBDA("")</definedName>
    <definedName name="Fertiliser_SourceData.Fertiliser_FracGASMSoil_Data">_xlfn.LAMBDA(0.21)</definedName>
    <definedName name="Fertiliser_SourceData.Fertiliser_FracGASMSoil_Source">_xlfn.LAMBDA(("VEERG 2026: 5.4.2.3 Constant Parameters"))</definedName>
    <definedName name="Fertiliser_SourceData.Fertiliser_FracGASMSoil_Title">_xlfn.LAMBDA(("Fraction of organic fertiliser that volatilises as NH3 and NOx"))</definedName>
    <definedName name="Fertiliser_SourceData.Fertiliser_FracGASMSoil_Unit">_xlfn.LAMBDA(("(kg NH3-N + NOx-N)/kg N"))</definedName>
    <definedName name="Fertiliser_SourceData.Fertiliser_FracGASMSoil_Variable">_xlfn.LAMBDA(("FracGASMsoil"))</definedName>
    <definedName name="Fertiliser_SourceData.Fertiliser_FracGASMSoil_Variation">_xlfn.LAMBDA("")</definedName>
    <definedName name="Fertiliser_SourceData.Fertiliser_FracLEACH_Data">_xlfn.LAMBDA(0.24)</definedName>
    <definedName name="Fertiliser_SourceData.Fertiliser_FracLEACH_Source">_xlfn.LAMBDA(("VEERG 2026: 5.5.2.3 Constant Parameters"))</definedName>
    <definedName name="Fertiliser_SourceData.Fertiliser_FracLEACH_Title">_xlfn.LAMBDA(("Fraction of nitrogen that is lost through leaching and runoff"))</definedName>
    <definedName name="Fertiliser_SourceData.Fertiliser_FracLEACH_Unit">_xlfn.LAMBDA(("fraction"))</definedName>
    <definedName name="Fertiliser_SourceData.Fertiliser_FracLEACH_Variable">_xlfn.LAMBDA(("FracLEACH"))</definedName>
    <definedName name="Fertiliser_SourceData.Fertiliser_FracLEACH_Variation">_xlfn.LAMBDA("")</definedName>
    <definedName name="Fertiliser_SourceData.Fertiliser_FractionNCommonFertilisers_Data">_xlfn.LAMBDA(_xlfn.MAKEARRAY(10,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definedName>
    <definedName name="Fertiliser_SourceData.Fertiliser_FractionNCommonFertilisers_Source">_xlfn.LAMBDA(("VEERG 2026: Table A.2.2.3"))</definedName>
    <definedName name="Fertiliser_SourceData.Fertiliser_FractionNCommonFertilisers_Title">_xlfn.LAMBDA(("Fraction of nitrogen in common inorganic fertilisers (kgN/kg) (FNorganic,f)"))</definedName>
    <definedName name="Fertiliser_SourceData.Fertiliser_FractionNCommonFertilisers_Variation">_xlfn.LAMBDA((""))</definedName>
    <definedName name="Fertiliser_SourceData.Fertiliser_FractionUreaCommonFertilisers_Data">_xlfn.LAMBDA(_xlfn.MAKEARRAY(10, 2, _xlfn.LAMBDA(_xlpm.r,_xlpm.c, INDEX({"Fertiliser Type f","FUf";"Monoammonium phosphate (MAP)",0;"Diammonium phosphate (DAP)",0;"Urea",1;"Sulphate of ammonia (SOA)",0;"Urea-ammonium nitrate (UAN)",0.35;"Ammonium nitrate (AN)",0;"Calcium ammonium nitrate (CAN)",0;"Ammonium Sulfate",0;"Calcium Nitrate",0}, _xlpm.r, _xlpm.c))))</definedName>
    <definedName name="Fertiliser_SourceData.Fertiliser_FractionUreaCommonFertilisers_Source">_xlfn.LAMBDA(("VEERG 2026: Table A.2.2.4"))</definedName>
    <definedName name="Fertiliser_SourceData.Fertiliser_FractionUreaCommonFertilisers_Title">_xlfn.LAMBDA(("Fraction of urea in common inorganic fertilisers (kg urea/kg) (FUf)"))</definedName>
    <definedName name="Fertiliser_SourceData.Fertiliser_FractionUreaCommonFertilisers_Variation">_xlfn.LAMBDA((""))</definedName>
    <definedName name="Fertiliser_SourceData.Fertiliser_LimeDolomiteGypsumConstants_Data">_xlfn.LAMBDA(_xlfn.MAKEARRAY(4, 3, _xlfn.LAMBDA(_xlpm.r,_xlpm.c, INDEX({"Element","P","EF";"Lime (Calcium carbonate)",0.9,0.12;"Dolomite (Magnesium carbonate)",0.95,0.13;"Gypsum",0,0}, _xlpm.r, _xlpm.c))))</definedName>
    <definedName name="Fertiliser_SourceData.Fertiliser_LimeDolomiteGypsumConstants_Description">_xlfn.LAMBDA(("Constants for lime, dolomite and gypsum"))</definedName>
    <definedName name="Fertiliser_SourceData.Fertiliser_LimeDolomiteGypsumConstants_Source">_xlfn.LAMBDA(("VEERG 2026: 5.3.2.3 Constant Parameters"))</definedName>
    <definedName name="Fertiliser_SourceData.Fertiliser_LimeDolomiteGypsumConstants_Title">_xlfn.LAMBDA(("Constants for lime, dolomite and gypsum"))</definedName>
    <definedName name="Fertiliser_SourceData.Fertiliser_LimeDolomiteGypsumConstants_Variation">_xlfn.LAMBDA(("VARIATION FROM SOURCE DATA: Gypsum has been added with placeholder values of 0 for P and EF."))</definedName>
    <definedName name="Fertiliser_SourceData.Fertiliser_Products_Data1">_xlfn.LAMBDA(_xlfn.MAKEARRAY(12, 28, _xlfn.LAMBDA(_xlpm.r,_xlpm.c, INDEX({"Include or exclude","Notes","Company","Product Name","Unit","Density","Urea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percent";"Include","","Campbells fertilisers Australia","Aqua Finish","L",1.26,"","","Potassium - Generic",0.225,"Phosphorus - Generic",0.04,"Nitrogen - Generic",0.026,"","","","","","","","","","","","","","";"Include","","Campbells fertilisers Australia","Aqua Grow","L",1.26,"","","Potassium - Generic",0.105,"Nitrogen - Generic",0.096,"Phosphorus - Generic",0.05,"","","","","","","","","","","","","","";"Include","","Campbells fertilisers Australia","Aqua Nitro AN","L",1.24,"","","Nitrogen - Ammoniacal",0.223,"","","","","","","","","","","","","","","","","","";"Include","","Campbells fertilisers Australia","Aqua Start","L",1.25,"","","Nitrogen - Generic",0.103,"Phosphorus - Generic",0.1,"Potassium - Generic",0.034,"","","","","","","","","","","","","","";"Include","","Campbells fertilisers Australia","Aqua Thio-Complete","L",1.43,"","","Potassium - Generic",0.225,"Phosphorus - Generic",0.038,"Nitrogen - Generic",0.025,"","","","","","","","","","","","","","";"Include","","Campbells fertilisers Australia","Aqua Thio-Emerge","L",1.29,"","","Nitrogen - Generic",0.105,"Phosphorus - Generic",0.094,"Potassium - Generic",0.04,"Sulfur - Generic",0.03,"","","","","","","","","","","","";"Include","","Campbells fertilisers Australia","Aqua Thio-Flourish","L",1.32,"","","Potassium - Generic",0.108,"Nitrogen - Generic",0.095,"Sulfur - Generic",0.081,"Phosphorus - Generic",0.047,"","","","","","","","","","","","";"Include - Absent ingredients &lt; 2%","Amount of urea calculated from urea nitrogen amount","Campbells fertilisers Australia","Boost-It","kg",1,"","","Urea",0.52173913,"Potassium - Generic",0.08,"Sulfur - Generic",0.053,"Phosphorus - Generic",0.052,"Magnesium",0.013,"Zinc",0.002,"Manganese",0.0035,"Iron",0.0013,"Copper",0.0007,"Boron",0.0007;"Include","","Campbells fertilisers Australia","Bronze","kg",1,"","","Muriate of Potash (MOP)",0.232,"Nitrogen - Generic",0.17,"Sulfur - Generic",0.005,"Magnesium",0.0024,"Phosphorus - Generic",0.0004,"","","","","","","","","","";"Include","50/50 nitrate and ammoniacal nitrogen (ammonium nitrate)","Campbells fertilisers Australia","Compass","kg",1,"","","Nitrogen - Ammoniacal",0.075,"Nitrogen - Nitrate",0.075,"Potassium - Generic",0.125,"Phosphorus-Generic",0.065,"Sulfur - Generic",0.06,"","","","","","","","","","";"Include - Absent ingredients &lt; 2%","Controlled release N treated as generic, Amount of urea calculated from urea nitrogen amount","Campbells fertilisers Australia","CoRoN 12-0-10","L",1.215,"","","Urea",0.195652174,"Potassium - Generic",0.1,"Nitrogen - Generic",0.03,"Boron",0.005,"","","","","","","","","","","",""}, _xlpm.r, _xlpm.c))))</definedName>
    <definedName name="Fertiliser_SourceData.Fertiliser_Products_Data2">_xlfn.LAMBDA(_xlfn.MAKEARRAY(31,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link";"Manganese Sulphate","","","","","","","","","","","","","","","","","","","Incitec Pivot Fertilisers";"MAP","","","","","","","","","","","","","","","","","","","Incitec Pivot Fertilisers";"MAP Impact","","","","","","","","","","","","","","","","","","","Impact fertilisers";"MAPSZC","","","","","","","","","","","","","","","","","","","Summit Fertilizers";"Maximum N-Pact 29-0-0","","","","","","","","","","","","","","","","","","","Maximum N-Pact | Loveland (lovelandagriproducts.com.au)";"Microsol 12-6-44","","","","","","","","","","","","","","","","","","","Rigbytaylor Microsol Range";"Microsol 16-32-16","","","","","","","","","","","","","","","","","","","Rigbytaylor Microsol Range";"Microsol 25-5-10","","","","","","","","","","","","","","","","","","","Rigbytaylor Microsol Range";"Microsol 28-0-14","","","","","","","","","","","","","","","","","","","Rigbytaylor Microsol Range";"Mono Potassium Phosphate MKP","","","","","","","","","","","","","","","","","","","Swancrop";"Muriate Of Potash MOP","","","","","","","","","","","","","","","","","","","MountCompass Fertilisers Blends";"NitroPlus","","","","","","","","","","","","","","","","","","","AgroStock Group Nitro Plus";"NutraGold","","","","","","","","","","","","","","","","","","","Swancrop";"Pro Performance 18-3-6","","","","","","","","","","","","","","","","","","","Pro Turf Formula";"SOA","","","","","","","","","","","","","","","","","","","MountCompass Fertilisers Blends";"SSP","","","","","","","","","","","","","","","","","","","Impact fertilisers";"Super Phos","","","","","","","","","","","","","","","","","","","CSBP Super PHOS";"Super SR Extra","","","","","","","","","","","","","","","","","","","CSBP Super Potash";"SuPerfect","","","","","","","","","","","","","","","","","","","Incitec Pivot Fertilisers";"SuperPasture Potash 5:1","","","","","","","","","","","","","","","","","","","CSBP Super Potash";"Trace-it Mn","","","","","","","","","","","","","","","","","","","Campbells fertilisers Australia";"UniSZon","","","","","","","","","","","","","","","","","","","WengfuAustralia uniSZon";"Urea","","","","","","","","","","","","","","","","","","","ProductCard_Adelaide_web.pdf (incitecpivotfertilisers.com.au)";"Wengfu Slam Granular","","","","","","","","","","","","","","","","","","","Straights (wengfu.com.au)";"Yara FlowPhos 10","","","","","","","","","","","","","","","","","","","Crop Nutrition Solutions (Yara Australia)";"Yara FlowPhos 13Z","","","","","","","","","","","","","","","","","","","Crop Nutrition Solutions (Yara Australia)";"Yara FlowPhos 15","","","","","","","","","","","","","","","","","","","Crop Nutrition Solutions (Yara Australia)";"Yara FlowPhos KZ","","","","","","","","","","","","","","","","","","","Crop Nutrition Solutions (Yara Australia)";"Yara KeyPro Trace","","","","","","","","","","","","","","","","","","","Crop Nutrition Solutions (Yara Australia)";"Yara KeyPro Zinc","","","","","","","","","","","","","","","","","","","Crop Nutrition Solutions (Yara Australia)"}, _xlpm.r, _xlpm.c))))</definedName>
    <definedName name="Fertiliser_SourceData.Fertiliser_Products_Data3">_xlfn.LAMBDA(_xlfn.MAKEARRAY(31,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link";"Yara K-Flow 0-0-15","","","","","","","","","","","","","","","","","","","Crop Nutrition Solutions (Yara Australia)";"Yara K-Flow 0-14-30","","","","","","","","","","","","","","","","","","","Crop Nutrition Solutions (Yara Australia)";"Yara K-Flow 0-7-36","","","","","","","","","","","","","","","","","","","Crop Nutrition Solutions (Yara Australia)";"Yara K-Flow 13-0-7","","","","","","","","","","","","","","","","","","","Crop Nutrition Solutions (Yara Australia)";"Yara K-Flow 4-0-12","","","","","","","","","","","","","","","","","","","Crop Nutrition Solutions (Yara Australia)";"Yara Liquids MICRO-SUL","","","","","","","","","","","","","","","","","","","Crop Nutrition Solutions (Yara Australia)";"Yara Liquids N24","","","","","","","","","","","","","","","","","","","Crop Nutrition Solutions (Yara Australia)";"Yara Liquids N25","","","","","","","","","","","","","","","","","","","Crop Nutrition Solutions (Yara Australia)";"Yara Liquids N26","","","","","","","","","","","","","","","","","","","Crop Nutrition Solutions (Yara Australia)";"Yara Liquids N42","","","","","","","","","","","","","","","","","","","Crop Nutrition Solutions (Yara Australia)";"Yara Liquids N-CAL 15+18Ca","","","","","","","","","","","","","","","","","","","Crop Nutrition Solutions (Yara Australia)";"Yara Liquids N-CAL 20+10Ca+B","","","","","","","","","","","","","","","","","","","Crop Nutrition Solutions (Yara Australia)";"Yara Liquids N-CAL 35+6Ca","","","","","","","","","","","","","","","","","","","Crop Nutrition Solutions (Yara Australia)";"Yara Liquids N-FOL 24","","","","","","","","","","","","","","","","","","","Crop Nutrition Solutions (Yara Australia)";"Yara Liquids N-FOL 24+TE","","","","","","","","","","","","","","","","","","","Crop Nutrition Solutions (Yara Australia)";"Yara Liquids P-FOL Zinc","","","","","","","","","","","","","","","","","","","Crop Nutrition Solutions (Yara Australia)";"Yara Liquids SULSA 11-0-0+12S","","","","","","","","","","","","","","","","","","","Crop Nutrition Solutions (Yara Australia)";"Yara Liquids SULSA 24-3-0+6S","","","","","","","","","","","","","","","","","","","Crop Nutrition Solutions (Yara Australia)";"Yara Liquids SULSA 27-0-0+7S","","","","","","","","","","","","","","","","","","","Crop Nutrition Solutions (Yara Australia)";"Yara Liquids SULSA 36-0-0+3S","","","","","","","","","","","","","","","","","","","Crop Nutrition Solutions (Yara Australia)";"YaraLiva CALCINIT B","","","","","","","","","","","","","","","","","","","Crop Nutrition Solutions (Yara Australia)";"YaraLiva NITRABOR","","","","","","","","","","","","","","","","","","","YaraLiva NITRABOR | Yara Australia";"YaraLiva TROPICOTE","","","","","","","","","","","","","","","","","","","Crop Nutrition Solutions (Yara Australia)";"YaraMila Complex","","","","","","","","","","","","","","","","","","","Crop Nutrition Solutions (Yara Australia)";"YaraMila Complex 17-5-10(4)","","","","","","","","","","","","","","","","","","","Crop Nutrition Solutions (Yara Australia)";"YaraMila Complex 21-7-3(4)","","","","","","","","","","","","","","","","","","","Crop Nutrition Solutions (Yara Australia)";"YaraMila UNIVERSAL","","","","","","","","","","","","","","","","","","","Crop Nutrition Solutions (Yara Australia)";"YaraRega 13-2-21","","","","","","","","","","","","","","","","","","","Crop Nutrition Solutions (Yara Australia)";"YaraVita BORTRAC","","","","","","","","","","","","","","","","","","","Crop Nutrition Solutions (Yara Australia)";"YaraVita BRASSITREL DF","","","","","","","","","","","","","","","","","","","Crop Nutrition Solutions (Yara Australia)"}, _xlpm.r, _xlpm.c))))</definedName>
    <definedName name="Fertiliser_SourceData.Fertiliser_Products_Data4">_xlfn.LAMBDA(_xlfn.MAKEARRAY(16,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link";"YaraVita BRASSITREL PRO","","","","","","","","","","","","","","","","","","","Crop Nutrition Solutions (Yara Australia)";"YaraVita BUD BUILDER FL","","","","","","","","","","","","","","","","","","","Crop Nutrition Solutions (Yara Australia)";"YaraVita FRUTREL","","","","","","","","","","","","","","","","","","","Crop Nutrition Solutions (Yara Australia)";"YaraVita GLYTREL ZnP","","","","","","","","","","","","","","","","","","","Crop Nutrition Solutions (Yara Australia)";"YaraVita GRAMITREL","","","","","","","","","","","","","","","","","","","Crop Nutrition Solutions (Yara Australia)";"YaraVita KOMBIPHOS","","","","","","","","","","","","","","","","","","","Crop Nutrition Solutions (Yara Australia)";"YaraVita MANGZINC","","","","","","","","","","","","","","","","","","","Crop Nutrition Solutions (Yara Australia)";"YaraVita MOLYTRAC","","","","","","","","","","","","","","","","","","","Crop Nutrition Solutions (Yara Australia)";"YaraVita SENIPHOS","","","","","","","","","","","","","","","","","","","Crop Nutrition Solutions (Yara Australia)";"YaraVita ZINTRAC","","","","","","","","","","","","","","","","","","","Crop Nutrition Solutions (Yara Australia)";"Zinc Sulphate Monohydrate","","","","","","","","","","","","","","","","","","","Incitec Pivot Fertilisers";"Zincsol","","","","","","","","","","","","","","","","","","","Sulfate Zincsol";"ZincStar","","","","","","","","","","","","","","","","","","","Impact fertilisers";"ZMC-1","","","","","","","","","","","","","","","","","","","Kemgro ZMC-1";"Zn 7000","","","","","","","","","","","","","","","","","","","Rutec Zn 7000"}, _xlpm.r, _xlpm.c))))</definedName>
    <definedName name="Fertiliser_SourceData.Fertiliser_Products_Description">_xlfn.LAMBDA(("Popular fertiliser products used in Australia, along with their chemical compound composition"))</definedName>
    <definedName name="Fertiliser_SourceData.Fertiliser_Products_Source">_xlfn.LAMBDA((""))</definedName>
    <definedName name="Fertiliser_SourceData.Fertiliser_Products_Title">_xlfn.LAMBDA(("Branded fertiliser products and their chemical composition"))</definedName>
    <definedName name="Fertiliser_SourceData.Fertiliser_UreaAmmoniaSourceRegions_Data">_xlfn.LAMBDA(_xlfn.MAKEARRAY(5, 1, _xlfn.LAMBDA(_xlpm.r,_xlpm.c, INDEX({"Source";"Global";"Canada";"China";"Yemen"}, _xlpm.r, _xlpm.c))))</definedName>
    <definedName name="Fertiliser_SourceData.Fertiliser_UreaAmmoniaSourceRegions_Source">_xlfn.LAMBDA("Lifecycles. (2026). Greenhouse Gas Emission Intensities for Material Inputs to Australian Agriculture, Fisheries and Forestry. Version 48. doi 10.5281/zenodo.19656580")</definedName>
    <definedName name="Fertiliser_SourceData.Fertiliser_UreaAmmoniaSourceRegions_Title">_xlfn.LAMBDA("Source regions for urea and ammonia")</definedName>
    <definedName name="Fuel_Equations.VEERG_8_1_1_1__1_FuelCombustionTransport">_xlfn.LAMBDA(_xlpm.Q_Transtq,_xlpm.EC_Transq,_xlpm.EF_Trans1tqg, Fuel_Equations.VEERG_8_FuelCombustion(_xlpm.Q_Transtq, _xlpm.EC_Transq, _xlpm.EF_Trans1tqg))</definedName>
    <definedName name="Fuel_Equations.VEERG_8_1_1_1__1_FuelCombustionTransport_Arguments">_xlfn.LAMBDA(_xlfn.MAKEARRAY(7, 4, _xlfn.LAMBDA(_xlpm.r,_xlpm.c, INDEX({"Q_Transtq","Amount of fuel type q combusted for transport energy purposes","Varies based on fuel type: kL, m3, GJ","Input";"EC_Transq","Energy content factor for transport energy purposes","GJ / unit of fuel","Constant";"EF_Trans1tqg","Scope 1 emission factor for transport energy purposes for each greenhouse gas","kg CO2e / GJ","Constant";"q","Fuel type","","Constant";"Trans","Transport combustion","","Constant";"g","Greenhouse gas","","Constant";"1","Scope 1","","Constant"}, _xlpm.r, _xlpm.c))))</definedName>
    <definedName name="Fuel_Equations.VEERG_8_1_1_1__1_FuelCombustionTransport_LatexEquation">_xlfn.LAMBDA("E_g=\sum\nolimits_t \sum\nolimits_q\left(Q_{Trans,tq}\times EC_{Trans,q}\times EF_{Trans,1,tqg}\right)\times 10^{-3}")</definedName>
    <definedName name="Fuel_Equations.VEERG_8_1_1_1__1_FuelCombustionTransport_NIRReference">_xlfn.LAMBDA("Australian National Greenhouse Accounts Factors 2025 - 2.3 Estimating emissions from transport fuels")</definedName>
    <definedName name="Fuel_Equations.VEERG_8_1_1_1__1_FuelCombustionTransport_Source">_xlfn.LAMBDA("VEERG 2026: 8.1.1.1, Equation (1)")</definedName>
    <definedName name="Fuel_Equations.VEERG_8_1_1_1__1_FuelCombustionTransport_Title">_xlfn.LAMBDA("Emissions for each GHG from the combustion of fuels for transport energy purposes")</definedName>
    <definedName name="Fuel_Equations.VEERG_8_1_1_1__1_FuelCombustionTransport_Unit">_xlfn.LAMBDA("t CO2-e")</definedName>
    <definedName name="Fuel_Equations.VEERG_8_1_1_1__1_FuelCombustionTransport_Variable">_xlfn.LAMBDA("E_g")</definedName>
    <definedName name="Fuel_Equations.VEERG_8_2_1_1__1_FuelCombustionStationary">_xlfn.LAMBDA(_xlpm.Q_SCq,_xlpm.EC_SCq,_xlpm.EF_SC1qg, Fuel_Equations.VEERG_8_FuelCombustion(_xlpm.Q_SCq, _xlpm.EC_SCq, _xlpm.EF_SC1qg))</definedName>
    <definedName name="Fuel_Equations.VEERG_8_2_1_1__1_FuelCombustionStationary_Arguments">_xlfn.LAMBDA(_xlfn.MAKEARRAY(7, 4, _xlfn.LAMBDA(_xlpm.r,_xlpm.c, INDEX({"Q_SCq","Amount of fuel type q used for stationary combustion operations","Varies based on fuel type: kL, m3, GJ","Input";"EC_SCq","Energy content factor for stationary combustion operations","GJ / unit of fuel","Constant";"EF_SC1qg","Scope 1 emission factor for stationary combustion for each greenhouse gas","kg CO2e / GJ","Constant";"q","Fuel type","","Constant";"SC","Stationary combustion","","Constant";"g","Greenhouse gas","","Constant";"1","Scope 1","","Constant"}, _xlpm.r, _xlpm.c))))</definedName>
    <definedName name="Fuel_Equations.VEERG_8_2_1_1__1_FuelCombustionStationary_LatexEquation">_xlfn.LAMBDA("E_g=\sum\nolimits_t \sum\nolimits_q\left(Q_{SC,q}\times EC_{SC,q}\times EF_{SC,1,qg}\right)\times 10^{-3}")</definedName>
    <definedName name="Fuel_Equations.VEERG_8_2_1_1__1_FuelCombustionStationary_NIRReference">_xlfn.LAMBDA("Australian National Greenhouse Accounts Factors 2025 - 2.2 Estimating emissions from stationary energy sources - Calculating emissions from stationary combustion of liquid fuels")</definedName>
    <definedName name="Fuel_Equations.VEERG_8_2_1_1__1_FuelCombustionStationary_Source">_xlfn.LAMBDA("VEERG 2026: 8.2.1.1, Equation (1)")</definedName>
    <definedName name="Fuel_Equations.VEERG_8_2_1_1__1_FuelCombustionStationary_Title">_xlfn.LAMBDA("Emissions for each GHG from the stationary combustion of fuels")</definedName>
    <definedName name="Fuel_Equations.VEERG_8_2_1_1__1_FuelCombustionStationary_Unit">_xlfn.LAMBDA("t CO2-e")</definedName>
    <definedName name="Fuel_Equations.VEERG_8_2_1_1__1_FuelCombustionStationary_Variable">_xlfn.LAMBDA("E_g")</definedName>
    <definedName name="Fuel_Equations.VEERG_8_FuelCombustion">_xlfn.LAMBDA(_xlpm.Q,_xlpm.EC,_xlpm.EF, (_xlpm.Q * _xlpm.EC * _xlpm.EF) * 10 ^ -3)</definedName>
    <definedName name="Fuel_InputFunctions.Fuel_GetStationaryFuelString">_xlfn.LAMBDA(_xlpm.Cell, RIGHT(_xlpm.Cell, LEN(_xlpm.Cell) - FIND(", ", _xlpm.Cell)))</definedName>
    <definedName name="Fuel_InputFunctions.Fuel_GetTransportFuelString">_xlfn.LAMBDA(_xlpm.Cell, LEFT(_xlpm.Cell, FIND(", ", _xlpm.Cell) - 1))</definedName>
    <definedName name="Fuel_InputFunctions.Fuel_TotalConsumption">_xlfn.LAMBDA(_xlpm.FuelConsumptionArray,_xlpm.FuelUseArray,_xlpm.FuelUse,_xlpm.FuelTypeArray,_xlpm.FuelType, IFERROR(SUM(_xlfn._xlws.FILTER(_xlpm.FuelConsumptionArray, (_xlpm.FuelTypeArray = _xlpm.FuelType) * (_xlpm.FuelUseArray = _xlpm.FuelUse))), 0))</definedName>
    <definedName name="Fuel_SourceData.Fuel_Scope1EmissionFactorsStationaryGaseous_Data">_xlfn.LAMBDA(_xlfn.MAKEARRAY(19,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definedName>
    <definedName name="Fuel_SourceData.Fuel_Scope1EmissionFactorsStationaryGaseous_Description">_xlfn.LAMBDA(("Direct (Scope 1) emission factors for the consumption of gaseous fuels including liquefied natural gas  "))</definedName>
    <definedName name="Fuel_SourceData.Fuel_Scope1EmissionFactorsStationaryGaseous_Source">_xlfn.LAMBDA(("Australian National Greenhouse Accounts Factors 2025 - Table 5"))</definedName>
    <definedName name="Fuel_SourceData.Fuel_Scope1EmissionFactorsStationaryGaseous_Title">_xlfn.LAMBDA(("Fuel scope 1 emission factors - Stationary gaseous fuels"))</definedName>
    <definedName name="Fuel_SourceData.Fuel_Scope1EmissionFactorsStationaryGaseous_Variation">_xlfn.LAMBDA(("VARIATION OF SOURCE DATA: 'Natural gas distributed in a pipeline - Gigajoules' and 'Town gas - Gigajoules' were added, each with an energy content factor of 1 GJ per unit of fuel. This is for users who have fuel consumption data in GJ rather than m3."))</definedName>
    <definedName name="Fuel_SourceData.Fuel_Scope1Scope3EmissionFactorsStationaryLiquid_Data">_xlfn.LAMBDA(_xlfn.MAKEARRAY(25,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definedName>
    <definedName name="Fuel_SourceData.Fuel_Scope1Scope3EmissionFactorsStationaryLiquid_Description">_xlfn.LAMBDA(("Direct (Scope 1) and indirect (scope 3) emission factors for the consumption of liquid fuels, including certain petroleum based products for stationary energy purposes."))</definedName>
    <definedName name="Fuel_SourceData.Fuel_Scope1Scope3EmissionFactorsStationaryLiquid_Source">_xlfn.LAMBDA(("Australian National Greenhouse Accounts Factors 2025 - Table 8"))</definedName>
    <definedName name="Fuel_SourceData.Fuel_Scope1Scope3EmissionFactorsStationaryLiquid_Title">_xlfn.LAMBDA(("Fuel scope 1 and 3 emission factors - Stationary liquid fuels"))</definedName>
    <definedName name="Fuel_SourceData.Fuel_Scope1Scope3EmissionFactorsStationaryLiquid_Variation">_xlfn.LAMBDA("VARIATION OF SOURCE DATA: 'NE' values returned as zero for calculations.")</definedName>
    <definedName name="Fuel_SourceData.Fuel_Scope1Scope3EmissionFactorsTransport_Data">_xlfn.LAMBDA(_xlfn.MAKEARRAY(26,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definedName>
    <definedName name="Fuel_SourceData.Fuel_Scope1Scope3EmissionFactorsTransport_Description">_xlfn.LAMBDA(("Direct (scope 1) and indirect (scope 3) emission factors for the consumption of transport fuels in different transport equipment"))</definedName>
    <definedName name="Fuel_SourceData.Fuel_Scope1Scope3EmissionFactorsTransport_Source">_xlfn.LAMBDA(("Australian National Greenhouse Accounts Factors 2025 - Table 9"))</definedName>
    <definedName name="Fuel_SourceData.Fuel_Scope1Scope3EmissionFactorsTransport_Title">_xlfn.LAMBDA(("Fuel scope 1 and 3 emission factors - Transport"))</definedName>
    <definedName name="Fuel_SourceData.Fuel_Scope1Scope3EmissionFactorsTransport_Variation">_xlfn.LAMBDA("VARIATION OF SOURCE DATA: 'NE' values returned as zero for calculations.")</definedName>
    <definedName name="Fuel_SourceData.Fuel_Scope1Scope3EmissionFactorsTransportOffRoad_Data">_xlfn.LAMBDA(_xlfn.MAKEARRAY(5,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definedName>
    <definedName name="Fuel_SourceData.Fuel_Scope1Scope3EmissionFactorsTransportOffRoad_Description">_xlfn.LAMBDA(("Direct (scope 1) and indirect (scope 3) emission factors for the consumption of fuels in off-road equipment and vessels"))</definedName>
    <definedName name="Fuel_SourceData.Fuel_Scope1Scope3EmissionFactorsTransportOffRoad_Source">_xlfn.LAMBDA(("VEERG 2026: Table A.4.2.1"))</definedName>
    <definedName name="Fuel_SourceData.Fuel_Scope1Scope3EmissionFactorsTransportOffRoad_Title">_xlfn.LAMBDA(("Fuel scope 1 and 3 emission factors - Off-road equipment and vessels"))</definedName>
    <definedName name="Fuel_SourceData.Fuel_Scope3EmissionFactorsStationaryGaseous_Appendices">_xlfn.LAMBDA(_xlfn.MAKEARRAY(12, 2, _xlfn.LAMBDA(_xlpm.r,_xlpm.c, INDEX({"-","As Scope 3 factors are calculated at the point where natural gas is delivered to end users, it is necessary to calculate consumption at each of the load centres.";"","Gas reaches end users either from the metro distribution networks or direct from the high - pressure distribution pipelines.";"","Households and commercial users tend to be served by the former, and electricity generators and large industrial plants from the latter.";"-","Metro is defined as located on or east of the dividing range in NSW, including Canberra and Queanbeyan, Melbourne, Brisbane, Adelaide or Perth.";"","Otherwise, the non - metro factor should be used.";"-","Factors are calculated for all natural gas distributed in a pipeline which may include coal seam methane.";"-","Table 6 is not applicable to ethane. See Table 7 Indirect (Scope 3) emissions from the consumption of ethane.";"-","C = Confidential. Scope 3 emission factors for Tasmania and the Northern Territory are not available due to confidentiality constraints that arise";"","from the use of a limited number of NGER data inputs. It is suggested that for Tasmania the use of the Victorian emission factors is appropriate,";"","while for Northern Territory the use of the Western Australian emission factors is appropriate.";"-","Scope 3 emission factors do not include fugitive emission leakage from low pressure natural gas distribution pipeline networks while those from high pressure";"","gas networks are considered negligible."}, _xlpm.r, _xlpm.c))))</definedName>
    <definedName name="Fuel_SourceData.Fuel_Scope3EmissionFactorsStationaryGaseous_Data">_xlfn.LAMBDA(_xlfn.MAKEARRAY(9,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definedName>
    <definedName name="Fuel_SourceData.Fuel_Scope3EmissionFactorsStationaryGaseous_Description">_xlfn.LAMBDA(("Indirect (Scope 3) emission factors for the consumption of natural gas."))</definedName>
    <definedName name="Fuel_SourceData.Fuel_Scope3EmissionFactorsStationaryGaseous_Source">_xlfn.LAMBDA(("Australian National Greenhouse Accounts Factors 2025 - Table 6"))</definedName>
    <definedName name="Fuel_SourceData.Fuel_Scope3EmissionFactorsStationaryGaseous_Title">_xlfn.LAMBDA(("Fuel scope 3 emission factors - Stationary gaseous fuels"))</definedName>
    <definedName name="Fuel_SourceData.Fuel_Scope3EmissionFactorsStationaryGaseous_Variation">_xlfn.LAMBDA(("VARIATION OF SOURCE DATA: NSW and ACT split into separate rows. 'C' Values for Tasmania and Northern Territory replaced with those for Victoria and Western Australia respectively. (See appendices)"))</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anureManagement_Swine_Methane.VEERG_4_5_1_1__1_TotalAnnualMethaneEmissions">_xlfn.LAMBDA(_xlpm.Dj,_xlpm.Mmj,_xlpm.Nj, _xlpm.Dj * _xlpm.Mmj * _xlpm.Nj * 10 ^ -3)</definedName>
    <definedName name="ManureManagement_Swine_Methane.VEERG_4_5_1_1__1_TotalAnnualMethaneEmissions_Arguments">_xlfn.LAMBDA(_xlfn.MAKEARRAY(3, 2, _xlfn.LAMBDA(_xlpm.r,_xlpm.c, INDEX({"Dj","length of stay of each class of swine : days";"Mmj","methane production from manure in each swine class : kg CH4/head/day";"Nj","numbers of swine in each class : head"}, _xlpm.r, _xlpm.c))))</definedName>
    <definedName name="ManureManagement_Swine_Methane.VEERG_4_5_1_1__1_TotalAnnualMethaneEmissions_Source">_xlfn.LAMBDA("VEERG 2026: 4.5.1.1, Equation (1)")</definedName>
    <definedName name="ManureManagement_Swine_Methane.VEERG_4_5_1_1__1_TotalAnnualMethaneEmissions_Title">_xlfn.LAMBDA("Total annual methane emissions from manure management")</definedName>
    <definedName name="ManureManagement_Swine_Methane.VEERG_4_5_1_1__1_TotalAnnualMethaneEmissions_Unit">_xlfn.LAMBDA("t CH4")</definedName>
    <definedName name="ManureManagement_Swine_Methane.VEERG_4_5_1_1__1_TotalAnnualMethaneEmissions_Variable">_xlfn.LAMBDA("ECH4")</definedName>
    <definedName name="ManureManagement_Swine_Methane.VEERG_4_5_1_1__2_MethaneProductionPerClass_Arguments">_xlfn.LAMBDA(_xlfn.MAKEARRAY(1, 2, _xlfn.LAMBDA(_xlpm.r,_xlpm.c, INDEX({"MjmT","methane production from manure per class, MMS, and treatment stage : kg CH4/head/day"}, _xlpm.r, _xlpm.c))))</definedName>
    <definedName name="ManureManagement_Swine_Methane.VEERG_4_5_1_1__2_MethaneProductionPerClass_Source">_xlfn.LAMBDA("VEERG 2026: 4.5.1.1, Equation (2)")</definedName>
    <definedName name="ManureManagement_Swine_Methane.VEERG_4_5_1_1__2_MethaneProductionPerClass_Title">_xlfn.LAMBDA("Methane production from the manure of each class of swine")</definedName>
    <definedName name="ManureManagement_Swine_Methane.VEERG_4_5_1_1__2_MethaneProductionPerClass_Unit">_xlfn.LAMBDA("kg CH4/head/day")</definedName>
    <definedName name="ManureManagement_Swine_Methane.VEERG_4_5_1_1__2_MethaneProductionPerClass_Variable">_xlfn.LAMBDA("Mmj")</definedName>
    <definedName name="ManureManagement_Swine_Methane.VEERG_4_5_1_1__2_MethaneProductionPerClass_Variation">_xlfn.LAMBDA("VARIATION ON SOURCE: Split variable Mjm into MjmT1 and MjmT2 for stage 1 and 2 MMS.")</definedName>
    <definedName name="ManureManagement_Swine_Methane.VEERG_4_5_1_1__2_MethaneProductionPerClassVariation">_xlfn.LAMBDA(_xlpm.MjmT1,_xlpm.MjmT2, SUM(_xlpm.MjmT1, _xlpm.MjmT2))</definedName>
    <definedName name="ManureManagement_Swine_Methane.VEERG_4_5_1_1__3_Stage1MethaneProduction">_xlfn.LAMBDA(_xlpm.VSj,_xlpm.FVSjmT1,_xlpm.MCFim,_xlpm.BO,_xlpm.rho, _xlpm.VSj * _xlpm.FVSjmT1 * _xlpm.MCFim * _xlpm.BO * _xlpm.rho)</definedName>
    <definedName name="ManureManagement_Swine_Methane.VEERG_4_5_1_1__3_Stage1MethaneProduction_Arguments">_xlfn.LAMBDA(_xlfn.MAKEARRAY(5, 2, _xlfn.LAMBDA(_xlpm.r,_xlpm.c, INDEX({"VSj","volatile solid production from swine in each class : kg/head/day";"FVSjmT1","fraction of volatile solids in each primary system : fraction";"MCFim","methane conversion factor for temperate zone and system : fraction";"BO","emissions potential : m3 CH4/kg VS";"rho","density of methane : kg/m3"}, _xlpm.r, _xlpm.c))))</definedName>
    <definedName name="ManureManagement_Swine_Methane.VEERG_4_5_1_1__3_Stage1MethaneProduction_Source">_xlfn.LAMBDA("VEERG 2026: 4.5.1.1, Equation (3)")</definedName>
    <definedName name="ManureManagement_Swine_Methane.VEERG_4_5_1_1__3_Stage1MethaneProduction_Title">_xlfn.LAMBDA("Production of methane in treatment stage 1 MMS")</definedName>
    <definedName name="ManureManagement_Swine_Methane.VEERG_4_5_1_1__3_Stage1MethaneProduction_Unit">_xlfn.LAMBDA("kg CH4/head/day")</definedName>
    <definedName name="ManureManagement_Swine_Methane.VEERG_4_5_1_1__3_Stage1MethaneProduction_Variable">_xlfn.LAMBDA("MijmT1")</definedName>
    <definedName name="ManureManagement_Swine_Methane.VEERG_4_5_1_1__4_FractionVolatileSolidsPrimarySystem">_xlfn.LAMBDA(_xlpm.MMSjmT1,_xlpm.SSm, _xlfn.LET(_xlpm.ssm, IF(ISNUMBER(_xlpm.SSm), _xlpm.SSm, 0), _xlpm.MMSjmT1 * (1 - _xlpm.ssm)))</definedName>
    <definedName name="ManureManagement_Swine_Methane.VEERG_4_5_1_1__4_FractionVolatileSolidsPrimarySystem_Arguments">_xlfn.LAMBDA(_xlfn.MAKEARRAY(2, 2, _xlfn.LAMBDA(_xlpm.r,_xlpm.c, INDEX({"MMSjmT1","fraction of manure to each primary MMS for each class prior to solid separation : fraction";"SSm","fraction of volatile solids separated to solid storage for each MMS : fraction"}, _xlpm.r, _xlpm.c))))</definedName>
    <definedName name="ManureManagement_Swine_Methane.VEERG_4_5_1_1__4_FractionVolatileSolidsPrimarySystem_Source">_xlfn.LAMBDA("VEERG 2026: 4.5.1.1, Equation (4)")</definedName>
    <definedName name="ManureManagement_Swine_Methane.VEERG_4_5_1_1__4_FractionVolatileSolidsPrimarySystem_Title">_xlfn.LAMBDA("Fraction of volatile solids in each primary system other than solid storage")</definedName>
    <definedName name="ManureManagement_Swine_Methane.VEERG_4_5_1_1__4_FractionVolatileSolidsPrimarySystem_Unit">_xlfn.LAMBDA("fraction")</definedName>
    <definedName name="ManureManagement_Swine_Methane.VEERG_4_5_1_1__4_FractionVolatileSolidsPrimarySystem_Variable">_xlfn.LAMBDA("FVSjmT1")</definedName>
    <definedName name="ManureManagement_Swine_Methane.VEERG_4_5_1_1__4_FractionVolatileSolidsPrimarySystem_Variation">_xlfn.LAMBDA("VARIATION ON SOURCE: Added check to convert 'N/A' value to zero.")</definedName>
    <definedName name="ManureManagement_Swine_Methane.VEERG_4_5_1_1__5_FractionVolatileSolidsSolidStorage">_xlfn.LAMBDA(_xlpm.MMSjm4T1,_xlpm.MMSjm179T1,_xlpm.SSm, _xlfn.LET(_xlpm.MMSjm4T1, IF(ISNUMBER(_xlpm.MMSjm4T1), _xlpm.MMSjm4T1, 0), _xlpm.MMSjm179T1, IF(ISNUMBER(_xlpm.MMSjm179T1), _xlpm.MMSjm179T1, 0), _xlpm.SSm, IF(ISNUMBER(_xlpm.SSm), _xlpm.SSm, 0), _xlpm.MMSjm4T1 + (_xlpm.MMSjm179T1 * _xlpm.SSm)))</definedName>
    <definedName name="ManureManagement_Swine_Methane.VEERG_4_5_1_1__5_FractionVolatileSolidsSolidStorage_Arguments">_xlfn.LAMBDA(_xlfn.MAKEARRAY(3, 2, _xlfn.LAMBDA(_xlpm.r,_xlpm.c, INDEX({"MMSjm4T1","fraction of manure in solid storage primary system : fraction";"MMSjm179T1","fraction of manure in MMS 1, 7, and 9 in treatment stage 1 : fraction";"SSm","fraction of volatile solids separated to solid storage for each MMS : fraction"}, _xlpm.r, _xlpm.c))))</definedName>
    <definedName name="ManureManagement_Swine_Methane.VEERG_4_5_1_1__5_FractionVolatileSolidsSolidStorage_Source">_xlfn.LAMBDA("VEERG 2026: 4.5.1.1, Equation (5)")</definedName>
    <definedName name="ManureManagement_Swine_Methane.VEERG_4_5_1_1__5_FractionVolatileSolidsSolidStorage_Title">_xlfn.LAMBDA("Fraction of volatile solids in solid storage")</definedName>
    <definedName name="ManureManagement_Swine_Methane.VEERG_4_5_1_1__5_FractionVolatileSolidsSolidStorage_Unit">_xlfn.LAMBDA("fraction")</definedName>
    <definedName name="ManureManagement_Swine_Methane.VEERG_4_5_1_1__5_FractionVolatileSolidsSolidStorage_Variable">_xlfn.LAMBDA("FVSjm4T1")</definedName>
    <definedName name="ManureManagement_Swine_Methane.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anureManagement_Swine_Methane.VEERG_4_5_1_1__6_Stage2MethaneProduction_Arguments">_xlfn.LAMBDA(_xlfn.MAKEARRAY(6, 2, _xlfn.LAMBDA(_xlpm.r,_xlpm.c, INDEX({"VSTjmT2","volatile solids transferred to treatment stage 2 MMS : kg/head/day";"BO","emissions potential : m3 CH4/kg VS";"MMSjmT2","fraction of manure in each secondary system : fraction";"MCFim","methane conversion factor for temperate zone and system : fraction";"rho","density of methane : kg/m3";"i","state"}, _xlpm.r, _xlpm.c))))</definedName>
    <definedName name="ManureManagement_Swine_Methane.VEERG_4_5_1_1__6_Stage2MethaneProduction_Source">_xlfn.LAMBDA("VEERG 2026: 4.5.1.1, Equation (6)")</definedName>
    <definedName name="ManureManagement_Swine_Methane.VEERG_4_5_1_1__6_Stage2MethaneProduction_Title">_xlfn.LAMBDA("Production of methane in each treatment stage 2 MMS")</definedName>
    <definedName name="ManureManagement_Swine_Methane.VEERG_4_5_1_1__6_Stage2MethaneProduction_Unit">_xlfn.LAMBDA("kg CH4/head/day")</definedName>
    <definedName name="ManureManagement_Swine_Methane.VEERG_4_5_1_1__6_Stage2MethaneProduction_Variable">_xlfn.LAMBDA("MijmT2")</definedName>
    <definedName name="ManureManagement_Swine_Methane.VEERG_4_5_1_1__7_VolatileSolidsTransferredStage2">_xlfn.LAMBDA(_xlpm.VSj,_xlpm.FVSjmT1,_xlpm.VSLmT1, _xlpm.VSj * _xlpm.FVSjmT1 * (1 - _xlpm.VSLmT1))</definedName>
    <definedName name="ManureManagement_Swine_Methane.VEERG_4_5_1_1__7_VolatileSolidsTransferredStage2_Arguments">_xlfn.LAMBDA(_xlfn.MAKEARRAY(3, 2, _xlfn.LAMBDA(_xlpm.r,_xlpm.c, INDEX({"VSj","volatile solid production from swine in each class : kg/head/day";"FVSjmT1","fraction of volatile solids in each primary system : fraction";"VSLmT1","fraction of volatile solids lost during storage in the primary system : fraction"}, _xlpm.r, _xlpm.c))))</definedName>
    <definedName name="ManureManagement_Swine_Methane.VEERG_4_5_1_1__7_VolatileSolidsTransferredStage2_Source">_xlfn.LAMBDA("VEERG 2026: 4.5.1.1, Equation (7)")</definedName>
    <definedName name="ManureManagement_Swine_Methane.VEERG_4_5_1_1__7_VolatileSolidsTransferredStage2_Title">_xlfn.LAMBDA("Volatile solids transferred to treatment stage 2 MMS")</definedName>
    <definedName name="ManureManagement_Swine_Methane.VEERG_4_5_1_1__7_VolatileSolidsTransferredStage2_Unit">_xlfn.LAMBDA("kg VS")</definedName>
    <definedName name="ManureManagement_Swine_Methane.VEERG_4_5_1_1__7_VolatileSolidsTransferredStage2_Variable">_xlfn.LAMBDA("VSTijmT2")</definedName>
    <definedName name="MMS_Dairy_AtmosphericDeposition_Equations.VEERG_4_3_1_5__1_AnnualAtmosphericDepositionEmissionsFromMMS">_xlfn.LAMBDA(_xlpm.MN_ATMOS,_xlpm.EF_N2O,_xlpm.C_N2O, _xlpm.MN_ATMOS * _xlpm.EF_N2O * _xlpm.C_N2O * 10 ^ -3)</definedName>
    <definedName name="MMS_Poultry_AtmosphericDeposition_Equations.VEERG_4_6_1_5__1_TotalAnnualAtmosphericDepositionEmissionsFromMMS">_xlfn.LAMBDA(_xlpm.MMS_ATMOS,_xlpm.EF_N2O,_xlpm.C_N2O, (_xlpm.MMS_ATMOS * _xlpm.EF_N2O * _xlpm.C_N2O) * 10 ^ -3)</definedName>
    <definedName name="MMS_Poultry_AtmosphericDeposition_Equations.VEERG_4_6_1_5__1_TotalAnnualAtmosphericDepositionEmissionsFromMMS_Arguments">_xlfn.LAMBDA(_xlfn.MAKEARRAY(6, 4, _xlfn.LAMBDA(_xlpm.r,_xlpm.c, INDEX({"MMS_ATMOS","mass of N volatilised from MMS","kg N","Calculated from 4.6.1.5 (2)";"EF_N2O","nitrous oxide emission factor for atmospheric deposition","kg N2O-N/kg N","Constant";"C_N2O","factor to convert elemental mass of nitrous oxide to molecular mass","ratio","Constant";"j","production system","","Input";"ir","irrigation method","","Input";"r","rainfall region","","Input"}, _xlpm.r, _xlpm.c))))</definedName>
    <definedName name="MMS_Poultry_AtmosphericDeposition_Equations.VEERG_4_6_1_5__1_TotalAnnualAtmosphericDepositionEmissionsFromMMS_LatexEquation">_xlfn.LAMBDA("E_{N2O,ad}=(MMS_{ATMOS}\times EF_{N2O}\times C_{N2O})\times10^{-3}")</definedName>
    <definedName name="MMS_Poultry_AtmosphericDeposition_Equations.VEERG_4_6_1_5__1_TotalAnnualAtmosphericDepositionEmissionsFromMMS_NIRReference">_xlfn.LAMBDA("")</definedName>
    <definedName name="MMS_Poultry_AtmosphericDeposition_Equations.VEERG_4_6_1_5__1_TotalAnnualAtmosphericDepositionEmissionsFromMMS_Source">_xlfn.LAMBDA("VEERG 2026: 4.6.1.5, Equation (1)")</definedName>
    <definedName name="MMS_Poultry_AtmosphericDeposition_Equations.VEERG_4_6_1_5__1_TotalAnnualAtmosphericDepositionEmissionsFromMMS_Title">_xlfn.LAMBDA("Total annual atmospheric deposition emissions from manure management")</definedName>
    <definedName name="MMS_Poultry_AtmosphericDeposition_Equations.VEERG_4_6_1_5__1_TotalAnnualAtmosphericDepositionEmissionsFromMMS_Unit">_xlfn.LAMBDA("t N2O")</definedName>
    <definedName name="MMS_Poultry_AtmosphericDeposition_Equations.VEERG_4_6_1_5__1_TotalAnnualAtmosphericDepositionEmissionsFromMMS_Variable">_xlfn.LAMBDA("E_N2Oad")</definedName>
    <definedName name="MMS_Poultry_AtmosphericDeposition_Equations.VEERG_4_6_1_5__2_TotalNitrogenVolatilisedFromMMS">_xlfn.LAMBDA(_xlpm.MN_jkmT,_xlpm.FracGASM_mT, _xlpm.MN_jkmT * _xlpm.FracGASM_mT)</definedName>
    <definedName name="MMS_Poultry_AtmosphericDeposition_Equations.VEERG_4_6_1_5__2_TotalNitrogenVolatilisedFromMMS_Arguments">_xlfn.LAMBDA(_xlfn.MAKEARRAY(2, 4, _xlfn.LAMBDA(_xlpm.r,_xlpm.c, INDEX({"MN_jkmT","nitrogen in each treatment stage MMS (excluding MN_jkm13T2)","kg N","Calculated from 4.6.1.3 (2)(6)";"FracGASM_mT","fraction of N volatilised in each MMS","(kg NH3-N + NOx-N)/kg N","Constant"}, _xlpm.r, _xlpm.c))))</definedName>
    <definedName name="MMS_Poultry_AtmosphericDeposition_Equations.VEERG_4_6_1_5__2_TotalNitrogenVolatilisedFromMMS_LatexEquation">_xlfn.LAMBDA("MMS_{ATMOS}=\sum_{j}\sum_{k}\sum_{m}\sum_{T}(MN_{jkmT}\times FracGASM_{mT})")</definedName>
    <definedName name="MMS_Poultry_AtmosphericDeposition_Equations.VEERG_4_6_1_5__2_TotalNitrogenVolatilisedFromMMS_NIRReference">_xlfn.LAMBDA("")</definedName>
    <definedName name="MMS_Poultry_AtmosphericDeposition_Equations.VEERG_4_6_1_5__2_TotalNitrogenVolatilisedFromMMS_Source">_xlfn.LAMBDA("VEERG 2026: 4.6.1.5, Equation (2)")</definedName>
    <definedName name="MMS_Poultry_AtmosphericDeposition_Equations.VEERG_4_6_1_5__2_TotalNitrogenVolatilisedFromMMS_Title">_xlfn.LAMBDA("Total nitrogen volatilised from manure management systems")</definedName>
    <definedName name="MMS_Poultry_AtmosphericDeposition_Equations.VEERG_4_6_1_5__2_TotalNitrogenVolatilisedFromMMS_Unit">_xlfn.LAMBDA("kg N")</definedName>
    <definedName name="MMS_Poultry_AtmosphericDeposition_Equations.VEERG_4_6_1_5__2_TotalNitrogenVolatilisedFromMMS_Variable">_xlfn.LAMBDA("MMS_ATMOS")</definedName>
    <definedName name="MMS_Poultry_LeachingAndRunoff_Equations.VEERG_4_6_1_7__1_AnnualEmissionsFromLeachingAndRunoffFromMMS">_xlfn.LAMBDA(_xlpm.MNLeach_jkm4,_xlpm.EF_leach,_xlpm.C_N2O, (_xlpm.MNLeach_jkm4 * _xlpm.EF_leach * _xlpm.C_N2O) * 10 ^ -3)</definedName>
    <definedName name="MMS_Poultry_LeachingAndRunoff_Equations.VEERG_4_6_1_7__1_AnnualEmissionsFromLeachingAndRunoffFromMMS_Arguments">_xlfn.LAMBDA(_xlfn.MAKEARRAY(3, 4, _xlfn.LAMBDA(_xlpm.r,_xlpm.c, INDEX({"MNLeach_jkm4","mass of N lost through leaching and runoff from each MMS","kg N","Calculated from 4.6.1.7 (2)";"EF_leach","emission factor for leaching and runoff","kg N2O-N/kg N","Constant";"C_N2O","factor to convert elemental mass of N2O to molecular mass","ratio","Constant"}, _xlpm.r, _xlpm.c))))</definedName>
    <definedName name="MMS_Poultry_LeachingAndRunoff_Equations.VEERG_4_6_1_7__1_AnnualEmissionsFromLeachingAndRunoffFromMMS_LatexEquation">_xlfn.LAMBDA("E_{N2O,leach}=MNLeach_{jkm=4}\times EF_{leach}\times C_{N2O}\times10^{-3}")</definedName>
    <definedName name="MMS_Poultry_LeachingAndRunoff_Equations.VEERG_4_6_1_7__1_AnnualEmissionsFromLeachingAndRunoffFromMMS_NIRReference">_xlfn.LAMBDA("")</definedName>
    <definedName name="MMS_Poultry_LeachingAndRunoff_Equations.VEERG_4_6_1_7__1_AnnualEmissionsFromLeachingAndRunoffFromMMS_Source">_xlfn.LAMBDA("VEERG 2026: 4.6.1.7, Equation (1)")</definedName>
    <definedName name="MMS_Poultry_LeachingAndRunoff_Equations.VEERG_4_6_1_7__1_AnnualEmissionsFromLeachingAndRunoffFromMMS_Title">_xlfn.LAMBDA("Annual emissions from leaching and runoff from each MMS")</definedName>
    <definedName name="MMS_Poultry_LeachingAndRunoff_Equations.VEERG_4_6_1_7__1_AnnualEmissionsFromLeachingAndRunoffFromMMS_Unit">_xlfn.LAMBDA("t N2O")</definedName>
    <definedName name="MMS_Poultry_LeachingAndRunoff_Equations.VEERG_4_6_1_7__1_AnnualEmissionsFromLeachingAndRunoffFromMMS_Variable">_xlfn.LAMBDA("E_N2Oleach")</definedName>
    <definedName name="MMS_Poultry_LeachingAndRunoff_Equations.VEERG_4_6_1_7__2_MassOfNitrogenLostToLeachingAndRunoffFromSolidStorage">_xlfn.LAMBDA(_xlpm.MN_jkm4T2,_xlpm.FracWET,_xlpm.FracLEACH_MS, _xlpm.MN_jkm4T2 * _xlpm.FracWET * _xlpm.FracLEACH_MS)</definedName>
    <definedName name="MMS_Poultry_LeachingAndRunoff_Equations.VEERG_4_6_1_7__2_MassOfNitrogenLostToLeachingAndRunoffFromSolidStorage_Arguments">_xlfn.LAMBDA(_xlfn.MAKEARRAY(6, 4, _xlfn.LAMBDA(_xlpm.r,_xlpm.c, INDEX({"MN_jkm4T2","nitrogen in solid storage MMS treatment stage 2","kg N","Calculated from 4.6.1.3 (6)";"FracWET","fraction of N available for leaching and runoff","fraction","Input";"FracLEACH_MS","fraction of N lost through leaching and runoff","fraction","Input";"z","location in leaching zone","","Input";"j","production system","","Input";"ir","irrigation method","","Input"}, _xlpm.r, _xlpm.c))))</definedName>
    <definedName name="MMS_Poultry_LeachingAndRunoff_Equations.VEERG_4_6_1_7__2_MassOfNitrogenLostToLeachingAndRunoffFromSolidStorage_LatexEquation">_xlfn.LAMBDA("MNLeach_{jkm=4}=MN_{jkm=4,T=2}\times FracWET\times FracLEACH_{MS}")</definedName>
    <definedName name="MMS_Poultry_LeachingAndRunoff_Equations.VEERG_4_6_1_7__2_MassOfNitrogenLostToLeachingAndRunoffFromSolidStorage_NIRReference">_xlfn.LAMBDA("")</definedName>
    <definedName name="MMS_Poultry_LeachingAndRunoff_Equations.VEERG_4_6_1_7__2_MassOfNitrogenLostToLeachingAndRunoffFromSolidStorage_Source">_xlfn.LAMBDA("VEERG 2026: 4.6.1.7, Equation (2)")</definedName>
    <definedName name="MMS_Poultry_LeachingAndRunoff_Equations.VEERG_4_6_1_7__2_MassOfNitrogenLostToLeachingAndRunoffFromSolidStorage_Title">_xlfn.LAMBDA("Mass of nitrogen lost to leaching and runoff from solid storage systems")</definedName>
    <definedName name="MMS_Poultry_LeachingAndRunoff_Equations.VEERG_4_6_1_7__2_MassOfNitrogenLostToLeachingAndRunoffFromSolidStorage_Unit">_xlfn.LAMBDA("kg N")</definedName>
    <definedName name="MMS_Poultry_LeachingAndRunoff_Equations.VEERG_4_6_1_7__2_MassOfNitrogenLostToLeachingAndRunoffFromSolidStorage_Variable">_xlfn.LAMBDA("MNLeach_jkm4")</definedName>
    <definedName name="MMS_Poultry_ManureAppliedToSoils_Equations.VEERG_4_6_1_9__1_MassOfNitrogenAppliedToSoilsScope1">_xlfn.LAMBDA(_xlpm.MN_jmT2,_xlpm.EF_mT2,_xlpm.FracGASM_mT2,_xlpm.MNLeach_MMS,_xlpm.PF, (_xlpm.MN_jmT2 * (1 - _xlpm.EF_mT2 - _xlpm.FracGASM_mT2) - _xlpm.MNLeach_MMS) * _xlpm.PF)</definedName>
    <definedName name="MMS_Poultry_ManureAppliedToSoils_Equations.VEERG_4_6_1_9__1_MassOfNitrogenAppliedToSoilsScope1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1_MassOfNitrogenAppliedToSoilsScope1_LatexEquation">_xlfn.LAMBDA("MNSoil_{scope1}=\sum_{j}\sum_{m}(MN_{jm,T=2}\times(1-EF_{mT=2}-FracGASM_{mT=2})-MNLeach_{MMS})\times PF")</definedName>
    <definedName name="MMS_Poultry_ManureAppliedToSoils_Equations.VEERG_4_6_1_9__1_MassOfNitrogenAppliedToSoilsScope1_NIRReference">_xlfn.LAMBDA("")</definedName>
    <definedName name="MMS_Poultry_ManureAppliedToSoils_Equations.VEERG_4_6_1_9__1_MassOfNitrogenAppliedToSoilsScope1_Source">_xlfn.LAMBDA("VEERG 2026: 4.6.1.9, Equation (1)")</definedName>
    <definedName name="MMS_Poultry_ManureAppliedToSoils_Equations.VEERG_4_6_1_9__1_MassOfNitrogenAppliedToSoilsScope1_Title">_xlfn.LAMBDA("Mass of nitrogen applied to soils for scope 1 emissions")</definedName>
    <definedName name="MMS_Poultry_ManureAppliedToSoils_Equations.VEERG_4_6_1_9__1_MassOfNitrogenAppliedToSoilsScope1_Unit">_xlfn.LAMBDA("kg N")</definedName>
    <definedName name="MMS_Poultry_ManureAppliedToSoils_Equations.VEERG_4_6_1_9__1_MassOfNitrogenAppliedToSoilsScope1_Variable">_xlfn.LAMBDA("MNSoil_scope1")</definedName>
    <definedName name="MMS_Poultry_ManureAppliedToSoils_Equations.VEERG_4_6_1_9__2_MassOfNitrogenAppliedToSoilsScope3">_xlfn.LAMBDA(_xlpm.MN_jmT2,_xlpm.EF_mT2,_xlpm.FracGASM_mT2,_xlpm.MNLeach_MMS,_xlpm.PF, (_xlpm.MN_jmT2 * (1 - _xlpm.EF_mT2 - _xlpm.FracGASM_mT2) - _xlpm.MNLeach_MMS) * (1 - _xlpm.PF))</definedName>
    <definedName name="MMS_Poultry_ManureAppliedToSoils_Equations.VEERG_4_6_1_9__2_MassOfNitrogenAppliedToSoilsScope3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2_MassOfNitrogenAppliedToSoilsScope3_LatexEquation">_xlfn.LAMBDA("MNSoil_{scope3}=\sum_{j}\sum_{m}(MN_{jm,T=2}\times(1-EF_{mT=2}-FracGASM_{mT=2})-MNLeach_{MMS})\times(1-PF)")</definedName>
    <definedName name="MMS_Poultry_ManureAppliedToSoils_Equations.VEERG_4_6_1_9__2_MassOfNitrogenAppliedToSoilsScope3_NIRReference">_xlfn.LAMBDA("")</definedName>
    <definedName name="MMS_Poultry_ManureAppliedToSoils_Equations.VEERG_4_6_1_9__2_MassOfNitrogenAppliedToSoilsScope3_Source">_xlfn.LAMBDA("VEERG 2026: 4.6.1.9, Equation (2)")</definedName>
    <definedName name="MMS_Poultry_ManureAppliedToSoils_Equations.VEERG_4_6_1_9__2_MassOfNitrogenAppliedToSoilsScope3_Title">_xlfn.LAMBDA("Mass of nitrogen applied to soils for scope 3 emissions")</definedName>
    <definedName name="MMS_Poultry_ManureAppliedToSoils_Equations.VEERG_4_6_1_9__2_MassOfNitrogenAppliedToSoilsScope3_Unit">_xlfn.LAMBDA("kg N")</definedName>
    <definedName name="MMS_Poultry_ManureAppliedToSoils_Equations.VEERG_4_6_1_9__2_MassOfNitrogenAppliedToSoilsScope3_Variable">_xlfn.LAMBDA("MNSoil_scope3")</definedName>
    <definedName name="MMS_Poultry_Methane_Equations.VEERG_4_6_1_1__1_TotalAnnualMethaneEmissions">_xlfn.LAMBDA(_xlpm.D_jk,_xlpm.M_jkmT,_xlpm.N_jk, (_xlpm.D_jk * _xlpm.M_jkmT * _xlpm.N_jk) * 10 ^ -3)</definedName>
    <definedName name="MMS_Poultry_Methane_Equations.VEERG_4_6_1_1__1_TotalAnnualMethaneEmissions_Arguments">_xlfn.LAMBDA(_xlfn.MAKEARRAY(3, 4, _xlfn.LAMBDA(_xlpm.r,_xlpm.c, INDEX({"D_jk","duration of stay of each class and subclass of poultry","days","Input";"M_jkmT","methane production from manure per class, subclass, MMS, and treatment stage","kg CH4/bird/day","Calculated from 4.6.1.1 (2)(3)";"N_jk","numbers of poultry in each class and subclass","birds","Input"}, _xlpm.r, _xlpm.c))))</definedName>
    <definedName name="MMS_Poultry_Methane_Equations.VEERG_4_6_1_1__1_TotalAnnualMethaneEmissions_LatexEquation">_xlfn.LAMBDA("E_{CH4}=\sum_{j}\sum_{k}\sum_{m}\sum_{T}(D_{jk}\times M_{jkmT}\times N_{jk})\times10^{-3}")</definedName>
    <definedName name="MMS_Poultry_Methane_Equations.VEERG_4_6_1_1__1_TotalAnnualMethaneEmissions_NIRReference">_xlfn.LAMBDA("")</definedName>
    <definedName name="MMS_Poultry_Methane_Equations.VEERG_4_6_1_1__1_TotalAnnualMethaneEmissions_Source">_xlfn.LAMBDA("VEERG 2026: 4.4.1.1, Equation (1)")</definedName>
    <definedName name="MMS_Poultry_Methane_Equations.VEERG_4_6_1_1__1_TotalAnnualMethaneEmissions_Title">_xlfn.LAMBDA("Total annual methane emissions from manure management")</definedName>
    <definedName name="MMS_Poultry_Methane_Equations.VEERG_4_6_1_1__1_TotalAnnualMethaneEmissions_Unit">_xlfn.LAMBDA("t CH4")</definedName>
    <definedName name="MMS_Poultry_Methane_Equations.VEERG_4_6_1_1__1_TotalAnnualMethaneEmissions_Variable">_xlfn.LAMBDA("E_CH4")</definedName>
    <definedName name="MMS_Poultry_Methane_Equations.VEERG_4_6_1_1__2_Stage1MethaneProduction">_xlfn.LAMBDA(_xlpm.VS_jk,_xlpm.BO_j,_xlpm.MMS_jmT1,_xlpm.MCF_im,_xlpm.rho, _xlpm.VS_jk * _xlpm.BO_j * _xlpm.MMS_jmT1 * _xlpm.MCF_im * _xlpm.rho)</definedName>
    <definedName name="MMS_Poultry_Methane_Equations.VEERG_4_6_1_1__2_Stage1MethaneProduction_Arguments">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methane","kg/m3","Constant";"i","state","","Input"}, _xlpm.r, _xlpm.c))))</definedName>
    <definedName name="MMS_Poultry_Methane_Equations.VEERG_4_6_1_1__2_Stage1MethaneProduction_Arguments_Method2">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methane","kg/m3","Constant";"i","mean annual temperature","°C","Input"}, _xlpm.r, _xlpm.c))))</definedName>
    <definedName name="MMS_Poultry_Methane_Equations.VEERG_4_6_1_1__2_Stage1MethaneProduction_LatexEquation">_xlfn.LAMBDA("M_{jkmT=1}=VS_{jk}\times BO_{j}\times MMS_{jmT=1}\times MCF_{im}\times \rho")</definedName>
    <definedName name="MMS_Poultry_Methane_Equations.VEERG_4_6_1_1__2_Stage1MethaneProduction_NIRReference">_xlfn.LAMBDA("")</definedName>
    <definedName name="MMS_Poultry_Methane_Equations.VEERG_4_6_1_1__2_Stage1MethaneProduction_Source">_xlfn.LAMBDA("VEERG 2026: 4.4.1.1, Equation (2)")</definedName>
    <definedName name="MMS_Poultry_Methane_Equations.VEERG_4_6_1_1__2_Stage1MethaneProduction_Title">_xlfn.LAMBDA("Production of methane in treatment stage 1 MMS")</definedName>
    <definedName name="MMS_Poultry_Methane_Equations.VEERG_4_6_1_1__2_Stage1MethaneProduction_Unit">_xlfn.LAMBDA("kg CH4/bird/day")</definedName>
    <definedName name="MMS_Poultry_Methane_Equations.VEERG_4_6_1_1__2_Stage1MethaneProduction_Variable">_xlfn.LAMBDA("M_jkmT1")</definedName>
    <definedName name="MMS_Poultry_Methane_Equations.VEERG_4_6_1_1__2_Stage1MethaneProduction_Variation">_xlfn.LAMBDA(_xlfn.MAKEARRAY(3, 1, _xlfn.LAMBDA(_xlpm.r,_xlpm.c, INDEX({"VARIATION ON SOURCE:";"Used mean annual temperature instead of temperature zone to determine MCF as MCF values are specific to temperature";"Method 2: Used state based MCF values for 'Belt manure removal' and 'Manure stored in house' MMS as no temperature values exist in Table A.1.8.1"}, _xlpm.r, _xlpm.c))))</definedName>
    <definedName name="MMS_Poultry_Methane_Equations.VEERG_4_6_1_1__3_Stage2MethaneProduction">_xlfn.LAMBDA(_xlpm.VST_jk,_xlpm.BO,_xlpm.MMS_jmT2,_xlpm.MCF_im,_xlpm.rho, _xlpm.VST_jk * _xlpm.BO * _xlpm.MMS_jmT2 * _xlpm.MCF_im * _xlpm.rho)</definedName>
    <definedName name="MMS_Poultry_Methane_Equations.VEERG_4_6_1_1__3_Stage2MethaneProduction_Arguments">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methane","kg/m3","Constant";"i","state","","Input"}, _xlpm.r, _xlpm.c))))</definedName>
    <definedName name="MMS_Poultry_Methane_Equations.VEERG_4_6_1_1__3_Stage2MethaneProduction_Arguments_Method2">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methane","kg/m3","Constant";"i","mean annual temperature","°C","Input"}, _xlpm.r, _xlpm.c))))</definedName>
    <definedName name="MMS_Poultry_Methane_Equations.VEERG_4_6_1_1__3_Stage2MethaneProduction_LatexEquation">_xlfn.LAMBDA("M_{jkmT=2}=VST_{jk}\times BO\times MMS_{jmT=2}\times MCF_{im}\times \rho")</definedName>
    <definedName name="MMS_Poultry_Methane_Equations.VEERG_4_6_1_1__3_Stage2MethaneProduction_NIRReference">_xlfn.LAMBDA("")</definedName>
    <definedName name="MMS_Poultry_Methane_Equations.VEERG_4_6_1_1__3_Stage2MethaneProduction_Source">_xlfn.LAMBDA("VEERG 2026: 4.4.1.1, Equation (3)")</definedName>
    <definedName name="MMS_Poultry_Methane_Equations.VEERG_4_6_1_1__3_Stage2MethaneProduction_Title">_xlfn.LAMBDA("Production of methane in treatment stage 2 MMS")</definedName>
    <definedName name="MMS_Poultry_Methane_Equations.VEERG_4_6_1_1__3_Stage2MethaneProduction_Unit">_xlfn.LAMBDA("kg CH4/bird/day")</definedName>
    <definedName name="MMS_Poultry_Methane_Equations.VEERG_4_6_1_1__3_Stage2MethaneProduction_Variable">_xlfn.LAMBDA("M_jkmT2")</definedName>
    <definedName name="MMS_Poultry_Methane_Equations.VEERG_4_6_1_1__3_Stage2MethaneProduction_Variation">_xlfn.LAMBDA("VARIATION ON SOURCE: Used mean annual temperature instead of temperature zone to determine MCF as MCF values are specific to temperature")</definedName>
    <definedName name="MMS_Poultry_Methane_Equations.VEERG_4_6_1_1__4_VolatileSolidsTransferred">_xlfn.LAMBDA(_xlpm.VS_jk,_xlpm.MMS_jmT1,_xlpm.VSL_mT1, _xlpm.VS_jk * _xlpm.MMS_jmT1 * (1 - _xlpm.VSL_mT1))</definedName>
    <definedName name="MMS_Poultry_Methane_Equations.VEERG_4_6_1_1__4_VolatileSolidsTransferred_Arguments">_xlfn.LAMBDA(_xlfn.MAKEARRAY(3, 4, _xlfn.LAMBDA(_xlpm.r,_xlpm.c, INDEX({"VS_jk","volatile solid production poultry classes","kg VS/bird/day","Calculated from 4.6.1.1 (5)";"MMS_jmT1","fraction of manure in each primary system","fraction","Input";"VSL_mT1","fraction of volatile solids lost during storage in the primary system","fraction","Constant"}, _xlpm.r, _xlpm.c))))</definedName>
    <definedName name="MMS_Poultry_Methane_Equations.VEERG_4_6_1_1__4_VolatileSolidsTransferred_LatexEquation">_xlfn.LAMBDA("VST_{jk}=VS_{jk}\times MMS_{jmT=1}\times (1-VSL_{mT=1})")</definedName>
    <definedName name="MMS_Poultry_Methane_Equations.VEERG_4_6_1_1__4_VolatileSolidsTransferred_NIRReference">_xlfn.LAMBDA("")</definedName>
    <definedName name="MMS_Poultry_Methane_Equations.VEERG_4_6_1_1__4_VolatileSolidsTransferred_Source">_xlfn.LAMBDA("VEERG 2026: 4.4.1.1, Equation (4)")</definedName>
    <definedName name="MMS_Poultry_Methane_Equations.VEERG_4_6_1_1__4_VolatileSolidsTransferred_Title">_xlfn.LAMBDA("Volatile solids transferred to treatment stage 2 MMS")</definedName>
    <definedName name="MMS_Poultry_Methane_Equations.VEERG_4_6_1_1__4_VolatileSolidsTransferred_Unit">_xlfn.LAMBDA("kg VS/bird/day")</definedName>
    <definedName name="MMS_Poultry_Methane_Equations.VEERG_4_6_1_1__4_VolatileSolidsTransferred_Variable">_xlfn.LAMBDA("VST_jk")</definedName>
    <definedName name="MMS_Poultry_Methane_Equations.VEERG_4_6_1_1__5_VolatileSolidProduction">_xlfn.LAMBDA(_xlpm.I_jk,_xlpm.DMD_jk,_xlpm.A_j, _xlpm.I_jk * (1 - _xlpm.DMD_jk) * (1 - _xlpm.A_j))</definedName>
    <definedName name="MMS_Poultry_Methane_Equations.VEERG_4_6_1_1__5_VolatileSolidProduction_Arguments">_xlfn.LAMBDA(_xlfn.MAKEARRAY(3, 4, _xlfn.LAMBDA(_xlpm.r,_xlpm.c, INDEX({"I_jk","dry matter intake for each class and subclass","kg DM/bird/day","Input";"DMD_jk","dry matter digestibility for each class and subclass","fraction","Input";"A_j","ash content of manure for each class and subclass","fraction","Constant"}, _xlpm.r, _xlpm.c))))</definedName>
    <definedName name="MMS_Poultry_Methane_Equations.VEERG_4_6_1_1__5_VolatileSolidProduction_LatexEquation">_xlfn.LAMBDA("VS_{jk}=I_{jk}\times (1-DMD_{jk})\times (1-A_{j})")</definedName>
    <definedName name="MMS_Poultry_Methane_Equations.VEERG_4_6_1_1__5_VolatileSolidProduction_NIRReference">_xlfn.LAMBDA("")</definedName>
    <definedName name="MMS_Poultry_Methane_Equations.VEERG_4_6_1_1__5_VolatileSolidProduction_Source">_xlfn.LAMBDA("VEERG 2026: 4.4.1.1, Equation (5)")</definedName>
    <definedName name="MMS_Poultry_Methane_Equations.VEERG_4_6_1_1__5_VolatileSolidProduction_Title">_xlfn.LAMBDA("Volatile solid production poultry classes")</definedName>
    <definedName name="MMS_Poultry_Methane_Equations.VEERG_4_6_1_1__5_VolatileSolidProduction_Unit">_xlfn.LAMBDA("kg VS/bird/day")</definedName>
    <definedName name="MMS_Poultry_Methane_Equations.VEERG_4_6_1_1__5_VolatileSolidProduction_Variable">_xlfn.LAMBDA("VS_jk")</definedName>
    <definedName name="MMS_Poultry_N2ODirect_Equations.VEERG_4_6_1_3__1_TotalAnnualDirectNitrousOxideEmissionsFromMMS">_xlfn.LAMBDA(_xlpm.MN_jkmT,_xlpm.EF_jm,_xlpm.C_N2O, _xlpm.MN_jkmT * _xlpm.EF_jm * _xlpm.C_N2O * 10 ^ -3)</definedName>
    <definedName name="MMS_Poultry_N2ODirect_Equations.VEERG_4_6_1_3__1_TotalAnnualDirectNitrousOxideEmissionsFromMMS_Arguments">_xlfn.LAMBDA(_xlfn.MAKEARRAY(3, 4, _xlfn.LAMBDA(_xlpm.r,_xlpm.c, INDEX({"MN_jkmT","nitrogen per poultry class, subclass, MMS and treatment stage","kg N","Calculated from 4.6.1.3 (2)(6)";"EF_jm","nitrous oxide emission factor for MMS","kg N2O-N/kg N","Constant";"C_N2O","factor to convert elemental mass of nitrous oxide to molecular mass","ratio","Constant"}, _xlpm.r, _xlpm.c))))</definedName>
    <definedName name="MMS_Poultry_N2ODirect_Equations.VEERG_4_6_1_3__1_TotalAnnualDirectNitrousOxideEmissionsFromMMS_LatexEquation">_xlfn.LAMBDA("E_{N2O,dir}=\sum_{j}\sum_{k}\sum_{m}\sum_{T}(MN_{jkmT}\times EF_{jm}\times C_{N2O})\times10^{-3}")</definedName>
    <definedName name="MMS_Poultry_N2ODirect_Equations.VEERG_4_6_1_3__1_TotalAnnualDirectNitrousOxideEmissionsFromMMS_NIRReference">_xlfn.LAMBDA("")</definedName>
    <definedName name="MMS_Poultry_N2ODirect_Equations.VEERG_4_6_1_3__1_TotalAnnualDirectNitrousOxideEmissionsFromMMS_Source">_xlfn.LAMBDA("VEERG 2026: 4.6.1.3, Equation (1)")</definedName>
    <definedName name="MMS_Poultry_N2ODirect_Equations.VEERG_4_6_1_3__1_TotalAnnualDirectNitrousOxideEmissionsFromMMS_Title">_xlfn.LAMBDA("Total annual direct nitrous oxide emissions from manure management systems")</definedName>
    <definedName name="MMS_Poultry_N2ODirect_Equations.VEERG_4_6_1_3__1_TotalAnnualDirectNitrousOxideEmissionsFromMMS_Unit">_xlfn.LAMBDA("t N2O")</definedName>
    <definedName name="MMS_Poultry_N2ODirect_Equations.VEERG_4_6_1_3__1_TotalAnnualDirectNitrousOxideEmissionsFromMMS_Variable">_xlfn.LAMBDA("E_N2Odir")</definedName>
    <definedName name="MMS_Poultry_N2ODirect_Equations.VEERG_4_6_1_3__2_Stage1NitrogenInMMS">_xlfn.LAMBDA(_xlpm.AE_jk,_xlpm.MMS_jmT1, _xlpm.AE_jk * _xlpm.MMS_jmT1)</definedName>
    <definedName name="MMS_Poultry_N2ODirect_Equations.VEERG_4_6_1_3__2_Stage1NitrogenInMMS_Arguments">_xlfn.LAMBDA(_xlfn.MAKEARRAY(2, 4, _xlfn.LAMBDA(_xlpm.r,_xlpm.c, INDEX({"AE_jk","total nitrogen excreted by each poultry class and subclass","kg N","Calculated from 4.6.1.3 (3)";"MMS_jmT1","fraction of manure in each primary system","fraction","Input"}, _xlpm.r, _xlpm.c))))</definedName>
    <definedName name="MMS_Poultry_N2ODirect_Equations.VEERG_4_6_1_3__2_Stage1NitrogenInMMS_LatexEquation">_xlfn.LAMBDA("MN_{jkm,T=1}=AE_{jk}\times MMS_{jm,T=1}")</definedName>
    <definedName name="MMS_Poultry_N2ODirect_Equations.VEERG_4_6_1_3__2_Stage1NitrogenInMMS_NIRReference">_xlfn.LAMBDA("")</definedName>
    <definedName name="MMS_Poultry_N2ODirect_Equations.VEERG_4_6_1_3__2_Stage1NitrogenInMMS_Source">_xlfn.LAMBDA("VEERG 2026: 4.6.1.3, Equation (2)")</definedName>
    <definedName name="MMS_Poultry_N2ODirect_Equations.VEERG_4_6_1_3__2_Stage1NitrogenInMMS_Title">_xlfn.LAMBDA("Nitrogen in treatment stage 1 MMS")</definedName>
    <definedName name="MMS_Poultry_N2ODirect_Equations.VEERG_4_6_1_3__2_Stage1NitrogenInMMS_Unit">_xlfn.LAMBDA("kg N")</definedName>
    <definedName name="MMS_Poultry_N2ODirect_Equations.VEERG_4_6_1_3__2_Stage1NitrogenInMMS_Variable">_xlfn.LAMBDA("MN_jkmT1")</definedName>
    <definedName name="MMS_Poultry_N2ODirect_Equations.VEERG_4_6_1_3__3_AnnualNitrogenExcretion">_xlfn.LAMBDA(_xlpm.N_jk,_xlpm.NE_jk,_xlpm.D_jk, _xlpm.N_jk * _xlpm.NE_jk * _xlpm.D_jk)</definedName>
    <definedName name="MMS_Poultry_N2ODirect_Equations.VEERG_4_6_1_3__3_AnnualNitrogenExcretion_Arguments">_xlfn.LAMBDA(_xlfn.MAKEARRAY(3, 4, _xlfn.LAMBDA(_xlpm.r,_xlpm.c, INDEX({"N_jk","number of poultry in each class and subclass","bird","Input";"NE_jk","nitrogen excretion","kg N/bird/day","Calculated from 4.6.1.3 (4)";"D_jk","duration of stay of each class and subclass","days","Input"}, _xlpm.r, _xlpm.c))))</definedName>
    <definedName name="MMS_Poultry_N2ODirect_Equations.VEERG_4_6_1_3__3_AnnualNitrogenExcretion_LatexEquation">_xlfn.LAMBDA("AE_{jk}=N_{jk}\times NE_{jk}\times D_{jk}")</definedName>
    <definedName name="MMS_Poultry_N2ODirect_Equations.VEERG_4_6_1_3__3_AnnualNitrogenExcretion_NIRReference">_xlfn.LAMBDA("")</definedName>
    <definedName name="MMS_Poultry_N2ODirect_Equations.VEERG_4_6_1_3__3_AnnualNitrogenExcretion_Source">_xlfn.LAMBDA("VEERG 2026: 4.6.1.3, Equation (3)")</definedName>
    <definedName name="MMS_Poultry_N2ODirect_Equations.VEERG_4_6_1_3__3_AnnualNitrogenExcretion_Title">_xlfn.LAMBDA("Annual nitrogen excretion for each poultry class and subclass")</definedName>
    <definedName name="MMS_Poultry_N2ODirect_Equations.VEERG_4_6_1_3__3_AnnualNitrogenExcretion_Unit">_xlfn.LAMBDA("kg N")</definedName>
    <definedName name="MMS_Poultry_N2ODirect_Equations.VEERG_4_6_1_3__3_AnnualNitrogenExcretion_Variable">_xlfn.LAMBDA("AE_jk")</definedName>
    <definedName name="MMS_Poultry_N2ODirect_Equations.VEERG_4_6_1_3__4_NitrogenExcretionPerBird">_xlfn.LAMBDA(_xlpm.NI_jk,_xlpm.NR_jk, _xlpm.NI_jk * (1 - _xlpm.NR_jk))</definedName>
    <definedName name="MMS_Poultry_N2ODirect_Equations.VEERG_4_6_1_3__4_NitrogenExcretionPerBird_Arguments">_xlfn.LAMBDA(_xlfn.MAKEARRAY(2, 4, _xlfn.LAMBDA(_xlpm.r,_xlpm.c, INDEX({"NI_jk","nitrogen intake","kg N/bird/day","Calculated from 4.6.1.3 (5)";"NR_jk","nitrogen retention expressed as a fraction of intake","fraction","Constant"}, _xlpm.r, _xlpm.c))))</definedName>
    <definedName name="MMS_Poultry_N2ODirect_Equations.VEERG_4_6_1_3__4_NitrogenExcretionPerBird_LatexEquation">_xlfn.LAMBDA("NE_{jk}=NI_{jk}\times(1-NR_{jk})")</definedName>
    <definedName name="MMS_Poultry_N2ODirect_Equations.VEERG_4_6_1_3__4_NitrogenExcretionPerBird_NIRReference">_xlfn.LAMBDA("")</definedName>
    <definedName name="MMS_Poultry_N2ODirect_Equations.VEERG_4_6_1_3__4_NitrogenExcretionPerBird_Source">_xlfn.LAMBDA("VEERG 2026: 4.6.1.3, Equation (4)")</definedName>
    <definedName name="MMS_Poultry_N2ODirect_Equations.VEERG_4_6_1_3__4_NitrogenExcretionPerBird_Title">_xlfn.LAMBDA("Nitrogen excretion per bird per day")</definedName>
    <definedName name="MMS_Poultry_N2ODirect_Equations.VEERG_4_6_1_3__4_NitrogenExcretionPerBird_Unit">_xlfn.LAMBDA("kg N/bird/day")</definedName>
    <definedName name="MMS_Poultry_N2ODirect_Equations.VEERG_4_6_1_3__4_NitrogenExcretionPerBird_Variable">_xlfn.LAMBDA("NE_jk")</definedName>
    <definedName name="MMS_Poultry_N2ODirect_Equations.VEERG_4_6_1_3__5_NitrogenIntake">_xlfn.LAMBDA(_xlpm.I_jk,_xlpm.CP_jk, _xlpm.I_jk * _xlpm.CP_jk / 6.25)</definedName>
    <definedName name="MMS_Poultry_N2ODirect_Equations.VEERG_4_6_1_3__5_NitrogenIntake_Arguments">_xlfn.LAMBDA(_xlfn.MAKEARRAY(3, 4, _xlfn.LAMBDA(_xlpm.r,_xlpm.c, INDEX({"I_jk","dry matter intake for each class and subclass","kg DM/bird/day","Input";"CP_jk","crude protein content of feed","fraction","Input";"6.25","factor for converting crude protein into nitrogen","ratio","Constant"}, _xlpm.r, _xlpm.c))))</definedName>
    <definedName name="MMS_Poultry_N2ODirect_Equations.VEERG_4_6_1_3__5_NitrogenIntake_LatexEquation">_xlfn.LAMBDA("NI_{jk}=I_{jk}\times CP_{jk}\div 6.25")</definedName>
    <definedName name="MMS_Poultry_N2ODirect_Equations.VEERG_4_6_1_3__5_NitrogenIntake_NIRReference">_xlfn.LAMBDA("")</definedName>
    <definedName name="MMS_Poultry_N2ODirect_Equations.VEERG_4_6_1_3__5_NitrogenIntake_Source">_xlfn.LAMBDA("VEERG 2026: 4.6.1.3, Equation (5)")</definedName>
    <definedName name="MMS_Poultry_N2ODirect_Equations.VEERG_4_6_1_3__5_NitrogenIntake_Title">_xlfn.LAMBDA("Nitrogen intake of poultry")</definedName>
    <definedName name="MMS_Poultry_N2ODirect_Equations.VEERG_4_6_1_3__5_NitrogenIntake_Unit">_xlfn.LAMBDA("kg N/bird/day")</definedName>
    <definedName name="MMS_Poultry_N2ODirect_Equations.VEERG_4_6_1_3__5_NitrogenIntake_Variable">_xlfn.LAMBDA("NI_jk")</definedName>
    <definedName name="MMS_Poultry_N2ODirect_Equations.VEERG_4_6_1_3__6_Stage2NitrogenInMMS">_xlfn.LAMBDA(_xlpm.NT_jkmT2,_xlpm.MMS_mT2, _xlpm.NT_jkmT2 * _xlpm.MMS_mT2)</definedName>
    <definedName name="MMS_Poultry_N2ODirect_Equations.VEERG_4_6_1_3__6_Stage2NitrogenInMMS_Arguments">_xlfn.LAMBDA(_xlfn.MAKEARRAY(2, 4, _xlfn.LAMBDA(_xlpm.r,_xlpm.c, INDEX({"NT_jkmT2","nitrogen transferred to secondary treatment MMS","kg N","Calculated from 4.6.1.3 (7)";"MMS_mT2","fraction of manure in each secondary system","fraction","Input"}, _xlpm.r, _xlpm.c))))</definedName>
    <definedName name="MMS_Poultry_N2ODirect_Equations.VEERG_4_6_1_3__6_Stage2NitrogenInMMS_LatexEquation">_xlfn.LAMBDA("MN_{jkm,T=2}=NT_{jkm,T=2}\times MMS_{m,T=2}")</definedName>
    <definedName name="MMS_Poultry_N2ODirect_Equations.VEERG_4_6_1_3__6_Stage2NitrogenInMMS_NIRReference">_xlfn.LAMBDA("")</definedName>
    <definedName name="MMS_Poultry_N2ODirect_Equations.VEERG_4_6_1_3__6_Stage2NitrogenInMMS_Source">_xlfn.LAMBDA("VEERG 2026: 4.6.1.3, Equation (6)")</definedName>
    <definedName name="MMS_Poultry_N2ODirect_Equations.VEERG_4_6_1_3__6_Stage2NitrogenInMMS_Title">_xlfn.LAMBDA("Nitrogen in treatment stage 2 MMS")</definedName>
    <definedName name="MMS_Poultry_N2ODirect_Equations.VEERG_4_6_1_3__6_Stage2NitrogenInMMS_Unit">_xlfn.LAMBDA("kg N")</definedName>
    <definedName name="MMS_Poultry_N2ODirect_Equations.VEERG_4_6_1_3__6_Stage2NitrogenInMMS_Variable">_xlfn.LAMBDA("MN_jkmT2")</definedName>
    <definedName name="MMS_Poultry_N2ODirect_Equations.VEERG_4_6_1_3__7_NitrogenTransferredToStage2MMS">_xlfn.LAMBDA(_xlpm.MN_jkmT1,_xlpm.FracGASM_mT1,_xlpm.EF_mT1, _xlpm.MN_jkmT1 * (1 - _xlpm.FracGASM_mT1 - _xlpm.EF_mT1))</definedName>
    <definedName name="MMS_Poultry_N2ODirect_Equations.VEERG_4_6_1_3__7_NitrogenTransferredToStage2MMS_Arguments">_xlfn.LAMBDA(_xlfn.MAKEARRAY(3, 4, _xlfn.LAMBDA(_xlpm.r,_xlpm.c, INDEX({"MN_jkmT1","nitrogen in MMS treatment stage 1","kg N","Calculated from 4.6.1.3 (6)";"FracGASM_mT1","fraction of N volatilised from MMS treatment at stage 1","fraction","Constant";"EF_mT1","nitrous oxide emission factor for MMS treatment at stage 1","kg N2O-N/kg N","Constant"}, _xlpm.r, _xlpm.c))))</definedName>
    <definedName name="MMS_Poultry_N2ODirect_Equations.VEERG_4_6_1_3__7_NitrogenTransferredToStage2MMS_LatexEquation">_xlfn.LAMBDA("NT_{jkm,T=2}=MN_{jkm,T=1}\times(1-FracGASM_{m,T=1}-EF_{m,T=1})")</definedName>
    <definedName name="MMS_Poultry_N2ODirect_Equations.VEERG_4_6_1_3__7_NitrogenTransferredToStage2MMS_NIRReference">_xlfn.LAMBDA("")</definedName>
    <definedName name="MMS_Poultry_N2ODirect_Equations.VEERG_4_6_1_3__7_NitrogenTransferredToStage2MMS_Source">_xlfn.LAMBDA("VEERG 2026: 4.6.1.3, Equation (7)")</definedName>
    <definedName name="MMS_Poultry_N2ODirect_Equations.VEERG_4_6_1_3__7_NitrogenTransferredToStage2MMS_Title">_xlfn.LAMBDA("Nitrogen transferred to treatment stage 2 MMS")</definedName>
    <definedName name="MMS_Poultry_N2ODirect_Equations.VEERG_4_6_1_3__7_NitrogenTransferredToStage2MMS_Unit">_xlfn.LAMBDA("kg N")</definedName>
    <definedName name="MMS_Poultry_N2ODirect_Equations.VEERG_4_6_1_3__7_NitrogenTransferredToStage2MMS_Variable">_xlfn.LAMBDA("NT_jkmT2")</definedName>
    <definedName name="MMS_Poultry_Soil_AtmosphericDeposition_Equations.VEERG_4_6_1_12__1_AtmosphericDepositionEmissionsFromPoultryManureOnPasture">_xlfn.LAMBDA(_xlpm.M_vol_m14,_xlpm.EF_N2O,_xlpm.C_N2O, _xlpm.M_vol_m14 * _xlpm.EF_N2O * _xlpm.C_N2O * 10 ^ -3)</definedName>
    <definedName name="MMS_Poultry_Soil_AtmosphericDeposition_Equations.VEERG_4_6_1_12__1_AtmosphericDepositionEmissionsFromPoultryManureOnPasture_Arguments">_xlfn.LAMBDA(_xlfn.MAKEARRAY(6,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system","dimensionless","Input";"ir","irrigation method","dimensionless","Input";"r","rainfall region","dimensionless","Input"}, _xlpm.r, _xlpm.c))))</definedName>
    <definedName name="MMS_Poultry_Soil_AtmosphericDeposition_Equations.VEERG_4_6_1_12__1_AtmosphericDepositionEmissionsFromPoultryManureOnPasture_LatexEquation">_xlfn.LAMBDA("E_{N2O,ad}=M_{vol,m=14}\times EF_{N2O}\times C_{N2O}\times 10^{-3}")</definedName>
    <definedName name="MMS_Poultry_Soil_AtmosphericDeposition_Equations.VEERG_4_6_1_12__1_AtmosphericDepositionEmissionsFromPoultryManureOnPasture_NIRReference">_xlfn.LAMBDA("")</definedName>
    <definedName name="MMS_Poultry_Soil_AtmosphericDeposition_Equations.VEERG_4_6_1_12__1_AtmosphericDepositionEmissionsFromPoultryManureOnPasture_Source">_xlfn.LAMBDA("VEERG 2026: 4.6.1.12, Equation (1)")</definedName>
    <definedName name="MMS_Poultry_Soil_AtmosphericDeposition_Equations.VEERG_4_6_1_12__1_AtmosphericDepositionEmissionsFromPoultryManureOnPasture_Title">_xlfn.LAMBDA("Atmospheric deposition emissions from poultry manure deposited on pasture")</definedName>
    <definedName name="MMS_Poultry_Soil_AtmosphericDeposition_Equations.VEERG_4_6_1_12__1_AtmosphericDepositionEmissionsFromPoultryManureOnPasture_Unit">_xlfn.LAMBDA("t N2O")</definedName>
    <definedName name="MMS_Poultry_Soil_AtmosphericDeposition_Equations.VEERG_4_6_1_12__1_AtmosphericDepositionEmissionsFromPoultryManureOnPasture_Variable">_xlfn.LAMBDA("E_N2Oad")</definedName>
    <definedName name="MMS_Poultry_Soil_AtmosphericDeposition_Equations.VEERG_4_6_1_12__2_MassOfNitrogenVolatilisedFromPoultryManureOnPasture">_xlfn.LAMBDA(_xlpm.MN_jkm14T1,_xlpm.FracGASMsoil, _xlpm.MN_jkm14T1 * _xlpm.FracGASMsoil)</definedName>
    <definedName name="MMS_Poultry_Soil_AtmosphericDeposition_Equations.VEERG_4_6_1_12__2_MassOfNitrogenVolatilisedFromPoultryManureOnPasture_Arguments">_xlfn.LAMBDA(_xlfn.MAKEARRAY(2, 4, _xlfn.LAMBDA(_xlpm.r,_xlpm.c, INDEX({"MN_jkm14T1","mass of nitrogen excreted directly on pasture by poultry class and subclass","kg N","Calculated from 4.6.1.3 (2)";"FracGASMsoil","fraction of nitrogen volatilised from manure deposited on pasture","(kg NH3-N + NOx-N)/kg N","Constant"}, _xlpm.r, _xlpm.c))))</definedName>
    <definedName name="MMS_Poultry_Soil_AtmosphericDeposition_Equations.VEERG_4_6_1_12__2_MassOfNitrogenVolatilisedFromPoultryManureOnPasture_LatexEquation">_xlfn.LAMBDA("M_{vol,m=14}=\sum_{j}\sum_{k}(MN_{jkm=14,T=1}\times FracGASMsoil)")</definedName>
    <definedName name="MMS_Poultry_Soil_AtmosphericDeposition_Equations.VEERG_4_6_1_12__2_MassOfNitrogenVolatilisedFromPoultryManureOnPasture_NIRReference">_xlfn.LAMBDA("")</definedName>
    <definedName name="MMS_Poultry_Soil_AtmosphericDeposition_Equations.VEERG_4_6_1_12__2_MassOfNitrogenVolatilisedFromPoultryManureOnPasture_Source">_xlfn.LAMBDA("VEERG 2026: 4.6.1.12, Equation (2)")</definedName>
    <definedName name="MMS_Poultry_Soil_AtmosphericDeposition_Equations.VEERG_4_6_1_12__2_MassOfNitrogenVolatilisedFromPoultryManureOnPasture_Title">_xlfn.LAMBDA("Mass of nitrogen volatilised from poultry manure deposited on pasture")</definedName>
    <definedName name="MMS_Poultry_Soil_AtmosphericDeposition_Equations.VEERG_4_6_1_12__2_MassOfNitrogenVolatilisedFromPoultryManureOnPasture_Unit">_xlfn.LAMBDA("kg N")</definedName>
    <definedName name="MMS_Poultry_Soil_AtmosphericDeposition_Equations.VEERG_4_6_1_12__2_MassOfNitrogenVolatilisedFromPoultryManureOnPasture_Variable">_xlfn.LAMBDA("M_vol_m14")</definedName>
    <definedName name="MMS_Poultry_Soil_LeachingAndRunoff_Equations.VEERG_4_6_1_14__1_LeachingAndRunoffEmissionsFromPoultryManureOnPasture">_xlfn.LAMBDA(_xlpm.M_leach_m14,_xlpm.EF_leach,_xlpm.C_N2O, _xlpm.M_leach_m14 * _xlpm.EF_leach * _xlpm.C_N2O * 10 ^ -3)</definedName>
    <definedName name="MMS_Poultry_Soil_LeachingAndRunoff_Equations.VEERG_4_6_1_14__1_LeachingAndRunoffEmissionsFromPoultryManureOnPasture_Arguments">_xlfn.LAMBDA(_xlfn.MAKEARRAY(3, 4, _xlfn.LAMBDA(_xlpm.r,_xlpm.c, INDEX({"M_leach_m14","mass of nitrogen lost to leaching and runoff from poultry manure deposited on pasture","kg N","Calculated from 4.6.1.14 (2)";"EF_leach","emission factor for leaching and runoff (kg N2O-N/kg N)","kg N2O-N/kg N","Constant";"C_N2O","factor to convert elemental mass of N2O to molecular mass","ratio","Constant"}, _xlpm.r, _xlpm.c))))</definedName>
    <definedName name="MMS_Poultry_Soil_LeachingAndRunoff_Equations.VEERG_4_6_1_14__1_LeachingAndRunoffEmissionsFromPoultryManureOnPasture_LatexEquation">_xlfn.LAMBDA("E_{N2O,leach}=M_{leach,m=14}\times EF_{leach}\times C_{N2O}\times 10^{-3}")</definedName>
    <definedName name="MMS_Poultry_Soil_LeachingAndRunoff_Equations.VEERG_4_6_1_14__1_LeachingAndRunoffEmissionsFromPoultryManureOnPasture_NIRReference">_xlfn.LAMBDA("")</definedName>
    <definedName name="MMS_Poultry_Soil_LeachingAndRunoff_Equations.VEERG_4_6_1_14__1_LeachingAndRunoffEmissionsFromPoultryManureOnPasture_Source">_xlfn.LAMBDA("VEERG 2026: 4.6.1.14, Equation (1)")</definedName>
    <definedName name="MMS_Poultry_Soil_LeachingAndRunoff_Equations.VEERG_4_6_1_14__1_LeachingAndRunoffEmissionsFromPoultryManureOnPasture_Title">_xlfn.LAMBDA("Leaching and runoff emissions from poultry manure deposited on pasture")</definedName>
    <definedName name="MMS_Poultry_Soil_LeachingAndRunoff_Equations.VEERG_4_6_1_14__1_LeachingAndRunoffEmissionsFromPoultryManureOnPasture_Unit">_xlfn.LAMBDA("t N2O")</definedName>
    <definedName name="MMS_Poultry_Soil_LeachingAndRunoff_Equations.VEERG_4_6_1_14__1_LeachingAndRunoffEmissionsFromPoultryManureOnPasture_Variable">_xlfn.LAMBDA("E_N2Oleach")</definedName>
    <definedName name="MMS_Poultry_Soil_LeachingAndRunoff_Equations.VEERG_4_6_1_14__2_MassOfNitrogenLostToLeachingAndRunoffFromPoultryManureOnPasture">_xlfn.LAMBDA(_xlpm.MN_jkm14T1,_xlpm.FracWet,_xlpm.FracLEACH_MS, _xlpm.MN_jkm14T1 * _xlpm.FracWet * _xlpm.FracLEACH_MS)</definedName>
    <definedName name="MMS_Poultry_Soil_LeachingAndRunoff_Equations.VEERG_4_6_1_14__2_MassOfNitrogenLostToLeachingAndRunoffFromPoultryManureOnPasture_Arguments">_xlfn.LAMBDA(_xlfn.MAKEARRAY(6, 4, _xlfn.LAMBDA(_xlpm.r,_xlpm.c, INDEX({"MN_jkm14T1","mass of nitrogen excreted directly on pasture by poultry class and subclass","kg N","Calculated from 4.6.1.3 (2)";"FracWet","fraction of N available for leaching and runoff","fraction","Constant";"FracLEACH_MS","fraction of N that is lost through leaching and runoff","fraction","Constant";"z","location in leaching zone","","Input";"j","production system","","Input";"ir","irrigation method","","Input"}, _xlpm.r, _xlpm.c))))</definedName>
    <definedName name="MMS_Poultry_Soil_LeachingAndRunoff_Equations.VEERG_4_6_1_14__2_MassOfNitrogenLostToLeachingAndRunoffFromPoultryManureOnPasture_LatexEquation">_xlfn.LAMBDA("M_{leach,m=14}=\sum_{j}\sum_{k}(MN_{jkm=14,T=1}\times FracWet\times FracLEACH_MS)")</definedName>
    <definedName name="MMS_Poultry_Soil_LeachingAndRunoff_Equations.VEERG_4_6_1_14__2_MassOfNitrogenLostToLeachingAndRunoffFromPoultryManureOnPasture_NIRReference">_xlfn.LAMBDA("")</definedName>
    <definedName name="MMS_Poultry_Soil_LeachingAndRunoff_Equations.VEERG_4_6_1_14__2_MassOfNitrogenLostToLeachingAndRunoffFromPoultryManureOnPasture_Source">_xlfn.LAMBDA("VEERG 2026: 4.6.1.14, Equation (2)")</definedName>
    <definedName name="MMS_Poultry_Soil_LeachingAndRunoff_Equations.VEERG_4_6_1_14__2_MassOfNitrogenLostToLeachingAndRunoffFromPoultryManureOnPasture_Title">_xlfn.LAMBDA("Mass of nitrogen lost to leaching and runoff from poultry manure deposited on pasture")</definedName>
    <definedName name="MMS_Poultry_Soil_LeachingAndRunoff_Equations.VEERG_4_6_1_14__2_MassOfNitrogenLostToLeachingAndRunoffFromPoultryManureOnPasture_Unit">_xlfn.LAMBDA("kg N")</definedName>
    <definedName name="MMS_Poultry_Soil_LeachingAndRunoff_Equations.VEERG_4_6_1_14__2_MassOfNitrogenLostToLeachingAndRunoffFromPoultryManureOnPasture_Variable">_xlfn.LAMBDA("M_leach_m14")</definedName>
    <definedName name="MMS_Poultry_Soil_N2ODirect_Equations.VEERG_4_6_1_10__1_DirectNitrousOxideEmissionsFromPoultryManure">_xlfn.LAMBDA(_xlpm.MN_jkm14T1,_xlpm.EF_PRP,_xlpm.C_N2O, _xlpm.MN_jkm14T1 * _xlpm.EF_PRP * _xlpm.C_N2O * 10 ^ -3)</definedName>
    <definedName name="MMS_Poultry_Soil_N2ODirect_Equations.VEERG_4_6_1_10__1_DirectNitrousOxideEmissionsFromPoultryManure_Arguments">_xlfn.LAMBDA(_xlfn.MAKEARRAY(3, 4, _xlfn.LAMBDA(_xlpm.r,_xlpm.c, INDEX({"MN_jkm14T1","mass of nitrogen excreted directly on pasture by poultry class and subclass","kg N","Calculated from 4.6.1.3 (2)";"EF_PRP","nitrous oxide emission factor for manure deposited on pasture","kg N2O-N/kg N deposited","Constant";"C_N2O","factor to convert elemental mass of N2O to molecular mass","ratio","Constant"}, _xlpm.r, _xlpm.c))))</definedName>
    <definedName name="MMS_Poultry_Soil_N2ODirect_Equations.VEERG_4_6_1_10__1_DirectNitrousOxideEmissionsFromPoultryManure_LatexEquation">_xlfn.LAMBDA("EM_{N2O,PRP,dir}=\sum_{j}\sum_{k}(MN_{jkm=14,T=1}\times EF_{PRP}\times C_{N2O})\times 10^{-3}")</definedName>
    <definedName name="MMS_Poultry_Soil_N2ODirect_Equations.VEERG_4_6_1_10__1_DirectNitrousOxideEmissionsFromPoultryManure_NIRReference">_xlfn.LAMBDA("")</definedName>
    <definedName name="MMS_Poultry_Soil_N2ODirect_Equations.VEERG_4_6_1_10__1_DirectNitrousOxideEmissionsFromPoultryManure_Source">_xlfn.LAMBDA("VEERG 2026: 4.6.1.10, Equation (1)")</definedName>
    <definedName name="MMS_Poultry_Soil_N2ODirect_Equations.VEERG_4_6_1_10__1_DirectNitrousOxideEmissionsFromPoultryManure_Title">_xlfn.LAMBDA("Direct nitrous oxide emissions from poultry manure on pasture")</definedName>
    <definedName name="MMS_Poultry_Soil_N2ODirect_Equations.VEERG_4_6_1_10__1_DirectNitrousOxideEmissionsFromPoultryManure_Unit">_xlfn.LAMBDA("t N2O")</definedName>
    <definedName name="MMS_Poultry_Soil_N2ODirect_Equations.VEERG_4_6_1_10__1_DirectNitrousOxideEmissionsFromPoultryManure_Variable">_xlfn.LAMBDA("EM_N2OPRPdir")</definedName>
    <definedName name="MMS_Swine_AtmosphericDeposition_Equations.VEERG_4_5_1_5__1_AnnualAtmosphericDepositionEmissionsFromMMS">_xlfn.LAMBDA(_xlpm.MMS_ATMOS,_xlpm.EF_N2O,_xlpm.C_N2O, _xlpm.MMS_ATMOS * _xlpm.EF_N2O * _xlpm.C_N2O * 10 ^ -3)</definedName>
    <definedName name="MMS_Swine_AtmosphericDeposition_Equations.VEERG_4_5_1_5__1_AnnualAtmosphericDepositionEmissionsFromMMS_Arguments">_xlfn.LAMBDA(_xlfn.MAKEARRAY(6, 4, _xlfn.LAMBDA(_xlpm.r,_xlpm.c, INDEX({"MMS_ATMOS","mass of N volatilised from MMS","kg N","Calculated from 4.5.1.5 (2)";"EF_N2O","nitrous oxide emission factor for atmospheric deposition","kg N2O-N/kg N","Constant";"C_N2O","factor to convert elemental mass of N2O to molecular mass","","Constant";"j","production system","","Input";"ir","irrigation method","","Input";"r","rainfall region","","Input"}, _xlpm.r, _xlpm.c))))</definedName>
    <definedName name="MMS_Swine_AtmosphericDeposition_Equations.VEERG_4_5_1_5__1_AnnualAtmosphericDepositionEmissionsFromMMS_LatexEquation">_xlfn.LAMBDA("E_{N2O,ad}=MMS_{ATMOS}\times EF_{N2O}\times C_{N2O}\times 10^{-3}")</definedName>
    <definedName name="MMS_Swine_AtmosphericDeposition_Equations.VEERG_4_5_1_5__1_AnnualAtmosphericDepositionEmissionsFromMMS_NIRReference">_xlfn.LAMBDA("")</definedName>
    <definedName name="MMS_Swine_AtmosphericDeposition_Equations.VEERG_4_5_1_5__1_AnnualAtmosphericDepositionEmissionsFromMMS_Source">_xlfn.LAMBDA("VEERG 2026: 4.5.1.1, Equation (1)")</definedName>
    <definedName name="MMS_Swine_AtmosphericDeposition_Equations.VEERG_4_5_1_5__1_AnnualAtmosphericDepositionEmissionsFromMMS_Title">_xlfn.LAMBDA("Annual atmospheric deposition emissions from MMS")</definedName>
    <definedName name="MMS_Swine_AtmosphericDeposition_Equations.VEERG_4_5_1_5__1_AnnualAtmosphericDepositionEmissionsFromMMS_Unit">_xlfn.LAMBDA("t N2O")</definedName>
    <definedName name="MMS_Swine_AtmosphericDeposition_Equations.VEERG_4_5_1_5__1_AnnualAtmosphericDepositionEmissionsFromMMS_Variable">_xlfn.LAMBDA("E_N2OMMSad")</definedName>
    <definedName name="MMS_Swine_AtmosphericDeposition_Equations.VEERG_4_5_1_5__2_TotalNitrogenVolatilisedFromMMS">_xlfn.LAMBDA(_xlpm.MN_jmT,_xlpm.FracGASMmT, _xlpm.MN_jmT * _xlpm.FracGASMmT)</definedName>
    <definedName name="MMS_Swine_AtmosphericDeposition_Equations.VEERG_4_5_1_5__2_TotalNitrogenVolatilisedFromMMS_Arguments">_xlfn.LAMBDA(_xlfn.MAKEARRAY(2, 4, _xlfn.LAMBDA(_xlpm.r,_xlpm.c, INDEX({"MN_jmT","nitrogen per swine class, MMS and treatment stage","kg N","Calculated from 4.5.1.3 (2)(6)";"FracGASMmT","fraction of N volatilised in each MMS","(kg NH3-N + NOx-N)/kg N","Constant"}, _xlpm.r, _xlpm.c))))</definedName>
    <definedName name="MMS_Swine_AtmosphericDeposition_Equations.VEERG_4_5_1_5__2_TotalNitrogenVolatilisedFromMMS_LatexEquation">_xlfn.LAMBDA("MMS_{ATMOS}=\sum_{j}\sum_{m}\sum_{T}(MN_{jmT}\times FracGASM_{mT})")</definedName>
    <definedName name="MMS_Swine_AtmosphericDeposition_Equations.VEERG_4_5_1_5__2_TotalNitrogenVolatilisedFromMMS_NIRReference">_xlfn.LAMBDA("")</definedName>
    <definedName name="MMS_Swine_AtmosphericDeposition_Equations.VEERG_4_5_1_5__2_TotalNitrogenVolatilisedFromMMS_Source">_xlfn.LAMBDA("VEERG 2026: 4.5.1.1, Equation (2)")</definedName>
    <definedName name="MMS_Swine_AtmosphericDeposition_Equations.VEERG_4_5_1_5__2_TotalNitrogenVolatilisedFromMMS_Title">_xlfn.LAMBDA("Total nitrogen volatilised from MMS")</definedName>
    <definedName name="MMS_Swine_AtmosphericDeposition_Equations.VEERG_4_5_1_5__2_TotalNitrogenVolatilisedFromMMS_Unit">_xlfn.LAMBDA("kg N")</definedName>
    <definedName name="MMS_Swine_AtmosphericDeposition_Equations.VEERG_4_5_1_5__2_TotalNitrogenVolatilisedFromMMS_Variable">_xlfn.LAMBDA("MMS_ATMOS")</definedName>
    <definedName name="MMS_Swine_LeachingAndRunoff_Equations.VEERG_4_5_1_7__1_AnnualEmissionsFromLeachingAndRunoffFromMMS">_xlfn.LAMBDA(_xlpm.MNLeach_jm5,_xlpm.EF_leach,_xlpm.C_N2O, _xlpm.MNLeach_jm5 * _xlpm.EF_leach * _xlpm.C_N2O * 10 ^ -3)</definedName>
    <definedName name="MMS_Swine_LeachingAndRunoff_Equations.VEERG_4_5_1_7__1_AnnualEmissionsFromLeachingAndRunoffFromMMS_Arguments">_xlfn.LAMBDA(_xlfn.MAKEARRAY(3, 4, _xlfn.LAMBDA(_xlpm.r,_xlpm.c, INDEX({"MNLeach_jm5","mass of N lost through leaching and runoff from drylot MMS","kg N","Calculated from 4.5.1.7 (2)";"EF_leach","emission factor for leaching and runoff","kg N2O-N/kg N","Constant";"C_N2O","factor to convert elemental mass of N2O to molecular mass","","Constant"}, _xlpm.r, _xlpm.c))))</definedName>
    <definedName name="MMS_Swine_LeachingAndRunoff_Equations.VEERG_4_5_1_7__1_AnnualEmissionsFromLeachingAndRunoffFromMMS_LatexEquation">_xlfn.LAMBDA("E_{N2O,leach}=MNLeach_{jm=5}\times EF_{leach}\times C_{N2O}\times 10^{-3}")</definedName>
    <definedName name="MMS_Swine_LeachingAndRunoff_Equations.VEERG_4_5_1_7__1_AnnualEmissionsFromLeachingAndRunoffFromMMS_NIRReference">_xlfn.LAMBDA("")</definedName>
    <definedName name="MMS_Swine_LeachingAndRunoff_Equations.VEERG_4_5_1_7__1_AnnualEmissionsFromLeachingAndRunoffFromMMS_Source">_xlfn.LAMBDA("VEERG 2026: 4.5.1.7, Equation (1)")</definedName>
    <definedName name="MMS_Swine_LeachingAndRunoff_Equations.VEERG_4_5_1_7__1_AnnualEmissionsFromLeachingAndRunoffFromMMS_Title">_xlfn.LAMBDA("Annual emissions from leaching and runoff from each MMS")</definedName>
    <definedName name="MMS_Swine_LeachingAndRunoff_Equations.VEERG_4_5_1_7__1_AnnualEmissionsFromLeachingAndRunoffFromMMS_Unit">_xlfn.LAMBDA("t N2O")</definedName>
    <definedName name="MMS_Swine_LeachingAndRunoff_Equations.VEERG_4_5_1_7__1_AnnualEmissionsFromLeachingAndRunoffFromMMS_Variable">_xlfn.LAMBDA("E_N2Oleach")</definedName>
    <definedName name="MMS_Swine_LeachingAndRunoff_Equations.VEERG_4_5_1_7__2_MassOfNitrogenLostToLeachingAndRunoffFromDrylotMMS">_xlfn.LAMBDA(_xlpm.MN_jm5T1,_xlpm.FracWET,_xlpm.FracLEACH_MS, _xlpm.MN_jm5T1 * _xlpm.FracWET * _xlpm.FracLEACH_MS)</definedName>
    <definedName name="MMS_Swine_LeachingAndRunoff_Equations.VEERG_4_5_1_7__2_MassOfNitrogenLostToLeachingAndRunoffFromDrylotMMS_Arguments">_xlfn.LAMBDA(_xlfn.MAKEARRAY(6, 4, _xlfn.LAMBDA(_xlpm.r,_xlpm.c, INDEX({"MN_jm5T1","nitrogen in treatment stage 1 drylot MMS","kg N","Calculated from 4.5.1.3 (2)";"FracWET","fraction of N available for leaching and runoff","fraction","Constant";"FracLEACH_MS","fraction of N lost through leaching and runoff","fraction","Constant";"z","location in leaching zone","","Input";"j","production system","","Input";"ir","irrigation method","","Input"}, _xlpm.r, _xlpm.c))))</definedName>
    <definedName name="MMS_Swine_LeachingAndRunoff_Equations.VEERG_4_5_1_7__2_MassOfNitrogenLostToLeachingAndRunoffFromDrylotMMS_LatexEquation">_xlfn.LAMBDA("MNLeach_{jm=5}=MN_{jm=5,T=1}\times FracWET\times FracLEACH_{MS}")</definedName>
    <definedName name="MMS_Swine_LeachingAndRunoff_Equations.VEERG_4_5_1_7__2_MassOfNitrogenLostToLeachingAndRunoffFromDrylotMMS_NIRReference">_xlfn.LAMBDA("")</definedName>
    <definedName name="MMS_Swine_LeachingAndRunoff_Equations.VEERG_4_5_1_7__2_MassOfNitrogenLostToLeachingAndRunoffFromDrylotMMS_Source">_xlfn.LAMBDA("VEERG 2026: 4.5.1.7, Equation (2)")</definedName>
    <definedName name="MMS_Swine_LeachingAndRunoff_Equations.VEERG_4_5_1_7__2_MassOfNitrogenLostToLeachingAndRunoffFromDrylotMMS_Title">_xlfn.LAMBDA("Mass of nitrogen lost to leaching and runoff from drylot MMS")</definedName>
    <definedName name="MMS_Swine_LeachingAndRunoff_Equations.VEERG_4_5_1_7__2_MassOfNitrogenLostToLeachingAndRunoffFromDrylotMMS_Unit">_xlfn.LAMBDA("kg N")</definedName>
    <definedName name="MMS_Swine_LeachingAndRunoff_Equations.VEERG_4_5_1_7__2_MassOfNitrogenLostToLeachingAndRunoffFromDrylotMMS_Variable">_xlfn.LAMBDA("MNLeach_jm5")</definedName>
    <definedName name="MMS_Swine_ManureAppliedToSoils_Equations.VEERG_4_5_1_9__1_MassOfNitrogenAppliedToSoilsScope1">_xlfn.LAMBDA(_xlpm.MN_jmT2,_xlpm.EF_mT2,_xlpm.FracGASM_mT2,_xlpm.MNLeach_jm5,_xlpm.PF, (_xlpm.MN_jmT2 * (1 - _xlpm.EF_mT2 - _xlpm.FracGASM_mT2) - _xlpm.MNLeach_jm5) * _xlpm.PF)</definedName>
    <definedName name="MMS_Swine_ManureAppliedToSoils_Equations.VEERG_4_5_1_9__1_MassOfNitrogenAppliedToSoilsScope1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1_MassOfNitrogenAppliedToSoilsScope1_LatexEquation">_xlfn.LAMBDA("MNSoil_{scope1}=\sum_{j}\sum_{m}(MN_{jmT=2}\times(1-EF_{mT=2}-FracGASM_{mT=2})-MNLeach_{jm=5})\times PF")</definedName>
    <definedName name="MMS_Swine_ManureAppliedToSoils_Equations.VEERG_4_5_1_9__1_MassOfNitrogenAppliedToSoilsScope1_NIRReference">_xlfn.LAMBDA("")</definedName>
    <definedName name="MMS_Swine_ManureAppliedToSoils_Equations.VEERG_4_5_1_9__1_MassOfNitrogenAppliedToSoilsScope1_Source">_xlfn.LAMBDA("VEERG 2026: 4.5.1.9, Equation (1)")</definedName>
    <definedName name="MMS_Swine_ManureAppliedToSoils_Equations.VEERG_4_5_1_9__1_MassOfNitrogenAppliedToSoilsScope1_Title">_xlfn.LAMBDA("Mass of nitrogen applied to soils for scope 1 emissions")</definedName>
    <definedName name="MMS_Swine_ManureAppliedToSoils_Equations.VEERG_4_5_1_9__1_MassOfNitrogenAppliedToSoilsScope1_Unit">_xlfn.LAMBDA("kg N")</definedName>
    <definedName name="MMS_Swine_ManureAppliedToSoils_Equations.VEERG_4_5_1_9__1_MassOfNitrogenAppliedToSoilsScope1_Variable">_xlfn.LAMBDA("MNSoil_scope1")</definedName>
    <definedName name="MMS_Swine_ManureAppliedToSoils_Equations.VEERG_4_5_1_9__2_MassOfNitrogenAppliedToSoilsScope3">_xlfn.LAMBDA(_xlpm.MN_jmT2,_xlpm.EF_mT2,_xlpm.FracGASM_mT2,_xlpm.MNLeach_jm5,_xlpm.PF, (_xlpm.MN_jmT2 * (1 - _xlpm.EF_mT2 - _xlpm.FracGASM_mT2) - _xlpm.MNLeach_jm5) * (1 - _xlpm.PF))</definedName>
    <definedName name="MMS_Swine_ManureAppliedToSoils_Equations.VEERG_4_5_1_9__2_MassOfNitrogenAppliedToSoilsScope3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2_MassOfNitrogenAppliedToSoilsScope3_LatexEquation">_xlfn.LAMBDA("MNSoil_{scope3}=\sum_{j}\sum_{m}(MN_{jmT=2}\times(1-EF_{mT=2}-FracGASM_{mT=2})-MNLeach_{jm=5})\times(1-PF)")</definedName>
    <definedName name="MMS_Swine_ManureAppliedToSoils_Equations.VEERG_4_5_1_9__2_MassOfNitrogenAppliedToSoilsScope3_NIRReference">_xlfn.LAMBDA("")</definedName>
    <definedName name="MMS_Swine_ManureAppliedToSoils_Equations.VEERG_4_5_1_9__2_MassOfNitrogenAppliedToSoilsScope3_Source">_xlfn.LAMBDA("VEERG 2026: 4.5.1.9, Equation (2)")</definedName>
    <definedName name="MMS_Swine_ManureAppliedToSoils_Equations.VEERG_4_5_1_9__2_MassOfNitrogenAppliedToSoilsScope3_Title">_xlfn.LAMBDA("Mass of nitrogen applied to soils for scope 3 emissions")</definedName>
    <definedName name="MMS_Swine_ManureAppliedToSoils_Equations.VEERG_4_5_1_9__2_MassOfNitrogenAppliedToSoilsScope3_Unit">_xlfn.LAMBDA("kg N")</definedName>
    <definedName name="MMS_Swine_ManureAppliedToSoils_Equations.VEERG_4_5_1_9__2_MassOfNitrogenAppliedToSoilsScope3_Variable">_xlfn.LAMBDA("MNSoil_scope3")</definedName>
    <definedName name="MMS_Swine_Methane_Equations.VEERG_4_5_1_1__1_TotalAnnualMethaneEmissions">_xlfn.LAMBDA(_xlpm.Dj,_xlpm.Mmj,_xlpm.Nj, _xlpm.Dj * _xlpm.Mmj * _xlpm.Nj * 10 ^ -3)</definedName>
    <definedName name="MMS_Swine_Methane_Equations.VEERG_4_5_1_1__1_TotalAnnualMethaneEmissions_Arguments">_xlfn.LAMBDA(_xlfn.MAKEARRAY(3, 4, _xlfn.LAMBDA(_xlpm.r,_xlpm.c, INDEX({"Dj","length of stay of each class of swine","days","Input";"Mmj","methane production from manure in each swine class","kg CH4/head/day","Calculated from 4.5.1.1 (2)";"Nj","numbers of swine in each class","head","Input"}, _xlpm.r, _xlpm.c))))</definedName>
    <definedName name="MMS_Swine_Methane_Equations.VEERG_4_5_1_1__1_TotalAnnualMethaneEmissions_LatexEquation">_xlfn.LAMBDA("{E}_{CH4}=\sum_{j}(D_{j}\times M_{mj}\times N_{j})\times10^{-3}")</definedName>
    <definedName name="MMS_Swine_Methane_Equations.VEERG_4_5_1_1__1_TotalAnnualMethaneEmissions_NIRReference">_xlfn.LAMBDA("")</definedName>
    <definedName name="MMS_Swine_Methane_Equations.VEERG_4_5_1_1__1_TotalAnnualMethaneEmissions_Source">_xlfn.LAMBDA("VEERG 2026: 4.5.1.1, Equation (1)")</definedName>
    <definedName name="MMS_Swine_Methane_Equations.VEERG_4_5_1_1__1_TotalAnnualMethaneEmissions_Title">_xlfn.LAMBDA("Total annual methane emissions from manure management")</definedName>
    <definedName name="MMS_Swine_Methane_Equations.VEERG_4_5_1_1__1_TotalAnnualMethaneEmissions_Unit">_xlfn.LAMBDA("t CH4")</definedName>
    <definedName name="MMS_Swine_Methane_Equations.VEERG_4_5_1_1__1_TotalAnnualMethaneEmissions_Variable">_xlfn.LAMBDA("ECH4")</definedName>
    <definedName name="MMS_Swine_Methane_Equations.VEERG_4_5_1_1__2_MethaneProductionPerClass">_xlfn.LAMBDA(_xlpm.MjmT, SUM(_xlpm.MjmT))</definedName>
    <definedName name="MMS_Swine_Methane_Equations.VEERG_4_5_1_1__2_MethaneProductionPerClass_Arguments">_xlfn.LAMBDA(_xlfn.MAKEARRAY(1, 4, _xlfn.LAMBDA(_xlpm.r,_xlpm.c, INDEX({"MjmT","methane production from manure per class, MMS, and treatment stage","kg CH4/head/day","Calculated from 4.5.1.1 (3) and (6)"}, _xlpm.r, _xlpm.c))))</definedName>
    <definedName name="MMS_Swine_Methane_Equations.VEERG_4_5_1_1__2_MethaneProductionPerClass_LatexEquation">_xlfn.LAMBDA("M_{mj}=\sum_{m}\sum_{T}M_{jmT}")</definedName>
    <definedName name="MMS_Swine_Methane_Equations.VEERG_4_5_1_1__2_MethaneProductionPerClass_NIRReference">_xlfn.LAMBDA("")</definedName>
    <definedName name="MMS_Swine_Methane_Equations.VEERG_4_5_1_1__2_MethaneProductionPerClass_Source">_xlfn.LAMBDA("VEERG 2026: 4.5.1.1, Equation (2)")</definedName>
    <definedName name="MMS_Swine_Methane_Equations.VEERG_4_5_1_1__2_MethaneProductionPerClass_Title">_xlfn.LAMBDA("Methane production from the manure of each class of swine")</definedName>
    <definedName name="MMS_Swine_Methane_Equations.VEERG_4_5_1_1__2_MethaneProductionPerClass_Unit">_xlfn.LAMBDA("kg CH4/head/day")</definedName>
    <definedName name="MMS_Swine_Methane_Equations.VEERG_4_5_1_1__2_MethaneProductionPerClass_Variable">_xlfn.LAMBDA("Mmj")</definedName>
    <definedName name="MMS_Swine_Methane_Equations.VEERG_4_5_1_1__2_MethaneProductionPerClass_Variation">_xlfn.LAMBDA("VARIATION ON SOURCE: Split variable Mjm into MjmT1 and MjmT2 for stage 1 and 2 MMS.")</definedName>
    <definedName name="MMS_Swine_Methane_Equations.VEERG_4_5_1_1__2_MethaneProductionPerClassVariation">_xlfn.LAMBDA(_xlpm.MjmT1,_xlpm.MjmT2, SUM(_xlpm.MjmT1, _xlpm.MjmT2))</definedName>
    <definedName name="MMS_Swine_Methane_Equations.VEERG_4_5_1_1__3_Stage1MethaneProduction">_xlfn.LAMBDA(_xlpm.VSj,_xlpm.FVSjmT1,_xlpm.MCFim,_xlpm.BO,_xlpm.rho, _xlpm.VSj * _xlpm.FVSjmT1 * _xlpm.MCFim * _xlpm.BO * _xlpm.rho)</definedName>
    <definedName name="MMS_Swine_Methane_Equations.VEERG_4_5_1_1__3_Stage1MethaneProduction_Arguments">_xlfn.LAMBDA(_xlfn.MAKEARRAY(5, 4, _xlfn.LAMBDA(_xlpm.r,_xlpm.c, INDEX({"VSj","volatile solid production from swine in each class","kg/head/day","Input";"FVSjmT1","fraction of volatile solids in each primary system","fraction","Calculated from 4.5.1.1 (4)(5)";"MCFim","methane conversion factor for temperate zone and system","fraction","Constant";"BO","emissions potential","m3 CH4/kg VS","Constant";"rho","density of methane","kg/m3","Constant"}, _xlpm.r, _xlpm.c))))</definedName>
    <definedName name="MMS_Swine_Methane_Equations.VEERG_4_5_1_1__3_Stage1MethaneProduction_LatexEquation">_xlfn.LAMBDA("M_{ijm,T=1}=VS_{j}\times FVS_{jm,T=1}\times MCF_{im}\times BO\times \rho")</definedName>
    <definedName name="MMS_Swine_Methane_Equations.VEERG_4_5_1_1__3_Stage1MethaneProduction_NIRReference">_xlfn.LAMBDA("")</definedName>
    <definedName name="MMS_Swine_Methane_Equations.VEERG_4_5_1_1__3_Stage1MethaneProduction_Source">_xlfn.LAMBDA("VEERG 2026: 4.5.1.1, Equation (3)")</definedName>
    <definedName name="MMS_Swine_Methane_Equations.VEERG_4_5_1_1__3_Stage1MethaneProduction_Title">_xlfn.LAMBDA("Production of methane in treatment stage 1 MMS")</definedName>
    <definedName name="MMS_Swine_Methane_Equations.VEERG_4_5_1_1__3_Stage1MethaneProduction_Unit">_xlfn.LAMBDA("kg CH4/head/day")</definedName>
    <definedName name="MMS_Swine_Methane_Equations.VEERG_4_5_1_1__3_Stage1MethaneProduction_Variable">_xlfn.LAMBDA("MijmT1")</definedName>
    <definedName name="MMS_Swine_Methane_Equations.VEERG_4_5_1_1__4_FractionVolatileSolidsPrimarySystem">_xlfn.LAMBDA(_xlpm.MMSjmT1,_xlpm.SSm, _xlpm.MMSjmT1 * (1 - _xlpm.SSm))</definedName>
    <definedName name="MMS_Swine_Methane_Equations.VEERG_4_5_1_1__4_FractionVolatileSolidsPrimarySystem_Arguments">_xlfn.LAMBDA(_xlfn.MAKEARRAY(2, 4, _xlfn.LAMBDA(_xlpm.r,_xlpm.c, INDEX({"MMSjmT1","fraction of manure to each primary MMS for each class prior to solid separation","fraction","Input";"SSm","fraction of volatile solids separated to solid storage for each MMS","fraction","Input"}, _xlpm.r, _xlpm.c))))</definedName>
    <definedName name="MMS_Swine_Methane_Equations.VEERG_4_5_1_1__4_FractionVolatileSolidsPrimarySystem_LatexEquation">_xlfn.LAMBDA("FVS_{jm,T=1}=MMS_{jm,T=1}\times(1-SS_{m})")</definedName>
    <definedName name="MMS_Swine_Methane_Equations.VEERG_4_5_1_1__4_FractionVolatileSolidsPrimarySystem_NIRReference">_xlfn.LAMBDA("")</definedName>
    <definedName name="MMS_Swine_Methane_Equations.VEERG_4_5_1_1__4_FractionVolatileSolidsPrimarySystem_Source">_xlfn.LAMBDA("VEERG 2026: 4.5.1.1, Equation (4)")</definedName>
    <definedName name="MMS_Swine_Methane_Equations.VEERG_4_5_1_1__4_FractionVolatileSolidsPrimarySystem_Title">_xlfn.LAMBDA("Fraction of volatile solids in each primary system other than solid storage")</definedName>
    <definedName name="MMS_Swine_Methane_Equations.VEERG_4_5_1_1__4_FractionVolatileSolidsPrimarySystem_Unit">_xlfn.LAMBDA("fraction")</definedName>
    <definedName name="MMS_Swine_Methane_Equations.VEERG_4_5_1_1__4_FractionVolatileSolidsPrimarySystem_Variable">_xlfn.LAMBDA("FVSjmT1")</definedName>
    <definedName name="MMS_Swine_Methane_Equations.VEERG_4_5_1_1__4_FractionVolatileSolidsPrimarySystem_Variation">_xlfn.LAMBDA("")</definedName>
    <definedName name="MMS_Swine_Methane_Equations.VEERG_4_5_1_1__5_FractionVolatileSolidsSolidStorage">_xlfn.LAMBDA(_xlpm.MMSjm4T1,_xlpm.MMSjm179T1,_xlpm.SSm, _xlpm.MMSjm4T1 + (_xlpm.MMSjm179T1 * _xlpm.SSm))</definedName>
    <definedName name="MMS_Swine_Methane_Equations.VEERG_4_5_1_1__5_FractionVolatileSolidsSolidStorage_Arguments">_xlfn.LAMBDA(_xlfn.MAKEARRAY(3, 4, _xlfn.LAMBDA(_xlpm.r,_xlpm.c, INDEX({"MMSjm4T1","fraction of manure in solid storage primary system","fraction","Input";"MMSjm179T1","fraction of manure in MMS 1, 7, and 9 in treatment stage 1","fraction","Input";"SSm","fraction of volatile solids separated to solid storage for each MMS","fraction","Input"}, _xlpm.r, _xlpm.c))))</definedName>
    <definedName name="MMS_Swine_Methane_Equations.VEERG_4_5_1_1__5_FractionVolatileSolidsSolidStorage_LatexEquation">_xlfn.LAMBDA("FVS_{j,m=4,T=1}=MMS_{j,m=4,T=1}+(MMS_{j,m=1,7,9,T=1}\times SS_{m})")</definedName>
    <definedName name="MMS_Swine_Methane_Equations.VEERG_4_5_1_1__5_FractionVolatileSolidsSolidStorage_LatexEquationVariation">_xlfn.LAMBDA("FVS_{j,m=4,T=1}=MMS_{j,m=4,T=1}+(MMS_{j,m=1,T=1}\times SS_{m=1,T=1})+(MMS_{j,m=7,T=1}\times SS_{m=7,T=1})+(MMS_{j,m=9,T=1}\times SS_{m=9,T=1})")</definedName>
    <definedName name="MMS_Swine_Methane_Equations.VEERG_4_5_1_1__5_FractionVolatileSolidsSolidStorage_NIRReference">_xlfn.LAMBDA("")</definedName>
    <definedName name="MMS_Swine_Methane_Equations.VEERG_4_5_1_1__5_FractionVolatileSolidsSolidStorage_Source">_xlfn.LAMBDA("VEERG 2026: 4.5.1.1, Equation (5)")</definedName>
    <definedName name="MMS_Swine_Methane_Equations.VEERG_4_5_1_1__5_FractionVolatileSolidsSolidStorage_Title">_xlfn.LAMBDA("Fraction of volatile solids in solid storage")</definedName>
    <definedName name="MMS_Swine_Methane_Equations.VEERG_4_5_1_1__5_FractionVolatileSolidsSolidStorage_Unit">_xlfn.LAMBDA("fraction")</definedName>
    <definedName name="MMS_Swine_Methane_Equations.VEERG_4_5_1_1__5_FractionVolatileSolidsSolidStorage_Variable">_xlfn.LAMBDA("FVSjm4T1")</definedName>
    <definedName name="MMS_Swine_Methane_Equations.VEERG_4_5_1_1__5_FractionVolatileSolidsSolidStorage_Variation">_xlfn.LAMBDA("VARIATION ON SOURCE: Split equation for MMSm=1,7,9 into separate items to allow for calculation")</definedName>
    <definedName name="MMS_Swine_Methane_Equations.VEERG_4_5_1_1__5_FractionVolatileSolidsSolidStorageVariation">_xlfn.LAMBDA(_xlpm.MMSjm4T1,_xlpm.MMSjmT1_1,_xlpm.MMSjmT1_2,_xlpm.MMSjmT1_3,_xlpm.MMSjmT1_4,_xlpm.MMSjmT1_5,_xlpm.SSjmT1_1,_xlpm.SSjmT1_2,_xlpm.SSjmT1_3,_xlpm.SSjmT1_4,_xlpm.SSjmT1_5, _xlpm.MMSjm4T1 + (_xlpm.MMSjmT1_1 * _xlpm.SSjmT1_1) + (_xlpm.MMSjmT1_2 * _xlpm.SSjmT1_2) + (_xlpm.MMSjmT1_3 * _xlpm.SSjmT1_3) + (_xlpm.MMSjmT1_4 * _xlpm.SSjmT1_4) + (_xlpm.MMSjmT1_5 * _xlpm.SSjmT1_5))</definedName>
    <definedName name="MMS_Swine_Methane_Equations.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MS_Swine_Methane_Equations.VEERG_4_5_1_1__6_Stage2MethaneProduction_Arguments">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methane","kg/m3","Constant";"i","state","","Input"}, _xlpm.r, _xlpm.c))))</definedName>
    <definedName name="MMS_Swine_Methane_Equations.VEERG_4_5_1_1__6_Stage2MethaneProduction_Arguments_Method2">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methane","kg/m3","Constant";"MAT","Mean annual temperature","°C","Input"}, _xlpm.r, _xlpm.c))))</definedName>
    <definedName name="MMS_Swine_Methane_Equations.VEERG_4_5_1_1__6_Stage2MethaneProduction_LatexEquation">_xlfn.LAMBDA("M_{ijm,T=2}=VST_{jm,T=2}\times BO\times MMS_{jm,T=2}\times MCF_{im}\times \rho")</definedName>
    <definedName name="MMS_Swine_Methane_Equations.VEERG_4_5_1_1__6_Stage2MethaneProduction_NIRReference">_xlfn.LAMBDA("")</definedName>
    <definedName name="MMS_Swine_Methane_Equations.VEERG_4_5_1_1__6_Stage2MethaneProduction_Source">_xlfn.LAMBDA("VEERG 2026: 4.5.1.1, Equation (6)")</definedName>
    <definedName name="MMS_Swine_Methane_Equations.VEERG_4_5_1_1__6_Stage2MethaneProduction_Title">_xlfn.LAMBDA("Production of methane in each treatment stage 2 MMS")</definedName>
    <definedName name="MMS_Swine_Methane_Equations.VEERG_4_5_1_1__6_Stage2MethaneProduction_Unit">_xlfn.LAMBDA("kg CH4/head/day")</definedName>
    <definedName name="MMS_Swine_Methane_Equations.VEERG_4_5_1_1__6_Stage2MethaneProduction_Variable">_xlfn.LAMBDA("MijmT2")</definedName>
    <definedName name="MMS_Swine_Methane_Equations.VEERG_4_5_1_1__7_VolatileSolidsTransferredStage2">_xlfn.LAMBDA(_xlpm.VSj,_xlpm.FVSjmT1,_xlpm.VSLmT1, _xlpm.VSj * _xlpm.FVSjmT1 * (1 - _xlpm.VSLmT1))</definedName>
    <definedName name="MMS_Swine_Methane_Equations.VEERG_4_5_1_1__7_VolatileSolidsTransferredStage2_Arguments">_xlfn.LAMBDA(_xlfn.MAKEARRAY(3, 4, _xlfn.LAMBDA(_xlpm.r,_xlpm.c, INDEX({"VSj","volatile solid production from swine in each class","kg/head/day","Input";"FVSjmT1","fraction of volatile solids in each primary system","fraction","Calculated from 4.5.1.1 (4)(5)";"VSLmT1","fraction of volatile solids lost during storage in the primary system","fraction","Lookup"}, _xlpm.r, _xlpm.c))))</definedName>
    <definedName name="MMS_Swine_Methane_Equations.VEERG_4_5_1_1__7_VolatileSolidsTransferredStage2_LatexEquation">_xlfn.LAMBDA("VST_{ijm,T=2}=VS_{j}\times FVS_{jm,T=1}\times(1-VSL_{m,T=1})")</definedName>
    <definedName name="MMS_Swine_Methane_Equations.VEERG_4_5_1_1__7_VolatileSolidsTransferredStage2_NIRReference">_xlfn.LAMBDA("")</definedName>
    <definedName name="MMS_Swine_Methane_Equations.VEERG_4_5_1_1__7_VolatileSolidsTransferredStage2_Source">_xlfn.LAMBDA("VEERG 2026: 4.5.1.1, Equation (7)")</definedName>
    <definedName name="MMS_Swine_Methane_Equations.VEERG_4_5_1_1__7_VolatileSolidsTransferredStage2_Title">_xlfn.LAMBDA("Volatile solids transferred to treatment stage 2 MMS")</definedName>
    <definedName name="MMS_Swine_Methane_Equations.VEERG_4_5_1_1__7_VolatileSolidsTransferredStage2_Unit">_xlfn.LAMBDA("kg VS")</definedName>
    <definedName name="MMS_Swine_Methane_Equations.VEERG_4_5_1_1__7_VolatileSolidsTransferredStage2_Variable">_xlfn.LAMBDA("VSTijmT2")</definedName>
    <definedName name="MMS_Swine_N2ODirect_Equations.VEERG_4_5_1_3__1_TotalAnnualDirectNitrousOxideEmissionsFromMMS">_xlfn.LAMBDA(_xlpm.MN_jmT,_xlpm.EF_jm,_xlpm.C_N2O, _xlpm.MN_jmT * _xlpm.EF_jm * _xlpm.C_N2O * 10 ^ -3)</definedName>
    <definedName name="MMS_Swine_N2ODirect_Equations.VEERG_4_5_1_3__1_TotalAnnualDirectNitrousOxideEmissionsFromMMS_Arguments">_xlfn.LAMBDA(_xlfn.MAKEARRAY(3, 4, _xlfn.LAMBDA(_xlpm.r,_xlpm.c, INDEX({"MN_jmT","nitrogen per swine class, MMS and treatment stage","kg N","Calculated from 4.5.1.3 (2)(6)";"EF_jm","nitrous oxide emission factor for MMS","kg N2O-N/kg N","Constant";"C_N2O","factor to convert elemental mass of nitrous oxide to molecular mass","","Constant"}, _xlpm.r, _xlpm.c))))</definedName>
    <definedName name="MMS_Swine_N2ODirect_Equations.VEERG_4_5_1_3__1_TotalAnnualDirectNitrousOxideEmissionsFromMMS_LatexEquation">_xlfn.LAMBDA("E_{N2O,dir}=\sum_{j}\sum_{m}\sum_{T}(MN_{jmT}\times EF_{jm}\times C_{N2O})\times10^{-3}")</definedName>
    <definedName name="MMS_Swine_N2ODirect_Equations.VEERG_4_5_1_3__1_TotalAnnualDirectNitrousOxideEmissionsFromMMS_NIRReference">_xlfn.LAMBDA("")</definedName>
    <definedName name="MMS_Swine_N2ODirect_Equations.VEERG_4_5_1_3__1_TotalAnnualDirectNitrousOxideEmissionsFromMMS_Source">_xlfn.LAMBDA("VEERG 2026: 4.5.1.3, Equation (1)")</definedName>
    <definedName name="MMS_Swine_N2ODirect_Equations.VEERG_4_5_1_3__1_TotalAnnualDirectNitrousOxideEmissionsFromMMS_Title">_xlfn.LAMBDA("Total annual direct nitrous oxide emissions from manure management systems")</definedName>
    <definedName name="MMS_Swine_N2ODirect_Equations.VEERG_4_5_1_3__1_TotalAnnualDirectNitrousOxideEmissionsFromMMS_Unit">_xlfn.LAMBDA("t N2O")</definedName>
    <definedName name="MMS_Swine_N2ODirect_Equations.VEERG_4_5_1_3__1_TotalAnnualDirectNitrousOxideEmissionsFromMMS_Variable">_xlfn.LAMBDA("E_N2Odir")</definedName>
    <definedName name="MMS_Swine_N2ODirect_Equations.VEERG_4_5_1_3__2_Stage1NitrogenInMMS">_xlfn.LAMBDA(_xlpm.AE_j,_xlpm.FN_jmT1, _xlpm.AE_j * _xlpm.FN_jmT1)</definedName>
    <definedName name="MMS_Swine_N2ODirect_Equations.VEERG_4_5_1_3__2_Stage1NitrogenInMMS_Arguments">_xlfn.LAMBDA(_xlfn.MAKEARRAY(2, 4, _xlfn.LAMBDA(_xlpm.r,_xlpm.c, INDEX({"AE_j","total nitrogen excreted by each swine class","kg N","Calculated from 4.5.1.3 (5)";"FN_jmT1","fraction of nitrogen in each primary MMS system","fraction","Calculated from 4.5.1.3 (3)(4)"}, _xlpm.r, _xlpm.c))))</definedName>
    <definedName name="MMS_Swine_N2ODirect_Equations.VEERG_4_5_1_3__2_Stage1NitrogenInMMS_LatexEquation">_xlfn.LAMBDA("MN_{jm,T=1}=AE_{j}\times FN_{jm,T=1}")</definedName>
    <definedName name="MMS_Swine_N2ODirect_Equations.VEERG_4_5_1_3__2_Stage1NitrogenInMMS_NIRReference">_xlfn.LAMBDA("")</definedName>
    <definedName name="MMS_Swine_N2ODirect_Equations.VEERG_4_5_1_3__2_Stage1NitrogenInMMS_Source">_xlfn.LAMBDA("VEERG 2026: 4.5.1.3, Equation (2)")</definedName>
    <definedName name="MMS_Swine_N2ODirect_Equations.VEERG_4_5_1_3__2_Stage1NitrogenInMMS_Title">_xlfn.LAMBDA("Nitrogen in treatment stage 1 MMS")</definedName>
    <definedName name="MMS_Swine_N2ODirect_Equations.VEERG_4_5_1_3__2_Stage1NitrogenInMMS_Unit">_xlfn.LAMBDA("kg N")</definedName>
    <definedName name="MMS_Swine_N2ODirect_Equations.VEERG_4_5_1_3__2_Stage1NitrogenInMMS_Variable">_xlfn.LAMBDA("MN_jmT1")</definedName>
    <definedName name="MMS_Swine_N2ODirect_Equations.VEERG_4_5_1_3__3_FractionOfNitrogenInPrimaryMMS">_xlfn.LAMBDA(_xlpm.MMS_jmT1,_xlpm.SN_m, _xlpm.MMS_jmT1 * (1 - _xlpm.SN_m))</definedName>
    <definedName name="MMS_Swine_N2ODirect_Equations.VEERG_4_5_1_3__3_FractionOfNitrogenInPrimaryMMS_Arguments">_xlfn.LAMBDA(_xlfn.MAKEARRAY(2, 4, _xlfn.LAMBDA(_xlpm.r,_xlpm.c, INDEX({"MMS_jmT1","fraction of manure in primary MMS","fraction","Input";"SN_m","fraction of nitrogen separated to solid storage for each MMS","fraction","Input"}, _xlpm.r, _xlpm.c))))</definedName>
    <definedName name="MMS_Swine_N2ODirect_Equations.VEERG_4_5_1_3__3_FractionOfNitrogenInPrimaryMMS_LatexEquation">_xlfn.LAMBDA("FN_{jm,T=1}=MMS_{jm,T=1}\times(1-SN_{m})")</definedName>
    <definedName name="MMS_Swine_N2ODirect_Equations.VEERG_4_5_1_3__3_FractionOfNitrogenInPrimaryMMS_NIRReference">_xlfn.LAMBDA("")</definedName>
    <definedName name="MMS_Swine_N2ODirect_Equations.VEERG_4_5_1_3__3_FractionOfNitrogenInPrimaryMMS_Source">_xlfn.LAMBDA("VEERG 2026: 4.5.1.3, Equation (3)")</definedName>
    <definedName name="MMS_Swine_N2ODirect_Equations.VEERG_4_5_1_3__3_FractionOfNitrogenInPrimaryMMS_Title">_xlfn.LAMBDA("Fraction of nitrogen in each primary MMS (excluding solid storage)")</definedName>
    <definedName name="MMS_Swine_N2ODirect_Equations.VEERG_4_5_1_3__3_FractionOfNitrogenInPrimaryMMS_Unit">_xlfn.LAMBDA("fraction")</definedName>
    <definedName name="MMS_Swine_N2ODirect_Equations.VEERG_4_5_1_3__3_FractionOfNitrogenInPrimaryMMS_Variable">_xlfn.LAMBDA("FN_jmT1")</definedName>
    <definedName name="MMS_Swine_N2ODirect_Equations.VEERG_4_5_1_3__4_FractionOfNitrogenInSolidStorage">_xlfn.LAMBDA(_xlpm.MMS_jm4T1,_xlpm.MMS_jm179T1,_xlpm.SN_m, _xlpm.MMS_jm4T1 + (_xlpm.MMS_jm179T1 * _xlpm.SN_m))</definedName>
    <definedName name="MMS_Swine_N2ODirect_Equations.VEERG_4_5_1_3__4_FractionOfNitrogenInSolidStorage_Arguments">_xlfn.LAMBDA(_xlfn.MAKEARRAY(3, 4, _xlfn.LAMBDA(_xlpm.r,_xlpm.c, INDEX({"MMS_jm4T1","fraction of manure in solid storage MMS","fraction","Input";"MMS_jm179T1","fraction of manure in primary liquid systems (m=1,7,9)","fraction","Input";"SN_m","fraction of nitrogen separated to solid storage for each MMS","fraction","Input"}, _xlpm.r, _xlpm.c))))</definedName>
    <definedName name="MMS_Swine_N2ODirect_Equations.VEERG_4_5_1_3__4_FractionOfNitrogenInSolidStorage_LatexEquation">_xlfn.LAMBDA("FN_{jm=4,T=1}=MMS_{jm=4,T=1}+(MMS_{jm=1,7,9,T=1}\times SN_{m})")</definedName>
    <definedName name="MMS_Swine_N2ODirect_Equations.VEERG_4_5_1_3__4_FractionOfNitrogenInSolidStorage_LatexEquationVariation">_xlfn.LAMBDA("FN_{jm=4,T=1}=MMS_{jm=4,T=1}+(MMS_{j,m=1,T=1}\times SS_{m=1,T=1})+(MMS_{j,m=7,T=1}\times SS_{m=7,T=1})+(MMS_{j,m=9,T=1}\times SS_{m=9,T=1})")</definedName>
    <definedName name="MMS_Swine_N2ODirect_Equations.VEERG_4_5_1_3__4_FractionOfNitrogenInSolidStorage_NIRReference">_xlfn.LAMBDA("")</definedName>
    <definedName name="MMS_Swine_N2ODirect_Equations.VEERG_4_5_1_3__4_FractionOfNitrogenInSolidStorage_Source">_xlfn.LAMBDA("VEERG 2026: 4.5.1.3, Equation (4)")</definedName>
    <definedName name="MMS_Swine_N2ODirect_Equations.VEERG_4_5_1_3__4_FractionOfNitrogenInSolidStorage_Title">_xlfn.LAMBDA("Fraction of nitrogen in solid storage")</definedName>
    <definedName name="MMS_Swine_N2ODirect_Equations.VEERG_4_5_1_3__4_FractionOfNitrogenInSolidStorage_Unit">_xlfn.LAMBDA("fraction")</definedName>
    <definedName name="MMS_Swine_N2ODirect_Equations.VEERG_4_5_1_3__4_FractionOfNitrogenInSolidStorage_Variable">_xlfn.LAMBDA("FN_jm4T1")</definedName>
    <definedName name="MMS_Swine_N2ODirect_Equations.VEERG_4_5_1_3__4_FractionOfNitrogenInSolidStorage_Variation">_xlfn.LAMBDA("VARIATION ON SOURCE: Split equation for MMSm=1,7,9 into separate items to allow for calculation")</definedName>
    <definedName name="MMS_Swine_N2ODirect_Equations.VEERG_4_5_1_3__4_FractionOfNitrogenInSolidStorageVariation">_xlfn.LAMBDA(_xlpm.MMS_jm4T1,_xlpm.MMSjmT1_1,_xlpm.MMSjmT1_2,_xlpm.MMSjmT1_3,_xlpm.MMSjmT1_4,_xlpm.MMSjmT1_5,_xlpm.SSjmT1_1,_xlpm.SSjmT1_2,_xlpm.SSjmT1_3,_xlpm.SSjmT1_4,_xlpm.SSjmT1_5, _xlpm.MMS_jm4T1 + (_xlpm.MMSjmT1_1 * _xlpm.SSjmT1_1) + (_xlpm.MMSjmT1_2 * _xlpm.SSjmT1_2) + (_xlpm.MMSjmT1_3 * _xlpm.SSjmT1_3) + (_xlpm.MMSjmT1_4 * _xlpm.SSjmT1_4) + (_xlpm.MMSjmT1_5 * _xlpm.SSjmT1_5))</definedName>
    <definedName name="MMS_Swine_N2ODirect_Equations.VEERG_4_5_1_3__5_AnnualNitrogenExcretion">_xlfn.LAMBDA(_xlpm.N_j,_xlpm.NW_j,_xlpm.D_j, _xlpm.N_j * _xlpm.NW_j * _xlpm.D_j)</definedName>
    <definedName name="MMS_Swine_N2ODirect_Equations.VEERG_4_5_1_3__5_AnnualNitrogenExcretion_Arguments">_xlfn.LAMBDA(_xlfn.MAKEARRAY(3, 4, _xlfn.LAMBDA(_xlpm.r,_xlpm.c, INDEX({"N_j","number of swine in each group","head","Input";"NW_j","nitrogen produced in swine manure and waste feed in each class","kg N/head/day","Input";"D_j","duration of stay of swine group","days","Input"}, _xlpm.r, _xlpm.c))))</definedName>
    <definedName name="MMS_Swine_N2ODirect_Equations.VEERG_4_5_1_3__5_AnnualNitrogenExcretion_LatexEquation">_xlfn.LAMBDA("AE_{j}=N_{j}\times NW_{j}\times D_{j}")</definedName>
    <definedName name="MMS_Swine_N2ODirect_Equations.VEERG_4_5_1_3__5_AnnualNitrogenExcretion_NIRReference">_xlfn.LAMBDA("")</definedName>
    <definedName name="MMS_Swine_N2ODirect_Equations.VEERG_4_5_1_3__5_AnnualNitrogenExcretion_Source">_xlfn.LAMBDA("VEERG 2026: 4.5.1.3, Equation (5)")</definedName>
    <definedName name="MMS_Swine_N2ODirect_Equations.VEERG_4_5_1_3__5_AnnualNitrogenExcretion_Title">_xlfn.LAMBDA("Annual nitrogen excretion from each swine group")</definedName>
    <definedName name="MMS_Swine_N2ODirect_Equations.VEERG_4_5_1_3__5_AnnualNitrogenExcretion_Unit">_xlfn.LAMBDA("kg N")</definedName>
    <definedName name="MMS_Swine_N2ODirect_Equations.VEERG_4_5_1_3__5_AnnualNitrogenExcretion_Variable">_xlfn.LAMBDA("AE_j")</definedName>
    <definedName name="MMS_Swine_N2ODirect_Equations.VEERG_4_5_1_3__6_Stage2NitrogenInMMS">_xlfn.LAMBDA(_xlpm.NT_jmT2,_xlpm.MMS_jmT2, _xlpm.NT_jmT2 * _xlpm.MMS_jmT2)</definedName>
    <definedName name="MMS_Swine_N2ODirect_Equations.VEERG_4_5_1_3__6_Stage2NitrogenInMMS_Arguments">_xlfn.LAMBDA(_xlfn.MAKEARRAY(2, 4, _xlfn.LAMBDA(_xlpm.r,_xlpm.c, INDEX({"NT_jmT2","nitrogen transferred to secondary treatment MMS","kg N","Calculated from 4.5.1.3 (7)";"MMS_jmT2","fraction of manure in each secondary system","fraction","Input"}, _xlpm.r, _xlpm.c))))</definedName>
    <definedName name="MMS_Swine_N2ODirect_Equations.VEERG_4_5_1_3__6_Stage2NitrogenInMMS_LatexEquation">_xlfn.LAMBDA("MN_{jm,T=2}=NT_{jm,T=2}\times MMS_{jm,T=2}")</definedName>
    <definedName name="MMS_Swine_N2ODirect_Equations.VEERG_4_5_1_3__6_Stage2NitrogenInMMS_NIRReference">_xlfn.LAMBDA("")</definedName>
    <definedName name="MMS_Swine_N2ODirect_Equations.VEERG_4_5_1_3__6_Stage2NitrogenInMMS_Source">_xlfn.LAMBDA("VEERG 2026: 4.5.1.3, Equation (6)")</definedName>
    <definedName name="MMS_Swine_N2ODirect_Equations.VEERG_4_5_1_3__6_Stage2NitrogenInMMS_Title">_xlfn.LAMBDA("Nitrogen in treatment stage 2 MMS")</definedName>
    <definedName name="MMS_Swine_N2ODirect_Equations.VEERG_4_5_1_3__6_Stage2NitrogenInMMS_Unit">_xlfn.LAMBDA("kg N")</definedName>
    <definedName name="MMS_Swine_N2ODirect_Equations.VEERG_4_5_1_3__6_Stage2NitrogenInMMS_Variable">_xlfn.LAMBDA("MN_jmT2")</definedName>
    <definedName name="MMS_Swine_N2ODirect_Equations.VEERG_4_5_1_3__7_NitrogenTransferredToStage2MMS">_xlfn.LAMBDA(_xlpm.MN_jmT1,_xlpm.FracGASMmT1,_xlpm.EF_mT1, _xlpm.MN_jmT1 * (1 - _xlpm.FracGASMmT1 - _xlpm.EF_mT1))</definedName>
    <definedName name="MMS_Swine_N2ODirect_Equations.VEERG_4_5_1_3__7_NitrogenTransferredToStage2MMS_Arguments">_xlfn.LAMBDA(_xlfn.MAKEARRAY(3, 4, _xlfn.LAMBDA(_xlpm.r,_xlpm.c, INDEX({"MN_jmT1","nitrogen per swine class in treatment stage 1 MMS","kg N","Calculated from 4.5.1.3 (2)(6)";"FracGASMmT1","fraction of N volatilised from MMS treatment at stage 1","fraction","Lookup";"EF_mT1","nitrous oxide emission factor for MMS treatment at stage 1","kg N2O-N/kg N","Lookup"}, _xlpm.r, _xlpm.c))))</definedName>
    <definedName name="MMS_Swine_N2ODirect_Equations.VEERG_4_5_1_3__7_NitrogenTransferredToStage2MMS_LatexEquation">_xlfn.LAMBDA("NT_{jm,T=2}=MN_{jm,T=1}\times(1-FracGASM_{m,T=1}-EF_{m,T=1})")</definedName>
    <definedName name="MMS_Swine_N2ODirect_Equations.VEERG_4_5_1_3__7_NitrogenTransferredToStage2MMS_NIRReference">_xlfn.LAMBDA("")</definedName>
    <definedName name="MMS_Swine_N2ODirect_Equations.VEERG_4_5_1_3__7_NitrogenTransferredToStage2MMS_Source">_xlfn.LAMBDA("VEERG 2026: 4.5.1.3, Equation (7)")</definedName>
    <definedName name="MMS_Swine_N2ODirect_Equations.VEERG_4_5_1_3__7_NitrogenTransferredToStage2MMS_Title">_xlfn.LAMBDA("Nitrogen transferred to treatment stage 2 MMS")</definedName>
    <definedName name="MMS_Swine_N2ODirect_Equations.VEERG_4_5_1_3__7_NitrogenTransferredToStage2MMS_Unit">_xlfn.LAMBDA("kg N")</definedName>
    <definedName name="MMS_Swine_N2ODirect_Equations.VEERG_4_5_1_3__7_NitrogenTransferredToStage2MMS_Variable">_xlfn.LAMBDA("NT_jmT2")</definedName>
    <definedName name="Range_LivestockStartingValues">#REF!</definedName>
    <definedName name="Scope3_Equations.VEERG_15_1_1_1__1_EmissionsFromPurchasedLivestock">_xlfn.LAMBDA(_xlpm.N_co,_xlpm.W_co,_xlpm.EF_co, (_xlpm.N_co * _xlpm.W_co * _xlpm.EF_co) * 10 ^ -3)</definedName>
    <definedName name="Scope3_Equations.VEERG_15_1_1_1__1_EmissionsFromPurchasedLivestock_Arguments">_xlfn.LAMBDA(_xlfn.MAKEARRAY(5, 4, _xlfn.LAMBDA(_xlpm.r,_xlpm.c, INDEX({"N_co","number of animals purchased in livestock type c from origin o","head","Input";"W_co","average liveweight of purchased livestock at point of purchase","kg/head","Input";"EF_co","emission factor per livestock type and origin","kg CO2e/kg","Constant";"c","livestock type","","Input";"o","origin","","Input"}, _xlpm.r, _xlpm.c))))</definedName>
    <definedName name="Scope3_Equations.VEERG_15_1_1_1__1_EmissionsFromPurchasedLivestock_LatexEquation">_xlfn.LAMBDA("E=\sum\nolimits_c\sum\nolimits_o\left(N_{co}\times W_{co}\times EF_{co}\right)\times 10^{-3}")</definedName>
    <definedName name="Scope3_Equations.VEERG_15_1_1_1__1_EmissionsFromPurchasedLivestock_NIRReference">_xlfn.LAMBDA("")</definedName>
    <definedName name="Scope3_Equations.VEERG_15_1_1_1__1_EmissionsFromPurchasedLivestock_Source">_xlfn.LAMBDA("VEERG 2026: 15.1.1.1, Equation (1)")</definedName>
    <definedName name="Scope3_Equations.VEERG_15_1_1_1__1_EmissionsFromPurchasedLivestock_Title">_xlfn.LAMBDA("Total emissions from purchased livestock")</definedName>
    <definedName name="Scope3_Equations.VEERG_15_1_1_1__1_EmissionsFromPurchasedLivestock_Unit">_xlfn.LAMBDA("t CO2e")</definedName>
    <definedName name="Scope3_Equations.VEERG_15_1_1_1__1_EmissionsFromPurchasedLivestock_Variable">_xlfn.LAMBDA("E")</definedName>
    <definedName name="Scope3_Equations.VEERG_15_10_1_1__1_OtherPurchasedGoodsAndServices">_xlfn.LAMBDA(_xlpm.activity_data,_xlpm.emission_factor, _xlpm.activity_data * _xlpm.emission_factor)</definedName>
    <definedName name="Scope3_Equations.VEERG_15_10_1_1__1_OtherPurchasedGoodsAndServices_Arguments">_xlfn.LAMBDA(_xlfn.MAKEARRAY(2, 4, _xlfn.LAMBDA(_xlpm.r,_xlpm.c, INDEX({"activity_data","measured activity for the purchased good or service","varies","Input";"emission_factor","lifecycle emissions per unit of activity","varies","Constant"}, _xlpm.r, _xlpm.c))))</definedName>
    <definedName name="Scope3_Equations.VEERG_15_10_1_1__1_OtherPurchasedGoodsAndServices_LatexEquation">_xlfn.LAMBDA("emissions=activity\_data\times emission\_factor")</definedName>
    <definedName name="Scope3_Equations.VEERG_15_10_1_1__1_OtherPurchasedGoodsAndServices_NIRReference">_xlfn.LAMBDA("")</definedName>
    <definedName name="Scope3_Equations.VEERG_15_10_1_1__1_OtherPurchasedGoodsAndServices_Source">_xlfn.LAMBDA("VEERG 2026: 15.10, generic placeholder equation")</definedName>
    <definedName name="Scope3_Equations.VEERG_15_10_1_1__1_OtherPurchasedGoodsAndServices_Title">_xlfn.LAMBDA("Other purchased goods and services generic estimate")</definedName>
    <definedName name="Scope3_Equations.VEERG_15_10_1_1__1_OtherPurchasedGoodsAndServices_Unit">_xlfn.LAMBDA("t CO2e")</definedName>
    <definedName name="Scope3_Equations.VEERG_15_10_1_1__1_OtherPurchasedGoodsAndServices_Variable">_xlfn.LAMBDA("emissions")</definedName>
    <definedName name="Scope3_Equations.VEERG_15_11_1_1__1_TotalUpstreamEmissionsFromFuel">_xlfn.LAMBDA(_xlpm.E_WTTtransq,_xlpm.E_WTTSCq, _xlpm.E_WTTtransq + _xlpm.E_WTTSCq)</definedName>
    <definedName name="Scope3_Equations.VEERG_15_11_1_1__1_TotalUpstreamEmissionsFromFuel_Arguments">_xlfn.LAMBDA(_xlfn.MAKEARRAY(2, 4, _xlfn.LAMBDA(_xlpm.r,_xlpm.c, INDEX({"E_WTTtransq","upstream emissions from scope 1 transport fuel use","t CO2e","Calculated by 15.11.1.1 (2)";"E_WTTSCq","upstream emissions from scope 1 stationary combustion fuel use","t CO2e","Calculated by 15.11.1.1 (3)"}, _xlpm.r, _xlpm.c))))</definedName>
    <definedName name="Scope3_Equations.VEERG_15_11_1_1__1_TotalUpstreamEmissionsFromFuel_LatexEquation">_xlfn.LAMBDA("E=\sum\nolimits_qE_{WTT,trans,q}+\sum\nolimits_qE_{WTT,SC,q}")</definedName>
    <definedName name="Scope3_Equations.VEERG_15_11_1_1__1_TotalUpstreamEmissionsFromFuel_NIRReference">_xlfn.LAMBDA("")</definedName>
    <definedName name="Scope3_Equations.VEERG_15_11_1_1__1_TotalUpstreamEmissionsFromFuel_Source">_xlfn.LAMBDA("VEERG 2026: 15.11.1.1, Equation (1)")</definedName>
    <definedName name="Scope3_Equations.VEERG_15_11_1_1__1_TotalUpstreamEmissionsFromFuel_Title">_xlfn.LAMBDA("Total upstream emissions from scope 1 fuel consumption")</definedName>
    <definedName name="Scope3_Equations.VEERG_15_11_1_1__1_TotalUpstreamEmissionsFromFuel_Unit">_xlfn.LAMBDA("t CO2e")</definedName>
    <definedName name="Scope3_Equations.VEERG_15_11_1_1__1_TotalUpstreamEmissionsFromFuel_Variable">_xlfn.LAMBDA("E")</definedName>
    <definedName name="Scope3_Equations.VEERG_15_11_1_1__2_UpstreamTransportFuelEmissions">_xlfn.LAMBDA(_xlpm.Q_Transq,_xlpm.EC_Transq,_xlpm.EF_Trans3q, (_xlpm.Q_Transq * _xlpm.EC_Transq * _xlpm.EF_Trans3q) * 10 ^ -3)</definedName>
    <definedName name="Scope3_Equations.VEERG_15_11_1_1__2_UpstreamTransportFuelEmissions_Arguments">_xlfn.LAMBDA(_xlfn.MAKEARRAY(3, 4, _xlfn.LAMBDA(_xlpm.r,_xlpm.c, INDEX({"Q_Transq","amount of fuel q combusted for transport energy purposes","kL","Input";"EC_Transq","energy content factor for transport energy purposes","GJ/kL or GJ/m3","Constant";"EF_Trans3q","scope 3 emission factor for transport energy purposes","kg CO2e/GJ","Constant"}, _xlpm.r, _xlpm.c))))</definedName>
    <definedName name="Scope3_Equations.VEERG_15_11_1_1__2_UpstreamTransportFuelEmissions_LatexEquation">_xlfn.LAMBDA("E_{WTT,trans,q}=Q_{Trans,q}\times EC_{Trans,q}\times EF_{Trans,3,q}\times 10^{-3}")</definedName>
    <definedName name="Scope3_Equations.VEERG_15_11_1_1__2_UpstreamTransportFuelEmissions_NIRReference">_xlfn.LAMBDA("")</definedName>
    <definedName name="Scope3_Equations.VEERG_15_11_1_1__2_UpstreamTransportFuelEmissions_Source">_xlfn.LAMBDA("VEERG 2026: 15.11.1.1, Equation (2)")</definedName>
    <definedName name="Scope3_Equations.VEERG_15_11_1_1__2_UpstreamTransportFuelEmissions_Title">_xlfn.LAMBDA("Upstream emissions from scope 1 fuel use for transport purposes")</definedName>
    <definedName name="Scope3_Equations.VEERG_15_11_1_1__2_UpstreamTransportFuelEmissions_Unit">_xlfn.LAMBDA("t CO2e")</definedName>
    <definedName name="Scope3_Equations.VEERG_15_11_1_1__2_UpstreamTransportFuelEmissions_Variable">_xlfn.LAMBDA("E_WTTtransq")</definedName>
    <definedName name="Scope3_Equations.VEERG_15_11_1_1__3_UpstreamStationaryFuelEmissions">_xlfn.LAMBDA(_xlpm.Q_SCq,_xlpm.EC_SCq,_xlpm.EF_SC3q, (_xlpm.Q_SCq * _xlpm.EC_SCq * _xlpm.EF_SC3q) * 10 ^ -3)</definedName>
    <definedName name="Scope3_Equations.VEERG_15_11_1_1__3_UpstreamStationaryFuelEmissions_Arguments">_xlfn.LAMBDA(_xlfn.MAKEARRAY(5, 4, _xlfn.LAMBDA(_xlpm.r,_xlpm.c, INDEX({"Q_SCq","amount of fuel q used for stationary combustion operations","kL","Input";"EC_SCq","energy content factor for stationary combustion operations","GJ/kL","Constant";"EF_SC3q","scope 3 emission factor for stationary combustion operations","kg CO2e/GJ","Constant";"i","state","","Input";"m","metropolitan/non-metropolitan location","","Input"}, _xlpm.r, _xlpm.c))))</definedName>
    <definedName name="Scope3_Equations.VEERG_15_11_1_1__3_UpstreamStationaryFuelEmissions_LatexEquation">_xlfn.LAMBDA("E_{WTT,SC,q}=Q_{SC,q}\times EC_{SC,q}\times EF_{SC,3,q}\times 10^{-3}")</definedName>
    <definedName name="Scope3_Equations.VEERG_15_11_1_1__3_UpstreamStationaryFuelEmissions_NIRReference">_xlfn.LAMBDA("")</definedName>
    <definedName name="Scope3_Equations.VEERG_15_11_1_1__3_UpstreamStationaryFuelEmissions_Source">_xlfn.LAMBDA("VEERG 2026: 15.11.1.1, Equation (3)")</definedName>
    <definedName name="Scope3_Equations.VEERG_15_11_1_1__3_UpstreamStationaryFuelEmissions_Title">_xlfn.LAMBDA("Upstream emissions from scope 1 stationary combustion fuel use")</definedName>
    <definedName name="Scope3_Equations.VEERG_15_11_1_1__3_UpstreamStationaryFuelEmissions_Unit">_xlfn.LAMBDA("t CO2e")</definedName>
    <definedName name="Scope3_Equations.VEERG_15_11_1_1__3_UpstreamStationaryFuelEmissions_Variable">_xlfn.LAMBDA("E_WTTSCq")</definedName>
    <definedName name="Scope3_Equations.VEERG_15_11_1_1__3_UpstreamStationaryFuelEmissions_Variation">_xlfn.LAMBDA("VARIATION ON SOURCE: Added 'state' and 'metro/non-metro' arguments as gaseous scope 3 EFs are state and metro/non-metro location-based.")</definedName>
    <definedName name="Scope3_Equations.VEERG_15_12_1_1__1_UpstreamPurchasedElectricityLocationBased">_xlfn.LAMBDA(_xlpm.Q_elec,_xlpm.EF_3elec, (_xlpm.Q_elec * _xlpm.EF_3elec) * 10 ^ -3)</definedName>
    <definedName name="Scope3_Equations.VEERG_15_12_1_1__1_UpstreamPurchasedElectricityLocationBased_Arguments">_xlfn.LAMBDA(_xlfn.MAKEARRAY(3, 4, _xlfn.LAMBDA(_xlpm.r,_xlpm.c, INDEX({"Q_elec","amount of electricity purchased from the grid","kWh","Input";"EF_3elec","scope 3 emission factor for purchased electricity","kg CO2e/kWh","Constant";"g","grid electricity was purchased from","","Input"}, _xlpm.r, _xlpm.c))))</definedName>
    <definedName name="Scope3_Equations.VEERG_15_12_1_1__1_UpstreamPurchasedElectricityLocationBased_LatexEquation">_xlfn.LAMBDA("E_{3,elec}=Q_{elec}\times EF_{3,elec}\times 10^{-3}")</definedName>
    <definedName name="Scope3_Equations.VEERG_15_12_1_1__1_UpstreamPurchasedElectricityLocationBased_NIRReference">_xlfn.LAMBDA("")</definedName>
    <definedName name="Scope3_Equations.VEERG_15_12_1_1__1_UpstreamPurchasedElectricityLocationBased_Source">_xlfn.LAMBDA("VEERG 2026: 15.12.1.1, Equation (1)")</definedName>
    <definedName name="Scope3_Equations.VEERG_15_12_1_1__1_UpstreamPurchasedElectricityLocationBased_Title">_xlfn.LAMBDA("Scope 3 emissions from purchased electricity location based")</definedName>
    <definedName name="Scope3_Equations.VEERG_15_12_1_1__1_UpstreamPurchasedElectricityLocationBased_Unit">_xlfn.LAMBDA("t CO2e")</definedName>
    <definedName name="Scope3_Equations.VEERG_15_12_1_1__1_UpstreamPurchasedElectricityLocationBased_Variable">_xlfn.LAMBDA("E_3elec")</definedName>
    <definedName name="Scope3_Equations.VEERG_15_12_1_2__1_UpstreamPurchasedElectricityMarketBased">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_Arguments">_xlfn.LAMBDA(_xlfn.MAKEARRAY(7,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definedName>
    <definedName name="Scope3_Equations.VEERG_15_12_1_2__1_UpstreamPurchasedElectricityMarketBased_LatexEquation">_xlfn.LAMBDA("E_{3,elec}= [ Q_{elec}\times\left(1-(RPP+JRPP)\right)-\left\left((REC_{surrendered}-REC_{onsite}\right)\times 10^{-3}\right)\right]\times EF_{RMF3,elec}\times 10^{-3}")</definedName>
    <definedName name="Scope3_Equations.VEERG_15_12_1_2__1_UpstreamPurchasedElectricityMarketBased_LatexEquationVariation">_xlfn.LAMBDA("E_{3,elec}= [ Q_{elec}\times\left(1-(RPP+JRPP)\right)-\left\left((REC_{surrendered}-REC_{onsite}\right)\times 10^{3}\right)\right]\times EF_{RMF3,elec}\times 10^{-3}")</definedName>
    <definedName name="Scope3_Equations.VEERG_15_12_1_2__1_UpstreamPurchasedElectricityMarketBased_NIRReference">_xlfn.LAMBDA("")</definedName>
    <definedName name="Scope3_Equations.VEERG_15_12_1_2__1_UpstreamPurchasedElectricityMarketBased_Source">_xlfn.LAMBDA("VEERG 2026: 15.12.1.2, Equation (1)")</definedName>
    <definedName name="Scope3_Equations.VEERG_15_12_1_2__1_UpstreamPurchasedElectricityMarketBased_Title">_xlfn.LAMBDA("Scope 3 emissions from purchased electricity market based")</definedName>
    <definedName name="Scope3_Equations.VEERG_15_12_1_2__1_UpstreamPurchasedElectricityMarketBased_Unit">_xlfn.LAMBDA("t CO2e")</definedName>
    <definedName name="Scope3_Equations.VEERG_15_12_1_2__1_UpstreamPurchasedElectricityMarketBased_Variable">_xlfn.LAMBDA("E_3elec")</definedName>
    <definedName name="Scope3_Equations.VEERG_15_12_1_2__1_UpstreamPurchasedElectricityMarketBased_Variation">_xlfn.LAMBDA("VARIATION ON SOURCE: In order to convert megawatt hours to kilowatt hours, the REC_surrendered and REC_onsite variables are multiplied by 10^3 instead of 10^-3.")</definedName>
    <definedName name="Scope3_Equations.VEERG_15_12_1_2__1_UpstreamPurchasedElectricityMarketBasedVariation">_xlfn.LAMBDA(_xlpm.Q_elec,_xlpm.RPP,_xlpm.JRPP,_xlpm.REC_surrendered,_xlpm.REC_onsite,_xlpm.EF_RMF3elec, ((_xlpm.Q_elec * (1 - (_xlpm.RPP + _xlpm.JRPP))) - ((_xlpm.REC_surrendered - _xlpm.REC_onsite) * 10 ^ 3)) * _xlpm.EF_RMF3elec * 10 ^ -3)</definedName>
    <definedName name="Scope3_Equations.VEERG_15_13_1_1__1_EmissionsFromManureSentOffSite">_xlfn.LAMBDA(_xlpm.E_N2O,_xlpm.E_ad,_xlpm.E_leach, _xlpm.E_N2O + _xlpm.E_ad + _xlpm.E_leach)</definedName>
    <definedName name="Scope3_Equations.VEERG_15_13_1_1__1_EmissionsFromManureSentOffSite_Arguments">_xlfn.LAMBDA(_xlfn.MAKEARRAY(3, 4, _xlfn.LAMBDA(_xlpm.r,_xlpm.c, INDEX({"E_N2O","direct nitrous oxide emissions from application of manure to soils outside of scope 1 boundary","t N2O","Calculated";"E_ad","nitrous oxide emissions from atmospheric deposition of manure to soils","t N2O","Calculated";"E_leach","nitrous oxide emissions from nitrogen leaching and runoff of manure to soils","t N2O","Calculated"}, _xlpm.r, _xlpm.c))))</definedName>
    <definedName name="Scope3_Equations.VEERG_15_13_1_1__1_EmissionsFromManureSentOffSite_LatexEquation">_xlfn.LAMBDA("E=E_{N2O}+E_{ad}+E_{leach}")</definedName>
    <definedName name="Scope3_Equations.VEERG_15_13_1_1__1_EmissionsFromManureSentOffSite_NIRReference">_xlfn.LAMBDA("")</definedName>
    <definedName name="Scope3_Equations.VEERG_15_13_1_1__1_EmissionsFromManureSentOffSite_Source">_xlfn.LAMBDA("VEERG 2026: 15.13.1.1, Equation (1)")</definedName>
    <definedName name="Scope3_Equations.VEERG_15_13_1_1__1_EmissionsFromManureSentOffSite_Title">_xlfn.LAMBDA("Emissions from manure sent off site applied to soils in another farming system or enterprise")</definedName>
    <definedName name="Scope3_Equations.VEERG_15_13_1_1__1_EmissionsFromManureSentOffSite_Unit">_xlfn.LAMBDA("t N2O")</definedName>
    <definedName name="Scope3_Equations.VEERG_15_13_1_1__1_EmissionsFromManureSentOffSite_Variable">_xlfn.LAMBDA("E")</definedName>
    <definedName name="Scope3_Equations.VEERG_15_13_1_3__1_EmissionsFromSolidWasteTreatmentFacility">_xlfn.LAMBDA(_xlpm.E_N2O,_xlpm.E_ad,_xlpm.E_leach, _xlpm.E_N2O + _xlpm.E_ad + _xlpm.E_leach)</definedName>
    <definedName name="Scope3_Equations.VEERG_15_13_1_3__1_EmissionsFromSolidWasteTreatmentFacility_Arguments">_xlfn.LAMBDA("")</definedName>
    <definedName name="Scope3_Equations.VEERG_15_13_1_3__1_EmissionsFromSolidWasteTreatmentFacility_LatexEquation">_xlfn.LAMBDA("")</definedName>
    <definedName name="Scope3_Equations.VEERG_15_13_1_3__1_EmissionsFromSolidWasteTreatmentFacility_NIRReference">_xlfn.LAMBDA("")</definedName>
    <definedName name="Scope3_Equations.VEERG_15_13_1_3__1_EmissionsFromSolidWasteTreatmentFacility_Source">_xlfn.LAMBDA("VEERG 2026: 15.13.1.3")</definedName>
    <definedName name="Scope3_Equations.VEERG_15_13_1_3__1_EmissionsFromSolidWasteTreatmentFacility_Title">_xlfn.LAMBDA("Emissions from solid waste sent to a treatment facility")</definedName>
    <definedName name="Scope3_Equations.VEERG_15_13_1_3__1_EmissionsFromSolidWasteTreatmentFacility_Unit">_xlfn.LAMBDA("t CO2e")</definedName>
    <definedName name="Scope3_Equations.VEERG_15_13_1_3__1_EmissionsFromSolidWasteTreatmentFacility_Variable">_xlfn.LAMBDA("E")</definedName>
    <definedName name="Scope3_Equations.VEERG_15_14_1_1__1_EmbeddedEmissionsFromUpstreamFreight">_xlfn.LAMBDA(_xlpm.W_f,_xlpm.D_f,_xlpm.EF_f, (_xlpm.W_f * _xlpm.D_f) * _xlpm.EF_f)</definedName>
    <definedName name="Scope3_Equations.VEERG_15_14_1_1__1_EmbeddedEmissionsFromUpstreamFreight_Arguments">_xlfn.LAMBDA(_xlfn.MAKEARRAY(4, 4, _xlfn.LAMBDA(_xlpm.r,_xlpm.c, INDEX({"W_f","total mass of goods transported per freight type f","t","Input";"D_f","total distance transported per freight type f","km","Input";"EF_f","emission factor for freight type f","t CO2e/(t km)","Constant";"f","freight type","","Input"}, _xlpm.r, _xlpm.c))))</definedName>
    <definedName name="Scope3_Equations.VEERG_15_14_1_1__1_EmbeddedEmissionsFromUpstreamFreight_LatexEquation">_xlfn.LAMBDA("E=\sum\nolimits_f\left((W_f\times D_f)\times EF_f\right)")</definedName>
    <definedName name="Scope3_Equations.VEERG_15_14_1_1__1_EmbeddedEmissionsFromUpstreamFreight_NIRReference">_xlfn.LAMBDA("")</definedName>
    <definedName name="Scope3_Equations.VEERG_15_14_1_1__1_EmbeddedEmissionsFromUpstreamFreight_Source">_xlfn.LAMBDA("VEERG 2026: 15.14.1.1, Equation (1)")</definedName>
    <definedName name="Scope3_Equations.VEERG_15_14_1_1__1_EmbeddedEmissionsFromUpstreamFreight_Title">_xlfn.LAMBDA("Embedded emissions from upstream freight")</definedName>
    <definedName name="Scope3_Equations.VEERG_15_14_1_1__1_EmbeddedEmissionsFromUpstreamFreight_Unit">_xlfn.LAMBDA("t CO2e")</definedName>
    <definedName name="Scope3_Equations.VEERG_15_14_1_1__1_EmbeddedEmissionsFromUpstreamFreight_Variable">_xlfn.LAMBDA("E")</definedName>
    <definedName name="Scope3_Equations.VEERG_15_2_1_1__1_EmissionsFromPurchasedFeed">_xlfn.LAMBDA(_xlpm.Q_j,_xlpm.EF_j, _xlpm.Q_j * _xlpm.EF_j)</definedName>
    <definedName name="Scope3_Equations.VEERG_15_2_1_1__1_EmissionsFromPurchasedFeed_Arguments">_xlfn.LAMBDA(_xlfn.MAKEARRAY(3, 4, _xlfn.LAMBDA(_xlpm.r,_xlpm.c, INDEX({"Q_j","quantity of feed type j purchased","t","Input";"EF_j","emission factor of purchased feed","kg CO2e/kg","Constant";"j","feed type","","Input"}, _xlpm.r, _xlpm.c))))</definedName>
    <definedName name="Scope3_Equations.VEERG_15_2_1_1__1_EmissionsFromPurchasedFeed_LatexEquation">_xlfn.LAMBDA("E=\sum\nolimits_j\left(Q_j\times EF_j\right)")</definedName>
    <definedName name="Scope3_Equations.VEERG_15_2_1_1__1_EmissionsFromPurchasedFeed_NIRReference">_xlfn.LAMBDA("")</definedName>
    <definedName name="Scope3_Equations.VEERG_15_2_1_1__1_EmissionsFromPurchasedFeed_Source">_xlfn.LAMBDA("VEERG 2026: 15.2.1.1, Equation (1)")</definedName>
    <definedName name="Scope3_Equations.VEERG_15_2_1_1__1_EmissionsFromPurchasedFeed_Title">_xlfn.LAMBDA("Emissions from purchased feed")</definedName>
    <definedName name="Scope3_Equations.VEERG_15_2_1_1__1_EmissionsFromPurchasedFeed_Unit">_xlfn.LAMBDA("t CO2e")</definedName>
    <definedName name="Scope3_Equations.VEERG_15_2_1_1__1_EmissionsFromPurchasedFeed_Variable">_xlfn.LAMBDA("E")</definedName>
    <definedName name="Scope3_Equations.VEERG_15_3_1_1__1_EmissionsFromPurchasedMineralSupplements">_xlfn.LAMBDA(_xlpm.Q_m,_xlpm.EF_m, _xlpm.Q_m * _xlpm.EF_m)</definedName>
    <definedName name="Scope3_Equations.VEERG_15_3_1_1__1_EmissionsFromPurchasedMineralSupplements_Arguments">_xlfn.LAMBDA(_xlfn.MAKEARRAY(3, 4, _xlfn.LAMBDA(_xlpm.r,_xlpm.c, INDEX({"Q_m","total quantity of mineral supplement type m used","t","Input";"EF_m","emission factor of purchased mineral supplement","kg CO2e/kg","Constant";"m","mineral supplement type","","Input"}, _xlpm.r, _xlpm.c))))</definedName>
    <definedName name="Scope3_Equations.VEERG_15_3_1_1__1_EmissionsFromPurchasedMineralSupplements_LatexEquation">_xlfn.LAMBDA("E=\sum\nolimits_m\left(Q_m\times EF_m\right)")</definedName>
    <definedName name="Scope3_Equations.VEERG_15_3_1_1__1_EmissionsFromPurchasedMineralSupplements_NIRReference">_xlfn.LAMBDA("")</definedName>
    <definedName name="Scope3_Equations.VEERG_15_3_1_1__1_EmissionsFromPurchasedMineralSupplements_Source">_xlfn.LAMBDA("VEERG 2026: 15.3.1.1, Equation (1)")</definedName>
    <definedName name="Scope3_Equations.VEERG_15_3_1_1__1_EmissionsFromPurchasedMineralSupplements_Title">_xlfn.LAMBDA("Total emissions from purchased mineral supplements")</definedName>
    <definedName name="Scope3_Equations.VEERG_15_3_1_1__1_EmissionsFromPurchasedMineralSupplements_Unit">_xlfn.LAMBDA("t CO2e")</definedName>
    <definedName name="Scope3_Equations.VEERG_15_3_1_1__1_EmissionsFromPurchasedMineralSupplements_Variable">_xlfn.LAMBDA("E")</definedName>
    <definedName name="Scope3_Equations.VEERG_15_4_1_1__1_EmissionsFromPurchasedFertiliser">_xlfn.LAMBDA(_xlpm.TM_jf,_xlpm.EF_f, (_xlpm.TM_jf * _xlpm.EF_f) * 10 ^ -3)</definedName>
    <definedName name="Scope3_Equations.VEERG_15_4_1_1__1_EmissionsFromPurchasedFertiliser_Arguments">_xlfn.LAMBDA(_xlfn.MAKEARRAY(4, 4, _xlfn.LAMBDA(_xlpm.r,_xlpm.c, INDEX({"TM_jf","quantity of inorganic fertiliser type f purchased and applied to production system j","kg","Input";"EF_f","emission factor of purchased inorganic fertiliser","kg CO2e/kg","Constant";"j","production system","","Input";"f","inorganic fertiliser type","","Input"}, _xlpm.r, _xlpm.c))))</definedName>
    <definedName name="Scope3_Equations.VEERG_15_4_1_1__1_EmissionsFromPurchasedFertiliser_LatexEquation">_xlfn.LAMBDA("E=\sum\nolimits_f\sum\nolimits_j\left(TM_{jf}\times EF_f\right)\times 10^{-3}")</definedName>
    <definedName name="Scope3_Equations.VEERG_15_4_1_1__1_EmissionsFromPurchasedFertiliser_NIRReference">_xlfn.LAMBDA("")</definedName>
    <definedName name="Scope3_Equations.VEERG_15_4_1_1__1_EmissionsFromPurchasedFertiliser_Source">_xlfn.LAMBDA("VEERG 2026: 15.4.1.1, Equation (1)")</definedName>
    <definedName name="Scope3_Equations.VEERG_15_4_1_1__1_EmissionsFromPurchasedFertiliser_Title">_xlfn.LAMBDA("Emissions from purchased fertiliser")</definedName>
    <definedName name="Scope3_Equations.VEERG_15_4_1_1__1_EmissionsFromPurchasedFertiliser_Unit">_xlfn.LAMBDA("t CO2e")</definedName>
    <definedName name="Scope3_Equations.VEERG_15_4_1_1__1_EmissionsFromPurchasedFertiliser_Variable">_xlfn.LAMBDA("E")</definedName>
    <definedName name="Scope3_Equations.VEERG_15_4_1_1__2_EmissionsFromPurchasedFertiliserComponents">_xlfn.LAMBDA(_xlpm.F_cf,_xlpm.TM_jf,_xlpm.EF_c, ((_xlpm.F_cf * _xlpm.TM_jf) / 100) * _xlpm.EF_c)</definedName>
    <definedName name="Scope3_Equations.VEERG_15_4_1_1__2_EmissionsFromPurchasedFertiliserComponents_Arguments">_xlfn.LAMBDA(_xlfn.MAKEARRAY(6, 4, _xlfn.LAMBDA(_xlpm.r,_xlpm.c, INDEX({"F_cf","fraction of component c contained within the inorganic fertiliser f","wt%","Input";"TM_jf","quantity of inorganic fertiliser type f purchased and applied to production system j","kg","Input";"EF_c","emission factor for the production of component c","kg CO2e/kg component","Constant";"c","fertiliser component","","Input";"f","inorganic fertiliser type","","Input";"j","production system","","Input"}, _xlpm.r, _xlpm.c))))</definedName>
    <definedName name="Scope3_Equations.VEERG_15_4_1_1__2_EmissionsFromPurchasedFertiliserComponents_LatexEquation">_xlfn.LAMBDA("E=\sum\nolimits_f\sum\nolimits_c\sum\nolimits_j\left(\frac{F_{cf}\times TM_{jf}}{100}\times EF_c\right)")</definedName>
    <definedName name="Scope3_Equations.VEERG_15_4_1_1__2_EmissionsFromPurchasedFertiliserComponents_LatexEquationVariation">_xlfn.LAMBDA("E=\sum\nolimits_f\sum\nolimits_c\sum\nolimits_j\left(F_{cf}\times TM_{jf}\times EF_c\right)\times 10^{-3}")</definedName>
    <definedName name="Scope3_Equations.VEERG_15_4_1_1__2_EmissionsFromPurchasedFertiliserComponents_NIRReference">_xlfn.LAMBDA("")</definedName>
    <definedName name="Scope3_Equations.VEERG_15_4_1_1__2_EmissionsFromPurchasedFertiliserComponents_Source">_xlfn.LAMBDA("VEERG 2026: 15.4.1.1, Equation (2)")</definedName>
    <definedName name="Scope3_Equations.VEERG_15_4_1_1__2_EmissionsFromPurchasedFertiliserComponents_Title">_xlfn.LAMBDA("Emissions from purchased fertiliser components")</definedName>
    <definedName name="Scope3_Equations.VEERG_15_4_1_1__2_EmissionsFromPurchasedFertiliserComponents_Unit">_xlfn.LAMBDA("t CO2e")</definedName>
    <definedName name="Scope3_Equations.VEERG_15_4_1_1__2_EmissionsFromPurchasedFertiliserComponents_Variable">_xlfn.LAMBDA("E")</definedName>
    <definedName name="Scope3_Equations.VEERG_15_4_1_1__2_EmissionsFromPurchasedFertiliserComponents_Variation">_xlfn.LAMBDA("VARIATION ON SOURCE: removes division by 100 for F_cf, treating F_cf as fraction instead of percent because it is a fraction in scope 1 equations. Convert kg to tonnes by mutiplying by 10^-3.")</definedName>
    <definedName name="Scope3_Equations.VEERG_15_4_1_1__2_EmissionsFromPurchasedFertiliserComponentsVariation">_xlfn.LAMBDA(_xlpm.F_cf,_xlpm.TM_jf,_xlpm.EF_c, (_xlpm.F_cf * _xlpm.TM_jf) * _xlpm.EF_c * 10 ^ -3)</definedName>
    <definedName name="Scope3_Equations.VEERG_15_4_1_1__X_EmissionFactorFromPurchasedFertiliserComponents">_xlfn.LAMBDA(_xlpm.F_cf,_xlpm.EF_c, _xlpm.F_cf * _xlpm.EF_c)</definedName>
    <definedName name="Scope3_Equations.VEERG_15_4_1_1__X_EmissionFactorFromPurchasedFertiliserComponents_Arguments">_xlfn.LAMBDA(_xlfn.MAKEARRAY(4, 4, _xlfn.LAMBDA(_xlpm.r,_xlpm.c, INDEX({"F_cf","fraction of component c contained within the inorganic fertiliser f","wt%","Input";"EF_c","emission factor for the production of component c","kg CO2e/kg component","Constant";"c","fertiliser component","","Input";"f","inorganic fertiliser type","","Input"}, _xlpm.r, _xlpm.c))))</definedName>
    <definedName name="Scope3_Equations.VEERG_15_4_1_1__X_EmissionFactorFromPurchasedFertiliserComponents_LatexEquation">_xlfn.LAMBDA("EF_f=\sum\nolimits_c\left(F_{cf}\times EF_c\right)")</definedName>
    <definedName name="Scope3_Equations.VEERG_15_4_1_1__X_EmissionFactorFromPurchasedFertiliserComponents_NIRReference">_xlfn.LAMBDA("")</definedName>
    <definedName name="Scope3_Equations.VEERG_15_4_1_1__X_EmissionFactorFromPurchasedFertiliserComponents_Source">_xlfn.LAMBDA("GAF")</definedName>
    <definedName name="Scope3_Equations.VEERG_15_4_1_1__X_EmissionFactorFromPurchasedFertiliserComponents_Title">_xlfn.LAMBDA("Emission factor for fertiliser product derived from components")</definedName>
    <definedName name="Scope3_Equations.VEERG_15_4_1_1__X_EmissionFactorFromPurchasedFertiliserComponents_Unit">_xlfn.LAMBDA("kg CO2e/kg fertiliser")</definedName>
    <definedName name="Scope3_Equations.VEERG_15_4_1_1__X_EmissionFactorFromPurchasedFertiliserComponents_Variable">_xlfn.LAMBDA("EF_f")</definedName>
    <definedName name="Scope3_Equations.VEERG_15_4_1_1__X_EmissionFactorFromPurchasedFertiliserComponents_Variation">_xlfn.LAMBDA("VARIATION ON SOURCE: This equation is added to calculate an EF value from fertiliser components that can be used in 15.4.1.1 (1)")</definedName>
    <definedName name="Scope3_Equations.VEERG_15_5_1_1__1_EmissionsFromPurchasedAgrichemicals">_xlfn.LAMBDA(_xlpm.Q_h,_xlpm.EF_h, (_xlpm.Q_h * _xlpm.EF_h) * 10 ^ -3)</definedName>
    <definedName name="Scope3_Equations.VEERG_15_5_1_1__1_EmissionsFromPurchasedAgrichemicals_Arguments">_xlfn.LAMBDA(_xlfn.MAKEARRAY(3, 4, _xlfn.LAMBDA(_xlpm.r,_xlpm.c, INDEX({"Q_h","quantity of active ingredients in agrichemical type h purchased and applied to soils","kg ai","Input";"EF_h","emission factor for purchased agrichemical active ingredient","kg CO2e/kg ai","Constant";"h","agrichemical type","","Input"}, _xlpm.r, _xlpm.c))))</definedName>
    <definedName name="Scope3_Equations.VEERG_15_5_1_1__1_EmissionsFromPurchasedAgrichemicals_LatexEquation">_xlfn.LAMBDA("E=\sum\nolimits_h\left(Q_h\times EF_h\right)\times 10^{-3}")</definedName>
    <definedName name="Scope3_Equations.VEERG_15_5_1_1__1_EmissionsFromPurchasedAgrichemicals_NIRReference">_xlfn.LAMBDA("")</definedName>
    <definedName name="Scope3_Equations.VEERG_15_5_1_1__1_EmissionsFromPurchasedAgrichemicals_Source">_xlfn.LAMBDA("VEERG 2026: 15.5.1.1, Equation (1)")</definedName>
    <definedName name="Scope3_Equations.VEERG_15_5_1_1__1_EmissionsFromPurchasedAgrichemicals_Title">_xlfn.LAMBDA("Total emissions from purchased agrichemicals")</definedName>
    <definedName name="Scope3_Equations.VEERG_15_5_1_1__1_EmissionsFromPurchasedAgrichemicals_Unit">_xlfn.LAMBDA("t CO2e")</definedName>
    <definedName name="Scope3_Equations.VEERG_15_5_1_1__1_EmissionsFromPurchasedAgrichemicals_Variable">_xlfn.LAMBDA("E")</definedName>
    <definedName name="Scope3_Equations.VEERG_15_6_1_1__1_EmissionsFromPurchasedLime">_xlfn.LAMBDA(_xlpm.M_lime,_xlpm.EF_l, _xlpm.M_lime * _xlpm.EF_l)</definedName>
    <definedName name="Scope3_Equations.VEERG_15_6_1_1__1_EmissionsFromPurchasedLime_Arguments">_xlfn.LAMBDA(_xlfn.MAKEARRAY(2, 4, _xlfn.LAMBDA(_xlpm.r,_xlpm.c, INDEX({"M_lime","total quantity of lime applied to soils","t","Input";"EF_l","emission factor for purchased lime","t CO2e/t","Constant"}, _xlpm.r, _xlpm.c))))</definedName>
    <definedName name="Scope3_Equations.VEERG_15_6_1_1__1_EmissionsFromPurchasedLime_LatexEquation">_xlfn.LAMBDA("E=M_{lime}\times EF_l")</definedName>
    <definedName name="Scope3_Equations.VEERG_15_6_1_1__1_EmissionsFromPurchasedLime_NIRReference">_xlfn.LAMBDA("")</definedName>
    <definedName name="Scope3_Equations.VEERG_15_6_1_1__1_EmissionsFromPurchasedLime_Source">_xlfn.LAMBDA("VEERG 2026: 15.6.1.1, Equation (1)")</definedName>
    <definedName name="Scope3_Equations.VEERG_15_6_1_1__1_EmissionsFromPurchasedLime_Title">_xlfn.LAMBDA("Embedded emissions for purchased lime")</definedName>
    <definedName name="Scope3_Equations.VEERG_15_6_1_1__1_EmissionsFromPurchasedLime_Unit">_xlfn.LAMBDA("t CO2e")</definedName>
    <definedName name="Scope3_Equations.VEERG_15_6_1_1__1_EmissionsFromPurchasedLime_Variable">_xlfn.LAMBDA("E")</definedName>
    <definedName name="Scope3_Equations.VEERG_15_7_1_1__1_EmissionsFromPurchasedServices">_xlfn.LAMBDA(_xlpm.A_p,_xlpm.EF_p, (_xlpm.A_p * _xlpm.EF_p) * 10 ^ -3)</definedName>
    <definedName name="Scope3_Equations.VEERG_15_7_1_1__1_EmissionsFromPurchasedServices_Arguments">_xlfn.LAMBDA(_xlfn.MAKEARRAY(3, 4, _xlfn.LAMBDA(_xlpm.r,_xlpm.c, INDEX({"A_p","activity data of the service that was purchased","ha or h","Input";"EF_p","life cycle emission factor for the purchased service","kg CO2e/ha or kg CO2e/h","Constant";"p","service type","","Input"}, _xlpm.r, _xlpm.c))))</definedName>
    <definedName name="Scope3_Equations.VEERG_15_7_1_1__1_EmissionsFromPurchasedServices_LatexEquation">_xlfn.LAMBDA("E=\sum\nolimits_p\left(A_p\times EF_p\right)\times 10^{-3}")</definedName>
    <definedName name="Scope3_Equations.VEERG_15_7_1_1__1_EmissionsFromPurchasedServices_NIRReference">_xlfn.LAMBDA("")</definedName>
    <definedName name="Scope3_Equations.VEERG_15_7_1_1__1_EmissionsFromPurchasedServices_Source">_xlfn.LAMBDA("VEERG 2026: 15.7.1.1, Equation (1)")</definedName>
    <definedName name="Scope3_Equations.VEERG_15_7_1_1__1_EmissionsFromPurchasedServices_Title">_xlfn.LAMBDA("Emissions of purchased services and contractor operations")</definedName>
    <definedName name="Scope3_Equations.VEERG_15_7_1_1__1_EmissionsFromPurchasedServices_Unit">_xlfn.LAMBDA("t CO2e")</definedName>
    <definedName name="Scope3_Equations.VEERG_15_7_1_1__1_EmissionsFromPurchasedServices_Variable">_xlfn.LAMBDA("E")</definedName>
    <definedName name="Scope3_Equations.VEERG_15_8_1_1__1_EmissionsFromPurchasedPackaging">_xlfn.LAMBDA(_xlpm.Q_p,_xlpm.EF_p, (_xlpm.Q_p * _xlpm.EF_p) * 10 ^ -3)</definedName>
    <definedName name="Scope3_Equations.VEERG_15_8_1_1__1_EmissionsFromPurchasedPackaging_Arguments">_xlfn.LAMBDA(_xlfn.MAKEARRAY(3, 4, _xlfn.LAMBDA(_xlpm.r,_xlpm.c, INDEX({"Q_p","units of packaging type p","units","Input";"EF_p","emission factor for packaging type p","kg CO2e/unit","Constant";"p","packaging type","","Input"}, _xlpm.r, _xlpm.c))))</definedName>
    <definedName name="Scope3_Equations.VEERG_15_8_1_1__1_EmissionsFromPurchasedPackaging_LatexEquation">_xlfn.LAMBDA("E=\sum\nolimits_p\left(Q_p\times EF_p\right)\times 10^{-3}")</definedName>
    <definedName name="Scope3_Equations.VEERG_15_8_1_1__1_EmissionsFromPurchasedPackaging_NIRReference">_xlfn.LAMBDA("")</definedName>
    <definedName name="Scope3_Equations.VEERG_15_8_1_1__1_EmissionsFromPurchasedPackaging_Source">_xlfn.LAMBDA("VEERG 2026: 15.8.1.1, Equation (1)")</definedName>
    <definedName name="Scope3_Equations.VEERG_15_8_1_1__1_EmissionsFromPurchasedPackaging_Title">_xlfn.LAMBDA("Embedded emissions from use of packaging materials")</definedName>
    <definedName name="Scope3_Equations.VEERG_15_8_1_1__1_EmissionsFromPurchasedPackaging_Unit">_xlfn.LAMBDA("t CO2e")</definedName>
    <definedName name="Scope3_Equations.VEERG_15_8_1_1__1_EmissionsFromPurchasedPackaging_Variable">_xlfn.LAMBDA("E")</definedName>
    <definedName name="Scope3_Equations.VEERG_15_8_1_1__1_EmissionsFromPurchasedPackaging_Variation">_xlfn.LAMBDA("VARIATION ON SOURCE: Changed unit of Q from 'units' to 'kg' as EF data is in kg.")</definedName>
    <definedName name="Scope3_Equations.VEERG_15_9_1_1__1_EmissionsFromPurchasedGrowMedia">_xlfn.LAMBDA(_xlpm.Q_g,_xlpm.EF_g, (_xlpm.Q_g * _xlpm.EF_g) * 10 ^ -3)</definedName>
    <definedName name="Scope3_Equations.VEERG_15_9_1_1__1_EmissionsFromPurchasedGrowMedia_Arguments">_xlfn.LAMBDA(_xlfn.MAKEARRAY(3, 4, _xlfn.LAMBDA(_xlpm.r,_xlpm.c, INDEX({"Q_g","total quantity of grow media type g","kg or m3","Input";"EF_g","emission factor for grow media type g","kg CO2e/kg or kg CO2e/m3","Constant";"g","grow media type","","Input"}, _xlpm.r, _xlpm.c))))</definedName>
    <definedName name="Scope3_Equations.VEERG_15_9_1_1__1_EmissionsFromPurchasedGrowMedia_LatexEquation">_xlfn.LAMBDA("E=\sum\nolimits_g\left(Q_g\times EF_g\right)\times 10^{-3}")</definedName>
    <definedName name="Scope3_Equations.VEERG_15_9_1_1__1_EmissionsFromPurchasedGrowMedia_NIRReference">_xlfn.LAMBDA("")</definedName>
    <definedName name="Scope3_Equations.VEERG_15_9_1_1__1_EmissionsFromPurchasedGrowMedia_Source">_xlfn.LAMBDA("VEERG 2026: 15.9.1.1, Equation (1)")</definedName>
    <definedName name="Scope3_Equations.VEERG_15_9_1_1__1_EmissionsFromPurchasedGrowMedia_Title">_xlfn.LAMBDA("Embedded emissions from use of grow media products")</definedName>
    <definedName name="Scope3_Equations.VEERG_15_9_1_1__1_EmissionsFromPurchasedGrowMedia_Unit">_xlfn.LAMBDA("t CO2e")</definedName>
    <definedName name="Scope3_Equations.VEERG_15_9_1_1__1_EmissionsFromPurchasedGrowMedia_Variable">_xlfn.LAMBDA("E")</definedName>
    <definedName name="Scope3_InputFunctions.GetLiveweight_PastureBeef">_xlfn.LAMBDA(_xlpm.PurchaseDate,_xlpm.LivestockClass,_xlpm.SourceRegion,_xlpm.SourceRegionLeftArray,_xlpm.SourceRegionRightArray,_xlpm.SeasonArray,_xlpm.LivestockClassArray,_xlpm.LiveweightArray, _xlfn.LET(_xlpm.Season, _xlfn.IFS(MONTH(_xlpm.PurchaseDate) &lt;= 2, "Summer", MONTH(_xlpm.PurchaseDate) &lt;= 5, "Autumn", MONTH(_xlpm.PurchaseDate) &lt;= 8, "Winter", MONTH(_xlpm.PurchaseDate) &lt;= 11, "Spring", MONTH(_xlpm.PurchaseDate) = 12, "Summer"), _xlpm.SourceRegionRight, IF(ISNUMBER(FIND(" - ", _xlpm.SourceRegion)), MID(_xlpm.SourceRegion, FIND(" - ", _xlpm.SourceRegion) + 3, LEN(_xlpm.SourceRegion)), "n/a"), _xlpm.SourceRegionLeft, IF(ISNUMBER(FIND(" - ", _xlpm.SourceRegion)), LEFT(_xlpm.SourceRegion, FIND(" - ", _xlpm.SourceRegion) - 1), _xlpm.SourceRegion), IFERROR(_xlfn.XLOOKUP(1, (_xlpm.SourceRegionLeftArray = _xlpm.SourceRegionLeft) * (_xlpm.SourceRegionRightArray = _xlpm.SourceRegionRight) * (_xlpm.SeasonArray = _xlpm.Season), _xlfn.XLOOKUP(_xlpm.LivestockClass, _xlpm.LivestockClassArray, _xlpm.LiveweightArray, 0), 0), 0)))</definedName>
    <definedName name="Scope3_SourceData.Scope3_Chemicals_Data">_xlfn.LAMBDA(_xlfn.MAKEARRAY(8, 7, _xlfn.LAMBDA(_xlpm.r,_xlpm.c, INDEX({"Category","Sub-category","Product name","Region of origin","Product Unit","GHG emission intensity","System boundary";"Chemicals","Cleaning chemicals","Alkaline cleaner","Global","kg",0.722,"at manufacturer";"Chemicals","Cleaning chemicals","Bleach","Global","kg",0.804,"at manufacturer";"Chemicals","Cleaning chemicals","Phosphoric acid","Global","kg",0.907,"at manufacturer";"Chemicals","Pharmacy chemicals","Parasite control for cattle (external), dipping","Global","p (head)",0.0547,"at manufacturer";"Chemicals","Pharmacy chemicals","Parasite control for cattle (internal)","Global","p (head)",0.0142,"at manufacturer";"Chemicals","Pharmacy chemicals","Parasite control for sheep (external)","Global","p (head)",0.0143,"at manufacturer";"Chemicals","Pharmacy chemicals","Parasite control for sheep (internal)","Global","p (head)",0.00426,"at manufacturer"}, _xlpm.r, _xlpm.c))))</definedName>
    <definedName name="Scope3_SourceData.Scope3_Chemicals_Source">_xlfn.LAMBDA(("Lifecycles. (2026). Greenhouse Gas Emission Intensities for Material Inputs to Australian Agriculture, Fisheries and Forestry. Version 48. doi 10.5281/zenodo.19656580"))</definedName>
    <definedName name="Scope3_SourceData.Scope3_Chemicals_Title">_xlfn.LAMBDA(("Chemicals scope 3"))</definedName>
    <definedName name="Scope3_SourceData.Scope3_Chemicals_Variation">_xlfn.LAMBDA((""))</definedName>
    <definedName name="Scope3_SourceData.Scope3_Feed_Data">_xlfn.LAMBDA(_xlfn.MAKEARRAY(78, 7, _xlfn.LAMBDA(_xlpm.r,_xlpm.c, INDEX({"Category","Sub-category","Product name","Region of origin","Product Unit","GHG emission intensity","System boundary";"Feed","Aquaculture feed","Sardines (whole)","SA","kg",0.376,"at market";"Feed","Grain","Barley grain","Australia","kg",0.239,"at market";"Feed","Grain","Barley grain","NSW","kg",0.256,"at market";"Feed","Grain","Barley grain","NT","kg",0.332,"at market";"Feed","Grain","Barley grain","QLD","kg",0.269,"at market";"Feed","Grain","Barley grain","SA","kg",0.223,"at market";"Feed","Grain","Barley grain","TAS","kg",0.307,"at market";"Feed","Grain","Barley grain","VIC","kg",0.241,"at market";"Feed","Grain","Barley grain","WA","kg",0.236,"at market";"Feed","Grain","Maize grain","Australia","kg",0.181,"at market";"Feed","Grain","Maize grain","NSW","kg",0.169,"at market";"Feed","Grain","Maize grain","NT","kg",0.256,"at market";"Feed","Grain","Maize grain","QLD","kg",0.186,"at market";"Feed","Grain","Maize grain","SA","kg",0.176,"at market";"Feed","Grain","Maize grain","VIC","kg",0.159,"at market";"Feed","Grain","Maize grain","WA","kg",0.285,"at market";"Feed","Grain","Sorghum grain","Australia","kg",0.232,"at market";"Feed","Grain","Sorghum grain","NSW","kg",0.232,"at market";"Feed","Grain","Sorghum grain","QLD","kg",0.231,"at market";"Feed","Grain","Sorghum grain","SA","kg",0.218,"at market";"Feed","Grain","Sorghum grain","VIC","kg",0.246,"at market";"Feed","Grain","Wheat grain","Australia","kg",0.268,"at market";"Feed","Grain","Wheat grain","NSW","kg",0.282,"at market";"Feed","Grain","Wheat grain","NT","kg",0.385,"at market";"Feed","Grain","Wheat grain","QLD","kg",0.296,"at market";"Feed","Grain","Wheat grain","SA","kg",0.241,"at market";"Feed","Grain","Wheat grain","TAS","kg",0.338,"at market";"Feed","Grain","Wheat grain","VIC","kg",0.266,"at market";"Feed","Grain","Wheat grain","WA","kg",0.261,"at market";"Feed","Hay","Cereal hay","Australia","kg",0.117,"at market";"Feed","Hay","Cereal hay","NSW","kg",0.116,"at market";"Feed","Hay","Cereal hay","QLD","kg",0.118,"at market";"Feed","Hay","Cereal hay","SA","kg",0.111,"at market";"Feed","Hay","Cereal hay","TAS","kg",0.139,"at market";"Feed","Hay","Cereal hay","VIC","kg",0.116,"at market";"Feed","Hay","Cereal hay","WA","kg",0.122,"at market";"Feed","Hay","Cereal silage","Australia","kg",0.0744,"at market";"Feed","Hay","Cereal silage","NSW","kg",0.0739,"at market";"Feed","Hay","Cereal silage","QLD","kg",0.079,"at market";"Feed","Hay","Cereal silage","SA","kg",0.0706,"at market";"Feed","Hay","Cereal silage","TAS","kg",0.0808,"at market";"Feed","Hay","Cereal silage","VIC","kg",0.0736,"at market";"Feed","Hay","Lucerne hay","Australia","kg",0.117,"at market";"Feed","Hay","Lucerne hay","NSW","kg",0.113,"at market";"Feed","Hay","Lucerne hay","QLD","kg",0.143,"at market";"Feed","Hay","Lucerne hay","SA","kg",0.106,"at market";"Feed","Hay","Lucerne hay","TAS","kg",0.113,"at market";"Feed","Hay","Lucerne hay","VIC","kg",0.106,"at market";"Feed","Hay","Maize silage","VIC","kg",0.163,"at market";"Feed","Hay","Oaten hay","Australia","kg",0.12,"at market";"Feed","Hay","Oaten hay","NSW","kg",0.119,"at market";"Feed","Hay","Oaten hay","QLD","kg",0.117,"at market";"Feed","Hay","Oaten hay","SA","kg",0.114,"at market";"Feed","Hay","Oaten hay","VIC","kg",0.118,"at market";"Feed","Hay","Oaten hay","WA","kg",0.124,"at market";"Feed","Hay","Pasture hay","Australia","kg",0.339,"at market";"Feed","Hay","Pasture hay","NSW","kg",0.311,"at market";"Feed","Hay","Pasture hay","QLD","kg",0.254,"at market";"Feed","Hay","Pasture hay","SA","kg",0.313,"at market";"Feed","Hay","Pasture hay","TAS","kg",0.398,"at market";"Feed","Hay","Pasture hay","VIC","kg",0.345,"at market";"Feed","Hay","Pasture hay","WA","kg",0.368,"at market";"Feed","Meal","Canola meal","Australia","kg",0.244,"at market";"Feed","Meal","Meat meal","Australia","kg",0.408,"at market";"Feed","Meal","Soybean meal","Brazil","kg",0.426,"at market";"Feed","Meal","Wheat bran","Australia","kg",0.196,"at market";"Feed","Mixed rations","Feed for chickens","Australia","kg",0.594,"at market";"Feed","Mixed rations","Feed for dairy calves","Australia","kg",0.419,"at market";"Feed","Mixed rations","Feed for dairy cows","Australia","kg",0.333,"at market";"Feed","Mixed rations","Feed for pigs","Australia","kg",0.403,"at market";"Feed","Other","Bentonite","Australia","kg",0.0652,"at market";"Feed","Other","Canola oil","Australia","kg",0.87,"at market";"Feed","Other","Cotton seed","Australia","kg",0.197,"at market";"Feed","Other","Lick block, dry season mix","Australia","kg",0.881,"at market";"Feed","Other","Lick block, mineral","Australia","kg",0.677,"at market";"Feed","Other","Lick block, weaner","Australia","kg",0.231,"at market";"Feed","Other","Molasses","QLD","kg",0.184,"at market"}, _xlpm.r, _xlpm.c))))</definedName>
    <definedName name="Scope3_SourceData.Scope3_Feed_Source">_xlfn.LAMBDA(("Lifecycles. (2026). Greenhouse Gas Emission Intensities for Material Inputs to Australian Agriculture, Fisheries and Forestry. Version 48. doi 10.5281/zenodo.19656580"))</definedName>
    <definedName name="Scope3_SourceData.Scope3_Feed_Title">_xlfn.LAMBDA(("Feed scope 3"))</definedName>
    <definedName name="Scope3_SourceData.Scope3_Feed_Variation">_xlfn.LAMBDA((""))</definedName>
    <definedName name="Scope3_SourceData.Scope3_InorganicFertilisers_Data">_xlfn.LAMBDA(_xlfn.MAKEARRAY(26, 7, _xlfn.LAMBDA(_xlpm.r,_xlpm.c, INDEX({"Category","Sub-category","Product name","Region of origin","Product Unit","GHG emission intensity","System boundary";"Fertilisers","Inorganic fertilisers","Ammonia, AU market mix","Global","kg",2.32,"at market";"Fertilisers","Inorganic fertilisers","Ammonia, Canada","Canada","kg",2.12,"at market";"Fertilisers","Inorganic fertilisers","Ammonia, China","China","kg",4.17,"at market";"Fertilisers","Inorganic fertilisers","Ammonia, Yemen","Yemen","kg",2.26,"at market";"Fertilisers","Inorganic fertilisers","Ammonium nitrate, AU market mix","Global","kg",2.21,"at market";"Fertilisers","Inorganic fertilisers","Calcium ammonium nitrate, AU market mix","Global","kg",1.15,"at market";"Fertilisers","Inorganic fertilisers","Calcium nitrate","Global","kg",0.75,"at market";"Fertilisers","Inorganic fertilisers","Diammonium phosphate, AU market mix","Global","kg",1.34,"at market";"Fertilisers","Inorganic fertilisers","Double superphosphate, AU market mix","Global","kg",0.392,"at market";"Fertilisers","Inorganic fertilisers","Monoammonium phosphate, AU market mix","Global","kg",0.827,"at market";"Fertilisers","Inorganic fertilisers","Muriate of potash, AU market mix","Global","kg",0.549,"at market";"Fertilisers","Inorganic fertilisers","Nitrogen from ammonia, AU market mix","Global","kg N",2.83,"at market";"Fertilisers","Inorganic fertilisers","Nitrogen from fertilizer, AU market mix","Global","kg N",4.2,"at market";"Fertilisers","Inorganic fertilisers","Nitrogen from nitrate fertilizer, AU market mix","Global","kg N",5.47,"at market";"Fertilisers","Inorganic fertilisers","Phosphorus from fertilizer, AU market mix","Global","kg P",3.96,"at market";"Fertilisers","Inorganic fertilisers","Potassium from fertilizer, AU market mix","Global","kg K",0.909,"at market";"Fertilisers","Inorganic fertilisers","Single superphosphate, AU market mix","Global","kg",0.227,"at market";"Fertilisers","Inorganic fertilisers","Sulfur from fertilizer, AU market mix","Global","kg S",2.5,"at market";"Fertilisers","Inorganic fertilisers","Ammonium sulphate, AU market mix","Global","kg",0.865,"at market";"Fertilisers","Inorganic fertilisers","Urea ammonium nitrate, AU market mix","Global","kg",1.75,"at market";"Fertilisers","Inorganic fertilisers","Urea, AU market mix","Global","kg",0.968,"at market";"Fertilisers","Inorganic fertilisers","Urea, Canada","Canada","kg",0.823,"at market";"Fertilisers","Inorganic fertilisers","Urea, China","China","kg",2.09,"at market";"Fertilisers","Inorganic fertilisers","Urea, Yemen","Yemen","kg",0.963,"at market";"Fertilisers","Inorganic fertilisers","Zinc from fertilizer","Global","kg Zn",4.82,"at market"}, _xlpm.r, _xlpm.c))))</definedName>
    <definedName name="Scope3_SourceData.Scope3_InorganicFertilisers_Source">_xlfn.LAMBDA(("Lifecycles. (2026). Greenhouse Gas Emission Intensities for Material Inputs to Australian Agriculture, Fisheries and Forestry. Version 48. doi 10.5281/zenodo.19656580"))</definedName>
    <definedName name="Scope3_SourceData.Scope3_InorganicFertilisers_Title">_xlfn.LAMBDA(("Inorganic fertiliser chemical compound scope 3"))</definedName>
    <definedName name="Scope3_SourceData.Scope3_InorganicFertilisers_Variation">_xlfn.LAMBDA((""))</definedName>
    <definedName name="Scope3_SourceData.Scope3_Livestock_Data">_xlfn.LAMBDA(_xlfn.MAKEARRAY(42, 7, _xlfn.LAMBDA(_xlpm.r,_xlpm.c, INDEX({"Category","Sub-category","Product name","Region of origin","Product Unit","GHG emission intensity","System boundary";"Animals","Beef cattle","Cattle, for manufacturing beef","Australia","kg liveweight",11,"at market";"Animals","Beef cattle","Cattle, for manufacturing beef","NSW","kg liveweight",8.21,"at market";"Animals","Beef cattle","Cattle, for manufacturing beef","NT","kg liveweight",12.2,"at market";"Animals","Beef cattle","Cattle, for manufacturing beef","QLD","kg liveweight",10.9,"at market";"Animals","Beef cattle","Cattle, for manufacturing beef","SA","kg liveweight",7.63,"at market";"Animals","Beef cattle","Cattle, for manufacturing beef","TAS","kg liveweight",8.75,"at market";"Animals","Beef cattle","Cattle, for manufacturing beef","VIC","kg liveweight",8.17,"at market";"Animals","Beef cattle","Cattle, for manufacturing beef","WA","kg liveweight",13.1,"at market";"Animals","Beef cattle","Cattle, for prime beef","Australia","kg liveweight",14.5,"at market";"Animals","Beef cattle","Cattle, for prime beef","NSW","kg liveweight",11.3,"at market";"Animals","Beef cattle","Cattle, for prime beef","NT","kg liveweight",18.9,"at market";"Animals","Beef cattle","Cattle, for prime beef","QLD","kg liveweight",13.9,"at market";"Animals","Beef cattle","Cattle, for prime beef","SA","kg liveweight",12.3,"at market";"Animals","Beef cattle","Cattle, for prime beef","TAS","kg liveweight",11.5,"at market";"Animals","Beef cattle","Cattle, for prime beef","VIC","kg liveweight",11.5,"at market";"Animals","Beef cattle","Cattle, for prime beef","WA","kg liveweight",20.8,"at market";"Animals","Beef cattle","Cattle, weaners","Australia","kg liveweight",15.5,"at market";"Animals","Beef cattle","Cattle, weaners","NSW","kg liveweight",12.7,"at market";"Animals","Beef cattle","Cattle, weaners","NT","kg liveweight",19.1,"at market";"Animals","Beef cattle","Cattle, weaners","QLD","kg liveweight",20.5,"at market";"Animals","Beef cattle","Cattle, weaners","SA","kg liveweight",10.8,"at market";"Animals","Beef cattle","Cattle, weaners","TAS","kg liveweight",13.4,"at market";"Animals","Beef cattle","Cattle, weaners","VIC","kg liveweight",12,"at market";"Animals","Beef cattle","Cattle, weaners","WA","kg liveweight",12.4,"at market";"Animals","Chickens","Chickens","Australia","kg liveweight",1.36,"at market";"Animals","Dairy cattle","Dairy cows","VIC","kg liveweight",4.41,"at market";"Animals","Pigs","Pigs","Australia","kg liveweight",3.38,"at market";"Animals","Sheep","Sheep, for mutton","Australia","kg liveweight",6.81,"at market";"Animals","Sheep","Sheep, for mutton","NSW","kg liveweight",2.26,"at market";"Animals","Sheep","Sheep, for mutton","QLD","kg liveweight",6.33,"at market";"Animals","Sheep","Sheep, for mutton","SA","kg liveweight",6.18,"at market";"Animals","Sheep","Sheep, for mutton","TAS","kg liveweight",7.5,"at market";"Animals","Sheep","Sheep, for mutton","VIC","kg liveweight",8.08,"at market";"Animals","Sheep","Sheep, for mutton","WA","kg liveweight",5.45,"at market";"Animals","Sheep","Sheep, for prime lamb","Australia","kg liveweight",7.15,"at market";"Animals","Sheep","Sheep, for prime lamb","NSW","kg liveweight",8.29,"at market";"Animals","Sheep","Sheep, for prime lamb","QLD","kg liveweight",6.39,"at market";"Animals","Sheep","Sheep, for prime lamb","SA","kg liveweight",6.87,"at market";"Animals","Sheep","Sheep, for prime lamb","TAS","kg liveweight",8.66,"at market";"Animals","Sheep","Sheep, for prime lamb","VIC","kg liveweight",10,"at market";"Animals","Sheep","Sheep, for prime lamb","WA","kg liveweight",5.67,"at market"}, _xlpm.r, _xlpm.c))))</definedName>
    <definedName name="Scope3_SourceData.Scope3_Livestock_Source">_xlfn.LAMBDA(("Lifecycles. (2026). Greenhouse Gas Emission Intensities for Material Inputs to Australian Agriculture, Fisheries and Forestry. Version 48. doi 10.5281/zenodo.19656580"))</definedName>
    <definedName name="Scope3_SourceData.Scope3_Livestock_Title">_xlfn.LAMBDA(("Livestock scope 3"))</definedName>
    <definedName name="Scope3_SourceData.Scope3_Livestock_Variation">_xlfn.LAMBDA((""))</definedName>
    <definedName name="Scope3_SourceData.Scope3_Other_Data">_xlfn.LAMBDA(_xlfn.MAKEARRAY(9, 7, _xlfn.LAMBDA(_xlpm.r,_xlpm.c, INDEX({"Category","Sub-category","Product name","Region of origin","Product Unit","GHG emission intensity","System boundary";"Other","Other","Animal ear tags (large)","Australia","p",0.0424,"at market";"Other","Other","Animal ear tags (small)","Australia","p",0.0293,"at market";"Other","Other","Barley grain (for seed)","Australia","kg",0.239,"at market";"Other","Other","Maize grain (for seed)","Australia","kg",0.181,"at market";"Other","Other","Nylon netting","Global","kg",9.81,"at market";"Other","Other","Oat grain (for seed)","Australia","kg",0.27,"at market";"Other","Other","Sorghum grain (for seed)","Australia","kg",0.232,"at market";"Other","Other","Wheat grain (for seed)","Australia","kg",0.268,"at market"}, _xlpm.r, _xlpm.c))))</definedName>
    <definedName name="Scope3_SourceData.Scope3_Other_Source">_xlfn.LAMBDA(("Lifecycles. (2026). Greenhouse Gas Emission Intensities for Material Inputs to Australian Agriculture, Fisheries and Forestry. Version 48. doi 10.5281/zenodo.19656580"))</definedName>
    <definedName name="Scope3_SourceData.Scope3_Other_Title">_xlfn.LAMBDA(("Other agricultural inputs scope 3"))</definedName>
    <definedName name="Scope3_SourceData.Scope3_Other_Variation">_xlfn.LAMBDA((""))</definedName>
    <definedName name="Scope3_SourceData.Scope3_Packaging_Data">_xlfn.LAMBDA(_xlfn.MAKEARRAY(5, 7, _xlfn.LAMBDA(_xlpm.r,_xlpm.c, INDEX({"Category","Sub-category","Product name","Region of origin","Product Unit","GHG emission intensity","System boundary";"Packaging","Packaging","Corrugated board","Global","kg",1.05,"at manufacturer";"Packaging","Packaging","Plastic crate polypropylene","Global","p",3.99,"at manufacturer";"Packaging","Packaging","Plastic film LDPE","Global","kg",3.44,"at manufacturer";"Packaging","Packaging","Plastic sheet HDPE","Global","kg",3.72,"at manufacturer"}, _xlpm.r, _xlpm.c))))</definedName>
    <definedName name="Scope3_SourceData.Scope3_Packaging_Source">_xlfn.LAMBDA(("Lifecycles. (2026). Greenhouse Gas Emission Intensities for Material Inputs to Australian Agriculture, Fisheries and Forestry. Version 48. doi 10.5281/zenodo.19656580"))</definedName>
    <definedName name="Scope3_SourceData.Scope3_Packaging_Title">_xlfn.LAMBDA(("Packaging scope 3"))</definedName>
    <definedName name="Scope3_SourceData.Scope3_Packaging_Variation">_xlfn.LAMBDA((""))</definedName>
    <definedName name="Scope3_SourceData.Scope3_Pesticides_Data">_xlfn.LAMBDA(_xlfn.MAKEARRAY(13, 7, _xlfn.LAMBDA(_xlpm.r,_xlpm.c, INDEX({"Category","Sub-category","Product name","Region of origin","Product Unit","GHG emission intensity","System boundary";"Pesticides","Pesticides","2,4-D","Global","kg AI",5.2,"at market";"Pesticides","Pesticides","Atrazine","Global","kg AI",8.38,"at market";"Pesticides","Pesticides","Diuron","Global","kg AI",8.8,"at market";"Pesticides","Pesticides","Glyphosate","Global","kg AI",10.3,"at market";"Pesticides","Pesticides","Mancozeb","Global","kg AI",4.55,"at market";"Pesticides","Pesticides","MCPA","Global","kg AI",5.6,"at market";"Pesticides","Pesticides","Metolachlor","Global","kg AI",8.06,"at market";"Pesticides","Pesticides","Metsulfuron-methyl","Global","kg AI",8.8,"at market";"Pesticides","Pesticides","Pesticides (generic)","Global","kg AI",9.16,"at market";"Pesticides","Pesticides","Tri-allate","Global","kg AI",8.57,"at market";"Pesticides","Pesticides","Tribenuron methyl","Global","kg AI",8.8,"at market";"Pesticides","Pesticides","Trifluralin","Global","kg AI",6.16,"at market"}, _xlpm.r, _xlpm.c))))</definedName>
    <definedName name="Scope3_SourceData.Scope3_Pesticides_Source">_xlfn.LAMBDA(("Lifecycles. (2026). Greenhouse Gas Emission Intensities for Material Inputs to Australian Agriculture, Fisheries and Forestry. Version 48. doi 10.5281/zenodo.19656580"))</definedName>
    <definedName name="Scope3_SourceData.Scope3_Pesticides_Title">_xlfn.LAMBDA(("Pesticides scope 3"))</definedName>
    <definedName name="Scope3_SourceData.Scope3_Pesticides_Variation">_xlfn.LAMBDA((""))</definedName>
    <definedName name="Scope3_SourceData.Scope3_SoilAmendments_Data">_xlfn.LAMBDA(_xlfn.MAKEARRAY(4, 7, _xlfn.LAMBDA(_xlpm.r,_xlpm.c, INDEX({"Category","Sub-category","Product name","Region of origin","Product Unit","GHG emission intensity","System boundary";"Soil ameliorants","Soil ameliorants","Dolomite","Australia","kg",0.0652,"at market";"Soil ameliorants","Soil ameliorants","Gypsum","Australia","kg",0.0652,"at market";"Soil ameliorants","Soil ameliorants","Limestone (crushed)","Australia","kg",0.0485,"at market"}, _xlpm.r, _xlpm.c))))</definedName>
    <definedName name="Scope3_SourceData.Scope3_SoilAmendments_Source">_xlfn.LAMBDA(("Lifecycles. (2026). Greenhouse Gas Emission Intensities for Material Inputs to Australian Agriculture, Fisheries and Forestry. Version 48. doi 10.5281/zenodo.19656580"))</definedName>
    <definedName name="Scope3_SourceData.Scope3_SoilAmendments_Title">_xlfn.LAMBDA(("Soil amendments scope 3"))</definedName>
    <definedName name="Scope3_SourceData.Scope3_SoilAmendments_Variation">_xlfn.LAMBDA((""))</definedName>
    <definedName name="SourceData_Dairy.NIR_2023_Vol1_Dairy_3_B_1_a_AshContent_Data">_xlfn.LAMBDA(0.8)</definedName>
    <definedName name="SourceData_Dairy.NIR_2023_Vol1_Dairy_3_B_1_a_AshContent_Source">_xlfn.LAMBDA("Equation 3.B.1a_2")</definedName>
    <definedName name="SourceData_Dairy.NIR_2023_Vol1_Dairy_3_B_1_a_AshContent_Title">_xlfn.LAMBDA("A = ash content expressed as a fraction")</definedName>
    <definedName name="SourceData_Dairy.NIR_2023_Vol1_Dairy_3_B_1_a_AshContent_Unit">_xlfn.LAMBDA("fraction")</definedName>
    <definedName name="SourceData_Dairy.NIR_2023_Vol1_Dairy_3_B_1_a_EmissionsPotential_Data">_xlfn.LAMBDA(0.24)</definedName>
    <definedName name="SourceData_Dairy.NIR_2023_Vol1_Dairy_3_B_1_a_EmissionsPotential_Source">_xlfn.LAMBDA("Equation 3.B.1a_2")</definedName>
    <definedName name="SourceData_Dairy.NIR_2023_Vol1_Dairy_3_B_1_a_EmissionsPotential_Title">_xlfn.LAMBDA("B0 = emissions potential")</definedName>
    <definedName name="SourceData_Dairy.NIR_2023_Vol1_Dairy_3_B_1_a_EmissionsPotential_Unit">_xlfn.LAMBDA("m3 CH4/kg VS")</definedName>
    <definedName name="SourceData_Dairy.NIR_2023_Vol2_A5_5_1_1_DairyCattleLiveWeight_Data">_xlfn.LAMBDA(_xlfn.MAKEARRAY(2, 6, _xlfn.LAMBDA(_xlpm.r,_xlpm.c, INDEX({"Time period","Milking Cows","Heifers &gt;1","Heifers &lt;1 (weaned)","Bulls &gt;1","Bulls &lt;1 (weaned)";"2020–2023",550,370,179,600,225}, _xlpm.r, _xlpm.c))))</definedName>
    <definedName name="SourceData_Dairy.NIR_2023_Vol2_A5_5_1_1_DairyCattleLiveWeight_Source">_xlfn.LAMBDA("National Inventory Report 2023 Volume 2: Table A5.5.1.1")</definedName>
    <definedName name="SourceData_Dairy.NIR_2023_Vol2_A5_5_1_1_DairyCattleLiveWeight_Title">_xlfn.LAMBDA("Table A5.5.1.1 Dairy cattle – Liveweight")</definedName>
    <definedName name="SourceData_Dairy.NIR_2023_Vol2_A5_5_1_1_DairyCattleLiveWeight_Unit">_xlfn.LAMBDA("kg")</definedName>
    <definedName name="SourceData_Dairy.NIR_2023_Vol2_A5_5_1_2_DairyCattleLiveWeightGain_Data">_xlfn.LAMBDA(_xlfn.MAKEARRAY(2, 6, _xlfn.LAMBDA(_xlpm.r,_xlpm.c, INDEX({"Time period","Milking Cows","Heifers &gt;1","Heifers &lt;1 (weaned)","Bulls &gt;1","Bulls &lt;1 (weaned)";"2020–2023",0.016,0.6,0.57,0.1,0.8}, _xlpm.r, _xlpm.c))))</definedName>
    <definedName name="SourceData_Dairy.NIR_2023_Vol2_A5_5_1_2_DairyCattleLiveWeightGain_Source">_xlfn.LAMBDA("National Inventory Report 2023 Volume 2: Table A5.5.1.2")</definedName>
    <definedName name="SourceData_Dairy.NIR_2023_Vol2_A5_5_1_2_DairyCattleLiveWeightGain_Title">_xlfn.LAMBDA("Table A5.5.1.2 Dairy cattle – Liveweight gain")</definedName>
    <definedName name="SourceData_Dairy.NIR_2023_Vol2_A5_5_1_2_DairyCattleLiveWeightGain_Unit">_xlfn.LAMBDA("kg/day")</definedName>
    <definedName name="SourceData_Dairy.NIR_2023_Vol2_A5_5_1_3_DairyCattleStandardReferenceWeight_Data">_xlfn.LAMBDA(_xlfn.MAKEARRAY(2, 6, _xlfn.LAMBDA(_xlpm.r,_xlpm.c, INDEX({"Time period","Milking Cows","Heifers &gt;1","Heifers &lt;1 (weaned)","Bulls &gt;1","Bulls &lt;1 (weaned)";"2020–2023",590,590,590,770,770}, _xlpm.r, _xlpm.c))))</definedName>
    <definedName name="SourceData_Dairy.NIR_2023_Vol2_A5_5_1_3_DairyCattleStandardReferenceWeight_Source">_xlfn.LAMBDA("National Inventory Report 2023 Volume 2: Table A5.5.1.3")</definedName>
    <definedName name="SourceData_Dairy.NIR_2023_Vol2_A5_5_1_3_DairyCattleStandardReferenceWeight_Title">_xlfn.LAMBDA("Table A5.5.1.3 Dairy cattle – Standard reference weights")</definedName>
    <definedName name="SourceData_Dairy.NIR_2023_Vol2_A5_5_1_3_DairyCattleStandardReferenceWeight_Unit">_xlfn.LAMBDA("kg")</definedName>
    <definedName name="SourceData_Dairy.NIR_2023_Vol2_A5_5_1_4_DairyCattleDMDAndCP_Data">_xlfn.LAMBDA(_xlfn.MAKEARRAY(2, 3, _xlfn.LAMBDA(_xlpm.r,_xlpm.c, INDEX({"State","DMD","CP";"All",75,20}, _xlpm.r, _xlpm.c))))</definedName>
    <definedName name="SourceData_Dairy.NIR_2023_Vol2_A5_5_1_4_DairyCattleDMDAndCP_Source">_xlfn.LAMBDA("National Inventory Report 2023 Volume 2: Table A5.5.1.4")</definedName>
    <definedName name="SourceData_Dairy.NIR_2023_Vol2_A5_5_1_4_DairyCattleDMDAndCP_Title">_xlfn.LAMBDA("Table A5.5.1.4 Dairy cattle – Dry matter digestibility and crude protein content of feed intake")</definedName>
    <definedName name="SourceData_Dairy.NIR_2023_Vol2_A5_5_1_4_DairyCattleDMDAndCP_Unit">_xlfn.LAMBDA("per cent")</definedName>
    <definedName name="SourceData_Dairy.NIR_2023_Vol2_A5_5_1_5_DairyCattlePreWeanedData_Data">_xlfn.LAMBDA(_xlfn.MAKEARRAY(3, 6, _xlfn.LAMBDA(_xlpm.r,_xlpm.c, INDEX({"Date range","Class","CH4 production","Volatile solids","Faecal N","Urinary N";"2005+","Heifers&lt;1",0.0176,0.2685,0.0055,0.0082;"All years","Bulls&lt;1",0.0204,0.3003,0.005,0.0042}, _xlpm.r, _xlpm.c))))</definedName>
    <definedName name="SourceData_Dairy.NIR_2023_Vol2_A5_5_1_5_DairyCattlePreWeanedData_Source">_xlfn.LAMBDA("National Inventory Report 2023 Volume 2: Table A5.5.1.5")</definedName>
    <definedName name="SourceData_Dairy.NIR_2023_Vol2_A5_5_1_5_DairyCattlePreWeanedData_Title">_xlfn.LAMBDA("Table A5.5.1.5 Dairy cattle – Data for pre-weaned calves")</definedName>
    <definedName name="SourceData_Dairy.NIR_2023_Vol2_A5_5_1_5_DairyCattlePreWeanedData_Unit">_xlfn.LAMBDA("kg/day")</definedName>
    <definedName name="SourceData_Dairy.NIR_2023_Vol2_A5_5_1_7_DairyCattleMCFsForMMS_Data">_xlfn.LAMBDA(_xlfn.MAKEARRAY(6, 9, _xlfn.LAMBDA(_xlpm.r,_xlpm.c, INDEX({"MMS","ACT","NSW","NT","QLD","SA","TAS","VIC","WA";"Pasture",0.01,0.01,0.02,0.01,0.01,0.01,0.01,0.01;"Anaerobic lagoon",0.72,0.76,0.8,0.78,0.74,0.69,0.73,0.76;"Sump and dispersal systems (b)",0.005,0.005,0.01,0.005,0.005,0.001,0.005,0.005;"Drains to paddocks (c)",0.15,0.18,0.5,0.24,0.17,0.13,0.17,0.18;"Solid Storage",0.02,0.02,0.02,0.02,0.02,0.02,0.02,0.02}, _xlpm.r, _xlpm.c))))</definedName>
    <definedName name="SourceData_Dairy.NIR_2023_Vol2_A5_5_1_7_DairyCattleMCFsForMMS_Source">_xlfn.LAMBDA("National Inventory Report 2023 Volume 2: Table A5.5.1.7")</definedName>
    <definedName name="SourceData_Dairy.NIR_2023_Vol2_A5_5_1_7_DairyCattleMCFsForMMS_Title">_xlfn.LAMBDA("Table A5.5.1.7 Dairy cattle – MCFs")</definedName>
    <definedName name="SourceData_Dairy.NIR_2023_Vol2_A5_5_1_7_DairyCattleMCFsForMMS_Unit">_xlfn.LAMBDA("")</definedName>
    <definedName name="SourceData_Dairy.NIR_2023_Vol2_A5_5_1_9_DairyCattleNO2EFAndFracN_Data">_xlfn.LAMBDA(_xlfn.MAKEARRAY(6, 3, _xlfn.LAMBDA(_xlpm.r,_xlpm.c, INDEX({"MMS","EF (kg N2O-N/kg N excreted)","FracGASMm (kg N2O-N/kg N excreted)";"Void at Pasture",0,0;"Anaerobic lagoon",0,0.35;"Daily Spread – Sump and Dispersal",0,0.07;"Daily Spread – Drains to Paddock",0,0.2;"Solid Storage",0.005,0.3}, _xlpm.r, _xlpm.c))))</definedName>
    <definedName name="SourceData_Dairy.NIR_2023_Vol2_A5_5_1_9_DairyCattleNO2EFAndFracN_Source">_xlfn.LAMBDA("National Inventory Report 2023 Volume 2: Table A5.5.1.9")</definedName>
    <definedName name="SourceData_Dairy.NIR_2023_Vol2_A5_5_1_9_DairyCattleNO2EFAndFracN_Title">_xlfn.LAMBDA("Table A5.5.1.9 Dairy cattle – Nitrous oxide EFs and fraction of N volatilised by MMS")</definedName>
    <definedName name="SourceData_Dairy.NIR_2023_Vol2_A5_5_1_9_DairyCattleNO2EFAndFracN_Unit">_xlfn.LAMBDA("kg N2O-N/kg N excreted")</definedName>
    <definedName name="SourceData_Dairy.SourceData_Dairy_AllocationOfWasteToMMS_Data">_xlfn.LAMBDA(_xlfn.MAKEARRAY(6, 10, _xlfn.LAMBDA(_xlpm.r,_xlpm.c, INDEX({"MMSSymbol","MMS","ACT","NSW","NT","QLD","SA","TAS","VIC","WA";"14","Pasture",78.6,78.6,78.7,78.7,80.5,86.5,83.9,79.9;"1","Anaerobic lagoon",9,9,7.3,7.3,10.4,8.4,10.8,10;"3a","Daily Spread: Sump and dispersal",2,2,3.3,3.3,1.4,2.4,0.9,1.9;"3b","Daily Spread: Drains to paddocks",1.9,1.9,2.4,2.4,0.8,0.8,0.2,0.9;"4","Solid Storage",8.4,8.4,8.4,8.4,6.9,2,4.2,7.4}, _xlpm.r, _xlpm.c))))</definedName>
    <definedName name="SourceData_Dairy.SourceData_Dairy_AllocationOfWasteToMMS_Source">_xlfn.LAMBDA("National Inventory Report 2023 Volume 2 Table A5.5.1.8")</definedName>
    <definedName name="SourceData_Dairy.SourceData_Dairy_AllocationOfWasteToMMS_Title">_xlfn.LAMBDA("Table A5.5.1.8 Dairy cattle – Allocation of waste to MMS – Milking cows (per cent)")</definedName>
    <definedName name="SourceData_Dairy.SourceData_Dairy_AllocationOfWasteToMMS_Unit">_xlfn.LAMBDA("percent")</definedName>
    <definedName name="SourceData_Dairy.SourceData_Dairy_AllocationOfWasteToMMS_Variable">_xlfn.LAMBDA("")</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_xlfn.LAMBDA(0.02)</definedName>
    <definedName name="SourceData_Dairy.SourceData_Dairy_FractionOfNitrogenLostThroughLeachingAndRunoff_Source">_xlfn.LAMBDA("VEERG 2026: 4.3.2.3 CONSTANTS")</definedName>
    <definedName name="SourceData_Dairy.SourceData_Dairy_FractionOfNitrogenLostThroughLeachingAndRunoff_Title">_xlfn.LAMBDA("Fraction of N that is lost through leaching and runoff")</definedName>
    <definedName name="SourceData_Dairy.SourceData_Dairy_FractionOfNitrogenLostThroughLeachingAndRunoff_Unit">_xlfn.LAMBDA("Dimensionless")</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VolatileSolidsVoidedMMS_Data">_xlfn.LAMBDA(_xlfn.MAKEARRAY(5, 4, _xlfn.LAMBDA(_xlpm.r,_xlpm.c, INDEX({"Area","Pasture","Milking Shed","Feedpad";"System 1: Grazed Only",0.89,0.11,0;"System 2: On feedpad for &lt;10 hr/day for &lt;3 months/year",0.79,0.11,0.1;"System 3: Pasture-grazed 3-9 months/year",0.534,0.11,0.356;"System 4: Zero grazing",0,0.11,0.89}, _xlpm.r, _xlpm.c))))</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_xlfn.LAMBDA(_xlfn.MAKEARRAY(3, 2, _xlfn.LAMBDA(_xlpm.r,_xlpm.c, INDEX({"Animal Class j","MRj";"Milking cows, and house cows",1.1;"All other cattle classes",1}, _xlpm.r, _xlpm.c))))</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CowsAndHeifers_Variation">_xlfn.LAMBDA("VARIATION OF SOURCE: Excluded 'Reference', as the value is consistently 'Dairy Australia [1]' and is not used in calculation.")</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ourceData_Dairy.SourceData_Dairy_Symbols_Livestock_Dairy_DairyCattleClasses_Data">_xlfn.LAMBDA(_xlfn.MAKEARRAY(6, 3, _xlfn.LAMBDA(_xlpm.r,_xlpm.c, INDEX({"Symbol","State/ territory (i)","";1,"Milking cows","Milking cows (1)";2,"Heifers &gt; 1 year","Heifers &gt; 1 year (2)";3,"Heifers &lt; 1 year","Heifers &lt; 1 year (3)";4,"Bulls &gt; 1 year","Bulls &gt; 1 year (4)";5,"Bulls &lt; 1 year","Bulls &lt; 1 year (5)"}, _xlpm.r, _xlpm.c))))</definedName>
    <definedName name="SourceData_Dairy.SourceData_Dairy_Symbols_Livestock_Dairy_DairyCattleClasses_Source">_xlfn.LAMBDA("National Inventory Report 2023 Volume 1")</definedName>
    <definedName name="SourceData_Dairy.SourceData_Dairy_Symbols_Livestock_Dairy_DairyCattleClasses_Title">_xlfn.LAMBDA("Table 5.2 Symbols used in algorithms for dairy cattle - Dairy cattle classes (j)")</definedName>
    <definedName name="SourceData_Dairy.SourceData_Dairy_Symbols_Livestock_Dairy_DairyCattleClasses_Unit">_xlfn.LAMBDA("")</definedName>
    <definedName name="SourceData_Dairy.SourceData_Dairy_Symbols_Livestock_Dairy_DairyCattleClasses_Variable">_xlfn.LAMBDA("j")</definedName>
    <definedName name="SourceData_Dairy.SourceData_Dairy_Symbols_Livestock_Dairy_StateTerritory_Data">_xlfn.LAMBDA(_xlfn.MAKEARRAY(9, 2, _xlfn.LAMBDA(_xlpm.r,_xlpm.c, INDEX({"Symbol","State/ territory (i)";1,"ACT";2,"Northern Territory";3,"NSW";4,"Queensland";5,"Tasmania";6,"South Australia";7,"Victoria";8,"Western Australia"}, _xlpm.r, _xlpm.c))))</definedName>
    <definedName name="SourceData_Dairy.SourceData_Dairy_Symbols_Livestock_Dairy_StateTerritory_Source">_xlfn.LAMBDA("National Inventory Report 2023 Volume 1")</definedName>
    <definedName name="SourceData_Dairy.SourceData_Dairy_Symbols_Livestock_Dairy_StateTerritory_Title">_xlfn.LAMBDA("Table 5.2 Symbols used in algorithms for dairy cattle - State/Territory (i)")</definedName>
    <definedName name="SourceData_Dairy.SourceData_Dairy_Symbols_Livestock_Dairy_StateTerritory_Unit">_xlfn.LAMBDA("")</definedName>
    <definedName name="SourceData_Dairy.SourceData_Dairy_Symbols_Livestock_Dairy_StateTerritory_Variable">_xlfn.LAMBDA("s")</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MCF_Data">_xlfn.LAMBDA(_xlfn.MAKEARRAY(6, 11, _xlfn.LAMBDA(_xlpm.r,_xlpm.c, INDEX({"Treatment stage T","MMS m","NSW","ACT","QLD","NT","SA","VIC","WA","TAS","NIR definition";"Primary","Dry lot (Feedpad)",0.01,0.01,0.03,"No data",0.01,0.01,0.01,"No data","Drylot (feed pad)";"Secondary","Solid Storage (Stockpile)",0.02,0.02,0.02,"No data",0.02,0.02,0.02,"No data","Solid storage";"Secondary","Composting (Passive Windrow)",0.01,0.01,0.01,"No data",0.01,0.01,0.01,"No data","Composting (passive windrow)";"Secondary","Direct Application to soil",0,0,0,"No data",0,0,0,"No data","Direct application";"Tertiary","Uncovered anaerobic lagoon (Effluent pond)",0.75,0.75,0.77,"No data",0.75,0.75,0.77,"No data","Anaerobic lagoon"}, _xlpm.r, _xlpm.c))))</definedName>
    <definedName name="SourceData_Feedlot.SourceData_Feedlot_MCF_Source">_xlfn.LAMBDA("VEERG 2026: Table A.1.7.4: Feedlot - MCFs")</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and TAS columns with 'no data' values";"Added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ourceData_PastureBeef.NIR_2023_Vol2_A5_5_2_1_PastureBeef_Liveweight_Data">_xlfn.LAMBDA(_xlfn.MAKEARRAY(61, 15, _xlfn.LAMBDA(_xlpm.r,_xlpm.c, INDEX({"State","Region","Season","Bulls &lt; 1","Bulls &gt; 1","Cows &lt; 1","Cows 1-2","Cows &gt; 2","Cows 2-3","Cows &gt; 3","Steers &lt; 1","Steers &gt; 1","Steers 1-2","Steers 2-3","Steers &gt; 3";"ACT","","Spring",80,480,75,300,440,"","",75,380,"","","";"ACT","","Summer",170,520,160,360,470,"","",160,420,"","","";"ACT","","Autumn",240,550,220,390,490,"","",220,450,"","","";"ACT","","Winter",280,560,260,410,500,"","",260,460,"","","";"NSW","","Spring",80,480,75,300,440,"","",75,380,"","","";"NSW","","Summer",170,520,160,360,470,"","",160,420,"","","";"NSW","","Autumn",240,550,220,390,490,"","",220,450,"","","";"NSW","","Winter",280,560,260,410,500,"","",260,460,"","","";"SA","","Spring",250,800,220,400,500,"","",230,420,"","","";"SA","","Summer",320,800,280,420,500,"","",290,420,"","","";"SA","","Autumn",80,700,70,300,450,"","",75,400,"","","";"SA","","Winter",160,700,140,350,450,"","",150,400,"","","";"TAS","","Spring",105,700,85,300,490,"","",90,480,"","","";"TAS","","Summer",480,750,150,350,530,"","",160,460,"","","";"TAS","","Autumn",250,725,200,360,500,"","",215,490,"","","";"TAS","","Winter",260,700,210,380,460,"","",230,470,"","","";"VIC","","Spring",250,820,240,410,560,"","",240,510,"","","";"VIC","","Summer",280,850,260,440,550,"","",270,520,"","","";"VIC","","Autumn",100,700,95,300,450,"","",95,410,"","","";"VIC","","Winter",150,720,140,320,470,"","",140,440,"","","";"WA","South West","Spring",340,800,260,420,550,"","",300,480,"","","";"WA","South West","Summer",380,780,300,450,530,"","",340,470,"","","";"WA","South West","Autumn",100,680,80,320,480,"","",100,340,"","","";"WA","South West","Winter",190,700,150,330,490,"","",170,360,"","","";"WA","Pilbara","Spring",80,450,70,260,340,"","",80,370,"","","";"WA","Pilbara","Summer",150,500,140,310,360,"","",150,400,"","","";"WA","Pilbara","Autumn",230,550,220,330,380,"","",230,420,"","","";"WA","Pilbara","Winter",250,500,240,340,360,"","",250,390,"","","";"WA","Kimberley","Spring:",220,500,180,300,320,"","",210,340,"","","";"WA","Kimberley","Summer:",110,550,90,220,380,"","",100,390,"","","";"WA","Kimberley","Autumn:",170,600,140,270,390,"","",160,430,"","","";"WA","Kimberley","Winter:",200,550,150,280,350,"","",190,400,"","","";"NT","Alice Springs","Spring",220,706,208,323,"",415,467,223,"",371,493,585;"NT","Alice Springs","Summer",110,703,112,256,"",368,465,108,"",280,421,543;"NT","Alice Springs","Autumn",170,721,169,306,"",392,464,176,"",339,470,580;"NT","Alice Springs","Winter",200,727,211,338,"",432,492,222,"",377,498,590;"NT","Barkly","Spring",220,620,227,319,"",398,452,216,"",334,0,0;"NT","Barkly","Summer",110,650,108,262,"",346,430,111,"",236,0,0;"NT","Barkly","Autumn",170,670,170,266,"",363,444,169,"",282,0,0;"NT","Barkly","Winter",200,660,225,307,"",398,452,214,"",326,0,0;"NT","Northern","Spring",220,620,177,267,"",365,406,231,"",249,324,0;"NT","Northern","Summer",110,650,102,203,"",299,380,102,"",218,263,0;"NT","Northern","Autumn",170,670,173,250,"",336,414,175,"",243,304,0;"NT","Northern","Winter",200,660,202,272,"",365,390,208,"",260,337,0;"QLD","High","Spring",260,705,215,302,"",416,519,234,"",455,551,660;"QLD","High","Summer",153,703,118,277,"",397,483,111,"",304,521,547;"QLD","High","Autumn",168,718,191,319,"",440,506,188,"",326,520,582;"QLD","High","Winter",235,722,207,352,"",470,514,209,"",421,512,605;"QLD","Moderate/High","Spring",230,674,217,"",344,357,467,242,"",370,550,620;"QLD","Moderate/High","Summer",113,669,113,"",283,361,477,120,"",273,545,553;"QLD","Moderate/High","Autumn",172,685,172,"",309,376,471,238,"",329,573,620;"QLD","Moderate/High","Winter",241,692,208,"",344,364,484,260,"",350,567,620;"QLD","Moderate/Low","Spring",236,674,178,"",310,428,466,193,"",370,519,565;"QLD","Moderate/Low","Summer",120,669,112,"",250,390,448,115,"",273,433,556;"QLD","Moderate/Low","Autumn",125,685,140,"",277,407,455,141,"",296,445,593;"QLD","Moderate/Low","Winter",180,692,183,"",316,438,468,189,"",354,500,553;"QLD","Low","Spring",190,617,174,"",265,371,415,170,"",272,392,531;"QLD","Low","Summer",119,591,140,"",205,310,405,133,"",218,315,445;"QLD","Low","Autumn",175,610,163,"",232,351,427,146,"",242,320,471;"QLD","Low","Winter",192,615,162,"",255,364,420,157,"",261,342,484}, _xlpm.r, _xlpm.c))))</definedName>
    <definedName name="SourceData_PastureBeef.NIR_2023_Vol2_A5_5_2_1_PastureBeef_Liveweight_Source">_xlfn.LAMBDA("National Inventory Report 2023 Volume 2 - Table A5.5.2.1")</definedName>
    <definedName name="SourceData_PastureBeef.NIR_2023_Vol2_A5_5_2_1_PastureBeef_Liveweight_Title">_xlfn.LAMBDA("Beef cattle - Liveweight")</definedName>
    <definedName name="SourceData_PastureBeef.NIR_2023_Vol2_A5_5_2_1_PastureBeef_Liveweight_Unit">_xlfn.LAMBDA("kg/head/day")</definedName>
    <definedName name="SourceData_PastureBeef.NIR_2023_Vol2_A5_5_2_1_PastureBeef_Liveweight_Variation">_xlfn.LAMBDA("")</definedName>
    <definedName name="SourceData_PastureBeef.NIR_2023_Vol2_A5_5_2_2_PastureBeef_LiveweightGain_Data">_xlfn.LAMBDA(_xlfn.MAKEARRAY(61, 15, _xlfn.LAMBDA(_xlpm.r,_xlpm.c, INDEX({"State","Region","Season","Bulls &lt; 1","Bulls &gt; 1","Cows &lt; 1","Cows 1-2","Cows &gt; 2","Cows 2-3","Cows &gt; 3","Steers &lt; 1","Steers &gt; 1","Steers 1-2","Steers 2-3","Steers &gt; 3";"ACT","","Spring",0.5,0.2,0.5,0.4,0.3,"","",0.5,0.4,"","","";"ACT","","Summer",1,0.4,0.9,0.7,0.3,"","",0.9,0.4,"","","";"ACT","","Autumn",0.8,0.3,0.7,0.3,0.2,"","",0.7,0.3,"","","";"ACT","","Winter",0.4,0.1,0.4,0.2,0.1,"","",0.4,0.1,"","","";"NSW","","Spring",0.5,0.2,0.5,0.4,0.3,"","",0.5,0.4,"","","";"NSW","","Summer",1,0.4,0.9,0.7,0.3,"","",0.9,0.4,"","","";"NSW","","Autumn",0.8,0.3,0.7,0.3,0.2,"","",0.7,0.3,"","","";"NSW","","Winter",0.4,0.1,0.4,0.2,0.1,"","",0.4,0.1,"","","";"SA","","Spring",0.99,1.1,0.88,0.55,0.55,"","",0.88,0.22,"","","";"SA","","Summer",0.77,0,0.66,0.22,0,"","",0.66,0,"","","";"SA","","Autumn",0.9,-1.1,0.7,0.22,-0.55,"","",0.8,-0.22,"","","";"SA","","Winter",0.88,0,0.77,0.55,0,"","",0.82,0,"","","";"TAS","","Spring",1,0.5,1,1,-0.44,"","",1,0.5,"","","";"TAS","","Summer",0.82,0.55,0.71,0.55,0.99,"","",0.77,0.5,"","","";"TAS","","Autumn",0.77,0.5,0.55,0.11,-0.33,"","",0.6,0.33,"","","";"TAS","","Winter",0.11,-0.27,0.11,0.22,-0.44,"","",0.16,-0.22,"","","";"VIC","","Spring",1.1,1.1,1.1,0.99,0.99,"","",1.1,0.77,"","","";"VIC","","Summer",0.33,0.33,0.22,0.33,-0.1,"","",0.33,0.11,"","","";"VIC","","Autumn",0.5,0.2,0.55,0.44,0.2,"","",0.55,0.2,"","","";"VIC","","Winter",0.55,0.22,0.49,0.22,0.22,"","",0.49,0.33,"","","";"WA","South West","Spring",1.64,1.1,1.21,0.99,0.66,"","",1.42,1.1,"","","";"WA","South West","Summer",0.44,-0.22,0.44,0.33,-0.22,"","",0.44,-0.11,"","","";"WA","South West","Autumn",0.6,0,0.6,0.22,-0.55,"","",0.6,0,"","","";"WA","South West","Winter",0.99,0.22,0.77,0.11,0.11,"","",0.77,0.44,"","","";"WA","Pilbara","Spring",0.7,-0.55,0.7,0.22,-0.22,"","",0.7,-0.22,"","","";"WA","Pilbara","Summer",0.77,0.55,0.77,0.66,0.55,"","",0.77,0.33,"","","";"WA","Pilbara","Autumn",0.88,0.55,0.88,0.22,0.22,"","",0.88,0.22,"","","";"WA","Pilbara","Winter",0.22,-0.55,0.22,0.11,-0.22,"","",0.22,-0.33,"","","";"WA","Kimberley","Spring",0.22,-0.55,0.33,0.22,-0.33,"","",0.22,-0.55,"","","";"WA","Kimberley","Summer",0.8,0.55,0.7,0.44,0.66,"","",0.8,0.55,"","","";"WA","Kimberley","Autumn",0.66,0.55,0.55,0.55,0.11,"","",0.66,0.55,"","","";"WA","Kimberley","Winter",0.33,-0.55,0.11,0.11,-0.44,"","",0.33,-0.55,"","","";"NT","Alice Springs","Spring",0.22,-0.23,0.25,0.17,"",0.18,-0.28,0.32,"",0.24,0.25,-0.05;"NT","Alice Springs","Summer",0.66,0.2,0.62,0.54,"",0.38,0.27,0.75,"",0.64,0.55,0.48;"NT","Alice Springs","Autumn",0.49,0.13,0.54,0.45,"",0.35,0.15,0.63,"",0.54,0.42,0.26;"NT","Alice Springs","Winter",0.27,-0.8,0.22,0.09,"",0.12,0.02,0.25,"",0.18,0.12,0.03;"NT","Barkly","Spring",0.22,-0.44,0.2,0.21,"",0.18,0.01,0.12,"",0.09,0,0;"NT","Barkly","Summer",0.66,0.22,0.68,0.22,"",0.24,0.25,0.64,"",0.37,0,0;"NT","Barkly","Autumn",0.49,0.05,0.64,0.25,"",0.29,0.12,0.57,"",0.49,0,0;"NT","Barkly","Winter",0.27,-0.27,0.31,0.29,"",0.19,0.04,0.26,"",0.28,0,0;"NT","Northern","Spring",0.22,-0.44,0,0.15,"",0.08,0.17,0.06,"",0.02,-0.14,0;"NT","Northern","Summer",0.66,0.22,0.79,0.4,"",0.38,0.27,0.8,"",0.16,0.3,0;"NT","Northern","Autumn",0.49,0.05,0.55,0.38,"",0.36,0.06,0.58,"",0.23,0.4,0;"NT","Northern","Winter",0.27,-0.27,0.02,0.09,"",0.16,-0.04,0.21,"",0.03,0.11,0;"QLD","High","Spring",0.27,-0.19,0.38,0.25,"",0.07,0.05,0.52,"",0.55,0.19,0.6;"QLD","High","Summer",0.16,0.16,0.8,0.57,"",0.76,0.49,0.84,"",0.51,0.36,0.17;"QLD","High","Autumn",0.45,0.1,0.49,0.41,"",0.4,0.17,0.54,"",0.64,-0.05,0.32;"QLD","High","Winter",0.51,-0.07,0.13,-0.09,"",-0.13,0.07,0.25,"",0.71,0.17,0.43;"QLD","Moderate/High","Spring",-0.12,-0.19,0.41,0.09,"",0.41,-0.19,0.07,"",1.07,-0.08,0;"QLD","Moderate/High","Summer",0.65,0.19,0.65,0.51,"",0.18,0.63,1.3,"",0.48,1.12,0.38;"QLD","Moderate/High","Autumn",0.7,0.13,0.52,0.34,"",0.02,0.04,0.77,"",0.42,0.12,0.74;"QLD","Moderate/High","Winter",0.32,-0.06,0.25,0.19,"",-0.1,-0.02,0.02,"",0.23,-0.13,0;"QLD","Moderate/Low","Spring",0.62,-0.19,0.37,0.41,"",0.06,-0.02,0.47,"",0.44,0.3,0.13;"QLD","Moderate/Low","Summer",0.05,0.19,0.31,0.54,"",0.53,0.15,0.28,"",0.57,0.42,0.4;"QLD","Moderate/Low","Autumn",0.33,0.13,0.39,0.36,"",0.26,0.11,0.4,"",0.44,0.37,-0.01;"QLD","Moderate/Low","Winter",0.61,-0.06,0.21,0.18,"",0.12,0.06,0.29,"",0.41,0.41,-0.15;"QLD","Low","Spring",-0.2,0.02,0.24,0.3,"",0.23,-0.05,0.34,"",0.3,0.57,0.52;"QLD","Low","Summer",0.62,0.21,0.25,0.32,"",0.47,0.31,0.14,"",0.4,0.26,0.43;"QLD","Low","Autumn",0.4,0.13,0.12,0.27,"",0.3,0.08,0.13,"",0.24,0.15,0.21;"QLD","Low","Winter",0.08,0.04,0.06,0.18,"",0.11,-0.07,0.13,"",0.16,0.4,0.33}, _xlpm.r, _xlpm.c))))</definedName>
    <definedName name="SourceData_PastureBeef.NIR_2023_Vol2_A5_5_2_2_PastureBeef_LiveweightGain_Source">_xlfn.LAMBDA("National Inventory Report 2023 Volume 2 - Table A5.5.2.2")</definedName>
    <definedName name="SourceData_PastureBeef.NIR_2023_Vol2_A5_5_2_2_PastureBeef_LiveweightGain_Title">_xlfn.LAMBDA("Beef cattle - Liveweight gain")</definedName>
    <definedName name="SourceData_PastureBeef.NIR_2023_Vol2_A5_5_2_2_PastureBeef_LiveweightGain_Unit">_xlfn.LAMBDA("kg/head/day")</definedName>
    <definedName name="SourceData_PastureBeef.NIR_2023_Vol2_A5_5_2_2_PastureBeef_LiveweightGain_Variation">_xlfn.LAMBDA("VARIATION OF SOURCE DATA: ACT and NSW split. 'NO' replaced with 0.")</definedName>
    <definedName name="SourceData_PastureBeef.NIR_2023_Vol2_A5_5_2_3_PastureBeef_DryMatterDigestibility_Data">_xlfn.LAMBDA(_xlfn.MAKEARRAY(11, 6, _xlfn.LAMBDA(_xlpm.r,_xlpm.c, INDEX({"State","Region","Spring","Summer","Autumn","Winter";"ACT","",55,65,60,50;"NSW","",55,65,60,50;"NT","",55,61,57,54;"QLD","",53,57,55,51;"SA","",70,55,55,75;"TAS","",75,60,70,75;"VIC","",80,55,60,76;"WA","South West",80,58,50,75;"WA","Pilbara",40,65,55,45;"WA","Kimberley",40,65,55,45}, _xlpm.r, _xlpm.c))))</definedName>
    <definedName name="SourceData_PastureBeef.NIR_2023_Vol2_A5_5_2_3_PastureBeef_DryMatterDigestibility_Source">_xlfn.LAMBDA("National Inventory Report 2023 Volume 2 - Table A5.5.2.3")</definedName>
    <definedName name="SourceData_PastureBeef.NIR_2023_Vol2_A5_5_2_3_PastureBeef_DryMatterDigestibility_Title">_xlfn.LAMBDA("Beef cattle - Dry matter digestibility of feed intake (per cent)")</definedName>
    <definedName name="SourceData_PastureBeef.NIR_2023_Vol2_A5_5_2_3_PastureBeef_DryMatterDigestibility_Unit">_xlfn.LAMBDA("per cent")</definedName>
    <definedName name="SourceData_PastureBeef.NIR_2023_Vol2_A5_5_2_3_PastureBeef_DryMatterDigestibility_Variation">_xlfn.LAMBDA("VARIATION OF SOURCE DATA: ACT and NSW split.")</definedName>
    <definedName name="SourceData_PastureBeef.NIR_2023_Vol2_A5_5_2_4_PastureBeef_CrudeProteinContent_Data">_xlfn.LAMBDA(_xlfn.MAKEARRAY(11, 6, _xlfn.LAMBDA(_xlpm.r,_xlpm.c, INDEX({"State","Region","Spring","Summer","Autumn","Winter";"ACT","",0.07,0.13,0.1,0.06;"NSW","",0.07,0.13,0.1,0.06;"NT","",0.058,0.092,0.075,0.053;"QLD","",0.072,0.099,0.078,0.059;"SA","",0.16,0.07,0.09,0.2;"TAS","",0.2,0.1,0.16,0.2;"VIC","",0.25,0.07,0.1,0.21;"WA","South West",0.2,0.09,0.06,0.2;"WA","Pilbara",0.04,0.12,0.09,0.06;"WA","Kimberley",0.04,0.12,0.09,0.06}, _xlpm.r, _xlpm.c))))</definedName>
    <definedName name="SourceData_PastureBeef.NIR_2023_Vol2_A5_5_2_4_PastureBeef_CrudeProteinContent_Source">_xlfn.LAMBDA("National Inventory Report 2023 Volume 2 - Table A5.5.2.4")</definedName>
    <definedName name="SourceData_PastureBeef.NIR_2023_Vol2_A5_5_2_4_PastureBeef_CrudeProteinContent_Title">_xlfn.LAMBDA("Beef cattle - Crude protein content of feed intake (fraction)")</definedName>
    <definedName name="SourceData_PastureBeef.NIR_2023_Vol2_A5_5_2_4_PastureBeef_CrudeProteinContent_Unit">_xlfn.LAMBDA("fraction")</definedName>
    <definedName name="SourceData_PastureBeef.NIR_2023_Vol2_A5_5_2_4_PastureBeef_CrudeProteinContent_Variation">_xlfn.LAMBDA("VARIATION OF SOURCE DATA: ACT and NSW split.")</definedName>
    <definedName name="SourceData_PastureBeef.NIR_2023_Vol2_A5_5_2_5_PastureBeef_CrudeProteinContent_Data">_xlfn.LAMBDA(_xlfn.MAKEARRAY(41, 5, _xlfn.LAMBDA(_xlpm.r,_xlpm.c, INDEX({"State","Region","Season","Feed adjustment","Milk intake / production (kg/day)";"ACT","","Spring",1.3,6;"ACT","","Summer",1.1,4;"ACT","","Autumn",0,0;"ACT","","Winter",0,0;"NSW","","Spring",1.3,6;"NSW","","Summer",1.1,4;"NSW","","Autumn",0,0;"NSW","","Winter",0,0;"NT","","Spring",0,0;"NT","","Summer",1.3,4;"NT","","Autumn",1.1,3;"NT","","Winter",0,0;"QLD","","Spring",0,0;"QLD","","Summer",1.3,4;"QLD","","Autumn",1.1,3;"QLD","","Winter",0,0;"SA","","Spring",0,0;"SA","","Summer",0,0;"SA","","Autumn",1.3,6;"SA","","Winter",1.1,4;"TAS","","Spring",1.3,6;"TAS","","Summer",1.1,4;"TAS","","Autumn",0,0;"TAS","","Winter",0,0;"VIC","","Spring",0,0;"VIC","","Summer",0,0;"VIC","","Autumn",1.3,6;"VIC","","Winter",1.1,4;"WA","South West","Spring",0,0;"WA","South West","Summer",0,0;"WA","South West","Autumn",1.3,6;"WA","South West","Winter",1.1,4;"WA","Pilbara","Spring",1.3,4;"WA","Pilbara","Summer",1.1,3;"WA","Pilbara","Autumn",0,0;"WA","Pilbara","Winter",0,0;"WA","Kimberley","Spring",0,0;"WA","Kimberley","Summer",1.3,4;"WA","Kimberley","Autumn",1.1,3;"WA","Kimberley","Winter",0,0}, _xlpm.r, _xlpm.c))))</definedName>
    <definedName name="SourceData_PastureBeef.NIR_2023_Vol2_A5_5_2_5_PastureBeef_CrudeProteinContent_Source">_xlfn.LAMBDA("National Inventory Report 2023 Volume 2 - Table A5.5.2.5")</definedName>
    <definedName name="SourceData_PastureBeef.NIR_2023_Vol2_A5_5_2_5_PastureBeef_CrudeProteinContent_Title">_xlfn.LAMBDA("Beef Cattle - Feed intake adjustment and milk production and production")</definedName>
    <definedName name="SourceData_PastureBeef.NIR_2023_Vol2_A5_5_2_5_PastureBeef_CrudeProteinContent_Unit">_xlfn.LAMBDA("")</definedName>
    <definedName name="SourceData_PastureBeef.NIR_2023_Vol2_A5_5_2_5_PastureBeef_CrudeProteinContent_Variation">_xlfn.LAMBDA("VARIATION OF SOURCE DATA: ACT and NSW split. State names replaced by abbreviations to aid data lookup.")</definedName>
    <definedName name="SourceData_PastureBeef.NIR_2023_Vol2_A5_5_2_6_PastureBeef_StandardReferenceWeights_Data">_xlfn.LAMBDA(_xlfn.MAKEARRAY(9, 8, _xlfn.LAMBDA(_xlpm.r,_xlpm.c, INDEX({"State","Bulls &lt; 1","Bulls &gt; 1","Cows &lt; 1","Cows 1-2","Cows &gt; 2","Steers &lt; 1","Steers &gt; 1";"ACT",700,700,600,500,500,500,600;"NSW",700,700,600,500,500,500,600;"Northern Territory",770,770,660,550,550,550,660;"Queensland",770,770,660,550,550,550,660;"South Australia",770,770,660,550,550,550,660;"Tasmania",770,770,660,550,550,550,660;"Victoria",770,770,660,550,550,550,660;"Western Australia",770,770,660,550,550,550,660}, _xlpm.r, _xlpm.c))))</definedName>
    <definedName name="SourceData_PastureBeef.NIR_2023_Vol2_A5_5_2_6_PastureBeef_StandardReferenceWeights_Source">_xlfn.LAMBDA("National Inventory Report 2023 Volume 2 - Table A5.5.2.6")</definedName>
    <definedName name="SourceData_PastureBeef.NIR_2023_Vol2_A5_5_2_6_PastureBeef_StandardReferenceWeights_Title">_xlfn.LAMBDA("Beef cattle - Standard reference weights (kg)")</definedName>
    <definedName name="SourceData_PastureBeef.NIR_2023_Vol2_A5_5_2_6_PastureBeef_StandardReferenceWeights_Unit">_xlfn.LAMBDA("kg")</definedName>
    <definedName name="SourceData_PastureBeef.NIR_2023_Vol2_A5_5_2_6_PastureBeef_StandardReferenceWeights_Variation">_xlfn.LAMBDA(_xlfn.MAKEARRAY(4, 1, _xlfn.LAMBDA(_xlpm.r,_xlpm.c, INDEX({"VARIATION OF SOURCE DATA:";"ACT and NSW split.";"State names replaced by abbreviations to aid data lookup.";"Pluralised 'Steer' to 'Steers' for consistency."}, _xlpm.r, _xlpm.c))))</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ourceData_Poultry.SourceData_Poultry_DietProperties_Data">_xlfn.LAMBDA(_xlfn.MAKEARRAY(6,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definedName>
    <definedName name="SourceData_Poultry.SourceData_Poultry_DietProperties_Source">_xlfn.LAMBDA("VEERG 2026: Table A.1.7.1: Poultry - Diet properties")</definedName>
    <definedName name="SourceData_Poultry.SourceData_Poultry_DietProperties_Title">_xlfn.LAMBDA("Poultry - Diet properties")</definedName>
    <definedName name="SourceData_Poultry.SourceData_Poultry_DietProperties_Unit">_xlfn.LAMBDA("")</definedName>
    <definedName name="SourceData_Poultry.SourceData_Poultry_DietProperties_Variation">_xlfn.LAMBDA("")</definedName>
    <definedName name="SourceData_Poultry.SourceData_Poultry_EFmT_Data">_xlfn.LAMBDA(_xlfn.MAKEARRAY(9, 3, _xlfn.LAMBDA(_xlpm.r,_xlpm.c, INDEX({"MMS m","EFmT","NIR reference";"Poultry manure with litter (housing)",0.001,"Poultry manure with bedding";"Poultry manure without litter (housing)",0.001,"Belt manure removal";"Poultry manure without litter (housing)",0.001,"Manure stored in house";"Pasture range and paddock (free range)",0.02,"Pasture range and paddock";"Solid storage (stockpile)",0.005,"Solid storage";"Composting (passive windrow)",0.01,"Composting (passive windrow)";"Direct processing",0,"Direct processing";"Anaerobic digester / covered pond",0,"Digester / covered lagoons"}, _xlpm.r, _xlpm.c))))</definedName>
    <definedName name="SourceData_Poultry.SourceData_Poultry_EFmT_Source">_xlfn.LAMBDA("VEERG 2026: Table A.1.7.3")</definedName>
    <definedName name="SourceData_Poultry.SourceData_Poultry_EFmT_Title">_xlfn.LAMBDA("Poultry - Nitrous oxide EFs by MMS (kgN2O-N/kgN) (EFmT)")</definedName>
    <definedName name="SourceData_Poultry.SourceData_Poultry_EFmT_Unit">_xlfn.LAMBDA("kgN2O - N / kgN")</definedName>
    <definedName name="SourceData_Poultry.SourceData_Poultry_EFmT_Variation">_xlfn.LAMBDA("VARIATION ON SOURCE: Added 'NIR definition column'. Duplicated 'Poultry manure without litter' row for NIR MMS 'Belt manure removal' and 'Manure stored in house'.")</definedName>
    <definedName name="SourceData_Poultry.SourceData_Poultry_FracGAMSSoil_Data">_xlfn.LAMBDA(0.21)</definedName>
    <definedName name="SourceData_Poultry.SourceData_Poultry_FracGAMSSoil_Source">_xlfn.LAMBDA("VEERG 2026: 4.6.2.3 CONSTANTS")</definedName>
    <definedName name="SourceData_Poultry.SourceData_Poultry_FracGAMSSoil_Title">_xlfn.LAMBDA("Fraction of nitrogen volatilised from urine and faeces deposited on pasture")</definedName>
    <definedName name="SourceData_Poultry.SourceData_Poultry_FracGAMSSoil_Unit">_xlfn.LAMBDA("(kg NH3-N + NOx-N)/kg N")</definedName>
    <definedName name="SourceData_Poultry.SourceData_Poultry_FracGAMSSoil_Variable">_xlfn.LAMBDA("FracGASM_soil")</definedName>
    <definedName name="SourceData_Poultry.SourceData_Poultry_FracGAMSSoil_Variation">_xlfn.LAMBDA("VARIATION ON SOURCE: This constant is not documented in the draft, used the same value of 0.21 as all other livestock.")</definedName>
    <definedName name="SourceData_Poultry.SourceData_Poultry_FracGASMmT_Data">_xlfn.LAMBDA(_xlfn.MAKEARRAY(8, 3, _xlfn.LAMBDA(_xlpm.r,_xlpm.c, INDEX({"MMS m","FracGASMmT","NIR reference";"Poultry manure with litter (housing)",0.3,"Poultry manure with bedding";"Poultry manure without litter (housing) Belt manure removal",0.05,"Belt manure removal";"Poultry manure without litter (housing) Manure stored in house under cages or slat",0.4,"Manure stored in house";"Solid storage (stockpile)",0.2,"Solid storage";"Composting (passive windrow)",0.2,"Composting (passive windrow)";"Direct processing",0,"Direct processing";"Anaerobic digester / covered pond",0,"Digester / covered lagoons"}, _xlpm.r, _xlpm.c))))</definedName>
    <definedName name="SourceData_Poultry.SourceData_Poultry_FracGASMmT_Source">_xlfn.LAMBDA("VEERG 2026: Table A.1.7.2")</definedName>
    <definedName name="SourceData_Poultry.SourceData_Poultry_FracGASMmT_Title">_xlfn.LAMBDA("Poultry - Fraction of N volatilised by MMS ((kg NH3-N + NOx-N)/kgN) (FracGASMmT)")</definedName>
    <definedName name="SourceData_Poultry.SourceData_Poultry_FracGASMmT_Unit">_xlfn.LAMBDA("(kg NH3-N + NOx-N)/kgN")</definedName>
    <definedName name="SourceData_Poultry.SourceData_Poultry_FracGASMmT_Variation">_xlfn.LAMBDA("VARIATION ON SOURCE: Added 'NIR definition column'.")</definedName>
    <definedName name="SourceData_Poultry.SourceData_Poultry_FractionOfNitrogenLostThroughLeachingAndRunoff_Data">_xlfn.LAMBDA(0.02)</definedName>
    <definedName name="SourceData_Poultry.SourceData_Poultry_FractionOfNitrogenLostThroughLeachingAndRunoff_Source">_xlfn.LAMBDA("VEERG 2026: 4.6.2.3 CONSTANTS")</definedName>
    <definedName name="SourceData_Poultry.SourceData_Poultry_FractionOfNitrogenLostThroughLeachingAndRunoff_Title">_xlfn.LAMBDA("Fraction of N that is lost through leaching and runoff")</definedName>
    <definedName name="SourceData_Poultry.SourceData_Poultry_FractionOfNitrogenLostThroughLeachingAndRunoff_Unit">_xlfn.LAMBDA("Dimensionless")</definedName>
    <definedName name="SourceData_Poultry.SourceData_Poultry_FractionOfNitrogenLostThroughLeachingAndRunoff_Variable">_xlfn.LAMBDA("Frac_LEACH_MS")</definedName>
    <definedName name="SourceData_Poultry.SourceData_Poultry_FractionOfNitrogenLostThroughLeachingAndRunoff_Variation">_xlfn.LAMBDA("")</definedName>
    <definedName name="SourceData_Poultry.SourceData_Poultry_Liveweights_Data">_xlfn.LAMBDA(_xlfn.MAKEARRAY(9, 3, _xlfn.LAMBDA(_xlpm.r,_xlpm.c, INDEX({"Livestock Class j","Average Liveweight (kg)";"Chicken",1.3;"Hen &gt;/=1 yr",2;"Pullets",1.4;"Broilers",1.2}, _xlpm.r, _xlpm.c))))</definedName>
    <definedName name="SourceData_Poultry.SourceData_Poultry_Liveweights_Source">_xlfn.LAMBDA("VEERG 2026: Table A.1.7.5")</definedName>
    <definedName name="SourceData_Poultry.SourceData_Poultry_Liveweights_Title">_xlfn.LAMBDA("Poultry - Liveweights (Wco) (kg)")</definedName>
    <definedName name="SourceData_Poultry.SourceData_Poultry_Liveweights_Unit">_xlfn.LAMBDA("kg")</definedName>
    <definedName name="SourceData_Poultry.SourceData_Poultry_Liveweights_Variation">_xlfn.LAMBDA("")</definedName>
    <definedName name="SourceData_Poultry.SourceData_Poultry_MCF_Data">_xlfn.LAMBDA(_xlfn.MAKEARRAY(10, 11, _xlfn.LAMBDA(_xlpm.r,_xlpm.c, INDEX({"MMS m","All states","NSW","ACT","QLD","NT","VIC","SA","WA","TAS","NIR definition";"Poultry manure with litter",0.015,0.015,0.015,0.015,0.015,0.015,0.015,0.015,0.015,"Poultry manure with bedding";"Poultry manure without litter",0.015,0.015,0.015,0.015,0.015,0.015,0.015,0.015,0.015,"Belt manure removal";"Poultry manure without litter",0.015,0.015,0.015,0.015,0.015,0.015,0.015,0.015,0.015,"Manure stored in house";"Pasture range and paddock","n/a",0.01,0.01,0.03,0.03,0.01,0.01,0.01,0.01,"Pasture range and paddock";"Solid storage",0.02,0.02,0.02,0.02,0.02,0.02,0.02,0.02,0.02,"Solid storage";"Composting (passive windrow)","n/a",0.01,0.01,0.01,0.01,0.01,0.01,0.01,0.005,"Composting (passive windrow)";"Anaerobic digester / Covered pond",0.1,0.1,0.1,0.1,0.1,0.1,0.1,0.1,0.1,"Digester / covered lagoons";"Direct processing",0,0,0,0,0,0,0,0,0,"Direct processing";"Direct application to soil",0,0,0,0,0,0,0,0,0,"Direct application"}, _xlpm.r, _xlpm.c))))</definedName>
    <definedName name="SourceData_Poultry.SourceData_Poultry_MCF_Notes">_xlfn.LAMBDA("'Pasture range and paddock' applies MCF for drylot.")</definedName>
    <definedName name="SourceData_Poultry.SourceData_Poultry_MCF_Source">_xlfn.LAMBDA("VEERG 2026: Table A.1.7.4: Poultry - MCFs")</definedName>
    <definedName name="SourceData_Poultry.SourceData_Poultry_MCF_Title">_xlfn.LAMBDA("Poultry - MCFs")</definedName>
    <definedName name="SourceData_Poultry.SourceData_Poultry_MCF_Unit">_xlfn.LAMBDA("")</definedName>
    <definedName name="SourceData_Poultry.SourceData_Poultry_MCF_Variation">_xlfn.LAMBDA(_xlfn.MAKEARRAY(5, 1, _xlfn.LAMBDA(_xlpm.r,_xlpm.c, INDEX({"VARIATION ON SOURCE:";"Split NSW and ACT into separate states. Split QLD and NT into separate states.";"Included values for each state when 'All states' value is given.";"Added 'NIR definition' column with MMS names that match NIR definitions.";"Duplicated 'Poultry manure without litter' row for NIR MMS 'Belt manure removal' and 'Manure stored in house'"}, _xlpm.r, _xlpm.c))))</definedName>
    <definedName name="SourceData_Poultry.SourceData_Poultry_MethaneEmissionsPotential_Data">_xlfn.LAMBDA(_xlfn.MAKEARRAY(3, 2, _xlfn.LAMBDA(_xlpm.r,_xlpm.c, INDEX({"Poultry class","B0";"Layers",0.39;"Meat chickens",0.36}, _xlpm.r, _xlpm.c))))</definedName>
    <definedName name="SourceData_Poultry.SourceData_Poultry_MethaneEmissionsPotential_Source">_xlfn.LAMBDA("VEERG 2026: 4.6.2.3 CONSTANT: Poultry - Methane emissions potential per class")</definedName>
    <definedName name="SourceData_Poultry.SourceData_Poultry_MethaneEmissionsPotential_Title">_xlfn.LAMBDA("Poultry - Methane emissions potential per class")</definedName>
    <definedName name="SourceData_Poultry.SourceData_Poultry_MethaneEmissionsPotential_Unit">_xlfn.LAMBDA("m3 CH4/kg VS")</definedName>
    <definedName name="SourceData_Poultry.SourceData_Poultry_MethaneEmissionsPotential_Variation">_xlfn.LAMBDA("")</definedName>
    <definedName name="SourceData_Poultry.SourceData_Poultry_ProductionSystems_Data">_xlfn.LAMBDA(_xlfn.MAKEARRAY(4, 1, _xlfn.LAMBDA(_xlpm.r,_xlpm.c, INDEX({"Production system";"Free range";"Barn";"Cage"}, _xlpm.r, _xlpm.c))))</definedName>
    <definedName name="SourceData_Poultry.SourceData_Poultry_ProductionSystems_Source">_xlfn.LAMBDA("VEERG 2026: 4.6 Poultry")</definedName>
    <definedName name="SourceData_Poultry.SourceData_Poultry_ProductionSystems_Title">_xlfn.LAMBDA("Poultry - Production systems")</definedName>
    <definedName name="SourceData_Poultry.SourceData_Poultry_ProductionSystems_Unit">_xlfn.LAMBDA("")</definedName>
    <definedName name="SourceData_Poultry.SourceData_Poultry_ProductionSystems_Variation">_xlfn.LAMBDA("")</definedName>
    <definedName name="SourceData_Poultry.SourceData_Poultry_VSL_Data">_xlfn.LAMBDA(_xlfn.MAKEARRAY(4, 3, _xlfn.LAMBDA(_xlpm.r,_xlpm.c, INDEX({"MMS","VSL","NIR definition";"Poultry manure with litter",0.15,"Poultry manure with bedding";"Poultry manure without litter - stored in house",0.2,"Manure stored in house";"Poultry manure without litter - belt removal",0,"Belt manure removal"}, _xlpm.r, _xlpm.c))))</definedName>
    <definedName name="SourceData_Poultry.SourceData_Poultry_VSL_Source">_xlfn.LAMBDA("VEERG 2026: 4.6.2.3 CONSTANT")</definedName>
    <definedName name="SourceData_Poultry.SourceData_Poultry_VSL_Title">_xlfn.LAMBDA("Poultry - Fraction of volatile solids lost in the primary MMS")</definedName>
    <definedName name="SourceData_Poultry.SourceData_Poultry_VSL_Unit">_xlfn.LAMBDA("")</definedName>
    <definedName name="SourceData_Poultry.SourceData_Poultry_VSL_Variation">_xlfn.LAMBDA("VARIATION ON SOURCE: Table generated from line items. Added 'NIR definition column'.")</definedName>
    <definedName name="SourceData_Swine.SourceData_Swine_AverageLiveweight_Data">_xlfn.LAMBDA(_xlfn.MAKEARRAY(6, 2, _xlfn.LAMBDA(_xlpm.r,_xlpm.c, INDEX({"Livestock Type j","Average Liveweight (kg)";"Sows",188;"Boars",206;"Gilts",125;"Slaughter pigs",39;"Slaughter pigs at turnoff",97}, _xlpm.r, _xlpm.c))))</definedName>
    <definedName name="SourceData_Swine.SourceData_Swine_AverageLiveweight_Source">_xlfn.LAMBDA("VEERG 2026: Table A.1.6.5: Swine - Average liveweight (inventory defaults) (kg) (Wco)")</definedName>
    <definedName name="SourceData_Swine.SourceData_Swine_AverageLiveweight_Title">_xlfn.LAMBDA("Swine - Average liveweight (inventory defaults) (kg) (Wco)")</definedName>
    <definedName name="SourceData_Swine.SourceData_Swine_AverageLiveweight_Unit">_xlfn.LAMBDA("kg")</definedName>
    <definedName name="SourceData_Swine.SourceData_Swine_AverageLiveweight_Variation">_xlfn.LAMBDA(".")</definedName>
    <definedName name="SourceData_Swine.SourceData_Swine_FeedIntake_Data">_xlfn.LAMBDA(_xlfn.MAKEARRAY(5, 2, _xlfn.LAMBDA(_xlpm.r,_xlpm.c, INDEX({"Class","Ij";"Boars",2.62;"Sows",2.3;"Gilts",2.5;"Others",1.71}, _xlpm.r, _xlpm.c))))</definedName>
    <definedName name="SourceData_Swine.SourceData_Swine_FeedIntake_Source">_xlfn.LAMBDA("VEERG 2026: Table A.1.6.1: Swine - Intake and manure characteristics derived from PigBal")</definedName>
    <definedName name="SourceData_Swine.SourceData_Swine_FeedIntake_Title">_xlfn.LAMBDA("Swine - Feed intake - ingested as fed  (Ij) - 2020 to 2024")</definedName>
    <definedName name="SourceData_Swine.SourceData_Swine_FeedIntake_Unit">_xlfn.LAMBDA("kg/head/day")</definedName>
    <definedName name="SourceData_Swine.SourceData_Swine_FeedIntake_Variation">_xlfn.LAMBDA("VARIATION ON SOURCE DATA: Only uses data for 2020-2024. Use 'Slaughter pigs' data for 'Other j=4' class.")</definedName>
    <definedName name="SourceData_Swine.SourceData_Swine_FracLEACH_DrylotMMS_Data">_xlfn.LAMBDA(0.02)</definedName>
    <definedName name="SourceData_Swine.SourceData_Swine_FracLEACH_DrylotMMS_Source">_xlfn.LAMBDA("VEERG 2026: 4.5.2.3 CONSTANT")</definedName>
    <definedName name="SourceData_Swine.SourceData_Swine_FracLEACH_DrylotMMS_Title">_xlfn.LAMBDA("Fraction of nitrogen lost through leaching and runoff for drylot MMS")</definedName>
    <definedName name="SourceData_Swine.SourceData_Swine_FracLEACH_DrylotMMS_Unit">_xlfn.LAMBDA("fraction")</definedName>
    <definedName name="SourceData_Swine.SourceData_Swine_FracLEACH_DrylotMMS_Variable">_xlfn.LAMBDA("FracLEACH_MS")</definedName>
    <definedName name="SourceData_Swine.SourceData_Swine_FracLEACH_DrylotMMS_Variation">_xlfn.LAMBDA("VARIATION ON SOURCE: Text refers to 'solid storage' MMS, but equation refers to 'drylot' MMS.")</definedName>
    <definedName name="SourceData_Swine.SourceData_Swine_FractionNVolatilised_Data">_xlfn.LAMBDA(_xlfn.MAKEARRAY(7, 3, _xlfn.LAMBDA(_xlpm.r,_xlpm.c, INDEX({"MMSm","FracGASMmT","NIR reference";"Outdoor (Dry lot)",0.3,"Drylot (feed pad)";"Deep litter",0.125,"Deep litter";"Stockpile (Solid storage)",0.2,"Solid storage";"Effluent pond (Uncovered anaerobic lagoon)",0.55,"Anaerobic lagoon";"Anaerobic digester / Covered lagoon",0,"Digester / covered lagoons";"Short HRT tank storage &lt; 1 month (pit storage)",0.25,"Pit storage"}, _xlpm.r, _xlpm.c))))</definedName>
    <definedName name="SourceData_Swine.SourceData_Swine_FractionNVolatilised_Source">_xlfn.LAMBDA("VEERG 2026: Table A.1.6.2: Swine - Fraction of N volatilised by MMS ((kg NH3-N + NOx-N)/kgN) (FracGASMmT)")</definedName>
    <definedName name="SourceData_Swine.SourceData_Swine_FractionNVolatilised_Title">_xlfn.LAMBDA("Swine - Fraction of nitrogen volatilised (FracGASMmT)")</definedName>
    <definedName name="SourceData_Swine.SourceData_Swine_FractionNVolatilised_Unit">_xlfn.LAMBDA("(kg NH3-N + NOx-N)/kgN")</definedName>
    <definedName name="SourceData_Swine.SourceData_Swine_FractionNVolatilised_Variation">_xlfn.LAMBDA("VARIATION ON SOURCE DATA: Added 'NIR reference column to aid lookup.")</definedName>
    <definedName name="SourceData_Swine.SourceData_Swine_MegajoulesPerKilogramMethane_Data">_xlfn.LAMBDA(55.22)</definedName>
    <definedName name="SourceData_Swine.SourceData_Swine_MegajoulesPerKilogramMethane_Source">_xlfn.LAMBDA("VEERG 2026: 3.5.2.3 CONSTANT")</definedName>
    <definedName name="SourceData_Swine.SourceData_Swine_MegajoulesPerKilogramMethane_Title">_xlfn.LAMBDA("Megajoules per kilogram of methane")</definedName>
    <definedName name="SourceData_Swine.SourceData_Swine_MegajoulesPerKilogramMethane_Unit">_xlfn.LAMBDA("MJ / kg CH4")</definedName>
    <definedName name="SourceData_Swine.SourceData_Swine_MegajoulesPerKilogramMethane_Variable">_xlfn.LAMBDA("F")</definedName>
    <definedName name="SourceData_Swine.SourceData_Swine_MegajoulesPerKilogramMethane_Variation">_xlfn.LAMBDA("")</definedName>
    <definedName name="SourceData_Swine.SourceData_Swine_MethaneVolatileSolidsEmissionsPotential_Data">_xlfn.LAMBDA(0.19)</definedName>
    <definedName name="SourceData_Swine.SourceData_Swine_MethaneVolatileSolidsEmissionsPotential_Source">_xlfn.LAMBDA("IPCC (2019), Chapter 10 [4]")</definedName>
    <definedName name="SourceData_Swine.SourceData_Swine_MethaneVolatileSolidsEmissionsPotential_Title">_xlfn.LAMBDA("Emissions potential of methane per kilogram of volatile solids")</definedName>
    <definedName name="SourceData_Swine.SourceData_Swine_MethaneVolatileSolidsEmissionsPotential_Unit">_xlfn.LAMBDA("m3 CH4 / kg VS")</definedName>
    <definedName name="SourceData_Swine.SourceData_Swine_MethaneVolatileSolidsEmissionsPotential_Variable">_xlfn.LAMBDA("B0")</definedName>
    <definedName name="SourceData_Swine.SourceData_Swine_MethaneVolatileSolidsEmissionsPotential_Variation">_xlfn.LAMBDA("")</definedName>
    <definedName name="SourceData_Swine.SourceData_Swine_MMS_MCFs_Data">_xlfn.LAMBDA(_xlfn.MAKEARRAY(8,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definedName>
    <definedName name="SourceData_Swine.SourceData_Swine_MMS_MCFs_Source">_xlfn.LAMBDA("VEERG 2026: Table A.1.6.4: Swine - MCFs (MCFim)")</definedName>
    <definedName name="SourceData_Swine.SourceData_Swine_MMS_MCFs_Title">_xlfn.LAMBDA("Methane conversion factor for temperature zone and manure management system.")</definedName>
    <definedName name="SourceData_Swine.SourceData_Swine_MMS_MCFs_Unit">_xlfn.LAMBDA("")</definedName>
    <definedName name="SourceData_Swine.SourceData_Swine_MMS_MCFs_Variation">_xlfn.LAMBDA("VARIATION ON SOURCE DATA: Added columns for ACT, split QLD and NT. Added extra column with MMS names that match NIR definitions")</definedName>
    <definedName name="SourceData_Swine.SourceData_Swine_NitrogenInWaste_Data">_xlfn.LAMBDA(_xlfn.MAKEARRAY(5, 4, _xlfn.LAMBDA(_xlpm.r,_xlpm.c, INDEX({"Class","NWj","NWj daily","Class name";"Boars",0.046,0.046,"Boars";"Sows",0.049,0.049,"Sows";"Gilts",0.046,0.046,"Gilts";"Others (kg/head/year)",11.4,0.0312,"Others"}, _xlpm.r, _xlpm.c))))</definedName>
    <definedName name="SourceData_Swine.SourceData_Swine_NitrogenInWaste_Source">_xlfn.LAMBDA("VEERG 2026: Table A.1.6.1: Swine - Intake and manure characteristics derived from PigBal")</definedName>
    <definedName name="SourceData_Swine.SourceData_Swine_NitrogenInWaste_Title">_xlfn.LAMBDA("Swine - Nitrogen in waste (NWj) - 2020 to 2024")</definedName>
    <definedName name="SourceData_Swine.SourceData_Swine_NitrogenInWaste_Unit">_xlfn.LAMBDA("kg/head/day")</definedName>
    <definedName name="SourceData_Swine.SourceData_Swine_NitrogenInWaste_Variation">_xlfn.LAMBDA("VARIATION ON SOURCE DATA: Only uses data for 2020-2024. Use 'Slaughter pigs' data for 'Other j=4' class. Added 'NWj daily' column to provide daily value for Others class. Added 'Class name' column to aid lookup.")</definedName>
    <definedName name="SourceData_Swine.SourceData_Swine_NitrousOxideEFs_Data">_xlfn.LAMBDA(_xlfn.MAKEARRAY(7, 3, _xlfn.LAMBDA(_xlpm.r,_xlpm.c, INDEX({"MMSm","EFmT","NIR reference";"Outdoor (Dry lot)",0.02,"Drylot (feed pad)";"Deep litter",0.01,"Deep litter";"Stockpile (Solid storage)",0.005,"Solid storage";"Effluent pond (Uncovered anaerobic lagoon)",0,"Anaerobic lagoon";"Anaerobic digestor / Covered lagoon",0,"Digester / covered lagoons";"Short HRT tank storage &lt; 1 month (pit storage)",0.002,"Pit storage"}, _xlpm.r, _xlpm.c))))</definedName>
    <definedName name="SourceData_Swine.SourceData_Swine_NitrousOxideEFs_Source">_xlfn.LAMBDA("VEERG 2026: Table A.1.6.3: Swine - Nitrous oxide EFs by MMS (kgN2O-N/kgN) (EFmT)")</definedName>
    <definedName name="SourceData_Swine.SourceData_Swine_NitrousOxideEFs_Title">_xlfn.LAMBDA("Swine - Nitrous oxide EFs by MMS (EFmT)")</definedName>
    <definedName name="SourceData_Swine.SourceData_Swine_NitrousOxideEFs_Unit">_xlfn.LAMBDA("kgN2O - N / kgN")</definedName>
    <definedName name="SourceData_Swine.SourceData_Swine_NitrousOxideEFs_Variation">_xlfn.LAMBDA("VARIATION ON SOURCE DATA: Added 'NIR reference column to aid lookup.")</definedName>
    <definedName name="SourceData_Swine.SourceData_Swine_ProductionSystems_Data">_xlfn.LAMBDA(_xlfn.MAKEARRAY(4, 1, _xlfn.LAMBDA(_xlpm.r,_xlpm.c, INDEX({"Production system";"Conventional housing";"Deep litter housing";"Outdoor/free range"}, _xlpm.r, _xlpm.c))))</definedName>
    <definedName name="SourceData_Swine.SourceData_Swine_ProductionSystems_Source">_xlfn.LAMBDA("VEERG 2026: 4.5 Swine Figure 4.8")</definedName>
    <definedName name="SourceData_Swine.SourceData_Swine_ProductionSystems_Title">_xlfn.LAMBDA("Swine production systems")</definedName>
    <definedName name="SourceData_Swine.SourceData_Swine_ProductionSystems_Unit">_xlfn.LAMBDA("")</definedName>
    <definedName name="SourceData_Swine.SourceData_Swine_ProductionSystems_Variation">_xlfn.LAMBDA("")</definedName>
    <definedName name="SourceData_Swine.SourceData_Swine_VolatileSolids_Data">_xlfn.LAMBDA(_xlfn.MAKEARRAY(5, 2, _xlfn.LAMBDA(_xlpm.r,_xlpm.c, INDEX({"Class","VSj";"Boars",0.4;"Sows",0.46;"Gilts",0.55;"Others",0.39}, _xlpm.r, _xlpm.c))))</definedName>
    <definedName name="SourceData_Swine.SourceData_Swine_VolatileSolids_Source">_xlfn.LAMBDA("VEERG 2026: Table A.1.6.1: Swine - Intake and manure characteristics derived from PigBal")</definedName>
    <definedName name="SourceData_Swine.SourceData_Swine_VolatileSolids_Title">_xlfn.LAMBDA("Swine - Volatile solids (VSj) - 2020 to 2024")</definedName>
    <definedName name="SourceData_Swine.SourceData_Swine_VolatileSolids_Unit">_xlfn.LAMBDA("kg/head/day")</definedName>
    <definedName name="SourceData_Swine.SourceData_Swine_VolatileSolids_Variation">_xlfn.LAMBDA("VARIATION ON SOURCE DATA: Only uses data for 2020-2024. Use 'Slaughter pigs' data for 'Other j=4' class.")</definedName>
    <definedName name="Step1">#REF!</definedName>
    <definedName name="Step2">#REF!</definedName>
    <definedName name="Step3">#REF!</definedName>
    <definedName name="ValidLivestockClass">_xlfn.UNIQUE(_xlfn._xlws.FILTER(#REF!,#REF! =#REF!))</definedName>
    <definedName name="WasteSolid_Equations.VEERG_10_1_1_1__1_EmissionsFromWasteManagement">_xlfn.LAMBDA(_xlpm.Q_wt,_xlpm.EF_wtg, _xlpm.Q_wt * _xlpm.EF_wtg)</definedName>
    <definedName name="WasteSolid_Equations.VEERG_10_1_1_1__1_EmissionsFromWasteManagement_Arguments">_xlfn.LAMBDA(_xlfn.MAKEARRAY(7, 4, _xlfn.LAMBDA(_xlpm.r,_xlpm.c, INDEX({"Q_wt","quantity of solid waste of type w being sent to treatment facility t, on a wet weight basis","t","Sum of Q_volwt and Q_masswt";"EF_wtg","emission factor for greenhouse gas g for the management of waste at treatment facility t","t CO2e/t","Constant";"w","waste type","","Input";"t","treatment facility","","Input";"g","greenhouse gas","","Input";"Q_volwt","quantity of sold waste input as volume and converted to tonnes","tonnes","Calculated from 10.1.1.1 (2)";"Q_masswt","quantity of solid waste input as mass","tonnes","Input"}, _xlpm.r, _xlpm.c))))</definedName>
    <definedName name="WasteSolid_Equations.VEERG_10_1_1_1__1_EmissionsFromWasteManagement_LatexEquation">_xlfn.LAMBDA("E_g=\sum\nolimits_t\sum\nolimits_w(Q_{wt}\times EF_{wtg})")</definedName>
    <definedName name="WasteSolid_Equations.VEERG_10_1_1_1__1_EmissionsFromWasteManagement_NIRReference">_xlfn.LAMBDA("")</definedName>
    <definedName name="WasteSolid_Equations.VEERG_10_1_1_1__1_EmissionsFromWasteManagement_Source">_xlfn.LAMBDA("VEERG 2026: 10.1.1.1, Equation (1)")</definedName>
    <definedName name="WasteSolid_Equations.VEERG_10_1_1_1__1_EmissionsFromWasteManagement_Title">_xlfn.LAMBDA("Emissions from waste management by greenhouse gas")</definedName>
    <definedName name="WasteSolid_Equations.VEERG_10_1_1_1__1_EmissionsFromWasteManagement_Unit">_xlfn.LAMBDA("t CO2e")</definedName>
    <definedName name="WasteSolid_Equations.VEERG_10_1_1_1__1_EmissionsFromWasteManagement_Variable">_xlfn.LAMBDA("E_g")</definedName>
    <definedName name="WasteSolid_Equations.VEERG_10_1_1_1__1_EmissionsFromWasteManagement_Variation">_xlfn.LAMBDA("VARIATION ON SOURCE: Added Q_volwt and Q_masswt variables to clearly track input or calculated Q values")</definedName>
    <definedName name="WasteSolid_Equations.VEERG_10_1_1_1__2_MassOfWasteFromVolume">_xlfn.LAMBDA(_xlpm.V_wt,_xlpm.VTM_w, _xlpm.V_wt * _xlpm.VTM_w)</definedName>
    <definedName name="WasteSolid_Equations.VEERG_10_1_1_1__2_MassOfWasteFromVolume_Arguments">_xlfn.LAMBDA(_xlfn.MAKEARRAY(4, 4, _xlfn.LAMBDA(_xlpm.r,_xlpm.c, INDEX({"V_wt","volume of solid waste type w being sent to treatment facility t","m3","Input";"VTM_w","conversion factor of volume to mass for waste type w","t/m3","Constant";"w","waste type","","Input";"t","treatment facility","","Input"}, _xlpm.r, _xlpm.c))))</definedName>
    <definedName name="WasteSolid_Equations.VEERG_10_1_1_1__2_MassOfWasteFromVolume_LatexEquation">_xlfn.LAMBDA("Q_{wt}=V_{wt}\times VTM_w")</definedName>
    <definedName name="WasteSolid_Equations.VEERG_10_1_1_1__2_MassOfWasteFromVolume_NIRReference">_xlfn.LAMBDA("")</definedName>
    <definedName name="WasteSolid_Equations.VEERG_10_1_1_1__2_MassOfWasteFromVolume_Source">_xlfn.LAMBDA("VEERG 2026: 10.1.1.1, Equation (2)")</definedName>
    <definedName name="WasteSolid_Equations.VEERG_10_1_1_1__2_MassOfWasteFromVolume_Title">_xlfn.LAMBDA("Mass of waste from waste volume")</definedName>
    <definedName name="WasteSolid_Equations.VEERG_10_1_1_1__2_MassOfWasteFromVolume_Unit">_xlfn.LAMBDA("t")</definedName>
    <definedName name="WasteSolid_Equations.VEERG_10_1_1_1__2_MassOfWasteFromVolume_Variable">_xlfn.LAMBDA("Q_wt")</definedName>
    <definedName name="WasteSolid_InputFunctions.WasteSolid_InputFunctions_SumWasteTreatment">_xlfn.LAMBDA(_xlpm.TreatmentArray,_xlpm.WasteArray,_xlpm.TreatmentLocationArray,_xlpm.UnitArray,_xlpm.AmountArray,_xlpm.TreatmentType,_xlpm.WasteType,_xlpm.TreatmentLocationType,_xlpm.UnitType, SUMIFS(_xlpm.AmountArray, _xlpm.TreatmentArray, _xlpm.TreatmentType, _xlpm.WasteArray, _xlpm.WasteType, _xlpm.TreatmentLocationArray, _xlpm.TreatmentLocationType, _xlpm.UnitArray, _xlpm.UnitType))</definedName>
    <definedName name="WasteSolid_SourceData.Waste_EmissionFactorsForWasteTreatment_Data">_xlfn.LAMBDA(_xlfn.MAKEARRAY(21, 4, _xlfn.LAMBDA(_xlpm.r,_xlpm.c, INDEX({"Treatment type t","Waste type w","EFwt","EF source";"Landfill","Food waste (including animal carcasses, spoiled animal feed or crop)",2.1,"NGAF 2025 table 15";"Landfill","Paper and cardboard",3.3,"NGAF 2025 table 15";"Landfill","Green waste (including crop residues or prunnings)",1.6,"NGAF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sludge",0,"";"Incineration","Paper and cardboard",0.0169,"";"Incineration","Textiles",0.3667,"";"Incineration","Rubber and leather",0.4919,"";"Incineration","Inert Waste",0.11,"";"Incineration","Municipal Solid Waste",0.0537,"NGAF 2025 Table 18";"Incineration","Industrial Waste",1.649,"NGAF 2025 Table 18";"Composting","All organic waste",0.046,"NGAF 2025 Table 19";"Anaerobic digestion","All organic waste",0.028,"NGAF 2025 Table 19"}, _xlpm.r, _xlpm.c))))</definedName>
    <definedName name="WasteSolid_SourceData.Waste_EmissionFactorsForWasteTreatment_Source">_xlfn.LAMBDA(("VEERG 2026: Table A.4.1.1"))</definedName>
    <definedName name="WasteSolid_SourceData.Waste_EmissionFactorsForWasteTreatment_Title">_xlfn.LAMBDA(("Emission factors for wastes disposed of at different treatment facilities"))</definedName>
    <definedName name="WasteSolid_SourceData.Waste_EmissionFactorsForWasteTreatment_Unit">_xlfn.LAMBDA(("t CO2e / t"))</definedName>
    <definedName name="WasteSolid_SourceData.Waste_EmissionFactorsForWasteTreatment_Variable">_xlfn.LAMBDA(("EFwt"))</definedName>
    <definedName name="WasteSolid_SourceData.Waste_EmissionFactorsForWasteTreatment_Variation">_xlfn.LAMBDA(("VARIATION ON SOURCE: Fixed typo 'paper and carboard' to 'paper and cardboard'. Added EF source column with specific references."))</definedName>
    <definedName name="WasteSolid_SourceData.Waste_WasteVolumeToMassConversion_Data">_xlfn.LAMBDA(_xlfn.MAKEARRAY(12, 2, _xlfn.LAMBDA(_xlpm.r,_xlpm.c, INDEX({"Waste type w","VTMw";"Food waste (including animal carcasses, spoiled animal feed or crop)",0.5;"Paper and cardboard",0.09;"Green waste (including crop residues or prunings)",0.24;"Wood",0.15;"Textiles",0.14;"Sludge",0.72;"Rubber and leather",0.14;"Inert waste (including concrete, metal, plastic or glass)",0.42;"Municipal solid waste",0.36;"Commercial and industrial waste",0.33;"Construction and demolition waste",0.39}, _xlpm.r, _xlpm.c))))</definedName>
    <definedName name="WasteSolid_SourceData.Waste_WasteVolumeToMassConversion_Source">_xlfn.LAMBDA(("VEERG 2026: Table A.4.1.2"))</definedName>
    <definedName name="WasteSolid_SourceData.Waste_WasteVolumeToMassConversion_Title">_xlfn.LAMBDA(("Volume to mass conversion factor for various waste types"))</definedName>
    <definedName name="WasteSolid_SourceData.Waste_WasteVolumeToMassConversion_Unit">_xlfn.LAMBDA(("t/m3"))</definedName>
    <definedName name="WasteSolid_SourceData.Waste_WasteVolumeToMassConversion_Variable">_xlfn.LAMBDA(("VTMw"))</definedName>
    <definedName name="WasteSolid_SourceData.Waste_WasteVolumeToMassConversion_Variation">_xlfn.LAMBDA(("VARIATION OF SOURCE: Changed column header CFw to VTMw to match title variable."))</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E153" i="22" l="1"/>
  <c r="F153" i="22"/>
  <c r="G153" i="22"/>
  <c r="H153" i="22"/>
  <c r="I153" i="22"/>
  <c r="J153" i="22"/>
  <c r="K153" i="22"/>
  <c r="L153" i="22"/>
  <c r="M153" i="22"/>
  <c r="N153" i="22"/>
  <c r="O153" i="22"/>
  <c r="P153" i="22"/>
  <c r="E152" i="22"/>
  <c r="F152" i="22"/>
  <c r="G152" i="22"/>
  <c r="H152" i="22"/>
  <c r="I152" i="22"/>
  <c r="J152" i="22"/>
  <c r="K152" i="22"/>
  <c r="L152" i="22"/>
  <c r="M152" i="22"/>
  <c r="N152" i="22"/>
  <c r="O152" i="22"/>
  <c r="P152" i="22"/>
  <c r="E151" i="22"/>
  <c r="F151" i="22"/>
  <c r="G151" i="22"/>
  <c r="H151" i="22"/>
  <c r="I151" i="22"/>
  <c r="J151" i="22"/>
  <c r="K151" i="22"/>
  <c r="L151" i="22"/>
  <c r="M151" i="22"/>
  <c r="N151" i="22"/>
  <c r="O151" i="22"/>
  <c r="P151" i="22"/>
  <c r="E150" i="22"/>
  <c r="F150" i="22"/>
  <c r="G150" i="22"/>
  <c r="H150" i="22"/>
  <c r="I150" i="22"/>
  <c r="J150" i="22"/>
  <c r="K150" i="22"/>
  <c r="L150" i="22"/>
  <c r="M150" i="22"/>
  <c r="N150" i="22"/>
  <c r="O150" i="22"/>
  <c r="P150" i="22"/>
  <c r="J634" i="19"/>
  <c r="J633" i="19"/>
  <c r="J632" i="19"/>
  <c r="J631" i="19"/>
  <c r="J630" i="19"/>
  <c r="J629" i="19"/>
  <c r="J628" i="19"/>
  <c r="J627" i="19"/>
  <c r="J626" i="19"/>
  <c r="J625" i="19"/>
  <c r="J616" i="19"/>
  <c r="J615" i="19"/>
  <c r="J614" i="19"/>
  <c r="J613" i="19"/>
  <c r="J612" i="19"/>
  <c r="J611" i="19"/>
  <c r="J610" i="19"/>
  <c r="J609" i="19"/>
  <c r="J608" i="19"/>
  <c r="J607" i="19"/>
  <c r="K499" i="19"/>
  <c r="K498" i="19"/>
  <c r="K497" i="19"/>
  <c r="K496" i="19"/>
  <c r="K495" i="19"/>
  <c r="K494" i="19"/>
  <c r="K493" i="19"/>
  <c r="K492" i="19"/>
  <c r="K491" i="19"/>
  <c r="K490" i="19"/>
  <c r="I481" i="19"/>
  <c r="I479" i="19"/>
  <c r="I470" i="19"/>
  <c r="I468" i="19"/>
  <c r="I466" i="19"/>
  <c r="J453" i="19"/>
  <c r="J452" i="19"/>
  <c r="J451" i="19"/>
  <c r="J450" i="19"/>
  <c r="J449" i="19"/>
  <c r="J448" i="19"/>
  <c r="J435" i="19"/>
  <c r="J434" i="19"/>
  <c r="J433" i="19"/>
  <c r="J432" i="19"/>
  <c r="J431" i="19"/>
  <c r="J430" i="19"/>
  <c r="J408" i="19"/>
  <c r="J407" i="19"/>
  <c r="J406" i="19"/>
  <c r="J405" i="19"/>
  <c r="J404" i="19"/>
  <c r="J403" i="19"/>
  <c r="J402" i="19"/>
  <c r="J401" i="19"/>
  <c r="J400" i="19"/>
  <c r="J399" i="19"/>
  <c r="J367" i="19"/>
  <c r="K345" i="19"/>
  <c r="K344" i="19"/>
  <c r="K343" i="19"/>
  <c r="K342" i="19"/>
  <c r="K341" i="19"/>
  <c r="K340" i="19"/>
  <c r="K339" i="19"/>
  <c r="K338" i="19"/>
  <c r="K337" i="19"/>
  <c r="K336" i="19"/>
  <c r="J314" i="19"/>
  <c r="J313" i="19"/>
  <c r="J312" i="19"/>
  <c r="J311" i="19"/>
  <c r="J310" i="19"/>
  <c r="J309" i="19"/>
  <c r="J308" i="19"/>
  <c r="J307" i="19"/>
  <c r="J306" i="19"/>
  <c r="J305" i="19"/>
  <c r="J246" i="19"/>
  <c r="J245" i="19"/>
  <c r="J244" i="19"/>
  <c r="J243" i="19"/>
  <c r="J242" i="19"/>
  <c r="J241" i="19"/>
  <c r="J240" i="19"/>
  <c r="J239" i="19"/>
  <c r="J238" i="19"/>
  <c r="J237" i="19"/>
  <c r="I164" i="19"/>
  <c r="I163" i="19"/>
  <c r="I162" i="19"/>
  <c r="I137" i="19"/>
  <c r="I136" i="19"/>
  <c r="I121" i="19"/>
  <c r="I120" i="19"/>
  <c r="I119" i="19"/>
  <c r="J79" i="19"/>
  <c r="J62" i="19"/>
  <c r="J61" i="19"/>
  <c r="J42" i="19"/>
  <c r="M24" i="19"/>
  <c r="M23" i="19"/>
  <c r="D9" i="22"/>
  <c r="D8" i="22"/>
  <c r="G9" i="23"/>
  <c r="G8" i="23"/>
  <c r="I68" i="34"/>
  <c r="I49" i="34"/>
  <c r="E30" i="10"/>
  <c r="E33" i="10"/>
  <c r="E31" i="10"/>
  <c r="E32" i="10" s="1"/>
  <c r="G574" i="19"/>
  <c r="D117" i="45" a="1"/>
  <c r="D117" i="45" s="1"/>
  <c r="D107" i="45" a="1"/>
  <c r="D107" i="45" s="1"/>
  <c r="D83" i="45" a="1"/>
  <c r="D83" i="45" s="1"/>
  <c r="D59" i="45" a="1"/>
  <c r="D59" i="45" s="1"/>
  <c r="E36" i="41"/>
  <c r="D36" i="41"/>
  <c r="E35" i="41"/>
  <c r="D35" i="41"/>
  <c r="E28" i="41"/>
  <c r="D28" i="41"/>
  <c r="D27" i="41"/>
  <c r="D26" i="41"/>
  <c r="D25" i="41"/>
  <c r="D24" i="41"/>
  <c r="E22" i="41"/>
  <c r="D14" i="41"/>
  <c r="D13" i="41"/>
  <c r="D12" i="41"/>
  <c r="D11" i="41"/>
  <c r="H20" i="41" a="1"/>
  <c r="H50" i="45" l="1"/>
  <c r="H53" i="45"/>
  <c r="H51" i="45"/>
  <c r="H49" i="45"/>
  <c r="H54" i="45"/>
  <c r="H52" i="45"/>
  <c r="H48" i="45"/>
  <c r="H20" i="41"/>
  <c r="H175" i="13"/>
  <c r="H174" i="13"/>
  <c r="H173" i="13"/>
  <c r="H172" i="13"/>
  <c r="H171" i="13"/>
  <c r="H170" i="13"/>
  <c r="H169" i="13"/>
  <c r="H168" i="13"/>
  <c r="H167" i="13"/>
  <c r="H166" i="13"/>
  <c r="F625" i="19" a="1"/>
  <c r="F625" i="19" s="1"/>
  <c r="E625" i="19" a="1"/>
  <c r="E625" i="19" s="1"/>
  <c r="D625" i="19" a="1"/>
  <c r="D625" i="19" s="1"/>
  <c r="F607" i="19" a="1"/>
  <c r="F607" i="19" s="1"/>
  <c r="E607" i="19" a="1"/>
  <c r="E607" i="19" s="1"/>
  <c r="D607" i="19" a="1"/>
  <c r="D607" i="19" s="1"/>
  <c r="J15" i="34" l="1"/>
  <c r="J88" i="34"/>
  <c r="I50" i="34"/>
  <c r="E637" i="19"/>
  <c r="F36" i="41" s="1"/>
  <c r="D34" i="41" a="1"/>
  <c r="D34" i="41" s="1"/>
  <c r="E619" i="19"/>
  <c r="F35" i="41" s="1"/>
  <c r="F586" i="19"/>
  <c r="A136" i="38"/>
  <c r="A109" i="38"/>
  <c r="A66" i="38"/>
  <c r="J16" i="38" a="1"/>
  <c r="J16" i="38" s="1"/>
  <c r="I16" i="38" a="1"/>
  <c r="I16" i="38" s="1"/>
  <c r="J15" i="38" a="1"/>
  <c r="J15" i="38" s="1"/>
  <c r="I15" i="38" a="1"/>
  <c r="I15" i="38" s="1"/>
  <c r="A15" i="38"/>
  <c r="J14" i="38" a="1"/>
  <c r="J14" i="38" s="1"/>
  <c r="I14" i="38" a="1"/>
  <c r="I14" i="38" s="1"/>
  <c r="A14" i="38"/>
  <c r="J13" i="38" a="1"/>
  <c r="J13" i="38" s="1"/>
  <c r="I13" i="38" a="1"/>
  <c r="I13" i="38" s="1"/>
  <c r="A11" i="38"/>
  <c r="A8" i="38"/>
  <c r="A5" i="38"/>
  <c r="A4" i="38"/>
  <c r="A3" i="38"/>
  <c r="A77" i="36"/>
  <c r="A49" i="36"/>
  <c r="O10" i="36"/>
  <c r="M10" i="36"/>
  <c r="K16" i="36"/>
  <c r="K15" i="36"/>
  <c r="K14" i="36"/>
  <c r="K13" i="36"/>
  <c r="K12" i="36"/>
  <c r="K11" i="36"/>
  <c r="K10" i="36"/>
  <c r="I20" i="36"/>
  <c r="I19" i="36"/>
  <c r="I18" i="36"/>
  <c r="I17" i="36"/>
  <c r="I16" i="36"/>
  <c r="I15" i="36"/>
  <c r="A15" i="36"/>
  <c r="I14" i="36"/>
  <c r="A14" i="36"/>
  <c r="I13" i="36"/>
  <c r="I12" i="36"/>
  <c r="I11" i="36"/>
  <c r="A11" i="36"/>
  <c r="I10" i="36"/>
  <c r="A8" i="36"/>
  <c r="A5" i="36"/>
  <c r="A4" i="36"/>
  <c r="A3" i="36"/>
  <c r="J16" i="34"/>
  <c r="I52" i="34"/>
  <c r="I51" i="34"/>
  <c r="I72" i="34"/>
  <c r="I71" i="34"/>
  <c r="D33" i="41" l="1" a="1"/>
  <c r="D33" i="41" s="1"/>
  <c r="E640" i="19"/>
  <c r="F136" i="38"/>
  <c r="F109" i="38"/>
  <c r="D21" i="38" a="1"/>
  <c r="D21" i="38" s="1"/>
  <c r="D115" i="38" a="1"/>
  <c r="D115" i="38" s="1"/>
  <c r="E21" i="38" a="1"/>
  <c r="E45" i="38" a="1"/>
  <c r="D88" i="38" a="1"/>
  <c r="D88" i="38" s="1"/>
  <c r="E88" i="38" a="1"/>
  <c r="E88" i="38" s="1"/>
  <c r="D45" i="38" a="1"/>
  <c r="E115" i="38" a="1"/>
  <c r="E115" i="38" s="1"/>
  <c r="G102" i="38" l="1" a="1"/>
  <c r="G102" i="38" s="1"/>
  <c r="J96" i="38" a="1"/>
  <c r="J96" i="38" s="1"/>
  <c r="J93" i="38" a="1"/>
  <c r="J93" i="38" s="1"/>
  <c r="J103" i="38" a="1"/>
  <c r="J103" i="38" s="1"/>
  <c r="J89" i="38" a="1"/>
  <c r="J89" i="38" s="1"/>
  <c r="J105" i="38" a="1"/>
  <c r="J105" i="38" s="1"/>
  <c r="J95" i="38" a="1"/>
  <c r="J95" i="38" s="1"/>
  <c r="J98" i="38" a="1"/>
  <c r="J98" i="38" s="1"/>
  <c r="J94" i="38" a="1"/>
  <c r="J94" i="38" s="1"/>
  <c r="J122" i="38" a="1"/>
  <c r="J122" i="38" s="1"/>
  <c r="G23" i="38" a="1"/>
  <c r="G23" i="38" s="1"/>
  <c r="G36" i="38" a="1"/>
  <c r="G36" i="38" s="1"/>
  <c r="G104" i="38" a="1"/>
  <c r="G104" i="38" s="1"/>
  <c r="G33" i="38" a="1"/>
  <c r="G33" i="38" s="1"/>
  <c r="J119" i="38" a="1"/>
  <c r="J119" i="38" s="1"/>
  <c r="J117" i="38" a="1"/>
  <c r="J117" i="38" s="1"/>
  <c r="J124" i="38" a="1"/>
  <c r="J124" i="38" s="1"/>
  <c r="J106" i="38" a="1"/>
  <c r="J106" i="38" s="1"/>
  <c r="J120" i="38" a="1"/>
  <c r="J120" i="38" s="1"/>
  <c r="J128" i="38" a="1"/>
  <c r="J128" i="38" s="1"/>
  <c r="J99" i="38" a="1"/>
  <c r="J99" i="38" s="1"/>
  <c r="G128" i="38" a="1"/>
  <c r="G128" i="38" s="1"/>
  <c r="G39" i="38" a="1"/>
  <c r="G39" i="38" s="1"/>
  <c r="G92" i="38" a="1"/>
  <c r="G92" i="38" s="1"/>
  <c r="G22" i="38" a="1"/>
  <c r="G22" i="38" s="1"/>
  <c r="J130" i="38" a="1"/>
  <c r="J130" i="38" s="1"/>
  <c r="G126" i="38" a="1"/>
  <c r="G126" i="38" s="1"/>
  <c r="G120" i="38" a="1"/>
  <c r="G120" i="38" s="1"/>
  <c r="G40" i="38" a="1"/>
  <c r="G40" i="38" s="1"/>
  <c r="G132" i="38" a="1"/>
  <c r="G132" i="38" s="1"/>
  <c r="J102" i="38" a="1"/>
  <c r="J102" i="38" s="1"/>
  <c r="J107" i="38" a="1"/>
  <c r="J107" i="38" s="1"/>
  <c r="G99" i="38" a="1"/>
  <c r="G99" i="38" s="1"/>
  <c r="G100" i="38" a="1"/>
  <c r="G100" i="38" s="1"/>
  <c r="G122" i="38" a="1"/>
  <c r="G122" i="38" s="1"/>
  <c r="G38" i="38" a="1"/>
  <c r="G38" i="38" s="1"/>
  <c r="J127" i="38" a="1"/>
  <c r="J127" i="38" s="1"/>
  <c r="J134" i="38" a="1"/>
  <c r="J134" i="38" s="1"/>
  <c r="G28" i="38" a="1"/>
  <c r="G28" i="38" s="1"/>
  <c r="G103" i="38" a="1"/>
  <c r="G103" i="38" s="1"/>
  <c r="G107" i="38" a="1"/>
  <c r="G107" i="38" s="1"/>
  <c r="G124" i="38" a="1"/>
  <c r="G124" i="38" s="1"/>
  <c r="J131" i="38" a="1"/>
  <c r="J131" i="38" s="1"/>
  <c r="J90" i="38" a="1"/>
  <c r="J90" i="38" s="1"/>
  <c r="G35" i="38" a="1"/>
  <c r="G35" i="38" s="1"/>
  <c r="G93" i="38" a="1"/>
  <c r="G93" i="38" s="1"/>
  <c r="G91" i="38" a="1"/>
  <c r="G91" i="38" s="1"/>
  <c r="G97" i="38" a="1"/>
  <c r="G97" i="38" s="1"/>
  <c r="E45" i="38"/>
  <c r="H45" i="38" s="1" a="1"/>
  <c r="H45" i="38" s="1"/>
  <c r="H58" i="38" a="1"/>
  <c r="H58" i="38" s="1"/>
  <c r="H54" i="38" a="1"/>
  <c r="H54" i="38" s="1"/>
  <c r="H59" i="38" a="1"/>
  <c r="H59" i="38" s="1"/>
  <c r="H55" i="38" a="1"/>
  <c r="H55" i="38" s="1"/>
  <c r="H64" i="38" a="1"/>
  <c r="H64" i="38" s="1"/>
  <c r="H49" i="38" a="1"/>
  <c r="H49" i="38" s="1"/>
  <c r="H47" i="38" a="1"/>
  <c r="H47" i="38" s="1"/>
  <c r="H53" i="38" a="1"/>
  <c r="H53" i="38" s="1"/>
  <c r="H51" i="38" a="1"/>
  <c r="H51" i="38" s="1"/>
  <c r="H63" i="38" a="1"/>
  <c r="H63" i="38" s="1"/>
  <c r="H61" i="38" a="1"/>
  <c r="H61" i="38" s="1"/>
  <c r="H56" i="38" a="1"/>
  <c r="H56" i="38" s="1"/>
  <c r="H57" i="38" a="1"/>
  <c r="H57" i="38" s="1"/>
  <c r="H62" i="38" a="1"/>
  <c r="H62" i="38" s="1"/>
  <c r="H52" i="38" a="1"/>
  <c r="H52" i="38" s="1"/>
  <c r="H50" i="38" a="1"/>
  <c r="H50" i="38" s="1"/>
  <c r="H48" i="38" a="1"/>
  <c r="H48" i="38" s="1"/>
  <c r="H46" i="38" a="1"/>
  <c r="H46" i="38" s="1"/>
  <c r="H60" i="38" a="1"/>
  <c r="H60" i="38" s="1"/>
  <c r="J104" i="38" a="1"/>
  <c r="J104" i="38" s="1"/>
  <c r="G24" i="38" a="1"/>
  <c r="G24" i="38" s="1"/>
  <c r="G129" i="38" a="1"/>
  <c r="G129" i="38" s="1"/>
  <c r="G37" i="38" a="1"/>
  <c r="G37" i="38" s="1"/>
  <c r="E21" i="38"/>
  <c r="H22" i="38" a="1"/>
  <c r="H22" i="38" s="1"/>
  <c r="H32" i="38" a="1"/>
  <c r="H32" i="38" s="1"/>
  <c r="H29" i="38" a="1"/>
  <c r="H29" i="38" s="1"/>
  <c r="H24" i="38" a="1"/>
  <c r="H24" i="38" s="1"/>
  <c r="H34" i="38" a="1"/>
  <c r="H34" i="38" s="1"/>
  <c r="H26" i="38" a="1"/>
  <c r="H26" i="38" s="1"/>
  <c r="H39" i="38" a="1"/>
  <c r="H39" i="38" s="1"/>
  <c r="H37" i="38" a="1"/>
  <c r="H37" i="38" s="1"/>
  <c r="H28" i="38" a="1"/>
  <c r="H28" i="38" s="1"/>
  <c r="H31" i="38" a="1"/>
  <c r="H31" i="38" s="1"/>
  <c r="H40" i="38" a="1"/>
  <c r="H40" i="38" s="1"/>
  <c r="H36" i="38" a="1"/>
  <c r="H36" i="38" s="1"/>
  <c r="H33" i="38" a="1"/>
  <c r="H33" i="38" s="1"/>
  <c r="H30" i="38" a="1"/>
  <c r="H30" i="38" s="1"/>
  <c r="H27" i="38" a="1"/>
  <c r="H27" i="38" s="1"/>
  <c r="H25" i="38" a="1"/>
  <c r="H25" i="38" s="1"/>
  <c r="H23" i="38" a="1"/>
  <c r="H23" i="38" s="1"/>
  <c r="H35" i="38" a="1"/>
  <c r="H35" i="38" s="1"/>
  <c r="H38" i="38" a="1"/>
  <c r="H38" i="38" s="1"/>
  <c r="J97" i="38" a="1"/>
  <c r="J97" i="38" s="1"/>
  <c r="G119" i="38" a="1"/>
  <c r="G119" i="38" s="1"/>
  <c r="G118" i="38" a="1"/>
  <c r="G118" i="38" s="1"/>
  <c r="G25" i="38" a="1"/>
  <c r="G25" i="38" s="1"/>
  <c r="G89" i="38" a="1"/>
  <c r="G89" i="38" s="1"/>
  <c r="J115" i="38" a="1"/>
  <c r="J115" i="38" s="1"/>
  <c r="J125" i="38" a="1"/>
  <c r="J125" i="38" s="1"/>
  <c r="G134" i="38" a="1"/>
  <c r="G134" i="38" s="1"/>
  <c r="G106" i="38" a="1"/>
  <c r="G106" i="38" s="1"/>
  <c r="G131" i="38" a="1"/>
  <c r="G131" i="38" s="1"/>
  <c r="G27" i="38" a="1"/>
  <c r="G27" i="38" s="1"/>
  <c r="J121" i="38" a="1"/>
  <c r="J121" i="38" s="1"/>
  <c r="G101" i="38" a="1"/>
  <c r="G101" i="38" s="1"/>
  <c r="G29" i="38" a="1"/>
  <c r="G29" i="38" s="1"/>
  <c r="G105" i="38" a="1"/>
  <c r="G105" i="38" s="1"/>
  <c r="G133" i="38" a="1"/>
  <c r="G133" i="38" s="1"/>
  <c r="J132" i="38" a="1"/>
  <c r="J132" i="38" s="1"/>
  <c r="D45" i="38"/>
  <c r="G52" i="38" a="1"/>
  <c r="G52" i="38" s="1"/>
  <c r="G56" i="38" a="1"/>
  <c r="G56" i="38" s="1"/>
  <c r="G61" i="38" a="1"/>
  <c r="G61" i="38" s="1"/>
  <c r="G49" i="38" a="1"/>
  <c r="G49" i="38" s="1"/>
  <c r="G62" i="38" a="1"/>
  <c r="G62" i="38" s="1"/>
  <c r="G54" i="38" a="1"/>
  <c r="G54" i="38" s="1"/>
  <c r="G59" i="38" a="1"/>
  <c r="G59" i="38" s="1"/>
  <c r="G48" i="38" a="1"/>
  <c r="G48" i="38" s="1"/>
  <c r="G47" i="38" a="1"/>
  <c r="G47" i="38" s="1"/>
  <c r="G64" i="38" a="1"/>
  <c r="G64" i="38" s="1"/>
  <c r="G57" i="38" a="1"/>
  <c r="G57" i="38" s="1"/>
  <c r="G63" i="38" a="1"/>
  <c r="G63" i="38" s="1"/>
  <c r="G53" i="38" a="1"/>
  <c r="G53" i="38" s="1"/>
  <c r="I53" i="38" s="1"/>
  <c r="G51" i="38" a="1"/>
  <c r="G51" i="38" s="1"/>
  <c r="G46" i="38" a="1"/>
  <c r="G46" i="38" s="1"/>
  <c r="G55" i="38" a="1"/>
  <c r="G55" i="38" s="1"/>
  <c r="G60" i="38" a="1"/>
  <c r="G60" i="38" s="1"/>
  <c r="G50" i="38" a="1"/>
  <c r="G50" i="38" s="1"/>
  <c r="G58" i="38" a="1"/>
  <c r="G58" i="38" s="1"/>
  <c r="J129" i="38" a="1"/>
  <c r="J129" i="38" s="1"/>
  <c r="J118" i="38" a="1"/>
  <c r="J118" i="38" s="1"/>
  <c r="J92" i="38" a="1"/>
  <c r="J92" i="38" s="1"/>
  <c r="J101" i="38" a="1"/>
  <c r="J101" i="38" s="1"/>
  <c r="G31" i="38" a="1"/>
  <c r="G31" i="38" s="1"/>
  <c r="G121" i="38" a="1"/>
  <c r="G121" i="38" s="1"/>
  <c r="G26" i="38" a="1"/>
  <c r="G26" i="38" s="1"/>
  <c r="G98" i="38" a="1"/>
  <c r="G98" i="38" s="1"/>
  <c r="J116" i="38" a="1"/>
  <c r="J116" i="38" s="1"/>
  <c r="G127" i="38" a="1"/>
  <c r="G127" i="38" s="1"/>
  <c r="G94" i="38" a="1"/>
  <c r="G94" i="38" s="1"/>
  <c r="G123" i="38" a="1"/>
  <c r="G123" i="38" s="1"/>
  <c r="G34" i="38" a="1"/>
  <c r="G34" i="38" s="1"/>
  <c r="G116" i="38" a="1"/>
  <c r="G116" i="38" s="1"/>
  <c r="G95" i="38" a="1"/>
  <c r="G95" i="38" s="1"/>
  <c r="G30" i="38" a="1"/>
  <c r="G30" i="38" s="1"/>
  <c r="G96" i="38" a="1"/>
  <c r="G96" i="38" s="1"/>
  <c r="G125" i="38" a="1"/>
  <c r="G125" i="38" s="1"/>
  <c r="J133" i="38" a="1"/>
  <c r="J133" i="38" s="1"/>
  <c r="J123" i="38" a="1"/>
  <c r="J123" i="38" s="1"/>
  <c r="J100" i="38" a="1"/>
  <c r="J100" i="38" s="1"/>
  <c r="J91" i="38" a="1"/>
  <c r="J91" i="38" s="1"/>
  <c r="J88" i="38" a="1"/>
  <c r="J88" i="38" s="1"/>
  <c r="J126" i="38" a="1"/>
  <c r="J126" i="38" s="1"/>
  <c r="G90" i="38" a="1"/>
  <c r="G90" i="38" s="1"/>
  <c r="G32" i="38" a="1"/>
  <c r="G32" i="38" s="1"/>
  <c r="G130" i="38" a="1"/>
  <c r="G130" i="38" s="1"/>
  <c r="G117" i="38" a="1"/>
  <c r="G117" i="38" s="1"/>
  <c r="I51" i="38" l="1"/>
  <c r="H121" i="38" s="1"/>
  <c r="I121" i="38" s="1"/>
  <c r="K121" i="38" s="1"/>
  <c r="I29" i="38"/>
  <c r="H96" i="38" s="1"/>
  <c r="I96" i="38" s="1"/>
  <c r="K96" i="38" s="1"/>
  <c r="I46" i="38"/>
  <c r="H116" i="38" s="1"/>
  <c r="I116" i="38" s="1"/>
  <c r="K116" i="38" s="1"/>
  <c r="I52" i="38"/>
  <c r="H122" i="38" s="1"/>
  <c r="I122" i="38" s="1"/>
  <c r="K122" i="38" s="1"/>
  <c r="I25" i="38"/>
  <c r="H92" i="38" s="1"/>
  <c r="I92" i="38" s="1"/>
  <c r="K92" i="38" s="1"/>
  <c r="I36" i="38"/>
  <c r="H103" i="38" s="1"/>
  <c r="I103" i="38" s="1"/>
  <c r="K103" i="38" s="1"/>
  <c r="I22" i="38"/>
  <c r="H89" i="38" s="1"/>
  <c r="I89" i="38" s="1"/>
  <c r="K89" i="38" s="1"/>
  <c r="I57" i="38"/>
  <c r="H127" i="38" s="1"/>
  <c r="I127" i="38" s="1"/>
  <c r="K127" i="38" s="1"/>
  <c r="I32" i="38"/>
  <c r="H99" i="38" s="1"/>
  <c r="I99" i="38" s="1"/>
  <c r="K99" i="38" s="1"/>
  <c r="I61" i="38"/>
  <c r="H131" i="38" s="1"/>
  <c r="I131" i="38" s="1"/>
  <c r="K131" i="38" s="1"/>
  <c r="I56" i="38"/>
  <c r="H126" i="38" s="1"/>
  <c r="I126" i="38" s="1"/>
  <c r="K126" i="38" s="1"/>
  <c r="I63" i="38"/>
  <c r="H133" i="38" s="1"/>
  <c r="I133" i="38" s="1"/>
  <c r="K133" i="38" s="1"/>
  <c r="I31" i="38"/>
  <c r="H98" i="38" s="1"/>
  <c r="I98" i="38" s="1"/>
  <c r="K98" i="38" s="1"/>
  <c r="I55" i="38"/>
  <c r="H125" i="38" s="1"/>
  <c r="I125" i="38" s="1"/>
  <c r="K125" i="38" s="1"/>
  <c r="I24" i="38"/>
  <c r="H91" i="38" s="1"/>
  <c r="I91" i="38" s="1"/>
  <c r="K91" i="38" s="1"/>
  <c r="I33" i="38"/>
  <c r="H100" i="38" s="1"/>
  <c r="I100" i="38" s="1"/>
  <c r="K100" i="38" s="1"/>
  <c r="I26" i="38"/>
  <c r="H93" i="38" s="1"/>
  <c r="I93" i="38" s="1"/>
  <c r="K93" i="38" s="1"/>
  <c r="I38" i="38"/>
  <c r="H105" i="38" s="1"/>
  <c r="I105" i="38" s="1"/>
  <c r="K105" i="38" s="1"/>
  <c r="I54" i="38"/>
  <c r="H124" i="38" s="1"/>
  <c r="I124" i="38" s="1"/>
  <c r="K124" i="38" s="1"/>
  <c r="I58" i="38"/>
  <c r="H128" i="38" s="1"/>
  <c r="I128" i="38" s="1"/>
  <c r="K128" i="38" s="1"/>
  <c r="I62" i="38"/>
  <c r="H132" i="38" s="1"/>
  <c r="I132" i="38" s="1"/>
  <c r="K132" i="38" s="1"/>
  <c r="I35" i="38"/>
  <c r="H102" i="38" s="1"/>
  <c r="I102" i="38" s="1"/>
  <c r="K102" i="38" s="1"/>
  <c r="I34" i="38"/>
  <c r="H101" i="38" s="1"/>
  <c r="I101" i="38" s="1"/>
  <c r="K101" i="38" s="1"/>
  <c r="I50" i="38"/>
  <c r="H120" i="38" s="1"/>
  <c r="I120" i="38" s="1"/>
  <c r="K120" i="38" s="1"/>
  <c r="I49" i="38"/>
  <c r="H119" i="38" s="1"/>
  <c r="I119" i="38" s="1"/>
  <c r="K119" i="38" s="1"/>
  <c r="I60" i="38"/>
  <c r="H130" i="38" s="1"/>
  <c r="I130" i="38" s="1"/>
  <c r="K130" i="38" s="1"/>
  <c r="I40" i="38"/>
  <c r="H107" i="38" s="1"/>
  <c r="I107" i="38" s="1"/>
  <c r="K107" i="38" s="1"/>
  <c r="I28" i="38"/>
  <c r="H95" i="38" s="1"/>
  <c r="I95" i="38" s="1"/>
  <c r="K95" i="38" s="1"/>
  <c r="I23" i="38"/>
  <c r="H90" i="38" s="1"/>
  <c r="I90" i="38" s="1"/>
  <c r="K90" i="38" s="1"/>
  <c r="I39" i="38"/>
  <c r="H106" i="38" s="1"/>
  <c r="I106" i="38" s="1"/>
  <c r="K106" i="38" s="1"/>
  <c r="I47" i="38"/>
  <c r="H117" i="38" s="1"/>
  <c r="I117" i="38" s="1"/>
  <c r="K117" i="38" s="1"/>
  <c r="I64" i="38"/>
  <c r="H134" i="38" s="1"/>
  <c r="I134" i="38" s="1"/>
  <c r="K134" i="38" s="1"/>
  <c r="I48" i="38"/>
  <c r="H118" i="38" s="1"/>
  <c r="I118" i="38" s="1"/>
  <c r="K118" i="38" s="1"/>
  <c r="I30" i="38"/>
  <c r="H97" i="38" s="1"/>
  <c r="I97" i="38" s="1"/>
  <c r="K97" i="38" s="1"/>
  <c r="I59" i="38"/>
  <c r="H129" i="38" s="1"/>
  <c r="I129" i="38" s="1"/>
  <c r="K129" i="38" s="1"/>
  <c r="I27" i="38"/>
  <c r="H94" i="38" s="1"/>
  <c r="I94" i="38" s="1"/>
  <c r="K94" i="38" s="1"/>
  <c r="I37" i="38"/>
  <c r="H104" i="38" s="1"/>
  <c r="I104" i="38" s="1"/>
  <c r="K104" i="38" s="1"/>
  <c r="G45" i="38" a="1"/>
  <c r="G45" i="38" s="1"/>
  <c r="H123" i="38"/>
  <c r="I123" i="38" s="1"/>
  <c r="K123" i="38" s="1"/>
  <c r="H21" i="38" a="1"/>
  <c r="H21" i="38" s="1"/>
  <c r="G115" i="38" a="1"/>
  <c r="G115" i="38" s="1"/>
  <c r="G21" i="38" a="1"/>
  <c r="G21" i="38" s="1"/>
  <c r="G88" i="38" a="1"/>
  <c r="G88" i="38" s="1"/>
  <c r="I21" i="38" l="1"/>
  <c r="H88" i="38" s="1"/>
  <c r="I88" i="38" s="1"/>
  <c r="I45" i="38"/>
  <c r="H115" i="38" s="1"/>
  <c r="I115" i="38" s="1"/>
  <c r="F571" i="19"/>
  <c r="D32" i="41" a="1"/>
  <c r="D32" i="41" s="1"/>
  <c r="F90" i="34"/>
  <c r="I67" i="34"/>
  <c r="I70" i="34"/>
  <c r="F74" i="34"/>
  <c r="E29" i="10"/>
  <c r="F55" i="34"/>
  <c r="I32" i="34"/>
  <c r="J13" i="34"/>
  <c r="F35" i="34"/>
  <c r="D573" i="19" a="1"/>
  <c r="D573" i="19" s="1"/>
  <c r="F576" i="19" a="1"/>
  <c r="F576" i="19" s="1"/>
  <c r="F19" i="34"/>
  <c r="K115" i="38" l="1"/>
  <c r="E136" i="38" s="1"/>
  <c r="E586" i="19" s="1"/>
  <c r="E33" i="41" s="1"/>
  <c r="F33" i="41" s="1"/>
  <c r="K88" i="38"/>
  <c r="E109" i="38" s="1"/>
  <c r="I553" i="19"/>
  <c r="I549" i="19" s="1"/>
  <c r="I551" i="19"/>
  <c r="I550" i="19"/>
  <c r="I548" i="19"/>
  <c r="I547" i="19"/>
  <c r="D31" i="41" a="1"/>
  <c r="D31" i="41" s="1"/>
  <c r="I531" i="19"/>
  <c r="I529" i="19"/>
  <c r="D30" i="41" l="1" a="1"/>
  <c r="D30" i="41" s="1"/>
  <c r="G21" i="30" l="1" a="1"/>
  <c r="G21" i="30" s="1"/>
  <c r="H21" i="30"/>
  <c r="I21" i="30"/>
  <c r="G20" i="30" a="1"/>
  <c r="G20" i="30" s="1"/>
  <c r="H20" i="30"/>
  <c r="I20" i="30" s="1"/>
  <c r="G19" i="30" a="1"/>
  <c r="G19" i="30" s="1"/>
  <c r="H19" i="30"/>
  <c r="I19" i="30"/>
  <c r="G18" i="30" a="1"/>
  <c r="G18" i="30" s="1"/>
  <c r="H18" i="30"/>
  <c r="I18" i="30" s="1"/>
  <c r="P17" i="32"/>
  <c r="L35" i="32" a="1"/>
  <c r="L35" i="32" s="1"/>
  <c r="P18" i="32"/>
  <c r="M40" i="32" a="1"/>
  <c r="M40" i="32" s="1"/>
  <c r="M30" i="32" a="1"/>
  <c r="M30" i="32" s="1"/>
  <c r="M34" i="32" a="1"/>
  <c r="M34" i="32" s="1"/>
  <c r="F40" i="32"/>
  <c r="F39" i="32"/>
  <c r="M39" i="32" s="1" a="1"/>
  <c r="M39" i="32" s="1"/>
  <c r="F38" i="32"/>
  <c r="M38" i="32" s="1" a="1"/>
  <c r="M38" i="32" s="1"/>
  <c r="F37" i="32"/>
  <c r="M37" i="32" s="1" a="1"/>
  <c r="M37" i="32" s="1"/>
  <c r="F36" i="32"/>
  <c r="L36" i="32" s="1" a="1"/>
  <c r="L36" i="32" s="1"/>
  <c r="F35" i="32"/>
  <c r="M35" i="32" s="1" a="1"/>
  <c r="M35" i="32" s="1"/>
  <c r="F34" i="32"/>
  <c r="L34" i="32" s="1" a="1"/>
  <c r="L34" i="32" s="1"/>
  <c r="F33" i="32"/>
  <c r="F32" i="32"/>
  <c r="L32" i="32" s="1" a="1"/>
  <c r="L32" i="32" s="1"/>
  <c r="D32" i="32"/>
  <c r="D37" i="32" s="1"/>
  <c r="F31" i="32"/>
  <c r="M31" i="32" s="1" a="1"/>
  <c r="M31" i="32" s="1"/>
  <c r="F30" i="32"/>
  <c r="F29" i="32"/>
  <c r="M29" i="32" s="1" a="1"/>
  <c r="M29" i="32" s="1"/>
  <c r="F28" i="32"/>
  <c r="M28" i="32" s="1" a="1"/>
  <c r="M28" i="32" s="1"/>
  <c r="F27" i="32"/>
  <c r="M27" i="32" s="1" a="1"/>
  <c r="M27" i="32" s="1"/>
  <c r="F26" i="32"/>
  <c r="M26" i="32" s="1" a="1"/>
  <c r="M26" i="32" s="1"/>
  <c r="F25" i="32"/>
  <c r="M25" i="32" s="1" a="1"/>
  <c r="M25" i="32" s="1"/>
  <c r="D25" i="32"/>
  <c r="L25" i="32" s="1" a="1"/>
  <c r="L25" i="32" s="1"/>
  <c r="A76" i="32"/>
  <c r="A38" i="32"/>
  <c r="D36" i="32"/>
  <c r="D35" i="32"/>
  <c r="D34" i="32"/>
  <c r="A17" i="32"/>
  <c r="P16" i="32" a="1"/>
  <c r="P16" i="32" s="1"/>
  <c r="I16" i="32" a="1"/>
  <c r="I16" i="32" s="1"/>
  <c r="A16" i="32"/>
  <c r="P15" i="32" a="1"/>
  <c r="P15" i="32" s="1"/>
  <c r="I15" i="32" a="1"/>
  <c r="I15" i="32" s="1"/>
  <c r="P14" i="32" a="1"/>
  <c r="P14" i="32" s="1"/>
  <c r="I14" i="32" a="1"/>
  <c r="I14" i="32" s="1"/>
  <c r="A13" i="32"/>
  <c r="F58" i="32"/>
  <c r="A12" i="32"/>
  <c r="A11" i="32"/>
  <c r="A8" i="32"/>
  <c r="A5" i="32"/>
  <c r="A4" i="32"/>
  <c r="A3" i="32"/>
  <c r="L33" i="31" a="1"/>
  <c r="L33" i="31" s="1"/>
  <c r="M36" i="31" a="1"/>
  <c r="M36" i="31" s="1"/>
  <c r="M30" i="31" a="1"/>
  <c r="M30" i="31" s="1"/>
  <c r="M39" i="31" a="1"/>
  <c r="M39" i="31" s="1"/>
  <c r="M32" i="31" a="1"/>
  <c r="M32" i="31" s="1"/>
  <c r="M38" i="31" a="1"/>
  <c r="M38" i="31" s="1"/>
  <c r="M31" i="31" a="1"/>
  <c r="M31" i="31" s="1"/>
  <c r="F39" i="31"/>
  <c r="F38" i="31"/>
  <c r="F37" i="31"/>
  <c r="M37" i="31" s="1" a="1"/>
  <c r="M37" i="31" s="1"/>
  <c r="D37" i="31"/>
  <c r="F36" i="31"/>
  <c r="F35" i="31"/>
  <c r="L35" i="31" s="1" a="1"/>
  <c r="L35" i="31" s="1"/>
  <c r="F34" i="31"/>
  <c r="D34" i="31"/>
  <c r="D36" i="31" s="1"/>
  <c r="L36" i="31" s="1" a="1"/>
  <c r="L36" i="31" s="1"/>
  <c r="F33" i="31"/>
  <c r="M33" i="31" s="1" a="1"/>
  <c r="M33" i="31" s="1"/>
  <c r="D33" i="31"/>
  <c r="F32" i="31"/>
  <c r="F31" i="31"/>
  <c r="F30" i="31"/>
  <c r="F29" i="31"/>
  <c r="F28" i="31"/>
  <c r="M28" i="31" s="1" a="1"/>
  <c r="M28" i="31" s="1"/>
  <c r="F27" i="31"/>
  <c r="F26" i="31"/>
  <c r="M26" i="31" s="1" a="1"/>
  <c r="M26" i="31" s="1"/>
  <c r="F25" i="31"/>
  <c r="L25" i="31" s="1" a="1"/>
  <c r="L25" i="31" s="1"/>
  <c r="D25" i="31"/>
  <c r="D29" i="31" s="1"/>
  <c r="A83" i="31"/>
  <c r="A69" i="31"/>
  <c r="D38" i="31"/>
  <c r="L38" i="31" s="1" a="1"/>
  <c r="L38" i="31" s="1"/>
  <c r="D39" i="31"/>
  <c r="L39" i="31" s="1" a="1"/>
  <c r="L39" i="31" s="1"/>
  <c r="A37" i="31"/>
  <c r="D35" i="31"/>
  <c r="D48" i="31"/>
  <c r="D28" i="31"/>
  <c r="D26" i="31"/>
  <c r="L26" i="31" s="1" a="1"/>
  <c r="L26" i="31" s="1"/>
  <c r="D30" i="31"/>
  <c r="L30" i="31" s="1" a="1"/>
  <c r="L30" i="31" s="1"/>
  <c r="A17" i="31"/>
  <c r="P16" i="31" a="1"/>
  <c r="P16" i="31" s="1"/>
  <c r="I16" i="31" a="1"/>
  <c r="I16" i="31" s="1"/>
  <c r="A16" i="31"/>
  <c r="P15" i="31" a="1"/>
  <c r="P15" i="31" s="1"/>
  <c r="I15" i="31" a="1"/>
  <c r="I15" i="31" s="1"/>
  <c r="P14" i="31" a="1"/>
  <c r="P14" i="31" s="1"/>
  <c r="I14" i="31" a="1"/>
  <c r="I14" i="31" s="1"/>
  <c r="A13" i="31"/>
  <c r="F62" i="31"/>
  <c r="A12" i="31"/>
  <c r="A11" i="31"/>
  <c r="A8" i="31"/>
  <c r="A5" i="31"/>
  <c r="A4" i="31"/>
  <c r="A3" i="31"/>
  <c r="G17" i="30" a="1"/>
  <c r="G17" i="30" s="1"/>
  <c r="H17" i="30"/>
  <c r="I17" i="30" s="1"/>
  <c r="A17" i="30"/>
  <c r="A16" i="30"/>
  <c r="A13" i="30"/>
  <c r="A12" i="30"/>
  <c r="A11" i="30"/>
  <c r="A8" i="30"/>
  <c r="A5" i="30"/>
  <c r="A4" i="30"/>
  <c r="A3" i="30"/>
  <c r="J139" i="29"/>
  <c r="E139" i="29"/>
  <c r="J138" i="29"/>
  <c r="G138" i="29"/>
  <c r="E138" i="29"/>
  <c r="J137" i="29"/>
  <c r="G137" i="29"/>
  <c r="E137" i="29"/>
  <c r="D137" i="29"/>
  <c r="J136" i="29"/>
  <c r="E136" i="29"/>
  <c r="D136" i="29"/>
  <c r="J135" i="29"/>
  <c r="E135" i="29"/>
  <c r="D135" i="29"/>
  <c r="J134" i="29"/>
  <c r="E134" i="29"/>
  <c r="D134" i="29"/>
  <c r="J133" i="29"/>
  <c r="F133" i="29"/>
  <c r="E133" i="29"/>
  <c r="D133" i="29"/>
  <c r="J132" i="29"/>
  <c r="I132" i="29"/>
  <c r="F132" i="29"/>
  <c r="E132" i="29"/>
  <c r="D132" i="29"/>
  <c r="J131" i="29"/>
  <c r="I131" i="29"/>
  <c r="H131" i="29"/>
  <c r="F131" i="29"/>
  <c r="E131" i="29"/>
  <c r="D131" i="29"/>
  <c r="D110" i="29" a="1"/>
  <c r="D110" i="29" s="1"/>
  <c r="E40" i="32"/>
  <c r="E39" i="32"/>
  <c r="D84" i="29" a="1"/>
  <c r="D84" i="29" s="1"/>
  <c r="E31" i="32"/>
  <c r="E30" i="32"/>
  <c r="E36" i="32"/>
  <c r="E35" i="32"/>
  <c r="E27" i="32"/>
  <c r="E33" i="32"/>
  <c r="E25" i="32"/>
  <c r="D52" i="29" a="1"/>
  <c r="D52" i="29" s="1"/>
  <c r="E39" i="31"/>
  <c r="E36" i="31"/>
  <c r="E35" i="31"/>
  <c r="E34" i="31"/>
  <c r="E32" i="31"/>
  <c r="A17" i="29"/>
  <c r="E31" i="31"/>
  <c r="A16" i="29"/>
  <c r="E30" i="31"/>
  <c r="E29" i="31"/>
  <c r="E28" i="31"/>
  <c r="A13" i="29"/>
  <c r="E27" i="31"/>
  <c r="A12" i="29"/>
  <c r="E33" i="31"/>
  <c r="A11" i="29"/>
  <c r="D8" i="29" a="1"/>
  <c r="D8" i="29" s="1"/>
  <c r="A8" i="29"/>
  <c r="A5" i="29"/>
  <c r="A4" i="29"/>
  <c r="A3" i="29"/>
  <c r="M25" i="31" l="1" a="1"/>
  <c r="M25" i="31" s="1"/>
  <c r="D29" i="41" a="1"/>
  <c r="D29" i="41" s="1"/>
  <c r="E26" i="32"/>
  <c r="G26" i="32" s="1"/>
  <c r="K25" i="32"/>
  <c r="J35" i="32"/>
  <c r="E34" i="32"/>
  <c r="H34" i="32" s="1"/>
  <c r="J39" i="32"/>
  <c r="K39" i="32" a="1"/>
  <c r="K39" i="32" s="1"/>
  <c r="J33" i="32"/>
  <c r="K31" i="32"/>
  <c r="I36" i="32"/>
  <c r="K36" i="32"/>
  <c r="J36" i="32"/>
  <c r="J40" i="32"/>
  <c r="G40" i="32"/>
  <c r="J30" i="32"/>
  <c r="G30" i="32"/>
  <c r="K30" i="32"/>
  <c r="K27" i="32"/>
  <c r="E32" i="32"/>
  <c r="G32" i="32" s="1"/>
  <c r="E28" i="32"/>
  <c r="H28" i="32" s="1"/>
  <c r="E37" i="32"/>
  <c r="J37" i="32" s="1"/>
  <c r="E38" i="32"/>
  <c r="H38" i="32" s="1"/>
  <c r="E29" i="32"/>
  <c r="K29" i="32" s="1"/>
  <c r="L34" i="31" a="1"/>
  <c r="L34" i="31" s="1"/>
  <c r="K40" i="32" a="1"/>
  <c r="K40" i="32" s="1"/>
  <c r="G25" i="32"/>
  <c r="G27" i="32"/>
  <c r="G31" i="32"/>
  <c r="M33" i="32" a="1"/>
  <c r="M33" i="32" s="1"/>
  <c r="D27" i="32"/>
  <c r="L27" i="32" s="1" a="1"/>
  <c r="L27" i="32" s="1"/>
  <c r="H25" i="32"/>
  <c r="H27" i="32"/>
  <c r="H31" i="32"/>
  <c r="G33" i="32"/>
  <c r="G35" i="32"/>
  <c r="G39" i="32"/>
  <c r="L37" i="32" a="1"/>
  <c r="L37" i="32" s="1"/>
  <c r="D28" i="32"/>
  <c r="L28" i="32" s="1" a="1"/>
  <c r="L28" i="32" s="1"/>
  <c r="I25" i="32"/>
  <c r="I27" i="32"/>
  <c r="I31" i="32"/>
  <c r="H33" i="32"/>
  <c r="H35" i="32"/>
  <c r="H39" i="32"/>
  <c r="M36" i="32" a="1"/>
  <c r="M36" i="32" s="1"/>
  <c r="D29" i="32"/>
  <c r="L29" i="32" s="1" a="1"/>
  <c r="L29" i="32" s="1"/>
  <c r="J25" i="32"/>
  <c r="J27" i="32"/>
  <c r="J31" i="32"/>
  <c r="I33" i="32"/>
  <c r="I35" i="32"/>
  <c r="I39" i="32"/>
  <c r="L26" i="32" a="1"/>
  <c r="L26" i="32" s="1"/>
  <c r="L38" i="32" a="1"/>
  <c r="L38" i="32" s="1"/>
  <c r="D30" i="32"/>
  <c r="L30" i="32" s="1" a="1"/>
  <c r="L30" i="32" s="1"/>
  <c r="M32" i="32" a="1"/>
  <c r="M32" i="32" s="1"/>
  <c r="K33" i="32"/>
  <c r="K35" i="32"/>
  <c r="H30" i="32"/>
  <c r="G36" i="32"/>
  <c r="H40" i="32"/>
  <c r="I30" i="32"/>
  <c r="H36" i="32"/>
  <c r="I40" i="32"/>
  <c r="K28" i="31" a="1"/>
  <c r="K28" i="31" s="1"/>
  <c r="H31" i="31" a="1"/>
  <c r="H31" i="31" s="1"/>
  <c r="I36" i="31" a="1"/>
  <c r="I36" i="31" s="1"/>
  <c r="H35" i="31" a="1"/>
  <c r="H35" i="31" s="1"/>
  <c r="I30" i="31" a="1"/>
  <c r="I30" i="31" s="1"/>
  <c r="I33" i="31" a="1"/>
  <c r="I33" i="31" s="1"/>
  <c r="I27" i="31" a="1"/>
  <c r="I27" i="31" s="1"/>
  <c r="G29" i="31" a="1"/>
  <c r="G29" i="31" s="1"/>
  <c r="K32" i="31" a="1"/>
  <c r="K32" i="31" s="1"/>
  <c r="J32" i="31" a="1"/>
  <c r="J32" i="31" s="1"/>
  <c r="H39" i="31" a="1"/>
  <c r="H39" i="31" s="1"/>
  <c r="J33" i="31" a="1"/>
  <c r="J33" i="31" s="1"/>
  <c r="F50" i="32"/>
  <c r="J39" i="31" a="1"/>
  <c r="J39" i="31" s="1"/>
  <c r="D39" i="32"/>
  <c r="L39" i="32" s="1" a="1"/>
  <c r="L39" i="32" s="1"/>
  <c r="D42" i="32"/>
  <c r="G32" i="31" a="1"/>
  <c r="G32" i="31" s="1"/>
  <c r="F51" i="32"/>
  <c r="G27" i="31" a="1"/>
  <c r="G27" i="31" s="1"/>
  <c r="F43" i="32"/>
  <c r="H29" i="31" a="1"/>
  <c r="H29" i="31" s="1"/>
  <c r="K39" i="31" a="1"/>
  <c r="K39" i="31" s="1"/>
  <c r="G33" i="31" a="1"/>
  <c r="G33" i="31" s="1"/>
  <c r="H27" i="31" a="1"/>
  <c r="H27" i="31" s="1"/>
  <c r="F52" i="32"/>
  <c r="E37" i="31"/>
  <c r="K37" i="31" s="1" a="1"/>
  <c r="K37" i="31" s="1"/>
  <c r="F44" i="32"/>
  <c r="E25" i="31"/>
  <c r="J25" i="31" s="1" a="1"/>
  <c r="J25" i="31" s="1"/>
  <c r="K33" i="31" a="1"/>
  <c r="K33" i="31" s="1"/>
  <c r="D26" i="32"/>
  <c r="D33" i="32"/>
  <c r="F55" i="32"/>
  <c r="E38" i="31"/>
  <c r="K38" i="31" s="1" a="1"/>
  <c r="K38" i="31" s="1"/>
  <c r="F45" i="32"/>
  <c r="E26" i="31"/>
  <c r="I26" i="31" s="1" a="1"/>
  <c r="I26" i="31" s="1"/>
  <c r="H33" i="31" a="1"/>
  <c r="H33" i="31" s="1"/>
  <c r="I32" i="31" a="1"/>
  <c r="I32" i="31" s="1"/>
  <c r="J27" i="31" a="1"/>
  <c r="J27" i="31" s="1"/>
  <c r="D31" i="32"/>
  <c r="L31" i="32" s="1" a="1"/>
  <c r="L31" i="32" s="1"/>
  <c r="D40" i="32"/>
  <c r="F56" i="32"/>
  <c r="K27" i="31" a="1"/>
  <c r="K27" i="31" s="1"/>
  <c r="D38" i="32"/>
  <c r="F46" i="32"/>
  <c r="D48" i="32"/>
  <c r="F57" i="32"/>
  <c r="F49" i="32"/>
  <c r="J34" i="31" a="1"/>
  <c r="J34" i="31" s="1"/>
  <c r="L29" i="31" a="1"/>
  <c r="L29" i="31" s="1"/>
  <c r="G36" i="31" a="1"/>
  <c r="G36" i="31" s="1"/>
  <c r="K31" i="31" a="1"/>
  <c r="K31" i="31" s="1"/>
  <c r="L37" i="31" a="1"/>
  <c r="L37" i="31" s="1"/>
  <c r="G31" i="31" a="1"/>
  <c r="G31" i="31" s="1"/>
  <c r="G28" i="31" a="1"/>
  <c r="G28" i="31" s="1"/>
  <c r="L28" i="31" a="1"/>
  <c r="L28" i="31" s="1"/>
  <c r="D54" i="31"/>
  <c r="H30" i="31" a="1"/>
  <c r="H30" i="31" s="1"/>
  <c r="J36" i="31" a="1"/>
  <c r="J36" i="31" s="1"/>
  <c r="K36" i="31" a="1"/>
  <c r="K36" i="31" s="1"/>
  <c r="I35" i="31" a="1"/>
  <c r="I35" i="31" s="1"/>
  <c r="I31" i="31" a="1"/>
  <c r="I31" i="31" s="1"/>
  <c r="K35" i="31" a="1"/>
  <c r="K35" i="31" s="1"/>
  <c r="J28" i="31" a="1"/>
  <c r="J28" i="31" s="1"/>
  <c r="M29" i="31" a="1"/>
  <c r="M29" i="31" s="1"/>
  <c r="H32" i="31" a="1"/>
  <c r="H32" i="31" s="1"/>
  <c r="I29" i="31" a="1"/>
  <c r="I29" i="31" s="1"/>
  <c r="K30" i="31" a="1"/>
  <c r="K30" i="31" s="1"/>
  <c r="J35" i="31" a="1"/>
  <c r="J35" i="31" s="1"/>
  <c r="M27" i="31" a="1"/>
  <c r="M27" i="31" s="1"/>
  <c r="H28" i="31" a="1"/>
  <c r="H28" i="31" s="1"/>
  <c r="G34" i="31" a="1"/>
  <c r="G34" i="31" s="1"/>
  <c r="G30" i="31" a="1"/>
  <c r="G30" i="31" s="1"/>
  <c r="J31" i="31" a="1"/>
  <c r="J31" i="31" s="1"/>
  <c r="D27" i="31"/>
  <c r="L27" i="31" s="1" a="1"/>
  <c r="L27" i="31" s="1"/>
  <c r="K29" i="31" a="1"/>
  <c r="K29" i="31" s="1"/>
  <c r="M35" i="31" a="1"/>
  <c r="M35" i="31" s="1"/>
  <c r="H34" i="31" a="1"/>
  <c r="H34" i="31" s="1"/>
  <c r="J29" i="31" a="1"/>
  <c r="J29" i="31" s="1"/>
  <c r="H36" i="31" a="1"/>
  <c r="H36" i="31" s="1"/>
  <c r="K34" i="31" a="1"/>
  <c r="K34" i="31" s="1"/>
  <c r="J30" i="31" a="1"/>
  <c r="J30" i="31" s="1"/>
  <c r="G35" i="31" a="1"/>
  <c r="G35" i="31" s="1"/>
  <c r="I39" i="31" a="1"/>
  <c r="I39" i="31" s="1"/>
  <c r="I28" i="31" a="1"/>
  <c r="I28" i="31" s="1"/>
  <c r="G39" i="31" a="1"/>
  <c r="G39" i="31" s="1"/>
  <c r="I34" i="31" a="1"/>
  <c r="I34" i="31" s="1"/>
  <c r="M34" i="31" a="1"/>
  <c r="M34" i="31" s="1"/>
  <c r="F44" i="31"/>
  <c r="F63" i="31"/>
  <c r="F45" i="31"/>
  <c r="F55" i="31"/>
  <c r="F64" i="31"/>
  <c r="F46" i="31"/>
  <c r="F56" i="31"/>
  <c r="D32" i="31"/>
  <c r="L32" i="31" s="1" a="1"/>
  <c r="L32" i="31" s="1"/>
  <c r="F67" i="31"/>
  <c r="F57" i="31"/>
  <c r="F49" i="31"/>
  <c r="F68" i="31"/>
  <c r="D31" i="31"/>
  <c r="L31" i="31" s="1" a="1"/>
  <c r="L31" i="31" s="1"/>
  <c r="F58" i="31"/>
  <c r="F50" i="31"/>
  <c r="D60" i="31"/>
  <c r="D42" i="31"/>
  <c r="F69" i="31"/>
  <c r="F51" i="31"/>
  <c r="F61" i="31"/>
  <c r="F43" i="31"/>
  <c r="F70" i="31"/>
  <c r="F52" i="31"/>
  <c r="P39" i="32" l="1"/>
  <c r="O39" i="32"/>
  <c r="Q39" i="32"/>
  <c r="N39" i="32"/>
  <c r="Q40" i="32"/>
  <c r="N40" i="32"/>
  <c r="P40" i="32"/>
  <c r="O40" i="32"/>
  <c r="N35" i="32"/>
  <c r="Q35" i="32"/>
  <c r="O35" i="32"/>
  <c r="P35" i="32"/>
  <c r="O31" i="32"/>
  <c r="P31" i="32"/>
  <c r="N31" i="32"/>
  <c r="Q31" i="32"/>
  <c r="O27" i="32"/>
  <c r="P27" i="32"/>
  <c r="Q27" i="32"/>
  <c r="N27" i="32"/>
  <c r="O25" i="32"/>
  <c r="N25" i="32"/>
  <c r="Q25" i="32"/>
  <c r="P25" i="32"/>
  <c r="Q36" i="32"/>
  <c r="P36" i="32"/>
  <c r="O36" i="32"/>
  <c r="N36" i="32"/>
  <c r="Q33" i="32"/>
  <c r="P33" i="32"/>
  <c r="O33" i="32"/>
  <c r="N33" i="32"/>
  <c r="O30" i="32"/>
  <c r="Q30" i="32"/>
  <c r="N30" i="32"/>
  <c r="P30" i="32"/>
  <c r="Q27" i="31"/>
  <c r="O27" i="31"/>
  <c r="P27" i="31"/>
  <c r="N27" i="31"/>
  <c r="Q32" i="31"/>
  <c r="P32" i="31"/>
  <c r="O32" i="31"/>
  <c r="N32" i="31"/>
  <c r="O31" i="31"/>
  <c r="N31" i="31"/>
  <c r="Q31" i="31"/>
  <c r="P31" i="31"/>
  <c r="Q39" i="31"/>
  <c r="P39" i="31"/>
  <c r="O39" i="31"/>
  <c r="N39" i="31"/>
  <c r="Q35" i="31"/>
  <c r="P35" i="31"/>
  <c r="O35" i="31"/>
  <c r="N35" i="31"/>
  <c r="Q36" i="31"/>
  <c r="P36" i="31"/>
  <c r="O36" i="31"/>
  <c r="N36" i="31"/>
  <c r="Q33" i="31"/>
  <c r="E52" i="31" s="1"/>
  <c r="P33" i="31"/>
  <c r="E51" i="31" s="1"/>
  <c r="O33" i="31"/>
  <c r="E50" i="31" s="1"/>
  <c r="N33" i="31"/>
  <c r="E49" i="31" s="1"/>
  <c r="P30" i="31"/>
  <c r="O30" i="31"/>
  <c r="N30" i="31"/>
  <c r="Q30" i="31"/>
  <c r="Q34" i="31"/>
  <c r="O34" i="31"/>
  <c r="N34" i="31"/>
  <c r="P34" i="31"/>
  <c r="Q29" i="31"/>
  <c r="P29" i="31"/>
  <c r="N29" i="31"/>
  <c r="O29" i="31"/>
  <c r="Q28" i="31"/>
  <c r="P28" i="31"/>
  <c r="O28" i="31"/>
  <c r="N28" i="31"/>
  <c r="I26" i="32"/>
  <c r="O26" i="32" s="1"/>
  <c r="K26" i="32"/>
  <c r="Q26" i="32" s="1"/>
  <c r="H26" i="32"/>
  <c r="N26" i="32" s="1"/>
  <c r="J26" i="32"/>
  <c r="P26" i="32" s="1"/>
  <c r="G34" i="32"/>
  <c r="K34" i="32"/>
  <c r="J34" i="32"/>
  <c r="I34" i="32"/>
  <c r="I25" i="31" a="1"/>
  <c r="I25" i="31" s="1"/>
  <c r="I37" i="32"/>
  <c r="I38" i="31" a="1"/>
  <c r="I38" i="31" s="1"/>
  <c r="I29" i="32"/>
  <c r="I38" i="32"/>
  <c r="K38" i="32"/>
  <c r="J38" i="32"/>
  <c r="J29" i="32"/>
  <c r="I32" i="32"/>
  <c r="O32" i="32" s="1"/>
  <c r="K32" i="32"/>
  <c r="Q32" i="32" s="1"/>
  <c r="J32" i="32"/>
  <c r="P32" i="32" s="1"/>
  <c r="J28" i="32"/>
  <c r="K28" i="32"/>
  <c r="G28" i="32"/>
  <c r="G37" i="32"/>
  <c r="H32" i="32"/>
  <c r="N32" i="32" s="1"/>
  <c r="G29" i="32"/>
  <c r="I28" i="32"/>
  <c r="H37" i="32"/>
  <c r="H29" i="32"/>
  <c r="H25" i="31" a="1"/>
  <c r="H25" i="31" s="1"/>
  <c r="K37" i="32"/>
  <c r="G38" i="32"/>
  <c r="L40" i="32" a="1"/>
  <c r="L40" i="32" s="1"/>
  <c r="L33" i="32" a="1"/>
  <c r="L33" i="32" s="1"/>
  <c r="K25" i="31" a="1"/>
  <c r="K25" i="31" s="1"/>
  <c r="I37" i="31" a="1"/>
  <c r="I37" i="31" s="1"/>
  <c r="G25" i="31" a="1"/>
  <c r="G25" i="31" s="1"/>
  <c r="G26" i="31" a="1"/>
  <c r="G26" i="31" s="1"/>
  <c r="H37" i="31" a="1"/>
  <c r="H37" i="31" s="1"/>
  <c r="G37" i="31" a="1"/>
  <c r="G37" i="31" s="1"/>
  <c r="J38" i="31" a="1"/>
  <c r="J38" i="31" s="1"/>
  <c r="K26" i="31" a="1"/>
  <c r="K26" i="31" s="1"/>
  <c r="G38" i="31" a="1"/>
  <c r="G38" i="31" s="1"/>
  <c r="H38" i="31" a="1"/>
  <c r="H38" i="31" s="1"/>
  <c r="J37" i="31" a="1"/>
  <c r="J37" i="31" s="1"/>
  <c r="H26" i="31" a="1"/>
  <c r="H26" i="31" s="1"/>
  <c r="J26" i="31" a="1"/>
  <c r="J26" i="31" s="1"/>
  <c r="Q38" i="32" l="1"/>
  <c r="P38" i="32"/>
  <c r="O38" i="32"/>
  <c r="N38" i="32"/>
  <c r="Q29" i="32"/>
  <c r="P29" i="32"/>
  <c r="O29" i="32"/>
  <c r="N29" i="32"/>
  <c r="O37" i="32"/>
  <c r="N37" i="32"/>
  <c r="Q37" i="32"/>
  <c r="P37" i="32"/>
  <c r="O28" i="32"/>
  <c r="N28" i="32"/>
  <c r="P28" i="32"/>
  <c r="Q28" i="32"/>
  <c r="Q34" i="32"/>
  <c r="N34" i="32"/>
  <c r="P34" i="32"/>
  <c r="O34" i="32"/>
  <c r="P25" i="31"/>
  <c r="N25" i="31"/>
  <c r="Q25" i="31"/>
  <c r="O25" i="31"/>
  <c r="O38" i="31"/>
  <c r="N38" i="31"/>
  <c r="Q38" i="31"/>
  <c r="P38" i="31"/>
  <c r="Q37" i="31"/>
  <c r="P37" i="31"/>
  <c r="O37" i="31"/>
  <c r="N37" i="31"/>
  <c r="P26" i="31"/>
  <c r="N26" i="31"/>
  <c r="Q26" i="31"/>
  <c r="O26" i="31"/>
  <c r="E58" i="31"/>
  <c r="E56" i="31"/>
  <c r="E57" i="31"/>
  <c r="E55" i="31"/>
  <c r="E43" i="32" l="1"/>
  <c r="E46" i="32"/>
  <c r="E44" i="31"/>
  <c r="E62" i="31"/>
  <c r="E45" i="31"/>
  <c r="E43" i="31"/>
  <c r="E51" i="32"/>
  <c r="E44" i="32"/>
  <c r="E61" i="31"/>
  <c r="E45" i="32"/>
  <c r="E46" i="31"/>
  <c r="E52" i="32"/>
  <c r="E63" i="31"/>
  <c r="E50" i="32"/>
  <c r="E49" i="32"/>
  <c r="E55" i="32" s="1"/>
  <c r="E64" i="31"/>
  <c r="E58" i="32" l="1"/>
  <c r="I516" i="19" s="1"/>
  <c r="E68" i="31"/>
  <c r="E67" i="31"/>
  <c r="E69" i="31"/>
  <c r="E57" i="32"/>
  <c r="E56" i="32"/>
  <c r="E70" i="31"/>
  <c r="I515" i="19" s="1"/>
  <c r="E518" i="19" l="1"/>
  <c r="E29" i="41" s="1"/>
  <c r="F29" i="41" s="1"/>
  <c r="D221" i="19" a="1"/>
  <c r="D221" i="19" s="1"/>
  <c r="E481" i="19"/>
  <c r="E480" i="19"/>
  <c r="E479" i="19"/>
  <c r="E470" i="19"/>
  <c r="E469" i="19"/>
  <c r="E468" i="19"/>
  <c r="E467" i="19"/>
  <c r="E466" i="19"/>
  <c r="D23" i="41" a="1"/>
  <c r="D23" i="41" s="1"/>
  <c r="F399" i="19" a="1"/>
  <c r="F399" i="19" s="1"/>
  <c r="E399" i="19" a="1"/>
  <c r="E399" i="19" s="1"/>
  <c r="D399" i="19" a="1"/>
  <c r="D399" i="19" s="1"/>
  <c r="E305" i="19" a="1"/>
  <c r="E305" i="19" s="1"/>
  <c r="AD237" i="19" a="1"/>
  <c r="AD237" i="19" s="1"/>
  <c r="AC237" i="19" a="1"/>
  <c r="AC237" i="19" s="1"/>
  <c r="Z237" i="19" a="1"/>
  <c r="Z237" i="19" s="1"/>
  <c r="Y237" i="19" a="1"/>
  <c r="Y237" i="19" s="1"/>
  <c r="V237" i="19" a="1"/>
  <c r="V237" i="19" s="1"/>
  <c r="U237" i="19" a="1"/>
  <c r="U237" i="19" s="1"/>
  <c r="R237" i="19" a="1"/>
  <c r="R237" i="19" s="1"/>
  <c r="Q237" i="19" a="1"/>
  <c r="Q237" i="19" s="1"/>
  <c r="P237" i="19" a="1"/>
  <c r="P237" i="19" s="1"/>
  <c r="O237" i="19" a="1"/>
  <c r="O237" i="19" s="1"/>
  <c r="E237" i="19" a="1"/>
  <c r="E237" i="19" s="1"/>
  <c r="D237" i="19" a="1"/>
  <c r="D237" i="19" s="1"/>
  <c r="D430" i="19" a="1"/>
  <c r="D430" i="19" s="1"/>
  <c r="E430" i="19" a="1"/>
  <c r="F430" i="19" a="1"/>
  <c r="D18" i="41" l="1" a="1"/>
  <c r="D18" i="41" s="1"/>
  <c r="D21" i="41" a="1"/>
  <c r="D21" i="41" s="1"/>
  <c r="D22" i="41" a="1"/>
  <c r="D22" i="41" s="1"/>
  <c r="D20" i="41" a="1"/>
  <c r="D20" i="41" s="1"/>
  <c r="D19" i="41" a="1"/>
  <c r="D19" i="41" s="1"/>
  <c r="G300" i="19"/>
  <c r="K405" i="19"/>
  <c r="K406" i="19"/>
  <c r="K408" i="19"/>
  <c r="K400" i="19"/>
  <c r="K401" i="19"/>
  <c r="K404" i="19"/>
  <c r="K402" i="19"/>
  <c r="K403" i="19"/>
  <c r="K407" i="19"/>
  <c r="K399" i="19"/>
  <c r="F305" i="19" a="1"/>
  <c r="H305" i="19" a="1"/>
  <c r="H305" i="19" s="1"/>
  <c r="G305" i="19" a="1"/>
  <c r="F430" i="19"/>
  <c r="E430" i="19"/>
  <c r="E119" i="19" a="1"/>
  <c r="M119" i="19" a="1"/>
  <c r="N119" i="19" a="1"/>
  <c r="N119" i="19" s="1"/>
  <c r="O119" i="19" a="1"/>
  <c r="Q119" i="19" a="1"/>
  <c r="R119" i="19" a="1"/>
  <c r="R119" i="19" s="1"/>
  <c r="S119" i="19" a="1"/>
  <c r="S119" i="19" s="1"/>
  <c r="U119" i="19" a="1"/>
  <c r="V119" i="19" a="1"/>
  <c r="V119" i="19" s="1"/>
  <c r="W119" i="19" a="1"/>
  <c r="W119" i="19" s="1"/>
  <c r="Y119" i="19" a="1"/>
  <c r="Y119" i="19" s="1"/>
  <c r="Z119" i="19" a="1"/>
  <c r="Z119" i="19" s="1"/>
  <c r="AA119" i="19" a="1"/>
  <c r="AA119" i="19" s="1"/>
  <c r="E136" i="19"/>
  <c r="E137" i="19"/>
  <c r="E138" i="19"/>
  <c r="E139" i="19"/>
  <c r="F619" i="19" l="1"/>
  <c r="F618" i="19"/>
  <c r="F640" i="19"/>
  <c r="F636" i="19"/>
  <c r="F639" i="19"/>
  <c r="F637" i="19"/>
  <c r="F305" i="19"/>
  <c r="E411" i="19"/>
  <c r="F22" i="41" s="1"/>
  <c r="G305" i="19"/>
  <c r="U119" i="19"/>
  <c r="F141" i="19"/>
  <c r="F130" i="19"/>
  <c r="F142" i="19"/>
  <c r="F144" i="19"/>
  <c r="F145" i="19"/>
  <c r="F131" i="19"/>
  <c r="M119" i="19"/>
  <c r="E119" i="19"/>
  <c r="Q119" i="19"/>
  <c r="O119" i="19"/>
  <c r="E162" i="19"/>
  <c r="E163" i="19"/>
  <c r="E164" i="19"/>
  <c r="D17" i="41" a="1"/>
  <c r="D17" i="41" s="1"/>
  <c r="C16" i="41" a="1"/>
  <c r="C16" i="41" s="1"/>
  <c r="J80" i="13" a="1"/>
  <c r="J80" i="13" s="1"/>
  <c r="H100" i="13" a="1"/>
  <c r="H100" i="13" s="1"/>
  <c r="H99" i="13" a="1"/>
  <c r="H99" i="13" s="1"/>
  <c r="H98" i="13" a="1"/>
  <c r="H98" i="13" s="1"/>
  <c r="H97" i="13" a="1"/>
  <c r="H97" i="13" s="1"/>
  <c r="H96" i="13" a="1"/>
  <c r="H96" i="13" s="1"/>
  <c r="H95" i="13" a="1"/>
  <c r="H95" i="13" s="1"/>
  <c r="H94" i="13" a="1"/>
  <c r="H94" i="13" s="1"/>
  <c r="H61" i="19" a="1"/>
  <c r="H61" i="19" s="1"/>
  <c r="E61" i="19" a="1"/>
  <c r="E61" i="19" s="1"/>
  <c r="E42" i="19" a="1"/>
  <c r="E42" i="19" s="1"/>
  <c r="F91" i="19"/>
  <c r="D16" i="41" a="1"/>
  <c r="D16" i="41" l="1"/>
  <c r="C10" i="41" a="1"/>
  <c r="C10" i="41" s="1"/>
  <c r="C15" i="41" a="1"/>
  <c r="C15" i="41" s="1"/>
  <c r="F555" i="19"/>
  <c r="F533" i="19"/>
  <c r="F518" i="19"/>
  <c r="F166" i="19"/>
  <c r="F459" i="19"/>
  <c r="F473" i="19"/>
  <c r="F502" i="19"/>
  <c r="F248" i="19"/>
  <c r="F472" i="19"/>
  <c r="F501" i="19"/>
  <c r="F348" i="19"/>
  <c r="F347" i="19"/>
  <c r="F284" i="19"/>
  <c r="F283" i="19"/>
  <c r="F411" i="19"/>
  <c r="F410" i="19"/>
  <c r="F484" i="19"/>
  <c r="F379" i="19"/>
  <c r="F249" i="19"/>
  <c r="F483" i="19"/>
  <c r="F378" i="19"/>
  <c r="F442" i="19"/>
  <c r="F317" i="19"/>
  <c r="F441" i="19"/>
  <c r="F316" i="19"/>
  <c r="F252" i="19"/>
  <c r="F251" i="19"/>
  <c r="F460" i="19"/>
  <c r="E317" i="19"/>
  <c r="F19" i="41" s="1"/>
  <c r="E167" i="19"/>
  <c r="F16" i="41" s="1"/>
  <c r="F167" i="19"/>
  <c r="F35" i="19"/>
  <c r="F34" i="19"/>
  <c r="F93" i="19"/>
  <c r="F94" i="19"/>
  <c r="F72" i="19"/>
  <c r="F73" i="19"/>
  <c r="F53" i="19"/>
  <c r="F54" i="19"/>
  <c r="F90" i="19"/>
  <c r="D10" i="41" a="1"/>
  <c r="D15" i="41" a="1"/>
  <c r="D15" i="41" l="1"/>
  <c r="D10" i="41"/>
  <c r="J87" i="13" a="1"/>
  <c r="J87" i="13" s="1"/>
  <c r="J86" i="13" a="1"/>
  <c r="J86" i="13" s="1"/>
  <c r="J85" i="13" a="1"/>
  <c r="J85" i="13" s="1"/>
  <c r="J84" i="13" a="1"/>
  <c r="J84" i="13" s="1"/>
  <c r="J83" i="13" a="1"/>
  <c r="J83" i="13" s="1"/>
  <c r="J82" i="13" a="1"/>
  <c r="J82" i="13" s="1"/>
  <c r="J81" i="13" a="1"/>
  <c r="J81" i="13" s="1"/>
  <c r="H20" i="13"/>
  <c r="L20" i="13" s="1"/>
  <c r="H19" i="13"/>
  <c r="L19" i="13" s="1"/>
  <c r="H18" i="13"/>
  <c r="L18" i="13" s="1"/>
  <c r="H17" i="13"/>
  <c r="L17" i="13" s="1"/>
  <c r="H16" i="13"/>
  <c r="L16" i="13" s="1"/>
  <c r="H15" i="13"/>
  <c r="L15" i="13" s="1"/>
  <c r="H14" i="13"/>
  <c r="L14" i="13" s="1"/>
  <c r="H79" i="19" a="1"/>
  <c r="H79" i="19" s="1"/>
  <c r="E79" i="19" a="1"/>
  <c r="H42" i="19" a="1"/>
  <c r="H42" i="19" s="1"/>
  <c r="G23" i="19" a="1"/>
  <c r="K23" i="19" a="1"/>
  <c r="K23" i="19" s="1"/>
  <c r="G336" i="19" a="1"/>
  <c r="G336" i="19" s="1"/>
  <c r="L336" i="19" s="1"/>
  <c r="F336" i="19" a="1"/>
  <c r="E336" i="19" a="1"/>
  <c r="E336" i="19" s="1"/>
  <c r="D336" i="19" a="1"/>
  <c r="D336" i="19" s="1"/>
  <c r="F490" i="19" a="1"/>
  <c r="F490" i="19" s="1"/>
  <c r="E490" i="19" a="1"/>
  <c r="D490" i="19" a="1"/>
  <c r="D490" i="19" s="1"/>
  <c r="F336" i="19" l="1"/>
  <c r="E79" i="19"/>
  <c r="G23" i="19"/>
  <c r="R16" i="13"/>
  <c r="R19" i="13"/>
  <c r="R20" i="13"/>
  <c r="O20" i="13"/>
  <c r="R18" i="13"/>
  <c r="O18" i="13"/>
  <c r="O19" i="13"/>
  <c r="R17" i="13"/>
  <c r="O17" i="13"/>
  <c r="O15" i="13"/>
  <c r="O16" i="13"/>
  <c r="R14" i="13"/>
  <c r="R15" i="13"/>
  <c r="O14" i="13"/>
  <c r="L341" i="19"/>
  <c r="L337" i="19"/>
  <c r="L339" i="19"/>
  <c r="L338" i="19"/>
  <c r="L340" i="19"/>
  <c r="L342" i="19"/>
  <c r="L343" i="19"/>
  <c r="L344" i="19"/>
  <c r="L345" i="19"/>
  <c r="E490" i="19"/>
  <c r="E502" i="19" l="1"/>
  <c r="F28" i="41" s="1"/>
  <c r="E348" i="19"/>
  <c r="F20" i="41" s="1"/>
  <c r="D79" i="19" l="1" a="1"/>
  <c r="D79" i="19" s="1"/>
  <c r="A24" i="26"/>
  <c r="A23" i="26"/>
  <c r="A22" i="26"/>
  <c r="A19" i="26"/>
  <c r="A18" i="26"/>
  <c r="A17" i="26"/>
  <c r="A16" i="26"/>
  <c r="A15" i="26"/>
  <c r="A14" i="26"/>
  <c r="A13" i="26"/>
  <c r="A12" i="26"/>
  <c r="A9" i="26"/>
  <c r="A8" i="26"/>
  <c r="A5" i="26"/>
  <c r="A4" i="26"/>
  <c r="A3" i="26"/>
  <c r="G117" i="13" l="1" a="1"/>
  <c r="G117" i="13" s="1"/>
  <c r="G126" i="13" a="1"/>
  <c r="G126" i="13" s="1"/>
  <c r="G125" i="13" a="1"/>
  <c r="G125" i="13" s="1"/>
  <c r="G124" i="13" a="1"/>
  <c r="G124" i="13" s="1"/>
  <c r="G123" i="13" a="1"/>
  <c r="G123" i="13" s="1"/>
  <c r="G122" i="13" a="1"/>
  <c r="G122" i="13" s="1"/>
  <c r="G121" i="13" a="1"/>
  <c r="G121" i="13" s="1"/>
  <c r="G120" i="13" a="1"/>
  <c r="G120" i="13" s="1"/>
  <c r="G118" i="13" a="1"/>
  <c r="G118" i="13" s="1"/>
  <c r="G119" i="13" a="1"/>
  <c r="G119" i="13" s="1"/>
  <c r="D61" i="19" a="1"/>
  <c r="D61" i="19" s="1"/>
  <c r="A117" i="25"/>
  <c r="A63" i="25"/>
  <c r="A18" i="25"/>
  <c r="A17" i="25"/>
  <c r="A16" i="25"/>
  <c r="A15" i="25"/>
  <c r="A12" i="25"/>
  <c r="A9" i="25"/>
  <c r="A8" i="25"/>
  <c r="A5" i="25"/>
  <c r="A4" i="25"/>
  <c r="A3" i="25"/>
  <c r="G104" i="13" l="1" a="1"/>
  <c r="G104" i="13" s="1"/>
  <c r="G113" i="13" a="1"/>
  <c r="G113" i="13" s="1"/>
  <c r="G112" i="13" a="1"/>
  <c r="G112" i="13" s="1"/>
  <c r="G111" i="13" a="1"/>
  <c r="G111" i="13" s="1"/>
  <c r="G109" i="13" a="1"/>
  <c r="G109" i="13" s="1"/>
  <c r="G108" i="13" a="1"/>
  <c r="G108" i="13" s="1"/>
  <c r="G106" i="13" a="1"/>
  <c r="G106" i="13" s="1"/>
  <c r="G110" i="13" a="1"/>
  <c r="G110" i="13" s="1"/>
  <c r="G105" i="13" a="1"/>
  <c r="G105" i="13" s="1"/>
  <c r="G107" i="13" a="1"/>
  <c r="G107" i="13" s="1"/>
  <c r="F79" i="19" a="1"/>
  <c r="D42" i="19" a="1"/>
  <c r="D42" i="19" s="1"/>
  <c r="A215" i="23"/>
  <c r="A174" i="23"/>
  <c r="A137" i="23"/>
  <c r="A104" i="23"/>
  <c r="A79" i="23"/>
  <c r="A55" i="23"/>
  <c r="F79" i="19" l="1"/>
  <c r="H93" i="13" a="1"/>
  <c r="H93" i="13" s="1"/>
  <c r="H92" i="13" a="1"/>
  <c r="H92" i="13" s="1"/>
  <c r="H91" i="13" a="1"/>
  <c r="H91" i="13" s="1"/>
  <c r="F61" i="19" a="1"/>
  <c r="K62" i="20"/>
  <c r="K61" i="20"/>
  <c r="K60" i="20"/>
  <c r="K59" i="20"/>
  <c r="K58" i="20"/>
  <c r="K57" i="20"/>
  <c r="K56" i="20"/>
  <c r="K55" i="20"/>
  <c r="K54" i="20"/>
  <c r="K53" i="20"/>
  <c r="O369" i="22"/>
  <c r="M369" i="22"/>
  <c r="K369" i="22"/>
  <c r="H369" i="22"/>
  <c r="G369" i="22"/>
  <c r="F369" i="22"/>
  <c r="E369" i="22"/>
  <c r="D369" i="22"/>
  <c r="O368" i="22"/>
  <c r="K368" i="22"/>
  <c r="J368" i="22"/>
  <c r="H368" i="22"/>
  <c r="G368" i="22"/>
  <c r="F368" i="22"/>
  <c r="E368" i="22"/>
  <c r="D368" i="22"/>
  <c r="O367" i="22"/>
  <c r="M367" i="22"/>
  <c r="K367" i="22"/>
  <c r="I367" i="22"/>
  <c r="H367" i="22"/>
  <c r="G367" i="22"/>
  <c r="F367" i="22"/>
  <c r="E367" i="22"/>
  <c r="D367" i="22"/>
  <c r="O366" i="22"/>
  <c r="L366" i="22"/>
  <c r="K366" i="22"/>
  <c r="I366" i="22"/>
  <c r="H366" i="22"/>
  <c r="G366" i="22"/>
  <c r="F366" i="22"/>
  <c r="E366" i="22"/>
  <c r="D366" i="22"/>
  <c r="O365" i="22"/>
  <c r="M365" i="22"/>
  <c r="K365" i="22"/>
  <c r="J365" i="22"/>
  <c r="H365" i="22"/>
  <c r="G365" i="22"/>
  <c r="F365" i="22"/>
  <c r="E365" i="22"/>
  <c r="D365" i="22"/>
  <c r="O364" i="22"/>
  <c r="M364" i="22"/>
  <c r="K364" i="22"/>
  <c r="I364" i="22"/>
  <c r="H364" i="22"/>
  <c r="G364" i="22"/>
  <c r="F364" i="22"/>
  <c r="E364" i="22"/>
  <c r="D364" i="22"/>
  <c r="O363" i="22"/>
  <c r="N363" i="22"/>
  <c r="K363" i="22"/>
  <c r="I363" i="22"/>
  <c r="H363" i="22"/>
  <c r="G363" i="22"/>
  <c r="F363" i="22"/>
  <c r="E363" i="22"/>
  <c r="D363" i="22"/>
  <c r="O362" i="22"/>
  <c r="M362" i="22"/>
  <c r="K362" i="22"/>
  <c r="I362" i="22"/>
  <c r="H362" i="22"/>
  <c r="G362" i="22"/>
  <c r="F362" i="22"/>
  <c r="E362" i="22"/>
  <c r="D362" i="22"/>
  <c r="L338" i="22"/>
  <c r="K338" i="22"/>
  <c r="I338" i="22"/>
  <c r="L337" i="22"/>
  <c r="K337" i="22"/>
  <c r="I337" i="22"/>
  <c r="L336" i="22"/>
  <c r="K336" i="22"/>
  <c r="I336" i="22"/>
  <c r="L335" i="22"/>
  <c r="K335" i="22"/>
  <c r="I335" i="22"/>
  <c r="P282" i="22"/>
  <c r="O282" i="22"/>
  <c r="N282" i="22"/>
  <c r="M282" i="22"/>
  <c r="L282" i="22"/>
  <c r="K282" i="22"/>
  <c r="J282" i="22"/>
  <c r="I282" i="22"/>
  <c r="H282" i="22"/>
  <c r="G282" i="22"/>
  <c r="F282" i="22"/>
  <c r="E282" i="22"/>
  <c r="P281" i="22"/>
  <c r="O281" i="22"/>
  <c r="N281" i="22"/>
  <c r="M281" i="22"/>
  <c r="L281" i="22"/>
  <c r="K281" i="22"/>
  <c r="J281" i="22"/>
  <c r="I281" i="22"/>
  <c r="H281" i="22"/>
  <c r="G281" i="22"/>
  <c r="F281" i="22"/>
  <c r="E281" i="22"/>
  <c r="P280" i="22"/>
  <c r="O280" i="22"/>
  <c r="N280" i="22"/>
  <c r="M280" i="22"/>
  <c r="L280" i="22"/>
  <c r="K280" i="22"/>
  <c r="J280" i="22"/>
  <c r="I280" i="22"/>
  <c r="H280" i="22"/>
  <c r="G280" i="22"/>
  <c r="F280" i="22"/>
  <c r="E280" i="22"/>
  <c r="P279" i="22"/>
  <c r="O279" i="22"/>
  <c r="N279" i="22"/>
  <c r="M279" i="22"/>
  <c r="L279" i="22"/>
  <c r="K279" i="22"/>
  <c r="J279" i="22"/>
  <c r="I279" i="22"/>
  <c r="H279" i="22"/>
  <c r="G279" i="22"/>
  <c r="F279" i="22"/>
  <c r="E279" i="22"/>
  <c r="P278" i="22"/>
  <c r="O278" i="22"/>
  <c r="N278" i="22"/>
  <c r="M278" i="22"/>
  <c r="L278" i="22"/>
  <c r="K278" i="22"/>
  <c r="J278" i="22"/>
  <c r="I278" i="22"/>
  <c r="H278" i="22"/>
  <c r="G278" i="22"/>
  <c r="F278" i="22"/>
  <c r="E278" i="22"/>
  <c r="P277" i="22"/>
  <c r="O277" i="22"/>
  <c r="N277" i="22"/>
  <c r="M277" i="22"/>
  <c r="L277" i="22"/>
  <c r="K277" i="22"/>
  <c r="J277" i="22"/>
  <c r="I277" i="22"/>
  <c r="H277" i="22"/>
  <c r="G277" i="22"/>
  <c r="F277" i="22"/>
  <c r="E277" i="22"/>
  <c r="P276" i="22"/>
  <c r="O276" i="22"/>
  <c r="N276" i="22"/>
  <c r="M276" i="22"/>
  <c r="L276" i="22"/>
  <c r="K276" i="22"/>
  <c r="J276" i="22"/>
  <c r="I276" i="22"/>
  <c r="H276" i="22"/>
  <c r="G276" i="22"/>
  <c r="F276" i="22"/>
  <c r="E276" i="22"/>
  <c r="P275" i="22"/>
  <c r="O275" i="22"/>
  <c r="N275" i="22"/>
  <c r="M275" i="22"/>
  <c r="L275" i="22"/>
  <c r="K275" i="22"/>
  <c r="J275" i="22"/>
  <c r="I275" i="22"/>
  <c r="H275" i="22"/>
  <c r="G275" i="22"/>
  <c r="F275" i="22"/>
  <c r="E275" i="22"/>
  <c r="P274" i="22"/>
  <c r="O274" i="22"/>
  <c r="N274" i="22"/>
  <c r="M274" i="22"/>
  <c r="L274" i="22"/>
  <c r="K274" i="22"/>
  <c r="J274" i="22"/>
  <c r="I274" i="22"/>
  <c r="H274" i="22"/>
  <c r="G274" i="22"/>
  <c r="F274" i="22"/>
  <c r="E274" i="22"/>
  <c r="P273" i="22"/>
  <c r="O273" i="22"/>
  <c r="N273" i="22"/>
  <c r="M273" i="22"/>
  <c r="L273" i="22"/>
  <c r="K273" i="22"/>
  <c r="J273" i="22"/>
  <c r="I273" i="22"/>
  <c r="H273" i="22"/>
  <c r="G273" i="22"/>
  <c r="F273" i="22"/>
  <c r="E273" i="22"/>
  <c r="P272" i="22"/>
  <c r="O272" i="22"/>
  <c r="N272" i="22"/>
  <c r="M272" i="22"/>
  <c r="L272" i="22"/>
  <c r="K272" i="22"/>
  <c r="J272" i="22"/>
  <c r="I272" i="22"/>
  <c r="H272" i="22"/>
  <c r="G272" i="22"/>
  <c r="F272" i="22"/>
  <c r="E272" i="22"/>
  <c r="P271" i="22"/>
  <c r="O271" i="22"/>
  <c r="N271" i="22"/>
  <c r="M271" i="22"/>
  <c r="L271" i="22"/>
  <c r="K271" i="22"/>
  <c r="J271" i="22"/>
  <c r="I271" i="22"/>
  <c r="H271" i="22"/>
  <c r="G271" i="22"/>
  <c r="F271" i="22"/>
  <c r="E271" i="22"/>
  <c r="P270" i="22"/>
  <c r="O270" i="22"/>
  <c r="N270" i="22"/>
  <c r="M270" i="22"/>
  <c r="L270" i="22"/>
  <c r="K270" i="22"/>
  <c r="J270" i="22"/>
  <c r="I270" i="22"/>
  <c r="H270" i="22"/>
  <c r="G270" i="22"/>
  <c r="F270" i="22"/>
  <c r="E270" i="22"/>
  <c r="P269" i="22"/>
  <c r="O269" i="22"/>
  <c r="N269" i="22"/>
  <c r="M269" i="22"/>
  <c r="L269" i="22"/>
  <c r="K269" i="22"/>
  <c r="J269" i="22"/>
  <c r="I269" i="22"/>
  <c r="H269" i="22"/>
  <c r="G269" i="22"/>
  <c r="F269" i="22"/>
  <c r="E269" i="22"/>
  <c r="P268" i="22"/>
  <c r="O268" i="22"/>
  <c r="N268" i="22"/>
  <c r="M268" i="22"/>
  <c r="L268" i="22"/>
  <c r="K268" i="22"/>
  <c r="J268" i="22"/>
  <c r="I268" i="22"/>
  <c r="H268" i="22"/>
  <c r="G268" i="22"/>
  <c r="F268" i="22"/>
  <c r="E268" i="22"/>
  <c r="P267" i="22"/>
  <c r="O267" i="22"/>
  <c r="N267" i="22"/>
  <c r="M267" i="22"/>
  <c r="L267" i="22"/>
  <c r="K267" i="22"/>
  <c r="J267" i="22"/>
  <c r="I267" i="22"/>
  <c r="H267" i="22"/>
  <c r="G267" i="22"/>
  <c r="F267" i="22"/>
  <c r="E267" i="22"/>
  <c r="P266" i="22"/>
  <c r="O266" i="22"/>
  <c r="N266" i="22"/>
  <c r="M266" i="22"/>
  <c r="L266" i="22"/>
  <c r="K266" i="22"/>
  <c r="J266" i="22"/>
  <c r="I266" i="22"/>
  <c r="H266" i="22"/>
  <c r="G266" i="22"/>
  <c r="F266" i="22"/>
  <c r="E266" i="22"/>
  <c r="P265" i="22"/>
  <c r="O265" i="22"/>
  <c r="N265" i="22"/>
  <c r="M265" i="22"/>
  <c r="L265" i="22"/>
  <c r="K265" i="22"/>
  <c r="J265" i="22"/>
  <c r="I265" i="22"/>
  <c r="H265" i="22"/>
  <c r="G265" i="22"/>
  <c r="F265" i="22"/>
  <c r="E265" i="22"/>
  <c r="P264" i="22"/>
  <c r="O264" i="22"/>
  <c r="N264" i="22"/>
  <c r="M264" i="22"/>
  <c r="L264" i="22"/>
  <c r="K264" i="22"/>
  <c r="J264" i="22"/>
  <c r="I264" i="22"/>
  <c r="H264" i="22"/>
  <c r="G264" i="22"/>
  <c r="F264" i="22"/>
  <c r="E264" i="22"/>
  <c r="P263" i="22"/>
  <c r="O263" i="22"/>
  <c r="N263" i="22"/>
  <c r="M263" i="22"/>
  <c r="L263" i="22"/>
  <c r="K263" i="22"/>
  <c r="J263" i="22"/>
  <c r="I263" i="22"/>
  <c r="H263" i="22"/>
  <c r="G263" i="22"/>
  <c r="F263" i="22"/>
  <c r="E263" i="22"/>
  <c r="P262" i="22"/>
  <c r="O262" i="22"/>
  <c r="N262" i="22"/>
  <c r="M262" i="22"/>
  <c r="L262" i="22"/>
  <c r="K262" i="22"/>
  <c r="J262" i="22"/>
  <c r="I262" i="22"/>
  <c r="H262" i="22"/>
  <c r="G262" i="22"/>
  <c r="F262" i="22"/>
  <c r="E262" i="22"/>
  <c r="P261" i="22"/>
  <c r="O261" i="22"/>
  <c r="N261" i="22"/>
  <c r="M261" i="22"/>
  <c r="L261" i="22"/>
  <c r="K261" i="22"/>
  <c r="J261" i="22"/>
  <c r="I261" i="22"/>
  <c r="H261" i="22"/>
  <c r="G261" i="22"/>
  <c r="F261" i="22"/>
  <c r="E261" i="22"/>
  <c r="P260" i="22"/>
  <c r="O260" i="22"/>
  <c r="N260" i="22"/>
  <c r="M260" i="22"/>
  <c r="L260" i="22"/>
  <c r="K260" i="22"/>
  <c r="J260" i="22"/>
  <c r="I260" i="22"/>
  <c r="H260" i="22"/>
  <c r="G260" i="22"/>
  <c r="F260" i="22"/>
  <c r="E260" i="22"/>
  <c r="P259" i="22"/>
  <c r="O259" i="22"/>
  <c r="N259" i="22"/>
  <c r="M259" i="22"/>
  <c r="L259" i="22"/>
  <c r="K259" i="22"/>
  <c r="J259" i="22"/>
  <c r="I259" i="22"/>
  <c r="H259" i="22"/>
  <c r="G259" i="22"/>
  <c r="F259" i="22"/>
  <c r="E259" i="22"/>
  <c r="P258" i="22"/>
  <c r="O258" i="22"/>
  <c r="N258" i="22"/>
  <c r="M258" i="22"/>
  <c r="L258" i="22"/>
  <c r="K258" i="22"/>
  <c r="J258" i="22"/>
  <c r="I258" i="22"/>
  <c r="H258" i="22"/>
  <c r="G258" i="22"/>
  <c r="F258" i="22"/>
  <c r="E258" i="22"/>
  <c r="P257" i="22"/>
  <c r="O257" i="22"/>
  <c r="N257" i="22"/>
  <c r="M257" i="22"/>
  <c r="L257" i="22"/>
  <c r="K257" i="22"/>
  <c r="J257" i="22"/>
  <c r="I257" i="22"/>
  <c r="H257" i="22"/>
  <c r="G257" i="22"/>
  <c r="F257" i="22"/>
  <c r="E257" i="22"/>
  <c r="P256" i="22"/>
  <c r="O256" i="22"/>
  <c r="N256" i="22"/>
  <c r="M256" i="22"/>
  <c r="L256" i="22"/>
  <c r="K256" i="22"/>
  <c r="J256" i="22"/>
  <c r="I256" i="22"/>
  <c r="H256" i="22"/>
  <c r="G256" i="22"/>
  <c r="F256" i="22"/>
  <c r="E256" i="22"/>
  <c r="P255" i="22"/>
  <c r="O255" i="22"/>
  <c r="N255" i="22"/>
  <c r="M255" i="22"/>
  <c r="L255" i="22"/>
  <c r="K255" i="22"/>
  <c r="J255" i="22"/>
  <c r="I255" i="22"/>
  <c r="H255" i="22"/>
  <c r="G255" i="22"/>
  <c r="F255" i="22"/>
  <c r="E255" i="22"/>
  <c r="M254" i="22"/>
  <c r="J254" i="22"/>
  <c r="I254" i="22"/>
  <c r="H254" i="22"/>
  <c r="G254" i="22"/>
  <c r="F254" i="22"/>
  <c r="E254" i="22"/>
  <c r="M253" i="22"/>
  <c r="J253" i="22"/>
  <c r="I253" i="22"/>
  <c r="H253" i="22"/>
  <c r="G253" i="22"/>
  <c r="F253" i="22"/>
  <c r="E253" i="22"/>
  <c r="M252" i="22"/>
  <c r="J252" i="22"/>
  <c r="I252" i="22"/>
  <c r="H252" i="22"/>
  <c r="G252" i="22"/>
  <c r="F252" i="22"/>
  <c r="E252" i="22"/>
  <c r="M251" i="22"/>
  <c r="J251" i="22"/>
  <c r="I251" i="22"/>
  <c r="H251" i="22"/>
  <c r="G251" i="22"/>
  <c r="F251" i="22"/>
  <c r="E251" i="22"/>
  <c r="M250" i="22"/>
  <c r="J250" i="22"/>
  <c r="I250" i="22"/>
  <c r="H250" i="22"/>
  <c r="G250" i="22"/>
  <c r="F250" i="22"/>
  <c r="E250" i="22"/>
  <c r="M249" i="22"/>
  <c r="J249" i="22"/>
  <c r="I249" i="22"/>
  <c r="H249" i="22"/>
  <c r="G249" i="22"/>
  <c r="F249" i="22"/>
  <c r="E249" i="22"/>
  <c r="M248" i="22"/>
  <c r="J248" i="22"/>
  <c r="I248" i="22"/>
  <c r="H248" i="22"/>
  <c r="G248" i="22"/>
  <c r="F248" i="22"/>
  <c r="E248" i="22"/>
  <c r="M247" i="22"/>
  <c r="J247" i="22"/>
  <c r="I247" i="22"/>
  <c r="H247" i="22"/>
  <c r="G247" i="22"/>
  <c r="F247" i="22"/>
  <c r="E247" i="22"/>
  <c r="M246" i="22"/>
  <c r="J246" i="22"/>
  <c r="I246" i="22"/>
  <c r="H246" i="22"/>
  <c r="G246" i="22"/>
  <c r="F246" i="22"/>
  <c r="E246" i="22"/>
  <c r="M245" i="22"/>
  <c r="J245" i="22"/>
  <c r="I245" i="22"/>
  <c r="H245" i="22"/>
  <c r="G245" i="22"/>
  <c r="F245" i="22"/>
  <c r="E245" i="22"/>
  <c r="M244" i="22"/>
  <c r="J244" i="22"/>
  <c r="I244" i="22"/>
  <c r="H244" i="22"/>
  <c r="G244" i="22"/>
  <c r="F244" i="22"/>
  <c r="E244" i="22"/>
  <c r="M243" i="22"/>
  <c r="J243" i="22"/>
  <c r="I243" i="22"/>
  <c r="H243" i="22"/>
  <c r="G243" i="22"/>
  <c r="F243" i="22"/>
  <c r="E243" i="22"/>
  <c r="M242" i="22"/>
  <c r="J242" i="22"/>
  <c r="I242" i="22"/>
  <c r="H242" i="22"/>
  <c r="G242" i="22"/>
  <c r="F242" i="22"/>
  <c r="M241" i="22"/>
  <c r="J241" i="22"/>
  <c r="I241" i="22"/>
  <c r="H241" i="22"/>
  <c r="G241" i="22"/>
  <c r="F241" i="22"/>
  <c r="M240" i="22"/>
  <c r="J240" i="22"/>
  <c r="I240" i="22"/>
  <c r="H240" i="22"/>
  <c r="G240" i="22"/>
  <c r="F240" i="22"/>
  <c r="M239" i="22"/>
  <c r="J239" i="22"/>
  <c r="I239" i="22"/>
  <c r="H239" i="22"/>
  <c r="G239" i="22"/>
  <c r="F239" i="22"/>
  <c r="M238" i="22"/>
  <c r="J238" i="22"/>
  <c r="I238" i="22"/>
  <c r="H238" i="22"/>
  <c r="G238" i="22"/>
  <c r="F238" i="22"/>
  <c r="M237" i="22"/>
  <c r="J237" i="22"/>
  <c r="I237" i="22"/>
  <c r="H237" i="22"/>
  <c r="G237" i="22"/>
  <c r="F237" i="22"/>
  <c r="M236" i="22"/>
  <c r="J236" i="22"/>
  <c r="I236" i="22"/>
  <c r="H236" i="22"/>
  <c r="G236" i="22"/>
  <c r="F236" i="22"/>
  <c r="M235" i="22"/>
  <c r="J235" i="22"/>
  <c r="I235" i="22"/>
  <c r="H235" i="22"/>
  <c r="G235" i="22"/>
  <c r="F235" i="22"/>
  <c r="M234" i="22"/>
  <c r="J234" i="22"/>
  <c r="I234" i="22"/>
  <c r="H234" i="22"/>
  <c r="G234" i="22"/>
  <c r="F234" i="22"/>
  <c r="M233" i="22"/>
  <c r="J233" i="22"/>
  <c r="I233" i="22"/>
  <c r="H233" i="22"/>
  <c r="G233" i="22"/>
  <c r="F233" i="22"/>
  <c r="M232" i="22"/>
  <c r="J232" i="22"/>
  <c r="I232" i="22"/>
  <c r="H232" i="22"/>
  <c r="G232" i="22"/>
  <c r="F232" i="22"/>
  <c r="M231" i="22"/>
  <c r="J231" i="22"/>
  <c r="I231" i="22"/>
  <c r="H231" i="22"/>
  <c r="G231" i="22"/>
  <c r="F231" i="22"/>
  <c r="P145" i="22"/>
  <c r="O145" i="22"/>
  <c r="N145" i="22"/>
  <c r="M145" i="22"/>
  <c r="L145" i="22"/>
  <c r="K145" i="22"/>
  <c r="J145" i="22"/>
  <c r="I145" i="22"/>
  <c r="H145" i="22"/>
  <c r="G145" i="22"/>
  <c r="F145" i="22"/>
  <c r="F149" i="22" s="1"/>
  <c r="E145" i="22"/>
  <c r="P144" i="22"/>
  <c r="O144" i="22"/>
  <c r="N144" i="22"/>
  <c r="M144" i="22"/>
  <c r="L144" i="22"/>
  <c r="K144" i="22"/>
  <c r="J144" i="22"/>
  <c r="I144" i="22"/>
  <c r="H144" i="22"/>
  <c r="G144" i="22"/>
  <c r="F144" i="22"/>
  <c r="F148" i="22" s="1"/>
  <c r="E144" i="22"/>
  <c r="P143" i="22"/>
  <c r="O143" i="22"/>
  <c r="N143" i="22"/>
  <c r="M143" i="22"/>
  <c r="L143" i="22"/>
  <c r="K143" i="22"/>
  <c r="J143" i="22"/>
  <c r="I143" i="22"/>
  <c r="H143" i="22"/>
  <c r="G143" i="22"/>
  <c r="F143" i="22"/>
  <c r="F147" i="22" s="1"/>
  <c r="E143" i="22"/>
  <c r="P142" i="22"/>
  <c r="O142" i="22"/>
  <c r="N142" i="22"/>
  <c r="M142" i="22"/>
  <c r="L142" i="22"/>
  <c r="K142" i="22"/>
  <c r="J142" i="22"/>
  <c r="I142" i="22"/>
  <c r="H142" i="22"/>
  <c r="G142" i="22"/>
  <c r="F142" i="22"/>
  <c r="F146" i="22" s="1"/>
  <c r="E142" i="22"/>
  <c r="P141" i="22"/>
  <c r="O141" i="22"/>
  <c r="N141" i="22"/>
  <c r="M141" i="22"/>
  <c r="L141" i="22"/>
  <c r="K141" i="22"/>
  <c r="J141" i="22"/>
  <c r="I141" i="22"/>
  <c r="H141" i="22"/>
  <c r="G141" i="22"/>
  <c r="F141" i="22"/>
  <c r="E141" i="22"/>
  <c r="P140" i="22"/>
  <c r="O140" i="22"/>
  <c r="N140" i="22"/>
  <c r="M140" i="22"/>
  <c r="L140" i="22"/>
  <c r="K140" i="22"/>
  <c r="J140" i="22"/>
  <c r="I140" i="22"/>
  <c r="H140" i="22"/>
  <c r="G140" i="22"/>
  <c r="F140" i="22"/>
  <c r="E140" i="22"/>
  <c r="P139" i="22"/>
  <c r="O139" i="22"/>
  <c r="N139" i="22"/>
  <c r="M139" i="22"/>
  <c r="L139" i="22"/>
  <c r="K139" i="22"/>
  <c r="J139" i="22"/>
  <c r="I139" i="22"/>
  <c r="H139" i="22"/>
  <c r="G139" i="22"/>
  <c r="F139" i="22"/>
  <c r="E139" i="22"/>
  <c r="P138" i="22"/>
  <c r="O138" i="22"/>
  <c r="N138" i="22"/>
  <c r="M138" i="22"/>
  <c r="L138" i="22"/>
  <c r="K138" i="22"/>
  <c r="J138" i="22"/>
  <c r="I138" i="22"/>
  <c r="H138" i="22"/>
  <c r="G138" i="22"/>
  <c r="F138" i="22"/>
  <c r="E138" i="22"/>
  <c r="P137" i="22"/>
  <c r="O137" i="22"/>
  <c r="N137" i="22"/>
  <c r="M137" i="22"/>
  <c r="L137" i="22"/>
  <c r="K137" i="22"/>
  <c r="J137" i="22"/>
  <c r="I137" i="22"/>
  <c r="H137" i="22"/>
  <c r="G137" i="22"/>
  <c r="F137" i="22"/>
  <c r="E137" i="22"/>
  <c r="P136" i="22"/>
  <c r="O136" i="22"/>
  <c r="N136" i="22"/>
  <c r="M136" i="22"/>
  <c r="L136" i="22"/>
  <c r="K136" i="22"/>
  <c r="J136" i="22"/>
  <c r="I136" i="22"/>
  <c r="H136" i="22"/>
  <c r="G136" i="22"/>
  <c r="F136" i="22"/>
  <c r="E136" i="22"/>
  <c r="P135" i="22"/>
  <c r="O135" i="22"/>
  <c r="N135" i="22"/>
  <c r="M135" i="22"/>
  <c r="L135" i="22"/>
  <c r="K135" i="22"/>
  <c r="J135" i="22"/>
  <c r="I135" i="22"/>
  <c r="H135" i="22"/>
  <c r="G135" i="22"/>
  <c r="F135" i="22"/>
  <c r="E135" i="22"/>
  <c r="P134" i="22"/>
  <c r="O134" i="22"/>
  <c r="N134" i="22"/>
  <c r="M134" i="22"/>
  <c r="L134" i="22"/>
  <c r="K134" i="22"/>
  <c r="J134" i="22"/>
  <c r="I134" i="22"/>
  <c r="H134" i="22"/>
  <c r="G134" i="22"/>
  <c r="F134" i="22"/>
  <c r="E134" i="22"/>
  <c r="P133" i="22"/>
  <c r="O133" i="22"/>
  <c r="N133" i="22"/>
  <c r="M133" i="22"/>
  <c r="L133" i="22"/>
  <c r="K133" i="22"/>
  <c r="J133" i="22"/>
  <c r="I133" i="22"/>
  <c r="H133" i="22"/>
  <c r="G133" i="22"/>
  <c r="F133" i="22"/>
  <c r="E133" i="22"/>
  <c r="P132" i="22"/>
  <c r="O132" i="22"/>
  <c r="N132" i="22"/>
  <c r="M132" i="22"/>
  <c r="L132" i="22"/>
  <c r="K132" i="22"/>
  <c r="J132" i="22"/>
  <c r="I132" i="22"/>
  <c r="H132" i="22"/>
  <c r="G132" i="22"/>
  <c r="F132" i="22"/>
  <c r="E132" i="22"/>
  <c r="P131" i="22"/>
  <c r="O131" i="22"/>
  <c r="N131" i="22"/>
  <c r="M131" i="22"/>
  <c r="L131" i="22"/>
  <c r="K131" i="22"/>
  <c r="J131" i="22"/>
  <c r="I131" i="22"/>
  <c r="H131" i="22"/>
  <c r="G131" i="22"/>
  <c r="F131" i="22"/>
  <c r="E131" i="22"/>
  <c r="P130" i="22"/>
  <c r="O130" i="22"/>
  <c r="N130" i="22"/>
  <c r="M130" i="22"/>
  <c r="L130" i="22"/>
  <c r="K130" i="22"/>
  <c r="J130" i="22"/>
  <c r="I130" i="22"/>
  <c r="H130" i="22"/>
  <c r="G130" i="22"/>
  <c r="F130" i="22"/>
  <c r="E130" i="22"/>
  <c r="P129" i="22"/>
  <c r="O129" i="22"/>
  <c r="N129" i="22"/>
  <c r="M129" i="22"/>
  <c r="L129" i="22"/>
  <c r="K129" i="22"/>
  <c r="J129" i="22"/>
  <c r="I129" i="22"/>
  <c r="H129" i="22"/>
  <c r="G129" i="22"/>
  <c r="F129" i="22"/>
  <c r="E129" i="22"/>
  <c r="P128" i="22"/>
  <c r="O128" i="22"/>
  <c r="N128" i="22"/>
  <c r="M128" i="22"/>
  <c r="L128" i="22"/>
  <c r="K128" i="22"/>
  <c r="J128" i="22"/>
  <c r="I128" i="22"/>
  <c r="H128" i="22"/>
  <c r="G128" i="22"/>
  <c r="F128" i="22"/>
  <c r="E128" i="22"/>
  <c r="P127" i="22"/>
  <c r="O127" i="22"/>
  <c r="N127" i="22"/>
  <c r="M127" i="22"/>
  <c r="L127" i="22"/>
  <c r="K127" i="22"/>
  <c r="J127" i="22"/>
  <c r="I127" i="22"/>
  <c r="H127" i="22"/>
  <c r="G127" i="22"/>
  <c r="F127" i="22"/>
  <c r="E127" i="22"/>
  <c r="P126" i="22"/>
  <c r="O126" i="22"/>
  <c r="N126" i="22"/>
  <c r="M126" i="22"/>
  <c r="L126" i="22"/>
  <c r="K126" i="22"/>
  <c r="J126" i="22"/>
  <c r="I126" i="22"/>
  <c r="H126" i="22"/>
  <c r="G126" i="22"/>
  <c r="F126" i="22"/>
  <c r="E126" i="22"/>
  <c r="P125" i="22"/>
  <c r="O125" i="22"/>
  <c r="N125" i="22"/>
  <c r="M125" i="22"/>
  <c r="L125" i="22"/>
  <c r="K125" i="22"/>
  <c r="J125" i="22"/>
  <c r="I125" i="22"/>
  <c r="H125" i="22"/>
  <c r="G125" i="22"/>
  <c r="F125" i="22"/>
  <c r="E125" i="22"/>
  <c r="P124" i="22"/>
  <c r="O124" i="22"/>
  <c r="N124" i="22"/>
  <c r="M124" i="22"/>
  <c r="L124" i="22"/>
  <c r="K124" i="22"/>
  <c r="J124" i="22"/>
  <c r="I124" i="22"/>
  <c r="H124" i="22"/>
  <c r="G124" i="22"/>
  <c r="F124" i="22"/>
  <c r="E124" i="22"/>
  <c r="P123" i="22"/>
  <c r="O123" i="22"/>
  <c r="N123" i="22"/>
  <c r="M123" i="22"/>
  <c r="L123" i="22"/>
  <c r="K123" i="22"/>
  <c r="J123" i="22"/>
  <c r="I123" i="22"/>
  <c r="H123" i="22"/>
  <c r="G123" i="22"/>
  <c r="F123" i="22"/>
  <c r="E123" i="22"/>
  <c r="P122" i="22"/>
  <c r="O122" i="22"/>
  <c r="N122" i="22"/>
  <c r="M122" i="22"/>
  <c r="L122" i="22"/>
  <c r="K122" i="22"/>
  <c r="J122" i="22"/>
  <c r="I122" i="22"/>
  <c r="H122" i="22"/>
  <c r="G122" i="22"/>
  <c r="F122" i="22"/>
  <c r="E122" i="22"/>
  <c r="P121" i="22"/>
  <c r="O121" i="22"/>
  <c r="N121" i="22"/>
  <c r="M121" i="22"/>
  <c r="L121" i="22"/>
  <c r="K121" i="22"/>
  <c r="J121" i="22"/>
  <c r="I121" i="22"/>
  <c r="H121" i="22"/>
  <c r="G121" i="22"/>
  <c r="F121" i="22"/>
  <c r="E121" i="22"/>
  <c r="P120" i="22"/>
  <c r="O120" i="22"/>
  <c r="N120" i="22"/>
  <c r="M120" i="22"/>
  <c r="L120" i="22"/>
  <c r="K120" i="22"/>
  <c r="J120" i="22"/>
  <c r="I120" i="22"/>
  <c r="H120" i="22"/>
  <c r="G120" i="22"/>
  <c r="F120" i="22"/>
  <c r="E120" i="22"/>
  <c r="P119" i="22"/>
  <c r="O119" i="22"/>
  <c r="N119" i="22"/>
  <c r="M119" i="22"/>
  <c r="L119" i="22"/>
  <c r="K119" i="22"/>
  <c r="J119" i="22"/>
  <c r="I119" i="22"/>
  <c r="H119" i="22"/>
  <c r="G119" i="22"/>
  <c r="F119" i="22"/>
  <c r="E119" i="22"/>
  <c r="P118" i="22"/>
  <c r="O118" i="22"/>
  <c r="N118" i="22"/>
  <c r="M118" i="22"/>
  <c r="L118" i="22"/>
  <c r="K118" i="22"/>
  <c r="J118" i="22"/>
  <c r="I118" i="22"/>
  <c r="H118" i="22"/>
  <c r="G118" i="22"/>
  <c r="F118" i="22"/>
  <c r="E118" i="22"/>
  <c r="M117" i="22"/>
  <c r="J117" i="22"/>
  <c r="I117" i="22"/>
  <c r="H117" i="22"/>
  <c r="G117" i="22"/>
  <c r="F117" i="22"/>
  <c r="E117" i="22"/>
  <c r="M116" i="22"/>
  <c r="L116" i="22"/>
  <c r="J116" i="22"/>
  <c r="I116" i="22"/>
  <c r="H116" i="22"/>
  <c r="G116" i="22"/>
  <c r="F116" i="22"/>
  <c r="E116" i="22"/>
  <c r="M115" i="22"/>
  <c r="J115" i="22"/>
  <c r="I115" i="22"/>
  <c r="H115" i="22"/>
  <c r="G115" i="22"/>
  <c r="F115" i="22"/>
  <c r="E115" i="22"/>
  <c r="M114" i="22"/>
  <c r="J114" i="22"/>
  <c r="I114" i="22"/>
  <c r="H114" i="22"/>
  <c r="G114" i="22"/>
  <c r="F114" i="22"/>
  <c r="E114" i="22"/>
  <c r="M113" i="22"/>
  <c r="J113" i="22"/>
  <c r="I113" i="22"/>
  <c r="H113" i="22"/>
  <c r="G113" i="22"/>
  <c r="F113" i="22"/>
  <c r="E113" i="22"/>
  <c r="M112" i="22"/>
  <c r="J112" i="22"/>
  <c r="I112" i="22"/>
  <c r="H112" i="22"/>
  <c r="G112" i="22"/>
  <c r="F112" i="22"/>
  <c r="E112" i="22"/>
  <c r="M111" i="22"/>
  <c r="J111" i="22"/>
  <c r="I111" i="22"/>
  <c r="H111" i="22"/>
  <c r="G111" i="22"/>
  <c r="F111" i="22"/>
  <c r="E111" i="22"/>
  <c r="O110" i="22"/>
  <c r="M110" i="22"/>
  <c r="J110" i="22"/>
  <c r="I110" i="22"/>
  <c r="H110" i="22"/>
  <c r="G110" i="22"/>
  <c r="F110" i="22"/>
  <c r="E110" i="22"/>
  <c r="M109" i="22"/>
  <c r="L109" i="22"/>
  <c r="J109" i="22"/>
  <c r="I109" i="22"/>
  <c r="H109" i="22"/>
  <c r="G109" i="22"/>
  <c r="F109" i="22"/>
  <c r="E109" i="22"/>
  <c r="M108" i="22"/>
  <c r="J108" i="22"/>
  <c r="I108" i="22"/>
  <c r="H108" i="22"/>
  <c r="G108" i="22"/>
  <c r="F108" i="22"/>
  <c r="E108" i="22"/>
  <c r="M107" i="22"/>
  <c r="J107" i="22"/>
  <c r="I107" i="22"/>
  <c r="H107" i="22"/>
  <c r="G107" i="22"/>
  <c r="F107" i="22"/>
  <c r="E107" i="22"/>
  <c r="M106" i="22"/>
  <c r="J106" i="22"/>
  <c r="I106" i="22"/>
  <c r="H106" i="22"/>
  <c r="G106" i="22"/>
  <c r="E106" i="22"/>
  <c r="M105" i="22"/>
  <c r="J105" i="22"/>
  <c r="I105" i="22"/>
  <c r="H105" i="22"/>
  <c r="G105" i="22"/>
  <c r="M104" i="22"/>
  <c r="J104" i="22"/>
  <c r="I104" i="22"/>
  <c r="H104" i="22"/>
  <c r="G104" i="22"/>
  <c r="M103" i="22"/>
  <c r="J103" i="22"/>
  <c r="I103" i="22"/>
  <c r="H103" i="22"/>
  <c r="G103" i="22"/>
  <c r="M102" i="22"/>
  <c r="J102" i="22"/>
  <c r="I102" i="22"/>
  <c r="H102" i="22"/>
  <c r="G102" i="22"/>
  <c r="F98" i="22"/>
  <c r="M101" i="22"/>
  <c r="J101" i="22"/>
  <c r="I101" i="22"/>
  <c r="H101" i="22"/>
  <c r="G101" i="22"/>
  <c r="M100" i="22"/>
  <c r="J100" i="22"/>
  <c r="I100" i="22"/>
  <c r="H100" i="22"/>
  <c r="G100" i="22"/>
  <c r="M99" i="22"/>
  <c r="J99" i="22"/>
  <c r="I99" i="22"/>
  <c r="H99" i="22"/>
  <c r="G99" i="22"/>
  <c r="M98" i="22"/>
  <c r="J98" i="22"/>
  <c r="I98" i="22"/>
  <c r="H98" i="22"/>
  <c r="G98" i="22"/>
  <c r="F94" i="22"/>
  <c r="M97" i="22"/>
  <c r="J97" i="22"/>
  <c r="I97" i="22"/>
  <c r="H97" i="22"/>
  <c r="G97" i="22"/>
  <c r="M96" i="22"/>
  <c r="J96" i="22"/>
  <c r="I96" i="22"/>
  <c r="H96" i="22"/>
  <c r="G96" i="22"/>
  <c r="M95" i="22"/>
  <c r="J95" i="22"/>
  <c r="I95" i="22"/>
  <c r="H95" i="22"/>
  <c r="G95" i="22"/>
  <c r="M94" i="22"/>
  <c r="J94" i="22"/>
  <c r="I94" i="22"/>
  <c r="H94" i="22"/>
  <c r="G94" i="22"/>
  <c r="F90" i="22"/>
  <c r="F86" i="22"/>
  <c r="A17" i="22"/>
  <c r="A16" i="22"/>
  <c r="A15" i="22"/>
  <c r="A14" i="22"/>
  <c r="A11" i="22"/>
  <c r="A8" i="22"/>
  <c r="A7" i="22"/>
  <c r="A4" i="22"/>
  <c r="A3" i="22"/>
  <c r="F42" i="19" l="1" a="1"/>
  <c r="F61" i="19"/>
  <c r="M368" i="22"/>
  <c r="N368" i="22"/>
  <c r="L362" i="22"/>
  <c r="I368" i="22"/>
  <c r="L369" i="22"/>
  <c r="J364" i="22"/>
  <c r="N367" i="22"/>
  <c r="I87" i="22"/>
  <c r="I91" i="22"/>
  <c r="P88" i="22"/>
  <c r="O88" i="22"/>
  <c r="N88" i="22"/>
  <c r="P92" i="22"/>
  <c r="O92" i="22"/>
  <c r="N92" i="22"/>
  <c r="K95" i="22"/>
  <c r="L95" i="22"/>
  <c r="L102" i="22"/>
  <c r="K102" i="22"/>
  <c r="L104" i="22"/>
  <c r="K104" i="22"/>
  <c r="J87" i="22"/>
  <c r="J91" i="22"/>
  <c r="L101" i="22"/>
  <c r="K101" i="22"/>
  <c r="L111" i="22"/>
  <c r="K111" i="22"/>
  <c r="G90" i="22"/>
  <c r="G86" i="22"/>
  <c r="K87" i="22"/>
  <c r="L91" i="22"/>
  <c r="K91" i="22"/>
  <c r="L87" i="22"/>
  <c r="P95" i="22"/>
  <c r="O95" i="22"/>
  <c r="N95" i="22"/>
  <c r="K100" i="22"/>
  <c r="L100" i="22"/>
  <c r="P102" i="22"/>
  <c r="O102" i="22"/>
  <c r="N102" i="22"/>
  <c r="P104" i="22"/>
  <c r="O104" i="22"/>
  <c r="N104" i="22"/>
  <c r="M91" i="22"/>
  <c r="M87" i="22"/>
  <c r="P105" i="22"/>
  <c r="O105" i="22"/>
  <c r="N105" i="22"/>
  <c r="L107" i="22"/>
  <c r="K107" i="22"/>
  <c r="G89" i="22"/>
  <c r="G93" i="22"/>
  <c r="L94" i="22"/>
  <c r="K94" i="22"/>
  <c r="L98" i="22"/>
  <c r="K98" i="22"/>
  <c r="O101" i="22"/>
  <c r="N101" i="22"/>
  <c r="P101" i="22"/>
  <c r="N111" i="22"/>
  <c r="P111" i="22"/>
  <c r="O111" i="22"/>
  <c r="K113" i="22"/>
  <c r="L113" i="22"/>
  <c r="J90" i="22"/>
  <c r="J86" i="22"/>
  <c r="H93" i="22"/>
  <c r="H89" i="22"/>
  <c r="M86" i="22"/>
  <c r="M90" i="22"/>
  <c r="O90" i="22"/>
  <c r="N86" i="22"/>
  <c r="N90" i="22"/>
  <c r="P86" i="22"/>
  <c r="O86" i="22"/>
  <c r="P90" i="22"/>
  <c r="G88" i="22"/>
  <c r="G92" i="22"/>
  <c r="L89" i="22"/>
  <c r="L93" i="22"/>
  <c r="K89" i="22"/>
  <c r="K93" i="22"/>
  <c r="P114" i="22"/>
  <c r="O114" i="22"/>
  <c r="N114" i="22"/>
  <c r="N116" i="22"/>
  <c r="O116" i="22"/>
  <c r="P116" i="22"/>
  <c r="P117" i="22"/>
  <c r="N117" i="22"/>
  <c r="O117" i="22"/>
  <c r="P99" i="22"/>
  <c r="O99" i="22"/>
  <c r="N99" i="22"/>
  <c r="P108" i="22"/>
  <c r="O108" i="22"/>
  <c r="N108" i="22"/>
  <c r="I93" i="22"/>
  <c r="I89" i="22"/>
  <c r="P98" i="22"/>
  <c r="O98" i="22"/>
  <c r="N98" i="22"/>
  <c r="M93" i="22"/>
  <c r="M89" i="22"/>
  <c r="N97" i="22"/>
  <c r="P97" i="22"/>
  <c r="O97" i="22"/>
  <c r="I92" i="22"/>
  <c r="I88" i="22"/>
  <c r="P93" i="22"/>
  <c r="O93" i="22"/>
  <c r="N93" i="22"/>
  <c r="P89" i="22"/>
  <c r="O89" i="22"/>
  <c r="N89" i="22"/>
  <c r="L96" i="22"/>
  <c r="K96" i="22"/>
  <c r="H90" i="22"/>
  <c r="H86" i="22"/>
  <c r="I90" i="22"/>
  <c r="I86" i="22"/>
  <c r="P91" i="22"/>
  <c r="O91" i="22"/>
  <c r="N91" i="22"/>
  <c r="P87" i="22"/>
  <c r="O87" i="22"/>
  <c r="N87" i="22"/>
  <c r="L90" i="22"/>
  <c r="K90" i="22"/>
  <c r="L86" i="22"/>
  <c r="K86" i="22"/>
  <c r="P94" i="22"/>
  <c r="O94" i="22"/>
  <c r="N94" i="22"/>
  <c r="P113" i="22"/>
  <c r="O113" i="22"/>
  <c r="N113" i="22"/>
  <c r="L97" i="22"/>
  <c r="K97" i="22"/>
  <c r="J92" i="22"/>
  <c r="J88" i="22"/>
  <c r="G87" i="22"/>
  <c r="G91" i="22"/>
  <c r="L88" i="22"/>
  <c r="K88" i="22"/>
  <c r="K92" i="22"/>
  <c r="L92" i="22"/>
  <c r="P96" i="22"/>
  <c r="O96" i="22"/>
  <c r="N96" i="22"/>
  <c r="J93" i="22"/>
  <c r="J89" i="22"/>
  <c r="H88" i="22"/>
  <c r="H92" i="22"/>
  <c r="H87" i="22"/>
  <c r="H91" i="22"/>
  <c r="M88" i="22"/>
  <c r="M92" i="22"/>
  <c r="K109" i="22"/>
  <c r="H227" i="22"/>
  <c r="H223" i="22"/>
  <c r="H224" i="22"/>
  <c r="H228" i="22"/>
  <c r="L233" i="22"/>
  <c r="K233" i="22"/>
  <c r="J229" i="22"/>
  <c r="J225" i="22"/>
  <c r="J224" i="22"/>
  <c r="J228" i="22"/>
  <c r="L225" i="22"/>
  <c r="K225" i="22"/>
  <c r="K229" i="22"/>
  <c r="L229" i="22"/>
  <c r="P231" i="22"/>
  <c r="O231" i="22"/>
  <c r="N231" i="22"/>
  <c r="P234" i="22"/>
  <c r="O234" i="22"/>
  <c r="N234" i="22"/>
  <c r="L105" i="22"/>
  <c r="K105" i="22"/>
  <c r="P109" i="22"/>
  <c r="O109" i="22"/>
  <c r="N109" i="22"/>
  <c r="L112" i="22"/>
  <c r="K112" i="22"/>
  <c r="L115" i="22"/>
  <c r="K115" i="22"/>
  <c r="J227" i="22"/>
  <c r="J223" i="22"/>
  <c r="M225" i="22"/>
  <c r="M229" i="22"/>
  <c r="P232" i="22"/>
  <c r="O232" i="22"/>
  <c r="N232" i="22"/>
  <c r="M228" i="22"/>
  <c r="M224" i="22"/>
  <c r="K116" i="22"/>
  <c r="K227" i="22"/>
  <c r="L223" i="22"/>
  <c r="K223" i="22"/>
  <c r="L227" i="22"/>
  <c r="P228" i="22"/>
  <c r="O228" i="22"/>
  <c r="N228" i="22"/>
  <c r="P224" i="22"/>
  <c r="O224" i="22"/>
  <c r="N224" i="22"/>
  <c r="P115" i="22"/>
  <c r="O115" i="22"/>
  <c r="N115" i="22"/>
  <c r="L108" i="22"/>
  <c r="K108" i="22"/>
  <c r="P112" i="22"/>
  <c r="O112" i="22"/>
  <c r="N112" i="22"/>
  <c r="P100" i="22"/>
  <c r="O100" i="22"/>
  <c r="N100" i="22"/>
  <c r="K103" i="22"/>
  <c r="L103" i="22"/>
  <c r="O107" i="22"/>
  <c r="N107" i="22"/>
  <c r="P107" i="22"/>
  <c r="L110" i="22"/>
  <c r="K110" i="22"/>
  <c r="G230" i="22"/>
  <c r="G226" i="22"/>
  <c r="O238" i="22"/>
  <c r="N238" i="22"/>
  <c r="P238" i="22"/>
  <c r="K244" i="22"/>
  <c r="L244" i="22"/>
  <c r="L99" i="22"/>
  <c r="K99" i="22"/>
  <c r="P103" i="22"/>
  <c r="O103" i="22"/>
  <c r="N103" i="22"/>
  <c r="K106" i="22"/>
  <c r="L106" i="22"/>
  <c r="P110" i="22"/>
  <c r="N110" i="22"/>
  <c r="H230" i="22"/>
  <c r="H226" i="22"/>
  <c r="O240" i="22"/>
  <c r="N240" i="22"/>
  <c r="P240" i="22"/>
  <c r="F228" i="22"/>
  <c r="F224" i="22"/>
  <c r="L114" i="22"/>
  <c r="K114" i="22"/>
  <c r="L117" i="22"/>
  <c r="K117" i="22"/>
  <c r="H229" i="22"/>
  <c r="H225" i="22"/>
  <c r="F106" i="22"/>
  <c r="F102" i="22"/>
  <c r="J78" i="13" s="1" a="1"/>
  <c r="J78" i="13" s="1"/>
  <c r="P106" i="22"/>
  <c r="O106" i="22"/>
  <c r="N106" i="22"/>
  <c r="G227" i="22"/>
  <c r="G223" i="22"/>
  <c r="L230" i="22"/>
  <c r="K230" i="22"/>
  <c r="L226" i="22"/>
  <c r="K226" i="22"/>
  <c r="I224" i="22"/>
  <c r="I228" i="22"/>
  <c r="G225" i="22"/>
  <c r="G229" i="22"/>
  <c r="F230" i="22"/>
  <c r="F226" i="22"/>
  <c r="P236" i="22"/>
  <c r="O236" i="22"/>
  <c r="N236" i="22"/>
  <c r="L232" i="22"/>
  <c r="K232" i="22"/>
  <c r="P237" i="22"/>
  <c r="O237" i="22"/>
  <c r="N237" i="22"/>
  <c r="L238" i="22"/>
  <c r="K238" i="22"/>
  <c r="M223" i="22"/>
  <c r="M227" i="22"/>
  <c r="P227" i="22"/>
  <c r="P223" i="22"/>
  <c r="O223" i="22"/>
  <c r="N223" i="22"/>
  <c r="O227" i="22"/>
  <c r="N227" i="22"/>
  <c r="L228" i="22"/>
  <c r="K228" i="22"/>
  <c r="L224" i="22"/>
  <c r="K224" i="22"/>
  <c r="I229" i="22"/>
  <c r="I225" i="22"/>
  <c r="L239" i="22"/>
  <c r="K239" i="22"/>
  <c r="L240" i="22"/>
  <c r="K240" i="22"/>
  <c r="F223" i="22"/>
  <c r="F227" i="22"/>
  <c r="I230" i="22"/>
  <c r="I226" i="22"/>
  <c r="P239" i="22"/>
  <c r="O239" i="22"/>
  <c r="N239" i="22"/>
  <c r="L241" i="22"/>
  <c r="K241" i="22"/>
  <c r="J230" i="22"/>
  <c r="J226" i="22"/>
  <c r="L242" i="22"/>
  <c r="K242" i="22"/>
  <c r="L245" i="22"/>
  <c r="K245" i="22"/>
  <c r="K246" i="22"/>
  <c r="L246" i="22"/>
  <c r="L247" i="22"/>
  <c r="K247" i="22"/>
  <c r="L249" i="22"/>
  <c r="K249" i="22"/>
  <c r="L250" i="22"/>
  <c r="K250" i="22"/>
  <c r="L252" i="22"/>
  <c r="K252" i="22"/>
  <c r="P233" i="22"/>
  <c r="O233" i="22"/>
  <c r="N233" i="22"/>
  <c r="L235" i="22"/>
  <c r="K235" i="22"/>
  <c r="L243" i="22"/>
  <c r="K243" i="22"/>
  <c r="L248" i="22"/>
  <c r="K248" i="22"/>
  <c r="L254" i="22"/>
  <c r="K254" i="22"/>
  <c r="P241" i="22"/>
  <c r="O241" i="22"/>
  <c r="N241" i="22"/>
  <c r="P225" i="22"/>
  <c r="O225" i="22"/>
  <c r="N225" i="22"/>
  <c r="P229" i="22"/>
  <c r="O229" i="22"/>
  <c r="N229" i="22"/>
  <c r="P242" i="22"/>
  <c r="O242" i="22"/>
  <c r="N242" i="22"/>
  <c r="P245" i="22"/>
  <c r="O245" i="22"/>
  <c r="N245" i="22"/>
  <c r="P248" i="22"/>
  <c r="O248" i="22"/>
  <c r="N248" i="22"/>
  <c r="P251" i="22"/>
  <c r="O251" i="22"/>
  <c r="N251" i="22"/>
  <c r="O252" i="22"/>
  <c r="N252" i="22"/>
  <c r="P252" i="22"/>
  <c r="I227" i="22"/>
  <c r="I223" i="22"/>
  <c r="G228" i="22"/>
  <c r="G224" i="22"/>
  <c r="M230" i="22"/>
  <c r="M226" i="22"/>
  <c r="N235" i="22"/>
  <c r="P235" i="22"/>
  <c r="O235" i="22"/>
  <c r="L236" i="22"/>
  <c r="K236" i="22"/>
  <c r="K237" i="22"/>
  <c r="L237" i="22"/>
  <c r="O243" i="22"/>
  <c r="N243" i="22"/>
  <c r="P243" i="22"/>
  <c r="F229" i="22"/>
  <c r="F225" i="22"/>
  <c r="O226" i="22"/>
  <c r="N226" i="22"/>
  <c r="O230" i="22"/>
  <c r="N230" i="22"/>
  <c r="P226" i="22"/>
  <c r="P230" i="22"/>
  <c r="P244" i="22"/>
  <c r="O244" i="22"/>
  <c r="N244" i="22"/>
  <c r="P247" i="22"/>
  <c r="O247" i="22"/>
  <c r="N247" i="22"/>
  <c r="K251" i="22"/>
  <c r="L251" i="22"/>
  <c r="P254" i="22"/>
  <c r="O254" i="22"/>
  <c r="N254" i="22"/>
  <c r="L231" i="22"/>
  <c r="K231" i="22"/>
  <c r="K234" i="22"/>
  <c r="L234" i="22"/>
  <c r="O246" i="22"/>
  <c r="N246" i="22"/>
  <c r="P246" i="22"/>
  <c r="P249" i="22"/>
  <c r="N249" i="22"/>
  <c r="O249" i="22"/>
  <c r="L253" i="22"/>
  <c r="K253" i="22"/>
  <c r="P250" i="22"/>
  <c r="O250" i="22"/>
  <c r="N250" i="22"/>
  <c r="O253" i="22"/>
  <c r="N253" i="22"/>
  <c r="P253" i="22"/>
  <c r="I369" i="22"/>
  <c r="J369" i="22"/>
  <c r="M366" i="22"/>
  <c r="N366" i="22"/>
  <c r="N362" i="22"/>
  <c r="L364" i="22"/>
  <c r="J366" i="22"/>
  <c r="N364" i="22"/>
  <c r="L368" i="22"/>
  <c r="J363" i="22"/>
  <c r="L363" i="22"/>
  <c r="I365" i="22"/>
  <c r="M363" i="22"/>
  <c r="L365" i="22"/>
  <c r="J367" i="22"/>
  <c r="N365" i="22"/>
  <c r="L367" i="22"/>
  <c r="J362" i="22"/>
  <c r="N369" i="22"/>
  <c r="F23" i="19" a="1"/>
  <c r="F23" i="19" s="1"/>
  <c r="E23" i="19" a="1"/>
  <c r="D23" i="19" a="1"/>
  <c r="D23" i="19" s="1"/>
  <c r="J79" i="13" l="1" a="1"/>
  <c r="J79" i="13" s="1"/>
  <c r="H23" i="19" s="1" a="1"/>
  <c r="J148" i="22"/>
  <c r="I149" i="22"/>
  <c r="F42" i="19"/>
  <c r="E23" i="19"/>
  <c r="M149" i="22"/>
  <c r="I146" i="22"/>
  <c r="G146" i="22"/>
  <c r="I148" i="22"/>
  <c r="G148" i="22"/>
  <c r="I147" i="22"/>
  <c r="K146" i="22"/>
  <c r="L146" i="22"/>
  <c r="G149" i="22"/>
  <c r="J147" i="22"/>
  <c r="O146" i="22"/>
  <c r="M147" i="22"/>
  <c r="L148" i="22"/>
  <c r="P146" i="22"/>
  <c r="L147" i="22"/>
  <c r="O149" i="22"/>
  <c r="H147" i="22"/>
  <c r="P149" i="22"/>
  <c r="O147" i="22"/>
  <c r="M148" i="22"/>
  <c r="H148" i="22"/>
  <c r="P147" i="22"/>
  <c r="M146" i="22"/>
  <c r="K148" i="22"/>
  <c r="J149" i="22"/>
  <c r="H149" i="22"/>
  <c r="G147" i="22"/>
  <c r="N146" i="22"/>
  <c r="N147" i="22"/>
  <c r="K147" i="22"/>
  <c r="K149" i="22"/>
  <c r="N148" i="22"/>
  <c r="N149" i="22"/>
  <c r="J146" i="22"/>
  <c r="O148" i="22"/>
  <c r="L149" i="22"/>
  <c r="P148" i="22"/>
  <c r="H146" i="22"/>
  <c r="H23" i="19" l="1"/>
  <c r="Q9" i="13" a="1"/>
  <c r="Q9" i="13" s="1"/>
  <c r="K9" i="13" a="1"/>
  <c r="K9" i="13" s="1"/>
  <c r="N9" i="13" a="1"/>
  <c r="N9" i="13" s="1"/>
  <c r="H13" i="13" l="1"/>
  <c r="L13" i="13" s="1"/>
  <c r="H12" i="13"/>
  <c r="L12" i="13" s="1"/>
  <c r="H11" i="13"/>
  <c r="R11" i="13" s="1"/>
  <c r="D305" i="19" a="1"/>
  <c r="D305" i="19" s="1"/>
  <c r="F35" i="7"/>
  <c r="G35" i="7"/>
  <c r="K35" i="7"/>
  <c r="K34" i="7"/>
  <c r="G34" i="7"/>
  <c r="F34" i="7"/>
  <c r="E367" i="19" a="1"/>
  <c r="E367" i="19" s="1"/>
  <c r="D367" i="19" a="1"/>
  <c r="D367" i="19" s="1"/>
  <c r="D119" i="19" a="1"/>
  <c r="D119" i="19" s="1"/>
  <c r="O159" i="20"/>
  <c r="L158" i="20"/>
  <c r="O157" i="20"/>
  <c r="L156" i="20"/>
  <c r="N159" i="20"/>
  <c r="P158" i="20" s="1"/>
  <c r="K158" i="20"/>
  <c r="M157" i="20" s="1"/>
  <c r="K156" i="20"/>
  <c r="M155" i="20" s="1"/>
  <c r="N157" i="20"/>
  <c r="P156" i="20" s="1"/>
  <c r="D56" i="13" l="1" a="1"/>
  <c r="D56" i="13" s="1"/>
  <c r="D51" i="13" a="1"/>
  <c r="D51" i="13" s="1"/>
  <c r="D162" i="19" s="1"/>
  <c r="F162" i="19" s="1" a="1"/>
  <c r="F162" i="19" s="1"/>
  <c r="G162" i="19" s="1"/>
  <c r="R13" i="13"/>
  <c r="O13" i="13"/>
  <c r="R12" i="13"/>
  <c r="L11" i="13"/>
  <c r="O11" i="13"/>
  <c r="O12" i="13"/>
  <c r="F367" i="19" a="1"/>
  <c r="F367" i="19" l="1"/>
  <c r="D163" i="19"/>
  <c r="F163" i="19" s="1" a="1"/>
  <c r="F163" i="19" s="1"/>
  <c r="G163" i="19" s="1"/>
  <c r="D164" i="19"/>
  <c r="F164" i="19" s="1" a="1"/>
  <c r="F164" i="19" s="1"/>
  <c r="G164" i="19" s="1"/>
  <c r="D136" i="19"/>
  <c r="F136" i="19" s="1" a="1"/>
  <c r="F136" i="19" s="1"/>
  <c r="G136" i="19" s="1"/>
  <c r="D139" i="19"/>
  <c r="F139" i="19" s="1" a="1"/>
  <c r="F139" i="19" s="1"/>
  <c r="D138" i="19"/>
  <c r="F138" i="19" s="1" a="1"/>
  <c r="F138" i="19" s="1"/>
  <c r="D137" i="19"/>
  <c r="F137" i="19" s="1" a="1"/>
  <c r="F137" i="19" s="1"/>
  <c r="G137" i="19" s="1"/>
  <c r="I139" i="19" l="1"/>
  <c r="G139" i="19"/>
  <c r="G138" i="19"/>
  <c r="I138" i="19"/>
  <c r="E166" i="19"/>
  <c r="E16" i="41" s="1"/>
  <c r="E448" i="19" a="1"/>
  <c r="E448" i="19" s="1"/>
  <c r="D448" i="19" a="1"/>
  <c r="D448" i="19" s="1"/>
  <c r="F448" i="19" a="1"/>
  <c r="D201" i="13"/>
  <c r="D479" i="19" s="1"/>
  <c r="D202" i="13"/>
  <c r="D480" i="19" s="1"/>
  <c r="D194" i="13"/>
  <c r="D466" i="19" s="1"/>
  <c r="D195" i="13"/>
  <c r="D467" i="19" s="1"/>
  <c r="D203" i="13"/>
  <c r="D481" i="19" s="1"/>
  <c r="D196" i="13"/>
  <c r="D468" i="19" s="1"/>
  <c r="D197" i="13"/>
  <c r="D469" i="19" s="1"/>
  <c r="D198" i="13"/>
  <c r="D470" i="19" s="1"/>
  <c r="N155" i="20"/>
  <c r="P154" i="20" s="1"/>
  <c r="O155" i="20"/>
  <c r="K154" i="20"/>
  <c r="M153" i="20" s="1"/>
  <c r="L154" i="20"/>
  <c r="N153" i="20"/>
  <c r="P152" i="20" s="1"/>
  <c r="O153" i="20"/>
  <c r="K152" i="20"/>
  <c r="M151" i="20" s="1"/>
  <c r="L152" i="20"/>
  <c r="N151" i="20"/>
  <c r="O151" i="20"/>
  <c r="N150" i="20"/>
  <c r="O150" i="20"/>
  <c r="N149" i="20"/>
  <c r="O149" i="20"/>
  <c r="N148" i="20"/>
  <c r="O148" i="20"/>
  <c r="N147" i="20"/>
  <c r="O147" i="20"/>
  <c r="N146" i="20"/>
  <c r="O146" i="20"/>
  <c r="N145" i="20"/>
  <c r="P144" i="20" s="1"/>
  <c r="O145" i="20"/>
  <c r="K144" i="20"/>
  <c r="L144" i="20"/>
  <c r="K143" i="20"/>
  <c r="L143" i="20"/>
  <c r="K142" i="20"/>
  <c r="L142" i="20"/>
  <c r="K141" i="20"/>
  <c r="L141" i="20"/>
  <c r="K140" i="20"/>
  <c r="L140" i="20"/>
  <c r="K139" i="20"/>
  <c r="M138" i="20" s="1"/>
  <c r="L139" i="20"/>
  <c r="N138" i="20"/>
  <c r="O138" i="20"/>
  <c r="N137" i="20"/>
  <c r="O137" i="20"/>
  <c r="N136" i="20"/>
  <c r="O136" i="20"/>
  <c r="N135" i="20"/>
  <c r="O135" i="20"/>
  <c r="N134" i="20"/>
  <c r="O134" i="20"/>
  <c r="N133" i="20"/>
  <c r="O133" i="20"/>
  <c r="N132" i="20"/>
  <c r="P131" i="20" s="1"/>
  <c r="O132" i="20"/>
  <c r="K131" i="20"/>
  <c r="L131" i="20"/>
  <c r="K130" i="20"/>
  <c r="L130" i="20"/>
  <c r="K129" i="20"/>
  <c r="L129" i="20"/>
  <c r="K128" i="20"/>
  <c r="L128" i="20"/>
  <c r="K127" i="20"/>
  <c r="L127" i="20"/>
  <c r="K126" i="20"/>
  <c r="M125" i="20" s="1"/>
  <c r="L126" i="20"/>
  <c r="N125" i="20"/>
  <c r="O125" i="20"/>
  <c r="N124" i="20"/>
  <c r="O124" i="20"/>
  <c r="N123" i="20"/>
  <c r="O123" i="20"/>
  <c r="N122" i="20"/>
  <c r="O122" i="20"/>
  <c r="N121" i="20"/>
  <c r="O121" i="20"/>
  <c r="N120" i="20"/>
  <c r="O120" i="20"/>
  <c r="N119" i="20"/>
  <c r="P118" i="20" s="1"/>
  <c r="O119" i="20"/>
  <c r="K118" i="20"/>
  <c r="L118" i="20"/>
  <c r="K117" i="20"/>
  <c r="L117" i="20"/>
  <c r="K116" i="20"/>
  <c r="L116" i="20"/>
  <c r="K115" i="20"/>
  <c r="L115" i="20"/>
  <c r="K114" i="20"/>
  <c r="L114" i="20"/>
  <c r="K113" i="20"/>
  <c r="L113" i="20"/>
  <c r="K112" i="20"/>
  <c r="L112" i="20"/>
  <c r="K111" i="20"/>
  <c r="M110" i="20" s="1"/>
  <c r="L111" i="20"/>
  <c r="N110" i="20"/>
  <c r="O110" i="20"/>
  <c r="N109" i="20"/>
  <c r="O109" i="20"/>
  <c r="N108" i="20"/>
  <c r="O108" i="20"/>
  <c r="N107" i="20"/>
  <c r="O107" i="20"/>
  <c r="N106" i="20"/>
  <c r="P105" i="20" s="1"/>
  <c r="O106" i="20"/>
  <c r="K105" i="20"/>
  <c r="L105" i="20"/>
  <c r="K104" i="20"/>
  <c r="L104" i="20"/>
  <c r="K103" i="20"/>
  <c r="L103" i="20"/>
  <c r="K102" i="20"/>
  <c r="L102" i="20"/>
  <c r="K101" i="20"/>
  <c r="L101" i="20"/>
  <c r="K100" i="20"/>
  <c r="L100" i="20"/>
  <c r="K99" i="20"/>
  <c r="M98" i="20" s="1"/>
  <c r="L99" i="20"/>
  <c r="N98" i="20"/>
  <c r="O98" i="20"/>
  <c r="N97" i="20"/>
  <c r="O97" i="20"/>
  <c r="O96" i="20"/>
  <c r="N96" i="20"/>
  <c r="O95" i="20"/>
  <c r="N95" i="20"/>
  <c r="O94" i="20"/>
  <c r="N94" i="20"/>
  <c r="O93" i="20"/>
  <c r="N93" i="20"/>
  <c r="O92" i="20"/>
  <c r="N92" i="20"/>
  <c r="O91" i="20"/>
  <c r="N91" i="20"/>
  <c r="P90" i="20" s="1"/>
  <c r="L90" i="20"/>
  <c r="H19" i="7"/>
  <c r="H20" i="7"/>
  <c r="E47" i="25"/>
  <c r="E10" i="23"/>
  <c r="D10" i="23"/>
  <c r="E9" i="23"/>
  <c r="D9" i="23"/>
  <c r="F481" i="19" l="1" a="1"/>
  <c r="F481" i="19" s="1"/>
  <c r="G481" i="19" s="1"/>
  <c r="F479" i="19" a="1"/>
  <c r="F479" i="19" s="1"/>
  <c r="G479" i="19" s="1"/>
  <c r="F466" i="19" a="1"/>
  <c r="F466" i="19" s="1"/>
  <c r="G466" i="19" s="1"/>
  <c r="F469" i="19" a="1"/>
  <c r="F469" i="19" s="1"/>
  <c r="F480" i="19" a="1"/>
  <c r="F480" i="19" s="1"/>
  <c r="F467" i="19" a="1"/>
  <c r="F467" i="19" s="1"/>
  <c r="F468" i="19" a="1"/>
  <c r="F468" i="19" s="1"/>
  <c r="G468" i="19" s="1"/>
  <c r="F470" i="19" a="1"/>
  <c r="F470" i="19" s="1"/>
  <c r="G470" i="19" s="1"/>
  <c r="E142" i="19"/>
  <c r="G433" i="19" a="1"/>
  <c r="G433" i="19" s="1"/>
  <c r="H433" i="19" s="1"/>
  <c r="G432" i="19" a="1"/>
  <c r="G432" i="19" s="1"/>
  <c r="H432" i="19" s="1"/>
  <c r="G431" i="19" a="1"/>
  <c r="G431" i="19" s="1"/>
  <c r="H431" i="19" s="1"/>
  <c r="G430" i="19" a="1"/>
  <c r="G430" i="19" s="1"/>
  <c r="H430" i="19" s="1"/>
  <c r="P128" i="19" a="1"/>
  <c r="P128" i="19" s="1"/>
  <c r="P124" i="19" a="1"/>
  <c r="P124" i="19" s="1"/>
  <c r="P125" i="19" a="1"/>
  <c r="P125" i="19" s="1"/>
  <c r="P123" i="19" a="1"/>
  <c r="P123" i="19" s="1"/>
  <c r="P126" i="19" a="1"/>
  <c r="P126" i="19" s="1"/>
  <c r="P121" i="19" a="1"/>
  <c r="P121" i="19" s="1"/>
  <c r="P122" i="19" a="1"/>
  <c r="P122" i="19" s="1"/>
  <c r="P127" i="19" a="1"/>
  <c r="P127" i="19" s="1"/>
  <c r="P120" i="19" a="1"/>
  <c r="P120" i="19" s="1"/>
  <c r="P119" i="19" a="1"/>
  <c r="P119" i="19" s="1"/>
  <c r="E300" i="19" a="1"/>
  <c r="E300" i="19" s="1"/>
  <c r="E302" i="19" a="1"/>
  <c r="E302" i="19" s="1"/>
  <c r="E301" i="19" a="1"/>
  <c r="E301" i="19" s="1"/>
  <c r="D270" i="19" a="1"/>
  <c r="E141" i="19"/>
  <c r="I26" i="19" a="1"/>
  <c r="I26" i="19" s="1"/>
  <c r="I24" i="19" a="1"/>
  <c r="I24" i="19" s="1"/>
  <c r="J24" i="19" s="1"/>
  <c r="I30" i="19" a="1"/>
  <c r="I30" i="19" s="1"/>
  <c r="I28" i="19" a="1"/>
  <c r="I28" i="19" s="1"/>
  <c r="I32" i="19" a="1"/>
  <c r="I32" i="19" s="1"/>
  <c r="I31" i="19" a="1"/>
  <c r="I31" i="19" s="1"/>
  <c r="I29" i="19" a="1"/>
  <c r="I29" i="19" s="1"/>
  <c r="I25" i="19" a="1"/>
  <c r="I25" i="19" s="1"/>
  <c r="I27" i="19" a="1"/>
  <c r="I27" i="19" s="1"/>
  <c r="I23" i="19" a="1"/>
  <c r="I23" i="19" s="1"/>
  <c r="J23" i="19" s="1"/>
  <c r="G42" i="25"/>
  <c r="D43" i="25"/>
  <c r="K43" i="25"/>
  <c r="D56" i="25"/>
  <c r="H43" i="25"/>
  <c r="L44" i="25"/>
  <c r="E44" i="25"/>
  <c r="K46" i="25"/>
  <c r="D46" i="25"/>
  <c r="D59" i="25"/>
  <c r="G45" i="25"/>
  <c r="H42" i="25"/>
  <c r="L43" i="25"/>
  <c r="E43" i="25"/>
  <c r="G44" i="25"/>
  <c r="K45" i="25"/>
  <c r="D45" i="25"/>
  <c r="D58" i="25"/>
  <c r="D11" i="23"/>
  <c r="D42" i="25"/>
  <c r="K42" i="25"/>
  <c r="D55" i="25"/>
  <c r="L46" i="25"/>
  <c r="E46" i="25"/>
  <c r="H45" i="25"/>
  <c r="E8" i="23"/>
  <c r="E41" i="25"/>
  <c r="H41" i="25"/>
  <c r="L41" i="25"/>
  <c r="E11" i="23"/>
  <c r="L42" i="25"/>
  <c r="E42" i="25"/>
  <c r="E76" i="19" a="1"/>
  <c r="E76" i="19" s="1"/>
  <c r="D8" i="23"/>
  <c r="G41" i="25"/>
  <c r="D41" i="25"/>
  <c r="K41" i="25"/>
  <c r="D54" i="25"/>
  <c r="D47" i="25"/>
  <c r="D60" i="25"/>
  <c r="G43" i="25"/>
  <c r="D44" i="25"/>
  <c r="K44" i="25"/>
  <c r="D57" i="25"/>
  <c r="H44" i="25"/>
  <c r="L45" i="25"/>
  <c r="E45" i="25"/>
  <c r="E39" i="19" a="1"/>
  <c r="E39" i="19" s="1"/>
  <c r="E58" i="19" a="1"/>
  <c r="E58" i="19" s="1"/>
  <c r="K90" i="20"/>
  <c r="M89" i="20" s="1"/>
  <c r="G375" i="19" a="1"/>
  <c r="G375" i="19" s="1"/>
  <c r="G376" i="19" a="1"/>
  <c r="G376" i="19" s="1"/>
  <c r="G368" i="19" a="1"/>
  <c r="G368" i="19" s="1"/>
  <c r="G374" i="19" a="1"/>
  <c r="G374" i="19" s="1"/>
  <c r="G370" i="19" a="1"/>
  <c r="G370" i="19" s="1"/>
  <c r="G369" i="19" a="1"/>
  <c r="G369" i="19" s="1"/>
  <c r="G371" i="19" a="1"/>
  <c r="G371" i="19" s="1"/>
  <c r="G367" i="19" a="1"/>
  <c r="G367" i="19" s="1"/>
  <c r="H367" i="19" s="1"/>
  <c r="G372" i="19" a="1"/>
  <c r="G372" i="19" s="1"/>
  <c r="G373" i="19" a="1"/>
  <c r="G373" i="19" s="1"/>
  <c r="G449" i="19" a="1"/>
  <c r="G449" i="19" s="1"/>
  <c r="H449" i="19" s="1"/>
  <c r="G434" i="19" a="1"/>
  <c r="G434" i="19" s="1"/>
  <c r="H434" i="19" s="1"/>
  <c r="G450" i="19" a="1"/>
  <c r="G450" i="19" s="1"/>
  <c r="H450" i="19" s="1"/>
  <c r="G435" i="19" a="1"/>
  <c r="G435" i="19" s="1"/>
  <c r="H435" i="19" s="1"/>
  <c r="G451" i="19" a="1"/>
  <c r="G451" i="19" s="1"/>
  <c r="H451" i="19" s="1"/>
  <c r="G436" i="19" a="1"/>
  <c r="G436" i="19" s="1"/>
  <c r="G452" i="19" a="1"/>
  <c r="G452" i="19" s="1"/>
  <c r="H452" i="19" s="1"/>
  <c r="G437" i="19" a="1"/>
  <c r="G437" i="19" s="1"/>
  <c r="G453" i="19" a="1"/>
  <c r="G453" i="19" s="1"/>
  <c r="H453" i="19" s="1"/>
  <c r="G454" i="19" a="1"/>
  <c r="G454" i="19" s="1"/>
  <c r="G438" i="19" a="1"/>
  <c r="G438" i="19" s="1"/>
  <c r="G455" i="19" a="1"/>
  <c r="G455" i="19" s="1"/>
  <c r="G456" i="19" a="1"/>
  <c r="G456" i="19" s="1"/>
  <c r="G439" i="19" a="1"/>
  <c r="G439" i="19" s="1"/>
  <c r="G457" i="19" a="1"/>
  <c r="G457" i="19" s="1"/>
  <c r="G448" i="19" a="1"/>
  <c r="G448" i="19" s="1"/>
  <c r="H448" i="19" s="1"/>
  <c r="F448" i="19"/>
  <c r="I314" i="19" l="1"/>
  <c r="I307" i="19"/>
  <c r="I313" i="19"/>
  <c r="I306" i="19"/>
  <c r="I309" i="19"/>
  <c r="I312" i="19"/>
  <c r="I305" i="19"/>
  <c r="I310" i="19"/>
  <c r="I311" i="19"/>
  <c r="I308" i="19"/>
  <c r="H374" i="19"/>
  <c r="J374" i="19"/>
  <c r="H373" i="19"/>
  <c r="J373" i="19"/>
  <c r="H372" i="19"/>
  <c r="J372" i="19"/>
  <c r="H371" i="19"/>
  <c r="J371" i="19"/>
  <c r="J370" i="19"/>
  <c r="H370" i="19"/>
  <c r="J376" i="19"/>
  <c r="H376" i="19"/>
  <c r="J369" i="19"/>
  <c r="H369" i="19"/>
  <c r="H368" i="19"/>
  <c r="J368" i="19"/>
  <c r="J375" i="19"/>
  <c r="H375" i="19"/>
  <c r="G469" i="19"/>
  <c r="I469" i="19"/>
  <c r="G467" i="19"/>
  <c r="I467" i="19"/>
  <c r="G480" i="19"/>
  <c r="I480" i="19"/>
  <c r="H457" i="19"/>
  <c r="J457" i="19"/>
  <c r="J455" i="19"/>
  <c r="H455" i="19"/>
  <c r="H456" i="19"/>
  <c r="J456" i="19"/>
  <c r="J454" i="19"/>
  <c r="H454" i="19"/>
  <c r="J439" i="19"/>
  <c r="H439" i="19"/>
  <c r="H437" i="19"/>
  <c r="J437" i="19"/>
  <c r="J436" i="19"/>
  <c r="H436" i="19"/>
  <c r="H438" i="19"/>
  <c r="J438" i="19"/>
  <c r="J85" i="19"/>
  <c r="G81" i="19"/>
  <c r="J84" i="19"/>
  <c r="G80" i="19"/>
  <c r="J83" i="19"/>
  <c r="G79" i="19"/>
  <c r="J82" i="19"/>
  <c r="J81" i="19"/>
  <c r="J80" i="19"/>
  <c r="G88" i="19"/>
  <c r="G87" i="19"/>
  <c r="G86" i="19"/>
  <c r="J87" i="19"/>
  <c r="G83" i="19"/>
  <c r="J86" i="19"/>
  <c r="G85" i="19"/>
  <c r="J88" i="19"/>
  <c r="G84" i="19"/>
  <c r="G82" i="19"/>
  <c r="G69" i="19"/>
  <c r="J70" i="19"/>
  <c r="J69" i="19"/>
  <c r="J68" i="19"/>
  <c r="G63" i="19"/>
  <c r="G62" i="19"/>
  <c r="G68" i="19"/>
  <c r="J67" i="19"/>
  <c r="G61" i="19"/>
  <c r="G67" i="19"/>
  <c r="G66" i="19"/>
  <c r="G65" i="19"/>
  <c r="G64" i="19"/>
  <c r="J64" i="19"/>
  <c r="G70" i="19"/>
  <c r="J65" i="19"/>
  <c r="J63" i="19"/>
  <c r="J66" i="19"/>
  <c r="J46" i="19"/>
  <c r="G42" i="19"/>
  <c r="J45" i="19"/>
  <c r="J44" i="19"/>
  <c r="J43" i="19"/>
  <c r="G51" i="19"/>
  <c r="G49" i="19"/>
  <c r="J51" i="19"/>
  <c r="G47" i="19"/>
  <c r="G46" i="19"/>
  <c r="G44" i="19"/>
  <c r="J47" i="19"/>
  <c r="J50" i="19"/>
  <c r="G43" i="19"/>
  <c r="J49" i="19"/>
  <c r="G45" i="19"/>
  <c r="J48" i="19"/>
  <c r="G50" i="19"/>
  <c r="G48" i="19"/>
  <c r="J27" i="19"/>
  <c r="M27" i="19"/>
  <c r="J25" i="19"/>
  <c r="M25" i="19"/>
  <c r="J29" i="19"/>
  <c r="M29" i="19"/>
  <c r="M31" i="19"/>
  <c r="J31" i="19"/>
  <c r="M32" i="19"/>
  <c r="J32" i="19"/>
  <c r="J28" i="19"/>
  <c r="M28" i="19"/>
  <c r="M30" i="19"/>
  <c r="J30" i="19"/>
  <c r="M26" i="19"/>
  <c r="J26" i="19"/>
  <c r="E484" i="19"/>
  <c r="F27" i="41" s="1"/>
  <c r="E483" i="19"/>
  <c r="E27" i="41" s="1"/>
  <c r="D270" i="19"/>
  <c r="F281" i="19" a="1"/>
  <c r="F281" i="19" s="1"/>
  <c r="F279" i="19" a="1"/>
  <c r="F279" i="19" s="1"/>
  <c r="F278" i="19" a="1"/>
  <c r="F278" i="19" s="1"/>
  <c r="F272" i="19" a="1"/>
  <c r="F272" i="19" s="1"/>
  <c r="F271" i="19" a="1"/>
  <c r="F271" i="19" s="1"/>
  <c r="E279" i="19"/>
  <c r="F280" i="19" a="1"/>
  <c r="F280" i="19" s="1"/>
  <c r="F273" i="19" a="1"/>
  <c r="F273" i="19" s="1"/>
  <c r="E275" i="19"/>
  <c r="F277" i="19" a="1"/>
  <c r="F277" i="19" s="1"/>
  <c r="E277" i="19"/>
  <c r="E271" i="19"/>
  <c r="E272" i="19"/>
  <c r="E274" i="19"/>
  <c r="F274" i="19" a="1"/>
  <c r="F274" i="19" s="1"/>
  <c r="F275" i="19" a="1"/>
  <c r="F275" i="19" s="1"/>
  <c r="F276" i="19" a="1"/>
  <c r="F276" i="19" s="1"/>
  <c r="E273" i="19"/>
  <c r="E276" i="19"/>
  <c r="E281" i="19"/>
  <c r="E278" i="19"/>
  <c r="E280" i="19"/>
  <c r="I272" i="19" l="1"/>
  <c r="G272" i="19"/>
  <c r="G275" i="19"/>
  <c r="I275" i="19"/>
  <c r="I280" i="19"/>
  <c r="G280" i="19"/>
  <c r="I278" i="19"/>
  <c r="G278" i="19"/>
  <c r="G277" i="19"/>
  <c r="I277" i="19"/>
  <c r="G281" i="19"/>
  <c r="I281" i="19"/>
  <c r="G276" i="19"/>
  <c r="I276" i="19"/>
  <c r="G279" i="19"/>
  <c r="I279" i="19"/>
  <c r="G273" i="19"/>
  <c r="I273" i="19"/>
  <c r="G274" i="19"/>
  <c r="I274" i="19"/>
  <c r="I271" i="19"/>
  <c r="G271" i="19"/>
  <c r="E35" i="19"/>
  <c r="F11" i="41" s="1"/>
  <c r="E378" i="19"/>
  <c r="E21" i="41" s="1"/>
  <c r="E472" i="19"/>
  <c r="E26" i="41" s="1"/>
  <c r="E441" i="19"/>
  <c r="E24" i="41" s="1"/>
  <c r="E473" i="19"/>
  <c r="F26" i="41" s="1"/>
  <c r="E459" i="19"/>
  <c r="E25" i="41" s="1"/>
  <c r="E460" i="19"/>
  <c r="F25" i="41" s="1"/>
  <c r="E442" i="19"/>
  <c r="F24" i="41" s="1"/>
  <c r="E379" i="19"/>
  <c r="F21" i="41" s="1"/>
  <c r="E316" i="19"/>
  <c r="E19" i="41" s="1"/>
  <c r="F270" i="19" a="1"/>
  <c r="F270" i="19" s="1"/>
  <c r="E270" i="19"/>
  <c r="E34" i="19"/>
  <c r="E11" i="41" s="1"/>
  <c r="E53" i="19"/>
  <c r="E12" i="41" s="1"/>
  <c r="E54" i="19"/>
  <c r="F12" i="41" s="1"/>
  <c r="E73" i="19"/>
  <c r="F13" i="41" s="1"/>
  <c r="E72" i="19"/>
  <c r="E13" i="41" s="1"/>
  <c r="E90" i="19"/>
  <c r="E14" i="41" s="1"/>
  <c r="E91" i="19"/>
  <c r="F14" i="41" s="1"/>
  <c r="F25" i="7"/>
  <c r="G25" i="7" s="1"/>
  <c r="G270" i="19" l="1"/>
  <c r="E283" i="19" s="1"/>
  <c r="E18" i="41" s="1"/>
  <c r="I270" i="19"/>
  <c r="E284" i="19" s="1"/>
  <c r="F18" i="41" s="1"/>
  <c r="E93" i="19"/>
  <c r="E94" i="19"/>
  <c r="G180" i="20"/>
  <c r="H18" i="7" l="1"/>
  <c r="H194" i="20" l="1"/>
  <c r="I174" i="20"/>
  <c r="I175" i="20"/>
  <c r="H195" i="20"/>
  <c r="H196" i="20"/>
  <c r="I176" i="20"/>
  <c r="I177" i="20"/>
  <c r="H197" i="20"/>
  <c r="E26" i="9" l="1"/>
  <c r="I33" i="9" s="1"/>
  <c r="E25" i="9"/>
  <c r="I44" i="9" s="1"/>
  <c r="E12" i="9"/>
  <c r="E18" i="9" s="1"/>
  <c r="A15" i="10"/>
  <c r="A14" i="10"/>
  <c r="E13" i="10"/>
  <c r="A11" i="10"/>
  <c r="A8" i="10"/>
  <c r="A5" i="10"/>
  <c r="A4" i="10"/>
  <c r="A3" i="10"/>
  <c r="H44" i="9"/>
  <c r="E44" i="9"/>
  <c r="H43" i="9"/>
  <c r="E43" i="9"/>
  <c r="H42" i="9"/>
  <c r="E42" i="9"/>
  <c r="H35" i="9"/>
  <c r="H34" i="9"/>
  <c r="H33" i="9"/>
  <c r="A15" i="9"/>
  <c r="A14" i="9"/>
  <c r="A11" i="9"/>
  <c r="A8" i="9"/>
  <c r="A5" i="9"/>
  <c r="A4" i="9"/>
  <c r="A3" i="9"/>
  <c r="I552" i="19" a="1"/>
  <c r="I552" i="19" s="1"/>
  <c r="A15" i="8"/>
  <c r="A14" i="8"/>
  <c r="A11" i="8"/>
  <c r="A8" i="8"/>
  <c r="D7" i="8" a="1"/>
  <c r="D7" i="8" s="1"/>
  <c r="A5" i="8"/>
  <c r="A4" i="8"/>
  <c r="A3" i="8"/>
  <c r="E555" i="19" l="1"/>
  <c r="E31" i="41" s="1"/>
  <c r="F31" i="41" s="1"/>
  <c r="I530" i="19" a="1"/>
  <c r="I530" i="19" s="1"/>
  <c r="I42" i="9"/>
  <c r="E46" i="9" s="1"/>
  <c r="I34" i="9"/>
  <c r="E37" i="9" s="1"/>
  <c r="I35" i="9"/>
  <c r="I43" i="9"/>
  <c r="E533" i="19" l="1"/>
  <c r="E30" i="41" s="1"/>
  <c r="F30" i="41" s="1"/>
  <c r="A44" i="7"/>
  <c r="F24" i="7"/>
  <c r="G24" i="7" s="1"/>
  <c r="A21" i="7"/>
  <c r="A20" i="7"/>
  <c r="A17" i="7"/>
  <c r="A16" i="7"/>
  <c r="A15" i="7"/>
  <c r="A14" i="7"/>
  <c r="A13" i="7"/>
  <c r="A12" i="7"/>
  <c r="A9" i="7"/>
  <c r="A8" i="7"/>
  <c r="A5" i="7"/>
  <c r="A4" i="7"/>
  <c r="A3" i="7"/>
  <c r="J87" i="34"/>
  <c r="I69" i="34"/>
  <c r="E74" i="34" s="1"/>
  <c r="I33" i="34"/>
  <c r="A21" i="6"/>
  <c r="A20" i="6"/>
  <c r="A17" i="6"/>
  <c r="A16" i="6"/>
  <c r="A15" i="6"/>
  <c r="A14" i="6"/>
  <c r="A13" i="6"/>
  <c r="A12" i="6"/>
  <c r="A9" i="6"/>
  <c r="A8" i="6"/>
  <c r="A5" i="6"/>
  <c r="A4" i="6"/>
  <c r="A3" i="6"/>
  <c r="E35" i="34" l="1"/>
  <c r="I48" i="34" s="1"/>
  <c r="E55" i="34" s="1"/>
  <c r="F20" i="7"/>
  <c r="U20" i="7" a="1"/>
  <c r="U20" i="7" s="1"/>
  <c r="G20" i="7"/>
  <c r="W20" i="7"/>
  <c r="X20" i="7"/>
  <c r="J20" i="7" a="1"/>
  <c r="J20" i="7" s="1"/>
  <c r="K20" i="7" a="1"/>
  <c r="K20" i="7" s="1"/>
  <c r="L20" i="7" a="1"/>
  <c r="L20" i="7" s="1"/>
  <c r="M20" i="7" a="1"/>
  <c r="M20" i="7" s="1"/>
  <c r="N20" i="7" a="1"/>
  <c r="N20" i="7" s="1"/>
  <c r="R20" i="7" a="1"/>
  <c r="R20" i="7" s="1"/>
  <c r="O20" i="7" a="1"/>
  <c r="O20" i="7" s="1"/>
  <c r="P20" i="7" a="1"/>
  <c r="P20" i="7" s="1"/>
  <c r="T20" i="7" a="1"/>
  <c r="T20" i="7" s="1"/>
  <c r="S20" i="7" a="1"/>
  <c r="S20" i="7" s="1"/>
  <c r="Q20" i="7" a="1"/>
  <c r="Q20" i="7" s="1"/>
  <c r="T19" i="7" a="1"/>
  <c r="T19" i="7" s="1"/>
  <c r="W19" i="7"/>
  <c r="U19" i="7" a="1"/>
  <c r="U19" i="7" s="1"/>
  <c r="F19" i="7"/>
  <c r="X19" i="7"/>
  <c r="G19" i="7"/>
  <c r="J19" i="7" a="1"/>
  <c r="J19" i="7" s="1"/>
  <c r="K19" i="7" a="1"/>
  <c r="K19" i="7" s="1"/>
  <c r="L19" i="7" a="1"/>
  <c r="L19" i="7" s="1"/>
  <c r="M19" i="7" a="1"/>
  <c r="M19" i="7" s="1"/>
  <c r="N19" i="7" a="1"/>
  <c r="N19" i="7" s="1"/>
  <c r="P19" i="7" a="1"/>
  <c r="P19" i="7" s="1"/>
  <c r="Q19" i="7" a="1"/>
  <c r="Q19" i="7" s="1"/>
  <c r="S19" i="7" a="1"/>
  <c r="S19" i="7" s="1"/>
  <c r="R19" i="7" a="1"/>
  <c r="R19" i="7" s="1"/>
  <c r="O19" i="7" a="1"/>
  <c r="O19" i="7" s="1"/>
  <c r="G178" i="20"/>
  <c r="G183" i="20"/>
  <c r="G185" i="20"/>
  <c r="G182" i="20"/>
  <c r="G184" i="20"/>
  <c r="G191" i="20"/>
  <c r="G187" i="20"/>
  <c r="G192" i="20"/>
  <c r="G198" i="20"/>
  <c r="G181" i="20"/>
  <c r="G175" i="20"/>
  <c r="G177" i="20"/>
  <c r="G174" i="20"/>
  <c r="G176" i="20"/>
  <c r="G179" i="20"/>
  <c r="G189" i="20"/>
  <c r="G188" i="20"/>
  <c r="G193" i="20"/>
  <c r="G194" i="20"/>
  <c r="G196" i="20"/>
  <c r="G195" i="20"/>
  <c r="G197" i="20"/>
  <c r="G186" i="20"/>
  <c r="G190" i="20"/>
  <c r="P25" i="7"/>
  <c r="S18" i="7" a="1"/>
  <c r="S18" i="7" s="1"/>
  <c r="F18" i="7"/>
  <c r="J18" i="7" a="1"/>
  <c r="J18" i="7" s="1"/>
  <c r="T18" i="7" a="1"/>
  <c r="T18" i="7" s="1"/>
  <c r="R18" i="7" a="1"/>
  <c r="R18" i="7" s="1"/>
  <c r="K18" i="7" a="1"/>
  <c r="K18" i="7" s="1"/>
  <c r="G18" i="7"/>
  <c r="M18" i="7" a="1"/>
  <c r="M18" i="7" s="1"/>
  <c r="Q18" i="7" a="1"/>
  <c r="Q18" i="7" s="1"/>
  <c r="P18" i="7" a="1"/>
  <c r="P18" i="7" s="1"/>
  <c r="O18" i="7" a="1"/>
  <c r="O18" i="7" s="1"/>
  <c r="N18" i="7" a="1"/>
  <c r="N18" i="7" s="1"/>
  <c r="L18" i="7" a="1"/>
  <c r="L18" i="7" s="1"/>
  <c r="X18" i="7"/>
  <c r="W18" i="7"/>
  <c r="U18" i="7" a="1"/>
  <c r="U18" i="7" s="1"/>
  <c r="D32" i="7"/>
  <c r="P24" i="7"/>
  <c r="AH221" i="19" l="1" a="1"/>
  <c r="AH221" i="19" s="1"/>
  <c r="AL221" i="19" a="1"/>
  <c r="AL221" i="19" s="1"/>
  <c r="O221" i="19" a="1"/>
  <c r="O221" i="19" s="1"/>
  <c r="P221" i="19" a="1"/>
  <c r="P221" i="19" s="1"/>
  <c r="AC221" i="19" a="1"/>
  <c r="AC221" i="19" s="1"/>
  <c r="AD221" i="19" a="1"/>
  <c r="AD221" i="19" s="1"/>
  <c r="Z221" i="19" a="1"/>
  <c r="Z221" i="19" s="1"/>
  <c r="AK221" i="19" a="1"/>
  <c r="AK221" i="19" s="1"/>
  <c r="AE242" i="19" a="1"/>
  <c r="AE242" i="19" s="1"/>
  <c r="AE243" i="19" a="1"/>
  <c r="AE243" i="19" s="1"/>
  <c r="S244" i="19" a="1"/>
  <c r="S244" i="19" s="1"/>
  <c r="T122" i="19" a="1"/>
  <c r="T122" i="19" s="1"/>
  <c r="AB125" i="19" a="1"/>
  <c r="AB125" i="19" s="1"/>
  <c r="AB119" i="19" a="1"/>
  <c r="AB119" i="19" s="1"/>
  <c r="AB122" i="19" a="1"/>
  <c r="AB122" i="19" s="1"/>
  <c r="W242" i="19" a="1"/>
  <c r="W242" i="19" s="1"/>
  <c r="AE245" i="19" a="1"/>
  <c r="AE245" i="19" s="1"/>
  <c r="S246" i="19" a="1"/>
  <c r="S246" i="19" s="1"/>
  <c r="S237" i="19" a="1"/>
  <c r="S237" i="19" s="1"/>
  <c r="S241" i="19" a="1"/>
  <c r="S241" i="19" s="1"/>
  <c r="AA242" i="19" a="1"/>
  <c r="AA242" i="19" s="1"/>
  <c r="AB120" i="19" a="1"/>
  <c r="AB120" i="19" s="1"/>
  <c r="X126" i="19" a="1"/>
  <c r="X126" i="19" s="1"/>
  <c r="AE239" i="19" a="1"/>
  <c r="AE239" i="19" s="1"/>
  <c r="AA241" i="19" a="1"/>
  <c r="AA241" i="19" s="1"/>
  <c r="W243" i="19" a="1"/>
  <c r="W243" i="19" s="1"/>
  <c r="AB128" i="19" a="1"/>
  <c r="AB128" i="19" s="1"/>
  <c r="T123" i="19" a="1"/>
  <c r="T123" i="19" s="1"/>
  <c r="AE241" i="19" a="1"/>
  <c r="AE241" i="19" s="1"/>
  <c r="AA243" i="19" a="1"/>
  <c r="AA243" i="19" s="1"/>
  <c r="AA244" i="19" a="1"/>
  <c r="AA244" i="19" s="1"/>
  <c r="AB121" i="19" a="1"/>
  <c r="AB121" i="19" s="1"/>
  <c r="X125" i="19" a="1"/>
  <c r="X125" i="19" s="1"/>
  <c r="AE246" i="19" a="1"/>
  <c r="AE246" i="19" s="1"/>
  <c r="S245" i="19" a="1"/>
  <c r="S245" i="19" s="1"/>
  <c r="W245" i="19" a="1"/>
  <c r="W245" i="19" s="1"/>
  <c r="AB127" i="19" a="1"/>
  <c r="AB127" i="19" s="1"/>
  <c r="T127" i="19" a="1"/>
  <c r="T127" i="19" s="1"/>
  <c r="W238" i="19" a="1"/>
  <c r="W238" i="19" s="1"/>
  <c r="S239" i="19" a="1"/>
  <c r="S239" i="19" s="1"/>
  <c r="AA245" i="19" a="1"/>
  <c r="AA245" i="19" s="1"/>
  <c r="AA246" i="19" a="1"/>
  <c r="AA246" i="19" s="1"/>
  <c r="X120" i="19" a="1"/>
  <c r="X120" i="19" s="1"/>
  <c r="T121" i="19" a="1"/>
  <c r="T121" i="19" s="1"/>
  <c r="W241" i="19" a="1"/>
  <c r="W241" i="19" s="1"/>
  <c r="AA239" i="19" a="1"/>
  <c r="AA239" i="19" s="1"/>
  <c r="S238" i="19" a="1"/>
  <c r="S238" i="19" s="1"/>
  <c r="W246" i="19" a="1"/>
  <c r="W246" i="19" s="1"/>
  <c r="X123" i="19" a="1"/>
  <c r="X123" i="19" s="1"/>
  <c r="AB124" i="19" a="1"/>
  <c r="AB124" i="19" s="1"/>
  <c r="S242" i="19" a="1"/>
  <c r="S242" i="19" s="1"/>
  <c r="X127" i="19" a="1"/>
  <c r="X127" i="19" s="1"/>
  <c r="T120" i="19" a="1"/>
  <c r="T120" i="19" s="1"/>
  <c r="S243" i="19" a="1"/>
  <c r="S243" i="19" s="1"/>
  <c r="S240" i="19" a="1"/>
  <c r="S240" i="19" s="1"/>
  <c r="AE237" i="19" a="1"/>
  <c r="AE237" i="19" s="1"/>
  <c r="K237" i="19" s="1"/>
  <c r="T124" i="19" a="1"/>
  <c r="T124" i="19" s="1"/>
  <c r="AB126" i="19" a="1"/>
  <c r="AB126" i="19" s="1"/>
  <c r="T126" i="19" a="1"/>
  <c r="T126" i="19" s="1"/>
  <c r="X124" i="19" a="1"/>
  <c r="X124" i="19" s="1"/>
  <c r="X121" i="19" a="1"/>
  <c r="X121" i="19" s="1"/>
  <c r="W237" i="19" a="1"/>
  <c r="W237" i="19" s="1"/>
  <c r="AE240" i="19" a="1"/>
  <c r="AE240" i="19" s="1"/>
  <c r="W244" i="19" a="1"/>
  <c r="W244" i="19" s="1"/>
  <c r="T128" i="19" a="1"/>
  <c r="T128" i="19" s="1"/>
  <c r="AA237" i="19" a="1"/>
  <c r="AA237" i="19" s="1"/>
  <c r="AA238" i="19" a="1"/>
  <c r="AA238" i="19" s="1"/>
  <c r="T125" i="19" a="1"/>
  <c r="T125" i="19" s="1"/>
  <c r="X122" i="19" a="1"/>
  <c r="X122" i="19" s="1"/>
  <c r="T119" i="19" a="1"/>
  <c r="T119" i="19" s="1"/>
  <c r="X128" i="19" a="1"/>
  <c r="X128" i="19" s="1"/>
  <c r="X119" i="19" a="1"/>
  <c r="X119" i="19" s="1"/>
  <c r="AE238" i="19" a="1"/>
  <c r="AE238" i="19" s="1"/>
  <c r="W239" i="19" a="1"/>
  <c r="W239" i="19" s="1"/>
  <c r="AB123" i="19" a="1"/>
  <c r="AB123" i="19" s="1"/>
  <c r="AA240" i="19" a="1"/>
  <c r="AA240" i="19" s="1"/>
  <c r="W240" i="19" a="1"/>
  <c r="W240" i="19" s="1"/>
  <c r="AE244" i="19" a="1"/>
  <c r="AE244" i="19" s="1"/>
  <c r="U221" i="19" a="1"/>
  <c r="U221" i="19" s="1"/>
  <c r="Y221" i="19" a="1"/>
  <c r="Y221" i="19" s="1"/>
  <c r="R221" i="19" a="1"/>
  <c r="R221" i="19" s="1"/>
  <c r="V221" i="19" a="1"/>
  <c r="V221" i="19" s="1"/>
  <c r="AG221" i="19" a="1"/>
  <c r="AG221" i="19" s="1"/>
  <c r="Q221" i="19" a="1"/>
  <c r="Q221" i="19" s="1"/>
  <c r="I19" i="7"/>
  <c r="V19" i="7"/>
  <c r="I20" i="7"/>
  <c r="V20" i="7"/>
  <c r="I18" i="7"/>
  <c r="V18" i="7"/>
  <c r="H244" i="19" l="1"/>
  <c r="F244" i="19"/>
  <c r="G244" i="19" s="1"/>
  <c r="K244" i="19"/>
  <c r="H242" i="19"/>
  <c r="F242" i="19"/>
  <c r="G242" i="19" s="1"/>
  <c r="K242" i="19"/>
  <c r="K240" i="19"/>
  <c r="F240" i="19"/>
  <c r="G240" i="19" s="1"/>
  <c r="H240" i="19"/>
  <c r="H241" i="19"/>
  <c r="F241" i="19"/>
  <c r="G241" i="19" s="1"/>
  <c r="K241" i="19"/>
  <c r="F245" i="19"/>
  <c r="G245" i="19" s="1"/>
  <c r="K245" i="19"/>
  <c r="H245" i="19"/>
  <c r="K238" i="19"/>
  <c r="H238" i="19"/>
  <c r="F238" i="19"/>
  <c r="G238" i="19" s="1"/>
  <c r="H237" i="19"/>
  <c r="F237" i="19"/>
  <c r="G237" i="19" s="1"/>
  <c r="H246" i="19"/>
  <c r="F246" i="19"/>
  <c r="G246" i="19" s="1"/>
  <c r="K246" i="19"/>
  <c r="F243" i="19"/>
  <c r="G243" i="19" s="1"/>
  <c r="K243" i="19"/>
  <c r="H243" i="19"/>
  <c r="H239" i="19"/>
  <c r="K239" i="19"/>
  <c r="F239" i="19"/>
  <c r="G239" i="19" s="1"/>
  <c r="F119" i="19"/>
  <c r="G119" i="19" s="1"/>
  <c r="E221" i="19" a="1"/>
  <c r="F126" i="19"/>
  <c r="F121" i="19"/>
  <c r="G121" i="19" s="1"/>
  <c r="F122" i="19"/>
  <c r="F123" i="19"/>
  <c r="F120" i="19"/>
  <c r="G120" i="19" s="1"/>
  <c r="F124" i="19"/>
  <c r="F125" i="19"/>
  <c r="F127" i="19"/>
  <c r="F128" i="19"/>
  <c r="AI227" i="19" a="1"/>
  <c r="AI227" i="19" s="1"/>
  <c r="AI228" i="19" a="1"/>
  <c r="AI228" i="19" s="1"/>
  <c r="AI226" i="19" a="1"/>
  <c r="AI226" i="19" s="1"/>
  <c r="AI222" i="19" a="1"/>
  <c r="AI222" i="19" s="1"/>
  <c r="AI229" i="19" a="1"/>
  <c r="AI229" i="19" s="1"/>
  <c r="AI230" i="19" a="1"/>
  <c r="AI230" i="19" s="1"/>
  <c r="AI221" i="19" a="1"/>
  <c r="AI221" i="19" s="1"/>
  <c r="AI223" i="19" a="1"/>
  <c r="AI223" i="19" s="1"/>
  <c r="AI224" i="19" a="1"/>
  <c r="AI224" i="19" s="1"/>
  <c r="AI225" i="19" a="1"/>
  <c r="AI225" i="19" s="1"/>
  <c r="AA226" i="19" a="1"/>
  <c r="AA226" i="19" s="1"/>
  <c r="AA221" i="19" a="1"/>
  <c r="AA221" i="19" s="1"/>
  <c r="AA230" i="19" a="1"/>
  <c r="AA230" i="19" s="1"/>
  <c r="AA223" i="19" a="1"/>
  <c r="AA223" i="19" s="1"/>
  <c r="AA225" i="19" a="1"/>
  <c r="AA225" i="19" s="1"/>
  <c r="AA227" i="19" a="1"/>
  <c r="AA227" i="19" s="1"/>
  <c r="AA228" i="19" a="1"/>
  <c r="AA228" i="19" s="1"/>
  <c r="AA229" i="19" a="1"/>
  <c r="AA229" i="19" s="1"/>
  <c r="W228" i="19" a="1"/>
  <c r="W228" i="19" s="1"/>
  <c r="W230" i="19" a="1"/>
  <c r="W230" i="19" s="1"/>
  <c r="W225" i="19" a="1"/>
  <c r="W225" i="19" s="1"/>
  <c r="W223" i="19" a="1"/>
  <c r="W223" i="19" s="1"/>
  <c r="W226" i="19" a="1"/>
  <c r="W226" i="19" s="1"/>
  <c r="W224" i="19" a="1"/>
  <c r="W224" i="19" s="1"/>
  <c r="W227" i="19" a="1"/>
  <c r="W227" i="19" s="1"/>
  <c r="W229" i="19" a="1"/>
  <c r="W229" i="19" s="1"/>
  <c r="AA222" i="19" a="1"/>
  <c r="AA222" i="19" s="1"/>
  <c r="AA224" i="19" a="1"/>
  <c r="AA224" i="19" s="1"/>
  <c r="W221" i="19" a="1"/>
  <c r="W221" i="19" s="1"/>
  <c r="W222" i="19" a="1"/>
  <c r="W222" i="19" s="1"/>
  <c r="AM221" i="19" a="1"/>
  <c r="AM221" i="19" s="1"/>
  <c r="AM225" i="19" a="1"/>
  <c r="AM225" i="19" s="1"/>
  <c r="AM224" i="19" a="1"/>
  <c r="AM224" i="19" s="1"/>
  <c r="AM229" i="19" a="1"/>
  <c r="AM229" i="19" s="1"/>
  <c r="AM226" i="19" a="1"/>
  <c r="AM226" i="19" s="1"/>
  <c r="AM223" i="19" a="1"/>
  <c r="AM223" i="19" s="1"/>
  <c r="AM230" i="19" a="1"/>
  <c r="AM230" i="19" s="1"/>
  <c r="AM227" i="19" a="1"/>
  <c r="AM227" i="19" s="1"/>
  <c r="AM228" i="19" a="1"/>
  <c r="AM228" i="19" s="1"/>
  <c r="S221" i="19" a="1"/>
  <c r="S221" i="19" s="1"/>
  <c r="S228" i="19" a="1"/>
  <c r="S228" i="19" s="1"/>
  <c r="S227" i="19" a="1"/>
  <c r="S227" i="19" s="1"/>
  <c r="S226" i="19" a="1"/>
  <c r="S226" i="19" s="1"/>
  <c r="S225" i="19" a="1"/>
  <c r="S225" i="19" s="1"/>
  <c r="S224" i="19" a="1"/>
  <c r="S224" i="19" s="1"/>
  <c r="S223" i="19" a="1"/>
  <c r="S223" i="19" s="1"/>
  <c r="S229" i="19" a="1"/>
  <c r="S229" i="19" s="1"/>
  <c r="S230" i="19" a="1"/>
  <c r="S230" i="19" s="1"/>
  <c r="AE221" i="19" a="1"/>
  <c r="AE221" i="19" s="1"/>
  <c r="AE224" i="19" a="1"/>
  <c r="AE224" i="19" s="1"/>
  <c r="AE223" i="19" a="1"/>
  <c r="AE223" i="19" s="1"/>
  <c r="AE226" i="19" a="1"/>
  <c r="AE226" i="19" s="1"/>
  <c r="AE225" i="19" a="1"/>
  <c r="AE225" i="19" s="1"/>
  <c r="AE230" i="19" a="1"/>
  <c r="AE230" i="19" s="1"/>
  <c r="AE229" i="19" a="1"/>
  <c r="AE229" i="19" s="1"/>
  <c r="AE228" i="19" a="1"/>
  <c r="AE228" i="19" s="1"/>
  <c r="AE227" i="19" a="1"/>
  <c r="AE227" i="19" s="1"/>
  <c r="S222" i="19" a="1"/>
  <c r="S222" i="19" s="1"/>
  <c r="AM222" i="19" a="1"/>
  <c r="AM222" i="19" s="1"/>
  <c r="AE222" i="19" a="1"/>
  <c r="AE222" i="19" s="1"/>
  <c r="J229" i="19" l="1"/>
  <c r="J226" i="19"/>
  <c r="J228" i="19"/>
  <c r="J225" i="19"/>
  <c r="J224" i="19"/>
  <c r="J223" i="19"/>
  <c r="J227" i="19"/>
  <c r="J222" i="19"/>
  <c r="J230" i="19"/>
  <c r="H226" i="19"/>
  <c r="K226" i="19"/>
  <c r="F226" i="19"/>
  <c r="G226" i="19" s="1"/>
  <c r="F222" i="19"/>
  <c r="G222" i="19" s="1"/>
  <c r="K222" i="19"/>
  <c r="H222" i="19"/>
  <c r="F227" i="19"/>
  <c r="G227" i="19" s="1"/>
  <c r="K227" i="19"/>
  <c r="H227" i="19"/>
  <c r="K228" i="19"/>
  <c r="H228" i="19"/>
  <c r="F228" i="19"/>
  <c r="G228" i="19" s="1"/>
  <c r="F221" i="19"/>
  <c r="H223" i="19"/>
  <c r="K223" i="19"/>
  <c r="F223" i="19"/>
  <c r="G223" i="19" s="1"/>
  <c r="F225" i="19"/>
  <c r="G225" i="19" s="1"/>
  <c r="K225" i="19"/>
  <c r="H225" i="19"/>
  <c r="H230" i="19"/>
  <c r="F230" i="19"/>
  <c r="G230" i="19" s="1"/>
  <c r="K230" i="19"/>
  <c r="H229" i="19"/>
  <c r="F229" i="19"/>
  <c r="G229" i="19" s="1"/>
  <c r="K229" i="19"/>
  <c r="F224" i="19"/>
  <c r="G224" i="19" s="1"/>
  <c r="H224" i="19"/>
  <c r="K224" i="19"/>
  <c r="I128" i="19"/>
  <c r="G128" i="19"/>
  <c r="I127" i="19"/>
  <c r="G127" i="19"/>
  <c r="G125" i="19"/>
  <c r="I125" i="19"/>
  <c r="G124" i="19"/>
  <c r="I124" i="19"/>
  <c r="G123" i="19"/>
  <c r="I123" i="19"/>
  <c r="G122" i="19"/>
  <c r="I122" i="19"/>
  <c r="G126" i="19"/>
  <c r="I126" i="19"/>
  <c r="E221" i="19"/>
  <c r="J221" i="19" s="1"/>
  <c r="K221" i="19" l="1"/>
  <c r="E252" i="19" s="1"/>
  <c r="F17" i="41" s="1"/>
  <c r="G221" i="19"/>
  <c r="E248" i="19" s="1"/>
  <c r="H221" i="19"/>
  <c r="E251" i="19" s="1"/>
  <c r="E17" i="41" s="1"/>
  <c r="E249" i="19"/>
  <c r="I53" i="34"/>
  <c r="J86" i="34"/>
  <c r="E90" i="34" s="1"/>
  <c r="J17" i="34"/>
  <c r="J14" i="34" s="1"/>
  <c r="E19" i="34" s="1"/>
  <c r="E130" i="19"/>
  <c r="E144" i="19" s="1"/>
  <c r="E15" i="41" s="1"/>
  <c r="E131" i="19"/>
  <c r="E145" i="19" s="1"/>
  <c r="F15" i="41" s="1"/>
  <c r="J567" i="19" l="1"/>
  <c r="J569" i="19"/>
  <c r="J568" i="19"/>
  <c r="E571" i="19" l="1"/>
  <c r="G573" i="19" s="1"/>
  <c r="E576" i="19" s="1" a="1"/>
  <c r="E576" i="19" s="1"/>
  <c r="E32" i="41" s="1"/>
  <c r="F32" i="41" l="1"/>
  <c r="F37" i="41" s="1"/>
  <c r="E37" i="4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<sst xmlns="http://schemas.openxmlformats.org/spreadsheetml/2006/main" count="5613" uniqueCount="1893">
  <si>
    <t>Constants - Common</t>
  </si>
  <si>
    <t>State/Territory</t>
  </si>
  <si>
    <t>Common Name</t>
  </si>
  <si>
    <t>Abbreviation</t>
  </si>
  <si>
    <t>SA 4 Name</t>
  </si>
  <si>
    <t>Gas</t>
  </si>
  <si>
    <t>CO2-e factor</t>
  </si>
  <si>
    <t>Conversion factor</t>
  </si>
  <si>
    <t>Conversion factor 1</t>
  </si>
  <si>
    <t>Conversion factor 2</t>
  </si>
  <si>
    <t>Conversion factor combined</t>
  </si>
  <si>
    <t>Climate zone</t>
  </si>
  <si>
    <t>Wet or Dry Zone</t>
  </si>
  <si>
    <t>MAT</t>
  </si>
  <si>
    <t>MAP</t>
  </si>
  <si>
    <t>Frost days per year</t>
  </si>
  <si>
    <t>Elevation</t>
  </si>
  <si>
    <t>MAP:PET</t>
  </si>
  <si>
    <t>Min temp</t>
  </si>
  <si>
    <t>Max temp</t>
  </si>
  <si>
    <t>Min rainfall</t>
  </si>
  <si>
    <t>Max rainfall</t>
  </si>
  <si>
    <t>Min frost days</t>
  </si>
  <si>
    <t>Max frost days</t>
  </si>
  <si>
    <t>Min elevation</t>
  </si>
  <si>
    <t>Max elevation</t>
  </si>
  <si>
    <t>Min MAP:PET</t>
  </si>
  <si>
    <t>Max MAP:PET</t>
  </si>
  <si>
    <t>Temperature Zone</t>
  </si>
  <si>
    <t>Min MAT</t>
  </si>
  <si>
    <t>Max MAT</t>
  </si>
  <si>
    <t>Rainfall Zone</t>
  </si>
  <si>
    <t>Annual rainfall</t>
  </si>
  <si>
    <t>Leaching Zone</t>
  </si>
  <si>
    <t>Leaching criteria</t>
  </si>
  <si>
    <t>Is in leaching zone</t>
  </si>
  <si>
    <t>FracWET</t>
  </si>
  <si>
    <t>Irrigation type i</t>
  </si>
  <si>
    <t>Data source</t>
  </si>
  <si>
    <t>Data score</t>
  </si>
  <si>
    <t>Production system j</t>
  </si>
  <si>
    <t>EFN2O</t>
  </si>
  <si>
    <t>Production system only</t>
  </si>
  <si>
    <t>Irrigation method</t>
  </si>
  <si>
    <t>Rainfall zone</t>
  </si>
  <si>
    <t>EFPRP</t>
  </si>
  <si>
    <t>Month</t>
  </si>
  <si>
    <t>Season</t>
  </si>
  <si>
    <t>Temperature zone</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</si>
  <si>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</si>
  <si>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</si>
  <si>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</si>
  <si>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</si>
  <si>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</si>
  <si>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</si>
  <si>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</si>
  <si>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</si>
  <si>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</si>
  <si>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</si>
  <si>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</si>
  <si>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</si>
  <si>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</si>
  <si>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</si>
  <si>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</si>
  <si>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Climate Zone</t>
  </si>
  <si>
    <t>EFNi &amp; EFN2Oi</t>
  </si>
  <si>
    <t>Constants - Fuel</t>
  </si>
  <si>
    <t>INPUTS</t>
  </si>
  <si>
    <t>Transport type</t>
  </si>
  <si>
    <t>Fuel combusted</t>
  </si>
  <si>
    <t>Energy Content Factor (GJ per unit of fuel)</t>
  </si>
  <si>
    <t>Fuel unit</t>
  </si>
  <si>
    <t>Scope 1 Emission Factor (kg CO2 - e / GJ) CO2</t>
  </si>
  <si>
    <t>Scope 1 Emission Factor (kg CO2 - e / GJ) CH4</t>
  </si>
  <si>
    <t>Scope 1 Emission Factor (kg CO2 - e / GJ) N2O</t>
  </si>
  <si>
    <t>Scope 1 Emission Factor (kg CO2 - e / GJ) Combined gases</t>
  </si>
  <si>
    <t>Scope 3 Emission Factor (kg CO2 - e / GJ)</t>
  </si>
  <si>
    <t>CALCULATIONS</t>
  </si>
  <si>
    <t>APPENDICES</t>
  </si>
  <si>
    <t>Transport type t</t>
  </si>
  <si>
    <t>Fuel type q</t>
  </si>
  <si>
    <t>ECTrans,q (GJ/kL)</t>
  </si>
  <si>
    <t>Scope 1 CO2 EFTran,1,tqg (kg CO2-e/GJ)</t>
  </si>
  <si>
    <t>Scope 1 CH4 EFTran,1,tgg (kg CO2-e/GJ)</t>
  </si>
  <si>
    <t>Scope 1 N2O EFTran,1,tgg (kg CO2-e/GJ)</t>
  </si>
  <si>
    <t>Scope 3 EFTrans,3,q (kg CO2-e/GJ)</t>
  </si>
  <si>
    <t>State or territory</t>
  </si>
  <si>
    <t>Appendices</t>
  </si>
  <si>
    <t>Generators</t>
  </si>
  <si>
    <t>Power standalone machinery or heating</t>
  </si>
  <si>
    <t>Aviation</t>
  </si>
  <si>
    <t>Cars and light commercial vehicles</t>
  </si>
  <si>
    <t>Off-road Agriculture and forestry equipment</t>
  </si>
  <si>
    <t>Vessels</t>
  </si>
  <si>
    <t>General use</t>
  </si>
  <si>
    <t>Fuel oil</t>
  </si>
  <si>
    <t>Fuel type</t>
  </si>
  <si>
    <t>Unit</t>
  </si>
  <si>
    <t>Petrol</t>
  </si>
  <si>
    <t>kL</t>
  </si>
  <si>
    <t>Diesel</t>
  </si>
  <si>
    <t>Liquefied petroleum gas (LPG)</t>
  </si>
  <si>
    <t>Biodiesel</t>
  </si>
  <si>
    <t>Ethanol</t>
  </si>
  <si>
    <t>Other biofuels</t>
  </si>
  <si>
    <t>Renewable diesel</t>
  </si>
  <si>
    <t>Avgas</t>
  </si>
  <si>
    <t>Jet A1, Jet B</t>
  </si>
  <si>
    <t>Renewable aviation kerosene</t>
  </si>
  <si>
    <t>Liquified natural gas (LNG)</t>
  </si>
  <si>
    <t>Diesel - Euro iv or higher</t>
  </si>
  <si>
    <t>Diesel - Euro iii</t>
  </si>
  <si>
    <t>Diesel - Euro i</t>
  </si>
  <si>
    <t>Renewable diesel – Euro iv or higher</t>
  </si>
  <si>
    <t>Renewable diesel – Euro iii</t>
  </si>
  <si>
    <t>Renewable diesel – Euro i</t>
  </si>
  <si>
    <t>Natural gas (via pipeline) in GJ</t>
  </si>
  <si>
    <t>GJ</t>
  </si>
  <si>
    <t>Town gas in GJ</t>
  </si>
  <si>
    <t>Input - Fuel</t>
  </si>
  <si>
    <t>Fuel purchases and consumption</t>
  </si>
  <si>
    <t>💡 You can add more rows to the table by right-clicking on the table and selecting "Insert &gt; Table rows above/below"</t>
  </si>
  <si>
    <t>💡 'Percent consumed" is 100% by default. If you purchased more fuel than was consumed you can edit this field.</t>
  </si>
  <si>
    <t>Fuel use (select)</t>
  </si>
  <si>
    <t>Fuel type (select)</t>
  </si>
  <si>
    <t>Amount purchased</t>
  </si>
  <si>
    <t>Amount unit</t>
  </si>
  <si>
    <t>Percent consumed</t>
  </si>
  <si>
    <t>Amount consumed</t>
  </si>
  <si>
    <t>Table_E_g</t>
  </si>
  <si>
    <t>Emissions for transport fuel combustion</t>
  </si>
  <si>
    <t>Fuel use</t>
  </si>
  <si>
    <t>Fuel type (NGAF terminology)</t>
  </si>
  <si>
    <t>Fuel type (q)</t>
  </si>
  <si>
    <t>Constants - Fertiliser</t>
  </si>
  <si>
    <t>Fertiliser type f</t>
  </si>
  <si>
    <t>FNinorganic f</t>
  </si>
  <si>
    <t>FU f</t>
  </si>
  <si>
    <t>Basis</t>
  </si>
  <si>
    <t>Lifecycles Scope 3 definition</t>
  </si>
  <si>
    <t>Source</t>
  </si>
  <si>
    <t>Production systems</t>
  </si>
  <si>
    <t>Crop types</t>
  </si>
  <si>
    <t>Irrigation methods</t>
  </si>
  <si>
    <t>Organic fertiliser types</t>
  </si>
  <si>
    <t>Production system</t>
  </si>
  <si>
    <t>Organic fertiliser type</t>
  </si>
  <si>
    <t>Pasture</t>
  </si>
  <si>
    <t>Not irrigated</t>
  </si>
  <si>
    <t>Manure - Cattle</t>
  </si>
  <si>
    <t>Crop</t>
  </si>
  <si>
    <t>Grains</t>
  </si>
  <si>
    <t>Drip irrigation</t>
  </si>
  <si>
    <t>Manure - Poultry</t>
  </si>
  <si>
    <t>Maize</t>
  </si>
  <si>
    <t>Sprinkler irrigation</t>
  </si>
  <si>
    <t>Manure - Swine</t>
  </si>
  <si>
    <t>Cotton</t>
  </si>
  <si>
    <t>Surface irrigation</t>
  </si>
  <si>
    <t>Manure - Other</t>
  </si>
  <si>
    <t>Other irrigation</t>
  </si>
  <si>
    <t>Other organic fertiliser</t>
  </si>
  <si>
    <t>FracGASF f</t>
  </si>
  <si>
    <t>Element</t>
  </si>
  <si>
    <t>P</t>
  </si>
  <si>
    <t>EF</t>
  </si>
  <si>
    <t>Fertiliser products</t>
  </si>
  <si>
    <t>Include or Exclude</t>
  </si>
  <si>
    <t>Notes</t>
  </si>
  <si>
    <t>Company</t>
  </si>
  <si>
    <t>Product name</t>
  </si>
  <si>
    <t>Density / gravity</t>
  </si>
  <si>
    <t>Urea source</t>
  </si>
  <si>
    <t>Ammonia source</t>
  </si>
  <si>
    <t>Ingredient 1</t>
  </si>
  <si>
    <t>Ingredient 1 percent</t>
  </si>
  <si>
    <t>Ingredient 2</t>
  </si>
  <si>
    <t>Ingredient 2 percent</t>
  </si>
  <si>
    <t>Ingredient 3</t>
  </si>
  <si>
    <t>Ingredient 3 percent</t>
  </si>
  <si>
    <t>Ingredient 4</t>
  </si>
  <si>
    <t>Ingredient 4 percent</t>
  </si>
  <si>
    <t>Ingredient 5</t>
  </si>
  <si>
    <t>Ingredient 5 percent</t>
  </si>
  <si>
    <t>Ingredient 6</t>
  </si>
  <si>
    <t>Ingredient 6 percent</t>
  </si>
  <si>
    <t>Ingredient 7</t>
  </si>
  <si>
    <t>Ingredient 7 percent</t>
  </si>
  <si>
    <t>Ingredient 8</t>
  </si>
  <si>
    <t>Ingredient 8 percent</t>
  </si>
  <si>
    <t>Ingredient 9</t>
  </si>
  <si>
    <t>Ingredient 9 percent</t>
  </si>
  <si>
    <t>Imngredient 10</t>
  </si>
  <si>
    <t>Ingredient 10 percent</t>
  </si>
  <si>
    <t>Input - Fertiliser</t>
  </si>
  <si>
    <r>
      <rPr>
        <sz val="12"/>
        <color theme="1" tint="0.34998626667073579"/>
        <rFont val="Times New Roman"/>
        <family val="1"/>
      </rPr>
      <t xml:space="preserve">← </t>
    </r>
    <r>
      <rPr>
        <i/>
        <sz val="12"/>
        <color theme="1" tint="0.34998626667073579"/>
        <rFont val="Times New Roman"/>
        <family val="1"/>
      </rPr>
      <t>Please select</t>
    </r>
  </si>
  <si>
    <t>Crop type</t>
  </si>
  <si>
    <t>Area under cropping</t>
  </si>
  <si>
    <t>hectares</t>
  </si>
  <si>
    <t>Inorganic fertiliser applied</t>
  </si>
  <si>
    <t>💡You can add more rows to tables by right-clicking on the table and selecting "Insert &gt; Table rows above/below".</t>
  </si>
  <si>
    <t>💡The application area is the same as the area under pasture / cropping by default. You can edit it if the application area is different.</t>
  </si>
  <si>
    <t>Branded fertiliser products</t>
  </si>
  <si>
    <t>Product (select)</t>
  </si>
  <si>
    <r>
      <t xml:space="preserve">Amount applied </t>
    </r>
    <r>
      <rPr>
        <sz val="11"/>
        <color theme="1"/>
        <rFont val="Times New Roman"/>
        <family val="1"/>
      </rPr>
      <t>(kg / ha)</t>
    </r>
  </si>
  <si>
    <t>Application area (ha)</t>
  </si>
  <si>
    <t>Total applied (kg)</t>
  </si>
  <si>
    <t>N application rate (kg/ha)</t>
  </si>
  <si>
    <t>CoRoN 12-0-10</t>
  </si>
  <si>
    <t>Custom fertiliser blends</t>
  </si>
  <si>
    <t>Custom blend name</t>
  </si>
  <si>
    <t>Ingredient 1 (select)</t>
  </si>
  <si>
    <t>My first custom blend</t>
  </si>
  <si>
    <t>Urea</t>
  </si>
  <si>
    <t>Potassium - Generic</t>
  </si>
  <si>
    <t>Sulfur - Generic</t>
  </si>
  <si>
    <t>💡 You can add more rows to the table by right-clicking on the table and selecting "Insert &gt; Table rows above/below".</t>
  </si>
  <si>
    <t>💡 'Lime' refers to calcium carbonate - CaCO3. 'Dolomite' refers to calcium magnesium carbonate - CaMg(CO3)2</t>
  </si>
  <si>
    <t>Product</t>
  </si>
  <si>
    <t>Amount applied (t/hectare)</t>
  </si>
  <si>
    <t>Total amount applied (t)</t>
  </si>
  <si>
    <r>
      <t>Percent Lime CaCO</t>
    </r>
    <r>
      <rPr>
        <b/>
        <vertAlign val="subscript"/>
        <sz val="11"/>
        <color rgb="FF533001"/>
        <rFont val="Times New Roman"/>
        <family val="1"/>
      </rPr>
      <t>3</t>
    </r>
  </si>
  <si>
    <r>
      <t>Percent Dolomite CaMg(CO</t>
    </r>
    <r>
      <rPr>
        <b/>
        <vertAlign val="subscript"/>
        <sz val="11"/>
        <color rgb="FF533001"/>
        <rFont val="Times New Roman"/>
        <family val="1"/>
      </rPr>
      <t>3</t>
    </r>
    <r>
      <rPr>
        <b/>
        <sz val="11"/>
        <color rgb="FF533001"/>
        <rFont val="Times New Roman"/>
        <family val="1"/>
      </rPr>
      <t>)</t>
    </r>
    <r>
      <rPr>
        <b/>
        <vertAlign val="subscript"/>
        <sz val="11"/>
        <color rgb="FF533001"/>
        <rFont val="Times New Roman"/>
        <family val="1"/>
      </rPr>
      <t>2</t>
    </r>
  </si>
  <si>
    <t>Percent Gypsum</t>
  </si>
  <si>
    <t>Total</t>
  </si>
  <si>
    <t>Lime product 1</t>
  </si>
  <si>
    <t>Lime product 2</t>
  </si>
  <si>
    <t>Constants - Electricity</t>
  </si>
  <si>
    <t>State, Territory or grid description</t>
  </si>
  <si>
    <t>Scope 2 Emission Factors (kg CO2-e/kWh)</t>
  </si>
  <si>
    <t>Scope 3 Emission Factors (kg CO2-e/kWh)</t>
  </si>
  <si>
    <t>Scope 2 EF (kg CO2-e/kWh)</t>
  </si>
  <si>
    <t>Scope 2 EF (kg CO2-e/GJ)</t>
  </si>
  <si>
    <t>Scope 3 EF (kg CO2-e/kWh)</t>
  </si>
  <si>
    <t>Scope 3 EF (kg CO2-e/GJ)</t>
  </si>
  <si>
    <t>Input - Electricity</t>
  </si>
  <si>
    <t>Option 1: Location-based electricity</t>
  </si>
  <si>
    <t>State grid electricity purchases</t>
  </si>
  <si>
    <t>💡The grid you purchase electricity from is typically the same as the state and region the farm is in.</t>
  </si>
  <si>
    <t>Amount purchased in kWh</t>
  </si>
  <si>
    <t>kWh</t>
  </si>
  <si>
    <t>State and region your farm is in</t>
  </si>
  <si>
    <t>Grid where electricity purchased from</t>
  </si>
  <si>
    <t>Option 2: Market-based electricity</t>
  </si>
  <si>
    <t>Electricity purchased in kWh (excluding GreenPower providers)</t>
  </si>
  <si>
    <t xml:space="preserve">Renewable Power Percentage </t>
  </si>
  <si>
    <t>percent</t>
  </si>
  <si>
    <t>Jurisdictional renewable power percentage (ACT only)</t>
  </si>
  <si>
    <t>Electricity purchased from an accredited GreenPower provider</t>
  </si>
  <si>
    <t>Start of reporting year</t>
  </si>
  <si>
    <t>End of reporting year</t>
  </si>
  <si>
    <t>Voluntarily surrendered Renewable Energy Certificates (RECs)</t>
  </si>
  <si>
    <t>Description</t>
  </si>
  <si>
    <t>Source (select)</t>
  </si>
  <si>
    <t>Generation date</t>
  </si>
  <si>
    <t>Number of certificates</t>
  </si>
  <si>
    <t>MWh</t>
  </si>
  <si>
    <t>Elegibility</t>
  </si>
  <si>
    <t>Dec 2023 certs</t>
  </si>
  <si>
    <t>Purchased certificate</t>
  </si>
  <si>
    <t>Issued for generated electricity</t>
  </si>
  <si>
    <t>Total elegible voluntarily surrendered RECs</t>
  </si>
  <si>
    <t>Renewable Energy Certificates (RECs) for electricity produced on-site and consumed by the entity</t>
  </si>
  <si>
    <t xml:space="preserve"> </t>
  </si>
  <si>
    <t>May 2022 generated</t>
  </si>
  <si>
    <t>Total elegible RECs for electricity produced on-site and consumed by entity</t>
  </si>
  <si>
    <t>Input - Site</t>
  </si>
  <si>
    <t>Your business</t>
  </si>
  <si>
    <t>Farm name</t>
  </si>
  <si>
    <t>Test Farms</t>
  </si>
  <si>
    <t>Reporting entity name</t>
  </si>
  <si>
    <t>Test Farms Pty Ltd</t>
  </si>
  <si>
    <t>💡An 'Emissions accounting period' is a 12 month period where the business can report on the emissions, and is typically the same as the business' financial accounting period.</t>
  </si>
  <si>
    <t>Emissions calculation period start date</t>
  </si>
  <si>
    <r>
      <rPr>
        <sz val="12"/>
        <color theme="1" tint="0.34998626667073579"/>
        <rFont val="Times New Roman"/>
        <family val="1"/>
      </rPr>
      <t xml:space="preserve">← </t>
    </r>
    <r>
      <rPr>
        <i/>
        <sz val="12"/>
        <color theme="1" tint="0.34998626667073579"/>
        <rFont val="Times New Roman"/>
        <family val="1"/>
      </rPr>
      <t>DD/MM/YYYY or DD Month YYYY</t>
    </r>
  </si>
  <si>
    <t>Emissions calculation period end date</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</si>
  <si>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</si>
  <si>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Location and climate</t>
  </si>
  <si>
    <t>Location information is used to reference some region and climate-specific emission factors</t>
  </si>
  <si>
    <t>Tip: Use the web-based GAF Location Helper tool to easily get region and climate information. You will need an internet connection to use the GAF Location Helper.</t>
  </si>
  <si>
    <t>State</t>
  </si>
  <si>
    <t>Region (ABS Statistical area level 4) if state is WA</t>
  </si>
  <si>
    <t>Western Australia - Outback (South)</t>
  </si>
  <si>
    <t>Chemical compound</t>
  </si>
  <si>
    <t>Quantity</t>
  </si>
  <si>
    <t>Quantity Unit</t>
  </si>
  <si>
    <t>AusLCI Emissions intensity</t>
  </si>
  <si>
    <t>Livestock class</t>
  </si>
  <si>
    <t>Type</t>
  </si>
  <si>
    <t>Packaging name</t>
  </si>
  <si>
    <t>Quantity purchased</t>
  </si>
  <si>
    <t>Cleaning chemicals</t>
  </si>
  <si>
    <t>White king</t>
  </si>
  <si>
    <t>Bleach</t>
  </si>
  <si>
    <t>Lick blocks</t>
  </si>
  <si>
    <t>Feed blends</t>
  </si>
  <si>
    <t>Feed blend name</t>
  </si>
  <si>
    <t>Amount fed (kg)</t>
  </si>
  <si>
    <t>Ingredient 2 (select)</t>
  </si>
  <si>
    <t>Ingredient 3 (select)</t>
  </si>
  <si>
    <t>Ingredient 4 (select)</t>
  </si>
  <si>
    <t>Canola oil</t>
  </si>
  <si>
    <t>Hay bales in paddock</t>
  </si>
  <si>
    <t xml:space="preserve">💡You can find specific product information in the Australian Government's 'PubCRIS' database search. </t>
  </si>
  <si>
    <t>Click here to find instructions on how to use the PubCRIS database</t>
  </si>
  <si>
    <t>Amount applied per ha</t>
  </si>
  <si>
    <t>Application unit (select)</t>
  </si>
  <si>
    <t>Total applied</t>
  </si>
  <si>
    <t>Active ingredient 1 (select)</t>
  </si>
  <si>
    <t>Active ingredient 1 amount</t>
  </si>
  <si>
    <t>Active ingredient 2 (select)</t>
  </si>
  <si>
    <t>Active ingredient 2 amount</t>
  </si>
  <si>
    <t>Active ingredient 3 (select)</t>
  </si>
  <si>
    <t>Active ingredient 3 amount</t>
  </si>
  <si>
    <t>litre / hectare</t>
  </si>
  <si>
    <t>ACT</t>
  </si>
  <si>
    <t>Western Australia - South West Interconnected System (SWIS)</t>
  </si>
  <si>
    <t>Application unit</t>
  </si>
  <si>
    <t>Density</t>
  </si>
  <si>
    <t>Canada</t>
  </si>
  <si>
    <t>Category</t>
  </si>
  <si>
    <t>Region of origin</t>
  </si>
  <si>
    <t>Calcium nitrate</t>
  </si>
  <si>
    <t>Ammonia</t>
  </si>
  <si>
    <t>Amount applied per hectare</t>
  </si>
  <si>
    <t>Class</t>
  </si>
  <si>
    <t>Class (select)</t>
  </si>
  <si>
    <t>Quantity (head)</t>
  </si>
  <si>
    <t>Beef cattle</t>
  </si>
  <si>
    <t>Source region (Select)</t>
  </si>
  <si>
    <t>Symbol</t>
  </si>
  <si>
    <t>Manure management system</t>
  </si>
  <si>
    <t>Symbol and MMS</t>
  </si>
  <si>
    <t>Source region</t>
  </si>
  <si>
    <t>Table_SourceData_LivestockProduct_Beefcattle</t>
  </si>
  <si>
    <t>Table_SourceData_LivestockProduct_Sheep</t>
  </si>
  <si>
    <t>Cattle, for manufacturing beef</t>
  </si>
  <si>
    <t>Cattle, for prime beef</t>
  </si>
  <si>
    <t>Australia</t>
  </si>
  <si>
    <t>NSW</t>
  </si>
  <si>
    <t>QLD</t>
  </si>
  <si>
    <t>Table_SourceData_LivestockProduct_Chickens</t>
  </si>
  <si>
    <t>Table_SourceData_LivestockProduct_Dairycattle</t>
  </si>
  <si>
    <t>Table_SourceData_LivestockProduct_Pigs</t>
  </si>
  <si>
    <t>Dairy cattle</t>
  </si>
  <si>
    <t>VIC</t>
  </si>
  <si>
    <t>WA</t>
  </si>
  <si>
    <t>Type (select)</t>
  </si>
  <si>
    <t>Alkaline cleaner</t>
  </si>
  <si>
    <t>Phosphoric acid</t>
  </si>
  <si>
    <t>Quantity purchased (kg)</t>
  </si>
  <si>
    <t>Ingredient 1 EF</t>
  </si>
  <si>
    <t>Inorganic fertilisers</t>
  </si>
  <si>
    <t>Global</t>
  </si>
  <si>
    <t>kg</t>
  </si>
  <si>
    <t>Ingredient 2 EF</t>
  </si>
  <si>
    <t>Ingredient 3 EF</t>
  </si>
  <si>
    <t>Ingredient 4 EF</t>
  </si>
  <si>
    <t>Scope 3 (Method 1)</t>
  </si>
  <si>
    <t>Scope 3 (Method 2)</t>
  </si>
  <si>
    <t>Boost-It</t>
  </si>
  <si>
    <t>Emissions intensity (Method 1)</t>
  </si>
  <si>
    <t>Total amount (kg)</t>
  </si>
  <si>
    <t>Transaction name</t>
  </si>
  <si>
    <t>Emissions intensity (Method 2)</t>
  </si>
  <si>
    <t>Animals</t>
  </si>
  <si>
    <t>System boundary</t>
  </si>
  <si>
    <t>Transaction description</t>
  </si>
  <si>
    <t>Chemicals</t>
  </si>
  <si>
    <t>Feed</t>
  </si>
  <si>
    <t>Other agricultural inputs</t>
  </si>
  <si>
    <t>Packaging</t>
  </si>
  <si>
    <t>Pesticides</t>
  </si>
  <si>
    <t>Soil ameliorants</t>
  </si>
  <si>
    <t>Scope 3 emissions are calculated on a maximum of 20 branded fertiliser product purchases</t>
  </si>
  <si>
    <t>Branded fertiliser product purchases</t>
  </si>
  <si>
    <t>Parasite control for cattle (external), dipping</t>
  </si>
  <si>
    <t>Parasite control for cattle (internal)</t>
  </si>
  <si>
    <t>Parasite control for sheep (external)</t>
  </si>
  <si>
    <t>Parasite control for sheep (internal)</t>
  </si>
  <si>
    <t>Number of head treated</t>
  </si>
  <si>
    <t>Cleaning chemical purchases</t>
  </si>
  <si>
    <t>Pharmacy chemical purchases</t>
  </si>
  <si>
    <t>Amount purcahsed (kg)</t>
  </si>
  <si>
    <t>Cow bug off</t>
  </si>
  <si>
    <t>Cow worm-away</t>
  </si>
  <si>
    <t>Sheep bug off</t>
  </si>
  <si>
    <t>Sheep worm-away</t>
  </si>
  <si>
    <t>Kleen alk</t>
  </si>
  <si>
    <t>Acid kleen</t>
  </si>
  <si>
    <t>Region</t>
  </si>
  <si>
    <t>Ingredient 1 source</t>
  </si>
  <si>
    <t>Cereal hay</t>
  </si>
  <si>
    <t>Soybean meal</t>
  </si>
  <si>
    <t>Maize grain</t>
  </si>
  <si>
    <t>TAS</t>
  </si>
  <si>
    <t>Oaten hay</t>
  </si>
  <si>
    <t>Ingredient 1 source region</t>
  </si>
  <si>
    <t>Sardines (whole)</t>
  </si>
  <si>
    <t>SA</t>
  </si>
  <si>
    <t>Lucerne hay</t>
  </si>
  <si>
    <t>Brazil</t>
  </si>
  <si>
    <t>Ingredient 2 source region</t>
  </si>
  <si>
    <t>Ingredient 3 source region</t>
  </si>
  <si>
    <t>Ingredient 4 source region</t>
  </si>
  <si>
    <t>Molasses</t>
  </si>
  <si>
    <t>Feed rations</t>
  </si>
  <si>
    <t>Pasture hay</t>
  </si>
  <si>
    <t>Scope 3 emissions are calculated on a maximum of 10 feed blends</t>
  </si>
  <si>
    <t>Ingredient 2 source</t>
  </si>
  <si>
    <t>Ingredient 3 source</t>
  </si>
  <si>
    <t>Ingredient 4 source</t>
  </si>
  <si>
    <t>Blend name</t>
  </si>
  <si>
    <t>tags</t>
  </si>
  <si>
    <t>Primary material</t>
  </si>
  <si>
    <t>Weight per unit (kg)</t>
  </si>
  <si>
    <t>250g punnet</t>
  </si>
  <si>
    <t>Plastic sheet HDPE</t>
  </si>
  <si>
    <t>Method 1</t>
  </si>
  <si>
    <t>Method 2</t>
  </si>
  <si>
    <t>Seed</t>
  </si>
  <si>
    <t>Pesticides (generic)</t>
  </si>
  <si>
    <t>grams/litre or grams/kg</t>
  </si>
  <si>
    <t>kg / hectare</t>
  </si>
  <si>
    <t>Product EF (Method 1)</t>
  </si>
  <si>
    <t>Product EF (Method 2)</t>
  </si>
  <si>
    <t>Miscellaneous inputs</t>
  </si>
  <si>
    <t>Total active ingredient 1 (kg)</t>
  </si>
  <si>
    <t>Total active ingredient 2 (kg)</t>
  </si>
  <si>
    <t>Total active ingredient 3 (kg)</t>
  </si>
  <si>
    <t>NovaGuard Boscalid 500 WG Fungicide</t>
  </si>
  <si>
    <t>Constituent unit (select)</t>
  </si>
  <si>
    <t>Heben Propiconazole 550EC Fungicide</t>
  </si>
  <si>
    <t>QA MCPA + Picloram SL Herbicide</t>
  </si>
  <si>
    <t>Livestock</t>
  </si>
  <si>
    <t>Purchase class (select)</t>
  </si>
  <si>
    <t>Liveweight (kg/head) Method 1</t>
  </si>
  <si>
    <t>Liveweight (kg/head) Method 2</t>
  </si>
  <si>
    <t>Purchase date</t>
  </si>
  <si>
    <t>Table_ProductRegions_Beefcattle</t>
  </si>
  <si>
    <t>n/a</t>
  </si>
  <si>
    <t>NT</t>
  </si>
  <si>
    <t>WA - Pilbara</t>
  </si>
  <si>
    <t>WA - South west</t>
  </si>
  <si>
    <t>WA - Kimberley</t>
  </si>
  <si>
    <t>NT - Alice Springs</t>
  </si>
  <si>
    <t>NT - Barkly</t>
  </si>
  <si>
    <t>NT - Northern</t>
  </si>
  <si>
    <t>QLD - High</t>
  </si>
  <si>
    <t>QLD - Moderate/High</t>
  </si>
  <si>
    <t>QLD - Moderate/Low</t>
  </si>
  <si>
    <t>QLD - Low</t>
  </si>
  <si>
    <t>Constants - Pasture Beef</t>
  </si>
  <si>
    <t>Pasture beefcrop or pasture production systems</t>
  </si>
  <si>
    <t>Table_SourceData_PastureBeef_Region_WesternAustralia</t>
  </si>
  <si>
    <t>Table_SourceData_PastureBeef_Region_Queensland</t>
  </si>
  <si>
    <t>Table_SourceData_PastureBeef_Region_NorthernTerritory</t>
  </si>
  <si>
    <t>Table_SourceData_PastureBeef_Region_Victoria</t>
  </si>
  <si>
    <t>South West</t>
  </si>
  <si>
    <t>Alice Springs</t>
  </si>
  <si>
    <t>High</t>
  </si>
  <si>
    <t>Pilbara</t>
  </si>
  <si>
    <t>Barkly</t>
  </si>
  <si>
    <t>Moderate/High</t>
  </si>
  <si>
    <t>Kimberley</t>
  </si>
  <si>
    <t>Northern</t>
  </si>
  <si>
    <t>Moderate/Low</t>
  </si>
  <si>
    <t>Table_SourceData_PastureBeef_Region_NewSouthWales</t>
  </si>
  <si>
    <t>Low</t>
  </si>
  <si>
    <t>Table_SourceData_PastureBeef_Region_SouthAustralia</t>
  </si>
  <si>
    <t>Bull &lt; 1</t>
  </si>
  <si>
    <t>Bull &gt; 1</t>
  </si>
  <si>
    <t>Cow &lt; 1</t>
  </si>
  <si>
    <t>Cow 1-2</t>
  </si>
  <si>
    <t>Cow &gt; 2</t>
  </si>
  <si>
    <t>Steer &lt; 1</t>
  </si>
  <si>
    <t>Steer &gt; 1</t>
  </si>
  <si>
    <t>Table_SourceData_PastureBeef_Region_Tasmania</t>
  </si>
  <si>
    <t>Table_SourceData_PastureBeef_Region_ACT</t>
  </si>
  <si>
    <t>Bull &lt;1</t>
  </si>
  <si>
    <t>Bull &gt;1</t>
  </si>
  <si>
    <t>Cows &lt;1</t>
  </si>
  <si>
    <t>Cows 1-2</t>
  </si>
  <si>
    <t>Cows 2-3</t>
  </si>
  <si>
    <t>Cows &gt;3</t>
  </si>
  <si>
    <t>Steer &lt;1</t>
  </si>
  <si>
    <t>Steer 1-2</t>
  </si>
  <si>
    <t>Steer 2-3</t>
  </si>
  <si>
    <t>Steer &gt;3</t>
  </si>
  <si>
    <t>Beef pasture cattle - Liveweight (kg) (Wjkl) all states</t>
  </si>
  <si>
    <t>Bulls &lt; 1 year</t>
  </si>
  <si>
    <t>Bulls &gt; 1 year</t>
  </si>
  <si>
    <t>Cows &lt; 1 year</t>
  </si>
  <si>
    <t>Cows 1-2 years</t>
  </si>
  <si>
    <t>Cows 2-3 years</t>
  </si>
  <si>
    <t>Cows &gt; 3 years</t>
  </si>
  <si>
    <t>Steers &lt; 1 year</t>
  </si>
  <si>
    <t>Steers 1-2 years</t>
  </si>
  <si>
    <t>Steers 2-3 years</t>
  </si>
  <si>
    <t>Steers &gt;3 years</t>
  </si>
  <si>
    <t>Summer</t>
  </si>
  <si>
    <t>Autumn</t>
  </si>
  <si>
    <t>Winter</t>
  </si>
  <si>
    <t>Cow &lt;1</t>
  </si>
  <si>
    <t>Cow &gt;2</t>
  </si>
  <si>
    <t>Steer &gt;1</t>
  </si>
  <si>
    <t>Cow 2-3</t>
  </si>
  <si>
    <t>Cow &gt;3</t>
  </si>
  <si>
    <t>Spring</t>
  </si>
  <si>
    <t>VARIATION ON SOURCE: Changed 'Season' values from season names to 'Calving season' and 'Season after calving' to acommodate cases where calving happens outside spring or summer</t>
  </si>
  <si>
    <t>Breed</t>
  </si>
  <si>
    <t>Feed adjustment</t>
  </si>
  <si>
    <t>Milk intake/production</t>
  </si>
  <si>
    <t>Calving season</t>
  </si>
  <si>
    <t>Season after calving</t>
  </si>
  <si>
    <t>Bulls &lt;1</t>
  </si>
  <si>
    <t>Bulls &gt;1</t>
  </si>
  <si>
    <t>Cows &gt;2</t>
  </si>
  <si>
    <t>State abbreviation</t>
  </si>
  <si>
    <t>Typo in VEERG declares unit as fraction when values are percent</t>
  </si>
  <si>
    <t>Uncovered Anaerobic lagoon</t>
  </si>
  <si>
    <t>Table_LivestockClasses_Beefcattle</t>
  </si>
  <si>
    <t>Scope3 region</t>
  </si>
  <si>
    <t>Friesian crossbred</t>
  </si>
  <si>
    <t>Milking cows</t>
  </si>
  <si>
    <t>Heifers &lt; 1 (weaned)</t>
  </si>
  <si>
    <t>Cows from Barry</t>
  </si>
  <si>
    <t>Dairy cows from Denise</t>
  </si>
  <si>
    <t>Breed (select)</t>
  </si>
  <si>
    <t>Source Data - Dairy</t>
  </si>
  <si>
    <t>Dairy manure management systems</t>
  </si>
  <si>
    <t>Dairy crop or pasture production systems</t>
  </si>
  <si>
    <t>MMS</t>
  </si>
  <si>
    <t>Heifers &gt; 1</t>
  </si>
  <si>
    <t>Bulls &gt; 1</t>
  </si>
  <si>
    <t>Bulls &lt; 1 (weaned)</t>
  </si>
  <si>
    <t>Animal class j</t>
  </si>
  <si>
    <t>CH4 production</t>
  </si>
  <si>
    <t>Volatile solids (VSj=3,5)</t>
  </si>
  <si>
    <t>Nitrogen Excreted (NPWj=3,5)</t>
  </si>
  <si>
    <t>MMS m</t>
  </si>
  <si>
    <t>NIR reference</t>
  </si>
  <si>
    <t>EFm</t>
  </si>
  <si>
    <t>FracGASMm</t>
  </si>
  <si>
    <t>MPW ENTERIC</t>
  </si>
  <si>
    <t>MRj</t>
  </si>
  <si>
    <t>Area</t>
  </si>
  <si>
    <t>Milking shed</t>
  </si>
  <si>
    <t>Feedpad</t>
  </si>
  <si>
    <t>Duplicate of data in table 1.3.7</t>
  </si>
  <si>
    <t>Duration (weaned)</t>
  </si>
  <si>
    <t>Duration (pre-weaned)</t>
  </si>
  <si>
    <t>Pigs</t>
  </si>
  <si>
    <t>Holstein-Friesian</t>
  </si>
  <si>
    <t>Constants - Swine</t>
  </si>
  <si>
    <t>Swine crop or pasture production systems</t>
  </si>
  <si>
    <t>CHange title to match source</t>
  </si>
  <si>
    <t>CHange source</t>
  </si>
  <si>
    <t>NIR definition</t>
  </si>
  <si>
    <t>Swine Manure management systems</t>
  </si>
  <si>
    <t>Swine Manure management systems excl. solid storage and direct application</t>
  </si>
  <si>
    <t>Swine Manure management systems excl. direct application</t>
  </si>
  <si>
    <t>Fraction volatile solids lost during storage in primary system</t>
  </si>
  <si>
    <t>Swine housing</t>
  </si>
  <si>
    <t>VSL</t>
  </si>
  <si>
    <t>VSj</t>
  </si>
  <si>
    <t>Ij</t>
  </si>
  <si>
    <t>NWj</t>
  </si>
  <si>
    <t>NWj Daily</t>
  </si>
  <si>
    <t>Class name</t>
  </si>
  <si>
    <t>MMSm</t>
  </si>
  <si>
    <t>FracGASMmT</t>
  </si>
  <si>
    <t>EFmT</t>
  </si>
  <si>
    <t>Livestock type j</t>
  </si>
  <si>
    <t>Average liveweight (kg)</t>
  </si>
  <si>
    <t>Pigs from Pam</t>
  </si>
  <si>
    <t>Sows</t>
  </si>
  <si>
    <t>Slaughter pigs</t>
  </si>
  <si>
    <t>Swine from Samantha</t>
  </si>
  <si>
    <t>Scope 3 emissions are calculated on a maximum of 10 livestock purchases for each category</t>
  </si>
  <si>
    <t>Poultry</t>
  </si>
  <si>
    <t>Chooks from Carolyn</t>
  </si>
  <si>
    <t>Roosters from Raj</t>
  </si>
  <si>
    <t>Constants - Poultry</t>
  </si>
  <si>
    <t>Nutrient analysis</t>
  </si>
  <si>
    <t>Layers</t>
  </si>
  <si>
    <t>Meat chicken growers</t>
  </si>
  <si>
    <t>Meat chicken breeder</t>
  </si>
  <si>
    <t>Meat other</t>
  </si>
  <si>
    <t>Poultry class</t>
  </si>
  <si>
    <t>B0</t>
  </si>
  <si>
    <t>Poultry manure management systems</t>
  </si>
  <si>
    <t>Poultry manure management systems - Stage 1</t>
  </si>
  <si>
    <t>Poultry manure management systems - Stage 2</t>
  </si>
  <si>
    <t>Poultry manure with bedding (m=10)</t>
  </si>
  <si>
    <t>Solid storage (m=4)</t>
  </si>
  <si>
    <t>Belt manure removal</t>
  </si>
  <si>
    <t>Belt manure removal (m=11a)</t>
  </si>
  <si>
    <t>Composting (passive windrow) (m=6)</t>
  </si>
  <si>
    <t>Manure stored in house</t>
  </si>
  <si>
    <t>Manure stored in house (m=11b)</t>
  </si>
  <si>
    <t>Digester / covered lagoons (m=7)</t>
  </si>
  <si>
    <t>Pasture range and paddock (m=14)</t>
  </si>
  <si>
    <t>Direct processing (m=12)</t>
  </si>
  <si>
    <t>No MMS</t>
  </si>
  <si>
    <t>Direct application (m=13)</t>
  </si>
  <si>
    <t>Poultry production systems</t>
  </si>
  <si>
    <t>All states</t>
  </si>
  <si>
    <t>Livestock class j</t>
  </si>
  <si>
    <t>Chicken</t>
  </si>
  <si>
    <t>Pullets</t>
  </si>
  <si>
    <t>Amount</t>
  </si>
  <si>
    <t>Product / service name</t>
  </si>
  <si>
    <t>Total weight purchased (kg)</t>
  </si>
  <si>
    <t>Verified credential matching ISO14067</t>
  </si>
  <si>
    <t>Denise did a full LCA</t>
  </si>
  <si>
    <t>http://denisesdairy.com/LCA2024.pdf</t>
  </si>
  <si>
    <t>Uncategorised products</t>
  </si>
  <si>
    <t>Services and contractors</t>
  </si>
  <si>
    <t>Service provider / contractor</t>
  </si>
  <si>
    <t>Pete's Pickers</t>
  </si>
  <si>
    <t>Fruit picking</t>
  </si>
  <si>
    <t>Harini's Harvesting Services Pty Ltd</t>
  </si>
  <si>
    <t>Sheep</t>
  </si>
  <si>
    <t>Total amount</t>
  </si>
  <si>
    <t>Scope 3 unit</t>
  </si>
  <si>
    <t>Hour</t>
  </si>
  <si>
    <t>Hectare</t>
  </si>
  <si>
    <t>Wheat harvesting</t>
  </si>
  <si>
    <t>Activity</t>
  </si>
  <si>
    <t>Purchased feed blends</t>
  </si>
  <si>
    <t>Large Friesian</t>
  </si>
  <si>
    <t>EF (Method 1)</t>
  </si>
  <si>
    <t>EF (Method 2)</t>
  </si>
  <si>
    <t>Origin o</t>
  </si>
  <si>
    <t>Livestock type c</t>
  </si>
  <si>
    <r>
      <t>N</t>
    </r>
    <r>
      <rPr>
        <b/>
        <vertAlign val="subscript"/>
        <sz val="12"/>
        <color theme="1"/>
        <rFont val="Times New Roman"/>
        <family val="1"/>
      </rPr>
      <t>co</t>
    </r>
  </si>
  <si>
    <r>
      <t>W</t>
    </r>
    <r>
      <rPr>
        <b/>
        <vertAlign val="subscript"/>
        <sz val="12"/>
        <color theme="1"/>
        <rFont val="Times New Roman"/>
        <family val="1"/>
      </rPr>
      <t>co</t>
    </r>
    <r>
      <rPr>
        <b/>
        <sz val="12"/>
        <color theme="1"/>
        <rFont val="Times New Roman"/>
        <family val="2"/>
      </rPr>
      <t xml:space="preserve"> - Method 1 (kg/head)</t>
    </r>
  </si>
  <si>
    <r>
      <t>W</t>
    </r>
    <r>
      <rPr>
        <b/>
        <vertAlign val="subscript"/>
        <sz val="12"/>
        <color theme="1"/>
        <rFont val="Times New Roman"/>
        <family val="1"/>
      </rPr>
      <t>co</t>
    </r>
    <r>
      <rPr>
        <b/>
        <sz val="12"/>
        <color theme="1"/>
        <rFont val="Times New Roman"/>
        <family val="2"/>
      </rPr>
      <t xml:space="preserve"> - Method 2 (kg/head)</t>
    </r>
  </si>
  <si>
    <r>
      <t>EF</t>
    </r>
    <r>
      <rPr>
        <b/>
        <vertAlign val="subscript"/>
        <sz val="11"/>
        <color rgb="FF183C1B"/>
        <rFont val="Times New Roman"/>
        <family val="1"/>
      </rPr>
      <t>co</t>
    </r>
    <r>
      <rPr>
        <b/>
        <sz val="11"/>
        <color rgb="FF183C1B"/>
        <rFont val="Times New Roman"/>
        <family val="1"/>
      </rPr>
      <t xml:space="preserve"> (Method 1)</t>
    </r>
  </si>
  <si>
    <r>
      <t>EF</t>
    </r>
    <r>
      <rPr>
        <b/>
        <vertAlign val="subscript"/>
        <sz val="11"/>
        <color rgb="FF533001"/>
        <rFont val="Times New Roman"/>
        <family val="1"/>
      </rPr>
      <t>co</t>
    </r>
    <r>
      <rPr>
        <b/>
        <sz val="11"/>
        <color rgb="FF533001"/>
        <rFont val="Times New Roman"/>
        <family val="1"/>
      </rPr>
      <t xml:space="preserve"> (Method 2)</t>
    </r>
  </si>
  <si>
    <t>Variable</t>
  </si>
  <si>
    <r>
      <t>EF</t>
    </r>
    <r>
      <rPr>
        <vertAlign val="subscript"/>
        <sz val="10"/>
        <color theme="1" tint="0.34998626667073579"/>
        <rFont val="Times New Roman"/>
        <family val="1"/>
      </rPr>
      <t>co</t>
    </r>
    <r>
      <rPr>
        <sz val="10"/>
        <color theme="1" tint="0.34998626667073579"/>
        <rFont val="Times New Roman"/>
        <family val="1"/>
      </rPr>
      <t xml:space="preserve"> (Method 1)</t>
    </r>
  </si>
  <si>
    <t>Method 2 EF source</t>
  </si>
  <si>
    <t>Method 2 EF source type (Select)</t>
  </si>
  <si>
    <t>Method 2 EF proof link</t>
  </si>
  <si>
    <r>
      <t>Q</t>
    </r>
    <r>
      <rPr>
        <b/>
        <vertAlign val="subscript"/>
        <sz val="11"/>
        <color rgb="FF533001"/>
        <rFont val="Times New Roman"/>
        <family val="1"/>
      </rPr>
      <t>j</t>
    </r>
  </si>
  <si>
    <t>E (Method 1)</t>
  </si>
  <si>
    <r>
      <t>EF</t>
    </r>
    <r>
      <rPr>
        <b/>
        <vertAlign val="subscript"/>
        <sz val="11"/>
        <color rgb="FF533001"/>
        <rFont val="Times New Roman"/>
        <family val="1"/>
      </rPr>
      <t>j</t>
    </r>
    <r>
      <rPr>
        <b/>
        <sz val="11"/>
        <color rgb="FF533001"/>
        <rFont val="Times New Roman"/>
        <family val="1"/>
      </rPr>
      <t xml:space="preserve"> (Method 2)</t>
    </r>
  </si>
  <si>
    <t>E (Method 2)</t>
  </si>
  <si>
    <r>
      <t>EF</t>
    </r>
    <r>
      <rPr>
        <b/>
        <vertAlign val="subscript"/>
        <sz val="11"/>
        <color rgb="FF183C1B"/>
        <rFont val="Times New Roman"/>
        <family val="1"/>
      </rPr>
      <t>j</t>
    </r>
    <r>
      <rPr>
        <b/>
        <sz val="11"/>
        <color rgb="FF183C1B"/>
        <rFont val="Times New Roman"/>
        <family val="1"/>
      </rPr>
      <t xml:space="preserve"> (Method 1)</t>
    </r>
  </si>
  <si>
    <t xml:space="preserve">The method 1 product EF is calculated by multiplying the EF of each ingredient by the fraction of that ingredient in the product, then adding them all together. </t>
  </si>
  <si>
    <t>This is to allow for comparison with a method 2 product EF that might be provided by the supplier.</t>
  </si>
  <si>
    <t>If using an EF value from the manufacturer, make sure theirs is derived from the ingredients only to ensure a valid comparison with method 1 EF</t>
  </si>
  <si>
    <r>
      <t>Q</t>
    </r>
    <r>
      <rPr>
        <b/>
        <vertAlign val="subscript"/>
        <sz val="11"/>
        <color rgb="FF533001"/>
        <rFont val="Times New Roman"/>
        <family val="1"/>
      </rPr>
      <t>m</t>
    </r>
  </si>
  <si>
    <r>
      <t>EF</t>
    </r>
    <r>
      <rPr>
        <b/>
        <vertAlign val="subscript"/>
        <sz val="11"/>
        <color rgb="FF183C1B"/>
        <rFont val="Times New Roman"/>
        <family val="1"/>
      </rPr>
      <t>m</t>
    </r>
    <r>
      <rPr>
        <b/>
        <sz val="11"/>
        <color rgb="FF183C1B"/>
        <rFont val="Times New Roman"/>
        <family val="1"/>
      </rPr>
      <t xml:space="preserve"> (Method 1)</t>
    </r>
  </si>
  <si>
    <r>
      <t>EF</t>
    </r>
    <r>
      <rPr>
        <b/>
        <vertAlign val="subscript"/>
        <sz val="11"/>
        <color rgb="FF533001"/>
        <rFont val="Times New Roman"/>
        <family val="1"/>
      </rPr>
      <t>m</t>
    </r>
    <r>
      <rPr>
        <b/>
        <sz val="11"/>
        <color rgb="FF533001"/>
        <rFont val="Times New Roman"/>
        <family val="1"/>
      </rPr>
      <t xml:space="preserve"> (Method 2)</t>
    </r>
  </si>
  <si>
    <t>E - Poultry (Method 1)</t>
  </si>
  <si>
    <t>E - Poultry (Method 2)</t>
  </si>
  <si>
    <t>E - Pigs (Method 1)</t>
  </si>
  <si>
    <t>E - Pigs (Method 2)</t>
  </si>
  <si>
    <t>E - Dairy cattle (Method 1)</t>
  </si>
  <si>
    <t>E - Dairy cattle (Method 2)</t>
  </si>
  <si>
    <t>E - Beef cattle (Method 1)</t>
  </si>
  <si>
    <t>E - Beef cattle (Method 2)</t>
  </si>
  <si>
    <t>E - Fertiliser components (Method 1)</t>
  </si>
  <si>
    <t>E- Product (Method 1)</t>
  </si>
  <si>
    <t>E- Product (Method 2)</t>
  </si>
  <si>
    <t>E - Fertiliser components (Method 2)</t>
  </si>
  <si>
    <t>Fertiliser custom blends</t>
  </si>
  <si>
    <r>
      <t>EF</t>
    </r>
    <r>
      <rPr>
        <b/>
        <vertAlign val="subscript"/>
        <sz val="11"/>
        <color rgb="FF183C1B"/>
        <rFont val="Times New Roman"/>
        <family val="1"/>
      </rPr>
      <t xml:space="preserve">c - </t>
    </r>
    <r>
      <rPr>
        <b/>
        <sz val="11"/>
        <color rgb="FF183C1B"/>
        <rFont val="Times New Roman"/>
        <family val="1"/>
      </rPr>
      <t>Ingredient 1 (Method 1)</t>
    </r>
  </si>
  <si>
    <r>
      <t>EF</t>
    </r>
    <r>
      <rPr>
        <b/>
        <vertAlign val="subscript"/>
        <sz val="11"/>
        <color rgb="FF533001"/>
        <rFont val="Times New Roman"/>
        <family val="1"/>
      </rPr>
      <t>c</t>
    </r>
    <r>
      <rPr>
        <b/>
        <sz val="11"/>
        <color rgb="FF533001"/>
        <rFont val="Times New Roman"/>
        <family val="1"/>
      </rPr>
      <t xml:space="preserve"> - Ingredient 1 (Method 2)</t>
    </r>
  </si>
  <si>
    <r>
      <t>EF</t>
    </r>
    <r>
      <rPr>
        <b/>
        <vertAlign val="subscript"/>
        <sz val="11"/>
        <color rgb="FF183C1B"/>
        <rFont val="Times New Roman"/>
        <family val="1"/>
      </rPr>
      <t xml:space="preserve">c - </t>
    </r>
    <r>
      <rPr>
        <b/>
        <sz val="11"/>
        <color rgb="FF183C1B"/>
        <rFont val="Times New Roman"/>
        <family val="1"/>
      </rPr>
      <t>Ingredient 2 (Method 1)</t>
    </r>
  </si>
  <si>
    <r>
      <t>EF</t>
    </r>
    <r>
      <rPr>
        <b/>
        <vertAlign val="subscript"/>
        <sz val="11"/>
        <color rgb="FF533001"/>
        <rFont val="Times New Roman"/>
        <family val="1"/>
      </rPr>
      <t>c</t>
    </r>
    <r>
      <rPr>
        <b/>
        <sz val="11"/>
        <color rgb="FF533001"/>
        <rFont val="Times New Roman"/>
        <family val="1"/>
      </rPr>
      <t xml:space="preserve"> - Ingredient 2 (Method 2)</t>
    </r>
  </si>
  <si>
    <r>
      <t>EF</t>
    </r>
    <r>
      <rPr>
        <b/>
        <vertAlign val="subscript"/>
        <sz val="11"/>
        <color rgb="FF183C1B"/>
        <rFont val="Times New Roman"/>
        <family val="1"/>
      </rPr>
      <t xml:space="preserve">c - </t>
    </r>
    <r>
      <rPr>
        <b/>
        <sz val="11"/>
        <color rgb="FF183C1B"/>
        <rFont val="Times New Roman"/>
        <family val="1"/>
      </rPr>
      <t>Ingredient 3 (Method 1)</t>
    </r>
  </si>
  <si>
    <r>
      <t>EF</t>
    </r>
    <r>
      <rPr>
        <b/>
        <vertAlign val="subscript"/>
        <sz val="11"/>
        <color rgb="FF533001"/>
        <rFont val="Times New Roman"/>
        <family val="1"/>
      </rPr>
      <t>c</t>
    </r>
    <r>
      <rPr>
        <b/>
        <sz val="11"/>
        <color rgb="FF533001"/>
        <rFont val="Times New Roman"/>
        <family val="1"/>
      </rPr>
      <t xml:space="preserve"> - Ingredient 3 (Method 2)</t>
    </r>
  </si>
  <si>
    <r>
      <t>EF</t>
    </r>
    <r>
      <rPr>
        <b/>
        <vertAlign val="subscript"/>
        <sz val="11"/>
        <color rgb="FF183C1B"/>
        <rFont val="Times New Roman"/>
        <family val="1"/>
      </rPr>
      <t xml:space="preserve">c - </t>
    </r>
    <r>
      <rPr>
        <b/>
        <sz val="11"/>
        <color rgb="FF183C1B"/>
        <rFont val="Times New Roman"/>
        <family val="1"/>
      </rPr>
      <t>Ingredient 4 (Method 1)</t>
    </r>
  </si>
  <si>
    <r>
      <t>EF</t>
    </r>
    <r>
      <rPr>
        <b/>
        <vertAlign val="subscript"/>
        <sz val="11"/>
        <color rgb="FF533001"/>
        <rFont val="Times New Roman"/>
        <family val="1"/>
      </rPr>
      <t>c</t>
    </r>
    <r>
      <rPr>
        <b/>
        <sz val="11"/>
        <color rgb="FF533001"/>
        <rFont val="Times New Roman"/>
        <family val="1"/>
      </rPr>
      <t xml:space="preserve"> - Ingredient 4 (Method 2)</t>
    </r>
  </si>
  <si>
    <r>
      <t>EF</t>
    </r>
    <r>
      <rPr>
        <b/>
        <vertAlign val="subscript"/>
        <sz val="11"/>
        <color rgb="FF183C1B"/>
        <rFont val="Times New Roman"/>
        <family val="1"/>
      </rPr>
      <t xml:space="preserve">c - </t>
    </r>
    <r>
      <rPr>
        <b/>
        <sz val="11"/>
        <color rgb="FF183C1B"/>
        <rFont val="Times New Roman"/>
        <family val="1"/>
      </rPr>
      <t>Ingredient 5 (Method 1)</t>
    </r>
  </si>
  <si>
    <r>
      <t>EF</t>
    </r>
    <r>
      <rPr>
        <b/>
        <vertAlign val="subscript"/>
        <sz val="11"/>
        <color rgb="FF533001"/>
        <rFont val="Times New Roman"/>
        <family val="1"/>
      </rPr>
      <t>c</t>
    </r>
    <r>
      <rPr>
        <b/>
        <sz val="11"/>
        <color rgb="FF533001"/>
        <rFont val="Times New Roman"/>
        <family val="1"/>
      </rPr>
      <t xml:space="preserve"> - Ingredient 5 (Method 2)</t>
    </r>
  </si>
  <si>
    <r>
      <t>EF</t>
    </r>
    <r>
      <rPr>
        <b/>
        <vertAlign val="subscript"/>
        <sz val="11"/>
        <color rgb="FF183C1B"/>
        <rFont val="Times New Roman"/>
        <family val="1"/>
      </rPr>
      <t xml:space="preserve">c - </t>
    </r>
    <r>
      <rPr>
        <b/>
        <sz val="11"/>
        <color rgb="FF183C1B"/>
        <rFont val="Times New Roman"/>
        <family val="1"/>
      </rPr>
      <t>Ingredient 6 (Method 1)</t>
    </r>
  </si>
  <si>
    <r>
      <t>EF</t>
    </r>
    <r>
      <rPr>
        <b/>
        <vertAlign val="subscript"/>
        <sz val="11"/>
        <color rgb="FF533001"/>
        <rFont val="Times New Roman"/>
        <family val="1"/>
      </rPr>
      <t>c</t>
    </r>
    <r>
      <rPr>
        <b/>
        <sz val="11"/>
        <color rgb="FF533001"/>
        <rFont val="Times New Roman"/>
        <family val="1"/>
      </rPr>
      <t xml:space="preserve"> - Ingredient 6 (Method 2)</t>
    </r>
  </si>
  <si>
    <r>
      <t>EF</t>
    </r>
    <r>
      <rPr>
        <b/>
        <vertAlign val="subscript"/>
        <sz val="11"/>
        <color rgb="FF183C1B"/>
        <rFont val="Times New Roman"/>
        <family val="1"/>
      </rPr>
      <t>f</t>
    </r>
    <r>
      <rPr>
        <b/>
        <sz val="11"/>
        <color rgb="FF183C1B"/>
        <rFont val="Times New Roman"/>
        <family val="1"/>
      </rPr>
      <t xml:space="preserve"> (Method 1)</t>
    </r>
  </si>
  <si>
    <r>
      <t>EF</t>
    </r>
    <r>
      <rPr>
        <b/>
        <vertAlign val="subscript"/>
        <sz val="11"/>
        <color rgb="FF533001"/>
        <rFont val="Times New Roman"/>
        <family val="1"/>
      </rPr>
      <t>f</t>
    </r>
    <r>
      <rPr>
        <b/>
        <sz val="11"/>
        <color rgb="FF533001"/>
        <rFont val="Times New Roman"/>
        <family val="1"/>
      </rPr>
      <t xml:space="preserve"> (Method 2)</t>
    </r>
  </si>
  <si>
    <t>Scope 3 emissions are calculated on a maximum of 20 custom fertiliser blends</t>
  </si>
  <si>
    <t>E (Method 1) - Product EF</t>
  </si>
  <si>
    <t>E (Method 2) - Product EF</t>
  </si>
  <si>
    <t>E (Method 1) - Component EF</t>
  </si>
  <si>
    <t>E (Method 2) - Component EF</t>
  </si>
  <si>
    <t>2,4-D</t>
  </si>
  <si>
    <t>Metolachlor</t>
  </si>
  <si>
    <t>Glyphosate</t>
  </si>
  <si>
    <t>Tribenuron methyl</t>
  </si>
  <si>
    <t>Trifluralin</t>
  </si>
  <si>
    <t>Active ingredient type</t>
  </si>
  <si>
    <r>
      <t>EF</t>
    </r>
    <r>
      <rPr>
        <b/>
        <vertAlign val="subscript"/>
        <sz val="11"/>
        <color rgb="FF183C1B"/>
        <rFont val="Times New Roman"/>
        <family val="1"/>
      </rPr>
      <t>h</t>
    </r>
    <r>
      <rPr>
        <b/>
        <sz val="11"/>
        <color rgb="FF183C1B"/>
        <rFont val="Times New Roman"/>
        <family val="1"/>
      </rPr>
      <t xml:space="preserve"> (Method 1)</t>
    </r>
  </si>
  <si>
    <r>
      <t>EF</t>
    </r>
    <r>
      <rPr>
        <b/>
        <vertAlign val="subscript"/>
        <sz val="11"/>
        <color rgb="FF533001"/>
        <rFont val="Times New Roman"/>
        <family val="1"/>
      </rPr>
      <t>h</t>
    </r>
    <r>
      <rPr>
        <b/>
        <sz val="11"/>
        <color rgb="FF533001"/>
        <rFont val="Times New Roman"/>
        <family val="1"/>
      </rPr>
      <t xml:space="preserve"> (Method 2)</t>
    </r>
  </si>
  <si>
    <t>Total amount (t)</t>
  </si>
  <si>
    <t>E(Method 2)</t>
  </si>
  <si>
    <r>
      <t>EF</t>
    </r>
    <r>
      <rPr>
        <vertAlign val="subscript"/>
        <sz val="12"/>
        <color theme="1" tint="0.24994659260841701"/>
        <rFont val="Times New Roman"/>
        <family val="1"/>
      </rPr>
      <t>l</t>
    </r>
    <r>
      <rPr>
        <sz val="12"/>
        <color theme="1" tint="0.24994659260841701"/>
        <rFont val="Times New Roman"/>
        <family val="1"/>
      </rPr>
      <t xml:space="preserve"> - Lime</t>
    </r>
  </si>
  <si>
    <r>
      <t>EF</t>
    </r>
    <r>
      <rPr>
        <vertAlign val="subscript"/>
        <sz val="12"/>
        <color theme="1" tint="0.24994659260841701"/>
        <rFont val="Times New Roman"/>
        <family val="1"/>
      </rPr>
      <t>l</t>
    </r>
    <r>
      <rPr>
        <sz val="12"/>
        <color theme="1" tint="0.24994659260841701"/>
        <rFont val="Times New Roman"/>
        <family val="1"/>
      </rPr>
      <t xml:space="preserve"> - Dolomite</t>
    </r>
  </si>
  <si>
    <r>
      <t>EF</t>
    </r>
    <r>
      <rPr>
        <vertAlign val="subscript"/>
        <sz val="12"/>
        <color theme="1" tint="0.24994659260841701"/>
        <rFont val="Times New Roman"/>
        <family val="1"/>
      </rPr>
      <t>l</t>
    </r>
    <r>
      <rPr>
        <sz val="12"/>
        <color theme="1" tint="0.24994659260841701"/>
        <rFont val="Times New Roman"/>
        <family val="1"/>
      </rPr>
      <t xml:space="preserve"> - Gypsum</t>
    </r>
  </si>
  <si>
    <r>
      <t>M</t>
    </r>
    <r>
      <rPr>
        <b/>
        <vertAlign val="subscript"/>
        <sz val="11"/>
        <color rgb="FF533001"/>
        <rFont val="Times New Roman"/>
        <family val="1"/>
      </rPr>
      <t>lime</t>
    </r>
    <r>
      <rPr>
        <b/>
        <sz val="11"/>
        <color rgb="FF533001"/>
        <rFont val="Times New Roman"/>
        <family val="1"/>
      </rPr>
      <t xml:space="preserve"> - Lime</t>
    </r>
  </si>
  <si>
    <r>
      <t>M</t>
    </r>
    <r>
      <rPr>
        <b/>
        <vertAlign val="subscript"/>
        <sz val="11"/>
        <color rgb="FF533001"/>
        <rFont val="Times New Roman"/>
        <family val="1"/>
      </rPr>
      <t>lime</t>
    </r>
    <r>
      <rPr>
        <b/>
        <sz val="11"/>
        <color rgb="FF533001"/>
        <rFont val="Times New Roman"/>
        <family val="1"/>
      </rPr>
      <t xml:space="preserve"> - Dolomite</t>
    </r>
  </si>
  <si>
    <r>
      <t>M</t>
    </r>
    <r>
      <rPr>
        <b/>
        <vertAlign val="subscript"/>
        <sz val="11"/>
        <color rgb="FF533001"/>
        <rFont val="Times New Roman"/>
        <family val="1"/>
      </rPr>
      <t>lime</t>
    </r>
    <r>
      <rPr>
        <b/>
        <sz val="11"/>
        <color rgb="FF533001"/>
        <rFont val="Times New Roman"/>
        <family val="1"/>
      </rPr>
      <t xml:space="preserve"> - Gypsum</t>
    </r>
  </si>
  <si>
    <r>
      <t xml:space="preserve">⚠️ </t>
    </r>
    <r>
      <rPr>
        <b/>
        <sz val="12"/>
        <color rgb="FFC44340"/>
        <rFont val="Times New Roman"/>
        <family val="1"/>
      </rPr>
      <t>ALERT:</t>
    </r>
    <r>
      <rPr>
        <sz val="12"/>
        <color rgb="FFC44340"/>
        <rFont val="Times New Roman"/>
        <family val="1"/>
      </rPr>
      <t xml:space="preserve"> No Method 1 EF data for purchased services and contractor operations is in </t>
    </r>
    <r>
      <rPr>
        <i/>
        <sz val="12"/>
        <color rgb="FFC44340"/>
        <rFont val="Times New Roman"/>
        <family val="1"/>
      </rPr>
      <t>Greenhouse Gas Emission Intensities for Material Inputs to Australian Agriculture, Fisheries and Forestry</t>
    </r>
    <r>
      <rPr>
        <sz val="12"/>
        <color rgb="FFC44340"/>
        <rFont val="Times New Roman"/>
        <family val="1"/>
      </rPr>
      <t>. Use method 2 EF values from your chosen data source.</t>
    </r>
  </si>
  <si>
    <r>
      <t>Q</t>
    </r>
    <r>
      <rPr>
        <b/>
        <vertAlign val="subscript"/>
        <sz val="12"/>
        <color theme="1"/>
        <rFont val="Times New Roman"/>
        <family val="1"/>
      </rPr>
      <t>p</t>
    </r>
    <r>
      <rPr>
        <b/>
        <sz val="12"/>
        <color theme="1"/>
        <rFont val="Times New Roman"/>
        <family val="2"/>
      </rPr>
      <t xml:space="preserve"> (kg)</t>
    </r>
  </si>
  <si>
    <r>
      <t>EF</t>
    </r>
    <r>
      <rPr>
        <b/>
        <vertAlign val="subscript"/>
        <sz val="11"/>
        <color rgb="FF183C1B"/>
        <rFont val="Times New Roman"/>
        <family val="1"/>
      </rPr>
      <t xml:space="preserve">p </t>
    </r>
    <r>
      <rPr>
        <b/>
        <sz val="11"/>
        <color rgb="FF183C1B"/>
        <rFont val="Times New Roman"/>
        <family val="1"/>
      </rPr>
      <t>(Method 1)</t>
    </r>
  </si>
  <si>
    <r>
      <t>EF</t>
    </r>
    <r>
      <rPr>
        <b/>
        <vertAlign val="subscript"/>
        <sz val="11"/>
        <color rgb="FF533001"/>
        <rFont val="Times New Roman"/>
        <family val="1"/>
      </rPr>
      <t>p</t>
    </r>
    <r>
      <rPr>
        <b/>
        <sz val="11"/>
        <color rgb="FF533001"/>
        <rFont val="Times New Roman"/>
        <family val="1"/>
      </rPr>
      <t xml:space="preserve"> (Method 2)</t>
    </r>
  </si>
  <si>
    <t>Grow Media</t>
  </si>
  <si>
    <t>Grow media type</t>
  </si>
  <si>
    <t>m3</t>
  </si>
  <si>
    <t>Coir</t>
  </si>
  <si>
    <t>Peat moss</t>
  </si>
  <si>
    <t>tiny gravel</t>
  </si>
  <si>
    <t>Something</t>
  </si>
  <si>
    <t>EF (Method 2) Unit</t>
  </si>
  <si>
    <t>t / amount unit</t>
  </si>
  <si>
    <t>VARIATION ON SOURCE: In order for result to be in t CO2e, convert known EF kg values to tonnes by multiplying by 10^-3, and added a check for EF unit where EF is not constant.</t>
  </si>
  <si>
    <t>Amount (kg)</t>
  </si>
  <si>
    <t>Miscellaneous Inputs</t>
  </si>
  <si>
    <t>Uncategorised products with no Method 1 EF data</t>
  </si>
  <si>
    <t>Metro</t>
  </si>
  <si>
    <t>Non-metro</t>
  </si>
  <si>
    <t>8.1.1.1-2 Transport fuel combustion</t>
  </si>
  <si>
    <r>
      <t>EC</t>
    </r>
    <r>
      <rPr>
        <b/>
        <vertAlign val="subscript"/>
        <sz val="11"/>
        <color rgb="FF183C1B"/>
        <rFont val="Times New Roman"/>
        <family val="1"/>
      </rPr>
      <t>Trans,q</t>
    </r>
  </si>
  <si>
    <r>
      <t>EF</t>
    </r>
    <r>
      <rPr>
        <b/>
        <vertAlign val="subscript"/>
        <sz val="11"/>
        <color rgb="FF183C1B"/>
        <rFont val="Times New Roman"/>
        <family val="1"/>
      </rPr>
      <t>Trans,1,q,g=CO2</t>
    </r>
  </si>
  <si>
    <r>
      <t>EF</t>
    </r>
    <r>
      <rPr>
        <b/>
        <vertAlign val="subscript"/>
        <sz val="11"/>
        <color rgb="FF183C1B"/>
        <rFont val="Times New Roman"/>
        <family val="1"/>
      </rPr>
      <t>Trans,1,q,g=CH4</t>
    </r>
  </si>
  <si>
    <r>
      <t>EF</t>
    </r>
    <r>
      <rPr>
        <b/>
        <vertAlign val="subscript"/>
        <sz val="11"/>
        <color rgb="FF183C1B"/>
        <rFont val="Times New Roman"/>
        <family val="1"/>
      </rPr>
      <t>Trans,1,q,g=N20</t>
    </r>
  </si>
  <si>
    <r>
      <t>EF</t>
    </r>
    <r>
      <rPr>
        <b/>
        <vertAlign val="subscript"/>
        <sz val="11"/>
        <color rgb="FF183C1B"/>
        <rFont val="Times New Roman"/>
        <family val="1"/>
      </rPr>
      <t>Trans,3,q</t>
    </r>
  </si>
  <si>
    <r>
      <t>Q</t>
    </r>
    <r>
      <rPr>
        <b/>
        <vertAlign val="subscript"/>
        <sz val="11"/>
        <color rgb="FF533001"/>
        <rFont val="Times New Roman"/>
        <family val="1"/>
      </rPr>
      <t>Trans,q</t>
    </r>
  </si>
  <si>
    <t>Q unit</t>
  </si>
  <si>
    <r>
      <t>E</t>
    </r>
    <r>
      <rPr>
        <b/>
        <vertAlign val="subscript"/>
        <sz val="11"/>
        <color rgb="FF183C1B"/>
        <rFont val="Times New Roman"/>
        <family val="1"/>
      </rPr>
      <t>g=CO2</t>
    </r>
  </si>
  <si>
    <r>
      <t>E</t>
    </r>
    <r>
      <rPr>
        <b/>
        <vertAlign val="subscript"/>
        <sz val="11"/>
        <color rgb="FF183C1B"/>
        <rFont val="Times New Roman"/>
        <family val="1"/>
      </rPr>
      <t>g=CH4</t>
    </r>
  </si>
  <si>
    <r>
      <t>E</t>
    </r>
    <r>
      <rPr>
        <b/>
        <vertAlign val="subscript"/>
        <sz val="11"/>
        <color rgb="FF183C1B"/>
        <rFont val="Times New Roman"/>
        <family val="1"/>
      </rPr>
      <t>g=N20</t>
    </r>
  </si>
  <si>
    <r>
      <t>E</t>
    </r>
    <r>
      <rPr>
        <b/>
        <vertAlign val="subscript"/>
        <sz val="11"/>
        <color rgb="FF183C1B"/>
        <rFont val="Times New Roman"/>
        <family val="1"/>
      </rPr>
      <t>3WTT,trans,q</t>
    </r>
  </si>
  <si>
    <t>CO2</t>
  </si>
  <si>
    <t>CH4</t>
  </si>
  <si>
    <t>N2O</t>
  </si>
  <si>
    <t>Scope 3</t>
  </si>
  <si>
    <t>Total sope 1 - All transport fuel combustion</t>
  </si>
  <si>
    <t>8.2.1.1-2 Stationary fuel combustion</t>
  </si>
  <si>
    <t>Emissions for stationary fuel combustion</t>
  </si>
  <si>
    <r>
      <t>EC</t>
    </r>
    <r>
      <rPr>
        <b/>
        <vertAlign val="subscript"/>
        <sz val="11"/>
        <color rgb="FF183C1B"/>
        <rFont val="Times New Roman"/>
        <family val="1"/>
      </rPr>
      <t>SC,q</t>
    </r>
  </si>
  <si>
    <r>
      <t>EF</t>
    </r>
    <r>
      <rPr>
        <b/>
        <vertAlign val="subscript"/>
        <sz val="11"/>
        <color rgb="FF183C1B"/>
        <rFont val="Times New Roman"/>
        <family val="1"/>
      </rPr>
      <t>SC,1,q,g=CO2</t>
    </r>
  </si>
  <si>
    <r>
      <t>EF</t>
    </r>
    <r>
      <rPr>
        <b/>
        <vertAlign val="subscript"/>
        <sz val="11"/>
        <color rgb="FF183C1B"/>
        <rFont val="Times New Roman"/>
        <family val="1"/>
      </rPr>
      <t>SC,1,q,g=CH4</t>
    </r>
  </si>
  <si>
    <r>
      <t>EF</t>
    </r>
    <r>
      <rPr>
        <b/>
        <vertAlign val="subscript"/>
        <sz val="11"/>
        <color rgb="FF183C1B"/>
        <rFont val="Times New Roman"/>
        <family val="1"/>
      </rPr>
      <t>SC,1,q,g=N20</t>
    </r>
  </si>
  <si>
    <r>
      <t>EF</t>
    </r>
    <r>
      <rPr>
        <b/>
        <vertAlign val="subscript"/>
        <sz val="11"/>
        <color rgb="FF183C1B"/>
        <rFont val="Times New Roman"/>
        <family val="1"/>
      </rPr>
      <t>SC,3,q</t>
    </r>
  </si>
  <si>
    <r>
      <t>Q</t>
    </r>
    <r>
      <rPr>
        <b/>
        <vertAlign val="subscript"/>
        <sz val="11"/>
        <color rgb="FF533001"/>
        <rFont val="Times New Roman"/>
        <family val="1"/>
      </rPr>
      <t>SC,q</t>
    </r>
  </si>
  <si>
    <r>
      <t>E</t>
    </r>
    <r>
      <rPr>
        <b/>
        <vertAlign val="subscript"/>
        <sz val="11"/>
        <color rgb="FF183C1B"/>
        <rFont val="Times New Roman"/>
        <family val="1"/>
      </rPr>
      <t>WTT,SC,q=N20</t>
    </r>
  </si>
  <si>
    <t>Total scope 1 - All stationary fuel use</t>
  </si>
  <si>
    <t>A 'Metropolitan' location is:</t>
  </si>
  <si>
    <t>● On or east of the dividing range in NSW (including Canberra and Queanbeyan)</t>
  </si>
  <si>
    <t>● In Melbourne, Brisbane, Adelaide or Perth</t>
  </si>
  <si>
    <t>Is the property in a Metropolitan location?</t>
  </si>
  <si>
    <t>E</t>
  </si>
  <si>
    <r>
      <t>E</t>
    </r>
    <r>
      <rPr>
        <b/>
        <vertAlign val="subscript"/>
        <sz val="14"/>
        <color theme="1" tint="0.24994659260841701"/>
        <rFont val="Times New Roman"/>
        <family val="1"/>
      </rPr>
      <t>3,elec</t>
    </r>
  </si>
  <si>
    <t>Manure sent off-site</t>
  </si>
  <si>
    <t>kg N</t>
  </si>
  <si>
    <t>Production system where manure is anticipated to be deposited</t>
  </si>
  <si>
    <r>
      <t>E</t>
    </r>
    <r>
      <rPr>
        <b/>
        <vertAlign val="subscript"/>
        <sz val="16"/>
        <color theme="1" tint="0.24994659260841701"/>
        <rFont val="Times New Roman"/>
        <family val="1"/>
      </rPr>
      <t>N2O</t>
    </r>
  </si>
  <si>
    <r>
      <t>E</t>
    </r>
    <r>
      <rPr>
        <vertAlign val="subscript"/>
        <sz val="12"/>
        <color theme="1" tint="0.24994659260841701"/>
        <rFont val="Times New Roman"/>
        <family val="1"/>
      </rPr>
      <t>CO2e</t>
    </r>
  </si>
  <si>
    <r>
      <t>M</t>
    </r>
    <r>
      <rPr>
        <b/>
        <vertAlign val="subscript"/>
        <sz val="12"/>
        <color theme="1" tint="0.24994659260841701"/>
        <rFont val="Times New Roman"/>
        <family val="1"/>
      </rPr>
      <t>vol,inorganic,jf</t>
    </r>
  </si>
  <si>
    <t>Irrigation method where manure is anticipated to be deposited</t>
  </si>
  <si>
    <t>Leaching zone</t>
  </si>
  <si>
    <t>NO - Not in leaching zone</t>
  </si>
  <si>
    <t>Meters</t>
  </si>
  <si>
    <t>Average temperature for reporting period</t>
  </si>
  <si>
    <t>Degrees celsius</t>
  </si>
  <si>
    <t>Total rainfall for reporting period</t>
  </si>
  <si>
    <t>Millimetres</t>
  </si>
  <si>
    <t>Potential evapotranspiration for reporting period</t>
  </si>
  <si>
    <t>Number of frost days for reporting period</t>
  </si>
  <si>
    <t>Days</t>
  </si>
  <si>
    <t>MAP:PET ratio</t>
  </si>
  <si>
    <t>Wet or dry climate zone</t>
  </si>
  <si>
    <r>
      <t>E</t>
    </r>
    <r>
      <rPr>
        <b/>
        <vertAlign val="subscript"/>
        <sz val="16"/>
        <color theme="1" tint="0.24994659260841701"/>
        <rFont val="Times New Roman"/>
        <family val="1"/>
      </rPr>
      <t>ad,inorganic</t>
    </r>
  </si>
  <si>
    <r>
      <t>M</t>
    </r>
    <r>
      <rPr>
        <b/>
        <vertAlign val="subscript"/>
        <sz val="12"/>
        <color theme="1" tint="0.24994659260841701"/>
        <rFont val="Times New Roman"/>
        <family val="1"/>
      </rPr>
      <t>leach,inorganic,jf</t>
    </r>
  </si>
  <si>
    <r>
      <t>E</t>
    </r>
    <r>
      <rPr>
        <b/>
        <vertAlign val="subscript"/>
        <sz val="16"/>
        <color theme="1" tint="0.24994659260841701"/>
        <rFont val="Times New Roman"/>
        <family val="1"/>
      </rPr>
      <t>fert,leach</t>
    </r>
  </si>
  <si>
    <t>Input - Waste sent off-site</t>
  </si>
  <si>
    <t>For each relevant livestock type:</t>
  </si>
  <si>
    <r>
      <t>Use the 'Mass of nitrogen applied to soil for scope 3 emissions (MNSoil</t>
    </r>
    <r>
      <rPr>
        <vertAlign val="subscript"/>
        <sz val="12"/>
        <color theme="1" tint="0.24994659260841701"/>
        <rFont val="Times New Roman"/>
        <family val="1"/>
      </rPr>
      <t>scope3</t>
    </r>
    <r>
      <rPr>
        <sz val="12"/>
        <color theme="1" tint="0.24994659260841701"/>
        <rFont val="Times New Roman"/>
        <family val="1"/>
      </rPr>
      <t>)' value calculated in the 'Manure applied to soils' equations (Chapter 4 of VEERG)</t>
    </r>
  </si>
  <si>
    <t>Mass of Nitrogen from manure sent offsite (MNSoil)</t>
  </si>
  <si>
    <t>Constants - Solid Waste</t>
  </si>
  <si>
    <t>Table_WasteTypes_Landfill</t>
  </si>
  <si>
    <t>Table_WasteTypes_Incineration</t>
  </si>
  <si>
    <t>Table_WasteTypes_Composting</t>
  </si>
  <si>
    <t>Table_WasteTypes_Anaerobicdigestion</t>
  </si>
  <si>
    <t>Treatment type t</t>
  </si>
  <si>
    <t>Waste type w</t>
  </si>
  <si>
    <t>EFwt</t>
  </si>
  <si>
    <t>EF source</t>
  </si>
  <si>
    <t>VTMw</t>
  </si>
  <si>
    <t>Treatment type (select)</t>
  </si>
  <si>
    <t>Waste type (select)</t>
  </si>
  <si>
    <t>Treatment location (select)</t>
  </si>
  <si>
    <t>Amount unit (select)</t>
  </si>
  <si>
    <t>Burn all the cardboard</t>
  </si>
  <si>
    <t>Incineration</t>
  </si>
  <si>
    <t>Paper and cardboard</t>
  </si>
  <si>
    <t>Removed and treated off-site</t>
  </si>
  <si>
    <t>cubic metres m3</t>
  </si>
  <si>
    <t>tonnes</t>
  </si>
  <si>
    <t>Landfill</t>
  </si>
  <si>
    <t>Food waste (including animal carcasses, spoiled animal feed or crop)</t>
  </si>
  <si>
    <t>Solid waste treatment - off-site</t>
  </si>
  <si>
    <t>10.1.1-2 Solid waste treatment</t>
  </si>
  <si>
    <t>Table_V_w_t_onsite</t>
  </si>
  <si>
    <t>Volume of solid waste treated on-site (scope 1)</t>
  </si>
  <si>
    <t>Treatment</t>
  </si>
  <si>
    <t>Waste type</t>
  </si>
  <si>
    <t>Vwt</t>
  </si>
  <si>
    <r>
      <t>VTM</t>
    </r>
    <r>
      <rPr>
        <b/>
        <vertAlign val="subscript"/>
        <sz val="11"/>
        <color rgb="FF183C1B"/>
        <rFont val="Times New Roman"/>
        <family val="1"/>
      </rPr>
      <t>w</t>
    </r>
  </si>
  <si>
    <r>
      <t>Q</t>
    </r>
    <r>
      <rPr>
        <b/>
        <vertAlign val="subscript"/>
        <sz val="11"/>
        <color rgb="FF183C1B"/>
        <rFont val="Times New Roman"/>
        <family val="1"/>
      </rPr>
      <t>wt</t>
    </r>
  </si>
  <si>
    <t>Table_V_w_t_offsite</t>
  </si>
  <si>
    <t>Volume of solid waste sent offsite for treatment by third party (scope 3)</t>
  </si>
  <si>
    <t>Table_E_g_onsite</t>
  </si>
  <si>
    <t>Emissions from waste management of waste treated on-site (scope 1)</t>
  </si>
  <si>
    <t>Qmasswt</t>
  </si>
  <si>
    <t>Qvolwt</t>
  </si>
  <si>
    <t>Qwt</t>
  </si>
  <si>
    <t>EFwtg</t>
  </si>
  <si>
    <t>Eg</t>
  </si>
  <si>
    <r>
      <rPr>
        <b/>
        <sz val="16"/>
        <color theme="1" tint="0.24994659260841701"/>
        <rFont val="Times New Roman"/>
        <family val="1"/>
      </rPr>
      <t>E</t>
    </r>
    <r>
      <rPr>
        <b/>
        <vertAlign val="subscript"/>
        <sz val="16"/>
        <color theme="1" tint="0.24994659260841701"/>
        <rFont val="Times New Roman"/>
        <family val="1"/>
      </rPr>
      <t>g</t>
    </r>
  </si>
  <si>
    <t>Table_E_g_offsite</t>
  </si>
  <si>
    <t>Emissions from waste management of waste taken off-site (scope 3)</t>
  </si>
  <si>
    <t>Incoming freight</t>
  </si>
  <si>
    <t>Route</t>
  </si>
  <si>
    <t>Route name</t>
  </si>
  <si>
    <t>Average weight of freight per trip (t)</t>
  </si>
  <si>
    <t>Number of trips taken</t>
  </si>
  <si>
    <t>Freight type (select)</t>
  </si>
  <si>
    <t>Route distance (km)</t>
  </si>
  <si>
    <t>Transport in truck</t>
  </si>
  <si>
    <t>Outgoing freight</t>
  </si>
  <si>
    <t>Melbourne depot to farm depot weekly</t>
  </si>
  <si>
    <t>Farm to bulk handler</t>
  </si>
  <si>
    <t>Fertiliser supplier to farm</t>
  </si>
  <si>
    <t>Rail</t>
  </si>
  <si>
    <r>
      <t>W</t>
    </r>
    <r>
      <rPr>
        <b/>
        <vertAlign val="subscript"/>
        <sz val="11"/>
        <color rgb="FF533001"/>
        <rFont val="Times New Roman"/>
        <family val="1"/>
      </rPr>
      <t>f</t>
    </r>
    <r>
      <rPr>
        <b/>
        <sz val="11"/>
        <color rgb="FF533001"/>
        <rFont val="Times New Roman"/>
        <family val="1"/>
      </rPr>
      <t xml:space="preserve"> (t)</t>
    </r>
  </si>
  <si>
    <r>
      <t>D</t>
    </r>
    <r>
      <rPr>
        <b/>
        <vertAlign val="subscript"/>
        <sz val="11"/>
        <color rgb="FF533001"/>
        <rFont val="Times New Roman"/>
        <family val="1"/>
      </rPr>
      <t>f</t>
    </r>
    <r>
      <rPr>
        <b/>
        <sz val="11"/>
        <color rgb="FF533001"/>
        <rFont val="Times New Roman"/>
        <family val="1"/>
      </rPr>
      <t xml:space="preserve"> (km)</t>
    </r>
  </si>
  <si>
    <r>
      <t>EF</t>
    </r>
    <r>
      <rPr>
        <b/>
        <vertAlign val="superscript"/>
        <sz val="11"/>
        <color rgb="FF183C1B"/>
        <rFont val="Times New Roman"/>
        <family val="1"/>
      </rPr>
      <t>f</t>
    </r>
    <r>
      <rPr>
        <b/>
        <sz val="11"/>
        <color rgb="FF183C1B"/>
        <rFont val="Times New Roman"/>
        <family val="1"/>
      </rPr>
      <t xml:space="preserve"> (Method 1)</t>
    </r>
  </si>
  <si>
    <t>No data</t>
  </si>
  <si>
    <t>E - Outgoing freight (Method 1)</t>
  </si>
  <si>
    <t>E - Outgoing freight (Method 2)</t>
  </si>
  <si>
    <t>E - Incoming freight (Method 1)</t>
  </si>
  <si>
    <t>E - Incoming freight (Method 2)</t>
  </si>
  <si>
    <t>Livestock pharmacy chemicals</t>
  </si>
  <si>
    <t>Textiles</t>
  </si>
  <si>
    <t>Input - Farm inputs</t>
  </si>
  <si>
    <t>Input - Freight</t>
  </si>
  <si>
    <t>Soil ameliorants (lime)</t>
  </si>
  <si>
    <t>15 Scope 3 emissions</t>
  </si>
  <si>
    <t>13: Sope 3 emissions: Overview</t>
  </si>
  <si>
    <t>13: Sope 3 emissions: Results</t>
  </si>
  <si>
    <t>Emissions breakdown</t>
  </si>
  <si>
    <t>💡 NOTE: When there is no Method 2, the Method 2 result are the same as Method 1</t>
  </si>
  <si>
    <t>Scope 1 source</t>
  </si>
  <si>
    <t>CO2-e emissions method 1</t>
  </si>
  <si>
    <t>CO2-e emissions method 2</t>
  </si>
  <si>
    <t>t CO2e</t>
  </si>
  <si>
    <t>Total emissions from purchased livestock</t>
  </si>
  <si>
    <t>VEERG 2026: 15.1.1.1, Equation (1)</t>
  </si>
  <si>
    <t>N_co</t>
  </si>
  <si>
    <t>number of animals purchased in livestock type c from origin o</t>
  </si>
  <si>
    <t>W_co</t>
  </si>
  <si>
    <t>average liveweight of purchased livestock at point of purchase</t>
  </si>
  <si>
    <t>EF_co</t>
  </si>
  <si>
    <t>emission factor per livestock type and origin</t>
  </si>
  <si>
    <t>c</t>
  </si>
  <si>
    <t>livestock type</t>
  </si>
  <si>
    <t>o</t>
  </si>
  <si>
    <t>origin</t>
  </si>
  <si>
    <t>head</t>
  </si>
  <si>
    <t>Input</t>
  </si>
  <si>
    <t>kg/head</t>
  </si>
  <si>
    <t>kg CO2e/kg</t>
  </si>
  <si>
    <t>Constant</t>
  </si>
  <si>
    <t>Emissions from purchased feed</t>
  </si>
  <si>
    <t>VEERG 2026: 15.2.1.1, Equation (1)</t>
  </si>
  <si>
    <t>Q_j</t>
  </si>
  <si>
    <t>quantity of feed type j purchased</t>
  </si>
  <si>
    <t>EF_j</t>
  </si>
  <si>
    <t>emission factor of purchased feed</t>
  </si>
  <si>
    <t>j</t>
  </si>
  <si>
    <t>feed type</t>
  </si>
  <si>
    <t>t</t>
  </si>
  <si>
    <t>Total emissions from purchased mineral supplements</t>
  </si>
  <si>
    <t>VEERG 2026: 15.3.1.1, Equation (1)</t>
  </si>
  <si>
    <t>Q_m</t>
  </si>
  <si>
    <t>total quantity of mineral supplement type m used</t>
  </si>
  <si>
    <t>EF_m</t>
  </si>
  <si>
    <t>emission factor of purchased mineral supplement</t>
  </si>
  <si>
    <t>m</t>
  </si>
  <si>
    <t>mineral supplement type</t>
  </si>
  <si>
    <t>Emission factor for fertiliser product derived from components</t>
  </si>
  <si>
    <t>GAF</t>
  </si>
  <si>
    <t>VARIATION ON SOURCE: This equation is added to calculate an EF value from fertiliser components that can be used in 15.4.1.1 (1)</t>
  </si>
  <si>
    <t>EF_f</t>
  </si>
  <si>
    <t>kg CO2e/kg fertiliser</t>
  </si>
  <si>
    <t>F_cf</t>
  </si>
  <si>
    <t>fraction of component c contained within the inorganic fertiliser f</t>
  </si>
  <si>
    <t>EF_c</t>
  </si>
  <si>
    <t>emission factor for the production of component c</t>
  </si>
  <si>
    <t>fertiliser component</t>
  </si>
  <si>
    <t>f</t>
  </si>
  <si>
    <t>inorganic fertiliser type</t>
  </si>
  <si>
    <t>wt%</t>
  </si>
  <si>
    <t>kg CO2e/kg component</t>
  </si>
  <si>
    <t>Emissions from purchased fertiliser</t>
  </si>
  <si>
    <t>VEERG 2026: 15.4.1.1, Equation (1)</t>
  </si>
  <si>
    <t>TM_jf</t>
  </si>
  <si>
    <t>quantity of inorganic fertiliser type f purchased and applied to production system j</t>
  </si>
  <si>
    <t>emission factor of purchased inorganic fertiliser</t>
  </si>
  <si>
    <t>production system</t>
  </si>
  <si>
    <t>Emissions from purchased fertiliser components</t>
  </si>
  <si>
    <t>VEERG 2026: 15.4.1.1, Equation (2)</t>
  </si>
  <si>
    <t>VARIATION ON SOURCE: removes division by 100 for F_cf, treating F_cf as fraction instead of percent because it is a fraction in scope 1 equations. Convert kg to tonnes by mutiplying by 10^-3.</t>
  </si>
  <si>
    <t>Total emissions from purchased agrichemicals</t>
  </si>
  <si>
    <t>VEERG 2026: 15.5.1.1, Equation (1)</t>
  </si>
  <si>
    <t>Q_h</t>
  </si>
  <si>
    <t>quantity of active ingredients in agrichemical type h purchased and applied to soils</t>
  </si>
  <si>
    <t>EF_h</t>
  </si>
  <si>
    <t>emission factor for purchased agrichemical active ingredient</t>
  </si>
  <si>
    <t>h</t>
  </si>
  <si>
    <t>agrichemical type</t>
  </si>
  <si>
    <t>kg ai</t>
  </si>
  <si>
    <t>kg CO2e/kg ai</t>
  </si>
  <si>
    <t>Embedded emissions for purchased lime</t>
  </si>
  <si>
    <t>VEERG 2026: 15.6.1.1, Equation (1)</t>
  </si>
  <si>
    <t>M_lime</t>
  </si>
  <si>
    <t>total quantity of lime applied to soils</t>
  </si>
  <si>
    <t>EF_l</t>
  </si>
  <si>
    <t>emission factor for purchased lime</t>
  </si>
  <si>
    <t>t CO2e/t</t>
  </si>
  <si>
    <t>Emissions of purchased services and contractor operations</t>
  </si>
  <si>
    <t>VEERG 2026: 15.7.1.1, Equation (1)</t>
  </si>
  <si>
    <t>A_p</t>
  </si>
  <si>
    <t>activity data of the service that was purchased</t>
  </si>
  <si>
    <t>EF_p</t>
  </si>
  <si>
    <t>life cycle emission factor for the purchased service</t>
  </si>
  <si>
    <t>p</t>
  </si>
  <si>
    <t>service type</t>
  </si>
  <si>
    <t>ha or h</t>
  </si>
  <si>
    <t>kg CO2e/ha or kg CO2e/h</t>
  </si>
  <si>
    <t>Embedded emissions from use of packaging materials</t>
  </si>
  <si>
    <t>VEERG 2026: 15.8.1.1, Equation (1)</t>
  </si>
  <si>
    <t>VARIATION ON SOURCE: Changed unit of Q from 'units' to 'kg' as EF data is in kg.</t>
  </si>
  <si>
    <t>Q_p</t>
  </si>
  <si>
    <t>units of packaging type p</t>
  </si>
  <si>
    <t>emission factor for packaging type p</t>
  </si>
  <si>
    <t>packaging type</t>
  </si>
  <si>
    <t>units</t>
  </si>
  <si>
    <t>kg CO2e/unit</t>
  </si>
  <si>
    <t>Embedded emissions from use of grow media products</t>
  </si>
  <si>
    <t>VEERG 2026: 15.9.1.1, Equation (1)</t>
  </si>
  <si>
    <t>Q_g</t>
  </si>
  <si>
    <t>total quantity of grow media type g</t>
  </si>
  <si>
    <t>EF_g</t>
  </si>
  <si>
    <t>emission factor for grow media type g</t>
  </si>
  <si>
    <t>g</t>
  </si>
  <si>
    <t>grow media type</t>
  </si>
  <si>
    <t>kg or m3</t>
  </si>
  <si>
    <t>kg CO2e/kg or kg CO2e/m3</t>
  </si>
  <si>
    <t>Other purchased goods and services generic estimate</t>
  </si>
  <si>
    <t>VEERG 2026: 15.10, generic placeholder equation</t>
  </si>
  <si>
    <t>emissions</t>
  </si>
  <si>
    <t>activity_data</t>
  </si>
  <si>
    <t>measured activity for the purchased good or service</t>
  </si>
  <si>
    <t>emission_factor</t>
  </si>
  <si>
    <t>lifecycle emissions per unit of activity</t>
  </si>
  <si>
    <t>varies</t>
  </si>
  <si>
    <t>Total upstream emissions from scope 1 fuel consumption</t>
  </si>
  <si>
    <t>VEERG 2026: 15.11.1.1, Equation (1)</t>
  </si>
  <si>
    <t>E_WTTtransq</t>
  </si>
  <si>
    <t>upstream emissions from scope 1 transport fuel use</t>
  </si>
  <si>
    <t>E_WTTSCq</t>
  </si>
  <si>
    <t>upstream emissions from scope 1 stationary combustion fuel use</t>
  </si>
  <si>
    <t>Calculated by 15.11.1.1 (2)</t>
  </si>
  <si>
    <t>Calculated by 15.11.1.1 (3)</t>
  </si>
  <si>
    <t>Scope 3 emissions from purchased electricity location based</t>
  </si>
  <si>
    <t>VEERG 2026: 15.12.1.1, Equation (1)</t>
  </si>
  <si>
    <t>E_3elec</t>
  </si>
  <si>
    <t>Q_elec</t>
  </si>
  <si>
    <t>amount of electricity purchased from the grid</t>
  </si>
  <si>
    <t>EF_3elec</t>
  </si>
  <si>
    <t>scope 3 emission factor for purchased electricity</t>
  </si>
  <si>
    <t>grid electricity was purchased from</t>
  </si>
  <si>
    <t>kg CO2e/kWh</t>
  </si>
  <si>
    <t>Scope 3 emissions from purchased electricity market based</t>
  </si>
  <si>
    <t>VEERG 2026: 15.12.1.2, Equation (1)</t>
  </si>
  <si>
    <t>VARIATION ON SOURCE: In order to convert megawatt hours to kilowatt hours, the REC_surrendered and REC_onsite variables are multiplied by 10^3 instead of 10^-3.</t>
  </si>
  <si>
    <t>RPP</t>
  </si>
  <si>
    <t>renewable power percentage under LRET for the applicable period</t>
  </si>
  <si>
    <t>JRPP</t>
  </si>
  <si>
    <t>jurisdictional renewable power percentage for the applicable period</t>
  </si>
  <si>
    <t>REC_surrendered</t>
  </si>
  <si>
    <t>eligible renewable energy certificates voluntarily surrendered</t>
  </si>
  <si>
    <t>REC_onsite</t>
  </si>
  <si>
    <t>eligible renewable energy certificates issued for onsite generated electricity</t>
  </si>
  <si>
    <t>EF_RMF3elec</t>
  </si>
  <si>
    <t>scope 3 residual mix emission factor for electricity</t>
  </si>
  <si>
    <t>i</t>
  </si>
  <si>
    <t>state</t>
  </si>
  <si>
    <t>fraction</t>
  </si>
  <si>
    <t>Emissions from manure sent off site applied to soils in another farming system or enterprise</t>
  </si>
  <si>
    <t>VEERG 2026: 15.13.1.1, Equation (1)</t>
  </si>
  <si>
    <t>t N2O</t>
  </si>
  <si>
    <t>E_N2O</t>
  </si>
  <si>
    <t>direct nitrous oxide emissions from application of manure to soils outside of scope 1 boundary</t>
  </si>
  <si>
    <t>E_ad</t>
  </si>
  <si>
    <t>nitrous oxide emissions from atmospheric deposition of manure to soils</t>
  </si>
  <si>
    <t>E_leach</t>
  </si>
  <si>
    <t>nitrous oxide emissions from nitrogen leaching and runoff of manure to soils</t>
  </si>
  <si>
    <t>Calculated</t>
  </si>
  <si>
    <t>Emissions from solid waste sent to a treatment facility</t>
  </si>
  <si>
    <t>VEERG 2026: 15.13.1.3</t>
  </si>
  <si>
    <t>Embedded emissions from upstream freight</t>
  </si>
  <si>
    <t>VEERG 2026: 15.14.1.1, Equation (1)</t>
  </si>
  <si>
    <t>W_f</t>
  </si>
  <si>
    <t>total mass of goods transported per freight type f</t>
  </si>
  <si>
    <t>D_f</t>
  </si>
  <si>
    <t>total distance transported per freight type f</t>
  </si>
  <si>
    <t>emission factor for freight type f</t>
  </si>
  <si>
    <t>freight type</t>
  </si>
  <si>
    <t>km</t>
  </si>
  <si>
    <t>t CO2e/(t km)</t>
  </si>
  <si>
    <t>Mass of waste from waste volume</t>
  </si>
  <si>
    <t>VEERG 2026: 10.1.1.1, Equation (2)</t>
  </si>
  <si>
    <t>Q_wt</t>
  </si>
  <si>
    <t>V_wt</t>
  </si>
  <si>
    <t>volume of solid waste type w being sent to treatment facility t</t>
  </si>
  <si>
    <t>VTM_w</t>
  </si>
  <si>
    <t>conversion factor of volume to mass for waste type w</t>
  </si>
  <si>
    <t>w</t>
  </si>
  <si>
    <t>waste type</t>
  </si>
  <si>
    <t>treatment facility</t>
  </si>
  <si>
    <t>t/m3</t>
  </si>
  <si>
    <t>Emissions from waste management by greenhouse gas</t>
  </si>
  <si>
    <t>VEERG 2026: 10.1.1.1, Equation (1)</t>
  </si>
  <si>
    <t>VARIATION ON SOURCE: Added Q_volwt and Q_masswt variables to clearly track input or calculated Q values</t>
  </si>
  <si>
    <t>E_g</t>
  </si>
  <si>
    <t>quantity of solid waste of type w being sent to treatment facility t, on a wet weight basis</t>
  </si>
  <si>
    <t>EF_wtg</t>
  </si>
  <si>
    <t>emission factor for greenhouse gas g for the management of waste at treatment facility t</t>
  </si>
  <si>
    <t>greenhouse gas</t>
  </si>
  <si>
    <t>Q_volwt</t>
  </si>
  <si>
    <t>quantity of sold waste input as volume and converted to tonnes</t>
  </si>
  <si>
    <t>Q_masswt</t>
  </si>
  <si>
    <t>quantity of solid waste input as mass</t>
  </si>
  <si>
    <t>Sum of Q_volwt and Q_masswt</t>
  </si>
  <si>
    <t>Calculated from 10.1.1.1 (2)</t>
  </si>
  <si>
    <t>Nitrous oxide emissions from the application of all organic fertiliser types f to all production systems j</t>
  </si>
  <si>
    <t>VEERG 2026: 5.2.1.1, Equation (1)</t>
  </si>
  <si>
    <t>MNSoil_jf</t>
  </si>
  <si>
    <t>mass of nitrogen in organic fertiliser type f applied to production system j</t>
  </si>
  <si>
    <t>EF_N2Oi</t>
  </si>
  <si>
    <t>emission factor for direct nitrous oxide emissions from organic fertiliser applied to soils and aquatic systems in climate zone i</t>
  </si>
  <si>
    <t>C_N2O</t>
  </si>
  <si>
    <t>factor to convert elemental mass of nitrous oxide to molecular mass</t>
  </si>
  <si>
    <t>Calculated from 5.2.1.1 (2)</t>
  </si>
  <si>
    <t>kg N2O-N/kg N</t>
  </si>
  <si>
    <t>Lookup</t>
  </si>
  <si>
    <t>Mass of nitrogen volatilised from organic fertiliser applied to production system</t>
  </si>
  <si>
    <t>VEERG 2026: 5.4.1.3, Equation (2)</t>
  </si>
  <si>
    <t>M_volorganicjf</t>
  </si>
  <si>
    <t>FracGASM_soil</t>
  </si>
  <si>
    <t>fraction of organic fertiliser N that volatilises</t>
  </si>
  <si>
    <t>(kg NH3-N + NOx-N)/kg N</t>
  </si>
  <si>
    <t>Nitrous oxide emissions from atmospheric deposition of all organic fertiliser types f and all production systems j</t>
  </si>
  <si>
    <t>VEERG 2026: 5.4.1.3, Equation (1)</t>
  </si>
  <si>
    <t>E_adorganic</t>
  </si>
  <si>
    <t>mass of nitrogen volatilised from organic fertiliser applied to production system</t>
  </si>
  <si>
    <t>EF_N2Oj</t>
  </si>
  <si>
    <t>emission factor for atmospheric deposition in production system j</t>
  </si>
  <si>
    <t>ir</t>
  </si>
  <si>
    <t>irrigation method</t>
  </si>
  <si>
    <t>r</t>
  </si>
  <si>
    <t>rainfall region</t>
  </si>
  <si>
    <t>Calculated from 5.4.1.3 (2)</t>
  </si>
  <si>
    <t>Mass of nitrogen lost through leaching and runoff from organic fertiliser application in production system j</t>
  </si>
  <si>
    <t>VEERG 2026: 5.5, Equation (3)</t>
  </si>
  <si>
    <t>M_leachorganicj</t>
  </si>
  <si>
    <t>mass of nitrogen in organic fertiliser</t>
  </si>
  <si>
    <t>FracWETj</t>
  </si>
  <si>
    <t>fraction of N available for leaching and runoff</t>
  </si>
  <si>
    <t>FracLEACH</t>
  </si>
  <si>
    <t>fraction of N that is lost through leaching and runoff</t>
  </si>
  <si>
    <t>z</t>
  </si>
  <si>
    <t>location in leaching zone</t>
  </si>
  <si>
    <t>Nitrous oxide emissions from nitrogen leaching and runoff from the application of all fertilisers across all production systems j</t>
  </si>
  <si>
    <t>VEERG 2026: 5.5, Equation (1)</t>
  </si>
  <si>
    <t>E_fertleach</t>
  </si>
  <si>
    <t>M_leachinorganicj</t>
  </si>
  <si>
    <t>mass of nitrogen lost through leaching and runoff from inorganic fertiliser application in production system j</t>
  </si>
  <si>
    <t>mass of nitrogen lost through leaching and runoff from organic fertiliser application</t>
  </si>
  <si>
    <t>EF_leach</t>
  </si>
  <si>
    <t>emission factor for nitrogen leaching and runoff</t>
  </si>
  <si>
    <t>Calculated from 5.5.1.1 (2)</t>
  </si>
  <si>
    <t>Calculated from 5.5.1.1 (3)</t>
  </si>
  <si>
    <t>Emissions for each GHG from the combustion of fuels for transport energy purposes</t>
  </si>
  <si>
    <t>VEERG 2026: 8.1.1.1, Equation (1)</t>
  </si>
  <si>
    <t>Upstream emissions from scope 1 fuel use for transport purposes</t>
  </si>
  <si>
    <t>VEERG 2026: 15.11.1.1, Equation (2)</t>
  </si>
  <si>
    <t>t CO2-e</t>
  </si>
  <si>
    <t>Q_Transtq</t>
  </si>
  <si>
    <t>Amount of fuel type q combusted for transport energy purposes</t>
  </si>
  <si>
    <t>EC_Transq</t>
  </si>
  <si>
    <t>Energy content factor for transport energy purposes</t>
  </si>
  <si>
    <t>EF_Trans1tqg</t>
  </si>
  <si>
    <t>Scope 1 emission factor for transport energy purposes for each greenhouse gas</t>
  </si>
  <si>
    <t>q</t>
  </si>
  <si>
    <t>Trans</t>
  </si>
  <si>
    <t>Transport combustion</t>
  </si>
  <si>
    <t>Greenhouse gas</t>
  </si>
  <si>
    <t>Scope 1</t>
  </si>
  <si>
    <t>Varies based on fuel type: kL, m3, GJ</t>
  </si>
  <si>
    <t>GJ / unit of fuel</t>
  </si>
  <si>
    <t>kg CO2e / GJ</t>
  </si>
  <si>
    <t>Q_Transq</t>
  </si>
  <si>
    <t>amount of fuel q combusted for transport energy purposes</t>
  </si>
  <si>
    <t>energy content factor for transport energy purposes</t>
  </si>
  <si>
    <t>EF_Trans3q</t>
  </si>
  <si>
    <t>scope 3 emission factor for transport energy purposes</t>
  </si>
  <si>
    <t>GJ/kL or GJ/m3</t>
  </si>
  <si>
    <t>kg CO2e/GJ</t>
  </si>
  <si>
    <t>Emissions for each GHG from the stationary combustion of fuels</t>
  </si>
  <si>
    <t>VEERG 2026: 8.2.1.1, Equation (1)</t>
  </si>
  <si>
    <t>Upstream emissions from scope 1 stationary combustion fuel use</t>
  </si>
  <si>
    <t>VEERG 2026: 15.11.1.1, Equation (3)</t>
  </si>
  <si>
    <t>VARIATION ON SOURCE: Added 'state' and 'metro/non-metro' arguments as gaseous scope 3 EFs are state and metro/non-metro location-based.</t>
  </si>
  <si>
    <t>Q_SCq</t>
  </si>
  <si>
    <t>Amount of fuel type q used for stationary combustion operations</t>
  </si>
  <si>
    <t>EC_SCq</t>
  </si>
  <si>
    <t>Energy content factor for stationary combustion operations</t>
  </si>
  <si>
    <t>EF_SC1qg</t>
  </si>
  <si>
    <t>Scope 1 emission factor for stationary combustion for each greenhouse gas</t>
  </si>
  <si>
    <t>SC</t>
  </si>
  <si>
    <t>Stationary combustion</t>
  </si>
  <si>
    <t>amount of fuel q used for stationary combustion operations</t>
  </si>
  <si>
    <t>energy content factor for stationary combustion operations</t>
  </si>
  <si>
    <t>EF_SC3q</t>
  </si>
  <si>
    <t>scope 3 emission factor for stationary combustion operations</t>
  </si>
  <si>
    <t>metropolitan/non-metropolitan location</t>
  </si>
  <si>
    <t>GJ/kL</t>
  </si>
  <si>
    <t>kg liveweight</t>
  </si>
  <si>
    <t>at market</t>
  </si>
  <si>
    <t>Cattle, weaners</t>
  </si>
  <si>
    <t>Chickens</t>
  </si>
  <si>
    <t>Dairy cows</t>
  </si>
  <si>
    <t>Sheep, for mutton</t>
  </si>
  <si>
    <t>Sheep, for prime lamb</t>
  </si>
  <si>
    <t>at manufacturer</t>
  </si>
  <si>
    <t>Pharmacy chemicals</t>
  </si>
  <si>
    <t>p (head)</t>
  </si>
  <si>
    <t>Aquaculture feed</t>
  </si>
  <si>
    <t>Grain</t>
  </si>
  <si>
    <t>Barley grain</t>
  </si>
  <si>
    <t>Sorghum grain</t>
  </si>
  <si>
    <t>Wheat grain</t>
  </si>
  <si>
    <t>Hay</t>
  </si>
  <si>
    <t>Cereal silage</t>
  </si>
  <si>
    <t>Maize silage</t>
  </si>
  <si>
    <t>Meal</t>
  </si>
  <si>
    <t>Canola meal</t>
  </si>
  <si>
    <t>Meat meal</t>
  </si>
  <si>
    <t>Wheat bran</t>
  </si>
  <si>
    <t>Other</t>
  </si>
  <si>
    <t>Bentonite</t>
  </si>
  <si>
    <t>Cotton seed</t>
  </si>
  <si>
    <t>Mixed rations</t>
  </si>
  <si>
    <t>Feed for chickens</t>
  </si>
  <si>
    <t>Feed for dairy calves</t>
  </si>
  <si>
    <t>Feed for dairy cows</t>
  </si>
  <si>
    <t>Feed for pigs</t>
  </si>
  <si>
    <t>Lick block, dry season mix</t>
  </si>
  <si>
    <t>Lick block, mineral</t>
  </si>
  <si>
    <t>Lick block, weaner</t>
  </si>
  <si>
    <t>Ammonia, AU market mix</t>
  </si>
  <si>
    <t>Ammonia, Canada</t>
  </si>
  <si>
    <t>Ammonia, China</t>
  </si>
  <si>
    <t>China</t>
  </si>
  <si>
    <t>Ammonia, Yemen</t>
  </si>
  <si>
    <t>Yemen</t>
  </si>
  <si>
    <t>Ammonium nitrate, AU market mix</t>
  </si>
  <si>
    <t>Calcium ammonium nitrate, AU market mix</t>
  </si>
  <si>
    <t>Diammonium phosphate, AU market mix</t>
  </si>
  <si>
    <t>Double superphosphate, AU market mix</t>
  </si>
  <si>
    <t>Monoammonium phosphate, AU market mix</t>
  </si>
  <si>
    <t>Muriate of potash, AU market mix</t>
  </si>
  <si>
    <t>Nitrogen from ammonia, AU market mix</t>
  </si>
  <si>
    <t>Nitrogen from fertilizer, AU market mix</t>
  </si>
  <si>
    <t>Nitrogen from nitrate fertilizer, AU market mix</t>
  </si>
  <si>
    <t>Phosphorus from fertilizer, AU market mix</t>
  </si>
  <si>
    <t>Potassium from fertilizer, AU market mix</t>
  </si>
  <si>
    <t>Single superphosphate, AU market mix</t>
  </si>
  <si>
    <t>Sulfur from fertilizer, AU market mix</t>
  </si>
  <si>
    <t>Ammonium sulphate, AU market mix</t>
  </si>
  <si>
    <t>Urea ammonium nitrate, AU market mix</t>
  </si>
  <si>
    <t>kg P</t>
  </si>
  <si>
    <t>kg K</t>
  </si>
  <si>
    <t>kg S</t>
  </si>
  <si>
    <t>kg Zn</t>
  </si>
  <si>
    <t>Urea, AU market mix</t>
  </si>
  <si>
    <t>Urea, Canada</t>
  </si>
  <si>
    <t>Urea, China</t>
  </si>
  <si>
    <t>Urea, Yemen</t>
  </si>
  <si>
    <t>Zinc from fertilizer</t>
  </si>
  <si>
    <t>Animal ear tags (large)</t>
  </si>
  <si>
    <t>Animal ear tags (small)</t>
  </si>
  <si>
    <t>Barley grain (for seed)</t>
  </si>
  <si>
    <t>Maize grain (for seed)</t>
  </si>
  <si>
    <t>Nylon netting</t>
  </si>
  <si>
    <t>Oat grain (for seed)</t>
  </si>
  <si>
    <t>Sorghum grain (for seed)</t>
  </si>
  <si>
    <t>Wheat grain (for seed)</t>
  </si>
  <si>
    <t>Corrugated board</t>
  </si>
  <si>
    <t>Plastic crate polypropylene</t>
  </si>
  <si>
    <t>Plastic film LDPE</t>
  </si>
  <si>
    <t>kg AI</t>
  </si>
  <si>
    <t>Atrazine</t>
  </si>
  <si>
    <t>Diuron</t>
  </si>
  <si>
    <t>Mancozeb</t>
  </si>
  <si>
    <t>MCPA</t>
  </si>
  <si>
    <t>Metsulfuron-methyl</t>
  </si>
  <si>
    <t>Tri-allate</t>
  </si>
  <si>
    <t>Dolomite</t>
  </si>
  <si>
    <t>Gypsum</t>
  </si>
  <si>
    <t>Limestone (crushed)</t>
  </si>
  <si>
    <t>VARIATION ON SOURCE: Fixed typo 'paper and carboard' to 'paper and cardboard'. Added EF source column with specific references.</t>
  </si>
  <si>
    <t>Emission factors for wastes disposed of at different treatment facilities</t>
  </si>
  <si>
    <t>VEERG 2026: Table A.4.1.1</t>
  </si>
  <si>
    <t>t CO2e / t</t>
  </si>
  <si>
    <t>NGAF 2025 table 15</t>
  </si>
  <si>
    <t>Green waste (including crop residues or prunnings)</t>
  </si>
  <si>
    <t>Wood</t>
  </si>
  <si>
    <t>Sludge</t>
  </si>
  <si>
    <t>Rubber and leather</t>
  </si>
  <si>
    <t>Inert waste (including concrete, metal, plastic or glass)</t>
  </si>
  <si>
    <t>Municipal solid waste</t>
  </si>
  <si>
    <t>Commercial and industrial waste</t>
  </si>
  <si>
    <t>Construction and demolition waste</t>
  </si>
  <si>
    <t>Food waste, green waste, wood, sludge</t>
  </si>
  <si>
    <t>Inert Waste</t>
  </si>
  <si>
    <t>Municipal Solid Waste</t>
  </si>
  <si>
    <t>NGAF 2025 Table 18</t>
  </si>
  <si>
    <t>Industrial Waste</t>
  </si>
  <si>
    <t>Composting</t>
  </si>
  <si>
    <t>All organic waste</t>
  </si>
  <si>
    <t>NGAF 2025 Table 19</t>
  </si>
  <si>
    <t>Anaerobic digestion</t>
  </si>
  <si>
    <t>Volume to mass conversion factor for various waste types</t>
  </si>
  <si>
    <t>VEERG 2026: Table A.4.1.2</t>
  </si>
  <si>
    <t>VARIATION OF SOURCE: Changed column header CFw to VTMw to match title variable.</t>
  </si>
  <si>
    <t>Green waste (including crop residues or prunings)</t>
  </si>
  <si>
    <t>Fuel scope 1 and 3 emission factors - Transport</t>
  </si>
  <si>
    <t>Direct (scope 1) and indirect (scope 3) emission factors for the consumption of transport fuels in different transport equipment</t>
  </si>
  <si>
    <t>Australian National Greenhouse Accounts Factors 2025 - Table 9</t>
  </si>
  <si>
    <t>Gasoline</t>
  </si>
  <si>
    <t>kl</t>
  </si>
  <si>
    <t>Diesel oil</t>
  </si>
  <si>
    <t>NE</t>
  </si>
  <si>
    <t>Light duty vehicles</t>
  </si>
  <si>
    <t>Compressed natural gas</t>
  </si>
  <si>
    <t>Liquefied natural gas</t>
  </si>
  <si>
    <t>Heavy duty vehicles</t>
  </si>
  <si>
    <t>Diesel oil - Euro iv or higher</t>
  </si>
  <si>
    <t>Diesel oil - Euro iii</t>
  </si>
  <si>
    <t>Diesel oil - Euro i</t>
  </si>
  <si>
    <t>Gasoline for use as fuel in an aircraft</t>
  </si>
  <si>
    <t>Kerosene for use as fuel in an aircraft</t>
  </si>
  <si>
    <t>Fuel Oil</t>
  </si>
  <si>
    <t>Fuel scope 1 and 3 emission factors - Off-road equipment and vessels</t>
  </si>
  <si>
    <t>VEERG 2026: Table A.4.2.1</t>
  </si>
  <si>
    <t>Vessel</t>
  </si>
  <si>
    <t>Fuel scope 1 and 3 emission factors - Stationary liquid fuels</t>
  </si>
  <si>
    <t>Direct (Scope 1) and indirect (scope 3) emission factors for the consumption of liquid fuels, including certain petroleum based products for stationary energy purposes.</t>
  </si>
  <si>
    <t>Australian National Greenhouse Accounts Factors 2025 - Table 8</t>
  </si>
  <si>
    <t>Petroleum based oils (other than petroleum based oil used as fuel), e.g. lubricants</t>
  </si>
  <si>
    <t>Petroleum based greases</t>
  </si>
  <si>
    <t>Crude oil including crude oil condensates</t>
  </si>
  <si>
    <t>Other natural gas liquids</t>
  </si>
  <si>
    <t>Automotive gasoline / petrol (other than for use as fuel in an aircraft)</t>
  </si>
  <si>
    <t>Aviation gasoline</t>
  </si>
  <si>
    <t>Kerosene (other than for use as fuel in an aircraft)</t>
  </si>
  <si>
    <t>Aviation turbine fuel / kerosene</t>
  </si>
  <si>
    <t>Heating oil</t>
  </si>
  <si>
    <t>Liquefied aromatic hydrocarbons</t>
  </si>
  <si>
    <t>Solvents: mineral turpentine or white spirits</t>
  </si>
  <si>
    <t>Naphtha</t>
  </si>
  <si>
    <t>Petroleum coke</t>
  </si>
  <si>
    <t>Refinery gas and liquids</t>
  </si>
  <si>
    <t>Refinery coke</t>
  </si>
  <si>
    <t>Petroleum based products other than mentioned in the items above</t>
  </si>
  <si>
    <t>Ethanol for use as a fuel in an internal combustion engine</t>
  </si>
  <si>
    <t>Biofuels other than those mentioned in the items above and below</t>
  </si>
  <si>
    <t>Fuel scope 1 emission factors - Stationary gaseous fuels</t>
  </si>
  <si>
    <t xml:space="preserve">Direct (Scope 1) emission factors for the consumption of gaseous fuels including liquefied natural gas  </t>
  </si>
  <si>
    <t>Australian National Greenhouse Accounts Factors 2025 - Table 5</t>
  </si>
  <si>
    <t>Natural gas distributed in a pipeline</t>
  </si>
  <si>
    <t>Coal seam methane that is captured for combustion</t>
  </si>
  <si>
    <t>Coal mine waste gas that is captured for combustion</t>
  </si>
  <si>
    <t>Compressed natural gas(reverting to standard conditions)</t>
  </si>
  <si>
    <t>Unprocessed natural gas</t>
  </si>
  <si>
    <t>Ethane</t>
  </si>
  <si>
    <t>Coke oven gas</t>
  </si>
  <si>
    <t>Blast furnace gas</t>
  </si>
  <si>
    <t>Town gas</t>
  </si>
  <si>
    <t>Gaseous fossil fuels other than those mentioned in the items above</t>
  </si>
  <si>
    <t>Landfill biogas that is captured for combustion (methane only)</t>
  </si>
  <si>
    <t>Sludge biogas that is captured for combustion (methane only)</t>
  </si>
  <si>
    <t>A biogas that is captured for combustion, other than those mentioned in the items above</t>
  </si>
  <si>
    <t>Biomethane</t>
  </si>
  <si>
    <t>Hydrogen</t>
  </si>
  <si>
    <t>Natural gas distributed in a pipeline - Gigajoules</t>
  </si>
  <si>
    <t>Town gas - Gigajoules</t>
  </si>
  <si>
    <t>Fuel scope 3 emission factors - Stationary gaseous fuels</t>
  </si>
  <si>
    <t>Indirect (Scope 3) emission factors for the consumption of natural gas.</t>
  </si>
  <si>
    <t>Australian National Greenhouse Accounts Factors 2025 - Table 6</t>
  </si>
  <si>
    <t>New South Wales</t>
  </si>
  <si>
    <t>-</t>
  </si>
  <si>
    <t>Column1</t>
  </si>
  <si>
    <t>As Scope 3 factors are calculated at the point where natural gas is delivered to end users, it is necessary to calculate consumption at each of the load centres.</t>
  </si>
  <si>
    <t>Gas reaches end users either from the metro distribution networks or direct from the high - pressure distribution pipelines.</t>
  </si>
  <si>
    <t>Households and commercial users tend to be served by the former, and electricity generators and large industrial plants from the latter.</t>
  </si>
  <si>
    <t>Metro is defined as located on or east of the dividing range in NSW, including Canberra and Queanbeyan, Melbourne, Brisbane, Adelaide or Perth.</t>
  </si>
  <si>
    <t>Otherwise, the non - metro factor should be used.</t>
  </si>
  <si>
    <t>Factors are calculated for all natural gas distributed in a pipeline which may include coal seam methane.</t>
  </si>
  <si>
    <t>Table 6 is not applicable to ethane. See Table 7 Indirect (Scope 3) emissions from the consumption of ethane.</t>
  </si>
  <si>
    <t>C = Confidential. Scope 3 emission factors for Tasmania and the Northern Territory are not available due to confidentiality constraints that arise</t>
  </si>
  <si>
    <t>from the use of a limited number of NGER data inputs. It is suggested that for Tasmania the use of the Victorian emission factors is appropriate,</t>
  </si>
  <si>
    <t>while for Northern Territory the use of the Western Australian emission factors is appropriate.</t>
  </si>
  <si>
    <t>Scope 3 emission factors do not include fugitive emission leakage from low pressure natural gas distribution pipeline networks while those from high pressure</t>
  </si>
  <si>
    <t>gas networks are considered negligible.</t>
  </si>
  <si>
    <t>Victoria</t>
  </si>
  <si>
    <t>Queensland</t>
  </si>
  <si>
    <t>South Australia</t>
  </si>
  <si>
    <t>Western Australia</t>
  </si>
  <si>
    <t>Tasmania</t>
  </si>
  <si>
    <t>Northern Territory</t>
  </si>
  <si>
    <t>Poultry - Diet properties</t>
  </si>
  <si>
    <t>VEERG 2026: Table A.1.7.1: Poultry - Diet properties</t>
  </si>
  <si>
    <t>Dry matter intake (kg/head/day)</t>
  </si>
  <si>
    <t>Dry matter digestibility</t>
  </si>
  <si>
    <t>Crude protein</t>
  </si>
  <si>
    <t>Nitrogen retention rate</t>
  </si>
  <si>
    <t>Manure ash</t>
  </si>
  <si>
    <t>Poultry - Methane emissions potential per class</t>
  </si>
  <si>
    <t>VEERG 2026: 4.6.2.3 CONSTANT: Poultry - Methane emissions potential per class</t>
  </si>
  <si>
    <t>Meat chickens</t>
  </si>
  <si>
    <t>Free range</t>
  </si>
  <si>
    <t>Barn</t>
  </si>
  <si>
    <t>Cage</t>
  </si>
  <si>
    <t>Poultry - MCFs</t>
  </si>
  <si>
    <t>VEERG 2026: Table A.1.7.4: Poultry - MCFs</t>
  </si>
  <si>
    <t>VARIATION ON SOURCE:</t>
  </si>
  <si>
    <t>Split NSW and ACT into separate states. Split QLD and NT into separate states.</t>
  </si>
  <si>
    <t>Included values for each state when 'All states' value is given.</t>
  </si>
  <si>
    <t>Added 'NIR definition' column with MMS names that match NIR definitions.</t>
  </si>
  <si>
    <t>Duplicated 'Poultry manure without litter' row for NIR MMS 'Belt manure removal' and 'Manure stored in house'</t>
  </si>
  <si>
    <t>Poultry manure with litter</t>
  </si>
  <si>
    <t>Poultry manure without litter</t>
  </si>
  <si>
    <t>Anaerobic digester / Covered pond</t>
  </si>
  <si>
    <t>Direct application to soil</t>
  </si>
  <si>
    <t>Poultry - Fraction of volatile solids lost in the primary MMS</t>
  </si>
  <si>
    <t>VEERG 2026: 4.6.2.3 CONSTANT</t>
  </si>
  <si>
    <t>VARIATION ON SOURCE: Table generated from line items. Added 'NIR definition column'.</t>
  </si>
  <si>
    <t>Poultry manure without litter - stored in house</t>
  </si>
  <si>
    <t>Poultry manure without litter - belt removal</t>
  </si>
  <si>
    <t>Poultry - Fraction of N volatilised by MMS ((kg NH3-N + NOx-N)/kgN) (FracGASMmT)</t>
  </si>
  <si>
    <t>VEERG 2026: Table A.1.7.2</t>
  </si>
  <si>
    <t>VARIATION ON SOURCE: Added 'NIR definition column'.</t>
  </si>
  <si>
    <t>Poultry manure with litter (housing)</t>
  </si>
  <si>
    <t>Poultry manure without litter (housing) Belt manure removal</t>
  </si>
  <si>
    <t>Poultry manure without litter (housing) Manure stored in house under cages or slat</t>
  </si>
  <si>
    <t>Solid storage (stockpile)</t>
  </si>
  <si>
    <t>Anaerobic digester / covered pond</t>
  </si>
  <si>
    <t>Poultry - Nitrous oxide EFs by MMS (kgN2O-N/kgN) (EFmT)</t>
  </si>
  <si>
    <t>VEERG 2026: Table A.1.7.3</t>
  </si>
  <si>
    <t>VARIATION ON SOURCE: Added 'NIR definition column'. Duplicated 'Poultry manure without litter' row for NIR MMS 'Belt manure removal' and 'Manure stored in house'.</t>
  </si>
  <si>
    <t>Poultry manure without litter (housing)</t>
  </si>
  <si>
    <t>Pasture range and paddock (free range)</t>
  </si>
  <si>
    <t>Fraction of N that is lost through leaching and runoff</t>
  </si>
  <si>
    <t>VEERG 2026: 4.6.2.3 CONSTANTS</t>
  </si>
  <si>
    <t>Frac_LEACH_MS</t>
  </si>
  <si>
    <t>Fraction of nitrogen volatilised from urine and faeces deposited on pasture</t>
  </si>
  <si>
    <t>VARIATION ON SOURCE: This constant is not documented in the draft, used the same value of 0.21 as all other livestock.</t>
  </si>
  <si>
    <t>Poultry - Liveweights (Wco) (kg)</t>
  </si>
  <si>
    <t>VEERG 2026: Table A.1.7.5</t>
  </si>
  <si>
    <t>Hen &gt;/=1 yr</t>
  </si>
  <si>
    <t>Broilers</t>
  </si>
  <si>
    <t>Fraction of nitrogen lost through leaching and runoff for drylot MMS</t>
  </si>
  <si>
    <t>VEERG 2026: 4.5.2.3 CONSTANT</t>
  </si>
  <si>
    <t>VARIATION ON SOURCE: Text refers to 'solid storage' MMS, but equation refers to 'drylot' MMS.</t>
  </si>
  <si>
    <t>FracLEACH_MS</t>
  </si>
  <si>
    <t>Emissions potential of methane per kilogram of volatile solids</t>
  </si>
  <si>
    <t>IPCC (2019), Chapter 10 [4]</t>
  </si>
  <si>
    <t>m3 CH4 / kg VS</t>
  </si>
  <si>
    <t>Methane conversion factor for temperature zone and manure management system.</t>
  </si>
  <si>
    <t>VEERG 2026: Table A.1.6.4: Swine - MCFs (MCFim)</t>
  </si>
  <si>
    <t>VARIATION ON SOURCE DATA: Added columns for ACT, split QLD and NT. Added extra column with MMS names that match NIR definitions</t>
  </si>
  <si>
    <t>Outdoor (Dry lot)</t>
  </si>
  <si>
    <t>Drylot (feed pad)</t>
  </si>
  <si>
    <t>Stockpile (Solid storage)</t>
  </si>
  <si>
    <t>Effluent pond (Uncovered anaerobic lagoon)</t>
  </si>
  <si>
    <t>Anaerobic digester / Covered lagoon</t>
  </si>
  <si>
    <t>Short HRT tank storage &lt; 1 month (pit storage)</t>
  </si>
  <si>
    <t>Direct Application to soil</t>
  </si>
  <si>
    <t>Conventional housing</t>
  </si>
  <si>
    <t>Deep litter housing</t>
  </si>
  <si>
    <t>Outdoor/free range</t>
  </si>
  <si>
    <t>Swine - Volatile solids (VSj) - 2020 to 2024</t>
  </si>
  <si>
    <t>VEERG 2026: Table A.1.6.1: Swine - Intake and manure characteristics derived from PigBal</t>
  </si>
  <si>
    <t>VARIATION ON SOURCE DATA: Only uses data for 2020-2024. Use 'Slaughter pigs' data for 'Other j=4' class.</t>
  </si>
  <si>
    <t>Boars</t>
  </si>
  <si>
    <t>Gilts</t>
  </si>
  <si>
    <t>Others</t>
  </si>
  <si>
    <t>Swine - Feed intake - ingested as fed  (Ij) - 2020 to 2024</t>
  </si>
  <si>
    <t>Swine - Nitrogen in waste (NWj) - 2020 to 2024</t>
  </si>
  <si>
    <t>VARIATION ON SOURCE DATA: Only uses data for 2020-2024. Use 'Slaughter pigs' data for 'Other j=4' class. Added 'NWj daily' column to provide daily value for Others class. Added 'Class name' column to aid lookup.</t>
  </si>
  <si>
    <t>Others (kg/head/year)</t>
  </si>
  <si>
    <t>Swine - Fraction of nitrogen volatilised (FracGASMmT)</t>
  </si>
  <si>
    <t>VEERG 2026: Table A.1.6.2: Swine - Fraction of N volatilised by MMS ((kg NH3-N + NOx-N)/kgN) (FracGASMmT)</t>
  </si>
  <si>
    <t>VARIATION ON SOURCE DATA: Added 'NIR reference column to aid lookup.</t>
  </si>
  <si>
    <t>Swine - Nitrous oxide EFs by MMS (EFmT)</t>
  </si>
  <si>
    <t>VEERG 2026: Table A.1.6.3: Swine - Nitrous oxide EFs by MMS (kgN2O-N/kgN) (EFmT)</t>
  </si>
  <si>
    <t>Anaerobic digestor / Covered lagoon</t>
  </si>
  <si>
    <t>Megajoules per kilogram of methane</t>
  </si>
  <si>
    <t>VEERG 2026: 3.5.2.3 CONSTANT</t>
  </si>
  <si>
    <t>F</t>
  </si>
  <si>
    <t>MJ / kg CH4</t>
  </si>
  <si>
    <t>Swine - Average liveweight (inventory defaults) (kg) (Wco)</t>
  </si>
  <si>
    <t>VEERG 2026: Table A.1.6.5: Swine - Average liveweight (inventory defaults) (kg) (Wco)</t>
  </si>
  <si>
    <t>Slaughter pigs at turnoff</t>
  </si>
  <si>
    <t>Table A.1.3.1: Dairy cattle - Liveweight (kg) - Cows and Heifers (Wj)</t>
  </si>
  <si>
    <t>VEERG 2026: Table A.1.3.1</t>
  </si>
  <si>
    <t>Wj</t>
  </si>
  <si>
    <t>VARIATION OF SOURCE: Excluded 'Reference', as the value is consistently 'Dairy Australia [1]' and is not used in calculation.</t>
  </si>
  <si>
    <t>Medium Friesian</t>
  </si>
  <si>
    <t>Jersey</t>
  </si>
  <si>
    <t>Jersey crossbred</t>
  </si>
  <si>
    <t>Ayrshire</t>
  </si>
  <si>
    <t>Guernsey</t>
  </si>
  <si>
    <t>Brown Swiss</t>
  </si>
  <si>
    <t>Illawarra/Aussie Red</t>
  </si>
  <si>
    <t>Table A.1.3.2: Dairy cattle - Liveweight (kg) - Bulls (Wj)</t>
  </si>
  <si>
    <t>VEERG 2026: Table A.1.3.2</t>
  </si>
  <si>
    <t>All breeds</t>
  </si>
  <si>
    <t>Table A.1.3.3: Dairy cattle - Liveweight gain (kg) (LWGj)</t>
  </si>
  <si>
    <t>VEERG 2026: Table A.1.3.3</t>
  </si>
  <si>
    <t>LWGj</t>
  </si>
  <si>
    <t>Table A.1.3.4: Dairy cattle - Reference weights (kg) (WRj)</t>
  </si>
  <si>
    <t>VEERG 2026: Table A.1.3.4</t>
  </si>
  <si>
    <t>WRj</t>
  </si>
  <si>
    <t>Table A.1.3.5: Dairy cattle - Data for pre - weaned calves</t>
  </si>
  <si>
    <t>VEERG 2026: Table A.1.3.5</t>
  </si>
  <si>
    <t>VSj=3,5; NPWj=3,5</t>
  </si>
  <si>
    <t>kg/day</t>
  </si>
  <si>
    <t>Heifers&lt;1</t>
  </si>
  <si>
    <t>Bulls&lt;1</t>
  </si>
  <si>
    <t>Table A.1.3.6: Dairy cattle - Dairy cattle - MCFs (fraction) (MCFjm)</t>
  </si>
  <si>
    <t>VEERG 2026: Table A.1.3.6</t>
  </si>
  <si>
    <t>MCFjm</t>
  </si>
  <si>
    <t>VARIATION OF SOURCE: Added 'NIR reference' column to aid lookup</t>
  </si>
  <si>
    <t>Daily spread - Sump and dispersal systems</t>
  </si>
  <si>
    <t>Sump and dispersal system</t>
  </si>
  <si>
    <t>Daily spread - Drains to paddocks (a)</t>
  </si>
  <si>
    <t>Drains to paddock</t>
  </si>
  <si>
    <t>Solid Storage</t>
  </si>
  <si>
    <t>Table A.1.3.7: Dairy cattle - Nitrous oxide EFs and fraction of N volatilised by MMS</t>
  </si>
  <si>
    <t>VEERG 2026: Table A.1.3.7</t>
  </si>
  <si>
    <t>EFm; FracGASMm</t>
  </si>
  <si>
    <t>kg N2O-N/kg N excreted</t>
  </si>
  <si>
    <t>M=14 Pasture</t>
  </si>
  <si>
    <t>M=1 Anaerobic lagoon</t>
  </si>
  <si>
    <t>M=2 Daily Spread - Sump and Dispersal</t>
  </si>
  <si>
    <t>M=3 Daily Spread - Drains to Paddock</t>
  </si>
  <si>
    <t>M=3 Solid Storage</t>
  </si>
  <si>
    <t>Table A.1.3.8: Dairy cattle - Methane production for pre-weaned heifer and bull calves (kg CH4/head/day) (MPWENTERIC,j=3,5)</t>
  </si>
  <si>
    <t>VEERG 2026: Table A.1.3.8</t>
  </si>
  <si>
    <t>MPWENTERIC,j=3,5</t>
  </si>
  <si>
    <t>kg CH4/head/day</t>
  </si>
  <si>
    <t>Heifers &lt; 1 year</t>
  </si>
  <si>
    <t>Table A.1.3.9: Dairy cattle - Increased metabolic rate when producing milk (MRj)</t>
  </si>
  <si>
    <t>VEERG 2026: Table A.1.3.9</t>
  </si>
  <si>
    <t>Milking cows, and house cows</t>
  </si>
  <si>
    <t>All other cattle classes</t>
  </si>
  <si>
    <t>Table A.1.3.10: Dairy cattle - Fraction of volatile solids voided to each manure management system (fraction) (MMSjm)</t>
  </si>
  <si>
    <t>VEERG 2026: Table A.1.3.10</t>
  </si>
  <si>
    <t>MMSjm</t>
  </si>
  <si>
    <t>System 1: Grazed Only</t>
  </si>
  <si>
    <t>System 2: On feedpad for &lt;10 hr/day for &lt;3 months/year</t>
  </si>
  <si>
    <t>System 3: Pasture-grazed 3-9 months/year</t>
  </si>
  <si>
    <t>System 4: Zero grazing</t>
  </si>
  <si>
    <t>Table A.1.3.11: Dairy cattle - EF for nitrous oxide per MMS (kg N2O-N/kg N) (EFm)</t>
  </si>
  <si>
    <t>VEERG 2026: Table A.1.3.11</t>
  </si>
  <si>
    <t>m=14 Pasture</t>
  </si>
  <si>
    <t>m=1 Anerobic Lagoon</t>
  </si>
  <si>
    <t>m=2 Daily Spread: Sump and dispersal</t>
  </si>
  <si>
    <t>m=3 Daily Spread: Drains to paddocks</t>
  </si>
  <si>
    <t>m=4 Solid Storage</t>
  </si>
  <si>
    <t>Duration of stay for each dairy cattle input class</t>
  </si>
  <si>
    <t>VEERG 2026: 4.3.2.2	DATA (METHOD 1 AND 2 OPTIONS)</t>
  </si>
  <si>
    <t>D</t>
  </si>
  <si>
    <t>days</t>
  </si>
  <si>
    <t>VARIATION OF SOURCE: Converted free text in document to table, matching livestock class names.</t>
  </si>
  <si>
    <t>Heifers &gt; 1 year</t>
  </si>
  <si>
    <t>Crude protein content of feed intake</t>
  </si>
  <si>
    <t>CP</t>
  </si>
  <si>
    <t>VEERG 2026: 3.3.2.2	DATA (METHOD 1 AND 2 OPTIONS)</t>
  </si>
  <si>
    <t>DMD</t>
  </si>
  <si>
    <t>Net energy required for milk production</t>
  </si>
  <si>
    <t>VEERG 2026: 3.3.2.3 CONSTANTS</t>
  </si>
  <si>
    <t>MJ net energy / kg milk</t>
  </si>
  <si>
    <t>Gross energy content of feed dry matter</t>
  </si>
  <si>
    <t>GEC</t>
  </si>
  <si>
    <t>MJ / kgDM</t>
  </si>
  <si>
    <t>Efficiency of use of metabolizable energy for milk production</t>
  </si>
  <si>
    <t>k</t>
  </si>
  <si>
    <t>Ash content of manure</t>
  </si>
  <si>
    <t>VEERG 2026: 4.3.2.3 CONSTANTS</t>
  </si>
  <si>
    <t>A</t>
  </si>
  <si>
    <t>Methane emissions potential</t>
  </si>
  <si>
    <t>B_o</t>
  </si>
  <si>
    <t>m3 CH4/kgVS</t>
  </si>
  <si>
    <t>Emission factor for leaching and runoff</t>
  </si>
  <si>
    <t>Dimensionless</t>
  </si>
  <si>
    <t>Fraction of nitrogen volatilized from urine and faeces deposited on pasture</t>
  </si>
  <si>
    <t>FracGASMsoil</t>
  </si>
  <si>
    <t>Fat content in fat and protein corrected milk</t>
  </si>
  <si>
    <t>VEERG 2026: 3.3.2.2 DATA (METHOD 1 AND 2 OPTIONS)</t>
  </si>
  <si>
    <t>FC_j</t>
  </si>
  <si>
    <t>Protein content in fat and protein corrected milk</t>
  </si>
  <si>
    <t>PC_j</t>
  </si>
  <si>
    <t>Beef pasture cattle - Liveweight (kg) (Wjkl)</t>
  </si>
  <si>
    <t>VEERG 2026: Table A.1.2.1</t>
  </si>
  <si>
    <t>Wjkl</t>
  </si>
  <si>
    <t>ACT/NSW</t>
  </si>
  <si>
    <t>Beef pasture cattle - Liveweight (kg) (Wjkl) for NT and QLD</t>
  </si>
  <si>
    <t>VEERG 2026: Table A.1.2.2</t>
  </si>
  <si>
    <t>NO</t>
  </si>
  <si>
    <t>Beef pasture cattle - Liveweight gain (kg) (LWGjkl)</t>
  </si>
  <si>
    <t>VEERG 2026: Table A.1.2.3</t>
  </si>
  <si>
    <t>LWGjkl</t>
  </si>
  <si>
    <t>Beef pasture cattle - Liveweight gain (kg) (LWGjkl) for NT and QLD</t>
  </si>
  <si>
    <t>VEERG 2026: Table A.1.2.4</t>
  </si>
  <si>
    <t>Beef pasture cattle - Dry matter digestibility of feed intake (fraction) (DMDj)</t>
  </si>
  <si>
    <t>VEERG 2026: Table A.1.2.5</t>
  </si>
  <si>
    <t>DMDj</t>
  </si>
  <si>
    <t>VARIATION ON SOURCE: Split ACT and NSW into separate rows. Duplicated QLD and NT rows with regions from table A.1.2.2 to aid lookup</t>
  </si>
  <si>
    <t>Beef pasture cattle - Crude protein content of feed intake (fraction) (CPj)</t>
  </si>
  <si>
    <t>VEERG 2026: Table A.1.2.6</t>
  </si>
  <si>
    <t>CPj</t>
  </si>
  <si>
    <t>Beef pasture cattle - Feed intake adjustment and milk production (kg/head/day)</t>
  </si>
  <si>
    <t>VEERG 2026: Table A.1.2.7</t>
  </si>
  <si>
    <t>MCjk=1,3,6; DMPjk=5</t>
  </si>
  <si>
    <t>Hereford or Shorthorn breeds</t>
  </si>
  <si>
    <t>Northern Brahman cross breed</t>
  </si>
  <si>
    <t>Beef pasture cattle - Standard reference weights (kg) (SRWk)</t>
  </si>
  <si>
    <t>VEERG 2026: Table A.1.2.8</t>
  </si>
  <si>
    <t>SRWk</t>
  </si>
  <si>
    <t>VARIATION ON SOURCE: Split ACT and NSW into separate rows. Added 'State abbreviation' column to aid lookup.</t>
  </si>
  <si>
    <t>Beef pasture cattle - Fraction of manure to each manure management system (fraction) (MMSm)</t>
  </si>
  <si>
    <t>VEERG 2026: Table A.1.2.9</t>
  </si>
  <si>
    <t>VARIATION ON SOURCE: Removed comma from 'Pasture range and paddock' to aid lookup</t>
  </si>
  <si>
    <t>Beef pasture cattle - Methane conversion factor per region (fraction) (MCFim)</t>
  </si>
  <si>
    <t>VEERG 2026: Table A.1.2.10</t>
  </si>
  <si>
    <t>MCFim</t>
  </si>
  <si>
    <t>Ash content of feed intake</t>
  </si>
  <si>
    <t>VEERG 2026: 4.2.2.3 CONSTANTS</t>
  </si>
  <si>
    <t>FracGASMSoil</t>
  </si>
  <si>
    <t>Default fraction of N that is lost through leaching and runoff</t>
  </si>
  <si>
    <t>Table 5.12 Additional symbols used in algorithms for manure related emissions</t>
  </si>
  <si>
    <t>National Inventory Report 2023 Volume 1: Table 5.12</t>
  </si>
  <si>
    <t>Anaerobic lagoon (m=1)</t>
  </si>
  <si>
    <t>Liquid systems (m=2)</t>
  </si>
  <si>
    <t>Daily spread (m=3)</t>
  </si>
  <si>
    <t>3a</t>
  </si>
  <si>
    <t>Sump and dispersal system (m=3a)</t>
  </si>
  <si>
    <t>3b</t>
  </si>
  <si>
    <t>Drains to paddock (m=3b)</t>
  </si>
  <si>
    <t>Drylot (feed pad) (m=5)</t>
  </si>
  <si>
    <t>Deep litter (m=8)</t>
  </si>
  <si>
    <t>Pit storage (m=9)</t>
  </si>
  <si>
    <t>Poultry manure without bedding (m=11)</t>
  </si>
  <si>
    <t>11a</t>
  </si>
  <si>
    <t>11b</t>
  </si>
  <si>
    <t>Beef cattle products for scope 3</t>
  </si>
  <si>
    <t>Lifecycles. (2026). Greenhouse Gas Emission Intensities for Material Inputs to Australian Agriculture, Fisheries and Forestry. Version 48. doi 10.5281/zenodo.19656580</t>
  </si>
  <si>
    <t>Sheep products for scope 3</t>
  </si>
  <si>
    <t>Chickens products for scope 3</t>
  </si>
  <si>
    <t>Dairy cattle products for scope 3</t>
  </si>
  <si>
    <t>Pigs products for scope 3</t>
  </si>
  <si>
    <t>Common inorganic fertilisers</t>
  </si>
  <si>
    <t>Table A.2.2.3: Fraction of nitrogen in common inorganic fertilisers (kgN/kg) (FNorganic,f) AND Table A.2.2.4: Fraction of urea in common inorganic fertilisers (kg urea/kg) (FUf)</t>
  </si>
  <si>
    <t>VARIATION ON SOURCE</t>
  </si>
  <si>
    <t>Added 'Basis' column to allow cross-referencing with table Table A.2.2.6: Fraction of inorganic fertiliser f that volatilises as NH3 and NOx ((kg NH3-N + NOx-N)/kg N) (FracGASFf)</t>
  </si>
  <si>
    <t>Added extra fertiliser types and generic chemical compounds to allow for custom NPKS blends</t>
  </si>
  <si>
    <t>Added extra 'Scope 3 definition' column to allow mapping with scope 3 data</t>
  </si>
  <si>
    <t>Added 'Source' column</t>
  </si>
  <si>
    <t>Combined data from Table A.2.2.3 and Table A.2.2.4 into one table to aid lookup.</t>
  </si>
  <si>
    <t>Excluded 'References' column</t>
  </si>
  <si>
    <t>Excluded 'Ammonium sulfate' as it is a duplicate of 'Sulphate of ammonia (SOA)'</t>
  </si>
  <si>
    <t>Excluded 'Calcium nitrate' as no scope 3 value available.</t>
  </si>
  <si>
    <t>Set 'Nitrogen - Generic' basis as 'Urea-based fertilisers, as urea is the most commonly used form of nitrogen in Australian fertilisers</t>
  </si>
  <si>
    <t>Set 'Urea-ammonium nitrate' basis as 'Urea-based fertiliser'</t>
  </si>
  <si>
    <t>Ammonia has an FN value of 0.8235 based on (14/17)x100, where 14 is the mass of nitrogen in ammonia and 17 is the molar mass of ammonia.</t>
  </si>
  <si>
    <t>Fraction of nitrogen in common inorganic fertilisers (kgN/kg) (FNorganic,f)</t>
  </si>
  <si>
    <t>VEERG 2026: Table A.2.2.3</t>
  </si>
  <si>
    <t>Fraction of urea in common inorganic fertilisers (kg urea/kg) (FUf)</t>
  </si>
  <si>
    <t>VEERG 2026: Table A.2.2.4</t>
  </si>
  <si>
    <t>Source regions for urea and ammonia</t>
  </si>
  <si>
    <t>Monoammonium phosphate (MAP)</t>
  </si>
  <si>
    <t>Ammonium-based fertilisers</t>
  </si>
  <si>
    <t>VEERG</t>
  </si>
  <si>
    <t>Diammonium phosphate (DAP)</t>
  </si>
  <si>
    <t>Urea-based fertilisers</t>
  </si>
  <si>
    <t>Sulphate of ammonia (SOA)</t>
  </si>
  <si>
    <t>Urea-ammonium nitrate (UAN)</t>
  </si>
  <si>
    <t>Ammonium nitrate (AN)</t>
  </si>
  <si>
    <t>Ammonium-nitrate based fertilisers</t>
  </si>
  <si>
    <t>Calcium ammonium nitrate (CAN)</t>
  </si>
  <si>
    <t>Nitrogen - Ammoniacal</t>
  </si>
  <si>
    <t>LifeCycles</t>
  </si>
  <si>
    <t>Nitrogen - Nitrate</t>
  </si>
  <si>
    <t>Nitrate-based fertilisers</t>
  </si>
  <si>
    <t>Nitrogen from Nitrate</t>
  </si>
  <si>
    <t>Nitrogen - Generic</t>
  </si>
  <si>
    <t>Nitrogen from fertiliser</t>
  </si>
  <si>
    <t>Phosphorus - Generic</t>
  </si>
  <si>
    <t>Other fertilisers</t>
  </si>
  <si>
    <t>Phosphorus from fertiliser</t>
  </si>
  <si>
    <t>Potassium from fertiliser</t>
  </si>
  <si>
    <t>Sulfur from fertiliser</t>
  </si>
  <si>
    <t>Zinc - Generic</t>
  </si>
  <si>
    <t>Zinc from fertiliser</t>
  </si>
  <si>
    <t>Muriate of potash (MOP)</t>
  </si>
  <si>
    <t>Double superphosphate</t>
  </si>
  <si>
    <t>Single superphosphate (SSP)</t>
  </si>
  <si>
    <t>Ammonium Sulfate</t>
  </si>
  <si>
    <t>Calcium Nitrate</t>
  </si>
  <si>
    <t>Fraction of inorganic fertiliser that volatilises as NH3 and NOx</t>
  </si>
  <si>
    <t>Table A.2.2.6: Fraction of inorganic fertiliser f that volatilises as NH3 and NOx ((kg NH3–N + NOx–N)/kg N) (FracGASFf)</t>
  </si>
  <si>
    <t>Emission factor for carbon emissions from urea application</t>
  </si>
  <si>
    <t>VEERG 2026: 5.1.2.2 Constant Parameters</t>
  </si>
  <si>
    <t>EFureaCO2</t>
  </si>
  <si>
    <t>kg C/kg urea</t>
  </si>
  <si>
    <t>Constants for lime, dolomite and gypsum</t>
  </si>
  <si>
    <t>VEERG 2026: 5.3.2.3 Constant Parameters</t>
  </si>
  <si>
    <t>Lime (Calcium carbonate)</t>
  </si>
  <si>
    <t>Dolomite (Magnesium carbonate)</t>
  </si>
  <si>
    <t>Fraction of organic fertiliser that volatilises as NH3 and NOx</t>
  </si>
  <si>
    <t>VEERG 2026: 5.4.2.3 Constant Parameters</t>
  </si>
  <si>
    <t>Fraction of nitrogen that is lost through leaching and runoff</t>
  </si>
  <si>
    <t>VEERG 2026: 5.5.2.3 Constant Parameters</t>
  </si>
  <si>
    <t>Emission factor for nitrogen leaching and runoff</t>
  </si>
  <si>
    <t>EFLeach</t>
  </si>
  <si>
    <t>kg N2O-N / kg N</t>
  </si>
  <si>
    <t>Include</t>
  </si>
  <si>
    <t>Campbells fertilisers Australia</t>
  </si>
  <si>
    <t>Aqua Finish</t>
  </si>
  <si>
    <t>L</t>
  </si>
  <si>
    <t>Aqua Grow</t>
  </si>
  <si>
    <t>Aqua Nitro AN</t>
  </si>
  <si>
    <t>Aqua Start</t>
  </si>
  <si>
    <t>Aqua Thio-Complete</t>
  </si>
  <si>
    <t>Aqua Thio-Emerge</t>
  </si>
  <si>
    <t>Aqua Thio-Flourish</t>
  </si>
  <si>
    <t>Include - Absent ingredients &lt; 2%</t>
  </si>
  <si>
    <t>Amount of urea calculated from urea nitrogen amount</t>
  </si>
  <si>
    <t>Magnesium</t>
  </si>
  <si>
    <t>Zinc</t>
  </si>
  <si>
    <t>Manganese</t>
  </si>
  <si>
    <t>Iron</t>
  </si>
  <si>
    <t>Copper</t>
  </si>
  <si>
    <t>Boron</t>
  </si>
  <si>
    <t>Bronze</t>
  </si>
  <si>
    <t>Muriate of Potash (MOP)</t>
  </si>
  <si>
    <t>50/50 nitrate and ammoniacal nitrogen (ammonium nitrate)</t>
  </si>
  <si>
    <t>Compass</t>
  </si>
  <si>
    <t>Phosphorus-Generic</t>
  </si>
  <si>
    <t>Controlled release N treated as generic, Amount of urea calculated from urea nitrogen amount</t>
  </si>
  <si>
    <t>Ingredient 5 source</t>
  </si>
  <si>
    <t>Ingredient 6 source</t>
  </si>
  <si>
    <t>Product info link</t>
  </si>
  <si>
    <t>Manganese Sulphate</t>
  </si>
  <si>
    <t>Incitec Pivot Fertilisers</t>
  </si>
  <si>
    <t>MAP Impact</t>
  </si>
  <si>
    <t>Impact fertilisers</t>
  </si>
  <si>
    <t>MAPSZC</t>
  </si>
  <si>
    <t>Summit Fertilizers</t>
  </si>
  <si>
    <t>Maximum N-Pact 29-0-0</t>
  </si>
  <si>
    <t>Maximum N-Pact | Loveland (lovelandagriproducts.com.au)</t>
  </si>
  <si>
    <t>Microsol 12-6-44</t>
  </si>
  <si>
    <t>Rigbytaylor Microsol Range</t>
  </si>
  <si>
    <t>Microsol 16-32-16</t>
  </si>
  <si>
    <t>Microsol 25-5-10</t>
  </si>
  <si>
    <t>Microsol 28-0-14</t>
  </si>
  <si>
    <t>Mono Potassium Phosphate MKP</t>
  </si>
  <si>
    <t>Swancrop</t>
  </si>
  <si>
    <t>Muriate Of Potash MOP</t>
  </si>
  <si>
    <t>MountCompass Fertilisers Blends</t>
  </si>
  <si>
    <t>NitroPlus</t>
  </si>
  <si>
    <t>AgroStock Group Nitro Plus</t>
  </si>
  <si>
    <t>NutraGold</t>
  </si>
  <si>
    <t>Pro Performance 18-3-6</t>
  </si>
  <si>
    <t>Pro Turf Formula</t>
  </si>
  <si>
    <t>SOA</t>
  </si>
  <si>
    <t>SSP</t>
  </si>
  <si>
    <t>Super Phos</t>
  </si>
  <si>
    <t>CSBP Super PHOS</t>
  </si>
  <si>
    <t>Super SR Extra</t>
  </si>
  <si>
    <t>CSBP Super Potash</t>
  </si>
  <si>
    <t>SuPerfect</t>
  </si>
  <si>
    <t>Yara K-Flow 0-0-15</t>
  </si>
  <si>
    <t>Crop Nutrition Solutions (Yara Australia)</t>
  </si>
  <si>
    <t>Yara K-Flow 0-14-30</t>
  </si>
  <si>
    <t>Yara K-Flow 0-7-36</t>
  </si>
  <si>
    <t>Yara K-Flow 13-0-7</t>
  </si>
  <si>
    <t>Yara K-Flow 4-0-12</t>
  </si>
  <si>
    <t>Yara Liquids MICRO-SUL</t>
  </si>
  <si>
    <t>Yara Liquids N24</t>
  </si>
  <si>
    <t>Yara Liquids N25</t>
  </si>
  <si>
    <t>Yara Liquids N26</t>
  </si>
  <si>
    <t>Yara Liquids N42</t>
  </si>
  <si>
    <t>Yara Liquids N-CAL 15+18Ca</t>
  </si>
  <si>
    <t>Yara Liquids N-CAL 20+10Ca+B</t>
  </si>
  <si>
    <t>Yara Liquids N-CAL 35+6Ca</t>
  </si>
  <si>
    <t>Yara Liquids N-FOL 24</t>
  </si>
  <si>
    <t>Yara Liquids N-FOL 24+TE</t>
  </si>
  <si>
    <t>Yara Liquids P-FOL Zinc</t>
  </si>
  <si>
    <t>Yara Liquids SULSA 11-0-0+12S</t>
  </si>
  <si>
    <t>Yara Liquids SULSA 24-3-0+6S</t>
  </si>
  <si>
    <t>Yara Liquids SULSA 27-0-0+7S</t>
  </si>
  <si>
    <t>YaraVita BRASSITREL PRO</t>
  </si>
  <si>
    <t>YaraVita BUD BUILDER FL</t>
  </si>
  <si>
    <t>YaraVita FRUTREL</t>
  </si>
  <si>
    <t>YaraVita GLYTREL ZnP</t>
  </si>
  <si>
    <t>Electricity scope 2 and scope 3 location-based emission factors</t>
  </si>
  <si>
    <t>Australian National Greenhouse Accounts Factors 2025 - Table 1</t>
  </si>
  <si>
    <t>Western Australia - North Western Interconnected System (NWIS)</t>
  </si>
  <si>
    <t>Northern Territory - Darwin Katherine Interconnected System (DKIS)</t>
  </si>
  <si>
    <t>National</t>
  </si>
  <si>
    <t>Electricity scope 2 and scope 3 market-based emission factors</t>
  </si>
  <si>
    <t>Australian National Greenhouse Accounts Factors 2025 - Table 2a</t>
  </si>
  <si>
    <t>Australian states and territories</t>
  </si>
  <si>
    <t>Australian Capital Territory</t>
  </si>
  <si>
    <t>ABS Statistcal Areas Level 4 - Western Australia</t>
  </si>
  <si>
    <t>Australian Bureau of Statistics (ABS) - Statistical Areas Level 2 - 2021 - Shapefile</t>
  </si>
  <si>
    <t>Bunbury</t>
  </si>
  <si>
    <t>Mandurah</t>
  </si>
  <si>
    <t>Perth - Inner</t>
  </si>
  <si>
    <t>Perth - North East</t>
  </si>
  <si>
    <t>Perth - North West</t>
  </si>
  <si>
    <t>Perth - South East</t>
  </si>
  <si>
    <t>Perth - South West</t>
  </si>
  <si>
    <t>Western Australia - Wheat Belt</t>
  </si>
  <si>
    <t>Western Australia - Outback (North)</t>
  </si>
  <si>
    <t>Global warming potential for greenhouse gases</t>
  </si>
  <si>
    <t>XXXXXXX</t>
  </si>
  <si>
    <t>CF4</t>
  </si>
  <si>
    <t>C2F6</t>
  </si>
  <si>
    <t>SF6</t>
  </si>
  <si>
    <t>NF3</t>
  </si>
  <si>
    <t>Factor to convert elemental mass of gas to molecular mass</t>
  </si>
  <si>
    <t>44/12</t>
  </si>
  <si>
    <t>16/12</t>
  </si>
  <si>
    <t>44/28</t>
  </si>
  <si>
    <t>Nox</t>
  </si>
  <si>
    <t>46/14</t>
  </si>
  <si>
    <t>CO</t>
  </si>
  <si>
    <t>28/12</t>
  </si>
  <si>
    <t>CO2 Lime</t>
  </si>
  <si>
    <t>NMVOC</t>
  </si>
  <si>
    <t>14/12</t>
  </si>
  <si>
    <t>VEERG Australian wet and dry zones</t>
  </si>
  <si>
    <t>VEERG 2026: Table 1.2: Translating climate zones to wet and dry zones</t>
  </si>
  <si>
    <t>Tropical montane</t>
  </si>
  <si>
    <t>Wet climate zone</t>
  </si>
  <si>
    <t>Tropical wet</t>
  </si>
  <si>
    <t>Tropical moist</t>
  </si>
  <si>
    <t>Tropical dry</t>
  </si>
  <si>
    <t>Dry climate zone</t>
  </si>
  <si>
    <t>Warm temperate moist</t>
  </si>
  <si>
    <t>Warm temperate dry</t>
  </si>
  <si>
    <t>Cool temperate moist</t>
  </si>
  <si>
    <t>Cool temperate dry</t>
  </si>
  <si>
    <t>Warm temperate moist - low frost</t>
  </si>
  <si>
    <t>Warm temperate dry - low frost</t>
  </si>
  <si>
    <t>Warm temperate moist - high temp</t>
  </si>
  <si>
    <t>Warm temperate dry - high temp</t>
  </si>
  <si>
    <t>Cool temperate moist - low frost</t>
  </si>
  <si>
    <t>Cool temperate dry - low frost</t>
  </si>
  <si>
    <t>VEERG Australian climate zones</t>
  </si>
  <si>
    <t>VEERG 2026: Table 1.3: Climate and Rainfall zone classifications and definitions</t>
  </si>
  <si>
    <t>&gt; 18 C</t>
  </si>
  <si>
    <t>Any</t>
  </si>
  <si>
    <t>≤ 7</t>
  </si>
  <si>
    <t>&gt; 1000 m</t>
  </si>
  <si>
    <t>&gt; 2000 mm</t>
  </si>
  <si>
    <t>≤ 1000 m</t>
  </si>
  <si>
    <t>&gt; 1000 mm - ≤ 2000 mm</t>
  </si>
  <si>
    <t>≤ 1000 mm</t>
  </si>
  <si>
    <t>&gt; 10 C</t>
  </si>
  <si>
    <t>&gt; 1</t>
  </si>
  <si>
    <t>≤ 1</t>
  </si>
  <si>
    <t>&gt; 0 C - ≤ 10 C</t>
  </si>
  <si>
    <t>Note:</t>
  </si>
  <si>
    <t>MAT = mean annual temperature</t>
  </si>
  <si>
    <t>MAP = mean annual precipitation</t>
  </si>
  <si>
    <t>PET = potential evapotranspiration</t>
  </si>
  <si>
    <t>VEERG Australian temperature zones</t>
  </si>
  <si>
    <t>Warm</t>
  </si>
  <si>
    <t>≥ 26 C</t>
  </si>
  <si>
    <t>Temperate</t>
  </si>
  <si>
    <t>15 - 25 C</t>
  </si>
  <si>
    <t>Cool</t>
  </si>
  <si>
    <t>≤ 14 C</t>
  </si>
  <si>
    <t>VEERG Australian rainfall zones</t>
  </si>
  <si>
    <t>High rainfall</t>
  </si>
  <si>
    <t>Annual rainfall &gt; 600mm</t>
  </si>
  <si>
    <t>Low rainfall</t>
  </si>
  <si>
    <t>Annual rainfall ≤ 600mm</t>
  </si>
  <si>
    <t>VEERG Australian leaching zones</t>
  </si>
  <si>
    <t>Leaching occurs</t>
  </si>
  <si>
    <t>Σ(𝑟𝑎𝑖𝑛)&gt;Σ(𝐸𝑇0)+𝑠𝑜𝑖𝑙 𝑤𝑎𝑡𝑒𝑟 ℎ𝑜𝑙𝑑𝑖𝑛𝑔 𝑐𝑎𝑝𝑎𝑐𝑖𝑡𝑦</t>
  </si>
  <si>
    <t>Leaching does not occur</t>
  </si>
  <si>
    <t>Σ(𝑟𝑎𝑖𝑛)≤Σ(𝐸𝑇0)+𝑠𝑜𝑖𝑙 𝑤𝑎𝑡𝑒𝑟 ℎ𝑜𝑙𝑑𝑖𝑛𝑔 𝑐𝑎𝑝𝑎𝑐𝑖𝑡𝑦</t>
  </si>
  <si>
    <t>Fraction of N that is available for leaching and runoff</t>
  </si>
  <si>
    <t>VEERG 2026:5.5.2.3 Constant Parameters</t>
  </si>
  <si>
    <t>Yes - in leaching zone</t>
  </si>
  <si>
    <t>No - not in leaching zone</t>
  </si>
  <si>
    <t>FracWET for irrigation types</t>
  </si>
  <si>
    <t>VEERG 2026: Chapter 1, section 1.8.2 Leaching, climate and rainfall zones</t>
  </si>
  <si>
    <t>VARIATION FROM SOURCE DATA: Table created based on VEERG text 'Areas are subject to leaching (i.e., in the leaching zone) when... the land is irrigated (except drip irrigation).'</t>
  </si>
  <si>
    <t>Australian data scores for scope 3</t>
  </si>
  <si>
    <t>VEERG 2026: XXXXXXXX</t>
  </si>
  <si>
    <t>International scope 3 database</t>
  </si>
  <si>
    <t>Australian scope 3 database</t>
  </si>
  <si>
    <t>State or regional scope 3 database</t>
  </si>
  <si>
    <t>Emissions intensity calculated from approved method</t>
  </si>
  <si>
    <t>National Inventory Report Volume 1: Leaching and runoff (3.D.b.2)</t>
  </si>
  <si>
    <t>National Inventory Report Volume 1: Equation 3.D.B_10</t>
  </si>
  <si>
    <t>EFleach</t>
  </si>
  <si>
    <t>p = density of methane</t>
  </si>
  <si>
    <t>National Inventory Report 2023 Volume 1: Equations 3.B.1a_2, 3.B.1c_2, 3.B.3_1, 3.B.4g_2</t>
  </si>
  <si>
    <t>kg/m3</t>
  </si>
  <si>
    <t>Nitrous oxide emission factors for inorganic fertiliser application</t>
  </si>
  <si>
    <t>VEERG 2026: Table A.2.2.1</t>
  </si>
  <si>
    <t>(kg N2O-N / kg N</t>
  </si>
  <si>
    <t>VARIATION OF SOURCE DATA:</t>
  </si>
  <si>
    <t>Removed duplicate 'Aquaculture' row.</t>
  </si>
  <si>
    <t>Removed asterisks to aid lookup.</t>
  </si>
  <si>
    <t>Added 'production system only', 'rainfall zone' and 'irrigation method' columns to aid lookup.</t>
  </si>
  <si>
    <t>Duplicated 'non-irrigated pasture' row with same EF for low and high rainfall zones to aid lookup.</t>
  </si>
  <si>
    <t>Irrigated pasture</t>
  </si>
  <si>
    <t>Irrigated crop</t>
  </si>
  <si>
    <t>Non-irrigated pasture</t>
  </si>
  <si>
    <t>Non-irrigated crop (low rainfall)</t>
  </si>
  <si>
    <t>Non-irrigated crop (high rainfall)</t>
  </si>
  <si>
    <t>Sugar</t>
  </si>
  <si>
    <t>Horticultural crops</t>
  </si>
  <si>
    <t>Rice (continuous flooding)</t>
  </si>
  <si>
    <t>Rice</t>
  </si>
  <si>
    <t>Continuous flooding</t>
  </si>
  <si>
    <t>Rice (single and multiple drainage, or alternate wetting and drying)</t>
  </si>
  <si>
    <t>Single and multiple drainage, or alternate wetting and drying</t>
  </si>
  <si>
    <t>Aquaculture</t>
  </si>
  <si>
    <t>Forestry</t>
  </si>
  <si>
    <t>Emission factor for urine and dung deposited on pasture, range or paddock</t>
  </si>
  <si>
    <t>VEERG 2026: Table A.2.2.2</t>
  </si>
  <si>
    <t>VARIATION FROM SOURCE DATA: Changed 'Dry climate zones' to singular 'Dry climate zone' to aid lookup.</t>
  </si>
  <si>
    <t>kg N2O - N / kg N</t>
  </si>
  <si>
    <t>Months to Seasons Mapping</t>
  </si>
  <si>
    <t>January</t>
  </si>
  <si>
    <t>February</t>
  </si>
  <si>
    <t>March</t>
  </si>
  <si>
    <t>April</t>
  </si>
  <si>
    <t>May</t>
  </si>
  <si>
    <t>June</t>
  </si>
  <si>
    <t>July</t>
  </si>
  <si>
    <t>August</t>
  </si>
  <si>
    <t>September</t>
  </si>
  <si>
    <t>October</t>
  </si>
  <si>
    <t>November</t>
  </si>
  <si>
    <t>December</t>
  </si>
  <si>
    <t>Manure Management – Methane conversion factor per temperature zone (fraction) (MCFim)</t>
  </si>
  <si>
    <t>VEERG 2026: Table A.1.8.1</t>
  </si>
  <si>
    <t>VARIATION FROM SOURCE: Added row of NIR MMA definitions to aid lookup. Duplicated 'Poultry with and without litter' column with separate NIR definitions to aid lookup. Added 'MAT raw' column to allow lookup of numbers.</t>
  </si>
  <si>
    <t>≤10</t>
  </si>
  <si>
    <t>≥28</t>
  </si>
  <si>
    <t>Emission factor for organic fertiliser and crop residues returned to the soil</t>
  </si>
  <si>
    <t>VEERG 2026: Table A.2.1.4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</si>
</sst>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d/mm/yyyy;@"/>
    <numFmt numFmtId="165" formatCode="[$-C09]d\ mmmm\ yyyy;@"/>
    <numFmt numFmtId="166" formatCode="[$-C09]dd\-mmmm\-yyyy;@"/>
    <numFmt numFmtId="167" formatCode="0.000"/>
    <numFmt numFmtId="168" formatCode="_-* #,##0_-;\-* #,##0_-;_-* &quot;-&quot;??_-;_-@_-"/>
    <numFmt numFmtId="169" formatCode="0.00000"/>
    <numFmt numFmtId="170" formatCode="#,##0.000"/>
    <numFmt numFmtId="171" formatCode="#,##0.000000"/>
  </numFmts>
  <fonts count="81" x14ac:knownFonts="1">
    <font>
      <sz val="12"/>
      <color theme="1"/>
      <name val="Times New Roman"/>
      <family val="2"/>
    </font>
    <font>
      <b/>
      <sz val="20"/>
      <color rgb="FF183C1B"/>
      <name val="Times New Roman"/>
      <family val="1"/>
    </font>
    <font>
      <i/>
      <sz val="12"/>
      <color theme="1" tint="0.499984740745262"/>
      <name val="Times New Roman"/>
      <family val="1"/>
    </font>
    <font>
      <sz val="11"/>
      <color theme="1"/>
      <name val="Aptos Narrow"/>
      <family val="2"/>
      <scheme val="minor"/>
    </font>
    <font>
      <b/>
      <sz val="12"/>
      <color theme="1" tint="0.14999847407452621"/>
      <name val="Times New Roman"/>
      <family val="1"/>
    </font>
    <font>
      <b/>
      <sz val="16"/>
      <color theme="0"/>
      <name val="Times New Roman"/>
      <family val="1"/>
    </font>
    <font>
      <sz val="12"/>
      <color theme="1" tint="0.24994659260841701"/>
      <name val="Times New Roman"/>
      <family val="1"/>
    </font>
    <font>
      <sz val="18"/>
      <color theme="1" tint="0.14996795556505021"/>
      <name val="Times New Roman"/>
      <family val="1"/>
    </font>
    <font>
      <sz val="12"/>
      <color rgb="FF008000"/>
      <name val="Times New Roman"/>
      <family val="1"/>
    </font>
    <font>
      <sz val="12"/>
      <color rgb="FFC44340"/>
      <name val="Times New Roman"/>
      <family val="1"/>
    </font>
    <font>
      <i/>
      <sz val="12"/>
      <color theme="1" tint="0.34998626667073579"/>
      <name val="Times New Roman"/>
      <family val="1"/>
    </font>
    <font>
      <sz val="12"/>
      <color theme="1" tint="0.14999847407452621"/>
      <name val="Times New Roman"/>
      <family val="1"/>
    </font>
    <font>
      <sz val="9"/>
      <name val="Times New Roman"/>
      <family val="1"/>
    </font>
    <font>
      <sz val="9"/>
      <color theme="1" tint="0.249977111117893"/>
      <name val="Times New Roman"/>
      <family val="1"/>
    </font>
    <font>
      <sz val="9"/>
      <color rgb="FFCC6600"/>
      <name val="Times New Roman"/>
      <family val="1"/>
    </font>
    <font>
      <sz val="9"/>
      <color theme="1"/>
      <name val="Aptos Narrow"/>
      <family val="2"/>
      <scheme val="minor"/>
    </font>
    <font>
      <sz val="9"/>
      <color rgb="FF008000"/>
      <name val="Times New Roman"/>
      <family val="1"/>
    </font>
    <font>
      <sz val="10"/>
      <color theme="1"/>
      <name val="Aptos Narrow"/>
      <family val="2"/>
      <scheme val="minor"/>
    </font>
    <font>
      <sz val="12"/>
      <color theme="0"/>
      <name val="Times New Roman"/>
      <family val="1"/>
    </font>
    <font>
      <b/>
      <sz val="12"/>
      <color theme="1" tint="0.24994659260841701"/>
      <name val="Times New Roman"/>
      <family val="1"/>
    </font>
    <font>
      <b/>
      <sz val="9"/>
      <name val="Times New Roman"/>
      <family val="1"/>
    </font>
    <font>
      <b/>
      <sz val="20"/>
      <color rgb="FFCC6600"/>
      <name val="Times New Roman"/>
      <family val="1"/>
    </font>
    <font>
      <sz val="12"/>
      <color rgb="FF0070C0"/>
      <name val="Times New Roman"/>
      <family val="1"/>
    </font>
    <font>
      <b/>
      <sz val="11"/>
      <color rgb="FF533001"/>
      <name val="Times New Roman"/>
      <family val="1"/>
    </font>
    <font>
      <sz val="10"/>
      <color theme="1" tint="0.34998626667073579"/>
      <name val="Times New Roman"/>
      <family val="1"/>
    </font>
    <font>
      <i/>
      <sz val="12"/>
      <color theme="1" tint="0.14999847407452621"/>
      <name val="Times New Roman"/>
      <family val="1"/>
    </font>
    <font>
      <i/>
      <sz val="10"/>
      <color theme="1" tint="0.14999847407452621"/>
      <name val="Aptos Narrow"/>
      <family val="1"/>
      <scheme val="minor"/>
    </font>
    <font>
      <b/>
      <sz val="12"/>
      <color rgb="FFCC6600"/>
      <name val="Times New Roman"/>
      <family val="1"/>
    </font>
    <font>
      <b/>
      <sz val="12"/>
      <color theme="0" tint="-0.499984740745262"/>
      <name val="Times New Roman"/>
      <family val="1"/>
    </font>
    <font>
      <sz val="10"/>
      <color theme="0" tint="-0.499984740745262"/>
      <name val="Times New Roman"/>
      <family val="1"/>
    </font>
    <font>
      <b/>
      <sz val="11"/>
      <color rgb="FF183C1B"/>
      <name val="Times New Roman"/>
      <family val="1"/>
    </font>
    <font>
      <sz val="10"/>
      <color theme="1" tint="0.34998626667073579"/>
      <name val="Aptos Narrow"/>
      <family val="2"/>
      <scheme val="minor"/>
    </font>
    <font>
      <sz val="12"/>
      <color theme="0" tint="-4.9989318521683403E-2"/>
      <name val="Times New Roman"/>
      <family val="1"/>
    </font>
    <font>
      <sz val="12"/>
      <color theme="1" tint="0.34998626667073579"/>
      <name val="Times New Roman"/>
      <family val="1"/>
    </font>
    <font>
      <sz val="11"/>
      <name val="Times New Roman"/>
      <family val="1"/>
    </font>
    <font>
      <sz val="12"/>
      <name val="Times New Roman"/>
      <family val="1"/>
    </font>
    <font>
      <sz val="14"/>
      <color theme="1" tint="0.34998626667073579"/>
      <name val="Times New Roman"/>
      <family val="1"/>
    </font>
    <font>
      <sz val="11"/>
      <color theme="1"/>
      <name val="Times New Roman"/>
      <family val="1"/>
    </font>
    <font>
      <b/>
      <sz val="10"/>
      <color theme="1" tint="0.14999847407452621"/>
      <name val="Times New Roman"/>
      <family val="1"/>
    </font>
    <font>
      <sz val="11"/>
      <color theme="1"/>
      <name val="Times New Roman"/>
      <family val="2"/>
    </font>
    <font>
      <b/>
      <vertAlign val="subscript"/>
      <sz val="11"/>
      <color rgb="FF533001"/>
      <name val="Times New Roman"/>
      <family val="1"/>
    </font>
    <font>
      <i/>
      <sz val="12"/>
      <color rgb="FFCC6600"/>
      <name val="Times New Roman"/>
      <family val="1"/>
    </font>
    <font>
      <i/>
      <sz val="10"/>
      <color theme="1" tint="0.34998626667073579"/>
      <name val="Times New Roman"/>
      <family val="1"/>
    </font>
    <font>
      <b/>
      <sz val="12"/>
      <color rgb="FF0070C0"/>
      <name val="Times New Roman"/>
      <family val="1"/>
    </font>
    <font>
      <sz val="12"/>
      <color theme="1"/>
      <name val="Times New Roman"/>
      <family val="1"/>
    </font>
    <font>
      <sz val="12"/>
      <color theme="1" tint="0.1499679555650502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u/>
      <sz val="11"/>
      <color theme="10"/>
      <name val="Aptos Narrow"/>
      <family val="2"/>
      <scheme val="minor"/>
    </font>
    <font>
      <sz val="11"/>
      <color rgb="FF242424"/>
      <name val="Consolas"/>
      <family val="3"/>
    </font>
    <font>
      <sz val="14"/>
      <color theme="5"/>
      <name val="Times New Roman"/>
      <family val="1"/>
    </font>
    <font>
      <b/>
      <sz val="12"/>
      <color theme="1"/>
      <name val="Times New Roman"/>
      <family val="2"/>
    </font>
    <font>
      <sz val="8"/>
      <name val="Times New Roman"/>
      <family val="2"/>
    </font>
    <font>
      <b/>
      <sz val="10"/>
      <color theme="1" tint="0.34998626667073579"/>
      <name val="Times New Roman"/>
      <family val="1"/>
    </font>
    <font>
      <b/>
      <sz val="11"/>
      <color theme="1"/>
      <name val="Aptos Narrow"/>
      <family val="2"/>
      <scheme val="minor"/>
    </font>
    <font>
      <i/>
      <sz val="10"/>
      <color theme="5" tint="-0.499984740745262"/>
      <name val="Times New Roman"/>
      <family val="1"/>
    </font>
    <font>
      <i/>
      <sz val="10"/>
      <color theme="6" tint="-0.499984740745262"/>
      <name val="Times New Roman"/>
      <family val="1"/>
    </font>
    <font>
      <u/>
      <sz val="10"/>
      <color theme="1" tint="0.34998626667073579"/>
      <name val="Times New Roman"/>
      <family val="1"/>
    </font>
    <font>
      <b/>
      <vertAlign val="subscript"/>
      <sz val="12"/>
      <color theme="1"/>
      <name val="Times New Roman"/>
      <family val="1"/>
    </font>
    <font>
      <b/>
      <vertAlign val="subscript"/>
      <sz val="11"/>
      <color rgb="FF183C1B"/>
      <name val="Times New Roman"/>
      <family val="1"/>
    </font>
    <font>
      <sz val="9"/>
      <color theme="1" tint="0.499984740745262"/>
      <name val="Courier New"/>
      <family val="3"/>
    </font>
    <font>
      <vertAlign val="subscript"/>
      <sz val="12"/>
      <color theme="1" tint="0.24994659260841701"/>
      <name val="Times New Roman"/>
      <family val="1"/>
    </font>
    <font>
      <b/>
      <vertAlign val="subscript"/>
      <sz val="12"/>
      <color theme="1" tint="0.24994659260841701"/>
      <name val="Times New Roman"/>
      <family val="1"/>
    </font>
    <font>
      <vertAlign val="subscript"/>
      <sz val="10"/>
      <color theme="1" tint="0.34998626667073579"/>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b/>
      <sz val="14"/>
      <color theme="1" tint="0.24994659260841701"/>
      <name val="Times New Roman"/>
      <family val="1"/>
    </font>
    <font>
      <b/>
      <sz val="12"/>
      <color rgb="FFC44340"/>
      <name val="Times New Roman"/>
      <family val="1"/>
    </font>
    <font>
      <i/>
      <sz val="12"/>
      <color rgb="FFC44340"/>
      <name val="Times New Roman"/>
      <family val="1"/>
    </font>
    <font>
      <sz val="16"/>
      <name val="Times New Roman"/>
      <family val="1"/>
    </font>
    <font>
      <b/>
      <vertAlign val="subscript"/>
      <sz val="14"/>
      <color theme="1" tint="0.24994659260841701"/>
      <name val="Times New Roman"/>
      <family val="1"/>
    </font>
    <font>
      <b/>
      <vertAlign val="subscript"/>
      <sz val="16"/>
      <color theme="1" tint="0.24994659260841701"/>
      <name val="Times New Roman"/>
      <family val="1"/>
    </font>
    <font>
      <b/>
      <vertAlign val="superscript"/>
      <sz val="11"/>
      <color rgb="FF183C1B"/>
      <name val="Times New Roman"/>
      <family val="1"/>
    </font>
    <font>
      <u/>
      <sz val="12"/>
      <color theme="10"/>
      <name val="Times New Roman"/>
      <family val="2"/>
    </font>
    <font>
      <b/>
      <sz val="20"/>
      <color theme="7" tint="-0.499984740745262"/>
      <name val="Times New Roman"/>
      <family val="1"/>
    </font>
    <font>
      <b/>
      <sz val="11"/>
      <color theme="1"/>
      <name val="Aptos Narrow"/>
      <family val="1"/>
      <scheme val="minor"/>
    </font>
    <font>
      <b/>
      <sz val="14"/>
      <color theme="1"/>
      <name val="Aptos Narrow"/>
      <family val="1"/>
      <scheme val="minor"/>
    </font>
    <font>
      <b/>
      <sz val="12"/>
      <color theme="0"/>
      <name val="Times New Roman"/>
      <family val="1"/>
    </font>
  </fonts>
  <fills count="19">
    <fill>
      <patternFill patternType="none"/>
    </fill>
    <fill>
      <patternFill patternType="gray125"/>
    </fill>
    <fill>
      <patternFill patternType="solid">
        <fgColor theme="0" tint="-4.9989318521683403E-2"/>
        <bgColor indexed="64"/>
      </patternFill>
    </fill>
    <fill>
      <patternFill patternType="solid">
        <fgColor rgb="FF183C1B"/>
        <bgColor indexed="64"/>
      </patternFill>
    </fill>
    <fill>
      <patternFill patternType="solid">
        <fgColor rgb="FFB2D498"/>
        <bgColor indexed="64"/>
      </patternFill>
    </fill>
    <fill>
      <patternFill patternType="solid">
        <fgColor theme="0"/>
        <bgColor indexed="64"/>
      </patternFill>
    </fill>
    <fill>
      <patternFill patternType="solid">
        <fgColor theme="1" tint="0.499984740745262"/>
        <bgColor indexed="64"/>
      </patternFill>
    </fill>
    <fill>
      <patternFill patternType="solid">
        <fgColor rgb="FF533001"/>
        <bgColor indexed="64"/>
      </patternFill>
    </fill>
    <fill>
      <patternFill patternType="solid">
        <fgColor theme="3" tint="0.89996032593768116"/>
        <bgColor indexed="64"/>
      </patternFill>
    </fill>
    <fill>
      <patternFill patternType="solid">
        <fgColor rgb="FFCC6600"/>
        <bgColor indexed="64"/>
      </patternFill>
    </fill>
    <fill>
      <patternFill patternType="solid">
        <fgColor rgb="FFFFCC66"/>
        <bgColor indexed="64"/>
      </patternFill>
    </fill>
    <fill>
      <gradientFill degree="90">
        <stop position="0">
          <color theme="0"/>
        </stop>
        <stop position="1">
          <color theme="0" tint="-5.0965910824915313E-2"/>
        </stop>
      </gradientFill>
    </fill>
    <fill>
      <patternFill patternType="solid">
        <fgColor rgb="FF008000"/>
        <bgColor indexed="64"/>
      </patternFill>
    </fill>
    <fill>
      <patternFill patternType="solid">
        <fgColor rgb="FFFFFF00"/>
        <bgColor indexed="64"/>
      </patternFill>
    </fill>
    <fill>
      <patternFill patternType="solid">
        <fgColor theme="9" tint="0.59999389629810485"/>
        <bgColor indexed="64"/>
      </patternFill>
    </fill>
    <fill>
      <patternFill patternType="solid">
        <fgColor rgb="FFDCECD0"/>
        <bgColor indexed="64"/>
      </patternFill>
    </fill>
    <fill>
      <patternFill patternType="solid">
        <fgColor rgb="FFFFEBC1"/>
        <bgColor indexed="64"/>
      </patternFill>
    </fill>
    <fill>
      <patternFill patternType="solid">
        <fgColor theme="7" tint="-0.499984740745262"/>
        <bgColor indexed="64"/>
      </patternFill>
    </fill>
    <fill>
      <patternFill patternType="solid">
        <fgColor theme="4" tint="-0.249977111117893"/>
        <bgColor indexed="64"/>
      </patternFill>
    </fill>
  </fills>
  <borders count="30">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top/>
      <bottom style="thin">
        <color theme="3" tint="0.749961851863155"/>
      </bottom>
      <diagonal/>
    </border>
    <border>
      <left/>
      <right style="thin">
        <color theme="3" tint="0.749961851863155"/>
      </right>
      <top/>
      <bottom style="thin">
        <color theme="3" tint="0.749961851863155"/>
      </bottom>
      <diagonal/>
    </border>
    <border>
      <left/>
      <right/>
      <top style="thin">
        <color indexed="64"/>
      </top>
      <bottom/>
      <diagonal/>
    </border>
    <border>
      <left style="thin">
        <color theme="3" tint="0.749961851863155"/>
      </left>
      <right style="thin">
        <color theme="3" tint="0.749961851863155"/>
      </right>
      <top/>
      <bottom style="thin">
        <color theme="3" tint="0.749961851863155"/>
      </bottom>
      <diagonal/>
    </border>
    <border>
      <left style="thin">
        <color theme="0" tint="-0.34998626667073579"/>
      </left>
      <right style="thin">
        <color theme="0" tint="-0.34998626667073579"/>
      </right>
      <top/>
      <bottom/>
      <diagonal/>
    </border>
    <border>
      <left style="thin">
        <color theme="3" tint="0.749961851863155"/>
      </left>
      <right/>
      <top/>
      <bottom/>
      <diagonal/>
    </border>
    <border>
      <left/>
      <right style="thin">
        <color theme="3" tint="0.749961851863155"/>
      </right>
      <top/>
      <bottom/>
      <diagonal/>
    </border>
    <border>
      <left style="thin">
        <color theme="3" tint="0.749961851863155"/>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1" tint="0.249977111117893"/>
      </top>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1" tint="0.499984740745262"/>
      </top>
      <bottom/>
      <diagonal/>
    </border>
    <border>
      <left style="thin">
        <color theme="0" tint="-0.34998626667073579"/>
      </left>
      <right style="thin">
        <color theme="0" tint="-0.34998626667073579"/>
      </right>
      <top style="thin">
        <color theme="0" tint="-0.34998626667073579"/>
      </top>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0" tint="-0.34998626667073579"/>
      </left>
      <right style="thin">
        <color theme="0" tint="-0.34998626667073579"/>
      </right>
      <top style="thin">
        <color indexed="64"/>
      </top>
      <bottom/>
      <diagonal/>
    </border>
    <border>
      <left style="thin">
        <color theme="0" tint="-0.34998626667073579"/>
      </left>
      <right style="thin">
        <color theme="0" tint="-0.34998626667073579"/>
      </right>
      <top style="thin">
        <color indexed="64"/>
      </top>
      <bottom style="thin">
        <color indexed="64"/>
      </bottom>
      <diagonal/>
    </border>
    <border>
      <left style="thin">
        <color theme="0" tint="-0.34998626667073579"/>
      </left>
      <right style="thin">
        <color theme="0" tint="-0.34998626667073579"/>
      </right>
      <top style="thin">
        <color indexed="64"/>
      </top>
      <bottom style="thin">
        <color theme="0" tint="-0.34998626667073579"/>
      </bottom>
      <diagonal/>
    </border>
    <border>
      <left/>
      <right/>
      <top/>
      <bottom style="thin">
        <color indexed="64"/>
      </bottom>
      <diagonal/>
    </border>
    <border>
      <left/>
      <right/>
      <top style="thin">
        <color theme="0" tint="-0.34998626667073579"/>
      </top>
      <bottom style="thin">
        <color theme="0" tint="-0.34998626667073579"/>
      </bottom>
      <diagonal/>
    </border>
  </borders>
  <cellStyleXfs count="58">
    <xf numFmtId="0" fontId="0" fillId="0" borderId="0"/>
    <xf numFmtId="0" fontId="1" fillId="0" borderId="0"/>
    <xf numFmtId="0" fontId="2" fillId="0" borderId="0">
      <alignment vertical="center"/>
    </xf>
    <xf numFmtId="0" fontId="3" fillId="0" borderId="0"/>
    <xf numFmtId="0" fontId="4" fillId="2" borderId="0">
      <alignment horizontal="left" vertical="center"/>
    </xf>
    <xf numFmtId="0" fontId="5" fillId="3" borderId="0">
      <alignment vertical="center"/>
    </xf>
    <xf numFmtId="0" fontId="6" fillId="2" borderId="0">
      <alignment horizontal="left" vertical="center"/>
    </xf>
    <xf numFmtId="0" fontId="7" fillId="2" borderId="0">
      <alignment horizontal="left" vertical="center"/>
    </xf>
    <xf numFmtId="0" fontId="8" fillId="2" borderId="0">
      <alignment vertical="center"/>
    </xf>
    <xf numFmtId="0" fontId="9" fillId="2" borderId="0">
      <alignment horizontal="left" vertical="center"/>
    </xf>
    <xf numFmtId="0" fontId="10" fillId="2" borderId="0">
      <alignment horizontal="left" vertical="center"/>
    </xf>
    <xf numFmtId="0" fontId="11" fillId="0" borderId="0">
      <alignment horizontal="left" vertical="center" indent="1"/>
    </xf>
    <xf numFmtId="0" fontId="13" fillId="5" borderId="2">
      <alignment horizontal="left" vertical="center" indent="1"/>
    </xf>
    <xf numFmtId="0" fontId="18" fillId="6" borderId="0">
      <alignment horizontal="left" vertical="center" indent="1"/>
    </xf>
    <xf numFmtId="0" fontId="21" fillId="0" borderId="0"/>
    <xf numFmtId="0" fontId="5" fillId="7" borderId="0">
      <alignment vertical="center"/>
    </xf>
    <xf numFmtId="0" fontId="22" fillId="8" borderId="3">
      <alignment horizontal="left" vertical="center"/>
    </xf>
    <xf numFmtId="0" fontId="18" fillId="9" borderId="0">
      <alignment horizontal="left" vertical="center" indent="1"/>
    </xf>
    <xf numFmtId="0" fontId="23" fillId="10" borderId="0">
      <alignment horizontal="center" vertical="center"/>
      <protection locked="0"/>
    </xf>
    <xf numFmtId="0" fontId="4" fillId="11" borderId="1">
      <alignment horizontal="center" vertical="center"/>
    </xf>
    <xf numFmtId="0" fontId="24" fillId="2" borderId="1">
      <alignment horizontal="center" vertical="center"/>
    </xf>
    <xf numFmtId="9" fontId="11" fillId="0" borderId="1">
      <alignment horizontal="center" vertical="center"/>
    </xf>
    <xf numFmtId="0" fontId="26" fillId="0" borderId="0"/>
    <xf numFmtId="0" fontId="27" fillId="2" borderId="0">
      <alignment horizontal="left" vertical="center"/>
    </xf>
    <xf numFmtId="0" fontId="28" fillId="2" borderId="0">
      <alignment horizontal="left" vertical="center"/>
    </xf>
    <xf numFmtId="0" fontId="29" fillId="2" borderId="0">
      <alignment horizontal="left" vertical="center"/>
    </xf>
    <xf numFmtId="0" fontId="30" fillId="4" borderId="0">
      <alignment horizontal="center" vertical="center"/>
    </xf>
    <xf numFmtId="0" fontId="31" fillId="2" borderId="0" applyNumberFormat="0">
      <alignment horizontal="center" vertical="center"/>
    </xf>
    <xf numFmtId="0" fontId="32" fillId="2" borderId="0">
      <alignment horizontal="left" vertical="center"/>
    </xf>
    <xf numFmtId="0" fontId="10" fillId="2" borderId="0">
      <alignment horizontal="left" vertical="center" indent="1"/>
    </xf>
    <xf numFmtId="0" fontId="11" fillId="0" borderId="1">
      <alignment horizontal="center" vertical="center"/>
    </xf>
    <xf numFmtId="0" fontId="36" fillId="2" borderId="0">
      <alignment horizontal="left" vertical="center"/>
    </xf>
    <xf numFmtId="4" fontId="11" fillId="0" borderId="1">
      <alignment horizontal="center" vertical="center"/>
    </xf>
    <xf numFmtId="0" fontId="3" fillId="0" borderId="0"/>
    <xf numFmtId="43" fontId="3" fillId="0" borderId="0" applyFont="0" applyFill="0" applyBorder="0" applyAlignment="0" applyProtection="0"/>
    <xf numFmtId="0" fontId="11" fillId="0" borderId="1">
      <alignment horizontal="center" vertical="center"/>
    </xf>
    <xf numFmtId="9" fontId="3" fillId="0" borderId="0" applyFont="0" applyFill="0" applyBorder="0" applyAlignment="0" applyProtection="0"/>
    <xf numFmtId="164" fontId="24" fillId="2" borderId="1">
      <alignment horizontal="center" vertical="center"/>
    </xf>
    <xf numFmtId="0" fontId="41" fillId="2" borderId="0">
      <alignment vertical="center"/>
    </xf>
    <xf numFmtId="166" fontId="11" fillId="0" borderId="1">
      <alignment horizontal="center" vertical="center"/>
    </xf>
    <xf numFmtId="3" fontId="24" fillId="2" borderId="1">
      <alignment horizontal="center" vertical="center"/>
    </xf>
    <xf numFmtId="167" fontId="45" fillId="2" borderId="20">
      <alignment horizontal="center" vertical="center"/>
    </xf>
    <xf numFmtId="0" fontId="50" fillId="0" borderId="0" applyNumberFormat="0" applyFill="0" applyBorder="0" applyAlignment="0" applyProtection="0"/>
    <xf numFmtId="3" fontId="11" fillId="0" borderId="1">
      <alignment horizontal="center" vertical="center"/>
    </xf>
    <xf numFmtId="0" fontId="30" fillId="4" borderId="0">
      <alignment horizontal="left" vertical="center" indent="1"/>
      <protection locked="0"/>
    </xf>
    <xf numFmtId="0" fontId="18" fillId="12" borderId="0">
      <alignment horizontal="left" vertical="center" indent="1"/>
    </xf>
    <xf numFmtId="0" fontId="52" fillId="2" borderId="0">
      <alignment horizontal="left" vertical="center"/>
    </xf>
    <xf numFmtId="0" fontId="23" fillId="10" borderId="0">
      <alignment horizontal="left" vertical="center" indent="1"/>
    </xf>
    <xf numFmtId="0" fontId="24" fillId="2" borderId="1">
      <alignment horizontal="left" vertical="center"/>
    </xf>
    <xf numFmtId="0" fontId="57" fillId="16" borderId="1">
      <alignment horizontal="center" vertical="center"/>
    </xf>
    <xf numFmtId="0" fontId="58" fillId="15" borderId="1">
      <alignment horizontal="center" vertical="center"/>
    </xf>
    <xf numFmtId="0" fontId="59" fillId="2" borderId="1">
      <alignment horizontal="left" vertical="center"/>
    </xf>
    <xf numFmtId="0" fontId="62" fillId="2" borderId="0">
      <alignment horizontal="left" vertical="center"/>
    </xf>
    <xf numFmtId="0" fontId="57" fillId="14" borderId="1">
      <alignment horizontal="center" vertical="center"/>
    </xf>
    <xf numFmtId="4" fontId="24" fillId="2" borderId="1">
      <alignment horizontal="center" vertical="center"/>
    </xf>
    <xf numFmtId="0" fontId="76" fillId="0" borderId="0" applyNumberFormat="0" applyFill="0" applyBorder="0" applyAlignment="0" applyProtection="0"/>
    <xf numFmtId="0" fontId="80" fillId="18" borderId="0">
      <alignment horizontal="center" vertical="center"/>
    </xf>
    <xf numFmtId="167" fontId="45" fillId="2" borderId="0">
      <alignment horizontal="center" vertical="center"/>
    </xf>
  </cellStyleXfs>
  <cellXfs count="227">
    <xf numFmtId="0" fontId="0" fillId="0" borderId="0" xfId="0"/>
    <xf numFmtId="0" fontId="1" fillId="0" borderId="0" xfId="1"/>
    <xf numFmtId="0" fontId="2" fillId="0" borderId="0" xfId="2">
      <alignment vertical="center"/>
    </xf>
    <xf numFmtId="0" fontId="3" fillId="0" borderId="0" xfId="3"/>
    <xf numFmtId="0" fontId="4" fillId="0" borderId="0" xfId="4" applyFill="1">
      <alignment horizontal="left" vertical="center"/>
    </xf>
    <xf numFmtId="0" fontId="5" fillId="3" borderId="0" xfId="5">
      <alignment vertical="center"/>
    </xf>
    <xf numFmtId="0" fontId="5" fillId="0" borderId="0" xfId="5" applyFill="1">
      <alignment vertical="center"/>
    </xf>
    <xf numFmtId="0" fontId="4" fillId="2" borderId="0" xfId="4">
      <alignment horizontal="left" vertical="center"/>
    </xf>
    <xf numFmtId="0" fontId="6" fillId="2" borderId="0" xfId="6">
      <alignment horizontal="left" vertical="center"/>
    </xf>
    <xf numFmtId="0" fontId="7" fillId="2" borderId="0" xfId="7">
      <alignment horizontal="left" vertical="center"/>
    </xf>
    <xf numFmtId="0" fontId="0" fillId="0" borderId="0" xfId="6" applyFont="1" applyFill="1">
      <alignment horizontal="left" vertical="center"/>
    </xf>
    <xf numFmtId="0" fontId="8" fillId="2" borderId="0" xfId="8">
      <alignment vertical="center"/>
    </xf>
    <xf numFmtId="0" fontId="9" fillId="2" borderId="0" xfId="9">
      <alignment horizontal="left" vertical="center"/>
    </xf>
    <xf numFmtId="0" fontId="10" fillId="2" borderId="0" xfId="10">
      <alignment horizontal="left" vertical="center"/>
    </xf>
    <xf numFmtId="0" fontId="3" fillId="2" borderId="0" xfId="3" applyFill="1"/>
    <xf numFmtId="0" fontId="0" fillId="0" borderId="0" xfId="4" applyFont="1" applyFill="1">
      <alignment horizontal="left" vertical="center"/>
    </xf>
    <xf numFmtId="0" fontId="11" fillId="0" borderId="0" xfId="11">
      <alignment horizontal="left" vertical="center" indent="1"/>
    </xf>
    <xf numFmtId="0" fontId="12" fillId="2" borderId="0" xfId="3" applyFont="1" applyFill="1"/>
    <xf numFmtId="0" fontId="11" fillId="5" borderId="0" xfId="4" applyFont="1" applyFill="1" applyAlignment="1">
      <alignment horizontal="left" vertical="center" indent="1"/>
    </xf>
    <xf numFmtId="0" fontId="14" fillId="5" borderId="2" xfId="12" applyFont="1">
      <alignment horizontal="left" vertical="center" indent="1"/>
    </xf>
    <xf numFmtId="0" fontId="15" fillId="0" borderId="0" xfId="3" applyFont="1" applyAlignment="1">
      <alignment vertical="center" wrapText="1"/>
    </xf>
    <xf numFmtId="0" fontId="16" fillId="5" borderId="2" xfId="12" applyFont="1">
      <alignment horizontal="left" vertical="center" indent="1"/>
    </xf>
    <xf numFmtId="0" fontId="17" fillId="0" borderId="0" xfId="3" applyFont="1" applyAlignment="1">
      <alignment horizontal="left" vertical="center"/>
    </xf>
    <xf numFmtId="0" fontId="13" fillId="5" borderId="2" xfId="12">
      <alignment horizontal="left" vertical="center" indent="1"/>
    </xf>
    <xf numFmtId="0" fontId="18" fillId="6" borderId="0" xfId="13">
      <alignment horizontal="left" vertical="center" indent="1"/>
    </xf>
    <xf numFmtId="0" fontId="17" fillId="0" borderId="0" xfId="6" applyFont="1" applyFill="1">
      <alignment horizontal="left" vertical="center"/>
    </xf>
    <xf numFmtId="0" fontId="15" fillId="0" borderId="0" xfId="3" applyFont="1" applyAlignment="1">
      <alignment vertical="center"/>
    </xf>
    <xf numFmtId="0" fontId="15" fillId="0" borderId="0" xfId="3" applyFont="1" applyAlignment="1">
      <alignment horizontal="left" vertical="center"/>
    </xf>
    <xf numFmtId="0" fontId="19" fillId="2" borderId="0" xfId="6" applyFont="1">
      <alignment horizontal="left" vertical="center"/>
    </xf>
    <xf numFmtId="0" fontId="3" fillId="0" borderId="0" xfId="3" applyAlignment="1">
      <alignment horizontal="left" vertical="center"/>
    </xf>
    <xf numFmtId="0" fontId="6" fillId="2" borderId="0" xfId="6" applyAlignment="1">
      <alignment horizontal="right" vertical="center"/>
    </xf>
    <xf numFmtId="0" fontId="15" fillId="2" borderId="0" xfId="3" applyFont="1" applyFill="1" applyAlignment="1">
      <alignment horizontal="left" vertical="center"/>
    </xf>
    <xf numFmtId="0" fontId="19" fillId="2" borderId="0" xfId="6" applyFont="1" applyAlignment="1">
      <alignment horizontal="right" vertical="center"/>
    </xf>
    <xf numFmtId="0" fontId="20" fillId="2" borderId="0" xfId="3" applyFont="1" applyFill="1"/>
    <xf numFmtId="0" fontId="15" fillId="0" borderId="0" xfId="3" applyFont="1"/>
    <xf numFmtId="0" fontId="15" fillId="0" borderId="0" xfId="4" applyFont="1" applyFill="1">
      <alignment horizontal="left" vertical="center"/>
    </xf>
    <xf numFmtId="0" fontId="15" fillId="2" borderId="0" xfId="3" applyFont="1" applyFill="1"/>
    <xf numFmtId="0" fontId="15" fillId="2" borderId="0" xfId="4" applyFont="1">
      <alignment horizontal="left" vertical="center"/>
    </xf>
    <xf numFmtId="0" fontId="21" fillId="0" borderId="0" xfId="14"/>
    <xf numFmtId="0" fontId="5" fillId="7" borderId="0" xfId="15">
      <alignment vertical="center"/>
    </xf>
    <xf numFmtId="0" fontId="22" fillId="8" borderId="4" xfId="16" applyBorder="1">
      <alignment horizontal="left" vertical="center"/>
    </xf>
    <xf numFmtId="0" fontId="22" fillId="8" borderId="5" xfId="16" applyBorder="1">
      <alignment horizontal="left" vertical="center"/>
    </xf>
    <xf numFmtId="0" fontId="22" fillId="8" borderId="6" xfId="16" applyBorder="1">
      <alignment horizontal="left" vertical="center"/>
    </xf>
    <xf numFmtId="0" fontId="18" fillId="9" borderId="0" xfId="17">
      <alignment horizontal="left" vertical="center" indent="1"/>
    </xf>
    <xf numFmtId="0" fontId="22" fillId="8" borderId="7" xfId="16" applyBorder="1">
      <alignment horizontal="left" vertical="center"/>
    </xf>
    <xf numFmtId="0" fontId="22" fillId="8" borderId="8" xfId="16" applyBorder="1">
      <alignment horizontal="left" vertical="center"/>
    </xf>
    <xf numFmtId="0" fontId="22" fillId="8" borderId="9" xfId="16" applyBorder="1">
      <alignment horizontal="left" vertical="center"/>
    </xf>
    <xf numFmtId="0" fontId="23" fillId="10" borderId="0" xfId="18">
      <alignment horizontal="center" vertical="center"/>
      <protection locked="0"/>
    </xf>
    <xf numFmtId="0" fontId="4" fillId="11" borderId="1" xfId="19">
      <alignment horizontal="center" vertical="center"/>
    </xf>
    <xf numFmtId="0" fontId="0" fillId="0" borderId="0" xfId="4" applyFont="1" applyFill="1" applyAlignment="1">
      <alignment horizontal="center" vertical="center"/>
    </xf>
    <xf numFmtId="0" fontId="24" fillId="2" borderId="1" xfId="20">
      <alignment horizontal="center" vertical="center"/>
    </xf>
    <xf numFmtId="9" fontId="0" fillId="0" borderId="0" xfId="21" applyFont="1" applyBorder="1">
      <alignment horizontal="center" vertical="center"/>
    </xf>
    <xf numFmtId="0" fontId="25" fillId="0" borderId="0" xfId="11" applyFont="1">
      <alignment horizontal="left" vertical="center" indent="1"/>
    </xf>
    <xf numFmtId="0" fontId="6" fillId="2" borderId="0" xfId="6" applyAlignment="1">
      <alignment horizontal="left" vertical="center" wrapText="1"/>
    </xf>
    <xf numFmtId="0" fontId="3" fillId="0" borderId="0" xfId="3" applyAlignment="1">
      <alignment wrapText="1"/>
    </xf>
    <xf numFmtId="0" fontId="12" fillId="0" borderId="0" xfId="3" applyFont="1" applyAlignment="1">
      <alignment wrapText="1"/>
    </xf>
    <xf numFmtId="0" fontId="26" fillId="0" borderId="0" xfId="22"/>
    <xf numFmtId="0" fontId="27" fillId="2" borderId="0" xfId="23">
      <alignment horizontal="left" vertical="center"/>
    </xf>
    <xf numFmtId="0" fontId="28" fillId="2" borderId="0" xfId="24">
      <alignment horizontal="left" vertical="center"/>
    </xf>
    <xf numFmtId="0" fontId="29" fillId="2" borderId="0" xfId="25">
      <alignment horizontal="left" vertical="center"/>
    </xf>
    <xf numFmtId="0" fontId="30" fillId="4" borderId="0" xfId="26">
      <alignment horizontal="center" vertical="center"/>
    </xf>
    <xf numFmtId="0" fontId="31" fillId="2" borderId="0" xfId="27" applyAlignment="1">
      <alignment horizontal="left" vertical="center"/>
    </xf>
    <xf numFmtId="0" fontId="32" fillId="2" borderId="0" xfId="28">
      <alignment horizontal="left" vertical="center"/>
    </xf>
    <xf numFmtId="0" fontId="4" fillId="2" borderId="10" xfId="4" applyBorder="1">
      <alignment horizontal="left" vertical="center"/>
    </xf>
    <xf numFmtId="0" fontId="31" fillId="2" borderId="10" xfId="27" applyBorder="1" applyAlignment="1">
      <alignment horizontal="left" vertical="center"/>
    </xf>
    <xf numFmtId="0" fontId="3" fillId="0" borderId="0" xfId="3" applyAlignment="1">
      <alignment vertical="center"/>
    </xf>
    <xf numFmtId="0" fontId="3" fillId="0" borderId="0" xfId="3" applyAlignment="1">
      <alignment vertical="center" wrapText="1"/>
    </xf>
    <xf numFmtId="0" fontId="3" fillId="0" borderId="0" xfId="3" applyAlignment="1">
      <alignment horizontal="center" vertical="center" wrapText="1"/>
    </xf>
    <xf numFmtId="0" fontId="10" fillId="2" borderId="0" xfId="29">
      <alignment horizontal="left" vertical="center" indent="1"/>
    </xf>
    <xf numFmtId="0" fontId="11" fillId="0" borderId="1" xfId="30">
      <alignment horizontal="center" vertical="center"/>
    </xf>
    <xf numFmtId="0" fontId="34" fillId="2" borderId="0" xfId="3" applyFont="1" applyFill="1" applyAlignment="1">
      <alignment horizontal="center" vertical="center"/>
    </xf>
    <xf numFmtId="0" fontId="34" fillId="2" borderId="0" xfId="3" applyFont="1" applyFill="1"/>
    <xf numFmtId="0" fontId="35" fillId="2" borderId="0" xfId="3" applyFont="1" applyFill="1"/>
    <xf numFmtId="0" fontId="22" fillId="8" borderId="11" xfId="16" applyBorder="1">
      <alignment horizontal="left" vertical="center"/>
    </xf>
    <xf numFmtId="0" fontId="36" fillId="2" borderId="0" xfId="31">
      <alignment horizontal="left" vertical="center"/>
    </xf>
    <xf numFmtId="0" fontId="3" fillId="0" borderId="0" xfId="3" applyAlignment="1" applyProtection="1">
      <alignment horizontal="center" vertical="center" wrapText="1"/>
      <protection locked="0"/>
    </xf>
    <xf numFmtId="0" fontId="4" fillId="11" borderId="1" xfId="19" applyAlignment="1">
      <alignment horizontal="center" vertical="center" wrapText="1"/>
    </xf>
    <xf numFmtId="4" fontId="0" fillId="0" borderId="0" xfId="32" applyFont="1" applyBorder="1" applyAlignment="1">
      <alignment horizontal="center" vertical="center" wrapText="1"/>
    </xf>
    <xf numFmtId="0" fontId="24" fillId="2" borderId="1" xfId="20" applyAlignment="1">
      <alignment horizontal="center" vertical="center" wrapText="1"/>
    </xf>
    <xf numFmtId="0" fontId="37" fillId="2" borderId="0" xfId="33" applyFont="1" applyFill="1" applyAlignment="1">
      <alignment horizontal="left" vertical="center" wrapText="1"/>
    </xf>
    <xf numFmtId="2" fontId="34" fillId="2" borderId="0" xfId="34" applyNumberFormat="1" applyFont="1" applyFill="1" applyBorder="1" applyAlignment="1" applyProtection="1">
      <alignment horizontal="center" wrapText="1"/>
      <protection locked="0"/>
    </xf>
    <xf numFmtId="1" fontId="34" fillId="2" borderId="0" xfId="34" applyNumberFormat="1" applyFont="1" applyFill="1" applyBorder="1" applyAlignment="1" applyProtection="1">
      <alignment horizontal="center" wrapText="1"/>
      <protection locked="0"/>
    </xf>
    <xf numFmtId="0" fontId="34" fillId="2" borderId="0" xfId="3" applyFont="1" applyFill="1" applyAlignment="1">
      <alignment horizontal="left" wrapText="1"/>
    </xf>
    <xf numFmtId="0" fontId="35" fillId="2" borderId="0" xfId="3" applyFont="1" applyFill="1" applyAlignment="1">
      <alignment wrapText="1"/>
    </xf>
    <xf numFmtId="0" fontId="36" fillId="2" borderId="0" xfId="31" applyAlignment="1">
      <alignment horizontal="left" vertical="center" wrapText="1"/>
    </xf>
    <xf numFmtId="0" fontId="3" fillId="2" borderId="0" xfId="3" applyFill="1" applyAlignment="1">
      <alignment wrapText="1"/>
    </xf>
    <xf numFmtId="0" fontId="11" fillId="0" borderId="1" xfId="35">
      <alignment horizontal="center" vertical="center"/>
    </xf>
    <xf numFmtId="0" fontId="38" fillId="11" borderId="1" xfId="19" applyFont="1" applyAlignment="1">
      <alignment horizontal="center" vertical="center" wrapText="1"/>
    </xf>
    <xf numFmtId="9" fontId="0" fillId="0" borderId="0" xfId="36" applyFont="1" applyFill="1" applyBorder="1" applyAlignment="1">
      <alignment horizontal="center" vertical="center" wrapText="1"/>
    </xf>
    <xf numFmtId="0" fontId="38" fillId="11" borderId="1" xfId="19" applyFont="1">
      <alignment horizontal="center" vertical="center"/>
    </xf>
    <xf numFmtId="9" fontId="11" fillId="0" borderId="1" xfId="21">
      <alignment horizontal="center" vertical="center"/>
    </xf>
    <xf numFmtId="9" fontId="0" fillId="0" borderId="12" xfId="36" applyFont="1" applyFill="1" applyBorder="1" applyAlignment="1">
      <alignment horizontal="center" vertical="center" wrapText="1"/>
    </xf>
    <xf numFmtId="0" fontId="22" fillId="8" borderId="13" xfId="16" applyBorder="1">
      <alignment horizontal="left" vertical="center"/>
    </xf>
    <xf numFmtId="0" fontId="22" fillId="8" borderId="0" xfId="16" applyBorder="1">
      <alignment horizontal="left" vertical="center"/>
    </xf>
    <xf numFmtId="0" fontId="22" fillId="8" borderId="14" xfId="16" applyBorder="1">
      <alignment horizontal="left" vertical="center"/>
    </xf>
    <xf numFmtId="0" fontId="23" fillId="10" borderId="0" xfId="18" applyAlignment="1">
      <alignment horizontal="center" vertical="center" wrapText="1"/>
      <protection locked="0"/>
    </xf>
    <xf numFmtId="0" fontId="0" fillId="0" borderId="0" xfId="35" applyFont="1" applyBorder="1" applyAlignment="1">
      <alignment horizontal="center" vertical="center" wrapText="1"/>
    </xf>
    <xf numFmtId="9" fontId="4" fillId="2" borderId="0" xfId="36" applyFont="1" applyFill="1" applyAlignment="1">
      <alignment horizontal="center" vertical="center" wrapText="1"/>
    </xf>
    <xf numFmtId="9" fontId="3" fillId="2" borderId="0" xfId="3" applyNumberFormat="1" applyFill="1"/>
    <xf numFmtId="0" fontId="22" fillId="8" borderId="15" xfId="16" applyBorder="1">
      <alignment horizontal="left" vertical="center"/>
    </xf>
    <xf numFmtId="0" fontId="22" fillId="8" borderId="16" xfId="16" applyBorder="1">
      <alignment horizontal="left" vertical="center"/>
    </xf>
    <xf numFmtId="4" fontId="11" fillId="0" borderId="1" xfId="32">
      <alignment horizontal="center" vertical="center"/>
    </xf>
    <xf numFmtId="0" fontId="6" fillId="2" borderId="10" xfId="6" applyBorder="1">
      <alignment horizontal="left" vertical="center"/>
    </xf>
    <xf numFmtId="164" fontId="24" fillId="2" borderId="1" xfId="37">
      <alignment horizontal="center" vertical="center"/>
    </xf>
    <xf numFmtId="165" fontId="0" fillId="0" borderId="0" xfId="6" applyNumberFormat="1" applyFont="1" applyFill="1">
      <alignment horizontal="left" vertical="center"/>
    </xf>
    <xf numFmtId="0" fontId="31" fillId="2" borderId="0" xfId="27">
      <alignment horizontal="center" vertical="center"/>
    </xf>
    <xf numFmtId="43" fontId="6" fillId="2" borderId="0" xfId="6" applyNumberFormat="1">
      <alignment horizontal="left" vertical="center"/>
    </xf>
    <xf numFmtId="0" fontId="21" fillId="0" borderId="0" xfId="1" applyFont="1"/>
    <xf numFmtId="0" fontId="4" fillId="2" borderId="17" xfId="4" applyBorder="1">
      <alignment horizontal="left" vertical="center"/>
    </xf>
    <xf numFmtId="0" fontId="7" fillId="0" borderId="0" xfId="7" applyFill="1">
      <alignment horizontal="left" vertical="center"/>
    </xf>
    <xf numFmtId="0" fontId="41" fillId="2" borderId="0" xfId="38">
      <alignment vertical="center"/>
    </xf>
    <xf numFmtId="0" fontId="8" fillId="0" borderId="0" xfId="8" applyFill="1">
      <alignment vertical="center"/>
    </xf>
    <xf numFmtId="0" fontId="11" fillId="2" borderId="0" xfId="4" applyFont="1">
      <alignment horizontal="left" vertical="center"/>
    </xf>
    <xf numFmtId="0" fontId="6" fillId="0" borderId="0" xfId="6" applyFill="1">
      <alignment horizontal="left" vertical="center"/>
    </xf>
    <xf numFmtId="0" fontId="22" fillId="8" borderId="18" xfId="16" applyBorder="1">
      <alignment horizontal="left" vertical="center"/>
    </xf>
    <xf numFmtId="0" fontId="22" fillId="8" borderId="19" xfId="16" applyBorder="1">
      <alignment horizontal="left" vertical="center"/>
    </xf>
    <xf numFmtId="0" fontId="42" fillId="0" borderId="0" xfId="29" applyFont="1" applyFill="1" applyAlignment="1">
      <alignment horizontal="left" vertical="center"/>
    </xf>
    <xf numFmtId="166" fontId="11" fillId="0" borderId="1" xfId="39">
      <alignment horizontal="center" vertical="center"/>
    </xf>
    <xf numFmtId="164" fontId="24" fillId="2" borderId="1" xfId="40" applyNumberFormat="1">
      <alignment horizontal="center" vertical="center"/>
    </xf>
    <xf numFmtId="0" fontId="11" fillId="0" borderId="0" xfId="4" applyFont="1" applyFill="1">
      <alignment horizontal="left" vertical="center"/>
    </xf>
    <xf numFmtId="0" fontId="43" fillId="8" borderId="4" xfId="16" applyFont="1" applyBorder="1">
      <alignment horizontal="left" vertical="center"/>
    </xf>
    <xf numFmtId="4" fontId="11" fillId="2" borderId="0" xfId="32" applyFill="1" applyBorder="1">
      <alignment horizontal="center" vertical="center"/>
    </xf>
    <xf numFmtId="0" fontId="23" fillId="2" borderId="0" xfId="18" applyFill="1">
      <alignment horizontal="center" vertical="center"/>
      <protection locked="0"/>
    </xf>
    <xf numFmtId="0" fontId="37" fillId="0" borderId="0" xfId="3" applyFont="1" applyAlignment="1" applyProtection="1">
      <alignment horizontal="center" vertical="center"/>
      <protection locked="0"/>
    </xf>
    <xf numFmtId="4" fontId="44" fillId="0" borderId="0" xfId="32" applyFont="1" applyBorder="1">
      <alignment horizontal="center" vertical="center"/>
    </xf>
    <xf numFmtId="167" fontId="45" fillId="2" borderId="0" xfId="41" applyBorder="1">
      <alignment horizontal="center" vertical="center"/>
    </xf>
    <xf numFmtId="4" fontId="44" fillId="2" borderId="0" xfId="32" applyFont="1" applyFill="1" applyBorder="1">
      <alignment horizontal="center" vertical="center"/>
    </xf>
    <xf numFmtId="0" fontId="44" fillId="2" borderId="0" xfId="29" applyFont="1" applyAlignment="1">
      <alignment horizontal="center" vertical="center"/>
    </xf>
    <xf numFmtId="0" fontId="44" fillId="2" borderId="0" xfId="6" applyFont="1" applyAlignment="1">
      <alignment horizontal="center" vertical="center"/>
    </xf>
    <xf numFmtId="164" fontId="44" fillId="2" borderId="0" xfId="6" applyNumberFormat="1" applyFont="1" applyAlignment="1">
      <alignment horizontal="center" vertical="center"/>
    </xf>
    <xf numFmtId="9" fontId="44" fillId="2" borderId="0" xfId="36" applyFont="1" applyFill="1" applyBorder="1" applyAlignment="1">
      <alignment horizontal="center" vertical="center"/>
    </xf>
    <xf numFmtId="0" fontId="46" fillId="2" borderId="0" xfId="3" applyFont="1" applyFill="1" applyAlignment="1">
      <alignment horizontal="center" vertical="center"/>
    </xf>
    <xf numFmtId="0" fontId="46" fillId="2" borderId="0" xfId="3" applyFont="1" applyFill="1"/>
    <xf numFmtId="0" fontId="44" fillId="2" borderId="0" xfId="3" applyFont="1" applyFill="1"/>
    <xf numFmtId="0" fontId="44" fillId="0" borderId="0" xfId="3" applyFont="1"/>
    <xf numFmtId="0" fontId="47" fillId="2" borderId="0" xfId="4" applyFont="1" applyAlignment="1">
      <alignment horizontal="center" vertical="center"/>
    </xf>
    <xf numFmtId="0" fontId="48" fillId="2" borderId="0" xfId="4" applyFont="1" applyAlignment="1">
      <alignment horizontal="center" vertical="center"/>
    </xf>
    <xf numFmtId="164" fontId="48" fillId="2" borderId="0" xfId="4" applyNumberFormat="1" applyFont="1" applyAlignment="1">
      <alignment horizontal="center" vertical="center"/>
    </xf>
    <xf numFmtId="0" fontId="48" fillId="2" borderId="0" xfId="3" applyFont="1" applyFill="1" applyAlignment="1">
      <alignment horizontal="center" vertical="center"/>
    </xf>
    <xf numFmtId="0" fontId="49" fillId="2" borderId="0" xfId="3" applyFont="1" applyFill="1" applyAlignment="1">
      <alignment horizontal="center" vertical="center"/>
    </xf>
    <xf numFmtId="0" fontId="49" fillId="2" borderId="0" xfId="3" applyFont="1" applyFill="1" applyAlignment="1">
      <alignment horizontal="left" vertical="center"/>
    </xf>
    <xf numFmtId="14" fontId="4" fillId="2" borderId="0" xfId="4" applyNumberFormat="1">
      <alignment horizontal="left" vertical="center"/>
    </xf>
    <xf numFmtId="0" fontId="22" fillId="8" borderId="3" xfId="16">
      <alignment horizontal="left" vertical="center"/>
    </xf>
    <xf numFmtId="0" fontId="50" fillId="2" borderId="0" xfId="42" applyFill="1" applyBorder="1"/>
    <xf numFmtId="164" fontId="11" fillId="2" borderId="0" xfId="43" applyNumberFormat="1" applyFill="1" applyBorder="1">
      <alignment horizontal="center" vertical="center"/>
    </xf>
    <xf numFmtId="168" fontId="4" fillId="2" borderId="0" xfId="34" applyNumberFormat="1" applyFont="1" applyFill="1" applyBorder="1" applyAlignment="1">
      <alignment horizontal="center" vertical="center"/>
    </xf>
    <xf numFmtId="0" fontId="0" fillId="2" borderId="0" xfId="4" applyFont="1">
      <alignment horizontal="left" vertical="center"/>
    </xf>
    <xf numFmtId="0" fontId="51" fillId="2" borderId="0" xfId="3" applyFont="1" applyFill="1"/>
    <xf numFmtId="0" fontId="11" fillId="0" borderId="0" xfId="4" applyFont="1" applyFill="1" applyAlignment="1">
      <alignment horizontal="left" vertical="center" indent="1"/>
    </xf>
    <xf numFmtId="0" fontId="0" fillId="0" borderId="0" xfId="35" applyFont="1" applyBorder="1">
      <alignment horizontal="center" vertical="center"/>
    </xf>
    <xf numFmtId="0" fontId="52" fillId="2" borderId="0" xfId="46">
      <alignment horizontal="left" vertical="center"/>
    </xf>
    <xf numFmtId="0" fontId="34" fillId="2" borderId="0" xfId="3" applyFont="1" applyFill="1" applyAlignment="1" applyProtection="1">
      <alignment horizontal="center"/>
      <protection locked="0"/>
    </xf>
    <xf numFmtId="0" fontId="0" fillId="0" borderId="0" xfId="32" applyNumberFormat="1" applyFont="1" applyBorder="1">
      <alignment horizontal="center" vertical="center"/>
    </xf>
    <xf numFmtId="0" fontId="0" fillId="2" borderId="0" xfId="0" applyFill="1"/>
    <xf numFmtId="4" fontId="39" fillId="0" borderId="1" xfId="32" applyFont="1" applyAlignment="1">
      <alignment horizontal="center" vertical="center" wrapText="1"/>
    </xf>
    <xf numFmtId="0" fontId="4" fillId="11" borderId="21" xfId="19" applyBorder="1">
      <alignment horizontal="center" vertical="center"/>
    </xf>
    <xf numFmtId="0" fontId="11" fillId="0" borderId="21" xfId="30" applyBorder="1">
      <alignment horizontal="center" vertical="center"/>
    </xf>
    <xf numFmtId="0" fontId="55" fillId="2" borderId="1" xfId="20" applyFont="1">
      <alignment horizontal="center" vertical="center"/>
    </xf>
    <xf numFmtId="0" fontId="53" fillId="10" borderId="0" xfId="6" applyFont="1" applyFill="1">
      <alignment horizontal="left" vertical="center"/>
    </xf>
    <xf numFmtId="0" fontId="53" fillId="4" borderId="0" xfId="6" applyFont="1" applyFill="1">
      <alignment horizontal="left" vertical="center"/>
    </xf>
    <xf numFmtId="0" fontId="0" fillId="0" borderId="0" xfId="0" applyAlignment="1">
      <alignment horizontal="center" vertical="center" wrapText="1"/>
    </xf>
    <xf numFmtId="4" fontId="0" fillId="0" borderId="0" xfId="32" applyFont="1" applyBorder="1">
      <alignment horizontal="center" vertical="center"/>
    </xf>
    <xf numFmtId="0" fontId="0" fillId="0" borderId="0" xfId="47" applyFont="1" applyFill="1">
      <alignment horizontal="left" vertical="center" indent="1"/>
    </xf>
    <xf numFmtId="0" fontId="6" fillId="13" borderId="0" xfId="6" applyFill="1">
      <alignment horizontal="left" vertical="center"/>
    </xf>
    <xf numFmtId="15" fontId="11" fillId="0" borderId="1" xfId="35" applyNumberFormat="1">
      <alignment horizontal="center" vertical="center"/>
    </xf>
    <xf numFmtId="0" fontId="0" fillId="0" borderId="0" xfId="44" applyFont="1" applyFill="1">
      <alignment horizontal="left" vertical="center" indent="1"/>
      <protection locked="0"/>
    </xf>
    <xf numFmtId="0" fontId="56" fillId="4" borderId="0" xfId="6" applyFont="1" applyFill="1">
      <alignment horizontal="left" vertical="center"/>
    </xf>
    <xf numFmtId="0" fontId="24" fillId="2" borderId="21" xfId="20" applyBorder="1">
      <alignment horizontal="center" vertical="center"/>
    </xf>
    <xf numFmtId="0" fontId="0" fillId="0" borderId="0" xfId="6" applyFont="1" applyFill="1" applyAlignment="1">
      <alignment horizontal="left" vertical="center" wrapText="1"/>
    </xf>
    <xf numFmtId="0" fontId="4" fillId="11" borderId="21" xfId="19" applyBorder="1" applyAlignment="1">
      <alignment horizontal="center" vertical="center" wrapText="1"/>
    </xf>
    <xf numFmtId="0" fontId="0" fillId="0" borderId="0" xfId="18" applyFont="1" applyFill="1" applyProtection="1">
      <alignment horizontal="center" vertical="center"/>
    </xf>
    <xf numFmtId="0" fontId="0" fillId="0" borderId="1" xfId="30" applyFont="1">
      <alignment horizontal="center" vertical="center"/>
    </xf>
    <xf numFmtId="0" fontId="24" fillId="2" borderId="22" xfId="48" applyBorder="1">
      <alignment horizontal="left" vertical="center"/>
    </xf>
    <xf numFmtId="0" fontId="24" fillId="2" borderId="1" xfId="48">
      <alignment horizontal="left" vertical="center"/>
    </xf>
    <xf numFmtId="0" fontId="57" fillId="16" borderId="1" xfId="49">
      <alignment horizontal="center" vertical="center"/>
    </xf>
    <xf numFmtId="0" fontId="58" fillId="15" borderId="1" xfId="50">
      <alignment horizontal="center" vertical="center"/>
    </xf>
    <xf numFmtId="0" fontId="59" fillId="2" borderId="1" xfId="51">
      <alignment horizontal="left" vertical="center"/>
    </xf>
    <xf numFmtId="0" fontId="24" fillId="2" borderId="23" xfId="48" applyBorder="1">
      <alignment horizontal="left" vertical="center"/>
    </xf>
    <xf numFmtId="0" fontId="62" fillId="2" borderId="0" xfId="52">
      <alignment horizontal="left" vertical="center"/>
    </xf>
    <xf numFmtId="0" fontId="22" fillId="8" borderId="24" xfId="16" applyBorder="1">
      <alignment horizontal="left" vertical="center"/>
    </xf>
    <xf numFmtId="0" fontId="19" fillId="2" borderId="10" xfId="6" applyFont="1" applyBorder="1">
      <alignment horizontal="left" vertical="center"/>
    </xf>
    <xf numFmtId="0" fontId="10" fillId="2" borderId="10" xfId="10" applyBorder="1">
      <alignment horizontal="left" vertical="center"/>
    </xf>
    <xf numFmtId="0" fontId="66" fillId="2" borderId="10" xfId="6" applyFont="1" applyBorder="1">
      <alignment horizontal="left" vertical="center"/>
    </xf>
    <xf numFmtId="0" fontId="67" fillId="2" borderId="10" xfId="6" applyFont="1" applyBorder="1">
      <alignment horizontal="left" vertical="center"/>
    </xf>
    <xf numFmtId="0" fontId="68" fillId="2" borderId="10" xfId="10" applyFont="1" applyBorder="1">
      <alignment horizontal="left" vertical="center"/>
    </xf>
    <xf numFmtId="0" fontId="69" fillId="2" borderId="10" xfId="6" applyFont="1" applyBorder="1">
      <alignment horizontal="left" vertical="center"/>
    </xf>
    <xf numFmtId="0" fontId="18" fillId="12" borderId="0" xfId="45">
      <alignment horizontal="left" vertical="center" indent="1"/>
    </xf>
    <xf numFmtId="4" fontId="24" fillId="2" borderId="1" xfId="54">
      <alignment horizontal="center" vertical="center"/>
    </xf>
    <xf numFmtId="169" fontId="55" fillId="2" borderId="1" xfId="20" applyNumberFormat="1" applyFont="1">
      <alignment horizontal="center" vertical="center"/>
    </xf>
    <xf numFmtId="4" fontId="24" fillId="2" borderId="21" xfId="54" applyBorder="1">
      <alignment horizontal="center" vertical="center"/>
    </xf>
    <xf numFmtId="169" fontId="55" fillId="2" borderId="21" xfId="20" applyNumberFormat="1" applyFont="1" applyBorder="1">
      <alignment horizontal="center" vertical="center"/>
    </xf>
    <xf numFmtId="0" fontId="24" fillId="2" borderId="25" xfId="20" applyBorder="1">
      <alignment horizontal="center" vertical="center"/>
    </xf>
    <xf numFmtId="0" fontId="24" fillId="2" borderId="26" xfId="20" applyBorder="1">
      <alignment horizontal="center" vertical="center"/>
    </xf>
    <xf numFmtId="4" fontId="24" fillId="2" borderId="25" xfId="54" applyBorder="1">
      <alignment horizontal="center" vertical="center"/>
    </xf>
    <xf numFmtId="4" fontId="24" fillId="2" borderId="27" xfId="54" applyBorder="1">
      <alignment horizontal="center" vertical="center"/>
    </xf>
    <xf numFmtId="169" fontId="55" fillId="2" borderId="27" xfId="20" applyNumberFormat="1" applyFont="1" applyBorder="1">
      <alignment horizontal="center" vertical="center"/>
    </xf>
    <xf numFmtId="169" fontId="55" fillId="2" borderId="25" xfId="20" applyNumberFormat="1" applyFont="1" applyBorder="1">
      <alignment horizontal="center" vertical="center"/>
    </xf>
    <xf numFmtId="0" fontId="24" fillId="2" borderId="27" xfId="20" applyBorder="1">
      <alignment horizontal="center" vertical="center"/>
    </xf>
    <xf numFmtId="0" fontId="55" fillId="2" borderId="27" xfId="20" applyFont="1" applyBorder="1">
      <alignment horizontal="center" vertical="center"/>
    </xf>
    <xf numFmtId="0" fontId="4" fillId="2" borderId="28" xfId="4" applyBorder="1">
      <alignment horizontal="left" vertical="center"/>
    </xf>
    <xf numFmtId="170" fontId="12" fillId="2" borderId="28" xfId="3" applyNumberFormat="1" applyFont="1" applyFill="1" applyBorder="1"/>
    <xf numFmtId="0" fontId="10" fillId="2" borderId="28" xfId="29" applyBorder="1">
      <alignment horizontal="left" vertical="center" indent="1"/>
    </xf>
    <xf numFmtId="171" fontId="12" fillId="2" borderId="0" xfId="3" applyNumberFormat="1" applyFont="1" applyFill="1" applyAlignment="1">
      <alignment vertical="center"/>
    </xf>
    <xf numFmtId="170" fontId="12" fillId="2" borderId="28" xfId="3" applyNumberFormat="1" applyFont="1" applyFill="1" applyBorder="1" applyAlignment="1">
      <alignment vertical="center"/>
    </xf>
    <xf numFmtId="0" fontId="12" fillId="2" borderId="0" xfId="3" applyFont="1" applyFill="1" applyAlignment="1">
      <alignment vertical="center"/>
    </xf>
    <xf numFmtId="170" fontId="72" fillId="2" borderId="28" xfId="3" applyNumberFormat="1" applyFont="1" applyFill="1" applyBorder="1" applyAlignment="1">
      <alignment vertical="center"/>
    </xf>
    <xf numFmtId="171" fontId="55" fillId="2" borderId="1" xfId="54" applyNumberFormat="1" applyFont="1">
      <alignment horizontal="center" vertical="center"/>
    </xf>
    <xf numFmtId="171" fontId="55" fillId="2" borderId="21" xfId="54" applyNumberFormat="1" applyFont="1" applyBorder="1">
      <alignment horizontal="center" vertical="center"/>
    </xf>
    <xf numFmtId="171" fontId="55" fillId="2" borderId="27" xfId="54" applyNumberFormat="1" applyFont="1" applyBorder="1">
      <alignment horizontal="center" vertical="center"/>
    </xf>
    <xf numFmtId="9" fontId="24" fillId="2" borderId="1" xfId="48" applyNumberFormat="1">
      <alignment horizontal="left" vertical="center"/>
    </xf>
    <xf numFmtId="4" fontId="24" fillId="2" borderId="1" xfId="48" applyNumberFormat="1">
      <alignment horizontal="left" vertical="center"/>
    </xf>
    <xf numFmtId="0" fontId="24" fillId="2" borderId="29" xfId="48" applyBorder="1">
      <alignment horizontal="left" vertical="center"/>
    </xf>
    <xf numFmtId="0" fontId="24" fillId="2" borderId="1" xfId="20" applyAlignment="1">
      <alignment horizontal="left" vertical="center"/>
    </xf>
    <xf numFmtId="0" fontId="24" fillId="2" borderId="23" xfId="20" applyBorder="1" applyAlignment="1">
      <alignment horizontal="left" vertical="center"/>
    </xf>
    <xf numFmtId="0" fontId="24" fillId="2" borderId="29" xfId="20" applyBorder="1">
      <alignment horizontal="center" vertical="center"/>
    </xf>
    <xf numFmtId="0" fontId="24" fillId="2" borderId="22" xfId="20" applyBorder="1">
      <alignment horizontal="center" vertical="center"/>
    </xf>
    <xf numFmtId="0" fontId="77" fillId="0" borderId="0" xfId="1" applyFont="1"/>
    <xf numFmtId="0" fontId="5" fillId="17" borderId="0" xfId="5" applyFill="1">
      <alignment vertical="center"/>
    </xf>
    <xf numFmtId="2" fontId="0" fillId="2" borderId="0" xfId="0" applyNumberFormat="1" applyFill="1" applyAlignment="1">
      <alignment vertical="center"/>
    </xf>
    <xf numFmtId="0" fontId="78" fillId="2" borderId="0" xfId="0" applyFont="1" applyFill="1"/>
    <xf numFmtId="2" fontId="79" fillId="2" borderId="0" xfId="0" applyNumberFormat="1" applyFont="1" applyFill="1"/>
    <xf numFmtId="0" fontId="80" fillId="18" borderId="0" xfId="56">
      <alignment horizontal="center" vertical="center"/>
    </xf>
    <xf numFmtId="167" fontId="45" fillId="2" borderId="0" xfId="57">
      <alignment horizontal="center" vertical="center"/>
    </xf>
    <xf numFmtId="0" fontId="79" fillId="2" borderId="10" xfId="0" applyFont="1" applyFill="1" applyBorder="1"/>
    <xf numFmtId="2" fontId="79" fillId="2" borderId="10" xfId="0" applyNumberFormat="1" applyFont="1" applyFill="1" applyBorder="1" applyAlignment="1">
      <alignment horizontal="center"/>
    </xf>
    <xf numFmtId="0" fontId="6" fillId="2" borderId="0" xfId="6" applyAlignment="1">
      <alignment horizontal="left" vertical="center" indent="2"/>
    </xf>
    <xf numFmtId="0" fontId="76" fillId="2" borderId="0" xfId="55" applyFill="1" applyAlignment="1">
      <alignment horizontal="left" vertical="center"/>
    </xf>
  </cellXfs>
  <cellStyles count="58">
    <cellStyle name="Alert" xfId="23" xr:uid="{3F39CD44-D56D-45C9-A246-A65A1A3ADBF4}"/>
    <cellStyle name="Arguments" xfId="48" xr:uid="{24FB24F0-9395-431F-861C-79F133E7A9D9}"/>
    <cellStyle name="Arguments hyperlink" xfId="51" xr:uid="{4123AA26-F349-48FA-BB41-6EEAFE5BA85E}"/>
    <cellStyle name="Back to top link" xfId="22" xr:uid="{230A9A7E-DA97-4E33-8E5F-4D7839FBA039}"/>
    <cellStyle name="Block heading" xfId="7" xr:uid="{A6EDDAFA-B8D8-40FF-B101-8BFE28D1701A}"/>
    <cellStyle name="Block subheading" xfId="31" xr:uid="{52BE2BB4-1BDC-40FE-93FB-1C649469BD47}"/>
    <cellStyle name="Block subheading 2" xfId="46" xr:uid="{06FDAC58-57FB-4E73-B1C1-226CF25C2091}"/>
    <cellStyle name="Code" xfId="52" xr:uid="{58E3E973-4813-4B7D-9C77-114331E30D35}"/>
    <cellStyle name="Comma 2" xfId="34" xr:uid="{609B8DE8-4A36-4FAD-9F34-0622FEFB85FB}"/>
    <cellStyle name="Content bold" xfId="4" xr:uid="{0E72D19E-A55B-4AF2-923A-4CDF3C6E2299}"/>
    <cellStyle name="Content hidden" xfId="28" xr:uid="{22412800-3532-4AA7-9F07-A6D4EF63A552}"/>
    <cellStyle name="Content normal" xfId="6" xr:uid="{13BC567A-D662-4805-8468-BBBA4C8CE7AA}"/>
    <cellStyle name="Equation column header" xfId="26" xr:uid="{BD920EFB-2043-4B8A-93F9-9A30F615DB41}"/>
    <cellStyle name="Equation source" xfId="8" xr:uid="{3FE2BBF2-F7FD-4E95-839B-AA2C60524E83}"/>
    <cellStyle name="Equation table header" xfId="44" xr:uid="{3730BD44-BE27-45B0-8628-0B6EF06E3F06}"/>
    <cellStyle name="Hyperlink" xfId="55" builtinId="8"/>
    <cellStyle name="Hyperlink 2" xfId="42" xr:uid="{6331474C-FF18-4032-8996-D62E369D274F}"/>
    <cellStyle name="Information tip" xfId="16" xr:uid="{CB83DB3A-186D-4F78-8454-E39BB6213725}"/>
    <cellStyle name="Information variation" xfId="9" xr:uid="{7B4B3E2F-BD1C-423C-B5E5-F42A08AF87FE}"/>
    <cellStyle name="Input block subheading" xfId="38" xr:uid="{FFC685BD-16E1-4120-B221-39364EB49624}"/>
    <cellStyle name="Input date" xfId="39" xr:uid="{B26C7C63-2887-4AC8-B43C-4ED1A5222E87}"/>
    <cellStyle name="Input date calculated" xfId="37" xr:uid="{C0471CB8-A147-4E5D-BC85-348602DA6CBA}"/>
    <cellStyle name="Input number 2 decimal places" xfId="32" xr:uid="{FB11183C-5A35-4D81-905A-36B31D00BA07}"/>
    <cellStyle name="Input number 2 decimal places calculated" xfId="54" xr:uid="{8CA4580B-4705-4E32-8D78-1EC1848820D3}"/>
    <cellStyle name="Input number general" xfId="30" xr:uid="{F144A91F-473D-40A6-80BC-69EC36DAA1AE}"/>
    <cellStyle name="Input number general calculated" xfId="20" xr:uid="{28E33A90-6B18-417F-985C-8F32F5C341AC}"/>
    <cellStyle name="Input number no decimals" xfId="43" xr:uid="{E4A720FB-A01C-494A-8241-331D9CD6F3F9}"/>
    <cellStyle name="Input number no decimals calculated" xfId="40" xr:uid="{49839C83-1160-43F0-B067-C883847BADA1}"/>
    <cellStyle name="Input page heading" xfId="14" xr:uid="{002C4E50-A1DF-4F48-804E-9110F90F895D}"/>
    <cellStyle name="Input page section heading" xfId="15" xr:uid="{65BEFEE5-64B9-45FB-AF4B-705EE84E7B42}"/>
    <cellStyle name="Input percent" xfId="21" xr:uid="{81441AE7-28B7-49A0-9365-81227A151AAB}"/>
    <cellStyle name="Input select" xfId="19" xr:uid="{8D07982F-DD01-4626-9FC8-407C3172080E}"/>
    <cellStyle name="Input table column header" xfId="18" xr:uid="{1048E30E-4383-4B00-AB9C-A777C4301E89}"/>
    <cellStyle name="Input table header" xfId="47" xr:uid="{673B15DE-C2D0-434D-83B9-CD3D7019ED1C}"/>
    <cellStyle name="Input text" xfId="35" xr:uid="{34DA19AB-8A2A-4875-AB42-979F7532C680}"/>
    <cellStyle name="Input text calculated" xfId="27" xr:uid="{D8F24774-CE10-4868-8D45-130F1396B33B}"/>
    <cellStyle name="Menu link default" xfId="11" xr:uid="{5B03F5CA-1390-467D-92E0-9C0973ECD325}"/>
    <cellStyle name="Menu link selected" xfId="13" xr:uid="{2FB4DD61-277A-4579-903E-3643B3657DEA}"/>
    <cellStyle name="Menu link selected equations" xfId="45" xr:uid="{0EF2D13B-FB95-424D-8B50-DB19D1B4EA2C}"/>
    <cellStyle name="Menu link selected input" xfId="17" xr:uid="{1392EBB3-3DAA-4789-A6F8-0F21992B6DE6}"/>
    <cellStyle name="Menu section title" xfId="12" xr:uid="{8613DA8D-2F36-47DC-9C1C-22FEF7B30D82}"/>
    <cellStyle name="Normal" xfId="0" builtinId="0"/>
    <cellStyle name="Normal 2" xfId="3" xr:uid="{3A2ABD8B-BF95-4BBB-9F70-6EC0CEA3F871}"/>
    <cellStyle name="Normal 5" xfId="33" xr:uid="{35E1632E-D030-4DF1-ADCF-D90F88AB5A48}"/>
    <cellStyle name="Number display decimal" xfId="57" xr:uid="{444F09E9-2EAC-4F43-A3C1-FCD243E068F4}"/>
    <cellStyle name="Number display decimal total" xfId="41" xr:uid="{7D95B024-688E-4E17-AE6D-00BF1716D684}"/>
    <cellStyle name="Page heading" xfId="1" xr:uid="{7ECDF026-866A-4104-A47C-CB3C015E15CC}"/>
    <cellStyle name="Page section heading" xfId="5" xr:uid="{A5B93EEA-2671-4987-B857-11DE83318923}"/>
    <cellStyle name="Page source" xfId="2" xr:uid="{897BB173-377C-46AE-A9E1-A7548CDB8D85}"/>
    <cellStyle name="Percent 2" xfId="36" xr:uid="{696FBCF0-1CD4-465A-B673-5D1A79E7FFF8}"/>
    <cellStyle name="Results table column header" xfId="56" xr:uid="{9B838750-C1C1-4CE7-9F5B-2FBD02D107E0}"/>
    <cellStyle name="Table description" xfId="25" xr:uid="{98689949-4D68-421E-812A-DB7E70967469}"/>
    <cellStyle name="Table name" xfId="24" xr:uid="{2B817CE6-D5D1-4F43-808A-9743A93B9101}"/>
    <cellStyle name="Unit" xfId="29" xr:uid="{A9E710DA-2149-473D-BCA1-E80B7CB7A628}"/>
    <cellStyle name="Unit no indent" xfId="10" xr:uid="{77A8303D-9926-4E03-8003-7AF2E2F6EC6A}"/>
    <cellStyle name="Variable type input" xfId="49" xr:uid="{50B6B78E-61DD-482A-9F1C-914F808F60B4}"/>
    <cellStyle name="Variable type input 2" xfId="53" xr:uid="{9959B7F9-DB8C-4969-B25D-267339AC17C3}"/>
    <cellStyle name="Variable type other" xfId="50" xr:uid="{9FB6C20B-1F98-4C86-8B64-373BD10A7B73}"/>
  </cellStyles>
  <dxfs count="542">
    <dxf>
      <alignment horizontal="right" vertical="center" textRotation="0" wrapText="0" indent="0" justifyLastLine="0" shrinkToFit="0" readingOrder="0"/>
    </dxf>
    <dxf>
      <fill>
        <patternFill>
          <fgColor indexed="64"/>
          <bgColor theme="0" tint="-4.9989318521683403E-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general" vertical="center"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i val="0"/>
        <strike val="0"/>
        <condense val="0"/>
        <extend val="0"/>
        <outline val="0"/>
        <shadow val="0"/>
        <u val="none"/>
        <vertAlign val="baseline"/>
        <sz val="11"/>
        <color theme="1"/>
        <name val="Aptos Narrow"/>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imes New Roman"/>
        <family val="1"/>
        <scheme val="none"/>
      </font>
    </dxf>
    <dxf>
      <fill>
        <patternFill>
          <fgColor indexed="64"/>
          <bgColor theme="0" tint="-4.9989318521683403E-2"/>
        </patternFill>
      </fill>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dxf>
    <dxf>
      <font>
        <b/>
        <i val="0"/>
        <strike val="0"/>
        <condense val="0"/>
        <extend val="0"/>
        <outline val="0"/>
        <shadow val="0"/>
        <u val="none"/>
        <vertAlign val="baseline"/>
        <sz val="11"/>
        <color theme="1"/>
        <name val="Aptos Narrow"/>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i val="0"/>
        <strike val="0"/>
        <condense val="0"/>
        <extend val="0"/>
        <outline val="0"/>
        <shadow val="0"/>
        <u val="none"/>
        <vertAlign val="baseline"/>
        <sz val="11"/>
        <color theme="1"/>
        <name val="Aptos Narrow"/>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i val="0"/>
        <strike val="0"/>
        <condense val="0"/>
        <extend val="0"/>
        <outline val="0"/>
        <shadow val="0"/>
        <u val="none"/>
        <vertAlign val="baseline"/>
        <sz val="11"/>
        <color theme="1"/>
        <name val="Aptos Narrow"/>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sz val="11"/>
        <color theme="1"/>
        <family val="2"/>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i val="0"/>
        <strike val="0"/>
        <condense val="0"/>
        <extend val="0"/>
        <outline val="0"/>
        <shadow val="0"/>
        <u val="none"/>
        <vertAlign val="baseline"/>
        <sz val="12"/>
        <color theme="1"/>
        <name val="Times New Roman"/>
        <family val="2"/>
        <scheme val="none"/>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numFmt numFmtId="165" formatCode="[$-C09]d\ mmmm\ yyyy;@"/>
    </dxf>
    <dxf>
      <numFmt numFmtId="165" formatCode="[$-C09]d\ mmmm\ yyyy;@"/>
    </dxf>
    <dxf>
      <border diagonalUp="0" diagonalDown="0">
        <left style="thin">
          <color theme="0" tint="-0.34998626667073579"/>
        </left>
        <right style="thin">
          <color theme="0" tint="-0.34998626667073579"/>
        </right>
        <top style="thin">
          <color theme="0" tint="-0.34998626667073579"/>
        </top>
        <bottom/>
        <vertical/>
        <horizontal/>
      </border>
    </dxf>
    <dxf>
      <border diagonalUp="0" diagonalDown="0">
        <left style="thin">
          <color theme="0" tint="-0.34998626667073579"/>
        </left>
        <right style="thin">
          <color theme="0" tint="-0.34998626667073579"/>
        </right>
        <top style="thin">
          <color theme="0" tint="-0.34998626667073579"/>
        </top>
        <bottom/>
        <vertical/>
        <horizontal/>
      </border>
    </dxf>
    <dxf>
      <alignment horizontal="left" vertical="center" textRotation="0" wrapText="1" indent="0" justifyLastLine="0" shrinkToFit="0" readingOrder="0"/>
    </dxf>
    <dxf>
      <border diagonalUp="0" diagonalDown="0">
        <left style="thin">
          <color theme="0" tint="-0.34998626667073579"/>
        </left>
        <right style="thin">
          <color theme="0" tint="-0.34998626667073579"/>
        </right>
        <top style="thin">
          <color theme="0" tint="-0.34998626667073579"/>
        </top>
        <bottom/>
        <vertical/>
        <horizontal/>
      </border>
    </dxf>
    <dxf>
      <alignment horizontal="left" vertical="center" textRotation="0" wrapText="1" indent="0" justifyLastLine="0" shrinkToFit="0" readingOrder="0"/>
    </dxf>
    <dxf>
      <border outline="0">
        <left style="thin">
          <color theme="0" tint="-0.34998626667073579"/>
        </left>
      </border>
    </dxf>
    <dxf>
      <alignment horizontal="center" vertical="center" textRotation="0" wrapText="1" indent="0" justifyLastLine="0" shrinkToFit="0" readingOrder="0"/>
    </dxf>
    <dxf>
      <border diagonalUp="0" diagonalDown="0" outline="0">
        <left style="thin">
          <color theme="0" tint="-0.34998626667073579"/>
        </left>
        <right style="thin">
          <color theme="0" tint="-0.34998626667073579"/>
        </right>
        <top style="thin">
          <color theme="0" tint="-0.34998626667073579"/>
        </top>
        <bottom/>
      </border>
    </dxf>
    <dxf>
      <border outline="0">
        <left style="thin">
          <color theme="0" tint="-0.34998626667073579"/>
        </left>
      </border>
    </dxf>
    <dxf>
      <alignment horizontal="center" vertical="center" textRotation="0" wrapText="1" indent="0" justifyLastLine="0" shrinkToFit="0" readingOrder="0"/>
    </dxf>
    <dxf>
      <alignment vertical="center" textRotation="0" wrapText="1" indent="0" justifyLastLine="0" shrinkToFit="0" readingOrder="0"/>
    </dxf>
    <dxf>
      <font>
        <b val="0"/>
        <i val="0"/>
        <strike val="0"/>
        <condense val="0"/>
        <extend val="0"/>
        <outline val="0"/>
        <shadow val="0"/>
        <u val="none"/>
        <vertAlign val="baseline"/>
        <sz val="12"/>
        <color theme="1"/>
        <name val="Times New Roman"/>
        <family val="2"/>
        <scheme val="none"/>
      </font>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ont>
        <strike val="0"/>
        <outline val="0"/>
        <shadow val="0"/>
        <u val="none"/>
        <vertAlign val="baseline"/>
        <sz val="10"/>
        <color theme="1" tint="0.14999847407452621"/>
        <name val="Times New Roman"/>
        <family val="1"/>
        <scheme val="none"/>
      </font>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horizontal="center" vertical="center"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textRotation="0" wrapText="1" indent="0" justifyLastLine="0" shrinkToFit="0" readingOrder="0"/>
      <border outline="0">
        <right style="thin">
          <color theme="0" tint="-0.34998626667073579"/>
        </right>
      </border>
    </dxf>
    <dxf>
      <font>
        <sz val="11"/>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border diagonalUp="0" diagonalDown="0" outline="0">
        <left style="thin">
          <color theme="0" tint="-0.34998626667073579"/>
        </left>
        <right style="thin">
          <color theme="0" tint="-0.34998626667073579"/>
        </right>
        <top style="thin">
          <color theme="0" tint="-0.34998626667073579"/>
        </top>
        <bottom/>
      </border>
    </dxf>
    <dxf>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border>
    </dxf>
    <dxf>
      <border diagonalUp="0" diagonalDown="0" outline="0">
        <left/>
        <right/>
        <top/>
        <bottom/>
      </border>
    </dxf>
    <dxf>
      <font>
        <b val="0"/>
        <i val="0"/>
        <strike val="0"/>
        <condense val="0"/>
        <extend val="0"/>
        <outline val="0"/>
        <shadow val="0"/>
        <u val="none"/>
        <vertAlign val="baseline"/>
        <sz val="12"/>
        <color theme="1" tint="0.249977111117893"/>
        <name val="Times New Roman"/>
        <family val="1"/>
        <scheme val="none"/>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border diagonalUp="0" diagonalDown="0" outline="0">
        <left style="thin">
          <color theme="0" tint="-0.34998626667073579"/>
        </left>
        <right style="thin">
          <color theme="0" tint="-0.34998626667073579"/>
        </right>
        <top style="thin">
          <color theme="0" tint="-0.34998626667073579"/>
        </top>
        <bottom/>
      </border>
    </dxf>
    <dxf>
      <font>
        <b/>
        <i val="0"/>
        <strike val="0"/>
        <condense val="0"/>
        <extend val="0"/>
        <outline val="0"/>
        <shadow val="0"/>
        <u val="none"/>
        <vertAlign val="baseline"/>
        <sz val="12"/>
        <color theme="1" tint="0.14999847407452621"/>
        <name val="Times New Roman"/>
        <family val="1"/>
        <scheme val="none"/>
      </font>
      <numFmt numFmtId="0" formatCode="General"/>
      <fill>
        <gradientFill degree="90">
          <stop position="0">
            <color theme="0"/>
          </stop>
          <stop position="1">
            <color theme="0" tint="-5.0965910824915313E-2"/>
          </stop>
        </gradient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border>
      <protection locked="1" hidden="0"/>
    </dxf>
    <dxf>
      <fill>
        <patternFill>
          <bgColor theme="0" tint="-4.9989318521683403E-2"/>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2" defaultTableStyle="TableStyleMedium2" defaultPivotStyle="PivotStyleLight16">
    <tableStyle name="Editable table" pivot="0" count="6" xr9:uid="{DB9E75D0-AC98-4E75-8418-4F7F41C898DD}">
      <tableStyleElement type="wholeTable" dxfId="541"/>
      <tableStyleElement type="headerRow" dxfId="540"/>
      <tableStyleElement type="totalRow" dxfId="539"/>
      <tableStyleElement type="firstColumn" dxfId="538"/>
      <tableStyleElement type="firstRowStripe" dxfId="537"/>
      <tableStyleElement type="secondRowStripe" dxfId="536"/>
    </tableStyle>
    <tableStyle name="Equation table" pivot="0" count="6" xr9:uid="{0B4491E8-4F2C-4EE8-9336-DC99561B4B77}">
      <tableStyleElement type="wholeTable" dxfId="535"/>
      <tableStyleElement type="headerRow" dxfId="534"/>
      <tableStyleElement type="totalRow" dxfId="533"/>
      <tableStyleElement type="firstColumn" dxfId="532"/>
      <tableStyleElement type="firstRowStripe" dxfId="531"/>
      <tableStyleElement type="secondRowStripe" dxfId="530"/>
    </tableStyle>
  </tableStyles>
  <colors>
    <mruColors>
      <color rgb="FFFFEBC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microsoft.com/office/2017/06/relationships/rdRichValueStructure" Target="richData/rdrichvaluestructure.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microsoft.com/office/2022/10/relationships/richValueRel" Target="richData/richValueRel.xml"/><Relationship Id="rId35" Type="http://schemas.openxmlformats.org/officeDocument/2006/relationships/customXml" Target="../customXml/item1.xml"/><Relationship Id="rId8"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dr:oneCellAnchor>
    <xdr:from>
      <xdr:col>3</xdr:col>
      <xdr:colOff>43237</xdr:colOff>
      <xdr:row>7</xdr:row>
      <xdr:rowOff>61924</xdr:rowOff>
    </xdr:from>
    <xdr:ext cx="2433230" cy="312906"/>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C6459FB4-F1A8-1CEB-02A7-CC4FB826FCF9}"/>
                </a:ext>
              </a:extLst>
            </xdr:cNvPr>
            <xdr:cNvSpPr txBox="1"/>
          </xdr:nvSpPr>
          <xdr:spPr>
            <a:xfrm>
              <a:off x="3091237" y="14854663"/>
              <a:ext cx="2433230"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𝑜</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𝑐𝑜</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𝑐𝑜</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𝑐𝑜</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5" name="TextBox 14">
              <a:extLst>
                <a:ext uri="{FF2B5EF4-FFF2-40B4-BE49-F238E27FC236}">
                  <a16:creationId xmlns:a16="http://schemas.microsoft.com/office/drawing/2014/main" id="{C6459FB4-F1A8-1CEB-02A7-CC4FB826FCF9}"/>
                </a:ext>
              </a:extLst>
            </xdr:cNvPr>
            <xdr:cNvSpPr txBox="1"/>
          </xdr:nvSpPr>
          <xdr:spPr>
            <a:xfrm>
              <a:off x="3091237" y="14854663"/>
              <a:ext cx="2433230"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𝐸=∑10_𝑐▒∑10_𝑜▒(𝑁_𝑐𝑜×𝑊_𝑐𝑜×𝐸𝐹_𝑐𝑜 ) ×10^(−3)</a:t>
              </a:r>
              <a:endParaRPr lang="en-AU" sz="1100"/>
            </a:p>
          </xdr:txBody>
        </xdr:sp>
      </mc:Fallback>
    </mc:AlternateContent>
    <xdr:clientData/>
  </xdr:oneCellAnchor>
  <xdr:oneCellAnchor>
    <xdr:from>
      <xdr:col>3</xdr:col>
      <xdr:colOff>43237</xdr:colOff>
      <xdr:row>100</xdr:row>
      <xdr:rowOff>61924</xdr:rowOff>
    </xdr:from>
    <xdr:ext cx="1191032" cy="332079"/>
    <mc:AlternateContent xmlns:mc="http://schemas.openxmlformats.org/markup-compatibility/2006" xmlns:a14="http://schemas.microsoft.com/office/drawing/2010/main">
      <mc:Choice Requires="a14">
        <xdr:sp macro="" textlink="">
          <xdr:nvSpPr>
            <xdr:cNvPr id="17" name="TextBox 16">
              <a:extLst>
                <a:ext uri="{FF2B5EF4-FFF2-40B4-BE49-F238E27FC236}">
                  <a16:creationId xmlns:a16="http://schemas.microsoft.com/office/drawing/2014/main" id="{1E1A6FD5-2521-49CB-97C6-5EE2870F398C}"/>
                </a:ext>
              </a:extLst>
            </xdr:cNvPr>
            <xdr:cNvSpPr txBox="1"/>
          </xdr:nvSpPr>
          <xdr:spPr>
            <a:xfrm>
              <a:off x="3073919" y="40447924"/>
              <a:ext cx="119103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sub>
                            </m:sSub>
                          </m:e>
                        </m:d>
                      </m:e>
                    </m:nary>
                  </m:oMath>
                </m:oMathPara>
              </a14:m>
              <a:endParaRPr lang="en-AU" sz="1100"/>
            </a:p>
          </xdr:txBody>
        </xdr:sp>
      </mc:Choice>
      <mc:Fallback xmlns="">
        <xdr:sp macro="" textlink="">
          <xdr:nvSpPr>
            <xdr:cNvPr id="17" name="TextBox 16">
              <a:extLst>
                <a:ext uri="{FF2B5EF4-FFF2-40B4-BE49-F238E27FC236}">
                  <a16:creationId xmlns:a16="http://schemas.microsoft.com/office/drawing/2014/main" id="{1E1A6FD5-2521-49CB-97C6-5EE2870F398C}"/>
                </a:ext>
              </a:extLst>
            </xdr:cNvPr>
            <xdr:cNvSpPr txBox="1"/>
          </xdr:nvSpPr>
          <xdr:spPr>
            <a:xfrm>
              <a:off x="3073919" y="40447924"/>
              <a:ext cx="119103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𝐸=∑10_𝑗▒(𝑄_𝑗×𝐸𝐹_𝑗 ) </a:t>
              </a:r>
              <a:endParaRPr lang="en-AU" sz="1100"/>
            </a:p>
          </xdr:txBody>
        </xdr:sp>
      </mc:Fallback>
    </mc:AlternateContent>
    <xdr:clientData/>
  </xdr:oneCellAnchor>
  <xdr:oneCellAnchor>
    <xdr:from>
      <xdr:col>3</xdr:col>
      <xdr:colOff>43237</xdr:colOff>
      <xdr:row>151</xdr:row>
      <xdr:rowOff>61924</xdr:rowOff>
    </xdr:from>
    <xdr:ext cx="1320297" cy="312906"/>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261B1EBC-7BB3-4755-8A01-A90A0F4BBB33}"/>
                </a:ext>
              </a:extLst>
            </xdr:cNvPr>
            <xdr:cNvSpPr txBox="1"/>
          </xdr:nvSpPr>
          <xdr:spPr>
            <a:xfrm>
              <a:off x="3081712" y="51211174"/>
              <a:ext cx="1320297"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sub>
                            </m:sSub>
                          </m:e>
                        </m:d>
                      </m:e>
                    </m:nary>
                  </m:oMath>
                </m:oMathPara>
              </a14:m>
              <a:endParaRPr lang="en-AU" sz="1100"/>
            </a:p>
          </xdr:txBody>
        </xdr:sp>
      </mc:Choice>
      <mc:Fallback xmlns="">
        <xdr:sp macro="" textlink="">
          <xdr:nvSpPr>
            <xdr:cNvPr id="20" name="TextBox 19">
              <a:extLst>
                <a:ext uri="{FF2B5EF4-FFF2-40B4-BE49-F238E27FC236}">
                  <a16:creationId xmlns:a16="http://schemas.microsoft.com/office/drawing/2014/main" id="{261B1EBC-7BB3-4755-8A01-A90A0F4BBB33}"/>
                </a:ext>
              </a:extLst>
            </xdr:cNvPr>
            <xdr:cNvSpPr txBox="1"/>
          </xdr:nvSpPr>
          <xdr:spPr>
            <a:xfrm>
              <a:off x="3081712" y="51211174"/>
              <a:ext cx="1320297"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𝐸=∑10_𝑚▒(𝑄_𝑚×𝐸𝐹_𝑚 ) </a:t>
              </a:r>
              <a:endParaRPr lang="en-AU" sz="1100"/>
            </a:p>
          </xdr:txBody>
        </xdr:sp>
      </mc:Fallback>
    </mc:AlternateContent>
    <xdr:clientData/>
  </xdr:oneCellAnchor>
  <xdr:oneCellAnchor>
    <xdr:from>
      <xdr:col>3</xdr:col>
      <xdr:colOff>43237</xdr:colOff>
      <xdr:row>188</xdr:row>
      <xdr:rowOff>61924</xdr:rowOff>
    </xdr:from>
    <xdr:ext cx="2099229" cy="332079"/>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C681DC4C-8560-4555-B935-48D8A5B7025B}"/>
                </a:ext>
              </a:extLst>
            </xdr:cNvPr>
            <xdr:cNvSpPr txBox="1"/>
          </xdr:nvSpPr>
          <xdr:spPr>
            <a:xfrm>
              <a:off x="3091237" y="65566710"/>
              <a:ext cx="209922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2" name="TextBox 21">
              <a:extLst>
                <a:ext uri="{FF2B5EF4-FFF2-40B4-BE49-F238E27FC236}">
                  <a16:creationId xmlns:a16="http://schemas.microsoft.com/office/drawing/2014/main" id="{C681DC4C-8560-4555-B935-48D8A5B7025B}"/>
                </a:ext>
              </a:extLst>
            </xdr:cNvPr>
            <xdr:cNvSpPr txBox="1"/>
          </xdr:nvSpPr>
          <xdr:spPr>
            <a:xfrm>
              <a:off x="3091237" y="65566710"/>
              <a:ext cx="209922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𝐸=∑10_𝑓▒∑10_𝑗▒(𝑇𝑀_𝑗𝑓×𝐸𝐹_𝑓 ) ×10^(−3)</a:t>
              </a:r>
              <a:endParaRPr lang="en-AU" sz="1100"/>
            </a:p>
          </xdr:txBody>
        </xdr:sp>
      </mc:Fallback>
    </mc:AlternateContent>
    <xdr:clientData/>
  </xdr:oneCellAnchor>
  <xdr:oneCellAnchor>
    <xdr:from>
      <xdr:col>4</xdr:col>
      <xdr:colOff>1999881</xdr:colOff>
      <xdr:row>203</xdr:row>
      <xdr:rowOff>51204</xdr:rowOff>
    </xdr:from>
    <xdr:ext cx="2458430" cy="256032"/>
    <mc:AlternateContent xmlns:mc="http://schemas.openxmlformats.org/markup-compatibility/2006" xmlns:a14="http://schemas.microsoft.com/office/drawing/2010/main">
      <mc:Choice Requires="a14">
        <xdr:sp macro="" textlink="">
          <xdr:nvSpPr>
            <xdr:cNvPr id="71" name="TextBox 70">
              <a:extLst>
                <a:ext uri="{FF2B5EF4-FFF2-40B4-BE49-F238E27FC236}">
                  <a16:creationId xmlns:a16="http://schemas.microsoft.com/office/drawing/2014/main" id="{51ACC906-F062-4AD4-86C3-1AAFDFBD3120}"/>
                </a:ext>
              </a:extLst>
            </xdr:cNvPr>
            <xdr:cNvSpPr txBox="1"/>
          </xdr:nvSpPr>
          <xdr:spPr>
            <a:xfrm>
              <a:off x="7356293" y="64036792"/>
              <a:ext cx="2458430" cy="2560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b="1">
                  <a:solidFill>
                    <a:srgbClr val="C00000"/>
                  </a:solidFill>
                </a:rPr>
                <a:t>ORIGINAL:</a:t>
              </a:r>
              <a:r>
                <a:rPr lang="en-AU" sz="1100" baseline="0"/>
                <a:t> </a:t>
              </a:r>
              <a14:m>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num>
                                    <m:den>
                                      <m:r>
                                        <a:rPr lang="en-AU" sz="1100" i="1">
                                          <a:latin typeface="Cambria Math" panose="02040503050406030204" pitchFamily="18" charset="0"/>
                                        </a:rPr>
                                        <m:t>100</m:t>
                                      </m:r>
                                    </m:den>
                                  </m:f>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e>
                              </m:d>
                            </m:e>
                          </m:nary>
                        </m:e>
                      </m:nary>
                    </m:e>
                  </m:nary>
                </m:oMath>
              </a14:m>
              <a:endParaRPr lang="en-AU" sz="1100"/>
            </a:p>
          </xdr:txBody>
        </xdr:sp>
      </mc:Choice>
      <mc:Fallback xmlns="">
        <xdr:sp macro="" textlink="">
          <xdr:nvSpPr>
            <xdr:cNvPr id="71" name="TextBox 70">
              <a:extLst>
                <a:ext uri="{FF2B5EF4-FFF2-40B4-BE49-F238E27FC236}">
                  <a16:creationId xmlns:a16="http://schemas.microsoft.com/office/drawing/2014/main" id="{51ACC906-F062-4AD4-86C3-1AAFDFBD3120}"/>
                </a:ext>
              </a:extLst>
            </xdr:cNvPr>
            <xdr:cNvSpPr txBox="1"/>
          </xdr:nvSpPr>
          <xdr:spPr>
            <a:xfrm>
              <a:off x="7356293" y="64036792"/>
              <a:ext cx="2458430" cy="2560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b="1">
                  <a:solidFill>
                    <a:srgbClr val="C00000"/>
                  </a:solidFill>
                </a:rPr>
                <a:t>ORIGINAL:</a:t>
              </a:r>
              <a:r>
                <a:rPr lang="en-AU" sz="1100" baseline="0"/>
                <a:t> </a:t>
              </a:r>
              <a:r>
                <a:rPr lang="en-AU" sz="1100" i="0">
                  <a:latin typeface="Cambria Math" panose="02040503050406030204" pitchFamily="18" charset="0"/>
                </a:rPr>
                <a:t>𝐸=∑10_𝑓▒∑10_𝑐▒∑10_𝑗▒((𝐹_𝑐𝑓×𝑇𝑀_𝑗𝑓)/100×𝐸𝐹_𝑐 ) </a:t>
              </a:r>
              <a:endParaRPr lang="en-AU" sz="1100"/>
            </a:p>
          </xdr:txBody>
        </xdr:sp>
      </mc:Fallback>
    </mc:AlternateContent>
    <xdr:clientData/>
  </xdr:oneCellAnchor>
  <xdr:oneCellAnchor>
    <xdr:from>
      <xdr:col>3</xdr:col>
      <xdr:colOff>2070</xdr:colOff>
      <xdr:row>203</xdr:row>
      <xdr:rowOff>60464</xdr:rowOff>
    </xdr:from>
    <xdr:ext cx="2708818" cy="332079"/>
    <mc:AlternateContent xmlns:mc="http://schemas.openxmlformats.org/markup-compatibility/2006" xmlns:a14="http://schemas.microsoft.com/office/drawing/2010/main">
      <mc:Choice Requires="a14">
        <xdr:sp macro="" textlink="">
          <xdr:nvSpPr>
            <xdr:cNvPr id="73" name="TextBox 72">
              <a:extLst>
                <a:ext uri="{FF2B5EF4-FFF2-40B4-BE49-F238E27FC236}">
                  <a16:creationId xmlns:a16="http://schemas.microsoft.com/office/drawing/2014/main" id="{AB9B5182-C48B-A1DA-007A-35765698E706}"/>
                </a:ext>
              </a:extLst>
            </xdr:cNvPr>
            <xdr:cNvSpPr txBox="1"/>
          </xdr:nvSpPr>
          <xdr:spPr>
            <a:xfrm>
              <a:off x="3040545" y="64335164"/>
              <a:ext cx="270881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73" name="TextBox 72">
              <a:extLst>
                <a:ext uri="{FF2B5EF4-FFF2-40B4-BE49-F238E27FC236}">
                  <a16:creationId xmlns:a16="http://schemas.microsoft.com/office/drawing/2014/main" id="{AB9B5182-C48B-A1DA-007A-35765698E706}"/>
                </a:ext>
              </a:extLst>
            </xdr:cNvPr>
            <xdr:cNvSpPr txBox="1"/>
          </xdr:nvSpPr>
          <xdr:spPr>
            <a:xfrm>
              <a:off x="3040545" y="64335164"/>
              <a:ext cx="270881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𝐸=∑10_𝑓▒∑10_𝑐▒∑10_𝑗▒(𝐹_𝑐𝑓×𝑇𝑀_𝑗𝑓×𝐸𝐹_𝑐 ) ×10^(−3)</a:t>
              </a:r>
              <a:endParaRPr lang="en-AU" sz="1100"/>
            </a:p>
          </xdr:txBody>
        </xdr:sp>
      </mc:Fallback>
    </mc:AlternateContent>
    <xdr:clientData/>
  </xdr:oneCellAnchor>
  <xdr:oneCellAnchor>
    <xdr:from>
      <xdr:col>3</xdr:col>
      <xdr:colOff>19050</xdr:colOff>
      <xdr:row>174</xdr:row>
      <xdr:rowOff>114300</xdr:rowOff>
    </xdr:from>
    <xdr:ext cx="1375312" cy="312906"/>
    <mc:AlternateContent xmlns:mc="http://schemas.openxmlformats.org/markup-compatibility/2006" xmlns:a14="http://schemas.microsoft.com/office/drawing/2010/main">
      <mc:Choice Requires="a14">
        <xdr:sp macro="" textlink="">
          <xdr:nvSpPr>
            <xdr:cNvPr id="74" name="TextBox 73">
              <a:extLst>
                <a:ext uri="{FF2B5EF4-FFF2-40B4-BE49-F238E27FC236}">
                  <a16:creationId xmlns:a16="http://schemas.microsoft.com/office/drawing/2014/main" id="{CEEF8554-F0AF-1947-0538-3FF1820215E2}"/>
                </a:ext>
              </a:extLst>
            </xdr:cNvPr>
            <xdr:cNvSpPr txBox="1"/>
          </xdr:nvSpPr>
          <xdr:spPr>
            <a:xfrm>
              <a:off x="3057525" y="62903100"/>
              <a:ext cx="137531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e>
                        </m:d>
                      </m:e>
                    </m:nary>
                  </m:oMath>
                </m:oMathPara>
              </a14:m>
              <a:endParaRPr lang="en-AU" sz="1100"/>
            </a:p>
          </xdr:txBody>
        </xdr:sp>
      </mc:Choice>
      <mc:Fallback xmlns="">
        <xdr:sp macro="" textlink="">
          <xdr:nvSpPr>
            <xdr:cNvPr id="74" name="TextBox 73">
              <a:extLst>
                <a:ext uri="{FF2B5EF4-FFF2-40B4-BE49-F238E27FC236}">
                  <a16:creationId xmlns:a16="http://schemas.microsoft.com/office/drawing/2014/main" id="{CEEF8554-F0AF-1947-0538-3FF1820215E2}"/>
                </a:ext>
              </a:extLst>
            </xdr:cNvPr>
            <xdr:cNvSpPr txBox="1"/>
          </xdr:nvSpPr>
          <xdr:spPr>
            <a:xfrm>
              <a:off x="3057525" y="62903100"/>
              <a:ext cx="137531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𝐸𝐹_𝑓=∑10_𝑐▒(𝐹_𝑐𝑓×𝐸𝐹_𝑐 ) </a:t>
              </a:r>
              <a:endParaRPr lang="en-AU" sz="1100"/>
            </a:p>
          </xdr:txBody>
        </xdr:sp>
      </mc:Fallback>
    </mc:AlternateContent>
    <xdr:clientData/>
  </xdr:oneCellAnchor>
  <xdr:oneCellAnchor>
    <xdr:from>
      <xdr:col>3</xdr:col>
      <xdr:colOff>19051</xdr:colOff>
      <xdr:row>258</xdr:row>
      <xdr:rowOff>153521</xdr:rowOff>
    </xdr:from>
    <xdr:ext cx="1698157" cy="312971"/>
    <mc:AlternateContent xmlns:mc="http://schemas.openxmlformats.org/markup-compatibility/2006" xmlns:a14="http://schemas.microsoft.com/office/drawing/2010/main">
      <mc:Choice Requires="a14">
        <xdr:sp macro="" textlink="">
          <xdr:nvSpPr>
            <xdr:cNvPr id="75" name="TextBox 74">
              <a:extLst>
                <a:ext uri="{FF2B5EF4-FFF2-40B4-BE49-F238E27FC236}">
                  <a16:creationId xmlns:a16="http://schemas.microsoft.com/office/drawing/2014/main" id="{9B27B467-355C-E5F4-75E4-3FC7CD52C265}"/>
                </a:ext>
              </a:extLst>
            </xdr:cNvPr>
            <xdr:cNvSpPr txBox="1"/>
          </xdr:nvSpPr>
          <xdr:spPr>
            <a:xfrm>
              <a:off x="3044639" y="65976874"/>
              <a:ext cx="1698157" cy="3129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h</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h</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h</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75" name="TextBox 74">
              <a:extLst>
                <a:ext uri="{FF2B5EF4-FFF2-40B4-BE49-F238E27FC236}">
                  <a16:creationId xmlns:a16="http://schemas.microsoft.com/office/drawing/2014/main" id="{9B27B467-355C-E5F4-75E4-3FC7CD52C265}"/>
                </a:ext>
              </a:extLst>
            </xdr:cNvPr>
            <xdr:cNvSpPr txBox="1"/>
          </xdr:nvSpPr>
          <xdr:spPr>
            <a:xfrm>
              <a:off x="3044639" y="65976874"/>
              <a:ext cx="1698157" cy="3129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𝐸=∑10_ℎ▒(𝑄_ℎ×𝐸𝐹_ℎ ) ×10^(−3)</a:t>
              </a:r>
              <a:endParaRPr lang="en-AU" sz="1100"/>
            </a:p>
          </xdr:txBody>
        </xdr:sp>
      </mc:Fallback>
    </mc:AlternateContent>
    <xdr:clientData/>
  </xdr:oneCellAnchor>
  <xdr:oneCellAnchor>
    <xdr:from>
      <xdr:col>3</xdr:col>
      <xdr:colOff>30256</xdr:colOff>
      <xdr:row>290</xdr:row>
      <xdr:rowOff>97491</xdr:rowOff>
    </xdr:from>
    <xdr:ext cx="1022459" cy="173766"/>
    <mc:AlternateContent xmlns:mc="http://schemas.openxmlformats.org/markup-compatibility/2006" xmlns:a14="http://schemas.microsoft.com/office/drawing/2010/main">
      <mc:Choice Requires="a14">
        <xdr:sp macro="" textlink="">
          <xdr:nvSpPr>
            <xdr:cNvPr id="77" name="TextBox 76">
              <a:extLst>
                <a:ext uri="{FF2B5EF4-FFF2-40B4-BE49-F238E27FC236}">
                  <a16:creationId xmlns:a16="http://schemas.microsoft.com/office/drawing/2014/main" id="{EFEA2CAD-A731-65C7-CA86-D32D3DF0F3EC}"/>
                </a:ext>
              </a:extLst>
            </xdr:cNvPr>
            <xdr:cNvSpPr txBox="1"/>
          </xdr:nvSpPr>
          <xdr:spPr>
            <a:xfrm>
              <a:off x="3055844" y="72890903"/>
              <a:ext cx="102245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m:t>
                        </m:r>
                      </m:sub>
                    </m:sSub>
                  </m:oMath>
                </m:oMathPara>
              </a14:m>
              <a:endParaRPr lang="en-AU" sz="1100"/>
            </a:p>
          </xdr:txBody>
        </xdr:sp>
      </mc:Choice>
      <mc:Fallback xmlns="">
        <xdr:sp macro="" textlink="">
          <xdr:nvSpPr>
            <xdr:cNvPr id="77" name="TextBox 76">
              <a:extLst>
                <a:ext uri="{FF2B5EF4-FFF2-40B4-BE49-F238E27FC236}">
                  <a16:creationId xmlns:a16="http://schemas.microsoft.com/office/drawing/2014/main" id="{EFEA2CAD-A731-65C7-CA86-D32D3DF0F3EC}"/>
                </a:ext>
              </a:extLst>
            </xdr:cNvPr>
            <xdr:cNvSpPr txBox="1"/>
          </xdr:nvSpPr>
          <xdr:spPr>
            <a:xfrm>
              <a:off x="3055844" y="72890903"/>
              <a:ext cx="102245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𝐸=𝑀_𝑙𝑖𝑚𝑒×𝐸𝐹_𝑙</a:t>
              </a:r>
              <a:endParaRPr lang="en-AU" sz="1100"/>
            </a:p>
          </xdr:txBody>
        </xdr:sp>
      </mc:Fallback>
    </mc:AlternateContent>
    <xdr:clientData/>
  </xdr:oneCellAnchor>
  <xdr:oneCellAnchor>
    <xdr:from>
      <xdr:col>3</xdr:col>
      <xdr:colOff>97491</xdr:colOff>
      <xdr:row>323</xdr:row>
      <xdr:rowOff>75080</xdr:rowOff>
    </xdr:from>
    <xdr:ext cx="1692515" cy="331501"/>
    <mc:AlternateContent xmlns:mc="http://schemas.openxmlformats.org/markup-compatibility/2006" xmlns:a14="http://schemas.microsoft.com/office/drawing/2010/main">
      <mc:Choice Requires="a14">
        <xdr:sp macro="" textlink="">
          <xdr:nvSpPr>
            <xdr:cNvPr id="79" name="TextBox 78">
              <a:extLst>
                <a:ext uri="{FF2B5EF4-FFF2-40B4-BE49-F238E27FC236}">
                  <a16:creationId xmlns:a16="http://schemas.microsoft.com/office/drawing/2014/main" id="{6D907051-F99F-71F3-5584-0CA3225DA9BC}"/>
                </a:ext>
              </a:extLst>
            </xdr:cNvPr>
            <xdr:cNvSpPr txBox="1"/>
          </xdr:nvSpPr>
          <xdr:spPr>
            <a:xfrm>
              <a:off x="3123079" y="79849756"/>
              <a:ext cx="1692515"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𝑝</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𝑝</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79" name="TextBox 78">
              <a:extLst>
                <a:ext uri="{FF2B5EF4-FFF2-40B4-BE49-F238E27FC236}">
                  <a16:creationId xmlns:a16="http://schemas.microsoft.com/office/drawing/2014/main" id="{6D907051-F99F-71F3-5584-0CA3225DA9BC}"/>
                </a:ext>
              </a:extLst>
            </xdr:cNvPr>
            <xdr:cNvSpPr txBox="1"/>
          </xdr:nvSpPr>
          <xdr:spPr>
            <a:xfrm>
              <a:off x="3123079" y="79849756"/>
              <a:ext cx="1692515"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𝐸=∑10_𝑝▒(𝐴_𝑝×𝐸𝐹_𝑝 ) ×10^(−3)</a:t>
              </a:r>
              <a:endParaRPr lang="en-AU" sz="1100"/>
            </a:p>
          </xdr:txBody>
        </xdr:sp>
      </mc:Fallback>
    </mc:AlternateContent>
    <xdr:clientData/>
  </xdr:oneCellAnchor>
  <xdr:oneCellAnchor>
    <xdr:from>
      <xdr:col>3</xdr:col>
      <xdr:colOff>63874</xdr:colOff>
      <xdr:row>355</xdr:row>
      <xdr:rowOff>119902</xdr:rowOff>
    </xdr:from>
    <xdr:ext cx="1694117" cy="331501"/>
    <mc:AlternateContent xmlns:mc="http://schemas.openxmlformats.org/markup-compatibility/2006" xmlns:a14="http://schemas.microsoft.com/office/drawing/2010/main">
      <mc:Choice Requires="a14">
        <xdr:sp macro="" textlink="">
          <xdr:nvSpPr>
            <xdr:cNvPr id="81" name="TextBox 80">
              <a:extLst>
                <a:ext uri="{FF2B5EF4-FFF2-40B4-BE49-F238E27FC236}">
                  <a16:creationId xmlns:a16="http://schemas.microsoft.com/office/drawing/2014/main" id="{46C6F75C-1B5E-30FB-B77B-D6043954D8B1}"/>
                </a:ext>
              </a:extLst>
            </xdr:cNvPr>
            <xdr:cNvSpPr txBox="1"/>
          </xdr:nvSpPr>
          <xdr:spPr>
            <a:xfrm>
              <a:off x="3089462" y="86550873"/>
              <a:ext cx="1694117"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𝑝</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𝑝</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1" name="TextBox 80">
              <a:extLst>
                <a:ext uri="{FF2B5EF4-FFF2-40B4-BE49-F238E27FC236}">
                  <a16:creationId xmlns:a16="http://schemas.microsoft.com/office/drawing/2014/main" id="{46C6F75C-1B5E-30FB-B77B-D6043954D8B1}"/>
                </a:ext>
              </a:extLst>
            </xdr:cNvPr>
            <xdr:cNvSpPr txBox="1"/>
          </xdr:nvSpPr>
          <xdr:spPr>
            <a:xfrm>
              <a:off x="3089462" y="86550873"/>
              <a:ext cx="1694117"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𝐸=∑10_𝑝▒(𝑄_𝑝×𝐸𝐹_𝑝 ) ×10^(−3)</a:t>
              </a:r>
              <a:endParaRPr lang="en-AU" sz="1100"/>
            </a:p>
          </xdr:txBody>
        </xdr:sp>
      </mc:Fallback>
    </mc:AlternateContent>
    <xdr:clientData/>
  </xdr:oneCellAnchor>
  <xdr:oneCellAnchor>
    <xdr:from>
      <xdr:col>3</xdr:col>
      <xdr:colOff>41461</xdr:colOff>
      <xdr:row>385</xdr:row>
      <xdr:rowOff>131109</xdr:rowOff>
    </xdr:from>
    <xdr:ext cx="1698863" cy="332207"/>
    <mc:AlternateContent xmlns:mc="http://schemas.openxmlformats.org/markup-compatibility/2006" xmlns:a14="http://schemas.microsoft.com/office/drawing/2010/main">
      <mc:Choice Requires="a14">
        <xdr:sp macro="" textlink="">
          <xdr:nvSpPr>
            <xdr:cNvPr id="82" name="TextBox 81">
              <a:extLst>
                <a:ext uri="{FF2B5EF4-FFF2-40B4-BE49-F238E27FC236}">
                  <a16:creationId xmlns:a16="http://schemas.microsoft.com/office/drawing/2014/main" id="{04746F7A-D77B-595B-4573-70F2E33DC01D}"/>
                </a:ext>
              </a:extLst>
            </xdr:cNvPr>
            <xdr:cNvSpPr txBox="1"/>
          </xdr:nvSpPr>
          <xdr:spPr>
            <a:xfrm>
              <a:off x="3067049" y="92120197"/>
              <a:ext cx="1698863" cy="3322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𝑔</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𝑔</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𝑔</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2" name="TextBox 81">
              <a:extLst>
                <a:ext uri="{FF2B5EF4-FFF2-40B4-BE49-F238E27FC236}">
                  <a16:creationId xmlns:a16="http://schemas.microsoft.com/office/drawing/2014/main" id="{04746F7A-D77B-595B-4573-70F2E33DC01D}"/>
                </a:ext>
              </a:extLst>
            </xdr:cNvPr>
            <xdr:cNvSpPr txBox="1"/>
          </xdr:nvSpPr>
          <xdr:spPr>
            <a:xfrm>
              <a:off x="3067049" y="92120197"/>
              <a:ext cx="1698863" cy="3322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𝐸=∑10_𝑔▒(𝑄_𝑔×𝐸𝐹_𝑔 ) ×10^(−3)</a:t>
              </a:r>
              <a:endParaRPr lang="en-AU" sz="1100"/>
            </a:p>
          </xdr:txBody>
        </xdr:sp>
      </mc:Fallback>
    </mc:AlternateContent>
    <xdr:clientData/>
  </xdr:oneCellAnchor>
  <xdr:oneCellAnchor>
    <xdr:from>
      <xdr:col>3</xdr:col>
      <xdr:colOff>28575</xdr:colOff>
      <xdr:row>418</xdr:row>
      <xdr:rowOff>114299</xdr:rowOff>
    </xdr:from>
    <xdr:ext cx="2929969" cy="173766"/>
    <mc:AlternateContent xmlns:mc="http://schemas.openxmlformats.org/markup-compatibility/2006" xmlns:a14="http://schemas.microsoft.com/office/drawing/2010/main">
      <mc:Choice Requires="a14">
        <xdr:sp macro="" textlink="">
          <xdr:nvSpPr>
            <xdr:cNvPr id="83" name="TextBox 82">
              <a:extLst>
                <a:ext uri="{FF2B5EF4-FFF2-40B4-BE49-F238E27FC236}">
                  <a16:creationId xmlns:a16="http://schemas.microsoft.com/office/drawing/2014/main" id="{9CB0C24E-AD05-2E45-37B4-6127CA13F956}"/>
                </a:ext>
              </a:extLst>
            </xdr:cNvPr>
            <xdr:cNvSpPr txBox="1"/>
          </xdr:nvSpPr>
          <xdr:spPr>
            <a:xfrm>
              <a:off x="3067050" y="99745799"/>
              <a:ext cx="292996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𝑒𝑚𝑖𝑠𝑠𝑖𝑜𝑛𝑠</m:t>
                    </m:r>
                    <m:r>
                      <a:rPr lang="en-AU" sz="1100" i="1">
                        <a:latin typeface="Cambria Math" panose="02040503050406030204" pitchFamily="18" charset="0"/>
                      </a:rPr>
                      <m:t>=</m:t>
                    </m:r>
                    <m:r>
                      <a:rPr lang="en-AU" sz="1100" i="1">
                        <a:latin typeface="Cambria Math" panose="02040503050406030204" pitchFamily="18" charset="0"/>
                      </a:rPr>
                      <m:t>𝑎𝑐𝑡𝑖𝑣𝑖𝑡𝑦</m:t>
                    </m:r>
                    <m:r>
                      <m:rPr>
                        <m:lit/>
                      </m:rPr>
                      <a:rPr lang="en-AU" sz="1100" i="1">
                        <a:latin typeface="Cambria Math" panose="02040503050406030204" pitchFamily="18" charset="0"/>
                      </a:rPr>
                      <m:t>_</m:t>
                    </m:r>
                    <m:r>
                      <a:rPr lang="en-AU" sz="1100" i="1">
                        <a:latin typeface="Cambria Math" panose="02040503050406030204" pitchFamily="18" charset="0"/>
                      </a:rPr>
                      <m:t>𝑑𝑎𝑡𝑎</m:t>
                    </m:r>
                    <m:r>
                      <a:rPr lang="en-AU" sz="1100" i="1">
                        <a:latin typeface="Cambria Math" panose="02040503050406030204" pitchFamily="18" charset="0"/>
                      </a:rPr>
                      <m:t>×</m:t>
                    </m:r>
                    <m:r>
                      <a:rPr lang="en-AU" sz="1100" i="1">
                        <a:latin typeface="Cambria Math" panose="02040503050406030204" pitchFamily="18" charset="0"/>
                      </a:rPr>
                      <m:t>𝑒𝑚𝑖𝑠𝑠𝑖𝑜𝑛</m:t>
                    </m:r>
                    <m:r>
                      <m:rPr>
                        <m:lit/>
                      </m:rPr>
                      <a:rPr lang="en-AU" sz="1100" i="1">
                        <a:latin typeface="Cambria Math" panose="02040503050406030204" pitchFamily="18" charset="0"/>
                      </a:rPr>
                      <m:t>_</m:t>
                    </m:r>
                    <m:r>
                      <a:rPr lang="en-AU" sz="1100" i="1">
                        <a:latin typeface="Cambria Math" panose="02040503050406030204" pitchFamily="18" charset="0"/>
                      </a:rPr>
                      <m:t>𝑓𝑎𝑐𝑡𝑜𝑟</m:t>
                    </m:r>
                    <m:r>
                      <a:rPr lang="en-AU" sz="1100" i="1">
                        <a:latin typeface="Cambria Math" panose="02040503050406030204" pitchFamily="18" charset="0"/>
                      </a:rPr>
                      <m:t> </m:t>
                    </m:r>
                  </m:oMath>
                </m:oMathPara>
              </a14:m>
              <a:endParaRPr lang="en-AU" sz="1100"/>
            </a:p>
          </xdr:txBody>
        </xdr:sp>
      </mc:Choice>
      <mc:Fallback xmlns="">
        <xdr:sp macro="" textlink="">
          <xdr:nvSpPr>
            <xdr:cNvPr id="83" name="TextBox 82">
              <a:extLst>
                <a:ext uri="{FF2B5EF4-FFF2-40B4-BE49-F238E27FC236}">
                  <a16:creationId xmlns:a16="http://schemas.microsoft.com/office/drawing/2014/main" id="{9CB0C24E-AD05-2E45-37B4-6127CA13F956}"/>
                </a:ext>
              </a:extLst>
            </xdr:cNvPr>
            <xdr:cNvSpPr txBox="1"/>
          </xdr:nvSpPr>
          <xdr:spPr>
            <a:xfrm>
              <a:off x="3067050" y="99745799"/>
              <a:ext cx="292996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𝑒𝑚𝑖𝑠𝑠𝑖𝑜𝑛𝑠=𝑎𝑐𝑡𝑖𝑣𝑖𝑡𝑦\_𝑑𝑎𝑡𝑎×𝑒𝑚𝑖𝑠𝑠𝑖𝑜𝑛\_𝑓𝑎𝑐𝑡𝑜𝑟 </a:t>
              </a:r>
              <a:endParaRPr lang="en-AU" sz="1100"/>
            </a:p>
          </xdr:txBody>
        </xdr:sp>
      </mc:Fallback>
    </mc:AlternateContent>
    <xdr:clientData/>
  </xdr:oneCellAnchor>
  <xdr:oneCellAnchor>
    <xdr:from>
      <xdr:col>3</xdr:col>
      <xdr:colOff>30257</xdr:colOff>
      <xdr:row>508</xdr:row>
      <xdr:rowOff>103094</xdr:rowOff>
    </xdr:from>
    <xdr:ext cx="2229713" cy="331501"/>
    <mc:AlternateContent xmlns:mc="http://schemas.openxmlformats.org/markup-compatibility/2006" xmlns:a14="http://schemas.microsoft.com/office/drawing/2010/main">
      <mc:Choice Requires="a14">
        <xdr:sp macro="" textlink="">
          <xdr:nvSpPr>
            <xdr:cNvPr id="84" name="TextBox 83">
              <a:extLst>
                <a:ext uri="{FF2B5EF4-FFF2-40B4-BE49-F238E27FC236}">
                  <a16:creationId xmlns:a16="http://schemas.microsoft.com/office/drawing/2014/main" id="{808B04DA-D691-FF0E-70CA-0E47AC6B2252}"/>
                </a:ext>
              </a:extLst>
            </xdr:cNvPr>
            <xdr:cNvSpPr txBox="1"/>
          </xdr:nvSpPr>
          <xdr:spPr>
            <a:xfrm>
              <a:off x="3055845" y="116532212"/>
              <a:ext cx="2229713"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𝑞</m:t>
                        </m:r>
                      </m:sub>
                      <m:sup/>
                      <m:e>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𝑊𝑇𝑇</m:t>
                            </m:r>
                            <m:r>
                              <a:rPr lang="en-AU" sz="1100" i="1">
                                <a:latin typeface="Cambria Math" panose="02040503050406030204" pitchFamily="18" charset="0"/>
                              </a:rPr>
                              <m:t>,</m:t>
                            </m:r>
                            <m:r>
                              <a:rPr lang="en-AU" sz="1100" i="1">
                                <a:latin typeface="Cambria Math" panose="02040503050406030204" pitchFamily="18" charset="0"/>
                              </a:rPr>
                              <m:t>𝑡𝑟𝑎𝑛𝑠</m:t>
                            </m:r>
                            <m:r>
                              <a:rPr lang="en-AU" sz="1100" i="1">
                                <a:latin typeface="Cambria Math" panose="02040503050406030204" pitchFamily="18" charset="0"/>
                              </a:rPr>
                              <m:t>,</m:t>
                            </m:r>
                            <m:r>
                              <a:rPr lang="en-AU" sz="1100" i="1">
                                <a:latin typeface="Cambria Math" panose="02040503050406030204" pitchFamily="18" charset="0"/>
                              </a:rPr>
                              <m:t>𝑞</m:t>
                            </m:r>
                          </m:sub>
                        </m:sSub>
                      </m:e>
                    </m:nary>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𝑞</m:t>
                        </m:r>
                      </m:sub>
                      <m:sup/>
                      <m:e>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𝑊𝑇𝑇</m:t>
                            </m:r>
                            <m:r>
                              <a:rPr lang="en-AU" sz="1100" i="1">
                                <a:latin typeface="Cambria Math" panose="02040503050406030204" pitchFamily="18" charset="0"/>
                              </a:rPr>
                              <m:t>,</m:t>
                            </m:r>
                            <m:r>
                              <a:rPr lang="en-AU" sz="1100" i="1">
                                <a:latin typeface="Cambria Math" panose="02040503050406030204" pitchFamily="18" charset="0"/>
                              </a:rPr>
                              <m:t>𝑆𝐶</m:t>
                            </m:r>
                            <m:r>
                              <a:rPr lang="en-AU" sz="1100" i="1">
                                <a:latin typeface="Cambria Math" panose="02040503050406030204" pitchFamily="18" charset="0"/>
                              </a:rPr>
                              <m:t>,</m:t>
                            </m:r>
                            <m:r>
                              <a:rPr lang="en-AU" sz="1100" i="1">
                                <a:latin typeface="Cambria Math" panose="02040503050406030204" pitchFamily="18" charset="0"/>
                              </a:rPr>
                              <m:t>𝑞</m:t>
                            </m:r>
                          </m:sub>
                        </m:sSub>
                      </m:e>
                    </m:nary>
                  </m:oMath>
                </m:oMathPara>
              </a14:m>
              <a:endParaRPr lang="en-AU" sz="1100"/>
            </a:p>
          </xdr:txBody>
        </xdr:sp>
      </mc:Choice>
      <mc:Fallback xmlns="">
        <xdr:sp macro="" textlink="">
          <xdr:nvSpPr>
            <xdr:cNvPr id="84" name="TextBox 83">
              <a:extLst>
                <a:ext uri="{FF2B5EF4-FFF2-40B4-BE49-F238E27FC236}">
                  <a16:creationId xmlns:a16="http://schemas.microsoft.com/office/drawing/2014/main" id="{808B04DA-D691-FF0E-70CA-0E47AC6B2252}"/>
                </a:ext>
              </a:extLst>
            </xdr:cNvPr>
            <xdr:cNvSpPr txBox="1"/>
          </xdr:nvSpPr>
          <xdr:spPr>
            <a:xfrm>
              <a:off x="3055845" y="116532212"/>
              <a:ext cx="2229713"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𝐸=∑10_𝑞▒𝐸_(𝑊𝑇𝑇,𝑡𝑟𝑎𝑛𝑠,𝑞) +∑10_𝑞▒𝐸_(𝑊𝑇𝑇,𝑆𝐶,𝑞) </a:t>
              </a:r>
              <a:endParaRPr lang="en-AU" sz="1100"/>
            </a:p>
          </xdr:txBody>
        </xdr:sp>
      </mc:Fallback>
    </mc:AlternateContent>
    <xdr:clientData/>
  </xdr:oneCellAnchor>
  <xdr:oneCellAnchor>
    <xdr:from>
      <xdr:col>3</xdr:col>
      <xdr:colOff>30256</xdr:colOff>
      <xdr:row>523</xdr:row>
      <xdr:rowOff>80682</xdr:rowOff>
    </xdr:from>
    <xdr:ext cx="1958037" cy="180114"/>
    <mc:AlternateContent xmlns:mc="http://schemas.openxmlformats.org/markup-compatibility/2006" xmlns:a14="http://schemas.microsoft.com/office/drawing/2010/main">
      <mc:Choice Requires="a14">
        <xdr:sp macro="" textlink="">
          <xdr:nvSpPr>
            <xdr:cNvPr id="85" name="TextBox 84">
              <a:extLst>
                <a:ext uri="{FF2B5EF4-FFF2-40B4-BE49-F238E27FC236}">
                  <a16:creationId xmlns:a16="http://schemas.microsoft.com/office/drawing/2014/main" id="{D4D13A80-1822-3BD1-7E3D-2EFE46A1B07C}"/>
                </a:ext>
              </a:extLst>
            </xdr:cNvPr>
            <xdr:cNvSpPr txBox="1"/>
          </xdr:nvSpPr>
          <xdr:spPr>
            <a:xfrm>
              <a:off x="3055844" y="119681064"/>
              <a:ext cx="195803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5" name="TextBox 84">
              <a:extLst>
                <a:ext uri="{FF2B5EF4-FFF2-40B4-BE49-F238E27FC236}">
                  <a16:creationId xmlns:a16="http://schemas.microsoft.com/office/drawing/2014/main" id="{D4D13A80-1822-3BD1-7E3D-2EFE46A1B07C}"/>
                </a:ext>
              </a:extLst>
            </xdr:cNvPr>
            <xdr:cNvSpPr txBox="1"/>
          </xdr:nvSpPr>
          <xdr:spPr>
            <a:xfrm>
              <a:off x="3055844" y="119681064"/>
              <a:ext cx="195803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𝐸_(3,𝑒𝑙𝑒𝑐)=𝑄_𝑒𝑙𝑒𝑐×𝐸𝐹_(3,𝑒𝑙𝑒𝑐)×10^(−3)</a:t>
              </a:r>
              <a:endParaRPr lang="en-AU" sz="1100"/>
            </a:p>
          </xdr:txBody>
        </xdr:sp>
      </mc:Fallback>
    </mc:AlternateContent>
    <xdr:clientData/>
  </xdr:oneCellAnchor>
  <xdr:oneCellAnchor>
    <xdr:from>
      <xdr:col>5</xdr:col>
      <xdr:colOff>2137393</xdr:colOff>
      <xdr:row>540</xdr:row>
      <xdr:rowOff>162570</xdr:rowOff>
    </xdr:from>
    <xdr:ext cx="6938886" cy="191078"/>
    <mc:AlternateContent xmlns:mc="http://schemas.openxmlformats.org/markup-compatibility/2006" xmlns:a14="http://schemas.microsoft.com/office/drawing/2010/main">
      <mc:Choice Requires="a14">
        <xdr:sp macro="" textlink="">
          <xdr:nvSpPr>
            <xdr:cNvPr id="87" name="TextBox 86">
              <a:extLst>
                <a:ext uri="{FF2B5EF4-FFF2-40B4-BE49-F238E27FC236}">
                  <a16:creationId xmlns:a16="http://schemas.microsoft.com/office/drawing/2014/main" id="{33C73E23-A5CE-48C5-3C8C-22A83CCA818E}"/>
                </a:ext>
              </a:extLst>
            </xdr:cNvPr>
            <xdr:cNvSpPr txBox="1"/>
          </xdr:nvSpPr>
          <xdr:spPr>
            <a:xfrm>
              <a:off x="9852643" y="123130320"/>
              <a:ext cx="6938886"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m:rPr>
                            <m:sty m:val="p"/>
                          </m:rPr>
                          <a:rPr lang="en-AU" sz="1100" b="0" i="1">
                            <a:solidFill>
                              <a:srgbClr val="C00000"/>
                            </a:solidFill>
                            <a:latin typeface="Cambria Math" panose="02040503050406030204" pitchFamily="18" charset="0"/>
                          </a:rPr>
                          <m:t>ORIGINAL</m:t>
                        </m:r>
                        <m:r>
                          <a:rPr lang="en-AU" sz="1100" b="0" i="1">
                            <a:solidFill>
                              <a:srgbClr val="C00000"/>
                            </a:solidFill>
                            <a:latin typeface="Cambria Math" panose="02040503050406030204" pitchFamily="18" charset="0"/>
                          </a:rPr>
                          <m:t>: </m:t>
                        </m:r>
                        <m:r>
                          <a:rPr lang="en-AU" sz="1100" i="1">
                            <a:latin typeface="Cambria Math" panose="02040503050406030204" pitchFamily="18" charset="0"/>
                          </a:rPr>
                          <m:t>𝐸</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𝑅𝑃𝑃</m:t>
                            </m:r>
                            <m:r>
                              <a:rPr lang="en-AU" sz="1100" i="1">
                                <a:latin typeface="Cambria Math" panose="02040503050406030204" pitchFamily="18" charset="0"/>
                              </a:rPr>
                              <m:t>+</m:t>
                            </m:r>
                            <m:r>
                              <a:rPr lang="en-AU" sz="1100" i="1">
                                <a:latin typeface="Cambria Math" panose="02040503050406030204" pitchFamily="18" charset="0"/>
                              </a:rPr>
                              <m:t>𝐽𝑅𝑃𝑃</m:t>
                            </m:r>
                          </m:e>
                        </m:d>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𝑠𝑢𝑟𝑟𝑒𝑛𝑑𝑒𝑟𝑒𝑑</m:t>
                                    </m:r>
                                  </m:sub>
                                </m:sSub>
                                <m:r>
                                  <a:rPr lang="en-AU" sz="1100" i="1">
                                    <a:latin typeface="Cambria Math" panose="02040503050406030204" pitchFamily="18" charset="0"/>
                                  </a:rPr>
                                  <m:t>−</m:t>
                                </m:r>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𝑜𝑛𝑠𝑖𝑡𝑒</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𝑅𝑀𝐹</m:t>
                        </m:r>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7" name="TextBox 86">
              <a:extLst>
                <a:ext uri="{FF2B5EF4-FFF2-40B4-BE49-F238E27FC236}">
                  <a16:creationId xmlns:a16="http://schemas.microsoft.com/office/drawing/2014/main" id="{33C73E23-A5CE-48C5-3C8C-22A83CCA818E}"/>
                </a:ext>
              </a:extLst>
            </xdr:cNvPr>
            <xdr:cNvSpPr txBox="1"/>
          </xdr:nvSpPr>
          <xdr:spPr>
            <a:xfrm>
              <a:off x="9852643" y="123130320"/>
              <a:ext cx="6938886"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a:t>
              </a:r>
              <a:r>
                <a:rPr lang="en-AU" sz="1100" b="0" i="0">
                  <a:solidFill>
                    <a:srgbClr val="C00000"/>
                  </a:solidFill>
                  <a:latin typeface="Cambria Math" panose="02040503050406030204" pitchFamily="18" charset="0"/>
                </a:rPr>
                <a:t>ORIGINAL:</a:t>
              </a:r>
              <a:r>
                <a:rPr lang="en-AU" sz="1100" b="0" i="0">
                  <a:latin typeface="Cambria Math" panose="02040503050406030204" pitchFamily="18" charset="0"/>
                </a:rPr>
                <a:t> </a:t>
              </a:r>
              <a:r>
                <a:rPr lang="en-AU" sz="1100" i="0">
                  <a:latin typeface="Cambria Math" panose="02040503050406030204" pitchFamily="18" charset="0"/>
                </a:rPr>
                <a:t>𝐸〗_(3,𝑒𝑙𝑒𝑐)=[𝑄_𝑒𝑙𝑒𝑐×(1−(𝑅𝑃𝑃+𝐽𝑅𝑃𝑃))−├ ((𝑅𝐸𝐶_𝑠𝑢𝑟𝑟𝑒𝑛𝑑𝑒𝑟𝑒𝑑−𝑅𝐸𝐶_𝑜𝑛𝑠𝑖𝑡𝑒 )×10^(−3) )]×𝐸𝐹_(𝑅𝑀𝐹3,𝑒𝑙𝑒𝑐)×10^(−3)</a:t>
              </a:r>
              <a:endParaRPr lang="en-AU" sz="1100"/>
            </a:p>
          </xdr:txBody>
        </xdr:sp>
      </mc:Fallback>
    </mc:AlternateContent>
    <xdr:clientData/>
  </xdr:oneCellAnchor>
  <xdr:oneCellAnchor>
    <xdr:from>
      <xdr:col>3</xdr:col>
      <xdr:colOff>5351</xdr:colOff>
      <xdr:row>540</xdr:row>
      <xdr:rowOff>182789</xdr:rowOff>
    </xdr:from>
    <xdr:ext cx="6155275" cy="191078"/>
    <mc:AlternateContent xmlns:mc="http://schemas.openxmlformats.org/markup-compatibility/2006" xmlns:a14="http://schemas.microsoft.com/office/drawing/2010/main">
      <mc:Choice Requires="a14">
        <xdr:sp macro="" textlink="">
          <xdr:nvSpPr>
            <xdr:cNvPr id="88" name="TextBox 87">
              <a:extLst>
                <a:ext uri="{FF2B5EF4-FFF2-40B4-BE49-F238E27FC236}">
                  <a16:creationId xmlns:a16="http://schemas.microsoft.com/office/drawing/2014/main" id="{3C903432-AC8C-8204-101F-AE898265BAA1}"/>
                </a:ext>
              </a:extLst>
            </xdr:cNvPr>
            <xdr:cNvSpPr txBox="1"/>
          </xdr:nvSpPr>
          <xdr:spPr>
            <a:xfrm>
              <a:off x="3046024" y="123150539"/>
              <a:ext cx="6155275"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𝑅𝑃𝑃</m:t>
                            </m:r>
                            <m:r>
                              <a:rPr lang="en-AU" sz="1100" i="1">
                                <a:latin typeface="Cambria Math" panose="02040503050406030204" pitchFamily="18" charset="0"/>
                              </a:rPr>
                              <m:t>+</m:t>
                            </m:r>
                            <m:r>
                              <a:rPr lang="en-AU" sz="1100" i="1">
                                <a:latin typeface="Cambria Math" panose="02040503050406030204" pitchFamily="18" charset="0"/>
                              </a:rPr>
                              <m:t>𝐽𝑅𝑃𝑃</m:t>
                            </m:r>
                          </m:e>
                        </m:d>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𝑠𝑢𝑟𝑟𝑒𝑛𝑑𝑒𝑟𝑒𝑑</m:t>
                                    </m:r>
                                  </m:sub>
                                </m:sSub>
                                <m:r>
                                  <a:rPr lang="en-AU" sz="1100" i="1">
                                    <a:latin typeface="Cambria Math" panose="02040503050406030204" pitchFamily="18" charset="0"/>
                                  </a:rPr>
                                  <m:t>−</m:t>
                                </m:r>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𝑜𝑛𝑠𝑖𝑡𝑒</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𝑅𝑀𝐹</m:t>
                        </m:r>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8" name="TextBox 87">
              <a:extLst>
                <a:ext uri="{FF2B5EF4-FFF2-40B4-BE49-F238E27FC236}">
                  <a16:creationId xmlns:a16="http://schemas.microsoft.com/office/drawing/2014/main" id="{3C903432-AC8C-8204-101F-AE898265BAA1}"/>
                </a:ext>
              </a:extLst>
            </xdr:cNvPr>
            <xdr:cNvSpPr txBox="1"/>
          </xdr:nvSpPr>
          <xdr:spPr>
            <a:xfrm>
              <a:off x="3046024" y="123150539"/>
              <a:ext cx="6155275"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𝐸_(3,𝑒𝑙𝑒𝑐)=[𝑄_𝑒𝑙𝑒𝑐×(1−(𝑅𝑃𝑃+𝐽𝑅𝑃𝑃))−├ ((𝑅𝐸𝐶_𝑠𝑢𝑟𝑟𝑒𝑛𝑑𝑒𝑟𝑒𝑑−𝑅𝐸𝐶_𝑜𝑛𝑠𝑖𝑡𝑒 )×10^3 )]×𝐸𝐹_(𝑅𝑀𝐹3,𝑒𝑙𝑒𝑐)×10^(−3)</a:t>
              </a:r>
              <a:endParaRPr lang="en-AU" sz="1100"/>
            </a:p>
          </xdr:txBody>
        </xdr:sp>
      </mc:Fallback>
    </mc:AlternateContent>
    <xdr:clientData/>
  </xdr:oneCellAnchor>
  <xdr:oneCellAnchor>
    <xdr:from>
      <xdr:col>2</xdr:col>
      <xdr:colOff>344020</xdr:colOff>
      <xdr:row>561</xdr:row>
      <xdr:rowOff>114299</xdr:rowOff>
    </xdr:from>
    <xdr:ext cx="1519327" cy="173766"/>
    <mc:AlternateContent xmlns:mc="http://schemas.openxmlformats.org/markup-compatibility/2006" xmlns:a14="http://schemas.microsoft.com/office/drawing/2010/main">
      <mc:Choice Requires="a14">
        <xdr:sp macro="" textlink="">
          <xdr:nvSpPr>
            <xdr:cNvPr id="92" name="TextBox 91">
              <a:extLst>
                <a:ext uri="{FF2B5EF4-FFF2-40B4-BE49-F238E27FC236}">
                  <a16:creationId xmlns:a16="http://schemas.microsoft.com/office/drawing/2014/main" id="{0B499CE5-B20B-780D-BA69-4BF8FFC15279}"/>
                </a:ext>
              </a:extLst>
            </xdr:cNvPr>
            <xdr:cNvSpPr txBox="1"/>
          </xdr:nvSpPr>
          <xdr:spPr>
            <a:xfrm>
              <a:off x="3022226" y="127670858"/>
              <a:ext cx="151932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𝑙𝑒𝑎𝑐h</m:t>
                        </m:r>
                      </m:sub>
                    </m:sSub>
                  </m:oMath>
                </m:oMathPara>
              </a14:m>
              <a:endParaRPr lang="en-AU" sz="1100"/>
            </a:p>
          </xdr:txBody>
        </xdr:sp>
      </mc:Choice>
      <mc:Fallback xmlns="">
        <xdr:sp macro="" textlink="">
          <xdr:nvSpPr>
            <xdr:cNvPr id="92" name="TextBox 91">
              <a:extLst>
                <a:ext uri="{FF2B5EF4-FFF2-40B4-BE49-F238E27FC236}">
                  <a16:creationId xmlns:a16="http://schemas.microsoft.com/office/drawing/2014/main" id="{0B499CE5-B20B-780D-BA69-4BF8FFC15279}"/>
                </a:ext>
              </a:extLst>
            </xdr:cNvPr>
            <xdr:cNvSpPr txBox="1"/>
          </xdr:nvSpPr>
          <xdr:spPr>
            <a:xfrm>
              <a:off x="3022226" y="127670858"/>
              <a:ext cx="151932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𝐸=𝐸_𝑁2𝑂+𝐸_𝑎𝑑+𝐸_𝑙𝑒𝑎𝑐ℎ</a:t>
              </a:r>
              <a:endParaRPr lang="en-AU" sz="1100"/>
            </a:p>
          </xdr:txBody>
        </xdr:sp>
      </mc:Fallback>
    </mc:AlternateContent>
    <xdr:clientData/>
  </xdr:oneCellAnchor>
  <xdr:oneCellAnchor>
    <xdr:from>
      <xdr:col>3</xdr:col>
      <xdr:colOff>30257</xdr:colOff>
      <xdr:row>592</xdr:row>
      <xdr:rowOff>136712</xdr:rowOff>
    </xdr:from>
    <xdr:ext cx="1725537" cy="332014"/>
    <mc:AlternateContent xmlns:mc="http://schemas.openxmlformats.org/markup-compatibility/2006" xmlns:a14="http://schemas.microsoft.com/office/drawing/2010/main">
      <mc:Choice Requires="a14">
        <xdr:sp macro="" textlink="">
          <xdr:nvSpPr>
            <xdr:cNvPr id="93" name="TextBox 92">
              <a:extLst>
                <a:ext uri="{FF2B5EF4-FFF2-40B4-BE49-F238E27FC236}">
                  <a16:creationId xmlns:a16="http://schemas.microsoft.com/office/drawing/2014/main" id="{0788B87A-DB2E-A83E-B759-F5A486316971}"/>
                </a:ext>
              </a:extLst>
            </xdr:cNvPr>
            <xdr:cNvSpPr txBox="1"/>
          </xdr:nvSpPr>
          <xdr:spPr>
            <a:xfrm>
              <a:off x="3055845" y="134271124"/>
              <a:ext cx="1725537"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𝑓</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𝑓</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e>
                        </m:d>
                      </m:e>
                    </m:nary>
                  </m:oMath>
                </m:oMathPara>
              </a14:m>
              <a:endParaRPr lang="en-AU" sz="1100"/>
            </a:p>
          </xdr:txBody>
        </xdr:sp>
      </mc:Choice>
      <mc:Fallback xmlns="">
        <xdr:sp macro="" textlink="">
          <xdr:nvSpPr>
            <xdr:cNvPr id="93" name="TextBox 92">
              <a:extLst>
                <a:ext uri="{FF2B5EF4-FFF2-40B4-BE49-F238E27FC236}">
                  <a16:creationId xmlns:a16="http://schemas.microsoft.com/office/drawing/2014/main" id="{0788B87A-DB2E-A83E-B759-F5A486316971}"/>
                </a:ext>
              </a:extLst>
            </xdr:cNvPr>
            <xdr:cNvSpPr txBox="1"/>
          </xdr:nvSpPr>
          <xdr:spPr>
            <a:xfrm>
              <a:off x="3055845" y="134271124"/>
              <a:ext cx="1725537"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𝐸=∑10_𝑓▒((𝑊_𝑓×𝐷_𝑓 )×𝐸𝐹_𝑓 ) </a:t>
              </a:r>
              <a:endParaRPr lang="en-AU" sz="1100"/>
            </a:p>
          </xdr:txBody>
        </xdr:sp>
      </mc:Fallback>
    </mc:AlternateContent>
    <xdr:clientData/>
  </xdr:oneCellAnchor>
</xdr:wsDr>
</file>

<file path=xl/drawings/drawing2.xml><?xml version="1.0" encoding="utf-8"?>
<xdr:wsDr xmlns:xdr="http://schemas.openxmlformats.org/drawingml/2006/spreadsheetDrawing" xmlns:a="http://schemas.openxmlformats.org/drawingml/2006/main">
  <xdr:oneCellAnchor>
    <xdr:from>
      <xdr:col>3</xdr:col>
      <xdr:colOff>13447</xdr:colOff>
      <xdr:row>7</xdr:row>
      <xdr:rowOff>109818</xdr:rowOff>
    </xdr:from>
    <xdr:ext cx="1199046" cy="16536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4AA1E742-AED5-46DF-91A8-3AB8EE709841}"/>
                </a:ext>
              </a:extLst>
            </xdr:cNvPr>
            <xdr:cNvSpPr txBox="1"/>
          </xdr:nvSpPr>
          <xdr:spPr>
            <a:xfrm>
              <a:off x="2689972" y="1976718"/>
              <a:ext cx="119904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𝑤𝑡</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𝑉</m:t>
                        </m:r>
                      </m:e>
                      <m:sub>
                        <m:r>
                          <a:rPr lang="en-AU" sz="1100" i="1">
                            <a:latin typeface="Cambria Math" panose="02040503050406030204" pitchFamily="18" charset="0"/>
                          </a:rPr>
                          <m:t>𝑤𝑡</m:t>
                        </m:r>
                      </m:sub>
                    </m:sSub>
                    <m:r>
                      <a:rPr lang="en-AU" sz="1100" i="1">
                        <a:latin typeface="Cambria Math" panose="02040503050406030204" pitchFamily="18" charset="0"/>
                      </a:rPr>
                      <m:t>×</m:t>
                    </m:r>
                    <m:r>
                      <a:rPr lang="en-AU" sz="1100" i="1">
                        <a:latin typeface="Cambria Math" panose="02040503050406030204" pitchFamily="18" charset="0"/>
                      </a:rPr>
                      <m:t>𝑉𝑇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𝑤</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4AA1E742-AED5-46DF-91A8-3AB8EE709841}"/>
                </a:ext>
              </a:extLst>
            </xdr:cNvPr>
            <xdr:cNvSpPr txBox="1"/>
          </xdr:nvSpPr>
          <xdr:spPr>
            <a:xfrm>
              <a:off x="2689972" y="1976718"/>
              <a:ext cx="119904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𝑄_𝑤𝑡=𝑉_𝑤𝑡×𝑉𝑇𝑀_𝑤</a:t>
              </a:r>
              <a:endParaRPr lang="en-AU" sz="1100"/>
            </a:p>
          </xdr:txBody>
        </xdr:sp>
      </mc:Fallback>
    </mc:AlternateContent>
    <xdr:clientData/>
  </xdr:oneCellAnchor>
  <xdr:oneCellAnchor>
    <xdr:from>
      <xdr:col>3</xdr:col>
      <xdr:colOff>4762</xdr:colOff>
      <xdr:row>71</xdr:row>
      <xdr:rowOff>114300</xdr:rowOff>
    </xdr:from>
    <xdr:ext cx="1790426" cy="31290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2CE189B-38F9-40B6-9787-43DBAE979023}"/>
                </a:ext>
              </a:extLst>
            </xdr:cNvPr>
            <xdr:cNvSpPr txBox="1"/>
          </xdr:nvSpPr>
          <xdr:spPr>
            <a:xfrm>
              <a:off x="2681287" y="17830800"/>
              <a:ext cx="179042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𝑔</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𝑡</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𝑤</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𝑤𝑡</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𝑤𝑡𝑔</m:t>
                                    </m:r>
                                  </m:sub>
                                </m:sSub>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52CE189B-38F9-40B6-9787-43DBAE979023}"/>
                </a:ext>
              </a:extLst>
            </xdr:cNvPr>
            <xdr:cNvSpPr txBox="1"/>
          </xdr:nvSpPr>
          <xdr:spPr>
            <a:xfrm>
              <a:off x="2681287" y="17830800"/>
              <a:ext cx="179042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𝐸_𝑔=∑2_𝑡▒∑2_𝑤▒(𝑄_𝑤𝑡×𝐸𝐹_𝑤𝑡𝑔 ) </a:t>
              </a:r>
              <a:endParaRPr lang="en-AU" sz="1100"/>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oneCellAnchor>
    <xdr:from>
      <xdr:col>3</xdr:col>
      <xdr:colOff>4762</xdr:colOff>
      <xdr:row>7</xdr:row>
      <xdr:rowOff>66675</xdr:rowOff>
    </xdr:from>
    <xdr:ext cx="3299749"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F559BD6-0D8E-4804-BA08-E274183EBB00}"/>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𝑖</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EF559BD6-0D8E-4804-BA08-E274183EBB00}"/>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𝐸_𝑁2𝑂=∑_𝑗▒∑_𝑓▒((𝑀𝑁𝑆𝑜𝑖𝑙_𝑗𝑓×𝐸𝐹_(𝑁2𝑂,𝑖)×𝐶_𝑁2𝑂 )×10^(−3) ) </a:t>
              </a:r>
              <a:endParaRPr lang="en-AU" sz="1100"/>
            </a:p>
          </xdr:txBody>
        </xdr:sp>
      </mc:Fallback>
    </mc:AlternateContent>
    <xdr:clientData/>
  </xdr:oneCellAnchor>
  <xdr:oneCellAnchor>
    <xdr:from>
      <xdr:col>3</xdr:col>
      <xdr:colOff>4762</xdr:colOff>
      <xdr:row>26</xdr:row>
      <xdr:rowOff>66675</xdr:rowOff>
    </xdr:from>
    <xdr:ext cx="2649059" cy="18299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299C928A-9393-40E6-BE77-DFCC839B2AEC}"/>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𝑠𝑜𝑖𝑙</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299C928A-9393-40E6-BE77-DFCC839B2AEC}"/>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𝑀_(𝑣𝑜𝑙,𝑜𝑟𝑔𝑎𝑛𝑖𝑐,𝑗𝑓)=𝑀𝑁𝑆𝑜𝑖𝑙_𝑗𝑓×𝐹𝑟𝑎𝑐𝐺𝐴𝑆𝑀_𝑠𝑜𝑖𝑙</a:t>
              </a:r>
              <a:endParaRPr lang="en-AU" sz="1100"/>
            </a:p>
          </xdr:txBody>
        </xdr:sp>
      </mc:Fallback>
    </mc:AlternateContent>
    <xdr:clientData/>
  </xdr:oneCellAnchor>
  <xdr:oneCellAnchor>
    <xdr:from>
      <xdr:col>3</xdr:col>
      <xdr:colOff>14287</xdr:colOff>
      <xdr:row>42</xdr:row>
      <xdr:rowOff>57150</xdr:rowOff>
    </xdr:from>
    <xdr:ext cx="4040786" cy="33207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B22C4993-4BE4-41FF-9A8D-E84A67959803}"/>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5" name="TextBox 4">
              <a:extLst>
                <a:ext uri="{FF2B5EF4-FFF2-40B4-BE49-F238E27FC236}">
                  <a16:creationId xmlns:a16="http://schemas.microsoft.com/office/drawing/2014/main" id="{B22C4993-4BE4-41FF-9A8D-E84A67959803}"/>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𝐸_(𝑎𝑑,𝑜𝑟𝑔𝑎𝑛𝑖𝑐)=∑2_𝑗▒∑2_𝑓▒((𝑀_(𝑣𝑜𝑙,𝑜𝑟𝑔𝑎𝑛𝑖𝑐,𝑗𝑓)×𝐸𝐹_(𝑁2𝑂,𝑗) )×𝐶_𝑁2𝑂×10^(−3) ) </a:t>
              </a:r>
              <a:endParaRPr lang="en-AU" sz="1100"/>
            </a:p>
          </xdr:txBody>
        </xdr:sp>
      </mc:Fallback>
    </mc:AlternateContent>
    <xdr:clientData/>
  </xdr:oneCellAnchor>
  <xdr:oneCellAnchor>
    <xdr:from>
      <xdr:col>2</xdr:col>
      <xdr:colOff>252412</xdr:colOff>
      <xdr:row>61</xdr:row>
      <xdr:rowOff>71437</xdr:rowOff>
    </xdr:from>
    <xdr:ext cx="3633944" cy="332014"/>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C957D00D-D21E-4A5E-956B-B4B2180DC37D}"/>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6" name="TextBox 5">
              <a:extLst>
                <a:ext uri="{FF2B5EF4-FFF2-40B4-BE49-F238E27FC236}">
                  <a16:creationId xmlns:a16="http://schemas.microsoft.com/office/drawing/2014/main" id="{C957D00D-D21E-4A5E-956B-B4B2180DC37D}"/>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100"/>
            </a:p>
          </xdr:txBody>
        </xdr:sp>
      </mc:Fallback>
    </mc:AlternateContent>
    <xdr:clientData/>
  </xdr:oneCellAnchor>
  <xdr:oneCellAnchor>
    <xdr:from>
      <xdr:col>3</xdr:col>
      <xdr:colOff>14287</xdr:colOff>
      <xdr:row>79</xdr:row>
      <xdr:rowOff>61912</xdr:rowOff>
    </xdr:from>
    <xdr:ext cx="4870692" cy="429926"/>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549A9F06-496C-4FE6-AAD6-5008B59A5906}"/>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𝑓𝑒𝑟𝑡</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7" name="TextBox 6">
              <a:extLst>
                <a:ext uri="{FF2B5EF4-FFF2-40B4-BE49-F238E27FC236}">
                  <a16:creationId xmlns:a16="http://schemas.microsoft.com/office/drawing/2014/main" id="{549A9F06-496C-4FE6-AAD6-5008B59A5906}"/>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B361E796-3C5E-4AD6-8516-31194110F422}"/>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B361E796-3C5E-4AD6-8516-31194110F422}"/>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𝐸_𝐶𝐻4=∑_𝑗▒∑_𝑘▒∑_𝑚▒∑_𝑇▒(𝐷_𝑗𝑘×𝑀_𝑗𝑘𝑚𝑇×𝑁_𝑗𝑘 ) ×10^(−3)</a:t>
              </a:r>
              <a:endParaRPr lang="en-AU" sz="1100"/>
            </a:p>
          </xdr:txBody>
        </xdr:sp>
      </mc:Fallback>
    </mc:AlternateContent>
    <xdr:clientData/>
  </xdr:oneCellAnchor>
  <xdr:oneCellAnchor>
    <xdr:from>
      <xdr:col>3</xdr:col>
      <xdr:colOff>10549</xdr:colOff>
      <xdr:row>7</xdr:row>
      <xdr:rowOff>192157</xdr:rowOff>
    </xdr:from>
    <xdr:ext cx="3734164" cy="33150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E1C7EC1-BA53-41B7-B7DD-DDA807C38E1E}"/>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𝑔</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𝑞</m:t>
                            </m:r>
                          </m:sub>
                          <m:sup/>
                          <m:e>
                            <m:d>
                              <m:dPr>
                                <m:ctrlPr>
                                  <a:rPr lang="en-AU" sz="1100" i="1">
                                    <a:solidFill>
                                      <a:schemeClr val="tx1"/>
                                    </a:solidFill>
                                    <a:effectLst/>
                                    <a:latin typeface="Cambria Math" panose="02040503050406030204" pitchFamily="18" charset="0"/>
                                    <a:ea typeface="+mn-ea"/>
                                    <a:cs typeface="+mn-cs"/>
                                  </a:rPr>
                                </m:ctrlPr>
                              </m:dPr>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𝑡𝑞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r>
                                      <a:rPr lang="en-AU" sz="1100" i="1">
                                        <a:solidFill>
                                          <a:schemeClr val="tx1"/>
                                        </a:solidFill>
                                        <a:effectLst/>
                                        <a:latin typeface="Cambria Math" panose="02040503050406030204" pitchFamily="18" charset="0"/>
                                        <a:ea typeface="+mn-ea"/>
                                        <a:cs typeface="+mn-cs"/>
                                      </a:rPr>
                                      <m:t>,1,</m:t>
                                    </m:r>
                                    <m:r>
                                      <a:rPr lang="en-AU" sz="1100" i="1">
                                        <a:solidFill>
                                          <a:schemeClr val="tx1"/>
                                        </a:solidFill>
                                        <a:effectLst/>
                                        <a:latin typeface="Cambria Math" panose="02040503050406030204" pitchFamily="18" charset="0"/>
                                        <a:ea typeface="+mn-ea"/>
                                        <a:cs typeface="+mn-cs"/>
                                      </a:rPr>
                                      <m:t>𝑡𝑞𝑔</m:t>
                                    </m:r>
                                  </m:sub>
                                </m:sSub>
                              </m:e>
                            </m:d>
                          </m:e>
                        </m:nary>
                      </m:e>
                    </m:nary>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7E1C7EC1-BA53-41B7-B7DD-DDA807C38E1E}"/>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𝐸_𝑔=∑2_𝑡▒∑2_𝑞▒(𝑄_(𝑇𝑟𝑎𝑛𝑠,𝑡𝑞)×𝐸𝐶_(𝑇𝑟𝑎𝑛𝑠,𝑞)×𝐸𝐹_(𝑇𝑟𝑎𝑛𝑠,𝑞,1,𝑡𝑞𝑔) ) ×10^(−3)</a:t>
              </a:r>
              <a:endParaRPr lang="en-AU" sz="1100"/>
            </a:p>
          </xdr:txBody>
        </xdr:sp>
      </mc:Fallback>
    </mc:AlternateContent>
    <xdr:clientData/>
  </xdr:oneCellAnchor>
  <xdr:oneCellAnchor>
    <xdr:from>
      <xdr:col>10</xdr:col>
      <xdr:colOff>10549</xdr:colOff>
      <xdr:row>7</xdr:row>
      <xdr:rowOff>192157</xdr:rowOff>
    </xdr:from>
    <xdr:ext cx="3410677" cy="18575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FFE6DE7E-FE4D-4394-ACD3-936F45EE1F05}"/>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𝑊𝑇𝑇</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𝑡𝑟𝑎𝑛𝑠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,3,</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FFE6DE7E-FE4D-4394-ACD3-936F45EE1F05}"/>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𝐸_(𝑊𝑇𝑇,𝑡𝑟𝑎𝑛𝑠,𝑞)=𝑄_(𝑇𝑟𝑎𝑛𝑠,𝑞)×𝐸𝐶_(𝑇𝑟𝑎𝑛𝑠,𝑞)×𝐸𝐹_(𝑇𝑟𝑎𝑛𝑠,3,𝑞)×10^(−3)</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2</xdr:col>
      <xdr:colOff>301902</xdr:colOff>
      <xdr:row>7</xdr:row>
      <xdr:rowOff>192157</xdr:rowOff>
    </xdr:from>
    <xdr:ext cx="3003836" cy="33150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85E2BD0E-5D4A-4D4D-88A5-E02F14AF6EB8}"/>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𝑔</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𝑞</m:t>
                            </m:r>
                          </m:sub>
                          <m:sup/>
                          <m:e>
                            <m:d>
                              <m:dPr>
                                <m:ctrlPr>
                                  <a:rPr lang="en-AU" sz="1100" i="1">
                                    <a:solidFill>
                                      <a:schemeClr val="tx1"/>
                                    </a:solidFill>
                                    <a:effectLst/>
                                    <a:latin typeface="Cambria Math" panose="02040503050406030204" pitchFamily="18" charset="0"/>
                                    <a:ea typeface="+mn-ea"/>
                                    <a:cs typeface="+mn-cs"/>
                                  </a:rPr>
                                </m:ctrlPr>
                              </m:dPr>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,1,</m:t>
                                    </m:r>
                                    <m:r>
                                      <a:rPr lang="en-AU" sz="1100" i="1">
                                        <a:solidFill>
                                          <a:schemeClr val="tx1"/>
                                        </a:solidFill>
                                        <a:effectLst/>
                                        <a:latin typeface="Cambria Math" panose="02040503050406030204" pitchFamily="18" charset="0"/>
                                        <a:ea typeface="+mn-ea"/>
                                        <a:cs typeface="+mn-cs"/>
                                      </a:rPr>
                                      <m:t>𝑞𝑔</m:t>
                                    </m:r>
                                  </m:sub>
                                </m:sSub>
                              </m:e>
                            </m:d>
                          </m:e>
                        </m:nary>
                      </m:e>
                    </m:nary>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85E2BD0E-5D4A-4D4D-88A5-E02F14AF6EB8}"/>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𝐸_𝑔=∑2_𝑡▒∑2_𝑞▒(𝑄_(𝑆𝐶,𝑞)×𝐸𝐶_(𝑆𝐶,𝑞)×𝐸𝐹_(𝑆𝐶,1,𝑞𝑔) ) ×10^(−3)</a:t>
              </a:r>
              <a:endParaRPr lang="en-AU" sz="1100"/>
            </a:p>
          </xdr:txBody>
        </xdr:sp>
      </mc:Fallback>
    </mc:AlternateContent>
    <xdr:clientData/>
  </xdr:oneCellAnchor>
  <xdr:oneCellAnchor>
    <xdr:from>
      <xdr:col>9</xdr:col>
      <xdr:colOff>2029849</xdr:colOff>
      <xdr:row>8</xdr:row>
      <xdr:rowOff>106432</xdr:rowOff>
    </xdr:from>
    <xdr:ext cx="2697726" cy="18575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2803D87A-087C-405B-B237-7D7F8B5F797E}"/>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𝑊𝑇𝑇</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,3,</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2803D87A-087C-405B-B237-7D7F8B5F797E}"/>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𝐸_(𝑊𝑇𝑇,𝑆𝐶,𝑞)=𝑄_(𝑆𝐶,𝑞)×𝐸𝐶_(𝑆𝐶,𝑞)×𝐸𝐹_(𝑆𝐶,3,𝑞)×10^(−3)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0" xr:uid="{670B2E3F-5C70-4038-AE1D-01C1B768AE2A}" name="Table_Input_Fuel" displayName="Table_Input_Fuel" ref="D16:I21" totalsRowDxfId="493" headerRowCellStyle="Input table column header">
  <autoFilter ref="D16:I21" xr:uid="{6E44059A-C219-4316-A7A0-AD77B0121F06}">
    <filterColumn colId="0" hiddenButton="1"/>
    <filterColumn colId="1" hiddenButton="1"/>
    <filterColumn colId="2" hiddenButton="1"/>
    <filterColumn colId="3" hiddenButton="1"/>
    <filterColumn colId="4" hiddenButton="1"/>
    <filterColumn colId="5" hiddenButton="1"/>
  </autoFilter>
  <tableColumns count="6">
    <tableColumn id="2" xr3:uid="{4DADA52D-2CAF-4843-BD7B-2C982736B7FE}" name="Fuel use (select)" totalsRowFunction="average" totalsRowDxfId="492" dataCellStyle="Input select" totalsRowCellStyle="Input select"/>
    <tableColumn id="3" xr3:uid="{E03C244F-B016-4373-8F29-F863250A309B}" name="Fuel type (select)" totalsRowDxfId="491" dataCellStyle="Input select" totalsRowCellStyle="Input select"/>
    <tableColumn id="4" xr3:uid="{70536E5B-E617-4814-BA37-CAE5E35162C6}" name="Amount purchased" totalsRowDxfId="490" totalsRowCellStyle="Content bold"/>
    <tableColumn id="6" xr3:uid="{9F12A1DD-B701-47BF-A99D-DAA4D26B1EB3}" name="Amount unit" totalsRowDxfId="489" dataCellStyle="Input number general calculated" totalsRowCellStyle="Input text calculated">
      <calculatedColumnFormula array="1">Common_InputFunctions.Utility_LookupValueInTable(Table_Input_Fuel[[#This Row],[Fuel type (select)]],Table_FuelTypes_Units[Fuel type], Table_FuelTypes_Units[Unit])</calculatedColumnFormula>
    </tableColumn>
    <tableColumn id="5" xr3:uid="{52F4A425-C6C2-48A0-A86C-E2A159F59D29}" name="Percent consumed" totalsRowDxfId="488" totalsRowCellStyle="Input percent">
      <calculatedColumnFormula>1</calculatedColumnFormula>
    </tableColumn>
    <tableColumn id="1" xr3:uid="{54C850E9-3FE0-4B86-92C1-58D2275B9FA5}" name="Amount consumed" totalsRowFunction="custom" totalsRowDxfId="487" dataCellStyle="Input number general calculated">
      <calculatedColumnFormula>Table_Input_Fuel[[#This Row],[Amount purchased]]*Table_Input_Fuel[[#This Row],[Percent consumed]]*10^-3</calculatedColumnFormula>
      <totalsRowFormula>SUM(Table_Input_Fuel[Amount consumed])</totalsRow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CCDBA08B-7A62-45EB-9326-FCF32C16949C}" name="Table_Input_InorganicFertiliser_Brands" displayName="Table_Input_InorganicFertiliser_Brands" ref="D17:X20" headerRowDxfId="486" dataDxfId="485" totalsRowDxfId="484">
  <autoFilter ref="D17:X20" xr:uid="{5673927C-FAF3-425F-8E58-192CAB5E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autoFilter>
  <tableColumns count="21">
    <tableColumn id="2" xr3:uid="{3C05F0AD-9F76-4223-8CAA-F4D965A959FA}" name="Product (select)" dataDxfId="483" totalsRowDxfId="482" dataCellStyle="Input select"/>
    <tableColumn id="23" xr3:uid="{F727E370-72E8-46CC-9F10-18494CAC017E}" name="Amount applied per hectare" totalsRowFunction="custom" dataDxfId="481" totalsRowDxfId="480">
      <totalsRowFormula>SUM(Table_Input_InorganicFertiliser_Brands[[#Headers],[#Data],[Amount applied per hectare]])</totalsRowFormula>
    </tableColumn>
    <tableColumn id="18" xr3:uid="{2253738D-C34B-45FC-A347-3594DD12A0FD}" name="Application unit" totalsRowDxfId="479" dataCellStyle="Input number general calculated">
      <calculatedColumnFormula>_xlfn.XLOOKUP(Table_Input_InorganicFertiliser_Brands[[#This Row],[Product (select)]],FertiliserProducts[Product name],FertiliserProducts[Unit])</calculatedColumnFormula>
    </tableColumn>
    <tableColumn id="21" xr3:uid="{4FB3B271-E92A-4B96-B053-B86AF34E1D2D}" name="Density" totalsRowDxfId="478" dataCellStyle="Input number general calculated">
      <calculatedColumnFormula>_xlfn.XLOOKUP(Table_Input_InorganicFertiliser_Brands[[#This Row],[Product (select)]],FertiliserProducts[Product name],FertiliserProducts[Density / gravity])</calculatedColumnFormula>
    </tableColumn>
    <tableColumn id="6" xr3:uid="{91FD8955-DFC1-456B-BAA3-815803F362E1}" name="Application area (ha)" dataDxfId="477" totalsRowDxfId="476">
      <calculatedColumnFormula>$E$9</calculatedColumnFormula>
    </tableColumn>
    <tableColumn id="1" xr3:uid="{DE25213C-DDD2-412A-85A4-29987D633B72}" name="Total applied (kg)" dataDxfId="475" totalsRowDxfId="474" dataCellStyle="Input number general calculated">
      <calculatedColumnFormula>(Table_Input_InorganicFertiliser_Brands[[#This Row],[Amount applied per hectare]]*Table_Input_InorganicFertiliser_Brands[[#This Row],[Density]])*Table_Input_InorganicFertiliser_Brands[[#This Row],[Application area (ha)]]</calculatedColumnFormula>
    </tableColumn>
    <tableColumn id="3" xr3:uid="{47369C23-2EB2-4294-911F-7E8527CF792D}" name="Ingredient 1" dataDxfId="473" totalsRowDxfId="472" dataCellStyle="Input number general calculated">
      <calculatedColumnFormula array="1">Fertiliser_InputFunctions.Fertiliser_FertiliserProductLookup(Table_Input_InorganicFertiliser_Brands[[#This Row],[Product (select)]], Table_Input_InorganicFertiliser_Brands[[#Headers],[Ingredient 1]], FertiliserProducts[#Data], FertiliserProducts[Product name], FertiliserProducts[#Headers])</calculatedColumnFormula>
    </tableColumn>
    <tableColumn id="4" xr3:uid="{36F8DE80-4F34-4CF8-81B1-F11B81739D52}" name="Ingredient 1 percent" dataDxfId="471" totalsRowDxfId="470" dataCellStyle="Input number general calculated">
      <calculatedColumnFormula array="1">Fertiliser_InputFunctions.Fertiliser_FertiliserProductLookup(Table_Input_InorganicFertiliser_Brands[[#This Row],[Product (select)]], Table_Input_InorganicFertiliser_Brands[[#Headers],[Ingredient 1 percent]], FertiliserProducts[#Data], FertiliserProducts[Product name], FertiliserProducts[#Headers])</calculatedColumnFormula>
    </tableColumn>
    <tableColumn id="7" xr3:uid="{513CFCEE-2174-4AD6-853C-EB41A83E1BA2}" name="Ingredient 2" dataDxfId="469" dataCellStyle="Input number general calculated">
      <calculatedColumnFormula array="1">Fertiliser_InputFunctions.Fertiliser_FertiliserProductLookup(Table_Input_InorganicFertiliser_Brands[[#This Row],[Product (select)]], Table_Input_InorganicFertiliser_Brands[[#Headers],[Ingredient 2]], FertiliserProducts[#Data], FertiliserProducts[Product name], FertiliserProducts[#Headers])</calculatedColumnFormula>
    </tableColumn>
    <tableColumn id="8" xr3:uid="{747D2171-4636-4700-A14D-E2848AB2AE5A}" name="Ingredient 2 percent" dataDxfId="468" totalsRowDxfId="467" dataCellStyle="Input number general calculated">
      <calculatedColumnFormula array="1">Fertiliser_InputFunctions.Fertiliser_FertiliserProductLookup(Table_Input_InorganicFertiliser_Brands[[#This Row],[Product (select)]], Table_Input_InorganicFertiliser_Brands[[#Headers],[Ingredient 2 percent]], FertiliserProducts[#Data], FertiliserProducts[Product name], FertiliserProducts[#Headers])</calculatedColumnFormula>
    </tableColumn>
    <tableColumn id="10" xr3:uid="{ED9836FC-F3AD-4C23-A6BB-FC7AA520BCDF}" name="Ingredient 3" dataDxfId="466" totalsRowDxfId="465" dataCellStyle="Input number general calculated">
      <calculatedColumnFormula array="1">Fertiliser_InputFunctions.Fertiliser_FertiliserProductLookup(Table_Input_InorganicFertiliser_Brands[[#This Row],[Product (select)]], Table_Input_InorganicFertiliser_Brands[[#Headers],[Ingredient 3]], FertiliserProducts[#Data], FertiliserProducts[Product name], FertiliserProducts[#Headers])</calculatedColumnFormula>
    </tableColumn>
    <tableColumn id="11" xr3:uid="{5BF18466-E23F-4156-A3C6-F9B959020E05}" name="Ingredient 3 percent" dataDxfId="464" totalsRowDxfId="463" dataCellStyle="Input number general calculated">
      <calculatedColumnFormula array="1">Fertiliser_InputFunctions.Fertiliser_FertiliserProductLookup(Table_Input_InorganicFertiliser_Brands[[#This Row],[Product (select)]], Table_Input_InorganicFertiliser_Brands[[#Headers],[Ingredient 3 percent]], FertiliserProducts[#Data], FertiliserProducts[Product name], FertiliserProducts[#Headers])</calculatedColumnFormula>
    </tableColumn>
    <tableColumn id="13" xr3:uid="{104446A1-712C-472D-89C1-7494D30CB683}" name="Ingredient 4" dataDxfId="462" totalsRowDxfId="461" dataCellStyle="Input number general calculated">
      <calculatedColumnFormula array="1">Fertiliser_InputFunctions.Fertiliser_FertiliserProductLookup(Table_Input_InorganicFertiliser_Brands[[#This Row],[Product (select)]], Table_Input_InorganicFertiliser_Brands[[#Headers],[Ingredient 4]], FertiliserProducts[#Data], FertiliserProducts[Product name], FertiliserProducts[#Headers])</calculatedColumnFormula>
    </tableColumn>
    <tableColumn id="14" xr3:uid="{1A6A16DA-48D3-4DB0-A853-5EBE8887C35C}" name="Ingredient 4 percent" dataDxfId="460" dataCellStyle="Input number general calculated">
      <calculatedColumnFormula array="1">Fertiliser_InputFunctions.Fertiliser_FertiliserProductLookup(Table_Input_InorganicFertiliser_Brands[[#This Row],[Product (select)]], Table_Input_InorganicFertiliser_Brands[[#Headers],[Ingredient 4 percent]], FertiliserProducts[#Data], FertiliserProducts[Product name], FertiliserProducts[#Headers])</calculatedColumnFormula>
    </tableColumn>
    <tableColumn id="16" xr3:uid="{E9FADDC4-0D69-4D56-9E60-7B2E0BF093FD}" name="Ingredient 5" dataDxfId="459" dataCellStyle="Input number general calculated">
      <calculatedColumnFormula array="1">Fertiliser_InputFunctions.Fertiliser_FertiliserProductLookup(Table_Input_InorganicFertiliser_Brands[[#This Row],[Product (select)]], Table_Input_InorganicFertiliser_Brands[[#Headers],[Ingredient 5]], FertiliserProducts[#Data], FertiliserProducts[Product name], FertiliserProducts[#Headers])</calculatedColumnFormula>
    </tableColumn>
    <tableColumn id="17" xr3:uid="{800FB242-7D13-448E-8510-96653C5A00B5}" name="Ingredient 5 percent" dataDxfId="458" dataCellStyle="Input number general calculated">
      <calculatedColumnFormula array="1">Fertiliser_InputFunctions.Fertiliser_FertiliserProductLookup(Table_Input_InorganicFertiliser_Brands[[#This Row],[Product (select)]], Table_Input_InorganicFertiliser_Brands[[#Headers],[Ingredient 5 percent]], FertiliserProducts[#Data], FertiliserProducts[Product name], FertiliserProducts[#Headers])</calculatedColumnFormula>
    </tableColumn>
    <tableColumn id="19" xr3:uid="{6CCDCCE7-B573-4494-9ED5-2108B098B12B}" name="Ingredient 6" dataDxfId="457" dataCellStyle="Input number general calculated">
      <calculatedColumnFormula array="1">Fertiliser_InputFunctions.Fertiliser_FertiliserProductLookup(Table_Input_InorganicFertiliser_Brands[[#This Row],[Product (select)]], Table_Input_InorganicFertiliser_Brands[[#Headers],[Ingredient 6]], FertiliserProducts[#Data], FertiliserProducts[Product name], FertiliserProducts[#Headers])</calculatedColumnFormula>
    </tableColumn>
    <tableColumn id="20" xr3:uid="{BA40A67D-97B4-469D-8B13-312D079A26EE}" name="Ingredient 6 percent" dataDxfId="456" dataCellStyle="Input number general calculated">
      <calculatedColumnFormula array="1">Fertiliser_InputFunctions.Fertiliser_FertiliserProductLookup(Table_Input_InorganicFertiliser_Brands[[#This Row],[Product (select)]], Table_Input_InorganicFertiliser_Brands[[#Headers],[Ingredient 6 percent]], FertiliserProducts[#Data], FertiliserProducts[Product name], FertiliserProducts[#Headers])</calculatedColumnFormula>
    </tableColumn>
    <tableColumn id="5" xr3:uid="{851F5144-D499-4896-BDEB-06B75D92D1AE}" name="N application rate (kg/ha)" dataDxfId="455" totalsRowDxfId="454" dataCellStyle="Input number general calculated">
      <calculatedColumnFormula>(Table_Input_InorganicFertiliser_Brands[[#This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calculatedColumnFormula>
    </tableColumn>
    <tableColumn id="9" xr3:uid="{6CEA9730-B94E-43BE-99B6-171B73E411EA}" name="Urea source" dataDxfId="453" totalsRowDxfId="452" dataCellStyle="Input number general calculated">
      <calculatedColumnFormula>_xlfn.XLOOKUP(Table_Input_InorganicFertiliser_Brands[[#This Row],[Product (select)]],FertiliserProducts[Product name],FertiliserProducts[Urea source])</calculatedColumnFormula>
    </tableColumn>
    <tableColumn id="12" xr3:uid="{7300FD4B-319E-4F4F-BEC0-4B40043163A7}" name="Ammonia source" dataDxfId="451" totalsRowDxfId="450" dataCellStyle="Input number general calculated">
      <calculatedColumnFormula>_xlfn.XLOOKUP(Table_Input_InorganicFertiliser_Brands[[#This Row],[Product (select)]],FertiliserProducts[Product name],FertiliserProducts[Ammonia source])</calculatedColumnFormula>
    </tableColumn>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E748B15A-6990-4510-89C4-598174DCB066}" name="Table_Input_InorganicFertiliser_Custom" displayName="Table_Input_InorganicFertiliser_Custom" ref="D23:R25" totalsRowShown="0" headerRowDxfId="449" dataDxfId="448">
  <autoFilter ref="D23:R25" xr:uid="{6024A338-4140-4535-9AA6-449DA88B1C2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D7B2B046-E882-4B22-9EF8-F965A75EB19A}" name="Custom blend name" dataCellStyle="Input text"/>
    <tableColumn id="2" xr3:uid="{53F36107-B1C8-4A11-8D64-98D96B16556E}" name="Amount applied (kg / ha)" dataDxfId="447"/>
    <tableColumn id="3" xr3:uid="{9EAF254B-17DE-4675-8AF9-F68B80BF582C}" name="Application area (ha)" dataDxfId="446" dataCellStyle="Input number 2 decimal places">
      <calculatedColumnFormula>$E$9</calculatedColumnFormula>
    </tableColumn>
    <tableColumn id="4" xr3:uid="{CFA5CCED-3BC5-4DD2-AC3F-E4DC58D9B605}" name="Total applied (kg)" dataDxfId="445" dataCellStyle="Input number general calculated">
      <calculatedColumnFormula>Table_Input_InorganicFertiliser_Custom[[#This Row],[Amount applied (kg / ha)]]*Table_Input_InorganicFertiliser_Custom[[#This Row],[Application area (ha)]]</calculatedColumnFormula>
    </tableColumn>
    <tableColumn id="5" xr3:uid="{3E974743-07FD-46C5-9935-FC44453E2DD2}" name="Ingredient 1 (select)" dataDxfId="444" dataCellStyle="Input select"/>
    <tableColumn id="6" xr3:uid="{3F30B499-2152-42DE-8F13-8F97800C0F82}" name="Ingredient 1 percent" dataDxfId="443"/>
    <tableColumn id="8" xr3:uid="{81DBD2AF-CE79-4DFA-ABE1-18247069D1B2}" name="Ingredient 2" dataDxfId="442" dataCellStyle="Input select"/>
    <tableColumn id="9" xr3:uid="{1CF7EE6F-57DF-414D-AEE5-FBCA6348094D}" name="Ingredient 2 percent" dataDxfId="441"/>
    <tableColumn id="11" xr3:uid="{A18D28AA-C181-4552-8786-2ECF509C16C8}" name="Ingredient 3" dataDxfId="440" dataCellStyle="Input select"/>
    <tableColumn id="12" xr3:uid="{B6A6831A-C9EE-4F80-B87F-A0C4C20DFCFD}" name="Ingredient 3 percent" dataDxfId="439"/>
    <tableColumn id="14" xr3:uid="{4467B432-BBEC-488F-912D-5D7123AE260A}" name="Ingredient 4" dataDxfId="438" dataCellStyle="Input select"/>
    <tableColumn id="15" xr3:uid="{0FA01265-32D2-4FC6-BCD7-17164873ADC9}" name="Ingredient 4 percent" dataCellStyle="Input percent"/>
    <tableColumn id="7" xr3:uid="{BF8B607F-8C2E-4E2B-B89D-E699723F771C}" name="N application rate (kg/ha)" dataDxfId="437" dataCellStyle="Input number general calculated">
      <calculatedColumnFormula>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calculatedColumnFormula>
    </tableColumn>
    <tableColumn id="10" xr3:uid="{A0CD4098-36C8-424A-BA04-4D4CCFE2BACE}" name="Urea source" dataDxfId="436"/>
    <tableColumn id="13" xr3:uid="{CA785B69-1D00-4D4E-954C-77FAF8F67EDB}" name="Ammonia source" dataDxfId="435"/>
  </tableColumns>
  <tableStyleInfo name="Editable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DC6B508D-3BC8-4D02-9370-7D79A468D7D7}" name="Table_Input_SoilAmeliorants" displayName="Table_Input_SoilAmeliorants" ref="D33:K35" totalsRowShown="0" headerRowDxfId="434" dataDxfId="433" headerRowCellStyle="Input table column header">
  <autoFilter ref="D33:K35" xr:uid="{2C84B33D-ED8D-4C1D-B319-1B5D2D0181A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955C6D57-C99E-4560-95BE-1D32508E9DC1}" name="Product" dataDxfId="432"/>
    <tableColumn id="2" xr3:uid="{BBD9A28E-9144-4A75-B4E2-101A86320BD7}" name="Amount applied (t/hectare)" dataDxfId="431"/>
    <tableColumn id="4" xr3:uid="{28D6DB55-F183-4018-A8CF-F5EECD3B6F14}" name="Application area (ha)" dataDxfId="430">
      <calculatedColumnFormula>$E$9</calculatedColumnFormula>
    </tableColumn>
    <tableColumn id="3" xr3:uid="{A873C277-F431-4770-984D-50E37F5B322A}" name="Total amount applied (t)" dataDxfId="429" dataCellStyle="Input number general calculated">
      <calculatedColumnFormula>IFERROR(Table_Input_SoilAmeliorants[[#This Row],[Amount applied (t/hectare)]]*Table_Input_SoilAmeliorants[[#This Row],[Application area (ha)]], 0)</calculatedColumnFormula>
    </tableColumn>
    <tableColumn id="6" xr3:uid="{16ED2D76-C87F-43C7-B68B-22CC0CF81AAF}" name="Percent Lime CaCO3" dataCellStyle="Input percent"/>
    <tableColumn id="8" xr3:uid="{87445951-81DE-4186-A628-A263C2301F74}" name="Percent Dolomite CaMg(CO3)2" dataCellStyle="Input percent"/>
    <tableColumn id="7" xr3:uid="{7689CF48-369A-4C18-99A1-A2DDCFE99B7F}" name="Percent Gypsum" dataCellStyle="Input percent"/>
    <tableColumn id="10" xr3:uid="{E00BF7C1-7D20-4C62-A394-32D1C7721ABB}" name="Total" dataDxfId="428">
      <calculatedColumnFormula>SUM(Table_Input_SoilAmeliorants[[#This Row],[Percent Lime CaCO3]:[Percent Gypsum]])</calculatedColumnFormula>
    </tableColumn>
  </tableColumns>
  <tableStyleInfo name="Editable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381BE8E1-0CE6-4823-BA74-D6DC54EAB95F}" name="Table_Input_ChemicalsCleaning" displayName="Table_Input_ChemicalsCleaning" ref="D23:F33" totalsRowShown="0" headerRowCellStyle="Input table column header">
  <autoFilter ref="D23:F33" xr:uid="{4FE24B05-BD40-4784-8F98-E98038ED84BF}">
    <filterColumn colId="0" hiddenButton="1"/>
    <filterColumn colId="1" hiddenButton="1"/>
    <filterColumn colId="2" hiddenButton="1"/>
  </autoFilter>
  <tableColumns count="3">
    <tableColumn id="3" xr3:uid="{E67DFCD7-C12B-4EA2-8140-D78C5ABDB407}" name="Product name" dataCellStyle="Input text"/>
    <tableColumn id="1" xr3:uid="{87D126BF-005E-4246-BF36-6C26A15AD99A}" name="Type (select)" dataCellStyle="Input select"/>
    <tableColumn id="2" xr3:uid="{56461109-5CAC-43CC-94E5-D96155D01EEF}" name="Quantity purchased (kg)" dataCellStyle="Input number general"/>
  </tableColumns>
  <tableStyleInfo name="Editable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FF1E66EC-E531-4017-8817-C2DA9174CA8C}" name="Table_Input_Packaging" displayName="Table_Input_Packaging" ref="D165:H175" totalsRowShown="0" headerRowDxfId="427" headerRowCellStyle="Input table column header">
  <autoFilter ref="D165:H175" xr:uid="{3E433F59-4BF1-4341-8498-3E5DACCDF2D3}">
    <filterColumn colId="0" hiddenButton="1"/>
    <filterColumn colId="1" hiddenButton="1"/>
    <filterColumn colId="2" hiddenButton="1"/>
    <filterColumn colId="3" hiddenButton="1"/>
    <filterColumn colId="4" hiddenButton="1"/>
  </autoFilter>
  <tableColumns count="5">
    <tableColumn id="1" xr3:uid="{8E849261-8F35-48DE-BE22-FE2C6971C01F}" name="Packaging name"/>
    <tableColumn id="3" xr3:uid="{14ED4487-F547-485F-9AFB-212F5584207F}" name="Quantity purchased" dataDxfId="426" dataCellStyle="Input number general"/>
    <tableColumn id="2" xr3:uid="{360D1B02-386E-49B9-8B92-E9676AD4A378}" name="Primary material" dataCellStyle="Input select"/>
    <tableColumn id="4" xr3:uid="{BBF04413-741D-4D84-88D9-1F89896D7D6F}" name="Weight per unit (kg)" dataCellStyle="Input number general"/>
    <tableColumn id="6" xr3:uid="{AC9E24A5-6B19-4DB6-9EB4-4D59E5AF1CC1}" name="Total weight purchased (kg)" dataCellStyle="Input number general calculated">
      <calculatedColumnFormula>Table_Input_Packaging[[#This Row],[Quantity purchased]]*Table_Input_Packaging[[#This Row],[Weight per unit (kg)]]</calculatedColumnFormula>
    </tableColumn>
  </tableColumns>
  <tableStyleInfo name="Editable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BA52E4BB-C3D1-441A-A568-0AD50449E880}" name="Table_Input_Pesticides" displayName="Table_Input_Pesticides" ref="D10:R20" totalsRowShown="0" headerRowDxfId="425">
  <autoFilter ref="D10:R20" xr:uid="{BA52E4BB-C3D1-441A-A568-0AD50449E88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A72BC848-73BB-4B46-B499-37E30C638D3A}" name="Product name"/>
    <tableColumn id="2" xr3:uid="{53230D96-4E84-460D-9046-7CE32E68C856}" name="Amount applied per ha"/>
    <tableColumn id="7" xr3:uid="{69498A75-62A6-484D-B013-ED14417EEBB4}" name="Application unit (select)" dataCellStyle="Input select"/>
    <tableColumn id="6" xr3:uid="{209ECDF7-51D4-4C0E-850D-19BAB4D0D3B8}" name="Application area (ha)" dataCellStyle="Input number general"/>
    <tableColumn id="3" xr3:uid="{DEE684A7-4E1A-46AA-B0D4-02E9625D315A}" name="Total applied" dataCellStyle="Input number general calculated">
      <calculatedColumnFormula>Table_Input_Pesticides[[#This Row],[Amount applied per ha]]*Table_Input_Pesticides[[#This Row],[Application area (ha)]]</calculatedColumnFormula>
    </tableColumn>
    <tableColumn id="5" xr3:uid="{1DB0C7A3-E8B5-4E6D-AA5F-8D94DC978EA5}" name="Constituent unit (select)" dataCellStyle="Input select"/>
    <tableColumn id="4" xr3:uid="{EC89C89A-4D36-451B-BCBE-1C016D3F8F34}" name="Active ingredient 1 (select)" dataCellStyle="Input select"/>
    <tableColumn id="8" xr3:uid="{F058D2A6-41E8-4384-8586-262C5EAC5D9F}" name="Active ingredient 1 amount" dataCellStyle="Input number general"/>
    <tableColumn id="16" xr3:uid="{A66238D5-4B02-4AE6-9B82-39B311474CB9}" name="Total active ingredient 1 (kg)" dataCellStyle="Input number general calculated">
      <calculatedColumnFormula>Table_Input_Pesticides[[#This Row],[Total applied]]*Table_Input_Pesticides[[#This Row],[Active ingredient 1 amount]]*IF(Table_Input_Pesticides[[#This Row],[Constituent unit (select)]]="fraction of product", 1, 10^-3)</calculatedColumnFormula>
    </tableColumn>
    <tableColumn id="9" xr3:uid="{74F84648-C9E3-4305-994A-7D3B973043A9}" name="Active ingredient 2 (select)" dataCellStyle="Input select"/>
    <tableColumn id="11" xr3:uid="{78375E20-4985-4634-B5B1-6B81635A6FC6}" name="Active ingredient 2 amount" dataCellStyle="Input number general"/>
    <tableColumn id="17" xr3:uid="{7F10D940-6D4E-4FDA-BB70-FADFA55567B9}" name="Total active ingredient 2 (kg)" dataCellStyle="Input number general calculated">
      <calculatedColumnFormula>Table_Input_Pesticides[[#This Row],[Total applied]]*Table_Input_Pesticides[[#This Row],[Active ingredient 2 amount]]*IF(Table_Input_Pesticides[[#This Row],[Constituent unit (select)]]="fraction of product", 1, 10^-3)</calculatedColumnFormula>
    </tableColumn>
    <tableColumn id="12" xr3:uid="{7449CB84-4B0D-4B55-95E5-3523F3590622}" name="Active ingredient 3 (select)" dataCellStyle="Input select"/>
    <tableColumn id="14" xr3:uid="{71087BB0-6CBC-4FB4-9C30-2409748F8A46}" name="Active ingredient 3 amount" dataCellStyle="Input number general"/>
    <tableColumn id="18" xr3:uid="{39769269-F9C2-47A9-B5D1-C33CAAC70EB3}" name="Total active ingredient 3 (kg)" dataCellStyle="Input number general calculated">
      <calculatedColumnFormula>Table_Input_Pesticides[[#This Row],[Total applied]]*Table_Input_Pesticides[[#This Row],[Active ingredient 3 amount]]*IF(Table_Input_Pesticides[[#This Row],[Constituent unit (select)]]="fraction of product", 1, 10^-3)</calculatedColumnFormula>
    </tableColumn>
  </tableColumns>
  <tableStyleInfo name="Editable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F7DA8543-C7DE-49A8-A739-D82C85B7B828}" name="Table_Input_ChemicalsPharmacy" displayName="Table_Input_ChemicalsPharmacy" ref="D36:F46" totalsRowShown="0" headerRowCellStyle="Input table column header">
  <autoFilter ref="D36:F46" xr:uid="{F7DA8543-C7DE-49A8-A739-D82C85B7B828}">
    <filterColumn colId="0" hiddenButton="1"/>
    <filterColumn colId="1" hiddenButton="1"/>
    <filterColumn colId="2" hiddenButton="1"/>
  </autoFilter>
  <tableColumns count="3">
    <tableColumn id="3" xr3:uid="{69ECF868-4B84-4E9A-96F5-1BDF565F3FD3}" name="Product name" dataCellStyle="Input text"/>
    <tableColumn id="1" xr3:uid="{34C48247-DCDF-4B93-B49D-A318288E0686}" name="Type (select)" dataDxfId="424" dataCellStyle="Input select"/>
    <tableColumn id="2" xr3:uid="{5B0AEBA4-AB33-4382-8634-3F4C8D3B2A9B}" name="Number of head treated" dataDxfId="423" dataCellStyle="Input number general"/>
  </tableColumns>
  <tableStyleInfo name="Editable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A524718C-D2DE-4743-911C-43AE3F1EAEE3}" name="Table_Input_LivestockPurchases_Beefcattle" displayName="Table_Input_LivestockPurchases_Beefcattle" ref="D77:K87" totalsRowShown="0">
  <autoFilter ref="D77:K87" xr:uid="{A524718C-D2DE-4743-911C-43AE3F1EAEE3}">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9" xr3:uid="{F430BBF1-FC37-41CB-95CB-3C2A47D98412}" name="Transaction name" dataCellStyle="Input text"/>
    <tableColumn id="13" xr3:uid="{4AA7C354-6022-4667-845A-5C5B5AC16AEA}" name="Purchase date" dataCellStyle="Input text"/>
    <tableColumn id="11" xr3:uid="{3CA0DC87-5E8A-4D8A-983D-0FC00A3468A6}" name="Class (select)" dataDxfId="422" dataCellStyle="Input select"/>
    <tableColumn id="2" xr3:uid="{FA43F52A-7609-4014-A6D3-CAC2C970F57C}" name="Purchase class (select)" dataDxfId="421" dataCellStyle="Input select"/>
    <tableColumn id="6" xr3:uid="{41EDEC1E-1793-4BBD-B0C8-66DE9A0925D5}" name="Source region (Select)" dataDxfId="420" dataCellStyle="Input select"/>
    <tableColumn id="3" xr3:uid="{34B46AEC-F18A-4C32-831B-7206C405BBE6}" name="Quantity (head)" dataCellStyle="Input number general"/>
    <tableColumn id="12" xr3:uid="{082E5DA0-F3B6-4FEC-9489-68F80D455B30}" name="Liveweight (kg/head) Method 1" dataCellStyle="Input number general calculated">
      <calculatedColumnFormula array="1">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calculatedColumnFormula>
    </tableColumn>
    <tableColumn id="4" xr3:uid="{FCB04E36-ABA4-4D11-99EF-B10E5BE997E4}" name="Liveweight (kg/head) Method 2" dataCellStyle="Input number general"/>
  </tableColumns>
  <tableStyleInfo name="Editable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1" xr:uid="{E938BFB3-949A-45DE-8033-0682BC494B81}" name="Table_Input_LivestockPurchases_Dairy" displayName="Table_Input_LivestockPurchases_Dairy" ref="D90:I100" totalsRowShown="0" headerRowDxfId="419">
  <autoFilter ref="D90:I100" xr:uid="{E938BFB3-949A-45DE-8033-0682BC494B81}">
    <filterColumn colId="0" hiddenButton="1"/>
    <filterColumn colId="1" hiddenButton="1"/>
    <filterColumn colId="2" hiddenButton="1"/>
    <filterColumn colId="3" hiddenButton="1"/>
    <filterColumn colId="4" hiddenButton="1"/>
    <filterColumn colId="5" hiddenButton="1"/>
  </autoFilter>
  <tableColumns count="6">
    <tableColumn id="9" xr3:uid="{9915AEA9-40DA-4CFD-B08A-11FBE10BE9CF}" name="Transaction name" dataCellStyle="Input text"/>
    <tableColumn id="11" xr3:uid="{7A96FDED-4DC0-48EE-B346-DC4E5D93138D}" name="Class (select)" dataDxfId="418" dataCellStyle="Input select"/>
    <tableColumn id="2" xr3:uid="{30A8F022-FC97-45FB-A8E3-5EA3F43C945A}" name="Breed (select)" dataCellStyle="Input select"/>
    <tableColumn id="3" xr3:uid="{DC03B1BF-C6CC-47B4-817D-39FA8BFF3A08}" name="Quantity (head)" dataCellStyle="Input number general"/>
    <tableColumn id="12" xr3:uid="{5E964CA5-2FA3-42B9-9ADF-004216CC5915}" name="Liveweight (kg/head) Method 1" dataCellStyle="Input number general calculated">
      <calculatedColumnFormula array="1">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calculatedColumnFormula>
    </tableColumn>
    <tableColumn id="4" xr3:uid="{3EB8F618-6435-4043-9718-F3A1ED5E7927}" name="Liveweight (kg/head) Method 2" dataCellStyle="Input number general"/>
  </tableColumns>
  <tableStyleInfo name="Editable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14ED7533-62DD-410F-8832-CD98B0CD652B}" name="Table_Input_LivestockPurchases_Pigs" displayName="Table_Input_LivestockPurchases_Pigs" ref="D103:H113" totalsRowShown="0" headerRowDxfId="417">
  <autoFilter ref="D103:H113" xr:uid="{14ED7533-62DD-410F-8832-CD98B0CD652B}">
    <filterColumn colId="0" hiddenButton="1"/>
    <filterColumn colId="1" hiddenButton="1"/>
    <filterColumn colId="2" hiddenButton="1"/>
    <filterColumn colId="3" hiddenButton="1"/>
    <filterColumn colId="4" hiddenButton="1"/>
  </autoFilter>
  <tableColumns count="5">
    <tableColumn id="9" xr3:uid="{FC1CEF00-A0CC-4545-ADAB-9F52D190F90C}" name="Transaction name" dataCellStyle="Input text"/>
    <tableColumn id="11" xr3:uid="{45625588-179B-4EE3-98B4-2E94FA489CC5}" name="Class (select)" dataDxfId="416" dataCellStyle="Input select"/>
    <tableColumn id="3" xr3:uid="{085943B1-441E-4997-B5CB-DC1B487421BC}" name="Quantity (head)" dataCellStyle="Input number general"/>
    <tableColumn id="12" xr3:uid="{AD16FE79-BCDB-4A0E-B9F6-D00BE49C5895}" name="Liveweight (kg/head) Method 1" dataCellStyle="Input number general calculated">
      <calculatedColumnFormula array="1">Common_InputFunctions.Utility_LookupValueInTable(Table_Input_LivestockPurchases_Pigs[[#This Row],[Class (select)]], Table_SourceData_Swine_Liveweight[Livestock type j],Table_SourceData_Swine_Liveweight[Average liveweight (kg)])</calculatedColumnFormula>
    </tableColumn>
    <tableColumn id="4" xr3:uid="{BD9ED95C-0B9E-40FD-A95D-F779A9238D47}" name="Liveweight (kg/head) Method 2" dataCellStyle="Input number general"/>
  </tableColumns>
  <tableStyleInfo name="Editable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7DCBF554-869B-4226-8D02-B0F5F866C92B}" name="Table_Input_LivestockPurchases_Poultry" displayName="Table_Input_LivestockPurchases_Poultry" ref="D116:H126" totalsRowShown="0">
  <autoFilter ref="D116:H126" xr:uid="{7DCBF554-869B-4226-8D02-B0F5F866C92B}">
    <filterColumn colId="0" hiddenButton="1"/>
    <filterColumn colId="1" hiddenButton="1"/>
    <filterColumn colId="2" hiddenButton="1"/>
    <filterColumn colId="3" hiddenButton="1"/>
    <filterColumn colId="4" hiddenButton="1"/>
  </autoFilter>
  <tableColumns count="5">
    <tableColumn id="9" xr3:uid="{D6ADF99B-6024-404D-ADE3-4453D96F9A44}" name="Transaction name" dataCellStyle="Input text"/>
    <tableColumn id="11" xr3:uid="{4ED1C819-CD4A-4EB7-A045-069B468B975F}" name="Class (select)" dataDxfId="415" dataCellStyle="Input select"/>
    <tableColumn id="3" xr3:uid="{B88ABA8A-BCE4-4052-926B-B791435D32BA}" name="Quantity (head)" dataCellStyle="Input number general"/>
    <tableColumn id="12" xr3:uid="{09185C80-5CE8-4D2C-AFA3-32FC4E7697E4}" name="Liveweight (kg/head) Method 1" dataCellStyle="Input number general calculated">
      <calculatedColumnFormula array="1">Common_InputFunctions.Utility_LookupValueInTable(Table_Input_LivestockPurchases_Poultry[[#This Row],[Class (select)]], Table_SourceData_Poultry_Liveweights[Livestock class j],Table_SourceData_Poultry_Liveweights[Average liveweight (kg)])</calculatedColumnFormula>
    </tableColumn>
    <tableColumn id="4" xr3:uid="{8DF858F5-F15E-47CF-BDC4-8F046EADF36F}" name="Liveweight (kg/head) Method 2" dataCellStyle="Input number general"/>
  </tableColumns>
  <tableStyleInfo name="Editable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1E43041F-45A9-4FE7-B27E-F3B8135FFECA}" name="Table_Input_UncategorisedProductsServices" displayName="Table_Input_UncategorisedProductsServices" ref="D208:F218" totalsRowShown="0" headerRowCellStyle="Input table column header">
  <autoFilter ref="D208:F218" xr:uid="{1E43041F-45A9-4FE7-B27E-F3B8135FFECA}">
    <filterColumn colId="0" hiddenButton="1"/>
    <filterColumn colId="1" hiddenButton="1"/>
    <filterColumn colId="2" hiddenButton="1"/>
  </autoFilter>
  <tableColumns count="3">
    <tableColumn id="1" xr3:uid="{C9DABE86-112C-48BA-9B35-4DCACFE914E2}" name="Product / service name" dataCellStyle="Input text"/>
    <tableColumn id="2" xr3:uid="{50E86AEF-5C1B-4309-BE70-732F98A8045E}" name="Amount" dataCellStyle="Input number general"/>
    <tableColumn id="3" xr3:uid="{6C7442D1-1A53-49AD-8C75-5BC7F8E9560B}" name="Amount unit" dataCellStyle="Input text"/>
  </tableColumns>
  <tableStyleInfo name="Editable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3A687F40-24AA-48CE-B552-C2CDB0CD3F28}" name="Table_Input_FeedBlends" displayName="Table_Input_FeedBlends" ref="D62:Q72" totalsRowShown="0">
  <autoFilter ref="D62:Q72" xr:uid="{6EC3622A-9CA1-4931-8AAA-6FC289090D2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9491CF8-20F0-4FE5-B2E5-824F35323759}" name="Feed blend name"/>
    <tableColumn id="2" xr3:uid="{B20486A1-6FF2-452C-92CA-CCED9D67FD05}" name="Amount fed (kg)"/>
    <tableColumn id="4" xr3:uid="{47465BD2-065D-4E8F-9CB3-6E6F67E11E4D}" name="Ingredient 1 (select)" dataCellStyle="Input select"/>
    <tableColumn id="3" xr3:uid="{D39DE387-9895-40E5-8A6F-34EA79F87278}" name="Ingredient 1 source region" dataCellStyle="Input select"/>
    <tableColumn id="5" xr3:uid="{1B19298C-F8E3-4AF0-9B9E-CE0CD24308C3}" name="Ingredient 1 percent"/>
    <tableColumn id="6" xr3:uid="{250D764C-1759-4C06-9C17-CD1C40A86BF4}" name="Ingredient 2 (select)" dataCellStyle="Input select"/>
    <tableColumn id="14" xr3:uid="{EAB9458F-B5E6-4B8A-BFAD-D581295FE7DA}" name="Ingredient 2 source region" dataCellStyle="Input select"/>
    <tableColumn id="7" xr3:uid="{F61D43DF-B902-4B65-AB44-E98C6D51FD13}" name="Ingredient 2 percent"/>
    <tableColumn id="8" xr3:uid="{B9F5222F-9F2A-4E26-931C-754BB15D7CDC}" name="Ingredient 3 (select)" dataCellStyle="Input select"/>
    <tableColumn id="15" xr3:uid="{02019D1A-37BE-4E6F-9893-0A5120C9809F}" name="Ingredient 3 source region" dataCellStyle="Input select"/>
    <tableColumn id="9" xr3:uid="{30B89A53-F667-4FBE-AF8B-FB021EB3D926}" name="Ingredient 3 percent"/>
    <tableColumn id="10" xr3:uid="{51F803AC-A802-43FA-8B0E-24B789B98A9C}" name="Ingredient 4 (select)" dataCellStyle="Input select"/>
    <tableColumn id="16" xr3:uid="{844B4AC3-BB5A-4E7E-9741-41A8F6359DA9}" name="Ingredient 4 source region" dataCellStyle="Input select"/>
    <tableColumn id="11" xr3:uid="{33104403-8828-4357-9E7C-9063DE9C33A5}" name="Ingredient 4 percent"/>
  </tableColumns>
  <tableStyleInfo name="Editable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4" xr:uid="{EAE4AE15-2AB9-4C21-9268-5CB94316E6E4}" name="Table_Input_ServicesAndContractors" displayName="Table_Input_ServicesAndContractors" ref="D150:G160" totalsRowShown="0">
  <autoFilter ref="D150:G160" xr:uid="{EAE4AE15-2AB9-4C21-9268-5CB94316E6E4}">
    <filterColumn colId="0" hiddenButton="1"/>
    <filterColumn colId="1" hiddenButton="1"/>
    <filterColumn colId="2" hiddenButton="1"/>
    <filterColumn colId="3" hiddenButton="1"/>
  </autoFilter>
  <tableColumns count="4">
    <tableColumn id="1" xr3:uid="{9281456D-867C-4846-B641-A8EECC1DBAD5}" name="Service provider / contractor" dataCellStyle="Input text"/>
    <tableColumn id="4" xr3:uid="{798B5CBB-1D7E-4B13-B905-48D9B44BD67F}" name="Activity" dataCellStyle="Input text"/>
    <tableColumn id="2" xr3:uid="{90DA38AD-9751-4A3D-9BDD-C8704FB16E3B}" name="Total amount" dataCellStyle="Input number general"/>
    <tableColumn id="3" xr3:uid="{4ADABFE0-313C-4348-902B-64A435F363CD}" name="Amount unit" dataCellStyle="Input select"/>
  </tableColumns>
  <tableStyleInfo name="Editable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5" xr:uid="{206BD78F-05E0-445B-A064-B487D1B996EF}" name="Table_Input_GrowMedia" displayName="Table_Input_GrowMedia" ref="D180:F190" totalsRowShown="0">
  <autoFilter ref="D180:F190" xr:uid="{206BD78F-05E0-445B-A064-B487D1B996EF}">
    <filterColumn colId="0" hiddenButton="1"/>
    <filterColumn colId="1" hiddenButton="1"/>
    <filterColumn colId="2" hiddenButton="1"/>
  </autoFilter>
  <tableColumns count="3">
    <tableColumn id="1" xr3:uid="{453CA40C-351D-4648-AF5D-0F77CC14CEE6}" name="Grow media type" dataCellStyle="Input text"/>
    <tableColumn id="2" xr3:uid="{CA239B18-BD35-484E-9175-FD2EF36ECE05}" name="Total amount" dataCellStyle="Input number general"/>
    <tableColumn id="3" xr3:uid="{89E58910-139E-4C76-9427-72FBEC387E22}" name="Amount unit" dataCellStyle="Input select"/>
  </tableColumns>
  <tableStyleInfo name="Editable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8" xr:uid="{4DDF930F-94B2-4B93-B728-B92082E231C7}" name="Table_Input_FreightIncoming" displayName="Table_Input_FreightIncoming" ref="D8:H18" totalsRowShown="0">
  <autoFilter ref="D8:H18" xr:uid="{4DDF930F-94B2-4B93-B728-B92082E231C7}">
    <filterColumn colId="0" hiddenButton="1"/>
    <filterColumn colId="1" hiddenButton="1"/>
    <filterColumn colId="2" hiddenButton="1"/>
    <filterColumn colId="3" hiddenButton="1"/>
    <filterColumn colId="4" hiddenButton="1"/>
  </autoFilter>
  <tableColumns count="5">
    <tableColumn id="1" xr3:uid="{451197CD-364D-4096-93BC-D35169E581EF}" name="Route name"/>
    <tableColumn id="2" xr3:uid="{BDEA6771-F0E6-411F-A590-60A5FBF788D5}" name="Freight type (select)" dataCellStyle="Input select"/>
    <tableColumn id="3" xr3:uid="{935D6370-098D-4492-B609-F6E90DBD7D7F}" name="Route distance (km)"/>
    <tableColumn id="4" xr3:uid="{29A2AC3C-E9F3-41F8-B367-E3EDC584BD5B}" name="Average weight of freight per trip (t)"/>
    <tableColumn id="5" xr3:uid="{0BE405AD-2303-4BC9-9DCD-3BB2867897A7}" name="Number of trips taken"/>
  </tableColumns>
  <tableStyleInfo name="Editable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9" xr:uid="{C8AEF287-0BE7-46A0-967D-68ED52A309D6}" name="Table_Input_FreightOutgoing" displayName="Table_Input_FreightOutgoing" ref="D24:H34" totalsRowShown="0">
  <autoFilter ref="D24:H34" xr:uid="{C8AEF287-0BE7-46A0-967D-68ED52A309D6}">
    <filterColumn colId="0" hiddenButton="1"/>
    <filterColumn colId="1" hiddenButton="1"/>
    <filterColumn colId="2" hiddenButton="1"/>
    <filterColumn colId="3" hiddenButton="1"/>
    <filterColumn colId="4" hiddenButton="1"/>
  </autoFilter>
  <tableColumns count="5">
    <tableColumn id="1" xr3:uid="{E58AD939-0F9E-43A7-B273-336ACFC58706}" name="Route name"/>
    <tableColumn id="2" xr3:uid="{6DC09C8A-7D77-4775-8484-F1ED29A59DCF}" name="Freight type (select)" dataCellStyle="Input select"/>
    <tableColumn id="3" xr3:uid="{AF3E3012-6B4A-4BCB-A87F-7B643BBFB822}" name="Route distance (km)"/>
    <tableColumn id="4" xr3:uid="{FC6AE936-B2CB-402E-911B-FFFF9E440BF5}" name="Average weight of freight per trip (t)"/>
    <tableColumn id="5" xr3:uid="{65ED731F-4C40-4833-B528-65781F27F7F4}" name="Number of trips taken"/>
  </tableColumns>
  <tableStyleInfo name="Editable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7" xr:uid="{7B1B7CC1-8D72-485F-81BD-F0E250CFF71C}" name="Table_Input_SolidWaste" displayName="Table_Input_SolidWaste" ref="D20:I29" totalsRowShown="0" headerRowCellStyle="Input table column header">
  <autoFilter ref="D20:I29"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E1CDB987-C484-4F93-9164-BF7C454BFCF6}" name="Description"/>
    <tableColumn id="5" xr3:uid="{8077C0B2-B8AD-4D93-884F-60AC69CB6239}" name="Treatment type (select)" dataCellStyle="Input select"/>
    <tableColumn id="2" xr3:uid="{5EE3EB50-96E6-4876-B752-44214078A1A1}" name="Waste type (select)" dataCellStyle="Input select"/>
    <tableColumn id="3" xr3:uid="{063D8EB5-8023-4995-B8BA-E63FD7010C4C}" name="Treatment location (select)" dataCellStyle="Input number general calculated"/>
    <tableColumn id="4" xr3:uid="{823DAC85-9E32-43FE-98D2-B06EFD8C3195}" name="Amount" dataCellStyle="Input number general"/>
    <tableColumn id="7" xr3:uid="{E55F05A7-C578-47BA-A408-7635DBEE96F0}" name="Amount unit (select)" dataCellStyle="Input select"/>
  </tableColumns>
  <tableStyleInfo name="Editable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94FA7C8C-4D15-4D48-8F74-8208F4BCB8D4}" name="Table_Input_RECSurrendered" displayName="Table_Input_RECSurrendered" ref="D32:I35" totalsRowShown="0" headerRowCellStyle="Input table column header">
  <autoFilter ref="D32:I35"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D4BF12D2-AB8E-4251-8720-960F8D5A1B00}" name="Description"/>
    <tableColumn id="5" xr3:uid="{38409708-B77C-42C7-9B6F-E8D7D0582FD6}" name="Source (select)" dataCellStyle="Input select"/>
    <tableColumn id="2" xr3:uid="{7FC1762E-54F5-4151-A09E-A71663412C1B}" name="Generation date" dataDxfId="414"/>
    <tableColumn id="3" xr3:uid="{8BDEF306-7768-439C-A244-8F4ECE015006}" name="Number of certificates"/>
    <tableColumn id="4" xr3:uid="{2D5B4122-6366-4684-BF77-2F4F59AEC193}" name="MWh" dataCellStyle="Input number general calculated">
      <calculatedColumnFormula>Table_Input_RECSurrendered[[#This Row],[Number of certificates]]</calculatedColumnFormula>
    </tableColumn>
    <tableColumn id="7" xr3:uid="{1D1C3A77-8A3C-43F3-9AA9-1D92D3D06C65}" name="Elegibility" dataCellStyle="Input number general calculated">
      <calculatedColumnFormula>IF(DATEDIF(Table_Input_RECSurrendered[[#This Row],[Generation date]],DATEVALUE($E$26),"M")&gt;36,"Ineligible - older than 36 months","Elegible")</calculatedColumnFormula>
    </tableColumn>
  </tableColumns>
  <tableStyleInfo name="Editable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EE2DBE17-5839-4F2F-8A64-3F40E12A498E}" name="Table_Input_RECConsumedByEntity" displayName="Table_Input_RECConsumedByEntity" ref="D41:I44" totalsRowShown="0" headerRowCellStyle="Input table column header">
  <autoFilter ref="D41:I44" xr:uid="{58D24162-9496-4032-8FB2-02E312F8AA25}">
    <filterColumn colId="0" hiddenButton="1"/>
    <filterColumn colId="1" hiddenButton="1"/>
    <filterColumn colId="2" hiddenButton="1"/>
    <filterColumn colId="3" hiddenButton="1"/>
    <filterColumn colId="4" hiddenButton="1"/>
    <filterColumn colId="5" hiddenButton="1"/>
  </autoFilter>
  <tableColumns count="6">
    <tableColumn id="1" xr3:uid="{77B8D687-1092-4844-B5C2-377F278E643E}" name="Description"/>
    <tableColumn id="5" xr3:uid="{BFBC5F0D-B69C-47AF-BDE0-A643789289CF}" name="Source" dataCellStyle="Input text calculated">
      <calculatedColumnFormula>"Issued for generated electricity"</calculatedColumnFormula>
    </tableColumn>
    <tableColumn id="2" xr3:uid="{89A8CE48-DCCB-4E01-8021-9F8D64DA67F4}" name="Generation date" dataDxfId="413"/>
    <tableColumn id="3" xr3:uid="{0AD2118E-3F34-4FB7-83FB-18287FECFD15}" name="Number of certificates"/>
    <tableColumn id="4" xr3:uid="{54403A08-11FD-4AFF-9FE9-53EA292D19E4}" name="MWh" dataCellStyle="Input number general calculated">
      <calculatedColumnFormula>Table_Input_RECConsumedByEntity[[#This Row],[Number of certificates]]</calculatedColumnFormula>
    </tableColumn>
    <tableColumn id="7" xr3:uid="{C6584786-3ACE-4433-92C5-0FFB0B48AC0D}" name="Elegibility" dataCellStyle="Input number general calculated">
      <calculatedColumnFormula>IF(AND(Table_Input_RECConsumedByEntity[[#This Row],[Generation date]]&gt;=DATEVALUE($E$25), Table_Input_RECConsumedByEntity[[#This Row],[Generation date]]&lt;= DATEVALUE($E$26)), "Elegible", "Ineligible - outside reporting year")</calculatedColumnFormula>
    </tableColumn>
  </tableColumns>
  <tableStyleInfo name="Editable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750CD25E-51AF-4085-A595-601E6358D38C}" name="Table_SourceData_Scope3_Animals" displayName="Table_SourceData_Scope3_Animals" ref="D33:I74" totalsRowShown="0">
  <autoFilter ref="D33:I74" xr:uid="{750CD25E-51AF-4085-A595-601E6358D38C}">
    <filterColumn colId="0" hiddenButton="1"/>
    <filterColumn colId="1" hiddenButton="1"/>
    <filterColumn colId="2" hiddenButton="1"/>
    <filterColumn colId="3" hiddenButton="1"/>
    <filterColumn colId="4" hiddenButton="1"/>
    <filterColumn colId="5" hiddenButton="1"/>
  </autoFilter>
  <tableColumns count="6">
    <tableColumn id="1" xr3:uid="{3A99DCC2-6F33-4657-9001-AFDF50840919}" name="Category" dataDxfId="412" dataCellStyle="Content normal">
      <calculatedColumnFormula array="1">Common_InputFunctions.Utility_DisplayArrayInTable(Scope3_SourceData.Scope3_Livestock_Data(), Table_SourceData_Scope3_Animals[[#Headers],[Category]], 0, 2)</calculatedColumnFormula>
    </tableColumn>
    <tableColumn id="2" xr3:uid="{5EDCE202-53EC-41E4-84C0-7AE61822B5AF}" name="Product" dataDxfId="411" dataCellStyle="Content normal">
      <calculatedColumnFormula array="1">Common_InputFunctions.Utility_DisplayArrayInTable(Scope3_SourceData.Scope3_Livestock_Data(), Table_SourceData_Scope3_Animals[[#Headers],[Category]], 0, 2)</calculatedColumnFormula>
    </tableColumn>
    <tableColumn id="3" xr3:uid="{EF4D2E11-73A6-4DF6-BC34-C66B12311899}" name="Region of origin" dataDxfId="410" dataCellStyle="Content normal">
      <calculatedColumnFormula array="1">Common_InputFunctions.Utility_DisplayArrayInTable(Scope3_SourceData.Scope3_Livestock_Data(), Table_SourceData_Scope3_Animals[[#Headers],[Category]], 0, 2)</calculatedColumnFormula>
    </tableColumn>
    <tableColumn id="8" xr3:uid="{20BA4310-E1DE-441F-A4E0-BC6B990972AD}" name="Quantity Unit" dataDxfId="409" dataCellStyle="Content normal">
      <calculatedColumnFormula array="1">Common_InputFunctions.Utility_DisplayArrayInTable(Scope3_SourceData.Scope3_Livestock_Data(), Table_SourceData_Scope3_Animals[[#Headers],[Category]], 0, 2)</calculatedColumnFormula>
    </tableColumn>
    <tableColumn id="9" xr3:uid="{C3859335-7D06-4B62-81A5-5625AFFBA634}" name="AusLCI Emissions intensity" dataDxfId="408" dataCellStyle="Content normal">
      <calculatedColumnFormula array="1">Common_InputFunctions.Utility_DisplayArrayInTable(Scope3_SourceData.Scope3_Livestock_Data(), Table_SourceData_Scope3_Animals[[#Headers],[Category]], 0, 2)</calculatedColumnFormula>
    </tableColumn>
    <tableColumn id="10" xr3:uid="{B8398D6F-AD80-4B48-B718-DF0B2B1E6C4C}" name="System boundary" dataDxfId="407" dataCellStyle="Content normal">
      <calculatedColumnFormula array="1">Common_InputFunctions.Utility_DisplayArrayInTable(Scope3_SourceData.Scope3_Livestock_Data(), Table_SourceData_Scope3_Animals[[#Headers],[Category]], 0, 2)</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10291E5F-4512-44BD-934A-80D446AD4B71}" name="Table_SourceData_Scope3_ChemicalsCleaning" displayName="Table_SourceData_Scope3_ChemicalsCleaning" ref="D77:I80" totalsRowShown="0">
  <autoFilter ref="D77:I80" xr:uid="{10291E5F-4512-44BD-934A-80D446AD4B71}">
    <filterColumn colId="0" hiddenButton="1"/>
    <filterColumn colId="1" hiddenButton="1"/>
    <filterColumn colId="2" hiddenButton="1"/>
    <filterColumn colId="3" hiddenButton="1"/>
    <filterColumn colId="4" hiddenButton="1"/>
    <filterColumn colId="5" hiddenButton="1"/>
  </autoFilter>
  <tableColumns count="6">
    <tableColumn id="1" xr3:uid="{EE00DA67-2268-4285-B0B6-C8E6F88FC55E}" name="Category" dataDxfId="406" dataCellStyle="Content normal">
      <calculatedColumnFormula array="1">Common_InputFunctions.Utility_DisplayArrayInTable(Scope3_SourceData.Scope3_Chemicals_Data(), Table_SourceData_Scope3_ChemicalsCleaning[[#Headers],[Category]], 0, 2)</calculatedColumnFormula>
    </tableColumn>
    <tableColumn id="2" xr3:uid="{3F9C435E-0B62-4C9D-9FEA-8C98A415F5B0}" name="Product" dataDxfId="405" dataCellStyle="Content normal">
      <calculatedColumnFormula array="1">Common_InputFunctions.Utility_DisplayArrayInTable(Scope3_SourceData.Scope3_Chemicals_Data(), Table_SourceData_Scope3_ChemicalsCleaning[[#Headers],[Category]], 0, 2)</calculatedColumnFormula>
    </tableColumn>
    <tableColumn id="3" xr3:uid="{3F5A70C5-28BD-4264-9EC4-934DE712597B}" name="Region of origin" dataDxfId="404" dataCellStyle="Content normal">
      <calculatedColumnFormula array="1">Common_InputFunctions.Utility_DisplayArrayInTable(Scope3_SourceData.Scope3_Chemicals_Data(), Table_SourceData_Scope3_ChemicalsCleaning[[#Headers],[Category]], 0, 2)</calculatedColumnFormula>
    </tableColumn>
    <tableColumn id="8" xr3:uid="{05B9C167-74C1-41A2-9237-AEC23C7F32BE}" name="Quantity Unit" dataDxfId="403" dataCellStyle="Content normal">
      <calculatedColumnFormula array="1">Common_InputFunctions.Utility_DisplayArrayInTable(Scope3_SourceData.Scope3_Chemicals_Data(), Table_SourceData_Scope3_ChemicalsCleaning[[#Headers],[Category]], 0, 2)</calculatedColumnFormula>
    </tableColumn>
    <tableColumn id="9" xr3:uid="{A696718C-53A9-4FC3-B198-DB7B399F8F71}" name="AusLCI Emissions intensity" dataDxfId="402" dataCellStyle="Content normal">
      <calculatedColumnFormula array="1">Common_InputFunctions.Utility_DisplayArrayInTable(Scope3_SourceData.Scope3_Chemicals_Data(), Table_SourceData_Scope3_ChemicalsCleaning[[#Headers],[Category]], 0, 2)</calculatedColumnFormula>
    </tableColumn>
    <tableColumn id="10" xr3:uid="{8DC81B97-0164-4172-A9AB-F72EB01E79E4}" name="System boundary" dataDxfId="401" dataCellStyle="Content normal">
      <calculatedColumnFormula array="1">Common_InputFunctions.Utility_DisplayArrayInTable(Scope3_SourceData.Scope3_Chemicals_Data(), Table_SourceData_Scope3_ChemicalsCleaning[[#Headers],[Category]], 0, 2)</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7C99A3AF-4B60-47B5-BB9C-19833DBDFFC5}" name="Table_SourceData_Scope3_Feed" displayName="Table_SourceData_Scope3_Feed" ref="D89:I159" totalsRowShown="0" dataDxfId="400" dataCellStyle="Content normal">
  <autoFilter ref="D89:I159" xr:uid="{7C99A3AF-4B60-47B5-BB9C-19833DBDFFC5}">
    <filterColumn colId="0" hiddenButton="1"/>
    <filterColumn colId="1" hiddenButton="1"/>
    <filterColumn colId="2" hiddenButton="1"/>
    <filterColumn colId="3" hiddenButton="1"/>
    <filterColumn colId="4" hiddenButton="1"/>
    <filterColumn colId="5" hiddenButton="1"/>
  </autoFilter>
  <tableColumns count="6">
    <tableColumn id="1" xr3:uid="{219F2701-68F1-480A-8D9E-12C627CAC316}" name="Category" dataDxfId="399" dataCellStyle="Content normal">
      <calculatedColumnFormula array="1">Common_InputFunctions.Utility_DisplayArrayInTable(Scope3_SourceData.Scope3_Feed_Data(), Table_SourceData_Scope3_Feed[[#Headers],[Category]], 0, 2)</calculatedColumnFormula>
    </tableColumn>
    <tableColumn id="2" xr3:uid="{EC66DCC6-8100-4F11-A8A8-539664BA4ACD}" name="Product" dataDxfId="398" dataCellStyle="Content normal">
      <calculatedColumnFormula array="1">Common_InputFunctions.Utility_DisplayArrayInTable(Scope3_SourceData.Scope3_Feed_Data(), Table_SourceData_Scope3_Feed[[#Headers],[Category]], 0, 2)</calculatedColumnFormula>
    </tableColumn>
    <tableColumn id="3" xr3:uid="{A985E658-3F73-4AD9-B19C-0CAEAD42BEE8}" name="Region of origin" dataDxfId="397" dataCellStyle="Content normal">
      <calculatedColumnFormula array="1">Common_InputFunctions.Utility_DisplayArrayInTable(Scope3_SourceData.Scope3_Feed_Data(), Table_SourceData_Scope3_Feed[[#Headers],[Category]], 0, 2)</calculatedColumnFormula>
    </tableColumn>
    <tableColumn id="8" xr3:uid="{7006E028-9383-4657-93CA-9F7D8B66AA38}" name="Quantity Unit" dataDxfId="396" dataCellStyle="Content normal">
      <calculatedColumnFormula array="1">Common_InputFunctions.Utility_DisplayArrayInTable(Scope3_SourceData.Scope3_Feed_Data(), Table_SourceData_Scope3_Feed[[#Headers],[Category]], 0, 2)</calculatedColumnFormula>
    </tableColumn>
    <tableColumn id="9" xr3:uid="{1C50D81A-129A-4BDA-881C-9E65EF792CE6}" name="AusLCI Emissions intensity" dataDxfId="395" dataCellStyle="Content normal">
      <calculatedColumnFormula array="1">Common_InputFunctions.Utility_DisplayArrayInTable(Scope3_SourceData.Scope3_Feed_Data(), Table_SourceData_Scope3_Feed[[#Headers],[Category]], 0, 2)</calculatedColumnFormula>
    </tableColumn>
    <tableColumn id="10" xr3:uid="{DAF99126-21EE-4F42-8379-91D5DC8AA914}" name="System boundary" dataDxfId="394" dataCellStyle="Content normal">
      <calculatedColumnFormula array="1">Common_InputFunctions.Utility_DisplayArrayInTable(Scope3_SourceData.Scope3_Feed_Data(), Table_SourceData_Scope3_Feed[[#Headers],[Category]], 0, 2)</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0DD1C989-E9CA-4596-81C6-3E0390BF715B}" name="Table_SourceData_Scope3_InorganicFertiliser" displayName="Table_SourceData_Scope3_InorganicFertiliser" ref="D173:M198" totalsRowShown="0">
  <autoFilter ref="D173:M198" xr:uid="{0DD1C989-E9CA-4596-81C6-3E0390BF715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ADC9456-B260-42A6-93B3-9ADE837F96FD}" name="Category">
      <calculatedColumnFormula array="1">Common_InputFunctions.Utility_DisplayArrayInTable(Scope3_SourceData.Scope3_InorganicFertilisers_Data(), Table_SourceData_Scope3_InorganicFertiliser[[#Headers],[Category]], 0, 2)</calculatedColumnFormula>
    </tableColumn>
    <tableColumn id="2" xr3:uid="{E4F3D10D-DC00-40A0-8434-F17EE5B57E50}" name="Product">
      <calculatedColumnFormula array="1">Common_InputFunctions.Utility_DisplayArrayInTable(Scope3_SourceData.Scope3_InorganicFertilisers_Data(), Table_SourceData_Scope3_InorganicFertiliser[[#Headers],[Category]], 0, 2)</calculatedColumnFormula>
    </tableColumn>
    <tableColumn id="3" xr3:uid="{FF493BEC-C7CF-4C48-9291-4807906A20BE}" name="Region of origin">
      <calculatedColumnFormula array="1">Common_InputFunctions.Utility_DisplayArrayInTable(Scope3_SourceData.Scope3_InorganicFertilisers_Data(), Table_SourceData_Scope3_InorganicFertiliser[[#Headers],[Category]], 0, 2)</calculatedColumnFormula>
    </tableColumn>
    <tableColumn id="4" xr3:uid="{0466E451-1D9D-432C-B88C-8496C46220CD}" name="Chemical compound"/>
    <tableColumn id="5" xr3:uid="{62C74D66-B31B-4F39-BD69-4511684CC376}" name="Urea source"/>
    <tableColumn id="6" xr3:uid="{B7F18DB3-9507-4C23-A645-C1C85198A9FD}" name="Ammonia source"/>
    <tableColumn id="7" xr3:uid="{EC8ABD26-808F-4DF3-BDFB-D67018191946}" name="Quantity"/>
    <tableColumn id="8" xr3:uid="{D5CB092C-897E-422F-866E-CCAFFC3877E8}" name="Quantity Unit">
      <calculatedColumnFormula array="1">Common_InputFunctions.Utility_DisplayArrayInTable(Scope3_SourceData.Scope3_InorganicFertilisers_Data(), Table_SourceData_Scope3_InorganicFertiliser[[#Headers],[Category]], 0, -2)</calculatedColumnFormula>
    </tableColumn>
    <tableColumn id="9" xr3:uid="{97D864D7-A555-47CD-B067-79C62FA7AF96}" name="AusLCI Emissions intensity">
      <calculatedColumnFormula array="1">Common_InputFunctions.Utility_DisplayArrayInTable(Scope3_SourceData.Scope3_InorganicFertilisers_Data(), Table_SourceData_Scope3_InorganicFertiliser[[#Headers],[Category]], 0, -2)</calculatedColumnFormula>
    </tableColumn>
    <tableColumn id="10" xr3:uid="{20335230-DDB8-4D56-B660-812F58B13DB8}" name="System boundary" dataDxfId="393" dataCellStyle="Content normal">
      <calculatedColumnFormula array="1">Common_InputFunctions.Utility_DisplayArrayInTable(Scope3_SourceData.Scope3_InorganicFertilisers_Data(), Table_SourceData_Scope3_InorganicFertiliser[[#Headers],[Category]], 0, -2)</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C703DCE8-2DA9-4607-8111-1323D636A81C}" name="Table_SourceData_Scope3_Other" displayName="Table_SourceData_Scope3_Other" ref="D201:I209" totalsRowShown="0" dataDxfId="392" dataCellStyle="Content normal">
  <autoFilter ref="D201:I209" xr:uid="{C703DCE8-2DA9-4607-8111-1323D636A81C}">
    <filterColumn colId="0" hiddenButton="1"/>
    <filterColumn colId="1" hiddenButton="1"/>
    <filterColumn colId="2" hiddenButton="1"/>
    <filterColumn colId="3" hiddenButton="1"/>
    <filterColumn colId="4" hiddenButton="1"/>
    <filterColumn colId="5" hiddenButton="1"/>
  </autoFilter>
  <tableColumns count="6">
    <tableColumn id="1" xr3:uid="{CCEB3E78-BC5A-4FFC-A3DE-61DDB731CC23}" name="Category" dataDxfId="391" dataCellStyle="Content normal">
      <calculatedColumnFormula array="1">Common_InputFunctions.Utility_DisplayArrayInTable(Scope3_SourceData.Scope3_Other_Data(), Table_SourceData_Scope3_Other[[#Headers],[Category]], 0, 2)</calculatedColumnFormula>
    </tableColumn>
    <tableColumn id="2" xr3:uid="{C078A088-981E-4568-A807-7F4E7771DFE7}" name="Product" dataDxfId="390" dataCellStyle="Content normal">
      <calculatedColumnFormula array="1">Common_InputFunctions.Utility_DisplayArrayInTable(Scope3_SourceData.Scope3_Other_Data(), Table_SourceData_Scope3_Other[[#Headers],[Category]], 0, 2)</calculatedColumnFormula>
    </tableColumn>
    <tableColumn id="3" xr3:uid="{21AE868B-2401-4DAA-B871-AEC622AE30FD}" name="Region of origin" dataDxfId="389" dataCellStyle="Content normal">
      <calculatedColumnFormula array="1">Common_InputFunctions.Utility_DisplayArrayInTable(Scope3_SourceData.Scope3_Other_Data(), Table_SourceData_Scope3_Other[[#Headers],[Category]], 0, 2)</calculatedColumnFormula>
    </tableColumn>
    <tableColumn id="8" xr3:uid="{4E401C7F-B5F8-4408-BDBC-62E919775F42}" name="Quantity Unit" dataDxfId="388" dataCellStyle="Content normal">
      <calculatedColumnFormula array="1">Common_InputFunctions.Utility_DisplayArrayInTable(Scope3_SourceData.Scope3_Other_Data(), Table_SourceData_Scope3_Other[[#Headers],[Category]], 0, 2)</calculatedColumnFormula>
    </tableColumn>
    <tableColumn id="9" xr3:uid="{A92654D8-13A7-4223-A91A-03F7CA0B2E9A}" name="AusLCI Emissions intensity" dataDxfId="387" dataCellStyle="Content normal">
      <calculatedColumnFormula array="1">Common_InputFunctions.Utility_DisplayArrayInTable(Scope3_SourceData.Scope3_Other_Data(), Table_SourceData_Scope3_Other[[#Headers],[Category]], 0, 2)</calculatedColumnFormula>
    </tableColumn>
    <tableColumn id="10" xr3:uid="{ED73B88C-2B3F-4CC1-90D8-09EC7A9FC7F3}" name="System boundary" dataDxfId="386" dataCellStyle="Content normal">
      <calculatedColumnFormula array="1">Common_InputFunctions.Utility_DisplayArrayInTable(Scope3_SourceData.Scope3_Other_Data(), Table_SourceData_Scope3_Other[[#Headers],[Category]], 0, 2)</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B95A04D9-DAAA-402E-80F2-94850F70AD8D}" name="Table_SourceData_Scope3_Packaging" displayName="Table_SourceData_Scope3_Packaging" ref="D212:I216" totalsRowShown="0" dataDxfId="385" dataCellStyle="Content normal">
  <autoFilter ref="D212:I216" xr:uid="{B95A04D9-DAAA-402E-80F2-94850F70AD8D}">
    <filterColumn colId="0" hiddenButton="1"/>
    <filterColumn colId="1" hiddenButton="1"/>
    <filterColumn colId="2" hiddenButton="1"/>
    <filterColumn colId="3" hiddenButton="1"/>
    <filterColumn colId="4" hiddenButton="1"/>
    <filterColumn colId="5" hiddenButton="1"/>
  </autoFilter>
  <tableColumns count="6">
    <tableColumn id="1" xr3:uid="{43362DD2-0B33-4BCB-B827-7C4A89047CC0}" name="Category" dataDxfId="384" dataCellStyle="Content normal">
      <calculatedColumnFormula array="1">Common_InputFunctions.Utility_DisplayArrayInTable(Scope3_SourceData.Scope3_Packaging_Data(), Table_SourceData_Scope3_Packaging[[#Headers],[Category]], 0, 2)</calculatedColumnFormula>
    </tableColumn>
    <tableColumn id="2" xr3:uid="{98D48E77-23FE-4E89-B706-CBF3CCC71DEA}" name="Product" dataDxfId="383" dataCellStyle="Content normal">
      <calculatedColumnFormula array="1">Common_InputFunctions.Utility_DisplayArrayInTable(Scope3_SourceData.Scope3_Packaging_Data(), Table_SourceData_Scope3_Packaging[[#Headers],[Category]], 0, 2)</calculatedColumnFormula>
    </tableColumn>
    <tableColumn id="3" xr3:uid="{FC9DDCF2-2AFB-4EAB-B426-29A6AED8DCE1}" name="Region of origin" dataDxfId="382" dataCellStyle="Content normal">
      <calculatedColumnFormula array="1">Common_InputFunctions.Utility_DisplayArrayInTable(Scope3_SourceData.Scope3_Packaging_Data(), Table_SourceData_Scope3_Packaging[[#Headers],[Category]], 0, 2)</calculatedColumnFormula>
    </tableColumn>
    <tableColumn id="8" xr3:uid="{E320AECA-EA4E-47EE-8707-E2868FA5CC36}" name="Quantity Unit" dataDxfId="381" dataCellStyle="Content normal">
      <calculatedColumnFormula array="1">Common_InputFunctions.Utility_DisplayArrayInTable(Scope3_SourceData.Scope3_Packaging_Data(), Table_SourceData_Scope3_Packaging[[#Headers],[Category]], 0, 2)</calculatedColumnFormula>
    </tableColumn>
    <tableColumn id="9" xr3:uid="{DFADF880-34BE-416D-884B-9E60C98B34B1}" name="AusLCI Emissions intensity" dataDxfId="380" dataCellStyle="Content normal">
      <calculatedColumnFormula array="1">Common_InputFunctions.Utility_DisplayArrayInTable(Scope3_SourceData.Scope3_Packaging_Data(), Table_SourceData_Scope3_Packaging[[#Headers],[Category]], 0, 2)</calculatedColumnFormula>
    </tableColumn>
    <tableColumn id="10" xr3:uid="{9FBFB70C-65BB-4CED-B001-32FFCE26A494}" name="System boundary" dataDxfId="379" dataCellStyle="Content normal">
      <calculatedColumnFormula array="1">Common_InputFunctions.Utility_DisplayArrayInTable(Scope3_SourceData.Scope3_Packaging_Data(), Table_SourceData_Scope3_Packaging[[#Headers],[Category]], 0, 2)</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C77460DE-4B5B-491B-885F-B6A288A52BB9}" name="Table_SourceData_Scope3_Pesticides" displayName="Table_SourceData_Scope3_Pesticides" ref="D219:I231" totalsRowShown="0" dataDxfId="378" dataCellStyle="Content normal">
  <autoFilter ref="D219:I231" xr:uid="{C77460DE-4B5B-491B-885F-B6A288A52BB9}">
    <filterColumn colId="0" hiddenButton="1"/>
    <filterColumn colId="1" hiddenButton="1"/>
    <filterColumn colId="2" hiddenButton="1"/>
    <filterColumn colId="3" hiddenButton="1"/>
    <filterColumn colId="4" hiddenButton="1"/>
    <filterColumn colId="5" hiddenButton="1"/>
  </autoFilter>
  <tableColumns count="6">
    <tableColumn id="1" xr3:uid="{304510F4-8D3C-4FA5-882C-E108FA075567}" name="Category" dataDxfId="377" dataCellStyle="Content normal">
      <calculatedColumnFormula array="1">Common_InputFunctions.Utility_DisplayArrayInTable(Scope3_SourceData.Scope3_Pesticides_Data(), Table_SourceData_Scope3_Pesticides[[#Headers],[Category]], 0, 2)</calculatedColumnFormula>
    </tableColumn>
    <tableColumn id="2" xr3:uid="{7195912D-C772-4E3F-B3A1-812C5CA9924D}" name="Product" dataDxfId="376" dataCellStyle="Content normal">
      <calculatedColumnFormula array="1">Common_InputFunctions.Utility_DisplayArrayInTable(Scope3_SourceData.Scope3_Pesticides_Data(), Table_SourceData_Scope3_Pesticides[[#Headers],[Category]], 0, 2)</calculatedColumnFormula>
    </tableColumn>
    <tableColumn id="3" xr3:uid="{10459461-5A6E-470B-8F52-6DEA48500C2B}" name="Region of origin" dataDxfId="375" dataCellStyle="Content normal">
      <calculatedColumnFormula array="1">Common_InputFunctions.Utility_DisplayArrayInTable(Scope3_SourceData.Scope3_Pesticides_Data(), Table_SourceData_Scope3_Pesticides[[#Headers],[Category]], 0, 2)</calculatedColumnFormula>
    </tableColumn>
    <tableColumn id="8" xr3:uid="{B0C083D6-95D1-4DFD-862E-81B659B2C6F6}" name="Quantity Unit" dataDxfId="374" dataCellStyle="Content normal">
      <calculatedColumnFormula array="1">Common_InputFunctions.Utility_DisplayArrayInTable(Scope3_SourceData.Scope3_Pesticides_Data(), Table_SourceData_Scope3_Pesticides[[#Headers],[Category]], 0, 2)</calculatedColumnFormula>
    </tableColumn>
    <tableColumn id="9" xr3:uid="{D5E71001-66D4-47E1-BC9B-1F898406BC43}" name="AusLCI Emissions intensity" dataDxfId="373" dataCellStyle="Content normal">
      <calculatedColumnFormula array="1">Common_InputFunctions.Utility_DisplayArrayInTable(Scope3_SourceData.Scope3_Pesticides_Data(), Table_SourceData_Scope3_Pesticides[[#Headers],[Category]], 0, 2)</calculatedColumnFormula>
    </tableColumn>
    <tableColumn id="10" xr3:uid="{5666E262-3E12-44FE-8C83-CF8EA536D29C}" name="System boundary" dataDxfId="372" dataCellStyle="Content normal">
      <calculatedColumnFormula array="1">Common_InputFunctions.Utility_DisplayArrayInTable(Scope3_SourceData.Scope3_Pesticides_Data(), Table_SourceData_Scope3_Pesticides[[#Headers],[Category]], 0, 2)</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E06B8FD7-21E4-417D-AAFE-EA3785475B05}" name="Table_SourceData_Scope3_SoilAmeliorants" displayName="Table_SourceData_Scope3_SoilAmeliorants" ref="D234:I237" totalsRowShown="0" dataDxfId="371" dataCellStyle="Content normal">
  <autoFilter ref="D234:I237" xr:uid="{E06B8FD7-21E4-417D-AAFE-EA3785475B05}">
    <filterColumn colId="0" hiddenButton="1"/>
    <filterColumn colId="1" hiddenButton="1"/>
    <filterColumn colId="2" hiddenButton="1"/>
    <filterColumn colId="3" hiddenButton="1"/>
    <filterColumn colId="4" hiddenButton="1"/>
    <filterColumn colId="5" hiddenButton="1"/>
  </autoFilter>
  <tableColumns count="6">
    <tableColumn id="1" xr3:uid="{72F3917D-29C8-409C-92F6-F329885A0AC6}" name="Category" dataDxfId="370" dataCellStyle="Content normal">
      <calculatedColumnFormula array="1">Common_InputFunctions.Utility_DisplayArrayInTable(Scope3_SourceData.Scope3_SoilAmendments_Data(), Table_SourceData_Scope3_SoilAmeliorants[[#Headers],[Category]], 0, 2)</calculatedColumnFormula>
    </tableColumn>
    <tableColumn id="2" xr3:uid="{1C3D640A-29DA-4147-92A2-60696B5A4C71}" name="Product" dataDxfId="369" dataCellStyle="Content normal">
      <calculatedColumnFormula array="1">Common_InputFunctions.Utility_DisplayArrayInTable(Scope3_SourceData.Scope3_SoilAmendments_Data(), Table_SourceData_Scope3_SoilAmeliorants[[#Headers],[Category]], 0, 2)</calculatedColumnFormula>
    </tableColumn>
    <tableColumn id="3" xr3:uid="{C3D2F8FF-B32F-4518-BC0C-DB4081FCA79C}" name="Region of origin" dataDxfId="368" dataCellStyle="Content normal">
      <calculatedColumnFormula array="1">Common_InputFunctions.Utility_DisplayArrayInTable(Scope3_SourceData.Scope3_SoilAmendments_Data(), Table_SourceData_Scope3_SoilAmeliorants[[#Headers],[Category]], 0, 2)</calculatedColumnFormula>
    </tableColumn>
    <tableColumn id="8" xr3:uid="{90A728DE-D127-473A-AD75-98598E22E83F}" name="Quantity Unit" dataDxfId="367" dataCellStyle="Content normal">
      <calculatedColumnFormula array="1">Common_InputFunctions.Utility_DisplayArrayInTable(Scope3_SourceData.Scope3_SoilAmendments_Data(), Table_SourceData_Scope3_SoilAmeliorants[[#Headers],[Category]], 0, 2)</calculatedColumnFormula>
    </tableColumn>
    <tableColumn id="9" xr3:uid="{D980A953-159D-4ABD-A38A-09890342F668}" name="AusLCI Emissions intensity" dataDxfId="366" dataCellStyle="Content normal">
      <calculatedColumnFormula array="1">Common_InputFunctions.Utility_DisplayArrayInTable(Scope3_SourceData.Scope3_SoilAmendments_Data(), Table_SourceData_Scope3_SoilAmeliorants[[#Headers],[Category]], 0, 2)</calculatedColumnFormula>
    </tableColumn>
    <tableColumn id="10" xr3:uid="{3A668D95-29B4-4FE6-9D44-D43521B82BC2}" name="System boundary" dataDxfId="365" dataCellStyle="Content normal">
      <calculatedColumnFormula array="1">Common_InputFunctions.Utility_DisplayArrayInTable(Scope3_SourceData.Scope3_SoilAmendments_Data(), Table_SourceData_Scope3_SoilAmeliorants[[#Headers],[Category]], 0, 2)</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C4160DCA-2AAF-4965-B3AD-B53F778A6499}" name="Table_SourceData_Scope3_ChemicalsPharmacy" displayName="Table_SourceData_Scope3_ChemicalsPharmacy" ref="D82:I86" totalsRowShown="0" dataDxfId="364" dataCellStyle="Content normal">
  <autoFilter ref="D82:I86" xr:uid="{C4160DCA-2AAF-4965-B3AD-B53F778A6499}">
    <filterColumn colId="0" hiddenButton="1"/>
    <filterColumn colId="1" hiddenButton="1"/>
    <filterColumn colId="2" hiddenButton="1"/>
    <filterColumn colId="3" hiddenButton="1"/>
    <filterColumn colId="4" hiddenButton="1"/>
    <filterColumn colId="5" hiddenButton="1"/>
  </autoFilter>
  <tableColumns count="6">
    <tableColumn id="1" xr3:uid="{8E805F0F-13EB-444A-AFA4-AC66F45058CE}" name="Category" dataDxfId="363" dataCellStyle="Content normal">
      <calculatedColumnFormula array="1">Common_InputFunctions.Utility_DisplayArrayInTable(Scope3_SourceData.Scope3_Chemicals_Data(), Table_SourceData_Scope3_ChemicalsPharmacy[[#Headers],[Category]], -3, 2)</calculatedColumnFormula>
    </tableColumn>
    <tableColumn id="2" xr3:uid="{BA0C9E19-0CF8-40D8-BDAE-09E8ADB0DDEF}" name="Product" dataDxfId="362" dataCellStyle="Content normal">
      <calculatedColumnFormula array="1">Common_InputFunctions.Utility_DisplayArrayInTable(Scope3_SourceData.Scope3_Chemicals_Data(), Table_SourceData_Scope3_ChemicalsPharmacy[[#Headers],[Category]], -3, 2)</calculatedColumnFormula>
    </tableColumn>
    <tableColumn id="3" xr3:uid="{58071090-BBC5-47B9-B141-D3FD62AAA81D}" name="Region of origin" dataDxfId="361" dataCellStyle="Content normal">
      <calculatedColumnFormula array="1">Common_InputFunctions.Utility_DisplayArrayInTable(Scope3_SourceData.Scope3_Chemicals_Data(), Table_SourceData_Scope3_ChemicalsPharmacy[[#Headers],[Category]], -3, 2)</calculatedColumnFormula>
    </tableColumn>
    <tableColumn id="8" xr3:uid="{7B4EEA6E-85AF-47B1-80AF-4DC20EF896E9}" name="Quantity Unit" dataDxfId="360" dataCellStyle="Content normal">
      <calculatedColumnFormula array="1">Common_InputFunctions.Utility_DisplayArrayInTable(Scope3_SourceData.Scope3_Chemicals_Data(), Table_SourceData_Scope3_ChemicalsPharmacy[[#Headers],[Category]], -3, 2)</calculatedColumnFormula>
    </tableColumn>
    <tableColumn id="9" xr3:uid="{25A49A9F-40A2-4614-9E17-9668E9645C55}" name="AusLCI Emissions intensity" dataDxfId="359" dataCellStyle="Content normal">
      <calculatedColumnFormula array="1">Common_InputFunctions.Utility_DisplayArrayInTable(Scope3_SourceData.Scope3_Chemicals_Data(), Table_SourceData_Scope3_ChemicalsPharmacy[[#Headers],[Category]], -3, 2)</calculatedColumnFormula>
    </tableColumn>
    <tableColumn id="10" xr3:uid="{21AA5226-63FD-4A56-A1D0-1D053B04A373}" name="System boundary" dataDxfId="358" dataCellStyle="Content normal">
      <calculatedColumnFormula array="1">Common_InputFunctions.Utility_DisplayArrayInTable(Scope3_SourceData.Scope3_Chemicals_Data(), Table_SourceData_Scope3_ChemicalsPharmacy[[#Headers],[Category]], -3, 2)</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606CCDDA-2BB2-4AA5-B657-09AAAA73295A}" name="Table_SourceData_Scope3_LickBlocks" displayName="Table_SourceData_Scope3_LickBlocks" ref="D167:I170" totalsRowShown="0" headerRowDxfId="357" headerRowCellStyle="Content normal">
  <autoFilter ref="D167:I170" xr:uid="{606CCDDA-2BB2-4AA5-B657-09AAAA73295A}">
    <filterColumn colId="0" hiddenButton="1"/>
    <filterColumn colId="1" hiddenButton="1"/>
    <filterColumn colId="2" hiddenButton="1"/>
    <filterColumn colId="3" hiddenButton="1"/>
    <filterColumn colId="4" hiddenButton="1"/>
    <filterColumn colId="5" hiddenButton="1"/>
  </autoFilter>
  <tableColumns count="6">
    <tableColumn id="1" xr3:uid="{6D76B938-08A2-4094-AEB0-8C3161774DD1}" name="Category" dataDxfId="356" dataCellStyle="Content normal">
      <calculatedColumnFormula array="1">Common_InputFunctions.Utility_DisplayArrayInTable(Scope3_SourceData.Scope3_Feed_Data(), Table_SourceData_Scope3_LickBlocks[[#Headers],[Category]], -73, 2)</calculatedColumnFormula>
    </tableColumn>
    <tableColumn id="2" xr3:uid="{3FF84858-750C-4566-9D71-0F23E5C2D255}" name="Product" dataDxfId="355" dataCellStyle="Content normal">
      <calculatedColumnFormula array="1">Common_InputFunctions.Utility_DisplayArrayInTable(Scope3_SourceData.Scope3_Feed_Data(), Table_SourceData_Scope3_LickBlocks[[#Headers],[Category]], -73, 2)</calculatedColumnFormula>
    </tableColumn>
    <tableColumn id="3" xr3:uid="{6CD3EF44-E799-4588-9C98-DC37352A45C1}" name="Region of origin" dataDxfId="354" dataCellStyle="Content normal">
      <calculatedColumnFormula array="1">Common_InputFunctions.Utility_DisplayArrayInTable(Scope3_SourceData.Scope3_Feed_Data(), Table_SourceData_Scope3_LickBlocks[[#Headers],[Category]], -73, 2)</calculatedColumnFormula>
    </tableColumn>
    <tableColumn id="4" xr3:uid="{D4514306-67FC-494E-BDED-91C48A086011}" name="Quantity Unit" dataDxfId="353" dataCellStyle="Content normal">
      <calculatedColumnFormula array="1">Common_InputFunctions.Utility_DisplayArrayInTable(Scope3_SourceData.Scope3_Feed_Data(), Table_SourceData_Scope3_LickBlocks[[#Headers],[Category]], -73, 2)</calculatedColumnFormula>
    </tableColumn>
    <tableColumn id="5" xr3:uid="{1F62073E-6981-4292-896E-AD87710B0F89}" name="AusLCI Emissions intensity" dataDxfId="352" dataCellStyle="Content normal">
      <calculatedColumnFormula array="1">Common_InputFunctions.Utility_DisplayArrayInTable(Scope3_SourceData.Scope3_Feed_Data(), Table_SourceData_Scope3_LickBlocks[[#Headers],[Category]], -73, 2)</calculatedColumnFormula>
    </tableColumn>
    <tableColumn id="6" xr3:uid="{8B747B0B-1D64-4B8C-8FFD-6931FC5878CC}" name="System boundary" dataDxfId="351" dataCellStyle="Content normal">
      <calculatedColumnFormula array="1">Common_InputFunctions.Utility_DisplayArrayInTable(Scope3_SourceData.Scope3_Feed_Data(), Table_SourceData_Scope3_LickBlocks[[#Headers],[Category]], -73, 2)</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1D958255-6879-4BEB-9F61-8AFE685165BB}" name="Table_SourceData_Scope3_MixedRations" displayName="Table_SourceData_Scope3_MixedRations" ref="D161:I165" totalsRowShown="0" headerRowDxfId="350" headerRowCellStyle="Content normal">
  <autoFilter ref="D161:I165" xr:uid="{1D958255-6879-4BEB-9F61-8AFE685165BB}">
    <filterColumn colId="0" hiddenButton="1"/>
    <filterColumn colId="1" hiddenButton="1"/>
    <filterColumn colId="2" hiddenButton="1"/>
    <filterColumn colId="3" hiddenButton="1"/>
    <filterColumn colId="4" hiddenButton="1"/>
    <filterColumn colId="5" hiddenButton="1"/>
  </autoFilter>
  <tableColumns count="6">
    <tableColumn id="1" xr3:uid="{F8F83081-CECF-4A9D-9DDF-0E7F39862E23}" name="Category" dataDxfId="349" dataCellStyle="Content normal">
      <calculatedColumnFormula array="1">Common_InputFunctions.Utility_DisplayArrayInTable(Scope3_SourceData.Scope3_Feed_Data(), Table_SourceData_Scope3_MixedRations[[#Headers],[Category]], -66, 2)</calculatedColumnFormula>
    </tableColumn>
    <tableColumn id="2" xr3:uid="{17F6ADBB-F5DB-4374-89F5-BF77C115DB64}" name="Product" dataDxfId="348" dataCellStyle="Content normal">
      <calculatedColumnFormula array="1">Common_InputFunctions.Utility_DisplayArrayInTable(Scope3_SourceData.Scope3_Feed_Data(), Table_SourceData_Scope3_MixedRations[[#Headers],[Category]], -66, 2)</calculatedColumnFormula>
    </tableColumn>
    <tableColumn id="3" xr3:uid="{3F3E2E49-2911-41A8-9D6B-70B6444FC1D6}" name="Region of origin" dataDxfId="347" dataCellStyle="Content normal">
      <calculatedColumnFormula array="1">Common_InputFunctions.Utility_DisplayArrayInTable(Scope3_SourceData.Scope3_Feed_Data(), Table_SourceData_Scope3_MixedRations[[#Headers],[Category]], -66, 2)</calculatedColumnFormula>
    </tableColumn>
    <tableColumn id="4" xr3:uid="{6ED78C2B-2414-41EB-8B66-3CBB3FB19983}" name="Quantity Unit" dataDxfId="346" dataCellStyle="Content normal">
      <calculatedColumnFormula array="1">Common_InputFunctions.Utility_DisplayArrayInTable(Scope3_SourceData.Scope3_Feed_Data(), Table_SourceData_Scope3_MixedRations[[#Headers],[Category]], -66, 2)</calculatedColumnFormula>
    </tableColumn>
    <tableColumn id="5" xr3:uid="{DCFC09BB-3FD0-4ECF-8514-5711C9A62B23}" name="AusLCI Emissions intensity" dataDxfId="345" dataCellStyle="Content normal">
      <calculatedColumnFormula array="1">Common_InputFunctions.Utility_DisplayArrayInTable(Scope3_SourceData.Scope3_Feed_Data(), Table_SourceData_Scope3_MixedRations[[#Headers],[Category]], -66, 2)</calculatedColumnFormula>
    </tableColumn>
    <tableColumn id="6" xr3:uid="{0E4567CD-8A41-4411-9344-50A2F142C06F}" name="System boundary" dataDxfId="344" dataCellStyle="Content normal">
      <calculatedColumnFormula array="1">Common_InputFunctions.Utility_DisplayArrayInTable(Scope3_SourceData.Scope3_Feed_Data(), Table_SourceData_Scope3_MixedRations[[#Headers],[Category]], -66, 2)</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CE347908-ACBC-4A97-A54B-325F495C7F74}" name="Table_ProductRegions_Sardineswhole" displayName="Table_ProductRegions_Sardineswhole" ref="K89:L90" totalsRowShown="0">
  <autoFilter ref="K89:L90" xr:uid="{CE347908-ACBC-4A97-A54B-325F495C7F74}">
    <filterColumn colId="0" hiddenButton="1"/>
    <filterColumn colId="1" hiddenButton="1"/>
  </autoFilter>
  <tableColumns count="2">
    <tableColumn id="1" xr3:uid="{945C1647-7F59-469D-9ECC-C1CE89C4CF51}" name="Product">
      <calculatedColumnFormula>Table_SourceData_Scope3_Feed[[#This Row],[Product]]</calculatedColumnFormula>
    </tableColumn>
    <tableColumn id="2" xr3:uid="{81A311AA-D3A2-4081-9131-FB76E5401064}" name="Region">
      <calculatedColumnFormula>Table_SourceData_Scope3_Feed[[#This Row],[Region of origin]]</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4CC6C9C2-1CED-45A7-AB1B-72FD8DBB4178}" name="Table_ProductRegions_Barleygrain" displayName="Table_ProductRegions_Barleygrain" ref="N90:O98" totalsRowShown="0">
  <autoFilter ref="N90:O98" xr:uid="{4CC6C9C2-1CED-45A7-AB1B-72FD8DBB4178}">
    <filterColumn colId="0" hiddenButton="1"/>
    <filterColumn colId="1" hiddenButton="1"/>
  </autoFilter>
  <tableColumns count="2">
    <tableColumn id="1" xr3:uid="{5664F718-42BA-4223-9181-A77E546BAE1D}" name="Product">
      <calculatedColumnFormula>Table_SourceData_Scope3_Feed[[#This Row],[Product]]</calculatedColumnFormula>
    </tableColumn>
    <tableColumn id="2" xr3:uid="{D58DAB78-4739-4D37-BD60-9386C4FB3DF1}" name="Region">
      <calculatedColumnFormula>Table_SourceData_Scope3_Feed[[#This Row],[Region of origin]]</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70F320A7-5DBE-4A83-91E4-C9B3BDA564BD}" name="Table_ProductRegions_Maizegrain" displayName="Table_ProductRegions_Maizegrain" ref="K98:L105" totalsRowShown="0" headerRowDxfId="343" headerRowCellStyle="Content normal">
  <autoFilter ref="K98:L105" xr:uid="{70F320A7-5DBE-4A83-91E4-C9B3BDA564BD}">
    <filterColumn colId="0" hiddenButton="1"/>
    <filterColumn colId="1" hiddenButton="1"/>
  </autoFilter>
  <tableColumns count="2">
    <tableColumn id="1" xr3:uid="{8A513684-3B15-4728-8FF7-B75E1C46FDFF}" name="Product">
      <calculatedColumnFormula>Table_SourceData_Scope3_Feed[[#This Row],[Product]]</calculatedColumnFormula>
    </tableColumn>
    <tableColumn id="2" xr3:uid="{1D4B4388-F864-4F7C-9BA6-6EDD17344E99}" name="Region">
      <calculatedColumnFormula>Table_SourceData_Scope3_Feed[[#This Row],[Region of origin]]</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90205417-8A77-41A3-A4E2-624BD92B7269}" name="Table_ProductRegions_Sorghumgrain" displayName="Table_ProductRegions_Sorghumgrain" ref="N105:O110" totalsRowShown="0" headerRowDxfId="342" headerRowCellStyle="Content normal">
  <autoFilter ref="N105:O110" xr:uid="{90205417-8A77-41A3-A4E2-624BD92B7269}">
    <filterColumn colId="0" hiddenButton="1"/>
    <filterColumn colId="1" hiddenButton="1"/>
  </autoFilter>
  <tableColumns count="2">
    <tableColumn id="1" xr3:uid="{8CAF71D4-F198-470E-B0AD-32BACC7F74B7}" name="Product">
      <calculatedColumnFormula>Table_SourceData_Scope3_Feed[[#This Row],[Product]]</calculatedColumnFormula>
    </tableColumn>
    <tableColumn id="2" xr3:uid="{A4BF9C0A-17AA-403A-B5FE-F13D886421DA}" name="Region">
      <calculatedColumnFormula>Table_SourceData_Scope3_Feed[[#This Row],[Region of origin]]</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9DD7D3AD-59A1-48FC-B80D-99C25A2A79F5}" name="Table_ProductRegions_Wheatgrain" displayName="Table_ProductRegions_Wheatgrain" ref="K110:L118" totalsRowShown="0" headerRowDxfId="341" headerRowCellStyle="Content normal">
  <autoFilter ref="K110:L118" xr:uid="{9DD7D3AD-59A1-48FC-B80D-99C25A2A79F5}">
    <filterColumn colId="0" hiddenButton="1"/>
    <filterColumn colId="1" hiddenButton="1"/>
  </autoFilter>
  <tableColumns count="2">
    <tableColumn id="1" xr3:uid="{BCFAAD99-5F01-425C-B95B-E16E8C36199D}" name="Product">
      <calculatedColumnFormula>Table_SourceData_Scope3_Feed[[#This Row],[Product]]</calculatedColumnFormula>
    </tableColumn>
    <tableColumn id="2" xr3:uid="{E4C47197-8F10-484C-A4A1-777A12716EA4}" name="Region">
      <calculatedColumnFormula>Table_SourceData_Scope3_Feed[[#This Row],[Region of origin]]</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 xr:uid="{245CC575-8EB6-4B35-B4B5-B1CE9D9C39F8}" name="Table_ProductRegions_Cerealhay" displayName="Table_ProductRegions_Cerealhay" ref="N118:O125" totalsRowShown="0">
  <autoFilter ref="N118:O125" xr:uid="{245CC575-8EB6-4B35-B4B5-B1CE9D9C39F8}">
    <filterColumn colId="0" hiddenButton="1"/>
    <filterColumn colId="1" hiddenButton="1"/>
  </autoFilter>
  <tableColumns count="2">
    <tableColumn id="1" xr3:uid="{232AC097-A016-4FDE-8772-4DAA515FE7D7}" name="Product">
      <calculatedColumnFormula>Table_SourceData_Scope3_Feed[[#This Row],[Product]]</calculatedColumnFormula>
    </tableColumn>
    <tableColumn id="2" xr3:uid="{38E00CDB-2FD4-4256-AA61-D24E378A3D11}" name="Region">
      <calculatedColumnFormula>Table_SourceData_Scope3_Feed[[#This Row],[Region of origin]]</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 xr:uid="{FD45B7F5-0F1B-474D-A048-21B8C1E86239}" name="Table_ProductRegions_Cerealsilage" displayName="Table_ProductRegions_Cerealsilage" ref="K125:L131" totalsRowShown="0">
  <autoFilter ref="K125:L131" xr:uid="{FD45B7F5-0F1B-474D-A048-21B8C1E86239}">
    <filterColumn colId="0" hiddenButton="1"/>
    <filterColumn colId="1" hiddenButton="1"/>
  </autoFilter>
  <tableColumns count="2">
    <tableColumn id="1" xr3:uid="{1BC2DAF2-75FA-45FD-A340-D1CDA2E025AF}" name="Product">
      <calculatedColumnFormula>Table_SourceData_Scope3_Feed[[#This Row],[Product]]</calculatedColumnFormula>
    </tableColumn>
    <tableColumn id="2" xr3:uid="{10904676-673E-40F4-A580-C2352762A9A9}" name="Region">
      <calculatedColumnFormula>Table_SourceData_Scope3_Feed[[#This Row],[Region of origin]]</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4DF6C49E-FF29-4EC2-AABA-1FE3CF552A22}" name="Table_ProductRegions_Lucernehay" displayName="Table_ProductRegions_Lucernehay" ref="N131:O138" totalsRowShown="0">
  <autoFilter ref="N131:O138" xr:uid="{4DF6C49E-FF29-4EC2-AABA-1FE3CF552A22}">
    <filterColumn colId="0" hiddenButton="1"/>
    <filterColumn colId="1" hiddenButton="1"/>
  </autoFilter>
  <tableColumns count="2">
    <tableColumn id="1" xr3:uid="{44569DEA-8769-46B9-A341-EE1B83363294}" name="Product">
      <calculatedColumnFormula>Table_SourceData_Scope3_Feed[[#This Row],[Product]]</calculatedColumnFormula>
    </tableColumn>
    <tableColumn id="2" xr3:uid="{D8700C5D-7929-4241-92AF-CF01E9881424}" name="Region">
      <calculatedColumnFormula>Table_SourceData_Scope3_Feed[[#This Row],[Region of origin]]</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5CE14642-4488-4D3C-A2B0-48CEF5738148}" name="Table_ProductRegions_Oatenhay" displayName="Table_ProductRegions_Oatenhay" ref="K138:L144" totalsRowShown="0">
  <autoFilter ref="K138:L144" xr:uid="{5CE14642-4488-4D3C-A2B0-48CEF5738148}">
    <filterColumn colId="0" hiddenButton="1"/>
    <filterColumn colId="1" hiddenButton="1"/>
  </autoFilter>
  <tableColumns count="2">
    <tableColumn id="1" xr3:uid="{AF0926BC-52D3-4298-A3CE-4E5AD5ACE599}" name="Product">
      <calculatedColumnFormula>Table_SourceData_Scope3_Feed[[#This Row],[Product]]</calculatedColumnFormula>
    </tableColumn>
    <tableColumn id="2" xr3:uid="{22EDBA27-6916-4D05-9240-A8FFBC5F3963}" name="Region">
      <calculatedColumnFormula>Table_SourceData_Scope3_Feed[[#This Row],[Region of origin]]</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BD72E544-66B7-4CC1-B2C8-F2136AAB32F7}" name="Table_ProductRegions_Pasturehay" displayName="Table_ProductRegions_Pasturehay" ref="N144:O151" totalsRowShown="0">
  <autoFilter ref="N144:O151" xr:uid="{BD72E544-66B7-4CC1-B2C8-F2136AAB32F7}">
    <filterColumn colId="0" hiddenButton="1"/>
    <filterColumn colId="1" hiddenButton="1"/>
  </autoFilter>
  <tableColumns count="2">
    <tableColumn id="1" xr3:uid="{47833BE6-BC36-4E64-A9B0-E7F4E81D1CB2}" name="Product">
      <calculatedColumnFormula>Table_SourceData_Scope3_Feed[[#This Row],[Product]]</calculatedColumnFormula>
    </tableColumn>
    <tableColumn id="2" xr3:uid="{97D465EB-64C0-4F64-A782-549ABD7ACA4D}" name="Region">
      <calculatedColumnFormula>Table_SourceData_Scope3_Feed[[#This Row],[Region of origin]]</calculatedColumnFormula>
    </tableColumn>
  </tableColumns>
  <tableStyleInfo name="Equation table"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58F78B6F-294E-4D4E-8E3B-BFE4FA85583E}" name="Table_ProductRegions_Canolameal" displayName="Table_ProductRegions_Canolameal" ref="K151:L152" totalsRowShown="0" headerRowDxfId="340" headerRowCellStyle="Content normal" dataCellStyle="Content normal">
  <autoFilter ref="K151:L152" xr:uid="{58F78B6F-294E-4D4E-8E3B-BFE4FA85583E}">
    <filterColumn colId="0" hiddenButton="1"/>
    <filterColumn colId="1" hiddenButton="1"/>
  </autoFilter>
  <tableColumns count="2">
    <tableColumn id="1" xr3:uid="{67D1AABE-BAD4-447B-93B8-EBF6341081D3}" name="Product" dataCellStyle="Content normal">
      <calculatedColumnFormula>Table_SourceData_Scope3_Feed[[#This Row],[Product]]</calculatedColumnFormula>
    </tableColumn>
    <tableColumn id="2" xr3:uid="{B64DE0AB-200D-482D-87A5-6B0F7AAB72A3}" name="Region" dataCellStyle="Content normal">
      <calculatedColumnFormula>Table_SourceData_Scope3_Feed[[#This Row],[Region of origin]]</calculatedColumnFormula>
    </tableColumn>
  </tableColumns>
  <tableStyleInfo name="Equation table"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D9ACC97D-5A56-40C9-A49D-02AE70D1528F}" name="Table_ProductRegions_Meatmeal" displayName="Table_ProductRegions_Meatmeal" ref="N152:O153" totalsRowShown="0">
  <autoFilter ref="N152:O153" xr:uid="{D9ACC97D-5A56-40C9-A49D-02AE70D1528F}">
    <filterColumn colId="0" hiddenButton="1"/>
    <filterColumn colId="1" hiddenButton="1"/>
  </autoFilter>
  <tableColumns count="2">
    <tableColumn id="1" xr3:uid="{5C61A0C9-D6E2-4399-A917-6247DEA787B6}" name="Product">
      <calculatedColumnFormula>Table_SourceData_Scope3_Feed[[#This Row],[Product]]</calculatedColumnFormula>
    </tableColumn>
    <tableColumn id="2" xr3:uid="{FB39D82B-1915-4127-B8DC-BB6CDD37C69F}" name="Region">
      <calculatedColumnFormula>Table_SourceData_Scope3_Feed[[#This Row],[Region of origin]]</calculatedColumnFormula>
    </tableColumn>
  </tableColumns>
  <tableStyleInfo name="Equation table"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1C990ACD-1539-48DE-9CB9-7E6ABD45F865}" name="Table_ProductRegions_Soybeanmeal" displayName="Table_ProductRegions_Soybeanmeal" ref="K153:L154" totalsRowShown="0">
  <autoFilter ref="K153:L154" xr:uid="{1C990ACD-1539-48DE-9CB9-7E6ABD45F865}">
    <filterColumn colId="0" hiddenButton="1"/>
    <filterColumn colId="1" hiddenButton="1"/>
  </autoFilter>
  <tableColumns count="2">
    <tableColumn id="1" xr3:uid="{4552E057-14F0-4DD6-AEC3-5F3FC817A074}" name="Product">
      <calculatedColumnFormula>Table_SourceData_Scope3_Feed[[#This Row],[Product]]</calculatedColumnFormula>
    </tableColumn>
    <tableColumn id="2" xr3:uid="{CB8228EF-CA06-4F23-8AC2-FD9606615F4E}" name="Region">
      <calculatedColumnFormula>Table_SourceData_Scope3_Feed[[#This Row],[Region of origin]]</calculatedColumnFormula>
    </tableColumn>
  </tableColumns>
  <tableStyleInfo name="Equation table"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27F97D39-363D-44DD-BCB4-6C8D8B6B10B7}" name="Table_ProductRegions_Wheatbran" displayName="Table_ProductRegions_Wheatbran" ref="N154:O155" totalsRowShown="0">
  <autoFilter ref="N154:O155" xr:uid="{27F97D39-363D-44DD-BCB4-6C8D8B6B10B7}">
    <filterColumn colId="0" hiddenButton="1"/>
    <filterColumn colId="1" hiddenButton="1"/>
  </autoFilter>
  <tableColumns count="2">
    <tableColumn id="1" xr3:uid="{E4E4F2C5-E9E9-4E83-9AB8-3D7BAB445C7C}" name="Product">
      <calculatedColumnFormula>Table_SourceData_Scope3_Feed[[#This Row],[Product]]</calculatedColumnFormula>
    </tableColumn>
    <tableColumn id="2" xr3:uid="{0CBFE8FA-A486-4EC2-A650-280D23D0085D}" name="Region">
      <calculatedColumnFormula>Table_SourceData_Scope3_Feed[[#This Row],[Region of origin]]</calculatedColumnFormula>
    </tableColumn>
  </tableColumns>
  <tableStyleInfo name="Equation table"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09E4264E-4E86-40F1-AA3A-76335558A05D}" name="Table_ProductRegions_Bentonite" displayName="Table_ProductRegions_Bentonite" ref="K155:L156" totalsRowShown="0">
  <autoFilter ref="K155:L156" xr:uid="{09E4264E-4E86-40F1-AA3A-76335558A05D}">
    <filterColumn colId="0" hiddenButton="1"/>
    <filterColumn colId="1" hiddenButton="1"/>
  </autoFilter>
  <tableColumns count="2">
    <tableColumn id="1" xr3:uid="{8F709C97-D69A-46E4-8CDD-41528AEF31DC}" name="Product">
      <calculatedColumnFormula>Table_SourceData_Scope3_Feed[[#This Row],[Product]]</calculatedColumnFormula>
    </tableColumn>
    <tableColumn id="2" xr3:uid="{F700D495-AFC3-490A-B7A9-A4D96953AF14}" name="Region">
      <calculatedColumnFormula>Table_SourceData_Scope3_Feed[[#This Row],[Region of origin]]</calculatedColumnFormula>
    </tableColumn>
  </tableColumns>
  <tableStyleInfo name="Equation table"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A0E0877F-5B97-438A-89BF-391F139E6C20}" name="Table_ProductRegions_Canolaoil" displayName="Table_ProductRegions_Canolaoil" ref="N156:O157" totalsRowShown="0">
  <autoFilter ref="N156:O157" xr:uid="{A0E0877F-5B97-438A-89BF-391F139E6C20}">
    <filterColumn colId="0" hiddenButton="1"/>
    <filterColumn colId="1" hiddenButton="1"/>
  </autoFilter>
  <tableColumns count="2">
    <tableColumn id="1" xr3:uid="{5BD08D66-236B-4A21-8EE3-0DC05650C30D}" name="Product">
      <calculatedColumnFormula>Table_SourceData_Scope3_Feed[[#This Row],[Product]]</calculatedColumnFormula>
    </tableColumn>
    <tableColumn id="2" xr3:uid="{CEB44EDC-668C-4405-9A4D-8B87223BF718}" name="Region">
      <calculatedColumnFormula>Table_SourceData_Scope3_Feed[[#This Row],[Region of origin]]</calculatedColumnFormula>
    </tableColumn>
  </tableColumns>
  <tableStyleInfo name="Equation table"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77EE7649-CF58-45FA-964C-E4A392F4902C}" name="Table_ProductRegions_Cottonseed" displayName="Table_ProductRegions_Cottonseed" ref="K157:L158" totalsRowShown="0">
  <autoFilter ref="K157:L158" xr:uid="{77EE7649-CF58-45FA-964C-E4A392F4902C}">
    <filterColumn colId="0" hiddenButton="1"/>
    <filterColumn colId="1" hiddenButton="1"/>
  </autoFilter>
  <tableColumns count="2">
    <tableColumn id="1" xr3:uid="{F6AEA5C7-0F9B-4957-BC46-0C4126158420}" name="Product">
      <calculatedColumnFormula>Table_SourceData_Scope3_Feed[[#This Row],[Product]]</calculatedColumnFormula>
    </tableColumn>
    <tableColumn id="2" xr3:uid="{4AA3B134-144F-4D6D-B0EA-9E96E73FAC81}" name="Region">
      <calculatedColumnFormula>Table_SourceData_Scope3_Feed[[#This Row],[Region of origin]]</calculatedColumnFormula>
    </tableColumn>
  </tableColumns>
  <tableStyleInfo name="Equation table"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EBEFFF0B-F932-4AFC-ABDF-6907D5107FE5}" name="Table_ProductRegions_Molasses" displayName="Table_ProductRegions_Molasses" ref="N158:O159" totalsRowShown="0">
  <autoFilter ref="N158:O159" xr:uid="{EBEFFF0B-F932-4AFC-ABDF-6907D5107FE5}">
    <filterColumn colId="0" hiddenButton="1"/>
    <filterColumn colId="1" hiddenButton="1"/>
  </autoFilter>
  <tableColumns count="2">
    <tableColumn id="1" xr3:uid="{1BF93CE1-17D7-44CC-B5BD-89CA52F56749}" name="Product">
      <calculatedColumnFormula>Table_SourceData_Scope3_Feed[[#This Row],[Product]]</calculatedColumnFormula>
    </tableColumn>
    <tableColumn id="2" xr3:uid="{DAF1C44E-ABB4-4659-AD12-6A7CE97EFAC4}" name="Region">
      <calculatedColumnFormula>Table_SourceData_Scope3_Feed[[#This Row],[Region of origin]]</calculatedColumnFormula>
    </tableColumn>
  </tableColumns>
  <tableStyleInfo name="Equation table"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9" xr:uid="{77539992-728B-4655-965B-FB28372E4BBC}" name="Table_ProductRegions_Beefcattle" displayName="Table_ProductRegions_Beefcattle" ref="K33:L49" totalsRowShown="0">
  <autoFilter ref="K33:L49" xr:uid="{77539992-728B-4655-965B-FB28372E4BBC}">
    <filterColumn colId="0" hiddenButton="1"/>
    <filterColumn colId="1" hiddenButton="1"/>
  </autoFilter>
  <tableColumns count="2">
    <tableColumn id="1" xr3:uid="{EA6D5E06-7386-4DA6-AC11-D24B4D31B806}" name="Region"/>
    <tableColumn id="2" xr3:uid="{192E343D-FA92-4130-88B1-0764C1C5107A}" name="Scope3 region"/>
  </tableColumns>
  <tableStyleInfo name="Equation table"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0" xr:uid="{AC65DBE5-7D9B-4C6C-A471-25B809CFACA3}" name="Table_LivestockClasses_Beefcattle" displayName="Table_LivestockClasses_Beefcattle" ref="K52:K62" totalsRowShown="0">
  <autoFilter ref="K52:K62" xr:uid="{AC65DBE5-7D9B-4C6C-A471-25B809CFACA3}">
    <filterColumn colId="0" hiddenButton="1"/>
  </autoFilter>
  <tableColumns count="1">
    <tableColumn id="1" xr3:uid="{F054DBEF-CB77-47FB-A5F3-319D5BAF2FD9}" name="Livestock class"/>
  </tableColumns>
  <tableStyleInfo name="Equation table"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1" xr:uid="{591B631D-8029-481F-8C1D-59FD21F1A01F}" name="Table_SourceData_WasteSolid_WasteTreatmentEFs" displayName="Table_SourceData_WasteSolid_WasteTreatmentEFs" ref="D9:G29" totalsRowShown="0">
  <autoFilter ref="D9:G29" xr:uid="{4AF52C87-665B-4565-984D-010681CEE8B6}">
    <filterColumn colId="0" hiddenButton="1"/>
    <filterColumn colId="1" hiddenButton="1"/>
    <filterColumn colId="2" hiddenButton="1"/>
    <filterColumn colId="3" hiddenButton="1"/>
  </autoFilter>
  <tableColumns count="4">
    <tableColumn id="1" xr3:uid="{658597C4-2E30-416B-8A86-21508C217612}" name="Treatment type t">
      <calculatedColumnFormula array="1">Common_InputFunctions.Utility_DisplayArrayInTable(WasteSolid_SourceData.Waste_EmissionFactorsForWasteTreatment_Data(), Table_SourceData_WasteSolid_WasteTreatmentEFs[[#Headers],[Treatment type t]], 0)</calculatedColumnFormula>
    </tableColumn>
    <tableColumn id="2" xr3:uid="{F0C89251-E582-479F-AB58-5B22A50785EB}" name="Waste type w" dataDxfId="339"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 id="3" xr3:uid="{917CFAF8-C097-4D65-A69C-017C80F9129C}" name="EFwt" dataDxfId="338"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 id="4" xr3:uid="{30A845C8-0810-4C68-AB3C-C127105A25EB}" name="EF source" dataDxfId="337"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s>
  <tableStyleInfo name="Equation table"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2" xr:uid="{903ED854-97EC-43D8-BBCB-BAD1EC1BCF35}" name="Table_SourceData_WasteSolid_VolumeToMassConversion" displayName="Table_SourceData_WasteSolid_VolumeToMassConversion" ref="D37:E48" totalsRowShown="0">
  <autoFilter ref="D37:E48" xr:uid="{7322750E-D63A-47D8-AB88-7693F1AFBB78}">
    <filterColumn colId="0" hiddenButton="1"/>
    <filterColumn colId="1" hiddenButton="1"/>
  </autoFilter>
  <tableColumns count="2">
    <tableColumn id="1" xr3:uid="{216E96CB-66DE-4B4B-A3AD-7AE9A5564F31}" name="Waste type w">
      <calculatedColumnFormula array="1">Common_InputFunctions.Utility_DisplayArrayInTable(WasteSolid_SourceData.Waste_WasteVolumeToMassConversion_Data(), Table_SourceData_WasteSolid_VolumeToMassConversion[[#Headers],[Waste type w]], 0)</calculatedColumnFormula>
    </tableColumn>
    <tableColumn id="2" xr3:uid="{87C96AF3-3646-48E3-8446-885E80513812}" name="VTMw" dataDxfId="336" dataCellStyle="Content normal">
      <calculatedColumnFormula array="1">Common_InputFunctions.Utility_DisplayArrayInTable(WasteSolid_SourceData.Waste_WasteVolumeToMassConversion_Data(), Table_SourceData_WasteSolid_VolumeToMassConversion[[#Headers],[Waste type w]], 0)</calculatedColumnFormula>
    </tableColumn>
  </tableColumns>
  <tableStyleInfo name="Equation table"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3" xr:uid="{8D36355E-14B3-4FBF-98DA-A1C28E78F4A9}" name="Table_WasteTypes_Landfill" displayName="Table_WasteTypes_Landfill" ref="I9:I20" totalsRowShown="0">
  <autoFilter ref="I9:I20" xr:uid="{99B942E3-1D24-4166-921C-DCC10960718D}">
    <filterColumn colId="0" hiddenButton="1"/>
  </autoFilter>
  <tableColumns count="1">
    <tableColumn id="1" xr3:uid="{D0BE22FC-BCCD-4DB2-B3EF-CC79C28CB432}" name="Waste type w">
      <calculatedColumnFormula>Table_SourceData_WasteSolid_WasteTreatmentEFs[[#This Row],[Waste type w]]</calculatedColumnFormula>
    </tableColumn>
  </tableColumns>
  <tableStyleInfo name="Equation table"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4" xr:uid="{E11A2AA6-3075-42DD-85C6-6FB7A8D52E48}" name="Table_WasteTypes_Incineration" displayName="Table_WasteTypes_Incineration" ref="K9:K16" totalsRowShown="0" headerRowDxfId="335" headerRowCellStyle="Content normal" dataCellStyle="Content normal">
  <autoFilter ref="K9:K16" xr:uid="{9A900595-7035-4239-9059-ACC16835BF72}">
    <filterColumn colId="0" hiddenButton="1"/>
  </autoFilter>
  <tableColumns count="1">
    <tableColumn id="1" xr3:uid="{5F88B6C0-D6F8-441B-8663-97579CB77FCE}" name="Waste type w" dataCellStyle="Content normal">
      <calculatedColumnFormula>E21</calculatedColumnFormula>
    </tableColumn>
  </tableColumns>
  <tableStyleInfo name="Equation table"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5" xr:uid="{8403B5C1-0CEA-4053-8C5F-76B6A20329B3}" name="Table_WasteTypes_Composting" displayName="Table_WasteTypes_Composting" ref="M9:M10" totalsRowShown="0" headerRowDxfId="334" headerRowCellStyle="Content normal" dataCellStyle="Content normal">
  <autoFilter ref="M9:M10" xr:uid="{5C8D39D3-1330-49EB-B431-1B2B8C8238DC}">
    <filterColumn colId="0" hiddenButton="1"/>
  </autoFilter>
  <tableColumns count="1">
    <tableColumn id="1" xr3:uid="{FAE5696F-EEA1-4E06-B3D1-DD597AC0614A}" name="Waste type w" dataCellStyle="Content normal">
      <calculatedColumnFormula>E28</calculatedColumnFormula>
    </tableColumn>
  </tableColumns>
  <tableStyleInfo name="Equation table"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6" xr:uid="{0186C0DB-1AB3-40F9-8278-D24C1DAE7D68}" name="Table_WasteTypes_Anaerobicdigestion" displayName="Table_WasteTypes_Anaerobicdigestion" ref="O9:O10" totalsRowShown="0" headerRowDxfId="333" headerRowCellStyle="Content normal" dataCellStyle="Content normal">
  <autoFilter ref="O9:O10" xr:uid="{331EC43E-DF68-429F-A2A4-58BFE6216EC3}">
    <filterColumn colId="0" hiddenButton="1"/>
  </autoFilter>
  <tableColumns count="1">
    <tableColumn id="1" xr3:uid="{48BA2D79-F4E9-4368-B449-DA6C569DBDB2}" name="Waste type w" dataCellStyle="Content normal">
      <calculatedColumnFormula>E29</calculatedColumnFormula>
    </tableColumn>
  </tableColumns>
  <tableStyleInfo name="Equation table"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3" xr:uid="{44239344-1FA2-4A55-9EBB-A935D1622AD9}" name="Table_Fuel_EFs_StationaryLiquid" displayName="Table_Fuel_EFs_StationaryLiquid" ref="D53:K77" totalsRowShown="0" headerRowDxfId="332" dataDxfId="331">
  <autoFilter ref="D53:K77" xr:uid="{2781308E-D97C-445B-A805-DE74F822CC4F}">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242414EA-F7B5-4F05-BEDB-95BF429D57CF}" name="Fuel combusted" dataDxfId="330">
      <calculatedColumnFormula array="1">Common_InputFunctions.Utility_DisplayArrayInTable(Fuel_SourceData.Fuel_Scope1Scope3EmissionFactorsStationaryLiquid_Data(), Table_Fuel_EFs_StationaryLiquid[[#Headers],[Fuel combusted]],0)</calculatedColumnFormula>
    </tableColumn>
    <tableColumn id="2" xr3:uid="{17135B02-9E98-47C6-B4BD-4C6C1C3BBC1C}" name="Energy Content Factor (GJ per unit of fuel)" dataDxfId="329">
      <calculatedColumnFormula array="1">Common_InputFunctions.Utility_DisplayArrayInTable(Fuel_SourceData.Fuel_Scope1Scope3EmissionFactorsStationaryLiquid_Data(), Table_Fuel_EFs_StationaryLiquid[[#Headers],[Fuel combusted]],0)</calculatedColumnFormula>
    </tableColumn>
    <tableColumn id="3" xr3:uid="{142EA494-DE90-422C-ADBF-83B7CC47A2F0}" name="Fuel unit" dataDxfId="328">
      <calculatedColumnFormula array="1">Common_InputFunctions.Utility_DisplayArrayInTable(Fuel_SourceData.Fuel_Scope1Scope3EmissionFactorsStationaryLiquid_Data(), Table_Fuel_EFs_StationaryLiquid[[#Headers],[Fuel combusted]],0)</calculatedColumnFormula>
    </tableColumn>
    <tableColumn id="4" xr3:uid="{830EEAFC-D43B-4A89-8593-9C9C21676FC9}" name="Scope 1 Emission Factor (kg CO2 - e / GJ) CO2" dataDxfId="327">
      <calculatedColumnFormula array="1">Common_InputFunctions.Utility_DisplayArrayInTable(Fuel_SourceData.Fuel_Scope1Scope3EmissionFactorsStationaryLiquid_Data(), Table_Fuel_EFs_StationaryLiquid[[#Headers],[Fuel combusted]],0)</calculatedColumnFormula>
    </tableColumn>
    <tableColumn id="5" xr3:uid="{B442DA88-CC3A-46D0-8151-C4F05EC9A347}" name="Scope 1 Emission Factor (kg CO2 - e / GJ) CH4" dataDxfId="326">
      <calculatedColumnFormula array="1">Common_InputFunctions.Utility_DisplayArrayInTable(Fuel_SourceData.Fuel_Scope1Scope3EmissionFactorsStationaryLiquid_Data(), Table_Fuel_EFs_StationaryLiquid[[#Headers],[Fuel combusted]],0)</calculatedColumnFormula>
    </tableColumn>
    <tableColumn id="6" xr3:uid="{51B8EEEB-1C44-4DB7-BB80-163871F50930}" name="Scope 1 Emission Factor (kg CO2 - e / GJ) N2O" dataDxfId="325">
      <calculatedColumnFormula array="1">Common_InputFunctions.Utility_DisplayArrayInTable(Fuel_SourceData.Fuel_Scope1Scope3EmissionFactorsStationaryLiquid_Data(), Table_Fuel_EFs_StationaryLiquid[[#Headers],[Fuel combusted]],0)</calculatedColumnFormula>
    </tableColumn>
    <tableColumn id="7" xr3:uid="{1637F946-9FE1-422A-A2EA-AA7B97E5F67D}" name="Scope 1 Emission Factor (kg CO2 - e / GJ) Combined gases" dataDxfId="324">
      <calculatedColumnFormula array="1">Common_InputFunctions.Utility_DisplayArrayInTable(Fuel_SourceData.Fuel_Scope1Scope3EmissionFactorsStationaryLiquid_Data(), Table_Fuel_EFs_StationaryLiquid[[#Headers],[Fuel combusted]],0)</calculatedColumnFormula>
    </tableColumn>
    <tableColumn id="8" xr3:uid="{14E0E748-E6AE-4BDE-91C8-1E61B10284F4}" name="Scope 3 Emission Factor (kg CO2 - e / GJ)" dataDxfId="323">
      <calculatedColumnFormula array="1">Common_InputFunctions.Utility_DisplayArrayInTable(Fuel_SourceData.Fuel_Scope1Scope3EmissionFactorsStationaryLiquid_Data(), Table_Fuel_EFs_StationaryLiquid[[#Headers],[Fuel combusted]],0)</calculatedColumnFormula>
    </tableColumn>
  </tableColumns>
  <tableStyleInfo name="Equation table"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4" xr:uid="{B2A11E05-29BE-4AEE-9F3B-9B4B4904A540}" name="Table_Fuel_EFs_Transport" displayName="Table_Fuel_EFs_Transport" ref="D9:L34" totalsRowShown="0" headerRowDxfId="322" dataDxfId="321">
  <autoFilter ref="D9:L34" xr:uid="{52589EE1-5F69-4B49-BF30-7629445C443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05D42444-BF74-4149-B519-41E15328CFD7}" name="Transport type" dataDxfId="320">
      <calculatedColumnFormula array="1">Common_InputFunctions.Utility_DisplayArrayInTable(Fuel_SourceData.Fuel_Scope1Scope3EmissionFactorsTransport_Data(), Table_Fuel_EFs_Transport[[#Headers],[Transport type]], 0)</calculatedColumnFormula>
    </tableColumn>
    <tableColumn id="2" xr3:uid="{2D52A23D-FD44-46FC-A282-2281801C2594}" name="Fuel combusted" dataDxfId="319">
      <calculatedColumnFormula array="1">Common_InputFunctions.Utility_DisplayArrayInTable(Fuel_SourceData.Fuel_Scope1Scope3EmissionFactorsTransport_Data(), Table_Fuel_EFs_Transport[[#Headers],[Transport type]], 0)</calculatedColumnFormula>
    </tableColumn>
    <tableColumn id="3" xr3:uid="{AD490078-C77D-482E-9C4B-56D7FC8F1A88}" name="Energy Content Factor (GJ per unit of fuel)" dataDxfId="318">
      <calculatedColumnFormula array="1">Common_InputFunctions.Utility_DisplayArrayInTable(Fuel_SourceData.Fuel_Scope1Scope3EmissionFactorsTransport_Data(), Table_Fuel_EFs_Transport[[#Headers],[Transport type]], 0)</calculatedColumnFormula>
    </tableColumn>
    <tableColumn id="4" xr3:uid="{F6BA41A3-BBDD-45C8-9189-882BFBAAA100}" name="Fuel unit" dataDxfId="317">
      <calculatedColumnFormula array="1">Common_InputFunctions.Utility_DisplayArrayInTable(Fuel_SourceData.Fuel_Scope1Scope3EmissionFactorsTransport_Data(), Table_Fuel_EFs_Transport[[#Headers],[Transport type]], 0)</calculatedColumnFormula>
    </tableColumn>
    <tableColumn id="8" xr3:uid="{A7FD4124-6596-47EB-BAE3-07A6E7809A30}" name="Scope 1 Emission Factor (kg CO2 - e / GJ) CO2" dataDxfId="316">
      <calculatedColumnFormula array="1">Common_InputFunctions.Utility_DisplayArrayInTable(Fuel_SourceData.Fuel_Scope1Scope3EmissionFactorsTransport_Data(), Table_Fuel_EFs_Transport[[#Headers],[Transport type]], 0)</calculatedColumnFormula>
    </tableColumn>
    <tableColumn id="9" xr3:uid="{54980971-CAD2-4C78-AA33-45104B91084B}" name="Scope 1 Emission Factor (kg CO2 - e / GJ) CH4" dataDxfId="315">
      <calculatedColumnFormula array="1">Common_InputFunctions.Utility_DisplayArrayInTable(Fuel_SourceData.Fuel_Scope1Scope3EmissionFactorsTransport_Data(), Table_Fuel_EFs_Transport[[#Headers],[Transport type]], 0)</calculatedColumnFormula>
    </tableColumn>
    <tableColumn id="10" xr3:uid="{D8E1F1BB-1501-4F4B-B5D4-340D903D53A3}" name="Scope 1 Emission Factor (kg CO2 - e / GJ) N2O" dataDxfId="314">
      <calculatedColumnFormula array="1">Common_InputFunctions.Utility_DisplayArrayInTable(Fuel_SourceData.Fuel_Scope1Scope3EmissionFactorsTransport_Data(), Table_Fuel_EFs_Transport[[#Headers],[Transport type]], 0)</calculatedColumnFormula>
    </tableColumn>
    <tableColumn id="11" xr3:uid="{70DED65C-6123-4355-B782-E86BFC04F7C7}" name="Scope 1 Emission Factor (kg CO2 - e / GJ) Combined gases" dataDxfId="313">
      <calculatedColumnFormula array="1">Common_InputFunctions.Utility_DisplayArrayInTable(Fuel_SourceData.Fuel_Scope1Scope3EmissionFactorsTransport_Data(), Table_Fuel_EFs_Transport[[#Headers],[Transport type]], 0)</calculatedColumnFormula>
    </tableColumn>
    <tableColumn id="12" xr3:uid="{84F16F9E-C988-4C5B-AB31-D7413278F3ED}" name="Scope 3 Emission Factor (kg CO2 - e / GJ)" dataDxfId="312">
      <calculatedColumnFormula array="1">Common_InputFunctions.Utility_DisplayArrayInTable(Fuel_SourceData.Fuel_Scope1Scope3EmissionFactorsTransport_Data(), Table_Fuel_EFs_Transport[[#Headers],[Transport type]], 0)</calculatedColumnFormula>
    </tableColumn>
  </tableColumns>
  <tableStyleInfo name="Equation table"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5" xr:uid="{A7CB067D-970A-4358-BDF4-7087FF87CD8C}" name="Table_FuelTypesPerUse" displayName="Table_FuelTypesPerUse" ref="D130:J139" totalsRowShown="0" headerRowDxfId="311" dataDxfId="310">
  <autoFilter ref="D130:J139" xr:uid="{5CE27F6B-DBAC-48D7-85B3-77E92E77D6C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047D22D-E620-41D7-A612-FE4AF679DBC8}" name="Generators" dataDxfId="309"/>
    <tableColumn id="2" xr3:uid="{3CFB3B0E-6A3D-4336-A2F5-7D46AE54C335}" name="Power standalone machinery or heating" dataDxfId="308"/>
    <tableColumn id="3" xr3:uid="{5AAA1831-5C5E-4C84-BCC2-2E78A9B5258B}" name="Aviation" dataDxfId="307"/>
    <tableColumn id="5" xr3:uid="{F1BD91A4-832F-462E-8EB0-A84767662BE4}" name="from the use of a limited number of NGER data inputs. It is suggested that for Tasmania the use of the Victorian emission factors is appropriate," dataDxfId="306"/>
    <tableColumn id="7" xr3:uid="{E9B8BAAB-717E-44AB-B2F8-3E5C76D4FFB0}" name="Off-road Agriculture and forestry equipment" dataDxfId="305" dataCellStyle="Content bold"/>
    <tableColumn id="8" xr3:uid="{63E9DB80-5FD4-4E13-BBFC-A35B40E9C88C}" name="Vessels" dataDxfId="304" dataCellStyle="Content bold"/>
    <tableColumn id="6" xr3:uid="{EF6CDD99-C67B-4B96-AB3B-8313822AD3CF}" name="General use" dataDxfId="303"/>
  </tableColumns>
  <tableStyleInfo name="Equation table"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6" xr:uid="{7655F673-F1DC-4F2C-9897-D0C005D6DA67}" name="Table_Fuel_EFs_StationaryGaseous" displayName="Table_Fuel_EFs_StationaryGaseous" ref="D86:J104" totalsRowShown="0" headerRowDxfId="302" dataDxfId="301">
  <autoFilter ref="D86:J104" xr:uid="{2DFA7F9E-607A-4EC9-89A5-ADF4BF63C85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A2C4C48D-8E9F-4ECE-97AB-DE8B0093AA25}" name="Fuel combusted" dataDxfId="300">
      <calculatedColumnFormula array="1">Common_InputFunctions.Utility_DisplayArrayInTable(Fuel_SourceData.Fuel_Scope1EmissionFactorsStationaryGaseous_Data(), Table_Fuel_EFs_StationaryGaseous[[#Headers],[Fuel combusted]],0)</calculatedColumnFormula>
    </tableColumn>
    <tableColumn id="2" xr3:uid="{E26A55E8-644D-4AD6-AD83-1DAA42CBCF6A}" name="Energy Content Factor (GJ per unit of fuel)" dataDxfId="299">
      <calculatedColumnFormula array="1">Common_InputFunctions.Utility_DisplayArrayInTable(Fuel_SourceData.Fuel_Scope1EmissionFactorsStationaryGaseous_Data(), Table_Fuel_EFs_StationaryGaseous[[#Headers],[Fuel combusted]],0)</calculatedColumnFormula>
    </tableColumn>
    <tableColumn id="3" xr3:uid="{702C6D98-E4D6-46CF-8238-3B54EA874782}" name="Fuel unit" dataDxfId="298">
      <calculatedColumnFormula array="1">Common_InputFunctions.Utility_DisplayArrayInTable(Fuel_SourceData.Fuel_Scope1EmissionFactorsStationaryGaseous_Data(), Table_Fuel_EFs_StationaryGaseous[[#Headers],[Fuel combusted]],0)</calculatedColumnFormula>
    </tableColumn>
    <tableColumn id="4" xr3:uid="{8BF4E51B-F5E8-441D-B6E5-B9541BCAABE0}" name="Scope 1 Emission Factor (kg CO2 - e / GJ) CO2" dataDxfId="297">
      <calculatedColumnFormula array="1">Common_InputFunctions.Utility_DisplayArrayInTable(Fuel_SourceData.Fuel_Scope1EmissionFactorsStationaryGaseous_Data(), Table_Fuel_EFs_StationaryGaseous[[#Headers],[Fuel combusted]],0)</calculatedColumnFormula>
    </tableColumn>
    <tableColumn id="5" xr3:uid="{FAB0A50E-7BE8-4056-B613-90FD432A58DF}" name="Scope 1 Emission Factor (kg CO2 - e / GJ) CH4" dataDxfId="296">
      <calculatedColumnFormula array="1">Common_InputFunctions.Utility_DisplayArrayInTable(Fuel_SourceData.Fuel_Scope1EmissionFactorsStationaryGaseous_Data(), Table_Fuel_EFs_StationaryGaseous[[#Headers],[Fuel combusted]],0)</calculatedColumnFormula>
    </tableColumn>
    <tableColumn id="6" xr3:uid="{623769C4-3831-41B2-A306-B386738B66FB}" name="Scope 1 Emission Factor (kg CO2 - e / GJ) N2O" dataDxfId="295">
      <calculatedColumnFormula array="1">Common_InputFunctions.Utility_DisplayArrayInTable(Fuel_SourceData.Fuel_Scope1EmissionFactorsStationaryGaseous_Data(), Table_Fuel_EFs_StationaryGaseous[[#Headers],[Fuel combusted]],0)</calculatedColumnFormula>
    </tableColumn>
    <tableColumn id="7" xr3:uid="{4DE65DCF-8BFE-460E-95AC-F0D72628AF0D}" name="Scope 1 Emission Factor (kg CO2 - e / GJ) Combined gases" dataDxfId="294">
      <calculatedColumnFormula array="1">Common_InputFunctions.Utility_DisplayArrayInTable(Fuel_SourceData.Fuel_Scope1EmissionFactorsStationaryGaseous_Data(), Table_Fuel_EFs_StationaryGaseous[[#Headers],[Fuel combusted]],0)</calculatedColumnFormula>
    </tableColumn>
  </tableColumns>
  <tableStyleInfo name="Equation table"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7" xr:uid="{0BC83DF7-3F77-4B91-8495-EB02C52D47FF}" name="Table_Fuel_EFs_StationaryGaseous34" displayName="Table_Fuel_EFs_StationaryGaseous34" ref="D112:G120" headerRowDxfId="293" totalsRowDxfId="292">
  <autoFilter ref="D112:G120" xr:uid="{7D6CE29D-2354-4FAC-9965-9A66FFA42416}">
    <filterColumn colId="0" hiddenButton="1"/>
    <filterColumn colId="1" hiddenButton="1"/>
    <filterColumn colId="2" hiddenButton="1"/>
    <filterColumn colId="3" hiddenButton="1"/>
  </autoFilter>
  <tableColumns count="4">
    <tableColumn id="1" xr3:uid="{19B5C8CF-5208-4996-AE39-351D2F2A00C4}" name="State or territory" totalsRowDxfId="291">
      <calculatedColumnFormula array="1">Common_InputFunctions.Utility_DisplayArrayInTable(Fuel_SourceData.Fuel_Scope3EmissionFactorsStationaryGaseous_Data(), Table_Fuel_EFs_StationaryGaseous34[[#Headers],[State or territory]],0)</calculatedColumnFormula>
    </tableColumn>
    <tableColumn id="2" xr3:uid="{1881D458-7AD7-4312-A19E-BC4FDE6286FA}" name="Metro" totalsRowDxfId="290">
      <calculatedColumnFormula array="1">Common_InputFunctions.Utility_DisplayArrayInTable(Fuel_SourceData.Fuel_Scope3EmissionFactorsStationaryGaseous_Data(), Table_Fuel_EFs_StationaryGaseous34[[#Headers],[State or territory]],0)</calculatedColumnFormula>
    </tableColumn>
    <tableColumn id="3" xr3:uid="{9C1015B4-AA9A-4E6E-9EDD-7ADD27589D91}" name="Non-metro" totalsRowDxfId="289">
      <calculatedColumnFormula array="1">Common_InputFunctions.Utility_DisplayArrayInTable(Fuel_SourceData.Fuel_Scope3EmissionFactorsStationaryGaseous_Data(), Table_Fuel_EFs_StationaryGaseous34[[#Headers],[State or territory]],0)</calculatedColumnFormula>
    </tableColumn>
    <tableColumn id="4" xr3:uid="{76D83DE3-B931-4FA0-9ABB-5FE79524EA04}" name="Column1" dataDxfId="0" totalsRowDxfId="1" dataCellStyle="Content normal"/>
  </tableColumns>
  <tableStyleInfo name="Equation table"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8" xr:uid="{CAA2FB3F-9E07-45B2-8682-89230C543974}" name="Table_FuelTypes_Units" displayName="Table_FuelTypes_Units" ref="D142:E162" totalsRowShown="0">
  <autoFilter ref="D142:E162" xr:uid="{74386805-E5CF-44F9-982C-CBCADB323E30}">
    <filterColumn colId="0" hiddenButton="1"/>
    <filterColumn colId="1" hiddenButton="1"/>
  </autoFilter>
  <tableColumns count="2">
    <tableColumn id="1" xr3:uid="{FE42109A-E008-4C28-9B6E-EFE68B2270BF}" name="Fuel type"/>
    <tableColumn id="2" xr3:uid="{E49310F2-3530-4687-B7C0-DF7BDE36ECC5}" name="Unit"/>
  </tableColumns>
  <tableStyleInfo name="Equation table"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9" xr:uid="{40D4440D-8307-4194-8353-A75DA6A8BCCE}" name="Table_SourceData_Fuel_TransportOffroad" displayName="Table_SourceData_Fuel_TransportOffroad" ref="D39:J43" totalsRowShown="0">
  <autoFilter ref="D39:J43" xr:uid="{456A2798-6FBD-4412-969A-03F7173DF55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A503ABF5-F764-48AF-9E89-C51448B9FDC8}" name="Transport type t">
      <calculatedColumnFormula array="1">Common_InputFunctions.Utility_DisplayArrayInTable(Fuel_SourceData.Fuel_Scope1Scope3EmissionFactorsTransportOffRoad_Data(), Table_SourceData_Fuel_TransportOffroad[[#Headers],[Transport type t]],0)</calculatedColumnFormula>
    </tableColumn>
    <tableColumn id="2" xr3:uid="{0D6CCE62-97F9-4D39-ACFB-9F6033936215}" name="Fuel type q" dataDxfId="288"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3" xr3:uid="{71431B35-182D-4086-9522-40F43060DC98}" name="ECTrans,q (GJ/kL)" dataDxfId="287"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4" xr3:uid="{AC260234-A401-416E-8776-0AA7C6852FBE}" name="Scope 1 CO2 EFTran,1,tqg (kg CO2-e/GJ)" dataDxfId="286"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5" xr3:uid="{EF37A649-4B07-4C23-B78B-D39F902B6214}" name="Scope 1 CH4 EFTran,1,tgg (kg CO2-e/GJ)" dataDxfId="285"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6" xr3:uid="{F7154344-1C00-4C26-AACA-97F4F4649C72}" name="Scope 1 N2O EFTran,1,tgg (kg CO2-e/GJ)" dataDxfId="284"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7" xr3:uid="{CBD7B118-9F2D-4EDD-AF11-D82AE7E79835}" name="Scope 3 EFTrans,3,q (kg CO2-e/GJ)" dataDxfId="283"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s>
  <tableStyleInfo name="Equation table"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2" xr:uid="{01BEC493-76A8-429F-A61F-200574FC330B}" name="Table_SourceData_Poultry_DietProperties" displayName="Table_SourceData_Poultry_DietProperties" ref="D8:H13" totalsRowShown="0">
  <autoFilter ref="D8:H13" xr:uid="{C0EBB88F-78E2-4301-A115-5D57142F74BA}">
    <filterColumn colId="0" hiddenButton="1"/>
    <filterColumn colId="1" hiddenButton="1"/>
    <filterColumn colId="2" hiddenButton="1"/>
    <filterColumn colId="3" hiddenButton="1"/>
    <filterColumn colId="4" hiddenButton="1"/>
  </autoFilter>
  <tableColumns count="5">
    <tableColumn id="1" xr3:uid="{B243E508-49FC-4246-9E6B-7EDB8A9BBFB3}" name="Nutrient analysis">
      <calculatedColumnFormula array="1">Common_InputFunctions.Utility_DisplayArrayInTable(SourceData_Poultry.SourceData_Poultry_DietProperties_Data(), Table_SourceData_Poultry_DietProperties[[#Headers],[Nutrient analysis]], 0)</calculatedColumnFormula>
    </tableColumn>
    <tableColumn id="2" xr3:uid="{23175F6D-37B0-4354-BDA5-FBE9A4BCC2B3}" name="Layers" dataDxfId="282" dataCellStyle="Content normal">
      <calculatedColumnFormula array="1">Common_InputFunctions.Utility_DisplayArrayInTable(SourceData_Poultry.SourceData_Poultry_DietProperties_Data(), Table_SourceData_Poultry_DietProperties[[#Headers],[Nutrient analysis]], 0)</calculatedColumnFormula>
    </tableColumn>
    <tableColumn id="3" xr3:uid="{9298735A-014E-429B-97AA-27FF82E123E1}" name="Meat chicken growers" dataDxfId="281" dataCellStyle="Content normal">
      <calculatedColumnFormula array="1">Common_InputFunctions.Utility_DisplayArrayInTable(SourceData_Poultry.SourceData_Poultry_DietProperties_Data(), Table_SourceData_Poultry_DietProperties[[#Headers],[Nutrient analysis]], 0)</calculatedColumnFormula>
    </tableColumn>
    <tableColumn id="4" xr3:uid="{39D32F10-4BD4-435F-8248-D8996332694F}" name="Meat chicken breeder" dataDxfId="280" dataCellStyle="Content normal">
      <calculatedColumnFormula array="1">Common_InputFunctions.Utility_DisplayArrayInTable(SourceData_Poultry.SourceData_Poultry_DietProperties_Data(), Table_SourceData_Poultry_DietProperties[[#Headers],[Nutrient analysis]], 0)</calculatedColumnFormula>
    </tableColumn>
    <tableColumn id="5" xr3:uid="{61B74CCD-847D-4972-9F00-DE8FE0F6DFEE}" name="Meat other" dataDxfId="279" dataCellStyle="Content normal">
      <calculatedColumnFormula array="1">Common_InputFunctions.Utility_DisplayArrayInTable(SourceData_Poultry.SourceData_Poultry_DietProperties_Data(), Table_SourceData_Poultry_DietProperties[[#Headers],[Nutrient analysis]], 0)</calculatedColumnFormula>
    </tableColumn>
  </tableColumns>
  <tableStyleInfo name="Equation table"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3" xr:uid="{48B18611-37DB-4CA5-9B84-2F0273854A82}" name="Table_SourceData_Poultry_MethaneEmissionsPotential" displayName="Table_SourceData_Poultry_MethaneEmissionsPotential" ref="D19:E21" totalsRowShown="0">
  <autoFilter ref="D19:E21" xr:uid="{B337049C-2437-4EFA-AAFD-35A825C8877D}">
    <filterColumn colId="0" hiddenButton="1"/>
    <filterColumn colId="1" hiddenButton="1"/>
  </autoFilter>
  <tableColumns count="2">
    <tableColumn id="1" xr3:uid="{BE911D85-5E26-48EB-AB01-5F5CCD067473}" name="Poultry class">
      <calculatedColumnFormula array="1">Common_InputFunctions.Utility_DisplayArrayInTable(SourceData_Poultry.SourceData_Poultry_MethaneEmissionsPotential_Data(), Table_SourceData_Poultry_MethaneEmissionsPotential[[#Headers],[Poultry class]], 0)</calculatedColumnFormula>
    </tableColumn>
    <tableColumn id="2" xr3:uid="{6355A21C-7504-49C5-9034-B860CE14DF3C}" name="B0" dataDxfId="278" dataCellStyle="Content normal">
      <calculatedColumnFormula array="1">Common_InputFunctions.Utility_DisplayArrayInTable(SourceData_Poultry.SourceData_Poultry_MethaneEmissionsPotential_Data(), Table_SourceData_Poultry_MethaneEmissionsPotential[[#Headers],[Poultry class]], 0)</calculatedColumnFormula>
    </tableColumn>
  </tableColumns>
  <tableStyleInfo name="Equation table"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4" xr:uid="{097DEF3E-79E6-464F-B26E-6E80546B7125}" name="Table_SourceData_PoultryMMS" displayName="Table_SourceData_PoultryMMS" ref="D28:E38" totalsRowShown="0">
  <autoFilter ref="D28:E38" xr:uid="{AF7090B5-6718-41B7-9B26-A00EDB46BAC3}">
    <filterColumn colId="0" hiddenButton="1"/>
    <filterColumn colId="1" hiddenButton="1"/>
  </autoFilter>
  <tableColumns count="2">
    <tableColumn id="1" xr3:uid="{20B2DFD1-E5CD-4A0A-994B-4AC73BFECCDF}" name="MMS"/>
    <tableColumn id="2" xr3:uid="{922307C7-552C-4EB0-8D2C-DCB74655EE65}" name="Symbol and MMS" dataDxfId="277" dataCellStyle="Content normal"/>
  </tableColumns>
  <tableStyleInfo name="Equation table"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5" xr:uid="{A67DFED4-3AE0-44D4-9750-AC444DB39D4E}" name="Table_SourceData_Poultry_ProductionSystems" displayName="Table_SourceData_Poultry_ProductionSystems" ref="D44:D47" totalsRowShown="0">
  <autoFilter ref="D44:D47" xr:uid="{5810106E-36C6-489E-8962-5DE08C5F2EAC}">
    <filterColumn colId="0" hiddenButton="1"/>
  </autoFilter>
  <tableColumns count="1">
    <tableColumn id="1" xr3:uid="{9031EEAC-D1FE-4EAE-B389-DDFBB72F32F2}" name="Production system">
      <calculatedColumnFormula array="1">Common_InputFunctions.Utility_DisplayArrayInTable(SourceData_Poultry.SourceData_Poultry_ProductionSystems_Data(), Table_SourceData_Poultry_ProductionSystems[[#Headers],[Production system]], 0)</calculatedColumnFormula>
    </tableColumn>
  </tableColumns>
  <tableStyleInfo name="Equation table"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6" xr:uid="{913F6249-6A4C-4955-9F9A-A925CF2E2E61}" name="Table_SourceData_Poultry_MMSMCF" displayName="Table_SourceData_Poultry_MMSMCF" ref="D59:N68" totalsRowShown="0">
  <autoFilter ref="D59:N68" xr:uid="{F26BAEA5-5A43-49B7-A0AB-1CF0D30AA76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12421CCF-1CFC-42C1-80D1-E4A99C0D42D2}" name="MMS m">
      <calculatedColumnFormula array="1">Common_InputFunctions.Utility_DisplayArrayInTable(SourceData_Poultry.SourceData_Poultry_MCF_Data(), Table_SourceData_Poultry_MMSMCF[[#Headers],[MMS m]], 0)</calculatedColumnFormula>
    </tableColumn>
    <tableColumn id="2" xr3:uid="{F362A1BC-4F38-4EEF-9CE3-BE4CDFB64280}" name="All states" dataDxfId="276" dataCellStyle="Content normal">
      <calculatedColumnFormula array="1">Common_InputFunctions.Utility_DisplayArrayInTable(SourceData_Poultry.SourceData_Poultry_MCF_Data(), Table_SourceData_Poultry_MMSMCF[[#Headers],[MMS m]], 0)</calculatedColumnFormula>
    </tableColumn>
    <tableColumn id="3" xr3:uid="{B2EC8149-896E-4AE4-9361-F019709883E6}" name="NSW" dataDxfId="275" dataCellStyle="Content normal">
      <calculatedColumnFormula array="1">Common_InputFunctions.Utility_DisplayArrayInTable(SourceData_Poultry.SourceData_Poultry_MCF_Data(), Table_SourceData_Poultry_MMSMCF[[#Headers],[MMS m]], 0)</calculatedColumnFormula>
    </tableColumn>
    <tableColumn id="4" xr3:uid="{9C9B79C4-92C9-410A-9B20-71D45143000E}" name="ACT" dataDxfId="274" dataCellStyle="Content normal">
      <calculatedColumnFormula array="1">Common_InputFunctions.Utility_DisplayArrayInTable(SourceData_Poultry.SourceData_Poultry_MCF_Data(), Table_SourceData_Poultry_MMSMCF[[#Headers],[MMS m]], 0)</calculatedColumnFormula>
    </tableColumn>
    <tableColumn id="5" xr3:uid="{7E7CF863-1E33-40E7-9AAF-DD1F59BC22F0}" name="QLD" dataDxfId="273" dataCellStyle="Content normal">
      <calculatedColumnFormula array="1">Common_InputFunctions.Utility_DisplayArrayInTable(SourceData_Poultry.SourceData_Poultry_MCF_Data(), Table_SourceData_Poultry_MMSMCF[[#Headers],[MMS m]], 0)</calculatedColumnFormula>
    </tableColumn>
    <tableColumn id="6" xr3:uid="{C7C81061-FC02-44C9-AE76-88C33EF9ECE4}" name="NT" dataDxfId="272" dataCellStyle="Content normal">
      <calculatedColumnFormula array="1">Common_InputFunctions.Utility_DisplayArrayInTable(SourceData_Poultry.SourceData_Poultry_MCF_Data(), Table_SourceData_Poultry_MMSMCF[[#Headers],[MMS m]], 0)</calculatedColumnFormula>
    </tableColumn>
    <tableColumn id="7" xr3:uid="{A96B1204-56BE-456D-BBDB-84567033D573}" name="VIC" dataDxfId="271" dataCellStyle="Content normal">
      <calculatedColumnFormula array="1">Common_InputFunctions.Utility_DisplayArrayInTable(SourceData_Poultry.SourceData_Poultry_MCF_Data(), Table_SourceData_Poultry_MMSMCF[[#Headers],[MMS m]], 0)</calculatedColumnFormula>
    </tableColumn>
    <tableColumn id="8" xr3:uid="{5011B34B-A550-40FF-8791-9EF6D4239FA9}" name="SA" dataDxfId="270" dataCellStyle="Content normal">
      <calculatedColumnFormula array="1">Common_InputFunctions.Utility_DisplayArrayInTable(SourceData_Poultry.SourceData_Poultry_MCF_Data(), Table_SourceData_Poultry_MMSMCF[[#Headers],[MMS m]], 0)</calculatedColumnFormula>
    </tableColumn>
    <tableColumn id="9" xr3:uid="{ABD9C088-4987-4602-924F-BC3ABF983CE8}" name="WA" dataDxfId="269" dataCellStyle="Content normal">
      <calculatedColumnFormula array="1">Common_InputFunctions.Utility_DisplayArrayInTable(SourceData_Poultry.SourceData_Poultry_MCF_Data(), Table_SourceData_Poultry_MMSMCF[[#Headers],[MMS m]], 0)</calculatedColumnFormula>
    </tableColumn>
    <tableColumn id="10" xr3:uid="{E2F63026-59B6-4AA6-8B42-55A285E700B6}" name="TAS" dataDxfId="268" dataCellStyle="Content normal">
      <calculatedColumnFormula array="1">Common_InputFunctions.Utility_DisplayArrayInTable(SourceData_Poultry.SourceData_Poultry_MCF_Data(), Table_SourceData_Poultry_MMSMCF[[#Headers],[MMS m]], 0)</calculatedColumnFormula>
    </tableColumn>
    <tableColumn id="11" xr3:uid="{F552DD38-091B-4E46-A0C4-2B1F8CBC310B}" name="NIR definition" dataDxfId="267" dataCellStyle="Content normal">
      <calculatedColumnFormula array="1">Common_InputFunctions.Utility_DisplayArrayInTable(SourceData_Poultry.SourceData_Poultry_MCF_Data(), Table_SourceData_Poultry_MMSMCF[[#Headers],[MMS m]], 0)</calculatedColumnFormula>
    </tableColumn>
  </tableColumns>
  <tableStyleInfo name="Equation table"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7" xr:uid="{AC203AFF-F289-4AFA-ADE6-8A79C218688E}" name="Table_SourceData_PoultryMMSSTage1" displayName="Table_SourceData_PoultryMMSSTage1" ref="G28:H33" totalsRowShown="0">
  <autoFilter ref="G28:H33" xr:uid="{DEE6EA5E-2B4D-4BFE-9875-EACD468C453A}">
    <filterColumn colId="0" hiddenButton="1"/>
    <filterColumn colId="1" hiddenButton="1"/>
  </autoFilter>
  <tableColumns count="2">
    <tableColumn id="1" xr3:uid="{473E2AAF-5ED3-49F1-92FA-7AEA0F27141A}" name="MMS"/>
    <tableColumn id="2" xr3:uid="{C80C5D24-CEDC-4CBE-B580-CA0FC8F4D827}" name="Symbol and MMS" dataDxfId="266" dataCellStyle="Content normal"/>
  </tableColumns>
  <tableStyleInfo name="Equation table"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8" xr:uid="{D43D64DD-D6AC-4D34-B66B-7F4BC2CA8A14}" name="Table_SourceData_PoultryMMSStage2" displayName="Table_SourceData_PoultryMMSStage2" ref="J28:K34" totalsRowShown="0">
  <autoFilter ref="J28:K34" xr:uid="{EC4CB048-5E1F-4D26-9F6C-B04ADADF31C3}">
    <filterColumn colId="0" hiddenButton="1"/>
    <filterColumn colId="1" hiddenButton="1"/>
  </autoFilter>
  <tableColumns count="2">
    <tableColumn id="1" xr3:uid="{4C0C6BD8-DEE6-4912-8A7F-AD782FF2912D}" name="MMS"/>
    <tableColumn id="2" xr3:uid="{38FF62E3-2DE9-46ED-B607-80EC3AE32074}" name="Symbol and MMS" dataDxfId="265" dataCellStyle="Content normal"/>
  </tableColumns>
  <tableStyleInfo name="Equation table"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9" xr:uid="{C1AE9286-2F72-4C25-B52D-8CCF46A972C0}" name="Table_SourceData_Poultry_MMSVSL" displayName="Table_SourceData_Poultry_MMSVSL" ref="D75:F78" totalsRowShown="0">
  <autoFilter ref="D75:F78" xr:uid="{9227BAFF-4BC8-4D7F-BDAE-6BC460B8A0CA}">
    <filterColumn colId="0" hiddenButton="1"/>
    <filterColumn colId="1" hiddenButton="1"/>
    <filterColumn colId="2" hiddenButton="1"/>
  </autoFilter>
  <tableColumns count="3">
    <tableColumn id="1" xr3:uid="{0B9BDCB1-3007-401C-8A94-6811634BCAC7}" name="MMS">
      <calculatedColumnFormula array="1">Common_InputFunctions.Utility_DisplayArrayInTable(SourceData_Poultry.SourceData_Poultry_VSL_Data(), Table_SourceData_Poultry_MMSVSL[[#Headers],[MMS]], 0)</calculatedColumnFormula>
    </tableColumn>
    <tableColumn id="2" xr3:uid="{16DF633F-896B-40B9-BD46-D97C1FE6420F}" name="VSL" dataDxfId="264" dataCellStyle="Content normal">
      <calculatedColumnFormula array="1">Common_InputFunctions.Utility_DisplayArrayInTable(SourceData_Poultry.SourceData_Poultry_VSL_Data(), Table_SourceData_Poultry_MMSVSL[[#Headers],[MMS]], 0)</calculatedColumnFormula>
    </tableColumn>
    <tableColumn id="3" xr3:uid="{305DE322-FE24-47B6-9DAE-00379ACBB8F4}" name="NIR definition" dataDxfId="263" dataCellStyle="Content normal">
      <calculatedColumnFormula array="1">Common_InputFunctions.Utility_DisplayArrayInTable(SourceData_Poultry.SourceData_Poultry_VSL_Data(), Table_SourceData_Poultry_MMSVSL[[#Headers],[MMS]], 0)</calculatedColumnFormula>
    </tableColumn>
  </tableColumns>
  <tableStyleInfo name="Equation table"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0" xr:uid="{EA93269B-A23B-4F78-BF0E-0F3B8CBE0F57}" name="Table_SourceData_Poultry_FracGASM" displayName="Table_SourceData_Poultry_FracGASM" ref="D84:F91" totalsRowShown="0">
  <autoFilter ref="D84:F91" xr:uid="{9BA131A3-0B04-413F-9D7A-86F5FB660776}">
    <filterColumn colId="0" hiddenButton="1"/>
    <filterColumn colId="1" hiddenButton="1"/>
    <filterColumn colId="2" hiddenButton="1"/>
  </autoFilter>
  <tableColumns count="3">
    <tableColumn id="1" xr3:uid="{AC102392-0468-476E-8D83-76CB916B4E49}" name="MMSm">
      <calculatedColumnFormula array="1">Common_InputFunctions.Utility_DisplayArrayInTable(SourceData_Poultry.SourceData_Poultry_FracGASMmT_Data(), Table_SourceData_Poultry_FracGASM[[#Headers],[MMSm]], 0)</calculatedColumnFormula>
    </tableColumn>
    <tableColumn id="2" xr3:uid="{823514F6-DBA5-4DA5-A6D4-58D76E2F7CA0}" name="FracGASMmT" dataDxfId="262" dataCellStyle="Content normal">
      <calculatedColumnFormula array="1">Common_InputFunctions.Utility_DisplayArrayInTable(SourceData_Poultry.SourceData_Poultry_FracGASMmT_Data(), Table_SourceData_Poultry_FracGASM[[#Headers],[MMSm]], 0)</calculatedColumnFormula>
    </tableColumn>
    <tableColumn id="3" xr3:uid="{F8AF52F6-FA64-47AF-AC30-3C025BF8D5AC}" name="NIR reference" dataDxfId="261" dataCellStyle="Content normal">
      <calculatedColumnFormula array="1">Common_InputFunctions.Utility_DisplayArrayInTable(SourceData_Poultry.SourceData_Poultry_FracGASMmT_Data(), Table_SourceData_Poultry_FracGASM[[#Headers],[MMSm]], 0)</calculatedColumnFormula>
    </tableColumn>
  </tableColumns>
  <tableStyleInfo name="Equation table"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1" xr:uid="{D1327424-A4EE-4DA1-8A44-DEC7AD2F0D25}" name="Table_SourceData_Poultry_EFmT" displayName="Table_SourceData_Poultry_EFmT" ref="D97:F105" totalsRowShown="0">
  <autoFilter ref="D97:F105" xr:uid="{1DCEB6AC-6595-49CF-B6BF-C7F6309D3288}">
    <filterColumn colId="0" hiddenButton="1"/>
    <filterColumn colId="1" hiddenButton="1"/>
    <filterColumn colId="2" hiddenButton="1"/>
  </autoFilter>
  <tableColumns count="3">
    <tableColumn id="1" xr3:uid="{CDACA4B2-E1B4-4A3E-A4CA-6ED6023CBDEB}" name="MMSm">
      <calculatedColumnFormula array="1">Common_InputFunctions.Utility_DisplayArrayInTable(SourceData_Poultry.SourceData_Poultry_EFmT_Data(),Table_SourceData_Poultry_EFmT[[#Headers],[MMSm]], 0)</calculatedColumnFormula>
    </tableColumn>
    <tableColumn id="2" xr3:uid="{EAF1EE93-03E5-4363-A7A7-F0D02E6E53EA}" name="EFmT" dataDxfId="260" dataCellStyle="Content normal">
      <calculatedColumnFormula array="1">Common_InputFunctions.Utility_DisplayArrayInTable(SourceData_Poultry.SourceData_Poultry_EFmT_Data(),Table_SourceData_Poultry_EFmT[[#Headers],[MMSm]], 0)</calculatedColumnFormula>
    </tableColumn>
    <tableColumn id="3" xr3:uid="{0060EB7C-88C2-4889-A262-7E5B5B84A632}" name="NIR reference" dataDxfId="259" dataCellStyle="Content normal">
      <calculatedColumnFormula array="1">Common_InputFunctions.Utility_DisplayArrayInTable(SourceData_Poultry.SourceData_Poultry_EFmT_Data(),Table_SourceData_Poultry_EFmT[[#Headers],[MMSm]], 0)</calculatedColumnFormula>
    </tableColumn>
  </tableColumns>
  <tableStyleInfo name="Equation table"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2" xr:uid="{C1D4E341-8FD7-41B8-8CE4-BE37EDB2615A}" name="Table_SourceData_Poultry_Liveweights" displayName="Table_SourceData_Poultry_Liveweights" ref="D119:E123" totalsRowShown="0">
  <autoFilter ref="D119:E123" xr:uid="{B73BE2B0-042A-4533-9ECF-5538D80194F7}">
    <filterColumn colId="0" hiddenButton="1"/>
    <filterColumn colId="1" hiddenButton="1"/>
  </autoFilter>
  <tableColumns count="2">
    <tableColumn id="1" xr3:uid="{B429BF07-C5EA-4E17-AD84-6F9F0A374128}" name="Livestock class j">
      <calculatedColumnFormula array="1">Common_InputFunctions.Utility_DisplayArrayInTable(SourceData_Poultry.SourceData_Poultry_Liveweights_Data(),Table_SourceData_Poultry_Liveweights[[#Headers],[Livestock class j]],0)</calculatedColumnFormula>
    </tableColumn>
    <tableColumn id="2" xr3:uid="{B1A017F9-EC3C-4B87-81A0-EB541B7710E3}" name="Average liveweight (kg)" dataDxfId="258" dataCellStyle="Content normal">
      <calculatedColumnFormula array="1">Common_InputFunctions.Utility_DisplayArrayInTable(SourceData_Poultry.SourceData_Poultry_Liveweights_Data(),Table_SourceData_Poultry_Liveweights[[#Headers],[Livestock class j]],0)</calculatedColumnFormula>
    </tableColumn>
  </tableColumns>
  <tableStyleInfo name="Equation table"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2A95AA1-30BE-4370-9AA8-09ABA823E0EF}" name="Table_SourceData_Swine_VolatileSolids" displayName="Table_SourceData_Swine_VolatileSolids" ref="D67:E71" totalsRowShown="0">
  <autoFilter ref="D67:E71" xr:uid="{9DEEF5DA-4392-40D7-9550-EA401E64C221}">
    <filterColumn colId="0" hiddenButton="1"/>
    <filterColumn colId="1" hiddenButton="1"/>
  </autoFilter>
  <tableColumns count="2">
    <tableColumn id="1" xr3:uid="{D69CF723-052B-412C-AE49-C79FDCBF9D62}" name="Class">
      <calculatedColumnFormula array="1">Common_InputFunctions.Utility_DisplayArrayInTable(SourceData_Swine.SourceData_Swine_VolatileSolids_Data(), Table_SourceData_Swine_VolatileSolids[[#Headers],[Class]], 0)</calculatedColumnFormula>
    </tableColumn>
    <tableColumn id="2" xr3:uid="{73416B29-D02D-4982-AEE0-FBA745B04874}" name="VSj" dataDxfId="257" dataCellStyle="Content normal">
      <calculatedColumnFormula array="1">Common_InputFunctions.Utility_DisplayArrayInTable(SourceData_Swine.SourceData_Swine_VolatileSolids_Data(), Table_SourceData_Swine_VolatileSolids[[#Headers],[Class]], 0)</calculatedColumnFormula>
    </tableColumn>
  </tableColumns>
  <tableStyleInfo name="Equation table"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9EAE3B60-21B2-4514-B5D4-37965F4BCFA0}" name="Table_SourceData_Swine_MMSMCF" displayName="Table_SourceData_Swine_MMSMCF" ref="D28:M35" totalsRowShown="0">
  <autoFilter ref="D28:M35" xr:uid="{8BFD9E79-6224-4B04-B002-84DC46086D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A1D6565-704D-4A35-AFD0-08B07309FD4A}" name="MMS">
      <calculatedColumnFormula array="1">Common_InputFunctions.Utility_DisplayArrayInTable(SourceData_Swine.SourceData_Swine_MMS_MCFs_Data(),Table_SourceData_Swine_MMSMCF[[#Headers],[MMS]],0)</calculatedColumnFormula>
    </tableColumn>
    <tableColumn id="2" xr3:uid="{0C942164-E75B-4A41-8D90-261398420464}" name="NSW" dataDxfId="256" dataCellStyle="Content normal">
      <calculatedColumnFormula array="1">Common_InputFunctions.Utility_DisplayArrayInTable(SourceData_Swine.SourceData_Swine_MMS_MCFs_Data(),Table_SourceData_Swine_MMSMCF[[#Headers],[MMS]],0)</calculatedColumnFormula>
    </tableColumn>
    <tableColumn id="3" xr3:uid="{04C2B513-4EAE-44FD-8A07-08B7FBC04904}" name="ACT" dataDxfId="255" dataCellStyle="Content normal">
      <calculatedColumnFormula array="1">Common_InputFunctions.Utility_DisplayArrayInTable(SourceData_Swine.SourceData_Swine_MMS_MCFs_Data(),Table_SourceData_Swine_MMSMCF[[#Headers],[MMS]],0)</calculatedColumnFormula>
    </tableColumn>
    <tableColumn id="4" xr3:uid="{F354B2DA-5E1A-4DFF-B341-6567D5CB6E06}" name="QLD" dataDxfId="254" dataCellStyle="Content normal">
      <calculatedColumnFormula array="1">Common_InputFunctions.Utility_DisplayArrayInTable(SourceData_Swine.SourceData_Swine_MMS_MCFs_Data(),Table_SourceData_Swine_MMSMCF[[#Headers],[MMS]],0)</calculatedColumnFormula>
    </tableColumn>
    <tableColumn id="5" xr3:uid="{11F38387-B241-45B7-87FE-D576DB0F5BBA}" name="NT" dataDxfId="253" dataCellStyle="Content normal">
      <calculatedColumnFormula array="1">Common_InputFunctions.Utility_DisplayArrayInTable(SourceData_Swine.SourceData_Swine_MMS_MCFs_Data(),Table_SourceData_Swine_MMSMCF[[#Headers],[MMS]],0)</calculatedColumnFormula>
    </tableColumn>
    <tableColumn id="6" xr3:uid="{489736B3-2194-432E-8A72-6308A6328611}" name="SA" dataDxfId="252" dataCellStyle="Content normal">
      <calculatedColumnFormula array="1">Common_InputFunctions.Utility_DisplayArrayInTable(SourceData_Swine.SourceData_Swine_MMS_MCFs_Data(),Table_SourceData_Swine_MMSMCF[[#Headers],[MMS]],0)</calculatedColumnFormula>
    </tableColumn>
    <tableColumn id="7" xr3:uid="{3474C5D7-E249-4D40-ABF7-E23197B79982}" name="TAS" dataDxfId="251" dataCellStyle="Content normal">
      <calculatedColumnFormula array="1">Common_InputFunctions.Utility_DisplayArrayInTable(SourceData_Swine.SourceData_Swine_MMS_MCFs_Data(),Table_SourceData_Swine_MMSMCF[[#Headers],[MMS]],0)</calculatedColumnFormula>
    </tableColumn>
    <tableColumn id="8" xr3:uid="{DE3996D8-6CBF-4C83-A5FC-B0044E918384}" name="VIC" dataDxfId="250" dataCellStyle="Content normal">
      <calculatedColumnFormula array="1">Common_InputFunctions.Utility_DisplayArrayInTable(SourceData_Swine.SourceData_Swine_MMS_MCFs_Data(),Table_SourceData_Swine_MMSMCF[[#Headers],[MMS]],0)</calculatedColumnFormula>
    </tableColumn>
    <tableColumn id="9" xr3:uid="{0DBB2A19-AF71-4BD3-858D-CC8064EF3F5A}" name="WA" dataDxfId="249" dataCellStyle="Content normal">
      <calculatedColumnFormula array="1">Common_InputFunctions.Utility_DisplayArrayInTable(SourceData_Swine.SourceData_Swine_MMS_MCFs_Data(),Table_SourceData_Swine_MMSMCF[[#Headers],[MMS]],0)</calculatedColumnFormula>
    </tableColumn>
    <tableColumn id="10" xr3:uid="{E23875E6-15A7-4F31-B62B-19B82BF7A8AE}" name="NIR definition" dataDxfId="248" dataCellStyle="Content normal">
      <calculatedColumnFormula array="1">Common_InputFunctions.Utility_DisplayArrayInTable(SourceData_Swine.SourceData_Swine_MMS_MCFs_Data(),Table_SourceData_Swine_MMSMCF[[#Headers],[MMS]],0)</calculatedColumnFormula>
    </tableColumn>
  </tableColumns>
  <tableStyleInfo name="Equation table"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12CD3280-C9FC-47EE-B96F-A0AC633FF19A}" name="Table_SourceData_SwineMMS" displayName="Table_SourceData_SwineMMS" ref="D40:E47" totalsRowShown="0">
  <autoFilter ref="D40:E47" xr:uid="{42F7033B-606B-4A24-9223-A30737FDC1FE}">
    <filterColumn colId="0" hiddenButton="1"/>
    <filterColumn colId="1" hiddenButton="1"/>
  </autoFilter>
  <tableColumns count="2">
    <tableColumn id="1" xr3:uid="{DDE7902F-5F27-4ADE-A2CB-D020FC67439A}" name="MMS"/>
    <tableColumn id="2" xr3:uid="{41D13592-D4EA-4CDD-A05A-47A2A48E5808}" name="Symbol and MMS" dataDxfId="247" dataCellStyle="Content normal"/>
  </tableColumns>
  <tableStyleInfo name="Equation table"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29D34B0F-E2D2-4A79-9497-D369373935C9}" name="Table_SourceData_SwineVSL" displayName="Table_SourceData_SwineVSL" ref="D53:E60" totalsRowShown="0">
  <autoFilter ref="D53:E60" xr:uid="{079C074C-6E98-47B5-B4E5-F8A1F12104F2}">
    <filterColumn colId="0" hiddenButton="1"/>
    <filterColumn colId="1" hiddenButton="1"/>
  </autoFilter>
  <tableColumns count="2">
    <tableColumn id="1" xr3:uid="{FD480855-50C2-45FC-A83E-605093E92B91}" name="MMS" dataDxfId="246" dataCellStyle="Content normal"/>
    <tableColumn id="2" xr3:uid="{3C9E3AB6-C1FA-4D37-B176-5BB0B449AAD7}" name="VSL"/>
  </tableColumns>
  <tableStyleInfo name="Equation table" showFirstColumn="0"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F66EFE00-13B8-444B-9556-895122B08F2A}" name="Table_SourceData_SwineMMSExcSolidStorage" displayName="Table_SourceData_SwineMMSExcSolidStorage" ref="G40:H45" totalsRowShown="0">
  <autoFilter ref="G40:H45" xr:uid="{171229DD-CBF4-4099-8199-8A23112B275F}">
    <filterColumn colId="0" hiddenButton="1"/>
    <filterColumn colId="1" hiddenButton="1"/>
  </autoFilter>
  <tableColumns count="2">
    <tableColumn id="1" xr3:uid="{0948DA10-2949-4E98-9072-50FB8695C8AB}" name="MMS"/>
    <tableColumn id="2" xr3:uid="{65D51855-C75E-47FD-9276-50A5EAEB56A2}" name="Symbol and MMS"/>
  </tableColumns>
  <tableStyleInfo name="Equation table" showFirstColumn="0"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65E69FD1-051D-4049-917C-589364BFF23C}" name="Table_SourceData_SwineExclDirectApplicationMMS" displayName="Table_SourceData_SwineExclDirectApplicationMMS" ref="K40:L46" totalsRowShown="0">
  <autoFilter ref="K40:L46" xr:uid="{363E0626-9932-4FCA-A861-C95F26E527BC}">
    <filterColumn colId="0" hiddenButton="1"/>
    <filterColumn colId="1" hiddenButton="1"/>
  </autoFilter>
  <tableColumns count="2">
    <tableColumn id="1" xr3:uid="{51A5DEE2-9F4A-4FFB-A904-1F9159B07841}" name="MMS"/>
    <tableColumn id="2" xr3:uid="{91413943-A3CB-4B22-A06D-483C6A1E900E}" name="Symbol and MMS"/>
  </tableColumns>
  <tableStyleInfo name="Equation table" showFirstColumn="0"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388B15E9-9833-445C-9489-AE09BA159DCF}" name="Table_SourceData_Swine_ProductionSystems" displayName="Table_SourceData_Swine_ProductionSystems" ref="G53:G56" totalsRowShown="0">
  <autoFilter ref="G53:G56" xr:uid="{A6BE3FFD-EB90-45EB-8756-16A72E0C6869}">
    <filterColumn colId="0" hiddenButton="1"/>
  </autoFilter>
  <tableColumns count="1">
    <tableColumn id="1" xr3:uid="{CE4F6269-3E61-4B4B-937D-31B0B8864B2C}" name="Production system">
      <calculatedColumnFormula array="1">Common_InputFunctions.Utility_DisplayArrayInTable(SourceData_Swine.SourceData_Swine_ProductionSystems_Data(), Table_SourceData_Swine_ProductionSystems[[#Headers],[Production system]], 0)</calculatedColumnFormula>
    </tableColumn>
  </tableColumns>
  <tableStyleInfo name="Equation table" showFirstColumn="0" showLastColumn="0" showRowStripes="1"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D699D410-9777-4045-9DBD-FD3F3E6E4615}" name="Table_SourceData_Swine_NitrogenInWaste" displayName="Table_SourceData_Swine_NitrogenInWaste" ref="D89:G93" totalsRowShown="0" dataDxfId="245" dataCellStyle="Content normal">
  <autoFilter ref="D89:G93" xr:uid="{61D86DCB-D80D-4593-96F3-A897FC93073F}">
    <filterColumn colId="0" hiddenButton="1"/>
    <filterColumn colId="1" hiddenButton="1"/>
    <filterColumn colId="2" hiddenButton="1"/>
    <filterColumn colId="3" hiddenButton="1"/>
  </autoFilter>
  <tableColumns count="4">
    <tableColumn id="1" xr3:uid="{130AC564-D52E-4EBD-BBB5-7A759089B194}" name="Class" dataDxfId="244" dataCellStyle="Content normal">
      <calculatedColumnFormula array="1">Common_InputFunctions.Utility_DisplayArrayInTable(SourceData_Swine.SourceData_Swine_NitrogenInWaste_Data(), Table_SourceData_Swine_NitrogenInWaste[[#Headers],[Class]], 0)</calculatedColumnFormula>
    </tableColumn>
    <tableColumn id="2" xr3:uid="{9CAEF5F9-7F9B-4A84-862E-7B3E08B71823}" name="NWj" dataDxfId="243" dataCellStyle="Content normal">
      <calculatedColumnFormula array="1">Common_InputFunctions.Utility_DisplayArrayInTable(SourceData_Swine.SourceData_Swine_NitrogenInWaste_Data(), Table_SourceData_Swine_NitrogenInWaste[[#Headers],[Class]], 0)</calculatedColumnFormula>
    </tableColumn>
    <tableColumn id="3" xr3:uid="{86801C0E-FB00-46AC-8D21-D49B662BB1C9}" name="NWj Daily" dataDxfId="242" dataCellStyle="Content normal">
      <calculatedColumnFormula array="1">Common_InputFunctions.Utility_DisplayArrayInTable(SourceData_Swine.SourceData_Swine_NitrogenInWaste_Data(), Table_SourceData_Swine_NitrogenInWaste[[#Headers],[Class]], 0)</calculatedColumnFormula>
    </tableColumn>
    <tableColumn id="4" xr3:uid="{F7E63BEC-F111-4CB5-AFEE-9174FDDBF23E}" name="Class name" dataDxfId="241" dataCellStyle="Content normal">
      <calculatedColumnFormula array="1">Common_InputFunctions.Utility_DisplayArrayInTable(SourceData_Swine.SourceData_Swine_NitrogenInWaste_Data(), Table_SourceData_Swine_NitrogenInWaste[[#Headers],[Class]], 0)</calculatedColumnFormula>
    </tableColumn>
  </tableColumns>
  <tableStyleInfo name="Equation table" showFirstColumn="0" showLastColumn="0" showRowStripes="1"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F3EEFE99-8C62-471D-8960-77F66021B128}" name="Table_SourceData_Swine_FeedIntake" displayName="Table_SourceData_Swine_FeedIntake" ref="D78:E82" totalsRowShown="0" dataDxfId="240" dataCellStyle="Content normal">
  <autoFilter ref="D78:E82" xr:uid="{E34928EB-73E5-43B2-830B-089F30DA4EF0}">
    <filterColumn colId="0" hiddenButton="1"/>
    <filterColumn colId="1" hiddenButton="1"/>
  </autoFilter>
  <tableColumns count="2">
    <tableColumn id="1" xr3:uid="{CAD0F086-96AD-478F-9F97-BB910BCF2E2C}" name="Class" dataDxfId="239" dataCellStyle="Content normal">
      <calculatedColumnFormula array="1">Common_InputFunctions.Utility_DisplayArrayInTable(SourceData_Swine.SourceData_Swine_FeedIntake_Data(), Table_SourceData_Swine_FeedIntake[[#Headers],[Class]], 0)</calculatedColumnFormula>
    </tableColumn>
    <tableColumn id="2" xr3:uid="{1690C47D-EE38-468F-9597-9B68F6DA3A1F}" name="Ij" dataDxfId="238" dataCellStyle="Content normal">
      <calculatedColumnFormula array="1">Common_InputFunctions.Utility_DisplayArrayInTable(SourceData_Swine.SourceData_Swine_FeedIntake_Data(), Table_SourceData_Swine_FeedIntake[[#Headers],[Class]], 0)</calculatedColumnFormula>
    </tableColumn>
  </tableColumns>
  <tableStyleInfo name="Equation table" showFirstColumn="0" showLastColumn="0" showRowStripes="1" showColumnStripes="0"/>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BDF3D1D-7F6A-497D-BF81-D37949972D8A}" name="Table_SourceData_Swine_FracGASM" displayName="Table_SourceData_Swine_FracGASM" ref="D99:F105" totalsRowShown="0">
  <autoFilter ref="D99:F105" xr:uid="{11184525-440F-427A-8F5F-F24C51E83194}">
    <filterColumn colId="0" hiddenButton="1"/>
    <filterColumn colId="1" hiddenButton="1"/>
    <filterColumn colId="2" hiddenButton="1"/>
  </autoFilter>
  <tableColumns count="3">
    <tableColumn id="1" xr3:uid="{D9F98332-1B95-4D5F-B5E2-AEE65DE883E4}" name="MMSm">
      <calculatedColumnFormula array="1">Common_InputFunctions.Utility_DisplayArrayInTable(SourceData_Swine.SourceData_Swine_FractionNVolatilised_Data(), Table_SourceData_Swine_FracGASM[[#Headers],[MMSm]],0)</calculatedColumnFormula>
    </tableColumn>
    <tableColumn id="2" xr3:uid="{2BCCC245-DB53-4D42-ACC5-BC6EDCEE82F0}" name="FracGASMmT">
      <calculatedColumnFormula array="1">Common_InputFunctions.Utility_DisplayArrayInTable(SourceData_Swine.SourceData_Swine_FractionNVolatilised_Data(), Table_SourceData_Swine_FracGASM[[#Headers],[MMSm]],0)</calculatedColumnFormula>
    </tableColumn>
    <tableColumn id="3" xr3:uid="{4F373F91-DA42-4046-A700-612A4D03BE11}" name="NIR reference">
      <calculatedColumnFormula array="1">Common_InputFunctions.Utility_DisplayArrayInTable(SourceData_Swine.SourceData_Swine_FractionNVolatilised_Data(), Table_SourceData_Swine_FracGASM[[#Headers],[MMSm]],0)</calculatedColumnFormula>
    </tableColumn>
  </tableColumns>
  <tableStyleInfo name="Equation table" showFirstColumn="0" showLastColumn="0" showRowStripes="1" showColumnStripes="0"/>
</table>
</file>

<file path=xl/tables/table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F9B1FBA8-F209-4B60-A2C3-626CC74E920A}" name="Table_SourceData_Swine_FracGASM28" displayName="Table_SourceData_Swine_FracGASM28" ref="D111:F117" totalsRowShown="0" dataDxfId="237" dataCellStyle="Content normal">
  <autoFilter ref="D111:F117" xr:uid="{1333872B-E46C-4DC7-8E2D-1F3D704794C8}">
    <filterColumn colId="0" hiddenButton="1"/>
    <filterColumn colId="1" hiddenButton="1"/>
    <filterColumn colId="2" hiddenButton="1"/>
  </autoFilter>
  <tableColumns count="3">
    <tableColumn id="1" xr3:uid="{54A8713E-4A88-4367-AAF9-B49979E5AB2F}" name="MMSm" dataDxfId="236" dataCellStyle="Content normal">
      <calculatedColumnFormula array="1">Common_InputFunctions.Utility_DisplayArrayInTable(SourceData_Swine.SourceData_Swine_NitrousOxideEFs_Data(), Table_SourceData_Swine_FracGASM28[[#Headers],[MMSm]],0)</calculatedColumnFormula>
    </tableColumn>
    <tableColumn id="2" xr3:uid="{53BCE6E6-AFCD-4CC1-9F94-6226182EFBF0}" name="EFmT" dataDxfId="235" dataCellStyle="Content normal">
      <calculatedColumnFormula array="1">Common_InputFunctions.Utility_DisplayArrayInTable(SourceData_Swine.SourceData_Swine_NitrousOxideEFs_Data(), Table_SourceData_Swine_FracGASM28[[#Headers],[MMSm]],0)</calculatedColumnFormula>
    </tableColumn>
    <tableColumn id="3" xr3:uid="{036BD3CD-6156-4C46-9EDB-32CFB8038976}" name="NIR reference" dataDxfId="234" dataCellStyle="Content normal">
      <calculatedColumnFormula array="1">Common_InputFunctions.Utility_DisplayArrayInTable(SourceData_Swine.SourceData_Swine_NitrousOxideEFs_Data(), Table_SourceData_Swine_FracGASM28[[#Headers],[MMSm]],0)</calculatedColumnFormula>
    </tableColumn>
  </tableColumns>
  <tableStyleInfo name="Equation table" showFirstColumn="0" showLastColumn="0" showRowStripes="1" showColumnStripes="0"/>
</table>
</file>

<file path=xl/tables/table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1BF6DE23-110B-4C99-9F4F-0FF4882A3A45}" name="Table_SourceData_Swine_CropProdSystems" displayName="Table_SourceData_Swine_CropProdSystems" ref="D8:D10" totalsRowShown="0">
  <autoFilter ref="D8:D10" xr:uid="{1DC3FD95-46BB-428C-8DAB-6CC542C27F2F}">
    <filterColumn colId="0" hiddenButton="1"/>
  </autoFilter>
  <tableColumns count="1">
    <tableColumn id="1" xr3:uid="{02F08772-6E69-4E9B-A468-512130251402}" name="Production system">
      <calculatedColumnFormula>#REF!</calculatedColumnFormula>
    </tableColumn>
  </tableColumns>
  <tableStyleInfo name="Equation table" showFirstColumn="0" showLastColumn="0" showRowStripes="1" showColumnStripes="0"/>
</table>
</file>

<file path=xl/tables/table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2F1845CD-2668-4E23-90D2-E9E3FDFC8A60}" name="Table_SourceData_Swine_IrrigationMethods" displayName="Table_SourceData_Swine_IrrigationMethods" ref="G8:G13" totalsRowShown="0">
  <autoFilter ref="G8:G13" xr:uid="{AA6B756B-6FF9-48AC-BC54-06A8937EFD12}">
    <filterColumn colId="0" hiddenButton="1"/>
  </autoFilter>
  <tableColumns count="1">
    <tableColumn id="1" xr3:uid="{BDFB2D6B-2434-4EAD-AEFA-23FB1CE0FC47}" name="Irrigation method"/>
  </tableColumns>
  <tableStyleInfo name="Equation table" showFirstColumn="0" showLastColumn="0" showRowStripes="1" showColumnStripes="0"/>
</table>
</file>

<file path=xl/tables/table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991E101E-D444-4552-B825-5D71DC6A7EDE}" name="Table_SourceData_Swine_Liveweight" displayName="Table_SourceData_Swine_Liveweight" ref="D127:E132" totalsRowShown="0">
  <autoFilter ref="D127:E132" xr:uid="{5546FF29-813A-45A1-A28C-69691DBE2363}">
    <filterColumn colId="0" hiddenButton="1"/>
    <filterColumn colId="1" hiddenButton="1"/>
  </autoFilter>
  <tableColumns count="2">
    <tableColumn id="1" xr3:uid="{5D138A20-D7BB-44A7-8D02-EBB02488388A}" name="Livestock type j">
      <calculatedColumnFormula array="1">Common_InputFunctions.Utility_DisplayArrayInTable(SourceData_Swine.SourceData_Swine_AverageLiveweight_Data(),Table_SourceData_Swine_Liveweight[[#Headers],[Livestock type j]],0)</calculatedColumnFormula>
    </tableColumn>
    <tableColumn id="2" xr3:uid="{F641F504-19AD-4109-B1BE-87CA18B07786}" name="Average liveweight (kg)" dataDxfId="233" dataCellStyle="Content normal">
      <calculatedColumnFormula array="1">Common_InputFunctions.Utility_DisplayArrayInTable(SourceData_Swine.SourceData_Swine_AverageLiveweight_Data(),Table_SourceData_Swine_Liveweight[[#Headers],[Livestock type j]],0)</calculatedColumnFormula>
    </tableColumn>
  </tableColumns>
  <tableStyleInfo name="Equation table" showFirstColumn="0" showLastColumn="0" showRowStripes="1" showColumnStripes="0"/>
</table>
</file>

<file path=xl/tables/table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6" xr:uid="{B94BF14F-2B18-4E74-873C-786F793AC13C}" name="Table_SourceData_Dairy_MMS" displayName="Table_SourceData_Dairy_MMS" ref="D7:E11" totalsRowShown="0">
  <autoFilter ref="D7:E11" xr:uid="{D5C443B2-EDE2-4250-B2EE-016878D19AD9}">
    <filterColumn colId="0" hiddenButton="1"/>
    <filterColumn colId="1" hiddenButton="1"/>
  </autoFilter>
  <tableColumns count="2">
    <tableColumn id="1" xr3:uid="{2D267732-40AB-4C2F-8671-7C2AA970AF16}" name="MMS"/>
    <tableColumn id="2" xr3:uid="{8F67D046-4521-4198-89FE-8B9020DE7897}" name="Symbol and MMS" dataDxfId="232" dataCellStyle="Content normal"/>
  </tableColumns>
  <tableStyleInfo name="Equation table" showFirstColumn="0" showLastColumn="0" showRowStripes="1" showColumnStripes="0"/>
</table>
</file>

<file path=xl/tables/table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7" xr:uid="{054466F1-DFF2-4F42-9283-A16E0B12185C}" name="Table_SourceData_Dairy_CropProdSystems" displayName="Table_SourceData_Dairy_CropProdSystems" ref="G7:G9" totalsRowShown="0">
  <autoFilter ref="G7:G9" xr:uid="{B6F3FE3A-A0B5-47E7-85B2-8426FB75A7C8}">
    <filterColumn colId="0" hiddenButton="1"/>
  </autoFilter>
  <tableColumns count="1">
    <tableColumn id="1" xr3:uid="{90BEE7A3-C08B-40EE-A4DF-35A1B18EA68D}" name="Production system">
      <calculatedColumnFormula>#REF!</calculatedColumnFormula>
    </tableColumn>
  </tableColumns>
  <tableStyleInfo name="Equation table" showFirstColumn="0" showLastColumn="0" showRowStripes="1" showColumnStripes="0"/>
</table>
</file>

<file path=xl/tables/table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8" xr:uid="{4C868933-7AB8-465F-868F-BB4F038B2FAA}" name="Table_SourceData_Dairy_IrrigationMethods" displayName="Table_SourceData_Dairy_IrrigationMethods" ref="J7:J12" totalsRowShown="0">
  <autoFilter ref="J7:J12" xr:uid="{FE172B77-CEA3-430C-84BC-392A64D0B8FF}">
    <filterColumn colId="0" hiddenButton="1"/>
  </autoFilter>
  <tableColumns count="1">
    <tableColumn id="1" xr3:uid="{DD3D632B-EA92-406F-86DD-317482A3A23A}" name="Irrigation method"/>
  </tableColumns>
  <tableStyleInfo name="Equation table" showFirstColumn="0" showLastColumn="0" showRowStripes="1" showColumnStripes="0"/>
</table>
</file>

<file path=xl/tables/table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9" xr:uid="{2C85C894-3263-4B16-9C0C-A34EBE0BE93C}" name="Table_SourceData_Dairy_WjCowsHeifers" displayName="Table_SourceData_Dairy_WjCowsHeifers" ref="D21:G31" totalsRowShown="0">
  <autoFilter ref="D21:G31" xr:uid="{967AC8BB-7677-48EA-BDB5-2C0BC5B0F947}">
    <filterColumn colId="0" hiddenButton="1"/>
    <filterColumn colId="1" hiddenButton="1"/>
    <filterColumn colId="2" hiddenButton="1"/>
    <filterColumn colId="3" hiddenButton="1"/>
  </autoFilter>
  <tableColumns count="4">
    <tableColumn id="1" xr3:uid="{EE60BFBB-0D61-4B34-B17F-5CFC526619ED}" name="Breed">
      <calculatedColumnFormula array="1">Common_InputFunctions.Utility_DisplayArrayInTable(SourceData_Dairy.SourceData_Dairy_LiveweightCowsAndHeifers_Data(), Table_SourceData_Dairy_WjCowsHeifers[[#Headers],[Breed]], 0)</calculatedColumnFormula>
    </tableColumn>
    <tableColumn id="2" xr3:uid="{4CCC390B-59F5-46F7-B12E-7FD7AF5B68C7}" name="Milking cows" dataDxfId="231" dataCellStyle="Content normal">
      <calculatedColumnFormula array="1">Common_InputFunctions.Utility_DisplayArrayInTable(SourceData_Dairy.SourceData_Dairy_LiveweightCowsAndHeifers_Data(), Table_SourceData_Dairy_WjCowsHeifers[[#Headers],[Breed]], 0)</calculatedColumnFormula>
    </tableColumn>
    <tableColumn id="3" xr3:uid="{4FE16782-624F-4BF7-A267-CAE7DF2AA522}" name="Heifers &gt; 1" dataDxfId="230" dataCellStyle="Content normal">
      <calculatedColumnFormula array="1">Common_InputFunctions.Utility_DisplayArrayInTable(SourceData_Dairy.SourceData_Dairy_LiveweightCowsAndHeifers_Data(), Table_SourceData_Dairy_WjCowsHeifers[[#Headers],[Breed]], 0)</calculatedColumnFormula>
    </tableColumn>
    <tableColumn id="4" xr3:uid="{E92A7C38-6067-46B4-884A-BD200AE86EC1}" name="Heifers &lt; 1 (weaned)" dataDxfId="229" dataCellStyle="Content normal">
      <calculatedColumnFormula array="1">Common_InputFunctions.Utility_DisplayArrayInTable(SourceData_Dairy.SourceData_Dairy_LiveweightCowsAndHeifers_Data(), Table_SourceData_Dairy_WjCowsHeifers[[#Headers],[Breed]], 0)</calculatedColumnFormula>
    </tableColumn>
  </tableColumns>
  <tableStyleInfo name="Equation table" showFirstColumn="0" showLastColumn="0" showRowStripes="1" showColumnStripes="0"/>
</table>
</file>

<file path=xl/tables/table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0" xr:uid="{EFFED033-B848-4AEC-81CB-51C81DB76255}" name="Table_SourceData_Dairy_WjBulls" displayName="Table_SourceData_Dairy_WjBulls" ref="D38:F39" totalsRowShown="0">
  <autoFilter ref="D38:F39" xr:uid="{AF7576A8-349F-4CC0-92AE-D91A1F2F1417}">
    <filterColumn colId="0" hiddenButton="1"/>
    <filterColumn colId="1" hiddenButton="1"/>
    <filterColumn colId="2" hiddenButton="1"/>
  </autoFilter>
  <tableColumns count="3">
    <tableColumn id="1" xr3:uid="{4739EA7B-A8D5-4173-AE70-34455D7CE618}" name="Breed"/>
    <tableColumn id="2" xr3:uid="{A5E39DBB-6CB2-4677-9CF0-46BA055339D7}" name="Bulls &gt; 1" dataDxfId="228" dataCellStyle="Content normal"/>
    <tableColumn id="3" xr3:uid="{9E076D5B-0ED4-435D-8612-278300DCF2AC}" name="Bulls &lt; 1 (weaned)" dataDxfId="227" dataCellStyle="Content normal"/>
  </tableColumns>
  <tableStyleInfo name="Equation table" showFirstColumn="0" showLastColumn="0" showRowStripes="1" showColumnStripes="0"/>
</table>
</file>

<file path=xl/tables/table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1" xr:uid="{5EC5A2BC-C4FF-499E-9B20-49ED3304EAF8}" name="Table_SourceData_Dairy_LWGj" displayName="Table_SourceData_Dairy_LWGj" ref="D46:H47" totalsRowShown="0">
  <autoFilter ref="D46:H47" xr:uid="{8FCFB773-B7EE-42F8-AC7C-31621B260645}">
    <filterColumn colId="0" hiddenButton="1"/>
    <filterColumn colId="1" hiddenButton="1"/>
    <filterColumn colId="2" hiddenButton="1"/>
    <filterColumn colId="3" hiddenButton="1"/>
    <filterColumn colId="4" hiddenButton="1"/>
  </autoFilter>
  <tableColumns count="5">
    <tableColumn id="1" xr3:uid="{31D004E7-48C2-4139-B49B-342F3E6BD04D}" name="Milking cows"/>
    <tableColumn id="2" xr3:uid="{AD462129-26C6-41FB-B9CD-21F7990015A7}" name="Heifers &gt; 1" dataDxfId="226" dataCellStyle="Content normal"/>
    <tableColumn id="3" xr3:uid="{9905C12E-696D-487A-842D-EFA7CD44C817}" name="Heifers &lt; 1 (weaned)" dataDxfId="225" dataCellStyle="Content normal"/>
    <tableColumn id="4" xr3:uid="{A19A1DD5-6A92-48A8-B8BC-FCA05DEAC5BF}" name="Bulls &gt; 1" dataDxfId="224" dataCellStyle="Content normal"/>
    <tableColumn id="5" xr3:uid="{20238AC9-F749-4398-A6B6-8053695A7BD9}" name="Bulls &lt; 1 (weaned)" dataDxfId="223" dataCellStyle="Content normal"/>
  </tableColumns>
  <tableStyleInfo name="Equation table" showFirstColumn="0" showLastColumn="0" showRowStripes="1" showColumnStripes="0"/>
</table>
</file>

<file path=xl/tables/table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2" xr:uid="{8833499F-678B-44A5-ACCB-C7FCF3165E03}" name="Table_SourceData_Dairy_WRj" displayName="Table_SourceData_Dairy_WRj" ref="D54:H55" totalsRowShown="0" headerRowDxfId="222" headerRowCellStyle="Content normal" dataCellStyle="Content normal">
  <autoFilter ref="D54:H55" xr:uid="{296C6784-8B86-412A-92D3-E911DE28757C}">
    <filterColumn colId="0" hiddenButton="1"/>
    <filterColumn colId="1" hiddenButton="1"/>
    <filterColumn colId="2" hiddenButton="1"/>
    <filterColumn colId="3" hiddenButton="1"/>
    <filterColumn colId="4" hiddenButton="1"/>
  </autoFilter>
  <tableColumns count="5">
    <tableColumn id="1" xr3:uid="{4CB3684E-17D6-443A-921D-E3EBB3420C04}" name="Milking cows" dataCellStyle="Content normal"/>
    <tableColumn id="2" xr3:uid="{0F3E8724-5545-4E42-B9EF-1AD15E2E0208}" name="Heifers &gt; 1" dataCellStyle="Content normal"/>
    <tableColumn id="3" xr3:uid="{C82866B2-0A44-4F71-96A3-A0BDD95267B2}" name="Heifers &lt; 1 (weaned)" dataCellStyle="Content normal"/>
    <tableColumn id="4" xr3:uid="{780CA111-5521-4DCC-B9F1-16A834EC1191}" name="Bulls &gt; 1" dataCellStyle="Content normal"/>
    <tableColumn id="5" xr3:uid="{F853BEBE-9F98-4BFE-B42C-8F68B2D897ED}" name="Bulls &lt; 1 (weaned)" dataCellStyle="Content normal"/>
  </tableColumns>
  <tableStyleInfo name="Equation table" showFirstColumn="0" showLastColumn="0" showRowStripes="1" showColumnStripes="0"/>
</table>
</file>

<file path=xl/tables/table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3" xr:uid="{5BE0E9D2-8828-442C-9EB3-C6B4CDD002CE}" name="Table_SourceData_Dairy_DataPreWeaned" displayName="Table_SourceData_Dairy_DataPreWeaned" ref="D62:G64" totalsRowShown="0" dataDxfId="221" dataCellStyle="Content normal">
  <autoFilter ref="D62:G64" xr:uid="{968BB314-DB2C-4CA2-BAA9-E66557777E59}">
    <filterColumn colId="0" hiddenButton="1"/>
    <filterColumn colId="1" hiddenButton="1"/>
    <filterColumn colId="2" hiddenButton="1"/>
    <filterColumn colId="3" hiddenButton="1"/>
  </autoFilter>
  <tableColumns count="4">
    <tableColumn id="1" xr3:uid="{DF5E89FF-9007-4593-8FBE-413A877E7B11}" name="Animal class j" dataDxfId="220" dataCellStyle="Content normal">
      <calculatedColumnFormula array="1">Common_InputFunctions.Utility_DisplayArrayInTable(SourceData_Dairy.SourceData_Dairy_PreWeanedCalves_Data(), Table_SourceData_Dairy_DataPreWeaned[[#Headers],[Animal class j]], -1)</calculatedColumnFormula>
    </tableColumn>
    <tableColumn id="2" xr3:uid="{A442A162-6C35-49EF-BB5C-C30073D41640}" name="CH4 production" dataDxfId="219" dataCellStyle="Content normal">
      <calculatedColumnFormula array="1">Common_InputFunctions.Utility_DisplayArrayInTable(SourceData_Dairy.SourceData_Dairy_PreWeanedCalves_Data(), Table_SourceData_Dairy_DataPreWeaned[[#Headers],[Animal class j]], -1)</calculatedColumnFormula>
    </tableColumn>
    <tableColumn id="3" xr3:uid="{55A7699B-8335-4001-9D74-8F99A69B2DEE}" name="Volatile solids (VSj=3,5)" dataDxfId="218" dataCellStyle="Content normal">
      <calculatedColumnFormula array="1">Common_InputFunctions.Utility_DisplayArrayInTable(SourceData_Dairy.SourceData_Dairy_PreWeanedCalves_Data(), Table_SourceData_Dairy_DataPreWeaned[[#Headers],[Animal class j]], -1)</calculatedColumnFormula>
    </tableColumn>
    <tableColumn id="4" xr3:uid="{707920EA-0C26-4518-8870-9EFD759B5CCE}" name="Nitrogen Excreted (NPWj=3,5)" dataDxfId="217" dataCellStyle="Content normal">
      <calculatedColumnFormula array="1">Common_InputFunctions.Utility_DisplayArrayInTable(SourceData_Dairy.SourceData_Dairy_PreWeanedCalves_Data(), Table_SourceData_Dairy_DataPreWeaned[[#Headers],[Animal class j]], -1)</calculatedColumnFormula>
    </tableColumn>
  </tableColumns>
  <tableStyleInfo name="Equation table" showFirstColumn="0" showLastColumn="0" showRowStripes="1" showColumnStripes="0"/>
</table>
</file>

<file path=xl/tables/table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4" xr:uid="{91552FD6-14D4-4524-AFC4-3FEAFA98DCE9}" name="Table_SourceData_Dairy_MCFjm" displayName="Table_SourceData_Dairy_MCFjm" ref="D72:M78" totalsRowShown="0">
  <autoFilter ref="D72:M78" xr:uid="{AFB1D80F-8BB0-4A20-AF5A-A288BBED76E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2922D06-D072-4CAA-8BA2-99B2D7F2F9E9}" name="MMS m">
      <calculatedColumnFormula array="1">Common_InputFunctions.Utility_DisplayArrayInTable(SourceData_Dairy.SourceData_Dairy_MCF_Data(), Table_SourceData_Dairy_MCFjm[[#Headers],[MMS m]], 0)</calculatedColumnFormula>
    </tableColumn>
    <tableColumn id="2" xr3:uid="{F01007B6-CC44-4C9B-AF6A-EBFCD0F21E54}" name="ACT" dataDxfId="216" dataCellStyle="Content normal">
      <calculatedColumnFormula array="1">Common_InputFunctions.Utility_DisplayArrayInTable(SourceData_Dairy.SourceData_Dairy_MCF_Data(), Table_SourceData_Dairy_MCFjm[[#Headers],[MMS m]], 0)</calculatedColumnFormula>
    </tableColumn>
    <tableColumn id="3" xr3:uid="{F6B8A7DA-34B4-4778-B7E2-A3F86EDE891A}" name="NSW" dataDxfId="215" dataCellStyle="Content normal">
      <calculatedColumnFormula array="1">Common_InputFunctions.Utility_DisplayArrayInTable(SourceData_Dairy.SourceData_Dairy_MCF_Data(), Table_SourceData_Dairy_MCFjm[[#Headers],[MMS m]], 0)</calculatedColumnFormula>
    </tableColumn>
    <tableColumn id="4" xr3:uid="{27230C27-090A-4603-8755-4A0F8CA6E24C}" name="NT" dataDxfId="214" dataCellStyle="Content normal">
      <calculatedColumnFormula array="1">Common_InputFunctions.Utility_DisplayArrayInTable(SourceData_Dairy.SourceData_Dairy_MCF_Data(), Table_SourceData_Dairy_MCFjm[[#Headers],[MMS m]], 0)</calculatedColumnFormula>
    </tableColumn>
    <tableColumn id="5" xr3:uid="{48A746ED-7602-4864-A24B-94E96DD8B7ED}" name="QLD" dataDxfId="213" dataCellStyle="Content normal">
      <calculatedColumnFormula array="1">Common_InputFunctions.Utility_DisplayArrayInTable(SourceData_Dairy.SourceData_Dairy_MCF_Data(), Table_SourceData_Dairy_MCFjm[[#Headers],[MMS m]], 0)</calculatedColumnFormula>
    </tableColumn>
    <tableColumn id="6" xr3:uid="{7A60D28F-8629-4D06-AE4C-DDAF68995F40}" name="SA" dataDxfId="212" dataCellStyle="Content normal">
      <calculatedColumnFormula array="1">Common_InputFunctions.Utility_DisplayArrayInTable(SourceData_Dairy.SourceData_Dairy_MCF_Data(), Table_SourceData_Dairy_MCFjm[[#Headers],[MMS m]], 0)</calculatedColumnFormula>
    </tableColumn>
    <tableColumn id="7" xr3:uid="{D8A3804A-CE24-463E-A882-C0A3B6779058}" name="TAS" dataDxfId="211" dataCellStyle="Content normal">
      <calculatedColumnFormula array="1">Common_InputFunctions.Utility_DisplayArrayInTable(SourceData_Dairy.SourceData_Dairy_MCF_Data(), Table_SourceData_Dairy_MCFjm[[#Headers],[MMS m]], 0)</calculatedColumnFormula>
    </tableColumn>
    <tableColumn id="8" xr3:uid="{EFD0D52E-425C-4EE6-B156-B93404DAE93B}" name="VIC" dataDxfId="210" dataCellStyle="Content normal">
      <calculatedColumnFormula array="1">Common_InputFunctions.Utility_DisplayArrayInTable(SourceData_Dairy.SourceData_Dairy_MCF_Data(), Table_SourceData_Dairy_MCFjm[[#Headers],[MMS m]], 0)</calculatedColumnFormula>
    </tableColumn>
    <tableColumn id="9" xr3:uid="{097A7215-AA72-443A-8837-3B6825E12463}" name="WA" dataDxfId="209" dataCellStyle="Content normal">
      <calculatedColumnFormula array="1">Common_InputFunctions.Utility_DisplayArrayInTable(SourceData_Dairy.SourceData_Dairy_MCF_Data(), Table_SourceData_Dairy_MCFjm[[#Headers],[MMS m]], 0)</calculatedColumnFormula>
    </tableColumn>
    <tableColumn id="10" xr3:uid="{EC80A8EE-0ECE-43F2-9EEB-2B024BAF4A86}" name="NIR reference" dataDxfId="208" dataCellStyle="Content normal">
      <calculatedColumnFormula array="1">Common_InputFunctions.Utility_DisplayArrayInTable(SourceData_Dairy.SourceData_Dairy_MCF_Data(), Table_SourceData_Dairy_MCFjm[[#Headers],[MMS m]], 0)</calculatedColumnFormula>
    </tableColumn>
  </tableColumns>
  <tableStyleInfo name="Equation table" showFirstColumn="0" showLastColumn="0" showRowStripes="1" showColumnStripes="0"/>
</table>
</file>

<file path=xl/tables/table1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5" xr:uid="{C271C319-886E-44FE-BBEF-94E66758EDF3}" name="Table_SourceData_Dairy_EFmFracGASM" displayName="Table_SourceData_Dairy_EFmFracGASM" ref="D86:G91" totalsRowShown="0">
  <autoFilter ref="D86:G91" xr:uid="{9FA92AE0-614A-46D8-9E98-33BA2B8E3C1D}">
    <filterColumn colId="0" hiddenButton="1"/>
    <filterColumn colId="1" hiddenButton="1"/>
    <filterColumn colId="2" hiddenButton="1"/>
    <filterColumn colId="3" hiddenButton="1"/>
  </autoFilter>
  <tableColumns count="4">
    <tableColumn id="1" xr3:uid="{F3D4D0DB-3AE9-40E9-8AC6-24F21D18151D}" name="MMS m">
      <calculatedColumnFormula array="1">Common_InputFunctions.Utility_DisplayArrayInTable(SourceData_Dairy.SourceData_Dairy_NitrousOxideEFsAndFracGASM_Data(), Table_SourceData_Dairy_EFmFracGASM[[#Headers],[MMS m]], 0)</calculatedColumnFormula>
    </tableColumn>
    <tableColumn id="2" xr3:uid="{BD430A49-071D-4525-B98C-5F9865CA4FD7}" name="EFm" dataDxfId="207" dataCellStyle="Content normal">
      <calculatedColumnFormula array="1">Common_InputFunctions.Utility_DisplayArrayInTable(SourceData_Dairy.SourceData_Dairy_NitrousOxideEFsAndFracGASM_Data(), Table_SourceData_Dairy_EFmFracGASM[[#Headers],[MMS m]], 0)</calculatedColumnFormula>
    </tableColumn>
    <tableColumn id="3" xr3:uid="{BF13C77C-FA25-4D34-8E82-7C62AAAE6E3D}" name="FracGASMm" dataDxfId="206" dataCellStyle="Content normal">
      <calculatedColumnFormula array="1">Common_InputFunctions.Utility_DisplayArrayInTable(SourceData_Dairy.SourceData_Dairy_NitrousOxideEFsAndFracGASM_Data(), Table_SourceData_Dairy_EFmFracGASM[[#Headers],[MMS m]], 0)</calculatedColumnFormula>
    </tableColumn>
    <tableColumn id="4" xr3:uid="{C0041A7D-A97E-4628-9EFC-39DA56BCBE41}" name="NIR reference" dataDxfId="205" dataCellStyle="Content normal">
      <calculatedColumnFormula array="1">Common_InputFunctions.Utility_DisplayArrayInTable(SourceData_Dairy.SourceData_Dairy_NitrousOxideEFsAndFracGASM_Data(), Table_SourceData_Dairy_EFmFracGASM[[#Headers],[MMS m]], 0)</calculatedColumnFormula>
    </tableColumn>
  </tableColumns>
  <tableStyleInfo name="Equation table" showFirstColumn="0" showLastColumn="0" showRowStripes="1" showColumnStripes="0"/>
</table>
</file>

<file path=xl/tables/table1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6" xr:uid="{48D384D8-8C55-4A44-9445-39B7940FF3FC}" name="Table_SourceData_Dairy_MPWENTERIC" displayName="Table_SourceData_Dairy_MPWENTERIC" ref="D98:E100" totalsRowShown="0">
  <autoFilter ref="D98:E100" xr:uid="{486563E6-CB80-4A05-BFA1-062176052592}">
    <filterColumn colId="0" hiddenButton="1"/>
    <filterColumn colId="1" hiddenButton="1"/>
  </autoFilter>
  <tableColumns count="2">
    <tableColumn id="1" xr3:uid="{2AA5B699-4610-4515-95C6-95036DC95FB4}" name="Animal class j">
      <calculatedColumnFormula array="1">Common_InputFunctions.Utility_DisplayArrayInTable(SourceData_Dairy.SourceData_Dairy_MethaneProductionPreWeanedCalves_Data(), Table_SourceData_Dairy_MPWENTERIC[[#Headers],[Animal class j]], 0)</calculatedColumnFormula>
    </tableColumn>
    <tableColumn id="2" xr3:uid="{948DE1A7-9680-47A3-B97A-8A7783B06E53}" name="MPW ENTERIC" dataDxfId="204" dataCellStyle="Content normal">
      <calculatedColumnFormula array="1">Common_InputFunctions.Utility_DisplayArrayInTable(SourceData_Dairy.SourceData_Dairy_MethaneProductionPreWeanedCalves_Data(), Table_SourceData_Dairy_MPWENTERIC[[#Headers],[Animal class j]], 0)</calculatedColumnFormula>
    </tableColumn>
  </tableColumns>
  <tableStyleInfo name="Equation table" showFirstColumn="0" showLastColumn="0" showRowStripes="1" showColumnStripes="0"/>
</table>
</file>

<file path=xl/tables/table1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7" xr:uid="{7E8DE6B3-2317-4E9F-AC55-AE8745DA2991}" name="Table_SourceData_Dairy_MRj" displayName="Table_SourceData_Dairy_MRj" ref="D107:E109" totalsRowShown="0">
  <autoFilter ref="D107:E109" xr:uid="{2C28AB58-EB72-448B-B56E-C8B9764D38F9}">
    <filterColumn colId="0" hiddenButton="1"/>
    <filterColumn colId="1" hiddenButton="1"/>
  </autoFilter>
  <tableColumns count="2">
    <tableColumn id="1" xr3:uid="{EA14BA23-B95E-46F2-ABC4-867D49712FB4}" name="Animal class j">
      <calculatedColumnFormula array="1">Common_InputFunctions.Utility_DisplayArrayInTable(SourceData_Dairy.SourceData_Dairy_IncreasedMetabolicRateMilk_Data(), Table_SourceData_Dairy_MRj[[#Headers],[Animal class j]], 0)</calculatedColumnFormula>
    </tableColumn>
    <tableColumn id="2" xr3:uid="{E98CA604-98B0-4A8E-8800-1BA67E46FFC6}" name="MRj" dataDxfId="203" dataCellStyle="Content normal">
      <calculatedColumnFormula array="1">Common_InputFunctions.Utility_DisplayArrayInTable(SourceData_Dairy.SourceData_Dairy_IncreasedMetabolicRateMilk_Data(), Table_SourceData_Dairy_MRj[[#Headers],[Animal class j]], 0)</calculatedColumnFormula>
    </tableColumn>
  </tableColumns>
  <tableStyleInfo name="Equation table" showFirstColumn="0" showLastColumn="0" showRowStripes="1" showColumnStripes="0"/>
</table>
</file>

<file path=xl/tables/table1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8" xr:uid="{15E63E3E-5E11-4E52-B0E5-97AAFDD2588E}" name="Table_SourceData_Dairy_ProductionSystemTemplates" displayName="Table_SourceData_Dairy_ProductionSystemTemplates" ref="D116:G120" totalsRowShown="0">
  <autoFilter ref="D116:G120" xr:uid="{1FB5F0D9-A87E-4E79-A32C-4BDDD47665B0}">
    <filterColumn colId="0" hiddenButton="1"/>
    <filterColumn colId="1" hiddenButton="1"/>
    <filterColumn colId="2" hiddenButton="1"/>
    <filterColumn colId="3" hiddenButton="1"/>
  </autoFilter>
  <tableColumns count="4">
    <tableColumn id="1" xr3:uid="{62D34C5A-DB51-4084-B42B-57494451BEAE}" name="Area">
      <calculatedColumnFormula array="1">Common_InputFunctions.Utility_DisplayArrayInTable(SourceData_Dairy.SourceData_Dairy_FractionVolatileSolidsVoidedMMS_Data(), Table_SourceData_Dairy_ProductionSystemTemplates[[#Headers],[Area]], 0)</calculatedColumnFormula>
    </tableColumn>
    <tableColumn id="2" xr3:uid="{62E589A5-038E-4713-A6EC-CFB9B0558A90}" name="Pasture" dataDxfId="202"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3" xr3:uid="{7C50B3A3-38C5-4BE2-8DEF-F6B066A82677}" name="Milking shed" dataDxfId="201"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4" xr3:uid="{F35FA7B8-E4B7-4D79-9F02-6816DC598FB1}" name="Feedpad" dataDxfId="200"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s>
  <tableStyleInfo name="Equation table" showFirstColumn="0" showLastColumn="0" showRowStripes="1" showColumnStripes="0"/>
</table>
</file>

<file path=xl/tables/table1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9" xr:uid="{FB14F337-2A75-4245-A31E-5612232A07C6}" name="Table_SourceData_Dairy_EFm" displayName="Table_SourceData_Dairy_EFm" ref="D128:F133" totalsRowShown="0">
  <autoFilter ref="D128:F133" xr:uid="{9FB5B8DA-9F8D-4436-A441-EA112190025D}">
    <filterColumn colId="0" hiddenButton="1"/>
    <filterColumn colId="1" hiddenButton="1"/>
    <filterColumn colId="2" hiddenButton="1"/>
  </autoFilter>
  <tableColumns count="3">
    <tableColumn id="1" xr3:uid="{4741802A-40E8-4E3B-886D-FE947665E64C}" name="MMS m">
      <calculatedColumnFormula array="1">Common_InputFunctions.Utility_DisplayArrayInTable(SourceData_Dairy.SourceData_Dairy_EFNitrousOxidePerMMS_Data(), Table_SourceData_Dairy_EFm[[#Headers],[MMS m]], 0)</calculatedColumnFormula>
    </tableColumn>
    <tableColumn id="2" xr3:uid="{AB679D57-80AA-4D28-8EDD-781ECE1AA202}" name="EFm" dataDxfId="199" dataCellStyle="Content normal">
      <calculatedColumnFormula array="1">Common_InputFunctions.Utility_DisplayArrayInTable(SourceData_Dairy.SourceData_Dairy_EFNitrousOxidePerMMS_Data(), Table_SourceData_Dairy_EFm[[#Headers],[MMS m]], 0)</calculatedColumnFormula>
    </tableColumn>
    <tableColumn id="3" xr3:uid="{00CE627C-EB14-436C-A6B2-9EFF817A6299}" name="NIR reference" dataDxfId="198" dataCellStyle="Content normal">
      <calculatedColumnFormula array="1">Common_InputFunctions.Utility_DisplayArrayInTable(SourceData_Dairy.SourceData_Dairy_EFNitrousOxidePerMMS_Data(), Table_SourceData_Dairy_EFm[[#Headers],[MMS m]], 0)</calculatedColumnFormula>
    </tableColumn>
  </tableColumns>
  <tableStyleInfo name="Equation table" showFirstColumn="0" showLastColumn="0" showRowStripes="1" showColumnStripes="0"/>
</table>
</file>

<file path=xl/tables/table1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0" xr:uid="{D7482180-68FD-46F4-805E-53BD2C81DFA4}" name="Table_SourceData_Dairy_Duration" displayName="Table_SourceData_Dairy_Duration" ref="D141:F146" totalsRowShown="0">
  <autoFilter ref="D141:F146" xr:uid="{BB1ACE7A-AFF1-4870-9774-9D68332837FF}">
    <filterColumn colId="0" hiddenButton="1"/>
    <filterColumn colId="1" hiddenButton="1"/>
    <filterColumn colId="2" hiddenButton="1"/>
  </autoFilter>
  <tableColumns count="3">
    <tableColumn id="1" xr3:uid="{E09059D0-7174-445F-890C-A6C17F714CD6}" name="Animal class j">
      <calculatedColumnFormula array="1">Common_InputFunctions.Utility_DisplayArrayInTable(SourceData_Dairy.SourceData_Dairy_DurationOfStay_Data(), Table_SourceData_Dairy_Duration[[#Headers],[Animal class j]], 0)</calculatedColumnFormula>
    </tableColumn>
    <tableColumn id="2" xr3:uid="{86F041E4-8020-49DC-BE48-72073799CD92}" name="Duration (weaned)" dataDxfId="197" dataCellStyle="Content normal">
      <calculatedColumnFormula array="1">Common_InputFunctions.Utility_DisplayArrayInTable(SourceData_Dairy.SourceData_Dairy_DurationOfStay_Data(), Table_SourceData_Dairy_Duration[[#Headers],[Animal class j]], 0)</calculatedColumnFormula>
    </tableColumn>
    <tableColumn id="3" xr3:uid="{0A2125E2-AA9F-4939-973F-8D5C7009E560}" name="Duration (pre-weaned)" dataDxfId="196" dataCellStyle="Content normal">
      <calculatedColumnFormula array="1">Common_InputFunctions.Utility_DisplayArrayInTable(SourceData_Dairy.SourceData_Dairy_DurationOfStay_Data(), Table_SourceData_Dairy_Duration[[#Headers],[Animal class j]], 0)</calculatedColumnFormula>
    </tableColumn>
  </tableColumns>
  <tableStyleInfo name="Equation table" showFirstColumn="0" showLastColumn="0" showRowStripes="1" showColumnStripes="0"/>
</table>
</file>

<file path=xl/tables/table1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2" xr:uid="{E49CEE49-6EB7-4DE5-AC8D-3E890074713E}" name="Table_SourceData_PastureBeef_CropProdSystems" displayName="Table_SourceData_PastureBeef_CropProdSystems" ref="D7:D9" totalsRowShown="0">
  <autoFilter ref="D7:D9" xr:uid="{B6F3FE3A-A0B5-47E7-85B2-8426FB75A7C8}">
    <filterColumn colId="0" hiddenButton="1"/>
  </autoFilter>
  <tableColumns count="1">
    <tableColumn id="1" xr3:uid="{F93BC9DA-3227-43EC-87AE-AE6848B93394}" name="Production system">
      <calculatedColumnFormula>#REF!</calculatedColumnFormula>
    </tableColumn>
  </tableColumns>
  <tableStyleInfo name="Equation table" showFirstColumn="0" showLastColumn="0" showRowStripes="1" showColumnStripes="0"/>
</table>
</file>

<file path=xl/tables/table1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3" xr:uid="{F4B1EBB9-F070-4A05-B9A3-A1AA90F27763}" name="Table_SourceData_PastureBeef_IrrigationMethods" displayName="Table_SourceData_PastureBeef_IrrigationMethods" ref="G7:G12" totalsRowShown="0">
  <autoFilter ref="G7:G12" xr:uid="{FE172B77-CEA3-430C-84BC-392A64D0B8FF}">
    <filterColumn colId="0" hiddenButton="1"/>
  </autoFilter>
  <tableColumns count="1">
    <tableColumn id="1" xr3:uid="{A275C4E5-8931-451C-B6A8-F1C413EB4604}" name="Irrigation method"/>
  </tableColumns>
  <tableStyleInfo name="Equation table" showFirstColumn="0" showLastColumn="0" showRowStripes="1" showColumnStripes="0"/>
</table>
</file>

<file path=xl/tables/table1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4" xr:uid="{199F8D21-4C4A-4AAB-B040-02A9DEF84345}" name="Table_SourceData_PastureBeef_Liveweight" displayName="Table_SourceData_PastureBeef_Liveweight" ref="D18:M46" totalsRowShown="0">
  <autoFilter ref="D18:M46" xr:uid="{430B098F-3F00-49E5-81DA-BAED03622D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4A7D303-0A7C-4870-947E-0BCB0B6F41A8}" name="State">
      <calculatedColumnFormula array="1">Common_InputFunctions.Utility_DisplayArrayInTable(SourceData_PastureBeef.SourceData_PastureBeef_Liveweight_Data(), Table_SourceData_PastureBeef_Liveweight[[#Headers],[State]], 0)</calculatedColumnFormula>
    </tableColumn>
    <tableColumn id="2" xr3:uid="{2DD4D73B-8DC8-4857-BB21-EBFD41A6681E}" name="Region" dataDxfId="195" dataCellStyle="Content normal">
      <calculatedColumnFormula array="1">Common_InputFunctions.Utility_DisplayArrayInTable(SourceData_PastureBeef.SourceData_PastureBeef_Liveweight_Data(), Table_SourceData_PastureBeef_Liveweight[[#Headers],[State]], 0)</calculatedColumnFormula>
    </tableColumn>
    <tableColumn id="3" xr3:uid="{B937E62F-F139-470A-9EC2-F86872174CE3}" name="Season" dataDxfId="194" dataCellStyle="Content normal">
      <calculatedColumnFormula array="1">Common_InputFunctions.Utility_DisplayArrayInTable(SourceData_PastureBeef.SourceData_PastureBeef_Liveweight_Data(), Table_SourceData_PastureBeef_Liveweight[[#Headers],[State]], 0)</calculatedColumnFormula>
    </tableColumn>
    <tableColumn id="4" xr3:uid="{245C4928-7D14-4E85-9899-45339D6B8707}" name="Bull &lt; 1" dataDxfId="193" dataCellStyle="Content normal">
      <calculatedColumnFormula array="1">Common_InputFunctions.Utility_DisplayArrayInTable(SourceData_PastureBeef.SourceData_PastureBeef_Liveweight_Data(), Table_SourceData_PastureBeef_Liveweight[[#Headers],[State]], 0)</calculatedColumnFormula>
    </tableColumn>
    <tableColumn id="5" xr3:uid="{AB4B28C6-481B-440C-8CEF-329B70ACE19C}" name="Bull &gt; 1" dataDxfId="192" dataCellStyle="Content normal">
      <calculatedColumnFormula array="1">Common_InputFunctions.Utility_DisplayArrayInTable(SourceData_PastureBeef.SourceData_PastureBeef_Liveweight_Data(), Table_SourceData_PastureBeef_Liveweight[[#Headers],[State]], 0)</calculatedColumnFormula>
    </tableColumn>
    <tableColumn id="6" xr3:uid="{F83648DA-F322-4C6D-864B-A09C5E928C5F}" name="Cow &lt; 1" dataDxfId="191" dataCellStyle="Content normal">
      <calculatedColumnFormula array="1">Common_InputFunctions.Utility_DisplayArrayInTable(SourceData_PastureBeef.SourceData_PastureBeef_Liveweight_Data(), Table_SourceData_PastureBeef_Liveweight[[#Headers],[State]], 0)</calculatedColumnFormula>
    </tableColumn>
    <tableColumn id="7" xr3:uid="{3901689D-3705-4ECF-A4C1-449ABEEDE5DB}" name="Cow 1-2" dataDxfId="190" dataCellStyle="Content normal">
      <calculatedColumnFormula array="1">Common_InputFunctions.Utility_DisplayArrayInTable(SourceData_PastureBeef.SourceData_PastureBeef_Liveweight_Data(), Table_SourceData_PastureBeef_Liveweight[[#Headers],[State]], 0)</calculatedColumnFormula>
    </tableColumn>
    <tableColumn id="8" xr3:uid="{99A74803-7E79-4422-9F78-2891F6F1ADF4}" name="Cow &gt; 2" dataDxfId="189" dataCellStyle="Content normal">
      <calculatedColumnFormula array="1">Common_InputFunctions.Utility_DisplayArrayInTable(SourceData_PastureBeef.SourceData_PastureBeef_Liveweight_Data(), Table_SourceData_PastureBeef_Liveweight[[#Headers],[State]], 0)</calculatedColumnFormula>
    </tableColumn>
    <tableColumn id="9" xr3:uid="{2748334A-DCC3-4CB7-8CC7-8D2C05F8A52B}" name="Steer &lt; 1" dataDxfId="188" dataCellStyle="Content normal">
      <calculatedColumnFormula array="1">Common_InputFunctions.Utility_DisplayArrayInTable(SourceData_PastureBeef.SourceData_PastureBeef_Liveweight_Data(), Table_SourceData_PastureBeef_Liveweight[[#Headers],[State]], 0)</calculatedColumnFormula>
    </tableColumn>
    <tableColumn id="10" xr3:uid="{6C323C91-916D-4592-B37D-A515E6402174}" name="Steer &gt; 1" dataDxfId="187" dataCellStyle="Content normal">
      <calculatedColumnFormula array="1">Common_InputFunctions.Utility_DisplayArrayInTable(SourceData_PastureBeef.SourceData_PastureBeef_Liveweight_Data(), Table_SourceData_PastureBeef_Liveweight[[#Headers],[State]], 0)</calculatedColumnFormula>
    </tableColumn>
  </tableColumns>
  <tableStyleInfo name="Equation table" showFirstColumn="0" showLastColumn="0" showRowStripes="1" showColumnStripes="0"/>
</table>
</file>

<file path=xl/tables/table1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5" xr:uid="{F241CB1E-152C-4648-B8E2-B789702A8479}" name="Table_SourceData_PastureBeef_LiveweightNTQD" displayName="Table_SourceData_PastureBeef_LiveweightNTQD" ref="D53:P81" totalsRowShown="0">
  <autoFilter ref="D53:P81" xr:uid="{56498C6E-3CDA-4A1F-A7E7-3227B1B0C9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78C2385-3D3A-4E4E-A64A-BA8D4E29B7E5}" name="State">
      <calculatedColumnFormula array="1">Common_InputFunctions.Utility_DisplayArrayInTable(SourceData_PastureBeef.SourceData_PastureBeef_LiveweightNTQLD_Data(),Table_SourceData_PastureBeef_LiveweightNTQD[[#Headers],[State]], 0)</calculatedColumnFormula>
    </tableColumn>
    <tableColumn id="2" xr3:uid="{28043912-F68E-46F4-953F-98D6FD23BF05}" name="Region" dataDxfId="18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3" xr3:uid="{B1A882B0-1C91-4665-9A35-C32BB96B4471}" name="Season" dataDxfId="18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4" xr3:uid="{F2349E71-22E9-46B8-86B0-AE3A43099E16}" name="Bull &lt;1" dataDxfId="184" dataCellStyle="Content normal">
      <calculatedColumnFormula array="1">Common_InputFunctions.Utility_DisplayArrayInTable(SourceData_PastureBeef.SourceData_PastureBeef_LiveweightNTQLD_Data(),Table_SourceData_PastureBeef_LiveweightNTQD[[#Headers],[State]], 0)</calculatedColumnFormula>
    </tableColumn>
    <tableColumn id="5" xr3:uid="{DA5336C9-D336-4CD6-88D2-0D22D730F747}" name="Bull &gt;1" dataDxfId="183" dataCellStyle="Content normal">
      <calculatedColumnFormula array="1">Common_InputFunctions.Utility_DisplayArrayInTable(SourceData_PastureBeef.SourceData_PastureBeef_LiveweightNTQLD_Data(),Table_SourceData_PastureBeef_LiveweightNTQD[[#Headers],[State]], 0)</calculatedColumnFormula>
    </tableColumn>
    <tableColumn id="6" xr3:uid="{099A0783-5B3B-4CF8-B22F-8EE8C9C22120}" name="Cows &lt;1" dataDxfId="182" dataCellStyle="Content normal">
      <calculatedColumnFormula array="1">Common_InputFunctions.Utility_DisplayArrayInTable(SourceData_PastureBeef.SourceData_PastureBeef_LiveweightNTQLD_Data(),Table_SourceData_PastureBeef_LiveweightNTQD[[#Headers],[State]], 0)</calculatedColumnFormula>
    </tableColumn>
    <tableColumn id="7" xr3:uid="{07E30DBC-31AC-460B-AFAC-7E9B2B8F56D8}" name="Cows 1-2" dataDxfId="18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8" xr3:uid="{C53D1F72-907F-4E31-A69B-C55905E4B7B5}" name="Cows 2-3" dataDxfId="18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9" xr3:uid="{312DE61B-19FB-4430-B609-44FAE2288E62}" name="Cows &gt;3" dataDxfId="179"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0" xr3:uid="{2903B3A3-CC64-4E11-B5C4-A1F05D718DDA}" name="Steer &lt;1" dataDxfId="178"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1" xr3:uid="{9AFEA49F-C82F-4443-B4BA-9BEDB330E706}" name="Steer 1-2" dataDxfId="17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2" xr3:uid="{22A49C52-A7C5-4D57-84A2-5706EFFE0CD9}" name="Steer 2-3" dataDxfId="17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3" xr3:uid="{35AB7528-920E-4DAF-A25A-CA7F598288A2}" name="Steer &gt;3" dataDxfId="175" dataCellStyle="Content normal">
      <calculatedColumnFormula array="1">Common_InputFunctions.Utility_DisplayArrayInTable(SourceData_PastureBeef.SourceData_PastureBeef_LiveweightNTQLD_Data(),Table_SourceData_PastureBeef_LiveweightNTQD[[#Headers],[State]], 0)</calculatedColumnFormula>
    </tableColumn>
  </tableColumns>
  <tableStyleInfo name="Equation table" showFirstColumn="0" showLastColumn="0" showRowStripes="1" showColumnStripes="0"/>
</table>
</file>

<file path=xl/tables/table1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6" xr:uid="{CEFD709D-8418-4AA0-B3DE-DF24038E55FD}" name="Table_SourceData_PastureBeef_LiveweightAllStates" displayName="Table_SourceData_PastureBeef_LiveweightAllStates" ref="D85:P153" totalsRowShown="0">
  <autoFilter ref="D85:P153" xr:uid="{C5E9D0D1-9D34-431E-BF55-46DC48CCCDF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43FA48A9-8D0A-4F72-B9C1-C6C77894E678}" name="State"/>
    <tableColumn id="2" xr3:uid="{09E640C8-09D2-4775-8AA9-34ECACDD61C4}" name="Region">
      <calculatedColumnFormula>E22</calculatedColumnFormula>
    </tableColumn>
    <tableColumn id="3" xr3:uid="{4EE34C07-2B2A-467C-B09F-8312BE0875A7}" name="Season">
      <calculatedColumnFormula>F22</calculatedColumnFormula>
    </tableColumn>
    <tableColumn id="4" xr3:uid="{DC502F23-A4DC-4EBD-91B1-F2AB2D1D42C6}" name="Bulls &lt; 1 year">
      <calculatedColumnFormula>G22</calculatedColumnFormula>
    </tableColumn>
    <tableColumn id="5" xr3:uid="{CFC1AD2C-20E7-4CDA-B3BB-5C4C2CCA4965}" name="Bulls &gt; 1 year">
      <calculatedColumnFormula>H22</calculatedColumnFormula>
    </tableColumn>
    <tableColumn id="6" xr3:uid="{5CB7377E-5720-4F7D-8191-CF40193737CE}" name="Cows &lt; 1 year">
      <calculatedColumnFormula>I22</calculatedColumnFormula>
    </tableColumn>
    <tableColumn id="7" xr3:uid="{B35AD2F1-8373-48DD-BD17-6A951FE59448}" name="Cows 1-2 years">
      <calculatedColumnFormula>J22</calculatedColumnFormula>
    </tableColumn>
    <tableColumn id="8" xr3:uid="{2D9CE1BB-811C-4EBC-AE81-AA1C52B57D91}" name="Cows 2-3 years">
      <calculatedColumnFormula>K22</calculatedColumnFormula>
    </tableColumn>
    <tableColumn id="9" xr3:uid="{57088271-ED74-4CC8-A0EB-31E2DF35874B}" name="Cows &gt; 3 years">
      <calculatedColumnFormula>L22</calculatedColumnFormula>
    </tableColumn>
    <tableColumn id="10" xr3:uid="{8D2CAE93-CBF6-414C-B4E0-5ED3507CA6B9}" name="Steers &lt; 1 year">
      <calculatedColumnFormula>M22</calculatedColumnFormula>
    </tableColumn>
    <tableColumn id="11" xr3:uid="{CACAAB30-CA16-497C-9305-6943E4C93B52}" name="Steers 1-2 years">
      <calculatedColumnFormula>N22</calculatedColumnFormula>
    </tableColumn>
    <tableColumn id="12" xr3:uid="{4DE3BE7F-8D79-46DD-B623-3C1D5C2CC2AF}" name="Steers 2-3 years">
      <calculatedColumnFormula>O22</calculatedColumnFormula>
    </tableColumn>
    <tableColumn id="13" xr3:uid="{63157230-F8D2-4A6E-9157-63350CC5930F}" name="Steers &gt;3 years">
      <calculatedColumnFormula>P22</calculatedColumnFormula>
    </tableColumn>
  </tableColumns>
  <tableStyleInfo name="Equation table" showFirstColumn="0" showLastColumn="0" showRowStripes="1" showColumnStripes="0"/>
</table>
</file>

<file path=xl/tables/table1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7" xr:uid="{284885F7-6E4A-416A-A3BE-A9A172F46F5F}" name="Table_SourceData_PastureBeef_Region_Queensland" displayName="Table_SourceData_PastureBeef_Region_Queensland" ref="Q7:Q11" totalsRowShown="0">
  <autoFilter ref="Q7:Q11" xr:uid="{0152B2C3-CC3B-4554-AC62-87093E6D416E}">
    <filterColumn colId="0" hiddenButton="1"/>
  </autoFilter>
  <tableColumns count="1">
    <tableColumn id="1" xr3:uid="{95A51689-EE3D-4EE4-8209-433D433B74FA}" name="Region"/>
  </tableColumns>
  <tableStyleInfo name="Equation table" showFirstColumn="0" showLastColumn="0" showRowStripes="1" showColumnStripes="0"/>
</table>
</file>

<file path=xl/tables/table1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8" xr:uid="{CD820F93-BCAA-4E87-A0FE-F48BCD5AF4D7}" name="Table_SourceData_PastureBeef_Region_NorthernTerritory" displayName="Table_SourceData_PastureBeef_Region_NorthernTerritory" ref="O7:O10" totalsRowShown="0">
  <autoFilter ref="O7:O10" xr:uid="{2B557DC2-537E-4888-B9B7-260F5041B425}">
    <filterColumn colId="0" hiddenButton="1"/>
  </autoFilter>
  <tableColumns count="1">
    <tableColumn id="1" xr3:uid="{59CF99B1-36D0-4E02-B1F8-687F20B61531}" name="Region"/>
  </tableColumns>
  <tableStyleInfo name="Equation table" showFirstColumn="0" showLastColumn="0" showRowStripes="1" showColumnStripes="0"/>
</table>
</file>

<file path=xl/tables/table1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9" xr:uid="{AF8913A0-ECFF-428B-9BF6-A7567E64E2DE}" name="Table_SourceData_PastureBeef_Region_WesternAustralia" displayName="Table_SourceData_PastureBeef_Region_WesternAustralia" ref="M7:M10" totalsRowShown="0">
  <autoFilter ref="M7:M10" xr:uid="{69C19929-4234-4DF1-A517-B50C12615BC1}">
    <filterColumn colId="0" hiddenButton="1"/>
  </autoFilter>
  <tableColumns count="1">
    <tableColumn id="1" xr3:uid="{CF1D737B-D1A7-4399-9FF1-00B05B735C1E}" name="Region"/>
  </tableColumns>
  <tableStyleInfo name="Equation table" showFirstColumn="0" showLastColumn="0" showRowStripes="1" showColumnStripes="0"/>
</table>
</file>

<file path=xl/tables/table1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0" xr:uid="{13044B30-A09F-4350-86B9-CA3CA0DC8429}" name="Table_SourceData_PastureBeef_Region_Victoria" displayName="Table_SourceData_PastureBeef_Region_Victoria" ref="S7:S8" totalsRowShown="0">
  <autoFilter ref="S7:S8" xr:uid="{7D474D93-C1E0-4898-A434-69585070D0B9}">
    <filterColumn colId="0" hiddenButton="1"/>
  </autoFilter>
  <tableColumns count="1">
    <tableColumn id="1" xr3:uid="{81892D27-3179-49DF-AAE6-D037D5FC2228}" name="Region"/>
  </tableColumns>
  <tableStyleInfo name="Equation table" showFirstColumn="0" showLastColumn="0" showRowStripes="1" showColumnStripes="0"/>
</table>
</file>

<file path=xl/tables/table1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1" xr:uid="{80F38688-883D-40D5-A8B8-C26633C14A43}" name="Table_SourceData_PastureBeef_Region_NewSouthWales" displayName="Table_SourceData_PastureBeef_Region_NewSouthWales" ref="S12:S13" totalsRowShown="0">
  <autoFilter ref="S12:S13" xr:uid="{C2ECEA10-DD31-42C9-8624-54C901A6DE17}">
    <filterColumn colId="0" hiddenButton="1"/>
  </autoFilter>
  <tableColumns count="1">
    <tableColumn id="1" xr3:uid="{D14D935A-D5EE-4914-90D8-871F893EC443}" name="Region"/>
  </tableColumns>
  <tableStyleInfo name="Equation table" showFirstColumn="0" showLastColumn="0" showRowStripes="1" showColumnStripes="0"/>
</table>
</file>

<file path=xl/tables/table1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2" xr:uid="{8E80B970-7BF3-49EB-A097-F53AE85A9561}" name="Table_SourceData_PastureBeef_Region_SouthAustralia" displayName="Table_SourceData_PastureBeef_Region_SouthAustralia" ref="S17:S18" totalsRowShown="0">
  <autoFilter ref="S17:S18" xr:uid="{4B45161F-EF95-4623-81B8-A0254915E4F9}">
    <filterColumn colId="0" hiddenButton="1"/>
  </autoFilter>
  <tableColumns count="1">
    <tableColumn id="1" xr3:uid="{2C713AF1-775E-40CA-A900-0340069FBE6C}" name="Region"/>
  </tableColumns>
  <tableStyleInfo name="Equation table" showFirstColumn="0" showLastColumn="0" showRowStripes="1" showColumnStripes="0"/>
</table>
</file>

<file path=xl/tables/table1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3" xr:uid="{8F6CAB85-5721-4062-8628-4F5AD4CBC803}" name="Table_SourceData_PastureBeef_Region_Tasmania" displayName="Table_SourceData_PastureBeef_Region_Tasmania" ref="S22:S23" totalsRowShown="0">
  <autoFilter ref="S22:S23" xr:uid="{4E5A7E40-F6AE-4323-873A-9AB20571A18A}">
    <filterColumn colId="0" hiddenButton="1"/>
  </autoFilter>
  <tableColumns count="1">
    <tableColumn id="1" xr3:uid="{3948C0BB-49E1-4667-9F00-781B732183D1}" name="Region"/>
  </tableColumns>
  <tableStyleInfo name="Equation table" showFirstColumn="0" showLastColumn="0" showRowStripes="1" showColumnStripes="0"/>
</table>
</file>

<file path=xl/tables/table1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4" xr:uid="{39287CB2-DC86-41B0-BA7C-6A4D17E636E8}" name="Table_SourceData_PastureBeef_Region_ACT" displayName="Table_SourceData_PastureBeef_Region_ACT" ref="S27:S28" totalsRowShown="0">
  <autoFilter ref="S27:S28" xr:uid="{3655B7FD-A2CC-4B05-9668-16F7A54ED6C1}">
    <filterColumn colId="0" hiddenButton="1"/>
  </autoFilter>
  <tableColumns count="1">
    <tableColumn id="1" xr3:uid="{E26871B1-12D0-4D9F-9046-9E6BEE20CE2F}" name="Region"/>
  </tableColumns>
  <tableStyleInfo name="Equation table" showFirstColumn="0" showLastColumn="0" showRowStripes="1" showColumnStripes="0"/>
</table>
</file>

<file path=xl/tables/table1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5" xr:uid="{445F1ECC-6C6A-4370-ABB2-239E85A5C36B}" name="Table_SourceData_PastureBeef_LiveweightGain" displayName="Table_SourceData_PastureBeef_LiveweightGain" ref="D154:M182" totalsRowShown="0">
  <autoFilter ref="D154:M182" xr:uid="{1BDA4B1D-6D40-4D72-9B20-AC64B61CEA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18432ADC-4B8D-45AC-A848-85CAAAD99391}" name="State">
      <calculatedColumnFormula array="1">Common_InputFunctions.Utility_DisplayArrayInTable(SourceData_PastureBeef.SourceData_PastureBeef_LiveweightGain_Data(), Table_SourceData_PastureBeef_LiveweightGain[[#Headers],[State]],0)</calculatedColumnFormula>
    </tableColumn>
    <tableColumn id="2" xr3:uid="{0B40C830-549E-4BC5-8C13-A0C8833D124E}" name="Region" dataDxfId="174" dataCellStyle="Content normal">
      <calculatedColumnFormula array="1">Common_InputFunctions.Utility_DisplayArrayInTable(SourceData_PastureBeef.SourceData_PastureBeef_LiveweightGain_Data(), Table_SourceData_PastureBeef_LiveweightGain[[#Headers],[State]],0)</calculatedColumnFormula>
    </tableColumn>
    <tableColumn id="3" xr3:uid="{44DFC4D5-F6F5-4FC0-AF7A-7053FBB95C4C}" name="Season" dataDxfId="173" dataCellStyle="Content normal">
      <calculatedColumnFormula array="1">Common_InputFunctions.Utility_DisplayArrayInTable(SourceData_PastureBeef.SourceData_PastureBeef_LiveweightGain_Data(), Table_SourceData_PastureBeef_LiveweightGain[[#Headers],[State]],0)</calculatedColumnFormula>
    </tableColumn>
    <tableColumn id="4" xr3:uid="{EE3251D1-3F47-4E07-BC8C-103501C0B8E0}" name="Bull &lt;1" dataDxfId="172" dataCellStyle="Content normal">
      <calculatedColumnFormula array="1">Common_InputFunctions.Utility_DisplayArrayInTable(SourceData_PastureBeef.SourceData_PastureBeef_LiveweightGain_Data(), Table_SourceData_PastureBeef_LiveweightGain[[#Headers],[State]],0)</calculatedColumnFormula>
    </tableColumn>
    <tableColumn id="5" xr3:uid="{F33F543F-6CE5-484A-9C9B-18FF4BDC60FC}" name="Bull &gt;1" dataDxfId="171" dataCellStyle="Content normal">
      <calculatedColumnFormula array="1">Common_InputFunctions.Utility_DisplayArrayInTable(SourceData_PastureBeef.SourceData_PastureBeef_LiveweightGain_Data(), Table_SourceData_PastureBeef_LiveweightGain[[#Headers],[State]],0)</calculatedColumnFormula>
    </tableColumn>
    <tableColumn id="6" xr3:uid="{3761ADF7-9FE4-4319-BF9E-79590CEAA849}" name="Cow &lt;1" dataDxfId="170" dataCellStyle="Content normal">
      <calculatedColumnFormula array="1">Common_InputFunctions.Utility_DisplayArrayInTable(SourceData_PastureBeef.SourceData_PastureBeef_LiveweightGain_Data(), Table_SourceData_PastureBeef_LiveweightGain[[#Headers],[State]],0)</calculatedColumnFormula>
    </tableColumn>
    <tableColumn id="7" xr3:uid="{1B99881B-694E-4ECB-8749-A325146D621A}" name="Cow 1-2" dataDxfId="169" dataCellStyle="Content normal">
      <calculatedColumnFormula array="1">Common_InputFunctions.Utility_DisplayArrayInTable(SourceData_PastureBeef.SourceData_PastureBeef_LiveweightGain_Data(), Table_SourceData_PastureBeef_LiveweightGain[[#Headers],[State]],0)</calculatedColumnFormula>
    </tableColumn>
    <tableColumn id="8" xr3:uid="{302087C5-6AF5-448F-9D35-EACE5A7970A1}" name="Cow &gt;2" dataDxfId="168" dataCellStyle="Content normal">
      <calculatedColumnFormula array="1">Common_InputFunctions.Utility_DisplayArrayInTable(SourceData_PastureBeef.SourceData_PastureBeef_LiveweightGain_Data(), Table_SourceData_PastureBeef_LiveweightGain[[#Headers],[State]],0)</calculatedColumnFormula>
    </tableColumn>
    <tableColumn id="9" xr3:uid="{7CBE3334-A83F-465C-870A-62820129F709}" name="Steer &lt;1" dataDxfId="167" dataCellStyle="Content normal">
      <calculatedColumnFormula array="1">Common_InputFunctions.Utility_DisplayArrayInTable(SourceData_PastureBeef.SourceData_PastureBeef_LiveweightGain_Data(), Table_SourceData_PastureBeef_LiveweightGain[[#Headers],[State]],0)</calculatedColumnFormula>
    </tableColumn>
    <tableColumn id="10" xr3:uid="{6B4A046B-29F1-4687-8A68-EA0BDBACF4F2}" name="Steer &gt;1" dataDxfId="166" dataCellStyle="Content normal">
      <calculatedColumnFormula array="1">Common_InputFunctions.Utility_DisplayArrayInTable(SourceData_PastureBeef.SourceData_PastureBeef_LiveweightGain_Data(), Table_SourceData_PastureBeef_LiveweightGain[[#Headers],[State]],0)</calculatedColumnFormula>
    </tableColumn>
  </tableColumns>
  <tableStyleInfo name="Equation table" showFirstColumn="0" showLastColumn="0" showRowStripes="1" showColumnStripes="0"/>
</table>
</file>

<file path=xl/tables/table1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6" xr:uid="{A85DDBCA-A8AA-4FEA-8785-A905EBEAB82D}" name="Table_SourceData_PastureBeef_LiveweightGainNTQLD" displayName="Table_SourceData_PastureBeef_LiveweightGainNTQLD" ref="D189:P217" totalsRowShown="0">
  <autoFilter ref="D189:P217" xr:uid="{9BC52070-7B99-44CF-8B4E-32C43FBD96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7DBBB9C3-1B63-4484-9757-B1CC29F7B398}" name="State">
      <calculatedColumnFormula array="1">Common_InputFunctions.Utility_DisplayArrayInTable(SourceData_PastureBeef.SourceData_PastureBeef_LiveweightGainNTQLD_Data(),Table_SourceData_PastureBeef_LiveweightGainNTQLD[[#Headers],[State]],0)</calculatedColumnFormula>
    </tableColumn>
    <tableColumn id="2" xr3:uid="{46D5639E-CE0F-4377-8A34-60DCE73D7895}" name="Region" dataDxfId="16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3" xr3:uid="{F4E9AF5D-FEEE-4C64-BEC4-ACA6D52F4B9E}" name="Season" dataDxfId="16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4" xr3:uid="{616ABA55-D48F-4662-8745-69511C7AD0F1}" name="Bull &lt;1" dataDxfId="16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5" xr3:uid="{79EDAC0D-3ECD-4AF5-B052-802407455218}" name="Bull &gt;1" dataDxfId="16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6" xr3:uid="{EE4F50D0-F91D-416E-BDA5-B4843A810660}" name="Cow &lt;1" dataDxfId="161"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7" xr3:uid="{C633E0CD-F703-4ED6-8D43-99BD69B23DDA}" name="Cow 1-2" dataDxfId="16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8" xr3:uid="{763E7395-D0A1-4D04-AA1A-CCF37683ADDD}" name="Cow 2-3" dataDxfId="15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9" xr3:uid="{56F9C83B-CDF8-4D72-9DFA-55B5C775276E}" name="Cow &gt;3" dataDxfId="15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0" xr3:uid="{4CD0877A-67A5-4684-AF15-832F810B3E7F}" name="Steer &lt;1" dataDxfId="157"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1" xr3:uid="{D8E6C869-BFE0-44C9-83D2-A16163F30CB4}" name="Steer 1-2" dataDxfId="15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2" xr3:uid="{080F418D-3972-4309-9F35-DA75701A4AC7}" name="Steer 2-3" dataDxfId="15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3" xr3:uid="{00188015-A565-45D5-985D-EAA46BCA1165}" name="Steer &gt;3" dataDxfId="15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s>
  <tableStyleInfo name="Equation table" showFirstColumn="0" showLastColumn="0" showRowStripes="1" showColumnStripes="0"/>
</table>
</file>

<file path=xl/tables/table1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7" xr:uid="{774AFA5B-0949-47EC-90E6-827F434C5A8C}" name="Table_SourceData_PastureBeef_LiveweightGainAllStates" displayName="Table_SourceData_PastureBeef_LiveweightGainAllStates" ref="D222:P282" totalsRowShown="0">
  <autoFilter ref="D222:P282" xr:uid="{B94F72DD-5F7F-4594-8B05-AA19A8FE17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A60E5B67-15FC-49E7-A779-51B03C19B90F}" name="State"/>
    <tableColumn id="2" xr3:uid="{E294C632-66BF-4CB4-B9C1-248D1F99D50D}" name="Region">
      <calculatedColumnFormula>E159</calculatedColumnFormula>
    </tableColumn>
    <tableColumn id="3" xr3:uid="{39D987D6-C5EE-4546-9695-DF47C8351780}" name="Season">
      <calculatedColumnFormula>F159</calculatedColumnFormula>
    </tableColumn>
    <tableColumn id="4" xr3:uid="{2F031968-39FB-431A-AA4D-136E5E1C7183}" name="Bulls &lt; 1 year">
      <calculatedColumnFormula>G159</calculatedColumnFormula>
    </tableColumn>
    <tableColumn id="5" xr3:uid="{8CD7268C-C3A7-468E-ACD2-0B2EA54EA94A}" name="Bulls &gt; 1 year">
      <calculatedColumnFormula>H159</calculatedColumnFormula>
    </tableColumn>
    <tableColumn id="6" xr3:uid="{CE307F10-6D06-425B-A6E8-8F04CC832CBB}" name="Cows &lt; 1 year">
      <calculatedColumnFormula>I159</calculatedColumnFormula>
    </tableColumn>
    <tableColumn id="7" xr3:uid="{23007FAC-CFA2-4AD8-9033-94F71E3E5CDD}" name="Cows 1-2 years">
      <calculatedColumnFormula>J159</calculatedColumnFormula>
    </tableColumn>
    <tableColumn id="8" xr3:uid="{688BCC9A-3DF8-407C-9CBB-2FF0ED326374}" name="Cows 2-3 years">
      <calculatedColumnFormula>K159</calculatedColumnFormula>
    </tableColumn>
    <tableColumn id="9" xr3:uid="{731BDF75-42DD-4580-A091-DBB8DD5EE5DE}" name="Cows &gt; 3 years">
      <calculatedColumnFormula>L159</calculatedColumnFormula>
    </tableColumn>
    <tableColumn id="10" xr3:uid="{F2A82931-F0B4-4237-86BC-1D6B342CBD82}" name="Steers &lt; 1 year">
      <calculatedColumnFormula>M159</calculatedColumnFormula>
    </tableColumn>
    <tableColumn id="11" xr3:uid="{319F250D-F2D2-4EC6-A7FD-897D271EC34A}" name="Steers 1-2 years">
      <calculatedColumnFormula>N159</calculatedColumnFormula>
    </tableColumn>
    <tableColumn id="12" xr3:uid="{71A44A60-CCBC-4681-BA51-55AC20CB5C21}" name="Steers 2-3 years">
      <calculatedColumnFormula>O159</calculatedColumnFormula>
    </tableColumn>
    <tableColumn id="13" xr3:uid="{87BD97D1-2842-4D4A-B4FE-584134B27E82}" name="Steers &gt;3 years">
      <calculatedColumnFormula>P159</calculatedColumnFormula>
    </tableColumn>
  </tableColumns>
  <tableStyleInfo name="Equation table" showFirstColumn="0" showLastColumn="0" showRowStripes="1" showColumnStripes="0"/>
</table>
</file>

<file path=xl/tables/table1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8" xr:uid="{584B2A6D-29C1-4BC1-8A86-08EBFC5BB40E}" name="Table_SourceData_PastureBeef_DryMatterDigestibility" displayName="Table_SourceData_PastureBeef_DryMatterDigestibility" ref="D290:I305" totalsRowShown="0">
  <autoFilter ref="D290:I305" xr:uid="{901924B3-1836-4FF2-9419-A38B530E9158}">
    <filterColumn colId="0" hiddenButton="1"/>
    <filterColumn colId="1" hiddenButton="1"/>
    <filterColumn colId="2" hiddenButton="1"/>
    <filterColumn colId="3" hiddenButton="1"/>
    <filterColumn colId="4" hiddenButton="1"/>
    <filterColumn colId="5" hiddenButton="1"/>
  </autoFilter>
  <tableColumns count="6">
    <tableColumn id="1" xr3:uid="{68EA7844-69BA-4A0A-A221-304149AAB216}" name="State">
      <calculatedColumnFormula array="1">Common_InputFunctions.Utility_DisplayArrayInTable(SourceData_PastureBeef.SourceData_PastureBeef_DryMatterDigestibility_Data(), Table_SourceData_PastureBeef_DryMatterDigestibility[[#Headers],[State]], 0)</calculatedColumnFormula>
    </tableColumn>
    <tableColumn id="2" xr3:uid="{E505F651-7462-42FC-AC18-5FAC29511541}" name="Region" dataDxfId="153"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3" xr3:uid="{46BC8C01-D9A7-4A09-ADE6-D7E0FE8AE984}" name="Spring" dataDxfId="152"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4" xr3:uid="{CAE8E81F-85EC-43C9-9D7B-EE4543CE2564}" name="Summer" dataDxfId="151"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5" xr3:uid="{24A43459-FD37-4DFE-B84F-164077B1D2E7}" name="Autumn" dataDxfId="150"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6" xr3:uid="{28E16C2C-A887-4CFC-BD29-C72FAF6BBC15}" name="Winter" dataDxfId="149"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s>
  <tableStyleInfo name="Equation table" showFirstColumn="0" showLastColumn="0" showRowStripes="1" showColumnStripes="0"/>
</table>
</file>

<file path=xl/tables/table1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9" xr:uid="{668BCC0E-2630-4BD3-9DC8-4E8017CCB0F2}" name="Table_SourceData_PastureBeef_CrudeProtein" displayName="Table_SourceData_PastureBeef_CrudeProtein" ref="D313:I328" totalsRowShown="0" dataDxfId="148" dataCellStyle="Content normal">
  <autoFilter ref="D313:I328" xr:uid="{75841D5E-1F24-46B7-B5F9-1E024F5554ED}">
    <filterColumn colId="0" hiddenButton="1"/>
    <filterColumn colId="1" hiddenButton="1"/>
    <filterColumn colId="2" hiddenButton="1"/>
    <filterColumn colId="3" hiddenButton="1"/>
    <filterColumn colId="4" hiddenButton="1"/>
    <filterColumn colId="5" hiddenButton="1"/>
  </autoFilter>
  <tableColumns count="6">
    <tableColumn id="1" xr3:uid="{C0654FAE-A6D3-4616-8BF6-812232A8B4BF}" name="State" dataDxfId="147"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2" xr3:uid="{AFB02FAC-6BED-4C4F-83ED-F91F11D39853}" name="Region" dataDxfId="146"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3" xr3:uid="{FD1D2311-7AD7-4F42-9297-8EEAB6CA4179}" name="Spring" dataDxfId="145"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4" xr3:uid="{EE9902CD-39E7-4D97-B05F-A0C9AF34F468}" name="Summer" dataDxfId="144"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5" xr3:uid="{620E9B42-7033-413C-9789-BF4F47C063A0}" name="Autumn" dataDxfId="143"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6" xr3:uid="{ABAEA457-A43C-4E75-8AC4-17F50D041F4C}" name="Winter" dataDxfId="142" dataCellStyle="Content normal">
      <calculatedColumnFormula array="1">Common_InputFunctions.Utility_DisplayArrayInTable(SourceData_PastureBeef.SourceData_PastureBeef_CrudeProteinContent_Data(), Table_SourceData_PastureBeef_CrudeProtein[[#Headers],[State]], 0)</calculatedColumnFormula>
    </tableColumn>
  </tableColumns>
  <tableStyleInfo name="Equation table" showFirstColumn="0" showLastColumn="0" showRowStripes="1" showColumnStripes="0"/>
</table>
</file>

<file path=xl/tables/table1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0" xr:uid="{620ACD26-06C4-4EF4-8522-A435902342FD}" name="Table_SourceData_PastureBeef_FeedIntakeAdjustment" displayName="Table_SourceData_PastureBeef_FeedIntakeAdjustment" ref="D334:G342" totalsRowShown="0">
  <autoFilter ref="D334:G342" xr:uid="{821A673E-F16D-473C-802E-953C84454BC9}">
    <filterColumn colId="0" hiddenButton="1"/>
    <filterColumn colId="1" hiddenButton="1"/>
    <filterColumn colId="2" hiddenButton="1"/>
    <filterColumn colId="3" hiddenButton="1"/>
  </autoFilter>
  <tableColumns count="4">
    <tableColumn id="1" xr3:uid="{680980E1-BD1A-488C-84C0-0374219E1BF6}" name="Breed">
      <calculatedColumnFormula array="1">Common_InputFunctions.Utility_DisplayArrayInTable(SourceData_PastureBeef.SourceData_PastureBeef_FeedAdjustmentAndMilkProduction_Data(), Table_SourceData_PastureBeef_FeedIntakeAdjustment[[#Headers],[Breed]], 0)</calculatedColumnFormula>
    </tableColumn>
    <tableColumn id="2" xr3:uid="{AC9B7F3D-4BE3-4432-902C-A5E67DDE10F2}" name="Season" dataDxfId="141"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3" xr3:uid="{600B7482-4709-4455-9080-20541379F5AE}" name="Feed adjustment" dataDxfId="140"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4" xr3:uid="{5DD2FE77-655D-4A83-9F4E-7271D000489C}" name="Milk intake/production" dataDxfId="139"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s>
  <tableStyleInfo name="Equation table" showFirstColumn="0" showLastColumn="0" showRowStripes="1" showColumnStripes="0"/>
</table>
</file>

<file path=xl/tables/table1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1" xr:uid="{A4D9B07C-0AE1-4FCF-B996-85D53C17EE5C}" name="Table_SourceData_PastureBeef_StandardReferenceWeights" displayName="Table_SourceData_PastureBeef_StandardReferenceWeights" ref="D350:L358" totalsRowShown="0">
  <autoFilter ref="D350:L358" xr:uid="{BB816EB3-DC71-47F4-AF08-1CE512BD24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EFC361E4-65E5-42F4-8935-C05CAB2C038A}" name="State">
      <calculatedColumnFormula array="1">Common_InputFunctions.Utility_DisplayArrayInTable(SourceData_PastureBeef.SourceData_PastureBeef_StandardReferenceWeights_Data(), Table_SourceData_PastureBeef_StandardReferenceWeights[[#Headers],[State]], 0)</calculatedColumnFormula>
    </tableColumn>
    <tableColumn id="2" xr3:uid="{9F1D86DA-3A62-40DC-AE99-3BB238FEEEF0}" name="Bulls &lt;1" dataDxfId="138"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3" xr3:uid="{73B916B2-2359-4C1D-B2EC-86A91C5685D6}" name="Bulls &gt;1" dataDxfId="137"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4" xr3:uid="{936B9907-B0EE-4FE3-AAA6-420C80BB5C02}" name="Cows &lt;1" dataDxfId="136"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5" xr3:uid="{91E43A00-96C0-4F89-A182-92F035E91659}" name="Cows 1-2" dataDxfId="135"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6" xr3:uid="{5994AF44-25B4-40F5-A283-936BFF6BAB8E}" name="Cows &gt;2" dataDxfId="134"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7" xr3:uid="{F74C7060-FA57-4D1C-BCF3-B252496AD94C}" name="Steer &lt;1" dataDxfId="133"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8" xr3:uid="{2E906D83-C894-4C32-A370-8C2EFB01A827}" name="Steer &gt;1" dataDxfId="132"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9" xr3:uid="{F267C464-ACA7-4133-BB19-5511E587399F}" name="State abbreviation" dataDxfId="131"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s>
  <tableStyleInfo name="Equation table" showFirstColumn="0" showLastColumn="0" showRowStripes="1" showColumnStripes="0"/>
</table>
</file>

<file path=xl/tables/table1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2" xr:uid="{5797D853-8098-4F3B-AE63-893A76D22C58}" name="Table_SourceData_PastureBeef_StandardReferenceWeightsExpanded" displayName="Table_SourceData_PastureBeef_StandardReferenceWeightsExpanded" ref="D361:O369" totalsRowShown="0">
  <autoFilter ref="D361:O369" xr:uid="{690C3A79-36FD-46EF-9464-C7837EBBC93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A6E2C6C2-9338-4150-9DFF-E69B894D7F34}" name="State" dataDxfId="130" dataCellStyle="Content normal">
      <calculatedColumnFormula>D351</calculatedColumnFormula>
    </tableColumn>
    <tableColumn id="2" xr3:uid="{3A500914-DEBE-4A5B-9EFF-C566204ADAFE}" name="Bulls &lt; 1 year" dataDxfId="129" dataCellStyle="Content normal">
      <calculatedColumnFormula>E351</calculatedColumnFormula>
    </tableColumn>
    <tableColumn id="3" xr3:uid="{B874FEE3-562E-454F-BDBC-45043393C99C}" name="Bulls &gt; 1 year" dataDxfId="128" dataCellStyle="Content normal">
      <calculatedColumnFormula>F351</calculatedColumnFormula>
    </tableColumn>
    <tableColumn id="4" xr3:uid="{B5355347-A1F0-4973-A512-0D2CAACA96EE}" name="Cows &lt; 1 year" dataDxfId="127" dataCellStyle="Content normal">
      <calculatedColumnFormula>G351</calculatedColumnFormula>
    </tableColumn>
    <tableColumn id="5" xr3:uid="{77A191F8-38C3-4F24-9EFF-980D069BC04A}" name="Cows 1-2 years" dataDxfId="126" dataCellStyle="Content normal">
      <calculatedColumnFormula>H351</calculatedColumnFormula>
    </tableColumn>
    <tableColumn id="6" xr3:uid="{C27A0FE8-EB36-45AD-85CC-54422EECF9D4}" name="Cows 2-3 years" dataDxfId="125" dataCellStyle="Content normal">
      <calculatedColumnFormula>I351</calculatedColumnFormula>
    </tableColumn>
    <tableColumn id="7" xr3:uid="{E45A02BC-2BD9-40C3-AA1C-086EE1B3CF4E}" name="Cows &gt; 3 years" dataDxfId="124" dataCellStyle="Content normal">
      <calculatedColumnFormula>I351</calculatedColumnFormula>
    </tableColumn>
    <tableColumn id="8" xr3:uid="{64BCADE5-A30C-422D-95A6-F7AB897FB775}" name="Steers &lt; 1 year" dataDxfId="123" dataCellStyle="Content normal">
      <calculatedColumnFormula>J351</calculatedColumnFormula>
    </tableColumn>
    <tableColumn id="9" xr3:uid="{A3AA722E-C9A8-476C-9FE8-DC46C3A6D9FA}" name="Steers 1-2 years" dataDxfId="122" dataCellStyle="Content normal">
      <calculatedColumnFormula>K351</calculatedColumnFormula>
    </tableColumn>
    <tableColumn id="10" xr3:uid="{CC7AE6BD-32DE-43F2-B3D8-F334FC0BA640}" name="Steers 2-3 years" dataDxfId="121" dataCellStyle="Content normal">
      <calculatedColumnFormula>K351</calculatedColumnFormula>
    </tableColumn>
    <tableColumn id="11" xr3:uid="{B364C281-70AB-4253-BEE3-56EAB88390C8}" name="Steers &gt;3 years" dataDxfId="120" dataCellStyle="Content normal">
      <calculatedColumnFormula>K351</calculatedColumnFormula>
    </tableColumn>
    <tableColumn id="12" xr3:uid="{1B567087-DFFB-45A9-97B9-5D55DA59D657}" name="State abbreviation" dataDxfId="119" dataCellStyle="Content normal">
      <calculatedColumnFormula>L351</calculatedColumnFormula>
    </tableColumn>
  </tableColumns>
  <tableStyleInfo name="Equation table" showFirstColumn="0" showLastColumn="0" showRowStripes="1" showColumnStripes="0"/>
</table>
</file>

<file path=xl/tables/table1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3" xr:uid="{31D3430B-E31F-4FD1-B127-649DFD8B42EE}" name="Table_SourceData_PastureBeef_FractionManureToMMS" displayName="Table_SourceData_PastureBeef_FractionManureToMMS" ref="D377:G392" totalsRowShown="0">
  <autoFilter ref="D377:G392" xr:uid="{003DF600-7F90-40C8-83F7-83F17E8C8244}">
    <filterColumn colId="0" hiddenButton="1"/>
    <filterColumn colId="1" hiddenButton="1"/>
    <filterColumn colId="2" hiddenButton="1"/>
    <filterColumn colId="3" hiddenButton="1"/>
  </autoFilter>
  <tableColumns count="4">
    <tableColumn id="1" xr3:uid="{495D6089-FB29-4364-B87E-385DA161F588}" name="State">
      <calculatedColumnFormula array="1">Common_InputFunctions.Utility_DisplayArrayInTable(SourceData_PastureBeef.SourceData_PastureBeef_FractionOfManureToMMS_Data(),Table_SourceData_PastureBeef_FractionManureToMMS[[#Headers],[State]], 0)</calculatedColumnFormula>
    </tableColumn>
    <tableColumn id="2" xr3:uid="{3AA6E944-2416-4AB4-A6EC-52151F8F867A}" name="Region" dataDxfId="118"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3" xr3:uid="{D92A949A-22BE-454B-A4D5-96791695B4C6}" name="Pasture range and paddock" dataDxfId="117"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4" xr3:uid="{17CACF3C-AC2D-435C-A4A4-EAA0846D77BD}" name="Uncovered Anaerobic lagoon" dataDxfId="116"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s>
  <tableStyleInfo name="Equation table" showFirstColumn="0" showLastColumn="0" showRowStripes="1" showColumnStripes="0"/>
</table>
</file>

<file path=xl/tables/table1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4" xr:uid="{7991D952-AEC4-4580-84E8-87E94D4D8CC6}" name="Table_SourceData_PastureBeef_MethaneConversionFactor" displayName="Table_SourceData_PastureBeef_MethaneConversionFactor" ref="D400:G415" totalsRowShown="0" dataDxfId="115" dataCellStyle="Content normal">
  <autoFilter ref="D400:G415" xr:uid="{4418AC31-F58F-4AB7-B02E-51D846B94E9A}">
    <filterColumn colId="0" hiddenButton="1"/>
    <filterColumn colId="1" hiddenButton="1"/>
    <filterColumn colId="2" hiddenButton="1"/>
    <filterColumn colId="3" hiddenButton="1"/>
  </autoFilter>
  <tableColumns count="4">
    <tableColumn id="1" xr3:uid="{61A94D89-68BA-4E0A-9806-B1110A39FDF7}" name="State" dataDxfId="114"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2" xr3:uid="{2822E44D-E6CD-4541-BFAC-6314D9007ED7}" name="Region" dataDxfId="113"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3" xr3:uid="{A7574A1F-79E6-4EEB-8F4D-BEB129E9DB10}" name="Pasture range and paddock" dataDxfId="112"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4" xr3:uid="{D115D680-3E06-4F5A-991D-9833A8F57FCF}" name="Uncovered Anaerobic lagoon" dataDxfId="111"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s>
  <tableStyleInfo name="Equation table" showFirstColumn="0" showLastColumn="0" showRowStripes="1" showColumnStripes="0"/>
</table>
</file>

<file path=xl/tables/table1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5" xr:uid="{687764F1-3B6B-4A8D-B41D-5FDACC70E214}" name="Table_SourceData_PastureBeef_FeedIntakeAdjustment_Variation" displayName="Table_SourceData_PastureBeef_FeedIntakeAdjustment_Variation" ref="I334:L338" totalsRowShown="0">
  <autoFilter ref="I334:L338" xr:uid="{04F0ADD4-5226-4095-B178-6A0021B7EFDC}">
    <filterColumn colId="0" hiddenButton="1"/>
    <filterColumn colId="1" hiddenButton="1"/>
    <filterColumn colId="2" hiddenButton="1"/>
    <filterColumn colId="3" hiddenButton="1"/>
  </autoFilter>
  <tableColumns count="4">
    <tableColumn id="1" xr3:uid="{24C2AD5A-CDAA-4BB4-A3FB-43E15CFC872C}" name="Breed">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2" xr3:uid="{B9D4AE6E-C415-4666-95E8-648C6634ABED}" name="Season" dataDxfId="110"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3" xr3:uid="{C9BC1383-D986-4C75-A87E-88B6F2A0053B}" name="Feed adjustment" dataDxfId="109"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4" xr3:uid="{D236C73D-10FB-4AF3-8E39-393645977835}" name="Milk intake/production" dataDxfId="108"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s>
  <tableStyleInfo name="Equation table" showFirstColumn="0" showLastColumn="0" showRowStripes="1" showColumnStripes="0"/>
</table>
</file>

<file path=xl/tables/table1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0E000E66-D763-4927-9F8E-C3B8A94E50FD}" name="Table_Data_MMSSymbols" displayName="Table_Data_MMSSymbols" ref="D6:F24" totalsRowShown="0">
  <autoFilter ref="D6:F24" xr:uid="{0E000E66-D763-4927-9F8E-C3B8A94E50FD}">
    <filterColumn colId="0" hiddenButton="1"/>
    <filterColumn colId="1" hiddenButton="1"/>
    <filterColumn colId="2" hiddenButton="1"/>
  </autoFilter>
  <tableColumns count="3">
    <tableColumn id="1" xr3:uid="{3C2F8669-2292-41BE-AD7A-5D44DD7970E6}" name="Symbol">
      <calculatedColumnFormula array="1">Common_InputFunctions.Utility_DisplayArrayInTable(CommonLivestock_SourceData.SourceData_Livestock_Common_SymbolsMMS_Data(), Table_Data_MMSSymbols[[#Headers],[Symbol]], 0)</calculatedColumnFormula>
    </tableColumn>
    <tableColumn id="2" xr3:uid="{7CAEC858-D3C7-45CB-8D28-1A6D196D54C8}" name="Manure management system">
      <calculatedColumnFormula array="1">Common_InputFunctions.Utility_DisplayArrayInTable(CommonLivestock_SourceData.SourceData_Livestock_Common_SymbolsMMS_Data(), Table_Data_MMSSymbols[[#Headers],[Symbol]], 0)</calculatedColumnFormula>
    </tableColumn>
    <tableColumn id="3" xr3:uid="{A0456DD7-0E0C-4A6D-A5A9-DF42A59B6B9C}" name="Symbol and MMS">
      <calculatedColumnFormula array="1">Common_InputFunctions.Utility_DisplayArrayInTable(CommonLivestock_SourceData.SourceData_Livestock_Common_SymbolsMMS_Data(),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ables/table1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C8FE36D3-CC70-4E55-B1CD-2DF9D88511B2}" name="Table_SourceData_LivestockProduct_Beefcattle" displayName="Table_SourceData_LivestockProduct_Beefcattle" ref="D28:E36" totalsRowShown="0">
  <autoFilter ref="D28:E36" xr:uid="{C8FE36D3-CC70-4E55-B1CD-2DF9D88511B2}">
    <filterColumn colId="0" hiddenButton="1"/>
    <filterColumn colId="1" hiddenButton="1"/>
  </autoFilter>
  <tableColumns count="2">
    <tableColumn id="1" xr3:uid="{D52CCD92-2E4B-42E8-A3CE-6F6DB8B09E1E}" name="Product">
      <calculatedColumnFormula array="1">Common_InputFunctions.Utility_DisplayArrayInTable(CommonLivestock_SourceData.SourceData_Livestock_Product_BeefCattle_Data(),Table_SourceData_LivestockProduct_Beefcattle[[#Headers],[Product]],0)</calculatedColumnFormula>
    </tableColumn>
    <tableColumn id="2" xr3:uid="{916DA7EA-11C4-448D-9858-CE3060A32C56}" name="Source region" dataDxfId="107" dataCellStyle="Content normal">
      <calculatedColumnFormula array="1">Common_InputFunctions.Utility_DisplayArrayInTable(CommonLivestock_SourceData.SourceData_Livestock_Product_BeefCattle_Data(),Table_SourceData_LivestockProduct_Beefcattle[[#Headers],[Product]],0)</calculatedColumnFormula>
    </tableColumn>
  </tableColumns>
  <tableStyleInfo name="Equation table" showFirstColumn="0" showLastColumn="0" showRowStripes="1" showColumnStripes="0"/>
</table>
</file>

<file path=xl/tables/table1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879A0650-599F-46E3-BDCA-CF804D191F3B}" name="Table_SourceData_LivestockProduct_Sheep" displayName="Table_SourceData_LivestockProduct_Sheep" ref="D40:E47" totalsRowShown="0" dataDxfId="106" dataCellStyle="Content normal">
  <autoFilter ref="D40:E47" xr:uid="{879A0650-599F-46E3-BDCA-CF804D191F3B}">
    <filterColumn colId="0" hiddenButton="1"/>
    <filterColumn colId="1" hiddenButton="1"/>
  </autoFilter>
  <tableColumns count="2">
    <tableColumn id="1" xr3:uid="{F237F8B2-5CE9-4094-A201-E708B82BA8BF}" name="Product" dataDxfId="105" dataCellStyle="Content normal">
      <calculatedColumnFormula array="1">Common_InputFunctions.Utility_DisplayArrayInTable(CommonLivestock_SourceData.SourceData_Livestock_Product_Sheep_Data(),Table_SourceData_LivestockProduct_Sheep[[#Headers],[Product]],0)</calculatedColumnFormula>
    </tableColumn>
    <tableColumn id="2" xr3:uid="{0EDD4751-35AD-4459-93E0-CE98B5BABBF2}" name="Source region" dataDxfId="104" dataCellStyle="Content normal">
      <calculatedColumnFormula array="1">Common_InputFunctions.Utility_DisplayArrayInTable(CommonLivestock_SourceData.SourceData_Livestock_Product_Sheep_Data(),Table_SourceData_LivestockProduct_Sheep[[#Headers],[Product]],0)</calculatedColumnFormula>
    </tableColumn>
  </tableColumns>
  <tableStyleInfo name="Equation table" showFirstColumn="0" showLastColumn="0" showRowStripes="1" showColumnStripes="0"/>
</table>
</file>

<file path=xl/tables/table1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5D161BB1-95E1-405D-861A-B4883D49A51C}" name="Table_SourceData_LivestockProduct_Chickens" displayName="Table_SourceData_LivestockProduct_Chickens" ref="D51:E52" totalsRowShown="0" dataDxfId="103" dataCellStyle="Content normal">
  <autoFilter ref="D51:E52" xr:uid="{5D161BB1-95E1-405D-861A-B4883D49A51C}">
    <filterColumn colId="0" hiddenButton="1"/>
    <filterColumn colId="1" hiddenButton="1"/>
  </autoFilter>
  <tableColumns count="2">
    <tableColumn id="1" xr3:uid="{44557688-3D5A-45A6-818D-F1328BB9ECC9}" name="Product" dataDxfId="102" dataCellStyle="Content normal"/>
    <tableColumn id="2" xr3:uid="{EBB79BF0-E159-4EB6-BB7B-3F1244144FB8}" name="Source region" dataDxfId="101" dataCellStyle="Content normal"/>
  </tableColumns>
  <tableStyleInfo name="Equation table" showFirstColumn="0" showLastColumn="0" showRowStripes="1" showColumnStripes="0"/>
</table>
</file>

<file path=xl/tables/table1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91542D18-4304-4E66-85EA-4F5A2B9391FE}" name="Table_SourceData_LivestockProduct_Dairycattle" displayName="Table_SourceData_LivestockProduct_Dairycattle" ref="D56:E57" totalsRowShown="0" dataDxfId="100" dataCellStyle="Content normal">
  <autoFilter ref="D56:E57" xr:uid="{91542D18-4304-4E66-85EA-4F5A2B9391FE}">
    <filterColumn colId="0" hiddenButton="1"/>
    <filterColumn colId="1" hiddenButton="1"/>
  </autoFilter>
  <tableColumns count="2">
    <tableColumn id="1" xr3:uid="{B414FDE1-8B5E-4532-8C69-A9C006972E91}" name="Product" dataDxfId="99" dataCellStyle="Content normal"/>
    <tableColumn id="2" xr3:uid="{87985B54-B921-41B1-974E-732C0558CFE9}" name="Source region" dataDxfId="98" dataCellStyle="Content normal"/>
  </tableColumns>
  <tableStyleInfo name="Equation table" showFirstColumn="0" showLastColumn="0" showRowStripes="1" showColumnStripes="0"/>
</table>
</file>

<file path=xl/tables/table1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4B96D517-47DA-49C8-8030-0D501D458198}" name="Table_SourceData_LivestockProduct_Pigs" displayName="Table_SourceData_LivestockProduct_Pigs" ref="D61:E62" totalsRowShown="0" dataDxfId="97" dataCellStyle="Content normal">
  <autoFilter ref="D61:E62" xr:uid="{4B96D517-47DA-49C8-8030-0D501D458198}">
    <filterColumn colId="0" hiddenButton="1"/>
    <filterColumn colId="1" hiddenButton="1"/>
  </autoFilter>
  <tableColumns count="2">
    <tableColumn id="1" xr3:uid="{20B25AB9-804F-4D21-9C93-F44C0DAF008F}" name="Product" dataDxfId="96" dataCellStyle="Content normal"/>
    <tableColumn id="2" xr3:uid="{B35C6622-BE74-446D-9C8E-F63C2447CD28}" name="Source region" dataDxfId="95" dataCellStyle="Content normal"/>
  </tableColumns>
  <tableStyleInfo name="Equation table" showFirstColumn="0" showLastColumn="0" showRowStripes="1" showColumnStripes="0"/>
</table>
</file>

<file path=xl/tables/table1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A2B42136-C55D-4406-935F-C32E6560EE05}" name="Table_Fertiliser_ChemicalCompounds" displayName="Table_Fertiliser_ChemicalCompounds" ref="D19:I38" totalsRowShown="0">
  <autoFilter ref="D19:I38" xr:uid="{C62DD19F-CBC4-42A0-AD7E-F034180A8AA9}">
    <filterColumn colId="0" hiddenButton="1"/>
    <filterColumn colId="1" hiddenButton="1"/>
    <filterColumn colId="2" hiddenButton="1"/>
    <filterColumn colId="3" hiddenButton="1"/>
    <filterColumn colId="4" hiddenButton="1"/>
    <filterColumn colId="5" hiddenButton="1"/>
  </autoFilter>
  <tableColumns count="6">
    <tableColumn id="1" xr3:uid="{5CD8369B-349F-42E6-805D-14C6F763E7B1}" name="Fertiliser type f">
      <calculatedColumnFormula array="1">Common_InputFunctions.Utility_DisplayArrayInTable(Fertiliser_SourceData.Fertiliser_ChemicalCompoundElements_Data(),Table_Fertiliser_ChemicalCompounds[[#Headers],[Fertiliser type f]], 0)</calculatedColumnFormula>
    </tableColumn>
    <tableColumn id="2" xr3:uid="{A38C8E82-36EC-473B-A4FF-CF00B4BDE9C9}" name="FNinorganic f">
      <calculatedColumnFormula array="1">Common_InputFunctions.Utility_DisplayArrayInTable(Fertiliser_SourceData.Fertiliser_ChemicalCompoundElements_Data(),Table_Fertiliser_ChemicalCompounds[[#Headers],[Fertiliser type f]], 0)</calculatedColumnFormula>
    </tableColumn>
    <tableColumn id="3" xr3:uid="{871C03ED-CF81-4534-B291-9D748D947443}" name="FU f">
      <calculatedColumnFormula array="1">Common_InputFunctions.Utility_DisplayArrayInTable(Fertiliser_SourceData.Fertiliser_ChemicalCompoundElements_Data(),Table_Fertiliser_ChemicalCompounds[[#Headers],[Fertiliser type f]], 0)</calculatedColumnFormula>
    </tableColumn>
    <tableColumn id="4" xr3:uid="{179BB24E-296D-4B79-B53E-7A584DD0E7D1}" name="Basis">
      <calculatedColumnFormula array="1">Common_InputFunctions.Utility_DisplayArrayInTable(Fertiliser_SourceData.Fertiliser_ChemicalCompoundElements_Data(),Table_Fertiliser_ChemicalCompounds[[#Headers],[Fertiliser type f]], 0)</calculatedColumnFormula>
    </tableColumn>
    <tableColumn id="5" xr3:uid="{C34BE407-CC16-49BB-AAC5-93CD8C52EC4C}" name="Lifecycles Scope 3 definition">
      <calculatedColumnFormula array="1">Common_InputFunctions.Utility_DisplayArrayInTable(Fertiliser_SourceData.Fertiliser_ChemicalCompoundElements_Data(),Table_Fertiliser_ChemicalCompounds[[#Headers],[Fertiliser type f]], 0)</calculatedColumnFormula>
    </tableColumn>
    <tableColumn id="6" xr3:uid="{54784547-7369-4085-AC4A-523A586AE67F}" name="Source">
      <calculatedColumnFormula array="1">Common_InputFunctions.Utility_DisplayArrayInTable(Fertiliser_SourceData.Fertiliser_ChemicalCompoundElements_Data(),Table_Fertiliser_ChemicalCompounds[[#Headers],[Fertiliser type f]], 0)</calculatedColumnFormula>
    </tableColumn>
  </tableColumns>
  <tableStyleInfo name="Equation table" showFirstColumn="0" showLastColumn="0" showRowStripes="1" showColumnStripes="0"/>
</table>
</file>

<file path=xl/tables/table1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F3B926F-9820-4BAB-A185-2837E96F21B5}" name="FertiliserProducts" displayName="FertiliserProducts" ref="D89:AE153" totalsRowShown="0">
  <autoFilter ref="D89:AE153" xr:uid="{CF03620B-9968-447A-A13F-E60FF3C81E4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90660471-B042-45D4-A9FC-CF75A99B2C82}" name="Include or Exclude" totalsRowDxfId="94"/>
    <tableColumn id="2" xr3:uid="{B4717C55-1B95-4E74-B4A0-5CE7A609A36B}" name="Notes" totalsRowDxfId="93"/>
    <tableColumn id="3" xr3:uid="{D976AB1A-52FF-4FBD-9860-B9717ABA5514}" name="Company" totalsRowDxfId="92"/>
    <tableColumn id="4" xr3:uid="{D8F5EA32-4865-44AD-B9C7-F91CA2638E8B}" name="Product name" totalsRowDxfId="91"/>
    <tableColumn id="5" xr3:uid="{D241BEEC-C636-4A92-9BDB-FA8FAA1CAFB2}" name="Unit" totalsRowDxfId="90"/>
    <tableColumn id="6" xr3:uid="{78DBDBE9-27C7-4A0D-B9DA-9F57440C9DE9}" name="Density / gravity" totalsRowDxfId="89"/>
    <tableColumn id="7" xr3:uid="{A50CBE27-EC38-4A34-A2CE-1002E6BA3DD3}" name="Urea source" totalsRowDxfId="88"/>
    <tableColumn id="8" xr3:uid="{16B5D74A-9810-4E92-A540-3E051DC2151D}" name="Ammonia source" totalsRowDxfId="87"/>
    <tableColumn id="9" xr3:uid="{DA7A3BF5-8B40-4495-AD97-6B95B429B465}" name="Ingredient 1" totalsRowDxfId="86"/>
    <tableColumn id="10" xr3:uid="{2A0B8472-D8FF-4086-BE70-2E8BCA80080B}" name="Ingredient 1 percent" totalsRowDxfId="85"/>
    <tableColumn id="11" xr3:uid="{F12415FE-ED65-47A4-AFBE-CEA738CED011}" name="Ingredient 2" totalsRowDxfId="84"/>
    <tableColumn id="12" xr3:uid="{26500CB3-2A36-4020-8DCD-96905995028A}" name="Ingredient 2 percent" totalsRowDxfId="83"/>
    <tableColumn id="13" xr3:uid="{8F8E6FFC-24C1-4EC1-A491-92E852D1C21B}" name="Ingredient 3" totalsRowDxfId="82"/>
    <tableColumn id="14" xr3:uid="{0D08C50E-A1D4-4D59-8D20-E9C72FE59C88}" name="Ingredient 3 percent" totalsRowDxfId="81"/>
    <tableColumn id="15" xr3:uid="{E71FD370-71A1-4861-8573-8E095564A6C6}" name="Ingredient 4" totalsRowDxfId="80"/>
    <tableColumn id="16" xr3:uid="{05524065-59E0-4732-9D5C-80182402ACED}" name="Ingredient 4 percent" totalsRowDxfId="79"/>
    <tableColumn id="17" xr3:uid="{E73E9DAE-88FE-451C-83BB-46CE2CD11EAC}" name="Ingredient 5" totalsRowDxfId="78"/>
    <tableColumn id="18" xr3:uid="{E43B92CC-872A-4D81-AE03-F2A3A1AA9B65}" name="Ingredient 5 percent" totalsRowDxfId="77"/>
    <tableColumn id="19" xr3:uid="{877362A6-7696-4C2B-9AC9-A50CEF0951B6}" name="Ingredient 6" totalsRowDxfId="76"/>
    <tableColumn id="37" xr3:uid="{22756E59-4033-405C-B6C2-0A2E122D072F}" name="Ingredient 6 percent" totalsRowDxfId="75"/>
    <tableColumn id="20" xr3:uid="{4AE0D2CC-B8DF-4AFD-A4F6-2E34CAB929EE}" name="Ingredient 7"/>
    <tableColumn id="24" xr3:uid="{6B74DBE7-622A-449A-9E41-77A59D4B581F}" name="Ingredient 7 percent"/>
    <tableColumn id="23" xr3:uid="{19914632-6940-4143-8D22-E9418F00FB19}" name="Ingredient 8"/>
    <tableColumn id="26" xr3:uid="{461E0645-5302-44BD-9874-67DCFE5C32B8}" name="Ingredient 8 percent"/>
    <tableColumn id="25" xr3:uid="{A769ECEF-28EF-4773-BCC6-FDD846002968}" name="Ingredient 9"/>
    <tableColumn id="30" xr3:uid="{42911258-C32C-49FA-B641-594FB90ED8C8}" name="Ingredient 9 percent"/>
    <tableColumn id="29" xr3:uid="{CBA06944-5CBF-4AB5-A404-211D25004FEC}" name="Imngredient 10"/>
    <tableColumn id="28" xr3:uid="{EF4C1E20-8E22-4CDA-B1E0-091D3AC4290D}" name="Ingredient 10 percent"/>
  </tableColumns>
  <tableStyleInfo name="Equation table" showFirstColumn="0" showLastColumn="0" showRowStripes="1" showColumnStripes="0"/>
</table>
</file>

<file path=xl/tables/table1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125A9FF7-70A7-4B6D-9295-A2BAEA1A119C}" name="Table_SourceData_Fertiliser_FracGASF" displayName="Table_SourceData_Fertiliser_FracGASF" ref="D50:E55" totalsRowShown="0">
  <autoFilter ref="D50:E55" xr:uid="{BA6279EA-7DA2-46FA-80C0-81926E3CFC51}">
    <filterColumn colId="0" hiddenButton="1"/>
    <filterColumn colId="1" hiddenButton="1"/>
  </autoFilter>
  <tableColumns count="2">
    <tableColumn id="1" xr3:uid="{A1653CAF-1C28-438C-A968-A3A9AD93ADCA}" name="Fertiliser type f">
      <calculatedColumnFormula array="1">Common_InputFunctions.Utility_DisplayArrayInTable(Fertiliser_SourceData.Fertiliser_FracGASF_Data(), Table_SourceData_Fertiliser_FracGASF[[#Headers],[Fertiliser type f]], 0)</calculatedColumnFormula>
    </tableColumn>
    <tableColumn id="2" xr3:uid="{9D339199-73B4-429D-B912-46C89894AC30}" name="FracGASF f" dataDxfId="74" dataCellStyle="Content normal">
      <calculatedColumnFormula array="1">Common_InputFunctions.Utility_DisplayArrayInTable(Fertiliser_SourceData.Fertiliser_FracGASF_Data(), Table_SourceData_Fertiliser_FracGASF[[#Headers],[Fertiliser type f]], 0)</calculatedColumnFormula>
    </tableColumn>
  </tableColumns>
  <tableStyleInfo name="Equation table" showFirstColumn="0" showLastColumn="0" showRowStripes="1" showColumnStripes="0"/>
</table>
</file>

<file path=xl/tables/table1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8DE9861F-E89A-4DFC-833B-847BD41B7275}" name="Table_SourceData_Fertiliser_CropProdSystems" displayName="Table_SourceData_Fertiliser_CropProdSystems" ref="D41:D43" totalsRowShown="0">
  <autoFilter ref="D41:D43" xr:uid="{24F3A11E-40F5-4BB9-BFF4-A71FA2ADA0EF}">
    <filterColumn colId="0" hiddenButton="1"/>
  </autoFilter>
  <tableColumns count="1">
    <tableColumn id="1" xr3:uid="{066D3082-D67E-4B71-83C7-FA70FCB2D700}" name="Production system">
      <calculatedColumnFormula>#REF!</calculatedColumnFormula>
    </tableColumn>
  </tableColumns>
  <tableStyleInfo name="Equation table" showFirstColumn="0" showLastColumn="0" showRowStripes="1" showColumnStripes="0"/>
</table>
</file>

<file path=xl/tables/table1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550CAB24-F6BC-47F2-A9A8-778F08DFF7E7}" name="Table_SourceData_Fertiliser_IrrigationMethods" displayName="Table_SourceData_Fertiliser_IrrigationMethods" ref="H41:H46" totalsRowShown="0">
  <autoFilter ref="H41:H46" xr:uid="{B6754DF9-B9B7-4777-A419-208519289931}">
    <filterColumn colId="0" hiddenButton="1"/>
  </autoFilter>
  <tableColumns count="1">
    <tableColumn id="1" xr3:uid="{B8A7D18B-C54A-419C-8858-EFD138C390FE}" name="Irrigation method"/>
  </tableColumns>
  <tableStyleInfo name="Equation table" showFirstColumn="0" showLastColumn="0" showRowStripes="1" showColumnStripes="0"/>
</table>
</file>

<file path=xl/tables/table1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0E3D88C-98EE-40A0-96C9-E35885633B0D}" name="Table_SourceData_Fertiliser_CropTypes" displayName="Table_SourceData_Fertiliser_CropTypes" ref="F41:F45" totalsRowShown="0">
  <autoFilter ref="F41:F45" xr:uid="{CB5044B5-FA3C-4AA2-B1AB-72F7E61D072F}">
    <filterColumn colId="0" hiddenButton="1"/>
  </autoFilter>
  <tableColumns count="1">
    <tableColumn id="1" xr3:uid="{5A52CFE6-AED4-4E78-AF3D-015B4292F949}" name="Production system"/>
  </tableColumns>
  <tableStyleInfo name="Equation table" showFirstColumn="0" showLastColumn="0" showRowStripes="1" showColumnStripes="0"/>
</table>
</file>

<file path=xl/tables/table1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2971AAAF-622A-4035-87B4-78C7BCD6D0E5}" name="Table_SourceData_OrganicFertiliserTypes" displayName="Table_SourceData_OrganicFertiliserTypes" ref="J41:J46" totalsRowShown="0">
  <autoFilter ref="J41:J46" xr:uid="{B44627B1-537E-4ABC-92C3-57282CEE5B40}">
    <filterColumn colId="0" hiddenButton="1"/>
  </autoFilter>
  <tableColumns count="1">
    <tableColumn id="1" xr3:uid="{4F1599D0-3855-41A1-B8CF-3F7354F1D02E}" name="Organic fertiliser type"/>
  </tableColumns>
  <tableStyleInfo name="Equation table" showFirstColumn="0" showLastColumn="0" showRowStripes="1" showColumnStripes="0"/>
</table>
</file>

<file path=xl/tables/table1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6640E8AA-558F-465E-A6FB-21D240A68CBF}" name="Table_SourceData_Fertiliser_LimeDolomiteConstants" displayName="Table_SourceData_Fertiliser_LimeDolomiteConstants" ref="D65:F68" totalsRowShown="0">
  <autoFilter ref="D65:F68" xr:uid="{300169C1-BC7A-441C-840D-3C2EFD141B42}">
    <filterColumn colId="0" hiddenButton="1"/>
    <filterColumn colId="1" hiddenButton="1"/>
    <filterColumn colId="2" hiddenButton="1"/>
  </autoFilter>
  <tableColumns count="3">
    <tableColumn id="1" xr3:uid="{1ACBA94E-20D9-4ABB-8FE2-133ABFA6ED56}" name="Element">
      <calculatedColumnFormula array="1">Common_InputFunctions.Utility_DisplayArrayInTable(Fertiliser_SourceData.Fertiliser_LimeDolomiteGypsumConstants_Data(), Table_SourceData_Fertiliser_LimeDolomiteConstants[[#Headers],[Element]], 0)</calculatedColumnFormula>
    </tableColumn>
    <tableColumn id="2" xr3:uid="{14319A8B-93C5-47AE-AA64-D550C1DC7B83}" name="P" dataDxfId="73"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 id="3" xr3:uid="{6EBA221B-7F83-4013-9278-65A34540A879}" name="EF" dataDxfId="72"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s>
  <tableStyleInfo name="Equation table" showFirstColumn="0" showLastColumn="0" showRowStripes="1" showColumnStripes="0"/>
</table>
</file>

<file path=xl/tables/table1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8C2324B7-0D98-4C77-AEBE-A2EF5ABB1CC7}" name="Table2" displayName="Table2" ref="K19:L28" totalsRowShown="0" dataDxfId="71" dataCellStyle="Content normal">
  <autoFilter ref="K19:L28" xr:uid="{27B93029-EB1F-4C4A-A946-CD673A8A6C46}">
    <filterColumn colId="0" hiddenButton="1"/>
    <filterColumn colId="1" hiddenButton="1"/>
  </autoFilter>
  <tableColumns count="2">
    <tableColumn id="1" xr3:uid="{D0F0FE53-48EF-4C1D-923D-46B182A1D219}" name="Fertiliser type f" dataDxfId="70" dataCellStyle="Content normal">
      <calculatedColumnFormula array="1">Common_InputFunctions.Utility_DisplayArrayInTable(Fertiliser_SourceData.Fertiliser_FractionNCommonFertilisers_Data(), Table2[[#Headers],[Fertiliser type f]], 0)</calculatedColumnFormula>
    </tableColumn>
    <tableColumn id="2" xr3:uid="{AF5AD04D-0FDF-4AED-9C58-ECF082AC42DD}" name="FNinorganic f" dataDxfId="69" dataCellStyle="Content normal">
      <calculatedColumnFormula array="1">Common_InputFunctions.Utility_DisplayArrayInTable(Fertiliser_SourceData.Fertiliser_FractionNCommonFertilisers_Data(), Table2[[#Headers],[Fertiliser type f]], 0)</calculatedColumnFormula>
    </tableColumn>
  </tableColumns>
  <tableStyleInfo name="Equation table" showFirstColumn="0" showLastColumn="0" showRowStripes="1" showColumnStripes="0"/>
</table>
</file>

<file path=xl/tables/table1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8EB88649-218A-43F9-B459-50D66FBDBDB5}" name="Table28" displayName="Table28" ref="Q19:R28" totalsRowShown="0" dataDxfId="68" dataCellStyle="Content normal">
  <autoFilter ref="Q19:R28" xr:uid="{791CEA59-796C-47AB-86BC-41E8F699030C}">
    <filterColumn colId="0" hiddenButton="1"/>
    <filterColumn colId="1" hiddenButton="1"/>
  </autoFilter>
  <tableColumns count="2">
    <tableColumn id="1" xr3:uid="{8D461AD8-9C85-4218-9322-36C1AD6A4022}" name="Fertiliser type f" dataDxfId="67" dataCellStyle="Content normal">
      <calculatedColumnFormula array="1">Common_InputFunctions.Utility_DisplayArrayInTable(Fertiliser_SourceData.Fertiliser_FractionUreaCommonFertilisers_Data(), Table28[[#Headers],[Fertiliser type f]], 0)</calculatedColumnFormula>
    </tableColumn>
    <tableColumn id="2" xr3:uid="{B6FE1763-47E0-4BCE-B158-5A34B86A67A4}" name="FNinorganic f" dataDxfId="66" dataCellStyle="Content normal">
      <calculatedColumnFormula array="1">Common_InputFunctions.Utility_DisplayArrayInTable(Fertiliser_SourceData.Fertiliser_FractionUreaCommonFertilisers_Data(), Table28[[#Headers],[Fertiliser type f]], 0)</calculatedColumnFormula>
    </tableColumn>
  </tableColumns>
  <tableStyleInfo name="Equation table" showFirstColumn="0" showLastColumn="0" showRowStripes="1" showColumnStripes="0"/>
</table>
</file>

<file path=xl/tables/table1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DA70EC83-586E-4B40-AFDA-6D8ED2C5AE00}" name="Table_SourceData_Fertiliser_UreaAmmoniaSources" displayName="Table_SourceData_Fertiliser_UreaAmmoniaSources" ref="V19:V23" totalsRowShown="0">
  <autoFilter ref="V19:V23" xr:uid="{DA70EC83-586E-4B40-AFDA-6D8ED2C5AE00}">
    <filterColumn colId="0" hiddenButton="1"/>
  </autoFilter>
  <tableColumns count="1">
    <tableColumn id="1" xr3:uid="{D0ECD2CA-E626-4D4B-BB99-C674CE7E44F7}" name="Source">
      <calculatedColumnFormula array="1">Common_InputFunctions.Utility_DisplayArrayInTable(Fertiliser_SourceData.Fertiliser_UreaAmmoniaSourceRegions_Data(),Table_SourceData_Fertiliser_UreaAmmoniaSources[[#Headers],[Source]],0)</calculatedColumnFormula>
    </tableColumn>
  </tableColumns>
  <tableStyleInfo name="Equation table" showFirstColumn="0" showLastColumn="0" showRowStripes="1" showColumnStripes="0"/>
</table>
</file>

<file path=xl/tables/table1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C2815CE4-5936-4AF2-A3CD-21A6B51D968F}" name="Table_SourceData_ElectricityEFs" displayName="Table_SourceData_ElectricityEFs" ref="D9:F19" totalsRowShown="0" headerRowDxfId="65">
  <autoFilter ref="D9:F19" xr:uid="{3144A982-7A4D-4CF2-8790-1A30DAE3E0A4}">
    <filterColumn colId="0" hiddenButton="1"/>
    <filterColumn colId="1" hiddenButton="1"/>
    <filterColumn colId="2" hiddenButton="1"/>
  </autoFilter>
  <tableColumns count="3">
    <tableColumn id="1" xr3:uid="{014AD470-F735-422A-BEB3-B8C6FDC27AEB}" name="State, Territory or grid description">
      <calculatedColumnFormula array="1">Common_InputFunctions.Utility_DisplayArrayInTable(Electricity_SourceData.Electricity_Scope2Scope3LocationBased_Data(), Table_SourceData_ElectricityEFs[[#Headers],[State, Territory or grid description]], 0)</calculatedColumnFormula>
    </tableColumn>
    <tableColumn id="2" xr3:uid="{49268F60-A259-4A68-B464-4CCD93912553}" name="Scope 2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 id="3" xr3:uid="{3161C8B9-7E78-4A27-B894-1A35AE365464}" name="Scope 3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s>
  <tableStyleInfo name="Equation table" showFirstColumn="0" showLastColumn="0" showRowStripes="1" showColumnStripes="0"/>
</table>
</file>

<file path=xl/tables/table1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2ECA8145-962A-4C06-8384-A5307F4BB601}" name="Table_SourceData_ElectricityEFsMarketBased" displayName="Table_SourceData_ElectricityEFsMarketBased" ref="D24:H25" totalsRowShown="0">
  <autoFilter ref="D24:H25" xr:uid="{87EEFE36-44F1-40A4-8394-9054D486E209}">
    <filterColumn colId="0" hiddenButton="1"/>
    <filterColumn colId="1" hiddenButton="1"/>
    <filterColumn colId="2" hiddenButton="1"/>
    <filterColumn colId="3" hiddenButton="1"/>
    <filterColumn colId="4" hiddenButton="1"/>
  </autoFilter>
  <tableColumns count="5">
    <tableColumn id="1" xr3:uid="{2A53AE81-E4EF-47E8-A1E1-0004EAAD0DED}" name="State, Territory or grid description"/>
    <tableColumn id="2" xr3:uid="{64F6E0F8-DF29-4C21-B888-DAFA69DE9B90}" name="Scope 2 EF (kg CO2-e/kWh)"/>
    <tableColumn id="3" xr3:uid="{9FE1D1D3-0A05-4804-963E-77902D1F4B4E}" name="Scope 2 EF (kg CO2-e/GJ)"/>
    <tableColumn id="4" xr3:uid="{3663B49B-AD25-4499-B478-ED0F4BDEF091}" name="Scope 3 EF (kg CO2-e/kWh)"/>
    <tableColumn id="5" xr3:uid="{4930A0D0-80DF-48EA-840E-32C5A9A518F5}" name="Scope 3 EF (kg CO2-e/GJ)"/>
  </tableColumns>
  <tableStyleInfo name="Equation table" showFirstColumn="0" showLastColumn="0" showRowStripes="1" showColumnStripes="0"/>
</table>
</file>

<file path=xl/tables/table1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D15B15F-4789-439B-8459-21C4B87158B6}"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1EEC89E0-5C88-409C-B9B8-B275A1252901}" name="State/Territory">
      <calculatedColumnFormula array="1">Common_InputFunctions.Utility_DisplayArrayInTable(Common_SourceData.Common_SourceData_AustralianStatesTerritories_Data(),Table_AustralianStates[[#Headers],[State/Territory]],0)</calculatedColumnFormula>
    </tableColumn>
    <tableColumn id="2" xr3:uid="{95CAFEE4-0D98-417B-A353-D425528AF35F}" name="Common Name">
      <calculatedColumnFormula array="1">Common_InputFunctions.Utility_DisplayArrayInTable(Common_SourceData.Common_SourceData_AustralianStatesTerritories_Data(),Table_AustralianStates[[#Headers],[State/Territory]],0)</calculatedColumnFormula>
    </tableColumn>
    <tableColumn id="3" xr3:uid="{4DF8F1ED-ABE5-451B-BFC4-4A13715555B4}"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29088F3-5718-4748-9EFF-7ABEF305328C}" name="Table_WASA4Areas" displayName="Table_WASA4Areas" ref="D20:D30" totalsRowShown="0">
  <autoFilter ref="D20:D30" xr:uid="{5FA81339-C6C8-4D36-BEEA-6C4AEDD9E676}">
    <filterColumn colId="0" hiddenButton="1"/>
  </autoFilter>
  <tableColumns count="1">
    <tableColumn id="1" xr3:uid="{AEC38D28-0805-4F40-9378-4204E1F8C19D}"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2205E2D-3FCB-4528-8709-D79FE1C61154}" name="Table_GWPData" displayName="Table_GWPData" ref="D36:E43" totalsRowShown="0">
  <autoFilter ref="D36:E43" xr:uid="{B8E87A66-3E41-4AD3-925D-01EE21B43D7A}">
    <filterColumn colId="0" hiddenButton="1"/>
    <filterColumn colId="1" hiddenButton="1"/>
  </autoFilter>
  <tableColumns count="2">
    <tableColumn id="1" xr3:uid="{8D09899D-B00D-42D4-B7F9-A8DDA69D9930}" name="Gas">
      <calculatedColumnFormula array="1">Common_InputFunctions.Utility_DisplayArrayInTable(Common_SourceData.Common_SourceData_GWP_Data(), Table_GWPData[[#Headers],[Gas]], 0)</calculatedColumnFormula>
    </tableColumn>
    <tableColumn id="2" xr3:uid="{363B8932-1BA0-4163-97E8-5F9E3DB153A1}"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274858A-0B40-4736-9994-233E62DCE420}"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0F123607-A967-4932-BA15-33723C238978}" name="Gas">
      <calculatedColumnFormula array="1">Common_InputFunctions.Utility_DisplayArrayInTable(Common_SourceData.Common_SourceData_ConvertGasElementalToMolecular_Data(),Table_GasToMolecularConversionFactor[[#Headers],[Gas]], 0)</calculatedColumnFormula>
    </tableColumn>
    <tableColumn id="5" xr3:uid="{A76D0020-1FAF-4079-BC00-2858BADCC52A}" name="Conversion factor">
      <calculatedColumnFormula array="1">Common_InputFunctions.Utility_DisplayArrayInTable(Common_SourceData.Common_SourceData_ConvertGasElementalToMolecular_Data(),Table_GasToMolecularConversionFactor[[#Headers],[Gas]], 0)</calculatedColumnFormula>
    </tableColumn>
    <tableColumn id="2" xr3:uid="{AF33DF57-2749-4275-A29F-DE74DBEE1FFE}" name="Conversion factor 1">
      <calculatedColumnFormula array="1">Common_InputFunctions.Utility_DisplayArrayInTable(Common_SourceData.Common_SourceData_ConvertGasElementalToMolecular_Data(),Table_GasToMolecularConversionFactor[[#Headers],[Gas]], 0)</calculatedColumnFormula>
    </tableColumn>
    <tableColumn id="3" xr3:uid="{35B7BF30-CFCA-4E10-91FE-91069559A0F2}" name="Conversion factor 2">
      <calculatedColumnFormula array="1">Common_InputFunctions.Utility_DisplayArrayInTable(Common_SourceData.Common_SourceData_ConvertGasElementalToMolecular_Data(),Table_GasToMolecularConversionFactor[[#Headers],[Gas]], 0)</calculatedColumnFormula>
    </tableColumn>
    <tableColumn id="4" xr3:uid="{D684546C-632C-4E9D-B59C-8A51890A0EAC}"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2E98829-F416-4CBD-964C-1A8519C4C3FC}"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28532FA2-E5E7-41B8-A7AA-9D007421AAE1}"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9C66DE1B-CCBE-481A-9599-4163121B1727}" name="MAT" totalsRowDxfId="529" totalsRowCellStyle="Content bold">
      <calculatedColumnFormula array="1">Common_InputFunctions.Utility_DisplayArrayInTable(Common_SourceData.Common_SourceData_ClimateZones_Data(), Table_SourceData_ClimateZones[[#Headers],[Climate zone]], 0)</calculatedColumnFormula>
    </tableColumn>
    <tableColumn id="3" xr3:uid="{8FDA33C3-2D94-4EF5-A88F-177E44BE28A1}" name="MAP" totalsRowDxfId="528" totalsRowCellStyle="Content bold">
      <calculatedColumnFormula array="1">Common_InputFunctions.Utility_DisplayArrayInTable(Common_SourceData.Common_SourceData_ClimateZones_Data(), Table_SourceData_ClimateZones[[#Headers],[Climate zone]], 0)</calculatedColumnFormula>
    </tableColumn>
    <tableColumn id="4" xr3:uid="{AFF89688-4F7D-47D7-B1FD-CC20FB42C7E8}" name="Frost days per year" totalsRowDxfId="527" totalsRowCellStyle="Content bold">
      <calculatedColumnFormula array="1">Common_InputFunctions.Utility_DisplayArrayInTable(Common_SourceData.Common_SourceData_ClimateZones_Data(), Table_SourceData_ClimateZones[[#Headers],[Climate zone]], 0)</calculatedColumnFormula>
    </tableColumn>
    <tableColumn id="5" xr3:uid="{417EADD7-F104-477A-9BEE-42A28663C457}" name="Elevation" totalsRowDxfId="526" totalsRowCellStyle="Content bold">
      <calculatedColumnFormula array="1">Common_InputFunctions.Utility_DisplayArrayInTable(Common_SourceData.Common_SourceData_ClimateZones_Data(), Table_SourceData_ClimateZones[[#Headers],[Climate zone]], 0)</calculatedColumnFormula>
    </tableColumn>
    <tableColumn id="6" xr3:uid="{E0C38FB6-4819-4C5F-877F-B112E11A2353}" name="MAP:PET" totalsRowDxfId="525" totalsRowCellStyle="Content bold">
      <calculatedColumnFormula array="1">Common_InputFunctions.Utility_DisplayArrayInTable(Common_SourceData.Common_SourceData_ClimateZones_Data(), Table_SourceData_ClimateZones[[#Headers],[Climate zone]], 0)</calculatedColumnFormula>
    </tableColumn>
    <tableColumn id="7" xr3:uid="{BD6C7770-6A7F-458C-A92A-1F0B7E9B51E3}" name="Min temp" totalsRowDxfId="524" totalsRowCellStyle="Content bold">
      <calculatedColumnFormula array="1">Common_InputFunctions.Utility_DisplayArrayInTable(Common_SourceData.Common_SourceData_ClimateZones_Data(), Table_SourceData_ClimateZones[[#Headers],[Climate zone]], 0)</calculatedColumnFormula>
    </tableColumn>
    <tableColumn id="8" xr3:uid="{21F7B52A-B6C0-415F-A401-601B91F61992}" name="Max temp" totalsRowDxfId="523" totalsRowCellStyle="Content bold">
      <calculatedColumnFormula array="1">Common_InputFunctions.Utility_DisplayArrayInTable(Common_SourceData.Common_SourceData_ClimateZones_Data(), Table_SourceData_ClimateZones[[#Headers],[Climate zone]], 0)</calculatedColumnFormula>
    </tableColumn>
    <tableColumn id="9" xr3:uid="{4429DD81-062C-41FF-B818-D7F6A4D629C9}" name="Min rainfall" totalsRowDxfId="522" totalsRowCellStyle="Content bold">
      <calculatedColumnFormula array="1">Common_InputFunctions.Utility_DisplayArrayInTable(Common_SourceData.Common_SourceData_ClimateZones_Data(), Table_SourceData_ClimateZones[[#Headers],[Climate zone]], 0)</calculatedColumnFormula>
    </tableColumn>
    <tableColumn id="10" xr3:uid="{01BF97FB-EB58-46DF-9D38-CA4C756D54D9}" name="Max rainfall" totalsRowDxfId="521" totalsRowCellStyle="Content bold">
      <calculatedColumnFormula array="1">Common_InputFunctions.Utility_DisplayArrayInTable(Common_SourceData.Common_SourceData_ClimateZones_Data(), Table_SourceData_ClimateZones[[#Headers],[Climate zone]], 0)</calculatedColumnFormula>
    </tableColumn>
    <tableColumn id="11" xr3:uid="{91A088CD-B67A-4A6B-9E96-2AF9327217A8}" name="Min frost days" totalsRowDxfId="520" totalsRowCellStyle="Content bold">
      <calculatedColumnFormula array="1">Common_InputFunctions.Utility_DisplayArrayInTable(Common_SourceData.Common_SourceData_ClimateZones_Data(), Table_SourceData_ClimateZones[[#Headers],[Climate zone]], 0)</calculatedColumnFormula>
    </tableColumn>
    <tableColumn id="15" xr3:uid="{442CDA34-723E-4A7A-B552-539380A2F9A3}" name="Max frost days" totalsRowDxfId="519" totalsRowCellStyle="Content bold">
      <calculatedColumnFormula array="1">Common_InputFunctions.Utility_DisplayArrayInTable(Common_SourceData.Common_SourceData_ClimateZones_Data(), Table_SourceData_ClimateZones[[#Headers],[Climate zone]], 0)</calculatedColumnFormula>
    </tableColumn>
    <tableColumn id="12" xr3:uid="{C526D8E8-BA00-41CF-91E3-A0E6BEE6D40D}" name="Min elevation" totalsRowDxfId="518" totalsRowCellStyle="Content bold">
      <calculatedColumnFormula array="1">Common_InputFunctions.Utility_DisplayArrayInTable(Common_SourceData.Common_SourceData_ClimateZones_Data(), Table_SourceData_ClimateZones[[#Headers],[Climate zone]], 0)</calculatedColumnFormula>
    </tableColumn>
    <tableColumn id="16" xr3:uid="{033767DA-F8E2-4C65-9943-6B5932BF6623}" name="Max elevation" totalsRowDxfId="517" totalsRowCellStyle="Content bold">
      <calculatedColumnFormula array="1">Common_InputFunctions.Utility_DisplayArrayInTable(Common_SourceData.Common_SourceData_ClimateZones_Data(), Table_SourceData_ClimateZones[[#Headers],[Climate zone]], 0)</calculatedColumnFormula>
    </tableColumn>
    <tableColumn id="13" xr3:uid="{CC11E781-6740-44F0-8E56-92474BDB622E}" name="Min MAP:PET" totalsRowDxfId="516" totalsRowCellStyle="Content bold">
      <calculatedColumnFormula array="1">Common_InputFunctions.Utility_DisplayArrayInTable(Common_SourceData.Common_SourceData_ClimateZones_Data(), Table_SourceData_ClimateZones[[#Headers],[Climate zone]], 0)</calculatedColumnFormula>
    </tableColumn>
    <tableColumn id="17" xr3:uid="{D487D136-489F-42E5-9A8D-01EC5BADE055}" name="Max MAP:PET" totalsRowDxfId="515"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FC6CAC7-104E-4F9C-BE41-A87DC5291EEC}"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6BBBB6B1-D087-4CA0-8FBF-2F85A26E3C87}"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F7F36A35-DF4B-476B-B0AE-2E4F9DFD8F54}" name="Wet or Dry Zone" totalsRowDxfId="514"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3C22326-5593-458B-913D-7357C04254CB}"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48BB2F60-DBF5-4808-AB13-4A551B9CE969}" name="Temperature Zone">
      <calculatedColumnFormula array="1">Common_InputFunctions.Utility_DisplayArrayInTable(Common_SourceData.Common_SourceData_TemperatureZones_Data(),Table_SourceData_TemperatureZones[[#Headers],[Temperature Zone]],0)</calculatedColumnFormula>
    </tableColumn>
    <tableColumn id="2" xr3:uid="{92C57346-3DDD-4E68-96A7-CB7F3105AA9C}" name="MAT">
      <calculatedColumnFormula array="1">Common_InputFunctions.Utility_DisplayArrayInTable(Common_SourceData.Common_SourceData_TemperatureZones_Data(),Table_SourceData_TemperatureZones[[#Headers],[Temperature Zone]],0)</calculatedColumnFormula>
    </tableColumn>
    <tableColumn id="3" xr3:uid="{C245C5B5-CE51-445C-A68C-180C5B8C78EE}" name="Min MAT">
      <calculatedColumnFormula array="1">Common_InputFunctions.Utility_DisplayArrayInTable(Common_SourceData.Common_SourceData_TemperatureZones_Data(),Table_SourceData_TemperatureZones[[#Headers],[Temperature Zone]],0)</calculatedColumnFormula>
    </tableColumn>
    <tableColumn id="4" xr3:uid="{34CA3FA1-F43C-4DB3-864C-51B1350740BC}"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B739F55-C8AC-4502-9DA8-797DAD5AA8DE}"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2845587B-0AB3-4814-8D68-F36B5523E0E6}" name="Rainfall Zone">
      <calculatedColumnFormula array="1">Common_InputFunctions.Utility_DisplayArrayInTable(Common_SourceData.Common_SourceData_RainfallZones_Data(),Table_SourceData_RainfallZones[[#Headers],[Rainfall Zone]],0)</calculatedColumnFormula>
    </tableColumn>
    <tableColumn id="2" xr3:uid="{F3046930-DD00-4896-BE8C-720AA35F9A67}" name="Annual rainfall">
      <calculatedColumnFormula array="1">Common_InputFunctions.Utility_DisplayArrayInTable(Common_SourceData.Common_SourceData_RainfallZones_Data(),Table_SourceData_RainfallZones[[#Headers],[Rainfall Zone]],0)</calculatedColumnFormula>
    </tableColumn>
    <tableColumn id="3" xr3:uid="{BE26C532-A63D-4B15-A4E5-C983B019E3D2}" name="Min rainfall">
      <calculatedColumnFormula array="1">Common_InputFunctions.Utility_DisplayArrayInTable(Common_SourceData.Common_SourceData_RainfallZones_Data(),Table_SourceData_RainfallZones[[#Headers],[Rainfall Zone]],0)</calculatedColumnFormula>
    </tableColumn>
    <tableColumn id="4" xr3:uid="{DB8DADF2-E3F4-40D0-BC55-CE26512973A3}"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997F058-4A05-4304-92D8-A312163014D9}"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28724587-46D0-4895-A1FB-2B91B9875F11}" name="Leaching Zone">
      <calculatedColumnFormula array="1">Common_InputFunctions.Utility_DisplayArrayInTable(Common_SourceData.Common_SourceData_LeachingZones_Data(), Table_SourceData_LeachingZones[[#Headers],[Leaching Zone]], 0)</calculatedColumnFormula>
    </tableColumn>
    <tableColumn id="2" xr3:uid="{F94C6400-DD50-4146-A1FC-E21E6A9D8ECA}"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DE2B6FF-ED3D-44DF-9365-2D78C8D93F9F}"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B3D92F28-FDF8-4D29-A027-5CE853565E89}" name="Data source">
      <calculatedColumnFormula array="1">Common_InputFunctions.Utility_DisplayArrayInTable(Common_SourceData.Common_SourceData_DataScores_Scope3_Data(), Table_SourceData_DataScores_Scope3[[#Headers],[Data source]], 0)</calculatedColumnFormula>
    </tableColumn>
    <tableColumn id="2" xr3:uid="{FC5AF7B2-A6A9-4FFE-8A47-F9C2804A1FB2}"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4F3F8CD-12DF-4375-96FB-F99A0E02CFFA}" name="Table_SourceData_FracWET" displayName="Table_SourceData_FracWET" ref="D134:E136" totalsRowShown="0">
  <autoFilter ref="D134:E136" xr:uid="{308E99BE-FE1F-47A4-B2CA-97217277C4E9}">
    <filterColumn colId="0" hiddenButton="1"/>
    <filterColumn colId="1" hiddenButton="1"/>
  </autoFilter>
  <tableColumns count="2">
    <tableColumn id="1" xr3:uid="{EC51B66F-AF4F-423C-B743-AFC891D7017E}" name="Is in leaching zone">
      <calculatedColumnFormula array="1">Common_InputFunctions.Utility_DisplayArrayInTable(Common_SourceData.Common_SourceData_FracWET_Data(),Table_SourceData_FracWET[[#Headers],[Is in leaching zone]],0)</calculatedColumnFormula>
    </tableColumn>
    <tableColumn id="2" xr3:uid="{9126573D-3333-4096-A32F-FBC651764A8C}" name="FracWET" dataDxfId="513">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674A52FB-D2A1-4AF5-9A94-20D7C6A2EFB6}"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7BAAB6D2-2B5C-4DDE-BA8E-58FAFBB97563}" name="Production system j">
      <calculatedColumnFormula array="1">Common_InputFunctions.Utility_DisplayArrayInTable(Common_SourceData.Common_SourceData_EFN2O_Data(), Table_SourceData_Common_EFN2O[[#Headers],[Production system j]], 0)</calculatedColumnFormula>
    </tableColumn>
    <tableColumn id="2" xr3:uid="{AC2459AD-5F89-4C94-A444-CA88889BD9F1}" name="EFN2O">
      <calculatedColumnFormula array="1">Common_InputFunctions.Utility_DisplayArrayInTable(Common_SourceData.Common_SourceData_EFN2O_Data(), Table_SourceData_Common_EFN2O[[#Headers],[Production system j]], 0)</calculatedColumnFormula>
    </tableColumn>
    <tableColumn id="3" xr3:uid="{FB3F9D8E-F84A-478E-95C1-E0D7AE22DD17}" name="Production system only">
      <calculatedColumnFormula array="1">Common_InputFunctions.Utility_DisplayArrayInTable(Common_SourceData.Common_SourceData_EFN2O_Data(), Table_SourceData_Common_EFN2O[[#Headers],[Production system j]], 0)</calculatedColumnFormula>
    </tableColumn>
    <tableColumn id="4" xr3:uid="{144A79BC-D64C-4A6E-9F19-FEE59BCCB76B}" name="Irrigation method">
      <calculatedColumnFormula array="1">Common_InputFunctions.Utility_DisplayArrayInTable(Common_SourceData.Common_SourceData_EFN2O_Data(), Table_SourceData_Common_EFN2O[[#Headers],[Production system j]], 0)</calculatedColumnFormula>
    </tableColumn>
    <tableColumn id="5" xr3:uid="{479D1EC8-A3DB-4067-86B6-89376E09F66B}"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1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54BF4681-A4D7-403D-8E02-BA3DEB3947A5}"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3148B61B-60CC-48C0-8FBD-63E8617E5A82}" name="Irrigation type i">
      <calculatedColumnFormula array="1">Common_InputFunctions.Utility_DisplayArrayInTable(Common_SourceData.Common_SourceData_FracWETIrrigation_Data(), Table_SourceData_FracWETIrrigation[[#Headers],[Irrigation type i]], 0)</calculatedColumnFormula>
    </tableColumn>
    <tableColumn id="2" xr3:uid="{30D30194-73BF-4762-A67F-87AFFA79AD7D}" name="FracWET" dataDxfId="512"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1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2AB55E7-79E4-4354-8EEB-5D50F45969F6}"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A2A27C0E-7383-4029-8246-9C226AFCDC6D}"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9894B839-16A9-477F-B7EA-F2BE40CB1F4F}" name="EFPRP" dataDxfId="511"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1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87446E5-6DD5-4502-9D68-2470042FDF7F}"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370F4963-419B-4520-A92C-72E9F6322351}" name="Month">
      <calculatedColumnFormula array="1">Common_InputFunctions.Utility_DisplayArrayInTable(Common_SourceData.Common_SourceData_MonthsToSeasons_Data(), Table_SourceData_Common_MonthToSeason[[#Headers],[Month]], 0)</calculatedColumnFormula>
    </tableColumn>
    <tableColumn id="2" xr3:uid="{A27CC605-0910-4EA1-B083-DD2C970E9ECD}" name="Season" dataDxfId="510"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1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A704342A-878F-4C36-8448-100A4B2E64A7}"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B8AB4C84-7352-492E-A482-F24766C41D0E}"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A1B0A925-E4B9-4544-88B7-DD04E2FB58F1}" name="MAT (ºC)" dataDxfId="50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E0DA5C7A-79D6-409E-8E8C-39E37DEE3362}" name="Anaerobic lagoon" dataDxfId="50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956CAA63-AEF8-4391-BE05-1DF3B8F3F637}" name="Digester / covered lagoons" dataDxfId="50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C904E06E-D129-4B79-A3B7-3759E5FD71BB}" name="Liquid systems" dataDxfId="50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C483F92F-7046-4677-ADC2-386F42043D71}" name="Daily spread" dataDxfId="50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05C767C2-06FE-46B8-BA5D-FC22C9618A64}" name="Composting (passive windrow)" dataDxfId="50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46EEC261-E5DD-42C5-9B1F-C3DB9FC5C5D5}" name="Solid storage" dataDxfId="50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50DCC47D-B37C-4EFF-8970-A037A95A00EB}" name="Pit storage" dataDxfId="50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70EC4341-7DE5-4DE9-8BC5-D38EEDC6776F}" name="Deep litter" dataDxfId="50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28C07132-E7BD-44AC-B472-204A8A0342DA}" name="Poultry manure with bedding" dataDxfId="50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11CD0A79-5068-46D7-920D-F43251D7BA03}" name="Poultry manure without bedding" dataDxfId="49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E85E6B26-D152-4C2E-B5B0-A4B2C555A253}" name="Direct processing" dataDxfId="49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021408B8-9642-48AA-A5CF-E96F5CB33415}" name="Direct application" dataDxfId="49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41B5D497-34A5-4A32-9CF3-3215455B52C8}" name="Pasture range and paddock" dataDxfId="49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367AB098-A04C-4883-80DE-73B63FCB5DC5}" name="MAT raw" dataDxfId="495"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1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88F2DD1E-5362-41D4-AAA9-853C46C0DD9F}"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984BDA5E-7080-4DAB-9ED0-03BE23095303}"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57FEBB6A-38B0-400B-8302-2CA80BA95E66}" name="EFNi &amp; EFN2Oi" dataDxfId="494"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613"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05792E4-89C0-41CC-9A16-4B96A36E5E1B}">
  <we:reference id="WA200003696" version="1.3.0.0" store="Omex" storeType="OMEX"/>
  <we:alternateReferences>
    <we:reference id="WA200003696" version="1.3.0.0" store="WA200003696" storeType="OMEX"/>
  </we:alternateReferences>
  <we:properties>
    <we:property name="projectV0_1-56c6e055-265e-4713-816e-a646dbb708de" value="{&quot;kind&quot;:&quot;AFEJSONBlobNode&quot;,&quot;id&quot;:&quot;{8523A1ED-64A4-4F28-87AE-B321FB11927F}&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2.bin"/><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8" Type="http://schemas.openxmlformats.org/officeDocument/2006/relationships/table" Target="../tables/table11.xml"/><Relationship Id="rId13" Type="http://schemas.openxmlformats.org/officeDocument/2006/relationships/table" Target="../tables/table16.xml"/><Relationship Id="rId3" Type="http://schemas.openxmlformats.org/officeDocument/2006/relationships/table" Target="../tables/table6.xml"/><Relationship Id="rId7" Type="http://schemas.openxmlformats.org/officeDocument/2006/relationships/table" Target="../tables/table10.xml"/><Relationship Id="rId12" Type="http://schemas.openxmlformats.org/officeDocument/2006/relationships/table" Target="../tables/table15.xml"/><Relationship Id="rId2" Type="http://schemas.openxmlformats.org/officeDocument/2006/relationships/table" Target="../tables/table5.xml"/><Relationship Id="rId1" Type="http://schemas.openxmlformats.org/officeDocument/2006/relationships/printerSettings" Target="../printerSettings/printerSettings3.bin"/><Relationship Id="rId6" Type="http://schemas.openxmlformats.org/officeDocument/2006/relationships/table" Target="../tables/table9.xml"/><Relationship Id="rId11" Type="http://schemas.openxmlformats.org/officeDocument/2006/relationships/table" Target="../tables/table14.xml"/><Relationship Id="rId5" Type="http://schemas.openxmlformats.org/officeDocument/2006/relationships/table" Target="../tables/table8.xml"/><Relationship Id="rId10" Type="http://schemas.openxmlformats.org/officeDocument/2006/relationships/table" Target="../tables/table13.xml"/><Relationship Id="rId4" Type="http://schemas.openxmlformats.org/officeDocument/2006/relationships/table" Target="../tables/table7.xml"/><Relationship Id="rId9" Type="http://schemas.openxmlformats.org/officeDocument/2006/relationships/table" Target="../tables/table12.xml"/></Relationships>
</file>

<file path=xl/worksheets/_rels/sheet7.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table" Target="../tables/table1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9.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table" Target="../tables/table20.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5.xml.rels><?xml version="1.0" encoding="UTF-8" standalone="yes"?>
<Relationships xmlns="http://schemas.openxmlformats.org/package/2006/relationships"><Relationship Id="rId8" Type="http://schemas.openxmlformats.org/officeDocument/2006/relationships/table" Target="../tables/table29.xml"/><Relationship Id="rId13" Type="http://schemas.openxmlformats.org/officeDocument/2006/relationships/table" Target="../tables/table34.xml"/><Relationship Id="rId18" Type="http://schemas.openxmlformats.org/officeDocument/2006/relationships/table" Target="../tables/table39.xml"/><Relationship Id="rId26" Type="http://schemas.openxmlformats.org/officeDocument/2006/relationships/table" Target="../tables/table47.xml"/><Relationship Id="rId3" Type="http://schemas.openxmlformats.org/officeDocument/2006/relationships/table" Target="../tables/table24.xml"/><Relationship Id="rId21" Type="http://schemas.openxmlformats.org/officeDocument/2006/relationships/table" Target="../tables/table42.xml"/><Relationship Id="rId7" Type="http://schemas.openxmlformats.org/officeDocument/2006/relationships/table" Target="../tables/table28.xml"/><Relationship Id="rId12" Type="http://schemas.openxmlformats.org/officeDocument/2006/relationships/table" Target="../tables/table33.xml"/><Relationship Id="rId17" Type="http://schemas.openxmlformats.org/officeDocument/2006/relationships/table" Target="../tables/table38.xml"/><Relationship Id="rId25" Type="http://schemas.openxmlformats.org/officeDocument/2006/relationships/table" Target="../tables/table46.xml"/><Relationship Id="rId2" Type="http://schemas.openxmlformats.org/officeDocument/2006/relationships/table" Target="../tables/table23.xml"/><Relationship Id="rId16" Type="http://schemas.openxmlformats.org/officeDocument/2006/relationships/table" Target="../tables/table37.xml"/><Relationship Id="rId20" Type="http://schemas.openxmlformats.org/officeDocument/2006/relationships/table" Target="../tables/table41.xml"/><Relationship Id="rId29" Type="http://schemas.openxmlformats.org/officeDocument/2006/relationships/table" Target="../tables/table50.xml"/><Relationship Id="rId1" Type="http://schemas.openxmlformats.org/officeDocument/2006/relationships/table" Target="../tables/table22.xml"/><Relationship Id="rId6" Type="http://schemas.openxmlformats.org/officeDocument/2006/relationships/table" Target="../tables/table27.xml"/><Relationship Id="rId11" Type="http://schemas.openxmlformats.org/officeDocument/2006/relationships/table" Target="../tables/table32.xml"/><Relationship Id="rId24" Type="http://schemas.openxmlformats.org/officeDocument/2006/relationships/table" Target="../tables/table45.xml"/><Relationship Id="rId5" Type="http://schemas.openxmlformats.org/officeDocument/2006/relationships/table" Target="../tables/table26.xml"/><Relationship Id="rId15" Type="http://schemas.openxmlformats.org/officeDocument/2006/relationships/table" Target="../tables/table36.xml"/><Relationship Id="rId23" Type="http://schemas.openxmlformats.org/officeDocument/2006/relationships/table" Target="../tables/table44.xml"/><Relationship Id="rId28" Type="http://schemas.openxmlformats.org/officeDocument/2006/relationships/table" Target="../tables/table49.xml"/><Relationship Id="rId10" Type="http://schemas.openxmlformats.org/officeDocument/2006/relationships/table" Target="../tables/table31.xml"/><Relationship Id="rId19" Type="http://schemas.openxmlformats.org/officeDocument/2006/relationships/table" Target="../tables/table40.xml"/><Relationship Id="rId31" Type="http://schemas.openxmlformats.org/officeDocument/2006/relationships/table" Target="../tables/table52.xml"/><Relationship Id="rId4" Type="http://schemas.openxmlformats.org/officeDocument/2006/relationships/table" Target="../tables/table25.xml"/><Relationship Id="rId9" Type="http://schemas.openxmlformats.org/officeDocument/2006/relationships/table" Target="../tables/table30.xml"/><Relationship Id="rId14" Type="http://schemas.openxmlformats.org/officeDocument/2006/relationships/table" Target="../tables/table35.xml"/><Relationship Id="rId22" Type="http://schemas.openxmlformats.org/officeDocument/2006/relationships/table" Target="../tables/table43.xml"/><Relationship Id="rId27" Type="http://schemas.openxmlformats.org/officeDocument/2006/relationships/table" Target="../tables/table48.xml"/><Relationship Id="rId30" Type="http://schemas.openxmlformats.org/officeDocument/2006/relationships/table" Target="../tables/table51.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54.xml"/><Relationship Id="rId7" Type="http://schemas.openxmlformats.org/officeDocument/2006/relationships/table" Target="../tables/table58.xml"/><Relationship Id="rId2" Type="http://schemas.openxmlformats.org/officeDocument/2006/relationships/table" Target="../tables/table53.xml"/><Relationship Id="rId1" Type="http://schemas.openxmlformats.org/officeDocument/2006/relationships/printerSettings" Target="../printerSettings/printerSettings8.bin"/><Relationship Id="rId6" Type="http://schemas.openxmlformats.org/officeDocument/2006/relationships/table" Target="../tables/table57.xml"/><Relationship Id="rId5" Type="http://schemas.openxmlformats.org/officeDocument/2006/relationships/table" Target="../tables/table56.xml"/><Relationship Id="rId4" Type="http://schemas.openxmlformats.org/officeDocument/2006/relationships/table" Target="../tables/table55.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61.xml"/><Relationship Id="rId7" Type="http://schemas.openxmlformats.org/officeDocument/2006/relationships/table" Target="../tables/table65.xml"/><Relationship Id="rId2" Type="http://schemas.openxmlformats.org/officeDocument/2006/relationships/table" Target="../tables/table60.xml"/><Relationship Id="rId1" Type="http://schemas.openxmlformats.org/officeDocument/2006/relationships/table" Target="../tables/table59.xml"/><Relationship Id="rId6" Type="http://schemas.openxmlformats.org/officeDocument/2006/relationships/table" Target="../tables/table64.xml"/><Relationship Id="rId5" Type="http://schemas.openxmlformats.org/officeDocument/2006/relationships/table" Target="../tables/table63.xml"/><Relationship Id="rId4" Type="http://schemas.openxmlformats.org/officeDocument/2006/relationships/table" Target="../tables/table62.xml"/></Relationships>
</file>

<file path=xl/worksheets/_rels/sheet18.xml.rels><?xml version="1.0" encoding="UTF-8" standalone="yes"?>
<Relationships xmlns="http://schemas.openxmlformats.org/package/2006/relationships"><Relationship Id="rId8" Type="http://schemas.openxmlformats.org/officeDocument/2006/relationships/table" Target="../tables/table72.xml"/><Relationship Id="rId3" Type="http://schemas.openxmlformats.org/officeDocument/2006/relationships/table" Target="../tables/table67.xml"/><Relationship Id="rId7" Type="http://schemas.openxmlformats.org/officeDocument/2006/relationships/table" Target="../tables/table71.xml"/><Relationship Id="rId12" Type="http://schemas.openxmlformats.org/officeDocument/2006/relationships/table" Target="../tables/table76.xml"/><Relationship Id="rId2" Type="http://schemas.openxmlformats.org/officeDocument/2006/relationships/table" Target="../tables/table66.xml"/><Relationship Id="rId1" Type="http://schemas.openxmlformats.org/officeDocument/2006/relationships/printerSettings" Target="../printerSettings/printerSettings9.bin"/><Relationship Id="rId6" Type="http://schemas.openxmlformats.org/officeDocument/2006/relationships/table" Target="../tables/table70.xml"/><Relationship Id="rId11" Type="http://schemas.openxmlformats.org/officeDocument/2006/relationships/table" Target="../tables/table75.xml"/><Relationship Id="rId5" Type="http://schemas.openxmlformats.org/officeDocument/2006/relationships/table" Target="../tables/table69.xml"/><Relationship Id="rId10" Type="http://schemas.openxmlformats.org/officeDocument/2006/relationships/table" Target="../tables/table74.xml"/><Relationship Id="rId4" Type="http://schemas.openxmlformats.org/officeDocument/2006/relationships/table" Target="../tables/table68.xml"/><Relationship Id="rId9" Type="http://schemas.openxmlformats.org/officeDocument/2006/relationships/table" Target="../tables/table73.xml"/></Relationships>
</file>

<file path=xl/worksheets/_rels/sheet19.xml.rels><?xml version="1.0" encoding="UTF-8" standalone="yes"?>
<Relationships xmlns="http://schemas.openxmlformats.org/package/2006/relationships"><Relationship Id="rId8" Type="http://schemas.openxmlformats.org/officeDocument/2006/relationships/table" Target="../tables/table84.xml"/><Relationship Id="rId13" Type="http://schemas.openxmlformats.org/officeDocument/2006/relationships/table" Target="../tables/table89.xml"/><Relationship Id="rId3" Type="http://schemas.openxmlformats.org/officeDocument/2006/relationships/table" Target="../tables/table79.xml"/><Relationship Id="rId7" Type="http://schemas.openxmlformats.org/officeDocument/2006/relationships/table" Target="../tables/table83.xml"/><Relationship Id="rId12" Type="http://schemas.openxmlformats.org/officeDocument/2006/relationships/table" Target="../tables/table88.xml"/><Relationship Id="rId2" Type="http://schemas.openxmlformats.org/officeDocument/2006/relationships/table" Target="../tables/table78.xml"/><Relationship Id="rId1" Type="http://schemas.openxmlformats.org/officeDocument/2006/relationships/table" Target="../tables/table77.xml"/><Relationship Id="rId6" Type="http://schemas.openxmlformats.org/officeDocument/2006/relationships/table" Target="../tables/table82.xml"/><Relationship Id="rId11" Type="http://schemas.openxmlformats.org/officeDocument/2006/relationships/table" Target="../tables/table87.xml"/><Relationship Id="rId5" Type="http://schemas.openxmlformats.org/officeDocument/2006/relationships/table" Target="../tables/table81.xml"/><Relationship Id="rId10" Type="http://schemas.openxmlformats.org/officeDocument/2006/relationships/table" Target="../tables/table86.xml"/><Relationship Id="rId4" Type="http://schemas.openxmlformats.org/officeDocument/2006/relationships/table" Target="../tables/table80.xml"/><Relationship Id="rId9" Type="http://schemas.openxmlformats.org/officeDocument/2006/relationships/table" Target="../tables/table85.xml"/><Relationship Id="rId14" Type="http://schemas.openxmlformats.org/officeDocument/2006/relationships/table" Target="../tables/table90.xml"/></Relationships>
</file>

<file path=xl/worksheets/_rels/sheet20.xml.rels><?xml version="1.0" encoding="UTF-8" standalone="yes"?>
<Relationships xmlns="http://schemas.openxmlformats.org/package/2006/relationships"><Relationship Id="rId8" Type="http://schemas.openxmlformats.org/officeDocument/2006/relationships/table" Target="../tables/table98.xml"/><Relationship Id="rId13" Type="http://schemas.openxmlformats.org/officeDocument/2006/relationships/table" Target="../tables/table103.xml"/><Relationship Id="rId3" Type="http://schemas.openxmlformats.org/officeDocument/2006/relationships/table" Target="../tables/table93.xml"/><Relationship Id="rId7" Type="http://schemas.openxmlformats.org/officeDocument/2006/relationships/table" Target="../tables/table97.xml"/><Relationship Id="rId12" Type="http://schemas.openxmlformats.org/officeDocument/2006/relationships/table" Target="../tables/table102.xml"/><Relationship Id="rId2" Type="http://schemas.openxmlformats.org/officeDocument/2006/relationships/table" Target="../tables/table92.xml"/><Relationship Id="rId1" Type="http://schemas.openxmlformats.org/officeDocument/2006/relationships/table" Target="../tables/table91.xml"/><Relationship Id="rId6" Type="http://schemas.openxmlformats.org/officeDocument/2006/relationships/table" Target="../tables/table96.xml"/><Relationship Id="rId11" Type="http://schemas.openxmlformats.org/officeDocument/2006/relationships/table" Target="../tables/table101.xml"/><Relationship Id="rId5" Type="http://schemas.openxmlformats.org/officeDocument/2006/relationships/table" Target="../tables/table95.xml"/><Relationship Id="rId15" Type="http://schemas.openxmlformats.org/officeDocument/2006/relationships/table" Target="../tables/table105.xml"/><Relationship Id="rId10" Type="http://schemas.openxmlformats.org/officeDocument/2006/relationships/table" Target="../tables/table100.xml"/><Relationship Id="rId4" Type="http://schemas.openxmlformats.org/officeDocument/2006/relationships/table" Target="../tables/table94.xml"/><Relationship Id="rId9" Type="http://schemas.openxmlformats.org/officeDocument/2006/relationships/table" Target="../tables/table99.xml"/><Relationship Id="rId14" Type="http://schemas.openxmlformats.org/officeDocument/2006/relationships/table" Target="../tables/table104.xml"/></Relationships>
</file>

<file path=xl/worksheets/_rels/sheet21.xml.rels><?xml version="1.0" encoding="UTF-8" standalone="yes"?>
<Relationships xmlns="http://schemas.openxmlformats.org/package/2006/relationships"><Relationship Id="rId8" Type="http://schemas.openxmlformats.org/officeDocument/2006/relationships/table" Target="../tables/table113.xml"/><Relationship Id="rId13" Type="http://schemas.openxmlformats.org/officeDocument/2006/relationships/table" Target="../tables/table118.xml"/><Relationship Id="rId18" Type="http://schemas.openxmlformats.org/officeDocument/2006/relationships/table" Target="../tables/table123.xml"/><Relationship Id="rId3" Type="http://schemas.openxmlformats.org/officeDocument/2006/relationships/table" Target="../tables/table108.xml"/><Relationship Id="rId21" Type="http://schemas.openxmlformats.org/officeDocument/2006/relationships/table" Target="../tables/table126.xml"/><Relationship Id="rId7" Type="http://schemas.openxmlformats.org/officeDocument/2006/relationships/table" Target="../tables/table112.xml"/><Relationship Id="rId12" Type="http://schemas.openxmlformats.org/officeDocument/2006/relationships/table" Target="../tables/table117.xml"/><Relationship Id="rId17" Type="http://schemas.openxmlformats.org/officeDocument/2006/relationships/table" Target="../tables/table122.xml"/><Relationship Id="rId2" Type="http://schemas.openxmlformats.org/officeDocument/2006/relationships/table" Target="../tables/table107.xml"/><Relationship Id="rId16" Type="http://schemas.openxmlformats.org/officeDocument/2006/relationships/table" Target="../tables/table121.xml"/><Relationship Id="rId20" Type="http://schemas.openxmlformats.org/officeDocument/2006/relationships/table" Target="../tables/table125.xml"/><Relationship Id="rId1" Type="http://schemas.openxmlformats.org/officeDocument/2006/relationships/table" Target="../tables/table106.xml"/><Relationship Id="rId6" Type="http://schemas.openxmlformats.org/officeDocument/2006/relationships/table" Target="../tables/table111.xml"/><Relationship Id="rId11" Type="http://schemas.openxmlformats.org/officeDocument/2006/relationships/table" Target="../tables/table116.xml"/><Relationship Id="rId24" Type="http://schemas.openxmlformats.org/officeDocument/2006/relationships/table" Target="../tables/table129.xml"/><Relationship Id="rId5" Type="http://schemas.openxmlformats.org/officeDocument/2006/relationships/table" Target="../tables/table110.xml"/><Relationship Id="rId15" Type="http://schemas.openxmlformats.org/officeDocument/2006/relationships/table" Target="../tables/table120.xml"/><Relationship Id="rId23" Type="http://schemas.openxmlformats.org/officeDocument/2006/relationships/table" Target="../tables/table128.xml"/><Relationship Id="rId10" Type="http://schemas.openxmlformats.org/officeDocument/2006/relationships/table" Target="../tables/table115.xml"/><Relationship Id="rId19" Type="http://schemas.openxmlformats.org/officeDocument/2006/relationships/table" Target="../tables/table124.xml"/><Relationship Id="rId4" Type="http://schemas.openxmlformats.org/officeDocument/2006/relationships/table" Target="../tables/table109.xml"/><Relationship Id="rId9" Type="http://schemas.openxmlformats.org/officeDocument/2006/relationships/table" Target="../tables/table114.xml"/><Relationship Id="rId14" Type="http://schemas.openxmlformats.org/officeDocument/2006/relationships/table" Target="../tables/table119.xml"/><Relationship Id="rId22" Type="http://schemas.openxmlformats.org/officeDocument/2006/relationships/table" Target="../tables/table127.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132.xml"/><Relationship Id="rId2" Type="http://schemas.openxmlformats.org/officeDocument/2006/relationships/table" Target="../tables/table131.xml"/><Relationship Id="rId1" Type="http://schemas.openxmlformats.org/officeDocument/2006/relationships/table" Target="../tables/table130.xml"/><Relationship Id="rId6" Type="http://schemas.openxmlformats.org/officeDocument/2006/relationships/table" Target="../tables/table135.xml"/><Relationship Id="rId5" Type="http://schemas.openxmlformats.org/officeDocument/2006/relationships/table" Target="../tables/table134.xml"/><Relationship Id="rId4" Type="http://schemas.openxmlformats.org/officeDocument/2006/relationships/table" Target="../tables/table133.xml"/></Relationships>
</file>

<file path=xl/worksheets/_rels/sheet23.xml.rels><?xml version="1.0" encoding="UTF-8" standalone="yes"?>
<Relationships xmlns="http://schemas.openxmlformats.org/package/2006/relationships"><Relationship Id="rId8" Type="http://schemas.openxmlformats.org/officeDocument/2006/relationships/table" Target="../tables/table143.xml"/><Relationship Id="rId3" Type="http://schemas.openxmlformats.org/officeDocument/2006/relationships/table" Target="../tables/table138.xml"/><Relationship Id="rId7" Type="http://schemas.openxmlformats.org/officeDocument/2006/relationships/table" Target="../tables/table142.xml"/><Relationship Id="rId2" Type="http://schemas.openxmlformats.org/officeDocument/2006/relationships/table" Target="../tables/table137.xml"/><Relationship Id="rId1" Type="http://schemas.openxmlformats.org/officeDocument/2006/relationships/table" Target="../tables/table136.xml"/><Relationship Id="rId6" Type="http://schemas.openxmlformats.org/officeDocument/2006/relationships/table" Target="../tables/table141.xml"/><Relationship Id="rId11" Type="http://schemas.openxmlformats.org/officeDocument/2006/relationships/table" Target="../tables/table146.xml"/><Relationship Id="rId5" Type="http://schemas.openxmlformats.org/officeDocument/2006/relationships/table" Target="../tables/table140.xml"/><Relationship Id="rId10" Type="http://schemas.openxmlformats.org/officeDocument/2006/relationships/table" Target="../tables/table145.xml"/><Relationship Id="rId4" Type="http://schemas.openxmlformats.org/officeDocument/2006/relationships/table" Target="../tables/table139.xml"/><Relationship Id="rId9" Type="http://schemas.openxmlformats.org/officeDocument/2006/relationships/table" Target="../tables/table144.xml"/></Relationships>
</file>

<file path=xl/worksheets/_rels/sheet24.xml.rels><?xml version="1.0" encoding="UTF-8" standalone="yes"?>
<Relationships xmlns="http://schemas.openxmlformats.org/package/2006/relationships"><Relationship Id="rId2" Type="http://schemas.openxmlformats.org/officeDocument/2006/relationships/table" Target="../tables/table148.xml"/><Relationship Id="rId1" Type="http://schemas.openxmlformats.org/officeDocument/2006/relationships/table" Target="../tables/table147.xml"/></Relationships>
</file>

<file path=xl/worksheets/_rels/sheet25.xml.rels><?xml version="1.0" encoding="UTF-8" standalone="yes"?>
<Relationships xmlns="http://schemas.openxmlformats.org/package/2006/relationships"><Relationship Id="rId8" Type="http://schemas.openxmlformats.org/officeDocument/2006/relationships/table" Target="../tables/table155.xml"/><Relationship Id="rId13" Type="http://schemas.openxmlformats.org/officeDocument/2006/relationships/table" Target="../tables/table160.xml"/><Relationship Id="rId18" Type="http://schemas.openxmlformats.org/officeDocument/2006/relationships/table" Target="../tables/table165.xml"/><Relationship Id="rId3" Type="http://schemas.openxmlformats.org/officeDocument/2006/relationships/table" Target="../tables/table150.xml"/><Relationship Id="rId7" Type="http://schemas.openxmlformats.org/officeDocument/2006/relationships/table" Target="../tables/table154.xml"/><Relationship Id="rId12" Type="http://schemas.openxmlformats.org/officeDocument/2006/relationships/table" Target="../tables/table159.xml"/><Relationship Id="rId17" Type="http://schemas.openxmlformats.org/officeDocument/2006/relationships/table" Target="../tables/table164.xml"/><Relationship Id="rId2" Type="http://schemas.openxmlformats.org/officeDocument/2006/relationships/table" Target="../tables/table149.xml"/><Relationship Id="rId16" Type="http://schemas.openxmlformats.org/officeDocument/2006/relationships/table" Target="../tables/table163.xml"/><Relationship Id="rId1" Type="http://schemas.openxmlformats.org/officeDocument/2006/relationships/printerSettings" Target="../printerSettings/printerSettings10.bin"/><Relationship Id="rId6" Type="http://schemas.openxmlformats.org/officeDocument/2006/relationships/table" Target="../tables/table153.xml"/><Relationship Id="rId11" Type="http://schemas.openxmlformats.org/officeDocument/2006/relationships/table" Target="../tables/table158.xml"/><Relationship Id="rId5" Type="http://schemas.openxmlformats.org/officeDocument/2006/relationships/table" Target="../tables/table152.xml"/><Relationship Id="rId15" Type="http://schemas.openxmlformats.org/officeDocument/2006/relationships/table" Target="../tables/table162.xml"/><Relationship Id="rId10" Type="http://schemas.openxmlformats.org/officeDocument/2006/relationships/table" Target="../tables/table157.xml"/><Relationship Id="rId4" Type="http://schemas.openxmlformats.org/officeDocument/2006/relationships/table" Target="../tables/table151.xml"/><Relationship Id="rId9" Type="http://schemas.openxmlformats.org/officeDocument/2006/relationships/table" Target="../tables/table156.xml"/><Relationship Id="rId14" Type="http://schemas.openxmlformats.org/officeDocument/2006/relationships/table" Target="../tables/table16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4CB3C-8AFA-4296-8DD8-68AEFBB1DCAF}">
  <sheetPr>
    <tabColor theme="7" tint="-0.249977111117893"/>
  </sheetPr>
  <dimension ref="C1:L50"/>
  <sheetViews>
    <sheetView showGridLines="0" workbookViewId="0">
      <selection activeCell="A8" sqref="A1:XFD1048576"/>
    </sheetView>
  </sheetViews>
  <sheetFormatPr defaultRowHeight="15.75" x14ac:dyDescent="0.25"/>
  <cols>
    <col min="1" max="1" width="30.625" customWidth="1"/>
    <col min="2" max="2" width="4.625" customWidth="1"/>
    <col min="3" max="3" width="4.625" style="8" customWidth="1"/>
    <col min="4" max="11" width="30.625" style="8" customWidth="1"/>
    <col min="12" max="12" width="4.625" style="8" customWidth="1"/>
  </cols>
  <sheetData>
    <row r="1" spans="3:12" s="1" customFormat="1" ht="30" customHeight="1" x14ac:dyDescent="0.35">
      <c r="C1" s="216" t="s">
        <v>853</v>
      </c>
    </row>
    <row r="2" spans="3:12" s="2" customFormat="1" ht="20.100000000000001" customHeight="1" x14ac:dyDescent="0.25"/>
    <row r="3" spans="3:12" ht="20.100000000000001" customHeight="1" x14ac:dyDescent="0.25">
      <c r="C3" s="217"/>
      <c r="D3" s="217"/>
      <c r="E3" s="217"/>
      <c r="F3" s="217"/>
      <c r="G3" s="217"/>
      <c r="H3" s="217"/>
      <c r="I3" s="217"/>
      <c r="J3" s="217"/>
      <c r="K3" s="217"/>
      <c r="L3" s="217"/>
    </row>
    <row r="4" spans="3:12" ht="20.100000000000001" customHeight="1" x14ac:dyDescent="0.25"/>
    <row r="5" spans="3:12" ht="20.100000000000001" customHeight="1" x14ac:dyDescent="0.25"/>
    <row r="6" spans="3:12" ht="20.100000000000001" customHeight="1" x14ac:dyDescent="0.25"/>
    <row r="7" spans="3:12" ht="20.100000000000001" customHeight="1" x14ac:dyDescent="0.25"/>
    <row r="8" spans="3:12" ht="20.100000000000001" customHeight="1" x14ac:dyDescent="0.25"/>
    <row r="9" spans="3:12" ht="20.100000000000001" customHeight="1" x14ac:dyDescent="0.25"/>
    <row r="10" spans="3:12" ht="20.100000000000001" customHeight="1" x14ac:dyDescent="0.25"/>
    <row r="11" spans="3:12" ht="20.100000000000001" customHeight="1" x14ac:dyDescent="0.25"/>
    <row r="12" spans="3:12" ht="20.100000000000001" customHeight="1" x14ac:dyDescent="0.25"/>
    <row r="13" spans="3:12" ht="20.100000000000001" customHeight="1" x14ac:dyDescent="0.25"/>
    <row r="14" spans="3:12" ht="20.100000000000001" customHeight="1" x14ac:dyDescent="0.25"/>
    <row r="15" spans="3:12" ht="20.100000000000001" customHeight="1" x14ac:dyDescent="0.25"/>
    <row r="16" spans="3:12" ht="20.100000000000001" customHeight="1" x14ac:dyDescent="0.25"/>
    <row r="17" ht="20.100000000000001" customHeight="1" x14ac:dyDescent="0.25"/>
    <row r="18" ht="20.100000000000001" customHeight="1" x14ac:dyDescent="0.25"/>
    <row r="19" ht="20.100000000000001" customHeight="1" x14ac:dyDescent="0.25"/>
    <row r="20" ht="20.100000000000001" customHeight="1" x14ac:dyDescent="0.25"/>
    <row r="21" ht="20.100000000000001" customHeight="1" x14ac:dyDescent="0.25"/>
    <row r="22" ht="20.100000000000001" customHeight="1" x14ac:dyDescent="0.25"/>
    <row r="23" ht="20.100000000000001" customHeight="1" x14ac:dyDescent="0.25"/>
    <row r="24" ht="20.100000000000001" customHeight="1" x14ac:dyDescent="0.25"/>
    <row r="25" ht="20.100000000000001" customHeight="1" x14ac:dyDescent="0.25"/>
    <row r="26" ht="20.100000000000001" customHeight="1" x14ac:dyDescent="0.25"/>
    <row r="27" ht="20.100000000000001" customHeight="1" x14ac:dyDescent="0.25"/>
    <row r="28" ht="20.100000000000001" customHeight="1" x14ac:dyDescent="0.25"/>
    <row r="29" ht="20.100000000000001" customHeight="1" x14ac:dyDescent="0.25"/>
    <row r="30" ht="20.100000000000001" customHeight="1" x14ac:dyDescent="0.25"/>
    <row r="31" ht="20.100000000000001" customHeight="1" x14ac:dyDescent="0.25"/>
    <row r="32"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68BCE-33F5-40AE-A982-A30D5BED1CC9}">
  <sheetPr>
    <tabColor theme="7" tint="-0.249977111117893"/>
  </sheetPr>
  <dimension ref="C1:L50"/>
  <sheetViews>
    <sheetView showGridLines="0" workbookViewId="0">
      <selection activeCell="D15" sqref="D15"/>
    </sheetView>
  </sheetViews>
  <sheetFormatPr defaultRowHeight="15.75" x14ac:dyDescent="0.25"/>
  <cols>
    <col min="1" max="1" width="30.625" customWidth="1"/>
    <col min="2" max="2" width="4.625" customWidth="1"/>
    <col min="3" max="3" width="4.625" style="8" customWidth="1"/>
    <col min="4" max="4" width="50" style="8" customWidth="1"/>
    <col min="5" max="11" width="30.625" style="8" customWidth="1"/>
    <col min="12" max="12" width="4.625" style="8" customWidth="1"/>
  </cols>
  <sheetData>
    <row r="1" spans="3:12" s="1" customFormat="1" ht="30" customHeight="1" x14ac:dyDescent="0.35">
      <c r="C1" s="216" t="s">
        <v>854</v>
      </c>
    </row>
    <row r="2" spans="3:12" s="2" customFormat="1" ht="20.100000000000001" customHeight="1" x14ac:dyDescent="0.25"/>
    <row r="3" spans="3:12" ht="20.100000000000001" customHeight="1" x14ac:dyDescent="0.25">
      <c r="C3" s="217"/>
      <c r="D3" s="217"/>
      <c r="E3" s="217"/>
      <c r="F3" s="217"/>
      <c r="G3" s="217"/>
      <c r="H3" s="217"/>
      <c r="I3" s="217"/>
      <c r="J3" s="217"/>
      <c r="K3" s="217"/>
      <c r="L3" s="217"/>
    </row>
    <row r="4" spans="3:12" ht="20.100000000000001" customHeight="1" x14ac:dyDescent="0.25"/>
    <row r="5" spans="3:12" ht="20.100000000000001" customHeight="1" x14ac:dyDescent="0.25">
      <c r="D5" s="9" t="s">
        <v>855</v>
      </c>
      <c r="E5" s="218"/>
      <c r="F5" s="218"/>
      <c r="G5" s="218"/>
      <c r="H5" s="9"/>
      <c r="I5" s="9"/>
      <c r="J5" s="9"/>
    </row>
    <row r="6" spans="3:12" ht="20.100000000000001" customHeight="1" x14ac:dyDescent="0.3">
      <c r="D6" s="219"/>
      <c r="E6" s="220"/>
      <c r="F6" s="220"/>
      <c r="G6" s="220"/>
      <c r="H6" s="218"/>
      <c r="I6" s="153"/>
      <c r="J6" s="153"/>
    </row>
    <row r="7" spans="3:12" ht="20.100000000000001" customHeight="1" x14ac:dyDescent="0.25">
      <c r="D7" s="99" t="s">
        <v>856</v>
      </c>
      <c r="E7" s="115"/>
      <c r="F7" s="100"/>
      <c r="G7" s="153"/>
      <c r="H7" s="153"/>
      <c r="I7" s="153"/>
      <c r="J7" s="153"/>
    </row>
    <row r="8" spans="3:12" ht="20.100000000000001" customHeight="1" x14ac:dyDescent="0.25">
      <c r="D8" s="153"/>
      <c r="E8" s="153"/>
      <c r="F8" s="153"/>
      <c r="G8" s="153"/>
      <c r="H8" s="153"/>
      <c r="I8" s="153"/>
      <c r="J8" s="153"/>
    </row>
    <row r="9" spans="3:12" ht="20.100000000000001" customHeight="1" x14ac:dyDescent="0.25">
      <c r="D9" s="221" t="s">
        <v>857</v>
      </c>
      <c r="E9" s="221" t="s">
        <v>858</v>
      </c>
      <c r="F9" s="221" t="s">
        <v>859</v>
      </c>
      <c r="G9" s="221"/>
    </row>
    <row r="10" spans="3:12" ht="20.100000000000001" customHeight="1" x14ac:dyDescent="0.25">
      <c r="C10" s="8" t="str" cm="1">
        <f t="array" ref="C10">Common_InputFunctions.Utility_ResultsItemFromEquationTitleAndSource('15 Scope 3'!D5,'15 Scope 3'!D6)</f>
        <v>15.1.1.1 Total emissions from purchased livestock</v>
      </c>
      <c r="D10" s="226" t="str" cm="1">
        <f t="array" aca="1" ref="D10" ca="1">HYPERLINK(Common_InputFunctions.Utility_SourceHyperlinkDifferentSheet('15 Scope 3'!D5), C10)</f>
        <v>15.1.1.1 Total emissions from purchased livestock</v>
      </c>
      <c r="E10" s="222"/>
      <c r="F10" s="222"/>
      <c r="G10" s="13" t="s">
        <v>860</v>
      </c>
    </row>
    <row r="11" spans="3:12" ht="20.100000000000001" customHeight="1" x14ac:dyDescent="0.25">
      <c r="D11" s="225" t="str">
        <f>'15 Scope 3'!D21</f>
        <v>Beef cattle</v>
      </c>
      <c r="E11" s="222">
        <f>'15 Scope 3'!E34</f>
        <v>1052.5</v>
      </c>
      <c r="F11" s="222">
        <f>'15 Scope 3'!E35</f>
        <v>1014.5</v>
      </c>
      <c r="G11" s="13" t="s">
        <v>860</v>
      </c>
    </row>
    <row r="12" spans="3:12" ht="20.100000000000001" customHeight="1" x14ac:dyDescent="0.25">
      <c r="D12" s="225" t="str">
        <f>'15 Scope 3'!D38</f>
        <v>Dairy cattle</v>
      </c>
      <c r="E12" s="222">
        <f>'15 Scope 3'!E53</f>
        <v>441</v>
      </c>
      <c r="F12" s="222">
        <f>'15 Scope 3'!E54</f>
        <v>415.625</v>
      </c>
      <c r="G12" s="13" t="s">
        <v>860</v>
      </c>
    </row>
    <row r="13" spans="3:12" ht="20.100000000000001" customHeight="1" x14ac:dyDescent="0.25">
      <c r="D13" s="225" t="str">
        <f>'15 Scope 3'!D57</f>
        <v>Pigs</v>
      </c>
      <c r="E13" s="222">
        <f>'15 Scope 3'!E72</f>
        <v>76.725999999999999</v>
      </c>
      <c r="F13" s="222">
        <f>'15 Scope 3'!E73</f>
        <v>73.38000000000001</v>
      </c>
      <c r="G13" s="13" t="s">
        <v>860</v>
      </c>
    </row>
    <row r="14" spans="3:12" ht="20.100000000000001" customHeight="1" x14ac:dyDescent="0.25">
      <c r="D14" s="225" t="str">
        <f>'15 Scope 3'!D75</f>
        <v>Poultry</v>
      </c>
      <c r="E14" s="222">
        <f>'15 Scope 3'!E90</f>
        <v>0.36720000000000003</v>
      </c>
      <c r="F14" s="222">
        <f>'15 Scope 3'!E91</f>
        <v>0.35940000000000005</v>
      </c>
      <c r="G14" s="13" t="s">
        <v>860</v>
      </c>
    </row>
    <row r="15" spans="3:12" ht="20.100000000000001" customHeight="1" x14ac:dyDescent="0.25">
      <c r="C15" s="226" t="str" cm="1">
        <f t="array" ref="C15">Common_InputFunctions.Utility_ResultsItemFromEquationTitleAndSource('15 Scope 3'!D98,'15 Scope 3'!D99)</f>
        <v>15.2.1.1 Emissions from purchased feed</v>
      </c>
      <c r="D15" s="226" t="str" cm="1">
        <f t="array" aca="1" ref="D15" ca="1">HYPERLINK(Common_InputFunctions.Utility_SourceHyperlinkDifferentSheet('15 Scope 3'!D98), C15)</f>
        <v>15.2.1.1 Emissions from purchased feed</v>
      </c>
      <c r="E15" s="222">
        <f>'15 Scope 3'!E144</f>
        <v>523.19680000000005</v>
      </c>
      <c r="F15" s="222">
        <f>'15 Scope 3'!E145</f>
        <v>512.78</v>
      </c>
      <c r="G15" s="13" t="s">
        <v>860</v>
      </c>
    </row>
    <row r="16" spans="3:12" ht="20.100000000000001" customHeight="1" x14ac:dyDescent="0.25">
      <c r="C16" s="226" t="str" cm="1">
        <f t="array" ref="C16">Common_InputFunctions.Utility_ResultsItemFromEquationTitleAndSource('15 Scope 3'!D149,'15 Scope 3'!D150)</f>
        <v>15.3.1.1 Total emissions from purchased mineral supplements</v>
      </c>
      <c r="D16" s="226" t="str" cm="1">
        <f t="array" aca="1" ref="D16" ca="1">HYPERLINK(Common_InputFunctions.Utility_SourceHyperlinkDifferentSheet('15 Scope 3'!D149), C16)</f>
        <v>15.3.1.1 Total emissions from purchased mineral supplements</v>
      </c>
      <c r="E16" s="222">
        <f>'15 Scope 3'!E166</f>
        <v>178.9</v>
      </c>
      <c r="F16" s="222">
        <f>'15 Scope 3'!E167</f>
        <v>160</v>
      </c>
      <c r="G16" s="13" t="s">
        <v>860</v>
      </c>
    </row>
    <row r="17" spans="4:8" ht="20.100000000000001" customHeight="1" x14ac:dyDescent="0.25">
      <c r="D17" s="226" t="str" cm="1">
        <f t="array" ref="D17">HYPERLINK('15 Scope 3'!D171, Common_InputFunctions.Utility_ResultsItemFromEquationTitleAndSource('15 Scope 3'!D186,'15 Scope 3'!D187))</f>
        <v>15.4.1.1 Emissions from purchased fertiliser</v>
      </c>
      <c r="E17" s="222">
        <f>'15 Scope 3'!E251</f>
        <v>39.119470000000007</v>
      </c>
      <c r="F17" s="222">
        <f>'15 Scope 3'!E252</f>
        <v>38.326091522690007</v>
      </c>
      <c r="G17" s="13" t="s">
        <v>860</v>
      </c>
    </row>
    <row r="18" spans="4:8" ht="20.100000000000001" customHeight="1" x14ac:dyDescent="0.25">
      <c r="D18" s="8" t="str" cm="1">
        <f t="array" ref="D18">Common_InputFunctions.Utility_ResultsItemFromEquationTitleAndSource('15 Scope 3'!D256,'15 Scope 3'!D257)</f>
        <v>15.5.1.1 Total emissions from purchased agrichemicals</v>
      </c>
      <c r="E18" s="222">
        <f>'15 Scope 3'!E283</f>
        <v>7.5159999999999991</v>
      </c>
      <c r="F18" s="222">
        <f>'15 Scope 3'!E284</f>
        <v>7.4959999999999996</v>
      </c>
      <c r="G18" s="13" t="s">
        <v>860</v>
      </c>
    </row>
    <row r="19" spans="4:8" ht="20.100000000000001" customHeight="1" x14ac:dyDescent="0.25">
      <c r="D19" s="8" t="str" cm="1">
        <f t="array" ref="D19">Common_InputFunctions.Utility_ResultsItemFromEquationTitleAndSource('15 Scope 3'!D288,'15 Scope 3'!D289)</f>
        <v>15.6.1.1 Embedded emissions for purchased lime</v>
      </c>
      <c r="E19" s="222">
        <f>'15 Scope 3'!E316</f>
        <v>1.0375999999999999</v>
      </c>
      <c r="F19" s="222">
        <f>'15 Scope 3'!E317</f>
        <v>0.89</v>
      </c>
      <c r="G19" s="13" t="s">
        <v>860</v>
      </c>
    </row>
    <row r="20" spans="4:8" ht="20.100000000000001" customHeight="1" x14ac:dyDescent="0.25">
      <c r="D20" s="8" t="str" cm="1">
        <f t="array" ref="D20">Common_InputFunctions.Utility_ResultsItemFromEquationTitleAndSource('15 Scope 3'!D321,'15 Scope 3'!D322)</f>
        <v>15.7.1.1 Emissions of purchased services and contractor operations</v>
      </c>
      <c r="E20" s="222" t="s">
        <v>842</v>
      </c>
      <c r="F20" s="222">
        <f>'15 Scope 3'!E348</f>
        <v>42</v>
      </c>
      <c r="G20" s="13" t="s">
        <v>860</v>
      </c>
      <c r="H20" s="226" t="str" cm="1">
        <f t="array" aca="1" ref="H20" ca="1">HYPERLINK(Common_InputFunctions.Utility_SourceHyperlinkDifferentSheet('15 Scope 3'!D149), "test")</f>
        <v>test</v>
      </c>
    </row>
    <row r="21" spans="4:8" ht="20.100000000000001" customHeight="1" x14ac:dyDescent="0.25">
      <c r="D21" s="8" t="str" cm="1">
        <f t="array" ref="D21">Common_InputFunctions.Utility_ResultsItemFromEquationTitleAndSource('15 Scope 3'!D352,'15 Scope 3'!D353)</f>
        <v>15.8.1.1 Embedded emissions from use of packaging materials</v>
      </c>
      <c r="E21" s="222">
        <f>'15 Scope 3'!E378</f>
        <v>7.44</v>
      </c>
      <c r="F21" s="222">
        <f>'15 Scope 3'!E379</f>
        <v>6</v>
      </c>
      <c r="G21" s="13" t="s">
        <v>860</v>
      </c>
    </row>
    <row r="22" spans="4:8" ht="20.100000000000001" customHeight="1" x14ac:dyDescent="0.25">
      <c r="D22" s="8" t="str" cm="1">
        <f t="array" ref="D22">Common_InputFunctions.Utility_ResultsItemFromEquationTitleAndSource('15 Scope 3'!D383,'15 Scope 3'!D384)</f>
        <v>15.9.1.1 Embedded emissions from use of grow media products</v>
      </c>
      <c r="E22" s="222" t="str">
        <f>'15 Scope 3'!E410</f>
        <v>No data</v>
      </c>
      <c r="F22" s="222">
        <f>'15 Scope 3'!E411</f>
        <v>40.200000000000003</v>
      </c>
      <c r="G22" s="13" t="s">
        <v>860</v>
      </c>
    </row>
    <row r="23" spans="4:8" ht="20.100000000000001" customHeight="1" x14ac:dyDescent="0.25">
      <c r="D23" s="8" t="str" cm="1">
        <f t="array" ref="D23">Common_InputFunctions.Utility_ResultsItemFromEquationTitleAndSource('15 Scope 3'!D415,'15 Scope 3'!D416)</f>
        <v>15.10 Other purchased goods and services generic estimate</v>
      </c>
      <c r="E23" s="222"/>
      <c r="F23" s="222"/>
      <c r="G23" s="13" t="s">
        <v>860</v>
      </c>
    </row>
    <row r="24" spans="4:8" ht="20.100000000000001" customHeight="1" x14ac:dyDescent="0.25">
      <c r="D24" s="225" t="str">
        <f>'15 Scope 3'!D427</f>
        <v>Cleaning chemical purchases</v>
      </c>
      <c r="E24" s="222">
        <f>'15 Scope 3'!E441</f>
        <v>0.50509999999999999</v>
      </c>
      <c r="F24" s="222">
        <f>'15 Scope 3'!E442</f>
        <v>2.73</v>
      </c>
      <c r="G24" s="13" t="s">
        <v>860</v>
      </c>
    </row>
    <row r="25" spans="4:8" ht="20.100000000000001" customHeight="1" x14ac:dyDescent="0.25">
      <c r="D25" s="225" t="str">
        <f>'15 Scope 3'!D445</f>
        <v>Pharmacy chemical purchases</v>
      </c>
      <c r="E25" s="222">
        <f>'15 Scope 3'!E459</f>
        <v>1.5636000000000001E-2</v>
      </c>
      <c r="F25" s="222">
        <f>'15 Scope 3'!E460</f>
        <v>1.3400000000000002E-2</v>
      </c>
      <c r="G25" s="13" t="s">
        <v>860</v>
      </c>
    </row>
    <row r="26" spans="4:8" ht="20.100000000000001" customHeight="1" x14ac:dyDescent="0.25">
      <c r="D26" s="225" t="str">
        <f>'15 Scope 3'!D463</f>
        <v>Seed</v>
      </c>
      <c r="E26" s="222">
        <f>'15 Scope 3'!E472</f>
        <v>0.84389999999999998</v>
      </c>
      <c r="F26" s="222">
        <f>'15 Scope 3'!E473</f>
        <v>0.71420000000000006</v>
      </c>
      <c r="G26" s="13" t="s">
        <v>860</v>
      </c>
    </row>
    <row r="27" spans="4:8" ht="20.100000000000001" customHeight="1" x14ac:dyDescent="0.25">
      <c r="D27" s="225" t="str">
        <f>'15 Scope 3'!D476</f>
        <v>Miscellaneous Inputs</v>
      </c>
      <c r="E27" s="222">
        <f>'15 Scope 3'!E483</f>
        <v>2.9531000000000005</v>
      </c>
      <c r="F27" s="222">
        <f>'15 Scope 3'!E484</f>
        <v>8.5860000000000006E-2</v>
      </c>
      <c r="G27" s="13" t="s">
        <v>860</v>
      </c>
    </row>
    <row r="28" spans="4:8" ht="20.100000000000001" customHeight="1" x14ac:dyDescent="0.25">
      <c r="D28" s="225" t="str">
        <f>'15 Scope 3'!D487</f>
        <v>Uncategorised products with no Method 1 EF data</v>
      </c>
      <c r="E28" s="222" t="str">
        <f>'15 Scope 3'!E501</f>
        <v>No data</v>
      </c>
      <c r="F28" s="222">
        <f>'15 Scope 3'!E502</f>
        <v>4000</v>
      </c>
      <c r="G28" s="13" t="s">
        <v>860</v>
      </c>
    </row>
    <row r="29" spans="4:8" ht="20.100000000000001" customHeight="1" x14ac:dyDescent="0.25">
      <c r="D29" s="8" t="str" cm="1">
        <f t="array" ref="D29">Common_InputFunctions.Utility_ResultsItemFromEquationTitleAndSource('15 Scope 3'!D506,'15 Scope 3'!D507)</f>
        <v>15.11.1.1 Total upstream emissions from scope 1 fuel consumption</v>
      </c>
      <c r="E29" s="222">
        <f>'15 Scope 3'!E518</f>
        <v>2.6200000000000004E-3</v>
      </c>
      <c r="F29" s="222">
        <f>E29</f>
        <v>2.6200000000000004E-3</v>
      </c>
      <c r="G29" s="13" t="s">
        <v>860</v>
      </c>
    </row>
    <row r="30" spans="4:8" ht="20.100000000000001" customHeight="1" x14ac:dyDescent="0.25">
      <c r="D30" s="8" t="str" cm="1">
        <f t="array" ref="D30">Common_InputFunctions.Utility_ResultsItemFromEquationTitleAndSource('15 Scope 3'!D521,'15 Scope 3'!D522)</f>
        <v>15.12.1.1 Scope 3 emissions from purchased electricity location based</v>
      </c>
      <c r="E30" s="222">
        <f>'15 Scope 3'!E533</f>
        <v>0.03</v>
      </c>
      <c r="F30" s="222">
        <f>E30</f>
        <v>0.03</v>
      </c>
      <c r="G30" s="13" t="s">
        <v>860</v>
      </c>
    </row>
    <row r="31" spans="4:8" ht="20.100000000000001" customHeight="1" x14ac:dyDescent="0.25">
      <c r="D31" s="8" t="str" cm="1">
        <f t="array" ref="D31">Common_InputFunctions.Utility_ResultsItemFromEquationTitleAndSource('15 Scope 3'!D537,'15 Scope 3'!D538)</f>
        <v>15.12.1.2 Scope 3 emissions from purchased electricity market based</v>
      </c>
      <c r="E31" s="222">
        <f>'15 Scope 3'!E555</f>
        <v>12.15</v>
      </c>
      <c r="F31" s="222">
        <f>E31</f>
        <v>12.15</v>
      </c>
      <c r="G31" s="13" t="s">
        <v>860</v>
      </c>
    </row>
    <row r="32" spans="4:8" ht="20.100000000000001" customHeight="1" x14ac:dyDescent="0.25">
      <c r="D32" s="8" t="str" cm="1">
        <f t="array" ref="D32">Common_InputFunctions.Utility_ResultsItemFromEquationTitleAndSource('15 Scope 3'!D559,'15 Scope 3'!D560)</f>
        <v>15.13.1.1 Emissions from manure sent off site applied to soils in another farming system or enterprise</v>
      </c>
      <c r="E32" s="222">
        <f>'15 Scope 3'!E576</f>
        <v>3.7936642857142857</v>
      </c>
      <c r="F32" s="222">
        <f>E32</f>
        <v>3.7936642857142857</v>
      </c>
      <c r="G32" s="13" t="s">
        <v>860</v>
      </c>
    </row>
    <row r="33" spans="4:7" ht="20.100000000000001" customHeight="1" x14ac:dyDescent="0.25">
      <c r="D33" s="8" t="str" cm="1">
        <f t="array" ref="D33">Common_InputFunctions.Utility_ResultsItemFromEquationTitleAndSource('15 Scope 3'!D580,'15 Scope 3'!D581&amp;",")</f>
        <v>15.13.1.3 Emissions from solid waste sent to a treatment facility</v>
      </c>
      <c r="E33" s="222">
        <f>'15 Scope 3'!E586</f>
        <v>330.84210000000002</v>
      </c>
      <c r="F33" s="222">
        <f>E33</f>
        <v>330.84210000000002</v>
      </c>
      <c r="G33" s="13" t="s">
        <v>860</v>
      </c>
    </row>
    <row r="34" spans="4:7" ht="20.100000000000001" customHeight="1" x14ac:dyDescent="0.25">
      <c r="D34" s="8" t="str" cm="1">
        <f t="array" ref="D34">Common_InputFunctions.Utility_ResultsItemFromEquationTitleAndSource('15 Scope 3'!D590,'15 Scope 3'!D591)</f>
        <v>15.14.1.1 Embedded emissions from upstream freight</v>
      </c>
      <c r="E34" s="222"/>
      <c r="F34" s="222"/>
      <c r="G34" s="13" t="s">
        <v>860</v>
      </c>
    </row>
    <row r="35" spans="4:7" ht="20.100000000000001" customHeight="1" x14ac:dyDescent="0.25">
      <c r="D35" s="225" t="str">
        <f>'15 Scope 3'!D604</f>
        <v>Incoming freight</v>
      </c>
      <c r="E35" s="222" t="str">
        <f>'15 Scope 3'!E618</f>
        <v>No data</v>
      </c>
      <c r="F35" s="222">
        <f>'15 Scope 3'!E619</f>
        <v>5146700</v>
      </c>
      <c r="G35" s="13" t="s">
        <v>860</v>
      </c>
    </row>
    <row r="36" spans="4:7" ht="20.100000000000001" customHeight="1" x14ac:dyDescent="0.25">
      <c r="D36" s="225" t="str">
        <f>'15 Scope 3'!D622</f>
        <v>Outgoing freight</v>
      </c>
      <c r="E36" s="222" t="str">
        <f>'15 Scope 3'!E636</f>
        <v>No data</v>
      </c>
      <c r="F36" s="222">
        <f>'15 Scope 3'!E637</f>
        <v>432640</v>
      </c>
      <c r="G36" s="13" t="s">
        <v>860</v>
      </c>
    </row>
    <row r="37" spans="4:7" ht="20.100000000000001" customHeight="1" x14ac:dyDescent="0.3">
      <c r="D37" s="223" t="s">
        <v>224</v>
      </c>
      <c r="E37" s="224">
        <f>SUM(E10:E36)</f>
        <v>2678.9391902857151</v>
      </c>
      <c r="F37" s="224">
        <f>SUM(F10:F36)</f>
        <v>5586001.9183358084</v>
      </c>
      <c r="G37" s="181" t="s">
        <v>860</v>
      </c>
    </row>
    <row r="38" spans="4:7" ht="20.100000000000001" customHeight="1" x14ac:dyDescent="0.25"/>
    <row r="39" spans="4:7" ht="20.100000000000001" customHeight="1" x14ac:dyDescent="0.25"/>
    <row r="40" spans="4:7" ht="20.100000000000001" customHeight="1" x14ac:dyDescent="0.25"/>
    <row r="41" spans="4:7" ht="20.100000000000001" customHeight="1" x14ac:dyDescent="0.25"/>
    <row r="42" spans="4:7" ht="20.100000000000001" customHeight="1" x14ac:dyDescent="0.25"/>
    <row r="43" spans="4:7" ht="20.100000000000001" customHeight="1" x14ac:dyDescent="0.25"/>
    <row r="44" spans="4:7" ht="20.100000000000001" customHeight="1" x14ac:dyDescent="0.25"/>
    <row r="45" spans="4:7" ht="20.100000000000001" customHeight="1" x14ac:dyDescent="0.25"/>
    <row r="46" spans="4:7" ht="20.100000000000001" customHeight="1" x14ac:dyDescent="0.25"/>
    <row r="47" spans="4:7" ht="20.100000000000001" customHeight="1" x14ac:dyDescent="0.25"/>
    <row r="48" spans="4:7" ht="20.100000000000001" customHeight="1" x14ac:dyDescent="0.25"/>
    <row r="49" ht="20.100000000000001" customHeight="1" x14ac:dyDescent="0.25"/>
    <row r="50" ht="20.100000000000001" customHeight="1"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D3B8F-2DA3-47D9-B0F6-5F323AEDC7C5}">
  <sheetPr>
    <tabColor theme="5" tint="-0.249977111117893"/>
  </sheetPr>
  <dimension ref="A1:AA115"/>
  <sheetViews>
    <sheetView showGridLines="0" workbookViewId="0">
      <selection activeCell="A17" sqref="A17"/>
    </sheetView>
  </sheetViews>
  <sheetFormatPr defaultColWidth="8" defaultRowHeight="15.75" x14ac:dyDescent="0.25"/>
  <cols>
    <col min="1" max="1" width="26.875" style="18" customWidth="1"/>
    <col min="2" max="2" width="4.125" style="4" customWidth="1"/>
    <col min="3" max="3" width="4.125" style="7" customWidth="1"/>
    <col min="4" max="4" width="53.125" style="7" customWidth="1"/>
    <col min="5" max="5" width="44.375" style="7" customWidth="1"/>
    <col min="6" max="11" width="25.125" style="7" customWidth="1"/>
    <col min="12" max="25" width="25.125" style="4" customWidth="1"/>
    <col min="26" max="27" width="8" style="4"/>
    <col min="28" max="16384" width="8" style="7"/>
  </cols>
  <sheetData>
    <row r="1" spans="1:24" s="4" customFormat="1" ht="30" customHeight="1" x14ac:dyDescent="0.35">
      <c r="A1" s="38" t="e" vm="1">
        <v>#VALUE!</v>
      </c>
      <c r="C1" s="107" t="s">
        <v>266</v>
      </c>
    </row>
    <row r="2" spans="1:24" s="4" customFormat="1" ht="20.100000000000001" customHeight="1" x14ac:dyDescent="0.25">
      <c r="A2" s="2"/>
      <c r="C2" s="2"/>
      <c r="D2" s="2"/>
      <c r="E2" s="2"/>
      <c r="F2" s="2"/>
      <c r="G2" s="2"/>
      <c r="H2" s="2"/>
      <c r="I2" s="2"/>
      <c r="J2" s="2"/>
    </row>
    <row r="3" spans="1:24" ht="20.100000000000001" customHeight="1" x14ac:dyDescent="0.25">
      <c r="A3" s="16" t="str">
        <f>HYPERLINK("#'Home'!A1", "Home")</f>
        <v>Home</v>
      </c>
      <c r="C3" s="39"/>
      <c r="D3" s="39"/>
      <c r="E3" s="39"/>
      <c r="F3" s="39"/>
      <c r="G3" s="39"/>
      <c r="H3" s="39"/>
      <c r="I3" s="39"/>
      <c r="J3" s="39"/>
      <c r="K3" s="39"/>
      <c r="M3" s="6"/>
      <c r="N3" s="6"/>
      <c r="O3" s="6"/>
      <c r="P3" s="6"/>
      <c r="Q3" s="6"/>
      <c r="R3" s="6"/>
      <c r="S3" s="6"/>
      <c r="T3" s="6"/>
      <c r="U3" s="6"/>
      <c r="V3" s="6"/>
      <c r="W3" s="6"/>
      <c r="X3" s="6"/>
    </row>
    <row r="4" spans="1:24" ht="20.100000000000001" customHeight="1" x14ac:dyDescent="0.25">
      <c r="A4" s="16" t="str">
        <f>HYPERLINK("#'Overview'!A1", "Overview")</f>
        <v>Overview</v>
      </c>
      <c r="C4" s="108"/>
      <c r="D4" s="108"/>
      <c r="E4" s="108"/>
      <c r="F4" s="108"/>
      <c r="G4" s="108"/>
      <c r="H4" s="108"/>
      <c r="I4" s="108"/>
      <c r="J4" s="108"/>
      <c r="K4" s="108"/>
    </row>
    <row r="5" spans="1:24" ht="20.100000000000001" customHeight="1" x14ac:dyDescent="0.25">
      <c r="A5" s="16" t="str">
        <f>HYPERLINK("#'Results'!A1", "Results")</f>
        <v>Results</v>
      </c>
      <c r="D5" s="9" t="s">
        <v>267</v>
      </c>
      <c r="N5" s="109"/>
    </row>
    <row r="6" spans="1:24" ht="20.100000000000001" customHeight="1" x14ac:dyDescent="0.25">
      <c r="D6" s="110"/>
      <c r="N6" s="111"/>
    </row>
    <row r="7" spans="1:24" ht="20.100000000000001" customHeight="1" x14ac:dyDescent="0.25">
      <c r="A7" s="19" t="s">
        <v>67</v>
      </c>
      <c r="D7" s="8" t="s">
        <v>268</v>
      </c>
      <c r="E7" s="86" t="s">
        <v>269</v>
      </c>
      <c r="F7" s="68"/>
    </row>
    <row r="8" spans="1:24" ht="20.100000000000001" customHeight="1" x14ac:dyDescent="0.25">
      <c r="A8" s="16" t="str">
        <f>HYPERLINK("#'Input - Electricity'!A1", "Electricity")</f>
        <v>Electricity</v>
      </c>
      <c r="D8" s="112" t="s">
        <v>270</v>
      </c>
      <c r="E8" s="86" t="s">
        <v>271</v>
      </c>
    </row>
    <row r="9" spans="1:24" ht="20.100000000000001" customHeight="1" x14ac:dyDescent="0.25">
      <c r="A9" s="16"/>
      <c r="N9" s="113"/>
    </row>
    <row r="10" spans="1:24" ht="20.100000000000001" customHeight="1" x14ac:dyDescent="0.25">
      <c r="A10" s="21" t="s">
        <v>77</v>
      </c>
      <c r="D10" s="99" t="s">
        <v>272</v>
      </c>
      <c r="E10" s="114"/>
      <c r="F10" s="115"/>
      <c r="G10" s="100"/>
      <c r="N10" s="113"/>
    </row>
    <row r="11" spans="1:24" ht="20.100000000000001" customHeight="1" x14ac:dyDescent="0.25">
      <c r="A11" s="16" t="str">
        <f>HYPERLINK("#'14.1.1-2 Purchased electricity'!A1", "14.1.1-2 Purchased electricity")</f>
        <v>14.1.1-2 Purchased electricity</v>
      </c>
      <c r="N11" s="116"/>
    </row>
    <row r="12" spans="1:24" ht="20.100000000000001" customHeight="1" x14ac:dyDescent="0.25">
      <c r="A12" s="16"/>
      <c r="D12" s="112" t="s">
        <v>273</v>
      </c>
      <c r="E12" s="117">
        <v>45292</v>
      </c>
      <c r="F12" s="68" t="s">
        <v>274</v>
      </c>
    </row>
    <row r="13" spans="1:24" ht="20.100000000000001" customHeight="1" x14ac:dyDescent="0.25">
      <c r="A13" s="23" t="s">
        <v>78</v>
      </c>
      <c r="D13" s="112" t="s">
        <v>275</v>
      </c>
      <c r="E13" s="118">
        <f>DATE(YEAR(E12)+1,MONTH(E12),DAY(E12))-1</f>
        <v>45657</v>
      </c>
      <c r="F13" s="68" t="s">
        <v>276</v>
      </c>
      <c r="N13" s="119"/>
      <c r="O13" s="119"/>
    </row>
    <row r="14" spans="1:24" ht="20.100000000000001" customHeight="1" x14ac:dyDescent="0.25">
      <c r="A14" s="16" t="str">
        <f>HYPERLINK("#'Constants - Electricity'!A1", "Constants - Electricity")</f>
        <v>Constants - Electricity</v>
      </c>
      <c r="N14" s="119"/>
      <c r="O14" s="119"/>
    </row>
    <row r="15" spans="1:24" ht="20.100000000000001" customHeight="1" x14ac:dyDescent="0.25">
      <c r="A15" s="16" t="str">
        <f>HYPERLINK("#'Constants - Common'!A1", "Constants - Common")</f>
        <v>Constants - Common</v>
      </c>
      <c r="N15" s="119"/>
      <c r="O15" s="119"/>
    </row>
    <row r="16" spans="1:24" ht="20.100000000000001" customHeight="1" x14ac:dyDescent="0.25">
      <c r="A16" s="3"/>
      <c r="D16" s="9" t="s">
        <v>277</v>
      </c>
      <c r="N16" s="119"/>
      <c r="O16" s="119"/>
    </row>
    <row r="17" spans="1:25" ht="20.100000000000001" customHeight="1" x14ac:dyDescent="0.25">
      <c r="A17" s="3"/>
    </row>
    <row r="18" spans="1:25" ht="20.100000000000001" customHeight="1" x14ac:dyDescent="0.25">
      <c r="A18" s="3"/>
      <c r="D18" s="120" t="s">
        <v>278</v>
      </c>
      <c r="E18" s="41"/>
      <c r="F18" s="41"/>
      <c r="G18" s="42"/>
    </row>
    <row r="19" spans="1:25" ht="20.100000000000001" customHeight="1" x14ac:dyDescent="0.25">
      <c r="A19" s="3"/>
      <c r="D19" s="44" t="s">
        <v>279</v>
      </c>
      <c r="E19" s="45"/>
      <c r="F19" s="45"/>
      <c r="G19" s="46"/>
      <c r="N19" s="109"/>
    </row>
    <row r="20" spans="1:25" ht="20.100000000000001" customHeight="1" x14ac:dyDescent="0.25">
      <c r="A20" s="3"/>
      <c r="D20" s="8"/>
      <c r="E20" s="121"/>
      <c r="F20" s="68"/>
      <c r="N20" s="111"/>
    </row>
    <row r="21" spans="1:25" ht="20.100000000000001" customHeight="1" x14ac:dyDescent="0.25">
      <c r="A21" s="3"/>
      <c r="D21" s="8" t="s">
        <v>280</v>
      </c>
      <c r="E21" s="48" t="s">
        <v>315</v>
      </c>
      <c r="F21" s="68" t="s">
        <v>195</v>
      </c>
    </row>
    <row r="22" spans="1:25" ht="20.100000000000001" customHeight="1" x14ac:dyDescent="0.25">
      <c r="A22" s="3"/>
      <c r="D22" s="8" t="s">
        <v>281</v>
      </c>
      <c r="E22" s="48" t="s">
        <v>282</v>
      </c>
      <c r="F22" s="68" t="s">
        <v>195</v>
      </c>
      <c r="G22" s="8"/>
    </row>
    <row r="23" spans="1:25" ht="20.100000000000001" customHeight="1" x14ac:dyDescent="0.25">
      <c r="A23" s="3"/>
      <c r="D23" s="8" t="s">
        <v>764</v>
      </c>
      <c r="E23" s="48" t="s">
        <v>765</v>
      </c>
      <c r="F23" s="68" t="s">
        <v>195</v>
      </c>
    </row>
    <row r="24" spans="1:25" ht="20.100000000000001" customHeight="1" x14ac:dyDescent="0.25">
      <c r="A24" s="3"/>
      <c r="D24" s="8" t="s">
        <v>16</v>
      </c>
      <c r="E24" s="86">
        <v>307.7</v>
      </c>
      <c r="F24" s="68" t="s">
        <v>766</v>
      </c>
    </row>
    <row r="25" spans="1:25" ht="20.100000000000001" customHeight="1" x14ac:dyDescent="0.25">
      <c r="A25" s="3"/>
      <c r="D25" s="8" t="s">
        <v>767</v>
      </c>
      <c r="E25" s="86">
        <v>18</v>
      </c>
      <c r="F25" s="68" t="s">
        <v>768</v>
      </c>
      <c r="N25" s="111"/>
    </row>
    <row r="26" spans="1:25" ht="20.100000000000001" customHeight="1" x14ac:dyDescent="0.25">
      <c r="A26" s="3"/>
      <c r="D26" s="8" t="s">
        <v>769</v>
      </c>
      <c r="E26" s="86">
        <v>599</v>
      </c>
      <c r="F26" s="68" t="s">
        <v>770</v>
      </c>
    </row>
    <row r="27" spans="1:25" ht="20.100000000000001" customHeight="1" x14ac:dyDescent="0.25">
      <c r="A27" s="3"/>
      <c r="D27" s="112" t="s">
        <v>771</v>
      </c>
      <c r="E27" s="86">
        <v>1326</v>
      </c>
      <c r="F27" s="68" t="s">
        <v>770</v>
      </c>
    </row>
    <row r="28" spans="1:25" ht="20.100000000000001" customHeight="1" x14ac:dyDescent="0.25">
      <c r="A28" s="3"/>
      <c r="D28" s="8" t="s">
        <v>772</v>
      </c>
      <c r="E28" s="86">
        <v>7</v>
      </c>
      <c r="F28" s="68" t="s">
        <v>773</v>
      </c>
    </row>
    <row r="29" spans="1:25" ht="20.100000000000001" customHeight="1" x14ac:dyDescent="0.25">
      <c r="A29" s="3"/>
      <c r="D29" s="112" t="s">
        <v>774</v>
      </c>
      <c r="E29" s="50">
        <f>E26/E27</f>
        <v>0.45173453996983409</v>
      </c>
      <c r="F29" s="68"/>
    </row>
    <row r="30" spans="1:25" ht="20.100000000000001" customHeight="1" x14ac:dyDescent="0.25">
      <c r="A30" s="3"/>
      <c r="D30" s="112" t="s">
        <v>44</v>
      </c>
      <c r="E30" s="50" t="str">
        <f>Common_InputFunctions.Utility_LookupItemFromMinMax(E26,Table_SourceData_RainfallZones[Min rainfall],Table_SourceData_RainfallZones[Max rainfall],Table_SourceData_RainfallZones[Rainfall Zone])</f>
        <v>Low rainfall</v>
      </c>
      <c r="G30" s="122"/>
      <c r="L30" s="123"/>
      <c r="M30" s="123"/>
      <c r="N30" s="123"/>
      <c r="O30" s="123"/>
      <c r="P30" s="123"/>
      <c r="Q30" s="123"/>
      <c r="R30" s="123"/>
      <c r="S30" s="123"/>
      <c r="T30" s="123"/>
      <c r="U30" s="123"/>
      <c r="V30" s="123"/>
      <c r="W30" s="123"/>
      <c r="X30" s="123"/>
      <c r="Y30" s="123"/>
    </row>
    <row r="31" spans="1:25" ht="20.100000000000001" customHeight="1" x14ac:dyDescent="0.25">
      <c r="A31" s="3"/>
      <c r="D31" s="8" t="s">
        <v>11</v>
      </c>
      <c r="E31" s="50"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8"/>
      <c r="G31" s="121"/>
      <c r="L31" s="124"/>
      <c r="M31" s="124"/>
      <c r="N31" s="124"/>
      <c r="O31" s="124"/>
      <c r="P31" s="124"/>
      <c r="Q31" s="124"/>
      <c r="R31" s="124"/>
      <c r="S31" s="124"/>
      <c r="T31" s="124"/>
      <c r="U31" s="124"/>
      <c r="V31" s="124"/>
      <c r="W31" s="124"/>
      <c r="X31" s="124"/>
      <c r="Y31" s="124"/>
    </row>
    <row r="32" spans="1:25" ht="20.100000000000001" customHeight="1" x14ac:dyDescent="0.25">
      <c r="A32" s="3"/>
      <c r="D32" s="8" t="s">
        <v>775</v>
      </c>
      <c r="E32" s="50" t="str">
        <f>Common_InputFunctions.Utility_LookupValueInTable($E$31,Table_SourceData_WetDryZones[Climate zone],Table_SourceData_WetDryZones[Wet or Dry Zone])</f>
        <v>Dry climate zone</v>
      </c>
      <c r="F32" s="8"/>
      <c r="G32" s="121"/>
      <c r="L32" s="124"/>
      <c r="M32" s="124"/>
      <c r="N32" s="124"/>
      <c r="O32" s="124"/>
      <c r="P32" s="124"/>
      <c r="Q32" s="124"/>
      <c r="R32" s="124"/>
      <c r="S32" s="124"/>
      <c r="T32" s="124"/>
      <c r="U32" s="124"/>
      <c r="V32" s="124"/>
      <c r="W32" s="124"/>
      <c r="X32" s="124"/>
      <c r="Y32" s="124"/>
    </row>
    <row r="33" spans="1:25" ht="20.100000000000001" customHeight="1" x14ac:dyDescent="0.25">
      <c r="A33" s="3"/>
      <c r="D33" s="8" t="s">
        <v>48</v>
      </c>
      <c r="E33" s="50" t="str">
        <f>Common_InputFunctions.Utility_LookupItemFromMinMax(E25,Table_SourceData_TemperatureZones[Min MAT],Table_SourceData_TemperatureZones[Max MAT],Table_SourceData_TemperatureZones[Temperature Zone])</f>
        <v>Temperate</v>
      </c>
      <c r="G33" s="125"/>
      <c r="L33" s="124"/>
      <c r="M33" s="124"/>
      <c r="N33" s="124"/>
      <c r="O33" s="124"/>
      <c r="P33" s="124"/>
      <c r="Q33" s="124"/>
      <c r="R33" s="124"/>
      <c r="S33" s="124"/>
      <c r="T33" s="124"/>
      <c r="U33" s="124"/>
      <c r="V33" s="124"/>
      <c r="W33" s="124"/>
      <c r="X33" s="124"/>
      <c r="Y33" s="124"/>
    </row>
    <row r="34" spans="1:25" ht="20.100000000000001" customHeight="1" x14ac:dyDescent="0.25">
      <c r="A34" s="3"/>
      <c r="J34" s="126"/>
      <c r="K34" s="127"/>
      <c r="L34" s="124"/>
      <c r="M34" s="124"/>
      <c r="N34" s="124"/>
      <c r="O34" s="124"/>
      <c r="P34" s="124"/>
      <c r="Q34" s="124"/>
      <c r="R34" s="124"/>
      <c r="S34" s="124"/>
      <c r="T34" s="124"/>
      <c r="U34" s="124"/>
      <c r="V34" s="124"/>
      <c r="W34" s="124"/>
      <c r="X34" s="124"/>
      <c r="Y34" s="124"/>
    </row>
    <row r="35" spans="1:25" ht="20.100000000000001" customHeight="1" x14ac:dyDescent="0.25">
      <c r="A35" s="3"/>
      <c r="J35" s="126"/>
      <c r="K35" s="127"/>
      <c r="L35" s="124"/>
      <c r="M35" s="124"/>
      <c r="N35" s="124"/>
      <c r="O35" s="124"/>
      <c r="P35" s="124"/>
      <c r="Q35" s="124"/>
      <c r="R35" s="124"/>
      <c r="S35" s="124"/>
      <c r="T35" s="124"/>
      <c r="U35" s="124"/>
      <c r="V35" s="124"/>
      <c r="W35" s="124"/>
      <c r="X35" s="124"/>
      <c r="Y35" s="124"/>
    </row>
    <row r="36" spans="1:25" ht="20.100000000000001" customHeight="1" x14ac:dyDescent="0.25">
      <c r="A36" s="3"/>
      <c r="D36" s="128"/>
      <c r="E36" s="128"/>
      <c r="F36" s="129"/>
      <c r="G36" s="126"/>
      <c r="H36" s="126"/>
      <c r="I36" s="130"/>
      <c r="J36" s="126"/>
      <c r="K36" s="127"/>
      <c r="L36" s="124"/>
      <c r="M36" s="124"/>
      <c r="N36" s="124"/>
      <c r="O36" s="124"/>
      <c r="P36" s="124"/>
      <c r="Q36" s="124"/>
      <c r="R36" s="124"/>
      <c r="S36" s="124"/>
      <c r="T36" s="124"/>
      <c r="U36" s="124"/>
      <c r="V36" s="124"/>
      <c r="W36" s="124"/>
      <c r="X36" s="124"/>
      <c r="Y36" s="124"/>
    </row>
    <row r="37" spans="1:25" ht="20.100000000000001" customHeight="1" x14ac:dyDescent="0.25">
      <c r="A37" s="3"/>
      <c r="D37" s="128"/>
      <c r="E37" s="128"/>
      <c r="F37" s="129"/>
      <c r="G37" s="126"/>
      <c r="H37" s="126"/>
      <c r="I37" s="130"/>
      <c r="J37" s="126"/>
      <c r="K37" s="127"/>
      <c r="L37" s="124"/>
      <c r="M37" s="124"/>
      <c r="N37" s="124"/>
      <c r="O37" s="124"/>
      <c r="P37" s="124"/>
      <c r="Q37" s="124"/>
      <c r="R37" s="124"/>
      <c r="S37" s="124"/>
      <c r="T37" s="124"/>
      <c r="U37" s="124"/>
      <c r="V37" s="124"/>
      <c r="W37" s="124"/>
      <c r="X37" s="124"/>
      <c r="Y37" s="124"/>
    </row>
    <row r="38" spans="1:25" ht="20.100000000000001" customHeight="1" x14ac:dyDescent="0.25">
      <c r="A38" s="3"/>
      <c r="D38" s="128"/>
      <c r="E38" s="128"/>
      <c r="F38" s="129"/>
      <c r="G38" s="126"/>
      <c r="H38" s="126"/>
      <c r="I38" s="130"/>
      <c r="J38" s="126"/>
      <c r="K38" s="127"/>
      <c r="L38" s="124"/>
      <c r="M38" s="124"/>
      <c r="N38" s="124"/>
      <c r="O38" s="124"/>
      <c r="P38" s="124"/>
      <c r="Q38" s="124"/>
      <c r="R38" s="124"/>
      <c r="S38" s="124"/>
      <c r="T38" s="124"/>
      <c r="U38" s="124"/>
      <c r="V38" s="124"/>
      <c r="W38" s="124"/>
      <c r="X38" s="124"/>
      <c r="Y38" s="124"/>
    </row>
    <row r="39" spans="1:25" ht="20.100000000000001" customHeight="1" x14ac:dyDescent="0.25">
      <c r="A39" s="3"/>
      <c r="D39" s="128"/>
      <c r="E39" s="128"/>
      <c r="F39" s="129"/>
      <c r="G39" s="126"/>
      <c r="H39" s="126"/>
      <c r="I39" s="130"/>
      <c r="J39" s="126"/>
      <c r="K39" s="127"/>
      <c r="L39" s="124"/>
      <c r="M39" s="124"/>
      <c r="N39" s="124"/>
      <c r="O39" s="124"/>
      <c r="P39" s="124"/>
      <c r="Q39" s="124"/>
      <c r="R39" s="124"/>
      <c r="S39" s="124"/>
      <c r="T39" s="124"/>
      <c r="U39" s="124"/>
      <c r="V39" s="124"/>
      <c r="W39" s="124"/>
      <c r="X39" s="124"/>
      <c r="Y39" s="124"/>
    </row>
    <row r="40" spans="1:25" ht="20.100000000000001" customHeight="1" x14ac:dyDescent="0.25">
      <c r="A40" s="3"/>
      <c r="D40" s="131"/>
      <c r="E40" s="131"/>
      <c r="F40" s="131"/>
      <c r="G40" s="132"/>
      <c r="H40" s="133"/>
      <c r="I40" s="133"/>
      <c r="J40" s="133"/>
      <c r="K40" s="133"/>
      <c r="L40" s="134"/>
      <c r="M40" s="134"/>
      <c r="N40" s="134"/>
      <c r="O40" s="134"/>
      <c r="P40" s="134"/>
      <c r="Q40" s="134"/>
      <c r="R40" s="134"/>
      <c r="S40" s="134"/>
      <c r="T40" s="134"/>
      <c r="U40" s="134"/>
      <c r="V40" s="134"/>
      <c r="W40" s="134"/>
      <c r="X40" s="134"/>
      <c r="Y40" s="134"/>
    </row>
    <row r="41" spans="1:25" ht="20.100000000000001" customHeight="1" x14ac:dyDescent="0.25">
      <c r="A41" s="3"/>
    </row>
    <row r="42" spans="1:25" ht="20.100000000000001" customHeight="1" x14ac:dyDescent="0.25">
      <c r="A42" s="3"/>
    </row>
    <row r="43" spans="1:25" ht="20.100000000000001" customHeight="1" x14ac:dyDescent="0.25">
      <c r="A43" s="3"/>
    </row>
    <row r="44" spans="1:25" ht="20.100000000000001" customHeight="1" x14ac:dyDescent="0.25"/>
    <row r="45" spans="1:25" ht="20.100000000000001" customHeight="1" x14ac:dyDescent="0.25">
      <c r="D45" s="9"/>
    </row>
    <row r="46" spans="1:25" ht="20.100000000000001" customHeight="1" x14ac:dyDescent="0.25">
      <c r="D46" s="9"/>
    </row>
    <row r="47" spans="1:25" ht="20.100000000000001" customHeight="1" x14ac:dyDescent="0.25">
      <c r="D47" s="135"/>
      <c r="E47" s="135"/>
      <c r="F47" s="135"/>
      <c r="G47" s="135"/>
      <c r="H47" s="135"/>
    </row>
    <row r="48" spans="1:25" ht="20.100000000000001" customHeight="1" x14ac:dyDescent="0.25">
      <c r="D48" s="136"/>
      <c r="E48" s="136"/>
      <c r="F48" s="137"/>
      <c r="G48" s="137"/>
      <c r="H48" s="136"/>
    </row>
    <row r="49" spans="4:8" ht="20.100000000000001" customHeight="1" x14ac:dyDescent="0.25">
      <c r="D49" s="136"/>
      <c r="E49" s="136"/>
      <c r="F49" s="137"/>
      <c r="G49" s="137"/>
      <c r="H49" s="136"/>
    </row>
    <row r="50" spans="4:8" ht="20.100000000000001" customHeight="1" x14ac:dyDescent="0.25">
      <c r="D50" s="136"/>
      <c r="E50" s="136"/>
      <c r="F50" s="137"/>
      <c r="G50" s="137"/>
      <c r="H50" s="136"/>
    </row>
    <row r="51" spans="4:8" ht="20.100000000000001" customHeight="1" x14ac:dyDescent="0.25">
      <c r="D51" s="138"/>
      <c r="E51" s="139"/>
      <c r="F51" s="139"/>
      <c r="G51" s="139"/>
      <c r="H51" s="140"/>
    </row>
    <row r="52" spans="4:8" ht="20.100000000000001" customHeight="1" x14ac:dyDescent="0.25"/>
    <row r="53" spans="4:8" ht="20.100000000000001" customHeight="1" x14ac:dyDescent="0.25"/>
    <row r="54" spans="4:8" ht="20.100000000000001" customHeight="1" x14ac:dyDescent="0.25">
      <c r="G54" s="141"/>
    </row>
    <row r="55" spans="4:8" ht="20.100000000000001" customHeight="1" x14ac:dyDescent="0.25">
      <c r="D55" s="9"/>
    </row>
    <row r="56" spans="4:8" ht="20.100000000000001" customHeight="1" x14ac:dyDescent="0.25"/>
    <row r="57" spans="4:8" ht="20.100000000000001" customHeight="1" x14ac:dyDescent="0.25">
      <c r="D57" s="142"/>
      <c r="F57" s="143"/>
    </row>
    <row r="58" spans="4:8" ht="20.100000000000001" customHeight="1" x14ac:dyDescent="0.25">
      <c r="D58" s="8"/>
      <c r="E58" s="144"/>
    </row>
    <row r="59" spans="4:8" ht="20.100000000000001" customHeight="1" x14ac:dyDescent="0.25">
      <c r="D59" s="8"/>
      <c r="E59" s="144"/>
    </row>
    <row r="60" spans="4:8" ht="20.100000000000001" customHeight="1" x14ac:dyDescent="0.25">
      <c r="D60" s="8"/>
      <c r="E60" s="145"/>
    </row>
    <row r="61" spans="4:8" ht="20.100000000000001" customHeight="1" x14ac:dyDescent="0.25">
      <c r="D61" s="8"/>
    </row>
    <row r="62" spans="4:8" ht="20.100000000000001" customHeight="1" x14ac:dyDescent="0.25"/>
    <row r="63" spans="4:8" ht="20.100000000000001" customHeight="1" x14ac:dyDescent="0.25">
      <c r="D63" s="142"/>
    </row>
    <row r="64" spans="4:8" ht="20.100000000000001" customHeight="1" x14ac:dyDescent="0.25">
      <c r="D64" s="8"/>
      <c r="E64" s="144"/>
    </row>
    <row r="65" spans="4:9" ht="20.100000000000001" customHeight="1" x14ac:dyDescent="0.25">
      <c r="D65" s="8"/>
      <c r="E65" s="144"/>
    </row>
    <row r="66" spans="4:9" ht="20.100000000000001" customHeight="1" x14ac:dyDescent="0.25">
      <c r="D66" s="8"/>
      <c r="E66" s="145"/>
    </row>
    <row r="67" spans="4:9" ht="20.100000000000001" customHeight="1" x14ac:dyDescent="0.25"/>
    <row r="68" spans="4:9" ht="20.100000000000001" customHeight="1" x14ac:dyDescent="0.25"/>
    <row r="69" spans="4:9" ht="20.100000000000001" customHeight="1" x14ac:dyDescent="0.25">
      <c r="D69" s="146"/>
      <c r="E69" s="146"/>
      <c r="F69" s="146"/>
      <c r="G69" s="146"/>
      <c r="H69" s="146"/>
      <c r="I69" s="146"/>
    </row>
    <row r="70" spans="4:9" ht="20.100000000000001" customHeight="1" x14ac:dyDescent="0.25">
      <c r="D70" s="146"/>
      <c r="E70" s="146"/>
      <c r="F70" s="146"/>
      <c r="G70" s="146"/>
      <c r="H70" s="146"/>
      <c r="I70" s="146"/>
    </row>
    <row r="71" spans="4:9" ht="20.100000000000001" customHeight="1" x14ac:dyDescent="0.25">
      <c r="D71" s="146"/>
      <c r="E71" s="146"/>
      <c r="F71" s="146"/>
      <c r="G71" s="146"/>
      <c r="H71" s="146"/>
      <c r="I71" s="146"/>
    </row>
    <row r="72" spans="4:9" ht="20.100000000000001" customHeight="1" x14ac:dyDescent="0.25">
      <c r="D72" s="146"/>
      <c r="E72" s="146"/>
      <c r="F72" s="146"/>
      <c r="G72" s="146"/>
      <c r="H72" s="146"/>
      <c r="I72" s="146"/>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147"/>
    </row>
    <row r="79" spans="4:9" ht="20.100000000000001" customHeight="1" x14ac:dyDescent="0.25">
      <c r="D79" s="147"/>
    </row>
    <row r="80" spans="4:9" ht="20.100000000000001" customHeight="1" x14ac:dyDescent="0.25">
      <c r="D80" s="147"/>
    </row>
    <row r="81" spans="4:4" ht="20.100000000000001" customHeight="1" x14ac:dyDescent="0.25">
      <c r="D81" s="147"/>
    </row>
    <row r="82" spans="4:4" ht="20.100000000000001" customHeight="1" x14ac:dyDescent="0.25">
      <c r="D82" s="147"/>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dataValidations count="4">
    <dataValidation type="list" allowBlank="1" showInputMessage="1" showErrorMessage="1" sqref="E21" xr:uid="{4429A646-7DAC-48DD-B671-2B9E28829890}">
      <formula1>INDIRECT("Table_AustralianStates[Common Name]")</formula1>
    </dataValidation>
    <dataValidation type="list" allowBlank="1" showInputMessage="1" showErrorMessage="1" sqref="E22" xr:uid="{0FE995D8-00CE-4E96-830A-A56FEA815EF4}">
      <formula1>INDIRECT("Table_WASA4Areas[SA 4 Name]")</formula1>
    </dataValidation>
    <dataValidation type="list" allowBlank="1" showInputMessage="1" showErrorMessage="1" sqref="G36:G39" xr:uid="{DC5998B5-0150-447E-8556-7AF4FD81D21D}">
      <formula1>$D$41:$D$43</formula1>
    </dataValidation>
    <dataValidation type="list" allowBlank="1" showInputMessage="1" showErrorMessage="1" sqref="E23" xr:uid="{C355EFE3-141E-4817-9200-A023608C977C}">
      <formula1>"YES - In leaching zone, NO - Not in leaching zone"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2A0CB-A215-4968-BAAE-5C270491FA98}">
  <sheetPr>
    <tabColor theme="5" tint="-0.249977111117893"/>
  </sheetPr>
  <dimension ref="A1:J354"/>
  <sheetViews>
    <sheetView showGridLines="0" zoomScale="85" zoomScaleNormal="85" workbookViewId="0">
      <selection activeCell="F22" sqref="F22"/>
    </sheetView>
  </sheetViews>
  <sheetFormatPr defaultRowHeight="15.75" x14ac:dyDescent="0.25"/>
  <cols>
    <col min="1" max="1" width="26.875" style="3" customWidth="1"/>
    <col min="2" max="2" width="4.125" style="3" customWidth="1"/>
    <col min="3" max="3" width="4.125" style="8" customWidth="1"/>
    <col min="4" max="4" width="45.625" style="8" customWidth="1"/>
    <col min="5" max="5" width="41.125" style="8" customWidth="1"/>
    <col min="6" max="9" width="21.75" style="8" customWidth="1"/>
    <col min="10" max="10" width="4.125" style="8" customWidth="1"/>
    <col min="11" max="11" width="4.125" style="3" customWidth="1"/>
    <col min="12" max="16384" width="9" style="3"/>
  </cols>
  <sheetData>
    <row r="1" spans="1:10" s="38" customFormat="1" ht="30" customHeight="1" x14ac:dyDescent="0.35">
      <c r="A1" s="38" t="e" vm="1">
        <v>#VALUE!</v>
      </c>
      <c r="C1" s="38" t="s">
        <v>119</v>
      </c>
    </row>
    <row r="2" spans="1:10" s="2" customFormat="1" ht="20.100000000000001" customHeight="1" x14ac:dyDescent="0.25"/>
    <row r="3" spans="1:10" ht="20.100000000000001" customHeight="1" x14ac:dyDescent="0.25">
      <c r="A3" s="16" t="str">
        <f>HYPERLINK("#'Home'!A1", "Home")</f>
        <v>Home</v>
      </c>
      <c r="C3" s="39"/>
      <c r="D3" s="39"/>
      <c r="E3" s="39"/>
      <c r="F3" s="39"/>
      <c r="G3" s="39"/>
      <c r="H3" s="39"/>
      <c r="I3" s="39"/>
      <c r="J3" s="39"/>
    </row>
    <row r="4" spans="1:10" ht="20.100000000000001" customHeight="1" x14ac:dyDescent="0.25">
      <c r="A4" s="16" t="str">
        <f>HYPERLINK("#'Overview'!A1", "Overview")</f>
        <v>Overview</v>
      </c>
    </row>
    <row r="5" spans="1:10" ht="20.100000000000001" customHeight="1" x14ac:dyDescent="0.25">
      <c r="A5" s="16" t="str">
        <f>HYPERLINK("#'Results'!A1", "Results")</f>
        <v>Results</v>
      </c>
      <c r="D5" s="9" t="s">
        <v>120</v>
      </c>
      <c r="E5" s="7"/>
      <c r="F5" s="7"/>
      <c r="G5" s="7"/>
      <c r="H5" s="7"/>
    </row>
    <row r="6" spans="1:10" ht="20.100000000000001" customHeight="1" x14ac:dyDescent="0.25">
      <c r="A6" s="18"/>
      <c r="D6" s="14"/>
      <c r="E6" s="14"/>
      <c r="F6" s="14"/>
      <c r="G6" s="14"/>
      <c r="H6" s="14"/>
      <c r="I6" s="14"/>
    </row>
    <row r="7" spans="1:10" ht="20.100000000000001" customHeight="1" x14ac:dyDescent="0.25">
      <c r="A7" s="19" t="s">
        <v>67</v>
      </c>
      <c r="D7" s="8" t="s">
        <v>751</v>
      </c>
    </row>
    <row r="8" spans="1:10" ht="20.100000000000001" customHeight="1" x14ac:dyDescent="0.25">
      <c r="A8" s="43" t="str">
        <f>HYPERLINK("#'Input - Fuel'!A1", "Fuel")</f>
        <v>Fuel</v>
      </c>
      <c r="D8" s="8" t="s">
        <v>752</v>
      </c>
    </row>
    <row r="9" spans="1:10" ht="20.100000000000001" customHeight="1" x14ac:dyDescent="0.25">
      <c r="A9" s="16"/>
      <c r="D9" s="8" t="s">
        <v>753</v>
      </c>
    </row>
    <row r="10" spans="1:10" ht="20.100000000000001" customHeight="1" x14ac:dyDescent="0.25">
      <c r="A10" s="21" t="s">
        <v>77</v>
      </c>
    </row>
    <row r="11" spans="1:10" ht="20.100000000000001" customHeight="1" x14ac:dyDescent="0.25">
      <c r="A11" s="16" t="str">
        <f>HYPERLINK("#'8.1.1.1-2 Transport fuel'!A1", "8.1.1.1-2 Transport fuel")</f>
        <v>8.1.1.1-2 Transport fuel</v>
      </c>
      <c r="D11" s="8" t="s">
        <v>754</v>
      </c>
      <c r="E11" s="48" t="s">
        <v>722</v>
      </c>
      <c r="F11" s="68" t="s">
        <v>195</v>
      </c>
    </row>
    <row r="12" spans="1:10" ht="20.100000000000001" customHeight="1" x14ac:dyDescent="0.25">
      <c r="A12" s="16" t="str">
        <f>HYPERLINK("#'8.2.1.1-2 Stationary fuel'!A1", "8.2.1.1-2 Stationary fuel")</f>
        <v>8.2.1.1-2 Stationary fuel</v>
      </c>
    </row>
    <row r="13" spans="1:10" ht="20.100000000000001" customHeight="1" x14ac:dyDescent="0.25">
      <c r="A13" s="16" t="str">
        <f>HYPERLINK("#'8.X.1.1-2 General use fuel'!A1", "8.X.1.1-2 General use fuel")</f>
        <v>8.X.1.1-2 General use fuel</v>
      </c>
      <c r="D13" s="40" t="s">
        <v>121</v>
      </c>
      <c r="E13" s="41"/>
      <c r="F13" s="41"/>
      <c r="G13" s="41"/>
      <c r="H13" s="42"/>
    </row>
    <row r="14" spans="1:10" ht="20.100000000000001" customHeight="1" x14ac:dyDescent="0.25">
      <c r="A14" s="16"/>
      <c r="D14" s="44" t="s">
        <v>122</v>
      </c>
      <c r="E14" s="45"/>
      <c r="F14" s="45"/>
      <c r="G14" s="45"/>
      <c r="H14" s="46"/>
    </row>
    <row r="15" spans="1:10" ht="20.100000000000001" customHeight="1" x14ac:dyDescent="0.25">
      <c r="A15" s="23" t="s">
        <v>78</v>
      </c>
      <c r="D15" s="14"/>
      <c r="E15" s="14"/>
      <c r="F15" s="14"/>
      <c r="G15" s="14"/>
      <c r="H15" s="14"/>
      <c r="I15" s="14"/>
    </row>
    <row r="16" spans="1:10" ht="20.100000000000001" customHeight="1" x14ac:dyDescent="0.25">
      <c r="A16" s="16" t="str">
        <f>HYPERLINK("#'Constants - Fuel'!A1", "Constants - Fuel")</f>
        <v>Constants - Fuel</v>
      </c>
      <c r="D16" s="47" t="s">
        <v>123</v>
      </c>
      <c r="E16" s="47" t="s">
        <v>124</v>
      </c>
      <c r="F16" s="47" t="s">
        <v>125</v>
      </c>
      <c r="G16" s="47" t="s">
        <v>126</v>
      </c>
      <c r="H16" s="47" t="s">
        <v>127</v>
      </c>
      <c r="I16" s="47" t="s">
        <v>128</v>
      </c>
    </row>
    <row r="17" spans="1:9" ht="20.100000000000001" customHeight="1" x14ac:dyDescent="0.25">
      <c r="A17" s="16" t="str">
        <f>HYPERLINK("#'Constants - Common'!A1", "Constants - Common")</f>
        <v>Constants - Common</v>
      </c>
      <c r="D17" s="48" t="s">
        <v>89</v>
      </c>
      <c r="E17" s="48" t="s">
        <v>118</v>
      </c>
      <c r="F17" s="49">
        <v>100</v>
      </c>
      <c r="G17" s="50" t="str" cm="1">
        <f t="array" ref="G17">Common_InputFunctions.Utility_LookupValueInTable(Table_Input_Fuel[[#This Row],[Fuel type (select)]],Table_FuelTypes_Units[Fuel type], Table_FuelTypes_Units[Unit])</f>
        <v>GJ</v>
      </c>
      <c r="H17" s="51">
        <f>1</f>
        <v>1</v>
      </c>
      <c r="I17" s="50">
        <f>Table_Input_Fuel[[#This Row],[Amount purchased]]*Table_Input_Fuel[[#This Row],[Percent consumed]]*10^-3</f>
        <v>0.1</v>
      </c>
    </row>
    <row r="18" spans="1:9" ht="20.100000000000001" customHeight="1" x14ac:dyDescent="0.25">
      <c r="D18" s="48" t="s">
        <v>90</v>
      </c>
      <c r="E18" s="48" t="s">
        <v>106</v>
      </c>
      <c r="F18" s="49">
        <v>100</v>
      </c>
      <c r="G18" s="50" t="str" cm="1">
        <f t="array" ref="G18">Common_InputFunctions.Utility_LookupValueInTable(Table_Input_Fuel[[#This Row],[Fuel type (select)]],Table_FuelTypes_Units[Fuel type], Table_FuelTypes_Units[Unit])</f>
        <v>kL</v>
      </c>
      <c r="H18" s="51">
        <f>1</f>
        <v>1</v>
      </c>
      <c r="I18" s="50">
        <f>Table_Input_Fuel[[#This Row],[Amount purchased]]*Table_Input_Fuel[[#This Row],[Percent consumed]]*10^-3</f>
        <v>0.1</v>
      </c>
    </row>
    <row r="19" spans="1:9" ht="20.100000000000001" customHeight="1" x14ac:dyDescent="0.25">
      <c r="D19" s="48" t="s">
        <v>93</v>
      </c>
      <c r="E19" s="48" t="s">
        <v>100</v>
      </c>
      <c r="F19" s="49">
        <v>100</v>
      </c>
      <c r="G19" s="50" t="str" cm="1">
        <f t="array" ref="G19">Common_InputFunctions.Utility_LookupValueInTable(Table_Input_Fuel[[#This Row],[Fuel type (select)]],Table_FuelTypes_Units[Fuel type], Table_FuelTypes_Units[Unit])</f>
        <v>kL</v>
      </c>
      <c r="H19" s="51">
        <f>1</f>
        <v>1</v>
      </c>
      <c r="I19" s="50">
        <f>Table_Input_Fuel[[#This Row],[Amount purchased]]*Table_Input_Fuel[[#This Row],[Percent consumed]]*10^-3</f>
        <v>0.1</v>
      </c>
    </row>
    <row r="20" spans="1:9" ht="20.100000000000001" customHeight="1" x14ac:dyDescent="0.25">
      <c r="A20" s="16"/>
      <c r="D20" s="48" t="s">
        <v>89</v>
      </c>
      <c r="E20" s="48" t="s">
        <v>118</v>
      </c>
      <c r="F20" s="49">
        <v>100</v>
      </c>
      <c r="G20" s="50" t="str" cm="1">
        <f t="array" ref="G20">Common_InputFunctions.Utility_LookupValueInTable(Table_Input_Fuel[[#This Row],[Fuel type (select)]],Table_FuelTypes_Units[Fuel type], Table_FuelTypes_Units[Unit])</f>
        <v>GJ</v>
      </c>
      <c r="H20" s="51">
        <f>1</f>
        <v>1</v>
      </c>
      <c r="I20" s="50">
        <f>Table_Input_Fuel[[#This Row],[Amount purchased]]*Table_Input_Fuel[[#This Row],[Percent consumed]]*10^-3</f>
        <v>0.1</v>
      </c>
    </row>
    <row r="21" spans="1:9" ht="20.100000000000001" customHeight="1" x14ac:dyDescent="0.25">
      <c r="A21" s="16"/>
      <c r="D21" s="48" t="s">
        <v>91</v>
      </c>
      <c r="E21" s="48" t="s">
        <v>100</v>
      </c>
      <c r="F21" s="49">
        <v>100</v>
      </c>
      <c r="G21" s="50" t="str" cm="1">
        <f t="array" ref="G21">Common_InputFunctions.Utility_LookupValueInTable(Table_Input_Fuel[[#This Row],[Fuel type (select)]],Table_FuelTypes_Units[Fuel type], Table_FuelTypes_Units[Unit])</f>
        <v>kL</v>
      </c>
      <c r="H21" s="51">
        <f>1</f>
        <v>1</v>
      </c>
      <c r="I21" s="50">
        <f>Table_Input_Fuel[[#This Row],[Amount purchased]]*Table_Input_Fuel[[#This Row],[Percent consumed]]*10^-3</f>
        <v>0.1</v>
      </c>
    </row>
    <row r="22" spans="1:9" ht="20.100000000000001" customHeight="1" x14ac:dyDescent="0.25"/>
    <row r="23" spans="1:9" ht="20.100000000000001" customHeight="1" x14ac:dyDescent="0.25">
      <c r="A23" s="16"/>
    </row>
    <row r="24" spans="1:9" ht="20.100000000000001" customHeight="1" x14ac:dyDescent="0.25"/>
    <row r="25" spans="1:9" ht="20.100000000000001" customHeight="1" x14ac:dyDescent="0.25"/>
    <row r="26" spans="1:9" ht="20.100000000000001" customHeight="1" x14ac:dyDescent="0.25"/>
    <row r="27" spans="1:9" ht="20.100000000000001" customHeight="1" x14ac:dyDescent="0.25"/>
    <row r="28" spans="1:9" ht="20.100000000000001" customHeight="1" x14ac:dyDescent="0.25"/>
    <row r="29" spans="1:9" ht="20.100000000000001" customHeight="1" x14ac:dyDescent="0.25">
      <c r="A29" s="16"/>
    </row>
    <row r="30" spans="1:9" ht="20.100000000000001" customHeight="1" x14ac:dyDescent="0.25">
      <c r="A30" s="16"/>
    </row>
    <row r="31" spans="1:9" ht="20.100000000000001" customHeight="1" x14ac:dyDescent="0.25">
      <c r="A31" s="52"/>
    </row>
    <row r="32" spans="1:9" ht="20.100000000000001" customHeight="1" x14ac:dyDescent="0.25">
      <c r="A32" s="52"/>
    </row>
    <row r="33" spans="1:10" ht="20.100000000000001" customHeight="1" x14ac:dyDescent="0.25">
      <c r="A33" s="16"/>
    </row>
    <row r="34" spans="1:10" ht="20.100000000000001" customHeight="1" x14ac:dyDescent="0.25"/>
    <row r="35" spans="1:10" ht="20.100000000000001" customHeight="1" x14ac:dyDescent="0.25"/>
    <row r="36" spans="1:10" ht="20.100000000000001" customHeight="1" x14ac:dyDescent="0.25"/>
    <row r="37" spans="1:10" ht="20.100000000000001" customHeight="1" x14ac:dyDescent="0.25"/>
    <row r="38" spans="1:10" ht="20.100000000000001" customHeight="1" x14ac:dyDescent="0.25">
      <c r="C38" s="53"/>
      <c r="J38" s="53"/>
    </row>
    <row r="39" spans="1:10" ht="20.100000000000001" customHeight="1" x14ac:dyDescent="0.25">
      <c r="A39" s="16"/>
      <c r="C39" s="53"/>
      <c r="J39" s="53"/>
    </row>
    <row r="40" spans="1:10" s="54" customFormat="1" ht="20.100000000000001" customHeight="1" x14ac:dyDescent="0.25">
      <c r="C40" s="8"/>
      <c r="D40" s="8"/>
      <c r="E40" s="8"/>
      <c r="F40" s="8"/>
      <c r="G40" s="8"/>
      <c r="H40" s="8"/>
      <c r="I40" s="8"/>
      <c r="J40" s="8"/>
    </row>
    <row r="41" spans="1:10" s="54" customFormat="1" ht="20.100000000000001" customHeight="1" x14ac:dyDescent="0.25">
      <c r="A41" s="55"/>
      <c r="C41" s="8"/>
      <c r="D41" s="8"/>
      <c r="E41" s="8"/>
      <c r="F41" s="8"/>
      <c r="G41" s="8"/>
      <c r="H41" s="8"/>
      <c r="I41" s="8"/>
      <c r="J41" s="8"/>
    </row>
    <row r="42" spans="1:10" ht="20.100000000000001" customHeight="1" x14ac:dyDescent="0.25"/>
    <row r="43" spans="1:10" ht="20.100000000000001" customHeight="1" x14ac:dyDescent="0.25"/>
    <row r="44" spans="1:10" ht="20.100000000000001" customHeight="1" x14ac:dyDescent="0.25">
      <c r="A44" s="56"/>
    </row>
    <row r="45" spans="1:10" ht="20.100000000000001" customHeight="1" x14ac:dyDescent="0.25"/>
    <row r="46" spans="1:10" ht="20.100000000000001" customHeight="1" x14ac:dyDescent="0.25"/>
    <row r="47" spans="1:10" ht="20.100000000000001" customHeight="1" x14ac:dyDescent="0.25"/>
    <row r="48" spans="1:10"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54" spans="4:4" x14ac:dyDescent="0.25">
      <c r="D354" s="57"/>
    </row>
  </sheetData>
  <conditionalFormatting sqref="F40">
    <cfRule type="cellIs" dxfId="64" priority="9" operator="lessThan">
      <formula>0</formula>
    </cfRule>
  </conditionalFormatting>
  <conditionalFormatting sqref="F119:F120">
    <cfRule type="cellIs" dxfId="63" priority="8" operator="lessThan">
      <formula>0</formula>
    </cfRule>
  </conditionalFormatting>
  <conditionalFormatting sqref="F131:F132">
    <cfRule type="cellIs" dxfId="62" priority="7" operator="lessThan">
      <formula>0</formula>
    </cfRule>
  </conditionalFormatting>
  <conditionalFormatting sqref="F143:F144">
    <cfRule type="cellIs" dxfId="61" priority="6" operator="lessThan">
      <formula>0</formula>
    </cfRule>
  </conditionalFormatting>
  <conditionalFormatting sqref="F155:F156">
    <cfRule type="cellIs" dxfId="60" priority="5" operator="lessThan">
      <formula>0</formula>
    </cfRule>
  </conditionalFormatting>
  <conditionalFormatting sqref="F243:F244">
    <cfRule type="cellIs" dxfId="59" priority="17" operator="lessThan">
      <formula>0</formula>
    </cfRule>
  </conditionalFormatting>
  <conditionalFormatting sqref="F248:F249">
    <cfRule type="cellIs" dxfId="58" priority="16" operator="lessThan">
      <formula>0</formula>
    </cfRule>
  </conditionalFormatting>
  <conditionalFormatting sqref="F253:F254">
    <cfRule type="cellIs" dxfId="57" priority="15" operator="lessThan">
      <formula>0</formula>
    </cfRule>
  </conditionalFormatting>
  <conditionalFormatting sqref="F277:F278">
    <cfRule type="cellIs" dxfId="56" priority="14" operator="lessThan">
      <formula>0</formula>
    </cfRule>
  </conditionalFormatting>
  <conditionalFormatting sqref="F282:F283">
    <cfRule type="cellIs" dxfId="55" priority="13" operator="lessThan">
      <formula>0</formula>
    </cfRule>
  </conditionalFormatting>
  <conditionalFormatting sqref="F287:F288">
    <cfRule type="cellIs" dxfId="54" priority="12" operator="lessThan">
      <formula>0</formula>
    </cfRule>
  </conditionalFormatting>
  <conditionalFormatting sqref="I24 I26:I30 I34:I35 H36:H38 I39 I41:I43 I45:I46 I197 E203:G203 I203">
    <cfRule type="cellIs" dxfId="53" priority="11" operator="lessThan">
      <formula>0</formula>
    </cfRule>
  </conditionalFormatting>
  <conditionalFormatting sqref="I50:I54">
    <cfRule type="cellIs" dxfId="52" priority="4" operator="lessThan">
      <formula>0</formula>
    </cfRule>
  </conditionalFormatting>
  <conditionalFormatting sqref="I58 I117">
    <cfRule type="cellIs" dxfId="51" priority="10" operator="lessThan">
      <formula>0</formula>
    </cfRule>
  </conditionalFormatting>
  <conditionalFormatting sqref="I69:I71">
    <cfRule type="cellIs" dxfId="50" priority="3" operator="lessThan">
      <formula>0</formula>
    </cfRule>
  </conditionalFormatting>
  <conditionalFormatting sqref="I75:I78">
    <cfRule type="cellIs" dxfId="49" priority="2" operator="lessThan">
      <formula>0</formula>
    </cfRule>
  </conditionalFormatting>
  <conditionalFormatting sqref="I82:I86">
    <cfRule type="cellIs" dxfId="48" priority="1" operator="lessThan">
      <formula>0</formula>
    </cfRule>
  </conditionalFormatting>
  <dataValidations count="9">
    <dataValidation type="list" allowBlank="1" showInputMessage="1" showErrorMessage="1" sqref="E11" xr:uid="{EC685BB7-B56B-4265-AD52-40335DE44C47}">
      <formula1>"Metro, Non-metro"</formula1>
    </dataValidation>
    <dataValidation type="list" allowBlank="1" showInputMessage="1" showErrorMessage="1" sqref="E17:E21" xr:uid="{CDFC472F-3B6B-4156-9814-EA631756A7C5}">
      <formula1>_xlfn.TRIMRANGE(INDIRECT("Table_FuelTypesPerUse["&amp;D17&amp;"]"))</formula1>
    </dataValidation>
    <dataValidation type="list" allowBlank="1" showInputMessage="1" showErrorMessage="1" sqref="D17:D21" xr:uid="{2AB8B607-6113-4019-83B9-8914AD3CCFB1}">
      <formula1>INDIRECT("Table_FuelTypesPerUse[#Headers]")</formula1>
    </dataValidation>
    <dataValidation type="list" allowBlank="1" showInputMessage="1" showErrorMessage="1" sqref="D37:D38" xr:uid="{6F95C83A-E076-4503-9E9A-7A2A314D3676}">
      <formula1>INDIRECT("Table_SourceData_OrganicFertiliserTypes[Organic fertiliser type]")</formula1>
    </dataValidation>
    <dataValidation type="list" allowBlank="1" showInputMessage="1" showErrorMessage="1" sqref="E57" xr:uid="{DCB9AC3F-7B51-44E2-8476-5A6D721418A4}">
      <formula1>INDIRECT("Table_SourceData_Swine_CropProdSystems[Production system]")</formula1>
    </dataValidation>
    <dataValidation type="list" allowBlank="1" showInputMessage="1" showErrorMessage="1" sqref="E58" xr:uid="{8A8B8C7A-CB04-4725-A2D3-9509D7095954}">
      <formula1>INDIRECT("Table_SourceData_Swine_IrrigationMethods[Irrigation method]")</formula1>
    </dataValidation>
    <dataValidation type="list" allowBlank="1" showInputMessage="1" showErrorMessage="1" sqref="E242 E247 E252 E286 E281 E276 E154 E142 E118 E130" xr:uid="{F108D1A2-7D49-4B65-BBCF-5C9040E33C98}">
      <formula1>"Yes, No"</formula1>
    </dataValidation>
    <dataValidation type="list" allowBlank="1" showInputMessage="1" showErrorMessage="1" sqref="E218" xr:uid="{B6139B07-8354-42B1-BF7E-1053FE7BF5BE}">
      <formula1>INDIRECT("Table_SourceData_Dairy_ProductionSystemTemplates[Area]")</formula1>
    </dataValidation>
    <dataValidation type="list" allowBlank="1" showInputMessage="1" showErrorMessage="1" sqref="D270" xr:uid="{57908C32-05CD-4D1F-8EAF-3562AE6E1B24}">
      <formula1>INDIRECT("Table_SourceData_PoultryMMSStage1[MMS]")</formula1>
    </dataValidation>
  </dataValidations>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19771-8F9B-4B70-9E21-CFDF5B272E0C}">
  <sheetPr>
    <tabColor theme="5" tint="-0.249977111117893"/>
  </sheetPr>
  <dimension ref="A1:Y361"/>
  <sheetViews>
    <sheetView showGridLines="0" topLeftCell="A2" zoomScaleNormal="100" workbookViewId="0">
      <selection activeCell="A25" sqref="A25"/>
    </sheetView>
  </sheetViews>
  <sheetFormatPr defaultRowHeight="15.75" x14ac:dyDescent="0.25"/>
  <cols>
    <col min="1" max="1" width="26.875" style="3" customWidth="1"/>
    <col min="2" max="2" width="4.125" style="3" customWidth="1"/>
    <col min="3" max="3" width="4.125" style="8" customWidth="1"/>
    <col min="4" max="4" width="45.625" style="8" customWidth="1"/>
    <col min="5" max="5" width="26.875" style="8" customWidth="1"/>
    <col min="6" max="24" width="13.75" style="8" customWidth="1"/>
    <col min="25" max="25" width="4.125" style="8" customWidth="1"/>
    <col min="26" max="26" width="4.125" style="3" customWidth="1"/>
    <col min="27" max="16384" width="9" style="3"/>
  </cols>
  <sheetData>
    <row r="1" spans="1:25" s="38" customFormat="1" ht="30" customHeight="1" x14ac:dyDescent="0.35">
      <c r="A1" s="38" t="e" vm="1">
        <v>#VALUE!</v>
      </c>
      <c r="C1" s="38" t="s">
        <v>194</v>
      </c>
    </row>
    <row r="2" spans="1:25" s="2" customFormat="1" ht="20.100000000000001" customHeight="1" x14ac:dyDescent="0.25"/>
    <row r="3" spans="1:25" ht="20.100000000000001" customHeight="1" x14ac:dyDescent="0.25">
      <c r="A3" s="16" t="str">
        <f>HYPERLINK("#'Home'!A1", "Home")</f>
        <v>Home</v>
      </c>
      <c r="C3" s="39"/>
      <c r="D3" s="39"/>
      <c r="E3" s="39"/>
      <c r="F3" s="39"/>
      <c r="G3" s="39"/>
      <c r="H3" s="39"/>
      <c r="I3" s="39"/>
      <c r="J3" s="39"/>
      <c r="K3" s="39"/>
      <c r="L3" s="39"/>
      <c r="M3" s="39"/>
      <c r="N3" s="39"/>
      <c r="O3" s="39"/>
      <c r="P3" s="39"/>
      <c r="Q3" s="39"/>
      <c r="R3" s="39"/>
      <c r="S3" s="39"/>
      <c r="T3" s="39"/>
      <c r="U3" s="39"/>
      <c r="V3" s="39"/>
      <c r="W3" s="39"/>
      <c r="X3" s="39"/>
      <c r="Y3" s="39"/>
    </row>
    <row r="4" spans="1:25" ht="20.100000000000001" customHeight="1" x14ac:dyDescent="0.25">
      <c r="A4" s="16" t="str">
        <f>HYPERLINK("#'Overview'!A1", "Overview")</f>
        <v>Overview</v>
      </c>
    </row>
    <row r="5" spans="1:25" ht="20.100000000000001" customHeight="1" x14ac:dyDescent="0.25">
      <c r="A5" s="16" t="str">
        <f>HYPERLINK("#'Results'!A1", "Results")</f>
        <v>Results</v>
      </c>
    </row>
    <row r="6" spans="1:25" ht="20.100000000000001" customHeight="1" x14ac:dyDescent="0.25">
      <c r="A6" s="18"/>
      <c r="D6" s="8" t="s">
        <v>145</v>
      </c>
      <c r="E6" s="48" t="s">
        <v>150</v>
      </c>
      <c r="F6" s="68" t="s">
        <v>195</v>
      </c>
    </row>
    <row r="7" spans="1:25" ht="20.100000000000001" customHeight="1" x14ac:dyDescent="0.25">
      <c r="A7" s="19" t="s">
        <v>67</v>
      </c>
      <c r="D7" s="8" t="s">
        <v>196</v>
      </c>
      <c r="E7" s="48" t="s">
        <v>151</v>
      </c>
      <c r="F7" s="68" t="s">
        <v>195</v>
      </c>
    </row>
    <row r="8" spans="1:25" ht="20.100000000000001" customHeight="1" x14ac:dyDescent="0.25">
      <c r="A8" s="16" t="str">
        <f>HYPERLINK("#'Input - Site'!A1", "Site")</f>
        <v>Site</v>
      </c>
      <c r="D8" s="8" t="s">
        <v>43</v>
      </c>
      <c r="E8" s="48" t="s">
        <v>152</v>
      </c>
      <c r="F8" s="68" t="s">
        <v>195</v>
      </c>
    </row>
    <row r="9" spans="1:25" ht="20.100000000000001" customHeight="1" x14ac:dyDescent="0.25">
      <c r="A9" s="43" t="str">
        <f>HYPERLINK("#'Input - Fertiliser'!A1", "Fertiliser")</f>
        <v>Fertiliser</v>
      </c>
      <c r="D9" s="8" t="s">
        <v>197</v>
      </c>
      <c r="E9" s="69">
        <v>100</v>
      </c>
      <c r="F9" s="68" t="s">
        <v>198</v>
      </c>
    </row>
    <row r="10" spans="1:25" ht="20.100000000000001" customHeight="1" x14ac:dyDescent="0.25">
      <c r="A10" s="16"/>
    </row>
    <row r="11" spans="1:25" ht="20.100000000000001" customHeight="1" x14ac:dyDescent="0.25">
      <c r="A11" s="21" t="s">
        <v>77</v>
      </c>
      <c r="D11" s="9" t="s">
        <v>199</v>
      </c>
      <c r="E11" s="7"/>
      <c r="F11" s="7"/>
      <c r="G11" s="7"/>
      <c r="H11" s="7"/>
      <c r="I11" s="7"/>
      <c r="J11" s="7"/>
      <c r="K11" s="7"/>
      <c r="L11" s="7"/>
      <c r="M11" s="7"/>
    </row>
    <row r="12" spans="1:25" ht="20.100000000000001" customHeight="1" x14ac:dyDescent="0.25">
      <c r="A12" s="16" t="str">
        <f>HYPERLINK("#'5.1.1.1-2 Inorganic Fert N2O'!A1", "5.1.1.1-2 Inorganic Fert N2O")</f>
        <v>5.1.1.1-2 Inorganic Fert N2O</v>
      </c>
      <c r="D12" s="14"/>
      <c r="E12" s="14"/>
      <c r="F12" s="14"/>
      <c r="G12" s="14"/>
      <c r="H12" s="14"/>
      <c r="I12" s="14"/>
      <c r="J12" s="14"/>
      <c r="K12" s="14"/>
      <c r="L12" s="14"/>
      <c r="M12" s="14"/>
    </row>
    <row r="13" spans="1:25" ht="20.100000000000001" customHeight="1" x14ac:dyDescent="0.25">
      <c r="A13" s="16" t="str">
        <f>HYPERLINK("#'5.1.1.3-4 Inorganic fert CO2'!A1", "5.1.1.3-4 Inorganic fert CO2")</f>
        <v>5.1.1.3-4 Inorganic fert CO2</v>
      </c>
      <c r="D13" s="40" t="s">
        <v>200</v>
      </c>
      <c r="E13" s="41"/>
      <c r="F13" s="41"/>
      <c r="G13" s="41"/>
      <c r="H13" s="42"/>
      <c r="I13" s="70"/>
      <c r="J13" s="71"/>
      <c r="K13" s="72"/>
      <c r="L13" s="72"/>
      <c r="M13" s="72"/>
    </row>
    <row r="14" spans="1:25" ht="20.100000000000001" customHeight="1" x14ac:dyDescent="0.25">
      <c r="A14" s="16" t="str">
        <f>HYPERLINK("#'5.2.1.1-2 Organic Fert N2O'!A1", "5.2.1.1-2 Organic Fert N2O")</f>
        <v>5.2.1.1-2 Organic Fert N2O</v>
      </c>
      <c r="D14" s="44" t="s">
        <v>201</v>
      </c>
      <c r="E14" s="45"/>
      <c r="F14" s="45"/>
      <c r="G14" s="46"/>
      <c r="H14" s="73"/>
      <c r="I14" s="14"/>
      <c r="J14" s="14"/>
      <c r="K14" s="14"/>
      <c r="L14" s="14"/>
      <c r="M14" s="14"/>
    </row>
    <row r="15" spans="1:25" ht="20.100000000000001" customHeight="1" x14ac:dyDescent="0.25">
      <c r="A15" s="16" t="str">
        <f>HYPERLINK("#'5.3.1.1-2 Lime CO2'!A1", "5.3.1.1-2 Lime CO2")</f>
        <v>5.3.1.1-2 Lime CO2</v>
      </c>
      <c r="D15" s="14"/>
      <c r="E15" s="14"/>
      <c r="F15" s="14"/>
      <c r="G15" s="14"/>
      <c r="H15" s="14"/>
      <c r="I15" s="14"/>
      <c r="J15" s="14"/>
      <c r="K15" s="14"/>
      <c r="L15" s="14"/>
      <c r="M15" s="14"/>
    </row>
    <row r="16" spans="1:25" ht="20.100000000000001" customHeight="1" x14ac:dyDescent="0.25">
      <c r="A16" s="16" t="str">
        <f>HYPERLINK("#'5.4.1.1-4 Atmos deposition'!A1", "5.4.1.1-4 Atmos deposition")</f>
        <v>5.4.1.1-4 Atmos deposition</v>
      </c>
      <c r="D16" s="74" t="s">
        <v>202</v>
      </c>
      <c r="E16" s="14"/>
      <c r="F16" s="14"/>
      <c r="G16" s="14"/>
      <c r="H16" s="14"/>
      <c r="I16" s="14"/>
      <c r="J16" s="14"/>
      <c r="K16" s="14"/>
      <c r="L16" s="14"/>
      <c r="M16" s="14"/>
    </row>
    <row r="17" spans="1:24" ht="36" customHeight="1" x14ac:dyDescent="0.25">
      <c r="A17" s="16" t="str">
        <f>HYPERLINK("#'5.5.1.1-2 Leaching and runoff'!A1", "5.5.1.1-2 Leaching and runoff")</f>
        <v>5.5.1.1-2 Leaching and runoff</v>
      </c>
      <c r="D17" s="75" t="s">
        <v>203</v>
      </c>
      <c r="E17" s="67" t="s">
        <v>324</v>
      </c>
      <c r="F17" s="67" t="s">
        <v>317</v>
      </c>
      <c r="G17" s="67" t="s">
        <v>318</v>
      </c>
      <c r="H17" s="67" t="s">
        <v>205</v>
      </c>
      <c r="I17" s="67" t="s">
        <v>206</v>
      </c>
      <c r="J17" s="75" t="s">
        <v>174</v>
      </c>
      <c r="K17" s="75" t="s">
        <v>175</v>
      </c>
      <c r="L17" s="75" t="s">
        <v>176</v>
      </c>
      <c r="M17" s="75" t="s">
        <v>177</v>
      </c>
      <c r="N17" s="75" t="s">
        <v>178</v>
      </c>
      <c r="O17" s="75" t="s">
        <v>179</v>
      </c>
      <c r="P17" s="75" t="s">
        <v>180</v>
      </c>
      <c r="Q17" s="75" t="s">
        <v>181</v>
      </c>
      <c r="R17" s="75" t="s">
        <v>182</v>
      </c>
      <c r="S17" s="75" t="s">
        <v>183</v>
      </c>
      <c r="T17" s="75" t="s">
        <v>184</v>
      </c>
      <c r="U17" s="75" t="s">
        <v>185</v>
      </c>
      <c r="V17" s="75" t="s">
        <v>207</v>
      </c>
      <c r="W17" s="75" t="s">
        <v>172</v>
      </c>
      <c r="X17" s="75" t="s">
        <v>173</v>
      </c>
    </row>
    <row r="18" spans="1:24" ht="36" customHeight="1" x14ac:dyDescent="0.25">
      <c r="D18" s="76" t="s">
        <v>208</v>
      </c>
      <c r="E18" s="77">
        <v>100</v>
      </c>
      <c r="F18" s="50" t="str">
        <f>_xlfn.XLOOKUP(Table_Input_InorganicFertiliser_Brands[[#This Row],[Product (select)]],FertiliserProducts[Product name],FertiliserProducts[Unit])</f>
        <v>L</v>
      </c>
      <c r="G18" s="50">
        <f>_xlfn.XLOOKUP(Table_Input_InorganicFertiliser_Brands[[#This Row],[Product (select)]],FertiliserProducts[Product name],FertiliserProducts[Density / gravity])</f>
        <v>1.2150000000000001</v>
      </c>
      <c r="H18" s="77">
        <f>$E$9</f>
        <v>100</v>
      </c>
      <c r="I18" s="78">
        <f>(Table_Input_InorganicFertiliser_Brands[[#This Row],[Amount applied per hectare]]*Table_Input_InorganicFertiliser_Brands[[#This Row],[Density]])*Table_Input_InorganicFertiliser_Brands[[#This Row],[Application area (ha)]]</f>
        <v>12150.000000000002</v>
      </c>
      <c r="J18" s="78" t="str" cm="1">
        <f t="array" ref="J18">Fertiliser_InputFunctions.Fertiliser_FertiliserProductLookup(Table_Input_InorganicFertiliser_Brands[[#This Row],[Product (select)]], Table_Input_InorganicFertiliser_Brands[[#Headers],[Ingredient 1]], FertiliserProducts[#Data], FertiliserProducts[Product name], FertiliserProducts[#Headers])</f>
        <v>Urea</v>
      </c>
      <c r="K18" s="78" cm="1">
        <f t="array" ref="K18">Fertiliser_InputFunctions.Fertiliser_FertiliserProductLookup(Table_Input_InorganicFertiliser_Brands[[#This Row],[Product (select)]], Table_Input_InorganicFertiliser_Brands[[#Headers],[Ingredient 1 percent]], FertiliserProducts[#Data], FertiliserProducts[Product name], FertiliserProducts[#Headers])</f>
        <v>0.19565217400000001</v>
      </c>
      <c r="L18" s="78" t="str" cm="1">
        <f t="array" ref="L18">Fertiliser_InputFunctions.Fertiliser_FertiliserProductLookup(Table_Input_InorganicFertiliser_Brands[[#This Row],[Product (select)]], Table_Input_InorganicFertiliser_Brands[[#Headers],[Ingredient 2]], FertiliserProducts[#Data], FertiliserProducts[Product name], FertiliserProducts[#Headers])</f>
        <v>Potassium - Generic</v>
      </c>
      <c r="M18" s="78" cm="1">
        <f t="array" ref="M18">Fertiliser_InputFunctions.Fertiliser_FertiliserProductLookup(Table_Input_InorganicFertiliser_Brands[[#This Row],[Product (select)]], Table_Input_InorganicFertiliser_Brands[[#Headers],[Ingredient 2 percent]], FertiliserProducts[#Data], FertiliserProducts[Product name], FertiliserProducts[#Headers])</f>
        <v>0.1</v>
      </c>
      <c r="N18" s="78" t="str" cm="1">
        <f t="array" ref="N18">Fertiliser_InputFunctions.Fertiliser_FertiliserProductLookup(Table_Input_InorganicFertiliser_Brands[[#This Row],[Product (select)]], Table_Input_InorganicFertiliser_Brands[[#Headers],[Ingredient 3]], FertiliserProducts[#Data], FertiliserProducts[Product name], FertiliserProducts[#Headers])</f>
        <v>Nitrogen - Generic</v>
      </c>
      <c r="O18" s="78" cm="1">
        <f t="array" ref="O18">Fertiliser_InputFunctions.Fertiliser_FertiliserProductLookup(Table_Input_InorganicFertiliser_Brands[[#This Row],[Product (select)]], Table_Input_InorganicFertiliser_Brands[[#Headers],[Ingredient 3 percent]], FertiliserProducts[#Data], FertiliserProducts[Product name], FertiliserProducts[#Headers])</f>
        <v>0.03</v>
      </c>
      <c r="P18" s="78" t="str" cm="1">
        <f t="array" ref="P18">Fertiliser_InputFunctions.Fertiliser_FertiliserProductLookup(Table_Input_InorganicFertiliser_Brands[[#This Row],[Product (select)]], Table_Input_InorganicFertiliser_Brands[[#Headers],[Ingredient 4]], FertiliserProducts[#Data], FertiliserProducts[Product name], FertiliserProducts[#Headers])</f>
        <v>Boron</v>
      </c>
      <c r="Q18" s="78" cm="1">
        <f t="array" ref="Q18">Fertiliser_InputFunctions.Fertiliser_FertiliserProductLookup(Table_Input_InorganicFertiliser_Brands[[#This Row],[Product (select)]], Table_Input_InorganicFertiliser_Brands[[#Headers],[Ingredient 4 percent]], FertiliserProducts[#Data], FertiliserProducts[Product name], FertiliserProducts[#Headers])</f>
        <v>5.0000000000000001E-3</v>
      </c>
      <c r="R18" s="78" cm="1">
        <f t="array" ref="R18">Fertiliser_InputFunctions.Fertiliser_FertiliserProductLookup(Table_Input_InorganicFertiliser_Brands[[#This Row],[Product (select)]], Table_Input_InorganicFertiliser_Brands[[#Headers],[Ingredient 5]], FertiliserProducts[#Data], FertiliserProducts[Product name], FertiliserProducts[#Headers])</f>
        <v>0</v>
      </c>
      <c r="S18" s="78" cm="1">
        <f t="array" ref="S18">Fertiliser_InputFunctions.Fertiliser_FertiliserProductLookup(Table_Input_InorganicFertiliser_Brands[[#This Row],[Product (select)]], Table_Input_InorganicFertiliser_Brands[[#Headers],[Ingredient 5 percent]], FertiliserProducts[#Data], FertiliserProducts[Product name], FertiliserProducts[#Headers])</f>
        <v>0</v>
      </c>
      <c r="T18" s="78" cm="1">
        <f t="array" ref="T18">Fertiliser_InputFunctions.Fertiliser_FertiliserProductLookup(Table_Input_InorganicFertiliser_Brands[[#This Row],[Product (select)]], Table_Input_InorganicFertiliser_Brands[[#Headers],[Ingredient 6]], FertiliserProducts[#Data], FertiliserProducts[Product name], FertiliserProducts[#Headers])</f>
        <v>0</v>
      </c>
      <c r="U18" s="78" cm="1">
        <f t="array" ref="U18">Fertiliser_InputFunctions.Fertiliser_FertiliserProductLookup(Table_Input_InorganicFertiliser_Brands[[#This Row],[Product (select)]], Table_Input_InorganicFertiliser_Brands[[#Headers],[Ingredient 6 percent]], FertiliserProducts[#Data], FertiliserProducts[Product name], FertiliserProducts[#Headers])</f>
        <v>0</v>
      </c>
      <c r="V18" s="78">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14.580000004860004</v>
      </c>
      <c r="W18" s="78">
        <f>_xlfn.XLOOKUP(Table_Input_InorganicFertiliser_Brands[[#This Row],[Product (select)]],FertiliserProducts[Product name],FertiliserProducts[Urea source])</f>
        <v>0</v>
      </c>
      <c r="X18" s="78">
        <f>_xlfn.XLOOKUP(Table_Input_InorganicFertiliser_Brands[[#This Row],[Product (select)]],FertiliserProducts[Product name],FertiliserProducts[Ammonia source])</f>
        <v>0</v>
      </c>
    </row>
    <row r="19" spans="1:24" ht="36" customHeight="1" x14ac:dyDescent="0.25">
      <c r="A19" s="23" t="s">
        <v>78</v>
      </c>
      <c r="D19" s="76" t="s">
        <v>360</v>
      </c>
      <c r="E19" s="77">
        <v>200</v>
      </c>
      <c r="F19" s="50" t="str">
        <f>_xlfn.XLOOKUP(Table_Input_InorganicFertiliser_Brands[[#This Row],[Product (select)]],FertiliserProducts[Product name],FertiliserProducts[Unit])</f>
        <v>kg</v>
      </c>
      <c r="G19" s="50">
        <f>_xlfn.XLOOKUP(Table_Input_InorganicFertiliser_Brands[[#This Row],[Product (select)]],FertiliserProducts[Product name],FertiliserProducts[Density / gravity])</f>
        <v>1</v>
      </c>
      <c r="H19" s="77">
        <f>$E$9</f>
        <v>100</v>
      </c>
      <c r="I19" s="78">
        <f>(Table_Input_InorganicFertiliser_Brands[[#This Row],[Amount applied per hectare]]*Table_Input_InorganicFertiliser_Brands[[#This Row],[Density]])*Table_Input_InorganicFertiliser_Brands[[#This Row],[Application area (ha)]]</f>
        <v>20000</v>
      </c>
      <c r="J19" s="78" t="str" cm="1">
        <f t="array" ref="J19">Fertiliser_InputFunctions.Fertiliser_FertiliserProductLookup(Table_Input_InorganicFertiliser_Brands[[#This Row],[Product (select)]], Table_Input_InorganicFertiliser_Brands[[#Headers],[Ingredient 1]], FertiliserProducts[#Data], FertiliserProducts[Product name], FertiliserProducts[#Headers])</f>
        <v>Urea</v>
      </c>
      <c r="K19" s="78" cm="1">
        <f t="array" ref="K19">Fertiliser_InputFunctions.Fertiliser_FertiliserProductLookup(Table_Input_InorganicFertiliser_Brands[[#This Row],[Product (select)]], Table_Input_InorganicFertiliser_Brands[[#Headers],[Ingredient 1 percent]], FertiliserProducts[#Data], FertiliserProducts[Product name], FertiliserProducts[#Headers])</f>
        <v>0.52173913000000005</v>
      </c>
      <c r="L19" s="78" t="str" cm="1">
        <f t="array" ref="L19">Fertiliser_InputFunctions.Fertiliser_FertiliserProductLookup(Table_Input_InorganicFertiliser_Brands[[#This Row],[Product (select)]], Table_Input_InorganicFertiliser_Brands[[#Headers],[Ingredient 2]], FertiliserProducts[#Data], FertiliserProducts[Product name], FertiliserProducts[#Headers])</f>
        <v>Potassium - Generic</v>
      </c>
      <c r="M19" s="78" cm="1">
        <f t="array" ref="M19">Fertiliser_InputFunctions.Fertiliser_FertiliserProductLookup(Table_Input_InorganicFertiliser_Brands[[#This Row],[Product (select)]], Table_Input_InorganicFertiliser_Brands[[#Headers],[Ingredient 2 percent]], FertiliserProducts[#Data], FertiliserProducts[Product name], FertiliserProducts[#Headers])</f>
        <v>0.08</v>
      </c>
      <c r="N19" s="78" t="str" cm="1">
        <f t="array" ref="N19">Fertiliser_InputFunctions.Fertiliser_FertiliserProductLookup(Table_Input_InorganicFertiliser_Brands[[#This Row],[Product (select)]], Table_Input_InorganicFertiliser_Brands[[#Headers],[Ingredient 3]], FertiliserProducts[#Data], FertiliserProducts[Product name], FertiliserProducts[#Headers])</f>
        <v>Sulfur - Generic</v>
      </c>
      <c r="O19" s="78" cm="1">
        <f t="array" ref="O19">Fertiliser_InputFunctions.Fertiliser_FertiliserProductLookup(Table_Input_InorganicFertiliser_Brands[[#This Row],[Product (select)]], Table_Input_InorganicFertiliser_Brands[[#Headers],[Ingredient 3 percent]], FertiliserProducts[#Data], FertiliserProducts[Product name], FertiliserProducts[#Headers])</f>
        <v>5.2999999999999999E-2</v>
      </c>
      <c r="P19" s="78" t="str" cm="1">
        <f t="array" ref="P19">Fertiliser_InputFunctions.Fertiliser_FertiliserProductLookup(Table_Input_InorganicFertiliser_Brands[[#This Row],[Product (select)]], Table_Input_InorganicFertiliser_Brands[[#Headers],[Ingredient 4]], FertiliserProducts[#Data], FertiliserProducts[Product name], FertiliserProducts[#Headers])</f>
        <v>Phosphorus - Generic</v>
      </c>
      <c r="Q19" s="78" cm="1">
        <f t="array" ref="Q19">Fertiliser_InputFunctions.Fertiliser_FertiliserProductLookup(Table_Input_InorganicFertiliser_Brands[[#This Row],[Product (select)]], Table_Input_InorganicFertiliser_Brands[[#Headers],[Ingredient 4 percent]], FertiliserProducts[#Data], FertiliserProducts[Product name], FertiliserProducts[#Headers])</f>
        <v>5.1999999999999998E-2</v>
      </c>
      <c r="R19" s="78" t="str" cm="1">
        <f t="array" ref="R19">Fertiliser_InputFunctions.Fertiliser_FertiliserProductLookup(Table_Input_InorganicFertiliser_Brands[[#This Row],[Product (select)]], Table_Input_InorganicFertiliser_Brands[[#Headers],[Ingredient 5]], FertiliserProducts[#Data], FertiliserProducts[Product name], FertiliserProducts[#Headers])</f>
        <v>Magnesium</v>
      </c>
      <c r="S19" s="78" cm="1">
        <f t="array" ref="S19">Fertiliser_InputFunctions.Fertiliser_FertiliserProductLookup(Table_Input_InorganicFertiliser_Brands[[#This Row],[Product (select)]], Table_Input_InorganicFertiliser_Brands[[#Headers],[Ingredient 5 percent]], FertiliserProducts[#Data], FertiliserProducts[Product name], FertiliserProducts[#Headers])</f>
        <v>1.2999999999999999E-2</v>
      </c>
      <c r="T19" s="78" t="str" cm="1">
        <f t="array" ref="T19">Fertiliser_InputFunctions.Fertiliser_FertiliserProductLookup(Table_Input_InorganicFertiliser_Brands[[#This Row],[Product (select)]], Table_Input_InorganicFertiliser_Brands[[#Headers],[Ingredient 6]], FertiliserProducts[#Data], FertiliserProducts[Product name], FertiliserProducts[#Headers])</f>
        <v>Zinc</v>
      </c>
      <c r="U19" s="78" cm="1">
        <f t="array" ref="U19">Fertiliser_InputFunctions.Fertiliser_FertiliserProductLookup(Table_Input_InorganicFertiliser_Brands[[#This Row],[Product (select)]], Table_Input_InorganicFertiliser_Brands[[#Headers],[Ingredient 6 percent]], FertiliserProducts[#Data], FertiliserProducts[Product name], FertiliserProducts[#Headers])</f>
        <v>2E-3</v>
      </c>
      <c r="V19" s="78">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47.999999960000004</v>
      </c>
      <c r="W19" s="78">
        <f>_xlfn.XLOOKUP(Table_Input_InorganicFertiliser_Brands[[#This Row],[Product (select)]],FertiliserProducts[Product name],FertiliserProducts[Urea source])</f>
        <v>0</v>
      </c>
      <c r="X19" s="78">
        <f>_xlfn.XLOOKUP(Table_Input_InorganicFertiliser_Brands[[#This Row],[Product (select)]],FertiliserProducts[Product name],FertiliserProducts[Ammonia source])</f>
        <v>0</v>
      </c>
    </row>
    <row r="20" spans="1:24" ht="36" customHeight="1" x14ac:dyDescent="0.25">
      <c r="A20" s="16" t="str">
        <f>HYPERLINK("#'Constants - Fertiliser'!A1", "Constants - Fertiliser")</f>
        <v>Constants - Fertiliser</v>
      </c>
      <c r="D20" s="76" t="s">
        <v>208</v>
      </c>
      <c r="E20" s="77">
        <v>100</v>
      </c>
      <c r="F20" s="50" t="str">
        <f>_xlfn.XLOOKUP(Table_Input_InorganicFertiliser_Brands[[#This Row],[Product (select)]],FertiliserProducts[Product name],FertiliserProducts[Unit])</f>
        <v>L</v>
      </c>
      <c r="G20" s="50">
        <f>_xlfn.XLOOKUP(Table_Input_InorganicFertiliser_Brands[[#This Row],[Product (select)]],FertiliserProducts[Product name],FertiliserProducts[Density / gravity])</f>
        <v>1.2150000000000001</v>
      </c>
      <c r="H20" s="77">
        <f>$E$9</f>
        <v>100</v>
      </c>
      <c r="I20" s="78">
        <f>(Table_Input_InorganicFertiliser_Brands[[#This Row],[Amount applied per hectare]]*Table_Input_InorganicFertiliser_Brands[[#This Row],[Density]])*Table_Input_InorganicFertiliser_Brands[[#This Row],[Application area (ha)]]</f>
        <v>12150.000000000002</v>
      </c>
      <c r="J20" s="78" t="str" cm="1">
        <f t="array" ref="J20">Fertiliser_InputFunctions.Fertiliser_FertiliserProductLookup(Table_Input_InorganicFertiliser_Brands[[#This Row],[Product (select)]], Table_Input_InorganicFertiliser_Brands[[#Headers],[Ingredient 1]], FertiliserProducts[#Data], FertiliserProducts[Product name], FertiliserProducts[#Headers])</f>
        <v>Urea</v>
      </c>
      <c r="K20" s="78" cm="1">
        <f t="array" ref="K20">Fertiliser_InputFunctions.Fertiliser_FertiliserProductLookup(Table_Input_InorganicFertiliser_Brands[[#This Row],[Product (select)]], Table_Input_InorganicFertiliser_Brands[[#Headers],[Ingredient 1 percent]], FertiliserProducts[#Data], FertiliserProducts[Product name], FertiliserProducts[#Headers])</f>
        <v>0.19565217400000001</v>
      </c>
      <c r="L20" s="78" t="str" cm="1">
        <f t="array" ref="L20">Fertiliser_InputFunctions.Fertiliser_FertiliserProductLookup(Table_Input_InorganicFertiliser_Brands[[#This Row],[Product (select)]], Table_Input_InorganicFertiliser_Brands[[#Headers],[Ingredient 2]], FertiliserProducts[#Data], FertiliserProducts[Product name], FertiliserProducts[#Headers])</f>
        <v>Potassium - Generic</v>
      </c>
      <c r="M20" s="78" cm="1">
        <f t="array" ref="M20">Fertiliser_InputFunctions.Fertiliser_FertiliserProductLookup(Table_Input_InorganicFertiliser_Brands[[#This Row],[Product (select)]], Table_Input_InorganicFertiliser_Brands[[#Headers],[Ingredient 2 percent]], FertiliserProducts[#Data], FertiliserProducts[Product name], FertiliserProducts[#Headers])</f>
        <v>0.1</v>
      </c>
      <c r="N20" s="78" t="str" cm="1">
        <f t="array" ref="N20">Fertiliser_InputFunctions.Fertiliser_FertiliserProductLookup(Table_Input_InorganicFertiliser_Brands[[#This Row],[Product (select)]], Table_Input_InorganicFertiliser_Brands[[#Headers],[Ingredient 3]], FertiliserProducts[#Data], FertiliserProducts[Product name], FertiliserProducts[#Headers])</f>
        <v>Nitrogen - Generic</v>
      </c>
      <c r="O20" s="78" cm="1">
        <f t="array" ref="O20">Fertiliser_InputFunctions.Fertiliser_FertiliserProductLookup(Table_Input_InorganicFertiliser_Brands[[#This Row],[Product (select)]], Table_Input_InorganicFertiliser_Brands[[#Headers],[Ingredient 3 percent]], FertiliserProducts[#Data], FertiliserProducts[Product name], FertiliserProducts[#Headers])</f>
        <v>0.03</v>
      </c>
      <c r="P20" s="78" t="str" cm="1">
        <f t="array" ref="P20">Fertiliser_InputFunctions.Fertiliser_FertiliserProductLookup(Table_Input_InorganicFertiliser_Brands[[#This Row],[Product (select)]], Table_Input_InorganicFertiliser_Brands[[#Headers],[Ingredient 4]], FertiliserProducts[#Data], FertiliserProducts[Product name], FertiliserProducts[#Headers])</f>
        <v>Boron</v>
      </c>
      <c r="Q20" s="78" cm="1">
        <f t="array" ref="Q20">Fertiliser_InputFunctions.Fertiliser_FertiliserProductLookup(Table_Input_InorganicFertiliser_Brands[[#This Row],[Product (select)]], Table_Input_InorganicFertiliser_Brands[[#Headers],[Ingredient 4 percent]], FertiliserProducts[#Data], FertiliserProducts[Product name], FertiliserProducts[#Headers])</f>
        <v>5.0000000000000001E-3</v>
      </c>
      <c r="R20" s="78" cm="1">
        <f t="array" ref="R20">Fertiliser_InputFunctions.Fertiliser_FertiliserProductLookup(Table_Input_InorganicFertiliser_Brands[[#This Row],[Product (select)]], Table_Input_InorganicFertiliser_Brands[[#Headers],[Ingredient 5]], FertiliserProducts[#Data], FertiliserProducts[Product name], FertiliserProducts[#Headers])</f>
        <v>0</v>
      </c>
      <c r="S20" s="78" cm="1">
        <f t="array" ref="S20">Fertiliser_InputFunctions.Fertiliser_FertiliserProductLookup(Table_Input_InorganicFertiliser_Brands[[#This Row],[Product (select)]], Table_Input_InorganicFertiliser_Brands[[#Headers],[Ingredient 5 percent]], FertiliserProducts[#Data], FertiliserProducts[Product name], FertiliserProducts[#Headers])</f>
        <v>0</v>
      </c>
      <c r="T20" s="78" cm="1">
        <f t="array" ref="T20">Fertiliser_InputFunctions.Fertiliser_FertiliserProductLookup(Table_Input_InorganicFertiliser_Brands[[#This Row],[Product (select)]], Table_Input_InorganicFertiliser_Brands[[#Headers],[Ingredient 6]], FertiliserProducts[#Data], FertiliserProducts[Product name], FertiliserProducts[#Headers])</f>
        <v>0</v>
      </c>
      <c r="U20" s="78" cm="1">
        <f t="array" ref="U20">Fertiliser_InputFunctions.Fertiliser_FertiliserProductLookup(Table_Input_InorganicFertiliser_Brands[[#This Row],[Product (select)]], Table_Input_InorganicFertiliser_Brands[[#Headers],[Ingredient 6 percent]], FertiliserProducts[#Data], FertiliserProducts[Product name], FertiliserProducts[#Headers])</f>
        <v>0</v>
      </c>
      <c r="V20" s="78">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14.580000004860004</v>
      </c>
      <c r="W20" s="78">
        <f>_xlfn.XLOOKUP(Table_Input_InorganicFertiliser_Brands[[#This Row],[Product (select)]],FertiliserProducts[Product name],FertiliserProducts[Urea source])</f>
        <v>0</v>
      </c>
      <c r="X20" s="78">
        <f>_xlfn.XLOOKUP(Table_Input_InorganicFertiliser_Brands[[#This Row],[Product (select)]],FertiliserProducts[Product name],FertiliserProducts[Ammonia source])</f>
        <v>0</v>
      </c>
    </row>
    <row r="21" spans="1:24" ht="36" customHeight="1" x14ac:dyDescent="0.25">
      <c r="A21" s="16" t="str">
        <f>HYPERLINK("#'Constants - Common'!A1", "Constants - Common")</f>
        <v>Constants - Common</v>
      </c>
      <c r="D21" s="79"/>
      <c r="E21" s="80"/>
      <c r="F21" s="81"/>
      <c r="G21" s="81"/>
      <c r="H21" s="81"/>
      <c r="I21" s="81"/>
      <c r="J21" s="82"/>
      <c r="K21" s="82"/>
      <c r="L21" s="83"/>
      <c r="M21" s="83"/>
      <c r="N21" s="53"/>
      <c r="O21" s="53"/>
      <c r="P21" s="53"/>
      <c r="Q21" s="53"/>
      <c r="R21" s="53"/>
      <c r="S21" s="53"/>
      <c r="T21" s="53"/>
      <c r="U21" s="53"/>
      <c r="V21" s="53"/>
      <c r="W21" s="53"/>
      <c r="X21" s="53"/>
    </row>
    <row r="22" spans="1:24" ht="36" customHeight="1" x14ac:dyDescent="0.25">
      <c r="D22" s="84" t="s">
        <v>209</v>
      </c>
      <c r="E22" s="85"/>
      <c r="F22" s="85"/>
      <c r="G22" s="85"/>
      <c r="H22" s="85"/>
      <c r="I22" s="85"/>
      <c r="J22" s="85"/>
      <c r="K22" s="85"/>
      <c r="L22" s="85"/>
      <c r="M22" s="85"/>
      <c r="N22" s="53"/>
      <c r="O22" s="53"/>
      <c r="P22" s="53"/>
      <c r="Q22" s="53"/>
      <c r="R22" s="53"/>
      <c r="S22" s="53"/>
      <c r="T22" s="53"/>
      <c r="U22" s="53"/>
      <c r="V22" s="53"/>
      <c r="W22" s="53"/>
      <c r="X22" s="53"/>
    </row>
    <row r="23" spans="1:24" ht="36" customHeight="1" x14ac:dyDescent="0.25">
      <c r="A23" s="16"/>
      <c r="D23" s="67" t="s">
        <v>210</v>
      </c>
      <c r="E23" s="67" t="s">
        <v>204</v>
      </c>
      <c r="F23" s="67" t="s">
        <v>205</v>
      </c>
      <c r="G23" s="67" t="s">
        <v>206</v>
      </c>
      <c r="H23" s="67" t="s">
        <v>211</v>
      </c>
      <c r="I23" s="67" t="s">
        <v>175</v>
      </c>
      <c r="J23" s="67" t="s">
        <v>176</v>
      </c>
      <c r="K23" s="67" t="s">
        <v>177</v>
      </c>
      <c r="L23" s="67" t="s">
        <v>178</v>
      </c>
      <c r="M23" s="67" t="s">
        <v>179</v>
      </c>
      <c r="N23" s="67" t="s">
        <v>180</v>
      </c>
      <c r="O23" s="67" t="s">
        <v>181</v>
      </c>
      <c r="P23" s="67" t="s">
        <v>207</v>
      </c>
      <c r="Q23" s="75" t="s">
        <v>172</v>
      </c>
      <c r="R23" s="75" t="s">
        <v>173</v>
      </c>
      <c r="S23" s="53"/>
      <c r="T23" s="53"/>
      <c r="U23" s="53"/>
      <c r="V23" s="53"/>
      <c r="W23" s="53"/>
      <c r="X23" s="53"/>
    </row>
    <row r="24" spans="1:24" ht="36" customHeight="1" x14ac:dyDescent="0.25">
      <c r="D24" s="86" t="s">
        <v>212</v>
      </c>
      <c r="E24" s="67">
        <v>100</v>
      </c>
      <c r="F24" s="77">
        <f>$E$9</f>
        <v>100</v>
      </c>
      <c r="G24" s="78">
        <f>Table_Input_InorganicFertiliser_Custom[[#This Row],[Amount applied (kg / ha)]]*Table_Input_InorganicFertiliser_Custom[[#This Row],[Application area (ha)]]</f>
        <v>10000</v>
      </c>
      <c r="H24" s="87" t="s">
        <v>323</v>
      </c>
      <c r="I24" s="88">
        <v>0.45</v>
      </c>
      <c r="J24" s="87" t="s">
        <v>322</v>
      </c>
      <c r="K24" s="88">
        <v>0.3</v>
      </c>
      <c r="L24" s="87" t="s">
        <v>214</v>
      </c>
      <c r="M24" s="88">
        <v>0.1</v>
      </c>
      <c r="N24" s="89" t="s">
        <v>215</v>
      </c>
      <c r="O24" s="90">
        <v>0.1</v>
      </c>
      <c r="P24" s="78">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41.707499999999996</v>
      </c>
      <c r="Q24" s="48" t="s">
        <v>319</v>
      </c>
      <c r="R24" s="48" t="s">
        <v>353</v>
      </c>
    </row>
    <row r="25" spans="1:24" ht="36" customHeight="1" x14ac:dyDescent="0.25">
      <c r="D25" s="86"/>
      <c r="E25" s="67">
        <v>100</v>
      </c>
      <c r="F25" s="154">
        <f>$E$9</f>
        <v>100</v>
      </c>
      <c r="G25" s="78">
        <f>Table_Input_InorganicFertiliser_Custom[[#This Row],[Amount applied (kg / ha)]]*Table_Input_InorganicFertiliser_Custom[[#This Row],[Application area (ha)]]</f>
        <v>10000</v>
      </c>
      <c r="H25" s="87" t="s">
        <v>213</v>
      </c>
      <c r="I25" s="91">
        <v>0.9</v>
      </c>
      <c r="J25" s="87" t="s">
        <v>323</v>
      </c>
      <c r="K25" s="91">
        <v>0.1</v>
      </c>
      <c r="L25" s="87"/>
      <c r="M25" s="91"/>
      <c r="N25" s="89"/>
      <c r="O25" s="90"/>
      <c r="P25" s="78">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49.635000000000005</v>
      </c>
      <c r="Q25" s="76" t="s">
        <v>319</v>
      </c>
      <c r="R25" s="76" t="s">
        <v>319</v>
      </c>
    </row>
    <row r="26" spans="1:24" ht="36" customHeight="1" x14ac:dyDescent="0.25"/>
    <row r="27" spans="1:24" ht="20.100000000000001" customHeight="1" x14ac:dyDescent="0.25">
      <c r="D27" s="9" t="s">
        <v>851</v>
      </c>
      <c r="E27" s="7"/>
      <c r="F27" s="7"/>
      <c r="G27" s="7"/>
      <c r="H27" s="7"/>
      <c r="I27" s="7"/>
      <c r="J27" s="7"/>
      <c r="K27" s="14"/>
      <c r="L27" s="14"/>
      <c r="M27" s="14"/>
    </row>
    <row r="28" spans="1:24" ht="20.100000000000001" customHeight="1" x14ac:dyDescent="0.25">
      <c r="D28" s="14"/>
      <c r="E28" s="14"/>
      <c r="F28" s="14"/>
      <c r="G28" s="14"/>
      <c r="H28" s="14"/>
      <c r="I28" s="14"/>
      <c r="J28" s="14"/>
      <c r="K28" s="14"/>
      <c r="L28" s="14"/>
      <c r="M28" s="7"/>
    </row>
    <row r="29" spans="1:24" ht="20.100000000000001" customHeight="1" x14ac:dyDescent="0.25">
      <c r="A29" s="16"/>
      <c r="D29" s="40" t="s">
        <v>216</v>
      </c>
      <c r="E29" s="41"/>
      <c r="F29" s="42"/>
      <c r="G29" s="40"/>
      <c r="H29" s="42"/>
      <c r="I29" s="7"/>
      <c r="J29" s="7"/>
      <c r="K29" s="14"/>
      <c r="L29" s="14"/>
      <c r="M29" s="14"/>
    </row>
    <row r="30" spans="1:24" ht="20.100000000000001" customHeight="1" x14ac:dyDescent="0.25">
      <c r="A30" s="16"/>
      <c r="D30" s="92" t="s">
        <v>217</v>
      </c>
      <c r="E30" s="93"/>
      <c r="F30" s="94"/>
      <c r="G30" s="92"/>
      <c r="H30" s="94"/>
      <c r="I30" s="14"/>
      <c r="J30" s="14"/>
      <c r="K30" s="14"/>
      <c r="L30" s="14"/>
      <c r="M30" s="7"/>
    </row>
    <row r="31" spans="1:24" ht="20.100000000000001" customHeight="1" x14ac:dyDescent="0.25">
      <c r="A31" s="52"/>
      <c r="D31" s="44" t="s">
        <v>201</v>
      </c>
      <c r="E31" s="45"/>
      <c r="F31" s="45"/>
      <c r="G31" s="45"/>
      <c r="H31" s="46"/>
      <c r="I31" s="14"/>
      <c r="J31" s="14"/>
      <c r="K31" s="14"/>
      <c r="L31" s="14"/>
      <c r="M31" s="7"/>
    </row>
    <row r="32" spans="1:24" ht="20.100000000000001" customHeight="1" x14ac:dyDescent="0.25">
      <c r="A32" s="52"/>
      <c r="D32" s="57" t="str">
        <f>IF(MAX(Table_Input_SoilAmeliorants[Total]) &gt; 1, "There can not be more than 100% ingredients in a product. Check the table below.", "")</f>
        <v/>
      </c>
    </row>
    <row r="33" spans="1:25" ht="36" customHeight="1" x14ac:dyDescent="0.25">
      <c r="A33" s="16"/>
      <c r="D33" s="95" t="s">
        <v>218</v>
      </c>
      <c r="E33" s="95" t="s">
        <v>219</v>
      </c>
      <c r="F33" s="95" t="s">
        <v>205</v>
      </c>
      <c r="G33" s="95" t="s">
        <v>220</v>
      </c>
      <c r="H33" s="95" t="s">
        <v>221</v>
      </c>
      <c r="I33" s="95" t="s">
        <v>222</v>
      </c>
      <c r="J33" s="95" t="s">
        <v>223</v>
      </c>
      <c r="K33" s="95" t="s">
        <v>224</v>
      </c>
      <c r="Y33" s="3"/>
    </row>
    <row r="34" spans="1:25" ht="36" customHeight="1" x14ac:dyDescent="0.25">
      <c r="D34" s="96" t="s">
        <v>225</v>
      </c>
      <c r="E34" s="77">
        <v>100</v>
      </c>
      <c r="F34" s="77">
        <f>$E$9</f>
        <v>100</v>
      </c>
      <c r="G34" s="78">
        <f>IFERROR(Table_Input_SoilAmeliorants[[#This Row],[Amount applied (t/hectare)]]*Table_Input_SoilAmeliorants[[#This Row],[Application area (ha)]], 0)</f>
        <v>10000</v>
      </c>
      <c r="H34" s="90">
        <v>0.4</v>
      </c>
      <c r="I34" s="90">
        <v>0.3</v>
      </c>
      <c r="J34" s="90">
        <v>0.25</v>
      </c>
      <c r="K34" s="97">
        <f>SUM(Table_Input_SoilAmeliorants[[#This Row],[Percent Lime CaCO3]:[Percent Gypsum]])</f>
        <v>0.95</v>
      </c>
      <c r="Y34" s="3"/>
    </row>
    <row r="35" spans="1:25" ht="36" customHeight="1" x14ac:dyDescent="0.25">
      <c r="D35" s="96" t="s">
        <v>226</v>
      </c>
      <c r="E35" s="77">
        <v>100</v>
      </c>
      <c r="F35" s="77">
        <f>$E$9</f>
        <v>100</v>
      </c>
      <c r="G35" s="78">
        <f>IFERROR(Table_Input_SoilAmeliorants[[#This Row],[Amount applied (t/hectare)]]*Table_Input_SoilAmeliorants[[#This Row],[Application area (ha)]], 0)</f>
        <v>10000</v>
      </c>
      <c r="H35" s="90">
        <v>1</v>
      </c>
      <c r="I35" s="90"/>
      <c r="J35" s="90"/>
      <c r="K35" s="97">
        <f>SUM(Table_Input_SoilAmeliorants[[#This Row],[Percent Lime CaCO3]:[Percent Gypsum]])</f>
        <v>1</v>
      </c>
      <c r="Y35" s="3"/>
    </row>
    <row r="36" spans="1:25" ht="36" customHeight="1" x14ac:dyDescent="0.25">
      <c r="D36" s="14"/>
      <c r="E36" s="14"/>
      <c r="F36" s="14"/>
      <c r="G36" s="14"/>
      <c r="H36" s="14"/>
      <c r="I36" s="14"/>
      <c r="J36" s="14"/>
      <c r="L36" s="7"/>
      <c r="M36" s="7"/>
    </row>
    <row r="37" spans="1:25" ht="20.100000000000001" customHeight="1" x14ac:dyDescent="0.25">
      <c r="D37" s="14"/>
      <c r="E37" s="14"/>
      <c r="F37" s="14"/>
      <c r="G37" s="14"/>
      <c r="H37" s="14"/>
      <c r="I37" s="14"/>
      <c r="J37" s="98"/>
      <c r="K37" s="7"/>
      <c r="L37" s="7"/>
      <c r="M37" s="7"/>
    </row>
    <row r="38" spans="1:25" ht="20.100000000000001" customHeight="1" x14ac:dyDescent="0.25">
      <c r="C38" s="53"/>
      <c r="L38" s="14"/>
      <c r="M38" s="14"/>
    </row>
    <row r="39" spans="1:25" ht="20.100000000000001" customHeight="1" x14ac:dyDescent="0.25">
      <c r="A39" s="16"/>
      <c r="C39" s="53"/>
      <c r="L39" s="14"/>
      <c r="M39" s="14"/>
    </row>
    <row r="40" spans="1:25" s="54" customFormat="1" ht="20.100000000000001" customHeight="1" x14ac:dyDescent="0.25">
      <c r="C40" s="8"/>
      <c r="D40" s="8"/>
      <c r="E40" s="8"/>
      <c r="F40" s="8"/>
      <c r="G40" s="8"/>
      <c r="H40" s="8"/>
      <c r="I40" s="8"/>
      <c r="J40" s="8"/>
      <c r="K40" s="8"/>
      <c r="L40" s="14"/>
      <c r="M40" s="14"/>
      <c r="N40" s="8"/>
      <c r="O40" s="8"/>
      <c r="P40" s="8"/>
      <c r="Q40" s="53"/>
      <c r="R40" s="53"/>
      <c r="S40" s="53"/>
      <c r="T40" s="8"/>
      <c r="U40" s="8"/>
      <c r="V40" s="8"/>
      <c r="W40" s="8"/>
      <c r="X40" s="8"/>
      <c r="Y40" s="8"/>
    </row>
    <row r="41" spans="1:25" s="54" customFormat="1" ht="20.100000000000001" customHeight="1" x14ac:dyDescent="0.25">
      <c r="A41" s="55"/>
      <c r="C41" s="8"/>
      <c r="D41" s="8"/>
      <c r="E41" s="8"/>
      <c r="F41" s="8"/>
      <c r="G41" s="8"/>
      <c r="H41" s="8"/>
      <c r="I41" s="8"/>
      <c r="J41" s="8"/>
      <c r="K41" s="8"/>
      <c r="L41" s="14"/>
      <c r="M41" s="14"/>
      <c r="N41" s="8"/>
      <c r="O41" s="53"/>
      <c r="P41" s="53"/>
      <c r="Q41" s="53"/>
      <c r="R41" s="53"/>
      <c r="S41" s="53"/>
      <c r="T41" s="8"/>
      <c r="U41" s="8"/>
      <c r="V41" s="8"/>
      <c r="W41" s="8"/>
      <c r="X41" s="8"/>
      <c r="Y41" s="8"/>
    </row>
    <row r="42" spans="1:25" ht="20.100000000000001" customHeight="1" x14ac:dyDescent="0.25">
      <c r="L42" s="14"/>
      <c r="M42" s="53"/>
      <c r="N42" s="53"/>
      <c r="O42" s="53"/>
      <c r="P42" s="53"/>
    </row>
    <row r="43" spans="1:25" ht="36" customHeight="1" x14ac:dyDescent="0.25">
      <c r="L43" s="85"/>
      <c r="M43" s="53"/>
      <c r="N43" s="53"/>
    </row>
    <row r="44" spans="1:25" ht="36" customHeight="1" x14ac:dyDescent="0.25">
      <c r="A44" s="56" t="str">
        <f>HYPERLINK("#A1", "▲ Back to top")</f>
        <v>▲ Back to top</v>
      </c>
      <c r="L44" s="85"/>
    </row>
    <row r="45" spans="1:25" ht="36" customHeight="1" x14ac:dyDescent="0.25"/>
    <row r="46" spans="1:25" ht="36" customHeight="1" x14ac:dyDescent="0.25"/>
    <row r="47" spans="1:25" ht="20.100000000000001" customHeight="1" x14ac:dyDescent="0.25"/>
    <row r="48" spans="1:25"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spans="13:13" ht="20.100000000000001" customHeight="1" x14ac:dyDescent="0.25"/>
    <row r="98" spans="13:13" ht="20.100000000000001" customHeight="1" x14ac:dyDescent="0.25"/>
    <row r="99" spans="13:13" ht="20.100000000000001" customHeight="1" x14ac:dyDescent="0.25"/>
    <row r="100" spans="13:13" ht="20.100000000000001" customHeight="1" x14ac:dyDescent="0.25"/>
    <row r="101" spans="13:13" ht="20.100000000000001" customHeight="1" x14ac:dyDescent="0.25"/>
    <row r="102" spans="13:13" ht="20.100000000000001" customHeight="1" x14ac:dyDescent="0.25"/>
    <row r="103" spans="13:13" ht="20.100000000000001" customHeight="1" x14ac:dyDescent="0.25"/>
    <row r="104" spans="13:13" ht="20.100000000000001" customHeight="1" x14ac:dyDescent="0.25"/>
    <row r="105" spans="13:13" ht="20.100000000000001" customHeight="1" x14ac:dyDescent="0.25"/>
    <row r="106" spans="13:13" ht="20.100000000000001" customHeight="1" x14ac:dyDescent="0.25"/>
    <row r="107" spans="13:13" ht="20.100000000000001" customHeight="1" x14ac:dyDescent="0.25"/>
    <row r="108" spans="13:13" ht="20.100000000000001" customHeight="1" x14ac:dyDescent="0.25"/>
    <row r="109" spans="13:13" ht="20.100000000000001" customHeight="1" x14ac:dyDescent="0.25"/>
    <row r="110" spans="13:13" ht="20.100000000000001" customHeight="1" x14ac:dyDescent="0.25"/>
    <row r="111" spans="13:13" ht="20.100000000000001" customHeight="1" x14ac:dyDescent="0.25">
      <c r="M111" s="7"/>
    </row>
    <row r="112" spans="13:13" ht="20.100000000000001" customHeight="1" x14ac:dyDescent="0.25">
      <c r="M112" s="7"/>
    </row>
    <row r="113" spans="13:13" ht="20.100000000000001" customHeight="1" x14ac:dyDescent="0.25">
      <c r="M113" s="7"/>
    </row>
    <row r="114" spans="13:13" ht="20.100000000000001" customHeight="1" x14ac:dyDescent="0.25">
      <c r="M114" s="7"/>
    </row>
    <row r="115" spans="13:13" ht="20.100000000000001" customHeight="1" x14ac:dyDescent="0.25">
      <c r="M115" s="7"/>
    </row>
    <row r="116" spans="13:13" ht="20.100000000000001" customHeight="1" x14ac:dyDescent="0.25">
      <c r="M116" s="7"/>
    </row>
    <row r="117" spans="13:13" ht="20.100000000000001" customHeight="1" x14ac:dyDescent="0.25">
      <c r="M117" s="7"/>
    </row>
    <row r="118" spans="13:13" ht="20.100000000000001" customHeight="1" x14ac:dyDescent="0.25">
      <c r="M118" s="7"/>
    </row>
    <row r="119" spans="13:13" ht="20.100000000000001" customHeight="1" x14ac:dyDescent="0.25">
      <c r="M119" s="7"/>
    </row>
    <row r="120" spans="13:13" ht="20.100000000000001" customHeight="1" x14ac:dyDescent="0.25">
      <c r="M120" s="7"/>
    </row>
    <row r="121" spans="13:13" ht="20.100000000000001" customHeight="1" x14ac:dyDescent="0.25">
      <c r="M121" s="7"/>
    </row>
    <row r="122" spans="13:13" ht="20.100000000000001" customHeight="1" x14ac:dyDescent="0.25">
      <c r="M122" s="7"/>
    </row>
    <row r="123" spans="13:13" ht="20.100000000000001" customHeight="1" x14ac:dyDescent="0.25">
      <c r="M123" s="7"/>
    </row>
    <row r="124" spans="13:13" ht="20.100000000000001" customHeight="1" x14ac:dyDescent="0.25">
      <c r="M124" s="7"/>
    </row>
    <row r="125" spans="13:13" ht="20.100000000000001" customHeight="1" x14ac:dyDescent="0.25">
      <c r="M125" s="7"/>
    </row>
    <row r="126" spans="13:13" ht="20.100000000000001" customHeight="1" x14ac:dyDescent="0.25">
      <c r="M126" s="7"/>
    </row>
    <row r="127" spans="13:13" ht="20.100000000000001" customHeight="1" x14ac:dyDescent="0.25">
      <c r="M127" s="7"/>
    </row>
    <row r="128" spans="13:13" ht="20.100000000000001" customHeight="1" x14ac:dyDescent="0.25">
      <c r="M128" s="7"/>
    </row>
    <row r="129" spans="13:13" ht="20.100000000000001" customHeight="1" x14ac:dyDescent="0.25">
      <c r="M129" s="7"/>
    </row>
    <row r="130" spans="13:13" ht="20.100000000000001" customHeight="1" x14ac:dyDescent="0.25">
      <c r="M130" s="7"/>
    </row>
    <row r="131" spans="13:13" ht="20.100000000000001" customHeight="1" x14ac:dyDescent="0.25">
      <c r="M131" s="7"/>
    </row>
    <row r="132" spans="13:13" ht="20.100000000000001" customHeight="1" x14ac:dyDescent="0.25">
      <c r="M132" s="7"/>
    </row>
    <row r="133" spans="13:13" ht="20.100000000000001" customHeight="1" x14ac:dyDescent="0.25"/>
    <row r="134" spans="13:13" ht="20.100000000000001" customHeight="1" x14ac:dyDescent="0.25"/>
    <row r="135" spans="13:13" ht="20.100000000000001" customHeight="1" x14ac:dyDescent="0.25"/>
    <row r="136" spans="13:13" ht="20.100000000000001" customHeight="1" x14ac:dyDescent="0.25"/>
    <row r="137" spans="13:13" ht="20.100000000000001" customHeight="1" x14ac:dyDescent="0.25"/>
    <row r="138" spans="13:13" ht="20.100000000000001" customHeight="1" x14ac:dyDescent="0.25"/>
    <row r="139" spans="13:13" ht="20.100000000000001" customHeight="1" x14ac:dyDescent="0.25"/>
    <row r="140" spans="13:13" ht="20.100000000000001" customHeight="1" x14ac:dyDescent="0.25"/>
    <row r="141" spans="13:13" ht="20.100000000000001" customHeight="1" x14ac:dyDescent="0.25"/>
    <row r="142" spans="13:13" ht="20.100000000000001" customHeight="1" x14ac:dyDescent="0.25"/>
    <row r="143" spans="13:13" ht="20.100000000000001" customHeight="1" x14ac:dyDescent="0.25"/>
    <row r="144" spans="13:13"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210" spans="12:12" x14ac:dyDescent="0.25">
      <c r="L210" s="68"/>
    </row>
    <row r="211" spans="12:12" x14ac:dyDescent="0.25">
      <c r="L211" s="68"/>
    </row>
    <row r="212" spans="12:12" x14ac:dyDescent="0.25">
      <c r="L212" s="68"/>
    </row>
    <row r="213" spans="12:12" x14ac:dyDescent="0.25">
      <c r="L213" s="68"/>
    </row>
    <row r="214" spans="12:12" x14ac:dyDescent="0.25">
      <c r="L214" s="68"/>
    </row>
    <row r="216" spans="12:12" x14ac:dyDescent="0.25">
      <c r="L216" s="68"/>
    </row>
    <row r="218" spans="12:12" x14ac:dyDescent="0.25">
      <c r="L218" s="68"/>
    </row>
    <row r="219" spans="12:12" x14ac:dyDescent="0.25">
      <c r="L219" s="68"/>
    </row>
    <row r="220" spans="12:12" x14ac:dyDescent="0.25">
      <c r="L220" s="68"/>
    </row>
    <row r="221" spans="12:12" x14ac:dyDescent="0.25">
      <c r="L221" s="68"/>
    </row>
    <row r="223" spans="12:12" x14ac:dyDescent="0.25">
      <c r="L223" s="68"/>
    </row>
    <row r="231" spans="12:12" x14ac:dyDescent="0.25">
      <c r="L231" s="68"/>
    </row>
    <row r="232" spans="12:12" x14ac:dyDescent="0.25">
      <c r="L232" s="68"/>
    </row>
    <row r="233" spans="12:12" x14ac:dyDescent="0.25">
      <c r="L233" s="68"/>
    </row>
    <row r="236" spans="12:12" x14ac:dyDescent="0.25">
      <c r="L236" s="68"/>
    </row>
    <row r="237" spans="12:12" x14ac:dyDescent="0.25">
      <c r="L237" s="68"/>
    </row>
    <row r="238" spans="12:12" x14ac:dyDescent="0.25">
      <c r="L238" s="68"/>
    </row>
    <row r="241" spans="11:12" x14ac:dyDescent="0.25">
      <c r="L241" s="68"/>
    </row>
    <row r="242" spans="11:12" x14ac:dyDescent="0.25">
      <c r="L242" s="68"/>
    </row>
    <row r="243" spans="11:12" x14ac:dyDescent="0.25">
      <c r="L243" s="68"/>
    </row>
    <row r="246" spans="11:12" x14ac:dyDescent="0.25">
      <c r="L246" s="68"/>
    </row>
    <row r="247" spans="11:12" x14ac:dyDescent="0.25">
      <c r="K247" s="68"/>
      <c r="L247" s="68"/>
    </row>
    <row r="248" spans="11:12" x14ac:dyDescent="0.25">
      <c r="L248" s="68"/>
    </row>
    <row r="252" spans="11:12" x14ac:dyDescent="0.25">
      <c r="K252" s="68"/>
    </row>
    <row r="255" spans="11:12" x14ac:dyDescent="0.25">
      <c r="L255" s="68"/>
    </row>
    <row r="256" spans="11:12" x14ac:dyDescent="0.25">
      <c r="L256" s="68"/>
    </row>
    <row r="257" spans="11:12" x14ac:dyDescent="0.25">
      <c r="K257" s="68"/>
      <c r="L257" s="68"/>
    </row>
    <row r="260" spans="11:12" x14ac:dyDescent="0.25">
      <c r="L260" s="68"/>
    </row>
    <row r="261" spans="11:12" x14ac:dyDescent="0.25">
      <c r="L261" s="68"/>
    </row>
    <row r="262" spans="11:12" x14ac:dyDescent="0.25">
      <c r="K262" s="68"/>
      <c r="L262" s="68"/>
    </row>
    <row r="263" spans="11:12" x14ac:dyDescent="0.25">
      <c r="K263" s="68"/>
    </row>
    <row r="264" spans="11:12" x14ac:dyDescent="0.25">
      <c r="K264" s="68"/>
    </row>
    <row r="265" spans="11:12" x14ac:dyDescent="0.25">
      <c r="K265" s="68"/>
      <c r="L265" s="68"/>
    </row>
    <row r="266" spans="11:12" x14ac:dyDescent="0.25">
      <c r="K266" s="68"/>
      <c r="L266" s="68"/>
    </row>
    <row r="267" spans="11:12" x14ac:dyDescent="0.25">
      <c r="L267" s="68"/>
    </row>
    <row r="268" spans="11:12" x14ac:dyDescent="0.25">
      <c r="K268" s="68"/>
    </row>
    <row r="270" spans="11:12" x14ac:dyDescent="0.25">
      <c r="K270" s="68"/>
      <c r="L270" s="68"/>
    </row>
    <row r="271" spans="11:12" x14ac:dyDescent="0.25">
      <c r="K271" s="68"/>
      <c r="L271" s="68"/>
    </row>
    <row r="272" spans="11:12" x14ac:dyDescent="0.25">
      <c r="K272" s="68"/>
      <c r="L272" s="68"/>
    </row>
    <row r="273" spans="11:11" x14ac:dyDescent="0.25">
      <c r="K273" s="68"/>
    </row>
    <row r="275" spans="11:11" x14ac:dyDescent="0.25">
      <c r="K275" s="68"/>
    </row>
    <row r="281" spans="11:11" x14ac:dyDescent="0.25">
      <c r="K281" s="68"/>
    </row>
    <row r="286" spans="11:11" x14ac:dyDescent="0.25">
      <c r="K286" s="68"/>
    </row>
    <row r="291" spans="11:11" x14ac:dyDescent="0.25">
      <c r="K291" s="68"/>
    </row>
    <row r="296" spans="11:11" x14ac:dyDescent="0.25">
      <c r="K296" s="68"/>
    </row>
    <row r="297" spans="11:11" x14ac:dyDescent="0.25">
      <c r="K297" s="68"/>
    </row>
    <row r="298" spans="11:11" x14ac:dyDescent="0.25">
      <c r="K298" s="68"/>
    </row>
    <row r="299" spans="11:11" x14ac:dyDescent="0.25">
      <c r="K299" s="68"/>
    </row>
    <row r="300" spans="11:11" x14ac:dyDescent="0.25">
      <c r="K300" s="68"/>
    </row>
    <row r="302" spans="11:11" x14ac:dyDescent="0.25">
      <c r="K302" s="68"/>
    </row>
    <row r="304" spans="11:11" x14ac:dyDescent="0.25">
      <c r="K304" s="68"/>
    </row>
    <row r="305" spans="11:11" x14ac:dyDescent="0.25">
      <c r="K305" s="68"/>
    </row>
    <row r="306" spans="11:11" x14ac:dyDescent="0.25">
      <c r="K306" s="68"/>
    </row>
    <row r="307" spans="11:11" x14ac:dyDescent="0.25">
      <c r="K307" s="68"/>
    </row>
    <row r="309" spans="11:11" x14ac:dyDescent="0.25">
      <c r="K309" s="68"/>
    </row>
    <row r="317" spans="11:11" x14ac:dyDescent="0.25">
      <c r="K317" s="68"/>
    </row>
    <row r="318" spans="11:11" x14ac:dyDescent="0.25">
      <c r="K318" s="68"/>
    </row>
    <row r="319" spans="11:11" x14ac:dyDescent="0.25">
      <c r="K319" s="68"/>
    </row>
    <row r="322" spans="11:11" x14ac:dyDescent="0.25">
      <c r="K322" s="68"/>
    </row>
    <row r="323" spans="11:11" x14ac:dyDescent="0.25">
      <c r="K323" s="68"/>
    </row>
    <row r="324" spans="11:11" x14ac:dyDescent="0.25">
      <c r="K324" s="68"/>
    </row>
    <row r="327" spans="11:11" x14ac:dyDescent="0.25">
      <c r="K327" s="68"/>
    </row>
    <row r="328" spans="11:11" x14ac:dyDescent="0.25">
      <c r="K328" s="68"/>
    </row>
    <row r="329" spans="11:11" x14ac:dyDescent="0.25">
      <c r="K329" s="68"/>
    </row>
    <row r="332" spans="11:11" x14ac:dyDescent="0.25">
      <c r="K332" s="68"/>
    </row>
    <row r="333" spans="11:11" x14ac:dyDescent="0.25">
      <c r="K333" s="68"/>
    </row>
    <row r="334" spans="11:11" x14ac:dyDescent="0.25">
      <c r="K334" s="68"/>
    </row>
    <row r="341" spans="11:11" x14ac:dyDescent="0.25">
      <c r="K341" s="68"/>
    </row>
    <row r="342" spans="11:11" x14ac:dyDescent="0.25">
      <c r="K342" s="68"/>
    </row>
    <row r="343" spans="11:11" x14ac:dyDescent="0.25">
      <c r="K343" s="68"/>
    </row>
    <row r="346" spans="11:11" x14ac:dyDescent="0.25">
      <c r="K346" s="68"/>
    </row>
    <row r="347" spans="11:11" x14ac:dyDescent="0.25">
      <c r="K347" s="68"/>
    </row>
    <row r="348" spans="11:11" x14ac:dyDescent="0.25">
      <c r="K348" s="68"/>
    </row>
    <row r="351" spans="11:11" x14ac:dyDescent="0.25">
      <c r="K351" s="68"/>
    </row>
    <row r="352" spans="11:11" x14ac:dyDescent="0.25">
      <c r="K352" s="68"/>
    </row>
    <row r="353" spans="4:11" x14ac:dyDescent="0.25">
      <c r="K353" s="68"/>
    </row>
    <row r="356" spans="4:11" x14ac:dyDescent="0.25">
      <c r="K356" s="68"/>
    </row>
    <row r="357" spans="4:11" x14ac:dyDescent="0.25">
      <c r="K357" s="68"/>
    </row>
    <row r="358" spans="4:11" x14ac:dyDescent="0.25">
      <c r="K358" s="68"/>
    </row>
    <row r="361" spans="4:11" x14ac:dyDescent="0.25">
      <c r="D361" s="57"/>
    </row>
  </sheetData>
  <phoneticPr fontId="54" type="noConversion"/>
  <conditionalFormatting sqref="F126:F127">
    <cfRule type="cellIs" dxfId="47" priority="17" operator="lessThan">
      <formula>0</formula>
    </cfRule>
  </conditionalFormatting>
  <conditionalFormatting sqref="F138:F139">
    <cfRule type="cellIs" dxfId="46" priority="16" operator="lessThan">
      <formula>0</formula>
    </cfRule>
  </conditionalFormatting>
  <conditionalFormatting sqref="F150:F151">
    <cfRule type="cellIs" dxfId="45" priority="15" operator="lessThan">
      <formula>0</formula>
    </cfRule>
  </conditionalFormatting>
  <conditionalFormatting sqref="F162:F163">
    <cfRule type="cellIs" dxfId="44" priority="14" operator="lessThan">
      <formula>0</formula>
    </cfRule>
  </conditionalFormatting>
  <conditionalFormatting sqref="F250:F251">
    <cfRule type="cellIs" dxfId="43" priority="27" operator="lessThan">
      <formula>0</formula>
    </cfRule>
  </conditionalFormatting>
  <conditionalFormatting sqref="F255:F256">
    <cfRule type="cellIs" dxfId="42" priority="26" operator="lessThan">
      <formula>0</formula>
    </cfRule>
  </conditionalFormatting>
  <conditionalFormatting sqref="F260:F261">
    <cfRule type="cellIs" dxfId="41" priority="25" operator="lessThan">
      <formula>0</formula>
    </cfRule>
  </conditionalFormatting>
  <conditionalFormatting sqref="F284:F285">
    <cfRule type="cellIs" dxfId="40" priority="24" operator="lessThan">
      <formula>0</formula>
    </cfRule>
  </conditionalFormatting>
  <conditionalFormatting sqref="F289:F290">
    <cfRule type="cellIs" dxfId="39" priority="23" operator="lessThan">
      <formula>0</formula>
    </cfRule>
  </conditionalFormatting>
  <conditionalFormatting sqref="F294:F295">
    <cfRule type="cellIs" dxfId="38" priority="22" operator="lessThan">
      <formula>0</formula>
    </cfRule>
  </conditionalFormatting>
  <conditionalFormatting sqref="I31 I41:I42 H43:H45 O44 N45 I46 I48:I50 I52:I53 I204:J204 E210:G210 I210:J210 K247 J248 K252 J253 K257 J258 K262:K266 J263:J267 K268 J269 K270:K273 J271:J274 K275 J276 K281 J282 K286 J287 K291 J292 K296:K300 J297:J301 K302 J303 K304:K307 J305:J308 K309 J310">
    <cfRule type="cellIs" dxfId="37" priority="21" operator="lessThan">
      <formula>0</formula>
    </cfRule>
  </conditionalFormatting>
  <conditionalFormatting sqref="I33:I37 F47 K184:L184 K188:L189 K192:L193 K198:L199 K202:L203 K209:L209">
    <cfRule type="cellIs" dxfId="36" priority="19" operator="lessThan">
      <formula>0</formula>
    </cfRule>
  </conditionalFormatting>
  <conditionalFormatting sqref="I57:I61">
    <cfRule type="cellIs" dxfId="35" priority="4" operator="lessThan">
      <formula>0</formula>
    </cfRule>
  </conditionalFormatting>
  <conditionalFormatting sqref="I65 M104 I124:J124">
    <cfRule type="cellIs" dxfId="34" priority="20" operator="lessThan">
      <formula>0</formula>
    </cfRule>
  </conditionalFormatting>
  <conditionalFormatting sqref="I76:I78">
    <cfRule type="cellIs" dxfId="33" priority="3" operator="lessThan">
      <formula>0</formula>
    </cfRule>
  </conditionalFormatting>
  <conditionalFormatting sqref="I82:I85">
    <cfRule type="cellIs" dxfId="32" priority="2" operator="lessThan">
      <formula>0</formula>
    </cfRule>
  </conditionalFormatting>
  <conditionalFormatting sqref="I89:I93">
    <cfRule type="cellIs" dxfId="31" priority="1" operator="lessThan">
      <formula>0</formula>
    </cfRule>
  </conditionalFormatting>
  <conditionalFormatting sqref="J152">
    <cfRule type="cellIs" dxfId="30" priority="18" operator="lessThan">
      <formula>0</formula>
    </cfRule>
  </conditionalFormatting>
  <conditionalFormatting sqref="L117:L120">
    <cfRule type="cellIs" dxfId="29" priority="8" operator="lessThan">
      <formula>0</formula>
    </cfRule>
  </conditionalFormatting>
  <conditionalFormatting sqref="L123">
    <cfRule type="cellIs" dxfId="28" priority="13" operator="lessThan">
      <formula>0</formula>
    </cfRule>
  </conditionalFormatting>
  <conditionalFormatting sqref="L129:L132">
    <cfRule type="cellIs" dxfId="27" priority="7" operator="lessThan">
      <formula>0</formula>
    </cfRule>
  </conditionalFormatting>
  <conditionalFormatting sqref="L135">
    <cfRule type="cellIs" dxfId="26" priority="12" operator="lessThan">
      <formula>0</formula>
    </cfRule>
  </conditionalFormatting>
  <conditionalFormatting sqref="L141:L144">
    <cfRule type="cellIs" dxfId="25" priority="6" operator="lessThan">
      <formula>0</formula>
    </cfRule>
  </conditionalFormatting>
  <conditionalFormatting sqref="L147">
    <cfRule type="cellIs" dxfId="24" priority="11" operator="lessThan">
      <formula>0</formula>
    </cfRule>
  </conditionalFormatting>
  <conditionalFormatting sqref="L153:L156">
    <cfRule type="cellIs" dxfId="23" priority="5" operator="lessThan">
      <formula>0</formula>
    </cfRule>
  </conditionalFormatting>
  <conditionalFormatting sqref="L159">
    <cfRule type="cellIs" dxfId="22" priority="10" operator="lessThan">
      <formula>0</formula>
    </cfRule>
  </conditionalFormatting>
  <conditionalFormatting sqref="L163:L164">
    <cfRule type="cellIs" dxfId="21" priority="9" operator="lessThan">
      <formula>0</formula>
    </cfRule>
  </conditionalFormatting>
  <conditionalFormatting sqref="L210:L214 L216 L218:L221 L223 J228:J230 J233:J235">
    <cfRule type="cellIs" dxfId="20" priority="28" operator="lessThan">
      <formula>0</formula>
    </cfRule>
  </conditionalFormatting>
  <dataValidations count="12">
    <dataValidation type="list" allowBlank="1" showInputMessage="1" showErrorMessage="1" sqref="D18:D20" xr:uid="{DFB1096D-C6F6-4F85-BE80-B4F0EFA04D5F}">
      <formula1>INDIRECT("FertiliserProducts[Product Name]")</formula1>
    </dataValidation>
    <dataValidation type="list" allowBlank="1" showInputMessage="1" showErrorMessage="1" sqref="D44:D45" xr:uid="{933F6C75-4F8D-4677-98CD-E5EE702A5D18}">
      <formula1>INDIRECT("Table_SourceData_OrganicFertiliserTypes[Organic fertiliser type]")</formula1>
    </dataValidation>
    <dataValidation type="list" allowBlank="1" showInputMessage="1" showErrorMessage="1" sqref="H24:H25 J24:J25 L24:L25 N24:N25" xr:uid="{D7073A6D-18BD-41CA-A77B-6A00CDC67745}">
      <formula1>INDIRECT("Table_Fertiliser_ChemicalCompounds[Fertiliser type f]")</formula1>
    </dataValidation>
    <dataValidation type="list" allowBlank="1" showInputMessage="1" showErrorMessage="1" sqref="E7" xr:uid="{F56FF499-9AC2-4F57-BD46-B9FDA21D8F09}">
      <formula1>INDIRECT("Table_SourceData_Fertiliser_CropTypes[Production system]")</formula1>
    </dataValidation>
    <dataValidation type="list" allowBlank="1" showInputMessage="1" showErrorMessage="1" sqref="E8" xr:uid="{6762F7CA-B3D9-46AC-BBAB-3910D1160D93}">
      <formula1>INDIRECT("Table_SourceData_Fertiliser_IrrigationMethods[Irrigation method]")</formula1>
    </dataValidation>
    <dataValidation type="list" allowBlank="1" showInputMessage="1" showErrorMessage="1" sqref="E6" xr:uid="{CB867B68-D885-4628-9A66-382CC9E9542F}">
      <formula1>INDIRECT("Table_SourceData_Fertiliser_CropProdSystems[Production system]")</formula1>
    </dataValidation>
    <dataValidation type="list" allowBlank="1" showInputMessage="1" showErrorMessage="1" sqref="E64" xr:uid="{0C22F7DB-C841-4220-875C-77CE00E27B46}">
      <formula1>INDIRECT("Table_SourceData_Swine_CropProdSystems[Production system]")</formula1>
    </dataValidation>
    <dataValidation type="list" allowBlank="1" showInputMessage="1" showErrorMessage="1" sqref="E65" xr:uid="{1A26CE76-D0A3-489D-A86A-781AB458D170}">
      <formula1>INDIRECT("Table_SourceData_Swine_IrrigationMethods[Irrigation method]")</formula1>
    </dataValidation>
    <dataValidation type="list" allowBlank="1" showInputMessage="1" showErrorMessage="1" sqref="E249 E254 E259 E293 E288 E283 E161 E149 E125 E137" xr:uid="{25F6A59C-0583-41B9-9DD8-3BA15915AFD8}">
      <formula1>"Yes, No"</formula1>
    </dataValidation>
    <dataValidation type="list" allowBlank="1" showInputMessage="1" showErrorMessage="1" sqref="E225" xr:uid="{2695B8EE-F17D-4863-835D-8745430A24C1}">
      <formula1>INDIRECT("Table_SourceData_Dairy_ProductionSystemTemplates[Area]")</formula1>
    </dataValidation>
    <dataValidation type="list" allowBlank="1" showInputMessage="1" showErrorMessage="1" sqref="D277" xr:uid="{B3E90F14-EC39-4891-8BD5-CB7DD89D5A7E}">
      <formula1>INDIRECT("Table_SourceData_PoultryMMSStage1[MMS]")</formula1>
    </dataValidation>
    <dataValidation type="list" allowBlank="1" showInputMessage="1" showErrorMessage="1" sqref="Q24:R25" xr:uid="{BFE65A65-42AA-49AF-8F4F-A3B2D9836831}">
      <formula1>INDIRECT("Table_SourceData_Fertiliser_UreaAmmoniaSources[Source]")</formula1>
    </dataValidation>
  </dataValidations>
  <pageMargins left="0.7" right="0.7" top="0.75" bottom="0.75" header="0.3" footer="0.3"/>
  <pageSetup paperSize="9" orientation="portrait" r:id="rId1"/>
  <tableParts count="3">
    <tablePart r:id="rId2"/>
    <tablePart r:id="rId3"/>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AC87D-2E9B-4211-951E-4673B391B123}">
  <sheetPr>
    <tabColor theme="5" tint="-0.249977111117893"/>
  </sheetPr>
  <dimension ref="A1:S227"/>
  <sheetViews>
    <sheetView showGridLines="0" zoomScaleNormal="100" workbookViewId="0"/>
  </sheetViews>
  <sheetFormatPr defaultRowHeight="15.75" x14ac:dyDescent="0.25"/>
  <cols>
    <col min="1" max="1" width="26.875" style="3" customWidth="1"/>
    <col min="2" max="2" width="4.125" style="3" customWidth="1"/>
    <col min="3" max="3" width="4.125" style="14" customWidth="1"/>
    <col min="4" max="4" width="41.25" style="14" customWidth="1"/>
    <col min="5" max="10" width="26.875" style="14" customWidth="1"/>
    <col min="11" max="18" width="30.625" style="8" customWidth="1"/>
    <col min="19" max="19" width="4.625" style="8" customWidth="1"/>
    <col min="20" max="16384" width="9" style="3"/>
  </cols>
  <sheetData>
    <row r="1" spans="1:19" ht="30" customHeight="1" x14ac:dyDescent="0.35">
      <c r="A1" s="148" t="e" vm="1">
        <v>#VALUE!</v>
      </c>
      <c r="C1" s="107" t="s">
        <v>849</v>
      </c>
      <c r="D1" s="4"/>
      <c r="E1" s="4"/>
      <c r="F1" s="4"/>
      <c r="G1" s="4"/>
      <c r="H1" s="4"/>
      <c r="I1" s="4"/>
      <c r="J1" s="4"/>
      <c r="K1" s="4"/>
      <c r="L1" s="4"/>
      <c r="M1" s="4"/>
      <c r="N1" s="4"/>
      <c r="O1" s="4"/>
      <c r="P1" s="4"/>
      <c r="Q1" s="4"/>
      <c r="R1" s="4"/>
      <c r="S1" s="4"/>
    </row>
    <row r="2" spans="1:19" ht="20.100000000000001" customHeight="1" x14ac:dyDescent="0.25">
      <c r="A2" s="4"/>
      <c r="C2" s="2"/>
      <c r="D2" s="2"/>
      <c r="E2" s="2"/>
      <c r="F2" s="2"/>
      <c r="G2" s="2"/>
      <c r="H2" s="2"/>
      <c r="I2" s="2"/>
      <c r="J2" s="2"/>
      <c r="K2" s="2"/>
      <c r="L2" s="2"/>
      <c r="M2" s="2"/>
      <c r="N2" s="2"/>
      <c r="O2" s="2"/>
      <c r="P2" s="2"/>
      <c r="Q2" s="2"/>
      <c r="R2" s="2"/>
      <c r="S2" s="2"/>
    </row>
    <row r="3" spans="1:19" ht="20.100000000000001" customHeight="1" x14ac:dyDescent="0.25">
      <c r="C3" s="39"/>
      <c r="D3" s="39"/>
      <c r="E3" s="39"/>
      <c r="F3" s="39"/>
      <c r="G3" s="39"/>
      <c r="H3" s="39"/>
      <c r="I3" s="39"/>
      <c r="J3" s="39"/>
      <c r="K3" s="39"/>
      <c r="L3" s="39"/>
      <c r="M3" s="39"/>
      <c r="N3" s="39"/>
      <c r="O3" s="39"/>
      <c r="P3" s="39"/>
      <c r="Q3" s="39"/>
      <c r="R3" s="39"/>
      <c r="S3" s="39"/>
    </row>
    <row r="4" spans="1:19" ht="20.100000000000001" customHeight="1" x14ac:dyDescent="0.25">
      <c r="C4" s="7"/>
      <c r="D4" s="7"/>
      <c r="E4" s="7"/>
      <c r="F4" s="7"/>
      <c r="G4" s="7"/>
      <c r="H4" s="7"/>
      <c r="I4" s="7"/>
      <c r="J4" s="7"/>
    </row>
    <row r="5" spans="1:19" ht="20.100000000000001" customHeight="1" x14ac:dyDescent="0.25">
      <c r="C5" s="8"/>
      <c r="D5" s="9" t="s">
        <v>368</v>
      </c>
      <c r="E5" s="7"/>
      <c r="F5" s="7"/>
      <c r="G5" s="7"/>
      <c r="H5" s="7"/>
      <c r="I5" s="7"/>
      <c r="J5" s="7"/>
    </row>
    <row r="6" spans="1:19" ht="20.100000000000001" customHeight="1" x14ac:dyDescent="0.25">
      <c r="C6" s="8"/>
      <c r="D6" s="150" t="s">
        <v>372</v>
      </c>
      <c r="E6" s="153"/>
      <c r="F6" s="153"/>
      <c r="G6" s="153"/>
      <c r="H6" s="153"/>
      <c r="I6" s="153"/>
      <c r="J6" s="153"/>
    </row>
    <row r="7" spans="1:19" ht="20.100000000000001" customHeight="1" x14ac:dyDescent="0.25">
      <c r="C7" s="8"/>
      <c r="D7" s="179" t="s">
        <v>303</v>
      </c>
      <c r="E7" s="179"/>
      <c r="F7" s="40"/>
      <c r="G7" s="42"/>
      <c r="H7" s="7"/>
      <c r="I7" s="7"/>
      <c r="J7" s="7"/>
    </row>
    <row r="8" spans="1:19" ht="20.100000000000001" customHeight="1" x14ac:dyDescent="0.25">
      <c r="C8" s="8"/>
      <c r="D8" s="44" t="s">
        <v>304</v>
      </c>
      <c r="E8" s="45"/>
      <c r="F8" s="45"/>
      <c r="G8" s="46"/>
      <c r="H8" s="7"/>
      <c r="I8" s="7"/>
      <c r="J8" s="7"/>
    </row>
    <row r="9" spans="1:19" ht="20.100000000000001" customHeight="1" x14ac:dyDescent="0.25">
      <c r="C9" s="8"/>
      <c r="D9" s="153"/>
      <c r="E9" s="153"/>
      <c r="F9" s="153"/>
      <c r="G9" s="153"/>
      <c r="H9" s="153"/>
      <c r="I9" s="153"/>
      <c r="J9" s="153"/>
      <c r="K9" s="57" t="str" cm="1">
        <f t="array" ref="K9">IF(
  SUMPRODUCT((Table_Input_Pesticides[Constituent unit (select)]="fraction of product")*(Table_Input_Pesticides[Active ingredient 1 amount]&gt;1)*(Table_Input_Pesticides[Active ingredient 2 amount]&lt;&gt;""))&gt;0,
  "Alert: If constituent unit is fraction of product, amount cannot exceed 1",
  IF(
    SUMPRODUCT((Table_Input_Pesticides[Constituent unit (select)]="grams/litre or grams/kg")*(Table_Input_Pesticides[Active ingredient 1 amount]&lt;1)*(Table_Input_Pesticides[Active ingredient 2 amount]&lt;&gt;""))&gt;0,
    "Alert: If constituent unit is grams/kg or litre, amount cannot be less than 1",
    ""
  )
)</f>
        <v/>
      </c>
      <c r="N9" s="57" t="str" cm="1">
        <f t="array" ref="N9">IF(
  SUMPRODUCT((Table_Input_Pesticides[Constituent unit (select)]="fraction of product")*(Table_Input_Pesticides[Active ingredient 2 amount]&gt;1)*(Table_Input_Pesticides[Active ingredient 2 amount]&lt;&gt;""))&gt;0,
  "Alert: If constituent unit is fraction of product, amount cannot exceed 1",
  IF(
    SUMPRODUCT((Table_Input_Pesticides[Constituent unit (select)]="grams/litre or grams/kg")*(Table_Input_Pesticides[Active ingredient 2 amount]&lt;1)*(Table_Input_Pesticides[Active ingredient 2 amount]&lt;&gt;""))&gt;0,
    "Alert: If constituent unit is grams/kg or litre, amount cannot be less than 1",
    ""
  )
)</f>
        <v/>
      </c>
      <c r="Q9" s="57" t="str" cm="1">
        <f t="array" ref="Q9">IF(
  SUMPRODUCT((Table_Input_Pesticides[Constituent unit (select)]="fraction of product")*(Table_Input_Pesticides[Active ingredient 3 amount]&gt;1)*(Table_Input_Pesticides[Active ingredient 3 amount]&lt;&gt;""))&gt;0,
  "Alert: If constituent unit is fraction of product, amount cannot exceed 1",
  IF(
    SUMPRODUCT((Table_Input_Pesticides[Constituent unit (select)]="grams/litre or grams/kg")*(Table_Input_Pesticides[Active ingredient 3 amount]&lt;1)*(Table_Input_Pesticides[Active ingredient 3 amount]&lt;&gt;""))&gt;0,
    "Alert: If constituent unit is grams/kg or litre, amount cannot be less than 1",
    ""
  )
)</f>
        <v/>
      </c>
    </row>
    <row r="10" spans="1:19" ht="20.100000000000001" customHeight="1" x14ac:dyDescent="0.25">
      <c r="D10" s="160" t="s">
        <v>170</v>
      </c>
      <c r="E10" s="160" t="s">
        <v>305</v>
      </c>
      <c r="F10" s="160" t="s">
        <v>306</v>
      </c>
      <c r="G10" s="160" t="s">
        <v>205</v>
      </c>
      <c r="H10" s="160" t="s">
        <v>307</v>
      </c>
      <c r="I10" s="160" t="s">
        <v>431</v>
      </c>
      <c r="J10" s="160" t="s">
        <v>308</v>
      </c>
      <c r="K10" s="168" t="s">
        <v>309</v>
      </c>
      <c r="L10" s="168" t="s">
        <v>427</v>
      </c>
      <c r="M10" s="168" t="s">
        <v>310</v>
      </c>
      <c r="N10" s="168" t="s">
        <v>311</v>
      </c>
      <c r="O10" s="168" t="s">
        <v>428</v>
      </c>
      <c r="P10" s="168" t="s">
        <v>312</v>
      </c>
      <c r="Q10" s="168" t="s">
        <v>313</v>
      </c>
      <c r="R10" s="168" t="s">
        <v>429</v>
      </c>
    </row>
    <row r="11" spans="1:19" ht="20.100000000000001" customHeight="1" x14ac:dyDescent="0.25">
      <c r="D11" s="149" t="s">
        <v>433</v>
      </c>
      <c r="E11" s="161">
        <v>10</v>
      </c>
      <c r="F11" s="48" t="s">
        <v>423</v>
      </c>
      <c r="G11" s="69">
        <v>100</v>
      </c>
      <c r="H11" s="50">
        <f>Table_Input_Pesticides[[#This Row],[Amount applied per ha]]*Table_Input_Pesticides[[#This Row],[Application area (ha)]]</f>
        <v>1000</v>
      </c>
      <c r="I11" s="48" t="s">
        <v>422</v>
      </c>
      <c r="J11" s="48" t="s">
        <v>421</v>
      </c>
      <c r="K11" s="69">
        <v>100</v>
      </c>
      <c r="L11" s="50">
        <f>Table_Input_Pesticides[[#This Row],[Total applied]]*Table_Input_Pesticides[[#This Row],[Active ingredient 1 amount]]*IF(Table_Input_Pesticides[[#This Row],[Constituent unit (select)]]="fraction of product", 1, 10^-3)</f>
        <v>100</v>
      </c>
      <c r="M11" s="48" t="s">
        <v>421</v>
      </c>
      <c r="N11" s="69">
        <v>100</v>
      </c>
      <c r="O11" s="50">
        <f>Table_Input_Pesticides[[#This Row],[Total applied]]*Table_Input_Pesticides[[#This Row],[Active ingredient 2 amount]]*IF(Table_Input_Pesticides[[#This Row],[Constituent unit (select)]]="fraction of product", 1, 10^-3)</f>
        <v>100</v>
      </c>
      <c r="P11" s="48" t="s">
        <v>691</v>
      </c>
      <c r="Q11" s="69">
        <v>100</v>
      </c>
      <c r="R11" s="50">
        <f>Table_Input_Pesticides[[#This Row],[Total applied]]*Table_Input_Pesticides[[#This Row],[Active ingredient 3 amount]]*IF(Table_Input_Pesticides[[#This Row],[Constituent unit (select)]]="fraction of product", 1, 10^-3)</f>
        <v>100</v>
      </c>
    </row>
    <row r="12" spans="1:19" ht="20.100000000000001" customHeight="1" x14ac:dyDescent="0.25">
      <c r="C12" s="8"/>
      <c r="D12" s="149" t="s">
        <v>432</v>
      </c>
      <c r="E12" s="161">
        <v>10</v>
      </c>
      <c r="F12" s="48" t="s">
        <v>314</v>
      </c>
      <c r="G12" s="69">
        <v>100</v>
      </c>
      <c r="H12" s="50">
        <f>Table_Input_Pesticides[[#This Row],[Amount applied per ha]]*Table_Input_Pesticides[[#This Row],[Application area (ha)]]</f>
        <v>1000</v>
      </c>
      <c r="I12" s="48" t="s">
        <v>422</v>
      </c>
      <c r="J12" s="48" t="s">
        <v>421</v>
      </c>
      <c r="K12" s="69">
        <v>100</v>
      </c>
      <c r="L12" s="50">
        <f>Table_Input_Pesticides[[#This Row],[Total applied]]*Table_Input_Pesticides[[#This Row],[Active ingredient 1 amount]]*IF(Table_Input_Pesticides[[#This Row],[Constituent unit (select)]]="fraction of product", 1, 10^-3)</f>
        <v>100</v>
      </c>
      <c r="M12" s="48" t="s">
        <v>689</v>
      </c>
      <c r="N12" s="69">
        <v>100</v>
      </c>
      <c r="O12" s="50">
        <f>Table_Input_Pesticides[[#This Row],[Total applied]]*Table_Input_Pesticides[[#This Row],[Active ingredient 2 amount]]*IF(Table_Input_Pesticides[[#This Row],[Constituent unit (select)]]="fraction of product", 1, 10^-3)</f>
        <v>100</v>
      </c>
      <c r="P12" s="48" t="s">
        <v>692</v>
      </c>
      <c r="Q12" s="69">
        <v>100</v>
      </c>
      <c r="R12" s="50">
        <f>Table_Input_Pesticides[[#This Row],[Total applied]]*Table_Input_Pesticides[[#This Row],[Active ingredient 3 amount]]*IF(Table_Input_Pesticides[[#This Row],[Constituent unit (select)]]="fraction of product", 1, 10^-3)</f>
        <v>100</v>
      </c>
    </row>
    <row r="13" spans="1:19" ht="20.100000000000001" customHeight="1" x14ac:dyDescent="0.25">
      <c r="C13" s="8"/>
      <c r="D13" s="149" t="s">
        <v>430</v>
      </c>
      <c r="E13" s="161">
        <v>10</v>
      </c>
      <c r="F13" s="48" t="s">
        <v>423</v>
      </c>
      <c r="G13" s="69">
        <v>100</v>
      </c>
      <c r="H13" s="50">
        <f>Table_Input_Pesticides[[#This Row],[Amount applied per ha]]*Table_Input_Pesticides[[#This Row],[Application area (ha)]]</f>
        <v>1000</v>
      </c>
      <c r="I13" s="48" t="s">
        <v>422</v>
      </c>
      <c r="J13" s="48" t="s">
        <v>421</v>
      </c>
      <c r="K13" s="69">
        <v>100</v>
      </c>
      <c r="L13" s="50">
        <f>Table_Input_Pesticides[[#This Row],[Total applied]]*Table_Input_Pesticides[[#This Row],[Active ingredient 1 amount]]*IF(Table_Input_Pesticides[[#This Row],[Constituent unit (select)]]="fraction of product", 1, 10^-3)</f>
        <v>100</v>
      </c>
      <c r="M13" s="48" t="s">
        <v>690</v>
      </c>
      <c r="N13" s="69">
        <v>100</v>
      </c>
      <c r="O13" s="50">
        <f>Table_Input_Pesticides[[#This Row],[Total applied]]*Table_Input_Pesticides[[#This Row],[Active ingredient 2 amount]]*IF(Table_Input_Pesticides[[#This Row],[Constituent unit (select)]]="fraction of product", 1, 10^-3)</f>
        <v>100</v>
      </c>
      <c r="P13" s="48" t="s">
        <v>693</v>
      </c>
      <c r="Q13" s="69">
        <v>100</v>
      </c>
      <c r="R13" s="50">
        <f>Table_Input_Pesticides[[#This Row],[Total applied]]*Table_Input_Pesticides[[#This Row],[Active ingredient 3 amount]]*IF(Table_Input_Pesticides[[#This Row],[Constituent unit (select)]]="fraction of product", 1, 10^-3)</f>
        <v>100</v>
      </c>
    </row>
    <row r="14" spans="1:19" ht="20.100000000000001" customHeight="1" x14ac:dyDescent="0.25">
      <c r="D14" s="149"/>
      <c r="E14" s="161"/>
      <c r="F14" s="48"/>
      <c r="G14" s="69"/>
      <c r="H14" s="50">
        <f>Table_Input_Pesticides[[#This Row],[Amount applied per ha]]*Table_Input_Pesticides[[#This Row],[Application area (ha)]]</f>
        <v>0</v>
      </c>
      <c r="I14" s="48"/>
      <c r="J14" s="48"/>
      <c r="K14" s="69"/>
      <c r="L14" s="50">
        <f>Table_Input_Pesticides[[#This Row],[Total applied]]*Table_Input_Pesticides[[#This Row],[Active ingredient 1 amount]]*IF(Table_Input_Pesticides[[#This Row],[Constituent unit (select)]]="fraction of product", 1, 10^-3)</f>
        <v>0</v>
      </c>
      <c r="M14" s="48"/>
      <c r="N14" s="69"/>
      <c r="O14" s="50">
        <f>Table_Input_Pesticides[[#This Row],[Total applied]]*Table_Input_Pesticides[[#This Row],[Active ingredient 2 amount]]*IF(Table_Input_Pesticides[[#This Row],[Constituent unit (select)]]="fraction of product", 1, 10^-3)</f>
        <v>0</v>
      </c>
      <c r="P14" s="48"/>
      <c r="Q14" s="69"/>
      <c r="R14" s="50">
        <f>Table_Input_Pesticides[[#This Row],[Total applied]]*Table_Input_Pesticides[[#This Row],[Active ingredient 3 amount]]*IF(Table_Input_Pesticides[[#This Row],[Constituent unit (select)]]="fraction of product", 1, 10^-3)</f>
        <v>0</v>
      </c>
    </row>
    <row r="15" spans="1:19" ht="20.100000000000001" customHeight="1" x14ac:dyDescent="0.25">
      <c r="D15" s="149"/>
      <c r="E15" s="161"/>
      <c r="F15" s="48"/>
      <c r="G15" s="69"/>
      <c r="H15" s="50">
        <f>Table_Input_Pesticides[[#This Row],[Amount applied per ha]]*Table_Input_Pesticides[[#This Row],[Application area (ha)]]</f>
        <v>0</v>
      </c>
      <c r="I15" s="48"/>
      <c r="J15" s="48"/>
      <c r="K15" s="69"/>
      <c r="L15" s="50">
        <f>Table_Input_Pesticides[[#This Row],[Total applied]]*Table_Input_Pesticides[[#This Row],[Active ingredient 1 amount]]*IF(Table_Input_Pesticides[[#This Row],[Constituent unit (select)]]="fraction of product", 1, 10^-3)</f>
        <v>0</v>
      </c>
      <c r="M15" s="48"/>
      <c r="N15" s="69"/>
      <c r="O15" s="50">
        <f>Table_Input_Pesticides[[#This Row],[Total applied]]*Table_Input_Pesticides[[#This Row],[Active ingredient 2 amount]]*IF(Table_Input_Pesticides[[#This Row],[Constituent unit (select)]]="fraction of product", 1, 10^-3)</f>
        <v>0</v>
      </c>
      <c r="P15" s="48"/>
      <c r="Q15" s="69"/>
      <c r="R15" s="50">
        <f>Table_Input_Pesticides[[#This Row],[Total applied]]*Table_Input_Pesticides[[#This Row],[Active ingredient 3 amount]]*IF(Table_Input_Pesticides[[#This Row],[Constituent unit (select)]]="fraction of product", 1, 10^-3)</f>
        <v>0</v>
      </c>
    </row>
    <row r="16" spans="1:19" ht="20.100000000000001" customHeight="1" x14ac:dyDescent="0.25">
      <c r="D16" s="149"/>
      <c r="E16" s="161"/>
      <c r="F16" s="48"/>
      <c r="G16" s="69"/>
      <c r="H16" s="50">
        <f>Table_Input_Pesticides[[#This Row],[Amount applied per ha]]*Table_Input_Pesticides[[#This Row],[Application area (ha)]]</f>
        <v>0</v>
      </c>
      <c r="I16" s="48"/>
      <c r="J16" s="48"/>
      <c r="K16" s="69"/>
      <c r="L16" s="50">
        <f>Table_Input_Pesticides[[#This Row],[Total applied]]*Table_Input_Pesticides[[#This Row],[Active ingredient 1 amount]]*IF(Table_Input_Pesticides[[#This Row],[Constituent unit (select)]]="fraction of product", 1, 10^-3)</f>
        <v>0</v>
      </c>
      <c r="M16" s="48"/>
      <c r="N16" s="69"/>
      <c r="O16" s="50">
        <f>Table_Input_Pesticides[[#This Row],[Total applied]]*Table_Input_Pesticides[[#This Row],[Active ingredient 2 amount]]*IF(Table_Input_Pesticides[[#This Row],[Constituent unit (select)]]="fraction of product", 1, 10^-3)</f>
        <v>0</v>
      </c>
      <c r="P16" s="48"/>
      <c r="Q16" s="69"/>
      <c r="R16" s="50">
        <f>Table_Input_Pesticides[[#This Row],[Total applied]]*Table_Input_Pesticides[[#This Row],[Active ingredient 3 amount]]*IF(Table_Input_Pesticides[[#This Row],[Constituent unit (select)]]="fraction of product", 1, 10^-3)</f>
        <v>0</v>
      </c>
    </row>
    <row r="17" spans="3:18" ht="20.100000000000001" customHeight="1" x14ac:dyDescent="0.25">
      <c r="C17" s="8"/>
      <c r="D17" s="149"/>
      <c r="E17" s="161"/>
      <c r="F17" s="48"/>
      <c r="G17" s="69"/>
      <c r="H17" s="50">
        <f>Table_Input_Pesticides[[#This Row],[Amount applied per ha]]*Table_Input_Pesticides[[#This Row],[Application area (ha)]]</f>
        <v>0</v>
      </c>
      <c r="I17" s="48"/>
      <c r="J17" s="48"/>
      <c r="K17" s="69"/>
      <c r="L17" s="50">
        <f>Table_Input_Pesticides[[#This Row],[Total applied]]*Table_Input_Pesticides[[#This Row],[Active ingredient 1 amount]]*IF(Table_Input_Pesticides[[#This Row],[Constituent unit (select)]]="fraction of product", 1, 10^-3)</f>
        <v>0</v>
      </c>
      <c r="M17" s="48"/>
      <c r="N17" s="69"/>
      <c r="O17" s="50">
        <f>Table_Input_Pesticides[[#This Row],[Total applied]]*Table_Input_Pesticides[[#This Row],[Active ingredient 2 amount]]*IF(Table_Input_Pesticides[[#This Row],[Constituent unit (select)]]="fraction of product", 1, 10^-3)</f>
        <v>0</v>
      </c>
      <c r="P17" s="48"/>
      <c r="Q17" s="69"/>
      <c r="R17" s="50">
        <f>Table_Input_Pesticides[[#This Row],[Total applied]]*Table_Input_Pesticides[[#This Row],[Active ingredient 3 amount]]*IF(Table_Input_Pesticides[[#This Row],[Constituent unit (select)]]="fraction of product", 1, 10^-3)</f>
        <v>0</v>
      </c>
    </row>
    <row r="18" spans="3:18" ht="20.100000000000001" customHeight="1" x14ac:dyDescent="0.25">
      <c r="C18" s="8"/>
      <c r="D18" s="149"/>
      <c r="E18" s="161"/>
      <c r="F18" s="48"/>
      <c r="G18" s="69"/>
      <c r="H18" s="50">
        <f>Table_Input_Pesticides[[#This Row],[Amount applied per ha]]*Table_Input_Pesticides[[#This Row],[Application area (ha)]]</f>
        <v>0</v>
      </c>
      <c r="I18" s="48"/>
      <c r="J18" s="48"/>
      <c r="K18" s="69"/>
      <c r="L18" s="50">
        <f>Table_Input_Pesticides[[#This Row],[Total applied]]*Table_Input_Pesticides[[#This Row],[Active ingredient 1 amount]]*IF(Table_Input_Pesticides[[#This Row],[Constituent unit (select)]]="fraction of product", 1, 10^-3)</f>
        <v>0</v>
      </c>
      <c r="M18" s="48"/>
      <c r="N18" s="69"/>
      <c r="O18" s="50">
        <f>Table_Input_Pesticides[[#This Row],[Total applied]]*Table_Input_Pesticides[[#This Row],[Active ingredient 2 amount]]*IF(Table_Input_Pesticides[[#This Row],[Constituent unit (select)]]="fraction of product", 1, 10^-3)</f>
        <v>0</v>
      </c>
      <c r="P18" s="48"/>
      <c r="Q18" s="69"/>
      <c r="R18" s="50">
        <f>Table_Input_Pesticides[[#This Row],[Total applied]]*Table_Input_Pesticides[[#This Row],[Active ingredient 3 amount]]*IF(Table_Input_Pesticides[[#This Row],[Constituent unit (select)]]="fraction of product", 1, 10^-3)</f>
        <v>0</v>
      </c>
    </row>
    <row r="19" spans="3:18" ht="20.100000000000001" customHeight="1" x14ac:dyDescent="0.25">
      <c r="D19" s="149"/>
      <c r="E19" s="161"/>
      <c r="F19" s="48"/>
      <c r="G19" s="69"/>
      <c r="H19" s="50">
        <f>Table_Input_Pesticides[[#This Row],[Amount applied per ha]]*Table_Input_Pesticides[[#This Row],[Application area (ha)]]</f>
        <v>0</v>
      </c>
      <c r="I19" s="48"/>
      <c r="J19" s="48"/>
      <c r="K19" s="69"/>
      <c r="L19" s="50">
        <f>Table_Input_Pesticides[[#This Row],[Total applied]]*Table_Input_Pesticides[[#This Row],[Active ingredient 1 amount]]*IF(Table_Input_Pesticides[[#This Row],[Constituent unit (select)]]="fraction of product", 1, 10^-3)</f>
        <v>0</v>
      </c>
      <c r="M19" s="48"/>
      <c r="N19" s="69"/>
      <c r="O19" s="50">
        <f>Table_Input_Pesticides[[#This Row],[Total applied]]*Table_Input_Pesticides[[#This Row],[Active ingredient 2 amount]]*IF(Table_Input_Pesticides[[#This Row],[Constituent unit (select)]]="fraction of product", 1, 10^-3)</f>
        <v>0</v>
      </c>
      <c r="P19" s="48"/>
      <c r="Q19" s="69"/>
      <c r="R19" s="50">
        <f>Table_Input_Pesticides[[#This Row],[Total applied]]*Table_Input_Pesticides[[#This Row],[Active ingredient 3 amount]]*IF(Table_Input_Pesticides[[#This Row],[Constituent unit (select)]]="fraction of product", 1, 10^-3)</f>
        <v>0</v>
      </c>
    </row>
    <row r="20" spans="3:18" ht="20.100000000000001" customHeight="1" x14ac:dyDescent="0.25">
      <c r="D20" s="149"/>
      <c r="E20" s="161"/>
      <c r="F20" s="48"/>
      <c r="G20" s="69"/>
      <c r="H20" s="50">
        <f>Table_Input_Pesticides[[#This Row],[Amount applied per ha]]*Table_Input_Pesticides[[#This Row],[Application area (ha)]]</f>
        <v>0</v>
      </c>
      <c r="I20" s="48"/>
      <c r="J20" s="48"/>
      <c r="K20" s="69"/>
      <c r="L20" s="50">
        <f>Table_Input_Pesticides[[#This Row],[Total applied]]*Table_Input_Pesticides[[#This Row],[Active ingredient 1 amount]]*IF(Table_Input_Pesticides[[#This Row],[Constituent unit (select)]]="fraction of product", 1, 10^-3)</f>
        <v>0</v>
      </c>
      <c r="M20" s="48"/>
      <c r="N20" s="69"/>
      <c r="O20" s="50">
        <f>Table_Input_Pesticides[[#This Row],[Total applied]]*Table_Input_Pesticides[[#This Row],[Active ingredient 2 amount]]*IF(Table_Input_Pesticides[[#This Row],[Constituent unit (select)]]="fraction of product", 1, 10^-3)</f>
        <v>0</v>
      </c>
      <c r="P20" s="48"/>
      <c r="Q20" s="69"/>
      <c r="R20" s="50">
        <f>Table_Input_Pesticides[[#This Row],[Total applied]]*Table_Input_Pesticides[[#This Row],[Active ingredient 3 amount]]*IF(Table_Input_Pesticides[[#This Row],[Constituent unit (select)]]="fraction of product", 1, 10^-3)</f>
        <v>0</v>
      </c>
    </row>
    <row r="21" spans="3:18" ht="20.100000000000001" customHeight="1" x14ac:dyDescent="0.25">
      <c r="D21" s="7"/>
      <c r="E21" s="7"/>
      <c r="F21" s="7"/>
      <c r="G21" s="7"/>
      <c r="H21" s="7"/>
      <c r="I21" s="7"/>
      <c r="J21" s="7"/>
    </row>
    <row r="22" spans="3:18" ht="20.100000000000001" customHeight="1" x14ac:dyDescent="0.25">
      <c r="D22" s="150" t="s">
        <v>291</v>
      </c>
      <c r="E22" s="8"/>
      <c r="F22" s="8"/>
    </row>
    <row r="23" spans="3:18" ht="20.100000000000001" customHeight="1" x14ac:dyDescent="0.25">
      <c r="D23" s="47" t="s">
        <v>170</v>
      </c>
      <c r="E23" s="47" t="s">
        <v>347</v>
      </c>
      <c r="F23" s="47" t="s">
        <v>350</v>
      </c>
    </row>
    <row r="24" spans="3:18" ht="20.100000000000001" customHeight="1" x14ac:dyDescent="0.25">
      <c r="D24" s="86" t="s">
        <v>389</v>
      </c>
      <c r="E24" s="48" t="s">
        <v>349</v>
      </c>
      <c r="F24" s="69">
        <v>100</v>
      </c>
    </row>
    <row r="25" spans="3:18" ht="20.100000000000001" customHeight="1" x14ac:dyDescent="0.25">
      <c r="C25" s="8"/>
      <c r="D25" s="86" t="s">
        <v>388</v>
      </c>
      <c r="E25" s="155" t="s">
        <v>348</v>
      </c>
      <c r="F25" s="156">
        <v>100</v>
      </c>
    </row>
    <row r="26" spans="3:18" ht="20.100000000000001" customHeight="1" x14ac:dyDescent="0.25">
      <c r="C26" s="8"/>
      <c r="D26" s="86" t="s">
        <v>292</v>
      </c>
      <c r="E26" s="155" t="s">
        <v>293</v>
      </c>
      <c r="F26" s="156">
        <v>100</v>
      </c>
    </row>
    <row r="27" spans="3:18" ht="20.100000000000001" customHeight="1" x14ac:dyDescent="0.25">
      <c r="C27" s="8"/>
      <c r="D27" s="86" t="s">
        <v>292</v>
      </c>
      <c r="E27" s="155" t="s">
        <v>293</v>
      </c>
      <c r="F27" s="156">
        <v>100</v>
      </c>
    </row>
    <row r="28" spans="3:18" ht="20.100000000000001" customHeight="1" x14ac:dyDescent="0.25">
      <c r="D28" s="86" t="s">
        <v>389</v>
      </c>
      <c r="E28" s="155" t="s">
        <v>349</v>
      </c>
      <c r="F28" s="156">
        <v>100</v>
      </c>
    </row>
    <row r="29" spans="3:18" ht="20.100000000000001" customHeight="1" x14ac:dyDescent="0.25">
      <c r="D29" s="86" t="s">
        <v>389</v>
      </c>
      <c r="E29" s="155" t="s">
        <v>349</v>
      </c>
      <c r="F29" s="156">
        <v>100</v>
      </c>
    </row>
    <row r="30" spans="3:18" ht="20.100000000000001" customHeight="1" x14ac:dyDescent="0.25">
      <c r="D30" s="86"/>
      <c r="E30" s="48"/>
      <c r="F30" s="69"/>
    </row>
    <row r="31" spans="3:18" ht="20.100000000000001" customHeight="1" x14ac:dyDescent="0.25">
      <c r="D31" s="86"/>
      <c r="E31" s="48"/>
      <c r="F31" s="69"/>
    </row>
    <row r="32" spans="3:18" ht="20.100000000000001" customHeight="1" x14ac:dyDescent="0.25">
      <c r="D32" s="86"/>
      <c r="E32" s="48"/>
      <c r="F32" s="69"/>
    </row>
    <row r="33" spans="3:6" ht="20.100000000000001" customHeight="1" x14ac:dyDescent="0.25">
      <c r="D33" s="86"/>
      <c r="E33" s="48"/>
      <c r="F33" s="69"/>
    </row>
    <row r="34" spans="3:6" ht="20.100000000000001" customHeight="1" x14ac:dyDescent="0.25"/>
    <row r="35" spans="3:6" ht="20.100000000000001" customHeight="1" x14ac:dyDescent="0.25">
      <c r="D35" s="150" t="s">
        <v>847</v>
      </c>
      <c r="E35" s="8"/>
      <c r="F35" s="8"/>
    </row>
    <row r="36" spans="3:6" ht="20.100000000000001" customHeight="1" x14ac:dyDescent="0.25">
      <c r="D36" s="47" t="s">
        <v>170</v>
      </c>
      <c r="E36" s="47" t="s">
        <v>347</v>
      </c>
      <c r="F36" s="47" t="s">
        <v>380</v>
      </c>
    </row>
    <row r="37" spans="3:6" ht="20.100000000000001" customHeight="1" x14ac:dyDescent="0.25">
      <c r="D37" s="86" t="s">
        <v>384</v>
      </c>
      <c r="E37" s="76" t="s">
        <v>376</v>
      </c>
      <c r="F37" s="69">
        <v>100</v>
      </c>
    </row>
    <row r="38" spans="3:6" ht="20.100000000000001" customHeight="1" x14ac:dyDescent="0.25">
      <c r="D38" s="86" t="s">
        <v>385</v>
      </c>
      <c r="E38" s="169" t="s">
        <v>377</v>
      </c>
      <c r="F38" s="156">
        <v>100</v>
      </c>
    </row>
    <row r="39" spans="3:6" ht="20.100000000000001" customHeight="1" x14ac:dyDescent="0.25">
      <c r="D39" s="86" t="s">
        <v>386</v>
      </c>
      <c r="E39" s="169" t="s">
        <v>378</v>
      </c>
      <c r="F39" s="156">
        <v>100</v>
      </c>
    </row>
    <row r="40" spans="3:6" ht="20.100000000000001" customHeight="1" x14ac:dyDescent="0.25">
      <c r="D40" s="86" t="s">
        <v>387</v>
      </c>
      <c r="E40" s="169" t="s">
        <v>379</v>
      </c>
      <c r="F40" s="156">
        <v>100</v>
      </c>
    </row>
    <row r="41" spans="3:6" ht="20.100000000000001" customHeight="1" x14ac:dyDescent="0.25">
      <c r="D41" s="86" t="s">
        <v>384</v>
      </c>
      <c r="E41" s="169" t="s">
        <v>376</v>
      </c>
      <c r="F41" s="156">
        <v>100</v>
      </c>
    </row>
    <row r="42" spans="3:6" ht="20.100000000000001" customHeight="1" x14ac:dyDescent="0.25">
      <c r="D42" s="86" t="s">
        <v>385</v>
      </c>
      <c r="E42" s="169" t="s">
        <v>377</v>
      </c>
      <c r="F42" s="156">
        <v>100</v>
      </c>
    </row>
    <row r="43" spans="3:6" ht="20.100000000000001" customHeight="1" x14ac:dyDescent="0.25">
      <c r="D43" s="86"/>
      <c r="E43" s="76"/>
      <c r="F43" s="69"/>
    </row>
    <row r="44" spans="3:6" ht="20.100000000000001" customHeight="1" x14ac:dyDescent="0.25">
      <c r="C44" s="8"/>
      <c r="D44" s="86"/>
      <c r="E44" s="76"/>
      <c r="F44" s="69"/>
    </row>
    <row r="45" spans="3:6" ht="20.100000000000001" customHeight="1" x14ac:dyDescent="0.25">
      <c r="C45" s="8"/>
      <c r="D45" s="86"/>
      <c r="E45" s="76"/>
      <c r="F45" s="69"/>
    </row>
    <row r="46" spans="3:6" ht="20.100000000000001" customHeight="1" x14ac:dyDescent="0.25">
      <c r="C46" s="8"/>
      <c r="D46" s="86"/>
      <c r="E46" s="76"/>
      <c r="F46" s="69"/>
    </row>
    <row r="47" spans="3:6" ht="20.100000000000001" customHeight="1" x14ac:dyDescent="0.25">
      <c r="C47" s="8"/>
    </row>
    <row r="48" spans="3:6" ht="20.100000000000001" customHeight="1" x14ac:dyDescent="0.25">
      <c r="C48" s="8"/>
    </row>
    <row r="49" spans="3:17" ht="20.100000000000001" customHeight="1" x14ac:dyDescent="0.25">
      <c r="C49" s="8"/>
      <c r="D49" s="9" t="s">
        <v>369</v>
      </c>
    </row>
    <row r="50" spans="3:17" ht="20.100000000000001" customHeight="1" x14ac:dyDescent="0.25">
      <c r="D50" s="150" t="s">
        <v>294</v>
      </c>
      <c r="E50" s="151"/>
      <c r="F50" s="70"/>
    </row>
    <row r="51" spans="3:17" ht="20.100000000000001" customHeight="1" x14ac:dyDescent="0.25">
      <c r="D51" s="8" t="str" cm="1">
        <f t="array" ref="D51:D53">Table_SourceData_Scope3_LickBlocks[Product]</f>
        <v>Lick block, dry season mix</v>
      </c>
      <c r="E51" s="69">
        <v>100</v>
      </c>
      <c r="F51" s="68" t="s">
        <v>354</v>
      </c>
    </row>
    <row r="52" spans="3:17" ht="20.100000000000001" customHeight="1" x14ac:dyDescent="0.25">
      <c r="D52" s="8" t="str">
        <v>Lick block, mineral</v>
      </c>
      <c r="E52" s="69">
        <v>100</v>
      </c>
      <c r="F52" s="68" t="s">
        <v>354</v>
      </c>
    </row>
    <row r="53" spans="3:17" ht="20.100000000000001" customHeight="1" x14ac:dyDescent="0.25">
      <c r="D53" s="8" t="str">
        <v>Lick block, weaner</v>
      </c>
      <c r="E53" s="69">
        <v>100</v>
      </c>
      <c r="F53" s="68" t="s">
        <v>354</v>
      </c>
    </row>
    <row r="54" spans="3:17" ht="20.100000000000001" customHeight="1" x14ac:dyDescent="0.25">
      <c r="D54" s="8"/>
      <c r="E54" s="8"/>
      <c r="F54" s="8"/>
    </row>
    <row r="55" spans="3:17" ht="20.100000000000001" customHeight="1" x14ac:dyDescent="0.25">
      <c r="D55" s="150" t="s">
        <v>406</v>
      </c>
      <c r="E55" s="7"/>
      <c r="F55" s="7"/>
    </row>
    <row r="56" spans="3:17" ht="20.100000000000001" customHeight="1" x14ac:dyDescent="0.25">
      <c r="D56" s="8" t="str" cm="1">
        <f t="array" ref="D56:D59">Table_SourceData_Scope3_MixedRations[Product]</f>
        <v>Feed for chickens</v>
      </c>
      <c r="E56" s="69">
        <v>100</v>
      </c>
      <c r="F56" s="68" t="s">
        <v>354</v>
      </c>
    </row>
    <row r="57" spans="3:17" ht="20.100000000000001" customHeight="1" x14ac:dyDescent="0.25">
      <c r="D57" s="8" t="str">
        <v>Feed for dairy calves</v>
      </c>
      <c r="E57" s="69">
        <v>100</v>
      </c>
      <c r="F57" s="68" t="s">
        <v>354</v>
      </c>
    </row>
    <row r="58" spans="3:17" ht="20.100000000000001" customHeight="1" x14ac:dyDescent="0.25">
      <c r="D58" s="8" t="str">
        <v>Feed for dairy cows</v>
      </c>
      <c r="E58" s="69">
        <v>100</v>
      </c>
      <c r="F58" s="68" t="s">
        <v>354</v>
      </c>
    </row>
    <row r="59" spans="3:17" ht="20.100000000000001" customHeight="1" x14ac:dyDescent="0.25">
      <c r="D59" s="8" t="str">
        <v>Feed for pigs</v>
      </c>
      <c r="E59" s="69">
        <v>100</v>
      </c>
      <c r="F59" s="68" t="s">
        <v>354</v>
      </c>
    </row>
    <row r="60" spans="3:17" ht="20.100000000000001" customHeight="1" x14ac:dyDescent="0.25">
      <c r="D60" s="7"/>
      <c r="E60" s="7"/>
      <c r="F60" s="7"/>
    </row>
    <row r="61" spans="3:17" ht="20.100000000000001" customHeight="1" x14ac:dyDescent="0.25">
      <c r="D61" s="150" t="s">
        <v>630</v>
      </c>
      <c r="E61" s="7"/>
      <c r="F61" s="7"/>
    </row>
    <row r="62" spans="3:17" ht="20.100000000000001" customHeight="1" x14ac:dyDescent="0.25">
      <c r="D62" s="49" t="s">
        <v>296</v>
      </c>
      <c r="E62" s="49" t="s">
        <v>297</v>
      </c>
      <c r="F62" s="49" t="s">
        <v>211</v>
      </c>
      <c r="G62" s="49" t="s">
        <v>397</v>
      </c>
      <c r="H62" s="49" t="s">
        <v>175</v>
      </c>
      <c r="I62" s="49" t="s">
        <v>298</v>
      </c>
      <c r="J62" s="49" t="s">
        <v>402</v>
      </c>
      <c r="K62" s="49" t="s">
        <v>177</v>
      </c>
      <c r="L62" s="49" t="s">
        <v>299</v>
      </c>
      <c r="M62" s="49" t="s">
        <v>403</v>
      </c>
      <c r="N62" s="49" t="s">
        <v>179</v>
      </c>
      <c r="O62" s="49" t="s">
        <v>300</v>
      </c>
      <c r="P62" s="49" t="s">
        <v>404</v>
      </c>
      <c r="Q62" s="49" t="s">
        <v>181</v>
      </c>
    </row>
    <row r="63" spans="3:17" ht="20.100000000000001" customHeight="1" x14ac:dyDescent="0.25">
      <c r="D63" s="15"/>
      <c r="E63" s="152">
        <v>1200</v>
      </c>
      <c r="F63" s="48" t="s">
        <v>396</v>
      </c>
      <c r="G63" s="48" t="s">
        <v>346</v>
      </c>
      <c r="H63" s="51">
        <v>0.35</v>
      </c>
      <c r="I63" s="48" t="s">
        <v>398</v>
      </c>
      <c r="J63" s="48" t="s">
        <v>399</v>
      </c>
      <c r="K63" s="51">
        <v>0.22</v>
      </c>
      <c r="L63" s="48" t="s">
        <v>301</v>
      </c>
      <c r="M63" s="48" t="s">
        <v>338</v>
      </c>
      <c r="N63" s="51">
        <v>0.12</v>
      </c>
      <c r="O63" s="48" t="s">
        <v>405</v>
      </c>
      <c r="P63" s="48" t="s">
        <v>340</v>
      </c>
      <c r="Q63" s="51">
        <v>0.05</v>
      </c>
    </row>
    <row r="64" spans="3:17" ht="20.100000000000001" customHeight="1" x14ac:dyDescent="0.25">
      <c r="D64" s="15"/>
      <c r="E64" s="152">
        <v>3456</v>
      </c>
      <c r="F64" s="48" t="s">
        <v>392</v>
      </c>
      <c r="G64" s="48" t="s">
        <v>395</v>
      </c>
      <c r="H64" s="51">
        <v>0.2</v>
      </c>
      <c r="I64" s="48" t="s">
        <v>400</v>
      </c>
      <c r="J64" s="48" t="s">
        <v>339</v>
      </c>
      <c r="K64" s="51">
        <v>0.2</v>
      </c>
      <c r="L64" s="48"/>
      <c r="M64" s="48"/>
      <c r="N64" s="51"/>
      <c r="O64" s="48"/>
      <c r="P64" s="48"/>
      <c r="Q64" s="51"/>
    </row>
    <row r="65" spans="4:17" ht="20.100000000000001" customHeight="1" x14ac:dyDescent="0.25">
      <c r="D65" s="15" t="s">
        <v>302</v>
      </c>
      <c r="E65" s="152">
        <v>300</v>
      </c>
      <c r="F65" s="48" t="s">
        <v>394</v>
      </c>
      <c r="G65" s="48" t="s">
        <v>340</v>
      </c>
      <c r="H65" s="51">
        <v>0.8</v>
      </c>
      <c r="I65" s="48" t="s">
        <v>393</v>
      </c>
      <c r="J65" s="48" t="s">
        <v>401</v>
      </c>
      <c r="K65" s="51">
        <v>0.2</v>
      </c>
      <c r="L65" s="48"/>
      <c r="M65" s="48"/>
      <c r="N65" s="51"/>
      <c r="O65" s="48"/>
      <c r="P65" s="48"/>
      <c r="Q65" s="51"/>
    </row>
    <row r="66" spans="4:17" ht="20.100000000000001" customHeight="1" x14ac:dyDescent="0.25">
      <c r="D66" s="15"/>
      <c r="E66" s="152">
        <v>500</v>
      </c>
      <c r="F66" s="48" t="s">
        <v>407</v>
      </c>
      <c r="G66" s="48" t="s">
        <v>339</v>
      </c>
      <c r="H66" s="51">
        <v>1</v>
      </c>
      <c r="I66" s="48"/>
      <c r="J66" s="48"/>
      <c r="K66" s="51"/>
      <c r="L66" s="48"/>
      <c r="M66" s="48"/>
      <c r="N66" s="51"/>
      <c r="O66" s="48"/>
      <c r="P66" s="48"/>
      <c r="Q66" s="51"/>
    </row>
    <row r="67" spans="4:17" ht="20.100000000000001" customHeight="1" x14ac:dyDescent="0.25">
      <c r="D67" s="15"/>
      <c r="E67" s="152"/>
      <c r="F67" s="48"/>
      <c r="G67" s="48"/>
      <c r="H67" s="51"/>
      <c r="I67" s="48"/>
      <c r="J67" s="48"/>
      <c r="K67" s="51"/>
      <c r="L67" s="48"/>
      <c r="M67" s="48"/>
      <c r="N67" s="51"/>
      <c r="O67" s="48"/>
      <c r="P67" s="48"/>
      <c r="Q67" s="51"/>
    </row>
    <row r="68" spans="4:17" ht="20.100000000000001" customHeight="1" x14ac:dyDescent="0.25">
      <c r="D68" s="15"/>
      <c r="E68" s="152"/>
      <c r="F68" s="48"/>
      <c r="G68" s="48"/>
      <c r="H68" s="51"/>
      <c r="I68" s="48"/>
      <c r="J68" s="48"/>
      <c r="K68" s="51"/>
      <c r="L68" s="48"/>
      <c r="M68" s="48"/>
      <c r="N68" s="51"/>
      <c r="O68" s="48"/>
      <c r="P68" s="48"/>
      <c r="Q68" s="51"/>
    </row>
    <row r="69" spans="4:17" ht="20.100000000000001" customHeight="1" x14ac:dyDescent="0.25">
      <c r="D69" s="15"/>
      <c r="E69" s="152"/>
      <c r="F69" s="48"/>
      <c r="G69" s="48"/>
      <c r="H69" s="51"/>
      <c r="I69" s="48"/>
      <c r="J69" s="48"/>
      <c r="K69" s="51"/>
      <c r="L69" s="48"/>
      <c r="M69" s="48"/>
      <c r="N69" s="51"/>
      <c r="O69" s="48"/>
      <c r="P69" s="48"/>
      <c r="Q69" s="51"/>
    </row>
    <row r="70" spans="4:17" ht="20.100000000000001" customHeight="1" x14ac:dyDescent="0.25">
      <c r="D70" s="15"/>
      <c r="E70" s="152"/>
      <c r="F70" s="48"/>
      <c r="G70" s="48"/>
      <c r="H70" s="51"/>
      <c r="I70" s="48"/>
      <c r="J70" s="48"/>
      <c r="K70" s="51"/>
      <c r="L70" s="48"/>
      <c r="M70" s="48"/>
      <c r="N70" s="51"/>
      <c r="O70" s="48"/>
      <c r="P70" s="48"/>
      <c r="Q70" s="51"/>
    </row>
    <row r="71" spans="4:17" ht="20.100000000000001" customHeight="1" x14ac:dyDescent="0.25">
      <c r="D71" s="15"/>
      <c r="E71" s="152"/>
      <c r="F71" s="48"/>
      <c r="G71" s="48"/>
      <c r="H71" s="51"/>
      <c r="I71" s="48"/>
      <c r="J71" s="48"/>
      <c r="K71" s="51"/>
      <c r="L71" s="48"/>
      <c r="M71" s="48"/>
      <c r="N71" s="51"/>
      <c r="O71" s="48"/>
      <c r="P71" s="48"/>
      <c r="Q71" s="51"/>
    </row>
    <row r="72" spans="4:17" ht="20.100000000000001" customHeight="1" x14ac:dyDescent="0.25">
      <c r="D72" s="15"/>
      <c r="E72" s="152"/>
      <c r="F72" s="48"/>
      <c r="G72" s="48"/>
      <c r="H72" s="51"/>
      <c r="I72" s="48"/>
      <c r="J72" s="48"/>
      <c r="K72" s="51"/>
      <c r="L72" s="48"/>
      <c r="M72" s="48"/>
      <c r="N72" s="51"/>
      <c r="O72" s="48"/>
      <c r="P72" s="48"/>
      <c r="Q72" s="51"/>
    </row>
    <row r="73" spans="4:17" ht="20.100000000000001" customHeight="1" x14ac:dyDescent="0.25"/>
    <row r="74" spans="4:17" ht="20.100000000000001" customHeight="1" x14ac:dyDescent="0.25">
      <c r="K74" s="14"/>
    </row>
    <row r="75" spans="4:17" ht="20.100000000000001" customHeight="1" x14ac:dyDescent="0.25">
      <c r="D75" s="9" t="s">
        <v>434</v>
      </c>
    </row>
    <row r="76" spans="4:17" ht="20.100000000000001" customHeight="1" x14ac:dyDescent="0.25">
      <c r="D76" s="150" t="s">
        <v>328</v>
      </c>
    </row>
    <row r="77" spans="4:17" ht="20.100000000000001" customHeight="1" x14ac:dyDescent="0.25">
      <c r="D77" s="10" t="s">
        <v>363</v>
      </c>
      <c r="E77" s="10" t="s">
        <v>438</v>
      </c>
      <c r="F77" s="10" t="s">
        <v>326</v>
      </c>
      <c r="G77" s="10" t="s">
        <v>435</v>
      </c>
      <c r="H77" s="10" t="s">
        <v>329</v>
      </c>
      <c r="I77" s="10" t="s">
        <v>327</v>
      </c>
      <c r="J77" s="168" t="s">
        <v>436</v>
      </c>
      <c r="K77" s="168" t="s">
        <v>437</v>
      </c>
    </row>
    <row r="78" spans="4:17" ht="20.100000000000001" customHeight="1" x14ac:dyDescent="0.25">
      <c r="D78" s="86" t="s">
        <v>526</v>
      </c>
      <c r="E78" s="164">
        <v>45547</v>
      </c>
      <c r="F78" s="48" t="s">
        <v>496</v>
      </c>
      <c r="G78" s="76" t="s">
        <v>337</v>
      </c>
      <c r="H78" s="48" t="s">
        <v>444</v>
      </c>
      <c r="I78" s="69">
        <v>100</v>
      </c>
      <c r="J78" s="50" cm="1">
        <f t="array" ref="J78">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210</v>
      </c>
      <c r="K78" s="69">
        <v>205</v>
      </c>
    </row>
    <row r="79" spans="4:17" ht="20.100000000000001" customHeight="1" x14ac:dyDescent="0.25">
      <c r="D79" s="86"/>
      <c r="E79" s="164">
        <v>45292</v>
      </c>
      <c r="F79" s="155" t="s">
        <v>497</v>
      </c>
      <c r="G79" s="76" t="s">
        <v>336</v>
      </c>
      <c r="H79" s="48" t="s">
        <v>443</v>
      </c>
      <c r="I79" s="69">
        <v>100</v>
      </c>
      <c r="J79" s="50" cm="1">
        <f t="array" ref="J79">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470</v>
      </c>
      <c r="K79" s="69">
        <v>465</v>
      </c>
    </row>
    <row r="80" spans="4:17" ht="20.100000000000001" customHeight="1" x14ac:dyDescent="0.25">
      <c r="D80" s="86"/>
      <c r="E80" s="86"/>
      <c r="F80" s="155"/>
      <c r="G80" s="76"/>
      <c r="H80" s="48"/>
      <c r="I80" s="69"/>
      <c r="J80" s="50" cm="1">
        <f t="array" ref="J80">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80" s="69"/>
    </row>
    <row r="81" spans="4:11" ht="20.100000000000001" customHeight="1" x14ac:dyDescent="0.25">
      <c r="D81" s="86"/>
      <c r="E81" s="86"/>
      <c r="F81" s="155"/>
      <c r="G81" s="76"/>
      <c r="H81" s="48"/>
      <c r="I81" s="69"/>
      <c r="J81" s="50" cm="1">
        <f t="array" ref="J81">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81" s="69"/>
    </row>
    <row r="82" spans="4:11" ht="20.100000000000001" customHeight="1" x14ac:dyDescent="0.25">
      <c r="D82" s="86"/>
      <c r="E82" s="86"/>
      <c r="F82" s="155"/>
      <c r="G82" s="76"/>
      <c r="H82" s="48"/>
      <c r="I82" s="69"/>
      <c r="J82" s="50" cm="1">
        <f t="array" ref="J82">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82" s="69"/>
    </row>
    <row r="83" spans="4:11" ht="20.100000000000001" customHeight="1" x14ac:dyDescent="0.25">
      <c r="D83" s="86"/>
      <c r="E83" s="86"/>
      <c r="F83" s="155"/>
      <c r="G83" s="76"/>
      <c r="H83" s="48"/>
      <c r="I83" s="69"/>
      <c r="J83" s="50" cm="1">
        <f t="array" ref="J83">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83" s="69"/>
    </row>
    <row r="84" spans="4:11" ht="20.100000000000001" customHeight="1" x14ac:dyDescent="0.25">
      <c r="D84" s="86"/>
      <c r="E84" s="86"/>
      <c r="F84" s="155"/>
      <c r="G84" s="76"/>
      <c r="H84" s="48"/>
      <c r="I84" s="69"/>
      <c r="J84" s="50" cm="1">
        <f t="array" ref="J84">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84" s="69"/>
    </row>
    <row r="85" spans="4:11" ht="20.100000000000001" customHeight="1" x14ac:dyDescent="0.25">
      <c r="D85" s="86"/>
      <c r="E85" s="86"/>
      <c r="F85" s="155"/>
      <c r="G85" s="76"/>
      <c r="H85" s="48"/>
      <c r="I85" s="69"/>
      <c r="J85" s="50" cm="1">
        <f t="array" ref="J85">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85" s="69"/>
    </row>
    <row r="86" spans="4:11" ht="20.100000000000001" customHeight="1" x14ac:dyDescent="0.25">
      <c r="D86" s="86"/>
      <c r="E86" s="86"/>
      <c r="F86" s="155"/>
      <c r="G86" s="76"/>
      <c r="H86" s="48"/>
      <c r="I86" s="69"/>
      <c r="J86" s="50" cm="1">
        <f t="array" ref="J86">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86" s="69"/>
    </row>
    <row r="87" spans="4:11" ht="20.100000000000001" customHeight="1" x14ac:dyDescent="0.25">
      <c r="D87" s="86"/>
      <c r="E87" s="86"/>
      <c r="F87" s="155"/>
      <c r="G87" s="76"/>
      <c r="H87" s="48"/>
      <c r="I87" s="69"/>
      <c r="J87" s="50" cm="1">
        <f t="array" ref="J87">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87" s="69"/>
    </row>
    <row r="88" spans="4:11" ht="20.100000000000001" customHeight="1" x14ac:dyDescent="0.25"/>
    <row r="89" spans="4:11" ht="20.100000000000001" customHeight="1" x14ac:dyDescent="0.25">
      <c r="D89" s="150" t="s">
        <v>344</v>
      </c>
    </row>
    <row r="90" spans="4:11" ht="20.100000000000001" customHeight="1" x14ac:dyDescent="0.25">
      <c r="D90" s="168" t="s">
        <v>363</v>
      </c>
      <c r="E90" s="168" t="s">
        <v>326</v>
      </c>
      <c r="F90" s="168" t="s">
        <v>528</v>
      </c>
      <c r="G90" s="168" t="s">
        <v>327</v>
      </c>
      <c r="H90" s="168" t="s">
        <v>436</v>
      </c>
      <c r="I90" s="168" t="s">
        <v>437</v>
      </c>
    </row>
    <row r="91" spans="4:11" ht="20.100000000000001" customHeight="1" x14ac:dyDescent="0.25">
      <c r="D91" s="86" t="s">
        <v>527</v>
      </c>
      <c r="E91" s="48" t="s">
        <v>533</v>
      </c>
      <c r="F91" s="48" t="s">
        <v>523</v>
      </c>
      <c r="G91" s="69">
        <v>100</v>
      </c>
      <c r="H91" s="50" cm="1">
        <f t="array" ref="H91">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350</v>
      </c>
      <c r="I91" s="69">
        <v>350</v>
      </c>
    </row>
    <row r="92" spans="4:11" ht="20.100000000000001" customHeight="1" x14ac:dyDescent="0.25">
      <c r="D92" s="86"/>
      <c r="E92" s="155" t="s">
        <v>524</v>
      </c>
      <c r="F92" s="48" t="s">
        <v>553</v>
      </c>
      <c r="G92" s="69">
        <v>100</v>
      </c>
      <c r="H92" s="50" cm="1">
        <f t="array" ref="H92">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650</v>
      </c>
      <c r="I92" s="69">
        <v>625</v>
      </c>
    </row>
    <row r="93" spans="4:11" ht="20.100000000000001" customHeight="1" x14ac:dyDescent="0.25">
      <c r="D93" s="86"/>
      <c r="E93" s="155" t="s">
        <v>524</v>
      </c>
      <c r="F93" s="48" t="s">
        <v>631</v>
      </c>
      <c r="G93" s="69"/>
      <c r="H93" s="50" cm="1">
        <f t="array" ref="H93">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600</v>
      </c>
      <c r="I93" s="69"/>
    </row>
    <row r="94" spans="4:11" ht="20.100000000000001" customHeight="1" x14ac:dyDescent="0.25">
      <c r="D94" s="86"/>
      <c r="E94" s="155"/>
      <c r="F94" s="48"/>
      <c r="G94" s="69"/>
      <c r="H94" s="50" cm="1">
        <f t="array" ref="H94">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94" s="69"/>
    </row>
    <row r="95" spans="4:11" ht="20.100000000000001" customHeight="1" x14ac:dyDescent="0.25">
      <c r="D95" s="86"/>
      <c r="E95" s="155"/>
      <c r="F95" s="48"/>
      <c r="G95" s="69"/>
      <c r="H95" s="50" cm="1">
        <f t="array" ref="H95">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95" s="69"/>
    </row>
    <row r="96" spans="4:11" ht="20.100000000000001" customHeight="1" x14ac:dyDescent="0.25">
      <c r="D96" s="86"/>
      <c r="E96" s="155"/>
      <c r="F96" s="48"/>
      <c r="G96" s="69"/>
      <c r="H96" s="50" cm="1">
        <f t="array" ref="H96">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96" s="69"/>
    </row>
    <row r="97" spans="4:9" ht="20.100000000000001" customHeight="1" x14ac:dyDescent="0.25">
      <c r="D97" s="86"/>
      <c r="E97" s="155"/>
      <c r="F97" s="48"/>
      <c r="G97" s="69"/>
      <c r="H97" s="50" cm="1">
        <f t="array" ref="H97">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97" s="69"/>
    </row>
    <row r="98" spans="4:9" ht="20.100000000000001" customHeight="1" x14ac:dyDescent="0.25">
      <c r="D98" s="86"/>
      <c r="E98" s="155"/>
      <c r="F98" s="48"/>
      <c r="G98" s="69"/>
      <c r="H98" s="50" cm="1">
        <f t="array" ref="H98">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98" s="69"/>
    </row>
    <row r="99" spans="4:9" ht="20.100000000000001" customHeight="1" x14ac:dyDescent="0.25">
      <c r="D99" s="86"/>
      <c r="E99" s="155"/>
      <c r="F99" s="48"/>
      <c r="G99" s="69"/>
      <c r="H99" s="50" cm="1">
        <f t="array" ref="H99">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99" s="69"/>
    </row>
    <row r="100" spans="4:9" ht="20.100000000000001" customHeight="1" x14ac:dyDescent="0.25">
      <c r="D100" s="86"/>
      <c r="E100" s="155"/>
      <c r="F100" s="48"/>
      <c r="G100" s="69"/>
      <c r="H100" s="50" cm="1">
        <f t="array" ref="H100">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100" s="69"/>
    </row>
    <row r="101" spans="4:9" ht="20.100000000000001" customHeight="1" x14ac:dyDescent="0.25"/>
    <row r="102" spans="4:9" ht="20.100000000000001" customHeight="1" x14ac:dyDescent="0.25">
      <c r="D102" s="150" t="s">
        <v>552</v>
      </c>
    </row>
    <row r="103" spans="4:9" ht="20.100000000000001" customHeight="1" x14ac:dyDescent="0.25">
      <c r="D103" s="168" t="s">
        <v>363</v>
      </c>
      <c r="E103" s="168" t="s">
        <v>326</v>
      </c>
      <c r="F103" s="168" t="s">
        <v>327</v>
      </c>
      <c r="G103" s="168" t="s">
        <v>436</v>
      </c>
      <c r="H103" s="168" t="s">
        <v>437</v>
      </c>
    </row>
    <row r="104" spans="4:9" ht="20.100000000000001" customHeight="1" x14ac:dyDescent="0.25">
      <c r="D104" s="86" t="s">
        <v>575</v>
      </c>
      <c r="E104" s="48" t="s">
        <v>576</v>
      </c>
      <c r="F104" s="69">
        <v>100</v>
      </c>
      <c r="G104" s="50" cm="1">
        <f t="array" ref="G104">Common_InputFunctions.Utility_LookupValueInTableNumber(Table_Input_LivestockPurchases_Pigs[[#This Row],[Class (select)]], Table_SourceData_Swine_Liveweight[Livestock type j],Table_SourceData_Swine_Liveweight[Average liveweight (kg)])</f>
        <v>188</v>
      </c>
      <c r="H104" s="69">
        <v>180</v>
      </c>
    </row>
    <row r="105" spans="4:9" ht="20.100000000000001" customHeight="1" x14ac:dyDescent="0.25">
      <c r="D105" s="86" t="s">
        <v>578</v>
      </c>
      <c r="E105" s="155" t="s">
        <v>577</v>
      </c>
      <c r="F105" s="69">
        <v>100</v>
      </c>
      <c r="G105" s="50" cm="1">
        <f t="array" ref="G105">Common_InputFunctions.Utility_LookupValueInTableNumber(Table_Input_LivestockPurchases_Pigs[[#This Row],[Class (select)]], Table_SourceData_Swine_Liveweight[Livestock type j],Table_SourceData_Swine_Liveweight[Average liveweight (kg)])</f>
        <v>39</v>
      </c>
      <c r="H105" s="69">
        <v>38</v>
      </c>
    </row>
    <row r="106" spans="4:9" ht="20.100000000000001" customHeight="1" x14ac:dyDescent="0.25">
      <c r="D106" s="86"/>
      <c r="E106" s="155"/>
      <c r="F106" s="69"/>
      <c r="G106" s="50" cm="1">
        <f t="array" ref="G106">Common_InputFunctions.Utility_LookupValueInTableNumber(Table_Input_LivestockPurchases_Pigs[[#This Row],[Class (select)]], Table_SourceData_Swine_Liveweight[Livestock type j],Table_SourceData_Swine_Liveweight[Average liveweight (kg)])</f>
        <v>0</v>
      </c>
      <c r="H106" s="69"/>
    </row>
    <row r="107" spans="4:9" ht="20.100000000000001" customHeight="1" x14ac:dyDescent="0.25">
      <c r="D107" s="86"/>
      <c r="E107" s="155"/>
      <c r="F107" s="69"/>
      <c r="G107" s="50" cm="1">
        <f t="array" ref="G107">Common_InputFunctions.Utility_LookupValueInTableNumber(Table_Input_LivestockPurchases_Pigs[[#This Row],[Class (select)]], Table_SourceData_Swine_Liveweight[Livestock type j],Table_SourceData_Swine_Liveweight[Average liveweight (kg)])</f>
        <v>0</v>
      </c>
      <c r="H107" s="69"/>
    </row>
    <row r="108" spans="4:9" ht="20.100000000000001" customHeight="1" x14ac:dyDescent="0.25">
      <c r="D108" s="86"/>
      <c r="E108" s="155"/>
      <c r="F108" s="69"/>
      <c r="G108" s="50" cm="1">
        <f t="array" ref="G108">Common_InputFunctions.Utility_LookupValueInTableNumber(Table_Input_LivestockPurchases_Pigs[[#This Row],[Class (select)]], Table_SourceData_Swine_Liveweight[Livestock type j],Table_SourceData_Swine_Liveweight[Average liveweight (kg)])</f>
        <v>0</v>
      </c>
      <c r="H108" s="69"/>
    </row>
    <row r="109" spans="4:9" ht="20.100000000000001" customHeight="1" x14ac:dyDescent="0.25">
      <c r="D109" s="86"/>
      <c r="E109" s="155"/>
      <c r="F109" s="69"/>
      <c r="G109" s="50" cm="1">
        <f t="array" ref="G109">Common_InputFunctions.Utility_LookupValueInTableNumber(Table_Input_LivestockPurchases_Pigs[[#This Row],[Class (select)]], Table_SourceData_Swine_Liveweight[Livestock type j],Table_SourceData_Swine_Liveweight[Average liveweight (kg)])</f>
        <v>0</v>
      </c>
      <c r="H109" s="69"/>
    </row>
    <row r="110" spans="4:9" ht="20.100000000000001" customHeight="1" x14ac:dyDescent="0.25">
      <c r="D110" s="86"/>
      <c r="E110" s="155"/>
      <c r="F110" s="69"/>
      <c r="G110" s="50" cm="1">
        <f t="array" ref="G110">Common_InputFunctions.Utility_LookupValueInTableNumber(Table_Input_LivestockPurchases_Pigs[[#This Row],[Class (select)]], Table_SourceData_Swine_Liveweight[Livestock type j],Table_SourceData_Swine_Liveweight[Average liveweight (kg)])</f>
        <v>0</v>
      </c>
      <c r="H110" s="69"/>
    </row>
    <row r="111" spans="4:9" ht="20.100000000000001" customHeight="1" x14ac:dyDescent="0.25">
      <c r="D111" s="86"/>
      <c r="E111" s="155"/>
      <c r="F111" s="69"/>
      <c r="G111" s="50" cm="1">
        <f t="array" ref="G111">Common_InputFunctions.Utility_LookupValueInTableNumber(Table_Input_LivestockPurchases_Pigs[[#This Row],[Class (select)]], Table_SourceData_Swine_Liveweight[Livestock type j],Table_SourceData_Swine_Liveweight[Average liveweight (kg)])</f>
        <v>0</v>
      </c>
      <c r="H111" s="69"/>
    </row>
    <row r="112" spans="4:9" ht="20.100000000000001" customHeight="1" x14ac:dyDescent="0.25">
      <c r="D112" s="86"/>
      <c r="E112" s="155"/>
      <c r="F112" s="69"/>
      <c r="G112" s="50" cm="1">
        <f t="array" ref="G112">Common_InputFunctions.Utility_LookupValueInTableNumber(Table_Input_LivestockPurchases_Pigs[[#This Row],[Class (select)]], Table_SourceData_Swine_Liveweight[Livestock type j],Table_SourceData_Swine_Liveweight[Average liveweight (kg)])</f>
        <v>0</v>
      </c>
      <c r="H112" s="69"/>
    </row>
    <row r="113" spans="4:16" ht="20.100000000000001" customHeight="1" x14ac:dyDescent="0.25">
      <c r="D113" s="86"/>
      <c r="E113" s="155"/>
      <c r="F113" s="69"/>
      <c r="G113" s="50" cm="1">
        <f t="array" ref="G113">Common_InputFunctions.Utility_LookupValueInTableNumber(Table_Input_LivestockPurchases_Pigs[[#This Row],[Class (select)]], Table_SourceData_Swine_Liveweight[Livestock type j],Table_SourceData_Swine_Liveweight[Average liveweight (kg)])</f>
        <v>0</v>
      </c>
      <c r="H113" s="69"/>
      <c r="L113" s="7"/>
      <c r="M113" s="7"/>
      <c r="N113" s="7"/>
      <c r="O113" s="7"/>
      <c r="P113" s="7"/>
    </row>
    <row r="114" spans="4:16" ht="20.100000000000001" customHeight="1" x14ac:dyDescent="0.25">
      <c r="L114" s="7"/>
      <c r="M114" s="7"/>
      <c r="N114" s="7"/>
      <c r="O114" s="7"/>
      <c r="P114" s="7"/>
    </row>
    <row r="115" spans="4:16" ht="20.100000000000001" customHeight="1" x14ac:dyDescent="0.25">
      <c r="D115" s="150" t="s">
        <v>580</v>
      </c>
      <c r="L115" s="7"/>
      <c r="M115" s="7"/>
      <c r="N115" s="7"/>
      <c r="O115" s="7"/>
      <c r="P115" s="7"/>
    </row>
    <row r="116" spans="4:16" ht="20.100000000000001" customHeight="1" x14ac:dyDescent="0.25">
      <c r="D116" s="168" t="s">
        <v>363</v>
      </c>
      <c r="E116" s="168" t="s">
        <v>326</v>
      </c>
      <c r="F116" s="168" t="s">
        <v>327</v>
      </c>
      <c r="G116" s="168" t="s">
        <v>436</v>
      </c>
      <c r="H116" s="168" t="s">
        <v>437</v>
      </c>
      <c r="N116" s="7"/>
      <c r="O116" s="7"/>
      <c r="P116" s="7"/>
    </row>
    <row r="117" spans="4:16" ht="20.100000000000001" customHeight="1" x14ac:dyDescent="0.25">
      <c r="D117" s="86" t="s">
        <v>581</v>
      </c>
      <c r="E117" s="48" t="s">
        <v>609</v>
      </c>
      <c r="F117" s="69">
        <v>100</v>
      </c>
      <c r="G117" s="50" cm="1">
        <f t="array" ref="G117">Common_InputFunctions.Utility_LookupValueInTableNumber(Table_Input_LivestockPurchases_Poultry[[#This Row],[Class (select)]], Table_SourceData_Poultry_Liveweights[Livestock class j],Table_SourceData_Poultry_Liveweights[Average liveweight (kg)])</f>
        <v>1.3</v>
      </c>
      <c r="H117" s="69">
        <v>1.3</v>
      </c>
      <c r="N117" s="7"/>
      <c r="O117" s="7"/>
      <c r="P117" s="7"/>
    </row>
    <row r="118" spans="4:16" ht="20.100000000000001" customHeight="1" x14ac:dyDescent="0.25">
      <c r="D118" s="86" t="s">
        <v>582</v>
      </c>
      <c r="E118" s="155" t="s">
        <v>610</v>
      </c>
      <c r="F118" s="69">
        <v>100</v>
      </c>
      <c r="G118" s="50" cm="1">
        <f t="array" ref="G118">Common_InputFunctions.Utility_LookupValueInTableNumber(Table_Input_LivestockPurchases_Poultry[[#This Row],[Class (select)]], Table_SourceData_Poultry_Liveweights[Livestock class j],Table_SourceData_Poultry_Liveweights[Average liveweight (kg)])</f>
        <v>1.4</v>
      </c>
      <c r="H118" s="69">
        <v>1.4</v>
      </c>
      <c r="N118" s="9"/>
      <c r="O118" s="9"/>
      <c r="P118" s="7"/>
    </row>
    <row r="119" spans="4:16" ht="20.100000000000001" customHeight="1" x14ac:dyDescent="0.25">
      <c r="D119" s="86"/>
      <c r="E119" s="155"/>
      <c r="F119" s="69"/>
      <c r="G119" s="50" cm="1">
        <f t="array" ref="G119">Common_InputFunctions.Utility_LookupValueInTableNumber(Table_Input_LivestockPurchases_Poultry[[#This Row],[Class (select)]], Table_SourceData_Poultry_Liveweights[Livestock class j],Table_SourceData_Poultry_Liveweights[Average liveweight (kg)])</f>
        <v>0</v>
      </c>
      <c r="H119" s="69"/>
      <c r="P119" s="153"/>
    </row>
    <row r="120" spans="4:16" ht="20.100000000000001" customHeight="1" x14ac:dyDescent="0.25">
      <c r="D120" s="86"/>
      <c r="E120" s="155"/>
      <c r="F120" s="69"/>
      <c r="G120" s="50" cm="1">
        <f t="array" ref="G120">Common_InputFunctions.Utility_LookupValueInTableNumber(Table_Input_LivestockPurchases_Poultry[[#This Row],[Class (select)]], Table_SourceData_Poultry_Liveweights[Livestock class j],Table_SourceData_Poultry_Liveweights[Average liveweight (kg)])</f>
        <v>0</v>
      </c>
      <c r="H120" s="69"/>
      <c r="P120" s="153"/>
    </row>
    <row r="121" spans="4:16" ht="20.100000000000001" customHeight="1" x14ac:dyDescent="0.25">
      <c r="D121" s="86"/>
      <c r="E121" s="155"/>
      <c r="F121" s="69"/>
      <c r="G121" s="50" cm="1">
        <f t="array" ref="G121">Common_InputFunctions.Utility_LookupValueInTableNumber(Table_Input_LivestockPurchases_Poultry[[#This Row],[Class (select)]], Table_SourceData_Poultry_Liveweights[Livestock class j],Table_SourceData_Poultry_Liveweights[Average liveweight (kg)])</f>
        <v>0</v>
      </c>
      <c r="H121" s="69"/>
      <c r="P121" s="153"/>
    </row>
    <row r="122" spans="4:16" ht="20.100000000000001" customHeight="1" x14ac:dyDescent="0.25">
      <c r="D122" s="86"/>
      <c r="E122" s="155"/>
      <c r="F122" s="69"/>
      <c r="G122" s="50" cm="1">
        <f t="array" ref="G122">Common_InputFunctions.Utility_LookupValueInTableNumber(Table_Input_LivestockPurchases_Poultry[[#This Row],[Class (select)]], Table_SourceData_Poultry_Liveweights[Livestock class j],Table_SourceData_Poultry_Liveweights[Average liveweight (kg)])</f>
        <v>0</v>
      </c>
      <c r="H122" s="69"/>
      <c r="P122" s="153"/>
    </row>
    <row r="123" spans="4:16" ht="20.100000000000001" customHeight="1" x14ac:dyDescent="0.25">
      <c r="D123" s="86"/>
      <c r="E123" s="155"/>
      <c r="F123" s="69"/>
      <c r="G123" s="50" cm="1">
        <f t="array" ref="G123">Common_InputFunctions.Utility_LookupValueInTableNumber(Table_Input_LivestockPurchases_Poultry[[#This Row],[Class (select)]], Table_SourceData_Poultry_Liveweights[Livestock class j],Table_SourceData_Poultry_Liveweights[Average liveweight (kg)])</f>
        <v>0</v>
      </c>
      <c r="H123" s="69"/>
      <c r="P123" s="153"/>
    </row>
    <row r="124" spans="4:16" ht="20.100000000000001" customHeight="1" x14ac:dyDescent="0.25">
      <c r="D124" s="86"/>
      <c r="E124" s="155"/>
      <c r="F124" s="69"/>
      <c r="G124" s="50" cm="1">
        <f t="array" ref="G124">Common_InputFunctions.Utility_LookupValueInTableNumber(Table_Input_LivestockPurchases_Poultry[[#This Row],[Class (select)]], Table_SourceData_Poultry_Liveweights[Livestock class j],Table_SourceData_Poultry_Liveweights[Average liveweight (kg)])</f>
        <v>0</v>
      </c>
      <c r="H124" s="69"/>
      <c r="N124" s="7"/>
      <c r="O124" s="7"/>
      <c r="P124" s="7"/>
    </row>
    <row r="125" spans="4:16" ht="20.100000000000001" customHeight="1" x14ac:dyDescent="0.25">
      <c r="D125" s="86"/>
      <c r="E125" s="155"/>
      <c r="F125" s="69"/>
      <c r="G125" s="50" cm="1">
        <f t="array" ref="G125">Common_InputFunctions.Utility_LookupValueInTableNumber(Table_Input_LivestockPurchases_Poultry[[#This Row],[Class (select)]], Table_SourceData_Poultry_Liveweights[Livestock class j],Table_SourceData_Poultry_Liveweights[Average liveweight (kg)])</f>
        <v>0</v>
      </c>
      <c r="H125" s="69"/>
      <c r="N125" s="7"/>
      <c r="O125" s="7"/>
      <c r="P125" s="7"/>
    </row>
    <row r="126" spans="4:16" ht="20.100000000000001" customHeight="1" x14ac:dyDescent="0.25">
      <c r="D126" s="86"/>
      <c r="E126" s="155"/>
      <c r="F126" s="69"/>
      <c r="G126" s="50" cm="1">
        <f t="array" ref="G126">Common_InputFunctions.Utility_LookupValueInTableNumber(Table_Input_LivestockPurchases_Poultry[[#This Row],[Class (select)]], Table_SourceData_Poultry_Liveweights[Livestock class j],Table_SourceData_Poultry_Liveweights[Average liveweight (kg)])</f>
        <v>0</v>
      </c>
      <c r="H126" s="69"/>
    </row>
    <row r="127" spans="4:16" ht="20.100000000000001" customHeight="1" x14ac:dyDescent="0.25"/>
    <row r="128" spans="4:16" ht="20.100000000000001" customHeight="1" x14ac:dyDescent="0.25">
      <c r="D128" s="150" t="s">
        <v>623</v>
      </c>
    </row>
    <row r="129" spans="12:13" ht="20.100000000000001" customHeight="1" x14ac:dyDescent="0.25">
      <c r="L129" s="7"/>
      <c r="M129" s="7"/>
    </row>
    <row r="130" spans="12:13" ht="20.100000000000001" customHeight="1" x14ac:dyDescent="0.25">
      <c r="L130" s="7"/>
      <c r="M130" s="7"/>
    </row>
    <row r="131" spans="12:13" ht="20.100000000000001" customHeight="1" x14ac:dyDescent="0.25">
      <c r="L131" s="9"/>
      <c r="M131" s="9"/>
    </row>
    <row r="132" spans="12:13" ht="20.100000000000001" customHeight="1" x14ac:dyDescent="0.25"/>
    <row r="133" spans="12:13" ht="20.100000000000001" customHeight="1" x14ac:dyDescent="0.25"/>
    <row r="134" spans="12:13" ht="20.100000000000001" customHeight="1" x14ac:dyDescent="0.25"/>
    <row r="135" spans="12:13" ht="20.100000000000001" customHeight="1" x14ac:dyDescent="0.25"/>
    <row r="136" spans="12:13" ht="20.100000000000001" customHeight="1" x14ac:dyDescent="0.25"/>
    <row r="137" spans="12:13" ht="20.100000000000001" customHeight="1" x14ac:dyDescent="0.25">
      <c r="L137" s="7"/>
      <c r="M137" s="7"/>
    </row>
    <row r="138" spans="12:13" ht="20.100000000000001" customHeight="1" x14ac:dyDescent="0.25">
      <c r="L138" s="7"/>
      <c r="M138" s="7"/>
    </row>
    <row r="139" spans="12:13" ht="20.100000000000001" customHeight="1" x14ac:dyDescent="0.25"/>
    <row r="140" spans="12:13" ht="20.100000000000001" customHeight="1" x14ac:dyDescent="0.25"/>
    <row r="141" spans="12:13" ht="20.100000000000001" customHeight="1" x14ac:dyDescent="0.25"/>
    <row r="142" spans="12:13" ht="20.100000000000001" customHeight="1" x14ac:dyDescent="0.25"/>
    <row r="143" spans="12:13" ht="20.100000000000001" customHeight="1" x14ac:dyDescent="0.25"/>
    <row r="144" spans="12:13" ht="20.100000000000001" customHeight="1" x14ac:dyDescent="0.25"/>
    <row r="145" spans="4:7" ht="20.100000000000001" customHeight="1" x14ac:dyDescent="0.25"/>
    <row r="146" spans="4:7" ht="20.100000000000001" customHeight="1" x14ac:dyDescent="0.25"/>
    <row r="147" spans="4:7" ht="20.100000000000001" customHeight="1" x14ac:dyDescent="0.25"/>
    <row r="148" spans="4:7" ht="20.100000000000001" customHeight="1" x14ac:dyDescent="0.25">
      <c r="D148" s="9" t="s">
        <v>618</v>
      </c>
    </row>
    <row r="149" spans="4:7" ht="20.100000000000001" customHeight="1" x14ac:dyDescent="0.25">
      <c r="D149" s="12"/>
    </row>
    <row r="150" spans="4:7" ht="20.100000000000001" customHeight="1" x14ac:dyDescent="0.25">
      <c r="D150" s="170" t="s">
        <v>619</v>
      </c>
      <c r="E150" s="170" t="s">
        <v>629</v>
      </c>
      <c r="F150" s="170" t="s">
        <v>624</v>
      </c>
      <c r="G150" s="170" t="s">
        <v>126</v>
      </c>
    </row>
    <row r="151" spans="4:7" ht="20.100000000000001" customHeight="1" x14ac:dyDescent="0.25">
      <c r="D151" s="86" t="s">
        <v>620</v>
      </c>
      <c r="E151" s="86" t="s">
        <v>621</v>
      </c>
      <c r="F151" s="69">
        <v>10000</v>
      </c>
      <c r="G151" s="48" t="s">
        <v>626</v>
      </c>
    </row>
    <row r="152" spans="4:7" ht="20.100000000000001" customHeight="1" x14ac:dyDescent="0.25">
      <c r="D152" s="86" t="s">
        <v>622</v>
      </c>
      <c r="E152" s="86" t="s">
        <v>628</v>
      </c>
      <c r="F152" s="69">
        <v>1000</v>
      </c>
      <c r="G152" s="48" t="s">
        <v>627</v>
      </c>
    </row>
    <row r="153" spans="4:7" ht="20.100000000000001" customHeight="1" x14ac:dyDescent="0.25">
      <c r="D153" s="86"/>
      <c r="E153" s="86"/>
      <c r="F153" s="69"/>
      <c r="G153" s="48"/>
    </row>
    <row r="154" spans="4:7" ht="20.100000000000001" customHeight="1" x14ac:dyDescent="0.25">
      <c r="D154" s="86"/>
      <c r="E154" s="86"/>
      <c r="F154" s="69"/>
      <c r="G154" s="48"/>
    </row>
    <row r="155" spans="4:7" ht="20.100000000000001" customHeight="1" x14ac:dyDescent="0.25">
      <c r="D155" s="86"/>
      <c r="E155" s="86"/>
      <c r="F155" s="69"/>
      <c r="G155" s="48"/>
    </row>
    <row r="156" spans="4:7" ht="20.100000000000001" customHeight="1" x14ac:dyDescent="0.25">
      <c r="D156" s="86"/>
      <c r="E156" s="86"/>
      <c r="F156" s="69"/>
      <c r="G156" s="48"/>
    </row>
    <row r="157" spans="4:7" ht="20.100000000000001" customHeight="1" x14ac:dyDescent="0.25">
      <c r="D157" s="86"/>
      <c r="E157" s="86"/>
      <c r="F157" s="69"/>
      <c r="G157" s="48"/>
    </row>
    <row r="158" spans="4:7" ht="20.100000000000001" customHeight="1" x14ac:dyDescent="0.25">
      <c r="D158" s="86"/>
      <c r="E158" s="86"/>
      <c r="F158" s="69"/>
      <c r="G158" s="48"/>
    </row>
    <row r="159" spans="4:7" ht="20.100000000000001" customHeight="1" x14ac:dyDescent="0.25">
      <c r="D159" s="86"/>
      <c r="E159" s="86"/>
      <c r="F159" s="69"/>
      <c r="G159" s="48"/>
    </row>
    <row r="160" spans="4:7" ht="20.100000000000001" customHeight="1" x14ac:dyDescent="0.25">
      <c r="D160" s="86"/>
      <c r="E160" s="86"/>
      <c r="F160" s="69"/>
      <c r="G160" s="48"/>
    </row>
    <row r="161" spans="4:19" ht="20.100000000000001" customHeight="1" x14ac:dyDescent="0.25"/>
    <row r="162" spans="4:19" ht="20.100000000000001" customHeight="1" x14ac:dyDescent="0.25"/>
    <row r="163" spans="4:19" ht="20.100000000000001" customHeight="1" x14ac:dyDescent="0.25">
      <c r="D163" s="9" t="s">
        <v>371</v>
      </c>
    </row>
    <row r="164" spans="4:19" ht="20.100000000000001" customHeight="1" x14ac:dyDescent="0.25"/>
    <row r="165" spans="4:19" ht="20.100000000000001" customHeight="1" x14ac:dyDescent="0.25">
      <c r="D165" s="95" t="s">
        <v>289</v>
      </c>
      <c r="E165" s="95" t="s">
        <v>290</v>
      </c>
      <c r="F165" s="95" t="s">
        <v>414</v>
      </c>
      <c r="G165" s="95" t="s">
        <v>415</v>
      </c>
      <c r="H165" s="95" t="s">
        <v>613</v>
      </c>
      <c r="J165" s="7"/>
      <c r="S165" s="3"/>
    </row>
    <row r="166" spans="4:19" ht="20.100000000000001" customHeight="1" x14ac:dyDescent="0.25">
      <c r="D166" s="149" t="s">
        <v>416</v>
      </c>
      <c r="E166" s="69">
        <v>100000</v>
      </c>
      <c r="F166" s="48" t="s">
        <v>417</v>
      </c>
      <c r="G166" s="69">
        <v>0.02</v>
      </c>
      <c r="H166" s="50">
        <f>Table_Input_Packaging[[#This Row],[Quantity purchased]]*Table_Input_Packaging[[#This Row],[Weight per unit (kg)]]</f>
        <v>2000</v>
      </c>
      <c r="J166" s="7"/>
      <c r="S166" s="3"/>
    </row>
    <row r="167" spans="4:19" ht="20.100000000000001" customHeight="1" x14ac:dyDescent="0.25">
      <c r="D167" s="149"/>
      <c r="E167" s="171"/>
      <c r="F167" s="48"/>
      <c r="G167" s="69"/>
      <c r="H167" s="50">
        <f>Table_Input_Packaging[[#This Row],[Quantity purchased]]*Table_Input_Packaging[[#This Row],[Weight per unit (kg)]]</f>
        <v>0</v>
      </c>
      <c r="J167" s="7"/>
      <c r="S167" s="3"/>
    </row>
    <row r="168" spans="4:19" ht="20.100000000000001" customHeight="1" x14ac:dyDescent="0.25">
      <c r="D168" s="149"/>
      <c r="E168" s="171"/>
      <c r="F168" s="48"/>
      <c r="G168" s="69"/>
      <c r="H168" s="50">
        <f>Table_Input_Packaging[[#This Row],[Quantity purchased]]*Table_Input_Packaging[[#This Row],[Weight per unit (kg)]]</f>
        <v>0</v>
      </c>
      <c r="J168" s="7"/>
      <c r="S168" s="3"/>
    </row>
    <row r="169" spans="4:19" ht="20.100000000000001" customHeight="1" x14ac:dyDescent="0.25">
      <c r="D169" s="149"/>
      <c r="E169" s="171"/>
      <c r="F169" s="48"/>
      <c r="G169" s="69"/>
      <c r="H169" s="50">
        <f>Table_Input_Packaging[[#This Row],[Quantity purchased]]*Table_Input_Packaging[[#This Row],[Weight per unit (kg)]]</f>
        <v>0</v>
      </c>
      <c r="J169" s="7"/>
      <c r="S169" s="3"/>
    </row>
    <row r="170" spans="4:19" ht="20.100000000000001" customHeight="1" x14ac:dyDescent="0.25">
      <c r="D170" s="149"/>
      <c r="E170" s="171"/>
      <c r="F170" s="48"/>
      <c r="G170" s="69"/>
      <c r="H170" s="50">
        <f>Table_Input_Packaging[[#This Row],[Quantity purchased]]*Table_Input_Packaging[[#This Row],[Weight per unit (kg)]]</f>
        <v>0</v>
      </c>
      <c r="J170" s="9"/>
      <c r="S170" s="3"/>
    </row>
    <row r="171" spans="4:19" ht="20.100000000000001" customHeight="1" x14ac:dyDescent="0.25">
      <c r="D171" s="149"/>
      <c r="E171" s="171"/>
      <c r="F171" s="48"/>
      <c r="G171" s="69"/>
      <c r="H171" s="50">
        <f>Table_Input_Packaging[[#This Row],[Quantity purchased]]*Table_Input_Packaging[[#This Row],[Weight per unit (kg)]]</f>
        <v>0</v>
      </c>
      <c r="J171" s="8"/>
      <c r="S171" s="3"/>
    </row>
    <row r="172" spans="4:19" ht="20.100000000000001" customHeight="1" x14ac:dyDescent="0.25">
      <c r="D172" s="149"/>
      <c r="E172" s="171"/>
      <c r="F172" s="48"/>
      <c r="G172" s="69"/>
      <c r="H172" s="50">
        <f>Table_Input_Packaging[[#This Row],[Quantity purchased]]*Table_Input_Packaging[[#This Row],[Weight per unit (kg)]]</f>
        <v>0</v>
      </c>
      <c r="J172" s="8"/>
      <c r="S172" s="3"/>
    </row>
    <row r="173" spans="4:19" ht="20.100000000000001" customHeight="1" x14ac:dyDescent="0.25">
      <c r="D173" s="149"/>
      <c r="E173" s="171"/>
      <c r="F173" s="48"/>
      <c r="G173" s="69"/>
      <c r="H173" s="50">
        <f>Table_Input_Packaging[[#This Row],[Quantity purchased]]*Table_Input_Packaging[[#This Row],[Weight per unit (kg)]]</f>
        <v>0</v>
      </c>
      <c r="J173" s="8"/>
      <c r="S173" s="3"/>
    </row>
    <row r="174" spans="4:19" ht="20.100000000000001" customHeight="1" x14ac:dyDescent="0.25">
      <c r="D174" s="149"/>
      <c r="E174" s="171"/>
      <c r="F174" s="48"/>
      <c r="G174" s="69"/>
      <c r="H174" s="50">
        <f>Table_Input_Packaging[[#This Row],[Quantity purchased]]*Table_Input_Packaging[[#This Row],[Weight per unit (kg)]]</f>
        <v>0</v>
      </c>
      <c r="J174" s="8"/>
      <c r="S174" s="3"/>
    </row>
    <row r="175" spans="4:19" ht="20.100000000000001" customHeight="1" x14ac:dyDescent="0.25">
      <c r="D175" s="149"/>
      <c r="E175" s="171"/>
      <c r="F175" s="48"/>
      <c r="G175" s="69"/>
      <c r="H175" s="50">
        <f>Table_Input_Packaging[[#This Row],[Quantity purchased]]*Table_Input_Packaging[[#This Row],[Weight per unit (kg)]]</f>
        <v>0</v>
      </c>
      <c r="J175" s="8"/>
      <c r="S175" s="3"/>
    </row>
    <row r="176" spans="4:19" ht="20.100000000000001" customHeight="1" x14ac:dyDescent="0.25">
      <c r="K176" s="7"/>
    </row>
    <row r="177" spans="4:19" ht="20.100000000000001" customHeight="1" x14ac:dyDescent="0.25">
      <c r="K177" s="7"/>
    </row>
    <row r="178" spans="4:19" ht="20.100000000000001" customHeight="1" x14ac:dyDescent="0.25">
      <c r="D178" s="9" t="s">
        <v>709</v>
      </c>
    </row>
    <row r="179" spans="4:19" ht="20.100000000000001" customHeight="1" x14ac:dyDescent="0.25">
      <c r="D179" s="12"/>
    </row>
    <row r="180" spans="4:19" ht="20.100000000000001" customHeight="1" x14ac:dyDescent="0.25">
      <c r="D180" s="170" t="s">
        <v>710</v>
      </c>
      <c r="E180" s="170" t="s">
        <v>624</v>
      </c>
      <c r="F180" s="170" t="s">
        <v>126</v>
      </c>
      <c r="J180" s="8"/>
      <c r="S180" s="3"/>
    </row>
    <row r="181" spans="4:19" ht="20.100000000000001" customHeight="1" x14ac:dyDescent="0.25">
      <c r="D181" s="86" t="s">
        <v>712</v>
      </c>
      <c r="E181" s="69">
        <v>10000</v>
      </c>
      <c r="F181" s="48" t="s">
        <v>354</v>
      </c>
      <c r="J181" s="8"/>
      <c r="S181" s="3"/>
    </row>
    <row r="182" spans="4:19" ht="20.100000000000001" customHeight="1" x14ac:dyDescent="0.25">
      <c r="D182" s="86" t="s">
        <v>713</v>
      </c>
      <c r="E182" s="69">
        <v>100</v>
      </c>
      <c r="F182" s="48" t="s">
        <v>711</v>
      </c>
      <c r="J182" s="8"/>
      <c r="S182" s="3"/>
    </row>
    <row r="183" spans="4:19" ht="20.100000000000001" customHeight="1" x14ac:dyDescent="0.25">
      <c r="D183" s="86" t="s">
        <v>714</v>
      </c>
      <c r="E183" s="69">
        <v>10000</v>
      </c>
      <c r="F183" s="48" t="s">
        <v>354</v>
      </c>
      <c r="J183" s="8"/>
      <c r="S183" s="3"/>
    </row>
    <row r="184" spans="4:19" ht="20.100000000000001" customHeight="1" x14ac:dyDescent="0.25">
      <c r="D184" s="86"/>
      <c r="E184" s="69"/>
      <c r="F184" s="48"/>
      <c r="J184" s="8"/>
      <c r="S184" s="3"/>
    </row>
    <row r="185" spans="4:19" ht="20.100000000000001" customHeight="1" x14ac:dyDescent="0.25">
      <c r="D185" s="86"/>
      <c r="E185" s="69"/>
      <c r="F185" s="48"/>
      <c r="J185" s="8"/>
      <c r="S185" s="3"/>
    </row>
    <row r="186" spans="4:19" ht="20.100000000000001" customHeight="1" x14ac:dyDescent="0.25">
      <c r="D186" s="86"/>
      <c r="E186" s="69"/>
      <c r="F186" s="48"/>
      <c r="J186" s="8"/>
      <c r="S186" s="3"/>
    </row>
    <row r="187" spans="4:19" ht="20.100000000000001" customHeight="1" x14ac:dyDescent="0.25">
      <c r="D187" s="86"/>
      <c r="E187" s="69"/>
      <c r="F187" s="48"/>
      <c r="J187" s="8"/>
      <c r="S187" s="3"/>
    </row>
    <row r="188" spans="4:19" ht="20.100000000000001" customHeight="1" x14ac:dyDescent="0.25">
      <c r="D188" s="86"/>
      <c r="E188" s="69"/>
      <c r="F188" s="48"/>
      <c r="J188" s="8"/>
      <c r="S188" s="3"/>
    </row>
    <row r="189" spans="4:19" ht="20.100000000000001" customHeight="1" x14ac:dyDescent="0.25">
      <c r="D189" s="86"/>
      <c r="E189" s="69"/>
      <c r="F189" s="48"/>
      <c r="I189" s="7"/>
      <c r="J189" s="8"/>
      <c r="S189" s="3"/>
    </row>
    <row r="190" spans="4:19" ht="20.100000000000001" customHeight="1" x14ac:dyDescent="0.25">
      <c r="D190" s="86"/>
      <c r="E190" s="69"/>
      <c r="F190" s="48"/>
      <c r="I190" s="7"/>
      <c r="J190" s="8"/>
      <c r="S190" s="3"/>
    </row>
    <row r="191" spans="4:19" ht="20.100000000000001" customHeight="1" x14ac:dyDescent="0.25">
      <c r="J191" s="7"/>
    </row>
    <row r="192" spans="4:19" ht="20.100000000000001" customHeight="1" x14ac:dyDescent="0.25">
      <c r="J192" s="7"/>
    </row>
    <row r="193" spans="4:10" ht="20.100000000000001" customHeight="1" x14ac:dyDescent="0.25">
      <c r="D193" s="9" t="s">
        <v>420</v>
      </c>
      <c r="J193" s="7"/>
    </row>
    <row r="194" spans="4:10" ht="20.100000000000001" customHeight="1" x14ac:dyDescent="0.25">
      <c r="D194" s="8" t="str">
        <f>'Constants - Scope 3'!E204</f>
        <v>Barley grain (for seed)</v>
      </c>
      <c r="E194" s="69">
        <v>500</v>
      </c>
      <c r="F194" s="68" t="s">
        <v>354</v>
      </c>
      <c r="J194" s="9"/>
    </row>
    <row r="195" spans="4:10" ht="20.100000000000001" customHeight="1" x14ac:dyDescent="0.25">
      <c r="D195" s="8" t="str">
        <f>'Constants - Scope 3'!E205</f>
        <v>Maize grain (for seed)</v>
      </c>
      <c r="E195" s="69">
        <v>600</v>
      </c>
      <c r="F195" s="68" t="s">
        <v>354</v>
      </c>
      <c r="G195" s="7"/>
      <c r="H195" s="8"/>
      <c r="J195" s="8"/>
    </row>
    <row r="196" spans="4:10" ht="20.100000000000001" customHeight="1" x14ac:dyDescent="0.25">
      <c r="D196" s="8" t="str">
        <f>'Constants - Scope 3'!E207</f>
        <v>Oat grain (for seed)</v>
      </c>
      <c r="E196" s="69">
        <v>700</v>
      </c>
      <c r="F196" s="68" t="s">
        <v>354</v>
      </c>
      <c r="G196" s="7"/>
      <c r="H196" s="8"/>
      <c r="J196" s="8"/>
    </row>
    <row r="197" spans="4:10" ht="20.100000000000001" customHeight="1" x14ac:dyDescent="0.25">
      <c r="D197" s="8" t="str">
        <f>'Constants - Scope 3'!E208</f>
        <v>Sorghum grain (for seed)</v>
      </c>
      <c r="E197" s="69">
        <v>800</v>
      </c>
      <c r="F197" s="68" t="s">
        <v>354</v>
      </c>
      <c r="G197" s="7"/>
      <c r="H197" s="7"/>
      <c r="J197" s="8"/>
    </row>
    <row r="198" spans="4:10" ht="20.100000000000001" customHeight="1" x14ac:dyDescent="0.25">
      <c r="D198" s="8" t="str">
        <f>'Constants - Scope 3'!E209</f>
        <v>Wheat grain (for seed)</v>
      </c>
      <c r="E198" s="69">
        <v>900</v>
      </c>
      <c r="F198" s="68" t="s">
        <v>354</v>
      </c>
      <c r="G198" s="7"/>
      <c r="H198" s="7"/>
      <c r="I198" s="7"/>
      <c r="J198" s="8"/>
    </row>
    <row r="199" spans="4:10" ht="20.100000000000001" customHeight="1" x14ac:dyDescent="0.25">
      <c r="G199" s="7"/>
      <c r="I199" s="7"/>
      <c r="J199" s="8"/>
    </row>
    <row r="200" spans="4:10" ht="20.100000000000001" customHeight="1" x14ac:dyDescent="0.25">
      <c r="D200" s="9" t="s">
        <v>426</v>
      </c>
      <c r="G200" s="8"/>
      <c r="I200" s="7"/>
      <c r="J200" s="7"/>
    </row>
    <row r="201" spans="4:10" ht="20.100000000000001" customHeight="1" x14ac:dyDescent="0.25">
      <c r="D201" s="8" t="str">
        <f>'Constants - Scope 3'!E202</f>
        <v>Animal ear tags (large)</v>
      </c>
      <c r="E201" s="69">
        <v>100</v>
      </c>
      <c r="F201" s="68" t="s">
        <v>413</v>
      </c>
      <c r="G201" s="8"/>
      <c r="I201" s="7"/>
      <c r="J201" s="7"/>
    </row>
    <row r="202" spans="4:10" ht="20.100000000000001" customHeight="1" x14ac:dyDescent="0.25">
      <c r="D202" s="8" t="str">
        <f>'Constants - Scope 3'!E203</f>
        <v>Animal ear tags (small)</v>
      </c>
      <c r="E202" s="69">
        <v>200</v>
      </c>
      <c r="F202" s="68" t="s">
        <v>413</v>
      </c>
      <c r="G202" s="8"/>
      <c r="I202" s="7"/>
    </row>
    <row r="203" spans="4:10" ht="20.100000000000001" customHeight="1" x14ac:dyDescent="0.25">
      <c r="D203" s="8" t="str">
        <f>'Constants - Scope 3'!E206</f>
        <v>Nylon netting</v>
      </c>
      <c r="E203" s="69">
        <v>300</v>
      </c>
      <c r="F203" s="68" t="s">
        <v>354</v>
      </c>
      <c r="G203" s="8"/>
      <c r="I203" s="7"/>
    </row>
    <row r="204" spans="4:10" ht="20.100000000000001" customHeight="1" x14ac:dyDescent="0.25">
      <c r="G204" s="8"/>
      <c r="I204" s="8"/>
    </row>
    <row r="205" spans="4:10" ht="20.100000000000001" customHeight="1" x14ac:dyDescent="0.25">
      <c r="G205" s="7"/>
      <c r="I205" s="8"/>
    </row>
    <row r="206" spans="4:10" ht="20.100000000000001" customHeight="1" x14ac:dyDescent="0.25">
      <c r="D206" s="9" t="s">
        <v>617</v>
      </c>
      <c r="G206" s="7"/>
      <c r="I206" s="8"/>
    </row>
    <row r="207" spans="4:10" ht="20.100000000000001" customHeight="1" x14ac:dyDescent="0.25">
      <c r="D207" s="12"/>
      <c r="I207" s="8"/>
    </row>
    <row r="208" spans="4:10" ht="20.100000000000001" customHeight="1" x14ac:dyDescent="0.25">
      <c r="D208" s="47" t="s">
        <v>612</v>
      </c>
      <c r="E208" s="47" t="s">
        <v>611</v>
      </c>
      <c r="F208" s="47" t="s">
        <v>126</v>
      </c>
      <c r="I208" s="8"/>
    </row>
    <row r="209" spans="4:9" ht="20.100000000000001" customHeight="1" x14ac:dyDescent="0.25">
      <c r="D209" s="86" t="s">
        <v>715</v>
      </c>
      <c r="E209" s="69">
        <v>1000</v>
      </c>
      <c r="F209" s="86" t="s">
        <v>354</v>
      </c>
      <c r="I209" s="7"/>
    </row>
    <row r="210" spans="4:9" ht="20.100000000000001" customHeight="1" x14ac:dyDescent="0.25">
      <c r="D210" s="86"/>
      <c r="E210" s="69"/>
      <c r="F210" s="86"/>
      <c r="I210" s="7"/>
    </row>
    <row r="211" spans="4:9" ht="20.100000000000001" customHeight="1" x14ac:dyDescent="0.25">
      <c r="D211" s="86"/>
      <c r="E211" s="69"/>
      <c r="F211" s="86"/>
    </row>
    <row r="212" spans="4:9" ht="20.100000000000001" customHeight="1" x14ac:dyDescent="0.25">
      <c r="D212" s="86"/>
      <c r="E212" s="69"/>
      <c r="F212" s="86"/>
    </row>
    <row r="213" spans="4:9" ht="20.100000000000001" customHeight="1" x14ac:dyDescent="0.25">
      <c r="D213" s="86"/>
      <c r="E213" s="69"/>
      <c r="F213" s="86"/>
    </row>
    <row r="214" spans="4:9" ht="20.100000000000001" customHeight="1" x14ac:dyDescent="0.25">
      <c r="D214" s="86"/>
      <c r="E214" s="69"/>
      <c r="F214" s="86"/>
    </row>
    <row r="215" spans="4:9" ht="20.100000000000001" customHeight="1" x14ac:dyDescent="0.25">
      <c r="D215" s="86"/>
      <c r="E215" s="69"/>
      <c r="F215" s="86"/>
    </row>
    <row r="216" spans="4:9" ht="20.100000000000001" customHeight="1" x14ac:dyDescent="0.25">
      <c r="D216" s="86"/>
      <c r="E216" s="69"/>
      <c r="F216" s="86"/>
    </row>
    <row r="217" spans="4:9" ht="20.100000000000001" customHeight="1" x14ac:dyDescent="0.25">
      <c r="D217" s="86"/>
      <c r="E217" s="69"/>
      <c r="F217" s="86"/>
    </row>
    <row r="218" spans="4:9" ht="20.100000000000001" customHeight="1" x14ac:dyDescent="0.25">
      <c r="D218" s="86"/>
      <c r="E218" s="69"/>
      <c r="F218" s="86"/>
    </row>
    <row r="219" spans="4:9" ht="20.100000000000001" customHeight="1" x14ac:dyDescent="0.25"/>
    <row r="220" spans="4:9" ht="20.100000000000001" customHeight="1" x14ac:dyDescent="0.25"/>
    <row r="221" spans="4:9" ht="20.100000000000001" customHeight="1" x14ac:dyDescent="0.25"/>
    <row r="222" spans="4:9" ht="20.100000000000001" customHeight="1" x14ac:dyDescent="0.25"/>
    <row r="223" spans="4:9" ht="20.100000000000001" customHeight="1" x14ac:dyDescent="0.25"/>
    <row r="224" spans="4:9" ht="20.100000000000001" customHeight="1" x14ac:dyDescent="0.25"/>
    <row r="225" ht="20.100000000000001" customHeight="1" x14ac:dyDescent="0.25"/>
    <row r="226" ht="20.100000000000001" customHeight="1" x14ac:dyDescent="0.25"/>
    <row r="227" ht="20.100000000000001" customHeight="1" x14ac:dyDescent="0.25"/>
  </sheetData>
  <phoneticPr fontId="54" type="noConversion"/>
  <dataValidations count="18">
    <dataValidation type="list" allowBlank="1" showInputMessage="1" showErrorMessage="1" sqref="E24:E33" xr:uid="{C432D3D7-90B5-49EB-9686-44E33AA46DF7}">
      <formula1>INDIRECT("Table_SourceData_Scope3_ChemicalsCleaning[Product]")</formula1>
    </dataValidation>
    <dataValidation type="list" allowBlank="1" showInputMessage="1" showErrorMessage="1" sqref="F166:F175" xr:uid="{C1194F4C-B4BA-4C6C-9335-96226E3C874D}">
      <formula1>INDIRECT("Table_SourceData_Scope3_Packaging[Product]")</formula1>
    </dataValidation>
    <dataValidation type="list" allowBlank="1" showInputMessage="1" showErrorMessage="1" sqref="J11:J20 M11:M20 P11:P20" xr:uid="{4EB7609B-9081-416E-B296-83CB5579804F}">
      <formula1>INDIRECT("Table_SourceData_Scope3_Pesticides[Product]")</formula1>
    </dataValidation>
    <dataValidation type="list" allowBlank="1" showInputMessage="1" showErrorMessage="1" sqref="I11:I20" xr:uid="{8108ECDB-1F4C-43F2-85A5-19117852A987}">
      <formula1>"grams/litre or grams/kg, fraction of product"</formula1>
    </dataValidation>
    <dataValidation type="list" allowBlank="1" showInputMessage="1" showErrorMessage="1" sqref="F11:F20" xr:uid="{3E384BB8-0CCC-45EA-83A2-5F436B025D10}">
      <formula1>"kg / hectare, litre / hectare"</formula1>
    </dataValidation>
    <dataValidation type="list" allowBlank="1" showInputMessage="1" showErrorMessage="1" sqref="E37:E46" xr:uid="{F14848CE-F457-49B7-A95E-514E2B530B92}">
      <formula1>INDIRECT("Table_SourceData_Scope3_ChemicalsPharmacy[Product]")</formula1>
    </dataValidation>
    <dataValidation type="list" allowBlank="1" showInputMessage="1" showErrorMessage="1" sqref="H78:H87" xr:uid="{579B6E80-B21D-49A6-A5CC-E0740A79C06C}">
      <formula1>INDIRECT("Table_ProductRegions_Beefcattle[Region]")</formula1>
    </dataValidation>
    <dataValidation type="list" allowBlank="1" showInputMessage="1" showErrorMessage="1" sqref="G78:G87" xr:uid="{D038D161-4CB4-4F66-9EA9-1B3DFD795E64}">
      <formula1>INDIRECT(TRIM("Table_SourceData_LivestockProduct_Beefcattle[Product]"))</formula1>
    </dataValidation>
    <dataValidation type="list" allowBlank="1" showInputMessage="1" showErrorMessage="1" sqref="F78:F87" xr:uid="{E820CFC8-651A-4AAE-8CFC-0434A22A2CFE}">
      <formula1>INDIRECT("Table_LivestockClasses_Beefcattle[Livestock class]")</formula1>
    </dataValidation>
    <dataValidation type="list" allowBlank="1" showInputMessage="1" showErrorMessage="1" sqref="F91:F100" xr:uid="{6C01C856-27C6-4CD3-9F44-CB174DFAC047}">
      <formula1>INDIRECT("Table_SourceData_Dairy_WjCowsHeifers[Breed]")</formula1>
    </dataValidation>
    <dataValidation type="list" allowBlank="1" showInputMessage="1" showErrorMessage="1" sqref="E91:E100" xr:uid="{5781C060-ED70-4962-97D0-9C205A1D4D9A}">
      <formula1>INDIRECT("Table_SourceData_Dairy_WjCowsHeifers[[#Headers],[Milking cows]:[Heifers &lt; 1 (weaned)]]")</formula1>
    </dataValidation>
    <dataValidation type="list" allowBlank="1" showInputMessage="1" showErrorMessage="1" sqref="E104:E113" xr:uid="{4ACF2D94-C615-4145-8F1B-25113D24F04E}">
      <formula1>INDIRECT("Table_SourceData_Swine_Liveweight[Livestock type j]")</formula1>
    </dataValidation>
    <dataValidation type="list" allowBlank="1" showInputMessage="1" showErrorMessage="1" sqref="E117:E126" xr:uid="{EF3323C3-C624-43FE-8DC3-2DC12C1B5DDD}">
      <formula1>INDIRECT("Table_SourceData_Poultry_Liveweights[Livestock class j]")</formula1>
    </dataValidation>
    <dataValidation type="list" allowBlank="1" showInputMessage="1" showErrorMessage="1" sqref="G151:G160" xr:uid="{92F419C3-BB6B-4ED0-BE3F-195DAC4808A6}">
      <formula1>"Hour, Hectare"</formula1>
    </dataValidation>
    <dataValidation type="list" allowBlank="1" showInputMessage="1" showErrorMessage="1" sqref="G63:G72 J63:J72 M63:M72 P63:P72" xr:uid="{299DE751-C45B-453E-A22E-D9874EC037B6}">
      <formula1>INDIRECT("Table_ProductRegions_" &amp; SUBSTITUTE(SUBSTITUTE(SUBSTITUTE(SUBSTITUTE(F63, " ", ""), ",", ""), "(", ""), ")", "") &amp; "[Region]")</formula1>
    </dataValidation>
    <dataValidation type="list" allowBlank="1" showInputMessage="1" showErrorMessage="1" sqref="F63:F72 I63:I72 L63:L72 O63:O72" xr:uid="{1054A587-AE3C-4093-8FA5-82F7F165672F}">
      <formula1>INDIRECT(_xlfn.UNIQUE("Table_SourceData_Scope3_Feed[Product]"))</formula1>
    </dataValidation>
    <dataValidation type="list" allowBlank="1" showInputMessage="1" showErrorMessage="1" sqref="N122:N123 H195:H196 J198:J199 L135:L136" xr:uid="{0AD8851A-09E8-483B-9827-926349C05F01}">
      <formula1>INDIRECT("Table_Scope3_AquacultureFeedBait[Feed / Bait ingredient]")</formula1>
    </dataValidation>
    <dataValidation type="list" allowBlank="1" showInputMessage="1" showErrorMessage="1" sqref="F181:F190" xr:uid="{9C8B3973-FAC4-43D3-9591-1F01F0AB4558}">
      <formula1>"kg, m3"</formula1>
    </dataValidation>
  </dataValidations>
  <pageMargins left="0.7" right="0.7" top="0.75" bottom="0.75" header="0.3" footer="0.3"/>
  <pageSetup orientation="portrait" r:id="rId1"/>
  <ignoredErrors>
    <ignoredError sqref="G117:G126 G104:G113" calculatedColumn="1"/>
  </ignoredErrors>
  <tableParts count="12">
    <tablePart r:id="rId2"/>
    <tablePart r:id="rId3"/>
    <tablePart r:id="rId4"/>
    <tablePart r:id="rId5"/>
    <tablePart r:id="rId6"/>
    <tablePart r:id="rId7"/>
    <tablePart r:id="rId8"/>
    <tablePart r:id="rId9"/>
    <tablePart r:id="rId10"/>
    <tablePart r:id="rId11"/>
    <tablePart r:id="rId12"/>
    <tablePart r:id="rId1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74F34-C2DB-4D1E-B108-087CBF296A49}">
  <sheetPr>
    <tabColor theme="5" tint="-0.249977111117893"/>
  </sheetPr>
  <dimension ref="C1:J51"/>
  <sheetViews>
    <sheetView showGridLines="0" workbookViewId="0">
      <selection activeCell="C2" sqref="C2"/>
    </sheetView>
  </sheetViews>
  <sheetFormatPr defaultRowHeight="15.75" x14ac:dyDescent="0.25"/>
  <cols>
    <col min="1" max="1" width="30.625" customWidth="1"/>
    <col min="2" max="2" width="4.625" customWidth="1"/>
    <col min="3" max="3" width="4.625" style="8" customWidth="1"/>
    <col min="4" max="4" width="40.75" style="8" customWidth="1"/>
    <col min="5" max="9" width="30.625" style="8" customWidth="1"/>
    <col min="10" max="10" width="4.625" style="8" customWidth="1"/>
  </cols>
  <sheetData>
    <row r="1" spans="3:10" s="38" customFormat="1" ht="30" customHeight="1" x14ac:dyDescent="0.35">
      <c r="C1" s="38" t="s">
        <v>850</v>
      </c>
    </row>
    <row r="2" spans="3:10" s="2" customFormat="1" ht="20.100000000000001" customHeight="1" x14ac:dyDescent="0.25"/>
    <row r="3" spans="3:10" ht="20.100000000000001" customHeight="1" x14ac:dyDescent="0.25">
      <c r="C3" s="39"/>
      <c r="D3" s="39"/>
      <c r="E3" s="39"/>
      <c r="F3" s="39"/>
      <c r="G3" s="39"/>
      <c r="H3" s="39"/>
      <c r="I3" s="39"/>
      <c r="J3" s="39"/>
    </row>
    <row r="4" spans="3:10" ht="20.100000000000001" customHeight="1" x14ac:dyDescent="0.25"/>
    <row r="5" spans="3:10" ht="20.100000000000001" customHeight="1" x14ac:dyDescent="0.25"/>
    <row r="6" spans="3:10" ht="20.100000000000001" customHeight="1" x14ac:dyDescent="0.25">
      <c r="D6" s="9" t="s">
        <v>826</v>
      </c>
    </row>
    <row r="7" spans="3:10" ht="20.100000000000001" customHeight="1" x14ac:dyDescent="0.25"/>
    <row r="8" spans="3:10" ht="20.100000000000001" customHeight="1" x14ac:dyDescent="0.25">
      <c r="D8" s="10" t="s">
        <v>828</v>
      </c>
      <c r="E8" s="10" t="s">
        <v>831</v>
      </c>
      <c r="F8" s="10" t="s">
        <v>832</v>
      </c>
      <c r="G8" s="10" t="s">
        <v>829</v>
      </c>
      <c r="H8" s="10" t="s">
        <v>830</v>
      </c>
    </row>
    <row r="9" spans="3:10" ht="20.100000000000001" customHeight="1" x14ac:dyDescent="0.25">
      <c r="D9" s="10" t="s">
        <v>835</v>
      </c>
      <c r="E9" s="48" t="s">
        <v>833</v>
      </c>
      <c r="F9" s="10">
        <v>986</v>
      </c>
      <c r="G9" s="10">
        <v>10</v>
      </c>
      <c r="H9" s="10">
        <v>52</v>
      </c>
    </row>
    <row r="10" spans="3:10" ht="20.100000000000001" customHeight="1" x14ac:dyDescent="0.25">
      <c r="D10" s="10" t="s">
        <v>837</v>
      </c>
      <c r="E10" s="48" t="s">
        <v>838</v>
      </c>
      <c r="F10" s="10">
        <v>65</v>
      </c>
      <c r="G10" s="10">
        <v>10</v>
      </c>
      <c r="H10" s="10">
        <v>6</v>
      </c>
    </row>
    <row r="11" spans="3:10" ht="20.100000000000001" customHeight="1" x14ac:dyDescent="0.25">
      <c r="D11" s="10"/>
      <c r="E11" s="48"/>
      <c r="F11" s="10"/>
      <c r="G11" s="10"/>
      <c r="H11" s="10"/>
    </row>
    <row r="12" spans="3:10" ht="20.100000000000001" customHeight="1" x14ac:dyDescent="0.25">
      <c r="D12" s="10"/>
      <c r="E12" s="48"/>
      <c r="F12" s="10"/>
      <c r="G12" s="10"/>
      <c r="H12" s="10"/>
    </row>
    <row r="13" spans="3:10" ht="20.100000000000001" customHeight="1" x14ac:dyDescent="0.25">
      <c r="D13" s="10"/>
      <c r="E13" s="48"/>
      <c r="F13" s="10"/>
      <c r="G13" s="10"/>
      <c r="H13" s="10"/>
    </row>
    <row r="14" spans="3:10" ht="20.100000000000001" customHeight="1" x14ac:dyDescent="0.25">
      <c r="D14" s="10"/>
      <c r="E14" s="48"/>
      <c r="F14" s="10"/>
      <c r="G14" s="10"/>
      <c r="H14" s="10"/>
    </row>
    <row r="15" spans="3:10" ht="20.100000000000001" customHeight="1" x14ac:dyDescent="0.25">
      <c r="D15" s="10"/>
      <c r="E15" s="48"/>
      <c r="F15" s="10"/>
      <c r="G15" s="10"/>
      <c r="H15" s="10"/>
    </row>
    <row r="16" spans="3:10" ht="20.100000000000001" customHeight="1" x14ac:dyDescent="0.25">
      <c r="D16" s="10"/>
      <c r="E16" s="48"/>
      <c r="F16" s="10"/>
      <c r="G16" s="10"/>
      <c r="H16" s="10"/>
    </row>
    <row r="17" spans="4:8" ht="20.100000000000001" customHeight="1" x14ac:dyDescent="0.25">
      <c r="D17" s="10"/>
      <c r="E17" s="48"/>
      <c r="F17" s="10"/>
      <c r="G17" s="10"/>
      <c r="H17" s="10"/>
    </row>
    <row r="18" spans="4:8" ht="20.100000000000001" customHeight="1" x14ac:dyDescent="0.25">
      <c r="D18" s="10"/>
      <c r="E18" s="48"/>
      <c r="F18" s="10"/>
      <c r="G18" s="10"/>
      <c r="H18" s="10"/>
    </row>
    <row r="19" spans="4:8" ht="20.100000000000001" customHeight="1" x14ac:dyDescent="0.25"/>
    <row r="20" spans="4:8" ht="20.100000000000001" customHeight="1" x14ac:dyDescent="0.25"/>
    <row r="21" spans="4:8" ht="20.100000000000001" customHeight="1" x14ac:dyDescent="0.25"/>
    <row r="22" spans="4:8" ht="20.100000000000001" customHeight="1" x14ac:dyDescent="0.25">
      <c r="D22" s="9" t="s">
        <v>834</v>
      </c>
    </row>
    <row r="23" spans="4:8" ht="20.100000000000001" customHeight="1" x14ac:dyDescent="0.25"/>
    <row r="24" spans="4:8" ht="20.100000000000001" customHeight="1" x14ac:dyDescent="0.25">
      <c r="D24" s="10" t="s">
        <v>828</v>
      </c>
      <c r="E24" s="10" t="s">
        <v>831</v>
      </c>
      <c r="F24" s="10" t="s">
        <v>832</v>
      </c>
      <c r="G24" s="10" t="s">
        <v>829</v>
      </c>
      <c r="H24" s="10" t="s">
        <v>830</v>
      </c>
    </row>
    <row r="25" spans="4:8" ht="20.100000000000001" customHeight="1" x14ac:dyDescent="0.25">
      <c r="D25" s="10" t="s">
        <v>836</v>
      </c>
      <c r="E25" s="48" t="s">
        <v>833</v>
      </c>
      <c r="F25" s="10">
        <v>65</v>
      </c>
      <c r="G25" s="10">
        <v>20</v>
      </c>
      <c r="H25" s="10">
        <v>52</v>
      </c>
    </row>
    <row r="26" spans="4:8" ht="20.100000000000001" customHeight="1" x14ac:dyDescent="0.25">
      <c r="D26" s="10"/>
      <c r="E26" s="48"/>
      <c r="F26" s="10"/>
      <c r="G26" s="10"/>
      <c r="H26" s="10"/>
    </row>
    <row r="27" spans="4:8" ht="20.100000000000001" customHeight="1" x14ac:dyDescent="0.25">
      <c r="D27" s="10"/>
      <c r="E27" s="48"/>
      <c r="F27" s="10"/>
      <c r="G27" s="10"/>
      <c r="H27" s="10"/>
    </row>
    <row r="28" spans="4:8" ht="20.100000000000001" customHeight="1" x14ac:dyDescent="0.25">
      <c r="D28" s="10"/>
      <c r="E28" s="48"/>
      <c r="F28" s="10"/>
      <c r="G28" s="10"/>
      <c r="H28" s="10"/>
    </row>
    <row r="29" spans="4:8" ht="20.100000000000001" customHeight="1" x14ac:dyDescent="0.25">
      <c r="D29" s="10"/>
      <c r="E29" s="48"/>
      <c r="F29" s="10"/>
      <c r="G29" s="10"/>
      <c r="H29" s="10"/>
    </row>
    <row r="30" spans="4:8" ht="20.100000000000001" customHeight="1" x14ac:dyDescent="0.25">
      <c r="D30" s="10"/>
      <c r="E30" s="48"/>
      <c r="F30" s="10"/>
      <c r="G30" s="10"/>
      <c r="H30" s="10"/>
    </row>
    <row r="31" spans="4:8" ht="20.100000000000001" customHeight="1" x14ac:dyDescent="0.25">
      <c r="D31" s="10"/>
      <c r="E31" s="48"/>
      <c r="F31" s="10"/>
      <c r="G31" s="10"/>
      <c r="H31" s="10"/>
    </row>
    <row r="32" spans="4:8" ht="20.100000000000001" customHeight="1" x14ac:dyDescent="0.25">
      <c r="D32" s="10"/>
      <c r="E32" s="48"/>
      <c r="F32" s="10"/>
      <c r="G32" s="10"/>
      <c r="H32" s="10"/>
    </row>
    <row r="33" spans="4:8" ht="20.100000000000001" customHeight="1" x14ac:dyDescent="0.25">
      <c r="D33" s="10"/>
      <c r="E33" s="48"/>
      <c r="F33" s="10"/>
      <c r="G33" s="10"/>
      <c r="H33" s="10"/>
    </row>
    <row r="34" spans="4:8" ht="20.100000000000001" customHeight="1" x14ac:dyDescent="0.25">
      <c r="D34" s="10"/>
      <c r="E34" s="48"/>
      <c r="F34" s="10"/>
      <c r="G34" s="10"/>
      <c r="H34" s="10"/>
    </row>
    <row r="35" spans="4:8" ht="20.100000000000001" customHeight="1" x14ac:dyDescent="0.25"/>
    <row r="36" spans="4:8" ht="20.100000000000001" customHeight="1" x14ac:dyDescent="0.25"/>
    <row r="37" spans="4:8" ht="20.100000000000001" customHeight="1" x14ac:dyDescent="0.25"/>
    <row r="38" spans="4:8" ht="20.100000000000001" customHeight="1" x14ac:dyDescent="0.25"/>
    <row r="39" spans="4:8" ht="20.100000000000001" customHeight="1" x14ac:dyDescent="0.25"/>
    <row r="40" spans="4:8" ht="20.100000000000001" customHeight="1" x14ac:dyDescent="0.25"/>
    <row r="41" spans="4:8" ht="20.100000000000001" customHeight="1" x14ac:dyDescent="0.25"/>
    <row r="42" spans="4:8" ht="20.100000000000001" customHeight="1" x14ac:dyDescent="0.25"/>
    <row r="43" spans="4:8" ht="20.100000000000001" customHeight="1" x14ac:dyDescent="0.25"/>
    <row r="44" spans="4:8" ht="20.100000000000001" customHeight="1" x14ac:dyDescent="0.25"/>
    <row r="45" spans="4:8" ht="20.100000000000001" customHeight="1" x14ac:dyDescent="0.25"/>
    <row r="46" spans="4:8" ht="20.100000000000001" customHeight="1" x14ac:dyDescent="0.25"/>
    <row r="47" spans="4:8" ht="20.100000000000001" customHeight="1" x14ac:dyDescent="0.25"/>
    <row r="48" spans="4:8" ht="20.100000000000001" customHeight="1" x14ac:dyDescent="0.25"/>
    <row r="49" ht="20.100000000000001" customHeight="1" x14ac:dyDescent="0.25"/>
    <row r="50" ht="20.100000000000001" customHeight="1" x14ac:dyDescent="0.25"/>
    <row r="51" ht="20.100000000000001" customHeight="1" x14ac:dyDescent="0.25"/>
  </sheetData>
  <dataValidations count="1">
    <dataValidation type="list" allowBlank="1" showInputMessage="1" showErrorMessage="1" sqref="E9:E18 E25:E34" xr:uid="{E5599834-00AF-4A23-A24E-801FCFC13438}">
      <formula1>"Transport in truck, Rail, Long haul flight, medium haul flight, Small container ship, Large container ship"</formula1>
    </dataValidation>
  </dataValidations>
  <pageMargins left="0.7" right="0.7" top="0.75" bottom="0.75" header="0.3" footer="0.3"/>
  <tableParts count="2">
    <tablePart r:id="rId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5A64F-97E7-4417-9266-0D8579540B1C}">
  <sheetPr>
    <tabColor theme="5" tint="-0.249977111117893"/>
  </sheetPr>
  <dimension ref="C1:K74"/>
  <sheetViews>
    <sheetView showGridLines="0" zoomScaleNormal="100" workbookViewId="0">
      <selection activeCell="H37" sqref="H37"/>
    </sheetView>
  </sheetViews>
  <sheetFormatPr defaultRowHeight="15.75" x14ac:dyDescent="0.25"/>
  <cols>
    <col min="1" max="1" width="30.625" customWidth="1"/>
    <col min="2" max="2" width="4.625" customWidth="1"/>
    <col min="3" max="3" width="4.625" style="8" customWidth="1"/>
    <col min="4" max="10" width="30.625" style="8" customWidth="1"/>
    <col min="11" max="11" width="4.625" style="8" customWidth="1"/>
  </cols>
  <sheetData>
    <row r="1" spans="3:11" s="38" customFormat="1" ht="30" customHeight="1" x14ac:dyDescent="0.35">
      <c r="C1" s="107" t="s">
        <v>779</v>
      </c>
    </row>
    <row r="2" spans="3:11" s="2" customFormat="1" ht="20.100000000000001" customHeight="1" x14ac:dyDescent="0.25"/>
    <row r="3" spans="3:11" ht="20.100000000000001" customHeight="1" x14ac:dyDescent="0.25">
      <c r="C3" s="39"/>
      <c r="D3" s="39"/>
      <c r="E3" s="39"/>
      <c r="F3" s="39"/>
      <c r="G3" s="39"/>
      <c r="H3" s="39"/>
      <c r="I3" s="39"/>
      <c r="J3" s="39"/>
      <c r="K3" s="39"/>
    </row>
    <row r="4" spans="3:11" ht="20.100000000000001" customHeight="1" x14ac:dyDescent="0.25"/>
    <row r="5" spans="3:11" ht="20.100000000000001" customHeight="1" x14ac:dyDescent="0.25">
      <c r="D5" s="9" t="s">
        <v>757</v>
      </c>
    </row>
    <row r="6" spans="3:11" ht="20.100000000000001" customHeight="1" x14ac:dyDescent="0.25"/>
    <row r="7" spans="3:11" ht="20.100000000000001" customHeight="1" x14ac:dyDescent="0.25">
      <c r="D7" s="8" t="s">
        <v>780</v>
      </c>
    </row>
    <row r="8" spans="3:11" ht="20.100000000000001" customHeight="1" x14ac:dyDescent="0.25">
      <c r="D8" s="8" t="s">
        <v>781</v>
      </c>
    </row>
    <row r="9" spans="3:11" ht="20.100000000000001" customHeight="1" x14ac:dyDescent="0.25"/>
    <row r="10" spans="3:11" ht="20.100000000000001" customHeight="1" x14ac:dyDescent="0.25">
      <c r="D10" s="8" t="s">
        <v>782</v>
      </c>
      <c r="F10" s="69">
        <v>1000</v>
      </c>
      <c r="G10" s="68" t="s">
        <v>758</v>
      </c>
    </row>
    <row r="11" spans="3:11" ht="20.100000000000001" customHeight="1" x14ac:dyDescent="0.25"/>
    <row r="12" spans="3:11" ht="20.100000000000001" customHeight="1" x14ac:dyDescent="0.25">
      <c r="D12" s="8" t="s">
        <v>759</v>
      </c>
      <c r="F12" s="48" t="s">
        <v>150</v>
      </c>
      <c r="G12" s="68" t="s">
        <v>195</v>
      </c>
    </row>
    <row r="13" spans="3:11" ht="20.100000000000001" customHeight="1" x14ac:dyDescent="0.25">
      <c r="D13" s="8" t="s">
        <v>763</v>
      </c>
      <c r="F13" s="48" t="s">
        <v>155</v>
      </c>
      <c r="G13" s="68" t="s">
        <v>195</v>
      </c>
    </row>
    <row r="14" spans="3:11" ht="20.100000000000001" customHeight="1" x14ac:dyDescent="0.25"/>
    <row r="15" spans="3:11" ht="20.100000000000001" customHeight="1" x14ac:dyDescent="0.25"/>
    <row r="16" spans="3:11" ht="20.100000000000001" customHeight="1" x14ac:dyDescent="0.25">
      <c r="D16" s="9" t="s">
        <v>805</v>
      </c>
    </row>
    <row r="17" spans="4:9" ht="20.100000000000001" customHeight="1" x14ac:dyDescent="0.25"/>
    <row r="18" spans="4:9" ht="20.100000000000001" customHeight="1" x14ac:dyDescent="0.25">
      <c r="D18" s="99" t="s">
        <v>121</v>
      </c>
      <c r="E18" s="100"/>
    </row>
    <row r="19" spans="4:9" ht="20.100000000000001" customHeight="1" x14ac:dyDescent="0.25"/>
    <row r="20" spans="4:9" ht="20.100000000000001" customHeight="1" x14ac:dyDescent="0.25">
      <c r="D20" s="47" t="s">
        <v>252</v>
      </c>
      <c r="E20" s="47" t="s">
        <v>793</v>
      </c>
      <c r="F20" s="47" t="s">
        <v>794</v>
      </c>
      <c r="G20" s="47" t="s">
        <v>795</v>
      </c>
      <c r="H20" s="47" t="s">
        <v>611</v>
      </c>
      <c r="I20" s="47" t="s">
        <v>796</v>
      </c>
    </row>
    <row r="21" spans="4:9" ht="20.100000000000001" customHeight="1" x14ac:dyDescent="0.25">
      <c r="D21" s="10" t="s">
        <v>797</v>
      </c>
      <c r="E21" s="48" t="s">
        <v>798</v>
      </c>
      <c r="F21" s="48" t="s">
        <v>799</v>
      </c>
      <c r="G21" s="50" t="s">
        <v>800</v>
      </c>
      <c r="H21" s="69">
        <v>50</v>
      </c>
      <c r="I21" s="48" t="s">
        <v>801</v>
      </c>
    </row>
    <row r="22" spans="4:9" ht="20.100000000000001" customHeight="1" x14ac:dyDescent="0.25">
      <c r="D22" s="10"/>
      <c r="E22" s="48" t="s">
        <v>798</v>
      </c>
      <c r="F22" s="48" t="s">
        <v>799</v>
      </c>
      <c r="G22" s="50" t="s">
        <v>800</v>
      </c>
      <c r="H22" s="69">
        <v>50</v>
      </c>
      <c r="I22" s="48" t="s">
        <v>801</v>
      </c>
    </row>
    <row r="23" spans="4:9" ht="20.100000000000001" customHeight="1" x14ac:dyDescent="0.25">
      <c r="D23" s="10"/>
      <c r="E23" s="48" t="s">
        <v>798</v>
      </c>
      <c r="F23" s="48" t="s">
        <v>799</v>
      </c>
      <c r="G23" s="50" t="s">
        <v>800</v>
      </c>
      <c r="H23" s="69">
        <v>50</v>
      </c>
      <c r="I23" s="48" t="s">
        <v>802</v>
      </c>
    </row>
    <row r="24" spans="4:9" ht="20.100000000000001" customHeight="1" x14ac:dyDescent="0.25">
      <c r="D24" s="10"/>
      <c r="E24" s="48" t="s">
        <v>798</v>
      </c>
      <c r="F24" s="48" t="s">
        <v>799</v>
      </c>
      <c r="G24" s="50" t="s">
        <v>800</v>
      </c>
      <c r="H24" s="69">
        <v>50</v>
      </c>
      <c r="I24" s="48" t="s">
        <v>802</v>
      </c>
    </row>
    <row r="25" spans="4:9" ht="20.100000000000001" customHeight="1" x14ac:dyDescent="0.25">
      <c r="D25" s="10"/>
      <c r="E25" s="48" t="s">
        <v>803</v>
      </c>
      <c r="F25" s="48" t="s">
        <v>848</v>
      </c>
      <c r="G25" s="50" t="s">
        <v>800</v>
      </c>
      <c r="H25" s="69">
        <v>50</v>
      </c>
      <c r="I25" s="48" t="s">
        <v>801</v>
      </c>
    </row>
    <row r="26" spans="4:9" ht="20.100000000000001" customHeight="1" x14ac:dyDescent="0.25">
      <c r="D26" s="10"/>
      <c r="E26" s="48" t="s">
        <v>803</v>
      </c>
      <c r="F26" s="48" t="s">
        <v>804</v>
      </c>
      <c r="G26" s="50" t="s">
        <v>800</v>
      </c>
      <c r="H26" s="69">
        <v>50</v>
      </c>
      <c r="I26" s="48" t="s">
        <v>801</v>
      </c>
    </row>
    <row r="27" spans="4:9" ht="20.100000000000001" customHeight="1" x14ac:dyDescent="0.25">
      <c r="D27" s="10"/>
      <c r="E27" s="48" t="s">
        <v>803</v>
      </c>
      <c r="F27" s="48" t="s">
        <v>804</v>
      </c>
      <c r="G27" s="50" t="s">
        <v>800</v>
      </c>
      <c r="H27" s="69">
        <v>50</v>
      </c>
      <c r="I27" s="48" t="s">
        <v>802</v>
      </c>
    </row>
    <row r="28" spans="4:9" ht="20.100000000000001" customHeight="1" x14ac:dyDescent="0.25">
      <c r="D28" s="10"/>
      <c r="E28" s="48" t="s">
        <v>803</v>
      </c>
      <c r="F28" s="48" t="s">
        <v>804</v>
      </c>
      <c r="G28" s="50" t="s">
        <v>800</v>
      </c>
      <c r="H28" s="69">
        <v>50</v>
      </c>
      <c r="I28" s="48" t="s">
        <v>802</v>
      </c>
    </row>
    <row r="29" spans="4:9" ht="20.100000000000001" customHeight="1" x14ac:dyDescent="0.25">
      <c r="D29" s="10"/>
      <c r="E29" s="48" t="s">
        <v>803</v>
      </c>
      <c r="F29" s="48" t="s">
        <v>804</v>
      </c>
      <c r="G29" s="50" t="s">
        <v>800</v>
      </c>
      <c r="H29" s="69">
        <v>50</v>
      </c>
      <c r="I29" s="48" t="s">
        <v>801</v>
      </c>
    </row>
    <row r="30" spans="4:9" ht="20.100000000000001" customHeight="1" x14ac:dyDescent="0.25"/>
    <row r="31" spans="4:9" ht="20.100000000000001" customHeight="1" x14ac:dyDescent="0.25"/>
    <row r="32" spans="4:9"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sheetData>
  <conditionalFormatting sqref="I30">
    <cfRule type="cellIs" dxfId="19" priority="1" operator="lessThan">
      <formula>0</formula>
    </cfRule>
  </conditionalFormatting>
  <dataValidations count="6">
    <dataValidation type="list" allowBlank="1" showInputMessage="1" showErrorMessage="1" sqref="F13" xr:uid="{6070C71B-330E-4E19-BC5E-8182BE003281}">
      <formula1>INDIRECT("Table_SourceData_Fertiliser_IrrigationMethods[Irrigation method]")</formula1>
    </dataValidation>
    <dataValidation type="list" allowBlank="1" showInputMessage="1" showErrorMessage="1" sqref="F12" xr:uid="{F53F4331-B6CB-4FFE-8E82-663561C8DD8D}">
      <formula1>INDIRECT("Table_SourceData_Fertiliser_CropProdSystems[Production system]")</formula1>
    </dataValidation>
    <dataValidation type="list" allowBlank="1" showInputMessage="1" showErrorMessage="1" sqref="E21:E29" xr:uid="{3F495E7C-4D24-4D19-86E9-9EED671E0444}">
      <formula1>INDIRECT(_xlfn.UNIQUE("Table_SourceData_WasteSolid_WasteTreatmentEFs[Treatment type t]"))</formula1>
    </dataValidation>
    <dataValidation type="list" allowBlank="1" showInputMessage="1" showErrorMessage="1" sqref="G21:G29" xr:uid="{97A3C4B6-FFC2-4584-9F07-94A094AA24D0}">
      <formula1>"Removed and treated off-site"</formula1>
    </dataValidation>
    <dataValidation type="list" allowBlank="1" showInputMessage="1" showErrorMessage="1" sqref="I21:I29" xr:uid="{82C47F76-631A-49C4-B15B-FBE027EE7CB0}">
      <formula1>"tonnes, cubic metres m3"</formula1>
    </dataValidation>
    <dataValidation type="list" allowBlank="1" showInputMessage="1" showErrorMessage="1" sqref="F21:F29" xr:uid="{8E0FD0C6-A37F-4220-A483-A841E04E3816}">
      <formula1>INDIRECT("Table_WasteTypes_" &amp; SUBSTITUTE(E21, " ", "") &amp; "[Waste type w]")</formula1>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2299A-2CFF-433C-84D9-A1BED0455EEB}">
  <sheetPr>
    <tabColor theme="5" tint="-0.249977111117893"/>
  </sheetPr>
  <dimension ref="A1:L365"/>
  <sheetViews>
    <sheetView showGridLines="0" zoomScaleNormal="100" workbookViewId="0">
      <selection activeCell="G27" sqref="G27"/>
    </sheetView>
  </sheetViews>
  <sheetFormatPr defaultRowHeight="15.75" x14ac:dyDescent="0.25"/>
  <cols>
    <col min="1" max="1" width="26.875" style="3" customWidth="1"/>
    <col min="2" max="2" width="4.125" style="3" customWidth="1"/>
    <col min="3" max="3" width="4.125" style="8" customWidth="1"/>
    <col min="4" max="4" width="58.375" style="8" customWidth="1"/>
    <col min="5" max="5" width="41.125" style="8" customWidth="1"/>
    <col min="6" max="8" width="21.75" style="8" customWidth="1"/>
    <col min="9" max="9" width="26" style="8" customWidth="1"/>
    <col min="10" max="10" width="4.125" style="8" customWidth="1"/>
    <col min="11" max="11" width="4.125" style="3" customWidth="1"/>
    <col min="12" max="16384" width="9" style="3"/>
  </cols>
  <sheetData>
    <row r="1" spans="1:10" s="38" customFormat="1" ht="30" customHeight="1" x14ac:dyDescent="0.35">
      <c r="A1" s="38" t="e" vm="1">
        <v>#VALUE!</v>
      </c>
      <c r="C1" s="38" t="s">
        <v>235</v>
      </c>
    </row>
    <row r="2" spans="1:10" s="2" customFormat="1" ht="20.100000000000001" customHeight="1" x14ac:dyDescent="0.25"/>
    <row r="3" spans="1:10" ht="20.100000000000001" customHeight="1" x14ac:dyDescent="0.25">
      <c r="A3" s="16" t="str">
        <f>HYPERLINK("#'Home'!A1", "Home")</f>
        <v>Home</v>
      </c>
      <c r="C3" s="39"/>
      <c r="D3" s="39"/>
      <c r="E3" s="39"/>
      <c r="F3" s="39"/>
      <c r="G3" s="39"/>
      <c r="H3" s="39"/>
      <c r="I3" s="39"/>
      <c r="J3" s="39"/>
    </row>
    <row r="4" spans="1:10" ht="20.100000000000001" customHeight="1" x14ac:dyDescent="0.25">
      <c r="A4" s="16" t="str">
        <f>HYPERLINK("#'Overview'!A1", "Overview")</f>
        <v>Overview</v>
      </c>
    </row>
    <row r="5" spans="1:10" ht="20.100000000000001" customHeight="1" x14ac:dyDescent="0.25">
      <c r="A5" s="16" t="str">
        <f>HYPERLINK("#'Results'!A1", "Results")</f>
        <v>Results</v>
      </c>
      <c r="D5" s="9" t="s">
        <v>236</v>
      </c>
    </row>
    <row r="6" spans="1:10" ht="20.100000000000001" customHeight="1" x14ac:dyDescent="0.25">
      <c r="A6" s="18"/>
    </row>
    <row r="7" spans="1:10" ht="20.100000000000001" customHeight="1" x14ac:dyDescent="0.25">
      <c r="A7" s="19" t="s">
        <v>67</v>
      </c>
      <c r="D7" s="74" t="s">
        <v>237</v>
      </c>
    </row>
    <row r="8" spans="1:10" ht="20.100000000000001" customHeight="1" x14ac:dyDescent="0.25">
      <c r="A8" s="43" t="str">
        <f>HYPERLINK("#'Input - Electricity'!A1", "Electricity")</f>
        <v>Electricity</v>
      </c>
    </row>
    <row r="9" spans="1:10" ht="20.100000000000001" customHeight="1" x14ac:dyDescent="0.25">
      <c r="A9" s="16"/>
      <c r="D9" s="99" t="s">
        <v>238</v>
      </c>
      <c r="E9" s="100"/>
      <c r="F9" s="14"/>
    </row>
    <row r="10" spans="1:10" ht="20.100000000000001" customHeight="1" x14ac:dyDescent="0.25">
      <c r="A10" s="21" t="s">
        <v>77</v>
      </c>
      <c r="D10" s="14"/>
      <c r="E10" s="14"/>
      <c r="F10" s="14"/>
    </row>
    <row r="11" spans="1:10" ht="20.100000000000001" customHeight="1" x14ac:dyDescent="0.25">
      <c r="A11" s="16" t="str">
        <f>HYPERLINK("#'14.1.1-2 Purchased electricity'!A1", "14.1.1-2 Purchased electricity")</f>
        <v>14.1.1-2 Purchased electricity</v>
      </c>
      <c r="D11" s="8" t="s">
        <v>239</v>
      </c>
      <c r="E11" s="101">
        <v>500</v>
      </c>
      <c r="F11" s="68" t="s">
        <v>240</v>
      </c>
    </row>
    <row r="12" spans="1:10" ht="20.100000000000001" customHeight="1" x14ac:dyDescent="0.25">
      <c r="A12" s="16"/>
      <c r="D12" s="8" t="s">
        <v>241</v>
      </c>
      <c r="E12" s="50" t="str">
        <f>IF('Input - Site'!E21="Western Australia", 'Input - Site'!E22, 'Input - Site'!E21)</f>
        <v>ACT</v>
      </c>
      <c r="F12" s="14"/>
    </row>
    <row r="13" spans="1:10" ht="20.100000000000001" customHeight="1" x14ac:dyDescent="0.25">
      <c r="A13" s="23" t="s">
        <v>78</v>
      </c>
      <c r="D13" s="8" t="s">
        <v>242</v>
      </c>
      <c r="E13" s="48" t="s">
        <v>316</v>
      </c>
      <c r="F13" s="68" t="s">
        <v>195</v>
      </c>
    </row>
    <row r="14" spans="1:10" ht="20.100000000000001" customHeight="1" x14ac:dyDescent="0.25">
      <c r="A14" s="16" t="str">
        <f>HYPERLINK("#'Constants - Electricity'!A1", "Constants - Electricity")</f>
        <v>Constants - Electricity</v>
      </c>
    </row>
    <row r="15" spans="1:10" ht="20.100000000000001" customHeight="1" x14ac:dyDescent="0.25">
      <c r="A15" s="16" t="str">
        <f>HYPERLINK("#'Constants - Common'!A1", "Constants - Common")</f>
        <v>Constants - Common</v>
      </c>
    </row>
    <row r="16" spans="1:10" ht="20.100000000000001" customHeight="1" x14ac:dyDescent="0.25">
      <c r="C16" s="102"/>
      <c r="D16" s="102"/>
      <c r="E16" s="102"/>
      <c r="F16" s="102"/>
      <c r="G16" s="102"/>
      <c r="H16" s="102"/>
      <c r="I16" s="102"/>
      <c r="J16" s="102"/>
    </row>
    <row r="17" spans="1:11" ht="20.100000000000001" customHeight="1" x14ac:dyDescent="0.25">
      <c r="D17" s="9" t="s">
        <v>243</v>
      </c>
    </row>
    <row r="18" spans="1:11" ht="20.100000000000001" customHeight="1" x14ac:dyDescent="0.25">
      <c r="E18" s="57" t="str">
        <f>IF(E12="ACT", "", "ALERT: Your farm is not in the ACT, so the JRPP is not applicable")</f>
        <v/>
      </c>
    </row>
    <row r="19" spans="1:11" ht="20.100000000000001" customHeight="1" x14ac:dyDescent="0.25">
      <c r="D19" s="8" t="s">
        <v>244</v>
      </c>
      <c r="E19" s="101">
        <v>30000</v>
      </c>
      <c r="F19" s="68" t="s">
        <v>240</v>
      </c>
    </row>
    <row r="20" spans="1:11" ht="20.100000000000001" customHeight="1" x14ac:dyDescent="0.25">
      <c r="A20" s="16"/>
      <c r="D20" s="8" t="s">
        <v>245</v>
      </c>
      <c r="E20" s="90">
        <v>0.1</v>
      </c>
      <c r="F20" s="68" t="s">
        <v>246</v>
      </c>
    </row>
    <row r="21" spans="1:11" ht="20.100000000000001" customHeight="1" x14ac:dyDescent="0.25">
      <c r="A21" s="16"/>
      <c r="D21" s="8" t="s">
        <v>247</v>
      </c>
      <c r="E21" s="90">
        <v>0.1</v>
      </c>
      <c r="F21" s="68" t="s">
        <v>246</v>
      </c>
    </row>
    <row r="22" spans="1:11" ht="20.100000000000001" customHeight="1" x14ac:dyDescent="0.25"/>
    <row r="23" spans="1:11" ht="20.100000000000001" customHeight="1" x14ac:dyDescent="0.25">
      <c r="A23" s="16"/>
      <c r="D23" s="8" t="s">
        <v>248</v>
      </c>
      <c r="E23" s="101">
        <v>10000</v>
      </c>
      <c r="F23" s="68" t="s">
        <v>240</v>
      </c>
    </row>
    <row r="24" spans="1:11" ht="20.100000000000001" customHeight="1" x14ac:dyDescent="0.25"/>
    <row r="25" spans="1:11" ht="20.100000000000001" customHeight="1" x14ac:dyDescent="0.25">
      <c r="D25" s="8" t="s">
        <v>249</v>
      </c>
      <c r="E25" s="103" t="str">
        <f>TEXT('Input - Site'!$E$12, "dd mmm yyyy")</f>
        <v>01 Jan 2024</v>
      </c>
    </row>
    <row r="26" spans="1:11" ht="20.100000000000001" customHeight="1" x14ac:dyDescent="0.25">
      <c r="D26" s="8" t="s">
        <v>250</v>
      </c>
      <c r="E26" s="103" t="str">
        <f>TEXT('Input - Site'!$E$13, "dd mmm yyyy")</f>
        <v>31 Dec 2024</v>
      </c>
    </row>
    <row r="27" spans="1:11" ht="20.100000000000001" customHeight="1" x14ac:dyDescent="0.25"/>
    <row r="28" spans="1:11" ht="20.100000000000001" customHeight="1" x14ac:dyDescent="0.25">
      <c r="D28" s="74" t="s">
        <v>251</v>
      </c>
    </row>
    <row r="29" spans="1:11" ht="20.100000000000001" customHeight="1" x14ac:dyDescent="0.25">
      <c r="A29" s="16"/>
      <c r="K29" s="54"/>
    </row>
    <row r="30" spans="1:11" ht="20.100000000000001" customHeight="1" x14ac:dyDescent="0.25">
      <c r="A30" s="16"/>
      <c r="D30" s="99" t="s">
        <v>121</v>
      </c>
      <c r="E30" s="100"/>
      <c r="K30" s="54"/>
    </row>
    <row r="31" spans="1:11" ht="20.100000000000001" customHeight="1" x14ac:dyDescent="0.25">
      <c r="A31" s="52"/>
      <c r="K31" s="54"/>
    </row>
    <row r="32" spans="1:11" ht="20.100000000000001" customHeight="1" x14ac:dyDescent="0.25">
      <c r="A32" s="52"/>
      <c r="D32" s="47" t="s">
        <v>252</v>
      </c>
      <c r="E32" s="47" t="s">
        <v>253</v>
      </c>
      <c r="F32" s="47" t="s">
        <v>254</v>
      </c>
      <c r="G32" s="47" t="s">
        <v>255</v>
      </c>
      <c r="H32" s="47" t="s">
        <v>256</v>
      </c>
      <c r="I32" s="47" t="s">
        <v>257</v>
      </c>
      <c r="K32" s="54"/>
    </row>
    <row r="33" spans="1:12" ht="20.100000000000001" customHeight="1" x14ac:dyDescent="0.25">
      <c r="A33" s="16"/>
      <c r="D33" s="10" t="s">
        <v>258</v>
      </c>
      <c r="E33" s="48" t="s">
        <v>259</v>
      </c>
      <c r="F33" s="104">
        <v>44185</v>
      </c>
      <c r="G33" s="10">
        <v>12</v>
      </c>
      <c r="H33" s="50">
        <f>Table_Input_RECSurrendered[[#This Row],[Number of certificates]]</f>
        <v>12</v>
      </c>
      <c r="I33" s="50" t="str">
        <f>IF(DATEDIF(Table_Input_RECSurrendered[[#This Row],[Generation date]],DATEVALUE($E$26),"M")&gt;36,"Ineligible - older than 36 months","Elegible")</f>
        <v>Ineligible - older than 36 months</v>
      </c>
      <c r="K33" s="54"/>
    </row>
    <row r="34" spans="1:12" ht="20.100000000000001" customHeight="1" x14ac:dyDescent="0.25">
      <c r="D34" s="10"/>
      <c r="E34" s="48" t="s">
        <v>260</v>
      </c>
      <c r="F34" s="104">
        <v>44575</v>
      </c>
      <c r="G34" s="10">
        <v>5</v>
      </c>
      <c r="H34" s="50">
        <f>Table_Input_RECSurrendered[[#This Row],[Number of certificates]]</f>
        <v>5</v>
      </c>
      <c r="I34" s="50" t="str">
        <f>IF(DATEDIF(Table_Input_RECSurrendered[[#This Row],[Generation date]],DATEVALUE($E$26),"M")&gt;36,"Ineligible - older than 36 months","Elegible")</f>
        <v>Elegible</v>
      </c>
      <c r="K34" s="54"/>
    </row>
    <row r="35" spans="1:12" ht="20.100000000000001" customHeight="1" x14ac:dyDescent="0.25">
      <c r="D35" s="10"/>
      <c r="E35" s="48" t="s">
        <v>259</v>
      </c>
      <c r="F35" s="104">
        <v>45438</v>
      </c>
      <c r="G35" s="10">
        <v>5</v>
      </c>
      <c r="H35" s="50">
        <f>Table_Input_RECSurrendered[[#This Row],[Number of certificates]]</f>
        <v>5</v>
      </c>
      <c r="I35" s="50" t="str">
        <f>IF(DATEDIF(Table_Input_RECSurrendered[[#This Row],[Generation date]],DATEVALUE($E$26),"M")&gt;36,"Ineligible - older than 36 months","Elegible")</f>
        <v>Elegible</v>
      </c>
    </row>
    <row r="36" spans="1:12" ht="20.100000000000001" customHeight="1" x14ac:dyDescent="0.25">
      <c r="L36" s="54"/>
    </row>
    <row r="37" spans="1:12" ht="20.100000000000001" customHeight="1" x14ac:dyDescent="0.25">
      <c r="D37" s="8" t="s">
        <v>261</v>
      </c>
      <c r="E37" s="50">
        <f>SUMIF(Table_Input_RECSurrendered[Elegibility], "Elegible", Table_Input_RECSurrendered[MWh])</f>
        <v>10</v>
      </c>
      <c r="F37" s="68" t="s">
        <v>256</v>
      </c>
      <c r="L37" s="54"/>
    </row>
    <row r="38" spans="1:12" ht="20.100000000000001" customHeight="1" x14ac:dyDescent="0.25">
      <c r="C38" s="53"/>
    </row>
    <row r="39" spans="1:12" ht="20.100000000000001" customHeight="1" x14ac:dyDescent="0.25">
      <c r="A39" s="16"/>
      <c r="C39" s="53"/>
      <c r="D39" s="74" t="s">
        <v>262</v>
      </c>
      <c r="J39" s="53"/>
    </row>
    <row r="40" spans="1:12" s="54" customFormat="1" ht="20.100000000000001" customHeight="1" x14ac:dyDescent="0.25">
      <c r="C40" s="8"/>
      <c r="D40" s="8"/>
      <c r="E40" s="8"/>
      <c r="F40" s="8"/>
      <c r="G40" s="8"/>
      <c r="H40" s="8"/>
      <c r="I40" s="8"/>
      <c r="J40" s="8"/>
    </row>
    <row r="41" spans="1:12" s="54" customFormat="1" ht="20.100000000000001" customHeight="1" x14ac:dyDescent="0.25">
      <c r="A41" s="55"/>
      <c r="C41" s="8"/>
      <c r="D41" s="47" t="s">
        <v>252</v>
      </c>
      <c r="E41" s="47" t="s">
        <v>140</v>
      </c>
      <c r="F41" s="47" t="s">
        <v>254</v>
      </c>
      <c r="G41" s="47" t="s">
        <v>255</v>
      </c>
      <c r="H41" s="47" t="s">
        <v>256</v>
      </c>
      <c r="I41" s="47" t="s">
        <v>257</v>
      </c>
      <c r="J41" s="8"/>
      <c r="L41" s="54" t="s">
        <v>263</v>
      </c>
    </row>
    <row r="42" spans="1:12" ht="20.100000000000001" customHeight="1" x14ac:dyDescent="0.25">
      <c r="D42" s="10" t="s">
        <v>264</v>
      </c>
      <c r="E42" s="105" t="str">
        <f>"Issued for generated electricity"</f>
        <v>Issued for generated electricity</v>
      </c>
      <c r="F42" s="104">
        <v>44697</v>
      </c>
      <c r="G42" s="10">
        <v>10</v>
      </c>
      <c r="H42" s="50">
        <f>Table_Input_RECConsumedByEntity[[#This Row],[Number of certificates]]</f>
        <v>10</v>
      </c>
      <c r="I42" s="50" t="str">
        <f>IF(AND(Table_Input_RECConsumedByEntity[[#This Row],[Generation date]]&gt;=DATEVALUE($E$25), Table_Input_RECConsumedByEntity[[#This Row],[Generation date]]&lt;= DATEVALUE($E$26)), "Elegible", "Ineligible - outside reporting year")</f>
        <v>Ineligible - outside reporting year</v>
      </c>
    </row>
    <row r="43" spans="1:12" ht="20.100000000000001" customHeight="1" x14ac:dyDescent="0.25">
      <c r="D43" s="10"/>
      <c r="E43" s="105" t="str">
        <f>"Issued for generated electricity"</f>
        <v>Issued for generated electricity</v>
      </c>
      <c r="F43" s="104">
        <v>45483</v>
      </c>
      <c r="G43" s="10">
        <v>4</v>
      </c>
      <c r="H43" s="50">
        <f>Table_Input_RECConsumedByEntity[[#This Row],[Number of certificates]]</f>
        <v>4</v>
      </c>
      <c r="I43" s="50" t="str">
        <f>IF(AND(Table_Input_RECConsumedByEntity[[#This Row],[Generation date]]&gt;=DATEVALUE($E$25), Table_Input_RECConsumedByEntity[[#This Row],[Generation date]]&lt;= DATEVALUE($E$26)), "Elegible", "Ineligible - outside reporting year")</f>
        <v>Elegible</v>
      </c>
    </row>
    <row r="44" spans="1:12" ht="20.100000000000001" customHeight="1" x14ac:dyDescent="0.25">
      <c r="A44" s="56"/>
      <c r="D44" s="10"/>
      <c r="E44" s="105" t="str">
        <f>"Issued for generated electricity"</f>
        <v>Issued for generated electricity</v>
      </c>
      <c r="F44" s="104">
        <v>45607</v>
      </c>
      <c r="G44" s="10">
        <v>7</v>
      </c>
      <c r="H44" s="50">
        <f>Table_Input_RECConsumedByEntity[[#This Row],[Number of certificates]]</f>
        <v>7</v>
      </c>
      <c r="I44" s="50" t="str">
        <f>IF(AND(Table_Input_RECConsumedByEntity[[#This Row],[Generation date]]&gt;=DATEVALUE($E$25), Table_Input_RECConsumedByEntity[[#This Row],[Generation date]]&lt;= DATEVALUE($E$26)), "Elegible", "Ineligible - outside reporting year")</f>
        <v>Elegible</v>
      </c>
    </row>
    <row r="45" spans="1:12" ht="20.100000000000001" customHeight="1" x14ac:dyDescent="0.25"/>
    <row r="46" spans="1:12" ht="20.100000000000001" customHeight="1" x14ac:dyDescent="0.25">
      <c r="D46" s="8" t="s">
        <v>265</v>
      </c>
      <c r="E46" s="50">
        <f>SUMIF(Table_Input_RECConsumedByEntity[Elegibility], "Elegible", Table_Input_RECConsumedByEntity[Number of certificates])</f>
        <v>11</v>
      </c>
      <c r="F46" s="68" t="s">
        <v>256</v>
      </c>
    </row>
    <row r="47" spans="1:12" ht="20.100000000000001" customHeight="1" x14ac:dyDescent="0.25"/>
    <row r="48" spans="1:12" ht="20.100000000000001" customHeight="1" x14ac:dyDescent="0.25"/>
    <row r="49" spans="4:4" ht="20.100000000000001" customHeight="1" x14ac:dyDescent="0.25"/>
    <row r="50" spans="4:4" ht="20.100000000000001" customHeight="1" x14ac:dyDescent="0.25"/>
    <row r="51" spans="4:4" ht="20.100000000000001" customHeight="1" x14ac:dyDescent="0.25"/>
    <row r="52" spans="4:4" ht="20.100000000000001" customHeight="1" x14ac:dyDescent="0.25"/>
    <row r="53" spans="4:4" ht="20.100000000000001" customHeight="1" x14ac:dyDescent="0.25">
      <c r="D53" s="106"/>
    </row>
    <row r="54" spans="4:4" ht="20.100000000000001" customHeight="1" x14ac:dyDescent="0.25"/>
    <row r="55" spans="4:4" ht="20.100000000000001" customHeight="1" x14ac:dyDescent="0.25">
      <c r="D55" s="106"/>
    </row>
    <row r="56" spans="4:4" ht="20.100000000000001" customHeight="1" x14ac:dyDescent="0.25">
      <c r="D56" s="106"/>
    </row>
    <row r="57" spans="4:4" ht="20.100000000000001" customHeight="1" x14ac:dyDescent="0.25"/>
    <row r="58" spans="4:4" ht="20.100000000000001" customHeight="1" x14ac:dyDescent="0.25"/>
    <row r="59" spans="4:4" ht="20.100000000000001" customHeight="1" x14ac:dyDescent="0.25"/>
    <row r="60" spans="4:4" ht="20.100000000000001" customHeight="1" x14ac:dyDescent="0.25"/>
    <row r="61" spans="4:4" ht="20.100000000000001" customHeight="1" x14ac:dyDescent="0.25"/>
    <row r="62" spans="4:4" ht="20.100000000000001" customHeight="1" x14ac:dyDescent="0.25"/>
    <row r="63" spans="4:4" ht="20.100000000000001" customHeight="1" x14ac:dyDescent="0.25"/>
    <row r="64" spans="4: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65" spans="4:4" x14ac:dyDescent="0.25">
      <c r="D365" s="57"/>
    </row>
  </sheetData>
  <conditionalFormatting sqref="F130:F131">
    <cfRule type="cellIs" dxfId="18" priority="8" operator="lessThan">
      <formula>0</formula>
    </cfRule>
  </conditionalFormatting>
  <conditionalFormatting sqref="F142:F143">
    <cfRule type="cellIs" dxfId="17" priority="7" operator="lessThan">
      <formula>0</formula>
    </cfRule>
  </conditionalFormatting>
  <conditionalFormatting sqref="F154:F155">
    <cfRule type="cellIs" dxfId="16" priority="6" operator="lessThan">
      <formula>0</formula>
    </cfRule>
  </conditionalFormatting>
  <conditionalFormatting sqref="F166:F167">
    <cfRule type="cellIs" dxfId="15" priority="5" operator="lessThan">
      <formula>0</formula>
    </cfRule>
  </conditionalFormatting>
  <conditionalFormatting sqref="F254:F255">
    <cfRule type="cellIs" dxfId="14" priority="17" operator="lessThan">
      <formula>0</formula>
    </cfRule>
  </conditionalFormatting>
  <conditionalFormatting sqref="F259:F260">
    <cfRule type="cellIs" dxfId="13" priority="16" operator="lessThan">
      <formula>0</formula>
    </cfRule>
  </conditionalFormatting>
  <conditionalFormatting sqref="F264:F265">
    <cfRule type="cellIs" dxfId="12" priority="15" operator="lessThan">
      <formula>0</formula>
    </cfRule>
  </conditionalFormatting>
  <conditionalFormatting sqref="F288:F289">
    <cfRule type="cellIs" dxfId="11" priority="14" operator="lessThan">
      <formula>0</formula>
    </cfRule>
  </conditionalFormatting>
  <conditionalFormatting sqref="F293:F294">
    <cfRule type="cellIs" dxfId="10" priority="13" operator="lessThan">
      <formula>0</formula>
    </cfRule>
  </conditionalFormatting>
  <conditionalFormatting sqref="F298:F299">
    <cfRule type="cellIs" dxfId="9" priority="12" operator="lessThan">
      <formula>0</formula>
    </cfRule>
  </conditionalFormatting>
  <conditionalFormatting sqref="I59:I63">
    <cfRule type="cellIs" dxfId="8" priority="4" operator="lessThan">
      <formula>0</formula>
    </cfRule>
  </conditionalFormatting>
  <conditionalFormatting sqref="I67 I126">
    <cfRule type="cellIs" dxfId="7" priority="10" operator="lessThan">
      <formula>0</formula>
    </cfRule>
  </conditionalFormatting>
  <conditionalFormatting sqref="I78:I80">
    <cfRule type="cellIs" dxfId="6" priority="3" operator="lessThan">
      <formula>0</formula>
    </cfRule>
  </conditionalFormatting>
  <conditionalFormatting sqref="I84:I87">
    <cfRule type="cellIs" dxfId="5" priority="2" operator="lessThan">
      <formula>0</formula>
    </cfRule>
  </conditionalFormatting>
  <conditionalFormatting sqref="I91:I95">
    <cfRule type="cellIs" dxfId="4" priority="1" operator="lessThan">
      <formula>0</formula>
    </cfRule>
  </conditionalFormatting>
  <conditionalFormatting sqref="J31 I45:I46 H47:H49 I48 I50:I52 I54:I55 I206 I212 E214:G214">
    <cfRule type="cellIs" dxfId="3" priority="11" operator="lessThan">
      <formula>0</formula>
    </cfRule>
  </conditionalFormatting>
  <conditionalFormatting sqref="J35 I36 J37 I39 F51">
    <cfRule type="cellIs" dxfId="2" priority="9" operator="lessThan">
      <formula>0</formula>
    </cfRule>
  </conditionalFormatting>
  <dataValidations count="6">
    <dataValidation type="list" allowBlank="1" showInputMessage="1" showErrorMessage="1" sqref="E33:E35" xr:uid="{FBACCABC-AF99-44FB-9146-6F32E67A5303}">
      <formula1>"Purchased certificate, Issued for generated electricity"</formula1>
    </dataValidation>
    <dataValidation type="list" allowBlank="1" showInputMessage="1" showErrorMessage="1" sqref="E13" xr:uid="{E4F8F83F-4341-4C8F-8B4E-3BD34EE5E4F4}">
      <formula1>INDIRECT("Table_SourceData_ElectricityEFs[State, Territory or grid description]")</formula1>
    </dataValidation>
    <dataValidation type="list" allowBlank="1" showInputMessage="1" showErrorMessage="1" sqref="E69" xr:uid="{5829DD4C-82EE-4484-BFD4-BF665CA59C05}">
      <formula1>INDIRECT("Table_SourceData_Swine_IrrigationMethods[Irrigation method]")</formula1>
    </dataValidation>
    <dataValidation type="list" allowBlank="1" showInputMessage="1" showErrorMessage="1" sqref="E253 E258 E263 E297 E292 E287 E165 E153 E129 E141" xr:uid="{110E900E-E296-4031-BCA4-9ED9DDD251B6}">
      <formula1>"Yes, No"</formula1>
    </dataValidation>
    <dataValidation type="list" allowBlank="1" showInputMessage="1" showErrorMessage="1" sqref="E229" xr:uid="{2AF8AB1C-BD2F-4557-A61A-4DD9335E9F3D}">
      <formula1>INDIRECT("Table_SourceData_Dairy_ProductionSystemTemplates[Area]")</formula1>
    </dataValidation>
    <dataValidation type="list" allowBlank="1" showInputMessage="1" showErrorMessage="1" sqref="D281" xr:uid="{80CC41A3-3729-4900-AAA2-039D4AFBBB7A}">
      <formula1>INDIRECT("Table_SourceData_PoultryMMSStage1[MMS]")</formula1>
    </dataValidation>
  </dataValidations>
  <pageMargins left="0.7" right="0.7" top="0.75" bottom="0.75" header="0.3" footer="0.3"/>
  <pageSetup paperSize="9" orientation="portrait" r:id="rId1"/>
  <tableParts count="2">
    <tablePart r:id="rId2"/>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1147D-A830-4473-A3AF-93B3D933246B}">
  <sheetPr>
    <tabColor theme="9" tint="-0.249977111117893"/>
  </sheetPr>
  <dimension ref="C1:AO640"/>
  <sheetViews>
    <sheetView showGridLines="0" topLeftCell="A93" zoomScaleNormal="100" workbookViewId="0">
      <selection activeCell="G100" sqref="G100"/>
    </sheetView>
  </sheetViews>
  <sheetFormatPr defaultRowHeight="15.75" x14ac:dyDescent="0.25"/>
  <cols>
    <col min="1" max="1" width="30.625" customWidth="1"/>
    <col min="2" max="2" width="4.625" customWidth="1"/>
    <col min="3" max="3" width="4.625" style="8" customWidth="1"/>
    <col min="4" max="40" width="30.625" style="8" customWidth="1"/>
    <col min="41" max="41" width="4.625" style="8" customWidth="1"/>
  </cols>
  <sheetData>
    <row r="1" spans="3:41" s="1" customFormat="1" ht="30" customHeight="1" x14ac:dyDescent="0.35">
      <c r="C1" s="1" t="s">
        <v>852</v>
      </c>
    </row>
    <row r="2" spans="3:41" s="2" customFormat="1" ht="20.100000000000001" customHeight="1" x14ac:dyDescent="0.25"/>
    <row r="3" spans="3:41" ht="20.100000000000001" customHeight="1" x14ac:dyDescent="0.25">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row>
    <row r="4" spans="3:41" ht="20.100000000000001" customHeight="1" x14ac:dyDescent="0.25"/>
    <row r="5" spans="3:41" ht="20.100000000000001" customHeight="1" x14ac:dyDescent="0.25">
      <c r="D5" s="9" t="s">
        <v>861</v>
      </c>
    </row>
    <row r="6" spans="3:41" ht="20.100000000000001" customHeight="1" x14ac:dyDescent="0.25">
      <c r="D6" s="11" t="s">
        <v>862</v>
      </c>
    </row>
    <row r="7" spans="3:41" ht="20.100000000000001" customHeight="1" x14ac:dyDescent="0.25">
      <c r="D7" s="178"/>
      <c r="E7" s="178"/>
    </row>
    <row r="8" spans="3:41" ht="20.100000000000001" customHeight="1" x14ac:dyDescent="0.25"/>
    <row r="9" spans="3:41" ht="20.100000000000001" customHeight="1" x14ac:dyDescent="0.25">
      <c r="H9" s="178"/>
    </row>
    <row r="10" spans="3:41" ht="20.100000000000001" customHeight="1" x14ac:dyDescent="0.25">
      <c r="D10" s="28" t="s">
        <v>641</v>
      </c>
      <c r="E10" s="8" t="s">
        <v>755</v>
      </c>
    </row>
    <row r="11" spans="3:41" ht="20.100000000000001" customHeight="1" x14ac:dyDescent="0.25">
      <c r="D11" s="28" t="s">
        <v>97</v>
      </c>
      <c r="E11" s="13" t="s">
        <v>860</v>
      </c>
    </row>
    <row r="12" spans="3:41" ht="20.100000000000001" customHeight="1" x14ac:dyDescent="0.25"/>
    <row r="13" spans="3:41" ht="20.100000000000001" customHeight="1" x14ac:dyDescent="0.25">
      <c r="D13" s="173" t="s">
        <v>863</v>
      </c>
      <c r="E13" s="177" t="s">
        <v>864</v>
      </c>
      <c r="F13" s="172"/>
      <c r="G13" s="173" t="s">
        <v>873</v>
      </c>
      <c r="H13" s="174" t="s">
        <v>874</v>
      </c>
    </row>
    <row r="14" spans="3:41" ht="20.100000000000001" customHeight="1" x14ac:dyDescent="0.25">
      <c r="D14" s="173" t="s">
        <v>865</v>
      </c>
      <c r="E14" s="177" t="s">
        <v>866</v>
      </c>
      <c r="F14" s="172"/>
      <c r="G14" s="173" t="s">
        <v>875</v>
      </c>
      <c r="H14" s="174" t="s">
        <v>874</v>
      </c>
    </row>
    <row r="15" spans="3:41" ht="20.100000000000001" customHeight="1" x14ac:dyDescent="0.25">
      <c r="D15" s="173" t="s">
        <v>867</v>
      </c>
      <c r="E15" s="177" t="s">
        <v>868</v>
      </c>
      <c r="F15" s="172"/>
      <c r="G15" s="173" t="s">
        <v>876</v>
      </c>
      <c r="H15" s="175" t="s">
        <v>877</v>
      </c>
    </row>
    <row r="16" spans="3:41" ht="20.100000000000001" customHeight="1" x14ac:dyDescent="0.25">
      <c r="D16" s="173" t="s">
        <v>869</v>
      </c>
      <c r="E16" s="177" t="s">
        <v>870</v>
      </c>
      <c r="F16" s="172"/>
      <c r="G16" s="173"/>
      <c r="H16" s="174" t="s">
        <v>874</v>
      </c>
    </row>
    <row r="17" spans="4:16" ht="20.100000000000001" customHeight="1" x14ac:dyDescent="0.25">
      <c r="D17" s="173" t="s">
        <v>871</v>
      </c>
      <c r="E17" s="177" t="s">
        <v>872</v>
      </c>
      <c r="F17" s="172"/>
      <c r="G17" s="173"/>
      <c r="H17" s="174" t="s">
        <v>874</v>
      </c>
    </row>
    <row r="18" spans="4:16" ht="20.100000000000001" customHeight="1" x14ac:dyDescent="0.25"/>
    <row r="19" spans="4:16" ht="20.100000000000001" customHeight="1" x14ac:dyDescent="0.25">
      <c r="D19" s="99" t="s">
        <v>579</v>
      </c>
      <c r="E19" s="115"/>
      <c r="F19" s="100"/>
    </row>
    <row r="20" spans="4:16" ht="20.100000000000001" customHeight="1" x14ac:dyDescent="0.25"/>
    <row r="21" spans="4:16" ht="20.100000000000001" customHeight="1" x14ac:dyDescent="0.25">
      <c r="D21" s="150" t="s">
        <v>328</v>
      </c>
    </row>
    <row r="22" spans="4:16" ht="20.100000000000001" customHeight="1" x14ac:dyDescent="0.25">
      <c r="D22" s="47" t="s">
        <v>367</v>
      </c>
      <c r="E22" s="158" t="s">
        <v>635</v>
      </c>
      <c r="F22" s="158" t="s">
        <v>634</v>
      </c>
      <c r="G22" s="158" t="s">
        <v>636</v>
      </c>
      <c r="H22" s="158" t="s">
        <v>637</v>
      </c>
      <c r="I22" s="60" t="s">
        <v>639</v>
      </c>
      <c r="J22" s="60" t="s">
        <v>647</v>
      </c>
      <c r="K22" s="158" t="s">
        <v>638</v>
      </c>
      <c r="L22" s="47" t="s">
        <v>640</v>
      </c>
      <c r="M22" s="60" t="s">
        <v>649</v>
      </c>
      <c r="N22" s="47" t="s">
        <v>643</v>
      </c>
      <c r="O22" s="47" t="s">
        <v>644</v>
      </c>
      <c r="P22" s="47" t="s">
        <v>645</v>
      </c>
    </row>
    <row r="23" spans="4:16" ht="20.100000000000001" customHeight="1" x14ac:dyDescent="0.25">
      <c r="D23" s="50" t="str" cm="1">
        <f t="array" ref="D23:D32">IFERROR(INDEX(Table_Input_LivestockPurchases_Beefcattle[Transaction name], _xlfn.SEQUENCE(10)), "")</f>
        <v>Cows from Barry</v>
      </c>
      <c r="E23" s="50" t="str" cm="1">
        <f t="array" ref="E23:E32">IFERROR(INDEX(Table_Input_LivestockPurchases_Beefcattle[Purchase class (select)], _xlfn.SEQUENCE(10)), "")</f>
        <v>Cattle, for prime beef</v>
      </c>
      <c r="F23" s="50" t="str" cm="1">
        <f t="array" ref="F23:F32">IFERROR(_xlfn.XLOOKUP(INDEX(Table_Input_LivestockPurchases_Beefcattle[Source region (Select)], _xlfn.SEQUENCE(10)), Table_ProductRegions_Beefcattle[Region],Table_ProductRegions_Beefcattle[Scope3 region]), "")</f>
        <v>WA</v>
      </c>
      <c r="G23" s="50" cm="1">
        <f t="array" ref="G23:G32">IFERROR(INDEX(Table_Input_LivestockPurchases_Beefcattle[Quantity (head)], _xlfn.SEQUENCE(10)), "")</f>
        <v>100</v>
      </c>
      <c r="H23" s="50" cm="1">
        <f t="array" ref="H23:H32">IFERROR(INDEX(Table_Input_LivestockPurchases_Beefcattle[Liveweight (kg/head) Method 1], _xlfn.SEQUENCE(10)), 0)</f>
        <v>210</v>
      </c>
      <c r="I23" s="50" cm="1">
        <f t="array" ref="I23">Common_InputFunctions.Utility_LookupValueInTableTwoColumns(E23,F23,Table_SourceData_Scope3_Animals[Product],Table_SourceData_Scope3_Animals[Region of origin],Table_SourceData_Scope3_Animals[AusLCI Emissions intensity], 0)</f>
        <v>20.8</v>
      </c>
      <c r="J23" s="157">
        <f>((G23 * H23 * I23) * 10 ^ -3)</f>
        <v>436.8</v>
      </c>
      <c r="K23" s="50" cm="1">
        <f t="array" ref="K23:K32">IFERROR(INDEX(Table_Input_LivestockPurchases_Beefcattle[Liveweight (kg/head) Method 2], _xlfn.SEQUENCE(10)), "")</f>
        <v>205</v>
      </c>
      <c r="L23" s="69">
        <v>20</v>
      </c>
      <c r="M23" s="157">
        <f>((G23 * K23 * (IF(L23, L23, I23))) * 10 ^ -3)</f>
        <v>410</v>
      </c>
      <c r="N23" s="86" t="s">
        <v>615</v>
      </c>
      <c r="O23" s="48" t="s">
        <v>614</v>
      </c>
      <c r="P23" t="s">
        <v>616</v>
      </c>
    </row>
    <row r="24" spans="4:16" ht="20.100000000000001" customHeight="1" x14ac:dyDescent="0.25">
      <c r="D24" s="50">
        <v>0</v>
      </c>
      <c r="E24" s="50" t="str">
        <v>Cattle, for manufacturing beef</v>
      </c>
      <c r="F24" s="50" t="str">
        <v>WA</v>
      </c>
      <c r="G24" s="50">
        <v>100</v>
      </c>
      <c r="H24" s="50">
        <v>470</v>
      </c>
      <c r="I24" s="50" cm="1">
        <f t="array" ref="I24">Common_InputFunctions.Utility_LookupValueInTableTwoColumns(E24,F24,Table_SourceData_Scope3_Animals[Product],Table_SourceData_Scope3_Animals[Region of origin],Table_SourceData_Scope3_Animals[AusLCI Emissions intensity], 0)</f>
        <v>13.1</v>
      </c>
      <c r="J24" s="157">
        <f>((G24 * H24 * I24) * 10 ^ -3)</f>
        <v>615.70000000000005</v>
      </c>
      <c r="K24" s="50">
        <v>465</v>
      </c>
      <c r="L24" s="69">
        <v>13</v>
      </c>
      <c r="M24" s="157">
        <f>((G24 * K24 * (IF(L24, L24, I24))) * 10 ^ -3)</f>
        <v>604.5</v>
      </c>
      <c r="N24" s="86"/>
      <c r="O24" s="48"/>
      <c r="P24" s="86"/>
    </row>
    <row r="25" spans="4:16" ht="20.100000000000001" customHeight="1" x14ac:dyDescent="0.25">
      <c r="D25" s="50">
        <v>0</v>
      </c>
      <c r="E25" s="50">
        <v>0</v>
      </c>
      <c r="F25" s="50" t="str">
        <v/>
      </c>
      <c r="G25" s="50">
        <v>0</v>
      </c>
      <c r="H25" s="50">
        <v>0</v>
      </c>
      <c r="I25" s="50" cm="1">
        <f t="array" ref="I25">Common_InputFunctions.Utility_LookupValueInTableTwoColumns(E25,F25,Table_SourceData_Scope3_Animals[Product],Table_SourceData_Scope3_Animals[Region of origin],Table_SourceData_Scope3_Animals[AusLCI Emissions intensity], 0)</f>
        <v>0</v>
      </c>
      <c r="J25" s="157">
        <f>((G25 * H25 * I25) * 10 ^ -3)</f>
        <v>0</v>
      </c>
      <c r="K25" s="50">
        <v>0</v>
      </c>
      <c r="L25" s="69"/>
      <c r="M25" s="157">
        <f>((G25 * K25 * (IF(L25, L25, I25))) * 10 ^ -3)</f>
        <v>0</v>
      </c>
      <c r="N25" s="86"/>
      <c r="O25" s="48"/>
      <c r="P25" s="86"/>
    </row>
    <row r="26" spans="4:16" ht="20.100000000000001" customHeight="1" x14ac:dyDescent="0.25">
      <c r="D26" s="50">
        <v>0</v>
      </c>
      <c r="E26" s="50">
        <v>0</v>
      </c>
      <c r="F26" s="50" t="str">
        <v/>
      </c>
      <c r="G26" s="50">
        <v>0</v>
      </c>
      <c r="H26" s="50">
        <v>0</v>
      </c>
      <c r="I26" s="50" cm="1">
        <f t="array" ref="I26">Common_InputFunctions.Utility_LookupValueInTableTwoColumns(E26,F26,Table_SourceData_Scope3_Animals[Product],Table_SourceData_Scope3_Animals[Region of origin],Table_SourceData_Scope3_Animals[AusLCI Emissions intensity], 0)</f>
        <v>0</v>
      </c>
      <c r="J26" s="157">
        <f>((G26 * H26 * I26) * 10 ^ -3)</f>
        <v>0</v>
      </c>
      <c r="K26" s="50">
        <v>0</v>
      </c>
      <c r="L26" s="69"/>
      <c r="M26" s="157">
        <f>((G26 * K26 * (IF(L26, L26, I26))) * 10 ^ -3)</f>
        <v>0</v>
      </c>
      <c r="N26" s="86"/>
      <c r="O26" s="48"/>
      <c r="P26" s="86"/>
    </row>
    <row r="27" spans="4:16" ht="20.100000000000001" customHeight="1" x14ac:dyDescent="0.25">
      <c r="D27" s="50">
        <v>0</v>
      </c>
      <c r="E27" s="50">
        <v>0</v>
      </c>
      <c r="F27" s="50" t="str">
        <v/>
      </c>
      <c r="G27" s="50">
        <v>0</v>
      </c>
      <c r="H27" s="50">
        <v>0</v>
      </c>
      <c r="I27" s="50" cm="1">
        <f t="array" ref="I27">Common_InputFunctions.Utility_LookupValueInTableTwoColumns(E27,F27,Table_SourceData_Scope3_Animals[Product],Table_SourceData_Scope3_Animals[Region of origin],Table_SourceData_Scope3_Animals[AusLCI Emissions intensity], 0)</f>
        <v>0</v>
      </c>
      <c r="J27" s="157">
        <f>((G27 * H27 * I27) * 10 ^ -3)</f>
        <v>0</v>
      </c>
      <c r="K27" s="50">
        <v>0</v>
      </c>
      <c r="L27" s="69"/>
      <c r="M27" s="157">
        <f>((G27 * K27 * (IF(L27, L27, I27))) * 10 ^ -3)</f>
        <v>0</v>
      </c>
      <c r="N27" s="86"/>
      <c r="O27" s="48"/>
      <c r="P27" s="86"/>
    </row>
    <row r="28" spans="4:16" ht="20.100000000000001" customHeight="1" x14ac:dyDescent="0.25">
      <c r="D28" s="50">
        <v>0</v>
      </c>
      <c r="E28" s="50">
        <v>0</v>
      </c>
      <c r="F28" s="50" t="str">
        <v/>
      </c>
      <c r="G28" s="50">
        <v>0</v>
      </c>
      <c r="H28" s="50">
        <v>0</v>
      </c>
      <c r="I28" s="50" cm="1">
        <f t="array" ref="I28">Common_InputFunctions.Utility_LookupValueInTableTwoColumns(E28,F28,Table_SourceData_Scope3_Animals[Product],Table_SourceData_Scope3_Animals[Region of origin],Table_SourceData_Scope3_Animals[AusLCI Emissions intensity], 0)</f>
        <v>0</v>
      </c>
      <c r="J28" s="157">
        <f>((G28 * H28 * I28) * 10 ^ -3)</f>
        <v>0</v>
      </c>
      <c r="K28" s="50">
        <v>0</v>
      </c>
      <c r="L28" s="69"/>
      <c r="M28" s="157">
        <f>((G28 * K28 * (IF(L28, L28, I28))) * 10 ^ -3)</f>
        <v>0</v>
      </c>
      <c r="N28" s="86"/>
      <c r="O28" s="48"/>
      <c r="P28" s="86"/>
    </row>
    <row r="29" spans="4:16" ht="20.100000000000001" customHeight="1" x14ac:dyDescent="0.25">
      <c r="D29" s="50">
        <v>0</v>
      </c>
      <c r="E29" s="50">
        <v>0</v>
      </c>
      <c r="F29" s="50" t="str">
        <v/>
      </c>
      <c r="G29" s="50">
        <v>0</v>
      </c>
      <c r="H29" s="50">
        <v>0</v>
      </c>
      <c r="I29" s="50" cm="1">
        <f t="array" ref="I29">Common_InputFunctions.Utility_LookupValueInTableTwoColumns(E29,F29,Table_SourceData_Scope3_Animals[Product],Table_SourceData_Scope3_Animals[Region of origin],Table_SourceData_Scope3_Animals[AusLCI Emissions intensity], 0)</f>
        <v>0</v>
      </c>
      <c r="J29" s="157">
        <f>((G29 * H29 * I29) * 10 ^ -3)</f>
        <v>0</v>
      </c>
      <c r="K29" s="50">
        <v>0</v>
      </c>
      <c r="L29" s="69"/>
      <c r="M29" s="157">
        <f>((G29 * K29 * (IF(L29, L29, I29))) * 10 ^ -3)</f>
        <v>0</v>
      </c>
      <c r="N29" s="86"/>
      <c r="O29" s="48"/>
      <c r="P29" s="86"/>
    </row>
    <row r="30" spans="4:16" ht="20.100000000000001" customHeight="1" x14ac:dyDescent="0.25">
      <c r="D30" s="50">
        <v>0</v>
      </c>
      <c r="E30" s="50">
        <v>0</v>
      </c>
      <c r="F30" s="50" t="str">
        <v/>
      </c>
      <c r="G30" s="50">
        <v>0</v>
      </c>
      <c r="H30" s="50">
        <v>0</v>
      </c>
      <c r="I30" s="50" cm="1">
        <f t="array" ref="I30">Common_InputFunctions.Utility_LookupValueInTableTwoColumns(E30,F30,Table_SourceData_Scope3_Animals[Product],Table_SourceData_Scope3_Animals[Region of origin],Table_SourceData_Scope3_Animals[AusLCI Emissions intensity], 0)</f>
        <v>0</v>
      </c>
      <c r="J30" s="157">
        <f>((G30 * H30 * I30) * 10 ^ -3)</f>
        <v>0</v>
      </c>
      <c r="K30" s="50">
        <v>0</v>
      </c>
      <c r="L30" s="69"/>
      <c r="M30" s="157">
        <f>((G30 * K30 * (IF(L30, L30, I30))) * 10 ^ -3)</f>
        <v>0</v>
      </c>
      <c r="N30" s="86"/>
      <c r="O30" s="48"/>
      <c r="P30" s="86"/>
    </row>
    <row r="31" spans="4:16" ht="20.100000000000001" customHeight="1" x14ac:dyDescent="0.25">
      <c r="D31" s="50">
        <v>0</v>
      </c>
      <c r="E31" s="50">
        <v>0</v>
      </c>
      <c r="F31" s="50" t="str">
        <v/>
      </c>
      <c r="G31" s="50">
        <v>0</v>
      </c>
      <c r="H31" s="50">
        <v>0</v>
      </c>
      <c r="I31" s="50" cm="1">
        <f t="array" ref="I31">Common_InputFunctions.Utility_LookupValueInTableTwoColumns(E31,F31,Table_SourceData_Scope3_Animals[Product],Table_SourceData_Scope3_Animals[Region of origin],Table_SourceData_Scope3_Animals[AusLCI Emissions intensity], 0)</f>
        <v>0</v>
      </c>
      <c r="J31" s="157">
        <f>((G31 * H31 * I31) * 10 ^ -3)</f>
        <v>0</v>
      </c>
      <c r="K31" s="50">
        <v>0</v>
      </c>
      <c r="L31" s="69"/>
      <c r="M31" s="157">
        <f>((G31 * K31 * (IF(L31, L31, I31))) * 10 ^ -3)</f>
        <v>0</v>
      </c>
      <c r="N31" s="86"/>
      <c r="O31" s="48"/>
      <c r="P31" s="86"/>
    </row>
    <row r="32" spans="4:16" ht="20.100000000000001" customHeight="1" x14ac:dyDescent="0.25">
      <c r="D32" s="50">
        <v>0</v>
      </c>
      <c r="E32" s="50">
        <v>0</v>
      </c>
      <c r="F32" s="50" t="str">
        <v/>
      </c>
      <c r="G32" s="50">
        <v>0</v>
      </c>
      <c r="H32" s="50">
        <v>0</v>
      </c>
      <c r="I32" s="50" cm="1">
        <f t="array" ref="I32">Common_InputFunctions.Utility_LookupValueInTableTwoColumns(E32,F32,Table_SourceData_Scope3_Animals[Product],Table_SourceData_Scope3_Animals[Region of origin],Table_SourceData_Scope3_Animals[AusLCI Emissions intensity], 0)</f>
        <v>0</v>
      </c>
      <c r="J32" s="157">
        <f>((G32 * H32 * I32) * 10 ^ -3)</f>
        <v>0</v>
      </c>
      <c r="K32" s="50">
        <v>0</v>
      </c>
      <c r="L32" s="69"/>
      <c r="M32" s="157">
        <f>((G32 * K32 * (IF(L32, L32, I32))) * 10 ^ -3)</f>
        <v>0</v>
      </c>
      <c r="N32" s="86"/>
      <c r="O32" s="48"/>
      <c r="P32" s="86"/>
    </row>
    <row r="33" spans="4:13" ht="20.100000000000001" customHeight="1" x14ac:dyDescent="0.25"/>
    <row r="34" spans="4:13" ht="20.100000000000001" customHeight="1" x14ac:dyDescent="0.25">
      <c r="D34" s="180" t="s">
        <v>663</v>
      </c>
      <c r="E34" s="102">
        <f>SUM(J23:J32)</f>
        <v>1052.5</v>
      </c>
      <c r="F34" s="181" t="str">
        <f>$E$11</f>
        <v>t CO2e</v>
      </c>
    </row>
    <row r="35" spans="4:13" ht="20.100000000000001" customHeight="1" x14ac:dyDescent="0.25">
      <c r="D35" s="180" t="s">
        <v>664</v>
      </c>
      <c r="E35" s="102">
        <f>SUM(M23:M32)</f>
        <v>1014.5</v>
      </c>
      <c r="F35" s="181" t="str">
        <f>$E$11</f>
        <v>t CO2e</v>
      </c>
    </row>
    <row r="36" spans="4:13" ht="20.100000000000001" customHeight="1" x14ac:dyDescent="0.25"/>
    <row r="37" spans="4:13" ht="20.100000000000001" customHeight="1" x14ac:dyDescent="0.25"/>
    <row r="38" spans="4:13" ht="20.100000000000001" customHeight="1" x14ac:dyDescent="0.25">
      <c r="D38" s="150" t="s">
        <v>344</v>
      </c>
    </row>
    <row r="39" spans="4:13" ht="20.100000000000001" customHeight="1" x14ac:dyDescent="0.25">
      <c r="D39" s="173" t="s">
        <v>642</v>
      </c>
      <c r="E39" s="50" cm="1">
        <f t="array" ref="E39">Common_InputFunctions.Utility_LookupValueInTableNumber("Dairy cows", Table_SourceData_Scope3_Animals[Product],Table_SourceData_Scope3_Animals[AusLCI Emissions intensity])</f>
        <v>4.41</v>
      </c>
    </row>
    <row r="40" spans="4:13" ht="20.100000000000001" customHeight="1" x14ac:dyDescent="0.25"/>
    <row r="41" spans="4:13" ht="20.100000000000001" customHeight="1" x14ac:dyDescent="0.25">
      <c r="D41" s="47" t="s">
        <v>367</v>
      </c>
      <c r="E41" s="158" t="s">
        <v>636</v>
      </c>
      <c r="F41" s="158" t="s">
        <v>637</v>
      </c>
      <c r="G41" s="60" t="s">
        <v>647</v>
      </c>
      <c r="H41" s="158" t="s">
        <v>638</v>
      </c>
      <c r="I41" s="47" t="s">
        <v>640</v>
      </c>
      <c r="J41" s="60" t="s">
        <v>649</v>
      </c>
      <c r="K41" s="47" t="s">
        <v>643</v>
      </c>
      <c r="L41" s="47" t="s">
        <v>644</v>
      </c>
      <c r="M41" s="47" t="s">
        <v>645</v>
      </c>
    </row>
    <row r="42" spans="4:13" ht="20.100000000000001" customHeight="1" x14ac:dyDescent="0.25">
      <c r="D42" s="50" t="str" cm="1">
        <f t="array" ref="D42:D51">IFERROR(INDEX(Table_Input_LivestockPurchases_Dairy[Transaction name], _xlfn.SEQUENCE(10)), "")</f>
        <v>Dairy cows from Denise</v>
      </c>
      <c r="E42" s="50" cm="1">
        <f t="array" ref="E42:E51">IFERROR(INDEX(Table_Input_LivestockPurchases_Dairy[Quantity (head)], _xlfn.SEQUENCE(10)), 0)</f>
        <v>100</v>
      </c>
      <c r="F42" s="50" cm="1">
        <f t="array" ref="F42:F51">IFERROR(INDEX(Table_Input_LivestockPurchases_Dairy[Liveweight (kg/head) Method 1], _xlfn.SEQUENCE(10)), 0)</f>
        <v>350</v>
      </c>
      <c r="G42" s="157">
        <f>((E42 * F42 * $E$39) * 10 ^ -3)</f>
        <v>154.35</v>
      </c>
      <c r="H42" s="50" cm="1">
        <f t="array" ref="H42:H51">IFERROR(INDEX(Table_Input_LivestockPurchases_Dairy[Liveweight (kg/head) Method 2], _xlfn.SEQUENCE(10)), "")</f>
        <v>350</v>
      </c>
      <c r="I42" s="69">
        <v>4</v>
      </c>
      <c r="J42" s="157">
        <f>((E42 * H42 * (IF(I42,I42,$E$39))) * 10 ^ -3)</f>
        <v>140</v>
      </c>
      <c r="K42" s="86" t="s">
        <v>615</v>
      </c>
      <c r="L42" s="48" t="s">
        <v>614</v>
      </c>
      <c r="M42" t="s">
        <v>616</v>
      </c>
    </row>
    <row r="43" spans="4:13" ht="20.100000000000001" customHeight="1" x14ac:dyDescent="0.25">
      <c r="D43" s="50">
        <v>0</v>
      </c>
      <c r="E43" s="50">
        <v>100</v>
      </c>
      <c r="F43" s="50">
        <v>650</v>
      </c>
      <c r="G43" s="157">
        <f>((E43 * F43 * $E$39) * 10 ^ -3)</f>
        <v>286.65000000000003</v>
      </c>
      <c r="H43" s="50">
        <v>625</v>
      </c>
      <c r="I43" s="69"/>
      <c r="J43" s="157">
        <f>((E43 * H43 * (IF(I43,I43,$E$39))) * 10 ^ -3)</f>
        <v>275.625</v>
      </c>
      <c r="K43" s="86"/>
      <c r="L43" s="48"/>
      <c r="M43" s="86"/>
    </row>
    <row r="44" spans="4:13" ht="20.100000000000001" customHeight="1" x14ac:dyDescent="0.25">
      <c r="D44" s="50">
        <v>0</v>
      </c>
      <c r="E44" s="50">
        <v>0</v>
      </c>
      <c r="F44" s="50">
        <v>600</v>
      </c>
      <c r="G44" s="157">
        <f>((E44 * F44 * $E$39) * 10 ^ -3)</f>
        <v>0</v>
      </c>
      <c r="H44" s="50">
        <v>0</v>
      </c>
      <c r="I44" s="69"/>
      <c r="J44" s="157">
        <f>((E44 * H44 * (IF(I44,I44,$E$39))) * 10 ^ -3)</f>
        <v>0</v>
      </c>
      <c r="K44" s="86"/>
      <c r="L44" s="48"/>
      <c r="M44" s="86"/>
    </row>
    <row r="45" spans="4:13" ht="20.100000000000001" customHeight="1" x14ac:dyDescent="0.25">
      <c r="D45" s="50">
        <v>0</v>
      </c>
      <c r="E45" s="50">
        <v>0</v>
      </c>
      <c r="F45" s="50">
        <v>0</v>
      </c>
      <c r="G45" s="157">
        <f>((E45 * F45 * $E$39) * 10 ^ -3)</f>
        <v>0</v>
      </c>
      <c r="H45" s="50">
        <v>0</v>
      </c>
      <c r="I45" s="69"/>
      <c r="J45" s="157">
        <f>((E45 * H45 * (IF(I45,I45,$E$39))) * 10 ^ -3)</f>
        <v>0</v>
      </c>
      <c r="K45" s="86"/>
      <c r="L45" s="48"/>
      <c r="M45" s="86"/>
    </row>
    <row r="46" spans="4:13" ht="20.100000000000001" customHeight="1" x14ac:dyDescent="0.25">
      <c r="D46" s="50">
        <v>0</v>
      </c>
      <c r="E46" s="50">
        <v>0</v>
      </c>
      <c r="F46" s="50">
        <v>0</v>
      </c>
      <c r="G46" s="157">
        <f>((E46 * F46 * $E$39) * 10 ^ -3)</f>
        <v>0</v>
      </c>
      <c r="H46" s="50">
        <v>0</v>
      </c>
      <c r="I46" s="69"/>
      <c r="J46" s="157">
        <f>((E46 * H46 * (IF(I46,I46,$E$39))) * 10 ^ -3)</f>
        <v>0</v>
      </c>
      <c r="K46" s="86"/>
      <c r="L46" s="48"/>
      <c r="M46" s="86"/>
    </row>
    <row r="47" spans="4:13" ht="20.100000000000001" customHeight="1" x14ac:dyDescent="0.25">
      <c r="D47" s="50">
        <v>0</v>
      </c>
      <c r="E47" s="50">
        <v>0</v>
      </c>
      <c r="F47" s="50">
        <v>0</v>
      </c>
      <c r="G47" s="157">
        <f>((E47 * F47 * $E$39) * 10 ^ -3)</f>
        <v>0</v>
      </c>
      <c r="H47" s="50">
        <v>0</v>
      </c>
      <c r="I47" s="69"/>
      <c r="J47" s="157">
        <f>((E47 * H47 * (IF(I47,I47,$E$39))) * 10 ^ -3)</f>
        <v>0</v>
      </c>
      <c r="K47" s="86"/>
      <c r="L47" s="48"/>
      <c r="M47" s="86"/>
    </row>
    <row r="48" spans="4:13" ht="20.100000000000001" customHeight="1" x14ac:dyDescent="0.25">
      <c r="D48" s="50">
        <v>0</v>
      </c>
      <c r="E48" s="50">
        <v>0</v>
      </c>
      <c r="F48" s="50">
        <v>0</v>
      </c>
      <c r="G48" s="157">
        <f>((E48 * F48 * $E$39) * 10 ^ -3)</f>
        <v>0</v>
      </c>
      <c r="H48" s="50">
        <v>0</v>
      </c>
      <c r="I48" s="69"/>
      <c r="J48" s="157">
        <f>((E48 * H48 * (IF(I48,I48,$E$39))) * 10 ^ -3)</f>
        <v>0</v>
      </c>
      <c r="K48" s="86"/>
      <c r="L48" s="48"/>
      <c r="M48" s="86"/>
    </row>
    <row r="49" spans="4:13" ht="20.100000000000001" customHeight="1" x14ac:dyDescent="0.25">
      <c r="D49" s="50">
        <v>0</v>
      </c>
      <c r="E49" s="50">
        <v>0</v>
      </c>
      <c r="F49" s="50">
        <v>0</v>
      </c>
      <c r="G49" s="157">
        <f>((E49 * F49 * $E$39) * 10 ^ -3)</f>
        <v>0</v>
      </c>
      <c r="H49" s="50">
        <v>0</v>
      </c>
      <c r="I49" s="69"/>
      <c r="J49" s="157">
        <f>((E49 * H49 * (IF(I49,I49,$E$39))) * 10 ^ -3)</f>
        <v>0</v>
      </c>
      <c r="K49" s="86"/>
      <c r="L49" s="48"/>
      <c r="M49" s="86"/>
    </row>
    <row r="50" spans="4:13" ht="20.100000000000001" customHeight="1" x14ac:dyDescent="0.25">
      <c r="D50" s="50">
        <v>0</v>
      </c>
      <c r="E50" s="50">
        <v>0</v>
      </c>
      <c r="F50" s="50">
        <v>0</v>
      </c>
      <c r="G50" s="157">
        <f>((E50 * F50 * $E$39) * 10 ^ -3)</f>
        <v>0</v>
      </c>
      <c r="H50" s="50">
        <v>0</v>
      </c>
      <c r="I50" s="69"/>
      <c r="J50" s="157">
        <f>((E50 * H50 * (IF(I50,I50,$E$39))) * 10 ^ -3)</f>
        <v>0</v>
      </c>
      <c r="K50" s="86"/>
      <c r="L50" s="48"/>
      <c r="M50" s="86"/>
    </row>
    <row r="51" spans="4:13" ht="20.100000000000001" customHeight="1" x14ac:dyDescent="0.25">
      <c r="D51" s="50">
        <v>0</v>
      </c>
      <c r="E51" s="50">
        <v>0</v>
      </c>
      <c r="F51" s="50">
        <v>0</v>
      </c>
      <c r="G51" s="157">
        <f>((E51 * F51 * $E$39) * 10 ^ -3)</f>
        <v>0</v>
      </c>
      <c r="H51" s="50">
        <v>0</v>
      </c>
      <c r="I51" s="69"/>
      <c r="J51" s="157">
        <f>((E51 * H51 * (IF(I51,I51,$E$39))) * 10 ^ -3)</f>
        <v>0</v>
      </c>
      <c r="K51" s="86"/>
      <c r="L51" s="48"/>
      <c r="M51" s="86"/>
    </row>
    <row r="52" spans="4:13" ht="20.100000000000001" customHeight="1" x14ac:dyDescent="0.25"/>
    <row r="53" spans="4:13" ht="20.100000000000001" customHeight="1" x14ac:dyDescent="0.25">
      <c r="D53" s="180" t="s">
        <v>661</v>
      </c>
      <c r="E53" s="102">
        <f>SUM(G42:G51)</f>
        <v>441</v>
      </c>
      <c r="F53" s="181" t="str">
        <f>$E$11</f>
        <v>t CO2e</v>
      </c>
    </row>
    <row r="54" spans="4:13" ht="20.100000000000001" customHeight="1" x14ac:dyDescent="0.25">
      <c r="D54" s="180" t="s">
        <v>662</v>
      </c>
      <c r="E54" s="102">
        <f>SUM(J42:J51)</f>
        <v>415.625</v>
      </c>
      <c r="F54" s="181" t="str">
        <f>$E$11</f>
        <v>t CO2e</v>
      </c>
    </row>
    <row r="55" spans="4:13" ht="20.100000000000001" customHeight="1" x14ac:dyDescent="0.25"/>
    <row r="56" spans="4:13" ht="20.100000000000001" customHeight="1" x14ac:dyDescent="0.25"/>
    <row r="57" spans="4:13" ht="20.100000000000001" customHeight="1" x14ac:dyDescent="0.25">
      <c r="D57" s="150" t="s">
        <v>552</v>
      </c>
    </row>
    <row r="58" spans="4:13" ht="20.100000000000001" customHeight="1" x14ac:dyDescent="0.25">
      <c r="D58" s="173" t="s">
        <v>642</v>
      </c>
      <c r="E58" s="50" cm="1">
        <f t="array" ref="E58">Common_InputFunctions.Utility_LookupValueInTableNumber("Pigs", Table_SourceData_Scope3_Animals[Product],Table_SourceData_Scope3_Animals[AusLCI Emissions intensity])</f>
        <v>3.38</v>
      </c>
    </row>
    <row r="59" spans="4:13" ht="20.100000000000001" customHeight="1" x14ac:dyDescent="0.25"/>
    <row r="60" spans="4:13" ht="20.100000000000001" customHeight="1" x14ac:dyDescent="0.25">
      <c r="D60" s="47" t="s">
        <v>367</v>
      </c>
      <c r="E60" s="158" t="s">
        <v>636</v>
      </c>
      <c r="F60" s="158" t="s">
        <v>637</v>
      </c>
      <c r="G60" s="60" t="s">
        <v>647</v>
      </c>
      <c r="H60" s="158" t="s">
        <v>638</v>
      </c>
      <c r="I60" s="47" t="s">
        <v>640</v>
      </c>
      <c r="J60" s="60" t="s">
        <v>649</v>
      </c>
      <c r="K60" s="47" t="s">
        <v>643</v>
      </c>
      <c r="L60" s="47" t="s">
        <v>644</v>
      </c>
      <c r="M60" s="47" t="s">
        <v>645</v>
      </c>
    </row>
    <row r="61" spans="4:13" ht="20.100000000000001" customHeight="1" x14ac:dyDescent="0.25">
      <c r="D61" s="50" t="str" cm="1">
        <f t="array" ref="D61:D70">IFERROR(INDEX(Table_Input_LivestockPurchases_Pigs[Transaction name], _xlfn.SEQUENCE(10)), "")</f>
        <v>Pigs from Pam</v>
      </c>
      <c r="E61" s="50" cm="1">
        <f t="array" ref="E61:E70">IFERROR(INDEX(Table_Input_LivestockPurchases_Pigs[Quantity (head)], _xlfn.SEQUENCE(10)), 0)</f>
        <v>100</v>
      </c>
      <c r="F61" s="50" cm="1">
        <f t="array" ref="F61:F70">IFERROR(INDEX(Table_Input_LivestockPurchases_Pigs[Liveweight (kg/head) Method 1], _xlfn.SEQUENCE(10)), 0)</f>
        <v>188</v>
      </c>
      <c r="G61" s="157">
        <f>((E61 * F61 * $E$58) * 10 ^ -3)</f>
        <v>63.544000000000004</v>
      </c>
      <c r="H61" s="50" cm="1">
        <f t="array" ref="H61:H70">IFERROR(INDEX(Table_Input_LivestockPurchases_Pigs[Liveweight (kg/head) Method 2], _xlfn.SEQUENCE(10)), 0)</f>
        <v>180</v>
      </c>
      <c r="I61" s="69">
        <v>3.38</v>
      </c>
      <c r="J61" s="157">
        <f>((E61 * H61 * (IF(I61, I61,$E$58))) * 10 ^ -3)</f>
        <v>60.84</v>
      </c>
      <c r="K61" s="86"/>
      <c r="L61" s="48"/>
      <c r="M61"/>
    </row>
    <row r="62" spans="4:13" ht="20.100000000000001" customHeight="1" x14ac:dyDescent="0.25">
      <c r="D62" s="50" t="str">
        <v>Swine from Samantha</v>
      </c>
      <c r="E62" s="50">
        <v>100</v>
      </c>
      <c r="F62" s="50">
        <v>39</v>
      </c>
      <c r="G62" s="157">
        <f>((E62 * F62 * $E$58) * 10 ^ -3)</f>
        <v>13.182</v>
      </c>
      <c r="H62" s="50">
        <v>38</v>
      </c>
      <c r="I62" s="69">
        <v>3.3</v>
      </c>
      <c r="J62" s="157">
        <f>((E62 * H62 * (IF(I62, I62,$E$58))) * 10 ^ -3)</f>
        <v>12.540000000000001</v>
      </c>
      <c r="K62" s="86"/>
      <c r="L62" s="48"/>
      <c r="M62" s="86"/>
    </row>
    <row r="63" spans="4:13" ht="20.100000000000001" customHeight="1" x14ac:dyDescent="0.25">
      <c r="D63" s="50">
        <v>0</v>
      </c>
      <c r="E63" s="50">
        <v>0</v>
      </c>
      <c r="F63" s="50">
        <v>0</v>
      </c>
      <c r="G63" s="157">
        <f>((E63 * F63 * $E$58) * 10 ^ -3)</f>
        <v>0</v>
      </c>
      <c r="H63" s="50">
        <v>0</v>
      </c>
      <c r="I63" s="69"/>
      <c r="J63" s="157">
        <f>((E63 * H63 * (IF(I63, I63,$E$58))) * 10 ^ -3)</f>
        <v>0</v>
      </c>
      <c r="K63" s="86"/>
      <c r="L63" s="48"/>
      <c r="M63" s="86"/>
    </row>
    <row r="64" spans="4:13" ht="20.100000000000001" customHeight="1" x14ac:dyDescent="0.25">
      <c r="D64" s="50">
        <v>0</v>
      </c>
      <c r="E64" s="50">
        <v>0</v>
      </c>
      <c r="F64" s="50">
        <v>0</v>
      </c>
      <c r="G64" s="157">
        <f>((E64 * F64 * $E$58) * 10 ^ -3)</f>
        <v>0</v>
      </c>
      <c r="H64" s="50">
        <v>0</v>
      </c>
      <c r="I64" s="69"/>
      <c r="J64" s="157">
        <f>((E64 * H64 * (IF(I64, I64,$E$58))) * 10 ^ -3)</f>
        <v>0</v>
      </c>
      <c r="K64" s="86"/>
      <c r="L64" s="48"/>
      <c r="M64" s="86"/>
    </row>
    <row r="65" spans="4:13" ht="20.100000000000001" customHeight="1" x14ac:dyDescent="0.25">
      <c r="D65" s="50">
        <v>0</v>
      </c>
      <c r="E65" s="50">
        <v>0</v>
      </c>
      <c r="F65" s="50">
        <v>0</v>
      </c>
      <c r="G65" s="157">
        <f>((E65 * F65 * $E$58) * 10 ^ -3)</f>
        <v>0</v>
      </c>
      <c r="H65" s="50">
        <v>0</v>
      </c>
      <c r="I65" s="69"/>
      <c r="J65" s="157">
        <f>((E65 * H65 * (IF(I65, I65,$E$58))) * 10 ^ -3)</f>
        <v>0</v>
      </c>
      <c r="K65" s="86"/>
      <c r="L65" s="48"/>
      <c r="M65" s="86"/>
    </row>
    <row r="66" spans="4:13" ht="20.100000000000001" customHeight="1" x14ac:dyDescent="0.25">
      <c r="D66" s="50">
        <v>0</v>
      </c>
      <c r="E66" s="50">
        <v>0</v>
      </c>
      <c r="F66" s="50">
        <v>0</v>
      </c>
      <c r="G66" s="157">
        <f>((E66 * F66 * $E$58) * 10 ^ -3)</f>
        <v>0</v>
      </c>
      <c r="H66" s="50">
        <v>0</v>
      </c>
      <c r="I66" s="69"/>
      <c r="J66" s="157">
        <f>((E66 * H66 * (IF(I66, I66,$E$58))) * 10 ^ -3)</f>
        <v>0</v>
      </c>
      <c r="K66" s="86"/>
      <c r="L66" s="48"/>
      <c r="M66" s="86"/>
    </row>
    <row r="67" spans="4:13" ht="20.100000000000001" customHeight="1" x14ac:dyDescent="0.25">
      <c r="D67" s="50">
        <v>0</v>
      </c>
      <c r="E67" s="50">
        <v>0</v>
      </c>
      <c r="F67" s="50">
        <v>0</v>
      </c>
      <c r="G67" s="157">
        <f>((E67 * F67 * $E$58) * 10 ^ -3)</f>
        <v>0</v>
      </c>
      <c r="H67" s="50">
        <v>0</v>
      </c>
      <c r="I67" s="69"/>
      <c r="J67" s="157">
        <f>((E67 * H67 * (IF(I67, I67,$E$58))) * 10 ^ -3)</f>
        <v>0</v>
      </c>
      <c r="K67" s="86"/>
      <c r="L67" s="48"/>
      <c r="M67" s="86"/>
    </row>
    <row r="68" spans="4:13" ht="20.100000000000001" customHeight="1" x14ac:dyDescent="0.25">
      <c r="D68" s="50">
        <v>0</v>
      </c>
      <c r="E68" s="50">
        <v>0</v>
      </c>
      <c r="F68" s="50">
        <v>0</v>
      </c>
      <c r="G68" s="157">
        <f>((E68 * F68 * $E$58) * 10 ^ -3)</f>
        <v>0</v>
      </c>
      <c r="H68" s="50">
        <v>0</v>
      </c>
      <c r="I68" s="69"/>
      <c r="J68" s="157">
        <f>((E68 * H68 * (IF(I68, I68,$E$58))) * 10 ^ -3)</f>
        <v>0</v>
      </c>
      <c r="K68" s="86"/>
      <c r="L68" s="48"/>
      <c r="M68" s="86"/>
    </row>
    <row r="69" spans="4:13" ht="20.100000000000001" customHeight="1" x14ac:dyDescent="0.25">
      <c r="D69" s="50">
        <v>0</v>
      </c>
      <c r="E69" s="50">
        <v>0</v>
      </c>
      <c r="F69" s="50">
        <v>0</v>
      </c>
      <c r="G69" s="157">
        <f>((E69 * F69 * $E$58) * 10 ^ -3)</f>
        <v>0</v>
      </c>
      <c r="H69" s="50">
        <v>0</v>
      </c>
      <c r="I69" s="69"/>
      <c r="J69" s="157">
        <f>((E69 * H69 * (IF(I69, I69,$E$58))) * 10 ^ -3)</f>
        <v>0</v>
      </c>
      <c r="K69" s="86"/>
      <c r="L69" s="48"/>
      <c r="M69" s="86"/>
    </row>
    <row r="70" spans="4:13" ht="20.100000000000001" customHeight="1" x14ac:dyDescent="0.25">
      <c r="D70" s="50">
        <v>0</v>
      </c>
      <c r="E70" s="50">
        <v>0</v>
      </c>
      <c r="F70" s="50">
        <v>0</v>
      </c>
      <c r="G70" s="157">
        <f>((E70 * F70 * $E$58) * 10 ^ -3)</f>
        <v>0</v>
      </c>
      <c r="H70" s="50">
        <v>0</v>
      </c>
      <c r="I70" s="69"/>
      <c r="J70" s="157">
        <f>((E70 * H70 * (IF(I70, I70,$E$58))) * 10 ^ -3)</f>
        <v>0</v>
      </c>
      <c r="K70" s="86"/>
      <c r="L70" s="48"/>
      <c r="M70" s="86"/>
    </row>
    <row r="71" spans="4:13" ht="20.100000000000001" customHeight="1" x14ac:dyDescent="0.25"/>
    <row r="72" spans="4:13" ht="20.100000000000001" customHeight="1" x14ac:dyDescent="0.25">
      <c r="D72" s="180" t="s">
        <v>659</v>
      </c>
      <c r="E72" s="102">
        <f>SUM(G61:G70)</f>
        <v>76.725999999999999</v>
      </c>
      <c r="F72" s="181" t="str">
        <f>$E$11</f>
        <v>t CO2e</v>
      </c>
    </row>
    <row r="73" spans="4:13" ht="20.100000000000001" customHeight="1" x14ac:dyDescent="0.25">
      <c r="D73" s="180" t="s">
        <v>660</v>
      </c>
      <c r="E73" s="102">
        <f>SUM(J61:J70)</f>
        <v>73.38000000000001</v>
      </c>
      <c r="F73" s="181" t="str">
        <f>$E$11</f>
        <v>t CO2e</v>
      </c>
    </row>
    <row r="74" spans="4:13" ht="20.100000000000001" customHeight="1" x14ac:dyDescent="0.25"/>
    <row r="75" spans="4:13" ht="20.100000000000001" customHeight="1" x14ac:dyDescent="0.25">
      <c r="D75" s="150" t="s">
        <v>580</v>
      </c>
    </row>
    <row r="76" spans="4:13" ht="20.100000000000001" customHeight="1" x14ac:dyDescent="0.25">
      <c r="D76" s="173" t="s">
        <v>642</v>
      </c>
      <c r="E76" s="50" cm="1">
        <f t="array" ref="E76">Common_InputFunctions.Utility_LookupValueInTableNumber("Chickens", Table_SourceData_Scope3_Animals[Product],Table_SourceData_Scope3_Animals[AusLCI Emissions intensity])</f>
        <v>1.36</v>
      </c>
    </row>
    <row r="77" spans="4:13" ht="20.100000000000001" customHeight="1" x14ac:dyDescent="0.25"/>
    <row r="78" spans="4:13" ht="20.100000000000001" customHeight="1" x14ac:dyDescent="0.25">
      <c r="D78" s="47" t="s">
        <v>367</v>
      </c>
      <c r="E78" s="158" t="s">
        <v>636</v>
      </c>
      <c r="F78" s="158" t="s">
        <v>637</v>
      </c>
      <c r="G78" s="60" t="s">
        <v>647</v>
      </c>
      <c r="H78" s="158" t="s">
        <v>638</v>
      </c>
      <c r="I78" s="47" t="s">
        <v>640</v>
      </c>
      <c r="J78" s="60" t="s">
        <v>649</v>
      </c>
      <c r="K78" s="47" t="s">
        <v>643</v>
      </c>
      <c r="L78" s="47" t="s">
        <v>644</v>
      </c>
      <c r="M78" s="47" t="s">
        <v>645</v>
      </c>
    </row>
    <row r="79" spans="4:13" ht="20.100000000000001" customHeight="1" x14ac:dyDescent="0.25">
      <c r="D79" s="50" t="str" cm="1">
        <f t="array" ref="D79:D88">IFERROR(INDEX(Table_Input_LivestockPurchases_Poultry[Transaction name], _xlfn.SEQUENCE(10)), "")</f>
        <v>Chooks from Carolyn</v>
      </c>
      <c r="E79" s="50" cm="1">
        <f t="array" ref="E79:E88">IFERROR(INDEX(Table_Input_LivestockPurchases_Poultry[Quantity (head)], _xlfn.SEQUENCE(10)), "")</f>
        <v>100</v>
      </c>
      <c r="F79" s="50" cm="1">
        <f t="array" ref="F79:F88">IFERROR(INDEX(Table_Input_LivestockPurchases_Poultry[Liveweight (kg/head) Method 1], _xlfn.SEQUENCE(10)), "")</f>
        <v>1.3</v>
      </c>
      <c r="G79" s="157">
        <f>((E79 * F79 * $E$76) * 10 ^ -3)</f>
        <v>0.17680000000000001</v>
      </c>
      <c r="H79" s="50" cm="1">
        <f t="array" ref="H79:H88">IFERROR(INDEX(Table_Input_LivestockPurchases_Poultry[Liveweight (kg/head) Method 2], _xlfn.SEQUENCE(10)), "")</f>
        <v>1.3</v>
      </c>
      <c r="I79" s="69">
        <v>1.3</v>
      </c>
      <c r="J79" s="157">
        <f>((E79 * H79 * (IF(I79, I79,$E$76))) * 10 ^ -3)</f>
        <v>0.16900000000000001</v>
      </c>
      <c r="K79" s="86"/>
      <c r="L79" s="48"/>
      <c r="M79"/>
    </row>
    <row r="80" spans="4:13" ht="20.100000000000001" customHeight="1" x14ac:dyDescent="0.25">
      <c r="D80" s="50" t="str">
        <v>Roosters from Raj</v>
      </c>
      <c r="E80" s="50">
        <v>100</v>
      </c>
      <c r="F80" s="50">
        <v>1.4</v>
      </c>
      <c r="G80" s="157">
        <f>((E80 * F80 * $E$76) * 10 ^ -3)</f>
        <v>0.19040000000000001</v>
      </c>
      <c r="H80" s="50">
        <v>1.4</v>
      </c>
      <c r="I80" s="69"/>
      <c r="J80" s="157">
        <f>((E80 * H80 * (IF(I80, I80,$E$76))) * 10 ^ -3)</f>
        <v>0.19040000000000001</v>
      </c>
      <c r="K80" s="86"/>
      <c r="L80" s="48"/>
      <c r="M80" s="86"/>
    </row>
    <row r="81" spans="4:13" ht="20.100000000000001" customHeight="1" x14ac:dyDescent="0.25">
      <c r="D81" s="50">
        <v>0</v>
      </c>
      <c r="E81" s="50">
        <v>0</v>
      </c>
      <c r="F81" s="50">
        <v>0</v>
      </c>
      <c r="G81" s="157">
        <f>((E81 * F81 * $E$76) * 10 ^ -3)</f>
        <v>0</v>
      </c>
      <c r="H81" s="50">
        <v>0</v>
      </c>
      <c r="I81" s="69"/>
      <c r="J81" s="157">
        <f>((E81 * H81 * (IF(I81, I81,$E$76))) * 10 ^ -3)</f>
        <v>0</v>
      </c>
      <c r="K81" s="86"/>
      <c r="L81" s="48"/>
      <c r="M81" s="86"/>
    </row>
    <row r="82" spans="4:13" ht="20.100000000000001" customHeight="1" x14ac:dyDescent="0.25">
      <c r="D82" s="50">
        <v>0</v>
      </c>
      <c r="E82" s="50">
        <v>0</v>
      </c>
      <c r="F82" s="50">
        <v>0</v>
      </c>
      <c r="G82" s="157">
        <f>((E82 * F82 * $E$76) * 10 ^ -3)</f>
        <v>0</v>
      </c>
      <c r="H82" s="50">
        <v>0</v>
      </c>
      <c r="I82" s="69"/>
      <c r="J82" s="157">
        <f>((E82 * H82 * (IF(I82, I82,$E$76))) * 10 ^ -3)</f>
        <v>0</v>
      </c>
      <c r="K82" s="86"/>
      <c r="L82" s="48"/>
      <c r="M82" s="86"/>
    </row>
    <row r="83" spans="4:13" ht="20.100000000000001" customHeight="1" x14ac:dyDescent="0.25">
      <c r="D83" s="50">
        <v>0</v>
      </c>
      <c r="E83" s="50">
        <v>0</v>
      </c>
      <c r="F83" s="50">
        <v>0</v>
      </c>
      <c r="G83" s="157">
        <f>((E83 * F83 * $E$76) * 10 ^ -3)</f>
        <v>0</v>
      </c>
      <c r="H83" s="50">
        <v>0</v>
      </c>
      <c r="I83" s="69"/>
      <c r="J83" s="157">
        <f>((E83 * H83 * (IF(I83, I83,$E$76))) * 10 ^ -3)</f>
        <v>0</v>
      </c>
      <c r="K83" s="86"/>
      <c r="L83" s="48"/>
      <c r="M83" s="86"/>
    </row>
    <row r="84" spans="4:13" ht="20.100000000000001" customHeight="1" x14ac:dyDescent="0.25">
      <c r="D84" s="50">
        <v>0</v>
      </c>
      <c r="E84" s="50">
        <v>0</v>
      </c>
      <c r="F84" s="50">
        <v>0</v>
      </c>
      <c r="G84" s="157">
        <f>((E84 * F84 * $E$76) * 10 ^ -3)</f>
        <v>0</v>
      </c>
      <c r="H84" s="50">
        <v>0</v>
      </c>
      <c r="I84" s="69"/>
      <c r="J84" s="157">
        <f>((E84 * H84 * (IF(I84, I84,$E$76))) * 10 ^ -3)</f>
        <v>0</v>
      </c>
      <c r="K84" s="86"/>
      <c r="L84" s="48"/>
      <c r="M84" s="86"/>
    </row>
    <row r="85" spans="4:13" ht="20.100000000000001" customHeight="1" x14ac:dyDescent="0.25">
      <c r="D85" s="50">
        <v>0</v>
      </c>
      <c r="E85" s="50">
        <v>0</v>
      </c>
      <c r="F85" s="50">
        <v>0</v>
      </c>
      <c r="G85" s="157">
        <f>((E85 * F85 * $E$76) * 10 ^ -3)</f>
        <v>0</v>
      </c>
      <c r="H85" s="50">
        <v>0</v>
      </c>
      <c r="I85" s="69"/>
      <c r="J85" s="157">
        <f>((E85 * H85 * (IF(I85, I85,$E$76))) * 10 ^ -3)</f>
        <v>0</v>
      </c>
      <c r="K85" s="86"/>
      <c r="L85" s="48"/>
      <c r="M85" s="86"/>
    </row>
    <row r="86" spans="4:13" ht="20.100000000000001" customHeight="1" x14ac:dyDescent="0.25">
      <c r="D86" s="50">
        <v>0</v>
      </c>
      <c r="E86" s="50">
        <v>0</v>
      </c>
      <c r="F86" s="50">
        <v>0</v>
      </c>
      <c r="G86" s="157">
        <f>((E86 * F86 * $E$76) * 10 ^ -3)</f>
        <v>0</v>
      </c>
      <c r="H86" s="50">
        <v>0</v>
      </c>
      <c r="I86" s="69"/>
      <c r="J86" s="157">
        <f>((E86 * H86 * (IF(I86, I86,$E$76))) * 10 ^ -3)</f>
        <v>0</v>
      </c>
      <c r="K86" s="86"/>
      <c r="L86" s="48"/>
      <c r="M86" s="86"/>
    </row>
    <row r="87" spans="4:13" ht="20.100000000000001" customHeight="1" x14ac:dyDescent="0.25">
      <c r="D87" s="50">
        <v>0</v>
      </c>
      <c r="E87" s="50">
        <v>0</v>
      </c>
      <c r="F87" s="50">
        <v>0</v>
      </c>
      <c r="G87" s="157">
        <f>((E87 * F87 * $E$76) * 10 ^ -3)</f>
        <v>0</v>
      </c>
      <c r="H87" s="50">
        <v>0</v>
      </c>
      <c r="I87" s="69"/>
      <c r="J87" s="157">
        <f>((E87 * H87 * (IF(I87, I87,$E$76))) * 10 ^ -3)</f>
        <v>0</v>
      </c>
      <c r="K87" s="86"/>
      <c r="L87" s="48"/>
      <c r="M87" s="86"/>
    </row>
    <row r="88" spans="4:13" ht="20.100000000000001" customHeight="1" x14ac:dyDescent="0.25">
      <c r="D88" s="50">
        <v>0</v>
      </c>
      <c r="E88" s="50">
        <v>0</v>
      </c>
      <c r="F88" s="50">
        <v>0</v>
      </c>
      <c r="G88" s="157">
        <f>((E88 * F88 * $E$76) * 10 ^ -3)</f>
        <v>0</v>
      </c>
      <c r="H88" s="50">
        <v>0</v>
      </c>
      <c r="I88" s="69"/>
      <c r="J88" s="157">
        <f>((E88 * H88 * (IF(I88, I88,$E$76))) * 10 ^ -3)</f>
        <v>0</v>
      </c>
      <c r="K88" s="86"/>
      <c r="L88" s="48"/>
      <c r="M88" s="86"/>
    </row>
    <row r="89" spans="4:13" ht="20.100000000000001" customHeight="1" x14ac:dyDescent="0.25"/>
    <row r="90" spans="4:13" ht="20.100000000000001" customHeight="1" x14ac:dyDescent="0.25">
      <c r="D90" s="180" t="s">
        <v>657</v>
      </c>
      <c r="E90" s="102">
        <f>SUM(G79:G88)</f>
        <v>0.36720000000000003</v>
      </c>
      <c r="F90" s="181" t="str">
        <f>$E$11</f>
        <v>t CO2e</v>
      </c>
    </row>
    <row r="91" spans="4:13" ht="20.100000000000001" customHeight="1" x14ac:dyDescent="0.25">
      <c r="D91" s="180" t="s">
        <v>658</v>
      </c>
      <c r="E91" s="102">
        <f>SUM(J79:J88)</f>
        <v>0.35940000000000005</v>
      </c>
      <c r="F91" s="181" t="str">
        <f>$E$11</f>
        <v>t CO2e</v>
      </c>
    </row>
    <row r="92" spans="4:13" ht="20.100000000000001" customHeight="1" x14ac:dyDescent="0.25"/>
    <row r="93" spans="4:13" ht="20.100000000000001" customHeight="1" x14ac:dyDescent="0.25">
      <c r="D93" s="182" t="s">
        <v>647</v>
      </c>
      <c r="E93" s="183">
        <f>E34+E53+E72+E90</f>
        <v>1570.5932</v>
      </c>
      <c r="F93" s="184" t="str">
        <f>$E$11</f>
        <v>t CO2e</v>
      </c>
    </row>
    <row r="94" spans="4:13" ht="20.100000000000001" customHeight="1" x14ac:dyDescent="0.25">
      <c r="D94" s="182" t="s">
        <v>649</v>
      </c>
      <c r="E94" s="183">
        <f>E35+E54+E73+E91</f>
        <v>1503.8644000000002</v>
      </c>
      <c r="F94" s="184" t="str">
        <f>$E$11</f>
        <v>t CO2e</v>
      </c>
    </row>
    <row r="95" spans="4:13" ht="20.100000000000001" customHeight="1" x14ac:dyDescent="0.25"/>
    <row r="96" spans="4:13" ht="20.100000000000001" customHeight="1" x14ac:dyDescent="0.25"/>
    <row r="97" spans="3:41" ht="20.100000000000001" customHeight="1" x14ac:dyDescent="0.25">
      <c r="C97" s="102"/>
      <c r="D97" s="102"/>
      <c r="E97" s="102"/>
      <c r="F97" s="102"/>
      <c r="G97" s="102"/>
      <c r="H97" s="102"/>
      <c r="I97" s="102"/>
      <c r="J97" s="102"/>
      <c r="K97" s="102"/>
      <c r="L97" s="102"/>
      <c r="M97" s="102"/>
      <c r="N97" s="102"/>
      <c r="O97" s="102"/>
      <c r="P97" s="102"/>
      <c r="Q97" s="102"/>
      <c r="R97" s="102"/>
      <c r="S97" s="102"/>
      <c r="T97" s="102"/>
      <c r="U97" s="102"/>
      <c r="V97" s="102"/>
      <c r="W97" s="102"/>
      <c r="X97" s="102"/>
      <c r="Y97" s="102"/>
      <c r="Z97" s="102"/>
      <c r="AA97" s="102"/>
      <c r="AB97" s="102"/>
      <c r="AC97" s="102"/>
      <c r="AD97" s="102"/>
      <c r="AE97" s="102"/>
      <c r="AF97" s="102"/>
      <c r="AG97" s="102"/>
      <c r="AH97" s="102"/>
      <c r="AI97" s="102"/>
      <c r="AJ97" s="102"/>
      <c r="AK97" s="102"/>
      <c r="AL97" s="102"/>
      <c r="AM97" s="102"/>
      <c r="AN97" s="102"/>
      <c r="AO97" s="102"/>
    </row>
    <row r="98" spans="3:41" ht="20.100000000000001" customHeight="1" x14ac:dyDescent="0.25">
      <c r="D98" s="9" t="s">
        <v>878</v>
      </c>
    </row>
    <row r="99" spans="3:41" ht="20.100000000000001" customHeight="1" x14ac:dyDescent="0.25">
      <c r="D99" s="11" t="s">
        <v>879</v>
      </c>
    </row>
    <row r="100" spans="3:41" ht="20.100000000000001" customHeight="1" x14ac:dyDescent="0.25">
      <c r="D100" s="178"/>
      <c r="E100" s="178"/>
    </row>
    <row r="101" spans="3:41" ht="20.100000000000001" customHeight="1" x14ac:dyDescent="0.25"/>
    <row r="102" spans="3:41" ht="20.100000000000001" customHeight="1" x14ac:dyDescent="0.25">
      <c r="H102" s="178"/>
    </row>
    <row r="103" spans="3:41" ht="20.100000000000001" customHeight="1" x14ac:dyDescent="0.25">
      <c r="D103" s="28" t="s">
        <v>641</v>
      </c>
      <c r="E103" s="8" t="s">
        <v>755</v>
      </c>
    </row>
    <row r="104" spans="3:41" ht="20.100000000000001" customHeight="1" x14ac:dyDescent="0.25">
      <c r="D104" s="28" t="s">
        <v>97</v>
      </c>
      <c r="E104" s="13" t="s">
        <v>860</v>
      </c>
    </row>
    <row r="105" spans="3:41" ht="20.100000000000001" customHeight="1" x14ac:dyDescent="0.25"/>
    <row r="106" spans="3:41" ht="20.100000000000001" customHeight="1" x14ac:dyDescent="0.25">
      <c r="D106" s="173" t="s">
        <v>880</v>
      </c>
      <c r="E106" s="177" t="s">
        <v>881</v>
      </c>
      <c r="F106" s="172"/>
      <c r="G106" s="173" t="s">
        <v>886</v>
      </c>
      <c r="H106" s="174" t="s">
        <v>874</v>
      </c>
    </row>
    <row r="107" spans="3:41" ht="20.100000000000001" customHeight="1" x14ac:dyDescent="0.25">
      <c r="D107" s="173" t="s">
        <v>882</v>
      </c>
      <c r="E107" s="177" t="s">
        <v>883</v>
      </c>
      <c r="F107" s="172"/>
      <c r="G107" s="173" t="s">
        <v>876</v>
      </c>
      <c r="H107" s="174" t="s">
        <v>877</v>
      </c>
    </row>
    <row r="108" spans="3:41" ht="20.100000000000001" customHeight="1" x14ac:dyDescent="0.25">
      <c r="D108" s="173" t="s">
        <v>884</v>
      </c>
      <c r="E108" s="177" t="s">
        <v>885</v>
      </c>
      <c r="F108" s="172"/>
      <c r="G108" s="173"/>
      <c r="H108" s="175" t="s">
        <v>874</v>
      </c>
    </row>
    <row r="109" spans="3:41" ht="20.100000000000001" customHeight="1" x14ac:dyDescent="0.25"/>
    <row r="110" spans="3:41" ht="20.100000000000001" customHeight="1" x14ac:dyDescent="0.25">
      <c r="D110" s="150" t="s">
        <v>295</v>
      </c>
    </row>
    <row r="111" spans="3:41" ht="20.100000000000001" customHeight="1" x14ac:dyDescent="0.25"/>
    <row r="112" spans="3:41" ht="20.100000000000001" customHeight="1" x14ac:dyDescent="0.25">
      <c r="D112" s="40" t="s">
        <v>651</v>
      </c>
      <c r="E112" s="42"/>
      <c r="F112" s="40"/>
      <c r="G112" s="41"/>
      <c r="H112" s="42"/>
    </row>
    <row r="113" spans="4:28" ht="20.100000000000001" customHeight="1" x14ac:dyDescent="0.25">
      <c r="D113" s="92" t="s">
        <v>652</v>
      </c>
      <c r="E113" s="94"/>
      <c r="F113" s="92"/>
      <c r="G113" s="93"/>
      <c r="H113" s="94"/>
    </row>
    <row r="114" spans="4:28" ht="20.100000000000001" customHeight="1" x14ac:dyDescent="0.25">
      <c r="D114" s="44" t="s">
        <v>653</v>
      </c>
      <c r="E114" s="46"/>
      <c r="F114" s="44"/>
      <c r="G114" s="45"/>
      <c r="H114" s="46"/>
    </row>
    <row r="115" spans="4:28" ht="20.100000000000001" customHeight="1" x14ac:dyDescent="0.25"/>
    <row r="116" spans="4:28" ht="20.100000000000001" customHeight="1" x14ac:dyDescent="0.25">
      <c r="D116" s="99" t="s">
        <v>408</v>
      </c>
      <c r="E116" s="115"/>
      <c r="F116" s="100"/>
    </row>
    <row r="117" spans="4:28" ht="20.100000000000001" customHeight="1" x14ac:dyDescent="0.25"/>
    <row r="118" spans="4:28" ht="20.100000000000001" customHeight="1" x14ac:dyDescent="0.25">
      <c r="D118" s="47" t="s">
        <v>412</v>
      </c>
      <c r="E118" s="47" t="s">
        <v>646</v>
      </c>
      <c r="F118" s="60" t="s">
        <v>650</v>
      </c>
      <c r="G118" s="60" t="s">
        <v>647</v>
      </c>
      <c r="H118" s="47" t="s">
        <v>648</v>
      </c>
      <c r="I118" s="60" t="s">
        <v>649</v>
      </c>
      <c r="J118" s="47" t="s">
        <v>643</v>
      </c>
      <c r="K118" s="47" t="s">
        <v>644</v>
      </c>
      <c r="L118" s="47" t="s">
        <v>645</v>
      </c>
      <c r="M118" s="60" t="s">
        <v>174</v>
      </c>
      <c r="N118" s="60" t="s">
        <v>391</v>
      </c>
      <c r="O118" s="60" t="s">
        <v>175</v>
      </c>
      <c r="P118" s="60" t="s">
        <v>351</v>
      </c>
      <c r="Q118" s="60" t="s">
        <v>176</v>
      </c>
      <c r="R118" s="60" t="s">
        <v>409</v>
      </c>
      <c r="S118" s="60" t="s">
        <v>177</v>
      </c>
      <c r="T118" s="60" t="s">
        <v>355</v>
      </c>
      <c r="U118" s="60" t="s">
        <v>178</v>
      </c>
      <c r="V118" s="60" t="s">
        <v>410</v>
      </c>
      <c r="W118" s="60" t="s">
        <v>179</v>
      </c>
      <c r="X118" s="60" t="s">
        <v>356</v>
      </c>
      <c r="Y118" s="60" t="s">
        <v>180</v>
      </c>
      <c r="Z118" s="60" t="s">
        <v>411</v>
      </c>
      <c r="AA118" s="60" t="s">
        <v>181</v>
      </c>
      <c r="AB118" s="60" t="s">
        <v>357</v>
      </c>
    </row>
    <row r="119" spans="4:28" ht="20.100000000000001" customHeight="1" x14ac:dyDescent="0.25">
      <c r="D119" s="50" cm="1">
        <f t="array" ref="D119:D128">IFERROR(INDEX(Table_Input_FeedBlends[Feed blend name], _xlfn.SEQUENCE(10)), "")</f>
        <v>0</v>
      </c>
      <c r="E119" s="50" cm="1">
        <f t="array" ref="E119:E128">IFERROR(INDEX(Table_Input_FeedBlends[Amount fed (kg)], _xlfn.SEQUENCE(10)), "")</f>
        <v>1200</v>
      </c>
      <c r="F119" s="50">
        <f t="shared" ref="F119:F128" si="0">IFERROR((O119*P119)+(S119*T119)+(W119*X119)+(AA119*AB119), 0)</f>
        <v>4.3399999999999994E-2</v>
      </c>
      <c r="G119" s="157">
        <f>(E119 * F119)</f>
        <v>52.079999999999991</v>
      </c>
      <c r="H119" s="69">
        <v>0.04</v>
      </c>
      <c r="I119" s="157">
        <f>(E119 * (IF(H119,H119, F119)))</f>
        <v>48</v>
      </c>
      <c r="J119" s="86"/>
      <c r="K119" s="48"/>
      <c r="L119"/>
      <c r="M119" s="50" t="str" cm="1">
        <f t="array" ref="M119:M128">IFERROR(INDEX(Table_Input_FeedBlends[Ingredient 1 (select)], _xlfn.SEQUENCE(10)), "")</f>
        <v>Oaten hay</v>
      </c>
      <c r="N119" s="50" t="str" cm="1">
        <f t="array" ref="N119:N128">IFERROR(INDEX(Table_Input_FeedBlends[Ingredient 1 source region], _xlfn.SEQUENCE(10)), "")</f>
        <v>WA</v>
      </c>
      <c r="O119" s="50" cm="1">
        <f t="array" ref="O119:O128">IFERROR(INDEX(Table_Input_FeedBlends[Ingredient 1 percent], _xlfn.SEQUENCE(10)), "")</f>
        <v>0.35</v>
      </c>
      <c r="P119" s="50" cm="1">
        <f t="array" ref="P119">_xlfn.LET(_xlpm.result, Common_InputFunctions.Utility_LookupValueInTableTwoColumns(M119, N119, Table_SourceData_Scope3_Feed[Product], Table_SourceData_Scope3_Feed[Region of origin], Table_SourceData_Scope3_Feed[AusLCI Emissions intensity]), IF(_xlpm.result="", 0, _xlpm.result))</f>
        <v>0.124</v>
      </c>
      <c r="Q119" s="50" t="str" cm="1">
        <f t="array" ref="Q119:Q128">IFERROR(INDEX(Table_Input_FeedBlends[Ingredient 2 (select)], _xlfn.SEQUENCE(10)), "")</f>
        <v>Sardines (whole)</v>
      </c>
      <c r="R119" s="50" t="str" cm="1">
        <f t="array" ref="R119:R128">IFERROR(INDEX(Table_Input_FeedBlends[Ingredient 2 source region], _xlfn.SEQUENCE(10)), "")</f>
        <v>SA</v>
      </c>
      <c r="S119" s="50" cm="1">
        <f t="array" ref="S119:S128">IFERROR(INDEX(Table_Input_FeedBlends[Ingredient 2 percent], _xlfn.SEQUENCE(10)), "")</f>
        <v>0.22</v>
      </c>
      <c r="T119" s="50" cm="1">
        <f t="array" ref="T119">_xlfn.LET(_xlpm.result, Common_InputFunctions.Utility_LookupValueInTableTwoColumns(Q119, _xlfn.IFS(Q119="Urea", IF(#REF!="", "Global",#REF!), Q119="Ammonia", IF(#REF!="", "Global",#REF!), TRUE, "Global"), Table_SourceData_Scope3_InorganicFertiliser[Chemical compound],Table_SourceData_Scope3_InorganicFertiliser[Region of origin],Table_SourceData_Scope3_InorganicFertiliser[AusLCI Emissions intensity]), IF(_xlpm.result="", 0, _xlpm.result))</f>
        <v>0</v>
      </c>
      <c r="U119" s="50" t="str" cm="1">
        <f t="array" ref="U119:U128">IFERROR(INDEX(Table_Input_FeedBlends[Ingredient 3 (select)], _xlfn.SEQUENCE(10)), "")</f>
        <v>Canola oil</v>
      </c>
      <c r="V119" s="50" t="str" cm="1">
        <f t="array" ref="V119:V128">IFERROR(INDEX(Table_Input_FeedBlends[Ingredient 3 source region], _xlfn.SEQUENCE(10)), "")</f>
        <v>Australia</v>
      </c>
      <c r="W119" s="50" cm="1">
        <f t="array" ref="W119:W128">IFERROR(INDEX(Table_Input_FeedBlends[Ingredient 3 percent], _xlfn.SEQUENCE(10)), "")</f>
        <v>0.12</v>
      </c>
      <c r="X119" s="50" cm="1">
        <f t="array" ref="X119">_xlfn.LET(_xlpm.result, Common_InputFunctions.Utility_LookupValueInTableTwoColumns(U119, _xlfn.IFS(U119="Urea", IF(#REF!="", "Global",#REF!), U119="Ammonia", IF(#REF!="", "Global",#REF!), TRUE, "Global"), Table_SourceData_Scope3_InorganicFertiliser[Chemical compound],Table_SourceData_Scope3_InorganicFertiliser[Region of origin],Table_SourceData_Scope3_InorganicFertiliser[AusLCI Emissions intensity]), IF(_xlpm.result="", 0, _xlpm.result))</f>
        <v>0</v>
      </c>
      <c r="Y119" s="50" t="str" cm="1">
        <f t="array" ref="Y119:Y128">IFERROR(INDEX(Table_Input_FeedBlends[Ingredient 4 (select)], _xlfn.SEQUENCE(10)), "")</f>
        <v>Molasses</v>
      </c>
      <c r="Z119" s="50" t="str" cm="1">
        <f t="array" ref="Z119:Z128">IFERROR(INDEX(Table_Input_FeedBlends[Ingredient 4 source region], _xlfn.SEQUENCE(10)), "")</f>
        <v>QLD</v>
      </c>
      <c r="AA119" s="50" cm="1">
        <f t="array" ref="AA119:AA128">IFERROR(INDEX(Table_Input_FeedBlends[Ingredient 4 percent], _xlfn.SEQUENCE(10)), "")</f>
        <v>0.05</v>
      </c>
      <c r="AB119" s="50" cm="1">
        <f t="array" ref="AB119">_xlfn.LET(_xlpm.result, Common_InputFunctions.Utility_LookupValueInTableTwoColumns(Y119, _xlfn.IFS(Y119="Urea", IF(#REF!="", "Global",#REF!), Y119="Ammonia", IF(#REF!="", "Global",#REF!), TRUE, "Global"), Table_SourceData_Scope3_InorganicFertiliser[Chemical compound],Table_SourceData_Scope3_InorganicFertiliser[Region of origin],Table_SourceData_Scope3_InorganicFertiliser[AusLCI Emissions intensity]), IF(_xlpm.result="", 0, _xlpm.result))</f>
        <v>0</v>
      </c>
    </row>
    <row r="120" spans="4:28" ht="20.100000000000001" customHeight="1" x14ac:dyDescent="0.25">
      <c r="D120" s="50">
        <v>0</v>
      </c>
      <c r="E120" s="50">
        <v>3456</v>
      </c>
      <c r="F120" s="50">
        <f t="shared" si="0"/>
        <v>2.7800000000000005E-2</v>
      </c>
      <c r="G120" s="157">
        <f>(E120 * F120)</f>
        <v>96.07680000000002</v>
      </c>
      <c r="H120" s="69">
        <v>0.03</v>
      </c>
      <c r="I120" s="157">
        <f>(E120 * (IF(H120,H120, F120)))</f>
        <v>103.67999999999999</v>
      </c>
      <c r="J120" s="86"/>
      <c r="K120" s="48"/>
      <c r="L120" s="86"/>
      <c r="M120" s="50" t="str">
        <v>Cereal hay</v>
      </c>
      <c r="N120" s="50" t="str">
        <v>TAS</v>
      </c>
      <c r="O120" s="50">
        <v>0.2</v>
      </c>
      <c r="P120" s="50" cm="1">
        <f t="array" ref="P120">_xlfn.LET(_xlpm.result, Common_InputFunctions.Utility_LookupValueInTableTwoColumns(M120, N120, Table_SourceData_Scope3_Feed[Product], Table_SourceData_Scope3_Feed[Region of origin], Table_SourceData_Scope3_Feed[AusLCI Emissions intensity]), IF(_xlpm.result="", 0, _xlpm.result))</f>
        <v>0.13900000000000001</v>
      </c>
      <c r="Q120" s="50" t="str">
        <v>Lucerne hay</v>
      </c>
      <c r="R120" s="50" t="str">
        <v>NSW</v>
      </c>
      <c r="S120" s="50">
        <v>0.2</v>
      </c>
      <c r="T120" s="50" cm="1">
        <f t="array" ref="T120">_xlfn.LET(_xlpm.result, Common_InputFunctions.Utility_LookupValueInTableTwoColumns(Q120, _xlfn.IFS(Q120="Urea", IF(#REF!="", "Global",#REF!), Q120="Ammonia", IF(#REF!="", "Global",#REF!), TRUE, "Global"), Table_SourceData_Scope3_InorganicFertiliser[Chemical compound],Table_SourceData_Scope3_InorganicFertiliser[Region of origin],Table_SourceData_Scope3_InorganicFertiliser[AusLCI Emissions intensity]), IF(_xlpm.result="", 0, _xlpm.result))</f>
        <v>0</v>
      </c>
      <c r="U120" s="50">
        <v>0</v>
      </c>
      <c r="V120" s="50">
        <v>0</v>
      </c>
      <c r="W120" s="50">
        <v>0</v>
      </c>
      <c r="X120" s="50" cm="1">
        <f t="array" ref="X120">_xlfn.LET(_xlpm.result, Common_InputFunctions.Utility_LookupValueInTableTwoColumns(U120, _xlfn.IFS(U120="Urea", IF(#REF!="", "Global",#REF!), U120="Ammonia", IF(#REF!="", "Global",#REF!), TRUE, "Global"), Table_SourceData_Scope3_InorganicFertiliser[Chemical compound],Table_SourceData_Scope3_InorganicFertiliser[Region of origin],Table_SourceData_Scope3_InorganicFertiliser[AusLCI Emissions intensity]), IF(_xlpm.result="", 0, _xlpm.result))</f>
        <v>0</v>
      </c>
      <c r="Y120" s="50">
        <v>0</v>
      </c>
      <c r="Z120" s="50">
        <v>0</v>
      </c>
      <c r="AA120" s="50">
        <v>0</v>
      </c>
      <c r="AB120" s="50" cm="1">
        <f t="array" ref="AB120">_xlfn.LET(_xlpm.result, Common_InputFunctions.Utility_LookupValueInTableTwoColumns(Y120, _xlfn.IFS(Y120="Urea", IF(#REF!="", "Global",#REF!), Y120="Ammonia", IF(#REF!="", "Global",#REF!), TRUE, "Global"), Table_SourceData_Scope3_InorganicFertiliser[Chemical compound],Table_SourceData_Scope3_InorganicFertiliser[Region of origin],Table_SourceData_Scope3_InorganicFertiliser[AusLCI Emissions intensity]), IF(_xlpm.result="", 0, _xlpm.result))</f>
        <v>0</v>
      </c>
    </row>
    <row r="121" spans="4:28" ht="20.100000000000001" customHeight="1" x14ac:dyDescent="0.25">
      <c r="D121" s="50" t="str">
        <v>Hay bales in paddock</v>
      </c>
      <c r="E121" s="50">
        <v>300</v>
      </c>
      <c r="F121" s="50">
        <f t="shared" si="0"/>
        <v>0.14880000000000002</v>
      </c>
      <c r="G121" s="157">
        <f>(E121 * F121)</f>
        <v>44.640000000000008</v>
      </c>
      <c r="H121" s="69">
        <v>0.14000000000000001</v>
      </c>
      <c r="I121" s="157">
        <f>(E121 * (IF(H121,H121, F121)))</f>
        <v>42.000000000000007</v>
      </c>
      <c r="J121" s="86"/>
      <c r="K121" s="48"/>
      <c r="L121" s="86"/>
      <c r="M121" s="50" t="str">
        <v>Maize grain</v>
      </c>
      <c r="N121" s="50" t="str">
        <v>QLD</v>
      </c>
      <c r="O121" s="50">
        <v>0.8</v>
      </c>
      <c r="P121" s="50" cm="1">
        <f t="array" ref="P121">_xlfn.LET(_xlpm.result, Common_InputFunctions.Utility_LookupValueInTableTwoColumns(M121, N121, Table_SourceData_Scope3_Feed[Product], Table_SourceData_Scope3_Feed[Region of origin], Table_SourceData_Scope3_Feed[AusLCI Emissions intensity]), IF(_xlpm.result="", 0, _xlpm.result))</f>
        <v>0.186</v>
      </c>
      <c r="Q121" s="50" t="str">
        <v>Soybean meal</v>
      </c>
      <c r="R121" s="50" t="str">
        <v>Brazil</v>
      </c>
      <c r="S121" s="50">
        <v>0.2</v>
      </c>
      <c r="T121" s="50" cm="1">
        <f t="array" ref="T121">_xlfn.LET(_xlpm.result, Common_InputFunctions.Utility_LookupValueInTableTwoColumns(Q121, _xlfn.IFS(Q121="Urea", IF(#REF!="", "Global",#REF!), Q121="Ammonia", IF(#REF!="", "Global",#REF!), TRUE, "Global"), Table_SourceData_Scope3_InorganicFertiliser[Chemical compound],Table_SourceData_Scope3_InorganicFertiliser[Region of origin],Table_SourceData_Scope3_InorganicFertiliser[AusLCI Emissions intensity]), IF(_xlpm.result="", 0, _xlpm.result))</f>
        <v>0</v>
      </c>
      <c r="U121" s="50">
        <v>0</v>
      </c>
      <c r="V121" s="50">
        <v>0</v>
      </c>
      <c r="W121" s="50">
        <v>0</v>
      </c>
      <c r="X121" s="50" cm="1">
        <f t="array" ref="X121">_xlfn.LET(_xlpm.result, Common_InputFunctions.Utility_LookupValueInTableTwoColumns(U121, _xlfn.IFS(U121="Urea", IF(#REF!="", "Global",#REF!), U121="Ammonia", IF(#REF!="", "Global",#REF!), TRUE, "Global"), Table_SourceData_Scope3_InorganicFertiliser[Chemical compound],Table_SourceData_Scope3_InorganicFertiliser[Region of origin],Table_SourceData_Scope3_InorganicFertiliser[AusLCI Emissions intensity]), IF(_xlpm.result="", 0, _xlpm.result))</f>
        <v>0</v>
      </c>
      <c r="Y121" s="50">
        <v>0</v>
      </c>
      <c r="Z121" s="50">
        <v>0</v>
      </c>
      <c r="AA121" s="50">
        <v>0</v>
      </c>
      <c r="AB121" s="50" cm="1">
        <f t="array" ref="AB121">_xlfn.LET(_xlpm.result, Common_InputFunctions.Utility_LookupValueInTableTwoColumns(Y121, _xlfn.IFS(Y121="Urea", IF(#REF!="", "Global",#REF!), Y121="Ammonia", IF(#REF!="", "Global",#REF!), TRUE, "Global"), Table_SourceData_Scope3_InorganicFertiliser[Chemical compound],Table_SourceData_Scope3_InorganicFertiliser[Region of origin],Table_SourceData_Scope3_InorganicFertiliser[AusLCI Emissions intensity]), IF(_xlpm.result="", 0, _xlpm.result))</f>
        <v>0</v>
      </c>
    </row>
    <row r="122" spans="4:28" ht="20.100000000000001" customHeight="1" x14ac:dyDescent="0.25">
      <c r="D122" s="50">
        <v>0</v>
      </c>
      <c r="E122" s="50">
        <v>500</v>
      </c>
      <c r="F122" s="50">
        <f t="shared" si="0"/>
        <v>0.311</v>
      </c>
      <c r="G122" s="157">
        <f>(E122 * F122)</f>
        <v>155.5</v>
      </c>
      <c r="H122" s="69"/>
      <c r="I122" s="157">
        <f>(E122 * (IF(H122,H122, F122)))</f>
        <v>155.5</v>
      </c>
      <c r="J122" s="86"/>
      <c r="K122" s="48"/>
      <c r="L122" s="86"/>
      <c r="M122" s="50" t="str">
        <v>Pasture hay</v>
      </c>
      <c r="N122" s="50" t="str">
        <v>NSW</v>
      </c>
      <c r="O122" s="50">
        <v>1</v>
      </c>
      <c r="P122" s="50" cm="1">
        <f t="array" ref="P122">_xlfn.LET(_xlpm.result, Common_InputFunctions.Utility_LookupValueInTableTwoColumns(M122, N122, Table_SourceData_Scope3_Feed[Product], Table_SourceData_Scope3_Feed[Region of origin], Table_SourceData_Scope3_Feed[AusLCI Emissions intensity]), IF(_xlpm.result="", 0, _xlpm.result))</f>
        <v>0.311</v>
      </c>
      <c r="Q122" s="50">
        <v>0</v>
      </c>
      <c r="R122" s="50">
        <v>0</v>
      </c>
      <c r="S122" s="50">
        <v>0</v>
      </c>
      <c r="T122" s="50" cm="1">
        <f t="array" ref="T122">_xlfn.LET(_xlpm.result, Common_InputFunctions.Utility_LookupValueInTableTwoColumns(Q122, _xlfn.IFS(Q122="Urea", IF(#REF!="", "Global",#REF!), Q122="Ammonia", IF(#REF!="", "Global",#REF!), TRUE, "Global"), Table_SourceData_Scope3_InorganicFertiliser[Chemical compound],Table_SourceData_Scope3_InorganicFertiliser[Region of origin],Table_SourceData_Scope3_InorganicFertiliser[AusLCI Emissions intensity]), IF(_xlpm.result="", 0, _xlpm.result))</f>
        <v>0</v>
      </c>
      <c r="U122" s="50">
        <v>0</v>
      </c>
      <c r="V122" s="50">
        <v>0</v>
      </c>
      <c r="W122" s="50">
        <v>0</v>
      </c>
      <c r="X122" s="50" cm="1">
        <f t="array" ref="X122">_xlfn.LET(_xlpm.result, Common_InputFunctions.Utility_LookupValueInTableTwoColumns(U122, _xlfn.IFS(U122="Urea", IF(#REF!="", "Global",#REF!), U122="Ammonia", IF(#REF!="", "Global",#REF!), TRUE, "Global"), Table_SourceData_Scope3_InorganicFertiliser[Chemical compound],Table_SourceData_Scope3_InorganicFertiliser[Region of origin],Table_SourceData_Scope3_InorganicFertiliser[AusLCI Emissions intensity]), IF(_xlpm.result="", 0, _xlpm.result))</f>
        <v>0</v>
      </c>
      <c r="Y122" s="50">
        <v>0</v>
      </c>
      <c r="Z122" s="50">
        <v>0</v>
      </c>
      <c r="AA122" s="50">
        <v>0</v>
      </c>
      <c r="AB122" s="50" cm="1">
        <f t="array" ref="AB122">_xlfn.LET(_xlpm.result, Common_InputFunctions.Utility_LookupValueInTableTwoColumns(Y122, _xlfn.IFS(Y122="Urea", IF(#REF!="", "Global",#REF!), Y122="Ammonia", IF(#REF!="", "Global",#REF!), TRUE, "Global"), Table_SourceData_Scope3_InorganicFertiliser[Chemical compound],Table_SourceData_Scope3_InorganicFertiliser[Region of origin],Table_SourceData_Scope3_InorganicFertiliser[AusLCI Emissions intensity]), IF(_xlpm.result="", 0, _xlpm.result))</f>
        <v>0</v>
      </c>
    </row>
    <row r="123" spans="4:28" ht="20.100000000000001" customHeight="1" x14ac:dyDescent="0.25">
      <c r="D123" s="50">
        <v>0</v>
      </c>
      <c r="E123" s="50">
        <v>0</v>
      </c>
      <c r="F123" s="50">
        <f t="shared" si="0"/>
        <v>0</v>
      </c>
      <c r="G123" s="157">
        <f>(E123 * F123)</f>
        <v>0</v>
      </c>
      <c r="H123" s="69"/>
      <c r="I123" s="157">
        <f>(E123 * (IF(H123,H123, F123)))</f>
        <v>0</v>
      </c>
      <c r="J123" s="86"/>
      <c r="K123" s="48"/>
      <c r="L123" s="86"/>
      <c r="M123" s="50">
        <v>0</v>
      </c>
      <c r="N123" s="50">
        <v>0</v>
      </c>
      <c r="O123" s="50">
        <v>0</v>
      </c>
      <c r="P123" s="50" cm="1">
        <f t="array" ref="P123">_xlfn.LET(_xlpm.result, Common_InputFunctions.Utility_LookupValueInTableTwoColumns(M123, N123, Table_SourceData_Scope3_Feed[Product], Table_SourceData_Scope3_Feed[Region of origin], Table_SourceData_Scope3_Feed[AusLCI Emissions intensity]), IF(_xlpm.result="", 0, _xlpm.result))</f>
        <v>0</v>
      </c>
      <c r="Q123" s="50">
        <v>0</v>
      </c>
      <c r="R123" s="50">
        <v>0</v>
      </c>
      <c r="S123" s="50">
        <v>0</v>
      </c>
      <c r="T123" s="50" cm="1">
        <f t="array" ref="T123">_xlfn.LET(_xlpm.result, Common_InputFunctions.Utility_LookupValueInTableTwoColumns(Q123, _xlfn.IFS(Q123="Urea", IF(#REF!="", "Global",#REF!), Q123="Ammonia", IF(#REF!="", "Global",#REF!), TRUE, "Global"), Table_SourceData_Scope3_InorganicFertiliser[Chemical compound],Table_SourceData_Scope3_InorganicFertiliser[Region of origin],Table_SourceData_Scope3_InorganicFertiliser[AusLCI Emissions intensity]), IF(_xlpm.result="", 0, _xlpm.result))</f>
        <v>0</v>
      </c>
      <c r="U123" s="50">
        <v>0</v>
      </c>
      <c r="V123" s="50">
        <v>0</v>
      </c>
      <c r="W123" s="50">
        <v>0</v>
      </c>
      <c r="X123" s="50" cm="1">
        <f t="array" ref="X123">_xlfn.LET(_xlpm.result, Common_InputFunctions.Utility_LookupValueInTableTwoColumns(U123, _xlfn.IFS(U123="Urea", IF(#REF!="", "Global",#REF!), U123="Ammonia", IF(#REF!="", "Global",#REF!), TRUE, "Global"), Table_SourceData_Scope3_InorganicFertiliser[Chemical compound],Table_SourceData_Scope3_InorganicFertiliser[Region of origin],Table_SourceData_Scope3_InorganicFertiliser[AusLCI Emissions intensity]), IF(_xlpm.result="", 0, _xlpm.result))</f>
        <v>0</v>
      </c>
      <c r="Y123" s="50">
        <v>0</v>
      </c>
      <c r="Z123" s="50">
        <v>0</v>
      </c>
      <c r="AA123" s="50">
        <v>0</v>
      </c>
      <c r="AB123" s="50" cm="1">
        <f t="array" ref="AB123">_xlfn.LET(_xlpm.result, Common_InputFunctions.Utility_LookupValueInTableTwoColumns(Y123, _xlfn.IFS(Y123="Urea", IF(#REF!="", "Global",#REF!), Y123="Ammonia", IF(#REF!="", "Global",#REF!), TRUE, "Global"), Table_SourceData_Scope3_InorganicFertiliser[Chemical compound],Table_SourceData_Scope3_InorganicFertiliser[Region of origin],Table_SourceData_Scope3_InorganicFertiliser[AusLCI Emissions intensity]), IF(_xlpm.result="", 0, _xlpm.result))</f>
        <v>0</v>
      </c>
    </row>
    <row r="124" spans="4:28" ht="20.100000000000001" customHeight="1" x14ac:dyDescent="0.25">
      <c r="D124" s="50">
        <v>0</v>
      </c>
      <c r="E124" s="50">
        <v>0</v>
      </c>
      <c r="F124" s="50">
        <f t="shared" si="0"/>
        <v>0</v>
      </c>
      <c r="G124" s="157">
        <f>(E124 * F124)</f>
        <v>0</v>
      </c>
      <c r="H124" s="69"/>
      <c r="I124" s="157">
        <f>(E124 * (IF(H124,H124, F124)))</f>
        <v>0</v>
      </c>
      <c r="J124" s="86"/>
      <c r="K124" s="48"/>
      <c r="L124" s="86"/>
      <c r="M124" s="50">
        <v>0</v>
      </c>
      <c r="N124" s="50">
        <v>0</v>
      </c>
      <c r="O124" s="50">
        <v>0</v>
      </c>
      <c r="P124" s="50" cm="1">
        <f t="array" ref="P124">_xlfn.LET(_xlpm.result, Common_InputFunctions.Utility_LookupValueInTableTwoColumns(M124, N124, Table_SourceData_Scope3_Feed[Product], Table_SourceData_Scope3_Feed[Region of origin], Table_SourceData_Scope3_Feed[AusLCI Emissions intensity]), IF(_xlpm.result="", 0, _xlpm.result))</f>
        <v>0</v>
      </c>
      <c r="Q124" s="50">
        <v>0</v>
      </c>
      <c r="R124" s="50">
        <v>0</v>
      </c>
      <c r="S124" s="50">
        <v>0</v>
      </c>
      <c r="T124" s="50" cm="1">
        <f t="array" ref="T124">_xlfn.LET(_xlpm.result, Common_InputFunctions.Utility_LookupValueInTableTwoColumns(Q124, _xlfn.IFS(Q124="Urea", IF(#REF!="", "Global",#REF!), Q124="Ammonia", IF(#REF!="", "Global",#REF!), TRUE, "Global"), Table_SourceData_Scope3_InorganicFertiliser[Chemical compound],Table_SourceData_Scope3_InorganicFertiliser[Region of origin],Table_SourceData_Scope3_InorganicFertiliser[AusLCI Emissions intensity]), IF(_xlpm.result="", 0, _xlpm.result))</f>
        <v>0</v>
      </c>
      <c r="U124" s="50">
        <v>0</v>
      </c>
      <c r="V124" s="50">
        <v>0</v>
      </c>
      <c r="W124" s="50">
        <v>0</v>
      </c>
      <c r="X124" s="50" cm="1">
        <f t="array" ref="X124">_xlfn.LET(_xlpm.result, Common_InputFunctions.Utility_LookupValueInTableTwoColumns(U124, _xlfn.IFS(U124="Urea", IF(#REF!="", "Global",#REF!), U124="Ammonia", IF(#REF!="", "Global",#REF!), TRUE, "Global"), Table_SourceData_Scope3_InorganicFertiliser[Chemical compound],Table_SourceData_Scope3_InorganicFertiliser[Region of origin],Table_SourceData_Scope3_InorganicFertiliser[AusLCI Emissions intensity]), IF(_xlpm.result="", 0, _xlpm.result))</f>
        <v>0</v>
      </c>
      <c r="Y124" s="50">
        <v>0</v>
      </c>
      <c r="Z124" s="50">
        <v>0</v>
      </c>
      <c r="AA124" s="50">
        <v>0</v>
      </c>
      <c r="AB124" s="50" cm="1">
        <f t="array" ref="AB124">_xlfn.LET(_xlpm.result, Common_InputFunctions.Utility_LookupValueInTableTwoColumns(Y124, _xlfn.IFS(Y124="Urea", IF(#REF!="", "Global",#REF!), Y124="Ammonia", IF(#REF!="", "Global",#REF!), TRUE, "Global"), Table_SourceData_Scope3_InorganicFertiliser[Chemical compound],Table_SourceData_Scope3_InorganicFertiliser[Region of origin],Table_SourceData_Scope3_InorganicFertiliser[AusLCI Emissions intensity]), IF(_xlpm.result="", 0, _xlpm.result))</f>
        <v>0</v>
      </c>
    </row>
    <row r="125" spans="4:28" ht="20.100000000000001" customHeight="1" x14ac:dyDescent="0.25">
      <c r="D125" s="50">
        <v>0</v>
      </c>
      <c r="E125" s="50">
        <v>0</v>
      </c>
      <c r="F125" s="50">
        <f t="shared" si="0"/>
        <v>0</v>
      </c>
      <c r="G125" s="157">
        <f>(E125 * F125)</f>
        <v>0</v>
      </c>
      <c r="H125" s="69"/>
      <c r="I125" s="157">
        <f>(E125 * (IF(H125,H125, F125)))</f>
        <v>0</v>
      </c>
      <c r="J125" s="86"/>
      <c r="K125" s="48"/>
      <c r="L125" s="86"/>
      <c r="M125" s="50">
        <v>0</v>
      </c>
      <c r="N125" s="50">
        <v>0</v>
      </c>
      <c r="O125" s="50">
        <v>0</v>
      </c>
      <c r="P125" s="50" cm="1">
        <f t="array" ref="P125">_xlfn.LET(_xlpm.result, Common_InputFunctions.Utility_LookupValueInTableTwoColumns(M125, N125, Table_SourceData_Scope3_Feed[Product], Table_SourceData_Scope3_Feed[Region of origin], Table_SourceData_Scope3_Feed[AusLCI Emissions intensity]), IF(_xlpm.result="", 0, _xlpm.result))</f>
        <v>0</v>
      </c>
      <c r="Q125" s="50">
        <v>0</v>
      </c>
      <c r="R125" s="50">
        <v>0</v>
      </c>
      <c r="S125" s="50">
        <v>0</v>
      </c>
      <c r="T125" s="50" cm="1">
        <f t="array" ref="T125">_xlfn.LET(_xlpm.result, Common_InputFunctions.Utility_LookupValueInTableTwoColumns(Q125, _xlfn.IFS(Q125="Urea", IF(#REF!="", "Global",#REF!), Q125="Ammonia", IF(#REF!="", "Global",#REF!), TRUE, "Global"), Table_SourceData_Scope3_InorganicFertiliser[Chemical compound],Table_SourceData_Scope3_InorganicFertiliser[Region of origin],Table_SourceData_Scope3_InorganicFertiliser[AusLCI Emissions intensity]), IF(_xlpm.result="", 0, _xlpm.result))</f>
        <v>0</v>
      </c>
      <c r="U125" s="50">
        <v>0</v>
      </c>
      <c r="V125" s="50">
        <v>0</v>
      </c>
      <c r="W125" s="50">
        <v>0</v>
      </c>
      <c r="X125" s="50" cm="1">
        <f t="array" ref="X125">_xlfn.LET(_xlpm.result, Common_InputFunctions.Utility_LookupValueInTableTwoColumns(U125, _xlfn.IFS(U125="Urea", IF(#REF!="", "Global",#REF!), U125="Ammonia", IF(#REF!="", "Global",#REF!), TRUE, "Global"), Table_SourceData_Scope3_InorganicFertiliser[Chemical compound],Table_SourceData_Scope3_InorganicFertiliser[Region of origin],Table_SourceData_Scope3_InorganicFertiliser[AusLCI Emissions intensity]), IF(_xlpm.result="", 0, _xlpm.result))</f>
        <v>0</v>
      </c>
      <c r="Y125" s="50">
        <v>0</v>
      </c>
      <c r="Z125" s="50">
        <v>0</v>
      </c>
      <c r="AA125" s="50">
        <v>0</v>
      </c>
      <c r="AB125" s="50" cm="1">
        <f t="array" ref="AB125">_xlfn.LET(_xlpm.result, Common_InputFunctions.Utility_LookupValueInTableTwoColumns(Y125, _xlfn.IFS(Y125="Urea", IF(#REF!="", "Global",#REF!), Y125="Ammonia", IF(#REF!="", "Global",#REF!), TRUE, "Global"), Table_SourceData_Scope3_InorganicFertiliser[Chemical compound],Table_SourceData_Scope3_InorganicFertiliser[Region of origin],Table_SourceData_Scope3_InorganicFertiliser[AusLCI Emissions intensity]), IF(_xlpm.result="", 0, _xlpm.result))</f>
        <v>0</v>
      </c>
    </row>
    <row r="126" spans="4:28" ht="20.100000000000001" customHeight="1" x14ac:dyDescent="0.25">
      <c r="D126" s="50">
        <v>0</v>
      </c>
      <c r="E126" s="50">
        <v>0</v>
      </c>
      <c r="F126" s="50">
        <f t="shared" si="0"/>
        <v>0</v>
      </c>
      <c r="G126" s="157">
        <f>(E126 * F126)</f>
        <v>0</v>
      </c>
      <c r="H126" s="69"/>
      <c r="I126" s="157">
        <f>(E126 * (IF(H126,H126, F126)))</f>
        <v>0</v>
      </c>
      <c r="J126" s="86"/>
      <c r="K126" s="48"/>
      <c r="L126" s="86"/>
      <c r="M126" s="50">
        <v>0</v>
      </c>
      <c r="N126" s="50">
        <v>0</v>
      </c>
      <c r="O126" s="50">
        <v>0</v>
      </c>
      <c r="P126" s="50" cm="1">
        <f t="array" ref="P126">_xlfn.LET(_xlpm.result, Common_InputFunctions.Utility_LookupValueInTableTwoColumns(M126, N126, Table_SourceData_Scope3_Feed[Product], Table_SourceData_Scope3_Feed[Region of origin], Table_SourceData_Scope3_Feed[AusLCI Emissions intensity]), IF(_xlpm.result="", 0, _xlpm.result))</f>
        <v>0</v>
      </c>
      <c r="Q126" s="50">
        <v>0</v>
      </c>
      <c r="R126" s="50">
        <v>0</v>
      </c>
      <c r="S126" s="50">
        <v>0</v>
      </c>
      <c r="T126" s="50" cm="1">
        <f t="array" ref="T126">_xlfn.LET(_xlpm.result, Common_InputFunctions.Utility_LookupValueInTableTwoColumns(Q126, _xlfn.IFS(Q126="Urea", IF(#REF!="", "Global",#REF!), Q126="Ammonia", IF(#REF!="", "Global",#REF!), TRUE, "Global"), Table_SourceData_Scope3_InorganicFertiliser[Chemical compound],Table_SourceData_Scope3_InorganicFertiliser[Region of origin],Table_SourceData_Scope3_InorganicFertiliser[AusLCI Emissions intensity]), IF(_xlpm.result="", 0, _xlpm.result))</f>
        <v>0</v>
      </c>
      <c r="U126" s="50">
        <v>0</v>
      </c>
      <c r="V126" s="50">
        <v>0</v>
      </c>
      <c r="W126" s="50">
        <v>0</v>
      </c>
      <c r="X126" s="50" cm="1">
        <f t="array" ref="X126">_xlfn.LET(_xlpm.result, Common_InputFunctions.Utility_LookupValueInTableTwoColumns(U126, _xlfn.IFS(U126="Urea", IF(#REF!="", "Global",#REF!), U126="Ammonia", IF(#REF!="", "Global",#REF!), TRUE, "Global"), Table_SourceData_Scope3_InorganicFertiliser[Chemical compound],Table_SourceData_Scope3_InorganicFertiliser[Region of origin],Table_SourceData_Scope3_InorganicFertiliser[AusLCI Emissions intensity]), IF(_xlpm.result="", 0, _xlpm.result))</f>
        <v>0</v>
      </c>
      <c r="Y126" s="50">
        <v>0</v>
      </c>
      <c r="Z126" s="50">
        <v>0</v>
      </c>
      <c r="AA126" s="50">
        <v>0</v>
      </c>
      <c r="AB126" s="50" cm="1">
        <f t="array" ref="AB126">_xlfn.LET(_xlpm.result, Common_InputFunctions.Utility_LookupValueInTableTwoColumns(Y126, _xlfn.IFS(Y126="Urea", IF(#REF!="", "Global",#REF!), Y126="Ammonia", IF(#REF!="", "Global",#REF!), TRUE, "Global"), Table_SourceData_Scope3_InorganicFertiliser[Chemical compound],Table_SourceData_Scope3_InorganicFertiliser[Region of origin],Table_SourceData_Scope3_InorganicFertiliser[AusLCI Emissions intensity]), IF(_xlpm.result="", 0, _xlpm.result))</f>
        <v>0</v>
      </c>
    </row>
    <row r="127" spans="4:28" ht="20.100000000000001" customHeight="1" x14ac:dyDescent="0.25">
      <c r="D127" s="50">
        <v>0</v>
      </c>
      <c r="E127" s="50">
        <v>0</v>
      </c>
      <c r="F127" s="50">
        <f t="shared" si="0"/>
        <v>0</v>
      </c>
      <c r="G127" s="157">
        <f>(E127 * F127)</f>
        <v>0</v>
      </c>
      <c r="H127" s="69"/>
      <c r="I127" s="157">
        <f>(E127 * (IF(H127,H127, F127)))</f>
        <v>0</v>
      </c>
      <c r="J127" s="86"/>
      <c r="K127" s="48"/>
      <c r="L127" s="86"/>
      <c r="M127" s="50">
        <v>0</v>
      </c>
      <c r="N127" s="50">
        <v>0</v>
      </c>
      <c r="O127" s="50">
        <v>0</v>
      </c>
      <c r="P127" s="50" cm="1">
        <f t="array" ref="P127">_xlfn.LET(_xlpm.result, Common_InputFunctions.Utility_LookupValueInTableTwoColumns(M127, N127, Table_SourceData_Scope3_Feed[Product], Table_SourceData_Scope3_Feed[Region of origin], Table_SourceData_Scope3_Feed[AusLCI Emissions intensity]), IF(_xlpm.result="", 0, _xlpm.result))</f>
        <v>0</v>
      </c>
      <c r="Q127" s="50">
        <v>0</v>
      </c>
      <c r="R127" s="50">
        <v>0</v>
      </c>
      <c r="S127" s="50">
        <v>0</v>
      </c>
      <c r="T127" s="50" cm="1">
        <f t="array" ref="T127">_xlfn.LET(_xlpm.result, Common_InputFunctions.Utility_LookupValueInTableTwoColumns(Q127, _xlfn.IFS(Q127="Urea", IF(#REF!="", "Global",#REF!), Q127="Ammonia", IF(#REF!="", "Global",#REF!), TRUE, "Global"), Table_SourceData_Scope3_InorganicFertiliser[Chemical compound],Table_SourceData_Scope3_InorganicFertiliser[Region of origin],Table_SourceData_Scope3_InorganicFertiliser[AusLCI Emissions intensity]), IF(_xlpm.result="", 0, _xlpm.result))</f>
        <v>0</v>
      </c>
      <c r="U127" s="50">
        <v>0</v>
      </c>
      <c r="V127" s="50">
        <v>0</v>
      </c>
      <c r="W127" s="50">
        <v>0</v>
      </c>
      <c r="X127" s="50" cm="1">
        <f t="array" ref="X127">_xlfn.LET(_xlpm.result, Common_InputFunctions.Utility_LookupValueInTableTwoColumns(U127, _xlfn.IFS(U127="Urea", IF(#REF!="", "Global",#REF!), U127="Ammonia", IF(#REF!="", "Global",#REF!), TRUE, "Global"), Table_SourceData_Scope3_InorganicFertiliser[Chemical compound],Table_SourceData_Scope3_InorganicFertiliser[Region of origin],Table_SourceData_Scope3_InorganicFertiliser[AusLCI Emissions intensity]), IF(_xlpm.result="", 0, _xlpm.result))</f>
        <v>0</v>
      </c>
      <c r="Y127" s="50">
        <v>0</v>
      </c>
      <c r="Z127" s="50">
        <v>0</v>
      </c>
      <c r="AA127" s="50">
        <v>0</v>
      </c>
      <c r="AB127" s="50" cm="1">
        <f t="array" ref="AB127">_xlfn.LET(_xlpm.result, Common_InputFunctions.Utility_LookupValueInTableTwoColumns(Y127, _xlfn.IFS(Y127="Urea", IF(#REF!="", "Global",#REF!), Y127="Ammonia", IF(#REF!="", "Global",#REF!), TRUE, "Global"), Table_SourceData_Scope3_InorganicFertiliser[Chemical compound],Table_SourceData_Scope3_InorganicFertiliser[Region of origin],Table_SourceData_Scope3_InorganicFertiliser[AusLCI Emissions intensity]), IF(_xlpm.result="", 0, _xlpm.result))</f>
        <v>0</v>
      </c>
    </row>
    <row r="128" spans="4:28" ht="20.100000000000001" customHeight="1" x14ac:dyDescent="0.25">
      <c r="D128" s="50">
        <v>0</v>
      </c>
      <c r="E128" s="50">
        <v>0</v>
      </c>
      <c r="F128" s="50">
        <f t="shared" si="0"/>
        <v>0</v>
      </c>
      <c r="G128" s="157">
        <f>(E128 * F128)</f>
        <v>0</v>
      </c>
      <c r="H128" s="69"/>
      <c r="I128" s="157">
        <f>(E128 * (IF(H128,H128, F128)))</f>
        <v>0</v>
      </c>
      <c r="J128" s="86"/>
      <c r="K128" s="48"/>
      <c r="L128" s="86"/>
      <c r="M128" s="50">
        <v>0</v>
      </c>
      <c r="N128" s="50">
        <v>0</v>
      </c>
      <c r="O128" s="50">
        <v>0</v>
      </c>
      <c r="P128" s="50" cm="1">
        <f t="array" ref="P128">_xlfn.LET(_xlpm.result, Common_InputFunctions.Utility_LookupValueInTableTwoColumns(M128, N128, Table_SourceData_Scope3_Feed[Product], Table_SourceData_Scope3_Feed[Region of origin], Table_SourceData_Scope3_Feed[AusLCI Emissions intensity]), IF(_xlpm.result="", 0, _xlpm.result))</f>
        <v>0</v>
      </c>
      <c r="Q128" s="50">
        <v>0</v>
      </c>
      <c r="R128" s="50">
        <v>0</v>
      </c>
      <c r="S128" s="50">
        <v>0</v>
      </c>
      <c r="T128" s="50" cm="1">
        <f t="array" ref="T128">_xlfn.LET(_xlpm.result, Common_InputFunctions.Utility_LookupValueInTableTwoColumns(Q128, _xlfn.IFS(Q128="Urea", IF(#REF!="", "Global",#REF!), Q128="Ammonia", IF(#REF!="", "Global",#REF!), TRUE, "Global"), Table_SourceData_Scope3_InorganicFertiliser[Chemical compound],Table_SourceData_Scope3_InorganicFertiliser[Region of origin],Table_SourceData_Scope3_InorganicFertiliser[AusLCI Emissions intensity]), IF(_xlpm.result="", 0, _xlpm.result))</f>
        <v>0</v>
      </c>
      <c r="U128" s="50">
        <v>0</v>
      </c>
      <c r="V128" s="50">
        <v>0</v>
      </c>
      <c r="W128" s="50">
        <v>0</v>
      </c>
      <c r="X128" s="50" cm="1">
        <f t="array" ref="X128">_xlfn.LET(_xlpm.result, Common_InputFunctions.Utility_LookupValueInTableTwoColumns(U128, _xlfn.IFS(U128="Urea", IF(#REF!="", "Global",#REF!), U128="Ammonia", IF(#REF!="", "Global",#REF!), TRUE, "Global"), Table_SourceData_Scope3_InorganicFertiliser[Chemical compound],Table_SourceData_Scope3_InorganicFertiliser[Region of origin],Table_SourceData_Scope3_InorganicFertiliser[AusLCI Emissions intensity]), IF(_xlpm.result="", 0, _xlpm.result))</f>
        <v>0</v>
      </c>
      <c r="Y128" s="50">
        <v>0</v>
      </c>
      <c r="Z128" s="50">
        <v>0</v>
      </c>
      <c r="AA128" s="50">
        <v>0</v>
      </c>
      <c r="AB128" s="50" cm="1">
        <f t="array" ref="AB128">_xlfn.LET(_xlpm.result, Common_InputFunctions.Utility_LookupValueInTableTwoColumns(Y128, _xlfn.IFS(Y128="Urea", IF(#REF!="", "Global",#REF!), Y128="Ammonia", IF(#REF!="", "Global",#REF!), TRUE, "Global"), Table_SourceData_Scope3_InorganicFertiliser[Chemical compound],Table_SourceData_Scope3_InorganicFertiliser[Region of origin],Table_SourceData_Scope3_InorganicFertiliser[AusLCI Emissions intensity]), IF(_xlpm.result="", 0, _xlpm.result))</f>
        <v>0</v>
      </c>
    </row>
    <row r="129" spans="4:12" ht="20.100000000000001" customHeight="1" x14ac:dyDescent="0.25"/>
    <row r="130" spans="4:12" ht="20.100000000000001" customHeight="1" x14ac:dyDescent="0.25">
      <c r="D130" s="180" t="s">
        <v>657</v>
      </c>
      <c r="E130" s="102">
        <f>SUM(G119:G128)</f>
        <v>348.29680000000002</v>
      </c>
      <c r="F130" s="181" t="str">
        <f>$E$104</f>
        <v>t CO2e</v>
      </c>
    </row>
    <row r="131" spans="4:12" ht="20.100000000000001" customHeight="1" x14ac:dyDescent="0.25">
      <c r="D131" s="180" t="s">
        <v>658</v>
      </c>
      <c r="E131" s="102">
        <f>SUM(I119:I128)</f>
        <v>349.18</v>
      </c>
      <c r="F131" s="181" t="str">
        <f>$E$104</f>
        <v>t CO2e</v>
      </c>
    </row>
    <row r="132" spans="4:12" ht="20.100000000000001" customHeight="1" x14ac:dyDescent="0.25"/>
    <row r="133" spans="4:12" ht="20.100000000000001" customHeight="1" x14ac:dyDescent="0.25"/>
    <row r="134" spans="4:12" ht="20.100000000000001" customHeight="1" x14ac:dyDescent="0.25">
      <c r="D134" s="150" t="s">
        <v>406</v>
      </c>
    </row>
    <row r="135" spans="4:12" ht="20.100000000000001" customHeight="1" x14ac:dyDescent="0.25">
      <c r="D135" s="47" t="s">
        <v>218</v>
      </c>
      <c r="E135" s="47" t="s">
        <v>646</v>
      </c>
      <c r="F135" s="60" t="s">
        <v>650</v>
      </c>
      <c r="G135" s="60" t="s">
        <v>647</v>
      </c>
      <c r="H135" s="47" t="s">
        <v>648</v>
      </c>
      <c r="I135" s="60" t="s">
        <v>649</v>
      </c>
      <c r="J135" s="47" t="s">
        <v>643</v>
      </c>
      <c r="K135" s="47" t="s">
        <v>644</v>
      </c>
      <c r="L135" s="47" t="s">
        <v>645</v>
      </c>
    </row>
    <row r="136" spans="4:12" ht="20.100000000000001" customHeight="1" x14ac:dyDescent="0.25">
      <c r="D136" s="50" t="str">
        <f>'Input - Farm Inputs'!D56</f>
        <v>Feed for chickens</v>
      </c>
      <c r="E136" s="50">
        <f>'Input - Farm Inputs'!E56</f>
        <v>100</v>
      </c>
      <c r="F136" s="50" cm="1">
        <f t="array" ref="F136">Common_InputFunctions.Utility_LookupValueInTableNumber(D136,Table_SourceData_Scope3_MixedRations[Product],Table_SourceData_Scope3_MixedRations[AusLCI Emissions intensity])</f>
        <v>0.59399999999999997</v>
      </c>
      <c r="G136" s="157">
        <f>(E136 * F136)</f>
        <v>59.4</v>
      </c>
      <c r="H136" s="69">
        <v>0.5</v>
      </c>
      <c r="I136" s="157">
        <f>(E136 * (IF(H136,H136, F136)))</f>
        <v>50</v>
      </c>
      <c r="J136" s="86"/>
      <c r="K136" s="48"/>
      <c r="L136"/>
    </row>
    <row r="137" spans="4:12" ht="20.100000000000001" customHeight="1" x14ac:dyDescent="0.25">
      <c r="D137" s="50" t="str">
        <f>'Input - Farm Inputs'!D57</f>
        <v>Feed for dairy calves</v>
      </c>
      <c r="E137" s="50">
        <f>'Input - Farm Inputs'!E57</f>
        <v>100</v>
      </c>
      <c r="F137" s="50" cm="1">
        <f t="array" ref="F137">Common_InputFunctions.Utility_LookupValueInTableNumber(D137,Table_SourceData_Scope3_MixedRations[Product],Table_SourceData_Scope3_MixedRations[AusLCI Emissions intensity])</f>
        <v>0.41899999999999998</v>
      </c>
      <c r="G137" s="157">
        <f>(E137 * F137)</f>
        <v>41.9</v>
      </c>
      <c r="H137" s="69">
        <v>0.4</v>
      </c>
      <c r="I137" s="157">
        <f>(E137 * (IF(H137,H137, F137)))</f>
        <v>40</v>
      </c>
      <c r="J137" s="86"/>
      <c r="K137" s="48"/>
      <c r="L137" s="86"/>
    </row>
    <row r="138" spans="4:12" ht="20.100000000000001" customHeight="1" x14ac:dyDescent="0.25">
      <c r="D138" s="50" t="str">
        <f>'Input - Farm Inputs'!D58</f>
        <v>Feed for dairy cows</v>
      </c>
      <c r="E138" s="50">
        <f>'Input - Farm Inputs'!E58</f>
        <v>100</v>
      </c>
      <c r="F138" s="50" cm="1">
        <f t="array" ref="F138">Common_InputFunctions.Utility_LookupValueInTableNumber(D138,Table_SourceData_Scope3_MixedRations[Product],Table_SourceData_Scope3_MixedRations[AusLCI Emissions intensity])</f>
        <v>0.33300000000000002</v>
      </c>
      <c r="G138" s="157">
        <f>(E138 * F138)</f>
        <v>33.300000000000004</v>
      </c>
      <c r="H138" s="69">
        <v>0</v>
      </c>
      <c r="I138" s="157">
        <f>(E138 * (IF(H138,H138, F138)))</f>
        <v>33.300000000000004</v>
      </c>
      <c r="J138" s="86"/>
      <c r="K138" s="48"/>
      <c r="L138" s="86"/>
    </row>
    <row r="139" spans="4:12" ht="20.100000000000001" customHeight="1" x14ac:dyDescent="0.25">
      <c r="D139" s="50" t="str">
        <f>'Input - Farm Inputs'!D59</f>
        <v>Feed for pigs</v>
      </c>
      <c r="E139" s="50">
        <f>'Input - Farm Inputs'!E59</f>
        <v>100</v>
      </c>
      <c r="F139" s="50" cm="1">
        <f t="array" ref="F139">Common_InputFunctions.Utility_LookupValueInTableNumber(D139,Table_SourceData_Scope3_MixedRations[Product],Table_SourceData_Scope3_MixedRations[AusLCI Emissions intensity])</f>
        <v>0.40300000000000002</v>
      </c>
      <c r="G139" s="157">
        <f>(E139 * F139)</f>
        <v>40.300000000000004</v>
      </c>
      <c r="H139" s="69">
        <v>0</v>
      </c>
      <c r="I139" s="157">
        <f>(E139 * (IF(H139,H139, F139)))</f>
        <v>40.300000000000004</v>
      </c>
      <c r="J139" s="86"/>
      <c r="K139" s="48"/>
      <c r="L139" s="86"/>
    </row>
    <row r="140" spans="4:12" ht="20.100000000000001" customHeight="1" x14ac:dyDescent="0.25"/>
    <row r="141" spans="4:12" ht="20.100000000000001" customHeight="1" x14ac:dyDescent="0.25">
      <c r="D141" s="180" t="s">
        <v>657</v>
      </c>
      <c r="E141" s="102">
        <f>SUM(G136:G139)</f>
        <v>174.9</v>
      </c>
      <c r="F141" s="181" t="str">
        <f>$E$104</f>
        <v>t CO2e</v>
      </c>
    </row>
    <row r="142" spans="4:12" ht="20.100000000000001" customHeight="1" x14ac:dyDescent="0.25">
      <c r="D142" s="180" t="s">
        <v>658</v>
      </c>
      <c r="E142" s="102">
        <f>SUM(I136:I139)</f>
        <v>163.60000000000002</v>
      </c>
      <c r="F142" s="181" t="str">
        <f>$E$104</f>
        <v>t CO2e</v>
      </c>
    </row>
    <row r="143" spans="4:12" ht="20.100000000000001" customHeight="1" x14ac:dyDescent="0.25"/>
    <row r="144" spans="4:12" ht="20.100000000000001" customHeight="1" x14ac:dyDescent="0.25">
      <c r="D144" s="182" t="s">
        <v>647</v>
      </c>
      <c r="E144" s="183">
        <f>E130+E141</f>
        <v>523.19680000000005</v>
      </c>
      <c r="F144" s="184" t="str">
        <f>$E$104</f>
        <v>t CO2e</v>
      </c>
    </row>
    <row r="145" spans="3:41" ht="20.100000000000001" customHeight="1" x14ac:dyDescent="0.25">
      <c r="D145" s="182" t="s">
        <v>649</v>
      </c>
      <c r="E145" s="183">
        <f>E131+E142</f>
        <v>512.78</v>
      </c>
      <c r="F145" s="184" t="str">
        <f>$E$104</f>
        <v>t CO2e</v>
      </c>
    </row>
    <row r="146" spans="3:41" ht="20.100000000000001" customHeight="1" x14ac:dyDescent="0.25"/>
    <row r="147" spans="3:41" ht="20.100000000000001" customHeight="1" x14ac:dyDescent="0.25"/>
    <row r="148" spans="3:41" ht="20.100000000000001" customHeight="1" x14ac:dyDescent="0.25">
      <c r="C148" s="102"/>
      <c r="D148" s="102"/>
      <c r="E148" s="102"/>
      <c r="F148" s="102"/>
      <c r="G148" s="102"/>
      <c r="H148" s="102"/>
      <c r="I148" s="102"/>
      <c r="J148" s="102"/>
      <c r="K148" s="102"/>
      <c r="L148" s="102"/>
      <c r="M148" s="102"/>
      <c r="N148" s="102"/>
      <c r="O148" s="102"/>
      <c r="P148" s="102"/>
      <c r="Q148" s="102"/>
      <c r="R148" s="102"/>
      <c r="S148" s="102"/>
      <c r="T148" s="102"/>
      <c r="U148" s="102"/>
      <c r="V148" s="102"/>
      <c r="W148" s="102"/>
      <c r="X148" s="102"/>
      <c r="Y148" s="102"/>
      <c r="Z148" s="102"/>
      <c r="AA148" s="102"/>
      <c r="AB148" s="102"/>
      <c r="AC148" s="102"/>
      <c r="AD148" s="102"/>
      <c r="AE148" s="102"/>
      <c r="AF148" s="102"/>
      <c r="AG148" s="102"/>
      <c r="AH148" s="102"/>
      <c r="AI148" s="102"/>
      <c r="AJ148" s="102"/>
      <c r="AK148" s="102"/>
      <c r="AL148" s="102"/>
      <c r="AM148" s="102"/>
      <c r="AN148" s="102"/>
      <c r="AO148" s="102"/>
    </row>
    <row r="149" spans="3:41" ht="20.100000000000001" customHeight="1" x14ac:dyDescent="0.25">
      <c r="D149" s="9" t="s">
        <v>887</v>
      </c>
    </row>
    <row r="150" spans="3:41" ht="20.100000000000001" customHeight="1" x14ac:dyDescent="0.25">
      <c r="D150" s="11" t="s">
        <v>888</v>
      </c>
    </row>
    <row r="151" spans="3:41" ht="20.100000000000001" customHeight="1" x14ac:dyDescent="0.25">
      <c r="D151" s="178"/>
      <c r="E151" s="178"/>
    </row>
    <row r="152" spans="3:41" ht="20.100000000000001" customHeight="1" x14ac:dyDescent="0.25"/>
    <row r="153" spans="3:41" ht="20.100000000000001" customHeight="1" x14ac:dyDescent="0.25">
      <c r="H153" s="178"/>
    </row>
    <row r="154" spans="3:41" ht="20.100000000000001" customHeight="1" x14ac:dyDescent="0.25">
      <c r="D154" s="28" t="s">
        <v>641</v>
      </c>
      <c r="E154" s="8" t="s">
        <v>755</v>
      </c>
    </row>
    <row r="155" spans="3:41" ht="20.100000000000001" customHeight="1" x14ac:dyDescent="0.25">
      <c r="D155" s="28" t="s">
        <v>97</v>
      </c>
      <c r="E155" s="13" t="s">
        <v>860</v>
      </c>
    </row>
    <row r="156" spans="3:41" ht="20.100000000000001" customHeight="1" x14ac:dyDescent="0.25"/>
    <row r="157" spans="3:41" ht="20.100000000000001" customHeight="1" x14ac:dyDescent="0.25">
      <c r="D157" s="173" t="s">
        <v>889</v>
      </c>
      <c r="E157" s="177" t="s">
        <v>890</v>
      </c>
      <c r="F157" s="172"/>
      <c r="G157" s="173" t="s">
        <v>886</v>
      </c>
      <c r="H157" s="174" t="s">
        <v>874</v>
      </c>
    </row>
    <row r="158" spans="3:41" ht="20.100000000000001" customHeight="1" x14ac:dyDescent="0.25">
      <c r="D158" s="173" t="s">
        <v>891</v>
      </c>
      <c r="E158" s="177" t="s">
        <v>892</v>
      </c>
      <c r="F158" s="172"/>
      <c r="G158" s="173" t="s">
        <v>876</v>
      </c>
      <c r="H158" s="174" t="s">
        <v>877</v>
      </c>
    </row>
    <row r="159" spans="3:41" ht="20.100000000000001" customHeight="1" x14ac:dyDescent="0.25">
      <c r="D159" s="173" t="s">
        <v>893</v>
      </c>
      <c r="E159" s="177" t="s">
        <v>894</v>
      </c>
      <c r="F159" s="172"/>
      <c r="G159" s="173"/>
      <c r="H159" s="175" t="s">
        <v>874</v>
      </c>
    </row>
    <row r="160" spans="3:41" ht="20.100000000000001" customHeight="1" x14ac:dyDescent="0.25"/>
    <row r="161" spans="3:41" ht="20.100000000000001" customHeight="1" x14ac:dyDescent="0.25">
      <c r="D161" s="47" t="s">
        <v>218</v>
      </c>
      <c r="E161" s="47" t="s">
        <v>654</v>
      </c>
      <c r="F161" s="60" t="s">
        <v>655</v>
      </c>
      <c r="G161" s="60" t="s">
        <v>647</v>
      </c>
      <c r="H161" s="47" t="s">
        <v>656</v>
      </c>
      <c r="I161" s="60" t="s">
        <v>649</v>
      </c>
      <c r="J161" s="47" t="s">
        <v>643</v>
      </c>
      <c r="K161" s="47" t="s">
        <v>644</v>
      </c>
      <c r="L161" s="47" t="s">
        <v>645</v>
      </c>
    </row>
    <row r="162" spans="3:41" ht="20.100000000000001" customHeight="1" x14ac:dyDescent="0.25">
      <c r="D162" s="50" t="str">
        <f>'Input - Farm Inputs'!D51</f>
        <v>Lick block, dry season mix</v>
      </c>
      <c r="E162" s="50">
        <f>'Input - Farm Inputs'!E51</f>
        <v>100</v>
      </c>
      <c r="F162" s="50" cm="1">
        <f t="array" ref="F162">Common_InputFunctions.Utility_LookupValueInTableNumber(D162,Table_SourceData_Scope3_LickBlocks[Product],Table_SourceData_Scope3_LickBlocks[AusLCI Emissions intensity])</f>
        <v>0.88100000000000001</v>
      </c>
      <c r="G162" s="157">
        <f>(E162 * F162)</f>
        <v>88.1</v>
      </c>
      <c r="H162" s="69">
        <v>0.8</v>
      </c>
      <c r="I162" s="157">
        <f>(E162 * (IF(H162, H162, F162)))</f>
        <v>80</v>
      </c>
      <c r="J162" s="86"/>
      <c r="K162" s="48"/>
      <c r="L162"/>
    </row>
    <row r="163" spans="3:41" ht="20.100000000000001" customHeight="1" x14ac:dyDescent="0.25">
      <c r="D163" s="50" t="str">
        <f>'Input - Farm Inputs'!D52</f>
        <v>Lick block, mineral</v>
      </c>
      <c r="E163" s="50">
        <f>'Input - Farm Inputs'!E52</f>
        <v>100</v>
      </c>
      <c r="F163" s="50" cm="1">
        <f t="array" ref="F163">Common_InputFunctions.Utility_LookupValueInTableNumber(D163,Table_SourceData_Scope3_LickBlocks[Product],Table_SourceData_Scope3_LickBlocks[AusLCI Emissions intensity])</f>
        <v>0.67700000000000005</v>
      </c>
      <c r="G163" s="157">
        <f>(E163 * F163)</f>
        <v>67.7</v>
      </c>
      <c r="H163" s="69">
        <v>0.6</v>
      </c>
      <c r="I163" s="157">
        <f>(E163 * (IF(H163, H163, F163)))</f>
        <v>60</v>
      </c>
      <c r="J163" s="86"/>
      <c r="K163" s="48"/>
      <c r="L163" s="86"/>
    </row>
    <row r="164" spans="3:41" ht="20.100000000000001" customHeight="1" x14ac:dyDescent="0.25">
      <c r="D164" s="50" t="str">
        <f>'Input - Farm Inputs'!D53</f>
        <v>Lick block, weaner</v>
      </c>
      <c r="E164" s="50">
        <f>'Input - Farm Inputs'!E53</f>
        <v>100</v>
      </c>
      <c r="F164" s="50" cm="1">
        <f t="array" ref="F164">Common_InputFunctions.Utility_LookupValueInTableNumber(D164,Table_SourceData_Scope3_LickBlocks[Product],Table_SourceData_Scope3_LickBlocks[AusLCI Emissions intensity])</f>
        <v>0.23100000000000001</v>
      </c>
      <c r="G164" s="157">
        <f>(E164 * F164)</f>
        <v>23.1</v>
      </c>
      <c r="H164" s="69">
        <v>0.2</v>
      </c>
      <c r="I164" s="157">
        <f>(E164 * (IF(H164, H164, F164)))</f>
        <v>20</v>
      </c>
      <c r="J164" s="86"/>
      <c r="K164" s="48"/>
      <c r="L164" s="86"/>
    </row>
    <row r="165" spans="3:41" ht="20.100000000000001" customHeight="1" x14ac:dyDescent="0.25"/>
    <row r="166" spans="3:41" ht="20.100000000000001" customHeight="1" x14ac:dyDescent="0.25">
      <c r="D166" s="182" t="s">
        <v>647</v>
      </c>
      <c r="E166" s="183">
        <f>SUM(G162:G164)</f>
        <v>178.9</v>
      </c>
      <c r="F166" s="184" t="str">
        <f>$E$155</f>
        <v>t CO2e</v>
      </c>
    </row>
    <row r="167" spans="3:41" ht="20.100000000000001" customHeight="1" x14ac:dyDescent="0.25">
      <c r="D167" s="182" t="s">
        <v>649</v>
      </c>
      <c r="E167" s="183">
        <f>SUM(I162:I164)</f>
        <v>160</v>
      </c>
      <c r="F167" s="184" t="str">
        <f>$E$155</f>
        <v>t CO2e</v>
      </c>
    </row>
    <row r="168" spans="3:41" ht="20.100000000000001" customHeight="1" x14ac:dyDescent="0.25"/>
    <row r="169" spans="3:41" ht="20.100000000000001" customHeight="1" x14ac:dyDescent="0.25"/>
    <row r="170" spans="3:41" ht="20.100000000000001" customHeight="1" x14ac:dyDescent="0.25">
      <c r="C170" s="102"/>
      <c r="D170" s="102"/>
      <c r="E170" s="102"/>
      <c r="F170" s="102"/>
      <c r="G170" s="102"/>
      <c r="H170" s="102"/>
      <c r="I170" s="102"/>
      <c r="J170" s="102"/>
      <c r="K170" s="102"/>
      <c r="L170" s="102"/>
      <c r="M170" s="102"/>
      <c r="N170" s="102"/>
      <c r="O170" s="102"/>
      <c r="P170" s="102"/>
      <c r="Q170" s="102"/>
      <c r="R170" s="102"/>
      <c r="S170" s="102"/>
      <c r="T170" s="102"/>
      <c r="U170" s="102"/>
      <c r="V170" s="102"/>
      <c r="W170" s="102"/>
      <c r="X170" s="102"/>
      <c r="Y170" s="102"/>
      <c r="Z170" s="102"/>
      <c r="AA170" s="102"/>
      <c r="AB170" s="102"/>
      <c r="AC170" s="102"/>
      <c r="AD170" s="102"/>
      <c r="AE170" s="102"/>
      <c r="AF170" s="102"/>
      <c r="AG170" s="102"/>
      <c r="AH170" s="102"/>
      <c r="AI170" s="102"/>
      <c r="AJ170" s="102"/>
      <c r="AK170" s="102"/>
      <c r="AL170" s="102"/>
      <c r="AM170" s="102"/>
      <c r="AN170" s="102"/>
      <c r="AO170" s="102"/>
    </row>
    <row r="171" spans="3:41" ht="20.100000000000001" customHeight="1" x14ac:dyDescent="0.25">
      <c r="D171" s="9" t="s">
        <v>895</v>
      </c>
    </row>
    <row r="172" spans="3:41" ht="20.100000000000001" customHeight="1" x14ac:dyDescent="0.25">
      <c r="D172" s="11" t="s">
        <v>896</v>
      </c>
    </row>
    <row r="173" spans="3:41" ht="20.100000000000001" customHeight="1" x14ac:dyDescent="0.25">
      <c r="D173" s="12" t="s">
        <v>897</v>
      </c>
    </row>
    <row r="174" spans="3:41" ht="20.100000000000001" customHeight="1" x14ac:dyDescent="0.25">
      <c r="D174" s="178"/>
      <c r="E174" s="178"/>
    </row>
    <row r="175" spans="3:41" ht="20.100000000000001" customHeight="1" x14ac:dyDescent="0.25"/>
    <row r="176" spans="3:41" ht="20.100000000000001" customHeight="1" x14ac:dyDescent="0.25"/>
    <row r="177" spans="4:8" ht="20.100000000000001" customHeight="1" x14ac:dyDescent="0.25">
      <c r="D177" s="28" t="s">
        <v>641</v>
      </c>
      <c r="E177" s="8" t="s">
        <v>898</v>
      </c>
    </row>
    <row r="178" spans="4:8" ht="20.100000000000001" customHeight="1" x14ac:dyDescent="0.25">
      <c r="D178" s="28" t="s">
        <v>97</v>
      </c>
      <c r="E178" s="13" t="s">
        <v>899</v>
      </c>
    </row>
    <row r="179" spans="4:8" ht="20.100000000000001" customHeight="1" x14ac:dyDescent="0.25"/>
    <row r="180" spans="4:8" ht="20.100000000000001" customHeight="1" x14ac:dyDescent="0.25">
      <c r="D180" s="173" t="s">
        <v>900</v>
      </c>
      <c r="E180" s="177" t="s">
        <v>901</v>
      </c>
      <c r="F180" s="172"/>
      <c r="G180" s="173" t="s">
        <v>907</v>
      </c>
      <c r="H180" s="174" t="s">
        <v>874</v>
      </c>
    </row>
    <row r="181" spans="4:8" ht="20.100000000000001" customHeight="1" x14ac:dyDescent="0.25">
      <c r="D181" s="173" t="s">
        <v>902</v>
      </c>
      <c r="E181" s="177" t="s">
        <v>903</v>
      </c>
      <c r="F181" s="172"/>
      <c r="G181" s="173" t="s">
        <v>908</v>
      </c>
      <c r="H181" s="175" t="s">
        <v>877</v>
      </c>
    </row>
    <row r="182" spans="4:8" ht="20.100000000000001" customHeight="1" x14ac:dyDescent="0.25">
      <c r="D182" s="173" t="s">
        <v>869</v>
      </c>
      <c r="E182" s="177" t="s">
        <v>904</v>
      </c>
      <c r="F182" s="172"/>
      <c r="G182" s="173"/>
      <c r="H182" s="174" t="s">
        <v>874</v>
      </c>
    </row>
    <row r="183" spans="4:8" ht="20.100000000000001" customHeight="1" x14ac:dyDescent="0.25">
      <c r="D183" s="173" t="s">
        <v>905</v>
      </c>
      <c r="E183" s="177" t="s">
        <v>906</v>
      </c>
      <c r="F183" s="172"/>
      <c r="G183" s="173"/>
      <c r="H183" s="174" t="s">
        <v>874</v>
      </c>
    </row>
    <row r="184" spans="4:8" ht="20.100000000000001" customHeight="1" x14ac:dyDescent="0.25"/>
    <row r="185" spans="4:8" ht="20.100000000000001" customHeight="1" x14ac:dyDescent="0.25"/>
    <row r="186" spans="4:8" ht="20.100000000000001" customHeight="1" x14ac:dyDescent="0.25">
      <c r="D186" s="9" t="s">
        <v>909</v>
      </c>
    </row>
    <row r="187" spans="4:8" ht="20.100000000000001" customHeight="1" x14ac:dyDescent="0.25">
      <c r="D187" s="11" t="s">
        <v>910</v>
      </c>
    </row>
    <row r="188" spans="4:8" ht="20.100000000000001" customHeight="1" x14ac:dyDescent="0.25">
      <c r="D188" s="178"/>
      <c r="E188" s="178"/>
    </row>
    <row r="189" spans="4:8" ht="20.100000000000001" customHeight="1" x14ac:dyDescent="0.25"/>
    <row r="190" spans="4:8" ht="20.100000000000001" customHeight="1" x14ac:dyDescent="0.25"/>
    <row r="191" spans="4:8" ht="20.100000000000001" customHeight="1" x14ac:dyDescent="0.25">
      <c r="D191" s="28" t="s">
        <v>641</v>
      </c>
      <c r="E191" s="8" t="s">
        <v>755</v>
      </c>
    </row>
    <row r="192" spans="4:8" ht="20.100000000000001" customHeight="1" x14ac:dyDescent="0.25">
      <c r="D192" s="28" t="s">
        <v>97</v>
      </c>
      <c r="E192" s="13" t="s">
        <v>860</v>
      </c>
    </row>
    <row r="193" spans="4:8" ht="20.100000000000001" customHeight="1" x14ac:dyDescent="0.25"/>
    <row r="194" spans="4:8" ht="20.100000000000001" customHeight="1" x14ac:dyDescent="0.25">
      <c r="D194" s="173" t="s">
        <v>911</v>
      </c>
      <c r="E194" s="173" t="s">
        <v>912</v>
      </c>
      <c r="F194" s="173"/>
      <c r="G194" s="173" t="s">
        <v>354</v>
      </c>
      <c r="H194" s="174" t="s">
        <v>874</v>
      </c>
    </row>
    <row r="195" spans="4:8" ht="20.100000000000001" customHeight="1" x14ac:dyDescent="0.25">
      <c r="D195" s="173" t="s">
        <v>898</v>
      </c>
      <c r="E195" s="173" t="s">
        <v>913</v>
      </c>
      <c r="F195" s="173"/>
      <c r="G195" s="173" t="s">
        <v>876</v>
      </c>
      <c r="H195" s="175" t="s">
        <v>877</v>
      </c>
    </row>
    <row r="196" spans="4:8" ht="20.100000000000001" customHeight="1" x14ac:dyDescent="0.25">
      <c r="D196" s="173" t="s">
        <v>884</v>
      </c>
      <c r="E196" s="173" t="s">
        <v>914</v>
      </c>
      <c r="F196" s="173"/>
      <c r="G196" s="173"/>
      <c r="H196" s="174" t="s">
        <v>874</v>
      </c>
    </row>
    <row r="197" spans="4:8" ht="20.100000000000001" customHeight="1" x14ac:dyDescent="0.25">
      <c r="D197" s="173" t="s">
        <v>905</v>
      </c>
      <c r="E197" s="173" t="s">
        <v>906</v>
      </c>
      <c r="F197" s="173"/>
      <c r="G197" s="173"/>
      <c r="H197" s="174" t="s">
        <v>874</v>
      </c>
    </row>
    <row r="198" spans="4:8" ht="20.100000000000001" customHeight="1" x14ac:dyDescent="0.25"/>
    <row r="199" spans="4:8" ht="20.100000000000001" customHeight="1" x14ac:dyDescent="0.25"/>
    <row r="200" spans="4:8" ht="20.100000000000001" customHeight="1" x14ac:dyDescent="0.25">
      <c r="D200" s="9" t="s">
        <v>915</v>
      </c>
    </row>
    <row r="201" spans="4:8" ht="20.100000000000001" customHeight="1" x14ac:dyDescent="0.25">
      <c r="D201" s="11" t="s">
        <v>916</v>
      </c>
    </row>
    <row r="202" spans="4:8" ht="20.100000000000001" customHeight="1" x14ac:dyDescent="0.25">
      <c r="D202" s="12" t="s">
        <v>917</v>
      </c>
    </row>
    <row r="203" spans="4:8" ht="20.100000000000001" customHeight="1" x14ac:dyDescent="0.25">
      <c r="D203" s="178"/>
      <c r="E203" s="178"/>
    </row>
    <row r="204" spans="4:8" ht="20.100000000000001" customHeight="1" x14ac:dyDescent="0.25"/>
    <row r="205" spans="4:8" ht="20.100000000000001" customHeight="1" x14ac:dyDescent="0.25"/>
    <row r="206" spans="4:8" ht="20.100000000000001" customHeight="1" x14ac:dyDescent="0.25">
      <c r="D206" s="28" t="s">
        <v>641</v>
      </c>
      <c r="E206" s="8" t="s">
        <v>755</v>
      </c>
    </row>
    <row r="207" spans="4:8" ht="20.100000000000001" customHeight="1" x14ac:dyDescent="0.25">
      <c r="D207" s="28" t="s">
        <v>97</v>
      </c>
      <c r="E207" s="13" t="s">
        <v>860</v>
      </c>
    </row>
    <row r="208" spans="4:8" ht="20.100000000000001" customHeight="1" x14ac:dyDescent="0.25"/>
    <row r="209" spans="4:40" ht="20.100000000000001" customHeight="1" x14ac:dyDescent="0.25">
      <c r="D209" s="173" t="s">
        <v>900</v>
      </c>
      <c r="E209" s="177" t="s">
        <v>901</v>
      </c>
      <c r="F209" s="172"/>
      <c r="G209" s="173" t="s">
        <v>907</v>
      </c>
      <c r="H209" s="174" t="s">
        <v>874</v>
      </c>
    </row>
    <row r="210" spans="4:40" ht="20.100000000000001" customHeight="1" x14ac:dyDescent="0.25">
      <c r="D210" s="173" t="s">
        <v>911</v>
      </c>
      <c r="E210" s="177" t="s">
        <v>912</v>
      </c>
      <c r="F210" s="172"/>
      <c r="G210" s="173" t="s">
        <v>354</v>
      </c>
      <c r="H210" s="175" t="s">
        <v>874</v>
      </c>
    </row>
    <row r="211" spans="4:40" ht="20.100000000000001" customHeight="1" x14ac:dyDescent="0.25">
      <c r="D211" s="173" t="s">
        <v>902</v>
      </c>
      <c r="E211" s="177" t="s">
        <v>903</v>
      </c>
      <c r="F211" s="172"/>
      <c r="G211" s="173" t="s">
        <v>908</v>
      </c>
      <c r="H211" s="175" t="s">
        <v>877</v>
      </c>
    </row>
    <row r="212" spans="4:40" ht="20.100000000000001" customHeight="1" x14ac:dyDescent="0.25">
      <c r="D212" s="173" t="s">
        <v>869</v>
      </c>
      <c r="E212" s="177" t="s">
        <v>904</v>
      </c>
      <c r="F212" s="172"/>
      <c r="G212" s="173"/>
      <c r="H212" s="174" t="s">
        <v>874</v>
      </c>
    </row>
    <row r="213" spans="4:40" ht="20.100000000000001" customHeight="1" x14ac:dyDescent="0.25">
      <c r="D213" s="173" t="s">
        <v>905</v>
      </c>
      <c r="E213" s="177" t="s">
        <v>906</v>
      </c>
      <c r="F213" s="172"/>
      <c r="G213" s="173"/>
      <c r="H213" s="174" t="s">
        <v>874</v>
      </c>
    </row>
    <row r="214" spans="4:40" ht="20.100000000000001" customHeight="1" x14ac:dyDescent="0.25">
      <c r="D214" s="173" t="s">
        <v>884</v>
      </c>
      <c r="E214" s="177" t="s">
        <v>914</v>
      </c>
      <c r="F214" s="172"/>
      <c r="G214" s="173"/>
      <c r="H214" s="174" t="s">
        <v>874</v>
      </c>
    </row>
    <row r="215" spans="4:40" ht="20.100000000000001" customHeight="1" x14ac:dyDescent="0.25"/>
    <row r="216" spans="4:40" ht="20.100000000000001" customHeight="1" x14ac:dyDescent="0.25">
      <c r="D216" s="150" t="s">
        <v>375</v>
      </c>
    </row>
    <row r="217" spans="4:40" ht="20.100000000000001" customHeight="1" x14ac:dyDescent="0.25"/>
    <row r="218" spans="4:40" ht="20.100000000000001" customHeight="1" x14ac:dyDescent="0.25">
      <c r="D218" s="99" t="s">
        <v>374</v>
      </c>
      <c r="E218" s="115"/>
      <c r="F218" s="100"/>
    </row>
    <row r="219" spans="4:40" ht="20.100000000000001" customHeight="1" x14ac:dyDescent="0.25"/>
    <row r="220" spans="4:40" ht="20.100000000000001" customHeight="1" x14ac:dyDescent="0.25">
      <c r="D220" s="47" t="s">
        <v>218</v>
      </c>
      <c r="E220" s="47" t="s">
        <v>362</v>
      </c>
      <c r="F220" s="60" t="s">
        <v>682</v>
      </c>
      <c r="G220" s="60" t="s">
        <v>666</v>
      </c>
      <c r="H220" s="60" t="s">
        <v>665</v>
      </c>
      <c r="I220" s="47" t="s">
        <v>683</v>
      </c>
      <c r="J220" s="60" t="s">
        <v>667</v>
      </c>
      <c r="K220" s="60" t="s">
        <v>668</v>
      </c>
      <c r="L220" s="47" t="s">
        <v>643</v>
      </c>
      <c r="M220" s="47" t="s">
        <v>644</v>
      </c>
      <c r="N220" s="47" t="s">
        <v>645</v>
      </c>
      <c r="O220" s="60" t="s">
        <v>172</v>
      </c>
      <c r="P220" s="60" t="s">
        <v>173</v>
      </c>
      <c r="Q220" s="60" t="s">
        <v>174</v>
      </c>
      <c r="R220" s="60" t="s">
        <v>175</v>
      </c>
      <c r="S220" s="60" t="s">
        <v>670</v>
      </c>
      <c r="T220" s="47" t="s">
        <v>671</v>
      </c>
      <c r="U220" s="60" t="s">
        <v>176</v>
      </c>
      <c r="V220" s="60" t="s">
        <v>177</v>
      </c>
      <c r="W220" s="60" t="s">
        <v>672</v>
      </c>
      <c r="X220" s="47" t="s">
        <v>673</v>
      </c>
      <c r="Y220" s="60" t="s">
        <v>178</v>
      </c>
      <c r="Z220" s="60" t="s">
        <v>179</v>
      </c>
      <c r="AA220" s="60" t="s">
        <v>674</v>
      </c>
      <c r="AB220" s="47" t="s">
        <v>675</v>
      </c>
      <c r="AC220" s="60" t="s">
        <v>180</v>
      </c>
      <c r="AD220" s="60" t="s">
        <v>181</v>
      </c>
      <c r="AE220" s="60" t="s">
        <v>676</v>
      </c>
      <c r="AF220" s="47" t="s">
        <v>677</v>
      </c>
      <c r="AG220" s="60" t="s">
        <v>182</v>
      </c>
      <c r="AH220" s="60" t="s">
        <v>183</v>
      </c>
      <c r="AI220" s="60" t="s">
        <v>678</v>
      </c>
      <c r="AJ220" s="47" t="s">
        <v>679</v>
      </c>
      <c r="AK220" s="60" t="s">
        <v>184</v>
      </c>
      <c r="AL220" s="60" t="s">
        <v>185</v>
      </c>
      <c r="AM220" s="60" t="s">
        <v>680</v>
      </c>
      <c r="AN220" s="47" t="s">
        <v>681</v>
      </c>
    </row>
    <row r="221" spans="4:40" ht="20.100000000000001" customHeight="1" x14ac:dyDescent="0.25">
      <c r="D221" s="50" t="str" cm="1">
        <f t="array" ref="D221:D230">IFERROR(INDEX(Table_Input_InorganicFertiliser_Brands[Product (select)], _xlfn.SEQUENCE(10)), "")</f>
        <v>CoRoN 12-0-10</v>
      </c>
      <c r="E221" s="50" cm="1">
        <f t="array" ref="E221:E230">IFERROR(INDEX(Table_Input_InorganicFertiliser_Brands[Total applied (kg)], _xlfn.SEQUENCE(10)), 0)</f>
        <v>12150.000000000002</v>
      </c>
      <c r="F221" s="50">
        <f>(R221 * S221)+
(V221 * W221)+
(Z221 * AA221)+
(AD221 * AE221)+
(AH221 * AI221)+
(AL221 * AM221)</f>
        <v>0.21690000000000001</v>
      </c>
      <c r="G221" s="157">
        <f>((E221 * F221) * 10 ^ -3)</f>
        <v>2.6353350000000004</v>
      </c>
      <c r="H221" s="50">
        <f>((R221 * $E221) * S221 * 10 ^ -3)+
((V221 * $E221) * W221 * 10 ^ -3)+
((Z221 * $E221) * AA221 * 10 ^ -3)+
((AD221 * $E221) * AE221 * 10 ^ -3)+
((AH221 * $E221) * AI221 * 10 ^ -3)+
((AL221 * $E221) * AM221 * 10 ^ -3)</f>
        <v>2.6353350000000004</v>
      </c>
      <c r="I221" s="69">
        <v>0.4</v>
      </c>
      <c r="J221" s="157">
        <f>((E221 * I221) * 10 ^ -3)</f>
        <v>4.8600000000000012</v>
      </c>
      <c r="K221" s="157">
        <f>((R221 * $E221) * (IF(T221,T221,S221)) * 10 ^ -3)+
((V221 * $E221) * (IF(X221,X221,W221)) * 10 ^ -3)+
((Z221 * $E221) * (IF(AB221,AB221,AA221)) * 10 ^ -3)+
((AD221 * $E221) * (IF(AF221,AF221,AE221)) * 10 ^ -3)+
((AH221 * $E221) * (IF(AJ221,AJ221,AI221)) * 10 ^ -3)+
((AL221 * $E221) * (IF(AN221,AN221,AM221)) * 10 ^ -3)</f>
        <v>4.6909565226900014</v>
      </c>
      <c r="L221" s="86"/>
      <c r="M221" s="48"/>
      <c r="N221"/>
      <c r="O221" s="50" cm="1">
        <f t="array" ref="O221:O230">IFERROR(INDEX(Table_Input_InorganicFertiliser_Brands[Urea source], _xlfn.SEQUENCE(10)), "")</f>
        <v>0</v>
      </c>
      <c r="P221" s="50" cm="1">
        <f t="array" ref="P221:P230">IFERROR(INDEX(Table_Input_InorganicFertiliser_Brands[Ammonia source], _xlfn.SEQUENCE(10)), "")</f>
        <v>0</v>
      </c>
      <c r="Q221" s="50" t="str" cm="1">
        <f t="array" ref="Q221:Q230">IFERROR(INDEX(Table_Input_InorganicFertiliser_Brands[Ingredient 1], _xlfn.SEQUENCE(10)), "")</f>
        <v>Urea</v>
      </c>
      <c r="R221" s="50" cm="1">
        <f t="array" ref="R221:R230">IFERROR(INDEX(_xlfn.LET(_xlpm.result, Table_Input_InorganicFertiliser_Brands[Ingredient 1 percent], IF(_xlpm.result="", 0, _xlpm.result)), _xlfn.SEQUENCE(10)), 0)</f>
        <v>0.19565217400000001</v>
      </c>
      <c r="S221" s="50" cm="1">
        <f t="array" ref="S221">_xlfn.LET(_xlpm.result, Common_InputFunctions.Utility_LookupValueInTableTwoColumns(Q221, _xlfn.IFS(Q221="Urea",IF($O221="", "Global", $O221), Q221="Ammonia", IF($P221="", "Global", $P221), TRUE, "Global"), Table_SourceData_Scope3_InorganicFertiliser[Chemical compound],Table_SourceData_Scope3_InorganicFertiliser[Region of origin],Table_SourceData_Scope3_InorganicFertiliser[AusLCI Emissions intensity]), IF(_xlpm.result="", 0, _xlpm.result))</f>
        <v>0</v>
      </c>
      <c r="T221" s="69">
        <v>0.9</v>
      </c>
      <c r="U221" s="50" t="str" cm="1">
        <f t="array" ref="U221:U230">IFERROR(INDEX(Table_Input_InorganicFertiliser_Brands[Ingredient 2], _xlfn.SEQUENCE(10)), "")</f>
        <v>Potassium - Generic</v>
      </c>
      <c r="V221" s="50" cm="1">
        <f t="array" ref="V221:V230">IFERROR(INDEX(_xlfn.LET(_xlpm.result, Table_Input_InorganicFertiliser_Brands[Ingredient 2 percent], IF(_xlpm.result="", 0, _xlpm.result)), _xlfn.SEQUENCE(10)), 0)</f>
        <v>0.1</v>
      </c>
      <c r="W221" s="50" cm="1">
        <f t="array" ref="W221">_xlfn.LET(_xlpm.result, Common_InputFunctions.Utility_LookupValueInTableTwoColumns(U221, _xlfn.IFS(U221="Urea",IF($O221="", "Global", $O221), U221="Ammonia", IF($P221="", "Global", $P221), TRUE, "Global"), Table_SourceData_Scope3_InorganicFertiliser[Chemical compound],Table_SourceData_Scope3_InorganicFertiliser[Region of origin],Table_SourceData_Scope3_InorganicFertiliser[AusLCI Emissions intensity]), IF(_xlpm.result="", 0, _xlpm.result))</f>
        <v>0.90900000000000003</v>
      </c>
      <c r="X221" s="69">
        <v>0.9</v>
      </c>
      <c r="Y221" s="50" t="str" cm="1">
        <f t="array" ref="Y221:Y230">IFERROR(INDEX(Table_Input_InorganicFertiliser_Brands[Ingredient 3], _xlfn.SEQUENCE(10)), "")</f>
        <v>Nitrogen - Generic</v>
      </c>
      <c r="Z221" s="50" cm="1">
        <f t="array" ref="Z221:Z230">IFERROR(INDEX(_xlfn.LET(_xlpm.result, Table_Input_InorganicFertiliser_Brands[Ingredient 3 percent], IF(_xlpm.result="", 0, _xlpm.result)), _xlfn.SEQUENCE(10)), 0)</f>
        <v>0.03</v>
      </c>
      <c r="AA221" s="50" cm="1">
        <f t="array" ref="AA221">_xlfn.LET(_xlpm.result, Common_InputFunctions.Utility_LookupValueInTableTwoColumns(Y221, _xlfn.IFS(Y221="Urea",IF($O221="", "Global", $O221), Y221="Ammonia", IF($P221="", "Global", $P221), TRUE, "Global"), Table_SourceData_Scope3_InorganicFertiliser[Chemical compound],Table_SourceData_Scope3_InorganicFertiliser[Region of origin],Table_SourceData_Scope3_InorganicFertiliser[AusLCI Emissions intensity]), IF(_xlpm.result="", 0, _xlpm.result))</f>
        <v>4.2</v>
      </c>
      <c r="AB221" s="69">
        <v>4</v>
      </c>
      <c r="AC221" s="50" t="str" cm="1">
        <f t="array" ref="AC221:AC230">IFERROR(INDEX(Table_Input_InorganicFertiliser_Brands[Ingredient 4], _xlfn.SEQUENCE(10)), "")</f>
        <v>Boron</v>
      </c>
      <c r="AD221" s="50" cm="1">
        <f t="array" ref="AD221:AD230">IFERROR(INDEX(_xlfn.LET(_xlpm.result, Table_Input_InorganicFertiliser_Brands[Ingredient 4 percent], IF(_xlpm.result="", 0, _xlpm.result)), _xlfn.SEQUENCE(10)), 0)</f>
        <v>5.0000000000000001E-3</v>
      </c>
      <c r="AE221" s="50" cm="1">
        <f t="array" ref="AE221">_xlfn.LET(_xlpm.result, Common_InputFunctions.Utility_LookupValueInTableTwoColumns(AC221, _xlfn.IFS(AC221="Urea",IF($O221="", "Global", $O221), AC221="Ammonia", IF($P221="", "Global", $P221), TRUE, "Global"), Table_SourceData_Scope3_InorganicFertiliser[Chemical compound],Table_SourceData_Scope3_InorganicFertiliser[Region of origin],Table_SourceData_Scope3_InorganicFertiliser[AusLCI Emissions intensity]), IF(_xlpm.result="", 0, _xlpm.result))</f>
        <v>0</v>
      </c>
      <c r="AF221" s="69">
        <v>0</v>
      </c>
      <c r="AG221" s="50" cm="1">
        <f t="array" ref="AG221:AG230">IFERROR(INDEX(Table_Input_InorganicFertiliser_Brands[Ingredient 5], _xlfn.SEQUENCE(10)), "")</f>
        <v>0</v>
      </c>
      <c r="AH221" s="50" cm="1">
        <f t="array" ref="AH221:AH230">IFERROR(INDEX(_xlfn.LET(_xlpm.result, Table_Input_InorganicFertiliser_Brands[Ingredient 5 percent], IF(_xlpm.result="", 0, _xlpm.result)), _xlfn.SEQUENCE(10)), 0)</f>
        <v>0</v>
      </c>
      <c r="AI221" s="50" cm="1">
        <f t="array" ref="AI221">_xlfn.LET(_xlpm.result, Common_InputFunctions.Utility_LookupValueInTableTwoColumns(AG221, _xlfn.IFS(AG221="Urea",IF($O221="", "Global", $O221), AG221="Ammonia", IF($P221="", "Global", $P221), TRUE, "Global"), Table_SourceData_Scope3_InorganicFertiliser[Chemical compound],Table_SourceData_Scope3_InorganicFertiliser[Region of origin],Table_SourceData_Scope3_InorganicFertiliser[AusLCI Emissions intensity]), IF(_xlpm.result="", 0, _xlpm.result))</f>
        <v>0</v>
      </c>
      <c r="AJ221" s="69">
        <v>0</v>
      </c>
      <c r="AK221" s="50" cm="1">
        <f t="array" ref="AK221:AK230">IFERROR(INDEX(Table_Input_InorganicFertiliser_Brands[Ingredient 6], _xlfn.SEQUENCE(10)), "")</f>
        <v>0</v>
      </c>
      <c r="AL221" s="50" cm="1">
        <f t="array" ref="AL221:AL230">IFERROR(INDEX(_xlfn.LET(_xlpm.result, Table_Input_InorganicFertiliser_Brands[Ingredient 6 percent], IF(_xlpm.result="", 0, _xlpm.result)), _xlfn.SEQUENCE(10)), 0)</f>
        <v>0</v>
      </c>
      <c r="AM221" s="50" cm="1">
        <f t="array" ref="AM221">_xlfn.LET(_xlpm.result, Common_InputFunctions.Utility_LookupValueInTableTwoColumns(AK221, _xlfn.IFS(AK221="Urea",IF($O221="", "Global", $O221), AK221="Ammonia", IF($P221="", "Global", $P221), TRUE, "Global"), Table_SourceData_Scope3_InorganicFertiliser[Chemical compound],Table_SourceData_Scope3_InorganicFertiliser[Region of origin],Table_SourceData_Scope3_InorganicFertiliser[AusLCI Emissions intensity]), IF(_xlpm.result="", 0, _xlpm.result))</f>
        <v>0</v>
      </c>
      <c r="AN221" s="69"/>
    </row>
    <row r="222" spans="4:40" ht="20.100000000000001" customHeight="1" x14ac:dyDescent="0.25">
      <c r="D222" s="50" t="str">
        <v>Boost-It</v>
      </c>
      <c r="E222" s="50">
        <v>20000</v>
      </c>
      <c r="F222" s="50">
        <f>(R222 * S222)+
(V222 * W222)+
(Z222 * AA222)+
(AD222 * AE222)+
(AH222 * AI222)+
(AL222 * AM222)</f>
        <v>0.41114000000000001</v>
      </c>
      <c r="G222" s="157">
        <f>((E222 * F222) * 10 ^ -3)</f>
        <v>8.2227999999999994</v>
      </c>
      <c r="H222" s="50">
        <f>((R222 * $E222) * S222 * 10 ^ -3)+
((V222 * $E222) * W222 * 10 ^ -3)+
((Z222 * $E222) * AA222 * 10 ^ -3)+
((AD222 * $E222) * AE222 * 10 ^ -3)+
((AH222 * $E222) * AI222 * 10 ^ -3)+
((AL222 * $E222) * AM222 * 10 ^ -3)</f>
        <v>8.2227999999999994</v>
      </c>
      <c r="I222" s="69">
        <v>0.9</v>
      </c>
      <c r="J222" s="157">
        <f>((E222 * I222) * 10 ^ -3)</f>
        <v>18</v>
      </c>
      <c r="K222" s="157">
        <f>((R222 * $E222) * (IF(T222,T222,S222)) * 10 ^ -3)+
((V222 * $E222) * (IF(X222,X222,W222)) * 10 ^ -3)+
((Z222 * $E222) * (IF(AB222,AB222,AA222)) * 10 ^ -3)+
((AD222 * $E222) * (IF(AF222,AF222,AE222)) * 10 ^ -3)+
((AH222 * $E222) * (IF(AJ222,AJ222,AI222)) * 10 ^ -3)+
((AL222 * $E222) * (IF(AN222,AN222,AM222)) * 10 ^ -3)</f>
        <v>8.2227999999999994</v>
      </c>
      <c r="L222" s="86"/>
      <c r="M222" s="48"/>
      <c r="N222" s="86"/>
      <c r="O222" s="50">
        <v>0</v>
      </c>
      <c r="P222" s="50">
        <v>0</v>
      </c>
      <c r="Q222" s="50" t="str">
        <v>Urea</v>
      </c>
      <c r="R222" s="50">
        <v>0.52173913000000005</v>
      </c>
      <c r="S222" s="50" cm="1">
        <f t="array" ref="S222">_xlfn.LET(_xlpm.result, Common_InputFunctions.Utility_LookupValueInTableTwoColumns(Q222, _xlfn.IFS(Q222="Urea",IF($O222="", "Global", $O222), Q222="Ammonia", IF($P222="", "Global", $P222), TRUE, "Global"), Table_SourceData_Scope3_InorganicFertiliser[Chemical compound],Table_SourceData_Scope3_InorganicFertiliser[Region of origin],Table_SourceData_Scope3_InorganicFertiliser[AusLCI Emissions intensity]), IF(_xlpm.result="", 0, _xlpm.result))</f>
        <v>0</v>
      </c>
      <c r="T222" s="69"/>
      <c r="U222" s="50" t="str">
        <v>Potassium - Generic</v>
      </c>
      <c r="V222" s="50">
        <v>0.08</v>
      </c>
      <c r="W222" s="50" cm="1">
        <f t="array" ref="W222">_xlfn.LET(_xlpm.result, Common_InputFunctions.Utility_LookupValueInTableTwoColumns(U222, _xlfn.IFS(U222="Urea",IF($O222="", "Global", $O222), U222="Ammonia", IF($P222="", "Global", $P222), TRUE, "Global"), Table_SourceData_Scope3_InorganicFertiliser[Chemical compound],Table_SourceData_Scope3_InorganicFertiliser[Region of origin],Table_SourceData_Scope3_InorganicFertiliser[AusLCI Emissions intensity]), IF(_xlpm.result="", 0, _xlpm.result))</f>
        <v>0.90900000000000003</v>
      </c>
      <c r="X222" s="69"/>
      <c r="Y222" s="50" t="str">
        <v>Sulfur - Generic</v>
      </c>
      <c r="Z222" s="50">
        <v>5.2999999999999999E-2</v>
      </c>
      <c r="AA222" s="50" cm="1">
        <f t="array" ref="AA222">_xlfn.LET(_xlpm.result, Common_InputFunctions.Utility_LookupValueInTableTwoColumns(Y222, _xlfn.IFS(Y222="Urea",IF($O222="", "Global", $O222), Y222="Ammonia", IF($P222="", "Global", $P222), TRUE, "Global"), Table_SourceData_Scope3_InorganicFertiliser[Chemical compound],Table_SourceData_Scope3_InorganicFertiliser[Region of origin],Table_SourceData_Scope3_InorganicFertiliser[AusLCI Emissions intensity]), IF(_xlpm.result="", 0, _xlpm.result))</f>
        <v>2.5</v>
      </c>
      <c r="AB222" s="69"/>
      <c r="AC222" s="50" t="str">
        <v>Phosphorus - Generic</v>
      </c>
      <c r="AD222" s="50">
        <v>5.1999999999999998E-2</v>
      </c>
      <c r="AE222" s="50" cm="1">
        <f t="array" ref="AE222">_xlfn.LET(_xlpm.result, Common_InputFunctions.Utility_LookupValueInTableTwoColumns(AC222, _xlfn.IFS(AC222="Urea",IF($O222="", "Global", $O222), AC222="Ammonia", IF($P222="", "Global", $P222), TRUE, "Global"), Table_SourceData_Scope3_InorganicFertiliser[Chemical compound],Table_SourceData_Scope3_InorganicFertiliser[Region of origin],Table_SourceData_Scope3_InorganicFertiliser[AusLCI Emissions intensity]), IF(_xlpm.result="", 0, _xlpm.result))</f>
        <v>3.96</v>
      </c>
      <c r="AF222" s="69"/>
      <c r="AG222" s="50" t="str">
        <v>Magnesium</v>
      </c>
      <c r="AH222" s="50">
        <v>1.2999999999999999E-2</v>
      </c>
      <c r="AI222" s="50" cm="1">
        <f t="array" ref="AI222">_xlfn.LET(_xlpm.result, Common_InputFunctions.Utility_LookupValueInTableTwoColumns(AG222, _xlfn.IFS(AG222="Urea",IF($O222="", "Global", $O222), AG222="Ammonia", IF($P222="", "Global", $P222), TRUE, "Global"), Table_SourceData_Scope3_InorganicFertiliser[Chemical compound],Table_SourceData_Scope3_InorganicFertiliser[Region of origin],Table_SourceData_Scope3_InorganicFertiliser[AusLCI Emissions intensity]), IF(_xlpm.result="", 0, _xlpm.result))</f>
        <v>0</v>
      </c>
      <c r="AJ222" s="69"/>
      <c r="AK222" s="50" t="str">
        <v>Zinc</v>
      </c>
      <c r="AL222" s="50">
        <v>2E-3</v>
      </c>
      <c r="AM222" s="50" cm="1">
        <f t="array" ref="AM222">_xlfn.LET(_xlpm.result, Common_InputFunctions.Utility_LookupValueInTableTwoColumns(AK222, _xlfn.IFS(AK222="Urea",IF($O222="", "Global", $O222), AK222="Ammonia", IF($P222="", "Global", $P222), TRUE, "Global"), Table_SourceData_Scope3_InorganicFertiliser[Chemical compound],Table_SourceData_Scope3_InorganicFertiliser[Region of origin],Table_SourceData_Scope3_InorganicFertiliser[AusLCI Emissions intensity]), IF(_xlpm.result="", 0, _xlpm.result))</f>
        <v>0</v>
      </c>
      <c r="AN222" s="69"/>
    </row>
    <row r="223" spans="4:40" ht="20.100000000000001" customHeight="1" x14ac:dyDescent="0.25">
      <c r="D223" s="50" t="str">
        <v>CoRoN 12-0-10</v>
      </c>
      <c r="E223" s="50">
        <v>12150.000000000002</v>
      </c>
      <c r="F223" s="50">
        <f>(R223 * S223)+
(V223 * W223)+
(Z223 * AA223)+
(AD223 * AE223)+
(AH223 * AI223)+
(AL223 * AM223)</f>
        <v>0.21690000000000001</v>
      </c>
      <c r="G223" s="157">
        <f>((E223 * F223) * 10 ^ -3)</f>
        <v>2.6353350000000004</v>
      </c>
      <c r="H223" s="50">
        <f>((R223 * $E223) * S223 * 10 ^ -3)+
((V223 * $E223) * W223 * 10 ^ -3)+
((Z223 * $E223) * AA223 * 10 ^ -3)+
((AD223 * $E223) * AE223 * 10 ^ -3)+
((AH223 * $E223) * AI223 * 10 ^ -3)+
((AL223 * $E223) * AM223 * 10 ^ -3)</f>
        <v>2.6353350000000004</v>
      </c>
      <c r="I223" s="69">
        <v>0.4</v>
      </c>
      <c r="J223" s="157">
        <f>((E223 * I223) * 10 ^ -3)</f>
        <v>4.8600000000000012</v>
      </c>
      <c r="K223" s="157">
        <f>((R223 * $E223) * (IF(T223,T223,S223)) * 10 ^ -3)+
((V223 * $E223) * (IF(X223,X223,W223)) * 10 ^ -3)+
((Z223 * $E223) * (IF(AB223,AB223,AA223)) * 10 ^ -3)+
((AD223 * $E223) * (IF(AF223,AF223,AE223)) * 10 ^ -3)+
((AH223 * $E223) * (IF(AJ223,AJ223,AI223)) * 10 ^ -3)+
((AL223 * $E223) * (IF(AN223,AN223,AM223)) * 10 ^ -3)</f>
        <v>2.6353350000000004</v>
      </c>
      <c r="L223" s="86"/>
      <c r="M223" s="48"/>
      <c r="N223" s="86"/>
      <c r="O223" s="50">
        <v>0</v>
      </c>
      <c r="P223" s="50">
        <v>0</v>
      </c>
      <c r="Q223" s="50" t="str">
        <v>Urea</v>
      </c>
      <c r="R223" s="50">
        <v>0.19565217400000001</v>
      </c>
      <c r="S223" s="50" cm="1">
        <f t="array" ref="S223">_xlfn.LET(_xlpm.result, Common_InputFunctions.Utility_LookupValueInTableTwoColumns(Q223, _xlfn.IFS(Q223="Urea",IF($O223="", "Global", $O223), Q223="Ammonia", IF($P223="", "Global", $P223), TRUE, "Global"), Table_SourceData_Scope3_InorganicFertiliser[Chemical compound],Table_SourceData_Scope3_InorganicFertiliser[Region of origin],Table_SourceData_Scope3_InorganicFertiliser[AusLCI Emissions intensity]), IF(_xlpm.result="", 0, _xlpm.result))</f>
        <v>0</v>
      </c>
      <c r="T223" s="69"/>
      <c r="U223" s="50" t="str">
        <v>Potassium - Generic</v>
      </c>
      <c r="V223" s="50">
        <v>0.1</v>
      </c>
      <c r="W223" s="50" cm="1">
        <f t="array" ref="W223">_xlfn.LET(_xlpm.result, Common_InputFunctions.Utility_LookupValueInTableTwoColumns(U223, _xlfn.IFS(U223="Urea",IF($O223="", "Global", $O223), U223="Ammonia", IF($P223="", "Global", $P223), TRUE, "Global"), Table_SourceData_Scope3_InorganicFertiliser[Chemical compound],Table_SourceData_Scope3_InorganicFertiliser[Region of origin],Table_SourceData_Scope3_InorganicFertiliser[AusLCI Emissions intensity]), IF(_xlpm.result="", 0, _xlpm.result))</f>
        <v>0.90900000000000003</v>
      </c>
      <c r="X223" s="69"/>
      <c r="Y223" s="50" t="str">
        <v>Nitrogen - Generic</v>
      </c>
      <c r="Z223" s="50">
        <v>0.03</v>
      </c>
      <c r="AA223" s="50" cm="1">
        <f t="array" ref="AA223">_xlfn.LET(_xlpm.result, Common_InputFunctions.Utility_LookupValueInTableTwoColumns(Y223, _xlfn.IFS(Y223="Urea",IF($O223="", "Global", $O223), Y223="Ammonia", IF($P223="", "Global", $P223), TRUE, "Global"), Table_SourceData_Scope3_InorganicFertiliser[Chemical compound],Table_SourceData_Scope3_InorganicFertiliser[Region of origin],Table_SourceData_Scope3_InorganicFertiliser[AusLCI Emissions intensity]), IF(_xlpm.result="", 0, _xlpm.result))</f>
        <v>4.2</v>
      </c>
      <c r="AB223" s="69"/>
      <c r="AC223" s="50" t="str">
        <v>Boron</v>
      </c>
      <c r="AD223" s="50">
        <v>5.0000000000000001E-3</v>
      </c>
      <c r="AE223" s="50" cm="1">
        <f t="array" ref="AE223">_xlfn.LET(_xlpm.result, Common_InputFunctions.Utility_LookupValueInTableTwoColumns(AC223, _xlfn.IFS(AC223="Urea",IF($O223="", "Global", $O223), AC223="Ammonia", IF($P223="", "Global", $P223), TRUE, "Global"), Table_SourceData_Scope3_InorganicFertiliser[Chemical compound],Table_SourceData_Scope3_InorganicFertiliser[Region of origin],Table_SourceData_Scope3_InorganicFertiliser[AusLCI Emissions intensity]), IF(_xlpm.result="", 0, _xlpm.result))</f>
        <v>0</v>
      </c>
      <c r="AF223" s="69"/>
      <c r="AG223" s="50">
        <v>0</v>
      </c>
      <c r="AH223" s="50">
        <v>0</v>
      </c>
      <c r="AI223" s="50" cm="1">
        <f t="array" ref="AI223">_xlfn.LET(_xlpm.result, Common_InputFunctions.Utility_LookupValueInTableTwoColumns(AG223, _xlfn.IFS(AG223="Urea",IF($O223="", "Global", $O223), AG223="Ammonia", IF($P223="", "Global", $P223), TRUE, "Global"), Table_SourceData_Scope3_InorganicFertiliser[Chemical compound],Table_SourceData_Scope3_InorganicFertiliser[Region of origin],Table_SourceData_Scope3_InorganicFertiliser[AusLCI Emissions intensity]), IF(_xlpm.result="", 0, _xlpm.result))</f>
        <v>0</v>
      </c>
      <c r="AJ223" s="69"/>
      <c r="AK223" s="50">
        <v>0</v>
      </c>
      <c r="AL223" s="50">
        <v>0</v>
      </c>
      <c r="AM223" s="50" cm="1">
        <f t="array" ref="AM223">_xlfn.LET(_xlpm.result, Common_InputFunctions.Utility_LookupValueInTableTwoColumns(AK223, _xlfn.IFS(AK223="Urea",IF($O223="", "Global", $O223), AK223="Ammonia", IF($P223="", "Global", $P223), TRUE, "Global"), Table_SourceData_Scope3_InorganicFertiliser[Chemical compound],Table_SourceData_Scope3_InorganicFertiliser[Region of origin],Table_SourceData_Scope3_InorganicFertiliser[AusLCI Emissions intensity]), IF(_xlpm.result="", 0, _xlpm.result))</f>
        <v>0</v>
      </c>
      <c r="AN223" s="69"/>
    </row>
    <row r="224" spans="4:40" ht="20.100000000000001" customHeight="1" x14ac:dyDescent="0.25">
      <c r="D224" s="50" t="str">
        <v/>
      </c>
      <c r="E224" s="50">
        <v>0</v>
      </c>
      <c r="F224" s="50">
        <f>(R224 * S224)+
(V224 * W224)+
(Z224 * AA224)+
(AD224 * AE224)+
(AH224 * AI224)+
(AL224 * AM224)</f>
        <v>0</v>
      </c>
      <c r="G224" s="157">
        <f>((E224 * F224) * 10 ^ -3)</f>
        <v>0</v>
      </c>
      <c r="H224" s="50">
        <f>((R224 * $E224) * S224 * 10 ^ -3)+
((V224 * $E224) * W224 * 10 ^ -3)+
((Z224 * $E224) * AA224 * 10 ^ -3)+
((AD224 * $E224) * AE224 * 10 ^ -3)+
((AH224 * $E224) * AI224 * 10 ^ -3)+
((AL224 * $E224) * AM224 * 10 ^ -3)</f>
        <v>0</v>
      </c>
      <c r="I224" s="69"/>
      <c r="J224" s="157">
        <f>((E224 * I224) * 10 ^ -3)</f>
        <v>0</v>
      </c>
      <c r="K224" s="157">
        <f>((R224 * $E224) * (IF(T224,T224,S224)) * 10 ^ -3)+
((V224 * $E224) * (IF(X224,X224,W224)) * 10 ^ -3)+
((Z224 * $E224) * (IF(AB224,AB224,AA224)) * 10 ^ -3)+
((AD224 * $E224) * (IF(AF224,AF224,AE224)) * 10 ^ -3)+
((AH224 * $E224) * (IF(AJ224,AJ224,AI224)) * 10 ^ -3)+
((AL224 * $E224) * (IF(AN224,AN224,AM224)) * 10 ^ -3)</f>
        <v>0</v>
      </c>
      <c r="L224" s="86"/>
      <c r="M224" s="48"/>
      <c r="N224" s="86"/>
      <c r="O224" s="50" t="str">
        <v/>
      </c>
      <c r="P224" s="50" t="str">
        <v/>
      </c>
      <c r="Q224" s="50" t="str">
        <v/>
      </c>
      <c r="R224" s="50">
        <v>0</v>
      </c>
      <c r="S224" s="50" cm="1">
        <f t="array" ref="S224">_xlfn.LET(_xlpm.result, Common_InputFunctions.Utility_LookupValueInTableTwoColumns(Q224, _xlfn.IFS(Q224="Urea",IF($O224="", "Global", $O224), Q224="Ammonia", IF($P224="", "Global", $P224), TRUE, "Global"), Table_SourceData_Scope3_InorganicFertiliser[Chemical compound],Table_SourceData_Scope3_InorganicFertiliser[Region of origin],Table_SourceData_Scope3_InorganicFertiliser[AusLCI Emissions intensity]), IF(_xlpm.result="", 0, _xlpm.result))</f>
        <v>0</v>
      </c>
      <c r="T224" s="69"/>
      <c r="U224" s="50" t="str">
        <v/>
      </c>
      <c r="V224" s="50">
        <v>0</v>
      </c>
      <c r="W224" s="50" cm="1">
        <f t="array" ref="W224">_xlfn.LET(_xlpm.result, Common_InputFunctions.Utility_LookupValueInTableTwoColumns(U224, _xlfn.IFS(U224="Urea",IF($O224="", "Global", $O224), U224="Ammonia", IF($P224="", "Global", $P224), TRUE, "Global"), Table_SourceData_Scope3_InorganicFertiliser[Chemical compound],Table_SourceData_Scope3_InorganicFertiliser[Region of origin],Table_SourceData_Scope3_InorganicFertiliser[AusLCI Emissions intensity]), IF(_xlpm.result="", 0, _xlpm.result))</f>
        <v>0</v>
      </c>
      <c r="X224" s="69"/>
      <c r="Y224" s="50" t="str">
        <v/>
      </c>
      <c r="Z224" s="50">
        <v>0</v>
      </c>
      <c r="AA224" s="50" cm="1">
        <f t="array" ref="AA224">_xlfn.LET(_xlpm.result, Common_InputFunctions.Utility_LookupValueInTableTwoColumns(Y224, _xlfn.IFS(Y224="Urea",IF($O224="", "Global", $O224), Y224="Ammonia", IF($P224="", "Global", $P224), TRUE, "Global"), Table_SourceData_Scope3_InorganicFertiliser[Chemical compound],Table_SourceData_Scope3_InorganicFertiliser[Region of origin],Table_SourceData_Scope3_InorganicFertiliser[AusLCI Emissions intensity]), IF(_xlpm.result="", 0, _xlpm.result))</f>
        <v>0</v>
      </c>
      <c r="AB224" s="69"/>
      <c r="AC224" s="50" t="str">
        <v/>
      </c>
      <c r="AD224" s="50">
        <v>0</v>
      </c>
      <c r="AE224" s="50" cm="1">
        <f t="array" ref="AE224">_xlfn.LET(_xlpm.result, Common_InputFunctions.Utility_LookupValueInTableTwoColumns(AC224, _xlfn.IFS(AC224="Urea",IF($O224="", "Global", $O224), AC224="Ammonia", IF($P224="", "Global", $P224), TRUE, "Global"), Table_SourceData_Scope3_InorganicFertiliser[Chemical compound],Table_SourceData_Scope3_InorganicFertiliser[Region of origin],Table_SourceData_Scope3_InorganicFertiliser[AusLCI Emissions intensity]), IF(_xlpm.result="", 0, _xlpm.result))</f>
        <v>0</v>
      </c>
      <c r="AF224" s="69"/>
      <c r="AG224" s="50" t="str">
        <v/>
      </c>
      <c r="AH224" s="50">
        <v>0</v>
      </c>
      <c r="AI224" s="50" cm="1">
        <f t="array" ref="AI224">_xlfn.LET(_xlpm.result, Common_InputFunctions.Utility_LookupValueInTableTwoColumns(AG224, _xlfn.IFS(AG224="Urea",IF($O224="", "Global", $O224), AG224="Ammonia", IF($P224="", "Global", $P224), TRUE, "Global"), Table_SourceData_Scope3_InorganicFertiliser[Chemical compound],Table_SourceData_Scope3_InorganicFertiliser[Region of origin],Table_SourceData_Scope3_InorganicFertiliser[AusLCI Emissions intensity]), IF(_xlpm.result="", 0, _xlpm.result))</f>
        <v>0</v>
      </c>
      <c r="AJ224" s="69"/>
      <c r="AK224" s="50" t="str">
        <v/>
      </c>
      <c r="AL224" s="50">
        <v>0</v>
      </c>
      <c r="AM224" s="50" cm="1">
        <f t="array" ref="AM224">_xlfn.LET(_xlpm.result, Common_InputFunctions.Utility_LookupValueInTableTwoColumns(AK224, _xlfn.IFS(AK224="Urea",IF($O224="", "Global", $O224), AK224="Ammonia", IF($P224="", "Global", $P224), TRUE, "Global"), Table_SourceData_Scope3_InorganicFertiliser[Chemical compound],Table_SourceData_Scope3_InorganicFertiliser[Region of origin],Table_SourceData_Scope3_InorganicFertiliser[AusLCI Emissions intensity]), IF(_xlpm.result="", 0, _xlpm.result))</f>
        <v>0</v>
      </c>
      <c r="AN224" s="69"/>
    </row>
    <row r="225" spans="4:40" ht="20.100000000000001" customHeight="1" x14ac:dyDescent="0.25">
      <c r="D225" s="50" t="str">
        <v/>
      </c>
      <c r="E225" s="50">
        <v>0</v>
      </c>
      <c r="F225" s="50">
        <f>(R225 * S225)+
(V225 * W225)+
(Z225 * AA225)+
(AD225 * AE225)+
(AH225 * AI225)+
(AL225 * AM225)</f>
        <v>0</v>
      </c>
      <c r="G225" s="157">
        <f>((E225 * F225) * 10 ^ -3)</f>
        <v>0</v>
      </c>
      <c r="H225" s="50">
        <f>((R225 * $E225) * S225 * 10 ^ -3)+
((V225 * $E225) * W225 * 10 ^ -3)+
((Z225 * $E225) * AA225 * 10 ^ -3)+
((AD225 * $E225) * AE225 * 10 ^ -3)+
((AH225 * $E225) * AI225 * 10 ^ -3)+
((AL225 * $E225) * AM225 * 10 ^ -3)</f>
        <v>0</v>
      </c>
      <c r="I225" s="69"/>
      <c r="J225" s="157">
        <f>((E225 * I225) * 10 ^ -3)</f>
        <v>0</v>
      </c>
      <c r="K225" s="157">
        <f>((R225 * $E225) * (IF(T225,T225,S225)) * 10 ^ -3)+
((V225 * $E225) * (IF(X225,X225,W225)) * 10 ^ -3)+
((Z225 * $E225) * (IF(AB225,AB225,AA225)) * 10 ^ -3)+
((AD225 * $E225) * (IF(AF225,AF225,AE225)) * 10 ^ -3)+
((AH225 * $E225) * (IF(AJ225,AJ225,AI225)) * 10 ^ -3)+
((AL225 * $E225) * (IF(AN225,AN225,AM225)) * 10 ^ -3)</f>
        <v>0</v>
      </c>
      <c r="L225" s="86"/>
      <c r="M225" s="48"/>
      <c r="N225" s="86"/>
      <c r="O225" s="50" t="str">
        <v/>
      </c>
      <c r="P225" s="50" t="str">
        <v/>
      </c>
      <c r="Q225" s="50" t="str">
        <v/>
      </c>
      <c r="R225" s="50">
        <v>0</v>
      </c>
      <c r="S225" s="50" cm="1">
        <f t="array" ref="S225">_xlfn.LET(_xlpm.result, Common_InputFunctions.Utility_LookupValueInTableTwoColumns(Q225, _xlfn.IFS(Q225="Urea",IF($O225="", "Global", $O225), Q225="Ammonia", IF($P225="", "Global", $P225), TRUE, "Global"), Table_SourceData_Scope3_InorganicFertiliser[Chemical compound],Table_SourceData_Scope3_InorganicFertiliser[Region of origin],Table_SourceData_Scope3_InorganicFertiliser[AusLCI Emissions intensity]), IF(_xlpm.result="", 0, _xlpm.result))</f>
        <v>0</v>
      </c>
      <c r="T225" s="69"/>
      <c r="U225" s="50" t="str">
        <v/>
      </c>
      <c r="V225" s="50">
        <v>0</v>
      </c>
      <c r="W225" s="50" cm="1">
        <f t="array" ref="W225">_xlfn.LET(_xlpm.result, Common_InputFunctions.Utility_LookupValueInTableTwoColumns(U225, _xlfn.IFS(U225="Urea",IF($O225="", "Global", $O225), U225="Ammonia", IF($P225="", "Global", $P225), TRUE, "Global"), Table_SourceData_Scope3_InorganicFertiliser[Chemical compound],Table_SourceData_Scope3_InorganicFertiliser[Region of origin],Table_SourceData_Scope3_InorganicFertiliser[AusLCI Emissions intensity]), IF(_xlpm.result="", 0, _xlpm.result))</f>
        <v>0</v>
      </c>
      <c r="X225" s="69"/>
      <c r="Y225" s="50" t="str">
        <v/>
      </c>
      <c r="Z225" s="50">
        <v>0</v>
      </c>
      <c r="AA225" s="50" cm="1">
        <f t="array" ref="AA225">_xlfn.LET(_xlpm.result, Common_InputFunctions.Utility_LookupValueInTableTwoColumns(Y225, _xlfn.IFS(Y225="Urea",IF($O225="", "Global", $O225), Y225="Ammonia", IF($P225="", "Global", $P225), TRUE, "Global"), Table_SourceData_Scope3_InorganicFertiliser[Chemical compound],Table_SourceData_Scope3_InorganicFertiliser[Region of origin],Table_SourceData_Scope3_InorganicFertiliser[AusLCI Emissions intensity]), IF(_xlpm.result="", 0, _xlpm.result))</f>
        <v>0</v>
      </c>
      <c r="AB225" s="69"/>
      <c r="AC225" s="50" t="str">
        <v/>
      </c>
      <c r="AD225" s="50">
        <v>0</v>
      </c>
      <c r="AE225" s="50" cm="1">
        <f t="array" ref="AE225">_xlfn.LET(_xlpm.result, Common_InputFunctions.Utility_LookupValueInTableTwoColumns(AC225, _xlfn.IFS(AC225="Urea",IF($O225="", "Global", $O225), AC225="Ammonia", IF($P225="", "Global", $P225), TRUE, "Global"), Table_SourceData_Scope3_InorganicFertiliser[Chemical compound],Table_SourceData_Scope3_InorganicFertiliser[Region of origin],Table_SourceData_Scope3_InorganicFertiliser[AusLCI Emissions intensity]), IF(_xlpm.result="", 0, _xlpm.result))</f>
        <v>0</v>
      </c>
      <c r="AF225" s="69"/>
      <c r="AG225" s="50" t="str">
        <v/>
      </c>
      <c r="AH225" s="50">
        <v>0</v>
      </c>
      <c r="AI225" s="50" cm="1">
        <f t="array" ref="AI225">_xlfn.LET(_xlpm.result, Common_InputFunctions.Utility_LookupValueInTableTwoColumns(AG225, _xlfn.IFS(AG225="Urea",IF($O225="", "Global", $O225), AG225="Ammonia", IF($P225="", "Global", $P225), TRUE, "Global"), Table_SourceData_Scope3_InorganicFertiliser[Chemical compound],Table_SourceData_Scope3_InorganicFertiliser[Region of origin],Table_SourceData_Scope3_InorganicFertiliser[AusLCI Emissions intensity]), IF(_xlpm.result="", 0, _xlpm.result))</f>
        <v>0</v>
      </c>
      <c r="AJ225" s="69"/>
      <c r="AK225" s="50" t="str">
        <v/>
      </c>
      <c r="AL225" s="50">
        <v>0</v>
      </c>
      <c r="AM225" s="50" cm="1">
        <f t="array" ref="AM225">_xlfn.LET(_xlpm.result, Common_InputFunctions.Utility_LookupValueInTableTwoColumns(AK225, _xlfn.IFS(AK225="Urea",IF($O225="", "Global", $O225), AK225="Ammonia", IF($P225="", "Global", $P225), TRUE, "Global"), Table_SourceData_Scope3_InorganicFertiliser[Chemical compound],Table_SourceData_Scope3_InorganicFertiliser[Region of origin],Table_SourceData_Scope3_InorganicFertiliser[AusLCI Emissions intensity]), IF(_xlpm.result="", 0, _xlpm.result))</f>
        <v>0</v>
      </c>
      <c r="AN225" s="69"/>
    </row>
    <row r="226" spans="4:40" ht="20.100000000000001" customHeight="1" x14ac:dyDescent="0.25">
      <c r="D226" s="50" t="str">
        <v/>
      </c>
      <c r="E226" s="50">
        <v>0</v>
      </c>
      <c r="F226" s="50">
        <f>(R226 * S226)+
(V226 * W226)+
(Z226 * AA226)+
(AD226 * AE226)+
(AH226 * AI226)+
(AL226 * AM226)</f>
        <v>0</v>
      </c>
      <c r="G226" s="157">
        <f>((E226 * F226) * 10 ^ -3)</f>
        <v>0</v>
      </c>
      <c r="H226" s="50">
        <f>((R226 * $E226) * S226 * 10 ^ -3)+
((V226 * $E226) * W226 * 10 ^ -3)+
((Z226 * $E226) * AA226 * 10 ^ -3)+
((AD226 * $E226) * AE226 * 10 ^ -3)+
((AH226 * $E226) * AI226 * 10 ^ -3)+
((AL226 * $E226) * AM226 * 10 ^ -3)</f>
        <v>0</v>
      </c>
      <c r="I226" s="69"/>
      <c r="J226" s="157">
        <f>((E226 * I226) * 10 ^ -3)</f>
        <v>0</v>
      </c>
      <c r="K226" s="157">
        <f>((R226 * $E226) * (IF(T226,T226,S226)) * 10 ^ -3)+
((V226 * $E226) * (IF(X226,X226,W226)) * 10 ^ -3)+
((Z226 * $E226) * (IF(AB226,AB226,AA226)) * 10 ^ -3)+
((AD226 * $E226) * (IF(AF226,AF226,AE226)) * 10 ^ -3)+
((AH226 * $E226) * (IF(AJ226,AJ226,AI226)) * 10 ^ -3)+
((AL226 * $E226) * (IF(AN226,AN226,AM226)) * 10 ^ -3)</f>
        <v>0</v>
      </c>
      <c r="L226" s="86"/>
      <c r="M226" s="48"/>
      <c r="N226" s="86"/>
      <c r="O226" s="50" t="str">
        <v/>
      </c>
      <c r="P226" s="50" t="str">
        <v/>
      </c>
      <c r="Q226" s="50" t="str">
        <v/>
      </c>
      <c r="R226" s="50">
        <v>0</v>
      </c>
      <c r="S226" s="50" cm="1">
        <f t="array" ref="S226">_xlfn.LET(_xlpm.result, Common_InputFunctions.Utility_LookupValueInTableTwoColumns(Q226, _xlfn.IFS(Q226="Urea",IF($O226="", "Global", $O226), Q226="Ammonia", IF($P226="", "Global", $P226), TRUE, "Global"), Table_SourceData_Scope3_InorganicFertiliser[Chemical compound],Table_SourceData_Scope3_InorganicFertiliser[Region of origin],Table_SourceData_Scope3_InorganicFertiliser[AusLCI Emissions intensity]), IF(_xlpm.result="", 0, _xlpm.result))</f>
        <v>0</v>
      </c>
      <c r="T226" s="69"/>
      <c r="U226" s="50" t="str">
        <v/>
      </c>
      <c r="V226" s="50">
        <v>0</v>
      </c>
      <c r="W226" s="50" cm="1">
        <f t="array" ref="W226">_xlfn.LET(_xlpm.result, Common_InputFunctions.Utility_LookupValueInTableTwoColumns(U226, _xlfn.IFS(U226="Urea",IF($O226="", "Global", $O226), U226="Ammonia", IF($P226="", "Global", $P226), TRUE, "Global"), Table_SourceData_Scope3_InorganicFertiliser[Chemical compound],Table_SourceData_Scope3_InorganicFertiliser[Region of origin],Table_SourceData_Scope3_InorganicFertiliser[AusLCI Emissions intensity]), IF(_xlpm.result="", 0, _xlpm.result))</f>
        <v>0</v>
      </c>
      <c r="X226" s="69"/>
      <c r="Y226" s="50" t="str">
        <v/>
      </c>
      <c r="Z226" s="50">
        <v>0</v>
      </c>
      <c r="AA226" s="50" cm="1">
        <f t="array" ref="AA226">_xlfn.LET(_xlpm.result, Common_InputFunctions.Utility_LookupValueInTableTwoColumns(Y226, _xlfn.IFS(Y226="Urea",IF($O226="", "Global", $O226), Y226="Ammonia", IF($P226="", "Global", $P226), TRUE, "Global"), Table_SourceData_Scope3_InorganicFertiliser[Chemical compound],Table_SourceData_Scope3_InorganicFertiliser[Region of origin],Table_SourceData_Scope3_InorganicFertiliser[AusLCI Emissions intensity]), IF(_xlpm.result="", 0, _xlpm.result))</f>
        <v>0</v>
      </c>
      <c r="AB226" s="69"/>
      <c r="AC226" s="50" t="str">
        <v/>
      </c>
      <c r="AD226" s="50">
        <v>0</v>
      </c>
      <c r="AE226" s="50" cm="1">
        <f t="array" ref="AE226">_xlfn.LET(_xlpm.result, Common_InputFunctions.Utility_LookupValueInTableTwoColumns(AC226, _xlfn.IFS(AC226="Urea",IF($O226="", "Global", $O226), AC226="Ammonia", IF($P226="", "Global", $P226), TRUE, "Global"), Table_SourceData_Scope3_InorganicFertiliser[Chemical compound],Table_SourceData_Scope3_InorganicFertiliser[Region of origin],Table_SourceData_Scope3_InorganicFertiliser[AusLCI Emissions intensity]), IF(_xlpm.result="", 0, _xlpm.result))</f>
        <v>0</v>
      </c>
      <c r="AF226" s="69"/>
      <c r="AG226" s="50" t="str">
        <v/>
      </c>
      <c r="AH226" s="50">
        <v>0</v>
      </c>
      <c r="AI226" s="50" cm="1">
        <f t="array" ref="AI226">_xlfn.LET(_xlpm.result, Common_InputFunctions.Utility_LookupValueInTableTwoColumns(AG226, _xlfn.IFS(AG226="Urea",IF($O226="", "Global", $O226), AG226="Ammonia", IF($P226="", "Global", $P226), TRUE, "Global"), Table_SourceData_Scope3_InorganicFertiliser[Chemical compound],Table_SourceData_Scope3_InorganicFertiliser[Region of origin],Table_SourceData_Scope3_InorganicFertiliser[AusLCI Emissions intensity]), IF(_xlpm.result="", 0, _xlpm.result))</f>
        <v>0</v>
      </c>
      <c r="AJ226" s="69"/>
      <c r="AK226" s="50" t="str">
        <v/>
      </c>
      <c r="AL226" s="50">
        <v>0</v>
      </c>
      <c r="AM226" s="50" cm="1">
        <f t="array" ref="AM226">_xlfn.LET(_xlpm.result, Common_InputFunctions.Utility_LookupValueInTableTwoColumns(AK226, _xlfn.IFS(AK226="Urea",IF($O226="", "Global", $O226), AK226="Ammonia", IF($P226="", "Global", $P226), TRUE, "Global"), Table_SourceData_Scope3_InorganicFertiliser[Chemical compound],Table_SourceData_Scope3_InorganicFertiliser[Region of origin],Table_SourceData_Scope3_InorganicFertiliser[AusLCI Emissions intensity]), IF(_xlpm.result="", 0, _xlpm.result))</f>
        <v>0</v>
      </c>
      <c r="AN226" s="69"/>
    </row>
    <row r="227" spans="4:40" ht="20.100000000000001" customHeight="1" x14ac:dyDescent="0.25">
      <c r="D227" s="50" t="str">
        <v/>
      </c>
      <c r="E227" s="50">
        <v>0</v>
      </c>
      <c r="F227" s="50">
        <f>(R227 * S227)+
(V227 * W227)+
(Z227 * AA227)+
(AD227 * AE227)+
(AH227 * AI227)+
(AL227 * AM227)</f>
        <v>0</v>
      </c>
      <c r="G227" s="157">
        <f>((E227 * F227) * 10 ^ -3)</f>
        <v>0</v>
      </c>
      <c r="H227" s="50">
        <f>((R227 * $E227) * S227 * 10 ^ -3)+
((V227 * $E227) * W227 * 10 ^ -3)+
((Z227 * $E227) * AA227 * 10 ^ -3)+
((AD227 * $E227) * AE227 * 10 ^ -3)+
((AH227 * $E227) * AI227 * 10 ^ -3)+
((AL227 * $E227) * AM227 * 10 ^ -3)</f>
        <v>0</v>
      </c>
      <c r="I227" s="69"/>
      <c r="J227" s="157">
        <f>((E227 * I227) * 10 ^ -3)</f>
        <v>0</v>
      </c>
      <c r="K227" s="157">
        <f>((R227 * $E227) * (IF(T227,T227,S227)) * 10 ^ -3)+
((V227 * $E227) * (IF(X227,X227,W227)) * 10 ^ -3)+
((Z227 * $E227) * (IF(AB227,AB227,AA227)) * 10 ^ -3)+
((AD227 * $E227) * (IF(AF227,AF227,AE227)) * 10 ^ -3)+
((AH227 * $E227) * (IF(AJ227,AJ227,AI227)) * 10 ^ -3)+
((AL227 * $E227) * (IF(AN227,AN227,AM227)) * 10 ^ -3)</f>
        <v>0</v>
      </c>
      <c r="L227" s="86"/>
      <c r="M227" s="48"/>
      <c r="N227" s="86"/>
      <c r="O227" s="50" t="str">
        <v/>
      </c>
      <c r="P227" s="50" t="str">
        <v/>
      </c>
      <c r="Q227" s="50" t="str">
        <v/>
      </c>
      <c r="R227" s="50">
        <v>0</v>
      </c>
      <c r="S227" s="50" cm="1">
        <f t="array" ref="S227">_xlfn.LET(_xlpm.result, Common_InputFunctions.Utility_LookupValueInTableTwoColumns(Q227, _xlfn.IFS(Q227="Urea",IF($O227="", "Global", $O227), Q227="Ammonia", IF($P227="", "Global", $P227), TRUE, "Global"), Table_SourceData_Scope3_InorganicFertiliser[Chemical compound],Table_SourceData_Scope3_InorganicFertiliser[Region of origin],Table_SourceData_Scope3_InorganicFertiliser[AusLCI Emissions intensity]), IF(_xlpm.result="", 0, _xlpm.result))</f>
        <v>0</v>
      </c>
      <c r="T227" s="69"/>
      <c r="U227" s="50" t="str">
        <v/>
      </c>
      <c r="V227" s="50">
        <v>0</v>
      </c>
      <c r="W227" s="50" cm="1">
        <f t="array" ref="W227">_xlfn.LET(_xlpm.result, Common_InputFunctions.Utility_LookupValueInTableTwoColumns(U227, _xlfn.IFS(U227="Urea",IF($O227="", "Global", $O227), U227="Ammonia", IF($P227="", "Global", $P227), TRUE, "Global"), Table_SourceData_Scope3_InorganicFertiliser[Chemical compound],Table_SourceData_Scope3_InorganicFertiliser[Region of origin],Table_SourceData_Scope3_InorganicFertiliser[AusLCI Emissions intensity]), IF(_xlpm.result="", 0, _xlpm.result))</f>
        <v>0</v>
      </c>
      <c r="X227" s="69"/>
      <c r="Y227" s="50" t="str">
        <v/>
      </c>
      <c r="Z227" s="50">
        <v>0</v>
      </c>
      <c r="AA227" s="50" cm="1">
        <f t="array" ref="AA227">_xlfn.LET(_xlpm.result, Common_InputFunctions.Utility_LookupValueInTableTwoColumns(Y227, _xlfn.IFS(Y227="Urea",IF($O227="", "Global", $O227), Y227="Ammonia", IF($P227="", "Global", $P227), TRUE, "Global"), Table_SourceData_Scope3_InorganicFertiliser[Chemical compound],Table_SourceData_Scope3_InorganicFertiliser[Region of origin],Table_SourceData_Scope3_InorganicFertiliser[AusLCI Emissions intensity]), IF(_xlpm.result="", 0, _xlpm.result))</f>
        <v>0</v>
      </c>
      <c r="AB227" s="69"/>
      <c r="AC227" s="50" t="str">
        <v/>
      </c>
      <c r="AD227" s="50">
        <v>0</v>
      </c>
      <c r="AE227" s="50" cm="1">
        <f t="array" ref="AE227">_xlfn.LET(_xlpm.result, Common_InputFunctions.Utility_LookupValueInTableTwoColumns(AC227, _xlfn.IFS(AC227="Urea",IF($O227="", "Global", $O227), AC227="Ammonia", IF($P227="", "Global", $P227), TRUE, "Global"), Table_SourceData_Scope3_InorganicFertiliser[Chemical compound],Table_SourceData_Scope3_InorganicFertiliser[Region of origin],Table_SourceData_Scope3_InorganicFertiliser[AusLCI Emissions intensity]), IF(_xlpm.result="", 0, _xlpm.result))</f>
        <v>0</v>
      </c>
      <c r="AF227" s="69"/>
      <c r="AG227" s="50" t="str">
        <v/>
      </c>
      <c r="AH227" s="50">
        <v>0</v>
      </c>
      <c r="AI227" s="50" cm="1">
        <f t="array" ref="AI227">_xlfn.LET(_xlpm.result, Common_InputFunctions.Utility_LookupValueInTableTwoColumns(AG227, _xlfn.IFS(AG227="Urea",IF($O227="", "Global", $O227), AG227="Ammonia", IF($P227="", "Global", $P227), TRUE, "Global"), Table_SourceData_Scope3_InorganicFertiliser[Chemical compound],Table_SourceData_Scope3_InorganicFertiliser[Region of origin],Table_SourceData_Scope3_InorganicFertiliser[AusLCI Emissions intensity]), IF(_xlpm.result="", 0, _xlpm.result))</f>
        <v>0</v>
      </c>
      <c r="AJ227" s="69"/>
      <c r="AK227" s="50" t="str">
        <v/>
      </c>
      <c r="AL227" s="50">
        <v>0</v>
      </c>
      <c r="AM227" s="50" cm="1">
        <f t="array" ref="AM227">_xlfn.LET(_xlpm.result, Common_InputFunctions.Utility_LookupValueInTableTwoColumns(AK227, _xlfn.IFS(AK227="Urea",IF($O227="", "Global", $O227), AK227="Ammonia", IF($P227="", "Global", $P227), TRUE, "Global"), Table_SourceData_Scope3_InorganicFertiliser[Chemical compound],Table_SourceData_Scope3_InorganicFertiliser[Region of origin],Table_SourceData_Scope3_InorganicFertiliser[AusLCI Emissions intensity]), IF(_xlpm.result="", 0, _xlpm.result))</f>
        <v>0</v>
      </c>
      <c r="AN227" s="69"/>
    </row>
    <row r="228" spans="4:40" ht="20.100000000000001" customHeight="1" x14ac:dyDescent="0.25">
      <c r="D228" s="50" t="str">
        <v/>
      </c>
      <c r="E228" s="50">
        <v>0</v>
      </c>
      <c r="F228" s="50">
        <f>(R228 * S228)+
(V228 * W228)+
(Z228 * AA228)+
(AD228 * AE228)+
(AH228 * AI228)+
(AL228 * AM228)</f>
        <v>0</v>
      </c>
      <c r="G228" s="157">
        <f>((E228 * F228) * 10 ^ -3)</f>
        <v>0</v>
      </c>
      <c r="H228" s="50">
        <f>((R228 * $E228) * S228 * 10 ^ -3)+
((V228 * $E228) * W228 * 10 ^ -3)+
((Z228 * $E228) * AA228 * 10 ^ -3)+
((AD228 * $E228) * AE228 * 10 ^ -3)+
((AH228 * $E228) * AI228 * 10 ^ -3)+
((AL228 * $E228) * AM228 * 10 ^ -3)</f>
        <v>0</v>
      </c>
      <c r="I228" s="69"/>
      <c r="J228" s="157">
        <f>((E228 * I228) * 10 ^ -3)</f>
        <v>0</v>
      </c>
      <c r="K228" s="157">
        <f>((R228 * $E228) * (IF(T228,T228,S228)) * 10 ^ -3)+
((V228 * $E228) * (IF(X228,X228,W228)) * 10 ^ -3)+
((Z228 * $E228) * (IF(AB228,AB228,AA228)) * 10 ^ -3)+
((AD228 * $E228) * (IF(AF228,AF228,AE228)) * 10 ^ -3)+
((AH228 * $E228) * (IF(AJ228,AJ228,AI228)) * 10 ^ -3)+
((AL228 * $E228) * (IF(AN228,AN228,AM228)) * 10 ^ -3)</f>
        <v>0</v>
      </c>
      <c r="L228" s="86"/>
      <c r="M228" s="48"/>
      <c r="N228" s="86"/>
      <c r="O228" s="50" t="str">
        <v/>
      </c>
      <c r="P228" s="50" t="str">
        <v/>
      </c>
      <c r="Q228" s="50" t="str">
        <v/>
      </c>
      <c r="R228" s="50">
        <v>0</v>
      </c>
      <c r="S228" s="50" cm="1">
        <f t="array" ref="S228">_xlfn.LET(_xlpm.result, Common_InputFunctions.Utility_LookupValueInTableTwoColumns(Q228, _xlfn.IFS(Q228="Urea",IF($O228="", "Global", $O228), Q228="Ammonia", IF($P228="", "Global", $P228), TRUE, "Global"), Table_SourceData_Scope3_InorganicFertiliser[Chemical compound],Table_SourceData_Scope3_InorganicFertiliser[Region of origin],Table_SourceData_Scope3_InorganicFertiliser[AusLCI Emissions intensity]), IF(_xlpm.result="", 0, _xlpm.result))</f>
        <v>0</v>
      </c>
      <c r="T228" s="69"/>
      <c r="U228" s="50" t="str">
        <v/>
      </c>
      <c r="V228" s="50">
        <v>0</v>
      </c>
      <c r="W228" s="50" cm="1">
        <f t="array" ref="W228">_xlfn.LET(_xlpm.result, Common_InputFunctions.Utility_LookupValueInTableTwoColumns(U228, _xlfn.IFS(U228="Urea",IF($O228="", "Global", $O228), U228="Ammonia", IF($P228="", "Global", $P228), TRUE, "Global"), Table_SourceData_Scope3_InorganicFertiliser[Chemical compound],Table_SourceData_Scope3_InorganicFertiliser[Region of origin],Table_SourceData_Scope3_InorganicFertiliser[AusLCI Emissions intensity]), IF(_xlpm.result="", 0, _xlpm.result))</f>
        <v>0</v>
      </c>
      <c r="X228" s="69"/>
      <c r="Y228" s="50" t="str">
        <v/>
      </c>
      <c r="Z228" s="50">
        <v>0</v>
      </c>
      <c r="AA228" s="50" cm="1">
        <f t="array" ref="AA228">_xlfn.LET(_xlpm.result, Common_InputFunctions.Utility_LookupValueInTableTwoColumns(Y228, _xlfn.IFS(Y228="Urea",IF($O228="", "Global", $O228), Y228="Ammonia", IF($P228="", "Global", $P228), TRUE, "Global"), Table_SourceData_Scope3_InorganicFertiliser[Chemical compound],Table_SourceData_Scope3_InorganicFertiliser[Region of origin],Table_SourceData_Scope3_InorganicFertiliser[AusLCI Emissions intensity]), IF(_xlpm.result="", 0, _xlpm.result))</f>
        <v>0</v>
      </c>
      <c r="AB228" s="69"/>
      <c r="AC228" s="50" t="str">
        <v/>
      </c>
      <c r="AD228" s="50">
        <v>0</v>
      </c>
      <c r="AE228" s="50" cm="1">
        <f t="array" ref="AE228">_xlfn.LET(_xlpm.result, Common_InputFunctions.Utility_LookupValueInTableTwoColumns(AC228, _xlfn.IFS(AC228="Urea",IF($O228="", "Global", $O228), AC228="Ammonia", IF($P228="", "Global", $P228), TRUE, "Global"), Table_SourceData_Scope3_InorganicFertiliser[Chemical compound],Table_SourceData_Scope3_InorganicFertiliser[Region of origin],Table_SourceData_Scope3_InorganicFertiliser[AusLCI Emissions intensity]), IF(_xlpm.result="", 0, _xlpm.result))</f>
        <v>0</v>
      </c>
      <c r="AF228" s="69"/>
      <c r="AG228" s="50" t="str">
        <v/>
      </c>
      <c r="AH228" s="50">
        <v>0</v>
      </c>
      <c r="AI228" s="50" cm="1">
        <f t="array" ref="AI228">_xlfn.LET(_xlpm.result, Common_InputFunctions.Utility_LookupValueInTableTwoColumns(AG228, _xlfn.IFS(AG228="Urea",IF($O228="", "Global", $O228), AG228="Ammonia", IF($P228="", "Global", $P228), TRUE, "Global"), Table_SourceData_Scope3_InorganicFertiliser[Chemical compound],Table_SourceData_Scope3_InorganicFertiliser[Region of origin],Table_SourceData_Scope3_InorganicFertiliser[AusLCI Emissions intensity]), IF(_xlpm.result="", 0, _xlpm.result))</f>
        <v>0</v>
      </c>
      <c r="AJ228" s="69"/>
      <c r="AK228" s="50" t="str">
        <v/>
      </c>
      <c r="AL228" s="50">
        <v>0</v>
      </c>
      <c r="AM228" s="50" cm="1">
        <f t="array" ref="AM228">_xlfn.LET(_xlpm.result, Common_InputFunctions.Utility_LookupValueInTableTwoColumns(AK228, _xlfn.IFS(AK228="Urea",IF($O228="", "Global", $O228), AK228="Ammonia", IF($P228="", "Global", $P228), TRUE, "Global"), Table_SourceData_Scope3_InorganicFertiliser[Chemical compound],Table_SourceData_Scope3_InorganicFertiliser[Region of origin],Table_SourceData_Scope3_InorganicFertiliser[AusLCI Emissions intensity]), IF(_xlpm.result="", 0, _xlpm.result))</f>
        <v>0</v>
      </c>
      <c r="AN228" s="69"/>
    </row>
    <row r="229" spans="4:40" ht="20.100000000000001" customHeight="1" x14ac:dyDescent="0.25">
      <c r="D229" s="50" t="str">
        <v/>
      </c>
      <c r="E229" s="50">
        <v>0</v>
      </c>
      <c r="F229" s="50">
        <f>(R229 * S229)+
(V229 * W229)+
(Z229 * AA229)+
(AD229 * AE229)+
(AH229 * AI229)+
(AL229 * AM229)</f>
        <v>0</v>
      </c>
      <c r="G229" s="157">
        <f>((E229 * F229) * 10 ^ -3)</f>
        <v>0</v>
      </c>
      <c r="H229" s="50">
        <f>((R229 * $E229) * S229 * 10 ^ -3)+
((V229 * $E229) * W229 * 10 ^ -3)+
((Z229 * $E229) * AA229 * 10 ^ -3)+
((AD229 * $E229) * AE229 * 10 ^ -3)+
((AH229 * $E229) * AI229 * 10 ^ -3)+
((AL229 * $E229) * AM229 * 10 ^ -3)</f>
        <v>0</v>
      </c>
      <c r="I229" s="69"/>
      <c r="J229" s="157">
        <f>((E229 * I229) * 10 ^ -3)</f>
        <v>0</v>
      </c>
      <c r="K229" s="157">
        <f>((R229 * $E229) * (IF(T229,T229,S229)) * 10 ^ -3)+
((V229 * $E229) * (IF(X229,X229,W229)) * 10 ^ -3)+
((Z229 * $E229) * (IF(AB229,AB229,AA229)) * 10 ^ -3)+
((AD229 * $E229) * (IF(AF229,AF229,AE229)) * 10 ^ -3)+
((AH229 * $E229) * (IF(AJ229,AJ229,AI229)) * 10 ^ -3)+
((AL229 * $E229) * (IF(AN229,AN229,AM229)) * 10 ^ -3)</f>
        <v>0</v>
      </c>
      <c r="L229" s="86"/>
      <c r="M229" s="48"/>
      <c r="N229" s="86"/>
      <c r="O229" s="50" t="str">
        <v/>
      </c>
      <c r="P229" s="50" t="str">
        <v/>
      </c>
      <c r="Q229" s="50" t="str">
        <v/>
      </c>
      <c r="R229" s="50">
        <v>0</v>
      </c>
      <c r="S229" s="50" cm="1">
        <f t="array" ref="S229">_xlfn.LET(_xlpm.result, Common_InputFunctions.Utility_LookupValueInTableTwoColumns(Q229, _xlfn.IFS(Q229="Urea",IF($O229="", "Global", $O229), Q229="Ammonia", IF($P229="", "Global", $P229), TRUE, "Global"), Table_SourceData_Scope3_InorganicFertiliser[Chemical compound],Table_SourceData_Scope3_InorganicFertiliser[Region of origin],Table_SourceData_Scope3_InorganicFertiliser[AusLCI Emissions intensity]), IF(_xlpm.result="", 0, _xlpm.result))</f>
        <v>0</v>
      </c>
      <c r="T229" s="69"/>
      <c r="U229" s="50" t="str">
        <v/>
      </c>
      <c r="V229" s="50">
        <v>0</v>
      </c>
      <c r="W229" s="50" cm="1">
        <f t="array" ref="W229">_xlfn.LET(_xlpm.result, Common_InputFunctions.Utility_LookupValueInTableTwoColumns(U229, _xlfn.IFS(U229="Urea",IF($O229="", "Global", $O229), U229="Ammonia", IF($P229="", "Global", $P229), TRUE, "Global"), Table_SourceData_Scope3_InorganicFertiliser[Chemical compound],Table_SourceData_Scope3_InorganicFertiliser[Region of origin],Table_SourceData_Scope3_InorganicFertiliser[AusLCI Emissions intensity]), IF(_xlpm.result="", 0, _xlpm.result))</f>
        <v>0</v>
      </c>
      <c r="X229" s="69"/>
      <c r="Y229" s="50" t="str">
        <v/>
      </c>
      <c r="Z229" s="50">
        <v>0</v>
      </c>
      <c r="AA229" s="50" cm="1">
        <f t="array" ref="AA229">_xlfn.LET(_xlpm.result, Common_InputFunctions.Utility_LookupValueInTableTwoColumns(Y229, _xlfn.IFS(Y229="Urea",IF($O229="", "Global", $O229), Y229="Ammonia", IF($P229="", "Global", $P229), TRUE, "Global"), Table_SourceData_Scope3_InorganicFertiliser[Chemical compound],Table_SourceData_Scope3_InorganicFertiliser[Region of origin],Table_SourceData_Scope3_InorganicFertiliser[AusLCI Emissions intensity]), IF(_xlpm.result="", 0, _xlpm.result))</f>
        <v>0</v>
      </c>
      <c r="AB229" s="69"/>
      <c r="AC229" s="50" t="str">
        <v/>
      </c>
      <c r="AD229" s="50">
        <v>0</v>
      </c>
      <c r="AE229" s="50" cm="1">
        <f t="array" ref="AE229">_xlfn.LET(_xlpm.result, Common_InputFunctions.Utility_LookupValueInTableTwoColumns(AC229, _xlfn.IFS(AC229="Urea",IF($O229="", "Global", $O229), AC229="Ammonia", IF($P229="", "Global", $P229), TRUE, "Global"), Table_SourceData_Scope3_InorganicFertiliser[Chemical compound],Table_SourceData_Scope3_InorganicFertiliser[Region of origin],Table_SourceData_Scope3_InorganicFertiliser[AusLCI Emissions intensity]), IF(_xlpm.result="", 0, _xlpm.result))</f>
        <v>0</v>
      </c>
      <c r="AF229" s="69"/>
      <c r="AG229" s="50" t="str">
        <v/>
      </c>
      <c r="AH229" s="50">
        <v>0</v>
      </c>
      <c r="AI229" s="50" cm="1">
        <f t="array" ref="AI229">_xlfn.LET(_xlpm.result, Common_InputFunctions.Utility_LookupValueInTableTwoColumns(AG229, _xlfn.IFS(AG229="Urea",IF($O229="", "Global", $O229), AG229="Ammonia", IF($P229="", "Global", $P229), TRUE, "Global"), Table_SourceData_Scope3_InorganicFertiliser[Chemical compound],Table_SourceData_Scope3_InorganicFertiliser[Region of origin],Table_SourceData_Scope3_InorganicFertiliser[AusLCI Emissions intensity]), IF(_xlpm.result="", 0, _xlpm.result))</f>
        <v>0</v>
      </c>
      <c r="AJ229" s="69"/>
      <c r="AK229" s="50" t="str">
        <v/>
      </c>
      <c r="AL229" s="50">
        <v>0</v>
      </c>
      <c r="AM229" s="50" cm="1">
        <f t="array" ref="AM229">_xlfn.LET(_xlpm.result, Common_InputFunctions.Utility_LookupValueInTableTwoColumns(AK229, _xlfn.IFS(AK229="Urea",IF($O229="", "Global", $O229), AK229="Ammonia", IF($P229="", "Global", $P229), TRUE, "Global"), Table_SourceData_Scope3_InorganicFertiliser[Chemical compound],Table_SourceData_Scope3_InorganicFertiliser[Region of origin],Table_SourceData_Scope3_InorganicFertiliser[AusLCI Emissions intensity]), IF(_xlpm.result="", 0, _xlpm.result))</f>
        <v>0</v>
      </c>
      <c r="AN229" s="69"/>
    </row>
    <row r="230" spans="4:40" ht="20.100000000000001" customHeight="1" x14ac:dyDescent="0.25">
      <c r="D230" s="50" t="str">
        <v/>
      </c>
      <c r="E230" s="50">
        <v>0</v>
      </c>
      <c r="F230" s="50">
        <f>(R230 * S230)+
(V230 * W230)+
(Z230 * AA230)+
(AD230 * AE230)+
(AH230 * AI230)+
(AL230 * AM230)</f>
        <v>0</v>
      </c>
      <c r="G230" s="157">
        <f>((E230 * F230) * 10 ^ -3)</f>
        <v>0</v>
      </c>
      <c r="H230" s="50">
        <f>((R230 * $E230) * S230 * 10 ^ -3)+
((V230 * $E230) * W230 * 10 ^ -3)+
((Z230 * $E230) * AA230 * 10 ^ -3)+
((AD230 * $E230) * AE230 * 10 ^ -3)+
((AH230 * $E230) * AI230 * 10 ^ -3)+
((AL230 * $E230) * AM230 * 10 ^ -3)</f>
        <v>0</v>
      </c>
      <c r="I230" s="69"/>
      <c r="J230" s="157">
        <f>((E230 * I230) * 10 ^ -3)</f>
        <v>0</v>
      </c>
      <c r="K230" s="157">
        <f>((R230 * $E230) * (IF(T230,T230,S230)) * 10 ^ -3)+
((V230 * $E230) * (IF(X230,X230,W230)) * 10 ^ -3)+
((Z230 * $E230) * (IF(AB230,AB230,AA230)) * 10 ^ -3)+
((AD230 * $E230) * (IF(AF230,AF230,AE230)) * 10 ^ -3)+
((AH230 * $E230) * (IF(AJ230,AJ230,AI230)) * 10 ^ -3)+
((AL230 * $E230) * (IF(AN230,AN230,AM230)) * 10 ^ -3)</f>
        <v>0</v>
      </c>
      <c r="L230" s="86"/>
      <c r="M230" s="48"/>
      <c r="N230" s="86"/>
      <c r="O230" s="50" t="str">
        <v/>
      </c>
      <c r="P230" s="50" t="str">
        <v/>
      </c>
      <c r="Q230" s="50" t="str">
        <v/>
      </c>
      <c r="R230" s="50">
        <v>0</v>
      </c>
      <c r="S230" s="50" cm="1">
        <f t="array" ref="S230">_xlfn.LET(_xlpm.result, Common_InputFunctions.Utility_LookupValueInTableTwoColumns(Q230, _xlfn.IFS(Q230="Urea",IF($O230="", "Global", $O230), Q230="Ammonia", IF($P230="", "Global", $P230), TRUE, "Global"), Table_SourceData_Scope3_InorganicFertiliser[Chemical compound],Table_SourceData_Scope3_InorganicFertiliser[Region of origin],Table_SourceData_Scope3_InorganicFertiliser[AusLCI Emissions intensity]), IF(_xlpm.result="", 0, _xlpm.result))</f>
        <v>0</v>
      </c>
      <c r="T230" s="69"/>
      <c r="U230" s="50" t="str">
        <v/>
      </c>
      <c r="V230" s="50">
        <v>0</v>
      </c>
      <c r="W230" s="50" cm="1">
        <f t="array" ref="W230">_xlfn.LET(_xlpm.result, Common_InputFunctions.Utility_LookupValueInTableTwoColumns(U230, _xlfn.IFS(U230="Urea",IF($O230="", "Global", $O230), U230="Ammonia", IF($P230="", "Global", $P230), TRUE, "Global"), Table_SourceData_Scope3_InorganicFertiliser[Chemical compound],Table_SourceData_Scope3_InorganicFertiliser[Region of origin],Table_SourceData_Scope3_InorganicFertiliser[AusLCI Emissions intensity]), IF(_xlpm.result="", 0, _xlpm.result))</f>
        <v>0</v>
      </c>
      <c r="X230" s="69"/>
      <c r="Y230" s="50" t="str">
        <v/>
      </c>
      <c r="Z230" s="50">
        <v>0</v>
      </c>
      <c r="AA230" s="50" cm="1">
        <f t="array" ref="AA230">_xlfn.LET(_xlpm.result, Common_InputFunctions.Utility_LookupValueInTableTwoColumns(Y230, _xlfn.IFS(Y230="Urea",IF($O230="", "Global", $O230), Y230="Ammonia", IF($P230="", "Global", $P230), TRUE, "Global"), Table_SourceData_Scope3_InorganicFertiliser[Chemical compound],Table_SourceData_Scope3_InorganicFertiliser[Region of origin],Table_SourceData_Scope3_InorganicFertiliser[AusLCI Emissions intensity]), IF(_xlpm.result="", 0, _xlpm.result))</f>
        <v>0</v>
      </c>
      <c r="AB230" s="69"/>
      <c r="AC230" s="50" t="str">
        <v/>
      </c>
      <c r="AD230" s="50">
        <v>0</v>
      </c>
      <c r="AE230" s="50" cm="1">
        <f t="array" ref="AE230">_xlfn.LET(_xlpm.result, Common_InputFunctions.Utility_LookupValueInTableTwoColumns(AC230, _xlfn.IFS(AC230="Urea",IF($O230="", "Global", $O230), AC230="Ammonia", IF($P230="", "Global", $P230), TRUE, "Global"), Table_SourceData_Scope3_InorganicFertiliser[Chemical compound],Table_SourceData_Scope3_InorganicFertiliser[Region of origin],Table_SourceData_Scope3_InorganicFertiliser[AusLCI Emissions intensity]), IF(_xlpm.result="", 0, _xlpm.result))</f>
        <v>0</v>
      </c>
      <c r="AF230" s="69"/>
      <c r="AG230" s="50" t="str">
        <v/>
      </c>
      <c r="AH230" s="50">
        <v>0</v>
      </c>
      <c r="AI230" s="50" cm="1">
        <f t="array" ref="AI230">_xlfn.LET(_xlpm.result, Common_InputFunctions.Utility_LookupValueInTableTwoColumns(AG230, _xlfn.IFS(AG230="Urea",IF($O230="", "Global", $O230), AG230="Ammonia", IF($P230="", "Global", $P230), TRUE, "Global"), Table_SourceData_Scope3_InorganicFertiliser[Chemical compound],Table_SourceData_Scope3_InorganicFertiliser[Region of origin],Table_SourceData_Scope3_InorganicFertiliser[AusLCI Emissions intensity]), IF(_xlpm.result="", 0, _xlpm.result))</f>
        <v>0</v>
      </c>
      <c r="AJ230" s="69"/>
      <c r="AK230" s="50" t="str">
        <v/>
      </c>
      <c r="AL230" s="50">
        <v>0</v>
      </c>
      <c r="AM230" s="50" cm="1">
        <f t="array" ref="AM230">_xlfn.LET(_xlpm.result, Common_InputFunctions.Utility_LookupValueInTableTwoColumns(AK230, _xlfn.IFS(AK230="Urea",IF($O230="", "Global", $O230), AK230="Ammonia", IF($P230="", "Global", $P230), TRUE, "Global"), Table_SourceData_Scope3_InorganicFertiliser[Chemical compound],Table_SourceData_Scope3_InorganicFertiliser[Region of origin],Table_SourceData_Scope3_InorganicFertiliser[AusLCI Emissions intensity]), IF(_xlpm.result="", 0, _xlpm.result))</f>
        <v>0</v>
      </c>
      <c r="AN230" s="69"/>
    </row>
    <row r="231" spans="4:40" ht="20.100000000000001" customHeight="1" x14ac:dyDescent="0.25"/>
    <row r="232" spans="4:40" ht="20.100000000000001" customHeight="1" x14ac:dyDescent="0.25">
      <c r="D232" s="150" t="s">
        <v>669</v>
      </c>
    </row>
    <row r="233" spans="4:40" ht="20.100000000000001" customHeight="1" x14ac:dyDescent="0.25"/>
    <row r="234" spans="4:40" ht="20.100000000000001" customHeight="1" x14ac:dyDescent="0.25">
      <c r="D234" s="99" t="s">
        <v>684</v>
      </c>
      <c r="E234" s="115"/>
      <c r="F234" s="100"/>
    </row>
    <row r="235" spans="4:40" ht="20.100000000000001" customHeight="1" x14ac:dyDescent="0.25"/>
    <row r="236" spans="4:40" ht="20.100000000000001" customHeight="1" x14ac:dyDescent="0.25">
      <c r="D236" s="47" t="s">
        <v>412</v>
      </c>
      <c r="E236" s="47" t="s">
        <v>362</v>
      </c>
      <c r="F236" s="60" t="s">
        <v>682</v>
      </c>
      <c r="G236" s="60" t="s">
        <v>666</v>
      </c>
      <c r="H236" s="60" t="s">
        <v>665</v>
      </c>
      <c r="I236" s="47" t="s">
        <v>683</v>
      </c>
      <c r="J236" s="60" t="s">
        <v>667</v>
      </c>
      <c r="K236" s="60" t="s">
        <v>668</v>
      </c>
      <c r="L236" s="47" t="s">
        <v>643</v>
      </c>
      <c r="M236" s="47" t="s">
        <v>644</v>
      </c>
      <c r="N236" s="47" t="s">
        <v>645</v>
      </c>
      <c r="O236" s="60" t="s">
        <v>172</v>
      </c>
      <c r="P236" s="60" t="s">
        <v>173</v>
      </c>
      <c r="Q236" s="60" t="s">
        <v>174</v>
      </c>
      <c r="R236" s="60" t="s">
        <v>175</v>
      </c>
      <c r="S236" s="60" t="s">
        <v>670</v>
      </c>
      <c r="T236" s="47" t="s">
        <v>671</v>
      </c>
      <c r="U236" s="60" t="s">
        <v>176</v>
      </c>
      <c r="V236" s="60" t="s">
        <v>177</v>
      </c>
      <c r="W236" s="60" t="s">
        <v>672</v>
      </c>
      <c r="X236" s="47" t="s">
        <v>673</v>
      </c>
      <c r="Y236" s="60" t="s">
        <v>178</v>
      </c>
      <c r="Z236" s="60" t="s">
        <v>179</v>
      </c>
      <c r="AA236" s="60" t="s">
        <v>674</v>
      </c>
      <c r="AB236" s="47" t="s">
        <v>675</v>
      </c>
      <c r="AC236" s="60" t="s">
        <v>180</v>
      </c>
      <c r="AD236" s="60" t="s">
        <v>181</v>
      </c>
      <c r="AE236" s="60" t="s">
        <v>676</v>
      </c>
      <c r="AF236" s="47" t="s">
        <v>677</v>
      </c>
    </row>
    <row r="237" spans="4:40" ht="20.100000000000001" customHeight="1" x14ac:dyDescent="0.25">
      <c r="D237" s="50" t="str" cm="1">
        <f t="array" ref="D237:D246">IFERROR(INDEX(Table_Input_InorganicFertiliser_Custom[Custom blend name], _xlfn.SEQUENCE(10)), "")</f>
        <v>My first custom blend</v>
      </c>
      <c r="E237" s="50" cm="1">
        <f t="array" ref="E237:E246">IFERROR(INDEX(Table_Input_InorganicFertiliser_Custom[Total applied (kg)], _xlfn.SEQUENCE(10)), 0)</f>
        <v>10000</v>
      </c>
      <c r="F237" s="50">
        <f>(R237 * S237)+
(V237 * W237)+
(Z237 * AA237)+
(AD237 * AE237)</f>
        <v>1.6099000000000001</v>
      </c>
      <c r="G237" s="157">
        <f>((E237 * F237) * 10 ^ -3)</f>
        <v>16.099000000000004</v>
      </c>
      <c r="H237" s="50">
        <f>((R237 * $E237) * S237 * 10 ^ -3)+
((V237 * $E237) * W237 * 10 ^ -3)+
((Z237 * $E237) * AA237 * 10 ^ -3)+
((AD237 * $E237) * AE237 * 10 ^ -3)</f>
        <v>16.099</v>
      </c>
      <c r="I237" s="69">
        <v>0.4</v>
      </c>
      <c r="J237" s="157">
        <f>((E237 * I237) * 10 ^ -3)</f>
        <v>4</v>
      </c>
      <c r="K237" s="157">
        <f>((R237 * $E237) * (IF(T237,T237,S237)) * 10 ^ -3)+
((V237 * $E237) * (IF(X237,X237,W237)) * 10 ^ -3)+
((Z237 * $E237) * (IF(AB237,AB237,AA237)) * 10 ^ -3)+
((AD237 * $E237) * (IF(AF237,AF237,AE237)) * 10 ^ -3)</f>
        <v>13.25</v>
      </c>
      <c r="L237" s="86"/>
      <c r="M237" s="48"/>
      <c r="N237"/>
      <c r="O237" s="50" t="str" cm="1">
        <f t="array" ref="O237:O246">IFERROR(INDEX(Table_Input_InorganicFertiliser_Custom[Urea source], _xlfn.SEQUENCE(10)), "")</f>
        <v>Canada</v>
      </c>
      <c r="P237" s="50" t="str" cm="1">
        <f t="array" ref="P237:P246">IFERROR(INDEX(Table_Input_InorganicFertiliser_Custom[Ammonia source], _xlfn.SEQUENCE(10)), "")</f>
        <v>Global</v>
      </c>
      <c r="Q237" s="50" t="str" cm="1">
        <f t="array" ref="Q237:Q246">IFERROR(INDEX(Table_Input_InorganicFertiliser_Custom[Ingredient 1 (select)], _xlfn.SEQUENCE(10)), "")</f>
        <v>Ammonia</v>
      </c>
      <c r="R237" s="50" cm="1">
        <f t="array" ref="R237:R246">IFERROR(INDEX(_xlfn.LET(_xlpm.result, Table_Input_InorganicFertiliser_Custom[Ingredient 1 percent], IF(_xlpm.result="", 0, _xlpm.result)), _xlfn.SEQUENCE(10)), 0)</f>
        <v>0.45</v>
      </c>
      <c r="S237" s="50" cm="1">
        <f t="array" ref="S237">_xlfn.LET(_xlpm.result, Common_InputFunctions.Utility_LookupValueInTableTwoColumns(Q237, _xlfn.IFS(Q237="Urea",IF($O237="", "Global", $O237), Q237="Ammonia", IF($P237="", "Global", $P237), TRUE, "Global"), Table_SourceData_Scope3_InorganicFertiliser[Chemical compound],Table_SourceData_Scope3_InorganicFertiliser[Region of origin],Table_SourceData_Scope3_InorganicFertiliser[AusLCI Emissions intensity]), IF(_xlpm.result="", 0, _xlpm.result))</f>
        <v>2.3199999999999998</v>
      </c>
      <c r="T237" s="69">
        <v>0.9</v>
      </c>
      <c r="U237" s="50" t="str" cm="1">
        <f t="array" ref="U237:U246">IFERROR(INDEX(Table_Input_InorganicFertiliser_Custom[Ingredient 2], _xlfn.SEQUENCE(10)), "")</f>
        <v>Calcium nitrate</v>
      </c>
      <c r="V237" s="50" cm="1">
        <f t="array" ref="V237:V246">IFERROR(INDEX(_xlfn.LET(_xlpm.result, Table_Input_InorganicFertiliser_Custom[Ingredient 2 percent], IF(_xlpm.result="", 0, _xlpm.result)), _xlfn.SEQUENCE(10)), 0)</f>
        <v>0.3</v>
      </c>
      <c r="W237" s="50" cm="1">
        <f t="array" ref="W237">_xlfn.LET(_xlpm.result, Common_InputFunctions.Utility_LookupValueInTableTwoColumns(U237, _xlfn.IFS(U237="Urea",IF($O237="", "Global", $O237), U237="Ammonia", IF($P237="", "Global", $P237), TRUE, "Global"), Table_SourceData_Scope3_InorganicFertiliser[Chemical compound],Table_SourceData_Scope3_InorganicFertiliser[Region of origin],Table_SourceData_Scope3_InorganicFertiliser[AusLCI Emissions intensity]), IF(_xlpm.result="", 0, _xlpm.result))</f>
        <v>0.75</v>
      </c>
      <c r="X237" s="69">
        <v>0.9</v>
      </c>
      <c r="Y237" s="50" t="str" cm="1">
        <f t="array" ref="Y237:Y246">IFERROR(INDEX(Table_Input_InorganicFertiliser_Custom[Ingredient 3], _xlfn.SEQUENCE(10)), "")</f>
        <v>Potassium - Generic</v>
      </c>
      <c r="Z237" s="50" cm="1">
        <f t="array" ref="Z237:Z246">IFERROR(INDEX(_xlfn.LET(_xlpm.result, Table_Input_InorganicFertiliser_Custom[Ingredient 3 percent], IF(_xlpm.result="", 0, _xlpm.result)), _xlfn.SEQUENCE(10)), 0)</f>
        <v>0.1</v>
      </c>
      <c r="AA237" s="50" cm="1">
        <f t="array" ref="AA237">_xlfn.LET(_xlpm.result, Common_InputFunctions.Utility_LookupValueInTableTwoColumns(Y237, _xlfn.IFS(Y237="Urea",IF($O237="", "Global", $O237), Y237="Ammonia", IF($P237="", "Global", $P237), TRUE, "Global"), Table_SourceData_Scope3_InorganicFertiliser[Chemical compound],Table_SourceData_Scope3_InorganicFertiliser[Region of origin],Table_SourceData_Scope3_InorganicFertiliser[AusLCI Emissions intensity]), IF(_xlpm.result="", 0, _xlpm.result))</f>
        <v>0.90900000000000003</v>
      </c>
      <c r="AB237" s="69">
        <v>4</v>
      </c>
      <c r="AC237" s="50" t="str" cm="1">
        <f t="array" ref="AC237:AC246">IFERROR(INDEX(Table_Input_InorganicFertiliser_Custom[Ingredient 4], _xlfn.SEQUENCE(10)), "")</f>
        <v>Sulfur - Generic</v>
      </c>
      <c r="AD237" s="50" cm="1">
        <f t="array" ref="AD237:AD246">IFERROR(INDEX(_xlfn.LET(_xlpm.result, Table_Input_InorganicFertiliser_Custom[Ingredient 4 percent], IF(_xlpm.result="", 0, _xlpm.result)), _xlfn.SEQUENCE(10)), 0)</f>
        <v>0.1</v>
      </c>
      <c r="AE237" s="50" cm="1">
        <f t="array" ref="AE237">_xlfn.LET(_xlpm.result, Common_InputFunctions.Utility_LookupValueInTableTwoColumns(AC237, _xlfn.IFS(AC237="Urea",IF($O237="", "Global", $O237), AC237="Ammonia", IF($P237="", "Global", $P237), TRUE, "Global"), Table_SourceData_Scope3_InorganicFertiliser[Chemical compound],Table_SourceData_Scope3_InorganicFertiliser[Region of origin],Table_SourceData_Scope3_InorganicFertiliser[AusLCI Emissions intensity]), IF(_xlpm.result="", 0, _xlpm.result))</f>
        <v>2.5</v>
      </c>
      <c r="AF237" s="69">
        <v>0</v>
      </c>
    </row>
    <row r="238" spans="4:40" ht="20.100000000000001" customHeight="1" x14ac:dyDescent="0.25">
      <c r="D238" s="50">
        <v>0</v>
      </c>
      <c r="E238" s="50">
        <v>10000</v>
      </c>
      <c r="F238" s="50">
        <f>(R238 * S238)+
(V238 * W238)+
(Z238 * AA238)+
(AD238 * AE238)</f>
        <v>0.9527000000000001</v>
      </c>
      <c r="G238" s="157">
        <f>((E238 * F238) * 10 ^ -3)</f>
        <v>9.5270000000000028</v>
      </c>
      <c r="H238" s="50">
        <f>((R238 * $E238) * S238 * 10 ^ -3)+
((V238 * $E238) * W238 * 10 ^ -3)+
((Z238 * $E238) * AA238 * 10 ^ -3)+
((AD238 * $E238) * AE238 * 10 ^ -3)</f>
        <v>9.527000000000001</v>
      </c>
      <c r="I238" s="69">
        <v>0.9</v>
      </c>
      <c r="J238" s="157">
        <f>((E238 * I238) * 10 ^ -3)</f>
        <v>9</v>
      </c>
      <c r="K238" s="157">
        <f>((R238 * $E238) * (IF(T238,T238,S238)) * 10 ^ -3)+
((V238 * $E238) * (IF(X238,X238,W238)) * 10 ^ -3)+
((Z238 * $E238) * (IF(AB238,AB238,AA238)) * 10 ^ -3)+
((AD238 * $E238) * (IF(AF238,AF238,AE238)) * 10 ^ -3)</f>
        <v>9.527000000000001</v>
      </c>
      <c r="L238" s="86"/>
      <c r="M238" s="48"/>
      <c r="N238" s="86"/>
      <c r="O238" s="50" t="str">
        <v>Canada</v>
      </c>
      <c r="P238" s="50" t="str">
        <v>Canada</v>
      </c>
      <c r="Q238" s="50" t="str">
        <v>Urea</v>
      </c>
      <c r="R238" s="50">
        <v>0.9</v>
      </c>
      <c r="S238" s="50" cm="1">
        <f t="array" ref="S238">_xlfn.LET(_xlpm.result, Common_InputFunctions.Utility_LookupValueInTableTwoColumns(Q238, _xlfn.IFS(Q238="Urea",IF($O238="", "Global", $O238), Q238="Ammonia", IF($P238="", "Global", $P238), TRUE, "Global"), Table_SourceData_Scope3_InorganicFertiliser[Chemical compound],Table_SourceData_Scope3_InorganicFertiliser[Region of origin],Table_SourceData_Scope3_InorganicFertiliser[AusLCI Emissions intensity]), IF(_xlpm.result="", 0, _xlpm.result))</f>
        <v>0.82299999999999995</v>
      </c>
      <c r="T238" s="69"/>
      <c r="U238" s="50" t="str">
        <v>Ammonia</v>
      </c>
      <c r="V238" s="50">
        <v>0.1</v>
      </c>
      <c r="W238" s="50" cm="1">
        <f t="array" ref="W238">_xlfn.LET(_xlpm.result, Common_InputFunctions.Utility_LookupValueInTableTwoColumns(U238, _xlfn.IFS(U238="Urea",IF($O238="", "Global", $O238), U238="Ammonia", IF($P238="", "Global", $P238), TRUE, "Global"), Table_SourceData_Scope3_InorganicFertiliser[Chemical compound],Table_SourceData_Scope3_InorganicFertiliser[Region of origin],Table_SourceData_Scope3_InorganicFertiliser[AusLCI Emissions intensity]), IF(_xlpm.result="", 0, _xlpm.result))</f>
        <v>2.12</v>
      </c>
      <c r="X238" s="69"/>
      <c r="Y238" s="50">
        <v>0</v>
      </c>
      <c r="Z238" s="50">
        <v>0</v>
      </c>
      <c r="AA238" s="50" cm="1">
        <f t="array" ref="AA238">_xlfn.LET(_xlpm.result, Common_InputFunctions.Utility_LookupValueInTableTwoColumns(Y238, _xlfn.IFS(Y238="Urea",IF($O238="", "Global", $O238), Y238="Ammonia", IF($P238="", "Global", $P238), TRUE, "Global"), Table_SourceData_Scope3_InorganicFertiliser[Chemical compound],Table_SourceData_Scope3_InorganicFertiliser[Region of origin],Table_SourceData_Scope3_InorganicFertiliser[AusLCI Emissions intensity]), IF(_xlpm.result="", 0, _xlpm.result))</f>
        <v>0</v>
      </c>
      <c r="AB238" s="69"/>
      <c r="AC238" s="50">
        <v>0</v>
      </c>
      <c r="AD238" s="50">
        <v>0</v>
      </c>
      <c r="AE238" s="50" cm="1">
        <f t="array" ref="AE238">_xlfn.LET(_xlpm.result, Common_InputFunctions.Utility_LookupValueInTableTwoColumns(AC238, _xlfn.IFS(AC238="Urea",IF($O238="", "Global", $O238), AC238="Ammonia", IF($P238="", "Global", $P238), TRUE, "Global"), Table_SourceData_Scope3_InorganicFertiliser[Chemical compound],Table_SourceData_Scope3_InorganicFertiliser[Region of origin],Table_SourceData_Scope3_InorganicFertiliser[AusLCI Emissions intensity]), IF(_xlpm.result="", 0, _xlpm.result))</f>
        <v>0</v>
      </c>
      <c r="AF238" s="69"/>
    </row>
    <row r="239" spans="4:40" ht="20.100000000000001" customHeight="1" x14ac:dyDescent="0.25">
      <c r="D239" s="50" t="str">
        <v/>
      </c>
      <c r="E239" s="50">
        <v>0</v>
      </c>
      <c r="F239" s="50">
        <f>(R239 * S239)+
(V239 * W239)+
(Z239 * AA239)+
(AD239 * AE239)</f>
        <v>0</v>
      </c>
      <c r="G239" s="157">
        <f>((E239 * F239) * 10 ^ -3)</f>
        <v>0</v>
      </c>
      <c r="H239" s="50">
        <f>((R239 * $E239) * S239 * 10 ^ -3)+
((V239 * $E239) * W239 * 10 ^ -3)+
((Z239 * $E239) * AA239 * 10 ^ -3)+
((AD239 * $E239) * AE239 * 10 ^ -3)</f>
        <v>0</v>
      </c>
      <c r="I239" s="69">
        <v>0.4</v>
      </c>
      <c r="J239" s="157">
        <f>((E239 * I239) * 10 ^ -3)</f>
        <v>0</v>
      </c>
      <c r="K239" s="157">
        <f>((R239 * $E239) * (IF(T239,T239,S239)) * 10 ^ -3)+
((V239 * $E239) * (IF(X239,X239,W239)) * 10 ^ -3)+
((Z239 * $E239) * (IF(AB239,AB239,AA239)) * 10 ^ -3)+
((AD239 * $E239) * (IF(AF239,AF239,AE239)) * 10 ^ -3)</f>
        <v>0</v>
      </c>
      <c r="L239" s="86"/>
      <c r="M239" s="48"/>
      <c r="N239" s="86"/>
      <c r="O239" s="50" t="str">
        <v/>
      </c>
      <c r="P239" s="50" t="str">
        <v/>
      </c>
      <c r="Q239" s="50" t="str">
        <v/>
      </c>
      <c r="R239" s="50">
        <v>0</v>
      </c>
      <c r="S239" s="50" cm="1">
        <f t="array" ref="S239">_xlfn.LET(_xlpm.result, Common_InputFunctions.Utility_LookupValueInTableTwoColumns(Q239, _xlfn.IFS(Q239="Urea",IF($O239="", "Global", $O239), Q239="Ammonia", IF($P239="", "Global", $P239), TRUE, "Global"), Table_SourceData_Scope3_InorganicFertiliser[Chemical compound],Table_SourceData_Scope3_InorganicFertiliser[Region of origin],Table_SourceData_Scope3_InorganicFertiliser[AusLCI Emissions intensity]), IF(_xlpm.result="", 0, _xlpm.result))</f>
        <v>0</v>
      </c>
      <c r="T239" s="69"/>
      <c r="U239" s="50" t="str">
        <v/>
      </c>
      <c r="V239" s="50">
        <v>0</v>
      </c>
      <c r="W239" s="50" cm="1">
        <f t="array" ref="W239">_xlfn.LET(_xlpm.result, Common_InputFunctions.Utility_LookupValueInTableTwoColumns(U239, _xlfn.IFS(U239="Urea",IF($O239="", "Global", $O239), U239="Ammonia", IF($P239="", "Global", $P239), TRUE, "Global"), Table_SourceData_Scope3_InorganicFertiliser[Chemical compound],Table_SourceData_Scope3_InorganicFertiliser[Region of origin],Table_SourceData_Scope3_InorganicFertiliser[AusLCI Emissions intensity]), IF(_xlpm.result="", 0, _xlpm.result))</f>
        <v>0</v>
      </c>
      <c r="X239" s="69"/>
      <c r="Y239" s="50" t="str">
        <v/>
      </c>
      <c r="Z239" s="50">
        <v>0</v>
      </c>
      <c r="AA239" s="50" cm="1">
        <f t="array" ref="AA239">_xlfn.LET(_xlpm.result, Common_InputFunctions.Utility_LookupValueInTableTwoColumns(Y239, _xlfn.IFS(Y239="Urea",IF($O239="", "Global", $O239), Y239="Ammonia", IF($P239="", "Global", $P239), TRUE, "Global"), Table_SourceData_Scope3_InorganicFertiliser[Chemical compound],Table_SourceData_Scope3_InorganicFertiliser[Region of origin],Table_SourceData_Scope3_InorganicFertiliser[AusLCI Emissions intensity]), IF(_xlpm.result="", 0, _xlpm.result))</f>
        <v>0</v>
      </c>
      <c r="AB239" s="69"/>
      <c r="AC239" s="50" t="str">
        <v/>
      </c>
      <c r="AD239" s="50">
        <v>0</v>
      </c>
      <c r="AE239" s="50" cm="1">
        <f t="array" ref="AE239">_xlfn.LET(_xlpm.result, Common_InputFunctions.Utility_LookupValueInTableTwoColumns(AC239, _xlfn.IFS(AC239="Urea",IF($O239="", "Global", $O239), AC239="Ammonia", IF($P239="", "Global", $P239), TRUE, "Global"), Table_SourceData_Scope3_InorganicFertiliser[Chemical compound],Table_SourceData_Scope3_InorganicFertiliser[Region of origin],Table_SourceData_Scope3_InorganicFertiliser[AusLCI Emissions intensity]), IF(_xlpm.result="", 0, _xlpm.result))</f>
        <v>0</v>
      </c>
      <c r="AF239" s="69"/>
    </row>
    <row r="240" spans="4:40" ht="20.100000000000001" customHeight="1" x14ac:dyDescent="0.25">
      <c r="D240" s="50" t="str">
        <v/>
      </c>
      <c r="E240" s="50">
        <v>0</v>
      </c>
      <c r="F240" s="50">
        <f>(R240 * S240)+
(V240 * W240)+
(Z240 * AA240)+
(AD240 * AE240)</f>
        <v>0</v>
      </c>
      <c r="G240" s="157">
        <f>((E240 * F240) * 10 ^ -3)</f>
        <v>0</v>
      </c>
      <c r="H240" s="50">
        <f>((R240 * $E240) * S240 * 10 ^ -3)+
((V240 * $E240) * W240 * 10 ^ -3)+
((Z240 * $E240) * AA240 * 10 ^ -3)+
((AD240 * $E240) * AE240 * 10 ^ -3)</f>
        <v>0</v>
      </c>
      <c r="I240" s="69"/>
      <c r="J240" s="157">
        <f>((E240 * I240) * 10 ^ -3)</f>
        <v>0</v>
      </c>
      <c r="K240" s="157">
        <f>((R240 * $E240) * (IF(T240,T240,S240)) * 10 ^ -3)+
((V240 * $E240) * (IF(X240,X240,W240)) * 10 ^ -3)+
((Z240 * $E240) * (IF(AB240,AB240,AA240)) * 10 ^ -3)+
((AD240 * $E240) * (IF(AF240,AF240,AE240)) * 10 ^ -3)</f>
        <v>0</v>
      </c>
      <c r="L240" s="86"/>
      <c r="M240" s="48"/>
      <c r="N240" s="86"/>
      <c r="O240" s="50" t="str">
        <v/>
      </c>
      <c r="P240" s="50" t="str">
        <v/>
      </c>
      <c r="Q240" s="50" t="str">
        <v/>
      </c>
      <c r="R240" s="50">
        <v>0</v>
      </c>
      <c r="S240" s="50" cm="1">
        <f t="array" ref="S240">_xlfn.LET(_xlpm.result, Common_InputFunctions.Utility_LookupValueInTableTwoColumns(Q240, _xlfn.IFS(Q240="Urea",IF($O240="", "Global", $O240), Q240="Ammonia", IF($P240="", "Global", $P240), TRUE, "Global"), Table_SourceData_Scope3_InorganicFertiliser[Chemical compound],Table_SourceData_Scope3_InorganicFertiliser[Region of origin],Table_SourceData_Scope3_InorganicFertiliser[AusLCI Emissions intensity]), IF(_xlpm.result="", 0, _xlpm.result))</f>
        <v>0</v>
      </c>
      <c r="T240" s="69"/>
      <c r="U240" s="50" t="str">
        <v/>
      </c>
      <c r="V240" s="50">
        <v>0</v>
      </c>
      <c r="W240" s="50" cm="1">
        <f t="array" ref="W240">_xlfn.LET(_xlpm.result, Common_InputFunctions.Utility_LookupValueInTableTwoColumns(U240, _xlfn.IFS(U240="Urea",IF($O240="", "Global", $O240), U240="Ammonia", IF($P240="", "Global", $P240), TRUE, "Global"), Table_SourceData_Scope3_InorganicFertiliser[Chemical compound],Table_SourceData_Scope3_InorganicFertiliser[Region of origin],Table_SourceData_Scope3_InorganicFertiliser[AusLCI Emissions intensity]), IF(_xlpm.result="", 0, _xlpm.result))</f>
        <v>0</v>
      </c>
      <c r="X240" s="69"/>
      <c r="Y240" s="50" t="str">
        <v/>
      </c>
      <c r="Z240" s="50">
        <v>0</v>
      </c>
      <c r="AA240" s="50" cm="1">
        <f t="array" ref="AA240">_xlfn.LET(_xlpm.result, Common_InputFunctions.Utility_LookupValueInTableTwoColumns(Y240, _xlfn.IFS(Y240="Urea",IF($O240="", "Global", $O240), Y240="Ammonia", IF($P240="", "Global", $P240), TRUE, "Global"), Table_SourceData_Scope3_InorganicFertiliser[Chemical compound],Table_SourceData_Scope3_InorganicFertiliser[Region of origin],Table_SourceData_Scope3_InorganicFertiliser[AusLCI Emissions intensity]), IF(_xlpm.result="", 0, _xlpm.result))</f>
        <v>0</v>
      </c>
      <c r="AB240" s="69"/>
      <c r="AC240" s="50" t="str">
        <v/>
      </c>
      <c r="AD240" s="50">
        <v>0</v>
      </c>
      <c r="AE240" s="50" cm="1">
        <f t="array" ref="AE240">_xlfn.LET(_xlpm.result, Common_InputFunctions.Utility_LookupValueInTableTwoColumns(AC240, _xlfn.IFS(AC240="Urea",IF($O240="", "Global", $O240), AC240="Ammonia", IF($P240="", "Global", $P240), TRUE, "Global"), Table_SourceData_Scope3_InorganicFertiliser[Chemical compound],Table_SourceData_Scope3_InorganicFertiliser[Region of origin],Table_SourceData_Scope3_InorganicFertiliser[AusLCI Emissions intensity]), IF(_xlpm.result="", 0, _xlpm.result))</f>
        <v>0</v>
      </c>
      <c r="AF240" s="69"/>
    </row>
    <row r="241" spans="3:41" ht="20.100000000000001" customHeight="1" x14ac:dyDescent="0.25">
      <c r="D241" s="50" t="str">
        <v/>
      </c>
      <c r="E241" s="50">
        <v>0</v>
      </c>
      <c r="F241" s="50">
        <f>(R241 * S241)+
(V241 * W241)+
(Z241 * AA241)+
(AD241 * AE241)</f>
        <v>0</v>
      </c>
      <c r="G241" s="157">
        <f>((E241 * F241) * 10 ^ -3)</f>
        <v>0</v>
      </c>
      <c r="H241" s="50">
        <f>((R241 * $E241) * S241 * 10 ^ -3)+
((V241 * $E241) * W241 * 10 ^ -3)+
((Z241 * $E241) * AA241 * 10 ^ -3)+
((AD241 * $E241) * AE241 * 10 ^ -3)</f>
        <v>0</v>
      </c>
      <c r="I241" s="69"/>
      <c r="J241" s="157">
        <f>((E241 * I241) * 10 ^ -3)</f>
        <v>0</v>
      </c>
      <c r="K241" s="157">
        <f>((R241 * $E241) * (IF(T241,T241,S241)) * 10 ^ -3)+
((V241 * $E241) * (IF(X241,X241,W241)) * 10 ^ -3)+
((Z241 * $E241) * (IF(AB241,AB241,AA241)) * 10 ^ -3)+
((AD241 * $E241) * (IF(AF241,AF241,AE241)) * 10 ^ -3)</f>
        <v>0</v>
      </c>
      <c r="L241" s="86"/>
      <c r="M241" s="48"/>
      <c r="N241" s="86"/>
      <c r="O241" s="50" t="str">
        <v/>
      </c>
      <c r="P241" s="50" t="str">
        <v/>
      </c>
      <c r="Q241" s="50" t="str">
        <v/>
      </c>
      <c r="R241" s="50">
        <v>0</v>
      </c>
      <c r="S241" s="50" cm="1">
        <f t="array" ref="S241">_xlfn.LET(_xlpm.result, Common_InputFunctions.Utility_LookupValueInTableTwoColumns(Q241, _xlfn.IFS(Q241="Urea",IF($O241="", "Global", $O241), Q241="Ammonia", IF($P241="", "Global", $P241), TRUE, "Global"), Table_SourceData_Scope3_InorganicFertiliser[Chemical compound],Table_SourceData_Scope3_InorganicFertiliser[Region of origin],Table_SourceData_Scope3_InorganicFertiliser[AusLCI Emissions intensity]), IF(_xlpm.result="", 0, _xlpm.result))</f>
        <v>0</v>
      </c>
      <c r="T241" s="69"/>
      <c r="U241" s="50" t="str">
        <v/>
      </c>
      <c r="V241" s="50">
        <v>0</v>
      </c>
      <c r="W241" s="50" cm="1">
        <f t="array" ref="W241">_xlfn.LET(_xlpm.result, Common_InputFunctions.Utility_LookupValueInTableTwoColumns(U241, _xlfn.IFS(U241="Urea",IF($O241="", "Global", $O241), U241="Ammonia", IF($P241="", "Global", $P241), TRUE, "Global"), Table_SourceData_Scope3_InorganicFertiliser[Chemical compound],Table_SourceData_Scope3_InorganicFertiliser[Region of origin],Table_SourceData_Scope3_InorganicFertiliser[AusLCI Emissions intensity]), IF(_xlpm.result="", 0, _xlpm.result))</f>
        <v>0</v>
      </c>
      <c r="X241" s="69"/>
      <c r="Y241" s="50" t="str">
        <v/>
      </c>
      <c r="Z241" s="50">
        <v>0</v>
      </c>
      <c r="AA241" s="50" cm="1">
        <f t="array" ref="AA241">_xlfn.LET(_xlpm.result, Common_InputFunctions.Utility_LookupValueInTableTwoColumns(Y241, _xlfn.IFS(Y241="Urea",IF($O241="", "Global", $O241), Y241="Ammonia", IF($P241="", "Global", $P241), TRUE, "Global"), Table_SourceData_Scope3_InorganicFertiliser[Chemical compound],Table_SourceData_Scope3_InorganicFertiliser[Region of origin],Table_SourceData_Scope3_InorganicFertiliser[AusLCI Emissions intensity]), IF(_xlpm.result="", 0, _xlpm.result))</f>
        <v>0</v>
      </c>
      <c r="AB241" s="69"/>
      <c r="AC241" s="50" t="str">
        <v/>
      </c>
      <c r="AD241" s="50">
        <v>0</v>
      </c>
      <c r="AE241" s="50" cm="1">
        <f t="array" ref="AE241">_xlfn.LET(_xlpm.result, Common_InputFunctions.Utility_LookupValueInTableTwoColumns(AC241, _xlfn.IFS(AC241="Urea",IF($O241="", "Global", $O241), AC241="Ammonia", IF($P241="", "Global", $P241), TRUE, "Global"), Table_SourceData_Scope3_InorganicFertiliser[Chemical compound],Table_SourceData_Scope3_InorganicFertiliser[Region of origin],Table_SourceData_Scope3_InorganicFertiliser[AusLCI Emissions intensity]), IF(_xlpm.result="", 0, _xlpm.result))</f>
        <v>0</v>
      </c>
      <c r="AF241" s="69"/>
    </row>
    <row r="242" spans="3:41" ht="20.100000000000001" customHeight="1" x14ac:dyDescent="0.25">
      <c r="D242" s="50" t="str">
        <v/>
      </c>
      <c r="E242" s="50">
        <v>0</v>
      </c>
      <c r="F242" s="50">
        <f>(R242 * S242)+
(V242 * W242)+
(Z242 * AA242)+
(AD242 * AE242)</f>
        <v>0</v>
      </c>
      <c r="G242" s="157">
        <f>((E242 * F242) * 10 ^ -3)</f>
        <v>0</v>
      </c>
      <c r="H242" s="50">
        <f>((R242 * $E242) * S242 * 10 ^ -3)+
((V242 * $E242) * W242 * 10 ^ -3)+
((Z242 * $E242) * AA242 * 10 ^ -3)+
((AD242 * $E242) * AE242 * 10 ^ -3)</f>
        <v>0</v>
      </c>
      <c r="I242" s="69"/>
      <c r="J242" s="157">
        <f>((E242 * I242) * 10 ^ -3)</f>
        <v>0</v>
      </c>
      <c r="K242" s="157">
        <f>((R242 * $E242) * (IF(T242,T242,S242)) * 10 ^ -3)+
((V242 * $E242) * (IF(X242,X242,W242)) * 10 ^ -3)+
((Z242 * $E242) * (IF(AB242,AB242,AA242)) * 10 ^ -3)+
((AD242 * $E242) * (IF(AF242,AF242,AE242)) * 10 ^ -3)</f>
        <v>0</v>
      </c>
      <c r="L242" s="86"/>
      <c r="M242" s="48"/>
      <c r="N242" s="86"/>
      <c r="O242" s="50" t="str">
        <v/>
      </c>
      <c r="P242" s="50" t="str">
        <v/>
      </c>
      <c r="Q242" s="50" t="str">
        <v/>
      </c>
      <c r="R242" s="50">
        <v>0</v>
      </c>
      <c r="S242" s="50" cm="1">
        <f t="array" ref="S242">_xlfn.LET(_xlpm.result, Common_InputFunctions.Utility_LookupValueInTableTwoColumns(Q242, _xlfn.IFS(Q242="Urea",IF($O242="", "Global", $O242), Q242="Ammonia", IF($P242="", "Global", $P242), TRUE, "Global"), Table_SourceData_Scope3_InorganicFertiliser[Chemical compound],Table_SourceData_Scope3_InorganicFertiliser[Region of origin],Table_SourceData_Scope3_InorganicFertiliser[AusLCI Emissions intensity]), IF(_xlpm.result="", 0, _xlpm.result))</f>
        <v>0</v>
      </c>
      <c r="T242" s="69"/>
      <c r="U242" s="50" t="str">
        <v/>
      </c>
      <c r="V242" s="50">
        <v>0</v>
      </c>
      <c r="W242" s="50" cm="1">
        <f t="array" ref="W242">_xlfn.LET(_xlpm.result, Common_InputFunctions.Utility_LookupValueInTableTwoColumns(U242, _xlfn.IFS(U242="Urea",IF($O242="", "Global", $O242), U242="Ammonia", IF($P242="", "Global", $P242), TRUE, "Global"), Table_SourceData_Scope3_InorganicFertiliser[Chemical compound],Table_SourceData_Scope3_InorganicFertiliser[Region of origin],Table_SourceData_Scope3_InorganicFertiliser[AusLCI Emissions intensity]), IF(_xlpm.result="", 0, _xlpm.result))</f>
        <v>0</v>
      </c>
      <c r="X242" s="69"/>
      <c r="Y242" s="50" t="str">
        <v/>
      </c>
      <c r="Z242" s="50">
        <v>0</v>
      </c>
      <c r="AA242" s="50" cm="1">
        <f t="array" ref="AA242">_xlfn.LET(_xlpm.result, Common_InputFunctions.Utility_LookupValueInTableTwoColumns(Y242, _xlfn.IFS(Y242="Urea",IF($O242="", "Global", $O242), Y242="Ammonia", IF($P242="", "Global", $P242), TRUE, "Global"), Table_SourceData_Scope3_InorganicFertiliser[Chemical compound],Table_SourceData_Scope3_InorganicFertiliser[Region of origin],Table_SourceData_Scope3_InorganicFertiliser[AusLCI Emissions intensity]), IF(_xlpm.result="", 0, _xlpm.result))</f>
        <v>0</v>
      </c>
      <c r="AB242" s="69"/>
      <c r="AC242" s="50" t="str">
        <v/>
      </c>
      <c r="AD242" s="50">
        <v>0</v>
      </c>
      <c r="AE242" s="50" cm="1">
        <f t="array" ref="AE242">_xlfn.LET(_xlpm.result, Common_InputFunctions.Utility_LookupValueInTableTwoColumns(AC242, _xlfn.IFS(AC242="Urea",IF($O242="", "Global", $O242), AC242="Ammonia", IF($P242="", "Global", $P242), TRUE, "Global"), Table_SourceData_Scope3_InorganicFertiliser[Chemical compound],Table_SourceData_Scope3_InorganicFertiliser[Region of origin],Table_SourceData_Scope3_InorganicFertiliser[AusLCI Emissions intensity]), IF(_xlpm.result="", 0, _xlpm.result))</f>
        <v>0</v>
      </c>
      <c r="AF242" s="69"/>
    </row>
    <row r="243" spans="3:41" ht="20.100000000000001" customHeight="1" x14ac:dyDescent="0.25">
      <c r="D243" s="50" t="str">
        <v/>
      </c>
      <c r="E243" s="50">
        <v>0</v>
      </c>
      <c r="F243" s="50">
        <f>(R243 * S243)+
(V243 * W243)+
(Z243 * AA243)+
(AD243 * AE243)</f>
        <v>0</v>
      </c>
      <c r="G243" s="157">
        <f>((E243 * F243) * 10 ^ -3)</f>
        <v>0</v>
      </c>
      <c r="H243" s="50">
        <f>((R243 * $E243) * S243 * 10 ^ -3)+
((V243 * $E243) * W243 * 10 ^ -3)+
((Z243 * $E243) * AA243 * 10 ^ -3)+
((AD243 * $E243) * AE243 * 10 ^ -3)</f>
        <v>0</v>
      </c>
      <c r="I243" s="69"/>
      <c r="J243" s="157">
        <f>((E243 * I243) * 10 ^ -3)</f>
        <v>0</v>
      </c>
      <c r="K243" s="157">
        <f>((R243 * $E243) * (IF(T243,T243,S243)) * 10 ^ -3)+
((V243 * $E243) * (IF(X243,X243,W243)) * 10 ^ -3)+
((Z243 * $E243) * (IF(AB243,AB243,AA243)) * 10 ^ -3)+
((AD243 * $E243) * (IF(AF243,AF243,AE243)) * 10 ^ -3)</f>
        <v>0</v>
      </c>
      <c r="L243" s="86"/>
      <c r="M243" s="48"/>
      <c r="N243" s="86"/>
      <c r="O243" s="50" t="str">
        <v/>
      </c>
      <c r="P243" s="50" t="str">
        <v/>
      </c>
      <c r="Q243" s="50" t="str">
        <v/>
      </c>
      <c r="R243" s="50">
        <v>0</v>
      </c>
      <c r="S243" s="50" cm="1">
        <f t="array" ref="S243">_xlfn.LET(_xlpm.result, Common_InputFunctions.Utility_LookupValueInTableTwoColumns(Q243, _xlfn.IFS(Q243="Urea",IF($O243="", "Global", $O243), Q243="Ammonia", IF($P243="", "Global", $P243), TRUE, "Global"), Table_SourceData_Scope3_InorganicFertiliser[Chemical compound],Table_SourceData_Scope3_InorganicFertiliser[Region of origin],Table_SourceData_Scope3_InorganicFertiliser[AusLCI Emissions intensity]), IF(_xlpm.result="", 0, _xlpm.result))</f>
        <v>0</v>
      </c>
      <c r="T243" s="69"/>
      <c r="U243" s="50" t="str">
        <v/>
      </c>
      <c r="V243" s="50">
        <v>0</v>
      </c>
      <c r="W243" s="50" cm="1">
        <f t="array" ref="W243">_xlfn.LET(_xlpm.result, Common_InputFunctions.Utility_LookupValueInTableTwoColumns(U243, _xlfn.IFS(U243="Urea",IF($O243="", "Global", $O243), U243="Ammonia", IF($P243="", "Global", $P243), TRUE, "Global"), Table_SourceData_Scope3_InorganicFertiliser[Chemical compound],Table_SourceData_Scope3_InorganicFertiliser[Region of origin],Table_SourceData_Scope3_InorganicFertiliser[AusLCI Emissions intensity]), IF(_xlpm.result="", 0, _xlpm.result))</f>
        <v>0</v>
      </c>
      <c r="X243" s="69"/>
      <c r="Y243" s="50" t="str">
        <v/>
      </c>
      <c r="Z243" s="50">
        <v>0</v>
      </c>
      <c r="AA243" s="50" cm="1">
        <f t="array" ref="AA243">_xlfn.LET(_xlpm.result, Common_InputFunctions.Utility_LookupValueInTableTwoColumns(Y243, _xlfn.IFS(Y243="Urea",IF($O243="", "Global", $O243), Y243="Ammonia", IF($P243="", "Global", $P243), TRUE, "Global"), Table_SourceData_Scope3_InorganicFertiliser[Chemical compound],Table_SourceData_Scope3_InorganicFertiliser[Region of origin],Table_SourceData_Scope3_InorganicFertiliser[AusLCI Emissions intensity]), IF(_xlpm.result="", 0, _xlpm.result))</f>
        <v>0</v>
      </c>
      <c r="AB243" s="69"/>
      <c r="AC243" s="50" t="str">
        <v/>
      </c>
      <c r="AD243" s="50">
        <v>0</v>
      </c>
      <c r="AE243" s="50" cm="1">
        <f t="array" ref="AE243">_xlfn.LET(_xlpm.result, Common_InputFunctions.Utility_LookupValueInTableTwoColumns(AC243, _xlfn.IFS(AC243="Urea",IF($O243="", "Global", $O243), AC243="Ammonia", IF($P243="", "Global", $P243), TRUE, "Global"), Table_SourceData_Scope3_InorganicFertiliser[Chemical compound],Table_SourceData_Scope3_InorganicFertiliser[Region of origin],Table_SourceData_Scope3_InorganicFertiliser[AusLCI Emissions intensity]), IF(_xlpm.result="", 0, _xlpm.result))</f>
        <v>0</v>
      </c>
      <c r="AF243" s="69"/>
    </row>
    <row r="244" spans="3:41" ht="20.100000000000001" customHeight="1" x14ac:dyDescent="0.25">
      <c r="D244" s="50" t="str">
        <v/>
      </c>
      <c r="E244" s="50">
        <v>0</v>
      </c>
      <c r="F244" s="50">
        <f>(R244 * S244)+
(V244 * W244)+
(Z244 * AA244)+
(AD244 * AE244)</f>
        <v>0</v>
      </c>
      <c r="G244" s="157">
        <f>((E244 * F244) * 10 ^ -3)</f>
        <v>0</v>
      </c>
      <c r="H244" s="50">
        <f>((R244 * $E244) * S244 * 10 ^ -3)+
((V244 * $E244) * W244 * 10 ^ -3)+
((Z244 * $E244) * AA244 * 10 ^ -3)+
((AD244 * $E244) * AE244 * 10 ^ -3)</f>
        <v>0</v>
      </c>
      <c r="I244" s="69"/>
      <c r="J244" s="157">
        <f>((E244 * I244) * 10 ^ -3)</f>
        <v>0</v>
      </c>
      <c r="K244" s="157">
        <f>((R244 * $E244) * (IF(T244,T244,S244)) * 10 ^ -3)+
((V244 * $E244) * (IF(X244,X244,W244)) * 10 ^ -3)+
((Z244 * $E244) * (IF(AB244,AB244,AA244)) * 10 ^ -3)+
((AD244 * $E244) * (IF(AF244,AF244,AE244)) * 10 ^ -3)</f>
        <v>0</v>
      </c>
      <c r="L244" s="86"/>
      <c r="M244" s="48"/>
      <c r="N244" s="86"/>
      <c r="O244" s="50" t="str">
        <v/>
      </c>
      <c r="P244" s="50" t="str">
        <v/>
      </c>
      <c r="Q244" s="50" t="str">
        <v/>
      </c>
      <c r="R244" s="50">
        <v>0</v>
      </c>
      <c r="S244" s="50" cm="1">
        <f t="array" ref="S244">_xlfn.LET(_xlpm.result, Common_InputFunctions.Utility_LookupValueInTableTwoColumns(Q244, _xlfn.IFS(Q244="Urea",IF($O244="", "Global", $O244), Q244="Ammonia", IF($P244="", "Global", $P244), TRUE, "Global"), Table_SourceData_Scope3_InorganicFertiliser[Chemical compound],Table_SourceData_Scope3_InorganicFertiliser[Region of origin],Table_SourceData_Scope3_InorganicFertiliser[AusLCI Emissions intensity]), IF(_xlpm.result="", 0, _xlpm.result))</f>
        <v>0</v>
      </c>
      <c r="T244" s="69"/>
      <c r="U244" s="50" t="str">
        <v/>
      </c>
      <c r="V244" s="50">
        <v>0</v>
      </c>
      <c r="W244" s="50" cm="1">
        <f t="array" ref="W244">_xlfn.LET(_xlpm.result, Common_InputFunctions.Utility_LookupValueInTableTwoColumns(U244, _xlfn.IFS(U244="Urea",IF($O244="", "Global", $O244), U244="Ammonia", IF($P244="", "Global", $P244), TRUE, "Global"), Table_SourceData_Scope3_InorganicFertiliser[Chemical compound],Table_SourceData_Scope3_InorganicFertiliser[Region of origin],Table_SourceData_Scope3_InorganicFertiliser[AusLCI Emissions intensity]), IF(_xlpm.result="", 0, _xlpm.result))</f>
        <v>0</v>
      </c>
      <c r="X244" s="69"/>
      <c r="Y244" s="50" t="str">
        <v/>
      </c>
      <c r="Z244" s="50">
        <v>0</v>
      </c>
      <c r="AA244" s="50" cm="1">
        <f t="array" ref="AA244">_xlfn.LET(_xlpm.result, Common_InputFunctions.Utility_LookupValueInTableTwoColumns(Y244, _xlfn.IFS(Y244="Urea",IF($O244="", "Global", $O244), Y244="Ammonia", IF($P244="", "Global", $P244), TRUE, "Global"), Table_SourceData_Scope3_InorganicFertiliser[Chemical compound],Table_SourceData_Scope3_InorganicFertiliser[Region of origin],Table_SourceData_Scope3_InorganicFertiliser[AusLCI Emissions intensity]), IF(_xlpm.result="", 0, _xlpm.result))</f>
        <v>0</v>
      </c>
      <c r="AB244" s="69"/>
      <c r="AC244" s="50" t="str">
        <v/>
      </c>
      <c r="AD244" s="50">
        <v>0</v>
      </c>
      <c r="AE244" s="50" cm="1">
        <f t="array" ref="AE244">_xlfn.LET(_xlpm.result, Common_InputFunctions.Utility_LookupValueInTableTwoColumns(AC244, _xlfn.IFS(AC244="Urea",IF($O244="", "Global", $O244), AC244="Ammonia", IF($P244="", "Global", $P244), TRUE, "Global"), Table_SourceData_Scope3_InorganicFertiliser[Chemical compound],Table_SourceData_Scope3_InorganicFertiliser[Region of origin],Table_SourceData_Scope3_InorganicFertiliser[AusLCI Emissions intensity]), IF(_xlpm.result="", 0, _xlpm.result))</f>
        <v>0</v>
      </c>
      <c r="AF244" s="69"/>
    </row>
    <row r="245" spans="3:41" ht="20.100000000000001" customHeight="1" x14ac:dyDescent="0.25">
      <c r="D245" s="50" t="str">
        <v/>
      </c>
      <c r="E245" s="50">
        <v>0</v>
      </c>
      <c r="F245" s="50">
        <f>(R245 * S245)+
(V245 * W245)+
(Z245 * AA245)+
(AD245 * AE245)</f>
        <v>0</v>
      </c>
      <c r="G245" s="157">
        <f>((E245 * F245) * 10 ^ -3)</f>
        <v>0</v>
      </c>
      <c r="H245" s="50">
        <f>((R245 * $E245) * S245 * 10 ^ -3)+
((V245 * $E245) * W245 * 10 ^ -3)+
((Z245 * $E245) * AA245 * 10 ^ -3)+
((AD245 * $E245) * AE245 * 10 ^ -3)</f>
        <v>0</v>
      </c>
      <c r="I245" s="69"/>
      <c r="J245" s="157">
        <f>((E245 * I245) * 10 ^ -3)</f>
        <v>0</v>
      </c>
      <c r="K245" s="157">
        <f>((R245 * $E245) * (IF(T245,T245,S245)) * 10 ^ -3)+
((V245 * $E245) * (IF(X245,X245,W245)) * 10 ^ -3)+
((Z245 * $E245) * (IF(AB245,AB245,AA245)) * 10 ^ -3)+
((AD245 * $E245) * (IF(AF245,AF245,AE245)) * 10 ^ -3)</f>
        <v>0</v>
      </c>
      <c r="L245" s="86"/>
      <c r="M245" s="48"/>
      <c r="N245" s="86"/>
      <c r="O245" s="50" t="str">
        <v/>
      </c>
      <c r="P245" s="50" t="str">
        <v/>
      </c>
      <c r="Q245" s="50" t="str">
        <v/>
      </c>
      <c r="R245" s="50">
        <v>0</v>
      </c>
      <c r="S245" s="50" cm="1">
        <f t="array" ref="S245">_xlfn.LET(_xlpm.result, Common_InputFunctions.Utility_LookupValueInTableTwoColumns(Q245, _xlfn.IFS(Q245="Urea",IF($O245="", "Global", $O245), Q245="Ammonia", IF($P245="", "Global", $P245), TRUE, "Global"), Table_SourceData_Scope3_InorganicFertiliser[Chemical compound],Table_SourceData_Scope3_InorganicFertiliser[Region of origin],Table_SourceData_Scope3_InorganicFertiliser[AusLCI Emissions intensity]), IF(_xlpm.result="", 0, _xlpm.result))</f>
        <v>0</v>
      </c>
      <c r="T245" s="69"/>
      <c r="U245" s="50" t="str">
        <v/>
      </c>
      <c r="V245" s="50">
        <v>0</v>
      </c>
      <c r="W245" s="50" cm="1">
        <f t="array" ref="W245">_xlfn.LET(_xlpm.result, Common_InputFunctions.Utility_LookupValueInTableTwoColumns(U245, _xlfn.IFS(U245="Urea",IF($O245="", "Global", $O245), U245="Ammonia", IF($P245="", "Global", $P245), TRUE, "Global"), Table_SourceData_Scope3_InorganicFertiliser[Chemical compound],Table_SourceData_Scope3_InorganicFertiliser[Region of origin],Table_SourceData_Scope3_InorganicFertiliser[AusLCI Emissions intensity]), IF(_xlpm.result="", 0, _xlpm.result))</f>
        <v>0</v>
      </c>
      <c r="X245" s="69"/>
      <c r="Y245" s="50" t="str">
        <v/>
      </c>
      <c r="Z245" s="50">
        <v>0</v>
      </c>
      <c r="AA245" s="50" cm="1">
        <f t="array" ref="AA245">_xlfn.LET(_xlpm.result, Common_InputFunctions.Utility_LookupValueInTableTwoColumns(Y245, _xlfn.IFS(Y245="Urea",IF($O245="", "Global", $O245), Y245="Ammonia", IF($P245="", "Global", $P245), TRUE, "Global"), Table_SourceData_Scope3_InorganicFertiliser[Chemical compound],Table_SourceData_Scope3_InorganicFertiliser[Region of origin],Table_SourceData_Scope3_InorganicFertiliser[AusLCI Emissions intensity]), IF(_xlpm.result="", 0, _xlpm.result))</f>
        <v>0</v>
      </c>
      <c r="AB245" s="69"/>
      <c r="AC245" s="50" t="str">
        <v/>
      </c>
      <c r="AD245" s="50">
        <v>0</v>
      </c>
      <c r="AE245" s="50" cm="1">
        <f t="array" ref="AE245">_xlfn.LET(_xlpm.result, Common_InputFunctions.Utility_LookupValueInTableTwoColumns(AC245, _xlfn.IFS(AC245="Urea",IF($O245="", "Global", $O245), AC245="Ammonia", IF($P245="", "Global", $P245), TRUE, "Global"), Table_SourceData_Scope3_InorganicFertiliser[Chemical compound],Table_SourceData_Scope3_InorganicFertiliser[Region of origin],Table_SourceData_Scope3_InorganicFertiliser[AusLCI Emissions intensity]), IF(_xlpm.result="", 0, _xlpm.result))</f>
        <v>0</v>
      </c>
      <c r="AF245" s="69"/>
    </row>
    <row r="246" spans="3:41" ht="20.100000000000001" customHeight="1" x14ac:dyDescent="0.25">
      <c r="D246" s="50" t="str">
        <v/>
      </c>
      <c r="E246" s="50">
        <v>0</v>
      </c>
      <c r="F246" s="50">
        <f>(R246 * S246)+
(V246 * W246)+
(Z246 * AA246)+
(AD246 * AE246)</f>
        <v>0</v>
      </c>
      <c r="G246" s="157">
        <f>((E246 * F246) * 10 ^ -3)</f>
        <v>0</v>
      </c>
      <c r="H246" s="50">
        <f>((R246 * $E246) * S246 * 10 ^ -3)+
((V246 * $E246) * W246 * 10 ^ -3)+
((Z246 * $E246) * AA246 * 10 ^ -3)+
((AD246 * $E246) * AE246 * 10 ^ -3)</f>
        <v>0</v>
      </c>
      <c r="I246" s="69"/>
      <c r="J246" s="157">
        <f>((E246 * I246) * 10 ^ -3)</f>
        <v>0</v>
      </c>
      <c r="K246" s="157">
        <f>((R246 * $E246) * (IF(T246,T246,S246)) * 10 ^ -3)+
((V246 * $E246) * (IF(X246,X246,W246)) * 10 ^ -3)+
((Z246 * $E246) * (IF(AB246,AB246,AA246)) * 10 ^ -3)+
((AD246 * $E246) * (IF(AF246,AF246,AE246)) * 10 ^ -3)</f>
        <v>0</v>
      </c>
      <c r="L246" s="86"/>
      <c r="M246" s="48"/>
      <c r="N246" s="86"/>
      <c r="O246" s="50" t="str">
        <v/>
      </c>
      <c r="P246" s="50" t="str">
        <v/>
      </c>
      <c r="Q246" s="50" t="str">
        <v/>
      </c>
      <c r="R246" s="50">
        <v>0</v>
      </c>
      <c r="S246" s="50" cm="1">
        <f t="array" ref="S246">_xlfn.LET(_xlpm.result, Common_InputFunctions.Utility_LookupValueInTableTwoColumns(Q246, _xlfn.IFS(Q246="Urea",IF($O246="", "Global", $O246), Q246="Ammonia", IF($P246="", "Global", $P246), TRUE, "Global"), Table_SourceData_Scope3_InorganicFertiliser[Chemical compound],Table_SourceData_Scope3_InorganicFertiliser[Region of origin],Table_SourceData_Scope3_InorganicFertiliser[AusLCI Emissions intensity]), IF(_xlpm.result="", 0, _xlpm.result))</f>
        <v>0</v>
      </c>
      <c r="T246" s="69"/>
      <c r="U246" s="50" t="str">
        <v/>
      </c>
      <c r="V246" s="50">
        <v>0</v>
      </c>
      <c r="W246" s="50" cm="1">
        <f t="array" ref="W246">_xlfn.LET(_xlpm.result, Common_InputFunctions.Utility_LookupValueInTableTwoColumns(U246, _xlfn.IFS(U246="Urea",IF($O246="", "Global", $O246), U246="Ammonia", IF($P246="", "Global", $P246), TRUE, "Global"), Table_SourceData_Scope3_InorganicFertiliser[Chemical compound],Table_SourceData_Scope3_InorganicFertiliser[Region of origin],Table_SourceData_Scope3_InorganicFertiliser[AusLCI Emissions intensity]), IF(_xlpm.result="", 0, _xlpm.result))</f>
        <v>0</v>
      </c>
      <c r="X246" s="69"/>
      <c r="Y246" s="50" t="str">
        <v/>
      </c>
      <c r="Z246" s="50">
        <v>0</v>
      </c>
      <c r="AA246" s="50" cm="1">
        <f t="array" ref="AA246">_xlfn.LET(_xlpm.result, Common_InputFunctions.Utility_LookupValueInTableTwoColumns(Y246, _xlfn.IFS(Y246="Urea",IF($O246="", "Global", $O246), Y246="Ammonia", IF($P246="", "Global", $P246), TRUE, "Global"), Table_SourceData_Scope3_InorganicFertiliser[Chemical compound],Table_SourceData_Scope3_InorganicFertiliser[Region of origin],Table_SourceData_Scope3_InorganicFertiliser[AusLCI Emissions intensity]), IF(_xlpm.result="", 0, _xlpm.result))</f>
        <v>0</v>
      </c>
      <c r="AB246" s="69"/>
      <c r="AC246" s="50" t="str">
        <v/>
      </c>
      <c r="AD246" s="50">
        <v>0</v>
      </c>
      <c r="AE246" s="50" cm="1">
        <f t="array" ref="AE246">_xlfn.LET(_xlpm.result, Common_InputFunctions.Utility_LookupValueInTableTwoColumns(AC246, _xlfn.IFS(AC246="Urea",IF($O246="", "Global", $O246), AC246="Ammonia", IF($P246="", "Global", $P246), TRUE, "Global"), Table_SourceData_Scope3_InorganicFertiliser[Chemical compound],Table_SourceData_Scope3_InorganicFertiliser[Region of origin],Table_SourceData_Scope3_InorganicFertiliser[AusLCI Emissions intensity]), IF(_xlpm.result="", 0, _xlpm.result))</f>
        <v>0</v>
      </c>
      <c r="AF246" s="69"/>
    </row>
    <row r="247" spans="3:41" ht="20.100000000000001" customHeight="1" x14ac:dyDescent="0.25"/>
    <row r="248" spans="3:41" ht="20.100000000000001" customHeight="1" x14ac:dyDescent="0.25">
      <c r="D248" s="185" t="s">
        <v>685</v>
      </c>
      <c r="E248" s="183">
        <f>SUM(G221:G230)+SUM(G237:G246)</f>
        <v>39.119470000000007</v>
      </c>
      <c r="F248" s="184" t="str">
        <f>$E$155</f>
        <v>t CO2e</v>
      </c>
    </row>
    <row r="249" spans="3:41" ht="20.100000000000001" customHeight="1" x14ac:dyDescent="0.25">
      <c r="D249" s="185" t="s">
        <v>686</v>
      </c>
      <c r="E249" s="183">
        <f>SUM(J221:J230)+SUM(J237:J246)</f>
        <v>40.72</v>
      </c>
      <c r="F249" s="184" t="str">
        <f>$E$155</f>
        <v>t CO2e</v>
      </c>
    </row>
    <row r="250" spans="3:41" ht="20.100000000000001" customHeight="1" x14ac:dyDescent="0.25"/>
    <row r="251" spans="3:41" ht="20.100000000000001" customHeight="1" x14ac:dyDescent="0.25">
      <c r="D251" s="185" t="s">
        <v>687</v>
      </c>
      <c r="E251" s="183">
        <f>SUM(H221:H230)+SUM(H237:H246)</f>
        <v>39.119470000000007</v>
      </c>
      <c r="F251" s="184" t="str">
        <f>$E$155</f>
        <v>t CO2e</v>
      </c>
    </row>
    <row r="252" spans="3:41" ht="20.100000000000001" customHeight="1" x14ac:dyDescent="0.25">
      <c r="D252" s="185" t="s">
        <v>688</v>
      </c>
      <c r="E252" s="183">
        <f>SUM(K221:K230)+SUM(K237:K246)</f>
        <v>38.326091522690007</v>
      </c>
      <c r="F252" s="184" t="str">
        <f>$E$155</f>
        <v>t CO2e</v>
      </c>
    </row>
    <row r="253" spans="3:41" ht="20.100000000000001" customHeight="1" x14ac:dyDescent="0.25"/>
    <row r="254" spans="3:41" ht="20.100000000000001" customHeight="1" x14ac:dyDescent="0.25"/>
    <row r="255" spans="3:41" ht="20.100000000000001" customHeight="1" x14ac:dyDescent="0.25">
      <c r="C255" s="102"/>
      <c r="D255" s="102"/>
      <c r="E255" s="102"/>
      <c r="F255" s="102"/>
      <c r="G255" s="102"/>
      <c r="H255" s="102"/>
      <c r="I255" s="102"/>
      <c r="J255" s="102"/>
      <c r="K255" s="102"/>
      <c r="L255" s="102"/>
      <c r="M255" s="102"/>
      <c r="N255" s="102"/>
      <c r="O255" s="102"/>
      <c r="P255" s="102"/>
      <c r="Q255" s="102"/>
      <c r="R255" s="102"/>
      <c r="S255" s="102"/>
      <c r="T255" s="102"/>
      <c r="U255" s="102"/>
      <c r="V255" s="102"/>
      <c r="W255" s="102"/>
      <c r="X255" s="102"/>
      <c r="Y255" s="102"/>
      <c r="Z255" s="102"/>
      <c r="AA255" s="102"/>
      <c r="AB255" s="102"/>
      <c r="AC255" s="102"/>
      <c r="AD255" s="102"/>
      <c r="AE255" s="102"/>
      <c r="AF255" s="102"/>
      <c r="AG255" s="102"/>
      <c r="AH255" s="102"/>
      <c r="AI255" s="102"/>
      <c r="AJ255" s="102"/>
      <c r="AK255" s="102"/>
      <c r="AL255" s="102"/>
      <c r="AM255" s="102"/>
      <c r="AN255" s="102"/>
      <c r="AO255" s="102"/>
    </row>
    <row r="256" spans="3:41" ht="20.100000000000001" customHeight="1" x14ac:dyDescent="0.25">
      <c r="D256" s="9" t="s">
        <v>918</v>
      </c>
    </row>
    <row r="257" spans="4:9" ht="20.100000000000001" customHeight="1" x14ac:dyDescent="0.25">
      <c r="D257" s="11" t="s">
        <v>919</v>
      </c>
    </row>
    <row r="258" spans="4:9" ht="20.100000000000001" customHeight="1" x14ac:dyDescent="0.25">
      <c r="D258" s="178"/>
      <c r="E258" s="178"/>
    </row>
    <row r="259" spans="4:9" ht="20.100000000000001" customHeight="1" x14ac:dyDescent="0.25"/>
    <row r="260" spans="4:9" ht="20.100000000000001" customHeight="1" x14ac:dyDescent="0.25"/>
    <row r="261" spans="4:9" ht="20.100000000000001" customHeight="1" x14ac:dyDescent="0.25"/>
    <row r="262" spans="4:9" ht="20.100000000000001" customHeight="1" x14ac:dyDescent="0.25">
      <c r="D262" s="28" t="s">
        <v>641</v>
      </c>
      <c r="E262" s="8" t="s">
        <v>755</v>
      </c>
    </row>
    <row r="263" spans="4:9" ht="20.100000000000001" customHeight="1" x14ac:dyDescent="0.25">
      <c r="D263" s="28" t="s">
        <v>97</v>
      </c>
      <c r="E263" s="13" t="s">
        <v>860</v>
      </c>
    </row>
    <row r="264" spans="4:9" ht="20.100000000000001" customHeight="1" x14ac:dyDescent="0.25"/>
    <row r="265" spans="4:9" x14ac:dyDescent="0.25">
      <c r="D265" s="173" t="s">
        <v>920</v>
      </c>
      <c r="E265" s="177" t="s">
        <v>921</v>
      </c>
      <c r="F265" s="172"/>
      <c r="G265" s="173" t="s">
        <v>926</v>
      </c>
      <c r="H265" s="174" t="s">
        <v>874</v>
      </c>
    </row>
    <row r="266" spans="4:9" x14ac:dyDescent="0.25">
      <c r="D266" s="173" t="s">
        <v>922</v>
      </c>
      <c r="E266" s="177" t="s">
        <v>923</v>
      </c>
      <c r="F266" s="172"/>
      <c r="G266" s="173" t="s">
        <v>927</v>
      </c>
      <c r="H266" s="175" t="s">
        <v>877</v>
      </c>
    </row>
    <row r="267" spans="4:9" x14ac:dyDescent="0.25">
      <c r="D267" s="173" t="s">
        <v>924</v>
      </c>
      <c r="E267" s="177" t="s">
        <v>925</v>
      </c>
      <c r="F267" s="172"/>
      <c r="G267" s="173"/>
      <c r="H267" s="174" t="s">
        <v>874</v>
      </c>
    </row>
    <row r="269" spans="4:9" ht="17.25" x14ac:dyDescent="0.25">
      <c r="D269" s="47" t="s">
        <v>694</v>
      </c>
      <c r="E269" s="47" t="s">
        <v>206</v>
      </c>
      <c r="F269" s="60" t="s">
        <v>695</v>
      </c>
      <c r="G269" s="60" t="s">
        <v>647</v>
      </c>
      <c r="H269" s="47" t="s">
        <v>696</v>
      </c>
      <c r="I269" s="60" t="s">
        <v>649</v>
      </c>
    </row>
    <row r="270" spans="4:9" x14ac:dyDescent="0.25">
      <c r="D270" s="50" t="str" cm="1">
        <f t="array" ref="D270:D281">Table_SourceData_Scope3_Pesticides[Product]</f>
        <v>2,4-D</v>
      </c>
      <c r="E270" s="50">
        <f>SUMIF(Table_Input_Pesticides[Active ingredient 1 (select)],D270,Table_Input_Pesticides[Total active ingredient 1 (kg)])+
SUMIF(Table_Input_Pesticides[Active ingredient 2 (select)],D270,Table_Input_Pesticides[Total active ingredient 2 (kg)])+
SUMIF(Table_Input_Pesticides[Active ingredient 3 (select)],D270,Table_Input_Pesticides[Total active ingredient 3 (kg)])</f>
        <v>100</v>
      </c>
      <c r="F270" s="50" cm="1">
        <f t="array" ref="F270">Common_InputFunctions.Utility_LookupValueInTableNumber(D270,Table_SourceData_Scope3_Pesticides[Product],Table_SourceData_Scope3_Pesticides[AusLCI Emissions intensity])</f>
        <v>5.2</v>
      </c>
      <c r="G270" s="50">
        <f>(($E270 * F270) * 10 ^ -3)</f>
        <v>0.52</v>
      </c>
      <c r="H270" s="69">
        <v>5</v>
      </c>
      <c r="I270" s="50">
        <f>(($E270 * (IF(H270,H270,F270))) * 10 ^ -3)</f>
        <v>0.5</v>
      </c>
    </row>
    <row r="271" spans="4:9" x14ac:dyDescent="0.25">
      <c r="D271" s="50" t="str">
        <v>Atrazine</v>
      </c>
      <c r="E271" s="50">
        <f>SUMIF(Table_Input_Pesticides[Active ingredient 1 (select)],D271,Table_Input_Pesticides[Total active ingredient 1 (kg)])+
SUMIF(Table_Input_Pesticides[Active ingredient 2 (select)],D271,Table_Input_Pesticides[Total active ingredient 2 (kg)])+
SUMIF(Table_Input_Pesticides[Active ingredient 3 (select)],D271,Table_Input_Pesticides[Total active ingredient 3 (kg)])</f>
        <v>0</v>
      </c>
      <c r="F271" s="50" cm="1">
        <f t="array" ref="F271">Common_InputFunctions.Utility_LookupValueInTableNumber(D271,Table_SourceData_Scope3_Pesticides[Product],Table_SourceData_Scope3_Pesticides[AusLCI Emissions intensity])</f>
        <v>8.3800000000000008</v>
      </c>
      <c r="G271" s="50">
        <f>(($E271 * F271) * 10 ^ -3)</f>
        <v>0</v>
      </c>
      <c r="H271" s="69">
        <v>8</v>
      </c>
      <c r="I271" s="50">
        <f>(($E271 * (IF(H271,H271,F271))) * 10 ^ -3)</f>
        <v>0</v>
      </c>
    </row>
    <row r="272" spans="4:9" x14ac:dyDescent="0.25">
      <c r="D272" s="50" t="str">
        <v>Diuron</v>
      </c>
      <c r="E272" s="50">
        <f>SUMIF(Table_Input_Pesticides[Active ingredient 1 (select)],D272,Table_Input_Pesticides[Total active ingredient 1 (kg)])+
SUMIF(Table_Input_Pesticides[Active ingredient 2 (select)],D272,Table_Input_Pesticides[Total active ingredient 2 (kg)])+
SUMIF(Table_Input_Pesticides[Active ingredient 3 (select)],D272,Table_Input_Pesticides[Total active ingredient 3 (kg)])</f>
        <v>0</v>
      </c>
      <c r="F272" s="50" cm="1">
        <f t="array" ref="F272">Common_InputFunctions.Utility_LookupValueInTableNumber(D272,Table_SourceData_Scope3_Pesticides[Product],Table_SourceData_Scope3_Pesticides[AusLCI Emissions intensity])</f>
        <v>8.8000000000000007</v>
      </c>
      <c r="G272" s="50">
        <f>(($E272 * F272) * 10 ^ -3)</f>
        <v>0</v>
      </c>
      <c r="H272" s="69"/>
      <c r="I272" s="50">
        <f>(($E272 * (IF(H272,H272,F272))) * 10 ^ -3)</f>
        <v>0</v>
      </c>
    </row>
    <row r="273" spans="3:41" x14ac:dyDescent="0.25">
      <c r="D273" s="50" t="str">
        <v>Glyphosate</v>
      </c>
      <c r="E273" s="50">
        <f>SUMIF(Table_Input_Pesticides[Active ingredient 1 (select)],D273,Table_Input_Pesticides[Total active ingredient 1 (kg)])+
SUMIF(Table_Input_Pesticides[Active ingredient 2 (select)],D273,Table_Input_Pesticides[Total active ingredient 2 (kg)])+
SUMIF(Table_Input_Pesticides[Active ingredient 3 (select)],D273,Table_Input_Pesticides[Total active ingredient 3 (kg)])</f>
        <v>100</v>
      </c>
      <c r="F273" s="50" cm="1">
        <f t="array" ref="F273">Common_InputFunctions.Utility_LookupValueInTableNumber(D273,Table_SourceData_Scope3_Pesticides[Product],Table_SourceData_Scope3_Pesticides[AusLCI Emissions intensity])</f>
        <v>10.3</v>
      </c>
      <c r="G273" s="50">
        <f>(($E273 * F273) * 10 ^ -3)</f>
        <v>1.03</v>
      </c>
      <c r="H273" s="69"/>
      <c r="I273" s="50">
        <f>(($E273 * (IF(H273,H273,F273))) * 10 ^ -3)</f>
        <v>1.03</v>
      </c>
    </row>
    <row r="274" spans="3:41" x14ac:dyDescent="0.25">
      <c r="D274" s="50" t="str">
        <v>Mancozeb</v>
      </c>
      <c r="E274" s="50">
        <f>SUMIF(Table_Input_Pesticides[Active ingredient 1 (select)],D274,Table_Input_Pesticides[Total active ingredient 1 (kg)])+
SUMIF(Table_Input_Pesticides[Active ingredient 2 (select)],D274,Table_Input_Pesticides[Total active ingredient 2 (kg)])+
SUMIF(Table_Input_Pesticides[Active ingredient 3 (select)],D274,Table_Input_Pesticides[Total active ingredient 3 (kg)])</f>
        <v>0</v>
      </c>
      <c r="F274" s="50" cm="1">
        <f t="array" ref="F274">Common_InputFunctions.Utility_LookupValueInTableNumber(D274,Table_SourceData_Scope3_Pesticides[Product],Table_SourceData_Scope3_Pesticides[AusLCI Emissions intensity])</f>
        <v>4.55</v>
      </c>
      <c r="G274" s="50">
        <f>(($E274 * F274) * 10 ^ -3)</f>
        <v>0</v>
      </c>
      <c r="H274" s="69"/>
      <c r="I274" s="50">
        <f>(($E274 * (IF(H274,H274,F274))) * 10 ^ -3)</f>
        <v>0</v>
      </c>
    </row>
    <row r="275" spans="3:41" x14ac:dyDescent="0.25">
      <c r="D275" s="50" t="str">
        <v>MCPA</v>
      </c>
      <c r="E275" s="50">
        <f>SUMIF(Table_Input_Pesticides[Active ingredient 1 (select)],D275,Table_Input_Pesticides[Total active ingredient 1 (kg)])+
SUMIF(Table_Input_Pesticides[Active ingredient 2 (select)],D275,Table_Input_Pesticides[Total active ingredient 2 (kg)])+
SUMIF(Table_Input_Pesticides[Active ingredient 3 (select)],D275,Table_Input_Pesticides[Total active ingredient 3 (kg)])</f>
        <v>0</v>
      </c>
      <c r="F275" s="50" cm="1">
        <f t="array" ref="F275">Common_InputFunctions.Utility_LookupValueInTableNumber(D275,Table_SourceData_Scope3_Pesticides[Product],Table_SourceData_Scope3_Pesticides[AusLCI Emissions intensity])</f>
        <v>5.6</v>
      </c>
      <c r="G275" s="50">
        <f>(($E275 * F275) * 10 ^ -3)</f>
        <v>0</v>
      </c>
      <c r="H275" s="69"/>
      <c r="I275" s="50">
        <f>(($E275 * (IF(H275,H275,F275))) * 10 ^ -3)</f>
        <v>0</v>
      </c>
    </row>
    <row r="276" spans="3:41" x14ac:dyDescent="0.25">
      <c r="D276" s="50" t="str">
        <v>Metolachlor</v>
      </c>
      <c r="E276" s="50">
        <f>SUMIF(Table_Input_Pesticides[Active ingredient 1 (select)],D276,Table_Input_Pesticides[Total active ingredient 1 (kg)])+
SUMIF(Table_Input_Pesticides[Active ingredient 2 (select)],D276,Table_Input_Pesticides[Total active ingredient 2 (kg)])+
SUMIF(Table_Input_Pesticides[Active ingredient 3 (select)],D276,Table_Input_Pesticides[Total active ingredient 3 (kg)])</f>
        <v>100</v>
      </c>
      <c r="F276" s="50" cm="1">
        <f t="array" ref="F276">Common_InputFunctions.Utility_LookupValueInTableNumber(D276,Table_SourceData_Scope3_Pesticides[Product],Table_SourceData_Scope3_Pesticides[AusLCI Emissions intensity])</f>
        <v>8.06</v>
      </c>
      <c r="G276" s="50">
        <f>(($E276 * F276) * 10 ^ -3)</f>
        <v>0.80600000000000005</v>
      </c>
      <c r="H276" s="69"/>
      <c r="I276" s="50">
        <f>(($E276 * (IF(H276,H276,F276))) * 10 ^ -3)</f>
        <v>0.80600000000000005</v>
      </c>
    </row>
    <row r="277" spans="3:41" x14ac:dyDescent="0.25">
      <c r="D277" s="50" t="str">
        <v>Metsulfuron-methyl</v>
      </c>
      <c r="E277" s="50">
        <f>SUMIF(Table_Input_Pesticides[Active ingredient 1 (select)],D277,Table_Input_Pesticides[Total active ingredient 1 (kg)])+
SUMIF(Table_Input_Pesticides[Active ingredient 2 (select)],D277,Table_Input_Pesticides[Total active ingredient 2 (kg)])+
SUMIF(Table_Input_Pesticides[Active ingredient 3 (select)],D277,Table_Input_Pesticides[Total active ingredient 3 (kg)])</f>
        <v>0</v>
      </c>
      <c r="F277" s="50" cm="1">
        <f t="array" ref="F277">Common_InputFunctions.Utility_LookupValueInTableNumber(D277,Table_SourceData_Scope3_Pesticides[Product],Table_SourceData_Scope3_Pesticides[AusLCI Emissions intensity])</f>
        <v>8.8000000000000007</v>
      </c>
      <c r="G277" s="50">
        <f>(($E277 * F277) * 10 ^ -3)</f>
        <v>0</v>
      </c>
      <c r="H277" s="69"/>
      <c r="I277" s="50">
        <f>(($E277 * (IF(H277,H277,F277))) * 10 ^ -3)</f>
        <v>0</v>
      </c>
    </row>
    <row r="278" spans="3:41" x14ac:dyDescent="0.25">
      <c r="D278" s="50" t="str">
        <v>Pesticides (generic)</v>
      </c>
      <c r="E278" s="50">
        <f>SUMIF(Table_Input_Pesticides[Active ingredient 1 (select)],D278,Table_Input_Pesticides[Total active ingredient 1 (kg)])+
SUMIF(Table_Input_Pesticides[Active ingredient 2 (select)],D278,Table_Input_Pesticides[Total active ingredient 2 (kg)])+
SUMIF(Table_Input_Pesticides[Active ingredient 3 (select)],D278,Table_Input_Pesticides[Total active ingredient 3 (kg)])</f>
        <v>400</v>
      </c>
      <c r="F278" s="50" cm="1">
        <f t="array" ref="F278">Common_InputFunctions.Utility_LookupValueInTableNumber(D278,Table_SourceData_Scope3_Pesticides[Product],Table_SourceData_Scope3_Pesticides[AusLCI Emissions intensity])</f>
        <v>9.16</v>
      </c>
      <c r="G278" s="50">
        <f>(($E278 * F278) * 10 ^ -3)</f>
        <v>3.6640000000000001</v>
      </c>
      <c r="H278" s="69"/>
      <c r="I278" s="50">
        <f>(($E278 * (IF(H278,H278,F278))) * 10 ^ -3)</f>
        <v>3.6640000000000001</v>
      </c>
    </row>
    <row r="279" spans="3:41" x14ac:dyDescent="0.25">
      <c r="D279" s="50" t="str">
        <v>Tri-allate</v>
      </c>
      <c r="E279" s="50">
        <f>SUMIF(Table_Input_Pesticides[Active ingredient 1 (select)],D279,Table_Input_Pesticides[Total active ingredient 1 (kg)])+
SUMIF(Table_Input_Pesticides[Active ingredient 2 (select)],D279,Table_Input_Pesticides[Total active ingredient 2 (kg)])+
SUMIF(Table_Input_Pesticides[Active ingredient 3 (select)],D279,Table_Input_Pesticides[Total active ingredient 3 (kg)])</f>
        <v>0</v>
      </c>
      <c r="F279" s="50" cm="1">
        <f t="array" ref="F279">Common_InputFunctions.Utility_LookupValueInTableNumber(D279,Table_SourceData_Scope3_Pesticides[Product],Table_SourceData_Scope3_Pesticides[AusLCI Emissions intensity])</f>
        <v>8.57</v>
      </c>
      <c r="G279" s="50">
        <f>(($E279 * F279) * 10 ^ -3)</f>
        <v>0</v>
      </c>
      <c r="H279" s="69"/>
      <c r="I279" s="50">
        <f>(($E279 * (IF(H279,H279,F279))) * 10 ^ -3)</f>
        <v>0</v>
      </c>
    </row>
    <row r="280" spans="3:41" x14ac:dyDescent="0.25">
      <c r="D280" s="50" t="str">
        <v>Tribenuron methyl</v>
      </c>
      <c r="E280" s="50">
        <f>SUMIF(Table_Input_Pesticides[Active ingredient 1 (select)],D280,Table_Input_Pesticides[Total active ingredient 1 (kg)])+
SUMIF(Table_Input_Pesticides[Active ingredient 2 (select)],D280,Table_Input_Pesticides[Total active ingredient 2 (kg)])+
SUMIF(Table_Input_Pesticides[Active ingredient 3 (select)],D280,Table_Input_Pesticides[Total active ingredient 3 (kg)])</f>
        <v>100</v>
      </c>
      <c r="F280" s="50" cm="1">
        <f t="array" ref="F280">Common_InputFunctions.Utility_LookupValueInTableNumber(D280,Table_SourceData_Scope3_Pesticides[Product],Table_SourceData_Scope3_Pesticides[AusLCI Emissions intensity])</f>
        <v>8.8000000000000007</v>
      </c>
      <c r="G280" s="50">
        <f>(($E280 * F280) * 10 ^ -3)</f>
        <v>0.88000000000000012</v>
      </c>
      <c r="H280" s="69"/>
      <c r="I280" s="50">
        <f>(($E280 * (IF(H280,H280,F280))) * 10 ^ -3)</f>
        <v>0.88000000000000012</v>
      </c>
    </row>
    <row r="281" spans="3:41" x14ac:dyDescent="0.25">
      <c r="D281" s="50" t="str">
        <v>Trifluralin</v>
      </c>
      <c r="E281" s="50">
        <f>SUMIF(Table_Input_Pesticides[Active ingredient 1 (select)],D281,Table_Input_Pesticides[Total active ingredient 1 (kg)])+
SUMIF(Table_Input_Pesticides[Active ingredient 2 (select)],D281,Table_Input_Pesticides[Total active ingredient 2 (kg)])+
SUMIF(Table_Input_Pesticides[Active ingredient 3 (select)],D281,Table_Input_Pesticides[Total active ingredient 3 (kg)])</f>
        <v>100</v>
      </c>
      <c r="F281" s="50" cm="1">
        <f t="array" ref="F281">Common_InputFunctions.Utility_LookupValueInTableNumber(D281,Table_SourceData_Scope3_Pesticides[Product],Table_SourceData_Scope3_Pesticides[AusLCI Emissions intensity])</f>
        <v>6.16</v>
      </c>
      <c r="G281" s="50">
        <f>(($E281 * F281) * 10 ^ -3)</f>
        <v>0.61599999999999999</v>
      </c>
      <c r="H281" s="69"/>
      <c r="I281" s="50">
        <f>(($E281 * (IF(H281,H281,F281))) * 10 ^ -3)</f>
        <v>0.61599999999999999</v>
      </c>
    </row>
    <row r="283" spans="3:41" ht="20.25" x14ac:dyDescent="0.25">
      <c r="D283" s="185" t="s">
        <v>647</v>
      </c>
      <c r="E283" s="183">
        <f>SUM(G270:G281)</f>
        <v>7.5159999999999991</v>
      </c>
      <c r="F283" s="184" t="str">
        <f>$E$155</f>
        <v>t CO2e</v>
      </c>
    </row>
    <row r="284" spans="3:41" ht="20.25" x14ac:dyDescent="0.25">
      <c r="D284" s="185" t="s">
        <v>649</v>
      </c>
      <c r="E284" s="183">
        <f>SUM(I270:I281)</f>
        <v>7.4959999999999996</v>
      </c>
      <c r="F284" s="184" t="str">
        <f>$E$155</f>
        <v>t CO2e</v>
      </c>
    </row>
    <row r="287" spans="3:41" x14ac:dyDescent="0.25">
      <c r="C287" s="102"/>
      <c r="D287" s="102"/>
      <c r="E287" s="102"/>
      <c r="F287" s="102"/>
      <c r="G287" s="102"/>
      <c r="H287" s="102"/>
      <c r="I287" s="102"/>
      <c r="J287" s="102"/>
      <c r="K287" s="102"/>
      <c r="L287" s="102"/>
      <c r="M287" s="102"/>
      <c r="N287" s="102"/>
      <c r="O287" s="102"/>
      <c r="P287" s="102"/>
      <c r="Q287" s="102"/>
      <c r="R287" s="102"/>
      <c r="S287" s="102"/>
      <c r="T287" s="102"/>
      <c r="U287" s="102"/>
      <c r="V287" s="102"/>
      <c r="W287" s="102"/>
      <c r="X287" s="102"/>
      <c r="Y287" s="102"/>
      <c r="Z287" s="102"/>
      <c r="AA287" s="102"/>
      <c r="AB287" s="102"/>
      <c r="AC287" s="102"/>
      <c r="AD287" s="102"/>
      <c r="AE287" s="102"/>
      <c r="AF287" s="102"/>
      <c r="AG287" s="102"/>
      <c r="AH287" s="102"/>
      <c r="AI287" s="102"/>
      <c r="AJ287" s="102"/>
      <c r="AK287" s="102"/>
      <c r="AL287" s="102"/>
      <c r="AM287" s="102"/>
      <c r="AN287" s="102"/>
      <c r="AO287" s="102"/>
    </row>
    <row r="288" spans="3:41" ht="23.25" x14ac:dyDescent="0.25">
      <c r="D288" s="9" t="s">
        <v>928</v>
      </c>
    </row>
    <row r="289" spans="4:13" x14ac:dyDescent="0.25">
      <c r="D289" s="11" t="s">
        <v>929</v>
      </c>
    </row>
    <row r="290" spans="4:13" x14ac:dyDescent="0.25">
      <c r="D290" s="178"/>
      <c r="E290" s="178"/>
    </row>
    <row r="293" spans="4:13" x14ac:dyDescent="0.25">
      <c r="D293" s="28" t="s">
        <v>641</v>
      </c>
      <c r="E293" s="8" t="s">
        <v>755</v>
      </c>
    </row>
    <row r="294" spans="4:13" x14ac:dyDescent="0.25">
      <c r="D294" s="28" t="s">
        <v>97</v>
      </c>
      <c r="E294" s="8" t="s">
        <v>860</v>
      </c>
    </row>
    <row r="296" spans="4:13" x14ac:dyDescent="0.25">
      <c r="D296" s="173" t="s">
        <v>930</v>
      </c>
      <c r="E296" s="173" t="s">
        <v>931</v>
      </c>
      <c r="F296" s="173" t="s">
        <v>886</v>
      </c>
      <c r="G296" s="174" t="s">
        <v>874</v>
      </c>
    </row>
    <row r="297" spans="4:13" x14ac:dyDescent="0.25">
      <c r="D297" s="173" t="s">
        <v>932</v>
      </c>
      <c r="E297" s="173" t="s">
        <v>933</v>
      </c>
      <c r="F297" s="173" t="s">
        <v>934</v>
      </c>
      <c r="G297" s="175" t="s">
        <v>877</v>
      </c>
    </row>
    <row r="299" spans="4:13" x14ac:dyDescent="0.25">
      <c r="E299" s="60" t="s">
        <v>418</v>
      </c>
      <c r="F299" s="47" t="s">
        <v>419</v>
      </c>
    </row>
    <row r="300" spans="4:13" ht="18.75" x14ac:dyDescent="0.25">
      <c r="D300" s="8" t="s">
        <v>699</v>
      </c>
      <c r="E300" s="50" cm="1">
        <f t="array" ref="E300">Common_InputFunctions.Utility_LookupValueInTableNumber("Limestone (crushed)", Table_SourceData_Scope3_SoilAmeliorants[Product],Table_SourceData_Scope3_SoilAmeliorants[AusLCI Emissions intensity])*10^-3</f>
        <v>4.85E-5</v>
      </c>
      <c r="F300" s="69">
        <v>4.0000000000000003E-5</v>
      </c>
      <c r="G300" s="68" t="str">
        <f>$F$297</f>
        <v>t CO2e/t</v>
      </c>
    </row>
    <row r="301" spans="4:13" ht="18.75" x14ac:dyDescent="0.25">
      <c r="D301" s="8" t="s">
        <v>700</v>
      </c>
      <c r="E301" s="50" cm="1">
        <f t="array" ref="E301">Common_InputFunctions.Utility_LookupValueInTableNumber("Dolomite", Table_SourceData_Scope3_SoilAmeliorants[Product],Table_SourceData_Scope3_SoilAmeliorants[AusLCI Emissions intensity])*10^-3</f>
        <v>6.5199999999999999E-5</v>
      </c>
      <c r="F301" s="69">
        <v>6.0000000000000002E-5</v>
      </c>
      <c r="G301" s="68"/>
    </row>
    <row r="302" spans="4:13" ht="18.75" x14ac:dyDescent="0.25">
      <c r="D302" s="8" t="s">
        <v>701</v>
      </c>
      <c r="E302" s="50" cm="1">
        <f t="array" ref="E302">Common_InputFunctions.Utility_LookupValueInTableNumber("Gypsum", Table_SourceData_Scope3_SoilAmeliorants[Product],Table_SourceData_Scope3_SoilAmeliorants[AusLCI Emissions intensity])*10^-3</f>
        <v>6.5199999999999999E-5</v>
      </c>
      <c r="F302" s="69">
        <v>6.0000000000000002E-5</v>
      </c>
      <c r="G302" s="68"/>
    </row>
    <row r="304" spans="4:13" ht="17.25" x14ac:dyDescent="0.25">
      <c r="D304" s="47" t="s">
        <v>170</v>
      </c>
      <c r="E304" s="158" t="s">
        <v>697</v>
      </c>
      <c r="F304" s="47" t="s">
        <v>702</v>
      </c>
      <c r="G304" s="47" t="s">
        <v>703</v>
      </c>
      <c r="H304" s="47" t="s">
        <v>704</v>
      </c>
      <c r="I304" s="60" t="s">
        <v>647</v>
      </c>
      <c r="J304" s="60" t="s">
        <v>698</v>
      </c>
      <c r="K304" s="47" t="s">
        <v>643</v>
      </c>
      <c r="L304" s="47" t="s">
        <v>644</v>
      </c>
      <c r="M304" s="47" t="s">
        <v>645</v>
      </c>
    </row>
    <row r="305" spans="3:41" x14ac:dyDescent="0.25">
      <c r="D305" s="50" t="str" cm="1">
        <f t="array" ref="D305:D314">IFERROR(INDEX(Table_Input_SoilAmeliorants[Product], _xlfn.SEQUENCE(10)), "")</f>
        <v>Lime product 1</v>
      </c>
      <c r="E305" s="50" cm="1">
        <f t="array" ref="E305:E314">IFERROR(INDEX(Table_Input_SoilAmeliorants[Total amount applied (t)], _xlfn.SEQUENCE(10)), 0)</f>
        <v>10000</v>
      </c>
      <c r="F305" s="50" cm="1">
        <f t="array" ref="F305:F314">IFERROR(INDEX(Table_Input_SoilAmeliorants[Percent Lime CaCO3], _xlfn.SEQUENCE(10)), 0)*E305</f>
        <v>4000</v>
      </c>
      <c r="G305" s="50" cm="1">
        <f t="array" ref="G305:G314">IFERROR(INDEX(Table_Input_SoilAmeliorants[Percent Dolomite CaMg(CO3)2], _xlfn.SEQUENCE(10)), 0)*E305</f>
        <v>3000</v>
      </c>
      <c r="H305" s="50" cm="1">
        <f t="array" ref="H305:H314">IFERROR(INDEX(Table_Input_SoilAmeliorants[Percent Gypsum], _xlfn.SEQUENCE(10)), 0)*E305</f>
        <v>2500</v>
      </c>
      <c r="I305" s="157">
        <f>(F305 * $E$300)+
(G305 * $E$301)+
(H305 * $E$302)</f>
        <v>0.55259999999999998</v>
      </c>
      <c r="J305" s="157">
        <f>(F305 * (IF($F$300,$F$300,$E$300)))+
(G305 * (IF($F$301,$F$301,$E$301)))+
(H305 * (IF($F$302,$F$302,$E$302)))</f>
        <v>0.49</v>
      </c>
      <c r="K305" s="86"/>
      <c r="L305" s="48"/>
      <c r="M305" s="86"/>
    </row>
    <row r="306" spans="3:41" x14ac:dyDescent="0.25">
      <c r="D306" s="50" t="str">
        <v>Lime product 2</v>
      </c>
      <c r="E306" s="50">
        <v>10000</v>
      </c>
      <c r="F306" s="50">
        <v>10000</v>
      </c>
      <c r="G306" s="50">
        <v>0</v>
      </c>
      <c r="H306" s="50">
        <v>0</v>
      </c>
      <c r="I306" s="157">
        <f>(F306 * $E$300)+
(G306 * $E$301)+
(H306 * $E$302)</f>
        <v>0.48499999999999999</v>
      </c>
      <c r="J306" s="157">
        <f>(F306 * (IF($F$300,$F$300,$E$300)))+
(G306 * (IF($F$301,$F$301,$E$301)))+
(H306 * (IF($F$302,$F$302,$E$302)))</f>
        <v>0.4</v>
      </c>
      <c r="K306" s="86"/>
      <c r="L306" s="48"/>
      <c r="M306" s="86"/>
    </row>
    <row r="307" spans="3:41" x14ac:dyDescent="0.25">
      <c r="D307" s="50" t="str">
        <v/>
      </c>
      <c r="E307" s="50">
        <v>0</v>
      </c>
      <c r="F307" s="50">
        <v>0</v>
      </c>
      <c r="G307" s="50">
        <v>0</v>
      </c>
      <c r="H307" s="50">
        <v>0</v>
      </c>
      <c r="I307" s="157">
        <f>(F307 * $E$300)+
(G307 * $E$301)+
(H307 * $E$302)</f>
        <v>0</v>
      </c>
      <c r="J307" s="157">
        <f>(F307 * (IF($F$300,$F$300,$E$300)))+
(G307 * (IF($F$301,$F$301,$E$301)))+
(H307 * (IF($F$302,$F$302,$E$302)))</f>
        <v>0</v>
      </c>
      <c r="K307" s="86"/>
      <c r="L307" s="48"/>
      <c r="M307" s="86"/>
    </row>
    <row r="308" spans="3:41" x14ac:dyDescent="0.25">
      <c r="D308" s="50" t="str">
        <v/>
      </c>
      <c r="E308" s="50">
        <v>0</v>
      </c>
      <c r="F308" s="50">
        <v>0</v>
      </c>
      <c r="G308" s="50">
        <v>0</v>
      </c>
      <c r="H308" s="50">
        <v>0</v>
      </c>
      <c r="I308" s="157">
        <f>(F308 * $E$300)+
(G308 * $E$301)+
(H308 * $E$302)</f>
        <v>0</v>
      </c>
      <c r="J308" s="157">
        <f>(F308 * (IF($F$300,$F$300,$E$300)))+
(G308 * (IF($F$301,$F$301,$E$301)))+
(H308 * (IF($F$302,$F$302,$E$302)))</f>
        <v>0</v>
      </c>
      <c r="K308" s="86"/>
      <c r="L308" s="48"/>
      <c r="M308" s="86"/>
    </row>
    <row r="309" spans="3:41" x14ac:dyDescent="0.25">
      <c r="D309" s="50" t="str">
        <v/>
      </c>
      <c r="E309" s="50">
        <v>0</v>
      </c>
      <c r="F309" s="50">
        <v>0</v>
      </c>
      <c r="G309" s="50">
        <v>0</v>
      </c>
      <c r="H309" s="50">
        <v>0</v>
      </c>
      <c r="I309" s="157">
        <f>(F309 * $E$300)+
(G309 * $E$301)+
(H309 * $E$302)</f>
        <v>0</v>
      </c>
      <c r="J309" s="157">
        <f>(F309 * (IF($F$300,$F$300,$E$300)))+
(G309 * (IF($F$301,$F$301,$E$301)))+
(H309 * (IF($F$302,$F$302,$E$302)))</f>
        <v>0</v>
      </c>
      <c r="K309" s="86"/>
      <c r="L309" s="48"/>
      <c r="M309" s="86"/>
    </row>
    <row r="310" spans="3:41" x14ac:dyDescent="0.25">
      <c r="D310" s="50" t="str">
        <v/>
      </c>
      <c r="E310" s="50">
        <v>0</v>
      </c>
      <c r="F310" s="50">
        <v>0</v>
      </c>
      <c r="G310" s="50">
        <v>0</v>
      </c>
      <c r="H310" s="50">
        <v>0</v>
      </c>
      <c r="I310" s="157">
        <f>(F310 * $E$300)+
(G310 * $E$301)+
(H310 * $E$302)</f>
        <v>0</v>
      </c>
      <c r="J310" s="157">
        <f>(F310 * (IF($F$300,$F$300,$E$300)))+
(G310 * (IF($F$301,$F$301,$E$301)))+
(H310 * (IF($F$302,$F$302,$E$302)))</f>
        <v>0</v>
      </c>
      <c r="K310" s="86"/>
      <c r="L310" s="48"/>
      <c r="M310" s="86"/>
    </row>
    <row r="311" spans="3:41" x14ac:dyDescent="0.25">
      <c r="D311" s="50" t="str">
        <v/>
      </c>
      <c r="E311" s="50">
        <v>0</v>
      </c>
      <c r="F311" s="50">
        <v>0</v>
      </c>
      <c r="G311" s="50">
        <v>0</v>
      </c>
      <c r="H311" s="50">
        <v>0</v>
      </c>
      <c r="I311" s="157">
        <f>(F311 * $E$300)+
(G311 * $E$301)+
(H311 * $E$302)</f>
        <v>0</v>
      </c>
      <c r="J311" s="157">
        <f>(F311 * (IF($F$300,$F$300,$E$300)))+
(G311 * (IF($F$301,$F$301,$E$301)))+
(H311 * (IF($F$302,$F$302,$E$302)))</f>
        <v>0</v>
      </c>
      <c r="K311" s="86"/>
      <c r="L311" s="48"/>
      <c r="M311" s="86"/>
    </row>
    <row r="312" spans="3:41" x14ac:dyDescent="0.25">
      <c r="D312" s="50" t="str">
        <v/>
      </c>
      <c r="E312" s="50">
        <v>0</v>
      </c>
      <c r="F312" s="50">
        <v>0</v>
      </c>
      <c r="G312" s="50">
        <v>0</v>
      </c>
      <c r="H312" s="50">
        <v>0</v>
      </c>
      <c r="I312" s="157">
        <f>(F312 * $E$300)+
(G312 * $E$301)+
(H312 * $E$302)</f>
        <v>0</v>
      </c>
      <c r="J312" s="157">
        <f>(F312 * (IF($F$300,$F$300,$E$300)))+
(G312 * (IF($F$301,$F$301,$E$301)))+
(H312 * (IF($F$302,$F$302,$E$302)))</f>
        <v>0</v>
      </c>
      <c r="K312" s="86"/>
      <c r="L312" s="48"/>
      <c r="M312" s="86"/>
    </row>
    <row r="313" spans="3:41" x14ac:dyDescent="0.25">
      <c r="D313" s="50" t="str">
        <v/>
      </c>
      <c r="E313" s="50">
        <v>0</v>
      </c>
      <c r="F313" s="50">
        <v>0</v>
      </c>
      <c r="G313" s="50">
        <v>0</v>
      </c>
      <c r="H313" s="50">
        <v>0</v>
      </c>
      <c r="I313" s="157">
        <f>(F313 * $E$300)+
(G313 * $E$301)+
(H313 * $E$302)</f>
        <v>0</v>
      </c>
      <c r="J313" s="157">
        <f>(F313 * (IF($F$300,$F$300,$E$300)))+
(G313 * (IF($F$301,$F$301,$E$301)))+
(H313 * (IF($F$302,$F$302,$E$302)))</f>
        <v>0</v>
      </c>
      <c r="K313" s="86"/>
      <c r="L313" s="48"/>
      <c r="M313" s="86"/>
    </row>
    <row r="314" spans="3:41" x14ac:dyDescent="0.25">
      <c r="D314" s="50" t="str">
        <v/>
      </c>
      <c r="E314" s="50">
        <v>0</v>
      </c>
      <c r="F314" s="50">
        <v>0</v>
      </c>
      <c r="G314" s="50">
        <v>0</v>
      </c>
      <c r="H314" s="50">
        <v>0</v>
      </c>
      <c r="I314" s="157">
        <f>(F314 * $E$300)+
(G314 * $E$301)+
(H314 * $E$302)</f>
        <v>0</v>
      </c>
      <c r="J314" s="157">
        <f>(F314 * (IF($F$300,$F$300,$E$300)))+
(G314 * (IF($F$301,$F$301,$E$301)))+
(H314 * (IF($F$302,$F$302,$E$302)))</f>
        <v>0</v>
      </c>
      <c r="K314" s="86"/>
      <c r="L314" s="48"/>
      <c r="M314" s="86"/>
    </row>
    <row r="316" spans="3:41" ht="20.25" x14ac:dyDescent="0.25">
      <c r="D316" s="185" t="s">
        <v>647</v>
      </c>
      <c r="E316" s="183">
        <f>SUM(I305:I314)</f>
        <v>1.0375999999999999</v>
      </c>
      <c r="F316" s="184" t="str">
        <f>$E$155</f>
        <v>t CO2e</v>
      </c>
    </row>
    <row r="317" spans="3:41" ht="20.25" x14ac:dyDescent="0.25">
      <c r="D317" s="185" t="s">
        <v>649</v>
      </c>
      <c r="E317" s="183">
        <f>SUM(J305:J314)</f>
        <v>0.89</v>
      </c>
      <c r="F317" s="184" t="str">
        <f>$E$155</f>
        <v>t CO2e</v>
      </c>
    </row>
    <row r="320" spans="3:41" x14ac:dyDescent="0.25">
      <c r="C320" s="102"/>
      <c r="D320" s="102"/>
      <c r="E320" s="102"/>
      <c r="F320" s="102"/>
      <c r="G320" s="102"/>
      <c r="H320" s="102"/>
      <c r="I320" s="102"/>
      <c r="J320" s="102"/>
      <c r="K320" s="102"/>
      <c r="L320" s="102"/>
      <c r="M320" s="102"/>
      <c r="N320" s="102"/>
      <c r="O320" s="102"/>
      <c r="P320" s="102"/>
      <c r="Q320" s="102"/>
      <c r="R320" s="102"/>
      <c r="S320" s="102"/>
      <c r="T320" s="102"/>
      <c r="U320" s="102"/>
      <c r="V320" s="102"/>
      <c r="W320" s="102"/>
      <c r="X320" s="102"/>
      <c r="Y320" s="102"/>
      <c r="Z320" s="102"/>
      <c r="AA320" s="102"/>
      <c r="AB320" s="102"/>
      <c r="AC320" s="102"/>
      <c r="AD320" s="102"/>
      <c r="AE320" s="102"/>
      <c r="AF320" s="102"/>
      <c r="AG320" s="102"/>
      <c r="AH320" s="102"/>
      <c r="AI320" s="102"/>
      <c r="AJ320" s="102"/>
      <c r="AK320" s="102"/>
      <c r="AL320" s="102"/>
      <c r="AM320" s="102"/>
      <c r="AN320" s="102"/>
      <c r="AO320" s="102"/>
    </row>
    <row r="321" spans="4:15" ht="23.25" x14ac:dyDescent="0.25">
      <c r="D321" s="9" t="s">
        <v>935</v>
      </c>
    </row>
    <row r="322" spans="4:15" x14ac:dyDescent="0.25">
      <c r="D322" s="11" t="s">
        <v>936</v>
      </c>
    </row>
    <row r="323" spans="4:15" x14ac:dyDescent="0.25">
      <c r="D323" s="178"/>
      <c r="E323" s="178"/>
    </row>
    <row r="326" spans="4:15" x14ac:dyDescent="0.25">
      <c r="D326" s="28" t="s">
        <v>641</v>
      </c>
      <c r="E326" s="8" t="s">
        <v>755</v>
      </c>
    </row>
    <row r="327" spans="4:15" x14ac:dyDescent="0.25">
      <c r="D327" s="28" t="s">
        <v>97</v>
      </c>
      <c r="E327" s="8" t="s">
        <v>860</v>
      </c>
    </row>
    <row r="329" spans="4:15" x14ac:dyDescent="0.25">
      <c r="D329" s="173" t="s">
        <v>937</v>
      </c>
      <c r="E329" s="177" t="s">
        <v>938</v>
      </c>
      <c r="F329" s="172"/>
      <c r="G329" s="173" t="s">
        <v>943</v>
      </c>
      <c r="H329" s="174" t="s">
        <v>874</v>
      </c>
    </row>
    <row r="330" spans="4:15" x14ac:dyDescent="0.25">
      <c r="D330" s="173" t="s">
        <v>939</v>
      </c>
      <c r="E330" s="177" t="s">
        <v>940</v>
      </c>
      <c r="F330" s="172"/>
      <c r="G330" s="173" t="s">
        <v>944</v>
      </c>
      <c r="H330" s="175" t="s">
        <v>877</v>
      </c>
    </row>
    <row r="331" spans="4:15" x14ac:dyDescent="0.25">
      <c r="D331" s="173" t="s">
        <v>941</v>
      </c>
      <c r="E331" s="177" t="s">
        <v>942</v>
      </c>
      <c r="F331" s="172"/>
      <c r="G331" s="173"/>
      <c r="H331" s="174" t="s">
        <v>874</v>
      </c>
    </row>
    <row r="333" spans="4:15" x14ac:dyDescent="0.25">
      <c r="D333" s="12" t="s">
        <v>705</v>
      </c>
    </row>
    <row r="335" spans="4:15" x14ac:dyDescent="0.25">
      <c r="D335" s="47" t="s">
        <v>619</v>
      </c>
      <c r="E335" s="47" t="s">
        <v>629</v>
      </c>
      <c r="F335" s="47" t="s">
        <v>624</v>
      </c>
      <c r="G335" s="47" t="s">
        <v>126</v>
      </c>
      <c r="H335" s="60" t="s">
        <v>424</v>
      </c>
      <c r="I335" s="60" t="s">
        <v>358</v>
      </c>
      <c r="J335" s="47" t="s">
        <v>425</v>
      </c>
      <c r="K335" s="60" t="s">
        <v>359</v>
      </c>
      <c r="L335" s="60" t="s">
        <v>625</v>
      </c>
      <c r="M335" s="47" t="s">
        <v>643</v>
      </c>
      <c r="N335" s="47" t="s">
        <v>644</v>
      </c>
      <c r="O335" s="47" t="s">
        <v>645</v>
      </c>
    </row>
    <row r="336" spans="4:15" x14ac:dyDescent="0.25">
      <c r="D336" s="50" t="str" cm="1">
        <f t="array" ref="D336:D345">IFERROR(INDEX(Table_Input_ServicesAndContractors[Service provider / contractor], _xlfn.SEQUENCE(10)), "")</f>
        <v>Pete's Pickers</v>
      </c>
      <c r="E336" s="50" t="str" cm="1">
        <f t="array" ref="E336:E345">IFERROR(INDEX(Table_Input_ServicesAndContractors[Activity], _xlfn.SEQUENCE(10)), "")</f>
        <v>Fruit picking</v>
      </c>
      <c r="F336" s="50" cm="1">
        <f t="array" ref="F336:F345">IFERROR(INDEX(Table_Input_ServicesAndContractors[Total amount], _xlfn.SEQUENCE(10)), "")</f>
        <v>10000</v>
      </c>
      <c r="G336" s="50" t="str" cm="1">
        <f t="array" ref="G336:G345">IFERROR(INDEX(Table_Input_ServicesAndContractors[Amount unit], _xlfn.SEQUENCE(10)), "")</f>
        <v>Hour</v>
      </c>
      <c r="H336" s="50" t="s">
        <v>842</v>
      </c>
      <c r="I336" s="50" t="s">
        <v>842</v>
      </c>
      <c r="J336" s="69">
        <v>4</v>
      </c>
      <c r="K336" s="157">
        <f>((F336 * J336) * 10 ^ -3)</f>
        <v>40</v>
      </c>
      <c r="L336" s="50" t="str">
        <f>"t CO2e / " &amp; G336</f>
        <v>t CO2e / Hour</v>
      </c>
      <c r="M336" s="86"/>
      <c r="N336" s="48"/>
      <c r="O336" s="86"/>
    </row>
    <row r="337" spans="3:41" x14ac:dyDescent="0.25">
      <c r="D337" s="50" t="str">
        <v>Harini's Harvesting Services Pty Ltd</v>
      </c>
      <c r="E337" s="50" t="str">
        <v>Wheat harvesting</v>
      </c>
      <c r="F337" s="50">
        <v>1000</v>
      </c>
      <c r="G337" s="50" t="str">
        <v>Hectare</v>
      </c>
      <c r="H337" s="50" t="s">
        <v>842</v>
      </c>
      <c r="I337" s="50" t="s">
        <v>842</v>
      </c>
      <c r="J337" s="69">
        <v>2</v>
      </c>
      <c r="K337" s="157">
        <f>((F337 * J337) * 10 ^ -3)</f>
        <v>2</v>
      </c>
      <c r="L337" s="50" t="str">
        <f t="shared" ref="L337:L345" si="1">"t CO2e / " &amp; G337</f>
        <v>t CO2e / Hectare</v>
      </c>
      <c r="M337" s="86"/>
      <c r="N337" s="48"/>
      <c r="O337" s="86"/>
    </row>
    <row r="338" spans="3:41" x14ac:dyDescent="0.25">
      <c r="D338" s="50">
        <v>0</v>
      </c>
      <c r="E338" s="50">
        <v>0</v>
      </c>
      <c r="F338" s="50">
        <v>0</v>
      </c>
      <c r="G338" s="50">
        <v>0</v>
      </c>
      <c r="H338" s="50" t="s">
        <v>842</v>
      </c>
      <c r="I338" s="50" t="s">
        <v>842</v>
      </c>
      <c r="J338" s="69"/>
      <c r="K338" s="157">
        <f>((F338 * J338) * 10 ^ -3)</f>
        <v>0</v>
      </c>
      <c r="L338" s="50" t="str">
        <f t="shared" si="1"/>
        <v>t CO2e / 0</v>
      </c>
      <c r="M338" s="86"/>
      <c r="N338" s="48"/>
      <c r="O338" s="86"/>
    </row>
    <row r="339" spans="3:41" x14ac:dyDescent="0.25">
      <c r="D339" s="50">
        <v>0</v>
      </c>
      <c r="E339" s="50">
        <v>0</v>
      </c>
      <c r="F339" s="50">
        <v>0</v>
      </c>
      <c r="G339" s="50">
        <v>0</v>
      </c>
      <c r="H339" s="50" t="s">
        <v>842</v>
      </c>
      <c r="I339" s="50" t="s">
        <v>842</v>
      </c>
      <c r="J339" s="69"/>
      <c r="K339" s="157">
        <f>((F339 * J339) * 10 ^ -3)</f>
        <v>0</v>
      </c>
      <c r="L339" s="50" t="str">
        <f t="shared" si="1"/>
        <v>t CO2e / 0</v>
      </c>
      <c r="M339" s="86"/>
      <c r="N339" s="48"/>
      <c r="O339" s="86"/>
    </row>
    <row r="340" spans="3:41" x14ac:dyDescent="0.25">
      <c r="D340" s="50">
        <v>0</v>
      </c>
      <c r="E340" s="50">
        <v>0</v>
      </c>
      <c r="F340" s="50">
        <v>0</v>
      </c>
      <c r="G340" s="50">
        <v>0</v>
      </c>
      <c r="H340" s="50" t="s">
        <v>842</v>
      </c>
      <c r="I340" s="50" t="s">
        <v>842</v>
      </c>
      <c r="J340" s="69"/>
      <c r="K340" s="157">
        <f>((F340 * J340) * 10 ^ -3)</f>
        <v>0</v>
      </c>
      <c r="L340" s="50" t="str">
        <f t="shared" si="1"/>
        <v>t CO2e / 0</v>
      </c>
      <c r="M340" s="86"/>
      <c r="N340" s="48"/>
      <c r="O340" s="86"/>
    </row>
    <row r="341" spans="3:41" x14ac:dyDescent="0.25">
      <c r="D341" s="50">
        <v>0</v>
      </c>
      <c r="E341" s="50">
        <v>0</v>
      </c>
      <c r="F341" s="50">
        <v>0</v>
      </c>
      <c r="G341" s="50">
        <v>0</v>
      </c>
      <c r="H341" s="50" t="s">
        <v>842</v>
      </c>
      <c r="I341" s="50" t="s">
        <v>842</v>
      </c>
      <c r="J341" s="69"/>
      <c r="K341" s="157">
        <f>((F341 * J341) * 10 ^ -3)</f>
        <v>0</v>
      </c>
      <c r="L341" s="50" t="str">
        <f t="shared" si="1"/>
        <v>t CO2e / 0</v>
      </c>
      <c r="M341" s="86"/>
      <c r="N341" s="48"/>
      <c r="O341" s="86"/>
    </row>
    <row r="342" spans="3:41" x14ac:dyDescent="0.25">
      <c r="D342" s="50">
        <v>0</v>
      </c>
      <c r="E342" s="50">
        <v>0</v>
      </c>
      <c r="F342" s="50">
        <v>0</v>
      </c>
      <c r="G342" s="50">
        <v>0</v>
      </c>
      <c r="H342" s="50" t="s">
        <v>842</v>
      </c>
      <c r="I342" s="50" t="s">
        <v>842</v>
      </c>
      <c r="J342" s="69"/>
      <c r="K342" s="157">
        <f>((F342 * J342) * 10 ^ -3)</f>
        <v>0</v>
      </c>
      <c r="L342" s="50" t="str">
        <f t="shared" si="1"/>
        <v>t CO2e / 0</v>
      </c>
      <c r="M342" s="86"/>
      <c r="N342" s="48"/>
      <c r="O342" s="86"/>
    </row>
    <row r="343" spans="3:41" x14ac:dyDescent="0.25">
      <c r="D343" s="50">
        <v>0</v>
      </c>
      <c r="E343" s="50">
        <v>0</v>
      </c>
      <c r="F343" s="50">
        <v>0</v>
      </c>
      <c r="G343" s="50">
        <v>0</v>
      </c>
      <c r="H343" s="50" t="s">
        <v>842</v>
      </c>
      <c r="I343" s="50" t="s">
        <v>842</v>
      </c>
      <c r="J343" s="69"/>
      <c r="K343" s="157">
        <f>((F343 * J343) * 10 ^ -3)</f>
        <v>0</v>
      </c>
      <c r="L343" s="50" t="str">
        <f t="shared" si="1"/>
        <v>t CO2e / 0</v>
      </c>
      <c r="M343" s="86"/>
      <c r="N343" s="48"/>
      <c r="O343" s="86"/>
    </row>
    <row r="344" spans="3:41" x14ac:dyDescent="0.25">
      <c r="D344" s="50">
        <v>0</v>
      </c>
      <c r="E344" s="50">
        <v>0</v>
      </c>
      <c r="F344" s="50">
        <v>0</v>
      </c>
      <c r="G344" s="50">
        <v>0</v>
      </c>
      <c r="H344" s="50" t="s">
        <v>842</v>
      </c>
      <c r="I344" s="50" t="s">
        <v>842</v>
      </c>
      <c r="J344" s="69"/>
      <c r="K344" s="157">
        <f>((F344 * J344) * 10 ^ -3)</f>
        <v>0</v>
      </c>
      <c r="L344" s="50" t="str">
        <f t="shared" si="1"/>
        <v>t CO2e / 0</v>
      </c>
      <c r="M344" s="86"/>
      <c r="N344" s="48"/>
      <c r="O344" s="86"/>
    </row>
    <row r="345" spans="3:41" x14ac:dyDescent="0.25">
      <c r="D345" s="50">
        <v>0</v>
      </c>
      <c r="E345" s="50">
        <v>0</v>
      </c>
      <c r="F345" s="50">
        <v>0</v>
      </c>
      <c r="G345" s="50">
        <v>0</v>
      </c>
      <c r="H345" s="50" t="s">
        <v>842</v>
      </c>
      <c r="I345" s="50" t="s">
        <v>842</v>
      </c>
      <c r="J345" s="69"/>
      <c r="K345" s="157">
        <f>((F345 * J345) * 10 ^ -3)</f>
        <v>0</v>
      </c>
      <c r="L345" s="50" t="str">
        <f t="shared" si="1"/>
        <v>t CO2e / 0</v>
      </c>
      <c r="M345" s="86"/>
      <c r="N345" s="48"/>
      <c r="O345" s="86"/>
    </row>
    <row r="347" spans="3:41" ht="20.25" x14ac:dyDescent="0.25">
      <c r="D347" s="185" t="s">
        <v>647</v>
      </c>
      <c r="E347" s="183" t="s">
        <v>842</v>
      </c>
      <c r="F347" s="184" t="str">
        <f>$E$155</f>
        <v>t CO2e</v>
      </c>
    </row>
    <row r="348" spans="3:41" ht="20.25" x14ac:dyDescent="0.25">
      <c r="D348" s="185" t="s">
        <v>649</v>
      </c>
      <c r="E348" s="183">
        <f>SUM(K336:K345)</f>
        <v>42</v>
      </c>
      <c r="F348" s="184" t="str">
        <f>$E$155</f>
        <v>t CO2e</v>
      </c>
    </row>
    <row r="351" spans="3:41" x14ac:dyDescent="0.25">
      <c r="C351" s="102"/>
      <c r="D351" s="102"/>
      <c r="E351" s="102"/>
      <c r="F351" s="102"/>
      <c r="G351" s="102"/>
      <c r="H351" s="102"/>
      <c r="I351" s="102"/>
      <c r="J351" s="102"/>
      <c r="K351" s="102"/>
      <c r="L351" s="102"/>
      <c r="M351" s="102"/>
      <c r="N351" s="102"/>
      <c r="O351" s="102"/>
      <c r="P351" s="102"/>
      <c r="Q351" s="102"/>
      <c r="R351" s="102"/>
      <c r="S351" s="102"/>
      <c r="T351" s="102"/>
      <c r="U351" s="102"/>
      <c r="V351" s="102"/>
      <c r="W351" s="102"/>
      <c r="X351" s="102"/>
      <c r="Y351" s="102"/>
      <c r="Z351" s="102"/>
      <c r="AA351" s="102"/>
      <c r="AB351" s="102"/>
      <c r="AC351" s="102"/>
      <c r="AD351" s="102"/>
      <c r="AE351" s="102"/>
      <c r="AF351" s="102"/>
      <c r="AG351" s="102"/>
      <c r="AH351" s="102"/>
      <c r="AI351" s="102"/>
      <c r="AJ351" s="102"/>
      <c r="AK351" s="102"/>
      <c r="AL351" s="102"/>
      <c r="AM351" s="102"/>
      <c r="AN351" s="102"/>
      <c r="AO351" s="102"/>
    </row>
    <row r="352" spans="3:41" ht="23.25" x14ac:dyDescent="0.25">
      <c r="D352" s="9" t="s">
        <v>945</v>
      </c>
    </row>
    <row r="353" spans="4:13" x14ac:dyDescent="0.25">
      <c r="D353" s="11" t="s">
        <v>946</v>
      </c>
    </row>
    <row r="354" spans="4:13" x14ac:dyDescent="0.25">
      <c r="D354" s="12" t="s">
        <v>947</v>
      </c>
    </row>
    <row r="355" spans="4:13" x14ac:dyDescent="0.25">
      <c r="D355" s="178"/>
      <c r="E355" s="178"/>
    </row>
    <row r="359" spans="4:13" x14ac:dyDescent="0.25">
      <c r="D359" s="28" t="s">
        <v>641</v>
      </c>
      <c r="E359" s="8" t="s">
        <v>755</v>
      </c>
    </row>
    <row r="360" spans="4:13" x14ac:dyDescent="0.25">
      <c r="D360" s="28" t="s">
        <v>97</v>
      </c>
      <c r="E360" s="13" t="s">
        <v>860</v>
      </c>
    </row>
    <row r="362" spans="4:13" x14ac:dyDescent="0.25">
      <c r="D362" s="173" t="s">
        <v>948</v>
      </c>
      <c r="E362" s="173" t="s">
        <v>949</v>
      </c>
      <c r="F362" s="173" t="s">
        <v>952</v>
      </c>
      <c r="G362" s="174" t="s">
        <v>874</v>
      </c>
    </row>
    <row r="363" spans="4:13" x14ac:dyDescent="0.25">
      <c r="D363" s="173" t="s">
        <v>939</v>
      </c>
      <c r="E363" s="173" t="s">
        <v>950</v>
      </c>
      <c r="F363" s="173" t="s">
        <v>953</v>
      </c>
      <c r="G363" s="175" t="s">
        <v>877</v>
      </c>
    </row>
    <row r="364" spans="4:13" x14ac:dyDescent="0.25">
      <c r="D364" s="173" t="s">
        <v>941</v>
      </c>
      <c r="E364" s="173" t="s">
        <v>951</v>
      </c>
      <c r="F364" s="173"/>
      <c r="G364" s="174" t="s">
        <v>874</v>
      </c>
    </row>
    <row r="366" spans="4:13" ht="17.25" x14ac:dyDescent="0.25">
      <c r="D366" s="47" t="s">
        <v>367</v>
      </c>
      <c r="E366" s="158" t="s">
        <v>414</v>
      </c>
      <c r="F366" s="158" t="s">
        <v>706</v>
      </c>
      <c r="G366" s="60" t="s">
        <v>707</v>
      </c>
      <c r="H366" s="60" t="s">
        <v>647</v>
      </c>
      <c r="I366" s="47" t="s">
        <v>708</v>
      </c>
      <c r="J366" s="60" t="s">
        <v>649</v>
      </c>
      <c r="K366" s="47" t="s">
        <v>643</v>
      </c>
      <c r="L366" s="47" t="s">
        <v>644</v>
      </c>
      <c r="M366" s="47" t="s">
        <v>645</v>
      </c>
    </row>
    <row r="367" spans="4:13" x14ac:dyDescent="0.25">
      <c r="D367" s="50" t="str" cm="1">
        <f t="array" ref="D367:D376">IFERROR(INDEX(Table_Input_Packaging[Packaging name], _xlfn.SEQUENCE(10)), "")</f>
        <v>250g punnet</v>
      </c>
      <c r="E367" s="50" t="str" cm="1">
        <f t="array" ref="E367:E376">IFERROR(INDEX(Table_Input_Packaging[Primary material], _xlfn.SEQUENCE(10)), "")</f>
        <v>Plastic sheet HDPE</v>
      </c>
      <c r="F367" s="50" cm="1">
        <f t="array" ref="F367:F376">IFERROR(INDEX(Table_Input_Packaging[Total weight purchased (kg)], _xlfn.SEQUENCE(10)), "")</f>
        <v>2000</v>
      </c>
      <c r="G367" s="50" cm="1">
        <f t="array" ref="G367">Common_InputFunctions.Utility_LookupValueInTableNumber(E367,Table_SourceData_Scope3_Packaging[Product],Table_SourceData_Scope3_Packaging[AusLCI Emissions intensity])</f>
        <v>3.72</v>
      </c>
      <c r="H367" s="157">
        <f>((F367 * G367) * 10 ^ -3)</f>
        <v>7.44</v>
      </c>
      <c r="I367" s="69">
        <v>3</v>
      </c>
      <c r="J367" s="157">
        <f>((F367 * (IF(I367,I367,G367))) * 10 ^ -3)</f>
        <v>6</v>
      </c>
      <c r="K367" s="86"/>
      <c r="L367" s="48"/>
      <c r="M367" s="86"/>
    </row>
    <row r="368" spans="4:13" x14ac:dyDescent="0.25">
      <c r="D368" s="50">
        <v>0</v>
      </c>
      <c r="E368" s="50">
        <v>0</v>
      </c>
      <c r="F368" s="50">
        <v>0</v>
      </c>
      <c r="G368" s="50" cm="1">
        <f t="array" ref="G368">Common_InputFunctions.Utility_LookupValueInTableNumber(E368,Table_SourceData_Scope3_Packaging[Product],Table_SourceData_Scope3_Packaging[AusLCI Emissions intensity])</f>
        <v>0</v>
      </c>
      <c r="H368" s="157">
        <f>((F368 * G368) * 10 ^ -3)</f>
        <v>0</v>
      </c>
      <c r="I368" s="69"/>
      <c r="J368" s="157">
        <f>((F368 * (IF(I368,I368,G368))) * 10 ^ -3)</f>
        <v>0</v>
      </c>
      <c r="K368" s="86"/>
      <c r="L368" s="48"/>
      <c r="M368" s="86"/>
    </row>
    <row r="369" spans="3:41" x14ac:dyDescent="0.25">
      <c r="D369" s="50">
        <v>0</v>
      </c>
      <c r="E369" s="50">
        <v>0</v>
      </c>
      <c r="F369" s="50">
        <v>0</v>
      </c>
      <c r="G369" s="50" cm="1">
        <f t="array" ref="G369">Common_InputFunctions.Utility_LookupValueInTableNumber(E369,Table_SourceData_Scope3_Packaging[Product],Table_SourceData_Scope3_Packaging[AusLCI Emissions intensity])</f>
        <v>0</v>
      </c>
      <c r="H369" s="157">
        <f>((F369 * G369) * 10 ^ -3)</f>
        <v>0</v>
      </c>
      <c r="I369" s="69"/>
      <c r="J369" s="157">
        <f>((F369 * (IF(I369,I369,G369))) * 10 ^ -3)</f>
        <v>0</v>
      </c>
      <c r="K369" s="86"/>
      <c r="L369" s="48"/>
      <c r="M369" s="86"/>
    </row>
    <row r="370" spans="3:41" x14ac:dyDescent="0.25">
      <c r="D370" s="50">
        <v>0</v>
      </c>
      <c r="E370" s="50">
        <v>0</v>
      </c>
      <c r="F370" s="50">
        <v>0</v>
      </c>
      <c r="G370" s="50" cm="1">
        <f t="array" ref="G370">Common_InputFunctions.Utility_LookupValueInTableNumber(E370,Table_SourceData_Scope3_Packaging[Product],Table_SourceData_Scope3_Packaging[AusLCI Emissions intensity])</f>
        <v>0</v>
      </c>
      <c r="H370" s="157">
        <f>((F370 * G370) * 10 ^ -3)</f>
        <v>0</v>
      </c>
      <c r="I370" s="69"/>
      <c r="J370" s="157">
        <f>((F370 * (IF(I370,I370,G370))) * 10 ^ -3)</f>
        <v>0</v>
      </c>
      <c r="K370" s="86"/>
      <c r="L370" s="48"/>
      <c r="M370" s="86"/>
    </row>
    <row r="371" spans="3:41" x14ac:dyDescent="0.25">
      <c r="D371" s="50">
        <v>0</v>
      </c>
      <c r="E371" s="50">
        <v>0</v>
      </c>
      <c r="F371" s="50">
        <v>0</v>
      </c>
      <c r="G371" s="50" cm="1">
        <f t="array" ref="G371">Common_InputFunctions.Utility_LookupValueInTableNumber(E371,Table_SourceData_Scope3_Packaging[Product],Table_SourceData_Scope3_Packaging[AusLCI Emissions intensity])</f>
        <v>0</v>
      </c>
      <c r="H371" s="157">
        <f>((F371 * G371) * 10 ^ -3)</f>
        <v>0</v>
      </c>
      <c r="I371" s="69"/>
      <c r="J371" s="157">
        <f>((F371 * (IF(I371,I371,G371))) * 10 ^ -3)</f>
        <v>0</v>
      </c>
      <c r="K371" s="86"/>
      <c r="L371" s="48"/>
      <c r="M371" s="86"/>
    </row>
    <row r="372" spans="3:41" x14ac:dyDescent="0.25">
      <c r="D372" s="50">
        <v>0</v>
      </c>
      <c r="E372" s="50">
        <v>0</v>
      </c>
      <c r="F372" s="50">
        <v>0</v>
      </c>
      <c r="G372" s="50" cm="1">
        <f t="array" ref="G372">Common_InputFunctions.Utility_LookupValueInTableNumber(E372,Table_SourceData_Scope3_Packaging[Product],Table_SourceData_Scope3_Packaging[AusLCI Emissions intensity])</f>
        <v>0</v>
      </c>
      <c r="H372" s="157">
        <f>((F372 * G372) * 10 ^ -3)</f>
        <v>0</v>
      </c>
      <c r="I372" s="69"/>
      <c r="J372" s="157">
        <f>((F372 * (IF(I372,I372,G372))) * 10 ^ -3)</f>
        <v>0</v>
      </c>
      <c r="K372" s="86"/>
      <c r="L372" s="48"/>
      <c r="M372" s="86"/>
    </row>
    <row r="373" spans="3:41" x14ac:dyDescent="0.25">
      <c r="D373" s="50">
        <v>0</v>
      </c>
      <c r="E373" s="50">
        <v>0</v>
      </c>
      <c r="F373" s="50">
        <v>0</v>
      </c>
      <c r="G373" s="50" cm="1">
        <f t="array" ref="G373">Common_InputFunctions.Utility_LookupValueInTableNumber(E373,Table_SourceData_Scope3_Packaging[Product],Table_SourceData_Scope3_Packaging[AusLCI Emissions intensity])</f>
        <v>0</v>
      </c>
      <c r="H373" s="157">
        <f>((F373 * G373) * 10 ^ -3)</f>
        <v>0</v>
      </c>
      <c r="I373" s="69"/>
      <c r="J373" s="157">
        <f>((F373 * (IF(I373,I373,G373))) * 10 ^ -3)</f>
        <v>0</v>
      </c>
      <c r="K373" s="86"/>
      <c r="L373" s="48"/>
      <c r="M373" s="86"/>
    </row>
    <row r="374" spans="3:41" x14ac:dyDescent="0.25">
      <c r="D374" s="50">
        <v>0</v>
      </c>
      <c r="E374" s="50">
        <v>0</v>
      </c>
      <c r="F374" s="50">
        <v>0</v>
      </c>
      <c r="G374" s="50" cm="1">
        <f t="array" ref="G374">Common_InputFunctions.Utility_LookupValueInTableNumber(E374,Table_SourceData_Scope3_Packaging[Product],Table_SourceData_Scope3_Packaging[AusLCI Emissions intensity])</f>
        <v>0</v>
      </c>
      <c r="H374" s="157">
        <f>((F374 * G374) * 10 ^ -3)</f>
        <v>0</v>
      </c>
      <c r="I374" s="69"/>
      <c r="J374" s="157">
        <f>((F374 * (IF(I374,I374,G374))) * 10 ^ -3)</f>
        <v>0</v>
      </c>
      <c r="K374" s="86"/>
      <c r="L374" s="48"/>
      <c r="M374" s="86"/>
    </row>
    <row r="375" spans="3:41" x14ac:dyDescent="0.25">
      <c r="D375" s="50">
        <v>0</v>
      </c>
      <c r="E375" s="50">
        <v>0</v>
      </c>
      <c r="F375" s="50">
        <v>0</v>
      </c>
      <c r="G375" s="50" cm="1">
        <f t="array" ref="G375">Common_InputFunctions.Utility_LookupValueInTableNumber(E375,Table_SourceData_Scope3_Packaging[Product],Table_SourceData_Scope3_Packaging[AusLCI Emissions intensity])</f>
        <v>0</v>
      </c>
      <c r="H375" s="157">
        <f>((F375 * G375) * 10 ^ -3)</f>
        <v>0</v>
      </c>
      <c r="I375" s="69"/>
      <c r="J375" s="157">
        <f>((F375 * (IF(I375,I375,G375))) * 10 ^ -3)</f>
        <v>0</v>
      </c>
      <c r="K375" s="86"/>
      <c r="L375" s="48"/>
      <c r="M375" s="86"/>
    </row>
    <row r="376" spans="3:41" x14ac:dyDescent="0.25">
      <c r="D376" s="50">
        <v>0</v>
      </c>
      <c r="E376" s="50">
        <v>0</v>
      </c>
      <c r="F376" s="50">
        <v>0</v>
      </c>
      <c r="G376" s="50" cm="1">
        <f t="array" ref="G376">Common_InputFunctions.Utility_LookupValueInTableNumber(E376,Table_SourceData_Scope3_Packaging[Product],Table_SourceData_Scope3_Packaging[AusLCI Emissions intensity])</f>
        <v>0</v>
      </c>
      <c r="H376" s="157">
        <f>((F376 * G376) * 10 ^ -3)</f>
        <v>0</v>
      </c>
      <c r="I376" s="69"/>
      <c r="J376" s="157">
        <f>((F376 * (IF(I376,I376,G376))) * 10 ^ -3)</f>
        <v>0</v>
      </c>
      <c r="K376" s="86"/>
      <c r="L376" s="48"/>
      <c r="M376" s="86"/>
    </row>
    <row r="378" spans="3:41" ht="20.25" x14ac:dyDescent="0.25">
      <c r="D378" s="185" t="s">
        <v>647</v>
      </c>
      <c r="E378" s="183">
        <f>SUM(H367:H376)</f>
        <v>7.44</v>
      </c>
      <c r="F378" s="184" t="str">
        <f>$E$155</f>
        <v>t CO2e</v>
      </c>
    </row>
    <row r="379" spans="3:41" ht="20.25" x14ac:dyDescent="0.25">
      <c r="D379" s="185" t="s">
        <v>649</v>
      </c>
      <c r="E379" s="183">
        <f>SUM(J367:J376)</f>
        <v>6</v>
      </c>
      <c r="F379" s="184" t="str">
        <f>$E$155</f>
        <v>t CO2e</v>
      </c>
    </row>
    <row r="382" spans="3:41" x14ac:dyDescent="0.25">
      <c r="C382" s="102"/>
      <c r="D382" s="102"/>
      <c r="E382" s="102"/>
      <c r="F382" s="102"/>
      <c r="G382" s="102"/>
      <c r="H382" s="102"/>
      <c r="I382" s="102"/>
      <c r="J382" s="102"/>
      <c r="K382" s="102"/>
      <c r="L382" s="102"/>
      <c r="M382" s="102"/>
      <c r="N382" s="102"/>
      <c r="O382" s="102"/>
      <c r="P382" s="102"/>
      <c r="Q382" s="102"/>
      <c r="R382" s="102"/>
      <c r="S382" s="102"/>
      <c r="T382" s="102"/>
      <c r="U382" s="102"/>
      <c r="V382" s="102"/>
      <c r="W382" s="102"/>
      <c r="X382" s="102"/>
      <c r="Y382" s="102"/>
      <c r="Z382" s="102"/>
      <c r="AA382" s="102"/>
      <c r="AB382" s="102"/>
      <c r="AC382" s="102"/>
      <c r="AD382" s="102"/>
      <c r="AE382" s="102"/>
      <c r="AF382" s="102"/>
      <c r="AG382" s="102"/>
      <c r="AH382" s="102"/>
      <c r="AI382" s="102"/>
      <c r="AJ382" s="102"/>
      <c r="AK382" s="102"/>
      <c r="AL382" s="102"/>
      <c r="AM382" s="102"/>
      <c r="AN382" s="102"/>
      <c r="AO382" s="102"/>
    </row>
    <row r="383" spans="3:41" ht="23.25" x14ac:dyDescent="0.25">
      <c r="D383" s="9" t="s">
        <v>954</v>
      </c>
    </row>
    <row r="384" spans="3:41" x14ac:dyDescent="0.25">
      <c r="D384" s="11" t="s">
        <v>955</v>
      </c>
    </row>
    <row r="385" spans="4:14" x14ac:dyDescent="0.25">
      <c r="D385" s="178"/>
      <c r="E385" s="178"/>
    </row>
    <row r="389" spans="4:14" x14ac:dyDescent="0.25">
      <c r="D389" s="28" t="s">
        <v>641</v>
      </c>
      <c r="E389" s="8" t="s">
        <v>755</v>
      </c>
    </row>
    <row r="390" spans="4:14" x14ac:dyDescent="0.25">
      <c r="D390" s="28" t="s">
        <v>97</v>
      </c>
      <c r="E390" s="8" t="s">
        <v>860</v>
      </c>
    </row>
    <row r="392" spans="4:14" x14ac:dyDescent="0.25">
      <c r="D392" s="173" t="s">
        <v>956</v>
      </c>
      <c r="E392" s="173" t="s">
        <v>957</v>
      </c>
      <c r="F392" s="173" t="s">
        <v>962</v>
      </c>
      <c r="G392" s="174" t="s">
        <v>874</v>
      </c>
    </row>
    <row r="393" spans="4:14" x14ac:dyDescent="0.25">
      <c r="D393" s="173" t="s">
        <v>958</v>
      </c>
      <c r="E393" s="173" t="s">
        <v>959</v>
      </c>
      <c r="F393" s="173" t="s">
        <v>963</v>
      </c>
      <c r="G393" s="175" t="s">
        <v>877</v>
      </c>
    </row>
    <row r="394" spans="4:14" x14ac:dyDescent="0.25">
      <c r="D394" s="173" t="s">
        <v>960</v>
      </c>
      <c r="E394" s="173" t="s">
        <v>961</v>
      </c>
      <c r="F394" s="173"/>
      <c r="G394" s="174" t="s">
        <v>874</v>
      </c>
    </row>
    <row r="396" spans="4:14" x14ac:dyDescent="0.25">
      <c r="D396" s="12" t="s">
        <v>705</v>
      </c>
    </row>
    <row r="398" spans="4:14" x14ac:dyDescent="0.25">
      <c r="D398" s="47" t="s">
        <v>710</v>
      </c>
      <c r="E398" s="47" t="s">
        <v>624</v>
      </c>
      <c r="F398" s="47" t="s">
        <v>126</v>
      </c>
      <c r="G398" s="60" t="s">
        <v>424</v>
      </c>
      <c r="H398" s="60" t="s">
        <v>358</v>
      </c>
      <c r="I398" s="47" t="s">
        <v>425</v>
      </c>
      <c r="J398" s="60" t="s">
        <v>359</v>
      </c>
      <c r="K398" s="60" t="s">
        <v>625</v>
      </c>
      <c r="L398" s="47" t="s">
        <v>643</v>
      </c>
      <c r="M398" s="47" t="s">
        <v>644</v>
      </c>
      <c r="N398" s="47" t="s">
        <v>645</v>
      </c>
    </row>
    <row r="399" spans="4:14" x14ac:dyDescent="0.25">
      <c r="D399" s="50" t="str" cm="1">
        <f t="array" ref="D399:D408">IFERROR(INDEX(Table_Input_GrowMedia[Grow media type], _xlfn.SEQUENCE(10)), "")</f>
        <v>Coir</v>
      </c>
      <c r="E399" s="50" cm="1">
        <f t="array" ref="E399:E408">IFERROR(INDEX(Table_Input_GrowMedia[Total amount], _xlfn.SEQUENCE(10)), "")</f>
        <v>10000</v>
      </c>
      <c r="F399" s="50" t="str" cm="1">
        <f t="array" ref="F399:F408">IFERROR(INDEX(Table_Input_GrowMedia[Amount unit], _xlfn.SEQUENCE(10)), "")</f>
        <v>kg</v>
      </c>
      <c r="G399" s="50" t="s">
        <v>842</v>
      </c>
      <c r="H399" s="50" t="s">
        <v>842</v>
      </c>
      <c r="I399" s="69">
        <v>4</v>
      </c>
      <c r="J399" s="157">
        <f>((E399 * I399) * 10 ^ -3)</f>
        <v>40</v>
      </c>
      <c r="K399" s="50" t="str">
        <f>"t CO2e / " &amp; F399</f>
        <v>t CO2e / kg</v>
      </c>
      <c r="L399" s="86"/>
      <c r="M399" s="48"/>
      <c r="N399" s="86"/>
    </row>
    <row r="400" spans="4:14" x14ac:dyDescent="0.25">
      <c r="D400" s="50" t="str">
        <v>Peat moss</v>
      </c>
      <c r="E400" s="50">
        <v>100</v>
      </c>
      <c r="F400" s="50" t="str">
        <v>m3</v>
      </c>
      <c r="G400" s="50" t="s">
        <v>842</v>
      </c>
      <c r="H400" s="50" t="s">
        <v>842</v>
      </c>
      <c r="I400" s="69">
        <v>2</v>
      </c>
      <c r="J400" s="157">
        <f>((E400 * I400) * 10 ^ -3)</f>
        <v>0.2</v>
      </c>
      <c r="K400" s="50" t="str">
        <f t="shared" ref="K400:K408" si="2">"t CO2e / " &amp; F400</f>
        <v>t CO2e / m3</v>
      </c>
      <c r="L400" s="86"/>
      <c r="M400" s="48"/>
      <c r="N400" s="86"/>
    </row>
    <row r="401" spans="3:41" x14ac:dyDescent="0.25">
      <c r="D401" s="50" t="str">
        <v>tiny gravel</v>
      </c>
      <c r="E401" s="50">
        <v>10000</v>
      </c>
      <c r="F401" s="50" t="str">
        <v>kg</v>
      </c>
      <c r="G401" s="50" t="s">
        <v>842</v>
      </c>
      <c r="H401" s="50" t="s">
        <v>842</v>
      </c>
      <c r="I401" s="69"/>
      <c r="J401" s="157">
        <f>((E401 * I401) * 10 ^ -3)</f>
        <v>0</v>
      </c>
      <c r="K401" s="50" t="str">
        <f t="shared" si="2"/>
        <v>t CO2e / kg</v>
      </c>
      <c r="L401" s="86"/>
      <c r="M401" s="48"/>
      <c r="N401" s="86"/>
    </row>
    <row r="402" spans="3:41" x14ac:dyDescent="0.25">
      <c r="D402" s="50">
        <v>0</v>
      </c>
      <c r="E402" s="50">
        <v>0</v>
      </c>
      <c r="F402" s="50">
        <v>0</v>
      </c>
      <c r="G402" s="50" t="s">
        <v>842</v>
      </c>
      <c r="H402" s="50" t="s">
        <v>842</v>
      </c>
      <c r="I402" s="69"/>
      <c r="J402" s="157">
        <f>((E402 * I402) * 10 ^ -3)</f>
        <v>0</v>
      </c>
      <c r="K402" s="50" t="str">
        <f t="shared" si="2"/>
        <v>t CO2e / 0</v>
      </c>
      <c r="L402" s="86"/>
      <c r="M402" s="48"/>
      <c r="N402" s="86"/>
    </row>
    <row r="403" spans="3:41" x14ac:dyDescent="0.25">
      <c r="D403" s="50">
        <v>0</v>
      </c>
      <c r="E403" s="50">
        <v>0</v>
      </c>
      <c r="F403" s="50">
        <v>0</v>
      </c>
      <c r="G403" s="50" t="s">
        <v>842</v>
      </c>
      <c r="H403" s="50" t="s">
        <v>842</v>
      </c>
      <c r="I403" s="69"/>
      <c r="J403" s="157">
        <f>((E403 * I403) * 10 ^ -3)</f>
        <v>0</v>
      </c>
      <c r="K403" s="50" t="str">
        <f t="shared" si="2"/>
        <v>t CO2e / 0</v>
      </c>
      <c r="L403" s="86"/>
      <c r="M403" s="48"/>
      <c r="N403" s="86"/>
    </row>
    <row r="404" spans="3:41" x14ac:dyDescent="0.25">
      <c r="D404" s="50">
        <v>0</v>
      </c>
      <c r="E404" s="50">
        <v>0</v>
      </c>
      <c r="F404" s="50">
        <v>0</v>
      </c>
      <c r="G404" s="50" t="s">
        <v>842</v>
      </c>
      <c r="H404" s="50" t="s">
        <v>842</v>
      </c>
      <c r="I404" s="69"/>
      <c r="J404" s="157">
        <f>((E404 * I404) * 10 ^ -3)</f>
        <v>0</v>
      </c>
      <c r="K404" s="50" t="str">
        <f t="shared" si="2"/>
        <v>t CO2e / 0</v>
      </c>
      <c r="L404" s="86"/>
      <c r="M404" s="48"/>
      <c r="N404" s="86"/>
    </row>
    <row r="405" spans="3:41" x14ac:dyDescent="0.25">
      <c r="D405" s="50">
        <v>0</v>
      </c>
      <c r="E405" s="50">
        <v>0</v>
      </c>
      <c r="F405" s="50">
        <v>0</v>
      </c>
      <c r="G405" s="50" t="s">
        <v>842</v>
      </c>
      <c r="H405" s="50" t="s">
        <v>842</v>
      </c>
      <c r="I405" s="69"/>
      <c r="J405" s="157">
        <f>((E405 * I405) * 10 ^ -3)</f>
        <v>0</v>
      </c>
      <c r="K405" s="50" t="str">
        <f t="shared" si="2"/>
        <v>t CO2e / 0</v>
      </c>
      <c r="L405" s="86"/>
      <c r="M405" s="48"/>
      <c r="N405" s="86"/>
    </row>
    <row r="406" spans="3:41" x14ac:dyDescent="0.25">
      <c r="D406" s="50">
        <v>0</v>
      </c>
      <c r="E406" s="50">
        <v>0</v>
      </c>
      <c r="F406" s="50">
        <v>0</v>
      </c>
      <c r="G406" s="50" t="s">
        <v>842</v>
      </c>
      <c r="H406" s="50" t="s">
        <v>842</v>
      </c>
      <c r="I406" s="69"/>
      <c r="J406" s="157">
        <f>((E406 * I406) * 10 ^ -3)</f>
        <v>0</v>
      </c>
      <c r="K406" s="50" t="str">
        <f t="shared" si="2"/>
        <v>t CO2e / 0</v>
      </c>
      <c r="L406" s="86"/>
      <c r="M406" s="48"/>
      <c r="N406" s="86"/>
    </row>
    <row r="407" spans="3:41" x14ac:dyDescent="0.25">
      <c r="D407" s="50">
        <v>0</v>
      </c>
      <c r="E407" s="50">
        <v>0</v>
      </c>
      <c r="F407" s="50">
        <v>0</v>
      </c>
      <c r="G407" s="50" t="s">
        <v>842</v>
      </c>
      <c r="H407" s="50" t="s">
        <v>842</v>
      </c>
      <c r="I407" s="69"/>
      <c r="J407" s="157">
        <f>((E407 * I407) * 10 ^ -3)</f>
        <v>0</v>
      </c>
      <c r="K407" s="50" t="str">
        <f t="shared" si="2"/>
        <v>t CO2e / 0</v>
      </c>
      <c r="L407" s="86"/>
      <c r="M407" s="48"/>
      <c r="N407" s="86"/>
    </row>
    <row r="408" spans="3:41" x14ac:dyDescent="0.25">
      <c r="D408" s="50">
        <v>0</v>
      </c>
      <c r="E408" s="50">
        <v>0</v>
      </c>
      <c r="F408" s="50">
        <v>0</v>
      </c>
      <c r="G408" s="50" t="s">
        <v>842</v>
      </c>
      <c r="H408" s="50" t="s">
        <v>842</v>
      </c>
      <c r="I408" s="69"/>
      <c r="J408" s="157">
        <f>((E408 * I408) * 10 ^ -3)</f>
        <v>0</v>
      </c>
      <c r="K408" s="50" t="str">
        <f t="shared" si="2"/>
        <v>t CO2e / 0</v>
      </c>
      <c r="L408" s="86"/>
      <c r="M408" s="48"/>
      <c r="N408" s="86"/>
    </row>
    <row r="410" spans="3:41" ht="20.25" x14ac:dyDescent="0.25">
      <c r="D410" s="185" t="s">
        <v>647</v>
      </c>
      <c r="E410" s="183" t="s">
        <v>842</v>
      </c>
      <c r="F410" s="184" t="str">
        <f>$E$155</f>
        <v>t CO2e</v>
      </c>
    </row>
    <row r="411" spans="3:41" ht="20.25" x14ac:dyDescent="0.25">
      <c r="D411" s="185" t="s">
        <v>649</v>
      </c>
      <c r="E411" s="183">
        <f>SUM(J399:J408)</f>
        <v>40.200000000000003</v>
      </c>
      <c r="F411" s="184" t="str">
        <f>$E$155</f>
        <v>t CO2e</v>
      </c>
    </row>
    <row r="414" spans="3:41" x14ac:dyDescent="0.25">
      <c r="C414" s="102"/>
      <c r="D414" s="102"/>
      <c r="E414" s="102"/>
      <c r="F414" s="102"/>
      <c r="G414" s="102"/>
      <c r="H414" s="102"/>
      <c r="I414" s="102"/>
      <c r="J414" s="102"/>
      <c r="K414" s="102"/>
      <c r="L414" s="102"/>
      <c r="M414" s="102"/>
      <c r="N414" s="102"/>
      <c r="O414" s="102"/>
      <c r="P414" s="102"/>
      <c r="Q414" s="102"/>
      <c r="R414" s="102"/>
      <c r="S414" s="102"/>
      <c r="T414" s="102"/>
      <c r="U414" s="102"/>
      <c r="V414" s="102"/>
      <c r="W414" s="102"/>
      <c r="X414" s="102"/>
      <c r="Y414" s="102"/>
      <c r="Z414" s="102"/>
      <c r="AA414" s="102"/>
      <c r="AB414" s="102"/>
      <c r="AC414" s="102"/>
      <c r="AD414" s="102"/>
      <c r="AE414" s="102"/>
      <c r="AF414" s="102"/>
      <c r="AG414" s="102"/>
      <c r="AH414" s="102"/>
      <c r="AI414" s="102"/>
      <c r="AJ414" s="102"/>
      <c r="AK414" s="102"/>
      <c r="AL414" s="102"/>
      <c r="AM414" s="102"/>
      <c r="AN414" s="102"/>
      <c r="AO414" s="102"/>
    </row>
    <row r="415" spans="3:41" ht="23.25" x14ac:dyDescent="0.25">
      <c r="D415" s="9" t="s">
        <v>964</v>
      </c>
    </row>
    <row r="416" spans="3:41" x14ac:dyDescent="0.25">
      <c r="D416" s="11" t="s">
        <v>965</v>
      </c>
    </row>
    <row r="417" spans="4:13" x14ac:dyDescent="0.25">
      <c r="D417" s="12" t="s">
        <v>718</v>
      </c>
    </row>
    <row r="418" spans="4:13" x14ac:dyDescent="0.25">
      <c r="D418" s="178"/>
      <c r="E418" s="178"/>
    </row>
    <row r="421" spans="4:13" x14ac:dyDescent="0.25">
      <c r="D421" s="28" t="s">
        <v>641</v>
      </c>
      <c r="E421" s="8" t="s">
        <v>966</v>
      </c>
    </row>
    <row r="422" spans="4:13" x14ac:dyDescent="0.25">
      <c r="D422" s="28" t="s">
        <v>97</v>
      </c>
      <c r="E422" s="13" t="s">
        <v>860</v>
      </c>
    </row>
    <row r="424" spans="4:13" x14ac:dyDescent="0.25">
      <c r="D424" s="173" t="s">
        <v>967</v>
      </c>
      <c r="E424" s="177" t="s">
        <v>968</v>
      </c>
      <c r="F424" s="172"/>
      <c r="G424" s="173" t="s">
        <v>971</v>
      </c>
      <c r="H424" s="174" t="s">
        <v>874</v>
      </c>
    </row>
    <row r="425" spans="4:13" x14ac:dyDescent="0.25">
      <c r="D425" s="173" t="s">
        <v>969</v>
      </c>
      <c r="E425" s="177" t="s">
        <v>970</v>
      </c>
      <c r="F425" s="172"/>
      <c r="G425" s="173" t="s">
        <v>971</v>
      </c>
      <c r="H425" s="175" t="s">
        <v>877</v>
      </c>
    </row>
    <row r="427" spans="4:13" ht="18.75" x14ac:dyDescent="0.25">
      <c r="D427" s="150" t="s">
        <v>381</v>
      </c>
    </row>
    <row r="429" spans="4:13" x14ac:dyDescent="0.25">
      <c r="D429" s="47" t="s">
        <v>367</v>
      </c>
      <c r="E429" s="158" t="s">
        <v>288</v>
      </c>
      <c r="F429" s="158" t="s">
        <v>383</v>
      </c>
      <c r="G429" s="60" t="s">
        <v>361</v>
      </c>
      <c r="H429" s="60" t="s">
        <v>647</v>
      </c>
      <c r="I429" s="47" t="s">
        <v>364</v>
      </c>
      <c r="J429" s="60" t="s">
        <v>649</v>
      </c>
      <c r="K429" s="47" t="s">
        <v>643</v>
      </c>
      <c r="L429" s="47" t="s">
        <v>644</v>
      </c>
      <c r="M429" s="47" t="s">
        <v>645</v>
      </c>
    </row>
    <row r="430" spans="4:13" x14ac:dyDescent="0.25">
      <c r="D430" s="50" t="str" cm="1">
        <f t="array" ref="D430:D439">IFERROR(INDEX(Table_Input_ChemicalsCleaning[Product name], _xlfn.SEQUENCE(10)), "")</f>
        <v>Acid kleen</v>
      </c>
      <c r="E430" s="50" t="str" cm="1">
        <f t="array" ref="E430:E439">IFERROR(INDEX(Table_Input_ChemicalsCleaning[Type (select)], _xlfn.SEQUENCE(10)), "")</f>
        <v>Phosphoric acid</v>
      </c>
      <c r="F430" s="50" cm="1">
        <f t="array" ref="F430:F439">IFERROR(INDEX(Table_Input_ChemicalsCleaning[Quantity purchased (kg)], _xlfn.SEQUENCE(10)), "")</f>
        <v>100</v>
      </c>
      <c r="G430" s="50" cm="1">
        <f t="array" ref="G430">Common_InputFunctions.Utility_LookupValueInTableNumber(E430,Table_SourceData_Scope3_ChemicalsCleaning[Product],Table_SourceData_Scope3_ChemicalsCleaning[AusLCI Emissions intensity])</f>
        <v>0.90700000000000003</v>
      </c>
      <c r="H430" s="157">
        <f>(F430 * (G430*10^-3))</f>
        <v>9.0700000000000003E-2</v>
      </c>
      <c r="I430" s="69">
        <v>1.3</v>
      </c>
      <c r="J430" s="157">
        <f>(F430 * (IF(I430,I430,G430)*10^-3))</f>
        <v>0.13</v>
      </c>
      <c r="K430" s="86"/>
      <c r="L430" s="48"/>
      <c r="M430" s="86"/>
    </row>
    <row r="431" spans="4:13" x14ac:dyDescent="0.25">
      <c r="D431" s="50" t="str">
        <v>Kleen alk</v>
      </c>
      <c r="E431" s="50" t="str">
        <v>Alkaline cleaner</v>
      </c>
      <c r="F431" s="50">
        <v>100</v>
      </c>
      <c r="G431" s="50" cm="1">
        <f t="array" ref="G431">Common_InputFunctions.Utility_LookupValueInTableNumber(E431,Table_SourceData_Scope3_ChemicalsCleaning[Product],Table_SourceData_Scope3_ChemicalsCleaning[AusLCI Emissions intensity])</f>
        <v>0.72199999999999998</v>
      </c>
      <c r="H431" s="157">
        <f>(F431 * (G431*10^-3))</f>
        <v>7.22E-2</v>
      </c>
      <c r="I431" s="69">
        <v>8</v>
      </c>
      <c r="J431" s="157">
        <f>(F431 * (IF(I431,I431,G431)*10^-3))</f>
        <v>0.8</v>
      </c>
      <c r="K431" s="86"/>
      <c r="L431" s="48"/>
      <c r="M431" s="86"/>
    </row>
    <row r="432" spans="4:13" x14ac:dyDescent="0.25">
      <c r="D432" s="50" t="str">
        <v>White king</v>
      </c>
      <c r="E432" s="50" t="str">
        <v>Bleach</v>
      </c>
      <c r="F432" s="50">
        <v>100</v>
      </c>
      <c r="G432" s="50" cm="1">
        <f t="array" ref="G432">Common_InputFunctions.Utility_LookupValueInTableNumber(E432,Table_SourceData_Scope3_ChemicalsCleaning[Product],Table_SourceData_Scope3_ChemicalsCleaning[AusLCI Emissions intensity])</f>
        <v>0.80400000000000005</v>
      </c>
      <c r="H432" s="157">
        <f>(F432 * (G432*10^-3))</f>
        <v>8.0399999999999999E-2</v>
      </c>
      <c r="I432" s="69">
        <v>4</v>
      </c>
      <c r="J432" s="157">
        <f>(F432 * (IF(I432,I432,G432)*10^-3))</f>
        <v>0.4</v>
      </c>
      <c r="K432" s="86"/>
      <c r="L432" s="48"/>
      <c r="M432" s="86"/>
    </row>
    <row r="433" spans="4:13" x14ac:dyDescent="0.25">
      <c r="D433" s="50" t="str">
        <v>White king</v>
      </c>
      <c r="E433" s="50" t="str">
        <v>Bleach</v>
      </c>
      <c r="F433" s="50">
        <v>100</v>
      </c>
      <c r="G433" s="50" cm="1">
        <f t="array" ref="G433">Common_InputFunctions.Utility_LookupValueInTableNumber(E433,Table_SourceData_Scope3_ChemicalsCleaning[Product],Table_SourceData_Scope3_ChemicalsCleaning[AusLCI Emissions intensity])</f>
        <v>0.80400000000000005</v>
      </c>
      <c r="H433" s="157">
        <f>(F433 * (G433*10^-3))</f>
        <v>8.0399999999999999E-2</v>
      </c>
      <c r="I433" s="69">
        <v>3</v>
      </c>
      <c r="J433" s="157">
        <f>(F433 * (IF(I433,I433,G433)*10^-3))</f>
        <v>0.3</v>
      </c>
      <c r="K433" s="86"/>
      <c r="L433" s="48"/>
      <c r="M433" s="86"/>
    </row>
    <row r="434" spans="4:13" x14ac:dyDescent="0.25">
      <c r="D434" s="50" t="str">
        <v>Acid kleen</v>
      </c>
      <c r="E434" s="50" t="str">
        <v>Phosphoric acid</v>
      </c>
      <c r="F434" s="50">
        <v>100</v>
      </c>
      <c r="G434" s="50" cm="1">
        <f t="array" ref="G434">Common_InputFunctions.Utility_LookupValueInTableNumber(E434,Table_SourceData_Scope3_ChemicalsCleaning[Product],Table_SourceData_Scope3_ChemicalsCleaning[AusLCI Emissions intensity])</f>
        <v>0.90700000000000003</v>
      </c>
      <c r="H434" s="157">
        <f>(F434 * (G434*10^-3))</f>
        <v>9.0700000000000003E-2</v>
      </c>
      <c r="I434" s="69">
        <v>6</v>
      </c>
      <c r="J434" s="157">
        <f>(F434 * (IF(I434,I434,G434)*10^-3))</f>
        <v>0.6</v>
      </c>
      <c r="K434" s="86"/>
      <c r="L434" s="48"/>
      <c r="M434" s="86"/>
    </row>
    <row r="435" spans="4:13" x14ac:dyDescent="0.25">
      <c r="D435" s="50" t="str">
        <v>Acid kleen</v>
      </c>
      <c r="E435" s="50" t="str">
        <v>Phosphoric acid</v>
      </c>
      <c r="F435" s="50">
        <v>100</v>
      </c>
      <c r="G435" s="50" cm="1">
        <f t="array" ref="G435">Common_InputFunctions.Utility_LookupValueInTableNumber(E435,Table_SourceData_Scope3_ChemicalsCleaning[Product],Table_SourceData_Scope3_ChemicalsCleaning[AusLCI Emissions intensity])</f>
        <v>0.90700000000000003</v>
      </c>
      <c r="H435" s="157">
        <f>(F435 * (G435*10^-3))</f>
        <v>9.0700000000000003E-2</v>
      </c>
      <c r="I435" s="69">
        <v>5</v>
      </c>
      <c r="J435" s="157">
        <f>(F435 * (IF(I435,I435,G435)*10^-3))</f>
        <v>0.5</v>
      </c>
      <c r="K435" s="86"/>
      <c r="L435" s="48"/>
      <c r="M435" s="86"/>
    </row>
    <row r="436" spans="4:13" x14ac:dyDescent="0.25">
      <c r="D436" s="50">
        <v>0</v>
      </c>
      <c r="E436" s="50">
        <v>0</v>
      </c>
      <c r="F436" s="50">
        <v>0</v>
      </c>
      <c r="G436" s="50" cm="1">
        <f t="array" ref="G436">Common_InputFunctions.Utility_LookupValueInTableNumber(E436,Table_SourceData_Scope3_ChemicalsCleaning[Product],Table_SourceData_Scope3_ChemicalsCleaning[AusLCI Emissions intensity])</f>
        <v>0</v>
      </c>
      <c r="H436" s="157">
        <f>(F436 * (G436*10^-3))</f>
        <v>0</v>
      </c>
      <c r="I436" s="69"/>
      <c r="J436" s="157">
        <f>(F436 * (IF(I436,I436,G436)*10^-3))</f>
        <v>0</v>
      </c>
      <c r="K436" s="86"/>
      <c r="L436" s="48"/>
      <c r="M436" s="86"/>
    </row>
    <row r="437" spans="4:13" x14ac:dyDescent="0.25">
      <c r="D437" s="50">
        <v>0</v>
      </c>
      <c r="E437" s="50">
        <v>0</v>
      </c>
      <c r="F437" s="50">
        <v>0</v>
      </c>
      <c r="G437" s="50" cm="1">
        <f t="array" ref="G437">Common_InputFunctions.Utility_LookupValueInTableNumber(E437,Table_SourceData_Scope3_ChemicalsCleaning[Product],Table_SourceData_Scope3_ChemicalsCleaning[AusLCI Emissions intensity])</f>
        <v>0</v>
      </c>
      <c r="H437" s="157">
        <f>(F437 * (G437*10^-3))</f>
        <v>0</v>
      </c>
      <c r="I437" s="69"/>
      <c r="J437" s="157">
        <f>(F437 * (IF(I437,I437,G437)*10^-3))</f>
        <v>0</v>
      </c>
      <c r="K437" s="86"/>
      <c r="L437" s="48"/>
      <c r="M437" s="86"/>
    </row>
    <row r="438" spans="4:13" x14ac:dyDescent="0.25">
      <c r="D438" s="50">
        <v>0</v>
      </c>
      <c r="E438" s="50">
        <v>0</v>
      </c>
      <c r="F438" s="50">
        <v>0</v>
      </c>
      <c r="G438" s="50" cm="1">
        <f t="array" ref="G438">Common_InputFunctions.Utility_LookupValueInTableNumber(E438,Table_SourceData_Scope3_ChemicalsCleaning[Product],Table_SourceData_Scope3_ChemicalsCleaning[AusLCI Emissions intensity])</f>
        <v>0</v>
      </c>
      <c r="H438" s="157">
        <f>(F438 * (G438*10^-3))</f>
        <v>0</v>
      </c>
      <c r="I438" s="69"/>
      <c r="J438" s="157">
        <f>(F438 * (IF(I438,I438,G438)*10^-3))</f>
        <v>0</v>
      </c>
      <c r="K438" s="86"/>
      <c r="L438" s="48"/>
      <c r="M438" s="86"/>
    </row>
    <row r="439" spans="4:13" x14ac:dyDescent="0.25">
      <c r="D439" s="50">
        <v>0</v>
      </c>
      <c r="E439" s="50">
        <v>0</v>
      </c>
      <c r="F439" s="50">
        <v>0</v>
      </c>
      <c r="G439" s="50" cm="1">
        <f t="array" ref="G439">Common_InputFunctions.Utility_LookupValueInTableNumber(E439,Table_SourceData_Scope3_ChemicalsCleaning[Product],Table_SourceData_Scope3_ChemicalsCleaning[AusLCI Emissions intensity])</f>
        <v>0</v>
      </c>
      <c r="H439" s="157">
        <f>(F439 * (G439*10^-3))</f>
        <v>0</v>
      </c>
      <c r="I439" s="69"/>
      <c r="J439" s="157">
        <f>(F439 * (IF(I439,I439,G439)*10^-3))</f>
        <v>0</v>
      </c>
      <c r="K439" s="86"/>
      <c r="L439" s="48"/>
      <c r="M439" s="86"/>
    </row>
    <row r="441" spans="4:13" ht="20.25" x14ac:dyDescent="0.25">
      <c r="D441" s="185" t="s">
        <v>647</v>
      </c>
      <c r="E441" s="183">
        <f>SUM(H430:H439)</f>
        <v>0.50509999999999999</v>
      </c>
      <c r="F441" s="184" t="str">
        <f>$E$155</f>
        <v>t CO2e</v>
      </c>
    </row>
    <row r="442" spans="4:13" ht="20.25" x14ac:dyDescent="0.25">
      <c r="D442" s="185" t="s">
        <v>649</v>
      </c>
      <c r="E442" s="183">
        <f>SUM(J430:J439)</f>
        <v>2.73</v>
      </c>
      <c r="F442" s="184" t="str">
        <f>$E$155</f>
        <v>t CO2e</v>
      </c>
    </row>
    <row r="445" spans="4:13" ht="18.75" x14ac:dyDescent="0.25">
      <c r="D445" s="150" t="s">
        <v>382</v>
      </c>
    </row>
    <row r="447" spans="4:13" x14ac:dyDescent="0.25">
      <c r="D447" s="47" t="s">
        <v>367</v>
      </c>
      <c r="E447" s="158" t="s">
        <v>288</v>
      </c>
      <c r="F447" s="158" t="s">
        <v>380</v>
      </c>
      <c r="G447" s="60" t="s">
        <v>632</v>
      </c>
      <c r="H447" s="60" t="s">
        <v>647</v>
      </c>
      <c r="I447" s="47" t="s">
        <v>633</v>
      </c>
      <c r="J447" s="60" t="s">
        <v>649</v>
      </c>
      <c r="K447" s="47" t="s">
        <v>643</v>
      </c>
      <c r="L447" s="47" t="s">
        <v>644</v>
      </c>
      <c r="M447" s="47" t="s">
        <v>645</v>
      </c>
    </row>
    <row r="448" spans="4:13" x14ac:dyDescent="0.25">
      <c r="D448" s="50" t="str" cm="1">
        <f t="array" ref="D448:D457">IFERROR(INDEX(Table_Input_ChemicalsPharmacy[Product name], _xlfn.SEQUENCE(10)), "")</f>
        <v>Cow bug off</v>
      </c>
      <c r="E448" s="50" t="str" cm="1">
        <f t="array" ref="E448:E457">IFERROR(INDEX(Table_Input_ChemicalsPharmacy[Type (select)], _xlfn.SEQUENCE(10)), "")</f>
        <v>Parasite control for cattle (external), dipping</v>
      </c>
      <c r="F448" s="50" cm="1">
        <f t="array" ref="F448:F457">IFERROR(INDEX(Table_Input_ChemicalsCleaning[Quantity purchased (kg)], _xlfn.SEQUENCE(10)), "")</f>
        <v>100</v>
      </c>
      <c r="G448" s="50" cm="1">
        <f t="array" ref="G448">Common_InputFunctions.Utility_LookupValueInTableNumber(E448,Table_SourceData_Scope3_ChemicalsPharmacy[Product],Table_SourceData_Scope3_ChemicalsPharmacy[AusLCI Emissions intensity])</f>
        <v>5.4699999999999999E-2</v>
      </c>
      <c r="H448" s="157">
        <f>(F448 * (G448*10^-3))</f>
        <v>5.47E-3</v>
      </c>
      <c r="I448" s="69">
        <v>0.05</v>
      </c>
      <c r="J448" s="157">
        <f>(F448 * (IF(I448,I448,G448)*10^-3))</f>
        <v>5.0000000000000001E-3</v>
      </c>
      <c r="K448" s="86"/>
      <c r="L448" s="48"/>
      <c r="M448" s="86"/>
    </row>
    <row r="449" spans="4:13" x14ac:dyDescent="0.25">
      <c r="D449" s="50" t="str">
        <v>Cow worm-away</v>
      </c>
      <c r="E449" s="50" t="str">
        <v>Parasite control for cattle (internal)</v>
      </c>
      <c r="F449" s="50">
        <v>100</v>
      </c>
      <c r="G449" s="50" cm="1">
        <f t="array" ref="G449">Common_InputFunctions.Utility_LookupValueInTableNumber(E449,Table_SourceData_Scope3_ChemicalsPharmacy[Product],Table_SourceData_Scope3_ChemicalsPharmacy[AusLCI Emissions intensity])</f>
        <v>1.4200000000000001E-2</v>
      </c>
      <c r="H449" s="157">
        <f>(F449 * (G449*10^-3))</f>
        <v>1.42E-3</v>
      </c>
      <c r="I449" s="69">
        <v>0.01</v>
      </c>
      <c r="J449" s="157">
        <f>(F449 * (IF(I449,I449,G449)*10^-3))</f>
        <v>1E-3</v>
      </c>
      <c r="K449" s="86"/>
      <c r="L449" s="48"/>
      <c r="M449" s="86"/>
    </row>
    <row r="450" spans="4:13" x14ac:dyDescent="0.25">
      <c r="D450" s="50" t="str">
        <v>Sheep bug off</v>
      </c>
      <c r="E450" s="50" t="str">
        <v>Parasite control for sheep (external)</v>
      </c>
      <c r="F450" s="50">
        <v>100</v>
      </c>
      <c r="G450" s="50" cm="1">
        <f t="array" ref="G450">Common_InputFunctions.Utility_LookupValueInTableNumber(E450,Table_SourceData_Scope3_ChemicalsPharmacy[Product],Table_SourceData_Scope3_ChemicalsPharmacy[AusLCI Emissions intensity])</f>
        <v>1.43E-2</v>
      </c>
      <c r="H450" s="157">
        <f>(F450 * (G450*10^-3))</f>
        <v>1.4300000000000001E-3</v>
      </c>
      <c r="I450" s="69">
        <v>0.01</v>
      </c>
      <c r="J450" s="157">
        <f>(F450 * (IF(I450,I450,G450)*10^-3))</f>
        <v>1E-3</v>
      </c>
      <c r="K450" s="86"/>
      <c r="L450" s="48"/>
      <c r="M450" s="86"/>
    </row>
    <row r="451" spans="4:13" x14ac:dyDescent="0.25">
      <c r="D451" s="50" t="str">
        <v>Sheep worm-away</v>
      </c>
      <c r="E451" s="50" t="str">
        <v>Parasite control for sheep (internal)</v>
      </c>
      <c r="F451" s="50">
        <v>100</v>
      </c>
      <c r="G451" s="50" cm="1">
        <f t="array" ref="G451">Common_InputFunctions.Utility_LookupValueInTableNumber(E451,Table_SourceData_Scope3_ChemicalsPharmacy[Product],Table_SourceData_Scope3_ChemicalsPharmacy[AusLCI Emissions intensity])</f>
        <v>4.2599999999999999E-3</v>
      </c>
      <c r="H451" s="157">
        <f>(F451 * (G451*10^-3))</f>
        <v>4.26E-4</v>
      </c>
      <c r="I451" s="69">
        <v>4.0000000000000001E-3</v>
      </c>
      <c r="J451" s="157">
        <f>(F451 * (IF(I451,I451,G451)*10^-3))</f>
        <v>3.9999999999999996E-4</v>
      </c>
      <c r="K451" s="86"/>
      <c r="L451" s="48"/>
      <c r="M451" s="86"/>
    </row>
    <row r="452" spans="4:13" x14ac:dyDescent="0.25">
      <c r="D452" s="50" t="str">
        <v>Cow bug off</v>
      </c>
      <c r="E452" s="50" t="str">
        <v>Parasite control for cattle (external), dipping</v>
      </c>
      <c r="F452" s="50">
        <v>100</v>
      </c>
      <c r="G452" s="50" cm="1">
        <f t="array" ref="G452">Common_InputFunctions.Utility_LookupValueInTableNumber(E452,Table_SourceData_Scope3_ChemicalsPharmacy[Product],Table_SourceData_Scope3_ChemicalsPharmacy[AusLCI Emissions intensity])</f>
        <v>5.4699999999999999E-2</v>
      </c>
      <c r="H452" s="157">
        <f>(F452 * (G452*10^-3))</f>
        <v>5.47E-3</v>
      </c>
      <c r="I452" s="69">
        <v>0.05</v>
      </c>
      <c r="J452" s="157">
        <f>(F452 * (IF(I452,I452,G452)*10^-3))</f>
        <v>5.0000000000000001E-3</v>
      </c>
      <c r="K452" s="86"/>
      <c r="L452" s="48"/>
      <c r="M452" s="86"/>
    </row>
    <row r="453" spans="4:13" x14ac:dyDescent="0.25">
      <c r="D453" s="50" t="str">
        <v>Cow worm-away</v>
      </c>
      <c r="E453" s="50" t="str">
        <v>Parasite control for cattle (internal)</v>
      </c>
      <c r="F453" s="50">
        <v>100</v>
      </c>
      <c r="G453" s="50" cm="1">
        <f t="array" ref="G453">Common_InputFunctions.Utility_LookupValueInTableNumber(E453,Table_SourceData_Scope3_ChemicalsPharmacy[Product],Table_SourceData_Scope3_ChemicalsPharmacy[AusLCI Emissions intensity])</f>
        <v>1.4200000000000001E-2</v>
      </c>
      <c r="H453" s="157">
        <f>(F453 * (G453*10^-3))</f>
        <v>1.42E-3</v>
      </c>
      <c r="I453" s="69">
        <v>0.01</v>
      </c>
      <c r="J453" s="157">
        <f>(F453 * (IF(I453,I453,G453)*10^-3))</f>
        <v>1E-3</v>
      </c>
      <c r="K453" s="86"/>
      <c r="L453" s="48"/>
      <c r="M453" s="86"/>
    </row>
    <row r="454" spans="4:13" x14ac:dyDescent="0.25">
      <c r="D454" s="50">
        <v>0</v>
      </c>
      <c r="E454" s="50">
        <v>0</v>
      </c>
      <c r="F454" s="50">
        <v>0</v>
      </c>
      <c r="G454" s="50" cm="1">
        <f t="array" ref="G454">Common_InputFunctions.Utility_LookupValueInTableNumber(E454,Table_SourceData_Scope3_ChemicalsPharmacy[Product],Table_SourceData_Scope3_ChemicalsPharmacy[AusLCI Emissions intensity])</f>
        <v>0</v>
      </c>
      <c r="H454" s="157">
        <f>(F454 * (G454*10^-3))</f>
        <v>0</v>
      </c>
      <c r="I454" s="69"/>
      <c r="J454" s="157">
        <f>(F454 * (IF(I454,I454,G454)*10^-3))</f>
        <v>0</v>
      </c>
      <c r="K454" s="86"/>
      <c r="L454" s="48"/>
      <c r="M454" s="86"/>
    </row>
    <row r="455" spans="4:13" x14ac:dyDescent="0.25">
      <c r="D455" s="50">
        <v>0</v>
      </c>
      <c r="E455" s="50">
        <v>0</v>
      </c>
      <c r="F455" s="50">
        <v>0</v>
      </c>
      <c r="G455" s="50" cm="1">
        <f t="array" ref="G455">Common_InputFunctions.Utility_LookupValueInTableNumber(E455,Table_SourceData_Scope3_ChemicalsPharmacy[Product],Table_SourceData_Scope3_ChemicalsPharmacy[AusLCI Emissions intensity])</f>
        <v>0</v>
      </c>
      <c r="H455" s="157">
        <f>(F455 * (G455*10^-3))</f>
        <v>0</v>
      </c>
      <c r="I455" s="69"/>
      <c r="J455" s="157">
        <f>(F455 * (IF(I455,I455,G455)*10^-3))</f>
        <v>0</v>
      </c>
      <c r="K455" s="86"/>
      <c r="L455" s="48"/>
      <c r="M455" s="86"/>
    </row>
    <row r="456" spans="4:13" x14ac:dyDescent="0.25">
      <c r="D456" s="50">
        <v>0</v>
      </c>
      <c r="E456" s="50">
        <v>0</v>
      </c>
      <c r="F456" s="50">
        <v>0</v>
      </c>
      <c r="G456" s="50" cm="1">
        <f t="array" ref="G456">Common_InputFunctions.Utility_LookupValueInTableNumber(E456,Table_SourceData_Scope3_ChemicalsPharmacy[Product],Table_SourceData_Scope3_ChemicalsPharmacy[AusLCI Emissions intensity])</f>
        <v>0</v>
      </c>
      <c r="H456" s="157">
        <f>(F456 * (G456*10^-3))</f>
        <v>0</v>
      </c>
      <c r="I456" s="69"/>
      <c r="J456" s="157">
        <f>(F456 * (IF(I456,I456,G456)*10^-3))</f>
        <v>0</v>
      </c>
      <c r="K456" s="86"/>
      <c r="L456" s="48"/>
      <c r="M456" s="86"/>
    </row>
    <row r="457" spans="4:13" x14ac:dyDescent="0.25">
      <c r="D457" s="50">
        <v>0</v>
      </c>
      <c r="E457" s="50">
        <v>0</v>
      </c>
      <c r="F457" s="50">
        <v>0</v>
      </c>
      <c r="G457" s="50" cm="1">
        <f t="array" ref="G457">Common_InputFunctions.Utility_LookupValueInTableNumber(E457,Table_SourceData_Scope3_ChemicalsPharmacy[Product],Table_SourceData_Scope3_ChemicalsPharmacy[AusLCI Emissions intensity])</f>
        <v>0</v>
      </c>
      <c r="H457" s="157">
        <f>(F457 * (G457*10^-3))</f>
        <v>0</v>
      </c>
      <c r="I457" s="69"/>
      <c r="J457" s="157">
        <f>(F457 * (IF(I457,I457,G457)*10^-3))</f>
        <v>0</v>
      </c>
      <c r="K457" s="86"/>
      <c r="L457" s="48"/>
      <c r="M457" s="86"/>
    </row>
    <row r="459" spans="4:13" ht="20.25" x14ac:dyDescent="0.25">
      <c r="D459" s="185" t="s">
        <v>647</v>
      </c>
      <c r="E459" s="183">
        <f>SUM(H448:H457)</f>
        <v>1.5636000000000001E-2</v>
      </c>
      <c r="F459" s="184" t="str">
        <f>$E$155</f>
        <v>t CO2e</v>
      </c>
    </row>
    <row r="460" spans="4:13" ht="20.25" x14ac:dyDescent="0.25">
      <c r="D460" s="185" t="s">
        <v>649</v>
      </c>
      <c r="E460" s="183">
        <f>SUM(J448:J457)</f>
        <v>1.3400000000000002E-2</v>
      </c>
      <c r="F460" s="184" t="str">
        <f>$E$155</f>
        <v>t CO2e</v>
      </c>
    </row>
    <row r="463" spans="4:13" ht="18.75" x14ac:dyDescent="0.25">
      <c r="D463" s="150" t="s">
        <v>420</v>
      </c>
    </row>
    <row r="465" spans="4:12" x14ac:dyDescent="0.25">
      <c r="D465" s="47" t="s">
        <v>170</v>
      </c>
      <c r="E465" s="47" t="s">
        <v>719</v>
      </c>
      <c r="F465" s="60" t="s">
        <v>632</v>
      </c>
      <c r="G465" s="60" t="s">
        <v>647</v>
      </c>
      <c r="H465" s="47" t="s">
        <v>633</v>
      </c>
      <c r="I465" s="60" t="s">
        <v>649</v>
      </c>
      <c r="J465" s="47" t="s">
        <v>643</v>
      </c>
      <c r="K465" s="47" t="s">
        <v>644</v>
      </c>
      <c r="L465" s="47" t="s">
        <v>645</v>
      </c>
    </row>
    <row r="466" spans="4:12" x14ac:dyDescent="0.25">
      <c r="D466" s="50" t="str">
        <f>'Input - Farm Inputs'!D194</f>
        <v>Barley grain (for seed)</v>
      </c>
      <c r="E466" s="50">
        <f>'Input - Farm Inputs'!E194</f>
        <v>500</v>
      </c>
      <c r="F466" s="50" cm="1">
        <f t="array" ref="F466">Common_InputFunctions.Utility_LookupValueInTableNumber(D466,Table_SourceData_Scope3_Other[Product],Table_SourceData_Scope3_Other[AusLCI Emissions intensity])</f>
        <v>0.23899999999999999</v>
      </c>
      <c r="G466" s="157">
        <f>(E466 * (F466*10^-3))</f>
        <v>0.1195</v>
      </c>
      <c r="H466" s="69">
        <v>0.2</v>
      </c>
      <c r="I466" s="157">
        <f>(E466 * (IF(H466,H466,F466)*10^-3))</f>
        <v>0.1</v>
      </c>
      <c r="J466" s="86"/>
      <c r="K466" s="48"/>
      <c r="L466" s="86"/>
    </row>
    <row r="467" spans="4:12" x14ac:dyDescent="0.25">
      <c r="D467" s="50" t="str">
        <f>'Input - Farm Inputs'!D195</f>
        <v>Maize grain (for seed)</v>
      </c>
      <c r="E467" s="50">
        <f>'Input - Farm Inputs'!E195</f>
        <v>600</v>
      </c>
      <c r="F467" s="50" cm="1">
        <f t="array" ref="F467">Common_InputFunctions.Utility_LookupValueInTableNumber(D467,Table_SourceData_Scope3_Other[Product],Table_SourceData_Scope3_Other[AusLCI Emissions intensity])</f>
        <v>0.18099999999999999</v>
      </c>
      <c r="G467" s="157">
        <f>(E467 * (F467*10^-3))</f>
        <v>0.1086</v>
      </c>
      <c r="H467" s="69"/>
      <c r="I467" s="157">
        <f>(E467 * (IF(H467,H467,F467)*10^-3))</f>
        <v>0.1086</v>
      </c>
      <c r="J467" s="86"/>
      <c r="K467" s="48"/>
      <c r="L467" s="86"/>
    </row>
    <row r="468" spans="4:12" x14ac:dyDescent="0.25">
      <c r="D468" s="50" t="str">
        <f>'Input - Farm Inputs'!D196</f>
        <v>Oat grain (for seed)</v>
      </c>
      <c r="E468" s="50">
        <f>'Input - Farm Inputs'!E196</f>
        <v>700</v>
      </c>
      <c r="F468" s="50" cm="1">
        <f t="array" ref="F468">Common_InputFunctions.Utility_LookupValueInTableNumber(D468,Table_SourceData_Scope3_Other[Product],Table_SourceData_Scope3_Other[AusLCI Emissions intensity])</f>
        <v>0.27</v>
      </c>
      <c r="G468" s="157">
        <f>(E468 * (F468*10^-3))</f>
        <v>0.189</v>
      </c>
      <c r="H468" s="69">
        <v>0.2</v>
      </c>
      <c r="I468" s="157">
        <f>(E468 * (IF(H468,H468,F468)*10^-3))</f>
        <v>0.14000000000000001</v>
      </c>
      <c r="J468" s="86"/>
      <c r="K468" s="48"/>
      <c r="L468" s="86"/>
    </row>
    <row r="469" spans="4:12" x14ac:dyDescent="0.25">
      <c r="D469" s="50" t="str">
        <f>'Input - Farm Inputs'!D197</f>
        <v>Sorghum grain (for seed)</v>
      </c>
      <c r="E469" s="50">
        <f>'Input - Farm Inputs'!E197</f>
        <v>800</v>
      </c>
      <c r="F469" s="50" cm="1">
        <f t="array" ref="F469">Common_InputFunctions.Utility_LookupValueInTableNumber(D469,Table_SourceData_Scope3_Other[Product],Table_SourceData_Scope3_Other[AusLCI Emissions intensity])</f>
        <v>0.23200000000000001</v>
      </c>
      <c r="G469" s="157">
        <f>(E469 * (F469*10^-3))</f>
        <v>0.18560000000000001</v>
      </c>
      <c r="H469" s="69"/>
      <c r="I469" s="157">
        <f>(E469 * (IF(H469,H469,F469)*10^-3))</f>
        <v>0.18560000000000001</v>
      </c>
      <c r="J469" s="86"/>
      <c r="K469" s="48"/>
      <c r="L469" s="86"/>
    </row>
    <row r="470" spans="4:12" x14ac:dyDescent="0.25">
      <c r="D470" s="50" t="str">
        <f>'Input - Farm Inputs'!D198</f>
        <v>Wheat grain (for seed)</v>
      </c>
      <c r="E470" s="50">
        <f>'Input - Farm Inputs'!E198</f>
        <v>900</v>
      </c>
      <c r="F470" s="50" cm="1">
        <f t="array" ref="F470">Common_InputFunctions.Utility_LookupValueInTableNumber(D470,Table_SourceData_Scope3_Other[Product],Table_SourceData_Scope3_Other[AusLCI Emissions intensity])</f>
        <v>0.26800000000000002</v>
      </c>
      <c r="G470" s="157">
        <f>(E470 * (F470*10^-3))</f>
        <v>0.2412</v>
      </c>
      <c r="H470" s="69">
        <v>0.2</v>
      </c>
      <c r="I470" s="157">
        <f>(E470 * (IF(H470,H470,F470)*10^-3))</f>
        <v>0.18000000000000002</v>
      </c>
      <c r="J470" s="86"/>
      <c r="K470" s="48"/>
      <c r="L470" s="86"/>
    </row>
    <row r="472" spans="4:12" ht="20.25" x14ac:dyDescent="0.25">
      <c r="D472" s="185" t="s">
        <v>647</v>
      </c>
      <c r="E472" s="183">
        <f>SUM(G466:G470)</f>
        <v>0.84389999999999998</v>
      </c>
      <c r="F472" s="184" t="str">
        <f>$E$155</f>
        <v>t CO2e</v>
      </c>
    </row>
    <row r="473" spans="4:12" ht="20.25" x14ac:dyDescent="0.25">
      <c r="D473" s="185" t="s">
        <v>649</v>
      </c>
      <c r="E473" s="183">
        <f>SUM(I466:I470)</f>
        <v>0.71420000000000006</v>
      </c>
      <c r="F473" s="184" t="str">
        <f>$E$155</f>
        <v>t CO2e</v>
      </c>
    </row>
    <row r="476" spans="4:12" ht="18.75" x14ac:dyDescent="0.25">
      <c r="D476" s="150" t="s">
        <v>720</v>
      </c>
    </row>
    <row r="478" spans="4:12" x14ac:dyDescent="0.25">
      <c r="D478" s="47" t="s">
        <v>170</v>
      </c>
      <c r="E478" s="47" t="s">
        <v>719</v>
      </c>
      <c r="F478" s="60" t="s">
        <v>632</v>
      </c>
      <c r="G478" s="60" t="s">
        <v>647</v>
      </c>
      <c r="H478" s="47" t="s">
        <v>633</v>
      </c>
      <c r="I478" s="60" t="s">
        <v>649</v>
      </c>
      <c r="J478" s="47" t="s">
        <v>643</v>
      </c>
      <c r="K478" s="47" t="s">
        <v>644</v>
      </c>
      <c r="L478" s="47" t="s">
        <v>645</v>
      </c>
    </row>
    <row r="479" spans="4:12" x14ac:dyDescent="0.25">
      <c r="D479" s="50" t="str">
        <f>'Input - Farm Inputs'!D201</f>
        <v>Animal ear tags (large)</v>
      </c>
      <c r="E479" s="50">
        <f>'Input - Farm Inputs'!E201</f>
        <v>100</v>
      </c>
      <c r="F479" s="50" cm="1">
        <f t="array" ref="F479">Common_InputFunctions.Utility_LookupValueInTableNumber(D479,Table_SourceData_Scope3_Other[Product],Table_SourceData_Scope3_Other[AusLCI Emissions intensity])</f>
        <v>4.24E-2</v>
      </c>
      <c r="G479" s="157">
        <f>(E479 * (F479*10^-3))</f>
        <v>4.2399999999999998E-3</v>
      </c>
      <c r="H479" s="69">
        <v>0.2</v>
      </c>
      <c r="I479" s="157">
        <f>(E479 * (IF(H479,H479,F479)*10^-3))</f>
        <v>0.02</v>
      </c>
      <c r="J479" s="86"/>
      <c r="K479" s="48"/>
      <c r="L479" s="86"/>
    </row>
    <row r="480" spans="4:12" x14ac:dyDescent="0.25">
      <c r="D480" s="50" t="str">
        <f>'Input - Farm Inputs'!D202</f>
        <v>Animal ear tags (small)</v>
      </c>
      <c r="E480" s="50">
        <f>'Input - Farm Inputs'!E202</f>
        <v>200</v>
      </c>
      <c r="F480" s="50" cm="1">
        <f t="array" ref="F480">Common_InputFunctions.Utility_LookupValueInTableNumber(D480,Table_SourceData_Scope3_Other[Product],Table_SourceData_Scope3_Other[AusLCI Emissions intensity])</f>
        <v>2.93E-2</v>
      </c>
      <c r="G480" s="157">
        <f>(E480 * (F480*10^-3))</f>
        <v>5.8599999999999998E-3</v>
      </c>
      <c r="H480" s="69"/>
      <c r="I480" s="157">
        <f>(E480 * (IF(H480,H480,F480)*10^-3))</f>
        <v>5.8599999999999998E-3</v>
      </c>
      <c r="J480" s="86"/>
      <c r="K480" s="48"/>
      <c r="L480" s="86"/>
    </row>
    <row r="481" spans="4:14" x14ac:dyDescent="0.25">
      <c r="D481" s="50" t="str">
        <f>'Input - Farm Inputs'!D203</f>
        <v>Nylon netting</v>
      </c>
      <c r="E481" s="50">
        <f>'Input - Farm Inputs'!E203</f>
        <v>300</v>
      </c>
      <c r="F481" s="50" cm="1">
        <f t="array" ref="F481">Common_InputFunctions.Utility_LookupValueInTableNumber(D481,Table_SourceData_Scope3_Other[Product],Table_SourceData_Scope3_Other[AusLCI Emissions intensity])</f>
        <v>9.81</v>
      </c>
      <c r="G481" s="157">
        <f>(E481 * (F481*10^-3))</f>
        <v>2.9430000000000005</v>
      </c>
      <c r="H481" s="69">
        <v>0.2</v>
      </c>
      <c r="I481" s="157">
        <f>(E481 * (IF(H481,H481,F481)*10^-3))</f>
        <v>6.0000000000000005E-2</v>
      </c>
      <c r="J481" s="86"/>
      <c r="K481" s="48"/>
      <c r="L481" s="86"/>
    </row>
    <row r="483" spans="4:14" ht="20.25" x14ac:dyDescent="0.25">
      <c r="D483" s="185" t="s">
        <v>647</v>
      </c>
      <c r="E483" s="183">
        <f>SUM(G479:G481)</f>
        <v>2.9531000000000005</v>
      </c>
      <c r="F483" s="184" t="str">
        <f>$E$155</f>
        <v>t CO2e</v>
      </c>
    </row>
    <row r="484" spans="4:14" ht="20.25" x14ac:dyDescent="0.25">
      <c r="D484" s="185" t="s">
        <v>649</v>
      </c>
      <c r="E484" s="183">
        <f>SUM(I479:I481)</f>
        <v>8.5860000000000006E-2</v>
      </c>
      <c r="F484" s="184" t="str">
        <f>$E$155</f>
        <v>t CO2e</v>
      </c>
    </row>
    <row r="487" spans="4:14" ht="18.75" x14ac:dyDescent="0.25">
      <c r="D487" s="150" t="s">
        <v>721</v>
      </c>
    </row>
    <row r="489" spans="4:14" x14ac:dyDescent="0.25">
      <c r="D489" s="47" t="s">
        <v>170</v>
      </c>
      <c r="E489" s="47" t="s">
        <v>611</v>
      </c>
      <c r="F489" s="47" t="s">
        <v>126</v>
      </c>
      <c r="G489" s="60" t="s">
        <v>424</v>
      </c>
      <c r="H489" s="60" t="s">
        <v>358</v>
      </c>
      <c r="I489" s="47" t="s">
        <v>425</v>
      </c>
      <c r="J489" s="47" t="s">
        <v>716</v>
      </c>
      <c r="K489" s="60" t="s">
        <v>359</v>
      </c>
      <c r="L489" s="47" t="s">
        <v>643</v>
      </c>
      <c r="M489" s="47" t="s">
        <v>644</v>
      </c>
      <c r="N489" s="47" t="s">
        <v>645</v>
      </c>
    </row>
    <row r="490" spans="4:14" x14ac:dyDescent="0.25">
      <c r="D490" s="50" t="str" cm="1">
        <f t="array" ref="D490:D499">IFERROR(INDEX(Table_Input_UncategorisedProductsServices[Product / service name], _xlfn.SEQUENCE(10)), "")</f>
        <v>Something</v>
      </c>
      <c r="E490" s="50" cm="1">
        <f t="array" ref="E490:E499">IFERROR(INDEX(Table_Input_UncategorisedProductsServices[Amount], _xlfn.SEQUENCE(10)), "")</f>
        <v>1000</v>
      </c>
      <c r="F490" s="50" t="str" cm="1">
        <f t="array" ref="F490:F499">IFERROR(INDEX(Table_Input_UncategorisedProductsServices[Amount unit], _xlfn.SEQUENCE(10)), "")</f>
        <v>kg</v>
      </c>
      <c r="G490" s="50" t="s">
        <v>842</v>
      </c>
      <c r="H490" s="50" t="s">
        <v>842</v>
      </c>
      <c r="I490" s="69">
        <v>4</v>
      </c>
      <c r="J490" s="48" t="s">
        <v>717</v>
      </c>
      <c r="K490" s="157">
        <f>(E490 * (IF(J490="kg / amount unit", I490*10^-3, I490)))</f>
        <v>4000</v>
      </c>
      <c r="L490" s="86"/>
      <c r="M490" s="48"/>
      <c r="N490" s="86"/>
    </row>
    <row r="491" spans="4:14" x14ac:dyDescent="0.25">
      <c r="D491" s="50">
        <v>0</v>
      </c>
      <c r="E491" s="50">
        <v>0</v>
      </c>
      <c r="F491" s="50">
        <v>0</v>
      </c>
      <c r="G491" s="50" t="s">
        <v>842</v>
      </c>
      <c r="H491" s="50" t="s">
        <v>842</v>
      </c>
      <c r="I491" s="69">
        <v>2</v>
      </c>
      <c r="J491" s="48" t="s">
        <v>717</v>
      </c>
      <c r="K491" s="157">
        <f>(E491 * (IF(J491="kg / amount unit", I491*10^-3, I491)))</f>
        <v>0</v>
      </c>
      <c r="L491" s="86"/>
      <c r="M491" s="48"/>
      <c r="N491" s="86"/>
    </row>
    <row r="492" spans="4:14" x14ac:dyDescent="0.25">
      <c r="D492" s="50">
        <v>0</v>
      </c>
      <c r="E492" s="50">
        <v>0</v>
      </c>
      <c r="F492" s="50">
        <v>0</v>
      </c>
      <c r="G492" s="50" t="s">
        <v>842</v>
      </c>
      <c r="H492" s="50" t="s">
        <v>842</v>
      </c>
      <c r="I492" s="69"/>
      <c r="J492" s="48"/>
      <c r="K492" s="157">
        <f>(E492 * (IF(J492="kg / amount unit", I492*10^-3, I492)))</f>
        <v>0</v>
      </c>
      <c r="L492" s="86"/>
      <c r="M492" s="48"/>
      <c r="N492" s="86"/>
    </row>
    <row r="493" spans="4:14" x14ac:dyDescent="0.25">
      <c r="D493" s="50">
        <v>0</v>
      </c>
      <c r="E493" s="50">
        <v>0</v>
      </c>
      <c r="F493" s="50">
        <v>0</v>
      </c>
      <c r="G493" s="50" t="s">
        <v>842</v>
      </c>
      <c r="H493" s="50" t="s">
        <v>842</v>
      </c>
      <c r="I493" s="69"/>
      <c r="J493" s="48"/>
      <c r="K493" s="157">
        <f>(E493 * (IF(J493="kg / amount unit", I493*10^-3, I493)))</f>
        <v>0</v>
      </c>
      <c r="L493" s="86"/>
      <c r="M493" s="48"/>
      <c r="N493" s="86"/>
    </row>
    <row r="494" spans="4:14" x14ac:dyDescent="0.25">
      <c r="D494" s="50">
        <v>0</v>
      </c>
      <c r="E494" s="50">
        <v>0</v>
      </c>
      <c r="F494" s="50">
        <v>0</v>
      </c>
      <c r="G494" s="50" t="s">
        <v>842</v>
      </c>
      <c r="H494" s="50" t="s">
        <v>842</v>
      </c>
      <c r="I494" s="69"/>
      <c r="J494" s="48"/>
      <c r="K494" s="157">
        <f>(E494 * (IF(J494="kg / amount unit", I494*10^-3, I494)))</f>
        <v>0</v>
      </c>
      <c r="L494" s="86"/>
      <c r="M494" s="48"/>
      <c r="N494" s="86"/>
    </row>
    <row r="495" spans="4:14" x14ac:dyDescent="0.25">
      <c r="D495" s="50">
        <v>0</v>
      </c>
      <c r="E495" s="50">
        <v>0</v>
      </c>
      <c r="F495" s="50">
        <v>0</v>
      </c>
      <c r="G495" s="50" t="s">
        <v>842</v>
      </c>
      <c r="H495" s="50" t="s">
        <v>842</v>
      </c>
      <c r="I495" s="69"/>
      <c r="J495" s="48"/>
      <c r="K495" s="157">
        <f>(E495 * (IF(J495="kg / amount unit", I495*10^-3, I495)))</f>
        <v>0</v>
      </c>
      <c r="L495" s="86"/>
      <c r="M495" s="48"/>
      <c r="N495" s="86"/>
    </row>
    <row r="496" spans="4:14" x14ac:dyDescent="0.25">
      <c r="D496" s="50">
        <v>0</v>
      </c>
      <c r="E496" s="50">
        <v>0</v>
      </c>
      <c r="F496" s="50">
        <v>0</v>
      </c>
      <c r="G496" s="50" t="s">
        <v>842</v>
      </c>
      <c r="H496" s="50" t="s">
        <v>842</v>
      </c>
      <c r="I496" s="69"/>
      <c r="J496" s="48"/>
      <c r="K496" s="157">
        <f>(E496 * (IF(J496="kg / amount unit", I496*10^-3, I496)))</f>
        <v>0</v>
      </c>
      <c r="L496" s="86"/>
      <c r="M496" s="48"/>
      <c r="N496" s="86"/>
    </row>
    <row r="497" spans="3:41" x14ac:dyDescent="0.25">
      <c r="D497" s="50">
        <v>0</v>
      </c>
      <c r="E497" s="50">
        <v>0</v>
      </c>
      <c r="F497" s="50">
        <v>0</v>
      </c>
      <c r="G497" s="50" t="s">
        <v>842</v>
      </c>
      <c r="H497" s="50" t="s">
        <v>842</v>
      </c>
      <c r="I497" s="69"/>
      <c r="J497" s="48"/>
      <c r="K497" s="157">
        <f>(E497 * (IF(J497="kg / amount unit", I497*10^-3, I497)))</f>
        <v>0</v>
      </c>
      <c r="L497" s="86"/>
      <c r="M497" s="48"/>
      <c r="N497" s="86"/>
    </row>
    <row r="498" spans="3:41" x14ac:dyDescent="0.25">
      <c r="D498" s="50">
        <v>0</v>
      </c>
      <c r="E498" s="50">
        <v>0</v>
      </c>
      <c r="F498" s="50">
        <v>0</v>
      </c>
      <c r="G498" s="50" t="s">
        <v>842</v>
      </c>
      <c r="H498" s="50" t="s">
        <v>842</v>
      </c>
      <c r="I498" s="69"/>
      <c r="J498" s="48"/>
      <c r="K498" s="157">
        <f>(E498 * (IF(J498="kg / amount unit", I498*10^-3, I498)))</f>
        <v>0</v>
      </c>
      <c r="L498" s="86"/>
      <c r="M498" s="48"/>
      <c r="N498" s="86"/>
    </row>
    <row r="499" spans="3:41" x14ac:dyDescent="0.25">
      <c r="D499" s="50">
        <v>0</v>
      </c>
      <c r="E499" s="50">
        <v>0</v>
      </c>
      <c r="F499" s="50">
        <v>0</v>
      </c>
      <c r="G499" s="50" t="s">
        <v>842</v>
      </c>
      <c r="H499" s="50" t="s">
        <v>842</v>
      </c>
      <c r="I499" s="69"/>
      <c r="J499" s="48"/>
      <c r="K499" s="157">
        <f>(E499 * (IF(J499="kg / amount unit", I499*10^-3, I499)))</f>
        <v>0</v>
      </c>
      <c r="L499" s="86"/>
      <c r="M499" s="48"/>
      <c r="N499" s="86"/>
    </row>
    <row r="501" spans="3:41" ht="20.25" x14ac:dyDescent="0.25">
      <c r="D501" s="185" t="s">
        <v>647</v>
      </c>
      <c r="E501" s="183" t="s">
        <v>842</v>
      </c>
      <c r="F501" s="184" t="str">
        <f>$E$155</f>
        <v>t CO2e</v>
      </c>
    </row>
    <row r="502" spans="3:41" ht="20.25" x14ac:dyDescent="0.25">
      <c r="D502" s="185" t="s">
        <v>649</v>
      </c>
      <c r="E502" s="183">
        <f>SUM(K490:K499)</f>
        <v>4000</v>
      </c>
      <c r="F502" s="184" t="str">
        <f>$E$155</f>
        <v>t CO2e</v>
      </c>
    </row>
    <row r="505" spans="3:41" x14ac:dyDescent="0.25">
      <c r="C505" s="102"/>
      <c r="D505" s="102"/>
      <c r="E505" s="102"/>
      <c r="F505" s="102"/>
      <c r="G505" s="102"/>
      <c r="H505" s="102"/>
      <c r="I505" s="102"/>
      <c r="J505" s="102"/>
      <c r="K505" s="102"/>
      <c r="L505" s="102"/>
      <c r="M505" s="102"/>
      <c r="N505" s="102"/>
      <c r="O505" s="102"/>
      <c r="P505" s="102"/>
      <c r="Q505" s="102"/>
      <c r="R505" s="102"/>
      <c r="S505" s="102"/>
      <c r="T505" s="102"/>
      <c r="U505" s="102"/>
      <c r="V505" s="102"/>
      <c r="W505" s="102"/>
      <c r="X505" s="102"/>
      <c r="Y505" s="102"/>
      <c r="Z505" s="102"/>
      <c r="AA505" s="102"/>
      <c r="AB505" s="102"/>
      <c r="AC505" s="102"/>
      <c r="AD505" s="102"/>
      <c r="AE505" s="102"/>
      <c r="AF505" s="102"/>
      <c r="AG505" s="102"/>
      <c r="AH505" s="102"/>
      <c r="AI505" s="102"/>
      <c r="AJ505" s="102"/>
      <c r="AK505" s="102"/>
      <c r="AL505" s="102"/>
      <c r="AM505" s="102"/>
      <c r="AN505" s="102"/>
      <c r="AO505" s="102"/>
    </row>
    <row r="506" spans="3:41" ht="23.25" x14ac:dyDescent="0.25">
      <c r="D506" s="9" t="s">
        <v>972</v>
      </c>
    </row>
    <row r="507" spans="3:41" x14ac:dyDescent="0.25">
      <c r="D507" s="11" t="s">
        <v>973</v>
      </c>
    </row>
    <row r="508" spans="3:41" x14ac:dyDescent="0.25">
      <c r="D508" s="178"/>
      <c r="E508" s="178"/>
    </row>
    <row r="512" spans="3:41" x14ac:dyDescent="0.25">
      <c r="D512" s="28" t="s">
        <v>641</v>
      </c>
      <c r="E512" s="8" t="s">
        <v>755</v>
      </c>
    </row>
    <row r="513" spans="3:41" x14ac:dyDescent="0.25">
      <c r="D513" s="28" t="s">
        <v>97</v>
      </c>
      <c r="E513" s="13" t="s">
        <v>860</v>
      </c>
    </row>
    <row r="515" spans="3:41" x14ac:dyDescent="0.25">
      <c r="D515" s="173" t="s">
        <v>974</v>
      </c>
      <c r="E515" s="177" t="s">
        <v>975</v>
      </c>
      <c r="F515" s="172"/>
      <c r="G515" s="173" t="s">
        <v>860</v>
      </c>
      <c r="H515" s="175" t="s">
        <v>978</v>
      </c>
      <c r="I515" s="173">
        <f>'8.1.1.1-2 Transport fuel'!E70</f>
        <v>0</v>
      </c>
    </row>
    <row r="516" spans="3:41" x14ac:dyDescent="0.25">
      <c r="D516" s="173" t="s">
        <v>976</v>
      </c>
      <c r="E516" s="177" t="s">
        <v>977</v>
      </c>
      <c r="F516" s="172"/>
      <c r="G516" s="173" t="s">
        <v>860</v>
      </c>
      <c r="H516" s="175" t="s">
        <v>979</v>
      </c>
      <c r="I516" s="173">
        <f>'8.2.1.1-2 Stationary fuel'!E58</f>
        <v>2.6200000000000004E-3</v>
      </c>
    </row>
    <row r="518" spans="3:41" ht="20.25" x14ac:dyDescent="0.25">
      <c r="D518" s="185" t="s">
        <v>755</v>
      </c>
      <c r="E518" s="183">
        <f>(I515 + I516)</f>
        <v>2.6200000000000004E-3</v>
      </c>
      <c r="F518" s="184" t="str">
        <f>$E$155</f>
        <v>t CO2e</v>
      </c>
    </row>
    <row r="520" spans="3:41" x14ac:dyDescent="0.25">
      <c r="C520" s="102"/>
      <c r="D520" s="102"/>
      <c r="E520" s="102"/>
      <c r="F520" s="102"/>
      <c r="G520" s="102"/>
      <c r="H520" s="102"/>
      <c r="I520" s="102"/>
      <c r="J520" s="102"/>
      <c r="K520" s="102"/>
      <c r="L520" s="102"/>
      <c r="M520" s="102"/>
      <c r="N520" s="102"/>
      <c r="O520" s="102"/>
      <c r="P520" s="102"/>
      <c r="Q520" s="102"/>
      <c r="R520" s="102"/>
      <c r="S520" s="102"/>
      <c r="T520" s="102"/>
      <c r="U520" s="102"/>
      <c r="V520" s="102"/>
      <c r="W520" s="102"/>
      <c r="X520" s="102"/>
      <c r="Y520" s="102"/>
      <c r="Z520" s="102"/>
      <c r="AA520" s="102"/>
      <c r="AB520" s="102"/>
      <c r="AC520" s="102"/>
      <c r="AD520" s="102"/>
      <c r="AE520" s="102"/>
      <c r="AF520" s="102"/>
      <c r="AG520" s="102"/>
      <c r="AH520" s="102"/>
      <c r="AI520" s="102"/>
      <c r="AJ520" s="102"/>
      <c r="AK520" s="102"/>
      <c r="AL520" s="102"/>
      <c r="AM520" s="102"/>
      <c r="AN520" s="102"/>
      <c r="AO520" s="102"/>
    </row>
    <row r="521" spans="3:41" ht="23.25" x14ac:dyDescent="0.25">
      <c r="D521" s="9" t="s">
        <v>980</v>
      </c>
    </row>
    <row r="522" spans="3:41" x14ac:dyDescent="0.25">
      <c r="D522" s="11" t="s">
        <v>981</v>
      </c>
    </row>
    <row r="523" spans="3:41" x14ac:dyDescent="0.25">
      <c r="D523" s="178"/>
      <c r="E523" s="178"/>
    </row>
    <row r="526" spans="3:41" x14ac:dyDescent="0.25">
      <c r="D526" s="28" t="s">
        <v>641</v>
      </c>
      <c r="E526" s="8" t="s">
        <v>982</v>
      </c>
    </row>
    <row r="527" spans="3:41" x14ac:dyDescent="0.25">
      <c r="D527" s="28" t="s">
        <v>97</v>
      </c>
      <c r="E527" s="8" t="s">
        <v>860</v>
      </c>
    </row>
    <row r="529" spans="3:41" x14ac:dyDescent="0.25">
      <c r="D529" s="173" t="s">
        <v>983</v>
      </c>
      <c r="E529" s="173" t="s">
        <v>984</v>
      </c>
      <c r="F529" s="173"/>
      <c r="G529" s="173" t="s">
        <v>240</v>
      </c>
      <c r="H529" s="174" t="s">
        <v>874</v>
      </c>
      <c r="I529" s="177">
        <f>'Input - Electricity'!E11</f>
        <v>500</v>
      </c>
      <c r="J529" s="172"/>
    </row>
    <row r="530" spans="3:41" x14ac:dyDescent="0.25">
      <c r="D530" s="173" t="s">
        <v>985</v>
      </c>
      <c r="E530" s="173" t="s">
        <v>986</v>
      </c>
      <c r="F530" s="173"/>
      <c r="G530" s="173" t="s">
        <v>988</v>
      </c>
      <c r="H530" s="175" t="s">
        <v>877</v>
      </c>
      <c r="I530" s="177" cm="1">
        <f t="array" ref="I530">Common_InputFunctions.Utility_LookupValueInTableNumber(I531,Table_SourceData_ElectricityEFs[State, Territory or grid description],Table_SourceData_ElectricityEFs[Scope 3 Emission Factors (kg CO2-e/kWh)])</f>
        <v>0.06</v>
      </c>
      <c r="J530" s="172"/>
    </row>
    <row r="531" spans="3:41" x14ac:dyDescent="0.25">
      <c r="D531" s="173" t="s">
        <v>960</v>
      </c>
      <c r="E531" s="177" t="s">
        <v>987</v>
      </c>
      <c r="F531" s="172"/>
      <c r="G531" s="173"/>
      <c r="H531" s="174" t="s">
        <v>874</v>
      </c>
      <c r="I531" s="177" t="str">
        <f>'Input - Electricity'!E13</f>
        <v>Western Australia - South West Interconnected System (SWIS)</v>
      </c>
      <c r="J531" s="172"/>
    </row>
    <row r="533" spans="3:41" ht="20.25" x14ac:dyDescent="0.25">
      <c r="D533" s="185" t="s">
        <v>756</v>
      </c>
      <c r="E533" s="183">
        <f>((I529 * I530) * 10 ^ -3)</f>
        <v>0.03</v>
      </c>
      <c r="F533" s="184" t="str">
        <f>$E$155</f>
        <v>t CO2e</v>
      </c>
    </row>
    <row r="536" spans="3:41" x14ac:dyDescent="0.25">
      <c r="C536" s="102"/>
      <c r="D536" s="102"/>
      <c r="E536" s="102"/>
      <c r="F536" s="102"/>
      <c r="G536" s="102"/>
      <c r="H536" s="102"/>
      <c r="I536" s="102"/>
      <c r="J536" s="102"/>
      <c r="K536" s="102"/>
      <c r="L536" s="102"/>
      <c r="M536" s="102"/>
      <c r="N536" s="102"/>
      <c r="O536" s="102"/>
      <c r="P536" s="102"/>
      <c r="Q536" s="102"/>
      <c r="R536" s="102"/>
      <c r="S536" s="102"/>
      <c r="T536" s="102"/>
      <c r="U536" s="102"/>
      <c r="V536" s="102"/>
      <c r="W536" s="102"/>
      <c r="X536" s="102"/>
      <c r="Y536" s="102"/>
      <c r="Z536" s="102"/>
      <c r="AA536" s="102"/>
      <c r="AB536" s="102"/>
      <c r="AC536" s="102"/>
      <c r="AD536" s="102"/>
      <c r="AE536" s="102"/>
      <c r="AF536" s="102"/>
      <c r="AG536" s="102"/>
      <c r="AH536" s="102"/>
      <c r="AI536" s="102"/>
      <c r="AJ536" s="102"/>
      <c r="AK536" s="102"/>
      <c r="AL536" s="102"/>
      <c r="AM536" s="102"/>
      <c r="AN536" s="102"/>
      <c r="AO536" s="102"/>
    </row>
    <row r="537" spans="3:41" ht="23.25" x14ac:dyDescent="0.25">
      <c r="D537" s="9" t="s">
        <v>989</v>
      </c>
    </row>
    <row r="538" spans="3:41" x14ac:dyDescent="0.25">
      <c r="D538" s="11" t="s">
        <v>990</v>
      </c>
    </row>
    <row r="539" spans="3:41" x14ac:dyDescent="0.25">
      <c r="D539" s="12" t="s">
        <v>991</v>
      </c>
    </row>
    <row r="540" spans="3:41" x14ac:dyDescent="0.25">
      <c r="D540" s="178"/>
      <c r="E540" s="178"/>
    </row>
    <row r="544" spans="3:41" x14ac:dyDescent="0.25">
      <c r="D544" s="28" t="s">
        <v>641</v>
      </c>
      <c r="E544" s="8" t="s">
        <v>982</v>
      </c>
    </row>
    <row r="545" spans="3:41" x14ac:dyDescent="0.25">
      <c r="D545" s="28" t="s">
        <v>97</v>
      </c>
      <c r="E545" s="8" t="s">
        <v>860</v>
      </c>
    </row>
    <row r="547" spans="3:41" x14ac:dyDescent="0.25">
      <c r="D547" s="173" t="s">
        <v>983</v>
      </c>
      <c r="E547" s="177" t="s">
        <v>984</v>
      </c>
      <c r="F547" s="172"/>
      <c r="G547" s="173" t="s">
        <v>240</v>
      </c>
      <c r="H547" s="174" t="s">
        <v>874</v>
      </c>
      <c r="I547" s="210">
        <f>'Input - Electricity'!E19</f>
        <v>30000</v>
      </c>
    </row>
    <row r="548" spans="3:41" x14ac:dyDescent="0.25">
      <c r="D548" s="173" t="s">
        <v>992</v>
      </c>
      <c r="E548" s="177" t="s">
        <v>993</v>
      </c>
      <c r="F548" s="172"/>
      <c r="G548" s="173" t="s">
        <v>1004</v>
      </c>
      <c r="H548" s="174" t="s">
        <v>874</v>
      </c>
      <c r="I548" s="209">
        <f>'Input - Electricity'!E20</f>
        <v>0.1</v>
      </c>
    </row>
    <row r="549" spans="3:41" x14ac:dyDescent="0.25">
      <c r="D549" s="173" t="s">
        <v>994</v>
      </c>
      <c r="E549" s="177" t="s">
        <v>995</v>
      </c>
      <c r="F549" s="172"/>
      <c r="G549" s="173" t="s">
        <v>1004</v>
      </c>
      <c r="H549" s="174" t="s">
        <v>874</v>
      </c>
      <c r="I549" s="209">
        <f>IF(I553="ACT", 'Input - Electricity'!E21, "N/A")</f>
        <v>0.1</v>
      </c>
    </row>
    <row r="550" spans="3:41" x14ac:dyDescent="0.25">
      <c r="D550" s="173" t="s">
        <v>996</v>
      </c>
      <c r="E550" s="177" t="s">
        <v>997</v>
      </c>
      <c r="F550" s="172"/>
      <c r="G550" s="173" t="s">
        <v>256</v>
      </c>
      <c r="H550" s="174" t="s">
        <v>874</v>
      </c>
      <c r="I550" s="173">
        <f>('Input - Electricity'!E23*10^-3)+'Input - Electricity'!$E$37</f>
        <v>20</v>
      </c>
    </row>
    <row r="551" spans="3:41" x14ac:dyDescent="0.25">
      <c r="D551" s="173" t="s">
        <v>998</v>
      </c>
      <c r="E551" s="177" t="s">
        <v>999</v>
      </c>
      <c r="F551" s="172"/>
      <c r="G551" s="173" t="s">
        <v>256</v>
      </c>
      <c r="H551" s="174" t="s">
        <v>874</v>
      </c>
      <c r="I551" s="173">
        <f>'Input - Electricity'!E46</f>
        <v>11</v>
      </c>
    </row>
    <row r="552" spans="3:41" x14ac:dyDescent="0.25">
      <c r="D552" s="173" t="s">
        <v>1000</v>
      </c>
      <c r="E552" s="177" t="s">
        <v>1001</v>
      </c>
      <c r="F552" s="172"/>
      <c r="G552" s="173" t="s">
        <v>988</v>
      </c>
      <c r="H552" s="175" t="s">
        <v>877</v>
      </c>
      <c r="I552" s="173" cm="1">
        <f t="array" ref="I552">Table_SourceData_ElectricityEFsMarketBased[Scope 2 EF (kg CO2-e/kWh)]</f>
        <v>0.81</v>
      </c>
    </row>
    <row r="553" spans="3:41" x14ac:dyDescent="0.25">
      <c r="D553" s="173" t="s">
        <v>1002</v>
      </c>
      <c r="E553" s="177" t="s">
        <v>1003</v>
      </c>
      <c r="F553" s="172"/>
      <c r="G553" s="173"/>
      <c r="H553" s="174" t="s">
        <v>874</v>
      </c>
      <c r="I553" s="173" t="str">
        <f>'Input - Electricity'!E12</f>
        <v>ACT</v>
      </c>
    </row>
    <row r="555" spans="3:41" ht="20.25" x14ac:dyDescent="0.25">
      <c r="D555" s="185" t="s">
        <v>756</v>
      </c>
      <c r="E555" s="183">
        <f>(((I547 * (1 - (I548 + I549))) - ((I550 - I551) * 10 ^ 3)) * I552 * 10 ^ -3)</f>
        <v>12.15</v>
      </c>
      <c r="F555" s="184" t="str">
        <f>$E$155</f>
        <v>t CO2e</v>
      </c>
    </row>
    <row r="558" spans="3:41" x14ac:dyDescent="0.25">
      <c r="C558" s="102"/>
      <c r="D558" s="102"/>
      <c r="E558" s="102"/>
      <c r="F558" s="102"/>
      <c r="G558" s="102"/>
      <c r="H558" s="102"/>
      <c r="I558" s="102"/>
      <c r="J558" s="102"/>
      <c r="K558" s="102"/>
      <c r="L558" s="102"/>
      <c r="M558" s="102"/>
      <c r="N558" s="102"/>
      <c r="O558" s="102"/>
      <c r="P558" s="102"/>
      <c r="Q558" s="102"/>
      <c r="R558" s="102"/>
      <c r="S558" s="102"/>
      <c r="T558" s="102"/>
      <c r="U558" s="102"/>
      <c r="V558" s="102"/>
      <c r="W558" s="102"/>
      <c r="X558" s="102"/>
      <c r="Y558" s="102"/>
      <c r="Z558" s="102"/>
      <c r="AA558" s="102"/>
      <c r="AB558" s="102"/>
      <c r="AC558" s="102"/>
      <c r="AD558" s="102"/>
      <c r="AE558" s="102"/>
      <c r="AF558" s="102"/>
      <c r="AG558" s="102"/>
      <c r="AH558" s="102"/>
      <c r="AI558" s="102"/>
      <c r="AJ558" s="102"/>
      <c r="AK558" s="102"/>
      <c r="AL558" s="102"/>
      <c r="AM558" s="102"/>
      <c r="AN558" s="102"/>
      <c r="AO558" s="102"/>
    </row>
    <row r="559" spans="3:41" ht="23.25" x14ac:dyDescent="0.25">
      <c r="D559" s="9" t="s">
        <v>1005</v>
      </c>
    </row>
    <row r="560" spans="3:41" x14ac:dyDescent="0.25">
      <c r="D560" s="11" t="s">
        <v>1006</v>
      </c>
    </row>
    <row r="561" spans="4:10" x14ac:dyDescent="0.25">
      <c r="D561" s="178"/>
      <c r="E561" s="178"/>
    </row>
    <row r="564" spans="4:10" x14ac:dyDescent="0.25">
      <c r="D564" s="28" t="s">
        <v>641</v>
      </c>
      <c r="E564" s="8" t="s">
        <v>755</v>
      </c>
    </row>
    <row r="565" spans="4:10" x14ac:dyDescent="0.25">
      <c r="D565" s="28" t="s">
        <v>97</v>
      </c>
      <c r="E565" s="13" t="s">
        <v>1007</v>
      </c>
    </row>
    <row r="567" spans="4:10" x14ac:dyDescent="0.25">
      <c r="D567" s="173" t="s">
        <v>1008</v>
      </c>
      <c r="E567" s="177" t="s">
        <v>1009</v>
      </c>
      <c r="F567" s="211"/>
      <c r="G567" s="172"/>
      <c r="H567" s="173" t="s">
        <v>1007</v>
      </c>
      <c r="I567" s="175" t="s">
        <v>1014</v>
      </c>
      <c r="J567" s="173">
        <f>'Calcs - Manure sent off-site'!E19</f>
        <v>7.8571428571428577E-3</v>
      </c>
    </row>
    <row r="568" spans="4:10" x14ac:dyDescent="0.25">
      <c r="D568" s="173" t="s">
        <v>1010</v>
      </c>
      <c r="E568" s="177" t="s">
        <v>1011</v>
      </c>
      <c r="F568" s="211"/>
      <c r="G568" s="172"/>
      <c r="H568" s="173" t="s">
        <v>1007</v>
      </c>
      <c r="I568" s="175" t="s">
        <v>1014</v>
      </c>
      <c r="J568" s="173">
        <f>'Calcs - Manure sent off-site'!E55</f>
        <v>2.31E-3</v>
      </c>
    </row>
    <row r="569" spans="4:10" x14ac:dyDescent="0.25">
      <c r="D569" s="173" t="s">
        <v>1012</v>
      </c>
      <c r="E569" s="177" t="s">
        <v>1013</v>
      </c>
      <c r="F569" s="211"/>
      <c r="G569" s="172"/>
      <c r="H569" s="173" t="s">
        <v>1007</v>
      </c>
      <c r="I569" s="175" t="s">
        <v>1014</v>
      </c>
      <c r="J569" s="173">
        <f>'Calcs - Manure sent off-site'!E90</f>
        <v>4.1485714285714277E-3</v>
      </c>
    </row>
    <row r="571" spans="4:10" ht="20.25" x14ac:dyDescent="0.25">
      <c r="D571" s="185" t="s">
        <v>756</v>
      </c>
      <c r="E571" s="183">
        <f>(J567 + J568 + J569)</f>
        <v>1.4315714285714286E-2</v>
      </c>
      <c r="F571" s="184" t="str">
        <f>$E$565</f>
        <v>t N2O</v>
      </c>
    </row>
    <row r="573" spans="4:10" x14ac:dyDescent="0.25">
      <c r="D573" s="212" t="str" cm="1">
        <f t="array" ref="D573:E574">Common_Equations.Common_ConvertN2OToCO2e_Arguments()</f>
        <v>EN2O</v>
      </c>
      <c r="E573" s="213" t="str">
        <v>Nitrous oxide emissions (t N2O)</v>
      </c>
      <c r="F573" s="214"/>
      <c r="G573" s="50">
        <f>E571</f>
        <v>1.4315714285714286E-2</v>
      </c>
    </row>
    <row r="574" spans="4:10" x14ac:dyDescent="0.25">
      <c r="D574" s="212" t="str">
        <v>GWPN2O</v>
      </c>
      <c r="E574" s="213" t="str">
        <v>Global warming potential for nitrous oxide (t CO2-e / t N2O)</v>
      </c>
      <c r="F574" s="214"/>
      <c r="G574" s="50">
        <f>Common_InputFunctions.Utility_LookupValueInTableNumber("N2O",Table_GWPData[Gas],Table_GWPData[CO2-e factor])</f>
        <v>265</v>
      </c>
    </row>
    <row r="576" spans="4:10" ht="18.75" x14ac:dyDescent="0.25">
      <c r="D576" s="102" t="s">
        <v>761</v>
      </c>
      <c r="E576" s="102" cm="1">
        <f t="array" ref="E576">Common_Equations.Common_ConvertN2OToCO2e(G573,G574)</f>
        <v>3.7936642857142857</v>
      </c>
      <c r="F576" s="181" t="str" cm="1">
        <f t="array" ref="F576">Common_Equations.Common_ConvertN2OToCO2e_Unit()</f>
        <v>t CO2e</v>
      </c>
    </row>
    <row r="579" spans="3:41" x14ac:dyDescent="0.25">
      <c r="C579" s="102"/>
      <c r="D579" s="102"/>
      <c r="E579" s="102"/>
      <c r="F579" s="102"/>
      <c r="G579" s="102"/>
      <c r="H579" s="102"/>
      <c r="I579" s="102"/>
      <c r="J579" s="102"/>
      <c r="K579" s="102"/>
      <c r="L579" s="102"/>
      <c r="M579" s="102"/>
      <c r="N579" s="102"/>
      <c r="O579" s="102"/>
      <c r="P579" s="102"/>
      <c r="Q579" s="102"/>
      <c r="R579" s="102"/>
      <c r="S579" s="102"/>
      <c r="T579" s="102"/>
      <c r="U579" s="102"/>
      <c r="V579" s="102"/>
      <c r="W579" s="102"/>
      <c r="X579" s="102"/>
      <c r="Y579" s="102"/>
      <c r="Z579" s="102"/>
      <c r="AA579" s="102"/>
      <c r="AB579" s="102"/>
      <c r="AC579" s="102"/>
      <c r="AD579" s="102"/>
      <c r="AE579" s="102"/>
      <c r="AF579" s="102"/>
      <c r="AG579" s="102"/>
      <c r="AH579" s="102"/>
      <c r="AI579" s="102"/>
      <c r="AJ579" s="102"/>
      <c r="AK579" s="102"/>
      <c r="AL579" s="102"/>
      <c r="AM579" s="102"/>
      <c r="AN579" s="102"/>
      <c r="AO579" s="102"/>
    </row>
    <row r="580" spans="3:41" ht="23.25" x14ac:dyDescent="0.25">
      <c r="D580" s="9" t="s">
        <v>1015</v>
      </c>
    </row>
    <row r="581" spans="3:41" x14ac:dyDescent="0.25">
      <c r="D581" s="11" t="s">
        <v>1016</v>
      </c>
    </row>
    <row r="583" spans="3:41" x14ac:dyDescent="0.25">
      <c r="D583" s="28" t="s">
        <v>641</v>
      </c>
      <c r="E583" s="8" t="s">
        <v>755</v>
      </c>
    </row>
    <row r="584" spans="3:41" x14ac:dyDescent="0.25">
      <c r="D584" s="28" t="s">
        <v>97</v>
      </c>
      <c r="E584" s="13" t="s">
        <v>860</v>
      </c>
    </row>
    <row r="586" spans="3:41" ht="20.25" x14ac:dyDescent="0.25">
      <c r="D586" s="185" t="s">
        <v>756</v>
      </c>
      <c r="E586" s="183">
        <f>'10.1.1-2 Solid waste treatment'!E136</f>
        <v>330.84210000000002</v>
      </c>
      <c r="F586" s="184" t="str">
        <f>E584</f>
        <v>t CO2e</v>
      </c>
    </row>
    <row r="589" spans="3:41" x14ac:dyDescent="0.25">
      <c r="C589" s="102"/>
      <c r="D589" s="102"/>
      <c r="E589" s="102"/>
      <c r="F589" s="102"/>
      <c r="G589" s="102"/>
      <c r="H589" s="102"/>
      <c r="I589" s="102"/>
      <c r="J589" s="102"/>
      <c r="K589" s="102"/>
      <c r="L589" s="102"/>
      <c r="M589" s="102"/>
      <c r="N589" s="102"/>
      <c r="O589" s="102"/>
      <c r="P589" s="102"/>
      <c r="Q589" s="102"/>
      <c r="R589" s="102"/>
      <c r="S589" s="102"/>
      <c r="T589" s="102"/>
      <c r="U589" s="102"/>
      <c r="V589" s="102"/>
      <c r="W589" s="102"/>
      <c r="X589" s="102"/>
      <c r="Y589" s="102"/>
      <c r="Z589" s="102"/>
      <c r="AA589" s="102"/>
      <c r="AB589" s="102"/>
      <c r="AC589" s="102"/>
      <c r="AD589" s="102"/>
      <c r="AE589" s="102"/>
      <c r="AF589" s="102"/>
      <c r="AG589" s="102"/>
      <c r="AH589" s="102"/>
      <c r="AI589" s="102"/>
      <c r="AJ589" s="102"/>
      <c r="AK589" s="102"/>
      <c r="AL589" s="102"/>
      <c r="AM589" s="102"/>
      <c r="AN589" s="102"/>
      <c r="AO589" s="102"/>
    </row>
    <row r="590" spans="3:41" ht="23.25" x14ac:dyDescent="0.25">
      <c r="D590" s="9" t="s">
        <v>1017</v>
      </c>
    </row>
    <row r="591" spans="3:41" x14ac:dyDescent="0.25">
      <c r="D591" s="11" t="s">
        <v>1018</v>
      </c>
    </row>
    <row r="592" spans="3:41" x14ac:dyDescent="0.25">
      <c r="D592" s="178"/>
      <c r="E592" s="178"/>
    </row>
    <row r="596" spans="4:13" x14ac:dyDescent="0.25">
      <c r="D596" s="28" t="s">
        <v>641</v>
      </c>
      <c r="E596" s="8" t="s">
        <v>755</v>
      </c>
    </row>
    <row r="597" spans="4:13" x14ac:dyDescent="0.25">
      <c r="D597" s="28" t="s">
        <v>97</v>
      </c>
      <c r="E597" s="13" t="s">
        <v>860</v>
      </c>
    </row>
    <row r="599" spans="4:13" x14ac:dyDescent="0.25">
      <c r="D599" s="173" t="s">
        <v>1019</v>
      </c>
      <c r="E599" s="177" t="s">
        <v>1020</v>
      </c>
      <c r="F599" s="172"/>
      <c r="G599" s="173" t="s">
        <v>886</v>
      </c>
      <c r="H599" s="174" t="s">
        <v>874</v>
      </c>
    </row>
    <row r="600" spans="4:13" x14ac:dyDescent="0.25">
      <c r="D600" s="173" t="s">
        <v>1021</v>
      </c>
      <c r="E600" s="177" t="s">
        <v>1022</v>
      </c>
      <c r="F600" s="172"/>
      <c r="G600" s="173" t="s">
        <v>1025</v>
      </c>
      <c r="H600" s="174" t="s">
        <v>874</v>
      </c>
    </row>
    <row r="601" spans="4:13" x14ac:dyDescent="0.25">
      <c r="D601" s="173" t="s">
        <v>898</v>
      </c>
      <c r="E601" s="177" t="s">
        <v>1023</v>
      </c>
      <c r="F601" s="172"/>
      <c r="G601" s="173" t="s">
        <v>1026</v>
      </c>
      <c r="H601" s="175" t="s">
        <v>877</v>
      </c>
    </row>
    <row r="602" spans="4:13" x14ac:dyDescent="0.25">
      <c r="D602" s="173" t="s">
        <v>905</v>
      </c>
      <c r="E602" s="177" t="s">
        <v>1024</v>
      </c>
      <c r="F602" s="172"/>
      <c r="G602" s="173"/>
      <c r="H602" s="174" t="s">
        <v>874</v>
      </c>
    </row>
    <row r="604" spans="4:13" ht="18.75" x14ac:dyDescent="0.25">
      <c r="D604" s="150" t="s">
        <v>826</v>
      </c>
    </row>
    <row r="606" spans="4:13" ht="17.25" x14ac:dyDescent="0.25">
      <c r="D606" s="47" t="s">
        <v>827</v>
      </c>
      <c r="E606" s="47" t="s">
        <v>839</v>
      </c>
      <c r="F606" s="47" t="s">
        <v>840</v>
      </c>
      <c r="G606" s="60" t="s">
        <v>841</v>
      </c>
      <c r="H606" s="60" t="s">
        <v>647</v>
      </c>
      <c r="I606" s="47" t="s">
        <v>683</v>
      </c>
      <c r="J606" s="60" t="s">
        <v>649</v>
      </c>
      <c r="K606" s="47" t="s">
        <v>643</v>
      </c>
      <c r="L606" s="47" t="s">
        <v>644</v>
      </c>
      <c r="M606" s="47" t="s">
        <v>645</v>
      </c>
    </row>
    <row r="607" spans="4:13" x14ac:dyDescent="0.25">
      <c r="D607" s="50" t="str" cm="1">
        <f t="array" ref="D607:D616">IFERROR(INDEX(Table_Input_FreightIncoming[Route name], _xlfn.SEQUENCE(10)), "")</f>
        <v>Melbourne depot to farm depot weekly</v>
      </c>
      <c r="E607" s="50" cm="1">
        <f t="array" ref="E607:E616">IFERROR(INDEX(Table_Input_FreightIncoming[Average weight of freight per trip (t)], _xlfn.SEQUENCE(10)), "")</f>
        <v>10</v>
      </c>
      <c r="F607" s="50" cm="1">
        <f t="array" ref="F607:F616">IFERROR(INDEX(Table_Input_FreightIncoming[Route distance (km)], _xlfn.SEQUENCE(10))*INDEX(Table_Input_FreightIncoming[Number of trips taken], _xlfn.SEQUENCE(10)), "")</f>
        <v>51272</v>
      </c>
      <c r="G607" s="50" t="s">
        <v>842</v>
      </c>
      <c r="H607" s="50" t="s">
        <v>842</v>
      </c>
      <c r="I607" s="69">
        <v>10</v>
      </c>
      <c r="J607" s="50">
        <f>((E607 * F607) * I607)</f>
        <v>5127200</v>
      </c>
      <c r="K607" s="86"/>
      <c r="L607" s="48"/>
      <c r="M607" s="86"/>
    </row>
    <row r="608" spans="4:13" x14ac:dyDescent="0.25">
      <c r="D608" s="50" t="str">
        <v>Fertiliser supplier to farm</v>
      </c>
      <c r="E608" s="50">
        <v>10</v>
      </c>
      <c r="F608" s="50">
        <v>390</v>
      </c>
      <c r="G608" s="50" t="s">
        <v>842</v>
      </c>
      <c r="H608" s="50" t="s">
        <v>842</v>
      </c>
      <c r="I608" s="69">
        <v>5</v>
      </c>
      <c r="J608" s="50">
        <f>((E608 * F608) * I608)</f>
        <v>19500</v>
      </c>
      <c r="K608" s="86"/>
      <c r="L608" s="48"/>
      <c r="M608" s="86"/>
    </row>
    <row r="609" spans="4:13" x14ac:dyDescent="0.25">
      <c r="D609" s="50">
        <v>0</v>
      </c>
      <c r="E609" s="50">
        <v>0</v>
      </c>
      <c r="F609" s="50">
        <v>0</v>
      </c>
      <c r="G609" s="50" t="s">
        <v>842</v>
      </c>
      <c r="H609" s="50" t="s">
        <v>842</v>
      </c>
      <c r="I609" s="69"/>
      <c r="J609" s="50">
        <f>((E609 * F609) * I609)</f>
        <v>0</v>
      </c>
      <c r="K609" s="86"/>
      <c r="L609" s="48"/>
      <c r="M609" s="86"/>
    </row>
    <row r="610" spans="4:13" x14ac:dyDescent="0.25">
      <c r="D610" s="50">
        <v>0</v>
      </c>
      <c r="E610" s="50">
        <v>0</v>
      </c>
      <c r="F610" s="50">
        <v>0</v>
      </c>
      <c r="G610" s="50" t="s">
        <v>842</v>
      </c>
      <c r="H610" s="50" t="s">
        <v>842</v>
      </c>
      <c r="I610" s="69"/>
      <c r="J610" s="50">
        <f>((E610 * F610) * I610)</f>
        <v>0</v>
      </c>
      <c r="K610" s="86"/>
      <c r="L610" s="48"/>
      <c r="M610" s="86"/>
    </row>
    <row r="611" spans="4:13" x14ac:dyDescent="0.25">
      <c r="D611" s="50">
        <v>0</v>
      </c>
      <c r="E611" s="50">
        <v>0</v>
      </c>
      <c r="F611" s="50">
        <v>0</v>
      </c>
      <c r="G611" s="50" t="s">
        <v>842</v>
      </c>
      <c r="H611" s="50" t="s">
        <v>842</v>
      </c>
      <c r="I611" s="69"/>
      <c r="J611" s="50">
        <f>((E611 * F611) * I611)</f>
        <v>0</v>
      </c>
      <c r="K611" s="86"/>
      <c r="L611" s="48"/>
      <c r="M611" s="86"/>
    </row>
    <row r="612" spans="4:13" x14ac:dyDescent="0.25">
      <c r="D612" s="50">
        <v>0</v>
      </c>
      <c r="E612" s="50">
        <v>0</v>
      </c>
      <c r="F612" s="50">
        <v>0</v>
      </c>
      <c r="G612" s="50" t="s">
        <v>842</v>
      </c>
      <c r="H612" s="50" t="s">
        <v>842</v>
      </c>
      <c r="I612" s="69"/>
      <c r="J612" s="50">
        <f>((E612 * F612) * I612)</f>
        <v>0</v>
      </c>
      <c r="K612" s="86"/>
      <c r="L612" s="48"/>
      <c r="M612" s="86"/>
    </row>
    <row r="613" spans="4:13" x14ac:dyDescent="0.25">
      <c r="D613" s="50">
        <v>0</v>
      </c>
      <c r="E613" s="50">
        <v>0</v>
      </c>
      <c r="F613" s="50">
        <v>0</v>
      </c>
      <c r="G613" s="50" t="s">
        <v>842</v>
      </c>
      <c r="H613" s="50" t="s">
        <v>842</v>
      </c>
      <c r="I613" s="69"/>
      <c r="J613" s="50">
        <f>((E613 * F613) * I613)</f>
        <v>0</v>
      </c>
      <c r="K613" s="86"/>
      <c r="L613" s="48"/>
      <c r="M613" s="86"/>
    </row>
    <row r="614" spans="4:13" x14ac:dyDescent="0.25">
      <c r="D614" s="50">
        <v>0</v>
      </c>
      <c r="E614" s="50">
        <v>0</v>
      </c>
      <c r="F614" s="50">
        <v>0</v>
      </c>
      <c r="G614" s="50" t="s">
        <v>842</v>
      </c>
      <c r="H614" s="50" t="s">
        <v>842</v>
      </c>
      <c r="I614" s="69"/>
      <c r="J614" s="50">
        <f>((E614 * F614) * I614)</f>
        <v>0</v>
      </c>
      <c r="K614" s="86"/>
      <c r="L614" s="48"/>
      <c r="M614" s="86"/>
    </row>
    <row r="615" spans="4:13" x14ac:dyDescent="0.25">
      <c r="D615" s="50">
        <v>0</v>
      </c>
      <c r="E615" s="50">
        <v>0</v>
      </c>
      <c r="F615" s="50">
        <v>0</v>
      </c>
      <c r="G615" s="50" t="s">
        <v>842</v>
      </c>
      <c r="H615" s="50" t="s">
        <v>842</v>
      </c>
      <c r="I615" s="69"/>
      <c r="J615" s="50">
        <f>((E615 * F615) * I615)</f>
        <v>0</v>
      </c>
      <c r="K615" s="86"/>
      <c r="L615" s="48"/>
      <c r="M615" s="86"/>
    </row>
    <row r="616" spans="4:13" x14ac:dyDescent="0.25">
      <c r="D616" s="50">
        <v>0</v>
      </c>
      <c r="E616" s="50">
        <v>0</v>
      </c>
      <c r="F616" s="50">
        <v>0</v>
      </c>
      <c r="G616" s="50" t="s">
        <v>842</v>
      </c>
      <c r="H616" s="50" t="s">
        <v>842</v>
      </c>
      <c r="I616" s="69"/>
      <c r="J616" s="50">
        <f>((E616 * F616) * I616)</f>
        <v>0</v>
      </c>
      <c r="K616" s="86"/>
      <c r="L616" s="48"/>
      <c r="M616" s="86"/>
    </row>
    <row r="618" spans="4:13" x14ac:dyDescent="0.25">
      <c r="D618" s="180" t="s">
        <v>845</v>
      </c>
      <c r="E618" s="102" t="s">
        <v>842</v>
      </c>
      <c r="F618" s="181" t="str">
        <f>$E$104</f>
        <v>t CO2e</v>
      </c>
    </row>
    <row r="619" spans="4:13" x14ac:dyDescent="0.25">
      <c r="D619" s="180" t="s">
        <v>846</v>
      </c>
      <c r="E619" s="102">
        <f>SUM(J607:J616)</f>
        <v>5146700</v>
      </c>
      <c r="F619" s="181" t="str">
        <f>$E$104</f>
        <v>t CO2e</v>
      </c>
    </row>
    <row r="622" spans="4:13" ht="18.75" x14ac:dyDescent="0.25">
      <c r="D622" s="150" t="s">
        <v>834</v>
      </c>
    </row>
    <row r="624" spans="4:13" ht="17.25" x14ac:dyDescent="0.25">
      <c r="D624" s="47" t="s">
        <v>827</v>
      </c>
      <c r="E624" s="47" t="s">
        <v>839</v>
      </c>
      <c r="F624" s="47" t="s">
        <v>840</v>
      </c>
      <c r="G624" s="60" t="s">
        <v>841</v>
      </c>
      <c r="H624" s="60" t="s">
        <v>647</v>
      </c>
      <c r="I624" s="47" t="s">
        <v>683</v>
      </c>
      <c r="J624" s="60" t="s">
        <v>649</v>
      </c>
      <c r="K624" s="47" t="s">
        <v>643</v>
      </c>
      <c r="L624" s="47" t="s">
        <v>644</v>
      </c>
      <c r="M624" s="47" t="s">
        <v>645</v>
      </c>
    </row>
    <row r="625" spans="4:13" x14ac:dyDescent="0.25">
      <c r="D625" s="50" t="str" cm="1">
        <f t="array" ref="D625:D634">IFERROR(INDEX(Table_Input_FreightOutgoing[Route name], _xlfn.SEQUENCE(10)), "")</f>
        <v>Farm to bulk handler</v>
      </c>
      <c r="E625" s="50" cm="1">
        <f t="array" ref="E625:E634">IFERROR(INDEX(Table_Input_FreightOutgoing[Average weight of freight per trip (t)], _xlfn.SEQUENCE(10)), "")</f>
        <v>20</v>
      </c>
      <c r="F625" s="50" cm="1">
        <f t="array" ref="F625:F634">IFERROR(INDEX(Table_Input_FreightOutgoing[Route distance (km)], _xlfn.SEQUENCE(10))*INDEX(Table_Input_FreightOutgoing[Number of trips taken], _xlfn.SEQUENCE(10)), "")</f>
        <v>3380</v>
      </c>
      <c r="G625" s="50" t="s">
        <v>842</v>
      </c>
      <c r="H625" s="50" t="s">
        <v>842</v>
      </c>
      <c r="I625" s="69">
        <v>6.4</v>
      </c>
      <c r="J625" s="50">
        <f>((E625 * F625) * I625)</f>
        <v>432640</v>
      </c>
      <c r="K625" s="86"/>
      <c r="L625" s="48"/>
      <c r="M625" s="86"/>
    </row>
    <row r="626" spans="4:13" x14ac:dyDescent="0.25">
      <c r="D626" s="50">
        <v>0</v>
      </c>
      <c r="E626" s="50">
        <v>0</v>
      </c>
      <c r="F626" s="50">
        <v>0</v>
      </c>
      <c r="G626" s="50" t="s">
        <v>842</v>
      </c>
      <c r="H626" s="50" t="s">
        <v>842</v>
      </c>
      <c r="I626" s="69"/>
      <c r="J626" s="50">
        <f>((E626 * F626) * I626)</f>
        <v>0</v>
      </c>
      <c r="K626" s="86"/>
      <c r="L626" s="48"/>
      <c r="M626" s="86"/>
    </row>
    <row r="627" spans="4:13" x14ac:dyDescent="0.25">
      <c r="D627" s="50">
        <v>0</v>
      </c>
      <c r="E627" s="50">
        <v>0</v>
      </c>
      <c r="F627" s="50">
        <v>0</v>
      </c>
      <c r="G627" s="50" t="s">
        <v>842</v>
      </c>
      <c r="H627" s="50" t="s">
        <v>842</v>
      </c>
      <c r="I627" s="69"/>
      <c r="J627" s="50">
        <f>((E627 * F627) * I627)</f>
        <v>0</v>
      </c>
      <c r="K627" s="86"/>
      <c r="L627" s="48"/>
      <c r="M627" s="86"/>
    </row>
    <row r="628" spans="4:13" x14ac:dyDescent="0.25">
      <c r="D628" s="50">
        <v>0</v>
      </c>
      <c r="E628" s="50">
        <v>0</v>
      </c>
      <c r="F628" s="50">
        <v>0</v>
      </c>
      <c r="G628" s="50" t="s">
        <v>842</v>
      </c>
      <c r="H628" s="50" t="s">
        <v>842</v>
      </c>
      <c r="I628" s="69"/>
      <c r="J628" s="50">
        <f>((E628 * F628) * I628)</f>
        <v>0</v>
      </c>
      <c r="K628" s="86"/>
      <c r="L628" s="48"/>
      <c r="M628" s="86"/>
    </row>
    <row r="629" spans="4:13" x14ac:dyDescent="0.25">
      <c r="D629" s="50">
        <v>0</v>
      </c>
      <c r="E629" s="50">
        <v>0</v>
      </c>
      <c r="F629" s="50">
        <v>0</v>
      </c>
      <c r="G629" s="50" t="s">
        <v>842</v>
      </c>
      <c r="H629" s="50" t="s">
        <v>842</v>
      </c>
      <c r="I629" s="69"/>
      <c r="J629" s="50">
        <f>((E629 * F629) * I629)</f>
        <v>0</v>
      </c>
      <c r="K629" s="86"/>
      <c r="L629" s="48"/>
      <c r="M629" s="86"/>
    </row>
    <row r="630" spans="4:13" x14ac:dyDescent="0.25">
      <c r="D630" s="50">
        <v>0</v>
      </c>
      <c r="E630" s="50">
        <v>0</v>
      </c>
      <c r="F630" s="50">
        <v>0</v>
      </c>
      <c r="G630" s="50" t="s">
        <v>842</v>
      </c>
      <c r="H630" s="50" t="s">
        <v>842</v>
      </c>
      <c r="I630" s="69"/>
      <c r="J630" s="50">
        <f>((E630 * F630) * I630)</f>
        <v>0</v>
      </c>
      <c r="K630" s="86"/>
      <c r="L630" s="48"/>
      <c r="M630" s="86"/>
    </row>
    <row r="631" spans="4:13" x14ac:dyDescent="0.25">
      <c r="D631" s="50">
        <v>0</v>
      </c>
      <c r="E631" s="50">
        <v>0</v>
      </c>
      <c r="F631" s="50">
        <v>0</v>
      </c>
      <c r="G631" s="50" t="s">
        <v>842</v>
      </c>
      <c r="H631" s="50" t="s">
        <v>842</v>
      </c>
      <c r="I631" s="69"/>
      <c r="J631" s="50">
        <f>((E631 * F631) * I631)</f>
        <v>0</v>
      </c>
      <c r="K631" s="86"/>
      <c r="L631" s="48"/>
      <c r="M631" s="86"/>
    </row>
    <row r="632" spans="4:13" x14ac:dyDescent="0.25">
      <c r="D632" s="50">
        <v>0</v>
      </c>
      <c r="E632" s="50">
        <v>0</v>
      </c>
      <c r="F632" s="50">
        <v>0</v>
      </c>
      <c r="G632" s="50" t="s">
        <v>842</v>
      </c>
      <c r="H632" s="50" t="s">
        <v>842</v>
      </c>
      <c r="I632" s="69"/>
      <c r="J632" s="50">
        <f>((E632 * F632) * I632)</f>
        <v>0</v>
      </c>
      <c r="K632" s="86"/>
      <c r="L632" s="48"/>
      <c r="M632" s="86"/>
    </row>
    <row r="633" spans="4:13" x14ac:dyDescent="0.25">
      <c r="D633" s="50">
        <v>0</v>
      </c>
      <c r="E633" s="50">
        <v>0</v>
      </c>
      <c r="F633" s="50">
        <v>0</v>
      </c>
      <c r="G633" s="50" t="s">
        <v>842</v>
      </c>
      <c r="H633" s="50" t="s">
        <v>842</v>
      </c>
      <c r="I633" s="69"/>
      <c r="J633" s="50">
        <f>((E633 * F633) * I633)</f>
        <v>0</v>
      </c>
      <c r="K633" s="86"/>
      <c r="L633" s="48"/>
      <c r="M633" s="86"/>
    </row>
    <row r="634" spans="4:13" x14ac:dyDescent="0.25">
      <c r="D634" s="50">
        <v>0</v>
      </c>
      <c r="E634" s="50">
        <v>0</v>
      </c>
      <c r="F634" s="50">
        <v>0</v>
      </c>
      <c r="G634" s="50" t="s">
        <v>842</v>
      </c>
      <c r="H634" s="50" t="s">
        <v>842</v>
      </c>
      <c r="I634" s="69"/>
      <c r="J634" s="50">
        <f>((E634 * F634) * I634)</f>
        <v>0</v>
      </c>
      <c r="K634" s="86"/>
      <c r="L634" s="48"/>
      <c r="M634" s="86"/>
    </row>
    <row r="636" spans="4:13" x14ac:dyDescent="0.25">
      <c r="D636" s="180" t="s">
        <v>843</v>
      </c>
      <c r="E636" s="102" t="s">
        <v>842</v>
      </c>
      <c r="F636" s="181" t="str">
        <f>$E$104</f>
        <v>t CO2e</v>
      </c>
    </row>
    <row r="637" spans="4:13" x14ac:dyDescent="0.25">
      <c r="D637" s="180" t="s">
        <v>844</v>
      </c>
      <c r="E637" s="102">
        <f>SUM(J625:J634)</f>
        <v>432640</v>
      </c>
      <c r="F637" s="181" t="str">
        <f>$E$104</f>
        <v>t CO2e</v>
      </c>
    </row>
    <row r="639" spans="4:13" ht="20.25" x14ac:dyDescent="0.25">
      <c r="D639" s="182" t="s">
        <v>647</v>
      </c>
      <c r="E639" s="183" t="s">
        <v>842</v>
      </c>
      <c r="F639" s="184" t="str">
        <f>$E$104</f>
        <v>t CO2e</v>
      </c>
    </row>
    <row r="640" spans="4:13" ht="20.25" x14ac:dyDescent="0.25">
      <c r="D640" s="182" t="s">
        <v>649</v>
      </c>
      <c r="E640" s="183">
        <f>E619+E637</f>
        <v>5579340</v>
      </c>
      <c r="F640" s="184" t="str">
        <f>$E$104</f>
        <v>t CO2e</v>
      </c>
    </row>
  </sheetData>
  <dataValidations disablePrompts="1" count="2">
    <dataValidation type="list" allowBlank="1" showInputMessage="1" showErrorMessage="1" sqref="L42:L51 L61:L70 L79:L88 L430:L439 L448:L457 K119:K128 L367:L376 K136:K139 K162:K164 O23:O32 M221:M231 L305:L314 K273:K282 N336:N345 M490:M499 M237:M251 M399:M408 K466:K470 K479:K483 L607:L616 L625:L634" xr:uid="{A98F9A2A-5979-48D5-8578-50210547ED4A}">
      <formula1>INDIRECT("Table_SourceData_DataScores_Scope3[Data source]")</formula1>
    </dataValidation>
    <dataValidation type="list" allowBlank="1" showInputMessage="1" showErrorMessage="1" sqref="J490:J499" xr:uid="{329D1E08-2407-476E-911D-B5DBC99D27A4}">
      <formula1>"kg / amount unit, t / amount unit"</formula1>
    </dataValidation>
  </dataValidation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771E9-F2D0-4292-ABFB-027E6AD3AAA9}">
  <sheetPr>
    <tabColor theme="9" tint="-0.249977111117893"/>
  </sheetPr>
  <dimension ref="A1:L342"/>
  <sheetViews>
    <sheetView showGridLines="0" topLeftCell="A111" zoomScaleNormal="100" workbookViewId="0">
      <selection activeCell="K20" sqref="K20"/>
    </sheetView>
  </sheetViews>
  <sheetFormatPr defaultRowHeight="15.75" x14ac:dyDescent="0.25"/>
  <cols>
    <col min="1" max="1" width="26.875" style="3" customWidth="1"/>
    <col min="2" max="2" width="4.125" style="3" customWidth="1"/>
    <col min="3" max="3" width="4.125" style="8" customWidth="1"/>
    <col min="4" max="4" width="40.5" style="8" customWidth="1"/>
    <col min="5" max="11" width="26.875" style="8" customWidth="1"/>
    <col min="12" max="12" width="4.125" style="8" customWidth="1"/>
    <col min="13" max="16384" width="9" style="3"/>
  </cols>
  <sheetData>
    <row r="1" spans="1:12" s="1" customFormat="1" ht="30" customHeight="1" x14ac:dyDescent="0.35">
      <c r="A1" s="38" t="e" vm="1">
        <v>#VALUE!</v>
      </c>
      <c r="C1" s="1" t="s">
        <v>806</v>
      </c>
    </row>
    <row r="2" spans="1:12" s="2" customFormat="1" ht="20.100000000000001" customHeight="1" x14ac:dyDescent="0.25"/>
    <row r="3" spans="1:12" ht="20.100000000000001" customHeight="1" x14ac:dyDescent="0.25">
      <c r="A3" s="16" t="str">
        <f>HYPERLINK("#'Home'!A1", "Home")</f>
        <v>Home</v>
      </c>
      <c r="C3" s="5"/>
      <c r="D3" s="5" t="s">
        <v>418</v>
      </c>
      <c r="E3" s="5"/>
      <c r="F3" s="5"/>
      <c r="G3" s="5"/>
      <c r="H3" s="5"/>
      <c r="I3" s="5"/>
      <c r="J3" s="5"/>
      <c r="K3" s="5"/>
      <c r="L3" s="5"/>
    </row>
    <row r="4" spans="1:12" ht="20.100000000000001" customHeight="1" x14ac:dyDescent="0.25">
      <c r="A4" s="16" t="str">
        <f>HYPERLINK("#'Overview'!A1", "Overview")</f>
        <v>Overview</v>
      </c>
    </row>
    <row r="5" spans="1:12" ht="20.100000000000001" customHeight="1" x14ac:dyDescent="0.25">
      <c r="A5" s="16" t="str">
        <f>HYPERLINK("#'Results'!A1", "Results")</f>
        <v>Results</v>
      </c>
      <c r="D5" s="9" t="s">
        <v>1027</v>
      </c>
    </row>
    <row r="6" spans="1:12" ht="20.100000000000001" customHeight="1" x14ac:dyDescent="0.25">
      <c r="A6" s="18"/>
      <c r="D6" s="11" t="s">
        <v>1028</v>
      </c>
    </row>
    <row r="7" spans="1:12" ht="20.100000000000001" customHeight="1" x14ac:dyDescent="0.25">
      <c r="A7" s="19" t="s">
        <v>67</v>
      </c>
      <c r="D7" s="178"/>
      <c r="E7" s="178"/>
    </row>
    <row r="8" spans="1:12" ht="20.100000000000001" customHeight="1" x14ac:dyDescent="0.25">
      <c r="A8" s="16" t="str">
        <f>HYPERLINK("#'Input - Solid waste'!A1", "Solid waste")</f>
        <v>Solid waste</v>
      </c>
    </row>
    <row r="9" spans="1:12" ht="20.100000000000001" customHeight="1" x14ac:dyDescent="0.25">
      <c r="A9" s="16"/>
    </row>
    <row r="10" spans="1:12" ht="20.100000000000001" customHeight="1" x14ac:dyDescent="0.25">
      <c r="A10" s="21" t="s">
        <v>77</v>
      </c>
      <c r="D10" s="28" t="s">
        <v>641</v>
      </c>
      <c r="E10" s="8" t="s">
        <v>1029</v>
      </c>
    </row>
    <row r="11" spans="1:12" ht="20.100000000000001" customHeight="1" x14ac:dyDescent="0.25">
      <c r="A11" s="186" t="str">
        <f>HYPERLINK("#'10.1.1-2 Solid waste treatment'!A1", "10.1.1-2 Solid waste treatment")</f>
        <v>10.1.1-2 Solid waste treatment</v>
      </c>
      <c r="D11" s="28" t="s">
        <v>97</v>
      </c>
      <c r="E11" s="13" t="s">
        <v>886</v>
      </c>
    </row>
    <row r="12" spans="1:12" ht="20.100000000000001" customHeight="1" x14ac:dyDescent="0.25">
      <c r="A12" s="16"/>
    </row>
    <row r="13" spans="1:12" ht="20.100000000000001" customHeight="1" x14ac:dyDescent="0.25">
      <c r="A13" s="23" t="s">
        <v>78</v>
      </c>
      <c r="D13" s="173" t="s">
        <v>1030</v>
      </c>
      <c r="E13" s="177" t="s">
        <v>1031</v>
      </c>
      <c r="F13" s="172"/>
      <c r="G13" s="173" t="s">
        <v>711</v>
      </c>
      <c r="H13" s="174" t="s">
        <v>874</v>
      </c>
      <c r="I13" s="176" t="str" cm="1">
        <f t="array" aca="1" ref="I13" ca="1">HYPERLINK(Common_InputFunctions.Utility_SourceHyperlink($D$18),$D$18)</f>
        <v>Table_V_w_t_onsite</v>
      </c>
      <c r="J13" s="176" t="str" cm="1">
        <f t="array" aca="1" ref="J13" ca="1">HYPERLINK(Common_InputFunctions.Utility_SourceHyperlink($D$42),$D$42)</f>
        <v>Table_V_w_t_offsite</v>
      </c>
    </row>
    <row r="14" spans="1:12" ht="20.100000000000001" customHeight="1" x14ac:dyDescent="0.25">
      <c r="A14" s="16" t="str">
        <f>HYPERLINK("#'Constants - Solid waste'!A1", "Constants - Solid waste")</f>
        <v>Constants - Solid waste</v>
      </c>
      <c r="D14" s="173" t="s">
        <v>1032</v>
      </c>
      <c r="E14" s="177" t="s">
        <v>1033</v>
      </c>
      <c r="F14" s="172"/>
      <c r="G14" s="173" t="s">
        <v>1037</v>
      </c>
      <c r="H14" s="175" t="s">
        <v>877</v>
      </c>
      <c r="I14" s="176" t="str" cm="1">
        <f t="array" aca="1" ref="I14" ca="1">HYPERLINK(Common_InputFunctions.Utility_SourceHyperlink($D$18),$D$18)</f>
        <v>Table_V_w_t_onsite</v>
      </c>
      <c r="J14" s="176" t="str" cm="1">
        <f t="array" aca="1" ref="J14" ca="1">HYPERLINK(Common_InputFunctions.Utility_SourceHyperlink($D$42),$D$42)</f>
        <v>Table_V_w_t_offsite</v>
      </c>
    </row>
    <row r="15" spans="1:12" ht="20.100000000000001" customHeight="1" x14ac:dyDescent="0.25">
      <c r="A15" s="16" t="str">
        <f>HYPERLINK("#'Constants - Common'!A1", "Constants - Common")</f>
        <v>Constants - Common</v>
      </c>
      <c r="D15" s="173" t="s">
        <v>1034</v>
      </c>
      <c r="E15" s="177" t="s">
        <v>1035</v>
      </c>
      <c r="F15" s="172"/>
      <c r="G15" s="173"/>
      <c r="H15" s="174" t="s">
        <v>874</v>
      </c>
      <c r="I15" s="176" t="str" cm="1">
        <f t="array" aca="1" ref="I15" ca="1">HYPERLINK(Common_InputFunctions.Utility_SourceHyperlink($D$18),$D$18)</f>
        <v>Table_V_w_t_onsite</v>
      </c>
      <c r="J15" s="176" t="str" cm="1">
        <f t="array" aca="1" ref="J15" ca="1">HYPERLINK(Common_InputFunctions.Utility_SourceHyperlink($D$42),$D$42)</f>
        <v>Table_V_w_t_offsite</v>
      </c>
    </row>
    <row r="16" spans="1:12" ht="20.100000000000001" customHeight="1" x14ac:dyDescent="0.25">
      <c r="D16" s="173" t="s">
        <v>886</v>
      </c>
      <c r="E16" s="177" t="s">
        <v>1036</v>
      </c>
      <c r="F16" s="172"/>
      <c r="G16" s="173"/>
      <c r="H16" s="174" t="s">
        <v>874</v>
      </c>
      <c r="I16" s="176" t="str" cm="1">
        <f t="array" aca="1" ref="I16" ca="1">HYPERLINK(Common_InputFunctions.Utility_SourceHyperlink($D$18),$D$18)</f>
        <v>Table_V_w_t_onsite</v>
      </c>
      <c r="J16" s="176" t="str" cm="1">
        <f t="array" aca="1" ref="J16" ca="1">HYPERLINK(Common_InputFunctions.Utility_SourceHyperlink($D$42),$D$42)</f>
        <v>Table_V_w_t_offsite</v>
      </c>
    </row>
    <row r="17" spans="1:9" ht="20.100000000000001" customHeight="1" x14ac:dyDescent="0.25"/>
    <row r="18" spans="1:9" ht="20.100000000000001" customHeight="1" x14ac:dyDescent="0.25">
      <c r="D18" s="58" t="s">
        <v>807</v>
      </c>
    </row>
    <row r="19" spans="1:9" ht="20.100000000000001" customHeight="1" x14ac:dyDescent="0.25">
      <c r="D19" s="59" t="s">
        <v>808</v>
      </c>
    </row>
    <row r="20" spans="1:9" ht="20.100000000000001" customHeight="1" x14ac:dyDescent="0.25">
      <c r="A20" s="16"/>
      <c r="D20" s="47" t="s">
        <v>809</v>
      </c>
      <c r="E20" s="47" t="s">
        <v>810</v>
      </c>
      <c r="F20" s="47"/>
      <c r="G20" s="47" t="s">
        <v>811</v>
      </c>
      <c r="H20" s="60" t="s">
        <v>812</v>
      </c>
      <c r="I20" s="60" t="s">
        <v>813</v>
      </c>
    </row>
    <row r="21" spans="1:9" ht="20.100000000000001" customHeight="1" x14ac:dyDescent="0.25">
      <c r="A21" s="16"/>
      <c r="D21" s="173" t="str" cm="1">
        <f t="array" ref="D21:D40">Table_SourceData_WasteSolid_WasteTreatmentEFs[Treatment type t]</f>
        <v>Landfill</v>
      </c>
      <c r="E21" s="177" t="str" cm="1">
        <f t="array" ref="E21:E40">Table_SourceData_WasteSolid_WasteTreatmentEFs[Waste type w]</f>
        <v>Food waste (including animal carcasses, spoiled animal feed or crop)</v>
      </c>
      <c r="F21" s="215"/>
      <c r="G21" s="50" cm="1">
        <f t="array" ref="G21">WasteSolid_InputFunctions.WasteSolid_InputFunctions_SumWasteTreatment(Table_Input_SolidWaste[Treatment type (select)],Table_Input_SolidWaste[Waste type (select)],Table_Input_SolidWaste[Treatment location (select)],Table_Input_SolidWaste[Amount unit (select)],Table_Input_SolidWaste[Amount],D21,E21, "Treated on-site", "cubic metres m3")</f>
        <v>0</v>
      </c>
      <c r="H21" s="50" cm="1">
        <f t="array" ref="H21">Common_InputFunctions.Utility_LookupValueInTableNumber(E21,Table_SourceData_WasteSolid_VolumeToMassConversion[Waste type w],Table_SourceData_WasteSolid_VolumeToMassConversion[VTMw])</f>
        <v>0.5</v>
      </c>
      <c r="I21" s="50">
        <f>(G21 * H21)</f>
        <v>0</v>
      </c>
    </row>
    <row r="22" spans="1:9" ht="20.100000000000001" customHeight="1" x14ac:dyDescent="0.25">
      <c r="D22" s="173" t="str">
        <v>Landfill</v>
      </c>
      <c r="E22" s="177" t="str">
        <v>Paper and cardboard</v>
      </c>
      <c r="F22" s="215"/>
      <c r="G22" s="50" cm="1">
        <f t="array" ref="G22">WasteSolid_InputFunctions.WasteSolid_InputFunctions_SumWasteTreatment(Table_Input_SolidWaste[Treatment type (select)],Table_Input_SolidWaste[Waste type (select)],Table_Input_SolidWaste[Treatment location (select)],Table_Input_SolidWaste[Amount unit (select)],Table_Input_SolidWaste[Amount],D22,E22, "Treated on-site", "cubic metres m3")</f>
        <v>0</v>
      </c>
      <c r="H22" s="50" cm="1">
        <f t="array" ref="H22">Common_InputFunctions.Utility_LookupValueInTableNumber(E22,Table_SourceData_WasteSolid_VolumeToMassConversion[Waste type w],Table_SourceData_WasteSolid_VolumeToMassConversion[VTMw])</f>
        <v>0.09</v>
      </c>
      <c r="I22" s="50">
        <f>(G22 * H22)</f>
        <v>0</v>
      </c>
    </row>
    <row r="23" spans="1:9" ht="20.100000000000001" customHeight="1" x14ac:dyDescent="0.25">
      <c r="A23" s="16"/>
      <c r="D23" s="173" t="str">
        <v>Landfill</v>
      </c>
      <c r="E23" s="177" t="str">
        <v>Green waste (including crop residues or prunnings)</v>
      </c>
      <c r="F23" s="215"/>
      <c r="G23" s="50" cm="1">
        <f t="array" ref="G23">WasteSolid_InputFunctions.WasteSolid_InputFunctions_SumWasteTreatment(Table_Input_SolidWaste[Treatment type (select)],Table_Input_SolidWaste[Waste type (select)],Table_Input_SolidWaste[Treatment location (select)],Table_Input_SolidWaste[Amount unit (select)],Table_Input_SolidWaste[Amount],D23,E23, "Treated on-site", "cubic metres m3")</f>
        <v>0</v>
      </c>
      <c r="H23" s="50" cm="1">
        <f t="array" ref="H23">Common_InputFunctions.Utility_LookupValueInTableNumber(E23,Table_SourceData_WasteSolid_VolumeToMassConversion[Waste type w],Table_SourceData_WasteSolid_VolumeToMassConversion[VTMw])</f>
        <v>0</v>
      </c>
      <c r="I23" s="50">
        <f>(G23 * H23)</f>
        <v>0</v>
      </c>
    </row>
    <row r="24" spans="1:9" ht="20.100000000000001" customHeight="1" x14ac:dyDescent="0.25">
      <c r="D24" s="173" t="str">
        <v>Landfill</v>
      </c>
      <c r="E24" s="177" t="str">
        <v>Wood</v>
      </c>
      <c r="F24" s="215"/>
      <c r="G24" s="50" cm="1">
        <f t="array" ref="G24">WasteSolid_InputFunctions.WasteSolid_InputFunctions_SumWasteTreatment(Table_Input_SolidWaste[Treatment type (select)],Table_Input_SolidWaste[Waste type (select)],Table_Input_SolidWaste[Treatment location (select)],Table_Input_SolidWaste[Amount unit (select)],Table_Input_SolidWaste[Amount],D24,E24, "Treated on-site", "cubic metres m3")</f>
        <v>0</v>
      </c>
      <c r="H24" s="50" cm="1">
        <f t="array" ref="H24">Common_InputFunctions.Utility_LookupValueInTableNumber(E24,Table_SourceData_WasteSolid_VolumeToMassConversion[Waste type w],Table_SourceData_WasteSolid_VolumeToMassConversion[VTMw])</f>
        <v>0.15</v>
      </c>
      <c r="I24" s="50">
        <f>(G24 * H24)</f>
        <v>0</v>
      </c>
    </row>
    <row r="25" spans="1:9" ht="20.100000000000001" customHeight="1" x14ac:dyDescent="0.25">
      <c r="D25" s="173" t="str">
        <v>Landfill</v>
      </c>
      <c r="E25" s="177" t="str">
        <v>Textiles</v>
      </c>
      <c r="F25" s="215"/>
      <c r="G25" s="50" cm="1">
        <f t="array" ref="G25">WasteSolid_InputFunctions.WasteSolid_InputFunctions_SumWasteTreatment(Table_Input_SolidWaste[Treatment type (select)],Table_Input_SolidWaste[Waste type (select)],Table_Input_SolidWaste[Treatment location (select)],Table_Input_SolidWaste[Amount unit (select)],Table_Input_SolidWaste[Amount],D25,E25, "Treated on-site", "cubic metres m3")</f>
        <v>0</v>
      </c>
      <c r="H25" s="50" cm="1">
        <f t="array" ref="H25">Common_InputFunctions.Utility_LookupValueInTableNumber(E25,Table_SourceData_WasteSolid_VolumeToMassConversion[Waste type w],Table_SourceData_WasteSolid_VolumeToMassConversion[VTMw])</f>
        <v>0.14000000000000001</v>
      </c>
      <c r="I25" s="50">
        <f>(G25 * H25)</f>
        <v>0</v>
      </c>
    </row>
    <row r="26" spans="1:9" ht="20.100000000000001" customHeight="1" x14ac:dyDescent="0.25">
      <c r="D26" s="173" t="str">
        <v>Landfill</v>
      </c>
      <c r="E26" s="177" t="str">
        <v>Sludge</v>
      </c>
      <c r="F26" s="215"/>
      <c r="G26" s="50" cm="1">
        <f t="array" ref="G26">WasteSolid_InputFunctions.WasteSolid_InputFunctions_SumWasteTreatment(Table_Input_SolidWaste[Treatment type (select)],Table_Input_SolidWaste[Waste type (select)],Table_Input_SolidWaste[Treatment location (select)],Table_Input_SolidWaste[Amount unit (select)],Table_Input_SolidWaste[Amount],D26,E26, "Treated on-site", "cubic metres m3")</f>
        <v>0</v>
      </c>
      <c r="H26" s="50" cm="1">
        <f t="array" ref="H26">Common_InputFunctions.Utility_LookupValueInTableNumber(E26,Table_SourceData_WasteSolid_VolumeToMassConversion[Waste type w],Table_SourceData_WasteSolid_VolumeToMassConversion[VTMw])</f>
        <v>0.72</v>
      </c>
      <c r="I26" s="50">
        <f>(G26 * H26)</f>
        <v>0</v>
      </c>
    </row>
    <row r="27" spans="1:9" ht="20.100000000000001" customHeight="1" x14ac:dyDescent="0.25">
      <c r="D27" s="173" t="str">
        <v>Landfill</v>
      </c>
      <c r="E27" s="177" t="str">
        <v>Rubber and leather</v>
      </c>
      <c r="F27" s="215"/>
      <c r="G27" s="50" cm="1">
        <f t="array" ref="G27">WasteSolid_InputFunctions.WasteSolid_InputFunctions_SumWasteTreatment(Table_Input_SolidWaste[Treatment type (select)],Table_Input_SolidWaste[Waste type (select)],Table_Input_SolidWaste[Treatment location (select)],Table_Input_SolidWaste[Amount unit (select)],Table_Input_SolidWaste[Amount],D27,E27, "Treated on-site", "cubic metres m3")</f>
        <v>0</v>
      </c>
      <c r="H27" s="50" cm="1">
        <f t="array" ref="H27">Common_InputFunctions.Utility_LookupValueInTableNumber(E27,Table_SourceData_WasteSolid_VolumeToMassConversion[Waste type w],Table_SourceData_WasteSolid_VolumeToMassConversion[VTMw])</f>
        <v>0.14000000000000001</v>
      </c>
      <c r="I27" s="50">
        <f>(G27 * H27)</f>
        <v>0</v>
      </c>
    </row>
    <row r="28" spans="1:9" ht="20.100000000000001" customHeight="1" x14ac:dyDescent="0.25">
      <c r="D28" s="173" t="str">
        <v>Landfill</v>
      </c>
      <c r="E28" s="177" t="str">
        <v>Inert waste (including concrete, metal, plastic or glass)</v>
      </c>
      <c r="F28" s="215"/>
      <c r="G28" s="50" cm="1">
        <f t="array" ref="G28">WasteSolid_InputFunctions.WasteSolid_InputFunctions_SumWasteTreatment(Table_Input_SolidWaste[Treatment type (select)],Table_Input_SolidWaste[Waste type (select)],Table_Input_SolidWaste[Treatment location (select)],Table_Input_SolidWaste[Amount unit (select)],Table_Input_SolidWaste[Amount],D28,E28, "Treated on-site", "cubic metres m3")</f>
        <v>0</v>
      </c>
      <c r="H28" s="50" cm="1">
        <f t="array" ref="H28">Common_InputFunctions.Utility_LookupValueInTableNumber(E28,Table_SourceData_WasteSolid_VolumeToMassConversion[Waste type w],Table_SourceData_WasteSolid_VolumeToMassConversion[VTMw])</f>
        <v>0.42</v>
      </c>
      <c r="I28" s="50">
        <f>(G28 * H28)</f>
        <v>0</v>
      </c>
    </row>
    <row r="29" spans="1:9" ht="20.100000000000001" customHeight="1" x14ac:dyDescent="0.25">
      <c r="D29" s="173" t="str">
        <v>Landfill</v>
      </c>
      <c r="E29" s="177" t="str">
        <v>Municipal solid waste</v>
      </c>
      <c r="F29" s="215"/>
      <c r="G29" s="50" cm="1">
        <f t="array" ref="G29">WasteSolid_InputFunctions.WasteSolid_InputFunctions_SumWasteTreatment(Table_Input_SolidWaste[Treatment type (select)],Table_Input_SolidWaste[Waste type (select)],Table_Input_SolidWaste[Treatment location (select)],Table_Input_SolidWaste[Amount unit (select)],Table_Input_SolidWaste[Amount],D29,E29, "Treated on-site", "cubic metres m3")</f>
        <v>0</v>
      </c>
      <c r="H29" s="50" cm="1">
        <f t="array" ref="H29">Common_InputFunctions.Utility_LookupValueInTableNumber(E29,Table_SourceData_WasteSolid_VolumeToMassConversion[Waste type w],Table_SourceData_WasteSolid_VolumeToMassConversion[VTMw])</f>
        <v>0.36</v>
      </c>
      <c r="I29" s="50">
        <f>(G29 * H29)</f>
        <v>0</v>
      </c>
    </row>
    <row r="30" spans="1:9" ht="20.100000000000001" customHeight="1" x14ac:dyDescent="0.25">
      <c r="D30" s="173" t="str">
        <v>Landfill</v>
      </c>
      <c r="E30" s="177" t="str">
        <v>Commercial and industrial waste</v>
      </c>
      <c r="F30" s="215"/>
      <c r="G30" s="50" cm="1">
        <f t="array" ref="G30">WasteSolid_InputFunctions.WasteSolid_InputFunctions_SumWasteTreatment(Table_Input_SolidWaste[Treatment type (select)],Table_Input_SolidWaste[Waste type (select)],Table_Input_SolidWaste[Treatment location (select)],Table_Input_SolidWaste[Amount unit (select)],Table_Input_SolidWaste[Amount],D30,E30, "Treated on-site", "cubic metres m3")</f>
        <v>0</v>
      </c>
      <c r="H30" s="50" cm="1">
        <f t="array" ref="H30">Common_InputFunctions.Utility_LookupValueInTableNumber(E30,Table_SourceData_WasteSolid_VolumeToMassConversion[Waste type w],Table_SourceData_WasteSolid_VolumeToMassConversion[VTMw])</f>
        <v>0.33</v>
      </c>
      <c r="I30" s="50">
        <f>(G30 * H30)</f>
        <v>0</v>
      </c>
    </row>
    <row r="31" spans="1:9" ht="20.100000000000001" customHeight="1" x14ac:dyDescent="0.25">
      <c r="D31" s="173" t="str">
        <v>Landfill</v>
      </c>
      <c r="E31" s="177" t="str">
        <v>Construction and demolition waste</v>
      </c>
      <c r="F31" s="215"/>
      <c r="G31" s="50" cm="1">
        <f t="array" ref="G31">WasteSolid_InputFunctions.WasteSolid_InputFunctions_SumWasteTreatment(Table_Input_SolidWaste[Treatment type (select)],Table_Input_SolidWaste[Waste type (select)],Table_Input_SolidWaste[Treatment location (select)],Table_Input_SolidWaste[Amount unit (select)],Table_Input_SolidWaste[Amount],D31,E31, "Treated on-site", "cubic metres m3")</f>
        <v>0</v>
      </c>
      <c r="H31" s="50" cm="1">
        <f t="array" ref="H31">Common_InputFunctions.Utility_LookupValueInTableNumber(E31,Table_SourceData_WasteSolid_VolumeToMassConversion[Waste type w],Table_SourceData_WasteSolid_VolumeToMassConversion[VTMw])</f>
        <v>0.39</v>
      </c>
      <c r="I31" s="50">
        <f>(G31 * H31)</f>
        <v>0</v>
      </c>
    </row>
    <row r="32" spans="1:9" ht="20.100000000000001" customHeight="1" x14ac:dyDescent="0.25">
      <c r="D32" s="173" t="str">
        <v>Incineration</v>
      </c>
      <c r="E32" s="177" t="str">
        <v>Food waste, green waste, wood, sludge</v>
      </c>
      <c r="F32" s="215"/>
      <c r="G32" s="50" cm="1">
        <f t="array" ref="G32">WasteSolid_InputFunctions.WasteSolid_InputFunctions_SumWasteTreatment(Table_Input_SolidWaste[Treatment type (select)],Table_Input_SolidWaste[Waste type (select)],Table_Input_SolidWaste[Treatment location (select)],Table_Input_SolidWaste[Amount unit (select)],Table_Input_SolidWaste[Amount],D32,E32, "Treated on-site", "cubic metres m3")</f>
        <v>0</v>
      </c>
      <c r="H32" s="50" cm="1">
        <f t="array" ref="H32">Common_InputFunctions.Utility_LookupValueInTableNumber(E32,Table_SourceData_WasteSolid_VolumeToMassConversion[Waste type w],Table_SourceData_WasteSolid_VolumeToMassConversion[VTMw])</f>
        <v>0</v>
      </c>
      <c r="I32" s="50">
        <f>(G32 * H32)</f>
        <v>0</v>
      </c>
    </row>
    <row r="33" spans="4:9" ht="20.100000000000001" customHeight="1" x14ac:dyDescent="0.25">
      <c r="D33" s="173" t="str">
        <v>Incineration</v>
      </c>
      <c r="E33" s="177" t="str">
        <v>Paper and cardboard</v>
      </c>
      <c r="F33" s="215"/>
      <c r="G33" s="50" cm="1">
        <f t="array" ref="G33">WasteSolid_InputFunctions.WasteSolid_InputFunctions_SumWasteTreatment(Table_Input_SolidWaste[Treatment type (select)],Table_Input_SolidWaste[Waste type (select)],Table_Input_SolidWaste[Treatment location (select)],Table_Input_SolidWaste[Amount unit (select)],Table_Input_SolidWaste[Amount],D33,E33, "Treated on-site", "cubic metres m3")</f>
        <v>0</v>
      </c>
      <c r="H33" s="50" cm="1">
        <f t="array" ref="H33">Common_InputFunctions.Utility_LookupValueInTableNumber(E33,Table_SourceData_WasteSolid_VolumeToMassConversion[Waste type w],Table_SourceData_WasteSolid_VolumeToMassConversion[VTMw])</f>
        <v>0.09</v>
      </c>
      <c r="I33" s="50">
        <f>(G33 * H33)</f>
        <v>0</v>
      </c>
    </row>
    <row r="34" spans="4:9" ht="20.100000000000001" customHeight="1" x14ac:dyDescent="0.25">
      <c r="D34" s="173" t="str">
        <v>Incineration</v>
      </c>
      <c r="E34" s="177" t="str">
        <v>Textiles</v>
      </c>
      <c r="F34" s="215"/>
      <c r="G34" s="50" cm="1">
        <f t="array" ref="G34">WasteSolid_InputFunctions.WasteSolid_InputFunctions_SumWasteTreatment(Table_Input_SolidWaste[Treatment type (select)],Table_Input_SolidWaste[Waste type (select)],Table_Input_SolidWaste[Treatment location (select)],Table_Input_SolidWaste[Amount unit (select)],Table_Input_SolidWaste[Amount],D34,E34, "Treated on-site", "cubic metres m3")</f>
        <v>0</v>
      </c>
      <c r="H34" s="50" cm="1">
        <f t="array" ref="H34">Common_InputFunctions.Utility_LookupValueInTableNumber(E34,Table_SourceData_WasteSolid_VolumeToMassConversion[Waste type w],Table_SourceData_WasteSolid_VolumeToMassConversion[VTMw])</f>
        <v>0.14000000000000001</v>
      </c>
      <c r="I34" s="50">
        <f>(G34 * H34)</f>
        <v>0</v>
      </c>
    </row>
    <row r="35" spans="4:9" ht="20.100000000000001" customHeight="1" x14ac:dyDescent="0.25">
      <c r="D35" s="173" t="str">
        <v>Incineration</v>
      </c>
      <c r="E35" s="177" t="str">
        <v>Rubber and leather</v>
      </c>
      <c r="F35" s="215"/>
      <c r="G35" s="50" cm="1">
        <f t="array" ref="G35">WasteSolid_InputFunctions.WasteSolid_InputFunctions_SumWasteTreatment(Table_Input_SolidWaste[Treatment type (select)],Table_Input_SolidWaste[Waste type (select)],Table_Input_SolidWaste[Treatment location (select)],Table_Input_SolidWaste[Amount unit (select)],Table_Input_SolidWaste[Amount],D35,E35, "Treated on-site", "cubic metres m3")</f>
        <v>0</v>
      </c>
      <c r="H35" s="50" cm="1">
        <f t="array" ref="H35">Common_InputFunctions.Utility_LookupValueInTableNumber(E35,Table_SourceData_WasteSolid_VolumeToMassConversion[Waste type w],Table_SourceData_WasteSolid_VolumeToMassConversion[VTMw])</f>
        <v>0.14000000000000001</v>
      </c>
      <c r="I35" s="50">
        <f>(G35 * H35)</f>
        <v>0</v>
      </c>
    </row>
    <row r="36" spans="4:9" ht="20.100000000000001" customHeight="1" x14ac:dyDescent="0.25">
      <c r="D36" s="173" t="str">
        <v>Incineration</v>
      </c>
      <c r="E36" s="177" t="str">
        <v>Inert Waste</v>
      </c>
      <c r="F36" s="215"/>
      <c r="G36" s="50" cm="1">
        <f t="array" ref="G36">WasteSolid_InputFunctions.WasteSolid_InputFunctions_SumWasteTreatment(Table_Input_SolidWaste[Treatment type (select)],Table_Input_SolidWaste[Waste type (select)],Table_Input_SolidWaste[Treatment location (select)],Table_Input_SolidWaste[Amount unit (select)],Table_Input_SolidWaste[Amount],D36,E36, "Treated on-site", "cubic metres m3")</f>
        <v>0</v>
      </c>
      <c r="H36" s="50" cm="1">
        <f t="array" ref="H36">Common_InputFunctions.Utility_LookupValueInTableNumber(E36,Table_SourceData_WasteSolid_VolumeToMassConversion[Waste type w],Table_SourceData_WasteSolid_VolumeToMassConversion[VTMw])</f>
        <v>0</v>
      </c>
      <c r="I36" s="50">
        <f>(G36 * H36)</f>
        <v>0</v>
      </c>
    </row>
    <row r="37" spans="4:9" ht="20.100000000000001" customHeight="1" x14ac:dyDescent="0.25">
      <c r="D37" s="173" t="str">
        <v>Incineration</v>
      </c>
      <c r="E37" s="177" t="str">
        <v>Municipal Solid Waste</v>
      </c>
      <c r="F37" s="215"/>
      <c r="G37" s="50" cm="1">
        <f t="array" ref="G37">WasteSolid_InputFunctions.WasteSolid_InputFunctions_SumWasteTreatment(Table_Input_SolidWaste[Treatment type (select)],Table_Input_SolidWaste[Waste type (select)],Table_Input_SolidWaste[Treatment location (select)],Table_Input_SolidWaste[Amount unit (select)],Table_Input_SolidWaste[Amount],D37,E37, "Treated on-site", "cubic metres m3")</f>
        <v>0</v>
      </c>
      <c r="H37" s="50" cm="1">
        <f t="array" ref="H37">Common_InputFunctions.Utility_LookupValueInTableNumber(E37,Table_SourceData_WasteSolid_VolumeToMassConversion[Waste type w],Table_SourceData_WasteSolid_VolumeToMassConversion[VTMw])</f>
        <v>0.36</v>
      </c>
      <c r="I37" s="50">
        <f>(G37 * H37)</f>
        <v>0</v>
      </c>
    </row>
    <row r="38" spans="4:9" ht="20.100000000000001" customHeight="1" x14ac:dyDescent="0.25">
      <c r="D38" s="173" t="str">
        <v>Incineration</v>
      </c>
      <c r="E38" s="177" t="str">
        <v>Industrial Waste</v>
      </c>
      <c r="F38" s="215"/>
      <c r="G38" s="50" cm="1">
        <f t="array" ref="G38">WasteSolid_InputFunctions.WasteSolid_InputFunctions_SumWasteTreatment(Table_Input_SolidWaste[Treatment type (select)],Table_Input_SolidWaste[Waste type (select)],Table_Input_SolidWaste[Treatment location (select)],Table_Input_SolidWaste[Amount unit (select)],Table_Input_SolidWaste[Amount],D38,E38, "Treated on-site", "cubic metres m3")</f>
        <v>0</v>
      </c>
      <c r="H38" s="50" cm="1">
        <f t="array" ref="H38">Common_InputFunctions.Utility_LookupValueInTableNumber(E38,Table_SourceData_WasteSolid_VolumeToMassConversion[Waste type w],Table_SourceData_WasteSolid_VolumeToMassConversion[VTMw])</f>
        <v>0</v>
      </c>
      <c r="I38" s="50">
        <f>(G38 * H38)</f>
        <v>0</v>
      </c>
    </row>
    <row r="39" spans="4:9" ht="20.100000000000001" customHeight="1" x14ac:dyDescent="0.25">
      <c r="D39" s="173" t="str">
        <v>Composting</v>
      </c>
      <c r="E39" s="177" t="str">
        <v>All organic waste</v>
      </c>
      <c r="F39" s="215"/>
      <c r="G39" s="50" cm="1">
        <f t="array" ref="G39">WasteSolid_InputFunctions.WasteSolid_InputFunctions_SumWasteTreatment(Table_Input_SolidWaste[Treatment type (select)],Table_Input_SolidWaste[Waste type (select)],Table_Input_SolidWaste[Treatment location (select)],Table_Input_SolidWaste[Amount unit (select)],Table_Input_SolidWaste[Amount],D39,E39, "Treated on-site", "cubic metres m3")</f>
        <v>0</v>
      </c>
      <c r="H39" s="50" cm="1">
        <f t="array" ref="H39">Common_InputFunctions.Utility_LookupValueInTableNumber(E39,Table_SourceData_WasteSolid_VolumeToMassConversion[Waste type w],Table_SourceData_WasteSolid_VolumeToMassConversion[VTMw])</f>
        <v>0</v>
      </c>
      <c r="I39" s="50">
        <f>(G39 * H39)</f>
        <v>0</v>
      </c>
    </row>
    <row r="40" spans="4:9" ht="20.100000000000001" customHeight="1" x14ac:dyDescent="0.25">
      <c r="D40" s="173" t="str">
        <v>Anaerobic digestion</v>
      </c>
      <c r="E40" s="177" t="str">
        <v>All organic waste</v>
      </c>
      <c r="F40" s="215"/>
      <c r="G40" s="50" cm="1">
        <f t="array" ref="G40">WasteSolid_InputFunctions.WasteSolid_InputFunctions_SumWasteTreatment(Table_Input_SolidWaste[Treatment type (select)],Table_Input_SolidWaste[Waste type (select)],Table_Input_SolidWaste[Treatment location (select)],Table_Input_SolidWaste[Amount unit (select)],Table_Input_SolidWaste[Amount],D40,E40, "Treated on-site", "cubic metres m3")</f>
        <v>0</v>
      </c>
      <c r="H40" s="50" cm="1">
        <f t="array" ref="H40">Common_InputFunctions.Utility_LookupValueInTableNumber(E40,Table_SourceData_WasteSolid_VolumeToMassConversion[Waste type w],Table_SourceData_WasteSolid_VolumeToMassConversion[VTMw])</f>
        <v>0</v>
      </c>
      <c r="I40" s="50">
        <f>(G40 * H40)</f>
        <v>0</v>
      </c>
    </row>
    <row r="41" spans="4:9" ht="20.100000000000001" customHeight="1" x14ac:dyDescent="0.25"/>
    <row r="42" spans="4:9" ht="20.100000000000001" customHeight="1" x14ac:dyDescent="0.25">
      <c r="D42" s="58" t="s">
        <v>814</v>
      </c>
    </row>
    <row r="43" spans="4:9" ht="20.100000000000001" customHeight="1" x14ac:dyDescent="0.25">
      <c r="D43" s="59" t="s">
        <v>815</v>
      </c>
    </row>
    <row r="44" spans="4:9" ht="20.100000000000001" customHeight="1" x14ac:dyDescent="0.25">
      <c r="D44" s="47" t="s">
        <v>809</v>
      </c>
      <c r="E44" s="47" t="s">
        <v>810</v>
      </c>
      <c r="F44" s="47"/>
      <c r="G44" s="47" t="s">
        <v>811</v>
      </c>
      <c r="H44" s="60" t="s">
        <v>812</v>
      </c>
      <c r="I44" s="60" t="s">
        <v>813</v>
      </c>
    </row>
    <row r="45" spans="4:9" ht="20.100000000000001" customHeight="1" x14ac:dyDescent="0.25">
      <c r="D45" s="173" t="str" cm="1">
        <f t="array" ref="D45:D64">Table_SourceData_WasteSolid_WasteTreatmentEFs[Treatment type t]</f>
        <v>Landfill</v>
      </c>
      <c r="E45" s="177" t="str" cm="1">
        <f t="array" ref="E45:E64">Table_SourceData_WasteSolid_WasteTreatmentEFs[Waste type w]</f>
        <v>Food waste (including animal carcasses, spoiled animal feed or crop)</v>
      </c>
      <c r="F45" s="215"/>
      <c r="G45" s="50" cm="1">
        <f t="array" ref="G45">WasteSolid_InputFunctions.WasteSolid_InputFunctions_SumWasteTreatment(Table_Input_SolidWaste[Treatment type (select)],Table_Input_SolidWaste[Waste type (select)],Table_Input_SolidWaste[Treatment location (select)],Table_Input_SolidWaste[Amount unit (select)],Table_Input_SolidWaste[Amount],D45,E45, "Removed and treated off-site", "cubic metres m3")</f>
        <v>100</v>
      </c>
      <c r="H45" s="50" cm="1">
        <f t="array" ref="H45">Common_InputFunctions.Utility_LookupValueInTableNumber(E45,Table_SourceData_WasteSolid_VolumeToMassConversion[Waste type w],Table_SourceData_WasteSolid_VolumeToMassConversion[VTMw])</f>
        <v>0.5</v>
      </c>
      <c r="I45" s="50">
        <f>(G45 * H45)</f>
        <v>50</v>
      </c>
    </row>
    <row r="46" spans="4:9" ht="20.100000000000001" customHeight="1" x14ac:dyDescent="0.25">
      <c r="D46" s="173" t="str">
        <v>Landfill</v>
      </c>
      <c r="E46" s="177" t="str">
        <v>Paper and cardboard</v>
      </c>
      <c r="F46" s="215"/>
      <c r="G46" s="50" cm="1">
        <f t="array" ref="G46">WasteSolid_InputFunctions.WasteSolid_InputFunctions_SumWasteTreatment(Table_Input_SolidWaste[Treatment type (select)],Table_Input_SolidWaste[Waste type (select)],Table_Input_SolidWaste[Treatment location (select)],Table_Input_SolidWaste[Amount unit (select)],Table_Input_SolidWaste[Amount],D46,E46, "Removed and treated off-site", "cubic metres m3")</f>
        <v>0</v>
      </c>
      <c r="H46" s="50" cm="1">
        <f t="array" ref="H46">Common_InputFunctions.Utility_LookupValueInTableNumber(E46,Table_SourceData_WasteSolid_VolumeToMassConversion[Waste type w],Table_SourceData_WasteSolid_VolumeToMassConversion[VTMw])</f>
        <v>0.09</v>
      </c>
      <c r="I46" s="50">
        <f>(G46 * H46)</f>
        <v>0</v>
      </c>
    </row>
    <row r="47" spans="4:9" ht="20.100000000000001" customHeight="1" x14ac:dyDescent="0.25">
      <c r="D47" s="173" t="str">
        <v>Landfill</v>
      </c>
      <c r="E47" s="177" t="str">
        <v>Green waste (including crop residues or prunnings)</v>
      </c>
      <c r="F47" s="215"/>
      <c r="G47" s="50" cm="1">
        <f t="array" ref="G47">WasteSolid_InputFunctions.WasteSolid_InputFunctions_SumWasteTreatment(Table_Input_SolidWaste[Treatment type (select)],Table_Input_SolidWaste[Waste type (select)],Table_Input_SolidWaste[Treatment location (select)],Table_Input_SolidWaste[Amount unit (select)],Table_Input_SolidWaste[Amount],D47,E47, "Removed and treated off-site", "cubic metres m3")</f>
        <v>0</v>
      </c>
      <c r="H47" s="50" cm="1">
        <f t="array" ref="H47">Common_InputFunctions.Utility_LookupValueInTableNumber(E47,Table_SourceData_WasteSolid_VolumeToMassConversion[Waste type w],Table_SourceData_WasteSolid_VolumeToMassConversion[VTMw])</f>
        <v>0</v>
      </c>
      <c r="I47" s="50">
        <f>(G47 * H47)</f>
        <v>0</v>
      </c>
    </row>
    <row r="48" spans="4:9" ht="20.100000000000001" customHeight="1" x14ac:dyDescent="0.25">
      <c r="D48" s="173" t="str">
        <v>Landfill</v>
      </c>
      <c r="E48" s="177" t="str">
        <v>Wood</v>
      </c>
      <c r="F48" s="215"/>
      <c r="G48" s="50" cm="1">
        <f t="array" ref="G48">WasteSolid_InputFunctions.WasteSolid_InputFunctions_SumWasteTreatment(Table_Input_SolidWaste[Treatment type (select)],Table_Input_SolidWaste[Waste type (select)],Table_Input_SolidWaste[Treatment location (select)],Table_Input_SolidWaste[Amount unit (select)],Table_Input_SolidWaste[Amount],D48,E48, "Removed and treated off-site", "cubic metres m3")</f>
        <v>0</v>
      </c>
      <c r="H48" s="50" cm="1">
        <f t="array" ref="H48">Common_InputFunctions.Utility_LookupValueInTableNumber(E48,Table_SourceData_WasteSolid_VolumeToMassConversion[Waste type w],Table_SourceData_WasteSolid_VolumeToMassConversion[VTMw])</f>
        <v>0.15</v>
      </c>
      <c r="I48" s="50">
        <f>(G48 * H48)</f>
        <v>0</v>
      </c>
    </row>
    <row r="49" spans="4:9" ht="20.100000000000001" customHeight="1" x14ac:dyDescent="0.25">
      <c r="D49" s="173" t="str">
        <v>Landfill</v>
      </c>
      <c r="E49" s="177" t="str">
        <v>Textiles</v>
      </c>
      <c r="F49" s="215"/>
      <c r="G49" s="50" cm="1">
        <f t="array" ref="G49">WasteSolid_InputFunctions.WasteSolid_InputFunctions_SumWasteTreatment(Table_Input_SolidWaste[Treatment type (select)],Table_Input_SolidWaste[Waste type (select)],Table_Input_SolidWaste[Treatment location (select)],Table_Input_SolidWaste[Amount unit (select)],Table_Input_SolidWaste[Amount],D49,E49, "Removed and treated off-site", "cubic metres m3")</f>
        <v>50</v>
      </c>
      <c r="H49" s="50" cm="1">
        <f t="array" ref="H49">Common_InputFunctions.Utility_LookupValueInTableNumber(E49,Table_SourceData_WasteSolid_VolumeToMassConversion[Waste type w],Table_SourceData_WasteSolid_VolumeToMassConversion[VTMw])</f>
        <v>0.14000000000000001</v>
      </c>
      <c r="I49" s="50">
        <f>(G49 * H49)</f>
        <v>7.0000000000000009</v>
      </c>
    </row>
    <row r="50" spans="4:9" ht="20.100000000000001" customHeight="1" x14ac:dyDescent="0.25">
      <c r="D50" s="173" t="str">
        <v>Landfill</v>
      </c>
      <c r="E50" s="177" t="str">
        <v>Sludge</v>
      </c>
      <c r="F50" s="215"/>
      <c r="G50" s="50" cm="1">
        <f t="array" ref="G50">WasteSolid_InputFunctions.WasteSolid_InputFunctions_SumWasteTreatment(Table_Input_SolidWaste[Treatment type (select)],Table_Input_SolidWaste[Waste type (select)],Table_Input_SolidWaste[Treatment location (select)],Table_Input_SolidWaste[Amount unit (select)],Table_Input_SolidWaste[Amount],D50,E50, "Removed and treated off-site", "cubic metres m3")</f>
        <v>0</v>
      </c>
      <c r="H50" s="50" cm="1">
        <f t="array" ref="H50">Common_InputFunctions.Utility_LookupValueInTableNumber(E50,Table_SourceData_WasteSolid_VolumeToMassConversion[Waste type w],Table_SourceData_WasteSolid_VolumeToMassConversion[VTMw])</f>
        <v>0.72</v>
      </c>
      <c r="I50" s="50">
        <f>(G50 * H50)</f>
        <v>0</v>
      </c>
    </row>
    <row r="51" spans="4:9" ht="20.100000000000001" customHeight="1" x14ac:dyDescent="0.25">
      <c r="D51" s="173" t="str">
        <v>Landfill</v>
      </c>
      <c r="E51" s="177" t="str">
        <v>Rubber and leather</v>
      </c>
      <c r="F51" s="215"/>
      <c r="G51" s="50" cm="1">
        <f t="array" ref="G51">WasteSolid_InputFunctions.WasteSolid_InputFunctions_SumWasteTreatment(Table_Input_SolidWaste[Treatment type (select)],Table_Input_SolidWaste[Waste type (select)],Table_Input_SolidWaste[Treatment location (select)],Table_Input_SolidWaste[Amount unit (select)],Table_Input_SolidWaste[Amount],D51,E51, "Removed and treated off-site", "cubic metres m3")</f>
        <v>0</v>
      </c>
      <c r="H51" s="50" cm="1">
        <f t="array" ref="H51">Common_InputFunctions.Utility_LookupValueInTableNumber(E51,Table_SourceData_WasteSolid_VolumeToMassConversion[Waste type w],Table_SourceData_WasteSolid_VolumeToMassConversion[VTMw])</f>
        <v>0.14000000000000001</v>
      </c>
      <c r="I51" s="50">
        <f>(G51 * H51)</f>
        <v>0</v>
      </c>
    </row>
    <row r="52" spans="4:9" ht="20.100000000000001" customHeight="1" x14ac:dyDescent="0.25">
      <c r="D52" s="173" t="str">
        <v>Landfill</v>
      </c>
      <c r="E52" s="177" t="str">
        <v>Inert waste (including concrete, metal, plastic or glass)</v>
      </c>
      <c r="F52" s="215"/>
      <c r="G52" s="50" cm="1">
        <f t="array" ref="G52">WasteSolid_InputFunctions.WasteSolid_InputFunctions_SumWasteTreatment(Table_Input_SolidWaste[Treatment type (select)],Table_Input_SolidWaste[Waste type (select)],Table_Input_SolidWaste[Treatment location (select)],Table_Input_SolidWaste[Amount unit (select)],Table_Input_SolidWaste[Amount],D52,E52, "Removed and treated off-site", "cubic metres m3")</f>
        <v>0</v>
      </c>
      <c r="H52" s="50" cm="1">
        <f t="array" ref="H52">Common_InputFunctions.Utility_LookupValueInTableNumber(E52,Table_SourceData_WasteSolid_VolumeToMassConversion[Waste type w],Table_SourceData_WasteSolid_VolumeToMassConversion[VTMw])</f>
        <v>0.42</v>
      </c>
      <c r="I52" s="50">
        <f>(G52 * H52)</f>
        <v>0</v>
      </c>
    </row>
    <row r="53" spans="4:9" ht="20.100000000000001" customHeight="1" x14ac:dyDescent="0.25">
      <c r="D53" s="173" t="str">
        <v>Landfill</v>
      </c>
      <c r="E53" s="177" t="str">
        <v>Municipal solid waste</v>
      </c>
      <c r="F53" s="215"/>
      <c r="G53" s="50" cm="1">
        <f t="array" ref="G53">WasteSolid_InputFunctions.WasteSolid_InputFunctions_SumWasteTreatment(Table_Input_SolidWaste[Treatment type (select)],Table_Input_SolidWaste[Waste type (select)],Table_Input_SolidWaste[Treatment location (select)],Table_Input_SolidWaste[Amount unit (select)],Table_Input_SolidWaste[Amount],D53,E53, "Removed and treated off-site", "cubic metres m3")</f>
        <v>0</v>
      </c>
      <c r="H53" s="50" cm="1">
        <f t="array" ref="H53">Common_InputFunctions.Utility_LookupValueInTableNumber(E53,Table_SourceData_WasteSolid_VolumeToMassConversion[Waste type w],Table_SourceData_WasteSolid_VolumeToMassConversion[VTMw])</f>
        <v>0.36</v>
      </c>
      <c r="I53" s="50">
        <f>(G53 * H53)</f>
        <v>0</v>
      </c>
    </row>
    <row r="54" spans="4:9" ht="20.100000000000001" customHeight="1" x14ac:dyDescent="0.25">
      <c r="D54" s="173" t="str">
        <v>Landfill</v>
      </c>
      <c r="E54" s="177" t="str">
        <v>Commercial and industrial waste</v>
      </c>
      <c r="F54" s="215"/>
      <c r="G54" s="50" cm="1">
        <f t="array" ref="G54">WasteSolid_InputFunctions.WasteSolid_InputFunctions_SumWasteTreatment(Table_Input_SolidWaste[Treatment type (select)],Table_Input_SolidWaste[Waste type (select)],Table_Input_SolidWaste[Treatment location (select)],Table_Input_SolidWaste[Amount unit (select)],Table_Input_SolidWaste[Amount],D54,E54, "Removed and treated off-site", "cubic metres m3")</f>
        <v>0</v>
      </c>
      <c r="H54" s="50" cm="1">
        <f t="array" ref="H54">Common_InputFunctions.Utility_LookupValueInTableNumber(E54,Table_SourceData_WasteSolid_VolumeToMassConversion[Waste type w],Table_SourceData_WasteSolid_VolumeToMassConversion[VTMw])</f>
        <v>0.33</v>
      </c>
      <c r="I54" s="50">
        <f>(G54 * H54)</f>
        <v>0</v>
      </c>
    </row>
    <row r="55" spans="4:9" ht="20.100000000000001" customHeight="1" x14ac:dyDescent="0.25">
      <c r="D55" s="173" t="str">
        <v>Landfill</v>
      </c>
      <c r="E55" s="177" t="str">
        <v>Construction and demolition waste</v>
      </c>
      <c r="F55" s="215"/>
      <c r="G55" s="50" cm="1">
        <f t="array" ref="G55">WasteSolid_InputFunctions.WasteSolid_InputFunctions_SumWasteTreatment(Table_Input_SolidWaste[Treatment type (select)],Table_Input_SolidWaste[Waste type (select)],Table_Input_SolidWaste[Treatment location (select)],Table_Input_SolidWaste[Amount unit (select)],Table_Input_SolidWaste[Amount],D55,E55, "Removed and treated off-site", "cubic metres m3")</f>
        <v>0</v>
      </c>
      <c r="H55" s="50" cm="1">
        <f t="array" ref="H55">Common_InputFunctions.Utility_LookupValueInTableNumber(E55,Table_SourceData_WasteSolid_VolumeToMassConversion[Waste type w],Table_SourceData_WasteSolid_VolumeToMassConversion[VTMw])</f>
        <v>0.39</v>
      </c>
      <c r="I55" s="50">
        <f>(G55 * H55)</f>
        <v>0</v>
      </c>
    </row>
    <row r="56" spans="4:9" ht="20.100000000000001" customHeight="1" x14ac:dyDescent="0.25">
      <c r="D56" s="173" t="str">
        <v>Incineration</v>
      </c>
      <c r="E56" s="177" t="str">
        <v>Food waste, green waste, wood, sludge</v>
      </c>
      <c r="F56" s="215"/>
      <c r="G56" s="50" cm="1">
        <f t="array" ref="G56">WasteSolid_InputFunctions.WasteSolid_InputFunctions_SumWasteTreatment(Table_Input_SolidWaste[Treatment type (select)],Table_Input_SolidWaste[Waste type (select)],Table_Input_SolidWaste[Treatment location (select)],Table_Input_SolidWaste[Amount unit (select)],Table_Input_SolidWaste[Amount],D56,E56, "Removed and treated off-site", "cubic metres m3")</f>
        <v>0</v>
      </c>
      <c r="H56" s="50" cm="1">
        <f t="array" ref="H56">Common_InputFunctions.Utility_LookupValueInTableNumber(E56,Table_SourceData_WasteSolid_VolumeToMassConversion[Waste type w],Table_SourceData_WasteSolid_VolumeToMassConversion[VTMw])</f>
        <v>0</v>
      </c>
      <c r="I56" s="50">
        <f>(G56 * H56)</f>
        <v>0</v>
      </c>
    </row>
    <row r="57" spans="4:9" ht="20.100000000000001" customHeight="1" x14ac:dyDescent="0.25">
      <c r="D57" s="173" t="str">
        <v>Incineration</v>
      </c>
      <c r="E57" s="177" t="str">
        <v>Paper and cardboard</v>
      </c>
      <c r="F57" s="215"/>
      <c r="G57" s="50" cm="1">
        <f t="array" ref="G57">WasteSolid_InputFunctions.WasteSolid_InputFunctions_SumWasteTreatment(Table_Input_SolidWaste[Treatment type (select)],Table_Input_SolidWaste[Waste type (select)],Table_Input_SolidWaste[Treatment location (select)],Table_Input_SolidWaste[Amount unit (select)],Table_Input_SolidWaste[Amount],D57,E57, "Removed and treated off-site", "cubic metres m3")</f>
        <v>100</v>
      </c>
      <c r="H57" s="50" cm="1">
        <f t="array" ref="H57">Common_InputFunctions.Utility_LookupValueInTableNumber(E57,Table_SourceData_WasteSolid_VolumeToMassConversion[Waste type w],Table_SourceData_WasteSolid_VolumeToMassConversion[VTMw])</f>
        <v>0.09</v>
      </c>
      <c r="I57" s="50">
        <f>(G57 * H57)</f>
        <v>9</v>
      </c>
    </row>
    <row r="58" spans="4:9" ht="20.100000000000001" customHeight="1" x14ac:dyDescent="0.25">
      <c r="D58" s="173" t="str">
        <v>Incineration</v>
      </c>
      <c r="E58" s="177" t="str">
        <v>Textiles</v>
      </c>
      <c r="F58" s="215"/>
      <c r="G58" s="50" cm="1">
        <f t="array" ref="G58">WasteSolid_InputFunctions.WasteSolid_InputFunctions_SumWasteTreatment(Table_Input_SolidWaste[Treatment type (select)],Table_Input_SolidWaste[Waste type (select)],Table_Input_SolidWaste[Treatment location (select)],Table_Input_SolidWaste[Amount unit (select)],Table_Input_SolidWaste[Amount],D58,E58, "Removed and treated off-site", "cubic metres m3")</f>
        <v>0</v>
      </c>
      <c r="H58" s="50" cm="1">
        <f t="array" ref="H58">Common_InputFunctions.Utility_LookupValueInTableNumber(E58,Table_SourceData_WasteSolid_VolumeToMassConversion[Waste type w],Table_SourceData_WasteSolid_VolumeToMassConversion[VTMw])</f>
        <v>0.14000000000000001</v>
      </c>
      <c r="I58" s="50">
        <f>(G58 * H58)</f>
        <v>0</v>
      </c>
    </row>
    <row r="59" spans="4:9" ht="20.100000000000001" customHeight="1" x14ac:dyDescent="0.25">
      <c r="D59" s="173" t="str">
        <v>Incineration</v>
      </c>
      <c r="E59" s="177" t="str">
        <v>Rubber and leather</v>
      </c>
      <c r="F59" s="215"/>
      <c r="G59" s="50" cm="1">
        <f t="array" ref="G59">WasteSolid_InputFunctions.WasteSolid_InputFunctions_SumWasteTreatment(Table_Input_SolidWaste[Treatment type (select)],Table_Input_SolidWaste[Waste type (select)],Table_Input_SolidWaste[Treatment location (select)],Table_Input_SolidWaste[Amount unit (select)],Table_Input_SolidWaste[Amount],D59,E59, "Removed and treated off-site", "cubic metres m3")</f>
        <v>0</v>
      </c>
      <c r="H59" s="50" cm="1">
        <f t="array" ref="H59">Common_InputFunctions.Utility_LookupValueInTableNumber(E59,Table_SourceData_WasteSolid_VolumeToMassConversion[Waste type w],Table_SourceData_WasteSolid_VolumeToMassConversion[VTMw])</f>
        <v>0.14000000000000001</v>
      </c>
      <c r="I59" s="50">
        <f>(G59 * H59)</f>
        <v>0</v>
      </c>
    </row>
    <row r="60" spans="4:9" ht="20.100000000000001" customHeight="1" x14ac:dyDescent="0.25">
      <c r="D60" s="173" t="str">
        <v>Incineration</v>
      </c>
      <c r="E60" s="177" t="str">
        <v>Inert Waste</v>
      </c>
      <c r="F60" s="215"/>
      <c r="G60" s="50" cm="1">
        <f t="array" ref="G60">WasteSolid_InputFunctions.WasteSolid_InputFunctions_SumWasteTreatment(Table_Input_SolidWaste[Treatment type (select)],Table_Input_SolidWaste[Waste type (select)],Table_Input_SolidWaste[Treatment location (select)],Table_Input_SolidWaste[Amount unit (select)],Table_Input_SolidWaste[Amount],D60,E60, "Removed and treated off-site", "cubic metres m3")</f>
        <v>0</v>
      </c>
      <c r="H60" s="50" cm="1">
        <f t="array" ref="H60">Common_InputFunctions.Utility_LookupValueInTableNumber(E60,Table_SourceData_WasteSolid_VolumeToMassConversion[Waste type w],Table_SourceData_WasteSolid_VolumeToMassConversion[VTMw])</f>
        <v>0</v>
      </c>
      <c r="I60" s="50">
        <f>(G60 * H60)</f>
        <v>0</v>
      </c>
    </row>
    <row r="61" spans="4:9" ht="20.100000000000001" customHeight="1" x14ac:dyDescent="0.25">
      <c r="D61" s="173" t="str">
        <v>Incineration</v>
      </c>
      <c r="E61" s="177" t="str">
        <v>Municipal Solid Waste</v>
      </c>
      <c r="F61" s="215"/>
      <c r="G61" s="50" cm="1">
        <f t="array" ref="G61">WasteSolid_InputFunctions.WasteSolid_InputFunctions_SumWasteTreatment(Table_Input_SolidWaste[Treatment type (select)],Table_Input_SolidWaste[Waste type (select)],Table_Input_SolidWaste[Treatment location (select)],Table_Input_SolidWaste[Amount unit (select)],Table_Input_SolidWaste[Amount],D61,E61, "Removed and treated off-site", "cubic metres m3")</f>
        <v>0</v>
      </c>
      <c r="H61" s="50" cm="1">
        <f t="array" ref="H61">Common_InputFunctions.Utility_LookupValueInTableNumber(E61,Table_SourceData_WasteSolid_VolumeToMassConversion[Waste type w],Table_SourceData_WasteSolid_VolumeToMassConversion[VTMw])</f>
        <v>0.36</v>
      </c>
      <c r="I61" s="50">
        <f>(G61 * H61)</f>
        <v>0</v>
      </c>
    </row>
    <row r="62" spans="4:9" ht="20.100000000000001" customHeight="1" x14ac:dyDescent="0.25">
      <c r="D62" s="173" t="str">
        <v>Incineration</v>
      </c>
      <c r="E62" s="177" t="str">
        <v>Industrial Waste</v>
      </c>
      <c r="F62" s="215"/>
      <c r="G62" s="50" cm="1">
        <f t="array" ref="G62">WasteSolid_InputFunctions.WasteSolid_InputFunctions_SumWasteTreatment(Table_Input_SolidWaste[Treatment type (select)],Table_Input_SolidWaste[Waste type (select)],Table_Input_SolidWaste[Treatment location (select)],Table_Input_SolidWaste[Amount unit (select)],Table_Input_SolidWaste[Amount],D62,E62, "Removed and treated off-site", "cubic metres m3")</f>
        <v>0</v>
      </c>
      <c r="H62" s="50" cm="1">
        <f t="array" ref="H62">Common_InputFunctions.Utility_LookupValueInTableNumber(E62,Table_SourceData_WasteSolid_VolumeToMassConversion[Waste type w],Table_SourceData_WasteSolid_VolumeToMassConversion[VTMw])</f>
        <v>0</v>
      </c>
      <c r="I62" s="50">
        <f>(G62 * H62)</f>
        <v>0</v>
      </c>
    </row>
    <row r="63" spans="4:9" ht="20.100000000000001" customHeight="1" x14ac:dyDescent="0.25">
      <c r="D63" s="173" t="str">
        <v>Composting</v>
      </c>
      <c r="E63" s="177" t="str">
        <v>All organic waste</v>
      </c>
      <c r="F63" s="215"/>
      <c r="G63" s="50" cm="1">
        <f t="array" ref="G63">WasteSolid_InputFunctions.WasteSolid_InputFunctions_SumWasteTreatment(Table_Input_SolidWaste[Treatment type (select)],Table_Input_SolidWaste[Waste type (select)],Table_Input_SolidWaste[Treatment location (select)],Table_Input_SolidWaste[Amount unit (select)],Table_Input_SolidWaste[Amount],D63,E63, "Removed and treated off-site", "cubic metres m3")</f>
        <v>0</v>
      </c>
      <c r="H63" s="50" cm="1">
        <f t="array" ref="H63">Common_InputFunctions.Utility_LookupValueInTableNumber(E63,Table_SourceData_WasteSolid_VolumeToMassConversion[Waste type w],Table_SourceData_WasteSolid_VolumeToMassConversion[VTMw])</f>
        <v>0</v>
      </c>
      <c r="I63" s="50">
        <f>(G63 * H63)</f>
        <v>0</v>
      </c>
    </row>
    <row r="64" spans="4:9" ht="20.100000000000001" customHeight="1" x14ac:dyDescent="0.25">
      <c r="D64" s="173" t="str">
        <v>Anaerobic digestion</v>
      </c>
      <c r="E64" s="177" t="str">
        <v>All organic waste</v>
      </c>
      <c r="F64" s="215"/>
      <c r="G64" s="50" cm="1">
        <f t="array" ref="G64">WasteSolid_InputFunctions.WasteSolid_InputFunctions_SumWasteTreatment(Table_Input_SolidWaste[Treatment type (select)],Table_Input_SolidWaste[Waste type (select)],Table_Input_SolidWaste[Treatment location (select)],Table_Input_SolidWaste[Amount unit (select)],Table_Input_SolidWaste[Amount],D64,E64, "Removed and treated off-site", "cubic metres m3")</f>
        <v>0</v>
      </c>
      <c r="H64" s="50" cm="1">
        <f t="array" ref="H64">Common_InputFunctions.Utility_LookupValueInTableNumber(E64,Table_SourceData_WasteSolid_VolumeToMassConversion[Waste type w],Table_SourceData_WasteSolid_VolumeToMassConversion[VTMw])</f>
        <v>0</v>
      </c>
      <c r="I64" s="50">
        <f>(G64 * H64)</f>
        <v>0</v>
      </c>
    </row>
    <row r="65" spans="1:12" ht="20.100000000000001" customHeight="1" x14ac:dyDescent="0.25"/>
    <row r="66" spans="1:12" ht="20.100000000000001" customHeight="1" x14ac:dyDescent="0.25">
      <c r="A66" s="56" t="str">
        <f>HYPERLINK("#A1", "▲ Back to top")</f>
        <v>▲ Back to top</v>
      </c>
    </row>
    <row r="67" spans="1:12" ht="20.100000000000001" customHeight="1" x14ac:dyDescent="0.25">
      <c r="C67" s="102"/>
      <c r="D67" s="102"/>
      <c r="E67" s="102"/>
      <c r="F67" s="102"/>
      <c r="G67" s="102"/>
      <c r="H67" s="102"/>
      <c r="I67" s="102"/>
      <c r="J67" s="102"/>
      <c r="K67" s="102"/>
      <c r="L67" s="102"/>
    </row>
    <row r="68" spans="1:12" ht="20.100000000000001" customHeight="1" x14ac:dyDescent="0.25">
      <c r="D68" s="9" t="s">
        <v>1038</v>
      </c>
    </row>
    <row r="69" spans="1:12" ht="20.100000000000001" customHeight="1" x14ac:dyDescent="0.25">
      <c r="D69" s="11" t="s">
        <v>1039</v>
      </c>
    </row>
    <row r="70" spans="1:12" ht="20.100000000000001" customHeight="1" x14ac:dyDescent="0.25">
      <c r="D70" s="12" t="s">
        <v>1040</v>
      </c>
    </row>
    <row r="71" spans="1:12" ht="20.100000000000001" customHeight="1" x14ac:dyDescent="0.25">
      <c r="D71" s="178"/>
      <c r="E71" s="178"/>
    </row>
    <row r="72" spans="1:12" ht="20.100000000000001" customHeight="1" x14ac:dyDescent="0.25"/>
    <row r="73" spans="1:12" ht="20.100000000000001" customHeight="1" x14ac:dyDescent="0.25"/>
    <row r="74" spans="1:12" ht="20.100000000000001" customHeight="1" x14ac:dyDescent="0.25">
      <c r="D74" s="28" t="s">
        <v>641</v>
      </c>
      <c r="E74" s="8" t="s">
        <v>1041</v>
      </c>
    </row>
    <row r="75" spans="1:12" ht="20.100000000000001" customHeight="1" x14ac:dyDescent="0.25">
      <c r="D75" s="28" t="s">
        <v>97</v>
      </c>
      <c r="E75" s="13" t="s">
        <v>860</v>
      </c>
    </row>
    <row r="76" spans="1:12" ht="20.100000000000001" customHeight="1" x14ac:dyDescent="0.25"/>
    <row r="77" spans="1:12" ht="20.100000000000001" customHeight="1" x14ac:dyDescent="0.25">
      <c r="D77" s="173" t="s">
        <v>1029</v>
      </c>
      <c r="E77" s="177" t="s">
        <v>1042</v>
      </c>
      <c r="F77" s="211"/>
      <c r="G77" s="172"/>
      <c r="H77" s="173" t="s">
        <v>886</v>
      </c>
      <c r="I77" s="175" t="s">
        <v>1050</v>
      </c>
    </row>
    <row r="78" spans="1:12" ht="20.100000000000001" customHeight="1" x14ac:dyDescent="0.25">
      <c r="D78" s="173" t="s">
        <v>1043</v>
      </c>
      <c r="E78" s="177" t="s">
        <v>1044</v>
      </c>
      <c r="F78" s="211"/>
      <c r="G78" s="172"/>
      <c r="H78" s="173" t="s">
        <v>934</v>
      </c>
      <c r="I78" s="175" t="s">
        <v>877</v>
      </c>
    </row>
    <row r="79" spans="1:12" ht="20.100000000000001" customHeight="1" x14ac:dyDescent="0.25">
      <c r="D79" s="173" t="s">
        <v>1034</v>
      </c>
      <c r="E79" s="177" t="s">
        <v>1035</v>
      </c>
      <c r="F79" s="211"/>
      <c r="G79" s="172"/>
      <c r="H79" s="173"/>
      <c r="I79" s="174" t="s">
        <v>874</v>
      </c>
    </row>
    <row r="80" spans="1:12" ht="20.100000000000001" customHeight="1" x14ac:dyDescent="0.25">
      <c r="D80" s="173" t="s">
        <v>886</v>
      </c>
      <c r="E80" s="177" t="s">
        <v>1036</v>
      </c>
      <c r="F80" s="211"/>
      <c r="G80" s="172"/>
      <c r="H80" s="173"/>
      <c r="I80" s="174" t="s">
        <v>874</v>
      </c>
    </row>
    <row r="81" spans="4:11" ht="20.100000000000001" customHeight="1" x14ac:dyDescent="0.25">
      <c r="D81" s="173" t="s">
        <v>960</v>
      </c>
      <c r="E81" s="177" t="s">
        <v>1045</v>
      </c>
      <c r="F81" s="211"/>
      <c r="G81" s="172"/>
      <c r="H81" s="173"/>
      <c r="I81" s="174" t="s">
        <v>874</v>
      </c>
    </row>
    <row r="82" spans="4:11" ht="20.100000000000001" customHeight="1" x14ac:dyDescent="0.25">
      <c r="D82" s="173" t="s">
        <v>1046</v>
      </c>
      <c r="E82" s="177" t="s">
        <v>1047</v>
      </c>
      <c r="F82" s="211"/>
      <c r="G82" s="172"/>
      <c r="H82" s="173" t="s">
        <v>802</v>
      </c>
      <c r="I82" s="175" t="s">
        <v>1051</v>
      </c>
    </row>
    <row r="83" spans="4:11" ht="20.100000000000001" customHeight="1" x14ac:dyDescent="0.25">
      <c r="D83" s="173" t="s">
        <v>1048</v>
      </c>
      <c r="E83" s="177" t="s">
        <v>1049</v>
      </c>
      <c r="F83" s="211"/>
      <c r="G83" s="172"/>
      <c r="H83" s="173" t="s">
        <v>802</v>
      </c>
      <c r="I83" s="174" t="s">
        <v>874</v>
      </c>
    </row>
    <row r="84" spans="4:11" ht="20.100000000000001" customHeight="1" x14ac:dyDescent="0.25"/>
    <row r="85" spans="4:11" ht="20.100000000000001" customHeight="1" x14ac:dyDescent="0.25">
      <c r="D85" s="58" t="s">
        <v>816</v>
      </c>
    </row>
    <row r="86" spans="4:11" ht="20.100000000000001" customHeight="1" x14ac:dyDescent="0.25">
      <c r="D86" s="59" t="s">
        <v>817</v>
      </c>
    </row>
    <row r="87" spans="4:11" ht="20.100000000000001" customHeight="1" x14ac:dyDescent="0.25">
      <c r="D87" s="47" t="s">
        <v>809</v>
      </c>
      <c r="E87" s="47" t="s">
        <v>810</v>
      </c>
      <c r="F87" s="47"/>
      <c r="G87" s="47" t="s">
        <v>818</v>
      </c>
      <c r="H87" s="60" t="s">
        <v>819</v>
      </c>
      <c r="I87" s="60" t="s">
        <v>820</v>
      </c>
      <c r="J87" s="60" t="s">
        <v>821</v>
      </c>
      <c r="K87" s="60" t="s">
        <v>822</v>
      </c>
    </row>
    <row r="88" spans="4:11" ht="20.100000000000001" customHeight="1" x14ac:dyDescent="0.25">
      <c r="D88" s="173" t="str" cm="1">
        <f t="array" ref="D88:D107">Table_SourceData_WasteSolid_WasteTreatmentEFs[Treatment type t]</f>
        <v>Landfill</v>
      </c>
      <c r="E88" s="177" t="str" cm="1">
        <f t="array" ref="E88:E107">Table_SourceData_WasteSolid_WasteTreatmentEFs[Waste type w]</f>
        <v>Food waste (including animal carcasses, spoiled animal feed or crop)</v>
      </c>
      <c r="F88" s="215"/>
      <c r="G88" s="50" cm="1">
        <f t="array" ref="G88">WasteSolid_InputFunctions.WasteSolid_InputFunctions_SumWasteTreatment(Table_Input_SolidWaste[Treatment type (select)],Table_Input_SolidWaste[Waste type (select)],Table_Input_SolidWaste[Treatment location (select)],Table_Input_SolidWaste[Amount unit (select)],Table_Input_SolidWaste[Amount],D21,E21, "Treated on-site", "tonnes")</f>
        <v>0</v>
      </c>
      <c r="H88" s="50">
        <f t="shared" ref="H88:H107" si="0">I21</f>
        <v>0</v>
      </c>
      <c r="I88" s="50">
        <f>G88+H88</f>
        <v>0</v>
      </c>
      <c r="J88" s="50" cm="1">
        <f t="array" ref="J88">Common_InputFunctions.Utility_LookupValueInTableTwoColumns(D88,E88,Table_SourceData_WasteSolid_WasteTreatmentEFs[Treatment type t],Table_SourceData_WasteSolid_WasteTreatmentEFs[Waste type w],Table_SourceData_WasteSolid_WasteTreatmentEFs[EFwt])</f>
        <v>2.1</v>
      </c>
      <c r="K88" s="50">
        <f>(I88 * J88)</f>
        <v>0</v>
      </c>
    </row>
    <row r="89" spans="4:11" ht="20.100000000000001" customHeight="1" x14ac:dyDescent="0.25">
      <c r="D89" s="173" t="str">
        <v>Landfill</v>
      </c>
      <c r="E89" s="177" t="str">
        <v>Paper and cardboard</v>
      </c>
      <c r="F89" s="215"/>
      <c r="G89" s="50" cm="1">
        <f t="array" ref="G89">WasteSolid_InputFunctions.WasteSolid_InputFunctions_SumWasteTreatment(Table_Input_SolidWaste[Treatment type (select)],Table_Input_SolidWaste[Waste type (select)],Table_Input_SolidWaste[Treatment location (select)],Table_Input_SolidWaste[Amount unit (select)],Table_Input_SolidWaste[Amount],D22,E22, "Treated on-site", "tonnes")</f>
        <v>0</v>
      </c>
      <c r="H89" s="50">
        <f t="shared" si="0"/>
        <v>0</v>
      </c>
      <c r="I89" s="50">
        <f t="shared" ref="I89:I107" si="1">G89+H89</f>
        <v>0</v>
      </c>
      <c r="J89" s="50" cm="1">
        <f t="array" ref="J89">Common_InputFunctions.Utility_LookupValueInTableTwoColumns(D89,E89,Table_SourceData_WasteSolid_WasteTreatmentEFs[Treatment type t],Table_SourceData_WasteSolid_WasteTreatmentEFs[Waste type w],Table_SourceData_WasteSolid_WasteTreatmentEFs[EFwt])</f>
        <v>3.3</v>
      </c>
      <c r="K89" s="50">
        <f>(I89 * J89)</f>
        <v>0</v>
      </c>
    </row>
    <row r="90" spans="4:11" ht="20.100000000000001" customHeight="1" x14ac:dyDescent="0.25">
      <c r="D90" s="173" t="str">
        <v>Landfill</v>
      </c>
      <c r="E90" s="177" t="str">
        <v>Green waste (including crop residues or prunnings)</v>
      </c>
      <c r="F90" s="215"/>
      <c r="G90" s="50" cm="1">
        <f t="array" ref="G90">WasteSolid_InputFunctions.WasteSolid_InputFunctions_SumWasteTreatment(Table_Input_SolidWaste[Treatment type (select)],Table_Input_SolidWaste[Waste type (select)],Table_Input_SolidWaste[Treatment location (select)],Table_Input_SolidWaste[Amount unit (select)],Table_Input_SolidWaste[Amount],D23,E23, "Treated on-site", "tonnes")</f>
        <v>0</v>
      </c>
      <c r="H90" s="50">
        <f t="shared" si="0"/>
        <v>0</v>
      </c>
      <c r="I90" s="50">
        <f t="shared" si="1"/>
        <v>0</v>
      </c>
      <c r="J90" s="50" cm="1">
        <f t="array" ref="J90">Common_InputFunctions.Utility_LookupValueInTableTwoColumns(D90,E90,Table_SourceData_WasteSolid_WasteTreatmentEFs[Treatment type t],Table_SourceData_WasteSolid_WasteTreatmentEFs[Waste type w],Table_SourceData_WasteSolid_WasteTreatmentEFs[EFwt])</f>
        <v>1.6</v>
      </c>
      <c r="K90" s="50">
        <f>(I90 * J90)</f>
        <v>0</v>
      </c>
    </row>
    <row r="91" spans="4:11" ht="20.100000000000001" customHeight="1" x14ac:dyDescent="0.25">
      <c r="D91" s="173" t="str">
        <v>Landfill</v>
      </c>
      <c r="E91" s="177" t="str">
        <v>Wood</v>
      </c>
      <c r="F91" s="215"/>
      <c r="G91" s="50" cm="1">
        <f t="array" ref="G91">WasteSolid_InputFunctions.WasteSolid_InputFunctions_SumWasteTreatment(Table_Input_SolidWaste[Treatment type (select)],Table_Input_SolidWaste[Waste type (select)],Table_Input_SolidWaste[Treatment location (select)],Table_Input_SolidWaste[Amount unit (select)],Table_Input_SolidWaste[Amount],D24,E24, "Treated on-site", "tonnes")</f>
        <v>0</v>
      </c>
      <c r="H91" s="50">
        <f t="shared" si="0"/>
        <v>0</v>
      </c>
      <c r="I91" s="50">
        <f t="shared" si="1"/>
        <v>0</v>
      </c>
      <c r="J91" s="50" cm="1">
        <f t="array" ref="J91">Common_InputFunctions.Utility_LookupValueInTableTwoColumns(D91,E91,Table_SourceData_WasteSolid_WasteTreatmentEFs[Treatment type t],Table_SourceData_WasteSolid_WasteTreatmentEFs[Waste type w],Table_SourceData_WasteSolid_WasteTreatmentEFs[EFwt])</f>
        <v>0.7</v>
      </c>
      <c r="K91" s="50">
        <f>(I91 * J91)</f>
        <v>0</v>
      </c>
    </row>
    <row r="92" spans="4:11" ht="20.100000000000001" customHeight="1" x14ac:dyDescent="0.25">
      <c r="D92" s="173" t="str">
        <v>Landfill</v>
      </c>
      <c r="E92" s="177" t="str">
        <v>Textiles</v>
      </c>
      <c r="F92" s="215"/>
      <c r="G92" s="50" cm="1">
        <f t="array" ref="G92">WasteSolid_InputFunctions.WasteSolid_InputFunctions_SumWasteTreatment(Table_Input_SolidWaste[Treatment type (select)],Table_Input_SolidWaste[Waste type (select)],Table_Input_SolidWaste[Treatment location (select)],Table_Input_SolidWaste[Amount unit (select)],Table_Input_SolidWaste[Amount],D25,E25, "Treated on-site", "tonnes")</f>
        <v>0</v>
      </c>
      <c r="H92" s="50">
        <f t="shared" si="0"/>
        <v>0</v>
      </c>
      <c r="I92" s="50">
        <f t="shared" si="1"/>
        <v>0</v>
      </c>
      <c r="J92" s="50" cm="1">
        <f t="array" ref="J92">Common_InputFunctions.Utility_LookupValueInTableTwoColumns(D92,E92,Table_SourceData_WasteSolid_WasteTreatmentEFs[Treatment type t],Table_SourceData_WasteSolid_WasteTreatmentEFs[Waste type w],Table_SourceData_WasteSolid_WasteTreatmentEFs[EFwt])</f>
        <v>2</v>
      </c>
      <c r="K92" s="50">
        <f>(I92 * J92)</f>
        <v>0</v>
      </c>
    </row>
    <row r="93" spans="4:11" ht="20.100000000000001" customHeight="1" x14ac:dyDescent="0.25">
      <c r="D93" s="173" t="str">
        <v>Landfill</v>
      </c>
      <c r="E93" s="177" t="str">
        <v>Sludge</v>
      </c>
      <c r="F93" s="215"/>
      <c r="G93" s="50" cm="1">
        <f t="array" ref="G93">WasteSolid_InputFunctions.WasteSolid_InputFunctions_SumWasteTreatment(Table_Input_SolidWaste[Treatment type (select)],Table_Input_SolidWaste[Waste type (select)],Table_Input_SolidWaste[Treatment location (select)],Table_Input_SolidWaste[Amount unit (select)],Table_Input_SolidWaste[Amount],D26,E26, "Treated on-site", "tonnes")</f>
        <v>0</v>
      </c>
      <c r="H93" s="50">
        <f t="shared" si="0"/>
        <v>0</v>
      </c>
      <c r="I93" s="50">
        <f t="shared" si="1"/>
        <v>0</v>
      </c>
      <c r="J93" s="50" cm="1">
        <f t="array" ref="J93">Common_InputFunctions.Utility_LookupValueInTableTwoColumns(D93,E93,Table_SourceData_WasteSolid_WasteTreatmentEFs[Treatment type t],Table_SourceData_WasteSolid_WasteTreatmentEFs[Waste type w],Table_SourceData_WasteSolid_WasteTreatmentEFs[EFwt])</f>
        <v>0.4</v>
      </c>
      <c r="K93" s="50">
        <f>(I93 * J93)</f>
        <v>0</v>
      </c>
    </row>
    <row r="94" spans="4:11" ht="20.100000000000001" customHeight="1" x14ac:dyDescent="0.25">
      <c r="D94" s="173" t="str">
        <v>Landfill</v>
      </c>
      <c r="E94" s="177" t="str">
        <v>Rubber and leather</v>
      </c>
      <c r="F94" s="215"/>
      <c r="G94" s="50" cm="1">
        <f t="array" ref="G94">WasteSolid_InputFunctions.WasteSolid_InputFunctions_SumWasteTreatment(Table_Input_SolidWaste[Treatment type (select)],Table_Input_SolidWaste[Waste type (select)],Table_Input_SolidWaste[Treatment location (select)],Table_Input_SolidWaste[Amount unit (select)],Table_Input_SolidWaste[Amount],D27,E27, "Treated on-site", "tonnes")</f>
        <v>0</v>
      </c>
      <c r="H94" s="50">
        <f t="shared" si="0"/>
        <v>0</v>
      </c>
      <c r="I94" s="50">
        <f t="shared" si="1"/>
        <v>0</v>
      </c>
      <c r="J94" s="50" cm="1">
        <f t="array" ref="J94">Common_InputFunctions.Utility_LookupValueInTableTwoColumns(D94,E94,Table_SourceData_WasteSolid_WasteTreatmentEFs[Treatment type t],Table_SourceData_WasteSolid_WasteTreatmentEFs[Waste type w],Table_SourceData_WasteSolid_WasteTreatmentEFs[EFwt])</f>
        <v>3.3</v>
      </c>
      <c r="K94" s="50">
        <f>(I94 * J94)</f>
        <v>0</v>
      </c>
    </row>
    <row r="95" spans="4:11" ht="20.100000000000001" customHeight="1" x14ac:dyDescent="0.25">
      <c r="D95" s="173" t="str">
        <v>Landfill</v>
      </c>
      <c r="E95" s="177" t="str">
        <v>Inert waste (including concrete, metal, plastic or glass)</v>
      </c>
      <c r="F95" s="215"/>
      <c r="G95" s="50" cm="1">
        <f t="array" ref="G95">WasteSolid_InputFunctions.WasteSolid_InputFunctions_SumWasteTreatment(Table_Input_SolidWaste[Treatment type (select)],Table_Input_SolidWaste[Waste type (select)],Table_Input_SolidWaste[Treatment location (select)],Table_Input_SolidWaste[Amount unit (select)],Table_Input_SolidWaste[Amount],D28,E28, "Treated on-site", "tonnes")</f>
        <v>0</v>
      </c>
      <c r="H95" s="50">
        <f t="shared" si="0"/>
        <v>0</v>
      </c>
      <c r="I95" s="50">
        <f t="shared" si="1"/>
        <v>0</v>
      </c>
      <c r="J95" s="50" cm="1">
        <f t="array" ref="J95">Common_InputFunctions.Utility_LookupValueInTableTwoColumns(D95,E95,Table_SourceData_WasteSolid_WasteTreatmentEFs[Treatment type t],Table_SourceData_WasteSolid_WasteTreatmentEFs[Waste type w],Table_SourceData_WasteSolid_WasteTreatmentEFs[EFwt])</f>
        <v>0</v>
      </c>
      <c r="K95" s="50">
        <f>(I95 * J95)</f>
        <v>0</v>
      </c>
    </row>
    <row r="96" spans="4:11" ht="20.100000000000001" customHeight="1" x14ac:dyDescent="0.25">
      <c r="D96" s="173" t="str">
        <v>Landfill</v>
      </c>
      <c r="E96" s="177" t="str">
        <v>Municipal solid waste</v>
      </c>
      <c r="F96" s="215"/>
      <c r="G96" s="50" cm="1">
        <f t="array" ref="G96">WasteSolid_InputFunctions.WasteSolid_InputFunctions_SumWasteTreatment(Table_Input_SolidWaste[Treatment type (select)],Table_Input_SolidWaste[Waste type (select)],Table_Input_SolidWaste[Treatment location (select)],Table_Input_SolidWaste[Amount unit (select)],Table_Input_SolidWaste[Amount],D29,E29, "Treated on-site", "tonnes")</f>
        <v>0</v>
      </c>
      <c r="H96" s="50">
        <f t="shared" si="0"/>
        <v>0</v>
      </c>
      <c r="I96" s="50">
        <f t="shared" si="1"/>
        <v>0</v>
      </c>
      <c r="J96" s="50" cm="1">
        <f t="array" ref="J96">Common_InputFunctions.Utility_LookupValueInTableTwoColumns(D96,E96,Table_SourceData_WasteSolid_WasteTreatmentEFs[Treatment type t],Table_SourceData_WasteSolid_WasteTreatmentEFs[Waste type w],Table_SourceData_WasteSolid_WasteTreatmentEFs[EFwt])</f>
        <v>1.6</v>
      </c>
      <c r="K96" s="50">
        <f>(I96 * J96)</f>
        <v>0</v>
      </c>
    </row>
    <row r="97" spans="1:11" ht="20.100000000000001" customHeight="1" x14ac:dyDescent="0.25">
      <c r="D97" s="173" t="str">
        <v>Landfill</v>
      </c>
      <c r="E97" s="177" t="str">
        <v>Commercial and industrial waste</v>
      </c>
      <c r="F97" s="215"/>
      <c r="G97" s="50" cm="1">
        <f t="array" ref="G97">WasteSolid_InputFunctions.WasteSolid_InputFunctions_SumWasteTreatment(Table_Input_SolidWaste[Treatment type (select)],Table_Input_SolidWaste[Waste type (select)],Table_Input_SolidWaste[Treatment location (select)],Table_Input_SolidWaste[Amount unit (select)],Table_Input_SolidWaste[Amount],D30,E30, "Treated on-site", "tonnes")</f>
        <v>0</v>
      </c>
      <c r="H97" s="50">
        <f t="shared" si="0"/>
        <v>0</v>
      </c>
      <c r="I97" s="50">
        <f t="shared" si="1"/>
        <v>0</v>
      </c>
      <c r="J97" s="50" cm="1">
        <f t="array" ref="J97">Common_InputFunctions.Utility_LookupValueInTableTwoColumns(D97,E97,Table_SourceData_WasteSolid_WasteTreatmentEFs[Treatment type t],Table_SourceData_WasteSolid_WasteTreatmentEFs[Waste type w],Table_SourceData_WasteSolid_WasteTreatmentEFs[EFwt])</f>
        <v>1.3</v>
      </c>
      <c r="K97" s="50">
        <f>(I97 * J97)</f>
        <v>0</v>
      </c>
    </row>
    <row r="98" spans="1:11" ht="20.100000000000001" customHeight="1" x14ac:dyDescent="0.25">
      <c r="D98" s="173" t="str">
        <v>Landfill</v>
      </c>
      <c r="E98" s="177" t="str">
        <v>Construction and demolition waste</v>
      </c>
      <c r="F98" s="215"/>
      <c r="G98" s="50" cm="1">
        <f t="array" ref="G98">WasteSolid_InputFunctions.WasteSolid_InputFunctions_SumWasteTreatment(Table_Input_SolidWaste[Treatment type (select)],Table_Input_SolidWaste[Waste type (select)],Table_Input_SolidWaste[Treatment location (select)],Table_Input_SolidWaste[Amount unit (select)],Table_Input_SolidWaste[Amount],D31,E31, "Treated on-site", "tonnes")</f>
        <v>0</v>
      </c>
      <c r="H98" s="50">
        <f t="shared" si="0"/>
        <v>0</v>
      </c>
      <c r="I98" s="50">
        <f t="shared" si="1"/>
        <v>0</v>
      </c>
      <c r="J98" s="50" cm="1">
        <f t="array" ref="J98">Common_InputFunctions.Utility_LookupValueInTableTwoColumns(D98,E98,Table_SourceData_WasteSolid_WasteTreatmentEFs[Treatment type t],Table_SourceData_WasteSolid_WasteTreatmentEFs[Waste type w],Table_SourceData_WasteSolid_WasteTreatmentEFs[EFwt])</f>
        <v>0.2</v>
      </c>
      <c r="K98" s="50">
        <f>(I98 * J98)</f>
        <v>0</v>
      </c>
    </row>
    <row r="99" spans="1:11" ht="20.100000000000001" customHeight="1" x14ac:dyDescent="0.25">
      <c r="D99" s="173" t="str">
        <v>Incineration</v>
      </c>
      <c r="E99" s="177" t="str">
        <v>Food waste, green waste, wood, sludge</v>
      </c>
      <c r="F99" s="215"/>
      <c r="G99" s="50" cm="1">
        <f t="array" ref="G99">WasteSolid_InputFunctions.WasteSolid_InputFunctions_SumWasteTreatment(Table_Input_SolidWaste[Treatment type (select)],Table_Input_SolidWaste[Waste type (select)],Table_Input_SolidWaste[Treatment location (select)],Table_Input_SolidWaste[Amount unit (select)],Table_Input_SolidWaste[Amount],D32,E32, "Treated on-site", "tonnes")</f>
        <v>0</v>
      </c>
      <c r="H99" s="50">
        <f t="shared" si="0"/>
        <v>0</v>
      </c>
      <c r="I99" s="50">
        <f t="shared" si="1"/>
        <v>0</v>
      </c>
      <c r="J99" s="50" cm="1">
        <f t="array" ref="J99">Common_InputFunctions.Utility_LookupValueInTableTwoColumns(D99,E99,Table_SourceData_WasteSolid_WasteTreatmentEFs[Treatment type t],Table_SourceData_WasteSolid_WasteTreatmentEFs[Waste type w],Table_SourceData_WasteSolid_WasteTreatmentEFs[EFwt])</f>
        <v>0</v>
      </c>
      <c r="K99" s="50">
        <f>(I99 * J99)</f>
        <v>0</v>
      </c>
    </row>
    <row r="100" spans="1:11" ht="20.100000000000001" customHeight="1" x14ac:dyDescent="0.25">
      <c r="D100" s="173" t="str">
        <v>Incineration</v>
      </c>
      <c r="E100" s="177" t="str">
        <v>Paper and cardboard</v>
      </c>
      <c r="F100" s="215"/>
      <c r="G100" s="50" cm="1">
        <f t="array" ref="G100">WasteSolid_InputFunctions.WasteSolid_InputFunctions_SumWasteTreatment(Table_Input_SolidWaste[Treatment type (select)],Table_Input_SolidWaste[Waste type (select)],Table_Input_SolidWaste[Treatment location (select)],Table_Input_SolidWaste[Amount unit (select)],Table_Input_SolidWaste[Amount],D33,E33, "Treated on-site", "tonnes")</f>
        <v>0</v>
      </c>
      <c r="H100" s="50">
        <f t="shared" si="0"/>
        <v>0</v>
      </c>
      <c r="I100" s="50">
        <f t="shared" si="1"/>
        <v>0</v>
      </c>
      <c r="J100" s="50" cm="1">
        <f t="array" ref="J100">Common_InputFunctions.Utility_LookupValueInTableTwoColumns(D100,E100,Table_SourceData_WasteSolid_WasteTreatmentEFs[Treatment type t],Table_SourceData_WasteSolid_WasteTreatmentEFs[Waste type w],Table_SourceData_WasteSolid_WasteTreatmentEFs[EFwt])</f>
        <v>1.6899999999999998E-2</v>
      </c>
      <c r="K100" s="50">
        <f>(I100 * J100)</f>
        <v>0</v>
      </c>
    </row>
    <row r="101" spans="1:11" ht="20.100000000000001" customHeight="1" x14ac:dyDescent="0.25">
      <c r="D101" s="173" t="str">
        <v>Incineration</v>
      </c>
      <c r="E101" s="177" t="str">
        <v>Textiles</v>
      </c>
      <c r="F101" s="215"/>
      <c r="G101" s="50" cm="1">
        <f t="array" ref="G101">WasteSolid_InputFunctions.WasteSolid_InputFunctions_SumWasteTreatment(Table_Input_SolidWaste[Treatment type (select)],Table_Input_SolidWaste[Waste type (select)],Table_Input_SolidWaste[Treatment location (select)],Table_Input_SolidWaste[Amount unit (select)],Table_Input_SolidWaste[Amount],D34,E34, "Treated on-site", "tonnes")</f>
        <v>0</v>
      </c>
      <c r="H101" s="50">
        <f t="shared" si="0"/>
        <v>0</v>
      </c>
      <c r="I101" s="50">
        <f t="shared" si="1"/>
        <v>0</v>
      </c>
      <c r="J101" s="50" cm="1">
        <f t="array" ref="J101">Common_InputFunctions.Utility_LookupValueInTableTwoColumns(D101,E101,Table_SourceData_WasteSolid_WasteTreatmentEFs[Treatment type t],Table_SourceData_WasteSolid_WasteTreatmentEFs[Waste type w],Table_SourceData_WasteSolid_WasteTreatmentEFs[EFwt])</f>
        <v>0.36670000000000003</v>
      </c>
      <c r="K101" s="50">
        <f>(I101 * J101)</f>
        <v>0</v>
      </c>
    </row>
    <row r="102" spans="1:11" ht="20.100000000000001" customHeight="1" x14ac:dyDescent="0.25">
      <c r="D102" s="173" t="str">
        <v>Incineration</v>
      </c>
      <c r="E102" s="177" t="str">
        <v>Rubber and leather</v>
      </c>
      <c r="F102" s="215"/>
      <c r="G102" s="50" cm="1">
        <f t="array" ref="G102">WasteSolid_InputFunctions.WasteSolid_InputFunctions_SumWasteTreatment(Table_Input_SolidWaste[Treatment type (select)],Table_Input_SolidWaste[Waste type (select)],Table_Input_SolidWaste[Treatment location (select)],Table_Input_SolidWaste[Amount unit (select)],Table_Input_SolidWaste[Amount],D35,E35, "Treated on-site", "tonnes")</f>
        <v>0</v>
      </c>
      <c r="H102" s="50">
        <f t="shared" si="0"/>
        <v>0</v>
      </c>
      <c r="I102" s="50">
        <f t="shared" si="1"/>
        <v>0</v>
      </c>
      <c r="J102" s="50" cm="1">
        <f t="array" ref="J102">Common_InputFunctions.Utility_LookupValueInTableTwoColumns(D102,E102,Table_SourceData_WasteSolid_WasteTreatmentEFs[Treatment type t],Table_SourceData_WasteSolid_WasteTreatmentEFs[Waste type w],Table_SourceData_WasteSolid_WasteTreatmentEFs[EFwt])</f>
        <v>0.4919</v>
      </c>
      <c r="K102" s="50">
        <f>(I102 * J102)</f>
        <v>0</v>
      </c>
    </row>
    <row r="103" spans="1:11" ht="20.100000000000001" customHeight="1" x14ac:dyDescent="0.25">
      <c r="D103" s="173" t="str">
        <v>Incineration</v>
      </c>
      <c r="E103" s="177" t="str">
        <v>Inert Waste</v>
      </c>
      <c r="F103" s="215"/>
      <c r="G103" s="50" cm="1">
        <f t="array" ref="G103">WasteSolid_InputFunctions.WasteSolid_InputFunctions_SumWasteTreatment(Table_Input_SolidWaste[Treatment type (select)],Table_Input_SolidWaste[Waste type (select)],Table_Input_SolidWaste[Treatment location (select)],Table_Input_SolidWaste[Amount unit (select)],Table_Input_SolidWaste[Amount],D36,E36, "Treated on-site", "tonnes")</f>
        <v>0</v>
      </c>
      <c r="H103" s="50">
        <f t="shared" si="0"/>
        <v>0</v>
      </c>
      <c r="I103" s="50">
        <f t="shared" si="1"/>
        <v>0</v>
      </c>
      <c r="J103" s="50" cm="1">
        <f t="array" ref="J103">Common_InputFunctions.Utility_LookupValueInTableTwoColumns(D103,E103,Table_SourceData_WasteSolid_WasteTreatmentEFs[Treatment type t],Table_SourceData_WasteSolid_WasteTreatmentEFs[Waste type w],Table_SourceData_WasteSolid_WasteTreatmentEFs[EFwt])</f>
        <v>0.11</v>
      </c>
      <c r="K103" s="50">
        <f>(I103 * J103)</f>
        <v>0</v>
      </c>
    </row>
    <row r="104" spans="1:11" ht="20.100000000000001" customHeight="1" x14ac:dyDescent="0.25">
      <c r="D104" s="173" t="str">
        <v>Incineration</v>
      </c>
      <c r="E104" s="177" t="str">
        <v>Municipal Solid Waste</v>
      </c>
      <c r="F104" s="215"/>
      <c r="G104" s="50" cm="1">
        <f t="array" ref="G104">WasteSolid_InputFunctions.WasteSolid_InputFunctions_SumWasteTreatment(Table_Input_SolidWaste[Treatment type (select)],Table_Input_SolidWaste[Waste type (select)],Table_Input_SolidWaste[Treatment location (select)],Table_Input_SolidWaste[Amount unit (select)],Table_Input_SolidWaste[Amount],D37,E37, "Treated on-site", "tonnes")</f>
        <v>0</v>
      </c>
      <c r="H104" s="50">
        <f t="shared" si="0"/>
        <v>0</v>
      </c>
      <c r="I104" s="50">
        <f t="shared" si="1"/>
        <v>0</v>
      </c>
      <c r="J104" s="50" cm="1">
        <f t="array" ref="J104">Common_InputFunctions.Utility_LookupValueInTableTwoColumns(D104,E104,Table_SourceData_WasteSolid_WasteTreatmentEFs[Treatment type t],Table_SourceData_WasteSolid_WasteTreatmentEFs[Waste type w],Table_SourceData_WasteSolid_WasteTreatmentEFs[EFwt])</f>
        <v>5.3699999999999998E-2</v>
      </c>
      <c r="K104" s="50">
        <f>(I104 * J104)</f>
        <v>0</v>
      </c>
    </row>
    <row r="105" spans="1:11" ht="20.100000000000001" customHeight="1" x14ac:dyDescent="0.25">
      <c r="D105" s="173" t="str">
        <v>Incineration</v>
      </c>
      <c r="E105" s="177" t="str">
        <v>Industrial Waste</v>
      </c>
      <c r="F105" s="215"/>
      <c r="G105" s="50" cm="1">
        <f t="array" ref="G105">WasteSolid_InputFunctions.WasteSolid_InputFunctions_SumWasteTreatment(Table_Input_SolidWaste[Treatment type (select)],Table_Input_SolidWaste[Waste type (select)],Table_Input_SolidWaste[Treatment location (select)],Table_Input_SolidWaste[Amount unit (select)],Table_Input_SolidWaste[Amount],D38,E38, "Treated on-site", "tonnes")</f>
        <v>0</v>
      </c>
      <c r="H105" s="50">
        <f t="shared" si="0"/>
        <v>0</v>
      </c>
      <c r="I105" s="50">
        <f t="shared" si="1"/>
        <v>0</v>
      </c>
      <c r="J105" s="50" cm="1">
        <f t="array" ref="J105">Common_InputFunctions.Utility_LookupValueInTableTwoColumns(D105,E105,Table_SourceData_WasteSolid_WasteTreatmentEFs[Treatment type t],Table_SourceData_WasteSolid_WasteTreatmentEFs[Waste type w],Table_SourceData_WasteSolid_WasteTreatmentEFs[EFwt])</f>
        <v>1.649</v>
      </c>
      <c r="K105" s="50">
        <f>(I105 * J105)</f>
        <v>0</v>
      </c>
    </row>
    <row r="106" spans="1:11" ht="20.100000000000001" customHeight="1" x14ac:dyDescent="0.25">
      <c r="D106" s="173" t="str">
        <v>Composting</v>
      </c>
      <c r="E106" s="177" t="str">
        <v>All organic waste</v>
      </c>
      <c r="F106" s="215"/>
      <c r="G106" s="50" cm="1">
        <f t="array" ref="G106">WasteSolid_InputFunctions.WasteSolid_InputFunctions_SumWasteTreatment(Table_Input_SolidWaste[Treatment type (select)],Table_Input_SolidWaste[Waste type (select)],Table_Input_SolidWaste[Treatment location (select)],Table_Input_SolidWaste[Amount unit (select)],Table_Input_SolidWaste[Amount],D39,E39, "Treated on-site", "tonnes")</f>
        <v>0</v>
      </c>
      <c r="H106" s="50">
        <f t="shared" si="0"/>
        <v>0</v>
      </c>
      <c r="I106" s="50">
        <f t="shared" si="1"/>
        <v>0</v>
      </c>
      <c r="J106" s="50" cm="1">
        <f t="array" ref="J106">Common_InputFunctions.Utility_LookupValueInTableTwoColumns(D106,E106,Table_SourceData_WasteSolid_WasteTreatmentEFs[Treatment type t],Table_SourceData_WasteSolid_WasteTreatmentEFs[Waste type w],Table_SourceData_WasteSolid_WasteTreatmentEFs[EFwt])</f>
        <v>4.5999999999999999E-2</v>
      </c>
      <c r="K106" s="50">
        <f>(I106 * J106)</f>
        <v>0</v>
      </c>
    </row>
    <row r="107" spans="1:11" ht="20.100000000000001" customHeight="1" x14ac:dyDescent="0.25">
      <c r="D107" s="173" t="str">
        <v>Anaerobic digestion</v>
      </c>
      <c r="E107" s="177" t="str">
        <v>All organic waste</v>
      </c>
      <c r="F107" s="215"/>
      <c r="G107" s="50" cm="1">
        <f t="array" ref="G107">WasteSolid_InputFunctions.WasteSolid_InputFunctions_SumWasteTreatment(Table_Input_SolidWaste[Treatment type (select)],Table_Input_SolidWaste[Waste type (select)],Table_Input_SolidWaste[Treatment location (select)],Table_Input_SolidWaste[Amount unit (select)],Table_Input_SolidWaste[Amount],D40,E40, "Treated on-site", "tonnes")</f>
        <v>0</v>
      </c>
      <c r="H107" s="50">
        <f t="shared" si="0"/>
        <v>0</v>
      </c>
      <c r="I107" s="50">
        <f t="shared" si="1"/>
        <v>0</v>
      </c>
      <c r="J107" s="50" cm="1">
        <f t="array" ref="J107">Common_InputFunctions.Utility_LookupValueInTableTwoColumns(D107,E107,Table_SourceData_WasteSolid_WasteTreatmentEFs[Treatment type t],Table_SourceData_WasteSolid_WasteTreatmentEFs[Waste type w],Table_SourceData_WasteSolid_WasteTreatmentEFs[EFwt])</f>
        <v>2.8000000000000001E-2</v>
      </c>
      <c r="K107" s="50">
        <f>(I107 * J107)</f>
        <v>0</v>
      </c>
    </row>
    <row r="108" spans="1:11" ht="20.100000000000001" customHeight="1" x14ac:dyDescent="0.25"/>
    <row r="109" spans="1:11" ht="20.100000000000001" customHeight="1" x14ac:dyDescent="0.25">
      <c r="A109" s="56" t="str">
        <f>HYPERLINK("#A1", "▲ Back to top")</f>
        <v>▲ Back to top</v>
      </c>
      <c r="D109" s="182" t="s">
        <v>823</v>
      </c>
      <c r="E109" s="183">
        <f>SUM(K88:K107)</f>
        <v>0</v>
      </c>
      <c r="F109" s="184" t="str">
        <f>$E$75</f>
        <v>t CO2e</v>
      </c>
    </row>
    <row r="110" spans="1:11" ht="20.100000000000001" customHeight="1" x14ac:dyDescent="0.25"/>
    <row r="111" spans="1:11" ht="20.100000000000001" customHeight="1" x14ac:dyDescent="0.25"/>
    <row r="112" spans="1:11" ht="20.100000000000001" customHeight="1" x14ac:dyDescent="0.25">
      <c r="D112" s="58" t="s">
        <v>824</v>
      </c>
    </row>
    <row r="113" spans="4:11" ht="20.100000000000001" customHeight="1" x14ac:dyDescent="0.25">
      <c r="D113" s="59" t="s">
        <v>825</v>
      </c>
    </row>
    <row r="114" spans="4:11" ht="20.100000000000001" customHeight="1" x14ac:dyDescent="0.25">
      <c r="D114" s="47" t="s">
        <v>809</v>
      </c>
      <c r="E114" s="47" t="s">
        <v>810</v>
      </c>
      <c r="F114" s="47"/>
      <c r="G114" s="47" t="s">
        <v>818</v>
      </c>
      <c r="H114" s="60" t="s">
        <v>819</v>
      </c>
      <c r="I114" s="60" t="s">
        <v>820</v>
      </c>
      <c r="J114" s="60" t="s">
        <v>821</v>
      </c>
      <c r="K114" s="60" t="s">
        <v>822</v>
      </c>
    </row>
    <row r="115" spans="4:11" ht="20.100000000000001" customHeight="1" x14ac:dyDescent="0.25">
      <c r="D115" s="173" t="str" cm="1">
        <f t="array" ref="D115:D134">Table_SourceData_WasteSolid_WasteTreatmentEFs[Treatment type t]</f>
        <v>Landfill</v>
      </c>
      <c r="E115" s="177" t="str" cm="1">
        <f t="array" ref="E115:E134">Table_SourceData_WasteSolid_WasteTreatmentEFs[Waste type w]</f>
        <v>Food waste (including animal carcasses, spoiled animal feed or crop)</v>
      </c>
      <c r="F115" s="215"/>
      <c r="G115" s="50" cm="1">
        <f t="array" ref="G115">WasteSolid_InputFunctions.WasteSolid_InputFunctions_SumWasteTreatment(Table_Input_SolidWaste[Treatment type (select)],Table_Input_SolidWaste[Waste type (select)],Table_Input_SolidWaste[Treatment location (select)],Table_Input_SolidWaste[Amount unit (select)],Table_Input_SolidWaste[Amount],D21,E21, "Removed and treated off-site", "tonnes")</f>
        <v>100</v>
      </c>
      <c r="H115" s="50">
        <f t="shared" ref="H115:H134" si="2">I45</f>
        <v>50</v>
      </c>
      <c r="I115" s="50">
        <f>G115+H115</f>
        <v>150</v>
      </c>
      <c r="J115" s="50" cm="1">
        <f t="array" ref="J115">Common_InputFunctions.Utility_LookupValueInTableTwoColumns(D115,E115,Table_SourceData_WasteSolid_WasteTreatmentEFs[Treatment type t],Table_SourceData_WasteSolid_WasteTreatmentEFs[Waste type w],Table_SourceData_WasteSolid_WasteTreatmentEFs[EFwt])</f>
        <v>2.1</v>
      </c>
      <c r="K115" s="50">
        <f>(I115 * J115)</f>
        <v>315</v>
      </c>
    </row>
    <row r="116" spans="4:11" ht="20.100000000000001" customHeight="1" x14ac:dyDescent="0.25">
      <c r="D116" s="173" t="str">
        <v>Landfill</v>
      </c>
      <c r="E116" s="177" t="str">
        <v>Paper and cardboard</v>
      </c>
      <c r="F116" s="215"/>
      <c r="G116" s="50" cm="1">
        <f t="array" ref="G116">WasteSolid_InputFunctions.WasteSolid_InputFunctions_SumWasteTreatment(Table_Input_SolidWaste[Treatment type (select)],Table_Input_SolidWaste[Waste type (select)],Table_Input_SolidWaste[Treatment location (select)],Table_Input_SolidWaste[Amount unit (select)],Table_Input_SolidWaste[Amount],D22,E22, "Removed and treated off-site", "tonnes")</f>
        <v>0</v>
      </c>
      <c r="H116" s="50">
        <f t="shared" si="2"/>
        <v>0</v>
      </c>
      <c r="I116" s="50">
        <f t="shared" ref="I116:I134" si="3">G116+H116</f>
        <v>0</v>
      </c>
      <c r="J116" s="50" cm="1">
        <f t="array" ref="J116">Common_InputFunctions.Utility_LookupValueInTableTwoColumns(D116,E116,Table_SourceData_WasteSolid_WasteTreatmentEFs[Treatment type t],Table_SourceData_WasteSolid_WasteTreatmentEFs[Waste type w],Table_SourceData_WasteSolid_WasteTreatmentEFs[EFwt])</f>
        <v>3.3</v>
      </c>
      <c r="K116" s="50">
        <f>(I116 * J116)</f>
        <v>0</v>
      </c>
    </row>
    <row r="117" spans="4:11" ht="20.100000000000001" customHeight="1" x14ac:dyDescent="0.25">
      <c r="D117" s="173" t="str">
        <v>Landfill</v>
      </c>
      <c r="E117" s="177" t="str">
        <v>Green waste (including crop residues or prunnings)</v>
      </c>
      <c r="F117" s="215"/>
      <c r="G117" s="50" cm="1">
        <f t="array" ref="G117">WasteSolid_InputFunctions.WasteSolid_InputFunctions_SumWasteTreatment(Table_Input_SolidWaste[Treatment type (select)],Table_Input_SolidWaste[Waste type (select)],Table_Input_SolidWaste[Treatment location (select)],Table_Input_SolidWaste[Amount unit (select)],Table_Input_SolidWaste[Amount],D23,E23, "Removed and treated off-site", "tonnes")</f>
        <v>0</v>
      </c>
      <c r="H117" s="50">
        <f t="shared" si="2"/>
        <v>0</v>
      </c>
      <c r="I117" s="50">
        <f t="shared" si="3"/>
        <v>0</v>
      </c>
      <c r="J117" s="50" cm="1">
        <f t="array" ref="J117">Common_InputFunctions.Utility_LookupValueInTableTwoColumns(D117,E117,Table_SourceData_WasteSolid_WasteTreatmentEFs[Treatment type t],Table_SourceData_WasteSolid_WasteTreatmentEFs[Waste type w],Table_SourceData_WasteSolid_WasteTreatmentEFs[EFwt])</f>
        <v>1.6</v>
      </c>
      <c r="K117" s="50">
        <f>(I117 * J117)</f>
        <v>0</v>
      </c>
    </row>
    <row r="118" spans="4:11" ht="20.100000000000001" customHeight="1" x14ac:dyDescent="0.25">
      <c r="D118" s="173" t="str">
        <v>Landfill</v>
      </c>
      <c r="E118" s="177" t="str">
        <v>Wood</v>
      </c>
      <c r="F118" s="215"/>
      <c r="G118" s="50" cm="1">
        <f t="array" ref="G118">WasteSolid_InputFunctions.WasteSolid_InputFunctions_SumWasteTreatment(Table_Input_SolidWaste[Treatment type (select)],Table_Input_SolidWaste[Waste type (select)],Table_Input_SolidWaste[Treatment location (select)],Table_Input_SolidWaste[Amount unit (select)],Table_Input_SolidWaste[Amount],D24,E24, "Removed and treated off-site", "tonnes")</f>
        <v>0</v>
      </c>
      <c r="H118" s="50">
        <f t="shared" si="2"/>
        <v>0</v>
      </c>
      <c r="I118" s="50">
        <f t="shared" si="3"/>
        <v>0</v>
      </c>
      <c r="J118" s="50" cm="1">
        <f t="array" ref="J118">Common_InputFunctions.Utility_LookupValueInTableTwoColumns(D118,E118,Table_SourceData_WasteSolid_WasteTreatmentEFs[Treatment type t],Table_SourceData_WasteSolid_WasteTreatmentEFs[Waste type w],Table_SourceData_WasteSolid_WasteTreatmentEFs[EFwt])</f>
        <v>0.7</v>
      </c>
      <c r="K118" s="50">
        <f>(I118 * J118)</f>
        <v>0</v>
      </c>
    </row>
    <row r="119" spans="4:11" ht="20.100000000000001" customHeight="1" x14ac:dyDescent="0.25">
      <c r="D119" s="173" t="str">
        <v>Landfill</v>
      </c>
      <c r="E119" s="177" t="str">
        <v>Textiles</v>
      </c>
      <c r="F119" s="215"/>
      <c r="G119" s="50" cm="1">
        <f t="array" ref="G119">WasteSolid_InputFunctions.WasteSolid_InputFunctions_SumWasteTreatment(Table_Input_SolidWaste[Treatment type (select)],Table_Input_SolidWaste[Waste type (select)],Table_Input_SolidWaste[Treatment location (select)],Table_Input_SolidWaste[Amount unit (select)],Table_Input_SolidWaste[Amount],D25,E25, "Removed and treated off-site", "tonnes")</f>
        <v>0</v>
      </c>
      <c r="H119" s="50">
        <f t="shared" si="2"/>
        <v>7.0000000000000009</v>
      </c>
      <c r="I119" s="50">
        <f t="shared" si="3"/>
        <v>7.0000000000000009</v>
      </c>
      <c r="J119" s="50" cm="1">
        <f t="array" ref="J119">Common_InputFunctions.Utility_LookupValueInTableTwoColumns(D119,E119,Table_SourceData_WasteSolid_WasteTreatmentEFs[Treatment type t],Table_SourceData_WasteSolid_WasteTreatmentEFs[Waste type w],Table_SourceData_WasteSolid_WasteTreatmentEFs[EFwt])</f>
        <v>2</v>
      </c>
      <c r="K119" s="50">
        <f>(I119 * J119)</f>
        <v>14.000000000000002</v>
      </c>
    </row>
    <row r="120" spans="4:11" ht="20.100000000000001" customHeight="1" x14ac:dyDescent="0.25">
      <c r="D120" s="173" t="str">
        <v>Landfill</v>
      </c>
      <c r="E120" s="177" t="str">
        <v>Sludge</v>
      </c>
      <c r="F120" s="215"/>
      <c r="G120" s="50" cm="1">
        <f t="array" ref="G120">WasteSolid_InputFunctions.WasteSolid_InputFunctions_SumWasteTreatment(Table_Input_SolidWaste[Treatment type (select)],Table_Input_SolidWaste[Waste type (select)],Table_Input_SolidWaste[Treatment location (select)],Table_Input_SolidWaste[Amount unit (select)],Table_Input_SolidWaste[Amount],D26,E26, "Removed and treated off-site", "tonnes")</f>
        <v>0</v>
      </c>
      <c r="H120" s="50">
        <f t="shared" si="2"/>
        <v>0</v>
      </c>
      <c r="I120" s="50">
        <f t="shared" si="3"/>
        <v>0</v>
      </c>
      <c r="J120" s="50" cm="1">
        <f t="array" ref="J120">Common_InputFunctions.Utility_LookupValueInTableTwoColumns(D120,E120,Table_SourceData_WasteSolid_WasteTreatmentEFs[Treatment type t],Table_SourceData_WasteSolid_WasteTreatmentEFs[Waste type w],Table_SourceData_WasteSolid_WasteTreatmentEFs[EFwt])</f>
        <v>0.4</v>
      </c>
      <c r="K120" s="50">
        <f>(I120 * J120)</f>
        <v>0</v>
      </c>
    </row>
    <row r="121" spans="4:11" ht="20.100000000000001" customHeight="1" x14ac:dyDescent="0.25">
      <c r="D121" s="173" t="str">
        <v>Landfill</v>
      </c>
      <c r="E121" s="177" t="str">
        <v>Rubber and leather</v>
      </c>
      <c r="F121" s="215"/>
      <c r="G121" s="50" cm="1">
        <f t="array" ref="G121">WasteSolid_InputFunctions.WasteSolid_InputFunctions_SumWasteTreatment(Table_Input_SolidWaste[Treatment type (select)],Table_Input_SolidWaste[Waste type (select)],Table_Input_SolidWaste[Treatment location (select)],Table_Input_SolidWaste[Amount unit (select)],Table_Input_SolidWaste[Amount],D27,E27, "Removed and treated off-site", "tonnes")</f>
        <v>0</v>
      </c>
      <c r="H121" s="50">
        <f t="shared" si="2"/>
        <v>0</v>
      </c>
      <c r="I121" s="50">
        <f t="shared" si="3"/>
        <v>0</v>
      </c>
      <c r="J121" s="50" cm="1">
        <f t="array" ref="J121">Common_InputFunctions.Utility_LookupValueInTableTwoColumns(D121,E121,Table_SourceData_WasteSolid_WasteTreatmentEFs[Treatment type t],Table_SourceData_WasteSolid_WasteTreatmentEFs[Waste type w],Table_SourceData_WasteSolid_WasteTreatmentEFs[EFwt])</f>
        <v>3.3</v>
      </c>
      <c r="K121" s="50">
        <f>(I121 * J121)</f>
        <v>0</v>
      </c>
    </row>
    <row r="122" spans="4:11" ht="20.100000000000001" customHeight="1" x14ac:dyDescent="0.25">
      <c r="D122" s="173" t="str">
        <v>Landfill</v>
      </c>
      <c r="E122" s="177" t="str">
        <v>Inert waste (including concrete, metal, plastic or glass)</v>
      </c>
      <c r="F122" s="215"/>
      <c r="G122" s="50" cm="1">
        <f t="array" ref="G122">WasteSolid_InputFunctions.WasteSolid_InputFunctions_SumWasteTreatment(Table_Input_SolidWaste[Treatment type (select)],Table_Input_SolidWaste[Waste type (select)],Table_Input_SolidWaste[Treatment location (select)],Table_Input_SolidWaste[Amount unit (select)],Table_Input_SolidWaste[Amount],D28,E28, "Removed and treated off-site", "tonnes")</f>
        <v>0</v>
      </c>
      <c r="H122" s="50">
        <f t="shared" si="2"/>
        <v>0</v>
      </c>
      <c r="I122" s="50">
        <f t="shared" si="3"/>
        <v>0</v>
      </c>
      <c r="J122" s="50" cm="1">
        <f t="array" ref="J122">Common_InputFunctions.Utility_LookupValueInTableTwoColumns(D122,E122,Table_SourceData_WasteSolid_WasteTreatmentEFs[Treatment type t],Table_SourceData_WasteSolid_WasteTreatmentEFs[Waste type w],Table_SourceData_WasteSolid_WasteTreatmentEFs[EFwt])</f>
        <v>0</v>
      </c>
      <c r="K122" s="50">
        <f>(I122 * J122)</f>
        <v>0</v>
      </c>
    </row>
    <row r="123" spans="4:11" ht="20.100000000000001" customHeight="1" x14ac:dyDescent="0.25">
      <c r="D123" s="173" t="str">
        <v>Landfill</v>
      </c>
      <c r="E123" s="177" t="str">
        <v>Municipal solid waste</v>
      </c>
      <c r="F123" s="215"/>
      <c r="G123" s="50" cm="1">
        <f t="array" ref="G123">WasteSolid_InputFunctions.WasteSolid_InputFunctions_SumWasteTreatment(Table_Input_SolidWaste[Treatment type (select)],Table_Input_SolidWaste[Waste type (select)],Table_Input_SolidWaste[Treatment location (select)],Table_Input_SolidWaste[Amount unit (select)],Table_Input_SolidWaste[Amount],D29,E29, "Removed and treated off-site", "tonnes")</f>
        <v>0</v>
      </c>
      <c r="H123" s="50">
        <f t="shared" si="2"/>
        <v>0</v>
      </c>
      <c r="I123" s="50">
        <f t="shared" si="3"/>
        <v>0</v>
      </c>
      <c r="J123" s="50" cm="1">
        <f t="array" ref="J123">Common_InputFunctions.Utility_LookupValueInTableTwoColumns(D123,E123,Table_SourceData_WasteSolid_WasteTreatmentEFs[Treatment type t],Table_SourceData_WasteSolid_WasteTreatmentEFs[Waste type w],Table_SourceData_WasteSolid_WasteTreatmentEFs[EFwt])</f>
        <v>1.6</v>
      </c>
      <c r="K123" s="50">
        <f>(I123 * J123)</f>
        <v>0</v>
      </c>
    </row>
    <row r="124" spans="4:11" ht="20.100000000000001" customHeight="1" x14ac:dyDescent="0.25">
      <c r="D124" s="173" t="str">
        <v>Landfill</v>
      </c>
      <c r="E124" s="177" t="str">
        <v>Commercial and industrial waste</v>
      </c>
      <c r="F124" s="215"/>
      <c r="G124" s="50" cm="1">
        <f t="array" ref="G124">WasteSolid_InputFunctions.WasteSolid_InputFunctions_SumWasteTreatment(Table_Input_SolidWaste[Treatment type (select)],Table_Input_SolidWaste[Waste type (select)],Table_Input_SolidWaste[Treatment location (select)],Table_Input_SolidWaste[Amount unit (select)],Table_Input_SolidWaste[Amount],D30,E30, "Removed and treated off-site", "tonnes")</f>
        <v>0</v>
      </c>
      <c r="H124" s="50">
        <f t="shared" si="2"/>
        <v>0</v>
      </c>
      <c r="I124" s="50">
        <f t="shared" si="3"/>
        <v>0</v>
      </c>
      <c r="J124" s="50" cm="1">
        <f t="array" ref="J124">Common_InputFunctions.Utility_LookupValueInTableTwoColumns(D124,E124,Table_SourceData_WasteSolid_WasteTreatmentEFs[Treatment type t],Table_SourceData_WasteSolid_WasteTreatmentEFs[Waste type w],Table_SourceData_WasteSolid_WasteTreatmentEFs[EFwt])</f>
        <v>1.3</v>
      </c>
      <c r="K124" s="50">
        <f>(I124 * J124)</f>
        <v>0</v>
      </c>
    </row>
    <row r="125" spans="4:11" ht="20.100000000000001" customHeight="1" x14ac:dyDescent="0.25">
      <c r="D125" s="173" t="str">
        <v>Landfill</v>
      </c>
      <c r="E125" s="177" t="str">
        <v>Construction and demolition waste</v>
      </c>
      <c r="F125" s="215"/>
      <c r="G125" s="50" cm="1">
        <f t="array" ref="G125">WasteSolid_InputFunctions.WasteSolid_InputFunctions_SumWasteTreatment(Table_Input_SolidWaste[Treatment type (select)],Table_Input_SolidWaste[Waste type (select)],Table_Input_SolidWaste[Treatment location (select)],Table_Input_SolidWaste[Amount unit (select)],Table_Input_SolidWaste[Amount],D31,E31, "Removed and treated off-site", "tonnes")</f>
        <v>0</v>
      </c>
      <c r="H125" s="50">
        <f t="shared" si="2"/>
        <v>0</v>
      </c>
      <c r="I125" s="50">
        <f t="shared" si="3"/>
        <v>0</v>
      </c>
      <c r="J125" s="50" cm="1">
        <f t="array" ref="J125">Common_InputFunctions.Utility_LookupValueInTableTwoColumns(D125,E125,Table_SourceData_WasteSolid_WasteTreatmentEFs[Treatment type t],Table_SourceData_WasteSolid_WasteTreatmentEFs[Waste type w],Table_SourceData_WasteSolid_WasteTreatmentEFs[EFwt])</f>
        <v>0.2</v>
      </c>
      <c r="K125" s="50">
        <f>(I125 * J125)</f>
        <v>0</v>
      </c>
    </row>
    <row r="126" spans="4:11" ht="20.100000000000001" customHeight="1" x14ac:dyDescent="0.25">
      <c r="D126" s="173" t="str">
        <v>Incineration</v>
      </c>
      <c r="E126" s="177" t="str">
        <v>Food waste, green waste, wood, sludge</v>
      </c>
      <c r="F126" s="215"/>
      <c r="G126" s="50" cm="1">
        <f t="array" ref="G126">WasteSolid_InputFunctions.WasteSolid_InputFunctions_SumWasteTreatment(Table_Input_SolidWaste[Treatment type (select)],Table_Input_SolidWaste[Waste type (select)],Table_Input_SolidWaste[Treatment location (select)],Table_Input_SolidWaste[Amount unit (select)],Table_Input_SolidWaste[Amount],D32,E32, "Removed and treated off-site", "tonnes")</f>
        <v>0</v>
      </c>
      <c r="H126" s="50">
        <f t="shared" si="2"/>
        <v>0</v>
      </c>
      <c r="I126" s="50">
        <f t="shared" si="3"/>
        <v>0</v>
      </c>
      <c r="J126" s="50" cm="1">
        <f t="array" ref="J126">Common_InputFunctions.Utility_LookupValueInTableTwoColumns(D126,E126,Table_SourceData_WasteSolid_WasteTreatmentEFs[Treatment type t],Table_SourceData_WasteSolid_WasteTreatmentEFs[Waste type w],Table_SourceData_WasteSolid_WasteTreatmentEFs[EFwt])</f>
        <v>0</v>
      </c>
      <c r="K126" s="50">
        <f>(I126 * J126)</f>
        <v>0</v>
      </c>
    </row>
    <row r="127" spans="4:11" ht="20.100000000000001" customHeight="1" x14ac:dyDescent="0.25">
      <c r="D127" s="173" t="str">
        <v>Incineration</v>
      </c>
      <c r="E127" s="177" t="str">
        <v>Paper and cardboard</v>
      </c>
      <c r="F127" s="215"/>
      <c r="G127" s="50" cm="1">
        <f t="array" ref="G127">WasteSolid_InputFunctions.WasteSolid_InputFunctions_SumWasteTreatment(Table_Input_SolidWaste[Treatment type (select)],Table_Input_SolidWaste[Waste type (select)],Table_Input_SolidWaste[Treatment location (select)],Table_Input_SolidWaste[Amount unit (select)],Table_Input_SolidWaste[Amount],D33,E33, "Removed and treated off-site", "tonnes")</f>
        <v>100</v>
      </c>
      <c r="H127" s="50">
        <f t="shared" si="2"/>
        <v>9</v>
      </c>
      <c r="I127" s="50">
        <f t="shared" si="3"/>
        <v>109</v>
      </c>
      <c r="J127" s="50" cm="1">
        <f t="array" ref="J127">Common_InputFunctions.Utility_LookupValueInTableTwoColumns(D127,E127,Table_SourceData_WasteSolid_WasteTreatmentEFs[Treatment type t],Table_SourceData_WasteSolid_WasteTreatmentEFs[Waste type w],Table_SourceData_WasteSolid_WasteTreatmentEFs[EFwt])</f>
        <v>1.6899999999999998E-2</v>
      </c>
      <c r="K127" s="50">
        <f>(I127 * J127)</f>
        <v>1.8420999999999998</v>
      </c>
    </row>
    <row r="128" spans="4:11" ht="20.100000000000001" customHeight="1" x14ac:dyDescent="0.25">
      <c r="D128" s="173" t="str">
        <v>Incineration</v>
      </c>
      <c r="E128" s="177" t="str">
        <v>Textiles</v>
      </c>
      <c r="F128" s="215"/>
      <c r="G128" s="50" cm="1">
        <f t="array" ref="G128">WasteSolid_InputFunctions.WasteSolid_InputFunctions_SumWasteTreatment(Table_Input_SolidWaste[Treatment type (select)],Table_Input_SolidWaste[Waste type (select)],Table_Input_SolidWaste[Treatment location (select)],Table_Input_SolidWaste[Amount unit (select)],Table_Input_SolidWaste[Amount],D34,E34, "Removed and treated off-site", "tonnes")</f>
        <v>0</v>
      </c>
      <c r="H128" s="50">
        <f t="shared" si="2"/>
        <v>0</v>
      </c>
      <c r="I128" s="50">
        <f t="shared" si="3"/>
        <v>0</v>
      </c>
      <c r="J128" s="50" cm="1">
        <f t="array" ref="J128">Common_InputFunctions.Utility_LookupValueInTableTwoColumns(D128,E128,Table_SourceData_WasteSolid_WasteTreatmentEFs[Treatment type t],Table_SourceData_WasteSolid_WasteTreatmentEFs[Waste type w],Table_SourceData_WasteSolid_WasteTreatmentEFs[EFwt])</f>
        <v>0.36670000000000003</v>
      </c>
      <c r="K128" s="50">
        <f>(I128 * J128)</f>
        <v>0</v>
      </c>
    </row>
    <row r="129" spans="1:11" ht="20.100000000000001" customHeight="1" x14ac:dyDescent="0.25">
      <c r="D129" s="173" t="str">
        <v>Incineration</v>
      </c>
      <c r="E129" s="177" t="str">
        <v>Rubber and leather</v>
      </c>
      <c r="F129" s="215"/>
      <c r="G129" s="50" cm="1">
        <f t="array" ref="G129">WasteSolid_InputFunctions.WasteSolid_InputFunctions_SumWasteTreatment(Table_Input_SolidWaste[Treatment type (select)],Table_Input_SolidWaste[Waste type (select)],Table_Input_SolidWaste[Treatment location (select)],Table_Input_SolidWaste[Amount unit (select)],Table_Input_SolidWaste[Amount],D35,E35, "Removed and treated off-site", "tonnes")</f>
        <v>0</v>
      </c>
      <c r="H129" s="50">
        <f t="shared" si="2"/>
        <v>0</v>
      </c>
      <c r="I129" s="50">
        <f t="shared" si="3"/>
        <v>0</v>
      </c>
      <c r="J129" s="50" cm="1">
        <f t="array" ref="J129">Common_InputFunctions.Utility_LookupValueInTableTwoColumns(D129,E129,Table_SourceData_WasteSolid_WasteTreatmentEFs[Treatment type t],Table_SourceData_WasteSolid_WasteTreatmentEFs[Waste type w],Table_SourceData_WasteSolid_WasteTreatmentEFs[EFwt])</f>
        <v>0.4919</v>
      </c>
      <c r="K129" s="50">
        <f>(I129 * J129)</f>
        <v>0</v>
      </c>
    </row>
    <row r="130" spans="1:11" ht="20.100000000000001" customHeight="1" x14ac:dyDescent="0.25">
      <c r="D130" s="173" t="str">
        <v>Incineration</v>
      </c>
      <c r="E130" s="177" t="str">
        <v>Inert Waste</v>
      </c>
      <c r="F130" s="215"/>
      <c r="G130" s="50" cm="1">
        <f t="array" ref="G130">WasteSolid_InputFunctions.WasteSolid_InputFunctions_SumWasteTreatment(Table_Input_SolidWaste[Treatment type (select)],Table_Input_SolidWaste[Waste type (select)],Table_Input_SolidWaste[Treatment location (select)],Table_Input_SolidWaste[Amount unit (select)],Table_Input_SolidWaste[Amount],D36,E36, "Removed and treated off-site", "tonnes")</f>
        <v>0</v>
      </c>
      <c r="H130" s="50">
        <f t="shared" si="2"/>
        <v>0</v>
      </c>
      <c r="I130" s="50">
        <f t="shared" si="3"/>
        <v>0</v>
      </c>
      <c r="J130" s="50" cm="1">
        <f t="array" ref="J130">Common_InputFunctions.Utility_LookupValueInTableTwoColumns(D130,E130,Table_SourceData_WasteSolid_WasteTreatmentEFs[Treatment type t],Table_SourceData_WasteSolid_WasteTreatmentEFs[Waste type w],Table_SourceData_WasteSolid_WasteTreatmentEFs[EFwt])</f>
        <v>0.11</v>
      </c>
      <c r="K130" s="50">
        <f>(I130 * J130)</f>
        <v>0</v>
      </c>
    </row>
    <row r="131" spans="1:11" ht="20.100000000000001" customHeight="1" x14ac:dyDescent="0.25">
      <c r="D131" s="173" t="str">
        <v>Incineration</v>
      </c>
      <c r="E131" s="177" t="str">
        <v>Municipal Solid Waste</v>
      </c>
      <c r="F131" s="215"/>
      <c r="G131" s="50" cm="1">
        <f t="array" ref="G131">WasteSolid_InputFunctions.WasteSolid_InputFunctions_SumWasteTreatment(Table_Input_SolidWaste[Treatment type (select)],Table_Input_SolidWaste[Waste type (select)],Table_Input_SolidWaste[Treatment location (select)],Table_Input_SolidWaste[Amount unit (select)],Table_Input_SolidWaste[Amount],D37,E37, "Removed and treated off-site", "tonnes")</f>
        <v>0</v>
      </c>
      <c r="H131" s="50">
        <f t="shared" si="2"/>
        <v>0</v>
      </c>
      <c r="I131" s="50">
        <f t="shared" si="3"/>
        <v>0</v>
      </c>
      <c r="J131" s="50" cm="1">
        <f t="array" ref="J131">Common_InputFunctions.Utility_LookupValueInTableTwoColumns(D131,E131,Table_SourceData_WasteSolid_WasteTreatmentEFs[Treatment type t],Table_SourceData_WasteSolid_WasteTreatmentEFs[Waste type w],Table_SourceData_WasteSolid_WasteTreatmentEFs[EFwt])</f>
        <v>5.3699999999999998E-2</v>
      </c>
      <c r="K131" s="50">
        <f>(I131 * J131)</f>
        <v>0</v>
      </c>
    </row>
    <row r="132" spans="1:11" ht="20.100000000000001" customHeight="1" x14ac:dyDescent="0.25">
      <c r="D132" s="173" t="str">
        <v>Incineration</v>
      </c>
      <c r="E132" s="177" t="str">
        <v>Industrial Waste</v>
      </c>
      <c r="F132" s="215"/>
      <c r="G132" s="50" cm="1">
        <f t="array" ref="G132">WasteSolid_InputFunctions.WasteSolid_InputFunctions_SumWasteTreatment(Table_Input_SolidWaste[Treatment type (select)],Table_Input_SolidWaste[Waste type (select)],Table_Input_SolidWaste[Treatment location (select)],Table_Input_SolidWaste[Amount unit (select)],Table_Input_SolidWaste[Amount],D38,E38, "Removed and treated off-site", "tonnes")</f>
        <v>0</v>
      </c>
      <c r="H132" s="50">
        <f t="shared" si="2"/>
        <v>0</v>
      </c>
      <c r="I132" s="50">
        <f t="shared" si="3"/>
        <v>0</v>
      </c>
      <c r="J132" s="50" cm="1">
        <f t="array" ref="J132">Common_InputFunctions.Utility_LookupValueInTableTwoColumns(D132,E132,Table_SourceData_WasteSolid_WasteTreatmentEFs[Treatment type t],Table_SourceData_WasteSolid_WasteTreatmentEFs[Waste type w],Table_SourceData_WasteSolid_WasteTreatmentEFs[EFwt])</f>
        <v>1.649</v>
      </c>
      <c r="K132" s="50">
        <f>(I132 * J132)</f>
        <v>0</v>
      </c>
    </row>
    <row r="133" spans="1:11" ht="20.100000000000001" customHeight="1" x14ac:dyDescent="0.25">
      <c r="D133" s="173" t="str">
        <v>Composting</v>
      </c>
      <c r="E133" s="177" t="str">
        <v>All organic waste</v>
      </c>
      <c r="F133" s="215"/>
      <c r="G133" s="50" cm="1">
        <f t="array" ref="G133">WasteSolid_InputFunctions.WasteSolid_InputFunctions_SumWasteTreatment(Table_Input_SolidWaste[Treatment type (select)],Table_Input_SolidWaste[Waste type (select)],Table_Input_SolidWaste[Treatment location (select)],Table_Input_SolidWaste[Amount unit (select)],Table_Input_SolidWaste[Amount],D39,E39, "Removed and treated off-site", "tonnes")</f>
        <v>0</v>
      </c>
      <c r="H133" s="50">
        <f t="shared" si="2"/>
        <v>0</v>
      </c>
      <c r="I133" s="50">
        <f t="shared" si="3"/>
        <v>0</v>
      </c>
      <c r="J133" s="50" cm="1">
        <f t="array" ref="J133">Common_InputFunctions.Utility_LookupValueInTableTwoColumns(D133,E133,Table_SourceData_WasteSolid_WasteTreatmentEFs[Treatment type t],Table_SourceData_WasteSolid_WasteTreatmentEFs[Waste type w],Table_SourceData_WasteSolid_WasteTreatmentEFs[EFwt])</f>
        <v>4.5999999999999999E-2</v>
      </c>
      <c r="K133" s="50">
        <f>(I133 * J133)</f>
        <v>0</v>
      </c>
    </row>
    <row r="134" spans="1:11" ht="20.100000000000001" customHeight="1" x14ac:dyDescent="0.25">
      <c r="D134" s="173" t="str">
        <v>Anaerobic digestion</v>
      </c>
      <c r="E134" s="177" t="str">
        <v>All organic waste</v>
      </c>
      <c r="F134" s="215"/>
      <c r="G134" s="50" cm="1">
        <f t="array" ref="G134">WasteSolid_InputFunctions.WasteSolid_InputFunctions_SumWasteTreatment(Table_Input_SolidWaste[Treatment type (select)],Table_Input_SolidWaste[Waste type (select)],Table_Input_SolidWaste[Treatment location (select)],Table_Input_SolidWaste[Amount unit (select)],Table_Input_SolidWaste[Amount],D40,E40, "Removed and treated off-site", "tonnes")</f>
        <v>0</v>
      </c>
      <c r="H134" s="50">
        <f t="shared" si="2"/>
        <v>0</v>
      </c>
      <c r="I134" s="50">
        <f t="shared" si="3"/>
        <v>0</v>
      </c>
      <c r="J134" s="50" cm="1">
        <f t="array" ref="J134">Common_InputFunctions.Utility_LookupValueInTableTwoColumns(D134,E134,Table_SourceData_WasteSolid_WasteTreatmentEFs[Treatment type t],Table_SourceData_WasteSolid_WasteTreatmentEFs[Waste type w],Table_SourceData_WasteSolid_WasteTreatmentEFs[EFwt])</f>
        <v>2.8000000000000001E-2</v>
      </c>
      <c r="K134" s="50">
        <f>(I134 * J134)</f>
        <v>0</v>
      </c>
    </row>
    <row r="135" spans="1:11" ht="20.100000000000001" customHeight="1" x14ac:dyDescent="0.25"/>
    <row r="136" spans="1:11" ht="20.100000000000001" customHeight="1" x14ac:dyDescent="0.25">
      <c r="A136" s="56" t="str">
        <f>HYPERLINK("#A1", "▲ Back to top")</f>
        <v>▲ Back to top</v>
      </c>
      <c r="D136" s="182" t="s">
        <v>823</v>
      </c>
      <c r="E136" s="183">
        <f>SUM(K115:K134)</f>
        <v>330.84210000000002</v>
      </c>
      <c r="F136" s="184" t="str">
        <f>$E$75</f>
        <v>t CO2e</v>
      </c>
    </row>
    <row r="137" spans="1:11" ht="20.100000000000001" customHeight="1" x14ac:dyDescent="0.25"/>
    <row r="138" spans="1:11" ht="20.100000000000001" customHeight="1" x14ac:dyDescent="0.25"/>
    <row r="139" spans="1:11" ht="20.100000000000001" customHeight="1" x14ac:dyDescent="0.25"/>
    <row r="140" spans="1:11" ht="20.100000000000001" customHeight="1" x14ac:dyDescent="0.25"/>
    <row r="141" spans="1:11" ht="20.100000000000001" customHeight="1" x14ac:dyDescent="0.25"/>
    <row r="142" spans="1:11" ht="20.100000000000001" customHeight="1" x14ac:dyDescent="0.25"/>
    <row r="143" spans="1:11" ht="20.100000000000001" customHeight="1" x14ac:dyDescent="0.25"/>
    <row r="144" spans="1:11"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14"/>
    </row>
    <row r="342" spans="8:8" x14ac:dyDescent="0.25">
      <c r="H342" s="14"/>
    </row>
  </sheetData>
  <dataValidations count="1">
    <dataValidation operator="equal" allowBlank="1" showInputMessage="1" showErrorMessage="1" sqref="E269 E228 F150:I150 F148:I148 I149" xr:uid="{12155818-0767-4DC7-AC09-E83CEA44820F}"/>
  </dataValidation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60AAE-C1F9-4B16-8C2E-68CAA3D5E4E0}">
  <sheetPr>
    <tabColor theme="9" tint="-0.249977111117893"/>
  </sheetPr>
  <dimension ref="C1:L90"/>
  <sheetViews>
    <sheetView showGridLines="0" topLeftCell="A54" zoomScale="85" zoomScaleNormal="85" workbookViewId="0">
      <selection activeCell="J17" sqref="J17"/>
    </sheetView>
  </sheetViews>
  <sheetFormatPr defaultRowHeight="15.75" x14ac:dyDescent="0.25"/>
  <cols>
    <col min="1" max="1" width="30.625" customWidth="1"/>
    <col min="2" max="2" width="4.625" customWidth="1"/>
    <col min="3" max="3" width="4.625" style="8" customWidth="1"/>
    <col min="4" max="12" width="30.625" style="8" customWidth="1"/>
  </cols>
  <sheetData>
    <row r="1" spans="4:10" ht="30" customHeight="1" x14ac:dyDescent="0.25"/>
    <row r="2" spans="4:10" ht="20.100000000000001" customHeight="1" x14ac:dyDescent="0.25"/>
    <row r="3" spans="4:10" ht="20.100000000000001" customHeight="1" x14ac:dyDescent="0.25"/>
    <row r="4" spans="4:10" ht="20.100000000000001" customHeight="1" x14ac:dyDescent="0.25"/>
    <row r="5" spans="4:10" ht="20.100000000000001" customHeight="1" x14ac:dyDescent="0.25">
      <c r="D5" s="9" t="s">
        <v>1052</v>
      </c>
    </row>
    <row r="6" spans="4:10" ht="20.100000000000001" customHeight="1" x14ac:dyDescent="0.25">
      <c r="D6" s="11" t="s">
        <v>1053</v>
      </c>
    </row>
    <row r="7" spans="4:10" ht="20.100000000000001" customHeight="1" x14ac:dyDescent="0.25">
      <c r="D7" s="178"/>
      <c r="E7" s="178"/>
    </row>
    <row r="8" spans="4:10" ht="20.100000000000001" customHeight="1" x14ac:dyDescent="0.25"/>
    <row r="9" spans="4:10" ht="20.100000000000001" customHeight="1" x14ac:dyDescent="0.25"/>
    <row r="10" spans="4:10" ht="20.100000000000001" customHeight="1" x14ac:dyDescent="0.25">
      <c r="D10" s="28" t="s">
        <v>641</v>
      </c>
      <c r="E10" s="8" t="s">
        <v>1008</v>
      </c>
    </row>
    <row r="11" spans="4:10" ht="20.100000000000001" customHeight="1" x14ac:dyDescent="0.25">
      <c r="D11" s="28" t="s">
        <v>97</v>
      </c>
      <c r="E11" s="13" t="s">
        <v>1007</v>
      </c>
    </row>
    <row r="12" spans="4:10" ht="20.100000000000001" customHeight="1" x14ac:dyDescent="0.25"/>
    <row r="13" spans="4:10" ht="20.100000000000001" customHeight="1" x14ac:dyDescent="0.25">
      <c r="D13" s="173" t="s">
        <v>1054</v>
      </c>
      <c r="E13" s="177" t="s">
        <v>1055</v>
      </c>
      <c r="F13" s="211"/>
      <c r="G13" s="172"/>
      <c r="H13" s="173" t="s">
        <v>758</v>
      </c>
      <c r="I13" s="175" t="s">
        <v>1060</v>
      </c>
      <c r="J13" s="173">
        <f>'Input - Waste sent off-site'!$F$10</f>
        <v>1000</v>
      </c>
    </row>
    <row r="14" spans="4:10" ht="20.100000000000001" customHeight="1" x14ac:dyDescent="0.25">
      <c r="D14" s="173" t="s">
        <v>1056</v>
      </c>
      <c r="E14" s="177" t="s">
        <v>1057</v>
      </c>
      <c r="F14" s="211"/>
      <c r="G14" s="172"/>
      <c r="H14" s="173" t="s">
        <v>1061</v>
      </c>
      <c r="I14" s="175" t="s">
        <v>1062</v>
      </c>
      <c r="J14" s="173">
        <f>Common_InputFunctions.Utility_LookupValueInTableNumber(J17, Table_SourceData_Common_EFOrganicFertCropResidues[Climate Zone],Table_SourceData_Common_EFOrganicFertCropResidues[EFNi &amp; EFN2Oi])</f>
        <v>5.0000000000000001E-3</v>
      </c>
    </row>
    <row r="15" spans="4:10" ht="20.100000000000001" customHeight="1" x14ac:dyDescent="0.25">
      <c r="D15" s="173" t="s">
        <v>1058</v>
      </c>
      <c r="E15" s="177" t="s">
        <v>1059</v>
      </c>
      <c r="F15" s="211"/>
      <c r="G15" s="172"/>
      <c r="H15" s="173"/>
      <c r="I15" s="175" t="s">
        <v>877</v>
      </c>
      <c r="J15" s="173">
        <f>Common_InputFunctions.Utility_LookupValueInTableNumber("N2O",Table_GasToMolecularConversionFactor[Gas],Table_GasToMolecularConversionFactor[Conversion factor combined])</f>
        <v>1.5714285714285714</v>
      </c>
    </row>
    <row r="16" spans="4:10" ht="20.100000000000001" customHeight="1" x14ac:dyDescent="0.25">
      <c r="D16" s="173" t="s">
        <v>884</v>
      </c>
      <c r="E16" s="177" t="s">
        <v>145</v>
      </c>
      <c r="F16" s="211"/>
      <c r="G16" s="172"/>
      <c r="H16" s="173"/>
      <c r="I16" s="174" t="s">
        <v>874</v>
      </c>
      <c r="J16" s="173" t="str">
        <f>'Input - Waste sent off-site'!F12</f>
        <v>Crop</v>
      </c>
    </row>
    <row r="17" spans="4:10" ht="20.100000000000001" customHeight="1" x14ac:dyDescent="0.25">
      <c r="D17" s="173" t="s">
        <v>1002</v>
      </c>
      <c r="E17" s="177" t="s">
        <v>775</v>
      </c>
      <c r="F17" s="211"/>
      <c r="G17" s="172"/>
      <c r="H17" s="173"/>
      <c r="I17" s="174" t="s">
        <v>874</v>
      </c>
      <c r="J17" s="173" t="str">
        <f>'Input - Site'!E32</f>
        <v>Dry climate zone</v>
      </c>
    </row>
    <row r="18" spans="4:10" ht="20.100000000000001" customHeight="1" x14ac:dyDescent="0.25"/>
    <row r="19" spans="4:10" ht="20.100000000000001" customHeight="1" x14ac:dyDescent="0.25">
      <c r="D19" s="182" t="s">
        <v>760</v>
      </c>
      <c r="E19" s="183">
        <f>((J13 * J14 * J15) * 10 ^ -3)</f>
        <v>7.8571428571428577E-3</v>
      </c>
      <c r="F19" s="184" t="str">
        <f>$E$11</f>
        <v>t N2O</v>
      </c>
    </row>
    <row r="20" spans="4:10" ht="20.100000000000001" customHeight="1" x14ac:dyDescent="0.25"/>
    <row r="21" spans="4:10" ht="20.100000000000001" customHeight="1" x14ac:dyDescent="0.25"/>
    <row r="22" spans="4:10" ht="20.100000000000001" customHeight="1" x14ac:dyDescent="0.25"/>
    <row r="23" spans="4:10" ht="20.100000000000001" customHeight="1" x14ac:dyDescent="0.25"/>
    <row r="24" spans="4:10" ht="20.100000000000001" customHeight="1" x14ac:dyDescent="0.25">
      <c r="D24" s="9" t="s">
        <v>1063</v>
      </c>
    </row>
    <row r="25" spans="4:10" ht="20.100000000000001" customHeight="1" x14ac:dyDescent="0.25">
      <c r="D25" s="11" t="s">
        <v>1064</v>
      </c>
    </row>
    <row r="26" spans="4:10" ht="20.100000000000001" customHeight="1" x14ac:dyDescent="0.25">
      <c r="D26" s="178"/>
      <c r="E26" s="178"/>
    </row>
    <row r="27" spans="4:10" ht="20.100000000000001" customHeight="1" x14ac:dyDescent="0.25"/>
    <row r="28" spans="4:10" ht="20.100000000000001" customHeight="1" x14ac:dyDescent="0.25"/>
    <row r="29" spans="4:10" ht="20.100000000000001" customHeight="1" x14ac:dyDescent="0.25">
      <c r="D29" s="28" t="s">
        <v>641</v>
      </c>
      <c r="E29" s="8" t="s">
        <v>1065</v>
      </c>
    </row>
    <row r="30" spans="4:10" ht="20.100000000000001" customHeight="1" x14ac:dyDescent="0.25">
      <c r="D30" s="28" t="s">
        <v>97</v>
      </c>
      <c r="E30" s="13" t="s">
        <v>758</v>
      </c>
    </row>
    <row r="31" spans="4:10" ht="20.100000000000001" customHeight="1" x14ac:dyDescent="0.25"/>
    <row r="32" spans="4:10" ht="20.100000000000001" customHeight="1" x14ac:dyDescent="0.25">
      <c r="D32" s="173" t="s">
        <v>1054</v>
      </c>
      <c r="E32" s="173" t="s">
        <v>1055</v>
      </c>
      <c r="F32" s="173"/>
      <c r="G32" s="173" t="s">
        <v>758</v>
      </c>
      <c r="H32" s="175" t="s">
        <v>1060</v>
      </c>
      <c r="I32" s="173">
        <f>'Input - Waste sent off-site'!$F$10</f>
        <v>1000</v>
      </c>
    </row>
    <row r="33" spans="4:9" ht="20.100000000000001" customHeight="1" x14ac:dyDescent="0.25">
      <c r="D33" s="173" t="s">
        <v>1066</v>
      </c>
      <c r="E33" s="173" t="s">
        <v>1067</v>
      </c>
      <c r="F33" s="173"/>
      <c r="G33" s="173" t="s">
        <v>1068</v>
      </c>
      <c r="H33" s="175" t="s">
        <v>877</v>
      </c>
      <c r="I33" s="173">
        <f>'Constants - Fertiliser'!$E$73</f>
        <v>0.21</v>
      </c>
    </row>
    <row r="34" spans="4:9" ht="20.100000000000001" customHeight="1" x14ac:dyDescent="0.25"/>
    <row r="35" spans="4:9" ht="20.100000000000001" customHeight="1" x14ac:dyDescent="0.25">
      <c r="D35" s="180" t="s">
        <v>762</v>
      </c>
      <c r="E35" s="102">
        <f>(I32 * I33)</f>
        <v>210</v>
      </c>
      <c r="F35" s="181" t="str">
        <f>E30</f>
        <v>kg N</v>
      </c>
    </row>
    <row r="36" spans="4:9" ht="20.100000000000001" customHeight="1" x14ac:dyDescent="0.25"/>
    <row r="37" spans="4:9" ht="20.100000000000001" customHeight="1" x14ac:dyDescent="0.25"/>
    <row r="38" spans="4:9" ht="20.100000000000001" customHeight="1" x14ac:dyDescent="0.25"/>
    <row r="39" spans="4:9" ht="20.100000000000001" customHeight="1" x14ac:dyDescent="0.25"/>
    <row r="40" spans="4:9" ht="20.100000000000001" customHeight="1" x14ac:dyDescent="0.25">
      <c r="D40" s="9" t="s">
        <v>1069</v>
      </c>
    </row>
    <row r="41" spans="4:9" ht="20.100000000000001" customHeight="1" x14ac:dyDescent="0.25">
      <c r="D41" s="11" t="s">
        <v>1070</v>
      </c>
    </row>
    <row r="42" spans="4:9" ht="20.100000000000001" customHeight="1" x14ac:dyDescent="0.25">
      <c r="D42" s="178"/>
      <c r="E42" s="178"/>
    </row>
    <row r="43" spans="4:9" ht="20.100000000000001" customHeight="1" x14ac:dyDescent="0.25"/>
    <row r="44" spans="4:9" ht="20.100000000000001" customHeight="1" x14ac:dyDescent="0.25"/>
    <row r="45" spans="4:9" ht="20.100000000000001" customHeight="1" x14ac:dyDescent="0.25">
      <c r="D45" s="28" t="s">
        <v>641</v>
      </c>
      <c r="E45" s="8" t="s">
        <v>1071</v>
      </c>
    </row>
    <row r="46" spans="4:9" ht="20.100000000000001" customHeight="1" x14ac:dyDescent="0.25">
      <c r="D46" s="28" t="s">
        <v>97</v>
      </c>
      <c r="E46" s="13" t="s">
        <v>1007</v>
      </c>
    </row>
    <row r="47" spans="4:9" ht="20.100000000000001" customHeight="1" x14ac:dyDescent="0.25"/>
    <row r="48" spans="4:9" ht="20.100000000000001" customHeight="1" x14ac:dyDescent="0.25">
      <c r="D48" s="173" t="s">
        <v>1065</v>
      </c>
      <c r="E48" s="177" t="s">
        <v>1072</v>
      </c>
      <c r="F48" s="172"/>
      <c r="G48" s="173" t="s">
        <v>758</v>
      </c>
      <c r="H48" s="175" t="s">
        <v>1079</v>
      </c>
      <c r="I48" s="173">
        <f>E35</f>
        <v>210</v>
      </c>
    </row>
    <row r="49" spans="4:9" ht="20.100000000000001" customHeight="1" x14ac:dyDescent="0.25">
      <c r="D49" s="173" t="s">
        <v>1073</v>
      </c>
      <c r="E49" s="177" t="s">
        <v>1074</v>
      </c>
      <c r="F49" s="172"/>
      <c r="G49" s="173" t="s">
        <v>1061</v>
      </c>
      <c r="H49" s="175" t="s">
        <v>877</v>
      </c>
      <c r="I49" s="173">
        <f>Common_InputFunctions.Utility_LookupN2OEFFromProdIrrigationRainfall(I51,I52,I53,Table_SourceData_Common_EFN2O[Production system only],Table_SourceData_Common_EFN2O[Irrigation method],Table_SourceData_Common_EFN2O[Rainfall zone],Table_SourceData_Common_EFN2O[EFN2O])</f>
        <v>7.0000000000000001E-3</v>
      </c>
    </row>
    <row r="50" spans="4:9" ht="20.100000000000001" customHeight="1" x14ac:dyDescent="0.25">
      <c r="D50" s="173" t="s">
        <v>1058</v>
      </c>
      <c r="E50" s="177" t="s">
        <v>1059</v>
      </c>
      <c r="F50" s="172"/>
      <c r="G50" s="173"/>
      <c r="H50" s="175" t="s">
        <v>877</v>
      </c>
      <c r="I50" s="212">
        <f>Common_InputFunctions.Utility_LookupValueInTableNumber("N2O",Table_GasToMolecularConversionFactor[Gas],Table_GasToMolecularConversionFactor[Conversion factor combined])</f>
        <v>1.5714285714285714</v>
      </c>
    </row>
    <row r="51" spans="4:9" ht="20.100000000000001" customHeight="1" x14ac:dyDescent="0.25">
      <c r="D51" s="173" t="s">
        <v>884</v>
      </c>
      <c r="E51" s="177" t="s">
        <v>145</v>
      </c>
      <c r="F51" s="172"/>
      <c r="G51" s="173"/>
      <c r="H51" s="174" t="s">
        <v>874</v>
      </c>
      <c r="I51" s="173" t="str">
        <f>'Input - Waste sent off-site'!F12</f>
        <v>Crop</v>
      </c>
    </row>
    <row r="52" spans="4:9" ht="20.100000000000001" customHeight="1" x14ac:dyDescent="0.25">
      <c r="D52" s="173" t="s">
        <v>1075</v>
      </c>
      <c r="E52" s="177" t="s">
        <v>1076</v>
      </c>
      <c r="F52" s="172"/>
      <c r="G52" s="173"/>
      <c r="H52" s="174" t="s">
        <v>874</v>
      </c>
      <c r="I52" s="173" t="str">
        <f>'Input - Waste sent off-site'!F13</f>
        <v>Sprinkler irrigation</v>
      </c>
    </row>
    <row r="53" spans="4:9" ht="20.100000000000001" customHeight="1" x14ac:dyDescent="0.25">
      <c r="D53" s="173" t="s">
        <v>1077</v>
      </c>
      <c r="E53" s="177" t="s">
        <v>1078</v>
      </c>
      <c r="F53" s="172"/>
      <c r="G53" s="173"/>
      <c r="H53" s="174" t="s">
        <v>874</v>
      </c>
      <c r="I53" s="173" t="str">
        <f>'Input - Site'!E30</f>
        <v>Low rainfall</v>
      </c>
    </row>
    <row r="54" spans="4:9" ht="20.100000000000001" customHeight="1" x14ac:dyDescent="0.25"/>
    <row r="55" spans="4:9" ht="20.100000000000001" customHeight="1" x14ac:dyDescent="0.25">
      <c r="D55" s="182" t="s">
        <v>776</v>
      </c>
      <c r="E55" s="183">
        <f>((I48 * I49) * I50 * 10 ^ -3)</f>
        <v>2.31E-3</v>
      </c>
      <c r="F55" s="184" t="str">
        <f>$E$46</f>
        <v>t N2O</v>
      </c>
    </row>
    <row r="56" spans="4:9" ht="20.100000000000001" customHeight="1" x14ac:dyDescent="0.25"/>
    <row r="57" spans="4:9" ht="20.100000000000001" customHeight="1" x14ac:dyDescent="0.25"/>
    <row r="58" spans="4:9" ht="20.100000000000001" customHeight="1" x14ac:dyDescent="0.25"/>
    <row r="59" spans="4:9" ht="20.100000000000001" customHeight="1" x14ac:dyDescent="0.25">
      <c r="D59" s="9" t="s">
        <v>1080</v>
      </c>
    </row>
    <row r="60" spans="4:9" ht="20.100000000000001" customHeight="1" x14ac:dyDescent="0.25">
      <c r="D60" s="11" t="s">
        <v>1081</v>
      </c>
    </row>
    <row r="61" spans="4:9" ht="20.100000000000001" customHeight="1" x14ac:dyDescent="0.25">
      <c r="D61" s="178"/>
      <c r="E61" s="178"/>
    </row>
    <row r="62" spans="4:9" ht="20.100000000000001" customHeight="1" x14ac:dyDescent="0.25"/>
    <row r="63" spans="4:9" ht="20.100000000000001" customHeight="1" x14ac:dyDescent="0.25"/>
    <row r="64" spans="4:9" ht="20.100000000000001" customHeight="1" x14ac:dyDescent="0.25">
      <c r="D64" s="28" t="s">
        <v>641</v>
      </c>
      <c r="E64" s="8" t="s">
        <v>1082</v>
      </c>
    </row>
    <row r="65" spans="4:9" ht="20.100000000000001" customHeight="1" x14ac:dyDescent="0.25">
      <c r="D65" s="28" t="s">
        <v>97</v>
      </c>
      <c r="E65" s="13" t="s">
        <v>758</v>
      </c>
    </row>
    <row r="66" spans="4:9" ht="20.100000000000001" customHeight="1" x14ac:dyDescent="0.25"/>
    <row r="67" spans="4:9" ht="20.100000000000001" customHeight="1" x14ac:dyDescent="0.25">
      <c r="D67" s="173" t="s">
        <v>1054</v>
      </c>
      <c r="E67" s="177" t="s">
        <v>1083</v>
      </c>
      <c r="F67" s="172"/>
      <c r="G67" s="173" t="s">
        <v>758</v>
      </c>
      <c r="H67" s="175" t="s">
        <v>1060</v>
      </c>
      <c r="I67" s="173">
        <f>'Input - Waste sent off-site'!$F$10</f>
        <v>1000</v>
      </c>
    </row>
    <row r="68" spans="4:9" ht="20.100000000000001" customHeight="1" x14ac:dyDescent="0.25">
      <c r="D68" s="173" t="s">
        <v>1084</v>
      </c>
      <c r="E68" s="177" t="s">
        <v>1085</v>
      </c>
      <c r="F68" s="172"/>
      <c r="G68" s="173" t="s">
        <v>1004</v>
      </c>
      <c r="H68" s="175" t="s">
        <v>877</v>
      </c>
      <c r="I68" s="173">
        <f>Common_InputFunctions.CommonCropping_GetFracWET(I70,I72,#REF!,#REF!,Table_SourceData_FracWETIrrigation[Irrigation type i],Table_SourceData_FracWETIrrigation[FracWET])</f>
        <v>1</v>
      </c>
    </row>
    <row r="69" spans="4:9" ht="20.100000000000001" customHeight="1" x14ac:dyDescent="0.25">
      <c r="D69" s="173" t="s">
        <v>1086</v>
      </c>
      <c r="E69" s="177" t="s">
        <v>1087</v>
      </c>
      <c r="F69" s="172"/>
      <c r="G69" s="173" t="s">
        <v>1004</v>
      </c>
      <c r="H69" s="175" t="s">
        <v>877</v>
      </c>
      <c r="I69" s="173">
        <f>'Constants - Fertiliser'!$E$78</f>
        <v>0.24</v>
      </c>
    </row>
    <row r="70" spans="4:9" ht="20.100000000000001" customHeight="1" x14ac:dyDescent="0.25">
      <c r="D70" s="173" t="s">
        <v>1088</v>
      </c>
      <c r="E70" s="177" t="s">
        <v>1089</v>
      </c>
      <c r="F70" s="172"/>
      <c r="G70" s="173"/>
      <c r="H70" s="174" t="s">
        <v>874</v>
      </c>
      <c r="I70" s="173" t="str">
        <f>'Input - Site'!E23</f>
        <v>NO - Not in leaching zone</v>
      </c>
    </row>
    <row r="71" spans="4:9" ht="20.100000000000001" customHeight="1" x14ac:dyDescent="0.25">
      <c r="D71" s="173" t="s">
        <v>884</v>
      </c>
      <c r="E71" s="177" t="s">
        <v>914</v>
      </c>
      <c r="F71" s="172"/>
      <c r="G71" s="173"/>
      <c r="H71" s="174" t="s">
        <v>874</v>
      </c>
      <c r="I71" s="173" t="str">
        <f>'Input - Waste sent off-site'!F12</f>
        <v>Crop</v>
      </c>
    </row>
    <row r="72" spans="4:9" ht="20.100000000000001" customHeight="1" x14ac:dyDescent="0.25">
      <c r="D72" s="173" t="s">
        <v>1075</v>
      </c>
      <c r="E72" s="177" t="s">
        <v>1076</v>
      </c>
      <c r="F72" s="172"/>
      <c r="G72" s="173"/>
      <c r="H72" s="174" t="s">
        <v>874</v>
      </c>
      <c r="I72" s="173" t="str">
        <f>'Input - Waste sent off-site'!F13</f>
        <v>Sprinkler irrigation</v>
      </c>
    </row>
    <row r="73" spans="4:9" ht="20.100000000000001" customHeight="1" x14ac:dyDescent="0.25"/>
    <row r="74" spans="4:9" ht="20.100000000000001" customHeight="1" x14ac:dyDescent="0.25">
      <c r="D74" s="180" t="s">
        <v>777</v>
      </c>
      <c r="E74" s="102">
        <f>(I67 * I68 * I69)</f>
        <v>240</v>
      </c>
      <c r="F74" s="181" t="str">
        <f>$E$65</f>
        <v>kg N</v>
      </c>
    </row>
    <row r="75" spans="4:9" ht="20.100000000000001" customHeight="1" x14ac:dyDescent="0.25"/>
    <row r="76" spans="4:9" ht="20.100000000000001" customHeight="1" x14ac:dyDescent="0.25"/>
    <row r="77" spans="4:9" ht="20.100000000000001" customHeight="1" x14ac:dyDescent="0.25">
      <c r="D77" s="9" t="s">
        <v>1090</v>
      </c>
    </row>
    <row r="78" spans="4:9" ht="20.100000000000001" customHeight="1" x14ac:dyDescent="0.25">
      <c r="D78" s="11" t="s">
        <v>1091</v>
      </c>
    </row>
    <row r="79" spans="4:9" ht="20.100000000000001" customHeight="1" x14ac:dyDescent="0.25">
      <c r="D79" s="178"/>
      <c r="E79" s="178"/>
    </row>
    <row r="80" spans="4:9" ht="20.100000000000001" customHeight="1" x14ac:dyDescent="0.25"/>
    <row r="81" spans="4:10" ht="20.100000000000001" customHeight="1" x14ac:dyDescent="0.25"/>
    <row r="82" spans="4:10" ht="20.100000000000001" customHeight="1" x14ac:dyDescent="0.25">
      <c r="D82" s="28" t="s">
        <v>641</v>
      </c>
      <c r="E82" s="8" t="s">
        <v>1092</v>
      </c>
    </row>
    <row r="83" spans="4:10" x14ac:dyDescent="0.25">
      <c r="D83" s="28" t="s">
        <v>97</v>
      </c>
      <c r="E83" s="13" t="s">
        <v>1007</v>
      </c>
    </row>
    <row r="85" spans="4:10" x14ac:dyDescent="0.25">
      <c r="D85" s="173" t="s">
        <v>1093</v>
      </c>
      <c r="E85" s="177" t="s">
        <v>1094</v>
      </c>
      <c r="F85" s="211"/>
      <c r="G85" s="172"/>
      <c r="H85" s="173" t="s">
        <v>758</v>
      </c>
      <c r="I85" s="175" t="s">
        <v>1098</v>
      </c>
      <c r="J85" s="173">
        <v>0</v>
      </c>
    </row>
    <row r="86" spans="4:10" x14ac:dyDescent="0.25">
      <c r="D86" s="173" t="s">
        <v>1082</v>
      </c>
      <c r="E86" s="177" t="s">
        <v>1095</v>
      </c>
      <c r="F86" s="211"/>
      <c r="G86" s="172"/>
      <c r="H86" s="173" t="s">
        <v>758</v>
      </c>
      <c r="I86" s="175" t="s">
        <v>1099</v>
      </c>
      <c r="J86" s="173">
        <f>E74</f>
        <v>240</v>
      </c>
    </row>
    <row r="87" spans="4:10" x14ac:dyDescent="0.25">
      <c r="D87" s="173" t="s">
        <v>1096</v>
      </c>
      <c r="E87" s="177" t="s">
        <v>1097</v>
      </c>
      <c r="F87" s="211"/>
      <c r="G87" s="172"/>
      <c r="H87" s="173" t="s">
        <v>1061</v>
      </c>
      <c r="I87" s="175" t="s">
        <v>877</v>
      </c>
      <c r="J87" s="173">
        <f>'Constants - Fertiliser'!$E$83</f>
        <v>1.0999999999999999E-2</v>
      </c>
    </row>
    <row r="88" spans="4:10" x14ac:dyDescent="0.25">
      <c r="D88" s="173" t="s">
        <v>1058</v>
      </c>
      <c r="E88" s="177" t="s">
        <v>1059</v>
      </c>
      <c r="F88" s="211"/>
      <c r="G88" s="172"/>
      <c r="H88" s="173"/>
      <c r="I88" s="175" t="s">
        <v>877</v>
      </c>
      <c r="J88" s="212">
        <f>Common_InputFunctions.Utility_LookupValueInTableNumber("N2O",Table_GasToMolecularConversionFactor[Gas],Table_GasToMolecularConversionFactor[Conversion factor combined])</f>
        <v>1.5714285714285714</v>
      </c>
    </row>
    <row r="90" spans="4:10" ht="23.25" x14ac:dyDescent="0.25">
      <c r="D90" s="182" t="s">
        <v>778</v>
      </c>
      <c r="E90" s="183">
        <f>((J85 + J86) * J87 * J88 * 10 ^ -3)</f>
        <v>4.1485714285714277E-3</v>
      </c>
      <c r="F90" s="184" t="str">
        <f>$E$83</f>
        <v>t N2O</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4927A-1FDA-4D09-8931-48DC362E8215}">
  <sheetPr>
    <tabColor theme="9" tint="-0.249977111117893"/>
  </sheetPr>
  <dimension ref="A1:R342"/>
  <sheetViews>
    <sheetView showGridLines="0" zoomScale="85" zoomScaleNormal="85" workbookViewId="0">
      <selection activeCell="O19" sqref="O19"/>
    </sheetView>
  </sheetViews>
  <sheetFormatPr defaultRowHeight="15.75" x14ac:dyDescent="0.25"/>
  <cols>
    <col min="1" max="1" width="26.875" style="3" customWidth="1"/>
    <col min="2" max="2" width="4.125" style="3" customWidth="1"/>
    <col min="3" max="3" width="4.125" style="8" customWidth="1"/>
    <col min="4" max="4" width="40.5" style="8" customWidth="1"/>
    <col min="5" max="17" width="26.875" style="8" customWidth="1"/>
    <col min="18" max="18" width="4.125" style="8" customWidth="1"/>
    <col min="19" max="16384" width="9" style="3"/>
  </cols>
  <sheetData>
    <row r="1" spans="1:18" s="1" customFormat="1" ht="30" customHeight="1" x14ac:dyDescent="0.35">
      <c r="A1" s="38" t="e" vm="1">
        <v>#VALUE!</v>
      </c>
      <c r="C1" s="1" t="s">
        <v>724</v>
      </c>
    </row>
    <row r="2" spans="1:18" s="2" customFormat="1" ht="20.100000000000001" customHeight="1" x14ac:dyDescent="0.25"/>
    <row r="3" spans="1:18" ht="20.100000000000001" customHeight="1" x14ac:dyDescent="0.25">
      <c r="A3" s="16" t="str">
        <f>HYPERLINK("#'Home'!A1", "Home")</f>
        <v>Home</v>
      </c>
      <c r="C3" s="5"/>
      <c r="D3" s="5" t="s">
        <v>418</v>
      </c>
      <c r="E3" s="5"/>
      <c r="F3" s="5"/>
      <c r="G3" s="5"/>
      <c r="H3" s="5"/>
      <c r="I3" s="5"/>
      <c r="J3" s="5"/>
      <c r="K3" s="5"/>
      <c r="L3" s="5"/>
      <c r="M3" s="5"/>
      <c r="N3" s="5"/>
      <c r="O3" s="5"/>
      <c r="P3" s="5"/>
      <c r="Q3" s="5"/>
      <c r="R3" s="5"/>
    </row>
    <row r="4" spans="1:18" ht="20.100000000000001" customHeight="1" x14ac:dyDescent="0.25">
      <c r="A4" s="16" t="str">
        <f>HYPERLINK("#'Overview'!A1", "Overview")</f>
        <v>Overview</v>
      </c>
    </row>
    <row r="5" spans="1:18" ht="20.100000000000001" customHeight="1" x14ac:dyDescent="0.25">
      <c r="A5" s="16" t="str">
        <f>HYPERLINK("#'Results'!A1", "Results")</f>
        <v>Results</v>
      </c>
      <c r="D5" s="9" t="s">
        <v>1100</v>
      </c>
      <c r="K5" s="9" t="s">
        <v>1102</v>
      </c>
      <c r="O5" s="17"/>
      <c r="P5" s="17"/>
      <c r="Q5" s="17"/>
    </row>
    <row r="6" spans="1:18" ht="20.100000000000001" customHeight="1" x14ac:dyDescent="0.25">
      <c r="A6" s="18"/>
      <c r="D6" s="11" t="s">
        <v>1101</v>
      </c>
      <c r="K6" s="11" t="s">
        <v>1103</v>
      </c>
      <c r="O6" s="17"/>
      <c r="P6" s="17"/>
      <c r="Q6" s="17"/>
    </row>
    <row r="7" spans="1:18" ht="20.100000000000001" customHeight="1" x14ac:dyDescent="0.25">
      <c r="A7" s="19" t="s">
        <v>67</v>
      </c>
      <c r="D7" s="178"/>
      <c r="E7" s="178"/>
      <c r="K7" s="178"/>
      <c r="L7" s="178"/>
      <c r="O7" s="17"/>
      <c r="P7" s="17"/>
      <c r="Q7" s="17"/>
    </row>
    <row r="8" spans="1:18" ht="20.100000000000001" customHeight="1" x14ac:dyDescent="0.25">
      <c r="A8" s="16" t="str">
        <f>HYPERLINK("#'Input - Fuel'!A1", "Fuel")</f>
        <v>Fuel</v>
      </c>
      <c r="E8" s="178"/>
      <c r="L8" s="178"/>
      <c r="O8" s="17"/>
      <c r="P8" s="17"/>
      <c r="Q8" s="17"/>
    </row>
    <row r="9" spans="1:18" ht="20.100000000000001" customHeight="1" x14ac:dyDescent="0.25">
      <c r="A9" s="16"/>
      <c r="G9" s="11"/>
      <c r="O9" s="17"/>
      <c r="P9" s="17"/>
      <c r="Q9" s="17"/>
    </row>
    <row r="10" spans="1:18" ht="20.100000000000001" customHeight="1" x14ac:dyDescent="0.25">
      <c r="A10" s="21" t="s">
        <v>77</v>
      </c>
      <c r="O10" s="17"/>
      <c r="P10" s="17"/>
      <c r="Q10" s="17"/>
    </row>
    <row r="11" spans="1:18" ht="20.100000000000001" customHeight="1" x14ac:dyDescent="0.25">
      <c r="A11" s="186" t="str">
        <f>HYPERLINK("#'8.1.1.1-2 Transport fuel'!A1", "8.1.1.1-2 Transport fuel")</f>
        <v>8.1.1.1-2 Transport fuel</v>
      </c>
      <c r="D11" s="28" t="s">
        <v>641</v>
      </c>
      <c r="E11" s="8" t="s">
        <v>1041</v>
      </c>
      <c r="K11" s="28" t="s">
        <v>641</v>
      </c>
      <c r="L11" s="8" t="s">
        <v>974</v>
      </c>
      <c r="O11" s="17"/>
      <c r="P11" s="17"/>
      <c r="Q11" s="17"/>
    </row>
    <row r="12" spans="1:18" ht="20.100000000000001" customHeight="1" x14ac:dyDescent="0.25">
      <c r="A12" s="16" t="str">
        <f>HYPERLINK("#'8.2.1.1-2 Stationary fuel'!A1", "8.2.1.1-2 Stationary fuel")</f>
        <v>8.2.1.1-2 Stationary fuel</v>
      </c>
      <c r="D12" s="28" t="s">
        <v>97</v>
      </c>
      <c r="E12" s="13" t="s">
        <v>1104</v>
      </c>
      <c r="K12" s="28" t="s">
        <v>97</v>
      </c>
      <c r="L12" s="13" t="s">
        <v>860</v>
      </c>
    </row>
    <row r="13" spans="1:18" ht="20.100000000000001" customHeight="1" x14ac:dyDescent="0.25">
      <c r="A13" s="16" t="str">
        <f>HYPERLINK("#'8.X.1.1-2 General use fuel'!A1", "8.X.1.1-2 General use fuel")</f>
        <v>8.X.1.1-2 General use fuel</v>
      </c>
    </row>
    <row r="14" spans="1:18" ht="20.100000000000001" customHeight="1" x14ac:dyDescent="0.25">
      <c r="A14" s="16"/>
      <c r="D14" s="173" t="s">
        <v>1105</v>
      </c>
      <c r="E14" s="177" t="s">
        <v>1106</v>
      </c>
      <c r="F14" s="172"/>
      <c r="G14" s="173" t="s">
        <v>1116</v>
      </c>
      <c r="H14" s="174" t="s">
        <v>874</v>
      </c>
      <c r="I14" s="176" t="str" cm="1">
        <f t="array" aca="1" ref="I14" ca="1">HYPERLINK(Common_InputFunctions.Utility_SourceHyperlink($D$22), $D$22)</f>
        <v>Table_E_g</v>
      </c>
      <c r="K14" s="173" t="s">
        <v>1119</v>
      </c>
      <c r="L14" s="173" t="s">
        <v>1120</v>
      </c>
      <c r="M14" s="173"/>
      <c r="N14" s="173" t="s">
        <v>99</v>
      </c>
      <c r="O14" s="174" t="s">
        <v>874</v>
      </c>
      <c r="P14" s="176" t="str" cm="1">
        <f t="array" aca="1" ref="P14" ca="1">HYPERLINK(Common_InputFunctions.Utility_SourceHyperlink($D$22), $D$22)</f>
        <v>Table_E_g</v>
      </c>
      <c r="Q14" s="17"/>
    </row>
    <row r="15" spans="1:18" ht="20.100000000000001" customHeight="1" x14ac:dyDescent="0.25">
      <c r="A15" s="23" t="s">
        <v>78</v>
      </c>
      <c r="D15" s="173" t="s">
        <v>1107</v>
      </c>
      <c r="E15" s="177" t="s">
        <v>1108</v>
      </c>
      <c r="F15" s="172"/>
      <c r="G15" s="173" t="s">
        <v>1117</v>
      </c>
      <c r="H15" s="175" t="s">
        <v>877</v>
      </c>
      <c r="I15" s="176" t="str" cm="1">
        <f t="array" aca="1" ref="I15" ca="1">HYPERLINK(Common_InputFunctions.Utility_SourceHyperlink($D$22), $D$22)</f>
        <v>Table_E_g</v>
      </c>
      <c r="K15" s="173" t="s">
        <v>1107</v>
      </c>
      <c r="L15" s="173" t="s">
        <v>1121</v>
      </c>
      <c r="M15" s="173"/>
      <c r="N15" s="173" t="s">
        <v>1124</v>
      </c>
      <c r="O15" s="175" t="s">
        <v>877</v>
      </c>
      <c r="P15" s="176" t="str" cm="1">
        <f t="array" aca="1" ref="P15" ca="1">HYPERLINK(Common_InputFunctions.Utility_SourceHyperlink($D$22), $D$22)</f>
        <v>Table_E_g</v>
      </c>
      <c r="Q15" s="17"/>
    </row>
    <row r="16" spans="1:18" ht="20.100000000000001" customHeight="1" x14ac:dyDescent="0.25">
      <c r="A16" s="16" t="str">
        <f>HYPERLINK("#'Constants - Fuel'!A1", "Constants - Fuel")</f>
        <v>Constants - Fuel</v>
      </c>
      <c r="D16" s="173" t="s">
        <v>1109</v>
      </c>
      <c r="E16" s="177" t="s">
        <v>1110</v>
      </c>
      <c r="F16" s="172"/>
      <c r="G16" s="173" t="s">
        <v>1118</v>
      </c>
      <c r="H16" s="175" t="s">
        <v>877</v>
      </c>
      <c r="I16" s="176" t="str" cm="1">
        <f t="array" aca="1" ref="I16" ca="1">HYPERLINK(Common_InputFunctions.Utility_SourceHyperlink($D$22), $D$22)</f>
        <v>Table_E_g</v>
      </c>
      <c r="K16" s="173" t="s">
        <v>1122</v>
      </c>
      <c r="L16" s="173" t="s">
        <v>1123</v>
      </c>
      <c r="M16" s="173"/>
      <c r="N16" s="173" t="s">
        <v>1125</v>
      </c>
      <c r="O16" s="175" t="s">
        <v>877</v>
      </c>
      <c r="P16" s="176" t="str" cm="1">
        <f t="array" aca="1" ref="P16" ca="1">HYPERLINK(Common_InputFunctions.Utility_SourceHyperlink($D$22), $D$22)</f>
        <v>Table_E_g</v>
      </c>
      <c r="Q16" s="17"/>
    </row>
    <row r="17" spans="1:17" ht="20.100000000000001" customHeight="1" x14ac:dyDescent="0.25">
      <c r="A17" s="16" t="str">
        <f>HYPERLINK("#'Constants - Common'!A1", "Constants - Common")</f>
        <v>Constants - Common</v>
      </c>
      <c r="D17" s="173" t="s">
        <v>1111</v>
      </c>
      <c r="E17" s="177" t="s">
        <v>96</v>
      </c>
      <c r="F17" s="172"/>
      <c r="G17" s="173"/>
      <c r="H17" s="175" t="s">
        <v>877</v>
      </c>
      <c r="I17" s="176"/>
      <c r="J17" s="17"/>
      <c r="P17" s="17"/>
      <c r="Q17" s="17"/>
    </row>
    <row r="18" spans="1:17" ht="20.100000000000001" customHeight="1" x14ac:dyDescent="0.25">
      <c r="D18" s="173" t="s">
        <v>1112</v>
      </c>
      <c r="E18" s="177" t="s">
        <v>1113</v>
      </c>
      <c r="F18" s="172"/>
      <c r="G18" s="173"/>
      <c r="H18" s="175" t="s">
        <v>877</v>
      </c>
      <c r="I18" s="176"/>
      <c r="J18" s="17"/>
      <c r="L18" s="17"/>
      <c r="M18" s="17"/>
      <c r="N18" s="17"/>
      <c r="O18" s="17"/>
      <c r="P18" s="17"/>
      <c r="Q18" s="17"/>
    </row>
    <row r="19" spans="1:17" ht="20.100000000000001" customHeight="1" x14ac:dyDescent="0.25">
      <c r="D19" s="173" t="s">
        <v>960</v>
      </c>
      <c r="E19" s="177" t="s">
        <v>1114</v>
      </c>
      <c r="F19" s="172"/>
      <c r="G19" s="173"/>
      <c r="H19" s="175" t="s">
        <v>877</v>
      </c>
      <c r="I19" s="176"/>
      <c r="J19" s="17"/>
      <c r="L19" s="17"/>
      <c r="M19" s="17"/>
      <c r="N19" s="17"/>
      <c r="O19" s="17"/>
      <c r="P19" s="17"/>
      <c r="Q19" s="17"/>
    </row>
    <row r="20" spans="1:17" ht="20.100000000000001" customHeight="1" x14ac:dyDescent="0.25">
      <c r="A20" s="16"/>
      <c r="D20" s="173">
        <v>1</v>
      </c>
      <c r="E20" s="177" t="s">
        <v>1115</v>
      </c>
      <c r="F20" s="172"/>
      <c r="G20" s="173"/>
      <c r="H20" s="175" t="s">
        <v>877</v>
      </c>
      <c r="I20" s="176"/>
      <c r="J20" s="17"/>
      <c r="L20" s="17"/>
      <c r="M20" s="17"/>
      <c r="N20" s="17"/>
      <c r="O20" s="17"/>
      <c r="P20" s="17"/>
      <c r="Q20" s="17"/>
    </row>
    <row r="21" spans="1:17" ht="20.100000000000001" customHeight="1" x14ac:dyDescent="0.25">
      <c r="A21" s="16"/>
      <c r="O21" s="17"/>
      <c r="P21" s="17"/>
      <c r="Q21" s="17"/>
    </row>
    <row r="22" spans="1:17" ht="20.100000000000001" customHeight="1" x14ac:dyDescent="0.25">
      <c r="D22" s="58" t="s">
        <v>129</v>
      </c>
    </row>
    <row r="23" spans="1:17" ht="20.100000000000001" customHeight="1" x14ac:dyDescent="0.25">
      <c r="A23" s="16"/>
      <c r="D23" s="59" t="s">
        <v>130</v>
      </c>
    </row>
    <row r="24" spans="1:17" ht="20.100000000000001" customHeight="1" x14ac:dyDescent="0.25">
      <c r="D24" s="60" t="s">
        <v>131</v>
      </c>
      <c r="E24" s="60" t="s">
        <v>132</v>
      </c>
      <c r="F24" s="60" t="s">
        <v>133</v>
      </c>
      <c r="G24" s="60" t="s">
        <v>725</v>
      </c>
      <c r="H24" s="60" t="s">
        <v>726</v>
      </c>
      <c r="I24" s="60" t="s">
        <v>727</v>
      </c>
      <c r="J24" s="60" t="s">
        <v>728</v>
      </c>
      <c r="K24" s="60" t="s">
        <v>729</v>
      </c>
      <c r="L24" s="47" t="s">
        <v>730</v>
      </c>
      <c r="M24" s="60" t="s">
        <v>731</v>
      </c>
      <c r="N24" s="60" t="s">
        <v>732</v>
      </c>
      <c r="O24" s="60" t="s">
        <v>733</v>
      </c>
      <c r="P24" s="60" t="s">
        <v>734</v>
      </c>
      <c r="Q24" s="60" t="s">
        <v>735</v>
      </c>
    </row>
    <row r="25" spans="1:17" ht="20.100000000000001" customHeight="1" x14ac:dyDescent="0.25">
      <c r="D25" s="7" t="str">
        <f>Table_FuelTypesPerUse[[#Headers],[from the use of a limited number of NGER data inputs. It is suggested that for Tasmania the use of the Victorian emission factors is appropriate,]]</f>
        <v>from the use of a limited number of NGER data inputs. It is suggested that for Tasmania the use of the Victorian emission factors is appropriate,</v>
      </c>
      <c r="E25" s="61" t="str">
        <f>'Constants - Fuel'!$E$10</f>
        <v>Gasoline</v>
      </c>
      <c r="F25" s="61">
        <f>'Constants - Fuel'!G131</f>
        <v>0</v>
      </c>
      <c r="G25" s="50" cm="1">
        <f t="array" ref="G25">IFERROR(_xlfn.XLOOKUP(1, (Table_Fuel_EFs_Transport[Fuel combusted]=$E25)*(Table_Fuel_EFs_Transport[Transport type]=$D$25), Table_Fuel_EFs_Transport[Energy Content Factor (GJ per unit of fuel)]), 0)</f>
        <v>0</v>
      </c>
      <c r="H25" s="50" cm="1">
        <f t="array" ref="H25">IFERROR(_xlfn.XLOOKUP(1, (Table_Fuel_EFs_Transport[Fuel combusted]=$E25)*(Table_Fuel_EFs_Transport[Transport type]=$D$25), Table_Fuel_EFs_Transport[Scope 1 Emission Factor (kg CO2 - e / GJ) CO2]), 0)</f>
        <v>0</v>
      </c>
      <c r="I25" s="50" cm="1">
        <f t="array" ref="I25">IFERROR(_xlfn.XLOOKUP(1, (Table_Fuel_EFs_Transport[Fuel combusted]=$E25)*(Table_Fuel_EFs_Transport[Transport type]=$D$25), Table_Fuel_EFs_Transport[Scope 1 Emission Factor (kg CO2 - e / GJ) CH4]), 0)</f>
        <v>0</v>
      </c>
      <c r="J25" s="50" cm="1">
        <f t="array" ref="J25">IFERROR(_xlfn.XLOOKUP(1, (Table_Fuel_EFs_Transport[Fuel combusted]=$E25)*(Table_Fuel_EFs_Transport[Transport type]=$D$25), Table_Fuel_EFs_Transport[Scope 1 Emission Factor (kg CO2 - e / GJ) N2O]), 0)</f>
        <v>0</v>
      </c>
      <c r="K25" s="50" cm="1">
        <f t="array" ref="K25">IFERROR(_xlfn.XLOOKUP(1, (Table_Fuel_EFs_Transport[Fuel combusted]=$E25)*(Table_Fuel_EFs_Transport[Transport type]=$D$25), Table_Fuel_EFs_Transport[Scope 3 Emission Factor (kg CO2 - e / GJ)]), 0)</f>
        <v>0</v>
      </c>
      <c r="L25" s="187" cm="1">
        <f t="array" ref="L25">Fuel_InputFunctions.Fuel_TotalConsumption(Table_Input_Fuel[Amount consumed], Table_Input_Fuel[Fuel use (select)], D25, Table_Input_Fuel[Fuel type (select)],F25)</f>
        <v>0</v>
      </c>
      <c r="M25" s="187" t="str" cm="1">
        <f t="array" ref="M25">Common_InputFunctions.Utility_LookupValueInTable(F25,Table_FuelTypes_Units[Fuel type],Table_FuelTypes_Units[Unit])</f>
        <v/>
      </c>
      <c r="N25" s="188">
        <f>((($L25 * $G25 * $H25) * 10 ^ -3))</f>
        <v>0</v>
      </c>
      <c r="O25" s="188">
        <f>((($L25 * $G25 * $I25) * 10 ^ -3))</f>
        <v>0</v>
      </c>
      <c r="P25" s="188">
        <f>((($L25 * $G25 * $J25) * 10 ^ -3))</f>
        <v>0</v>
      </c>
      <c r="Q25" s="188">
        <f>((L25 * G25 * K25) * 10 ^ -3)</f>
        <v>0</v>
      </c>
    </row>
    <row r="26" spans="1:17" ht="20.100000000000001" customHeight="1" x14ac:dyDescent="0.25">
      <c r="D26" s="62" t="str">
        <f t="shared" ref="D26:D32" si="0">$D$25</f>
        <v>from the use of a limited number of NGER data inputs. It is suggested that for Tasmania the use of the Victorian emission factors is appropriate,</v>
      </c>
      <c r="E26" s="61" t="str">
        <f>'Constants - Fuel'!$E$11</f>
        <v>Diesel oil</v>
      </c>
      <c r="F26" s="61" t="str">
        <f>'Constants - Fuel'!G132</f>
        <v>while for Northern Territory the use of the Western Australian emission factors is appropriate.</v>
      </c>
      <c r="G26" s="50" cm="1">
        <f t="array" ref="G26">IFERROR(_xlfn.XLOOKUP(1, (Table_Fuel_EFs_Transport[Fuel combusted]=$E26)*(Table_Fuel_EFs_Transport[Transport type]=$D$25), Table_Fuel_EFs_Transport[Energy Content Factor (GJ per unit of fuel)]), 0)</f>
        <v>0</v>
      </c>
      <c r="H26" s="50" cm="1">
        <f t="array" ref="H26">IFERROR(_xlfn.XLOOKUP(1, (Table_Fuel_EFs_Transport[Fuel combusted]=$E26)*(Table_Fuel_EFs_Transport[Transport type]=$D$25), Table_Fuel_EFs_Transport[Scope 1 Emission Factor (kg CO2 - e / GJ) CO2]), 0)</f>
        <v>0</v>
      </c>
      <c r="I26" s="50" cm="1">
        <f t="array" ref="I26">IFERROR(_xlfn.XLOOKUP(1, (Table_Fuel_EFs_Transport[Fuel combusted]=$E26)*(Table_Fuel_EFs_Transport[Transport type]=$D$25), Table_Fuel_EFs_Transport[Scope 1 Emission Factor (kg CO2 - e / GJ) CH4]), 0)</f>
        <v>0</v>
      </c>
      <c r="J26" s="50" cm="1">
        <f t="array" ref="J26">IFERROR(_xlfn.XLOOKUP(1, (Table_Fuel_EFs_Transport[Fuel combusted]=$E26)*(Table_Fuel_EFs_Transport[Transport type]=$D$25), Table_Fuel_EFs_Transport[Scope 1 Emission Factor (kg CO2 - e / GJ) N2O]), 0)</f>
        <v>0</v>
      </c>
      <c r="K26" s="50" cm="1">
        <f t="array" ref="K26">IFERROR(_xlfn.XLOOKUP(1, (Table_Fuel_EFs_Transport[Fuel combusted]=$E26)*(Table_Fuel_EFs_Transport[Transport type]=$D$25), Table_Fuel_EFs_Transport[Scope 3 Emission Factor (kg CO2 - e / GJ)]), 0)</f>
        <v>0</v>
      </c>
      <c r="L26" s="187" cm="1">
        <f t="array" ref="L26">Fuel_InputFunctions.Fuel_TotalConsumption(Table_Input_Fuel[Amount consumed], Table_Input_Fuel[Fuel use (select)], D26, Table_Input_Fuel[Fuel type (select)],F26)</f>
        <v>0</v>
      </c>
      <c r="M26" s="187" t="str" cm="1">
        <f t="array" ref="M26">Common_InputFunctions.Utility_LookupValueInTable(F26,Table_FuelTypes_Units[Fuel type],Table_FuelTypes_Units[Unit])</f>
        <v/>
      </c>
      <c r="N26" s="188">
        <f>((($L26 * $G26 * $H26) * 10 ^ -3))</f>
        <v>0</v>
      </c>
      <c r="O26" s="188">
        <f>((($L26 * $G26 * $I26) * 10 ^ -3))</f>
        <v>0</v>
      </c>
      <c r="P26" s="188">
        <f>((($L26 * $G26 * $J26) * 10 ^ -3))</f>
        <v>0</v>
      </c>
      <c r="Q26" s="188">
        <f>((L26 * G26 * K26) * 10 ^ -3)</f>
        <v>0</v>
      </c>
    </row>
    <row r="27" spans="1:17" ht="20.100000000000001" customHeight="1" x14ac:dyDescent="0.25">
      <c r="D27" s="62" t="str">
        <f t="shared" si="0"/>
        <v>from the use of a limited number of NGER data inputs. It is suggested that for Tasmania the use of the Victorian emission factors is appropriate,</v>
      </c>
      <c r="E27" s="61" t="str">
        <f>'Constants - Fuel'!$E$12</f>
        <v>Liquefied petroleum gas (LPG)</v>
      </c>
      <c r="F27" s="61" t="str">
        <f>'Constants - Fuel'!G133</f>
        <v>-</v>
      </c>
      <c r="G27" s="50" cm="1">
        <f t="array" ref="G27">IFERROR(_xlfn.XLOOKUP(1, (Table_Fuel_EFs_Transport[Fuel combusted]=$E27)*(Table_Fuel_EFs_Transport[Transport type]=$D$25), Table_Fuel_EFs_Transport[Energy Content Factor (GJ per unit of fuel)]), 0)</f>
        <v>0</v>
      </c>
      <c r="H27" s="50" cm="1">
        <f t="array" ref="H27">IFERROR(_xlfn.XLOOKUP(1, (Table_Fuel_EFs_Transport[Fuel combusted]=$E27)*(Table_Fuel_EFs_Transport[Transport type]=$D$25), Table_Fuel_EFs_Transport[Scope 1 Emission Factor (kg CO2 - e / GJ) CO2]), 0)</f>
        <v>0</v>
      </c>
      <c r="I27" s="50" cm="1">
        <f t="array" ref="I27">IFERROR(_xlfn.XLOOKUP(1, (Table_Fuel_EFs_Transport[Fuel combusted]=$E27)*(Table_Fuel_EFs_Transport[Transport type]=$D$25), Table_Fuel_EFs_Transport[Scope 1 Emission Factor (kg CO2 - e / GJ) CH4]), 0)</f>
        <v>0</v>
      </c>
      <c r="J27" s="50" cm="1">
        <f t="array" ref="J27">IFERROR(_xlfn.XLOOKUP(1, (Table_Fuel_EFs_Transport[Fuel combusted]=$E27)*(Table_Fuel_EFs_Transport[Transport type]=$D$25), Table_Fuel_EFs_Transport[Scope 1 Emission Factor (kg CO2 - e / GJ) N2O]), 0)</f>
        <v>0</v>
      </c>
      <c r="K27" s="50" cm="1">
        <f t="array" ref="K27">IFERROR(_xlfn.XLOOKUP(1, (Table_Fuel_EFs_Transport[Fuel combusted]=$E27)*(Table_Fuel_EFs_Transport[Transport type]=$D$25), Table_Fuel_EFs_Transport[Scope 3 Emission Factor (kg CO2 - e / GJ)]), 0)</f>
        <v>0</v>
      </c>
      <c r="L27" s="187" cm="1">
        <f t="array" ref="L27">Fuel_InputFunctions.Fuel_TotalConsumption(Table_Input_Fuel[Amount consumed], Table_Input_Fuel[Fuel use (select)], D27, Table_Input_Fuel[Fuel type (select)],F27)</f>
        <v>0</v>
      </c>
      <c r="M27" s="187" t="str" cm="1">
        <f t="array" ref="M27">Common_InputFunctions.Utility_LookupValueInTable(F27,Table_FuelTypes_Units[Fuel type],Table_FuelTypes_Units[Unit])</f>
        <v/>
      </c>
      <c r="N27" s="188">
        <f>((($L27 * $G27 * $H27) * 10 ^ -3))</f>
        <v>0</v>
      </c>
      <c r="O27" s="188">
        <f>((($L27 * $G27 * $I27) * 10 ^ -3))</f>
        <v>0</v>
      </c>
      <c r="P27" s="188">
        <f>((($L27 * $G27 * $J27) * 10 ^ -3))</f>
        <v>0</v>
      </c>
      <c r="Q27" s="188">
        <f>((L27 * G27 * K27) * 10 ^ -3)</f>
        <v>0</v>
      </c>
    </row>
    <row r="28" spans="1:17" ht="20.100000000000001" customHeight="1" x14ac:dyDescent="0.25">
      <c r="D28" s="62" t="str">
        <f t="shared" si="0"/>
        <v>from the use of a limited number of NGER data inputs. It is suggested that for Tasmania the use of the Victorian emission factors is appropriate,</v>
      </c>
      <c r="E28" s="61" t="str">
        <f>'Constants - Fuel'!$E$13</f>
        <v>Fuel oil</v>
      </c>
      <c r="F28" s="61" t="str">
        <f>'Constants - Fuel'!G134</f>
        <v>Scope 3 emission factors do not include fugitive emission leakage from low pressure natural gas distribution pipeline networks while those from high pressure</v>
      </c>
      <c r="G28" s="50" cm="1">
        <f t="array" ref="G28">IFERROR(_xlfn.XLOOKUP(1, (Table_Fuel_EFs_Transport[Fuel combusted]=$E28)*(Table_Fuel_EFs_Transport[Transport type]=$D$25), Table_Fuel_EFs_Transport[Energy Content Factor (GJ per unit of fuel)]), 0)</f>
        <v>0</v>
      </c>
      <c r="H28" s="50" cm="1">
        <f t="array" ref="H28">IFERROR(_xlfn.XLOOKUP(1, (Table_Fuel_EFs_Transport[Fuel combusted]=$E28)*(Table_Fuel_EFs_Transport[Transport type]=$D$25), Table_Fuel_EFs_Transport[Scope 1 Emission Factor (kg CO2 - e / GJ) CO2]), 0)</f>
        <v>0</v>
      </c>
      <c r="I28" s="50" cm="1">
        <f t="array" ref="I28">IFERROR(_xlfn.XLOOKUP(1, (Table_Fuel_EFs_Transport[Fuel combusted]=$E28)*(Table_Fuel_EFs_Transport[Transport type]=$D$25), Table_Fuel_EFs_Transport[Scope 1 Emission Factor (kg CO2 - e / GJ) CH4]), 0)</f>
        <v>0</v>
      </c>
      <c r="J28" s="50" cm="1">
        <f t="array" ref="J28">IFERROR(_xlfn.XLOOKUP(1, (Table_Fuel_EFs_Transport[Fuel combusted]=$E28)*(Table_Fuel_EFs_Transport[Transport type]=$D$25), Table_Fuel_EFs_Transport[Scope 1 Emission Factor (kg CO2 - e / GJ) N2O]), 0)</f>
        <v>0</v>
      </c>
      <c r="K28" s="50" cm="1">
        <f t="array" ref="K28">IFERROR(_xlfn.XLOOKUP(1, (Table_Fuel_EFs_Transport[Fuel combusted]=$E28)*(Table_Fuel_EFs_Transport[Transport type]=$D$25), Table_Fuel_EFs_Transport[Scope 3 Emission Factor (kg CO2 - e / GJ)]), 0)</f>
        <v>0</v>
      </c>
      <c r="L28" s="187" cm="1">
        <f t="array" ref="L28">Fuel_InputFunctions.Fuel_TotalConsumption(Table_Input_Fuel[Amount consumed], Table_Input_Fuel[Fuel use (select)], D28, Table_Input_Fuel[Fuel type (select)],F28)</f>
        <v>0</v>
      </c>
      <c r="M28" s="187" t="str" cm="1">
        <f t="array" ref="M28">Common_InputFunctions.Utility_LookupValueInTable(F28,Table_FuelTypes_Units[Fuel type],Table_FuelTypes_Units[Unit])</f>
        <v/>
      </c>
      <c r="N28" s="188">
        <f>((($L28 * $G28 * $H28) * 10 ^ -3))</f>
        <v>0</v>
      </c>
      <c r="O28" s="188">
        <f>((($L28 * $G28 * $I28) * 10 ^ -3))</f>
        <v>0</v>
      </c>
      <c r="P28" s="188">
        <f>((($L28 * $G28 * $J28) * 10 ^ -3))</f>
        <v>0</v>
      </c>
      <c r="Q28" s="188">
        <f>((L28 * G28 * K28) * 10 ^ -3)</f>
        <v>0</v>
      </c>
    </row>
    <row r="29" spans="1:17" ht="20.100000000000001" customHeight="1" x14ac:dyDescent="0.25">
      <c r="D29" s="62" t="str">
        <f t="shared" si="0"/>
        <v>from the use of a limited number of NGER data inputs. It is suggested that for Tasmania the use of the Victorian emission factors is appropriate,</v>
      </c>
      <c r="E29" s="61" t="str">
        <f>'Constants - Fuel'!$E$14</f>
        <v>Ethanol</v>
      </c>
      <c r="F29" s="61">
        <f>'Constants - Fuel'!G135</f>
        <v>0</v>
      </c>
      <c r="G29" s="50" cm="1">
        <f t="array" ref="G29">IFERROR(_xlfn.XLOOKUP(1, (Table_Fuel_EFs_Transport[Fuel combusted]=$E29)*(Table_Fuel_EFs_Transport[Transport type]=$D$25), Table_Fuel_EFs_Transport[Energy Content Factor (GJ per unit of fuel)]), 0)</f>
        <v>0</v>
      </c>
      <c r="H29" s="50" cm="1">
        <f t="array" ref="H29">IFERROR(_xlfn.XLOOKUP(1, (Table_Fuel_EFs_Transport[Fuel combusted]=$E29)*(Table_Fuel_EFs_Transport[Transport type]=$D$25), Table_Fuel_EFs_Transport[Scope 1 Emission Factor (kg CO2 - e / GJ) CO2]), 0)</f>
        <v>0</v>
      </c>
      <c r="I29" s="50" cm="1">
        <f t="array" ref="I29">IFERROR(_xlfn.XLOOKUP(1, (Table_Fuel_EFs_Transport[Fuel combusted]=$E29)*(Table_Fuel_EFs_Transport[Transport type]=$D$25), Table_Fuel_EFs_Transport[Scope 1 Emission Factor (kg CO2 - e / GJ) CH4]), 0)</f>
        <v>0</v>
      </c>
      <c r="J29" s="50" cm="1">
        <f t="array" ref="J29">IFERROR(_xlfn.XLOOKUP(1, (Table_Fuel_EFs_Transport[Fuel combusted]=$E29)*(Table_Fuel_EFs_Transport[Transport type]=$D$25), Table_Fuel_EFs_Transport[Scope 1 Emission Factor (kg CO2 - e / GJ) N2O]), 0)</f>
        <v>0</v>
      </c>
      <c r="K29" s="50" cm="1">
        <f t="array" ref="K29">IFERROR(_xlfn.XLOOKUP(1, (Table_Fuel_EFs_Transport[Fuel combusted]=$E29)*(Table_Fuel_EFs_Transport[Transport type]=$D$25), Table_Fuel_EFs_Transport[Scope 3 Emission Factor (kg CO2 - e / GJ)]), 0)</f>
        <v>0</v>
      </c>
      <c r="L29" s="187" cm="1">
        <f t="array" ref="L29">Fuel_InputFunctions.Fuel_TotalConsumption(Table_Input_Fuel[Amount consumed], Table_Input_Fuel[Fuel use (select)], D29, Table_Input_Fuel[Fuel type (select)],F29)</f>
        <v>0</v>
      </c>
      <c r="M29" s="187" t="str" cm="1">
        <f t="array" ref="M29">Common_InputFunctions.Utility_LookupValueInTable(F29,Table_FuelTypes_Units[Fuel type],Table_FuelTypes_Units[Unit])</f>
        <v/>
      </c>
      <c r="N29" s="188">
        <f>((($L29 * $G29 * $H29) * 10 ^ -3))</f>
        <v>0</v>
      </c>
      <c r="O29" s="188">
        <f>((($L29 * $G29 * $I29) * 10 ^ -3))</f>
        <v>0</v>
      </c>
      <c r="P29" s="188">
        <f>((($L29 * $G29 * $J29) * 10 ^ -3))</f>
        <v>0</v>
      </c>
      <c r="Q29" s="188">
        <f>((L29 * G29 * (IF(ISNUMBER(K29),K29,0))) * 10 ^ -3)</f>
        <v>0</v>
      </c>
    </row>
    <row r="30" spans="1:17" ht="20.100000000000001" customHeight="1" x14ac:dyDescent="0.25">
      <c r="D30" s="62" t="str">
        <f t="shared" si="0"/>
        <v>from the use of a limited number of NGER data inputs. It is suggested that for Tasmania the use of the Victorian emission factors is appropriate,</v>
      </c>
      <c r="E30" s="61" t="str">
        <f>'Constants - Fuel'!$E$15</f>
        <v>Biodiesel</v>
      </c>
      <c r="F30" s="61" t="str">
        <f>'Constants - Fuel'!G136</f>
        <v>gas networks are considered negligible.</v>
      </c>
      <c r="G30" s="50" cm="1">
        <f t="array" ref="G30">IFERROR(_xlfn.XLOOKUP(1, (Table_Fuel_EFs_Transport[Fuel combusted]=$E30)*(Table_Fuel_EFs_Transport[Transport type]=$D$25), Table_Fuel_EFs_Transport[Energy Content Factor (GJ per unit of fuel)]), 0)</f>
        <v>0</v>
      </c>
      <c r="H30" s="50" cm="1">
        <f t="array" ref="H30">IFERROR(_xlfn.XLOOKUP(1, (Table_Fuel_EFs_Transport[Fuel combusted]=$E30)*(Table_Fuel_EFs_Transport[Transport type]=$D$25), Table_Fuel_EFs_Transport[Scope 1 Emission Factor (kg CO2 - e / GJ) CO2]), 0)</f>
        <v>0</v>
      </c>
      <c r="I30" s="50" cm="1">
        <f t="array" ref="I30">IFERROR(_xlfn.XLOOKUP(1, (Table_Fuel_EFs_Transport[Fuel combusted]=$E30)*(Table_Fuel_EFs_Transport[Transport type]=$D$25), Table_Fuel_EFs_Transport[Scope 1 Emission Factor (kg CO2 - e / GJ) CH4]), 0)</f>
        <v>0</v>
      </c>
      <c r="J30" s="50" cm="1">
        <f t="array" ref="J30">IFERROR(_xlfn.XLOOKUP(1, (Table_Fuel_EFs_Transport[Fuel combusted]=$E30)*(Table_Fuel_EFs_Transport[Transport type]=$D$25), Table_Fuel_EFs_Transport[Scope 1 Emission Factor (kg CO2 - e / GJ) N2O]), 0)</f>
        <v>0</v>
      </c>
      <c r="K30" s="50" cm="1">
        <f t="array" ref="K30">IFERROR(_xlfn.XLOOKUP(1, (Table_Fuel_EFs_Transport[Fuel combusted]=$E30)*(Table_Fuel_EFs_Transport[Transport type]=$D$25), Table_Fuel_EFs_Transport[Scope 3 Emission Factor (kg CO2 - e / GJ)]), 0)</f>
        <v>0</v>
      </c>
      <c r="L30" s="187" cm="1">
        <f t="array" ref="L30">Fuel_InputFunctions.Fuel_TotalConsumption(Table_Input_Fuel[Amount consumed], Table_Input_Fuel[Fuel use (select)], D30, Table_Input_Fuel[Fuel type (select)],F30)</f>
        <v>0</v>
      </c>
      <c r="M30" s="187" t="str" cm="1">
        <f t="array" ref="M30">Common_InputFunctions.Utility_LookupValueInTable(F30,Table_FuelTypes_Units[Fuel type],Table_FuelTypes_Units[Unit])</f>
        <v/>
      </c>
      <c r="N30" s="188">
        <f>((($L30 * $G30 * $H30) * 10 ^ -3))</f>
        <v>0</v>
      </c>
      <c r="O30" s="188">
        <f>((($L30 * $G30 * $I30) * 10 ^ -3))</f>
        <v>0</v>
      </c>
      <c r="P30" s="188">
        <f>((($L30 * $G30 * $J30) * 10 ^ -3))</f>
        <v>0</v>
      </c>
      <c r="Q30" s="188">
        <f>((L30 * G30 * (IF(ISNUMBER(K30),K30,0))) * 10 ^ -3)</f>
        <v>0</v>
      </c>
    </row>
    <row r="31" spans="1:17" ht="20.100000000000001" customHeight="1" x14ac:dyDescent="0.25">
      <c r="D31" s="62" t="str">
        <f t="shared" si="0"/>
        <v>from the use of a limited number of NGER data inputs. It is suggested that for Tasmania the use of the Victorian emission factors is appropriate,</v>
      </c>
      <c r="E31" s="61" t="str">
        <f>'Constants - Fuel'!$E$16</f>
        <v>Renewable diesel</v>
      </c>
      <c r="F31" s="61" t="str">
        <f>'Constants - Fuel'!G137</f>
        <v>Renewable diesel</v>
      </c>
      <c r="G31" s="50" cm="1">
        <f t="array" ref="G31">IFERROR(_xlfn.XLOOKUP(1, (Table_Fuel_EFs_Transport[Fuel combusted]=$E31)*(Table_Fuel_EFs_Transport[Transport type]=$D$25), Table_Fuel_EFs_Transport[Energy Content Factor (GJ per unit of fuel)]), 0)</f>
        <v>0</v>
      </c>
      <c r="H31" s="50" cm="1">
        <f t="array" ref="H31">IFERROR(_xlfn.XLOOKUP(1, (Table_Fuel_EFs_Transport[Fuel combusted]=$E31)*(Table_Fuel_EFs_Transport[Transport type]=$D$25), Table_Fuel_EFs_Transport[Scope 1 Emission Factor (kg CO2 - e / GJ) CO2]), 0)</f>
        <v>0</v>
      </c>
      <c r="I31" s="50" cm="1">
        <f t="array" ref="I31">IFERROR(_xlfn.XLOOKUP(1, (Table_Fuel_EFs_Transport[Fuel combusted]=$E31)*(Table_Fuel_EFs_Transport[Transport type]=$D$25), Table_Fuel_EFs_Transport[Scope 1 Emission Factor (kg CO2 - e / GJ) CH4]), 0)</f>
        <v>0</v>
      </c>
      <c r="J31" s="50" cm="1">
        <f t="array" ref="J31">IFERROR(_xlfn.XLOOKUP(1, (Table_Fuel_EFs_Transport[Fuel combusted]=$E31)*(Table_Fuel_EFs_Transport[Transport type]=$D$25), Table_Fuel_EFs_Transport[Scope 1 Emission Factor (kg CO2 - e / GJ) N2O]), 0)</f>
        <v>0</v>
      </c>
      <c r="K31" s="50" cm="1">
        <f t="array" ref="K31">IFERROR(_xlfn.XLOOKUP(1, (Table_Fuel_EFs_Transport[Fuel combusted]=$E31)*(Table_Fuel_EFs_Transport[Transport type]=$D$25), Table_Fuel_EFs_Transport[Scope 3 Emission Factor (kg CO2 - e / GJ)]), 0)</f>
        <v>0</v>
      </c>
      <c r="L31" s="187" cm="1">
        <f t="array" ref="L31">Fuel_InputFunctions.Fuel_TotalConsumption(Table_Input_Fuel[Amount consumed], Table_Input_Fuel[Fuel use (select)], D31, Table_Input_Fuel[Fuel type (select)],F31)</f>
        <v>0</v>
      </c>
      <c r="M31" s="187" t="str" cm="1">
        <f t="array" ref="M31">Common_InputFunctions.Utility_LookupValueInTable(F31,Table_FuelTypes_Units[Fuel type],Table_FuelTypes_Units[Unit])</f>
        <v>kL</v>
      </c>
      <c r="N31" s="188">
        <f>((($L31 * $G31 * $H31) * 10 ^ -3))</f>
        <v>0</v>
      </c>
      <c r="O31" s="188">
        <f>((($L31 * $G31 * $I31) * 10 ^ -3))</f>
        <v>0</v>
      </c>
      <c r="P31" s="188">
        <f>((($L31 * $G31 * $J31) * 10 ^ -3))</f>
        <v>0</v>
      </c>
      <c r="Q31" s="188">
        <f>((L31 * G31 * (IF(ISNUMBER(K31),K31,0))) * 10 ^ -3)</f>
        <v>0</v>
      </c>
    </row>
    <row r="32" spans="1:17" ht="20.100000000000001" customHeight="1" x14ac:dyDescent="0.25">
      <c r="D32" s="62" t="str">
        <f t="shared" si="0"/>
        <v>from the use of a limited number of NGER data inputs. It is suggested that for Tasmania the use of the Victorian emission factors is appropriate,</v>
      </c>
      <c r="E32" s="61" t="str">
        <f>'Constants - Fuel'!$E$17</f>
        <v>Other biofuels</v>
      </c>
      <c r="F32" s="61" t="str">
        <f>'Constants - Fuel'!G138</f>
        <v>Other biofuels</v>
      </c>
      <c r="G32" s="50" cm="1">
        <f t="array" ref="G32">IFERROR(_xlfn.XLOOKUP(1, (Table_Fuel_EFs_Transport[Fuel combusted]=$E32)*(Table_Fuel_EFs_Transport[Transport type]=$D$25), Table_Fuel_EFs_Transport[Energy Content Factor (GJ per unit of fuel)]), 0)</f>
        <v>0</v>
      </c>
      <c r="H32" s="50" cm="1">
        <f t="array" ref="H32">IFERROR(_xlfn.XLOOKUP(1, (Table_Fuel_EFs_Transport[Fuel combusted]=$E32)*(Table_Fuel_EFs_Transport[Transport type]=$D$25), Table_Fuel_EFs_Transport[Scope 1 Emission Factor (kg CO2 - e / GJ) CO2]), 0)</f>
        <v>0</v>
      </c>
      <c r="I32" s="50" cm="1">
        <f t="array" ref="I32">IFERROR(_xlfn.XLOOKUP(1, (Table_Fuel_EFs_Transport[Fuel combusted]=$E32)*(Table_Fuel_EFs_Transport[Transport type]=$D$25), Table_Fuel_EFs_Transport[Scope 1 Emission Factor (kg CO2 - e / GJ) CH4]), 0)</f>
        <v>0</v>
      </c>
      <c r="J32" s="50" cm="1">
        <f t="array" ref="J32">IFERROR(_xlfn.XLOOKUP(1, (Table_Fuel_EFs_Transport[Fuel combusted]=$E32)*(Table_Fuel_EFs_Transport[Transport type]=$D$25), Table_Fuel_EFs_Transport[Scope 1 Emission Factor (kg CO2 - e / GJ) N2O]), 0)</f>
        <v>0</v>
      </c>
      <c r="K32" s="167" cm="1">
        <f t="array" ref="K32">IFERROR(_xlfn.XLOOKUP(1, (Table_Fuel_EFs_Transport[Fuel combusted]=$E32)*(Table_Fuel_EFs_Transport[Transport type]=$D$25), Table_Fuel_EFs_Transport[Scope 3 Emission Factor (kg CO2 - e / GJ)]), 0)</f>
        <v>0</v>
      </c>
      <c r="L32" s="189" cm="1">
        <f t="array" ref="L32">Fuel_InputFunctions.Fuel_TotalConsumption(Table_Input_Fuel[Amount consumed], Table_Input_Fuel[Fuel use (select)], D32, Table_Input_Fuel[Fuel type (select)],F32)</f>
        <v>0</v>
      </c>
      <c r="M32" s="187" t="str" cm="1">
        <f t="array" ref="M32">Common_InputFunctions.Utility_LookupValueInTable(F32,Table_FuelTypes_Units[Fuel type],Table_FuelTypes_Units[Unit])</f>
        <v>kL</v>
      </c>
      <c r="N32" s="190">
        <f>((($L32 * $G32 * $H32) * 10 ^ -3))</f>
        <v>0</v>
      </c>
      <c r="O32" s="190">
        <f>((($L32 * $G32 * $I32) * 10 ^ -3))</f>
        <v>0</v>
      </c>
      <c r="P32" s="190">
        <f>((($L32 * $G32 * $J32) * 10 ^ -3))</f>
        <v>0</v>
      </c>
      <c r="Q32" s="188">
        <f>((L32 * G32 * (IF(ISNUMBER(K32),K32,0))) * 10 ^ -3)</f>
        <v>0</v>
      </c>
    </row>
    <row r="33" spans="1:17" ht="20.100000000000001" customHeight="1" x14ac:dyDescent="0.25">
      <c r="D33" s="63" t="str">
        <f>Table_FuelTypesPerUse[[#Headers],[Off-road Agriculture and forestry equipment]]</f>
        <v>Off-road Agriculture and forestry equipment</v>
      </c>
      <c r="E33" s="64" t="str">
        <f>'Constants - Fuel'!$E$11</f>
        <v>Diesel oil</v>
      </c>
      <c r="F33" s="64" t="str">
        <f>'Constants - Fuel'!H131</f>
        <v>Diesel</v>
      </c>
      <c r="G33" s="191" cm="1">
        <f t="array" ref="G33">IFERROR(_xlfn.XLOOKUP(1, (Table_Fuel_EFs_Transport[Fuel combusted]=$E33)*(Table_Fuel_EFs_Transport[Transport type]=$D$33), Table_Fuel_EFs_Transport[Energy Content Factor (GJ per unit of fuel)]), 0)</f>
        <v>38.6</v>
      </c>
      <c r="H33" s="191" cm="1">
        <f t="array" ref="H33">IFERROR(_xlfn.XLOOKUP(1, (Table_Fuel_EFs_Transport[Fuel combusted]=$E33)*(Table_Fuel_EFs_Transport[Transport type]=$D$33), Table_Fuel_EFs_Transport[Scope 1 Emission Factor (kg CO2 - e / GJ) CO2]), 0)</f>
        <v>69.900000000000006</v>
      </c>
      <c r="I33" s="191" cm="1">
        <f t="array" ref="I33">IFERROR(_xlfn.XLOOKUP(1, (Table_Fuel_EFs_Transport[Fuel combusted]=$E33)*(Table_Fuel_EFs_Transport[Transport type]=$D$33), Table_Fuel_EFs_Transport[Scope 1 Emission Factor (kg CO2 - e / GJ) CH4]), 0)</f>
        <v>0.3</v>
      </c>
      <c r="J33" s="191" cm="1">
        <f t="array" ref="J33">IFERROR(_xlfn.XLOOKUP(1, (Table_Fuel_EFs_Transport[Fuel combusted]=$E33)*(Table_Fuel_EFs_Transport[Transport type]=$D$33), Table_Fuel_EFs_Transport[Scope 1 Emission Factor (kg CO2 - e / GJ) N2O]), 0)</f>
        <v>0.5</v>
      </c>
      <c r="K33" s="192" cm="1">
        <f t="array" ref="K33">IFERROR(_xlfn.XLOOKUP(1, (Table_Fuel_EFs_Transport[Fuel combusted]=$E33)*(Table_Fuel_EFs_Transport[Transport type]=$D$25), Table_Fuel_EFs_Transport[Scope 3 Emission Factor (kg CO2 - e / GJ)]), 0)</f>
        <v>0</v>
      </c>
      <c r="L33" s="193" cm="1">
        <f t="array" ref="L33">Fuel_InputFunctions.Fuel_TotalConsumption(Table_Input_Fuel[Amount consumed], Table_Input_Fuel[Fuel use (select)], D33, Table_Input_Fuel[Fuel type (select)],F33)</f>
        <v>0</v>
      </c>
      <c r="M33" s="194" t="str" cm="1">
        <f t="array" ref="M33">Common_InputFunctions.Utility_LookupValueInTable(F33,Table_FuelTypes_Units[Fuel type],Table_FuelTypes_Units[Unit])</f>
        <v>kL</v>
      </c>
      <c r="N33" s="195">
        <f>((($L33 * $G33 * $H33) * 10 ^ -3))</f>
        <v>0</v>
      </c>
      <c r="O33" s="195">
        <f>((($L33 * $G33 * $I33) * 10 ^ -3))</f>
        <v>0</v>
      </c>
      <c r="P33" s="195">
        <f>((($L33 * $G33 * $J33) * 10 ^ -3))</f>
        <v>0</v>
      </c>
      <c r="Q33" s="196">
        <f>((L33 * G33 * K33) * 10 ^ -3)</f>
        <v>0</v>
      </c>
    </row>
    <row r="34" spans="1:17" ht="20.100000000000001" customHeight="1" x14ac:dyDescent="0.25">
      <c r="D34" s="63" t="str">
        <f>Table_FuelTypesPerUse[[#Headers],[Aviation]]</f>
        <v>Aviation</v>
      </c>
      <c r="E34" s="64" t="str">
        <f>'Constants - Fuel'!$E$28</f>
        <v>Gasoline for use as fuel in an aircraft</v>
      </c>
      <c r="F34" s="64" t="str">
        <f>'Constants - Fuel'!$F$131</f>
        <v>Avgas</v>
      </c>
      <c r="G34" s="197" cm="1">
        <f t="array" ref="G34">IFERROR(_xlfn.XLOOKUP(1, (Table_Fuel_EFs_Transport[Fuel combusted]=$E34)*(Table_Fuel_EFs_Transport[Transport type]=$D$34), Table_Fuel_EFs_Transport[Energy Content Factor (GJ per unit of fuel)]), 0)</f>
        <v>33.1</v>
      </c>
      <c r="H34" s="197" cm="1">
        <f t="array" ref="H34">IFERROR(_xlfn.XLOOKUP(1, (Table_Fuel_EFs_Transport[Fuel combusted]=$E34)*(Table_Fuel_EFs_Transport[Transport type]=$D$34), Table_Fuel_EFs_Transport[Scope 1 Emission Factor (kg CO2 - e / GJ) CO2]), 0)</f>
        <v>67</v>
      </c>
      <c r="I34" s="197" cm="1">
        <f t="array" ref="I34">IFERROR(_xlfn.XLOOKUP(1, (Table_Fuel_EFs_Transport[Fuel combusted]=$E34)*(Table_Fuel_EFs_Transport[Transport type]=$D$34), Table_Fuel_EFs_Transport[Scope 1 Emission Factor (kg CO2 - e / GJ) CH4]), 0)</f>
        <v>0.06</v>
      </c>
      <c r="J34" s="197" cm="1">
        <f t="array" ref="J34">IFERROR(_xlfn.XLOOKUP(1, (Table_Fuel_EFs_Transport[Fuel combusted]=$E34)*(Table_Fuel_EFs_Transport[Transport type]=$D$34), Table_Fuel_EFs_Transport[Scope 1 Emission Factor (kg CO2 - e / GJ) N2O]), 0)</f>
        <v>0.6</v>
      </c>
      <c r="K34" s="197" cm="1">
        <f t="array" ref="K34">IFERROR(_xlfn.XLOOKUP(1, (Table_Fuel_EFs_Transport[Fuel combusted]=$E34)*(Table_Fuel_EFs_Transport[Transport type]=$D$25), Table_Fuel_EFs_Transport[Scope 3 Emission Factor (kg CO2 - e / GJ)]), 0)</f>
        <v>0</v>
      </c>
      <c r="L34" s="194" cm="1">
        <f t="array" ref="L34">Fuel_InputFunctions.Fuel_TotalConsumption(Table_Input_Fuel[Amount consumed], Table_Input_Fuel[Fuel use (select)], D34, Table_Input_Fuel[Fuel type (select)],F34)</f>
        <v>0.1</v>
      </c>
      <c r="M34" s="194" t="str" cm="1">
        <f t="array" ref="M34">Common_InputFunctions.Utility_LookupValueInTable(F34,Table_FuelTypes_Units[Fuel type],Table_FuelTypes_Units[Unit])</f>
        <v>kL</v>
      </c>
      <c r="N34" s="195">
        <f>((($L34 * $G34 * $H34) * 10 ^ -3))</f>
        <v>0.22177000000000005</v>
      </c>
      <c r="O34" s="195">
        <f>((($L34 * $G34 * $I34) * 10 ^ -3))</f>
        <v>1.9860000000000003E-4</v>
      </c>
      <c r="P34" s="195">
        <f>((($L34 * $G34 * $J34) * 10 ^ -3))</f>
        <v>1.9860000000000004E-3</v>
      </c>
      <c r="Q34" s="195">
        <f>((L34 * G34 * K34) * 10 ^ -3)</f>
        <v>0</v>
      </c>
    </row>
    <row r="35" spans="1:17" ht="20.100000000000001" customHeight="1" x14ac:dyDescent="0.25">
      <c r="D35" s="62" t="str">
        <f>$D$34</f>
        <v>Aviation</v>
      </c>
      <c r="E35" s="61" t="str">
        <f>'Constants - Fuel'!$E$29</f>
        <v>Kerosene for use as fuel in an aircraft</v>
      </c>
      <c r="F35" s="61" t="str">
        <f>'Constants - Fuel'!$F$132</f>
        <v>Jet A1, Jet B</v>
      </c>
      <c r="G35" s="50" cm="1">
        <f t="array" ref="G35">IFERROR(_xlfn.XLOOKUP(1, (Table_Fuel_EFs_Transport[Fuel combusted]=$E35)*(Table_Fuel_EFs_Transport[Transport type]=$D$34), Table_Fuel_EFs_Transport[Energy Content Factor (GJ per unit of fuel)]), 0)</f>
        <v>36.799999999999997</v>
      </c>
      <c r="H35" s="50" cm="1">
        <f t="array" ref="H35">IFERROR(_xlfn.XLOOKUP(1, (Table_Fuel_EFs_Transport[Fuel combusted]=$E35)*(Table_Fuel_EFs_Transport[Transport type]=$D$34), Table_Fuel_EFs_Transport[Scope 1 Emission Factor (kg CO2 - e / GJ) CO2]), 0)</f>
        <v>69.599999999999994</v>
      </c>
      <c r="I35" s="50" cm="1">
        <f t="array" ref="I35">IFERROR(_xlfn.XLOOKUP(1, (Table_Fuel_EFs_Transport[Fuel combusted]=$E35)*(Table_Fuel_EFs_Transport[Transport type]=$D$34), Table_Fuel_EFs_Transport[Scope 1 Emission Factor (kg CO2 - e / GJ) CH4]), 0)</f>
        <v>0.01</v>
      </c>
      <c r="J35" s="50" cm="1">
        <f t="array" ref="J35">IFERROR(_xlfn.XLOOKUP(1, (Table_Fuel_EFs_Transport[Fuel combusted]=$E35)*(Table_Fuel_EFs_Transport[Transport type]=$D$34), Table_Fuel_EFs_Transport[Scope 1 Emission Factor (kg CO2 - e / GJ) N2O]), 0)</f>
        <v>0.6</v>
      </c>
      <c r="K35" s="50" cm="1">
        <f t="array" ref="K35">IFERROR(_xlfn.XLOOKUP(1, (Table_Fuel_EFs_Transport[Fuel combusted]=$E35)*(Table_Fuel_EFs_Transport[Transport type]=$D$25), Table_Fuel_EFs_Transport[Scope 3 Emission Factor (kg CO2 - e / GJ)]), 0)</f>
        <v>0</v>
      </c>
      <c r="L35" s="187" cm="1">
        <f t="array" ref="L35">Fuel_InputFunctions.Fuel_TotalConsumption(Table_Input_Fuel[Amount consumed], Table_Input_Fuel[Fuel use (select)], D35, Table_Input_Fuel[Fuel type (select)],F35)</f>
        <v>0</v>
      </c>
      <c r="M35" s="187" t="str" cm="1">
        <f t="array" ref="M35">Common_InputFunctions.Utility_LookupValueInTable(F35,Table_FuelTypes_Units[Fuel type],Table_FuelTypes_Units[Unit])</f>
        <v>kL</v>
      </c>
      <c r="N35" s="188">
        <f>((($L35 * $G35 * $H35) * 10 ^ -3))</f>
        <v>0</v>
      </c>
      <c r="O35" s="188">
        <f>((($L35 * $G35 * $I35) * 10 ^ -3))</f>
        <v>0</v>
      </c>
      <c r="P35" s="188">
        <f>((($L35 * $G35 * $J35) * 10 ^ -3))</f>
        <v>0</v>
      </c>
      <c r="Q35" s="188">
        <f>((L35 * G35 * K35) * 10 ^ -3)</f>
        <v>0</v>
      </c>
    </row>
    <row r="36" spans="1:17" ht="20.100000000000001" customHeight="1" x14ac:dyDescent="0.25">
      <c r="D36" s="62" t="str">
        <f>$D$34</f>
        <v>Aviation</v>
      </c>
      <c r="E36" s="61" t="str">
        <f>'Constants - Fuel'!$E$30</f>
        <v>Renewable aviation kerosene</v>
      </c>
      <c r="F36" s="61" t="str">
        <f>'Constants - Fuel'!$F$133</f>
        <v>Renewable aviation kerosene</v>
      </c>
      <c r="G36" s="167" cm="1">
        <f t="array" ref="G36">IFERROR(_xlfn.XLOOKUP(1, (Table_Fuel_EFs_Transport[Fuel combusted]=$E36)*(Table_Fuel_EFs_Transport[Transport type]=$D$34), Table_Fuel_EFs_Transport[Energy Content Factor (GJ per unit of fuel)]), 0)</f>
        <v>36.799999999999997</v>
      </c>
      <c r="H36" s="167" cm="1">
        <f t="array" ref="H36">IFERROR(_xlfn.XLOOKUP(1, (Table_Fuel_EFs_Transport[Fuel combusted]=$E36)*(Table_Fuel_EFs_Transport[Transport type]=$D$34), Table_Fuel_EFs_Transport[Scope 1 Emission Factor (kg CO2 - e / GJ) CO2]), 0)</f>
        <v>0</v>
      </c>
      <c r="I36" s="167" cm="1">
        <f t="array" ref="I36">IFERROR(_xlfn.XLOOKUP(1, (Table_Fuel_EFs_Transport[Fuel combusted]=$E36)*(Table_Fuel_EFs_Transport[Transport type]=$D$34), Table_Fuel_EFs_Transport[Scope 1 Emission Factor (kg CO2 - e / GJ) CH4]), 0)</f>
        <v>0.01</v>
      </c>
      <c r="J36" s="167" cm="1">
        <f t="array" ref="J36">IFERROR(_xlfn.XLOOKUP(1, (Table_Fuel_EFs_Transport[Fuel combusted]=$E36)*(Table_Fuel_EFs_Transport[Transport type]=$D$34), Table_Fuel_EFs_Transport[Scope 1 Emission Factor (kg CO2 - e / GJ) N2O]), 0)</f>
        <v>0.6</v>
      </c>
      <c r="K36" s="167" cm="1">
        <f t="array" ref="K36">IFERROR(_xlfn.XLOOKUP(1, (Table_Fuel_EFs_Transport[Fuel combusted]=$E36)*(Table_Fuel_EFs_Transport[Transport type]=$D$25), Table_Fuel_EFs_Transport[Scope 3 Emission Factor (kg CO2 - e / GJ)]), 0)</f>
        <v>0</v>
      </c>
      <c r="L36" s="189" cm="1">
        <f t="array" ref="L36">Fuel_InputFunctions.Fuel_TotalConsumption(Table_Input_Fuel[Amount consumed], Table_Input_Fuel[Fuel use (select)], D36, Table_Input_Fuel[Fuel type (select)],F36)</f>
        <v>0</v>
      </c>
      <c r="M36" s="187" t="str" cm="1">
        <f t="array" ref="M36">Common_InputFunctions.Utility_LookupValueInTable(F36,Table_FuelTypes_Units[Fuel type],Table_FuelTypes_Units[Unit])</f>
        <v>kL</v>
      </c>
      <c r="N36" s="188">
        <f>((($L36 * $G36 * $H36) * 10 ^ -3))</f>
        <v>0</v>
      </c>
      <c r="O36" s="188">
        <f>((($L36 * $G36 * $I36) * 10 ^ -3))</f>
        <v>0</v>
      </c>
      <c r="P36" s="188">
        <f>((($L36 * $G36 * $J36) * 10 ^ -3))</f>
        <v>0</v>
      </c>
      <c r="Q36" s="190">
        <f>((L36 * G36 * K36) * 10 ^ -3)</f>
        <v>0</v>
      </c>
    </row>
    <row r="37" spans="1:17" ht="20.100000000000001" customHeight="1" x14ac:dyDescent="0.25">
      <c r="A37" s="56" t="str">
        <f>HYPERLINK("#A1", "▲ Back to top")</f>
        <v>▲ Back to top</v>
      </c>
      <c r="D37" s="63" t="str">
        <f>Table_FuelTypesPerUse[[#Headers],[Vessels]]</f>
        <v>Vessels</v>
      </c>
      <c r="E37" s="64" t="str">
        <f>'Constants - Fuel'!$E$10</f>
        <v>Gasoline</v>
      </c>
      <c r="F37" s="64" t="str">
        <f>'Constants - Fuel'!$I$131</f>
        <v>Petrol</v>
      </c>
      <c r="G37" s="197" cm="1">
        <f t="array" ref="G37">IFERROR(_xlfn.XLOOKUP(1, (Table_Fuel_EFs_Transport[Fuel combusted]=$E37)*(Table_Fuel_EFs_Transport[Transport type]=$D$37), Table_Fuel_EFs_Transport[Energy Content Factor (GJ per unit of fuel)]), 0)</f>
        <v>34.200000000000003</v>
      </c>
      <c r="H37" s="197" cm="1">
        <f t="array" ref="H37">IFERROR(_xlfn.XLOOKUP(1, (Table_Fuel_EFs_Transport[Fuel combusted]=$E37)*(Table_Fuel_EFs_Transport[Transport type]=$D$37), Table_Fuel_EFs_Transport[Scope 1 Emission Factor (kg CO2 - e / GJ) CO2]), 0)</f>
        <v>67.400000000000006</v>
      </c>
      <c r="I37" s="197" cm="1">
        <f t="array" ref="I37">IFERROR(_xlfn.XLOOKUP(1, (Table_Fuel_EFs_Transport[Fuel combusted]=$E37)*(Table_Fuel_EFs_Transport[Transport type]=$D$37), Table_Fuel_EFs_Transport[Scope 1 Emission Factor (kg CO2 - e / GJ) CH4]), 0)</f>
        <v>10.1</v>
      </c>
      <c r="J37" s="197" cm="1">
        <f t="array" ref="J37">IFERROR(_xlfn.XLOOKUP(1, (Table_Fuel_EFs_Transport[Fuel combusted]=$E37)*(Table_Fuel_EFs_Transport[Transport type]=$D$37), Table_Fuel_EFs_Transport[Scope 1 Emission Factor (kg CO2 - e / GJ) N2O]), 0)</f>
        <v>0.3</v>
      </c>
      <c r="K37" s="197" cm="1">
        <f t="array" ref="K37">IFERROR(_xlfn.XLOOKUP(1, (Table_Fuel_EFs_Transport[Fuel combusted]=$E37)*(Table_Fuel_EFs_Transport[Transport type]=$D$25), Table_Fuel_EFs_Transport[Scope 3 Emission Factor (kg CO2 - e / GJ)]), 0)</f>
        <v>0</v>
      </c>
      <c r="L37" s="194" cm="1">
        <f t="array" ref="L37">Fuel_InputFunctions.Fuel_TotalConsumption(Table_Input_Fuel[Amount consumed], Table_Input_Fuel[Fuel use (select)], D37, Table_Input_Fuel[Fuel type (select)],F37)</f>
        <v>0</v>
      </c>
      <c r="M37" s="198" t="str" cm="1">
        <f t="array" ref="M37">Common_InputFunctions.Utility_LookupValueInTable(F37,Table_FuelTypes_Units[Fuel type],Table_FuelTypes_Units[Unit])</f>
        <v>kL</v>
      </c>
      <c r="N37" s="195">
        <f>((($L37 * $G37 * $H37) * 10 ^ -3))</f>
        <v>0</v>
      </c>
      <c r="O37" s="195">
        <f>((($L37 * $G37 * $I37) * 10 ^ -3))</f>
        <v>0</v>
      </c>
      <c r="P37" s="195">
        <f>((($L37 * $G37 * $J37) * 10 ^ -3))</f>
        <v>0</v>
      </c>
      <c r="Q37" s="195">
        <f>((L37 * G37 * K37) * 10 ^ -3)</f>
        <v>0</v>
      </c>
    </row>
    <row r="38" spans="1:17" ht="20.100000000000001" customHeight="1" x14ac:dyDescent="0.25">
      <c r="D38" s="62" t="str">
        <f>$D$37</f>
        <v>Vessels</v>
      </c>
      <c r="E38" s="61" t="str">
        <f>'Constants - Fuel'!$E$11</f>
        <v>Diesel oil</v>
      </c>
      <c r="F38" s="61" t="str">
        <f>'Constants - Fuel'!$I$132</f>
        <v>Diesel</v>
      </c>
      <c r="G38" s="50" cm="1">
        <f t="array" ref="G38">IFERROR(_xlfn.XLOOKUP(1, (Table_Fuel_EFs_Transport[Fuel combusted]=$E38)*(Table_Fuel_EFs_Transport[Transport type]=$D$37), Table_Fuel_EFs_Transport[Energy Content Factor (GJ per unit of fuel)]), 0)</f>
        <v>38.6</v>
      </c>
      <c r="H38" s="50" cm="1">
        <f t="array" ref="H38">IFERROR(_xlfn.XLOOKUP(1, (Table_Fuel_EFs_Transport[Fuel combusted]=$E38)*(Table_Fuel_EFs_Transport[Transport type]=$D$37), Table_Fuel_EFs_Transport[Scope 1 Emission Factor (kg CO2 - e / GJ) CO2]), 0)</f>
        <v>69.900000000000006</v>
      </c>
      <c r="I38" s="50" cm="1">
        <f t="array" ref="I38">IFERROR(_xlfn.XLOOKUP(1, (Table_Fuel_EFs_Transport[Fuel combusted]=$E38)*(Table_Fuel_EFs_Transport[Transport type]=$D$37), Table_Fuel_EFs_Transport[Scope 1 Emission Factor (kg CO2 - e / GJ) CH4]), 0)</f>
        <v>0.2</v>
      </c>
      <c r="J38" s="50" cm="1">
        <f t="array" ref="J38">IFERROR(_xlfn.XLOOKUP(1, (Table_Fuel_EFs_Transport[Fuel combusted]=$E38)*(Table_Fuel_EFs_Transport[Transport type]=$D$37), Table_Fuel_EFs_Transport[Scope 1 Emission Factor (kg CO2 - e / GJ) N2O]), 0)</f>
        <v>0.5</v>
      </c>
      <c r="K38" s="50" cm="1">
        <f t="array" ref="K38">IFERROR(_xlfn.XLOOKUP(1, (Table_Fuel_EFs_Transport[Fuel combusted]=$E38)*(Table_Fuel_EFs_Transport[Transport type]=$D$25), Table_Fuel_EFs_Transport[Scope 3 Emission Factor (kg CO2 - e / GJ)]), 0)</f>
        <v>0</v>
      </c>
      <c r="L38" s="187" cm="1">
        <f t="array" ref="L38">Fuel_InputFunctions.Fuel_TotalConsumption(Table_Input_Fuel[Amount consumed], Table_Input_Fuel[Fuel use (select)], D38, Table_Input_Fuel[Fuel type (select)],F38)</f>
        <v>0.1</v>
      </c>
      <c r="M38" s="187" t="str" cm="1">
        <f t="array" ref="M38">Common_InputFunctions.Utility_LookupValueInTable(F38,Table_FuelTypes_Units[Fuel type],Table_FuelTypes_Units[Unit])</f>
        <v>kL</v>
      </c>
      <c r="N38" s="188">
        <f>((($L38 * $G38 * $H38) * 10 ^ -3))</f>
        <v>0.26981400000000005</v>
      </c>
      <c r="O38" s="188">
        <f>((($L38 * $G38 * $I38) * 10 ^ -3))</f>
        <v>7.7200000000000012E-4</v>
      </c>
      <c r="P38" s="188">
        <f>((($L38 * $G38 * $J38) * 10 ^ -3))</f>
        <v>1.9300000000000003E-3</v>
      </c>
      <c r="Q38" s="188">
        <f>((L38 * G38 * K38) * 10 ^ -3)</f>
        <v>0</v>
      </c>
    </row>
    <row r="39" spans="1:17" ht="20.100000000000001" customHeight="1" x14ac:dyDescent="0.25">
      <c r="D39" s="62" t="str">
        <f>$D$37</f>
        <v>Vessels</v>
      </c>
      <c r="E39" s="61" t="str">
        <f>'Constants - Fuel'!E33</f>
        <v>Fuel Oil</v>
      </c>
      <c r="F39" s="61" t="str">
        <f>'Constants - Fuel'!$I$133</f>
        <v>Fuel oil</v>
      </c>
      <c r="G39" s="50" cm="1">
        <f t="array" ref="G39">IFERROR(_xlfn.XLOOKUP(1, (Table_Fuel_EFs_Transport[Fuel combusted]=$E39)*(Table_Fuel_EFs_Transport[Transport type]=$D$37), Table_Fuel_EFs_Transport[Energy Content Factor (GJ per unit of fuel)]), 0)</f>
        <v>39.700000000000003</v>
      </c>
      <c r="H39" s="50" cm="1">
        <f t="array" ref="H39">IFERROR(_xlfn.XLOOKUP(1, (Table_Fuel_EFs_Transport[Fuel combusted]=$E39)*(Table_Fuel_EFs_Transport[Transport type]=$D$37), Table_Fuel_EFs_Transport[Scope 1 Emission Factor (kg CO2 - e / GJ) CO2]), 0)</f>
        <v>73.599999999999994</v>
      </c>
      <c r="I39" s="50" cm="1">
        <f t="array" ref="I39">IFERROR(_xlfn.XLOOKUP(1, (Table_Fuel_EFs_Transport[Fuel combusted]=$E39)*(Table_Fuel_EFs_Transport[Transport type]=$D$37), Table_Fuel_EFs_Transport[Scope 1 Emission Factor (kg CO2 - e / GJ) CH4]), 0)</f>
        <v>0.2</v>
      </c>
      <c r="J39" s="50" cm="1">
        <f t="array" ref="J39">IFERROR(_xlfn.XLOOKUP(1, (Table_Fuel_EFs_Transport[Fuel combusted]=$E39)*(Table_Fuel_EFs_Transport[Transport type]=$D$37), Table_Fuel_EFs_Transport[Scope 1 Emission Factor (kg CO2 - e / GJ) N2O]), 0)</f>
        <v>0.5</v>
      </c>
      <c r="K39" s="50" cm="1">
        <f t="array" ref="K39">IFERROR(_xlfn.XLOOKUP(1, (Table_Fuel_EFs_Transport[Fuel combusted]=$E39)*(Table_Fuel_EFs_Transport[Transport type]=$D$25), Table_Fuel_EFs_Transport[Scope 3 Emission Factor (kg CO2 - e / GJ)]), 0)</f>
        <v>0</v>
      </c>
      <c r="L39" s="187" cm="1">
        <f t="array" ref="L39">Fuel_InputFunctions.Fuel_TotalConsumption(Table_Input_Fuel[Amount consumed], Table_Input_Fuel[Fuel use (select)], D39, Table_Input_Fuel[Fuel type (select)],F39)</f>
        <v>0</v>
      </c>
      <c r="M39" s="187" t="str" cm="1">
        <f t="array" ref="M39">Common_InputFunctions.Utility_LookupValueInTable(F39,Table_FuelTypes_Units[Fuel type],Table_FuelTypes_Units[Unit])</f>
        <v>kL</v>
      </c>
      <c r="N39" s="188">
        <f>((($L39 * $G39 * $H39) * 10 ^ -3))</f>
        <v>0</v>
      </c>
      <c r="O39" s="188">
        <f>((($L39 * $G39 * $I39) * 10 ^ -3))</f>
        <v>0</v>
      </c>
      <c r="P39" s="188">
        <f>((($L39 * $G39 * $J39) * 10 ^ -3))</f>
        <v>0</v>
      </c>
      <c r="Q39" s="188">
        <f>((L39 * G39 * K39) * 10 ^ -3)</f>
        <v>0</v>
      </c>
    </row>
    <row r="40" spans="1:17" ht="20.100000000000001" customHeight="1" x14ac:dyDescent="0.25">
      <c r="H40" s="17"/>
      <c r="I40" s="17"/>
      <c r="J40" s="17"/>
      <c r="L40" s="17"/>
      <c r="M40" s="17"/>
      <c r="N40" s="17"/>
      <c r="O40" s="17"/>
      <c r="P40" s="17"/>
      <c r="Q40" s="17"/>
    </row>
    <row r="41" spans="1:17" ht="20.100000000000001" customHeight="1" x14ac:dyDescent="0.25">
      <c r="H41" s="17"/>
      <c r="I41" s="17"/>
      <c r="J41" s="17"/>
      <c r="L41" s="17"/>
      <c r="M41" s="17"/>
      <c r="N41" s="17"/>
      <c r="O41" s="17"/>
      <c r="P41" s="17"/>
      <c r="Q41" s="17"/>
    </row>
    <row r="42" spans="1:17" ht="20.100000000000001" customHeight="1" x14ac:dyDescent="0.25">
      <c r="D42" s="199" t="str">
        <f>"Total scope 1 - " &amp; D25</f>
        <v>Total scope 1 - from the use of a limited number of NGER data inputs. It is suggested that for Tasmania the use of the Victorian emission factors is appropriate,</v>
      </c>
      <c r="E42" s="200"/>
      <c r="F42" s="201"/>
    </row>
    <row r="43" spans="1:17" ht="20.100000000000001" customHeight="1" x14ac:dyDescent="0.25">
      <c r="D43" s="7" t="s">
        <v>736</v>
      </c>
      <c r="E43" s="202">
        <f>SUM(N25:N32)</f>
        <v>0</v>
      </c>
      <c r="F43" s="68" t="str">
        <f>$E$12</f>
        <v>t CO2-e</v>
      </c>
    </row>
    <row r="44" spans="1:17" ht="20.100000000000001" customHeight="1" x14ac:dyDescent="0.25">
      <c r="D44" s="7" t="s">
        <v>737</v>
      </c>
      <c r="E44" s="202">
        <f>SUM(O25:O32)</f>
        <v>0</v>
      </c>
      <c r="F44" s="68" t="str">
        <f t="shared" ref="F44:F46" si="1">$E$12</f>
        <v>t CO2-e</v>
      </c>
    </row>
    <row r="45" spans="1:17" ht="20.100000000000001" customHeight="1" x14ac:dyDescent="0.25">
      <c r="D45" s="7" t="s">
        <v>738</v>
      </c>
      <c r="E45" s="202">
        <f>SUM(P25:P32)</f>
        <v>0</v>
      </c>
      <c r="F45" s="68" t="str">
        <f t="shared" si="1"/>
        <v>t CO2-e</v>
      </c>
    </row>
    <row r="46" spans="1:17" ht="20.100000000000001" customHeight="1" x14ac:dyDescent="0.25">
      <c r="D46" s="7" t="s">
        <v>739</v>
      </c>
      <c r="E46" s="202">
        <f>SUM(Q25:Q32)</f>
        <v>0</v>
      </c>
      <c r="F46" s="68" t="str">
        <f t="shared" si="1"/>
        <v>t CO2-e</v>
      </c>
    </row>
    <row r="47" spans="1:17" ht="20.100000000000001" customHeight="1" x14ac:dyDescent="0.25">
      <c r="D47" s="17"/>
      <c r="E47" s="17"/>
      <c r="F47" s="17"/>
    </row>
    <row r="48" spans="1:17" ht="20.100000000000001" customHeight="1" x14ac:dyDescent="0.25">
      <c r="D48" s="199" t="str">
        <f>"Total scope 1 - " &amp; D33</f>
        <v>Total scope 1 - Off-road Agriculture and forestry equipment</v>
      </c>
      <c r="E48" s="203"/>
      <c r="F48" s="201"/>
      <c r="H48" s="17"/>
      <c r="I48" s="17"/>
      <c r="J48" s="17"/>
      <c r="L48" s="17"/>
      <c r="M48" s="17"/>
      <c r="N48" s="17"/>
      <c r="O48" s="17"/>
      <c r="P48" s="17"/>
      <c r="Q48" s="17"/>
    </row>
    <row r="49" spans="4:17" ht="20.100000000000001" customHeight="1" x14ac:dyDescent="0.25">
      <c r="D49" s="7" t="s">
        <v>736</v>
      </c>
      <c r="E49" s="202">
        <f>SUM(N33:N33)</f>
        <v>0</v>
      </c>
      <c r="F49" s="68" t="str">
        <f t="shared" ref="F49:F52" si="2">$E$12</f>
        <v>t CO2-e</v>
      </c>
      <c r="H49" s="17"/>
      <c r="I49" s="17"/>
      <c r="J49" s="17"/>
      <c r="L49" s="17"/>
      <c r="M49" s="17"/>
      <c r="N49" s="17"/>
      <c r="O49" s="17"/>
      <c r="P49" s="17"/>
      <c r="Q49" s="17"/>
    </row>
    <row r="50" spans="4:17" ht="20.100000000000001" customHeight="1" x14ac:dyDescent="0.25">
      <c r="D50" s="7" t="s">
        <v>737</v>
      </c>
      <c r="E50" s="202">
        <f>SUM(O33:O33)</f>
        <v>0</v>
      </c>
      <c r="F50" s="68" t="str">
        <f t="shared" si="2"/>
        <v>t CO2-e</v>
      </c>
      <c r="H50" s="17"/>
      <c r="I50" s="17"/>
      <c r="J50" s="17"/>
      <c r="L50" s="17"/>
      <c r="M50" s="17"/>
      <c r="N50" s="17"/>
      <c r="O50" s="17"/>
      <c r="P50" s="17"/>
      <c r="Q50" s="17"/>
    </row>
    <row r="51" spans="4:17" ht="20.100000000000001" customHeight="1" x14ac:dyDescent="0.25">
      <c r="D51" s="7" t="s">
        <v>738</v>
      </c>
      <c r="E51" s="202">
        <f>SUM(P33:P33)</f>
        <v>0</v>
      </c>
      <c r="F51" s="68" t="str">
        <f t="shared" si="2"/>
        <v>t CO2-e</v>
      </c>
      <c r="H51" s="17"/>
      <c r="I51" s="17"/>
      <c r="J51" s="17"/>
      <c r="L51" s="17"/>
      <c r="M51" s="17"/>
      <c r="N51" s="17"/>
      <c r="O51" s="17"/>
      <c r="P51" s="17"/>
      <c r="Q51" s="17"/>
    </row>
    <row r="52" spans="4:17" ht="20.100000000000001" customHeight="1" x14ac:dyDescent="0.25">
      <c r="D52" s="7" t="s">
        <v>739</v>
      </c>
      <c r="E52" s="202">
        <f>SUM(Q33)</f>
        <v>0</v>
      </c>
      <c r="F52" s="68" t="str">
        <f t="shared" si="2"/>
        <v>t CO2-e</v>
      </c>
      <c r="H52" s="17"/>
      <c r="I52" s="17"/>
      <c r="J52" s="17"/>
      <c r="L52" s="17"/>
      <c r="M52" s="17"/>
      <c r="N52" s="17"/>
      <c r="O52" s="17"/>
      <c r="P52" s="17"/>
      <c r="Q52" s="17"/>
    </row>
    <row r="53" spans="4:17" ht="20.100000000000001" customHeight="1" x14ac:dyDescent="0.25">
      <c r="D53" s="17"/>
      <c r="E53" s="204"/>
      <c r="F53" s="17"/>
      <c r="G53" s="17"/>
      <c r="H53" s="17"/>
      <c r="I53" s="17"/>
      <c r="J53" s="17"/>
      <c r="L53" s="17"/>
      <c r="M53" s="17"/>
      <c r="N53" s="17"/>
      <c r="O53" s="17"/>
      <c r="P53" s="17"/>
      <c r="Q53" s="17"/>
    </row>
    <row r="54" spans="4:17" ht="20.100000000000001" customHeight="1" x14ac:dyDescent="0.25">
      <c r="D54" s="199" t="str">
        <f>"Total scope 1 - " &amp; D34</f>
        <v>Total scope 1 - Aviation</v>
      </c>
      <c r="E54" s="203"/>
      <c r="F54" s="201"/>
      <c r="G54" s="17"/>
      <c r="H54" s="17"/>
      <c r="I54" s="17"/>
      <c r="J54" s="17"/>
      <c r="L54" s="17"/>
      <c r="M54" s="17"/>
      <c r="N54" s="17"/>
      <c r="O54" s="17"/>
      <c r="P54" s="17"/>
      <c r="Q54" s="17"/>
    </row>
    <row r="55" spans="4:17" ht="20.100000000000001" customHeight="1" x14ac:dyDescent="0.25">
      <c r="D55" s="7" t="s">
        <v>736</v>
      </c>
      <c r="E55" s="202">
        <f>SUM(N34:N36)</f>
        <v>0.22177000000000005</v>
      </c>
      <c r="F55" s="68" t="str">
        <f t="shared" ref="F55:F58" si="3">$E$12</f>
        <v>t CO2-e</v>
      </c>
      <c r="G55" s="17"/>
      <c r="H55" s="17"/>
      <c r="I55" s="17"/>
      <c r="J55" s="17"/>
      <c r="L55" s="17"/>
      <c r="M55" s="17"/>
      <c r="N55" s="17"/>
      <c r="O55" s="17"/>
      <c r="P55" s="17"/>
      <c r="Q55" s="17"/>
    </row>
    <row r="56" spans="4:17" ht="20.100000000000001" customHeight="1" x14ac:dyDescent="0.25">
      <c r="D56" s="7" t="s">
        <v>737</v>
      </c>
      <c r="E56" s="202">
        <f>SUM(O34:O36)</f>
        <v>1.9860000000000003E-4</v>
      </c>
      <c r="F56" s="68" t="str">
        <f t="shared" si="3"/>
        <v>t CO2-e</v>
      </c>
      <c r="G56" s="17"/>
      <c r="H56" s="17"/>
      <c r="I56" s="17"/>
      <c r="J56" s="17"/>
      <c r="L56" s="17"/>
      <c r="M56" s="17"/>
      <c r="N56" s="17"/>
      <c r="O56" s="17"/>
      <c r="P56" s="17"/>
      <c r="Q56" s="17"/>
    </row>
    <row r="57" spans="4:17" ht="20.100000000000001" customHeight="1" x14ac:dyDescent="0.25">
      <c r="D57" s="7" t="s">
        <v>738</v>
      </c>
      <c r="E57" s="202">
        <f>SUM(P34:P36)</f>
        <v>1.9860000000000004E-3</v>
      </c>
      <c r="F57" s="68" t="str">
        <f t="shared" si="3"/>
        <v>t CO2-e</v>
      </c>
      <c r="G57" s="17"/>
      <c r="H57" s="17"/>
      <c r="I57" s="17"/>
      <c r="J57" s="17"/>
      <c r="L57" s="17"/>
      <c r="M57" s="17"/>
      <c r="N57" s="17"/>
      <c r="O57" s="17"/>
      <c r="P57" s="17"/>
      <c r="Q57" s="17"/>
    </row>
    <row r="58" spans="4:17" ht="20.100000000000001" customHeight="1" x14ac:dyDescent="0.25">
      <c r="D58" s="7" t="s">
        <v>739</v>
      </c>
      <c r="E58" s="202">
        <f>SUM(Q34:Q36)</f>
        <v>0</v>
      </c>
      <c r="F58" s="68" t="str">
        <f t="shared" si="3"/>
        <v>t CO2-e</v>
      </c>
      <c r="G58" s="17"/>
      <c r="H58" s="17"/>
      <c r="I58" s="17"/>
      <c r="J58" s="17"/>
      <c r="L58" s="17"/>
      <c r="M58" s="17"/>
      <c r="N58" s="17"/>
      <c r="O58" s="17"/>
      <c r="P58" s="17"/>
      <c r="Q58" s="17"/>
    </row>
    <row r="59" spans="4:17" ht="20.100000000000001" customHeight="1" x14ac:dyDescent="0.25">
      <c r="D59" s="17"/>
      <c r="E59" s="204"/>
      <c r="F59" s="17"/>
      <c r="G59" s="17"/>
      <c r="H59" s="17"/>
      <c r="I59" s="17"/>
      <c r="J59" s="17"/>
      <c r="L59" s="17"/>
      <c r="M59" s="17"/>
      <c r="N59" s="17"/>
      <c r="O59" s="17"/>
      <c r="P59" s="17"/>
      <c r="Q59" s="17"/>
    </row>
    <row r="60" spans="4:17" ht="20.100000000000001" customHeight="1" x14ac:dyDescent="0.25">
      <c r="D60" s="199" t="str">
        <f>"Total scope 1 - " &amp; D37</f>
        <v>Total scope 1 - Vessels</v>
      </c>
      <c r="E60" s="203"/>
      <c r="F60" s="201"/>
      <c r="G60" s="17"/>
      <c r="H60" s="17"/>
      <c r="I60" s="17"/>
      <c r="J60" s="17"/>
      <c r="L60" s="17"/>
      <c r="M60" s="17"/>
      <c r="N60" s="17"/>
      <c r="O60" s="17"/>
      <c r="P60" s="17"/>
      <c r="Q60" s="17"/>
    </row>
    <row r="61" spans="4:17" ht="20.100000000000001" customHeight="1" x14ac:dyDescent="0.25">
      <c r="D61" s="7" t="s">
        <v>736</v>
      </c>
      <c r="E61" s="202">
        <f>SUM(N37:N39)</f>
        <v>0.26981400000000005</v>
      </c>
      <c r="F61" s="68" t="str">
        <f t="shared" ref="F61:F64" si="4">$E$12</f>
        <v>t CO2-e</v>
      </c>
      <c r="G61" s="17"/>
      <c r="H61" s="17"/>
      <c r="I61" s="17"/>
      <c r="J61" s="17"/>
      <c r="L61" s="17"/>
      <c r="M61" s="17"/>
      <c r="N61" s="17"/>
      <c r="O61" s="17"/>
      <c r="P61" s="17"/>
      <c r="Q61" s="17"/>
    </row>
    <row r="62" spans="4:17" ht="20.100000000000001" customHeight="1" x14ac:dyDescent="0.25">
      <c r="D62" s="7" t="s">
        <v>737</v>
      </c>
      <c r="E62" s="202">
        <f>SUM(O37:O39)</f>
        <v>7.7200000000000012E-4</v>
      </c>
      <c r="F62" s="68" t="str">
        <f t="shared" si="4"/>
        <v>t CO2-e</v>
      </c>
      <c r="G62" s="17"/>
      <c r="H62" s="17"/>
      <c r="I62" s="17"/>
      <c r="J62" s="17"/>
      <c r="L62" s="17"/>
      <c r="M62" s="17"/>
      <c r="N62" s="17"/>
      <c r="O62" s="17"/>
      <c r="P62" s="17"/>
      <c r="Q62" s="17"/>
    </row>
    <row r="63" spans="4:17" ht="20.100000000000001" customHeight="1" x14ac:dyDescent="0.25">
      <c r="D63" s="7" t="s">
        <v>738</v>
      </c>
      <c r="E63" s="202">
        <f>SUM(P37:P39)</f>
        <v>1.9300000000000003E-3</v>
      </c>
      <c r="F63" s="68" t="str">
        <f t="shared" si="4"/>
        <v>t CO2-e</v>
      </c>
      <c r="G63" s="17"/>
      <c r="H63" s="17"/>
      <c r="I63" s="17"/>
      <c r="J63" s="17"/>
      <c r="L63" s="17"/>
      <c r="M63" s="17"/>
      <c r="N63" s="17"/>
      <c r="O63" s="17"/>
      <c r="P63" s="17"/>
      <c r="Q63" s="17"/>
    </row>
    <row r="64" spans="4:17" ht="20.100000000000001" customHeight="1" x14ac:dyDescent="0.25">
      <c r="D64" s="7" t="s">
        <v>739</v>
      </c>
      <c r="E64" s="202">
        <f>SUM(Q37:Q39)</f>
        <v>0</v>
      </c>
      <c r="F64" s="68" t="str">
        <f t="shared" si="4"/>
        <v>t CO2-e</v>
      </c>
      <c r="G64" s="17"/>
      <c r="H64" s="17"/>
      <c r="I64" s="17"/>
      <c r="J64" s="17"/>
      <c r="L64" s="17"/>
      <c r="M64" s="17"/>
      <c r="N64" s="17"/>
      <c r="O64" s="17"/>
      <c r="P64" s="17"/>
      <c r="Q64" s="17"/>
    </row>
    <row r="65" spans="1:17" ht="20.100000000000001" customHeight="1" x14ac:dyDescent="0.25">
      <c r="G65" s="17"/>
      <c r="H65" s="17"/>
      <c r="I65" s="17"/>
      <c r="J65" s="17"/>
      <c r="L65" s="17"/>
      <c r="M65" s="17"/>
      <c r="N65" s="17"/>
      <c r="O65" s="17"/>
      <c r="P65" s="17"/>
      <c r="Q65" s="17"/>
    </row>
    <row r="66" spans="1:17" ht="20.100000000000001" customHeight="1" x14ac:dyDescent="0.25">
      <c r="D66" s="199" t="s">
        <v>740</v>
      </c>
      <c r="E66" s="205"/>
      <c r="F66" s="201"/>
      <c r="G66" s="17"/>
      <c r="H66" s="17"/>
      <c r="I66" s="17"/>
      <c r="J66" s="17"/>
      <c r="L66" s="17"/>
      <c r="M66" s="17"/>
      <c r="N66" s="17"/>
      <c r="O66" s="17"/>
      <c r="P66" s="17"/>
      <c r="Q66" s="17"/>
    </row>
    <row r="67" spans="1:17" ht="20.100000000000001" customHeight="1" x14ac:dyDescent="0.25">
      <c r="D67" s="7" t="s">
        <v>736</v>
      </c>
      <c r="E67" s="202">
        <f>E43+E49+E55+E61</f>
        <v>0.49158400000000013</v>
      </c>
      <c r="F67" s="68" t="str">
        <f t="shared" ref="F67:F70" si="5">$E$12</f>
        <v>t CO2-e</v>
      </c>
      <c r="G67" s="17"/>
    </row>
    <row r="68" spans="1:17" ht="20.100000000000001" customHeight="1" x14ac:dyDescent="0.25">
      <c r="D68" s="7" t="s">
        <v>737</v>
      </c>
      <c r="E68" s="202">
        <f t="shared" ref="E68:E70" si="6">E44+E50+E56+E62</f>
        <v>9.7060000000000017E-4</v>
      </c>
      <c r="F68" s="68" t="str">
        <f t="shared" si="5"/>
        <v>t CO2-e</v>
      </c>
      <c r="G68" s="17"/>
    </row>
    <row r="69" spans="1:17" ht="20.100000000000001" customHeight="1" x14ac:dyDescent="0.25">
      <c r="A69" s="56" t="str">
        <f>HYPERLINK("#A1", "▲ Back to top")</f>
        <v>▲ Back to top</v>
      </c>
      <c r="D69" s="7" t="s">
        <v>738</v>
      </c>
      <c r="E69" s="202">
        <f t="shared" si="6"/>
        <v>3.9160000000000011E-3</v>
      </c>
      <c r="F69" s="68" t="str">
        <f t="shared" si="5"/>
        <v>t CO2-e</v>
      </c>
      <c r="G69" s="17"/>
    </row>
    <row r="70" spans="1:17" ht="20.100000000000001" customHeight="1" x14ac:dyDescent="0.25">
      <c r="D70" s="7" t="s">
        <v>739</v>
      </c>
      <c r="E70" s="202">
        <f t="shared" si="6"/>
        <v>0</v>
      </c>
      <c r="F70" s="68" t="str">
        <f t="shared" si="5"/>
        <v>t CO2-e</v>
      </c>
      <c r="G70" s="17"/>
    </row>
    <row r="71" spans="1:17" ht="20.100000000000001" customHeight="1" x14ac:dyDescent="0.25">
      <c r="G71" s="17"/>
    </row>
    <row r="72" spans="1:17" ht="20.100000000000001" customHeight="1" x14ac:dyDescent="0.25"/>
    <row r="73" spans="1:17" ht="20.100000000000001" customHeight="1" x14ac:dyDescent="0.25"/>
    <row r="74" spans="1:17" ht="20.100000000000001" customHeight="1" x14ac:dyDescent="0.25"/>
    <row r="75" spans="1:17" ht="20.100000000000001" customHeight="1" x14ac:dyDescent="0.25"/>
    <row r="76" spans="1:17" ht="20.100000000000001" customHeight="1" x14ac:dyDescent="0.25"/>
    <row r="77" spans="1:17" ht="20.100000000000001" customHeight="1" x14ac:dyDescent="0.25"/>
    <row r="78" spans="1:17" ht="20.100000000000001" customHeight="1" x14ac:dyDescent="0.25"/>
    <row r="79" spans="1:17" ht="20.100000000000001" customHeight="1" x14ac:dyDescent="0.25"/>
    <row r="80" spans="1:17" ht="20.100000000000001" customHeight="1" x14ac:dyDescent="0.25"/>
    <row r="81" spans="1:1" ht="20.100000000000001" customHeight="1" x14ac:dyDescent="0.25"/>
    <row r="82" spans="1:1" ht="20.100000000000001" customHeight="1" x14ac:dyDescent="0.25"/>
    <row r="83" spans="1:1" ht="20.100000000000001" customHeight="1" x14ac:dyDescent="0.25">
      <c r="A83" s="56" t="str">
        <f>HYPERLINK("#A1", "▲ Back to top")</f>
        <v>▲ Back to top</v>
      </c>
    </row>
    <row r="84" spans="1:1" ht="20.100000000000001" customHeight="1" x14ac:dyDescent="0.25"/>
    <row r="85" spans="1:1" ht="20.100000000000001" customHeight="1" x14ac:dyDescent="0.25"/>
    <row r="86" spans="1:1" ht="20.100000000000001" customHeight="1" x14ac:dyDescent="0.25"/>
    <row r="87" spans="1:1" ht="20.100000000000001" customHeight="1" x14ac:dyDescent="0.25"/>
    <row r="88" spans="1:1" ht="20.100000000000001" customHeight="1" x14ac:dyDescent="0.25"/>
    <row r="89" spans="1:1" ht="20.100000000000001" customHeight="1" x14ac:dyDescent="0.25"/>
    <row r="90" spans="1:1" ht="20.100000000000001" customHeight="1" x14ac:dyDescent="0.25"/>
    <row r="91" spans="1:1" ht="20.100000000000001" customHeight="1" x14ac:dyDescent="0.25"/>
    <row r="92" spans="1:1" ht="20.100000000000001" customHeight="1" x14ac:dyDescent="0.25"/>
    <row r="93" spans="1:1" ht="20.100000000000001" customHeight="1" x14ac:dyDescent="0.25"/>
    <row r="94" spans="1:1" ht="20.100000000000001" customHeight="1" x14ac:dyDescent="0.25"/>
    <row r="95" spans="1:1" ht="20.100000000000001" customHeight="1" x14ac:dyDescent="0.25"/>
    <row r="96" spans="1:1"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14"/>
    </row>
    <row r="342" spans="8:8" x14ac:dyDescent="0.25">
      <c r="H342" s="14"/>
    </row>
  </sheetData>
  <dataValidations count="1">
    <dataValidation operator="equal" allowBlank="1" showInputMessage="1" showErrorMessage="1" sqref="N172:Q172 O150:Q150 E269 N166:Q166 O143:Q144 E228 O167:Q167 G132 I129:I133 F134:I134 F129:F132 H128:H132 G129 F148:I148 I149 F150:I150" xr:uid="{C752315A-B5E5-44EF-8A25-FDBF5DF9036B}"/>
  </dataValidation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55D5D-FEA3-44B0-9E5B-51CEC314728D}">
  <sheetPr>
    <tabColor theme="9" tint="-0.249977111117893"/>
  </sheetPr>
  <dimension ref="A1:R165"/>
  <sheetViews>
    <sheetView showGridLines="0" zoomScaleNormal="100" workbookViewId="0">
      <selection activeCell="M21" sqref="M21"/>
    </sheetView>
  </sheetViews>
  <sheetFormatPr defaultRowHeight="15.75" x14ac:dyDescent="0.25"/>
  <cols>
    <col min="1" max="1" width="26.875" style="3" customWidth="1"/>
    <col min="2" max="2" width="4.125" style="3" customWidth="1"/>
    <col min="3" max="3" width="4.125" style="8" customWidth="1"/>
    <col min="4" max="4" width="35.375" style="8" customWidth="1"/>
    <col min="5" max="17" width="26.875" style="8" customWidth="1"/>
    <col min="18" max="18" width="4.125" style="8" customWidth="1"/>
    <col min="19" max="16384" width="9" style="3"/>
  </cols>
  <sheetData>
    <row r="1" spans="1:18" s="1" customFormat="1" ht="30" customHeight="1" x14ac:dyDescent="0.35">
      <c r="A1" s="1" t="e" vm="1">
        <v>#VALUE!</v>
      </c>
      <c r="C1" s="1" t="s">
        <v>741</v>
      </c>
    </row>
    <row r="2" spans="1:18" s="2" customFormat="1" ht="20.100000000000001" customHeight="1" x14ac:dyDescent="0.25">
      <c r="A2" s="3"/>
    </row>
    <row r="3" spans="1:18" ht="20.100000000000001" customHeight="1" x14ac:dyDescent="0.25">
      <c r="A3" s="16" t="str">
        <f>HYPERLINK("#'Home'!A1", "Home")</f>
        <v>Home</v>
      </c>
      <c r="C3" s="5"/>
      <c r="D3" s="5" t="s">
        <v>418</v>
      </c>
      <c r="E3" s="5"/>
      <c r="F3" s="5"/>
      <c r="G3" s="5"/>
      <c r="H3" s="5"/>
      <c r="I3" s="5"/>
      <c r="J3" s="5"/>
      <c r="K3" s="5"/>
      <c r="L3" s="5"/>
      <c r="M3" s="5"/>
      <c r="N3" s="5"/>
      <c r="O3" s="5"/>
      <c r="P3" s="5"/>
      <c r="Q3" s="5"/>
      <c r="R3" s="5"/>
    </row>
    <row r="4" spans="1:18" ht="20.100000000000001" customHeight="1" x14ac:dyDescent="0.25">
      <c r="A4" s="16" t="str">
        <f>HYPERLINK("#'Overview'!A1", "Overview")</f>
        <v>Overview</v>
      </c>
    </row>
    <row r="5" spans="1:18" ht="20.100000000000001" customHeight="1" x14ac:dyDescent="0.25">
      <c r="A5" s="16" t="str">
        <f>HYPERLINK("#'Results'!A1", "Results")</f>
        <v>Results</v>
      </c>
      <c r="D5" s="9" t="s">
        <v>1126</v>
      </c>
      <c r="K5" s="9" t="s">
        <v>1128</v>
      </c>
      <c r="O5" s="17"/>
      <c r="P5" s="17"/>
      <c r="Q5" s="17"/>
      <c r="R5" s="17"/>
    </row>
    <row r="6" spans="1:18" ht="20.100000000000001" customHeight="1" x14ac:dyDescent="0.25">
      <c r="A6" s="18"/>
      <c r="D6" s="11" t="s">
        <v>1127</v>
      </c>
      <c r="K6" s="11" t="s">
        <v>1129</v>
      </c>
      <c r="O6" s="17"/>
      <c r="P6" s="17"/>
      <c r="Q6" s="17"/>
      <c r="R6" s="17"/>
    </row>
    <row r="7" spans="1:18" ht="20.100000000000001" customHeight="1" x14ac:dyDescent="0.25">
      <c r="A7" s="19" t="s">
        <v>67</v>
      </c>
      <c r="D7" s="178"/>
      <c r="E7" s="178"/>
      <c r="K7" s="12" t="s">
        <v>1130</v>
      </c>
      <c r="O7" s="17"/>
      <c r="P7" s="17"/>
      <c r="Q7" s="17"/>
      <c r="R7" s="17"/>
    </row>
    <row r="8" spans="1:18" ht="20.100000000000001" customHeight="1" x14ac:dyDescent="0.25">
      <c r="A8" s="16" t="str">
        <f>HYPERLINK("#'Input - Fuel'!A1", "Fuel")</f>
        <v>Fuel</v>
      </c>
      <c r="K8" s="178"/>
      <c r="L8" s="178"/>
      <c r="O8" s="17"/>
      <c r="P8" s="17"/>
      <c r="Q8" s="17"/>
      <c r="R8" s="17"/>
    </row>
    <row r="9" spans="1:18" ht="20.100000000000001" customHeight="1" x14ac:dyDescent="0.25">
      <c r="A9" s="16"/>
      <c r="G9" s="11"/>
      <c r="O9" s="17"/>
      <c r="P9" s="17"/>
      <c r="Q9" s="17"/>
      <c r="R9" s="17"/>
    </row>
    <row r="10" spans="1:18" ht="20.100000000000001" customHeight="1" x14ac:dyDescent="0.25">
      <c r="A10" s="21" t="s">
        <v>77</v>
      </c>
      <c r="O10" s="17"/>
      <c r="P10" s="17"/>
      <c r="Q10" s="17"/>
      <c r="R10" s="17"/>
    </row>
    <row r="11" spans="1:18" ht="20.100000000000001" customHeight="1" x14ac:dyDescent="0.25">
      <c r="A11" s="16" t="str">
        <f>HYPERLINK("#'8.1.1.1-2 Transport fuel'!A1", "8.1.1.1-2 Transport fuel")</f>
        <v>8.1.1.1-2 Transport fuel</v>
      </c>
      <c r="D11" s="28" t="s">
        <v>641</v>
      </c>
      <c r="E11" s="8" t="s">
        <v>1041</v>
      </c>
      <c r="K11" s="28" t="s">
        <v>641</v>
      </c>
      <c r="L11" s="8" t="s">
        <v>976</v>
      </c>
      <c r="O11" s="17"/>
      <c r="P11" s="17"/>
      <c r="Q11" s="17"/>
      <c r="R11" s="17"/>
    </row>
    <row r="12" spans="1:18" ht="20.100000000000001" customHeight="1" x14ac:dyDescent="0.25">
      <c r="A12" s="186" t="str">
        <f>HYPERLINK("#'8.2.1.1-2 Stationary fuel'!A1", "8.2.1.1-2 Stationary fuel")</f>
        <v>8.2.1.1-2 Stationary fuel</v>
      </c>
      <c r="D12" s="28" t="s">
        <v>97</v>
      </c>
      <c r="E12" s="13" t="s">
        <v>1104</v>
      </c>
      <c r="K12" s="28" t="s">
        <v>97</v>
      </c>
      <c r="L12" s="13" t="s">
        <v>860</v>
      </c>
    </row>
    <row r="13" spans="1:18" ht="20.100000000000001" customHeight="1" x14ac:dyDescent="0.25">
      <c r="A13" s="16" t="str">
        <f>HYPERLINK("#'8.X.1.1-2 General use fuel'!A1", "8.X.1.1-2 General use fuel")</f>
        <v>8.X.1.1-2 General use fuel</v>
      </c>
    </row>
    <row r="14" spans="1:18" ht="20.100000000000001" customHeight="1" x14ac:dyDescent="0.25">
      <c r="A14" s="16"/>
      <c r="D14" s="173" t="s">
        <v>1131</v>
      </c>
      <c r="E14" s="177" t="s">
        <v>1132</v>
      </c>
      <c r="F14" s="172"/>
      <c r="G14" s="173" t="s">
        <v>1116</v>
      </c>
      <c r="H14" s="174" t="s">
        <v>874</v>
      </c>
      <c r="I14" s="176" t="str" cm="1">
        <f t="array" aca="1" ref="I14" ca="1">HYPERLINK(Common_InputFunctions.Utility_SourceHyperlink($D$22), $D$22)</f>
        <v>Table_E_g</v>
      </c>
      <c r="K14" s="173" t="s">
        <v>1131</v>
      </c>
      <c r="L14" s="173" t="s">
        <v>1139</v>
      </c>
      <c r="M14" s="173"/>
      <c r="N14" s="173" t="s">
        <v>99</v>
      </c>
      <c r="O14" s="174" t="s">
        <v>874</v>
      </c>
      <c r="P14" s="176" t="str" cm="1">
        <f t="array" aca="1" ref="P14" ca="1">HYPERLINK(Common_InputFunctions.Utility_SourceHyperlink($D$22), $D$22)</f>
        <v>Table_E_g</v>
      </c>
      <c r="Q14" s="17"/>
    </row>
    <row r="15" spans="1:18" ht="20.100000000000001" customHeight="1" x14ac:dyDescent="0.25">
      <c r="A15" s="23" t="s">
        <v>78</v>
      </c>
      <c r="D15" s="173" t="s">
        <v>1133</v>
      </c>
      <c r="E15" s="177" t="s">
        <v>1134</v>
      </c>
      <c r="F15" s="172"/>
      <c r="G15" s="173" t="s">
        <v>1117</v>
      </c>
      <c r="H15" s="175" t="s">
        <v>877</v>
      </c>
      <c r="I15" s="176" t="str" cm="1">
        <f t="array" aca="1" ref="I15" ca="1">HYPERLINK(Common_InputFunctions.Utility_SourceHyperlink($D$22), $D$22)</f>
        <v>Table_E_g</v>
      </c>
      <c r="K15" s="173" t="s">
        <v>1133</v>
      </c>
      <c r="L15" s="173" t="s">
        <v>1140</v>
      </c>
      <c r="M15" s="173"/>
      <c r="N15" s="173" t="s">
        <v>1144</v>
      </c>
      <c r="O15" s="175" t="s">
        <v>877</v>
      </c>
      <c r="P15" s="176" t="str" cm="1">
        <f t="array" aca="1" ref="P15" ca="1">HYPERLINK(Common_InputFunctions.Utility_SourceHyperlink($D$22), $D$22)</f>
        <v>Table_E_g</v>
      </c>
      <c r="Q15" s="17"/>
    </row>
    <row r="16" spans="1:18" ht="20.100000000000001" customHeight="1" x14ac:dyDescent="0.25">
      <c r="A16" s="16" t="str">
        <f>HYPERLINK("#'Constants - Fuel'!A1", "Constants - Fuel")</f>
        <v>Constants - Fuel</v>
      </c>
      <c r="D16" s="173" t="s">
        <v>1135</v>
      </c>
      <c r="E16" s="177" t="s">
        <v>1136</v>
      </c>
      <c r="F16" s="172"/>
      <c r="G16" s="173" t="s">
        <v>1118</v>
      </c>
      <c r="H16" s="175" t="s">
        <v>877</v>
      </c>
      <c r="I16" s="176" t="str" cm="1">
        <f t="array" aca="1" ref="I16" ca="1">HYPERLINK(Common_InputFunctions.Utility_SourceHyperlink($D$22), $D$22)</f>
        <v>Table_E_g</v>
      </c>
      <c r="K16" s="173" t="s">
        <v>1141</v>
      </c>
      <c r="L16" s="173" t="s">
        <v>1142</v>
      </c>
      <c r="M16" s="173"/>
      <c r="N16" s="173" t="s">
        <v>1125</v>
      </c>
      <c r="O16" s="175" t="s">
        <v>877</v>
      </c>
      <c r="P16" s="176" t="str" cm="1">
        <f t="array" aca="1" ref="P16" ca="1">HYPERLINK(Common_InputFunctions.Utility_SourceHyperlink($D$22), $D$22)</f>
        <v>Table_E_g</v>
      </c>
      <c r="Q16" s="17"/>
    </row>
    <row r="17" spans="1:17" ht="20.100000000000001" customHeight="1" x14ac:dyDescent="0.25">
      <c r="A17" s="16" t="str">
        <f>HYPERLINK("#'Constants - Common'!A1", "Constants - Common")</f>
        <v>Constants - Common</v>
      </c>
      <c r="D17" s="173" t="s">
        <v>1111</v>
      </c>
      <c r="E17" s="177" t="s">
        <v>96</v>
      </c>
      <c r="F17" s="172"/>
      <c r="G17" s="173"/>
      <c r="H17" s="175" t="s">
        <v>877</v>
      </c>
      <c r="I17" s="176"/>
      <c r="J17" s="17"/>
      <c r="K17" s="173" t="s">
        <v>1002</v>
      </c>
      <c r="L17" s="177" t="s">
        <v>1003</v>
      </c>
      <c r="M17" s="172"/>
      <c r="N17" s="173"/>
      <c r="O17" s="174" t="s">
        <v>874</v>
      </c>
      <c r="P17" s="173" t="str">
        <f>'Input - Site'!$E$21</f>
        <v>ACT</v>
      </c>
      <c r="Q17" s="17"/>
    </row>
    <row r="18" spans="1:17" ht="20.100000000000001" customHeight="1" x14ac:dyDescent="0.25">
      <c r="D18" s="173" t="s">
        <v>1137</v>
      </c>
      <c r="E18" s="177" t="s">
        <v>1138</v>
      </c>
      <c r="F18" s="172"/>
      <c r="G18" s="173"/>
      <c r="H18" s="175" t="s">
        <v>877</v>
      </c>
      <c r="I18" s="176"/>
      <c r="J18" s="17"/>
      <c r="K18" s="173" t="s">
        <v>893</v>
      </c>
      <c r="L18" s="177" t="s">
        <v>1143</v>
      </c>
      <c r="M18" s="172"/>
      <c r="N18" s="173"/>
      <c r="O18" s="174" t="s">
        <v>874</v>
      </c>
      <c r="P18" s="173" t="str">
        <f>'Input - Fuel'!E11</f>
        <v>Metro</v>
      </c>
      <c r="Q18" s="17"/>
    </row>
    <row r="19" spans="1:17" ht="20.100000000000001" customHeight="1" x14ac:dyDescent="0.25">
      <c r="D19" s="173" t="s">
        <v>960</v>
      </c>
      <c r="E19" s="177" t="s">
        <v>1114</v>
      </c>
      <c r="F19" s="172"/>
      <c r="G19" s="173"/>
      <c r="H19" s="175" t="s">
        <v>877</v>
      </c>
      <c r="I19" s="176"/>
      <c r="J19" s="17"/>
      <c r="L19" s="17"/>
      <c r="N19" s="17"/>
      <c r="O19" s="17"/>
      <c r="P19" s="17"/>
      <c r="Q19" s="17"/>
    </row>
    <row r="20" spans="1:17" ht="20.100000000000001" customHeight="1" x14ac:dyDescent="0.25">
      <c r="A20" s="16"/>
      <c r="D20" s="173">
        <v>1</v>
      </c>
      <c r="E20" s="177" t="s">
        <v>1115</v>
      </c>
      <c r="F20" s="172"/>
      <c r="G20" s="173"/>
      <c r="H20" s="175" t="s">
        <v>877</v>
      </c>
      <c r="I20" s="176"/>
      <c r="J20" s="17"/>
      <c r="L20" s="17"/>
      <c r="N20" s="17"/>
      <c r="O20" s="17"/>
      <c r="P20" s="17"/>
      <c r="Q20" s="17"/>
    </row>
    <row r="21" spans="1:17" ht="20.100000000000001" customHeight="1" x14ac:dyDescent="0.25">
      <c r="A21" s="16"/>
      <c r="O21" s="17"/>
      <c r="P21" s="17"/>
      <c r="Q21" s="17"/>
    </row>
    <row r="22" spans="1:17" ht="20.100000000000001" customHeight="1" x14ac:dyDescent="0.25">
      <c r="D22" s="58" t="s">
        <v>129</v>
      </c>
    </row>
    <row r="23" spans="1:17" ht="20.100000000000001" customHeight="1" x14ac:dyDescent="0.25">
      <c r="A23" s="16"/>
      <c r="D23" s="59" t="s">
        <v>742</v>
      </c>
    </row>
    <row r="24" spans="1:17" ht="20.100000000000001" customHeight="1" x14ac:dyDescent="0.25">
      <c r="D24" s="60" t="s">
        <v>131</v>
      </c>
      <c r="E24" s="60" t="s">
        <v>132</v>
      </c>
      <c r="F24" s="60" t="s">
        <v>133</v>
      </c>
      <c r="G24" s="60" t="s">
        <v>743</v>
      </c>
      <c r="H24" s="60" t="s">
        <v>744</v>
      </c>
      <c r="I24" s="60" t="s">
        <v>745</v>
      </c>
      <c r="J24" s="60" t="s">
        <v>746</v>
      </c>
      <c r="K24" s="60" t="s">
        <v>747</v>
      </c>
      <c r="L24" s="47" t="s">
        <v>748</v>
      </c>
      <c r="M24" s="60" t="s">
        <v>731</v>
      </c>
      <c r="N24" s="60" t="s">
        <v>732</v>
      </c>
      <c r="O24" s="60" t="s">
        <v>733</v>
      </c>
      <c r="P24" s="60" t="s">
        <v>734</v>
      </c>
      <c r="Q24" s="60" t="s">
        <v>749</v>
      </c>
    </row>
    <row r="25" spans="1:17" ht="20.100000000000001" customHeight="1" x14ac:dyDescent="0.25">
      <c r="D25" s="7" t="str">
        <f>Table_FuelTypesPerUse[[#Headers],[Generators]]</f>
        <v>Generators</v>
      </c>
      <c r="E25" s="61" t="str">
        <f>'Constants - Fuel'!$D$58</f>
        <v>Automotive gasoline / petrol (other than for use as fuel in an aircraft)</v>
      </c>
      <c r="F25" s="61" t="str">
        <f>'Constants - Fuel'!D131</f>
        <v>Petrol</v>
      </c>
      <c r="G25" s="50">
        <f>IFERROR(_xlfn.XLOOKUP($E25, Table_Fuel_EFs_StationaryLiquid[Fuel combusted], Table_Fuel_EFs_StationaryLiquid[Energy Content Factor (GJ per unit of fuel)]),0)</f>
        <v>34.200000000000003</v>
      </c>
      <c r="H25" s="50">
        <f>IFERROR(_xlfn.XLOOKUP($E25, Table_Fuel_EFs_StationaryLiquid[Fuel combusted], Table_Fuel_EFs_StationaryLiquid[Scope 1 Emission Factor (kg CO2 - e / GJ) CO2]),0)</f>
        <v>67.400000000000006</v>
      </c>
      <c r="I25" s="50">
        <f>IFERROR(_xlfn.XLOOKUP($E25, Table_Fuel_EFs_StationaryLiquid[Fuel combusted], Table_Fuel_EFs_StationaryLiquid[Scope 1 Emission Factor (kg CO2 - e / GJ) CH4]),0)</f>
        <v>0.2</v>
      </c>
      <c r="J25" s="50">
        <f>IFERROR(_xlfn.XLOOKUP($E25, Table_Fuel_EFs_StationaryLiquid[Fuel combusted], Table_Fuel_EFs_StationaryLiquid[Scope 1 Emission Factor (kg CO2 - e / GJ) N2O]),0)</f>
        <v>0.2</v>
      </c>
      <c r="K25" s="50">
        <f>IFERROR(_xlfn.XLOOKUP($E25, Table_Fuel_EFs_StationaryLiquid[Fuel combusted], Table_Fuel_EFs_StationaryLiquid[Scope 3 Emission Factor (kg CO2 - e / GJ)]),0)</f>
        <v>17.2</v>
      </c>
      <c r="L25" s="187" cm="1">
        <f t="array" ref="L25">Fuel_InputFunctions.Fuel_TotalConsumption(Table_Input_Fuel[Amount consumed], Table_Input_Fuel[Fuel use (select)], D25, Table_Input_Fuel[Fuel type (select)],F25)</f>
        <v>0</v>
      </c>
      <c r="M25" s="187" t="str" cm="1">
        <f t="array" ref="M25">Common_InputFunctions.Utility_LookupValueInTable(F25,Table_FuelTypes_Units[Fuel type],Table_FuelTypes_Units[Unit])</f>
        <v>kL</v>
      </c>
      <c r="N25" s="206">
        <f>((($L25 * $G25 * H25) * 10 ^ -3))</f>
        <v>0</v>
      </c>
      <c r="O25" s="206">
        <f>((($L25 * $G25 * I25) * 10 ^ -3))</f>
        <v>0</v>
      </c>
      <c r="P25" s="206">
        <f>((($L25 * $G25 * J25) * 10 ^ -3))</f>
        <v>0</v>
      </c>
      <c r="Q25" s="206">
        <f>((($L25 * $G25 * ((IF(ISNUMBER(K25), K25, 0)))) * 10 ^ -3))</f>
        <v>0</v>
      </c>
    </row>
    <row r="26" spans="1:17" ht="20.100000000000001" customHeight="1" x14ac:dyDescent="0.25">
      <c r="D26" s="62" t="str">
        <f t="shared" ref="D26:D31" si="0">$D$25</f>
        <v>Generators</v>
      </c>
      <c r="E26" s="61" t="str">
        <f>'Constants - Fuel'!$D$63</f>
        <v>Diesel oil</v>
      </c>
      <c r="F26" s="61" t="str">
        <f>'Constants - Fuel'!D132</f>
        <v>Diesel</v>
      </c>
      <c r="G26" s="50">
        <f>IFERROR(_xlfn.XLOOKUP($E26, Table_Fuel_EFs_StationaryLiquid[Fuel combusted], Table_Fuel_EFs_StationaryLiquid[Energy Content Factor (GJ per unit of fuel)]),0)</f>
        <v>38.6</v>
      </c>
      <c r="H26" s="50">
        <f>IFERROR(_xlfn.XLOOKUP($E26, Table_Fuel_EFs_StationaryLiquid[Fuel combusted], Table_Fuel_EFs_StationaryLiquid[Scope 1 Emission Factor (kg CO2 - e / GJ) CO2]),0)</f>
        <v>69.900000000000006</v>
      </c>
      <c r="I26" s="50">
        <f>IFERROR(_xlfn.XLOOKUP($E26, Table_Fuel_EFs_StationaryLiquid[Fuel combusted], Table_Fuel_EFs_StationaryLiquid[Scope 1 Emission Factor (kg CO2 - e / GJ) CH4]),0)</f>
        <v>0.1</v>
      </c>
      <c r="J26" s="50">
        <f>IFERROR(_xlfn.XLOOKUP($E26, Table_Fuel_EFs_StationaryLiquid[Fuel combusted], Table_Fuel_EFs_StationaryLiquid[Scope 1 Emission Factor (kg CO2 - e / GJ) N2O]),0)</f>
        <v>0.2</v>
      </c>
      <c r="K26" s="50">
        <f>IFERROR(_xlfn.XLOOKUP($E26, Table_Fuel_EFs_StationaryLiquid[Fuel combusted], Table_Fuel_EFs_StationaryLiquid[Scope 3 Emission Factor (kg CO2 - e / GJ)]),0)</f>
        <v>17.3</v>
      </c>
      <c r="L26" s="187" cm="1">
        <f t="array" ref="L26">Fuel_InputFunctions.Fuel_TotalConsumption(Table_Input_Fuel[Amount consumed], Table_Input_Fuel[Fuel use (select)], D26, Table_Input_Fuel[Fuel type (select)],F26)</f>
        <v>0</v>
      </c>
      <c r="M26" s="187" t="str" cm="1">
        <f t="array" ref="M26">Common_InputFunctions.Utility_LookupValueInTable(F26,Table_FuelTypes_Units[Fuel type],Table_FuelTypes_Units[Unit])</f>
        <v>kL</v>
      </c>
      <c r="N26" s="206">
        <f>((($L26 * $G26 * H26) * 10 ^ -3))</f>
        <v>0</v>
      </c>
      <c r="O26" s="206">
        <f>((($L26 * $G26 * I26) * 10 ^ -3))</f>
        <v>0</v>
      </c>
      <c r="P26" s="206">
        <f>((($L26 * $G26 * J26) * 10 ^ -3))</f>
        <v>0</v>
      </c>
      <c r="Q26" s="206">
        <f>((($L26 * $G26 * ((IF(ISNUMBER(K26), K26, 0)))) * 10 ^ -3))</f>
        <v>0</v>
      </c>
    </row>
    <row r="27" spans="1:17" ht="20.100000000000001" customHeight="1" x14ac:dyDescent="0.25">
      <c r="D27" s="62" t="str">
        <f t="shared" si="0"/>
        <v>Generators</v>
      </c>
      <c r="E27" s="61" t="str">
        <f>'Constants - Fuel'!$D$67</f>
        <v>Liquefied petroleum gas (LPG)</v>
      </c>
      <c r="F27" s="61" t="str">
        <f>'Constants - Fuel'!D133</f>
        <v>Liquefied petroleum gas (LPG)</v>
      </c>
      <c r="G27" s="50">
        <f>IFERROR(_xlfn.XLOOKUP($E27, Table_Fuel_EFs_StationaryLiquid[Fuel combusted], Table_Fuel_EFs_StationaryLiquid[Energy Content Factor (GJ per unit of fuel)]),0)</f>
        <v>25.7</v>
      </c>
      <c r="H27" s="50">
        <f>IFERROR(_xlfn.XLOOKUP($E27, Table_Fuel_EFs_StationaryLiquid[Fuel combusted], Table_Fuel_EFs_StationaryLiquid[Scope 1 Emission Factor (kg CO2 - e / GJ) CO2]),0)</f>
        <v>60.2</v>
      </c>
      <c r="I27" s="50">
        <f>IFERROR(_xlfn.XLOOKUP($E27, Table_Fuel_EFs_StationaryLiquid[Fuel combusted], Table_Fuel_EFs_StationaryLiquid[Scope 1 Emission Factor (kg CO2 - e / GJ) CH4]),0)</f>
        <v>0.2</v>
      </c>
      <c r="J27" s="50">
        <f>IFERROR(_xlfn.XLOOKUP($E27, Table_Fuel_EFs_StationaryLiquid[Fuel combusted], Table_Fuel_EFs_StationaryLiquid[Scope 1 Emission Factor (kg CO2 - e / GJ) N2O]),0)</f>
        <v>0.2</v>
      </c>
      <c r="K27" s="50">
        <f>IFERROR(_xlfn.XLOOKUP($E27, Table_Fuel_EFs_StationaryLiquid[Fuel combusted], Table_Fuel_EFs_StationaryLiquid[Scope 3 Emission Factor (kg CO2 - e / GJ)]),0)</f>
        <v>20.2</v>
      </c>
      <c r="L27" s="187" cm="1">
        <f t="array" ref="L27">Fuel_InputFunctions.Fuel_TotalConsumption(Table_Input_Fuel[Amount consumed], Table_Input_Fuel[Fuel use (select)], D27, Table_Input_Fuel[Fuel type (select)],F27)</f>
        <v>0</v>
      </c>
      <c r="M27" s="187" t="str" cm="1">
        <f t="array" ref="M27">Common_InputFunctions.Utility_LookupValueInTable(F27,Table_FuelTypes_Units[Fuel type],Table_FuelTypes_Units[Unit])</f>
        <v>kL</v>
      </c>
      <c r="N27" s="206">
        <f>((($L27 * $G27 * H27) * 10 ^ -3))</f>
        <v>0</v>
      </c>
      <c r="O27" s="206">
        <f>((($L27 * $G27 * I27) * 10 ^ -3))</f>
        <v>0</v>
      </c>
      <c r="P27" s="206">
        <f>((($L27 * $G27 * J27) * 10 ^ -3))</f>
        <v>0</v>
      </c>
      <c r="Q27" s="206">
        <f>((($L27 * $G27 * ((IF(ISNUMBER(K27), K27, 0)))) * 10 ^ -3))</f>
        <v>0</v>
      </c>
    </row>
    <row r="28" spans="1:17" ht="20.100000000000001" customHeight="1" x14ac:dyDescent="0.25">
      <c r="D28" s="62" t="str">
        <f t="shared" si="0"/>
        <v>Generators</v>
      </c>
      <c r="E28" s="61" t="str">
        <f>'Constants - Fuel'!$D$73</f>
        <v>Biodiesel</v>
      </c>
      <c r="F28" s="61" t="str">
        <f>'Constants - Fuel'!D134</f>
        <v>Biodiesel</v>
      </c>
      <c r="G28" s="50">
        <f>IFERROR(_xlfn.XLOOKUP($E28, Table_Fuel_EFs_StationaryLiquid[Fuel combusted], Table_Fuel_EFs_StationaryLiquid[Energy Content Factor (GJ per unit of fuel)]),0)</f>
        <v>34.6</v>
      </c>
      <c r="H28" s="50">
        <f>IFERROR(_xlfn.XLOOKUP($E28, Table_Fuel_EFs_StationaryLiquid[Fuel combusted], Table_Fuel_EFs_StationaryLiquid[Scope 1 Emission Factor (kg CO2 - e / GJ) CO2]),0)</f>
        <v>0</v>
      </c>
      <c r="I28" s="50">
        <f>IFERROR(_xlfn.XLOOKUP($E28, Table_Fuel_EFs_StationaryLiquid[Fuel combusted], Table_Fuel_EFs_StationaryLiquid[Scope 1 Emission Factor (kg CO2 - e / GJ) CH4]),0)</f>
        <v>0.08</v>
      </c>
      <c r="J28" s="50">
        <f>IFERROR(_xlfn.XLOOKUP($E28, Table_Fuel_EFs_StationaryLiquid[Fuel combusted], Table_Fuel_EFs_StationaryLiquid[Scope 1 Emission Factor (kg CO2 - e / GJ) N2O]),0)</f>
        <v>0.2</v>
      </c>
      <c r="K28" s="50" t="str">
        <f>IFERROR(_xlfn.XLOOKUP($E28, Table_Fuel_EFs_StationaryLiquid[Fuel combusted], Table_Fuel_EFs_StationaryLiquid[Scope 3 Emission Factor (kg CO2 - e / GJ)]),0)</f>
        <v>NE</v>
      </c>
      <c r="L28" s="187" cm="1">
        <f t="array" ref="L28">Fuel_InputFunctions.Fuel_TotalConsumption(Table_Input_Fuel[Amount consumed], Table_Input_Fuel[Fuel use (select)], D28, Table_Input_Fuel[Fuel type (select)],F28)</f>
        <v>0</v>
      </c>
      <c r="M28" s="187" t="str" cm="1">
        <f t="array" ref="M28">Common_InputFunctions.Utility_LookupValueInTable(F28,Table_FuelTypes_Units[Fuel type],Table_FuelTypes_Units[Unit])</f>
        <v>kL</v>
      </c>
      <c r="N28" s="206">
        <f>((($L28 * $G28 * H28) * 10 ^ -3))</f>
        <v>0</v>
      </c>
      <c r="O28" s="206">
        <f>((($L28 * $G28 * I28) * 10 ^ -3))</f>
        <v>0</v>
      </c>
      <c r="P28" s="206">
        <f>((($L28 * $G28 * J28) * 10 ^ -3))</f>
        <v>0</v>
      </c>
      <c r="Q28" s="206">
        <f>((($L28 * $G28 * ((IF(ISNUMBER(K28), K28, 0)))) * 10 ^ -3))</f>
        <v>0</v>
      </c>
    </row>
    <row r="29" spans="1:17" ht="20.100000000000001" customHeight="1" x14ac:dyDescent="0.25">
      <c r="D29" s="62" t="str">
        <f t="shared" si="0"/>
        <v>Generators</v>
      </c>
      <c r="E29" s="61" t="str">
        <f>'Constants - Fuel'!$D$74</f>
        <v>Ethanol for use as a fuel in an internal combustion engine</v>
      </c>
      <c r="F29" s="61" t="str">
        <f>'Constants - Fuel'!D135</f>
        <v>Ethanol</v>
      </c>
      <c r="G29" s="50">
        <f>IFERROR(_xlfn.XLOOKUP($E29, Table_Fuel_EFs_StationaryLiquid[Fuel combusted], Table_Fuel_EFs_StationaryLiquid[Energy Content Factor (GJ per unit of fuel)]),0)</f>
        <v>23.4</v>
      </c>
      <c r="H29" s="50">
        <f>IFERROR(_xlfn.XLOOKUP($E29, Table_Fuel_EFs_StationaryLiquid[Fuel combusted], Table_Fuel_EFs_StationaryLiquid[Scope 1 Emission Factor (kg CO2 - e / GJ) CO2]),0)</f>
        <v>0</v>
      </c>
      <c r="I29" s="50">
        <f>IFERROR(_xlfn.XLOOKUP($E29, Table_Fuel_EFs_StationaryLiquid[Fuel combusted], Table_Fuel_EFs_StationaryLiquid[Scope 1 Emission Factor (kg CO2 - e / GJ) CH4]),0)</f>
        <v>0.08</v>
      </c>
      <c r="J29" s="50">
        <f>IFERROR(_xlfn.XLOOKUP($E29, Table_Fuel_EFs_StationaryLiquid[Fuel combusted], Table_Fuel_EFs_StationaryLiquid[Scope 1 Emission Factor (kg CO2 - e / GJ) N2O]),0)</f>
        <v>0.2</v>
      </c>
      <c r="K29" s="50" t="str">
        <f>IFERROR(_xlfn.XLOOKUP($E29, Table_Fuel_EFs_StationaryLiquid[Fuel combusted], Table_Fuel_EFs_StationaryLiquid[Scope 3 Emission Factor (kg CO2 - e / GJ)]),0)</f>
        <v>NE</v>
      </c>
      <c r="L29" s="187" cm="1">
        <f t="array" ref="L29">Fuel_InputFunctions.Fuel_TotalConsumption(Table_Input_Fuel[Amount consumed], Table_Input_Fuel[Fuel use (select)], D29, Table_Input_Fuel[Fuel type (select)],F29)</f>
        <v>0</v>
      </c>
      <c r="M29" s="187" t="str" cm="1">
        <f t="array" ref="M29">Common_InputFunctions.Utility_LookupValueInTable(F29,Table_FuelTypes_Units[Fuel type],Table_FuelTypes_Units[Unit])</f>
        <v>kL</v>
      </c>
      <c r="N29" s="206">
        <f>((($L29 * $G29 * H29) * 10 ^ -3))</f>
        <v>0</v>
      </c>
      <c r="O29" s="206">
        <f>((($L29 * $G29 * I29) * 10 ^ -3))</f>
        <v>0</v>
      </c>
      <c r="P29" s="206">
        <f>((($L29 * $G29 * J29) * 10 ^ -3))</f>
        <v>0</v>
      </c>
      <c r="Q29" s="206">
        <f>((($L29 * $G29 * ((IF(ISNUMBER(K29), K29, 0)))) * 10 ^ -3))</f>
        <v>0</v>
      </c>
    </row>
    <row r="30" spans="1:17" ht="20.100000000000001" customHeight="1" x14ac:dyDescent="0.25">
      <c r="D30" s="62" t="str">
        <f t="shared" si="0"/>
        <v>Generators</v>
      </c>
      <c r="E30" s="61" t="str">
        <f>'Constants - Fuel'!$D$75</f>
        <v>Biofuels other than those mentioned in the items above and below</v>
      </c>
      <c r="F30" s="61" t="str">
        <f>'Constants - Fuel'!D136</f>
        <v>Other biofuels</v>
      </c>
      <c r="G30" s="50">
        <f>IFERROR(_xlfn.XLOOKUP($E30, Table_Fuel_EFs_StationaryLiquid[Fuel combusted], Table_Fuel_EFs_StationaryLiquid[Energy Content Factor (GJ per unit of fuel)]),0)</f>
        <v>23.4</v>
      </c>
      <c r="H30" s="50">
        <f>IFERROR(_xlfn.XLOOKUP($E30, Table_Fuel_EFs_StationaryLiquid[Fuel combusted], Table_Fuel_EFs_StationaryLiquid[Scope 1 Emission Factor (kg CO2 - e / GJ) CO2]),0)</f>
        <v>0</v>
      </c>
      <c r="I30" s="50">
        <f>IFERROR(_xlfn.XLOOKUP($E30, Table_Fuel_EFs_StationaryLiquid[Fuel combusted], Table_Fuel_EFs_StationaryLiquid[Scope 1 Emission Factor (kg CO2 - e / GJ) CH4]),0)</f>
        <v>0.08</v>
      </c>
      <c r="J30" s="50">
        <f>IFERROR(_xlfn.XLOOKUP($E30, Table_Fuel_EFs_StationaryLiquid[Fuel combusted], Table_Fuel_EFs_StationaryLiquid[Scope 1 Emission Factor (kg CO2 - e / GJ) N2O]),0)</f>
        <v>0.2</v>
      </c>
      <c r="K30" s="50" t="str">
        <f>IFERROR(_xlfn.XLOOKUP($E30, Table_Fuel_EFs_StationaryLiquid[Fuel combusted], Table_Fuel_EFs_StationaryLiquid[Scope 3 Emission Factor (kg CO2 - e / GJ)]),0)</f>
        <v>NE</v>
      </c>
      <c r="L30" s="187" cm="1">
        <f t="array" ref="L30">Fuel_InputFunctions.Fuel_TotalConsumption(Table_Input_Fuel[Amount consumed], Table_Input_Fuel[Fuel use (select)], D30, Table_Input_Fuel[Fuel type (select)],F30)</f>
        <v>0</v>
      </c>
      <c r="M30" s="187" t="str" cm="1">
        <f t="array" ref="M30">Common_InputFunctions.Utility_LookupValueInTable(F30,Table_FuelTypes_Units[Fuel type],Table_FuelTypes_Units[Unit])</f>
        <v>kL</v>
      </c>
      <c r="N30" s="206">
        <f>((($L30 * $G30 * H30) * 10 ^ -3))</f>
        <v>0</v>
      </c>
      <c r="O30" s="206">
        <f>((($L30 * $G30 * I30) * 10 ^ -3))</f>
        <v>0</v>
      </c>
      <c r="P30" s="206">
        <f>((($L30 * $G30 * J30) * 10 ^ -3))</f>
        <v>0</v>
      </c>
      <c r="Q30" s="206">
        <f>((($L30 * $G30 * ((IF(ISNUMBER(K30), K30, 0)))) * 10 ^ -3))</f>
        <v>0</v>
      </c>
    </row>
    <row r="31" spans="1:17" ht="20.100000000000001" customHeight="1" x14ac:dyDescent="0.25">
      <c r="D31" s="62" t="str">
        <f t="shared" si="0"/>
        <v>Generators</v>
      </c>
      <c r="E31" s="61" t="str">
        <f>'Constants - Fuel'!$D$77</f>
        <v>Renewable diesel</v>
      </c>
      <c r="F31" s="61" t="str">
        <f>'Constants - Fuel'!D137</f>
        <v>Renewable diesel</v>
      </c>
      <c r="G31" s="167">
        <f>IFERROR(_xlfn.XLOOKUP($E31, Table_Fuel_EFs_StationaryLiquid[Fuel combusted], Table_Fuel_EFs_StationaryLiquid[Energy Content Factor (GJ per unit of fuel)]),0)</f>
        <v>38.6</v>
      </c>
      <c r="H31" s="167">
        <f>IFERROR(_xlfn.XLOOKUP($E31, Table_Fuel_EFs_StationaryLiquid[Fuel combusted], Table_Fuel_EFs_StationaryLiquid[Scope 1 Emission Factor (kg CO2 - e / GJ) CO2]),0)</f>
        <v>0</v>
      </c>
      <c r="I31" s="167">
        <f>IFERROR(_xlfn.XLOOKUP($E31, Table_Fuel_EFs_StationaryLiquid[Fuel combusted], Table_Fuel_EFs_StationaryLiquid[Scope 1 Emission Factor (kg CO2 - e / GJ) CH4]),0)</f>
        <v>0.1</v>
      </c>
      <c r="J31" s="167">
        <f>IFERROR(_xlfn.XLOOKUP($E31, Table_Fuel_EFs_StationaryLiquid[Fuel combusted], Table_Fuel_EFs_StationaryLiquid[Scope 1 Emission Factor (kg CO2 - e / GJ) N2O]),0)</f>
        <v>0.2</v>
      </c>
      <c r="K31" s="167" t="str">
        <f>IFERROR(_xlfn.XLOOKUP($E31, Table_Fuel_EFs_StationaryLiquid[Fuel combusted], Table_Fuel_EFs_StationaryLiquid[Scope 3 Emission Factor (kg CO2 - e / GJ)]),0)</f>
        <v>NE</v>
      </c>
      <c r="L31" s="189" cm="1">
        <f t="array" ref="L31">Fuel_InputFunctions.Fuel_TotalConsumption(Table_Input_Fuel[Amount consumed], Table_Input_Fuel[Fuel use (select)], D31, Table_Input_Fuel[Fuel type (select)],F31)</f>
        <v>0</v>
      </c>
      <c r="M31" s="189" t="str" cm="1">
        <f t="array" ref="M31">Common_InputFunctions.Utility_LookupValueInTable(F31,Table_FuelTypes_Units[Fuel type],Table_FuelTypes_Units[Unit])</f>
        <v>kL</v>
      </c>
      <c r="N31" s="207">
        <f>((($L31 * $G31 * H31) * 10 ^ -3))</f>
        <v>0</v>
      </c>
      <c r="O31" s="207">
        <f>((($L31 * $G31 * I31) * 10 ^ -3))</f>
        <v>0</v>
      </c>
      <c r="P31" s="207">
        <f>((($L31 * $G31 * J31) * 10 ^ -3))</f>
        <v>0</v>
      </c>
      <c r="Q31" s="207">
        <f>((($L31 * $G31 * ((IF(ISNUMBER(K31), K31, 0)))) * 10 ^ -3))</f>
        <v>0</v>
      </c>
    </row>
    <row r="32" spans="1:17" ht="20.100000000000001" customHeight="1" x14ac:dyDescent="0.25">
      <c r="D32" s="63" t="str">
        <f>Table_FuelTypesPerUse[[#Headers],[Power standalone machinery or heating]]</f>
        <v>Power standalone machinery or heating</v>
      </c>
      <c r="E32" s="64" t="str">
        <f>'Constants - Fuel'!$D$58</f>
        <v>Automotive gasoline / petrol (other than for use as fuel in an aircraft)</v>
      </c>
      <c r="F32" s="64" t="str">
        <f>'Constants - Fuel'!E131</f>
        <v>Petrol</v>
      </c>
      <c r="G32" s="197">
        <f>IFERROR(_xlfn.XLOOKUP($E32, Table_Fuel_EFs_StationaryLiquid[Fuel combusted], Table_Fuel_EFs_StationaryLiquid[Energy Content Factor (GJ per unit of fuel)]),0)</f>
        <v>34.200000000000003</v>
      </c>
      <c r="H32" s="197">
        <f>IFERROR(_xlfn.XLOOKUP($E32, Table_Fuel_EFs_StationaryLiquid[Fuel combusted], Table_Fuel_EFs_StationaryLiquid[Scope 1 Emission Factor (kg CO2 - e / GJ) CO2]),0)</f>
        <v>67.400000000000006</v>
      </c>
      <c r="I32" s="197">
        <f>IFERROR(_xlfn.XLOOKUP($E32, Table_Fuel_EFs_StationaryLiquid[Fuel combusted], Table_Fuel_EFs_StationaryLiquid[Scope 1 Emission Factor (kg CO2 - e / GJ) CH4]),0)</f>
        <v>0.2</v>
      </c>
      <c r="J32" s="197">
        <f>IFERROR(_xlfn.XLOOKUP($E32, Table_Fuel_EFs_StationaryLiquid[Fuel combusted], Table_Fuel_EFs_StationaryLiquid[Scope 1 Emission Factor (kg CO2 - e / GJ) N2O]),0)</f>
        <v>0.2</v>
      </c>
      <c r="K32" s="197">
        <f>IFERROR(_xlfn.XLOOKUP($E32, Table_Fuel_EFs_StationaryLiquid[Fuel combusted], Table_Fuel_EFs_StationaryLiquid[Scope 3 Emission Factor (kg CO2 - e / GJ)]),0)</f>
        <v>17.2</v>
      </c>
      <c r="L32" s="193" cm="1">
        <f t="array" ref="L32">Fuel_InputFunctions.Fuel_TotalConsumption(Table_Input_Fuel[Amount consumed], Table_Input_Fuel[Fuel use (select)], D32, Table_Input_Fuel[Fuel type (select)],F32)</f>
        <v>0</v>
      </c>
      <c r="M32" s="194" t="str" cm="1">
        <f t="array" ref="M32">Common_InputFunctions.Utility_LookupValueInTable(F32,Table_FuelTypes_Units[Fuel type],Table_FuelTypes_Units[Unit])</f>
        <v>kL</v>
      </c>
      <c r="N32" s="208">
        <f>((($L32 * $G32 * H32) * 10 ^ -3))</f>
        <v>0</v>
      </c>
      <c r="O32" s="208">
        <f>((($L32 * $G32 * I32) * 10 ^ -3))</f>
        <v>0</v>
      </c>
      <c r="P32" s="208">
        <f>((($L32 * $G32 * J32) * 10 ^ -3))</f>
        <v>0</v>
      </c>
      <c r="Q32" s="208">
        <f>((($L32 * $G32 * ((IF(ISNUMBER(K32), K32, 0)))) * 10 ^ -3))</f>
        <v>0</v>
      </c>
    </row>
    <row r="33" spans="1:17" ht="20.100000000000001" customHeight="1" x14ac:dyDescent="0.25">
      <c r="D33" s="62" t="str">
        <f t="shared" ref="D33:D40" si="1">$D$32</f>
        <v>Power standalone machinery or heating</v>
      </c>
      <c r="E33" s="61" t="str">
        <f>'Constants - Fuel'!$D$63</f>
        <v>Diesel oil</v>
      </c>
      <c r="F33" s="61" t="str">
        <f>'Constants - Fuel'!E132</f>
        <v>Diesel</v>
      </c>
      <c r="G33" s="50">
        <f>IFERROR(_xlfn.XLOOKUP($E33, Table_Fuel_EFs_StationaryLiquid[Fuel combusted], Table_Fuel_EFs_StationaryLiquid[Energy Content Factor (GJ per unit of fuel)]),0)</f>
        <v>38.6</v>
      </c>
      <c r="H33" s="50">
        <f>IFERROR(_xlfn.XLOOKUP($E33, Table_Fuel_EFs_StationaryLiquid[Fuel combusted], Table_Fuel_EFs_StationaryLiquid[Scope 1 Emission Factor (kg CO2 - e / GJ) CO2]),0)</f>
        <v>69.900000000000006</v>
      </c>
      <c r="I33" s="50">
        <f>IFERROR(_xlfn.XLOOKUP($E33, Table_Fuel_EFs_StationaryLiquid[Fuel combusted], Table_Fuel_EFs_StationaryLiquid[Scope 1 Emission Factor (kg CO2 - e / GJ) CH4]),0)</f>
        <v>0.1</v>
      </c>
      <c r="J33" s="50">
        <f>IFERROR(_xlfn.XLOOKUP($E33, Table_Fuel_EFs_StationaryLiquid[Fuel combusted], Table_Fuel_EFs_StationaryLiquid[Scope 1 Emission Factor (kg CO2 - e / GJ) N2O]),0)</f>
        <v>0.2</v>
      </c>
      <c r="K33" s="50">
        <f>IFERROR(_xlfn.XLOOKUP($E33, Table_Fuel_EFs_StationaryLiquid[Fuel combusted], Table_Fuel_EFs_StationaryLiquid[Scope 3 Emission Factor (kg CO2 - e / GJ)]),0)</f>
        <v>17.3</v>
      </c>
      <c r="L33" s="50" cm="1">
        <f t="array" ref="L33">Fuel_InputFunctions.Fuel_TotalConsumption(Table_Input_Fuel[Amount consumed], Table_Input_Fuel[Fuel use (select)], D33, Table_Input_Fuel[Fuel type (select)],F33)</f>
        <v>0</v>
      </c>
      <c r="M33" s="50" t="str" cm="1">
        <f t="array" ref="M33">Common_InputFunctions.Utility_LookupValueInTable(F33,Table_FuelTypes_Units[Fuel type],Table_FuelTypes_Units[Unit])</f>
        <v>kL</v>
      </c>
      <c r="N33" s="206">
        <f>((($L33 * $G33 * H33) * 10 ^ -3))</f>
        <v>0</v>
      </c>
      <c r="O33" s="206">
        <f>((($L33 * $G33 * I33) * 10 ^ -3))</f>
        <v>0</v>
      </c>
      <c r="P33" s="206">
        <f>((($L33 * $G33 * J33) * 10 ^ -3))</f>
        <v>0</v>
      </c>
      <c r="Q33" s="206">
        <f>((($L33 * $G33 * ((IF(ISNUMBER(K33), K33, 0)))) * 10 ^ -3))</f>
        <v>0</v>
      </c>
    </row>
    <row r="34" spans="1:17" ht="20.100000000000001" customHeight="1" x14ac:dyDescent="0.25">
      <c r="D34" s="62" t="str">
        <f t="shared" si="1"/>
        <v>Power standalone machinery or heating</v>
      </c>
      <c r="E34" s="61" t="str">
        <f>'Constants - Fuel'!$D$67</f>
        <v>Liquefied petroleum gas (LPG)</v>
      </c>
      <c r="F34" s="61" t="str">
        <f>'Constants - Fuel'!E133</f>
        <v>Liquefied petroleum gas (LPG)</v>
      </c>
      <c r="G34" s="50">
        <f>IFERROR(_xlfn.XLOOKUP($E34, Table_Fuel_EFs_StationaryLiquid[Fuel combusted], Table_Fuel_EFs_StationaryLiquid[Energy Content Factor (GJ per unit of fuel)]),0)</f>
        <v>25.7</v>
      </c>
      <c r="H34" s="50">
        <f>IFERROR(_xlfn.XLOOKUP($E34, Table_Fuel_EFs_StationaryLiquid[Fuel combusted], Table_Fuel_EFs_StationaryLiquid[Scope 1 Emission Factor (kg CO2 - e / GJ) CO2]),0)</f>
        <v>60.2</v>
      </c>
      <c r="I34" s="50">
        <f>IFERROR(_xlfn.XLOOKUP($E34, Table_Fuel_EFs_StationaryLiquid[Fuel combusted], Table_Fuel_EFs_StationaryLiquid[Scope 1 Emission Factor (kg CO2 - e / GJ) CH4]),0)</f>
        <v>0.2</v>
      </c>
      <c r="J34" s="50">
        <f>IFERROR(_xlfn.XLOOKUP($E34, Table_Fuel_EFs_StationaryLiquid[Fuel combusted], Table_Fuel_EFs_StationaryLiquid[Scope 1 Emission Factor (kg CO2 - e / GJ) N2O]),0)</f>
        <v>0.2</v>
      </c>
      <c r="K34" s="50">
        <f>IFERROR(_xlfn.XLOOKUP($E34, Table_Fuel_EFs_StationaryLiquid[Fuel combusted], Table_Fuel_EFs_StationaryLiquid[Scope 3 Emission Factor (kg CO2 - e / GJ)]),0)</f>
        <v>20.2</v>
      </c>
      <c r="L34" s="50" cm="1">
        <f t="array" ref="L34">Fuel_InputFunctions.Fuel_TotalConsumption(Table_Input_Fuel[Amount consumed], Table_Input_Fuel[Fuel use (select)], D34, Table_Input_Fuel[Fuel type (select)],F34)</f>
        <v>0</v>
      </c>
      <c r="M34" s="50" t="str" cm="1">
        <f t="array" ref="M34">Common_InputFunctions.Utility_LookupValueInTable(F34,Table_FuelTypes_Units[Fuel type],Table_FuelTypes_Units[Unit])</f>
        <v>kL</v>
      </c>
      <c r="N34" s="206">
        <f>((($L34 * $G34 * H34) * 10 ^ -3))</f>
        <v>0</v>
      </c>
      <c r="O34" s="206">
        <f>((($L34 * $G34 * I34) * 10 ^ -3))</f>
        <v>0</v>
      </c>
      <c r="P34" s="206">
        <f>((($L34 * $G34 * J34) * 10 ^ -3))</f>
        <v>0</v>
      </c>
      <c r="Q34" s="206">
        <f>((($L34 * $G34 * ((IF(ISNUMBER(K34), K34, 0)))) * 10 ^ -3))</f>
        <v>0</v>
      </c>
    </row>
    <row r="35" spans="1:17" ht="20.100000000000001" customHeight="1" x14ac:dyDescent="0.25">
      <c r="D35" s="62" t="str">
        <f t="shared" si="1"/>
        <v>Power standalone machinery or heating</v>
      </c>
      <c r="E35" s="61" t="str">
        <f>'Constants - Fuel'!$D$73</f>
        <v>Biodiesel</v>
      </c>
      <c r="F35" s="61" t="str">
        <f>'Constants - Fuel'!E134</f>
        <v>Biodiesel</v>
      </c>
      <c r="G35" s="50">
        <f>IFERROR(_xlfn.XLOOKUP($E35, Table_Fuel_EFs_StationaryLiquid[Fuel combusted], Table_Fuel_EFs_StationaryLiquid[Energy Content Factor (GJ per unit of fuel)]),0)</f>
        <v>34.6</v>
      </c>
      <c r="H35" s="50">
        <f>IFERROR(_xlfn.XLOOKUP($E35, Table_Fuel_EFs_StationaryLiquid[Fuel combusted], Table_Fuel_EFs_StationaryLiquid[Scope 1 Emission Factor (kg CO2 - e / GJ) CO2]),0)</f>
        <v>0</v>
      </c>
      <c r="I35" s="50">
        <f>IFERROR(_xlfn.XLOOKUP($E35, Table_Fuel_EFs_StationaryLiquid[Fuel combusted], Table_Fuel_EFs_StationaryLiquid[Scope 1 Emission Factor (kg CO2 - e / GJ) CH4]),0)</f>
        <v>0.08</v>
      </c>
      <c r="J35" s="50">
        <f>IFERROR(_xlfn.XLOOKUP($E35, Table_Fuel_EFs_StationaryLiquid[Fuel combusted], Table_Fuel_EFs_StationaryLiquid[Scope 1 Emission Factor (kg CO2 - e / GJ) N2O]),0)</f>
        <v>0.2</v>
      </c>
      <c r="K35" s="50" t="str">
        <f>IFERROR(_xlfn.XLOOKUP($E35, Table_Fuel_EFs_StationaryLiquid[Fuel combusted], Table_Fuel_EFs_StationaryLiquid[Scope 3 Emission Factor (kg CO2 - e / GJ)]),0)</f>
        <v>NE</v>
      </c>
      <c r="L35" s="50" cm="1">
        <f t="array" ref="L35">Fuel_InputFunctions.Fuel_TotalConsumption(Table_Input_Fuel[Amount consumed], Table_Input_Fuel[Fuel use (select)], D35, Table_Input_Fuel[Fuel type (select)],F35)</f>
        <v>0</v>
      </c>
      <c r="M35" s="50" t="str" cm="1">
        <f t="array" ref="M35">Common_InputFunctions.Utility_LookupValueInTable(F35,Table_FuelTypes_Units[Fuel type],Table_FuelTypes_Units[Unit])</f>
        <v>kL</v>
      </c>
      <c r="N35" s="206">
        <f>((($L35 * $G35 * H35) * 10 ^ -3))</f>
        <v>0</v>
      </c>
      <c r="O35" s="206">
        <f>((($L35 * $G35 * I35) * 10 ^ -3))</f>
        <v>0</v>
      </c>
      <c r="P35" s="206">
        <f>((($L35 * $G35 * J35) * 10 ^ -3))</f>
        <v>0</v>
      </c>
      <c r="Q35" s="206">
        <f>((($L35 * $G35 * ((IF(ISNUMBER(K35), K35, 0)))) * 10 ^ -3))</f>
        <v>0</v>
      </c>
    </row>
    <row r="36" spans="1:17" ht="20.100000000000001" customHeight="1" x14ac:dyDescent="0.25">
      <c r="D36" s="62" t="str">
        <f t="shared" si="1"/>
        <v>Power standalone machinery or heating</v>
      </c>
      <c r="E36" s="61" t="str">
        <f>'Constants - Fuel'!$D$74</f>
        <v>Ethanol for use as a fuel in an internal combustion engine</v>
      </c>
      <c r="F36" s="61" t="str">
        <f>'Constants - Fuel'!E135</f>
        <v>Ethanol</v>
      </c>
      <c r="G36" s="50">
        <f>IFERROR(_xlfn.XLOOKUP($E36, Table_Fuel_EFs_StationaryLiquid[Fuel combusted], Table_Fuel_EFs_StationaryLiquid[Energy Content Factor (GJ per unit of fuel)]),0)</f>
        <v>23.4</v>
      </c>
      <c r="H36" s="50">
        <f>IFERROR(_xlfn.XLOOKUP($E36, Table_Fuel_EFs_StationaryLiquid[Fuel combusted], Table_Fuel_EFs_StationaryLiquid[Scope 1 Emission Factor (kg CO2 - e / GJ) CO2]),0)</f>
        <v>0</v>
      </c>
      <c r="I36" s="50">
        <f>IFERROR(_xlfn.XLOOKUP($E36, Table_Fuel_EFs_StationaryLiquid[Fuel combusted], Table_Fuel_EFs_StationaryLiquid[Scope 1 Emission Factor (kg CO2 - e / GJ) CH4]),0)</f>
        <v>0.08</v>
      </c>
      <c r="J36" s="50">
        <f>IFERROR(_xlfn.XLOOKUP($E36, Table_Fuel_EFs_StationaryLiquid[Fuel combusted], Table_Fuel_EFs_StationaryLiquid[Scope 1 Emission Factor (kg CO2 - e / GJ) N2O]),0)</f>
        <v>0.2</v>
      </c>
      <c r="K36" s="50" t="str">
        <f>IFERROR(_xlfn.XLOOKUP($E36, Table_Fuel_EFs_StationaryLiquid[Fuel combusted], Table_Fuel_EFs_StationaryLiquid[Scope 3 Emission Factor (kg CO2 - e / GJ)]),0)</f>
        <v>NE</v>
      </c>
      <c r="L36" s="50" cm="1">
        <f t="array" ref="L36">Fuel_InputFunctions.Fuel_TotalConsumption(Table_Input_Fuel[Amount consumed], Table_Input_Fuel[Fuel use (select)], D36, Table_Input_Fuel[Fuel type (select)],F36)</f>
        <v>0</v>
      </c>
      <c r="M36" s="50" t="str" cm="1">
        <f t="array" ref="M36">Common_InputFunctions.Utility_LookupValueInTable(F36,Table_FuelTypes_Units[Fuel type],Table_FuelTypes_Units[Unit])</f>
        <v>kL</v>
      </c>
      <c r="N36" s="206">
        <f>((($L36 * $G36 * H36) * 10 ^ -3))</f>
        <v>0</v>
      </c>
      <c r="O36" s="206">
        <f>((($L36 * $G36 * I36) * 10 ^ -3))</f>
        <v>0</v>
      </c>
      <c r="P36" s="206">
        <f>((($L36 * $G36 * J36) * 10 ^ -3))</f>
        <v>0</v>
      </c>
      <c r="Q36" s="206">
        <f>((($L36 * $G36 * ((IF(ISNUMBER(K36), K36, 0)))) * 10 ^ -3))</f>
        <v>0</v>
      </c>
    </row>
    <row r="37" spans="1:17" ht="20.100000000000001" customHeight="1" x14ac:dyDescent="0.25">
      <c r="D37" s="62" t="str">
        <f t="shared" si="1"/>
        <v>Power standalone machinery or heating</v>
      </c>
      <c r="E37" s="61" t="str">
        <f>'Constants - Fuel'!$D$75</f>
        <v>Biofuels other than those mentioned in the items above and below</v>
      </c>
      <c r="F37" s="61" t="str">
        <f>'Constants - Fuel'!E136</f>
        <v>Other biofuels</v>
      </c>
      <c r="G37" s="50">
        <f>IFERROR(_xlfn.XLOOKUP($E37, Table_Fuel_EFs_StationaryLiquid[Fuel combusted], Table_Fuel_EFs_StationaryLiquid[Energy Content Factor (GJ per unit of fuel)]),0)</f>
        <v>23.4</v>
      </c>
      <c r="H37" s="50">
        <f>IFERROR(_xlfn.XLOOKUP($E37, Table_Fuel_EFs_StationaryLiquid[Fuel combusted], Table_Fuel_EFs_StationaryLiquid[Scope 1 Emission Factor (kg CO2 - e / GJ) CO2]),0)</f>
        <v>0</v>
      </c>
      <c r="I37" s="50">
        <f>IFERROR(_xlfn.XLOOKUP($E37, Table_Fuel_EFs_StationaryLiquid[Fuel combusted], Table_Fuel_EFs_StationaryLiquid[Scope 1 Emission Factor (kg CO2 - e / GJ) CH4]),0)</f>
        <v>0.08</v>
      </c>
      <c r="J37" s="50">
        <f>IFERROR(_xlfn.XLOOKUP($E37, Table_Fuel_EFs_StationaryLiquid[Fuel combusted], Table_Fuel_EFs_StationaryLiquid[Scope 1 Emission Factor (kg CO2 - e / GJ) N2O]),0)</f>
        <v>0.2</v>
      </c>
      <c r="K37" s="50" t="str">
        <f>IFERROR(_xlfn.XLOOKUP($E37, Table_Fuel_EFs_StationaryLiquid[Fuel combusted], Table_Fuel_EFs_StationaryLiquid[Scope 3 Emission Factor (kg CO2 - e / GJ)]),0)</f>
        <v>NE</v>
      </c>
      <c r="L37" s="50" cm="1">
        <f t="array" ref="L37">Fuel_InputFunctions.Fuel_TotalConsumption(Table_Input_Fuel[Amount consumed], Table_Input_Fuel[Fuel use (select)], D37, Table_Input_Fuel[Fuel type (select)],F37)</f>
        <v>0</v>
      </c>
      <c r="M37" s="50" t="str" cm="1">
        <f t="array" ref="M37">Common_InputFunctions.Utility_LookupValueInTable(F37,Table_FuelTypes_Units[Fuel type],Table_FuelTypes_Units[Unit])</f>
        <v>kL</v>
      </c>
      <c r="N37" s="206">
        <f>((($L37 * $G37 * H37) * 10 ^ -3))</f>
        <v>0</v>
      </c>
      <c r="O37" s="206">
        <f>((($L37 * $G37 * I37) * 10 ^ -3))</f>
        <v>0</v>
      </c>
      <c r="P37" s="206">
        <f>((($L37 * $G37 * J37) * 10 ^ -3))</f>
        <v>0</v>
      </c>
      <c r="Q37" s="206">
        <f>((($L37 * $G37 * ((IF(ISNUMBER(K37), K37, 0)))) * 10 ^ -3))</f>
        <v>0</v>
      </c>
    </row>
    <row r="38" spans="1:17" ht="20.100000000000001" customHeight="1" x14ac:dyDescent="0.25">
      <c r="A38" s="56" t="str">
        <f>HYPERLINK("#A1", "▲ Back to top")</f>
        <v>▲ Back to top</v>
      </c>
      <c r="D38" s="62" t="str">
        <f t="shared" si="1"/>
        <v>Power standalone machinery or heating</v>
      </c>
      <c r="E38" s="61" t="str">
        <f>'Constants - Fuel'!$D$77</f>
        <v>Renewable diesel</v>
      </c>
      <c r="F38" s="61" t="str">
        <f>'Constants - Fuel'!E137</f>
        <v>Renewable diesel</v>
      </c>
      <c r="G38" s="50">
        <f>IFERROR(_xlfn.XLOOKUP($E38, Table_Fuel_EFs_StationaryLiquid[Fuel combusted], Table_Fuel_EFs_StationaryLiquid[Energy Content Factor (GJ per unit of fuel)]),0)</f>
        <v>38.6</v>
      </c>
      <c r="H38" s="50">
        <f>IFERROR(_xlfn.XLOOKUP($E38, Table_Fuel_EFs_StationaryLiquid[Fuel combusted], Table_Fuel_EFs_StationaryLiquid[Scope 1 Emission Factor (kg CO2 - e / GJ) CO2]),0)</f>
        <v>0</v>
      </c>
      <c r="I38" s="50">
        <f>IFERROR(_xlfn.XLOOKUP($E38, Table_Fuel_EFs_StationaryLiquid[Fuel combusted], Table_Fuel_EFs_StationaryLiquid[Scope 1 Emission Factor (kg CO2 - e / GJ) CH4]),0)</f>
        <v>0.1</v>
      </c>
      <c r="J38" s="50">
        <f>IFERROR(_xlfn.XLOOKUP($E38, Table_Fuel_EFs_StationaryLiquid[Fuel combusted], Table_Fuel_EFs_StationaryLiquid[Scope 1 Emission Factor (kg CO2 - e / GJ) N2O]),0)</f>
        <v>0.2</v>
      </c>
      <c r="K38" s="50" t="str">
        <f>IFERROR(_xlfn.XLOOKUP($E38, Table_Fuel_EFs_StationaryLiquid[Fuel combusted], Table_Fuel_EFs_StationaryLiquid[Scope 3 Emission Factor (kg CO2 - e / GJ)]),0)</f>
        <v>NE</v>
      </c>
      <c r="L38" s="50" cm="1">
        <f t="array" ref="L38">Fuel_InputFunctions.Fuel_TotalConsumption(Table_Input_Fuel[Amount consumed], Table_Input_Fuel[Fuel use (select)], D38, Table_Input_Fuel[Fuel type (select)],F38)</f>
        <v>0</v>
      </c>
      <c r="M38" s="50" t="str" cm="1">
        <f t="array" ref="M38">Common_InputFunctions.Utility_LookupValueInTable(F38,Table_FuelTypes_Units[Fuel type],Table_FuelTypes_Units[Unit])</f>
        <v>kL</v>
      </c>
      <c r="N38" s="206">
        <f>((($L38 * $G38 * H38) * 10 ^ -3))</f>
        <v>0</v>
      </c>
      <c r="O38" s="206">
        <f>((($L38 * $G38 * I38) * 10 ^ -3))</f>
        <v>0</v>
      </c>
      <c r="P38" s="206">
        <f>((($L38 * $G38 * J38) * 10 ^ -3))</f>
        <v>0</v>
      </c>
      <c r="Q38" s="206">
        <f>((($L38 * $G38 * ((IF(ISNUMBER(K38), K38, 0)))) * 10 ^ -3))</f>
        <v>0</v>
      </c>
    </row>
    <row r="39" spans="1:17" ht="20.100000000000001" customHeight="1" x14ac:dyDescent="0.25">
      <c r="D39" s="62" t="str">
        <f t="shared" si="1"/>
        <v>Power standalone machinery or heating</v>
      </c>
      <c r="E39" s="61" t="str">
        <f>'Constants - Fuel'!$D$103</f>
        <v>Natural gas distributed in a pipeline - Gigajoules</v>
      </c>
      <c r="F39" s="61" t="str">
        <f>'Constants - Fuel'!E138</f>
        <v>Natural gas (via pipeline) in GJ</v>
      </c>
      <c r="G39" s="50">
        <f>IFERROR(_xlfn.XLOOKUP($E39, Table_Fuel_EFs_StationaryGaseous[Fuel combusted], Table_Fuel_EFs_StationaryGaseous[Energy Content Factor (GJ per unit of fuel)]),0)</f>
        <v>1</v>
      </c>
      <c r="H39" s="50">
        <f>IFERROR(_xlfn.XLOOKUP($E39, Table_Fuel_EFs_StationaryGaseous[Fuel combusted], Table_Fuel_EFs_StationaryGaseous[Scope 1 Emission Factor (kg CO2 - e / GJ) CO2]),0)</f>
        <v>51.4</v>
      </c>
      <c r="I39" s="50">
        <f>IFERROR(_xlfn.XLOOKUP($E39, Table_Fuel_EFs_StationaryGaseous[Fuel combusted], Table_Fuel_EFs_StationaryGaseous[Scope 1 Emission Factor (kg CO2 - e / GJ) CH4]),0)</f>
        <v>0.1</v>
      </c>
      <c r="J39" s="50">
        <f>IFERROR(_xlfn.XLOOKUP($E39, Table_Fuel_EFs_StationaryGaseous[Fuel combusted], Table_Fuel_EFs_StationaryGaseous[Scope 1 Emission Factor (kg CO2 - e / GJ) N2O]),0)</f>
        <v>0.03</v>
      </c>
      <c r="K39" s="50" cm="1">
        <f t="array" ref="K39">IFERROR(Common_InputFunctions.Utility_LookupValueInTableOneColumnAndHeader($P$17,$P$18,Table_Fuel_EFs_StationaryGaseous34[State or territory],Table_Fuel_EFs_StationaryGaseous34[#Headers],Table_Fuel_EFs_StationaryGaseous34[]),0)</f>
        <v>13.1</v>
      </c>
      <c r="L39" s="187" cm="1">
        <f t="array" ref="L39">Fuel_InputFunctions.Fuel_TotalConsumption(Table_Input_Fuel[Amount consumed], Table_Input_Fuel[Fuel use (select)], D39, Table_Input_Fuel[Fuel type (select)],F39)</f>
        <v>0</v>
      </c>
      <c r="M39" s="187" t="str" cm="1">
        <f t="array" ref="M39">Common_InputFunctions.Utility_LookupValueInTable(F39,Table_FuelTypes_Units[Fuel type],Table_FuelTypes_Units[Unit])</f>
        <v>GJ</v>
      </c>
      <c r="N39" s="206">
        <f>((($L39 * $G39 * H39) * 10 ^ -3))</f>
        <v>0</v>
      </c>
      <c r="O39" s="206">
        <f>((($L39 * $G39 * I39) * 10 ^ -3))</f>
        <v>0</v>
      </c>
      <c r="P39" s="206">
        <f>((($L39 * $G39 * J39) * 10 ^ -3))</f>
        <v>0</v>
      </c>
      <c r="Q39" s="206">
        <f>((($L39 * $G39 * ((IF(ISNUMBER(K39), K39, 0)))) * 10 ^ -3))</f>
        <v>0</v>
      </c>
    </row>
    <row r="40" spans="1:17" ht="20.100000000000001" customHeight="1" x14ac:dyDescent="0.25">
      <c r="D40" s="62" t="str">
        <f t="shared" si="1"/>
        <v>Power standalone machinery or heating</v>
      </c>
      <c r="E40" s="61" t="str">
        <f>'Constants - Fuel'!$D$104</f>
        <v>Town gas - Gigajoules</v>
      </c>
      <c r="F40" s="61" t="str">
        <f>'Constants - Fuel'!E139</f>
        <v>Town gas in GJ</v>
      </c>
      <c r="G40" s="50">
        <f>IFERROR(_xlfn.XLOOKUP($E40, Table_Fuel_EFs_StationaryGaseous[Fuel combusted], Table_Fuel_EFs_StationaryGaseous[Energy Content Factor (GJ per unit of fuel)]),0)</f>
        <v>1</v>
      </c>
      <c r="H40" s="50">
        <f>IFERROR(_xlfn.XLOOKUP($E40, Table_Fuel_EFs_StationaryGaseous[Fuel combusted], Table_Fuel_EFs_StationaryGaseous[Scope 1 Emission Factor (kg CO2 - e / GJ) CO2]),0)</f>
        <v>60.2</v>
      </c>
      <c r="I40" s="50">
        <f>IFERROR(_xlfn.XLOOKUP($E40, Table_Fuel_EFs_StationaryGaseous[Fuel combusted], Table_Fuel_EFs_StationaryGaseous[Scope 1 Emission Factor (kg CO2 - e / GJ) CH4]),0)</f>
        <v>0.04</v>
      </c>
      <c r="J40" s="50">
        <f>IFERROR(_xlfn.XLOOKUP($E40, Table_Fuel_EFs_StationaryGaseous[Fuel combusted], Table_Fuel_EFs_StationaryGaseous[Scope 1 Emission Factor (kg CO2 - e / GJ) N2O]),0)</f>
        <v>0.03</v>
      </c>
      <c r="K40" s="50" cm="1">
        <f t="array" ref="K40">IFERROR(Common_InputFunctions.Utility_LookupValueInTableOneColumnAndHeader($P$17,$P$18,Table_Fuel_EFs_StationaryGaseous34[State or territory],Table_Fuel_EFs_StationaryGaseous34[#Headers],Table_Fuel_EFs_StationaryGaseous34[]),0)</f>
        <v>13.1</v>
      </c>
      <c r="L40" s="187" cm="1">
        <f t="array" ref="L40">Fuel_InputFunctions.Fuel_TotalConsumption(Table_Input_Fuel[Amount consumed], Table_Input_Fuel[Fuel use (select)], D40, Table_Input_Fuel[Fuel type (select)],F40)</f>
        <v>0.2</v>
      </c>
      <c r="M40" s="187" t="str" cm="1">
        <f t="array" ref="M40">Common_InputFunctions.Utility_LookupValueInTable(F40,Table_FuelTypes_Units[Fuel type],Table_FuelTypes_Units[Unit])</f>
        <v>GJ</v>
      </c>
      <c r="N40" s="206">
        <f>((($L40 * $G40 * H40) * 10 ^ -3))</f>
        <v>1.204E-2</v>
      </c>
      <c r="O40" s="206">
        <f>((($L40 * $G40 * I40) * 10 ^ -3))</f>
        <v>7.9999999999999996E-6</v>
      </c>
      <c r="P40" s="206">
        <f>((($L40 * $G40 * J40) * 10 ^ -3))</f>
        <v>6.0000000000000002E-6</v>
      </c>
      <c r="Q40" s="206">
        <f>((($L40 * $G40 * ((IF(ISNUMBER(K40), K40, 0)))) * 10 ^ -3))</f>
        <v>2.6200000000000004E-3</v>
      </c>
    </row>
    <row r="41" spans="1:17" ht="20.100000000000001" customHeight="1" x14ac:dyDescent="0.25"/>
    <row r="42" spans="1:17" ht="20.100000000000001" customHeight="1" x14ac:dyDescent="0.25">
      <c r="D42" s="199" t="str">
        <f>"Total scope 1 - " &amp; D25</f>
        <v>Total scope 1 - Generators</v>
      </c>
      <c r="E42" s="200"/>
      <c r="F42" s="201"/>
    </row>
    <row r="43" spans="1:17" ht="20.100000000000001" customHeight="1" x14ac:dyDescent="0.25">
      <c r="D43" s="7" t="s">
        <v>736</v>
      </c>
      <c r="E43" s="202">
        <f>SUM(N25:N31)</f>
        <v>0</v>
      </c>
      <c r="F43" s="68" t="str">
        <f>$E$12</f>
        <v>t CO2-e</v>
      </c>
    </row>
    <row r="44" spans="1:17" ht="20.100000000000001" customHeight="1" x14ac:dyDescent="0.25">
      <c r="D44" s="7" t="s">
        <v>737</v>
      </c>
      <c r="E44" s="202">
        <f>SUM(O25:O31)</f>
        <v>0</v>
      </c>
      <c r="F44" s="68" t="str">
        <f t="shared" ref="F44:F46" si="2">$E$12</f>
        <v>t CO2-e</v>
      </c>
    </row>
    <row r="45" spans="1:17" ht="20.100000000000001" customHeight="1" x14ac:dyDescent="0.25">
      <c r="D45" s="7" t="s">
        <v>738</v>
      </c>
      <c r="E45" s="202">
        <f>SUM(P25:P31)</f>
        <v>0</v>
      </c>
      <c r="F45" s="68" t="str">
        <f t="shared" si="2"/>
        <v>t CO2-e</v>
      </c>
    </row>
    <row r="46" spans="1:17" ht="20.100000000000001" customHeight="1" x14ac:dyDescent="0.25">
      <c r="D46" s="7" t="s">
        <v>739</v>
      </c>
      <c r="E46" s="202">
        <f>SUM(Q25:Q31)</f>
        <v>0</v>
      </c>
      <c r="F46" s="68" t="str">
        <f t="shared" si="2"/>
        <v>t CO2-e</v>
      </c>
    </row>
    <row r="47" spans="1:17" ht="20.100000000000001" customHeight="1" x14ac:dyDescent="0.25">
      <c r="H47" s="17"/>
      <c r="I47" s="17"/>
      <c r="J47" s="17"/>
      <c r="L47" s="17"/>
      <c r="N47" s="17"/>
      <c r="O47" s="17"/>
      <c r="P47" s="17"/>
      <c r="Q47" s="17"/>
    </row>
    <row r="48" spans="1:17" ht="20.100000000000001" customHeight="1" x14ac:dyDescent="0.25">
      <c r="D48" s="199" t="str">
        <f>"Total scope 1 - " &amp; D32</f>
        <v>Total scope 1 - Power standalone machinery or heating</v>
      </c>
      <c r="E48" s="203"/>
      <c r="F48" s="201"/>
      <c r="H48" s="17"/>
      <c r="I48" s="17"/>
      <c r="J48" s="17"/>
      <c r="L48" s="17"/>
      <c r="N48" s="17"/>
      <c r="O48" s="17"/>
      <c r="P48" s="17"/>
      <c r="Q48" s="17"/>
    </row>
    <row r="49" spans="4:17" ht="20.100000000000001" customHeight="1" x14ac:dyDescent="0.25">
      <c r="D49" s="7" t="s">
        <v>736</v>
      </c>
      <c r="E49" s="202">
        <f>SUM(N32:N40)</f>
        <v>1.204E-2</v>
      </c>
      <c r="F49" s="68" t="str">
        <f t="shared" ref="F49:F52" si="3">$E$12</f>
        <v>t CO2-e</v>
      </c>
      <c r="H49" s="17"/>
      <c r="I49" s="17"/>
      <c r="J49" s="17"/>
      <c r="L49" s="17"/>
      <c r="N49" s="17"/>
      <c r="O49" s="17"/>
      <c r="P49" s="17"/>
      <c r="Q49" s="17"/>
    </row>
    <row r="50" spans="4:17" ht="20.100000000000001" customHeight="1" x14ac:dyDescent="0.25">
      <c r="D50" s="7" t="s">
        <v>737</v>
      </c>
      <c r="E50" s="202">
        <f>SUM(O32:O40)</f>
        <v>7.9999999999999996E-6</v>
      </c>
      <c r="F50" s="68" t="str">
        <f t="shared" si="3"/>
        <v>t CO2-e</v>
      </c>
      <c r="H50" s="17"/>
      <c r="I50" s="17"/>
      <c r="J50" s="17"/>
      <c r="L50" s="17"/>
      <c r="N50" s="17"/>
      <c r="O50" s="17"/>
      <c r="P50" s="17"/>
      <c r="Q50" s="17"/>
    </row>
    <row r="51" spans="4:17" ht="20.100000000000001" customHeight="1" x14ac:dyDescent="0.25">
      <c r="D51" s="7" t="s">
        <v>738</v>
      </c>
      <c r="E51" s="202">
        <f>SUM(P32:P40)</f>
        <v>6.0000000000000002E-6</v>
      </c>
      <c r="F51" s="68" t="str">
        <f t="shared" si="3"/>
        <v>t CO2-e</v>
      </c>
      <c r="H51" s="17"/>
      <c r="I51" s="17"/>
      <c r="J51" s="17"/>
      <c r="L51" s="17"/>
      <c r="N51" s="17"/>
      <c r="O51" s="17"/>
      <c r="P51" s="17"/>
      <c r="Q51" s="17"/>
    </row>
    <row r="52" spans="4:17" ht="20.100000000000001" customHeight="1" x14ac:dyDescent="0.25">
      <c r="D52" s="7" t="s">
        <v>739</v>
      </c>
      <c r="E52" s="202">
        <f>SUM(Q32:Q40)</f>
        <v>2.6200000000000004E-3</v>
      </c>
      <c r="F52" s="68" t="str">
        <f t="shared" si="3"/>
        <v>t CO2-e</v>
      </c>
      <c r="G52" s="17"/>
      <c r="H52" s="17"/>
      <c r="I52" s="17"/>
      <c r="J52" s="17"/>
      <c r="L52" s="17"/>
      <c r="N52" s="17"/>
      <c r="O52" s="17"/>
      <c r="P52" s="17"/>
      <c r="Q52" s="17"/>
    </row>
    <row r="53" spans="4:17" ht="20.100000000000001" customHeight="1" x14ac:dyDescent="0.25">
      <c r="G53" s="17"/>
      <c r="H53" s="17"/>
      <c r="I53" s="17"/>
      <c r="J53" s="17"/>
      <c r="L53" s="17"/>
      <c r="N53" s="17"/>
      <c r="O53" s="17"/>
      <c r="P53" s="17"/>
      <c r="Q53" s="17"/>
    </row>
    <row r="54" spans="4:17" ht="20.100000000000001" customHeight="1" x14ac:dyDescent="0.25">
      <c r="D54" s="199" t="s">
        <v>750</v>
      </c>
      <c r="E54" s="203"/>
      <c r="F54" s="201"/>
      <c r="G54" s="17"/>
      <c r="H54" s="17"/>
      <c r="I54" s="17"/>
      <c r="J54" s="17"/>
      <c r="L54" s="17"/>
      <c r="N54" s="17"/>
      <c r="O54" s="17"/>
      <c r="P54" s="17"/>
      <c r="Q54" s="17"/>
    </row>
    <row r="55" spans="4:17" ht="20.100000000000001" customHeight="1" x14ac:dyDescent="0.25">
      <c r="D55" s="7" t="s">
        <v>736</v>
      </c>
      <c r="E55" s="202">
        <f>E43+E49</f>
        <v>1.204E-2</v>
      </c>
      <c r="F55" s="68" t="str">
        <f t="shared" ref="F55:F58" si="4">$E$12</f>
        <v>t CO2-e</v>
      </c>
      <c r="G55" s="17"/>
      <c r="H55" s="17"/>
      <c r="I55" s="17"/>
      <c r="J55" s="17"/>
      <c r="L55" s="17"/>
      <c r="N55" s="17"/>
      <c r="O55" s="17"/>
      <c r="P55" s="17"/>
      <c r="Q55" s="17"/>
    </row>
    <row r="56" spans="4:17" ht="20.100000000000001" customHeight="1" x14ac:dyDescent="0.25">
      <c r="D56" s="7" t="s">
        <v>737</v>
      </c>
      <c r="E56" s="202">
        <f>E44+E50</f>
        <v>7.9999999999999996E-6</v>
      </c>
      <c r="F56" s="68" t="str">
        <f t="shared" si="4"/>
        <v>t CO2-e</v>
      </c>
    </row>
    <row r="57" spans="4:17" ht="20.100000000000001" customHeight="1" x14ac:dyDescent="0.25">
      <c r="D57" s="7" t="s">
        <v>738</v>
      </c>
      <c r="E57" s="202">
        <f>E45+E51</f>
        <v>6.0000000000000002E-6</v>
      </c>
      <c r="F57" s="68" t="str">
        <f t="shared" si="4"/>
        <v>t CO2-e</v>
      </c>
      <c r="G57" s="17"/>
      <c r="H57" s="17"/>
      <c r="I57" s="17"/>
      <c r="J57" s="17"/>
      <c r="L57" s="17"/>
      <c r="N57" s="17"/>
      <c r="O57" s="17"/>
      <c r="P57" s="17"/>
      <c r="Q57" s="17"/>
    </row>
    <row r="58" spans="4:17" ht="20.100000000000001" customHeight="1" x14ac:dyDescent="0.25">
      <c r="D58" s="7" t="s">
        <v>739</v>
      </c>
      <c r="E58" s="202">
        <f>E46+E52</f>
        <v>2.6200000000000004E-3</v>
      </c>
      <c r="F58" s="68" t="str">
        <f t="shared" si="4"/>
        <v>t CO2-e</v>
      </c>
      <c r="G58" s="17"/>
      <c r="H58" s="17"/>
      <c r="I58" s="17"/>
      <c r="J58" s="17"/>
      <c r="L58" s="17"/>
      <c r="N58" s="17"/>
      <c r="O58" s="17"/>
      <c r="P58" s="17"/>
      <c r="Q58" s="17"/>
    </row>
    <row r="59" spans="4:17" ht="20.100000000000001" customHeight="1" x14ac:dyDescent="0.25">
      <c r="G59" s="17"/>
      <c r="H59" s="17"/>
      <c r="I59" s="17"/>
      <c r="J59" s="17"/>
      <c r="L59" s="17"/>
      <c r="N59" s="17"/>
      <c r="O59" s="17"/>
      <c r="P59" s="17"/>
      <c r="Q59" s="17"/>
    </row>
    <row r="60" spans="4:17" ht="20.100000000000001" customHeight="1" x14ac:dyDescent="0.25">
      <c r="G60" s="17"/>
      <c r="H60" s="17"/>
      <c r="I60" s="17"/>
      <c r="J60" s="17"/>
      <c r="L60" s="17"/>
      <c r="N60" s="17"/>
      <c r="O60" s="17"/>
      <c r="P60" s="17"/>
      <c r="Q60" s="17"/>
    </row>
    <row r="61" spans="4:17" ht="20.100000000000001" customHeight="1" x14ac:dyDescent="0.25">
      <c r="G61" s="17"/>
      <c r="H61" s="17"/>
      <c r="I61" s="17"/>
      <c r="J61" s="17"/>
      <c r="L61" s="17"/>
      <c r="N61" s="17"/>
      <c r="O61" s="17"/>
      <c r="P61" s="17"/>
      <c r="Q61" s="17"/>
    </row>
    <row r="62" spans="4:17" ht="20.100000000000001" customHeight="1" x14ac:dyDescent="0.25">
      <c r="G62" s="17"/>
      <c r="H62" s="17"/>
      <c r="I62" s="17"/>
      <c r="J62" s="17"/>
      <c r="L62" s="17"/>
      <c r="N62" s="17"/>
      <c r="O62" s="17"/>
      <c r="P62" s="17"/>
      <c r="Q62" s="17"/>
    </row>
    <row r="63" spans="4:17" ht="20.100000000000001" customHeight="1" x14ac:dyDescent="0.25">
      <c r="G63" s="17"/>
      <c r="H63" s="17"/>
      <c r="I63" s="17"/>
      <c r="J63" s="17"/>
      <c r="L63" s="17"/>
      <c r="N63" s="17"/>
      <c r="O63" s="17"/>
      <c r="P63" s="17"/>
      <c r="Q63" s="17"/>
    </row>
    <row r="64" spans="4:17" ht="20.100000000000001" customHeight="1" x14ac:dyDescent="0.25">
      <c r="G64" s="17"/>
      <c r="H64" s="17"/>
      <c r="I64" s="17"/>
      <c r="J64" s="17"/>
      <c r="L64" s="17"/>
      <c r="N64" s="17"/>
      <c r="O64" s="17"/>
      <c r="P64" s="17"/>
      <c r="Q64" s="17"/>
    </row>
    <row r="65" spans="1:17" ht="20.100000000000001" customHeight="1" x14ac:dyDescent="0.25">
      <c r="G65" s="17"/>
      <c r="H65" s="17"/>
      <c r="I65" s="17"/>
      <c r="J65" s="17"/>
      <c r="L65" s="17"/>
      <c r="N65" s="17"/>
      <c r="O65" s="17"/>
      <c r="P65" s="17"/>
      <c r="Q65" s="17"/>
    </row>
    <row r="66" spans="1:17" ht="20.100000000000001" customHeight="1" x14ac:dyDescent="0.25">
      <c r="G66" s="17"/>
      <c r="H66" s="17"/>
      <c r="I66" s="17"/>
      <c r="J66" s="17"/>
      <c r="L66" s="17"/>
      <c r="N66" s="17"/>
      <c r="O66" s="17"/>
      <c r="P66" s="17"/>
      <c r="Q66" s="17"/>
    </row>
    <row r="67" spans="1:17" ht="20.100000000000001" customHeight="1" x14ac:dyDescent="0.25">
      <c r="G67" s="17"/>
    </row>
    <row r="68" spans="1:17" ht="20.100000000000001" customHeight="1" x14ac:dyDescent="0.25">
      <c r="G68" s="17"/>
    </row>
    <row r="69" spans="1:17" ht="20.100000000000001" customHeight="1" x14ac:dyDescent="0.25">
      <c r="G69" s="17"/>
    </row>
    <row r="70" spans="1:17" ht="20.100000000000001" customHeight="1" x14ac:dyDescent="0.25">
      <c r="G70" s="17"/>
    </row>
    <row r="71" spans="1:17" ht="20.100000000000001" customHeight="1" x14ac:dyDescent="0.25">
      <c r="G71" s="17"/>
    </row>
    <row r="72" spans="1:17" ht="20.100000000000001" customHeight="1" x14ac:dyDescent="0.25"/>
    <row r="73" spans="1:17" ht="20.100000000000001" customHeight="1" x14ac:dyDescent="0.25"/>
    <row r="74" spans="1:17" ht="20.100000000000001" customHeight="1" x14ac:dyDescent="0.25"/>
    <row r="75" spans="1:17" ht="20.100000000000001" customHeight="1" x14ac:dyDescent="0.25"/>
    <row r="76" spans="1:17" ht="20.100000000000001" customHeight="1" x14ac:dyDescent="0.25">
      <c r="A76" s="56" t="str">
        <f>HYPERLINK("#A1", "▲ Back to top")</f>
        <v>▲ Back to top</v>
      </c>
    </row>
    <row r="77" spans="1:17" ht="20.100000000000001" customHeight="1" x14ac:dyDescent="0.25"/>
    <row r="78" spans="1:17" ht="20.100000000000001" customHeight="1" x14ac:dyDescent="0.25"/>
    <row r="79" spans="1:17" ht="20.100000000000001" customHeight="1" x14ac:dyDescent="0.25"/>
    <row r="80" spans="1:17"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8C099-CA4F-45D0-9F7B-FE40BE525417}">
  <sheetPr>
    <tabColor theme="2" tint="-0.499984740745262"/>
  </sheetPr>
  <dimension ref="C1:Q238"/>
  <sheetViews>
    <sheetView showGridLines="0" topLeftCell="A54" zoomScale="85" zoomScaleNormal="85" workbookViewId="0">
      <selection activeCell="E21" sqref="E21"/>
    </sheetView>
  </sheetViews>
  <sheetFormatPr defaultRowHeight="15.75" x14ac:dyDescent="0.25"/>
  <cols>
    <col min="1" max="1" width="30.625" customWidth="1"/>
    <col min="2" max="2" width="4.625" customWidth="1"/>
    <col min="3" max="3" width="4.625" style="8" customWidth="1"/>
    <col min="4" max="16" width="30.625" style="8" customWidth="1"/>
    <col min="17" max="17" width="9" style="8"/>
  </cols>
  <sheetData>
    <row r="1" spans="3:17" ht="30" customHeight="1" x14ac:dyDescent="0.25">
      <c r="C1"/>
      <c r="D1"/>
      <c r="E1"/>
      <c r="F1"/>
      <c r="G1"/>
      <c r="H1"/>
      <c r="I1"/>
      <c r="J1"/>
      <c r="K1"/>
      <c r="L1"/>
      <c r="M1"/>
      <c r="N1"/>
      <c r="O1"/>
      <c r="P1"/>
      <c r="Q1"/>
    </row>
    <row r="2" spans="3:17" ht="20.100000000000001" customHeight="1" x14ac:dyDescent="0.25">
      <c r="C2"/>
      <c r="D2"/>
      <c r="E2"/>
      <c r="F2"/>
      <c r="G2"/>
      <c r="H2"/>
      <c r="I2"/>
      <c r="J2"/>
      <c r="K2"/>
      <c r="L2"/>
      <c r="M2"/>
      <c r="N2"/>
      <c r="O2"/>
      <c r="P2"/>
      <c r="Q2"/>
    </row>
    <row r="3" spans="3:17" ht="20.100000000000001" customHeight="1" x14ac:dyDescent="0.25"/>
    <row r="4" spans="3:17" ht="20.100000000000001" customHeight="1" x14ac:dyDescent="0.25"/>
    <row r="5" spans="3:17" ht="20.100000000000001" customHeight="1" x14ac:dyDescent="0.25"/>
    <row r="6" spans="3:17" ht="20.100000000000001" customHeight="1" x14ac:dyDescent="0.25"/>
    <row r="7" spans="3:17" ht="20.100000000000001" customHeight="1" x14ac:dyDescent="0.25"/>
    <row r="8" spans="3:17" ht="20.100000000000001" customHeight="1" x14ac:dyDescent="0.25"/>
    <row r="9" spans="3:17" ht="20.100000000000001" customHeight="1" x14ac:dyDescent="0.25"/>
    <row r="10" spans="3:17" ht="20.100000000000001" customHeight="1" x14ac:dyDescent="0.25"/>
    <row r="11" spans="3:17" ht="20.100000000000001" customHeight="1" x14ac:dyDescent="0.25"/>
    <row r="12" spans="3:17" ht="20.100000000000001" customHeight="1" x14ac:dyDescent="0.25"/>
    <row r="13" spans="3:17" ht="20.100000000000001" customHeight="1" x14ac:dyDescent="0.25"/>
    <row r="14" spans="3:17" ht="20.100000000000001" customHeight="1" x14ac:dyDescent="0.25"/>
    <row r="15" spans="3:17" ht="20.100000000000001" customHeight="1" x14ac:dyDescent="0.25"/>
    <row r="16" spans="3:17" ht="20.100000000000001" customHeight="1" x14ac:dyDescent="0.25"/>
    <row r="17" spans="4:11" ht="20.100000000000001" customHeight="1" x14ac:dyDescent="0.25"/>
    <row r="18" spans="4:11" ht="20.100000000000001" customHeight="1" x14ac:dyDescent="0.25"/>
    <row r="19" spans="4:11" ht="20.100000000000001" customHeight="1" x14ac:dyDescent="0.25"/>
    <row r="20" spans="4:11" ht="20.100000000000001" customHeight="1" x14ac:dyDescent="0.25"/>
    <row r="21" spans="4:11" ht="20.100000000000001" customHeight="1" x14ac:dyDescent="0.25"/>
    <row r="22" spans="4:11" ht="20.100000000000001" customHeight="1" x14ac:dyDescent="0.25"/>
    <row r="23" spans="4:11" ht="20.100000000000001" customHeight="1" x14ac:dyDescent="0.25"/>
    <row r="24" spans="4:11" ht="20.100000000000001" customHeight="1" x14ac:dyDescent="0.25"/>
    <row r="25" spans="4:11" ht="20.100000000000001" customHeight="1" x14ac:dyDescent="0.25"/>
    <row r="26" spans="4:11" ht="20.100000000000001" customHeight="1" x14ac:dyDescent="0.25"/>
    <row r="27" spans="4:11" ht="20.100000000000001" customHeight="1" x14ac:dyDescent="0.25"/>
    <row r="28" spans="4:11" ht="20.100000000000001" customHeight="1" x14ac:dyDescent="0.25"/>
    <row r="29" spans="4:11" ht="20.100000000000001" customHeight="1" x14ac:dyDescent="0.25"/>
    <row r="30" spans="4:11" ht="20.100000000000001" customHeight="1" x14ac:dyDescent="0.25"/>
    <row r="31" spans="4:11" ht="20.100000000000001" customHeight="1" x14ac:dyDescent="0.25"/>
    <row r="32" spans="4:11" ht="20.100000000000001" customHeight="1" x14ac:dyDescent="0.25">
      <c r="D32" s="9" t="s">
        <v>365</v>
      </c>
      <c r="K32" s="8" t="s">
        <v>439</v>
      </c>
    </row>
    <row r="33" spans="4:12" ht="20.100000000000001" customHeight="1" x14ac:dyDescent="0.25">
      <c r="D33" s="10" t="s">
        <v>320</v>
      </c>
      <c r="E33" s="10" t="s">
        <v>218</v>
      </c>
      <c r="F33" s="10" t="s">
        <v>321</v>
      </c>
      <c r="G33" s="10" t="s">
        <v>285</v>
      </c>
      <c r="H33" s="10" t="s">
        <v>286</v>
      </c>
      <c r="I33" s="10" t="s">
        <v>366</v>
      </c>
      <c r="K33" s="10" t="s">
        <v>390</v>
      </c>
      <c r="L33" s="10" t="s">
        <v>522</v>
      </c>
    </row>
    <row r="34" spans="4:12" ht="20.100000000000001" customHeight="1" x14ac:dyDescent="0.25">
      <c r="D34" s="10" t="s">
        <v>328</v>
      </c>
      <c r="E34" s="10" t="s">
        <v>336</v>
      </c>
      <c r="F34" s="10" t="s">
        <v>338</v>
      </c>
      <c r="G34" s="10" t="s">
        <v>1145</v>
      </c>
      <c r="H34" s="10">
        <v>11</v>
      </c>
      <c r="I34" s="10" t="s">
        <v>1146</v>
      </c>
      <c r="K34" s="10" t="s">
        <v>315</v>
      </c>
      <c r="L34" s="10" t="s">
        <v>339</v>
      </c>
    </row>
    <row r="35" spans="4:12" ht="20.100000000000001" customHeight="1" x14ac:dyDescent="0.25">
      <c r="D35" s="10" t="s">
        <v>328</v>
      </c>
      <c r="E35" s="10" t="s">
        <v>336</v>
      </c>
      <c r="F35" s="10" t="s">
        <v>339</v>
      </c>
      <c r="G35" s="10" t="s">
        <v>1145</v>
      </c>
      <c r="H35" s="10">
        <v>8.2100000000000009</v>
      </c>
      <c r="I35" s="10" t="s">
        <v>1146</v>
      </c>
      <c r="K35" s="10" t="s">
        <v>339</v>
      </c>
      <c r="L35" s="10" t="s">
        <v>339</v>
      </c>
    </row>
    <row r="36" spans="4:12" ht="20.100000000000001" customHeight="1" x14ac:dyDescent="0.25">
      <c r="D36" s="10" t="s">
        <v>328</v>
      </c>
      <c r="E36" s="10" t="s">
        <v>336</v>
      </c>
      <c r="F36" s="10" t="s">
        <v>441</v>
      </c>
      <c r="G36" s="10" t="s">
        <v>1145</v>
      </c>
      <c r="H36" s="10">
        <v>12.2</v>
      </c>
      <c r="I36" s="10" t="s">
        <v>1146</v>
      </c>
      <c r="K36" s="10" t="s">
        <v>399</v>
      </c>
      <c r="L36" s="10" t="s">
        <v>399</v>
      </c>
    </row>
    <row r="37" spans="4:12" ht="20.100000000000001" customHeight="1" x14ac:dyDescent="0.25">
      <c r="D37" s="10" t="s">
        <v>328</v>
      </c>
      <c r="E37" s="10" t="s">
        <v>336</v>
      </c>
      <c r="F37" s="10" t="s">
        <v>340</v>
      </c>
      <c r="G37" s="10" t="s">
        <v>1145</v>
      </c>
      <c r="H37" s="10">
        <v>10.9</v>
      </c>
      <c r="I37" s="10" t="s">
        <v>1146</v>
      </c>
      <c r="K37" s="10" t="s">
        <v>395</v>
      </c>
      <c r="L37" s="10" t="s">
        <v>395</v>
      </c>
    </row>
    <row r="38" spans="4:12" ht="20.100000000000001" customHeight="1" x14ac:dyDescent="0.25">
      <c r="D38" s="10" t="s">
        <v>328</v>
      </c>
      <c r="E38" s="10" t="s">
        <v>336</v>
      </c>
      <c r="F38" s="10" t="s">
        <v>399</v>
      </c>
      <c r="G38" s="10" t="s">
        <v>1145</v>
      </c>
      <c r="H38" s="10">
        <v>7.63</v>
      </c>
      <c r="I38" s="10" t="s">
        <v>1146</v>
      </c>
      <c r="K38" s="10" t="s">
        <v>345</v>
      </c>
      <c r="L38" s="10" t="s">
        <v>345</v>
      </c>
    </row>
    <row r="39" spans="4:12" ht="20.100000000000001" customHeight="1" x14ac:dyDescent="0.25">
      <c r="D39" s="10" t="s">
        <v>328</v>
      </c>
      <c r="E39" s="10" t="s">
        <v>336</v>
      </c>
      <c r="F39" s="10" t="s">
        <v>395</v>
      </c>
      <c r="G39" s="10" t="s">
        <v>1145</v>
      </c>
      <c r="H39" s="10">
        <v>8.75</v>
      </c>
      <c r="I39" s="10" t="s">
        <v>1146</v>
      </c>
      <c r="K39" s="10" t="s">
        <v>443</v>
      </c>
      <c r="L39" s="10" t="s">
        <v>346</v>
      </c>
    </row>
    <row r="40" spans="4:12" ht="20.100000000000001" customHeight="1" x14ac:dyDescent="0.25">
      <c r="D40" s="10" t="s">
        <v>328</v>
      </c>
      <c r="E40" s="10" t="s">
        <v>336</v>
      </c>
      <c r="F40" s="10" t="s">
        <v>345</v>
      </c>
      <c r="G40" s="10" t="s">
        <v>1145</v>
      </c>
      <c r="H40" s="10">
        <v>8.17</v>
      </c>
      <c r="I40" s="10" t="s">
        <v>1146</v>
      </c>
      <c r="K40" s="10" t="s">
        <v>442</v>
      </c>
      <c r="L40" s="10" t="s">
        <v>346</v>
      </c>
    </row>
    <row r="41" spans="4:12" ht="20.100000000000001" customHeight="1" x14ac:dyDescent="0.25">
      <c r="D41" s="10" t="s">
        <v>328</v>
      </c>
      <c r="E41" s="10" t="s">
        <v>336</v>
      </c>
      <c r="F41" s="10" t="s">
        <v>346</v>
      </c>
      <c r="G41" s="10" t="s">
        <v>1145</v>
      </c>
      <c r="H41" s="10">
        <v>13.1</v>
      </c>
      <c r="I41" s="10" t="s">
        <v>1146</v>
      </c>
      <c r="K41" s="10" t="s">
        <v>444</v>
      </c>
      <c r="L41" s="10" t="s">
        <v>346</v>
      </c>
    </row>
    <row r="42" spans="4:12" ht="20.100000000000001" customHeight="1" x14ac:dyDescent="0.25">
      <c r="D42" s="10" t="s">
        <v>328</v>
      </c>
      <c r="E42" s="10" t="s">
        <v>337</v>
      </c>
      <c r="F42" s="10" t="s">
        <v>338</v>
      </c>
      <c r="G42" s="10" t="s">
        <v>1145</v>
      </c>
      <c r="H42" s="10">
        <v>14.5</v>
      </c>
      <c r="I42" s="10" t="s">
        <v>1146</v>
      </c>
      <c r="K42" s="10" t="s">
        <v>445</v>
      </c>
      <c r="L42" s="10" t="s">
        <v>441</v>
      </c>
    </row>
    <row r="43" spans="4:12" ht="20.100000000000001" customHeight="1" x14ac:dyDescent="0.25">
      <c r="D43" s="10" t="s">
        <v>328</v>
      </c>
      <c r="E43" s="10" t="s">
        <v>337</v>
      </c>
      <c r="F43" s="10" t="s">
        <v>339</v>
      </c>
      <c r="G43" s="10" t="s">
        <v>1145</v>
      </c>
      <c r="H43" s="10">
        <v>11.3</v>
      </c>
      <c r="I43" s="10" t="s">
        <v>1146</v>
      </c>
      <c r="K43" s="10" t="s">
        <v>446</v>
      </c>
      <c r="L43" s="10" t="s">
        <v>441</v>
      </c>
    </row>
    <row r="44" spans="4:12" ht="20.100000000000001" customHeight="1" x14ac:dyDescent="0.25">
      <c r="D44" s="10" t="s">
        <v>328</v>
      </c>
      <c r="E44" s="10" t="s">
        <v>337</v>
      </c>
      <c r="F44" s="10" t="s">
        <v>441</v>
      </c>
      <c r="G44" s="10" t="s">
        <v>1145</v>
      </c>
      <c r="H44" s="10">
        <v>18.899999999999999</v>
      </c>
      <c r="I44" s="10" t="s">
        <v>1146</v>
      </c>
      <c r="K44" s="10" t="s">
        <v>447</v>
      </c>
      <c r="L44" s="10" t="s">
        <v>441</v>
      </c>
    </row>
    <row r="45" spans="4:12" ht="20.100000000000001" customHeight="1" x14ac:dyDescent="0.25">
      <c r="D45" s="10" t="s">
        <v>328</v>
      </c>
      <c r="E45" s="10" t="s">
        <v>337</v>
      </c>
      <c r="F45" s="10" t="s">
        <v>340</v>
      </c>
      <c r="G45" s="10" t="s">
        <v>1145</v>
      </c>
      <c r="H45" s="10">
        <v>13.9</v>
      </c>
      <c r="I45" s="10" t="s">
        <v>1146</v>
      </c>
      <c r="K45" s="10" t="s">
        <v>448</v>
      </c>
      <c r="L45" s="10" t="s">
        <v>340</v>
      </c>
    </row>
    <row r="46" spans="4:12" ht="20.100000000000001" customHeight="1" x14ac:dyDescent="0.25">
      <c r="D46" s="10" t="s">
        <v>328</v>
      </c>
      <c r="E46" s="10" t="s">
        <v>337</v>
      </c>
      <c r="F46" s="10" t="s">
        <v>399</v>
      </c>
      <c r="G46" s="10" t="s">
        <v>1145</v>
      </c>
      <c r="H46" s="10">
        <v>12.3</v>
      </c>
      <c r="I46" s="10" t="s">
        <v>1146</v>
      </c>
      <c r="K46" s="10" t="s">
        <v>449</v>
      </c>
      <c r="L46" s="10" t="s">
        <v>340</v>
      </c>
    </row>
    <row r="47" spans="4:12" ht="20.100000000000001" customHeight="1" x14ac:dyDescent="0.25">
      <c r="D47" s="10" t="s">
        <v>328</v>
      </c>
      <c r="E47" s="10" t="s">
        <v>337</v>
      </c>
      <c r="F47" s="10" t="s">
        <v>395</v>
      </c>
      <c r="G47" s="10" t="s">
        <v>1145</v>
      </c>
      <c r="H47" s="10">
        <v>11.5</v>
      </c>
      <c r="I47" s="10" t="s">
        <v>1146</v>
      </c>
      <c r="K47" s="10" t="s">
        <v>450</v>
      </c>
      <c r="L47" s="10" t="s">
        <v>340</v>
      </c>
    </row>
    <row r="48" spans="4:12" ht="20.100000000000001" customHeight="1" x14ac:dyDescent="0.25">
      <c r="D48" s="10" t="s">
        <v>328</v>
      </c>
      <c r="E48" s="10" t="s">
        <v>337</v>
      </c>
      <c r="F48" s="10" t="s">
        <v>345</v>
      </c>
      <c r="G48" s="10" t="s">
        <v>1145</v>
      </c>
      <c r="H48" s="10">
        <v>11.5</v>
      </c>
      <c r="I48" s="10" t="s">
        <v>1146</v>
      </c>
      <c r="K48" s="10" t="s">
        <v>451</v>
      </c>
      <c r="L48" s="10" t="s">
        <v>340</v>
      </c>
    </row>
    <row r="49" spans="4:12" ht="20.100000000000001" customHeight="1" x14ac:dyDescent="0.25">
      <c r="D49" s="10" t="s">
        <v>328</v>
      </c>
      <c r="E49" s="10" t="s">
        <v>337</v>
      </c>
      <c r="F49" s="10" t="s">
        <v>346</v>
      </c>
      <c r="G49" s="10" t="s">
        <v>1145</v>
      </c>
      <c r="H49" s="10">
        <v>20.8</v>
      </c>
      <c r="I49" s="10" t="s">
        <v>1146</v>
      </c>
      <c r="K49" s="8" t="s">
        <v>338</v>
      </c>
      <c r="L49" s="8" t="s">
        <v>338</v>
      </c>
    </row>
    <row r="50" spans="4:12" ht="20.100000000000001" customHeight="1" x14ac:dyDescent="0.25">
      <c r="D50" s="10" t="s">
        <v>328</v>
      </c>
      <c r="E50" s="10" t="s">
        <v>1147</v>
      </c>
      <c r="F50" s="10" t="s">
        <v>338</v>
      </c>
      <c r="G50" s="10" t="s">
        <v>1145</v>
      </c>
      <c r="H50" s="10">
        <v>15.5</v>
      </c>
      <c r="I50" s="10" t="s">
        <v>1146</v>
      </c>
    </row>
    <row r="51" spans="4:12" ht="20.100000000000001" customHeight="1" x14ac:dyDescent="0.25">
      <c r="D51" s="10" t="s">
        <v>328</v>
      </c>
      <c r="E51" s="10" t="s">
        <v>1147</v>
      </c>
      <c r="F51" s="10" t="s">
        <v>339</v>
      </c>
      <c r="G51" s="10" t="s">
        <v>1145</v>
      </c>
      <c r="H51" s="10">
        <v>12.7</v>
      </c>
      <c r="I51" s="10" t="s">
        <v>1146</v>
      </c>
      <c r="K51" s="8" t="s">
        <v>521</v>
      </c>
    </row>
    <row r="52" spans="4:12" ht="20.100000000000001" customHeight="1" x14ac:dyDescent="0.25">
      <c r="D52" s="10" t="s">
        <v>328</v>
      </c>
      <c r="E52" s="10" t="s">
        <v>1147</v>
      </c>
      <c r="F52" s="10" t="s">
        <v>441</v>
      </c>
      <c r="G52" s="10" t="s">
        <v>1145</v>
      </c>
      <c r="H52" s="10">
        <v>19.100000000000001</v>
      </c>
      <c r="I52" s="10" t="s">
        <v>1146</v>
      </c>
      <c r="K52" s="10" t="s">
        <v>287</v>
      </c>
    </row>
    <row r="53" spans="4:12" ht="20.100000000000001" customHeight="1" x14ac:dyDescent="0.25">
      <c r="D53" s="10" t="s">
        <v>328</v>
      </c>
      <c r="E53" s="10" t="s">
        <v>1147</v>
      </c>
      <c r="F53" s="10" t="s">
        <v>340</v>
      </c>
      <c r="G53" s="10" t="s">
        <v>1145</v>
      </c>
      <c r="H53" s="10">
        <v>20.5</v>
      </c>
      <c r="I53" s="10" t="s">
        <v>1146</v>
      </c>
      <c r="K53" s="10" t="str">
        <f>Table_SourceData_PastureBeef_LiveweightAllStates[[#Headers],[Bulls &lt; 1 year]]</f>
        <v>Bulls &lt; 1 year</v>
      </c>
    </row>
    <row r="54" spans="4:12" ht="20.100000000000001" customHeight="1" x14ac:dyDescent="0.25">
      <c r="D54" s="10" t="s">
        <v>328</v>
      </c>
      <c r="E54" s="10" t="s">
        <v>1147</v>
      </c>
      <c r="F54" s="10" t="s">
        <v>399</v>
      </c>
      <c r="G54" s="10" t="s">
        <v>1145</v>
      </c>
      <c r="H54" s="10">
        <v>10.8</v>
      </c>
      <c r="I54" s="10" t="s">
        <v>1146</v>
      </c>
      <c r="K54" s="10" t="str">
        <f>Table_SourceData_PastureBeef_LiveweightAllStates[[#Headers],[Bulls &gt; 1 year]]</f>
        <v>Bulls &gt; 1 year</v>
      </c>
    </row>
    <row r="55" spans="4:12" ht="20.100000000000001" customHeight="1" x14ac:dyDescent="0.25">
      <c r="D55" s="10" t="s">
        <v>328</v>
      </c>
      <c r="E55" s="10" t="s">
        <v>1147</v>
      </c>
      <c r="F55" s="10" t="s">
        <v>395</v>
      </c>
      <c r="G55" s="10" t="s">
        <v>1145</v>
      </c>
      <c r="H55" s="10">
        <v>13.4</v>
      </c>
      <c r="I55" s="10" t="s">
        <v>1146</v>
      </c>
      <c r="K55" s="10" t="str">
        <f>Table_SourceData_PastureBeef_LiveweightAllStates[[#Headers],[Cows &lt; 1 year]]</f>
        <v>Cows &lt; 1 year</v>
      </c>
    </row>
    <row r="56" spans="4:12" ht="20.100000000000001" customHeight="1" x14ac:dyDescent="0.25">
      <c r="D56" s="10" t="s">
        <v>328</v>
      </c>
      <c r="E56" s="10" t="s">
        <v>1147</v>
      </c>
      <c r="F56" s="10" t="s">
        <v>345</v>
      </c>
      <c r="G56" s="10" t="s">
        <v>1145</v>
      </c>
      <c r="H56" s="10">
        <v>12</v>
      </c>
      <c r="I56" s="10" t="s">
        <v>1146</v>
      </c>
      <c r="K56" s="10" t="str">
        <f>Table_SourceData_PastureBeef_LiveweightAllStates[[#Headers],[Cows 1-2 years]]</f>
        <v>Cows 1-2 years</v>
      </c>
    </row>
    <row r="57" spans="4:12" ht="20.100000000000001" customHeight="1" x14ac:dyDescent="0.25">
      <c r="D57" s="10" t="s">
        <v>328</v>
      </c>
      <c r="E57" s="10" t="s">
        <v>1147</v>
      </c>
      <c r="F57" s="10" t="s">
        <v>346</v>
      </c>
      <c r="G57" s="10" t="s">
        <v>1145</v>
      </c>
      <c r="H57" s="10">
        <v>12.4</v>
      </c>
      <c r="I57" s="10" t="s">
        <v>1146</v>
      </c>
      <c r="K57" s="10" t="str">
        <f>Table_SourceData_PastureBeef_LiveweightAllStates[[#Headers],[Cows 2-3 years]]</f>
        <v>Cows 2-3 years</v>
      </c>
    </row>
    <row r="58" spans="4:12" ht="20.100000000000001" customHeight="1" x14ac:dyDescent="0.25">
      <c r="D58" s="10" t="s">
        <v>1148</v>
      </c>
      <c r="E58" s="10" t="s">
        <v>1148</v>
      </c>
      <c r="F58" s="10" t="s">
        <v>338</v>
      </c>
      <c r="G58" s="10" t="s">
        <v>1145</v>
      </c>
      <c r="H58" s="10">
        <v>1.36</v>
      </c>
      <c r="I58" s="10" t="s">
        <v>1146</v>
      </c>
      <c r="K58" s="10" t="str">
        <f>Table_SourceData_PastureBeef_LiveweightAllStates[[#Headers],[Cows &gt; 3 years]]</f>
        <v>Cows &gt; 3 years</v>
      </c>
    </row>
    <row r="59" spans="4:12" ht="20.100000000000001" customHeight="1" x14ac:dyDescent="0.25">
      <c r="D59" s="10" t="s">
        <v>344</v>
      </c>
      <c r="E59" s="10" t="s">
        <v>1149</v>
      </c>
      <c r="F59" s="10" t="s">
        <v>345</v>
      </c>
      <c r="G59" s="10" t="s">
        <v>1145</v>
      </c>
      <c r="H59" s="10">
        <v>4.41</v>
      </c>
      <c r="I59" s="10" t="s">
        <v>1146</v>
      </c>
      <c r="K59" s="10" t="str">
        <f>Table_SourceData_PastureBeef_LiveweightAllStates[[#Headers],[Steers &lt; 1 year]]</f>
        <v>Steers &lt; 1 year</v>
      </c>
    </row>
    <row r="60" spans="4:12" ht="20.100000000000001" customHeight="1" x14ac:dyDescent="0.25">
      <c r="D60" s="10" t="s">
        <v>552</v>
      </c>
      <c r="E60" s="10" t="s">
        <v>552</v>
      </c>
      <c r="F60" s="10" t="s">
        <v>338</v>
      </c>
      <c r="G60" s="10" t="s">
        <v>1145</v>
      </c>
      <c r="H60" s="10">
        <v>3.38</v>
      </c>
      <c r="I60" s="10" t="s">
        <v>1146</v>
      </c>
      <c r="K60" s="10" t="str">
        <f>Table_SourceData_PastureBeef_LiveweightAllStates[[#Headers],[Steers 1-2 years]]</f>
        <v>Steers 1-2 years</v>
      </c>
    </row>
    <row r="61" spans="4:12" ht="20.100000000000001" customHeight="1" x14ac:dyDescent="0.25">
      <c r="D61" s="10" t="s">
        <v>623</v>
      </c>
      <c r="E61" s="10" t="s">
        <v>1150</v>
      </c>
      <c r="F61" s="10" t="s">
        <v>338</v>
      </c>
      <c r="G61" s="10" t="s">
        <v>1145</v>
      </c>
      <c r="H61" s="10">
        <v>6.81</v>
      </c>
      <c r="I61" s="10" t="s">
        <v>1146</v>
      </c>
      <c r="K61" s="10" t="str">
        <f>Table_SourceData_PastureBeef_LiveweightAllStates[[#Headers],[Steers 2-3 years]]</f>
        <v>Steers 2-3 years</v>
      </c>
    </row>
    <row r="62" spans="4:12" ht="20.100000000000001" customHeight="1" x14ac:dyDescent="0.25">
      <c r="D62" s="10" t="s">
        <v>623</v>
      </c>
      <c r="E62" s="10" t="s">
        <v>1150</v>
      </c>
      <c r="F62" s="10" t="s">
        <v>339</v>
      </c>
      <c r="G62" s="10" t="s">
        <v>1145</v>
      </c>
      <c r="H62" s="10">
        <v>2.2599999999999998</v>
      </c>
      <c r="I62" s="10" t="s">
        <v>1146</v>
      </c>
      <c r="K62" s="10" t="str">
        <f>Table_SourceData_PastureBeef_LiveweightAllStates[[#Headers],[Steers &gt;3 years]]</f>
        <v>Steers &gt;3 years</v>
      </c>
    </row>
    <row r="63" spans="4:12" ht="20.100000000000001" customHeight="1" x14ac:dyDescent="0.25">
      <c r="D63" s="10" t="s">
        <v>623</v>
      </c>
      <c r="E63" s="10" t="s">
        <v>1150</v>
      </c>
      <c r="F63" s="10" t="s">
        <v>340</v>
      </c>
      <c r="G63" s="10" t="s">
        <v>1145</v>
      </c>
      <c r="H63" s="10">
        <v>6.33</v>
      </c>
      <c r="I63" s="10" t="s">
        <v>1146</v>
      </c>
    </row>
    <row r="64" spans="4:12" ht="20.100000000000001" customHeight="1" x14ac:dyDescent="0.25">
      <c r="D64" s="10" t="s">
        <v>623</v>
      </c>
      <c r="E64" s="10" t="s">
        <v>1150</v>
      </c>
      <c r="F64" s="10" t="s">
        <v>399</v>
      </c>
      <c r="G64" s="10" t="s">
        <v>1145</v>
      </c>
      <c r="H64" s="10">
        <v>6.18</v>
      </c>
      <c r="I64" s="10" t="s">
        <v>1146</v>
      </c>
    </row>
    <row r="65" spans="4:9" ht="20.100000000000001" customHeight="1" x14ac:dyDescent="0.25">
      <c r="D65" s="10" t="s">
        <v>623</v>
      </c>
      <c r="E65" s="10" t="s">
        <v>1150</v>
      </c>
      <c r="F65" s="10" t="s">
        <v>395</v>
      </c>
      <c r="G65" s="10" t="s">
        <v>1145</v>
      </c>
      <c r="H65" s="10">
        <v>7.5</v>
      </c>
      <c r="I65" s="10" t="s">
        <v>1146</v>
      </c>
    </row>
    <row r="66" spans="4:9" ht="20.100000000000001" customHeight="1" x14ac:dyDescent="0.25">
      <c r="D66" s="10" t="s">
        <v>623</v>
      </c>
      <c r="E66" s="10" t="s">
        <v>1150</v>
      </c>
      <c r="F66" s="10" t="s">
        <v>345</v>
      </c>
      <c r="G66" s="10" t="s">
        <v>1145</v>
      </c>
      <c r="H66" s="10">
        <v>8.08</v>
      </c>
      <c r="I66" s="10" t="s">
        <v>1146</v>
      </c>
    </row>
    <row r="67" spans="4:9" ht="20.100000000000001" customHeight="1" x14ac:dyDescent="0.25">
      <c r="D67" s="10" t="s">
        <v>623</v>
      </c>
      <c r="E67" s="10" t="s">
        <v>1150</v>
      </c>
      <c r="F67" s="10" t="s">
        <v>346</v>
      </c>
      <c r="G67" s="10" t="s">
        <v>1145</v>
      </c>
      <c r="H67" s="10">
        <v>5.45</v>
      </c>
      <c r="I67" s="10" t="s">
        <v>1146</v>
      </c>
    </row>
    <row r="68" spans="4:9" ht="20.100000000000001" customHeight="1" x14ac:dyDescent="0.25">
      <c r="D68" s="10" t="s">
        <v>623</v>
      </c>
      <c r="E68" s="10" t="s">
        <v>1151</v>
      </c>
      <c r="F68" s="10" t="s">
        <v>338</v>
      </c>
      <c r="G68" s="10" t="s">
        <v>1145</v>
      </c>
      <c r="H68" s="10">
        <v>7.15</v>
      </c>
      <c r="I68" s="10" t="s">
        <v>1146</v>
      </c>
    </row>
    <row r="69" spans="4:9" ht="20.100000000000001" customHeight="1" x14ac:dyDescent="0.25">
      <c r="D69" s="10" t="s">
        <v>623</v>
      </c>
      <c r="E69" s="10" t="s">
        <v>1151</v>
      </c>
      <c r="F69" s="10" t="s">
        <v>339</v>
      </c>
      <c r="G69" s="10" t="s">
        <v>1145</v>
      </c>
      <c r="H69" s="10">
        <v>8.2899999999999991</v>
      </c>
      <c r="I69" s="10" t="s">
        <v>1146</v>
      </c>
    </row>
    <row r="70" spans="4:9" ht="20.100000000000001" customHeight="1" x14ac:dyDescent="0.25">
      <c r="D70" s="10" t="s">
        <v>623</v>
      </c>
      <c r="E70" s="10" t="s">
        <v>1151</v>
      </c>
      <c r="F70" s="10" t="s">
        <v>340</v>
      </c>
      <c r="G70" s="10" t="s">
        <v>1145</v>
      </c>
      <c r="H70" s="10">
        <v>6.39</v>
      </c>
      <c r="I70" s="10" t="s">
        <v>1146</v>
      </c>
    </row>
    <row r="71" spans="4:9" ht="20.100000000000001" customHeight="1" x14ac:dyDescent="0.25">
      <c r="D71" s="10" t="s">
        <v>623</v>
      </c>
      <c r="E71" s="10" t="s">
        <v>1151</v>
      </c>
      <c r="F71" s="10" t="s">
        <v>399</v>
      </c>
      <c r="G71" s="10" t="s">
        <v>1145</v>
      </c>
      <c r="H71" s="10">
        <v>6.87</v>
      </c>
      <c r="I71" s="10" t="s">
        <v>1146</v>
      </c>
    </row>
    <row r="72" spans="4:9" ht="20.100000000000001" customHeight="1" x14ac:dyDescent="0.25">
      <c r="D72" s="10" t="s">
        <v>623</v>
      </c>
      <c r="E72" s="10" t="s">
        <v>1151</v>
      </c>
      <c r="F72" s="10" t="s">
        <v>395</v>
      </c>
      <c r="G72" s="10" t="s">
        <v>1145</v>
      </c>
      <c r="H72" s="10">
        <v>8.66</v>
      </c>
      <c r="I72" s="10" t="s">
        <v>1146</v>
      </c>
    </row>
    <row r="73" spans="4:9" ht="20.100000000000001" customHeight="1" x14ac:dyDescent="0.25">
      <c r="D73" s="10" t="s">
        <v>623</v>
      </c>
      <c r="E73" s="10" t="s">
        <v>1151</v>
      </c>
      <c r="F73" s="10" t="s">
        <v>345</v>
      </c>
      <c r="G73" s="10" t="s">
        <v>1145</v>
      </c>
      <c r="H73" s="10">
        <v>10</v>
      </c>
      <c r="I73" s="10" t="s">
        <v>1146</v>
      </c>
    </row>
    <row r="74" spans="4:9" ht="20.100000000000001" customHeight="1" x14ac:dyDescent="0.25">
      <c r="D74" s="10" t="s">
        <v>623</v>
      </c>
      <c r="E74" s="10" t="s">
        <v>1151</v>
      </c>
      <c r="F74" s="10" t="s">
        <v>346</v>
      </c>
      <c r="G74" s="10" t="s">
        <v>1145</v>
      </c>
      <c r="H74" s="10">
        <v>5.67</v>
      </c>
      <c r="I74" s="10" t="s">
        <v>1146</v>
      </c>
    </row>
    <row r="75" spans="4:9" ht="20.100000000000001" customHeight="1" x14ac:dyDescent="0.25"/>
    <row r="76" spans="4:9" ht="20.100000000000001" customHeight="1" x14ac:dyDescent="0.25">
      <c r="D76" s="9" t="s">
        <v>368</v>
      </c>
    </row>
    <row r="77" spans="4:9" ht="20.100000000000001" customHeight="1" x14ac:dyDescent="0.25">
      <c r="D77" s="10" t="s">
        <v>320</v>
      </c>
      <c r="E77" s="10" t="s">
        <v>218</v>
      </c>
      <c r="F77" s="10" t="s">
        <v>321</v>
      </c>
      <c r="G77" s="10" t="s">
        <v>285</v>
      </c>
      <c r="H77" s="10" t="s">
        <v>286</v>
      </c>
      <c r="I77" s="10" t="s">
        <v>366</v>
      </c>
    </row>
    <row r="78" spans="4:9" ht="20.100000000000001" customHeight="1" x14ac:dyDescent="0.25">
      <c r="D78" s="10" t="s">
        <v>291</v>
      </c>
      <c r="E78" s="10" t="s">
        <v>348</v>
      </c>
      <c r="F78" s="10" t="s">
        <v>353</v>
      </c>
      <c r="G78" s="10" t="s">
        <v>354</v>
      </c>
      <c r="H78" s="10">
        <v>0.72199999999999998</v>
      </c>
      <c r="I78" s="10" t="s">
        <v>1152</v>
      </c>
    </row>
    <row r="79" spans="4:9" ht="20.100000000000001" customHeight="1" x14ac:dyDescent="0.25">
      <c r="D79" s="10" t="s">
        <v>291</v>
      </c>
      <c r="E79" s="10" t="s">
        <v>293</v>
      </c>
      <c r="F79" s="10" t="s">
        <v>353</v>
      </c>
      <c r="G79" s="10" t="s">
        <v>354</v>
      </c>
      <c r="H79" s="10">
        <v>0.80400000000000005</v>
      </c>
      <c r="I79" s="10" t="s">
        <v>1152</v>
      </c>
    </row>
    <row r="80" spans="4:9" ht="20.100000000000001" customHeight="1" x14ac:dyDescent="0.25">
      <c r="D80" s="10" t="s">
        <v>291</v>
      </c>
      <c r="E80" s="10" t="s">
        <v>349</v>
      </c>
      <c r="F80" s="10" t="s">
        <v>353</v>
      </c>
      <c r="G80" s="10" t="s">
        <v>354</v>
      </c>
      <c r="H80" s="10">
        <v>0.90700000000000003</v>
      </c>
      <c r="I80" s="10" t="s">
        <v>1152</v>
      </c>
    </row>
    <row r="81" spans="4:16" ht="20.100000000000001" customHeight="1" x14ac:dyDescent="0.25"/>
    <row r="82" spans="4:16" ht="20.100000000000001" customHeight="1" x14ac:dyDescent="0.25">
      <c r="D82" s="10" t="s">
        <v>320</v>
      </c>
      <c r="E82" s="10" t="s">
        <v>218</v>
      </c>
      <c r="F82" s="10" t="s">
        <v>321</v>
      </c>
      <c r="G82" s="10" t="s">
        <v>285</v>
      </c>
      <c r="H82" s="10" t="s">
        <v>286</v>
      </c>
      <c r="I82" s="10" t="s">
        <v>366</v>
      </c>
    </row>
    <row r="83" spans="4:16" ht="20.100000000000001" customHeight="1" x14ac:dyDescent="0.25">
      <c r="D83" s="10" t="s">
        <v>1153</v>
      </c>
      <c r="E83" s="10" t="s">
        <v>376</v>
      </c>
      <c r="F83" s="10" t="s">
        <v>353</v>
      </c>
      <c r="G83" s="10" t="s">
        <v>1154</v>
      </c>
      <c r="H83" s="10">
        <v>5.4699999999999999E-2</v>
      </c>
      <c r="I83" s="10" t="s">
        <v>1152</v>
      </c>
    </row>
    <row r="84" spans="4:16" ht="20.100000000000001" customHeight="1" x14ac:dyDescent="0.25">
      <c r="D84" s="10" t="s">
        <v>1153</v>
      </c>
      <c r="E84" s="10" t="s">
        <v>377</v>
      </c>
      <c r="F84" s="10" t="s">
        <v>353</v>
      </c>
      <c r="G84" s="10" t="s">
        <v>1154</v>
      </c>
      <c r="H84" s="10">
        <v>1.4200000000000001E-2</v>
      </c>
      <c r="I84" s="10" t="s">
        <v>1152</v>
      </c>
    </row>
    <row r="85" spans="4:16" ht="20.100000000000001" customHeight="1" x14ac:dyDescent="0.25">
      <c r="D85" s="10" t="s">
        <v>1153</v>
      </c>
      <c r="E85" s="10" t="s">
        <v>378</v>
      </c>
      <c r="F85" s="10" t="s">
        <v>353</v>
      </c>
      <c r="G85" s="10" t="s">
        <v>1154</v>
      </c>
      <c r="H85" s="10">
        <v>1.43E-2</v>
      </c>
      <c r="I85" s="10" t="s">
        <v>1152</v>
      </c>
    </row>
    <row r="86" spans="4:16" ht="20.100000000000001" customHeight="1" x14ac:dyDescent="0.25">
      <c r="D86" s="10" t="s">
        <v>1153</v>
      </c>
      <c r="E86" s="10" t="s">
        <v>379</v>
      </c>
      <c r="F86" s="10" t="s">
        <v>353</v>
      </c>
      <c r="G86" s="10" t="s">
        <v>1154</v>
      </c>
      <c r="H86" s="10">
        <v>4.2599999999999999E-3</v>
      </c>
      <c r="I86" s="10" t="s">
        <v>1152</v>
      </c>
    </row>
    <row r="87" spans="4:16" ht="20.100000000000001" customHeight="1" x14ac:dyDescent="0.25"/>
    <row r="88" spans="4:16" ht="20.100000000000001" customHeight="1" x14ac:dyDescent="0.25">
      <c r="D88" s="9" t="s">
        <v>369</v>
      </c>
    </row>
    <row r="89" spans="4:16" ht="20.100000000000001" customHeight="1" x14ac:dyDescent="0.25">
      <c r="D89" s="10" t="s">
        <v>320</v>
      </c>
      <c r="E89" s="10" t="s">
        <v>218</v>
      </c>
      <c r="F89" s="10" t="s">
        <v>321</v>
      </c>
      <c r="G89" s="10" t="s">
        <v>285</v>
      </c>
      <c r="H89" s="10" t="s">
        <v>286</v>
      </c>
      <c r="I89" s="10" t="s">
        <v>366</v>
      </c>
      <c r="K89" s="10" t="s">
        <v>218</v>
      </c>
      <c r="L89" s="10" t="s">
        <v>390</v>
      </c>
      <c r="M89" s="8" t="str">
        <f>"Table_ProductRegions_" &amp; SUBSTITUTE(SUBSTITUTE(SUBSTITUTE(SUBSTITUTE(K90, " ", ""), ",", ""), "(", ""), ")", "")</f>
        <v>Table_ProductRegions_Sardineswhole</v>
      </c>
    </row>
    <row r="90" spans="4:16" ht="20.100000000000001" customHeight="1" x14ac:dyDescent="0.25">
      <c r="D90" s="10" t="s">
        <v>1155</v>
      </c>
      <c r="E90" s="10" t="s">
        <v>398</v>
      </c>
      <c r="F90" s="10" t="s">
        <v>399</v>
      </c>
      <c r="G90" s="10" t="s">
        <v>354</v>
      </c>
      <c r="H90" s="10">
        <v>0.376</v>
      </c>
      <c r="I90" s="10" t="s">
        <v>1146</v>
      </c>
      <c r="K90" s="10" t="str">
        <f>Table_SourceData_Scope3_Feed[[#This Row],[Product]]</f>
        <v>Sardines (whole)</v>
      </c>
      <c r="L90" s="10" t="str">
        <f>Table_SourceData_Scope3_Feed[[#This Row],[Region of origin]]</f>
        <v>SA</v>
      </c>
      <c r="N90" s="10" t="s">
        <v>218</v>
      </c>
      <c r="O90" s="10" t="s">
        <v>390</v>
      </c>
      <c r="P90" s="8" t="str">
        <f>"Table_ProductRegions_" &amp; SUBSTITUTE(SUBSTITUTE(SUBSTITUTE(SUBSTITUTE(N91, " ", ""), ",", ""), "(", ""), ")", "")</f>
        <v>Table_ProductRegions_Barleygrain</v>
      </c>
    </row>
    <row r="91" spans="4:16" ht="20.100000000000001" customHeight="1" x14ac:dyDescent="0.25">
      <c r="D91" s="10" t="s">
        <v>1156</v>
      </c>
      <c r="E91" s="10" t="s">
        <v>1157</v>
      </c>
      <c r="F91" s="10" t="s">
        <v>338</v>
      </c>
      <c r="G91" s="10" t="s">
        <v>354</v>
      </c>
      <c r="H91" s="10">
        <v>0.23899999999999999</v>
      </c>
      <c r="I91" s="10" t="s">
        <v>1146</v>
      </c>
      <c r="N91" s="10" t="str">
        <f>Table_SourceData_Scope3_Feed[[#This Row],[Product]]</f>
        <v>Barley grain</v>
      </c>
      <c r="O91" s="10" t="str">
        <f>Table_SourceData_Scope3_Feed[[#This Row],[Region of origin]]</f>
        <v>Australia</v>
      </c>
    </row>
    <row r="92" spans="4:16" ht="20.100000000000001" customHeight="1" x14ac:dyDescent="0.25">
      <c r="D92" s="10" t="s">
        <v>1156</v>
      </c>
      <c r="E92" s="10" t="s">
        <v>1157</v>
      </c>
      <c r="F92" s="10" t="s">
        <v>339</v>
      </c>
      <c r="G92" s="10" t="s">
        <v>354</v>
      </c>
      <c r="H92" s="10">
        <v>0.25600000000000001</v>
      </c>
      <c r="I92" s="10" t="s">
        <v>1146</v>
      </c>
      <c r="N92" s="10" t="str">
        <f>Table_SourceData_Scope3_Feed[[#This Row],[Product]]</f>
        <v>Barley grain</v>
      </c>
      <c r="O92" s="10" t="str">
        <f>Table_SourceData_Scope3_Feed[[#This Row],[Region of origin]]</f>
        <v>NSW</v>
      </c>
    </row>
    <row r="93" spans="4:16" ht="20.100000000000001" customHeight="1" x14ac:dyDescent="0.25">
      <c r="D93" s="10" t="s">
        <v>1156</v>
      </c>
      <c r="E93" s="10" t="s">
        <v>1157</v>
      </c>
      <c r="F93" s="10" t="s">
        <v>441</v>
      </c>
      <c r="G93" s="10" t="s">
        <v>354</v>
      </c>
      <c r="H93" s="10">
        <v>0.33200000000000002</v>
      </c>
      <c r="I93" s="10" t="s">
        <v>1146</v>
      </c>
      <c r="N93" s="10" t="str">
        <f>Table_SourceData_Scope3_Feed[[#This Row],[Product]]</f>
        <v>Barley grain</v>
      </c>
      <c r="O93" s="10" t="str">
        <f>Table_SourceData_Scope3_Feed[[#This Row],[Region of origin]]</f>
        <v>NT</v>
      </c>
    </row>
    <row r="94" spans="4:16" ht="20.100000000000001" customHeight="1" x14ac:dyDescent="0.25">
      <c r="D94" s="10" t="s">
        <v>1156</v>
      </c>
      <c r="E94" s="10" t="s">
        <v>1157</v>
      </c>
      <c r="F94" s="10" t="s">
        <v>340</v>
      </c>
      <c r="G94" s="10" t="s">
        <v>354</v>
      </c>
      <c r="H94" s="10">
        <v>0.26900000000000002</v>
      </c>
      <c r="I94" s="10" t="s">
        <v>1146</v>
      </c>
      <c r="N94" s="10" t="str">
        <f>Table_SourceData_Scope3_Feed[[#This Row],[Product]]</f>
        <v>Barley grain</v>
      </c>
      <c r="O94" s="10" t="str">
        <f>Table_SourceData_Scope3_Feed[[#This Row],[Region of origin]]</f>
        <v>QLD</v>
      </c>
    </row>
    <row r="95" spans="4:16" ht="20.100000000000001" customHeight="1" x14ac:dyDescent="0.25">
      <c r="D95" s="10" t="s">
        <v>1156</v>
      </c>
      <c r="E95" s="10" t="s">
        <v>1157</v>
      </c>
      <c r="F95" s="10" t="s">
        <v>399</v>
      </c>
      <c r="G95" s="10" t="s">
        <v>354</v>
      </c>
      <c r="H95" s="10">
        <v>0.223</v>
      </c>
      <c r="I95" s="10" t="s">
        <v>1146</v>
      </c>
      <c r="N95" s="10" t="str">
        <f>Table_SourceData_Scope3_Feed[[#This Row],[Product]]</f>
        <v>Barley grain</v>
      </c>
      <c r="O95" s="10" t="str">
        <f>Table_SourceData_Scope3_Feed[[#This Row],[Region of origin]]</f>
        <v>SA</v>
      </c>
    </row>
    <row r="96" spans="4:16" ht="20.100000000000001" customHeight="1" x14ac:dyDescent="0.25">
      <c r="D96" s="10" t="s">
        <v>1156</v>
      </c>
      <c r="E96" s="10" t="s">
        <v>1157</v>
      </c>
      <c r="F96" s="10" t="s">
        <v>395</v>
      </c>
      <c r="G96" s="10" t="s">
        <v>354</v>
      </c>
      <c r="H96" s="10">
        <v>0.307</v>
      </c>
      <c r="I96" s="10" t="s">
        <v>1146</v>
      </c>
      <c r="N96" s="10" t="str">
        <f>Table_SourceData_Scope3_Feed[[#This Row],[Product]]</f>
        <v>Barley grain</v>
      </c>
      <c r="O96" s="10" t="str">
        <f>Table_SourceData_Scope3_Feed[[#This Row],[Region of origin]]</f>
        <v>TAS</v>
      </c>
    </row>
    <row r="97" spans="4:16" ht="20.100000000000001" customHeight="1" x14ac:dyDescent="0.25">
      <c r="D97" s="10" t="s">
        <v>1156</v>
      </c>
      <c r="E97" s="10" t="s">
        <v>1157</v>
      </c>
      <c r="F97" s="10" t="s">
        <v>345</v>
      </c>
      <c r="G97" s="10" t="s">
        <v>354</v>
      </c>
      <c r="H97" s="10">
        <v>0.24099999999999999</v>
      </c>
      <c r="I97" s="10" t="s">
        <v>1146</v>
      </c>
      <c r="N97" s="10" t="str">
        <f>Table_SourceData_Scope3_Feed[[#This Row],[Product]]</f>
        <v>Barley grain</v>
      </c>
      <c r="O97" s="10" t="str">
        <f>Table_SourceData_Scope3_Feed[[#This Row],[Region of origin]]</f>
        <v>VIC</v>
      </c>
    </row>
    <row r="98" spans="4:16" ht="20.100000000000001" customHeight="1" x14ac:dyDescent="0.25">
      <c r="D98" s="10" t="s">
        <v>1156</v>
      </c>
      <c r="E98" s="10" t="s">
        <v>1157</v>
      </c>
      <c r="F98" s="10" t="s">
        <v>346</v>
      </c>
      <c r="G98" s="10" t="s">
        <v>354</v>
      </c>
      <c r="H98" s="10">
        <v>0.23599999999999999</v>
      </c>
      <c r="I98" s="10" t="s">
        <v>1146</v>
      </c>
      <c r="K98" s="10" t="s">
        <v>218</v>
      </c>
      <c r="L98" s="10" t="s">
        <v>390</v>
      </c>
      <c r="M98" s="8" t="str">
        <f>"Table_ProductRegions_" &amp; SUBSTITUTE(SUBSTITUTE(SUBSTITUTE(SUBSTITUTE(K99, " ", ""), ",", ""), "(", ""), ")", "")</f>
        <v>Table_ProductRegions_Maizegrain</v>
      </c>
      <c r="N98" s="10" t="str">
        <f>Table_SourceData_Scope3_Feed[[#This Row],[Product]]</f>
        <v>Barley grain</v>
      </c>
      <c r="O98" s="10" t="str">
        <f>Table_SourceData_Scope3_Feed[[#This Row],[Region of origin]]</f>
        <v>WA</v>
      </c>
    </row>
    <row r="99" spans="4:16" ht="20.100000000000001" customHeight="1" x14ac:dyDescent="0.25">
      <c r="D99" s="10" t="s">
        <v>1156</v>
      </c>
      <c r="E99" s="10" t="s">
        <v>394</v>
      </c>
      <c r="F99" s="10" t="s">
        <v>338</v>
      </c>
      <c r="G99" s="10" t="s">
        <v>354</v>
      </c>
      <c r="H99" s="10">
        <v>0.18099999999999999</v>
      </c>
      <c r="I99" s="10" t="s">
        <v>1146</v>
      </c>
      <c r="K99" s="10" t="str">
        <f>Table_SourceData_Scope3_Feed[[#This Row],[Product]]</f>
        <v>Maize grain</v>
      </c>
      <c r="L99" s="10" t="str">
        <f>Table_SourceData_Scope3_Feed[[#This Row],[Region of origin]]</f>
        <v>Australia</v>
      </c>
    </row>
    <row r="100" spans="4:16" ht="20.100000000000001" customHeight="1" x14ac:dyDescent="0.25">
      <c r="D100" s="10" t="s">
        <v>1156</v>
      </c>
      <c r="E100" s="10" t="s">
        <v>394</v>
      </c>
      <c r="F100" s="10" t="s">
        <v>339</v>
      </c>
      <c r="G100" s="10" t="s">
        <v>354</v>
      </c>
      <c r="H100" s="10">
        <v>0.16900000000000001</v>
      </c>
      <c r="I100" s="10" t="s">
        <v>1146</v>
      </c>
      <c r="K100" s="10" t="str">
        <f>Table_SourceData_Scope3_Feed[[#This Row],[Product]]</f>
        <v>Maize grain</v>
      </c>
      <c r="L100" s="10" t="str">
        <f>Table_SourceData_Scope3_Feed[[#This Row],[Region of origin]]</f>
        <v>NSW</v>
      </c>
    </row>
    <row r="101" spans="4:16" ht="20.100000000000001" customHeight="1" x14ac:dyDescent="0.25">
      <c r="D101" s="10" t="s">
        <v>1156</v>
      </c>
      <c r="E101" s="10" t="s">
        <v>394</v>
      </c>
      <c r="F101" s="10" t="s">
        <v>441</v>
      </c>
      <c r="G101" s="10" t="s">
        <v>354</v>
      </c>
      <c r="H101" s="10">
        <v>0.25600000000000001</v>
      </c>
      <c r="I101" s="10" t="s">
        <v>1146</v>
      </c>
      <c r="K101" s="10" t="str">
        <f>Table_SourceData_Scope3_Feed[[#This Row],[Product]]</f>
        <v>Maize grain</v>
      </c>
      <c r="L101" s="10" t="str">
        <f>Table_SourceData_Scope3_Feed[[#This Row],[Region of origin]]</f>
        <v>NT</v>
      </c>
    </row>
    <row r="102" spans="4:16" ht="20.100000000000001" customHeight="1" x14ac:dyDescent="0.25">
      <c r="D102" s="10" t="s">
        <v>1156</v>
      </c>
      <c r="E102" s="10" t="s">
        <v>394</v>
      </c>
      <c r="F102" s="10" t="s">
        <v>340</v>
      </c>
      <c r="G102" s="10" t="s">
        <v>354</v>
      </c>
      <c r="H102" s="10">
        <v>0.186</v>
      </c>
      <c r="I102" s="10" t="s">
        <v>1146</v>
      </c>
      <c r="K102" s="10" t="str">
        <f>Table_SourceData_Scope3_Feed[[#This Row],[Product]]</f>
        <v>Maize grain</v>
      </c>
      <c r="L102" s="10" t="str">
        <f>Table_SourceData_Scope3_Feed[[#This Row],[Region of origin]]</f>
        <v>QLD</v>
      </c>
    </row>
    <row r="103" spans="4:16" ht="20.100000000000001" customHeight="1" x14ac:dyDescent="0.25">
      <c r="D103" s="10" t="s">
        <v>1156</v>
      </c>
      <c r="E103" s="10" t="s">
        <v>394</v>
      </c>
      <c r="F103" s="10" t="s">
        <v>399</v>
      </c>
      <c r="G103" s="10" t="s">
        <v>354</v>
      </c>
      <c r="H103" s="10">
        <v>0.17599999999999999</v>
      </c>
      <c r="I103" s="10" t="s">
        <v>1146</v>
      </c>
      <c r="K103" s="10" t="str">
        <f>Table_SourceData_Scope3_Feed[[#This Row],[Product]]</f>
        <v>Maize grain</v>
      </c>
      <c r="L103" s="10" t="str">
        <f>Table_SourceData_Scope3_Feed[[#This Row],[Region of origin]]</f>
        <v>SA</v>
      </c>
    </row>
    <row r="104" spans="4:16" ht="20.100000000000001" customHeight="1" x14ac:dyDescent="0.25">
      <c r="D104" s="10" t="s">
        <v>1156</v>
      </c>
      <c r="E104" s="10" t="s">
        <v>394</v>
      </c>
      <c r="F104" s="10" t="s">
        <v>345</v>
      </c>
      <c r="G104" s="10" t="s">
        <v>354</v>
      </c>
      <c r="H104" s="10">
        <v>0.159</v>
      </c>
      <c r="I104" s="10" t="s">
        <v>1146</v>
      </c>
      <c r="K104" s="10" t="str">
        <f>Table_SourceData_Scope3_Feed[[#This Row],[Product]]</f>
        <v>Maize grain</v>
      </c>
      <c r="L104" s="10" t="str">
        <f>Table_SourceData_Scope3_Feed[[#This Row],[Region of origin]]</f>
        <v>VIC</v>
      </c>
    </row>
    <row r="105" spans="4:16" ht="20.100000000000001" customHeight="1" x14ac:dyDescent="0.25">
      <c r="D105" s="10" t="s">
        <v>1156</v>
      </c>
      <c r="E105" s="10" t="s">
        <v>394</v>
      </c>
      <c r="F105" s="10" t="s">
        <v>346</v>
      </c>
      <c r="G105" s="10" t="s">
        <v>354</v>
      </c>
      <c r="H105" s="10">
        <v>0.28499999999999998</v>
      </c>
      <c r="I105" s="10" t="s">
        <v>1146</v>
      </c>
      <c r="K105" s="10" t="str">
        <f>Table_SourceData_Scope3_Feed[[#This Row],[Product]]</f>
        <v>Maize grain</v>
      </c>
      <c r="L105" s="10" t="str">
        <f>Table_SourceData_Scope3_Feed[[#This Row],[Region of origin]]</f>
        <v>WA</v>
      </c>
      <c r="N105" s="10" t="s">
        <v>218</v>
      </c>
      <c r="O105" s="10" t="s">
        <v>390</v>
      </c>
      <c r="P105" s="8" t="str">
        <f>"Table_ProductRegions_" &amp; SUBSTITUTE(SUBSTITUTE(SUBSTITUTE(SUBSTITUTE(N106, " ", ""), ",", ""), "(", ""), ")", "")</f>
        <v>Table_ProductRegions_Sorghumgrain</v>
      </c>
    </row>
    <row r="106" spans="4:16" ht="20.100000000000001" customHeight="1" x14ac:dyDescent="0.25">
      <c r="D106" s="10" t="s">
        <v>1156</v>
      </c>
      <c r="E106" s="10" t="s">
        <v>1158</v>
      </c>
      <c r="F106" s="10" t="s">
        <v>338</v>
      </c>
      <c r="G106" s="10" t="s">
        <v>354</v>
      </c>
      <c r="H106" s="10">
        <v>0.23200000000000001</v>
      </c>
      <c r="I106" s="10" t="s">
        <v>1146</v>
      </c>
      <c r="N106" s="10" t="str">
        <f>Table_SourceData_Scope3_Feed[[#This Row],[Product]]</f>
        <v>Sorghum grain</v>
      </c>
      <c r="O106" s="10" t="str">
        <f>Table_SourceData_Scope3_Feed[[#This Row],[Region of origin]]</f>
        <v>Australia</v>
      </c>
    </row>
    <row r="107" spans="4:16" ht="20.100000000000001" customHeight="1" x14ac:dyDescent="0.25">
      <c r="D107" s="10" t="s">
        <v>1156</v>
      </c>
      <c r="E107" s="10" t="s">
        <v>1158</v>
      </c>
      <c r="F107" s="10" t="s">
        <v>339</v>
      </c>
      <c r="G107" s="10" t="s">
        <v>354</v>
      </c>
      <c r="H107" s="10">
        <v>0.23200000000000001</v>
      </c>
      <c r="I107" s="10" t="s">
        <v>1146</v>
      </c>
      <c r="N107" s="10" t="str">
        <f>Table_SourceData_Scope3_Feed[[#This Row],[Product]]</f>
        <v>Sorghum grain</v>
      </c>
      <c r="O107" s="10" t="str">
        <f>Table_SourceData_Scope3_Feed[[#This Row],[Region of origin]]</f>
        <v>NSW</v>
      </c>
    </row>
    <row r="108" spans="4:16" ht="20.100000000000001" customHeight="1" x14ac:dyDescent="0.25">
      <c r="D108" s="10" t="s">
        <v>1156</v>
      </c>
      <c r="E108" s="10" t="s">
        <v>1158</v>
      </c>
      <c r="F108" s="10" t="s">
        <v>340</v>
      </c>
      <c r="G108" s="10" t="s">
        <v>354</v>
      </c>
      <c r="H108" s="10">
        <v>0.23100000000000001</v>
      </c>
      <c r="I108" s="10" t="s">
        <v>1146</v>
      </c>
      <c r="N108" s="10" t="str">
        <f>Table_SourceData_Scope3_Feed[[#This Row],[Product]]</f>
        <v>Sorghum grain</v>
      </c>
      <c r="O108" s="10" t="str">
        <f>Table_SourceData_Scope3_Feed[[#This Row],[Region of origin]]</f>
        <v>QLD</v>
      </c>
    </row>
    <row r="109" spans="4:16" ht="20.100000000000001" customHeight="1" x14ac:dyDescent="0.25">
      <c r="D109" s="10" t="s">
        <v>1156</v>
      </c>
      <c r="E109" s="10" t="s">
        <v>1158</v>
      </c>
      <c r="F109" s="10" t="s">
        <v>399</v>
      </c>
      <c r="G109" s="10" t="s">
        <v>354</v>
      </c>
      <c r="H109" s="10">
        <v>0.218</v>
      </c>
      <c r="I109" s="10" t="s">
        <v>1146</v>
      </c>
      <c r="N109" s="10" t="str">
        <f>Table_SourceData_Scope3_Feed[[#This Row],[Product]]</f>
        <v>Sorghum grain</v>
      </c>
      <c r="O109" s="10" t="str">
        <f>Table_SourceData_Scope3_Feed[[#This Row],[Region of origin]]</f>
        <v>SA</v>
      </c>
    </row>
    <row r="110" spans="4:16" ht="20.100000000000001" customHeight="1" x14ac:dyDescent="0.25">
      <c r="D110" s="10" t="s">
        <v>1156</v>
      </c>
      <c r="E110" s="10" t="s">
        <v>1158</v>
      </c>
      <c r="F110" s="10" t="s">
        <v>345</v>
      </c>
      <c r="G110" s="10" t="s">
        <v>354</v>
      </c>
      <c r="H110" s="10">
        <v>0.246</v>
      </c>
      <c r="I110" s="10" t="s">
        <v>1146</v>
      </c>
      <c r="K110" s="10" t="s">
        <v>218</v>
      </c>
      <c r="L110" s="10" t="s">
        <v>390</v>
      </c>
      <c r="M110" s="8" t="str">
        <f>"Table_ProductRegions_" &amp; SUBSTITUTE(SUBSTITUTE(SUBSTITUTE(SUBSTITUTE(K111, " ", ""), ",", ""), "(", ""), ")", "")</f>
        <v>Table_ProductRegions_Wheatgrain</v>
      </c>
      <c r="N110" s="10" t="str">
        <f>Table_SourceData_Scope3_Feed[[#This Row],[Product]]</f>
        <v>Sorghum grain</v>
      </c>
      <c r="O110" s="10" t="str">
        <f>Table_SourceData_Scope3_Feed[[#This Row],[Region of origin]]</f>
        <v>VIC</v>
      </c>
    </row>
    <row r="111" spans="4:16" ht="20.100000000000001" customHeight="1" x14ac:dyDescent="0.25">
      <c r="D111" s="10" t="s">
        <v>1156</v>
      </c>
      <c r="E111" s="10" t="s">
        <v>1159</v>
      </c>
      <c r="F111" s="10" t="s">
        <v>338</v>
      </c>
      <c r="G111" s="10" t="s">
        <v>354</v>
      </c>
      <c r="H111" s="10">
        <v>0.26800000000000002</v>
      </c>
      <c r="I111" s="10" t="s">
        <v>1146</v>
      </c>
      <c r="K111" s="10" t="str">
        <f>Table_SourceData_Scope3_Feed[[#This Row],[Product]]</f>
        <v>Wheat grain</v>
      </c>
      <c r="L111" s="10" t="str">
        <f>Table_SourceData_Scope3_Feed[[#This Row],[Region of origin]]</f>
        <v>Australia</v>
      </c>
    </row>
    <row r="112" spans="4:16" ht="20.100000000000001" customHeight="1" x14ac:dyDescent="0.25">
      <c r="D112" s="10" t="s">
        <v>1156</v>
      </c>
      <c r="E112" s="10" t="s">
        <v>1159</v>
      </c>
      <c r="F112" s="10" t="s">
        <v>339</v>
      </c>
      <c r="G112" s="10" t="s">
        <v>354</v>
      </c>
      <c r="H112" s="10">
        <v>0.28199999999999997</v>
      </c>
      <c r="I112" s="10" t="s">
        <v>1146</v>
      </c>
      <c r="K112" s="10" t="str">
        <f>Table_SourceData_Scope3_Feed[[#This Row],[Product]]</f>
        <v>Wheat grain</v>
      </c>
      <c r="L112" s="10" t="str">
        <f>Table_SourceData_Scope3_Feed[[#This Row],[Region of origin]]</f>
        <v>NSW</v>
      </c>
    </row>
    <row r="113" spans="4:16" ht="20.100000000000001" customHeight="1" x14ac:dyDescent="0.25">
      <c r="D113" s="10" t="s">
        <v>1156</v>
      </c>
      <c r="E113" s="10" t="s">
        <v>1159</v>
      </c>
      <c r="F113" s="10" t="s">
        <v>441</v>
      </c>
      <c r="G113" s="10" t="s">
        <v>354</v>
      </c>
      <c r="H113" s="10">
        <v>0.38500000000000001</v>
      </c>
      <c r="I113" s="10" t="s">
        <v>1146</v>
      </c>
      <c r="K113" s="10" t="str">
        <f>Table_SourceData_Scope3_Feed[[#This Row],[Product]]</f>
        <v>Wheat grain</v>
      </c>
      <c r="L113" s="10" t="str">
        <f>Table_SourceData_Scope3_Feed[[#This Row],[Region of origin]]</f>
        <v>NT</v>
      </c>
    </row>
    <row r="114" spans="4:16" ht="20.100000000000001" customHeight="1" x14ac:dyDescent="0.25">
      <c r="D114" s="10" t="s">
        <v>1156</v>
      </c>
      <c r="E114" s="10" t="s">
        <v>1159</v>
      </c>
      <c r="F114" s="10" t="s">
        <v>340</v>
      </c>
      <c r="G114" s="10" t="s">
        <v>354</v>
      </c>
      <c r="H114" s="10">
        <v>0.29599999999999999</v>
      </c>
      <c r="I114" s="10" t="s">
        <v>1146</v>
      </c>
      <c r="K114" s="10" t="str">
        <f>Table_SourceData_Scope3_Feed[[#This Row],[Product]]</f>
        <v>Wheat grain</v>
      </c>
      <c r="L114" s="10" t="str">
        <f>Table_SourceData_Scope3_Feed[[#This Row],[Region of origin]]</f>
        <v>QLD</v>
      </c>
    </row>
    <row r="115" spans="4:16" ht="20.100000000000001" customHeight="1" x14ac:dyDescent="0.25">
      <c r="D115" s="10" t="s">
        <v>1156</v>
      </c>
      <c r="E115" s="10" t="s">
        <v>1159</v>
      </c>
      <c r="F115" s="10" t="s">
        <v>399</v>
      </c>
      <c r="G115" s="10" t="s">
        <v>354</v>
      </c>
      <c r="H115" s="10">
        <v>0.24099999999999999</v>
      </c>
      <c r="I115" s="10" t="s">
        <v>1146</v>
      </c>
      <c r="K115" s="10" t="str">
        <f>Table_SourceData_Scope3_Feed[[#This Row],[Product]]</f>
        <v>Wheat grain</v>
      </c>
      <c r="L115" s="10" t="str">
        <f>Table_SourceData_Scope3_Feed[[#This Row],[Region of origin]]</f>
        <v>SA</v>
      </c>
    </row>
    <row r="116" spans="4:16" ht="20.100000000000001" customHeight="1" x14ac:dyDescent="0.25">
      <c r="D116" s="10" t="s">
        <v>1156</v>
      </c>
      <c r="E116" s="10" t="s">
        <v>1159</v>
      </c>
      <c r="F116" s="10" t="s">
        <v>395</v>
      </c>
      <c r="G116" s="10" t="s">
        <v>354</v>
      </c>
      <c r="H116" s="10">
        <v>0.33800000000000002</v>
      </c>
      <c r="I116" s="10" t="s">
        <v>1146</v>
      </c>
      <c r="K116" s="10" t="str">
        <f>Table_SourceData_Scope3_Feed[[#This Row],[Product]]</f>
        <v>Wheat grain</v>
      </c>
      <c r="L116" s="10" t="str">
        <f>Table_SourceData_Scope3_Feed[[#This Row],[Region of origin]]</f>
        <v>TAS</v>
      </c>
    </row>
    <row r="117" spans="4:16" ht="20.100000000000001" customHeight="1" x14ac:dyDescent="0.25">
      <c r="D117" s="10" t="s">
        <v>1156</v>
      </c>
      <c r="E117" s="10" t="s">
        <v>1159</v>
      </c>
      <c r="F117" s="10" t="s">
        <v>345</v>
      </c>
      <c r="G117" s="10" t="s">
        <v>354</v>
      </c>
      <c r="H117" s="10">
        <v>0.26600000000000001</v>
      </c>
      <c r="I117" s="10" t="s">
        <v>1146</v>
      </c>
      <c r="K117" s="10" t="str">
        <f>Table_SourceData_Scope3_Feed[[#This Row],[Product]]</f>
        <v>Wheat grain</v>
      </c>
      <c r="L117" s="10" t="str">
        <f>Table_SourceData_Scope3_Feed[[#This Row],[Region of origin]]</f>
        <v>VIC</v>
      </c>
    </row>
    <row r="118" spans="4:16" ht="20.100000000000001" customHeight="1" x14ac:dyDescent="0.25">
      <c r="D118" s="10" t="s">
        <v>1156</v>
      </c>
      <c r="E118" s="10" t="s">
        <v>1159</v>
      </c>
      <c r="F118" s="10" t="s">
        <v>346</v>
      </c>
      <c r="G118" s="10" t="s">
        <v>354</v>
      </c>
      <c r="H118" s="10">
        <v>0.26100000000000001</v>
      </c>
      <c r="I118" s="10" t="s">
        <v>1146</v>
      </c>
      <c r="K118" s="10" t="str">
        <f>Table_SourceData_Scope3_Feed[[#This Row],[Product]]</f>
        <v>Wheat grain</v>
      </c>
      <c r="L118" s="10" t="str">
        <f>Table_SourceData_Scope3_Feed[[#This Row],[Region of origin]]</f>
        <v>WA</v>
      </c>
      <c r="N118" s="10" t="s">
        <v>218</v>
      </c>
      <c r="O118" s="10" t="s">
        <v>390</v>
      </c>
      <c r="P118" s="8" t="str">
        <f>"Table_ProductRegions_" &amp; SUBSTITUTE(SUBSTITUTE(SUBSTITUTE(SUBSTITUTE(N119, " ", ""), ",", ""), "(", ""), ")", "")</f>
        <v>Table_ProductRegions_Cerealhay</v>
      </c>
    </row>
    <row r="119" spans="4:16" ht="20.100000000000001" customHeight="1" x14ac:dyDescent="0.25">
      <c r="D119" s="10" t="s">
        <v>1160</v>
      </c>
      <c r="E119" s="10" t="s">
        <v>392</v>
      </c>
      <c r="F119" s="10" t="s">
        <v>338</v>
      </c>
      <c r="G119" s="10" t="s">
        <v>354</v>
      </c>
      <c r="H119" s="10">
        <v>0.11700000000000001</v>
      </c>
      <c r="I119" s="10" t="s">
        <v>1146</v>
      </c>
      <c r="N119" s="10" t="str">
        <f>Table_SourceData_Scope3_Feed[[#This Row],[Product]]</f>
        <v>Cereal hay</v>
      </c>
      <c r="O119" s="10" t="str">
        <f>Table_SourceData_Scope3_Feed[[#This Row],[Region of origin]]</f>
        <v>Australia</v>
      </c>
    </row>
    <row r="120" spans="4:16" ht="20.100000000000001" customHeight="1" x14ac:dyDescent="0.25">
      <c r="D120" s="10" t="s">
        <v>1160</v>
      </c>
      <c r="E120" s="10" t="s">
        <v>392</v>
      </c>
      <c r="F120" s="10" t="s">
        <v>339</v>
      </c>
      <c r="G120" s="10" t="s">
        <v>354</v>
      </c>
      <c r="H120" s="10">
        <v>0.11600000000000001</v>
      </c>
      <c r="I120" s="10" t="s">
        <v>1146</v>
      </c>
      <c r="N120" s="10" t="str">
        <f>Table_SourceData_Scope3_Feed[[#This Row],[Product]]</f>
        <v>Cereal hay</v>
      </c>
      <c r="O120" s="10" t="str">
        <f>Table_SourceData_Scope3_Feed[[#This Row],[Region of origin]]</f>
        <v>NSW</v>
      </c>
    </row>
    <row r="121" spans="4:16" ht="20.100000000000001" customHeight="1" x14ac:dyDescent="0.25">
      <c r="D121" s="10" t="s">
        <v>1160</v>
      </c>
      <c r="E121" s="10" t="s">
        <v>392</v>
      </c>
      <c r="F121" s="10" t="s">
        <v>340</v>
      </c>
      <c r="G121" s="10" t="s">
        <v>354</v>
      </c>
      <c r="H121" s="10">
        <v>0.11799999999999999</v>
      </c>
      <c r="I121" s="10" t="s">
        <v>1146</v>
      </c>
      <c r="N121" s="10" t="str">
        <f>Table_SourceData_Scope3_Feed[[#This Row],[Product]]</f>
        <v>Cereal hay</v>
      </c>
      <c r="O121" s="10" t="str">
        <f>Table_SourceData_Scope3_Feed[[#This Row],[Region of origin]]</f>
        <v>QLD</v>
      </c>
    </row>
    <row r="122" spans="4:16" ht="20.100000000000001" customHeight="1" x14ac:dyDescent="0.25">
      <c r="D122" s="10" t="s">
        <v>1160</v>
      </c>
      <c r="E122" s="10" t="s">
        <v>392</v>
      </c>
      <c r="F122" s="10" t="s">
        <v>399</v>
      </c>
      <c r="G122" s="10" t="s">
        <v>354</v>
      </c>
      <c r="H122" s="10">
        <v>0.111</v>
      </c>
      <c r="I122" s="10" t="s">
        <v>1146</v>
      </c>
      <c r="N122" s="10" t="str">
        <f>Table_SourceData_Scope3_Feed[[#This Row],[Product]]</f>
        <v>Cereal hay</v>
      </c>
      <c r="O122" s="10" t="str">
        <f>Table_SourceData_Scope3_Feed[[#This Row],[Region of origin]]</f>
        <v>SA</v>
      </c>
    </row>
    <row r="123" spans="4:16" ht="20.100000000000001" customHeight="1" x14ac:dyDescent="0.25">
      <c r="D123" s="10" t="s">
        <v>1160</v>
      </c>
      <c r="E123" s="10" t="s">
        <v>392</v>
      </c>
      <c r="F123" s="10" t="s">
        <v>395</v>
      </c>
      <c r="G123" s="10" t="s">
        <v>354</v>
      </c>
      <c r="H123" s="10">
        <v>0.13900000000000001</v>
      </c>
      <c r="I123" s="10" t="s">
        <v>1146</v>
      </c>
      <c r="N123" s="10" t="str">
        <f>Table_SourceData_Scope3_Feed[[#This Row],[Product]]</f>
        <v>Cereal hay</v>
      </c>
      <c r="O123" s="10" t="str">
        <f>Table_SourceData_Scope3_Feed[[#This Row],[Region of origin]]</f>
        <v>TAS</v>
      </c>
    </row>
    <row r="124" spans="4:16" ht="20.100000000000001" customHeight="1" x14ac:dyDescent="0.25">
      <c r="D124" s="10" t="s">
        <v>1160</v>
      </c>
      <c r="E124" s="10" t="s">
        <v>392</v>
      </c>
      <c r="F124" s="10" t="s">
        <v>345</v>
      </c>
      <c r="G124" s="10" t="s">
        <v>354</v>
      </c>
      <c r="H124" s="10">
        <v>0.11600000000000001</v>
      </c>
      <c r="I124" s="10" t="s">
        <v>1146</v>
      </c>
      <c r="N124" s="10" t="str">
        <f>Table_SourceData_Scope3_Feed[[#This Row],[Product]]</f>
        <v>Cereal hay</v>
      </c>
      <c r="O124" s="10" t="str">
        <f>Table_SourceData_Scope3_Feed[[#This Row],[Region of origin]]</f>
        <v>VIC</v>
      </c>
    </row>
    <row r="125" spans="4:16" ht="20.100000000000001" customHeight="1" x14ac:dyDescent="0.25">
      <c r="D125" s="10" t="s">
        <v>1160</v>
      </c>
      <c r="E125" s="10" t="s">
        <v>392</v>
      </c>
      <c r="F125" s="10" t="s">
        <v>346</v>
      </c>
      <c r="G125" s="10" t="s">
        <v>354</v>
      </c>
      <c r="H125" s="10">
        <v>0.122</v>
      </c>
      <c r="I125" s="10" t="s">
        <v>1146</v>
      </c>
      <c r="K125" s="10" t="s">
        <v>218</v>
      </c>
      <c r="L125" s="10" t="s">
        <v>390</v>
      </c>
      <c r="M125" s="8" t="str">
        <f>"Table_ProductRegions_" &amp; SUBSTITUTE(SUBSTITUTE(SUBSTITUTE(SUBSTITUTE(K126, " ", ""), ",", ""), "(", ""), ")", "")</f>
        <v>Table_ProductRegions_Cerealsilage</v>
      </c>
      <c r="N125" s="10" t="str">
        <f>Table_SourceData_Scope3_Feed[[#This Row],[Product]]</f>
        <v>Cereal hay</v>
      </c>
      <c r="O125" s="10" t="str">
        <f>Table_SourceData_Scope3_Feed[[#This Row],[Region of origin]]</f>
        <v>WA</v>
      </c>
    </row>
    <row r="126" spans="4:16" ht="20.100000000000001" customHeight="1" x14ac:dyDescent="0.25">
      <c r="D126" s="10" t="s">
        <v>1160</v>
      </c>
      <c r="E126" s="10" t="s">
        <v>1161</v>
      </c>
      <c r="F126" s="10" t="s">
        <v>338</v>
      </c>
      <c r="G126" s="10" t="s">
        <v>354</v>
      </c>
      <c r="H126" s="10">
        <v>7.4399999999999994E-2</v>
      </c>
      <c r="I126" s="10" t="s">
        <v>1146</v>
      </c>
      <c r="K126" s="10" t="str">
        <f>Table_SourceData_Scope3_Feed[[#This Row],[Product]]</f>
        <v>Cereal silage</v>
      </c>
      <c r="L126" s="10" t="str">
        <f>Table_SourceData_Scope3_Feed[[#This Row],[Region of origin]]</f>
        <v>Australia</v>
      </c>
    </row>
    <row r="127" spans="4:16" ht="20.100000000000001" customHeight="1" x14ac:dyDescent="0.25">
      <c r="D127" s="10" t="s">
        <v>1160</v>
      </c>
      <c r="E127" s="10" t="s">
        <v>1161</v>
      </c>
      <c r="F127" s="10" t="s">
        <v>339</v>
      </c>
      <c r="G127" s="10" t="s">
        <v>354</v>
      </c>
      <c r="H127" s="10">
        <v>7.3899999999999993E-2</v>
      </c>
      <c r="I127" s="10" t="s">
        <v>1146</v>
      </c>
      <c r="K127" s="10" t="str">
        <f>Table_SourceData_Scope3_Feed[[#This Row],[Product]]</f>
        <v>Cereal silage</v>
      </c>
      <c r="L127" s="10" t="str">
        <f>Table_SourceData_Scope3_Feed[[#This Row],[Region of origin]]</f>
        <v>NSW</v>
      </c>
    </row>
    <row r="128" spans="4:16" ht="20.100000000000001" customHeight="1" x14ac:dyDescent="0.25">
      <c r="D128" s="10" t="s">
        <v>1160</v>
      </c>
      <c r="E128" s="10" t="s">
        <v>1161</v>
      </c>
      <c r="F128" s="10" t="s">
        <v>340</v>
      </c>
      <c r="G128" s="10" t="s">
        <v>354</v>
      </c>
      <c r="H128" s="10">
        <v>7.9000000000000001E-2</v>
      </c>
      <c r="I128" s="10" t="s">
        <v>1146</v>
      </c>
      <c r="K128" s="10" t="str">
        <f>Table_SourceData_Scope3_Feed[[#This Row],[Product]]</f>
        <v>Cereal silage</v>
      </c>
      <c r="L128" s="10" t="str">
        <f>Table_SourceData_Scope3_Feed[[#This Row],[Region of origin]]</f>
        <v>QLD</v>
      </c>
    </row>
    <row r="129" spans="4:16" ht="20.100000000000001" customHeight="1" x14ac:dyDescent="0.25">
      <c r="D129" s="10" t="s">
        <v>1160</v>
      </c>
      <c r="E129" s="10" t="s">
        <v>1161</v>
      </c>
      <c r="F129" s="10" t="s">
        <v>399</v>
      </c>
      <c r="G129" s="10" t="s">
        <v>354</v>
      </c>
      <c r="H129" s="10">
        <v>7.0599999999999996E-2</v>
      </c>
      <c r="I129" s="10" t="s">
        <v>1146</v>
      </c>
      <c r="K129" s="10" t="str">
        <f>Table_SourceData_Scope3_Feed[[#This Row],[Product]]</f>
        <v>Cereal silage</v>
      </c>
      <c r="L129" s="10" t="str">
        <f>Table_SourceData_Scope3_Feed[[#This Row],[Region of origin]]</f>
        <v>SA</v>
      </c>
    </row>
    <row r="130" spans="4:16" ht="20.100000000000001" customHeight="1" x14ac:dyDescent="0.25">
      <c r="D130" s="10" t="s">
        <v>1160</v>
      </c>
      <c r="E130" s="10" t="s">
        <v>1161</v>
      </c>
      <c r="F130" s="10" t="s">
        <v>395</v>
      </c>
      <c r="G130" s="10" t="s">
        <v>354</v>
      </c>
      <c r="H130" s="10">
        <v>8.0799999999999997E-2</v>
      </c>
      <c r="I130" s="10" t="s">
        <v>1146</v>
      </c>
      <c r="K130" s="10" t="str">
        <f>Table_SourceData_Scope3_Feed[[#This Row],[Product]]</f>
        <v>Cereal silage</v>
      </c>
      <c r="L130" s="10" t="str">
        <f>Table_SourceData_Scope3_Feed[[#This Row],[Region of origin]]</f>
        <v>TAS</v>
      </c>
    </row>
    <row r="131" spans="4:16" ht="20.100000000000001" customHeight="1" x14ac:dyDescent="0.25">
      <c r="D131" s="10" t="s">
        <v>1160</v>
      </c>
      <c r="E131" s="10" t="s">
        <v>1161</v>
      </c>
      <c r="F131" s="10" t="s">
        <v>345</v>
      </c>
      <c r="G131" s="10" t="s">
        <v>354</v>
      </c>
      <c r="H131" s="10">
        <v>7.3599999999999999E-2</v>
      </c>
      <c r="I131" s="10" t="s">
        <v>1146</v>
      </c>
      <c r="K131" s="10" t="str">
        <f>Table_SourceData_Scope3_Feed[[#This Row],[Product]]</f>
        <v>Cereal silage</v>
      </c>
      <c r="L131" s="10" t="str">
        <f>Table_SourceData_Scope3_Feed[[#This Row],[Region of origin]]</f>
        <v>VIC</v>
      </c>
      <c r="N131" s="10" t="s">
        <v>218</v>
      </c>
      <c r="O131" s="10" t="s">
        <v>390</v>
      </c>
      <c r="P131" s="8" t="str">
        <f>"Table_ProductRegions_" &amp; SUBSTITUTE(SUBSTITUTE(SUBSTITUTE(SUBSTITUTE(N132, " ", ""), ",", ""), "(", ""), ")", "")</f>
        <v>Table_ProductRegions_Lucernehay</v>
      </c>
    </row>
    <row r="132" spans="4:16" ht="20.100000000000001" customHeight="1" x14ac:dyDescent="0.25">
      <c r="D132" s="10" t="s">
        <v>1160</v>
      </c>
      <c r="E132" s="10" t="s">
        <v>400</v>
      </c>
      <c r="F132" s="10" t="s">
        <v>338</v>
      </c>
      <c r="G132" s="10" t="s">
        <v>354</v>
      </c>
      <c r="H132" s="10">
        <v>0.11700000000000001</v>
      </c>
      <c r="I132" s="10" t="s">
        <v>1146</v>
      </c>
      <c r="N132" s="10" t="str">
        <f>Table_SourceData_Scope3_Feed[[#This Row],[Product]]</f>
        <v>Lucerne hay</v>
      </c>
      <c r="O132" s="10" t="str">
        <f>Table_SourceData_Scope3_Feed[[#This Row],[Region of origin]]</f>
        <v>Australia</v>
      </c>
    </row>
    <row r="133" spans="4:16" ht="20.100000000000001" customHeight="1" x14ac:dyDescent="0.25">
      <c r="D133" s="10" t="s">
        <v>1160</v>
      </c>
      <c r="E133" s="10" t="s">
        <v>400</v>
      </c>
      <c r="F133" s="10" t="s">
        <v>339</v>
      </c>
      <c r="G133" s="10" t="s">
        <v>354</v>
      </c>
      <c r="H133" s="10">
        <v>0.113</v>
      </c>
      <c r="I133" s="10" t="s">
        <v>1146</v>
      </c>
      <c r="N133" s="10" t="str">
        <f>Table_SourceData_Scope3_Feed[[#This Row],[Product]]</f>
        <v>Lucerne hay</v>
      </c>
      <c r="O133" s="10" t="str">
        <f>Table_SourceData_Scope3_Feed[[#This Row],[Region of origin]]</f>
        <v>NSW</v>
      </c>
    </row>
    <row r="134" spans="4:16" ht="20.100000000000001" customHeight="1" x14ac:dyDescent="0.25">
      <c r="D134" s="10" t="s">
        <v>1160</v>
      </c>
      <c r="E134" s="10" t="s">
        <v>400</v>
      </c>
      <c r="F134" s="10" t="s">
        <v>340</v>
      </c>
      <c r="G134" s="10" t="s">
        <v>354</v>
      </c>
      <c r="H134" s="10">
        <v>0.14299999999999999</v>
      </c>
      <c r="I134" s="10" t="s">
        <v>1146</v>
      </c>
      <c r="N134" s="10" t="str">
        <f>Table_SourceData_Scope3_Feed[[#This Row],[Product]]</f>
        <v>Lucerne hay</v>
      </c>
      <c r="O134" s="10" t="str">
        <f>Table_SourceData_Scope3_Feed[[#This Row],[Region of origin]]</f>
        <v>QLD</v>
      </c>
    </row>
    <row r="135" spans="4:16" ht="20.100000000000001" customHeight="1" x14ac:dyDescent="0.25">
      <c r="D135" s="10" t="s">
        <v>1160</v>
      </c>
      <c r="E135" s="10" t="s">
        <v>400</v>
      </c>
      <c r="F135" s="10" t="s">
        <v>399</v>
      </c>
      <c r="G135" s="10" t="s">
        <v>354</v>
      </c>
      <c r="H135" s="10">
        <v>0.106</v>
      </c>
      <c r="I135" s="10" t="s">
        <v>1146</v>
      </c>
      <c r="N135" s="10" t="str">
        <f>Table_SourceData_Scope3_Feed[[#This Row],[Product]]</f>
        <v>Lucerne hay</v>
      </c>
      <c r="O135" s="10" t="str">
        <f>Table_SourceData_Scope3_Feed[[#This Row],[Region of origin]]</f>
        <v>SA</v>
      </c>
    </row>
    <row r="136" spans="4:16" ht="20.100000000000001" customHeight="1" x14ac:dyDescent="0.25">
      <c r="D136" s="10" t="s">
        <v>1160</v>
      </c>
      <c r="E136" s="10" t="s">
        <v>400</v>
      </c>
      <c r="F136" s="10" t="s">
        <v>395</v>
      </c>
      <c r="G136" s="10" t="s">
        <v>354</v>
      </c>
      <c r="H136" s="10">
        <v>0.113</v>
      </c>
      <c r="I136" s="10" t="s">
        <v>1146</v>
      </c>
      <c r="N136" s="10" t="str">
        <f>Table_SourceData_Scope3_Feed[[#This Row],[Product]]</f>
        <v>Lucerne hay</v>
      </c>
      <c r="O136" s="10" t="str">
        <f>Table_SourceData_Scope3_Feed[[#This Row],[Region of origin]]</f>
        <v>TAS</v>
      </c>
    </row>
    <row r="137" spans="4:16" ht="20.100000000000001" customHeight="1" x14ac:dyDescent="0.25">
      <c r="D137" s="10" t="s">
        <v>1160</v>
      </c>
      <c r="E137" s="10" t="s">
        <v>400</v>
      </c>
      <c r="F137" s="10" t="s">
        <v>345</v>
      </c>
      <c r="G137" s="10" t="s">
        <v>354</v>
      </c>
      <c r="H137" s="10">
        <v>0.106</v>
      </c>
      <c r="I137" s="10" t="s">
        <v>1146</v>
      </c>
      <c r="N137" s="10" t="str">
        <f>Table_SourceData_Scope3_Feed[[#This Row],[Product]]</f>
        <v>Lucerne hay</v>
      </c>
      <c r="O137" s="10" t="str">
        <f>Table_SourceData_Scope3_Feed[[#This Row],[Region of origin]]</f>
        <v>VIC</v>
      </c>
    </row>
    <row r="138" spans="4:16" ht="20.100000000000001" customHeight="1" x14ac:dyDescent="0.25">
      <c r="D138" s="10" t="s">
        <v>1160</v>
      </c>
      <c r="E138" s="10" t="s">
        <v>1162</v>
      </c>
      <c r="F138" s="10" t="s">
        <v>345</v>
      </c>
      <c r="G138" s="10" t="s">
        <v>354</v>
      </c>
      <c r="H138" s="10">
        <v>0.16300000000000001</v>
      </c>
      <c r="I138" s="10" t="s">
        <v>1146</v>
      </c>
      <c r="K138" s="10" t="s">
        <v>218</v>
      </c>
      <c r="L138" s="10" t="s">
        <v>390</v>
      </c>
      <c r="M138" s="8" t="str">
        <f>"Table_ProductRegions_" &amp; SUBSTITUTE(SUBSTITUTE(SUBSTITUTE(SUBSTITUTE(K139, " ", ""), ",", ""), "(", ""), ")", "")</f>
        <v>Table_ProductRegions_Oatenhay</v>
      </c>
      <c r="N138" s="10" t="str">
        <f>Table_SourceData_Scope3_Feed[[#This Row],[Product]]</f>
        <v>Maize silage</v>
      </c>
      <c r="O138" s="10" t="str">
        <f>Table_SourceData_Scope3_Feed[[#This Row],[Region of origin]]</f>
        <v>VIC</v>
      </c>
    </row>
    <row r="139" spans="4:16" ht="20.100000000000001" customHeight="1" x14ac:dyDescent="0.25">
      <c r="D139" s="10" t="s">
        <v>1160</v>
      </c>
      <c r="E139" s="10" t="s">
        <v>396</v>
      </c>
      <c r="F139" s="10" t="s">
        <v>338</v>
      </c>
      <c r="G139" s="10" t="s">
        <v>354</v>
      </c>
      <c r="H139" s="10">
        <v>0.12</v>
      </c>
      <c r="I139" s="10" t="s">
        <v>1146</v>
      </c>
      <c r="K139" s="10" t="str">
        <f>Table_SourceData_Scope3_Feed[[#This Row],[Product]]</f>
        <v>Oaten hay</v>
      </c>
      <c r="L139" s="10" t="str">
        <f>Table_SourceData_Scope3_Feed[[#This Row],[Region of origin]]</f>
        <v>Australia</v>
      </c>
    </row>
    <row r="140" spans="4:16" ht="20.100000000000001" customHeight="1" x14ac:dyDescent="0.25">
      <c r="D140" s="10" t="s">
        <v>1160</v>
      </c>
      <c r="E140" s="10" t="s">
        <v>396</v>
      </c>
      <c r="F140" s="10" t="s">
        <v>339</v>
      </c>
      <c r="G140" s="10" t="s">
        <v>354</v>
      </c>
      <c r="H140" s="10">
        <v>0.11899999999999999</v>
      </c>
      <c r="I140" s="10" t="s">
        <v>1146</v>
      </c>
      <c r="K140" s="10" t="str">
        <f>Table_SourceData_Scope3_Feed[[#This Row],[Product]]</f>
        <v>Oaten hay</v>
      </c>
      <c r="L140" s="10" t="str">
        <f>Table_SourceData_Scope3_Feed[[#This Row],[Region of origin]]</f>
        <v>NSW</v>
      </c>
    </row>
    <row r="141" spans="4:16" ht="20.100000000000001" customHeight="1" x14ac:dyDescent="0.25">
      <c r="D141" s="10" t="s">
        <v>1160</v>
      </c>
      <c r="E141" s="10" t="s">
        <v>396</v>
      </c>
      <c r="F141" s="10" t="s">
        <v>340</v>
      </c>
      <c r="G141" s="10" t="s">
        <v>354</v>
      </c>
      <c r="H141" s="10">
        <v>0.11700000000000001</v>
      </c>
      <c r="I141" s="10" t="s">
        <v>1146</v>
      </c>
      <c r="K141" s="10" t="str">
        <f>Table_SourceData_Scope3_Feed[[#This Row],[Product]]</f>
        <v>Oaten hay</v>
      </c>
      <c r="L141" s="10" t="str">
        <f>Table_SourceData_Scope3_Feed[[#This Row],[Region of origin]]</f>
        <v>QLD</v>
      </c>
    </row>
    <row r="142" spans="4:16" ht="20.100000000000001" customHeight="1" x14ac:dyDescent="0.25">
      <c r="D142" s="10" t="s">
        <v>1160</v>
      </c>
      <c r="E142" s="10" t="s">
        <v>396</v>
      </c>
      <c r="F142" s="10" t="s">
        <v>399</v>
      </c>
      <c r="G142" s="10" t="s">
        <v>354</v>
      </c>
      <c r="H142" s="10">
        <v>0.114</v>
      </c>
      <c r="I142" s="10" t="s">
        <v>1146</v>
      </c>
      <c r="K142" s="10" t="str">
        <f>Table_SourceData_Scope3_Feed[[#This Row],[Product]]</f>
        <v>Oaten hay</v>
      </c>
      <c r="L142" s="10" t="str">
        <f>Table_SourceData_Scope3_Feed[[#This Row],[Region of origin]]</f>
        <v>SA</v>
      </c>
    </row>
    <row r="143" spans="4:16" ht="20.100000000000001" customHeight="1" x14ac:dyDescent="0.25">
      <c r="D143" s="10" t="s">
        <v>1160</v>
      </c>
      <c r="E143" s="10" t="s">
        <v>396</v>
      </c>
      <c r="F143" s="10" t="s">
        <v>345</v>
      </c>
      <c r="G143" s="10" t="s">
        <v>354</v>
      </c>
      <c r="H143" s="10">
        <v>0.11799999999999999</v>
      </c>
      <c r="I143" s="10" t="s">
        <v>1146</v>
      </c>
      <c r="K143" s="10" t="str">
        <f>Table_SourceData_Scope3_Feed[[#This Row],[Product]]</f>
        <v>Oaten hay</v>
      </c>
      <c r="L143" s="10" t="str">
        <f>Table_SourceData_Scope3_Feed[[#This Row],[Region of origin]]</f>
        <v>VIC</v>
      </c>
    </row>
    <row r="144" spans="4:16" ht="20.100000000000001" customHeight="1" x14ac:dyDescent="0.25">
      <c r="D144" s="10" t="s">
        <v>1160</v>
      </c>
      <c r="E144" s="10" t="s">
        <v>396</v>
      </c>
      <c r="F144" s="10" t="s">
        <v>346</v>
      </c>
      <c r="G144" s="10" t="s">
        <v>354</v>
      </c>
      <c r="H144" s="10">
        <v>0.124</v>
      </c>
      <c r="I144" s="10" t="s">
        <v>1146</v>
      </c>
      <c r="K144" s="10" t="str">
        <f>Table_SourceData_Scope3_Feed[[#This Row],[Product]]</f>
        <v>Oaten hay</v>
      </c>
      <c r="L144" s="10" t="str">
        <f>Table_SourceData_Scope3_Feed[[#This Row],[Region of origin]]</f>
        <v>WA</v>
      </c>
      <c r="N144" s="10" t="s">
        <v>218</v>
      </c>
      <c r="O144" s="10" t="s">
        <v>390</v>
      </c>
      <c r="P144" s="8" t="str">
        <f>"Table_ProductRegions_" &amp; SUBSTITUTE(SUBSTITUTE(SUBSTITUTE(SUBSTITUTE(N145, " ", ""), ",", ""), "(", ""), ")", "")</f>
        <v>Table_ProductRegions_Pasturehay</v>
      </c>
    </row>
    <row r="145" spans="4:16" ht="20.100000000000001" customHeight="1" x14ac:dyDescent="0.25">
      <c r="D145" s="10" t="s">
        <v>1160</v>
      </c>
      <c r="E145" s="10" t="s">
        <v>407</v>
      </c>
      <c r="F145" s="10" t="s">
        <v>338</v>
      </c>
      <c r="G145" s="10" t="s">
        <v>354</v>
      </c>
      <c r="H145" s="10">
        <v>0.33900000000000002</v>
      </c>
      <c r="I145" s="10" t="s">
        <v>1146</v>
      </c>
      <c r="N145" s="10" t="str">
        <f>Table_SourceData_Scope3_Feed[[#This Row],[Product]]</f>
        <v>Pasture hay</v>
      </c>
      <c r="O145" s="10" t="str">
        <f>Table_SourceData_Scope3_Feed[[#This Row],[Region of origin]]</f>
        <v>Australia</v>
      </c>
    </row>
    <row r="146" spans="4:16" ht="20.100000000000001" customHeight="1" x14ac:dyDescent="0.25">
      <c r="D146" s="10" t="s">
        <v>1160</v>
      </c>
      <c r="E146" s="10" t="s">
        <v>407</v>
      </c>
      <c r="F146" s="10" t="s">
        <v>339</v>
      </c>
      <c r="G146" s="10" t="s">
        <v>354</v>
      </c>
      <c r="H146" s="10">
        <v>0.311</v>
      </c>
      <c r="I146" s="10" t="s">
        <v>1146</v>
      </c>
      <c r="N146" s="10" t="str">
        <f>Table_SourceData_Scope3_Feed[[#This Row],[Product]]</f>
        <v>Pasture hay</v>
      </c>
      <c r="O146" s="10" t="str">
        <f>Table_SourceData_Scope3_Feed[[#This Row],[Region of origin]]</f>
        <v>NSW</v>
      </c>
    </row>
    <row r="147" spans="4:16" ht="20.100000000000001" customHeight="1" x14ac:dyDescent="0.25">
      <c r="D147" s="10" t="s">
        <v>1160</v>
      </c>
      <c r="E147" s="10" t="s">
        <v>407</v>
      </c>
      <c r="F147" s="10" t="s">
        <v>340</v>
      </c>
      <c r="G147" s="10" t="s">
        <v>354</v>
      </c>
      <c r="H147" s="10">
        <v>0.254</v>
      </c>
      <c r="I147" s="10" t="s">
        <v>1146</v>
      </c>
      <c r="N147" s="10" t="str">
        <f>Table_SourceData_Scope3_Feed[[#This Row],[Product]]</f>
        <v>Pasture hay</v>
      </c>
      <c r="O147" s="10" t="str">
        <f>Table_SourceData_Scope3_Feed[[#This Row],[Region of origin]]</f>
        <v>QLD</v>
      </c>
    </row>
    <row r="148" spans="4:16" ht="20.100000000000001" customHeight="1" x14ac:dyDescent="0.25">
      <c r="D148" s="10" t="s">
        <v>1160</v>
      </c>
      <c r="E148" s="10" t="s">
        <v>407</v>
      </c>
      <c r="F148" s="10" t="s">
        <v>399</v>
      </c>
      <c r="G148" s="10" t="s">
        <v>354</v>
      </c>
      <c r="H148" s="10">
        <v>0.313</v>
      </c>
      <c r="I148" s="10" t="s">
        <v>1146</v>
      </c>
      <c r="N148" s="10" t="str">
        <f>Table_SourceData_Scope3_Feed[[#This Row],[Product]]</f>
        <v>Pasture hay</v>
      </c>
      <c r="O148" s="10" t="str">
        <f>Table_SourceData_Scope3_Feed[[#This Row],[Region of origin]]</f>
        <v>SA</v>
      </c>
    </row>
    <row r="149" spans="4:16" ht="20.100000000000001" customHeight="1" x14ac:dyDescent="0.25">
      <c r="D149" s="10" t="s">
        <v>1160</v>
      </c>
      <c r="E149" s="10" t="s">
        <v>407</v>
      </c>
      <c r="F149" s="10" t="s">
        <v>395</v>
      </c>
      <c r="G149" s="10" t="s">
        <v>354</v>
      </c>
      <c r="H149" s="10">
        <v>0.39800000000000002</v>
      </c>
      <c r="I149" s="10" t="s">
        <v>1146</v>
      </c>
      <c r="N149" s="10" t="str">
        <f>Table_SourceData_Scope3_Feed[[#This Row],[Product]]</f>
        <v>Pasture hay</v>
      </c>
      <c r="O149" s="10" t="str">
        <f>Table_SourceData_Scope3_Feed[[#This Row],[Region of origin]]</f>
        <v>TAS</v>
      </c>
    </row>
    <row r="150" spans="4:16" ht="20.100000000000001" customHeight="1" x14ac:dyDescent="0.25">
      <c r="D150" s="10" t="s">
        <v>1160</v>
      </c>
      <c r="E150" s="10" t="s">
        <v>407</v>
      </c>
      <c r="F150" s="10" t="s">
        <v>345</v>
      </c>
      <c r="G150" s="10" t="s">
        <v>354</v>
      </c>
      <c r="H150" s="10">
        <v>0.34499999999999997</v>
      </c>
      <c r="I150" s="10" t="s">
        <v>1146</v>
      </c>
      <c r="N150" s="10" t="str">
        <f>Table_SourceData_Scope3_Feed[[#This Row],[Product]]</f>
        <v>Pasture hay</v>
      </c>
      <c r="O150" s="10" t="str">
        <f>Table_SourceData_Scope3_Feed[[#This Row],[Region of origin]]</f>
        <v>VIC</v>
      </c>
    </row>
    <row r="151" spans="4:16" ht="20.100000000000001" customHeight="1" x14ac:dyDescent="0.25">
      <c r="D151" s="10" t="s">
        <v>1160</v>
      </c>
      <c r="E151" s="10" t="s">
        <v>407</v>
      </c>
      <c r="F151" s="10" t="s">
        <v>346</v>
      </c>
      <c r="G151" s="10" t="s">
        <v>354</v>
      </c>
      <c r="H151" s="10">
        <v>0.36799999999999999</v>
      </c>
      <c r="I151" s="10" t="s">
        <v>1146</v>
      </c>
      <c r="K151" s="159" t="s">
        <v>218</v>
      </c>
      <c r="L151" s="159" t="s">
        <v>390</v>
      </c>
      <c r="M151" s="8" t="str">
        <f>"Table_ProductRegions_" &amp; SUBSTITUTE(SUBSTITUTE(SUBSTITUTE(SUBSTITUTE(K152, " ", ""), ",", ""), "(", ""), ")", "")</f>
        <v>Table_ProductRegions_Canolameal</v>
      </c>
      <c r="N151" s="10" t="str">
        <f>Table_SourceData_Scope3_Feed[[#This Row],[Product]]</f>
        <v>Pasture hay</v>
      </c>
      <c r="O151" s="10" t="str">
        <f>Table_SourceData_Scope3_Feed[[#This Row],[Region of origin]]</f>
        <v>WA</v>
      </c>
    </row>
    <row r="152" spans="4:16" ht="20.100000000000001" customHeight="1" x14ac:dyDescent="0.25">
      <c r="D152" s="10" t="s">
        <v>1163</v>
      </c>
      <c r="E152" s="10" t="s">
        <v>1164</v>
      </c>
      <c r="F152" s="10" t="s">
        <v>338</v>
      </c>
      <c r="G152" s="10" t="s">
        <v>354</v>
      </c>
      <c r="H152" s="10">
        <v>0.24399999999999999</v>
      </c>
      <c r="I152" s="10" t="s">
        <v>1146</v>
      </c>
      <c r="K152" s="8" t="str">
        <f>Table_SourceData_Scope3_Feed[[#This Row],[Product]]</f>
        <v>Canola meal</v>
      </c>
      <c r="L152" s="8" t="str">
        <f>Table_SourceData_Scope3_Feed[[#This Row],[Region of origin]]</f>
        <v>Australia</v>
      </c>
      <c r="N152" s="10" t="s">
        <v>218</v>
      </c>
      <c r="O152" s="10" t="s">
        <v>390</v>
      </c>
      <c r="P152" s="8" t="str">
        <f>"Table_ProductRegions_" &amp; SUBSTITUTE(SUBSTITUTE(SUBSTITUTE(SUBSTITUTE(N153, " ", ""), ",", ""), "(", ""), ")", "")</f>
        <v>Table_ProductRegions_Meatmeal</v>
      </c>
    </row>
    <row r="153" spans="4:16" ht="20.100000000000001" customHeight="1" x14ac:dyDescent="0.25">
      <c r="D153" s="10" t="s">
        <v>1163</v>
      </c>
      <c r="E153" s="10" t="s">
        <v>1165</v>
      </c>
      <c r="F153" s="10" t="s">
        <v>338</v>
      </c>
      <c r="G153" s="10" t="s">
        <v>354</v>
      </c>
      <c r="H153" s="10">
        <v>0.40799999999999997</v>
      </c>
      <c r="I153" s="10" t="s">
        <v>1146</v>
      </c>
      <c r="K153" s="10" t="s">
        <v>218</v>
      </c>
      <c r="L153" s="10" t="s">
        <v>390</v>
      </c>
      <c r="M153" s="8" t="str">
        <f>"Table_ProductRegions_" &amp; SUBSTITUTE(SUBSTITUTE(SUBSTITUTE(SUBSTITUTE(K154, " ", ""), ",", ""), "(", ""), ")", "")</f>
        <v>Table_ProductRegions_Soybeanmeal</v>
      </c>
      <c r="N153" s="10" t="str">
        <f>Table_SourceData_Scope3_Feed[[#This Row],[Product]]</f>
        <v>Meat meal</v>
      </c>
      <c r="O153" s="10" t="str">
        <f>Table_SourceData_Scope3_Feed[[#This Row],[Region of origin]]</f>
        <v>Australia</v>
      </c>
    </row>
    <row r="154" spans="4:16" ht="20.100000000000001" customHeight="1" x14ac:dyDescent="0.25">
      <c r="D154" s="10" t="s">
        <v>1163</v>
      </c>
      <c r="E154" s="10" t="s">
        <v>393</v>
      </c>
      <c r="F154" s="10" t="s">
        <v>401</v>
      </c>
      <c r="G154" s="10" t="s">
        <v>354</v>
      </c>
      <c r="H154" s="10">
        <v>0.42599999999999999</v>
      </c>
      <c r="I154" s="10" t="s">
        <v>1146</v>
      </c>
      <c r="K154" s="10" t="str">
        <f>Table_SourceData_Scope3_Feed[[#This Row],[Product]]</f>
        <v>Soybean meal</v>
      </c>
      <c r="L154" s="10" t="str">
        <f>Table_SourceData_Scope3_Feed[[#This Row],[Region of origin]]</f>
        <v>Brazil</v>
      </c>
      <c r="N154" s="10" t="s">
        <v>218</v>
      </c>
      <c r="O154" s="10" t="s">
        <v>390</v>
      </c>
      <c r="P154" s="8" t="str">
        <f>"Table_ProductRegions_" &amp; SUBSTITUTE(SUBSTITUTE(SUBSTITUTE(SUBSTITUTE(N155, " ", ""), ",", ""), "(", ""), ")", "")</f>
        <v>Table_ProductRegions_Wheatbran</v>
      </c>
    </row>
    <row r="155" spans="4:16" ht="20.100000000000001" customHeight="1" x14ac:dyDescent="0.25">
      <c r="D155" s="10" t="s">
        <v>1163</v>
      </c>
      <c r="E155" s="10" t="s">
        <v>1166</v>
      </c>
      <c r="F155" s="10" t="s">
        <v>338</v>
      </c>
      <c r="G155" s="10" t="s">
        <v>354</v>
      </c>
      <c r="H155" s="10">
        <v>0.19600000000000001</v>
      </c>
      <c r="I155" s="10" t="s">
        <v>1146</v>
      </c>
      <c r="K155" s="10" t="s">
        <v>218</v>
      </c>
      <c r="L155" s="10" t="s">
        <v>390</v>
      </c>
      <c r="M155" s="8" t="str">
        <f>"Table_ProductRegions_" &amp; SUBSTITUTE(SUBSTITUTE(SUBSTITUTE(SUBSTITUTE(K156, " ", ""), ",", ""), "(", ""), ")", "")</f>
        <v>Table_ProductRegions_Bentonite</v>
      </c>
      <c r="N155" s="10" t="str">
        <f>Table_SourceData_Scope3_Feed[[#This Row],[Product]]</f>
        <v>Wheat bran</v>
      </c>
      <c r="O155" s="10" t="str">
        <f>Table_SourceData_Scope3_Feed[[#This Row],[Region of origin]]</f>
        <v>Australia</v>
      </c>
    </row>
    <row r="156" spans="4:16" ht="20.100000000000001" customHeight="1" x14ac:dyDescent="0.25">
      <c r="D156" s="8" t="s">
        <v>1167</v>
      </c>
      <c r="E156" s="8" t="s">
        <v>1168</v>
      </c>
      <c r="F156" s="8" t="s">
        <v>338</v>
      </c>
      <c r="G156" s="8" t="s">
        <v>354</v>
      </c>
      <c r="H156" s="8">
        <v>6.5199999999999994E-2</v>
      </c>
      <c r="I156" s="8" t="s">
        <v>1146</v>
      </c>
      <c r="K156" s="10" t="str">
        <f>Table_SourceData_Scope3_Feed[[#This Row],[Product]]</f>
        <v>Bentonite</v>
      </c>
      <c r="L156" s="10" t="str">
        <f>Table_SourceData_Scope3_Feed[[#This Row],[Region of origin]]</f>
        <v>Australia</v>
      </c>
      <c r="N156" s="10" t="s">
        <v>218</v>
      </c>
      <c r="O156" s="10" t="s">
        <v>390</v>
      </c>
      <c r="P156" s="8" t="str">
        <f>"Table_ProductRegions_" &amp; SUBSTITUTE(SUBSTITUTE(SUBSTITUTE(SUBSTITUTE(N157, " ", ""), ",", ""), "(", ""), ")", "")</f>
        <v>Table_ProductRegions_Canolaoil</v>
      </c>
    </row>
    <row r="157" spans="4:16" ht="20.100000000000001" customHeight="1" x14ac:dyDescent="0.25">
      <c r="D157" s="8" t="s">
        <v>1167</v>
      </c>
      <c r="E157" s="8" t="s">
        <v>301</v>
      </c>
      <c r="F157" s="8" t="s">
        <v>338</v>
      </c>
      <c r="G157" s="8" t="s">
        <v>354</v>
      </c>
      <c r="H157" s="8">
        <v>0.87</v>
      </c>
      <c r="I157" s="8" t="s">
        <v>1146</v>
      </c>
      <c r="K157" s="10" t="s">
        <v>218</v>
      </c>
      <c r="L157" s="10" t="s">
        <v>390</v>
      </c>
      <c r="M157" s="8" t="str">
        <f>"Table_ProductRegions_" &amp; SUBSTITUTE(SUBSTITUTE(SUBSTITUTE(SUBSTITUTE(K158, " ", ""), ",", ""), "(", ""), ")", "")</f>
        <v>Table_ProductRegions_Cottonseed</v>
      </c>
      <c r="N157" s="10" t="str">
        <f>Table_SourceData_Scope3_Feed[[#This Row],[Product]]</f>
        <v>Canola oil</v>
      </c>
      <c r="O157" s="10" t="str">
        <f>Table_SourceData_Scope3_Feed[[#This Row],[Region of origin]]</f>
        <v>Australia</v>
      </c>
    </row>
    <row r="158" spans="4:16" ht="20.100000000000001" customHeight="1" x14ac:dyDescent="0.25">
      <c r="D158" s="8" t="s">
        <v>1167</v>
      </c>
      <c r="E158" s="8" t="s">
        <v>1169</v>
      </c>
      <c r="F158" s="8" t="s">
        <v>338</v>
      </c>
      <c r="G158" s="8" t="s">
        <v>354</v>
      </c>
      <c r="H158" s="8">
        <v>0.19700000000000001</v>
      </c>
      <c r="I158" s="8" t="s">
        <v>1146</v>
      </c>
      <c r="K158" s="10" t="str">
        <f>Table_SourceData_Scope3_Feed[[#This Row],[Product]]</f>
        <v>Cotton seed</v>
      </c>
      <c r="L158" s="10" t="str">
        <f>Table_SourceData_Scope3_Feed[[#This Row],[Region of origin]]</f>
        <v>Australia</v>
      </c>
      <c r="N158" s="10" t="s">
        <v>218</v>
      </c>
      <c r="O158" s="10" t="s">
        <v>390</v>
      </c>
      <c r="P158" s="8" t="str">
        <f>"Table_ProductRegions_" &amp; SUBSTITUTE(SUBSTITUTE(SUBSTITUTE(SUBSTITUTE(N159, " ", ""), ",", ""), "(", ""), ")", "")</f>
        <v>Table_ProductRegions_Molasses</v>
      </c>
    </row>
    <row r="159" spans="4:16" ht="20.100000000000001" customHeight="1" x14ac:dyDescent="0.25">
      <c r="D159" s="8" t="s">
        <v>1167</v>
      </c>
      <c r="E159" s="8" t="s">
        <v>405</v>
      </c>
      <c r="F159" s="8" t="s">
        <v>340</v>
      </c>
      <c r="G159" s="8" t="s">
        <v>354</v>
      </c>
      <c r="H159" s="8">
        <v>0.184</v>
      </c>
      <c r="I159" s="8" t="s">
        <v>1146</v>
      </c>
      <c r="N159" s="10" t="str">
        <f>Table_SourceData_Scope3_Feed[[#This Row],[Product]]</f>
        <v>Molasses</v>
      </c>
      <c r="O159" s="10" t="str">
        <f>Table_SourceData_Scope3_Feed[[#This Row],[Region of origin]]</f>
        <v>QLD</v>
      </c>
    </row>
    <row r="160" spans="4:16" ht="20.100000000000001" customHeight="1" x14ac:dyDescent="0.25"/>
    <row r="161" spans="4:13" ht="20.100000000000001" customHeight="1" x14ac:dyDescent="0.25">
      <c r="D161" s="10" t="s">
        <v>320</v>
      </c>
      <c r="E161" s="10" t="s">
        <v>218</v>
      </c>
      <c r="F161" s="10" t="s">
        <v>321</v>
      </c>
      <c r="G161" s="10" t="s">
        <v>285</v>
      </c>
      <c r="H161" s="10" t="s">
        <v>286</v>
      </c>
      <c r="I161" s="10" t="s">
        <v>366</v>
      </c>
    </row>
    <row r="162" spans="4:13" ht="20.100000000000001" customHeight="1" x14ac:dyDescent="0.25">
      <c r="D162" s="10" t="s">
        <v>1170</v>
      </c>
      <c r="E162" s="10" t="s">
        <v>1171</v>
      </c>
      <c r="F162" s="10" t="s">
        <v>338</v>
      </c>
      <c r="G162" s="10" t="s">
        <v>354</v>
      </c>
      <c r="H162" s="10">
        <v>0.59399999999999997</v>
      </c>
      <c r="I162" s="10" t="s">
        <v>1146</v>
      </c>
    </row>
    <row r="163" spans="4:13" ht="20.100000000000001" customHeight="1" x14ac:dyDescent="0.25">
      <c r="D163" s="10" t="s">
        <v>1170</v>
      </c>
      <c r="E163" s="10" t="s">
        <v>1172</v>
      </c>
      <c r="F163" s="10" t="s">
        <v>338</v>
      </c>
      <c r="G163" s="10" t="s">
        <v>354</v>
      </c>
      <c r="H163" s="10">
        <v>0.41899999999999998</v>
      </c>
      <c r="I163" s="10" t="s">
        <v>1146</v>
      </c>
    </row>
    <row r="164" spans="4:13" ht="20.100000000000001" customHeight="1" x14ac:dyDescent="0.25">
      <c r="D164" s="10" t="s">
        <v>1170</v>
      </c>
      <c r="E164" s="10" t="s">
        <v>1173</v>
      </c>
      <c r="F164" s="10" t="s">
        <v>338</v>
      </c>
      <c r="G164" s="10" t="s">
        <v>354</v>
      </c>
      <c r="H164" s="10">
        <v>0.33300000000000002</v>
      </c>
      <c r="I164" s="10" t="s">
        <v>1146</v>
      </c>
    </row>
    <row r="165" spans="4:13" ht="20.100000000000001" customHeight="1" x14ac:dyDescent="0.25">
      <c r="D165" s="10" t="s">
        <v>1170</v>
      </c>
      <c r="E165" s="10" t="s">
        <v>1174</v>
      </c>
      <c r="F165" s="10" t="s">
        <v>338</v>
      </c>
      <c r="G165" s="10" t="s">
        <v>354</v>
      </c>
      <c r="H165" s="10">
        <v>0.40300000000000002</v>
      </c>
      <c r="I165" s="10" t="s">
        <v>1146</v>
      </c>
    </row>
    <row r="166" spans="4:13" ht="20.100000000000001" customHeight="1" x14ac:dyDescent="0.25"/>
    <row r="167" spans="4:13" ht="20.100000000000001" customHeight="1" x14ac:dyDescent="0.25">
      <c r="D167" s="10" t="s">
        <v>320</v>
      </c>
      <c r="E167" s="10" t="s">
        <v>218</v>
      </c>
      <c r="F167" s="10" t="s">
        <v>321</v>
      </c>
      <c r="G167" s="10" t="s">
        <v>285</v>
      </c>
      <c r="H167" s="10" t="s">
        <v>286</v>
      </c>
      <c r="I167" s="10" t="s">
        <v>366</v>
      </c>
    </row>
    <row r="168" spans="4:13" ht="20.100000000000001" customHeight="1" x14ac:dyDescent="0.25">
      <c r="D168" s="10" t="s">
        <v>1167</v>
      </c>
      <c r="E168" s="10" t="s">
        <v>1175</v>
      </c>
      <c r="F168" s="10" t="s">
        <v>338</v>
      </c>
      <c r="G168" s="10" t="s">
        <v>354</v>
      </c>
      <c r="H168" s="10">
        <v>0.88100000000000001</v>
      </c>
      <c r="I168" s="10" t="s">
        <v>1146</v>
      </c>
    </row>
    <row r="169" spans="4:13" ht="20.100000000000001" customHeight="1" x14ac:dyDescent="0.25">
      <c r="D169" s="10" t="s">
        <v>1167</v>
      </c>
      <c r="E169" s="10" t="s">
        <v>1176</v>
      </c>
      <c r="F169" s="10" t="s">
        <v>338</v>
      </c>
      <c r="G169" s="10" t="s">
        <v>354</v>
      </c>
      <c r="H169" s="10">
        <v>0.67700000000000005</v>
      </c>
      <c r="I169" s="10" t="s">
        <v>1146</v>
      </c>
    </row>
    <row r="170" spans="4:13" ht="20.100000000000001" customHeight="1" x14ac:dyDescent="0.25">
      <c r="D170" s="10" t="s">
        <v>1167</v>
      </c>
      <c r="E170" s="10" t="s">
        <v>1177</v>
      </c>
      <c r="F170" s="10" t="s">
        <v>338</v>
      </c>
      <c r="G170" s="10" t="s">
        <v>354</v>
      </c>
      <c r="H170" s="10">
        <v>0.23100000000000001</v>
      </c>
      <c r="I170" s="10" t="s">
        <v>1146</v>
      </c>
    </row>
    <row r="171" spans="4:13" ht="20.100000000000001" customHeight="1" x14ac:dyDescent="0.25"/>
    <row r="172" spans="4:13" ht="20.100000000000001" customHeight="1" x14ac:dyDescent="0.25">
      <c r="D172" s="9" t="s">
        <v>352</v>
      </c>
    </row>
    <row r="173" spans="4:13" ht="20.100000000000001" customHeight="1" x14ac:dyDescent="0.25">
      <c r="D173" s="10" t="s">
        <v>320</v>
      </c>
      <c r="E173" s="10" t="s">
        <v>218</v>
      </c>
      <c r="F173" s="10" t="s">
        <v>321</v>
      </c>
      <c r="G173" s="10" t="s">
        <v>283</v>
      </c>
      <c r="H173" s="10" t="s">
        <v>172</v>
      </c>
      <c r="I173" s="10" t="s">
        <v>173</v>
      </c>
      <c r="J173" s="10" t="s">
        <v>284</v>
      </c>
      <c r="K173" s="10" t="s">
        <v>285</v>
      </c>
      <c r="L173" s="10" t="s">
        <v>286</v>
      </c>
      <c r="M173" s="10" t="s">
        <v>366</v>
      </c>
    </row>
    <row r="174" spans="4:13" ht="20.100000000000001" customHeight="1" x14ac:dyDescent="0.25">
      <c r="D174" s="10" t="s">
        <v>352</v>
      </c>
      <c r="E174" s="10" t="s">
        <v>1178</v>
      </c>
      <c r="F174" s="10" t="s">
        <v>353</v>
      </c>
      <c r="G174" s="10" t="str">
        <f>'Constants - Fertiliser'!$D$37</f>
        <v>Ammonia</v>
      </c>
      <c r="H174" s="10"/>
      <c r="I174" s="10" t="str">
        <f>'Constants - Fertiliser'!$V$20</f>
        <v>Global</v>
      </c>
      <c r="J174" s="10"/>
      <c r="K174" s="10" t="s">
        <v>354</v>
      </c>
      <c r="L174" s="10">
        <v>2.3199999999999998</v>
      </c>
      <c r="M174" s="10" t="s">
        <v>1146</v>
      </c>
    </row>
    <row r="175" spans="4:13" ht="20.100000000000001" customHeight="1" x14ac:dyDescent="0.25">
      <c r="D175" s="10" t="s">
        <v>352</v>
      </c>
      <c r="E175" s="10" t="s">
        <v>1179</v>
      </c>
      <c r="F175" s="10" t="s">
        <v>319</v>
      </c>
      <c r="G175" s="10" t="str">
        <f>'Constants - Fertiliser'!$D$37</f>
        <v>Ammonia</v>
      </c>
      <c r="H175" s="10"/>
      <c r="I175" s="10" t="str">
        <f>'Constants - Fertiliser'!$V$21</f>
        <v>Canada</v>
      </c>
      <c r="J175" s="10"/>
      <c r="K175" s="10" t="s">
        <v>354</v>
      </c>
      <c r="L175" s="10">
        <v>2.12</v>
      </c>
      <c r="M175" s="10" t="s">
        <v>1146</v>
      </c>
    </row>
    <row r="176" spans="4:13" ht="20.100000000000001" customHeight="1" x14ac:dyDescent="0.25">
      <c r="D176" s="10" t="s">
        <v>352</v>
      </c>
      <c r="E176" s="10" t="s">
        <v>1180</v>
      </c>
      <c r="F176" s="10" t="s">
        <v>1181</v>
      </c>
      <c r="G176" s="10" t="str">
        <f>'Constants - Fertiliser'!$D$37</f>
        <v>Ammonia</v>
      </c>
      <c r="H176" s="10"/>
      <c r="I176" s="10" t="str">
        <f>'Constants - Fertiliser'!$V$22</f>
        <v>China</v>
      </c>
      <c r="J176" s="10"/>
      <c r="K176" s="10" t="s">
        <v>354</v>
      </c>
      <c r="L176" s="10">
        <v>4.17</v>
      </c>
      <c r="M176" s="10" t="s">
        <v>1146</v>
      </c>
    </row>
    <row r="177" spans="4:16" ht="20.100000000000001" customHeight="1" x14ac:dyDescent="0.25">
      <c r="D177" s="10" t="s">
        <v>352</v>
      </c>
      <c r="E177" s="10" t="s">
        <v>1182</v>
      </c>
      <c r="F177" s="10" t="s">
        <v>1183</v>
      </c>
      <c r="G177" s="10" t="str">
        <f>'Constants - Fertiliser'!$D$37</f>
        <v>Ammonia</v>
      </c>
      <c r="H177" s="10"/>
      <c r="I177" s="10" t="str">
        <f>'Constants - Fertiliser'!$V$23</f>
        <v>Yemen</v>
      </c>
      <c r="J177" s="10"/>
      <c r="K177" s="10" t="s">
        <v>354</v>
      </c>
      <c r="L177" s="10">
        <v>2.2599999999999998</v>
      </c>
      <c r="M177" s="10" t="s">
        <v>1146</v>
      </c>
    </row>
    <row r="178" spans="4:16" ht="20.100000000000001" customHeight="1" x14ac:dyDescent="0.25">
      <c r="D178" s="10" t="s">
        <v>352</v>
      </c>
      <c r="E178" s="10" t="s">
        <v>1184</v>
      </c>
      <c r="F178" s="10" t="s">
        <v>353</v>
      </c>
      <c r="G178" s="10" t="str">
        <f>'Constants - Fertiliser'!$D$25</f>
        <v>Ammonium nitrate (AN)</v>
      </c>
      <c r="H178" s="10"/>
      <c r="I178" s="10"/>
      <c r="J178" s="10"/>
      <c r="K178" s="10" t="s">
        <v>354</v>
      </c>
      <c r="L178" s="10">
        <v>2.21</v>
      </c>
      <c r="M178" s="10" t="s">
        <v>1146</v>
      </c>
    </row>
    <row r="179" spans="4:16" ht="20.100000000000001" customHeight="1" x14ac:dyDescent="0.25">
      <c r="D179" s="10" t="s">
        <v>352</v>
      </c>
      <c r="E179" s="10" t="s">
        <v>1185</v>
      </c>
      <c r="F179" s="10" t="s">
        <v>353</v>
      </c>
      <c r="G179" s="10" t="str">
        <f>'Constants - Fertiliser'!$D$26</f>
        <v>Calcium ammonium nitrate (CAN)</v>
      </c>
      <c r="H179" s="10"/>
      <c r="I179" s="10"/>
      <c r="J179" s="10"/>
      <c r="K179" s="10" t="s">
        <v>354</v>
      </c>
      <c r="L179" s="10">
        <v>1.1499999999999999</v>
      </c>
      <c r="M179" s="10" t="s">
        <v>1146</v>
      </c>
    </row>
    <row r="180" spans="4:16" ht="20.100000000000001" customHeight="1" x14ac:dyDescent="0.25">
      <c r="D180" s="10" t="s">
        <v>352</v>
      </c>
      <c r="E180" s="10" t="s">
        <v>322</v>
      </c>
      <c r="F180" s="10" t="s">
        <v>353</v>
      </c>
      <c r="G180" s="10" t="str">
        <f>'Constants - Fertiliser'!$D$38</f>
        <v>Calcium nitrate</v>
      </c>
      <c r="H180" s="10"/>
      <c r="I180" s="10"/>
      <c r="J180" s="10"/>
      <c r="K180" s="10" t="s">
        <v>354</v>
      </c>
      <c r="L180" s="10">
        <v>0.75</v>
      </c>
      <c r="M180" s="10" t="s">
        <v>1146</v>
      </c>
    </row>
    <row r="181" spans="4:16" ht="20.100000000000001" customHeight="1" x14ac:dyDescent="0.25">
      <c r="D181" s="10" t="s">
        <v>352</v>
      </c>
      <c r="E181" s="10" t="s">
        <v>1186</v>
      </c>
      <c r="F181" s="10" t="s">
        <v>353</v>
      </c>
      <c r="G181" s="10" t="str">
        <f>'Constants - Fertiliser'!$D$21</f>
        <v>Diammonium phosphate (DAP)</v>
      </c>
      <c r="H181" s="10"/>
      <c r="I181" s="10"/>
      <c r="J181" s="10"/>
      <c r="K181" s="10" t="s">
        <v>354</v>
      </c>
      <c r="L181" s="10">
        <v>1.34</v>
      </c>
      <c r="M181" s="10" t="s">
        <v>1146</v>
      </c>
    </row>
    <row r="182" spans="4:16" ht="20.100000000000001" customHeight="1" x14ac:dyDescent="0.25">
      <c r="D182" s="10" t="s">
        <v>352</v>
      </c>
      <c r="E182" s="10" t="s">
        <v>1187</v>
      </c>
      <c r="F182" s="10" t="s">
        <v>353</v>
      </c>
      <c r="G182" s="10" t="str">
        <f>'Constants - Fertiliser'!$D$35</f>
        <v>Double superphosphate</v>
      </c>
      <c r="H182" s="10"/>
      <c r="I182" s="10"/>
      <c r="J182" s="10"/>
      <c r="K182" s="10" t="s">
        <v>354</v>
      </c>
      <c r="L182" s="10">
        <v>0.39200000000000002</v>
      </c>
      <c r="M182" s="10" t="s">
        <v>1146</v>
      </c>
    </row>
    <row r="183" spans="4:16" ht="20.100000000000001" customHeight="1" x14ac:dyDescent="0.25">
      <c r="D183" s="10" t="s">
        <v>352</v>
      </c>
      <c r="E183" s="10" t="s">
        <v>1188</v>
      </c>
      <c r="F183" s="10" t="s">
        <v>353</v>
      </c>
      <c r="G183" s="10" t="str">
        <f>'Constants - Fertiliser'!$D$20</f>
        <v>Monoammonium phosphate (MAP)</v>
      </c>
      <c r="H183" s="10"/>
      <c r="I183" s="10"/>
      <c r="J183" s="10"/>
      <c r="K183" s="10" t="s">
        <v>354</v>
      </c>
      <c r="L183" s="10">
        <v>0.82699999999999996</v>
      </c>
      <c r="M183" s="10" t="s">
        <v>1146</v>
      </c>
    </row>
    <row r="184" spans="4:16" ht="20.100000000000001" customHeight="1" x14ac:dyDescent="0.25">
      <c r="D184" s="10" t="s">
        <v>352</v>
      </c>
      <c r="E184" s="10" t="s">
        <v>1189</v>
      </c>
      <c r="F184" s="10" t="s">
        <v>353</v>
      </c>
      <c r="G184" s="10" t="str">
        <f>'Constants - Fertiliser'!$D$34</f>
        <v>Muriate of potash (MOP)</v>
      </c>
      <c r="H184" s="10"/>
      <c r="I184" s="10"/>
      <c r="J184" s="10"/>
      <c r="K184" s="10" t="s">
        <v>354</v>
      </c>
      <c r="L184" s="10">
        <v>0.54900000000000004</v>
      </c>
      <c r="M184" s="10" t="s">
        <v>1146</v>
      </c>
    </row>
    <row r="185" spans="4:16" ht="20.100000000000001" customHeight="1" x14ac:dyDescent="0.25">
      <c r="D185" s="10" t="s">
        <v>352</v>
      </c>
      <c r="E185" s="10" t="s">
        <v>1190</v>
      </c>
      <c r="F185" s="10" t="s">
        <v>353</v>
      </c>
      <c r="G185" s="10" t="str">
        <f>'Constants - Fertiliser'!$D$27</f>
        <v>Nitrogen - Ammoniacal</v>
      </c>
      <c r="H185" s="10"/>
      <c r="I185" s="10"/>
      <c r="J185" s="10"/>
      <c r="K185" s="10" t="s">
        <v>758</v>
      </c>
      <c r="L185" s="10">
        <v>2.83</v>
      </c>
      <c r="M185" s="10" t="s">
        <v>1146</v>
      </c>
      <c r="N185" s="10"/>
      <c r="O185" s="10"/>
      <c r="P185" s="10"/>
    </row>
    <row r="186" spans="4:16" ht="20.100000000000001" customHeight="1" x14ac:dyDescent="0.25">
      <c r="D186" s="10" t="s">
        <v>352</v>
      </c>
      <c r="E186" s="10" t="s">
        <v>1191</v>
      </c>
      <c r="F186" s="10" t="s">
        <v>353</v>
      </c>
      <c r="G186" s="10" t="str">
        <f>'Constants - Fertiliser'!$D$29</f>
        <v>Nitrogen - Generic</v>
      </c>
      <c r="H186" s="10"/>
      <c r="I186" s="10"/>
      <c r="J186" s="10"/>
      <c r="K186" s="10" t="s">
        <v>758</v>
      </c>
      <c r="L186" s="10">
        <v>4.2</v>
      </c>
      <c r="M186" s="10" t="s">
        <v>1146</v>
      </c>
      <c r="N186" s="10"/>
      <c r="O186" s="10"/>
      <c r="P186" s="10"/>
    </row>
    <row r="187" spans="4:16" ht="20.100000000000001" customHeight="1" x14ac:dyDescent="0.25">
      <c r="D187" s="10" t="s">
        <v>352</v>
      </c>
      <c r="E187" s="10" t="s">
        <v>1192</v>
      </c>
      <c r="F187" s="10" t="s">
        <v>353</v>
      </c>
      <c r="G187" s="10" t="str">
        <f>'Constants - Fertiliser'!$D$28</f>
        <v>Nitrogen - Nitrate</v>
      </c>
      <c r="H187" s="10"/>
      <c r="I187" s="10"/>
      <c r="J187" s="10"/>
      <c r="K187" s="10" t="s">
        <v>758</v>
      </c>
      <c r="L187" s="10">
        <v>5.47</v>
      </c>
      <c r="M187" s="10" t="s">
        <v>1146</v>
      </c>
      <c r="N187" s="10"/>
      <c r="O187" s="10"/>
      <c r="P187" s="10"/>
    </row>
    <row r="188" spans="4:16" ht="20.100000000000001" customHeight="1" x14ac:dyDescent="0.25">
      <c r="D188" s="10" t="s">
        <v>352</v>
      </c>
      <c r="E188" s="10" t="s">
        <v>1193</v>
      </c>
      <c r="F188" s="10" t="s">
        <v>353</v>
      </c>
      <c r="G188" s="10" t="str">
        <f>'Constants - Fertiliser'!$D$30</f>
        <v>Phosphorus - Generic</v>
      </c>
      <c r="H188" s="10"/>
      <c r="I188" s="10"/>
      <c r="J188" s="10"/>
      <c r="K188" s="10" t="s">
        <v>1199</v>
      </c>
      <c r="L188" s="10">
        <v>3.96</v>
      </c>
      <c r="M188" s="10" t="s">
        <v>1146</v>
      </c>
      <c r="N188" s="10"/>
      <c r="O188" s="10"/>
      <c r="P188" s="10"/>
    </row>
    <row r="189" spans="4:16" ht="20.100000000000001" customHeight="1" x14ac:dyDescent="0.25">
      <c r="D189" s="10" t="s">
        <v>352</v>
      </c>
      <c r="E189" s="10" t="s">
        <v>1194</v>
      </c>
      <c r="F189" s="10" t="s">
        <v>353</v>
      </c>
      <c r="G189" s="10" t="str">
        <f>'Constants - Fertiliser'!$D$31</f>
        <v>Potassium - Generic</v>
      </c>
      <c r="H189" s="10"/>
      <c r="I189" s="10"/>
      <c r="J189" s="10"/>
      <c r="K189" s="10" t="s">
        <v>1200</v>
      </c>
      <c r="L189" s="10">
        <v>0.90900000000000003</v>
      </c>
      <c r="M189" s="10" t="s">
        <v>1146</v>
      </c>
      <c r="N189" s="10"/>
      <c r="O189" s="10"/>
      <c r="P189" s="10"/>
    </row>
    <row r="190" spans="4:16" ht="20.100000000000001" customHeight="1" x14ac:dyDescent="0.25">
      <c r="D190" s="10" t="s">
        <v>352</v>
      </c>
      <c r="E190" s="10" t="s">
        <v>1195</v>
      </c>
      <c r="F190" s="10" t="s">
        <v>353</v>
      </c>
      <c r="G190" s="10" t="str">
        <f>'Constants - Fertiliser'!$D$36</f>
        <v>Single superphosphate (SSP)</v>
      </c>
      <c r="H190" s="10"/>
      <c r="I190" s="10"/>
      <c r="J190" s="10"/>
      <c r="K190" s="10" t="s">
        <v>354</v>
      </c>
      <c r="L190" s="10">
        <v>0.22700000000000001</v>
      </c>
      <c r="M190" s="10" t="s">
        <v>1146</v>
      </c>
      <c r="N190" s="10"/>
      <c r="O190" s="10"/>
      <c r="P190" s="10"/>
    </row>
    <row r="191" spans="4:16" ht="20.100000000000001" customHeight="1" x14ac:dyDescent="0.25">
      <c r="D191" s="10" t="s">
        <v>352</v>
      </c>
      <c r="E191" s="10" t="s">
        <v>1196</v>
      </c>
      <c r="F191" s="10" t="s">
        <v>353</v>
      </c>
      <c r="G191" s="10" t="str">
        <f>'Constants - Fertiliser'!$D$32</f>
        <v>Sulfur - Generic</v>
      </c>
      <c r="H191" s="10"/>
      <c r="I191" s="10"/>
      <c r="J191" s="10"/>
      <c r="K191" s="10" t="s">
        <v>1201</v>
      </c>
      <c r="L191" s="10">
        <v>2.5</v>
      </c>
      <c r="M191" s="10" t="s">
        <v>1146</v>
      </c>
      <c r="N191" s="10"/>
      <c r="O191" s="10"/>
      <c r="P191" s="10"/>
    </row>
    <row r="192" spans="4:16" ht="20.100000000000001" customHeight="1" x14ac:dyDescent="0.25">
      <c r="D192" s="10" t="s">
        <v>352</v>
      </c>
      <c r="E192" s="10" t="s">
        <v>1197</v>
      </c>
      <c r="F192" s="10" t="s">
        <v>353</v>
      </c>
      <c r="G192" s="10" t="str">
        <f>'Constants - Fertiliser'!$D$23</f>
        <v>Sulphate of ammonia (SOA)</v>
      </c>
      <c r="H192" s="10"/>
      <c r="I192" s="10"/>
      <c r="J192" s="10"/>
      <c r="K192" s="10" t="s">
        <v>354</v>
      </c>
      <c r="L192" s="10">
        <v>0.86499999999999999</v>
      </c>
      <c r="M192" s="10" t="s">
        <v>1146</v>
      </c>
      <c r="N192" s="10"/>
      <c r="O192" s="10"/>
      <c r="P192" s="10"/>
    </row>
    <row r="193" spans="4:16" ht="20.100000000000001" customHeight="1" x14ac:dyDescent="0.25">
      <c r="D193" s="10" t="s">
        <v>352</v>
      </c>
      <c r="E193" s="10" t="s">
        <v>1198</v>
      </c>
      <c r="F193" s="10" t="s">
        <v>353</v>
      </c>
      <c r="G193" s="10" t="str">
        <f>'Constants - Fertiliser'!$D$24</f>
        <v>Urea-ammonium nitrate (UAN)</v>
      </c>
      <c r="H193" s="10"/>
      <c r="I193" s="10"/>
      <c r="J193" s="10"/>
      <c r="K193" s="10" t="s">
        <v>354</v>
      </c>
      <c r="L193" s="10">
        <v>1.75</v>
      </c>
      <c r="M193" s="10" t="s">
        <v>1146</v>
      </c>
      <c r="N193" s="10"/>
      <c r="O193" s="10"/>
      <c r="P193" s="10"/>
    </row>
    <row r="194" spans="4:16" ht="20.100000000000001" customHeight="1" x14ac:dyDescent="0.25">
      <c r="D194" s="10" t="s">
        <v>352</v>
      </c>
      <c r="E194" s="10" t="s">
        <v>1203</v>
      </c>
      <c r="F194" s="10" t="s">
        <v>353</v>
      </c>
      <c r="G194" s="10" t="str">
        <f>'Constants - Fertiliser'!$D$22</f>
        <v>Urea</v>
      </c>
      <c r="H194" s="10" t="str">
        <f>'Constants - Fertiliser'!$V$20</f>
        <v>Global</v>
      </c>
      <c r="I194" s="10"/>
      <c r="J194" s="10"/>
      <c r="K194" s="10" t="s">
        <v>354</v>
      </c>
      <c r="L194" s="10">
        <v>0.96799999999999997</v>
      </c>
      <c r="M194" s="10" t="s">
        <v>1146</v>
      </c>
      <c r="N194" s="10"/>
      <c r="O194" s="10"/>
      <c r="P194" s="10"/>
    </row>
    <row r="195" spans="4:16" ht="20.100000000000001" customHeight="1" x14ac:dyDescent="0.25">
      <c r="D195" s="10" t="s">
        <v>352</v>
      </c>
      <c r="E195" s="10" t="s">
        <v>1204</v>
      </c>
      <c r="F195" s="10" t="s">
        <v>319</v>
      </c>
      <c r="G195" s="10" t="str">
        <f>'Constants - Fertiliser'!$D$22</f>
        <v>Urea</v>
      </c>
      <c r="H195" s="10" t="str">
        <f>'Constants - Fertiliser'!$V$21</f>
        <v>Canada</v>
      </c>
      <c r="I195" s="10"/>
      <c r="J195" s="10"/>
      <c r="K195" s="10" t="s">
        <v>354</v>
      </c>
      <c r="L195" s="10">
        <v>0.82299999999999995</v>
      </c>
      <c r="M195" s="10" t="s">
        <v>1146</v>
      </c>
      <c r="N195" s="10"/>
      <c r="O195" s="10"/>
      <c r="P195" s="10"/>
    </row>
    <row r="196" spans="4:16" ht="20.100000000000001" customHeight="1" x14ac:dyDescent="0.25">
      <c r="D196" s="10" t="s">
        <v>352</v>
      </c>
      <c r="E196" s="10" t="s">
        <v>1205</v>
      </c>
      <c r="F196" s="10" t="s">
        <v>1181</v>
      </c>
      <c r="G196" s="10" t="str">
        <f>'Constants - Fertiliser'!$D$22</f>
        <v>Urea</v>
      </c>
      <c r="H196" s="10" t="str">
        <f>'Constants - Fertiliser'!$V$22</f>
        <v>China</v>
      </c>
      <c r="I196" s="10"/>
      <c r="J196" s="10"/>
      <c r="K196" s="10" t="s">
        <v>354</v>
      </c>
      <c r="L196" s="10">
        <v>2.09</v>
      </c>
      <c r="M196" s="10" t="s">
        <v>1146</v>
      </c>
      <c r="N196" s="10"/>
      <c r="O196" s="10"/>
      <c r="P196" s="10"/>
    </row>
    <row r="197" spans="4:16" ht="20.100000000000001" customHeight="1" x14ac:dyDescent="0.25">
      <c r="D197" s="10" t="s">
        <v>352</v>
      </c>
      <c r="E197" s="10" t="s">
        <v>1206</v>
      </c>
      <c r="F197" s="10" t="s">
        <v>1183</v>
      </c>
      <c r="G197" s="10" t="str">
        <f>'Constants - Fertiliser'!$D$22</f>
        <v>Urea</v>
      </c>
      <c r="H197" s="10" t="str">
        <f>'Constants - Fertiliser'!$V$23</f>
        <v>Yemen</v>
      </c>
      <c r="I197" s="10"/>
      <c r="J197" s="10"/>
      <c r="K197" s="10" t="s">
        <v>354</v>
      </c>
      <c r="L197" s="10">
        <v>0.96299999999999997</v>
      </c>
      <c r="M197" s="10" t="s">
        <v>1146</v>
      </c>
      <c r="N197" s="10"/>
      <c r="O197" s="10"/>
      <c r="P197" s="10"/>
    </row>
    <row r="198" spans="4:16" ht="20.100000000000001" customHeight="1" x14ac:dyDescent="0.25">
      <c r="D198" s="10" t="s">
        <v>352</v>
      </c>
      <c r="E198" s="10" t="s">
        <v>1207</v>
      </c>
      <c r="F198" s="10" t="s">
        <v>353</v>
      </c>
      <c r="G198" s="10" t="str">
        <f>'Constants - Fertiliser'!$D$33</f>
        <v>Zinc - Generic</v>
      </c>
      <c r="H198" s="10"/>
      <c r="I198" s="10"/>
      <c r="J198" s="10"/>
      <c r="K198" s="10" t="s">
        <v>1202</v>
      </c>
      <c r="L198" s="10">
        <v>4.82</v>
      </c>
      <c r="M198" s="10" t="s">
        <v>1146</v>
      </c>
      <c r="N198" s="10"/>
      <c r="O198" s="10"/>
      <c r="P198" s="10"/>
    </row>
    <row r="199" spans="4:16" ht="20.100000000000001" customHeight="1" x14ac:dyDescent="0.25">
      <c r="N199" s="10"/>
      <c r="O199" s="10"/>
      <c r="P199" s="10"/>
    </row>
    <row r="200" spans="4:16" ht="20.100000000000001" customHeight="1" x14ac:dyDescent="0.25">
      <c r="D200" s="9" t="s">
        <v>370</v>
      </c>
      <c r="N200" s="10"/>
      <c r="O200" s="10"/>
      <c r="P200" s="10"/>
    </row>
    <row r="201" spans="4:16" ht="20.100000000000001" customHeight="1" x14ac:dyDescent="0.25">
      <c r="D201" s="10" t="s">
        <v>320</v>
      </c>
      <c r="E201" s="10" t="s">
        <v>218</v>
      </c>
      <c r="F201" s="10" t="s">
        <v>321</v>
      </c>
      <c r="G201" s="10" t="s">
        <v>285</v>
      </c>
      <c r="H201" s="10" t="s">
        <v>286</v>
      </c>
      <c r="I201" s="10" t="s">
        <v>366</v>
      </c>
      <c r="N201" s="10"/>
      <c r="O201" s="10"/>
      <c r="P201" s="10"/>
    </row>
    <row r="202" spans="4:16" ht="20.100000000000001" customHeight="1" x14ac:dyDescent="0.25">
      <c r="D202" s="10" t="s">
        <v>1167</v>
      </c>
      <c r="E202" s="10" t="s">
        <v>1208</v>
      </c>
      <c r="F202" s="10" t="s">
        <v>338</v>
      </c>
      <c r="G202" s="10" t="s">
        <v>941</v>
      </c>
      <c r="H202" s="10">
        <v>4.24E-2</v>
      </c>
      <c r="I202" s="10" t="s">
        <v>1146</v>
      </c>
      <c r="N202" s="10"/>
      <c r="O202" s="10"/>
      <c r="P202" s="10"/>
    </row>
    <row r="203" spans="4:16" ht="20.100000000000001" customHeight="1" x14ac:dyDescent="0.25">
      <c r="D203" s="10" t="s">
        <v>1167</v>
      </c>
      <c r="E203" s="10" t="s">
        <v>1209</v>
      </c>
      <c r="F203" s="10" t="s">
        <v>338</v>
      </c>
      <c r="G203" s="10" t="s">
        <v>941</v>
      </c>
      <c r="H203" s="10">
        <v>2.93E-2</v>
      </c>
      <c r="I203" s="10" t="s">
        <v>1146</v>
      </c>
      <c r="N203" s="10"/>
      <c r="O203" s="10"/>
      <c r="P203" s="10"/>
    </row>
    <row r="204" spans="4:16" ht="20.100000000000001" customHeight="1" x14ac:dyDescent="0.25">
      <c r="D204" s="10" t="s">
        <v>1167</v>
      </c>
      <c r="E204" s="10" t="s">
        <v>1210</v>
      </c>
      <c r="F204" s="10" t="s">
        <v>338</v>
      </c>
      <c r="G204" s="10" t="s">
        <v>354</v>
      </c>
      <c r="H204" s="10">
        <v>0.23899999999999999</v>
      </c>
      <c r="I204" s="10" t="s">
        <v>1146</v>
      </c>
      <c r="N204" s="10"/>
      <c r="O204" s="10"/>
      <c r="P204" s="10"/>
    </row>
    <row r="205" spans="4:16" ht="20.100000000000001" customHeight="1" x14ac:dyDescent="0.25">
      <c r="D205" s="10" t="s">
        <v>1167</v>
      </c>
      <c r="E205" s="10" t="s">
        <v>1211</v>
      </c>
      <c r="F205" s="10" t="s">
        <v>338</v>
      </c>
      <c r="G205" s="10" t="s">
        <v>354</v>
      </c>
      <c r="H205" s="10">
        <v>0.18099999999999999</v>
      </c>
      <c r="I205" s="10" t="s">
        <v>1146</v>
      </c>
      <c r="N205" s="10"/>
      <c r="O205" s="10"/>
      <c r="P205" s="10"/>
    </row>
    <row r="206" spans="4:16" ht="20.100000000000001" customHeight="1" x14ac:dyDescent="0.25">
      <c r="D206" s="10" t="s">
        <v>1167</v>
      </c>
      <c r="E206" s="10" t="s">
        <v>1212</v>
      </c>
      <c r="F206" s="10" t="s">
        <v>353</v>
      </c>
      <c r="G206" s="10" t="s">
        <v>354</v>
      </c>
      <c r="H206" s="10">
        <v>9.81</v>
      </c>
      <c r="I206" s="10" t="s">
        <v>1146</v>
      </c>
      <c r="N206" s="10"/>
      <c r="O206" s="10"/>
      <c r="P206" s="10"/>
    </row>
    <row r="207" spans="4:16" ht="20.100000000000001" customHeight="1" x14ac:dyDescent="0.25">
      <c r="D207" s="10" t="s">
        <v>1167</v>
      </c>
      <c r="E207" s="10" t="s">
        <v>1213</v>
      </c>
      <c r="F207" s="10" t="s">
        <v>338</v>
      </c>
      <c r="G207" s="10" t="s">
        <v>354</v>
      </c>
      <c r="H207" s="10">
        <v>0.27</v>
      </c>
      <c r="I207" s="10" t="s">
        <v>1146</v>
      </c>
      <c r="N207" s="10"/>
      <c r="O207" s="10"/>
      <c r="P207" s="10"/>
    </row>
    <row r="208" spans="4:16" ht="20.100000000000001" customHeight="1" x14ac:dyDescent="0.25">
      <c r="D208" s="10" t="s">
        <v>1167</v>
      </c>
      <c r="E208" s="10" t="s">
        <v>1214</v>
      </c>
      <c r="F208" s="10" t="s">
        <v>338</v>
      </c>
      <c r="G208" s="10" t="s">
        <v>354</v>
      </c>
      <c r="H208" s="10">
        <v>0.23200000000000001</v>
      </c>
      <c r="I208" s="10" t="s">
        <v>1146</v>
      </c>
      <c r="N208" s="10"/>
      <c r="O208" s="10"/>
      <c r="P208" s="10"/>
    </row>
    <row r="209" spans="4:16" ht="20.100000000000001" customHeight="1" x14ac:dyDescent="0.25">
      <c r="D209" s="10" t="s">
        <v>1167</v>
      </c>
      <c r="E209" s="10" t="s">
        <v>1215</v>
      </c>
      <c r="F209" s="10" t="s">
        <v>338</v>
      </c>
      <c r="G209" s="10" t="s">
        <v>354</v>
      </c>
      <c r="H209" s="10">
        <v>0.26800000000000002</v>
      </c>
      <c r="I209" s="10" t="s">
        <v>1146</v>
      </c>
      <c r="N209" s="10"/>
      <c r="O209" s="10"/>
      <c r="P209" s="10"/>
    </row>
    <row r="210" spans="4:16" ht="20.100000000000001" customHeight="1" x14ac:dyDescent="0.25">
      <c r="N210" s="10"/>
      <c r="O210" s="10"/>
      <c r="P210" s="10"/>
    </row>
    <row r="211" spans="4:16" ht="20.100000000000001" customHeight="1" x14ac:dyDescent="0.25">
      <c r="D211" s="9" t="s">
        <v>371</v>
      </c>
    </row>
    <row r="212" spans="4:16" ht="20.100000000000001" customHeight="1" x14ac:dyDescent="0.25">
      <c r="D212" s="10" t="s">
        <v>320</v>
      </c>
      <c r="E212" s="10" t="s">
        <v>218</v>
      </c>
      <c r="F212" s="10" t="s">
        <v>321</v>
      </c>
      <c r="G212" s="10" t="s">
        <v>285</v>
      </c>
      <c r="H212" s="10" t="s">
        <v>286</v>
      </c>
      <c r="I212" s="10" t="s">
        <v>366</v>
      </c>
    </row>
    <row r="213" spans="4:16" ht="20.100000000000001" customHeight="1" x14ac:dyDescent="0.25">
      <c r="D213" s="10" t="s">
        <v>371</v>
      </c>
      <c r="E213" s="10" t="s">
        <v>1216</v>
      </c>
      <c r="F213" s="10" t="s">
        <v>353</v>
      </c>
      <c r="G213" s="10" t="s">
        <v>354</v>
      </c>
      <c r="H213" s="10">
        <v>1.05</v>
      </c>
      <c r="I213" s="10" t="s">
        <v>1152</v>
      </c>
    </row>
    <row r="214" spans="4:16" ht="20.100000000000001" customHeight="1" x14ac:dyDescent="0.25">
      <c r="D214" s="10" t="s">
        <v>371</v>
      </c>
      <c r="E214" s="10" t="s">
        <v>1217</v>
      </c>
      <c r="F214" s="10" t="s">
        <v>353</v>
      </c>
      <c r="G214" s="10" t="s">
        <v>941</v>
      </c>
      <c r="H214" s="10">
        <v>3.99</v>
      </c>
      <c r="I214" s="10" t="s">
        <v>1152</v>
      </c>
    </row>
    <row r="215" spans="4:16" ht="20.100000000000001" customHeight="1" x14ac:dyDescent="0.25">
      <c r="D215" s="10" t="s">
        <v>371</v>
      </c>
      <c r="E215" s="10" t="s">
        <v>1218</v>
      </c>
      <c r="F215" s="10" t="s">
        <v>353</v>
      </c>
      <c r="G215" s="10" t="s">
        <v>354</v>
      </c>
      <c r="H215" s="10">
        <v>3.44</v>
      </c>
      <c r="I215" s="10" t="s">
        <v>1152</v>
      </c>
    </row>
    <row r="216" spans="4:16" ht="20.100000000000001" customHeight="1" x14ac:dyDescent="0.25">
      <c r="D216" s="10" t="s">
        <v>371</v>
      </c>
      <c r="E216" s="10" t="s">
        <v>417</v>
      </c>
      <c r="F216" s="10" t="s">
        <v>353</v>
      </c>
      <c r="G216" s="10" t="s">
        <v>354</v>
      </c>
      <c r="H216" s="10">
        <v>3.72</v>
      </c>
      <c r="I216" s="10" t="s">
        <v>1152</v>
      </c>
    </row>
    <row r="217" spans="4:16" ht="20.100000000000001" customHeight="1" x14ac:dyDescent="0.25"/>
    <row r="218" spans="4:16" ht="20.100000000000001" customHeight="1" x14ac:dyDescent="0.25">
      <c r="D218" s="9" t="s">
        <v>372</v>
      </c>
    </row>
    <row r="219" spans="4:16" ht="20.100000000000001" customHeight="1" x14ac:dyDescent="0.25">
      <c r="D219" s="10" t="s">
        <v>320</v>
      </c>
      <c r="E219" s="10" t="s">
        <v>218</v>
      </c>
      <c r="F219" s="10" t="s">
        <v>321</v>
      </c>
      <c r="G219" s="10" t="s">
        <v>285</v>
      </c>
      <c r="H219" s="10" t="s">
        <v>286</v>
      </c>
      <c r="I219" s="10" t="s">
        <v>366</v>
      </c>
    </row>
    <row r="220" spans="4:16" ht="20.100000000000001" customHeight="1" x14ac:dyDescent="0.25">
      <c r="D220" s="10" t="s">
        <v>372</v>
      </c>
      <c r="E220" s="10" t="s">
        <v>689</v>
      </c>
      <c r="F220" s="10" t="s">
        <v>353</v>
      </c>
      <c r="G220" s="10" t="s">
        <v>1219</v>
      </c>
      <c r="H220" s="10">
        <v>5.2</v>
      </c>
      <c r="I220" s="10" t="s">
        <v>1146</v>
      </c>
    </row>
    <row r="221" spans="4:16" ht="20.100000000000001" customHeight="1" x14ac:dyDescent="0.25">
      <c r="D221" s="10" t="s">
        <v>372</v>
      </c>
      <c r="E221" s="10" t="s">
        <v>1220</v>
      </c>
      <c r="F221" s="10" t="s">
        <v>353</v>
      </c>
      <c r="G221" s="10" t="s">
        <v>1219</v>
      </c>
      <c r="H221" s="10">
        <v>8.3800000000000008</v>
      </c>
      <c r="I221" s="10" t="s">
        <v>1146</v>
      </c>
    </row>
    <row r="222" spans="4:16" ht="20.100000000000001" customHeight="1" x14ac:dyDescent="0.25">
      <c r="D222" s="10" t="s">
        <v>372</v>
      </c>
      <c r="E222" s="10" t="s">
        <v>1221</v>
      </c>
      <c r="F222" s="10" t="s">
        <v>353</v>
      </c>
      <c r="G222" s="10" t="s">
        <v>1219</v>
      </c>
      <c r="H222" s="10">
        <v>8.8000000000000007</v>
      </c>
      <c r="I222" s="10" t="s">
        <v>1146</v>
      </c>
    </row>
    <row r="223" spans="4:16" ht="20.100000000000001" customHeight="1" x14ac:dyDescent="0.25">
      <c r="D223" s="10" t="s">
        <v>372</v>
      </c>
      <c r="E223" s="10" t="s">
        <v>691</v>
      </c>
      <c r="F223" s="10" t="s">
        <v>353</v>
      </c>
      <c r="G223" s="10" t="s">
        <v>1219</v>
      </c>
      <c r="H223" s="10">
        <v>10.3</v>
      </c>
      <c r="I223" s="10" t="s">
        <v>1146</v>
      </c>
    </row>
    <row r="224" spans="4:16" ht="20.100000000000001" customHeight="1" x14ac:dyDescent="0.25">
      <c r="D224" s="10" t="s">
        <v>372</v>
      </c>
      <c r="E224" s="10" t="s">
        <v>1222</v>
      </c>
      <c r="F224" s="10" t="s">
        <v>353</v>
      </c>
      <c r="G224" s="10" t="s">
        <v>1219</v>
      </c>
      <c r="H224" s="10">
        <v>4.55</v>
      </c>
      <c r="I224" s="10" t="s">
        <v>1146</v>
      </c>
    </row>
    <row r="225" spans="4:9" ht="20.100000000000001" customHeight="1" x14ac:dyDescent="0.25">
      <c r="D225" s="10" t="s">
        <v>372</v>
      </c>
      <c r="E225" s="10" t="s">
        <v>1223</v>
      </c>
      <c r="F225" s="10" t="s">
        <v>353</v>
      </c>
      <c r="G225" s="10" t="s">
        <v>1219</v>
      </c>
      <c r="H225" s="10">
        <v>5.6</v>
      </c>
      <c r="I225" s="10" t="s">
        <v>1146</v>
      </c>
    </row>
    <row r="226" spans="4:9" ht="20.100000000000001" customHeight="1" x14ac:dyDescent="0.25">
      <c r="D226" s="10" t="s">
        <v>372</v>
      </c>
      <c r="E226" s="10" t="s">
        <v>690</v>
      </c>
      <c r="F226" s="10" t="s">
        <v>353</v>
      </c>
      <c r="G226" s="10" t="s">
        <v>1219</v>
      </c>
      <c r="H226" s="10">
        <v>8.06</v>
      </c>
      <c r="I226" s="10" t="s">
        <v>1146</v>
      </c>
    </row>
    <row r="227" spans="4:9" ht="20.100000000000001" customHeight="1" x14ac:dyDescent="0.25">
      <c r="D227" s="10" t="s">
        <v>372</v>
      </c>
      <c r="E227" s="10" t="s">
        <v>1224</v>
      </c>
      <c r="F227" s="10" t="s">
        <v>353</v>
      </c>
      <c r="G227" s="10" t="s">
        <v>1219</v>
      </c>
      <c r="H227" s="10">
        <v>8.8000000000000007</v>
      </c>
      <c r="I227" s="10" t="s">
        <v>1146</v>
      </c>
    </row>
    <row r="228" spans="4:9" ht="20.100000000000001" customHeight="1" x14ac:dyDescent="0.25">
      <c r="D228" s="10" t="s">
        <v>372</v>
      </c>
      <c r="E228" s="10" t="s">
        <v>421</v>
      </c>
      <c r="F228" s="10" t="s">
        <v>353</v>
      </c>
      <c r="G228" s="10" t="s">
        <v>1219</v>
      </c>
      <c r="H228" s="10">
        <v>9.16</v>
      </c>
      <c r="I228" s="10" t="s">
        <v>1146</v>
      </c>
    </row>
    <row r="229" spans="4:9" ht="20.100000000000001" customHeight="1" x14ac:dyDescent="0.25">
      <c r="D229" s="10" t="s">
        <v>372</v>
      </c>
      <c r="E229" s="10" t="s">
        <v>1225</v>
      </c>
      <c r="F229" s="10" t="s">
        <v>353</v>
      </c>
      <c r="G229" s="10" t="s">
        <v>1219</v>
      </c>
      <c r="H229" s="10">
        <v>8.57</v>
      </c>
      <c r="I229" s="10" t="s">
        <v>1146</v>
      </c>
    </row>
    <row r="230" spans="4:9" ht="20.100000000000001" customHeight="1" x14ac:dyDescent="0.25">
      <c r="D230" s="10" t="s">
        <v>372</v>
      </c>
      <c r="E230" s="10" t="s">
        <v>692</v>
      </c>
      <c r="F230" s="10" t="s">
        <v>353</v>
      </c>
      <c r="G230" s="10" t="s">
        <v>1219</v>
      </c>
      <c r="H230" s="10">
        <v>8.8000000000000007</v>
      </c>
      <c r="I230" s="10" t="s">
        <v>1146</v>
      </c>
    </row>
    <row r="231" spans="4:9" ht="20.100000000000001" customHeight="1" x14ac:dyDescent="0.25">
      <c r="D231" s="10" t="s">
        <v>372</v>
      </c>
      <c r="E231" s="10" t="s">
        <v>693</v>
      </c>
      <c r="F231" s="10" t="s">
        <v>353</v>
      </c>
      <c r="G231" s="10" t="s">
        <v>1219</v>
      </c>
      <c r="H231" s="10">
        <v>6.16</v>
      </c>
      <c r="I231" s="10" t="s">
        <v>1146</v>
      </c>
    </row>
    <row r="232" spans="4:9" ht="20.100000000000001" customHeight="1" x14ac:dyDescent="0.25"/>
    <row r="233" spans="4:9" ht="20.100000000000001" customHeight="1" x14ac:dyDescent="0.25">
      <c r="D233" s="9" t="s">
        <v>373</v>
      </c>
    </row>
    <row r="234" spans="4:9" ht="20.100000000000001" customHeight="1" x14ac:dyDescent="0.25">
      <c r="D234" s="10" t="s">
        <v>320</v>
      </c>
      <c r="E234" s="10" t="s">
        <v>218</v>
      </c>
      <c r="F234" s="10" t="s">
        <v>321</v>
      </c>
      <c r="G234" s="10" t="s">
        <v>285</v>
      </c>
      <c r="H234" s="10" t="s">
        <v>286</v>
      </c>
      <c r="I234" s="10" t="s">
        <v>366</v>
      </c>
    </row>
    <row r="235" spans="4:9" ht="20.100000000000001" customHeight="1" x14ac:dyDescent="0.25">
      <c r="D235" s="10" t="s">
        <v>373</v>
      </c>
      <c r="E235" s="10" t="s">
        <v>1226</v>
      </c>
      <c r="F235" s="10" t="s">
        <v>338</v>
      </c>
      <c r="G235" s="10" t="s">
        <v>354</v>
      </c>
      <c r="H235" s="10">
        <v>6.5199999999999994E-2</v>
      </c>
      <c r="I235" s="10" t="s">
        <v>1146</v>
      </c>
    </row>
    <row r="236" spans="4:9" ht="20.100000000000001" customHeight="1" x14ac:dyDescent="0.25">
      <c r="D236" s="10" t="s">
        <v>373</v>
      </c>
      <c r="E236" s="10" t="s">
        <v>1227</v>
      </c>
      <c r="F236" s="10" t="s">
        <v>338</v>
      </c>
      <c r="G236" s="10" t="s">
        <v>354</v>
      </c>
      <c r="H236" s="10">
        <v>6.5199999999999994E-2</v>
      </c>
      <c r="I236" s="10" t="s">
        <v>1146</v>
      </c>
    </row>
    <row r="237" spans="4:9" ht="20.100000000000001" customHeight="1" x14ac:dyDescent="0.25">
      <c r="D237" s="10" t="s">
        <v>373</v>
      </c>
      <c r="E237" s="10" t="s">
        <v>1228</v>
      </c>
      <c r="F237" s="10" t="s">
        <v>338</v>
      </c>
      <c r="G237" s="10" t="s">
        <v>354</v>
      </c>
      <c r="H237" s="10">
        <v>4.8500000000000001E-2</v>
      </c>
      <c r="I237" s="10" t="s">
        <v>1146</v>
      </c>
    </row>
    <row r="238" spans="4:9" ht="20.100000000000001" customHeight="1" x14ac:dyDescent="0.25"/>
  </sheetData>
  <pageMargins left="0.7" right="0.7" top="0.75" bottom="0.75" header="0.3" footer="0.3"/>
  <tableParts count="31">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1294B-0412-4C25-A6D4-AEEB49C81981}">
  <sheetPr>
    <tabColor theme="2" tint="-0.499984740745262"/>
  </sheetPr>
  <dimension ref="A1:AI165"/>
  <sheetViews>
    <sheetView showGridLines="0" topLeftCell="A5" zoomScaleNormal="100" workbookViewId="0">
      <selection activeCell="E10" sqref="E10"/>
    </sheetView>
  </sheetViews>
  <sheetFormatPr defaultRowHeight="15.75" x14ac:dyDescent="0.25"/>
  <cols>
    <col min="1" max="1" width="26.875" style="3" customWidth="1"/>
    <col min="2" max="2" width="4.125" style="3" customWidth="1"/>
    <col min="3" max="3" width="4.125" style="8" customWidth="1"/>
    <col min="4" max="4" width="34.25" style="8" customWidth="1"/>
    <col min="5" max="5" width="26.875" style="8" customWidth="1"/>
    <col min="6" max="6" width="25.875" style="8" customWidth="1"/>
    <col min="7" max="8" width="38" style="8" customWidth="1"/>
    <col min="9" max="9" width="38.125" style="8" customWidth="1"/>
    <col min="10" max="10" width="32.875" style="8" customWidth="1"/>
    <col min="11" max="11" width="29.375" style="8" customWidth="1"/>
    <col min="12" max="31" width="18.125" style="8" customWidth="1"/>
    <col min="32" max="32" width="4.125" style="8" customWidth="1"/>
    <col min="33" max="16384" width="9" style="3"/>
  </cols>
  <sheetData>
    <row r="1" spans="1:35" s="1" customFormat="1" ht="30" customHeight="1" x14ac:dyDescent="0.35">
      <c r="A1" s="1" t="e" vm="1">
        <v>#VALUE!</v>
      </c>
      <c r="C1" s="1" t="s">
        <v>783</v>
      </c>
      <c r="AG1" s="3"/>
      <c r="AH1" s="3"/>
      <c r="AI1" s="3"/>
    </row>
    <row r="2" spans="1:35" s="2" customFormat="1" ht="20.100000000000001" customHeight="1" x14ac:dyDescent="0.25">
      <c r="AG2" s="3"/>
      <c r="AH2" s="3"/>
      <c r="AI2" s="3"/>
    </row>
    <row r="3" spans="1:35" ht="20.100000000000001" customHeight="1" x14ac:dyDescent="0.25">
      <c r="A3" s="16" t="str">
        <f>HYPERLINK("#'Home'!A1", "Home")</f>
        <v>Home</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5" ht="20.100000000000001" customHeight="1" x14ac:dyDescent="0.25">
      <c r="A4" s="16" t="str">
        <f>HYPERLINK("#'Overview'!A1", "Overview")</f>
        <v>Overview</v>
      </c>
    </row>
    <row r="5" spans="1:35" ht="20.100000000000001" customHeight="1" x14ac:dyDescent="0.25">
      <c r="A5" s="16" t="str">
        <f>HYPERLINK("#'Results'!A1", "Results")</f>
        <v>Results</v>
      </c>
      <c r="D5" s="9" t="s">
        <v>1230</v>
      </c>
    </row>
    <row r="6" spans="1:35" ht="20.100000000000001" customHeight="1" x14ac:dyDescent="0.25">
      <c r="A6" s="18"/>
      <c r="D6" s="11" t="s">
        <v>1231</v>
      </c>
      <c r="E6" s="12" t="s">
        <v>1229</v>
      </c>
    </row>
    <row r="7" spans="1:35" ht="20.100000000000001" customHeight="1" x14ac:dyDescent="0.25">
      <c r="A7" s="19" t="s">
        <v>67</v>
      </c>
      <c r="D7" s="8" t="s">
        <v>790</v>
      </c>
    </row>
    <row r="8" spans="1:35" ht="20.100000000000001" customHeight="1" x14ac:dyDescent="0.25">
      <c r="A8" s="16" t="str">
        <f>HYPERLINK("#'Input - Solid waste'!A1", "Solid waste")</f>
        <v>Solid waste</v>
      </c>
      <c r="D8" s="13" t="s">
        <v>1232</v>
      </c>
      <c r="I8" s="8" t="s">
        <v>784</v>
      </c>
      <c r="K8" s="8" t="s">
        <v>785</v>
      </c>
      <c r="M8" s="8" t="s">
        <v>786</v>
      </c>
      <c r="O8" s="8" t="s">
        <v>787</v>
      </c>
    </row>
    <row r="9" spans="1:35" ht="20.100000000000001" customHeight="1" x14ac:dyDescent="0.25">
      <c r="A9" s="16"/>
      <c r="D9" s="10" t="s">
        <v>788</v>
      </c>
      <c r="E9" s="10" t="s">
        <v>789</v>
      </c>
      <c r="F9" s="10" t="s">
        <v>790</v>
      </c>
      <c r="G9" s="10" t="s">
        <v>791</v>
      </c>
      <c r="I9" s="10" t="s">
        <v>789</v>
      </c>
      <c r="K9" s="166" t="s">
        <v>789</v>
      </c>
      <c r="M9" s="166" t="s">
        <v>789</v>
      </c>
      <c r="O9" s="166" t="s">
        <v>789</v>
      </c>
    </row>
    <row r="10" spans="1:35" ht="20.100000000000001" customHeight="1" x14ac:dyDescent="0.25">
      <c r="A10" s="21" t="s">
        <v>77</v>
      </c>
      <c r="D10" s="10" t="s">
        <v>803</v>
      </c>
      <c r="E10" s="10" t="s">
        <v>804</v>
      </c>
      <c r="F10" s="10">
        <v>2.1</v>
      </c>
      <c r="G10" s="10" t="s">
        <v>1233</v>
      </c>
      <c r="I10" s="10" t="str">
        <f>Table_SourceData_WasteSolid_WasteTreatmentEFs[[#This Row],[Waste type w]]</f>
        <v>Food waste (including animal carcasses, spoiled animal feed or crop)</v>
      </c>
      <c r="K10" s="8" t="str">
        <f t="shared" ref="K10:K16" si="0">E21</f>
        <v>Food waste, green waste, wood, sludge</v>
      </c>
      <c r="M10" s="8" t="str">
        <f>E28</f>
        <v>All organic waste</v>
      </c>
      <c r="O10" s="8" t="str">
        <f>E29</f>
        <v>All organic waste</v>
      </c>
    </row>
    <row r="11" spans="1:35" ht="20.100000000000001" customHeight="1" x14ac:dyDescent="0.25">
      <c r="A11" s="16" t="str">
        <f>HYPERLINK("#'10.1.1-2 Solid waste treatment'!A1", "10.1.1-2 Solid waste treatment")</f>
        <v>10.1.1-2 Solid waste treatment</v>
      </c>
      <c r="D11" s="8" t="s">
        <v>803</v>
      </c>
      <c r="E11" s="10" t="s">
        <v>799</v>
      </c>
      <c r="F11" s="10">
        <v>3.3</v>
      </c>
      <c r="G11" s="10" t="s">
        <v>1233</v>
      </c>
      <c r="I11" s="10" t="str">
        <f>Table_SourceData_WasteSolid_WasteTreatmentEFs[[#This Row],[Waste type w]]</f>
        <v>Paper and cardboard</v>
      </c>
      <c r="K11" s="8" t="str">
        <f t="shared" si="0"/>
        <v>Paper and cardboard</v>
      </c>
    </row>
    <row r="12" spans="1:35" ht="20.100000000000001" customHeight="1" x14ac:dyDescent="0.25">
      <c r="A12" s="16"/>
      <c r="D12" s="8" t="s">
        <v>803</v>
      </c>
      <c r="E12" s="10" t="s">
        <v>1234</v>
      </c>
      <c r="F12" s="10">
        <v>1.6</v>
      </c>
      <c r="G12" s="10" t="s">
        <v>1233</v>
      </c>
      <c r="I12" s="10" t="str">
        <f>Table_SourceData_WasteSolid_WasteTreatmentEFs[[#This Row],[Waste type w]]</f>
        <v>Green waste (including crop residues or prunnings)</v>
      </c>
      <c r="K12" s="8" t="str">
        <f t="shared" si="0"/>
        <v>Textiles</v>
      </c>
    </row>
    <row r="13" spans="1:35" ht="20.100000000000001" customHeight="1" x14ac:dyDescent="0.25">
      <c r="A13" s="23" t="s">
        <v>78</v>
      </c>
      <c r="D13" s="8" t="s">
        <v>803</v>
      </c>
      <c r="E13" s="10" t="s">
        <v>1235</v>
      </c>
      <c r="F13" s="10">
        <v>0.7</v>
      </c>
      <c r="G13" s="10" t="s">
        <v>1233</v>
      </c>
      <c r="I13" s="10" t="str">
        <f>Table_SourceData_WasteSolid_WasteTreatmentEFs[[#This Row],[Waste type w]]</f>
        <v>Wood</v>
      </c>
      <c r="K13" s="8" t="str">
        <f t="shared" si="0"/>
        <v>Rubber and leather</v>
      </c>
    </row>
    <row r="14" spans="1:35" ht="20.100000000000001" customHeight="1" x14ac:dyDescent="0.25">
      <c r="A14" s="24" t="str">
        <f>HYPERLINK("#'Constants - Solid waste'!A1", "Constants - Solid waste")</f>
        <v>Constants - Solid waste</v>
      </c>
      <c r="D14" s="8" t="s">
        <v>803</v>
      </c>
      <c r="E14" s="10" t="s">
        <v>848</v>
      </c>
      <c r="F14" s="10">
        <v>2</v>
      </c>
      <c r="G14" s="10" t="s">
        <v>1233</v>
      </c>
      <c r="I14" s="10" t="str">
        <f>Table_SourceData_WasteSolid_WasteTreatmentEFs[[#This Row],[Waste type w]]</f>
        <v>Textiles</v>
      </c>
      <c r="K14" s="8" t="str">
        <f t="shared" si="0"/>
        <v>Inert Waste</v>
      </c>
    </row>
    <row r="15" spans="1:35" ht="20.100000000000001" customHeight="1" x14ac:dyDescent="0.25">
      <c r="A15" s="16" t="str">
        <f>HYPERLINK("#'Constants - Common'!A1", "Constants - Common")</f>
        <v>Constants - Common</v>
      </c>
      <c r="D15" s="8" t="s">
        <v>803</v>
      </c>
      <c r="E15" s="10" t="s">
        <v>1236</v>
      </c>
      <c r="F15" s="10">
        <v>0.4</v>
      </c>
      <c r="G15" s="10" t="s">
        <v>1233</v>
      </c>
      <c r="I15" s="10" t="str">
        <f>Table_SourceData_WasteSolid_WasteTreatmentEFs[[#This Row],[Waste type w]]</f>
        <v>Sludge</v>
      </c>
      <c r="K15" s="8" t="str">
        <f t="shared" si="0"/>
        <v>Municipal Solid Waste</v>
      </c>
    </row>
    <row r="16" spans="1:35" ht="20.100000000000001" customHeight="1" x14ac:dyDescent="0.25">
      <c r="D16" s="8" t="s">
        <v>803</v>
      </c>
      <c r="E16" s="10" t="s">
        <v>1237</v>
      </c>
      <c r="F16" s="10">
        <v>3.3</v>
      </c>
      <c r="G16" s="10" t="s">
        <v>1233</v>
      </c>
      <c r="I16" s="10" t="str">
        <f>Table_SourceData_WasteSolid_WasteTreatmentEFs[[#This Row],[Waste type w]]</f>
        <v>Rubber and leather</v>
      </c>
      <c r="K16" s="8" t="str">
        <f t="shared" si="0"/>
        <v>Industrial Waste</v>
      </c>
    </row>
    <row r="17" spans="1:9" ht="20.100000000000001" customHeight="1" x14ac:dyDescent="0.25">
      <c r="D17" s="8" t="s">
        <v>803</v>
      </c>
      <c r="E17" s="10" t="s">
        <v>1238</v>
      </c>
      <c r="F17" s="10">
        <v>0</v>
      </c>
      <c r="G17" s="10" t="s">
        <v>1233</v>
      </c>
      <c r="I17" s="10" t="str">
        <f>Table_SourceData_WasteSolid_WasteTreatmentEFs[[#This Row],[Waste type w]]</f>
        <v>Inert waste (including concrete, metal, plastic or glass)</v>
      </c>
    </row>
    <row r="18" spans="1:9" ht="20.100000000000001" customHeight="1" x14ac:dyDescent="0.25">
      <c r="D18" s="8" t="s">
        <v>803</v>
      </c>
      <c r="E18" s="10" t="s">
        <v>1239</v>
      </c>
      <c r="F18" s="10">
        <v>1.6</v>
      </c>
      <c r="G18" s="10" t="s">
        <v>1233</v>
      </c>
      <c r="I18" s="10" t="str">
        <f>Table_SourceData_WasteSolid_WasteTreatmentEFs[[#This Row],[Waste type w]]</f>
        <v>Municipal solid waste</v>
      </c>
    </row>
    <row r="19" spans="1:9" ht="20.100000000000001" customHeight="1" x14ac:dyDescent="0.25">
      <c r="D19" s="8" t="s">
        <v>803</v>
      </c>
      <c r="E19" s="10" t="s">
        <v>1240</v>
      </c>
      <c r="F19" s="10">
        <v>1.3</v>
      </c>
      <c r="G19" s="10" t="s">
        <v>1233</v>
      </c>
      <c r="I19" s="10" t="str">
        <f>Table_SourceData_WasteSolid_WasteTreatmentEFs[[#This Row],[Waste type w]]</f>
        <v>Commercial and industrial waste</v>
      </c>
    </row>
    <row r="20" spans="1:9" ht="20.100000000000001" customHeight="1" x14ac:dyDescent="0.25">
      <c r="A20" s="16"/>
      <c r="D20" s="8" t="s">
        <v>803</v>
      </c>
      <c r="E20" s="10" t="s">
        <v>1241</v>
      </c>
      <c r="F20" s="10">
        <v>0.2</v>
      </c>
      <c r="G20" s="10" t="s">
        <v>1233</v>
      </c>
      <c r="I20" s="10" t="str">
        <f>Table_SourceData_WasteSolid_WasteTreatmentEFs[[#This Row],[Waste type w]]</f>
        <v>Construction and demolition waste</v>
      </c>
    </row>
    <row r="21" spans="1:9" ht="20.100000000000001" customHeight="1" x14ac:dyDescent="0.25">
      <c r="A21" s="16"/>
      <c r="D21" s="8" t="s">
        <v>798</v>
      </c>
      <c r="E21" s="10" t="s">
        <v>1242</v>
      </c>
      <c r="F21" s="10">
        <v>0</v>
      </c>
      <c r="G21" s="10"/>
    </row>
    <row r="22" spans="1:9" ht="20.100000000000001" customHeight="1" x14ac:dyDescent="0.25">
      <c r="D22" s="8" t="s">
        <v>798</v>
      </c>
      <c r="E22" s="10" t="s">
        <v>799</v>
      </c>
      <c r="F22" s="10">
        <v>1.6899999999999998E-2</v>
      </c>
      <c r="G22" s="10"/>
    </row>
    <row r="23" spans="1:9" ht="20.100000000000001" customHeight="1" x14ac:dyDescent="0.25">
      <c r="A23" s="16"/>
      <c r="D23" s="8" t="s">
        <v>798</v>
      </c>
      <c r="E23" s="10" t="s">
        <v>848</v>
      </c>
      <c r="F23" s="10">
        <v>0.36670000000000003</v>
      </c>
      <c r="G23" s="10"/>
    </row>
    <row r="24" spans="1:9" ht="20.100000000000001" customHeight="1" x14ac:dyDescent="0.25">
      <c r="D24" s="8" t="s">
        <v>798</v>
      </c>
      <c r="E24" s="10" t="s">
        <v>1237</v>
      </c>
      <c r="F24" s="10">
        <v>0.4919</v>
      </c>
      <c r="G24" s="10"/>
    </row>
    <row r="25" spans="1:9" ht="20.100000000000001" customHeight="1" x14ac:dyDescent="0.25">
      <c r="D25" s="8" t="s">
        <v>798</v>
      </c>
      <c r="E25" s="10" t="s">
        <v>1243</v>
      </c>
      <c r="F25" s="10">
        <v>0.11</v>
      </c>
      <c r="G25" s="10"/>
    </row>
    <row r="26" spans="1:9" ht="20.100000000000001" customHeight="1" x14ac:dyDescent="0.25">
      <c r="D26" s="8" t="s">
        <v>798</v>
      </c>
      <c r="E26" s="10" t="s">
        <v>1244</v>
      </c>
      <c r="F26" s="10">
        <v>5.3699999999999998E-2</v>
      </c>
      <c r="G26" s="10" t="s">
        <v>1245</v>
      </c>
    </row>
    <row r="27" spans="1:9" ht="20.100000000000001" customHeight="1" x14ac:dyDescent="0.25">
      <c r="D27" s="8" t="s">
        <v>798</v>
      </c>
      <c r="E27" s="10" t="s">
        <v>1246</v>
      </c>
      <c r="F27" s="10">
        <v>1.649</v>
      </c>
      <c r="G27" s="10" t="s">
        <v>1245</v>
      </c>
    </row>
    <row r="28" spans="1:9" ht="20.100000000000001" customHeight="1" x14ac:dyDescent="0.25">
      <c r="D28" s="8" t="s">
        <v>1247</v>
      </c>
      <c r="E28" s="10" t="s">
        <v>1248</v>
      </c>
      <c r="F28" s="10">
        <v>4.5999999999999999E-2</v>
      </c>
      <c r="G28" s="10" t="s">
        <v>1249</v>
      </c>
    </row>
    <row r="29" spans="1:9" ht="20.100000000000001" customHeight="1" x14ac:dyDescent="0.25">
      <c r="D29" s="8" t="s">
        <v>1250</v>
      </c>
      <c r="E29" s="10" t="s">
        <v>1248</v>
      </c>
      <c r="F29" s="10">
        <v>2.8000000000000001E-2</v>
      </c>
      <c r="G29" s="10" t="s">
        <v>1249</v>
      </c>
    </row>
    <row r="30" spans="1:9" ht="20.100000000000001" customHeight="1" x14ac:dyDescent="0.25"/>
    <row r="31" spans="1:9" ht="20.100000000000001" customHeight="1" x14ac:dyDescent="0.25"/>
    <row r="32" spans="1:9" ht="20.100000000000001" customHeight="1" x14ac:dyDescent="0.25">
      <c r="D32" s="9" t="s">
        <v>1251</v>
      </c>
    </row>
    <row r="33" spans="4:5" ht="20.100000000000001" customHeight="1" x14ac:dyDescent="0.25">
      <c r="D33" s="11" t="s">
        <v>1252</v>
      </c>
    </row>
    <row r="34" spans="4:5" ht="20.100000000000001" customHeight="1" x14ac:dyDescent="0.25">
      <c r="D34" s="12" t="s">
        <v>1253</v>
      </c>
    </row>
    <row r="35" spans="4:5" ht="20.100000000000001" customHeight="1" x14ac:dyDescent="0.25">
      <c r="D35" s="8" t="s">
        <v>792</v>
      </c>
    </row>
    <row r="36" spans="4:5" ht="20.100000000000001" customHeight="1" x14ac:dyDescent="0.25">
      <c r="D36" s="13" t="s">
        <v>1037</v>
      </c>
    </row>
    <row r="37" spans="4:5" ht="20.100000000000001" customHeight="1" x14ac:dyDescent="0.25">
      <c r="D37" s="10" t="s">
        <v>789</v>
      </c>
      <c r="E37" s="10" t="s">
        <v>792</v>
      </c>
    </row>
    <row r="38" spans="4:5" ht="20.100000000000001" customHeight="1" x14ac:dyDescent="0.25">
      <c r="D38" s="10" t="s">
        <v>804</v>
      </c>
      <c r="E38" s="10">
        <v>0.5</v>
      </c>
    </row>
    <row r="39" spans="4:5" ht="20.100000000000001" customHeight="1" x14ac:dyDescent="0.25">
      <c r="D39" s="8" t="s">
        <v>799</v>
      </c>
      <c r="E39" s="10">
        <v>0.09</v>
      </c>
    </row>
    <row r="40" spans="4:5" ht="20.100000000000001" customHeight="1" x14ac:dyDescent="0.25">
      <c r="D40" s="8" t="s">
        <v>1254</v>
      </c>
      <c r="E40" s="10">
        <v>0.24</v>
      </c>
    </row>
    <row r="41" spans="4:5" ht="20.100000000000001" customHeight="1" x14ac:dyDescent="0.25">
      <c r="D41" s="8" t="s">
        <v>1235</v>
      </c>
      <c r="E41" s="10">
        <v>0.15</v>
      </c>
    </row>
    <row r="42" spans="4:5" ht="20.100000000000001" customHeight="1" x14ac:dyDescent="0.25">
      <c r="D42" s="8" t="s">
        <v>848</v>
      </c>
      <c r="E42" s="10">
        <v>0.14000000000000001</v>
      </c>
    </row>
    <row r="43" spans="4:5" ht="20.100000000000001" customHeight="1" x14ac:dyDescent="0.25">
      <c r="D43" s="8" t="s">
        <v>1236</v>
      </c>
      <c r="E43" s="10">
        <v>0.72</v>
      </c>
    </row>
    <row r="44" spans="4:5" ht="20.100000000000001" customHeight="1" x14ac:dyDescent="0.25">
      <c r="D44" s="8" t="s">
        <v>1237</v>
      </c>
      <c r="E44" s="10">
        <v>0.14000000000000001</v>
      </c>
    </row>
    <row r="45" spans="4:5" ht="20.100000000000001" customHeight="1" x14ac:dyDescent="0.25">
      <c r="D45" s="8" t="s">
        <v>1238</v>
      </c>
      <c r="E45" s="10">
        <v>0.42</v>
      </c>
    </row>
    <row r="46" spans="4:5" ht="20.100000000000001" customHeight="1" x14ac:dyDescent="0.25">
      <c r="D46" s="8" t="s">
        <v>1239</v>
      </c>
      <c r="E46" s="10">
        <v>0.36</v>
      </c>
    </row>
    <row r="47" spans="4:5" ht="20.100000000000001" customHeight="1" x14ac:dyDescent="0.25">
      <c r="D47" s="8" t="s">
        <v>1240</v>
      </c>
      <c r="E47" s="10">
        <v>0.33</v>
      </c>
    </row>
    <row r="48" spans="4:5" ht="20.100000000000001" customHeight="1" x14ac:dyDescent="0.25">
      <c r="D48" s="8" t="s">
        <v>1241</v>
      </c>
      <c r="E48" s="10">
        <v>0.39</v>
      </c>
    </row>
    <row r="49" spans="1:1" ht="20.100000000000001" customHeight="1" x14ac:dyDescent="0.25">
      <c r="A49" s="56" t="str">
        <f>HYPERLINK("#A1", "▲ Back to top")</f>
        <v>▲ Back to top</v>
      </c>
    </row>
    <row r="50" spans="1:1" ht="20.100000000000001" customHeight="1" x14ac:dyDescent="0.25"/>
    <row r="51" spans="1:1" ht="20.100000000000001" customHeight="1" x14ac:dyDescent="0.25"/>
    <row r="52" spans="1:1" ht="20.100000000000001" customHeight="1" x14ac:dyDescent="0.25"/>
    <row r="53" spans="1:1" ht="20.100000000000001" customHeight="1" x14ac:dyDescent="0.25"/>
    <row r="54" spans="1:1" ht="20.100000000000001" customHeight="1" x14ac:dyDescent="0.25"/>
    <row r="55" spans="1:1" ht="20.100000000000001" customHeight="1" x14ac:dyDescent="0.25"/>
    <row r="56" spans="1:1" ht="20.100000000000001" customHeight="1" x14ac:dyDescent="0.25"/>
    <row r="57" spans="1:1" ht="20.100000000000001" customHeight="1" x14ac:dyDescent="0.25"/>
    <row r="58" spans="1:1" ht="20.100000000000001" customHeight="1" x14ac:dyDescent="0.25"/>
    <row r="59" spans="1:1" ht="20.100000000000001" customHeight="1" x14ac:dyDescent="0.25"/>
    <row r="60" spans="1:1" ht="20.100000000000001" customHeight="1" x14ac:dyDescent="0.25"/>
    <row r="61" spans="1:1" ht="20.100000000000001" customHeight="1" x14ac:dyDescent="0.25"/>
    <row r="62" spans="1:1" ht="20.100000000000001" customHeight="1" x14ac:dyDescent="0.25"/>
    <row r="63" spans="1:1" ht="20.100000000000001" customHeight="1" x14ac:dyDescent="0.25"/>
    <row r="64" spans="1:1" ht="20.100000000000001" customHeight="1" x14ac:dyDescent="0.25"/>
    <row r="65" spans="1:1" ht="20.100000000000001" customHeight="1" x14ac:dyDescent="0.25"/>
    <row r="66" spans="1:1" ht="20.100000000000001" customHeight="1" x14ac:dyDescent="0.25"/>
    <row r="67" spans="1:1" ht="20.100000000000001" customHeight="1" x14ac:dyDescent="0.25"/>
    <row r="68" spans="1:1" ht="20.100000000000001" customHeight="1" x14ac:dyDescent="0.25"/>
    <row r="69" spans="1:1" ht="20.100000000000001" customHeight="1" x14ac:dyDescent="0.25"/>
    <row r="70" spans="1:1" ht="20.100000000000001" customHeight="1" x14ac:dyDescent="0.25"/>
    <row r="71" spans="1:1" ht="20.100000000000001" customHeight="1" x14ac:dyDescent="0.25"/>
    <row r="72" spans="1:1" ht="20.100000000000001" customHeight="1" x14ac:dyDescent="0.25"/>
    <row r="73" spans="1:1" ht="20.100000000000001" customHeight="1" x14ac:dyDescent="0.25"/>
    <row r="74" spans="1:1" ht="20.100000000000001" customHeight="1" x14ac:dyDescent="0.25"/>
    <row r="75" spans="1:1" ht="20.100000000000001" customHeight="1" x14ac:dyDescent="0.25"/>
    <row r="76" spans="1:1" ht="20.100000000000001" customHeight="1" x14ac:dyDescent="0.25"/>
    <row r="77" spans="1:1" ht="20.100000000000001" customHeight="1" x14ac:dyDescent="0.25">
      <c r="A77" s="56" t="str">
        <f>HYPERLINK("#A1", "▲ Back to top")</f>
        <v>▲ Back to top</v>
      </c>
    </row>
    <row r="78" spans="1:1" ht="20.100000000000001" customHeight="1" x14ac:dyDescent="0.25"/>
    <row r="79" spans="1:1" ht="20.100000000000001" customHeight="1" x14ac:dyDescent="0.25"/>
    <row r="80" spans="1:1"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27E4C-15BE-43DB-A1F6-FB6FC538C10E}">
  <sheetPr>
    <tabColor theme="2" tint="-0.499984740745262"/>
  </sheetPr>
  <dimension ref="A1:AI165"/>
  <sheetViews>
    <sheetView showGridLines="0" topLeftCell="A17" zoomScaleNormal="100" workbookViewId="0">
      <selection activeCell="E30" sqref="E30"/>
    </sheetView>
  </sheetViews>
  <sheetFormatPr defaultRowHeight="15.75" x14ac:dyDescent="0.25"/>
  <cols>
    <col min="1" max="1" width="26.875" style="3" customWidth="1"/>
    <col min="2" max="2" width="4.125" style="3" customWidth="1"/>
    <col min="3" max="3" width="4.125" style="8" customWidth="1"/>
    <col min="4" max="4" width="34.25" style="8" customWidth="1"/>
    <col min="5" max="5" width="18.125" style="8" customWidth="1"/>
    <col min="6" max="6" width="18.875" style="8" customWidth="1"/>
    <col min="7" max="8" width="38" style="8" customWidth="1"/>
    <col min="9" max="9" width="38.125" style="8" customWidth="1"/>
    <col min="10" max="10" width="32.875" style="8" customWidth="1"/>
    <col min="11" max="11" width="29.375" style="8" customWidth="1"/>
    <col min="12" max="31" width="18.125" style="8" customWidth="1"/>
    <col min="32" max="32" width="4.125" style="8" customWidth="1"/>
    <col min="33" max="16384" width="9" style="3"/>
  </cols>
  <sheetData>
    <row r="1" spans="1:35" s="1" customFormat="1" ht="30" customHeight="1" x14ac:dyDescent="0.35">
      <c r="A1" s="1" t="e" vm="1">
        <v>#VALUE!</v>
      </c>
      <c r="C1" s="1" t="s">
        <v>66</v>
      </c>
      <c r="AG1" s="3"/>
      <c r="AH1" s="3"/>
      <c r="AI1" s="3"/>
    </row>
    <row r="2" spans="1:35" s="2" customFormat="1" ht="20.100000000000001" customHeight="1" x14ac:dyDescent="0.25">
      <c r="A2" s="3"/>
      <c r="AG2" s="3"/>
      <c r="AH2" s="3"/>
      <c r="AI2" s="3"/>
    </row>
    <row r="3" spans="1:35" ht="20.100000000000001" customHeight="1" x14ac:dyDescent="0.25">
      <c r="A3" s="16" t="str">
        <f>HYPERLINK("#'Home'!A1", "Home")</f>
        <v>Home</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5" ht="20.100000000000001" customHeight="1" x14ac:dyDescent="0.25">
      <c r="A4" s="16" t="str">
        <f>HYPERLINK("#'Overview'!A1", "Overview")</f>
        <v>Overview</v>
      </c>
    </row>
    <row r="5" spans="1:35" ht="20.100000000000001" customHeight="1" x14ac:dyDescent="0.25">
      <c r="A5" s="16" t="str">
        <f>HYPERLINK("#'Results'!A1", "Results")</f>
        <v>Results</v>
      </c>
      <c r="D5" s="9" t="s">
        <v>1255</v>
      </c>
      <c r="E5" s="17"/>
      <c r="F5" s="17"/>
      <c r="G5" s="17"/>
      <c r="H5" s="17"/>
      <c r="I5" s="17"/>
      <c r="J5" s="17"/>
      <c r="K5" s="17"/>
      <c r="L5" s="17"/>
    </row>
    <row r="6" spans="1:35" ht="20.100000000000001" customHeight="1" x14ac:dyDescent="0.25">
      <c r="A6" s="18"/>
      <c r="D6" s="8" t="s">
        <v>1256</v>
      </c>
      <c r="E6" s="17"/>
      <c r="F6" s="17"/>
      <c r="G6" s="17"/>
      <c r="H6" s="17"/>
      <c r="I6" s="17"/>
      <c r="J6" s="17"/>
      <c r="K6" s="17"/>
      <c r="L6" s="17"/>
    </row>
    <row r="7" spans="1:35" ht="20.100000000000001" customHeight="1" x14ac:dyDescent="0.25">
      <c r="A7" s="19" t="s">
        <v>67</v>
      </c>
      <c r="D7" s="11" t="s">
        <v>1257</v>
      </c>
      <c r="E7" s="17"/>
      <c r="F7" s="17"/>
      <c r="G7" s="17"/>
      <c r="H7" s="17"/>
      <c r="I7" s="17"/>
      <c r="J7" s="17"/>
      <c r="K7" s="17"/>
      <c r="L7" s="17"/>
    </row>
    <row r="8" spans="1:35" ht="20.100000000000001" customHeight="1" x14ac:dyDescent="0.25">
      <c r="A8" s="16" t="str">
        <f>HYPERLINK("#'Input - Fuel'!A1", "Fuel")</f>
        <v>Fuel</v>
      </c>
      <c r="D8" s="12" t="str" cm="1">
        <f t="array" ref="D8">"⚠️" &amp; Fuel_SourceData.Fuel_Scope1Scope3EmissionFactorsTransport_Variation()</f>
        <v>⚠️VARIATION OF SOURCE DATA: 'NE' values returned as zero for calculations.</v>
      </c>
      <c r="E8" s="17"/>
      <c r="F8" s="17"/>
      <c r="G8" s="17"/>
      <c r="H8" s="17"/>
      <c r="I8" s="17"/>
      <c r="J8" s="17"/>
      <c r="K8" s="17"/>
      <c r="L8" s="17"/>
    </row>
    <row r="9" spans="1:35" ht="20.100000000000001" customHeight="1" x14ac:dyDescent="0.25">
      <c r="A9" s="16"/>
      <c r="D9" s="20" t="s">
        <v>68</v>
      </c>
      <c r="E9" s="20" t="s">
        <v>69</v>
      </c>
      <c r="F9" s="20" t="s">
        <v>70</v>
      </c>
      <c r="G9" s="20" t="s">
        <v>71</v>
      </c>
      <c r="H9" s="20" t="s">
        <v>72</v>
      </c>
      <c r="I9" s="20" t="s">
        <v>73</v>
      </c>
      <c r="J9" s="20" t="s">
        <v>74</v>
      </c>
      <c r="K9" s="20" t="s">
        <v>75</v>
      </c>
      <c r="L9" s="20" t="s">
        <v>76</v>
      </c>
    </row>
    <row r="10" spans="1:35" ht="20.100000000000001" customHeight="1" x14ac:dyDescent="0.25">
      <c r="A10" s="21" t="s">
        <v>77</v>
      </c>
      <c r="D10" s="22" t="s">
        <v>91</v>
      </c>
      <c r="E10" s="22" t="s">
        <v>1258</v>
      </c>
      <c r="F10" s="22">
        <v>34.200000000000003</v>
      </c>
      <c r="G10" s="22" t="s">
        <v>1259</v>
      </c>
      <c r="H10" s="22">
        <v>67.400000000000006</v>
      </c>
      <c r="I10" s="22">
        <v>0.02</v>
      </c>
      <c r="J10" s="22">
        <v>0.2</v>
      </c>
      <c r="K10" s="22">
        <v>67.62</v>
      </c>
      <c r="L10" s="22">
        <v>17.2</v>
      </c>
    </row>
    <row r="11" spans="1:35" ht="20.100000000000001" customHeight="1" x14ac:dyDescent="0.25">
      <c r="A11" s="16" t="str">
        <f>HYPERLINK("#'8.1.1.1-2 Transport fuel'!A1", "8.1.1.1-2 Transport fuel")</f>
        <v>8.1.1.1-2 Transport fuel</v>
      </c>
      <c r="D11" s="22" t="s">
        <v>91</v>
      </c>
      <c r="E11" s="22" t="s">
        <v>1260</v>
      </c>
      <c r="F11" s="22">
        <v>38.6</v>
      </c>
      <c r="G11" s="22" t="s">
        <v>1259</v>
      </c>
      <c r="H11" s="22">
        <v>69.900000000000006</v>
      </c>
      <c r="I11" s="22">
        <v>0.01</v>
      </c>
      <c r="J11" s="22">
        <v>0.5</v>
      </c>
      <c r="K11" s="22">
        <v>70.41</v>
      </c>
      <c r="L11" s="22">
        <v>17.3</v>
      </c>
    </row>
    <row r="12" spans="1:35" ht="20.100000000000001" customHeight="1" x14ac:dyDescent="0.25">
      <c r="A12" s="16" t="str">
        <f>HYPERLINK("#'8.2.1.1-2 Stationary fuel'!A1", "8.2.1.1-2 Stationary fuel")</f>
        <v>8.2.1.1-2 Stationary fuel</v>
      </c>
      <c r="D12" s="22" t="s">
        <v>91</v>
      </c>
      <c r="E12" s="22" t="s">
        <v>101</v>
      </c>
      <c r="F12" s="22">
        <v>26.2</v>
      </c>
      <c r="G12" s="22" t="s">
        <v>1259</v>
      </c>
      <c r="H12" s="22">
        <v>60.2</v>
      </c>
      <c r="I12" s="22">
        <v>0.5</v>
      </c>
      <c r="J12" s="22">
        <v>0.3</v>
      </c>
      <c r="K12" s="22">
        <v>61</v>
      </c>
      <c r="L12" s="22">
        <v>20.2</v>
      </c>
    </row>
    <row r="13" spans="1:35" ht="20.100000000000001" customHeight="1" x14ac:dyDescent="0.25">
      <c r="A13" s="16" t="str">
        <f>HYPERLINK("#'8.X.1.1-2 General use fuel'!A1", "8.X.1.1-2 General use fuel")</f>
        <v>8.X.1.1-2 General use fuel</v>
      </c>
      <c r="D13" s="22" t="s">
        <v>91</v>
      </c>
      <c r="E13" s="22" t="s">
        <v>95</v>
      </c>
      <c r="F13" s="22">
        <v>39.700000000000003</v>
      </c>
      <c r="G13" s="22" t="s">
        <v>1259</v>
      </c>
      <c r="H13" s="22">
        <v>73.599999999999994</v>
      </c>
      <c r="I13" s="22">
        <v>0.08</v>
      </c>
      <c r="J13" s="22">
        <v>0.5</v>
      </c>
      <c r="K13" s="22">
        <v>74.180000000000007</v>
      </c>
      <c r="L13" s="22">
        <v>18</v>
      </c>
    </row>
    <row r="14" spans="1:35" ht="20.100000000000001" customHeight="1" x14ac:dyDescent="0.25">
      <c r="A14" s="16"/>
      <c r="D14" s="22" t="s">
        <v>91</v>
      </c>
      <c r="E14" s="22" t="s">
        <v>103</v>
      </c>
      <c r="F14" s="22">
        <v>23.4</v>
      </c>
      <c r="G14" s="22" t="s">
        <v>1259</v>
      </c>
      <c r="H14" s="22">
        <v>0</v>
      </c>
      <c r="I14" s="22">
        <v>0.2</v>
      </c>
      <c r="J14" s="22">
        <v>0.2</v>
      </c>
      <c r="K14" s="22">
        <v>0.4</v>
      </c>
      <c r="L14" s="22" t="s">
        <v>1261</v>
      </c>
    </row>
    <row r="15" spans="1:35" ht="20.100000000000001" customHeight="1" x14ac:dyDescent="0.25">
      <c r="A15" s="23" t="s">
        <v>78</v>
      </c>
      <c r="D15" s="22" t="s">
        <v>91</v>
      </c>
      <c r="E15" s="22" t="s">
        <v>102</v>
      </c>
      <c r="F15" s="22">
        <v>34.6</v>
      </c>
      <c r="G15" s="22" t="s">
        <v>1259</v>
      </c>
      <c r="H15" s="22">
        <v>0</v>
      </c>
      <c r="I15" s="22">
        <v>0.8</v>
      </c>
      <c r="J15" s="22">
        <v>1.7</v>
      </c>
      <c r="K15" s="22">
        <v>2.5</v>
      </c>
      <c r="L15" s="22" t="s">
        <v>1261</v>
      </c>
    </row>
    <row r="16" spans="1:35" ht="20.100000000000001" customHeight="1" x14ac:dyDescent="0.25">
      <c r="A16" s="24" t="str">
        <f>HYPERLINK("#'Constants - Fuel'!A1", "Constants - Fuel")</f>
        <v>Constants - Fuel</v>
      </c>
      <c r="D16" s="22" t="s">
        <v>91</v>
      </c>
      <c r="E16" s="22" t="s">
        <v>105</v>
      </c>
      <c r="F16" s="22">
        <v>38.6</v>
      </c>
      <c r="G16" s="22" t="s">
        <v>1259</v>
      </c>
      <c r="H16" s="22">
        <v>0</v>
      </c>
      <c r="I16" s="22">
        <v>0.01</v>
      </c>
      <c r="J16" s="22">
        <v>0.5</v>
      </c>
      <c r="K16" s="22">
        <v>0.51</v>
      </c>
      <c r="L16" s="22" t="s">
        <v>1261</v>
      </c>
    </row>
    <row r="17" spans="1:12" ht="20.100000000000001" customHeight="1" x14ac:dyDescent="0.25">
      <c r="A17" s="16" t="str">
        <f>HYPERLINK("#'Constants - Common'!A1", "Constants - Common")</f>
        <v>Constants - Common</v>
      </c>
      <c r="D17" s="22" t="s">
        <v>91</v>
      </c>
      <c r="E17" s="22" t="s">
        <v>104</v>
      </c>
      <c r="F17" s="22">
        <v>23.4</v>
      </c>
      <c r="G17" s="22" t="s">
        <v>1259</v>
      </c>
      <c r="H17" s="22">
        <v>0</v>
      </c>
      <c r="I17" s="22">
        <v>0.8</v>
      </c>
      <c r="J17" s="22">
        <v>1.7</v>
      </c>
      <c r="K17" s="22">
        <v>2.5</v>
      </c>
      <c r="L17" s="22" t="s">
        <v>1261</v>
      </c>
    </row>
    <row r="18" spans="1:12" ht="20.100000000000001" customHeight="1" x14ac:dyDescent="0.25">
      <c r="D18" s="22" t="s">
        <v>1262</v>
      </c>
      <c r="E18" s="22" t="s">
        <v>1263</v>
      </c>
      <c r="F18" s="22">
        <v>3.9300000000000002E-2</v>
      </c>
      <c r="G18" s="22" t="s">
        <v>711</v>
      </c>
      <c r="H18" s="22">
        <v>51.4</v>
      </c>
      <c r="I18" s="22">
        <v>7.3</v>
      </c>
      <c r="J18" s="22">
        <v>0.3</v>
      </c>
      <c r="K18" s="22">
        <v>59</v>
      </c>
      <c r="L18" s="22">
        <v>18</v>
      </c>
    </row>
    <row r="19" spans="1:12" ht="20.100000000000001" customHeight="1" x14ac:dyDescent="0.25">
      <c r="D19" s="22" t="s">
        <v>1262</v>
      </c>
      <c r="E19" s="22" t="s">
        <v>1264</v>
      </c>
      <c r="F19" s="22">
        <v>25.3</v>
      </c>
      <c r="G19" s="22" t="s">
        <v>1259</v>
      </c>
      <c r="H19" s="22">
        <v>51.4</v>
      </c>
      <c r="I19" s="22">
        <v>7.3</v>
      </c>
      <c r="J19" s="22">
        <v>0.3</v>
      </c>
      <c r="K19" s="22">
        <v>59</v>
      </c>
      <c r="L19" s="22">
        <v>18</v>
      </c>
    </row>
    <row r="20" spans="1:12" ht="20.100000000000001" customHeight="1" x14ac:dyDescent="0.25">
      <c r="A20" s="16"/>
      <c r="D20" s="22" t="s">
        <v>1265</v>
      </c>
      <c r="E20" s="22" t="s">
        <v>1263</v>
      </c>
      <c r="F20" s="22">
        <v>3.9300000000000002E-2</v>
      </c>
      <c r="G20" s="22" t="s">
        <v>711</v>
      </c>
      <c r="H20" s="22">
        <v>51.4</v>
      </c>
      <c r="I20" s="22">
        <v>2.8</v>
      </c>
      <c r="J20" s="22">
        <v>0.3</v>
      </c>
      <c r="K20" s="22">
        <v>54.5</v>
      </c>
      <c r="L20" s="22">
        <v>18</v>
      </c>
    </row>
    <row r="21" spans="1:12" ht="20.100000000000001" customHeight="1" x14ac:dyDescent="0.25">
      <c r="A21" s="16"/>
      <c r="D21" s="22" t="s">
        <v>1265</v>
      </c>
      <c r="E21" s="22" t="s">
        <v>1264</v>
      </c>
      <c r="F21" s="22">
        <v>25.3</v>
      </c>
      <c r="G21" s="22" t="s">
        <v>1259</v>
      </c>
      <c r="H21" s="22">
        <v>51.4</v>
      </c>
      <c r="I21" s="22">
        <v>2.8</v>
      </c>
      <c r="J21" s="22">
        <v>0.3</v>
      </c>
      <c r="K21" s="22">
        <v>54.5</v>
      </c>
      <c r="L21" s="22">
        <v>18</v>
      </c>
    </row>
    <row r="22" spans="1:12" ht="20.100000000000001" customHeight="1" x14ac:dyDescent="0.25">
      <c r="D22" s="22" t="s">
        <v>1265</v>
      </c>
      <c r="E22" s="22" t="s">
        <v>1266</v>
      </c>
      <c r="F22" s="22">
        <v>38.6</v>
      </c>
      <c r="G22" s="22" t="s">
        <v>1259</v>
      </c>
      <c r="H22" s="22">
        <v>69.900000000000006</v>
      </c>
      <c r="I22" s="22">
        <v>7.0000000000000007E-2</v>
      </c>
      <c r="J22" s="22">
        <v>0.4</v>
      </c>
      <c r="K22" s="22">
        <v>70.37</v>
      </c>
      <c r="L22" s="22">
        <v>17.3</v>
      </c>
    </row>
    <row r="23" spans="1:12" ht="20.100000000000001" customHeight="1" x14ac:dyDescent="0.25">
      <c r="A23" s="16"/>
      <c r="D23" s="22" t="s">
        <v>1265</v>
      </c>
      <c r="E23" s="22" t="s">
        <v>1267</v>
      </c>
      <c r="F23" s="22">
        <v>38.6</v>
      </c>
      <c r="G23" s="22" t="s">
        <v>1259</v>
      </c>
      <c r="H23" s="22">
        <v>69.900000000000006</v>
      </c>
      <c r="I23" s="22">
        <v>0.1</v>
      </c>
      <c r="J23" s="22">
        <v>0.4</v>
      </c>
      <c r="K23" s="22">
        <v>70.400000000000006</v>
      </c>
      <c r="L23" s="22">
        <v>17.3</v>
      </c>
    </row>
    <row r="24" spans="1:12" ht="20.100000000000001" customHeight="1" x14ac:dyDescent="0.25">
      <c r="D24" s="22" t="s">
        <v>1265</v>
      </c>
      <c r="E24" s="22" t="s">
        <v>1268</v>
      </c>
      <c r="F24" s="22">
        <v>38.6</v>
      </c>
      <c r="G24" s="22" t="s">
        <v>1259</v>
      </c>
      <c r="H24" s="22">
        <v>69.900000000000006</v>
      </c>
      <c r="I24" s="22">
        <v>0.2</v>
      </c>
      <c r="J24" s="22">
        <v>0.4</v>
      </c>
      <c r="K24" s="22">
        <v>70.5</v>
      </c>
      <c r="L24" s="22">
        <v>17.3</v>
      </c>
    </row>
    <row r="25" spans="1:12" ht="20.100000000000001" customHeight="1" x14ac:dyDescent="0.25">
      <c r="D25" s="22" t="s">
        <v>1265</v>
      </c>
      <c r="E25" s="22" t="s">
        <v>113</v>
      </c>
      <c r="F25" s="22">
        <v>38.6</v>
      </c>
      <c r="G25" s="22" t="s">
        <v>1259</v>
      </c>
      <c r="H25" s="22">
        <v>0</v>
      </c>
      <c r="I25" s="22">
        <v>7.0000000000000007E-2</v>
      </c>
      <c r="J25" s="22">
        <v>0.4</v>
      </c>
      <c r="K25" s="22">
        <v>0.47</v>
      </c>
      <c r="L25" s="22" t="s">
        <v>1261</v>
      </c>
    </row>
    <row r="26" spans="1:12" ht="20.100000000000001" customHeight="1" x14ac:dyDescent="0.25">
      <c r="D26" s="22" t="s">
        <v>1265</v>
      </c>
      <c r="E26" s="22" t="s">
        <v>114</v>
      </c>
      <c r="F26" s="22">
        <v>38.6</v>
      </c>
      <c r="G26" s="22" t="s">
        <v>1259</v>
      </c>
      <c r="H26" s="22">
        <v>0</v>
      </c>
      <c r="I26" s="22">
        <v>0.1</v>
      </c>
      <c r="J26" s="22">
        <v>0.4</v>
      </c>
      <c r="K26" s="22">
        <v>0.5</v>
      </c>
      <c r="L26" s="22" t="s">
        <v>1261</v>
      </c>
    </row>
    <row r="27" spans="1:12" ht="20.100000000000001" customHeight="1" x14ac:dyDescent="0.25">
      <c r="D27" s="22" t="s">
        <v>1265</v>
      </c>
      <c r="E27" s="22" t="s">
        <v>115</v>
      </c>
      <c r="F27" s="22">
        <v>38.6</v>
      </c>
      <c r="G27" s="22" t="s">
        <v>1259</v>
      </c>
      <c r="H27" s="22">
        <v>0</v>
      </c>
      <c r="I27" s="22">
        <v>0.2</v>
      </c>
      <c r="J27" s="22">
        <v>0.4</v>
      </c>
      <c r="K27" s="22">
        <v>0.6</v>
      </c>
      <c r="L27" s="22" t="s">
        <v>1261</v>
      </c>
    </row>
    <row r="28" spans="1:12" ht="20.100000000000001" customHeight="1" x14ac:dyDescent="0.25">
      <c r="D28" s="22" t="s">
        <v>90</v>
      </c>
      <c r="E28" s="22" t="s">
        <v>1269</v>
      </c>
      <c r="F28" s="22">
        <v>33.1</v>
      </c>
      <c r="G28" s="22" t="s">
        <v>1259</v>
      </c>
      <c r="H28" s="22">
        <v>67</v>
      </c>
      <c r="I28" s="22">
        <v>0.06</v>
      </c>
      <c r="J28" s="22">
        <v>0.6</v>
      </c>
      <c r="K28" s="22">
        <v>67.66</v>
      </c>
      <c r="L28" s="22">
        <v>18</v>
      </c>
    </row>
    <row r="29" spans="1:12" ht="20.100000000000001" customHeight="1" x14ac:dyDescent="0.25">
      <c r="D29" s="22" t="s">
        <v>90</v>
      </c>
      <c r="E29" s="22" t="s">
        <v>1270</v>
      </c>
      <c r="F29" s="22">
        <v>36.799999999999997</v>
      </c>
      <c r="G29" s="22" t="s">
        <v>1259</v>
      </c>
      <c r="H29" s="22">
        <v>69.599999999999994</v>
      </c>
      <c r="I29" s="22">
        <v>0.01</v>
      </c>
      <c r="J29" s="22">
        <v>0.6</v>
      </c>
      <c r="K29" s="22">
        <v>70.209999999999994</v>
      </c>
      <c r="L29" s="22">
        <v>18</v>
      </c>
    </row>
    <row r="30" spans="1:12" ht="20.100000000000001" customHeight="1" x14ac:dyDescent="0.25">
      <c r="D30" s="22" t="s">
        <v>90</v>
      </c>
      <c r="E30" s="22" t="s">
        <v>108</v>
      </c>
      <c r="F30" s="22">
        <v>36.799999999999997</v>
      </c>
      <c r="G30" s="22" t="s">
        <v>1259</v>
      </c>
      <c r="H30" s="22">
        <v>0</v>
      </c>
      <c r="I30" s="22">
        <v>0.01</v>
      </c>
      <c r="J30" s="22">
        <v>0.6</v>
      </c>
      <c r="K30" s="22">
        <v>0.61</v>
      </c>
      <c r="L30" s="22" t="s">
        <v>1261</v>
      </c>
    </row>
    <row r="31" spans="1:12" ht="20.100000000000001" customHeight="1" x14ac:dyDescent="0.25">
      <c r="D31" s="22" t="s">
        <v>93</v>
      </c>
      <c r="E31" s="22" t="s">
        <v>1258</v>
      </c>
      <c r="F31" s="22">
        <v>34.200000000000003</v>
      </c>
      <c r="G31" s="22" t="s">
        <v>99</v>
      </c>
      <c r="H31" s="22">
        <v>67.400000000000006</v>
      </c>
      <c r="I31" s="22">
        <v>10.1</v>
      </c>
      <c r="J31" s="22">
        <v>0.3</v>
      </c>
      <c r="K31" s="22"/>
      <c r="L31" s="22">
        <v>17.2</v>
      </c>
    </row>
    <row r="32" spans="1:12" ht="20.100000000000001" customHeight="1" x14ac:dyDescent="0.25">
      <c r="D32" s="25" t="s">
        <v>93</v>
      </c>
      <c r="E32" s="25" t="s">
        <v>1260</v>
      </c>
      <c r="F32" s="25">
        <v>38.6</v>
      </c>
      <c r="G32" s="25" t="s">
        <v>99</v>
      </c>
      <c r="H32" s="25">
        <v>69.900000000000006</v>
      </c>
      <c r="I32" s="25">
        <v>0.2</v>
      </c>
      <c r="J32" s="25">
        <v>0.5</v>
      </c>
      <c r="K32" s="25"/>
      <c r="L32" s="25">
        <v>17.3</v>
      </c>
    </row>
    <row r="33" spans="4:12" ht="20.100000000000001" customHeight="1" x14ac:dyDescent="0.25">
      <c r="D33" s="25" t="s">
        <v>93</v>
      </c>
      <c r="E33" s="25" t="s">
        <v>1271</v>
      </c>
      <c r="F33" s="25">
        <v>39.700000000000003</v>
      </c>
      <c r="G33" s="25" t="s">
        <v>99</v>
      </c>
      <c r="H33" s="25">
        <v>73.599999999999994</v>
      </c>
      <c r="I33" s="25">
        <v>0.2</v>
      </c>
      <c r="J33" s="25">
        <v>0.5</v>
      </c>
      <c r="K33" s="25"/>
      <c r="L33" s="25">
        <v>18</v>
      </c>
    </row>
    <row r="34" spans="4:12" ht="20.100000000000001" customHeight="1" x14ac:dyDescent="0.25">
      <c r="D34" s="25" t="s">
        <v>92</v>
      </c>
      <c r="E34" s="25" t="s">
        <v>1260</v>
      </c>
      <c r="F34" s="25">
        <v>38.6</v>
      </c>
      <c r="G34" s="25" t="s">
        <v>99</v>
      </c>
      <c r="H34" s="25">
        <v>69.900000000000006</v>
      </c>
      <c r="I34" s="25">
        <v>0.3</v>
      </c>
      <c r="J34" s="25">
        <v>0.5</v>
      </c>
      <c r="K34" s="25"/>
      <c r="L34" s="25">
        <v>17.3</v>
      </c>
    </row>
    <row r="35" spans="4:12" ht="20.100000000000001" customHeight="1" x14ac:dyDescent="0.25"/>
    <row r="36" spans="4:12" ht="20.100000000000001" customHeight="1" x14ac:dyDescent="0.25"/>
    <row r="37" spans="4:12" ht="20.100000000000001" customHeight="1" x14ac:dyDescent="0.25">
      <c r="D37" s="9" t="s">
        <v>1272</v>
      </c>
    </row>
    <row r="38" spans="4:12" ht="20.100000000000001" customHeight="1" x14ac:dyDescent="0.25">
      <c r="D38" s="11" t="s">
        <v>1273</v>
      </c>
    </row>
    <row r="39" spans="4:12" ht="20.100000000000001" customHeight="1" x14ac:dyDescent="0.25">
      <c r="D39" s="10" t="s">
        <v>79</v>
      </c>
      <c r="E39" s="10" t="s">
        <v>80</v>
      </c>
      <c r="F39" s="10" t="s">
        <v>81</v>
      </c>
      <c r="G39" s="10" t="s">
        <v>82</v>
      </c>
      <c r="H39" s="10" t="s">
        <v>83</v>
      </c>
      <c r="I39" s="10" t="s">
        <v>84</v>
      </c>
      <c r="J39" s="10" t="s">
        <v>85</v>
      </c>
    </row>
    <row r="40" spans="4:12" ht="20.100000000000001" customHeight="1" x14ac:dyDescent="0.25">
      <c r="D40" s="10" t="s">
        <v>1274</v>
      </c>
      <c r="E40" s="10" t="s">
        <v>98</v>
      </c>
      <c r="F40" s="10">
        <v>34.200000000000003</v>
      </c>
      <c r="G40" s="10">
        <v>67.400000000000006</v>
      </c>
      <c r="H40" s="10">
        <v>10.1</v>
      </c>
      <c r="I40" s="10">
        <v>0.3</v>
      </c>
      <c r="J40" s="10">
        <v>17.2</v>
      </c>
    </row>
    <row r="41" spans="4:12" ht="20.100000000000001" customHeight="1" x14ac:dyDescent="0.25">
      <c r="D41" s="8" t="s">
        <v>1274</v>
      </c>
      <c r="E41" s="10" t="s">
        <v>100</v>
      </c>
      <c r="F41" s="10">
        <v>38.6</v>
      </c>
      <c r="G41" s="10">
        <v>69.900000000000006</v>
      </c>
      <c r="H41" s="10">
        <v>0.2</v>
      </c>
      <c r="I41" s="10">
        <v>0.5</v>
      </c>
      <c r="J41" s="10">
        <v>17.3</v>
      </c>
    </row>
    <row r="42" spans="4:12" ht="20.100000000000001" customHeight="1" x14ac:dyDescent="0.25">
      <c r="D42" s="8" t="s">
        <v>1274</v>
      </c>
      <c r="E42" s="10" t="s">
        <v>1271</v>
      </c>
      <c r="F42" s="10">
        <v>39.700000000000003</v>
      </c>
      <c r="G42" s="10">
        <v>73.599999999999994</v>
      </c>
      <c r="H42" s="10">
        <v>0.2</v>
      </c>
      <c r="I42" s="10">
        <v>0.5</v>
      </c>
      <c r="J42" s="10">
        <v>18</v>
      </c>
    </row>
    <row r="43" spans="4:12" ht="20.100000000000001" customHeight="1" x14ac:dyDescent="0.25">
      <c r="D43" s="8" t="s">
        <v>92</v>
      </c>
      <c r="E43" s="10" t="s">
        <v>100</v>
      </c>
      <c r="F43" s="10">
        <v>38.6</v>
      </c>
      <c r="G43" s="10">
        <v>69.900000000000006</v>
      </c>
      <c r="H43" s="10">
        <v>0.3</v>
      </c>
      <c r="I43" s="10">
        <v>0.5</v>
      </c>
      <c r="J43" s="10">
        <v>17.3</v>
      </c>
    </row>
    <row r="44" spans="4:12" ht="20.100000000000001" customHeight="1" x14ac:dyDescent="0.25"/>
    <row r="45" spans="4:12" ht="20.100000000000001" customHeight="1" x14ac:dyDescent="0.25"/>
    <row r="46" spans="4:12" ht="20.100000000000001" customHeight="1" x14ac:dyDescent="0.25"/>
    <row r="47" spans="4:12" ht="20.100000000000001" customHeight="1" x14ac:dyDescent="0.25"/>
    <row r="48" spans="4:12" ht="20.100000000000001" customHeight="1" x14ac:dyDescent="0.25"/>
    <row r="49" spans="4:12" ht="20.100000000000001" customHeight="1" x14ac:dyDescent="0.25">
      <c r="D49" s="9" t="s">
        <v>1275</v>
      </c>
      <c r="E49" s="17"/>
      <c r="F49" s="17"/>
      <c r="G49" s="17"/>
      <c r="H49" s="17"/>
      <c r="I49" s="17"/>
      <c r="J49" s="17"/>
      <c r="K49" s="17"/>
      <c r="L49" s="17"/>
    </row>
    <row r="50" spans="4:12" ht="20.100000000000001" customHeight="1" x14ac:dyDescent="0.25">
      <c r="D50" s="8" t="s">
        <v>1276</v>
      </c>
      <c r="E50" s="17"/>
      <c r="F50" s="17"/>
      <c r="G50" s="17"/>
      <c r="H50" s="17"/>
      <c r="I50" s="17"/>
      <c r="J50" s="17"/>
      <c r="K50" s="17"/>
      <c r="L50" s="17"/>
    </row>
    <row r="51" spans="4:12" ht="20.100000000000001" customHeight="1" x14ac:dyDescent="0.25">
      <c r="D51" s="11" t="s">
        <v>1277</v>
      </c>
      <c r="E51" s="17"/>
      <c r="F51" s="17"/>
      <c r="G51" s="17"/>
      <c r="H51" s="17"/>
      <c r="I51" s="17"/>
      <c r="J51" s="17"/>
      <c r="K51" s="17"/>
      <c r="L51" s="17"/>
    </row>
    <row r="52" spans="4:12" ht="20.100000000000001" customHeight="1" x14ac:dyDescent="0.25">
      <c r="D52" s="12" t="str" cm="1">
        <f t="array" ref="D52">"⚠️" &amp; Fuel_SourceData.Fuel_Scope1Scope3EmissionFactorsStationaryLiquid_Variation()</f>
        <v>⚠️VARIATION OF SOURCE DATA: 'NE' values returned as zero for calculations.</v>
      </c>
      <c r="E52" s="17"/>
      <c r="F52" s="17"/>
      <c r="G52" s="17"/>
      <c r="H52" s="17"/>
      <c r="I52" s="17"/>
      <c r="J52" s="17"/>
      <c r="K52" s="17"/>
      <c r="L52" s="17"/>
    </row>
    <row r="53" spans="4:12" ht="20.100000000000001" customHeight="1" x14ac:dyDescent="0.25">
      <c r="D53" s="26" t="s">
        <v>69</v>
      </c>
      <c r="E53" s="20" t="s">
        <v>70</v>
      </c>
      <c r="F53" s="26" t="s">
        <v>71</v>
      </c>
      <c r="G53" s="20" t="s">
        <v>72</v>
      </c>
      <c r="H53" s="20" t="s">
        <v>73</v>
      </c>
      <c r="I53" s="20" t="s">
        <v>74</v>
      </c>
      <c r="J53" s="20" t="s">
        <v>75</v>
      </c>
      <c r="K53" s="20" t="s">
        <v>76</v>
      </c>
      <c r="L53" s="17"/>
    </row>
    <row r="54" spans="4:12" ht="20.100000000000001" customHeight="1" x14ac:dyDescent="0.25">
      <c r="D54" s="27" t="s">
        <v>1278</v>
      </c>
      <c r="E54" s="27">
        <v>38.799999999999997</v>
      </c>
      <c r="F54" s="27" t="s">
        <v>1259</v>
      </c>
      <c r="G54" s="27">
        <v>13.9</v>
      </c>
      <c r="H54" s="27">
        <v>0</v>
      </c>
      <c r="I54" s="27">
        <v>0</v>
      </c>
      <c r="J54" s="27">
        <v>13.9</v>
      </c>
      <c r="K54" s="27">
        <v>18</v>
      </c>
      <c r="L54" s="17"/>
    </row>
    <row r="55" spans="4:12" ht="20.100000000000001" customHeight="1" x14ac:dyDescent="0.25">
      <c r="D55" s="27" t="s">
        <v>1279</v>
      </c>
      <c r="E55" s="27">
        <v>38.799999999999997</v>
      </c>
      <c r="F55" s="27" t="s">
        <v>1259</v>
      </c>
      <c r="G55" s="27">
        <v>3.5</v>
      </c>
      <c r="H55" s="27">
        <v>0</v>
      </c>
      <c r="I55" s="27">
        <v>0</v>
      </c>
      <c r="J55" s="27">
        <v>3.5</v>
      </c>
      <c r="K55" s="27">
        <v>18</v>
      </c>
      <c r="L55" s="17"/>
    </row>
    <row r="56" spans="4:12" ht="20.100000000000001" customHeight="1" x14ac:dyDescent="0.25">
      <c r="D56" s="27" t="s">
        <v>1280</v>
      </c>
      <c r="E56" s="27">
        <v>45.3</v>
      </c>
      <c r="F56" s="27" t="s">
        <v>886</v>
      </c>
      <c r="G56" s="27">
        <v>69.599999999999994</v>
      </c>
      <c r="H56" s="27">
        <v>0.08</v>
      </c>
      <c r="I56" s="27">
        <v>0.2</v>
      </c>
      <c r="J56" s="27">
        <v>69.88</v>
      </c>
      <c r="K56" s="27" t="s">
        <v>1261</v>
      </c>
      <c r="L56" s="17"/>
    </row>
    <row r="57" spans="4:12" ht="20.100000000000001" customHeight="1" x14ac:dyDescent="0.25">
      <c r="D57" s="27" t="s">
        <v>1281</v>
      </c>
      <c r="E57" s="27">
        <v>46.5</v>
      </c>
      <c r="F57" s="27" t="s">
        <v>886</v>
      </c>
      <c r="G57" s="27">
        <v>61</v>
      </c>
      <c r="H57" s="27">
        <v>0.08</v>
      </c>
      <c r="I57" s="27">
        <v>0.2</v>
      </c>
      <c r="J57" s="27">
        <v>61.28</v>
      </c>
      <c r="K57" s="27" t="s">
        <v>1261</v>
      </c>
      <c r="L57" s="17"/>
    </row>
    <row r="58" spans="4:12" ht="20.100000000000001" customHeight="1" x14ac:dyDescent="0.25">
      <c r="D58" s="27" t="s">
        <v>1282</v>
      </c>
      <c r="E58" s="27">
        <v>34.200000000000003</v>
      </c>
      <c r="F58" s="27" t="s">
        <v>99</v>
      </c>
      <c r="G58" s="27">
        <v>67.400000000000006</v>
      </c>
      <c r="H58" s="27">
        <v>0.2</v>
      </c>
      <c r="I58" s="27">
        <v>0.2</v>
      </c>
      <c r="J58" s="27">
        <v>67.8</v>
      </c>
      <c r="K58" s="27">
        <v>17.2</v>
      </c>
      <c r="L58" s="17"/>
    </row>
    <row r="59" spans="4:12" ht="20.100000000000001" customHeight="1" x14ac:dyDescent="0.25">
      <c r="D59" s="27" t="s">
        <v>1283</v>
      </c>
      <c r="E59" s="27">
        <v>33.1</v>
      </c>
      <c r="F59" s="27" t="s">
        <v>99</v>
      </c>
      <c r="G59" s="27">
        <v>67</v>
      </c>
      <c r="H59" s="27">
        <v>0.2</v>
      </c>
      <c r="I59" s="27">
        <v>0.2</v>
      </c>
      <c r="J59" s="27">
        <v>67.400000000000006</v>
      </c>
      <c r="K59" s="27">
        <v>18</v>
      </c>
      <c r="L59" s="17"/>
    </row>
    <row r="60" spans="4:12" ht="20.100000000000001" customHeight="1" x14ac:dyDescent="0.25">
      <c r="D60" s="27" t="s">
        <v>1284</v>
      </c>
      <c r="E60" s="27">
        <v>37.5</v>
      </c>
      <c r="F60" s="27" t="s">
        <v>99</v>
      </c>
      <c r="G60" s="27">
        <v>68.900000000000006</v>
      </c>
      <c r="H60" s="27">
        <v>0.01</v>
      </c>
      <c r="I60" s="27">
        <v>0.2</v>
      </c>
      <c r="J60" s="27">
        <v>69.11</v>
      </c>
      <c r="K60" s="27">
        <v>18</v>
      </c>
      <c r="L60" s="17"/>
    </row>
    <row r="61" spans="4:12" ht="20.100000000000001" customHeight="1" x14ac:dyDescent="0.25">
      <c r="D61" s="27" t="s">
        <v>1285</v>
      </c>
      <c r="E61" s="27">
        <v>36.799999999999997</v>
      </c>
      <c r="F61" s="27" t="s">
        <v>99</v>
      </c>
      <c r="G61" s="27">
        <v>69.599999999999994</v>
      </c>
      <c r="H61" s="27">
        <v>0.02</v>
      </c>
      <c r="I61" s="27">
        <v>0.2</v>
      </c>
      <c r="J61" s="27">
        <v>69.819999999999993</v>
      </c>
      <c r="K61" s="27">
        <v>18</v>
      </c>
      <c r="L61" s="17"/>
    </row>
    <row r="62" spans="4:12" ht="20.100000000000001" customHeight="1" x14ac:dyDescent="0.25">
      <c r="D62" s="27" t="s">
        <v>1286</v>
      </c>
      <c r="E62" s="27">
        <v>37.299999999999997</v>
      </c>
      <c r="F62" s="27" t="s">
        <v>99</v>
      </c>
      <c r="G62" s="27">
        <v>69.5</v>
      </c>
      <c r="H62" s="27">
        <v>0.03</v>
      </c>
      <c r="I62" s="27">
        <v>0.2</v>
      </c>
      <c r="J62" s="27">
        <v>69.73</v>
      </c>
      <c r="K62" s="27">
        <v>18</v>
      </c>
      <c r="L62" s="17"/>
    </row>
    <row r="63" spans="4:12" ht="20.100000000000001" customHeight="1" x14ac:dyDescent="0.25">
      <c r="D63" s="27" t="s">
        <v>1260</v>
      </c>
      <c r="E63" s="27">
        <v>38.6</v>
      </c>
      <c r="F63" s="27" t="s">
        <v>99</v>
      </c>
      <c r="G63" s="27">
        <v>69.900000000000006</v>
      </c>
      <c r="H63" s="27">
        <v>0.1</v>
      </c>
      <c r="I63" s="27">
        <v>0.2</v>
      </c>
      <c r="J63" s="27">
        <v>70.2</v>
      </c>
      <c r="K63" s="27">
        <v>17.3</v>
      </c>
      <c r="L63" s="17"/>
    </row>
    <row r="64" spans="4:12" ht="20.100000000000001" customHeight="1" x14ac:dyDescent="0.25">
      <c r="D64" s="27" t="s">
        <v>95</v>
      </c>
      <c r="E64" s="27">
        <v>39.700000000000003</v>
      </c>
      <c r="F64" s="27" t="s">
        <v>99</v>
      </c>
      <c r="G64" s="27">
        <v>73.599999999999994</v>
      </c>
      <c r="H64" s="27">
        <v>0.04</v>
      </c>
      <c r="I64" s="27">
        <v>0.2</v>
      </c>
      <c r="J64" s="27">
        <v>73.84</v>
      </c>
      <c r="K64" s="27">
        <v>18</v>
      </c>
      <c r="L64" s="17"/>
    </row>
    <row r="65" spans="4:13" ht="20.100000000000001" customHeight="1" x14ac:dyDescent="0.25">
      <c r="D65" s="27" t="s">
        <v>1287</v>
      </c>
      <c r="E65" s="27">
        <v>34.4</v>
      </c>
      <c r="F65" s="27" t="s">
        <v>99</v>
      </c>
      <c r="G65" s="27">
        <v>69.7</v>
      </c>
      <c r="H65" s="27">
        <v>0.03</v>
      </c>
      <c r="I65" s="27">
        <v>0.2</v>
      </c>
      <c r="J65" s="27">
        <v>69.930000000000007</v>
      </c>
      <c r="K65" s="27">
        <v>18</v>
      </c>
      <c r="L65" s="17"/>
    </row>
    <row r="66" spans="4:13" ht="20.100000000000001" customHeight="1" x14ac:dyDescent="0.25">
      <c r="D66" s="27" t="s">
        <v>1288</v>
      </c>
      <c r="E66" s="27">
        <v>34.4</v>
      </c>
      <c r="F66" s="27" t="s">
        <v>99</v>
      </c>
      <c r="G66" s="27">
        <v>69.7</v>
      </c>
      <c r="H66" s="27">
        <v>0.03</v>
      </c>
      <c r="I66" s="27">
        <v>0.2</v>
      </c>
      <c r="J66" s="27">
        <v>69.930000000000007</v>
      </c>
      <c r="K66" s="27">
        <v>18</v>
      </c>
      <c r="L66" s="17"/>
    </row>
    <row r="67" spans="4:13" ht="20.100000000000001" customHeight="1" x14ac:dyDescent="0.25">
      <c r="D67" s="27" t="s">
        <v>101</v>
      </c>
      <c r="E67" s="27">
        <v>25.7</v>
      </c>
      <c r="F67" s="27" t="s">
        <v>99</v>
      </c>
      <c r="G67" s="27">
        <v>60.2</v>
      </c>
      <c r="H67" s="27">
        <v>0.2</v>
      </c>
      <c r="I67" s="27">
        <v>0.2</v>
      </c>
      <c r="J67" s="27">
        <v>60.6</v>
      </c>
      <c r="K67" s="27">
        <v>20.2</v>
      </c>
      <c r="L67" s="17"/>
    </row>
    <row r="68" spans="4:13" ht="20.100000000000001" customHeight="1" x14ac:dyDescent="0.25">
      <c r="D68" s="27" t="s">
        <v>1289</v>
      </c>
      <c r="E68" s="27">
        <v>31.4</v>
      </c>
      <c r="F68" s="27" t="s">
        <v>99</v>
      </c>
      <c r="G68" s="27">
        <v>69.8</v>
      </c>
      <c r="H68" s="27">
        <v>0.01</v>
      </c>
      <c r="I68" s="27">
        <v>0.01</v>
      </c>
      <c r="J68" s="27">
        <v>69.819999999999993</v>
      </c>
      <c r="K68" s="27">
        <v>18</v>
      </c>
      <c r="L68" s="17"/>
    </row>
    <row r="69" spans="4:13" ht="20.100000000000001" customHeight="1" x14ac:dyDescent="0.25">
      <c r="D69" s="27" t="s">
        <v>1290</v>
      </c>
      <c r="E69" s="27">
        <v>34.200000000000003</v>
      </c>
      <c r="F69" s="27" t="s">
        <v>886</v>
      </c>
      <c r="G69" s="27">
        <v>92.6</v>
      </c>
      <c r="H69" s="27">
        <v>0.08</v>
      </c>
      <c r="I69" s="27">
        <v>0.2</v>
      </c>
      <c r="J69" s="27">
        <v>92.88</v>
      </c>
      <c r="K69" s="27">
        <v>18</v>
      </c>
      <c r="L69" s="17"/>
    </row>
    <row r="70" spans="4:13" ht="20.100000000000001" customHeight="1" x14ac:dyDescent="0.25">
      <c r="D70" s="27" t="s">
        <v>1291</v>
      </c>
      <c r="E70" s="27">
        <v>42.9</v>
      </c>
      <c r="F70" s="27" t="s">
        <v>886</v>
      </c>
      <c r="G70" s="27">
        <v>54.7</v>
      </c>
      <c r="H70" s="27">
        <v>0.03</v>
      </c>
      <c r="I70" s="27">
        <v>0.03</v>
      </c>
      <c r="J70" s="27">
        <v>54.76</v>
      </c>
      <c r="K70" s="27">
        <v>18</v>
      </c>
      <c r="L70" s="17"/>
    </row>
    <row r="71" spans="4:13" ht="20.100000000000001" customHeight="1" x14ac:dyDescent="0.25">
      <c r="D71" s="27" t="s">
        <v>1292</v>
      </c>
      <c r="E71" s="27">
        <v>34.200000000000003</v>
      </c>
      <c r="F71" s="27" t="s">
        <v>886</v>
      </c>
      <c r="G71" s="27">
        <v>92.6</v>
      </c>
      <c r="H71" s="27">
        <v>0.08</v>
      </c>
      <c r="I71" s="27">
        <v>0.2</v>
      </c>
      <c r="J71" s="27">
        <v>92.88</v>
      </c>
      <c r="K71" s="27">
        <v>18</v>
      </c>
      <c r="L71" s="17"/>
    </row>
    <row r="72" spans="4:13" ht="20.100000000000001" customHeight="1" x14ac:dyDescent="0.25">
      <c r="D72" s="27" t="s">
        <v>1293</v>
      </c>
      <c r="E72" s="27">
        <v>34.4</v>
      </c>
      <c r="F72" s="27" t="s">
        <v>99</v>
      </c>
      <c r="G72" s="27">
        <v>69.8</v>
      </c>
      <c r="H72" s="27">
        <v>0.02</v>
      </c>
      <c r="I72" s="27">
        <v>0.1</v>
      </c>
      <c r="J72" s="27">
        <v>69.92</v>
      </c>
      <c r="K72" s="27">
        <v>18</v>
      </c>
      <c r="L72" s="17"/>
    </row>
    <row r="73" spans="4:13" ht="20.100000000000001" customHeight="1" x14ac:dyDescent="0.25">
      <c r="D73" s="27" t="s">
        <v>102</v>
      </c>
      <c r="E73" s="27">
        <v>34.6</v>
      </c>
      <c r="F73" s="27" t="s">
        <v>99</v>
      </c>
      <c r="G73" s="27">
        <v>0</v>
      </c>
      <c r="H73" s="27">
        <v>0.08</v>
      </c>
      <c r="I73" s="27">
        <v>0.2</v>
      </c>
      <c r="J73" s="27">
        <v>0.28000000000000003</v>
      </c>
      <c r="K73" s="27" t="s">
        <v>1261</v>
      </c>
      <c r="L73" s="17"/>
    </row>
    <row r="74" spans="4:13" ht="20.100000000000001" customHeight="1" x14ac:dyDescent="0.25">
      <c r="D74" s="27" t="s">
        <v>1294</v>
      </c>
      <c r="E74" s="27">
        <v>23.4</v>
      </c>
      <c r="F74" s="27" t="s">
        <v>99</v>
      </c>
      <c r="G74" s="27">
        <v>0</v>
      </c>
      <c r="H74" s="27">
        <v>0.08</v>
      </c>
      <c r="I74" s="27">
        <v>0.2</v>
      </c>
      <c r="J74" s="27">
        <v>0.28000000000000003</v>
      </c>
      <c r="K74" s="27" t="s">
        <v>1261</v>
      </c>
      <c r="L74" s="17"/>
    </row>
    <row r="75" spans="4:13" ht="20.100000000000001" customHeight="1" x14ac:dyDescent="0.25">
      <c r="D75" s="27" t="s">
        <v>1295</v>
      </c>
      <c r="E75" s="27">
        <v>23.4</v>
      </c>
      <c r="F75" s="27" t="s">
        <v>99</v>
      </c>
      <c r="G75" s="27">
        <v>0</v>
      </c>
      <c r="H75" s="27">
        <v>0.08</v>
      </c>
      <c r="I75" s="27">
        <v>0.2</v>
      </c>
      <c r="J75" s="27">
        <v>0.28000000000000003</v>
      </c>
      <c r="K75" s="27" t="s">
        <v>1261</v>
      </c>
      <c r="L75" s="17"/>
    </row>
    <row r="76" spans="4:13" ht="20.100000000000001" customHeight="1" x14ac:dyDescent="0.25">
      <c r="D76" s="27" t="s">
        <v>108</v>
      </c>
      <c r="E76" s="27">
        <v>36.799999999999997</v>
      </c>
      <c r="F76" s="27" t="s">
        <v>99</v>
      </c>
      <c r="G76" s="27">
        <v>0</v>
      </c>
      <c r="H76" s="27">
        <v>0.02</v>
      </c>
      <c r="I76" s="27">
        <v>0.2</v>
      </c>
      <c r="J76" s="27">
        <v>0.22</v>
      </c>
      <c r="K76" s="27" t="s">
        <v>1261</v>
      </c>
      <c r="L76" s="17"/>
    </row>
    <row r="77" spans="4:13" ht="20.100000000000001" customHeight="1" x14ac:dyDescent="0.25">
      <c r="D77" s="27" t="s">
        <v>105</v>
      </c>
      <c r="E77" s="27">
        <v>38.6</v>
      </c>
      <c r="F77" s="27" t="s">
        <v>99</v>
      </c>
      <c r="G77" s="27">
        <v>0</v>
      </c>
      <c r="H77" s="27">
        <v>0.1</v>
      </c>
      <c r="I77" s="27">
        <v>0.2</v>
      </c>
      <c r="J77" s="27">
        <v>0.3</v>
      </c>
      <c r="K77" s="27" t="s">
        <v>1261</v>
      </c>
      <c r="L77" s="17"/>
    </row>
    <row r="78" spans="4:13" ht="20.100000000000001" customHeight="1" x14ac:dyDescent="0.25">
      <c r="D78" s="17"/>
      <c r="E78" s="17"/>
      <c r="F78" s="17"/>
      <c r="G78" s="17"/>
      <c r="H78" s="17"/>
      <c r="I78" s="17"/>
      <c r="J78" s="17"/>
      <c r="K78" s="17"/>
      <c r="L78" s="17"/>
    </row>
    <row r="79" spans="4:13" ht="20.100000000000001" customHeight="1" x14ac:dyDescent="0.25">
      <c r="D79" s="17"/>
      <c r="E79" s="17"/>
      <c r="F79" s="17"/>
      <c r="G79" s="17"/>
      <c r="H79" s="17"/>
      <c r="I79" s="17"/>
      <c r="J79" s="17"/>
      <c r="K79" s="17"/>
      <c r="L79" s="17"/>
      <c r="M79" s="17"/>
    </row>
    <row r="80" spans="4:13" ht="20.100000000000001" customHeight="1" x14ac:dyDescent="0.25">
      <c r="D80" s="17"/>
      <c r="E80" s="17"/>
      <c r="F80" s="17"/>
      <c r="G80" s="17"/>
      <c r="H80" s="17"/>
      <c r="I80" s="17"/>
      <c r="J80" s="17"/>
      <c r="K80" s="17"/>
      <c r="L80" s="17"/>
      <c r="M80" s="17"/>
    </row>
    <row r="81" spans="4:12" ht="20.100000000000001" customHeight="1" x14ac:dyDescent="0.25">
      <c r="D81" s="9" t="s">
        <v>1296</v>
      </c>
      <c r="E81" s="17"/>
      <c r="F81" s="17"/>
      <c r="G81" s="17"/>
      <c r="H81" s="17"/>
      <c r="I81" s="17"/>
      <c r="J81" s="17"/>
      <c r="K81" s="17"/>
      <c r="L81" s="17"/>
    </row>
    <row r="82" spans="4:12" ht="20.100000000000001" customHeight="1" x14ac:dyDescent="0.25">
      <c r="D82" s="8" t="s">
        <v>1297</v>
      </c>
      <c r="E82" s="17"/>
      <c r="F82" s="17"/>
      <c r="G82" s="17"/>
      <c r="H82" s="17"/>
      <c r="I82" s="17"/>
      <c r="J82" s="17"/>
      <c r="K82" s="17"/>
      <c r="L82" s="17"/>
    </row>
    <row r="83" spans="4:12" ht="20.100000000000001" customHeight="1" x14ac:dyDescent="0.25">
      <c r="D83" s="11" t="s">
        <v>1298</v>
      </c>
      <c r="E83" s="17"/>
      <c r="F83" s="17"/>
      <c r="G83" s="17"/>
      <c r="H83" s="17"/>
      <c r="I83" s="17"/>
      <c r="J83" s="17"/>
      <c r="K83" s="17"/>
      <c r="L83" s="17"/>
    </row>
    <row r="84" spans="4:12" ht="20.100000000000001" customHeight="1" x14ac:dyDescent="0.25">
      <c r="D84" s="12" t="str" cm="1">
        <f t="array" ref="D84">"⚠️" &amp; Fuel_SourceData.Fuel_Scope1EmissionFactorsStationaryGaseous_Variation()</f>
        <v>⚠️VARIATION OF SOURCE DATA: 'Natural gas distributed in a pipeline - Gigajoules' and 'Town gas - Gigajoules' were added, each with an energy content factor of 1 GJ per unit of fuel. This is for users who have fuel consumption data in GJ rather than m3.</v>
      </c>
      <c r="E84" s="17"/>
      <c r="F84" s="17"/>
      <c r="G84" s="17"/>
      <c r="H84" s="17"/>
      <c r="I84" s="17"/>
      <c r="J84" s="17"/>
      <c r="K84" s="17"/>
      <c r="L84" s="17"/>
    </row>
    <row r="85" spans="4:12" ht="20.100000000000001" customHeight="1" x14ac:dyDescent="0.25">
      <c r="D85" s="17"/>
      <c r="E85" s="17"/>
      <c r="F85" s="17"/>
      <c r="G85" s="17"/>
      <c r="H85" s="17"/>
      <c r="I85" s="17"/>
      <c r="J85" s="17"/>
      <c r="K85" s="17"/>
      <c r="L85" s="17"/>
    </row>
    <row r="86" spans="4:12" ht="20.100000000000001" customHeight="1" x14ac:dyDescent="0.25">
      <c r="D86" s="26" t="s">
        <v>69</v>
      </c>
      <c r="E86" s="20" t="s">
        <v>70</v>
      </c>
      <c r="F86" s="26" t="s">
        <v>71</v>
      </c>
      <c r="G86" s="20" t="s">
        <v>72</v>
      </c>
      <c r="H86" s="20" t="s">
        <v>73</v>
      </c>
      <c r="I86" s="20" t="s">
        <v>74</v>
      </c>
      <c r="J86" s="20" t="s">
        <v>75</v>
      </c>
      <c r="K86" s="17"/>
      <c r="L86" s="17"/>
    </row>
    <row r="87" spans="4:12" ht="20.100000000000001" customHeight="1" x14ac:dyDescent="0.25">
      <c r="D87" s="27" t="s">
        <v>1299</v>
      </c>
      <c r="E87" s="27">
        <v>3.9300000000000002E-2</v>
      </c>
      <c r="F87" s="27" t="s">
        <v>711</v>
      </c>
      <c r="G87" s="27">
        <v>51.4</v>
      </c>
      <c r="H87" s="27">
        <v>0.1</v>
      </c>
      <c r="I87" s="27">
        <v>0.03</v>
      </c>
      <c r="J87" s="27">
        <v>51.53</v>
      </c>
      <c r="K87" s="17"/>
      <c r="L87" s="17"/>
    </row>
    <row r="88" spans="4:12" ht="20.100000000000001" customHeight="1" x14ac:dyDescent="0.25">
      <c r="D88" s="27" t="s">
        <v>1300</v>
      </c>
      <c r="E88" s="27">
        <v>3.7699999999999997E-2</v>
      </c>
      <c r="F88" s="27" t="s">
        <v>711</v>
      </c>
      <c r="G88" s="27">
        <v>51.4</v>
      </c>
      <c r="H88" s="27">
        <v>0.2</v>
      </c>
      <c r="I88" s="27">
        <v>0.03</v>
      </c>
      <c r="J88" s="27">
        <v>51.63</v>
      </c>
      <c r="K88" s="17"/>
      <c r="L88" s="17"/>
    </row>
    <row r="89" spans="4:12" ht="20.100000000000001" customHeight="1" x14ac:dyDescent="0.25">
      <c r="D89" s="27" t="s">
        <v>1301</v>
      </c>
      <c r="E89" s="27">
        <v>3.7699999999999997E-2</v>
      </c>
      <c r="F89" s="27" t="s">
        <v>711</v>
      </c>
      <c r="G89" s="27">
        <v>51.9</v>
      </c>
      <c r="H89" s="27">
        <v>4.5999999999999996</v>
      </c>
      <c r="I89" s="27">
        <v>0.3</v>
      </c>
      <c r="J89" s="27">
        <v>56.8</v>
      </c>
      <c r="K89" s="17"/>
      <c r="L89" s="17"/>
    </row>
    <row r="90" spans="4:12" ht="20.100000000000001" customHeight="1" x14ac:dyDescent="0.25">
      <c r="D90" s="27" t="s">
        <v>1302</v>
      </c>
      <c r="E90" s="27">
        <v>3.9300000000000002E-2</v>
      </c>
      <c r="F90" s="27" t="s">
        <v>711</v>
      </c>
      <c r="G90" s="27">
        <v>51.4</v>
      </c>
      <c r="H90" s="27">
        <v>0.1</v>
      </c>
      <c r="I90" s="27">
        <v>0.03</v>
      </c>
      <c r="J90" s="27">
        <v>51.53</v>
      </c>
      <c r="K90" s="17"/>
      <c r="L90" s="17"/>
    </row>
    <row r="91" spans="4:12" ht="20.100000000000001" customHeight="1" x14ac:dyDescent="0.25">
      <c r="D91" s="27" t="s">
        <v>1303</v>
      </c>
      <c r="E91" s="27">
        <v>3.9300000000000002E-2</v>
      </c>
      <c r="F91" s="27" t="s">
        <v>711</v>
      </c>
      <c r="G91" s="27">
        <v>51.4</v>
      </c>
      <c r="H91" s="27">
        <v>0.1</v>
      </c>
      <c r="I91" s="27">
        <v>0.03</v>
      </c>
      <c r="J91" s="27">
        <v>51.53</v>
      </c>
      <c r="K91" s="17"/>
      <c r="L91" s="17"/>
    </row>
    <row r="92" spans="4:12" ht="20.100000000000001" customHeight="1" x14ac:dyDescent="0.25">
      <c r="D92" s="27" t="s">
        <v>1304</v>
      </c>
      <c r="E92" s="27">
        <v>6.2899999999999998E-2</v>
      </c>
      <c r="F92" s="27" t="s">
        <v>711</v>
      </c>
      <c r="G92" s="27">
        <v>56.5</v>
      </c>
      <c r="H92" s="27">
        <v>0.03</v>
      </c>
      <c r="I92" s="27">
        <v>0.03</v>
      </c>
      <c r="J92" s="27">
        <v>56.56</v>
      </c>
      <c r="K92" s="17"/>
      <c r="L92" s="17"/>
    </row>
    <row r="93" spans="4:12" ht="20.100000000000001" customHeight="1" x14ac:dyDescent="0.25">
      <c r="D93" s="27" t="s">
        <v>1305</v>
      </c>
      <c r="E93" s="27">
        <v>1.8100000000000002E-2</v>
      </c>
      <c r="F93" s="27" t="s">
        <v>711</v>
      </c>
      <c r="G93" s="27">
        <v>37</v>
      </c>
      <c r="H93" s="27">
        <v>0.03</v>
      </c>
      <c r="I93" s="27">
        <v>0.05</v>
      </c>
      <c r="J93" s="27">
        <v>37.08</v>
      </c>
      <c r="K93" s="17"/>
      <c r="L93" s="17"/>
    </row>
    <row r="94" spans="4:12" ht="20.100000000000001" customHeight="1" x14ac:dyDescent="0.25">
      <c r="D94" s="27" t="s">
        <v>1306</v>
      </c>
      <c r="E94" s="27">
        <v>4.0000000000000001E-3</v>
      </c>
      <c r="F94" s="27" t="s">
        <v>711</v>
      </c>
      <c r="G94" s="27">
        <v>234</v>
      </c>
      <c r="H94" s="27">
        <v>0.03</v>
      </c>
      <c r="I94" s="27">
        <v>0.02</v>
      </c>
      <c r="J94" s="27">
        <v>234.05</v>
      </c>
      <c r="K94" s="17"/>
      <c r="L94" s="17"/>
    </row>
    <row r="95" spans="4:12" ht="20.100000000000001" customHeight="1" x14ac:dyDescent="0.25">
      <c r="D95" s="27" t="s">
        <v>1307</v>
      </c>
      <c r="E95" s="27">
        <v>3.9E-2</v>
      </c>
      <c r="F95" s="27" t="s">
        <v>711</v>
      </c>
      <c r="G95" s="27">
        <v>60.2</v>
      </c>
      <c r="H95" s="27">
        <v>0.04</v>
      </c>
      <c r="I95" s="27">
        <v>0.03</v>
      </c>
      <c r="J95" s="27">
        <v>60.27</v>
      </c>
      <c r="K95" s="17"/>
      <c r="L95" s="17"/>
    </row>
    <row r="96" spans="4:12" ht="20.100000000000001" customHeight="1" x14ac:dyDescent="0.25">
      <c r="D96" s="27" t="s">
        <v>1264</v>
      </c>
      <c r="E96" s="27">
        <v>25.3</v>
      </c>
      <c r="F96" s="27" t="s">
        <v>99</v>
      </c>
      <c r="G96" s="27">
        <v>51.4</v>
      </c>
      <c r="H96" s="27">
        <v>0.1</v>
      </c>
      <c r="I96" s="27">
        <v>0.03</v>
      </c>
      <c r="J96" s="27">
        <v>51.53</v>
      </c>
      <c r="K96" s="17"/>
      <c r="L96" s="17"/>
    </row>
    <row r="97" spans="4:13" ht="20.100000000000001" customHeight="1" x14ac:dyDescent="0.25">
      <c r="D97" s="27" t="s">
        <v>1308</v>
      </c>
      <c r="E97" s="27">
        <v>3.9E-2</v>
      </c>
      <c r="F97" s="27" t="s">
        <v>711</v>
      </c>
      <c r="G97" s="27">
        <v>51.4</v>
      </c>
      <c r="H97" s="27">
        <v>0.1</v>
      </c>
      <c r="I97" s="27">
        <v>0.03</v>
      </c>
      <c r="J97" s="27">
        <v>51.53</v>
      </c>
      <c r="K97" s="17"/>
      <c r="L97" s="17"/>
    </row>
    <row r="98" spans="4:13" ht="20.100000000000001" customHeight="1" x14ac:dyDescent="0.25">
      <c r="D98" s="27" t="s">
        <v>1309</v>
      </c>
      <c r="E98" s="27">
        <v>3.7699999999999997E-2</v>
      </c>
      <c r="F98" s="27" t="s">
        <v>711</v>
      </c>
      <c r="G98" s="27">
        <v>0</v>
      </c>
      <c r="H98" s="27">
        <v>6.4</v>
      </c>
      <c r="I98" s="27">
        <v>0.03</v>
      </c>
      <c r="J98" s="27">
        <v>6.43</v>
      </c>
      <c r="K98" s="17"/>
      <c r="L98" s="17"/>
    </row>
    <row r="99" spans="4:13" ht="20.100000000000001" customHeight="1" x14ac:dyDescent="0.25">
      <c r="D99" s="27" t="s">
        <v>1310</v>
      </c>
      <c r="E99" s="27">
        <v>3.7699999999999997E-2</v>
      </c>
      <c r="F99" s="27" t="s">
        <v>711</v>
      </c>
      <c r="G99" s="27">
        <v>0</v>
      </c>
      <c r="H99" s="27">
        <v>6.4</v>
      </c>
      <c r="I99" s="27">
        <v>0.03</v>
      </c>
      <c r="J99" s="27">
        <v>6.43</v>
      </c>
      <c r="K99" s="17"/>
      <c r="L99" s="17"/>
    </row>
    <row r="100" spans="4:13" ht="20.100000000000001" customHeight="1" x14ac:dyDescent="0.25">
      <c r="D100" s="27" t="s">
        <v>1311</v>
      </c>
      <c r="E100" s="27">
        <v>3.6999999999999998E-2</v>
      </c>
      <c r="F100" s="27" t="s">
        <v>711</v>
      </c>
      <c r="G100" s="27">
        <v>0</v>
      </c>
      <c r="H100" s="27">
        <v>6.4</v>
      </c>
      <c r="I100" s="27">
        <v>0.03</v>
      </c>
      <c r="J100" s="27">
        <v>6.43</v>
      </c>
      <c r="K100" s="17"/>
      <c r="L100" s="17"/>
    </row>
    <row r="101" spans="4:13" ht="20.100000000000001" customHeight="1" x14ac:dyDescent="0.25">
      <c r="D101" s="27" t="s">
        <v>1312</v>
      </c>
      <c r="E101" s="27">
        <v>3.9300000000000002E-2</v>
      </c>
      <c r="F101" s="27" t="s">
        <v>711</v>
      </c>
      <c r="G101" s="27">
        <v>0</v>
      </c>
      <c r="H101" s="27">
        <v>0.1</v>
      </c>
      <c r="I101" s="27">
        <v>0.03</v>
      </c>
      <c r="J101" s="27">
        <v>0.13</v>
      </c>
      <c r="K101" s="17"/>
      <c r="L101" s="17"/>
    </row>
    <row r="102" spans="4:13" ht="20.100000000000001" customHeight="1" x14ac:dyDescent="0.25">
      <c r="D102" s="27" t="s">
        <v>1313</v>
      </c>
      <c r="E102" s="27">
        <v>1.2200000000000001E-2</v>
      </c>
      <c r="F102" s="27" t="s">
        <v>711</v>
      </c>
      <c r="G102" s="27">
        <v>0</v>
      </c>
      <c r="H102" s="27">
        <v>0</v>
      </c>
      <c r="I102" s="27">
        <v>0.5</v>
      </c>
      <c r="J102" s="27">
        <v>0.5</v>
      </c>
      <c r="K102" s="17"/>
      <c r="L102" s="17"/>
    </row>
    <row r="103" spans="4:13" ht="20.100000000000001" customHeight="1" x14ac:dyDescent="0.25">
      <c r="D103" s="27" t="s">
        <v>1314</v>
      </c>
      <c r="E103" s="27">
        <v>1</v>
      </c>
      <c r="F103" s="27" t="s">
        <v>117</v>
      </c>
      <c r="G103" s="27">
        <v>51.4</v>
      </c>
      <c r="H103" s="27">
        <v>0.1</v>
      </c>
      <c r="I103" s="27">
        <v>0.03</v>
      </c>
      <c r="J103" s="27">
        <v>51.53</v>
      </c>
      <c r="K103" s="17"/>
      <c r="L103" s="17"/>
    </row>
    <row r="104" spans="4:13" ht="20.100000000000001" customHeight="1" x14ac:dyDescent="0.25">
      <c r="D104" s="27" t="s">
        <v>1315</v>
      </c>
      <c r="E104" s="27">
        <v>1</v>
      </c>
      <c r="F104" s="27" t="s">
        <v>117</v>
      </c>
      <c r="G104" s="27">
        <v>60.2</v>
      </c>
      <c r="H104" s="27">
        <v>0.04</v>
      </c>
      <c r="I104" s="27">
        <v>0.03</v>
      </c>
      <c r="J104" s="27">
        <v>60.27</v>
      </c>
      <c r="K104" s="17"/>
      <c r="L104" s="17"/>
    </row>
    <row r="105" spans="4:13" ht="20.100000000000001" customHeight="1" x14ac:dyDescent="0.25">
      <c r="D105" s="17"/>
      <c r="E105" s="17"/>
      <c r="F105" s="17"/>
      <c r="G105" s="17"/>
      <c r="H105" s="17"/>
      <c r="I105" s="17"/>
      <c r="J105" s="17"/>
      <c r="K105" s="17"/>
      <c r="L105" s="17"/>
      <c r="M105" s="17"/>
    </row>
    <row r="106" spans="4:13" ht="20.100000000000001" customHeight="1" x14ac:dyDescent="0.25">
      <c r="D106" s="17"/>
      <c r="E106" s="17"/>
      <c r="F106" s="17"/>
      <c r="G106" s="17"/>
      <c r="H106" s="17"/>
      <c r="I106" s="17"/>
      <c r="J106" s="17"/>
      <c r="K106" s="17"/>
      <c r="L106" s="17"/>
      <c r="M106" s="17"/>
    </row>
    <row r="107" spans="4:13" ht="20.100000000000001" customHeight="1" x14ac:dyDescent="0.25">
      <c r="D107" s="9" t="s">
        <v>1316</v>
      </c>
      <c r="E107" s="17"/>
      <c r="F107" s="17"/>
      <c r="G107" s="17"/>
      <c r="H107" s="17"/>
      <c r="I107" s="17"/>
      <c r="J107" s="17"/>
      <c r="K107" s="17"/>
      <c r="L107" s="17"/>
    </row>
    <row r="108" spans="4:13" ht="20.100000000000001" customHeight="1" x14ac:dyDescent="0.25">
      <c r="D108" s="8" t="s">
        <v>1317</v>
      </c>
      <c r="E108" s="17"/>
      <c r="F108" s="17"/>
      <c r="G108" s="17"/>
      <c r="H108" s="17"/>
      <c r="I108" s="17"/>
      <c r="J108" s="17"/>
      <c r="K108" s="17"/>
      <c r="L108" s="17"/>
    </row>
    <row r="109" spans="4:13" ht="20.100000000000001" customHeight="1" x14ac:dyDescent="0.25">
      <c r="D109" s="11" t="s">
        <v>1318</v>
      </c>
      <c r="E109" s="17"/>
      <c r="F109" s="17"/>
      <c r="G109" s="17"/>
      <c r="H109" s="17"/>
      <c r="I109" s="17"/>
      <c r="J109" s="17"/>
      <c r="K109" s="17"/>
      <c r="L109" s="17"/>
    </row>
    <row r="110" spans="4:13" ht="20.100000000000001" customHeight="1" x14ac:dyDescent="0.25">
      <c r="D110" s="12" t="str" cm="1">
        <f t="array" ref="D110">"⚠️"&amp;Fuel_SourceData.Fuel_Scope3EmissionFactorsStationaryGaseous_Variation()</f>
        <v>⚠️VARIATION OF SOURCE DATA: NSW and ACT split into separate rows. 'C' Values for Tasmania and Northern Territory replaced with those for Victoria and Western Australia respectively. (See appendices)</v>
      </c>
      <c r="E110" s="17"/>
      <c r="F110" s="17"/>
      <c r="G110" s="17"/>
      <c r="H110" s="17"/>
      <c r="I110" s="17"/>
      <c r="J110" s="17"/>
      <c r="K110" s="17"/>
      <c r="L110" s="17"/>
    </row>
    <row r="111" spans="4:13" ht="20.100000000000001" customHeight="1" x14ac:dyDescent="0.25">
      <c r="D111" s="17"/>
      <c r="E111" s="17"/>
      <c r="F111" s="17"/>
      <c r="G111" s="17"/>
      <c r="H111" s="17"/>
      <c r="I111" s="17"/>
      <c r="J111" s="17"/>
      <c r="K111" s="17"/>
      <c r="L111" s="17"/>
    </row>
    <row r="112" spans="4:13" ht="20.100000000000001" customHeight="1" x14ac:dyDescent="0.25">
      <c r="D112" s="26" t="s">
        <v>86</v>
      </c>
      <c r="E112" s="20" t="s">
        <v>722</v>
      </c>
      <c r="F112" s="20" t="s">
        <v>723</v>
      </c>
      <c r="G112" s="36" t="s">
        <v>1321</v>
      </c>
      <c r="H112" s="28" t="s">
        <v>87</v>
      </c>
      <c r="I112" s="17"/>
      <c r="J112" s="17"/>
      <c r="K112" s="17"/>
      <c r="L112" s="17"/>
    </row>
    <row r="113" spans="4:13" ht="20.100000000000001" customHeight="1" x14ac:dyDescent="0.25">
      <c r="D113" s="29" t="s">
        <v>1319</v>
      </c>
      <c r="E113" s="29">
        <v>13.1</v>
      </c>
      <c r="F113" s="29">
        <v>14</v>
      </c>
      <c r="G113" s="30" t="s">
        <v>1320</v>
      </c>
      <c r="I113" s="17"/>
      <c r="J113" s="17"/>
      <c r="K113" s="17"/>
      <c r="L113" s="17"/>
    </row>
    <row r="114" spans="4:13" ht="20.100000000000001" customHeight="1" x14ac:dyDescent="0.25">
      <c r="D114" s="29" t="s">
        <v>315</v>
      </c>
      <c r="E114" s="29">
        <v>13.1</v>
      </c>
      <c r="F114" s="29">
        <v>14</v>
      </c>
      <c r="G114" s="30" t="s">
        <v>1322</v>
      </c>
      <c r="I114" s="17"/>
      <c r="J114" s="17"/>
      <c r="K114" s="17"/>
      <c r="L114" s="17"/>
    </row>
    <row r="115" spans="4:13" ht="20.100000000000001" customHeight="1" x14ac:dyDescent="0.25">
      <c r="D115" s="29" t="s">
        <v>1334</v>
      </c>
      <c r="E115" s="29">
        <v>4</v>
      </c>
      <c r="F115" s="29">
        <v>4</v>
      </c>
      <c r="G115" s="30"/>
      <c r="I115" s="17"/>
      <c r="J115" s="17"/>
      <c r="K115" s="17"/>
      <c r="L115" s="17"/>
    </row>
    <row r="116" spans="4:13" ht="20.100000000000001" customHeight="1" x14ac:dyDescent="0.25">
      <c r="D116" s="29" t="s">
        <v>1335</v>
      </c>
      <c r="E116" s="29">
        <v>8.8000000000000007</v>
      </c>
      <c r="F116" s="29">
        <v>7.9</v>
      </c>
      <c r="G116" s="30" t="s">
        <v>1323</v>
      </c>
      <c r="I116" s="17"/>
      <c r="J116" s="17"/>
      <c r="K116" s="17"/>
      <c r="L116" s="17"/>
    </row>
    <row r="117" spans="4:13" ht="20.100000000000001" customHeight="1" x14ac:dyDescent="0.25">
      <c r="D117" s="29" t="s">
        <v>1336</v>
      </c>
      <c r="E117" s="29">
        <v>10.7</v>
      </c>
      <c r="F117" s="29">
        <v>10.6</v>
      </c>
      <c r="G117" s="30"/>
      <c r="I117" s="17"/>
      <c r="J117" s="17"/>
      <c r="K117" s="17"/>
      <c r="L117" s="17"/>
    </row>
    <row r="118" spans="4:13" ht="20.100000000000001" customHeight="1" x14ac:dyDescent="0.25">
      <c r="D118" s="29" t="s">
        <v>1337</v>
      </c>
      <c r="E118" s="29">
        <v>4.0999999999999996</v>
      </c>
      <c r="F118" s="29">
        <v>4</v>
      </c>
      <c r="G118" s="30" t="s">
        <v>1324</v>
      </c>
      <c r="I118" s="17"/>
      <c r="J118" s="17"/>
      <c r="K118" s="17"/>
      <c r="L118" s="17"/>
    </row>
    <row r="119" spans="4:13" ht="20.100000000000001" customHeight="1" x14ac:dyDescent="0.25">
      <c r="D119" s="29" t="s">
        <v>1338</v>
      </c>
      <c r="E119" s="29">
        <v>4</v>
      </c>
      <c r="F119" s="29">
        <v>4</v>
      </c>
      <c r="G119" s="30" t="s">
        <v>1320</v>
      </c>
      <c r="I119" s="17"/>
      <c r="J119" s="17"/>
      <c r="K119" s="17"/>
      <c r="L119" s="17"/>
    </row>
    <row r="120" spans="4:13" ht="20.100000000000001" customHeight="1" x14ac:dyDescent="0.25">
      <c r="D120" s="29" t="s">
        <v>1339</v>
      </c>
      <c r="E120" s="29">
        <v>4.0999999999999996</v>
      </c>
      <c r="F120" s="29">
        <v>4</v>
      </c>
      <c r="G120" s="30" t="s">
        <v>1325</v>
      </c>
      <c r="I120" s="17"/>
      <c r="J120" s="17"/>
      <c r="K120" s="17"/>
      <c r="L120" s="17"/>
    </row>
    <row r="121" spans="4:13" ht="20.100000000000001" customHeight="1" x14ac:dyDescent="0.25">
      <c r="D121" s="14"/>
      <c r="E121" s="14"/>
      <c r="F121" s="14"/>
      <c r="G121" s="30"/>
      <c r="I121" s="17"/>
      <c r="J121" s="17"/>
      <c r="K121" s="17"/>
      <c r="L121" s="17"/>
    </row>
    <row r="122" spans="4:13" ht="20.100000000000001" customHeight="1" x14ac:dyDescent="0.25">
      <c r="D122" s="17"/>
      <c r="F122" s="31"/>
      <c r="G122" s="30" t="s">
        <v>1326</v>
      </c>
      <c r="I122" s="17"/>
      <c r="J122" s="17"/>
      <c r="K122" s="17"/>
      <c r="L122" s="17"/>
    </row>
    <row r="123" spans="4:13" ht="20.100000000000001" customHeight="1" x14ac:dyDescent="0.25">
      <c r="D123" s="32"/>
      <c r="F123" s="31"/>
      <c r="G123" s="30" t="s">
        <v>1320</v>
      </c>
      <c r="I123" s="17"/>
      <c r="J123" s="17"/>
      <c r="K123" s="17"/>
      <c r="L123" s="17"/>
    </row>
    <row r="124" spans="4:13" ht="20.100000000000001" customHeight="1" x14ac:dyDescent="0.25">
      <c r="D124" s="32"/>
      <c r="F124" s="31"/>
      <c r="G124" s="17" t="s">
        <v>1327</v>
      </c>
      <c r="I124" s="17"/>
      <c r="J124" s="17"/>
      <c r="K124" s="17"/>
      <c r="L124" s="17"/>
    </row>
    <row r="125" spans="4:13" ht="20.100000000000001" customHeight="1" x14ac:dyDescent="0.25">
      <c r="D125" s="32"/>
      <c r="F125" s="31"/>
      <c r="G125" s="17" t="s">
        <v>1320</v>
      </c>
      <c r="H125" s="17"/>
      <c r="I125" s="17"/>
      <c r="J125" s="17"/>
      <c r="K125" s="17"/>
      <c r="L125" s="17"/>
    </row>
    <row r="126" spans="4:13" ht="20.100000000000001" customHeight="1" x14ac:dyDescent="0.25">
      <c r="D126" s="17"/>
      <c r="E126" s="17"/>
      <c r="F126" s="17"/>
      <c r="G126" s="17" t="s">
        <v>1328</v>
      </c>
      <c r="H126" s="17"/>
      <c r="I126" s="17"/>
      <c r="J126" s="17"/>
      <c r="K126" s="17"/>
      <c r="L126" s="17"/>
      <c r="M126" s="17"/>
    </row>
    <row r="127" spans="4:13" ht="20.100000000000001" customHeight="1" x14ac:dyDescent="0.25">
      <c r="D127" s="17"/>
      <c r="E127" s="17"/>
      <c r="F127" s="17"/>
      <c r="G127" s="17" t="s">
        <v>1320</v>
      </c>
      <c r="H127" s="17"/>
      <c r="I127" s="17"/>
      <c r="J127" s="17"/>
      <c r="K127" s="17"/>
      <c r="L127" s="17"/>
      <c r="M127" s="17"/>
    </row>
    <row r="128" spans="4:13" ht="20.100000000000001" customHeight="1" x14ac:dyDescent="0.25">
      <c r="D128" s="17"/>
      <c r="E128" s="17"/>
      <c r="F128" s="17"/>
      <c r="G128" s="17" t="s">
        <v>1329</v>
      </c>
      <c r="H128" s="17"/>
      <c r="I128" s="17"/>
      <c r="J128" s="17"/>
      <c r="K128" s="17"/>
      <c r="L128" s="17"/>
      <c r="M128" s="17"/>
    </row>
    <row r="129" spans="4:33" ht="20.100000000000001" customHeight="1" x14ac:dyDescent="0.25">
      <c r="D129" s="33"/>
      <c r="E129" s="17"/>
      <c r="F129" s="17"/>
      <c r="G129" s="17"/>
      <c r="H129" s="17"/>
      <c r="I129" s="17"/>
      <c r="J129" s="17"/>
      <c r="K129" s="17"/>
      <c r="L129" s="17"/>
    </row>
    <row r="130" spans="4:33" ht="20.100000000000001" customHeight="1" x14ac:dyDescent="0.25">
      <c r="D130" s="34" t="s">
        <v>88</v>
      </c>
      <c r="E130" s="34" t="s">
        <v>89</v>
      </c>
      <c r="F130" s="34" t="s">
        <v>90</v>
      </c>
      <c r="G130" s="34" t="s">
        <v>1330</v>
      </c>
      <c r="H130" s="34" t="s">
        <v>92</v>
      </c>
      <c r="I130" s="34" t="s">
        <v>93</v>
      </c>
      <c r="J130" s="34" t="s">
        <v>94</v>
      </c>
      <c r="K130" s="17"/>
      <c r="L130" s="17"/>
      <c r="M130" s="17"/>
      <c r="AG130" s="8"/>
    </row>
    <row r="131" spans="4:33" ht="20.100000000000001" customHeight="1" x14ac:dyDescent="0.25">
      <c r="D131" s="35" t="str">
        <f>$D$143</f>
        <v>Petrol</v>
      </c>
      <c r="E131" s="35" t="str">
        <f>$D$143</f>
        <v>Petrol</v>
      </c>
      <c r="F131" s="35" t="str">
        <f>$D$150</f>
        <v>Avgas</v>
      </c>
      <c r="G131" s="35"/>
      <c r="H131" s="35" t="str">
        <f>$D$144</f>
        <v>Diesel</v>
      </c>
      <c r="I131" s="35" t="str">
        <f>$D$143</f>
        <v>Petrol</v>
      </c>
      <c r="J131" s="35" t="str">
        <f>$D$143</f>
        <v>Petrol</v>
      </c>
      <c r="K131" s="17"/>
      <c r="L131" s="17"/>
      <c r="M131" s="17"/>
      <c r="AG131" s="8"/>
    </row>
    <row r="132" spans="4:33" ht="20.100000000000001" customHeight="1" x14ac:dyDescent="0.25">
      <c r="D132" s="35" t="str">
        <f>$D$144</f>
        <v>Diesel</v>
      </c>
      <c r="E132" s="35" t="str">
        <f>$D$144</f>
        <v>Diesel</v>
      </c>
      <c r="F132" s="35" t="str">
        <f>$D$151</f>
        <v>Jet A1, Jet B</v>
      </c>
      <c r="G132" s="35" t="s">
        <v>1331</v>
      </c>
      <c r="H132" s="35"/>
      <c r="I132" s="35" t="str">
        <f>$D$144</f>
        <v>Diesel</v>
      </c>
      <c r="J132" s="35" t="str">
        <f>$D$144</f>
        <v>Diesel</v>
      </c>
      <c r="K132" s="17"/>
      <c r="L132" s="17"/>
      <c r="M132" s="17"/>
      <c r="AG132" s="8"/>
    </row>
    <row r="133" spans="4:33" ht="20.100000000000001" customHeight="1" x14ac:dyDescent="0.25">
      <c r="D133" s="35" t="str">
        <f>$D$145</f>
        <v>Liquefied petroleum gas (LPG)</v>
      </c>
      <c r="E133" s="35" t="str">
        <f>$D$145</f>
        <v>Liquefied petroleum gas (LPG)</v>
      </c>
      <c r="F133" s="35" t="str">
        <f>$D$152</f>
        <v>Renewable aviation kerosene</v>
      </c>
      <c r="G133" s="35" t="s">
        <v>1320</v>
      </c>
      <c r="H133" s="35"/>
      <c r="I133" s="35" t="s">
        <v>95</v>
      </c>
      <c r="J133" s="35" t="str">
        <f>$D$145</f>
        <v>Liquefied petroleum gas (LPG)</v>
      </c>
      <c r="K133" s="17"/>
      <c r="L133" s="17"/>
      <c r="M133" s="17"/>
      <c r="AG133" s="8"/>
    </row>
    <row r="134" spans="4:33" ht="20.100000000000001" customHeight="1" x14ac:dyDescent="0.25">
      <c r="D134" s="35" t="str">
        <f>$D$146</f>
        <v>Biodiesel</v>
      </c>
      <c r="E134" s="35" t="str">
        <f>$D$146</f>
        <v>Biodiesel</v>
      </c>
      <c r="F134" s="34"/>
      <c r="G134" s="35" t="s">
        <v>1332</v>
      </c>
      <c r="H134" s="35"/>
      <c r="I134" s="35"/>
      <c r="J134" s="35" t="str">
        <f>$D$146</f>
        <v>Biodiesel</v>
      </c>
      <c r="K134" s="17"/>
      <c r="L134" s="17"/>
      <c r="M134" s="17"/>
      <c r="AG134" s="8"/>
    </row>
    <row r="135" spans="4:33" ht="20.100000000000001" customHeight="1" x14ac:dyDescent="0.25">
      <c r="D135" s="35" t="str">
        <f>$D$147</f>
        <v>Ethanol</v>
      </c>
      <c r="E135" s="35" t="str">
        <f>$D$147</f>
        <v>Ethanol</v>
      </c>
      <c r="F135" s="34"/>
      <c r="G135" s="35"/>
      <c r="H135" s="35"/>
      <c r="I135" s="35"/>
      <c r="J135" s="35" t="str">
        <f>$D$147</f>
        <v>Ethanol</v>
      </c>
      <c r="K135" s="17"/>
      <c r="L135" s="17"/>
      <c r="M135" s="17"/>
      <c r="AG135" s="8"/>
    </row>
    <row r="136" spans="4:33" ht="20.100000000000001" customHeight="1" x14ac:dyDescent="0.25">
      <c r="D136" s="35" t="str">
        <f>$D$148</f>
        <v>Other biofuels</v>
      </c>
      <c r="E136" s="35" t="str">
        <f>$D$148</f>
        <v>Other biofuels</v>
      </c>
      <c r="F136" s="34"/>
      <c r="G136" s="35" t="s">
        <v>1333</v>
      </c>
      <c r="H136" s="35"/>
      <c r="I136" s="35"/>
      <c r="J136" s="35" t="str">
        <f>$D$148</f>
        <v>Other biofuels</v>
      </c>
      <c r="K136" s="17"/>
      <c r="L136" s="17"/>
      <c r="M136" s="17"/>
      <c r="AG136" s="8"/>
    </row>
    <row r="137" spans="4:33" ht="20.100000000000001" customHeight="1" x14ac:dyDescent="0.25">
      <c r="D137" s="35" t="str">
        <f>$D$149</f>
        <v>Renewable diesel</v>
      </c>
      <c r="E137" s="35" t="str">
        <f>$D$149</f>
        <v>Renewable diesel</v>
      </c>
      <c r="F137" s="34"/>
      <c r="G137" s="35" t="str">
        <f>$D$149</f>
        <v>Renewable diesel</v>
      </c>
      <c r="H137" s="35"/>
      <c r="I137" s="35"/>
      <c r="J137" s="35" t="str">
        <f>$D$149</f>
        <v>Renewable diesel</v>
      </c>
      <c r="K137" s="17"/>
      <c r="L137" s="17"/>
      <c r="M137" s="17"/>
      <c r="AG137" s="8"/>
    </row>
    <row r="138" spans="4:33" ht="20.100000000000001" customHeight="1" x14ac:dyDescent="0.25">
      <c r="D138" s="34"/>
      <c r="E138" s="36" t="str">
        <f>$D$161</f>
        <v>Natural gas (via pipeline) in GJ</v>
      </c>
      <c r="F138" s="36"/>
      <c r="G138" s="35" t="str">
        <f>$D$148</f>
        <v>Other biofuels</v>
      </c>
      <c r="H138" s="35"/>
      <c r="I138" s="35"/>
      <c r="J138" s="36" t="str">
        <f>$D$161</f>
        <v>Natural gas (via pipeline) in GJ</v>
      </c>
      <c r="K138" s="17"/>
      <c r="L138" s="17"/>
      <c r="M138" s="17"/>
      <c r="AG138" s="8"/>
    </row>
    <row r="139" spans="4:33" ht="20.100000000000001" customHeight="1" x14ac:dyDescent="0.25">
      <c r="D139" s="36"/>
      <c r="E139" s="36" t="str">
        <f>$D$162</f>
        <v>Town gas in GJ</v>
      </c>
      <c r="F139" s="36"/>
      <c r="G139" s="36"/>
      <c r="H139" s="36"/>
      <c r="I139" s="36"/>
      <c r="J139" s="36" t="str">
        <f>$D$162</f>
        <v>Town gas in GJ</v>
      </c>
      <c r="K139" s="17"/>
      <c r="L139" s="17"/>
      <c r="M139" s="17"/>
      <c r="AG139" s="8"/>
    </row>
    <row r="140" spans="4:33" ht="20.100000000000001" customHeight="1" x14ac:dyDescent="0.25">
      <c r="D140" s="17"/>
      <c r="E140" s="17"/>
      <c r="F140" s="17"/>
      <c r="G140" s="17"/>
      <c r="H140" s="17"/>
      <c r="I140" s="17"/>
      <c r="J140" s="17"/>
      <c r="K140" s="17"/>
      <c r="L140" s="17"/>
    </row>
    <row r="141" spans="4:33" ht="20.100000000000001" customHeight="1" x14ac:dyDescent="0.25">
      <c r="D141" s="17"/>
      <c r="E141" s="17"/>
      <c r="F141" s="17"/>
      <c r="G141" s="17"/>
      <c r="H141" s="17"/>
      <c r="I141" s="17"/>
      <c r="J141" s="17"/>
      <c r="K141" s="17"/>
      <c r="L141" s="17"/>
    </row>
    <row r="142" spans="4:33" ht="20.100000000000001" customHeight="1" x14ac:dyDescent="0.25">
      <c r="D142" s="3" t="s">
        <v>96</v>
      </c>
      <c r="E142" s="3" t="s">
        <v>97</v>
      </c>
      <c r="F142" s="17"/>
      <c r="G142" s="17"/>
      <c r="H142" s="17"/>
      <c r="I142" s="17"/>
      <c r="J142" s="17"/>
      <c r="K142" s="17"/>
      <c r="L142" s="17"/>
    </row>
    <row r="143" spans="4:33" ht="20.100000000000001" customHeight="1" x14ac:dyDescent="0.25">
      <c r="D143" s="35" t="s">
        <v>98</v>
      </c>
      <c r="E143" s="3" t="s">
        <v>99</v>
      </c>
      <c r="F143" s="17"/>
      <c r="G143" s="17"/>
      <c r="H143" s="17"/>
      <c r="I143" s="17"/>
      <c r="J143" s="17"/>
      <c r="K143" s="17"/>
      <c r="L143" s="17"/>
    </row>
    <row r="144" spans="4:33" ht="20.100000000000001" customHeight="1" x14ac:dyDescent="0.25">
      <c r="D144" s="35" t="s">
        <v>100</v>
      </c>
      <c r="E144" s="3" t="s">
        <v>99</v>
      </c>
      <c r="F144" s="17"/>
      <c r="G144" s="17"/>
      <c r="H144" s="17"/>
      <c r="I144" s="17"/>
      <c r="J144" s="17"/>
      <c r="K144" s="17"/>
      <c r="L144" s="17"/>
    </row>
    <row r="145" spans="4:12" ht="20.100000000000001" customHeight="1" x14ac:dyDescent="0.25">
      <c r="D145" s="35" t="s">
        <v>101</v>
      </c>
      <c r="E145" s="3" t="s">
        <v>99</v>
      </c>
      <c r="F145" s="17"/>
      <c r="G145" s="17"/>
      <c r="H145" s="17"/>
      <c r="I145" s="17"/>
      <c r="J145" s="17"/>
      <c r="K145" s="17"/>
      <c r="L145" s="17"/>
    </row>
    <row r="146" spans="4:12" ht="20.100000000000001" customHeight="1" x14ac:dyDescent="0.25">
      <c r="D146" s="35" t="s">
        <v>102</v>
      </c>
      <c r="E146" s="3" t="s">
        <v>99</v>
      </c>
      <c r="F146" s="17"/>
      <c r="G146" s="17"/>
      <c r="H146" s="17"/>
      <c r="I146" s="17"/>
      <c r="J146" s="17"/>
      <c r="K146" s="17"/>
      <c r="L146" s="17"/>
    </row>
    <row r="147" spans="4:12" ht="20.100000000000001" customHeight="1" x14ac:dyDescent="0.25">
      <c r="D147" s="35" t="s">
        <v>103</v>
      </c>
      <c r="E147" s="3" t="s">
        <v>99</v>
      </c>
      <c r="F147" s="17"/>
      <c r="G147" s="17"/>
      <c r="H147" s="17"/>
      <c r="I147" s="17"/>
      <c r="J147" s="17"/>
      <c r="K147" s="17"/>
      <c r="L147" s="17"/>
    </row>
    <row r="148" spans="4:12" ht="20.100000000000001" customHeight="1" x14ac:dyDescent="0.25">
      <c r="D148" s="35" t="s">
        <v>104</v>
      </c>
      <c r="E148" s="3" t="s">
        <v>99</v>
      </c>
      <c r="F148" s="17"/>
      <c r="G148" s="17"/>
      <c r="H148" s="17"/>
      <c r="I148" s="17"/>
      <c r="J148" s="17"/>
      <c r="K148" s="17"/>
      <c r="L148" s="17"/>
    </row>
    <row r="149" spans="4:12" ht="20.100000000000001" customHeight="1" x14ac:dyDescent="0.25">
      <c r="D149" s="35" t="s">
        <v>105</v>
      </c>
      <c r="E149" s="3" t="s">
        <v>99</v>
      </c>
      <c r="F149" s="17"/>
      <c r="G149" s="17"/>
      <c r="H149" s="17"/>
      <c r="I149" s="17"/>
      <c r="J149" s="17"/>
      <c r="K149" s="17"/>
      <c r="L149" s="17"/>
    </row>
    <row r="150" spans="4:12" ht="20.100000000000001" customHeight="1" x14ac:dyDescent="0.25">
      <c r="D150" s="35" t="s">
        <v>106</v>
      </c>
      <c r="E150" s="3" t="s">
        <v>99</v>
      </c>
      <c r="F150" s="17"/>
      <c r="G150" s="17"/>
      <c r="H150" s="17"/>
      <c r="I150" s="17"/>
      <c r="J150" s="17"/>
      <c r="K150" s="17"/>
      <c r="L150" s="17"/>
    </row>
    <row r="151" spans="4:12" ht="20.100000000000001" customHeight="1" x14ac:dyDescent="0.25">
      <c r="D151" s="35" t="s">
        <v>107</v>
      </c>
      <c r="E151" s="3" t="s">
        <v>99</v>
      </c>
      <c r="F151" s="17"/>
      <c r="G151" s="17"/>
      <c r="H151" s="17"/>
      <c r="I151" s="17"/>
      <c r="J151" s="17"/>
      <c r="K151" s="17"/>
      <c r="L151" s="17"/>
    </row>
    <row r="152" spans="4:12" ht="20.100000000000001" customHeight="1" x14ac:dyDescent="0.25">
      <c r="D152" s="37" t="s">
        <v>108</v>
      </c>
      <c r="E152" s="14" t="s">
        <v>99</v>
      </c>
      <c r="F152" s="17"/>
      <c r="G152" s="17"/>
      <c r="H152" s="17"/>
      <c r="I152" s="17"/>
      <c r="J152" s="17"/>
      <c r="K152" s="17"/>
      <c r="L152" s="17"/>
    </row>
    <row r="153" spans="4:12" ht="20.100000000000001" customHeight="1" x14ac:dyDescent="0.25">
      <c r="D153" s="37" t="s">
        <v>109</v>
      </c>
      <c r="E153" s="14" t="s">
        <v>99</v>
      </c>
      <c r="F153" s="17"/>
      <c r="G153" s="17"/>
      <c r="H153" s="17"/>
      <c r="I153" s="17"/>
      <c r="J153" s="17"/>
      <c r="K153" s="17"/>
      <c r="L153" s="17"/>
    </row>
    <row r="154" spans="4:12" ht="20.100000000000001" customHeight="1" x14ac:dyDescent="0.25">
      <c r="D154" s="37" t="s">
        <v>110</v>
      </c>
      <c r="E154" s="14" t="s">
        <v>99</v>
      </c>
      <c r="F154" s="17"/>
      <c r="G154" s="17"/>
      <c r="H154" s="17"/>
      <c r="I154" s="17"/>
      <c r="J154" s="17"/>
      <c r="K154" s="17"/>
      <c r="L154" s="17"/>
    </row>
    <row r="155" spans="4:12" ht="20.100000000000001" customHeight="1" x14ac:dyDescent="0.25">
      <c r="D155" s="37" t="s">
        <v>111</v>
      </c>
      <c r="E155" s="14" t="s">
        <v>99</v>
      </c>
      <c r="F155" s="17"/>
      <c r="G155" s="17"/>
      <c r="H155" s="17"/>
      <c r="I155" s="17"/>
      <c r="J155" s="17"/>
      <c r="K155" s="17"/>
      <c r="L155" s="17"/>
    </row>
    <row r="156" spans="4:12" ht="20.100000000000001" customHeight="1" x14ac:dyDescent="0.25">
      <c r="D156" s="37" t="s">
        <v>112</v>
      </c>
      <c r="E156" s="14" t="s">
        <v>99</v>
      </c>
      <c r="F156" s="17"/>
      <c r="G156" s="17"/>
      <c r="H156" s="17"/>
      <c r="I156" s="17"/>
      <c r="J156" s="17"/>
      <c r="K156" s="17"/>
      <c r="L156" s="17"/>
    </row>
    <row r="157" spans="4:12" ht="20.100000000000001" customHeight="1" x14ac:dyDescent="0.25">
      <c r="D157" s="37" t="s">
        <v>113</v>
      </c>
      <c r="E157" s="14" t="s">
        <v>99</v>
      </c>
      <c r="F157" s="17"/>
      <c r="G157" s="17"/>
      <c r="H157" s="17"/>
      <c r="I157" s="17"/>
      <c r="J157" s="17"/>
      <c r="K157" s="17"/>
      <c r="L157" s="17"/>
    </row>
    <row r="158" spans="4:12" ht="20.100000000000001" customHeight="1" x14ac:dyDescent="0.25">
      <c r="D158" s="37" t="s">
        <v>114</v>
      </c>
      <c r="E158" s="14" t="s">
        <v>99</v>
      </c>
      <c r="F158" s="17"/>
      <c r="G158" s="17"/>
      <c r="H158" s="17"/>
      <c r="I158" s="17"/>
      <c r="J158" s="17"/>
      <c r="K158" s="17"/>
      <c r="L158" s="17"/>
    </row>
    <row r="159" spans="4:12" ht="20.100000000000001" customHeight="1" x14ac:dyDescent="0.25">
      <c r="D159" s="37" t="s">
        <v>115</v>
      </c>
      <c r="E159" s="14" t="s">
        <v>99</v>
      </c>
      <c r="F159" s="17"/>
      <c r="G159" s="17"/>
      <c r="H159" s="17"/>
      <c r="I159" s="17"/>
      <c r="J159" s="17"/>
      <c r="K159" s="17"/>
      <c r="L159" s="17"/>
    </row>
    <row r="160" spans="4:12" ht="20.100000000000001" customHeight="1" x14ac:dyDescent="0.25">
      <c r="D160" s="37" t="s">
        <v>95</v>
      </c>
      <c r="E160" s="14" t="s">
        <v>99</v>
      </c>
      <c r="F160" s="17"/>
      <c r="G160" s="17"/>
      <c r="H160" s="17"/>
      <c r="I160" s="17"/>
      <c r="J160" s="17"/>
      <c r="K160" s="17"/>
      <c r="L160" s="17"/>
    </row>
    <row r="161" spans="4:12" ht="20.100000000000001" customHeight="1" x14ac:dyDescent="0.25">
      <c r="D161" s="36" t="s">
        <v>116</v>
      </c>
      <c r="E161" s="17" t="s">
        <v>117</v>
      </c>
      <c r="F161" s="17"/>
      <c r="G161" s="17"/>
      <c r="H161" s="17"/>
      <c r="I161" s="17"/>
      <c r="J161" s="17"/>
      <c r="K161" s="17"/>
      <c r="L161" s="17"/>
    </row>
    <row r="162" spans="4:12" ht="20.100000000000001" customHeight="1" x14ac:dyDescent="0.25">
      <c r="D162" s="17" t="s">
        <v>118</v>
      </c>
      <c r="E162" s="17" t="s">
        <v>117</v>
      </c>
      <c r="F162" s="17"/>
      <c r="G162" s="17"/>
      <c r="H162" s="17"/>
      <c r="I162" s="17"/>
      <c r="J162" s="17"/>
      <c r="K162" s="17"/>
      <c r="L162" s="17"/>
    </row>
    <row r="163" spans="4:12" ht="20.100000000000001" customHeight="1" x14ac:dyDescent="0.25"/>
    <row r="164" spans="4:12" ht="20.100000000000001" customHeight="1" x14ac:dyDescent="0.25"/>
    <row r="165" spans="4:12" ht="20.100000000000001" customHeight="1" x14ac:dyDescent="0.25"/>
  </sheetData>
  <pageMargins left="0.7" right="0.7" top="0.75" bottom="0.75" header="0.3" footer="0.3"/>
  <tableParts count="7">
    <tablePart r:id="rId1"/>
    <tablePart r:id="rId2"/>
    <tablePart r:id="rId3"/>
    <tablePart r:id="rId4"/>
    <tablePart r:id="rId5"/>
    <tablePart r:id="rId6"/>
    <tablePart r:id="rId7"/>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A617C-8179-4C1C-9FC0-03E5CE198472}">
  <sheetPr>
    <tabColor theme="2" tint="-0.499984740745262"/>
  </sheetPr>
  <dimension ref="A1:W452"/>
  <sheetViews>
    <sheetView showGridLines="0" topLeftCell="A102" zoomScaleNormal="100" workbookViewId="0">
      <selection activeCell="D121" sqref="D121"/>
    </sheetView>
  </sheetViews>
  <sheetFormatPr defaultRowHeight="15.75" x14ac:dyDescent="0.25"/>
  <cols>
    <col min="1" max="1" width="26.875" style="3" customWidth="1"/>
    <col min="2" max="2" width="4.125" style="3" customWidth="1"/>
    <col min="3" max="3" width="4.125" style="8" customWidth="1"/>
    <col min="4" max="5" width="26.875" style="8" customWidth="1"/>
    <col min="6" max="6" width="27.25" style="8" customWidth="1"/>
    <col min="7" max="7" width="28.5" style="8" customWidth="1"/>
    <col min="8" max="12" width="26.875" style="8" customWidth="1"/>
    <col min="13" max="13" width="26.875" style="3" customWidth="1"/>
    <col min="14" max="20" width="26.875" style="8" customWidth="1"/>
    <col min="21" max="21" width="4.125" style="8" customWidth="1"/>
    <col min="22" max="16384" width="9" style="3"/>
  </cols>
  <sheetData>
    <row r="1" spans="1:21" s="1" customFormat="1" ht="30" customHeight="1" x14ac:dyDescent="0.35">
      <c r="A1" s="1" t="e" vm="1">
        <v>#VALUE!</v>
      </c>
      <c r="C1" s="1" t="s">
        <v>583</v>
      </c>
    </row>
    <row r="2" spans="1:21" s="2" customFormat="1" ht="20.100000000000001" customHeight="1" x14ac:dyDescent="0.25"/>
    <row r="3" spans="1:21" ht="20.100000000000001" customHeight="1" x14ac:dyDescent="0.25">
      <c r="A3" s="16" t="str">
        <f>HYPERLINK("#'Home'!A1", "Home")</f>
        <v>Home</v>
      </c>
      <c r="C3" s="5"/>
      <c r="D3" s="5"/>
      <c r="E3" s="5"/>
      <c r="F3" s="5"/>
      <c r="G3" s="5"/>
      <c r="H3" s="5"/>
      <c r="I3" s="5"/>
      <c r="J3" s="5"/>
      <c r="K3" s="5"/>
      <c r="L3" s="5"/>
      <c r="M3" s="5"/>
      <c r="N3" s="5"/>
      <c r="O3" s="5"/>
      <c r="P3" s="5"/>
      <c r="Q3" s="5"/>
      <c r="R3" s="5"/>
      <c r="S3" s="5"/>
      <c r="T3" s="5"/>
      <c r="U3" s="5"/>
    </row>
    <row r="4" spans="1:21" ht="20.100000000000001" customHeight="1" x14ac:dyDescent="0.25">
      <c r="A4" s="16" t="str">
        <f>HYPERLINK("#'Overview'!A1", "Overview")</f>
        <v>Overview</v>
      </c>
      <c r="M4" s="14"/>
    </row>
    <row r="5" spans="1:21" ht="20.100000000000001" customHeight="1" x14ac:dyDescent="0.25">
      <c r="A5" s="16" t="str">
        <f>HYPERLINK("#'Results'!A1", "Results")</f>
        <v>Results</v>
      </c>
      <c r="D5" s="9" t="s">
        <v>1340</v>
      </c>
      <c r="M5" s="8"/>
    </row>
    <row r="6" spans="1:21" ht="20.100000000000001" customHeight="1" x14ac:dyDescent="0.25">
      <c r="A6" s="18"/>
      <c r="D6" s="11" t="s">
        <v>1341</v>
      </c>
      <c r="M6" s="8"/>
    </row>
    <row r="7" spans="1:21" ht="20.100000000000001" customHeight="1" x14ac:dyDescent="0.25">
      <c r="A7" s="19" t="s">
        <v>67</v>
      </c>
      <c r="M7" s="8"/>
    </row>
    <row r="8" spans="1:21" ht="20.100000000000001" customHeight="1" x14ac:dyDescent="0.25">
      <c r="A8" s="16" t="str">
        <f>HYPERLINK("#'Input - Site'!A1", "Site")</f>
        <v>Site</v>
      </c>
      <c r="D8" s="10" t="s">
        <v>584</v>
      </c>
      <c r="E8" s="10" t="s">
        <v>585</v>
      </c>
      <c r="F8" s="10" t="s">
        <v>586</v>
      </c>
      <c r="G8" s="10" t="s">
        <v>587</v>
      </c>
      <c r="H8" s="10" t="s">
        <v>588</v>
      </c>
      <c r="M8" s="8"/>
    </row>
    <row r="9" spans="1:21" ht="20.100000000000001" customHeight="1" x14ac:dyDescent="0.25">
      <c r="A9" s="16" t="str">
        <f>HYPERLINK("#'Input - Poultry'!A1", "Poultry")</f>
        <v>Poultry</v>
      </c>
      <c r="D9" s="10" t="s">
        <v>1342</v>
      </c>
      <c r="E9" s="10">
        <v>8.5999999999999993E-2</v>
      </c>
      <c r="F9" s="10">
        <v>9.2999999999999999E-2</v>
      </c>
      <c r="G9" s="10">
        <v>0.10299999999999999</v>
      </c>
      <c r="H9" s="10">
        <v>9.2999999999999999E-2</v>
      </c>
      <c r="M9" s="8"/>
    </row>
    <row r="10" spans="1:21" ht="20.100000000000001" customHeight="1" x14ac:dyDescent="0.25">
      <c r="A10" s="16"/>
      <c r="D10" s="8" t="s">
        <v>1343</v>
      </c>
      <c r="E10" s="10">
        <v>0.8</v>
      </c>
      <c r="F10" s="10">
        <v>0.8</v>
      </c>
      <c r="G10" s="10">
        <v>0.8</v>
      </c>
      <c r="H10" s="10">
        <v>0.8</v>
      </c>
      <c r="M10" s="8"/>
    </row>
    <row r="11" spans="1:21" ht="20.100000000000001" customHeight="1" x14ac:dyDescent="0.25">
      <c r="A11" s="21" t="s">
        <v>77</v>
      </c>
      <c r="D11" s="8" t="s">
        <v>1344</v>
      </c>
      <c r="E11" s="10">
        <v>0.19</v>
      </c>
      <c r="F11" s="10">
        <v>0.23</v>
      </c>
      <c r="G11" s="10">
        <v>0.19</v>
      </c>
      <c r="H11" s="10">
        <v>0.23</v>
      </c>
      <c r="M11" s="8"/>
    </row>
    <row r="12" spans="1:21" ht="20.100000000000001" customHeight="1" x14ac:dyDescent="0.25">
      <c r="A12" s="16" t="str">
        <f>HYPERLINK("#'4.6.1.1-2 Methane'!A1", "4.6.1.1-2 Methane")</f>
        <v>4.6.1.1-2 Methane</v>
      </c>
      <c r="D12" s="8" t="s">
        <v>1345</v>
      </c>
      <c r="E12" s="10">
        <v>0.35</v>
      </c>
      <c r="F12" s="10">
        <v>0.47</v>
      </c>
      <c r="G12" s="10">
        <v>0.32</v>
      </c>
      <c r="H12" s="10">
        <v>0.47</v>
      </c>
      <c r="M12" s="8"/>
    </row>
    <row r="13" spans="1:21" ht="20.100000000000001" customHeight="1" x14ac:dyDescent="0.25">
      <c r="A13" s="16" t="str">
        <f>HYPERLINK("#'4.6.1.3-4 Direct N20'!A1", "4.6.1.3-4 Direct N2O")</f>
        <v>4.6.1.3-4 Direct N2O</v>
      </c>
      <c r="D13" s="8" t="s">
        <v>1346</v>
      </c>
      <c r="E13" s="10">
        <v>0.18</v>
      </c>
      <c r="F13" s="10">
        <v>0.15</v>
      </c>
      <c r="G13" s="10">
        <v>0.18</v>
      </c>
      <c r="H13" s="10">
        <v>0.15</v>
      </c>
      <c r="M13" s="8"/>
    </row>
    <row r="14" spans="1:21" ht="20.100000000000001" customHeight="1" x14ac:dyDescent="0.25">
      <c r="A14" s="16" t="str">
        <f>HYPERLINK("#'4.6.1.5-6 Atmos Dep'!A1", "4.6.1.5-6 Atmospheric deposition")</f>
        <v>4.6.1.5-6 Atmospheric deposition</v>
      </c>
      <c r="M14" s="8"/>
    </row>
    <row r="15" spans="1:21" ht="20.100000000000001" customHeight="1" x14ac:dyDescent="0.25">
      <c r="A15" s="16" t="str">
        <f>HYPERLINK("#'4.6.1.7-8 Leaching and runoff'!A1", "4.6.1.7-8 Leaching &amp; runoff")</f>
        <v>4.6.1.7-8 Leaching &amp; runoff</v>
      </c>
      <c r="M15" s="8"/>
    </row>
    <row r="16" spans="1:21" ht="20.100000000000001" customHeight="1" x14ac:dyDescent="0.25">
      <c r="A16" s="16" t="str">
        <f>HYPERLINK("#'4.6.1.9 Manure applied to soils'!A1", "4.6.1.9 Manure applied to soils")</f>
        <v>4.6.1.9 Manure applied to soils</v>
      </c>
      <c r="M16" s="8"/>
    </row>
    <row r="17" spans="1:13" ht="20.100000000000001" customHeight="1" x14ac:dyDescent="0.25">
      <c r="A17" s="16" t="str">
        <f>HYPERLINK("#'4.6.1.10-11 Soil direct N2O'!A1", "4.6.1.10-11 Soil direct N2O")</f>
        <v>4.6.1.10-11 Soil direct N2O</v>
      </c>
      <c r="D17" s="9" t="s">
        <v>1347</v>
      </c>
      <c r="M17" s="8"/>
    </row>
    <row r="18" spans="1:13" ht="20.100000000000001" customHeight="1" x14ac:dyDescent="0.25">
      <c r="A18" s="16" t="str">
        <f>HYPERLINK("#'4.6.1.12-13 Soil atmos dep'!A1", "4.6.1.12-13 Soil Atm. deposition")</f>
        <v>4.6.1.12-13 Soil Atm. deposition</v>
      </c>
      <c r="D18" s="11" t="s">
        <v>1348</v>
      </c>
      <c r="M18" s="8"/>
    </row>
    <row r="19" spans="1:13" ht="20.100000000000001" customHeight="1" x14ac:dyDescent="0.25">
      <c r="A19" s="16" t="str">
        <f>HYPERLINK("#'4.6.1.14-15 Soil leach runoff'!A1", "4.6.1.14-15 Soil leach &amp; runoff")</f>
        <v>4.6.1.14-15 Soil leach &amp; runoff</v>
      </c>
      <c r="D19" s="10" t="s">
        <v>589</v>
      </c>
      <c r="E19" s="10" t="s">
        <v>590</v>
      </c>
      <c r="M19" s="8"/>
    </row>
    <row r="20" spans="1:13" ht="20.100000000000001" customHeight="1" x14ac:dyDescent="0.25">
      <c r="D20" s="10" t="s">
        <v>585</v>
      </c>
      <c r="E20" s="10">
        <v>0.39</v>
      </c>
      <c r="M20" s="8"/>
    </row>
    <row r="21" spans="1:13" ht="20.100000000000001" customHeight="1" x14ac:dyDescent="0.25">
      <c r="A21" s="23" t="s">
        <v>78</v>
      </c>
      <c r="D21" s="8" t="s">
        <v>1349</v>
      </c>
      <c r="E21" s="10">
        <v>0.36</v>
      </c>
      <c r="M21" s="8"/>
    </row>
    <row r="22" spans="1:13" ht="20.100000000000001" customHeight="1" x14ac:dyDescent="0.25">
      <c r="A22" s="24" t="str">
        <f>HYPERLINK("#'Constants - Poultry'!A1", "Constants - Poultry")</f>
        <v>Constants - Poultry</v>
      </c>
      <c r="M22" s="8"/>
    </row>
    <row r="23" spans="1:13" ht="20.100000000000001" customHeight="1" x14ac:dyDescent="0.25">
      <c r="A23" s="16" t="str">
        <f>HYPERLINK("#'Constants - Livestock'!A1", "Constants - Livestock")</f>
        <v>Constants - Livestock</v>
      </c>
      <c r="M23" s="8"/>
    </row>
    <row r="24" spans="1:13" ht="20.100000000000001" customHeight="1" x14ac:dyDescent="0.25">
      <c r="A24" s="16" t="str">
        <f>HYPERLINK("#'Constants - Common'!A1", "Constants - Common")</f>
        <v>Constants - Common</v>
      </c>
      <c r="M24" s="8"/>
    </row>
    <row r="25" spans="1:13" ht="20.100000000000001" customHeight="1" x14ac:dyDescent="0.25">
      <c r="A25" s="16"/>
      <c r="M25" s="8"/>
    </row>
    <row r="26" spans="1:13" ht="20.100000000000001" customHeight="1" x14ac:dyDescent="0.25">
      <c r="D26" s="9" t="s">
        <v>591</v>
      </c>
      <c r="G26" s="9" t="s">
        <v>592</v>
      </c>
      <c r="J26" s="9" t="s">
        <v>593</v>
      </c>
      <c r="M26" s="8"/>
    </row>
    <row r="27" spans="1:13" ht="20.100000000000001" customHeight="1" x14ac:dyDescent="0.25">
      <c r="M27" s="8"/>
    </row>
    <row r="28" spans="1:13" ht="20.100000000000001" customHeight="1" x14ac:dyDescent="0.25">
      <c r="D28" s="165" t="s">
        <v>532</v>
      </c>
      <c r="E28" s="10" t="s">
        <v>332</v>
      </c>
      <c r="G28" s="165" t="s">
        <v>532</v>
      </c>
      <c r="H28" s="10" t="s">
        <v>332</v>
      </c>
      <c r="J28" s="165" t="s">
        <v>532</v>
      </c>
      <c r="K28" s="10" t="s">
        <v>332</v>
      </c>
      <c r="M28" s="8"/>
    </row>
    <row r="29" spans="1:13" ht="20.100000000000001" customHeight="1" x14ac:dyDescent="0.25">
      <c r="D29" s="10" t="s">
        <v>58</v>
      </c>
      <c r="E29" s="10" t="s">
        <v>594</v>
      </c>
      <c r="G29" s="10" t="s">
        <v>58</v>
      </c>
      <c r="H29" s="10" t="s">
        <v>594</v>
      </c>
      <c r="J29" s="10" t="s">
        <v>55</v>
      </c>
      <c r="K29" s="10" t="s">
        <v>595</v>
      </c>
      <c r="M29" s="8"/>
    </row>
    <row r="30" spans="1:13" ht="20.100000000000001" customHeight="1" x14ac:dyDescent="0.25">
      <c r="D30" s="10" t="s">
        <v>596</v>
      </c>
      <c r="E30" s="10" t="s">
        <v>597</v>
      </c>
      <c r="G30" s="10" t="s">
        <v>596</v>
      </c>
      <c r="H30" s="10" t="s">
        <v>597</v>
      </c>
      <c r="J30" s="10" t="s">
        <v>54</v>
      </c>
      <c r="K30" s="10" t="s">
        <v>598</v>
      </c>
      <c r="M30" s="8"/>
    </row>
    <row r="31" spans="1:13" ht="20.100000000000001" customHeight="1" x14ac:dyDescent="0.25">
      <c r="D31" s="10" t="s">
        <v>599</v>
      </c>
      <c r="E31" s="10" t="s">
        <v>600</v>
      </c>
      <c r="G31" s="10" t="s">
        <v>599</v>
      </c>
      <c r="H31" s="10" t="s">
        <v>600</v>
      </c>
      <c r="J31" s="8" t="s">
        <v>51</v>
      </c>
      <c r="K31" s="8" t="s">
        <v>601</v>
      </c>
      <c r="M31" s="8"/>
    </row>
    <row r="32" spans="1:13" ht="20.100000000000001" customHeight="1" x14ac:dyDescent="0.25">
      <c r="D32" s="10" t="s">
        <v>62</v>
      </c>
      <c r="E32" s="10" t="s">
        <v>602</v>
      </c>
      <c r="G32" s="10" t="s">
        <v>62</v>
      </c>
      <c r="H32" s="10" t="s">
        <v>602</v>
      </c>
      <c r="J32" s="10" t="s">
        <v>60</v>
      </c>
      <c r="K32" s="10" t="s">
        <v>603</v>
      </c>
      <c r="M32" s="8"/>
    </row>
    <row r="33" spans="4:13" ht="20.100000000000001" customHeight="1" x14ac:dyDescent="0.25">
      <c r="D33" s="10" t="s">
        <v>55</v>
      </c>
      <c r="E33" s="10" t="s">
        <v>595</v>
      </c>
      <c r="G33" s="8" t="s">
        <v>604</v>
      </c>
      <c r="H33" s="10" t="s">
        <v>604</v>
      </c>
      <c r="J33" s="10" t="s">
        <v>61</v>
      </c>
      <c r="K33" s="10" t="s">
        <v>605</v>
      </c>
      <c r="M33" s="8"/>
    </row>
    <row r="34" spans="4:13" ht="20.100000000000001" customHeight="1" x14ac:dyDescent="0.25">
      <c r="D34" s="10" t="s">
        <v>54</v>
      </c>
      <c r="E34" s="10" t="s">
        <v>598</v>
      </c>
      <c r="J34" s="8" t="s">
        <v>604</v>
      </c>
      <c r="K34" s="10" t="s">
        <v>604</v>
      </c>
      <c r="M34" s="8"/>
    </row>
    <row r="35" spans="4:13" ht="20.100000000000001" customHeight="1" x14ac:dyDescent="0.25">
      <c r="D35" s="8" t="s">
        <v>51</v>
      </c>
      <c r="E35" s="8" t="s">
        <v>601</v>
      </c>
      <c r="M35" s="8"/>
    </row>
    <row r="36" spans="4:13" ht="20.100000000000001" customHeight="1" x14ac:dyDescent="0.25">
      <c r="D36" s="10" t="s">
        <v>60</v>
      </c>
      <c r="E36" s="10" t="s">
        <v>603</v>
      </c>
      <c r="M36" s="8"/>
    </row>
    <row r="37" spans="4:13" ht="20.100000000000001" customHeight="1" x14ac:dyDescent="0.25">
      <c r="D37" s="10" t="s">
        <v>61</v>
      </c>
      <c r="E37" s="10" t="s">
        <v>605</v>
      </c>
      <c r="M37" s="8"/>
    </row>
    <row r="38" spans="4:13" ht="20.100000000000001" customHeight="1" x14ac:dyDescent="0.25">
      <c r="D38" s="8" t="s">
        <v>604</v>
      </c>
      <c r="E38" s="10" t="s">
        <v>604</v>
      </c>
      <c r="M38" s="8"/>
    </row>
    <row r="39" spans="4:13" ht="20.100000000000001" customHeight="1" x14ac:dyDescent="0.25">
      <c r="M39" s="8"/>
    </row>
    <row r="40" spans="4:13" ht="20.100000000000001" customHeight="1" x14ac:dyDescent="0.25">
      <c r="M40" s="8"/>
    </row>
    <row r="41" spans="4:13" ht="20.100000000000001" customHeight="1" x14ac:dyDescent="0.25">
      <c r="M41" s="8"/>
    </row>
    <row r="42" spans="4:13" ht="20.100000000000001" customHeight="1" x14ac:dyDescent="0.25">
      <c r="D42" s="9" t="s">
        <v>606</v>
      </c>
      <c r="M42" s="8"/>
    </row>
    <row r="43" spans="4:13" ht="20.100000000000001" customHeight="1" x14ac:dyDescent="0.25">
      <c r="M43" s="8"/>
    </row>
    <row r="44" spans="4:13" ht="20.100000000000001" customHeight="1" x14ac:dyDescent="0.25">
      <c r="D44" s="10" t="s">
        <v>145</v>
      </c>
      <c r="M44" s="8"/>
    </row>
    <row r="45" spans="4:13" ht="20.100000000000001" customHeight="1" x14ac:dyDescent="0.25">
      <c r="D45" s="10" t="s">
        <v>1350</v>
      </c>
      <c r="M45" s="8"/>
    </row>
    <row r="46" spans="4:13" ht="20.100000000000001" customHeight="1" x14ac:dyDescent="0.25">
      <c r="D46" s="8" t="s">
        <v>1351</v>
      </c>
      <c r="M46" s="8"/>
    </row>
    <row r="47" spans="4:13" ht="20.100000000000001" customHeight="1" x14ac:dyDescent="0.25">
      <c r="D47" s="8" t="s">
        <v>1352</v>
      </c>
      <c r="M47" s="8"/>
    </row>
    <row r="48" spans="4:13" ht="20.100000000000001" customHeight="1" x14ac:dyDescent="0.25">
      <c r="M48" s="8"/>
    </row>
    <row r="49" spans="4:14" ht="20.100000000000001" customHeight="1" x14ac:dyDescent="0.25">
      <c r="M49" s="8"/>
    </row>
    <row r="50" spans="4:14" ht="20.100000000000001" customHeight="1" x14ac:dyDescent="0.25">
      <c r="M50" s="8"/>
    </row>
    <row r="51" spans="4:14" ht="20.100000000000001" customHeight="1" x14ac:dyDescent="0.25">
      <c r="D51" s="9" t="s">
        <v>1353</v>
      </c>
      <c r="M51" s="8"/>
    </row>
    <row r="52" spans="4:14" ht="20.100000000000001" customHeight="1" x14ac:dyDescent="0.25">
      <c r="D52" s="11" t="s">
        <v>1354</v>
      </c>
      <c r="M52" s="8"/>
    </row>
    <row r="53" spans="4:14" ht="20.100000000000001" customHeight="1" x14ac:dyDescent="0.25">
      <c r="D53" s="12" t="s">
        <v>1355</v>
      </c>
      <c r="M53" s="8"/>
    </row>
    <row r="54" spans="4:14" ht="20.100000000000001" customHeight="1" x14ac:dyDescent="0.25">
      <c r="D54" s="12" t="s">
        <v>1356</v>
      </c>
      <c r="M54" s="8"/>
    </row>
    <row r="55" spans="4:14" ht="20.100000000000001" customHeight="1" x14ac:dyDescent="0.25">
      <c r="D55" s="12" t="s">
        <v>1357</v>
      </c>
      <c r="M55" s="8"/>
    </row>
    <row r="56" spans="4:14" ht="20.100000000000001" customHeight="1" x14ac:dyDescent="0.25">
      <c r="D56" s="12" t="s">
        <v>1358</v>
      </c>
      <c r="M56" s="8"/>
    </row>
    <row r="57" spans="4:14" ht="20.100000000000001" customHeight="1" x14ac:dyDescent="0.25">
      <c r="D57" s="12" t="s">
        <v>1359</v>
      </c>
      <c r="M57" s="8"/>
    </row>
    <row r="58" spans="4:14" ht="20.100000000000001" customHeight="1" x14ac:dyDescent="0.25">
      <c r="M58" s="8"/>
    </row>
    <row r="59" spans="4:14" ht="20.100000000000001" customHeight="1" x14ac:dyDescent="0.25">
      <c r="D59" s="10" t="s">
        <v>540</v>
      </c>
      <c r="E59" s="10" t="s">
        <v>607</v>
      </c>
      <c r="F59" s="10" t="s">
        <v>339</v>
      </c>
      <c r="G59" s="10" t="s">
        <v>315</v>
      </c>
      <c r="H59" s="10" t="s">
        <v>340</v>
      </c>
      <c r="I59" s="10" t="s">
        <v>441</v>
      </c>
      <c r="J59" s="10" t="s">
        <v>345</v>
      </c>
      <c r="K59" s="10" t="s">
        <v>399</v>
      </c>
      <c r="L59" s="10" t="s">
        <v>346</v>
      </c>
      <c r="M59" s="10" t="s">
        <v>395</v>
      </c>
      <c r="N59" s="10" t="s">
        <v>558</v>
      </c>
    </row>
    <row r="60" spans="4:14" ht="20.100000000000001" customHeight="1" x14ac:dyDescent="0.25">
      <c r="D60" s="10" t="s">
        <v>1360</v>
      </c>
      <c r="E60" s="10">
        <v>1.4999999999999999E-2</v>
      </c>
      <c r="F60" s="10">
        <v>1.4999999999999999E-2</v>
      </c>
      <c r="G60" s="10">
        <v>1.4999999999999999E-2</v>
      </c>
      <c r="H60" s="10">
        <v>1.4999999999999999E-2</v>
      </c>
      <c r="I60" s="10">
        <v>1.4999999999999999E-2</v>
      </c>
      <c r="J60" s="10">
        <v>1.4999999999999999E-2</v>
      </c>
      <c r="K60" s="10">
        <v>1.4999999999999999E-2</v>
      </c>
      <c r="L60" s="10">
        <v>1.4999999999999999E-2</v>
      </c>
      <c r="M60" s="10">
        <v>1.4999999999999999E-2</v>
      </c>
      <c r="N60" s="10" t="s">
        <v>58</v>
      </c>
    </row>
    <row r="61" spans="4:14" ht="20.100000000000001" customHeight="1" x14ac:dyDescent="0.25">
      <c r="D61" s="8" t="s">
        <v>1361</v>
      </c>
      <c r="E61" s="10">
        <v>1.4999999999999999E-2</v>
      </c>
      <c r="F61" s="10">
        <v>1.4999999999999999E-2</v>
      </c>
      <c r="G61" s="10">
        <v>1.4999999999999999E-2</v>
      </c>
      <c r="H61" s="10">
        <v>1.4999999999999999E-2</v>
      </c>
      <c r="I61" s="10">
        <v>1.4999999999999999E-2</v>
      </c>
      <c r="J61" s="10">
        <v>1.4999999999999999E-2</v>
      </c>
      <c r="K61" s="10">
        <v>1.4999999999999999E-2</v>
      </c>
      <c r="L61" s="10">
        <v>1.4999999999999999E-2</v>
      </c>
      <c r="M61" s="10">
        <v>1.4999999999999999E-2</v>
      </c>
      <c r="N61" s="10" t="s">
        <v>596</v>
      </c>
    </row>
    <row r="62" spans="4:14" ht="20.100000000000001" customHeight="1" x14ac:dyDescent="0.25">
      <c r="D62" s="8" t="s">
        <v>1361</v>
      </c>
      <c r="E62" s="10">
        <v>1.4999999999999999E-2</v>
      </c>
      <c r="F62" s="10">
        <v>1.4999999999999999E-2</v>
      </c>
      <c r="G62" s="10">
        <v>1.4999999999999999E-2</v>
      </c>
      <c r="H62" s="10">
        <v>1.4999999999999999E-2</v>
      </c>
      <c r="I62" s="10">
        <v>1.4999999999999999E-2</v>
      </c>
      <c r="J62" s="10">
        <v>1.4999999999999999E-2</v>
      </c>
      <c r="K62" s="10">
        <v>1.4999999999999999E-2</v>
      </c>
      <c r="L62" s="10">
        <v>1.4999999999999999E-2</v>
      </c>
      <c r="M62" s="10">
        <v>1.4999999999999999E-2</v>
      </c>
      <c r="N62" s="10" t="s">
        <v>599</v>
      </c>
    </row>
    <row r="63" spans="4:14" ht="20.100000000000001" customHeight="1" x14ac:dyDescent="0.25">
      <c r="D63" s="8" t="s">
        <v>62</v>
      </c>
      <c r="E63" s="10" t="s">
        <v>440</v>
      </c>
      <c r="F63" s="10">
        <v>0.01</v>
      </c>
      <c r="G63" s="10">
        <v>0.01</v>
      </c>
      <c r="H63" s="10">
        <v>0.03</v>
      </c>
      <c r="I63" s="10">
        <v>0.03</v>
      </c>
      <c r="J63" s="10">
        <v>0.01</v>
      </c>
      <c r="K63" s="10">
        <v>0.01</v>
      </c>
      <c r="L63" s="10">
        <v>0.01</v>
      </c>
      <c r="M63" s="10">
        <v>0.01</v>
      </c>
      <c r="N63" s="10" t="s">
        <v>62</v>
      </c>
    </row>
    <row r="64" spans="4:14" ht="20.100000000000001" customHeight="1" x14ac:dyDescent="0.25">
      <c r="D64" s="8" t="s">
        <v>55</v>
      </c>
      <c r="E64" s="10">
        <v>0.02</v>
      </c>
      <c r="F64" s="10">
        <v>0.02</v>
      </c>
      <c r="G64" s="10">
        <v>0.02</v>
      </c>
      <c r="H64" s="10">
        <v>0.02</v>
      </c>
      <c r="I64" s="10">
        <v>0.02</v>
      </c>
      <c r="J64" s="10">
        <v>0.02</v>
      </c>
      <c r="K64" s="10">
        <v>0.02</v>
      </c>
      <c r="L64" s="10">
        <v>0.02</v>
      </c>
      <c r="M64" s="10">
        <v>0.02</v>
      </c>
      <c r="N64" s="10" t="s">
        <v>55</v>
      </c>
    </row>
    <row r="65" spans="4:22" ht="20.100000000000001" customHeight="1" x14ac:dyDescent="0.25">
      <c r="D65" s="8" t="s">
        <v>54</v>
      </c>
      <c r="E65" s="10" t="s">
        <v>440</v>
      </c>
      <c r="F65" s="10">
        <v>0.01</v>
      </c>
      <c r="G65" s="10">
        <v>0.01</v>
      </c>
      <c r="H65" s="10">
        <v>0.01</v>
      </c>
      <c r="I65" s="10">
        <v>0.01</v>
      </c>
      <c r="J65" s="10">
        <v>0.01</v>
      </c>
      <c r="K65" s="10">
        <v>0.01</v>
      </c>
      <c r="L65" s="10">
        <v>0.01</v>
      </c>
      <c r="M65" s="10">
        <v>5.0000000000000001E-3</v>
      </c>
      <c r="N65" s="10" t="s">
        <v>54</v>
      </c>
    </row>
    <row r="66" spans="4:22" ht="20.100000000000001" customHeight="1" x14ac:dyDescent="0.25">
      <c r="D66" s="8" t="s">
        <v>1362</v>
      </c>
      <c r="E66" s="10">
        <v>0.1</v>
      </c>
      <c r="F66" s="10">
        <v>0.1</v>
      </c>
      <c r="G66" s="10">
        <v>0.1</v>
      </c>
      <c r="H66" s="10">
        <v>0.1</v>
      </c>
      <c r="I66" s="10">
        <v>0.1</v>
      </c>
      <c r="J66" s="10">
        <v>0.1</v>
      </c>
      <c r="K66" s="10">
        <v>0.1</v>
      </c>
      <c r="L66" s="10">
        <v>0.1</v>
      </c>
      <c r="M66" s="10">
        <v>0.1</v>
      </c>
      <c r="N66" s="10" t="s">
        <v>51</v>
      </c>
    </row>
    <row r="67" spans="4:22" ht="20.100000000000001" customHeight="1" x14ac:dyDescent="0.25">
      <c r="D67" s="8" t="s">
        <v>60</v>
      </c>
      <c r="E67" s="10">
        <v>0</v>
      </c>
      <c r="F67" s="10">
        <v>0</v>
      </c>
      <c r="G67" s="10">
        <v>0</v>
      </c>
      <c r="H67" s="10">
        <v>0</v>
      </c>
      <c r="I67" s="10">
        <v>0</v>
      </c>
      <c r="J67" s="10">
        <v>0</v>
      </c>
      <c r="K67" s="10">
        <v>0</v>
      </c>
      <c r="L67" s="10">
        <v>0</v>
      </c>
      <c r="M67" s="10">
        <v>0</v>
      </c>
      <c r="N67" s="10" t="s">
        <v>60</v>
      </c>
    </row>
    <row r="68" spans="4:22" ht="20.100000000000001" customHeight="1" x14ac:dyDescent="0.25">
      <c r="D68" s="8" t="s">
        <v>1363</v>
      </c>
      <c r="E68" s="10">
        <v>0</v>
      </c>
      <c r="F68" s="10">
        <v>0</v>
      </c>
      <c r="G68" s="10">
        <v>0</v>
      </c>
      <c r="H68" s="10">
        <v>0</v>
      </c>
      <c r="I68" s="10">
        <v>0</v>
      </c>
      <c r="J68" s="10">
        <v>0</v>
      </c>
      <c r="K68" s="10">
        <v>0</v>
      </c>
      <c r="L68" s="10">
        <v>0</v>
      </c>
      <c r="M68" s="10">
        <v>0</v>
      </c>
      <c r="N68" s="10" t="s">
        <v>61</v>
      </c>
    </row>
    <row r="69" spans="4:22" ht="20.100000000000001" customHeight="1" x14ac:dyDescent="0.25">
      <c r="M69" s="8"/>
    </row>
    <row r="70" spans="4:22" ht="20.100000000000001" customHeight="1" x14ac:dyDescent="0.25">
      <c r="M70" s="8"/>
    </row>
    <row r="71" spans="4:22" ht="20.100000000000001" customHeight="1" x14ac:dyDescent="0.25">
      <c r="M71" s="8"/>
      <c r="V71" s="8"/>
    </row>
    <row r="72" spans="4:22" ht="20.100000000000001" customHeight="1" x14ac:dyDescent="0.25">
      <c r="D72" s="9" t="s">
        <v>1364</v>
      </c>
      <c r="M72" s="8"/>
      <c r="V72" s="8"/>
    </row>
    <row r="73" spans="4:22" ht="20.100000000000001" customHeight="1" x14ac:dyDescent="0.25">
      <c r="D73" s="11" t="s">
        <v>1365</v>
      </c>
      <c r="M73" s="8"/>
      <c r="V73" s="8"/>
    </row>
    <row r="74" spans="4:22" ht="20.100000000000001" customHeight="1" x14ac:dyDescent="0.25">
      <c r="D74" s="12" t="s">
        <v>1366</v>
      </c>
      <c r="M74" s="8"/>
      <c r="V74" s="8"/>
    </row>
    <row r="75" spans="4:22" ht="20.100000000000001" customHeight="1" x14ac:dyDescent="0.25">
      <c r="D75" s="10" t="s">
        <v>532</v>
      </c>
      <c r="E75" s="10" t="s">
        <v>564</v>
      </c>
      <c r="F75" s="10" t="s">
        <v>558</v>
      </c>
      <c r="M75" s="8"/>
      <c r="V75" s="8"/>
    </row>
    <row r="76" spans="4:22" ht="20.100000000000001" customHeight="1" x14ac:dyDescent="0.25">
      <c r="D76" s="10" t="s">
        <v>1360</v>
      </c>
      <c r="E76" s="10">
        <v>0.15</v>
      </c>
      <c r="F76" s="10" t="s">
        <v>58</v>
      </c>
      <c r="M76" s="8"/>
      <c r="V76" s="8"/>
    </row>
    <row r="77" spans="4:22" ht="20.100000000000001" customHeight="1" x14ac:dyDescent="0.25">
      <c r="D77" s="8" t="s">
        <v>1367</v>
      </c>
      <c r="E77" s="10">
        <v>0.2</v>
      </c>
      <c r="F77" s="10" t="s">
        <v>599</v>
      </c>
      <c r="M77" s="8"/>
      <c r="V77" s="8"/>
    </row>
    <row r="78" spans="4:22" ht="20.100000000000001" customHeight="1" x14ac:dyDescent="0.25">
      <c r="D78" s="8" t="s">
        <v>1368</v>
      </c>
      <c r="E78" s="10">
        <v>0</v>
      </c>
      <c r="F78" s="10" t="s">
        <v>596</v>
      </c>
      <c r="M78" s="8"/>
      <c r="V78" s="8"/>
    </row>
    <row r="79" spans="4:22" ht="20.100000000000001" customHeight="1" x14ac:dyDescent="0.25">
      <c r="M79" s="8"/>
      <c r="V79" s="8"/>
    </row>
    <row r="80" spans="4:22" ht="20.100000000000001" customHeight="1" x14ac:dyDescent="0.25">
      <c r="M80" s="8"/>
      <c r="V80" s="8"/>
    </row>
    <row r="81" spans="4:23" ht="20.100000000000001" customHeight="1" x14ac:dyDescent="0.25">
      <c r="D81" s="9" t="s">
        <v>1369</v>
      </c>
      <c r="M81" s="8"/>
      <c r="V81" s="8"/>
    </row>
    <row r="82" spans="4:23" ht="20.100000000000001" customHeight="1" x14ac:dyDescent="0.25">
      <c r="D82" s="11" t="s">
        <v>1370</v>
      </c>
      <c r="M82" s="8"/>
      <c r="V82" s="8"/>
    </row>
    <row r="83" spans="4:23" ht="20.100000000000001" customHeight="1" x14ac:dyDescent="0.25">
      <c r="D83" s="12" t="s">
        <v>1371</v>
      </c>
      <c r="M83" s="8"/>
    </row>
    <row r="84" spans="4:23" ht="20.100000000000001" customHeight="1" x14ac:dyDescent="0.25">
      <c r="D84" s="10" t="s">
        <v>570</v>
      </c>
      <c r="E84" s="10" t="s">
        <v>571</v>
      </c>
      <c r="F84" s="10" t="s">
        <v>541</v>
      </c>
      <c r="M84" s="8"/>
    </row>
    <row r="85" spans="4:23" ht="20.100000000000001" customHeight="1" x14ac:dyDescent="0.25">
      <c r="D85" s="10" t="s">
        <v>1372</v>
      </c>
      <c r="E85" s="10">
        <v>0.3</v>
      </c>
      <c r="F85" s="10" t="s">
        <v>58</v>
      </c>
      <c r="M85" s="8"/>
      <c r="V85" s="8"/>
    </row>
    <row r="86" spans="4:23" ht="20.100000000000001" customHeight="1" x14ac:dyDescent="0.25">
      <c r="D86" s="8" t="s">
        <v>1373</v>
      </c>
      <c r="E86" s="10">
        <v>0.05</v>
      </c>
      <c r="F86" s="10" t="s">
        <v>596</v>
      </c>
      <c r="M86" s="8"/>
      <c r="V86" s="8"/>
    </row>
    <row r="87" spans="4:23" ht="20.100000000000001" customHeight="1" x14ac:dyDescent="0.25">
      <c r="D87" s="8" t="s">
        <v>1374</v>
      </c>
      <c r="E87" s="10">
        <v>0.4</v>
      </c>
      <c r="F87" s="10" t="s">
        <v>599</v>
      </c>
      <c r="M87" s="8"/>
      <c r="V87" s="8"/>
    </row>
    <row r="88" spans="4:23" ht="20.100000000000001" customHeight="1" x14ac:dyDescent="0.25">
      <c r="D88" s="8" t="s">
        <v>1375</v>
      </c>
      <c r="E88" s="10">
        <v>0.2</v>
      </c>
      <c r="F88" s="10" t="s">
        <v>55</v>
      </c>
      <c r="M88" s="8"/>
      <c r="V88" s="8"/>
    </row>
    <row r="89" spans="4:23" ht="20.100000000000001" customHeight="1" x14ac:dyDescent="0.25">
      <c r="D89" s="8" t="s">
        <v>54</v>
      </c>
      <c r="E89" s="10">
        <v>0.2</v>
      </c>
      <c r="F89" s="10" t="s">
        <v>54</v>
      </c>
      <c r="M89" s="8"/>
      <c r="V89" s="8"/>
      <c r="W89" s="8"/>
    </row>
    <row r="90" spans="4:23" ht="20.100000000000001" customHeight="1" x14ac:dyDescent="0.25">
      <c r="D90" s="8" t="s">
        <v>60</v>
      </c>
      <c r="E90" s="10">
        <v>0</v>
      </c>
      <c r="F90" s="10" t="s">
        <v>60</v>
      </c>
      <c r="M90" s="8"/>
      <c r="V90" s="8"/>
      <c r="W90" s="8"/>
    </row>
    <row r="91" spans="4:23" ht="20.100000000000001" customHeight="1" x14ac:dyDescent="0.25">
      <c r="D91" s="8" t="s">
        <v>1376</v>
      </c>
      <c r="E91" s="10">
        <v>0</v>
      </c>
      <c r="F91" s="10" t="s">
        <v>51</v>
      </c>
      <c r="M91" s="8"/>
      <c r="V91" s="8"/>
    </row>
    <row r="92" spans="4:23" ht="20.100000000000001" customHeight="1" x14ac:dyDescent="0.25">
      <c r="M92" s="8"/>
      <c r="V92" s="8"/>
    </row>
    <row r="93" spans="4:23" ht="20.100000000000001" customHeight="1" x14ac:dyDescent="0.25">
      <c r="M93" s="8"/>
      <c r="V93" s="8"/>
    </row>
    <row r="94" spans="4:23" ht="20.100000000000001" customHeight="1" x14ac:dyDescent="0.25">
      <c r="D94" s="9" t="s">
        <v>1377</v>
      </c>
      <c r="M94" s="8"/>
    </row>
    <row r="95" spans="4:23" ht="20.100000000000001" customHeight="1" x14ac:dyDescent="0.25">
      <c r="D95" s="11" t="s">
        <v>1378</v>
      </c>
      <c r="M95" s="8"/>
    </row>
    <row r="96" spans="4:23" ht="20.100000000000001" customHeight="1" x14ac:dyDescent="0.25">
      <c r="D96" s="12" t="s">
        <v>1379</v>
      </c>
      <c r="M96" s="8"/>
    </row>
    <row r="97" spans="4:13" ht="20.100000000000001" customHeight="1" x14ac:dyDescent="0.25">
      <c r="D97" s="10" t="s">
        <v>570</v>
      </c>
      <c r="E97" s="10" t="s">
        <v>572</v>
      </c>
      <c r="F97" s="10" t="s">
        <v>541</v>
      </c>
      <c r="M97" s="8"/>
    </row>
    <row r="98" spans="4:13" ht="20.100000000000001" customHeight="1" x14ac:dyDescent="0.25">
      <c r="D98" s="10" t="s">
        <v>1372</v>
      </c>
      <c r="E98" s="10">
        <v>1E-3</v>
      </c>
      <c r="F98" s="10" t="s">
        <v>58</v>
      </c>
      <c r="M98" s="8"/>
    </row>
    <row r="99" spans="4:13" ht="20.100000000000001" customHeight="1" x14ac:dyDescent="0.25">
      <c r="D99" s="8" t="s">
        <v>1380</v>
      </c>
      <c r="E99" s="10">
        <v>1E-3</v>
      </c>
      <c r="F99" s="10" t="s">
        <v>596</v>
      </c>
      <c r="M99" s="8"/>
    </row>
    <row r="100" spans="4:13" ht="20.100000000000001" customHeight="1" x14ac:dyDescent="0.25">
      <c r="D100" s="8" t="s">
        <v>1380</v>
      </c>
      <c r="E100" s="10">
        <v>1E-3</v>
      </c>
      <c r="F100" s="10" t="s">
        <v>599</v>
      </c>
      <c r="M100" s="8"/>
    </row>
    <row r="101" spans="4:13" ht="20.100000000000001" customHeight="1" x14ac:dyDescent="0.25">
      <c r="D101" s="8" t="s">
        <v>1381</v>
      </c>
      <c r="E101" s="10">
        <v>0.02</v>
      </c>
      <c r="F101" s="10" t="s">
        <v>62</v>
      </c>
      <c r="M101" s="8"/>
    </row>
    <row r="102" spans="4:13" ht="20.100000000000001" customHeight="1" x14ac:dyDescent="0.25">
      <c r="D102" s="8" t="s">
        <v>1375</v>
      </c>
      <c r="E102" s="10">
        <v>5.0000000000000001E-3</v>
      </c>
      <c r="F102" s="10" t="s">
        <v>55</v>
      </c>
      <c r="M102" s="8"/>
    </row>
    <row r="103" spans="4:13" ht="20.100000000000001" customHeight="1" x14ac:dyDescent="0.25">
      <c r="D103" s="8" t="s">
        <v>54</v>
      </c>
      <c r="E103" s="10">
        <v>0.01</v>
      </c>
      <c r="F103" s="10" t="s">
        <v>54</v>
      </c>
      <c r="M103" s="8"/>
    </row>
    <row r="104" spans="4:13" ht="20.100000000000001" customHeight="1" x14ac:dyDescent="0.25">
      <c r="D104" s="8" t="s">
        <v>60</v>
      </c>
      <c r="E104" s="10">
        <v>0</v>
      </c>
      <c r="F104" s="10" t="s">
        <v>60</v>
      </c>
      <c r="M104" s="8"/>
    </row>
    <row r="105" spans="4:13" ht="20.100000000000001" customHeight="1" x14ac:dyDescent="0.25">
      <c r="D105" s="8" t="s">
        <v>1376</v>
      </c>
      <c r="E105" s="10">
        <v>0</v>
      </c>
      <c r="F105" s="10" t="s">
        <v>51</v>
      </c>
      <c r="M105" s="8"/>
    </row>
    <row r="106" spans="4:13" ht="20.100000000000001" customHeight="1" x14ac:dyDescent="0.25">
      <c r="M106" s="8"/>
    </row>
    <row r="107" spans="4:13" ht="20.100000000000001" customHeight="1" x14ac:dyDescent="0.25">
      <c r="M107" s="8"/>
    </row>
    <row r="108" spans="4:13" ht="20.100000000000001" customHeight="1" x14ac:dyDescent="0.25">
      <c r="D108" s="9" t="s">
        <v>1382</v>
      </c>
      <c r="M108" s="8"/>
    </row>
    <row r="109" spans="4:13" ht="20.100000000000001" customHeight="1" x14ac:dyDescent="0.25">
      <c r="D109" s="11" t="s">
        <v>1383</v>
      </c>
      <c r="M109" s="8"/>
    </row>
    <row r="110" spans="4:13" ht="20.100000000000001" customHeight="1" x14ac:dyDescent="0.25">
      <c r="D110" s="28" t="s">
        <v>1384</v>
      </c>
      <c r="E110" s="8">
        <v>0.02</v>
      </c>
      <c r="M110" s="8"/>
    </row>
    <row r="111" spans="4:13" ht="20.100000000000001" customHeight="1" x14ac:dyDescent="0.25">
      <c r="M111" s="8"/>
    </row>
    <row r="112" spans="4:13" ht="20.100000000000001" customHeight="1" x14ac:dyDescent="0.25">
      <c r="D112" s="9" t="s">
        <v>1385</v>
      </c>
      <c r="M112" s="8"/>
    </row>
    <row r="113" spans="4:22" ht="20.100000000000001" customHeight="1" x14ac:dyDescent="0.25">
      <c r="D113" s="11" t="s">
        <v>1383</v>
      </c>
      <c r="M113" s="8"/>
    </row>
    <row r="114" spans="4:22" ht="20.100000000000001" customHeight="1" x14ac:dyDescent="0.25">
      <c r="D114" s="12" t="s">
        <v>1386</v>
      </c>
      <c r="M114" s="8"/>
    </row>
    <row r="115" spans="4:22" ht="20.100000000000001" customHeight="1" x14ac:dyDescent="0.25">
      <c r="D115" s="28" t="s">
        <v>1066</v>
      </c>
      <c r="E115" s="8">
        <v>0.21</v>
      </c>
      <c r="F115" s="13" t="s">
        <v>1068</v>
      </c>
      <c r="M115" s="8"/>
      <c r="V115" s="8"/>
    </row>
    <row r="116" spans="4:22" ht="20.100000000000001" customHeight="1" x14ac:dyDescent="0.25">
      <c r="M116" s="8"/>
      <c r="V116" s="8"/>
    </row>
    <row r="117" spans="4:22" ht="20.100000000000001" customHeight="1" x14ac:dyDescent="0.25">
      <c r="D117" s="9" t="s">
        <v>1387</v>
      </c>
      <c r="M117" s="8"/>
      <c r="V117" s="8"/>
    </row>
    <row r="118" spans="4:22" ht="20.100000000000001" customHeight="1" x14ac:dyDescent="0.25">
      <c r="D118" s="11" t="s">
        <v>1388</v>
      </c>
      <c r="M118" s="8"/>
    </row>
    <row r="119" spans="4:22" ht="20.100000000000001" customHeight="1" x14ac:dyDescent="0.25">
      <c r="D119" s="10" t="s">
        <v>608</v>
      </c>
      <c r="E119" s="10" t="s">
        <v>574</v>
      </c>
      <c r="M119" s="8"/>
    </row>
    <row r="120" spans="4:22" ht="20.100000000000001" customHeight="1" x14ac:dyDescent="0.25">
      <c r="D120" s="10" t="s">
        <v>609</v>
      </c>
      <c r="E120" s="10">
        <v>1.3</v>
      </c>
      <c r="M120" s="8"/>
    </row>
    <row r="121" spans="4:22" ht="20.100000000000001" customHeight="1" x14ac:dyDescent="0.25">
      <c r="D121" s="8" t="s">
        <v>1389</v>
      </c>
      <c r="E121" s="10">
        <v>2</v>
      </c>
      <c r="M121" s="8"/>
    </row>
    <row r="122" spans="4:22" ht="20.100000000000001" customHeight="1" x14ac:dyDescent="0.25">
      <c r="D122" s="8" t="s">
        <v>610</v>
      </c>
      <c r="E122" s="10">
        <v>1.4</v>
      </c>
      <c r="M122" s="8"/>
    </row>
    <row r="123" spans="4:22" ht="20.100000000000001" customHeight="1" x14ac:dyDescent="0.25">
      <c r="D123" s="8" t="s">
        <v>1390</v>
      </c>
      <c r="E123" s="10">
        <v>1.2</v>
      </c>
      <c r="M123" s="8"/>
    </row>
    <row r="124" spans="4:22" ht="20.100000000000001" customHeight="1" x14ac:dyDescent="0.25">
      <c r="M124" s="8"/>
    </row>
    <row r="125" spans="4:22" ht="20.100000000000001" customHeight="1" x14ac:dyDescent="0.25">
      <c r="M125" s="8"/>
      <c r="V125" s="8"/>
    </row>
    <row r="126" spans="4:22" ht="20.100000000000001" customHeight="1" x14ac:dyDescent="0.25">
      <c r="M126" s="8"/>
      <c r="V126" s="8"/>
    </row>
    <row r="127" spans="4:22" ht="20.100000000000001" customHeight="1" x14ac:dyDescent="0.25">
      <c r="M127" s="8"/>
      <c r="V127" s="8"/>
    </row>
    <row r="128" spans="4:22" ht="20.100000000000001" customHeight="1" x14ac:dyDescent="0.25">
      <c r="M128" s="8"/>
      <c r="V128" s="8"/>
    </row>
    <row r="129" spans="13:22" ht="20.100000000000001" customHeight="1" x14ac:dyDescent="0.25">
      <c r="M129" s="8"/>
      <c r="V129" s="8"/>
    </row>
    <row r="130" spans="13:22" ht="20.100000000000001" customHeight="1" x14ac:dyDescent="0.25">
      <c r="M130" s="8"/>
      <c r="V130" s="8"/>
    </row>
    <row r="131" spans="13:22" ht="20.100000000000001" customHeight="1" x14ac:dyDescent="0.25">
      <c r="M131" s="8"/>
    </row>
    <row r="132" spans="13:22" ht="20.100000000000001" customHeight="1" x14ac:dyDescent="0.25">
      <c r="M132" s="8"/>
    </row>
    <row r="133" spans="13:22" ht="20.100000000000001" customHeight="1" x14ac:dyDescent="0.25">
      <c r="M133" s="8"/>
    </row>
    <row r="134" spans="13:22" ht="20.100000000000001" customHeight="1" x14ac:dyDescent="0.25">
      <c r="M134" s="8"/>
    </row>
    <row r="135" spans="13:22" ht="20.100000000000001" customHeight="1" x14ac:dyDescent="0.25">
      <c r="M135" s="8"/>
    </row>
    <row r="136" spans="13:22" ht="20.100000000000001" customHeight="1" x14ac:dyDescent="0.25">
      <c r="M136" s="8"/>
    </row>
    <row r="137" spans="13:22" ht="20.100000000000001" customHeight="1" x14ac:dyDescent="0.25">
      <c r="M137" s="8"/>
    </row>
    <row r="138" spans="13:22" ht="20.100000000000001" customHeight="1" x14ac:dyDescent="0.25">
      <c r="M138" s="8"/>
    </row>
    <row r="139" spans="13:22" ht="20.100000000000001" customHeight="1" x14ac:dyDescent="0.25">
      <c r="M139" s="8"/>
    </row>
    <row r="140" spans="13:22" ht="20.100000000000001" customHeight="1" x14ac:dyDescent="0.25">
      <c r="M140" s="8"/>
    </row>
    <row r="141" spans="13:22" ht="20.100000000000001" customHeight="1" x14ac:dyDescent="0.25">
      <c r="M141" s="8"/>
    </row>
    <row r="142" spans="13:22" ht="20.100000000000001" customHeight="1" x14ac:dyDescent="0.25">
      <c r="M142" s="8"/>
    </row>
    <row r="143" spans="13:22" ht="20.100000000000001" customHeight="1" x14ac:dyDescent="0.25">
      <c r="M143" s="8"/>
    </row>
    <row r="144" spans="13:22" ht="20.100000000000001" customHeight="1" x14ac:dyDescent="0.25">
      <c r="M144" s="8"/>
    </row>
    <row r="145" spans="13:13" ht="20.100000000000001" customHeight="1" x14ac:dyDescent="0.25">
      <c r="M145" s="8"/>
    </row>
    <row r="146" spans="13:13" ht="20.100000000000001" customHeight="1" x14ac:dyDescent="0.25">
      <c r="M146" s="8"/>
    </row>
    <row r="147" spans="13:13" ht="20.100000000000001" customHeight="1" x14ac:dyDescent="0.25">
      <c r="M147" s="8"/>
    </row>
    <row r="148" spans="13:13" ht="20.100000000000001" customHeight="1" x14ac:dyDescent="0.25">
      <c r="M148" s="8"/>
    </row>
    <row r="149" spans="13:13" ht="20.100000000000001" customHeight="1" x14ac:dyDescent="0.25">
      <c r="M149" s="8"/>
    </row>
    <row r="150" spans="13:13" ht="20.100000000000001" customHeight="1" x14ac:dyDescent="0.25">
      <c r="M150" s="8"/>
    </row>
    <row r="151" spans="13:13" ht="20.100000000000001" customHeight="1" x14ac:dyDescent="0.25">
      <c r="M151" s="8"/>
    </row>
    <row r="152" spans="13:13" ht="20.100000000000001" customHeight="1" x14ac:dyDescent="0.25">
      <c r="M152" s="8"/>
    </row>
    <row r="153" spans="13:13" ht="20.100000000000001" customHeight="1" x14ac:dyDescent="0.25">
      <c r="M153" s="8"/>
    </row>
    <row r="154" spans="13:13" ht="20.100000000000001" customHeight="1" x14ac:dyDescent="0.25">
      <c r="M154" s="8"/>
    </row>
    <row r="155" spans="13:13" ht="20.100000000000001" customHeight="1" x14ac:dyDescent="0.25">
      <c r="M155" s="8"/>
    </row>
    <row r="156" spans="13:13" ht="20.100000000000001" customHeight="1" x14ac:dyDescent="0.25">
      <c r="M156" s="8"/>
    </row>
    <row r="157" spans="13:13" ht="20.100000000000001" customHeight="1" x14ac:dyDescent="0.25">
      <c r="M157" s="8"/>
    </row>
    <row r="158" spans="13:13" ht="20.100000000000001" customHeight="1" x14ac:dyDescent="0.25">
      <c r="M158" s="8"/>
    </row>
    <row r="159" spans="13:13" ht="20.100000000000001" customHeight="1" x14ac:dyDescent="0.25">
      <c r="M159" s="8"/>
    </row>
    <row r="160" spans="13:13" ht="20.100000000000001" customHeight="1" x14ac:dyDescent="0.25">
      <c r="M160" s="8"/>
    </row>
    <row r="161" spans="13:13" ht="20.100000000000001" customHeight="1" x14ac:dyDescent="0.25">
      <c r="M161" s="8"/>
    </row>
    <row r="162" spans="13:13" ht="20.100000000000001" customHeight="1" x14ac:dyDescent="0.25">
      <c r="M162" s="8"/>
    </row>
    <row r="163" spans="13:13" ht="20.100000000000001" customHeight="1" x14ac:dyDescent="0.25">
      <c r="M163" s="8"/>
    </row>
    <row r="164" spans="13:13" ht="20.100000000000001" customHeight="1" x14ac:dyDescent="0.25">
      <c r="M164" s="8"/>
    </row>
    <row r="165" spans="13:13" ht="20.100000000000001" customHeight="1" x14ac:dyDescent="0.25">
      <c r="M165" s="8"/>
    </row>
    <row r="166" spans="13:13" x14ac:dyDescent="0.25">
      <c r="M166" s="8"/>
    </row>
    <row r="167" spans="13:13" x14ac:dyDescent="0.25">
      <c r="M167" s="8"/>
    </row>
    <row r="168" spans="13:13" x14ac:dyDescent="0.25">
      <c r="M168" s="8"/>
    </row>
    <row r="169" spans="13:13" x14ac:dyDescent="0.25">
      <c r="M169" s="8"/>
    </row>
    <row r="170" spans="13:13" x14ac:dyDescent="0.25">
      <c r="M170" s="8"/>
    </row>
    <row r="171" spans="13:13" x14ac:dyDescent="0.25">
      <c r="M171" s="8"/>
    </row>
    <row r="172" spans="13:13" x14ac:dyDescent="0.25">
      <c r="M172" s="8"/>
    </row>
    <row r="173" spans="13:13" x14ac:dyDescent="0.25">
      <c r="M173" s="8"/>
    </row>
    <row r="174" spans="13:13" x14ac:dyDescent="0.25">
      <c r="M174" s="8"/>
    </row>
    <row r="175" spans="13:13" x14ac:dyDescent="0.25">
      <c r="M175" s="8"/>
    </row>
    <row r="176" spans="13:13" x14ac:dyDescent="0.25">
      <c r="M176" s="8"/>
    </row>
    <row r="177" spans="13:13" x14ac:dyDescent="0.25">
      <c r="M177" s="8"/>
    </row>
    <row r="178" spans="13:13" x14ac:dyDescent="0.25">
      <c r="M178" s="8"/>
    </row>
    <row r="179" spans="13:13" x14ac:dyDescent="0.25">
      <c r="M179" s="8"/>
    </row>
    <row r="180" spans="13:13" x14ac:dyDescent="0.25">
      <c r="M180" s="8"/>
    </row>
    <row r="181" spans="13:13" x14ac:dyDescent="0.25">
      <c r="M181" s="8"/>
    </row>
    <row r="182" spans="13:13" x14ac:dyDescent="0.25">
      <c r="M182" s="8"/>
    </row>
    <row r="183" spans="13:13" x14ac:dyDescent="0.25">
      <c r="M183" s="8"/>
    </row>
    <row r="184" spans="13:13" x14ac:dyDescent="0.25">
      <c r="M184" s="8"/>
    </row>
    <row r="185" spans="13:13" x14ac:dyDescent="0.25">
      <c r="M185" s="8"/>
    </row>
    <row r="186" spans="13:13" x14ac:dyDescent="0.25">
      <c r="M186" s="8"/>
    </row>
    <row r="187" spans="13:13" x14ac:dyDescent="0.25">
      <c r="M187" s="8"/>
    </row>
    <row r="188" spans="13:13" x14ac:dyDescent="0.25">
      <c r="M188" s="8"/>
    </row>
    <row r="189" spans="13:13" x14ac:dyDescent="0.25">
      <c r="M189" s="8"/>
    </row>
    <row r="190" spans="13:13" x14ac:dyDescent="0.25">
      <c r="M190" s="8"/>
    </row>
    <row r="191" spans="13:13" x14ac:dyDescent="0.25">
      <c r="M191" s="8"/>
    </row>
    <row r="192" spans="13:13" x14ac:dyDescent="0.25">
      <c r="M192" s="8"/>
    </row>
    <row r="193" spans="13:13" x14ac:dyDescent="0.25">
      <c r="M193" s="8"/>
    </row>
    <row r="194" spans="13:13" x14ac:dyDescent="0.25">
      <c r="M194" s="8"/>
    </row>
    <row r="195" spans="13:13" x14ac:dyDescent="0.25">
      <c r="M195" s="8"/>
    </row>
    <row r="196" spans="13:13" x14ac:dyDescent="0.25">
      <c r="M196" s="8"/>
    </row>
    <row r="197" spans="13:13" x14ac:dyDescent="0.25">
      <c r="M197" s="8"/>
    </row>
    <row r="198" spans="13:13" x14ac:dyDescent="0.25">
      <c r="M198" s="8"/>
    </row>
    <row r="199" spans="13:13" x14ac:dyDescent="0.25">
      <c r="M199" s="8"/>
    </row>
    <row r="200" spans="13:13" x14ac:dyDescent="0.25">
      <c r="M200" s="8"/>
    </row>
    <row r="201" spans="13:13" x14ac:dyDescent="0.25">
      <c r="M201" s="8"/>
    </row>
    <row r="202" spans="13:13" x14ac:dyDescent="0.25">
      <c r="M202" s="8"/>
    </row>
    <row r="203" spans="13:13" x14ac:dyDescent="0.25">
      <c r="M203" s="8"/>
    </row>
    <row r="204" spans="13:13" x14ac:dyDescent="0.25">
      <c r="M204" s="8"/>
    </row>
    <row r="205" spans="13:13" x14ac:dyDescent="0.25">
      <c r="M205" s="8"/>
    </row>
    <row r="206" spans="13:13" x14ac:dyDescent="0.25">
      <c r="M206" s="8"/>
    </row>
    <row r="207" spans="13:13" x14ac:dyDescent="0.25">
      <c r="M207" s="8"/>
    </row>
    <row r="208" spans="13:13" x14ac:dyDescent="0.25">
      <c r="M208" s="8"/>
    </row>
    <row r="209" spans="13:13" x14ac:dyDescent="0.25">
      <c r="M209" s="8"/>
    </row>
    <row r="210" spans="13:13" x14ac:dyDescent="0.25">
      <c r="M210" s="8"/>
    </row>
    <row r="211" spans="13:13" x14ac:dyDescent="0.25">
      <c r="M211" s="8"/>
    </row>
    <row r="212" spans="13:13" x14ac:dyDescent="0.25">
      <c r="M212" s="8"/>
    </row>
    <row r="213" spans="13:13" x14ac:dyDescent="0.25">
      <c r="M213" s="8"/>
    </row>
    <row r="214" spans="13:13" x14ac:dyDescent="0.25">
      <c r="M214" s="8"/>
    </row>
    <row r="215" spans="13:13" x14ac:dyDescent="0.25">
      <c r="M215" s="8"/>
    </row>
    <row r="216" spans="13:13" x14ac:dyDescent="0.25">
      <c r="M216" s="8"/>
    </row>
    <row r="217" spans="13:13" x14ac:dyDescent="0.25">
      <c r="M217" s="8"/>
    </row>
    <row r="218" spans="13:13" x14ac:dyDescent="0.25">
      <c r="M218" s="8"/>
    </row>
    <row r="219" spans="13:13" x14ac:dyDescent="0.25">
      <c r="M219" s="8"/>
    </row>
    <row r="220" spans="13:13" x14ac:dyDescent="0.25">
      <c r="M220" s="8"/>
    </row>
    <row r="221" spans="13:13" x14ac:dyDescent="0.25">
      <c r="M221" s="8"/>
    </row>
    <row r="222" spans="13:13" x14ac:dyDescent="0.25">
      <c r="M222" s="8"/>
    </row>
    <row r="223" spans="13:13" x14ac:dyDescent="0.25">
      <c r="M223" s="8"/>
    </row>
    <row r="224" spans="13:13" x14ac:dyDescent="0.25">
      <c r="M224" s="8"/>
    </row>
    <row r="225" spans="13:13" x14ac:dyDescent="0.25">
      <c r="M225" s="8"/>
    </row>
    <row r="226" spans="13:13" x14ac:dyDescent="0.25">
      <c r="M226" s="8"/>
    </row>
    <row r="227" spans="13:13" x14ac:dyDescent="0.25">
      <c r="M227" s="8"/>
    </row>
    <row r="228" spans="13:13" x14ac:dyDescent="0.25">
      <c r="M228" s="8"/>
    </row>
    <row r="229" spans="13:13" x14ac:dyDescent="0.25">
      <c r="M229" s="8"/>
    </row>
    <row r="230" spans="13:13" x14ac:dyDescent="0.25">
      <c r="M230" s="8"/>
    </row>
    <row r="231" spans="13:13" x14ac:dyDescent="0.25">
      <c r="M231" s="8"/>
    </row>
    <row r="232" spans="13:13" x14ac:dyDescent="0.25">
      <c r="M232" s="8"/>
    </row>
    <row r="233" spans="13:13" x14ac:dyDescent="0.25">
      <c r="M233" s="8"/>
    </row>
    <row r="234" spans="13:13" x14ac:dyDescent="0.25">
      <c r="M234" s="8"/>
    </row>
    <row r="235" spans="13:13" x14ac:dyDescent="0.25">
      <c r="M235" s="8"/>
    </row>
    <row r="236" spans="13:13" x14ac:dyDescent="0.25">
      <c r="M236" s="8"/>
    </row>
    <row r="237" spans="13:13" x14ac:dyDescent="0.25">
      <c r="M237" s="8"/>
    </row>
    <row r="238" spans="13:13" x14ac:dyDescent="0.25">
      <c r="M238" s="8"/>
    </row>
    <row r="239" spans="13:13" x14ac:dyDescent="0.25">
      <c r="M239" s="8"/>
    </row>
    <row r="240" spans="13:13" x14ac:dyDescent="0.25">
      <c r="M240" s="8"/>
    </row>
    <row r="241" spans="13:13" x14ac:dyDescent="0.25">
      <c r="M241" s="8"/>
    </row>
    <row r="242" spans="13:13" x14ac:dyDescent="0.25">
      <c r="M242" s="8"/>
    </row>
    <row r="243" spans="13:13" x14ac:dyDescent="0.25">
      <c r="M243" s="8"/>
    </row>
    <row r="244" spans="13:13" x14ac:dyDescent="0.25">
      <c r="M244" s="8"/>
    </row>
    <row r="245" spans="13:13" x14ac:dyDescent="0.25">
      <c r="M245" s="8"/>
    </row>
    <row r="246" spans="13:13" x14ac:dyDescent="0.25">
      <c r="M246" s="8"/>
    </row>
    <row r="247" spans="13:13" x14ac:dyDescent="0.25">
      <c r="M247" s="8"/>
    </row>
    <row r="248" spans="13:13" x14ac:dyDescent="0.25">
      <c r="M248" s="8"/>
    </row>
    <row r="249" spans="13:13" x14ac:dyDescent="0.25">
      <c r="M249" s="8"/>
    </row>
    <row r="250" spans="13:13" x14ac:dyDescent="0.25">
      <c r="M250" s="8"/>
    </row>
    <row r="251" spans="13:13" x14ac:dyDescent="0.25">
      <c r="M251" s="8"/>
    </row>
    <row r="252" spans="13:13" x14ac:dyDescent="0.25">
      <c r="M252" s="8"/>
    </row>
    <row r="253" spans="13:13" x14ac:dyDescent="0.25">
      <c r="M253" s="8"/>
    </row>
    <row r="254" spans="13:13" x14ac:dyDescent="0.25">
      <c r="M254" s="8"/>
    </row>
    <row r="255" spans="13:13" x14ac:dyDescent="0.25">
      <c r="M255" s="8"/>
    </row>
    <row r="256" spans="13:13" x14ac:dyDescent="0.25">
      <c r="M256" s="8"/>
    </row>
    <row r="257" spans="13:13" x14ac:dyDescent="0.25">
      <c r="M257" s="8"/>
    </row>
    <row r="258" spans="13:13" x14ac:dyDescent="0.25">
      <c r="M258" s="8"/>
    </row>
    <row r="259" spans="13:13" x14ac:dyDescent="0.25">
      <c r="M259" s="8"/>
    </row>
    <row r="260" spans="13:13" x14ac:dyDescent="0.25">
      <c r="M260" s="8"/>
    </row>
    <row r="261" spans="13:13" x14ac:dyDescent="0.25">
      <c r="M261" s="8"/>
    </row>
    <row r="262" spans="13:13" x14ac:dyDescent="0.25">
      <c r="M262" s="8"/>
    </row>
    <row r="263" spans="13:13" x14ac:dyDescent="0.25">
      <c r="M263" s="8"/>
    </row>
    <row r="264" spans="13:13" x14ac:dyDescent="0.25">
      <c r="M264" s="8"/>
    </row>
    <row r="265" spans="13:13" x14ac:dyDescent="0.25">
      <c r="M265" s="8"/>
    </row>
    <row r="266" spans="13:13" x14ac:dyDescent="0.25">
      <c r="M266" s="8"/>
    </row>
    <row r="267" spans="13:13" x14ac:dyDescent="0.25">
      <c r="M267" s="8"/>
    </row>
    <row r="268" spans="13:13" x14ac:dyDescent="0.25">
      <c r="M268" s="8"/>
    </row>
    <row r="269" spans="13:13" x14ac:dyDescent="0.25">
      <c r="M269" s="8"/>
    </row>
    <row r="270" spans="13:13" x14ac:dyDescent="0.25">
      <c r="M270" s="8"/>
    </row>
    <row r="271" spans="13:13" x14ac:dyDescent="0.25">
      <c r="M271" s="8"/>
    </row>
    <row r="272" spans="13:13" x14ac:dyDescent="0.25">
      <c r="M272" s="8"/>
    </row>
    <row r="273" spans="13:13" x14ac:dyDescent="0.25">
      <c r="M273" s="8"/>
    </row>
    <row r="274" spans="13:13" x14ac:dyDescent="0.25">
      <c r="M274" s="8"/>
    </row>
    <row r="275" spans="13:13" x14ac:dyDescent="0.25">
      <c r="M275" s="8"/>
    </row>
    <row r="276" spans="13:13" x14ac:dyDescent="0.25">
      <c r="M276" s="8"/>
    </row>
    <row r="277" spans="13:13" x14ac:dyDescent="0.25">
      <c r="M277" s="8"/>
    </row>
    <row r="278" spans="13:13" x14ac:dyDescent="0.25">
      <c r="M278" s="8"/>
    </row>
    <row r="279" spans="13:13" x14ac:dyDescent="0.25">
      <c r="M279" s="8"/>
    </row>
    <row r="280" spans="13:13" x14ac:dyDescent="0.25">
      <c r="M280" s="8"/>
    </row>
    <row r="281" spans="13:13" x14ac:dyDescent="0.25">
      <c r="M281" s="8"/>
    </row>
    <row r="282" spans="13:13" x14ac:dyDescent="0.25">
      <c r="M282" s="8"/>
    </row>
    <row r="283" spans="13:13" x14ac:dyDescent="0.25">
      <c r="M283" s="8"/>
    </row>
    <row r="284" spans="13:13" x14ac:dyDescent="0.25">
      <c r="M284" s="8"/>
    </row>
    <row r="285" spans="13:13" x14ac:dyDescent="0.25">
      <c r="M285" s="8"/>
    </row>
    <row r="286" spans="13:13" x14ac:dyDescent="0.25">
      <c r="M286" s="8"/>
    </row>
    <row r="287" spans="13:13" x14ac:dyDescent="0.25">
      <c r="M287" s="8"/>
    </row>
    <row r="288" spans="13:13" x14ac:dyDescent="0.25">
      <c r="M288" s="8"/>
    </row>
    <row r="289" spans="13:13" x14ac:dyDescent="0.25">
      <c r="M289" s="8"/>
    </row>
    <row r="290" spans="13:13" x14ac:dyDescent="0.25">
      <c r="M290" s="8"/>
    </row>
    <row r="291" spans="13:13" x14ac:dyDescent="0.25">
      <c r="M291" s="8"/>
    </row>
    <row r="292" spans="13:13" x14ac:dyDescent="0.25">
      <c r="M292" s="8"/>
    </row>
    <row r="293" spans="13:13" x14ac:dyDescent="0.25">
      <c r="M293" s="8"/>
    </row>
    <row r="294" spans="13:13" x14ac:dyDescent="0.25">
      <c r="M294" s="8"/>
    </row>
    <row r="295" spans="13:13" x14ac:dyDescent="0.25">
      <c r="M295" s="8"/>
    </row>
    <row r="296" spans="13:13" x14ac:dyDescent="0.25">
      <c r="M296" s="8"/>
    </row>
    <row r="297" spans="13:13" x14ac:dyDescent="0.25">
      <c r="M297" s="8"/>
    </row>
    <row r="298" spans="13:13" x14ac:dyDescent="0.25">
      <c r="M298" s="8"/>
    </row>
    <row r="299" spans="13:13" x14ac:dyDescent="0.25">
      <c r="M299" s="8"/>
    </row>
    <row r="300" spans="13:13" x14ac:dyDescent="0.25">
      <c r="M300" s="8"/>
    </row>
    <row r="301" spans="13:13" x14ac:dyDescent="0.25">
      <c r="M301" s="8"/>
    </row>
    <row r="302" spans="13:13" x14ac:dyDescent="0.25">
      <c r="M302" s="8"/>
    </row>
    <row r="303" spans="13:13" x14ac:dyDescent="0.25">
      <c r="M303" s="8"/>
    </row>
    <row r="304" spans="13:13" x14ac:dyDescent="0.25">
      <c r="M304" s="8"/>
    </row>
    <row r="305" spans="13:13" x14ac:dyDescent="0.25">
      <c r="M305" s="8"/>
    </row>
    <row r="306" spans="13:13" x14ac:dyDescent="0.25">
      <c r="M306" s="8"/>
    </row>
    <row r="307" spans="13:13" x14ac:dyDescent="0.25">
      <c r="M307" s="8"/>
    </row>
    <row r="308" spans="13:13" x14ac:dyDescent="0.25">
      <c r="M308" s="8"/>
    </row>
    <row r="309" spans="13:13" x14ac:dyDescent="0.25">
      <c r="M309" s="8"/>
    </row>
    <row r="310" spans="13:13" x14ac:dyDescent="0.25">
      <c r="M310" s="8"/>
    </row>
    <row r="311" spans="13:13" x14ac:dyDescent="0.25">
      <c r="M311" s="8"/>
    </row>
    <row r="312" spans="13:13" x14ac:dyDescent="0.25">
      <c r="M312" s="8"/>
    </row>
    <row r="313" spans="13:13" x14ac:dyDescent="0.25">
      <c r="M313" s="8"/>
    </row>
    <row r="314" spans="13:13" x14ac:dyDescent="0.25">
      <c r="M314" s="8"/>
    </row>
    <row r="315" spans="13:13" x14ac:dyDescent="0.25">
      <c r="M315" s="8"/>
    </row>
    <row r="316" spans="13:13" x14ac:dyDescent="0.25">
      <c r="M316" s="8"/>
    </row>
    <row r="317" spans="13:13" x14ac:dyDescent="0.25">
      <c r="M317" s="8"/>
    </row>
    <row r="318" spans="13:13" x14ac:dyDescent="0.25">
      <c r="M318" s="8"/>
    </row>
    <row r="319" spans="13:13" x14ac:dyDescent="0.25">
      <c r="M319" s="8"/>
    </row>
    <row r="320" spans="13:13" x14ac:dyDescent="0.25">
      <c r="M320" s="8"/>
    </row>
    <row r="321" spans="13:13" x14ac:dyDescent="0.25">
      <c r="M321" s="8"/>
    </row>
    <row r="322" spans="13:13" x14ac:dyDescent="0.25">
      <c r="M322" s="8"/>
    </row>
    <row r="323" spans="13:13" x14ac:dyDescent="0.25">
      <c r="M323" s="8"/>
    </row>
    <row r="324" spans="13:13" x14ac:dyDescent="0.25">
      <c r="M324" s="8"/>
    </row>
    <row r="325" spans="13:13" x14ac:dyDescent="0.25">
      <c r="M325" s="8"/>
    </row>
    <row r="326" spans="13:13" x14ac:dyDescent="0.25">
      <c r="M326" s="8"/>
    </row>
    <row r="327" spans="13:13" x14ac:dyDescent="0.25">
      <c r="M327" s="8"/>
    </row>
    <row r="328" spans="13:13" x14ac:dyDescent="0.25">
      <c r="M328" s="8"/>
    </row>
    <row r="329" spans="13:13" x14ac:dyDescent="0.25">
      <c r="M329" s="8"/>
    </row>
    <row r="330" spans="13:13" x14ac:dyDescent="0.25">
      <c r="M330" s="8"/>
    </row>
    <row r="331" spans="13:13" x14ac:dyDescent="0.25">
      <c r="M331" s="8"/>
    </row>
    <row r="332" spans="13:13" x14ac:dyDescent="0.25">
      <c r="M332" s="8"/>
    </row>
    <row r="333" spans="13:13" x14ac:dyDescent="0.25">
      <c r="M333" s="8"/>
    </row>
    <row r="334" spans="13:13" x14ac:dyDescent="0.25">
      <c r="M334" s="8"/>
    </row>
    <row r="335" spans="13:13" x14ac:dyDescent="0.25">
      <c r="M335" s="8"/>
    </row>
    <row r="336" spans="13:13" x14ac:dyDescent="0.25">
      <c r="M336" s="8"/>
    </row>
    <row r="337" spans="13:13" x14ac:dyDescent="0.25">
      <c r="M337" s="8"/>
    </row>
    <row r="338" spans="13:13" x14ac:dyDescent="0.25">
      <c r="M338" s="8"/>
    </row>
    <row r="339" spans="13:13" x14ac:dyDescent="0.25">
      <c r="M339" s="8"/>
    </row>
    <row r="340" spans="13:13" x14ac:dyDescent="0.25">
      <c r="M340" s="8"/>
    </row>
    <row r="341" spans="13:13" x14ac:dyDescent="0.25">
      <c r="M341" s="8"/>
    </row>
    <row r="342" spans="13:13" x14ac:dyDescent="0.25">
      <c r="M342" s="8"/>
    </row>
    <row r="343" spans="13:13" x14ac:dyDescent="0.25">
      <c r="M343" s="8"/>
    </row>
    <row r="344" spans="13:13" x14ac:dyDescent="0.25">
      <c r="M344" s="8"/>
    </row>
    <row r="345" spans="13:13" x14ac:dyDescent="0.25">
      <c r="M345" s="8"/>
    </row>
    <row r="346" spans="13:13" x14ac:dyDescent="0.25">
      <c r="M346" s="8"/>
    </row>
    <row r="347" spans="13:13" x14ac:dyDescent="0.25">
      <c r="M347" s="8"/>
    </row>
    <row r="348" spans="13:13" x14ac:dyDescent="0.25">
      <c r="M348" s="8"/>
    </row>
    <row r="349" spans="13:13" x14ac:dyDescent="0.25">
      <c r="M349" s="8"/>
    </row>
    <row r="350" spans="13:13" x14ac:dyDescent="0.25">
      <c r="M350" s="8"/>
    </row>
    <row r="351" spans="13:13" x14ac:dyDescent="0.25">
      <c r="M351" s="8"/>
    </row>
    <row r="352" spans="13:13" x14ac:dyDescent="0.25">
      <c r="M352" s="8"/>
    </row>
    <row r="353" spans="13:13" x14ac:dyDescent="0.25">
      <c r="M353" s="8"/>
    </row>
    <row r="354" spans="13:13" x14ac:dyDescent="0.25">
      <c r="M354" s="8"/>
    </row>
    <row r="355" spans="13:13" x14ac:dyDescent="0.25">
      <c r="M355" s="8"/>
    </row>
    <row r="356" spans="13:13" x14ac:dyDescent="0.25">
      <c r="M356" s="8"/>
    </row>
    <row r="357" spans="13:13" x14ac:dyDescent="0.25">
      <c r="M357" s="8"/>
    </row>
    <row r="358" spans="13:13" x14ac:dyDescent="0.25">
      <c r="M358" s="8"/>
    </row>
    <row r="359" spans="13:13" x14ac:dyDescent="0.25">
      <c r="M359" s="8"/>
    </row>
    <row r="360" spans="13:13" x14ac:dyDescent="0.25">
      <c r="M360" s="8"/>
    </row>
    <row r="361" spans="13:13" x14ac:dyDescent="0.25">
      <c r="M361" s="8"/>
    </row>
    <row r="362" spans="13:13" x14ac:dyDescent="0.25">
      <c r="M362" s="8"/>
    </row>
    <row r="363" spans="13:13" x14ac:dyDescent="0.25">
      <c r="M363" s="8"/>
    </row>
    <row r="364" spans="13:13" x14ac:dyDescent="0.25">
      <c r="M364" s="8"/>
    </row>
    <row r="365" spans="13:13" x14ac:dyDescent="0.25">
      <c r="M365" s="8"/>
    </row>
    <row r="366" spans="13:13" x14ac:dyDescent="0.25">
      <c r="M366" s="8"/>
    </row>
    <row r="367" spans="13:13" x14ac:dyDescent="0.25">
      <c r="M367" s="8"/>
    </row>
    <row r="368" spans="13:13" x14ac:dyDescent="0.25">
      <c r="M368" s="8"/>
    </row>
    <row r="369" spans="13:13" x14ac:dyDescent="0.25">
      <c r="M369" s="8"/>
    </row>
    <row r="370" spans="13:13" x14ac:dyDescent="0.25">
      <c r="M370" s="8"/>
    </row>
    <row r="371" spans="13:13" x14ac:dyDescent="0.25">
      <c r="M371" s="8"/>
    </row>
    <row r="372" spans="13:13" x14ac:dyDescent="0.25">
      <c r="M372" s="8"/>
    </row>
    <row r="373" spans="13:13" x14ac:dyDescent="0.25">
      <c r="M373" s="8"/>
    </row>
    <row r="374" spans="13:13" x14ac:dyDescent="0.25">
      <c r="M374" s="8"/>
    </row>
    <row r="375" spans="13:13" x14ac:dyDescent="0.25">
      <c r="M375" s="8"/>
    </row>
    <row r="376" spans="13:13" x14ac:dyDescent="0.25">
      <c r="M376" s="8"/>
    </row>
    <row r="377" spans="13:13" x14ac:dyDescent="0.25">
      <c r="M377" s="8"/>
    </row>
    <row r="378" spans="13:13" x14ac:dyDescent="0.25">
      <c r="M378" s="8"/>
    </row>
    <row r="379" spans="13:13" x14ac:dyDescent="0.25">
      <c r="M379" s="8"/>
    </row>
    <row r="380" spans="13:13" x14ac:dyDescent="0.25">
      <c r="M380" s="8"/>
    </row>
    <row r="381" spans="13:13" x14ac:dyDescent="0.25">
      <c r="M381" s="8"/>
    </row>
    <row r="382" spans="13:13" x14ac:dyDescent="0.25">
      <c r="M382" s="8"/>
    </row>
    <row r="383" spans="13:13" x14ac:dyDescent="0.25">
      <c r="M383" s="8"/>
    </row>
    <row r="384" spans="13:13" x14ac:dyDescent="0.25">
      <c r="M384" s="8"/>
    </row>
    <row r="385" spans="13:13" x14ac:dyDescent="0.25">
      <c r="M385" s="8"/>
    </row>
    <row r="386" spans="13:13" x14ac:dyDescent="0.25">
      <c r="M386" s="8"/>
    </row>
    <row r="387" spans="13:13" x14ac:dyDescent="0.25">
      <c r="M387" s="8"/>
    </row>
    <row r="388" spans="13:13" x14ac:dyDescent="0.25">
      <c r="M388" s="8"/>
    </row>
    <row r="389" spans="13:13" x14ac:dyDescent="0.25">
      <c r="M389" s="8"/>
    </row>
    <row r="390" spans="13:13" x14ac:dyDescent="0.25">
      <c r="M390" s="8"/>
    </row>
    <row r="391" spans="13:13" x14ac:dyDescent="0.25">
      <c r="M391" s="8"/>
    </row>
    <row r="392" spans="13:13" x14ac:dyDescent="0.25">
      <c r="M392" s="8"/>
    </row>
    <row r="393" spans="13:13" x14ac:dyDescent="0.25">
      <c r="M393" s="8"/>
    </row>
    <row r="394" spans="13:13" x14ac:dyDescent="0.25">
      <c r="M394" s="8"/>
    </row>
    <row r="395" spans="13:13" x14ac:dyDescent="0.25">
      <c r="M395" s="8"/>
    </row>
    <row r="396" spans="13:13" x14ac:dyDescent="0.25">
      <c r="M396" s="8"/>
    </row>
    <row r="397" spans="13:13" x14ac:dyDescent="0.25">
      <c r="M397" s="8"/>
    </row>
    <row r="398" spans="13:13" x14ac:dyDescent="0.25">
      <c r="M398" s="8"/>
    </row>
    <row r="399" spans="13:13" x14ac:dyDescent="0.25">
      <c r="M399" s="8"/>
    </row>
    <row r="400" spans="13:13" x14ac:dyDescent="0.25">
      <c r="M400" s="8"/>
    </row>
    <row r="401" spans="13:13" x14ac:dyDescent="0.25">
      <c r="M401" s="8"/>
    </row>
    <row r="402" spans="13:13" x14ac:dyDescent="0.25">
      <c r="M402" s="8"/>
    </row>
    <row r="403" spans="13:13" x14ac:dyDescent="0.25">
      <c r="M403" s="8"/>
    </row>
    <row r="404" spans="13:13" x14ac:dyDescent="0.25">
      <c r="M404" s="8"/>
    </row>
    <row r="405" spans="13:13" x14ac:dyDescent="0.25">
      <c r="M405" s="8"/>
    </row>
    <row r="406" spans="13:13" x14ac:dyDescent="0.25">
      <c r="M406" s="8"/>
    </row>
    <row r="407" spans="13:13" x14ac:dyDescent="0.25">
      <c r="M407" s="8"/>
    </row>
    <row r="408" spans="13:13" x14ac:dyDescent="0.25">
      <c r="M408" s="8"/>
    </row>
    <row r="409" spans="13:13" x14ac:dyDescent="0.25">
      <c r="M409" s="8"/>
    </row>
    <row r="410" spans="13:13" x14ac:dyDescent="0.25">
      <c r="M410" s="8"/>
    </row>
    <row r="411" spans="13:13" x14ac:dyDescent="0.25">
      <c r="M411" s="8"/>
    </row>
    <row r="412" spans="13:13" x14ac:dyDescent="0.25">
      <c r="M412" s="8"/>
    </row>
    <row r="413" spans="13:13" x14ac:dyDescent="0.25">
      <c r="M413" s="8"/>
    </row>
    <row r="414" spans="13:13" x14ac:dyDescent="0.25">
      <c r="M414" s="8"/>
    </row>
    <row r="415" spans="13:13" x14ac:dyDescent="0.25">
      <c r="M415" s="8"/>
    </row>
    <row r="416" spans="13:13" x14ac:dyDescent="0.25">
      <c r="M416" s="8"/>
    </row>
    <row r="417" spans="13:13" x14ac:dyDescent="0.25">
      <c r="M417" s="8"/>
    </row>
    <row r="418" spans="13:13" x14ac:dyDescent="0.25">
      <c r="M418" s="8"/>
    </row>
    <row r="419" spans="13:13" x14ac:dyDescent="0.25">
      <c r="M419" s="8"/>
    </row>
    <row r="420" spans="13:13" x14ac:dyDescent="0.25">
      <c r="M420" s="8"/>
    </row>
    <row r="421" spans="13:13" x14ac:dyDescent="0.25">
      <c r="M421" s="8"/>
    </row>
    <row r="422" spans="13:13" x14ac:dyDescent="0.25">
      <c r="M422" s="8"/>
    </row>
    <row r="423" spans="13:13" x14ac:dyDescent="0.25">
      <c r="M423" s="8"/>
    </row>
    <row r="424" spans="13:13" x14ac:dyDescent="0.25">
      <c r="M424" s="8"/>
    </row>
    <row r="425" spans="13:13" x14ac:dyDescent="0.25">
      <c r="M425" s="8"/>
    </row>
    <row r="426" spans="13:13" x14ac:dyDescent="0.25">
      <c r="M426" s="8"/>
    </row>
    <row r="427" spans="13:13" x14ac:dyDescent="0.25">
      <c r="M427" s="8"/>
    </row>
    <row r="428" spans="13:13" x14ac:dyDescent="0.25">
      <c r="M428" s="8"/>
    </row>
    <row r="429" spans="13:13" x14ac:dyDescent="0.25">
      <c r="M429" s="8"/>
    </row>
    <row r="430" spans="13:13" x14ac:dyDescent="0.25">
      <c r="M430" s="8"/>
    </row>
    <row r="431" spans="13:13" x14ac:dyDescent="0.25">
      <c r="M431" s="8"/>
    </row>
    <row r="432" spans="13:13" x14ac:dyDescent="0.25">
      <c r="M432" s="8"/>
    </row>
    <row r="433" spans="13:13" x14ac:dyDescent="0.25">
      <c r="M433" s="8"/>
    </row>
    <row r="434" spans="13:13" x14ac:dyDescent="0.25">
      <c r="M434" s="8"/>
    </row>
    <row r="435" spans="13:13" x14ac:dyDescent="0.25">
      <c r="M435" s="8"/>
    </row>
    <row r="436" spans="13:13" x14ac:dyDescent="0.25">
      <c r="M436" s="8"/>
    </row>
    <row r="437" spans="13:13" x14ac:dyDescent="0.25">
      <c r="M437" s="8"/>
    </row>
    <row r="438" spans="13:13" x14ac:dyDescent="0.25">
      <c r="M438" s="8"/>
    </row>
    <row r="439" spans="13:13" x14ac:dyDescent="0.25">
      <c r="M439" s="8"/>
    </row>
    <row r="440" spans="13:13" x14ac:dyDescent="0.25">
      <c r="M440" s="8"/>
    </row>
    <row r="441" spans="13:13" x14ac:dyDescent="0.25">
      <c r="M441" s="8"/>
    </row>
    <row r="442" spans="13:13" x14ac:dyDescent="0.25">
      <c r="M442" s="8"/>
    </row>
    <row r="443" spans="13:13" x14ac:dyDescent="0.25">
      <c r="M443" s="8"/>
    </row>
    <row r="444" spans="13:13" x14ac:dyDescent="0.25">
      <c r="M444" s="8"/>
    </row>
    <row r="445" spans="13:13" x14ac:dyDescent="0.25">
      <c r="M445" s="8"/>
    </row>
    <row r="446" spans="13:13" x14ac:dyDescent="0.25">
      <c r="M446" s="8"/>
    </row>
    <row r="447" spans="13:13" x14ac:dyDescent="0.25">
      <c r="M447" s="8"/>
    </row>
    <row r="448" spans="13:13" x14ac:dyDescent="0.25">
      <c r="M448" s="8"/>
    </row>
    <row r="449" spans="13:13" x14ac:dyDescent="0.25">
      <c r="M449" s="8"/>
    </row>
    <row r="450" spans="13:13" x14ac:dyDescent="0.25">
      <c r="M450" s="8"/>
    </row>
    <row r="451" spans="13:13" x14ac:dyDescent="0.25">
      <c r="M451" s="8"/>
    </row>
    <row r="452" spans="13:13" x14ac:dyDescent="0.25">
      <c r="M452" s="8"/>
    </row>
  </sheetData>
  <pageMargins left="0.7" right="0.7" top="0.75" bottom="0.75" header="0.3" footer="0.3"/>
  <pageSetup paperSize="9" orientation="portrait" r:id="rId1"/>
  <tableParts count="11">
    <tablePart r:id="rId2"/>
    <tablePart r:id="rId3"/>
    <tablePart r:id="rId4"/>
    <tablePart r:id="rId5"/>
    <tablePart r:id="rId6"/>
    <tablePart r:id="rId7"/>
    <tablePart r:id="rId8"/>
    <tablePart r:id="rId9"/>
    <tablePart r:id="rId10"/>
    <tablePart r:id="rId11"/>
    <tablePart r:id="rId1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FC222-496E-45C5-BEA4-AE3CDAFBCDBA}">
  <sheetPr>
    <tabColor theme="2" tint="-0.499984740745262"/>
  </sheetPr>
  <dimension ref="A1:W452"/>
  <sheetViews>
    <sheetView showGridLines="0" topLeftCell="A116" zoomScale="85" zoomScaleNormal="85" workbookViewId="0">
      <selection activeCell="D130" sqref="D130"/>
    </sheetView>
  </sheetViews>
  <sheetFormatPr defaultRowHeight="15.75" x14ac:dyDescent="0.25"/>
  <cols>
    <col min="1" max="1" width="26.875" style="3" customWidth="1"/>
    <col min="2" max="2" width="4.125" style="3" customWidth="1"/>
    <col min="3" max="3" width="4.125" style="8" customWidth="1"/>
    <col min="4" max="5" width="26.875" style="8" customWidth="1"/>
    <col min="6" max="6" width="27.25" style="8" customWidth="1"/>
    <col min="7" max="7" width="28.5" style="8" customWidth="1"/>
    <col min="8" max="12" width="26.875" style="8" customWidth="1"/>
    <col min="13" max="13" width="26.875" style="3" customWidth="1"/>
    <col min="14" max="20" width="26.875" style="8" customWidth="1"/>
    <col min="21" max="21" width="4.125" style="8" customWidth="1"/>
    <col min="22" max="16384" width="9" style="3"/>
  </cols>
  <sheetData>
    <row r="1" spans="1:21" s="1" customFormat="1" ht="30" customHeight="1" x14ac:dyDescent="0.35">
      <c r="A1" s="1" t="e" vm="1">
        <v>#VALUE!</v>
      </c>
      <c r="C1" s="1" t="s">
        <v>554</v>
      </c>
    </row>
    <row r="2" spans="1:21" s="2" customFormat="1" ht="20.100000000000001" customHeight="1" x14ac:dyDescent="0.25"/>
    <row r="3" spans="1:21" ht="20.100000000000001" customHeight="1" x14ac:dyDescent="0.25">
      <c r="A3" s="16" t="str">
        <f>HYPERLINK("#'Home'!A1", "Home")</f>
        <v>Home</v>
      </c>
      <c r="C3" s="5"/>
      <c r="D3" s="5"/>
      <c r="E3" s="5"/>
      <c r="F3" s="5"/>
      <c r="G3" s="5"/>
      <c r="H3" s="5"/>
      <c r="I3" s="5"/>
      <c r="J3" s="5"/>
      <c r="K3" s="5"/>
      <c r="L3" s="5"/>
      <c r="M3" s="5"/>
      <c r="N3" s="5"/>
      <c r="O3" s="5"/>
      <c r="P3" s="5"/>
      <c r="Q3" s="5"/>
      <c r="R3" s="5"/>
      <c r="S3" s="5"/>
      <c r="T3" s="5"/>
      <c r="U3" s="5"/>
    </row>
    <row r="4" spans="1:21" ht="20.100000000000001" customHeight="1" x14ac:dyDescent="0.25">
      <c r="A4" s="16" t="str">
        <f>HYPERLINK("#'Overview'!A1", "Overview")</f>
        <v>Overview</v>
      </c>
      <c r="M4" s="14"/>
    </row>
    <row r="5" spans="1:21" ht="20.100000000000001" customHeight="1" x14ac:dyDescent="0.25">
      <c r="A5" s="16" t="str">
        <f>HYPERLINK("#'Results'!A1", "Results")</f>
        <v>Results</v>
      </c>
      <c r="M5" s="8"/>
    </row>
    <row r="6" spans="1:21" ht="20.100000000000001" customHeight="1" x14ac:dyDescent="0.25">
      <c r="A6" s="18"/>
      <c r="D6" s="9" t="s">
        <v>555</v>
      </c>
      <c r="G6" s="9" t="s">
        <v>143</v>
      </c>
      <c r="M6" s="8"/>
    </row>
    <row r="7" spans="1:21" ht="20.100000000000001" customHeight="1" x14ac:dyDescent="0.25">
      <c r="A7" s="19" t="s">
        <v>67</v>
      </c>
      <c r="M7" s="8"/>
    </row>
    <row r="8" spans="1:21" ht="20.100000000000001" customHeight="1" x14ac:dyDescent="0.25">
      <c r="A8" s="16" t="str">
        <f>HYPERLINK("#'Input - Site'!A1", "Site")</f>
        <v>Site</v>
      </c>
      <c r="D8" s="10" t="s">
        <v>145</v>
      </c>
      <c r="G8" s="10" t="s">
        <v>43</v>
      </c>
      <c r="M8" s="8"/>
    </row>
    <row r="9" spans="1:21" ht="20.100000000000001" customHeight="1" x14ac:dyDescent="0.25">
      <c r="A9" s="16" t="str">
        <f>HYPERLINK("#'Input - Swine'!A1", "Swine")</f>
        <v>Swine</v>
      </c>
      <c r="D9" s="10" t="s">
        <v>147</v>
      </c>
      <c r="G9" s="10" t="s">
        <v>148</v>
      </c>
      <c r="M9" s="8"/>
    </row>
    <row r="10" spans="1:21" ht="20.100000000000001" customHeight="1" x14ac:dyDescent="0.25">
      <c r="A10" s="16"/>
      <c r="D10" s="8" t="s">
        <v>150</v>
      </c>
      <c r="G10" s="10" t="s">
        <v>152</v>
      </c>
      <c r="M10" s="8"/>
    </row>
    <row r="11" spans="1:21" ht="20.100000000000001" customHeight="1" x14ac:dyDescent="0.25">
      <c r="A11" s="21" t="s">
        <v>77</v>
      </c>
      <c r="G11" s="8" t="s">
        <v>155</v>
      </c>
      <c r="M11" s="8"/>
    </row>
    <row r="12" spans="1:21" ht="20.100000000000001" customHeight="1" x14ac:dyDescent="0.25">
      <c r="A12" s="16" t="str">
        <f>HYPERLINK("#'3.5.1.1-2 Enteric Methane'!A1", "3.5.1.1-2 Enteric Methane")</f>
        <v>3.5.1.1-2 Enteric Methane</v>
      </c>
      <c r="G12" s="8" t="s">
        <v>158</v>
      </c>
      <c r="M12" s="8"/>
    </row>
    <row r="13" spans="1:21" ht="20.100000000000001" customHeight="1" x14ac:dyDescent="0.25">
      <c r="G13" s="8" t="s">
        <v>160</v>
      </c>
      <c r="M13" s="8"/>
    </row>
    <row r="14" spans="1:21" ht="20.100000000000001" customHeight="1" x14ac:dyDescent="0.25">
      <c r="A14" s="23" t="s">
        <v>78</v>
      </c>
      <c r="D14" s="9" t="s">
        <v>1391</v>
      </c>
      <c r="M14" s="8"/>
    </row>
    <row r="15" spans="1:21" ht="20.100000000000001" customHeight="1" x14ac:dyDescent="0.25">
      <c r="A15" s="24" t="str">
        <f>HYPERLINK("#'Constants - Swine'!A1", "Constants - Swine")</f>
        <v>Constants - Swine</v>
      </c>
      <c r="D15" s="11" t="s">
        <v>1392</v>
      </c>
      <c r="M15" s="8"/>
    </row>
    <row r="16" spans="1:21" ht="20.100000000000001" customHeight="1" x14ac:dyDescent="0.25">
      <c r="A16" s="16" t="str">
        <f>HYPERLINK("#'Constants - Livestock'!A1", "Constants - Livestock")</f>
        <v>Constants - Livestock</v>
      </c>
      <c r="D16" s="12" t="s">
        <v>1393</v>
      </c>
      <c r="M16" s="8"/>
    </row>
    <row r="17" spans="1:13" ht="20.100000000000001" customHeight="1" x14ac:dyDescent="0.25">
      <c r="A17" s="16" t="str">
        <f>HYPERLINK("#'Constants - Common'!A1", "Constants - Common")</f>
        <v>Constants - Common</v>
      </c>
      <c r="D17" s="28" t="s">
        <v>1394</v>
      </c>
      <c r="E17" s="8">
        <v>0.02</v>
      </c>
      <c r="F17" s="13" t="s">
        <v>1004</v>
      </c>
      <c r="M17" s="8"/>
    </row>
    <row r="18" spans="1:13" ht="20.100000000000001" customHeight="1" x14ac:dyDescent="0.25">
      <c r="A18" s="16" t="str">
        <f>HYPERLINK("#'Acknowledgements'!A1", "Acknowledgements")</f>
        <v>Acknowledgements</v>
      </c>
      <c r="M18" s="8"/>
    </row>
    <row r="19" spans="1:13" ht="20.100000000000001" customHeight="1" x14ac:dyDescent="0.25">
      <c r="D19" s="9" t="s">
        <v>1395</v>
      </c>
      <c r="M19" s="8"/>
    </row>
    <row r="20" spans="1:13" ht="20.100000000000001" customHeight="1" x14ac:dyDescent="0.25">
      <c r="A20" s="16"/>
      <c r="D20" s="11" t="s">
        <v>1396</v>
      </c>
      <c r="M20" s="8"/>
    </row>
    <row r="21" spans="1:13" ht="20.100000000000001" customHeight="1" x14ac:dyDescent="0.25">
      <c r="D21" s="28" t="s">
        <v>590</v>
      </c>
      <c r="E21" s="8">
        <v>0.19</v>
      </c>
      <c r="F21" s="13" t="s">
        <v>1397</v>
      </c>
      <c r="M21" s="8"/>
    </row>
    <row r="22" spans="1:13" ht="20.100000000000001" customHeight="1" x14ac:dyDescent="0.25">
      <c r="M22" s="8"/>
    </row>
    <row r="23" spans="1:13" ht="20.100000000000001" customHeight="1" x14ac:dyDescent="0.25">
      <c r="M23" s="8"/>
    </row>
    <row r="24" spans="1:13" ht="20.100000000000001" customHeight="1" x14ac:dyDescent="0.25">
      <c r="D24" s="9" t="s">
        <v>1398</v>
      </c>
      <c r="H24" s="163" t="s">
        <v>556</v>
      </c>
      <c r="M24" s="8"/>
    </row>
    <row r="25" spans="1:13" ht="20.100000000000001" customHeight="1" x14ac:dyDescent="0.25">
      <c r="D25" s="11" t="s">
        <v>1399</v>
      </c>
      <c r="H25" s="163" t="s">
        <v>557</v>
      </c>
      <c r="M25" s="8"/>
    </row>
    <row r="26" spans="1:13" ht="20.100000000000001" customHeight="1" x14ac:dyDescent="0.25">
      <c r="D26" s="12" t="s">
        <v>1400</v>
      </c>
      <c r="M26" s="8"/>
    </row>
    <row r="27" spans="1:13" ht="20.100000000000001" customHeight="1" x14ac:dyDescent="0.25">
      <c r="M27" s="8"/>
    </row>
    <row r="28" spans="1:13" ht="20.100000000000001" customHeight="1" x14ac:dyDescent="0.25">
      <c r="D28" s="10" t="s">
        <v>532</v>
      </c>
      <c r="E28" s="10" t="s">
        <v>339</v>
      </c>
      <c r="F28" s="10" t="s">
        <v>315</v>
      </c>
      <c r="G28" s="10" t="s">
        <v>340</v>
      </c>
      <c r="H28" s="10" t="s">
        <v>441</v>
      </c>
      <c r="I28" s="10" t="s">
        <v>399</v>
      </c>
      <c r="J28" s="10" t="s">
        <v>395</v>
      </c>
      <c r="K28" s="10" t="s">
        <v>345</v>
      </c>
      <c r="L28" s="10" t="s">
        <v>346</v>
      </c>
      <c r="M28" s="10" t="s">
        <v>558</v>
      </c>
    </row>
    <row r="29" spans="1:13" ht="20.100000000000001" customHeight="1" x14ac:dyDescent="0.25">
      <c r="D29" s="10" t="s">
        <v>1401</v>
      </c>
      <c r="E29" s="10">
        <v>0.01</v>
      </c>
      <c r="F29" s="10">
        <v>0.01</v>
      </c>
      <c r="G29" s="10">
        <v>0.03</v>
      </c>
      <c r="H29" s="10">
        <v>0.03</v>
      </c>
      <c r="I29" s="10">
        <v>0.01</v>
      </c>
      <c r="J29" s="10">
        <v>0.01</v>
      </c>
      <c r="K29" s="10">
        <v>0.01</v>
      </c>
      <c r="L29" s="10">
        <v>0.01</v>
      </c>
      <c r="M29" s="10" t="s">
        <v>1402</v>
      </c>
    </row>
    <row r="30" spans="1:13" ht="20.100000000000001" customHeight="1" x14ac:dyDescent="0.25">
      <c r="D30" s="8" t="s">
        <v>57</v>
      </c>
      <c r="E30" s="10">
        <v>0.04</v>
      </c>
      <c r="F30" s="10">
        <v>0.04</v>
      </c>
      <c r="G30" s="10">
        <v>0.04</v>
      </c>
      <c r="H30" s="10">
        <v>0.04</v>
      </c>
      <c r="I30" s="10">
        <v>0.04</v>
      </c>
      <c r="J30" s="10">
        <v>0.04</v>
      </c>
      <c r="K30" s="10">
        <v>0.04</v>
      </c>
      <c r="L30" s="10">
        <v>0.04</v>
      </c>
      <c r="M30" s="10" t="s">
        <v>57</v>
      </c>
    </row>
    <row r="31" spans="1:13" ht="20.100000000000001" customHeight="1" x14ac:dyDescent="0.25">
      <c r="D31" s="8" t="s">
        <v>1403</v>
      </c>
      <c r="E31" s="10">
        <v>0.02</v>
      </c>
      <c r="F31" s="10">
        <v>0.02</v>
      </c>
      <c r="G31" s="10">
        <v>0.02</v>
      </c>
      <c r="H31" s="10">
        <v>0.02</v>
      </c>
      <c r="I31" s="10">
        <v>0.02</v>
      </c>
      <c r="J31" s="10">
        <v>0.02</v>
      </c>
      <c r="K31" s="10">
        <v>0.02</v>
      </c>
      <c r="L31" s="10">
        <v>0.02</v>
      </c>
      <c r="M31" s="10" t="s">
        <v>55</v>
      </c>
    </row>
    <row r="32" spans="1:13" ht="20.100000000000001" customHeight="1" x14ac:dyDescent="0.25">
      <c r="D32" s="8" t="s">
        <v>1404</v>
      </c>
      <c r="E32" s="10">
        <v>0.75</v>
      </c>
      <c r="F32" s="10">
        <v>0.75</v>
      </c>
      <c r="G32" s="10">
        <v>0.78</v>
      </c>
      <c r="H32" s="10">
        <v>0.78</v>
      </c>
      <c r="I32" s="10">
        <v>0.75</v>
      </c>
      <c r="J32" s="10">
        <v>0.7</v>
      </c>
      <c r="K32" s="10">
        <v>0.74</v>
      </c>
      <c r="L32" s="10">
        <v>0.76</v>
      </c>
      <c r="M32" s="10" t="s">
        <v>50</v>
      </c>
    </row>
    <row r="33" spans="4:13" ht="20.100000000000001" customHeight="1" x14ac:dyDescent="0.25">
      <c r="D33" s="8" t="s">
        <v>1405</v>
      </c>
      <c r="E33" s="10">
        <v>0.1</v>
      </c>
      <c r="F33" s="10">
        <v>0.1</v>
      </c>
      <c r="G33" s="10">
        <v>0.1</v>
      </c>
      <c r="H33" s="10">
        <v>0.1</v>
      </c>
      <c r="I33" s="10">
        <v>0.1</v>
      </c>
      <c r="J33" s="10">
        <v>0.1</v>
      </c>
      <c r="K33" s="10">
        <v>0.1</v>
      </c>
      <c r="L33" s="10">
        <v>0.1</v>
      </c>
      <c r="M33" s="10" t="s">
        <v>51</v>
      </c>
    </row>
    <row r="34" spans="4:13" ht="20.100000000000001" customHeight="1" x14ac:dyDescent="0.25">
      <c r="D34" s="8" t="s">
        <v>1406</v>
      </c>
      <c r="E34" s="10">
        <v>0.03</v>
      </c>
      <c r="F34" s="10">
        <v>0.03</v>
      </c>
      <c r="G34" s="10">
        <v>0.03</v>
      </c>
      <c r="H34" s="10">
        <v>0.03</v>
      </c>
      <c r="I34" s="10">
        <v>0.03</v>
      </c>
      <c r="J34" s="10">
        <v>0.03</v>
      </c>
      <c r="K34" s="10">
        <v>0.03</v>
      </c>
      <c r="L34" s="10">
        <v>0.03</v>
      </c>
      <c r="M34" s="10" t="s">
        <v>56</v>
      </c>
    </row>
    <row r="35" spans="4:13" ht="20.100000000000001" customHeight="1" x14ac:dyDescent="0.25">
      <c r="D35" s="8" t="s">
        <v>1407</v>
      </c>
      <c r="E35" s="10">
        <v>0</v>
      </c>
      <c r="F35" s="10">
        <v>0</v>
      </c>
      <c r="G35" s="10">
        <v>0</v>
      </c>
      <c r="H35" s="10">
        <v>0</v>
      </c>
      <c r="I35" s="10">
        <v>0</v>
      </c>
      <c r="J35" s="10">
        <v>0</v>
      </c>
      <c r="K35" s="10">
        <v>0</v>
      </c>
      <c r="L35" s="10">
        <v>0</v>
      </c>
      <c r="M35" s="10" t="s">
        <v>61</v>
      </c>
    </row>
    <row r="36" spans="4:13" ht="20.100000000000001" customHeight="1" x14ac:dyDescent="0.25">
      <c r="M36" s="8"/>
    </row>
    <row r="37" spans="4:13" ht="20.100000000000001" customHeight="1" x14ac:dyDescent="0.25">
      <c r="M37" s="8"/>
    </row>
    <row r="38" spans="4:13" ht="20.100000000000001" customHeight="1" x14ac:dyDescent="0.25">
      <c r="D38" s="9" t="s">
        <v>559</v>
      </c>
      <c r="G38" s="9" t="s">
        <v>560</v>
      </c>
      <c r="K38" s="9" t="s">
        <v>561</v>
      </c>
      <c r="M38" s="8"/>
    </row>
    <row r="39" spans="4:13" ht="20.100000000000001" customHeight="1" x14ac:dyDescent="0.25">
      <c r="M39" s="8"/>
    </row>
    <row r="40" spans="4:13" ht="20.100000000000001" customHeight="1" x14ac:dyDescent="0.25">
      <c r="D40" s="165" t="s">
        <v>532</v>
      </c>
      <c r="E40" s="10" t="s">
        <v>332</v>
      </c>
      <c r="G40" s="165" t="s">
        <v>532</v>
      </c>
      <c r="H40" s="10" t="s">
        <v>332</v>
      </c>
      <c r="K40" s="165" t="s">
        <v>532</v>
      </c>
      <c r="L40" s="10" t="s">
        <v>332</v>
      </c>
      <c r="M40" s="8"/>
    </row>
    <row r="41" spans="4:13" ht="20.100000000000001" customHeight="1" x14ac:dyDescent="0.25">
      <c r="D41" s="10" t="str">
        <f>'Constants - Common Livestock'!$E$7</f>
        <v>Anaerobic lagoon</v>
      </c>
      <c r="E41" s="10" t="str">
        <f>'Constants - Common Livestock'!$F$7</f>
        <v>Anaerobic lagoon (m=1)</v>
      </c>
      <c r="G41" s="10" t="str">
        <f>'Constants - Common Livestock'!$E$7</f>
        <v>Anaerobic lagoon</v>
      </c>
      <c r="H41" s="10" t="str">
        <f>'Constants - Common Livestock'!$F$7</f>
        <v>Anaerobic lagoon (m=1)</v>
      </c>
      <c r="K41" s="10" t="str">
        <f>'Constants - Common Livestock'!$E$7</f>
        <v>Anaerobic lagoon</v>
      </c>
      <c r="L41" s="10" t="str">
        <f>'Constants - Common Livestock'!$F$7</f>
        <v>Anaerobic lagoon (m=1)</v>
      </c>
      <c r="M41" s="8"/>
    </row>
    <row r="42" spans="4:13" ht="20.100000000000001" customHeight="1" x14ac:dyDescent="0.25">
      <c r="D42" s="10" t="str">
        <f>'Constants - Common Livestock'!$E$12</f>
        <v>Solid storage</v>
      </c>
      <c r="E42" s="10" t="str">
        <f>'Constants - Common Livestock'!$F$12</f>
        <v>Solid storage (m=4)</v>
      </c>
      <c r="G42" s="10" t="str">
        <f>'Constants - Common Livestock'!$E$13</f>
        <v>Drylot (feed pad)</v>
      </c>
      <c r="H42" s="10" t="str">
        <f>'Constants - Common Livestock'!$F$13</f>
        <v>Drylot (feed pad) (m=5)</v>
      </c>
      <c r="K42" s="10" t="str">
        <f>'Constants - Common Livestock'!$E$12</f>
        <v>Solid storage</v>
      </c>
      <c r="L42" s="10" t="str">
        <f>'Constants - Common Livestock'!$F$12</f>
        <v>Solid storage (m=4)</v>
      </c>
      <c r="M42" s="8"/>
    </row>
    <row r="43" spans="4:13" ht="20.100000000000001" customHeight="1" x14ac:dyDescent="0.25">
      <c r="D43" s="10" t="str">
        <f>'Constants - Common Livestock'!$E$13</f>
        <v>Drylot (feed pad)</v>
      </c>
      <c r="E43" s="10" t="str">
        <f>'Constants - Common Livestock'!$F$13</f>
        <v>Drylot (feed pad) (m=5)</v>
      </c>
      <c r="G43" s="10" t="str">
        <f>'Constants - Common Livestock'!$E$15</f>
        <v>Digester / covered lagoons</v>
      </c>
      <c r="H43" s="10" t="str">
        <f>'Constants - Common Livestock'!$F$15</f>
        <v>Digester / covered lagoons (m=7)</v>
      </c>
      <c r="K43" s="10" t="str">
        <f>'Constants - Common Livestock'!$E$13</f>
        <v>Drylot (feed pad)</v>
      </c>
      <c r="L43" s="10" t="str">
        <f>'Constants - Common Livestock'!$F$13</f>
        <v>Drylot (feed pad) (m=5)</v>
      </c>
      <c r="M43" s="8"/>
    </row>
    <row r="44" spans="4:13" ht="20.100000000000001" customHeight="1" x14ac:dyDescent="0.25">
      <c r="D44" s="10" t="str">
        <f>'Constants - Common Livestock'!$E$15</f>
        <v>Digester / covered lagoons</v>
      </c>
      <c r="E44" s="10" t="str">
        <f>'Constants - Common Livestock'!$F$15</f>
        <v>Digester / covered lagoons (m=7)</v>
      </c>
      <c r="G44" s="10" t="str">
        <f>'Constants - Common Livestock'!$E$16</f>
        <v>Deep litter</v>
      </c>
      <c r="H44" s="10" t="str">
        <f>'Constants - Common Livestock'!$F$16</f>
        <v>Deep litter (m=8)</v>
      </c>
      <c r="K44" s="10" t="str">
        <f>'Constants - Common Livestock'!$E$15</f>
        <v>Digester / covered lagoons</v>
      </c>
      <c r="L44" s="10" t="str">
        <f>'Constants - Common Livestock'!$F$15</f>
        <v>Digester / covered lagoons (m=7)</v>
      </c>
      <c r="M44" s="8"/>
    </row>
    <row r="45" spans="4:13" ht="20.100000000000001" customHeight="1" x14ac:dyDescent="0.25">
      <c r="D45" s="10" t="str">
        <f>'Constants - Common Livestock'!$E$16</f>
        <v>Deep litter</v>
      </c>
      <c r="E45" s="10" t="str">
        <f>'Constants - Common Livestock'!$F$16</f>
        <v>Deep litter (m=8)</v>
      </c>
      <c r="G45" s="10" t="str">
        <f>'Constants - Common Livestock'!$E$17</f>
        <v>Pit storage</v>
      </c>
      <c r="H45" s="10" t="str">
        <f>'Constants - Common Livestock'!$F$17</f>
        <v>Pit storage (m=9)</v>
      </c>
      <c r="K45" s="10" t="str">
        <f>'Constants - Common Livestock'!$E$16</f>
        <v>Deep litter</v>
      </c>
      <c r="L45" s="10" t="str">
        <f>'Constants - Common Livestock'!$F$16</f>
        <v>Deep litter (m=8)</v>
      </c>
      <c r="M45" s="8"/>
    </row>
    <row r="46" spans="4:13" ht="20.100000000000001" customHeight="1" x14ac:dyDescent="0.25">
      <c r="D46" s="10" t="str">
        <f>'Constants - Common Livestock'!$E$17</f>
        <v>Pit storage</v>
      </c>
      <c r="E46" s="10" t="str">
        <f>'Constants - Common Livestock'!$F$17</f>
        <v>Pit storage (m=9)</v>
      </c>
      <c r="K46" s="10" t="str">
        <f>'Constants - Common Livestock'!$E$17</f>
        <v>Pit storage</v>
      </c>
      <c r="L46" s="10" t="str">
        <f>'Constants - Common Livestock'!$F$17</f>
        <v>Pit storage (m=9)</v>
      </c>
      <c r="M46" s="8"/>
    </row>
    <row r="47" spans="4:13" ht="20.100000000000001" customHeight="1" x14ac:dyDescent="0.25">
      <c r="D47" s="10" t="str">
        <f>'Constants - Common Livestock'!$E$23</f>
        <v>Direct application</v>
      </c>
      <c r="E47" s="10" t="str">
        <f>'Constants - Common Livestock'!$F$23</f>
        <v>Direct application (m=13)</v>
      </c>
      <c r="M47" s="8"/>
    </row>
    <row r="48" spans="4:13" ht="20.100000000000001" customHeight="1" x14ac:dyDescent="0.25">
      <c r="M48" s="8"/>
    </row>
    <row r="49" spans="1:13" ht="20.100000000000001" customHeight="1" x14ac:dyDescent="0.25">
      <c r="M49" s="8"/>
    </row>
    <row r="50" spans="1:13" ht="20.100000000000001" customHeight="1" x14ac:dyDescent="0.25">
      <c r="M50" s="8"/>
    </row>
    <row r="51" spans="1:13" ht="20.100000000000001" customHeight="1" x14ac:dyDescent="0.25">
      <c r="D51" s="9" t="s">
        <v>562</v>
      </c>
      <c r="G51" s="9" t="s">
        <v>563</v>
      </c>
      <c r="M51" s="8"/>
    </row>
    <row r="52" spans="1:13" ht="20.100000000000001" customHeight="1" x14ac:dyDescent="0.25">
      <c r="M52" s="8"/>
    </row>
    <row r="53" spans="1:13" ht="20.100000000000001" customHeight="1" x14ac:dyDescent="0.25">
      <c r="D53" s="165" t="s">
        <v>532</v>
      </c>
      <c r="E53" s="10" t="s">
        <v>564</v>
      </c>
      <c r="G53" s="10" t="s">
        <v>145</v>
      </c>
      <c r="M53" s="8"/>
    </row>
    <row r="54" spans="1:13" ht="20.100000000000001" customHeight="1" x14ac:dyDescent="0.25">
      <c r="D54" s="10" t="str">
        <f>'Constants - Common Livestock'!$E$7</f>
        <v>Anaerobic lagoon</v>
      </c>
      <c r="E54" s="10">
        <v>0</v>
      </c>
      <c r="G54" s="10" t="s">
        <v>1408</v>
      </c>
      <c r="M54" s="8"/>
    </row>
    <row r="55" spans="1:13" ht="20.100000000000001" customHeight="1" x14ac:dyDescent="0.25">
      <c r="D55" s="10" t="str">
        <f>'Constants - Common Livestock'!$E$12</f>
        <v>Solid storage</v>
      </c>
      <c r="E55" s="10">
        <v>0</v>
      </c>
      <c r="G55" s="10" t="s">
        <v>1409</v>
      </c>
      <c r="M55" s="8"/>
    </row>
    <row r="56" spans="1:13" ht="20.100000000000001" customHeight="1" x14ac:dyDescent="0.25">
      <c r="D56" s="10" t="str">
        <f>'Constants - Common Livestock'!$E$13</f>
        <v>Drylot (feed pad)</v>
      </c>
      <c r="E56" s="10">
        <v>0</v>
      </c>
      <c r="G56" s="10" t="s">
        <v>1410</v>
      </c>
      <c r="M56" s="8"/>
    </row>
    <row r="57" spans="1:13" ht="20.100000000000001" customHeight="1" x14ac:dyDescent="0.25">
      <c r="D57" s="10" t="str">
        <f>'Constants - Common Livestock'!$E$15</f>
        <v>Digester / covered lagoons</v>
      </c>
      <c r="E57" s="10">
        <v>0.75</v>
      </c>
      <c r="M57" s="8"/>
    </row>
    <row r="58" spans="1:13" ht="20.100000000000001" customHeight="1" x14ac:dyDescent="0.25">
      <c r="D58" s="10" t="str">
        <f>'Constants - Common Livestock'!$E$16</f>
        <v>Deep litter</v>
      </c>
      <c r="E58" s="10">
        <v>0.05</v>
      </c>
      <c r="M58" s="8"/>
    </row>
    <row r="59" spans="1:13" ht="20.100000000000001" customHeight="1" x14ac:dyDescent="0.25">
      <c r="D59" s="10" t="str">
        <f>'Constants - Common Livestock'!$E$17</f>
        <v>Pit storage</v>
      </c>
      <c r="E59" s="10">
        <v>0</v>
      </c>
      <c r="M59" s="8"/>
    </row>
    <row r="60" spans="1:13" ht="20.100000000000001" customHeight="1" x14ac:dyDescent="0.25">
      <c r="D60" s="10" t="str">
        <f>'Constants - Common Livestock'!$E$23</f>
        <v>Direct application</v>
      </c>
      <c r="E60" s="10">
        <v>0</v>
      </c>
      <c r="M60" s="8"/>
    </row>
    <row r="61" spans="1:13" ht="20.100000000000001" customHeight="1" x14ac:dyDescent="0.25">
      <c r="M61" s="8"/>
    </row>
    <row r="62" spans="1:13" ht="20.100000000000001" customHeight="1" x14ac:dyDescent="0.25">
      <c r="M62" s="8"/>
    </row>
    <row r="63" spans="1:13" ht="20.100000000000001" customHeight="1" x14ac:dyDescent="0.25">
      <c r="A63" s="56" t="str">
        <f>HYPERLINK("#A1", "▲ Back to top")</f>
        <v>▲ Back to top</v>
      </c>
      <c r="D63" s="9" t="s">
        <v>1411</v>
      </c>
      <c r="M63" s="8"/>
    </row>
    <row r="64" spans="1:13" ht="20.100000000000001" customHeight="1" x14ac:dyDescent="0.25">
      <c r="D64" s="11" t="s">
        <v>1412</v>
      </c>
      <c r="M64" s="8"/>
    </row>
    <row r="65" spans="4:22" ht="20.100000000000001" customHeight="1" x14ac:dyDescent="0.25">
      <c r="D65" s="12" t="s">
        <v>1413</v>
      </c>
      <c r="M65" s="8"/>
    </row>
    <row r="66" spans="4:22" ht="20.100000000000001" customHeight="1" x14ac:dyDescent="0.25">
      <c r="M66" s="8"/>
    </row>
    <row r="67" spans="4:22" ht="20.100000000000001" customHeight="1" x14ac:dyDescent="0.25">
      <c r="D67" s="10" t="s">
        <v>325</v>
      </c>
      <c r="E67" s="10" t="s">
        <v>565</v>
      </c>
      <c r="M67" s="8"/>
    </row>
    <row r="68" spans="4:22" ht="20.100000000000001" customHeight="1" x14ac:dyDescent="0.25">
      <c r="D68" s="10" t="s">
        <v>1414</v>
      </c>
      <c r="E68" s="10">
        <v>0.4</v>
      </c>
      <c r="M68" s="8"/>
    </row>
    <row r="69" spans="4:22" ht="20.100000000000001" customHeight="1" x14ac:dyDescent="0.25">
      <c r="D69" s="8" t="s">
        <v>576</v>
      </c>
      <c r="E69" s="10">
        <v>0.46</v>
      </c>
      <c r="M69" s="8"/>
    </row>
    <row r="70" spans="4:22" ht="20.100000000000001" customHeight="1" x14ac:dyDescent="0.25">
      <c r="D70" s="8" t="s">
        <v>1415</v>
      </c>
      <c r="E70" s="10">
        <v>0.55000000000000004</v>
      </c>
      <c r="M70" s="8"/>
    </row>
    <row r="71" spans="4:22" ht="20.100000000000001" customHeight="1" x14ac:dyDescent="0.25">
      <c r="D71" s="8" t="s">
        <v>1416</v>
      </c>
      <c r="E71" s="10">
        <v>0.39</v>
      </c>
      <c r="M71" s="8"/>
      <c r="V71" s="8"/>
    </row>
    <row r="72" spans="4:22" ht="20.100000000000001" customHeight="1" x14ac:dyDescent="0.25">
      <c r="M72" s="8"/>
      <c r="V72" s="8"/>
    </row>
    <row r="73" spans="4:22" ht="20.100000000000001" customHeight="1" x14ac:dyDescent="0.25">
      <c r="M73" s="8"/>
      <c r="V73" s="8"/>
    </row>
    <row r="74" spans="4:22" ht="20.100000000000001" customHeight="1" x14ac:dyDescent="0.25">
      <c r="D74" s="9" t="s">
        <v>1417</v>
      </c>
      <c r="M74" s="8"/>
      <c r="V74" s="8"/>
    </row>
    <row r="75" spans="4:22" ht="20.100000000000001" customHeight="1" x14ac:dyDescent="0.25">
      <c r="D75" s="11" t="s">
        <v>1412</v>
      </c>
      <c r="M75" s="8"/>
      <c r="V75" s="8"/>
    </row>
    <row r="76" spans="4:22" ht="20.100000000000001" customHeight="1" x14ac:dyDescent="0.25">
      <c r="D76" s="12" t="s">
        <v>1413</v>
      </c>
      <c r="M76" s="8"/>
      <c r="V76" s="8"/>
    </row>
    <row r="77" spans="4:22" ht="20.100000000000001" customHeight="1" x14ac:dyDescent="0.25">
      <c r="M77" s="8"/>
      <c r="V77" s="8"/>
    </row>
    <row r="78" spans="4:22" ht="20.100000000000001" customHeight="1" x14ac:dyDescent="0.25">
      <c r="D78" s="10" t="s">
        <v>325</v>
      </c>
      <c r="E78" s="10" t="s">
        <v>566</v>
      </c>
      <c r="M78" s="8"/>
      <c r="V78" s="8"/>
    </row>
    <row r="79" spans="4:22" ht="20.100000000000001" customHeight="1" x14ac:dyDescent="0.25">
      <c r="D79" s="10" t="s">
        <v>1414</v>
      </c>
      <c r="E79" s="10">
        <v>2.62</v>
      </c>
      <c r="M79" s="8"/>
      <c r="V79" s="8"/>
    </row>
    <row r="80" spans="4:22" ht="20.100000000000001" customHeight="1" x14ac:dyDescent="0.25">
      <c r="D80" s="10" t="s">
        <v>576</v>
      </c>
      <c r="E80" s="10">
        <v>2.2999999999999998</v>
      </c>
      <c r="M80" s="8"/>
      <c r="V80" s="8"/>
    </row>
    <row r="81" spans="4:23" ht="20.100000000000001" customHeight="1" x14ac:dyDescent="0.25">
      <c r="D81" s="10" t="s">
        <v>1415</v>
      </c>
      <c r="E81" s="10">
        <v>2.5</v>
      </c>
      <c r="M81" s="8"/>
      <c r="V81" s="8"/>
    </row>
    <row r="82" spans="4:23" ht="20.100000000000001" customHeight="1" x14ac:dyDescent="0.25">
      <c r="D82" s="10" t="s">
        <v>1416</v>
      </c>
      <c r="E82" s="10">
        <v>1.71</v>
      </c>
      <c r="M82" s="8"/>
      <c r="V82" s="8"/>
    </row>
    <row r="83" spans="4:23" ht="20.100000000000001" customHeight="1" x14ac:dyDescent="0.25">
      <c r="M83" s="8"/>
    </row>
    <row r="84" spans="4:23" ht="20.100000000000001" customHeight="1" x14ac:dyDescent="0.25">
      <c r="M84" s="8"/>
    </row>
    <row r="85" spans="4:23" ht="20.100000000000001" customHeight="1" x14ac:dyDescent="0.25">
      <c r="D85" s="9" t="s">
        <v>1418</v>
      </c>
      <c r="M85" s="8"/>
      <c r="V85" s="8"/>
    </row>
    <row r="86" spans="4:23" ht="20.100000000000001" customHeight="1" x14ac:dyDescent="0.25">
      <c r="D86" s="11" t="s">
        <v>1412</v>
      </c>
      <c r="M86" s="8"/>
      <c r="V86" s="8"/>
    </row>
    <row r="87" spans="4:23" ht="20.100000000000001" customHeight="1" x14ac:dyDescent="0.25">
      <c r="D87" s="12" t="s">
        <v>1419</v>
      </c>
      <c r="M87" s="8"/>
      <c r="V87" s="8"/>
    </row>
    <row r="88" spans="4:23" ht="20.100000000000001" customHeight="1" x14ac:dyDescent="0.25">
      <c r="M88" s="8"/>
      <c r="V88" s="8"/>
    </row>
    <row r="89" spans="4:23" ht="20.100000000000001" customHeight="1" x14ac:dyDescent="0.25">
      <c r="D89" s="10" t="s">
        <v>325</v>
      </c>
      <c r="E89" s="10" t="s">
        <v>567</v>
      </c>
      <c r="F89" s="10" t="s">
        <v>568</v>
      </c>
      <c r="G89" s="10" t="s">
        <v>569</v>
      </c>
      <c r="M89" s="8"/>
      <c r="V89" s="8"/>
      <c r="W89" s="8"/>
    </row>
    <row r="90" spans="4:23" ht="20.100000000000001" customHeight="1" x14ac:dyDescent="0.25">
      <c r="D90" s="10" t="s">
        <v>1414</v>
      </c>
      <c r="E90" s="10">
        <v>4.5999999999999999E-2</v>
      </c>
      <c r="F90" s="10">
        <v>4.5999999999999999E-2</v>
      </c>
      <c r="G90" s="10" t="s">
        <v>1414</v>
      </c>
      <c r="M90" s="8"/>
      <c r="V90" s="8"/>
      <c r="W90" s="8"/>
    </row>
    <row r="91" spans="4:23" ht="20.100000000000001" customHeight="1" x14ac:dyDescent="0.25">
      <c r="D91" s="10" t="s">
        <v>576</v>
      </c>
      <c r="E91" s="10">
        <v>4.9000000000000002E-2</v>
      </c>
      <c r="F91" s="10">
        <v>4.9000000000000002E-2</v>
      </c>
      <c r="G91" s="10" t="s">
        <v>576</v>
      </c>
      <c r="M91" s="8"/>
      <c r="V91" s="8"/>
    </row>
    <row r="92" spans="4:23" ht="20.100000000000001" customHeight="1" x14ac:dyDescent="0.25">
      <c r="D92" s="10" t="s">
        <v>1415</v>
      </c>
      <c r="E92" s="10">
        <v>4.5999999999999999E-2</v>
      </c>
      <c r="F92" s="10">
        <v>4.5999999999999999E-2</v>
      </c>
      <c r="G92" s="10" t="s">
        <v>1415</v>
      </c>
      <c r="M92" s="8"/>
      <c r="V92" s="8"/>
    </row>
    <row r="93" spans="4:23" ht="20.100000000000001" customHeight="1" x14ac:dyDescent="0.25">
      <c r="D93" s="10" t="s">
        <v>1420</v>
      </c>
      <c r="E93" s="10">
        <v>11.4</v>
      </c>
      <c r="F93" s="10">
        <v>3.1199999999999999E-2</v>
      </c>
      <c r="G93" s="10" t="s">
        <v>1416</v>
      </c>
      <c r="M93" s="8"/>
      <c r="V93" s="8"/>
    </row>
    <row r="94" spans="4:23" ht="20.100000000000001" customHeight="1" x14ac:dyDescent="0.25">
      <c r="M94" s="8"/>
    </row>
    <row r="95" spans="4:23" ht="20.100000000000001" customHeight="1" x14ac:dyDescent="0.25">
      <c r="M95" s="8"/>
    </row>
    <row r="96" spans="4:23" ht="20.100000000000001" customHeight="1" x14ac:dyDescent="0.25">
      <c r="D96" s="9" t="s">
        <v>1421</v>
      </c>
      <c r="M96" s="8"/>
    </row>
    <row r="97" spans="4:13" ht="20.100000000000001" customHeight="1" x14ac:dyDescent="0.25">
      <c r="D97" s="11" t="s">
        <v>1422</v>
      </c>
      <c r="M97" s="8"/>
    </row>
    <row r="98" spans="4:13" ht="20.100000000000001" customHeight="1" x14ac:dyDescent="0.25">
      <c r="D98" s="12" t="s">
        <v>1423</v>
      </c>
      <c r="M98" s="8"/>
    </row>
    <row r="99" spans="4:13" ht="20.100000000000001" customHeight="1" x14ac:dyDescent="0.25">
      <c r="D99" s="10" t="s">
        <v>570</v>
      </c>
      <c r="E99" s="10" t="s">
        <v>571</v>
      </c>
      <c r="F99" s="10" t="s">
        <v>541</v>
      </c>
      <c r="M99" s="8"/>
    </row>
    <row r="100" spans="4:13" ht="20.100000000000001" customHeight="1" x14ac:dyDescent="0.25">
      <c r="D100" s="10" t="s">
        <v>1401</v>
      </c>
      <c r="E100" s="10">
        <v>0.3</v>
      </c>
      <c r="F100" s="10" t="s">
        <v>1402</v>
      </c>
      <c r="M100" s="8"/>
    </row>
    <row r="101" spans="4:13" ht="20.100000000000001" customHeight="1" x14ac:dyDescent="0.25">
      <c r="D101" s="10" t="s">
        <v>57</v>
      </c>
      <c r="E101" s="10">
        <v>0.125</v>
      </c>
      <c r="F101" s="10" t="s">
        <v>57</v>
      </c>
      <c r="M101" s="8"/>
    </row>
    <row r="102" spans="4:13" ht="20.100000000000001" customHeight="1" x14ac:dyDescent="0.25">
      <c r="D102" s="10" t="s">
        <v>1403</v>
      </c>
      <c r="E102" s="10">
        <v>0.2</v>
      </c>
      <c r="F102" s="10" t="s">
        <v>55</v>
      </c>
      <c r="M102" s="8"/>
    </row>
    <row r="103" spans="4:13" ht="20.100000000000001" customHeight="1" x14ac:dyDescent="0.25">
      <c r="D103" s="10" t="s">
        <v>1404</v>
      </c>
      <c r="E103" s="10">
        <v>0.55000000000000004</v>
      </c>
      <c r="F103" s="10" t="s">
        <v>50</v>
      </c>
      <c r="M103" s="8"/>
    </row>
    <row r="104" spans="4:13" ht="20.100000000000001" customHeight="1" x14ac:dyDescent="0.25">
      <c r="D104" s="10" t="s">
        <v>1405</v>
      </c>
      <c r="E104" s="10">
        <v>0</v>
      </c>
      <c r="F104" s="10" t="s">
        <v>51</v>
      </c>
      <c r="M104" s="8"/>
    </row>
    <row r="105" spans="4:13" ht="20.100000000000001" customHeight="1" x14ac:dyDescent="0.25">
      <c r="D105" s="10" t="s">
        <v>1406</v>
      </c>
      <c r="E105" s="10">
        <v>0.25</v>
      </c>
      <c r="F105" s="10" t="s">
        <v>56</v>
      </c>
      <c r="M105" s="8"/>
    </row>
    <row r="106" spans="4:13" ht="20.100000000000001" customHeight="1" x14ac:dyDescent="0.25">
      <c r="M106" s="8"/>
    </row>
    <row r="107" spans="4:13" ht="20.100000000000001" customHeight="1" x14ac:dyDescent="0.25">
      <c r="M107" s="8"/>
    </row>
    <row r="108" spans="4:13" ht="20.100000000000001" customHeight="1" x14ac:dyDescent="0.25">
      <c r="D108" s="9" t="s">
        <v>1424</v>
      </c>
      <c r="M108" s="8"/>
    </row>
    <row r="109" spans="4:13" ht="20.100000000000001" customHeight="1" x14ac:dyDescent="0.25">
      <c r="D109" s="11" t="s">
        <v>1425</v>
      </c>
      <c r="M109" s="8"/>
    </row>
    <row r="110" spans="4:13" ht="20.100000000000001" customHeight="1" x14ac:dyDescent="0.25">
      <c r="D110" s="12" t="s">
        <v>1423</v>
      </c>
      <c r="M110" s="8"/>
    </row>
    <row r="111" spans="4:13" ht="20.100000000000001" customHeight="1" x14ac:dyDescent="0.25">
      <c r="D111" s="10" t="s">
        <v>570</v>
      </c>
      <c r="E111" s="10" t="s">
        <v>572</v>
      </c>
      <c r="F111" s="10" t="s">
        <v>541</v>
      </c>
      <c r="M111" s="8"/>
    </row>
    <row r="112" spans="4:13" ht="20.100000000000001" customHeight="1" x14ac:dyDescent="0.25">
      <c r="D112" s="10" t="s">
        <v>1401</v>
      </c>
      <c r="E112" s="10">
        <v>0.02</v>
      </c>
      <c r="F112" s="10" t="s">
        <v>1402</v>
      </c>
      <c r="M112" s="8"/>
    </row>
    <row r="113" spans="1:22" ht="20.100000000000001" customHeight="1" x14ac:dyDescent="0.25">
      <c r="D113" s="10" t="s">
        <v>57</v>
      </c>
      <c r="E113" s="10">
        <v>0.01</v>
      </c>
      <c r="F113" s="10" t="s">
        <v>57</v>
      </c>
      <c r="M113" s="8"/>
    </row>
    <row r="114" spans="1:22" ht="20.100000000000001" customHeight="1" x14ac:dyDescent="0.25">
      <c r="D114" s="10" t="s">
        <v>1403</v>
      </c>
      <c r="E114" s="10">
        <v>5.0000000000000001E-3</v>
      </c>
      <c r="F114" s="10" t="s">
        <v>55</v>
      </c>
      <c r="M114" s="8"/>
    </row>
    <row r="115" spans="1:22" ht="20.100000000000001" customHeight="1" x14ac:dyDescent="0.25">
      <c r="D115" s="10" t="s">
        <v>1404</v>
      </c>
      <c r="E115" s="10">
        <v>0</v>
      </c>
      <c r="F115" s="10" t="s">
        <v>50</v>
      </c>
      <c r="M115" s="8"/>
      <c r="V115" s="8"/>
    </row>
    <row r="116" spans="1:22" ht="20.100000000000001" customHeight="1" x14ac:dyDescent="0.25">
      <c r="D116" s="10" t="s">
        <v>1426</v>
      </c>
      <c r="E116" s="10">
        <v>0</v>
      </c>
      <c r="F116" s="10" t="s">
        <v>51</v>
      </c>
      <c r="M116" s="8"/>
      <c r="V116" s="8"/>
    </row>
    <row r="117" spans="1:22" ht="20.100000000000001" customHeight="1" x14ac:dyDescent="0.25">
      <c r="A117" s="56" t="str">
        <f>HYPERLINK("#A1", "▲ Back to top")</f>
        <v>▲ Back to top</v>
      </c>
      <c r="D117" s="10" t="s">
        <v>1406</v>
      </c>
      <c r="E117" s="10">
        <v>2E-3</v>
      </c>
      <c r="F117" s="10" t="s">
        <v>56</v>
      </c>
      <c r="M117" s="8"/>
      <c r="V117" s="8"/>
    </row>
    <row r="118" spans="1:22" ht="20.100000000000001" customHeight="1" x14ac:dyDescent="0.25">
      <c r="M118" s="8"/>
    </row>
    <row r="119" spans="1:22" ht="20.100000000000001" customHeight="1" x14ac:dyDescent="0.25">
      <c r="M119" s="8"/>
    </row>
    <row r="120" spans="1:22" ht="20.100000000000001" customHeight="1" x14ac:dyDescent="0.25">
      <c r="D120" s="9" t="s">
        <v>1427</v>
      </c>
      <c r="M120" s="8"/>
    </row>
    <row r="121" spans="1:22" ht="20.100000000000001" customHeight="1" x14ac:dyDescent="0.25">
      <c r="D121" s="11" t="s">
        <v>1428</v>
      </c>
      <c r="M121" s="8"/>
    </row>
    <row r="122" spans="1:22" ht="20.100000000000001" customHeight="1" x14ac:dyDescent="0.25">
      <c r="D122" s="28" t="s">
        <v>1429</v>
      </c>
      <c r="E122" s="8">
        <v>55.22</v>
      </c>
      <c r="F122" s="13" t="s">
        <v>1430</v>
      </c>
      <c r="M122" s="8"/>
    </row>
    <row r="123" spans="1:22" ht="20.100000000000001" customHeight="1" x14ac:dyDescent="0.25">
      <c r="M123" s="8"/>
    </row>
    <row r="124" spans="1:22" ht="20.100000000000001" customHeight="1" x14ac:dyDescent="0.25">
      <c r="M124" s="8"/>
    </row>
    <row r="125" spans="1:22" ht="20.100000000000001" customHeight="1" x14ac:dyDescent="0.25">
      <c r="D125" s="9" t="s">
        <v>1431</v>
      </c>
      <c r="M125" s="8"/>
      <c r="V125" s="8"/>
    </row>
    <row r="126" spans="1:22" ht="20.100000000000001" customHeight="1" x14ac:dyDescent="0.25">
      <c r="D126" s="11" t="s">
        <v>1432</v>
      </c>
      <c r="M126" s="8"/>
      <c r="V126" s="8"/>
    </row>
    <row r="127" spans="1:22" ht="20.100000000000001" customHeight="1" x14ac:dyDescent="0.25">
      <c r="D127" s="10" t="s">
        <v>573</v>
      </c>
      <c r="E127" s="10" t="s">
        <v>574</v>
      </c>
      <c r="M127" s="8"/>
      <c r="V127" s="8"/>
    </row>
    <row r="128" spans="1:22" ht="20.100000000000001" customHeight="1" x14ac:dyDescent="0.25">
      <c r="D128" s="10" t="s">
        <v>576</v>
      </c>
      <c r="E128" s="10">
        <v>188</v>
      </c>
      <c r="M128" s="8"/>
      <c r="V128" s="8"/>
    </row>
    <row r="129" spans="4:22" ht="20.100000000000001" customHeight="1" x14ac:dyDescent="0.25">
      <c r="D129" s="8" t="s">
        <v>1414</v>
      </c>
      <c r="E129" s="10">
        <v>206</v>
      </c>
      <c r="M129" s="8"/>
      <c r="V129" s="8"/>
    </row>
    <row r="130" spans="4:22" ht="20.100000000000001" customHeight="1" x14ac:dyDescent="0.25">
      <c r="D130" s="8" t="s">
        <v>1415</v>
      </c>
      <c r="E130" s="10">
        <v>125</v>
      </c>
      <c r="M130" s="8"/>
      <c r="V130" s="8"/>
    </row>
    <row r="131" spans="4:22" ht="20.100000000000001" customHeight="1" x14ac:dyDescent="0.25">
      <c r="D131" s="8" t="s">
        <v>577</v>
      </c>
      <c r="E131" s="10">
        <v>39</v>
      </c>
      <c r="M131" s="8"/>
    </row>
    <row r="132" spans="4:22" ht="20.100000000000001" customHeight="1" x14ac:dyDescent="0.25">
      <c r="D132" s="8" t="s">
        <v>1433</v>
      </c>
      <c r="E132" s="10">
        <v>97</v>
      </c>
      <c r="M132" s="8"/>
    </row>
    <row r="133" spans="4:22" ht="20.100000000000001" customHeight="1" x14ac:dyDescent="0.25">
      <c r="M133" s="8"/>
    </row>
    <row r="134" spans="4:22" ht="20.100000000000001" customHeight="1" x14ac:dyDescent="0.25">
      <c r="M134" s="8"/>
    </row>
    <row r="135" spans="4:22" ht="20.100000000000001" customHeight="1" x14ac:dyDescent="0.25">
      <c r="M135" s="8"/>
    </row>
    <row r="136" spans="4:22" ht="20.100000000000001" customHeight="1" x14ac:dyDescent="0.25">
      <c r="M136" s="8"/>
    </row>
    <row r="137" spans="4:22" ht="20.100000000000001" customHeight="1" x14ac:dyDescent="0.25">
      <c r="M137" s="8"/>
    </row>
    <row r="138" spans="4:22" ht="20.100000000000001" customHeight="1" x14ac:dyDescent="0.25">
      <c r="M138" s="8"/>
    </row>
    <row r="139" spans="4:22" ht="20.100000000000001" customHeight="1" x14ac:dyDescent="0.25">
      <c r="M139" s="8"/>
    </row>
    <row r="140" spans="4:22" ht="20.100000000000001" customHeight="1" x14ac:dyDescent="0.25">
      <c r="M140" s="8"/>
    </row>
    <row r="141" spans="4:22" ht="20.100000000000001" customHeight="1" x14ac:dyDescent="0.25">
      <c r="M141" s="8"/>
    </row>
    <row r="142" spans="4:22" ht="20.100000000000001" customHeight="1" x14ac:dyDescent="0.25">
      <c r="M142" s="8"/>
    </row>
    <row r="143" spans="4:22" ht="20.100000000000001" customHeight="1" x14ac:dyDescent="0.25">
      <c r="M143" s="8"/>
    </row>
    <row r="144" spans="4:22" ht="20.100000000000001" customHeight="1" x14ac:dyDescent="0.25">
      <c r="M144" s="8"/>
    </row>
    <row r="145" spans="13:13" ht="20.100000000000001" customHeight="1" x14ac:dyDescent="0.25">
      <c r="M145" s="8"/>
    </row>
    <row r="146" spans="13:13" ht="20.100000000000001" customHeight="1" x14ac:dyDescent="0.25">
      <c r="M146" s="8"/>
    </row>
    <row r="147" spans="13:13" ht="20.100000000000001" customHeight="1" x14ac:dyDescent="0.25">
      <c r="M147" s="8"/>
    </row>
    <row r="148" spans="13:13" ht="20.100000000000001" customHeight="1" x14ac:dyDescent="0.25">
      <c r="M148" s="8"/>
    </row>
    <row r="149" spans="13:13" ht="20.100000000000001" customHeight="1" x14ac:dyDescent="0.25">
      <c r="M149" s="8"/>
    </row>
    <row r="150" spans="13:13" ht="20.100000000000001" customHeight="1" x14ac:dyDescent="0.25">
      <c r="M150" s="8"/>
    </row>
    <row r="151" spans="13:13" ht="20.100000000000001" customHeight="1" x14ac:dyDescent="0.25">
      <c r="M151" s="8"/>
    </row>
    <row r="152" spans="13:13" ht="20.100000000000001" customHeight="1" x14ac:dyDescent="0.25">
      <c r="M152" s="8"/>
    </row>
    <row r="153" spans="13:13" ht="20.100000000000001" customHeight="1" x14ac:dyDescent="0.25">
      <c r="M153" s="8"/>
    </row>
    <row r="154" spans="13:13" ht="20.100000000000001" customHeight="1" x14ac:dyDescent="0.25">
      <c r="M154" s="8"/>
    </row>
    <row r="155" spans="13:13" ht="20.100000000000001" customHeight="1" x14ac:dyDescent="0.25">
      <c r="M155" s="8"/>
    </row>
    <row r="156" spans="13:13" ht="20.100000000000001" customHeight="1" x14ac:dyDescent="0.25">
      <c r="M156" s="8"/>
    </row>
    <row r="157" spans="13:13" ht="20.100000000000001" customHeight="1" x14ac:dyDescent="0.25">
      <c r="M157" s="8"/>
    </row>
    <row r="158" spans="13:13" ht="20.100000000000001" customHeight="1" x14ac:dyDescent="0.25">
      <c r="M158" s="8"/>
    </row>
    <row r="159" spans="13:13" ht="20.100000000000001" customHeight="1" x14ac:dyDescent="0.25">
      <c r="M159" s="8"/>
    </row>
    <row r="160" spans="13:13" ht="20.100000000000001" customHeight="1" x14ac:dyDescent="0.25">
      <c r="M160" s="8"/>
    </row>
    <row r="161" spans="13:13" ht="20.100000000000001" customHeight="1" x14ac:dyDescent="0.25">
      <c r="M161" s="8"/>
    </row>
    <row r="162" spans="13:13" ht="20.100000000000001" customHeight="1" x14ac:dyDescent="0.25">
      <c r="M162" s="8"/>
    </row>
    <row r="163" spans="13:13" ht="20.100000000000001" customHeight="1" x14ac:dyDescent="0.25">
      <c r="M163" s="8"/>
    </row>
    <row r="164" spans="13:13" ht="20.100000000000001" customHeight="1" x14ac:dyDescent="0.25">
      <c r="M164" s="8"/>
    </row>
    <row r="165" spans="13:13" ht="20.100000000000001" customHeight="1" x14ac:dyDescent="0.25">
      <c r="M165" s="8"/>
    </row>
    <row r="166" spans="13:13" x14ac:dyDescent="0.25">
      <c r="M166" s="8"/>
    </row>
    <row r="167" spans="13:13" x14ac:dyDescent="0.25">
      <c r="M167" s="8"/>
    </row>
    <row r="168" spans="13:13" x14ac:dyDescent="0.25">
      <c r="M168" s="8"/>
    </row>
    <row r="169" spans="13:13" x14ac:dyDescent="0.25">
      <c r="M169" s="8"/>
    </row>
    <row r="170" spans="13:13" x14ac:dyDescent="0.25">
      <c r="M170" s="8"/>
    </row>
    <row r="171" spans="13:13" x14ac:dyDescent="0.25">
      <c r="M171" s="8"/>
    </row>
    <row r="172" spans="13:13" x14ac:dyDescent="0.25">
      <c r="M172" s="8"/>
    </row>
    <row r="173" spans="13:13" x14ac:dyDescent="0.25">
      <c r="M173" s="8"/>
    </row>
    <row r="174" spans="13:13" x14ac:dyDescent="0.25">
      <c r="M174" s="8"/>
    </row>
    <row r="175" spans="13:13" x14ac:dyDescent="0.25">
      <c r="M175" s="8"/>
    </row>
    <row r="176" spans="13:13" x14ac:dyDescent="0.25">
      <c r="M176" s="8"/>
    </row>
    <row r="177" spans="13:13" x14ac:dyDescent="0.25">
      <c r="M177" s="8"/>
    </row>
    <row r="178" spans="13:13" x14ac:dyDescent="0.25">
      <c r="M178" s="8"/>
    </row>
    <row r="179" spans="13:13" x14ac:dyDescent="0.25">
      <c r="M179" s="8"/>
    </row>
    <row r="180" spans="13:13" x14ac:dyDescent="0.25">
      <c r="M180" s="8"/>
    </row>
    <row r="181" spans="13:13" x14ac:dyDescent="0.25">
      <c r="M181" s="8"/>
    </row>
    <row r="182" spans="13:13" x14ac:dyDescent="0.25">
      <c r="M182" s="8"/>
    </row>
    <row r="183" spans="13:13" x14ac:dyDescent="0.25">
      <c r="M183" s="8"/>
    </row>
    <row r="184" spans="13:13" x14ac:dyDescent="0.25">
      <c r="M184" s="8"/>
    </row>
    <row r="185" spans="13:13" x14ac:dyDescent="0.25">
      <c r="M185" s="8"/>
    </row>
    <row r="186" spans="13:13" x14ac:dyDescent="0.25">
      <c r="M186" s="8"/>
    </row>
    <row r="187" spans="13:13" x14ac:dyDescent="0.25">
      <c r="M187" s="8"/>
    </row>
    <row r="188" spans="13:13" x14ac:dyDescent="0.25">
      <c r="M188" s="8"/>
    </row>
    <row r="189" spans="13:13" x14ac:dyDescent="0.25">
      <c r="M189" s="8"/>
    </row>
    <row r="190" spans="13:13" x14ac:dyDescent="0.25">
      <c r="M190" s="8"/>
    </row>
    <row r="191" spans="13:13" x14ac:dyDescent="0.25">
      <c r="M191" s="8"/>
    </row>
    <row r="192" spans="13:13" x14ac:dyDescent="0.25">
      <c r="M192" s="8"/>
    </row>
    <row r="193" spans="13:13" x14ac:dyDescent="0.25">
      <c r="M193" s="8"/>
    </row>
    <row r="194" spans="13:13" x14ac:dyDescent="0.25">
      <c r="M194" s="8"/>
    </row>
    <row r="195" spans="13:13" x14ac:dyDescent="0.25">
      <c r="M195" s="8"/>
    </row>
    <row r="196" spans="13:13" x14ac:dyDescent="0.25">
      <c r="M196" s="8"/>
    </row>
    <row r="197" spans="13:13" x14ac:dyDescent="0.25">
      <c r="M197" s="8"/>
    </row>
    <row r="198" spans="13:13" x14ac:dyDescent="0.25">
      <c r="M198" s="8"/>
    </row>
    <row r="199" spans="13:13" x14ac:dyDescent="0.25">
      <c r="M199" s="8"/>
    </row>
    <row r="200" spans="13:13" x14ac:dyDescent="0.25">
      <c r="M200" s="8"/>
    </row>
    <row r="201" spans="13:13" x14ac:dyDescent="0.25">
      <c r="M201" s="8"/>
    </row>
    <row r="202" spans="13:13" x14ac:dyDescent="0.25">
      <c r="M202" s="8"/>
    </row>
    <row r="203" spans="13:13" x14ac:dyDescent="0.25">
      <c r="M203" s="8"/>
    </row>
    <row r="204" spans="13:13" x14ac:dyDescent="0.25">
      <c r="M204" s="8"/>
    </row>
    <row r="205" spans="13:13" x14ac:dyDescent="0.25">
      <c r="M205" s="8"/>
    </row>
    <row r="206" spans="13:13" x14ac:dyDescent="0.25">
      <c r="M206" s="8"/>
    </row>
    <row r="207" spans="13:13" x14ac:dyDescent="0.25">
      <c r="M207" s="8"/>
    </row>
    <row r="208" spans="13:13" x14ac:dyDescent="0.25">
      <c r="M208" s="8"/>
    </row>
    <row r="209" spans="13:13" x14ac:dyDescent="0.25">
      <c r="M209" s="8"/>
    </row>
    <row r="210" spans="13:13" x14ac:dyDescent="0.25">
      <c r="M210" s="8"/>
    </row>
    <row r="211" spans="13:13" x14ac:dyDescent="0.25">
      <c r="M211" s="8"/>
    </row>
    <row r="212" spans="13:13" x14ac:dyDescent="0.25">
      <c r="M212" s="8"/>
    </row>
    <row r="213" spans="13:13" x14ac:dyDescent="0.25">
      <c r="M213" s="8"/>
    </row>
    <row r="214" spans="13:13" x14ac:dyDescent="0.25">
      <c r="M214" s="8"/>
    </row>
    <row r="215" spans="13:13" x14ac:dyDescent="0.25">
      <c r="M215" s="8"/>
    </row>
    <row r="216" spans="13:13" x14ac:dyDescent="0.25">
      <c r="M216" s="8"/>
    </row>
    <row r="217" spans="13:13" x14ac:dyDescent="0.25">
      <c r="M217" s="8"/>
    </row>
    <row r="218" spans="13:13" x14ac:dyDescent="0.25">
      <c r="M218" s="8"/>
    </row>
    <row r="219" spans="13:13" x14ac:dyDescent="0.25">
      <c r="M219" s="8"/>
    </row>
    <row r="220" spans="13:13" x14ac:dyDescent="0.25">
      <c r="M220" s="8"/>
    </row>
    <row r="221" spans="13:13" x14ac:dyDescent="0.25">
      <c r="M221" s="8"/>
    </row>
    <row r="222" spans="13:13" x14ac:dyDescent="0.25">
      <c r="M222" s="8"/>
    </row>
    <row r="223" spans="13:13" x14ac:dyDescent="0.25">
      <c r="M223" s="8"/>
    </row>
    <row r="224" spans="13:13" x14ac:dyDescent="0.25">
      <c r="M224" s="8"/>
    </row>
    <row r="225" spans="13:13" x14ac:dyDescent="0.25">
      <c r="M225" s="8"/>
    </row>
    <row r="226" spans="13:13" x14ac:dyDescent="0.25">
      <c r="M226" s="8"/>
    </row>
    <row r="227" spans="13:13" x14ac:dyDescent="0.25">
      <c r="M227" s="8"/>
    </row>
    <row r="228" spans="13:13" x14ac:dyDescent="0.25">
      <c r="M228" s="8"/>
    </row>
    <row r="229" spans="13:13" x14ac:dyDescent="0.25">
      <c r="M229" s="8"/>
    </row>
    <row r="230" spans="13:13" x14ac:dyDescent="0.25">
      <c r="M230" s="8"/>
    </row>
    <row r="231" spans="13:13" x14ac:dyDescent="0.25">
      <c r="M231" s="8"/>
    </row>
    <row r="232" spans="13:13" x14ac:dyDescent="0.25">
      <c r="M232" s="8"/>
    </row>
    <row r="233" spans="13:13" x14ac:dyDescent="0.25">
      <c r="M233" s="8"/>
    </row>
    <row r="234" spans="13:13" x14ac:dyDescent="0.25">
      <c r="M234" s="8"/>
    </row>
    <row r="235" spans="13:13" x14ac:dyDescent="0.25">
      <c r="M235" s="8"/>
    </row>
    <row r="236" spans="13:13" x14ac:dyDescent="0.25">
      <c r="M236" s="8"/>
    </row>
    <row r="237" spans="13:13" x14ac:dyDescent="0.25">
      <c r="M237" s="8"/>
    </row>
    <row r="238" spans="13:13" x14ac:dyDescent="0.25">
      <c r="M238" s="8"/>
    </row>
    <row r="239" spans="13:13" x14ac:dyDescent="0.25">
      <c r="M239" s="8"/>
    </row>
    <row r="240" spans="13:13" x14ac:dyDescent="0.25">
      <c r="M240" s="8"/>
    </row>
    <row r="241" spans="13:13" x14ac:dyDescent="0.25">
      <c r="M241" s="8"/>
    </row>
    <row r="242" spans="13:13" x14ac:dyDescent="0.25">
      <c r="M242" s="8"/>
    </row>
    <row r="243" spans="13:13" x14ac:dyDescent="0.25">
      <c r="M243" s="8"/>
    </row>
    <row r="244" spans="13:13" x14ac:dyDescent="0.25">
      <c r="M244" s="8"/>
    </row>
    <row r="245" spans="13:13" x14ac:dyDescent="0.25">
      <c r="M245" s="8"/>
    </row>
    <row r="246" spans="13:13" x14ac:dyDescent="0.25">
      <c r="M246" s="8"/>
    </row>
    <row r="247" spans="13:13" x14ac:dyDescent="0.25">
      <c r="M247" s="8"/>
    </row>
    <row r="248" spans="13:13" x14ac:dyDescent="0.25">
      <c r="M248" s="8"/>
    </row>
    <row r="249" spans="13:13" x14ac:dyDescent="0.25">
      <c r="M249" s="8"/>
    </row>
    <row r="250" spans="13:13" x14ac:dyDescent="0.25">
      <c r="M250" s="8"/>
    </row>
    <row r="251" spans="13:13" x14ac:dyDescent="0.25">
      <c r="M251" s="8"/>
    </row>
    <row r="252" spans="13:13" x14ac:dyDescent="0.25">
      <c r="M252" s="8"/>
    </row>
    <row r="253" spans="13:13" x14ac:dyDescent="0.25">
      <c r="M253" s="8"/>
    </row>
    <row r="254" spans="13:13" x14ac:dyDescent="0.25">
      <c r="M254" s="8"/>
    </row>
    <row r="255" spans="13:13" x14ac:dyDescent="0.25">
      <c r="M255" s="8"/>
    </row>
    <row r="256" spans="13:13" x14ac:dyDescent="0.25">
      <c r="M256" s="8"/>
    </row>
    <row r="257" spans="13:13" x14ac:dyDescent="0.25">
      <c r="M257" s="8"/>
    </row>
    <row r="258" spans="13:13" x14ac:dyDescent="0.25">
      <c r="M258" s="8"/>
    </row>
    <row r="259" spans="13:13" x14ac:dyDescent="0.25">
      <c r="M259" s="8"/>
    </row>
    <row r="260" spans="13:13" x14ac:dyDescent="0.25">
      <c r="M260" s="8"/>
    </row>
    <row r="261" spans="13:13" x14ac:dyDescent="0.25">
      <c r="M261" s="8"/>
    </row>
    <row r="262" spans="13:13" x14ac:dyDescent="0.25">
      <c r="M262" s="8"/>
    </row>
    <row r="263" spans="13:13" x14ac:dyDescent="0.25">
      <c r="M263" s="8"/>
    </row>
    <row r="264" spans="13:13" x14ac:dyDescent="0.25">
      <c r="M264" s="8"/>
    </row>
    <row r="265" spans="13:13" x14ac:dyDescent="0.25">
      <c r="M265" s="8"/>
    </row>
    <row r="266" spans="13:13" x14ac:dyDescent="0.25">
      <c r="M266" s="8"/>
    </row>
    <row r="267" spans="13:13" x14ac:dyDescent="0.25">
      <c r="M267" s="8"/>
    </row>
    <row r="268" spans="13:13" x14ac:dyDescent="0.25">
      <c r="M268" s="8"/>
    </row>
    <row r="269" spans="13:13" x14ac:dyDescent="0.25">
      <c r="M269" s="8"/>
    </row>
    <row r="270" spans="13:13" x14ac:dyDescent="0.25">
      <c r="M270" s="8"/>
    </row>
    <row r="271" spans="13:13" x14ac:dyDescent="0.25">
      <c r="M271" s="8"/>
    </row>
    <row r="272" spans="13:13" x14ac:dyDescent="0.25">
      <c r="M272" s="8"/>
    </row>
    <row r="273" spans="13:13" x14ac:dyDescent="0.25">
      <c r="M273" s="8"/>
    </row>
    <row r="274" spans="13:13" x14ac:dyDescent="0.25">
      <c r="M274" s="8"/>
    </row>
    <row r="275" spans="13:13" x14ac:dyDescent="0.25">
      <c r="M275" s="8"/>
    </row>
    <row r="276" spans="13:13" x14ac:dyDescent="0.25">
      <c r="M276" s="8"/>
    </row>
    <row r="277" spans="13:13" x14ac:dyDescent="0.25">
      <c r="M277" s="8"/>
    </row>
    <row r="278" spans="13:13" x14ac:dyDescent="0.25">
      <c r="M278" s="8"/>
    </row>
    <row r="279" spans="13:13" x14ac:dyDescent="0.25">
      <c r="M279" s="8"/>
    </row>
    <row r="280" spans="13:13" x14ac:dyDescent="0.25">
      <c r="M280" s="8"/>
    </row>
    <row r="281" spans="13:13" x14ac:dyDescent="0.25">
      <c r="M281" s="8"/>
    </row>
    <row r="282" spans="13:13" x14ac:dyDescent="0.25">
      <c r="M282" s="8"/>
    </row>
    <row r="283" spans="13:13" x14ac:dyDescent="0.25">
      <c r="M283" s="8"/>
    </row>
    <row r="284" spans="13:13" x14ac:dyDescent="0.25">
      <c r="M284" s="8"/>
    </row>
    <row r="285" spans="13:13" x14ac:dyDescent="0.25">
      <c r="M285" s="8"/>
    </row>
    <row r="286" spans="13:13" x14ac:dyDescent="0.25">
      <c r="M286" s="8"/>
    </row>
    <row r="287" spans="13:13" x14ac:dyDescent="0.25">
      <c r="M287" s="8"/>
    </row>
    <row r="288" spans="13:13" x14ac:dyDescent="0.25">
      <c r="M288" s="8"/>
    </row>
    <row r="289" spans="13:13" x14ac:dyDescent="0.25">
      <c r="M289" s="8"/>
    </row>
    <row r="290" spans="13:13" x14ac:dyDescent="0.25">
      <c r="M290" s="8"/>
    </row>
    <row r="291" spans="13:13" x14ac:dyDescent="0.25">
      <c r="M291" s="8"/>
    </row>
    <row r="292" spans="13:13" x14ac:dyDescent="0.25">
      <c r="M292" s="8"/>
    </row>
    <row r="293" spans="13:13" x14ac:dyDescent="0.25">
      <c r="M293" s="8"/>
    </row>
    <row r="294" spans="13:13" x14ac:dyDescent="0.25">
      <c r="M294" s="8"/>
    </row>
    <row r="295" spans="13:13" x14ac:dyDescent="0.25">
      <c r="M295" s="8"/>
    </row>
    <row r="296" spans="13:13" x14ac:dyDescent="0.25">
      <c r="M296" s="8"/>
    </row>
    <row r="297" spans="13:13" x14ac:dyDescent="0.25">
      <c r="M297" s="8"/>
    </row>
    <row r="298" spans="13:13" x14ac:dyDescent="0.25">
      <c r="M298" s="8"/>
    </row>
    <row r="299" spans="13:13" x14ac:dyDescent="0.25">
      <c r="M299" s="8"/>
    </row>
    <row r="300" spans="13:13" x14ac:dyDescent="0.25">
      <c r="M300" s="8"/>
    </row>
    <row r="301" spans="13:13" x14ac:dyDescent="0.25">
      <c r="M301" s="8"/>
    </row>
    <row r="302" spans="13:13" x14ac:dyDescent="0.25">
      <c r="M302" s="8"/>
    </row>
    <row r="303" spans="13:13" x14ac:dyDescent="0.25">
      <c r="M303" s="8"/>
    </row>
    <row r="304" spans="13:13" x14ac:dyDescent="0.25">
      <c r="M304" s="8"/>
    </row>
    <row r="305" spans="13:13" x14ac:dyDescent="0.25">
      <c r="M305" s="8"/>
    </row>
    <row r="306" spans="13:13" x14ac:dyDescent="0.25">
      <c r="M306" s="8"/>
    </row>
    <row r="307" spans="13:13" x14ac:dyDescent="0.25">
      <c r="M307" s="8"/>
    </row>
    <row r="308" spans="13:13" x14ac:dyDescent="0.25">
      <c r="M308" s="8"/>
    </row>
    <row r="309" spans="13:13" x14ac:dyDescent="0.25">
      <c r="M309" s="8"/>
    </row>
    <row r="310" spans="13:13" x14ac:dyDescent="0.25">
      <c r="M310" s="8"/>
    </row>
    <row r="311" spans="13:13" x14ac:dyDescent="0.25">
      <c r="M311" s="8"/>
    </row>
    <row r="312" spans="13:13" x14ac:dyDescent="0.25">
      <c r="M312" s="8"/>
    </row>
    <row r="313" spans="13:13" x14ac:dyDescent="0.25">
      <c r="M313" s="8"/>
    </row>
    <row r="314" spans="13:13" x14ac:dyDescent="0.25">
      <c r="M314" s="8"/>
    </row>
    <row r="315" spans="13:13" x14ac:dyDescent="0.25">
      <c r="M315" s="8"/>
    </row>
    <row r="316" spans="13:13" x14ac:dyDescent="0.25">
      <c r="M316" s="8"/>
    </row>
    <row r="317" spans="13:13" x14ac:dyDescent="0.25">
      <c r="M317" s="8"/>
    </row>
    <row r="318" spans="13:13" x14ac:dyDescent="0.25">
      <c r="M318" s="8"/>
    </row>
    <row r="319" spans="13:13" x14ac:dyDescent="0.25">
      <c r="M319" s="8"/>
    </row>
    <row r="320" spans="13:13" x14ac:dyDescent="0.25">
      <c r="M320" s="8"/>
    </row>
    <row r="321" spans="13:13" x14ac:dyDescent="0.25">
      <c r="M321" s="8"/>
    </row>
    <row r="322" spans="13:13" x14ac:dyDescent="0.25">
      <c r="M322" s="8"/>
    </row>
    <row r="323" spans="13:13" x14ac:dyDescent="0.25">
      <c r="M323" s="8"/>
    </row>
    <row r="324" spans="13:13" x14ac:dyDescent="0.25">
      <c r="M324" s="8"/>
    </row>
    <row r="325" spans="13:13" x14ac:dyDescent="0.25">
      <c r="M325" s="8"/>
    </row>
    <row r="326" spans="13:13" x14ac:dyDescent="0.25">
      <c r="M326" s="8"/>
    </row>
    <row r="327" spans="13:13" x14ac:dyDescent="0.25">
      <c r="M327" s="8"/>
    </row>
    <row r="328" spans="13:13" x14ac:dyDescent="0.25">
      <c r="M328" s="8"/>
    </row>
    <row r="329" spans="13:13" x14ac:dyDescent="0.25">
      <c r="M329" s="8"/>
    </row>
    <row r="330" spans="13:13" x14ac:dyDescent="0.25">
      <c r="M330" s="8"/>
    </row>
    <row r="331" spans="13:13" x14ac:dyDescent="0.25">
      <c r="M331" s="8"/>
    </row>
    <row r="332" spans="13:13" x14ac:dyDescent="0.25">
      <c r="M332" s="8"/>
    </row>
    <row r="333" spans="13:13" x14ac:dyDescent="0.25">
      <c r="M333" s="8"/>
    </row>
    <row r="334" spans="13:13" x14ac:dyDescent="0.25">
      <c r="M334" s="8"/>
    </row>
    <row r="335" spans="13:13" x14ac:dyDescent="0.25">
      <c r="M335" s="8"/>
    </row>
    <row r="336" spans="13:13" x14ac:dyDescent="0.25">
      <c r="M336" s="8"/>
    </row>
    <row r="337" spans="13:13" x14ac:dyDescent="0.25">
      <c r="M337" s="8"/>
    </row>
    <row r="338" spans="13:13" x14ac:dyDescent="0.25">
      <c r="M338" s="8"/>
    </row>
    <row r="339" spans="13:13" x14ac:dyDescent="0.25">
      <c r="M339" s="8"/>
    </row>
    <row r="340" spans="13:13" x14ac:dyDescent="0.25">
      <c r="M340" s="8"/>
    </row>
    <row r="341" spans="13:13" x14ac:dyDescent="0.25">
      <c r="M341" s="8"/>
    </row>
    <row r="342" spans="13:13" x14ac:dyDescent="0.25">
      <c r="M342" s="8"/>
    </row>
    <row r="343" spans="13:13" x14ac:dyDescent="0.25">
      <c r="M343" s="8"/>
    </row>
    <row r="344" spans="13:13" x14ac:dyDescent="0.25">
      <c r="M344" s="8"/>
    </row>
    <row r="345" spans="13:13" x14ac:dyDescent="0.25">
      <c r="M345" s="8"/>
    </row>
    <row r="346" spans="13:13" x14ac:dyDescent="0.25">
      <c r="M346" s="8"/>
    </row>
    <row r="347" spans="13:13" x14ac:dyDescent="0.25">
      <c r="M347" s="8"/>
    </row>
    <row r="348" spans="13:13" x14ac:dyDescent="0.25">
      <c r="M348" s="8"/>
    </row>
    <row r="349" spans="13:13" x14ac:dyDescent="0.25">
      <c r="M349" s="8"/>
    </row>
    <row r="350" spans="13:13" x14ac:dyDescent="0.25">
      <c r="M350" s="8"/>
    </row>
    <row r="351" spans="13:13" x14ac:dyDescent="0.25">
      <c r="M351" s="8"/>
    </row>
    <row r="352" spans="13:13" x14ac:dyDescent="0.25">
      <c r="M352" s="8"/>
    </row>
    <row r="353" spans="13:13" x14ac:dyDescent="0.25">
      <c r="M353" s="8"/>
    </row>
    <row r="354" spans="13:13" x14ac:dyDescent="0.25">
      <c r="M354" s="8"/>
    </row>
    <row r="355" spans="13:13" x14ac:dyDescent="0.25">
      <c r="M355" s="8"/>
    </row>
    <row r="356" spans="13:13" x14ac:dyDescent="0.25">
      <c r="M356" s="8"/>
    </row>
    <row r="357" spans="13:13" x14ac:dyDescent="0.25">
      <c r="M357" s="8"/>
    </row>
    <row r="358" spans="13:13" x14ac:dyDescent="0.25">
      <c r="M358" s="8"/>
    </row>
    <row r="359" spans="13:13" x14ac:dyDescent="0.25">
      <c r="M359" s="8"/>
    </row>
    <row r="360" spans="13:13" x14ac:dyDescent="0.25">
      <c r="M360" s="8"/>
    </row>
    <row r="361" spans="13:13" x14ac:dyDescent="0.25">
      <c r="M361" s="8"/>
    </row>
    <row r="362" spans="13:13" x14ac:dyDescent="0.25">
      <c r="M362" s="8"/>
    </row>
    <row r="363" spans="13:13" x14ac:dyDescent="0.25">
      <c r="M363" s="8"/>
    </row>
    <row r="364" spans="13:13" x14ac:dyDescent="0.25">
      <c r="M364" s="8"/>
    </row>
    <row r="365" spans="13:13" x14ac:dyDescent="0.25">
      <c r="M365" s="8"/>
    </row>
    <row r="366" spans="13:13" x14ac:dyDescent="0.25">
      <c r="M366" s="8"/>
    </row>
    <row r="367" spans="13:13" x14ac:dyDescent="0.25">
      <c r="M367" s="8"/>
    </row>
    <row r="368" spans="13:13" x14ac:dyDescent="0.25">
      <c r="M368" s="8"/>
    </row>
    <row r="369" spans="13:13" x14ac:dyDescent="0.25">
      <c r="M369" s="8"/>
    </row>
    <row r="370" spans="13:13" x14ac:dyDescent="0.25">
      <c r="M370" s="8"/>
    </row>
    <row r="371" spans="13:13" x14ac:dyDescent="0.25">
      <c r="M371" s="8"/>
    </row>
    <row r="372" spans="13:13" x14ac:dyDescent="0.25">
      <c r="M372" s="8"/>
    </row>
    <row r="373" spans="13:13" x14ac:dyDescent="0.25">
      <c r="M373" s="8"/>
    </row>
    <row r="374" spans="13:13" x14ac:dyDescent="0.25">
      <c r="M374" s="8"/>
    </row>
    <row r="375" spans="13:13" x14ac:dyDescent="0.25">
      <c r="M375" s="8"/>
    </row>
    <row r="376" spans="13:13" x14ac:dyDescent="0.25">
      <c r="M376" s="8"/>
    </row>
    <row r="377" spans="13:13" x14ac:dyDescent="0.25">
      <c r="M377" s="8"/>
    </row>
    <row r="378" spans="13:13" x14ac:dyDescent="0.25">
      <c r="M378" s="8"/>
    </row>
    <row r="379" spans="13:13" x14ac:dyDescent="0.25">
      <c r="M379" s="8"/>
    </row>
    <row r="380" spans="13:13" x14ac:dyDescent="0.25">
      <c r="M380" s="8"/>
    </row>
    <row r="381" spans="13:13" x14ac:dyDescent="0.25">
      <c r="M381" s="8"/>
    </row>
    <row r="382" spans="13:13" x14ac:dyDescent="0.25">
      <c r="M382" s="8"/>
    </row>
    <row r="383" spans="13:13" x14ac:dyDescent="0.25">
      <c r="M383" s="8"/>
    </row>
    <row r="384" spans="13:13" x14ac:dyDescent="0.25">
      <c r="M384" s="8"/>
    </row>
    <row r="385" spans="13:13" x14ac:dyDescent="0.25">
      <c r="M385" s="8"/>
    </row>
    <row r="386" spans="13:13" x14ac:dyDescent="0.25">
      <c r="M386" s="8"/>
    </row>
    <row r="387" spans="13:13" x14ac:dyDescent="0.25">
      <c r="M387" s="8"/>
    </row>
    <row r="388" spans="13:13" x14ac:dyDescent="0.25">
      <c r="M388" s="8"/>
    </row>
    <row r="389" spans="13:13" x14ac:dyDescent="0.25">
      <c r="M389" s="8"/>
    </row>
    <row r="390" spans="13:13" x14ac:dyDescent="0.25">
      <c r="M390" s="8"/>
    </row>
    <row r="391" spans="13:13" x14ac:dyDescent="0.25">
      <c r="M391" s="8"/>
    </row>
    <row r="392" spans="13:13" x14ac:dyDescent="0.25">
      <c r="M392" s="8"/>
    </row>
    <row r="393" spans="13:13" x14ac:dyDescent="0.25">
      <c r="M393" s="8"/>
    </row>
    <row r="394" spans="13:13" x14ac:dyDescent="0.25">
      <c r="M394" s="8"/>
    </row>
    <row r="395" spans="13:13" x14ac:dyDescent="0.25">
      <c r="M395" s="8"/>
    </row>
    <row r="396" spans="13:13" x14ac:dyDescent="0.25">
      <c r="M396" s="8"/>
    </row>
    <row r="397" spans="13:13" x14ac:dyDescent="0.25">
      <c r="M397" s="8"/>
    </row>
    <row r="398" spans="13:13" x14ac:dyDescent="0.25">
      <c r="M398" s="8"/>
    </row>
    <row r="399" spans="13:13" x14ac:dyDescent="0.25">
      <c r="M399" s="8"/>
    </row>
    <row r="400" spans="13:13" x14ac:dyDescent="0.25">
      <c r="M400" s="8"/>
    </row>
    <row r="401" spans="13:13" x14ac:dyDescent="0.25">
      <c r="M401" s="8"/>
    </row>
    <row r="402" spans="13:13" x14ac:dyDescent="0.25">
      <c r="M402" s="8"/>
    </row>
    <row r="403" spans="13:13" x14ac:dyDescent="0.25">
      <c r="M403" s="8"/>
    </row>
    <row r="404" spans="13:13" x14ac:dyDescent="0.25">
      <c r="M404" s="8"/>
    </row>
    <row r="405" spans="13:13" x14ac:dyDescent="0.25">
      <c r="M405" s="8"/>
    </row>
    <row r="406" spans="13:13" x14ac:dyDescent="0.25">
      <c r="M406" s="8"/>
    </row>
    <row r="407" spans="13:13" x14ac:dyDescent="0.25">
      <c r="M407" s="8"/>
    </row>
    <row r="408" spans="13:13" x14ac:dyDescent="0.25">
      <c r="M408" s="8"/>
    </row>
    <row r="409" spans="13:13" x14ac:dyDescent="0.25">
      <c r="M409" s="8"/>
    </row>
    <row r="410" spans="13:13" x14ac:dyDescent="0.25">
      <c r="M410" s="8"/>
    </row>
    <row r="411" spans="13:13" x14ac:dyDescent="0.25">
      <c r="M411" s="8"/>
    </row>
    <row r="412" spans="13:13" x14ac:dyDescent="0.25">
      <c r="M412" s="8"/>
    </row>
    <row r="413" spans="13:13" x14ac:dyDescent="0.25">
      <c r="M413" s="8"/>
    </row>
    <row r="414" spans="13:13" x14ac:dyDescent="0.25">
      <c r="M414" s="8"/>
    </row>
    <row r="415" spans="13:13" x14ac:dyDescent="0.25">
      <c r="M415" s="8"/>
    </row>
    <row r="416" spans="13:13" x14ac:dyDescent="0.25">
      <c r="M416" s="8"/>
    </row>
    <row r="417" spans="13:13" x14ac:dyDescent="0.25">
      <c r="M417" s="8"/>
    </row>
    <row r="418" spans="13:13" x14ac:dyDescent="0.25">
      <c r="M418" s="8"/>
    </row>
    <row r="419" spans="13:13" x14ac:dyDescent="0.25">
      <c r="M419" s="8"/>
    </row>
    <row r="420" spans="13:13" x14ac:dyDescent="0.25">
      <c r="M420" s="8"/>
    </row>
    <row r="421" spans="13:13" x14ac:dyDescent="0.25">
      <c r="M421" s="8"/>
    </row>
    <row r="422" spans="13:13" x14ac:dyDescent="0.25">
      <c r="M422" s="8"/>
    </row>
    <row r="423" spans="13:13" x14ac:dyDescent="0.25">
      <c r="M423" s="8"/>
    </row>
    <row r="424" spans="13:13" x14ac:dyDescent="0.25">
      <c r="M424" s="8"/>
    </row>
    <row r="425" spans="13:13" x14ac:dyDescent="0.25">
      <c r="M425" s="8"/>
    </row>
    <row r="426" spans="13:13" x14ac:dyDescent="0.25">
      <c r="M426" s="8"/>
    </row>
    <row r="427" spans="13:13" x14ac:dyDescent="0.25">
      <c r="M427" s="8"/>
    </row>
    <row r="428" spans="13:13" x14ac:dyDescent="0.25">
      <c r="M428" s="8"/>
    </row>
    <row r="429" spans="13:13" x14ac:dyDescent="0.25">
      <c r="M429" s="8"/>
    </row>
    <row r="430" spans="13:13" x14ac:dyDescent="0.25">
      <c r="M430" s="8"/>
    </row>
    <row r="431" spans="13:13" x14ac:dyDescent="0.25">
      <c r="M431" s="8"/>
    </row>
    <row r="432" spans="13:13" x14ac:dyDescent="0.25">
      <c r="M432" s="8"/>
    </row>
    <row r="433" spans="13:13" x14ac:dyDescent="0.25">
      <c r="M433" s="8"/>
    </row>
    <row r="434" spans="13:13" x14ac:dyDescent="0.25">
      <c r="M434" s="8"/>
    </row>
    <row r="435" spans="13:13" x14ac:dyDescent="0.25">
      <c r="M435" s="8"/>
    </row>
    <row r="436" spans="13:13" x14ac:dyDescent="0.25">
      <c r="M436" s="8"/>
    </row>
    <row r="437" spans="13:13" x14ac:dyDescent="0.25">
      <c r="M437" s="8"/>
    </row>
    <row r="438" spans="13:13" x14ac:dyDescent="0.25">
      <c r="M438" s="8"/>
    </row>
    <row r="439" spans="13:13" x14ac:dyDescent="0.25">
      <c r="M439" s="8"/>
    </row>
    <row r="440" spans="13:13" x14ac:dyDescent="0.25">
      <c r="M440" s="8"/>
    </row>
    <row r="441" spans="13:13" x14ac:dyDescent="0.25">
      <c r="M441" s="8"/>
    </row>
    <row r="442" spans="13:13" x14ac:dyDescent="0.25">
      <c r="M442" s="8"/>
    </row>
    <row r="443" spans="13:13" x14ac:dyDescent="0.25">
      <c r="M443" s="8"/>
    </row>
    <row r="444" spans="13:13" x14ac:dyDescent="0.25">
      <c r="M444" s="8"/>
    </row>
    <row r="445" spans="13:13" x14ac:dyDescent="0.25">
      <c r="M445" s="8"/>
    </row>
    <row r="446" spans="13:13" x14ac:dyDescent="0.25">
      <c r="M446" s="8"/>
    </row>
    <row r="447" spans="13:13" x14ac:dyDescent="0.25">
      <c r="M447" s="8"/>
    </row>
    <row r="448" spans="13:13" x14ac:dyDescent="0.25">
      <c r="M448" s="8"/>
    </row>
    <row r="449" spans="13:13" x14ac:dyDescent="0.25">
      <c r="M449" s="8"/>
    </row>
    <row r="450" spans="13:13" x14ac:dyDescent="0.25">
      <c r="M450" s="8"/>
    </row>
    <row r="451" spans="13:13" x14ac:dyDescent="0.25">
      <c r="M451" s="8"/>
    </row>
    <row r="452" spans="13:13" x14ac:dyDescent="0.25">
      <c r="M452" s="8"/>
    </row>
  </sheetData>
  <pageMargins left="0.7" right="0.7" top="0.75" bottom="0.75" header="0.3" footer="0.3"/>
  <tableParts count="14">
    <tablePart r:id="rId1"/>
    <tablePart r:id="rId2"/>
    <tablePart r:id="rId3"/>
    <tablePart r:id="rId4"/>
    <tablePart r:id="rId5"/>
    <tablePart r:id="rId6"/>
    <tablePart r:id="rId7"/>
    <tablePart r:id="rId8"/>
    <tablePart r:id="rId9"/>
    <tablePart r:id="rId10"/>
    <tablePart r:id="rId11"/>
    <tablePart r:id="rId12"/>
    <tablePart r:id="rId13"/>
    <tablePart r:id="rId14"/>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78B57-D4AF-4908-B45A-5D76CF4E3016}">
  <sheetPr>
    <tabColor theme="2" tint="-0.499984740745262"/>
  </sheetPr>
  <dimension ref="A1:V288"/>
  <sheetViews>
    <sheetView showGridLines="0" topLeftCell="A13" zoomScale="85" zoomScaleNormal="85" workbookViewId="0">
      <selection activeCell="D130" sqref="D130"/>
    </sheetView>
  </sheetViews>
  <sheetFormatPr defaultRowHeight="15.75" x14ac:dyDescent="0.25"/>
  <cols>
    <col min="1" max="1" width="26.875" style="3" customWidth="1"/>
    <col min="2" max="2" width="4.125" style="3" customWidth="1"/>
    <col min="3" max="3" width="4.125" style="8" customWidth="1"/>
    <col min="4" max="6" width="26.875" style="8" customWidth="1"/>
    <col min="7" max="7" width="28.5" style="8" customWidth="1"/>
    <col min="8" max="12" width="26.875" style="8" customWidth="1"/>
    <col min="13" max="13" width="26.875" style="3" customWidth="1"/>
    <col min="14" max="20" width="26.875" style="8" customWidth="1"/>
    <col min="21" max="21" width="4.125" style="8" customWidth="1"/>
    <col min="22" max="16384" width="9" style="3"/>
  </cols>
  <sheetData>
    <row r="1" spans="1:21" s="1" customFormat="1" ht="30" customHeight="1" x14ac:dyDescent="0.35">
      <c r="A1" s="1" t="e" vm="1">
        <v>#VALUE!</v>
      </c>
      <c r="C1" s="1" t="s">
        <v>529</v>
      </c>
    </row>
    <row r="2" spans="1:21" s="2" customFormat="1" ht="20.100000000000001" customHeight="1" x14ac:dyDescent="0.25">
      <c r="A2" s="3"/>
    </row>
    <row r="3" spans="1:21" ht="20.100000000000001" customHeight="1" x14ac:dyDescent="0.25">
      <c r="A3" s="16"/>
      <c r="C3" s="5"/>
      <c r="D3" s="5"/>
      <c r="E3" s="5"/>
      <c r="F3" s="5"/>
      <c r="G3" s="5"/>
      <c r="H3" s="5"/>
      <c r="I3" s="5"/>
      <c r="J3" s="5"/>
      <c r="K3" s="5"/>
      <c r="L3" s="5"/>
      <c r="M3" s="5"/>
      <c r="N3" s="5"/>
      <c r="O3" s="5"/>
      <c r="P3" s="5"/>
      <c r="Q3" s="5"/>
      <c r="R3" s="5"/>
      <c r="S3" s="5"/>
      <c r="T3" s="5"/>
      <c r="U3" s="5"/>
    </row>
    <row r="4" spans="1:21" ht="20.100000000000001" customHeight="1" x14ac:dyDescent="0.25">
      <c r="A4" s="16"/>
      <c r="M4" s="14"/>
    </row>
    <row r="5" spans="1:21" ht="20.100000000000001" customHeight="1" x14ac:dyDescent="0.25">
      <c r="A5" s="16"/>
      <c r="D5" s="9" t="s">
        <v>530</v>
      </c>
      <c r="G5" s="9" t="s">
        <v>531</v>
      </c>
      <c r="J5" s="9" t="s">
        <v>143</v>
      </c>
      <c r="M5" s="8"/>
    </row>
    <row r="6" spans="1:21" ht="20.100000000000001" customHeight="1" x14ac:dyDescent="0.25">
      <c r="A6" s="18"/>
      <c r="M6" s="8"/>
    </row>
    <row r="7" spans="1:21" ht="20.100000000000001" customHeight="1" x14ac:dyDescent="0.25">
      <c r="A7" s="19"/>
      <c r="D7" s="165" t="s">
        <v>532</v>
      </c>
      <c r="E7" s="10" t="s">
        <v>332</v>
      </c>
      <c r="G7" s="10" t="s">
        <v>145</v>
      </c>
      <c r="J7" s="10" t="s">
        <v>43</v>
      </c>
      <c r="M7" s="8"/>
    </row>
    <row r="8" spans="1:21" ht="20.100000000000001" customHeight="1" x14ac:dyDescent="0.25">
      <c r="A8" s="16"/>
      <c r="D8" s="10" t="str">
        <f>'Constants - Common Livestock'!E7</f>
        <v>Anaerobic lagoon</v>
      </c>
      <c r="E8" s="10" t="str">
        <f>'Constants - Common Livestock'!F7</f>
        <v>Anaerobic lagoon (m=1)</v>
      </c>
      <c r="G8" s="10" t="str">
        <f>'Constants - Common'!$F$187</f>
        <v>Pasture</v>
      </c>
      <c r="J8" s="10" t="s">
        <v>148</v>
      </c>
      <c r="M8" s="8"/>
    </row>
    <row r="9" spans="1:21" ht="20.100000000000001" customHeight="1" x14ac:dyDescent="0.25">
      <c r="A9" s="16"/>
      <c r="D9" s="10" t="str">
        <f>'Constants - Common Livestock'!E10</f>
        <v>Sump and dispersal system</v>
      </c>
      <c r="E9" s="10" t="str">
        <f>'Constants - Common Livestock'!F10</f>
        <v>Sump and dispersal system (m=3a)</v>
      </c>
      <c r="G9" s="8" t="str">
        <f>'Constants - Common'!$F$188</f>
        <v>Crop</v>
      </c>
      <c r="J9" s="10" t="s">
        <v>152</v>
      </c>
      <c r="M9" s="8"/>
    </row>
    <row r="10" spans="1:21" ht="20.100000000000001" customHeight="1" x14ac:dyDescent="0.25">
      <c r="A10" s="16"/>
      <c r="D10" s="10" t="str">
        <f>'Constants - Common Livestock'!E11</f>
        <v>Drains to paddock</v>
      </c>
      <c r="E10" s="10" t="str">
        <f>'Constants - Common Livestock'!F11</f>
        <v>Drains to paddock (m=3b)</v>
      </c>
      <c r="J10" s="8" t="s">
        <v>155</v>
      </c>
      <c r="M10" s="8"/>
    </row>
    <row r="11" spans="1:21" ht="20.100000000000001" customHeight="1" x14ac:dyDescent="0.25">
      <c r="A11" s="21"/>
      <c r="D11" s="10" t="str">
        <f>'Constants - Common Livestock'!E12</f>
        <v>Solid storage</v>
      </c>
      <c r="E11" s="10" t="str">
        <f>'Constants - Common Livestock'!F12</f>
        <v>Solid storage (m=4)</v>
      </c>
      <c r="J11" s="8" t="s">
        <v>158</v>
      </c>
      <c r="M11" s="8"/>
    </row>
    <row r="12" spans="1:21" ht="20.100000000000001" customHeight="1" x14ac:dyDescent="0.25">
      <c r="A12" s="16"/>
      <c r="J12" s="8" t="s">
        <v>160</v>
      </c>
      <c r="M12" s="8"/>
    </row>
    <row r="13" spans="1:21" ht="20.100000000000001" customHeight="1" x14ac:dyDescent="0.25">
      <c r="A13" s="16"/>
      <c r="M13" s="8"/>
    </row>
    <row r="14" spans="1:21" ht="20.100000000000001" customHeight="1" x14ac:dyDescent="0.25">
      <c r="A14" s="23"/>
      <c r="M14" s="8"/>
    </row>
    <row r="15" spans="1:21" ht="20.100000000000001" customHeight="1" x14ac:dyDescent="0.25">
      <c r="A15" s="24"/>
      <c r="M15" s="8"/>
    </row>
    <row r="16" spans="1:21" ht="20.100000000000001" customHeight="1" x14ac:dyDescent="0.25">
      <c r="A16" s="16"/>
      <c r="D16" s="9" t="s">
        <v>1434</v>
      </c>
      <c r="M16" s="8"/>
    </row>
    <row r="17" spans="1:13" ht="20.100000000000001" customHeight="1" x14ac:dyDescent="0.25">
      <c r="A17" s="16"/>
      <c r="D17" s="11" t="s">
        <v>1435</v>
      </c>
      <c r="M17" s="8"/>
    </row>
    <row r="18" spans="1:13" ht="20.100000000000001" customHeight="1" x14ac:dyDescent="0.25">
      <c r="A18" s="16"/>
      <c r="D18" s="8" t="s">
        <v>1436</v>
      </c>
      <c r="M18" s="8"/>
    </row>
    <row r="19" spans="1:13" ht="20.100000000000001" customHeight="1" x14ac:dyDescent="0.25">
      <c r="D19" s="13" t="s">
        <v>354</v>
      </c>
      <c r="M19" s="8"/>
    </row>
    <row r="20" spans="1:13" ht="20.100000000000001" customHeight="1" x14ac:dyDescent="0.25">
      <c r="D20" s="12" t="s">
        <v>1437</v>
      </c>
      <c r="M20" s="8"/>
    </row>
    <row r="21" spans="1:13" ht="20.100000000000001" customHeight="1" x14ac:dyDescent="0.25">
      <c r="D21" s="10" t="s">
        <v>510</v>
      </c>
      <c r="E21" s="10" t="s">
        <v>524</v>
      </c>
      <c r="F21" s="10" t="s">
        <v>533</v>
      </c>
      <c r="G21" s="10" t="s">
        <v>525</v>
      </c>
      <c r="M21" s="8"/>
    </row>
    <row r="22" spans="1:13" ht="20.100000000000001" customHeight="1" x14ac:dyDescent="0.25">
      <c r="D22" s="10" t="s">
        <v>1438</v>
      </c>
      <c r="E22" s="10">
        <v>550</v>
      </c>
      <c r="F22" s="10">
        <v>380</v>
      </c>
      <c r="G22" s="10">
        <v>155</v>
      </c>
      <c r="M22" s="8"/>
    </row>
    <row r="23" spans="1:13" ht="20.100000000000001" customHeight="1" x14ac:dyDescent="0.25">
      <c r="D23" s="10" t="s">
        <v>631</v>
      </c>
      <c r="E23" s="10">
        <v>600</v>
      </c>
      <c r="F23" s="10">
        <v>415</v>
      </c>
      <c r="G23" s="10">
        <v>170</v>
      </c>
      <c r="M23" s="8"/>
    </row>
    <row r="24" spans="1:13" ht="20.100000000000001" customHeight="1" x14ac:dyDescent="0.25">
      <c r="D24" s="10" t="s">
        <v>553</v>
      </c>
      <c r="E24" s="10">
        <v>650</v>
      </c>
      <c r="F24" s="10">
        <v>450</v>
      </c>
      <c r="G24" s="10">
        <v>185</v>
      </c>
      <c r="M24" s="8"/>
    </row>
    <row r="25" spans="1:13" ht="20.100000000000001" customHeight="1" x14ac:dyDescent="0.25">
      <c r="D25" s="10" t="s">
        <v>523</v>
      </c>
      <c r="E25" s="10">
        <v>500</v>
      </c>
      <c r="F25" s="10">
        <v>350</v>
      </c>
      <c r="G25" s="10">
        <v>145</v>
      </c>
      <c r="M25" s="8"/>
    </row>
    <row r="26" spans="1:13" ht="20.100000000000001" customHeight="1" x14ac:dyDescent="0.25">
      <c r="D26" s="10" t="s">
        <v>1439</v>
      </c>
      <c r="E26" s="10">
        <v>400</v>
      </c>
      <c r="F26" s="10">
        <v>275</v>
      </c>
      <c r="G26" s="10">
        <v>115</v>
      </c>
      <c r="M26" s="8"/>
    </row>
    <row r="27" spans="1:13" ht="20.100000000000001" customHeight="1" x14ac:dyDescent="0.25">
      <c r="D27" s="10" t="s">
        <v>1440</v>
      </c>
      <c r="E27" s="10">
        <v>450</v>
      </c>
      <c r="F27" s="10">
        <v>315</v>
      </c>
      <c r="G27" s="10">
        <v>130</v>
      </c>
      <c r="M27" s="8"/>
    </row>
    <row r="28" spans="1:13" ht="20.100000000000001" customHeight="1" x14ac:dyDescent="0.25">
      <c r="D28" s="10" t="s">
        <v>1441</v>
      </c>
      <c r="E28" s="10">
        <v>540</v>
      </c>
      <c r="F28" s="10">
        <v>375</v>
      </c>
      <c r="G28" s="10">
        <v>150</v>
      </c>
      <c r="M28" s="8"/>
    </row>
    <row r="29" spans="1:13" ht="20.100000000000001" customHeight="1" x14ac:dyDescent="0.25">
      <c r="D29" s="10" t="s">
        <v>1442</v>
      </c>
      <c r="E29" s="10">
        <v>480</v>
      </c>
      <c r="F29" s="10">
        <v>335</v>
      </c>
      <c r="G29" s="10">
        <v>140</v>
      </c>
      <c r="M29" s="8"/>
    </row>
    <row r="30" spans="1:13" ht="20.100000000000001" customHeight="1" x14ac:dyDescent="0.25">
      <c r="D30" s="10" t="s">
        <v>1443</v>
      </c>
      <c r="E30" s="10">
        <v>600</v>
      </c>
      <c r="F30" s="10">
        <v>415</v>
      </c>
      <c r="G30" s="10">
        <v>170</v>
      </c>
      <c r="M30" s="8"/>
    </row>
    <row r="31" spans="1:13" ht="20.100000000000001" customHeight="1" x14ac:dyDescent="0.25">
      <c r="D31" s="10" t="s">
        <v>1444</v>
      </c>
      <c r="E31" s="10">
        <v>550</v>
      </c>
      <c r="F31" s="10">
        <v>375</v>
      </c>
      <c r="G31" s="10">
        <v>150</v>
      </c>
      <c r="M31" s="8"/>
    </row>
    <row r="32" spans="1:13" ht="20.100000000000001" customHeight="1" x14ac:dyDescent="0.25">
      <c r="M32" s="8"/>
    </row>
    <row r="33" spans="4:13" ht="20.100000000000001" customHeight="1" x14ac:dyDescent="0.25">
      <c r="M33" s="8"/>
    </row>
    <row r="34" spans="4:13" ht="20.100000000000001" customHeight="1" x14ac:dyDescent="0.25">
      <c r="D34" s="9" t="s">
        <v>1445</v>
      </c>
      <c r="M34" s="8"/>
    </row>
    <row r="35" spans="4:13" ht="20.100000000000001" customHeight="1" x14ac:dyDescent="0.25">
      <c r="D35" s="11" t="s">
        <v>1446</v>
      </c>
      <c r="M35" s="8"/>
    </row>
    <row r="36" spans="4:13" ht="20.100000000000001" customHeight="1" x14ac:dyDescent="0.25">
      <c r="D36" s="8" t="s">
        <v>1436</v>
      </c>
      <c r="M36" s="8"/>
    </row>
    <row r="37" spans="4:13" ht="20.100000000000001" customHeight="1" x14ac:dyDescent="0.25">
      <c r="D37" s="13" t="s">
        <v>354</v>
      </c>
      <c r="M37" s="8"/>
    </row>
    <row r="38" spans="4:13" ht="20.100000000000001" customHeight="1" x14ac:dyDescent="0.25">
      <c r="D38" s="10" t="s">
        <v>510</v>
      </c>
      <c r="E38" s="10" t="s">
        <v>534</v>
      </c>
      <c r="F38" s="10" t="s">
        <v>535</v>
      </c>
      <c r="M38" s="8"/>
    </row>
    <row r="39" spans="4:13" ht="20.100000000000001" customHeight="1" x14ac:dyDescent="0.25">
      <c r="D39" s="10" t="s">
        <v>1447</v>
      </c>
      <c r="E39" s="10">
        <v>600</v>
      </c>
      <c r="F39" s="10">
        <v>225</v>
      </c>
      <c r="M39" s="8"/>
    </row>
    <row r="40" spans="4:13" ht="20.100000000000001" customHeight="1" x14ac:dyDescent="0.25">
      <c r="M40" s="8"/>
    </row>
    <row r="41" spans="4:13" ht="20.100000000000001" customHeight="1" x14ac:dyDescent="0.25">
      <c r="M41" s="8"/>
    </row>
    <row r="42" spans="4:13" ht="20.100000000000001" customHeight="1" x14ac:dyDescent="0.25">
      <c r="D42" s="9" t="s">
        <v>1448</v>
      </c>
      <c r="M42" s="8"/>
    </row>
    <row r="43" spans="4:13" ht="20.100000000000001" customHeight="1" x14ac:dyDescent="0.25">
      <c r="D43" s="11" t="s">
        <v>1449</v>
      </c>
      <c r="M43" s="8"/>
    </row>
    <row r="44" spans="4:13" ht="20.100000000000001" customHeight="1" x14ac:dyDescent="0.25">
      <c r="D44" s="8" t="s">
        <v>1450</v>
      </c>
      <c r="M44" s="8"/>
    </row>
    <row r="45" spans="4:13" ht="20.100000000000001" customHeight="1" x14ac:dyDescent="0.25">
      <c r="D45" s="13" t="s">
        <v>354</v>
      </c>
      <c r="M45" s="8"/>
    </row>
    <row r="46" spans="4:13" ht="20.100000000000001" customHeight="1" x14ac:dyDescent="0.25">
      <c r="D46" s="10" t="s">
        <v>524</v>
      </c>
      <c r="E46" s="10" t="s">
        <v>533</v>
      </c>
      <c r="F46" s="10" t="s">
        <v>525</v>
      </c>
      <c r="G46" s="10" t="s">
        <v>534</v>
      </c>
      <c r="H46" s="10" t="s">
        <v>535</v>
      </c>
      <c r="M46" s="8"/>
    </row>
    <row r="47" spans="4:13" ht="20.100000000000001" customHeight="1" x14ac:dyDescent="0.25">
      <c r="D47" s="10">
        <v>1.6E-2</v>
      </c>
      <c r="E47" s="10">
        <v>0.6</v>
      </c>
      <c r="F47" s="10">
        <v>0.56999999999999995</v>
      </c>
      <c r="G47" s="10">
        <v>0.1</v>
      </c>
      <c r="H47" s="10">
        <v>0.8</v>
      </c>
      <c r="M47" s="8"/>
    </row>
    <row r="48" spans="4:13" ht="20.100000000000001" customHeight="1" x14ac:dyDescent="0.25">
      <c r="M48" s="8"/>
    </row>
    <row r="49" spans="1:13" ht="20.100000000000001" customHeight="1" x14ac:dyDescent="0.25">
      <c r="M49" s="8"/>
    </row>
    <row r="50" spans="1:13" ht="20.100000000000001" customHeight="1" x14ac:dyDescent="0.25">
      <c r="D50" s="9" t="s">
        <v>1451</v>
      </c>
      <c r="M50" s="8"/>
    </row>
    <row r="51" spans="1:13" ht="20.100000000000001" customHeight="1" x14ac:dyDescent="0.25">
      <c r="D51" s="11" t="s">
        <v>1452</v>
      </c>
      <c r="M51" s="8"/>
    </row>
    <row r="52" spans="1:13" ht="20.100000000000001" customHeight="1" x14ac:dyDescent="0.25">
      <c r="D52" s="8" t="s">
        <v>1453</v>
      </c>
      <c r="M52" s="8"/>
    </row>
    <row r="53" spans="1:13" ht="20.100000000000001" customHeight="1" x14ac:dyDescent="0.25">
      <c r="D53" s="13" t="s">
        <v>354</v>
      </c>
      <c r="M53" s="8"/>
    </row>
    <row r="54" spans="1:13" ht="20.100000000000001" customHeight="1" x14ac:dyDescent="0.25">
      <c r="D54" s="166" t="s">
        <v>524</v>
      </c>
      <c r="E54" s="166" t="s">
        <v>533</v>
      </c>
      <c r="F54" s="166" t="s">
        <v>525</v>
      </c>
      <c r="G54" s="166" t="s">
        <v>534</v>
      </c>
      <c r="H54" s="166" t="s">
        <v>535</v>
      </c>
      <c r="M54" s="8"/>
    </row>
    <row r="55" spans="1:13" ht="20.100000000000001" customHeight="1" x14ac:dyDescent="0.25">
      <c r="A55" s="56" t="str">
        <f>HYPERLINK("#A1", "▲ Back to top")</f>
        <v>▲ Back to top</v>
      </c>
      <c r="D55" s="8">
        <v>590</v>
      </c>
      <c r="E55" s="8">
        <v>590</v>
      </c>
      <c r="F55" s="8">
        <v>590</v>
      </c>
      <c r="G55" s="8">
        <v>770</v>
      </c>
      <c r="H55" s="8">
        <v>770</v>
      </c>
      <c r="M55" s="8"/>
    </row>
    <row r="56" spans="1:13" ht="20.100000000000001" customHeight="1" x14ac:dyDescent="0.25">
      <c r="M56" s="8"/>
    </row>
    <row r="57" spans="1:13" ht="20.100000000000001" customHeight="1" x14ac:dyDescent="0.25">
      <c r="M57" s="8"/>
    </row>
    <row r="58" spans="1:13" ht="20.100000000000001" customHeight="1" x14ac:dyDescent="0.25">
      <c r="D58" s="9" t="s">
        <v>1454</v>
      </c>
      <c r="M58" s="8"/>
    </row>
    <row r="59" spans="1:13" ht="20.100000000000001" customHeight="1" x14ac:dyDescent="0.25">
      <c r="D59" s="11" t="s">
        <v>1455</v>
      </c>
      <c r="M59" s="8"/>
    </row>
    <row r="60" spans="1:13" ht="20.100000000000001" customHeight="1" x14ac:dyDescent="0.25">
      <c r="D60" s="8" t="s">
        <v>1456</v>
      </c>
      <c r="M60" s="8"/>
    </row>
    <row r="61" spans="1:13" ht="20.100000000000001" customHeight="1" x14ac:dyDescent="0.25">
      <c r="D61" s="13" t="s">
        <v>1457</v>
      </c>
      <c r="M61" s="8"/>
    </row>
    <row r="62" spans="1:13" ht="20.100000000000001" customHeight="1" x14ac:dyDescent="0.25">
      <c r="D62" s="10" t="s">
        <v>536</v>
      </c>
      <c r="E62" s="10" t="s">
        <v>537</v>
      </c>
      <c r="F62" s="10" t="s">
        <v>538</v>
      </c>
      <c r="G62" s="10" t="s">
        <v>539</v>
      </c>
      <c r="M62" s="8"/>
    </row>
    <row r="63" spans="1:13" ht="20.100000000000001" customHeight="1" x14ac:dyDescent="0.25">
      <c r="D63" s="10" t="s">
        <v>1458</v>
      </c>
      <c r="E63" s="10">
        <v>1.7600000000000001E-2</v>
      </c>
      <c r="F63" s="10">
        <v>0.26850000000000002</v>
      </c>
      <c r="G63" s="10">
        <v>1.37E-2</v>
      </c>
      <c r="M63" s="8"/>
    </row>
    <row r="64" spans="1:13" ht="20.100000000000001" customHeight="1" x14ac:dyDescent="0.25">
      <c r="D64" s="10" t="s">
        <v>1459</v>
      </c>
      <c r="E64" s="10">
        <v>2.0400000000000001E-2</v>
      </c>
      <c r="F64" s="10">
        <v>0.30030000000000001</v>
      </c>
      <c r="G64" s="10">
        <v>9.1999999999999998E-3</v>
      </c>
      <c r="M64" s="8"/>
    </row>
    <row r="65" spans="1:22" ht="20.100000000000001" customHeight="1" x14ac:dyDescent="0.25">
      <c r="M65" s="8"/>
    </row>
    <row r="66" spans="1:22" ht="20.100000000000001" customHeight="1" x14ac:dyDescent="0.25">
      <c r="M66" s="8"/>
    </row>
    <row r="67" spans="1:22" ht="20.100000000000001" customHeight="1" x14ac:dyDescent="0.25">
      <c r="D67" s="9" t="s">
        <v>1460</v>
      </c>
      <c r="M67" s="8"/>
    </row>
    <row r="68" spans="1:22" ht="20.100000000000001" customHeight="1" x14ac:dyDescent="0.25">
      <c r="D68" s="11" t="s">
        <v>1461</v>
      </c>
      <c r="M68" s="8"/>
    </row>
    <row r="69" spans="1:22" ht="20.100000000000001" customHeight="1" x14ac:dyDescent="0.25">
      <c r="D69" s="8" t="s">
        <v>1462</v>
      </c>
      <c r="M69" s="8"/>
    </row>
    <row r="70" spans="1:22" ht="20.100000000000001" customHeight="1" x14ac:dyDescent="0.25">
      <c r="D70" s="13" t="s">
        <v>1004</v>
      </c>
      <c r="M70" s="8"/>
    </row>
    <row r="71" spans="1:22" ht="20.100000000000001" customHeight="1" x14ac:dyDescent="0.25">
      <c r="D71" s="12" t="s">
        <v>1463</v>
      </c>
      <c r="M71" s="8"/>
      <c r="V71" s="8"/>
    </row>
    <row r="72" spans="1:22" ht="20.100000000000001" customHeight="1" x14ac:dyDescent="0.25">
      <c r="D72" s="10" t="s">
        <v>540</v>
      </c>
      <c r="E72" s="10" t="s">
        <v>315</v>
      </c>
      <c r="F72" s="10" t="s">
        <v>339</v>
      </c>
      <c r="G72" s="10" t="s">
        <v>441</v>
      </c>
      <c r="H72" s="10" t="s">
        <v>340</v>
      </c>
      <c r="I72" s="10" t="s">
        <v>399</v>
      </c>
      <c r="J72" s="10" t="s">
        <v>395</v>
      </c>
      <c r="K72" s="10" t="s">
        <v>345</v>
      </c>
      <c r="L72" s="10" t="s">
        <v>346</v>
      </c>
      <c r="M72" s="10" t="s">
        <v>541</v>
      </c>
      <c r="V72" s="8"/>
    </row>
    <row r="73" spans="1:22" ht="20.100000000000001" customHeight="1" x14ac:dyDescent="0.25">
      <c r="D73" s="10" t="s">
        <v>147</v>
      </c>
      <c r="E73" s="10">
        <v>0.01</v>
      </c>
      <c r="F73" s="10">
        <v>0.01</v>
      </c>
      <c r="G73" s="10">
        <v>0.02</v>
      </c>
      <c r="H73" s="10">
        <v>0.01</v>
      </c>
      <c r="I73" s="10">
        <v>0.01</v>
      </c>
      <c r="J73" s="10">
        <v>0.01</v>
      </c>
      <c r="K73" s="10">
        <v>0.01</v>
      </c>
      <c r="L73" s="10">
        <v>0.01</v>
      </c>
      <c r="M73" s="10" t="s">
        <v>62</v>
      </c>
      <c r="V73" s="8"/>
    </row>
    <row r="74" spans="1:22" ht="20.100000000000001" customHeight="1" x14ac:dyDescent="0.25">
      <c r="D74" s="8" t="s">
        <v>50</v>
      </c>
      <c r="E74" s="10">
        <v>0.72</v>
      </c>
      <c r="F74" s="10">
        <v>0.76</v>
      </c>
      <c r="G74" s="10">
        <v>0.8</v>
      </c>
      <c r="H74" s="10">
        <v>0.78</v>
      </c>
      <c r="I74" s="10">
        <v>0.74</v>
      </c>
      <c r="J74" s="10">
        <v>0.69</v>
      </c>
      <c r="K74" s="10">
        <v>0.73</v>
      </c>
      <c r="L74" s="10">
        <v>0.76</v>
      </c>
      <c r="M74" s="10" t="s">
        <v>50</v>
      </c>
      <c r="V74" s="8"/>
    </row>
    <row r="75" spans="1:22" ht="20.100000000000001" customHeight="1" x14ac:dyDescent="0.25">
      <c r="D75" s="8" t="s">
        <v>1464</v>
      </c>
      <c r="E75" s="10">
        <v>5.0000000000000001E-3</v>
      </c>
      <c r="F75" s="10">
        <v>5.0000000000000001E-3</v>
      </c>
      <c r="G75" s="10">
        <v>0.01</v>
      </c>
      <c r="H75" s="10">
        <v>5.0000000000000001E-3</v>
      </c>
      <c r="I75" s="10">
        <v>5.0000000000000001E-3</v>
      </c>
      <c r="J75" s="10">
        <v>1E-3</v>
      </c>
      <c r="K75" s="10">
        <v>5.0000000000000001E-3</v>
      </c>
      <c r="L75" s="10">
        <v>5.0000000000000001E-3</v>
      </c>
      <c r="M75" s="10" t="s">
        <v>1465</v>
      </c>
      <c r="V75" s="8"/>
    </row>
    <row r="76" spans="1:22" ht="20.100000000000001" customHeight="1" x14ac:dyDescent="0.25">
      <c r="D76" s="8" t="s">
        <v>1466</v>
      </c>
      <c r="E76" s="10">
        <v>0.15</v>
      </c>
      <c r="F76" s="10">
        <v>0.18</v>
      </c>
      <c r="G76" s="10">
        <v>0.5</v>
      </c>
      <c r="H76" s="10">
        <v>0.24</v>
      </c>
      <c r="I76" s="10">
        <v>0.17</v>
      </c>
      <c r="J76" s="10">
        <v>0.13</v>
      </c>
      <c r="K76" s="10">
        <v>0.17</v>
      </c>
      <c r="L76" s="10">
        <v>0.18</v>
      </c>
      <c r="M76" s="10" t="s">
        <v>1467</v>
      </c>
      <c r="V76" s="8"/>
    </row>
    <row r="77" spans="1:22" ht="20.100000000000001" customHeight="1" x14ac:dyDescent="0.25">
      <c r="D77" s="8" t="s">
        <v>1468</v>
      </c>
      <c r="E77" s="10">
        <v>0.02</v>
      </c>
      <c r="F77" s="10">
        <v>0.02</v>
      </c>
      <c r="G77" s="10">
        <v>0.02</v>
      </c>
      <c r="H77" s="10">
        <v>0.02</v>
      </c>
      <c r="I77" s="10">
        <v>0.02</v>
      </c>
      <c r="J77" s="10">
        <v>0.02</v>
      </c>
      <c r="K77" s="10">
        <v>0.02</v>
      </c>
      <c r="L77" s="10">
        <v>0.02</v>
      </c>
      <c r="M77" s="10" t="s">
        <v>55</v>
      </c>
      <c r="V77" s="8"/>
    </row>
    <row r="78" spans="1:22" ht="20.100000000000001" customHeight="1" x14ac:dyDescent="0.25">
      <c r="D78" s="8" t="s">
        <v>1407</v>
      </c>
      <c r="E78" s="10">
        <v>0</v>
      </c>
      <c r="F78" s="10">
        <v>0</v>
      </c>
      <c r="G78" s="10">
        <v>0</v>
      </c>
      <c r="H78" s="10">
        <v>0</v>
      </c>
      <c r="I78" s="10">
        <v>0</v>
      </c>
      <c r="J78" s="10">
        <v>0</v>
      </c>
      <c r="K78" s="10">
        <v>0</v>
      </c>
      <c r="L78" s="10">
        <v>0</v>
      </c>
      <c r="M78" s="10" t="s">
        <v>61</v>
      </c>
    </row>
    <row r="79" spans="1:22" ht="20.100000000000001" customHeight="1" x14ac:dyDescent="0.25">
      <c r="A79" s="56" t="str">
        <f>HYPERLINK("#A1", "▲ Back to top")</f>
        <v>▲ Back to top</v>
      </c>
      <c r="M79" s="8"/>
    </row>
    <row r="80" spans="1:22" ht="20.100000000000001" customHeight="1" x14ac:dyDescent="0.25">
      <c r="M80" s="8"/>
    </row>
    <row r="81" spans="4:22" ht="20.100000000000001" customHeight="1" x14ac:dyDescent="0.25">
      <c r="D81" s="9" t="s">
        <v>1469</v>
      </c>
      <c r="M81" s="8"/>
    </row>
    <row r="82" spans="4:22" ht="20.100000000000001" customHeight="1" x14ac:dyDescent="0.25">
      <c r="D82" s="11" t="s">
        <v>1470</v>
      </c>
      <c r="M82" s="8"/>
    </row>
    <row r="83" spans="4:22" ht="20.100000000000001" customHeight="1" x14ac:dyDescent="0.25">
      <c r="D83" s="8" t="s">
        <v>1471</v>
      </c>
      <c r="M83" s="8"/>
    </row>
    <row r="84" spans="4:22" ht="20.100000000000001" customHeight="1" x14ac:dyDescent="0.25">
      <c r="D84" s="13" t="s">
        <v>1472</v>
      </c>
      <c r="M84" s="8"/>
    </row>
    <row r="85" spans="4:22" ht="20.100000000000001" customHeight="1" x14ac:dyDescent="0.25">
      <c r="D85" s="12" t="s">
        <v>1463</v>
      </c>
      <c r="M85" s="8"/>
      <c r="V85" s="8"/>
    </row>
    <row r="86" spans="4:22" ht="20.100000000000001" customHeight="1" x14ac:dyDescent="0.25">
      <c r="D86" s="10" t="s">
        <v>540</v>
      </c>
      <c r="E86" s="10" t="s">
        <v>542</v>
      </c>
      <c r="F86" s="10" t="s">
        <v>543</v>
      </c>
      <c r="G86" s="10" t="s">
        <v>541</v>
      </c>
      <c r="M86" s="8"/>
      <c r="V86" s="8"/>
    </row>
    <row r="87" spans="4:22" ht="20.100000000000001" customHeight="1" x14ac:dyDescent="0.25">
      <c r="D87" s="10" t="s">
        <v>1473</v>
      </c>
      <c r="E87" s="10">
        <v>0</v>
      </c>
      <c r="F87" s="10">
        <v>0</v>
      </c>
      <c r="G87" s="10" t="s">
        <v>62</v>
      </c>
      <c r="M87" s="8"/>
      <c r="V87" s="8"/>
    </row>
    <row r="88" spans="4:22" ht="20.100000000000001" customHeight="1" x14ac:dyDescent="0.25">
      <c r="D88" s="8" t="s">
        <v>1474</v>
      </c>
      <c r="E88" s="10">
        <v>0</v>
      </c>
      <c r="F88" s="10">
        <v>0.35</v>
      </c>
      <c r="G88" s="10" t="s">
        <v>50</v>
      </c>
      <c r="M88" s="8"/>
      <c r="V88" s="8"/>
    </row>
    <row r="89" spans="4:22" ht="20.100000000000001" customHeight="1" x14ac:dyDescent="0.25">
      <c r="D89" s="8" t="s">
        <v>1475</v>
      </c>
      <c r="E89" s="10">
        <v>0</v>
      </c>
      <c r="F89" s="10">
        <v>7.0000000000000007E-2</v>
      </c>
      <c r="G89" s="10" t="s">
        <v>1465</v>
      </c>
      <c r="M89" s="8"/>
      <c r="V89" s="8"/>
    </row>
    <row r="90" spans="4:22" ht="20.100000000000001" customHeight="1" x14ac:dyDescent="0.25">
      <c r="D90" s="8" t="s">
        <v>1476</v>
      </c>
      <c r="E90" s="10">
        <v>0</v>
      </c>
      <c r="F90" s="10">
        <v>0.2</v>
      </c>
      <c r="G90" s="10" t="s">
        <v>1467</v>
      </c>
      <c r="M90" s="8"/>
      <c r="V90" s="8"/>
    </row>
    <row r="91" spans="4:22" ht="20.100000000000001" customHeight="1" x14ac:dyDescent="0.25">
      <c r="D91" s="8" t="s">
        <v>1477</v>
      </c>
      <c r="E91" s="10">
        <v>5.0000000000000001E-3</v>
      </c>
      <c r="F91" s="10">
        <v>0.3</v>
      </c>
      <c r="G91" s="10" t="s">
        <v>55</v>
      </c>
      <c r="M91" s="8"/>
    </row>
    <row r="92" spans="4:22" ht="20.100000000000001" customHeight="1" x14ac:dyDescent="0.25">
      <c r="M92" s="8"/>
    </row>
    <row r="93" spans="4:22" ht="20.100000000000001" customHeight="1" x14ac:dyDescent="0.25">
      <c r="M93" s="8"/>
    </row>
    <row r="94" spans="4:22" ht="20.100000000000001" customHeight="1" x14ac:dyDescent="0.25">
      <c r="D94" s="9" t="s">
        <v>1478</v>
      </c>
      <c r="M94" s="8"/>
    </row>
    <row r="95" spans="4:22" ht="20.100000000000001" customHeight="1" x14ac:dyDescent="0.25">
      <c r="D95" s="11" t="s">
        <v>1479</v>
      </c>
      <c r="M95" s="8"/>
    </row>
    <row r="96" spans="4:22" ht="20.100000000000001" customHeight="1" x14ac:dyDescent="0.25">
      <c r="D96" s="8" t="s">
        <v>1480</v>
      </c>
      <c r="M96" s="8"/>
    </row>
    <row r="97" spans="1:13" ht="20.100000000000001" customHeight="1" x14ac:dyDescent="0.25">
      <c r="D97" s="13" t="s">
        <v>1481</v>
      </c>
      <c r="M97" s="8"/>
    </row>
    <row r="98" spans="1:13" ht="20.100000000000001" customHeight="1" x14ac:dyDescent="0.25">
      <c r="D98" s="10" t="s">
        <v>536</v>
      </c>
      <c r="E98" s="10" t="s">
        <v>544</v>
      </c>
      <c r="M98" s="8"/>
    </row>
    <row r="99" spans="1:13" ht="20.100000000000001" customHeight="1" x14ac:dyDescent="0.25">
      <c r="D99" s="10" t="s">
        <v>1482</v>
      </c>
      <c r="E99" s="10">
        <v>1.7600000000000001E-2</v>
      </c>
      <c r="M99" s="8"/>
    </row>
    <row r="100" spans="1:13" ht="20.100000000000001" customHeight="1" x14ac:dyDescent="0.25">
      <c r="D100" s="8" t="s">
        <v>490</v>
      </c>
      <c r="E100" s="10">
        <v>2.0400000000000001E-2</v>
      </c>
      <c r="M100" s="8"/>
    </row>
    <row r="101" spans="1:13" ht="20.100000000000001" customHeight="1" x14ac:dyDescent="0.25">
      <c r="M101" s="8"/>
    </row>
    <row r="102" spans="1:13" ht="20.100000000000001" customHeight="1" x14ac:dyDescent="0.25">
      <c r="M102" s="8"/>
    </row>
    <row r="103" spans="1:13" ht="20.100000000000001" customHeight="1" x14ac:dyDescent="0.25">
      <c r="D103" s="9" t="s">
        <v>1483</v>
      </c>
      <c r="M103" s="8"/>
    </row>
    <row r="104" spans="1:13" ht="20.100000000000001" customHeight="1" x14ac:dyDescent="0.25">
      <c r="A104" s="56" t="str">
        <f>HYPERLINK("#A1", "▲ Back to top")</f>
        <v>▲ Back to top</v>
      </c>
      <c r="D104" s="11" t="s">
        <v>1484</v>
      </c>
      <c r="M104" s="8"/>
    </row>
    <row r="105" spans="1:13" ht="20.100000000000001" customHeight="1" x14ac:dyDescent="0.25">
      <c r="D105" s="8" t="s">
        <v>545</v>
      </c>
      <c r="M105" s="8"/>
    </row>
    <row r="106" spans="1:13" ht="20.100000000000001" customHeight="1" x14ac:dyDescent="0.25">
      <c r="D106" s="13"/>
      <c r="M106" s="8"/>
    </row>
    <row r="107" spans="1:13" ht="20.100000000000001" customHeight="1" x14ac:dyDescent="0.25">
      <c r="D107" s="10" t="s">
        <v>536</v>
      </c>
      <c r="E107" s="10" t="s">
        <v>545</v>
      </c>
      <c r="M107" s="8"/>
    </row>
    <row r="108" spans="1:13" ht="20.100000000000001" customHeight="1" x14ac:dyDescent="0.25">
      <c r="D108" s="10" t="s">
        <v>1485</v>
      </c>
      <c r="E108" s="10">
        <v>1.1000000000000001</v>
      </c>
      <c r="M108" s="8"/>
    </row>
    <row r="109" spans="1:13" ht="20.100000000000001" customHeight="1" x14ac:dyDescent="0.25">
      <c r="D109" s="8" t="s">
        <v>1486</v>
      </c>
      <c r="E109" s="10">
        <v>1</v>
      </c>
      <c r="M109" s="8"/>
    </row>
    <row r="110" spans="1:13" ht="20.100000000000001" customHeight="1" x14ac:dyDescent="0.25">
      <c r="M110" s="8"/>
    </row>
    <row r="111" spans="1:13" ht="20.100000000000001" customHeight="1" x14ac:dyDescent="0.25">
      <c r="M111" s="8"/>
    </row>
    <row r="112" spans="1:13" ht="20.100000000000001" customHeight="1" x14ac:dyDescent="0.25">
      <c r="D112" s="9" t="s">
        <v>1487</v>
      </c>
      <c r="M112" s="8"/>
    </row>
    <row r="113" spans="4:22" ht="20.100000000000001" customHeight="1" x14ac:dyDescent="0.25">
      <c r="D113" s="11" t="s">
        <v>1488</v>
      </c>
      <c r="M113" s="8"/>
    </row>
    <row r="114" spans="4:22" ht="20.100000000000001" customHeight="1" x14ac:dyDescent="0.25">
      <c r="D114" s="8" t="s">
        <v>1489</v>
      </c>
      <c r="M114" s="8"/>
    </row>
    <row r="115" spans="4:22" ht="20.100000000000001" customHeight="1" x14ac:dyDescent="0.25">
      <c r="D115" s="13" t="s">
        <v>1004</v>
      </c>
      <c r="M115" s="8"/>
      <c r="V115" s="8"/>
    </row>
    <row r="116" spans="4:22" ht="20.100000000000001" customHeight="1" x14ac:dyDescent="0.25">
      <c r="D116" s="10" t="s">
        <v>546</v>
      </c>
      <c r="E116" s="10" t="s">
        <v>147</v>
      </c>
      <c r="F116" s="10" t="s">
        <v>547</v>
      </c>
      <c r="G116" s="10" t="s">
        <v>548</v>
      </c>
      <c r="M116" s="8"/>
      <c r="V116" s="8"/>
    </row>
    <row r="117" spans="4:22" ht="20.100000000000001" customHeight="1" x14ac:dyDescent="0.25">
      <c r="D117" s="10" t="s">
        <v>1490</v>
      </c>
      <c r="E117" s="10">
        <v>0.89</v>
      </c>
      <c r="F117" s="10">
        <v>0.11</v>
      </c>
      <c r="G117" s="10">
        <v>0</v>
      </c>
      <c r="M117" s="8"/>
      <c r="V117" s="8"/>
    </row>
    <row r="118" spans="4:22" ht="20.100000000000001" customHeight="1" x14ac:dyDescent="0.25">
      <c r="D118" s="8" t="s">
        <v>1491</v>
      </c>
      <c r="E118" s="10">
        <v>0.79</v>
      </c>
      <c r="F118" s="10">
        <v>0.11</v>
      </c>
      <c r="G118" s="10">
        <v>0.1</v>
      </c>
      <c r="M118" s="8"/>
    </row>
    <row r="119" spans="4:22" ht="20.100000000000001" customHeight="1" x14ac:dyDescent="0.25">
      <c r="D119" s="8" t="s">
        <v>1492</v>
      </c>
      <c r="E119" s="10">
        <v>0.53400000000000003</v>
      </c>
      <c r="F119" s="10">
        <v>0.11</v>
      </c>
      <c r="G119" s="10">
        <v>0.35599999999999998</v>
      </c>
      <c r="M119" s="8"/>
    </row>
    <row r="120" spans="4:22" ht="20.100000000000001" customHeight="1" x14ac:dyDescent="0.25">
      <c r="D120" s="8" t="s">
        <v>1493</v>
      </c>
      <c r="E120" s="10">
        <v>0</v>
      </c>
      <c r="F120" s="10">
        <v>0.11</v>
      </c>
      <c r="G120" s="10">
        <v>0.89</v>
      </c>
      <c r="M120" s="8"/>
    </row>
    <row r="121" spans="4:22" ht="20.100000000000001" customHeight="1" x14ac:dyDescent="0.25">
      <c r="M121" s="8"/>
    </row>
    <row r="122" spans="4:22" ht="20.100000000000001" customHeight="1" x14ac:dyDescent="0.25">
      <c r="M122" s="8"/>
    </row>
    <row r="123" spans="4:22" ht="20.100000000000001" customHeight="1" x14ac:dyDescent="0.25">
      <c r="D123" s="9" t="s">
        <v>1494</v>
      </c>
      <c r="M123" s="8"/>
    </row>
    <row r="124" spans="4:22" ht="20.100000000000001" customHeight="1" x14ac:dyDescent="0.25">
      <c r="D124" s="11" t="s">
        <v>1495</v>
      </c>
      <c r="M124" s="8"/>
    </row>
    <row r="125" spans="4:22" ht="20.100000000000001" customHeight="1" x14ac:dyDescent="0.25">
      <c r="D125" s="8" t="s">
        <v>542</v>
      </c>
      <c r="M125" s="8"/>
      <c r="V125" s="8"/>
    </row>
    <row r="126" spans="4:22" ht="20.100000000000001" customHeight="1" x14ac:dyDescent="0.25">
      <c r="D126" s="13" t="s">
        <v>1061</v>
      </c>
      <c r="M126" s="8"/>
      <c r="V126" s="8"/>
    </row>
    <row r="127" spans="4:22" ht="20.100000000000001" customHeight="1" x14ac:dyDescent="0.25">
      <c r="D127" s="12" t="s">
        <v>1463</v>
      </c>
      <c r="M127" s="8"/>
      <c r="V127" s="8"/>
    </row>
    <row r="128" spans="4:22" ht="20.100000000000001" customHeight="1" x14ac:dyDescent="0.25">
      <c r="D128" s="10" t="s">
        <v>540</v>
      </c>
      <c r="E128" s="10" t="s">
        <v>542</v>
      </c>
      <c r="F128" s="10" t="s">
        <v>541</v>
      </c>
      <c r="G128" s="163" t="s">
        <v>549</v>
      </c>
      <c r="M128" s="8"/>
      <c r="N128" s="14"/>
      <c r="V128" s="8"/>
    </row>
    <row r="129" spans="1:22" ht="20.100000000000001" customHeight="1" x14ac:dyDescent="0.25">
      <c r="D129" s="10" t="s">
        <v>1496</v>
      </c>
      <c r="E129" s="10">
        <v>0</v>
      </c>
      <c r="F129" s="10" t="s">
        <v>62</v>
      </c>
      <c r="M129" s="8"/>
      <c r="N129" s="14"/>
      <c r="V129" s="8"/>
    </row>
    <row r="130" spans="1:22" ht="20.100000000000001" customHeight="1" x14ac:dyDescent="0.25">
      <c r="D130" s="8" t="s">
        <v>1497</v>
      </c>
      <c r="E130" s="10">
        <v>0</v>
      </c>
      <c r="F130" s="10" t="s">
        <v>50</v>
      </c>
      <c r="M130" s="8"/>
      <c r="N130" s="14"/>
      <c r="V130" s="8"/>
    </row>
    <row r="131" spans="1:22" ht="20.100000000000001" customHeight="1" x14ac:dyDescent="0.25">
      <c r="D131" s="8" t="s">
        <v>1498</v>
      </c>
      <c r="E131" s="10">
        <v>0</v>
      </c>
      <c r="F131" s="10" t="s">
        <v>1465</v>
      </c>
      <c r="M131" s="8"/>
      <c r="N131" s="14"/>
    </row>
    <row r="132" spans="1:22" ht="20.100000000000001" customHeight="1" x14ac:dyDescent="0.25">
      <c r="D132" s="8" t="s">
        <v>1499</v>
      </c>
      <c r="E132" s="10">
        <v>0</v>
      </c>
      <c r="F132" s="10" t="s">
        <v>1467</v>
      </c>
      <c r="M132" s="14"/>
    </row>
    <row r="133" spans="1:22" ht="20.100000000000001" customHeight="1" x14ac:dyDescent="0.25">
      <c r="D133" s="8" t="s">
        <v>1500</v>
      </c>
      <c r="E133" s="10">
        <v>5.0000000000000001E-3</v>
      </c>
      <c r="F133" s="10" t="s">
        <v>55</v>
      </c>
      <c r="M133" s="14"/>
    </row>
    <row r="134" spans="1:22" ht="20.100000000000001" customHeight="1" x14ac:dyDescent="0.25">
      <c r="M134" s="14"/>
    </row>
    <row r="135" spans="1:22" ht="20.100000000000001" customHeight="1" x14ac:dyDescent="0.25">
      <c r="M135" s="14"/>
    </row>
    <row r="136" spans="1:22" ht="20.100000000000001" customHeight="1" x14ac:dyDescent="0.25">
      <c r="D136" s="9" t="s">
        <v>1501</v>
      </c>
      <c r="M136" s="14"/>
    </row>
    <row r="137" spans="1:22" ht="20.100000000000001" customHeight="1" x14ac:dyDescent="0.25">
      <c r="A137" s="56" t="str">
        <f>HYPERLINK("#A1", "▲ Back to top")</f>
        <v>▲ Back to top</v>
      </c>
      <c r="D137" s="11" t="s">
        <v>1502</v>
      </c>
      <c r="M137" s="14"/>
    </row>
    <row r="138" spans="1:22" ht="20.100000000000001" customHeight="1" x14ac:dyDescent="0.25">
      <c r="D138" s="8" t="s">
        <v>1503</v>
      </c>
      <c r="M138" s="14"/>
    </row>
    <row r="139" spans="1:22" ht="20.100000000000001" customHeight="1" x14ac:dyDescent="0.25">
      <c r="D139" s="13" t="s">
        <v>1504</v>
      </c>
      <c r="M139" s="14"/>
    </row>
    <row r="140" spans="1:22" ht="20.100000000000001" customHeight="1" x14ac:dyDescent="0.25">
      <c r="D140" s="12" t="s">
        <v>1505</v>
      </c>
      <c r="M140" s="14"/>
    </row>
    <row r="141" spans="1:22" ht="20.100000000000001" customHeight="1" x14ac:dyDescent="0.25">
      <c r="D141" s="10" t="s">
        <v>536</v>
      </c>
      <c r="E141" s="10" t="s">
        <v>550</v>
      </c>
      <c r="F141" s="10" t="s">
        <v>551</v>
      </c>
      <c r="M141" s="14"/>
    </row>
    <row r="142" spans="1:22" ht="20.100000000000001" customHeight="1" x14ac:dyDescent="0.25">
      <c r="D142" s="10" t="s">
        <v>524</v>
      </c>
      <c r="E142" s="10">
        <v>365</v>
      </c>
      <c r="F142" s="10">
        <v>0</v>
      </c>
      <c r="M142" s="14"/>
    </row>
    <row r="143" spans="1:22" ht="20.100000000000001" customHeight="1" x14ac:dyDescent="0.25">
      <c r="D143" s="8" t="s">
        <v>1506</v>
      </c>
      <c r="E143" s="10">
        <v>365</v>
      </c>
      <c r="F143" s="10">
        <v>0</v>
      </c>
      <c r="M143" s="14"/>
    </row>
    <row r="144" spans="1:22" ht="20.100000000000001" customHeight="1" x14ac:dyDescent="0.25">
      <c r="D144" s="8" t="s">
        <v>1482</v>
      </c>
      <c r="E144" s="10">
        <v>281</v>
      </c>
      <c r="F144" s="10">
        <v>84</v>
      </c>
      <c r="M144" s="14"/>
    </row>
    <row r="145" spans="4:13" ht="20.100000000000001" customHeight="1" x14ac:dyDescent="0.25">
      <c r="D145" s="8" t="s">
        <v>491</v>
      </c>
      <c r="E145" s="10">
        <v>365</v>
      </c>
      <c r="F145" s="10">
        <v>0</v>
      </c>
      <c r="M145" s="14"/>
    </row>
    <row r="146" spans="4:13" ht="20.100000000000001" customHeight="1" x14ac:dyDescent="0.25">
      <c r="D146" s="8" t="s">
        <v>490</v>
      </c>
      <c r="E146" s="10">
        <v>281</v>
      </c>
      <c r="F146" s="10">
        <v>84</v>
      </c>
      <c r="M146" s="14"/>
    </row>
    <row r="147" spans="4:13" ht="20.100000000000001" customHeight="1" x14ac:dyDescent="0.25">
      <c r="M147" s="14"/>
    </row>
    <row r="148" spans="4:13" ht="20.100000000000001" customHeight="1" x14ac:dyDescent="0.25">
      <c r="M148" s="14"/>
    </row>
    <row r="149" spans="4:13" ht="20.100000000000001" customHeight="1" x14ac:dyDescent="0.25">
      <c r="D149" s="9" t="s">
        <v>1507</v>
      </c>
      <c r="M149" s="14"/>
    </row>
    <row r="150" spans="4:13" ht="20.100000000000001" customHeight="1" x14ac:dyDescent="0.25">
      <c r="D150" s="11" t="s">
        <v>1502</v>
      </c>
      <c r="M150" s="14"/>
    </row>
    <row r="151" spans="4:13" ht="20.100000000000001" customHeight="1" x14ac:dyDescent="0.25">
      <c r="D151" s="8" t="s">
        <v>1508</v>
      </c>
      <c r="M151" s="14"/>
    </row>
    <row r="152" spans="4:13" ht="20.100000000000001" customHeight="1" x14ac:dyDescent="0.25">
      <c r="D152" s="13" t="s">
        <v>1004</v>
      </c>
      <c r="M152" s="14"/>
    </row>
    <row r="153" spans="4:13" ht="20.100000000000001" customHeight="1" x14ac:dyDescent="0.25">
      <c r="D153" s="28">
        <v>0.2</v>
      </c>
      <c r="M153" s="14"/>
    </row>
    <row r="154" spans="4:13" ht="20.100000000000001" customHeight="1" x14ac:dyDescent="0.25">
      <c r="M154" s="14"/>
    </row>
    <row r="155" spans="4:13" ht="20.100000000000001" customHeight="1" x14ac:dyDescent="0.25">
      <c r="M155" s="14"/>
    </row>
    <row r="156" spans="4:13" ht="20.100000000000001" customHeight="1" x14ac:dyDescent="0.25">
      <c r="D156" s="9" t="s">
        <v>1343</v>
      </c>
      <c r="M156" s="14"/>
    </row>
    <row r="157" spans="4:13" ht="20.100000000000001" customHeight="1" x14ac:dyDescent="0.25">
      <c r="D157" s="11" t="s">
        <v>1509</v>
      </c>
      <c r="M157" s="14"/>
    </row>
    <row r="158" spans="4:13" ht="20.100000000000001" customHeight="1" x14ac:dyDescent="0.25">
      <c r="D158" s="8" t="s">
        <v>1510</v>
      </c>
      <c r="M158" s="14"/>
    </row>
    <row r="159" spans="4:13" ht="20.100000000000001" customHeight="1" x14ac:dyDescent="0.25">
      <c r="D159" s="13" t="s">
        <v>1004</v>
      </c>
      <c r="M159" s="14"/>
    </row>
    <row r="160" spans="4:13" ht="20.100000000000001" customHeight="1" x14ac:dyDescent="0.25">
      <c r="D160" s="28">
        <v>0.75</v>
      </c>
      <c r="M160" s="14"/>
    </row>
    <row r="161" spans="1:13" ht="20.100000000000001" customHeight="1" x14ac:dyDescent="0.25">
      <c r="M161" s="14"/>
    </row>
    <row r="162" spans="1:13" ht="20.100000000000001" customHeight="1" x14ac:dyDescent="0.25">
      <c r="M162" s="14"/>
    </row>
    <row r="163" spans="1:13" ht="20.100000000000001" customHeight="1" x14ac:dyDescent="0.25">
      <c r="D163" s="9" t="s">
        <v>1511</v>
      </c>
      <c r="M163" s="14"/>
    </row>
    <row r="164" spans="1:13" ht="20.100000000000001" customHeight="1" x14ac:dyDescent="0.25">
      <c r="D164" s="11" t="s">
        <v>1512</v>
      </c>
      <c r="M164" s="14"/>
    </row>
    <row r="165" spans="1:13" ht="20.100000000000001" customHeight="1" x14ac:dyDescent="0.25">
      <c r="D165" s="8" t="s">
        <v>1261</v>
      </c>
      <c r="M165" s="14"/>
    </row>
    <row r="166" spans="1:13" x14ac:dyDescent="0.25">
      <c r="D166" s="13" t="s">
        <v>1513</v>
      </c>
      <c r="M166" s="14"/>
    </row>
    <row r="167" spans="1:13" x14ac:dyDescent="0.25">
      <c r="D167" s="28">
        <v>3.0539999999999998</v>
      </c>
      <c r="M167" s="14"/>
    </row>
    <row r="168" spans="1:13" x14ac:dyDescent="0.25">
      <c r="M168" s="14"/>
    </row>
    <row r="169" spans="1:13" x14ac:dyDescent="0.25">
      <c r="M169" s="14"/>
    </row>
    <row r="170" spans="1:13" ht="23.25" x14ac:dyDescent="0.25">
      <c r="D170" s="9" t="s">
        <v>1514</v>
      </c>
      <c r="M170" s="14"/>
    </row>
    <row r="171" spans="1:13" x14ac:dyDescent="0.25">
      <c r="D171" s="11" t="s">
        <v>1512</v>
      </c>
      <c r="M171" s="14"/>
    </row>
    <row r="172" spans="1:13" x14ac:dyDescent="0.25">
      <c r="D172" s="8" t="s">
        <v>1515</v>
      </c>
      <c r="M172" s="14"/>
    </row>
    <row r="173" spans="1:13" x14ac:dyDescent="0.25">
      <c r="D173" s="13" t="s">
        <v>1516</v>
      </c>
      <c r="M173" s="14"/>
    </row>
    <row r="174" spans="1:13" x14ac:dyDescent="0.25">
      <c r="A174" s="56" t="str">
        <f>HYPERLINK("#A1", "▲ Back to top")</f>
        <v>▲ Back to top</v>
      </c>
      <c r="D174" s="28">
        <v>18.399999999999999</v>
      </c>
      <c r="M174" s="14"/>
    </row>
    <row r="175" spans="1:13" x14ac:dyDescent="0.25">
      <c r="M175" s="14"/>
    </row>
    <row r="176" spans="1:13" x14ac:dyDescent="0.25">
      <c r="M176" s="14"/>
    </row>
    <row r="177" spans="4:13" ht="23.25" x14ac:dyDescent="0.25">
      <c r="D177" s="9" t="s">
        <v>1517</v>
      </c>
      <c r="M177" s="14"/>
    </row>
    <row r="178" spans="4:13" x14ac:dyDescent="0.25">
      <c r="D178" s="11" t="s">
        <v>1512</v>
      </c>
      <c r="M178" s="14"/>
    </row>
    <row r="179" spans="4:13" x14ac:dyDescent="0.25">
      <c r="D179" s="8" t="s">
        <v>1518</v>
      </c>
      <c r="M179" s="14"/>
    </row>
    <row r="180" spans="4:13" x14ac:dyDescent="0.25">
      <c r="D180" s="13" t="s">
        <v>1004</v>
      </c>
      <c r="M180" s="14"/>
    </row>
    <row r="181" spans="4:13" x14ac:dyDescent="0.25">
      <c r="D181" s="28">
        <v>0.6</v>
      </c>
      <c r="M181" s="14"/>
    </row>
    <row r="182" spans="4:13" x14ac:dyDescent="0.25">
      <c r="M182" s="14"/>
    </row>
    <row r="183" spans="4:13" x14ac:dyDescent="0.25">
      <c r="M183" s="14"/>
    </row>
    <row r="184" spans="4:13" ht="23.25" x14ac:dyDescent="0.25">
      <c r="D184" s="9" t="s">
        <v>1519</v>
      </c>
      <c r="M184" s="14"/>
    </row>
    <row r="185" spans="4:13" x14ac:dyDescent="0.25">
      <c r="D185" s="11" t="s">
        <v>1520</v>
      </c>
      <c r="M185" s="14"/>
    </row>
    <row r="186" spans="4:13" x14ac:dyDescent="0.25">
      <c r="D186" s="8" t="s">
        <v>1521</v>
      </c>
      <c r="M186" s="14"/>
    </row>
    <row r="187" spans="4:13" x14ac:dyDescent="0.25">
      <c r="D187" s="13" t="s">
        <v>1004</v>
      </c>
      <c r="M187" s="14"/>
    </row>
    <row r="188" spans="4:13" x14ac:dyDescent="0.25">
      <c r="D188" s="28">
        <v>0.08</v>
      </c>
      <c r="M188" s="14"/>
    </row>
    <row r="189" spans="4:13" x14ac:dyDescent="0.25">
      <c r="M189" s="14"/>
    </row>
    <row r="190" spans="4:13" x14ac:dyDescent="0.25">
      <c r="M190" s="14"/>
    </row>
    <row r="191" spans="4:13" ht="23.25" x14ac:dyDescent="0.25">
      <c r="D191" s="9" t="s">
        <v>1522</v>
      </c>
      <c r="M191" s="14"/>
    </row>
    <row r="192" spans="4:13" x14ac:dyDescent="0.25">
      <c r="D192" s="11" t="s">
        <v>1520</v>
      </c>
      <c r="M192" s="14"/>
    </row>
    <row r="193" spans="4:13" x14ac:dyDescent="0.25">
      <c r="D193" s="8" t="s">
        <v>1523</v>
      </c>
      <c r="M193" s="14"/>
    </row>
    <row r="194" spans="4:13" x14ac:dyDescent="0.25">
      <c r="D194" s="13" t="s">
        <v>1524</v>
      </c>
      <c r="M194" s="14"/>
    </row>
    <row r="195" spans="4:13" x14ac:dyDescent="0.25">
      <c r="D195" s="28">
        <v>0.24</v>
      </c>
      <c r="M195" s="14"/>
    </row>
    <row r="196" spans="4:13" x14ac:dyDescent="0.25">
      <c r="M196" s="14"/>
    </row>
    <row r="197" spans="4:13" x14ac:dyDescent="0.25">
      <c r="M197" s="14"/>
    </row>
    <row r="198" spans="4:13" ht="23.25" x14ac:dyDescent="0.25">
      <c r="D198" s="9" t="s">
        <v>1525</v>
      </c>
      <c r="M198" s="14"/>
    </row>
    <row r="199" spans="4:13" x14ac:dyDescent="0.25">
      <c r="D199" s="11" t="s">
        <v>1520</v>
      </c>
      <c r="M199" s="14"/>
    </row>
    <row r="200" spans="4:13" x14ac:dyDescent="0.25">
      <c r="D200" s="8" t="s">
        <v>1096</v>
      </c>
      <c r="M200" s="14"/>
    </row>
    <row r="201" spans="4:13" x14ac:dyDescent="0.25">
      <c r="D201" s="13" t="s">
        <v>1061</v>
      </c>
      <c r="M201" s="14"/>
    </row>
    <row r="202" spans="4:13" x14ac:dyDescent="0.25">
      <c r="D202" s="28">
        <v>1.0999999999999999E-2</v>
      </c>
      <c r="M202" s="14"/>
    </row>
    <row r="203" spans="4:13" x14ac:dyDescent="0.25">
      <c r="M203" s="14"/>
    </row>
    <row r="204" spans="4:13" x14ac:dyDescent="0.25">
      <c r="M204" s="14"/>
    </row>
    <row r="205" spans="4:13" ht="23.25" x14ac:dyDescent="0.25">
      <c r="D205" s="9" t="s">
        <v>1382</v>
      </c>
      <c r="M205" s="14"/>
    </row>
    <row r="206" spans="4:13" x14ac:dyDescent="0.25">
      <c r="D206" s="11" t="s">
        <v>1520</v>
      </c>
      <c r="M206" s="14"/>
    </row>
    <row r="207" spans="4:13" x14ac:dyDescent="0.25">
      <c r="D207" s="8" t="s">
        <v>1384</v>
      </c>
      <c r="M207" s="14"/>
    </row>
    <row r="208" spans="4:13" x14ac:dyDescent="0.25">
      <c r="D208" s="13" t="s">
        <v>1526</v>
      </c>
      <c r="M208" s="14"/>
    </row>
    <row r="209" spans="1:13" x14ac:dyDescent="0.25">
      <c r="D209" s="28">
        <v>0.02</v>
      </c>
      <c r="M209" s="14"/>
    </row>
    <row r="210" spans="1:13" x14ac:dyDescent="0.25">
      <c r="M210" s="14"/>
    </row>
    <row r="211" spans="1:13" ht="23.25" x14ac:dyDescent="0.25">
      <c r="D211" s="9" t="s">
        <v>1527</v>
      </c>
      <c r="M211" s="14"/>
    </row>
    <row r="212" spans="1:13" x14ac:dyDescent="0.25">
      <c r="D212" s="11" t="s">
        <v>1520</v>
      </c>
      <c r="M212" s="14"/>
    </row>
    <row r="213" spans="1:13" x14ac:dyDescent="0.25">
      <c r="D213" s="8" t="s">
        <v>1528</v>
      </c>
      <c r="M213" s="14"/>
    </row>
    <row r="214" spans="1:13" x14ac:dyDescent="0.25">
      <c r="D214" s="13" t="s">
        <v>1068</v>
      </c>
      <c r="M214" s="14"/>
    </row>
    <row r="215" spans="1:13" x14ac:dyDescent="0.25">
      <c r="A215" s="56" t="str">
        <f>HYPERLINK("#A1", "▲ Back to top")</f>
        <v>▲ Back to top</v>
      </c>
      <c r="D215" s="28">
        <v>0.21</v>
      </c>
      <c r="M215" s="14"/>
    </row>
    <row r="216" spans="1:13" x14ac:dyDescent="0.25">
      <c r="M216" s="14"/>
    </row>
    <row r="217" spans="1:13" ht="23.25" x14ac:dyDescent="0.25">
      <c r="D217" s="9" t="s">
        <v>1529</v>
      </c>
      <c r="M217" s="14"/>
    </row>
    <row r="218" spans="1:13" x14ac:dyDescent="0.25">
      <c r="D218" s="11" t="s">
        <v>1530</v>
      </c>
      <c r="M218" s="14"/>
    </row>
    <row r="219" spans="1:13" x14ac:dyDescent="0.25">
      <c r="D219" s="8" t="s">
        <v>1531</v>
      </c>
      <c r="M219" s="14"/>
    </row>
    <row r="220" spans="1:13" x14ac:dyDescent="0.25">
      <c r="D220" s="13" t="s">
        <v>246</v>
      </c>
      <c r="M220" s="14"/>
    </row>
    <row r="221" spans="1:13" x14ac:dyDescent="0.25">
      <c r="D221" s="28">
        <v>4</v>
      </c>
      <c r="M221" s="14"/>
    </row>
    <row r="222" spans="1:13" x14ac:dyDescent="0.25">
      <c r="M222" s="14"/>
    </row>
    <row r="223" spans="1:13" ht="23.25" x14ac:dyDescent="0.25">
      <c r="D223" s="9" t="s">
        <v>1532</v>
      </c>
      <c r="M223" s="14"/>
    </row>
    <row r="224" spans="1:13" x14ac:dyDescent="0.25">
      <c r="D224" s="11" t="s">
        <v>1530</v>
      </c>
      <c r="M224" s="14"/>
    </row>
    <row r="225" spans="4:13" x14ac:dyDescent="0.25">
      <c r="D225" s="8" t="s">
        <v>1533</v>
      </c>
      <c r="M225" s="14"/>
    </row>
    <row r="226" spans="4:13" x14ac:dyDescent="0.25">
      <c r="D226" s="13" t="s">
        <v>246</v>
      </c>
      <c r="M226" s="14"/>
    </row>
    <row r="227" spans="4:13" x14ac:dyDescent="0.25">
      <c r="D227" s="28">
        <v>3.3</v>
      </c>
      <c r="M227" s="14"/>
    </row>
    <row r="228" spans="4:13" x14ac:dyDescent="0.25">
      <c r="M228" s="14"/>
    </row>
    <row r="229" spans="4:13" x14ac:dyDescent="0.25">
      <c r="M229" s="14"/>
    </row>
    <row r="230" spans="4:13" x14ac:dyDescent="0.25">
      <c r="M230" s="14"/>
    </row>
    <row r="231" spans="4:13" x14ac:dyDescent="0.25">
      <c r="M231" s="14"/>
    </row>
    <row r="232" spans="4:13" x14ac:dyDescent="0.25">
      <c r="M232" s="14"/>
    </row>
    <row r="233" spans="4:13" x14ac:dyDescent="0.25">
      <c r="M233" s="14"/>
    </row>
    <row r="234" spans="4:13" x14ac:dyDescent="0.25">
      <c r="M234" s="14"/>
    </row>
    <row r="235" spans="4:13" x14ac:dyDescent="0.25">
      <c r="M235" s="14"/>
    </row>
    <row r="236" spans="4:13" x14ac:dyDescent="0.25">
      <c r="M236" s="14"/>
    </row>
    <row r="237" spans="4:13" x14ac:dyDescent="0.25">
      <c r="M237" s="14"/>
    </row>
    <row r="238" spans="4:13" x14ac:dyDescent="0.25">
      <c r="M238" s="14"/>
    </row>
    <row r="239" spans="4:13" x14ac:dyDescent="0.25">
      <c r="M239" s="14"/>
    </row>
    <row r="240" spans="4:13" x14ac:dyDescent="0.25">
      <c r="M240" s="14"/>
    </row>
    <row r="241" spans="13:13" x14ac:dyDescent="0.25">
      <c r="M241" s="14"/>
    </row>
    <row r="242" spans="13:13" x14ac:dyDescent="0.25">
      <c r="M242" s="14"/>
    </row>
    <row r="243" spans="13:13" x14ac:dyDescent="0.25">
      <c r="M243" s="14"/>
    </row>
    <row r="244" spans="13:13" x14ac:dyDescent="0.25">
      <c r="M244" s="14"/>
    </row>
    <row r="245" spans="13:13" x14ac:dyDescent="0.25">
      <c r="M245" s="14"/>
    </row>
    <row r="246" spans="13:13" x14ac:dyDescent="0.25">
      <c r="M246" s="14"/>
    </row>
    <row r="247" spans="13:13" x14ac:dyDescent="0.25">
      <c r="M247" s="14"/>
    </row>
    <row r="248" spans="13:13" x14ac:dyDescent="0.25">
      <c r="M248" s="14"/>
    </row>
    <row r="249" spans="13:13" x14ac:dyDescent="0.25">
      <c r="M249" s="14"/>
    </row>
    <row r="250" spans="13:13" x14ac:dyDescent="0.25">
      <c r="M250" s="14"/>
    </row>
    <row r="251" spans="13:13" x14ac:dyDescent="0.25">
      <c r="M251" s="14"/>
    </row>
    <row r="252" spans="13:13" x14ac:dyDescent="0.25">
      <c r="M252" s="14"/>
    </row>
    <row r="253" spans="13:13" x14ac:dyDescent="0.25">
      <c r="M253" s="14"/>
    </row>
    <row r="254" spans="13:13" x14ac:dyDescent="0.25">
      <c r="M254" s="14"/>
    </row>
    <row r="255" spans="13:13" x14ac:dyDescent="0.25">
      <c r="M255" s="14"/>
    </row>
    <row r="256" spans="13:13" x14ac:dyDescent="0.25">
      <c r="M256" s="14"/>
    </row>
    <row r="257" spans="13:13" x14ac:dyDescent="0.25">
      <c r="M257" s="14"/>
    </row>
    <row r="258" spans="13:13" x14ac:dyDescent="0.25">
      <c r="M258" s="14"/>
    </row>
    <row r="259" spans="13:13" x14ac:dyDescent="0.25">
      <c r="M259" s="14"/>
    </row>
    <row r="260" spans="13:13" x14ac:dyDescent="0.25">
      <c r="M260" s="14"/>
    </row>
    <row r="261" spans="13:13" x14ac:dyDescent="0.25">
      <c r="M261" s="14"/>
    </row>
    <row r="262" spans="13:13" x14ac:dyDescent="0.25">
      <c r="M262" s="14"/>
    </row>
    <row r="263" spans="13:13" x14ac:dyDescent="0.25">
      <c r="M263" s="14"/>
    </row>
    <row r="264" spans="13:13" x14ac:dyDescent="0.25">
      <c r="M264" s="14"/>
    </row>
    <row r="265" spans="13:13" x14ac:dyDescent="0.25">
      <c r="M265" s="14"/>
    </row>
    <row r="266" spans="13:13" x14ac:dyDescent="0.25">
      <c r="M266" s="14"/>
    </row>
    <row r="267" spans="13:13" x14ac:dyDescent="0.25">
      <c r="M267" s="14"/>
    </row>
    <row r="268" spans="13:13" x14ac:dyDescent="0.25">
      <c r="M268" s="14"/>
    </row>
    <row r="269" spans="13:13" x14ac:dyDescent="0.25">
      <c r="M269" s="14"/>
    </row>
    <row r="270" spans="13:13" x14ac:dyDescent="0.25">
      <c r="M270" s="14"/>
    </row>
    <row r="271" spans="13:13" x14ac:dyDescent="0.25">
      <c r="M271" s="14"/>
    </row>
    <row r="272" spans="13:13" x14ac:dyDescent="0.25">
      <c r="M272" s="14"/>
    </row>
    <row r="273" spans="13:13" x14ac:dyDescent="0.25">
      <c r="M273" s="14"/>
    </row>
    <row r="274" spans="13:13" x14ac:dyDescent="0.25">
      <c r="M274" s="14"/>
    </row>
    <row r="275" spans="13:13" x14ac:dyDescent="0.25">
      <c r="M275" s="14"/>
    </row>
    <row r="276" spans="13:13" x14ac:dyDescent="0.25">
      <c r="M276" s="14"/>
    </row>
    <row r="277" spans="13:13" x14ac:dyDescent="0.25">
      <c r="M277" s="14"/>
    </row>
    <row r="278" spans="13:13" x14ac:dyDescent="0.25">
      <c r="M278" s="14"/>
    </row>
    <row r="279" spans="13:13" x14ac:dyDescent="0.25">
      <c r="M279" s="14"/>
    </row>
    <row r="280" spans="13:13" x14ac:dyDescent="0.25">
      <c r="M280" s="14"/>
    </row>
    <row r="281" spans="13:13" x14ac:dyDescent="0.25">
      <c r="M281" s="14"/>
    </row>
    <row r="282" spans="13:13" x14ac:dyDescent="0.25">
      <c r="M282" s="14"/>
    </row>
    <row r="283" spans="13:13" x14ac:dyDescent="0.25">
      <c r="M283" s="14"/>
    </row>
    <row r="284" spans="13:13" x14ac:dyDescent="0.25">
      <c r="M284" s="14"/>
    </row>
    <row r="285" spans="13:13" x14ac:dyDescent="0.25">
      <c r="M285" s="14"/>
    </row>
    <row r="286" spans="13:13" x14ac:dyDescent="0.25">
      <c r="M286" s="14"/>
    </row>
    <row r="287" spans="13:13" x14ac:dyDescent="0.25">
      <c r="M287" s="14"/>
    </row>
    <row r="288" spans="13:13" x14ac:dyDescent="0.25">
      <c r="M288" s="14"/>
    </row>
  </sheetData>
  <pageMargins left="0.7" right="0.7" top="0.75" bottom="0.75" header="0.3" footer="0.3"/>
  <tableParts count="1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A45B4-F9DC-4211-871F-BDB144CC7191}">
  <sheetPr>
    <tabColor theme="2" tint="-0.499984740745262"/>
  </sheetPr>
  <dimension ref="A1:V454"/>
  <sheetViews>
    <sheetView showGridLines="0" topLeftCell="A71" zoomScale="85" zoomScaleNormal="85" workbookViewId="0">
      <selection activeCell="D130" sqref="D130"/>
    </sheetView>
  </sheetViews>
  <sheetFormatPr defaultRowHeight="15.75" x14ac:dyDescent="0.25"/>
  <cols>
    <col min="1" max="1" width="26.875" style="3" customWidth="1"/>
    <col min="2" max="2" width="4.125" style="3" customWidth="1"/>
    <col min="3" max="3" width="4.125" style="8" customWidth="1"/>
    <col min="4" max="5" width="26.875" style="8" customWidth="1"/>
    <col min="6" max="6" width="27.25" style="8" customWidth="1"/>
    <col min="7" max="7" width="28.5" style="8" customWidth="1"/>
    <col min="8" max="12" width="26.875" style="8" customWidth="1"/>
    <col min="13" max="13" width="26.875" style="3" customWidth="1"/>
    <col min="14" max="20" width="26.875" style="8" customWidth="1"/>
    <col min="21" max="21" width="4.125" style="8" customWidth="1"/>
    <col min="22" max="16384" width="9" style="3"/>
  </cols>
  <sheetData>
    <row r="1" spans="1:21" s="1" customFormat="1" ht="30" customHeight="1" x14ac:dyDescent="0.35">
      <c r="A1" s="1" t="e" vm="1">
        <v>#VALUE!</v>
      </c>
      <c r="C1" s="1" t="s">
        <v>452</v>
      </c>
    </row>
    <row r="2" spans="1:21" s="2" customFormat="1" ht="20.100000000000001" customHeight="1" x14ac:dyDescent="0.25">
      <c r="A2" s="3"/>
    </row>
    <row r="3" spans="1:21" ht="20.100000000000001" customHeight="1" x14ac:dyDescent="0.25">
      <c r="A3" s="16" t="str">
        <f>HYPERLINK("#'Home'!A1", "Home")</f>
        <v>Home</v>
      </c>
      <c r="C3" s="5"/>
      <c r="D3" s="5"/>
      <c r="E3" s="5"/>
      <c r="F3" s="5"/>
      <c r="G3" s="5"/>
      <c r="H3" s="5"/>
      <c r="I3" s="5"/>
      <c r="J3" s="5"/>
      <c r="K3" s="5"/>
      <c r="L3" s="5"/>
      <c r="M3" s="5"/>
      <c r="N3" s="5"/>
      <c r="O3" s="5"/>
      <c r="P3" s="5"/>
      <c r="Q3" s="5"/>
      <c r="R3" s="5"/>
      <c r="S3" s="5"/>
      <c r="T3" s="5"/>
      <c r="U3" s="5"/>
    </row>
    <row r="4" spans="1:21" ht="20.100000000000001" customHeight="1" x14ac:dyDescent="0.25">
      <c r="A4" s="16" t="str">
        <f>HYPERLINK("#'Results'!A1", "Results")</f>
        <v>Results</v>
      </c>
      <c r="M4" s="14"/>
    </row>
    <row r="5" spans="1:21" ht="20.100000000000001" customHeight="1" x14ac:dyDescent="0.25">
      <c r="A5" s="18"/>
      <c r="D5" s="9" t="s">
        <v>453</v>
      </c>
      <c r="G5" s="9" t="s">
        <v>143</v>
      </c>
      <c r="M5" s="8" t="s">
        <v>454</v>
      </c>
      <c r="O5" s="8" t="s">
        <v>455</v>
      </c>
      <c r="Q5" s="8" t="s">
        <v>456</v>
      </c>
      <c r="S5" s="8" t="s">
        <v>457</v>
      </c>
    </row>
    <row r="6" spans="1:21" ht="20.100000000000001" customHeight="1" x14ac:dyDescent="0.25">
      <c r="A6" s="19" t="s">
        <v>67</v>
      </c>
      <c r="M6" s="8"/>
    </row>
    <row r="7" spans="1:21" ht="20.100000000000001" customHeight="1" x14ac:dyDescent="0.25">
      <c r="A7" s="16" t="str">
        <f>HYPERLINK("#'Input - Site'!A1", "Site")</f>
        <v>Site</v>
      </c>
      <c r="D7" s="10" t="s">
        <v>145</v>
      </c>
      <c r="G7" s="10" t="s">
        <v>43</v>
      </c>
      <c r="M7" s="3" t="s">
        <v>390</v>
      </c>
      <c r="O7" s="10" t="s">
        <v>390</v>
      </c>
      <c r="Q7" s="10" t="s">
        <v>390</v>
      </c>
      <c r="S7" s="10" t="s">
        <v>390</v>
      </c>
    </row>
    <row r="8" spans="1:21" ht="20.100000000000001" customHeight="1" x14ac:dyDescent="0.25">
      <c r="A8" s="16" t="str">
        <f>HYPERLINK("#'Input - Pasture Beef'!A1", "Pasture Beef")</f>
        <v>Pasture Beef</v>
      </c>
      <c r="D8" s="10" t="str">
        <f>'Constants - Common'!$F$187</f>
        <v>Pasture</v>
      </c>
      <c r="G8" s="10" t="s">
        <v>148</v>
      </c>
      <c r="M8" s="10" t="s">
        <v>458</v>
      </c>
      <c r="O8" s="10" t="s">
        <v>459</v>
      </c>
      <c r="Q8" s="10" t="s">
        <v>460</v>
      </c>
      <c r="S8" s="10" t="s">
        <v>440</v>
      </c>
    </row>
    <row r="9" spans="1:21" ht="20.100000000000001" customHeight="1" x14ac:dyDescent="0.25">
      <c r="A9" s="16"/>
      <c r="D9" s="8" t="str">
        <f>'Constants - Common'!$F$188</f>
        <v>Crop</v>
      </c>
      <c r="G9" s="10" t="s">
        <v>152</v>
      </c>
      <c r="M9" s="10" t="s">
        <v>461</v>
      </c>
      <c r="O9" s="10" t="s">
        <v>462</v>
      </c>
      <c r="Q9" s="10" t="s">
        <v>463</v>
      </c>
    </row>
    <row r="10" spans="1:21" ht="20.100000000000001" customHeight="1" x14ac:dyDescent="0.25">
      <c r="A10" s="21" t="s">
        <v>77</v>
      </c>
      <c r="G10" s="8" t="s">
        <v>155</v>
      </c>
      <c r="M10" s="10" t="s">
        <v>464</v>
      </c>
      <c r="O10" s="10" t="s">
        <v>465</v>
      </c>
      <c r="Q10" s="10" t="s">
        <v>466</v>
      </c>
      <c r="S10" s="8" t="s">
        <v>467</v>
      </c>
    </row>
    <row r="11" spans="1:21" ht="20.100000000000001" customHeight="1" x14ac:dyDescent="0.25">
      <c r="A11" s="16" t="str">
        <f>HYPERLINK("#'3.2.1.1-2 Enteric Methane'!A1", "3.2.1.1-2 Enteric Methane")</f>
        <v>3.2.1.1-2 Enteric Methane</v>
      </c>
      <c r="G11" s="8" t="s">
        <v>158</v>
      </c>
      <c r="M11" s="8"/>
      <c r="Q11" s="10" t="s">
        <v>468</v>
      </c>
    </row>
    <row r="12" spans="1:21" ht="20.100000000000001" customHeight="1" x14ac:dyDescent="0.25">
      <c r="A12" s="16"/>
      <c r="G12" s="8" t="s">
        <v>160</v>
      </c>
      <c r="M12" s="8"/>
      <c r="S12" s="10" t="s">
        <v>390</v>
      </c>
    </row>
    <row r="13" spans="1:21" ht="20.100000000000001" customHeight="1" x14ac:dyDescent="0.25">
      <c r="A13" s="23" t="s">
        <v>78</v>
      </c>
      <c r="M13" s="8"/>
      <c r="S13" s="10" t="s">
        <v>440</v>
      </c>
    </row>
    <row r="14" spans="1:21" ht="20.100000000000001" customHeight="1" x14ac:dyDescent="0.25">
      <c r="A14" s="24" t="str">
        <f>HYPERLINK("#'Constants - Pasture Beef'!A1", "Constants - Pasture Beef")</f>
        <v>Constants - Pasture Beef</v>
      </c>
      <c r="D14" s="9" t="s">
        <v>1534</v>
      </c>
      <c r="M14" s="8"/>
    </row>
    <row r="15" spans="1:21" ht="20.100000000000001" customHeight="1" x14ac:dyDescent="0.25">
      <c r="A15" s="16" t="str">
        <f>HYPERLINK("#'Constants - Livestock'!A1", "Constants - Livestock")</f>
        <v>Constants - Livestock</v>
      </c>
      <c r="D15" s="11" t="s">
        <v>1535</v>
      </c>
      <c r="M15" s="8"/>
      <c r="S15" s="8" t="s">
        <v>469</v>
      </c>
    </row>
    <row r="16" spans="1:21" ht="20.100000000000001" customHeight="1" x14ac:dyDescent="0.25">
      <c r="A16" s="16" t="str">
        <f>HYPERLINK("#'Constants - Common'!A1", "Constants - Common")</f>
        <v>Constants - Common</v>
      </c>
      <c r="D16" s="8" t="s">
        <v>1536</v>
      </c>
      <c r="M16" s="8"/>
    </row>
    <row r="17" spans="1:19" ht="20.100000000000001" customHeight="1" x14ac:dyDescent="0.25">
      <c r="A17" s="16" t="str">
        <f>HYPERLINK("#'Acknowledgements'!A1", "Acknowledgements")</f>
        <v>Acknowledgements</v>
      </c>
      <c r="D17" s="13" t="s">
        <v>354</v>
      </c>
      <c r="M17" s="8"/>
      <c r="S17" s="10" t="s">
        <v>390</v>
      </c>
    </row>
    <row r="18" spans="1:19" ht="20.100000000000001" customHeight="1" x14ac:dyDescent="0.25">
      <c r="D18" s="10" t="s">
        <v>280</v>
      </c>
      <c r="E18" s="10" t="s">
        <v>390</v>
      </c>
      <c r="F18" s="10" t="s">
        <v>47</v>
      </c>
      <c r="G18" s="10" t="s">
        <v>470</v>
      </c>
      <c r="H18" s="10" t="s">
        <v>471</v>
      </c>
      <c r="I18" s="10" t="s">
        <v>472</v>
      </c>
      <c r="J18" s="10" t="s">
        <v>473</v>
      </c>
      <c r="K18" s="10" t="s">
        <v>474</v>
      </c>
      <c r="L18" s="10" t="s">
        <v>475</v>
      </c>
      <c r="M18" s="10" t="s">
        <v>476</v>
      </c>
      <c r="S18" s="10" t="s">
        <v>440</v>
      </c>
    </row>
    <row r="19" spans="1:19" ht="20.100000000000001" customHeight="1" x14ac:dyDescent="0.25">
      <c r="A19" s="16"/>
      <c r="D19" s="10" t="s">
        <v>1537</v>
      </c>
      <c r="E19" s="10" t="s">
        <v>440</v>
      </c>
      <c r="F19" s="10" t="s">
        <v>508</v>
      </c>
      <c r="G19" s="10">
        <v>80</v>
      </c>
      <c r="H19" s="10">
        <v>480</v>
      </c>
      <c r="I19" s="10">
        <v>75</v>
      </c>
      <c r="J19" s="10">
        <v>300</v>
      </c>
      <c r="K19" s="10">
        <v>440</v>
      </c>
      <c r="L19" s="10">
        <v>75</v>
      </c>
      <c r="M19" s="10">
        <v>380</v>
      </c>
    </row>
    <row r="20" spans="1:19" ht="20.100000000000001" customHeight="1" x14ac:dyDescent="0.25">
      <c r="A20" s="16"/>
      <c r="D20" s="8" t="s">
        <v>1537</v>
      </c>
      <c r="E20" s="10" t="s">
        <v>440</v>
      </c>
      <c r="F20" s="10" t="s">
        <v>500</v>
      </c>
      <c r="G20" s="10">
        <v>170</v>
      </c>
      <c r="H20" s="10">
        <v>520</v>
      </c>
      <c r="I20" s="10">
        <v>160</v>
      </c>
      <c r="J20" s="10">
        <v>360</v>
      </c>
      <c r="K20" s="10">
        <v>470</v>
      </c>
      <c r="L20" s="10">
        <v>160</v>
      </c>
      <c r="M20" s="10">
        <v>420</v>
      </c>
      <c r="S20" s="8" t="s">
        <v>477</v>
      </c>
    </row>
    <row r="21" spans="1:19" ht="20.100000000000001" customHeight="1" x14ac:dyDescent="0.25">
      <c r="D21" s="8" t="s">
        <v>1537</v>
      </c>
      <c r="E21" s="10" t="s">
        <v>440</v>
      </c>
      <c r="F21" s="10" t="s">
        <v>501</v>
      </c>
      <c r="G21" s="10">
        <v>240</v>
      </c>
      <c r="H21" s="10">
        <v>550</v>
      </c>
      <c r="I21" s="10">
        <v>220</v>
      </c>
      <c r="J21" s="10">
        <v>390</v>
      </c>
      <c r="K21" s="10">
        <v>490</v>
      </c>
      <c r="L21" s="10">
        <v>220</v>
      </c>
      <c r="M21" s="10">
        <v>450</v>
      </c>
    </row>
    <row r="22" spans="1:19" ht="20.100000000000001" customHeight="1" x14ac:dyDescent="0.25">
      <c r="A22" s="16"/>
      <c r="D22" s="8" t="s">
        <v>1537</v>
      </c>
      <c r="E22" s="10" t="s">
        <v>440</v>
      </c>
      <c r="F22" s="10" t="s">
        <v>502</v>
      </c>
      <c r="G22" s="10">
        <v>280</v>
      </c>
      <c r="H22" s="10">
        <v>560</v>
      </c>
      <c r="I22" s="10">
        <v>260</v>
      </c>
      <c r="J22" s="10">
        <v>410</v>
      </c>
      <c r="K22" s="10">
        <v>500</v>
      </c>
      <c r="L22" s="10">
        <v>260</v>
      </c>
      <c r="M22" s="10">
        <v>460</v>
      </c>
      <c r="S22" s="10" t="s">
        <v>390</v>
      </c>
    </row>
    <row r="23" spans="1:19" ht="20.100000000000001" customHeight="1" x14ac:dyDescent="0.25">
      <c r="A23" s="16"/>
      <c r="D23" s="8" t="s">
        <v>1336</v>
      </c>
      <c r="E23" s="10" t="s">
        <v>440</v>
      </c>
      <c r="F23" s="10" t="s">
        <v>508</v>
      </c>
      <c r="G23" s="10">
        <v>250</v>
      </c>
      <c r="H23" s="10">
        <v>800</v>
      </c>
      <c r="I23" s="10">
        <v>220</v>
      </c>
      <c r="J23" s="10">
        <v>400</v>
      </c>
      <c r="K23" s="10">
        <v>500</v>
      </c>
      <c r="L23" s="10">
        <v>230</v>
      </c>
      <c r="M23" s="10">
        <v>420</v>
      </c>
      <c r="S23" s="10" t="s">
        <v>440</v>
      </c>
    </row>
    <row r="24" spans="1:19" ht="20.100000000000001" customHeight="1" x14ac:dyDescent="0.25">
      <c r="A24" s="16"/>
      <c r="D24" s="8" t="s">
        <v>1336</v>
      </c>
      <c r="E24" s="10" t="s">
        <v>440</v>
      </c>
      <c r="F24" s="10" t="s">
        <v>500</v>
      </c>
      <c r="G24" s="10">
        <v>320</v>
      </c>
      <c r="H24" s="10">
        <v>800</v>
      </c>
      <c r="I24" s="10">
        <v>280</v>
      </c>
      <c r="J24" s="10">
        <v>420</v>
      </c>
      <c r="K24" s="10">
        <v>500</v>
      </c>
      <c r="L24" s="10">
        <v>290</v>
      </c>
      <c r="M24" s="10">
        <v>420</v>
      </c>
    </row>
    <row r="25" spans="1:19" ht="20.100000000000001" customHeight="1" x14ac:dyDescent="0.25">
      <c r="D25" s="8" t="s">
        <v>1336</v>
      </c>
      <c r="E25" s="10" t="s">
        <v>440</v>
      </c>
      <c r="F25" s="10" t="s">
        <v>501</v>
      </c>
      <c r="G25" s="10">
        <v>80</v>
      </c>
      <c r="H25" s="10">
        <v>700</v>
      </c>
      <c r="I25" s="10">
        <v>70</v>
      </c>
      <c r="J25" s="10">
        <v>300</v>
      </c>
      <c r="K25" s="10">
        <v>450</v>
      </c>
      <c r="L25" s="10">
        <v>75</v>
      </c>
      <c r="M25" s="10">
        <v>400</v>
      </c>
      <c r="S25" s="8" t="s">
        <v>478</v>
      </c>
    </row>
    <row r="26" spans="1:19" ht="20.100000000000001" customHeight="1" x14ac:dyDescent="0.25">
      <c r="D26" s="8" t="s">
        <v>1336</v>
      </c>
      <c r="E26" s="10" t="s">
        <v>440</v>
      </c>
      <c r="F26" s="10" t="s">
        <v>502</v>
      </c>
      <c r="G26" s="10">
        <v>160</v>
      </c>
      <c r="H26" s="10">
        <v>700</v>
      </c>
      <c r="I26" s="10">
        <v>140</v>
      </c>
      <c r="J26" s="10">
        <v>350</v>
      </c>
      <c r="K26" s="10">
        <v>450</v>
      </c>
      <c r="L26" s="10">
        <v>150</v>
      </c>
      <c r="M26" s="10">
        <v>400</v>
      </c>
    </row>
    <row r="27" spans="1:19" ht="20.100000000000001" customHeight="1" x14ac:dyDescent="0.25">
      <c r="D27" s="8" t="s">
        <v>1338</v>
      </c>
      <c r="E27" s="10" t="s">
        <v>440</v>
      </c>
      <c r="F27" s="10" t="s">
        <v>508</v>
      </c>
      <c r="G27" s="10">
        <v>105</v>
      </c>
      <c r="H27" s="10">
        <v>700</v>
      </c>
      <c r="I27" s="10">
        <v>85</v>
      </c>
      <c r="J27" s="10">
        <v>300</v>
      </c>
      <c r="K27" s="10">
        <v>490</v>
      </c>
      <c r="L27" s="10">
        <v>90</v>
      </c>
      <c r="M27" s="10">
        <v>480</v>
      </c>
      <c r="S27" s="10" t="s">
        <v>390</v>
      </c>
    </row>
    <row r="28" spans="1:19" ht="20.100000000000001" customHeight="1" x14ac:dyDescent="0.25">
      <c r="D28" s="8" t="s">
        <v>1338</v>
      </c>
      <c r="E28" s="10" t="s">
        <v>440</v>
      </c>
      <c r="F28" s="10" t="s">
        <v>500</v>
      </c>
      <c r="G28" s="10">
        <v>480</v>
      </c>
      <c r="H28" s="10">
        <v>750</v>
      </c>
      <c r="I28" s="10">
        <v>150</v>
      </c>
      <c r="J28" s="10">
        <v>350</v>
      </c>
      <c r="K28" s="10">
        <v>530</v>
      </c>
      <c r="L28" s="10">
        <v>160</v>
      </c>
      <c r="M28" s="10">
        <v>460</v>
      </c>
      <c r="S28" s="10" t="s">
        <v>440</v>
      </c>
    </row>
    <row r="29" spans="1:19" ht="20.100000000000001" customHeight="1" x14ac:dyDescent="0.25">
      <c r="D29" s="8" t="s">
        <v>1338</v>
      </c>
      <c r="E29" s="10" t="s">
        <v>440</v>
      </c>
      <c r="F29" s="10" t="s">
        <v>501</v>
      </c>
      <c r="G29" s="10">
        <v>250</v>
      </c>
      <c r="H29" s="10">
        <v>725</v>
      </c>
      <c r="I29" s="10">
        <v>200</v>
      </c>
      <c r="J29" s="10">
        <v>360</v>
      </c>
      <c r="K29" s="10">
        <v>500</v>
      </c>
      <c r="L29" s="10">
        <v>215</v>
      </c>
      <c r="M29" s="10">
        <v>490</v>
      </c>
    </row>
    <row r="30" spans="1:19" ht="20.100000000000001" customHeight="1" x14ac:dyDescent="0.25">
      <c r="D30" s="8" t="s">
        <v>1338</v>
      </c>
      <c r="E30" s="10" t="s">
        <v>440</v>
      </c>
      <c r="F30" s="10" t="s">
        <v>502</v>
      </c>
      <c r="G30" s="10">
        <v>260</v>
      </c>
      <c r="H30" s="10">
        <v>700</v>
      </c>
      <c r="I30" s="10">
        <v>210</v>
      </c>
      <c r="J30" s="10">
        <v>380</v>
      </c>
      <c r="K30" s="10">
        <v>460</v>
      </c>
      <c r="L30" s="10">
        <v>230</v>
      </c>
      <c r="M30" s="10">
        <v>470</v>
      </c>
    </row>
    <row r="31" spans="1:19" ht="20.100000000000001" customHeight="1" x14ac:dyDescent="0.25">
      <c r="D31" s="8" t="s">
        <v>1334</v>
      </c>
      <c r="E31" s="10" t="s">
        <v>440</v>
      </c>
      <c r="F31" s="10" t="s">
        <v>508</v>
      </c>
      <c r="G31" s="10">
        <v>250</v>
      </c>
      <c r="H31" s="10">
        <v>820</v>
      </c>
      <c r="I31" s="10">
        <v>240</v>
      </c>
      <c r="J31" s="10">
        <v>410</v>
      </c>
      <c r="K31" s="10">
        <v>560</v>
      </c>
      <c r="L31" s="10">
        <v>240</v>
      </c>
      <c r="M31" s="10">
        <v>510</v>
      </c>
    </row>
    <row r="32" spans="1:19" ht="20.100000000000001" customHeight="1" x14ac:dyDescent="0.25">
      <c r="D32" s="8" t="s">
        <v>1334</v>
      </c>
      <c r="E32" s="10" t="s">
        <v>440</v>
      </c>
      <c r="F32" s="10" t="s">
        <v>500</v>
      </c>
      <c r="G32" s="10">
        <v>280</v>
      </c>
      <c r="H32" s="10">
        <v>850</v>
      </c>
      <c r="I32" s="10">
        <v>260</v>
      </c>
      <c r="J32" s="10">
        <v>440</v>
      </c>
      <c r="K32" s="10">
        <v>550</v>
      </c>
      <c r="L32" s="10">
        <v>270</v>
      </c>
      <c r="M32" s="10">
        <v>520</v>
      </c>
    </row>
    <row r="33" spans="4:13" ht="20.100000000000001" customHeight="1" x14ac:dyDescent="0.25">
      <c r="D33" s="8" t="s">
        <v>1334</v>
      </c>
      <c r="E33" s="10" t="s">
        <v>440</v>
      </c>
      <c r="F33" s="10" t="s">
        <v>501</v>
      </c>
      <c r="G33" s="10">
        <v>100</v>
      </c>
      <c r="H33" s="10">
        <v>700</v>
      </c>
      <c r="I33" s="10">
        <v>95</v>
      </c>
      <c r="J33" s="10">
        <v>300</v>
      </c>
      <c r="K33" s="10">
        <v>450</v>
      </c>
      <c r="L33" s="10">
        <v>95</v>
      </c>
      <c r="M33" s="10">
        <v>410</v>
      </c>
    </row>
    <row r="34" spans="4:13" ht="20.100000000000001" customHeight="1" x14ac:dyDescent="0.25">
      <c r="D34" s="8" t="s">
        <v>1334</v>
      </c>
      <c r="E34" s="10" t="s">
        <v>440</v>
      </c>
      <c r="F34" s="10" t="s">
        <v>502</v>
      </c>
      <c r="G34" s="10">
        <v>150</v>
      </c>
      <c r="H34" s="10">
        <v>720</v>
      </c>
      <c r="I34" s="10">
        <v>140</v>
      </c>
      <c r="J34" s="10">
        <v>320</v>
      </c>
      <c r="K34" s="10">
        <v>470</v>
      </c>
      <c r="L34" s="10">
        <v>140</v>
      </c>
      <c r="M34" s="10">
        <v>440</v>
      </c>
    </row>
    <row r="35" spans="4:13" ht="20.100000000000001" customHeight="1" x14ac:dyDescent="0.25">
      <c r="D35" s="8" t="s">
        <v>1337</v>
      </c>
      <c r="E35" s="10" t="s">
        <v>458</v>
      </c>
      <c r="F35" s="10" t="s">
        <v>508</v>
      </c>
      <c r="G35" s="10">
        <v>340</v>
      </c>
      <c r="H35" s="10">
        <v>800</v>
      </c>
      <c r="I35" s="10">
        <v>260</v>
      </c>
      <c r="J35" s="10">
        <v>420</v>
      </c>
      <c r="K35" s="10">
        <v>550</v>
      </c>
      <c r="L35" s="10">
        <v>300</v>
      </c>
      <c r="M35" s="10">
        <v>480</v>
      </c>
    </row>
    <row r="36" spans="4:13" ht="20.100000000000001" customHeight="1" x14ac:dyDescent="0.25">
      <c r="D36" s="8" t="s">
        <v>1337</v>
      </c>
      <c r="E36" s="10" t="s">
        <v>458</v>
      </c>
      <c r="F36" s="10" t="s">
        <v>500</v>
      </c>
      <c r="G36" s="10">
        <v>380</v>
      </c>
      <c r="H36" s="10">
        <v>780</v>
      </c>
      <c r="I36" s="10">
        <v>300</v>
      </c>
      <c r="J36" s="10">
        <v>450</v>
      </c>
      <c r="K36" s="10">
        <v>530</v>
      </c>
      <c r="L36" s="10">
        <v>340</v>
      </c>
      <c r="M36" s="10">
        <v>470</v>
      </c>
    </row>
    <row r="37" spans="4:13" ht="20.100000000000001" customHeight="1" x14ac:dyDescent="0.25">
      <c r="D37" s="8" t="s">
        <v>1337</v>
      </c>
      <c r="E37" s="10" t="s">
        <v>458</v>
      </c>
      <c r="F37" s="10" t="s">
        <v>501</v>
      </c>
      <c r="G37" s="10">
        <v>100</v>
      </c>
      <c r="H37" s="10">
        <v>680</v>
      </c>
      <c r="I37" s="10">
        <v>80</v>
      </c>
      <c r="J37" s="10">
        <v>320</v>
      </c>
      <c r="K37" s="10">
        <v>480</v>
      </c>
      <c r="L37" s="10">
        <v>100</v>
      </c>
      <c r="M37" s="10">
        <v>340</v>
      </c>
    </row>
    <row r="38" spans="4:13" ht="20.100000000000001" customHeight="1" x14ac:dyDescent="0.25">
      <c r="D38" s="8" t="s">
        <v>1337</v>
      </c>
      <c r="E38" s="10" t="s">
        <v>458</v>
      </c>
      <c r="F38" s="10" t="s">
        <v>502</v>
      </c>
      <c r="G38" s="10">
        <v>190</v>
      </c>
      <c r="H38" s="10">
        <v>700</v>
      </c>
      <c r="I38" s="10">
        <v>150</v>
      </c>
      <c r="J38" s="10">
        <v>330</v>
      </c>
      <c r="K38" s="10">
        <v>490</v>
      </c>
      <c r="L38" s="10">
        <v>170</v>
      </c>
      <c r="M38" s="10">
        <v>360</v>
      </c>
    </row>
    <row r="39" spans="4:13" ht="20.100000000000001" customHeight="1" x14ac:dyDescent="0.25">
      <c r="D39" s="8" t="s">
        <v>1337</v>
      </c>
      <c r="E39" s="10" t="s">
        <v>461</v>
      </c>
      <c r="F39" s="10" t="s">
        <v>508</v>
      </c>
      <c r="G39" s="10">
        <v>80</v>
      </c>
      <c r="H39" s="10">
        <v>450</v>
      </c>
      <c r="I39" s="10">
        <v>70</v>
      </c>
      <c r="J39" s="10">
        <v>260</v>
      </c>
      <c r="K39" s="10">
        <v>340</v>
      </c>
      <c r="L39" s="10">
        <v>80</v>
      </c>
      <c r="M39" s="10">
        <v>370</v>
      </c>
    </row>
    <row r="40" spans="4:13" ht="20.100000000000001" customHeight="1" x14ac:dyDescent="0.25">
      <c r="D40" s="8" t="s">
        <v>1337</v>
      </c>
      <c r="E40" s="10" t="s">
        <v>461</v>
      </c>
      <c r="F40" s="10" t="s">
        <v>500</v>
      </c>
      <c r="G40" s="10">
        <v>150</v>
      </c>
      <c r="H40" s="10">
        <v>500</v>
      </c>
      <c r="I40" s="10">
        <v>140</v>
      </c>
      <c r="J40" s="10">
        <v>310</v>
      </c>
      <c r="K40" s="10">
        <v>360</v>
      </c>
      <c r="L40" s="10">
        <v>150</v>
      </c>
      <c r="M40" s="10">
        <v>400</v>
      </c>
    </row>
    <row r="41" spans="4:13" ht="20.100000000000001" customHeight="1" x14ac:dyDescent="0.25">
      <c r="D41" s="8" t="s">
        <v>1337</v>
      </c>
      <c r="E41" s="10" t="s">
        <v>461</v>
      </c>
      <c r="F41" s="10" t="s">
        <v>501</v>
      </c>
      <c r="G41" s="10">
        <v>230</v>
      </c>
      <c r="H41" s="10">
        <v>550</v>
      </c>
      <c r="I41" s="10">
        <v>220</v>
      </c>
      <c r="J41" s="10">
        <v>330</v>
      </c>
      <c r="K41" s="10">
        <v>380</v>
      </c>
      <c r="L41" s="10">
        <v>230</v>
      </c>
      <c r="M41" s="10">
        <v>420</v>
      </c>
    </row>
    <row r="42" spans="4:13" ht="20.100000000000001" customHeight="1" x14ac:dyDescent="0.25">
      <c r="D42" s="8" t="s">
        <v>1337</v>
      </c>
      <c r="E42" s="10" t="s">
        <v>461</v>
      </c>
      <c r="F42" s="10" t="s">
        <v>502</v>
      </c>
      <c r="G42" s="10">
        <v>250</v>
      </c>
      <c r="H42" s="10">
        <v>500</v>
      </c>
      <c r="I42" s="10">
        <v>240</v>
      </c>
      <c r="J42" s="10">
        <v>340</v>
      </c>
      <c r="K42" s="10">
        <v>360</v>
      </c>
      <c r="L42" s="10">
        <v>250</v>
      </c>
      <c r="M42" s="10">
        <v>390</v>
      </c>
    </row>
    <row r="43" spans="4:13" ht="20.100000000000001" customHeight="1" x14ac:dyDescent="0.25">
      <c r="D43" s="8" t="s">
        <v>1337</v>
      </c>
      <c r="E43" s="10" t="s">
        <v>464</v>
      </c>
      <c r="F43" s="10" t="s">
        <v>508</v>
      </c>
      <c r="G43" s="10">
        <v>220</v>
      </c>
      <c r="H43" s="10">
        <v>500</v>
      </c>
      <c r="I43" s="10">
        <v>180</v>
      </c>
      <c r="J43" s="10">
        <v>300</v>
      </c>
      <c r="K43" s="10">
        <v>320</v>
      </c>
      <c r="L43" s="10">
        <v>210</v>
      </c>
      <c r="M43" s="10">
        <v>340</v>
      </c>
    </row>
    <row r="44" spans="4:13" ht="20.100000000000001" customHeight="1" x14ac:dyDescent="0.25">
      <c r="D44" s="8" t="s">
        <v>1337</v>
      </c>
      <c r="E44" s="10" t="s">
        <v>464</v>
      </c>
      <c r="F44" s="10" t="s">
        <v>500</v>
      </c>
      <c r="G44" s="10">
        <v>110</v>
      </c>
      <c r="H44" s="10">
        <v>550</v>
      </c>
      <c r="I44" s="10">
        <v>90</v>
      </c>
      <c r="J44" s="10">
        <v>220</v>
      </c>
      <c r="K44" s="10">
        <v>380</v>
      </c>
      <c r="L44" s="10">
        <v>100</v>
      </c>
      <c r="M44" s="10">
        <v>390</v>
      </c>
    </row>
    <row r="45" spans="4:13" ht="20.100000000000001" customHeight="1" x14ac:dyDescent="0.25">
      <c r="D45" s="8" t="s">
        <v>1337</v>
      </c>
      <c r="E45" s="10" t="s">
        <v>464</v>
      </c>
      <c r="F45" s="10" t="s">
        <v>501</v>
      </c>
      <c r="G45" s="10">
        <v>170</v>
      </c>
      <c r="H45" s="10">
        <v>600</v>
      </c>
      <c r="I45" s="10">
        <v>140</v>
      </c>
      <c r="J45" s="10">
        <v>270</v>
      </c>
      <c r="K45" s="10">
        <v>390</v>
      </c>
      <c r="L45" s="10">
        <v>160</v>
      </c>
      <c r="M45" s="10">
        <v>430</v>
      </c>
    </row>
    <row r="46" spans="4:13" ht="20.100000000000001" customHeight="1" x14ac:dyDescent="0.25">
      <c r="D46" s="8" t="s">
        <v>1337</v>
      </c>
      <c r="E46" s="10" t="s">
        <v>464</v>
      </c>
      <c r="F46" s="10" t="s">
        <v>502</v>
      </c>
      <c r="G46" s="10">
        <v>200</v>
      </c>
      <c r="H46" s="10">
        <v>550</v>
      </c>
      <c r="I46" s="10">
        <v>150</v>
      </c>
      <c r="J46" s="10">
        <v>280</v>
      </c>
      <c r="K46" s="10">
        <v>350</v>
      </c>
      <c r="L46" s="10">
        <v>190</v>
      </c>
      <c r="M46" s="10">
        <v>400</v>
      </c>
    </row>
    <row r="47" spans="4:13" ht="20.100000000000001" customHeight="1" x14ac:dyDescent="0.25">
      <c r="M47" s="8"/>
    </row>
    <row r="48" spans="4:13" ht="20.100000000000001" customHeight="1" x14ac:dyDescent="0.25">
      <c r="M48" s="8"/>
    </row>
    <row r="49" spans="4:16" ht="20.100000000000001" customHeight="1" x14ac:dyDescent="0.25">
      <c r="D49" s="9" t="s">
        <v>1538</v>
      </c>
      <c r="M49" s="8"/>
    </row>
    <row r="50" spans="4:16" ht="20.100000000000001" customHeight="1" x14ac:dyDescent="0.25">
      <c r="D50" s="11" t="s">
        <v>1539</v>
      </c>
      <c r="M50" s="8"/>
    </row>
    <row r="51" spans="4:16" ht="20.100000000000001" customHeight="1" x14ac:dyDescent="0.25">
      <c r="D51" s="8" t="s">
        <v>1536</v>
      </c>
      <c r="M51" s="8"/>
    </row>
    <row r="52" spans="4:16" ht="20.100000000000001" customHeight="1" x14ac:dyDescent="0.25">
      <c r="D52" s="13" t="s">
        <v>354</v>
      </c>
      <c r="M52" s="8"/>
    </row>
    <row r="53" spans="4:16" ht="20.100000000000001" customHeight="1" x14ac:dyDescent="0.25">
      <c r="D53" s="10" t="s">
        <v>280</v>
      </c>
      <c r="E53" s="10" t="s">
        <v>390</v>
      </c>
      <c r="F53" s="10" t="s">
        <v>47</v>
      </c>
      <c r="G53" s="10" t="s">
        <v>479</v>
      </c>
      <c r="H53" s="10" t="s">
        <v>480</v>
      </c>
      <c r="I53" s="10" t="s">
        <v>481</v>
      </c>
      <c r="J53" s="10" t="s">
        <v>482</v>
      </c>
      <c r="K53" s="10" t="s">
        <v>483</v>
      </c>
      <c r="L53" s="10" t="s">
        <v>484</v>
      </c>
      <c r="M53" s="10" t="s">
        <v>485</v>
      </c>
      <c r="N53" s="10" t="s">
        <v>486</v>
      </c>
      <c r="O53" s="10" t="s">
        <v>487</v>
      </c>
      <c r="P53" s="10" t="s">
        <v>488</v>
      </c>
    </row>
    <row r="54" spans="4:16" ht="20.100000000000001" customHeight="1" x14ac:dyDescent="0.25">
      <c r="D54" s="10" t="s">
        <v>1339</v>
      </c>
      <c r="E54" s="10" t="s">
        <v>459</v>
      </c>
      <c r="F54" s="10" t="s">
        <v>508</v>
      </c>
      <c r="G54" s="10">
        <v>220</v>
      </c>
      <c r="H54" s="10">
        <v>706</v>
      </c>
      <c r="I54" s="10">
        <v>208</v>
      </c>
      <c r="J54" s="10">
        <v>323</v>
      </c>
      <c r="K54" s="10">
        <v>415</v>
      </c>
      <c r="L54" s="10">
        <v>467</v>
      </c>
      <c r="M54" s="10">
        <v>223</v>
      </c>
      <c r="N54" s="10">
        <v>371</v>
      </c>
      <c r="O54" s="10">
        <v>493</v>
      </c>
      <c r="P54" s="10">
        <v>585</v>
      </c>
    </row>
    <row r="55" spans="4:16" ht="20.100000000000001" customHeight="1" x14ac:dyDescent="0.25">
      <c r="D55" s="8" t="s">
        <v>1339</v>
      </c>
      <c r="E55" s="10" t="s">
        <v>459</v>
      </c>
      <c r="F55" s="10" t="s">
        <v>500</v>
      </c>
      <c r="G55" s="10">
        <v>110</v>
      </c>
      <c r="H55" s="10">
        <v>703</v>
      </c>
      <c r="I55" s="10">
        <v>112</v>
      </c>
      <c r="J55" s="10">
        <v>256</v>
      </c>
      <c r="K55" s="10">
        <v>368</v>
      </c>
      <c r="L55" s="10">
        <v>465</v>
      </c>
      <c r="M55" s="10">
        <v>108</v>
      </c>
      <c r="N55" s="10">
        <v>280</v>
      </c>
      <c r="O55" s="10">
        <v>421</v>
      </c>
      <c r="P55" s="10">
        <v>543</v>
      </c>
    </row>
    <row r="56" spans="4:16" ht="20.100000000000001" customHeight="1" x14ac:dyDescent="0.25">
      <c r="D56" s="8" t="s">
        <v>1339</v>
      </c>
      <c r="E56" s="10" t="s">
        <v>459</v>
      </c>
      <c r="F56" s="10" t="s">
        <v>501</v>
      </c>
      <c r="G56" s="10">
        <v>170</v>
      </c>
      <c r="H56" s="10">
        <v>721</v>
      </c>
      <c r="I56" s="10">
        <v>169</v>
      </c>
      <c r="J56" s="10">
        <v>306</v>
      </c>
      <c r="K56" s="10">
        <v>392</v>
      </c>
      <c r="L56" s="10">
        <v>464</v>
      </c>
      <c r="M56" s="10">
        <v>176</v>
      </c>
      <c r="N56" s="10">
        <v>339</v>
      </c>
      <c r="O56" s="10">
        <v>470</v>
      </c>
      <c r="P56" s="10">
        <v>580</v>
      </c>
    </row>
    <row r="57" spans="4:16" ht="20.100000000000001" customHeight="1" x14ac:dyDescent="0.25">
      <c r="D57" s="8" t="s">
        <v>1339</v>
      </c>
      <c r="E57" s="10" t="s">
        <v>459</v>
      </c>
      <c r="F57" s="10" t="s">
        <v>502</v>
      </c>
      <c r="G57" s="10">
        <v>200</v>
      </c>
      <c r="H57" s="10">
        <v>727</v>
      </c>
      <c r="I57" s="10">
        <v>211</v>
      </c>
      <c r="J57" s="10">
        <v>338</v>
      </c>
      <c r="K57" s="10">
        <v>432</v>
      </c>
      <c r="L57" s="10">
        <v>492</v>
      </c>
      <c r="M57" s="10">
        <v>222</v>
      </c>
      <c r="N57" s="10">
        <v>377</v>
      </c>
      <c r="O57" s="10">
        <v>498</v>
      </c>
      <c r="P57" s="10">
        <v>590</v>
      </c>
    </row>
    <row r="58" spans="4:16" ht="20.100000000000001" customHeight="1" x14ac:dyDescent="0.25">
      <c r="D58" s="8" t="s">
        <v>1339</v>
      </c>
      <c r="E58" s="10" t="s">
        <v>462</v>
      </c>
      <c r="F58" s="10" t="s">
        <v>508</v>
      </c>
      <c r="G58" s="10">
        <v>220</v>
      </c>
      <c r="H58" s="10">
        <v>620</v>
      </c>
      <c r="I58" s="10">
        <v>227</v>
      </c>
      <c r="J58" s="10">
        <v>319</v>
      </c>
      <c r="K58" s="10">
        <v>398</v>
      </c>
      <c r="L58" s="10">
        <v>452</v>
      </c>
      <c r="M58" s="10">
        <v>216</v>
      </c>
      <c r="N58" s="10">
        <v>334</v>
      </c>
      <c r="O58" s="10" t="s">
        <v>1540</v>
      </c>
      <c r="P58" s="10" t="s">
        <v>1540</v>
      </c>
    </row>
    <row r="59" spans="4:16" ht="20.100000000000001" customHeight="1" x14ac:dyDescent="0.25">
      <c r="D59" s="8" t="s">
        <v>1339</v>
      </c>
      <c r="E59" s="10" t="s">
        <v>462</v>
      </c>
      <c r="F59" s="10" t="s">
        <v>500</v>
      </c>
      <c r="G59" s="10">
        <v>110</v>
      </c>
      <c r="H59" s="10">
        <v>650</v>
      </c>
      <c r="I59" s="10">
        <v>108</v>
      </c>
      <c r="J59" s="10">
        <v>262</v>
      </c>
      <c r="K59" s="10">
        <v>346</v>
      </c>
      <c r="L59" s="10">
        <v>430</v>
      </c>
      <c r="M59" s="10">
        <v>111</v>
      </c>
      <c r="N59" s="10">
        <v>236</v>
      </c>
      <c r="O59" s="10" t="s">
        <v>1540</v>
      </c>
      <c r="P59" s="10" t="s">
        <v>1540</v>
      </c>
    </row>
    <row r="60" spans="4:16" ht="20.100000000000001" customHeight="1" x14ac:dyDescent="0.25">
      <c r="D60" s="8" t="s">
        <v>1339</v>
      </c>
      <c r="E60" s="10" t="s">
        <v>462</v>
      </c>
      <c r="F60" s="10" t="s">
        <v>501</v>
      </c>
      <c r="G60" s="10">
        <v>170</v>
      </c>
      <c r="H60" s="10">
        <v>670</v>
      </c>
      <c r="I60" s="10">
        <v>170</v>
      </c>
      <c r="J60" s="10">
        <v>266</v>
      </c>
      <c r="K60" s="10">
        <v>363</v>
      </c>
      <c r="L60" s="10">
        <v>444</v>
      </c>
      <c r="M60" s="10">
        <v>169</v>
      </c>
      <c r="N60" s="10">
        <v>282</v>
      </c>
      <c r="O60" s="10" t="s">
        <v>1540</v>
      </c>
      <c r="P60" s="10" t="s">
        <v>1540</v>
      </c>
    </row>
    <row r="61" spans="4:16" ht="20.100000000000001" customHeight="1" x14ac:dyDescent="0.25">
      <c r="D61" s="8" t="s">
        <v>1339</v>
      </c>
      <c r="E61" s="10" t="s">
        <v>462</v>
      </c>
      <c r="F61" s="10" t="s">
        <v>502</v>
      </c>
      <c r="G61" s="10">
        <v>200</v>
      </c>
      <c r="H61" s="10">
        <v>660</v>
      </c>
      <c r="I61" s="10">
        <v>225</v>
      </c>
      <c r="J61" s="10">
        <v>307</v>
      </c>
      <c r="K61" s="10">
        <v>398</v>
      </c>
      <c r="L61" s="10">
        <v>452</v>
      </c>
      <c r="M61" s="10">
        <v>214</v>
      </c>
      <c r="N61" s="10">
        <v>326</v>
      </c>
      <c r="O61" s="10" t="s">
        <v>1540</v>
      </c>
      <c r="P61" s="10" t="s">
        <v>1540</v>
      </c>
    </row>
    <row r="62" spans="4:16" ht="20.100000000000001" customHeight="1" x14ac:dyDescent="0.25">
      <c r="D62" s="8" t="s">
        <v>1339</v>
      </c>
      <c r="E62" s="10" t="s">
        <v>465</v>
      </c>
      <c r="F62" s="10" t="s">
        <v>508</v>
      </c>
      <c r="G62" s="10">
        <v>220</v>
      </c>
      <c r="H62" s="10">
        <v>620</v>
      </c>
      <c r="I62" s="10">
        <v>177</v>
      </c>
      <c r="J62" s="10">
        <v>267</v>
      </c>
      <c r="K62" s="10">
        <v>365</v>
      </c>
      <c r="L62" s="10">
        <v>406</v>
      </c>
      <c r="M62" s="10">
        <v>231</v>
      </c>
      <c r="N62" s="10">
        <v>249</v>
      </c>
      <c r="O62" s="10">
        <v>324</v>
      </c>
      <c r="P62" s="10" t="s">
        <v>1540</v>
      </c>
    </row>
    <row r="63" spans="4:16" ht="20.100000000000001" customHeight="1" x14ac:dyDescent="0.25">
      <c r="D63" s="8" t="s">
        <v>1339</v>
      </c>
      <c r="E63" s="10" t="s">
        <v>465</v>
      </c>
      <c r="F63" s="10" t="s">
        <v>500</v>
      </c>
      <c r="G63" s="10">
        <v>110</v>
      </c>
      <c r="H63" s="10">
        <v>650</v>
      </c>
      <c r="I63" s="10">
        <v>102</v>
      </c>
      <c r="J63" s="10">
        <v>203</v>
      </c>
      <c r="K63" s="10">
        <v>299</v>
      </c>
      <c r="L63" s="10">
        <v>380</v>
      </c>
      <c r="M63" s="10">
        <v>102</v>
      </c>
      <c r="N63" s="10">
        <v>218</v>
      </c>
      <c r="O63" s="10">
        <v>263</v>
      </c>
      <c r="P63" s="10" t="s">
        <v>1540</v>
      </c>
    </row>
    <row r="64" spans="4:16" ht="20.100000000000001" customHeight="1" x14ac:dyDescent="0.25">
      <c r="D64" s="8" t="s">
        <v>1339</v>
      </c>
      <c r="E64" s="10" t="s">
        <v>465</v>
      </c>
      <c r="F64" s="10" t="s">
        <v>501</v>
      </c>
      <c r="G64" s="10">
        <v>170</v>
      </c>
      <c r="H64" s="10">
        <v>670</v>
      </c>
      <c r="I64" s="10">
        <v>173</v>
      </c>
      <c r="J64" s="10">
        <v>250</v>
      </c>
      <c r="K64" s="10">
        <v>336</v>
      </c>
      <c r="L64" s="10">
        <v>414</v>
      </c>
      <c r="M64" s="10">
        <v>175</v>
      </c>
      <c r="N64" s="10">
        <v>243</v>
      </c>
      <c r="O64" s="10">
        <v>304</v>
      </c>
      <c r="P64" s="10" t="s">
        <v>1540</v>
      </c>
    </row>
    <row r="65" spans="4:22" ht="20.100000000000001" customHeight="1" x14ac:dyDescent="0.25">
      <c r="D65" s="8" t="s">
        <v>1339</v>
      </c>
      <c r="E65" s="10" t="s">
        <v>465</v>
      </c>
      <c r="F65" s="10" t="s">
        <v>502</v>
      </c>
      <c r="G65" s="10">
        <v>200</v>
      </c>
      <c r="H65" s="10">
        <v>660</v>
      </c>
      <c r="I65" s="10">
        <v>202</v>
      </c>
      <c r="J65" s="10">
        <v>272</v>
      </c>
      <c r="K65" s="10">
        <v>365</v>
      </c>
      <c r="L65" s="10">
        <v>390</v>
      </c>
      <c r="M65" s="10">
        <v>208</v>
      </c>
      <c r="N65" s="10">
        <v>260</v>
      </c>
      <c r="O65" s="10">
        <v>337</v>
      </c>
      <c r="P65" s="10" t="s">
        <v>1540</v>
      </c>
    </row>
    <row r="66" spans="4:22" ht="20.100000000000001" customHeight="1" x14ac:dyDescent="0.25">
      <c r="D66" s="8" t="s">
        <v>1335</v>
      </c>
      <c r="E66" s="10" t="s">
        <v>460</v>
      </c>
      <c r="F66" s="10" t="s">
        <v>508</v>
      </c>
      <c r="G66" s="10">
        <v>260</v>
      </c>
      <c r="H66" s="10">
        <v>705</v>
      </c>
      <c r="I66" s="10">
        <v>215</v>
      </c>
      <c r="J66" s="10">
        <v>302</v>
      </c>
      <c r="K66" s="10">
        <v>416</v>
      </c>
      <c r="L66" s="10">
        <v>519</v>
      </c>
      <c r="M66" s="10">
        <v>234</v>
      </c>
      <c r="N66" s="10">
        <v>455</v>
      </c>
      <c r="O66" s="10">
        <v>551</v>
      </c>
      <c r="P66" s="10">
        <v>660</v>
      </c>
    </row>
    <row r="67" spans="4:22" ht="20.100000000000001" customHeight="1" x14ac:dyDescent="0.25">
      <c r="D67" s="8" t="s">
        <v>1335</v>
      </c>
      <c r="E67" s="10" t="s">
        <v>460</v>
      </c>
      <c r="F67" s="10" t="s">
        <v>500</v>
      </c>
      <c r="G67" s="10">
        <v>153</v>
      </c>
      <c r="H67" s="10">
        <v>703</v>
      </c>
      <c r="I67" s="10">
        <v>118</v>
      </c>
      <c r="J67" s="10">
        <v>277</v>
      </c>
      <c r="K67" s="10">
        <v>397</v>
      </c>
      <c r="L67" s="10">
        <v>483</v>
      </c>
      <c r="M67" s="10">
        <v>111</v>
      </c>
      <c r="N67" s="10">
        <v>304</v>
      </c>
      <c r="O67" s="10">
        <v>521</v>
      </c>
      <c r="P67" s="10">
        <v>547</v>
      </c>
    </row>
    <row r="68" spans="4:22" ht="20.100000000000001" customHeight="1" x14ac:dyDescent="0.25">
      <c r="D68" s="8" t="s">
        <v>1335</v>
      </c>
      <c r="E68" s="10" t="s">
        <v>460</v>
      </c>
      <c r="F68" s="10" t="s">
        <v>501</v>
      </c>
      <c r="G68" s="10">
        <v>168</v>
      </c>
      <c r="H68" s="10">
        <v>718</v>
      </c>
      <c r="I68" s="10">
        <v>191</v>
      </c>
      <c r="J68" s="10">
        <v>319</v>
      </c>
      <c r="K68" s="10">
        <v>440</v>
      </c>
      <c r="L68" s="10">
        <v>506</v>
      </c>
      <c r="M68" s="10">
        <v>188</v>
      </c>
      <c r="N68" s="10">
        <v>326</v>
      </c>
      <c r="O68" s="10">
        <v>520</v>
      </c>
      <c r="P68" s="10">
        <v>582</v>
      </c>
    </row>
    <row r="69" spans="4:22" ht="20.100000000000001" customHeight="1" x14ac:dyDescent="0.25">
      <c r="D69" s="8" t="s">
        <v>1335</v>
      </c>
      <c r="E69" s="10" t="s">
        <v>460</v>
      </c>
      <c r="F69" s="10" t="s">
        <v>502</v>
      </c>
      <c r="G69" s="10">
        <v>235</v>
      </c>
      <c r="H69" s="10">
        <v>722</v>
      </c>
      <c r="I69" s="10">
        <v>207</v>
      </c>
      <c r="J69" s="10">
        <v>352</v>
      </c>
      <c r="K69" s="10">
        <v>470</v>
      </c>
      <c r="L69" s="10">
        <v>514</v>
      </c>
      <c r="M69" s="10">
        <v>209</v>
      </c>
      <c r="N69" s="10">
        <v>421</v>
      </c>
      <c r="O69" s="10">
        <v>512</v>
      </c>
      <c r="P69" s="10">
        <v>605</v>
      </c>
    </row>
    <row r="70" spans="4:22" ht="20.100000000000001" customHeight="1" x14ac:dyDescent="0.25">
      <c r="D70" s="8" t="s">
        <v>1335</v>
      </c>
      <c r="E70" s="10" t="s">
        <v>463</v>
      </c>
      <c r="F70" s="10" t="s">
        <v>508</v>
      </c>
      <c r="G70" s="10">
        <v>230</v>
      </c>
      <c r="H70" s="10">
        <v>674</v>
      </c>
      <c r="I70" s="10">
        <v>217</v>
      </c>
      <c r="J70" s="10">
        <v>344</v>
      </c>
      <c r="K70" s="10">
        <v>357</v>
      </c>
      <c r="L70" s="10">
        <v>467</v>
      </c>
      <c r="M70" s="10">
        <v>242</v>
      </c>
      <c r="N70" s="10">
        <v>370</v>
      </c>
      <c r="O70" s="10">
        <v>550</v>
      </c>
      <c r="P70" s="10">
        <v>620</v>
      </c>
    </row>
    <row r="71" spans="4:22" ht="20.100000000000001" customHeight="1" x14ac:dyDescent="0.25">
      <c r="D71" s="8" t="s">
        <v>1335</v>
      </c>
      <c r="E71" s="10" t="s">
        <v>463</v>
      </c>
      <c r="F71" s="10" t="s">
        <v>500</v>
      </c>
      <c r="G71" s="10">
        <v>113</v>
      </c>
      <c r="H71" s="10">
        <v>669</v>
      </c>
      <c r="I71" s="10">
        <v>113</v>
      </c>
      <c r="J71" s="10">
        <v>283</v>
      </c>
      <c r="K71" s="10">
        <v>361</v>
      </c>
      <c r="L71" s="10">
        <v>477</v>
      </c>
      <c r="M71" s="10">
        <v>120</v>
      </c>
      <c r="N71" s="10">
        <v>273</v>
      </c>
      <c r="O71" s="10">
        <v>545</v>
      </c>
      <c r="P71" s="10">
        <v>553</v>
      </c>
      <c r="V71" s="8"/>
    </row>
    <row r="72" spans="4:22" ht="20.100000000000001" customHeight="1" x14ac:dyDescent="0.25">
      <c r="D72" s="8" t="s">
        <v>1335</v>
      </c>
      <c r="E72" s="10" t="s">
        <v>463</v>
      </c>
      <c r="F72" s="10" t="s">
        <v>501</v>
      </c>
      <c r="G72" s="10">
        <v>172</v>
      </c>
      <c r="H72" s="10">
        <v>685</v>
      </c>
      <c r="I72" s="10">
        <v>172</v>
      </c>
      <c r="J72" s="10">
        <v>309</v>
      </c>
      <c r="K72" s="10">
        <v>376</v>
      </c>
      <c r="L72" s="10">
        <v>471</v>
      </c>
      <c r="M72" s="10">
        <v>238</v>
      </c>
      <c r="N72" s="10">
        <v>329</v>
      </c>
      <c r="O72" s="10">
        <v>573</v>
      </c>
      <c r="P72" s="10">
        <v>620</v>
      </c>
      <c r="V72" s="8"/>
    </row>
    <row r="73" spans="4:22" ht="20.100000000000001" customHeight="1" x14ac:dyDescent="0.25">
      <c r="D73" s="8" t="s">
        <v>1335</v>
      </c>
      <c r="E73" s="10" t="s">
        <v>463</v>
      </c>
      <c r="F73" s="10" t="s">
        <v>502</v>
      </c>
      <c r="G73" s="10">
        <v>241</v>
      </c>
      <c r="H73" s="10">
        <v>692</v>
      </c>
      <c r="I73" s="10">
        <v>208</v>
      </c>
      <c r="J73" s="10">
        <v>344</v>
      </c>
      <c r="K73" s="10">
        <v>364</v>
      </c>
      <c r="L73" s="10">
        <v>484</v>
      </c>
      <c r="M73" s="10">
        <v>260</v>
      </c>
      <c r="N73" s="10">
        <v>350</v>
      </c>
      <c r="O73" s="10">
        <v>567</v>
      </c>
      <c r="P73" s="10">
        <v>620</v>
      </c>
      <c r="V73" s="8"/>
    </row>
    <row r="74" spans="4:22" ht="20.100000000000001" customHeight="1" x14ac:dyDescent="0.25">
      <c r="D74" s="8" t="s">
        <v>1335</v>
      </c>
      <c r="E74" s="10" t="s">
        <v>466</v>
      </c>
      <c r="F74" s="10" t="s">
        <v>508</v>
      </c>
      <c r="G74" s="10">
        <v>236</v>
      </c>
      <c r="H74" s="10">
        <v>674</v>
      </c>
      <c r="I74" s="10">
        <v>178</v>
      </c>
      <c r="J74" s="10">
        <v>310</v>
      </c>
      <c r="K74" s="10">
        <v>428</v>
      </c>
      <c r="L74" s="10">
        <v>466</v>
      </c>
      <c r="M74" s="10">
        <v>193</v>
      </c>
      <c r="N74" s="10">
        <v>370</v>
      </c>
      <c r="O74" s="10">
        <v>519</v>
      </c>
      <c r="P74" s="10">
        <v>565</v>
      </c>
      <c r="V74" s="8"/>
    </row>
    <row r="75" spans="4:22" ht="20.100000000000001" customHeight="1" x14ac:dyDescent="0.25">
      <c r="D75" s="8" t="s">
        <v>1335</v>
      </c>
      <c r="E75" s="10" t="s">
        <v>466</v>
      </c>
      <c r="F75" s="10" t="s">
        <v>500</v>
      </c>
      <c r="G75" s="10">
        <v>120</v>
      </c>
      <c r="H75" s="10">
        <v>669</v>
      </c>
      <c r="I75" s="10">
        <v>112</v>
      </c>
      <c r="J75" s="10">
        <v>250</v>
      </c>
      <c r="K75" s="10">
        <v>390</v>
      </c>
      <c r="L75" s="10">
        <v>448</v>
      </c>
      <c r="M75" s="10">
        <v>115</v>
      </c>
      <c r="N75" s="10">
        <v>273</v>
      </c>
      <c r="O75" s="10">
        <v>433</v>
      </c>
      <c r="P75" s="10">
        <v>556</v>
      </c>
      <c r="V75" s="8"/>
    </row>
    <row r="76" spans="4:22" ht="20.100000000000001" customHeight="1" x14ac:dyDescent="0.25">
      <c r="D76" s="8" t="s">
        <v>1335</v>
      </c>
      <c r="E76" s="10" t="s">
        <v>466</v>
      </c>
      <c r="F76" s="10" t="s">
        <v>501</v>
      </c>
      <c r="G76" s="10">
        <v>125</v>
      </c>
      <c r="H76" s="10">
        <v>685</v>
      </c>
      <c r="I76" s="10">
        <v>140</v>
      </c>
      <c r="J76" s="10">
        <v>277</v>
      </c>
      <c r="K76" s="10">
        <v>407</v>
      </c>
      <c r="L76" s="10">
        <v>455</v>
      </c>
      <c r="M76" s="10">
        <v>141</v>
      </c>
      <c r="N76" s="10">
        <v>296</v>
      </c>
      <c r="O76" s="10">
        <v>445</v>
      </c>
      <c r="P76" s="10">
        <v>593</v>
      </c>
      <c r="V76" s="8"/>
    </row>
    <row r="77" spans="4:22" ht="20.100000000000001" customHeight="1" x14ac:dyDescent="0.25">
      <c r="D77" s="8" t="s">
        <v>1335</v>
      </c>
      <c r="E77" s="10" t="s">
        <v>466</v>
      </c>
      <c r="F77" s="10" t="s">
        <v>502</v>
      </c>
      <c r="G77" s="10">
        <v>180</v>
      </c>
      <c r="H77" s="10">
        <v>692</v>
      </c>
      <c r="I77" s="10">
        <v>183</v>
      </c>
      <c r="J77" s="10">
        <v>316</v>
      </c>
      <c r="K77" s="10">
        <v>438</v>
      </c>
      <c r="L77" s="10">
        <v>468</v>
      </c>
      <c r="M77" s="10">
        <v>189</v>
      </c>
      <c r="N77" s="10">
        <v>354</v>
      </c>
      <c r="O77" s="10">
        <v>500</v>
      </c>
      <c r="P77" s="10">
        <v>553</v>
      </c>
      <c r="V77" s="8"/>
    </row>
    <row r="78" spans="4:22" ht="20.100000000000001" customHeight="1" x14ac:dyDescent="0.25">
      <c r="D78" s="8" t="s">
        <v>1335</v>
      </c>
      <c r="E78" s="10" t="s">
        <v>468</v>
      </c>
      <c r="F78" s="10" t="s">
        <v>508</v>
      </c>
      <c r="G78" s="10">
        <v>190</v>
      </c>
      <c r="H78" s="10">
        <v>617</v>
      </c>
      <c r="I78" s="10">
        <v>174</v>
      </c>
      <c r="J78" s="10">
        <v>265</v>
      </c>
      <c r="K78" s="10">
        <v>371</v>
      </c>
      <c r="L78" s="10">
        <v>415</v>
      </c>
      <c r="M78" s="10">
        <v>170</v>
      </c>
      <c r="N78" s="10">
        <v>272</v>
      </c>
      <c r="O78" s="10">
        <v>392</v>
      </c>
      <c r="P78" s="10">
        <v>531</v>
      </c>
    </row>
    <row r="79" spans="4:22" ht="20.100000000000001" customHeight="1" x14ac:dyDescent="0.25">
      <c r="D79" s="8" t="s">
        <v>1335</v>
      </c>
      <c r="E79" s="10" t="s">
        <v>468</v>
      </c>
      <c r="F79" s="10" t="s">
        <v>500</v>
      </c>
      <c r="G79" s="10">
        <v>119</v>
      </c>
      <c r="H79" s="10">
        <v>591</v>
      </c>
      <c r="I79" s="10">
        <v>140</v>
      </c>
      <c r="J79" s="10">
        <v>205</v>
      </c>
      <c r="K79" s="10">
        <v>310</v>
      </c>
      <c r="L79" s="10">
        <v>405</v>
      </c>
      <c r="M79" s="10">
        <v>133</v>
      </c>
      <c r="N79" s="10">
        <v>218</v>
      </c>
      <c r="O79" s="10">
        <v>315</v>
      </c>
      <c r="P79" s="10">
        <v>445</v>
      </c>
    </row>
    <row r="80" spans="4:22" ht="20.100000000000001" customHeight="1" x14ac:dyDescent="0.25">
      <c r="D80" s="8" t="s">
        <v>1335</v>
      </c>
      <c r="E80" s="10" t="s">
        <v>468</v>
      </c>
      <c r="F80" s="10" t="s">
        <v>501</v>
      </c>
      <c r="G80" s="10">
        <v>175</v>
      </c>
      <c r="H80" s="10">
        <v>610</v>
      </c>
      <c r="I80" s="10">
        <v>163</v>
      </c>
      <c r="J80" s="10">
        <v>232</v>
      </c>
      <c r="K80" s="10">
        <v>351</v>
      </c>
      <c r="L80" s="10">
        <v>427</v>
      </c>
      <c r="M80" s="10">
        <v>146</v>
      </c>
      <c r="N80" s="10">
        <v>242</v>
      </c>
      <c r="O80" s="10">
        <v>320</v>
      </c>
      <c r="P80" s="10">
        <v>471</v>
      </c>
    </row>
    <row r="81" spans="4:22" ht="20.100000000000001" customHeight="1" x14ac:dyDescent="0.25">
      <c r="D81" s="8" t="s">
        <v>1335</v>
      </c>
      <c r="E81" s="10" t="s">
        <v>468</v>
      </c>
      <c r="F81" s="10" t="s">
        <v>502</v>
      </c>
      <c r="G81" s="10">
        <v>192</v>
      </c>
      <c r="H81" s="10">
        <v>615</v>
      </c>
      <c r="I81" s="10">
        <v>162</v>
      </c>
      <c r="J81" s="10">
        <v>255</v>
      </c>
      <c r="K81" s="10">
        <v>364</v>
      </c>
      <c r="L81" s="10">
        <v>420</v>
      </c>
      <c r="M81" s="10">
        <v>157</v>
      </c>
      <c r="N81" s="10">
        <v>261</v>
      </c>
      <c r="O81" s="10">
        <v>342</v>
      </c>
      <c r="P81" s="10">
        <v>484</v>
      </c>
    </row>
    <row r="82" spans="4:22" ht="20.100000000000001" customHeight="1" x14ac:dyDescent="0.25">
      <c r="M82" s="8"/>
    </row>
    <row r="83" spans="4:22" ht="20.100000000000001" customHeight="1" x14ac:dyDescent="0.25">
      <c r="M83" s="8"/>
    </row>
    <row r="84" spans="4:22" ht="20.100000000000001" customHeight="1" x14ac:dyDescent="0.25">
      <c r="D84" s="9" t="s">
        <v>489</v>
      </c>
      <c r="M84" s="8"/>
    </row>
    <row r="85" spans="4:22" ht="20.100000000000001" customHeight="1" x14ac:dyDescent="0.25">
      <c r="D85" s="10" t="s">
        <v>280</v>
      </c>
      <c r="E85" s="10" t="s">
        <v>390</v>
      </c>
      <c r="F85" s="10" t="s">
        <v>47</v>
      </c>
      <c r="G85" s="162" t="s">
        <v>490</v>
      </c>
      <c r="H85" s="162" t="s">
        <v>491</v>
      </c>
      <c r="I85" s="162" t="s">
        <v>492</v>
      </c>
      <c r="J85" s="162" t="s">
        <v>493</v>
      </c>
      <c r="K85" s="162" t="s">
        <v>494</v>
      </c>
      <c r="L85" s="162" t="s">
        <v>495</v>
      </c>
      <c r="M85" s="162" t="s">
        <v>496</v>
      </c>
      <c r="N85" s="162" t="s">
        <v>497</v>
      </c>
      <c r="O85" s="162" t="s">
        <v>498</v>
      </c>
      <c r="P85" s="162" t="s">
        <v>499</v>
      </c>
      <c r="V85" s="8"/>
    </row>
    <row r="86" spans="4:22" ht="20.100000000000001" customHeight="1" x14ac:dyDescent="0.25">
      <c r="D86" s="10" t="s">
        <v>315</v>
      </c>
      <c r="E86" s="10" t="s">
        <v>440</v>
      </c>
      <c r="F86" s="10" t="str">
        <f>F19</f>
        <v>Spring</v>
      </c>
      <c r="G86" s="10">
        <f>G19</f>
        <v>80</v>
      </c>
      <c r="H86" s="10">
        <f t="shared" ref="H86:K89" si="0">H19</f>
        <v>480</v>
      </c>
      <c r="I86" s="10">
        <f>I19</f>
        <v>75</v>
      </c>
      <c r="J86" s="10">
        <f>J19</f>
        <v>300</v>
      </c>
      <c r="K86" s="10">
        <f>K19</f>
        <v>440</v>
      </c>
      <c r="L86" s="10">
        <f>K19</f>
        <v>440</v>
      </c>
      <c r="M86" s="10">
        <f>L19</f>
        <v>75</v>
      </c>
      <c r="N86" s="10">
        <f>M19</f>
        <v>380</v>
      </c>
      <c r="O86" s="10">
        <f>M19</f>
        <v>380</v>
      </c>
      <c r="P86" s="10">
        <f>M19</f>
        <v>380</v>
      </c>
      <c r="V86" s="8"/>
    </row>
    <row r="87" spans="4:22" ht="20.100000000000001" customHeight="1" x14ac:dyDescent="0.25">
      <c r="D87" s="10" t="s">
        <v>315</v>
      </c>
      <c r="E87" s="10" t="s">
        <v>440</v>
      </c>
      <c r="F87" s="10" t="s">
        <v>500</v>
      </c>
      <c r="G87" s="10">
        <f t="shared" ref="G87:G89" si="1">G20</f>
        <v>170</v>
      </c>
      <c r="H87" s="10">
        <f t="shared" si="0"/>
        <v>520</v>
      </c>
      <c r="I87" s="10">
        <f t="shared" si="0"/>
        <v>160</v>
      </c>
      <c r="J87" s="10">
        <f t="shared" si="0"/>
        <v>360</v>
      </c>
      <c r="K87" s="10">
        <f t="shared" si="0"/>
        <v>470</v>
      </c>
      <c r="L87" s="10">
        <f t="shared" ref="L87:N89" si="2">K20</f>
        <v>470</v>
      </c>
      <c r="M87" s="10">
        <f t="shared" si="2"/>
        <v>160</v>
      </c>
      <c r="N87" s="10">
        <f t="shared" si="2"/>
        <v>420</v>
      </c>
      <c r="O87" s="10">
        <f t="shared" ref="O87:O89" si="3">M20</f>
        <v>420</v>
      </c>
      <c r="P87" s="10">
        <f t="shared" ref="P87:P89" si="4">M20</f>
        <v>420</v>
      </c>
      <c r="V87" s="8"/>
    </row>
    <row r="88" spans="4:22" ht="20.100000000000001" customHeight="1" x14ac:dyDescent="0.25">
      <c r="D88" s="10" t="s">
        <v>315</v>
      </c>
      <c r="E88" s="10" t="s">
        <v>440</v>
      </c>
      <c r="F88" s="10" t="s">
        <v>501</v>
      </c>
      <c r="G88" s="10">
        <f t="shared" si="1"/>
        <v>240</v>
      </c>
      <c r="H88" s="10">
        <f t="shared" si="0"/>
        <v>550</v>
      </c>
      <c r="I88" s="10">
        <f t="shared" si="0"/>
        <v>220</v>
      </c>
      <c r="J88" s="10">
        <f t="shared" si="0"/>
        <v>390</v>
      </c>
      <c r="K88" s="10">
        <f t="shared" si="0"/>
        <v>490</v>
      </c>
      <c r="L88" s="10">
        <f t="shared" si="2"/>
        <v>490</v>
      </c>
      <c r="M88" s="10">
        <f t="shared" si="2"/>
        <v>220</v>
      </c>
      <c r="N88" s="10">
        <f t="shared" si="2"/>
        <v>450</v>
      </c>
      <c r="O88" s="10">
        <f t="shared" si="3"/>
        <v>450</v>
      </c>
      <c r="P88" s="10">
        <f t="shared" si="4"/>
        <v>450</v>
      </c>
      <c r="V88" s="8"/>
    </row>
    <row r="89" spans="4:22" ht="20.100000000000001" customHeight="1" x14ac:dyDescent="0.25">
      <c r="D89" s="10" t="s">
        <v>315</v>
      </c>
      <c r="E89" s="10" t="s">
        <v>440</v>
      </c>
      <c r="F89" s="10" t="s">
        <v>502</v>
      </c>
      <c r="G89" s="10">
        <f t="shared" si="1"/>
        <v>280</v>
      </c>
      <c r="H89" s="10">
        <f t="shared" si="0"/>
        <v>560</v>
      </c>
      <c r="I89" s="10">
        <f t="shared" si="0"/>
        <v>260</v>
      </c>
      <c r="J89" s="10">
        <f t="shared" si="0"/>
        <v>410</v>
      </c>
      <c r="K89" s="10">
        <f t="shared" si="0"/>
        <v>500</v>
      </c>
      <c r="L89" s="10">
        <f t="shared" si="2"/>
        <v>500</v>
      </c>
      <c r="M89" s="10">
        <f t="shared" si="2"/>
        <v>260</v>
      </c>
      <c r="N89" s="10">
        <f t="shared" si="2"/>
        <v>460</v>
      </c>
      <c r="O89" s="10">
        <f t="shared" si="3"/>
        <v>460</v>
      </c>
      <c r="P89" s="10">
        <f t="shared" si="4"/>
        <v>460</v>
      </c>
      <c r="V89" s="8"/>
    </row>
    <row r="90" spans="4:22" ht="20.100000000000001" customHeight="1" x14ac:dyDescent="0.25">
      <c r="D90" s="10" t="s">
        <v>339</v>
      </c>
      <c r="E90" s="10" t="s">
        <v>440</v>
      </c>
      <c r="F90" s="10" t="str">
        <f>F23</f>
        <v>Spring</v>
      </c>
      <c r="G90" s="10">
        <f>G19</f>
        <v>80</v>
      </c>
      <c r="H90" s="10">
        <f t="shared" ref="H90:J90" si="5">H19</f>
        <v>480</v>
      </c>
      <c r="I90" s="10">
        <f t="shared" si="5"/>
        <v>75</v>
      </c>
      <c r="J90" s="10">
        <f t="shared" si="5"/>
        <v>300</v>
      </c>
      <c r="K90" s="10">
        <f>K19</f>
        <v>440</v>
      </c>
      <c r="L90" s="10">
        <f>K19</f>
        <v>440</v>
      </c>
      <c r="M90" s="10">
        <f>L19</f>
        <v>75</v>
      </c>
      <c r="N90" s="10">
        <f>M19</f>
        <v>380</v>
      </c>
      <c r="O90" s="10">
        <f>M19</f>
        <v>380</v>
      </c>
      <c r="P90" s="10">
        <f>M19</f>
        <v>380</v>
      </c>
      <c r="V90" s="8"/>
    </row>
    <row r="91" spans="4:22" ht="20.100000000000001" customHeight="1" x14ac:dyDescent="0.25">
      <c r="D91" s="10" t="s">
        <v>339</v>
      </c>
      <c r="E91" s="10" t="s">
        <v>440</v>
      </c>
      <c r="F91" s="10" t="s">
        <v>500</v>
      </c>
      <c r="G91" s="10">
        <f t="shared" ref="G91:K94" si="6">G20</f>
        <v>170</v>
      </c>
      <c r="H91" s="10">
        <f t="shared" si="6"/>
        <v>520</v>
      </c>
      <c r="I91" s="10">
        <f t="shared" si="6"/>
        <v>160</v>
      </c>
      <c r="J91" s="10">
        <f t="shared" si="6"/>
        <v>360</v>
      </c>
      <c r="K91" s="10">
        <f t="shared" si="6"/>
        <v>470</v>
      </c>
      <c r="L91" s="10">
        <f t="shared" ref="L91:N105" si="7">K20</f>
        <v>470</v>
      </c>
      <c r="M91" s="10">
        <f t="shared" si="7"/>
        <v>160</v>
      </c>
      <c r="N91" s="10">
        <f t="shared" si="7"/>
        <v>420</v>
      </c>
      <c r="O91" s="10">
        <f t="shared" ref="O91:O93" si="8">M20</f>
        <v>420</v>
      </c>
      <c r="P91" s="10">
        <f t="shared" ref="P91:P93" si="9">M20</f>
        <v>420</v>
      </c>
    </row>
    <row r="92" spans="4:22" ht="20.100000000000001" customHeight="1" x14ac:dyDescent="0.25">
      <c r="D92" s="10" t="s">
        <v>339</v>
      </c>
      <c r="E92" s="10" t="s">
        <v>440</v>
      </c>
      <c r="F92" s="10" t="s">
        <v>501</v>
      </c>
      <c r="G92" s="10">
        <f t="shared" si="6"/>
        <v>240</v>
      </c>
      <c r="H92" s="10">
        <f t="shared" si="6"/>
        <v>550</v>
      </c>
      <c r="I92" s="10">
        <f t="shared" si="6"/>
        <v>220</v>
      </c>
      <c r="J92" s="10">
        <f t="shared" si="6"/>
        <v>390</v>
      </c>
      <c r="K92" s="10">
        <f t="shared" si="6"/>
        <v>490</v>
      </c>
      <c r="L92" s="10">
        <f t="shared" si="7"/>
        <v>490</v>
      </c>
      <c r="M92" s="10">
        <f t="shared" si="7"/>
        <v>220</v>
      </c>
      <c r="N92" s="10">
        <f t="shared" si="7"/>
        <v>450</v>
      </c>
      <c r="O92" s="10">
        <f t="shared" si="8"/>
        <v>450</v>
      </c>
      <c r="P92" s="10">
        <f t="shared" si="9"/>
        <v>450</v>
      </c>
    </row>
    <row r="93" spans="4:22" ht="20.100000000000001" customHeight="1" x14ac:dyDescent="0.25">
      <c r="D93" s="10" t="s">
        <v>339</v>
      </c>
      <c r="E93" s="10" t="s">
        <v>440</v>
      </c>
      <c r="F93" s="10" t="s">
        <v>502</v>
      </c>
      <c r="G93" s="10">
        <f t="shared" si="6"/>
        <v>280</v>
      </c>
      <c r="H93" s="10">
        <f t="shared" si="6"/>
        <v>560</v>
      </c>
      <c r="I93" s="10">
        <f t="shared" si="6"/>
        <v>260</v>
      </c>
      <c r="J93" s="10">
        <f t="shared" si="6"/>
        <v>410</v>
      </c>
      <c r="K93" s="10">
        <f t="shared" si="6"/>
        <v>500</v>
      </c>
      <c r="L93" s="10">
        <f t="shared" si="7"/>
        <v>500</v>
      </c>
      <c r="M93" s="10">
        <f t="shared" si="7"/>
        <v>260</v>
      </c>
      <c r="N93" s="10">
        <f t="shared" si="7"/>
        <v>460</v>
      </c>
      <c r="O93" s="10">
        <f t="shared" si="8"/>
        <v>460</v>
      </c>
      <c r="P93" s="10">
        <f t="shared" si="9"/>
        <v>460</v>
      </c>
    </row>
    <row r="94" spans="4:22" ht="20.100000000000001" customHeight="1" x14ac:dyDescent="0.25">
      <c r="D94" s="10" t="s">
        <v>399</v>
      </c>
      <c r="E94" s="10" t="s">
        <v>440</v>
      </c>
      <c r="F94" s="10" t="str">
        <f>F27</f>
        <v>Spring</v>
      </c>
      <c r="G94" s="10">
        <f>G23</f>
        <v>250</v>
      </c>
      <c r="H94" s="10">
        <f t="shared" si="6"/>
        <v>800</v>
      </c>
      <c r="I94" s="10">
        <f t="shared" si="6"/>
        <v>220</v>
      </c>
      <c r="J94" s="10">
        <f>J23</f>
        <v>400</v>
      </c>
      <c r="K94" s="10">
        <f>K23</f>
        <v>500</v>
      </c>
      <c r="L94" s="10">
        <f>K23</f>
        <v>500</v>
      </c>
      <c r="M94" s="10">
        <f>L23</f>
        <v>230</v>
      </c>
      <c r="N94" s="10">
        <f>M23</f>
        <v>420</v>
      </c>
      <c r="O94" s="10">
        <f>M23</f>
        <v>420</v>
      </c>
      <c r="P94" s="10">
        <f>M23</f>
        <v>420</v>
      </c>
    </row>
    <row r="95" spans="4:22" ht="20.100000000000001" customHeight="1" x14ac:dyDescent="0.25">
      <c r="D95" s="10" t="s">
        <v>399</v>
      </c>
      <c r="E95" s="10" t="s">
        <v>440</v>
      </c>
      <c r="F95" s="10" t="s">
        <v>500</v>
      </c>
      <c r="G95" s="10">
        <f t="shared" ref="G95:K98" si="10">G24</f>
        <v>320</v>
      </c>
      <c r="H95" s="10">
        <f t="shared" si="10"/>
        <v>800</v>
      </c>
      <c r="I95" s="10">
        <f t="shared" si="10"/>
        <v>280</v>
      </c>
      <c r="J95" s="10">
        <f t="shared" si="10"/>
        <v>420</v>
      </c>
      <c r="K95" s="10">
        <f t="shared" si="10"/>
        <v>500</v>
      </c>
      <c r="L95" s="10">
        <f t="shared" ref="L95:M97" si="11">K24</f>
        <v>500</v>
      </c>
      <c r="M95" s="10">
        <f t="shared" si="11"/>
        <v>290</v>
      </c>
      <c r="N95" s="10">
        <f t="shared" si="7"/>
        <v>420</v>
      </c>
      <c r="O95" s="10">
        <f t="shared" ref="O95:O97" si="12">M24</f>
        <v>420</v>
      </c>
      <c r="P95" s="10">
        <f t="shared" ref="P95:P97" si="13">M24</f>
        <v>420</v>
      </c>
    </row>
    <row r="96" spans="4:22" ht="20.100000000000001" customHeight="1" x14ac:dyDescent="0.25">
      <c r="D96" s="10" t="s">
        <v>399</v>
      </c>
      <c r="E96" s="10" t="s">
        <v>440</v>
      </c>
      <c r="F96" s="10" t="s">
        <v>501</v>
      </c>
      <c r="G96" s="10">
        <f t="shared" si="10"/>
        <v>80</v>
      </c>
      <c r="H96" s="10">
        <f t="shared" si="10"/>
        <v>700</v>
      </c>
      <c r="I96" s="10">
        <f t="shared" si="10"/>
        <v>70</v>
      </c>
      <c r="J96" s="10">
        <f t="shared" si="10"/>
        <v>300</v>
      </c>
      <c r="K96" s="10">
        <f t="shared" si="10"/>
        <v>450</v>
      </c>
      <c r="L96" s="10">
        <f t="shared" si="11"/>
        <v>450</v>
      </c>
      <c r="M96" s="10">
        <f t="shared" si="11"/>
        <v>75</v>
      </c>
      <c r="N96" s="10">
        <f t="shared" si="7"/>
        <v>400</v>
      </c>
      <c r="O96" s="10">
        <f t="shared" si="12"/>
        <v>400</v>
      </c>
      <c r="P96" s="10">
        <f t="shared" si="13"/>
        <v>400</v>
      </c>
    </row>
    <row r="97" spans="4:16" ht="20.100000000000001" customHeight="1" x14ac:dyDescent="0.25">
      <c r="D97" s="10" t="s">
        <v>399</v>
      </c>
      <c r="E97" s="10" t="s">
        <v>440</v>
      </c>
      <c r="F97" s="10" t="s">
        <v>502</v>
      </c>
      <c r="G97" s="10">
        <f t="shared" si="10"/>
        <v>160</v>
      </c>
      <c r="H97" s="10">
        <f t="shared" si="10"/>
        <v>700</v>
      </c>
      <c r="I97" s="10">
        <f t="shared" si="10"/>
        <v>140</v>
      </c>
      <c r="J97" s="10">
        <f t="shared" si="10"/>
        <v>350</v>
      </c>
      <c r="K97" s="10">
        <f t="shared" si="10"/>
        <v>450</v>
      </c>
      <c r="L97" s="10">
        <f t="shared" si="11"/>
        <v>450</v>
      </c>
      <c r="M97" s="10">
        <f t="shared" si="11"/>
        <v>150</v>
      </c>
      <c r="N97" s="10">
        <f t="shared" si="7"/>
        <v>400</v>
      </c>
      <c r="O97" s="10">
        <f t="shared" si="12"/>
        <v>400</v>
      </c>
      <c r="P97" s="10">
        <f t="shared" si="13"/>
        <v>400</v>
      </c>
    </row>
    <row r="98" spans="4:16" ht="20.100000000000001" customHeight="1" x14ac:dyDescent="0.25">
      <c r="D98" s="10" t="s">
        <v>395</v>
      </c>
      <c r="E98" s="10" t="s">
        <v>440</v>
      </c>
      <c r="F98" s="10" t="str">
        <f>F31</f>
        <v>Spring</v>
      </c>
      <c r="G98" s="10">
        <f>G27</f>
        <v>105</v>
      </c>
      <c r="H98" s="10">
        <f t="shared" si="10"/>
        <v>700</v>
      </c>
      <c r="I98" s="10">
        <f t="shared" si="10"/>
        <v>85</v>
      </c>
      <c r="J98" s="10">
        <f t="shared" si="10"/>
        <v>300</v>
      </c>
      <c r="K98" s="10">
        <f t="shared" si="10"/>
        <v>490</v>
      </c>
      <c r="L98" s="10">
        <f>K27</f>
        <v>490</v>
      </c>
      <c r="M98" s="10">
        <f>L27</f>
        <v>90</v>
      </c>
      <c r="N98" s="10">
        <f>M27</f>
        <v>480</v>
      </c>
      <c r="O98" s="10">
        <f>M27</f>
        <v>480</v>
      </c>
      <c r="P98" s="10">
        <f>M27</f>
        <v>480</v>
      </c>
    </row>
    <row r="99" spans="4:16" ht="20.100000000000001" customHeight="1" x14ac:dyDescent="0.25">
      <c r="D99" s="10" t="s">
        <v>395</v>
      </c>
      <c r="E99" s="10" t="s">
        <v>440</v>
      </c>
      <c r="F99" s="10" t="s">
        <v>500</v>
      </c>
      <c r="G99" s="10">
        <f t="shared" ref="G99:K102" si="14">G28</f>
        <v>480</v>
      </c>
      <c r="H99" s="10">
        <f t="shared" si="14"/>
        <v>750</v>
      </c>
      <c r="I99" s="10">
        <f t="shared" si="14"/>
        <v>150</v>
      </c>
      <c r="J99" s="10">
        <f t="shared" si="14"/>
        <v>350</v>
      </c>
      <c r="K99" s="10">
        <f t="shared" si="14"/>
        <v>530</v>
      </c>
      <c r="L99" s="10">
        <f t="shared" ref="L99:M101" si="15">K28</f>
        <v>530</v>
      </c>
      <c r="M99" s="10">
        <f t="shared" si="15"/>
        <v>160</v>
      </c>
      <c r="N99" s="10">
        <f t="shared" si="7"/>
        <v>460</v>
      </c>
      <c r="O99" s="10">
        <f t="shared" ref="O99:O101" si="16">M28</f>
        <v>460</v>
      </c>
      <c r="P99" s="10">
        <f t="shared" ref="P99:P101" si="17">M28</f>
        <v>460</v>
      </c>
    </row>
    <row r="100" spans="4:16" ht="20.100000000000001" customHeight="1" x14ac:dyDescent="0.25">
      <c r="D100" s="10" t="s">
        <v>395</v>
      </c>
      <c r="E100" s="10" t="s">
        <v>440</v>
      </c>
      <c r="F100" s="10" t="s">
        <v>501</v>
      </c>
      <c r="G100" s="10">
        <f t="shared" si="14"/>
        <v>250</v>
      </c>
      <c r="H100" s="10">
        <f t="shared" si="14"/>
        <v>725</v>
      </c>
      <c r="I100" s="10">
        <f t="shared" si="14"/>
        <v>200</v>
      </c>
      <c r="J100" s="10">
        <f t="shared" si="14"/>
        <v>360</v>
      </c>
      <c r="K100" s="10">
        <f t="shared" si="14"/>
        <v>500</v>
      </c>
      <c r="L100" s="10">
        <f t="shared" si="15"/>
        <v>500</v>
      </c>
      <c r="M100" s="10">
        <f t="shared" si="15"/>
        <v>215</v>
      </c>
      <c r="N100" s="10">
        <f t="shared" si="7"/>
        <v>490</v>
      </c>
      <c r="O100" s="10">
        <f t="shared" si="16"/>
        <v>490</v>
      </c>
      <c r="P100" s="10">
        <f t="shared" si="17"/>
        <v>490</v>
      </c>
    </row>
    <row r="101" spans="4:16" ht="20.100000000000001" customHeight="1" x14ac:dyDescent="0.25">
      <c r="D101" s="10" t="s">
        <v>395</v>
      </c>
      <c r="E101" s="10" t="s">
        <v>440</v>
      </c>
      <c r="F101" s="10" t="s">
        <v>502</v>
      </c>
      <c r="G101" s="10">
        <f t="shared" si="14"/>
        <v>260</v>
      </c>
      <c r="H101" s="10">
        <f t="shared" si="14"/>
        <v>700</v>
      </c>
      <c r="I101" s="10">
        <f t="shared" si="14"/>
        <v>210</v>
      </c>
      <c r="J101" s="10">
        <f t="shared" si="14"/>
        <v>380</v>
      </c>
      <c r="K101" s="10">
        <f t="shared" si="14"/>
        <v>460</v>
      </c>
      <c r="L101" s="10">
        <f t="shared" si="15"/>
        <v>460</v>
      </c>
      <c r="M101" s="10">
        <f t="shared" si="15"/>
        <v>230</v>
      </c>
      <c r="N101" s="10">
        <f t="shared" si="7"/>
        <v>470</v>
      </c>
      <c r="O101" s="10">
        <f t="shared" si="16"/>
        <v>470</v>
      </c>
      <c r="P101" s="10">
        <f t="shared" si="17"/>
        <v>470</v>
      </c>
    </row>
    <row r="102" spans="4:16" ht="20.100000000000001" customHeight="1" x14ac:dyDescent="0.25">
      <c r="D102" s="10" t="s">
        <v>345</v>
      </c>
      <c r="E102" s="10" t="s">
        <v>440</v>
      </c>
      <c r="F102" s="10" t="str">
        <f>F35</f>
        <v>Spring</v>
      </c>
      <c r="G102" s="10">
        <f>G31</f>
        <v>250</v>
      </c>
      <c r="H102" s="10">
        <f t="shared" si="14"/>
        <v>820</v>
      </c>
      <c r="I102" s="10">
        <f t="shared" si="14"/>
        <v>240</v>
      </c>
      <c r="J102" s="10">
        <f t="shared" si="14"/>
        <v>410</v>
      </c>
      <c r="K102" s="10">
        <f>K31</f>
        <v>560</v>
      </c>
      <c r="L102" s="10">
        <f>K31</f>
        <v>560</v>
      </c>
      <c r="M102" s="10">
        <f>L31</f>
        <v>240</v>
      </c>
      <c r="N102" s="10">
        <f>M31</f>
        <v>510</v>
      </c>
      <c r="O102" s="10">
        <f>M31</f>
        <v>510</v>
      </c>
      <c r="P102" s="10">
        <f>M31</f>
        <v>510</v>
      </c>
    </row>
    <row r="103" spans="4:16" ht="20.100000000000001" customHeight="1" x14ac:dyDescent="0.25">
      <c r="D103" s="10" t="s">
        <v>345</v>
      </c>
      <c r="E103" s="10" t="s">
        <v>440</v>
      </c>
      <c r="F103" s="10" t="s">
        <v>500</v>
      </c>
      <c r="G103" s="10">
        <f t="shared" ref="G103:K105" si="18">G32</f>
        <v>280</v>
      </c>
      <c r="H103" s="10">
        <f t="shared" si="18"/>
        <v>850</v>
      </c>
      <c r="I103" s="10">
        <f t="shared" si="18"/>
        <v>260</v>
      </c>
      <c r="J103" s="10">
        <f t="shared" si="18"/>
        <v>440</v>
      </c>
      <c r="K103" s="10">
        <f t="shared" si="18"/>
        <v>550</v>
      </c>
      <c r="L103" s="10">
        <f t="shared" ref="L103:M105" si="19">K32</f>
        <v>550</v>
      </c>
      <c r="M103" s="10">
        <f t="shared" si="19"/>
        <v>270</v>
      </c>
      <c r="N103" s="10">
        <f t="shared" si="7"/>
        <v>520</v>
      </c>
      <c r="O103" s="10">
        <f t="shared" ref="O103:O105" si="20">M32</f>
        <v>520</v>
      </c>
      <c r="P103" s="10">
        <f t="shared" ref="P103:P105" si="21">M32</f>
        <v>520</v>
      </c>
    </row>
    <row r="104" spans="4:16" ht="20.100000000000001" customHeight="1" x14ac:dyDescent="0.25">
      <c r="D104" s="10" t="s">
        <v>345</v>
      </c>
      <c r="E104" s="10" t="s">
        <v>440</v>
      </c>
      <c r="F104" s="10" t="s">
        <v>501</v>
      </c>
      <c r="G104" s="10">
        <f t="shared" si="18"/>
        <v>100</v>
      </c>
      <c r="H104" s="10">
        <f t="shared" si="18"/>
        <v>700</v>
      </c>
      <c r="I104" s="10">
        <f t="shared" si="18"/>
        <v>95</v>
      </c>
      <c r="J104" s="10">
        <f t="shared" si="18"/>
        <v>300</v>
      </c>
      <c r="K104" s="10">
        <f t="shared" si="18"/>
        <v>450</v>
      </c>
      <c r="L104" s="10">
        <f t="shared" si="19"/>
        <v>450</v>
      </c>
      <c r="M104" s="10">
        <f t="shared" si="19"/>
        <v>95</v>
      </c>
      <c r="N104" s="10">
        <f t="shared" si="7"/>
        <v>410</v>
      </c>
      <c r="O104" s="10">
        <f t="shared" si="20"/>
        <v>410</v>
      </c>
      <c r="P104" s="10">
        <f t="shared" si="21"/>
        <v>410</v>
      </c>
    </row>
    <row r="105" spans="4:16" ht="20.100000000000001" customHeight="1" x14ac:dyDescent="0.25">
      <c r="D105" s="10" t="s">
        <v>345</v>
      </c>
      <c r="E105" s="10" t="s">
        <v>440</v>
      </c>
      <c r="F105" s="10" t="s">
        <v>502</v>
      </c>
      <c r="G105" s="10">
        <f t="shared" si="18"/>
        <v>150</v>
      </c>
      <c r="H105" s="10">
        <f t="shared" si="18"/>
        <v>720</v>
      </c>
      <c r="I105" s="10">
        <f t="shared" si="18"/>
        <v>140</v>
      </c>
      <c r="J105" s="10">
        <f t="shared" si="18"/>
        <v>320</v>
      </c>
      <c r="K105" s="10">
        <f t="shared" si="18"/>
        <v>470</v>
      </c>
      <c r="L105" s="10">
        <f t="shared" si="19"/>
        <v>470</v>
      </c>
      <c r="M105" s="10">
        <f t="shared" si="19"/>
        <v>140</v>
      </c>
      <c r="N105" s="10">
        <f t="shared" si="7"/>
        <v>440</v>
      </c>
      <c r="O105" s="10">
        <f t="shared" si="20"/>
        <v>440</v>
      </c>
      <c r="P105" s="10">
        <f t="shared" si="21"/>
        <v>440</v>
      </c>
    </row>
    <row r="106" spans="4:16" ht="20.100000000000001" customHeight="1" x14ac:dyDescent="0.25">
      <c r="D106" s="10" t="s">
        <v>346</v>
      </c>
      <c r="E106" s="10" t="str">
        <f>E35</f>
        <v>South West</v>
      </c>
      <c r="F106" s="10" t="str">
        <f t="shared" ref="F106:K106" si="22">F35</f>
        <v>Spring</v>
      </c>
      <c r="G106" s="10">
        <f t="shared" si="22"/>
        <v>340</v>
      </c>
      <c r="H106" s="10">
        <f t="shared" si="22"/>
        <v>800</v>
      </c>
      <c r="I106" s="10">
        <f t="shared" si="22"/>
        <v>260</v>
      </c>
      <c r="J106" s="10">
        <f t="shared" si="22"/>
        <v>420</v>
      </c>
      <c r="K106" s="10">
        <f t="shared" si="22"/>
        <v>550</v>
      </c>
      <c r="L106" s="10">
        <f>K35</f>
        <v>550</v>
      </c>
      <c r="M106" s="10">
        <f>L35</f>
        <v>300</v>
      </c>
      <c r="N106" s="10">
        <f>M35</f>
        <v>480</v>
      </c>
      <c r="O106" s="10">
        <f>M35</f>
        <v>480</v>
      </c>
      <c r="P106" s="10">
        <f>M35</f>
        <v>480</v>
      </c>
    </row>
    <row r="107" spans="4:16" ht="20.100000000000001" customHeight="1" x14ac:dyDescent="0.25">
      <c r="D107" s="10" t="s">
        <v>346</v>
      </c>
      <c r="E107" s="10" t="str">
        <f t="shared" ref="E107:K117" si="23">E36</f>
        <v>South West</v>
      </c>
      <c r="F107" s="10" t="str">
        <f t="shared" si="23"/>
        <v>Summer</v>
      </c>
      <c r="G107" s="10">
        <f t="shared" si="23"/>
        <v>380</v>
      </c>
      <c r="H107" s="10">
        <f t="shared" si="23"/>
        <v>780</v>
      </c>
      <c r="I107" s="10">
        <f t="shared" si="23"/>
        <v>300</v>
      </c>
      <c r="J107" s="10">
        <f t="shared" si="23"/>
        <v>450</v>
      </c>
      <c r="K107" s="10">
        <f t="shared" si="23"/>
        <v>530</v>
      </c>
      <c r="L107" s="10">
        <f t="shared" ref="L107:N117" si="24">K36</f>
        <v>530</v>
      </c>
      <c r="M107" s="10">
        <f t="shared" si="24"/>
        <v>340</v>
      </c>
      <c r="N107" s="10">
        <f t="shared" si="24"/>
        <v>470</v>
      </c>
      <c r="O107" s="10">
        <f t="shared" ref="O107:O117" si="25">M36</f>
        <v>470</v>
      </c>
      <c r="P107" s="10">
        <f t="shared" ref="P107:P117" si="26">M36</f>
        <v>470</v>
      </c>
    </row>
    <row r="108" spans="4:16" ht="20.100000000000001" customHeight="1" x14ac:dyDescent="0.25">
      <c r="D108" s="10" t="s">
        <v>346</v>
      </c>
      <c r="E108" s="10" t="str">
        <f t="shared" si="23"/>
        <v>South West</v>
      </c>
      <c r="F108" s="10" t="str">
        <f t="shared" si="23"/>
        <v>Autumn</v>
      </c>
      <c r="G108" s="10">
        <f t="shared" si="23"/>
        <v>100</v>
      </c>
      <c r="H108" s="10">
        <f t="shared" si="23"/>
        <v>680</v>
      </c>
      <c r="I108" s="10">
        <f t="shared" si="23"/>
        <v>80</v>
      </c>
      <c r="J108" s="10">
        <f t="shared" si="23"/>
        <v>320</v>
      </c>
      <c r="K108" s="10">
        <f t="shared" si="23"/>
        <v>480</v>
      </c>
      <c r="L108" s="10">
        <f t="shared" si="24"/>
        <v>480</v>
      </c>
      <c r="M108" s="10">
        <f t="shared" si="24"/>
        <v>100</v>
      </c>
      <c r="N108" s="10">
        <f t="shared" si="24"/>
        <v>340</v>
      </c>
      <c r="O108" s="10">
        <f t="shared" si="25"/>
        <v>340</v>
      </c>
      <c r="P108" s="10">
        <f t="shared" si="26"/>
        <v>340</v>
      </c>
    </row>
    <row r="109" spans="4:16" ht="20.100000000000001" customHeight="1" x14ac:dyDescent="0.25">
      <c r="D109" s="10" t="s">
        <v>346</v>
      </c>
      <c r="E109" s="10" t="str">
        <f t="shared" si="23"/>
        <v>South West</v>
      </c>
      <c r="F109" s="10" t="str">
        <f t="shared" si="23"/>
        <v>Winter</v>
      </c>
      <c r="G109" s="10">
        <f t="shared" si="23"/>
        <v>190</v>
      </c>
      <c r="H109" s="10">
        <f t="shared" si="23"/>
        <v>700</v>
      </c>
      <c r="I109" s="10">
        <f t="shared" si="23"/>
        <v>150</v>
      </c>
      <c r="J109" s="10">
        <f t="shared" si="23"/>
        <v>330</v>
      </c>
      <c r="K109" s="10">
        <f t="shared" si="23"/>
        <v>490</v>
      </c>
      <c r="L109" s="10">
        <f t="shared" si="24"/>
        <v>490</v>
      </c>
      <c r="M109" s="10">
        <f t="shared" si="24"/>
        <v>170</v>
      </c>
      <c r="N109" s="10">
        <f t="shared" si="24"/>
        <v>360</v>
      </c>
      <c r="O109" s="10">
        <f t="shared" si="25"/>
        <v>360</v>
      </c>
      <c r="P109" s="10">
        <f t="shared" si="26"/>
        <v>360</v>
      </c>
    </row>
    <row r="110" spans="4:16" ht="20.100000000000001" customHeight="1" x14ac:dyDescent="0.25">
      <c r="D110" s="10" t="s">
        <v>346</v>
      </c>
      <c r="E110" s="10" t="str">
        <f t="shared" si="23"/>
        <v>Pilbara</v>
      </c>
      <c r="F110" s="10" t="str">
        <f t="shared" si="23"/>
        <v>Spring</v>
      </c>
      <c r="G110" s="10">
        <f t="shared" si="23"/>
        <v>80</v>
      </c>
      <c r="H110" s="10">
        <f t="shared" si="23"/>
        <v>450</v>
      </c>
      <c r="I110" s="10">
        <f t="shared" si="23"/>
        <v>70</v>
      </c>
      <c r="J110" s="10">
        <f t="shared" si="23"/>
        <v>260</v>
      </c>
      <c r="K110" s="10">
        <f t="shared" si="23"/>
        <v>340</v>
      </c>
      <c r="L110" s="10">
        <f t="shared" si="24"/>
        <v>340</v>
      </c>
      <c r="M110" s="10">
        <f t="shared" si="24"/>
        <v>80</v>
      </c>
      <c r="N110" s="10">
        <f t="shared" si="24"/>
        <v>370</v>
      </c>
      <c r="O110" s="10">
        <f t="shared" si="25"/>
        <v>370</v>
      </c>
      <c r="P110" s="10">
        <f t="shared" si="26"/>
        <v>370</v>
      </c>
    </row>
    <row r="111" spans="4:16" ht="20.100000000000001" customHeight="1" x14ac:dyDescent="0.25">
      <c r="D111" s="10" t="s">
        <v>346</v>
      </c>
      <c r="E111" s="10" t="str">
        <f t="shared" si="23"/>
        <v>Pilbara</v>
      </c>
      <c r="F111" s="10" t="str">
        <f t="shared" si="23"/>
        <v>Summer</v>
      </c>
      <c r="G111" s="10">
        <f t="shared" si="23"/>
        <v>150</v>
      </c>
      <c r="H111" s="10">
        <f t="shared" si="23"/>
        <v>500</v>
      </c>
      <c r="I111" s="10">
        <f t="shared" si="23"/>
        <v>140</v>
      </c>
      <c r="J111" s="10">
        <f t="shared" si="23"/>
        <v>310</v>
      </c>
      <c r="K111" s="10">
        <f t="shared" si="23"/>
        <v>360</v>
      </c>
      <c r="L111" s="10">
        <f t="shared" si="24"/>
        <v>360</v>
      </c>
      <c r="M111" s="10">
        <f t="shared" si="24"/>
        <v>150</v>
      </c>
      <c r="N111" s="10">
        <f t="shared" si="24"/>
        <v>400</v>
      </c>
      <c r="O111" s="10">
        <f t="shared" si="25"/>
        <v>400</v>
      </c>
      <c r="P111" s="10">
        <f t="shared" si="26"/>
        <v>400</v>
      </c>
    </row>
    <row r="112" spans="4:16" ht="20.100000000000001" customHeight="1" x14ac:dyDescent="0.25">
      <c r="D112" s="10" t="s">
        <v>346</v>
      </c>
      <c r="E112" s="10" t="str">
        <f t="shared" si="23"/>
        <v>Pilbara</v>
      </c>
      <c r="F112" s="10" t="str">
        <f t="shared" si="23"/>
        <v>Autumn</v>
      </c>
      <c r="G112" s="10">
        <f t="shared" si="23"/>
        <v>230</v>
      </c>
      <c r="H112" s="10">
        <f t="shared" si="23"/>
        <v>550</v>
      </c>
      <c r="I112" s="10">
        <f t="shared" si="23"/>
        <v>220</v>
      </c>
      <c r="J112" s="10">
        <f t="shared" si="23"/>
        <v>330</v>
      </c>
      <c r="K112" s="10">
        <f t="shared" si="23"/>
        <v>380</v>
      </c>
      <c r="L112" s="10">
        <f t="shared" si="24"/>
        <v>380</v>
      </c>
      <c r="M112" s="10">
        <f t="shared" si="24"/>
        <v>230</v>
      </c>
      <c r="N112" s="10">
        <f t="shared" si="24"/>
        <v>420</v>
      </c>
      <c r="O112" s="10">
        <f t="shared" si="25"/>
        <v>420</v>
      </c>
      <c r="P112" s="10">
        <f t="shared" si="26"/>
        <v>420</v>
      </c>
    </row>
    <row r="113" spans="4:22" ht="20.100000000000001" customHeight="1" x14ac:dyDescent="0.25">
      <c r="D113" s="10" t="s">
        <v>346</v>
      </c>
      <c r="E113" s="10" t="str">
        <f t="shared" si="23"/>
        <v>Pilbara</v>
      </c>
      <c r="F113" s="10" t="str">
        <f t="shared" si="23"/>
        <v>Winter</v>
      </c>
      <c r="G113" s="10">
        <f t="shared" si="23"/>
        <v>250</v>
      </c>
      <c r="H113" s="10">
        <f t="shared" si="23"/>
        <v>500</v>
      </c>
      <c r="I113" s="10">
        <f t="shared" si="23"/>
        <v>240</v>
      </c>
      <c r="J113" s="10">
        <f t="shared" si="23"/>
        <v>340</v>
      </c>
      <c r="K113" s="10">
        <f t="shared" si="23"/>
        <v>360</v>
      </c>
      <c r="L113" s="10">
        <f t="shared" si="24"/>
        <v>360</v>
      </c>
      <c r="M113" s="10">
        <f t="shared" si="24"/>
        <v>250</v>
      </c>
      <c r="N113" s="10">
        <f t="shared" si="24"/>
        <v>390</v>
      </c>
      <c r="O113" s="10">
        <f t="shared" si="25"/>
        <v>390</v>
      </c>
      <c r="P113" s="10">
        <f t="shared" si="26"/>
        <v>390</v>
      </c>
    </row>
    <row r="114" spans="4:22" ht="20.100000000000001" customHeight="1" x14ac:dyDescent="0.25">
      <c r="D114" s="10" t="s">
        <v>346</v>
      </c>
      <c r="E114" s="10" t="str">
        <f t="shared" si="23"/>
        <v>Kimberley</v>
      </c>
      <c r="F114" s="10" t="str">
        <f t="shared" si="23"/>
        <v>Spring</v>
      </c>
      <c r="G114" s="10">
        <f t="shared" si="23"/>
        <v>220</v>
      </c>
      <c r="H114" s="10">
        <f t="shared" si="23"/>
        <v>500</v>
      </c>
      <c r="I114" s="10">
        <f t="shared" si="23"/>
        <v>180</v>
      </c>
      <c r="J114" s="10">
        <f t="shared" si="23"/>
        <v>300</v>
      </c>
      <c r="K114" s="10">
        <f t="shared" si="23"/>
        <v>320</v>
      </c>
      <c r="L114" s="10">
        <f t="shared" si="24"/>
        <v>320</v>
      </c>
      <c r="M114" s="10">
        <f t="shared" si="24"/>
        <v>210</v>
      </c>
      <c r="N114" s="10">
        <f t="shared" si="24"/>
        <v>340</v>
      </c>
      <c r="O114" s="10">
        <f t="shared" si="25"/>
        <v>340</v>
      </c>
      <c r="P114" s="10">
        <f t="shared" si="26"/>
        <v>340</v>
      </c>
    </row>
    <row r="115" spans="4:22" ht="20.100000000000001" customHeight="1" x14ac:dyDescent="0.25">
      <c r="D115" s="10" t="s">
        <v>346</v>
      </c>
      <c r="E115" s="10" t="str">
        <f t="shared" si="23"/>
        <v>Kimberley</v>
      </c>
      <c r="F115" s="10" t="str">
        <f t="shared" si="23"/>
        <v>Summer</v>
      </c>
      <c r="G115" s="10">
        <f t="shared" si="23"/>
        <v>110</v>
      </c>
      <c r="H115" s="10">
        <f t="shared" si="23"/>
        <v>550</v>
      </c>
      <c r="I115" s="10">
        <f t="shared" si="23"/>
        <v>90</v>
      </c>
      <c r="J115" s="10">
        <f t="shared" si="23"/>
        <v>220</v>
      </c>
      <c r="K115" s="10">
        <f t="shared" si="23"/>
        <v>380</v>
      </c>
      <c r="L115" s="10">
        <f t="shared" si="24"/>
        <v>380</v>
      </c>
      <c r="M115" s="10">
        <f t="shared" si="24"/>
        <v>100</v>
      </c>
      <c r="N115" s="10">
        <f t="shared" si="24"/>
        <v>390</v>
      </c>
      <c r="O115" s="10">
        <f t="shared" si="25"/>
        <v>390</v>
      </c>
      <c r="P115" s="10">
        <f t="shared" si="26"/>
        <v>390</v>
      </c>
      <c r="V115" s="8"/>
    </row>
    <row r="116" spans="4:22" ht="20.100000000000001" customHeight="1" x14ac:dyDescent="0.25">
      <c r="D116" s="10" t="s">
        <v>346</v>
      </c>
      <c r="E116" s="10" t="str">
        <f t="shared" si="23"/>
        <v>Kimberley</v>
      </c>
      <c r="F116" s="10" t="str">
        <f t="shared" si="23"/>
        <v>Autumn</v>
      </c>
      <c r="G116" s="10">
        <f t="shared" si="23"/>
        <v>170</v>
      </c>
      <c r="H116" s="10">
        <f t="shared" si="23"/>
        <v>600</v>
      </c>
      <c r="I116" s="10">
        <f t="shared" si="23"/>
        <v>140</v>
      </c>
      <c r="J116" s="10">
        <f t="shared" si="23"/>
        <v>270</v>
      </c>
      <c r="K116" s="10">
        <f t="shared" si="23"/>
        <v>390</v>
      </c>
      <c r="L116" s="10">
        <f t="shared" si="24"/>
        <v>390</v>
      </c>
      <c r="M116" s="10">
        <f t="shared" si="24"/>
        <v>160</v>
      </c>
      <c r="N116" s="10">
        <f t="shared" si="24"/>
        <v>430</v>
      </c>
      <c r="O116" s="10">
        <f t="shared" si="25"/>
        <v>430</v>
      </c>
      <c r="P116" s="10">
        <f t="shared" si="26"/>
        <v>430</v>
      </c>
      <c r="V116" s="8"/>
    </row>
    <row r="117" spans="4:22" ht="20.100000000000001" customHeight="1" x14ac:dyDescent="0.25">
      <c r="D117" s="10" t="s">
        <v>346</v>
      </c>
      <c r="E117" s="10" t="str">
        <f t="shared" si="23"/>
        <v>Kimberley</v>
      </c>
      <c r="F117" s="10" t="str">
        <f t="shared" si="23"/>
        <v>Winter</v>
      </c>
      <c r="G117" s="10">
        <f t="shared" si="23"/>
        <v>200</v>
      </c>
      <c r="H117" s="10">
        <f t="shared" si="23"/>
        <v>550</v>
      </c>
      <c r="I117" s="10">
        <f t="shared" si="23"/>
        <v>150</v>
      </c>
      <c r="J117" s="10">
        <f t="shared" si="23"/>
        <v>280</v>
      </c>
      <c r="K117" s="10">
        <f t="shared" si="23"/>
        <v>350</v>
      </c>
      <c r="L117" s="10">
        <f t="shared" si="24"/>
        <v>350</v>
      </c>
      <c r="M117" s="10">
        <f t="shared" si="24"/>
        <v>190</v>
      </c>
      <c r="N117" s="10">
        <f t="shared" si="24"/>
        <v>400</v>
      </c>
      <c r="O117" s="10">
        <f t="shared" si="25"/>
        <v>400</v>
      </c>
      <c r="P117" s="10">
        <f t="shared" si="26"/>
        <v>400</v>
      </c>
      <c r="V117" s="8"/>
    </row>
    <row r="118" spans="4:22" ht="20.100000000000001" customHeight="1" x14ac:dyDescent="0.25">
      <c r="D118" s="10" t="s">
        <v>441</v>
      </c>
      <c r="E118" s="10" t="str">
        <f>E54</f>
        <v>Alice Springs</v>
      </c>
      <c r="F118" s="10" t="str">
        <f t="shared" ref="F118:P118" si="27">F54</f>
        <v>Spring</v>
      </c>
      <c r="G118" s="10">
        <f t="shared" si="27"/>
        <v>220</v>
      </c>
      <c r="H118" s="10">
        <f t="shared" si="27"/>
        <v>706</v>
      </c>
      <c r="I118" s="10">
        <f t="shared" si="27"/>
        <v>208</v>
      </c>
      <c r="J118" s="10">
        <f t="shared" si="27"/>
        <v>323</v>
      </c>
      <c r="K118" s="10">
        <f t="shared" si="27"/>
        <v>415</v>
      </c>
      <c r="L118" s="10">
        <f t="shared" si="27"/>
        <v>467</v>
      </c>
      <c r="M118" s="10">
        <f t="shared" si="27"/>
        <v>223</v>
      </c>
      <c r="N118" s="10">
        <f t="shared" si="27"/>
        <v>371</v>
      </c>
      <c r="O118" s="10">
        <f t="shared" si="27"/>
        <v>493</v>
      </c>
      <c r="P118" s="10">
        <f t="shared" si="27"/>
        <v>585</v>
      </c>
    </row>
    <row r="119" spans="4:22" ht="20.100000000000001" customHeight="1" x14ac:dyDescent="0.25">
      <c r="D119" s="10" t="s">
        <v>441</v>
      </c>
      <c r="E119" s="10" t="str">
        <f t="shared" ref="E119:P134" si="28">E55</f>
        <v>Alice Springs</v>
      </c>
      <c r="F119" s="10" t="str">
        <f t="shared" si="28"/>
        <v>Summer</v>
      </c>
      <c r="G119" s="10">
        <f t="shared" si="28"/>
        <v>110</v>
      </c>
      <c r="H119" s="10">
        <f t="shared" si="28"/>
        <v>703</v>
      </c>
      <c r="I119" s="10">
        <f t="shared" si="28"/>
        <v>112</v>
      </c>
      <c r="J119" s="10">
        <f t="shared" si="28"/>
        <v>256</v>
      </c>
      <c r="K119" s="10">
        <f t="shared" si="28"/>
        <v>368</v>
      </c>
      <c r="L119" s="10">
        <f t="shared" si="28"/>
        <v>465</v>
      </c>
      <c r="M119" s="10">
        <f t="shared" si="28"/>
        <v>108</v>
      </c>
      <c r="N119" s="10">
        <f t="shared" si="28"/>
        <v>280</v>
      </c>
      <c r="O119" s="10">
        <f t="shared" si="28"/>
        <v>421</v>
      </c>
      <c r="P119" s="10">
        <f t="shared" si="28"/>
        <v>543</v>
      </c>
    </row>
    <row r="120" spans="4:22" ht="20.100000000000001" customHeight="1" x14ac:dyDescent="0.25">
      <c r="D120" s="10" t="s">
        <v>441</v>
      </c>
      <c r="E120" s="10" t="str">
        <f t="shared" si="28"/>
        <v>Alice Springs</v>
      </c>
      <c r="F120" s="10" t="str">
        <f t="shared" si="28"/>
        <v>Autumn</v>
      </c>
      <c r="G120" s="10">
        <f t="shared" si="28"/>
        <v>170</v>
      </c>
      <c r="H120" s="10">
        <f t="shared" si="28"/>
        <v>721</v>
      </c>
      <c r="I120" s="10">
        <f t="shared" si="28"/>
        <v>169</v>
      </c>
      <c r="J120" s="10">
        <f t="shared" si="28"/>
        <v>306</v>
      </c>
      <c r="K120" s="10">
        <f t="shared" si="28"/>
        <v>392</v>
      </c>
      <c r="L120" s="10">
        <f t="shared" si="28"/>
        <v>464</v>
      </c>
      <c r="M120" s="10">
        <f t="shared" si="28"/>
        <v>176</v>
      </c>
      <c r="N120" s="10">
        <f t="shared" si="28"/>
        <v>339</v>
      </c>
      <c r="O120" s="10">
        <f t="shared" si="28"/>
        <v>470</v>
      </c>
      <c r="P120" s="10">
        <f t="shared" si="28"/>
        <v>580</v>
      </c>
    </row>
    <row r="121" spans="4:22" ht="20.100000000000001" customHeight="1" x14ac:dyDescent="0.25">
      <c r="D121" s="10" t="s">
        <v>441</v>
      </c>
      <c r="E121" s="10" t="str">
        <f t="shared" si="28"/>
        <v>Alice Springs</v>
      </c>
      <c r="F121" s="10" t="str">
        <f t="shared" si="28"/>
        <v>Winter</v>
      </c>
      <c r="G121" s="10">
        <f t="shared" si="28"/>
        <v>200</v>
      </c>
      <c r="H121" s="10">
        <f t="shared" si="28"/>
        <v>727</v>
      </c>
      <c r="I121" s="10">
        <f t="shared" si="28"/>
        <v>211</v>
      </c>
      <c r="J121" s="10">
        <f t="shared" si="28"/>
        <v>338</v>
      </c>
      <c r="K121" s="10">
        <f t="shared" si="28"/>
        <v>432</v>
      </c>
      <c r="L121" s="10">
        <f t="shared" si="28"/>
        <v>492</v>
      </c>
      <c r="M121" s="10">
        <f t="shared" si="28"/>
        <v>222</v>
      </c>
      <c r="N121" s="10">
        <f t="shared" si="28"/>
        <v>377</v>
      </c>
      <c r="O121" s="10">
        <f t="shared" si="28"/>
        <v>498</v>
      </c>
      <c r="P121" s="10">
        <f t="shared" si="28"/>
        <v>590</v>
      </c>
    </row>
    <row r="122" spans="4:22" ht="20.100000000000001" customHeight="1" x14ac:dyDescent="0.25">
      <c r="D122" s="10" t="s">
        <v>441</v>
      </c>
      <c r="E122" s="10" t="str">
        <f t="shared" si="28"/>
        <v>Barkly</v>
      </c>
      <c r="F122" s="10" t="str">
        <f t="shared" si="28"/>
        <v>Spring</v>
      </c>
      <c r="G122" s="10">
        <f t="shared" si="28"/>
        <v>220</v>
      </c>
      <c r="H122" s="10">
        <f t="shared" si="28"/>
        <v>620</v>
      </c>
      <c r="I122" s="10">
        <f t="shared" si="28"/>
        <v>227</v>
      </c>
      <c r="J122" s="10">
        <f t="shared" si="28"/>
        <v>319</v>
      </c>
      <c r="K122" s="10">
        <f t="shared" si="28"/>
        <v>398</v>
      </c>
      <c r="L122" s="10">
        <f t="shared" si="28"/>
        <v>452</v>
      </c>
      <c r="M122" s="10">
        <f t="shared" si="28"/>
        <v>216</v>
      </c>
      <c r="N122" s="10">
        <f t="shared" si="28"/>
        <v>334</v>
      </c>
      <c r="O122" s="10" t="str">
        <f t="shared" si="28"/>
        <v>NO</v>
      </c>
      <c r="P122" s="10" t="str">
        <f t="shared" si="28"/>
        <v>NO</v>
      </c>
    </row>
    <row r="123" spans="4:22" ht="20.100000000000001" customHeight="1" x14ac:dyDescent="0.25">
      <c r="D123" s="10" t="s">
        <v>441</v>
      </c>
      <c r="E123" s="10" t="str">
        <f t="shared" si="28"/>
        <v>Barkly</v>
      </c>
      <c r="F123" s="10" t="str">
        <f t="shared" si="28"/>
        <v>Summer</v>
      </c>
      <c r="G123" s="10">
        <f t="shared" si="28"/>
        <v>110</v>
      </c>
      <c r="H123" s="10">
        <f t="shared" si="28"/>
        <v>650</v>
      </c>
      <c r="I123" s="10">
        <f t="shared" si="28"/>
        <v>108</v>
      </c>
      <c r="J123" s="10">
        <f t="shared" si="28"/>
        <v>262</v>
      </c>
      <c r="K123" s="10">
        <f t="shared" si="28"/>
        <v>346</v>
      </c>
      <c r="L123" s="10">
        <f t="shared" si="28"/>
        <v>430</v>
      </c>
      <c r="M123" s="10">
        <f t="shared" si="28"/>
        <v>111</v>
      </c>
      <c r="N123" s="10">
        <f t="shared" si="28"/>
        <v>236</v>
      </c>
      <c r="O123" s="10" t="str">
        <f t="shared" si="28"/>
        <v>NO</v>
      </c>
      <c r="P123" s="10" t="str">
        <f t="shared" si="28"/>
        <v>NO</v>
      </c>
    </row>
    <row r="124" spans="4:22" ht="20.100000000000001" customHeight="1" x14ac:dyDescent="0.25">
      <c r="D124" s="10" t="s">
        <v>441</v>
      </c>
      <c r="E124" s="10" t="str">
        <f t="shared" si="28"/>
        <v>Barkly</v>
      </c>
      <c r="F124" s="10" t="str">
        <f t="shared" si="28"/>
        <v>Autumn</v>
      </c>
      <c r="G124" s="10">
        <f t="shared" si="28"/>
        <v>170</v>
      </c>
      <c r="H124" s="10">
        <f t="shared" si="28"/>
        <v>670</v>
      </c>
      <c r="I124" s="10">
        <f t="shared" si="28"/>
        <v>170</v>
      </c>
      <c r="J124" s="10">
        <f t="shared" si="28"/>
        <v>266</v>
      </c>
      <c r="K124" s="10">
        <f t="shared" si="28"/>
        <v>363</v>
      </c>
      <c r="L124" s="10">
        <f t="shared" si="28"/>
        <v>444</v>
      </c>
      <c r="M124" s="10">
        <f t="shared" si="28"/>
        <v>169</v>
      </c>
      <c r="N124" s="10">
        <f t="shared" si="28"/>
        <v>282</v>
      </c>
      <c r="O124" s="10" t="str">
        <f t="shared" si="28"/>
        <v>NO</v>
      </c>
      <c r="P124" s="10" t="str">
        <f t="shared" si="28"/>
        <v>NO</v>
      </c>
    </row>
    <row r="125" spans="4:22" ht="20.100000000000001" customHeight="1" x14ac:dyDescent="0.25">
      <c r="D125" s="10" t="s">
        <v>441</v>
      </c>
      <c r="E125" s="10" t="str">
        <f t="shared" si="28"/>
        <v>Barkly</v>
      </c>
      <c r="F125" s="10" t="str">
        <f t="shared" si="28"/>
        <v>Winter</v>
      </c>
      <c r="G125" s="10">
        <f t="shared" si="28"/>
        <v>200</v>
      </c>
      <c r="H125" s="10">
        <f t="shared" si="28"/>
        <v>660</v>
      </c>
      <c r="I125" s="10">
        <f t="shared" si="28"/>
        <v>225</v>
      </c>
      <c r="J125" s="10">
        <f t="shared" si="28"/>
        <v>307</v>
      </c>
      <c r="K125" s="10">
        <f t="shared" si="28"/>
        <v>398</v>
      </c>
      <c r="L125" s="10">
        <f t="shared" si="28"/>
        <v>452</v>
      </c>
      <c r="M125" s="10">
        <f t="shared" si="28"/>
        <v>214</v>
      </c>
      <c r="N125" s="10">
        <f t="shared" si="28"/>
        <v>326</v>
      </c>
      <c r="O125" s="10" t="str">
        <f t="shared" si="28"/>
        <v>NO</v>
      </c>
      <c r="P125" s="10" t="str">
        <f t="shared" si="28"/>
        <v>NO</v>
      </c>
      <c r="V125" s="8"/>
    </row>
    <row r="126" spans="4:22" ht="20.100000000000001" customHeight="1" x14ac:dyDescent="0.25">
      <c r="D126" s="10" t="s">
        <v>441</v>
      </c>
      <c r="E126" s="10" t="str">
        <f t="shared" si="28"/>
        <v>Northern</v>
      </c>
      <c r="F126" s="10" t="str">
        <f t="shared" si="28"/>
        <v>Spring</v>
      </c>
      <c r="G126" s="10">
        <f t="shared" si="28"/>
        <v>220</v>
      </c>
      <c r="H126" s="10">
        <f t="shared" si="28"/>
        <v>620</v>
      </c>
      <c r="I126" s="10">
        <f t="shared" si="28"/>
        <v>177</v>
      </c>
      <c r="J126" s="10">
        <f t="shared" si="28"/>
        <v>267</v>
      </c>
      <c r="K126" s="10">
        <f t="shared" si="28"/>
        <v>365</v>
      </c>
      <c r="L126" s="10">
        <f t="shared" si="28"/>
        <v>406</v>
      </c>
      <c r="M126" s="10">
        <f t="shared" si="28"/>
        <v>231</v>
      </c>
      <c r="N126" s="10">
        <f t="shared" si="28"/>
        <v>249</v>
      </c>
      <c r="O126" s="10">
        <f t="shared" si="28"/>
        <v>324</v>
      </c>
      <c r="P126" s="10" t="str">
        <f t="shared" si="28"/>
        <v>NO</v>
      </c>
      <c r="V126" s="8"/>
    </row>
    <row r="127" spans="4:22" ht="20.100000000000001" customHeight="1" x14ac:dyDescent="0.25">
      <c r="D127" s="10" t="s">
        <v>441</v>
      </c>
      <c r="E127" s="10" t="str">
        <f t="shared" si="28"/>
        <v>Northern</v>
      </c>
      <c r="F127" s="10" t="str">
        <f t="shared" si="28"/>
        <v>Summer</v>
      </c>
      <c r="G127" s="10">
        <f t="shared" si="28"/>
        <v>110</v>
      </c>
      <c r="H127" s="10">
        <f t="shared" si="28"/>
        <v>650</v>
      </c>
      <c r="I127" s="10">
        <f t="shared" si="28"/>
        <v>102</v>
      </c>
      <c r="J127" s="10">
        <f t="shared" si="28"/>
        <v>203</v>
      </c>
      <c r="K127" s="10">
        <f t="shared" si="28"/>
        <v>299</v>
      </c>
      <c r="L127" s="10">
        <f t="shared" si="28"/>
        <v>380</v>
      </c>
      <c r="M127" s="10">
        <f t="shared" si="28"/>
        <v>102</v>
      </c>
      <c r="N127" s="10">
        <f t="shared" si="28"/>
        <v>218</v>
      </c>
      <c r="O127" s="10">
        <f t="shared" si="28"/>
        <v>263</v>
      </c>
      <c r="P127" s="10" t="str">
        <f t="shared" si="28"/>
        <v>NO</v>
      </c>
      <c r="V127" s="8"/>
    </row>
    <row r="128" spans="4:22" ht="20.100000000000001" customHeight="1" x14ac:dyDescent="0.25">
      <c r="D128" s="10" t="s">
        <v>441</v>
      </c>
      <c r="E128" s="10" t="str">
        <f t="shared" si="28"/>
        <v>Northern</v>
      </c>
      <c r="F128" s="10" t="str">
        <f t="shared" si="28"/>
        <v>Autumn</v>
      </c>
      <c r="G128" s="10">
        <f t="shared" si="28"/>
        <v>170</v>
      </c>
      <c r="H128" s="10">
        <f t="shared" si="28"/>
        <v>670</v>
      </c>
      <c r="I128" s="10">
        <f t="shared" si="28"/>
        <v>173</v>
      </c>
      <c r="J128" s="10">
        <f t="shared" si="28"/>
        <v>250</v>
      </c>
      <c r="K128" s="10">
        <f t="shared" si="28"/>
        <v>336</v>
      </c>
      <c r="L128" s="10">
        <f t="shared" si="28"/>
        <v>414</v>
      </c>
      <c r="M128" s="10">
        <f t="shared" si="28"/>
        <v>175</v>
      </c>
      <c r="N128" s="10">
        <f t="shared" si="28"/>
        <v>243</v>
      </c>
      <c r="O128" s="10">
        <f t="shared" si="28"/>
        <v>304</v>
      </c>
      <c r="P128" s="10" t="str">
        <f t="shared" si="28"/>
        <v>NO</v>
      </c>
      <c r="V128" s="8"/>
    </row>
    <row r="129" spans="4:22" ht="20.100000000000001" customHeight="1" x14ac:dyDescent="0.25">
      <c r="D129" s="10" t="s">
        <v>441</v>
      </c>
      <c r="E129" s="10" t="str">
        <f t="shared" si="28"/>
        <v>Northern</v>
      </c>
      <c r="F129" s="10" t="str">
        <f t="shared" si="28"/>
        <v>Winter</v>
      </c>
      <c r="G129" s="10">
        <f t="shared" si="28"/>
        <v>200</v>
      </c>
      <c r="H129" s="10">
        <f t="shared" si="28"/>
        <v>660</v>
      </c>
      <c r="I129" s="10">
        <f t="shared" si="28"/>
        <v>202</v>
      </c>
      <c r="J129" s="10">
        <f t="shared" si="28"/>
        <v>272</v>
      </c>
      <c r="K129" s="10">
        <f t="shared" si="28"/>
        <v>365</v>
      </c>
      <c r="L129" s="10">
        <f t="shared" si="28"/>
        <v>390</v>
      </c>
      <c r="M129" s="10">
        <f t="shared" si="28"/>
        <v>208</v>
      </c>
      <c r="N129" s="10">
        <f t="shared" si="28"/>
        <v>260</v>
      </c>
      <c r="O129" s="10">
        <f t="shared" si="28"/>
        <v>337</v>
      </c>
      <c r="P129" s="10" t="str">
        <f t="shared" si="28"/>
        <v>NO</v>
      </c>
      <c r="V129" s="8"/>
    </row>
    <row r="130" spans="4:22" ht="20.100000000000001" customHeight="1" x14ac:dyDescent="0.25">
      <c r="D130" s="10" t="s">
        <v>340</v>
      </c>
      <c r="E130" s="10" t="str">
        <f t="shared" si="28"/>
        <v>High</v>
      </c>
      <c r="F130" s="10" t="str">
        <f t="shared" si="28"/>
        <v>Spring</v>
      </c>
      <c r="G130" s="10">
        <f t="shared" si="28"/>
        <v>260</v>
      </c>
      <c r="H130" s="10">
        <f t="shared" si="28"/>
        <v>705</v>
      </c>
      <c r="I130" s="10">
        <f t="shared" si="28"/>
        <v>215</v>
      </c>
      <c r="J130" s="10">
        <f t="shared" si="28"/>
        <v>302</v>
      </c>
      <c r="K130" s="10">
        <f t="shared" si="28"/>
        <v>416</v>
      </c>
      <c r="L130" s="10">
        <f t="shared" si="28"/>
        <v>519</v>
      </c>
      <c r="M130" s="10">
        <f t="shared" si="28"/>
        <v>234</v>
      </c>
      <c r="N130" s="10">
        <f t="shared" si="28"/>
        <v>455</v>
      </c>
      <c r="O130" s="10">
        <f t="shared" si="28"/>
        <v>551</v>
      </c>
      <c r="P130" s="10">
        <f t="shared" si="28"/>
        <v>660</v>
      </c>
      <c r="V130" s="8"/>
    </row>
    <row r="131" spans="4:22" ht="20.100000000000001" customHeight="1" x14ac:dyDescent="0.25">
      <c r="D131" s="10" t="s">
        <v>340</v>
      </c>
      <c r="E131" s="10" t="str">
        <f t="shared" si="28"/>
        <v>High</v>
      </c>
      <c r="F131" s="10" t="str">
        <f t="shared" si="28"/>
        <v>Summer</v>
      </c>
      <c r="G131" s="10">
        <f t="shared" si="28"/>
        <v>153</v>
      </c>
      <c r="H131" s="10">
        <f t="shared" si="28"/>
        <v>703</v>
      </c>
      <c r="I131" s="10">
        <f t="shared" si="28"/>
        <v>118</v>
      </c>
      <c r="J131" s="10">
        <f t="shared" si="28"/>
        <v>277</v>
      </c>
      <c r="K131" s="10">
        <f t="shared" si="28"/>
        <v>397</v>
      </c>
      <c r="L131" s="10">
        <f t="shared" si="28"/>
        <v>483</v>
      </c>
      <c r="M131" s="10">
        <f t="shared" si="28"/>
        <v>111</v>
      </c>
      <c r="N131" s="10">
        <f t="shared" si="28"/>
        <v>304</v>
      </c>
      <c r="O131" s="10">
        <f t="shared" si="28"/>
        <v>521</v>
      </c>
      <c r="P131" s="10">
        <f t="shared" si="28"/>
        <v>547</v>
      </c>
    </row>
    <row r="132" spans="4:22" ht="20.100000000000001" customHeight="1" x14ac:dyDescent="0.25">
      <c r="D132" s="10" t="s">
        <v>340</v>
      </c>
      <c r="E132" s="10" t="str">
        <f t="shared" si="28"/>
        <v>High</v>
      </c>
      <c r="F132" s="10" t="str">
        <f t="shared" si="28"/>
        <v>Autumn</v>
      </c>
      <c r="G132" s="10">
        <f t="shared" si="28"/>
        <v>168</v>
      </c>
      <c r="H132" s="10">
        <f t="shared" si="28"/>
        <v>718</v>
      </c>
      <c r="I132" s="10">
        <f t="shared" si="28"/>
        <v>191</v>
      </c>
      <c r="J132" s="10">
        <f t="shared" si="28"/>
        <v>319</v>
      </c>
      <c r="K132" s="10">
        <f t="shared" si="28"/>
        <v>440</v>
      </c>
      <c r="L132" s="10">
        <f t="shared" si="28"/>
        <v>506</v>
      </c>
      <c r="M132" s="10">
        <f t="shared" si="28"/>
        <v>188</v>
      </c>
      <c r="N132" s="10">
        <f t="shared" si="28"/>
        <v>326</v>
      </c>
      <c r="O132" s="10">
        <f t="shared" si="28"/>
        <v>520</v>
      </c>
      <c r="P132" s="10">
        <f t="shared" si="28"/>
        <v>582</v>
      </c>
    </row>
    <row r="133" spans="4:22" ht="20.100000000000001" customHeight="1" x14ac:dyDescent="0.25">
      <c r="D133" s="10" t="s">
        <v>340</v>
      </c>
      <c r="E133" s="10" t="str">
        <f t="shared" si="28"/>
        <v>High</v>
      </c>
      <c r="F133" s="10" t="str">
        <f t="shared" si="28"/>
        <v>Winter</v>
      </c>
      <c r="G133" s="10">
        <f t="shared" si="28"/>
        <v>235</v>
      </c>
      <c r="H133" s="10">
        <f t="shared" si="28"/>
        <v>722</v>
      </c>
      <c r="I133" s="10">
        <f t="shared" si="28"/>
        <v>207</v>
      </c>
      <c r="J133" s="10">
        <f t="shared" si="28"/>
        <v>352</v>
      </c>
      <c r="K133" s="10">
        <f t="shared" si="28"/>
        <v>470</v>
      </c>
      <c r="L133" s="10">
        <f t="shared" si="28"/>
        <v>514</v>
      </c>
      <c r="M133" s="10">
        <f t="shared" si="28"/>
        <v>209</v>
      </c>
      <c r="N133" s="10">
        <f t="shared" si="28"/>
        <v>421</v>
      </c>
      <c r="O133" s="10">
        <f t="shared" si="28"/>
        <v>512</v>
      </c>
      <c r="P133" s="10">
        <f t="shared" si="28"/>
        <v>605</v>
      </c>
    </row>
    <row r="134" spans="4:22" ht="20.100000000000001" customHeight="1" x14ac:dyDescent="0.25">
      <c r="D134" s="10" t="s">
        <v>340</v>
      </c>
      <c r="E134" s="10" t="str">
        <f t="shared" si="28"/>
        <v>Moderate/High</v>
      </c>
      <c r="F134" s="10" t="str">
        <f t="shared" si="28"/>
        <v>Spring</v>
      </c>
      <c r="G134" s="10">
        <f t="shared" si="28"/>
        <v>230</v>
      </c>
      <c r="H134" s="10">
        <f t="shared" si="28"/>
        <v>674</v>
      </c>
      <c r="I134" s="10">
        <f t="shared" si="28"/>
        <v>217</v>
      </c>
      <c r="J134" s="10">
        <f t="shared" si="28"/>
        <v>344</v>
      </c>
      <c r="K134" s="10">
        <f t="shared" si="28"/>
        <v>357</v>
      </c>
      <c r="L134" s="10">
        <f t="shared" si="28"/>
        <v>467</v>
      </c>
      <c r="M134" s="10">
        <f t="shared" si="28"/>
        <v>242</v>
      </c>
      <c r="N134" s="10">
        <f t="shared" si="28"/>
        <v>370</v>
      </c>
      <c r="O134" s="10">
        <f t="shared" si="28"/>
        <v>550</v>
      </c>
      <c r="P134" s="10">
        <f t="shared" si="28"/>
        <v>620</v>
      </c>
    </row>
    <row r="135" spans="4:22" ht="20.100000000000001" customHeight="1" x14ac:dyDescent="0.25">
      <c r="D135" s="10" t="s">
        <v>340</v>
      </c>
      <c r="E135" s="10" t="str">
        <f t="shared" ref="E135:P145" si="29">E71</f>
        <v>Moderate/High</v>
      </c>
      <c r="F135" s="10" t="str">
        <f t="shared" si="29"/>
        <v>Summer</v>
      </c>
      <c r="G135" s="10">
        <f t="shared" si="29"/>
        <v>113</v>
      </c>
      <c r="H135" s="10">
        <f t="shared" si="29"/>
        <v>669</v>
      </c>
      <c r="I135" s="10">
        <f t="shared" si="29"/>
        <v>113</v>
      </c>
      <c r="J135" s="10">
        <f t="shared" si="29"/>
        <v>283</v>
      </c>
      <c r="K135" s="10">
        <f t="shared" si="29"/>
        <v>361</v>
      </c>
      <c r="L135" s="10">
        <f t="shared" si="29"/>
        <v>477</v>
      </c>
      <c r="M135" s="10">
        <f t="shared" si="29"/>
        <v>120</v>
      </c>
      <c r="N135" s="10">
        <f t="shared" si="29"/>
        <v>273</v>
      </c>
      <c r="O135" s="10">
        <f t="shared" si="29"/>
        <v>545</v>
      </c>
      <c r="P135" s="10">
        <f t="shared" si="29"/>
        <v>553</v>
      </c>
    </row>
    <row r="136" spans="4:22" ht="20.100000000000001" customHeight="1" x14ac:dyDescent="0.25">
      <c r="D136" s="10" t="s">
        <v>340</v>
      </c>
      <c r="E136" s="10" t="str">
        <f t="shared" si="29"/>
        <v>Moderate/High</v>
      </c>
      <c r="F136" s="10" t="str">
        <f t="shared" si="29"/>
        <v>Autumn</v>
      </c>
      <c r="G136" s="10">
        <f t="shared" si="29"/>
        <v>172</v>
      </c>
      <c r="H136" s="10">
        <f t="shared" si="29"/>
        <v>685</v>
      </c>
      <c r="I136" s="10">
        <f t="shared" si="29"/>
        <v>172</v>
      </c>
      <c r="J136" s="10">
        <f t="shared" si="29"/>
        <v>309</v>
      </c>
      <c r="K136" s="10">
        <f t="shared" si="29"/>
        <v>376</v>
      </c>
      <c r="L136" s="10">
        <f t="shared" si="29"/>
        <v>471</v>
      </c>
      <c r="M136" s="10">
        <f t="shared" si="29"/>
        <v>238</v>
      </c>
      <c r="N136" s="10">
        <f t="shared" si="29"/>
        <v>329</v>
      </c>
      <c r="O136" s="10">
        <f t="shared" si="29"/>
        <v>573</v>
      </c>
      <c r="P136" s="10">
        <f t="shared" si="29"/>
        <v>620</v>
      </c>
    </row>
    <row r="137" spans="4:22" ht="20.100000000000001" customHeight="1" x14ac:dyDescent="0.25">
      <c r="D137" s="10" t="s">
        <v>340</v>
      </c>
      <c r="E137" s="10" t="str">
        <f t="shared" si="29"/>
        <v>Moderate/High</v>
      </c>
      <c r="F137" s="10" t="str">
        <f t="shared" si="29"/>
        <v>Winter</v>
      </c>
      <c r="G137" s="10">
        <f t="shared" si="29"/>
        <v>241</v>
      </c>
      <c r="H137" s="10">
        <f t="shared" si="29"/>
        <v>692</v>
      </c>
      <c r="I137" s="10">
        <f t="shared" si="29"/>
        <v>208</v>
      </c>
      <c r="J137" s="10">
        <f t="shared" si="29"/>
        <v>344</v>
      </c>
      <c r="K137" s="10">
        <f t="shared" si="29"/>
        <v>364</v>
      </c>
      <c r="L137" s="10">
        <f t="shared" si="29"/>
        <v>484</v>
      </c>
      <c r="M137" s="10">
        <f t="shared" si="29"/>
        <v>260</v>
      </c>
      <c r="N137" s="10">
        <f t="shared" si="29"/>
        <v>350</v>
      </c>
      <c r="O137" s="10">
        <f t="shared" si="29"/>
        <v>567</v>
      </c>
      <c r="P137" s="10">
        <f t="shared" si="29"/>
        <v>620</v>
      </c>
    </row>
    <row r="138" spans="4:22" ht="20.100000000000001" customHeight="1" x14ac:dyDescent="0.25">
      <c r="D138" s="10" t="s">
        <v>340</v>
      </c>
      <c r="E138" s="10" t="str">
        <f t="shared" si="29"/>
        <v>Moderate/Low</v>
      </c>
      <c r="F138" s="10" t="str">
        <f t="shared" si="29"/>
        <v>Spring</v>
      </c>
      <c r="G138" s="10">
        <f t="shared" si="29"/>
        <v>236</v>
      </c>
      <c r="H138" s="10">
        <f t="shared" si="29"/>
        <v>674</v>
      </c>
      <c r="I138" s="10">
        <f t="shared" si="29"/>
        <v>178</v>
      </c>
      <c r="J138" s="10">
        <f t="shared" si="29"/>
        <v>310</v>
      </c>
      <c r="K138" s="10">
        <f t="shared" si="29"/>
        <v>428</v>
      </c>
      <c r="L138" s="10">
        <f t="shared" si="29"/>
        <v>466</v>
      </c>
      <c r="M138" s="10">
        <f t="shared" si="29"/>
        <v>193</v>
      </c>
      <c r="N138" s="10">
        <f t="shared" si="29"/>
        <v>370</v>
      </c>
      <c r="O138" s="10">
        <f t="shared" si="29"/>
        <v>519</v>
      </c>
      <c r="P138" s="10">
        <f t="shared" si="29"/>
        <v>565</v>
      </c>
    </row>
    <row r="139" spans="4:22" ht="20.100000000000001" customHeight="1" x14ac:dyDescent="0.25">
      <c r="D139" s="10" t="s">
        <v>340</v>
      </c>
      <c r="E139" s="10" t="str">
        <f t="shared" si="29"/>
        <v>Moderate/Low</v>
      </c>
      <c r="F139" s="10" t="str">
        <f t="shared" si="29"/>
        <v>Summer</v>
      </c>
      <c r="G139" s="10">
        <f t="shared" si="29"/>
        <v>120</v>
      </c>
      <c r="H139" s="10">
        <f t="shared" si="29"/>
        <v>669</v>
      </c>
      <c r="I139" s="10">
        <f t="shared" si="29"/>
        <v>112</v>
      </c>
      <c r="J139" s="10">
        <f t="shared" si="29"/>
        <v>250</v>
      </c>
      <c r="K139" s="10">
        <f t="shared" si="29"/>
        <v>390</v>
      </c>
      <c r="L139" s="10">
        <f t="shared" si="29"/>
        <v>448</v>
      </c>
      <c r="M139" s="10">
        <f t="shared" si="29"/>
        <v>115</v>
      </c>
      <c r="N139" s="10">
        <f t="shared" si="29"/>
        <v>273</v>
      </c>
      <c r="O139" s="10">
        <f t="shared" si="29"/>
        <v>433</v>
      </c>
      <c r="P139" s="10">
        <f t="shared" si="29"/>
        <v>556</v>
      </c>
    </row>
    <row r="140" spans="4:22" ht="20.100000000000001" customHeight="1" x14ac:dyDescent="0.25">
      <c r="D140" s="10" t="s">
        <v>340</v>
      </c>
      <c r="E140" s="10" t="str">
        <f t="shared" si="29"/>
        <v>Moderate/Low</v>
      </c>
      <c r="F140" s="10" t="str">
        <f t="shared" si="29"/>
        <v>Autumn</v>
      </c>
      <c r="G140" s="10">
        <f t="shared" si="29"/>
        <v>125</v>
      </c>
      <c r="H140" s="10">
        <f t="shared" si="29"/>
        <v>685</v>
      </c>
      <c r="I140" s="10">
        <f t="shared" si="29"/>
        <v>140</v>
      </c>
      <c r="J140" s="10">
        <f t="shared" si="29"/>
        <v>277</v>
      </c>
      <c r="K140" s="10">
        <f t="shared" si="29"/>
        <v>407</v>
      </c>
      <c r="L140" s="10">
        <f t="shared" si="29"/>
        <v>455</v>
      </c>
      <c r="M140" s="10">
        <f t="shared" si="29"/>
        <v>141</v>
      </c>
      <c r="N140" s="10">
        <f t="shared" si="29"/>
        <v>296</v>
      </c>
      <c r="O140" s="10">
        <f t="shared" si="29"/>
        <v>445</v>
      </c>
      <c r="P140" s="10">
        <f t="shared" si="29"/>
        <v>593</v>
      </c>
    </row>
    <row r="141" spans="4:22" ht="20.100000000000001" customHeight="1" x14ac:dyDescent="0.25">
      <c r="D141" s="10" t="s">
        <v>340</v>
      </c>
      <c r="E141" s="10" t="str">
        <f t="shared" si="29"/>
        <v>Moderate/Low</v>
      </c>
      <c r="F141" s="10" t="str">
        <f t="shared" si="29"/>
        <v>Winter</v>
      </c>
      <c r="G141" s="10">
        <f t="shared" si="29"/>
        <v>180</v>
      </c>
      <c r="H141" s="10">
        <f t="shared" si="29"/>
        <v>692</v>
      </c>
      <c r="I141" s="10">
        <f t="shared" si="29"/>
        <v>183</v>
      </c>
      <c r="J141" s="10">
        <f t="shared" si="29"/>
        <v>316</v>
      </c>
      <c r="K141" s="10">
        <f t="shared" si="29"/>
        <v>438</v>
      </c>
      <c r="L141" s="10">
        <f t="shared" si="29"/>
        <v>468</v>
      </c>
      <c r="M141" s="10">
        <f t="shared" si="29"/>
        <v>189</v>
      </c>
      <c r="N141" s="10">
        <f t="shared" si="29"/>
        <v>354</v>
      </c>
      <c r="O141" s="10">
        <f t="shared" si="29"/>
        <v>500</v>
      </c>
      <c r="P141" s="10">
        <f t="shared" si="29"/>
        <v>553</v>
      </c>
    </row>
    <row r="142" spans="4:22" ht="20.100000000000001" customHeight="1" x14ac:dyDescent="0.25">
      <c r="D142" s="10" t="s">
        <v>340</v>
      </c>
      <c r="E142" s="10" t="str">
        <f t="shared" si="29"/>
        <v>Low</v>
      </c>
      <c r="F142" s="10" t="str">
        <f t="shared" si="29"/>
        <v>Spring</v>
      </c>
      <c r="G142" s="10">
        <f t="shared" si="29"/>
        <v>190</v>
      </c>
      <c r="H142" s="10">
        <f t="shared" si="29"/>
        <v>617</v>
      </c>
      <c r="I142" s="10">
        <f t="shared" si="29"/>
        <v>174</v>
      </c>
      <c r="J142" s="10">
        <f t="shared" si="29"/>
        <v>265</v>
      </c>
      <c r="K142" s="10">
        <f t="shared" si="29"/>
        <v>371</v>
      </c>
      <c r="L142" s="10">
        <f t="shared" si="29"/>
        <v>415</v>
      </c>
      <c r="M142" s="10">
        <f t="shared" si="29"/>
        <v>170</v>
      </c>
      <c r="N142" s="10">
        <f t="shared" si="29"/>
        <v>272</v>
      </c>
      <c r="O142" s="10">
        <f t="shared" si="29"/>
        <v>392</v>
      </c>
      <c r="P142" s="10">
        <f t="shared" si="29"/>
        <v>531</v>
      </c>
    </row>
    <row r="143" spans="4:22" ht="20.100000000000001" customHeight="1" x14ac:dyDescent="0.25">
      <c r="D143" s="10" t="s">
        <v>340</v>
      </c>
      <c r="E143" s="10" t="str">
        <f t="shared" si="29"/>
        <v>Low</v>
      </c>
      <c r="F143" s="10" t="str">
        <f t="shared" si="29"/>
        <v>Summer</v>
      </c>
      <c r="G143" s="10">
        <f t="shared" si="29"/>
        <v>119</v>
      </c>
      <c r="H143" s="10">
        <f t="shared" si="29"/>
        <v>591</v>
      </c>
      <c r="I143" s="10">
        <f t="shared" si="29"/>
        <v>140</v>
      </c>
      <c r="J143" s="10">
        <f t="shared" si="29"/>
        <v>205</v>
      </c>
      <c r="K143" s="10">
        <f t="shared" si="29"/>
        <v>310</v>
      </c>
      <c r="L143" s="10">
        <f t="shared" si="29"/>
        <v>405</v>
      </c>
      <c r="M143" s="10">
        <f t="shared" si="29"/>
        <v>133</v>
      </c>
      <c r="N143" s="10">
        <f t="shared" si="29"/>
        <v>218</v>
      </c>
      <c r="O143" s="10">
        <f t="shared" si="29"/>
        <v>315</v>
      </c>
      <c r="P143" s="10">
        <f t="shared" si="29"/>
        <v>445</v>
      </c>
    </row>
    <row r="144" spans="4:22" ht="20.100000000000001" customHeight="1" x14ac:dyDescent="0.25">
      <c r="D144" s="10" t="s">
        <v>340</v>
      </c>
      <c r="E144" s="10" t="str">
        <f t="shared" si="29"/>
        <v>Low</v>
      </c>
      <c r="F144" s="10" t="str">
        <f t="shared" si="29"/>
        <v>Autumn</v>
      </c>
      <c r="G144" s="10">
        <f t="shared" si="29"/>
        <v>175</v>
      </c>
      <c r="H144" s="10">
        <f t="shared" si="29"/>
        <v>610</v>
      </c>
      <c r="I144" s="10">
        <f t="shared" si="29"/>
        <v>163</v>
      </c>
      <c r="J144" s="10">
        <f t="shared" si="29"/>
        <v>232</v>
      </c>
      <c r="K144" s="10">
        <f t="shared" si="29"/>
        <v>351</v>
      </c>
      <c r="L144" s="10">
        <f t="shared" si="29"/>
        <v>427</v>
      </c>
      <c r="M144" s="10">
        <f t="shared" si="29"/>
        <v>146</v>
      </c>
      <c r="N144" s="10">
        <f t="shared" si="29"/>
        <v>242</v>
      </c>
      <c r="O144" s="10">
        <f t="shared" si="29"/>
        <v>320</v>
      </c>
      <c r="P144" s="10">
        <f t="shared" si="29"/>
        <v>471</v>
      </c>
    </row>
    <row r="145" spans="4:16" ht="20.100000000000001" customHeight="1" x14ac:dyDescent="0.25">
      <c r="D145" s="10" t="s">
        <v>340</v>
      </c>
      <c r="E145" s="10" t="str">
        <f t="shared" si="29"/>
        <v>Low</v>
      </c>
      <c r="F145" s="10" t="str">
        <f t="shared" si="29"/>
        <v>Winter</v>
      </c>
      <c r="G145" s="10">
        <f t="shared" si="29"/>
        <v>192</v>
      </c>
      <c r="H145" s="10">
        <f t="shared" si="29"/>
        <v>615</v>
      </c>
      <c r="I145" s="10">
        <f t="shared" si="29"/>
        <v>162</v>
      </c>
      <c r="J145" s="10">
        <f t="shared" si="29"/>
        <v>255</v>
      </c>
      <c r="K145" s="10">
        <f t="shared" si="29"/>
        <v>364</v>
      </c>
      <c r="L145" s="10">
        <f t="shared" si="29"/>
        <v>420</v>
      </c>
      <c r="M145" s="10">
        <f t="shared" si="29"/>
        <v>157</v>
      </c>
      <c r="N145" s="10">
        <f t="shared" si="29"/>
        <v>261</v>
      </c>
      <c r="O145" s="10">
        <f t="shared" si="29"/>
        <v>342</v>
      </c>
      <c r="P145" s="10">
        <f t="shared" si="29"/>
        <v>484</v>
      </c>
    </row>
    <row r="146" spans="4:16" ht="20.100000000000001" customHeight="1" x14ac:dyDescent="0.25">
      <c r="D146" s="8" t="s">
        <v>338</v>
      </c>
      <c r="E146" s="8" t="s">
        <v>440</v>
      </c>
      <c r="F146" s="8" t="str">
        <f>F142</f>
        <v>Spring</v>
      </c>
      <c r="G146" s="8">
        <f t="shared" ref="G146:P146" si="30">AVERAGE(G86,G90,G94,G98,G102,G106,G110,G114,G118,G122,G126,G130,G134,G138,G142)</f>
        <v>198.73333333333332</v>
      </c>
      <c r="H146" s="8">
        <f t="shared" si="30"/>
        <v>643.06666666666672</v>
      </c>
      <c r="I146" s="8">
        <f t="shared" si="30"/>
        <v>173.4</v>
      </c>
      <c r="J146" s="8">
        <f t="shared" si="30"/>
        <v>321.33333333333331</v>
      </c>
      <c r="K146" s="8">
        <f t="shared" si="30"/>
        <v>426</v>
      </c>
      <c r="L146" s="8">
        <f t="shared" si="30"/>
        <v>455.46666666666664</v>
      </c>
      <c r="M146" s="8">
        <f t="shared" si="30"/>
        <v>187.26666666666668</v>
      </c>
      <c r="N146" s="8">
        <f t="shared" si="30"/>
        <v>385.4</v>
      </c>
      <c r="O146" s="8">
        <f t="shared" si="30"/>
        <v>442.07142857142856</v>
      </c>
      <c r="P146" s="8">
        <f t="shared" si="30"/>
        <v>486.23076923076923</v>
      </c>
    </row>
    <row r="147" spans="4:16" ht="20.100000000000001" customHeight="1" x14ac:dyDescent="0.25">
      <c r="D147" s="8" t="s">
        <v>338</v>
      </c>
      <c r="E147" s="8" t="s">
        <v>440</v>
      </c>
      <c r="F147" s="8" t="str">
        <f>F143</f>
        <v>Summer</v>
      </c>
      <c r="G147" s="8">
        <f t="shared" ref="G147:P147" si="31">AVERAGE(G87,G91,G95,G99,G103,G107,G111,G115,G119,G123,G127,G131,G135,G139,G143)</f>
        <v>193</v>
      </c>
      <c r="H147" s="8">
        <f t="shared" si="31"/>
        <v>660.33333333333337</v>
      </c>
      <c r="I147" s="8">
        <f t="shared" si="31"/>
        <v>156.33333333333334</v>
      </c>
      <c r="J147" s="8">
        <f t="shared" si="31"/>
        <v>309.73333333333335</v>
      </c>
      <c r="K147" s="8">
        <f t="shared" si="31"/>
        <v>417.4</v>
      </c>
      <c r="L147" s="8">
        <f t="shared" si="31"/>
        <v>458.53333333333336</v>
      </c>
      <c r="M147" s="8">
        <f t="shared" si="31"/>
        <v>162</v>
      </c>
      <c r="N147" s="8">
        <f t="shared" si="31"/>
        <v>353.46666666666664</v>
      </c>
      <c r="O147" s="8">
        <f t="shared" si="31"/>
        <v>428.42857142857144</v>
      </c>
      <c r="P147" s="8">
        <f t="shared" si="31"/>
        <v>472.61538461538464</v>
      </c>
    </row>
    <row r="148" spans="4:16" ht="20.100000000000001" customHeight="1" x14ac:dyDescent="0.25">
      <c r="D148" s="8" t="s">
        <v>338</v>
      </c>
      <c r="E148" s="8" t="s">
        <v>440</v>
      </c>
      <c r="F148" s="8" t="str">
        <f>F144</f>
        <v>Autumn</v>
      </c>
      <c r="G148" s="8">
        <f t="shared" ref="G148:P148" si="32">AVERAGE(G88,G92,G96,G100,G104,G108,G112,G116,G120,G124,G128,G132,G136,G140,G144)</f>
        <v>170.66666666666666</v>
      </c>
      <c r="H148" s="8">
        <f t="shared" si="32"/>
        <v>654.26666666666665</v>
      </c>
      <c r="I148" s="8">
        <f t="shared" si="32"/>
        <v>161.53333333333333</v>
      </c>
      <c r="J148" s="8">
        <f t="shared" si="32"/>
        <v>307.93333333333334</v>
      </c>
      <c r="K148" s="8">
        <f t="shared" si="32"/>
        <v>419.66666666666669</v>
      </c>
      <c r="L148" s="8">
        <f t="shared" si="32"/>
        <v>454.06666666666666</v>
      </c>
      <c r="M148" s="8">
        <f t="shared" si="32"/>
        <v>169.86666666666667</v>
      </c>
      <c r="N148" s="8">
        <f t="shared" si="32"/>
        <v>363.13333333333333</v>
      </c>
      <c r="O148" s="8">
        <f t="shared" si="32"/>
        <v>430.14285714285717</v>
      </c>
      <c r="P148" s="8">
        <f t="shared" si="32"/>
        <v>479.69230769230768</v>
      </c>
    </row>
    <row r="149" spans="4:16" ht="20.100000000000001" customHeight="1" x14ac:dyDescent="0.25">
      <c r="D149" s="8" t="s">
        <v>338</v>
      </c>
      <c r="E149" s="8" t="s">
        <v>440</v>
      </c>
      <c r="F149" s="8" t="str">
        <f>F145</f>
        <v>Winter</v>
      </c>
      <c r="G149" s="8">
        <f t="shared" ref="G149:P149" si="33">AVERAGE(G89,G93,G97,G101,G105,G109,G113,G117,G121,G125,G129,G133,G137,G141,G145)</f>
        <v>214.53333333333333</v>
      </c>
      <c r="H149" s="8">
        <f t="shared" si="33"/>
        <v>650.5333333333333</v>
      </c>
      <c r="I149" s="8">
        <f t="shared" si="33"/>
        <v>196.53333333333333</v>
      </c>
      <c r="J149" s="8">
        <f t="shared" si="33"/>
        <v>333.6</v>
      </c>
      <c r="K149" s="8">
        <f t="shared" si="33"/>
        <v>427.4</v>
      </c>
      <c r="L149" s="8">
        <f t="shared" si="33"/>
        <v>453.33333333333331</v>
      </c>
      <c r="M149" s="8">
        <f t="shared" si="33"/>
        <v>207.26666666666668</v>
      </c>
      <c r="N149" s="8">
        <f t="shared" si="33"/>
        <v>381.93333333333334</v>
      </c>
      <c r="O149" s="8">
        <f t="shared" si="33"/>
        <v>438.28571428571428</v>
      </c>
      <c r="P149" s="8">
        <f t="shared" si="33"/>
        <v>479.38461538461536</v>
      </c>
    </row>
    <row r="150" spans="4:16" ht="20.100000000000001" customHeight="1" x14ac:dyDescent="0.25">
      <c r="D150" s="9" t="s">
        <v>1541</v>
      </c>
      <c r="E150" s="8" t="str">
        <f>E86</f>
        <v>n/a</v>
      </c>
      <c r="F150" s="8" t="str">
        <f>F86</f>
        <v>Spring</v>
      </c>
      <c r="G150" s="8">
        <f>G86</f>
        <v>80</v>
      </c>
      <c r="H150" s="8">
        <f>H86</f>
        <v>480</v>
      </c>
      <c r="I150" s="8">
        <f>I86</f>
        <v>75</v>
      </c>
      <c r="J150" s="8">
        <f>J86</f>
        <v>300</v>
      </c>
      <c r="K150" s="8">
        <f>K86</f>
        <v>440</v>
      </c>
      <c r="L150" s="8">
        <f>L86</f>
        <v>440</v>
      </c>
      <c r="M150" s="8">
        <f>M86</f>
        <v>75</v>
      </c>
      <c r="N150" s="8">
        <f>N86</f>
        <v>380</v>
      </c>
      <c r="O150" s="8">
        <f>O86</f>
        <v>380</v>
      </c>
      <c r="P150" s="8">
        <f>P86</f>
        <v>380</v>
      </c>
    </row>
    <row r="151" spans="4:16" ht="20.100000000000001" customHeight="1" x14ac:dyDescent="0.25">
      <c r="D151" s="11" t="s">
        <v>1542</v>
      </c>
      <c r="E151" s="8" t="str">
        <f>E87</f>
        <v>n/a</v>
      </c>
      <c r="F151" s="8" t="str">
        <f>F87</f>
        <v>Summer</v>
      </c>
      <c r="G151" s="8">
        <f>G87</f>
        <v>170</v>
      </c>
      <c r="H151" s="8">
        <f>H87</f>
        <v>520</v>
      </c>
      <c r="I151" s="8">
        <f>I87</f>
        <v>160</v>
      </c>
      <c r="J151" s="8">
        <f>J87</f>
        <v>360</v>
      </c>
      <c r="K151" s="8">
        <f>K87</f>
        <v>470</v>
      </c>
      <c r="L151" s="8">
        <f>L87</f>
        <v>470</v>
      </c>
      <c r="M151" s="8">
        <f>M87</f>
        <v>160</v>
      </c>
      <c r="N151" s="8">
        <f>N87</f>
        <v>420</v>
      </c>
      <c r="O151" s="8">
        <f>O87</f>
        <v>420</v>
      </c>
      <c r="P151" s="8">
        <f>P87</f>
        <v>420</v>
      </c>
    </row>
    <row r="152" spans="4:16" ht="20.100000000000001" customHeight="1" x14ac:dyDescent="0.25">
      <c r="D152" s="8" t="s">
        <v>1543</v>
      </c>
      <c r="E152" s="8" t="str">
        <f>E88</f>
        <v>n/a</v>
      </c>
      <c r="F152" s="8" t="str">
        <f>F88</f>
        <v>Autumn</v>
      </c>
      <c r="G152" s="8">
        <f>G88</f>
        <v>240</v>
      </c>
      <c r="H152" s="8">
        <f>H88</f>
        <v>550</v>
      </c>
      <c r="I152" s="8">
        <f>I88</f>
        <v>220</v>
      </c>
      <c r="J152" s="8">
        <f>J88</f>
        <v>390</v>
      </c>
      <c r="K152" s="8">
        <f>K88</f>
        <v>490</v>
      </c>
      <c r="L152" s="8">
        <f>L88</f>
        <v>490</v>
      </c>
      <c r="M152" s="8">
        <f>M88</f>
        <v>220</v>
      </c>
      <c r="N152" s="8">
        <f>N88</f>
        <v>450</v>
      </c>
      <c r="O152" s="8">
        <f>O88</f>
        <v>450</v>
      </c>
      <c r="P152" s="8">
        <f>P88</f>
        <v>450</v>
      </c>
    </row>
    <row r="153" spans="4:16" ht="20.100000000000001" customHeight="1" x14ac:dyDescent="0.25">
      <c r="D153" s="13" t="s">
        <v>354</v>
      </c>
      <c r="E153" s="8" t="str">
        <f>E89</f>
        <v>n/a</v>
      </c>
      <c r="F153" s="8" t="str">
        <f>F89</f>
        <v>Winter</v>
      </c>
      <c r="G153" s="8">
        <f>G89</f>
        <v>280</v>
      </c>
      <c r="H153" s="8">
        <f>H89</f>
        <v>560</v>
      </c>
      <c r="I153" s="8">
        <f>I89</f>
        <v>260</v>
      </c>
      <c r="J153" s="8">
        <f>J89</f>
        <v>410</v>
      </c>
      <c r="K153" s="8">
        <f>K89</f>
        <v>500</v>
      </c>
      <c r="L153" s="8">
        <f>L89</f>
        <v>500</v>
      </c>
      <c r="M153" s="8">
        <f>M89</f>
        <v>260</v>
      </c>
      <c r="N153" s="8">
        <f>N89</f>
        <v>460</v>
      </c>
      <c r="O153" s="8">
        <f>O89</f>
        <v>460</v>
      </c>
      <c r="P153" s="8">
        <f>P89</f>
        <v>460</v>
      </c>
    </row>
    <row r="154" spans="4:16" ht="20.100000000000001" customHeight="1" x14ac:dyDescent="0.25">
      <c r="D154" s="10" t="s">
        <v>280</v>
      </c>
      <c r="E154" s="10" t="s">
        <v>390</v>
      </c>
      <c r="F154" s="10" t="s">
        <v>47</v>
      </c>
      <c r="G154" s="10" t="s">
        <v>479</v>
      </c>
      <c r="H154" s="10" t="s">
        <v>480</v>
      </c>
      <c r="I154" s="10" t="s">
        <v>503</v>
      </c>
      <c r="J154" s="10" t="s">
        <v>473</v>
      </c>
      <c r="K154" s="10" t="s">
        <v>504</v>
      </c>
      <c r="L154" s="10" t="s">
        <v>485</v>
      </c>
      <c r="M154" s="10" t="s">
        <v>505</v>
      </c>
    </row>
    <row r="155" spans="4:16" ht="20.100000000000001" customHeight="1" x14ac:dyDescent="0.25">
      <c r="D155" s="10" t="s">
        <v>1537</v>
      </c>
      <c r="E155" s="10" t="s">
        <v>440</v>
      </c>
      <c r="F155" s="10" t="s">
        <v>508</v>
      </c>
      <c r="G155" s="10">
        <v>0.5</v>
      </c>
      <c r="H155" s="10">
        <v>0.2</v>
      </c>
      <c r="I155" s="10">
        <v>0.5</v>
      </c>
      <c r="J155" s="10">
        <v>0.4</v>
      </c>
      <c r="K155" s="10">
        <v>0.3</v>
      </c>
      <c r="L155" s="10">
        <v>0.5</v>
      </c>
      <c r="M155" s="10">
        <v>0.4</v>
      </c>
    </row>
    <row r="156" spans="4:16" ht="20.100000000000001" customHeight="1" x14ac:dyDescent="0.25">
      <c r="D156" s="8" t="s">
        <v>1537</v>
      </c>
      <c r="E156" s="10" t="s">
        <v>440</v>
      </c>
      <c r="F156" s="10" t="s">
        <v>500</v>
      </c>
      <c r="G156" s="10">
        <v>1</v>
      </c>
      <c r="H156" s="10">
        <v>0.4</v>
      </c>
      <c r="I156" s="10">
        <v>0.9</v>
      </c>
      <c r="J156" s="10">
        <v>0.7</v>
      </c>
      <c r="K156" s="10">
        <v>0.3</v>
      </c>
      <c r="L156" s="10">
        <v>0.9</v>
      </c>
      <c r="M156" s="10">
        <v>0.4</v>
      </c>
    </row>
    <row r="157" spans="4:16" ht="20.100000000000001" customHeight="1" x14ac:dyDescent="0.25">
      <c r="D157" s="8" t="s">
        <v>1537</v>
      </c>
      <c r="E157" s="10" t="s">
        <v>440</v>
      </c>
      <c r="F157" s="10" t="s">
        <v>501</v>
      </c>
      <c r="G157" s="10">
        <v>0.8</v>
      </c>
      <c r="H157" s="10">
        <v>0.3</v>
      </c>
      <c r="I157" s="10">
        <v>0.7</v>
      </c>
      <c r="J157" s="10">
        <v>0.3</v>
      </c>
      <c r="K157" s="10">
        <v>0.2</v>
      </c>
      <c r="L157" s="10">
        <v>0.7</v>
      </c>
      <c r="M157" s="10">
        <v>0.3</v>
      </c>
    </row>
    <row r="158" spans="4:16" ht="20.100000000000001" customHeight="1" x14ac:dyDescent="0.25">
      <c r="D158" s="8" t="s">
        <v>1537</v>
      </c>
      <c r="E158" s="10" t="s">
        <v>440</v>
      </c>
      <c r="F158" s="10" t="s">
        <v>502</v>
      </c>
      <c r="G158" s="10">
        <v>0.4</v>
      </c>
      <c r="H158" s="10">
        <v>0.1</v>
      </c>
      <c r="I158" s="10">
        <v>0.4</v>
      </c>
      <c r="J158" s="10">
        <v>0.2</v>
      </c>
      <c r="K158" s="10">
        <v>0.1</v>
      </c>
      <c r="L158" s="10">
        <v>0.4</v>
      </c>
      <c r="M158" s="10">
        <v>0.1</v>
      </c>
    </row>
    <row r="159" spans="4:16" ht="20.100000000000001" customHeight="1" x14ac:dyDescent="0.25">
      <c r="D159" s="8" t="s">
        <v>1336</v>
      </c>
      <c r="E159" s="10" t="s">
        <v>440</v>
      </c>
      <c r="F159" s="10" t="s">
        <v>508</v>
      </c>
      <c r="G159" s="10">
        <v>0.99</v>
      </c>
      <c r="H159" s="10">
        <v>1.1000000000000001</v>
      </c>
      <c r="I159" s="10">
        <v>0.88</v>
      </c>
      <c r="J159" s="10">
        <v>0.55000000000000004</v>
      </c>
      <c r="K159" s="10">
        <v>0.55000000000000004</v>
      </c>
      <c r="L159" s="10">
        <v>0.88</v>
      </c>
      <c r="M159" s="10">
        <v>0.22</v>
      </c>
    </row>
    <row r="160" spans="4:16" ht="20.100000000000001" customHeight="1" x14ac:dyDescent="0.25">
      <c r="D160" s="8" t="s">
        <v>1336</v>
      </c>
      <c r="E160" s="10" t="s">
        <v>440</v>
      </c>
      <c r="F160" s="10" t="s">
        <v>500</v>
      </c>
      <c r="G160" s="10">
        <v>0.77</v>
      </c>
      <c r="H160" s="10">
        <v>0</v>
      </c>
      <c r="I160" s="10">
        <v>0.66</v>
      </c>
      <c r="J160" s="10">
        <v>0.22</v>
      </c>
      <c r="K160" s="10">
        <v>0</v>
      </c>
      <c r="L160" s="10">
        <v>0.66</v>
      </c>
      <c r="M160" s="10">
        <v>0</v>
      </c>
    </row>
    <row r="161" spans="4:13" ht="20.100000000000001" customHeight="1" x14ac:dyDescent="0.25">
      <c r="D161" s="8" t="s">
        <v>1336</v>
      </c>
      <c r="E161" s="10" t="s">
        <v>440</v>
      </c>
      <c r="F161" s="10" t="s">
        <v>501</v>
      </c>
      <c r="G161" s="10">
        <v>0.9</v>
      </c>
      <c r="H161" s="10">
        <v>-1.1000000000000001</v>
      </c>
      <c r="I161" s="10">
        <v>0.7</v>
      </c>
      <c r="J161" s="10">
        <v>0.22</v>
      </c>
      <c r="K161" s="10">
        <v>-0.55000000000000004</v>
      </c>
      <c r="L161" s="10">
        <v>0.8</v>
      </c>
      <c r="M161" s="10">
        <v>-0.22</v>
      </c>
    </row>
    <row r="162" spans="4:13" ht="20.100000000000001" customHeight="1" x14ac:dyDescent="0.25">
      <c r="D162" s="8" t="s">
        <v>1336</v>
      </c>
      <c r="E162" s="10" t="s">
        <v>440</v>
      </c>
      <c r="F162" s="10" t="s">
        <v>502</v>
      </c>
      <c r="G162" s="10">
        <v>0.88</v>
      </c>
      <c r="H162" s="10">
        <v>0</v>
      </c>
      <c r="I162" s="10">
        <v>0.77</v>
      </c>
      <c r="J162" s="10">
        <v>0.55000000000000004</v>
      </c>
      <c r="K162" s="10">
        <v>0</v>
      </c>
      <c r="L162" s="10">
        <v>0.82</v>
      </c>
      <c r="M162" s="10">
        <v>0</v>
      </c>
    </row>
    <row r="163" spans="4:13" ht="20.100000000000001" customHeight="1" x14ac:dyDescent="0.25">
      <c r="D163" s="8" t="s">
        <v>1338</v>
      </c>
      <c r="E163" s="10" t="s">
        <v>440</v>
      </c>
      <c r="F163" s="10" t="s">
        <v>508</v>
      </c>
      <c r="G163" s="10">
        <v>1</v>
      </c>
      <c r="H163" s="10">
        <v>0.5</v>
      </c>
      <c r="I163" s="10">
        <v>1</v>
      </c>
      <c r="J163" s="10">
        <v>1</v>
      </c>
      <c r="K163" s="10">
        <v>-0.44</v>
      </c>
      <c r="L163" s="10">
        <v>1</v>
      </c>
      <c r="M163" s="10">
        <v>0.5</v>
      </c>
    </row>
    <row r="164" spans="4:13" ht="20.100000000000001" customHeight="1" x14ac:dyDescent="0.25">
      <c r="D164" s="8" t="s">
        <v>1338</v>
      </c>
      <c r="E164" s="10" t="s">
        <v>440</v>
      </c>
      <c r="F164" s="10" t="s">
        <v>500</v>
      </c>
      <c r="G164" s="10">
        <v>0.82</v>
      </c>
      <c r="H164" s="10">
        <v>0.55000000000000004</v>
      </c>
      <c r="I164" s="10">
        <v>0.71</v>
      </c>
      <c r="J164" s="10">
        <v>0.55000000000000004</v>
      </c>
      <c r="K164" s="10">
        <v>0.99</v>
      </c>
      <c r="L164" s="10">
        <v>0.77</v>
      </c>
      <c r="M164" s="10">
        <v>0.5</v>
      </c>
    </row>
    <row r="165" spans="4:13" ht="20.100000000000001" customHeight="1" x14ac:dyDescent="0.25">
      <c r="D165" s="8" t="s">
        <v>1338</v>
      </c>
      <c r="E165" s="10" t="s">
        <v>440</v>
      </c>
      <c r="F165" s="10" t="s">
        <v>501</v>
      </c>
      <c r="G165" s="10">
        <v>0.77</v>
      </c>
      <c r="H165" s="10">
        <v>0.5</v>
      </c>
      <c r="I165" s="10">
        <v>0.55000000000000004</v>
      </c>
      <c r="J165" s="10">
        <v>0.11</v>
      </c>
      <c r="K165" s="10">
        <v>-0.33</v>
      </c>
      <c r="L165" s="10">
        <v>0.6</v>
      </c>
      <c r="M165" s="10">
        <v>0.33</v>
      </c>
    </row>
    <row r="166" spans="4:13" x14ac:dyDescent="0.25">
      <c r="D166" s="8" t="s">
        <v>1338</v>
      </c>
      <c r="E166" s="10" t="s">
        <v>440</v>
      </c>
      <c r="F166" s="10" t="s">
        <v>502</v>
      </c>
      <c r="G166" s="10">
        <v>0.11</v>
      </c>
      <c r="H166" s="10">
        <v>-0.27</v>
      </c>
      <c r="I166" s="10">
        <v>0.11</v>
      </c>
      <c r="J166" s="10">
        <v>0.22</v>
      </c>
      <c r="K166" s="10">
        <v>-0.44</v>
      </c>
      <c r="L166" s="10">
        <v>0.16</v>
      </c>
      <c r="M166" s="10">
        <v>-0.22</v>
      </c>
    </row>
    <row r="167" spans="4:13" x14ac:dyDescent="0.25">
      <c r="D167" s="8" t="s">
        <v>1334</v>
      </c>
      <c r="E167" s="10" t="s">
        <v>440</v>
      </c>
      <c r="F167" s="10" t="s">
        <v>508</v>
      </c>
      <c r="G167" s="10">
        <v>1.1000000000000001</v>
      </c>
      <c r="H167" s="10">
        <v>1.1000000000000001</v>
      </c>
      <c r="I167" s="10">
        <v>1.1000000000000001</v>
      </c>
      <c r="J167" s="10">
        <v>0.99</v>
      </c>
      <c r="K167" s="10">
        <v>0.99</v>
      </c>
      <c r="L167" s="10">
        <v>1.1000000000000001</v>
      </c>
      <c r="M167" s="10">
        <v>0.77</v>
      </c>
    </row>
    <row r="168" spans="4:13" x14ac:dyDescent="0.25">
      <c r="D168" s="8" t="s">
        <v>1334</v>
      </c>
      <c r="E168" s="10" t="s">
        <v>440</v>
      </c>
      <c r="F168" s="10" t="s">
        <v>500</v>
      </c>
      <c r="G168" s="10">
        <v>0.33</v>
      </c>
      <c r="H168" s="10">
        <v>0.33</v>
      </c>
      <c r="I168" s="10">
        <v>0.22</v>
      </c>
      <c r="J168" s="10">
        <v>0.33</v>
      </c>
      <c r="K168" s="10">
        <v>-0.1</v>
      </c>
      <c r="L168" s="10">
        <v>0.33</v>
      </c>
      <c r="M168" s="10">
        <v>0.11</v>
      </c>
    </row>
    <row r="169" spans="4:13" x14ac:dyDescent="0.25">
      <c r="D169" s="8" t="s">
        <v>1334</v>
      </c>
      <c r="E169" s="10" t="s">
        <v>440</v>
      </c>
      <c r="F169" s="10" t="s">
        <v>501</v>
      </c>
      <c r="G169" s="10">
        <v>0.5</v>
      </c>
      <c r="H169" s="10">
        <v>0.2</v>
      </c>
      <c r="I169" s="10">
        <v>0.55000000000000004</v>
      </c>
      <c r="J169" s="10">
        <v>0.44</v>
      </c>
      <c r="K169" s="10">
        <v>0.2</v>
      </c>
      <c r="L169" s="10">
        <v>0.55000000000000004</v>
      </c>
      <c r="M169" s="10">
        <v>0.2</v>
      </c>
    </row>
    <row r="170" spans="4:13" x14ac:dyDescent="0.25">
      <c r="D170" s="8" t="s">
        <v>1334</v>
      </c>
      <c r="E170" s="10" t="s">
        <v>440</v>
      </c>
      <c r="F170" s="10" t="s">
        <v>502</v>
      </c>
      <c r="G170" s="10">
        <v>0.55000000000000004</v>
      </c>
      <c r="H170" s="10">
        <v>0.22</v>
      </c>
      <c r="I170" s="10">
        <v>0.49</v>
      </c>
      <c r="J170" s="10">
        <v>0.22</v>
      </c>
      <c r="K170" s="10">
        <v>0.22</v>
      </c>
      <c r="L170" s="10">
        <v>0.49</v>
      </c>
      <c r="M170" s="10">
        <v>0.33</v>
      </c>
    </row>
    <row r="171" spans="4:13" x14ac:dyDescent="0.25">
      <c r="D171" s="8" t="s">
        <v>1337</v>
      </c>
      <c r="E171" s="10" t="s">
        <v>458</v>
      </c>
      <c r="F171" s="10" t="s">
        <v>508</v>
      </c>
      <c r="G171" s="10">
        <v>1.64</v>
      </c>
      <c r="H171" s="10">
        <v>1.1000000000000001</v>
      </c>
      <c r="I171" s="10">
        <v>1.21</v>
      </c>
      <c r="J171" s="10">
        <v>0.99</v>
      </c>
      <c r="K171" s="10">
        <v>0.66</v>
      </c>
      <c r="L171" s="10">
        <v>1.42</v>
      </c>
      <c r="M171" s="10">
        <v>1.1000000000000001</v>
      </c>
    </row>
    <row r="172" spans="4:13" x14ac:dyDescent="0.25">
      <c r="D172" s="8" t="s">
        <v>1337</v>
      </c>
      <c r="E172" s="10" t="s">
        <v>458</v>
      </c>
      <c r="F172" s="10" t="s">
        <v>500</v>
      </c>
      <c r="G172" s="10">
        <v>0.44</v>
      </c>
      <c r="H172" s="10">
        <v>-0.22</v>
      </c>
      <c r="I172" s="10">
        <v>0.44</v>
      </c>
      <c r="J172" s="10">
        <v>0.33</v>
      </c>
      <c r="K172" s="10">
        <v>-0.22</v>
      </c>
      <c r="L172" s="10">
        <v>0.44</v>
      </c>
      <c r="M172" s="10">
        <v>-0.11</v>
      </c>
    </row>
    <row r="173" spans="4:13" x14ac:dyDescent="0.25">
      <c r="D173" s="8" t="s">
        <v>1337</v>
      </c>
      <c r="E173" s="10" t="s">
        <v>458</v>
      </c>
      <c r="F173" s="10" t="s">
        <v>501</v>
      </c>
      <c r="G173" s="10">
        <v>0.6</v>
      </c>
      <c r="H173" s="10">
        <v>0</v>
      </c>
      <c r="I173" s="10">
        <v>0.6</v>
      </c>
      <c r="J173" s="10">
        <v>0.22</v>
      </c>
      <c r="K173" s="10">
        <v>-0.55000000000000004</v>
      </c>
      <c r="L173" s="10">
        <v>0.6</v>
      </c>
      <c r="M173" s="10">
        <v>0</v>
      </c>
    </row>
    <row r="174" spans="4:13" x14ac:dyDescent="0.25">
      <c r="D174" s="8" t="s">
        <v>1337</v>
      </c>
      <c r="E174" s="10" t="s">
        <v>458</v>
      </c>
      <c r="F174" s="10" t="s">
        <v>502</v>
      </c>
      <c r="G174" s="10">
        <v>0.99</v>
      </c>
      <c r="H174" s="10">
        <v>0.22</v>
      </c>
      <c r="I174" s="10">
        <v>0.77</v>
      </c>
      <c r="J174" s="10">
        <v>0.11</v>
      </c>
      <c r="K174" s="10">
        <v>0.11</v>
      </c>
      <c r="L174" s="10">
        <v>0.77</v>
      </c>
      <c r="M174" s="10">
        <v>0.44</v>
      </c>
    </row>
    <row r="175" spans="4:13" x14ac:dyDescent="0.25">
      <c r="D175" s="8" t="s">
        <v>1337</v>
      </c>
      <c r="E175" s="10" t="s">
        <v>461</v>
      </c>
      <c r="F175" s="10" t="s">
        <v>508</v>
      </c>
      <c r="G175" s="10">
        <v>0.7</v>
      </c>
      <c r="H175" s="10">
        <v>-0.55000000000000004</v>
      </c>
      <c r="I175" s="10">
        <v>0.7</v>
      </c>
      <c r="J175" s="10">
        <v>0.22</v>
      </c>
      <c r="K175" s="10">
        <v>-0.22</v>
      </c>
      <c r="L175" s="10">
        <v>0.7</v>
      </c>
      <c r="M175" s="10">
        <v>-0.22</v>
      </c>
    </row>
    <row r="176" spans="4:13" x14ac:dyDescent="0.25">
      <c r="D176" s="8" t="s">
        <v>1337</v>
      </c>
      <c r="E176" s="10" t="s">
        <v>461</v>
      </c>
      <c r="F176" s="10" t="s">
        <v>500</v>
      </c>
      <c r="G176" s="10">
        <v>0.77</v>
      </c>
      <c r="H176" s="10">
        <v>0.55000000000000004</v>
      </c>
      <c r="I176" s="10">
        <v>0.77</v>
      </c>
      <c r="J176" s="10">
        <v>0.66</v>
      </c>
      <c r="K176" s="10">
        <v>0.55000000000000004</v>
      </c>
      <c r="L176" s="10">
        <v>0.77</v>
      </c>
      <c r="M176" s="10">
        <v>0.33</v>
      </c>
    </row>
    <row r="177" spans="4:16" x14ac:dyDescent="0.25">
      <c r="D177" s="8" t="s">
        <v>1337</v>
      </c>
      <c r="E177" s="10" t="s">
        <v>461</v>
      </c>
      <c r="F177" s="10" t="s">
        <v>501</v>
      </c>
      <c r="G177" s="10">
        <v>0.88</v>
      </c>
      <c r="H177" s="10">
        <v>0.55000000000000004</v>
      </c>
      <c r="I177" s="10">
        <v>0.88</v>
      </c>
      <c r="J177" s="10">
        <v>0.22</v>
      </c>
      <c r="K177" s="10">
        <v>0.22</v>
      </c>
      <c r="L177" s="10">
        <v>0.88</v>
      </c>
      <c r="M177" s="10">
        <v>0.22</v>
      </c>
    </row>
    <row r="178" spans="4:16" x14ac:dyDescent="0.25">
      <c r="D178" s="8" t="s">
        <v>1337</v>
      </c>
      <c r="E178" s="10" t="s">
        <v>461</v>
      </c>
      <c r="F178" s="10" t="s">
        <v>502</v>
      </c>
      <c r="G178" s="10">
        <v>0.22</v>
      </c>
      <c r="H178" s="10">
        <v>-0.55000000000000004</v>
      </c>
      <c r="I178" s="10">
        <v>0.22</v>
      </c>
      <c r="J178" s="10">
        <v>0.11</v>
      </c>
      <c r="K178" s="10">
        <v>-0.22</v>
      </c>
      <c r="L178" s="10">
        <v>0.22</v>
      </c>
      <c r="M178" s="10">
        <v>-0.33</v>
      </c>
    </row>
    <row r="179" spans="4:16" x14ac:dyDescent="0.25">
      <c r="D179" s="8" t="s">
        <v>1337</v>
      </c>
      <c r="E179" s="10" t="s">
        <v>464</v>
      </c>
      <c r="F179" s="10" t="s">
        <v>508</v>
      </c>
      <c r="G179" s="10">
        <v>0.22</v>
      </c>
      <c r="H179" s="10">
        <v>-0.55000000000000004</v>
      </c>
      <c r="I179" s="10">
        <v>0.33</v>
      </c>
      <c r="J179" s="10">
        <v>0.22</v>
      </c>
      <c r="K179" s="10">
        <v>-0.33</v>
      </c>
      <c r="L179" s="10">
        <v>0.22</v>
      </c>
      <c r="M179" s="10">
        <v>-0.55000000000000004</v>
      </c>
    </row>
    <row r="180" spans="4:16" x14ac:dyDescent="0.25">
      <c r="D180" s="8" t="s">
        <v>1337</v>
      </c>
      <c r="E180" s="10" t="s">
        <v>464</v>
      </c>
      <c r="F180" s="10" t="s">
        <v>500</v>
      </c>
      <c r="G180" s="10">
        <v>0.8</v>
      </c>
      <c r="H180" s="10">
        <v>0.55000000000000004</v>
      </c>
      <c r="I180" s="10">
        <v>0.7</v>
      </c>
      <c r="J180" s="10">
        <v>0.44</v>
      </c>
      <c r="K180" s="10">
        <v>0.66</v>
      </c>
      <c r="L180" s="10">
        <v>0.8</v>
      </c>
      <c r="M180" s="10">
        <v>0.55000000000000004</v>
      </c>
    </row>
    <row r="181" spans="4:16" x14ac:dyDescent="0.25">
      <c r="D181" s="8" t="s">
        <v>1337</v>
      </c>
      <c r="E181" s="10" t="s">
        <v>464</v>
      </c>
      <c r="F181" s="10" t="s">
        <v>501</v>
      </c>
      <c r="G181" s="10">
        <v>0.66</v>
      </c>
      <c r="H181" s="10">
        <v>0.55000000000000004</v>
      </c>
      <c r="I181" s="10">
        <v>0.55000000000000004</v>
      </c>
      <c r="J181" s="10">
        <v>0.55000000000000004</v>
      </c>
      <c r="K181" s="10">
        <v>0.11</v>
      </c>
      <c r="L181" s="10">
        <v>0.66</v>
      </c>
      <c r="M181" s="10">
        <v>0.55000000000000004</v>
      </c>
    </row>
    <row r="182" spans="4:16" x14ac:dyDescent="0.25">
      <c r="D182" s="8" t="s">
        <v>1337</v>
      </c>
      <c r="E182" s="10" t="s">
        <v>464</v>
      </c>
      <c r="F182" s="10" t="s">
        <v>502</v>
      </c>
      <c r="G182" s="10">
        <v>0.33</v>
      </c>
      <c r="H182" s="10">
        <v>-0.55000000000000004</v>
      </c>
      <c r="I182" s="10">
        <v>0.11</v>
      </c>
      <c r="J182" s="10">
        <v>0.11</v>
      </c>
      <c r="K182" s="10">
        <v>-0.44</v>
      </c>
      <c r="L182" s="10">
        <v>0.33</v>
      </c>
      <c r="M182" s="10">
        <v>-0.55000000000000004</v>
      </c>
    </row>
    <row r="183" spans="4:16" x14ac:dyDescent="0.25">
      <c r="M183" s="8"/>
    </row>
    <row r="184" spans="4:16" x14ac:dyDescent="0.25">
      <c r="M184" s="8"/>
    </row>
    <row r="185" spans="4:16" ht="23.25" x14ac:dyDescent="0.25">
      <c r="D185" s="9" t="s">
        <v>1544</v>
      </c>
      <c r="M185" s="8"/>
    </row>
    <row r="186" spans="4:16" x14ac:dyDescent="0.25">
      <c r="D186" s="11" t="s">
        <v>1545</v>
      </c>
      <c r="M186" s="8"/>
    </row>
    <row r="187" spans="4:16" x14ac:dyDescent="0.25">
      <c r="D187" s="8" t="s">
        <v>1543</v>
      </c>
      <c r="M187" s="8"/>
    </row>
    <row r="188" spans="4:16" x14ac:dyDescent="0.25">
      <c r="D188" s="13" t="s">
        <v>354</v>
      </c>
      <c r="M188" s="8"/>
    </row>
    <row r="189" spans="4:16" x14ac:dyDescent="0.25">
      <c r="D189" s="10" t="s">
        <v>280</v>
      </c>
      <c r="E189" s="10" t="s">
        <v>390</v>
      </c>
      <c r="F189" s="10" t="s">
        <v>47</v>
      </c>
      <c r="G189" s="10" t="s">
        <v>479</v>
      </c>
      <c r="H189" s="10" t="s">
        <v>480</v>
      </c>
      <c r="I189" s="10" t="s">
        <v>503</v>
      </c>
      <c r="J189" s="10" t="s">
        <v>473</v>
      </c>
      <c r="K189" s="10" t="s">
        <v>506</v>
      </c>
      <c r="L189" s="10" t="s">
        <v>507</v>
      </c>
      <c r="M189" s="10" t="s">
        <v>485</v>
      </c>
      <c r="N189" s="10" t="s">
        <v>486</v>
      </c>
      <c r="O189" s="10" t="s">
        <v>487</v>
      </c>
      <c r="P189" s="10" t="s">
        <v>488</v>
      </c>
    </row>
    <row r="190" spans="4:16" x14ac:dyDescent="0.25">
      <c r="D190" s="10" t="s">
        <v>1339</v>
      </c>
      <c r="E190" s="10" t="s">
        <v>459</v>
      </c>
      <c r="F190" s="10" t="s">
        <v>508</v>
      </c>
      <c r="G190" s="10">
        <v>0.22</v>
      </c>
      <c r="H190" s="10">
        <v>-0.23</v>
      </c>
      <c r="I190" s="10">
        <v>0.25</v>
      </c>
      <c r="J190" s="10">
        <v>0.17</v>
      </c>
      <c r="K190" s="10">
        <v>0.18</v>
      </c>
      <c r="L190" s="10">
        <v>-0.28000000000000003</v>
      </c>
      <c r="M190" s="10">
        <v>0.32</v>
      </c>
      <c r="N190" s="10">
        <v>0.24</v>
      </c>
      <c r="O190" s="10">
        <v>0.25</v>
      </c>
      <c r="P190" s="10">
        <v>-0.05</v>
      </c>
    </row>
    <row r="191" spans="4:16" x14ac:dyDescent="0.25">
      <c r="D191" s="8" t="s">
        <v>1339</v>
      </c>
      <c r="E191" s="10" t="s">
        <v>459</v>
      </c>
      <c r="F191" s="10" t="s">
        <v>500</v>
      </c>
      <c r="G191" s="10">
        <v>0.66</v>
      </c>
      <c r="H191" s="10">
        <v>0.2</v>
      </c>
      <c r="I191" s="10">
        <v>0.62</v>
      </c>
      <c r="J191" s="10">
        <v>0.54</v>
      </c>
      <c r="K191" s="10">
        <v>0.38</v>
      </c>
      <c r="L191" s="10">
        <v>0.27</v>
      </c>
      <c r="M191" s="10">
        <v>0.75</v>
      </c>
      <c r="N191" s="10">
        <v>0.64</v>
      </c>
      <c r="O191" s="10">
        <v>0.55000000000000004</v>
      </c>
      <c r="P191" s="10">
        <v>0.48</v>
      </c>
    </row>
    <row r="192" spans="4:16" x14ac:dyDescent="0.25">
      <c r="D192" s="8" t="s">
        <v>1339</v>
      </c>
      <c r="E192" s="10" t="s">
        <v>459</v>
      </c>
      <c r="F192" s="10" t="s">
        <v>501</v>
      </c>
      <c r="G192" s="10">
        <v>0.49</v>
      </c>
      <c r="H192" s="10">
        <v>0.13</v>
      </c>
      <c r="I192" s="10">
        <v>0.54</v>
      </c>
      <c r="J192" s="10">
        <v>0.45</v>
      </c>
      <c r="K192" s="10">
        <v>0.35</v>
      </c>
      <c r="L192" s="10">
        <v>0.15</v>
      </c>
      <c r="M192" s="10">
        <v>0.63</v>
      </c>
      <c r="N192" s="10">
        <v>0.54</v>
      </c>
      <c r="O192" s="10">
        <v>0.42</v>
      </c>
      <c r="P192" s="10">
        <v>0.26</v>
      </c>
    </row>
    <row r="193" spans="4:16" x14ac:dyDescent="0.25">
      <c r="D193" s="8" t="s">
        <v>1339</v>
      </c>
      <c r="E193" s="10" t="s">
        <v>459</v>
      </c>
      <c r="F193" s="10" t="s">
        <v>502</v>
      </c>
      <c r="G193" s="10">
        <v>0.27</v>
      </c>
      <c r="H193" s="10">
        <v>-0.8</v>
      </c>
      <c r="I193" s="10">
        <v>0.22</v>
      </c>
      <c r="J193" s="10">
        <v>0.09</v>
      </c>
      <c r="K193" s="10">
        <v>0.12</v>
      </c>
      <c r="L193" s="10">
        <v>0.02</v>
      </c>
      <c r="M193" s="10">
        <v>0.25</v>
      </c>
      <c r="N193" s="10">
        <v>0.18</v>
      </c>
      <c r="O193" s="10">
        <v>0.12</v>
      </c>
      <c r="P193" s="10">
        <v>0.03</v>
      </c>
    </row>
    <row r="194" spans="4:16" x14ac:dyDescent="0.25">
      <c r="D194" s="8" t="s">
        <v>1339</v>
      </c>
      <c r="E194" s="10" t="s">
        <v>462</v>
      </c>
      <c r="F194" s="10" t="s">
        <v>508</v>
      </c>
      <c r="G194" s="10">
        <v>0.22</v>
      </c>
      <c r="H194" s="10">
        <v>-0.44</v>
      </c>
      <c r="I194" s="10">
        <v>0.2</v>
      </c>
      <c r="J194" s="10">
        <v>0.21</v>
      </c>
      <c r="K194" s="10">
        <v>0.18</v>
      </c>
      <c r="L194" s="10">
        <v>0.01</v>
      </c>
      <c r="M194" s="10">
        <v>0.12</v>
      </c>
      <c r="N194" s="10">
        <v>0.09</v>
      </c>
      <c r="O194" s="10" t="s">
        <v>1540</v>
      </c>
      <c r="P194" s="10" t="s">
        <v>1540</v>
      </c>
    </row>
    <row r="195" spans="4:16" x14ac:dyDescent="0.25">
      <c r="D195" s="8" t="s">
        <v>1339</v>
      </c>
      <c r="E195" s="10" t="s">
        <v>462</v>
      </c>
      <c r="F195" s="10" t="s">
        <v>500</v>
      </c>
      <c r="G195" s="10">
        <v>0.66</v>
      </c>
      <c r="H195" s="10">
        <v>0.22</v>
      </c>
      <c r="I195" s="10">
        <v>0.68</v>
      </c>
      <c r="J195" s="10">
        <v>0.22</v>
      </c>
      <c r="K195" s="10">
        <v>0.24</v>
      </c>
      <c r="L195" s="10">
        <v>0.25</v>
      </c>
      <c r="M195" s="10">
        <v>0.64</v>
      </c>
      <c r="N195" s="10">
        <v>0.37</v>
      </c>
      <c r="O195" s="10" t="s">
        <v>1540</v>
      </c>
      <c r="P195" s="10" t="s">
        <v>1540</v>
      </c>
    </row>
    <row r="196" spans="4:16" x14ac:dyDescent="0.25">
      <c r="D196" s="8" t="s">
        <v>1339</v>
      </c>
      <c r="E196" s="10" t="s">
        <v>462</v>
      </c>
      <c r="F196" s="10" t="s">
        <v>501</v>
      </c>
      <c r="G196" s="10">
        <v>0.49</v>
      </c>
      <c r="H196" s="10">
        <v>0.05</v>
      </c>
      <c r="I196" s="10">
        <v>0.64</v>
      </c>
      <c r="J196" s="10">
        <v>0.25</v>
      </c>
      <c r="K196" s="10">
        <v>0.28999999999999998</v>
      </c>
      <c r="L196" s="10">
        <v>0.12</v>
      </c>
      <c r="M196" s="10">
        <v>0.56999999999999995</v>
      </c>
      <c r="N196" s="10">
        <v>0.49</v>
      </c>
      <c r="O196" s="10" t="s">
        <v>1540</v>
      </c>
      <c r="P196" s="10" t="s">
        <v>1540</v>
      </c>
    </row>
    <row r="197" spans="4:16" x14ac:dyDescent="0.25">
      <c r="D197" s="8" t="s">
        <v>1339</v>
      </c>
      <c r="E197" s="10" t="s">
        <v>462</v>
      </c>
      <c r="F197" s="10" t="s">
        <v>502</v>
      </c>
      <c r="G197" s="10">
        <v>0.27</v>
      </c>
      <c r="H197" s="10">
        <v>-0.27</v>
      </c>
      <c r="I197" s="10">
        <v>0.31</v>
      </c>
      <c r="J197" s="10">
        <v>0.28999999999999998</v>
      </c>
      <c r="K197" s="10">
        <v>0.19</v>
      </c>
      <c r="L197" s="10">
        <v>0.04</v>
      </c>
      <c r="M197" s="10">
        <v>0.26</v>
      </c>
      <c r="N197" s="10">
        <v>0.28000000000000003</v>
      </c>
      <c r="O197" s="10" t="s">
        <v>1540</v>
      </c>
      <c r="P197" s="10" t="s">
        <v>1540</v>
      </c>
    </row>
    <row r="198" spans="4:16" x14ac:dyDescent="0.25">
      <c r="D198" s="8" t="s">
        <v>1339</v>
      </c>
      <c r="E198" s="10" t="s">
        <v>465</v>
      </c>
      <c r="F198" s="10" t="s">
        <v>508</v>
      </c>
      <c r="G198" s="10">
        <v>0.22</v>
      </c>
      <c r="H198" s="10">
        <v>-0.44</v>
      </c>
      <c r="I198" s="10">
        <v>0</v>
      </c>
      <c r="J198" s="10">
        <v>0.15</v>
      </c>
      <c r="K198" s="10">
        <v>0.08</v>
      </c>
      <c r="L198" s="10">
        <v>0.17</v>
      </c>
      <c r="M198" s="10">
        <v>0.06</v>
      </c>
      <c r="N198" s="10">
        <v>0.02</v>
      </c>
      <c r="O198" s="10">
        <v>-0.14000000000000001</v>
      </c>
      <c r="P198" s="10" t="s">
        <v>1540</v>
      </c>
    </row>
    <row r="199" spans="4:16" x14ac:dyDescent="0.25">
      <c r="D199" s="8" t="s">
        <v>1339</v>
      </c>
      <c r="E199" s="10" t="s">
        <v>465</v>
      </c>
      <c r="F199" s="10" t="s">
        <v>500</v>
      </c>
      <c r="G199" s="10">
        <v>0.66</v>
      </c>
      <c r="H199" s="10">
        <v>0.22</v>
      </c>
      <c r="I199" s="10">
        <v>0.79</v>
      </c>
      <c r="J199" s="10">
        <v>0.4</v>
      </c>
      <c r="K199" s="10">
        <v>0.38</v>
      </c>
      <c r="L199" s="10">
        <v>0.27</v>
      </c>
      <c r="M199" s="10">
        <v>0.8</v>
      </c>
      <c r="N199" s="10">
        <v>0.16</v>
      </c>
      <c r="O199" s="10">
        <v>0.3</v>
      </c>
      <c r="P199" s="10" t="s">
        <v>1540</v>
      </c>
    </row>
    <row r="200" spans="4:16" x14ac:dyDescent="0.25">
      <c r="D200" s="8" t="s">
        <v>1339</v>
      </c>
      <c r="E200" s="10" t="s">
        <v>465</v>
      </c>
      <c r="F200" s="10" t="s">
        <v>501</v>
      </c>
      <c r="G200" s="10">
        <v>0.49</v>
      </c>
      <c r="H200" s="10">
        <v>0.05</v>
      </c>
      <c r="I200" s="10">
        <v>0.55000000000000004</v>
      </c>
      <c r="J200" s="10">
        <v>0.38</v>
      </c>
      <c r="K200" s="10">
        <v>0.36</v>
      </c>
      <c r="L200" s="10">
        <v>0.06</v>
      </c>
      <c r="M200" s="10">
        <v>0.57999999999999996</v>
      </c>
      <c r="N200" s="10">
        <v>0.23</v>
      </c>
      <c r="O200" s="10">
        <v>0.4</v>
      </c>
      <c r="P200" s="10" t="s">
        <v>1540</v>
      </c>
    </row>
    <row r="201" spans="4:16" x14ac:dyDescent="0.25">
      <c r="D201" s="8" t="s">
        <v>1339</v>
      </c>
      <c r="E201" s="10" t="s">
        <v>465</v>
      </c>
      <c r="F201" s="10" t="s">
        <v>502</v>
      </c>
      <c r="G201" s="10">
        <v>0.27</v>
      </c>
      <c r="H201" s="10">
        <v>-0.27</v>
      </c>
      <c r="I201" s="10">
        <v>0.02</v>
      </c>
      <c r="J201" s="10">
        <v>0.09</v>
      </c>
      <c r="K201" s="10">
        <v>0.16</v>
      </c>
      <c r="L201" s="10">
        <v>-0.04</v>
      </c>
      <c r="M201" s="10">
        <v>0.21</v>
      </c>
      <c r="N201" s="10">
        <v>0.03</v>
      </c>
      <c r="O201" s="10">
        <v>0.11</v>
      </c>
      <c r="P201" s="10" t="s">
        <v>1540</v>
      </c>
    </row>
    <row r="202" spans="4:16" x14ac:dyDescent="0.25">
      <c r="D202" s="8" t="s">
        <v>1335</v>
      </c>
      <c r="E202" s="10" t="s">
        <v>460</v>
      </c>
      <c r="F202" s="10" t="s">
        <v>508</v>
      </c>
      <c r="G202" s="10">
        <v>0.27</v>
      </c>
      <c r="H202" s="10">
        <v>-0.19</v>
      </c>
      <c r="I202" s="10">
        <v>0.38</v>
      </c>
      <c r="J202" s="10">
        <v>0.25</v>
      </c>
      <c r="K202" s="10">
        <v>7.0000000000000007E-2</v>
      </c>
      <c r="L202" s="10">
        <v>0.05</v>
      </c>
      <c r="M202" s="10">
        <v>0.52</v>
      </c>
      <c r="N202" s="10">
        <v>0.55000000000000004</v>
      </c>
      <c r="O202" s="10">
        <v>0.19</v>
      </c>
      <c r="P202" s="10">
        <v>0.6</v>
      </c>
    </row>
    <row r="203" spans="4:16" x14ac:dyDescent="0.25">
      <c r="D203" s="8" t="s">
        <v>1335</v>
      </c>
      <c r="E203" s="10" t="s">
        <v>460</v>
      </c>
      <c r="F203" s="10" t="s">
        <v>500</v>
      </c>
      <c r="G203" s="10">
        <v>0.16</v>
      </c>
      <c r="H203" s="10">
        <v>0.16</v>
      </c>
      <c r="I203" s="10">
        <v>0.8</v>
      </c>
      <c r="J203" s="10">
        <v>0.56999999999999995</v>
      </c>
      <c r="K203" s="10">
        <v>0.76</v>
      </c>
      <c r="L203" s="10">
        <v>0.49</v>
      </c>
      <c r="M203" s="10">
        <v>0.84</v>
      </c>
      <c r="N203" s="10">
        <v>0.51</v>
      </c>
      <c r="O203" s="10">
        <v>0.36</v>
      </c>
      <c r="P203" s="10">
        <v>0.17</v>
      </c>
    </row>
    <row r="204" spans="4:16" x14ac:dyDescent="0.25">
      <c r="D204" s="8" t="s">
        <v>1335</v>
      </c>
      <c r="E204" s="10" t="s">
        <v>460</v>
      </c>
      <c r="F204" s="10" t="s">
        <v>501</v>
      </c>
      <c r="G204" s="10">
        <v>0.45</v>
      </c>
      <c r="H204" s="10">
        <v>0.1</v>
      </c>
      <c r="I204" s="10">
        <v>0.49</v>
      </c>
      <c r="J204" s="10">
        <v>0.41</v>
      </c>
      <c r="K204" s="10">
        <v>0.4</v>
      </c>
      <c r="L204" s="10">
        <v>0.17</v>
      </c>
      <c r="M204" s="10">
        <v>0.54</v>
      </c>
      <c r="N204" s="10">
        <v>0.64</v>
      </c>
      <c r="O204" s="10">
        <v>-0.05</v>
      </c>
      <c r="P204" s="10">
        <v>0.32</v>
      </c>
    </row>
    <row r="205" spans="4:16" x14ac:dyDescent="0.25">
      <c r="D205" s="8" t="s">
        <v>1335</v>
      </c>
      <c r="E205" s="10" t="s">
        <v>460</v>
      </c>
      <c r="F205" s="10" t="s">
        <v>502</v>
      </c>
      <c r="G205" s="10">
        <v>0.51</v>
      </c>
      <c r="H205" s="10">
        <v>-7.0000000000000007E-2</v>
      </c>
      <c r="I205" s="10">
        <v>0.13</v>
      </c>
      <c r="J205" s="10">
        <v>-0.09</v>
      </c>
      <c r="K205" s="10">
        <v>-0.13</v>
      </c>
      <c r="L205" s="10">
        <v>7.0000000000000007E-2</v>
      </c>
      <c r="M205" s="10">
        <v>0.25</v>
      </c>
      <c r="N205" s="10">
        <v>0.71</v>
      </c>
      <c r="O205" s="10">
        <v>0.17</v>
      </c>
      <c r="P205" s="10">
        <v>0.43</v>
      </c>
    </row>
    <row r="206" spans="4:16" x14ac:dyDescent="0.25">
      <c r="D206" s="8" t="s">
        <v>1335</v>
      </c>
      <c r="E206" s="10" t="s">
        <v>463</v>
      </c>
      <c r="F206" s="10" t="s">
        <v>508</v>
      </c>
      <c r="G206" s="10">
        <v>-0.12</v>
      </c>
      <c r="H206" s="10">
        <v>-0.19</v>
      </c>
      <c r="I206" s="10">
        <v>0.41</v>
      </c>
      <c r="J206" s="10">
        <v>0.09</v>
      </c>
      <c r="K206" s="10">
        <v>0.41</v>
      </c>
      <c r="L206" s="10">
        <v>-0.19</v>
      </c>
      <c r="M206" s="10">
        <v>7.0000000000000007E-2</v>
      </c>
      <c r="N206" s="10">
        <v>1.07</v>
      </c>
      <c r="O206" s="10">
        <v>-0.08</v>
      </c>
      <c r="P206" s="10">
        <v>0</v>
      </c>
    </row>
    <row r="207" spans="4:16" x14ac:dyDescent="0.25">
      <c r="D207" s="8" t="s">
        <v>1335</v>
      </c>
      <c r="E207" s="10" t="s">
        <v>463</v>
      </c>
      <c r="F207" s="10" t="s">
        <v>500</v>
      </c>
      <c r="G207" s="10">
        <v>0.65</v>
      </c>
      <c r="H207" s="10">
        <v>0.19</v>
      </c>
      <c r="I207" s="10">
        <v>0.65</v>
      </c>
      <c r="J207" s="10">
        <v>0.51</v>
      </c>
      <c r="K207" s="10">
        <v>0.18</v>
      </c>
      <c r="L207" s="10">
        <v>0.63</v>
      </c>
      <c r="M207" s="10">
        <v>1.3</v>
      </c>
      <c r="N207" s="10">
        <v>0.48</v>
      </c>
      <c r="O207" s="10">
        <v>1.1200000000000001</v>
      </c>
      <c r="P207" s="10">
        <v>0.38</v>
      </c>
    </row>
    <row r="208" spans="4:16" x14ac:dyDescent="0.25">
      <c r="D208" s="8" t="s">
        <v>1335</v>
      </c>
      <c r="E208" s="10" t="s">
        <v>463</v>
      </c>
      <c r="F208" s="10" t="s">
        <v>501</v>
      </c>
      <c r="G208" s="10">
        <v>0.7</v>
      </c>
      <c r="H208" s="10">
        <v>0.13</v>
      </c>
      <c r="I208" s="10">
        <v>0.52</v>
      </c>
      <c r="J208" s="10">
        <v>0.34</v>
      </c>
      <c r="K208" s="10">
        <v>0.02</v>
      </c>
      <c r="L208" s="10">
        <v>0.04</v>
      </c>
      <c r="M208" s="10">
        <v>0.77</v>
      </c>
      <c r="N208" s="10">
        <v>0.42</v>
      </c>
      <c r="O208" s="10">
        <v>0.12</v>
      </c>
      <c r="P208" s="10">
        <v>0.74</v>
      </c>
    </row>
    <row r="209" spans="4:16" x14ac:dyDescent="0.25">
      <c r="D209" s="8" t="s">
        <v>1335</v>
      </c>
      <c r="E209" s="10" t="s">
        <v>463</v>
      </c>
      <c r="F209" s="10" t="s">
        <v>502</v>
      </c>
      <c r="G209" s="10">
        <v>0.32</v>
      </c>
      <c r="H209" s="10">
        <v>-0.06</v>
      </c>
      <c r="I209" s="10">
        <v>0.25</v>
      </c>
      <c r="J209" s="10">
        <v>0.19</v>
      </c>
      <c r="K209" s="10">
        <v>-0.1</v>
      </c>
      <c r="L209" s="10">
        <v>-0.02</v>
      </c>
      <c r="M209" s="10">
        <v>0.02</v>
      </c>
      <c r="N209" s="10">
        <v>0.23</v>
      </c>
      <c r="O209" s="10">
        <v>-0.13</v>
      </c>
      <c r="P209" s="10">
        <v>0</v>
      </c>
    </row>
    <row r="210" spans="4:16" x14ac:dyDescent="0.25">
      <c r="D210" s="8" t="s">
        <v>1335</v>
      </c>
      <c r="E210" s="10" t="s">
        <v>466</v>
      </c>
      <c r="F210" s="10" t="s">
        <v>508</v>
      </c>
      <c r="G210" s="10">
        <v>0.62</v>
      </c>
      <c r="H210" s="10">
        <v>-0.19</v>
      </c>
      <c r="I210" s="10">
        <v>0.37</v>
      </c>
      <c r="J210" s="10">
        <v>0.41</v>
      </c>
      <c r="K210" s="10">
        <v>0.06</v>
      </c>
      <c r="L210" s="10">
        <v>-0.02</v>
      </c>
      <c r="M210" s="10">
        <v>0.47</v>
      </c>
      <c r="N210" s="10">
        <v>0.44</v>
      </c>
      <c r="O210" s="10">
        <v>0.3</v>
      </c>
      <c r="P210" s="10">
        <v>0.13</v>
      </c>
    </row>
    <row r="211" spans="4:16" x14ac:dyDescent="0.25">
      <c r="D211" s="8" t="s">
        <v>1335</v>
      </c>
      <c r="E211" s="10" t="s">
        <v>466</v>
      </c>
      <c r="F211" s="10" t="s">
        <v>500</v>
      </c>
      <c r="G211" s="10">
        <v>0.05</v>
      </c>
      <c r="H211" s="10">
        <v>0.19</v>
      </c>
      <c r="I211" s="10">
        <v>0.31</v>
      </c>
      <c r="J211" s="10">
        <v>0.54</v>
      </c>
      <c r="K211" s="10">
        <v>0.53</v>
      </c>
      <c r="L211" s="10">
        <v>0.15</v>
      </c>
      <c r="M211" s="10">
        <v>0.28000000000000003</v>
      </c>
      <c r="N211" s="10">
        <v>0.56999999999999995</v>
      </c>
      <c r="O211" s="10">
        <v>0.42</v>
      </c>
      <c r="P211" s="10">
        <v>0.4</v>
      </c>
    </row>
    <row r="212" spans="4:16" x14ac:dyDescent="0.25">
      <c r="D212" s="8" t="s">
        <v>1335</v>
      </c>
      <c r="E212" s="10" t="s">
        <v>466</v>
      </c>
      <c r="F212" s="10" t="s">
        <v>501</v>
      </c>
      <c r="G212" s="10">
        <v>0.33</v>
      </c>
      <c r="H212" s="10">
        <v>0.13</v>
      </c>
      <c r="I212" s="10">
        <v>0.39</v>
      </c>
      <c r="J212" s="10">
        <v>0.36</v>
      </c>
      <c r="K212" s="10">
        <v>0.26</v>
      </c>
      <c r="L212" s="10">
        <v>0.11</v>
      </c>
      <c r="M212" s="10">
        <v>0.4</v>
      </c>
      <c r="N212" s="10">
        <v>0.44</v>
      </c>
      <c r="O212" s="10">
        <v>0.37</v>
      </c>
      <c r="P212" s="10">
        <v>-0.01</v>
      </c>
    </row>
    <row r="213" spans="4:16" x14ac:dyDescent="0.25">
      <c r="D213" s="8" t="s">
        <v>1335</v>
      </c>
      <c r="E213" s="10" t="s">
        <v>466</v>
      </c>
      <c r="F213" s="10" t="s">
        <v>502</v>
      </c>
      <c r="G213" s="10">
        <v>0.61</v>
      </c>
      <c r="H213" s="10">
        <v>-0.06</v>
      </c>
      <c r="I213" s="10">
        <v>0.21</v>
      </c>
      <c r="J213" s="10">
        <v>0.18</v>
      </c>
      <c r="K213" s="10">
        <v>0.12</v>
      </c>
      <c r="L213" s="10">
        <v>0.06</v>
      </c>
      <c r="M213" s="10">
        <v>0.28999999999999998</v>
      </c>
      <c r="N213" s="10">
        <v>0.41</v>
      </c>
      <c r="O213" s="10">
        <v>0.41</v>
      </c>
      <c r="P213" s="10">
        <v>-0.15</v>
      </c>
    </row>
    <row r="214" spans="4:16" x14ac:dyDescent="0.25">
      <c r="D214" s="8" t="s">
        <v>1335</v>
      </c>
      <c r="E214" s="10" t="s">
        <v>468</v>
      </c>
      <c r="F214" s="10" t="s">
        <v>508</v>
      </c>
      <c r="G214" s="10">
        <v>-0.2</v>
      </c>
      <c r="H214" s="10">
        <v>0.02</v>
      </c>
      <c r="I214" s="10">
        <v>0.24</v>
      </c>
      <c r="J214" s="10">
        <v>0.3</v>
      </c>
      <c r="K214" s="10">
        <v>0.23</v>
      </c>
      <c r="L214" s="10">
        <v>-0.05</v>
      </c>
      <c r="M214" s="10">
        <v>0.34</v>
      </c>
      <c r="N214" s="10">
        <v>0.3</v>
      </c>
      <c r="O214" s="10">
        <v>0.56999999999999995</v>
      </c>
      <c r="P214" s="10">
        <v>0.52</v>
      </c>
    </row>
    <row r="215" spans="4:16" x14ac:dyDescent="0.25">
      <c r="D215" s="8" t="s">
        <v>1335</v>
      </c>
      <c r="E215" s="10" t="s">
        <v>468</v>
      </c>
      <c r="F215" s="10" t="s">
        <v>500</v>
      </c>
      <c r="G215" s="10">
        <v>0.62</v>
      </c>
      <c r="H215" s="10">
        <v>0.21</v>
      </c>
      <c r="I215" s="10">
        <v>0.25</v>
      </c>
      <c r="J215" s="10">
        <v>0.32</v>
      </c>
      <c r="K215" s="10">
        <v>0.47</v>
      </c>
      <c r="L215" s="10">
        <v>0.31</v>
      </c>
      <c r="M215" s="10">
        <v>0.14000000000000001</v>
      </c>
      <c r="N215" s="10">
        <v>0.4</v>
      </c>
      <c r="O215" s="10">
        <v>0.26</v>
      </c>
      <c r="P215" s="10">
        <v>0.43</v>
      </c>
    </row>
    <row r="216" spans="4:16" x14ac:dyDescent="0.25">
      <c r="D216" s="8" t="s">
        <v>1335</v>
      </c>
      <c r="E216" s="10" t="s">
        <v>468</v>
      </c>
      <c r="F216" s="10" t="s">
        <v>501</v>
      </c>
      <c r="G216" s="10">
        <v>0.4</v>
      </c>
      <c r="H216" s="10">
        <v>0.13</v>
      </c>
      <c r="I216" s="10">
        <v>0.12</v>
      </c>
      <c r="J216" s="10">
        <v>0.27</v>
      </c>
      <c r="K216" s="10">
        <v>0.3</v>
      </c>
      <c r="L216" s="10">
        <v>0.08</v>
      </c>
      <c r="M216" s="10">
        <v>0.13</v>
      </c>
      <c r="N216" s="10">
        <v>0.24</v>
      </c>
      <c r="O216" s="10">
        <v>0.15</v>
      </c>
      <c r="P216" s="10">
        <v>0.21</v>
      </c>
    </row>
    <row r="217" spans="4:16" x14ac:dyDescent="0.25">
      <c r="D217" s="8" t="s">
        <v>1335</v>
      </c>
      <c r="E217" s="10" t="s">
        <v>468</v>
      </c>
      <c r="F217" s="10" t="s">
        <v>502</v>
      </c>
      <c r="G217" s="10">
        <v>0.08</v>
      </c>
      <c r="H217" s="10">
        <v>0.04</v>
      </c>
      <c r="I217" s="10">
        <v>0.06</v>
      </c>
      <c r="J217" s="10">
        <v>0.18</v>
      </c>
      <c r="K217" s="10">
        <v>0.11</v>
      </c>
      <c r="L217" s="10">
        <v>-7.0000000000000007E-2</v>
      </c>
      <c r="M217" s="10">
        <v>0.13</v>
      </c>
      <c r="N217" s="10">
        <v>0.16</v>
      </c>
      <c r="O217" s="10">
        <v>0.4</v>
      </c>
      <c r="P217" s="10">
        <v>0.33</v>
      </c>
    </row>
    <row r="218" spans="4:16" x14ac:dyDescent="0.25">
      <c r="M218" s="8"/>
    </row>
    <row r="219" spans="4:16" x14ac:dyDescent="0.25">
      <c r="M219" s="8"/>
    </row>
    <row r="220" spans="4:16" ht="23.25" x14ac:dyDescent="0.25">
      <c r="D220" s="9" t="s">
        <v>489</v>
      </c>
      <c r="M220" s="8"/>
    </row>
    <row r="221" spans="4:16" x14ac:dyDescent="0.25">
      <c r="M221" s="8"/>
    </row>
    <row r="222" spans="4:16" x14ac:dyDescent="0.25">
      <c r="D222" s="10" t="s">
        <v>280</v>
      </c>
      <c r="E222" s="10" t="s">
        <v>390</v>
      </c>
      <c r="F222" s="10" t="s">
        <v>47</v>
      </c>
      <c r="G222" s="162" t="s">
        <v>490</v>
      </c>
      <c r="H222" s="162" t="s">
        <v>491</v>
      </c>
      <c r="I222" s="162" t="s">
        <v>492</v>
      </c>
      <c r="J222" s="162" t="s">
        <v>493</v>
      </c>
      <c r="K222" s="162" t="s">
        <v>494</v>
      </c>
      <c r="L222" s="162" t="s">
        <v>495</v>
      </c>
      <c r="M222" s="162" t="s">
        <v>496</v>
      </c>
      <c r="N222" s="162" t="s">
        <v>497</v>
      </c>
      <c r="O222" s="162" t="s">
        <v>498</v>
      </c>
      <c r="P222" s="162" t="s">
        <v>499</v>
      </c>
    </row>
    <row r="223" spans="4:16" x14ac:dyDescent="0.25">
      <c r="D223" s="10" t="s">
        <v>315</v>
      </c>
      <c r="E223" s="10" t="s">
        <v>440</v>
      </c>
      <c r="F223" s="10" t="str">
        <f>F155</f>
        <v>Spring</v>
      </c>
      <c r="G223" s="10">
        <f>G155</f>
        <v>0.5</v>
      </c>
      <c r="H223" s="10">
        <f t="shared" ref="H223:J223" si="34">H155</f>
        <v>0.2</v>
      </c>
      <c r="I223" s="10">
        <f t="shared" si="34"/>
        <v>0.5</v>
      </c>
      <c r="J223" s="10">
        <f t="shared" si="34"/>
        <v>0.4</v>
      </c>
      <c r="K223" s="10">
        <f>K155</f>
        <v>0.3</v>
      </c>
      <c r="L223" s="10">
        <f>K155</f>
        <v>0.3</v>
      </c>
      <c r="M223" s="10">
        <f>L155</f>
        <v>0.5</v>
      </c>
      <c r="N223" s="10">
        <f>M155</f>
        <v>0.4</v>
      </c>
      <c r="O223" s="10">
        <f>M155</f>
        <v>0.4</v>
      </c>
      <c r="P223" s="10">
        <f>M155</f>
        <v>0.4</v>
      </c>
    </row>
    <row r="224" spans="4:16" x14ac:dyDescent="0.25">
      <c r="D224" s="10" t="s">
        <v>315</v>
      </c>
      <c r="E224" s="10" t="s">
        <v>440</v>
      </c>
      <c r="F224" s="10" t="str">
        <f t="shared" ref="F224:K226" si="35">F156</f>
        <v>Summer</v>
      </c>
      <c r="G224" s="10">
        <f t="shared" si="35"/>
        <v>1</v>
      </c>
      <c r="H224" s="10">
        <f t="shared" si="35"/>
        <v>0.4</v>
      </c>
      <c r="I224" s="10">
        <f t="shared" si="35"/>
        <v>0.9</v>
      </c>
      <c r="J224" s="10">
        <f t="shared" si="35"/>
        <v>0.7</v>
      </c>
      <c r="K224" s="10">
        <f t="shared" si="35"/>
        <v>0.3</v>
      </c>
      <c r="L224" s="10">
        <f t="shared" ref="L224:N226" si="36">K156</f>
        <v>0.3</v>
      </c>
      <c r="M224" s="10">
        <f t="shared" si="36"/>
        <v>0.9</v>
      </c>
      <c r="N224" s="10">
        <f t="shared" si="36"/>
        <v>0.4</v>
      </c>
      <c r="O224" s="10">
        <f t="shared" ref="O224:O226" si="37">M156</f>
        <v>0.4</v>
      </c>
      <c r="P224" s="10">
        <f t="shared" ref="P224:P226" si="38">M156</f>
        <v>0.4</v>
      </c>
    </row>
    <row r="225" spans="4:16" x14ac:dyDescent="0.25">
      <c r="D225" s="10" t="s">
        <v>315</v>
      </c>
      <c r="E225" s="10" t="s">
        <v>440</v>
      </c>
      <c r="F225" s="10" t="str">
        <f t="shared" si="35"/>
        <v>Autumn</v>
      </c>
      <c r="G225" s="10">
        <f t="shared" si="35"/>
        <v>0.8</v>
      </c>
      <c r="H225" s="10">
        <f t="shared" si="35"/>
        <v>0.3</v>
      </c>
      <c r="I225" s="10">
        <f t="shared" si="35"/>
        <v>0.7</v>
      </c>
      <c r="J225" s="10">
        <f t="shared" si="35"/>
        <v>0.3</v>
      </c>
      <c r="K225" s="10">
        <f t="shared" si="35"/>
        <v>0.2</v>
      </c>
      <c r="L225" s="10">
        <f t="shared" si="36"/>
        <v>0.2</v>
      </c>
      <c r="M225" s="10">
        <f t="shared" si="36"/>
        <v>0.7</v>
      </c>
      <c r="N225" s="10">
        <f t="shared" si="36"/>
        <v>0.3</v>
      </c>
      <c r="O225" s="10">
        <f t="shared" si="37"/>
        <v>0.3</v>
      </c>
      <c r="P225" s="10">
        <f t="shared" si="38"/>
        <v>0.3</v>
      </c>
    </row>
    <row r="226" spans="4:16" x14ac:dyDescent="0.25">
      <c r="D226" s="10" t="s">
        <v>315</v>
      </c>
      <c r="E226" s="10" t="s">
        <v>440</v>
      </c>
      <c r="F226" s="10" t="str">
        <f t="shared" si="35"/>
        <v>Winter</v>
      </c>
      <c r="G226" s="10">
        <f t="shared" si="35"/>
        <v>0.4</v>
      </c>
      <c r="H226" s="10">
        <f t="shared" si="35"/>
        <v>0.1</v>
      </c>
      <c r="I226" s="10">
        <f t="shared" si="35"/>
        <v>0.4</v>
      </c>
      <c r="J226" s="10">
        <f t="shared" si="35"/>
        <v>0.2</v>
      </c>
      <c r="K226" s="10">
        <f t="shared" si="35"/>
        <v>0.1</v>
      </c>
      <c r="L226" s="10">
        <f t="shared" si="36"/>
        <v>0.1</v>
      </c>
      <c r="M226" s="10">
        <f t="shared" si="36"/>
        <v>0.4</v>
      </c>
      <c r="N226" s="10">
        <f t="shared" si="36"/>
        <v>0.1</v>
      </c>
      <c r="O226" s="10">
        <f t="shared" si="37"/>
        <v>0.1</v>
      </c>
      <c r="P226" s="10">
        <f t="shared" si="38"/>
        <v>0.1</v>
      </c>
    </row>
    <row r="227" spans="4:16" x14ac:dyDescent="0.25">
      <c r="D227" s="10" t="s">
        <v>339</v>
      </c>
      <c r="E227" s="10" t="s">
        <v>440</v>
      </c>
      <c r="F227" s="10" t="str">
        <f>F155</f>
        <v>Spring</v>
      </c>
      <c r="G227" s="10">
        <f>G155</f>
        <v>0.5</v>
      </c>
      <c r="H227" s="10">
        <f t="shared" ref="H227:J227" si="39">H155</f>
        <v>0.2</v>
      </c>
      <c r="I227" s="10">
        <f t="shared" si="39"/>
        <v>0.5</v>
      </c>
      <c r="J227" s="10">
        <f t="shared" si="39"/>
        <v>0.4</v>
      </c>
      <c r="K227" s="10">
        <f>K155</f>
        <v>0.3</v>
      </c>
      <c r="L227" s="10">
        <f>K155</f>
        <v>0.3</v>
      </c>
      <c r="M227" s="10">
        <f t="shared" ref="M227" si="40">L155</f>
        <v>0.5</v>
      </c>
      <c r="N227" s="10">
        <f>M155</f>
        <v>0.4</v>
      </c>
      <c r="O227" s="10">
        <f>M155</f>
        <v>0.4</v>
      </c>
      <c r="P227" s="10">
        <f>M155</f>
        <v>0.4</v>
      </c>
    </row>
    <row r="228" spans="4:16" x14ac:dyDescent="0.25">
      <c r="D228" s="10" t="s">
        <v>339</v>
      </c>
      <c r="E228" s="10" t="s">
        <v>440</v>
      </c>
      <c r="F228" s="10" t="str">
        <f t="shared" ref="F228:K231" si="41">F156</f>
        <v>Summer</v>
      </c>
      <c r="G228" s="10">
        <f t="shared" si="41"/>
        <v>1</v>
      </c>
      <c r="H228" s="10">
        <f t="shared" si="41"/>
        <v>0.4</v>
      </c>
      <c r="I228" s="10">
        <f t="shared" si="41"/>
        <v>0.9</v>
      </c>
      <c r="J228" s="10">
        <f t="shared" si="41"/>
        <v>0.7</v>
      </c>
      <c r="K228" s="10">
        <f t="shared" si="41"/>
        <v>0.3</v>
      </c>
      <c r="L228" s="10">
        <f t="shared" ref="L228:N231" si="42">K156</f>
        <v>0.3</v>
      </c>
      <c r="M228" s="10">
        <f t="shared" si="42"/>
        <v>0.9</v>
      </c>
      <c r="N228" s="10">
        <f t="shared" si="42"/>
        <v>0.4</v>
      </c>
      <c r="O228" s="10">
        <f t="shared" ref="O228:O230" si="43">M156</f>
        <v>0.4</v>
      </c>
      <c r="P228" s="10">
        <f t="shared" ref="P228:P230" si="44">M156</f>
        <v>0.4</v>
      </c>
    </row>
    <row r="229" spans="4:16" x14ac:dyDescent="0.25">
      <c r="D229" s="10" t="s">
        <v>339</v>
      </c>
      <c r="E229" s="10" t="s">
        <v>440</v>
      </c>
      <c r="F229" s="10" t="str">
        <f t="shared" si="41"/>
        <v>Autumn</v>
      </c>
      <c r="G229" s="10">
        <f t="shared" si="41"/>
        <v>0.8</v>
      </c>
      <c r="H229" s="10">
        <f t="shared" si="41"/>
        <v>0.3</v>
      </c>
      <c r="I229" s="10">
        <f t="shared" si="41"/>
        <v>0.7</v>
      </c>
      <c r="J229" s="10">
        <f t="shared" si="41"/>
        <v>0.3</v>
      </c>
      <c r="K229" s="10">
        <f t="shared" si="41"/>
        <v>0.2</v>
      </c>
      <c r="L229" s="10">
        <f t="shared" si="42"/>
        <v>0.2</v>
      </c>
      <c r="M229" s="10">
        <f t="shared" si="42"/>
        <v>0.7</v>
      </c>
      <c r="N229" s="10">
        <f t="shared" si="42"/>
        <v>0.3</v>
      </c>
      <c r="O229" s="10">
        <f t="shared" si="43"/>
        <v>0.3</v>
      </c>
      <c r="P229" s="10">
        <f t="shared" si="44"/>
        <v>0.3</v>
      </c>
    </row>
    <row r="230" spans="4:16" x14ac:dyDescent="0.25">
      <c r="D230" s="10" t="s">
        <v>339</v>
      </c>
      <c r="E230" s="10" t="s">
        <v>440</v>
      </c>
      <c r="F230" s="10" t="str">
        <f t="shared" si="41"/>
        <v>Winter</v>
      </c>
      <c r="G230" s="10">
        <f t="shared" si="41"/>
        <v>0.4</v>
      </c>
      <c r="H230" s="10">
        <f t="shared" si="41"/>
        <v>0.1</v>
      </c>
      <c r="I230" s="10">
        <f t="shared" si="41"/>
        <v>0.4</v>
      </c>
      <c r="J230" s="10">
        <f t="shared" si="41"/>
        <v>0.2</v>
      </c>
      <c r="K230" s="10">
        <f t="shared" si="41"/>
        <v>0.1</v>
      </c>
      <c r="L230" s="10">
        <f t="shared" si="42"/>
        <v>0.1</v>
      </c>
      <c r="M230" s="10">
        <f t="shared" si="42"/>
        <v>0.4</v>
      </c>
      <c r="N230" s="10">
        <f t="shared" si="42"/>
        <v>0.1</v>
      </c>
      <c r="O230" s="10">
        <f t="shared" si="43"/>
        <v>0.1</v>
      </c>
      <c r="P230" s="10">
        <f t="shared" si="44"/>
        <v>0.1</v>
      </c>
    </row>
    <row r="231" spans="4:16" x14ac:dyDescent="0.25">
      <c r="D231" s="10" t="s">
        <v>399</v>
      </c>
      <c r="E231" s="10" t="s">
        <v>440</v>
      </c>
      <c r="F231" s="10" t="str">
        <f>F159</f>
        <v>Spring</v>
      </c>
      <c r="G231" s="10">
        <f>G159</f>
        <v>0.99</v>
      </c>
      <c r="H231" s="10">
        <f t="shared" si="41"/>
        <v>1.1000000000000001</v>
      </c>
      <c r="I231" s="10">
        <f t="shared" si="41"/>
        <v>0.88</v>
      </c>
      <c r="J231" s="10">
        <f t="shared" si="41"/>
        <v>0.55000000000000004</v>
      </c>
      <c r="K231" s="10">
        <f>K159</f>
        <v>0.55000000000000004</v>
      </c>
      <c r="L231" s="10">
        <f>K159</f>
        <v>0.55000000000000004</v>
      </c>
      <c r="M231" s="10">
        <f t="shared" si="42"/>
        <v>0.88</v>
      </c>
      <c r="N231" s="10">
        <f>M159</f>
        <v>0.22</v>
      </c>
      <c r="O231" s="10">
        <f>M159</f>
        <v>0.22</v>
      </c>
      <c r="P231" s="10">
        <f>M159</f>
        <v>0.22</v>
      </c>
    </row>
    <row r="232" spans="4:16" x14ac:dyDescent="0.25">
      <c r="D232" s="10" t="s">
        <v>399</v>
      </c>
      <c r="E232" s="10" t="s">
        <v>440</v>
      </c>
      <c r="F232" s="10" t="str">
        <f t="shared" ref="F232:K247" si="45">F160</f>
        <v>Summer</v>
      </c>
      <c r="G232" s="10">
        <f t="shared" si="45"/>
        <v>0.77</v>
      </c>
      <c r="H232" s="10">
        <f t="shared" si="45"/>
        <v>0</v>
      </c>
      <c r="I232" s="10">
        <f t="shared" si="45"/>
        <v>0.66</v>
      </c>
      <c r="J232" s="10">
        <f t="shared" si="45"/>
        <v>0.22</v>
      </c>
      <c r="K232" s="10">
        <f t="shared" si="45"/>
        <v>0</v>
      </c>
      <c r="L232" s="10">
        <f t="shared" ref="L232:N247" si="46">K160</f>
        <v>0</v>
      </c>
      <c r="M232" s="10">
        <f t="shared" si="46"/>
        <v>0.66</v>
      </c>
      <c r="N232" s="10">
        <f t="shared" si="46"/>
        <v>0</v>
      </c>
      <c r="O232" s="10">
        <f t="shared" ref="O232:O254" si="47">M160</f>
        <v>0</v>
      </c>
      <c r="P232" s="10">
        <f t="shared" ref="P232:P254" si="48">M160</f>
        <v>0</v>
      </c>
    </row>
    <row r="233" spans="4:16" x14ac:dyDescent="0.25">
      <c r="D233" s="10" t="s">
        <v>399</v>
      </c>
      <c r="E233" s="10" t="s">
        <v>440</v>
      </c>
      <c r="F233" s="10" t="str">
        <f t="shared" si="45"/>
        <v>Autumn</v>
      </c>
      <c r="G233" s="10">
        <f t="shared" si="45"/>
        <v>0.9</v>
      </c>
      <c r="H233" s="10">
        <f t="shared" si="45"/>
        <v>-1.1000000000000001</v>
      </c>
      <c r="I233" s="10">
        <f t="shared" si="45"/>
        <v>0.7</v>
      </c>
      <c r="J233" s="10">
        <f t="shared" si="45"/>
        <v>0.22</v>
      </c>
      <c r="K233" s="10">
        <f t="shared" si="45"/>
        <v>-0.55000000000000004</v>
      </c>
      <c r="L233" s="10">
        <f t="shared" si="46"/>
        <v>-0.55000000000000004</v>
      </c>
      <c r="M233" s="10">
        <f t="shared" si="46"/>
        <v>0.8</v>
      </c>
      <c r="N233" s="10">
        <f t="shared" si="46"/>
        <v>-0.22</v>
      </c>
      <c r="O233" s="10">
        <f t="shared" si="47"/>
        <v>-0.22</v>
      </c>
      <c r="P233" s="10">
        <f t="shared" si="48"/>
        <v>-0.22</v>
      </c>
    </row>
    <row r="234" spans="4:16" x14ac:dyDescent="0.25">
      <c r="D234" s="10" t="s">
        <v>399</v>
      </c>
      <c r="E234" s="10" t="s">
        <v>440</v>
      </c>
      <c r="F234" s="10" t="str">
        <f t="shared" si="45"/>
        <v>Winter</v>
      </c>
      <c r="G234" s="10">
        <f t="shared" si="45"/>
        <v>0.88</v>
      </c>
      <c r="H234" s="10">
        <f t="shared" si="45"/>
        <v>0</v>
      </c>
      <c r="I234" s="10">
        <f t="shared" si="45"/>
        <v>0.77</v>
      </c>
      <c r="J234" s="10">
        <f t="shared" si="45"/>
        <v>0.55000000000000004</v>
      </c>
      <c r="K234" s="10">
        <f t="shared" si="45"/>
        <v>0</v>
      </c>
      <c r="L234" s="10">
        <f t="shared" si="46"/>
        <v>0</v>
      </c>
      <c r="M234" s="10">
        <f t="shared" si="46"/>
        <v>0.82</v>
      </c>
      <c r="N234" s="10">
        <f t="shared" si="46"/>
        <v>0</v>
      </c>
      <c r="O234" s="10">
        <f t="shared" si="47"/>
        <v>0</v>
      </c>
      <c r="P234" s="10">
        <f t="shared" si="48"/>
        <v>0</v>
      </c>
    </row>
    <row r="235" spans="4:16" x14ac:dyDescent="0.25">
      <c r="D235" s="10" t="s">
        <v>395</v>
      </c>
      <c r="E235" s="10" t="s">
        <v>440</v>
      </c>
      <c r="F235" s="10" t="str">
        <f t="shared" si="45"/>
        <v>Spring</v>
      </c>
      <c r="G235" s="10">
        <f t="shared" si="45"/>
        <v>1</v>
      </c>
      <c r="H235" s="10">
        <f t="shared" si="45"/>
        <v>0.5</v>
      </c>
      <c r="I235" s="10">
        <f t="shared" si="45"/>
        <v>1</v>
      </c>
      <c r="J235" s="10">
        <f t="shared" si="45"/>
        <v>1</v>
      </c>
      <c r="K235" s="10">
        <f t="shared" si="45"/>
        <v>-0.44</v>
      </c>
      <c r="L235" s="10">
        <f t="shared" si="46"/>
        <v>-0.44</v>
      </c>
      <c r="M235" s="10">
        <f t="shared" si="46"/>
        <v>1</v>
      </c>
      <c r="N235" s="10">
        <f t="shared" si="46"/>
        <v>0.5</v>
      </c>
      <c r="O235" s="10">
        <f t="shared" si="47"/>
        <v>0.5</v>
      </c>
      <c r="P235" s="10">
        <f t="shared" si="48"/>
        <v>0.5</v>
      </c>
    </row>
    <row r="236" spans="4:16" x14ac:dyDescent="0.25">
      <c r="D236" s="10" t="s">
        <v>395</v>
      </c>
      <c r="E236" s="10" t="s">
        <v>440</v>
      </c>
      <c r="F236" s="10" t="str">
        <f t="shared" si="45"/>
        <v>Summer</v>
      </c>
      <c r="G236" s="10">
        <f t="shared" si="45"/>
        <v>0.82</v>
      </c>
      <c r="H236" s="10">
        <f t="shared" si="45"/>
        <v>0.55000000000000004</v>
      </c>
      <c r="I236" s="10">
        <f t="shared" si="45"/>
        <v>0.71</v>
      </c>
      <c r="J236" s="10">
        <f t="shared" si="45"/>
        <v>0.55000000000000004</v>
      </c>
      <c r="K236" s="10">
        <f t="shared" si="45"/>
        <v>0.99</v>
      </c>
      <c r="L236" s="10">
        <f t="shared" si="46"/>
        <v>0.99</v>
      </c>
      <c r="M236" s="10">
        <f t="shared" si="46"/>
        <v>0.77</v>
      </c>
      <c r="N236" s="10">
        <f t="shared" si="46"/>
        <v>0.5</v>
      </c>
      <c r="O236" s="10">
        <f t="shared" si="47"/>
        <v>0.5</v>
      </c>
      <c r="P236" s="10">
        <f t="shared" si="48"/>
        <v>0.5</v>
      </c>
    </row>
    <row r="237" spans="4:16" x14ac:dyDescent="0.25">
      <c r="D237" s="10" t="s">
        <v>395</v>
      </c>
      <c r="E237" s="10" t="s">
        <v>440</v>
      </c>
      <c r="F237" s="10" t="str">
        <f t="shared" si="45"/>
        <v>Autumn</v>
      </c>
      <c r="G237" s="10">
        <f t="shared" si="45"/>
        <v>0.77</v>
      </c>
      <c r="H237" s="10">
        <f t="shared" si="45"/>
        <v>0.5</v>
      </c>
      <c r="I237" s="10">
        <f t="shared" si="45"/>
        <v>0.55000000000000004</v>
      </c>
      <c r="J237" s="10">
        <f t="shared" si="45"/>
        <v>0.11</v>
      </c>
      <c r="K237" s="10">
        <f t="shared" si="45"/>
        <v>-0.33</v>
      </c>
      <c r="L237" s="10">
        <f t="shared" si="46"/>
        <v>-0.33</v>
      </c>
      <c r="M237" s="10">
        <f t="shared" si="46"/>
        <v>0.6</v>
      </c>
      <c r="N237" s="10">
        <f t="shared" si="46"/>
        <v>0.33</v>
      </c>
      <c r="O237" s="10">
        <f t="shared" si="47"/>
        <v>0.33</v>
      </c>
      <c r="P237" s="10">
        <f t="shared" si="48"/>
        <v>0.33</v>
      </c>
    </row>
    <row r="238" spans="4:16" x14ac:dyDescent="0.25">
      <c r="D238" s="10" t="s">
        <v>395</v>
      </c>
      <c r="E238" s="10" t="s">
        <v>440</v>
      </c>
      <c r="F238" s="10" t="str">
        <f t="shared" si="45"/>
        <v>Winter</v>
      </c>
      <c r="G238" s="10">
        <f t="shared" si="45"/>
        <v>0.11</v>
      </c>
      <c r="H238" s="10">
        <f t="shared" si="45"/>
        <v>-0.27</v>
      </c>
      <c r="I238" s="10">
        <f t="shared" si="45"/>
        <v>0.11</v>
      </c>
      <c r="J238" s="10">
        <f t="shared" si="45"/>
        <v>0.22</v>
      </c>
      <c r="K238" s="10">
        <f t="shared" si="45"/>
        <v>-0.44</v>
      </c>
      <c r="L238" s="10">
        <f t="shared" si="46"/>
        <v>-0.44</v>
      </c>
      <c r="M238" s="10">
        <f t="shared" si="46"/>
        <v>0.16</v>
      </c>
      <c r="N238" s="10">
        <f t="shared" si="46"/>
        <v>-0.22</v>
      </c>
      <c r="O238" s="10">
        <f t="shared" si="47"/>
        <v>-0.22</v>
      </c>
      <c r="P238" s="10">
        <f t="shared" si="48"/>
        <v>-0.22</v>
      </c>
    </row>
    <row r="239" spans="4:16" x14ac:dyDescent="0.25">
      <c r="D239" s="10" t="s">
        <v>345</v>
      </c>
      <c r="E239" s="10" t="s">
        <v>440</v>
      </c>
      <c r="F239" s="10" t="str">
        <f t="shared" si="45"/>
        <v>Spring</v>
      </c>
      <c r="G239" s="10">
        <f t="shared" si="45"/>
        <v>1.1000000000000001</v>
      </c>
      <c r="H239" s="10">
        <f t="shared" si="45"/>
        <v>1.1000000000000001</v>
      </c>
      <c r="I239" s="10">
        <f t="shared" si="45"/>
        <v>1.1000000000000001</v>
      </c>
      <c r="J239" s="10">
        <f t="shared" si="45"/>
        <v>0.99</v>
      </c>
      <c r="K239" s="10">
        <f t="shared" si="45"/>
        <v>0.99</v>
      </c>
      <c r="L239" s="10">
        <f t="shared" si="46"/>
        <v>0.99</v>
      </c>
      <c r="M239" s="10">
        <f t="shared" si="46"/>
        <v>1.1000000000000001</v>
      </c>
      <c r="N239" s="10">
        <f t="shared" si="46"/>
        <v>0.77</v>
      </c>
      <c r="O239" s="10">
        <f t="shared" si="47"/>
        <v>0.77</v>
      </c>
      <c r="P239" s="10">
        <f t="shared" si="48"/>
        <v>0.77</v>
      </c>
    </row>
    <row r="240" spans="4:16" x14ac:dyDescent="0.25">
      <c r="D240" s="10" t="s">
        <v>345</v>
      </c>
      <c r="E240" s="10" t="s">
        <v>440</v>
      </c>
      <c r="F240" s="10" t="str">
        <f t="shared" si="45"/>
        <v>Summer</v>
      </c>
      <c r="G240" s="10">
        <f t="shared" si="45"/>
        <v>0.33</v>
      </c>
      <c r="H240" s="10">
        <f t="shared" si="45"/>
        <v>0.33</v>
      </c>
      <c r="I240" s="10">
        <f t="shared" si="45"/>
        <v>0.22</v>
      </c>
      <c r="J240" s="10">
        <f t="shared" si="45"/>
        <v>0.33</v>
      </c>
      <c r="K240" s="10">
        <f t="shared" si="45"/>
        <v>-0.1</v>
      </c>
      <c r="L240" s="10">
        <f t="shared" si="46"/>
        <v>-0.1</v>
      </c>
      <c r="M240" s="10">
        <f t="shared" si="46"/>
        <v>0.33</v>
      </c>
      <c r="N240" s="10">
        <f t="shared" si="46"/>
        <v>0.11</v>
      </c>
      <c r="O240" s="10">
        <f t="shared" si="47"/>
        <v>0.11</v>
      </c>
      <c r="P240" s="10">
        <f t="shared" si="48"/>
        <v>0.11</v>
      </c>
    </row>
    <row r="241" spans="4:16" x14ac:dyDescent="0.25">
      <c r="D241" s="10" t="s">
        <v>345</v>
      </c>
      <c r="E241" s="10" t="s">
        <v>440</v>
      </c>
      <c r="F241" s="10" t="str">
        <f t="shared" si="45"/>
        <v>Autumn</v>
      </c>
      <c r="G241" s="10">
        <f t="shared" si="45"/>
        <v>0.5</v>
      </c>
      <c r="H241" s="10">
        <f t="shared" si="45"/>
        <v>0.2</v>
      </c>
      <c r="I241" s="10">
        <f t="shared" si="45"/>
        <v>0.55000000000000004</v>
      </c>
      <c r="J241" s="10">
        <f t="shared" si="45"/>
        <v>0.44</v>
      </c>
      <c r="K241" s="10">
        <f t="shared" si="45"/>
        <v>0.2</v>
      </c>
      <c r="L241" s="10">
        <f t="shared" si="46"/>
        <v>0.2</v>
      </c>
      <c r="M241" s="10">
        <f t="shared" si="46"/>
        <v>0.55000000000000004</v>
      </c>
      <c r="N241" s="10">
        <f t="shared" si="46"/>
        <v>0.2</v>
      </c>
      <c r="O241" s="10">
        <f t="shared" si="47"/>
        <v>0.2</v>
      </c>
      <c r="P241" s="10">
        <f t="shared" si="48"/>
        <v>0.2</v>
      </c>
    </row>
    <row r="242" spans="4:16" x14ac:dyDescent="0.25">
      <c r="D242" s="10" t="s">
        <v>345</v>
      </c>
      <c r="E242" s="10" t="s">
        <v>440</v>
      </c>
      <c r="F242" s="10" t="str">
        <f t="shared" si="45"/>
        <v>Winter</v>
      </c>
      <c r="G242" s="10">
        <f t="shared" si="45"/>
        <v>0.55000000000000004</v>
      </c>
      <c r="H242" s="10">
        <f t="shared" si="45"/>
        <v>0.22</v>
      </c>
      <c r="I242" s="10">
        <f t="shared" si="45"/>
        <v>0.49</v>
      </c>
      <c r="J242" s="10">
        <f t="shared" si="45"/>
        <v>0.22</v>
      </c>
      <c r="K242" s="10">
        <f t="shared" si="45"/>
        <v>0.22</v>
      </c>
      <c r="L242" s="10">
        <f t="shared" si="46"/>
        <v>0.22</v>
      </c>
      <c r="M242" s="10">
        <f t="shared" si="46"/>
        <v>0.49</v>
      </c>
      <c r="N242" s="10">
        <f t="shared" si="46"/>
        <v>0.33</v>
      </c>
      <c r="O242" s="10">
        <f t="shared" si="47"/>
        <v>0.33</v>
      </c>
      <c r="P242" s="10">
        <f t="shared" si="48"/>
        <v>0.33</v>
      </c>
    </row>
    <row r="243" spans="4:16" x14ac:dyDescent="0.25">
      <c r="D243" s="10" t="s">
        <v>346</v>
      </c>
      <c r="E243" s="10" t="str">
        <f>E171</f>
        <v>South West</v>
      </c>
      <c r="F243" s="10" t="str">
        <f t="shared" si="45"/>
        <v>Spring</v>
      </c>
      <c r="G243" s="10">
        <f t="shared" si="45"/>
        <v>1.64</v>
      </c>
      <c r="H243" s="10">
        <f t="shared" si="45"/>
        <v>1.1000000000000001</v>
      </c>
      <c r="I243" s="10">
        <f t="shared" si="45"/>
        <v>1.21</v>
      </c>
      <c r="J243" s="10">
        <f t="shared" si="45"/>
        <v>0.99</v>
      </c>
      <c r="K243" s="10">
        <f t="shared" si="45"/>
        <v>0.66</v>
      </c>
      <c r="L243" s="10">
        <f t="shared" si="46"/>
        <v>0.66</v>
      </c>
      <c r="M243" s="10">
        <f t="shared" si="46"/>
        <v>1.42</v>
      </c>
      <c r="N243" s="10">
        <f t="shared" si="46"/>
        <v>1.1000000000000001</v>
      </c>
      <c r="O243" s="10">
        <f t="shared" si="47"/>
        <v>1.1000000000000001</v>
      </c>
      <c r="P243" s="10">
        <f t="shared" si="48"/>
        <v>1.1000000000000001</v>
      </c>
    </row>
    <row r="244" spans="4:16" x14ac:dyDescent="0.25">
      <c r="D244" s="10" t="s">
        <v>346</v>
      </c>
      <c r="E244" s="10" t="str">
        <f t="shared" ref="E244:K254" si="49">E172</f>
        <v>South West</v>
      </c>
      <c r="F244" s="10" t="str">
        <f t="shared" si="45"/>
        <v>Summer</v>
      </c>
      <c r="G244" s="10">
        <f t="shared" si="45"/>
        <v>0.44</v>
      </c>
      <c r="H244" s="10">
        <f t="shared" si="45"/>
        <v>-0.22</v>
      </c>
      <c r="I244" s="10">
        <f t="shared" si="45"/>
        <v>0.44</v>
      </c>
      <c r="J244" s="10">
        <f t="shared" si="45"/>
        <v>0.33</v>
      </c>
      <c r="K244" s="10">
        <f t="shared" si="45"/>
        <v>-0.22</v>
      </c>
      <c r="L244" s="10">
        <f t="shared" si="46"/>
        <v>-0.22</v>
      </c>
      <c r="M244" s="10">
        <f t="shared" si="46"/>
        <v>0.44</v>
      </c>
      <c r="N244" s="10">
        <f t="shared" si="46"/>
        <v>-0.11</v>
      </c>
      <c r="O244" s="10">
        <f t="shared" si="47"/>
        <v>-0.11</v>
      </c>
      <c r="P244" s="10">
        <f t="shared" si="48"/>
        <v>-0.11</v>
      </c>
    </row>
    <row r="245" spans="4:16" x14ac:dyDescent="0.25">
      <c r="D245" s="10" t="s">
        <v>346</v>
      </c>
      <c r="E245" s="10" t="str">
        <f t="shared" si="49"/>
        <v>South West</v>
      </c>
      <c r="F245" s="10" t="str">
        <f t="shared" si="45"/>
        <v>Autumn</v>
      </c>
      <c r="G245" s="10">
        <f t="shared" si="45"/>
        <v>0.6</v>
      </c>
      <c r="H245" s="10">
        <f t="shared" si="45"/>
        <v>0</v>
      </c>
      <c r="I245" s="10">
        <f t="shared" si="45"/>
        <v>0.6</v>
      </c>
      <c r="J245" s="10">
        <f t="shared" si="45"/>
        <v>0.22</v>
      </c>
      <c r="K245" s="10">
        <f t="shared" si="45"/>
        <v>-0.55000000000000004</v>
      </c>
      <c r="L245" s="10">
        <f t="shared" si="46"/>
        <v>-0.55000000000000004</v>
      </c>
      <c r="M245" s="10">
        <f t="shared" si="46"/>
        <v>0.6</v>
      </c>
      <c r="N245" s="10">
        <f t="shared" si="46"/>
        <v>0</v>
      </c>
      <c r="O245" s="10">
        <f t="shared" si="47"/>
        <v>0</v>
      </c>
      <c r="P245" s="10">
        <f t="shared" si="48"/>
        <v>0</v>
      </c>
    </row>
    <row r="246" spans="4:16" x14ac:dyDescent="0.25">
      <c r="D246" s="10" t="s">
        <v>346</v>
      </c>
      <c r="E246" s="10" t="str">
        <f t="shared" si="49"/>
        <v>South West</v>
      </c>
      <c r="F246" s="10" t="str">
        <f t="shared" si="45"/>
        <v>Winter</v>
      </c>
      <c r="G246" s="10">
        <f t="shared" si="45"/>
        <v>0.99</v>
      </c>
      <c r="H246" s="10">
        <f t="shared" si="45"/>
        <v>0.22</v>
      </c>
      <c r="I246" s="10">
        <f t="shared" si="45"/>
        <v>0.77</v>
      </c>
      <c r="J246" s="10">
        <f t="shared" si="45"/>
        <v>0.11</v>
      </c>
      <c r="K246" s="10">
        <f t="shared" si="45"/>
        <v>0.11</v>
      </c>
      <c r="L246" s="10">
        <f t="shared" si="46"/>
        <v>0.11</v>
      </c>
      <c r="M246" s="10">
        <f t="shared" si="46"/>
        <v>0.77</v>
      </c>
      <c r="N246" s="10">
        <f t="shared" si="46"/>
        <v>0.44</v>
      </c>
      <c r="O246" s="10">
        <f t="shared" si="47"/>
        <v>0.44</v>
      </c>
      <c r="P246" s="10">
        <f t="shared" si="48"/>
        <v>0.44</v>
      </c>
    </row>
    <row r="247" spans="4:16" x14ac:dyDescent="0.25">
      <c r="D247" s="10" t="s">
        <v>346</v>
      </c>
      <c r="E247" s="10" t="str">
        <f t="shared" si="49"/>
        <v>Pilbara</v>
      </c>
      <c r="F247" s="10" t="str">
        <f t="shared" si="45"/>
        <v>Spring</v>
      </c>
      <c r="G247" s="10">
        <f t="shared" si="45"/>
        <v>0.7</v>
      </c>
      <c r="H247" s="10">
        <f t="shared" si="45"/>
        <v>-0.55000000000000004</v>
      </c>
      <c r="I247" s="10">
        <f t="shared" si="45"/>
        <v>0.7</v>
      </c>
      <c r="J247" s="10">
        <f t="shared" si="45"/>
        <v>0.22</v>
      </c>
      <c r="K247" s="10">
        <f t="shared" si="45"/>
        <v>-0.22</v>
      </c>
      <c r="L247" s="10">
        <f t="shared" si="46"/>
        <v>-0.22</v>
      </c>
      <c r="M247" s="10">
        <f t="shared" si="46"/>
        <v>0.7</v>
      </c>
      <c r="N247" s="10">
        <f t="shared" si="46"/>
        <v>-0.22</v>
      </c>
      <c r="O247" s="10">
        <f t="shared" si="47"/>
        <v>-0.22</v>
      </c>
      <c r="P247" s="10">
        <f t="shared" si="48"/>
        <v>-0.22</v>
      </c>
    </row>
    <row r="248" spans="4:16" x14ac:dyDescent="0.25">
      <c r="D248" s="10" t="s">
        <v>346</v>
      </c>
      <c r="E248" s="10" t="str">
        <f t="shared" si="49"/>
        <v>Pilbara</v>
      </c>
      <c r="F248" s="10" t="str">
        <f t="shared" si="49"/>
        <v>Summer</v>
      </c>
      <c r="G248" s="10">
        <f t="shared" si="49"/>
        <v>0.77</v>
      </c>
      <c r="H248" s="10">
        <f t="shared" si="49"/>
        <v>0.55000000000000004</v>
      </c>
      <c r="I248" s="10">
        <f t="shared" si="49"/>
        <v>0.77</v>
      </c>
      <c r="J248" s="10">
        <f t="shared" si="49"/>
        <v>0.66</v>
      </c>
      <c r="K248" s="10">
        <f t="shared" si="49"/>
        <v>0.55000000000000004</v>
      </c>
      <c r="L248" s="10">
        <f t="shared" ref="L248:N254" si="50">K176</f>
        <v>0.55000000000000004</v>
      </c>
      <c r="M248" s="10">
        <f t="shared" si="50"/>
        <v>0.77</v>
      </c>
      <c r="N248" s="10">
        <f t="shared" si="50"/>
        <v>0.33</v>
      </c>
      <c r="O248" s="10">
        <f t="shared" si="47"/>
        <v>0.33</v>
      </c>
      <c r="P248" s="10">
        <f t="shared" si="48"/>
        <v>0.33</v>
      </c>
    </row>
    <row r="249" spans="4:16" x14ac:dyDescent="0.25">
      <c r="D249" s="10" t="s">
        <v>346</v>
      </c>
      <c r="E249" s="10" t="str">
        <f t="shared" si="49"/>
        <v>Pilbara</v>
      </c>
      <c r="F249" s="10" t="str">
        <f t="shared" si="49"/>
        <v>Autumn</v>
      </c>
      <c r="G249" s="10">
        <f t="shared" si="49"/>
        <v>0.88</v>
      </c>
      <c r="H249" s="10">
        <f t="shared" si="49"/>
        <v>0.55000000000000004</v>
      </c>
      <c r="I249" s="10">
        <f t="shared" si="49"/>
        <v>0.88</v>
      </c>
      <c r="J249" s="10">
        <f t="shared" si="49"/>
        <v>0.22</v>
      </c>
      <c r="K249" s="10">
        <f t="shared" si="49"/>
        <v>0.22</v>
      </c>
      <c r="L249" s="10">
        <f t="shared" si="50"/>
        <v>0.22</v>
      </c>
      <c r="M249" s="10">
        <f t="shared" si="50"/>
        <v>0.88</v>
      </c>
      <c r="N249" s="10">
        <f t="shared" si="50"/>
        <v>0.22</v>
      </c>
      <c r="O249" s="10">
        <f t="shared" si="47"/>
        <v>0.22</v>
      </c>
      <c r="P249" s="10">
        <f t="shared" si="48"/>
        <v>0.22</v>
      </c>
    </row>
    <row r="250" spans="4:16" x14ac:dyDescent="0.25">
      <c r="D250" s="10" t="s">
        <v>346</v>
      </c>
      <c r="E250" s="10" t="str">
        <f t="shared" si="49"/>
        <v>Pilbara</v>
      </c>
      <c r="F250" s="10" t="str">
        <f t="shared" si="49"/>
        <v>Winter</v>
      </c>
      <c r="G250" s="10">
        <f t="shared" si="49"/>
        <v>0.22</v>
      </c>
      <c r="H250" s="10">
        <f t="shared" si="49"/>
        <v>-0.55000000000000004</v>
      </c>
      <c r="I250" s="10">
        <f t="shared" si="49"/>
        <v>0.22</v>
      </c>
      <c r="J250" s="10">
        <f t="shared" si="49"/>
        <v>0.11</v>
      </c>
      <c r="K250" s="10">
        <f t="shared" si="49"/>
        <v>-0.22</v>
      </c>
      <c r="L250" s="10">
        <f t="shared" si="50"/>
        <v>-0.22</v>
      </c>
      <c r="M250" s="10">
        <f t="shared" si="50"/>
        <v>0.22</v>
      </c>
      <c r="N250" s="10">
        <f t="shared" si="50"/>
        <v>-0.33</v>
      </c>
      <c r="O250" s="10">
        <f t="shared" si="47"/>
        <v>-0.33</v>
      </c>
      <c r="P250" s="10">
        <f t="shared" si="48"/>
        <v>-0.33</v>
      </c>
    </row>
    <row r="251" spans="4:16" x14ac:dyDescent="0.25">
      <c r="D251" s="10" t="s">
        <v>346</v>
      </c>
      <c r="E251" s="10" t="str">
        <f t="shared" si="49"/>
        <v>Kimberley</v>
      </c>
      <c r="F251" s="10" t="str">
        <f t="shared" si="49"/>
        <v>Spring</v>
      </c>
      <c r="G251" s="10">
        <f t="shared" si="49"/>
        <v>0.22</v>
      </c>
      <c r="H251" s="10">
        <f t="shared" si="49"/>
        <v>-0.55000000000000004</v>
      </c>
      <c r="I251" s="10">
        <f t="shared" si="49"/>
        <v>0.33</v>
      </c>
      <c r="J251" s="10">
        <f t="shared" si="49"/>
        <v>0.22</v>
      </c>
      <c r="K251" s="10">
        <f t="shared" si="49"/>
        <v>-0.33</v>
      </c>
      <c r="L251" s="10">
        <f t="shared" si="50"/>
        <v>-0.33</v>
      </c>
      <c r="M251" s="10">
        <f t="shared" si="50"/>
        <v>0.22</v>
      </c>
      <c r="N251" s="10">
        <f t="shared" si="50"/>
        <v>-0.55000000000000004</v>
      </c>
      <c r="O251" s="10">
        <f t="shared" si="47"/>
        <v>-0.55000000000000004</v>
      </c>
      <c r="P251" s="10">
        <f t="shared" si="48"/>
        <v>-0.55000000000000004</v>
      </c>
    </row>
    <row r="252" spans="4:16" x14ac:dyDescent="0.25">
      <c r="D252" s="10" t="s">
        <v>346</v>
      </c>
      <c r="E252" s="10" t="str">
        <f t="shared" si="49"/>
        <v>Kimberley</v>
      </c>
      <c r="F252" s="10" t="str">
        <f t="shared" si="49"/>
        <v>Summer</v>
      </c>
      <c r="G252" s="10">
        <f t="shared" si="49"/>
        <v>0.8</v>
      </c>
      <c r="H252" s="10">
        <f t="shared" si="49"/>
        <v>0.55000000000000004</v>
      </c>
      <c r="I252" s="10">
        <f t="shared" si="49"/>
        <v>0.7</v>
      </c>
      <c r="J252" s="10">
        <f t="shared" si="49"/>
        <v>0.44</v>
      </c>
      <c r="K252" s="10">
        <f t="shared" si="49"/>
        <v>0.66</v>
      </c>
      <c r="L252" s="10">
        <f t="shared" si="50"/>
        <v>0.66</v>
      </c>
      <c r="M252" s="10">
        <f t="shared" si="50"/>
        <v>0.8</v>
      </c>
      <c r="N252" s="10">
        <f t="shared" si="50"/>
        <v>0.55000000000000004</v>
      </c>
      <c r="O252" s="10">
        <f t="shared" si="47"/>
        <v>0.55000000000000004</v>
      </c>
      <c r="P252" s="10">
        <f t="shared" si="48"/>
        <v>0.55000000000000004</v>
      </c>
    </row>
    <row r="253" spans="4:16" x14ac:dyDescent="0.25">
      <c r="D253" s="10" t="s">
        <v>346</v>
      </c>
      <c r="E253" s="10" t="str">
        <f t="shared" si="49"/>
        <v>Kimberley</v>
      </c>
      <c r="F253" s="10" t="str">
        <f t="shared" si="49"/>
        <v>Autumn</v>
      </c>
      <c r="G253" s="10">
        <f t="shared" si="49"/>
        <v>0.66</v>
      </c>
      <c r="H253" s="10">
        <f t="shared" si="49"/>
        <v>0.55000000000000004</v>
      </c>
      <c r="I253" s="10">
        <f t="shared" si="49"/>
        <v>0.55000000000000004</v>
      </c>
      <c r="J253" s="10">
        <f t="shared" si="49"/>
        <v>0.55000000000000004</v>
      </c>
      <c r="K253" s="10">
        <f t="shared" si="49"/>
        <v>0.11</v>
      </c>
      <c r="L253" s="10">
        <f t="shared" si="50"/>
        <v>0.11</v>
      </c>
      <c r="M253" s="10">
        <f t="shared" si="50"/>
        <v>0.66</v>
      </c>
      <c r="N253" s="10">
        <f t="shared" si="50"/>
        <v>0.55000000000000004</v>
      </c>
      <c r="O253" s="10">
        <f t="shared" si="47"/>
        <v>0.55000000000000004</v>
      </c>
      <c r="P253" s="10">
        <f t="shared" si="48"/>
        <v>0.55000000000000004</v>
      </c>
    </row>
    <row r="254" spans="4:16" x14ac:dyDescent="0.25">
      <c r="D254" s="10" t="s">
        <v>346</v>
      </c>
      <c r="E254" s="10" t="str">
        <f t="shared" si="49"/>
        <v>Kimberley</v>
      </c>
      <c r="F254" s="10" t="str">
        <f t="shared" si="49"/>
        <v>Winter</v>
      </c>
      <c r="G254" s="10">
        <f t="shared" si="49"/>
        <v>0.33</v>
      </c>
      <c r="H254" s="10">
        <f t="shared" si="49"/>
        <v>-0.55000000000000004</v>
      </c>
      <c r="I254" s="10">
        <f t="shared" si="49"/>
        <v>0.11</v>
      </c>
      <c r="J254" s="10">
        <f t="shared" si="49"/>
        <v>0.11</v>
      </c>
      <c r="K254" s="10">
        <f t="shared" si="49"/>
        <v>-0.44</v>
      </c>
      <c r="L254" s="10">
        <f t="shared" si="50"/>
        <v>-0.44</v>
      </c>
      <c r="M254" s="10">
        <f t="shared" si="50"/>
        <v>0.33</v>
      </c>
      <c r="N254" s="10">
        <f t="shared" si="50"/>
        <v>-0.55000000000000004</v>
      </c>
      <c r="O254" s="10">
        <f t="shared" si="47"/>
        <v>-0.55000000000000004</v>
      </c>
      <c r="P254" s="10">
        <f t="shared" si="48"/>
        <v>-0.55000000000000004</v>
      </c>
    </row>
    <row r="255" spans="4:16" x14ac:dyDescent="0.25">
      <c r="D255" s="10" t="s">
        <v>441</v>
      </c>
      <c r="E255" s="10" t="str">
        <f>E190</f>
        <v>Alice Springs</v>
      </c>
      <c r="F255" s="10" t="str">
        <f>F190</f>
        <v>Spring</v>
      </c>
      <c r="G255" s="10">
        <f>G190</f>
        <v>0.22</v>
      </c>
      <c r="H255" s="10">
        <f t="shared" ref="H255:P255" si="51">H190</f>
        <v>-0.23</v>
      </c>
      <c r="I255" s="10">
        <f t="shared" si="51"/>
        <v>0.25</v>
      </c>
      <c r="J255" s="10">
        <f t="shared" si="51"/>
        <v>0.17</v>
      </c>
      <c r="K255" s="10">
        <f t="shared" si="51"/>
        <v>0.18</v>
      </c>
      <c r="L255" s="10">
        <f t="shared" si="51"/>
        <v>-0.28000000000000003</v>
      </c>
      <c r="M255" s="10">
        <f t="shared" si="51"/>
        <v>0.32</v>
      </c>
      <c r="N255" s="10">
        <f t="shared" si="51"/>
        <v>0.24</v>
      </c>
      <c r="O255" s="10">
        <f t="shared" si="51"/>
        <v>0.25</v>
      </c>
      <c r="P255" s="10">
        <f t="shared" si="51"/>
        <v>-0.05</v>
      </c>
    </row>
    <row r="256" spans="4:16" x14ac:dyDescent="0.25">
      <c r="D256" s="10" t="s">
        <v>441</v>
      </c>
      <c r="E256" s="10" t="str">
        <f t="shared" ref="E256:P271" si="52">E191</f>
        <v>Alice Springs</v>
      </c>
      <c r="F256" s="10" t="str">
        <f t="shared" si="52"/>
        <v>Summer</v>
      </c>
      <c r="G256" s="10">
        <f t="shared" si="52"/>
        <v>0.66</v>
      </c>
      <c r="H256" s="10">
        <f t="shared" si="52"/>
        <v>0.2</v>
      </c>
      <c r="I256" s="10">
        <f t="shared" si="52"/>
        <v>0.62</v>
      </c>
      <c r="J256" s="10">
        <f t="shared" si="52"/>
        <v>0.54</v>
      </c>
      <c r="K256" s="10">
        <f t="shared" si="52"/>
        <v>0.38</v>
      </c>
      <c r="L256" s="10">
        <f t="shared" si="52"/>
        <v>0.27</v>
      </c>
      <c r="M256" s="10">
        <f t="shared" si="52"/>
        <v>0.75</v>
      </c>
      <c r="N256" s="10">
        <f t="shared" si="52"/>
        <v>0.64</v>
      </c>
      <c r="O256" s="10">
        <f t="shared" si="52"/>
        <v>0.55000000000000004</v>
      </c>
      <c r="P256" s="10">
        <f t="shared" si="52"/>
        <v>0.48</v>
      </c>
    </row>
    <row r="257" spans="4:16" x14ac:dyDescent="0.25">
      <c r="D257" s="10" t="s">
        <v>441</v>
      </c>
      <c r="E257" s="10" t="str">
        <f t="shared" si="52"/>
        <v>Alice Springs</v>
      </c>
      <c r="F257" s="10" t="str">
        <f t="shared" si="52"/>
        <v>Autumn</v>
      </c>
      <c r="G257" s="10">
        <f t="shared" si="52"/>
        <v>0.49</v>
      </c>
      <c r="H257" s="10">
        <f t="shared" si="52"/>
        <v>0.13</v>
      </c>
      <c r="I257" s="10">
        <f t="shared" si="52"/>
        <v>0.54</v>
      </c>
      <c r="J257" s="10">
        <f t="shared" si="52"/>
        <v>0.45</v>
      </c>
      <c r="K257" s="10">
        <f t="shared" si="52"/>
        <v>0.35</v>
      </c>
      <c r="L257" s="10">
        <f t="shared" si="52"/>
        <v>0.15</v>
      </c>
      <c r="M257" s="10">
        <f t="shared" si="52"/>
        <v>0.63</v>
      </c>
      <c r="N257" s="10">
        <f t="shared" si="52"/>
        <v>0.54</v>
      </c>
      <c r="O257" s="10">
        <f t="shared" si="52"/>
        <v>0.42</v>
      </c>
      <c r="P257" s="10">
        <f t="shared" si="52"/>
        <v>0.26</v>
      </c>
    </row>
    <row r="258" spans="4:16" x14ac:dyDescent="0.25">
      <c r="D258" s="10" t="s">
        <v>441</v>
      </c>
      <c r="E258" s="10" t="str">
        <f t="shared" si="52"/>
        <v>Alice Springs</v>
      </c>
      <c r="F258" s="10" t="str">
        <f t="shared" si="52"/>
        <v>Winter</v>
      </c>
      <c r="G258" s="10">
        <f t="shared" si="52"/>
        <v>0.27</v>
      </c>
      <c r="H258" s="10">
        <f t="shared" si="52"/>
        <v>-0.8</v>
      </c>
      <c r="I258" s="10">
        <f t="shared" si="52"/>
        <v>0.22</v>
      </c>
      <c r="J258" s="10">
        <f t="shared" si="52"/>
        <v>0.09</v>
      </c>
      <c r="K258" s="10">
        <f t="shared" si="52"/>
        <v>0.12</v>
      </c>
      <c r="L258" s="10">
        <f t="shared" si="52"/>
        <v>0.02</v>
      </c>
      <c r="M258" s="10">
        <f t="shared" si="52"/>
        <v>0.25</v>
      </c>
      <c r="N258" s="10">
        <f t="shared" si="52"/>
        <v>0.18</v>
      </c>
      <c r="O258" s="10">
        <f t="shared" si="52"/>
        <v>0.12</v>
      </c>
      <c r="P258" s="10">
        <f t="shared" si="52"/>
        <v>0.03</v>
      </c>
    </row>
    <row r="259" spans="4:16" x14ac:dyDescent="0.25">
      <c r="D259" s="10" t="s">
        <v>441</v>
      </c>
      <c r="E259" s="10" t="str">
        <f t="shared" si="52"/>
        <v>Barkly</v>
      </c>
      <c r="F259" s="10" t="str">
        <f t="shared" si="52"/>
        <v>Spring</v>
      </c>
      <c r="G259" s="10">
        <f t="shared" si="52"/>
        <v>0.22</v>
      </c>
      <c r="H259" s="10">
        <f t="shared" si="52"/>
        <v>-0.44</v>
      </c>
      <c r="I259" s="10">
        <f t="shared" si="52"/>
        <v>0.2</v>
      </c>
      <c r="J259" s="10">
        <f t="shared" si="52"/>
        <v>0.21</v>
      </c>
      <c r="K259" s="10">
        <f t="shared" si="52"/>
        <v>0.18</v>
      </c>
      <c r="L259" s="10">
        <f t="shared" si="52"/>
        <v>0.01</v>
      </c>
      <c r="M259" s="10">
        <f t="shared" si="52"/>
        <v>0.12</v>
      </c>
      <c r="N259" s="10">
        <f t="shared" si="52"/>
        <v>0.09</v>
      </c>
      <c r="O259" s="10" t="str">
        <f t="shared" si="52"/>
        <v>NO</v>
      </c>
      <c r="P259" s="10" t="str">
        <f t="shared" si="52"/>
        <v>NO</v>
      </c>
    </row>
    <row r="260" spans="4:16" x14ac:dyDescent="0.25">
      <c r="D260" s="10" t="s">
        <v>441</v>
      </c>
      <c r="E260" s="10" t="str">
        <f t="shared" si="52"/>
        <v>Barkly</v>
      </c>
      <c r="F260" s="10" t="str">
        <f t="shared" si="52"/>
        <v>Summer</v>
      </c>
      <c r="G260" s="10">
        <f t="shared" si="52"/>
        <v>0.66</v>
      </c>
      <c r="H260" s="10">
        <f t="shared" si="52"/>
        <v>0.22</v>
      </c>
      <c r="I260" s="10">
        <f t="shared" si="52"/>
        <v>0.68</v>
      </c>
      <c r="J260" s="10">
        <f t="shared" si="52"/>
        <v>0.22</v>
      </c>
      <c r="K260" s="10">
        <f t="shared" si="52"/>
        <v>0.24</v>
      </c>
      <c r="L260" s="10">
        <f t="shared" si="52"/>
        <v>0.25</v>
      </c>
      <c r="M260" s="10">
        <f t="shared" si="52"/>
        <v>0.64</v>
      </c>
      <c r="N260" s="10">
        <f t="shared" si="52"/>
        <v>0.37</v>
      </c>
      <c r="O260" s="10" t="str">
        <f t="shared" si="52"/>
        <v>NO</v>
      </c>
      <c r="P260" s="10" t="str">
        <f t="shared" si="52"/>
        <v>NO</v>
      </c>
    </row>
    <row r="261" spans="4:16" x14ac:dyDescent="0.25">
      <c r="D261" s="10" t="s">
        <v>441</v>
      </c>
      <c r="E261" s="10" t="str">
        <f t="shared" si="52"/>
        <v>Barkly</v>
      </c>
      <c r="F261" s="10" t="str">
        <f t="shared" si="52"/>
        <v>Autumn</v>
      </c>
      <c r="G261" s="10">
        <f t="shared" si="52"/>
        <v>0.49</v>
      </c>
      <c r="H261" s="10">
        <f t="shared" si="52"/>
        <v>0.05</v>
      </c>
      <c r="I261" s="10">
        <f t="shared" si="52"/>
        <v>0.64</v>
      </c>
      <c r="J261" s="10">
        <f t="shared" si="52"/>
        <v>0.25</v>
      </c>
      <c r="K261" s="10">
        <f t="shared" si="52"/>
        <v>0.28999999999999998</v>
      </c>
      <c r="L261" s="10">
        <f t="shared" si="52"/>
        <v>0.12</v>
      </c>
      <c r="M261" s="10">
        <f t="shared" si="52"/>
        <v>0.56999999999999995</v>
      </c>
      <c r="N261" s="10">
        <f t="shared" si="52"/>
        <v>0.49</v>
      </c>
      <c r="O261" s="10" t="str">
        <f t="shared" si="52"/>
        <v>NO</v>
      </c>
      <c r="P261" s="10" t="str">
        <f t="shared" si="52"/>
        <v>NO</v>
      </c>
    </row>
    <row r="262" spans="4:16" x14ac:dyDescent="0.25">
      <c r="D262" s="10" t="s">
        <v>441</v>
      </c>
      <c r="E262" s="10" t="str">
        <f t="shared" si="52"/>
        <v>Barkly</v>
      </c>
      <c r="F262" s="10" t="str">
        <f t="shared" si="52"/>
        <v>Winter</v>
      </c>
      <c r="G262" s="10">
        <f t="shared" si="52"/>
        <v>0.27</v>
      </c>
      <c r="H262" s="10">
        <f t="shared" si="52"/>
        <v>-0.27</v>
      </c>
      <c r="I262" s="10">
        <f t="shared" si="52"/>
        <v>0.31</v>
      </c>
      <c r="J262" s="10">
        <f t="shared" si="52"/>
        <v>0.28999999999999998</v>
      </c>
      <c r="K262" s="10">
        <f t="shared" si="52"/>
        <v>0.19</v>
      </c>
      <c r="L262" s="10">
        <f t="shared" si="52"/>
        <v>0.04</v>
      </c>
      <c r="M262" s="10">
        <f t="shared" si="52"/>
        <v>0.26</v>
      </c>
      <c r="N262" s="10">
        <f t="shared" si="52"/>
        <v>0.28000000000000003</v>
      </c>
      <c r="O262" s="10" t="str">
        <f t="shared" si="52"/>
        <v>NO</v>
      </c>
      <c r="P262" s="10" t="str">
        <f t="shared" si="52"/>
        <v>NO</v>
      </c>
    </row>
    <row r="263" spans="4:16" x14ac:dyDescent="0.25">
      <c r="D263" s="10" t="s">
        <v>441</v>
      </c>
      <c r="E263" s="10" t="str">
        <f t="shared" si="52"/>
        <v>Northern</v>
      </c>
      <c r="F263" s="10" t="str">
        <f t="shared" si="52"/>
        <v>Spring</v>
      </c>
      <c r="G263" s="10">
        <f t="shared" si="52"/>
        <v>0.22</v>
      </c>
      <c r="H263" s="10">
        <f t="shared" si="52"/>
        <v>-0.44</v>
      </c>
      <c r="I263" s="10">
        <f t="shared" si="52"/>
        <v>0</v>
      </c>
      <c r="J263" s="10">
        <f t="shared" si="52"/>
        <v>0.15</v>
      </c>
      <c r="K263" s="10">
        <f t="shared" si="52"/>
        <v>0.08</v>
      </c>
      <c r="L263" s="10">
        <f t="shared" si="52"/>
        <v>0.17</v>
      </c>
      <c r="M263" s="10">
        <f t="shared" si="52"/>
        <v>0.06</v>
      </c>
      <c r="N263" s="10">
        <f t="shared" si="52"/>
        <v>0.02</v>
      </c>
      <c r="O263" s="10">
        <f t="shared" si="52"/>
        <v>-0.14000000000000001</v>
      </c>
      <c r="P263" s="10" t="str">
        <f t="shared" si="52"/>
        <v>NO</v>
      </c>
    </row>
    <row r="264" spans="4:16" x14ac:dyDescent="0.25">
      <c r="D264" s="10" t="s">
        <v>441</v>
      </c>
      <c r="E264" s="10" t="str">
        <f t="shared" si="52"/>
        <v>Northern</v>
      </c>
      <c r="F264" s="10" t="str">
        <f t="shared" si="52"/>
        <v>Summer</v>
      </c>
      <c r="G264" s="10">
        <f t="shared" si="52"/>
        <v>0.66</v>
      </c>
      <c r="H264" s="10">
        <f t="shared" si="52"/>
        <v>0.22</v>
      </c>
      <c r="I264" s="10">
        <f t="shared" si="52"/>
        <v>0.79</v>
      </c>
      <c r="J264" s="10">
        <f t="shared" si="52"/>
        <v>0.4</v>
      </c>
      <c r="K264" s="10">
        <f t="shared" si="52"/>
        <v>0.38</v>
      </c>
      <c r="L264" s="10">
        <f t="shared" si="52"/>
        <v>0.27</v>
      </c>
      <c r="M264" s="10">
        <f t="shared" si="52"/>
        <v>0.8</v>
      </c>
      <c r="N264" s="10">
        <f t="shared" si="52"/>
        <v>0.16</v>
      </c>
      <c r="O264" s="10">
        <f t="shared" si="52"/>
        <v>0.3</v>
      </c>
      <c r="P264" s="10" t="str">
        <f t="shared" si="52"/>
        <v>NO</v>
      </c>
    </row>
    <row r="265" spans="4:16" x14ac:dyDescent="0.25">
      <c r="D265" s="10" t="s">
        <v>441</v>
      </c>
      <c r="E265" s="10" t="str">
        <f t="shared" si="52"/>
        <v>Northern</v>
      </c>
      <c r="F265" s="10" t="str">
        <f t="shared" si="52"/>
        <v>Autumn</v>
      </c>
      <c r="G265" s="10">
        <f t="shared" si="52"/>
        <v>0.49</v>
      </c>
      <c r="H265" s="10">
        <f t="shared" si="52"/>
        <v>0.05</v>
      </c>
      <c r="I265" s="10">
        <f t="shared" si="52"/>
        <v>0.55000000000000004</v>
      </c>
      <c r="J265" s="10">
        <f t="shared" si="52"/>
        <v>0.38</v>
      </c>
      <c r="K265" s="10">
        <f t="shared" si="52"/>
        <v>0.36</v>
      </c>
      <c r="L265" s="10">
        <f t="shared" si="52"/>
        <v>0.06</v>
      </c>
      <c r="M265" s="10">
        <f t="shared" si="52"/>
        <v>0.57999999999999996</v>
      </c>
      <c r="N265" s="10">
        <f t="shared" si="52"/>
        <v>0.23</v>
      </c>
      <c r="O265" s="10">
        <f t="shared" si="52"/>
        <v>0.4</v>
      </c>
      <c r="P265" s="10" t="str">
        <f t="shared" si="52"/>
        <v>NO</v>
      </c>
    </row>
    <row r="266" spans="4:16" x14ac:dyDescent="0.25">
      <c r="D266" s="10" t="s">
        <v>441</v>
      </c>
      <c r="E266" s="10" t="str">
        <f t="shared" si="52"/>
        <v>Northern</v>
      </c>
      <c r="F266" s="10" t="str">
        <f t="shared" si="52"/>
        <v>Winter</v>
      </c>
      <c r="G266" s="10">
        <f t="shared" si="52"/>
        <v>0.27</v>
      </c>
      <c r="H266" s="10">
        <f t="shared" si="52"/>
        <v>-0.27</v>
      </c>
      <c r="I266" s="10">
        <f t="shared" si="52"/>
        <v>0.02</v>
      </c>
      <c r="J266" s="10">
        <f t="shared" si="52"/>
        <v>0.09</v>
      </c>
      <c r="K266" s="10">
        <f t="shared" si="52"/>
        <v>0.16</v>
      </c>
      <c r="L266" s="10">
        <f t="shared" si="52"/>
        <v>-0.04</v>
      </c>
      <c r="M266" s="10">
        <f t="shared" si="52"/>
        <v>0.21</v>
      </c>
      <c r="N266" s="10">
        <f t="shared" si="52"/>
        <v>0.03</v>
      </c>
      <c r="O266" s="10">
        <f t="shared" si="52"/>
        <v>0.11</v>
      </c>
      <c r="P266" s="10" t="str">
        <f t="shared" si="52"/>
        <v>NO</v>
      </c>
    </row>
    <row r="267" spans="4:16" x14ac:dyDescent="0.25">
      <c r="D267" s="10" t="s">
        <v>340</v>
      </c>
      <c r="E267" s="10" t="str">
        <f t="shared" si="52"/>
        <v>High</v>
      </c>
      <c r="F267" s="10" t="str">
        <f t="shared" si="52"/>
        <v>Spring</v>
      </c>
      <c r="G267" s="10">
        <f t="shared" si="52"/>
        <v>0.27</v>
      </c>
      <c r="H267" s="10">
        <f t="shared" si="52"/>
        <v>-0.19</v>
      </c>
      <c r="I267" s="10">
        <f t="shared" si="52"/>
        <v>0.38</v>
      </c>
      <c r="J267" s="10">
        <f t="shared" si="52"/>
        <v>0.25</v>
      </c>
      <c r="K267" s="10">
        <f t="shared" si="52"/>
        <v>7.0000000000000007E-2</v>
      </c>
      <c r="L267" s="10">
        <f t="shared" si="52"/>
        <v>0.05</v>
      </c>
      <c r="M267" s="10">
        <f t="shared" si="52"/>
        <v>0.52</v>
      </c>
      <c r="N267" s="10">
        <f t="shared" si="52"/>
        <v>0.55000000000000004</v>
      </c>
      <c r="O267" s="10">
        <f t="shared" si="52"/>
        <v>0.19</v>
      </c>
      <c r="P267" s="10">
        <f t="shared" si="52"/>
        <v>0.6</v>
      </c>
    </row>
    <row r="268" spans="4:16" x14ac:dyDescent="0.25">
      <c r="D268" s="10" t="s">
        <v>340</v>
      </c>
      <c r="E268" s="10" t="str">
        <f t="shared" si="52"/>
        <v>High</v>
      </c>
      <c r="F268" s="10" t="str">
        <f t="shared" si="52"/>
        <v>Summer</v>
      </c>
      <c r="G268" s="10">
        <f t="shared" si="52"/>
        <v>0.16</v>
      </c>
      <c r="H268" s="10">
        <f t="shared" si="52"/>
        <v>0.16</v>
      </c>
      <c r="I268" s="10">
        <f t="shared" si="52"/>
        <v>0.8</v>
      </c>
      <c r="J268" s="10">
        <f t="shared" si="52"/>
        <v>0.56999999999999995</v>
      </c>
      <c r="K268" s="10">
        <f t="shared" si="52"/>
        <v>0.76</v>
      </c>
      <c r="L268" s="10">
        <f t="shared" si="52"/>
        <v>0.49</v>
      </c>
      <c r="M268" s="10">
        <f t="shared" si="52"/>
        <v>0.84</v>
      </c>
      <c r="N268" s="10">
        <f t="shared" si="52"/>
        <v>0.51</v>
      </c>
      <c r="O268" s="10">
        <f t="shared" si="52"/>
        <v>0.36</v>
      </c>
      <c r="P268" s="10">
        <f t="shared" si="52"/>
        <v>0.17</v>
      </c>
    </row>
    <row r="269" spans="4:16" x14ac:dyDescent="0.25">
      <c r="D269" s="10" t="s">
        <v>340</v>
      </c>
      <c r="E269" s="10" t="str">
        <f t="shared" si="52"/>
        <v>High</v>
      </c>
      <c r="F269" s="10" t="str">
        <f t="shared" si="52"/>
        <v>Autumn</v>
      </c>
      <c r="G269" s="10">
        <f t="shared" si="52"/>
        <v>0.45</v>
      </c>
      <c r="H269" s="10">
        <f t="shared" si="52"/>
        <v>0.1</v>
      </c>
      <c r="I269" s="10">
        <f t="shared" si="52"/>
        <v>0.49</v>
      </c>
      <c r="J269" s="10">
        <f t="shared" si="52"/>
        <v>0.41</v>
      </c>
      <c r="K269" s="10">
        <f t="shared" si="52"/>
        <v>0.4</v>
      </c>
      <c r="L269" s="10">
        <f t="shared" si="52"/>
        <v>0.17</v>
      </c>
      <c r="M269" s="10">
        <f t="shared" si="52"/>
        <v>0.54</v>
      </c>
      <c r="N269" s="10">
        <f t="shared" si="52"/>
        <v>0.64</v>
      </c>
      <c r="O269" s="10">
        <f t="shared" si="52"/>
        <v>-0.05</v>
      </c>
      <c r="P269" s="10">
        <f t="shared" si="52"/>
        <v>0.32</v>
      </c>
    </row>
    <row r="270" spans="4:16" x14ac:dyDescent="0.25">
      <c r="D270" s="10" t="s">
        <v>340</v>
      </c>
      <c r="E270" s="10" t="str">
        <f t="shared" si="52"/>
        <v>High</v>
      </c>
      <c r="F270" s="10" t="str">
        <f t="shared" si="52"/>
        <v>Winter</v>
      </c>
      <c r="G270" s="10">
        <f t="shared" si="52"/>
        <v>0.51</v>
      </c>
      <c r="H270" s="10">
        <f t="shared" si="52"/>
        <v>-7.0000000000000007E-2</v>
      </c>
      <c r="I270" s="10">
        <f t="shared" si="52"/>
        <v>0.13</v>
      </c>
      <c r="J270" s="10">
        <f t="shared" si="52"/>
        <v>-0.09</v>
      </c>
      <c r="K270" s="10">
        <f t="shared" si="52"/>
        <v>-0.13</v>
      </c>
      <c r="L270" s="10">
        <f t="shared" si="52"/>
        <v>7.0000000000000007E-2</v>
      </c>
      <c r="M270" s="10">
        <f t="shared" si="52"/>
        <v>0.25</v>
      </c>
      <c r="N270" s="10">
        <f t="shared" si="52"/>
        <v>0.71</v>
      </c>
      <c r="O270" s="10">
        <f t="shared" si="52"/>
        <v>0.17</v>
      </c>
      <c r="P270" s="10">
        <f t="shared" si="52"/>
        <v>0.43</v>
      </c>
    </row>
    <row r="271" spans="4:16" x14ac:dyDescent="0.25">
      <c r="D271" s="10" t="s">
        <v>340</v>
      </c>
      <c r="E271" s="10" t="str">
        <f t="shared" si="52"/>
        <v>Moderate/High</v>
      </c>
      <c r="F271" s="10" t="str">
        <f t="shared" si="52"/>
        <v>Spring</v>
      </c>
      <c r="G271" s="10">
        <f t="shared" si="52"/>
        <v>-0.12</v>
      </c>
      <c r="H271" s="10">
        <f t="shared" si="52"/>
        <v>-0.19</v>
      </c>
      <c r="I271" s="10">
        <f t="shared" si="52"/>
        <v>0.41</v>
      </c>
      <c r="J271" s="10">
        <f t="shared" si="52"/>
        <v>0.09</v>
      </c>
      <c r="K271" s="10">
        <f t="shared" si="52"/>
        <v>0.41</v>
      </c>
      <c r="L271" s="10">
        <f t="shared" si="52"/>
        <v>-0.19</v>
      </c>
      <c r="M271" s="10">
        <f t="shared" si="52"/>
        <v>7.0000000000000007E-2</v>
      </c>
      <c r="N271" s="10">
        <f t="shared" si="52"/>
        <v>1.07</v>
      </c>
      <c r="O271" s="10">
        <f t="shared" si="52"/>
        <v>-0.08</v>
      </c>
      <c r="P271" s="10">
        <f t="shared" si="52"/>
        <v>0</v>
      </c>
    </row>
    <row r="272" spans="4:16" x14ac:dyDescent="0.25">
      <c r="D272" s="10" t="s">
        <v>340</v>
      </c>
      <c r="E272" s="10" t="str">
        <f t="shared" ref="E272:P282" si="53">E207</f>
        <v>Moderate/High</v>
      </c>
      <c r="F272" s="10" t="str">
        <f t="shared" si="53"/>
        <v>Summer</v>
      </c>
      <c r="G272" s="10">
        <f t="shared" si="53"/>
        <v>0.65</v>
      </c>
      <c r="H272" s="10">
        <f t="shared" si="53"/>
        <v>0.19</v>
      </c>
      <c r="I272" s="10">
        <f t="shared" si="53"/>
        <v>0.65</v>
      </c>
      <c r="J272" s="10">
        <f t="shared" si="53"/>
        <v>0.51</v>
      </c>
      <c r="K272" s="10">
        <f t="shared" si="53"/>
        <v>0.18</v>
      </c>
      <c r="L272" s="10">
        <f t="shared" si="53"/>
        <v>0.63</v>
      </c>
      <c r="M272" s="10">
        <f t="shared" si="53"/>
        <v>1.3</v>
      </c>
      <c r="N272" s="10">
        <f t="shared" si="53"/>
        <v>0.48</v>
      </c>
      <c r="O272" s="10">
        <f t="shared" si="53"/>
        <v>1.1200000000000001</v>
      </c>
      <c r="P272" s="10">
        <f t="shared" si="53"/>
        <v>0.38</v>
      </c>
    </row>
    <row r="273" spans="4:16" x14ac:dyDescent="0.25">
      <c r="D273" s="10" t="s">
        <v>340</v>
      </c>
      <c r="E273" s="10" t="str">
        <f t="shared" si="53"/>
        <v>Moderate/High</v>
      </c>
      <c r="F273" s="10" t="str">
        <f t="shared" si="53"/>
        <v>Autumn</v>
      </c>
      <c r="G273" s="10">
        <f t="shared" si="53"/>
        <v>0.7</v>
      </c>
      <c r="H273" s="10">
        <f t="shared" si="53"/>
        <v>0.13</v>
      </c>
      <c r="I273" s="10">
        <f t="shared" si="53"/>
        <v>0.52</v>
      </c>
      <c r="J273" s="10">
        <f t="shared" si="53"/>
        <v>0.34</v>
      </c>
      <c r="K273" s="10">
        <f t="shared" si="53"/>
        <v>0.02</v>
      </c>
      <c r="L273" s="10">
        <f t="shared" si="53"/>
        <v>0.04</v>
      </c>
      <c r="M273" s="10">
        <f t="shared" si="53"/>
        <v>0.77</v>
      </c>
      <c r="N273" s="10">
        <f t="shared" si="53"/>
        <v>0.42</v>
      </c>
      <c r="O273" s="10">
        <f t="shared" si="53"/>
        <v>0.12</v>
      </c>
      <c r="P273" s="10">
        <f t="shared" si="53"/>
        <v>0.74</v>
      </c>
    </row>
    <row r="274" spans="4:16" x14ac:dyDescent="0.25">
      <c r="D274" s="10" t="s">
        <v>340</v>
      </c>
      <c r="E274" s="10" t="str">
        <f t="shared" si="53"/>
        <v>Moderate/High</v>
      </c>
      <c r="F274" s="10" t="str">
        <f t="shared" si="53"/>
        <v>Winter</v>
      </c>
      <c r="G274" s="10">
        <f t="shared" si="53"/>
        <v>0.32</v>
      </c>
      <c r="H274" s="10">
        <f t="shared" si="53"/>
        <v>-0.06</v>
      </c>
      <c r="I274" s="10">
        <f t="shared" si="53"/>
        <v>0.25</v>
      </c>
      <c r="J274" s="10">
        <f t="shared" si="53"/>
        <v>0.19</v>
      </c>
      <c r="K274" s="10">
        <f t="shared" si="53"/>
        <v>-0.1</v>
      </c>
      <c r="L274" s="10">
        <f t="shared" si="53"/>
        <v>-0.02</v>
      </c>
      <c r="M274" s="10">
        <f t="shared" si="53"/>
        <v>0.02</v>
      </c>
      <c r="N274" s="10">
        <f t="shared" si="53"/>
        <v>0.23</v>
      </c>
      <c r="O274" s="10">
        <f t="shared" si="53"/>
        <v>-0.13</v>
      </c>
      <c r="P274" s="10">
        <f t="shared" si="53"/>
        <v>0</v>
      </c>
    </row>
    <row r="275" spans="4:16" x14ac:dyDescent="0.25">
      <c r="D275" s="10" t="s">
        <v>340</v>
      </c>
      <c r="E275" s="10" t="str">
        <f t="shared" si="53"/>
        <v>Moderate/Low</v>
      </c>
      <c r="F275" s="10" t="str">
        <f t="shared" si="53"/>
        <v>Spring</v>
      </c>
      <c r="G275" s="10">
        <f t="shared" si="53"/>
        <v>0.62</v>
      </c>
      <c r="H275" s="10">
        <f t="shared" si="53"/>
        <v>-0.19</v>
      </c>
      <c r="I275" s="10">
        <f t="shared" si="53"/>
        <v>0.37</v>
      </c>
      <c r="J275" s="10">
        <f t="shared" si="53"/>
        <v>0.41</v>
      </c>
      <c r="K275" s="10">
        <f t="shared" si="53"/>
        <v>0.06</v>
      </c>
      <c r="L275" s="10">
        <f t="shared" si="53"/>
        <v>-0.02</v>
      </c>
      <c r="M275" s="10">
        <f t="shared" si="53"/>
        <v>0.47</v>
      </c>
      <c r="N275" s="10">
        <f t="shared" si="53"/>
        <v>0.44</v>
      </c>
      <c r="O275" s="10">
        <f t="shared" si="53"/>
        <v>0.3</v>
      </c>
      <c r="P275" s="10">
        <f t="shared" si="53"/>
        <v>0.13</v>
      </c>
    </row>
    <row r="276" spans="4:16" x14ac:dyDescent="0.25">
      <c r="D276" s="10" t="s">
        <v>340</v>
      </c>
      <c r="E276" s="10" t="str">
        <f t="shared" si="53"/>
        <v>Moderate/Low</v>
      </c>
      <c r="F276" s="10" t="str">
        <f t="shared" si="53"/>
        <v>Summer</v>
      </c>
      <c r="G276" s="10">
        <f t="shared" si="53"/>
        <v>0.05</v>
      </c>
      <c r="H276" s="10">
        <f t="shared" si="53"/>
        <v>0.19</v>
      </c>
      <c r="I276" s="10">
        <f t="shared" si="53"/>
        <v>0.31</v>
      </c>
      <c r="J276" s="10">
        <f t="shared" si="53"/>
        <v>0.54</v>
      </c>
      <c r="K276" s="10">
        <f t="shared" si="53"/>
        <v>0.53</v>
      </c>
      <c r="L276" s="10">
        <f t="shared" si="53"/>
        <v>0.15</v>
      </c>
      <c r="M276" s="10">
        <f t="shared" si="53"/>
        <v>0.28000000000000003</v>
      </c>
      <c r="N276" s="10">
        <f t="shared" si="53"/>
        <v>0.56999999999999995</v>
      </c>
      <c r="O276" s="10">
        <f t="shared" si="53"/>
        <v>0.42</v>
      </c>
      <c r="P276" s="10">
        <f t="shared" si="53"/>
        <v>0.4</v>
      </c>
    </row>
    <row r="277" spans="4:16" x14ac:dyDescent="0.25">
      <c r="D277" s="10" t="s">
        <v>340</v>
      </c>
      <c r="E277" s="10" t="str">
        <f t="shared" si="53"/>
        <v>Moderate/Low</v>
      </c>
      <c r="F277" s="10" t="str">
        <f t="shared" si="53"/>
        <v>Autumn</v>
      </c>
      <c r="G277" s="10">
        <f t="shared" si="53"/>
        <v>0.33</v>
      </c>
      <c r="H277" s="10">
        <f t="shared" si="53"/>
        <v>0.13</v>
      </c>
      <c r="I277" s="10">
        <f t="shared" si="53"/>
        <v>0.39</v>
      </c>
      <c r="J277" s="10">
        <f t="shared" si="53"/>
        <v>0.36</v>
      </c>
      <c r="K277" s="10">
        <f t="shared" si="53"/>
        <v>0.26</v>
      </c>
      <c r="L277" s="10">
        <f t="shared" si="53"/>
        <v>0.11</v>
      </c>
      <c r="M277" s="10">
        <f t="shared" si="53"/>
        <v>0.4</v>
      </c>
      <c r="N277" s="10">
        <f t="shared" si="53"/>
        <v>0.44</v>
      </c>
      <c r="O277" s="10">
        <f t="shared" si="53"/>
        <v>0.37</v>
      </c>
      <c r="P277" s="10">
        <f t="shared" si="53"/>
        <v>-0.01</v>
      </c>
    </row>
    <row r="278" spans="4:16" x14ac:dyDescent="0.25">
      <c r="D278" s="10" t="s">
        <v>340</v>
      </c>
      <c r="E278" s="10" t="str">
        <f t="shared" si="53"/>
        <v>Moderate/Low</v>
      </c>
      <c r="F278" s="10" t="str">
        <f t="shared" si="53"/>
        <v>Winter</v>
      </c>
      <c r="G278" s="10">
        <f t="shared" si="53"/>
        <v>0.61</v>
      </c>
      <c r="H278" s="10">
        <f t="shared" si="53"/>
        <v>-0.06</v>
      </c>
      <c r="I278" s="10">
        <f t="shared" si="53"/>
        <v>0.21</v>
      </c>
      <c r="J278" s="10">
        <f t="shared" si="53"/>
        <v>0.18</v>
      </c>
      <c r="K278" s="10">
        <f t="shared" si="53"/>
        <v>0.12</v>
      </c>
      <c r="L278" s="10">
        <f t="shared" si="53"/>
        <v>0.06</v>
      </c>
      <c r="M278" s="10">
        <f t="shared" si="53"/>
        <v>0.28999999999999998</v>
      </c>
      <c r="N278" s="10">
        <f t="shared" si="53"/>
        <v>0.41</v>
      </c>
      <c r="O278" s="10">
        <f t="shared" si="53"/>
        <v>0.41</v>
      </c>
      <c r="P278" s="10">
        <f t="shared" si="53"/>
        <v>-0.15</v>
      </c>
    </row>
    <row r="279" spans="4:16" x14ac:dyDescent="0.25">
      <c r="D279" s="10" t="s">
        <v>340</v>
      </c>
      <c r="E279" s="10" t="str">
        <f t="shared" si="53"/>
        <v>Low</v>
      </c>
      <c r="F279" s="10" t="str">
        <f t="shared" si="53"/>
        <v>Spring</v>
      </c>
      <c r="G279" s="10">
        <f t="shared" si="53"/>
        <v>-0.2</v>
      </c>
      <c r="H279" s="10">
        <f t="shared" si="53"/>
        <v>0.02</v>
      </c>
      <c r="I279" s="10">
        <f t="shared" si="53"/>
        <v>0.24</v>
      </c>
      <c r="J279" s="10">
        <f t="shared" si="53"/>
        <v>0.3</v>
      </c>
      <c r="K279" s="10">
        <f t="shared" si="53"/>
        <v>0.23</v>
      </c>
      <c r="L279" s="10">
        <f t="shared" si="53"/>
        <v>-0.05</v>
      </c>
      <c r="M279" s="10">
        <f t="shared" si="53"/>
        <v>0.34</v>
      </c>
      <c r="N279" s="10">
        <f t="shared" si="53"/>
        <v>0.3</v>
      </c>
      <c r="O279" s="10">
        <f t="shared" si="53"/>
        <v>0.56999999999999995</v>
      </c>
      <c r="P279" s="10">
        <f t="shared" si="53"/>
        <v>0.52</v>
      </c>
    </row>
    <row r="280" spans="4:16" x14ac:dyDescent="0.25">
      <c r="D280" s="10" t="s">
        <v>340</v>
      </c>
      <c r="E280" s="10" t="str">
        <f t="shared" si="53"/>
        <v>Low</v>
      </c>
      <c r="F280" s="10" t="str">
        <f t="shared" si="53"/>
        <v>Summer</v>
      </c>
      <c r="G280" s="10">
        <f t="shared" si="53"/>
        <v>0.62</v>
      </c>
      <c r="H280" s="10">
        <f t="shared" si="53"/>
        <v>0.21</v>
      </c>
      <c r="I280" s="10">
        <f t="shared" si="53"/>
        <v>0.25</v>
      </c>
      <c r="J280" s="10">
        <f t="shared" si="53"/>
        <v>0.32</v>
      </c>
      <c r="K280" s="10">
        <f t="shared" si="53"/>
        <v>0.47</v>
      </c>
      <c r="L280" s="10">
        <f t="shared" si="53"/>
        <v>0.31</v>
      </c>
      <c r="M280" s="10">
        <f t="shared" si="53"/>
        <v>0.14000000000000001</v>
      </c>
      <c r="N280" s="10">
        <f t="shared" si="53"/>
        <v>0.4</v>
      </c>
      <c r="O280" s="10">
        <f t="shared" si="53"/>
        <v>0.26</v>
      </c>
      <c r="P280" s="10">
        <f t="shared" si="53"/>
        <v>0.43</v>
      </c>
    </row>
    <row r="281" spans="4:16" x14ac:dyDescent="0.25">
      <c r="D281" s="10" t="s">
        <v>340</v>
      </c>
      <c r="E281" s="10" t="str">
        <f t="shared" si="53"/>
        <v>Low</v>
      </c>
      <c r="F281" s="10" t="str">
        <f t="shared" si="53"/>
        <v>Autumn</v>
      </c>
      <c r="G281" s="10">
        <f t="shared" si="53"/>
        <v>0.4</v>
      </c>
      <c r="H281" s="10">
        <f t="shared" si="53"/>
        <v>0.13</v>
      </c>
      <c r="I281" s="10">
        <f t="shared" si="53"/>
        <v>0.12</v>
      </c>
      <c r="J281" s="10">
        <f t="shared" si="53"/>
        <v>0.27</v>
      </c>
      <c r="K281" s="10">
        <f t="shared" si="53"/>
        <v>0.3</v>
      </c>
      <c r="L281" s="10">
        <f t="shared" si="53"/>
        <v>0.08</v>
      </c>
      <c r="M281" s="10">
        <f t="shared" si="53"/>
        <v>0.13</v>
      </c>
      <c r="N281" s="10">
        <f t="shared" si="53"/>
        <v>0.24</v>
      </c>
      <c r="O281" s="10">
        <f t="shared" si="53"/>
        <v>0.15</v>
      </c>
      <c r="P281" s="10">
        <f t="shared" si="53"/>
        <v>0.21</v>
      </c>
    </row>
    <row r="282" spans="4:16" x14ac:dyDescent="0.25">
      <c r="D282" s="10" t="s">
        <v>340</v>
      </c>
      <c r="E282" s="10" t="str">
        <f t="shared" si="53"/>
        <v>Low</v>
      </c>
      <c r="F282" s="10" t="str">
        <f t="shared" si="53"/>
        <v>Winter</v>
      </c>
      <c r="G282" s="10">
        <f t="shared" si="53"/>
        <v>0.08</v>
      </c>
      <c r="H282" s="10">
        <f t="shared" si="53"/>
        <v>0.04</v>
      </c>
      <c r="I282" s="10">
        <f t="shared" si="53"/>
        <v>0.06</v>
      </c>
      <c r="J282" s="10">
        <f t="shared" si="53"/>
        <v>0.18</v>
      </c>
      <c r="K282" s="10">
        <f t="shared" si="53"/>
        <v>0.11</v>
      </c>
      <c r="L282" s="10">
        <f t="shared" si="53"/>
        <v>-7.0000000000000007E-2</v>
      </c>
      <c r="M282" s="10">
        <f t="shared" si="53"/>
        <v>0.13</v>
      </c>
      <c r="N282" s="10">
        <f t="shared" si="53"/>
        <v>0.16</v>
      </c>
      <c r="O282" s="10">
        <f t="shared" si="53"/>
        <v>0.4</v>
      </c>
      <c r="P282" s="10">
        <f t="shared" si="53"/>
        <v>0.33</v>
      </c>
    </row>
    <row r="283" spans="4:16" x14ac:dyDescent="0.25">
      <c r="M283" s="14"/>
    </row>
    <row r="284" spans="4:16" x14ac:dyDescent="0.25">
      <c r="M284" s="14"/>
    </row>
    <row r="285" spans="4:16" ht="23.25" x14ac:dyDescent="0.25">
      <c r="D285" s="9" t="s">
        <v>1546</v>
      </c>
      <c r="M285" s="14"/>
    </row>
    <row r="286" spans="4:16" x14ac:dyDescent="0.25">
      <c r="D286" s="11" t="s">
        <v>1547</v>
      </c>
      <c r="M286" s="14"/>
    </row>
    <row r="287" spans="4:16" x14ac:dyDescent="0.25">
      <c r="D287" s="8" t="s">
        <v>1548</v>
      </c>
      <c r="M287" s="14"/>
    </row>
    <row r="288" spans="4:16" x14ac:dyDescent="0.25">
      <c r="D288" s="13" t="s">
        <v>1004</v>
      </c>
      <c r="M288" s="14"/>
    </row>
    <row r="289" spans="4:13" x14ac:dyDescent="0.25">
      <c r="D289" s="12" t="s">
        <v>1549</v>
      </c>
      <c r="M289" s="14"/>
    </row>
    <row r="290" spans="4:13" x14ac:dyDescent="0.25">
      <c r="D290" s="10" t="s">
        <v>280</v>
      </c>
      <c r="E290" s="10" t="s">
        <v>390</v>
      </c>
      <c r="F290" s="10" t="s">
        <v>508</v>
      </c>
      <c r="G290" s="10" t="s">
        <v>500</v>
      </c>
      <c r="H290" s="10" t="s">
        <v>501</v>
      </c>
      <c r="I290" s="10" t="s">
        <v>502</v>
      </c>
      <c r="M290" s="14"/>
    </row>
    <row r="291" spans="4:13" x14ac:dyDescent="0.25">
      <c r="D291" s="10" t="s">
        <v>315</v>
      </c>
      <c r="E291" s="10" t="s">
        <v>440</v>
      </c>
      <c r="F291" s="10">
        <v>0.55000000000000004</v>
      </c>
      <c r="G291" s="10">
        <v>0.65</v>
      </c>
      <c r="H291" s="10">
        <v>0.6</v>
      </c>
      <c r="I291" s="10">
        <v>0.5</v>
      </c>
      <c r="M291" s="14"/>
    </row>
    <row r="292" spans="4:13" x14ac:dyDescent="0.25">
      <c r="D292" s="8" t="s">
        <v>339</v>
      </c>
      <c r="E292" s="10" t="s">
        <v>440</v>
      </c>
      <c r="F292" s="10">
        <v>0.55000000000000004</v>
      </c>
      <c r="G292" s="10">
        <v>0.65</v>
      </c>
      <c r="H292" s="10">
        <v>0.6</v>
      </c>
      <c r="I292" s="10">
        <v>0.5</v>
      </c>
      <c r="M292" s="14"/>
    </row>
    <row r="293" spans="4:13" x14ac:dyDescent="0.25">
      <c r="D293" s="8" t="s">
        <v>441</v>
      </c>
      <c r="E293" s="10" t="s">
        <v>459</v>
      </c>
      <c r="F293" s="10">
        <v>0.55000000000000004</v>
      </c>
      <c r="G293" s="10">
        <v>0.61</v>
      </c>
      <c r="H293" s="10">
        <v>0.56999999999999995</v>
      </c>
      <c r="I293" s="10">
        <v>0.54</v>
      </c>
      <c r="M293" s="14"/>
    </row>
    <row r="294" spans="4:13" x14ac:dyDescent="0.25">
      <c r="D294" s="8" t="s">
        <v>441</v>
      </c>
      <c r="E294" s="10" t="s">
        <v>462</v>
      </c>
      <c r="F294" s="10">
        <v>0.55000000000000004</v>
      </c>
      <c r="G294" s="10">
        <v>0.61</v>
      </c>
      <c r="H294" s="10">
        <v>0.56999999999999995</v>
      </c>
      <c r="I294" s="10">
        <v>0.54</v>
      </c>
      <c r="M294" s="14"/>
    </row>
    <row r="295" spans="4:13" x14ac:dyDescent="0.25">
      <c r="D295" s="8" t="s">
        <v>441</v>
      </c>
      <c r="E295" s="10" t="s">
        <v>465</v>
      </c>
      <c r="F295" s="10">
        <v>0.55000000000000004</v>
      </c>
      <c r="G295" s="10">
        <v>0.61</v>
      </c>
      <c r="H295" s="10">
        <v>0.56999999999999995</v>
      </c>
      <c r="I295" s="10">
        <v>0.54</v>
      </c>
      <c r="M295" s="14"/>
    </row>
    <row r="296" spans="4:13" x14ac:dyDescent="0.25">
      <c r="D296" s="8" t="s">
        <v>340</v>
      </c>
      <c r="E296" s="10" t="s">
        <v>460</v>
      </c>
      <c r="F296" s="10">
        <v>0.53</v>
      </c>
      <c r="G296" s="10">
        <v>0.56999999999999995</v>
      </c>
      <c r="H296" s="10">
        <v>0.55000000000000004</v>
      </c>
      <c r="I296" s="10">
        <v>0.51</v>
      </c>
      <c r="M296" s="14"/>
    </row>
    <row r="297" spans="4:13" x14ac:dyDescent="0.25">
      <c r="D297" s="8" t="s">
        <v>340</v>
      </c>
      <c r="E297" s="10" t="s">
        <v>463</v>
      </c>
      <c r="F297" s="10">
        <v>0.53</v>
      </c>
      <c r="G297" s="10">
        <v>0.56999999999999995</v>
      </c>
      <c r="H297" s="10">
        <v>0.55000000000000004</v>
      </c>
      <c r="I297" s="10">
        <v>0.51</v>
      </c>
      <c r="M297" s="14"/>
    </row>
    <row r="298" spans="4:13" x14ac:dyDescent="0.25">
      <c r="D298" s="8" t="s">
        <v>340</v>
      </c>
      <c r="E298" s="10" t="s">
        <v>466</v>
      </c>
      <c r="F298" s="10">
        <v>0.53</v>
      </c>
      <c r="G298" s="10">
        <v>0.56999999999999995</v>
      </c>
      <c r="H298" s="10">
        <v>0.55000000000000004</v>
      </c>
      <c r="I298" s="10">
        <v>0.51</v>
      </c>
      <c r="M298" s="14"/>
    </row>
    <row r="299" spans="4:13" x14ac:dyDescent="0.25">
      <c r="D299" s="8" t="s">
        <v>340</v>
      </c>
      <c r="E299" s="10" t="s">
        <v>468</v>
      </c>
      <c r="F299" s="10">
        <v>0.53</v>
      </c>
      <c r="G299" s="10">
        <v>0.56999999999999995</v>
      </c>
      <c r="H299" s="10">
        <v>0.55000000000000004</v>
      </c>
      <c r="I299" s="10">
        <v>0.51</v>
      </c>
      <c r="M299" s="14"/>
    </row>
    <row r="300" spans="4:13" x14ac:dyDescent="0.25">
      <c r="D300" s="8" t="s">
        <v>399</v>
      </c>
      <c r="E300" s="10" t="s">
        <v>440</v>
      </c>
      <c r="F300" s="10">
        <v>0.7</v>
      </c>
      <c r="G300" s="10">
        <v>0.55000000000000004</v>
      </c>
      <c r="H300" s="10">
        <v>0.55000000000000004</v>
      </c>
      <c r="I300" s="10">
        <v>0.75</v>
      </c>
      <c r="M300" s="14"/>
    </row>
    <row r="301" spans="4:13" x14ac:dyDescent="0.25">
      <c r="D301" s="8" t="s">
        <v>395</v>
      </c>
      <c r="E301" s="10" t="s">
        <v>440</v>
      </c>
      <c r="F301" s="10">
        <v>0.75</v>
      </c>
      <c r="G301" s="10">
        <v>0.6</v>
      </c>
      <c r="H301" s="10">
        <v>0.7</v>
      </c>
      <c r="I301" s="10">
        <v>0.75</v>
      </c>
      <c r="M301" s="14"/>
    </row>
    <row r="302" spans="4:13" x14ac:dyDescent="0.25">
      <c r="D302" s="8" t="s">
        <v>345</v>
      </c>
      <c r="E302" s="10" t="s">
        <v>440</v>
      </c>
      <c r="F302" s="10">
        <v>0.8</v>
      </c>
      <c r="G302" s="10">
        <v>0.55000000000000004</v>
      </c>
      <c r="H302" s="10">
        <v>0.6</v>
      </c>
      <c r="I302" s="10">
        <v>0.76</v>
      </c>
      <c r="M302" s="14"/>
    </row>
    <row r="303" spans="4:13" x14ac:dyDescent="0.25">
      <c r="D303" s="8" t="s">
        <v>346</v>
      </c>
      <c r="E303" s="10" t="s">
        <v>458</v>
      </c>
      <c r="F303" s="10">
        <v>0.8</v>
      </c>
      <c r="G303" s="10">
        <v>0.57999999999999996</v>
      </c>
      <c r="H303" s="10">
        <v>0.5</v>
      </c>
      <c r="I303" s="10">
        <v>0.75</v>
      </c>
      <c r="M303" s="14"/>
    </row>
    <row r="304" spans="4:13" x14ac:dyDescent="0.25">
      <c r="D304" s="8" t="s">
        <v>346</v>
      </c>
      <c r="E304" s="10" t="s">
        <v>461</v>
      </c>
      <c r="F304" s="10">
        <v>0.4</v>
      </c>
      <c r="G304" s="10">
        <v>0.65</v>
      </c>
      <c r="H304" s="10">
        <v>0.55000000000000004</v>
      </c>
      <c r="I304" s="10">
        <v>0.45</v>
      </c>
      <c r="M304" s="14"/>
    </row>
    <row r="305" spans="4:13" x14ac:dyDescent="0.25">
      <c r="D305" s="8" t="s">
        <v>346</v>
      </c>
      <c r="E305" s="10" t="s">
        <v>464</v>
      </c>
      <c r="F305" s="10">
        <v>0.4</v>
      </c>
      <c r="G305" s="10">
        <v>0.65</v>
      </c>
      <c r="H305" s="10">
        <v>0.55000000000000004</v>
      </c>
      <c r="I305" s="10">
        <v>0.45</v>
      </c>
      <c r="M305" s="14"/>
    </row>
    <row r="306" spans="4:13" x14ac:dyDescent="0.25">
      <c r="M306" s="14"/>
    </row>
    <row r="307" spans="4:13" x14ac:dyDescent="0.25">
      <c r="M307" s="14"/>
    </row>
    <row r="308" spans="4:13" ht="23.25" x14ac:dyDescent="0.25">
      <c r="D308" s="9" t="s">
        <v>1550</v>
      </c>
      <c r="M308" s="14"/>
    </row>
    <row r="309" spans="4:13" x14ac:dyDescent="0.25">
      <c r="D309" s="11" t="s">
        <v>1551</v>
      </c>
      <c r="M309" s="14"/>
    </row>
    <row r="310" spans="4:13" x14ac:dyDescent="0.25">
      <c r="D310" s="8" t="s">
        <v>1552</v>
      </c>
      <c r="M310" s="14"/>
    </row>
    <row r="311" spans="4:13" x14ac:dyDescent="0.25">
      <c r="D311" s="13" t="s">
        <v>1004</v>
      </c>
      <c r="M311" s="14"/>
    </row>
    <row r="312" spans="4:13" x14ac:dyDescent="0.25">
      <c r="D312" s="12" t="s">
        <v>1549</v>
      </c>
      <c r="M312" s="14"/>
    </row>
    <row r="313" spans="4:13" x14ac:dyDescent="0.25">
      <c r="D313" s="10" t="s">
        <v>280</v>
      </c>
      <c r="E313" s="10" t="s">
        <v>390</v>
      </c>
      <c r="F313" s="10" t="s">
        <v>508</v>
      </c>
      <c r="G313" s="10" t="s">
        <v>500</v>
      </c>
      <c r="H313" s="10" t="s">
        <v>501</v>
      </c>
      <c r="I313" s="10" t="s">
        <v>502</v>
      </c>
      <c r="M313" s="14"/>
    </row>
    <row r="314" spans="4:13" x14ac:dyDescent="0.25">
      <c r="D314" s="10" t="s">
        <v>315</v>
      </c>
      <c r="E314" s="10" t="s">
        <v>440</v>
      </c>
      <c r="F314" s="10">
        <v>7.0000000000000007E-2</v>
      </c>
      <c r="G314" s="10">
        <v>0.13</v>
      </c>
      <c r="H314" s="10">
        <v>0.1</v>
      </c>
      <c r="I314" s="10">
        <v>0.06</v>
      </c>
      <c r="M314" s="14"/>
    </row>
    <row r="315" spans="4:13" x14ac:dyDescent="0.25">
      <c r="D315" s="10" t="s">
        <v>339</v>
      </c>
      <c r="E315" s="10" t="s">
        <v>440</v>
      </c>
      <c r="F315" s="10">
        <v>7.0000000000000007E-2</v>
      </c>
      <c r="G315" s="10">
        <v>0.13</v>
      </c>
      <c r="H315" s="10">
        <v>0.1</v>
      </c>
      <c r="I315" s="10">
        <v>0.06</v>
      </c>
      <c r="M315" s="14"/>
    </row>
    <row r="316" spans="4:13" x14ac:dyDescent="0.25">
      <c r="D316" s="10" t="s">
        <v>441</v>
      </c>
      <c r="E316" s="10" t="s">
        <v>459</v>
      </c>
      <c r="F316" s="10">
        <v>5.8000000000000003E-2</v>
      </c>
      <c r="G316" s="10">
        <v>9.1999999999999998E-2</v>
      </c>
      <c r="H316" s="10">
        <v>7.4999999999999997E-2</v>
      </c>
      <c r="I316" s="10">
        <v>5.2999999999999999E-2</v>
      </c>
      <c r="M316" s="14"/>
    </row>
    <row r="317" spans="4:13" x14ac:dyDescent="0.25">
      <c r="D317" s="10" t="s">
        <v>441</v>
      </c>
      <c r="E317" s="10" t="s">
        <v>462</v>
      </c>
      <c r="F317" s="10">
        <v>5.8000000000000003E-2</v>
      </c>
      <c r="G317" s="10">
        <v>9.1999999999999998E-2</v>
      </c>
      <c r="H317" s="10">
        <v>7.4999999999999997E-2</v>
      </c>
      <c r="I317" s="10">
        <v>5.2999999999999999E-2</v>
      </c>
      <c r="M317" s="14"/>
    </row>
    <row r="318" spans="4:13" x14ac:dyDescent="0.25">
      <c r="D318" s="10" t="s">
        <v>441</v>
      </c>
      <c r="E318" s="10" t="s">
        <v>465</v>
      </c>
      <c r="F318" s="10">
        <v>5.8000000000000003E-2</v>
      </c>
      <c r="G318" s="10">
        <v>9.1999999999999998E-2</v>
      </c>
      <c r="H318" s="10">
        <v>7.4999999999999997E-2</v>
      </c>
      <c r="I318" s="10">
        <v>5.2999999999999999E-2</v>
      </c>
      <c r="M318" s="14"/>
    </row>
    <row r="319" spans="4:13" x14ac:dyDescent="0.25">
      <c r="D319" s="10" t="s">
        <v>340</v>
      </c>
      <c r="E319" s="10" t="s">
        <v>460</v>
      </c>
      <c r="F319" s="10">
        <v>7.1999999999999995E-2</v>
      </c>
      <c r="G319" s="10">
        <v>9.9000000000000005E-2</v>
      </c>
      <c r="H319" s="10">
        <v>7.8E-2</v>
      </c>
      <c r="I319" s="10">
        <v>5.8999999999999997E-2</v>
      </c>
      <c r="M319" s="8"/>
    </row>
    <row r="320" spans="4:13" x14ac:dyDescent="0.25">
      <c r="D320" s="10" t="s">
        <v>340</v>
      </c>
      <c r="E320" s="10" t="s">
        <v>463</v>
      </c>
      <c r="F320" s="10">
        <v>7.1999999999999995E-2</v>
      </c>
      <c r="G320" s="10">
        <v>9.9000000000000005E-2</v>
      </c>
      <c r="H320" s="10">
        <v>7.8E-2</v>
      </c>
      <c r="I320" s="10">
        <v>5.8999999999999997E-2</v>
      </c>
      <c r="M320" s="8"/>
    </row>
    <row r="321" spans="4:13" x14ac:dyDescent="0.25">
      <c r="D321" s="10" t="s">
        <v>340</v>
      </c>
      <c r="E321" s="10" t="s">
        <v>466</v>
      </c>
      <c r="F321" s="10">
        <v>7.1999999999999995E-2</v>
      </c>
      <c r="G321" s="10">
        <v>9.9000000000000005E-2</v>
      </c>
      <c r="H321" s="10">
        <v>7.8E-2</v>
      </c>
      <c r="I321" s="10">
        <v>5.8999999999999997E-2</v>
      </c>
      <c r="M321" s="8"/>
    </row>
    <row r="322" spans="4:13" x14ac:dyDescent="0.25">
      <c r="D322" s="10" t="s">
        <v>340</v>
      </c>
      <c r="E322" s="10" t="s">
        <v>468</v>
      </c>
      <c r="F322" s="10">
        <v>7.1999999999999995E-2</v>
      </c>
      <c r="G322" s="10">
        <v>9.9000000000000005E-2</v>
      </c>
      <c r="H322" s="10">
        <v>7.8E-2</v>
      </c>
      <c r="I322" s="10">
        <v>5.8999999999999997E-2</v>
      </c>
      <c r="M322" s="8"/>
    </row>
    <row r="323" spans="4:13" x14ac:dyDescent="0.25">
      <c r="D323" s="10" t="s">
        <v>399</v>
      </c>
      <c r="E323" s="10" t="s">
        <v>440</v>
      </c>
      <c r="F323" s="10">
        <v>0.16</v>
      </c>
      <c r="G323" s="10">
        <v>7.0000000000000007E-2</v>
      </c>
      <c r="H323" s="10">
        <v>0.09</v>
      </c>
      <c r="I323" s="10">
        <v>0.2</v>
      </c>
      <c r="M323" s="8"/>
    </row>
    <row r="324" spans="4:13" x14ac:dyDescent="0.25">
      <c r="D324" s="10" t="s">
        <v>395</v>
      </c>
      <c r="E324" s="10" t="s">
        <v>440</v>
      </c>
      <c r="F324" s="10">
        <v>0.2</v>
      </c>
      <c r="G324" s="10">
        <v>0.1</v>
      </c>
      <c r="H324" s="10">
        <v>0.16</v>
      </c>
      <c r="I324" s="10">
        <v>0.2</v>
      </c>
      <c r="M324" s="8"/>
    </row>
    <row r="325" spans="4:13" x14ac:dyDescent="0.25">
      <c r="D325" s="10" t="s">
        <v>345</v>
      </c>
      <c r="E325" s="10" t="s">
        <v>440</v>
      </c>
      <c r="F325" s="10">
        <v>0.25</v>
      </c>
      <c r="G325" s="10">
        <v>7.0000000000000007E-2</v>
      </c>
      <c r="H325" s="10">
        <v>0.1</v>
      </c>
      <c r="I325" s="10">
        <v>0.21</v>
      </c>
      <c r="M325" s="8"/>
    </row>
    <row r="326" spans="4:13" x14ac:dyDescent="0.25">
      <c r="D326" s="10" t="s">
        <v>346</v>
      </c>
      <c r="E326" s="10" t="s">
        <v>458</v>
      </c>
      <c r="F326" s="10">
        <v>0.2</v>
      </c>
      <c r="G326" s="10">
        <v>0.09</v>
      </c>
      <c r="H326" s="10">
        <v>0.06</v>
      </c>
      <c r="I326" s="10">
        <v>0.2</v>
      </c>
      <c r="M326" s="8"/>
    </row>
    <row r="327" spans="4:13" x14ac:dyDescent="0.25">
      <c r="D327" s="10" t="s">
        <v>346</v>
      </c>
      <c r="E327" s="10" t="s">
        <v>461</v>
      </c>
      <c r="F327" s="10">
        <v>0.04</v>
      </c>
      <c r="G327" s="10">
        <v>0.12</v>
      </c>
      <c r="H327" s="10">
        <v>0.09</v>
      </c>
      <c r="I327" s="10">
        <v>0.06</v>
      </c>
      <c r="M327" s="8"/>
    </row>
    <row r="328" spans="4:13" x14ac:dyDescent="0.25">
      <c r="D328" s="10" t="s">
        <v>346</v>
      </c>
      <c r="E328" s="10" t="s">
        <v>464</v>
      </c>
      <c r="F328" s="10">
        <v>0.04</v>
      </c>
      <c r="G328" s="10">
        <v>0.12</v>
      </c>
      <c r="H328" s="10">
        <v>0.09</v>
      </c>
      <c r="I328" s="10">
        <v>0.06</v>
      </c>
      <c r="M328" s="8"/>
    </row>
    <row r="329" spans="4:13" x14ac:dyDescent="0.25">
      <c r="M329" s="8"/>
    </row>
    <row r="330" spans="4:13" x14ac:dyDescent="0.25">
      <c r="M330" s="8"/>
    </row>
    <row r="331" spans="4:13" ht="23.25" x14ac:dyDescent="0.25">
      <c r="D331" s="9" t="s">
        <v>1553</v>
      </c>
      <c r="M331" s="8"/>
    </row>
    <row r="332" spans="4:13" x14ac:dyDescent="0.25">
      <c r="D332" s="11" t="s">
        <v>1554</v>
      </c>
      <c r="M332" s="8"/>
    </row>
    <row r="333" spans="4:13" x14ac:dyDescent="0.25">
      <c r="D333" s="8" t="s">
        <v>1555</v>
      </c>
      <c r="I333" s="12" t="s">
        <v>509</v>
      </c>
      <c r="M333" s="8"/>
    </row>
    <row r="334" spans="4:13" x14ac:dyDescent="0.25">
      <c r="D334" s="10" t="s">
        <v>510</v>
      </c>
      <c r="E334" s="10" t="s">
        <v>47</v>
      </c>
      <c r="F334" s="10" t="s">
        <v>511</v>
      </c>
      <c r="G334" s="10" t="s">
        <v>512</v>
      </c>
      <c r="I334" s="10" t="s">
        <v>510</v>
      </c>
      <c r="J334" s="10" t="s">
        <v>47</v>
      </c>
      <c r="K334" s="10" t="s">
        <v>511</v>
      </c>
      <c r="L334" s="10" t="s">
        <v>512</v>
      </c>
      <c r="M334" s="8"/>
    </row>
    <row r="335" spans="4:13" x14ac:dyDescent="0.25">
      <c r="D335" s="10" t="s">
        <v>1556</v>
      </c>
      <c r="E335" s="10" t="s">
        <v>508</v>
      </c>
      <c r="F335" s="10">
        <v>1.3</v>
      </c>
      <c r="G335" s="10">
        <v>6</v>
      </c>
      <c r="I335" s="10" t="str">
        <f>Table_SourceData_PastureBeef_FeedIntakeAdjustment[[#This Row],[Breed]]</f>
        <v>Hereford or Shorthorn breeds</v>
      </c>
      <c r="J335" s="10" t="s">
        <v>513</v>
      </c>
      <c r="K335" s="10">
        <f>Table_SourceData_PastureBeef_FeedIntakeAdjustment[[#This Row],[Feed adjustment]]</f>
        <v>1.3</v>
      </c>
      <c r="L335" s="10">
        <f>Table_SourceData_PastureBeef_FeedIntakeAdjustment[[#This Row],[Milk intake/production]]</f>
        <v>6</v>
      </c>
      <c r="M335" s="8"/>
    </row>
    <row r="336" spans="4:13" x14ac:dyDescent="0.25">
      <c r="D336" s="8" t="s">
        <v>1556</v>
      </c>
      <c r="E336" s="10" t="s">
        <v>500</v>
      </c>
      <c r="F336" s="10">
        <v>1.1000000000000001</v>
      </c>
      <c r="G336" s="10">
        <v>4</v>
      </c>
      <c r="I336" s="8" t="str">
        <f>Table_SourceData_PastureBeef_FeedIntakeAdjustment[[#This Row],[Breed]]</f>
        <v>Hereford or Shorthorn breeds</v>
      </c>
      <c r="J336" s="10" t="s">
        <v>514</v>
      </c>
      <c r="K336" s="10">
        <f>Table_SourceData_PastureBeef_FeedIntakeAdjustment[[#This Row],[Feed adjustment]]</f>
        <v>1.1000000000000001</v>
      </c>
      <c r="L336" s="10">
        <f>Table_SourceData_PastureBeef_FeedIntakeAdjustment[[#This Row],[Milk intake/production]]</f>
        <v>4</v>
      </c>
      <c r="M336" s="8"/>
    </row>
    <row r="337" spans="4:13" x14ac:dyDescent="0.25">
      <c r="D337" s="8" t="s">
        <v>1556</v>
      </c>
      <c r="E337" s="10" t="s">
        <v>501</v>
      </c>
      <c r="F337" s="10">
        <v>0</v>
      </c>
      <c r="G337" s="10">
        <v>0</v>
      </c>
      <c r="I337" s="8" t="str">
        <f>D340</f>
        <v>Northern Brahman cross breed</v>
      </c>
      <c r="J337" s="10" t="s">
        <v>513</v>
      </c>
      <c r="K337" s="10">
        <f>F340</f>
        <v>1.3</v>
      </c>
      <c r="L337" s="10">
        <f t="shared" ref="L337:L338" si="54">G340</f>
        <v>4</v>
      </c>
      <c r="M337" s="8"/>
    </row>
    <row r="338" spans="4:13" x14ac:dyDescent="0.25">
      <c r="D338" s="8" t="s">
        <v>1556</v>
      </c>
      <c r="E338" s="10" t="s">
        <v>502</v>
      </c>
      <c r="F338" s="10">
        <v>0</v>
      </c>
      <c r="G338" s="10">
        <v>0</v>
      </c>
      <c r="I338" s="8" t="str">
        <f>D341</f>
        <v>Northern Brahman cross breed</v>
      </c>
      <c r="J338" s="10" t="s">
        <v>514</v>
      </c>
      <c r="K338" s="10">
        <f t="shared" ref="K338" si="55">F341</f>
        <v>1.1000000000000001</v>
      </c>
      <c r="L338" s="10">
        <f t="shared" si="54"/>
        <v>3</v>
      </c>
      <c r="M338" s="8"/>
    </row>
    <row r="339" spans="4:13" x14ac:dyDescent="0.25">
      <c r="D339" s="8" t="s">
        <v>1557</v>
      </c>
      <c r="E339" s="10" t="s">
        <v>508</v>
      </c>
      <c r="F339" s="10">
        <v>0</v>
      </c>
      <c r="G339" s="10">
        <v>0</v>
      </c>
      <c r="M339" s="8"/>
    </row>
    <row r="340" spans="4:13" x14ac:dyDescent="0.25">
      <c r="D340" s="8" t="s">
        <v>1557</v>
      </c>
      <c r="E340" s="10" t="s">
        <v>500</v>
      </c>
      <c r="F340" s="10">
        <v>1.3</v>
      </c>
      <c r="G340" s="10">
        <v>4</v>
      </c>
      <c r="M340" s="8"/>
    </row>
    <row r="341" spans="4:13" x14ac:dyDescent="0.25">
      <c r="D341" s="8" t="s">
        <v>1557</v>
      </c>
      <c r="E341" s="10" t="s">
        <v>501</v>
      </c>
      <c r="F341" s="10">
        <v>1.1000000000000001</v>
      </c>
      <c r="G341" s="10">
        <v>3</v>
      </c>
      <c r="M341" s="8"/>
    </row>
    <row r="342" spans="4:13" x14ac:dyDescent="0.25">
      <c r="D342" s="8" t="s">
        <v>1557</v>
      </c>
      <c r="E342" s="10" t="s">
        <v>502</v>
      </c>
      <c r="F342" s="10">
        <v>0</v>
      </c>
      <c r="G342" s="10">
        <v>0</v>
      </c>
      <c r="M342" s="8"/>
    </row>
    <row r="343" spans="4:13" x14ac:dyDescent="0.25">
      <c r="M343" s="8"/>
    </row>
    <row r="344" spans="4:13" x14ac:dyDescent="0.25">
      <c r="M344" s="8"/>
    </row>
    <row r="345" spans="4:13" ht="23.25" x14ac:dyDescent="0.25">
      <c r="D345" s="9" t="s">
        <v>1558</v>
      </c>
      <c r="M345" s="8"/>
    </row>
    <row r="346" spans="4:13" x14ac:dyDescent="0.25">
      <c r="D346" s="11" t="s">
        <v>1559</v>
      </c>
      <c r="M346" s="8"/>
    </row>
    <row r="347" spans="4:13" x14ac:dyDescent="0.25">
      <c r="D347" s="8" t="s">
        <v>1560</v>
      </c>
      <c r="M347" s="8"/>
    </row>
    <row r="348" spans="4:13" x14ac:dyDescent="0.25">
      <c r="D348" s="13" t="s">
        <v>354</v>
      </c>
      <c r="M348" s="8"/>
    </row>
    <row r="349" spans="4:13" x14ac:dyDescent="0.25">
      <c r="D349" s="12" t="s">
        <v>1561</v>
      </c>
      <c r="M349" s="8"/>
    </row>
    <row r="350" spans="4:13" x14ac:dyDescent="0.25">
      <c r="D350" s="10" t="s">
        <v>280</v>
      </c>
      <c r="E350" s="10" t="s">
        <v>515</v>
      </c>
      <c r="F350" s="10" t="s">
        <v>516</v>
      </c>
      <c r="G350" s="10" t="s">
        <v>481</v>
      </c>
      <c r="H350" s="10" t="s">
        <v>482</v>
      </c>
      <c r="I350" s="10" t="s">
        <v>517</v>
      </c>
      <c r="J350" s="10" t="s">
        <v>485</v>
      </c>
      <c r="K350" s="10" t="s">
        <v>505</v>
      </c>
      <c r="L350" s="10" t="s">
        <v>518</v>
      </c>
      <c r="M350" s="8"/>
    </row>
    <row r="351" spans="4:13" x14ac:dyDescent="0.25">
      <c r="D351" s="10" t="s">
        <v>315</v>
      </c>
      <c r="E351" s="10">
        <v>700</v>
      </c>
      <c r="F351" s="10">
        <v>700</v>
      </c>
      <c r="G351" s="10">
        <v>500</v>
      </c>
      <c r="H351" s="10">
        <v>500</v>
      </c>
      <c r="I351" s="10">
        <v>500</v>
      </c>
      <c r="J351" s="10">
        <v>600</v>
      </c>
      <c r="K351" s="10">
        <v>600</v>
      </c>
      <c r="L351" s="10" t="s">
        <v>315</v>
      </c>
      <c r="M351" s="8"/>
    </row>
    <row r="352" spans="4:13" x14ac:dyDescent="0.25">
      <c r="D352" s="8" t="s">
        <v>339</v>
      </c>
      <c r="E352" s="10">
        <v>700</v>
      </c>
      <c r="F352" s="10">
        <v>700</v>
      </c>
      <c r="G352" s="10">
        <v>500</v>
      </c>
      <c r="H352" s="10">
        <v>500</v>
      </c>
      <c r="I352" s="10">
        <v>500</v>
      </c>
      <c r="J352" s="10">
        <v>600</v>
      </c>
      <c r="K352" s="10">
        <v>600</v>
      </c>
      <c r="L352" s="10" t="s">
        <v>339</v>
      </c>
      <c r="M352" s="8"/>
    </row>
    <row r="353" spans="4:15" x14ac:dyDescent="0.25">
      <c r="D353" s="8" t="s">
        <v>1339</v>
      </c>
      <c r="E353" s="10">
        <v>770</v>
      </c>
      <c r="F353" s="10">
        <v>770</v>
      </c>
      <c r="G353" s="10">
        <v>550</v>
      </c>
      <c r="H353" s="10">
        <v>550</v>
      </c>
      <c r="I353" s="10">
        <v>550</v>
      </c>
      <c r="J353" s="10">
        <v>660</v>
      </c>
      <c r="K353" s="10">
        <v>660</v>
      </c>
      <c r="L353" s="10" t="s">
        <v>441</v>
      </c>
      <c r="M353" s="8"/>
    </row>
    <row r="354" spans="4:15" x14ac:dyDescent="0.25">
      <c r="D354" s="8" t="s">
        <v>1335</v>
      </c>
      <c r="E354" s="10">
        <v>770</v>
      </c>
      <c r="F354" s="10">
        <v>770</v>
      </c>
      <c r="G354" s="10">
        <v>550</v>
      </c>
      <c r="H354" s="10">
        <v>550</v>
      </c>
      <c r="I354" s="10">
        <v>550</v>
      </c>
      <c r="J354" s="10">
        <v>660</v>
      </c>
      <c r="K354" s="10">
        <v>660</v>
      </c>
      <c r="L354" s="10" t="s">
        <v>340</v>
      </c>
      <c r="M354" s="8"/>
    </row>
    <row r="355" spans="4:15" x14ac:dyDescent="0.25">
      <c r="D355" s="8" t="s">
        <v>1336</v>
      </c>
      <c r="E355" s="10">
        <v>770</v>
      </c>
      <c r="F355" s="10">
        <v>770</v>
      </c>
      <c r="G355" s="10">
        <v>550</v>
      </c>
      <c r="H355" s="10">
        <v>550</v>
      </c>
      <c r="I355" s="10">
        <v>550</v>
      </c>
      <c r="J355" s="10">
        <v>660</v>
      </c>
      <c r="K355" s="10">
        <v>660</v>
      </c>
      <c r="L355" s="10" t="s">
        <v>399</v>
      </c>
      <c r="M355" s="8"/>
    </row>
    <row r="356" spans="4:15" x14ac:dyDescent="0.25">
      <c r="D356" s="8" t="s">
        <v>1338</v>
      </c>
      <c r="E356" s="10">
        <v>770</v>
      </c>
      <c r="F356" s="10">
        <v>770</v>
      </c>
      <c r="G356" s="10">
        <v>550</v>
      </c>
      <c r="H356" s="10">
        <v>550</v>
      </c>
      <c r="I356" s="10">
        <v>550</v>
      </c>
      <c r="J356" s="10">
        <v>660</v>
      </c>
      <c r="K356" s="10">
        <v>660</v>
      </c>
      <c r="L356" s="10" t="s">
        <v>395</v>
      </c>
      <c r="M356" s="8"/>
    </row>
    <row r="357" spans="4:15" x14ac:dyDescent="0.25">
      <c r="D357" s="8" t="s">
        <v>1334</v>
      </c>
      <c r="E357" s="10">
        <v>770</v>
      </c>
      <c r="F357" s="10">
        <v>770</v>
      </c>
      <c r="G357" s="10">
        <v>550</v>
      </c>
      <c r="H357" s="10">
        <v>550</v>
      </c>
      <c r="I357" s="10">
        <v>550</v>
      </c>
      <c r="J357" s="10">
        <v>660</v>
      </c>
      <c r="K357" s="10">
        <v>660</v>
      </c>
      <c r="L357" s="10" t="s">
        <v>345</v>
      </c>
      <c r="M357" s="8"/>
    </row>
    <row r="358" spans="4:15" x14ac:dyDescent="0.25">
      <c r="D358" s="8" t="s">
        <v>1337</v>
      </c>
      <c r="E358" s="10">
        <v>770</v>
      </c>
      <c r="F358" s="10">
        <v>770</v>
      </c>
      <c r="G358" s="10">
        <v>550</v>
      </c>
      <c r="H358" s="10">
        <v>550</v>
      </c>
      <c r="I358" s="10">
        <v>550</v>
      </c>
      <c r="J358" s="10">
        <v>660</v>
      </c>
      <c r="K358" s="10">
        <v>660</v>
      </c>
      <c r="L358" s="10" t="s">
        <v>346</v>
      </c>
      <c r="M358" s="8"/>
    </row>
    <row r="359" spans="4:15" x14ac:dyDescent="0.25">
      <c r="M359" s="8"/>
    </row>
    <row r="360" spans="4:15" x14ac:dyDescent="0.25">
      <c r="M360" s="8"/>
    </row>
    <row r="361" spans="4:15" x14ac:dyDescent="0.25">
      <c r="D361" s="10" t="s">
        <v>280</v>
      </c>
      <c r="E361" s="162" t="s">
        <v>490</v>
      </c>
      <c r="F361" s="162" t="s">
        <v>491</v>
      </c>
      <c r="G361" s="162" t="s">
        <v>492</v>
      </c>
      <c r="H361" s="162" t="s">
        <v>493</v>
      </c>
      <c r="I361" s="162" t="s">
        <v>494</v>
      </c>
      <c r="J361" s="162" t="s">
        <v>495</v>
      </c>
      <c r="K361" s="162" t="s">
        <v>496</v>
      </c>
      <c r="L361" s="162" t="s">
        <v>497</v>
      </c>
      <c r="M361" s="162" t="s">
        <v>498</v>
      </c>
      <c r="N361" s="162" t="s">
        <v>499</v>
      </c>
      <c r="O361" s="10" t="s">
        <v>518</v>
      </c>
    </row>
    <row r="362" spans="4:15" x14ac:dyDescent="0.25">
      <c r="D362" s="10" t="str">
        <f>D351</f>
        <v>ACT</v>
      </c>
      <c r="E362" s="10">
        <f t="shared" ref="E362:H362" si="56">E351</f>
        <v>700</v>
      </c>
      <c r="F362" s="10">
        <f t="shared" si="56"/>
        <v>700</v>
      </c>
      <c r="G362" s="10">
        <f t="shared" si="56"/>
        <v>500</v>
      </c>
      <c r="H362" s="10">
        <f t="shared" si="56"/>
        <v>500</v>
      </c>
      <c r="I362" s="10">
        <f>I351</f>
        <v>500</v>
      </c>
      <c r="J362" s="10">
        <f>I351</f>
        <v>500</v>
      </c>
      <c r="K362" s="10">
        <f t="shared" ref="K362" si="57">J351</f>
        <v>600</v>
      </c>
      <c r="L362" s="10">
        <f>K351</f>
        <v>600</v>
      </c>
      <c r="M362" s="10">
        <f>K351</f>
        <v>600</v>
      </c>
      <c r="N362" s="10">
        <f>K351</f>
        <v>600</v>
      </c>
      <c r="O362" s="10" t="str">
        <f>L351</f>
        <v>ACT</v>
      </c>
    </row>
    <row r="363" spans="4:15" x14ac:dyDescent="0.25">
      <c r="D363" s="10" t="str">
        <f t="shared" ref="D363:I369" si="58">D352</f>
        <v>NSW</v>
      </c>
      <c r="E363" s="10">
        <f t="shared" si="58"/>
        <v>700</v>
      </c>
      <c r="F363" s="10">
        <f t="shared" si="58"/>
        <v>700</v>
      </c>
      <c r="G363" s="10">
        <f t="shared" si="58"/>
        <v>500</v>
      </c>
      <c r="H363" s="10">
        <f t="shared" si="58"/>
        <v>500</v>
      </c>
      <c r="I363" s="10">
        <f t="shared" si="58"/>
        <v>500</v>
      </c>
      <c r="J363" s="10">
        <f t="shared" ref="J363:L369" si="59">I352</f>
        <v>500</v>
      </c>
      <c r="K363" s="10">
        <f t="shared" si="59"/>
        <v>600</v>
      </c>
      <c r="L363" s="10">
        <f t="shared" si="59"/>
        <v>600</v>
      </c>
      <c r="M363" s="10">
        <f t="shared" ref="M363:M369" si="60">K352</f>
        <v>600</v>
      </c>
      <c r="N363" s="10">
        <f t="shared" ref="N363:O369" si="61">K352</f>
        <v>600</v>
      </c>
      <c r="O363" s="10" t="str">
        <f t="shared" si="61"/>
        <v>NSW</v>
      </c>
    </row>
    <row r="364" spans="4:15" x14ac:dyDescent="0.25">
      <c r="D364" s="10" t="str">
        <f t="shared" si="58"/>
        <v>Northern Territory</v>
      </c>
      <c r="E364" s="10">
        <f t="shared" si="58"/>
        <v>770</v>
      </c>
      <c r="F364" s="10">
        <f t="shared" si="58"/>
        <v>770</v>
      </c>
      <c r="G364" s="10">
        <f t="shared" si="58"/>
        <v>550</v>
      </c>
      <c r="H364" s="10">
        <f t="shared" si="58"/>
        <v>550</v>
      </c>
      <c r="I364" s="10">
        <f t="shared" si="58"/>
        <v>550</v>
      </c>
      <c r="J364" s="10">
        <f t="shared" si="59"/>
        <v>550</v>
      </c>
      <c r="K364" s="10">
        <f t="shared" si="59"/>
        <v>660</v>
      </c>
      <c r="L364" s="10">
        <f t="shared" si="59"/>
        <v>660</v>
      </c>
      <c r="M364" s="10">
        <f t="shared" si="60"/>
        <v>660</v>
      </c>
      <c r="N364" s="10">
        <f t="shared" si="61"/>
        <v>660</v>
      </c>
      <c r="O364" s="10" t="str">
        <f t="shared" si="61"/>
        <v>NT</v>
      </c>
    </row>
    <row r="365" spans="4:15" x14ac:dyDescent="0.25">
      <c r="D365" s="10" t="str">
        <f t="shared" si="58"/>
        <v>Queensland</v>
      </c>
      <c r="E365" s="10">
        <f t="shared" si="58"/>
        <v>770</v>
      </c>
      <c r="F365" s="10">
        <f t="shared" si="58"/>
        <v>770</v>
      </c>
      <c r="G365" s="10">
        <f t="shared" si="58"/>
        <v>550</v>
      </c>
      <c r="H365" s="10">
        <f t="shared" si="58"/>
        <v>550</v>
      </c>
      <c r="I365" s="10">
        <f t="shared" si="58"/>
        <v>550</v>
      </c>
      <c r="J365" s="10">
        <f t="shared" si="59"/>
        <v>550</v>
      </c>
      <c r="K365" s="10">
        <f t="shared" si="59"/>
        <v>660</v>
      </c>
      <c r="L365" s="10">
        <f t="shared" si="59"/>
        <v>660</v>
      </c>
      <c r="M365" s="10">
        <f t="shared" si="60"/>
        <v>660</v>
      </c>
      <c r="N365" s="10">
        <f t="shared" si="61"/>
        <v>660</v>
      </c>
      <c r="O365" s="10" t="str">
        <f t="shared" si="61"/>
        <v>QLD</v>
      </c>
    </row>
    <row r="366" spans="4:15" x14ac:dyDescent="0.25">
      <c r="D366" s="10" t="str">
        <f t="shared" si="58"/>
        <v>South Australia</v>
      </c>
      <c r="E366" s="10">
        <f t="shared" si="58"/>
        <v>770</v>
      </c>
      <c r="F366" s="10">
        <f t="shared" si="58"/>
        <v>770</v>
      </c>
      <c r="G366" s="10">
        <f t="shared" si="58"/>
        <v>550</v>
      </c>
      <c r="H366" s="10">
        <f t="shared" si="58"/>
        <v>550</v>
      </c>
      <c r="I366" s="10">
        <f t="shared" si="58"/>
        <v>550</v>
      </c>
      <c r="J366" s="10">
        <f t="shared" si="59"/>
        <v>550</v>
      </c>
      <c r="K366" s="10">
        <f t="shared" si="59"/>
        <v>660</v>
      </c>
      <c r="L366" s="10">
        <f t="shared" si="59"/>
        <v>660</v>
      </c>
      <c r="M366" s="10">
        <f t="shared" si="60"/>
        <v>660</v>
      </c>
      <c r="N366" s="10">
        <f t="shared" si="61"/>
        <v>660</v>
      </c>
      <c r="O366" s="10" t="str">
        <f t="shared" si="61"/>
        <v>SA</v>
      </c>
    </row>
    <row r="367" spans="4:15" x14ac:dyDescent="0.25">
      <c r="D367" s="10" t="str">
        <f t="shared" si="58"/>
        <v>Tasmania</v>
      </c>
      <c r="E367" s="10">
        <f t="shared" si="58"/>
        <v>770</v>
      </c>
      <c r="F367" s="10">
        <f t="shared" si="58"/>
        <v>770</v>
      </c>
      <c r="G367" s="10">
        <f t="shared" si="58"/>
        <v>550</v>
      </c>
      <c r="H367" s="10">
        <f t="shared" si="58"/>
        <v>550</v>
      </c>
      <c r="I367" s="10">
        <f t="shared" si="58"/>
        <v>550</v>
      </c>
      <c r="J367" s="10">
        <f t="shared" si="59"/>
        <v>550</v>
      </c>
      <c r="K367" s="10">
        <f t="shared" si="59"/>
        <v>660</v>
      </c>
      <c r="L367" s="10">
        <f t="shared" si="59"/>
        <v>660</v>
      </c>
      <c r="M367" s="10">
        <f t="shared" si="60"/>
        <v>660</v>
      </c>
      <c r="N367" s="10">
        <f t="shared" si="61"/>
        <v>660</v>
      </c>
      <c r="O367" s="10" t="str">
        <f t="shared" si="61"/>
        <v>TAS</v>
      </c>
    </row>
    <row r="368" spans="4:15" x14ac:dyDescent="0.25">
      <c r="D368" s="10" t="str">
        <f t="shared" si="58"/>
        <v>Victoria</v>
      </c>
      <c r="E368" s="10">
        <f t="shared" si="58"/>
        <v>770</v>
      </c>
      <c r="F368" s="10">
        <f t="shared" si="58"/>
        <v>770</v>
      </c>
      <c r="G368" s="10">
        <f t="shared" si="58"/>
        <v>550</v>
      </c>
      <c r="H368" s="10">
        <f t="shared" si="58"/>
        <v>550</v>
      </c>
      <c r="I368" s="10">
        <f t="shared" si="58"/>
        <v>550</v>
      </c>
      <c r="J368" s="10">
        <f t="shared" si="59"/>
        <v>550</v>
      </c>
      <c r="K368" s="10">
        <f t="shared" si="59"/>
        <v>660</v>
      </c>
      <c r="L368" s="10">
        <f t="shared" si="59"/>
        <v>660</v>
      </c>
      <c r="M368" s="10">
        <f t="shared" si="60"/>
        <v>660</v>
      </c>
      <c r="N368" s="10">
        <f t="shared" si="61"/>
        <v>660</v>
      </c>
      <c r="O368" s="10" t="str">
        <f t="shared" si="61"/>
        <v>VIC</v>
      </c>
    </row>
    <row r="369" spans="4:15" x14ac:dyDescent="0.25">
      <c r="D369" s="10" t="str">
        <f t="shared" si="58"/>
        <v>Western Australia</v>
      </c>
      <c r="E369" s="10">
        <f t="shared" si="58"/>
        <v>770</v>
      </c>
      <c r="F369" s="10">
        <f t="shared" si="58"/>
        <v>770</v>
      </c>
      <c r="G369" s="10">
        <f t="shared" si="58"/>
        <v>550</v>
      </c>
      <c r="H369" s="10">
        <f t="shared" si="58"/>
        <v>550</v>
      </c>
      <c r="I369" s="10">
        <f t="shared" si="58"/>
        <v>550</v>
      </c>
      <c r="J369" s="10">
        <f t="shared" si="59"/>
        <v>550</v>
      </c>
      <c r="K369" s="10">
        <f t="shared" si="59"/>
        <v>660</v>
      </c>
      <c r="L369" s="10">
        <f t="shared" si="59"/>
        <v>660</v>
      </c>
      <c r="M369" s="10">
        <f t="shared" si="60"/>
        <v>660</v>
      </c>
      <c r="N369" s="10">
        <f t="shared" si="61"/>
        <v>660</v>
      </c>
      <c r="O369" s="10" t="str">
        <f t="shared" si="61"/>
        <v>WA</v>
      </c>
    </row>
    <row r="370" spans="4:15" x14ac:dyDescent="0.25">
      <c r="M370" s="8"/>
    </row>
    <row r="371" spans="4:15" x14ac:dyDescent="0.25">
      <c r="M371" s="8"/>
    </row>
    <row r="372" spans="4:15" ht="23.25" x14ac:dyDescent="0.25">
      <c r="D372" s="9" t="s">
        <v>1562</v>
      </c>
      <c r="M372" s="8"/>
    </row>
    <row r="373" spans="4:15" x14ac:dyDescent="0.25">
      <c r="D373" s="11" t="s">
        <v>1563</v>
      </c>
      <c r="M373" s="8"/>
    </row>
    <row r="374" spans="4:15" x14ac:dyDescent="0.25">
      <c r="D374" s="8" t="s">
        <v>570</v>
      </c>
      <c r="M374" s="8"/>
    </row>
    <row r="375" spans="4:15" x14ac:dyDescent="0.25">
      <c r="D375" s="13" t="s">
        <v>1004</v>
      </c>
      <c r="E375" s="163" t="s">
        <v>519</v>
      </c>
      <c r="M375" s="8"/>
    </row>
    <row r="376" spans="4:15" x14ac:dyDescent="0.25">
      <c r="D376" s="12" t="s">
        <v>1564</v>
      </c>
      <c r="M376" s="8"/>
    </row>
    <row r="377" spans="4:15" x14ac:dyDescent="0.25">
      <c r="D377" s="10" t="s">
        <v>280</v>
      </c>
      <c r="E377" s="10" t="s">
        <v>390</v>
      </c>
      <c r="F377" s="10" t="s">
        <v>62</v>
      </c>
      <c r="G377" s="10" t="s">
        <v>520</v>
      </c>
      <c r="M377" s="8"/>
    </row>
    <row r="378" spans="4:15" x14ac:dyDescent="0.25">
      <c r="D378" s="10" t="s">
        <v>315</v>
      </c>
      <c r="E378" s="10" t="s">
        <v>440</v>
      </c>
      <c r="F378" s="10">
        <v>99.191999999999993</v>
      </c>
      <c r="G378" s="10">
        <v>0.80800000000000005</v>
      </c>
      <c r="M378" s="8"/>
    </row>
    <row r="379" spans="4:15" x14ac:dyDescent="0.25">
      <c r="D379" s="8" t="s">
        <v>339</v>
      </c>
      <c r="E379" s="10" t="s">
        <v>440</v>
      </c>
      <c r="F379" s="10">
        <v>99.451999999999998</v>
      </c>
      <c r="G379" s="10">
        <v>0.54800000000000004</v>
      </c>
      <c r="M379" s="8"/>
    </row>
    <row r="380" spans="4:15" x14ac:dyDescent="0.25">
      <c r="D380" s="8" t="s">
        <v>399</v>
      </c>
      <c r="E380" s="10" t="s">
        <v>440</v>
      </c>
      <c r="F380" s="10">
        <v>99.759</v>
      </c>
      <c r="G380" s="10">
        <v>0.24099999999999999</v>
      </c>
      <c r="M380" s="8"/>
    </row>
    <row r="381" spans="4:15" x14ac:dyDescent="0.25">
      <c r="D381" s="8" t="s">
        <v>395</v>
      </c>
      <c r="E381" s="10" t="s">
        <v>440</v>
      </c>
      <c r="F381" s="10">
        <v>99.122</v>
      </c>
      <c r="G381" s="10">
        <v>0.878</v>
      </c>
      <c r="M381" s="8"/>
    </row>
    <row r="382" spans="4:15" x14ac:dyDescent="0.25">
      <c r="D382" s="8" t="s">
        <v>345</v>
      </c>
      <c r="E382" s="10" t="s">
        <v>440</v>
      </c>
      <c r="F382" s="10">
        <v>98.894000000000005</v>
      </c>
      <c r="G382" s="10">
        <v>1.1060000000000001</v>
      </c>
      <c r="M382" s="8"/>
    </row>
    <row r="383" spans="4:15" x14ac:dyDescent="0.25">
      <c r="D383" s="8" t="s">
        <v>346</v>
      </c>
      <c r="E383" s="10" t="s">
        <v>458</v>
      </c>
      <c r="F383" s="10">
        <v>99.622</v>
      </c>
      <c r="G383" s="10">
        <v>0.378</v>
      </c>
      <c r="M383" s="8"/>
    </row>
    <row r="384" spans="4:15" x14ac:dyDescent="0.25">
      <c r="D384" s="8" t="s">
        <v>346</v>
      </c>
      <c r="E384" s="10" t="s">
        <v>461</v>
      </c>
      <c r="F384" s="10">
        <v>99.998999999999995</v>
      </c>
      <c r="G384" s="10">
        <v>1E-3</v>
      </c>
      <c r="M384" s="8"/>
    </row>
    <row r="385" spans="4:13" x14ac:dyDescent="0.25">
      <c r="D385" s="8" t="s">
        <v>346</v>
      </c>
      <c r="E385" s="10" t="s">
        <v>464</v>
      </c>
      <c r="F385" s="10">
        <v>99.998999999999995</v>
      </c>
      <c r="G385" s="10">
        <v>1E-3</v>
      </c>
      <c r="M385" s="8"/>
    </row>
    <row r="386" spans="4:13" x14ac:dyDescent="0.25">
      <c r="D386" s="8" t="s">
        <v>441</v>
      </c>
      <c r="E386" s="10" t="s">
        <v>459</v>
      </c>
      <c r="F386" s="10">
        <v>99.998999999999995</v>
      </c>
      <c r="G386" s="10">
        <v>1E-3</v>
      </c>
      <c r="M386" s="8"/>
    </row>
    <row r="387" spans="4:13" x14ac:dyDescent="0.25">
      <c r="D387" s="8" t="s">
        <v>441</v>
      </c>
      <c r="E387" s="10" t="s">
        <v>462</v>
      </c>
      <c r="F387" s="10">
        <v>99.994</v>
      </c>
      <c r="G387" s="10">
        <v>6.0000000000000001E-3</v>
      </c>
      <c r="M387" s="8"/>
    </row>
    <row r="388" spans="4:13" x14ac:dyDescent="0.25">
      <c r="D388" s="8" t="s">
        <v>441</v>
      </c>
      <c r="E388" s="10" t="s">
        <v>465</v>
      </c>
      <c r="F388" s="10">
        <v>99.998999999999995</v>
      </c>
      <c r="G388" s="10">
        <v>1E-3</v>
      </c>
      <c r="M388" s="8"/>
    </row>
    <row r="389" spans="4:13" x14ac:dyDescent="0.25">
      <c r="D389" s="8" t="s">
        <v>340</v>
      </c>
      <c r="E389" s="10" t="s">
        <v>460</v>
      </c>
      <c r="F389" s="10">
        <v>99.772999999999996</v>
      </c>
      <c r="G389" s="10">
        <v>0.22700000000000001</v>
      </c>
      <c r="M389" s="8"/>
    </row>
    <row r="390" spans="4:13" x14ac:dyDescent="0.25">
      <c r="D390" s="8" t="s">
        <v>340</v>
      </c>
      <c r="E390" s="10" t="s">
        <v>463</v>
      </c>
      <c r="F390" s="10">
        <v>99.897999999999996</v>
      </c>
      <c r="G390" s="10">
        <v>0.10199999999999999</v>
      </c>
      <c r="M390" s="8"/>
    </row>
    <row r="391" spans="4:13" x14ac:dyDescent="0.25">
      <c r="D391" s="8" t="s">
        <v>340</v>
      </c>
      <c r="E391" s="10" t="s">
        <v>466</v>
      </c>
      <c r="F391" s="10">
        <v>99.978999999999999</v>
      </c>
      <c r="G391" s="10">
        <v>2.1000000000000001E-2</v>
      </c>
      <c r="M391" s="8"/>
    </row>
    <row r="392" spans="4:13" x14ac:dyDescent="0.25">
      <c r="D392" s="8" t="s">
        <v>340</v>
      </c>
      <c r="E392" s="10" t="s">
        <v>468</v>
      </c>
      <c r="F392" s="10">
        <v>99.977000000000004</v>
      </c>
      <c r="G392" s="10">
        <v>2.3E-2</v>
      </c>
      <c r="M392" s="8"/>
    </row>
    <row r="393" spans="4:13" x14ac:dyDescent="0.25">
      <c r="M393" s="8"/>
    </row>
    <row r="394" spans="4:13" x14ac:dyDescent="0.25">
      <c r="M394" s="8"/>
    </row>
    <row r="395" spans="4:13" ht="23.25" x14ac:dyDescent="0.25">
      <c r="D395" s="9" t="s">
        <v>1565</v>
      </c>
      <c r="M395" s="8"/>
    </row>
    <row r="396" spans="4:13" x14ac:dyDescent="0.25">
      <c r="D396" s="11" t="s">
        <v>1566</v>
      </c>
      <c r="M396" s="8"/>
    </row>
    <row r="397" spans="4:13" x14ac:dyDescent="0.25">
      <c r="D397" s="8" t="s">
        <v>1567</v>
      </c>
      <c r="M397" s="8"/>
    </row>
    <row r="398" spans="4:13" x14ac:dyDescent="0.25">
      <c r="D398" s="13" t="s">
        <v>1004</v>
      </c>
      <c r="M398" s="8"/>
    </row>
    <row r="399" spans="4:13" x14ac:dyDescent="0.25">
      <c r="D399" s="12" t="s">
        <v>1564</v>
      </c>
      <c r="M399" s="8"/>
    </row>
    <row r="400" spans="4:13" x14ac:dyDescent="0.25">
      <c r="D400" s="10" t="s">
        <v>280</v>
      </c>
      <c r="E400" s="10" t="s">
        <v>390</v>
      </c>
      <c r="F400" s="10" t="s">
        <v>62</v>
      </c>
      <c r="G400" s="10" t="s">
        <v>520</v>
      </c>
      <c r="M400" s="8"/>
    </row>
    <row r="401" spans="4:13" x14ac:dyDescent="0.25">
      <c r="D401" s="10" t="s">
        <v>315</v>
      </c>
      <c r="E401" s="10" t="s">
        <v>440</v>
      </c>
      <c r="F401" s="10">
        <v>4.7000000000000002E-3</v>
      </c>
      <c r="G401" s="10">
        <v>0.71</v>
      </c>
      <c r="M401" s="8"/>
    </row>
    <row r="402" spans="4:13" x14ac:dyDescent="0.25">
      <c r="D402" s="10" t="s">
        <v>339</v>
      </c>
      <c r="E402" s="10" t="s">
        <v>440</v>
      </c>
      <c r="F402" s="10">
        <v>4.7000000000000002E-3</v>
      </c>
      <c r="G402" s="10">
        <v>0.75</v>
      </c>
      <c r="M402" s="8"/>
    </row>
    <row r="403" spans="4:13" x14ac:dyDescent="0.25">
      <c r="D403" s="10" t="s">
        <v>399</v>
      </c>
      <c r="E403" s="10" t="s">
        <v>440</v>
      </c>
      <c r="F403" s="10">
        <v>4.7000000000000002E-3</v>
      </c>
      <c r="G403" s="10">
        <v>0.74</v>
      </c>
      <c r="M403" s="8"/>
    </row>
    <row r="404" spans="4:13" x14ac:dyDescent="0.25">
      <c r="D404" s="10" t="s">
        <v>395</v>
      </c>
      <c r="E404" s="10" t="s">
        <v>440</v>
      </c>
      <c r="F404" s="10">
        <v>4.7000000000000002E-3</v>
      </c>
      <c r="G404" s="10">
        <v>0.7</v>
      </c>
      <c r="M404" s="8"/>
    </row>
    <row r="405" spans="4:13" x14ac:dyDescent="0.25">
      <c r="D405" s="10" t="s">
        <v>345</v>
      </c>
      <c r="E405" s="10" t="s">
        <v>440</v>
      </c>
      <c r="F405" s="10">
        <v>4.7000000000000002E-3</v>
      </c>
      <c r="G405" s="10">
        <v>0.74</v>
      </c>
      <c r="M405" s="8"/>
    </row>
    <row r="406" spans="4:13" x14ac:dyDescent="0.25">
      <c r="D406" s="10" t="s">
        <v>346</v>
      </c>
      <c r="E406" s="10" t="s">
        <v>458</v>
      </c>
      <c r="F406" s="10">
        <v>4.7000000000000002E-3</v>
      </c>
      <c r="G406" s="10">
        <v>0.76</v>
      </c>
      <c r="M406" s="8"/>
    </row>
    <row r="407" spans="4:13" x14ac:dyDescent="0.25">
      <c r="D407" s="10" t="s">
        <v>346</v>
      </c>
      <c r="E407" s="10" t="s">
        <v>461</v>
      </c>
      <c r="F407" s="10">
        <v>4.7000000000000002E-3</v>
      </c>
      <c r="G407" s="10">
        <v>0.76</v>
      </c>
      <c r="M407" s="8"/>
    </row>
    <row r="408" spans="4:13" x14ac:dyDescent="0.25">
      <c r="D408" s="10" t="s">
        <v>346</v>
      </c>
      <c r="E408" s="10" t="s">
        <v>464</v>
      </c>
      <c r="F408" s="10">
        <v>4.7000000000000002E-3</v>
      </c>
      <c r="G408" s="10">
        <v>0.76</v>
      </c>
      <c r="M408" s="8"/>
    </row>
    <row r="409" spans="4:13" x14ac:dyDescent="0.25">
      <c r="D409" s="10" t="s">
        <v>441</v>
      </c>
      <c r="E409" s="10" t="s">
        <v>459</v>
      </c>
      <c r="F409" s="10">
        <v>4.7000000000000002E-3</v>
      </c>
      <c r="G409" s="10">
        <v>0.8</v>
      </c>
      <c r="M409" s="8"/>
    </row>
    <row r="410" spans="4:13" x14ac:dyDescent="0.25">
      <c r="D410" s="10" t="s">
        <v>441</v>
      </c>
      <c r="E410" s="10" t="s">
        <v>462</v>
      </c>
      <c r="F410" s="10">
        <v>4.7000000000000002E-3</v>
      </c>
      <c r="G410" s="10">
        <v>0.8</v>
      </c>
      <c r="M410" s="8"/>
    </row>
    <row r="411" spans="4:13" x14ac:dyDescent="0.25">
      <c r="D411" s="10" t="s">
        <v>441</v>
      </c>
      <c r="E411" s="10" t="s">
        <v>465</v>
      </c>
      <c r="F411" s="10">
        <v>4.7000000000000002E-3</v>
      </c>
      <c r="G411" s="10">
        <v>0.8</v>
      </c>
      <c r="M411" s="8"/>
    </row>
    <row r="412" spans="4:13" x14ac:dyDescent="0.25">
      <c r="D412" s="10" t="s">
        <v>340</v>
      </c>
      <c r="E412" s="10" t="s">
        <v>460</v>
      </c>
      <c r="F412" s="10">
        <v>4.7000000000000002E-3</v>
      </c>
      <c r="G412" s="10">
        <v>0.78</v>
      </c>
      <c r="M412" s="8"/>
    </row>
    <row r="413" spans="4:13" x14ac:dyDescent="0.25">
      <c r="D413" s="10" t="s">
        <v>340</v>
      </c>
      <c r="E413" s="10" t="s">
        <v>463</v>
      </c>
      <c r="F413" s="10">
        <v>4.7000000000000002E-3</v>
      </c>
      <c r="G413" s="10">
        <v>0.78</v>
      </c>
      <c r="M413" s="8"/>
    </row>
    <row r="414" spans="4:13" x14ac:dyDescent="0.25">
      <c r="D414" s="10" t="s">
        <v>340</v>
      </c>
      <c r="E414" s="10" t="s">
        <v>466</v>
      </c>
      <c r="F414" s="10">
        <v>4.7000000000000002E-3</v>
      </c>
      <c r="G414" s="10">
        <v>0.78</v>
      </c>
      <c r="M414" s="8"/>
    </row>
    <row r="415" spans="4:13" x14ac:dyDescent="0.25">
      <c r="D415" s="10" t="s">
        <v>340</v>
      </c>
      <c r="E415" s="10" t="s">
        <v>468</v>
      </c>
      <c r="F415" s="10">
        <v>4.7000000000000002E-3</v>
      </c>
      <c r="G415" s="10">
        <v>0.78</v>
      </c>
      <c r="M415" s="8"/>
    </row>
    <row r="416" spans="4:13" x14ac:dyDescent="0.25">
      <c r="M416" s="8"/>
    </row>
    <row r="417" spans="4:13" x14ac:dyDescent="0.25">
      <c r="M417" s="8"/>
    </row>
    <row r="418" spans="4:13" ht="23.25" x14ac:dyDescent="0.25">
      <c r="D418" s="9" t="s">
        <v>1568</v>
      </c>
      <c r="M418" s="8"/>
    </row>
    <row r="419" spans="4:13" x14ac:dyDescent="0.25">
      <c r="D419" s="11" t="s">
        <v>1569</v>
      </c>
      <c r="M419" s="8"/>
    </row>
    <row r="420" spans="4:13" x14ac:dyDescent="0.25">
      <c r="D420" s="8" t="s">
        <v>1521</v>
      </c>
      <c r="M420" s="8"/>
    </row>
    <row r="421" spans="4:13" x14ac:dyDescent="0.25">
      <c r="D421" s="13" t="s">
        <v>1004</v>
      </c>
      <c r="M421" s="8"/>
    </row>
    <row r="422" spans="4:13" x14ac:dyDescent="0.25">
      <c r="D422" s="28">
        <v>0.08</v>
      </c>
      <c r="M422" s="8"/>
    </row>
    <row r="423" spans="4:13" x14ac:dyDescent="0.25">
      <c r="M423" s="8"/>
    </row>
    <row r="424" spans="4:13" ht="23.25" x14ac:dyDescent="0.25">
      <c r="D424" s="9" t="s">
        <v>1522</v>
      </c>
      <c r="M424" s="8"/>
    </row>
    <row r="425" spans="4:13" x14ac:dyDescent="0.25">
      <c r="D425" s="11" t="s">
        <v>1569</v>
      </c>
      <c r="M425" s="8"/>
    </row>
    <row r="426" spans="4:13" x14ac:dyDescent="0.25">
      <c r="D426" s="8" t="s">
        <v>590</v>
      </c>
      <c r="M426" s="8"/>
    </row>
    <row r="427" spans="4:13" x14ac:dyDescent="0.25">
      <c r="D427" s="13" t="s">
        <v>1397</v>
      </c>
      <c r="M427" s="8"/>
    </row>
    <row r="428" spans="4:13" x14ac:dyDescent="0.25">
      <c r="D428" s="28">
        <v>0.19</v>
      </c>
      <c r="M428" s="8"/>
    </row>
    <row r="429" spans="4:13" x14ac:dyDescent="0.25">
      <c r="M429" s="8"/>
    </row>
    <row r="430" spans="4:13" ht="23.25" x14ac:dyDescent="0.25">
      <c r="D430" s="9" t="s">
        <v>1385</v>
      </c>
      <c r="M430" s="8"/>
    </row>
    <row r="431" spans="4:13" x14ac:dyDescent="0.25">
      <c r="D431" s="11" t="s">
        <v>1569</v>
      </c>
      <c r="M431" s="8"/>
    </row>
    <row r="432" spans="4:13" x14ac:dyDescent="0.25">
      <c r="D432" s="8" t="s">
        <v>1570</v>
      </c>
      <c r="M432" s="8"/>
    </row>
    <row r="433" spans="4:13" x14ac:dyDescent="0.25">
      <c r="D433" s="13" t="s">
        <v>1004</v>
      </c>
      <c r="M433" s="8"/>
    </row>
    <row r="434" spans="4:13" x14ac:dyDescent="0.25">
      <c r="D434" s="28">
        <v>0.21</v>
      </c>
      <c r="M434" s="8"/>
    </row>
    <row r="435" spans="4:13" x14ac:dyDescent="0.25">
      <c r="M435" s="8"/>
    </row>
    <row r="436" spans="4:13" ht="23.25" x14ac:dyDescent="0.25">
      <c r="D436" s="9" t="s">
        <v>1571</v>
      </c>
      <c r="M436" s="8"/>
    </row>
    <row r="437" spans="4:13" x14ac:dyDescent="0.25">
      <c r="D437" s="11" t="s">
        <v>1569</v>
      </c>
      <c r="M437" s="8"/>
    </row>
    <row r="438" spans="4:13" x14ac:dyDescent="0.25">
      <c r="D438" s="8" t="s">
        <v>1086</v>
      </c>
      <c r="M438" s="8"/>
    </row>
    <row r="439" spans="4:13" x14ac:dyDescent="0.25">
      <c r="D439" s="13" t="s">
        <v>1004</v>
      </c>
      <c r="M439" s="8"/>
    </row>
    <row r="440" spans="4:13" x14ac:dyDescent="0.25">
      <c r="D440" s="28">
        <v>0.24</v>
      </c>
      <c r="M440" s="8"/>
    </row>
    <row r="441" spans="4:13" x14ac:dyDescent="0.25">
      <c r="M441" s="8"/>
    </row>
    <row r="442" spans="4:13" x14ac:dyDescent="0.25">
      <c r="M442" s="8"/>
    </row>
    <row r="443" spans="4:13" x14ac:dyDescent="0.25">
      <c r="M443" s="8"/>
    </row>
    <row r="444" spans="4:13" x14ac:dyDescent="0.25">
      <c r="M444" s="8"/>
    </row>
    <row r="445" spans="4:13" x14ac:dyDescent="0.25">
      <c r="M445" s="8"/>
    </row>
    <row r="446" spans="4:13" x14ac:dyDescent="0.25">
      <c r="M446" s="8"/>
    </row>
    <row r="447" spans="4:13" x14ac:dyDescent="0.25">
      <c r="M447" s="8"/>
    </row>
    <row r="448" spans="4:13" x14ac:dyDescent="0.25">
      <c r="M448" s="8"/>
    </row>
    <row r="449" spans="13:13" x14ac:dyDescent="0.25">
      <c r="M449" s="8"/>
    </row>
    <row r="450" spans="13:13" x14ac:dyDescent="0.25">
      <c r="M450" s="8"/>
    </row>
    <row r="451" spans="13:13" x14ac:dyDescent="0.25">
      <c r="M451" s="8"/>
    </row>
    <row r="452" spans="13:13" x14ac:dyDescent="0.25">
      <c r="M452" s="8"/>
    </row>
    <row r="453" spans="13:13" x14ac:dyDescent="0.25">
      <c r="M453" s="8"/>
    </row>
    <row r="454" spans="13:13" x14ac:dyDescent="0.25">
      <c r="M454" s="8"/>
    </row>
  </sheetData>
  <pageMargins left="0.7" right="0.7" top="0.75" bottom="0.75" header="0.3" footer="0.3"/>
  <tableParts count="24">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2E42C-5876-4A28-9CD6-6FAFED639EAA}">
  <sheetPr>
    <tabColor theme="2" tint="-0.499984740745262"/>
  </sheetPr>
  <dimension ref="C1:Q202"/>
  <sheetViews>
    <sheetView showGridLines="0" topLeftCell="A5" workbookViewId="0">
      <selection activeCell="E7" sqref="E7"/>
    </sheetView>
  </sheetViews>
  <sheetFormatPr defaultRowHeight="15.75" x14ac:dyDescent="0.25"/>
  <cols>
    <col min="1" max="1" width="30.625" customWidth="1"/>
    <col min="2" max="2" width="4.625" customWidth="1"/>
    <col min="3" max="3" width="4.625" style="8" customWidth="1"/>
    <col min="4" max="10" width="30.625" style="8" customWidth="1"/>
    <col min="11" max="11" width="4.625" style="8" customWidth="1"/>
  </cols>
  <sheetData>
    <row r="1" spans="3:11" ht="30" customHeight="1" x14ac:dyDescent="0.35">
      <c r="C1" s="1"/>
      <c r="D1" s="1"/>
      <c r="E1" s="1"/>
      <c r="F1" s="1"/>
      <c r="G1" s="1"/>
      <c r="H1" s="1"/>
      <c r="I1" s="1"/>
      <c r="J1" s="1"/>
      <c r="K1" s="1"/>
    </row>
    <row r="2" spans="3:11" ht="20.100000000000001" customHeight="1" x14ac:dyDescent="0.25">
      <c r="C2" s="5"/>
      <c r="D2" s="5"/>
      <c r="E2" s="5"/>
      <c r="F2" s="5"/>
      <c r="G2" s="5"/>
      <c r="H2" s="5"/>
      <c r="I2" s="5"/>
      <c r="J2" s="5"/>
      <c r="K2" s="5"/>
    </row>
    <row r="3" spans="3:11" ht="20.100000000000001" customHeight="1" x14ac:dyDescent="0.25"/>
    <row r="4" spans="3:11" ht="20.100000000000001" customHeight="1" x14ac:dyDescent="0.25">
      <c r="D4" s="9" t="s">
        <v>1572</v>
      </c>
    </row>
    <row r="5" spans="3:11" ht="20.100000000000001" customHeight="1" x14ac:dyDescent="0.25">
      <c r="D5" s="11" t="s">
        <v>1573</v>
      </c>
    </row>
    <row r="6" spans="3:11" ht="20.100000000000001" customHeight="1" x14ac:dyDescent="0.25">
      <c r="D6" s="10" t="s">
        <v>330</v>
      </c>
      <c r="E6" s="10" t="s">
        <v>331</v>
      </c>
      <c r="F6" s="10" t="s">
        <v>332</v>
      </c>
    </row>
    <row r="7" spans="3:11" ht="20.100000000000001" customHeight="1" x14ac:dyDescent="0.25">
      <c r="D7" s="10">
        <v>1</v>
      </c>
      <c r="E7" s="10" t="s">
        <v>50</v>
      </c>
      <c r="F7" s="10" t="s">
        <v>1574</v>
      </c>
    </row>
    <row r="8" spans="3:11" ht="20.100000000000001" customHeight="1" x14ac:dyDescent="0.25">
      <c r="D8" s="10">
        <v>2</v>
      </c>
      <c r="E8" s="10" t="s">
        <v>52</v>
      </c>
      <c r="F8" s="10" t="s">
        <v>1575</v>
      </c>
    </row>
    <row r="9" spans="3:11" ht="20.100000000000001" customHeight="1" x14ac:dyDescent="0.25">
      <c r="D9" s="10">
        <v>3</v>
      </c>
      <c r="E9" s="10" t="s">
        <v>53</v>
      </c>
      <c r="F9" s="10" t="s">
        <v>1576</v>
      </c>
    </row>
    <row r="10" spans="3:11" ht="20.100000000000001" customHeight="1" x14ac:dyDescent="0.25">
      <c r="D10" s="10" t="s">
        <v>1577</v>
      </c>
      <c r="E10" s="10" t="s">
        <v>1465</v>
      </c>
      <c r="F10" s="10" t="s">
        <v>1578</v>
      </c>
    </row>
    <row r="11" spans="3:11" ht="20.100000000000001" customHeight="1" x14ac:dyDescent="0.25">
      <c r="D11" s="10" t="s">
        <v>1579</v>
      </c>
      <c r="E11" s="10" t="s">
        <v>1467</v>
      </c>
      <c r="F11" s="10" t="s">
        <v>1580</v>
      </c>
    </row>
    <row r="12" spans="3:11" ht="20.100000000000001" customHeight="1" x14ac:dyDescent="0.25">
      <c r="D12" s="10">
        <v>4</v>
      </c>
      <c r="E12" s="10" t="s">
        <v>55</v>
      </c>
      <c r="F12" s="10" t="s">
        <v>595</v>
      </c>
    </row>
    <row r="13" spans="3:11" ht="20.100000000000001" customHeight="1" x14ac:dyDescent="0.25">
      <c r="D13" s="10">
        <v>5</v>
      </c>
      <c r="E13" s="10" t="s">
        <v>1402</v>
      </c>
      <c r="F13" s="10" t="s">
        <v>1581</v>
      </c>
    </row>
    <row r="14" spans="3:11" ht="20.100000000000001" customHeight="1" x14ac:dyDescent="0.25">
      <c r="D14" s="10">
        <v>6</v>
      </c>
      <c r="E14" s="10" t="s">
        <v>54</v>
      </c>
      <c r="F14" s="10" t="s">
        <v>598</v>
      </c>
    </row>
    <row r="15" spans="3:11" ht="20.100000000000001" customHeight="1" x14ac:dyDescent="0.25">
      <c r="D15" s="10">
        <v>7</v>
      </c>
      <c r="E15" s="10" t="s">
        <v>51</v>
      </c>
      <c r="F15" s="10" t="s">
        <v>601</v>
      </c>
    </row>
    <row r="16" spans="3:11" ht="20.100000000000001" customHeight="1" x14ac:dyDescent="0.25">
      <c r="D16" s="10">
        <v>8</v>
      </c>
      <c r="E16" s="10" t="s">
        <v>57</v>
      </c>
      <c r="F16" s="10" t="s">
        <v>1582</v>
      </c>
    </row>
    <row r="17" spans="4:6" ht="20.100000000000001" customHeight="1" x14ac:dyDescent="0.25">
      <c r="D17" s="10">
        <v>9</v>
      </c>
      <c r="E17" s="10" t="s">
        <v>56</v>
      </c>
      <c r="F17" s="10" t="s">
        <v>1583</v>
      </c>
    </row>
    <row r="18" spans="4:6" ht="20.100000000000001" customHeight="1" x14ac:dyDescent="0.25">
      <c r="D18" s="10">
        <v>10</v>
      </c>
      <c r="E18" s="10" t="s">
        <v>58</v>
      </c>
      <c r="F18" s="10" t="s">
        <v>594</v>
      </c>
    </row>
    <row r="19" spans="4:6" ht="20.100000000000001" customHeight="1" x14ac:dyDescent="0.25">
      <c r="D19" s="10">
        <v>11</v>
      </c>
      <c r="E19" s="10" t="s">
        <v>59</v>
      </c>
      <c r="F19" s="10" t="s">
        <v>1584</v>
      </c>
    </row>
    <row r="20" spans="4:6" ht="20.100000000000001" customHeight="1" x14ac:dyDescent="0.25">
      <c r="D20" s="10" t="s">
        <v>1585</v>
      </c>
      <c r="E20" s="10" t="s">
        <v>596</v>
      </c>
      <c r="F20" s="10" t="s">
        <v>597</v>
      </c>
    </row>
    <row r="21" spans="4:6" ht="20.100000000000001" customHeight="1" x14ac:dyDescent="0.25">
      <c r="D21" s="10" t="s">
        <v>1586</v>
      </c>
      <c r="E21" s="10" t="s">
        <v>599</v>
      </c>
      <c r="F21" s="10" t="s">
        <v>600</v>
      </c>
    </row>
    <row r="22" spans="4:6" ht="20.100000000000001" customHeight="1" x14ac:dyDescent="0.25">
      <c r="D22" s="10">
        <v>12</v>
      </c>
      <c r="E22" s="10" t="s">
        <v>60</v>
      </c>
      <c r="F22" s="10" t="s">
        <v>603</v>
      </c>
    </row>
    <row r="23" spans="4:6" ht="20.100000000000001" customHeight="1" x14ac:dyDescent="0.25">
      <c r="D23" s="10">
        <v>13</v>
      </c>
      <c r="E23" s="10" t="s">
        <v>61</v>
      </c>
      <c r="F23" s="10" t="s">
        <v>605</v>
      </c>
    </row>
    <row r="24" spans="4:6" ht="20.100000000000001" customHeight="1" x14ac:dyDescent="0.25">
      <c r="D24" s="10">
        <v>14</v>
      </c>
      <c r="E24" s="10" t="s">
        <v>62</v>
      </c>
      <c r="F24" s="10" t="s">
        <v>602</v>
      </c>
    </row>
    <row r="25" spans="4:6" ht="20.100000000000001" customHeight="1" x14ac:dyDescent="0.25"/>
    <row r="26" spans="4:6" ht="20.100000000000001" customHeight="1" x14ac:dyDescent="0.25">
      <c r="D26" s="9" t="s">
        <v>1587</v>
      </c>
    </row>
    <row r="27" spans="4:6" ht="20.100000000000001" customHeight="1" x14ac:dyDescent="0.25">
      <c r="D27" s="11" t="s">
        <v>1588</v>
      </c>
    </row>
    <row r="28" spans="4:6" ht="20.100000000000001" customHeight="1" x14ac:dyDescent="0.25">
      <c r="D28" s="10" t="s">
        <v>218</v>
      </c>
      <c r="E28" s="10" t="s">
        <v>333</v>
      </c>
      <c r="F28" s="8" t="s">
        <v>334</v>
      </c>
    </row>
    <row r="29" spans="4:6" ht="20.100000000000001" customHeight="1" x14ac:dyDescent="0.25">
      <c r="D29" s="10" t="s">
        <v>336</v>
      </c>
      <c r="E29" s="10" t="s">
        <v>338</v>
      </c>
    </row>
    <row r="30" spans="4:6" ht="20.100000000000001" customHeight="1" x14ac:dyDescent="0.25">
      <c r="D30" s="8" t="s">
        <v>337</v>
      </c>
      <c r="E30" s="10" t="s">
        <v>339</v>
      </c>
    </row>
    <row r="31" spans="4:6" ht="20.100000000000001" customHeight="1" x14ac:dyDescent="0.25">
      <c r="D31" s="8" t="s">
        <v>1147</v>
      </c>
      <c r="E31" s="10" t="s">
        <v>441</v>
      </c>
    </row>
    <row r="32" spans="4:6" ht="20.100000000000001" customHeight="1" x14ac:dyDescent="0.25">
      <c r="E32" s="10" t="s">
        <v>340</v>
      </c>
    </row>
    <row r="33" spans="4:6" ht="20.100000000000001" customHeight="1" x14ac:dyDescent="0.25">
      <c r="E33" s="10" t="s">
        <v>399</v>
      </c>
    </row>
    <row r="34" spans="4:6" ht="20.100000000000001" customHeight="1" x14ac:dyDescent="0.25">
      <c r="E34" s="10" t="s">
        <v>395</v>
      </c>
    </row>
    <row r="35" spans="4:6" ht="20.100000000000001" customHeight="1" x14ac:dyDescent="0.25">
      <c r="E35" s="10" t="s">
        <v>345</v>
      </c>
    </row>
    <row r="36" spans="4:6" ht="20.100000000000001" customHeight="1" x14ac:dyDescent="0.25">
      <c r="E36" s="10" t="s">
        <v>346</v>
      </c>
    </row>
    <row r="37" spans="4:6" ht="20.100000000000001" customHeight="1" x14ac:dyDescent="0.25"/>
    <row r="38" spans="4:6" ht="20.100000000000001" customHeight="1" x14ac:dyDescent="0.25">
      <c r="D38" s="9" t="s">
        <v>1589</v>
      </c>
    </row>
    <row r="39" spans="4:6" ht="20.100000000000001" customHeight="1" x14ac:dyDescent="0.25">
      <c r="D39" s="11" t="s">
        <v>1588</v>
      </c>
    </row>
    <row r="40" spans="4:6" ht="20.100000000000001" customHeight="1" x14ac:dyDescent="0.25">
      <c r="D40" s="10" t="s">
        <v>218</v>
      </c>
      <c r="E40" s="10" t="s">
        <v>333</v>
      </c>
      <c r="F40" s="8" t="s">
        <v>335</v>
      </c>
    </row>
    <row r="41" spans="4:6" ht="20.100000000000001" customHeight="1" x14ac:dyDescent="0.25">
      <c r="D41" s="10" t="s">
        <v>1150</v>
      </c>
      <c r="E41" s="10" t="s">
        <v>338</v>
      </c>
    </row>
    <row r="42" spans="4:6" ht="20.100000000000001" customHeight="1" x14ac:dyDescent="0.25">
      <c r="D42" s="10" t="s">
        <v>1151</v>
      </c>
      <c r="E42" s="10" t="s">
        <v>339</v>
      </c>
    </row>
    <row r="43" spans="4:6" ht="20.100000000000001" customHeight="1" x14ac:dyDescent="0.25">
      <c r="D43" s="10"/>
      <c r="E43" s="10" t="s">
        <v>340</v>
      </c>
    </row>
    <row r="44" spans="4:6" ht="20.100000000000001" customHeight="1" x14ac:dyDescent="0.25">
      <c r="D44" s="10"/>
      <c r="E44" s="10" t="s">
        <v>399</v>
      </c>
    </row>
    <row r="45" spans="4:6" ht="20.100000000000001" customHeight="1" x14ac:dyDescent="0.25">
      <c r="D45" s="10"/>
      <c r="E45" s="10" t="s">
        <v>395</v>
      </c>
    </row>
    <row r="46" spans="4:6" ht="20.100000000000001" customHeight="1" x14ac:dyDescent="0.25">
      <c r="D46" s="10"/>
      <c r="E46" s="10" t="s">
        <v>345</v>
      </c>
    </row>
    <row r="47" spans="4:6" ht="20.100000000000001" customHeight="1" x14ac:dyDescent="0.25">
      <c r="D47" s="10"/>
      <c r="E47" s="10" t="s">
        <v>346</v>
      </c>
    </row>
    <row r="48" spans="4:6" ht="20.100000000000001" customHeight="1" x14ac:dyDescent="0.25"/>
    <row r="49" spans="4:6" ht="20.100000000000001" customHeight="1" x14ac:dyDescent="0.25">
      <c r="D49" s="9" t="s">
        <v>1590</v>
      </c>
    </row>
    <row r="50" spans="4:6" ht="20.100000000000001" customHeight="1" x14ac:dyDescent="0.25">
      <c r="D50" s="11" t="s">
        <v>1588</v>
      </c>
    </row>
    <row r="51" spans="4:6" ht="20.100000000000001" customHeight="1" x14ac:dyDescent="0.25">
      <c r="D51" s="10" t="s">
        <v>218</v>
      </c>
      <c r="E51" s="10" t="s">
        <v>333</v>
      </c>
      <c r="F51" s="8" t="s">
        <v>341</v>
      </c>
    </row>
    <row r="52" spans="4:6" ht="20.100000000000001" customHeight="1" x14ac:dyDescent="0.25">
      <c r="D52" s="10" t="s">
        <v>1148</v>
      </c>
      <c r="E52" s="10" t="s">
        <v>338</v>
      </c>
    </row>
    <row r="53" spans="4:6" ht="20.100000000000001" customHeight="1" x14ac:dyDescent="0.25"/>
    <row r="54" spans="4:6" ht="20.100000000000001" customHeight="1" x14ac:dyDescent="0.25">
      <c r="D54" s="9" t="s">
        <v>1591</v>
      </c>
    </row>
    <row r="55" spans="4:6" ht="20.100000000000001" customHeight="1" x14ac:dyDescent="0.25">
      <c r="D55" s="11" t="s">
        <v>1588</v>
      </c>
    </row>
    <row r="56" spans="4:6" ht="20.100000000000001" customHeight="1" x14ac:dyDescent="0.25">
      <c r="D56" s="10" t="s">
        <v>218</v>
      </c>
      <c r="E56" s="10" t="s">
        <v>333</v>
      </c>
      <c r="F56" s="8" t="s">
        <v>342</v>
      </c>
    </row>
    <row r="57" spans="4:6" ht="20.100000000000001" customHeight="1" x14ac:dyDescent="0.25">
      <c r="D57" s="10" t="s">
        <v>1149</v>
      </c>
      <c r="E57" s="10" t="s">
        <v>345</v>
      </c>
    </row>
    <row r="58" spans="4:6" ht="20.100000000000001" customHeight="1" x14ac:dyDescent="0.25"/>
    <row r="59" spans="4:6" ht="20.100000000000001" customHeight="1" x14ac:dyDescent="0.25">
      <c r="D59" s="9" t="s">
        <v>1592</v>
      </c>
    </row>
    <row r="60" spans="4:6" ht="20.100000000000001" customHeight="1" x14ac:dyDescent="0.25">
      <c r="D60" s="11" t="s">
        <v>1588</v>
      </c>
    </row>
    <row r="61" spans="4:6" ht="20.100000000000001" customHeight="1" x14ac:dyDescent="0.25">
      <c r="D61" s="10" t="s">
        <v>218</v>
      </c>
      <c r="E61" s="10" t="s">
        <v>333</v>
      </c>
      <c r="F61" s="8" t="s">
        <v>343</v>
      </c>
    </row>
    <row r="62" spans="4:6" ht="20.100000000000001" customHeight="1" x14ac:dyDescent="0.25">
      <c r="D62" s="10" t="s">
        <v>552</v>
      </c>
      <c r="E62" s="10" t="s">
        <v>338</v>
      </c>
    </row>
    <row r="63" spans="4:6" ht="20.100000000000001" customHeight="1" x14ac:dyDescent="0.25"/>
    <row r="64" spans="4:6" ht="20.100000000000001" customHeight="1" x14ac:dyDescent="0.25"/>
    <row r="65" spans="12:17" ht="20.100000000000001" customHeight="1" x14ac:dyDescent="0.25">
      <c r="L65" s="8"/>
      <c r="M65" s="8"/>
      <c r="N65" s="8"/>
      <c r="O65" s="8"/>
      <c r="P65" s="8"/>
      <c r="Q65" s="8"/>
    </row>
    <row r="66" spans="12:17" ht="20.100000000000001" customHeight="1" x14ac:dyDescent="0.25">
      <c r="L66" s="8"/>
      <c r="M66" s="8"/>
      <c r="N66" s="8"/>
      <c r="O66" s="8"/>
      <c r="P66" s="8"/>
      <c r="Q66" s="8"/>
    </row>
    <row r="67" spans="12:17" ht="20.100000000000001" customHeight="1" x14ac:dyDescent="0.25">
      <c r="L67" s="8"/>
      <c r="M67" s="8"/>
      <c r="N67" s="8"/>
      <c r="O67" s="8"/>
      <c r="P67" s="8"/>
      <c r="Q67" s="8"/>
    </row>
    <row r="68" spans="12:17" ht="20.100000000000001" customHeight="1" x14ac:dyDescent="0.25">
      <c r="L68" s="8"/>
      <c r="M68" s="8"/>
      <c r="N68" s="8"/>
      <c r="O68" s="8"/>
      <c r="P68" s="8"/>
      <c r="Q68" s="8"/>
    </row>
    <row r="69" spans="12:17" ht="20.100000000000001" customHeight="1" x14ac:dyDescent="0.25">
      <c r="L69" s="8"/>
      <c r="M69" s="8"/>
      <c r="N69" s="8"/>
      <c r="O69" s="8"/>
      <c r="P69" s="8"/>
      <c r="Q69" s="8"/>
    </row>
    <row r="70" spans="12:17" ht="20.100000000000001" customHeight="1" x14ac:dyDescent="0.25">
      <c r="L70" s="8"/>
      <c r="M70" s="8"/>
      <c r="N70" s="8"/>
      <c r="O70" s="8"/>
      <c r="P70" s="8"/>
      <c r="Q70" s="8"/>
    </row>
    <row r="71" spans="12:17" ht="20.100000000000001" customHeight="1" x14ac:dyDescent="0.25">
      <c r="L71" s="8"/>
      <c r="M71" s="8"/>
      <c r="N71" s="8"/>
      <c r="O71" s="8"/>
      <c r="P71" s="8"/>
      <c r="Q71" s="8"/>
    </row>
    <row r="72" spans="12:17" ht="20.100000000000001" customHeight="1" x14ac:dyDescent="0.25">
      <c r="L72" s="8"/>
      <c r="M72" s="8"/>
      <c r="N72" s="8"/>
      <c r="O72" s="8"/>
      <c r="P72" s="8"/>
      <c r="Q72" s="8"/>
    </row>
    <row r="73" spans="12:17" ht="20.100000000000001" customHeight="1" x14ac:dyDescent="0.25">
      <c r="L73" s="8"/>
      <c r="M73" s="8"/>
      <c r="N73" s="8"/>
      <c r="O73" s="8"/>
      <c r="P73" s="8"/>
      <c r="Q73" s="8"/>
    </row>
    <row r="74" spans="12:17" ht="20.100000000000001" customHeight="1" x14ac:dyDescent="0.25">
      <c r="L74" s="8"/>
      <c r="M74" s="8"/>
      <c r="N74" s="8"/>
      <c r="O74" s="8"/>
      <c r="P74" s="8"/>
      <c r="Q74" s="8"/>
    </row>
    <row r="75" spans="12:17" x14ac:dyDescent="0.25">
      <c r="L75" s="8"/>
      <c r="M75" s="8"/>
      <c r="N75" s="8"/>
      <c r="O75" s="8"/>
      <c r="P75" s="8"/>
      <c r="Q75" s="8"/>
    </row>
    <row r="76" spans="12:17" x14ac:dyDescent="0.25">
      <c r="L76" s="8"/>
      <c r="M76" s="8"/>
      <c r="N76" s="8"/>
      <c r="O76" s="8"/>
      <c r="P76" s="8"/>
      <c r="Q76" s="8"/>
    </row>
    <row r="77" spans="12:17" x14ac:dyDescent="0.25">
      <c r="L77" s="8"/>
      <c r="M77" s="8"/>
      <c r="N77" s="8"/>
      <c r="O77" s="8"/>
      <c r="P77" s="8"/>
      <c r="Q77" s="8"/>
    </row>
    <row r="78" spans="12:17" x14ac:dyDescent="0.25">
      <c r="L78" s="8"/>
      <c r="M78" s="8"/>
      <c r="N78" s="8"/>
      <c r="O78" s="8"/>
      <c r="P78" s="8"/>
      <c r="Q78" s="8"/>
    </row>
    <row r="79" spans="12:17" x14ac:dyDescent="0.25">
      <c r="L79" s="8"/>
      <c r="M79" s="8"/>
      <c r="N79" s="8"/>
      <c r="O79" s="8"/>
      <c r="P79" s="8"/>
      <c r="Q79" s="8"/>
    </row>
    <row r="80" spans="12:17" x14ac:dyDescent="0.25">
      <c r="L80" s="8"/>
      <c r="M80" s="8"/>
      <c r="N80" s="8"/>
      <c r="O80" s="8"/>
      <c r="P80" s="8"/>
      <c r="Q80" s="8"/>
    </row>
    <row r="81" spans="12:17" x14ac:dyDescent="0.25">
      <c r="L81" s="8"/>
      <c r="M81" s="8"/>
      <c r="N81" s="8"/>
      <c r="O81" s="8"/>
      <c r="P81" s="8"/>
      <c r="Q81" s="8"/>
    </row>
    <row r="82" spans="12:17" x14ac:dyDescent="0.25">
      <c r="L82" s="8"/>
      <c r="M82" s="8"/>
      <c r="N82" s="8"/>
      <c r="O82" s="8"/>
      <c r="P82" s="8"/>
      <c r="Q82" s="8"/>
    </row>
    <row r="83" spans="12:17" x14ac:dyDescent="0.25">
      <c r="L83" s="8"/>
      <c r="M83" s="8"/>
      <c r="N83" s="8"/>
      <c r="O83" s="8"/>
      <c r="P83" s="8"/>
      <c r="Q83" s="8"/>
    </row>
    <row r="84" spans="12:17" x14ac:dyDescent="0.25">
      <c r="L84" s="8"/>
      <c r="M84" s="8"/>
      <c r="N84" s="8"/>
      <c r="O84" s="8"/>
      <c r="P84" s="8"/>
      <c r="Q84" s="8"/>
    </row>
    <row r="85" spans="12:17" x14ac:dyDescent="0.25">
      <c r="L85" s="8"/>
      <c r="M85" s="8"/>
      <c r="N85" s="8"/>
      <c r="O85" s="8"/>
      <c r="P85" s="8"/>
      <c r="Q85" s="8"/>
    </row>
    <row r="86" spans="12:17" x14ac:dyDescent="0.25">
      <c r="L86" s="8"/>
      <c r="M86" s="8"/>
      <c r="N86" s="8"/>
      <c r="O86" s="8"/>
      <c r="P86" s="8"/>
      <c r="Q86" s="8"/>
    </row>
    <row r="87" spans="12:17" x14ac:dyDescent="0.25">
      <c r="L87" s="8"/>
      <c r="M87" s="8"/>
      <c r="N87" s="8"/>
      <c r="O87" s="8"/>
      <c r="P87" s="8"/>
      <c r="Q87" s="8"/>
    </row>
    <row r="88" spans="12:17" x14ac:dyDescent="0.25">
      <c r="L88" s="8"/>
      <c r="M88" s="8"/>
      <c r="N88" s="8"/>
      <c r="O88" s="8"/>
      <c r="P88" s="8"/>
      <c r="Q88" s="8"/>
    </row>
    <row r="89" spans="12:17" x14ac:dyDescent="0.25">
      <c r="L89" s="8"/>
      <c r="M89" s="8"/>
      <c r="N89" s="8"/>
      <c r="O89" s="8"/>
      <c r="P89" s="8"/>
      <c r="Q89" s="8"/>
    </row>
    <row r="90" spans="12:17" x14ac:dyDescent="0.25">
      <c r="L90" s="8"/>
      <c r="M90" s="8"/>
      <c r="N90" s="8"/>
      <c r="O90" s="8"/>
      <c r="P90" s="8"/>
      <c r="Q90" s="8"/>
    </row>
    <row r="91" spans="12:17" x14ac:dyDescent="0.25">
      <c r="L91" s="8"/>
      <c r="M91" s="8"/>
      <c r="N91" s="8"/>
      <c r="O91" s="8"/>
      <c r="P91" s="8"/>
      <c r="Q91" s="8"/>
    </row>
    <row r="92" spans="12:17" x14ac:dyDescent="0.25">
      <c r="L92" s="8"/>
      <c r="M92" s="8"/>
      <c r="N92" s="8"/>
      <c r="O92" s="8"/>
      <c r="P92" s="8"/>
      <c r="Q92" s="8"/>
    </row>
    <row r="93" spans="12:17" x14ac:dyDescent="0.25">
      <c r="L93" s="8"/>
      <c r="M93" s="8"/>
      <c r="N93" s="8"/>
      <c r="O93" s="8"/>
      <c r="P93" s="8"/>
      <c r="Q93" s="8"/>
    </row>
    <row r="94" spans="12:17" x14ac:dyDescent="0.25">
      <c r="L94" s="8"/>
      <c r="M94" s="8"/>
      <c r="N94" s="8"/>
      <c r="O94" s="8"/>
      <c r="P94" s="8"/>
      <c r="Q94" s="8"/>
    </row>
    <row r="95" spans="12:17" x14ac:dyDescent="0.25">
      <c r="L95" s="8"/>
      <c r="M95" s="8"/>
      <c r="N95" s="8"/>
      <c r="O95" s="8"/>
      <c r="P95" s="8"/>
      <c r="Q95" s="8"/>
    </row>
    <row r="96" spans="12:17" x14ac:dyDescent="0.25">
      <c r="L96" s="8"/>
      <c r="M96" s="8"/>
      <c r="N96" s="8"/>
      <c r="O96" s="8"/>
      <c r="P96" s="8"/>
      <c r="Q96" s="8"/>
    </row>
    <row r="97" spans="12:17" x14ac:dyDescent="0.25">
      <c r="L97" s="8"/>
      <c r="M97" s="8"/>
      <c r="N97" s="8"/>
      <c r="O97" s="8"/>
      <c r="P97" s="8"/>
      <c r="Q97" s="8"/>
    </row>
    <row r="98" spans="12:17" x14ac:dyDescent="0.25">
      <c r="L98" s="8"/>
      <c r="M98" s="8"/>
      <c r="N98" s="8"/>
      <c r="O98" s="8"/>
      <c r="P98" s="8"/>
      <c r="Q98" s="8"/>
    </row>
    <row r="99" spans="12:17" x14ac:dyDescent="0.25">
      <c r="L99" s="8"/>
      <c r="M99" s="8"/>
      <c r="N99" s="8"/>
      <c r="O99" s="8"/>
      <c r="P99" s="8"/>
      <c r="Q99" s="8"/>
    </row>
    <row r="100" spans="12:17" x14ac:dyDescent="0.25">
      <c r="L100" s="8"/>
      <c r="M100" s="8"/>
      <c r="N100" s="8"/>
      <c r="O100" s="8"/>
      <c r="P100" s="8"/>
      <c r="Q100" s="8"/>
    </row>
    <row r="101" spans="12:17" x14ac:dyDescent="0.25">
      <c r="L101" s="8"/>
      <c r="M101" s="8"/>
      <c r="N101" s="8"/>
      <c r="O101" s="8"/>
      <c r="P101" s="8"/>
      <c r="Q101" s="8"/>
    </row>
    <row r="102" spans="12:17" x14ac:dyDescent="0.25">
      <c r="L102" s="8"/>
      <c r="M102" s="8"/>
      <c r="N102" s="8"/>
      <c r="O102" s="8"/>
      <c r="P102" s="8"/>
      <c r="Q102" s="8"/>
    </row>
    <row r="103" spans="12:17" x14ac:dyDescent="0.25">
      <c r="L103" s="8"/>
      <c r="M103" s="8"/>
      <c r="N103" s="8"/>
      <c r="O103" s="8"/>
      <c r="P103" s="8"/>
      <c r="Q103" s="8"/>
    </row>
    <row r="104" spans="12:17" x14ac:dyDescent="0.25">
      <c r="L104" s="8"/>
      <c r="M104" s="8"/>
      <c r="N104" s="8"/>
      <c r="O104" s="8"/>
      <c r="P104" s="8"/>
      <c r="Q104" s="8"/>
    </row>
    <row r="105" spans="12:17" x14ac:dyDescent="0.25">
      <c r="L105" s="8"/>
      <c r="M105" s="8"/>
      <c r="N105" s="8"/>
      <c r="O105" s="8"/>
      <c r="P105" s="8"/>
      <c r="Q105" s="8"/>
    </row>
    <row r="106" spans="12:17" x14ac:dyDescent="0.25">
      <c r="L106" s="8"/>
      <c r="M106" s="8"/>
      <c r="N106" s="8"/>
      <c r="O106" s="8"/>
      <c r="P106" s="8"/>
      <c r="Q106" s="8"/>
    </row>
    <row r="107" spans="12:17" x14ac:dyDescent="0.25">
      <c r="L107" s="8"/>
      <c r="M107" s="8"/>
      <c r="N107" s="8"/>
      <c r="O107" s="8"/>
      <c r="P107" s="8"/>
      <c r="Q107" s="8"/>
    </row>
    <row r="108" spans="12:17" x14ac:dyDescent="0.25">
      <c r="L108" s="8"/>
      <c r="M108" s="8"/>
      <c r="N108" s="8"/>
      <c r="O108" s="8"/>
      <c r="P108" s="8"/>
      <c r="Q108" s="8"/>
    </row>
    <row r="109" spans="12:17" x14ac:dyDescent="0.25">
      <c r="L109" s="8"/>
      <c r="M109" s="8"/>
      <c r="N109" s="8"/>
      <c r="O109" s="8"/>
      <c r="P109" s="8"/>
      <c r="Q109" s="8"/>
    </row>
    <row r="110" spans="12:17" x14ac:dyDescent="0.25">
      <c r="L110" s="8"/>
      <c r="M110" s="8"/>
      <c r="N110" s="8"/>
      <c r="O110" s="8"/>
      <c r="P110" s="8"/>
      <c r="Q110" s="8"/>
    </row>
    <row r="111" spans="12:17" x14ac:dyDescent="0.25">
      <c r="L111" s="8"/>
      <c r="M111" s="8"/>
      <c r="N111" s="8"/>
      <c r="O111" s="8"/>
      <c r="P111" s="8"/>
      <c r="Q111" s="8"/>
    </row>
    <row r="112" spans="12:17" x14ac:dyDescent="0.25">
      <c r="L112" s="8"/>
      <c r="M112" s="8"/>
      <c r="N112" s="8"/>
      <c r="O112" s="8"/>
      <c r="P112" s="8"/>
      <c r="Q112" s="8"/>
    </row>
    <row r="113" spans="12:17" x14ac:dyDescent="0.25">
      <c r="L113" s="8"/>
      <c r="M113" s="8"/>
      <c r="N113" s="8"/>
      <c r="O113" s="8"/>
      <c r="P113" s="8"/>
      <c r="Q113" s="8"/>
    </row>
    <row r="114" spans="12:17" x14ac:dyDescent="0.25">
      <c r="L114" s="8"/>
      <c r="M114" s="8"/>
      <c r="N114" s="8"/>
      <c r="O114" s="8"/>
      <c r="P114" s="8"/>
      <c r="Q114" s="8"/>
    </row>
    <row r="115" spans="12:17" x14ac:dyDescent="0.25">
      <c r="L115" s="8"/>
      <c r="M115" s="8"/>
      <c r="N115" s="8"/>
      <c r="O115" s="8"/>
      <c r="P115" s="8"/>
      <c r="Q115" s="8"/>
    </row>
    <row r="116" spans="12:17" x14ac:dyDescent="0.25">
      <c r="L116" s="8"/>
      <c r="M116" s="8"/>
      <c r="N116" s="8"/>
      <c r="O116" s="8"/>
      <c r="P116" s="8"/>
      <c r="Q116" s="8"/>
    </row>
    <row r="117" spans="12:17" x14ac:dyDescent="0.25">
      <c r="L117" s="8"/>
      <c r="M117" s="8"/>
      <c r="N117" s="8"/>
      <c r="O117" s="8"/>
      <c r="P117" s="8"/>
      <c r="Q117" s="8"/>
    </row>
    <row r="118" spans="12:17" x14ac:dyDescent="0.25">
      <c r="L118" s="8"/>
      <c r="M118" s="8"/>
      <c r="N118" s="8"/>
      <c r="O118" s="8"/>
      <c r="P118" s="8"/>
      <c r="Q118" s="8"/>
    </row>
    <row r="119" spans="12:17" x14ac:dyDescent="0.25">
      <c r="L119" s="8"/>
      <c r="M119" s="8"/>
      <c r="N119" s="8"/>
      <c r="O119" s="8"/>
      <c r="P119" s="8"/>
      <c r="Q119" s="8"/>
    </row>
    <row r="120" spans="12:17" x14ac:dyDescent="0.25">
      <c r="L120" s="8"/>
      <c r="M120" s="8"/>
      <c r="N120" s="8"/>
      <c r="O120" s="8"/>
      <c r="P120" s="8"/>
      <c r="Q120" s="8"/>
    </row>
    <row r="121" spans="12:17" x14ac:dyDescent="0.25">
      <c r="L121" s="8"/>
      <c r="M121" s="8"/>
      <c r="N121" s="8"/>
      <c r="O121" s="8"/>
      <c r="P121" s="8"/>
      <c r="Q121" s="8"/>
    </row>
    <row r="122" spans="12:17" x14ac:dyDescent="0.25">
      <c r="L122" s="8"/>
      <c r="M122" s="8"/>
      <c r="N122" s="8"/>
      <c r="O122" s="8"/>
      <c r="P122" s="8"/>
      <c r="Q122" s="8"/>
    </row>
    <row r="123" spans="12:17" x14ac:dyDescent="0.25">
      <c r="L123" s="8"/>
      <c r="M123" s="8"/>
      <c r="N123" s="8"/>
      <c r="O123" s="8"/>
      <c r="P123" s="8"/>
      <c r="Q123" s="8"/>
    </row>
    <row r="124" spans="12:17" x14ac:dyDescent="0.25">
      <c r="L124" s="8"/>
      <c r="M124" s="8"/>
      <c r="N124" s="8"/>
      <c r="O124" s="8"/>
      <c r="P124" s="8"/>
      <c r="Q124" s="8"/>
    </row>
    <row r="125" spans="12:17" x14ac:dyDescent="0.25">
      <c r="L125" s="8"/>
      <c r="M125" s="8"/>
      <c r="N125" s="8"/>
      <c r="O125" s="8"/>
      <c r="P125" s="8"/>
      <c r="Q125" s="8"/>
    </row>
    <row r="126" spans="12:17" x14ac:dyDescent="0.25">
      <c r="L126" s="8"/>
      <c r="M126" s="8"/>
      <c r="N126" s="8"/>
      <c r="O126" s="8"/>
      <c r="P126" s="8"/>
      <c r="Q126" s="8"/>
    </row>
    <row r="127" spans="12:17" x14ac:dyDescent="0.25">
      <c r="L127" s="8"/>
      <c r="M127" s="8"/>
      <c r="N127" s="8"/>
      <c r="O127" s="8"/>
      <c r="P127" s="8"/>
      <c r="Q127" s="8"/>
    </row>
    <row r="128" spans="12:17" x14ac:dyDescent="0.25">
      <c r="L128" s="8"/>
      <c r="M128" s="8"/>
      <c r="N128" s="8"/>
      <c r="O128" s="8"/>
      <c r="P128" s="8"/>
      <c r="Q128" s="8"/>
    </row>
    <row r="129" spans="12:17" x14ac:dyDescent="0.25">
      <c r="L129" s="8"/>
      <c r="M129" s="8"/>
      <c r="N129" s="8"/>
      <c r="O129" s="8"/>
      <c r="P129" s="8"/>
      <c r="Q129" s="8"/>
    </row>
    <row r="130" spans="12:17" x14ac:dyDescent="0.25">
      <c r="L130" s="8"/>
      <c r="M130" s="8"/>
      <c r="N130" s="8"/>
      <c r="O130" s="8"/>
      <c r="P130" s="8"/>
      <c r="Q130" s="8"/>
    </row>
    <row r="131" spans="12:17" x14ac:dyDescent="0.25">
      <c r="L131" s="8"/>
      <c r="M131" s="8"/>
      <c r="N131" s="8"/>
      <c r="O131" s="8"/>
      <c r="P131" s="8"/>
      <c r="Q131" s="8"/>
    </row>
    <row r="132" spans="12:17" x14ac:dyDescent="0.25">
      <c r="L132" s="8"/>
      <c r="M132" s="8"/>
      <c r="N132" s="8"/>
      <c r="O132" s="8"/>
      <c r="P132" s="8"/>
      <c r="Q132" s="8"/>
    </row>
    <row r="133" spans="12:17" x14ac:dyDescent="0.25">
      <c r="L133" s="8"/>
      <c r="M133" s="8"/>
      <c r="N133" s="8"/>
      <c r="O133" s="8"/>
      <c r="P133" s="8"/>
      <c r="Q133" s="8"/>
    </row>
    <row r="134" spans="12:17" x14ac:dyDescent="0.25">
      <c r="L134" s="8"/>
      <c r="M134" s="8"/>
      <c r="N134" s="8"/>
      <c r="O134" s="8"/>
      <c r="P134" s="8"/>
      <c r="Q134" s="8"/>
    </row>
    <row r="135" spans="12:17" x14ac:dyDescent="0.25">
      <c r="L135" s="8"/>
      <c r="M135" s="8"/>
      <c r="N135" s="8"/>
      <c r="O135" s="8"/>
      <c r="P135" s="8"/>
      <c r="Q135" s="8"/>
    </row>
    <row r="136" spans="12:17" x14ac:dyDescent="0.25">
      <c r="L136" s="8"/>
      <c r="M136" s="8"/>
      <c r="N136" s="8"/>
      <c r="O136" s="8"/>
      <c r="P136" s="8"/>
      <c r="Q136" s="8"/>
    </row>
    <row r="137" spans="12:17" x14ac:dyDescent="0.25">
      <c r="L137" s="8"/>
      <c r="M137" s="8"/>
      <c r="N137" s="8"/>
      <c r="O137" s="8"/>
      <c r="P137" s="8"/>
      <c r="Q137" s="8"/>
    </row>
    <row r="138" spans="12:17" x14ac:dyDescent="0.25">
      <c r="L138" s="8"/>
      <c r="M138" s="8"/>
      <c r="N138" s="8"/>
      <c r="O138" s="8"/>
      <c r="P138" s="8"/>
      <c r="Q138" s="8"/>
    </row>
    <row r="139" spans="12:17" x14ac:dyDescent="0.25">
      <c r="L139" s="8"/>
      <c r="M139" s="8"/>
      <c r="N139" s="8"/>
      <c r="O139" s="8"/>
      <c r="P139" s="8"/>
      <c r="Q139" s="8"/>
    </row>
    <row r="140" spans="12:17" x14ac:dyDescent="0.25">
      <c r="L140" s="8"/>
      <c r="M140" s="8"/>
      <c r="N140" s="8"/>
      <c r="O140" s="8"/>
      <c r="P140" s="8"/>
      <c r="Q140" s="8"/>
    </row>
    <row r="141" spans="12:17" x14ac:dyDescent="0.25">
      <c r="L141" s="8"/>
      <c r="M141" s="8"/>
      <c r="N141" s="8"/>
      <c r="O141" s="8"/>
      <c r="P141" s="8"/>
      <c r="Q141" s="8"/>
    </row>
    <row r="142" spans="12:17" x14ac:dyDescent="0.25">
      <c r="L142" s="8"/>
      <c r="M142" s="8"/>
      <c r="N142" s="8"/>
      <c r="O142" s="8"/>
      <c r="P142" s="8"/>
      <c r="Q142" s="8"/>
    </row>
    <row r="143" spans="12:17" x14ac:dyDescent="0.25">
      <c r="L143" s="8"/>
      <c r="M143" s="8"/>
      <c r="N143" s="8"/>
      <c r="O143" s="8"/>
      <c r="P143" s="8"/>
      <c r="Q143" s="8"/>
    </row>
    <row r="144" spans="12:17" x14ac:dyDescent="0.25">
      <c r="L144" s="8"/>
      <c r="M144" s="8"/>
      <c r="N144" s="8"/>
      <c r="O144" s="8"/>
      <c r="P144" s="8"/>
      <c r="Q144" s="8"/>
    </row>
    <row r="145" spans="12:17" x14ac:dyDescent="0.25">
      <c r="L145" s="8"/>
      <c r="M145" s="8"/>
      <c r="N145" s="8"/>
      <c r="O145" s="8"/>
      <c r="P145" s="8"/>
      <c r="Q145" s="8"/>
    </row>
    <row r="146" spans="12:17" x14ac:dyDescent="0.25">
      <c r="L146" s="8"/>
      <c r="M146" s="8"/>
      <c r="N146" s="8"/>
      <c r="O146" s="8"/>
      <c r="P146" s="8"/>
      <c r="Q146" s="8"/>
    </row>
    <row r="147" spans="12:17" x14ac:dyDescent="0.25">
      <c r="L147" s="8"/>
      <c r="M147" s="8"/>
      <c r="N147" s="8"/>
      <c r="O147" s="8"/>
      <c r="P147" s="8"/>
      <c r="Q147" s="8"/>
    </row>
    <row r="148" spans="12:17" x14ac:dyDescent="0.25">
      <c r="L148" s="8"/>
      <c r="M148" s="8"/>
      <c r="N148" s="8"/>
      <c r="O148" s="8"/>
      <c r="P148" s="8"/>
      <c r="Q148" s="8"/>
    </row>
    <row r="149" spans="12:17" x14ac:dyDescent="0.25">
      <c r="L149" s="8"/>
      <c r="M149" s="8"/>
      <c r="N149" s="8"/>
      <c r="O149" s="8"/>
      <c r="P149" s="8"/>
      <c r="Q149" s="8"/>
    </row>
    <row r="150" spans="12:17" x14ac:dyDescent="0.25">
      <c r="L150" s="8"/>
      <c r="M150" s="8"/>
      <c r="N150" s="8"/>
      <c r="O150" s="8"/>
      <c r="P150" s="8"/>
      <c r="Q150" s="8"/>
    </row>
    <row r="151" spans="12:17" x14ac:dyDescent="0.25">
      <c r="L151" s="8"/>
      <c r="M151" s="8"/>
      <c r="N151" s="8"/>
      <c r="O151" s="8"/>
      <c r="P151" s="8"/>
      <c r="Q151" s="8"/>
    </row>
    <row r="152" spans="12:17" x14ac:dyDescent="0.25">
      <c r="L152" s="8"/>
      <c r="M152" s="8"/>
      <c r="N152" s="8"/>
      <c r="O152" s="8"/>
      <c r="P152" s="8"/>
      <c r="Q152" s="8"/>
    </row>
    <row r="153" spans="12:17" x14ac:dyDescent="0.25">
      <c r="L153" s="8"/>
      <c r="M153" s="8"/>
      <c r="N153" s="8"/>
      <c r="O153" s="8"/>
      <c r="P153" s="8"/>
      <c r="Q153" s="8"/>
    </row>
    <row r="154" spans="12:17" x14ac:dyDescent="0.25">
      <c r="L154" s="8"/>
      <c r="M154" s="8"/>
      <c r="N154" s="8"/>
      <c r="O154" s="8"/>
      <c r="P154" s="8"/>
      <c r="Q154" s="8"/>
    </row>
    <row r="155" spans="12:17" x14ac:dyDescent="0.25">
      <c r="L155" s="8"/>
      <c r="M155" s="8"/>
      <c r="N155" s="8"/>
      <c r="O155" s="8"/>
      <c r="P155" s="8"/>
      <c r="Q155" s="8"/>
    </row>
    <row r="156" spans="12:17" x14ac:dyDescent="0.25">
      <c r="L156" s="8"/>
      <c r="M156" s="8"/>
      <c r="N156" s="8"/>
      <c r="O156" s="8"/>
      <c r="P156" s="8"/>
      <c r="Q156" s="8"/>
    </row>
    <row r="157" spans="12:17" x14ac:dyDescent="0.25">
      <c r="L157" s="8"/>
      <c r="M157" s="8"/>
      <c r="N157" s="8"/>
      <c r="O157" s="8"/>
      <c r="P157" s="8"/>
      <c r="Q157" s="8"/>
    </row>
    <row r="158" spans="12:17" x14ac:dyDescent="0.25">
      <c r="L158" s="8"/>
      <c r="M158" s="8"/>
      <c r="N158" s="8"/>
      <c r="O158" s="8"/>
      <c r="P158" s="8"/>
      <c r="Q158" s="8"/>
    </row>
    <row r="159" spans="12:17" x14ac:dyDescent="0.25">
      <c r="L159" s="8"/>
      <c r="M159" s="8"/>
      <c r="N159" s="8"/>
      <c r="O159" s="8"/>
      <c r="P159" s="8"/>
      <c r="Q159" s="8"/>
    </row>
    <row r="160" spans="12:17" x14ac:dyDescent="0.25">
      <c r="L160" s="8"/>
      <c r="M160" s="8"/>
      <c r="N160" s="8"/>
      <c r="O160" s="8"/>
      <c r="P160" s="8"/>
      <c r="Q160" s="8"/>
    </row>
    <row r="161" spans="12:17" x14ac:dyDescent="0.25">
      <c r="L161" s="8"/>
      <c r="M161" s="8"/>
      <c r="N161" s="8"/>
      <c r="O161" s="8"/>
      <c r="P161" s="8"/>
      <c r="Q161" s="8"/>
    </row>
    <row r="162" spans="12:17" x14ac:dyDescent="0.25">
      <c r="L162" s="8"/>
      <c r="M162" s="8"/>
      <c r="N162" s="8"/>
      <c r="O162" s="8"/>
      <c r="P162" s="8"/>
      <c r="Q162" s="8"/>
    </row>
    <row r="163" spans="12:17" x14ac:dyDescent="0.25">
      <c r="L163" s="8"/>
      <c r="M163" s="8"/>
      <c r="N163" s="8"/>
      <c r="O163" s="8"/>
      <c r="P163" s="8"/>
      <c r="Q163" s="8"/>
    </row>
    <row r="164" spans="12:17" x14ac:dyDescent="0.25">
      <c r="L164" s="8"/>
      <c r="M164" s="8"/>
      <c r="N164" s="8"/>
      <c r="O164" s="8"/>
      <c r="P164" s="8"/>
      <c r="Q164" s="8"/>
    </row>
    <row r="165" spans="12:17" x14ac:dyDescent="0.25">
      <c r="L165" s="8"/>
      <c r="M165" s="8"/>
      <c r="N165" s="8"/>
      <c r="O165" s="8"/>
      <c r="P165" s="8"/>
      <c r="Q165" s="8"/>
    </row>
    <row r="166" spans="12:17" x14ac:dyDescent="0.25">
      <c r="L166" s="8"/>
      <c r="M166" s="8"/>
      <c r="N166" s="8"/>
      <c r="O166" s="8"/>
      <c r="P166" s="8"/>
      <c r="Q166" s="8"/>
    </row>
    <row r="167" spans="12:17" x14ac:dyDescent="0.25">
      <c r="L167" s="8"/>
      <c r="M167" s="8"/>
      <c r="N167" s="8"/>
      <c r="O167" s="8"/>
      <c r="P167" s="8"/>
      <c r="Q167" s="8"/>
    </row>
    <row r="168" spans="12:17" x14ac:dyDescent="0.25">
      <c r="L168" s="8"/>
      <c r="M168" s="8"/>
      <c r="N168" s="8"/>
      <c r="O168" s="8"/>
      <c r="P168" s="8"/>
      <c r="Q168" s="8"/>
    </row>
    <row r="169" spans="12:17" x14ac:dyDescent="0.25">
      <c r="L169" s="8"/>
      <c r="M169" s="8"/>
      <c r="N169" s="8"/>
      <c r="O169" s="8"/>
      <c r="P169" s="8"/>
      <c r="Q169" s="8"/>
    </row>
    <row r="170" spans="12:17" x14ac:dyDescent="0.25">
      <c r="L170" s="8"/>
      <c r="M170" s="8"/>
      <c r="N170" s="8"/>
      <c r="O170" s="8"/>
      <c r="P170" s="8"/>
      <c r="Q170" s="8"/>
    </row>
    <row r="171" spans="12:17" x14ac:dyDescent="0.25">
      <c r="L171" s="8"/>
      <c r="M171" s="8"/>
      <c r="N171" s="8"/>
      <c r="O171" s="8"/>
      <c r="P171" s="8"/>
      <c r="Q171" s="8"/>
    </row>
    <row r="172" spans="12:17" x14ac:dyDescent="0.25">
      <c r="L172" s="8"/>
      <c r="M172" s="8"/>
      <c r="N172" s="8"/>
      <c r="O172" s="8"/>
      <c r="P172" s="8"/>
      <c r="Q172" s="8"/>
    </row>
    <row r="173" spans="12:17" x14ac:dyDescent="0.25">
      <c r="L173" s="8"/>
      <c r="M173" s="8"/>
      <c r="N173" s="8"/>
      <c r="O173" s="8"/>
      <c r="P173" s="8"/>
      <c r="Q173" s="8"/>
    </row>
    <row r="174" spans="12:17" x14ac:dyDescent="0.25">
      <c r="L174" s="8"/>
      <c r="M174" s="8"/>
      <c r="N174" s="8"/>
      <c r="O174" s="8"/>
      <c r="P174" s="8"/>
      <c r="Q174" s="8"/>
    </row>
    <row r="175" spans="12:17" x14ac:dyDescent="0.25">
      <c r="L175" s="8"/>
      <c r="M175" s="8"/>
      <c r="N175" s="8"/>
      <c r="O175" s="8"/>
      <c r="P175" s="8"/>
      <c r="Q175" s="8"/>
    </row>
    <row r="176" spans="12:17" x14ac:dyDescent="0.25">
      <c r="L176" s="8"/>
      <c r="M176" s="8"/>
      <c r="N176" s="8"/>
      <c r="O176" s="8"/>
      <c r="P176" s="8"/>
      <c r="Q176" s="8"/>
    </row>
    <row r="177" spans="12:17" x14ac:dyDescent="0.25">
      <c r="L177" s="8"/>
      <c r="M177" s="8"/>
      <c r="N177" s="8"/>
      <c r="O177" s="8"/>
      <c r="P177" s="8"/>
      <c r="Q177" s="8"/>
    </row>
    <row r="178" spans="12:17" x14ac:dyDescent="0.25">
      <c r="L178" s="8"/>
      <c r="M178" s="8"/>
      <c r="N178" s="8"/>
      <c r="O178" s="8"/>
      <c r="P178" s="8"/>
      <c r="Q178" s="8"/>
    </row>
    <row r="179" spans="12:17" x14ac:dyDescent="0.25">
      <c r="L179" s="8"/>
      <c r="M179" s="8"/>
      <c r="N179" s="8"/>
      <c r="O179" s="8"/>
      <c r="P179" s="8"/>
      <c r="Q179" s="8"/>
    </row>
    <row r="180" spans="12:17" x14ac:dyDescent="0.25">
      <c r="L180" s="8"/>
      <c r="M180" s="8"/>
      <c r="N180" s="8"/>
      <c r="O180" s="8"/>
      <c r="P180" s="8"/>
      <c r="Q180" s="8"/>
    </row>
    <row r="181" spans="12:17" x14ac:dyDescent="0.25">
      <c r="L181" s="8"/>
      <c r="M181" s="8"/>
      <c r="N181" s="8"/>
      <c r="O181" s="8"/>
      <c r="P181" s="8"/>
      <c r="Q181" s="8"/>
    </row>
    <row r="182" spans="12:17" x14ac:dyDescent="0.25">
      <c r="L182" s="8"/>
      <c r="M182" s="8"/>
      <c r="N182" s="8"/>
      <c r="O182" s="8"/>
      <c r="P182" s="8"/>
      <c r="Q182" s="8"/>
    </row>
    <row r="183" spans="12:17" x14ac:dyDescent="0.25">
      <c r="L183" s="8"/>
      <c r="M183" s="8"/>
      <c r="N183" s="8"/>
      <c r="O183" s="8"/>
      <c r="P183" s="8"/>
      <c r="Q183" s="8"/>
    </row>
    <row r="184" spans="12:17" x14ac:dyDescent="0.25">
      <c r="L184" s="8"/>
      <c r="M184" s="8"/>
      <c r="N184" s="8"/>
      <c r="O184" s="8"/>
      <c r="P184" s="8"/>
      <c r="Q184" s="8"/>
    </row>
    <row r="185" spans="12:17" x14ac:dyDescent="0.25">
      <c r="L185" s="8"/>
      <c r="M185" s="8"/>
      <c r="N185" s="8"/>
      <c r="O185" s="8"/>
      <c r="P185" s="8"/>
      <c r="Q185" s="8"/>
    </row>
    <row r="186" spans="12:17" x14ac:dyDescent="0.25">
      <c r="L186" s="8"/>
      <c r="M186" s="8"/>
      <c r="N186" s="8"/>
      <c r="O186" s="8"/>
      <c r="P186" s="8"/>
      <c r="Q186" s="8"/>
    </row>
    <row r="187" spans="12:17" x14ac:dyDescent="0.25">
      <c r="L187" s="8"/>
      <c r="M187" s="8"/>
      <c r="N187" s="8"/>
      <c r="O187" s="8"/>
      <c r="P187" s="8"/>
      <c r="Q187" s="8"/>
    </row>
    <row r="188" spans="12:17" x14ac:dyDescent="0.25">
      <c r="L188" s="8"/>
      <c r="M188" s="8"/>
      <c r="N188" s="8"/>
      <c r="O188" s="8"/>
      <c r="P188" s="8"/>
      <c r="Q188" s="8"/>
    </row>
    <row r="189" spans="12:17" x14ac:dyDescent="0.25">
      <c r="L189" s="8"/>
      <c r="M189" s="8"/>
      <c r="N189" s="8"/>
      <c r="O189" s="8"/>
      <c r="P189" s="8"/>
      <c r="Q189" s="8"/>
    </row>
    <row r="190" spans="12:17" x14ac:dyDescent="0.25">
      <c r="L190" s="8"/>
      <c r="M190" s="8"/>
      <c r="N190" s="8"/>
      <c r="O190" s="8"/>
      <c r="P190" s="8"/>
      <c r="Q190" s="8"/>
    </row>
    <row r="191" spans="12:17" x14ac:dyDescent="0.25">
      <c r="L191" s="8"/>
      <c r="M191" s="8"/>
      <c r="N191" s="8"/>
      <c r="O191" s="8"/>
      <c r="P191" s="8"/>
      <c r="Q191" s="8"/>
    </row>
    <row r="192" spans="12:17" x14ac:dyDescent="0.25">
      <c r="L192" s="8"/>
      <c r="M192" s="8"/>
      <c r="N192" s="8"/>
      <c r="O192" s="8"/>
      <c r="P192" s="8"/>
      <c r="Q192" s="8"/>
    </row>
    <row r="193" spans="12:17" x14ac:dyDescent="0.25">
      <c r="L193" s="8"/>
      <c r="M193" s="8"/>
      <c r="N193" s="8"/>
      <c r="O193" s="8"/>
      <c r="P193" s="8"/>
      <c r="Q193" s="8"/>
    </row>
    <row r="194" spans="12:17" x14ac:dyDescent="0.25">
      <c r="L194" s="8"/>
      <c r="M194" s="8"/>
      <c r="N194" s="8"/>
      <c r="O194" s="8"/>
      <c r="P194" s="8"/>
      <c r="Q194" s="8"/>
    </row>
    <row r="195" spans="12:17" x14ac:dyDescent="0.25">
      <c r="L195" s="8"/>
      <c r="M195" s="8"/>
      <c r="N195" s="8"/>
      <c r="O195" s="8"/>
      <c r="P195" s="8"/>
      <c r="Q195" s="8"/>
    </row>
    <row r="196" spans="12:17" x14ac:dyDescent="0.25">
      <c r="L196" s="8"/>
      <c r="M196" s="8"/>
      <c r="N196" s="8"/>
      <c r="O196" s="8"/>
      <c r="P196" s="8"/>
      <c r="Q196" s="8"/>
    </row>
    <row r="197" spans="12:17" x14ac:dyDescent="0.25">
      <c r="L197" s="8"/>
      <c r="M197" s="8"/>
      <c r="N197" s="8"/>
      <c r="O197" s="8"/>
      <c r="P197" s="8"/>
      <c r="Q197" s="8"/>
    </row>
    <row r="198" spans="12:17" x14ac:dyDescent="0.25">
      <c r="L198" s="8"/>
      <c r="M198" s="8"/>
      <c r="N198" s="8"/>
      <c r="O198" s="8"/>
      <c r="P198" s="8"/>
      <c r="Q198" s="8"/>
    </row>
    <row r="199" spans="12:17" x14ac:dyDescent="0.25">
      <c r="L199" s="8"/>
      <c r="M199" s="8"/>
      <c r="N199" s="8"/>
      <c r="O199" s="8"/>
      <c r="P199" s="8"/>
      <c r="Q199" s="8"/>
    </row>
    <row r="200" spans="12:17" x14ac:dyDescent="0.25">
      <c r="L200" s="8"/>
      <c r="M200" s="8"/>
      <c r="N200" s="8"/>
      <c r="O200" s="8"/>
      <c r="P200" s="8"/>
      <c r="Q200" s="8"/>
    </row>
    <row r="201" spans="12:17" x14ac:dyDescent="0.25">
      <c r="L201" s="8"/>
      <c r="M201" s="8"/>
      <c r="N201" s="8"/>
      <c r="O201" s="8"/>
      <c r="P201" s="8"/>
      <c r="Q201" s="8"/>
    </row>
    <row r="202" spans="12:17" x14ac:dyDescent="0.25">
      <c r="L202" s="8"/>
      <c r="M202" s="8"/>
      <c r="N202" s="8"/>
      <c r="O202" s="8"/>
      <c r="P202" s="8"/>
      <c r="Q202" s="8"/>
    </row>
  </sheetData>
  <phoneticPr fontId="54" type="noConversion"/>
  <pageMargins left="0.7" right="0.7" top="0.75" bottom="0.75" header="0.3" footer="0.3"/>
  <tableParts count="6">
    <tablePart r:id="rId1"/>
    <tablePart r:id="rId2"/>
    <tablePart r:id="rId3"/>
    <tablePart r:id="rId4"/>
    <tablePart r:id="rId5"/>
    <tablePart r:id="rId6"/>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A21E6-7866-4801-882F-E1A523B12899}">
  <sheetPr>
    <tabColor theme="2" tint="-0.499984740745262"/>
  </sheetPr>
  <dimension ref="A1:AI165"/>
  <sheetViews>
    <sheetView showGridLines="0" zoomScaleNormal="100" workbookViewId="0">
      <selection activeCell="V23" sqref="V23"/>
    </sheetView>
  </sheetViews>
  <sheetFormatPr defaultRowHeight="15.75" x14ac:dyDescent="0.25"/>
  <cols>
    <col min="1" max="1" width="26.875" style="3" customWidth="1"/>
    <col min="2" max="2" width="4.125" style="3" customWidth="1"/>
    <col min="3" max="3" width="4.125" style="8" customWidth="1"/>
    <col min="4" max="9" width="18.125" style="8" customWidth="1"/>
    <col min="10" max="10" width="23" style="8" customWidth="1"/>
    <col min="11" max="31" width="18.125" style="8" customWidth="1"/>
    <col min="32" max="32" width="4.125" style="8" customWidth="1"/>
    <col min="33" max="16384" width="9" style="3"/>
  </cols>
  <sheetData>
    <row r="1" spans="1:35" s="1" customFormat="1" ht="30" customHeight="1" x14ac:dyDescent="0.35">
      <c r="A1" s="1" t="e" vm="1">
        <v>#VALUE!</v>
      </c>
      <c r="C1" s="1" t="s">
        <v>134</v>
      </c>
      <c r="AG1" s="3"/>
      <c r="AH1" s="3"/>
      <c r="AI1" s="3"/>
    </row>
    <row r="2" spans="1:35" s="2" customFormat="1" ht="20.100000000000001" customHeight="1" x14ac:dyDescent="0.25">
      <c r="A2" s="3"/>
      <c r="AG2" s="3"/>
      <c r="AH2" s="3"/>
      <c r="AI2" s="3"/>
    </row>
    <row r="3" spans="1:35" ht="20.100000000000001" customHeight="1" x14ac:dyDescent="0.25">
      <c r="A3" s="16" t="str">
        <f>HYPERLINK("#'Home'!A1", "Home")</f>
        <v>Home</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5" ht="20.100000000000001" customHeight="1" x14ac:dyDescent="0.25">
      <c r="A4" s="16" t="str">
        <f>HYPERLINK("#'Overview'!A1", "Overview")</f>
        <v>Overview</v>
      </c>
    </row>
    <row r="5" spans="1:35" ht="20.100000000000001" customHeight="1" x14ac:dyDescent="0.25">
      <c r="A5" s="16" t="str">
        <f>HYPERLINK("#'Results'!A1", "Results")</f>
        <v>Results</v>
      </c>
      <c r="D5" s="9" t="s">
        <v>1593</v>
      </c>
      <c r="E5" s="17"/>
      <c r="F5" s="17"/>
      <c r="G5" s="17"/>
      <c r="H5" s="17"/>
      <c r="I5" s="17"/>
      <c r="J5" s="17"/>
    </row>
    <row r="6" spans="1:35" ht="20.100000000000001" customHeight="1" x14ac:dyDescent="0.25">
      <c r="A6" s="18"/>
      <c r="D6" s="11" t="s">
        <v>1594</v>
      </c>
    </row>
    <row r="7" spans="1:35" ht="20.100000000000001" customHeight="1" x14ac:dyDescent="0.25">
      <c r="A7" s="19" t="s">
        <v>67</v>
      </c>
      <c r="D7" s="12" t="s">
        <v>1595</v>
      </c>
    </row>
    <row r="8" spans="1:35" ht="20.100000000000001" customHeight="1" x14ac:dyDescent="0.25">
      <c r="A8" s="16" t="str">
        <f>HYPERLINK("#'Input - Site'!A1", "Site")</f>
        <v>Site</v>
      </c>
      <c r="D8" s="12" t="s">
        <v>1596</v>
      </c>
    </row>
    <row r="9" spans="1:35" ht="20.100000000000001" customHeight="1" x14ac:dyDescent="0.25">
      <c r="A9" s="16" t="str">
        <f>HYPERLINK("#'Input - Fertiliser'!A1", "Fertiliser")</f>
        <v>Fertiliser</v>
      </c>
      <c r="D9" s="12" t="s">
        <v>1597</v>
      </c>
    </row>
    <row r="10" spans="1:35" ht="20.100000000000001" customHeight="1" x14ac:dyDescent="0.25">
      <c r="A10" s="16"/>
      <c r="D10" s="12" t="s">
        <v>1598</v>
      </c>
    </row>
    <row r="11" spans="1:35" ht="20.100000000000001" customHeight="1" x14ac:dyDescent="0.25">
      <c r="A11" s="21" t="s">
        <v>77</v>
      </c>
      <c r="D11" s="12" t="s">
        <v>1599</v>
      </c>
    </row>
    <row r="12" spans="1:35" ht="20.100000000000001" customHeight="1" x14ac:dyDescent="0.25">
      <c r="A12" s="16" t="str">
        <f>HYPERLINK("#'5.1.1.1-2 Inorganic Fert N2O'!A1", "5.1.1.1-2 Inorganic Fert N2O")</f>
        <v>5.1.1.1-2 Inorganic Fert N2O</v>
      </c>
      <c r="D12" s="12" t="s">
        <v>1600</v>
      </c>
    </row>
    <row r="13" spans="1:35" ht="20.100000000000001" customHeight="1" x14ac:dyDescent="0.25">
      <c r="A13" s="16" t="str">
        <f>HYPERLINK("#'5.1.1.3-4 Inorganic fert CO2'!A1", "5.1.1.3-4 Inorganic fert CO2")</f>
        <v>5.1.1.3-4 Inorganic fert CO2</v>
      </c>
      <c r="D13" s="12" t="s">
        <v>1601</v>
      </c>
    </row>
    <row r="14" spans="1:35" ht="20.100000000000001" customHeight="1" x14ac:dyDescent="0.25">
      <c r="A14" s="16" t="str">
        <f>HYPERLINK("#'5.2.1.1-2 Organic Fert N2O'!A1", "5.2.1.1-2 Organic Fert N2O")</f>
        <v>5.2.1.1-2 Organic Fert N2O</v>
      </c>
      <c r="D14" s="12" t="s">
        <v>1602</v>
      </c>
    </row>
    <row r="15" spans="1:35" ht="20.100000000000001" customHeight="1" x14ac:dyDescent="0.25">
      <c r="A15" s="16" t="str">
        <f>HYPERLINK("#'5.3.1.1-2 Lime CO2'!A1", "5.3.1.1-2 Lime CO2")</f>
        <v>5.3.1.1-2 Lime CO2</v>
      </c>
      <c r="D15" s="12" t="s">
        <v>1603</v>
      </c>
    </row>
    <row r="16" spans="1:35" ht="20.100000000000001" customHeight="1" x14ac:dyDescent="0.25">
      <c r="A16" s="16" t="str">
        <f>HYPERLINK("#'5.4.1.1-4 Atmos deposition'!A1", "5.4.1.1-4 Atmos deposition")</f>
        <v>5.4.1.1-4 Atmos deposition</v>
      </c>
      <c r="D16" s="12" t="s">
        <v>1604</v>
      </c>
    </row>
    <row r="17" spans="1:22" ht="20.100000000000001" customHeight="1" x14ac:dyDescent="0.25">
      <c r="A17" s="16" t="str">
        <f>HYPERLINK("#'5.5.1.1-2 Leaching and runoff'!A1", "5.5.1.1-2 Leaching and runoff")</f>
        <v>5.5.1.1-2 Leaching and runoff</v>
      </c>
      <c r="D17" s="12" t="s">
        <v>1605</v>
      </c>
      <c r="K17" s="9" t="s">
        <v>1607</v>
      </c>
      <c r="Q17" s="9" t="s">
        <v>1609</v>
      </c>
      <c r="V17" s="9" t="s">
        <v>1611</v>
      </c>
    </row>
    <row r="18" spans="1:22" ht="20.100000000000001" customHeight="1" x14ac:dyDescent="0.25">
      <c r="D18" s="12" t="s">
        <v>1606</v>
      </c>
      <c r="K18" s="11" t="s">
        <v>1608</v>
      </c>
      <c r="Q18" s="11" t="s">
        <v>1610</v>
      </c>
      <c r="V18" s="11" t="s">
        <v>1588</v>
      </c>
    </row>
    <row r="19" spans="1:22" ht="20.100000000000001" customHeight="1" x14ac:dyDescent="0.25">
      <c r="A19" s="23" t="s">
        <v>78</v>
      </c>
      <c r="D19" s="3" t="s">
        <v>135</v>
      </c>
      <c r="E19" s="3" t="s">
        <v>136</v>
      </c>
      <c r="F19" s="3" t="s">
        <v>137</v>
      </c>
      <c r="G19" s="3" t="s">
        <v>138</v>
      </c>
      <c r="H19" s="3" t="s">
        <v>139</v>
      </c>
      <c r="I19" s="3" t="s">
        <v>140</v>
      </c>
      <c r="K19" s="10" t="s">
        <v>135</v>
      </c>
      <c r="L19" s="10" t="s">
        <v>136</v>
      </c>
      <c r="Q19" s="10" t="s">
        <v>135</v>
      </c>
      <c r="R19" s="10" t="s">
        <v>136</v>
      </c>
      <c r="V19" s="10" t="s">
        <v>140</v>
      </c>
    </row>
    <row r="20" spans="1:22" ht="20.100000000000001" customHeight="1" x14ac:dyDescent="0.25">
      <c r="A20" s="24" t="str">
        <f>HYPERLINK("#'Constants - Fertiliser'!A1", "Constants - Fertiliser")</f>
        <v>Constants - Fertiliser</v>
      </c>
      <c r="D20" s="65" t="s">
        <v>1612</v>
      </c>
      <c r="E20" s="65">
        <v>0.1</v>
      </c>
      <c r="F20" s="65">
        <v>0</v>
      </c>
      <c r="G20" s="65" t="s">
        <v>1613</v>
      </c>
      <c r="H20" s="65" t="s">
        <v>1612</v>
      </c>
      <c r="I20" s="65" t="s">
        <v>1614</v>
      </c>
      <c r="K20" s="10" t="s">
        <v>1612</v>
      </c>
      <c r="L20" s="10">
        <v>0.1</v>
      </c>
      <c r="Q20" s="10" t="s">
        <v>1612</v>
      </c>
      <c r="R20" s="10">
        <v>0</v>
      </c>
      <c r="V20" s="10" t="s">
        <v>353</v>
      </c>
    </row>
    <row r="21" spans="1:22" ht="20.100000000000001" customHeight="1" x14ac:dyDescent="0.25">
      <c r="A21" s="16" t="str">
        <f>HYPERLINK("#'Constants - Common'!A1", "Constants - Common")</f>
        <v>Constants - Common</v>
      </c>
      <c r="D21" s="65" t="s">
        <v>1615</v>
      </c>
      <c r="E21" s="65">
        <v>0.18</v>
      </c>
      <c r="F21" s="65">
        <v>0</v>
      </c>
      <c r="G21" s="65" t="s">
        <v>1613</v>
      </c>
      <c r="H21" s="65" t="s">
        <v>1615</v>
      </c>
      <c r="I21" s="65" t="s">
        <v>1614</v>
      </c>
      <c r="K21" s="10" t="s">
        <v>1615</v>
      </c>
      <c r="L21" s="10">
        <v>0.18</v>
      </c>
      <c r="Q21" s="10" t="s">
        <v>1615</v>
      </c>
      <c r="R21" s="10">
        <v>0</v>
      </c>
      <c r="V21" s="10" t="s">
        <v>319</v>
      </c>
    </row>
    <row r="22" spans="1:22" ht="20.100000000000001" customHeight="1" x14ac:dyDescent="0.25">
      <c r="D22" s="65" t="s">
        <v>213</v>
      </c>
      <c r="E22" s="65">
        <v>0.46</v>
      </c>
      <c r="F22" s="65">
        <v>1</v>
      </c>
      <c r="G22" s="65" t="s">
        <v>1616</v>
      </c>
      <c r="H22" s="65" t="s">
        <v>213</v>
      </c>
      <c r="I22" s="65" t="s">
        <v>1614</v>
      </c>
      <c r="K22" s="10" t="s">
        <v>213</v>
      </c>
      <c r="L22" s="10">
        <v>0.46</v>
      </c>
      <c r="Q22" s="10" t="s">
        <v>213</v>
      </c>
      <c r="R22" s="10">
        <v>1</v>
      </c>
      <c r="V22" s="10" t="s">
        <v>1181</v>
      </c>
    </row>
    <row r="23" spans="1:22" ht="20.100000000000001" customHeight="1" x14ac:dyDescent="0.25">
      <c r="A23" s="16"/>
      <c r="D23" s="65" t="s">
        <v>1617</v>
      </c>
      <c r="E23" s="65">
        <v>0.21</v>
      </c>
      <c r="F23" s="65">
        <v>0</v>
      </c>
      <c r="G23" s="65" t="s">
        <v>1613</v>
      </c>
      <c r="H23" s="65" t="s">
        <v>1617</v>
      </c>
      <c r="I23" s="65" t="s">
        <v>1614</v>
      </c>
      <c r="K23" s="10" t="s">
        <v>1617</v>
      </c>
      <c r="L23" s="10">
        <v>0.21</v>
      </c>
      <c r="Q23" s="10" t="s">
        <v>1617</v>
      </c>
      <c r="R23" s="10">
        <v>0</v>
      </c>
      <c r="V23" s="10" t="s">
        <v>1183</v>
      </c>
    </row>
    <row r="24" spans="1:22" ht="20.100000000000001" customHeight="1" x14ac:dyDescent="0.25">
      <c r="D24" s="65" t="s">
        <v>1618</v>
      </c>
      <c r="E24" s="65">
        <v>0.32</v>
      </c>
      <c r="F24" s="65">
        <v>0.35</v>
      </c>
      <c r="G24" s="65" t="s">
        <v>1616</v>
      </c>
      <c r="H24" s="65" t="s">
        <v>1618</v>
      </c>
      <c r="I24" s="65" t="s">
        <v>1614</v>
      </c>
      <c r="K24" s="10" t="s">
        <v>1618</v>
      </c>
      <c r="L24" s="10">
        <v>0.32</v>
      </c>
      <c r="Q24" s="10" t="s">
        <v>1618</v>
      </c>
      <c r="R24" s="10">
        <v>0.35</v>
      </c>
    </row>
    <row r="25" spans="1:22" ht="20.100000000000001" customHeight="1" x14ac:dyDescent="0.25">
      <c r="D25" s="65" t="s">
        <v>1619</v>
      </c>
      <c r="E25" s="65">
        <v>0.33700000000000002</v>
      </c>
      <c r="F25" s="65">
        <v>0</v>
      </c>
      <c r="G25" s="65" t="s">
        <v>1620</v>
      </c>
      <c r="H25" s="65" t="s">
        <v>1619</v>
      </c>
      <c r="I25" s="65" t="s">
        <v>1614</v>
      </c>
      <c r="K25" s="10" t="s">
        <v>1619</v>
      </c>
      <c r="L25" s="10">
        <v>0.33700000000000002</v>
      </c>
      <c r="Q25" s="10" t="s">
        <v>1619</v>
      </c>
      <c r="R25" s="10">
        <v>0</v>
      </c>
    </row>
    <row r="26" spans="1:22" ht="20.100000000000001" customHeight="1" x14ac:dyDescent="0.25">
      <c r="D26" s="65" t="s">
        <v>1621</v>
      </c>
      <c r="E26" s="65">
        <v>0.27</v>
      </c>
      <c r="F26" s="65">
        <v>0</v>
      </c>
      <c r="G26" s="65" t="s">
        <v>1620</v>
      </c>
      <c r="H26" s="65" t="s">
        <v>1621</v>
      </c>
      <c r="I26" s="65" t="s">
        <v>1614</v>
      </c>
      <c r="K26" s="10" t="s">
        <v>1621</v>
      </c>
      <c r="L26" s="10">
        <v>0.27</v>
      </c>
      <c r="Q26" s="10" t="s">
        <v>1621</v>
      </c>
      <c r="R26" s="10">
        <v>0</v>
      </c>
    </row>
    <row r="27" spans="1:22" ht="20.100000000000001" customHeight="1" x14ac:dyDescent="0.25">
      <c r="D27" s="65" t="s">
        <v>1622</v>
      </c>
      <c r="E27" s="65">
        <v>1</v>
      </c>
      <c r="F27" s="65">
        <v>0</v>
      </c>
      <c r="G27" s="65" t="s">
        <v>1613</v>
      </c>
      <c r="H27" s="65" t="s">
        <v>1622</v>
      </c>
      <c r="I27" s="65" t="s">
        <v>1623</v>
      </c>
      <c r="K27" s="10" t="s">
        <v>1639</v>
      </c>
      <c r="L27" s="10">
        <v>0.21</v>
      </c>
      <c r="Q27" s="10" t="s">
        <v>1639</v>
      </c>
      <c r="R27" s="10">
        <v>0</v>
      </c>
    </row>
    <row r="28" spans="1:22" ht="20.100000000000001" customHeight="1" x14ac:dyDescent="0.25">
      <c r="D28" s="65" t="s">
        <v>1624</v>
      </c>
      <c r="E28" s="65">
        <v>1</v>
      </c>
      <c r="F28" s="65">
        <v>0</v>
      </c>
      <c r="G28" s="65" t="s">
        <v>1625</v>
      </c>
      <c r="H28" s="65" t="s">
        <v>1626</v>
      </c>
      <c r="I28" s="65" t="s">
        <v>1623</v>
      </c>
      <c r="K28" s="10" t="s">
        <v>1640</v>
      </c>
      <c r="L28" s="10">
        <v>0.155</v>
      </c>
      <c r="Q28" s="10" t="s">
        <v>1640</v>
      </c>
      <c r="R28" s="10">
        <v>0</v>
      </c>
    </row>
    <row r="29" spans="1:22" ht="20.100000000000001" customHeight="1" x14ac:dyDescent="0.25">
      <c r="D29" s="65" t="s">
        <v>1627</v>
      </c>
      <c r="E29" s="65">
        <v>1</v>
      </c>
      <c r="F29" s="65">
        <v>0</v>
      </c>
      <c r="G29" s="65" t="s">
        <v>1616</v>
      </c>
      <c r="H29" s="65" t="s">
        <v>1628</v>
      </c>
      <c r="I29" s="65" t="s">
        <v>1623</v>
      </c>
    </row>
    <row r="30" spans="1:22" ht="20.100000000000001" customHeight="1" x14ac:dyDescent="0.25">
      <c r="D30" s="65" t="s">
        <v>1629</v>
      </c>
      <c r="E30" s="65">
        <v>0</v>
      </c>
      <c r="F30" s="65">
        <v>0</v>
      </c>
      <c r="G30" s="65" t="s">
        <v>1630</v>
      </c>
      <c r="H30" s="65" t="s">
        <v>1631</v>
      </c>
      <c r="I30" s="65" t="s">
        <v>1623</v>
      </c>
    </row>
    <row r="31" spans="1:22" ht="20.100000000000001" customHeight="1" x14ac:dyDescent="0.25">
      <c r="D31" s="65" t="s">
        <v>214</v>
      </c>
      <c r="E31" s="65">
        <v>0</v>
      </c>
      <c r="F31" s="65">
        <v>0</v>
      </c>
      <c r="G31" s="65" t="s">
        <v>1630</v>
      </c>
      <c r="H31" s="65" t="s">
        <v>1632</v>
      </c>
      <c r="I31" s="65" t="s">
        <v>1623</v>
      </c>
    </row>
    <row r="32" spans="1:22" ht="20.100000000000001" customHeight="1" x14ac:dyDescent="0.25">
      <c r="D32" s="65" t="s">
        <v>215</v>
      </c>
      <c r="E32" s="65">
        <v>0</v>
      </c>
      <c r="F32" s="65">
        <v>0</v>
      </c>
      <c r="G32" s="65" t="s">
        <v>1630</v>
      </c>
      <c r="H32" s="65" t="s">
        <v>1633</v>
      </c>
      <c r="I32" s="65" t="s">
        <v>1623</v>
      </c>
    </row>
    <row r="33" spans="4:10" ht="20.100000000000001" customHeight="1" x14ac:dyDescent="0.25">
      <c r="D33" s="65" t="s">
        <v>1634</v>
      </c>
      <c r="E33" s="65">
        <v>0</v>
      </c>
      <c r="F33" s="65">
        <v>0</v>
      </c>
      <c r="G33" s="65" t="s">
        <v>1630</v>
      </c>
      <c r="H33" s="65" t="s">
        <v>1635</v>
      </c>
      <c r="I33" s="65" t="s">
        <v>1623</v>
      </c>
    </row>
    <row r="34" spans="4:10" ht="20.100000000000001" customHeight="1" x14ac:dyDescent="0.25">
      <c r="D34" s="65" t="s">
        <v>1636</v>
      </c>
      <c r="E34" s="65">
        <v>0</v>
      </c>
      <c r="F34" s="65">
        <v>0</v>
      </c>
      <c r="G34" s="65" t="s">
        <v>1630</v>
      </c>
      <c r="H34" s="65" t="s">
        <v>1636</v>
      </c>
      <c r="I34" s="65" t="s">
        <v>1623</v>
      </c>
    </row>
    <row r="35" spans="4:10" ht="20.100000000000001" customHeight="1" x14ac:dyDescent="0.25">
      <c r="D35" s="65" t="s">
        <v>1637</v>
      </c>
      <c r="E35" s="65">
        <v>0</v>
      </c>
      <c r="F35" s="65">
        <v>0</v>
      </c>
      <c r="G35" s="65" t="s">
        <v>1630</v>
      </c>
      <c r="H35" s="65" t="s">
        <v>1637</v>
      </c>
      <c r="I35" s="65" t="s">
        <v>1623</v>
      </c>
    </row>
    <row r="36" spans="4:10" ht="20.100000000000001" customHeight="1" x14ac:dyDescent="0.25">
      <c r="D36" s="65" t="s">
        <v>1638</v>
      </c>
      <c r="E36" s="65">
        <v>0</v>
      </c>
      <c r="F36" s="65">
        <v>0</v>
      </c>
      <c r="G36" s="65" t="s">
        <v>1630</v>
      </c>
      <c r="H36" s="65" t="s">
        <v>1638</v>
      </c>
      <c r="I36" s="65" t="s">
        <v>1623</v>
      </c>
    </row>
    <row r="37" spans="4:10" ht="20.100000000000001" customHeight="1" x14ac:dyDescent="0.25">
      <c r="D37" s="65" t="s">
        <v>323</v>
      </c>
      <c r="E37" s="65">
        <v>0.82350000000000001</v>
      </c>
      <c r="F37" s="65">
        <v>0</v>
      </c>
      <c r="G37" s="65" t="s">
        <v>1613</v>
      </c>
      <c r="H37" s="65" t="s">
        <v>323</v>
      </c>
      <c r="I37" s="65" t="s">
        <v>1623</v>
      </c>
    </row>
    <row r="38" spans="4:10" ht="20.100000000000001" customHeight="1" x14ac:dyDescent="0.25">
      <c r="D38" s="8" t="s">
        <v>322</v>
      </c>
      <c r="E38" s="8">
        <v>0.155</v>
      </c>
      <c r="F38" s="8">
        <v>0</v>
      </c>
      <c r="G38" s="8" t="s">
        <v>1625</v>
      </c>
      <c r="H38" s="8" t="s">
        <v>322</v>
      </c>
      <c r="I38" s="8" t="s">
        <v>1614</v>
      </c>
    </row>
    <row r="39" spans="4:10" ht="20.100000000000001" customHeight="1" x14ac:dyDescent="0.25"/>
    <row r="40" spans="4:10" ht="20.100000000000001" customHeight="1" x14ac:dyDescent="0.25">
      <c r="D40" s="9" t="s">
        <v>141</v>
      </c>
      <c r="F40" s="9" t="s">
        <v>142</v>
      </c>
      <c r="H40" s="9" t="s">
        <v>143</v>
      </c>
      <c r="J40" s="9" t="s">
        <v>144</v>
      </c>
    </row>
    <row r="41" spans="4:10" ht="20.100000000000001" customHeight="1" x14ac:dyDescent="0.25">
      <c r="D41" s="10" t="s">
        <v>145</v>
      </c>
      <c r="F41" s="10" t="s">
        <v>145</v>
      </c>
      <c r="H41" s="10" t="s">
        <v>43</v>
      </c>
      <c r="J41" s="10" t="s">
        <v>146</v>
      </c>
    </row>
    <row r="42" spans="4:10" ht="20.100000000000001" customHeight="1" x14ac:dyDescent="0.25">
      <c r="D42" s="10" t="s">
        <v>147</v>
      </c>
      <c r="F42" s="10" t="s">
        <v>147</v>
      </c>
      <c r="H42" s="10" t="s">
        <v>148</v>
      </c>
      <c r="J42" s="10" t="s">
        <v>149</v>
      </c>
    </row>
    <row r="43" spans="4:10" ht="20.100000000000001" customHeight="1" x14ac:dyDescent="0.25">
      <c r="D43" s="8" t="s">
        <v>150</v>
      </c>
      <c r="F43" s="8" t="s">
        <v>151</v>
      </c>
      <c r="H43" s="10" t="s">
        <v>152</v>
      </c>
      <c r="J43" s="8" t="s">
        <v>153</v>
      </c>
    </row>
    <row r="44" spans="4:10" ht="20.100000000000001" customHeight="1" x14ac:dyDescent="0.25">
      <c r="F44" s="8" t="s">
        <v>154</v>
      </c>
      <c r="H44" s="8" t="s">
        <v>155</v>
      </c>
      <c r="J44" s="8" t="s">
        <v>156</v>
      </c>
    </row>
    <row r="45" spans="4:10" ht="20.100000000000001" customHeight="1" x14ac:dyDescent="0.25">
      <c r="F45" s="8" t="s">
        <v>157</v>
      </c>
      <c r="H45" s="8" t="s">
        <v>158</v>
      </c>
      <c r="J45" s="8" t="s">
        <v>159</v>
      </c>
    </row>
    <row r="46" spans="4:10" ht="20.100000000000001" customHeight="1" x14ac:dyDescent="0.25">
      <c r="H46" s="8" t="s">
        <v>160</v>
      </c>
      <c r="J46" s="8" t="s">
        <v>161</v>
      </c>
    </row>
    <row r="47" spans="4:10" ht="20.100000000000001" customHeight="1" x14ac:dyDescent="0.25"/>
    <row r="48" spans="4:10" ht="20.100000000000001" customHeight="1" x14ac:dyDescent="0.25">
      <c r="D48" s="9" t="s">
        <v>1641</v>
      </c>
      <c r="G48" s="17"/>
    </row>
    <row r="49" spans="4:8" ht="20.100000000000001" customHeight="1" x14ac:dyDescent="0.25">
      <c r="D49" s="11" t="s">
        <v>1642</v>
      </c>
      <c r="G49" s="17"/>
    </row>
    <row r="50" spans="4:8" ht="20.100000000000001" customHeight="1" x14ac:dyDescent="0.25">
      <c r="D50" s="10" t="s">
        <v>135</v>
      </c>
      <c r="E50" s="10" t="s">
        <v>162</v>
      </c>
      <c r="G50" s="17"/>
    </row>
    <row r="51" spans="4:8" ht="20.100000000000001" customHeight="1" x14ac:dyDescent="0.25">
      <c r="D51" s="10" t="s">
        <v>1616</v>
      </c>
      <c r="E51" s="10">
        <v>0.15</v>
      </c>
      <c r="G51" s="17"/>
    </row>
    <row r="52" spans="4:8" ht="20.100000000000001" customHeight="1" x14ac:dyDescent="0.25">
      <c r="D52" s="8" t="s">
        <v>1613</v>
      </c>
      <c r="E52" s="10">
        <v>0.08</v>
      </c>
      <c r="G52" s="17"/>
    </row>
    <row r="53" spans="4:8" ht="20.100000000000001" customHeight="1" x14ac:dyDescent="0.25">
      <c r="D53" s="8" t="s">
        <v>1625</v>
      </c>
      <c r="E53" s="10">
        <v>0.01</v>
      </c>
      <c r="G53" s="17"/>
    </row>
    <row r="54" spans="4:8" ht="20.100000000000001" customHeight="1" x14ac:dyDescent="0.25">
      <c r="D54" s="8" t="s">
        <v>1620</v>
      </c>
      <c r="E54" s="10">
        <v>0.05</v>
      </c>
      <c r="G54" s="17"/>
      <c r="H54" s="17"/>
    </row>
    <row r="55" spans="4:8" ht="20.100000000000001" customHeight="1" x14ac:dyDescent="0.25">
      <c r="D55" s="8" t="s">
        <v>1630</v>
      </c>
      <c r="E55" s="10">
        <v>0.11</v>
      </c>
      <c r="G55" s="17"/>
      <c r="H55" s="17"/>
    </row>
    <row r="56" spans="4:8" ht="20.100000000000001" customHeight="1" x14ac:dyDescent="0.25"/>
    <row r="57" spans="4:8" ht="20.100000000000001" customHeight="1" x14ac:dyDescent="0.25"/>
    <row r="58" spans="4:8" ht="20.100000000000001" customHeight="1" x14ac:dyDescent="0.25">
      <c r="D58" s="9" t="s">
        <v>1643</v>
      </c>
    </row>
    <row r="59" spans="4:8" ht="20.100000000000001" customHeight="1" x14ac:dyDescent="0.25">
      <c r="D59" s="11" t="s">
        <v>1644</v>
      </c>
    </row>
    <row r="60" spans="4:8" ht="20.100000000000001" customHeight="1" x14ac:dyDescent="0.25">
      <c r="D60" s="28" t="s">
        <v>1645</v>
      </c>
      <c r="E60" s="8">
        <v>0.2</v>
      </c>
      <c r="F60" s="13" t="s">
        <v>1646</v>
      </c>
    </row>
    <row r="61" spans="4:8" ht="20.100000000000001" customHeight="1" x14ac:dyDescent="0.25"/>
    <row r="62" spans="4:8" ht="20.100000000000001" customHeight="1" x14ac:dyDescent="0.25"/>
    <row r="63" spans="4:8" ht="20.100000000000001" customHeight="1" x14ac:dyDescent="0.25">
      <c r="D63" s="9" t="s">
        <v>1647</v>
      </c>
    </row>
    <row r="64" spans="4:8" ht="20.100000000000001" customHeight="1" x14ac:dyDescent="0.25">
      <c r="D64" s="11" t="s">
        <v>1648</v>
      </c>
    </row>
    <row r="65" spans="4:6" ht="20.100000000000001" customHeight="1" x14ac:dyDescent="0.25">
      <c r="D65" s="10" t="s">
        <v>163</v>
      </c>
      <c r="E65" s="10" t="s">
        <v>164</v>
      </c>
      <c r="F65" s="10" t="s">
        <v>165</v>
      </c>
    </row>
    <row r="66" spans="4:6" ht="20.100000000000001" customHeight="1" x14ac:dyDescent="0.25">
      <c r="D66" s="10" t="s">
        <v>1649</v>
      </c>
      <c r="E66" s="10">
        <v>0.9</v>
      </c>
      <c r="F66" s="10">
        <v>0.12</v>
      </c>
    </row>
    <row r="67" spans="4:6" ht="20.100000000000001" customHeight="1" x14ac:dyDescent="0.25">
      <c r="D67" s="8" t="s">
        <v>1650</v>
      </c>
      <c r="E67" s="10">
        <v>0.95</v>
      </c>
      <c r="F67" s="10">
        <v>0.13</v>
      </c>
    </row>
    <row r="68" spans="4:6" ht="20.100000000000001" customHeight="1" x14ac:dyDescent="0.25">
      <c r="D68" s="8" t="s">
        <v>1227</v>
      </c>
      <c r="E68" s="10">
        <v>0</v>
      </c>
      <c r="F68" s="10">
        <v>0</v>
      </c>
    </row>
    <row r="69" spans="4:6" ht="20.100000000000001" customHeight="1" x14ac:dyDescent="0.25"/>
    <row r="70" spans="4:6" ht="20.100000000000001" customHeight="1" x14ac:dyDescent="0.25"/>
    <row r="71" spans="4:6" ht="20.100000000000001" customHeight="1" x14ac:dyDescent="0.25">
      <c r="D71" s="9" t="s">
        <v>1651</v>
      </c>
    </row>
    <row r="72" spans="4:6" ht="20.100000000000001" customHeight="1" x14ac:dyDescent="0.25">
      <c r="D72" s="11" t="s">
        <v>1652</v>
      </c>
    </row>
    <row r="73" spans="4:6" ht="20.100000000000001" customHeight="1" x14ac:dyDescent="0.25">
      <c r="D73" s="28" t="s">
        <v>1528</v>
      </c>
      <c r="E73" s="8">
        <v>0.21</v>
      </c>
      <c r="F73" s="13" t="s">
        <v>1068</v>
      </c>
    </row>
    <row r="74" spans="4:6" ht="20.100000000000001" customHeight="1" x14ac:dyDescent="0.25"/>
    <row r="75" spans="4:6" ht="20.100000000000001" customHeight="1" x14ac:dyDescent="0.25"/>
    <row r="76" spans="4:6" ht="20.100000000000001" customHeight="1" x14ac:dyDescent="0.25">
      <c r="D76" s="9" t="s">
        <v>1653</v>
      </c>
    </row>
    <row r="77" spans="4:6" ht="20.100000000000001" customHeight="1" x14ac:dyDescent="0.25">
      <c r="D77" s="11" t="s">
        <v>1654</v>
      </c>
    </row>
    <row r="78" spans="4:6" ht="20.100000000000001" customHeight="1" x14ac:dyDescent="0.25">
      <c r="D78" s="28" t="s">
        <v>1086</v>
      </c>
      <c r="E78" s="8">
        <v>0.24</v>
      </c>
      <c r="F78" s="13" t="s">
        <v>1004</v>
      </c>
    </row>
    <row r="79" spans="4:6" ht="20.100000000000001" customHeight="1" x14ac:dyDescent="0.25"/>
    <row r="80" spans="4:6" ht="20.100000000000001" customHeight="1" x14ac:dyDescent="0.25"/>
    <row r="81" spans="4:31" ht="20.100000000000001" customHeight="1" x14ac:dyDescent="0.25">
      <c r="D81" s="9" t="s">
        <v>1655</v>
      </c>
    </row>
    <row r="82" spans="4:31" ht="20.100000000000001" customHeight="1" x14ac:dyDescent="0.25">
      <c r="D82" s="11" t="s">
        <v>1654</v>
      </c>
    </row>
    <row r="83" spans="4:31" ht="20.100000000000001" customHeight="1" x14ac:dyDescent="0.25">
      <c r="D83" s="28" t="s">
        <v>1656</v>
      </c>
      <c r="E83" s="8">
        <v>1.0999999999999999E-2</v>
      </c>
      <c r="F83" s="13" t="s">
        <v>1657</v>
      </c>
    </row>
    <row r="84" spans="4:31" ht="20.100000000000001" customHeight="1" x14ac:dyDescent="0.25"/>
    <row r="85" spans="4:31" ht="20.100000000000001" customHeight="1" x14ac:dyDescent="0.25"/>
    <row r="86" spans="4:31" ht="20.100000000000001" customHeight="1" x14ac:dyDescent="0.25"/>
    <row r="87" spans="4:31" ht="20.100000000000001" customHeight="1" x14ac:dyDescent="0.25">
      <c r="D87" s="9" t="s">
        <v>166</v>
      </c>
      <c r="E87" s="17"/>
      <c r="F87" s="17"/>
      <c r="G87" s="17"/>
      <c r="H87" s="17"/>
      <c r="I87" s="17"/>
      <c r="J87" s="17"/>
      <c r="K87" s="17"/>
      <c r="L87" s="17"/>
      <c r="N87" s="17"/>
      <c r="O87" s="17"/>
      <c r="P87" s="17"/>
      <c r="Q87" s="17"/>
      <c r="R87" s="17"/>
      <c r="S87" s="17"/>
      <c r="T87" s="17"/>
      <c r="U87" s="17"/>
    </row>
    <row r="88" spans="4:31" ht="20.100000000000001" customHeight="1" x14ac:dyDescent="0.25">
      <c r="D88" s="17"/>
    </row>
    <row r="89" spans="4:31" ht="20.100000000000001" customHeight="1" x14ac:dyDescent="0.25">
      <c r="D89" s="66" t="s">
        <v>167</v>
      </c>
      <c r="E89" s="10" t="s">
        <v>168</v>
      </c>
      <c r="F89" s="10" t="s">
        <v>169</v>
      </c>
      <c r="G89" s="67" t="s">
        <v>170</v>
      </c>
      <c r="H89" s="67" t="s">
        <v>97</v>
      </c>
      <c r="I89" s="67" t="s">
        <v>171</v>
      </c>
      <c r="J89" s="67" t="s">
        <v>172</v>
      </c>
      <c r="K89" s="67" t="s">
        <v>173</v>
      </c>
      <c r="L89" s="67" t="s">
        <v>174</v>
      </c>
      <c r="M89" s="67" t="s">
        <v>175</v>
      </c>
      <c r="N89" s="67" t="s">
        <v>176</v>
      </c>
      <c r="O89" s="10" t="s">
        <v>177</v>
      </c>
      <c r="P89" s="10" t="s">
        <v>178</v>
      </c>
      <c r="Q89" s="10" t="s">
        <v>179</v>
      </c>
      <c r="R89" s="67" t="s">
        <v>180</v>
      </c>
      <c r="S89" s="67" t="s">
        <v>181</v>
      </c>
      <c r="T89" s="10" t="s">
        <v>182</v>
      </c>
      <c r="U89" s="67" t="s">
        <v>183</v>
      </c>
      <c r="V89" s="67" t="s">
        <v>184</v>
      </c>
      <c r="W89" s="67" t="s">
        <v>185</v>
      </c>
      <c r="X89" s="67" t="s">
        <v>186</v>
      </c>
      <c r="Y89" s="67" t="s">
        <v>187</v>
      </c>
      <c r="Z89" s="10" t="s">
        <v>188</v>
      </c>
      <c r="AA89" s="10" t="s">
        <v>189</v>
      </c>
      <c r="AB89" s="10" t="s">
        <v>190</v>
      </c>
      <c r="AC89" s="10" t="s">
        <v>191</v>
      </c>
      <c r="AD89" s="10" t="s">
        <v>192</v>
      </c>
      <c r="AE89" s="10" t="s">
        <v>193</v>
      </c>
    </row>
    <row r="90" spans="4:31" ht="20.100000000000001" customHeight="1" x14ac:dyDescent="0.25">
      <c r="D90" s="65" t="s">
        <v>1658</v>
      </c>
      <c r="E90" s="65"/>
      <c r="F90" s="65" t="s">
        <v>1659</v>
      </c>
      <c r="G90" s="65" t="s">
        <v>1660</v>
      </c>
      <c r="H90" s="65" t="s">
        <v>1661</v>
      </c>
      <c r="I90" s="65">
        <v>1.26</v>
      </c>
      <c r="J90" s="65"/>
      <c r="K90" s="65"/>
      <c r="L90" s="65" t="s">
        <v>214</v>
      </c>
      <c r="M90" s="10">
        <v>0.22500000000000001</v>
      </c>
      <c r="N90" s="65" t="s">
        <v>1629</v>
      </c>
      <c r="O90" s="65">
        <v>0.04</v>
      </c>
      <c r="P90" s="65" t="s">
        <v>1627</v>
      </c>
      <c r="Q90" s="65">
        <v>2.5999999999999999E-2</v>
      </c>
      <c r="R90" s="65"/>
      <c r="S90" s="65"/>
      <c r="T90" s="65"/>
      <c r="U90" s="65"/>
      <c r="V90" s="10"/>
      <c r="W90" s="10"/>
      <c r="X90" s="10"/>
      <c r="Y90" s="10"/>
      <c r="Z90" s="10"/>
      <c r="AA90" s="10"/>
      <c r="AB90" s="10"/>
      <c r="AC90" s="10"/>
      <c r="AD90" s="10"/>
      <c r="AE90" s="10"/>
    </row>
    <row r="91" spans="4:31" ht="20.100000000000001" customHeight="1" x14ac:dyDescent="0.25">
      <c r="D91" s="65" t="s">
        <v>1658</v>
      </c>
      <c r="E91" s="65"/>
      <c r="F91" s="65" t="s">
        <v>1659</v>
      </c>
      <c r="G91" s="65" t="s">
        <v>1662</v>
      </c>
      <c r="H91" s="65" t="s">
        <v>1661</v>
      </c>
      <c r="I91" s="65">
        <v>1.26</v>
      </c>
      <c r="J91" s="65"/>
      <c r="K91" s="65"/>
      <c r="L91" s="65" t="s">
        <v>214</v>
      </c>
      <c r="M91" s="10">
        <v>0.105</v>
      </c>
      <c r="N91" s="65" t="s">
        <v>1627</v>
      </c>
      <c r="O91" s="65">
        <v>9.6000000000000002E-2</v>
      </c>
      <c r="P91" s="65" t="s">
        <v>1629</v>
      </c>
      <c r="Q91" s="65">
        <v>0.05</v>
      </c>
      <c r="R91" s="65"/>
      <c r="S91" s="65"/>
      <c r="T91" s="65"/>
      <c r="U91" s="65"/>
      <c r="V91" s="10"/>
      <c r="W91" s="10"/>
      <c r="X91" s="10"/>
      <c r="Y91" s="10"/>
      <c r="Z91" s="10"/>
      <c r="AA91" s="10"/>
      <c r="AB91" s="10"/>
      <c r="AC91" s="10"/>
      <c r="AD91" s="10"/>
      <c r="AE91" s="10"/>
    </row>
    <row r="92" spans="4:31" ht="20.100000000000001" customHeight="1" x14ac:dyDescent="0.25">
      <c r="D92" s="65" t="s">
        <v>1658</v>
      </c>
      <c r="E92" s="65"/>
      <c r="F92" s="65" t="s">
        <v>1659</v>
      </c>
      <c r="G92" s="65" t="s">
        <v>1663</v>
      </c>
      <c r="H92" s="65" t="s">
        <v>1661</v>
      </c>
      <c r="I92" s="65">
        <v>1.24</v>
      </c>
      <c r="J92" s="65"/>
      <c r="K92" s="65"/>
      <c r="L92" s="65" t="s">
        <v>1622</v>
      </c>
      <c r="M92" s="10">
        <v>0.223</v>
      </c>
      <c r="N92" s="65"/>
      <c r="O92" s="65"/>
      <c r="P92" s="65"/>
      <c r="Q92" s="65"/>
      <c r="R92" s="65"/>
      <c r="S92" s="65"/>
      <c r="T92" s="65"/>
      <c r="U92" s="65"/>
      <c r="V92" s="10"/>
      <c r="W92" s="10"/>
      <c r="X92" s="10"/>
      <c r="Y92" s="10"/>
      <c r="Z92" s="10"/>
      <c r="AA92" s="10"/>
      <c r="AB92" s="10"/>
      <c r="AC92" s="10"/>
      <c r="AD92" s="10"/>
      <c r="AE92" s="10"/>
    </row>
    <row r="93" spans="4:31" ht="20.100000000000001" customHeight="1" x14ac:dyDescent="0.25">
      <c r="D93" s="65" t="s">
        <v>1658</v>
      </c>
      <c r="E93" s="65"/>
      <c r="F93" s="65" t="s">
        <v>1659</v>
      </c>
      <c r="G93" s="65" t="s">
        <v>1664</v>
      </c>
      <c r="H93" s="65" t="s">
        <v>1661</v>
      </c>
      <c r="I93" s="65">
        <v>1.25</v>
      </c>
      <c r="J93" s="65"/>
      <c r="K93" s="65"/>
      <c r="L93" s="65" t="s">
        <v>1627</v>
      </c>
      <c r="M93" s="10">
        <v>0.10299999999999999</v>
      </c>
      <c r="N93" s="65" t="s">
        <v>1629</v>
      </c>
      <c r="O93" s="65">
        <v>0.1</v>
      </c>
      <c r="P93" s="65" t="s">
        <v>214</v>
      </c>
      <c r="Q93" s="65">
        <v>3.4000000000000002E-2</v>
      </c>
      <c r="R93" s="65"/>
      <c r="S93" s="65"/>
      <c r="T93" s="65"/>
      <c r="U93" s="65"/>
      <c r="V93" s="10"/>
      <c r="W93" s="10"/>
      <c r="X93" s="10"/>
      <c r="Y93" s="10"/>
      <c r="Z93" s="10"/>
      <c r="AA93" s="10"/>
      <c r="AB93" s="10"/>
      <c r="AC93" s="10"/>
      <c r="AD93" s="10"/>
      <c r="AE93" s="10"/>
    </row>
    <row r="94" spans="4:31" ht="20.100000000000001" customHeight="1" x14ac:dyDescent="0.25">
      <c r="D94" s="65" t="s">
        <v>1658</v>
      </c>
      <c r="E94" s="65"/>
      <c r="F94" s="65" t="s">
        <v>1659</v>
      </c>
      <c r="G94" s="65" t="s">
        <v>1665</v>
      </c>
      <c r="H94" s="65" t="s">
        <v>1661</v>
      </c>
      <c r="I94" s="65">
        <v>1.43</v>
      </c>
      <c r="J94" s="65"/>
      <c r="K94" s="65"/>
      <c r="L94" s="65" t="s">
        <v>214</v>
      </c>
      <c r="M94" s="10">
        <v>0.22500000000000001</v>
      </c>
      <c r="N94" s="65" t="s">
        <v>1629</v>
      </c>
      <c r="O94" s="65">
        <v>3.7999999999999999E-2</v>
      </c>
      <c r="P94" s="65" t="s">
        <v>1627</v>
      </c>
      <c r="Q94" s="65">
        <v>2.5000000000000001E-2</v>
      </c>
      <c r="R94" s="65"/>
      <c r="S94" s="65"/>
      <c r="T94" s="65"/>
      <c r="U94" s="65"/>
      <c r="V94" s="10"/>
      <c r="W94" s="10"/>
      <c r="X94" s="10"/>
      <c r="Y94" s="10"/>
      <c r="Z94" s="10"/>
      <c r="AA94" s="10"/>
      <c r="AB94" s="10"/>
      <c r="AC94" s="10"/>
      <c r="AD94" s="10"/>
      <c r="AE94" s="10"/>
    </row>
    <row r="95" spans="4:31" ht="20.100000000000001" customHeight="1" x14ac:dyDescent="0.25">
      <c r="D95" s="65" t="s">
        <v>1658</v>
      </c>
      <c r="E95" s="65"/>
      <c r="F95" s="65" t="s">
        <v>1659</v>
      </c>
      <c r="G95" s="65" t="s">
        <v>1666</v>
      </c>
      <c r="H95" s="65" t="s">
        <v>1661</v>
      </c>
      <c r="I95" s="65">
        <v>1.29</v>
      </c>
      <c r="J95" s="65"/>
      <c r="K95" s="65"/>
      <c r="L95" s="65" t="s">
        <v>1627</v>
      </c>
      <c r="M95" s="10">
        <v>0.105</v>
      </c>
      <c r="N95" s="65" t="s">
        <v>1629</v>
      </c>
      <c r="O95" s="65">
        <v>9.4E-2</v>
      </c>
      <c r="P95" s="65" t="s">
        <v>214</v>
      </c>
      <c r="Q95" s="65">
        <v>0.04</v>
      </c>
      <c r="R95" s="65" t="s">
        <v>215</v>
      </c>
      <c r="S95" s="65">
        <v>0.03</v>
      </c>
      <c r="T95" s="65"/>
      <c r="U95" s="65"/>
      <c r="V95" s="10"/>
      <c r="W95" s="10"/>
      <c r="X95" s="10"/>
      <c r="Y95" s="10"/>
      <c r="Z95" s="10"/>
      <c r="AA95" s="10"/>
      <c r="AB95" s="10"/>
      <c r="AC95" s="10"/>
      <c r="AD95" s="10"/>
      <c r="AE95" s="10"/>
    </row>
    <row r="96" spans="4:31" ht="20.100000000000001" customHeight="1" x14ac:dyDescent="0.25">
      <c r="D96" s="65" t="s">
        <v>1658</v>
      </c>
      <c r="E96" s="65"/>
      <c r="F96" s="65" t="s">
        <v>1659</v>
      </c>
      <c r="G96" s="65" t="s">
        <v>1667</v>
      </c>
      <c r="H96" s="65" t="s">
        <v>1661</v>
      </c>
      <c r="I96" s="65">
        <v>1.32</v>
      </c>
      <c r="J96" s="65"/>
      <c r="K96" s="65"/>
      <c r="L96" s="65" t="s">
        <v>214</v>
      </c>
      <c r="M96" s="10">
        <v>0.108</v>
      </c>
      <c r="N96" s="65" t="s">
        <v>1627</v>
      </c>
      <c r="O96" s="65">
        <v>9.5000000000000001E-2</v>
      </c>
      <c r="P96" s="65" t="s">
        <v>215</v>
      </c>
      <c r="Q96" s="65">
        <v>8.1000000000000003E-2</v>
      </c>
      <c r="R96" s="65" t="s">
        <v>1629</v>
      </c>
      <c r="S96" s="65">
        <v>4.7E-2</v>
      </c>
      <c r="T96" s="65"/>
      <c r="U96" s="65"/>
      <c r="V96" s="10"/>
      <c r="W96" s="10"/>
      <c r="X96" s="10"/>
      <c r="Y96" s="10"/>
      <c r="Z96" s="10"/>
      <c r="AA96" s="10"/>
      <c r="AB96" s="10"/>
      <c r="AC96" s="10"/>
      <c r="AD96" s="10"/>
      <c r="AE96" s="10"/>
    </row>
    <row r="97" spans="4:31" ht="20.100000000000001" customHeight="1" x14ac:dyDescent="0.25">
      <c r="D97" s="65" t="s">
        <v>1668</v>
      </c>
      <c r="E97" s="65" t="s">
        <v>1669</v>
      </c>
      <c r="F97" s="65" t="s">
        <v>1659</v>
      </c>
      <c r="G97" s="65" t="s">
        <v>360</v>
      </c>
      <c r="H97" s="65" t="s">
        <v>354</v>
      </c>
      <c r="I97" s="65">
        <v>1</v>
      </c>
      <c r="J97" s="65"/>
      <c r="K97" s="65"/>
      <c r="L97" s="65" t="s">
        <v>213</v>
      </c>
      <c r="M97" s="10">
        <v>0.52173913000000005</v>
      </c>
      <c r="N97" s="65" t="s">
        <v>214</v>
      </c>
      <c r="O97" s="65">
        <v>0.08</v>
      </c>
      <c r="P97" s="65" t="s">
        <v>215</v>
      </c>
      <c r="Q97" s="65">
        <v>5.2999999999999999E-2</v>
      </c>
      <c r="R97" s="65" t="s">
        <v>1629</v>
      </c>
      <c r="S97" s="65">
        <v>5.1999999999999998E-2</v>
      </c>
      <c r="T97" s="65" t="s">
        <v>1670</v>
      </c>
      <c r="U97" s="65">
        <v>1.2999999999999999E-2</v>
      </c>
      <c r="V97" s="10" t="s">
        <v>1671</v>
      </c>
      <c r="W97" s="10">
        <v>2E-3</v>
      </c>
      <c r="X97" s="10" t="s">
        <v>1672</v>
      </c>
      <c r="Y97" s="10">
        <v>3.5000000000000001E-3</v>
      </c>
      <c r="Z97" s="10" t="s">
        <v>1673</v>
      </c>
      <c r="AA97" s="10">
        <v>1.2999999999999999E-3</v>
      </c>
      <c r="AB97" s="10" t="s">
        <v>1674</v>
      </c>
      <c r="AC97" s="10">
        <v>6.9999999999999999E-4</v>
      </c>
      <c r="AD97" s="10" t="s">
        <v>1675</v>
      </c>
      <c r="AE97" s="10">
        <v>6.9999999999999999E-4</v>
      </c>
    </row>
    <row r="98" spans="4:31" ht="20.100000000000001" customHeight="1" x14ac:dyDescent="0.25">
      <c r="D98" s="65" t="s">
        <v>1658</v>
      </c>
      <c r="E98" s="65"/>
      <c r="F98" s="65" t="s">
        <v>1659</v>
      </c>
      <c r="G98" s="65" t="s">
        <v>1676</v>
      </c>
      <c r="H98" s="65" t="s">
        <v>354</v>
      </c>
      <c r="I98" s="65">
        <v>1</v>
      </c>
      <c r="J98" s="65"/>
      <c r="K98" s="65"/>
      <c r="L98" s="65" t="s">
        <v>1677</v>
      </c>
      <c r="M98" s="10">
        <v>0.23200000000000001</v>
      </c>
      <c r="N98" s="65" t="s">
        <v>1627</v>
      </c>
      <c r="O98" s="65">
        <v>0.17</v>
      </c>
      <c r="P98" s="65" t="s">
        <v>215</v>
      </c>
      <c r="Q98" s="65">
        <v>5.0000000000000001E-3</v>
      </c>
      <c r="R98" s="65" t="s">
        <v>1670</v>
      </c>
      <c r="S98" s="65">
        <v>2.3999999999999998E-3</v>
      </c>
      <c r="T98" s="65" t="s">
        <v>1629</v>
      </c>
      <c r="U98" s="65">
        <v>4.0000000000000002E-4</v>
      </c>
      <c r="V98" s="10"/>
      <c r="W98" s="10"/>
      <c r="X98" s="10"/>
      <c r="Y98" s="10"/>
      <c r="Z98" s="10"/>
      <c r="AA98" s="10"/>
      <c r="AB98" s="10"/>
      <c r="AC98" s="10"/>
      <c r="AD98" s="10"/>
      <c r="AE98" s="10"/>
    </row>
    <row r="99" spans="4:31" ht="20.100000000000001" customHeight="1" x14ac:dyDescent="0.25">
      <c r="D99" s="65" t="s">
        <v>1658</v>
      </c>
      <c r="E99" s="65" t="s">
        <v>1678</v>
      </c>
      <c r="F99" s="65" t="s">
        <v>1659</v>
      </c>
      <c r="G99" s="65" t="s">
        <v>1679</v>
      </c>
      <c r="H99" s="65" t="s">
        <v>354</v>
      </c>
      <c r="I99" s="65">
        <v>1</v>
      </c>
      <c r="J99" s="65"/>
      <c r="K99" s="65"/>
      <c r="L99" s="65" t="s">
        <v>1622</v>
      </c>
      <c r="M99" s="10">
        <v>7.4999999999999997E-2</v>
      </c>
      <c r="N99" s="65" t="s">
        <v>1624</v>
      </c>
      <c r="O99" s="65">
        <v>7.4999999999999997E-2</v>
      </c>
      <c r="P99" s="65" t="s">
        <v>214</v>
      </c>
      <c r="Q99" s="65">
        <v>0.125</v>
      </c>
      <c r="R99" s="65" t="s">
        <v>1680</v>
      </c>
      <c r="S99" s="65">
        <v>6.5000000000000002E-2</v>
      </c>
      <c r="T99" s="65" t="s">
        <v>215</v>
      </c>
      <c r="U99" s="65">
        <v>0.06</v>
      </c>
      <c r="V99" s="10"/>
      <c r="W99" s="10"/>
      <c r="X99" s="10"/>
      <c r="Y99" s="10"/>
      <c r="Z99" s="10"/>
      <c r="AA99" s="10"/>
      <c r="AB99" s="10"/>
      <c r="AC99" s="10"/>
      <c r="AD99" s="10"/>
      <c r="AE99" s="10"/>
    </row>
    <row r="100" spans="4:31" ht="20.100000000000001" customHeight="1" x14ac:dyDescent="0.25">
      <c r="D100" s="65" t="s">
        <v>1668</v>
      </c>
      <c r="E100" s="65" t="s">
        <v>1681</v>
      </c>
      <c r="F100" s="65" t="s">
        <v>1659</v>
      </c>
      <c r="G100" s="65" t="s">
        <v>208</v>
      </c>
      <c r="H100" s="65" t="s">
        <v>1661</v>
      </c>
      <c r="I100" s="65">
        <v>1.2150000000000001</v>
      </c>
      <c r="J100" s="65"/>
      <c r="K100" s="65"/>
      <c r="L100" s="65" t="s">
        <v>213</v>
      </c>
      <c r="M100" s="10">
        <v>0.19565217400000001</v>
      </c>
      <c r="N100" s="65" t="s">
        <v>214</v>
      </c>
      <c r="O100" s="65">
        <v>0.1</v>
      </c>
      <c r="P100" s="65" t="s">
        <v>1627</v>
      </c>
      <c r="Q100" s="65">
        <v>0.03</v>
      </c>
      <c r="R100" s="65" t="s">
        <v>1675</v>
      </c>
      <c r="S100" s="65">
        <v>5.0000000000000001E-3</v>
      </c>
      <c r="T100" s="65"/>
      <c r="U100" s="65"/>
      <c r="V100" s="10"/>
      <c r="W100" s="10"/>
      <c r="X100" s="10"/>
      <c r="Y100" s="10"/>
      <c r="Z100" s="10"/>
      <c r="AA100" s="10"/>
      <c r="AB100" s="10"/>
      <c r="AC100" s="10"/>
      <c r="AD100" s="10"/>
      <c r="AE100" s="10"/>
    </row>
    <row r="101" spans="4:31" ht="20.100000000000001" customHeight="1" x14ac:dyDescent="0.25">
      <c r="D101" s="65"/>
      <c r="E101" s="65"/>
      <c r="F101" s="65"/>
      <c r="G101" s="65"/>
      <c r="H101" s="65"/>
      <c r="I101" s="65"/>
      <c r="J101" s="65"/>
      <c r="K101" s="65"/>
      <c r="L101" s="65"/>
      <c r="M101" s="10"/>
      <c r="N101" s="65"/>
      <c r="O101" s="65"/>
      <c r="P101" s="65"/>
      <c r="Q101" s="65"/>
      <c r="R101" s="65"/>
      <c r="S101" s="65"/>
      <c r="T101" s="65"/>
      <c r="U101" s="65"/>
      <c r="V101" s="10"/>
      <c r="W101" s="10"/>
      <c r="X101" s="10"/>
      <c r="Y101" s="10"/>
      <c r="Z101" s="10"/>
      <c r="AA101" s="10"/>
      <c r="AB101" s="10"/>
      <c r="AC101" s="10"/>
      <c r="AD101" s="10"/>
      <c r="AE101" s="10"/>
    </row>
    <row r="102" spans="4:31" ht="20.100000000000001" customHeight="1" x14ac:dyDescent="0.25">
      <c r="D102" s="65"/>
      <c r="E102" s="65"/>
      <c r="F102" s="65"/>
      <c r="G102" s="65"/>
      <c r="H102" s="65"/>
      <c r="I102" s="65"/>
      <c r="J102" s="65"/>
      <c r="K102" s="65"/>
      <c r="L102" s="65"/>
      <c r="M102" s="10"/>
      <c r="N102" s="65"/>
      <c r="O102" s="65"/>
      <c r="P102" s="65"/>
      <c r="Q102" s="65"/>
      <c r="R102" s="65"/>
      <c r="S102" s="65"/>
      <c r="T102" s="65"/>
      <c r="U102" s="65"/>
      <c r="V102" s="10"/>
      <c r="W102" s="10"/>
      <c r="X102" s="10"/>
      <c r="Y102" s="10"/>
      <c r="Z102" s="10"/>
      <c r="AA102" s="10"/>
      <c r="AB102" s="10"/>
      <c r="AC102" s="10"/>
      <c r="AD102" s="10"/>
      <c r="AE102" s="10"/>
    </row>
    <row r="103" spans="4:31" ht="20.100000000000001" customHeight="1" x14ac:dyDescent="0.25">
      <c r="D103" s="65"/>
      <c r="E103" s="65"/>
      <c r="F103" s="65"/>
      <c r="G103" s="65"/>
      <c r="H103" s="65"/>
      <c r="I103" s="65"/>
      <c r="J103" s="65"/>
      <c r="K103" s="65"/>
      <c r="L103" s="65"/>
      <c r="M103" s="10"/>
      <c r="N103" s="65"/>
      <c r="O103" s="65"/>
      <c r="P103" s="65"/>
      <c r="Q103" s="65"/>
      <c r="R103" s="65"/>
      <c r="S103" s="65"/>
      <c r="T103" s="65"/>
      <c r="U103" s="65"/>
      <c r="V103" s="10"/>
      <c r="W103" s="10"/>
      <c r="X103" s="10"/>
      <c r="Y103" s="10"/>
      <c r="Z103" s="10"/>
      <c r="AA103" s="10"/>
      <c r="AB103" s="10"/>
      <c r="AC103" s="10"/>
      <c r="AD103" s="10"/>
      <c r="AE103" s="10"/>
    </row>
    <row r="104" spans="4:31" ht="20.100000000000001" customHeight="1" x14ac:dyDescent="0.25">
      <c r="D104" s="65"/>
      <c r="E104" s="65"/>
      <c r="F104" s="65"/>
      <c r="G104" s="65"/>
      <c r="H104" s="65"/>
      <c r="I104" s="65"/>
      <c r="J104" s="65"/>
      <c r="K104" s="65"/>
      <c r="L104" s="65"/>
      <c r="M104" s="10"/>
      <c r="N104" s="65"/>
      <c r="O104" s="65"/>
      <c r="P104" s="65"/>
      <c r="Q104" s="65"/>
      <c r="R104" s="65"/>
      <c r="S104" s="65"/>
      <c r="T104" s="65"/>
      <c r="U104" s="65"/>
      <c r="V104" s="10"/>
      <c r="W104" s="10"/>
      <c r="X104" s="10"/>
      <c r="Y104" s="10"/>
      <c r="Z104" s="10"/>
      <c r="AA104" s="10"/>
      <c r="AB104" s="10"/>
      <c r="AC104" s="10"/>
      <c r="AD104" s="10"/>
      <c r="AE104" s="10"/>
    </row>
    <row r="105" spans="4:31" ht="20.100000000000001" customHeight="1" x14ac:dyDescent="0.25">
      <c r="D105" s="65"/>
      <c r="E105" s="65"/>
      <c r="F105" s="65"/>
      <c r="G105" s="65"/>
      <c r="H105" s="65"/>
      <c r="I105" s="65"/>
      <c r="J105" s="65"/>
      <c r="K105" s="65"/>
      <c r="L105" s="65"/>
      <c r="M105" s="10"/>
      <c r="N105" s="65"/>
      <c r="O105" s="65"/>
      <c r="P105" s="65"/>
      <c r="Q105" s="65"/>
      <c r="R105" s="65"/>
      <c r="S105" s="65"/>
      <c r="T105" s="65"/>
      <c r="U105" s="65"/>
      <c r="V105" s="10"/>
      <c r="W105" s="10"/>
      <c r="X105" s="10"/>
      <c r="Y105" s="10"/>
      <c r="Z105" s="10"/>
      <c r="AA105" s="10"/>
      <c r="AB105" s="10"/>
      <c r="AC105" s="10"/>
      <c r="AD105" s="10"/>
      <c r="AE105" s="10"/>
    </row>
    <row r="106" spans="4:31" ht="20.100000000000001" customHeight="1" x14ac:dyDescent="0.25">
      <c r="D106" s="65"/>
      <c r="E106" s="65"/>
      <c r="F106" s="65"/>
      <c r="G106" s="65"/>
      <c r="H106" s="65"/>
      <c r="I106" s="65"/>
      <c r="J106" s="65"/>
      <c r="K106" s="65"/>
      <c r="L106" s="65"/>
      <c r="M106" s="10"/>
      <c r="N106" s="65"/>
      <c r="O106" s="65"/>
      <c r="P106" s="65"/>
      <c r="Q106" s="65"/>
      <c r="R106" s="65"/>
      <c r="S106" s="65"/>
      <c r="T106" s="65"/>
      <c r="U106" s="65"/>
      <c r="V106" s="10"/>
      <c r="W106" s="10"/>
      <c r="X106" s="10"/>
      <c r="Y106" s="10"/>
      <c r="Z106" s="10"/>
      <c r="AA106" s="10"/>
      <c r="AB106" s="10"/>
      <c r="AC106" s="10"/>
      <c r="AD106" s="10"/>
      <c r="AE106" s="10"/>
    </row>
    <row r="107" spans="4:31" ht="20.100000000000001" customHeight="1" x14ac:dyDescent="0.25">
      <c r="D107" s="65"/>
      <c r="E107" s="65"/>
      <c r="F107" s="65"/>
      <c r="G107" s="65"/>
      <c r="H107" s="65"/>
      <c r="I107" s="65"/>
      <c r="J107" s="65"/>
      <c r="K107" s="65"/>
      <c r="L107" s="65"/>
      <c r="M107" s="10"/>
      <c r="N107" s="65"/>
      <c r="O107" s="65"/>
      <c r="P107" s="65"/>
      <c r="Q107" s="65"/>
      <c r="R107" s="65"/>
      <c r="S107" s="65"/>
      <c r="T107" s="65"/>
      <c r="U107" s="65"/>
      <c r="V107" s="10"/>
      <c r="W107" s="10"/>
      <c r="X107" s="10"/>
      <c r="Y107" s="10"/>
      <c r="Z107" s="10"/>
      <c r="AA107" s="10"/>
      <c r="AB107" s="10"/>
      <c r="AC107" s="10"/>
      <c r="AD107" s="10"/>
      <c r="AE107" s="10"/>
    </row>
    <row r="108" spans="4:31" ht="20.100000000000001" customHeight="1" x14ac:dyDescent="0.25">
      <c r="D108" s="65"/>
      <c r="E108" s="65"/>
      <c r="F108" s="65"/>
      <c r="G108" s="65"/>
      <c r="H108" s="65"/>
      <c r="I108" s="65"/>
      <c r="J108" s="65"/>
      <c r="K108" s="65"/>
      <c r="L108" s="65"/>
      <c r="M108" s="10"/>
      <c r="N108" s="65"/>
      <c r="O108" s="65"/>
      <c r="P108" s="65"/>
      <c r="Q108" s="65"/>
      <c r="R108" s="65"/>
      <c r="S108" s="65"/>
      <c r="T108" s="65"/>
      <c r="U108" s="65"/>
      <c r="V108" s="10"/>
      <c r="W108" s="10"/>
      <c r="X108" s="10"/>
      <c r="Y108" s="10"/>
      <c r="Z108" s="10"/>
      <c r="AA108" s="10"/>
      <c r="AB108" s="10"/>
      <c r="AC108" s="10"/>
      <c r="AD108" s="10"/>
      <c r="AE108" s="10"/>
    </row>
    <row r="109" spans="4:31" ht="20.100000000000001" customHeight="1" x14ac:dyDescent="0.25">
      <c r="D109" s="65" t="s">
        <v>218</v>
      </c>
      <c r="E109" s="65" t="s">
        <v>174</v>
      </c>
      <c r="F109" s="65" t="s">
        <v>175</v>
      </c>
      <c r="G109" s="65" t="s">
        <v>391</v>
      </c>
      <c r="H109" s="65" t="s">
        <v>176</v>
      </c>
      <c r="I109" s="65" t="s">
        <v>177</v>
      </c>
      <c r="J109" s="65" t="s">
        <v>409</v>
      </c>
      <c r="K109" s="65" t="s">
        <v>178</v>
      </c>
      <c r="L109" s="65" t="s">
        <v>179</v>
      </c>
      <c r="M109" s="65" t="s">
        <v>410</v>
      </c>
      <c r="N109" s="65" t="s">
        <v>180</v>
      </c>
      <c r="O109" s="65" t="s">
        <v>181</v>
      </c>
      <c r="P109" s="65" t="s">
        <v>411</v>
      </c>
      <c r="Q109" s="65" t="s">
        <v>182</v>
      </c>
      <c r="R109" s="65" t="s">
        <v>183</v>
      </c>
      <c r="S109" s="65" t="s">
        <v>1682</v>
      </c>
      <c r="T109" s="65" t="s">
        <v>184</v>
      </c>
      <c r="U109" s="65" t="s">
        <v>185</v>
      </c>
      <c r="V109" s="65" t="s">
        <v>1683</v>
      </c>
      <c r="W109" s="65" t="s">
        <v>1684</v>
      </c>
      <c r="X109" s="65"/>
      <c r="Y109" s="65"/>
      <c r="Z109" s="65"/>
      <c r="AA109" s="10"/>
      <c r="AB109" s="10"/>
      <c r="AC109" s="10"/>
      <c r="AD109" s="10"/>
      <c r="AE109" s="10"/>
    </row>
    <row r="110" spans="4:31" ht="20.100000000000001" customHeight="1" x14ac:dyDescent="0.25">
      <c r="D110" s="65" t="s">
        <v>1685</v>
      </c>
      <c r="E110" s="65"/>
      <c r="F110" s="65"/>
      <c r="G110" s="65"/>
      <c r="H110" s="65"/>
      <c r="I110" s="65"/>
      <c r="J110" s="65"/>
      <c r="K110" s="65"/>
      <c r="L110" s="65"/>
      <c r="M110" s="65"/>
      <c r="N110" s="65"/>
      <c r="O110" s="65"/>
      <c r="P110" s="65"/>
      <c r="Q110" s="65"/>
      <c r="R110" s="65"/>
      <c r="S110" s="65"/>
      <c r="T110" s="65"/>
      <c r="U110" s="65"/>
      <c r="V110" s="65"/>
      <c r="W110" s="65" t="s">
        <v>1686</v>
      </c>
      <c r="X110" s="65"/>
      <c r="Y110" s="65"/>
      <c r="Z110" s="65"/>
      <c r="AA110" s="10"/>
      <c r="AB110" s="10"/>
      <c r="AC110" s="10"/>
      <c r="AD110" s="10"/>
      <c r="AE110" s="10"/>
    </row>
    <row r="111" spans="4:31" ht="20.100000000000001" customHeight="1" x14ac:dyDescent="0.25">
      <c r="D111" s="65" t="s">
        <v>14</v>
      </c>
      <c r="E111" s="65"/>
      <c r="F111" s="65"/>
      <c r="G111" s="65"/>
      <c r="H111" s="65"/>
      <c r="I111" s="65"/>
      <c r="J111" s="65"/>
      <c r="K111" s="65"/>
      <c r="L111" s="65"/>
      <c r="M111" s="65"/>
      <c r="N111" s="65"/>
      <c r="O111" s="65"/>
      <c r="P111" s="65"/>
      <c r="Q111" s="65"/>
      <c r="R111" s="65"/>
      <c r="S111" s="65"/>
      <c r="T111" s="65"/>
      <c r="U111" s="65"/>
      <c r="V111" s="65"/>
      <c r="W111" s="65" t="s">
        <v>1686</v>
      </c>
      <c r="X111" s="65"/>
      <c r="Y111" s="65"/>
      <c r="Z111" s="65"/>
      <c r="AA111" s="10"/>
      <c r="AB111" s="10"/>
      <c r="AC111" s="10"/>
      <c r="AD111" s="10"/>
      <c r="AE111" s="10"/>
    </row>
    <row r="112" spans="4:31" ht="20.100000000000001" customHeight="1" x14ac:dyDescent="0.25">
      <c r="D112" s="65" t="s">
        <v>1687</v>
      </c>
      <c r="E112" s="65"/>
      <c r="F112" s="65"/>
      <c r="G112" s="65"/>
      <c r="H112" s="65"/>
      <c r="I112" s="65"/>
      <c r="J112" s="65"/>
      <c r="K112" s="65"/>
      <c r="L112" s="65"/>
      <c r="M112" s="65"/>
      <c r="N112" s="65"/>
      <c r="O112" s="65"/>
      <c r="P112" s="65"/>
      <c r="Q112" s="65"/>
      <c r="R112" s="65"/>
      <c r="S112" s="65"/>
      <c r="T112" s="65"/>
      <c r="U112" s="65"/>
      <c r="V112" s="65"/>
      <c r="W112" s="65" t="s">
        <v>1688</v>
      </c>
      <c r="X112" s="65"/>
      <c r="Y112" s="65"/>
      <c r="Z112" s="65"/>
      <c r="AA112" s="10"/>
      <c r="AB112" s="10"/>
      <c r="AC112" s="10"/>
      <c r="AD112" s="10"/>
      <c r="AE112" s="10"/>
    </row>
    <row r="113" spans="4:31" ht="20.100000000000001" customHeight="1" x14ac:dyDescent="0.25">
      <c r="D113" s="65" t="s">
        <v>1689</v>
      </c>
      <c r="E113" s="65"/>
      <c r="F113" s="65"/>
      <c r="G113" s="65"/>
      <c r="H113" s="65"/>
      <c r="I113" s="65"/>
      <c r="J113" s="65"/>
      <c r="K113" s="65"/>
      <c r="L113" s="65"/>
      <c r="M113" s="65"/>
      <c r="N113" s="65"/>
      <c r="O113" s="65"/>
      <c r="P113" s="65"/>
      <c r="Q113" s="65"/>
      <c r="R113" s="65"/>
      <c r="S113" s="65"/>
      <c r="T113" s="65"/>
      <c r="U113" s="65"/>
      <c r="V113" s="65"/>
      <c r="W113" s="65" t="s">
        <v>1690</v>
      </c>
      <c r="X113" s="65"/>
      <c r="Y113" s="65"/>
      <c r="Z113" s="65"/>
      <c r="AA113" s="10"/>
      <c r="AB113" s="10"/>
      <c r="AC113" s="10"/>
      <c r="AD113" s="10"/>
      <c r="AE113" s="10"/>
    </row>
    <row r="114" spans="4:31" ht="20.100000000000001" customHeight="1" x14ac:dyDescent="0.25">
      <c r="D114" s="65" t="s">
        <v>1691</v>
      </c>
      <c r="E114" s="65"/>
      <c r="F114" s="65"/>
      <c r="G114" s="65"/>
      <c r="H114" s="65"/>
      <c r="I114" s="65"/>
      <c r="J114" s="65"/>
      <c r="K114" s="65"/>
      <c r="L114" s="65"/>
      <c r="M114" s="65"/>
      <c r="N114" s="65"/>
      <c r="O114" s="65"/>
      <c r="P114" s="65"/>
      <c r="Q114" s="65"/>
      <c r="R114" s="65"/>
      <c r="S114" s="65"/>
      <c r="T114" s="65"/>
      <c r="U114" s="65"/>
      <c r="V114" s="65"/>
      <c r="W114" s="65" t="s">
        <v>1692</v>
      </c>
      <c r="X114" s="65"/>
      <c r="Y114" s="65"/>
      <c r="Z114" s="65"/>
      <c r="AA114" s="10"/>
      <c r="AB114" s="10"/>
      <c r="AC114" s="10"/>
      <c r="AD114" s="10"/>
      <c r="AE114" s="10"/>
    </row>
    <row r="115" spans="4:31" ht="20.100000000000001" customHeight="1" x14ac:dyDescent="0.25">
      <c r="D115" s="65" t="s">
        <v>1693</v>
      </c>
      <c r="E115" s="65"/>
      <c r="F115" s="65"/>
      <c r="G115" s="65"/>
      <c r="H115" s="65"/>
      <c r="I115" s="65"/>
      <c r="J115" s="65"/>
      <c r="K115" s="65"/>
      <c r="L115" s="65"/>
      <c r="M115" s="65"/>
      <c r="N115" s="65"/>
      <c r="O115" s="65"/>
      <c r="P115" s="65"/>
      <c r="Q115" s="65"/>
      <c r="R115" s="65"/>
      <c r="S115" s="65"/>
      <c r="T115" s="65"/>
      <c r="U115" s="65"/>
      <c r="V115" s="65"/>
      <c r="W115" s="65" t="s">
        <v>1694</v>
      </c>
      <c r="X115" s="65"/>
      <c r="Y115" s="65"/>
      <c r="Z115" s="65"/>
      <c r="AA115" s="10"/>
      <c r="AB115" s="10"/>
      <c r="AC115" s="10"/>
      <c r="AD115" s="10"/>
      <c r="AE115" s="10"/>
    </row>
    <row r="116" spans="4:31" ht="20.100000000000001" customHeight="1" x14ac:dyDescent="0.25">
      <c r="D116" s="65" t="s">
        <v>1695</v>
      </c>
      <c r="E116" s="65"/>
      <c r="F116" s="65"/>
      <c r="G116" s="65"/>
      <c r="H116" s="65"/>
      <c r="I116" s="65"/>
      <c r="J116" s="65"/>
      <c r="K116" s="65"/>
      <c r="L116" s="65"/>
      <c r="M116" s="65"/>
      <c r="N116" s="65"/>
      <c r="O116" s="65"/>
      <c r="P116" s="65"/>
      <c r="Q116" s="65"/>
      <c r="R116" s="65"/>
      <c r="S116" s="65"/>
      <c r="T116" s="65"/>
      <c r="U116" s="65"/>
      <c r="V116" s="65"/>
      <c r="W116" s="65" t="s">
        <v>1694</v>
      </c>
      <c r="X116" s="65"/>
      <c r="Y116" s="65"/>
      <c r="Z116" s="65"/>
      <c r="AA116" s="10"/>
      <c r="AB116" s="10"/>
      <c r="AC116" s="10"/>
      <c r="AD116" s="10"/>
      <c r="AE116" s="10"/>
    </row>
    <row r="117" spans="4:31" ht="20.100000000000001" customHeight="1" x14ac:dyDescent="0.25">
      <c r="D117" s="65" t="s">
        <v>1696</v>
      </c>
      <c r="E117" s="65"/>
      <c r="F117" s="65"/>
      <c r="G117" s="65"/>
      <c r="H117" s="65"/>
      <c r="I117" s="65"/>
      <c r="J117" s="65"/>
      <c r="K117" s="65"/>
      <c r="L117" s="65"/>
      <c r="M117" s="65"/>
      <c r="N117" s="65"/>
      <c r="O117" s="65"/>
      <c r="P117" s="65"/>
      <c r="Q117" s="65"/>
      <c r="R117" s="65"/>
      <c r="S117" s="65"/>
      <c r="T117" s="65"/>
      <c r="U117" s="65"/>
      <c r="V117" s="65"/>
      <c r="W117" s="65" t="s">
        <v>1694</v>
      </c>
      <c r="X117" s="65"/>
      <c r="Y117" s="65"/>
      <c r="Z117" s="65"/>
      <c r="AA117" s="10"/>
      <c r="AB117" s="10"/>
      <c r="AC117" s="10"/>
      <c r="AD117" s="10"/>
      <c r="AE117" s="10"/>
    </row>
    <row r="118" spans="4:31" ht="20.100000000000001" customHeight="1" x14ac:dyDescent="0.25">
      <c r="D118" s="65" t="s">
        <v>1697</v>
      </c>
      <c r="E118" s="65"/>
      <c r="F118" s="65"/>
      <c r="G118" s="65"/>
      <c r="H118" s="65"/>
      <c r="I118" s="65"/>
      <c r="J118" s="65"/>
      <c r="K118" s="65"/>
      <c r="L118" s="65"/>
      <c r="M118" s="65"/>
      <c r="N118" s="65"/>
      <c r="O118" s="65"/>
      <c r="P118" s="65"/>
      <c r="Q118" s="65"/>
      <c r="R118" s="65"/>
      <c r="S118" s="65"/>
      <c r="T118" s="65"/>
      <c r="U118" s="65"/>
      <c r="V118" s="65"/>
      <c r="W118" s="65" t="s">
        <v>1694</v>
      </c>
      <c r="X118" s="65"/>
      <c r="Y118" s="65"/>
      <c r="Z118" s="65"/>
      <c r="AA118" s="10"/>
      <c r="AB118" s="10"/>
      <c r="AC118" s="10"/>
      <c r="AD118" s="10"/>
      <c r="AE118" s="10"/>
    </row>
    <row r="119" spans="4:31" ht="20.100000000000001" customHeight="1" x14ac:dyDescent="0.25">
      <c r="D119" s="65" t="s">
        <v>1698</v>
      </c>
      <c r="E119" s="65"/>
      <c r="F119" s="65"/>
      <c r="G119" s="65"/>
      <c r="H119" s="65"/>
      <c r="I119" s="65"/>
      <c r="J119" s="65"/>
      <c r="K119" s="65"/>
      <c r="L119" s="65"/>
      <c r="M119" s="65"/>
      <c r="N119" s="65"/>
      <c r="O119" s="65"/>
      <c r="P119" s="65"/>
      <c r="Q119" s="65"/>
      <c r="R119" s="65"/>
      <c r="S119" s="65"/>
      <c r="T119" s="65"/>
      <c r="U119" s="65"/>
      <c r="V119" s="65"/>
      <c r="W119" s="65" t="s">
        <v>1699</v>
      </c>
      <c r="X119" s="65"/>
      <c r="Y119" s="65"/>
      <c r="Z119" s="65"/>
      <c r="AA119" s="10"/>
      <c r="AB119" s="10"/>
      <c r="AC119" s="10"/>
      <c r="AD119" s="10"/>
      <c r="AE119" s="10"/>
    </row>
    <row r="120" spans="4:31" ht="20.100000000000001" customHeight="1" x14ac:dyDescent="0.25">
      <c r="D120" s="65" t="s">
        <v>1700</v>
      </c>
      <c r="E120" s="65"/>
      <c r="F120" s="65"/>
      <c r="G120" s="65"/>
      <c r="H120" s="65"/>
      <c r="I120" s="65"/>
      <c r="J120" s="65"/>
      <c r="K120" s="65"/>
      <c r="L120" s="65"/>
      <c r="M120" s="65"/>
      <c r="N120" s="65"/>
      <c r="O120" s="65"/>
      <c r="P120" s="65"/>
      <c r="Q120" s="65"/>
      <c r="R120" s="65"/>
      <c r="S120" s="65"/>
      <c r="T120" s="65"/>
      <c r="U120" s="65"/>
      <c r="V120" s="65"/>
      <c r="W120" s="65" t="s">
        <v>1701</v>
      </c>
      <c r="X120" s="65"/>
      <c r="Y120" s="65"/>
      <c r="Z120" s="65"/>
      <c r="AA120" s="10"/>
      <c r="AB120" s="10"/>
      <c r="AC120" s="10"/>
      <c r="AD120" s="10"/>
      <c r="AE120" s="10"/>
    </row>
    <row r="121" spans="4:31" ht="20.100000000000001" customHeight="1" x14ac:dyDescent="0.25">
      <c r="D121" s="65" t="s">
        <v>1702</v>
      </c>
      <c r="E121" s="65"/>
      <c r="F121" s="65"/>
      <c r="G121" s="65"/>
      <c r="H121" s="65"/>
      <c r="I121" s="65"/>
      <c r="J121" s="65"/>
      <c r="K121" s="65"/>
      <c r="L121" s="65"/>
      <c r="M121" s="65"/>
      <c r="N121" s="65"/>
      <c r="O121" s="65"/>
      <c r="P121" s="65"/>
      <c r="Q121" s="65"/>
      <c r="R121" s="65"/>
      <c r="S121" s="65"/>
      <c r="T121" s="65"/>
      <c r="U121" s="65"/>
      <c r="V121" s="65"/>
      <c r="W121" s="65" t="s">
        <v>1703</v>
      </c>
      <c r="X121" s="65"/>
      <c r="Y121" s="65"/>
      <c r="Z121" s="65"/>
      <c r="AA121" s="10"/>
      <c r="AB121" s="10"/>
      <c r="AC121" s="10"/>
      <c r="AD121" s="10"/>
      <c r="AE121" s="10"/>
    </row>
    <row r="122" spans="4:31" ht="20.100000000000001" customHeight="1" x14ac:dyDescent="0.25">
      <c r="D122" s="65" t="s">
        <v>1704</v>
      </c>
      <c r="E122" s="65"/>
      <c r="F122" s="65"/>
      <c r="G122" s="65"/>
      <c r="H122" s="65"/>
      <c r="I122" s="65"/>
      <c r="J122" s="65"/>
      <c r="K122" s="65"/>
      <c r="L122" s="65"/>
      <c r="M122" s="65"/>
      <c r="N122" s="65"/>
      <c r="O122" s="65"/>
      <c r="P122" s="65"/>
      <c r="Q122" s="65"/>
      <c r="R122" s="65"/>
      <c r="S122" s="65"/>
      <c r="T122" s="65"/>
      <c r="U122" s="65"/>
      <c r="V122" s="65"/>
      <c r="W122" s="65" t="s">
        <v>1699</v>
      </c>
      <c r="X122" s="65"/>
      <c r="Y122" s="65"/>
      <c r="Z122" s="65"/>
      <c r="AA122" s="10"/>
      <c r="AB122" s="10"/>
      <c r="AC122" s="10"/>
      <c r="AD122" s="10"/>
      <c r="AE122" s="10"/>
    </row>
    <row r="123" spans="4:31" ht="20.100000000000001" customHeight="1" x14ac:dyDescent="0.25">
      <c r="D123" s="65" t="s">
        <v>1705</v>
      </c>
      <c r="E123" s="65"/>
      <c r="F123" s="65"/>
      <c r="G123" s="65"/>
      <c r="H123" s="65"/>
      <c r="I123" s="65"/>
      <c r="J123" s="65"/>
      <c r="K123" s="65"/>
      <c r="L123" s="65"/>
      <c r="M123" s="65"/>
      <c r="N123" s="65"/>
      <c r="O123" s="65"/>
      <c r="P123" s="65"/>
      <c r="Q123" s="65"/>
      <c r="R123" s="65"/>
      <c r="S123" s="65"/>
      <c r="T123" s="65"/>
      <c r="U123" s="65"/>
      <c r="V123" s="65"/>
      <c r="W123" s="65" t="s">
        <v>1706</v>
      </c>
      <c r="X123" s="65"/>
      <c r="Y123" s="65"/>
      <c r="Z123" s="65"/>
      <c r="AA123" s="10"/>
      <c r="AB123" s="10"/>
      <c r="AC123" s="10"/>
      <c r="AD123" s="10"/>
      <c r="AE123" s="10"/>
    </row>
    <row r="124" spans="4:31" ht="20.100000000000001" customHeight="1" x14ac:dyDescent="0.25">
      <c r="D124" s="65" t="s">
        <v>1707</v>
      </c>
      <c r="E124" s="65"/>
      <c r="F124" s="65"/>
      <c r="G124" s="65"/>
      <c r="H124" s="65"/>
      <c r="I124" s="65"/>
      <c r="J124" s="65"/>
      <c r="K124" s="65"/>
      <c r="L124" s="65"/>
      <c r="M124" s="65"/>
      <c r="N124" s="65"/>
      <c r="O124" s="65"/>
      <c r="P124" s="65"/>
      <c r="Q124" s="65"/>
      <c r="R124" s="65"/>
      <c r="S124" s="65"/>
      <c r="T124" s="65"/>
      <c r="U124" s="65"/>
      <c r="V124" s="65"/>
      <c r="W124" s="65" t="s">
        <v>1701</v>
      </c>
      <c r="X124" s="65"/>
      <c r="Y124" s="65"/>
      <c r="Z124" s="65"/>
      <c r="AA124" s="10"/>
      <c r="AB124" s="10"/>
      <c r="AC124" s="10"/>
      <c r="AD124" s="10"/>
      <c r="AE124" s="10"/>
    </row>
    <row r="125" spans="4:31" ht="20.100000000000001" customHeight="1" x14ac:dyDescent="0.25">
      <c r="D125" s="65" t="s">
        <v>1708</v>
      </c>
      <c r="E125" s="65"/>
      <c r="F125" s="65"/>
      <c r="G125" s="65"/>
      <c r="H125" s="65"/>
      <c r="I125" s="65"/>
      <c r="J125" s="65"/>
      <c r="K125" s="65"/>
      <c r="L125" s="65"/>
      <c r="M125" s="65"/>
      <c r="N125" s="65"/>
      <c r="O125" s="65"/>
      <c r="P125" s="65"/>
      <c r="Q125" s="65"/>
      <c r="R125" s="65"/>
      <c r="S125" s="65"/>
      <c r="T125" s="65"/>
      <c r="U125" s="65"/>
      <c r="V125" s="65"/>
      <c r="W125" s="65" t="s">
        <v>1688</v>
      </c>
      <c r="X125" s="65"/>
      <c r="Y125" s="65"/>
      <c r="Z125" s="65"/>
      <c r="AA125" s="10"/>
      <c r="AB125" s="10"/>
      <c r="AC125" s="10"/>
      <c r="AD125" s="10"/>
      <c r="AE125" s="10"/>
    </row>
    <row r="126" spans="4:31" ht="20.100000000000001" customHeight="1" x14ac:dyDescent="0.25">
      <c r="D126" s="65" t="s">
        <v>1709</v>
      </c>
      <c r="E126" s="65"/>
      <c r="F126" s="65"/>
      <c r="G126" s="65"/>
      <c r="H126" s="65"/>
      <c r="I126" s="65"/>
      <c r="J126" s="65"/>
      <c r="K126" s="65"/>
      <c r="L126" s="65"/>
      <c r="M126" s="65"/>
      <c r="N126" s="65"/>
      <c r="O126" s="65"/>
      <c r="P126" s="65"/>
      <c r="Q126" s="65"/>
      <c r="R126" s="65"/>
      <c r="S126" s="65"/>
      <c r="T126" s="65"/>
      <c r="U126" s="65"/>
      <c r="V126" s="65"/>
      <c r="W126" s="65" t="s">
        <v>1710</v>
      </c>
      <c r="X126" s="65"/>
      <c r="Y126" s="65"/>
      <c r="Z126" s="65"/>
      <c r="AA126" s="10"/>
      <c r="AB126" s="10"/>
      <c r="AC126" s="10"/>
      <c r="AD126" s="10"/>
      <c r="AE126" s="10"/>
    </row>
    <row r="127" spans="4:31" ht="20.100000000000001" customHeight="1" x14ac:dyDescent="0.25">
      <c r="D127" s="65" t="s">
        <v>1711</v>
      </c>
      <c r="E127" s="65"/>
      <c r="F127" s="65"/>
      <c r="G127" s="65"/>
      <c r="H127" s="65"/>
      <c r="I127" s="65"/>
      <c r="J127" s="65"/>
      <c r="K127" s="65"/>
      <c r="L127" s="65"/>
      <c r="M127" s="65"/>
      <c r="N127" s="65"/>
      <c r="O127" s="65"/>
      <c r="P127" s="65"/>
      <c r="Q127" s="65"/>
      <c r="R127" s="65"/>
      <c r="S127" s="65"/>
      <c r="T127" s="65"/>
      <c r="U127" s="65"/>
      <c r="V127" s="65"/>
      <c r="W127" s="65" t="s">
        <v>1712</v>
      </c>
      <c r="X127" s="65"/>
      <c r="Y127" s="65"/>
      <c r="Z127" s="65"/>
      <c r="AA127" s="10"/>
      <c r="AB127" s="10"/>
      <c r="AC127" s="10"/>
      <c r="AD127" s="10"/>
      <c r="AE127" s="10"/>
    </row>
    <row r="128" spans="4:31" ht="20.100000000000001" customHeight="1" x14ac:dyDescent="0.25">
      <c r="D128" s="65" t="s">
        <v>1713</v>
      </c>
      <c r="E128" s="65"/>
      <c r="F128" s="65"/>
      <c r="G128" s="65"/>
      <c r="H128" s="65"/>
      <c r="I128" s="65"/>
      <c r="J128" s="65"/>
      <c r="K128" s="65"/>
      <c r="L128" s="65"/>
      <c r="M128" s="65"/>
      <c r="N128" s="65"/>
      <c r="O128" s="65"/>
      <c r="P128" s="65"/>
      <c r="Q128" s="65"/>
      <c r="R128" s="65"/>
      <c r="S128" s="65"/>
      <c r="T128" s="65"/>
      <c r="U128" s="65"/>
      <c r="V128" s="65"/>
      <c r="W128" s="65" t="s">
        <v>1686</v>
      </c>
      <c r="X128" s="65"/>
      <c r="Y128" s="65"/>
      <c r="Z128" s="65"/>
      <c r="AA128" s="10"/>
      <c r="AB128" s="10"/>
      <c r="AC128" s="10"/>
      <c r="AD128" s="10"/>
      <c r="AE128" s="10"/>
    </row>
    <row r="129" spans="4:31" ht="20.100000000000001" customHeight="1" x14ac:dyDescent="0.25">
      <c r="D129" s="65" t="s">
        <v>218</v>
      </c>
      <c r="E129" s="65" t="s">
        <v>174</v>
      </c>
      <c r="F129" s="65" t="s">
        <v>175</v>
      </c>
      <c r="G129" s="65" t="s">
        <v>391</v>
      </c>
      <c r="H129" s="65" t="s">
        <v>176</v>
      </c>
      <c r="I129" s="65" t="s">
        <v>177</v>
      </c>
      <c r="J129" s="65" t="s">
        <v>409</v>
      </c>
      <c r="K129" s="65" t="s">
        <v>178</v>
      </c>
      <c r="L129" s="65" t="s">
        <v>179</v>
      </c>
      <c r="M129" s="65" t="s">
        <v>410</v>
      </c>
      <c r="N129" s="65" t="s">
        <v>180</v>
      </c>
      <c r="O129" s="65" t="s">
        <v>181</v>
      </c>
      <c r="P129" s="65" t="s">
        <v>411</v>
      </c>
      <c r="Q129" s="65" t="s">
        <v>182</v>
      </c>
      <c r="R129" s="65" t="s">
        <v>183</v>
      </c>
      <c r="S129" s="65" t="s">
        <v>1682</v>
      </c>
      <c r="T129" s="65" t="s">
        <v>184</v>
      </c>
      <c r="U129" s="65" t="s">
        <v>185</v>
      </c>
      <c r="V129" s="65" t="s">
        <v>1683</v>
      </c>
      <c r="W129" s="65" t="s">
        <v>1684</v>
      </c>
      <c r="X129" s="65"/>
      <c r="Y129" s="65"/>
      <c r="Z129" s="65"/>
      <c r="AA129" s="10"/>
      <c r="AB129" s="10"/>
      <c r="AC129" s="10"/>
      <c r="AD129" s="10"/>
      <c r="AE129" s="10"/>
    </row>
    <row r="130" spans="4:31" ht="20.100000000000001" customHeight="1" x14ac:dyDescent="0.25">
      <c r="D130" s="65" t="s">
        <v>1714</v>
      </c>
      <c r="E130" s="65"/>
      <c r="F130" s="65"/>
      <c r="G130" s="65"/>
      <c r="H130" s="65"/>
      <c r="I130" s="65"/>
      <c r="J130" s="65"/>
      <c r="K130" s="65"/>
      <c r="L130" s="65"/>
      <c r="M130" s="65"/>
      <c r="N130" s="65"/>
      <c r="O130" s="65"/>
      <c r="P130" s="65"/>
      <c r="Q130" s="65"/>
      <c r="R130" s="65"/>
      <c r="S130" s="65"/>
      <c r="T130" s="65"/>
      <c r="U130" s="65"/>
      <c r="V130" s="65"/>
      <c r="W130" s="65" t="s">
        <v>1715</v>
      </c>
      <c r="X130" s="65"/>
      <c r="Y130" s="65"/>
      <c r="Z130" s="65"/>
      <c r="AA130" s="10"/>
      <c r="AB130" s="10"/>
      <c r="AC130" s="10"/>
      <c r="AD130" s="10"/>
      <c r="AE130" s="10"/>
    </row>
    <row r="131" spans="4:31" ht="20.100000000000001" customHeight="1" x14ac:dyDescent="0.25">
      <c r="D131" s="65" t="s">
        <v>1716</v>
      </c>
      <c r="E131" s="65"/>
      <c r="F131" s="65"/>
      <c r="G131" s="65"/>
      <c r="H131" s="65"/>
      <c r="I131" s="65"/>
      <c r="J131" s="65"/>
      <c r="K131" s="65"/>
      <c r="L131" s="65"/>
      <c r="M131" s="65"/>
      <c r="N131" s="65"/>
      <c r="O131" s="65"/>
      <c r="P131" s="65"/>
      <c r="Q131" s="65"/>
      <c r="R131" s="65"/>
      <c r="S131" s="65"/>
      <c r="T131" s="65"/>
      <c r="U131" s="65"/>
      <c r="V131" s="65"/>
      <c r="W131" s="65" t="s">
        <v>1715</v>
      </c>
      <c r="X131" s="65"/>
      <c r="Y131" s="65"/>
      <c r="Z131" s="65"/>
      <c r="AA131" s="10"/>
      <c r="AB131" s="10"/>
      <c r="AC131" s="10"/>
      <c r="AD131" s="10"/>
      <c r="AE131" s="10"/>
    </row>
    <row r="132" spans="4:31" ht="20.100000000000001" customHeight="1" x14ac:dyDescent="0.25">
      <c r="D132" s="65" t="s">
        <v>1717</v>
      </c>
      <c r="E132" s="65"/>
      <c r="F132" s="65"/>
      <c r="G132" s="65"/>
      <c r="H132" s="65"/>
      <c r="I132" s="65"/>
      <c r="J132" s="65"/>
      <c r="K132" s="65"/>
      <c r="L132" s="65"/>
      <c r="M132" s="65"/>
      <c r="N132" s="65"/>
      <c r="O132" s="65"/>
      <c r="P132" s="65"/>
      <c r="Q132" s="65"/>
      <c r="R132" s="65"/>
      <c r="S132" s="65"/>
      <c r="T132" s="65"/>
      <c r="U132" s="65"/>
      <c r="V132" s="65"/>
      <c r="W132" s="65" t="s">
        <v>1715</v>
      </c>
      <c r="X132" s="65"/>
      <c r="Y132" s="65"/>
      <c r="Z132" s="65"/>
      <c r="AA132" s="10"/>
      <c r="AB132" s="10"/>
      <c r="AC132" s="10"/>
      <c r="AD132" s="10"/>
      <c r="AE132" s="10"/>
    </row>
    <row r="133" spans="4:31" ht="20.100000000000001" customHeight="1" x14ac:dyDescent="0.25">
      <c r="D133" s="65" t="s">
        <v>1718</v>
      </c>
      <c r="E133" s="65"/>
      <c r="F133" s="65"/>
      <c r="G133" s="65"/>
      <c r="H133" s="65"/>
      <c r="I133" s="65"/>
      <c r="J133" s="65"/>
      <c r="K133" s="65"/>
      <c r="L133" s="65"/>
      <c r="M133" s="65"/>
      <c r="N133" s="65"/>
      <c r="O133" s="65"/>
      <c r="P133" s="65"/>
      <c r="Q133" s="65"/>
      <c r="R133" s="65"/>
      <c r="S133" s="65"/>
      <c r="T133" s="65"/>
      <c r="U133" s="65"/>
      <c r="V133" s="65"/>
      <c r="W133" s="65" t="s">
        <v>1715</v>
      </c>
      <c r="X133" s="65"/>
      <c r="Y133" s="65"/>
      <c r="Z133" s="65"/>
      <c r="AA133" s="10"/>
      <c r="AB133" s="10"/>
      <c r="AC133" s="10"/>
      <c r="AD133" s="10"/>
      <c r="AE133" s="10"/>
    </row>
    <row r="134" spans="4:31" ht="20.100000000000001" customHeight="1" x14ac:dyDescent="0.25">
      <c r="D134" s="65" t="s">
        <v>1719</v>
      </c>
      <c r="E134" s="65"/>
      <c r="F134" s="65"/>
      <c r="G134" s="65"/>
      <c r="H134" s="65"/>
      <c r="I134" s="65"/>
      <c r="J134" s="65"/>
      <c r="K134" s="65"/>
      <c r="L134" s="65"/>
      <c r="M134" s="65"/>
      <c r="N134" s="65"/>
      <c r="O134" s="65"/>
      <c r="P134" s="65"/>
      <c r="Q134" s="65"/>
      <c r="R134" s="65"/>
      <c r="S134" s="65"/>
      <c r="T134" s="65"/>
      <c r="U134" s="65"/>
      <c r="V134" s="65"/>
      <c r="W134" s="65" t="s">
        <v>1715</v>
      </c>
      <c r="X134" s="65"/>
      <c r="Y134" s="65"/>
      <c r="Z134" s="65"/>
      <c r="AA134" s="10"/>
      <c r="AB134" s="10"/>
      <c r="AC134" s="10"/>
      <c r="AD134" s="10"/>
      <c r="AE134" s="10"/>
    </row>
    <row r="135" spans="4:31" ht="20.100000000000001" customHeight="1" x14ac:dyDescent="0.25">
      <c r="D135" s="65" t="s">
        <v>1720</v>
      </c>
      <c r="E135" s="65"/>
      <c r="F135" s="65"/>
      <c r="G135" s="65"/>
      <c r="H135" s="65"/>
      <c r="I135" s="65"/>
      <c r="J135" s="65"/>
      <c r="K135" s="65"/>
      <c r="L135" s="65"/>
      <c r="M135" s="65"/>
      <c r="N135" s="65"/>
      <c r="O135" s="65"/>
      <c r="P135" s="65"/>
      <c r="Q135" s="65"/>
      <c r="R135" s="65"/>
      <c r="S135" s="65"/>
      <c r="T135" s="65"/>
      <c r="U135" s="65"/>
      <c r="V135" s="65"/>
      <c r="W135" s="65" t="s">
        <v>1715</v>
      </c>
      <c r="X135" s="65"/>
      <c r="Y135" s="65"/>
      <c r="Z135" s="65"/>
      <c r="AA135" s="10"/>
      <c r="AB135" s="10"/>
      <c r="AC135" s="10"/>
      <c r="AD135" s="10"/>
      <c r="AE135" s="10"/>
    </row>
    <row r="136" spans="4:31" ht="20.100000000000001" customHeight="1" x14ac:dyDescent="0.25">
      <c r="D136" s="65" t="s">
        <v>1721</v>
      </c>
      <c r="E136" s="65"/>
      <c r="F136" s="65"/>
      <c r="G136" s="65"/>
      <c r="H136" s="65"/>
      <c r="I136" s="65"/>
      <c r="J136" s="65"/>
      <c r="K136" s="65"/>
      <c r="L136" s="65"/>
      <c r="M136" s="65"/>
      <c r="N136" s="65"/>
      <c r="O136" s="65"/>
      <c r="P136" s="65"/>
      <c r="Q136" s="65"/>
      <c r="R136" s="65"/>
      <c r="S136" s="65"/>
      <c r="T136" s="65"/>
      <c r="U136" s="65"/>
      <c r="V136" s="65"/>
      <c r="W136" s="65" t="s">
        <v>1715</v>
      </c>
      <c r="X136" s="65"/>
      <c r="Y136" s="65"/>
      <c r="Z136" s="65"/>
      <c r="AA136" s="10"/>
      <c r="AB136" s="10"/>
      <c r="AC136" s="10"/>
      <c r="AD136" s="10"/>
      <c r="AE136" s="10"/>
    </row>
    <row r="137" spans="4:31" ht="20.100000000000001" customHeight="1" x14ac:dyDescent="0.25">
      <c r="D137" s="65" t="s">
        <v>1722</v>
      </c>
      <c r="E137" s="65"/>
      <c r="F137" s="65"/>
      <c r="G137" s="65"/>
      <c r="H137" s="65"/>
      <c r="I137" s="65"/>
      <c r="J137" s="65"/>
      <c r="K137" s="65"/>
      <c r="L137" s="65"/>
      <c r="M137" s="65"/>
      <c r="N137" s="65"/>
      <c r="O137" s="65"/>
      <c r="P137" s="65"/>
      <c r="Q137" s="65"/>
      <c r="R137" s="65"/>
      <c r="S137" s="65"/>
      <c r="T137" s="65"/>
      <c r="U137" s="65"/>
      <c r="V137" s="65"/>
      <c r="W137" s="65" t="s">
        <v>1715</v>
      </c>
      <c r="X137" s="65"/>
      <c r="Y137" s="65"/>
      <c r="Z137" s="65"/>
      <c r="AA137" s="10"/>
      <c r="AB137" s="10"/>
      <c r="AC137" s="10"/>
      <c r="AD137" s="10"/>
      <c r="AE137" s="10"/>
    </row>
    <row r="138" spans="4:31" ht="20.100000000000001" customHeight="1" x14ac:dyDescent="0.25">
      <c r="D138" s="65" t="s">
        <v>1723</v>
      </c>
      <c r="E138" s="65"/>
      <c r="F138" s="65"/>
      <c r="G138" s="65"/>
      <c r="H138" s="65"/>
      <c r="I138" s="65"/>
      <c r="J138" s="65"/>
      <c r="K138" s="65"/>
      <c r="L138" s="65"/>
      <c r="M138" s="65"/>
      <c r="N138" s="65"/>
      <c r="O138" s="65"/>
      <c r="P138" s="65"/>
      <c r="Q138" s="65"/>
      <c r="R138" s="65"/>
      <c r="S138" s="65"/>
      <c r="T138" s="65"/>
      <c r="U138" s="65"/>
      <c r="V138" s="65"/>
      <c r="W138" s="65" t="s">
        <v>1715</v>
      </c>
      <c r="X138" s="65"/>
      <c r="Y138" s="65"/>
      <c r="Z138" s="65"/>
      <c r="AA138" s="10"/>
      <c r="AB138" s="10"/>
      <c r="AC138" s="10"/>
      <c r="AD138" s="10"/>
      <c r="AE138" s="10"/>
    </row>
    <row r="139" spans="4:31" ht="20.100000000000001" customHeight="1" x14ac:dyDescent="0.25">
      <c r="D139" s="65" t="s">
        <v>1724</v>
      </c>
      <c r="E139" s="65"/>
      <c r="F139" s="65"/>
      <c r="G139" s="65"/>
      <c r="H139" s="65"/>
      <c r="I139" s="65"/>
      <c r="J139" s="65"/>
      <c r="K139" s="65"/>
      <c r="L139" s="65"/>
      <c r="M139" s="65"/>
      <c r="N139" s="65"/>
      <c r="O139" s="65"/>
      <c r="P139" s="65"/>
      <c r="Q139" s="65"/>
      <c r="R139" s="65"/>
      <c r="S139" s="65"/>
      <c r="T139" s="65"/>
      <c r="U139" s="65"/>
      <c r="V139" s="65"/>
      <c r="W139" s="65" t="s">
        <v>1715</v>
      </c>
      <c r="X139" s="65"/>
      <c r="Y139" s="65"/>
      <c r="Z139" s="65"/>
      <c r="AA139" s="10"/>
      <c r="AB139" s="10"/>
      <c r="AC139" s="10"/>
      <c r="AD139" s="10"/>
      <c r="AE139" s="10"/>
    </row>
    <row r="140" spans="4:31" ht="20.100000000000001" customHeight="1" x14ac:dyDescent="0.25">
      <c r="D140" s="65" t="s">
        <v>1725</v>
      </c>
      <c r="E140" s="65"/>
      <c r="F140" s="65"/>
      <c r="G140" s="65"/>
      <c r="H140" s="65"/>
      <c r="I140" s="65"/>
      <c r="J140" s="65"/>
      <c r="K140" s="65"/>
      <c r="L140" s="65"/>
      <c r="M140" s="65"/>
      <c r="N140" s="65"/>
      <c r="O140" s="65"/>
      <c r="P140" s="65"/>
      <c r="Q140" s="65"/>
      <c r="R140" s="65"/>
      <c r="S140" s="65"/>
      <c r="T140" s="65"/>
      <c r="U140" s="65"/>
      <c r="V140" s="65"/>
      <c r="W140" s="65" t="s">
        <v>1715</v>
      </c>
      <c r="X140" s="65"/>
      <c r="Y140" s="65"/>
      <c r="Z140" s="65"/>
      <c r="AA140" s="10"/>
      <c r="AB140" s="10"/>
      <c r="AC140" s="10"/>
      <c r="AD140" s="10"/>
      <c r="AE140" s="10"/>
    </row>
    <row r="141" spans="4:31" ht="20.100000000000001" customHeight="1" x14ac:dyDescent="0.25">
      <c r="D141" s="65" t="s">
        <v>1726</v>
      </c>
      <c r="E141" s="65"/>
      <c r="F141" s="65"/>
      <c r="G141" s="65"/>
      <c r="H141" s="65"/>
      <c r="I141" s="65"/>
      <c r="J141" s="65"/>
      <c r="K141" s="65"/>
      <c r="L141" s="65"/>
      <c r="M141" s="65"/>
      <c r="N141" s="65"/>
      <c r="O141" s="65"/>
      <c r="P141" s="65"/>
      <c r="Q141" s="65"/>
      <c r="R141" s="65"/>
      <c r="S141" s="65"/>
      <c r="T141" s="65"/>
      <c r="U141" s="65"/>
      <c r="V141" s="65"/>
      <c r="W141" s="65" t="s">
        <v>1715</v>
      </c>
      <c r="X141" s="65"/>
      <c r="Y141" s="65"/>
      <c r="Z141" s="65"/>
      <c r="AA141" s="10"/>
      <c r="AB141" s="10"/>
      <c r="AC141" s="10"/>
      <c r="AD141" s="10"/>
      <c r="AE141" s="10"/>
    </row>
    <row r="142" spans="4:31" ht="20.100000000000001" customHeight="1" x14ac:dyDescent="0.25">
      <c r="D142" s="65" t="s">
        <v>1727</v>
      </c>
      <c r="E142" s="65"/>
      <c r="F142" s="65"/>
      <c r="G142" s="65"/>
      <c r="H142" s="65"/>
      <c r="I142" s="65"/>
      <c r="J142" s="65"/>
      <c r="K142" s="65"/>
      <c r="L142" s="65"/>
      <c r="M142" s="65"/>
      <c r="N142" s="65"/>
      <c r="O142" s="65"/>
      <c r="P142" s="65"/>
      <c r="Q142" s="65"/>
      <c r="R142" s="65"/>
      <c r="S142" s="65"/>
      <c r="T142" s="65"/>
      <c r="U142" s="65"/>
      <c r="V142" s="65"/>
      <c r="W142" s="65" t="s">
        <v>1715</v>
      </c>
      <c r="X142" s="65"/>
      <c r="Y142" s="65"/>
      <c r="Z142" s="65"/>
      <c r="AA142" s="10"/>
      <c r="AB142" s="10"/>
      <c r="AC142" s="10"/>
      <c r="AD142" s="10"/>
      <c r="AE142" s="10"/>
    </row>
    <row r="143" spans="4:31" ht="20.100000000000001" customHeight="1" x14ac:dyDescent="0.25">
      <c r="D143" s="65" t="s">
        <v>1728</v>
      </c>
      <c r="E143" s="65"/>
      <c r="F143" s="65"/>
      <c r="G143" s="65"/>
      <c r="H143" s="65"/>
      <c r="I143" s="65"/>
      <c r="J143" s="65"/>
      <c r="K143" s="65"/>
      <c r="L143" s="65"/>
      <c r="M143" s="65"/>
      <c r="N143" s="65"/>
      <c r="O143" s="65"/>
      <c r="P143" s="65"/>
      <c r="Q143" s="65"/>
      <c r="R143" s="65"/>
      <c r="S143" s="65"/>
      <c r="T143" s="65"/>
      <c r="U143" s="65"/>
      <c r="V143" s="65"/>
      <c r="W143" s="65" t="s">
        <v>1715</v>
      </c>
      <c r="X143" s="65"/>
      <c r="Y143" s="65"/>
      <c r="Z143" s="65"/>
      <c r="AA143" s="10"/>
      <c r="AB143" s="10"/>
      <c r="AC143" s="10"/>
      <c r="AD143" s="10"/>
      <c r="AE143" s="10"/>
    </row>
    <row r="144" spans="4:31" ht="20.100000000000001" customHeight="1" x14ac:dyDescent="0.25">
      <c r="D144" s="65" t="s">
        <v>1729</v>
      </c>
      <c r="E144" s="65"/>
      <c r="F144" s="65"/>
      <c r="G144" s="65"/>
      <c r="H144" s="65"/>
      <c r="I144" s="65"/>
      <c r="J144" s="65"/>
      <c r="K144" s="65"/>
      <c r="L144" s="65"/>
      <c r="M144" s="65"/>
      <c r="N144" s="65"/>
      <c r="O144" s="65"/>
      <c r="P144" s="65"/>
      <c r="Q144" s="65"/>
      <c r="R144" s="65"/>
      <c r="S144" s="65"/>
      <c r="T144" s="65"/>
      <c r="U144" s="65"/>
      <c r="V144" s="65"/>
      <c r="W144" s="65" t="s">
        <v>1715</v>
      </c>
      <c r="X144" s="65"/>
      <c r="Y144" s="65"/>
      <c r="Z144" s="65"/>
      <c r="AA144" s="10"/>
      <c r="AB144" s="10"/>
      <c r="AC144" s="10"/>
      <c r="AD144" s="10"/>
      <c r="AE144" s="10"/>
    </row>
    <row r="145" spans="4:31" ht="20.100000000000001" customHeight="1" x14ac:dyDescent="0.25">
      <c r="D145" s="65" t="s">
        <v>1730</v>
      </c>
      <c r="E145" s="65"/>
      <c r="F145" s="65"/>
      <c r="G145" s="65"/>
      <c r="H145" s="65"/>
      <c r="I145" s="65"/>
      <c r="J145" s="65"/>
      <c r="K145" s="65"/>
      <c r="L145" s="65"/>
      <c r="M145" s="65"/>
      <c r="N145" s="65"/>
      <c r="O145" s="65"/>
      <c r="P145" s="65"/>
      <c r="Q145" s="65"/>
      <c r="R145" s="65"/>
      <c r="S145" s="65"/>
      <c r="T145" s="65"/>
      <c r="U145" s="65"/>
      <c r="V145" s="65"/>
      <c r="W145" s="65" t="s">
        <v>1715</v>
      </c>
      <c r="X145" s="65"/>
      <c r="Y145" s="65"/>
      <c r="Z145" s="65"/>
      <c r="AA145" s="10"/>
      <c r="AB145" s="10"/>
      <c r="AC145" s="10"/>
      <c r="AD145" s="10"/>
      <c r="AE145" s="10"/>
    </row>
    <row r="146" spans="4:31" ht="20.100000000000001" customHeight="1" x14ac:dyDescent="0.25">
      <c r="D146" s="65" t="s">
        <v>1731</v>
      </c>
      <c r="E146" s="65"/>
      <c r="F146" s="65"/>
      <c r="G146" s="65"/>
      <c r="H146" s="65"/>
      <c r="I146" s="65"/>
      <c r="J146" s="65"/>
      <c r="K146" s="65"/>
      <c r="L146" s="65"/>
      <c r="M146" s="65"/>
      <c r="N146" s="65"/>
      <c r="O146" s="65"/>
      <c r="P146" s="65"/>
      <c r="Q146" s="65"/>
      <c r="R146" s="65"/>
      <c r="S146" s="65"/>
      <c r="T146" s="65"/>
      <c r="U146" s="65"/>
      <c r="V146" s="65"/>
      <c r="W146" s="65" t="s">
        <v>1715</v>
      </c>
      <c r="X146" s="65"/>
      <c r="Y146" s="65"/>
      <c r="Z146" s="65"/>
      <c r="AA146" s="10"/>
      <c r="AB146" s="10"/>
      <c r="AC146" s="10"/>
      <c r="AD146" s="10"/>
      <c r="AE146" s="10"/>
    </row>
    <row r="147" spans="4:31" ht="20.100000000000001" customHeight="1" x14ac:dyDescent="0.25">
      <c r="D147" s="65" t="s">
        <v>1732</v>
      </c>
      <c r="E147" s="65"/>
      <c r="F147" s="65"/>
      <c r="G147" s="65"/>
      <c r="H147" s="65"/>
      <c r="I147" s="65"/>
      <c r="J147" s="65"/>
      <c r="K147" s="65"/>
      <c r="L147" s="65"/>
      <c r="M147" s="65"/>
      <c r="N147" s="65"/>
      <c r="O147" s="65"/>
      <c r="P147" s="65"/>
      <c r="Q147" s="65"/>
      <c r="R147" s="65"/>
      <c r="S147" s="65"/>
      <c r="T147" s="65"/>
      <c r="U147" s="65"/>
      <c r="V147" s="65"/>
      <c r="W147" s="65" t="s">
        <v>1715</v>
      </c>
      <c r="X147" s="65"/>
      <c r="Y147" s="65"/>
      <c r="Z147" s="65"/>
      <c r="AA147" s="10"/>
      <c r="AB147" s="10"/>
      <c r="AC147" s="10"/>
      <c r="AD147" s="10"/>
      <c r="AE147" s="10"/>
    </row>
    <row r="148" spans="4:31" ht="20.100000000000001" customHeight="1" x14ac:dyDescent="0.25">
      <c r="D148" s="65" t="s">
        <v>1733</v>
      </c>
      <c r="E148" s="65"/>
      <c r="F148" s="65"/>
      <c r="G148" s="65"/>
      <c r="H148" s="65"/>
      <c r="I148" s="65"/>
      <c r="J148" s="65"/>
      <c r="K148" s="65"/>
      <c r="L148" s="65"/>
      <c r="M148" s="65"/>
      <c r="N148" s="65"/>
      <c r="O148" s="65"/>
      <c r="P148" s="65"/>
      <c r="Q148" s="65"/>
      <c r="R148" s="65"/>
      <c r="S148" s="65"/>
      <c r="T148" s="65"/>
      <c r="U148" s="65"/>
      <c r="V148" s="65"/>
      <c r="W148" s="65" t="s">
        <v>1715</v>
      </c>
      <c r="X148" s="65"/>
      <c r="Y148" s="65"/>
      <c r="Z148" s="65"/>
      <c r="AA148" s="10"/>
      <c r="AB148" s="10"/>
      <c r="AC148" s="10"/>
      <c r="AD148" s="10"/>
      <c r="AE148" s="10"/>
    </row>
    <row r="149" spans="4:31" ht="20.100000000000001" customHeight="1" x14ac:dyDescent="0.25">
      <c r="D149" s="65" t="s">
        <v>218</v>
      </c>
      <c r="E149" s="65" t="s">
        <v>174</v>
      </c>
      <c r="F149" s="65" t="s">
        <v>175</v>
      </c>
      <c r="G149" s="65" t="s">
        <v>391</v>
      </c>
      <c r="H149" s="65" t="s">
        <v>176</v>
      </c>
      <c r="I149" s="65" t="s">
        <v>177</v>
      </c>
      <c r="J149" s="65" t="s">
        <v>409</v>
      </c>
      <c r="K149" s="65" t="s">
        <v>178</v>
      </c>
      <c r="L149" s="65" t="s">
        <v>179</v>
      </c>
      <c r="M149" s="65" t="s">
        <v>410</v>
      </c>
      <c r="N149" s="65" t="s">
        <v>180</v>
      </c>
      <c r="O149" s="65" t="s">
        <v>181</v>
      </c>
      <c r="P149" s="65" t="s">
        <v>411</v>
      </c>
      <c r="Q149" s="65" t="s">
        <v>182</v>
      </c>
      <c r="R149" s="65" t="s">
        <v>183</v>
      </c>
      <c r="S149" s="65" t="s">
        <v>1682</v>
      </c>
      <c r="T149" s="65" t="s">
        <v>184</v>
      </c>
      <c r="U149" s="65" t="s">
        <v>185</v>
      </c>
      <c r="V149" s="65" t="s">
        <v>1683</v>
      </c>
      <c r="W149" s="65" t="s">
        <v>1684</v>
      </c>
      <c r="X149" s="65"/>
      <c r="Y149" s="65"/>
      <c r="Z149" s="65"/>
      <c r="AA149" s="10"/>
      <c r="AB149" s="10"/>
      <c r="AC149" s="10"/>
      <c r="AD149" s="10"/>
      <c r="AE149" s="10"/>
    </row>
    <row r="150" spans="4:31" ht="20.100000000000001" customHeight="1" x14ac:dyDescent="0.25">
      <c r="D150" s="65" t="s">
        <v>1734</v>
      </c>
      <c r="E150" s="65"/>
      <c r="F150" s="65"/>
      <c r="G150" s="65"/>
      <c r="H150" s="65"/>
      <c r="I150" s="65"/>
      <c r="J150" s="65"/>
      <c r="K150" s="65"/>
      <c r="L150" s="65"/>
      <c r="M150" s="65"/>
      <c r="N150" s="65"/>
      <c r="O150" s="65"/>
      <c r="P150" s="65"/>
      <c r="Q150" s="65"/>
      <c r="R150" s="65"/>
      <c r="S150" s="65"/>
      <c r="T150" s="65"/>
      <c r="U150" s="65"/>
      <c r="V150" s="65"/>
      <c r="W150" s="65" t="s">
        <v>1715</v>
      </c>
      <c r="X150" s="65"/>
      <c r="Y150" s="65"/>
      <c r="Z150" s="65"/>
      <c r="AA150" s="10"/>
      <c r="AB150" s="10"/>
      <c r="AC150" s="10"/>
      <c r="AD150" s="10"/>
      <c r="AE150" s="10"/>
    </row>
    <row r="151" spans="4:31" ht="20.100000000000001" customHeight="1" x14ac:dyDescent="0.25">
      <c r="D151" s="65" t="s">
        <v>1735</v>
      </c>
      <c r="E151" s="65"/>
      <c r="F151" s="65"/>
      <c r="G151" s="65"/>
      <c r="H151" s="65"/>
      <c r="I151" s="65"/>
      <c r="J151" s="65"/>
      <c r="K151" s="65"/>
      <c r="L151" s="65"/>
      <c r="M151" s="65"/>
      <c r="N151" s="65"/>
      <c r="O151" s="65"/>
      <c r="P151" s="65"/>
      <c r="Q151" s="65"/>
      <c r="R151" s="65"/>
      <c r="S151" s="65"/>
      <c r="T151" s="65"/>
      <c r="U151" s="65"/>
      <c r="V151" s="65"/>
      <c r="W151" s="65" t="s">
        <v>1715</v>
      </c>
      <c r="X151" s="65"/>
      <c r="Y151" s="65"/>
      <c r="Z151" s="65"/>
      <c r="AA151" s="10"/>
      <c r="AB151" s="10"/>
      <c r="AC151" s="10"/>
      <c r="AD151" s="10"/>
      <c r="AE151" s="10"/>
    </row>
    <row r="152" spans="4:31" ht="20.100000000000001" customHeight="1" x14ac:dyDescent="0.25">
      <c r="D152" s="65" t="s">
        <v>1736</v>
      </c>
      <c r="E152" s="65"/>
      <c r="F152" s="65"/>
      <c r="G152" s="65"/>
      <c r="H152" s="65"/>
      <c r="I152" s="65"/>
      <c r="J152" s="65"/>
      <c r="K152" s="65"/>
      <c r="L152" s="65"/>
      <c r="M152" s="65"/>
      <c r="N152" s="65"/>
      <c r="O152" s="65"/>
      <c r="P152" s="65"/>
      <c r="Q152" s="65"/>
      <c r="R152" s="65"/>
      <c r="S152" s="65"/>
      <c r="T152" s="65"/>
      <c r="U152" s="65"/>
      <c r="V152" s="65"/>
      <c r="W152" s="65" t="s">
        <v>1715</v>
      </c>
      <c r="X152" s="65"/>
      <c r="Y152" s="65"/>
      <c r="Z152" s="65"/>
      <c r="AA152" s="10"/>
      <c r="AB152" s="10"/>
      <c r="AC152" s="10"/>
      <c r="AD152" s="10"/>
      <c r="AE152" s="10"/>
    </row>
    <row r="153" spans="4:31" ht="20.100000000000001" customHeight="1" x14ac:dyDescent="0.25">
      <c r="D153" s="65" t="s">
        <v>1737</v>
      </c>
      <c r="E153" s="65"/>
      <c r="F153" s="65"/>
      <c r="G153" s="65"/>
      <c r="H153" s="65"/>
      <c r="I153" s="65"/>
      <c r="J153" s="65"/>
      <c r="K153" s="65"/>
      <c r="L153" s="65"/>
      <c r="M153" s="65"/>
      <c r="N153" s="65"/>
      <c r="O153" s="65"/>
      <c r="P153" s="65"/>
      <c r="Q153" s="65"/>
      <c r="R153" s="65"/>
      <c r="S153" s="65"/>
      <c r="T153" s="65"/>
      <c r="U153" s="65"/>
      <c r="V153" s="65"/>
      <c r="W153" s="65" t="s">
        <v>1715</v>
      </c>
      <c r="X153" s="65"/>
      <c r="Y153" s="65"/>
      <c r="Z153" s="65"/>
      <c r="AA153" s="10"/>
      <c r="AB153" s="10"/>
      <c r="AC153" s="10"/>
      <c r="AD153" s="10"/>
      <c r="AE153" s="10"/>
    </row>
    <row r="154" spans="4:31" ht="20.100000000000001" customHeight="1" x14ac:dyDescent="0.25"/>
    <row r="155" spans="4:31" ht="20.100000000000001" customHeight="1" x14ac:dyDescent="0.25"/>
    <row r="156" spans="4:31" ht="20.100000000000001" customHeight="1" x14ac:dyDescent="0.25"/>
    <row r="157" spans="4:31" ht="20.100000000000001" customHeight="1" x14ac:dyDescent="0.25"/>
    <row r="158" spans="4:31" ht="20.100000000000001" customHeight="1" x14ac:dyDescent="0.25"/>
    <row r="159" spans="4:31" ht="20.100000000000001" customHeight="1" x14ac:dyDescent="0.25"/>
    <row r="160" spans="4:31"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tableParts count="11">
    <tablePart r:id="rId1"/>
    <tablePart r:id="rId2"/>
    <tablePart r:id="rId3"/>
    <tablePart r:id="rId4"/>
    <tablePart r:id="rId5"/>
    <tablePart r:id="rId6"/>
    <tablePart r:id="rId7"/>
    <tablePart r:id="rId8"/>
    <tablePart r:id="rId9"/>
    <tablePart r:id="rId10"/>
    <tablePart r:id="rId1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864D7-894B-4062-A058-3EA5D26C0564}">
  <sheetPr>
    <tabColor theme="2" tint="-0.499984740745262"/>
  </sheetPr>
  <dimension ref="A1:AI165"/>
  <sheetViews>
    <sheetView showGridLines="0" zoomScaleNormal="100" workbookViewId="0">
      <selection activeCell="D33" sqref="D33"/>
    </sheetView>
  </sheetViews>
  <sheetFormatPr defaultRowHeight="15.75" x14ac:dyDescent="0.25"/>
  <cols>
    <col min="1" max="1" width="26.875" style="3" customWidth="1"/>
    <col min="2" max="2" width="4.125" style="3" customWidth="1"/>
    <col min="3" max="3" width="4.125" style="8" customWidth="1"/>
    <col min="4" max="4" width="34.25" style="8" customWidth="1"/>
    <col min="5" max="5" width="26.875" style="8" customWidth="1"/>
    <col min="6" max="6" width="25.875" style="8" customWidth="1"/>
    <col min="7" max="8" width="38" style="8" customWidth="1"/>
    <col min="9" max="9" width="38.125" style="8" customWidth="1"/>
    <col min="10" max="10" width="32.875" style="8" customWidth="1"/>
    <col min="11" max="11" width="29.375" style="8" customWidth="1"/>
    <col min="12" max="31" width="18.125" style="8" customWidth="1"/>
    <col min="32" max="32" width="4.125" style="8" customWidth="1"/>
    <col min="33" max="16384" width="9" style="3"/>
  </cols>
  <sheetData>
    <row r="1" spans="1:35" s="1" customFormat="1" ht="30" customHeight="1" x14ac:dyDescent="0.35">
      <c r="A1" s="1" t="e" vm="1">
        <v>#VALUE!</v>
      </c>
      <c r="C1" s="1" t="s">
        <v>227</v>
      </c>
      <c r="AG1" s="3"/>
      <c r="AH1" s="3"/>
      <c r="AI1" s="3"/>
    </row>
    <row r="2" spans="1:35" s="2" customFormat="1" ht="20.100000000000001" customHeight="1" x14ac:dyDescent="0.25">
      <c r="AG2" s="3"/>
      <c r="AH2" s="3"/>
      <c r="AI2" s="3"/>
    </row>
    <row r="3" spans="1:35" ht="20.100000000000001" customHeight="1" x14ac:dyDescent="0.25">
      <c r="A3" s="16" t="str">
        <f>HYPERLINK("#'Home'!A1", "Home")</f>
        <v>Home</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5" ht="20.100000000000001" customHeight="1" x14ac:dyDescent="0.25">
      <c r="A4" s="16" t="str">
        <f>HYPERLINK("#'Overview'!A1", "Overview")</f>
        <v>Overview</v>
      </c>
    </row>
    <row r="5" spans="1:35" ht="20.100000000000001" customHeight="1" x14ac:dyDescent="0.25">
      <c r="A5" s="16" t="str">
        <f>HYPERLINK("#'Results'!A1", "Results")</f>
        <v>Results</v>
      </c>
      <c r="D5" s="9" t="s">
        <v>1738</v>
      </c>
    </row>
    <row r="6" spans="1:35" ht="20.100000000000001" customHeight="1" x14ac:dyDescent="0.25">
      <c r="A6" s="18"/>
      <c r="D6" s="11" t="s">
        <v>1739</v>
      </c>
      <c r="E6" s="14"/>
      <c r="F6" s="14"/>
    </row>
    <row r="7" spans="1:35" ht="20.100000000000001" customHeight="1" x14ac:dyDescent="0.25">
      <c r="A7" s="19" t="s">
        <v>67</v>
      </c>
      <c r="D7" s="12" t="str" cm="1">
        <f t="array" ref="D7">"⚠️" &amp; Electricity_SourceData.Electricity_Scope2Scope3LocationBased_Variation()</f>
        <v>⚠️VARIATION OF SOURCE DATA: NSW and ACT split into separate rows.</v>
      </c>
      <c r="E7" s="14"/>
      <c r="F7" s="14"/>
    </row>
    <row r="8" spans="1:35" ht="20.100000000000001" customHeight="1" x14ac:dyDescent="0.25">
      <c r="A8" s="16" t="str">
        <f>HYPERLINK("#'Input - Electricity'!A1", "Electricity")</f>
        <v>Electricity</v>
      </c>
      <c r="D8" s="14"/>
      <c r="E8" s="14"/>
      <c r="F8" s="14"/>
    </row>
    <row r="9" spans="1:35" ht="20.100000000000001" customHeight="1" x14ac:dyDescent="0.25">
      <c r="A9" s="16"/>
      <c r="D9" s="26" t="s">
        <v>228</v>
      </c>
      <c r="E9" s="26" t="s">
        <v>229</v>
      </c>
      <c r="F9" s="26" t="s">
        <v>230</v>
      </c>
    </row>
    <row r="10" spans="1:35" ht="20.100000000000001" customHeight="1" x14ac:dyDescent="0.25">
      <c r="A10" s="21" t="s">
        <v>77</v>
      </c>
      <c r="D10" s="3" t="s">
        <v>1319</v>
      </c>
      <c r="E10" s="3">
        <v>0.64</v>
      </c>
      <c r="F10" s="3">
        <v>0.03</v>
      </c>
    </row>
    <row r="11" spans="1:35" ht="20.100000000000001" customHeight="1" x14ac:dyDescent="0.25">
      <c r="A11" s="16" t="str">
        <f>HYPERLINK("#'14.1.1-2 Purchased electricity'!A1", "14.1.1-2 Purchased electricity")</f>
        <v>14.1.1-2 Purchased electricity</v>
      </c>
      <c r="D11" s="3" t="s">
        <v>315</v>
      </c>
      <c r="E11" s="3">
        <v>0.64</v>
      </c>
      <c r="F11" s="3">
        <v>0.03</v>
      </c>
    </row>
    <row r="12" spans="1:35" ht="20.100000000000001" customHeight="1" x14ac:dyDescent="0.25">
      <c r="A12" s="16"/>
      <c r="D12" s="3" t="s">
        <v>1334</v>
      </c>
      <c r="E12" s="3">
        <v>0.78</v>
      </c>
      <c r="F12" s="3">
        <v>0.09</v>
      </c>
    </row>
    <row r="13" spans="1:35" ht="20.100000000000001" customHeight="1" x14ac:dyDescent="0.25">
      <c r="A13" s="23" t="s">
        <v>78</v>
      </c>
      <c r="D13" s="3" t="s">
        <v>1335</v>
      </c>
      <c r="E13" s="3">
        <v>0.67</v>
      </c>
      <c r="F13" s="3">
        <v>0.09</v>
      </c>
    </row>
    <row r="14" spans="1:35" ht="20.100000000000001" customHeight="1" x14ac:dyDescent="0.25">
      <c r="A14" s="24" t="str">
        <f>HYPERLINK("#'Constants - Electricity'!A1", "Constants - Electricity")</f>
        <v>Constants - Electricity</v>
      </c>
      <c r="D14" s="3" t="s">
        <v>1336</v>
      </c>
      <c r="E14" s="3">
        <v>0.22</v>
      </c>
      <c r="F14" s="3">
        <v>0.04</v>
      </c>
    </row>
    <row r="15" spans="1:35" ht="20.100000000000001" customHeight="1" x14ac:dyDescent="0.25">
      <c r="A15" s="16" t="str">
        <f>HYPERLINK("#'Constants - Common'!A1", "Constants - Common")</f>
        <v>Constants - Common</v>
      </c>
      <c r="D15" s="3" t="s">
        <v>316</v>
      </c>
      <c r="E15" s="3">
        <v>0.5</v>
      </c>
      <c r="F15" s="3">
        <v>0.06</v>
      </c>
    </row>
    <row r="16" spans="1:35" ht="20.100000000000001" customHeight="1" x14ac:dyDescent="0.25">
      <c r="D16" s="3" t="s">
        <v>1740</v>
      </c>
      <c r="E16" s="3">
        <v>0.56000000000000005</v>
      </c>
      <c r="F16" s="3">
        <v>0.09</v>
      </c>
    </row>
    <row r="17" spans="1:8" ht="20.100000000000001" customHeight="1" x14ac:dyDescent="0.25">
      <c r="D17" s="3" t="s">
        <v>1338</v>
      </c>
      <c r="E17" s="3">
        <v>0.2</v>
      </c>
      <c r="F17" s="3">
        <v>0.03</v>
      </c>
    </row>
    <row r="18" spans="1:8" ht="20.100000000000001" customHeight="1" x14ac:dyDescent="0.25">
      <c r="D18" s="3" t="s">
        <v>1741</v>
      </c>
      <c r="E18" s="3">
        <v>0.56000000000000005</v>
      </c>
      <c r="F18" s="3">
        <v>0.09</v>
      </c>
    </row>
    <row r="19" spans="1:8" ht="20.100000000000001" customHeight="1" x14ac:dyDescent="0.25">
      <c r="D19" s="3" t="s">
        <v>1742</v>
      </c>
      <c r="E19" s="3">
        <v>0.62</v>
      </c>
      <c r="F19" s="3">
        <v>7.0000000000000007E-2</v>
      </c>
    </row>
    <row r="20" spans="1:8" ht="20.100000000000001" customHeight="1" x14ac:dyDescent="0.25">
      <c r="A20" s="16"/>
    </row>
    <row r="21" spans="1:8" ht="20.100000000000001" customHeight="1" x14ac:dyDescent="0.25">
      <c r="A21" s="16"/>
      <c r="D21" s="9" t="s">
        <v>1743</v>
      </c>
    </row>
    <row r="22" spans="1:8" ht="20.100000000000001" customHeight="1" x14ac:dyDescent="0.25">
      <c r="D22" s="11" t="s">
        <v>1744</v>
      </c>
    </row>
    <row r="23" spans="1:8" ht="20.100000000000001" customHeight="1" x14ac:dyDescent="0.25">
      <c r="A23" s="16"/>
    </row>
    <row r="24" spans="1:8" ht="20.100000000000001" customHeight="1" x14ac:dyDescent="0.25">
      <c r="D24" s="65" t="s">
        <v>228</v>
      </c>
      <c r="E24" s="65" t="s">
        <v>231</v>
      </c>
      <c r="F24" s="65" t="s">
        <v>232</v>
      </c>
      <c r="G24" s="65" t="s">
        <v>233</v>
      </c>
      <c r="H24" s="65" t="s">
        <v>234</v>
      </c>
    </row>
    <row r="25" spans="1:8" ht="20.100000000000001" customHeight="1" x14ac:dyDescent="0.25">
      <c r="D25" s="3" t="s">
        <v>1742</v>
      </c>
      <c r="E25" s="3">
        <v>0.81</v>
      </c>
      <c r="F25" s="3">
        <v>226</v>
      </c>
      <c r="G25" s="3">
        <v>0.1</v>
      </c>
      <c r="H25" s="3">
        <v>29</v>
      </c>
    </row>
    <row r="26" spans="1:8" ht="20.100000000000001" customHeight="1" x14ac:dyDescent="0.25"/>
    <row r="27" spans="1:8" ht="20.100000000000001" customHeight="1" x14ac:dyDescent="0.25"/>
    <row r="28" spans="1:8" ht="20.100000000000001" customHeight="1" x14ac:dyDescent="0.25"/>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tableParts count="2">
    <tablePart r:id="rId1"/>
    <tablePart r:id="rId2"/>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B524F-2762-4F91-A84A-6E4D78044FDF}">
  <dimension ref="A1:BY259"/>
  <sheetViews>
    <sheetView showGridLines="0" tabSelected="1" topLeftCell="A86" zoomScale="85" zoomScaleNormal="85" workbookViewId="0">
      <selection activeCell="H102" sqref="H102"/>
    </sheetView>
  </sheetViews>
  <sheetFormatPr defaultColWidth="8" defaultRowHeight="15.75" x14ac:dyDescent="0.25"/>
  <cols>
    <col min="1" max="1" width="26.875" style="4" customWidth="1"/>
    <col min="2" max="2" width="2.375" style="4" customWidth="1"/>
    <col min="3" max="3" width="4.125" style="8" customWidth="1"/>
    <col min="4" max="4" width="42" style="8" customWidth="1"/>
    <col min="5" max="6" width="18.125" style="8" customWidth="1"/>
    <col min="7" max="7" width="26.5" style="8" customWidth="1"/>
    <col min="8" max="9" width="18.125" style="8" customWidth="1"/>
    <col min="10" max="10" width="30" style="8" customWidth="1"/>
    <col min="11" max="13" width="18.125" style="8" customWidth="1"/>
    <col min="14" max="14" width="29" style="8" customWidth="1"/>
    <col min="15" max="15" width="31.875" style="8" customWidth="1"/>
    <col min="16" max="16" width="18.375" style="8" customWidth="1"/>
    <col min="17" max="17" width="18.625" style="8" customWidth="1"/>
    <col min="18" max="18" width="27.25" style="8" customWidth="1"/>
    <col min="19" max="20" width="18.125" style="8" customWidth="1"/>
    <col min="21" max="21" width="4.125" style="8" customWidth="1"/>
    <col min="22" max="33" width="18.125" style="4" customWidth="1"/>
    <col min="34" max="39" width="19.125" style="4" customWidth="1"/>
    <col min="40" max="44" width="18.125" style="4" customWidth="1"/>
    <col min="45" max="65" width="8" style="4"/>
    <col min="66" max="16384" width="8" style="7"/>
  </cols>
  <sheetData>
    <row r="1" spans="1:65" s="1" customFormat="1" ht="30" customHeight="1" x14ac:dyDescent="0.35">
      <c r="A1" s="1" t="e" vm="1">
        <v>#VALUE!</v>
      </c>
      <c r="C1" s="1" t="s">
        <v>0</v>
      </c>
    </row>
    <row r="2" spans="1:65" s="2" customFormat="1" ht="20.100000000000001" customHeight="1" x14ac:dyDescent="0.25"/>
    <row r="3" spans="1:65" ht="20.100000000000001" customHeight="1" x14ac:dyDescent="0.25">
      <c r="A3" s="3"/>
      <c r="C3" s="5"/>
      <c r="D3" s="5"/>
      <c r="E3" s="5"/>
      <c r="F3" s="5"/>
      <c r="G3" s="5"/>
      <c r="H3" s="5"/>
      <c r="I3" s="5"/>
      <c r="J3" s="5"/>
      <c r="K3" s="5"/>
      <c r="L3" s="5"/>
      <c r="M3" s="5"/>
      <c r="N3" s="5"/>
      <c r="O3" s="5"/>
      <c r="P3" s="5"/>
      <c r="Q3" s="5"/>
      <c r="R3" s="5"/>
      <c r="S3" s="5"/>
      <c r="T3" s="5"/>
      <c r="U3" s="5"/>
      <c r="V3" s="6"/>
      <c r="W3" s="6"/>
    </row>
    <row r="4" spans="1:65" ht="20.100000000000001" customHeight="1" x14ac:dyDescent="0.25">
      <c r="A4" s="3"/>
      <c r="BM4" s="7"/>
    </row>
    <row r="5" spans="1:65" ht="20.100000000000001" customHeight="1" x14ac:dyDescent="0.25">
      <c r="A5" s="3"/>
      <c r="D5" s="9" t="s">
        <v>1745</v>
      </c>
      <c r="BM5" s="7"/>
    </row>
    <row r="6" spans="1:65" ht="20.100000000000001" customHeight="1" x14ac:dyDescent="0.25">
      <c r="A6" s="3"/>
      <c r="D6" s="10" t="s">
        <v>1</v>
      </c>
      <c r="E6" s="10" t="s">
        <v>2</v>
      </c>
      <c r="F6" s="10" t="s">
        <v>3</v>
      </c>
    </row>
    <row r="7" spans="1:65" ht="20.100000000000001" customHeight="1" x14ac:dyDescent="0.25">
      <c r="A7" s="3"/>
      <c r="D7" s="10" t="s">
        <v>1319</v>
      </c>
      <c r="E7" s="10" t="s">
        <v>1319</v>
      </c>
      <c r="F7" s="10" t="s">
        <v>339</v>
      </c>
    </row>
    <row r="8" spans="1:65" ht="20.100000000000001" customHeight="1" x14ac:dyDescent="0.25">
      <c r="A8" s="3"/>
      <c r="D8" s="10" t="s">
        <v>1746</v>
      </c>
      <c r="E8" s="10" t="s">
        <v>315</v>
      </c>
      <c r="F8" s="10" t="s">
        <v>315</v>
      </c>
    </row>
    <row r="9" spans="1:65" ht="20.100000000000001" customHeight="1" x14ac:dyDescent="0.25">
      <c r="A9" s="3"/>
      <c r="D9" s="10" t="s">
        <v>1334</v>
      </c>
      <c r="E9" s="10" t="s">
        <v>1334</v>
      </c>
      <c r="F9" s="10" t="s">
        <v>345</v>
      </c>
    </row>
    <row r="10" spans="1:65" ht="20.100000000000001" customHeight="1" x14ac:dyDescent="0.25">
      <c r="A10" s="3"/>
      <c r="D10" s="10" t="s">
        <v>1335</v>
      </c>
      <c r="E10" s="10" t="s">
        <v>1335</v>
      </c>
      <c r="F10" s="10" t="s">
        <v>340</v>
      </c>
    </row>
    <row r="11" spans="1:65" ht="20.100000000000001" customHeight="1" x14ac:dyDescent="0.25">
      <c r="A11" s="3"/>
      <c r="D11" s="10" t="s">
        <v>1336</v>
      </c>
      <c r="E11" s="10" t="s">
        <v>1336</v>
      </c>
      <c r="F11" s="10" t="s">
        <v>399</v>
      </c>
      <c r="BM11" s="7"/>
    </row>
    <row r="12" spans="1:65" ht="20.100000000000001" customHeight="1" x14ac:dyDescent="0.25">
      <c r="A12" s="3"/>
      <c r="D12" s="10" t="s">
        <v>1337</v>
      </c>
      <c r="E12" s="10" t="s">
        <v>1337</v>
      </c>
      <c r="F12" s="10" t="s">
        <v>346</v>
      </c>
      <c r="BM12" s="7"/>
    </row>
    <row r="13" spans="1:65" ht="20.100000000000001" customHeight="1" x14ac:dyDescent="0.25">
      <c r="A13" s="3"/>
      <c r="D13" s="10" t="s">
        <v>1338</v>
      </c>
      <c r="E13" s="10" t="s">
        <v>1338</v>
      </c>
      <c r="F13" s="10" t="s">
        <v>395</v>
      </c>
    </row>
    <row r="14" spans="1:65" ht="20.100000000000001" customHeight="1" x14ac:dyDescent="0.25">
      <c r="A14" s="3"/>
      <c r="D14" s="10" t="s">
        <v>1339</v>
      </c>
      <c r="E14" s="10" t="s">
        <v>1339</v>
      </c>
      <c r="F14" s="10" t="s">
        <v>441</v>
      </c>
    </row>
    <row r="15" spans="1:65" ht="20.100000000000001" customHeight="1" x14ac:dyDescent="0.25">
      <c r="A15" s="3"/>
    </row>
    <row r="16" spans="1:65" ht="20.100000000000001" customHeight="1" x14ac:dyDescent="0.25">
      <c r="A16" s="3"/>
    </row>
    <row r="17" spans="1:4" ht="20.100000000000001" customHeight="1" x14ac:dyDescent="0.25">
      <c r="A17" s="3"/>
    </row>
    <row r="18" spans="1:4" ht="20.100000000000001" customHeight="1" x14ac:dyDescent="0.25">
      <c r="A18" s="3"/>
      <c r="D18" s="9" t="s">
        <v>1747</v>
      </c>
    </row>
    <row r="19" spans="1:4" ht="20.100000000000001" customHeight="1" x14ac:dyDescent="0.25">
      <c r="A19" s="3"/>
      <c r="D19" s="11" t="s">
        <v>1748</v>
      </c>
    </row>
    <row r="20" spans="1:4" ht="20.100000000000001" customHeight="1" x14ac:dyDescent="0.25">
      <c r="A20" s="3"/>
      <c r="D20" s="10" t="s">
        <v>4</v>
      </c>
    </row>
    <row r="21" spans="1:4" ht="20.100000000000001" customHeight="1" x14ac:dyDescent="0.25">
      <c r="A21" s="3"/>
      <c r="D21" s="10" t="s">
        <v>1749</v>
      </c>
    </row>
    <row r="22" spans="1:4" ht="20.100000000000001" customHeight="1" x14ac:dyDescent="0.25">
      <c r="A22" s="3"/>
      <c r="D22" s="10" t="s">
        <v>1750</v>
      </c>
    </row>
    <row r="23" spans="1:4" ht="20.100000000000001" customHeight="1" x14ac:dyDescent="0.25">
      <c r="A23" s="3"/>
      <c r="D23" s="10" t="s">
        <v>1751</v>
      </c>
    </row>
    <row r="24" spans="1:4" ht="20.100000000000001" customHeight="1" x14ac:dyDescent="0.25">
      <c r="A24" s="3"/>
      <c r="D24" s="10" t="s">
        <v>1752</v>
      </c>
    </row>
    <row r="25" spans="1:4" ht="20.100000000000001" customHeight="1" x14ac:dyDescent="0.25">
      <c r="A25" s="3"/>
      <c r="D25" s="10" t="s">
        <v>1753</v>
      </c>
    </row>
    <row r="26" spans="1:4" ht="20.100000000000001" customHeight="1" x14ac:dyDescent="0.25">
      <c r="A26" s="3"/>
      <c r="D26" s="10" t="s">
        <v>1754</v>
      </c>
    </row>
    <row r="27" spans="1:4" ht="20.100000000000001" customHeight="1" x14ac:dyDescent="0.25">
      <c r="A27" s="3"/>
      <c r="D27" s="10" t="s">
        <v>1755</v>
      </c>
    </row>
    <row r="28" spans="1:4" ht="20.100000000000001" customHeight="1" x14ac:dyDescent="0.25">
      <c r="A28" s="3"/>
      <c r="D28" s="10" t="s">
        <v>1756</v>
      </c>
    </row>
    <row r="29" spans="1:4" ht="20.100000000000001" customHeight="1" x14ac:dyDescent="0.25">
      <c r="A29" s="3"/>
      <c r="D29" s="10" t="s">
        <v>1757</v>
      </c>
    </row>
    <row r="30" spans="1:4" ht="20.100000000000001" customHeight="1" x14ac:dyDescent="0.25">
      <c r="A30" s="3"/>
      <c r="D30" s="10" t="s">
        <v>282</v>
      </c>
    </row>
    <row r="31" spans="1:4" ht="20.100000000000001" customHeight="1" x14ac:dyDescent="0.25">
      <c r="A31" s="3"/>
    </row>
    <row r="32" spans="1:4" ht="20.100000000000001" customHeight="1" x14ac:dyDescent="0.25">
      <c r="A32" s="3"/>
    </row>
    <row r="33" spans="1:8" ht="20.100000000000001" customHeight="1" x14ac:dyDescent="0.25">
      <c r="A33" s="3"/>
    </row>
    <row r="34" spans="1:8" ht="20.100000000000001" customHeight="1" x14ac:dyDescent="0.25">
      <c r="A34" s="3"/>
      <c r="D34" s="9" t="s">
        <v>1758</v>
      </c>
    </row>
    <row r="35" spans="1:8" ht="20.100000000000001" customHeight="1" x14ac:dyDescent="0.25">
      <c r="A35" s="3"/>
      <c r="D35" s="11" t="s">
        <v>1759</v>
      </c>
    </row>
    <row r="36" spans="1:8" ht="20.100000000000001" customHeight="1" x14ac:dyDescent="0.25">
      <c r="A36" s="3"/>
      <c r="D36" s="10" t="s">
        <v>5</v>
      </c>
      <c r="E36" s="10" t="s">
        <v>6</v>
      </c>
    </row>
    <row r="37" spans="1:8" ht="20.100000000000001" customHeight="1" x14ac:dyDescent="0.25">
      <c r="A37" s="3"/>
      <c r="D37" s="10" t="s">
        <v>736</v>
      </c>
      <c r="E37" s="10">
        <v>1</v>
      </c>
    </row>
    <row r="38" spans="1:8" ht="20.100000000000001" customHeight="1" x14ac:dyDescent="0.25">
      <c r="A38" s="3"/>
      <c r="D38" s="10" t="s">
        <v>737</v>
      </c>
      <c r="E38" s="10">
        <v>28</v>
      </c>
    </row>
    <row r="39" spans="1:8" ht="20.100000000000001" customHeight="1" x14ac:dyDescent="0.25">
      <c r="A39" s="3"/>
      <c r="D39" s="10" t="s">
        <v>738</v>
      </c>
      <c r="E39" s="10">
        <v>265</v>
      </c>
    </row>
    <row r="40" spans="1:8" ht="20.100000000000001" customHeight="1" x14ac:dyDescent="0.25">
      <c r="A40" s="3"/>
      <c r="D40" s="10" t="s">
        <v>1760</v>
      </c>
      <c r="E40" s="10">
        <v>6630</v>
      </c>
    </row>
    <row r="41" spans="1:8" ht="20.100000000000001" customHeight="1" x14ac:dyDescent="0.25">
      <c r="A41" s="3"/>
      <c r="D41" s="10" t="s">
        <v>1761</v>
      </c>
      <c r="E41" s="10">
        <v>12200</v>
      </c>
    </row>
    <row r="42" spans="1:8" ht="20.100000000000001" customHeight="1" x14ac:dyDescent="0.25">
      <c r="D42" s="10" t="s">
        <v>1762</v>
      </c>
      <c r="E42" s="10">
        <v>22800</v>
      </c>
    </row>
    <row r="43" spans="1:8" ht="20.100000000000001" customHeight="1" x14ac:dyDescent="0.25">
      <c r="D43" s="10" t="s">
        <v>1763</v>
      </c>
      <c r="E43" s="10">
        <v>17200</v>
      </c>
    </row>
    <row r="44" spans="1:8" ht="20.100000000000001" customHeight="1" x14ac:dyDescent="0.25"/>
    <row r="45" spans="1:8" ht="20.100000000000001" customHeight="1" x14ac:dyDescent="0.25">
      <c r="D45" s="9" t="s">
        <v>1764</v>
      </c>
    </row>
    <row r="46" spans="1:8" ht="20.100000000000001" customHeight="1" x14ac:dyDescent="0.25">
      <c r="D46" s="11" t="s">
        <v>1759</v>
      </c>
    </row>
    <row r="47" spans="1:8" ht="20.100000000000001" customHeight="1" x14ac:dyDescent="0.25">
      <c r="D47" s="10" t="s">
        <v>5</v>
      </c>
      <c r="E47" s="10" t="s">
        <v>7</v>
      </c>
      <c r="F47" s="10" t="s">
        <v>8</v>
      </c>
      <c r="G47" s="10" t="s">
        <v>9</v>
      </c>
      <c r="H47" s="10" t="s">
        <v>10</v>
      </c>
    </row>
    <row r="48" spans="1:8" ht="20.100000000000001" customHeight="1" x14ac:dyDescent="0.25">
      <c r="D48" s="10" t="s">
        <v>736</v>
      </c>
      <c r="E48" s="10" t="s">
        <v>1765</v>
      </c>
      <c r="F48" s="10">
        <v>44</v>
      </c>
      <c r="G48" s="10">
        <v>12</v>
      </c>
      <c r="H48" s="10">
        <f>Table_GasToMolecularConversionFactor[[#This Row],[Conversion factor 1]]/Table_GasToMolecularConversionFactor[[#This Row],[Conversion factor 2]]</f>
        <v>3.6666666666666665</v>
      </c>
    </row>
    <row r="49" spans="4:8" ht="20.100000000000001" customHeight="1" x14ac:dyDescent="0.25">
      <c r="D49" s="10" t="s">
        <v>737</v>
      </c>
      <c r="E49" s="10" t="s">
        <v>1766</v>
      </c>
      <c r="F49" s="10">
        <v>16</v>
      </c>
      <c r="G49" s="10">
        <v>12</v>
      </c>
      <c r="H49" s="10">
        <f>Table_GasToMolecularConversionFactor[[#This Row],[Conversion factor 1]]/Table_GasToMolecularConversionFactor[[#This Row],[Conversion factor 2]]</f>
        <v>1.3333333333333333</v>
      </c>
    </row>
    <row r="50" spans="4:8" ht="20.100000000000001" customHeight="1" x14ac:dyDescent="0.25">
      <c r="D50" s="10" t="s">
        <v>738</v>
      </c>
      <c r="E50" s="10" t="s">
        <v>1767</v>
      </c>
      <c r="F50" s="10">
        <v>44</v>
      </c>
      <c r="G50" s="10">
        <v>28</v>
      </c>
      <c r="H50" s="10">
        <f>Table_GasToMolecularConversionFactor[[#This Row],[Conversion factor 1]]/Table_GasToMolecularConversionFactor[[#This Row],[Conversion factor 2]]</f>
        <v>1.5714285714285714</v>
      </c>
    </row>
    <row r="51" spans="4:8" ht="20.100000000000001" customHeight="1" x14ac:dyDescent="0.25">
      <c r="D51" s="10" t="s">
        <v>1768</v>
      </c>
      <c r="E51" s="10" t="s">
        <v>1769</v>
      </c>
      <c r="F51" s="10">
        <v>46</v>
      </c>
      <c r="G51" s="10">
        <v>14</v>
      </c>
      <c r="H51" s="10">
        <f>Table_GasToMolecularConversionFactor[[#This Row],[Conversion factor 1]]/Table_GasToMolecularConversionFactor[[#This Row],[Conversion factor 2]]</f>
        <v>3.2857142857142856</v>
      </c>
    </row>
    <row r="52" spans="4:8" ht="20.100000000000001" customHeight="1" x14ac:dyDescent="0.25">
      <c r="D52" s="10" t="s">
        <v>1770</v>
      </c>
      <c r="E52" s="10" t="s">
        <v>1771</v>
      </c>
      <c r="F52" s="10">
        <v>28</v>
      </c>
      <c r="G52" s="10">
        <v>12</v>
      </c>
      <c r="H52" s="10">
        <f>Table_GasToMolecularConversionFactor[[#This Row],[Conversion factor 1]]/Table_GasToMolecularConversionFactor[[#This Row],[Conversion factor 2]]</f>
        <v>2.3333333333333335</v>
      </c>
    </row>
    <row r="53" spans="4:8" ht="20.100000000000001" customHeight="1" x14ac:dyDescent="0.25">
      <c r="D53" s="10" t="s">
        <v>1772</v>
      </c>
      <c r="E53" s="10" t="s">
        <v>1765</v>
      </c>
      <c r="F53" s="10">
        <v>44</v>
      </c>
      <c r="G53" s="10">
        <v>12</v>
      </c>
      <c r="H53" s="10">
        <f>Table_GasToMolecularConversionFactor[[#This Row],[Conversion factor 1]]/Table_GasToMolecularConversionFactor[[#This Row],[Conversion factor 2]]</f>
        <v>3.6666666666666665</v>
      </c>
    </row>
    <row r="54" spans="4:8" ht="20.100000000000001" customHeight="1" x14ac:dyDescent="0.25">
      <c r="D54" s="10" t="s">
        <v>1773</v>
      </c>
      <c r="E54" s="10" t="s">
        <v>1774</v>
      </c>
      <c r="F54" s="10">
        <v>14</v>
      </c>
      <c r="G54" s="10">
        <v>12</v>
      </c>
      <c r="H54" s="10">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9" t="s">
        <v>1775</v>
      </c>
    </row>
    <row r="58" spans="4:8" ht="20.100000000000001" customHeight="1" x14ac:dyDescent="0.25">
      <c r="D58" s="11" t="s">
        <v>1776</v>
      </c>
    </row>
    <row r="59" spans="4:8" ht="20.100000000000001" customHeight="1" x14ac:dyDescent="0.25">
      <c r="D59" s="12" t="str" cm="1">
        <f t="array" ref="D59:D61">"⚠️" &amp; Common_SourceData.Common_SourceData_WetAndDryZones_Variation()</f>
        <v>⚠️VARIATION OF SOURCE DATA:</v>
      </c>
    </row>
    <row r="60" spans="4:8" ht="20.100000000000001" customHeight="1" x14ac:dyDescent="0.25">
      <c r="D60" s="12" t="str">
        <v>⚠️Added warm / cool temperate moist / dry - low frost and high temp classes to accommodate climate scenarios excluded by VEERG criteria.</v>
      </c>
    </row>
    <row r="61" spans="4:8" ht="20.100000000000001" customHeight="1" x14ac:dyDescent="0.25">
      <c r="D61" s="12" t="str">
        <v>⚠️Fixed typo - Changed 'Fry' to 'Dry'.</v>
      </c>
    </row>
    <row r="62" spans="4:8" ht="20.100000000000001" customHeight="1" x14ac:dyDescent="0.25"/>
    <row r="63" spans="4:8" ht="20.100000000000001" customHeight="1" x14ac:dyDescent="0.25">
      <c r="D63" s="10" t="s">
        <v>11</v>
      </c>
      <c r="E63" s="10" t="s">
        <v>12</v>
      </c>
    </row>
    <row r="64" spans="4:8" ht="20.100000000000001" customHeight="1" x14ac:dyDescent="0.25">
      <c r="D64" s="10" t="s">
        <v>1777</v>
      </c>
      <c r="E64" s="10" t="s">
        <v>1778</v>
      </c>
    </row>
    <row r="65" spans="4:5" ht="20.100000000000001" customHeight="1" x14ac:dyDescent="0.25">
      <c r="D65" s="10" t="s">
        <v>1779</v>
      </c>
      <c r="E65" s="10" t="s">
        <v>1778</v>
      </c>
    </row>
    <row r="66" spans="4:5" ht="20.100000000000001" customHeight="1" x14ac:dyDescent="0.25">
      <c r="D66" s="10" t="s">
        <v>1780</v>
      </c>
      <c r="E66" s="10" t="s">
        <v>1778</v>
      </c>
    </row>
    <row r="67" spans="4:5" ht="20.100000000000001" customHeight="1" x14ac:dyDescent="0.25">
      <c r="D67" s="10" t="s">
        <v>1781</v>
      </c>
      <c r="E67" s="10" t="s">
        <v>1782</v>
      </c>
    </row>
    <row r="68" spans="4:5" ht="20.100000000000001" customHeight="1" x14ac:dyDescent="0.25">
      <c r="D68" s="10" t="s">
        <v>1783</v>
      </c>
      <c r="E68" s="10" t="s">
        <v>1778</v>
      </c>
    </row>
    <row r="69" spans="4:5" ht="20.100000000000001" customHeight="1" x14ac:dyDescent="0.25">
      <c r="D69" s="10" t="s">
        <v>1784</v>
      </c>
      <c r="E69" s="10" t="s">
        <v>1782</v>
      </c>
    </row>
    <row r="70" spans="4:5" ht="20.100000000000001" customHeight="1" x14ac:dyDescent="0.25">
      <c r="D70" s="10" t="s">
        <v>1785</v>
      </c>
      <c r="E70" s="10" t="s">
        <v>1778</v>
      </c>
    </row>
    <row r="71" spans="4:5" ht="20.100000000000001" customHeight="1" x14ac:dyDescent="0.25">
      <c r="D71" s="10" t="s">
        <v>1786</v>
      </c>
      <c r="E71" s="10" t="s">
        <v>1782</v>
      </c>
    </row>
    <row r="72" spans="4:5" ht="20.100000000000001" customHeight="1" x14ac:dyDescent="0.25">
      <c r="D72" s="10" t="s">
        <v>1787</v>
      </c>
      <c r="E72" s="10" t="s">
        <v>1778</v>
      </c>
    </row>
    <row r="73" spans="4:5" ht="20.100000000000001" customHeight="1" x14ac:dyDescent="0.25">
      <c r="D73" s="10" t="s">
        <v>1788</v>
      </c>
      <c r="E73" s="10" t="s">
        <v>1782</v>
      </c>
    </row>
    <row r="74" spans="4:5" ht="20.100000000000001" customHeight="1" x14ac:dyDescent="0.25">
      <c r="D74" s="10" t="s">
        <v>1789</v>
      </c>
      <c r="E74" s="10" t="s">
        <v>1778</v>
      </c>
    </row>
    <row r="75" spans="4:5" ht="20.100000000000001" customHeight="1" x14ac:dyDescent="0.25">
      <c r="D75" s="10" t="s">
        <v>1790</v>
      </c>
      <c r="E75" s="10" t="s">
        <v>1782</v>
      </c>
    </row>
    <row r="76" spans="4:5" ht="20.100000000000001" customHeight="1" x14ac:dyDescent="0.25">
      <c r="D76" s="10" t="s">
        <v>1791</v>
      </c>
      <c r="E76" s="10" t="s">
        <v>1778</v>
      </c>
    </row>
    <row r="77" spans="4:5" ht="20.100000000000001" customHeight="1" x14ac:dyDescent="0.25">
      <c r="D77" s="10" t="s">
        <v>1792</v>
      </c>
      <c r="E77" s="10" t="s">
        <v>1782</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9" t="s">
        <v>1793</v>
      </c>
    </row>
    <row r="82" spans="4:20" ht="20.100000000000001" customHeight="1" x14ac:dyDescent="0.25">
      <c r="D82" s="11" t="s">
        <v>1794</v>
      </c>
    </row>
    <row r="83" spans="4:20" ht="20.100000000000001" customHeight="1" x14ac:dyDescent="0.25">
      <c r="D83" s="12" t="str" cm="1">
        <f t="array" ref="D83:D87">"⚠️" &amp; Common_SourceData.Common_SourceData_ClimateZones_Variation()</f>
        <v>⚠️VARIATION OF SOURCE DATA:</v>
      </c>
    </row>
    <row r="84" spans="4:20" ht="20.100000000000001" customHeight="1" x14ac:dyDescent="0.25">
      <c r="D84" s="12" t="str">
        <v>⚠️Added warm / cool temperate moist / dry - low frost and high temp classes to accommodate climate scenarios excluded by VEERG criteria.</v>
      </c>
    </row>
    <row r="85" spans="4:20" ht="20.100000000000001" customHeight="1" x14ac:dyDescent="0.25">
      <c r="D85" s="12" t="str">
        <v>⚠️Fixed typo in MAT value for warm temperate dry - changed 10 to 11.</v>
      </c>
    </row>
    <row r="86" spans="4:20" ht="20.100000000000001" customHeight="1" x14ac:dyDescent="0.25">
      <c r="D86" s="12" t="str">
        <v>⚠️Added min and max columns for MAT, MAP, frost days per year, elevation, MAP:PET to calculate zones from real climate data.</v>
      </c>
    </row>
    <row r="87" spans="4:20" ht="20.100000000000001" customHeight="1" x14ac:dyDescent="0.25">
      <c r="D87" s="12" t="str">
        <v>⚠️GAF accepts rainfall as a proxy for precipitation.</v>
      </c>
    </row>
    <row r="88" spans="4:20" ht="20.100000000000001" customHeight="1" x14ac:dyDescent="0.25"/>
    <row r="89" spans="4:20" ht="20.100000000000001" customHeight="1" x14ac:dyDescent="0.25">
      <c r="D89" s="10" t="s">
        <v>11</v>
      </c>
      <c r="E89" s="10" t="s">
        <v>13</v>
      </c>
      <c r="F89" s="10" t="s">
        <v>14</v>
      </c>
      <c r="G89" s="10" t="s">
        <v>15</v>
      </c>
      <c r="H89" s="10" t="s">
        <v>16</v>
      </c>
      <c r="I89" s="10" t="s">
        <v>17</v>
      </c>
      <c r="J89" s="10" t="s">
        <v>18</v>
      </c>
      <c r="K89" s="10" t="s">
        <v>19</v>
      </c>
      <c r="L89" s="10" t="s">
        <v>20</v>
      </c>
      <c r="M89" s="10" t="s">
        <v>21</v>
      </c>
      <c r="N89" s="10" t="s">
        <v>22</v>
      </c>
      <c r="O89" s="10" t="s">
        <v>23</v>
      </c>
      <c r="P89" s="10" t="s">
        <v>24</v>
      </c>
      <c r="Q89" s="10" t="s">
        <v>25</v>
      </c>
      <c r="R89" s="10" t="s">
        <v>26</v>
      </c>
      <c r="S89" s="10" t="s">
        <v>27</v>
      </c>
      <c r="T89" s="10"/>
    </row>
    <row r="90" spans="4:20" ht="20.100000000000001" customHeight="1" x14ac:dyDescent="0.25">
      <c r="D90" s="10" t="s">
        <v>1777</v>
      </c>
      <c r="E90" s="10" t="s">
        <v>1795</v>
      </c>
      <c r="F90" s="10" t="s">
        <v>1796</v>
      </c>
      <c r="G90" s="10" t="s">
        <v>1797</v>
      </c>
      <c r="H90" s="10" t="s">
        <v>1798</v>
      </c>
      <c r="I90" s="10" t="s">
        <v>1796</v>
      </c>
      <c r="J90" s="10">
        <v>18.001000000000001</v>
      </c>
      <c r="K90" s="10">
        <v>999999</v>
      </c>
      <c r="L90" s="10">
        <v>-999999</v>
      </c>
      <c r="M90" s="10">
        <v>999999</v>
      </c>
      <c r="N90" s="10">
        <v>-999999</v>
      </c>
      <c r="O90" s="10">
        <v>7</v>
      </c>
      <c r="P90" s="10">
        <v>1000</v>
      </c>
      <c r="Q90" s="10">
        <v>999999</v>
      </c>
      <c r="R90" s="10">
        <v>-999999</v>
      </c>
      <c r="S90" s="10">
        <v>999999</v>
      </c>
      <c r="T90" s="10"/>
    </row>
    <row r="91" spans="4:20" ht="20.100000000000001" customHeight="1" x14ac:dyDescent="0.25">
      <c r="D91" s="10" t="s">
        <v>1779</v>
      </c>
      <c r="E91" s="10" t="s">
        <v>1795</v>
      </c>
      <c r="F91" s="10" t="s">
        <v>1799</v>
      </c>
      <c r="G91" s="10" t="s">
        <v>1797</v>
      </c>
      <c r="H91" s="10" t="s">
        <v>1800</v>
      </c>
      <c r="I91" s="10" t="s">
        <v>1796</v>
      </c>
      <c r="J91" s="10">
        <v>18.001000000000001</v>
      </c>
      <c r="K91" s="10">
        <v>999999</v>
      </c>
      <c r="L91" s="10">
        <v>2000.001</v>
      </c>
      <c r="M91" s="10">
        <v>999999</v>
      </c>
      <c r="N91" s="10">
        <v>-999999</v>
      </c>
      <c r="O91" s="10">
        <v>7</v>
      </c>
      <c r="P91" s="10">
        <v>-999999</v>
      </c>
      <c r="Q91" s="10">
        <v>999.99900000000002</v>
      </c>
      <c r="R91" s="10">
        <v>-999999</v>
      </c>
      <c r="S91" s="10">
        <v>999999</v>
      </c>
      <c r="T91" s="10"/>
    </row>
    <row r="92" spans="4:20" ht="20.100000000000001" customHeight="1" x14ac:dyDescent="0.25">
      <c r="D92" s="10" t="s">
        <v>1780</v>
      </c>
      <c r="E92" s="10" t="s">
        <v>1795</v>
      </c>
      <c r="F92" s="10" t="s">
        <v>1801</v>
      </c>
      <c r="G92" s="10" t="s">
        <v>1797</v>
      </c>
      <c r="H92" s="10" t="s">
        <v>1800</v>
      </c>
      <c r="I92" s="10" t="s">
        <v>1796</v>
      </c>
      <c r="J92" s="10">
        <v>18.001000000000001</v>
      </c>
      <c r="K92" s="10">
        <v>999999</v>
      </c>
      <c r="L92" s="10">
        <v>1000.001</v>
      </c>
      <c r="M92" s="10">
        <v>2000</v>
      </c>
      <c r="N92" s="10">
        <v>-999999</v>
      </c>
      <c r="O92" s="10">
        <v>7</v>
      </c>
      <c r="P92" s="10">
        <v>-999999</v>
      </c>
      <c r="Q92" s="10">
        <v>999.99900000000002</v>
      </c>
      <c r="R92" s="10">
        <v>-999999</v>
      </c>
      <c r="S92" s="10">
        <v>999999</v>
      </c>
      <c r="T92" s="10"/>
    </row>
    <row r="93" spans="4:20" ht="20.100000000000001" customHeight="1" x14ac:dyDescent="0.25">
      <c r="D93" s="10" t="s">
        <v>1781</v>
      </c>
      <c r="E93" s="10" t="s">
        <v>1795</v>
      </c>
      <c r="F93" s="10" t="s">
        <v>1802</v>
      </c>
      <c r="G93" s="10" t="s">
        <v>1797</v>
      </c>
      <c r="H93" s="10" t="s">
        <v>1800</v>
      </c>
      <c r="I93" s="10" t="s">
        <v>1796</v>
      </c>
      <c r="J93" s="10">
        <v>18.001000000000001</v>
      </c>
      <c r="K93" s="10">
        <v>999999</v>
      </c>
      <c r="L93" s="10">
        <v>-999999</v>
      </c>
      <c r="M93" s="10">
        <v>1000</v>
      </c>
      <c r="N93" s="10">
        <v>-999999</v>
      </c>
      <c r="O93" s="10">
        <v>7</v>
      </c>
      <c r="P93" s="10">
        <v>-999999</v>
      </c>
      <c r="Q93" s="10">
        <v>999.99900000000002</v>
      </c>
      <c r="R93" s="10">
        <v>-999999</v>
      </c>
      <c r="S93" s="10">
        <v>999999</v>
      </c>
      <c r="T93" s="10"/>
    </row>
    <row r="94" spans="4:20" ht="20.100000000000001" customHeight="1" x14ac:dyDescent="0.25">
      <c r="D94" s="10" t="s">
        <v>1783</v>
      </c>
      <c r="E94" s="10" t="s">
        <v>1803</v>
      </c>
      <c r="F94" s="10" t="s">
        <v>1796</v>
      </c>
      <c r="G94" s="10" t="s">
        <v>1796</v>
      </c>
      <c r="H94" s="10" t="s">
        <v>1796</v>
      </c>
      <c r="I94" s="10" t="s">
        <v>1804</v>
      </c>
      <c r="J94" s="10">
        <v>10.000999999999999</v>
      </c>
      <c r="K94" s="10">
        <v>999999</v>
      </c>
      <c r="L94" s="10">
        <v>-999999</v>
      </c>
      <c r="M94" s="10">
        <v>999999</v>
      </c>
      <c r="N94" s="10">
        <v>-999999</v>
      </c>
      <c r="O94" s="10">
        <v>999999</v>
      </c>
      <c r="P94" s="10">
        <v>-999999</v>
      </c>
      <c r="Q94" s="10">
        <v>999999</v>
      </c>
      <c r="R94" s="10">
        <v>1.0009999999999999</v>
      </c>
      <c r="S94" s="10">
        <v>999999</v>
      </c>
      <c r="T94" s="10"/>
    </row>
    <row r="95" spans="4:20" ht="20.100000000000001" customHeight="1" x14ac:dyDescent="0.25">
      <c r="D95" s="10" t="s">
        <v>1784</v>
      </c>
      <c r="E95" s="10" t="s">
        <v>1803</v>
      </c>
      <c r="F95" s="10" t="s">
        <v>1796</v>
      </c>
      <c r="G95" s="10" t="s">
        <v>1796</v>
      </c>
      <c r="H95" s="10" t="s">
        <v>1796</v>
      </c>
      <c r="I95" s="10" t="s">
        <v>1805</v>
      </c>
      <c r="J95" s="10">
        <v>10.000999999999999</v>
      </c>
      <c r="K95" s="10">
        <v>999999</v>
      </c>
      <c r="L95" s="10">
        <v>-999999</v>
      </c>
      <c r="M95" s="10">
        <v>999999</v>
      </c>
      <c r="N95" s="10">
        <v>-999999</v>
      </c>
      <c r="O95" s="10">
        <v>999999</v>
      </c>
      <c r="P95" s="10">
        <v>-999999</v>
      </c>
      <c r="Q95" s="10">
        <v>999999</v>
      </c>
      <c r="R95" s="10">
        <v>-999999</v>
      </c>
      <c r="S95" s="10">
        <v>1</v>
      </c>
      <c r="T95" s="10"/>
    </row>
    <row r="96" spans="4:20" ht="20.100000000000001" customHeight="1" x14ac:dyDescent="0.25">
      <c r="D96" s="10" t="s">
        <v>1785</v>
      </c>
      <c r="E96" s="10" t="s">
        <v>1806</v>
      </c>
      <c r="F96" s="10" t="s">
        <v>1796</v>
      </c>
      <c r="G96" s="10" t="s">
        <v>1796</v>
      </c>
      <c r="H96" s="10" t="s">
        <v>1796</v>
      </c>
      <c r="I96" s="10" t="s">
        <v>1804</v>
      </c>
      <c r="J96" s="10">
        <v>-999999</v>
      </c>
      <c r="K96" s="10">
        <v>10</v>
      </c>
      <c r="L96" s="10">
        <v>-999999</v>
      </c>
      <c r="M96" s="10">
        <v>999999</v>
      </c>
      <c r="N96" s="10">
        <v>-999999</v>
      </c>
      <c r="O96" s="10">
        <v>999999</v>
      </c>
      <c r="P96" s="10">
        <v>-999999</v>
      </c>
      <c r="Q96" s="10">
        <v>999999</v>
      </c>
      <c r="R96" s="10">
        <v>1.0009999999999999</v>
      </c>
      <c r="S96" s="10">
        <v>999999</v>
      </c>
      <c r="T96" s="10"/>
    </row>
    <row r="97" spans="4:20" ht="20.100000000000001" customHeight="1" x14ac:dyDescent="0.25">
      <c r="D97" s="10" t="s">
        <v>1786</v>
      </c>
      <c r="E97" s="10" t="s">
        <v>1806</v>
      </c>
      <c r="F97" s="10" t="s">
        <v>1796</v>
      </c>
      <c r="G97" s="10" t="s">
        <v>1796</v>
      </c>
      <c r="H97" s="10" t="s">
        <v>1796</v>
      </c>
      <c r="I97" s="10" t="s">
        <v>1805</v>
      </c>
      <c r="J97" s="10">
        <v>-999999</v>
      </c>
      <c r="K97" s="10">
        <v>10</v>
      </c>
      <c r="L97" s="10">
        <v>-999999</v>
      </c>
      <c r="M97" s="10">
        <v>999999</v>
      </c>
      <c r="N97" s="10">
        <v>-999999</v>
      </c>
      <c r="O97" s="10">
        <v>999999</v>
      </c>
      <c r="P97" s="10">
        <v>-999999</v>
      </c>
      <c r="Q97" s="10">
        <v>999999</v>
      </c>
      <c r="R97" s="10">
        <v>-999999</v>
      </c>
      <c r="S97" s="10">
        <v>1</v>
      </c>
      <c r="T97" s="10"/>
    </row>
    <row r="98" spans="4:20" ht="20.100000000000001" customHeight="1" x14ac:dyDescent="0.25"/>
    <row r="99" spans="4:20" ht="20.100000000000001" customHeight="1" x14ac:dyDescent="0.25">
      <c r="D99" s="13" t="s">
        <v>1807</v>
      </c>
    </row>
    <row r="100" spans="4:20" ht="20.100000000000001" customHeight="1" x14ac:dyDescent="0.25">
      <c r="D100" s="13" t="s">
        <v>1808</v>
      </c>
    </row>
    <row r="101" spans="4:20" ht="20.100000000000001" customHeight="1" x14ac:dyDescent="0.25">
      <c r="D101" s="13" t="s">
        <v>1809</v>
      </c>
    </row>
    <row r="102" spans="4:20" ht="20.100000000000001" customHeight="1" x14ac:dyDescent="0.25">
      <c r="D102" s="13" t="s">
        <v>1810</v>
      </c>
    </row>
    <row r="103" spans="4:20" ht="20.100000000000001" customHeight="1" x14ac:dyDescent="0.25">
      <c r="D103" s="13"/>
    </row>
    <row r="104" spans="4:20" ht="20.100000000000001" customHeight="1" x14ac:dyDescent="0.25"/>
    <row r="105" spans="4:20" ht="20.100000000000001" customHeight="1" x14ac:dyDescent="0.25">
      <c r="D105" s="9" t="s">
        <v>1811</v>
      </c>
    </row>
    <row r="106" spans="4:20" ht="20.100000000000001" customHeight="1" x14ac:dyDescent="0.25">
      <c r="D106" s="11" t="s">
        <v>1794</v>
      </c>
    </row>
    <row r="107" spans="4:20" ht="20.100000000000001" customHeight="1" x14ac:dyDescent="0.25">
      <c r="D107" s="12"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10" t="s">
        <v>28</v>
      </c>
      <c r="E109" s="10" t="s">
        <v>13</v>
      </c>
      <c r="F109" s="10" t="s">
        <v>29</v>
      </c>
      <c r="G109" s="10" t="s">
        <v>30</v>
      </c>
    </row>
    <row r="110" spans="4:20" ht="20.100000000000001" customHeight="1" x14ac:dyDescent="0.25">
      <c r="D110" s="10" t="s">
        <v>1812</v>
      </c>
      <c r="E110" s="10" t="s">
        <v>1813</v>
      </c>
      <c r="F110" s="10">
        <v>26</v>
      </c>
      <c r="G110" s="10">
        <v>999999</v>
      </c>
    </row>
    <row r="111" spans="4:20" ht="20.100000000000001" customHeight="1" x14ac:dyDescent="0.25">
      <c r="D111" s="10" t="s">
        <v>1814</v>
      </c>
      <c r="E111" s="10" t="s">
        <v>1815</v>
      </c>
      <c r="F111" s="10">
        <v>15</v>
      </c>
      <c r="G111" s="10">
        <v>25.998999999999999</v>
      </c>
    </row>
    <row r="112" spans="4:20" ht="20.100000000000001" customHeight="1" x14ac:dyDescent="0.25">
      <c r="D112" s="10" t="s">
        <v>1816</v>
      </c>
      <c r="E112" s="10" t="s">
        <v>1817</v>
      </c>
      <c r="F112" s="10">
        <v>-999999</v>
      </c>
      <c r="G112" s="10">
        <v>14.999000000000001</v>
      </c>
    </row>
    <row r="113" spans="4:66" ht="20.100000000000001" customHeight="1" x14ac:dyDescent="0.25"/>
    <row r="114" spans="4:66" ht="20.100000000000001" customHeight="1" x14ac:dyDescent="0.25"/>
    <row r="115" spans="4:66" ht="20.100000000000001" customHeight="1" x14ac:dyDescent="0.25">
      <c r="D115" s="9" t="s">
        <v>1818</v>
      </c>
      <c r="BN115" s="4"/>
    </row>
    <row r="116" spans="4:66" ht="20.100000000000001" customHeight="1" x14ac:dyDescent="0.25">
      <c r="D116" s="11" t="s">
        <v>1794</v>
      </c>
      <c r="BN116" s="4"/>
    </row>
    <row r="117" spans="4:66" ht="20.100000000000001" customHeight="1" x14ac:dyDescent="0.25">
      <c r="D117" s="12" t="str" cm="1">
        <f t="array" ref="D117">"⚠️" &amp; Common_SourceData.Common_SourceData_RainfallZones_Variation()</f>
        <v>⚠️VARIATION OF SOURCE DATA: Added extra Rainfall min and Rainfall max columns to calculate zone from real rainfall data.</v>
      </c>
      <c r="BN117" s="4"/>
    </row>
    <row r="118" spans="4:66" ht="20.100000000000001" customHeight="1" x14ac:dyDescent="0.25">
      <c r="BN118" s="4"/>
    </row>
    <row r="119" spans="4:66" ht="20.100000000000001" customHeight="1" x14ac:dyDescent="0.25">
      <c r="D119" s="10" t="s">
        <v>31</v>
      </c>
      <c r="E119" s="10" t="s">
        <v>32</v>
      </c>
      <c r="F119" s="10" t="s">
        <v>20</v>
      </c>
      <c r="G119" s="10" t="s">
        <v>21</v>
      </c>
      <c r="BN119" s="4"/>
    </row>
    <row r="120" spans="4:66" ht="20.100000000000001" customHeight="1" x14ac:dyDescent="0.25">
      <c r="D120" s="10" t="s">
        <v>1819</v>
      </c>
      <c r="E120" s="10" t="s">
        <v>1820</v>
      </c>
      <c r="F120" s="10">
        <v>600.00099999999998</v>
      </c>
      <c r="G120" s="10">
        <v>999999</v>
      </c>
      <c r="BN120" s="4"/>
    </row>
    <row r="121" spans="4:66" ht="20.100000000000001" customHeight="1" x14ac:dyDescent="0.25">
      <c r="D121" s="10" t="s">
        <v>1821</v>
      </c>
      <c r="E121" s="10" t="s">
        <v>1822</v>
      </c>
      <c r="F121" s="10">
        <v>-999999</v>
      </c>
      <c r="G121" s="10">
        <v>600</v>
      </c>
      <c r="BN121" s="4"/>
    </row>
    <row r="122" spans="4:66" ht="20.100000000000001" customHeight="1" x14ac:dyDescent="0.25">
      <c r="BN122" s="4"/>
    </row>
    <row r="123" spans="4:66" ht="20.100000000000001" customHeight="1" x14ac:dyDescent="0.25"/>
    <row r="124" spans="4:66" ht="20.100000000000001" customHeight="1" x14ac:dyDescent="0.25">
      <c r="D124" s="9" t="s">
        <v>1823</v>
      </c>
    </row>
    <row r="125" spans="4:66" ht="20.100000000000001" customHeight="1" x14ac:dyDescent="0.25">
      <c r="D125" s="11" t="s">
        <v>1794</v>
      </c>
    </row>
    <row r="126" spans="4:66" ht="20.100000000000001" customHeight="1" x14ac:dyDescent="0.25"/>
    <row r="127" spans="4:66" ht="20.100000000000001" customHeight="1" x14ac:dyDescent="0.25">
      <c r="D127" s="10" t="s">
        <v>33</v>
      </c>
      <c r="E127" s="10" t="s">
        <v>34</v>
      </c>
    </row>
    <row r="128" spans="4:66" ht="20.100000000000001" customHeight="1" x14ac:dyDescent="0.25">
      <c r="D128" s="10" t="s">
        <v>1824</v>
      </c>
      <c r="E128" s="10" t="s">
        <v>1825</v>
      </c>
    </row>
    <row r="129" spans="4:77" ht="20.100000000000001" customHeight="1" x14ac:dyDescent="0.25">
      <c r="D129" s="10" t="s">
        <v>1826</v>
      </c>
      <c r="E129" s="10" t="s">
        <v>1827</v>
      </c>
    </row>
    <row r="130" spans="4:77" ht="20.100000000000001" customHeight="1" x14ac:dyDescent="0.25"/>
    <row r="131" spans="4:77" ht="20.100000000000001" customHeight="1" x14ac:dyDescent="0.25"/>
    <row r="132" spans="4:77" ht="20.100000000000001" customHeight="1" x14ac:dyDescent="0.25">
      <c r="D132" s="9" t="s">
        <v>1828</v>
      </c>
      <c r="E132" s="14"/>
    </row>
    <row r="133" spans="4:77" ht="20.100000000000001" customHeight="1" x14ac:dyDescent="0.25">
      <c r="D133" s="11" t="s">
        <v>1829</v>
      </c>
      <c r="E133" s="14"/>
    </row>
    <row r="134" spans="4:77" ht="20.100000000000001" customHeight="1" x14ac:dyDescent="0.25">
      <c r="D134" s="3" t="s">
        <v>35</v>
      </c>
      <c r="E134" s="3" t="s">
        <v>36</v>
      </c>
    </row>
    <row r="135" spans="4:77" ht="20.100000000000001" customHeight="1" x14ac:dyDescent="0.25">
      <c r="D135" s="3" t="s">
        <v>1830</v>
      </c>
      <c r="E135" s="3">
        <v>1</v>
      </c>
    </row>
    <row r="136" spans="4:77" ht="20.100000000000001" customHeight="1" x14ac:dyDescent="0.25">
      <c r="D136" s="8" t="s">
        <v>1831</v>
      </c>
      <c r="E136" s="10">
        <v>0</v>
      </c>
    </row>
    <row r="137" spans="4:77" ht="20.100000000000001" customHeight="1" x14ac:dyDescent="0.25"/>
    <row r="138" spans="4:77" ht="20.100000000000001" customHeight="1" x14ac:dyDescent="0.25">
      <c r="BN138" s="4"/>
      <c r="BO138" s="4"/>
      <c r="BP138" s="4"/>
      <c r="BQ138" s="4"/>
      <c r="BR138" s="4"/>
      <c r="BS138" s="4"/>
      <c r="BT138" s="4"/>
      <c r="BU138" s="4"/>
      <c r="BV138" s="4"/>
      <c r="BW138" s="4"/>
      <c r="BX138" s="4"/>
      <c r="BY138" s="4"/>
    </row>
    <row r="139" spans="4:77" ht="20.100000000000001" customHeight="1" x14ac:dyDescent="0.25">
      <c r="D139" s="9" t="s">
        <v>1832</v>
      </c>
      <c r="BN139" s="4"/>
      <c r="BO139" s="4"/>
      <c r="BP139" s="4"/>
      <c r="BQ139" s="4"/>
      <c r="BR139" s="4"/>
      <c r="BS139" s="4"/>
      <c r="BT139" s="4"/>
      <c r="BU139" s="4"/>
      <c r="BV139" s="4"/>
      <c r="BW139" s="4"/>
      <c r="BX139" s="4"/>
      <c r="BY139" s="4"/>
    </row>
    <row r="140" spans="4:77" ht="20.100000000000001" customHeight="1" x14ac:dyDescent="0.25">
      <c r="D140" s="11" t="s">
        <v>1833</v>
      </c>
      <c r="BN140" s="4"/>
      <c r="BO140" s="4"/>
      <c r="BP140" s="4"/>
      <c r="BQ140" s="4"/>
      <c r="BR140" s="4"/>
      <c r="BS140" s="4"/>
      <c r="BT140" s="4"/>
      <c r="BU140" s="4"/>
      <c r="BV140" s="4"/>
      <c r="BW140" s="4"/>
      <c r="BX140" s="4"/>
      <c r="BY140" s="4"/>
    </row>
    <row r="141" spans="4:77" ht="20.100000000000001" customHeight="1" x14ac:dyDescent="0.25">
      <c r="D141" s="12" t="s">
        <v>1834</v>
      </c>
      <c r="BN141" s="4"/>
    </row>
    <row r="142" spans="4:77" ht="20.100000000000001" customHeight="1" x14ac:dyDescent="0.25">
      <c r="D142" s="10" t="s">
        <v>37</v>
      </c>
      <c r="E142" s="10" t="s">
        <v>36</v>
      </c>
      <c r="BN142" s="4"/>
    </row>
    <row r="143" spans="4:77" ht="20.100000000000001" customHeight="1" x14ac:dyDescent="0.25">
      <c r="D143" s="10" t="s">
        <v>148</v>
      </c>
      <c r="E143" s="10">
        <v>0</v>
      </c>
      <c r="BN143" s="4"/>
    </row>
    <row r="144" spans="4:77" ht="20.100000000000001" customHeight="1" x14ac:dyDescent="0.25">
      <c r="D144" s="8" t="s">
        <v>152</v>
      </c>
      <c r="E144" s="10">
        <v>0</v>
      </c>
      <c r="BN144" s="4"/>
    </row>
    <row r="145" spans="4:66" ht="20.100000000000001" customHeight="1" x14ac:dyDescent="0.25">
      <c r="D145" s="8" t="s">
        <v>155</v>
      </c>
      <c r="E145" s="10">
        <v>1</v>
      </c>
      <c r="BN145" s="4"/>
    </row>
    <row r="146" spans="4:66" ht="20.100000000000001" customHeight="1" x14ac:dyDescent="0.25">
      <c r="D146" s="8" t="s">
        <v>158</v>
      </c>
      <c r="E146" s="10">
        <v>1</v>
      </c>
      <c r="BN146" s="4"/>
    </row>
    <row r="147" spans="4:66" ht="20.100000000000001" customHeight="1" x14ac:dyDescent="0.25">
      <c r="D147" s="8" t="s">
        <v>160</v>
      </c>
      <c r="E147" s="10">
        <v>1</v>
      </c>
      <c r="BN147" s="4"/>
    </row>
    <row r="148" spans="4:66" ht="20.100000000000001" customHeight="1" x14ac:dyDescent="0.25">
      <c r="BN148" s="4"/>
    </row>
    <row r="149" spans="4:66" ht="20.100000000000001" customHeight="1" x14ac:dyDescent="0.25">
      <c r="BN149" s="4"/>
    </row>
    <row r="150" spans="4:66" ht="20.100000000000001" customHeight="1" x14ac:dyDescent="0.25">
      <c r="D150" s="9" t="s">
        <v>1835</v>
      </c>
      <c r="BN150" s="4"/>
    </row>
    <row r="151" spans="4:66" ht="20.100000000000001" customHeight="1" x14ac:dyDescent="0.25">
      <c r="D151" s="11" t="s">
        <v>1836</v>
      </c>
      <c r="BN151" s="4"/>
    </row>
    <row r="152" spans="4:66" ht="20.100000000000001" customHeight="1" x14ac:dyDescent="0.25">
      <c r="BN152" s="4"/>
    </row>
    <row r="153" spans="4:66" ht="20.100000000000001" customHeight="1" x14ac:dyDescent="0.25">
      <c r="D153" s="10" t="s">
        <v>38</v>
      </c>
      <c r="E153" s="10" t="s">
        <v>39</v>
      </c>
      <c r="BC153" s="7"/>
      <c r="BD153" s="7"/>
      <c r="BE153" s="7"/>
      <c r="BF153" s="7"/>
      <c r="BG153" s="7"/>
      <c r="BH153" s="7"/>
      <c r="BI153" s="7"/>
      <c r="BJ153" s="7"/>
      <c r="BK153" s="7"/>
      <c r="BL153" s="7"/>
      <c r="BM153" s="7"/>
    </row>
    <row r="154" spans="4:66" ht="20.100000000000001" customHeight="1" x14ac:dyDescent="0.25">
      <c r="D154" s="10" t="s">
        <v>1837</v>
      </c>
      <c r="E154" s="10">
        <v>1</v>
      </c>
      <c r="BC154" s="7"/>
      <c r="BD154" s="7"/>
      <c r="BE154" s="7"/>
      <c r="BF154" s="7"/>
      <c r="BG154" s="7"/>
      <c r="BH154" s="7"/>
      <c r="BI154" s="7"/>
      <c r="BJ154" s="7"/>
      <c r="BK154" s="7"/>
      <c r="BL154" s="7"/>
      <c r="BM154" s="7"/>
    </row>
    <row r="155" spans="4:66" ht="20.100000000000001" customHeight="1" x14ac:dyDescent="0.25">
      <c r="D155" s="10" t="s">
        <v>1838</v>
      </c>
      <c r="E155" s="10">
        <v>2</v>
      </c>
      <c r="BC155" s="7"/>
      <c r="BD155" s="7"/>
      <c r="BE155" s="7"/>
      <c r="BF155" s="7"/>
      <c r="BG155" s="7"/>
      <c r="BH155" s="7"/>
      <c r="BI155" s="7"/>
      <c r="BJ155" s="7"/>
      <c r="BK155" s="7"/>
      <c r="BL155" s="7"/>
      <c r="BM155" s="7"/>
    </row>
    <row r="156" spans="4:66" ht="20.100000000000001" customHeight="1" x14ac:dyDescent="0.25">
      <c r="D156" s="10" t="s">
        <v>1839</v>
      </c>
      <c r="E156" s="10">
        <v>3</v>
      </c>
    </row>
    <row r="157" spans="4:66" ht="20.100000000000001" customHeight="1" x14ac:dyDescent="0.25">
      <c r="D157" s="10" t="s">
        <v>1840</v>
      </c>
      <c r="E157" s="10">
        <v>4</v>
      </c>
    </row>
    <row r="158" spans="4:66" ht="20.100000000000001" customHeight="1" x14ac:dyDescent="0.25">
      <c r="D158" s="10" t="s">
        <v>614</v>
      </c>
      <c r="E158" s="10">
        <v>5</v>
      </c>
    </row>
    <row r="159" spans="4:66" ht="20.100000000000001" customHeight="1" x14ac:dyDescent="0.25"/>
    <row r="160" spans="4:66" ht="20.100000000000001" customHeight="1" x14ac:dyDescent="0.25"/>
    <row r="161" spans="4:68" ht="20.100000000000001" customHeight="1" x14ac:dyDescent="0.25">
      <c r="D161" s="9" t="s">
        <v>1828</v>
      </c>
      <c r="E161" s="14"/>
    </row>
    <row r="162" spans="4:68" ht="20.100000000000001" customHeight="1" x14ac:dyDescent="0.25">
      <c r="D162" s="11" t="s">
        <v>1829</v>
      </c>
      <c r="E162" s="14"/>
    </row>
    <row r="163" spans="4:68" ht="20.100000000000001" customHeight="1" x14ac:dyDescent="0.25">
      <c r="D163" s="11" t="s">
        <v>1841</v>
      </c>
      <c r="E163" s="14"/>
    </row>
    <row r="164" spans="4:68" ht="20.100000000000001" customHeight="1" x14ac:dyDescent="0.25">
      <c r="D164" s="14" t="s">
        <v>1086</v>
      </c>
      <c r="E164" s="14"/>
    </row>
    <row r="165" spans="4:68" ht="20.100000000000001" customHeight="1" x14ac:dyDescent="0.25">
      <c r="D165" s="8">
        <v>0.24</v>
      </c>
      <c r="BN165" s="4"/>
      <c r="BO165" s="4"/>
      <c r="BP165" s="4"/>
    </row>
    <row r="166" spans="4:68" ht="20.100000000000001" customHeight="1" x14ac:dyDescent="0.25">
      <c r="BN166" s="4"/>
      <c r="BO166" s="4"/>
      <c r="BP166" s="4"/>
    </row>
    <row r="167" spans="4:68" ht="20.100000000000001" customHeight="1" x14ac:dyDescent="0.25">
      <c r="D167" s="9" t="s">
        <v>1655</v>
      </c>
      <c r="BN167" s="4"/>
      <c r="BO167" s="4"/>
      <c r="BP167" s="4"/>
    </row>
    <row r="168" spans="4:68" ht="20.100000000000001" customHeight="1" x14ac:dyDescent="0.25">
      <c r="D168" s="11" t="s">
        <v>1829</v>
      </c>
      <c r="BN168" s="4"/>
      <c r="BO168" s="4"/>
      <c r="BP168" s="4"/>
    </row>
    <row r="169" spans="4:68" ht="20.100000000000001" customHeight="1" x14ac:dyDescent="0.25">
      <c r="D169" s="11" t="s">
        <v>1842</v>
      </c>
      <c r="BN169" s="4"/>
      <c r="BO169" s="4"/>
      <c r="BP169" s="4"/>
    </row>
    <row r="170" spans="4:68" ht="20.100000000000001" customHeight="1" x14ac:dyDescent="0.25">
      <c r="D170" s="8" t="s">
        <v>1843</v>
      </c>
      <c r="BN170" s="4"/>
      <c r="BO170" s="4"/>
      <c r="BP170" s="4"/>
    </row>
    <row r="171" spans="4:68" ht="20.100000000000001" customHeight="1" x14ac:dyDescent="0.25">
      <c r="D171" s="8">
        <v>1.0999999999999999E-2</v>
      </c>
      <c r="BN171" s="4"/>
      <c r="BO171" s="4"/>
      <c r="BP171" s="4"/>
    </row>
    <row r="172" spans="4:68" ht="20.100000000000001" customHeight="1" x14ac:dyDescent="0.25">
      <c r="BN172" s="4"/>
      <c r="BO172" s="4"/>
      <c r="BP172" s="4"/>
    </row>
    <row r="173" spans="4:68" ht="20.100000000000001" customHeight="1" x14ac:dyDescent="0.25">
      <c r="D173" s="9" t="s">
        <v>1844</v>
      </c>
      <c r="BN173" s="4"/>
      <c r="BO173" s="4"/>
      <c r="BP173" s="4"/>
    </row>
    <row r="174" spans="4:68" ht="20.100000000000001" customHeight="1" x14ac:dyDescent="0.25">
      <c r="D174" s="11" t="s">
        <v>1845</v>
      </c>
      <c r="BN174" s="4"/>
      <c r="BO174" s="4"/>
      <c r="BP174" s="4"/>
    </row>
    <row r="175" spans="4:68" ht="20.100000000000001" customHeight="1" x14ac:dyDescent="0.25">
      <c r="D175" s="8">
        <v>0.6784</v>
      </c>
      <c r="E175" s="13" t="s">
        <v>1846</v>
      </c>
      <c r="BN175" s="4"/>
      <c r="BO175" s="4"/>
      <c r="BP175" s="4"/>
    </row>
    <row r="176" spans="4:68" ht="20.100000000000001" customHeight="1" x14ac:dyDescent="0.25">
      <c r="BN176" s="4"/>
      <c r="BO176" s="4"/>
      <c r="BP176" s="4"/>
    </row>
    <row r="177" spans="4:68" ht="20.100000000000001" customHeight="1" x14ac:dyDescent="0.25">
      <c r="BN177" s="4"/>
      <c r="BO177" s="4"/>
      <c r="BP177" s="4"/>
    </row>
    <row r="178" spans="4:68" ht="20.100000000000001" customHeight="1" x14ac:dyDescent="0.25">
      <c r="D178" s="9" t="s">
        <v>1847</v>
      </c>
      <c r="BN178" s="4"/>
      <c r="BO178" s="4"/>
      <c r="BP178" s="4"/>
    </row>
    <row r="179" spans="4:68" ht="20.100000000000001" customHeight="1" x14ac:dyDescent="0.25">
      <c r="D179" s="11" t="s">
        <v>1848</v>
      </c>
      <c r="BN179" s="4"/>
      <c r="BO179" s="4"/>
      <c r="BP179" s="4"/>
    </row>
    <row r="180" spans="4:68" ht="20.100000000000001" customHeight="1" x14ac:dyDescent="0.25">
      <c r="D180" s="13" t="s">
        <v>1849</v>
      </c>
    </row>
    <row r="181" spans="4:68" ht="20.100000000000001" customHeight="1" x14ac:dyDescent="0.25">
      <c r="D181" s="12" t="s">
        <v>1850</v>
      </c>
    </row>
    <row r="182" spans="4:68" ht="20.100000000000001" customHeight="1" x14ac:dyDescent="0.25">
      <c r="D182" s="12" t="s">
        <v>1851</v>
      </c>
    </row>
    <row r="183" spans="4:68" ht="20.100000000000001" customHeight="1" x14ac:dyDescent="0.25">
      <c r="D183" s="12" t="s">
        <v>1852</v>
      </c>
    </row>
    <row r="184" spans="4:68" ht="20.100000000000001" customHeight="1" x14ac:dyDescent="0.25">
      <c r="D184" s="12" t="s">
        <v>1853</v>
      </c>
    </row>
    <row r="185" spans="4:68" ht="20.100000000000001" customHeight="1" x14ac:dyDescent="0.25">
      <c r="D185" s="12" t="s">
        <v>1854</v>
      </c>
    </row>
    <row r="186" spans="4:68" ht="20.100000000000001" customHeight="1" x14ac:dyDescent="0.25">
      <c r="D186" s="10" t="s">
        <v>40</v>
      </c>
      <c r="E186" s="10" t="s">
        <v>41</v>
      </c>
      <c r="F186" s="10" t="s">
        <v>42</v>
      </c>
      <c r="G186" s="10" t="s">
        <v>43</v>
      </c>
      <c r="H186" s="10" t="s">
        <v>44</v>
      </c>
    </row>
    <row r="187" spans="4:68" ht="20.100000000000001" customHeight="1" x14ac:dyDescent="0.25">
      <c r="D187" s="10" t="s">
        <v>1855</v>
      </c>
      <c r="E187" s="10">
        <v>5.8999999999999999E-3</v>
      </c>
      <c r="F187" s="10" t="s">
        <v>147</v>
      </c>
      <c r="G187" s="10" t="s">
        <v>1796</v>
      </c>
      <c r="H187" s="10" t="s">
        <v>1796</v>
      </c>
    </row>
    <row r="188" spans="4:68" ht="20.100000000000001" customHeight="1" x14ac:dyDescent="0.25">
      <c r="D188" s="10" t="s">
        <v>1856</v>
      </c>
      <c r="E188" s="10">
        <v>7.0000000000000001E-3</v>
      </c>
      <c r="F188" s="10" t="s">
        <v>150</v>
      </c>
      <c r="G188" s="10" t="s">
        <v>1796</v>
      </c>
      <c r="H188" s="10" t="s">
        <v>1796</v>
      </c>
    </row>
    <row r="189" spans="4:68" ht="20.100000000000001" customHeight="1" x14ac:dyDescent="0.25">
      <c r="D189" s="10" t="s">
        <v>1857</v>
      </c>
      <c r="E189" s="10">
        <v>1.8E-3</v>
      </c>
      <c r="F189" s="10" t="s">
        <v>147</v>
      </c>
      <c r="G189" s="10" t="s">
        <v>148</v>
      </c>
      <c r="H189" s="10" t="s">
        <v>1821</v>
      </c>
    </row>
    <row r="190" spans="4:68" ht="20.100000000000001" customHeight="1" x14ac:dyDescent="0.25">
      <c r="D190" s="10" t="s">
        <v>1857</v>
      </c>
      <c r="E190" s="10">
        <v>1.8E-3</v>
      </c>
      <c r="F190" s="10" t="s">
        <v>147</v>
      </c>
      <c r="G190" s="10" t="s">
        <v>148</v>
      </c>
      <c r="H190" s="10" t="s">
        <v>1819</v>
      </c>
    </row>
    <row r="191" spans="4:68" ht="20.100000000000001" customHeight="1" x14ac:dyDescent="0.25">
      <c r="D191" s="10" t="s">
        <v>1858</v>
      </c>
      <c r="E191" s="10">
        <v>2.8999999999999998E-3</v>
      </c>
      <c r="F191" s="10" t="s">
        <v>150</v>
      </c>
      <c r="G191" s="10" t="s">
        <v>148</v>
      </c>
      <c r="H191" s="10" t="s">
        <v>1821</v>
      </c>
    </row>
    <row r="192" spans="4:68" ht="20.100000000000001" customHeight="1" x14ac:dyDescent="0.25">
      <c r="D192" s="10" t="s">
        <v>1859</v>
      </c>
      <c r="E192" s="10">
        <v>8.0000000000000002E-3</v>
      </c>
      <c r="F192" s="10" t="s">
        <v>150</v>
      </c>
      <c r="G192" s="10" t="s">
        <v>148</v>
      </c>
      <c r="H192" s="10" t="s">
        <v>1819</v>
      </c>
    </row>
    <row r="193" spans="4:8" ht="20.100000000000001" customHeight="1" x14ac:dyDescent="0.25">
      <c r="D193" s="10" t="s">
        <v>1860</v>
      </c>
      <c r="E193" s="10">
        <v>1.9900000000000001E-2</v>
      </c>
      <c r="F193" s="10" t="s">
        <v>1860</v>
      </c>
      <c r="G193" s="10" t="s">
        <v>1796</v>
      </c>
      <c r="H193" s="10" t="s">
        <v>1796</v>
      </c>
    </row>
    <row r="194" spans="4:8" ht="20.100000000000001" customHeight="1" x14ac:dyDescent="0.25">
      <c r="D194" s="10" t="s">
        <v>157</v>
      </c>
      <c r="E194" s="10">
        <v>5.3E-3</v>
      </c>
      <c r="F194" s="10" t="s">
        <v>157</v>
      </c>
      <c r="G194" s="10" t="s">
        <v>1796</v>
      </c>
      <c r="H194" s="10" t="s">
        <v>1796</v>
      </c>
    </row>
    <row r="195" spans="4:8" ht="20.100000000000001" customHeight="1" x14ac:dyDescent="0.25">
      <c r="D195" s="10" t="s">
        <v>1861</v>
      </c>
      <c r="E195" s="10">
        <v>6.4000000000000003E-3</v>
      </c>
      <c r="F195" s="10" t="s">
        <v>1861</v>
      </c>
      <c r="G195" s="10" t="s">
        <v>1796</v>
      </c>
      <c r="H195" s="10" t="s">
        <v>1796</v>
      </c>
    </row>
    <row r="196" spans="4:8" ht="20.100000000000001" customHeight="1" x14ac:dyDescent="0.25">
      <c r="D196" s="10" t="s">
        <v>1862</v>
      </c>
      <c r="E196" s="10">
        <v>3.0000000000000001E-3</v>
      </c>
      <c r="F196" s="10" t="s">
        <v>1863</v>
      </c>
      <c r="G196" s="10" t="s">
        <v>1864</v>
      </c>
      <c r="H196" s="10" t="s">
        <v>1796</v>
      </c>
    </row>
    <row r="197" spans="4:8" x14ac:dyDescent="0.25">
      <c r="D197" s="10" t="s">
        <v>1865</v>
      </c>
      <c r="E197" s="10">
        <v>5.0000000000000001E-3</v>
      </c>
      <c r="F197" s="10" t="s">
        <v>1863</v>
      </c>
      <c r="G197" s="10" t="s">
        <v>1866</v>
      </c>
      <c r="H197" s="10" t="s">
        <v>1796</v>
      </c>
    </row>
    <row r="198" spans="4:8" x14ac:dyDescent="0.25">
      <c r="D198" s="10" t="s">
        <v>1867</v>
      </c>
      <c r="E198" s="10">
        <v>2.5999999999999999E-3</v>
      </c>
      <c r="F198" s="10" t="s">
        <v>1867</v>
      </c>
      <c r="G198" s="10" t="s">
        <v>1796</v>
      </c>
      <c r="H198" s="10" t="s">
        <v>1796</v>
      </c>
    </row>
    <row r="199" spans="4:8" x14ac:dyDescent="0.25">
      <c r="D199" s="10" t="s">
        <v>1868</v>
      </c>
      <c r="E199" s="10">
        <v>1.8E-3</v>
      </c>
      <c r="F199" s="10" t="s">
        <v>1868</v>
      </c>
      <c r="G199" s="10" t="s">
        <v>1796</v>
      </c>
      <c r="H199" s="10" t="s">
        <v>1796</v>
      </c>
    </row>
    <row r="202" spans="4:8" ht="23.25" x14ac:dyDescent="0.25">
      <c r="D202" s="9" t="s">
        <v>1869</v>
      </c>
    </row>
    <row r="203" spans="4:8" x14ac:dyDescent="0.25">
      <c r="D203" s="11" t="s">
        <v>1870</v>
      </c>
    </row>
    <row r="204" spans="4:8" x14ac:dyDescent="0.25">
      <c r="D204" s="12" t="s">
        <v>1871</v>
      </c>
    </row>
    <row r="205" spans="4:8" x14ac:dyDescent="0.25">
      <c r="D205" s="13" t="s">
        <v>1872</v>
      </c>
    </row>
    <row r="206" spans="4:8" x14ac:dyDescent="0.25">
      <c r="D206" s="10" t="s">
        <v>11</v>
      </c>
      <c r="E206" s="10" t="s">
        <v>45</v>
      </c>
    </row>
    <row r="207" spans="4:8" x14ac:dyDescent="0.25">
      <c r="D207" s="10" t="s">
        <v>1778</v>
      </c>
      <c r="E207" s="10">
        <v>6.0000000000000001E-3</v>
      </c>
    </row>
    <row r="208" spans="4:8" x14ac:dyDescent="0.25">
      <c r="D208" s="8" t="s">
        <v>1782</v>
      </c>
      <c r="E208" s="10">
        <v>2E-3</v>
      </c>
    </row>
    <row r="211" spans="4:5" x14ac:dyDescent="0.25">
      <c r="D211" s="8" t="s">
        <v>1873</v>
      </c>
    </row>
    <row r="212" spans="4:5" x14ac:dyDescent="0.25">
      <c r="D212" s="10" t="s">
        <v>46</v>
      </c>
      <c r="E212" s="10" t="s">
        <v>47</v>
      </c>
    </row>
    <row r="213" spans="4:5" x14ac:dyDescent="0.25">
      <c r="D213" s="10" t="s">
        <v>1874</v>
      </c>
      <c r="E213" s="10" t="s">
        <v>500</v>
      </c>
    </row>
    <row r="214" spans="4:5" x14ac:dyDescent="0.25">
      <c r="D214" s="8" t="s">
        <v>1875</v>
      </c>
      <c r="E214" s="10" t="s">
        <v>500</v>
      </c>
    </row>
    <row r="215" spans="4:5" x14ac:dyDescent="0.25">
      <c r="D215" s="8" t="s">
        <v>1876</v>
      </c>
      <c r="E215" s="10" t="s">
        <v>501</v>
      </c>
    </row>
    <row r="216" spans="4:5" x14ac:dyDescent="0.25">
      <c r="D216" s="8" t="s">
        <v>1877</v>
      </c>
      <c r="E216" s="10" t="s">
        <v>501</v>
      </c>
    </row>
    <row r="217" spans="4:5" x14ac:dyDescent="0.25">
      <c r="D217" s="8" t="s">
        <v>1878</v>
      </c>
      <c r="E217" s="10" t="s">
        <v>501</v>
      </c>
    </row>
    <row r="218" spans="4:5" x14ac:dyDescent="0.25">
      <c r="D218" s="8" t="s">
        <v>1879</v>
      </c>
      <c r="E218" s="10" t="s">
        <v>502</v>
      </c>
    </row>
    <row r="219" spans="4:5" x14ac:dyDescent="0.25">
      <c r="D219" s="8" t="s">
        <v>1880</v>
      </c>
      <c r="E219" s="10" t="s">
        <v>502</v>
      </c>
    </row>
    <row r="220" spans="4:5" x14ac:dyDescent="0.25">
      <c r="D220" s="8" t="s">
        <v>1881</v>
      </c>
      <c r="E220" s="10" t="s">
        <v>502</v>
      </c>
    </row>
    <row r="221" spans="4:5" x14ac:dyDescent="0.25">
      <c r="D221" s="8" t="s">
        <v>1882</v>
      </c>
      <c r="E221" s="10" t="s">
        <v>508</v>
      </c>
    </row>
    <row r="222" spans="4:5" x14ac:dyDescent="0.25">
      <c r="D222" s="8" t="s">
        <v>1883</v>
      </c>
      <c r="E222" s="10" t="s">
        <v>508</v>
      </c>
    </row>
    <row r="223" spans="4:5" x14ac:dyDescent="0.25">
      <c r="D223" s="8" t="s">
        <v>1884</v>
      </c>
      <c r="E223" s="10" t="s">
        <v>508</v>
      </c>
    </row>
    <row r="224" spans="4:5" x14ac:dyDescent="0.25">
      <c r="D224" s="8" t="s">
        <v>1885</v>
      </c>
      <c r="E224" s="10" t="s">
        <v>500</v>
      </c>
    </row>
    <row r="227" spans="4:19" ht="23.25" x14ac:dyDescent="0.25">
      <c r="D227" s="9" t="s">
        <v>1886</v>
      </c>
    </row>
    <row r="228" spans="4:19" x14ac:dyDescent="0.25">
      <c r="D228" s="11" t="s">
        <v>1887</v>
      </c>
    </row>
    <row r="229" spans="4:19" x14ac:dyDescent="0.25">
      <c r="D229" s="12" t="s">
        <v>1888</v>
      </c>
    </row>
    <row r="231" spans="4:19" x14ac:dyDescent="0.25">
      <c r="D231" s="10" t="s">
        <v>48</v>
      </c>
      <c r="E231" s="10" t="s">
        <v>49</v>
      </c>
      <c r="F231" s="15" t="s">
        <v>50</v>
      </c>
      <c r="G231" s="10" t="s">
        <v>51</v>
      </c>
      <c r="H231" s="10" t="s">
        <v>52</v>
      </c>
      <c r="I231" s="10" t="s">
        <v>53</v>
      </c>
      <c r="J231" s="10" t="s">
        <v>54</v>
      </c>
      <c r="K231" s="10" t="s">
        <v>55</v>
      </c>
      <c r="L231" s="10" t="s">
        <v>56</v>
      </c>
      <c r="M231" s="10" t="s">
        <v>57</v>
      </c>
      <c r="N231" s="10" t="s">
        <v>58</v>
      </c>
      <c r="O231" s="10" t="s">
        <v>59</v>
      </c>
      <c r="P231" s="10" t="s">
        <v>60</v>
      </c>
      <c r="Q231" s="10" t="s">
        <v>61</v>
      </c>
      <c r="R231" s="10" t="s">
        <v>62</v>
      </c>
      <c r="S231" s="10" t="s">
        <v>63</v>
      </c>
    </row>
    <row r="232" spans="4:19" x14ac:dyDescent="0.25">
      <c r="D232" s="10" t="s">
        <v>1816</v>
      </c>
      <c r="E232" s="10" t="s">
        <v>1889</v>
      </c>
      <c r="F232" s="10">
        <v>0.66</v>
      </c>
      <c r="G232" s="10">
        <v>0.1</v>
      </c>
      <c r="H232" s="10">
        <v>0.1</v>
      </c>
      <c r="I232" s="10">
        <v>1E-3</v>
      </c>
      <c r="J232" s="10">
        <v>5.0000000000000001E-3</v>
      </c>
      <c r="K232" s="10">
        <v>0.02</v>
      </c>
      <c r="L232" s="10">
        <v>0.03</v>
      </c>
      <c r="M232" s="10">
        <v>0.04</v>
      </c>
      <c r="N232" s="10">
        <v>1.4999999999999999E-2</v>
      </c>
      <c r="O232" s="10">
        <v>1.4999999999999999E-2</v>
      </c>
      <c r="P232" s="10">
        <v>0</v>
      </c>
      <c r="Q232" s="10">
        <v>0</v>
      </c>
      <c r="R232" s="10">
        <v>4.7000000000000002E-3</v>
      </c>
      <c r="S232" s="10">
        <v>10</v>
      </c>
    </row>
    <row r="233" spans="4:19" x14ac:dyDescent="0.25">
      <c r="D233" s="8" t="s">
        <v>1816</v>
      </c>
      <c r="E233" s="10">
        <v>11</v>
      </c>
      <c r="F233" s="10">
        <v>0.68</v>
      </c>
      <c r="G233" s="10">
        <v>0.1</v>
      </c>
      <c r="H233" s="10">
        <v>0.11</v>
      </c>
      <c r="I233" s="10">
        <v>1E-3</v>
      </c>
      <c r="J233" s="10">
        <v>5.0000000000000001E-3</v>
      </c>
      <c r="K233" s="10">
        <v>0.02</v>
      </c>
      <c r="L233" s="10">
        <v>0.03</v>
      </c>
      <c r="M233" s="10">
        <v>0.04</v>
      </c>
      <c r="N233" s="10">
        <v>1.4999999999999999E-2</v>
      </c>
      <c r="O233" s="10">
        <v>1.4999999999999999E-2</v>
      </c>
      <c r="P233" s="10">
        <v>0</v>
      </c>
      <c r="Q233" s="10">
        <v>0</v>
      </c>
      <c r="R233" s="10">
        <v>4.7000000000000002E-3</v>
      </c>
      <c r="S233" s="10">
        <v>11</v>
      </c>
    </row>
    <row r="234" spans="4:19" x14ac:dyDescent="0.25">
      <c r="D234" s="8" t="s">
        <v>1816</v>
      </c>
      <c r="E234" s="10">
        <v>12</v>
      </c>
      <c r="F234" s="10">
        <v>0.7</v>
      </c>
      <c r="G234" s="10">
        <v>0.1</v>
      </c>
      <c r="H234" s="10">
        <v>0.13</v>
      </c>
      <c r="I234" s="10">
        <v>1E-3</v>
      </c>
      <c r="J234" s="10">
        <v>5.0000000000000001E-3</v>
      </c>
      <c r="K234" s="10">
        <v>0.02</v>
      </c>
      <c r="L234" s="10">
        <v>0.03</v>
      </c>
      <c r="M234" s="10">
        <v>0.04</v>
      </c>
      <c r="N234" s="10">
        <v>1.4999999999999999E-2</v>
      </c>
      <c r="O234" s="10">
        <v>1.4999999999999999E-2</v>
      </c>
      <c r="P234" s="10">
        <v>0</v>
      </c>
      <c r="Q234" s="10">
        <v>0</v>
      </c>
      <c r="R234" s="10">
        <v>4.7000000000000002E-3</v>
      </c>
      <c r="S234" s="10">
        <v>12</v>
      </c>
    </row>
    <row r="235" spans="4:19" x14ac:dyDescent="0.25">
      <c r="D235" s="8" t="s">
        <v>1816</v>
      </c>
      <c r="E235" s="10">
        <v>13</v>
      </c>
      <c r="F235" s="10">
        <v>0.71</v>
      </c>
      <c r="G235" s="10">
        <v>0.1</v>
      </c>
      <c r="H235" s="10">
        <v>0.14000000000000001</v>
      </c>
      <c r="I235" s="10">
        <v>1E-3</v>
      </c>
      <c r="J235" s="10">
        <v>5.0000000000000001E-3</v>
      </c>
      <c r="K235" s="10">
        <v>0.02</v>
      </c>
      <c r="L235" s="10">
        <v>0.03</v>
      </c>
      <c r="M235" s="10">
        <v>0.04</v>
      </c>
      <c r="N235" s="10">
        <v>1.4999999999999999E-2</v>
      </c>
      <c r="O235" s="10">
        <v>1.4999999999999999E-2</v>
      </c>
      <c r="P235" s="10">
        <v>0</v>
      </c>
      <c r="Q235" s="10">
        <v>0</v>
      </c>
      <c r="R235" s="10">
        <v>4.7000000000000002E-3</v>
      </c>
      <c r="S235" s="10">
        <v>13</v>
      </c>
    </row>
    <row r="236" spans="4:19" x14ac:dyDescent="0.25">
      <c r="D236" s="8" t="s">
        <v>1816</v>
      </c>
      <c r="E236" s="10">
        <v>14</v>
      </c>
      <c r="F236" s="10">
        <v>0.73</v>
      </c>
      <c r="G236" s="10">
        <v>0.1</v>
      </c>
      <c r="H236" s="10">
        <v>0.15</v>
      </c>
      <c r="I236" s="10">
        <v>1E-3</v>
      </c>
      <c r="J236" s="10">
        <v>5.0000000000000001E-3</v>
      </c>
      <c r="K236" s="10">
        <v>0.02</v>
      </c>
      <c r="L236" s="10">
        <v>0.03</v>
      </c>
      <c r="M236" s="10">
        <v>0.04</v>
      </c>
      <c r="N236" s="10">
        <v>1.4999999999999999E-2</v>
      </c>
      <c r="O236" s="10">
        <v>1.4999999999999999E-2</v>
      </c>
      <c r="P236" s="10">
        <v>0</v>
      </c>
      <c r="Q236" s="10">
        <v>0</v>
      </c>
      <c r="R236" s="10">
        <v>4.7000000000000002E-3</v>
      </c>
      <c r="S236" s="10">
        <v>14</v>
      </c>
    </row>
    <row r="237" spans="4:19" x14ac:dyDescent="0.25">
      <c r="D237" s="8" t="s">
        <v>1814</v>
      </c>
      <c r="E237" s="10">
        <v>15</v>
      </c>
      <c r="F237" s="10">
        <v>0.74</v>
      </c>
      <c r="G237" s="10">
        <v>0.1</v>
      </c>
      <c r="H237" s="10">
        <v>0.17</v>
      </c>
      <c r="I237" s="10">
        <v>5.0000000000000001E-3</v>
      </c>
      <c r="J237" s="10">
        <v>0.01</v>
      </c>
      <c r="K237" s="10">
        <v>0.02</v>
      </c>
      <c r="L237" s="10">
        <v>0.03</v>
      </c>
      <c r="M237" s="10">
        <v>0.04</v>
      </c>
      <c r="N237" s="10">
        <v>1.4999999999999999E-2</v>
      </c>
      <c r="O237" s="10">
        <v>1.4999999999999999E-2</v>
      </c>
      <c r="P237" s="10">
        <v>0</v>
      </c>
      <c r="Q237" s="10">
        <v>0</v>
      </c>
      <c r="R237" s="10">
        <v>4.7000000000000002E-3</v>
      </c>
      <c r="S237" s="10">
        <v>15</v>
      </c>
    </row>
    <row r="238" spans="4:19" x14ac:dyDescent="0.25">
      <c r="D238" s="8" t="s">
        <v>1814</v>
      </c>
      <c r="E238" s="10">
        <v>16</v>
      </c>
      <c r="F238" s="10">
        <v>0.75</v>
      </c>
      <c r="G238" s="10">
        <v>0.1</v>
      </c>
      <c r="H238" s="10">
        <v>0.18</v>
      </c>
      <c r="I238" s="10">
        <v>5.0000000000000001E-3</v>
      </c>
      <c r="J238" s="10">
        <v>0.01</v>
      </c>
      <c r="K238" s="10">
        <v>0.02</v>
      </c>
      <c r="L238" s="10">
        <v>0.03</v>
      </c>
      <c r="M238" s="10">
        <v>0.04</v>
      </c>
      <c r="N238" s="10">
        <v>1.4999999999999999E-2</v>
      </c>
      <c r="O238" s="10">
        <v>1.4999999999999999E-2</v>
      </c>
      <c r="P238" s="10">
        <v>0</v>
      </c>
      <c r="Q238" s="10">
        <v>0</v>
      </c>
      <c r="R238" s="10">
        <v>4.7000000000000002E-3</v>
      </c>
      <c r="S238" s="10">
        <v>16</v>
      </c>
    </row>
    <row r="239" spans="4:19" x14ac:dyDescent="0.25">
      <c r="D239" s="8" t="s">
        <v>1814</v>
      </c>
      <c r="E239" s="10">
        <v>17</v>
      </c>
      <c r="F239" s="10">
        <v>0.76</v>
      </c>
      <c r="G239" s="10">
        <v>0.1</v>
      </c>
      <c r="H239" s="10">
        <v>0.2</v>
      </c>
      <c r="I239" s="10">
        <v>5.0000000000000001E-3</v>
      </c>
      <c r="J239" s="10">
        <v>0.01</v>
      </c>
      <c r="K239" s="10">
        <v>0.02</v>
      </c>
      <c r="L239" s="10">
        <v>0.03</v>
      </c>
      <c r="M239" s="10">
        <v>0.04</v>
      </c>
      <c r="N239" s="10">
        <v>1.4999999999999999E-2</v>
      </c>
      <c r="O239" s="10">
        <v>1.4999999999999999E-2</v>
      </c>
      <c r="P239" s="10">
        <v>0</v>
      </c>
      <c r="Q239" s="10">
        <v>0</v>
      </c>
      <c r="R239" s="10">
        <v>4.7000000000000002E-3</v>
      </c>
      <c r="S239" s="10">
        <v>17</v>
      </c>
    </row>
    <row r="240" spans="4:19" x14ac:dyDescent="0.25">
      <c r="D240" s="8" t="s">
        <v>1814</v>
      </c>
      <c r="E240" s="10">
        <v>18</v>
      </c>
      <c r="F240" s="10">
        <v>0.77</v>
      </c>
      <c r="G240" s="10">
        <v>0.1</v>
      </c>
      <c r="H240" s="10">
        <v>0.22</v>
      </c>
      <c r="I240" s="10">
        <v>5.0000000000000001E-3</v>
      </c>
      <c r="J240" s="10">
        <v>0.01</v>
      </c>
      <c r="K240" s="10">
        <v>0.02</v>
      </c>
      <c r="L240" s="10">
        <v>0.03</v>
      </c>
      <c r="M240" s="10">
        <v>0.04</v>
      </c>
      <c r="N240" s="10">
        <v>1.4999999999999999E-2</v>
      </c>
      <c r="O240" s="10">
        <v>1.4999999999999999E-2</v>
      </c>
      <c r="P240" s="10">
        <v>0</v>
      </c>
      <c r="Q240" s="10">
        <v>0</v>
      </c>
      <c r="R240" s="10">
        <v>4.7000000000000002E-3</v>
      </c>
      <c r="S240" s="10">
        <v>18</v>
      </c>
    </row>
    <row r="241" spans="4:19" x14ac:dyDescent="0.25">
      <c r="D241" s="8" t="s">
        <v>1814</v>
      </c>
      <c r="E241" s="10">
        <v>19</v>
      </c>
      <c r="F241" s="10">
        <v>0.77</v>
      </c>
      <c r="G241" s="10">
        <v>0.1</v>
      </c>
      <c r="H241" s="10">
        <v>0.24</v>
      </c>
      <c r="I241" s="10">
        <v>5.0000000000000001E-3</v>
      </c>
      <c r="J241" s="10">
        <v>0.01</v>
      </c>
      <c r="K241" s="10">
        <v>0.02</v>
      </c>
      <c r="L241" s="10">
        <v>0.03</v>
      </c>
      <c r="M241" s="10">
        <v>0.04</v>
      </c>
      <c r="N241" s="10">
        <v>1.4999999999999999E-2</v>
      </c>
      <c r="O241" s="10">
        <v>1.4999999999999999E-2</v>
      </c>
      <c r="P241" s="10">
        <v>0</v>
      </c>
      <c r="Q241" s="10">
        <v>0</v>
      </c>
      <c r="R241" s="10">
        <v>4.7000000000000002E-3</v>
      </c>
      <c r="S241" s="10">
        <v>19</v>
      </c>
    </row>
    <row r="242" spans="4:19" x14ac:dyDescent="0.25">
      <c r="D242" s="8" t="s">
        <v>1814</v>
      </c>
      <c r="E242" s="10">
        <v>20</v>
      </c>
      <c r="F242" s="10">
        <v>0.78</v>
      </c>
      <c r="G242" s="10">
        <v>0.1</v>
      </c>
      <c r="H242" s="10">
        <v>0.26</v>
      </c>
      <c r="I242" s="10">
        <v>5.0000000000000001E-3</v>
      </c>
      <c r="J242" s="10">
        <v>0.01</v>
      </c>
      <c r="K242" s="10">
        <v>0.02</v>
      </c>
      <c r="L242" s="10">
        <v>0.03</v>
      </c>
      <c r="M242" s="10">
        <v>0.04</v>
      </c>
      <c r="N242" s="10">
        <v>1.4999999999999999E-2</v>
      </c>
      <c r="O242" s="10">
        <v>1.4999999999999999E-2</v>
      </c>
      <c r="P242" s="10">
        <v>0</v>
      </c>
      <c r="Q242" s="10">
        <v>0</v>
      </c>
      <c r="R242" s="10">
        <v>4.7000000000000002E-3</v>
      </c>
      <c r="S242" s="10">
        <v>20</v>
      </c>
    </row>
    <row r="243" spans="4:19" x14ac:dyDescent="0.25">
      <c r="D243" s="8" t="s">
        <v>1814</v>
      </c>
      <c r="E243" s="10">
        <v>21</v>
      </c>
      <c r="F243" s="10">
        <v>0.78</v>
      </c>
      <c r="G243" s="10">
        <v>0.1</v>
      </c>
      <c r="H243" s="10">
        <v>0.28999999999999998</v>
      </c>
      <c r="I243" s="10">
        <v>5.0000000000000001E-3</v>
      </c>
      <c r="J243" s="10">
        <v>0.01</v>
      </c>
      <c r="K243" s="10">
        <v>0.02</v>
      </c>
      <c r="L243" s="10">
        <v>0.03</v>
      </c>
      <c r="M243" s="10">
        <v>0.04</v>
      </c>
      <c r="N243" s="10">
        <v>1.4999999999999999E-2</v>
      </c>
      <c r="O243" s="10">
        <v>1.4999999999999999E-2</v>
      </c>
      <c r="P243" s="10">
        <v>0</v>
      </c>
      <c r="Q243" s="10">
        <v>0</v>
      </c>
      <c r="R243" s="10">
        <v>4.7000000000000002E-3</v>
      </c>
      <c r="S243" s="10">
        <v>21</v>
      </c>
    </row>
    <row r="244" spans="4:19" x14ac:dyDescent="0.25">
      <c r="D244" s="8" t="s">
        <v>1814</v>
      </c>
      <c r="E244" s="10">
        <v>22</v>
      </c>
      <c r="F244" s="10">
        <v>0.78</v>
      </c>
      <c r="G244" s="10">
        <v>0.1</v>
      </c>
      <c r="H244" s="10">
        <v>0.31</v>
      </c>
      <c r="I244" s="10">
        <v>5.0000000000000001E-3</v>
      </c>
      <c r="J244" s="10">
        <v>0.01</v>
      </c>
      <c r="K244" s="10">
        <v>0.02</v>
      </c>
      <c r="L244" s="10">
        <v>0.03</v>
      </c>
      <c r="M244" s="10">
        <v>0.04</v>
      </c>
      <c r="N244" s="10">
        <v>1.4999999999999999E-2</v>
      </c>
      <c r="O244" s="10">
        <v>1.4999999999999999E-2</v>
      </c>
      <c r="P244" s="10">
        <v>0</v>
      </c>
      <c r="Q244" s="10">
        <v>0</v>
      </c>
      <c r="R244" s="10">
        <v>4.7000000000000002E-3</v>
      </c>
      <c r="S244" s="10">
        <v>22</v>
      </c>
    </row>
    <row r="245" spans="4:19" x14ac:dyDescent="0.25">
      <c r="D245" s="8" t="s">
        <v>1814</v>
      </c>
      <c r="E245" s="10">
        <v>23</v>
      </c>
      <c r="F245" s="10">
        <v>0.79</v>
      </c>
      <c r="G245" s="10">
        <v>0.1</v>
      </c>
      <c r="H245" s="10">
        <v>0.34</v>
      </c>
      <c r="I245" s="10">
        <v>5.0000000000000001E-3</v>
      </c>
      <c r="J245" s="10">
        <v>0.01</v>
      </c>
      <c r="K245" s="10">
        <v>0.02</v>
      </c>
      <c r="L245" s="10">
        <v>0.03</v>
      </c>
      <c r="M245" s="10">
        <v>0.04</v>
      </c>
      <c r="N245" s="10">
        <v>1.4999999999999999E-2</v>
      </c>
      <c r="O245" s="10">
        <v>1.4999999999999999E-2</v>
      </c>
      <c r="P245" s="10">
        <v>0</v>
      </c>
      <c r="Q245" s="10">
        <v>0</v>
      </c>
      <c r="R245" s="10">
        <v>4.7000000000000002E-3</v>
      </c>
      <c r="S245" s="10">
        <v>23</v>
      </c>
    </row>
    <row r="246" spans="4:19" x14ac:dyDescent="0.25">
      <c r="D246" s="8" t="s">
        <v>1814</v>
      </c>
      <c r="E246" s="10">
        <v>24</v>
      </c>
      <c r="F246" s="10">
        <v>0.79</v>
      </c>
      <c r="G246" s="10">
        <v>0.1</v>
      </c>
      <c r="H246" s="10">
        <v>0.37</v>
      </c>
      <c r="I246" s="10">
        <v>5.0000000000000001E-3</v>
      </c>
      <c r="J246" s="10">
        <v>0.01</v>
      </c>
      <c r="K246" s="10">
        <v>0.02</v>
      </c>
      <c r="L246" s="10">
        <v>0.03</v>
      </c>
      <c r="M246" s="10">
        <v>0.04</v>
      </c>
      <c r="N246" s="10">
        <v>1.4999999999999999E-2</v>
      </c>
      <c r="O246" s="10">
        <v>1.4999999999999999E-2</v>
      </c>
      <c r="P246" s="10">
        <v>0</v>
      </c>
      <c r="Q246" s="10">
        <v>0</v>
      </c>
      <c r="R246" s="10">
        <v>4.7000000000000002E-3</v>
      </c>
      <c r="S246" s="10">
        <v>24</v>
      </c>
    </row>
    <row r="247" spans="4:19" x14ac:dyDescent="0.25">
      <c r="D247" s="8" t="s">
        <v>1814</v>
      </c>
      <c r="E247" s="10">
        <v>25</v>
      </c>
      <c r="F247" s="10">
        <v>0.79</v>
      </c>
      <c r="G247" s="10">
        <v>0.1</v>
      </c>
      <c r="H247" s="10">
        <v>0.41</v>
      </c>
      <c r="I247" s="10">
        <v>5.0000000000000001E-3</v>
      </c>
      <c r="J247" s="10">
        <v>0.01</v>
      </c>
      <c r="K247" s="10">
        <v>0.02</v>
      </c>
      <c r="L247" s="10">
        <v>0.03</v>
      </c>
      <c r="M247" s="10">
        <v>0.04</v>
      </c>
      <c r="N247" s="10">
        <v>1.4999999999999999E-2</v>
      </c>
      <c r="O247" s="10">
        <v>1.4999999999999999E-2</v>
      </c>
      <c r="P247" s="10">
        <v>0</v>
      </c>
      <c r="Q247" s="10">
        <v>0</v>
      </c>
      <c r="R247" s="10">
        <v>4.7000000000000002E-3</v>
      </c>
      <c r="S247" s="10">
        <v>25</v>
      </c>
    </row>
    <row r="248" spans="4:19" x14ac:dyDescent="0.25">
      <c r="D248" s="8" t="s">
        <v>1812</v>
      </c>
      <c r="E248" s="10">
        <v>26</v>
      </c>
      <c r="F248" s="10">
        <v>0.79</v>
      </c>
      <c r="G248" s="10">
        <v>0.1</v>
      </c>
      <c r="H248" s="10">
        <v>0.44</v>
      </c>
      <c r="I248" s="10">
        <v>0.01</v>
      </c>
      <c r="J248" s="10">
        <v>1.4999999999999999E-2</v>
      </c>
      <c r="K248" s="10">
        <v>0.02</v>
      </c>
      <c r="L248" s="10">
        <v>0.03</v>
      </c>
      <c r="M248" s="10">
        <v>0.04</v>
      </c>
      <c r="N248" s="10">
        <v>1.4999999999999999E-2</v>
      </c>
      <c r="O248" s="10">
        <v>1.4999999999999999E-2</v>
      </c>
      <c r="P248" s="10">
        <v>0</v>
      </c>
      <c r="Q248" s="10">
        <v>0</v>
      </c>
      <c r="R248" s="10">
        <v>4.7000000000000002E-3</v>
      </c>
      <c r="S248" s="10">
        <v>26</v>
      </c>
    </row>
    <row r="249" spans="4:19" x14ac:dyDescent="0.25">
      <c r="D249" s="8" t="s">
        <v>1812</v>
      </c>
      <c r="E249" s="10">
        <v>27</v>
      </c>
      <c r="F249" s="10">
        <v>0.8</v>
      </c>
      <c r="G249" s="10">
        <v>0.1</v>
      </c>
      <c r="H249" s="10">
        <v>0.48</v>
      </c>
      <c r="I249" s="10">
        <v>0.01</v>
      </c>
      <c r="J249" s="10">
        <v>1.4999999999999999E-2</v>
      </c>
      <c r="K249" s="10">
        <v>0.02</v>
      </c>
      <c r="L249" s="10">
        <v>0.03</v>
      </c>
      <c r="M249" s="10">
        <v>0.04</v>
      </c>
      <c r="N249" s="10">
        <v>1.4999999999999999E-2</v>
      </c>
      <c r="O249" s="10">
        <v>1.4999999999999999E-2</v>
      </c>
      <c r="P249" s="10">
        <v>0</v>
      </c>
      <c r="Q249" s="10">
        <v>0</v>
      </c>
      <c r="R249" s="10">
        <v>4.7000000000000002E-3</v>
      </c>
      <c r="S249" s="10">
        <v>27</v>
      </c>
    </row>
    <row r="250" spans="4:19" x14ac:dyDescent="0.25">
      <c r="D250" s="8" t="s">
        <v>1812</v>
      </c>
      <c r="E250" s="10" t="s">
        <v>1890</v>
      </c>
      <c r="F250" s="10">
        <v>0.8</v>
      </c>
      <c r="G250" s="10">
        <v>0.1</v>
      </c>
      <c r="H250" s="10">
        <v>0.5</v>
      </c>
      <c r="I250" s="10">
        <v>0.01</v>
      </c>
      <c r="J250" s="10">
        <v>1.4999999999999999E-2</v>
      </c>
      <c r="K250" s="10">
        <v>0.02</v>
      </c>
      <c r="L250" s="10">
        <v>0.03</v>
      </c>
      <c r="M250" s="10">
        <v>0.04</v>
      </c>
      <c r="N250" s="10">
        <v>1.4999999999999999E-2</v>
      </c>
      <c r="O250" s="10">
        <v>1.4999999999999999E-2</v>
      </c>
      <c r="P250" s="10">
        <v>0</v>
      </c>
      <c r="Q250" s="10">
        <v>0</v>
      </c>
      <c r="R250" s="10">
        <v>4.7000000000000002E-3</v>
      </c>
      <c r="S250" s="10">
        <v>28</v>
      </c>
    </row>
    <row r="253" spans="4:19" ht="23.25" x14ac:dyDescent="0.25">
      <c r="D253" s="9" t="s">
        <v>1891</v>
      </c>
    </row>
    <row r="254" spans="4:19" x14ac:dyDescent="0.25">
      <c r="D254" s="11" t="s">
        <v>1892</v>
      </c>
    </row>
    <row r="255" spans="4:19" x14ac:dyDescent="0.25">
      <c r="D255" s="8" t="s">
        <v>65</v>
      </c>
    </row>
    <row r="256" spans="4:19" x14ac:dyDescent="0.25">
      <c r="D256" s="13" t="s">
        <v>1872</v>
      </c>
    </row>
    <row r="257" spans="4:5" x14ac:dyDescent="0.25">
      <c r="D257" s="10" t="s">
        <v>64</v>
      </c>
      <c r="E257" s="10" t="s">
        <v>65</v>
      </c>
    </row>
    <row r="258" spans="4:5" x14ac:dyDescent="0.25">
      <c r="D258" s="10" t="s">
        <v>1778</v>
      </c>
      <c r="E258" s="10">
        <v>6.0000000000000001E-3</v>
      </c>
    </row>
    <row r="259" spans="4:5" x14ac:dyDescent="0.25">
      <c r="D259" s="8" t="s">
        <v>1782</v>
      </c>
      <c r="E259" s="10">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VgBhAGwAaQBkAEwAaQB2AGUAcwB0AG8AYwBrAEMAbABhAHMAcwBcAG4APQAgAFUATgBJAFEAVQBFACgARgBJAEwAVABFAFIAKABUAGEAYgBsAGUAXwBTAGMAbwBwAGUAMwBfAEwAaQB2AGUAcwB0AG8AYwBrAFsAUAByAG8AZAB1AGMAdABdACwAIABUAGEAYgBsAGUAXwBTAGMAbwBwAGUAMwBfAEwAaQB2AGUAcwB0AG8AYwBrAFsAQwBhAHQAZQBnAG8AcgB5AF0APQBUAGEAYgBsAGUAXwBJAG4AcAB1AHQAXwBMAGkAdgBlAHMAdABvAGMAawBQAHUAcgBjAGgAYQBzAGUAcwBbAFsAIwBUAGgAaQBzACAAUgBvAHcAXQAsAFsATABpAHYAZQBzAHQAbwBjAGsAIAB0AHkAcABlACAAKABzAGUAbABlAGMAdAApAF0AXQApACkAXABuAFwAbgAiAH0ALAB7ACIAcABhAHQAaAAiADoAIgAvAHAAcgBvAGoAZQBjAHQAcwAvAEYAdQBlAGwAXwBTAG8AdQByAGMAZQBEAGEAdABhACIALAAiAHQAZQB4AHQAIgA6ACIALwAqAFwAbgA9AD0APQA9AD0APQA9AD0APQA9AD0APQA9AD0APQA9AD0APQA9AD0APQA9AD0APQA9AD0APQA9AD0APQA9AD0APQA9AD0APQA9AD0APQA9AD0APQA9AD0APQA9AD0APQA9AD0APQA9AD0APQA9AD0APQA9AD0APQA9AD0APQA9AD0APQA9AD0APQA9AD0APQA9AD0APQA9AFwAbgBGAHUAZQBsACAAcwBjAG8AcABlACAAMQAgAGUAbQBpAHMAcwBpAG8AbgAgAGYAYQBjAHQAbwByAHMAIAAtACAAUwB0AGEAdABpAG8AbgBhAHIAeQAgAGcAYQBzAGUAbwB1AHMAIABmAHUAZQBsAHMAXABuAD0APQA9AD0APQA9AD0APQA9AD0APQA9AD0APQA9AD0APQA9AD0APQA9AD0APQA9AD0APQA9AD0APQA9AD0APQA9AD0APQA9AD0APQA9AD0APQA9AD0APQA9AD0APQA9AD0APQA9AD0APQA9AD0APQA9AD0APQA9AD0APQA9AD0APQA9AD0APQA9AD0APQA9AD0APQA9AD0AXABuACoALwBcAG4AXABuAEYAdQBlAGwAXwBTAGMAbwBwAGUAMQBFAG0AaQBzAHMAaQBvAG4ARgBhAGMAdABvAHIAcwBTAHQAYQB0AGkAbwBuAGEAcgB5AEcAYQBzAGUAbwB1AHMAXwBUAGkAdABsAGUAXABuAD0ATABBAE0AQgBEAEEAKAAoAFwAIgBGAHUAZQBsACAAcwBjAG8AcABlACAAMQAgAGUAbQBpAHMAcwBpAG8AbgAgAGYAYQBjAHQAbwByAHMAIAAtACAAUwB0AGEAdABpAG8AbgBhAHIAeQAgAGcAYQBzAGUAbwB1AHMAIABmAHUAZQBsAHMAXAAiACkAKQA7AFwAbgBcAG4ARgB1AGUAbABfAFMAYwBvAHAAZQAxAEUAbQBpAHMAcwBpAG8AbgBGAGEAYwB0AG8AcgBzAFMAdABhAHQAaQBvAG4AYQByAHkARwBhAHMAZQBvAHUAcwBfAEQAZQBzAGMAcgBpAHAAdABpAG8AbgBcAG4APQBMAEEATQBCAEQAQQAoACgAXAAiAEQAaQByAGUAYwB0ACAAKABTAGMAbwBwAGUAIAAxACkAIABlAG0AaQBzAHMAaQBvAG4AIABmAGEAYwB0AG8AcgBzACAAZgBvAHIAIAB0AGgAZQAgAGMAbwBuAHMAdQBtAHAAdABpAG8AbgAgAG8AZgAgAGcAYQBzAGUAbwB1AHMAIABmAHUAZQBsAHMAIABpAG4AYwBsAHUAZABpAG4AZwAgAGwAaQBxAHUAZQBmAGkAZQBkACAAbgBhAHQAdQByAGEAbAAgAGcAYQBzACAAIABcACIAKQApADsAXABuAFwAbgBGAHUAZQBsAF8AUwBjAG8AcABlADEARQBtAGkAcwBzAGkAbwBuAEYAYQBjAHQAbwByAHMAUwB0AGEAdABpAG8AbgBhAHIAeQBHAGEAcwBlAG8AdQBzAF8AUwBvAHUAcgBjAGUAXABuAD0ATABBAE0AQgBEAEEAKAAoAFwAIgBBAHUAcwB0AHIAYQBsAGkAYQBuACAATgBhAHQAaQBvAG4AYQBsACAARwByAGUAZQBuAGgAbwB1AHMAZQAgAEEAYwBjAG8AdQBuAHQAcwAgAEYAYQBjAHQAbwByAHMAIAAyADAAMgA1ACAALQAgAFQAYQBiAGwAZQAgADUAXAAiACkAKQA7AFwAbgBcAG4ARgB1AGUAbABfAFMAYwBvAHAAZQAxAEUAbQBpAHMAcwBpAG8AbgBGAGEAYwB0AG8AcgBzAFMAdABhAHQAaQBvAG4AYQByAHkARwBhAHMAZQBvAHUAcwBfAEQAYQB0AGEAXABuAD0ATABBAE0AQgBEAEEAKABcAG4AIAAgAE0AQQBLAEUAQQBSAFIAQQBZACgAMQA5ACwAIAA3ACwAXABuACAAIAAgACAATABBAE0AQgBEAEEAKAByACwAYwAsAFwAbgAgACAAIAAgACAAIABJAE4ARABFAFgAKAB7AFwAbgAgACAAIAAgACAAIAAgACAAXAAiAEYAdQBlAGwAIABjAG8AbQBiAHUAcwB0AGUAZABcACIALAAgAFwAIgBFAG4AZQByAGcAeQAgAEMAbwBuAHQAZQBuAHQAIABGAGEAYwB0AG8AcgAgACgARwBKACAAcABlAHIAIAB1AG4AaQB0ACAAbwBmACAAZgB1AGUAbAApAFwAIgAsACAAXAAiAEYAdQBlAGwAIAB1AG4AaQB0AFwAIgAsACAAXAAiAFMAYwBvAHAAZQAgADEAIABFAG0AaQBzAHMAaQBvAG4AIABGAGEAYwB0AG8AcgAgACgAawBnACAAQwBPADIAIAAtACAAZQAgAC8AIABHAEoAKQAgAEMATwAyAFwAIgAsACAAXAAiAFMAYwBvAHAAZQAgADEAIABFAG0AaQBzAHMAaQBvAG4AIABGAGEAYwB0AG8AcgAgACgAawBnACAAQwBPADIAIAAtACAAZQAgAC8AIABHAEoAKQAgAEMASAA0AFwAIgAsACAAXAAiAFMAYwBvAHAAZQAgADEAIABFAG0AaQBzAHMAaQBvAG4AIABGAGEAYwB0AG8AcgAgACgAawBnACAAQwBPADIAIAAtACAAZQAgAC8AIABHAEoAKQAgAE4AMgBPAFwAIgAsACAAXAAiAFMAYwBvAHAAZQAgADEAIABFAG0AaQBzAHMAaQBvAG4AIABGAGEAYwB0AG8AcgAgACgAawBnACAAQwBPADIAIAAtACAAZQAgAC8AIABHAEoAKQAgAEMAbwBtAGIAaQBuAGUAZAAgAGcAYQBzAGUAcwBcACIAOwBcAG4AIAAgACAAIAAgACAAIAAgAFwAIgBOAGEAdAB1AHIAYQBsACAAZwBhAHMAIABkAGkAcwB0AHIAaQBiAHUAdABlAGQAIABpAG4AIABhACAAcABpAHAAZQBsAGkAbgBlAFwAIgAsACAAMAAuADAAMwA5ADMALAAgAFwAIgBtADMAXAAiACwAIAA1ADEALgA0ACwAIAAwAC4AMQAsACAAMAAuADAAMwAsACAANQAxAC4ANQAzADsAXABuACAAIAAgACAAIAAgACAAIABcACIAQwBvAGEAbAAgAHMAZQBhAG0AIABtAGUAdABoAGEAbgBlACAAdABoAGEAdAAgAGkAcwAgAGMAYQBwAHQAdQByAGUAZAAgAGYAbwByACAAYwBvAG0AYgB1AHMAdABpAG8AbgBcACIALAAgADAALgAwADMANwA3ACwAIABcACIAbQAzAFwAIgAsACAANQAxAC4ANAAsACAAMAAuADIALAAgADAALgAwADMALAAgADUAMQAuADYAMwA7AFwAbgAgACAAIAAgACAAIAAgACAAXAAiAEMAbwBhAGwAIABtAGkAbgBlACAAdwBhAHMAdABlACAAZwBhAHMAIAB0AGgAYQB0ACAAaQBzACAAYwBhAHAAdAB1AHIAZQBkACAAZgBvAHIAIABjAG8AbQBiAHUAcwB0AGkAbwBuAFwAIgAsACAAMAAuADAAMwA3ADcALAAgAFwAIgBtADMAXAAiACwAIAA1ADEALgA5ACwAIAA0AC4ANgAsACAAMAAuADMALAAgADUANgAuADgAOwBcAG4AIAAgACAAIAAgACAAIAAgAFwAIgBDAG8AbQBwAHIAZQBzAHMAZQBkACAAbgBhAHQAdQByAGEAbAAgAGcAYQBzACgAcgBlAHYAZQByAHQAaQBuAGcAIAB0AG8AIABzAHQAYQBuAGQAYQByAGQAIABjAG8AbgBkAGkAdABpAG8AbgBzACkAXAAiACwAIAAwAC4AMAAzADkAMwAsACAAXAAiAG0AMwBcACIALAAgADUAMQAuADQALAAgADAALgAxACwAIAAwAC4AMAAzACwAIAA1ADEALgA1ADMAOwBcAG4AIAAgACAAIAAgACAAIAAgAFwAIgBVAG4AcAByAG8AYwBlAHMAcwBlAGQAIABuAGEAdAB1AHIAYQBsACAAZwBhAHMAXAAiACwAIAAwAC4AMAAzADkAMwAsACAAXAAiAG0AMwBcACIALAAgADUAMQAuADQALAAgADAALgAxACwAIAAwAC4AMAAzACwAIAA1ADEALgA1ADMAOwBcAG4AIAAgACAAIAAgACAAIAAgAFwAIgBFAHQAaABhAG4AZQBcACIALAAgADAALgAwADYAMgA5ACwAIABcACIAbQAzAFwAIgAsACAANQA2AC4ANQAsACAAMAAuADAAMwAsACAAMAAuADAAMwAsACAANQA2AC4ANQA2ADsAXABuACAAIAAgACAAIAAgACAAIABcACIAQwBvAGsAZQAgAG8AdgBlAG4AIABnAGEAcwBcACIALAAgADAALgAwADEAOAAxACwAIABcACIAbQAzAFwAIgAsACAAMwA3AC4AMAAsACAAMAAuADAAMwAsACAAMAAuADAANQAsACAAMwA3AC4AMAA4ADsAXABuACAAIAAgACAAIAAgACAAIABcACIAQgBsAGEAcwB0ACAAZgB1AHIAbgBhAGMAZQAgAGcAYQBzAFwAIgAsACAAMAAuADAAMAA0ADAALAAgAFwAIgBtADMAXAAiACwAIAAyADMANAAuADAALAAgADAALgAwADMALAAgADAALgAwADIALAAgADIAMwA0AC4AMAA1ADsAXABuACAAIAAgACAAIAAgACAAIABcACIAVABvAHcAbgAgAGcAYQBzAFwAIgAsACAAMAAuADAAMwA5ADAALAAgAFwAIgBtADMAXAAiACwAIAA2ADAALgAyACwAIAAwAC4AMAA0ACwAIAAwAC4AMAAzACwAIAA2ADAALgAyADcAOwBcAG4AIAAgACAAIAAgACAAIAAgAFwAIgBMAGkAcQB1AGUAZgBpAGUAZAAgAG4AYQB0AHUAcgBhAGwAIABnAGEAcwBcACIALAAgADIANQAuADMALAAgAFwAIgBrAEwAXAAiACwAIAA1ADEALgA0ACwAIAAwAC4AMQAsACAAMAAuADAAMwAsACAANQAxAC4ANQAzADsAXABuACAAIAAgACAAIAAgACAAIABcACIARwBhAHMAZQBvAHUAcwAgAGYAbwBzAHMAaQBsACAAZgB1AGUAbABzACAAbwB0AGgAZQByACAAdABoAGEAbgAgAHQAaABvAHMAZQAgAG0AZQBuAHQAaQBvAG4AZQBkACAAaQBuACAAdABoAGUAIABpAHQAZQBtAHMAIABhAGIAbwB2AGUAXAAiACwAIAAwAC4AMAAzADkAMAAsACAAXAAiAG0AMwBcACIALAAgADUAMQAuADQALAAgADAALgAxACwAIAAwAC4AMAAzACwAIAA1ADEALgA1ADMAOwBcAG4AIAAgACAAIAAgACAAIAAgAFwAIgBMAGEAbgBkAGYAaQBsAGwAIABiAGkAbwBnAGEAcwAgAHQAaABhAHQAIABpAHMAIABjAGEAcAB0AHUAcgBlAGQAIABmAG8AcgAgAGMAbwBtAGIAdQBzAHQAaQBvAG4AIAAoAG0AZQB0AGgAYQBuAGUAIABvAG4AbAB5ACkAXAAiACwAIAAwAC4AMAAzADcANwAsACAAXAAiAG0AMwBcACIALAAgADAALgAwACwAIAA2AC4ANAAsACAAMAAuADAAMwAsACAANgAuADQAMwA7AFwAbgAgACAAIAAgACAAIAAgACAAXAAiAFMAbAB1AGQAZwBlACAAYgBpAG8AZwBhAHMAIAB0AGgAYQB0ACAAaQBzACAAYwBhAHAAdAB1AHIAZQBkACAAZgBvAHIAIABjAG8AbQBiAHUAcwB0AGkAbwBuACAAKABtAGUAdABoAGEAbgBlACAAbwBuAGwAeQApAFwAIgAsACAAMAAuADAAMwA3ADcALAAgAFwAIgBtADMAXAAiACwAIAAwAC4AMAAsACAANgAuADQALAAgADAALgAwADMALAAgADYALgA0ADMAOwBcAG4AIAAgACAAIAAgACAAIAAgAFwAIgBBACAAYgBpAG8AZwBhAHMAIAB0AGgAYQB0ACAAaQBzACAAYwBhAHAAdAB1AHIAZQBkACAAZgBvAHIAIABjAG8AbQBiAHUAcwB0AGkAbwBuACwAIABvAHQAaABlAHIAIAB0AGgAYQBuACAAdABoAG8AcwBlACAAbQBlAG4AdABpAG8AbgBlAGQAIABpAG4AIAB0AGgAZQAgAGkAdABlAG0AcwAgAGEAYgBvAHYAZQBcACIALAAgADAALgAwADMANwAwACwAIABcACIAbQAzAFwAIgAsACAAMAAuADAALAAgADYALgA0ACwAIAAwAC4AMAAzACwAIAA2AC4ANAAzADsAXABuACAAIAAgACAAIAAgACAAIABcACIAQgBpAG8AbQBlAHQAaABhAG4AZQBcACIALAAgADAALgAwADMAOQAzACwAIABcACIAbQAzAFwAIgAsACAAMAAuADAALAAgADAALgAxACwAIAAwAC4AMAAzACwAIAAwAC4AMQAzADsAXABuACAAIAAgACAAIAAgACAAIABcACIASAB5AGQAcgBvAGcAZQBuAFwAIgAsACAAMAAuADAAMQAyADIALAAgAFwAIgBtADMAXAAiACwAIAAwAC4AMAAsACAAMAAuADAALAAgADAALgA1ACwAIAAwAC4ANQA7AFwAbgAgACAAIAAgACAAIAAgACAAXAAiAE4AYQB0AHUAcgBhAGwAIABnAGEAcwAgAGQAaQBzAHQAcgBpAGIAdQB0AGUAZAAgAGkAbgAgAGEAIABwAGkAcABlAGwAaQBuAGUAIAAtACAARwBpAGcAYQBqAG8AdQBsAGUAcwBcACIALAAgADEALAAgAFwAIgBHAEoAXAAiACwAIAA1ADEALgA0ACwAIAAwAC4AMQAsACAAMAAuADAAMwAsACAANQAxAC4ANQAzADsAXABuACAAIAAgACAAIAAgACAAIABcACIAVABvAHcAbgAgAGcAYQBzACAALQAgAEcAaQBnAGEAagBvAHUAbABlAHMAXAAiACwAIAAxACwAIABcACIARwBKAFwAIgAsACAANgAwAC4AMgAsACAAMAAuADAANAAsACAAMAAuADAAMwAsACAANgAwAC4AMgA3AFwAbgAgACAAIAAgACAAIAB9ACwAIAByACwAIABjACkAXABuACkAKQApADsAXABuAFwAbgBGAHUAZQBsAF8AUwBjAG8AcABlADEARQBtAGkAcwBzAGkAbwBuAEYAYQBjAHQAbwByAHMAUwB0AGEAdABpAG8AbgBhAHIAeQBHAGEAcwBlAG8AdQBzAF8AVgBhAHIAaQBhAHQAaQBvAG4AXABuAD0ATABBAE0AQgBEAEEAKAAoAFwAIgBWAEEAUgBJAEEAVABJAE8ATgAgAE8ARgAgAFMATwBVAFIAQwBFACAARABBAFQAQQA6ACAAXAB1ADAAMAAyADcATgBhAHQAdQByAGEAbAAgAGcAYQBzACAAZABpAHMAdAByAGkAYgB1AHQAZQBkACAAaQBuACAAYQAgAHAAaQBwAGUAbABpAG4AZQAgAC0AIABHAGkAZwBhAGoAbwB1AGwAZQBzAFwAdQAwADAAMgA3ACAAYQBuAGQAIABcAHUAMAAwADIANwBUAG8AdwBuACAAZwBhAHMAIAAtACAARwBpAGcAYQBqAG8AdQBsAGUAcwBcAHUAMAAwADIANwAgAHcAZQByAGUAIABhAGQAZABlAGQALAAgAGUAYQBjAGgAIAB3AGkAdABoACAAYQBuACAAZQBuAGUAcgBnAHkAIABjAG8AbgB0AGUAbgB0ACAAZgBhAGMAdABvAHIAIABvAGYAIAAxACAARwBKACAAcABlAHIAIAB1AG4AaQB0ACAAbwBmACAAZgB1AGUAbAAuACAAVABoAGkAcwAgAGkAcwAgAGYAbwByACAAdQBzAGUAcgBzACAAdwBoAG8AIABoAGEAdgBlACAAZgB1AGUAbAAgAGMAbwBuAHMAdQBtAHAAdABpAG8AbgAgAGQAYQB0AGEAIABpAG4AIABHAEoAIAByAGEAdABoAGUAcgAgAHQAaABhAG4AIABtADMALgBcACIAKQApADsAXABuAFwAbgBcAG4ALwAqAFwAbgA9AD0APQA9AD0APQA9AD0APQA9AD0APQA9AD0APQA9AD0APQA9AD0APQA9AD0APQA9AD0APQA9AD0APQA9AD0APQA9AD0APQA9AD0APQA9AD0APQA9AD0APQA9AD0APQA9AD0APQA9AD0APQA9AD0APQA9AD0APQA9AD0APQA9AD0APQA9AD0APQA9AD0APQA9AD0APQA9AFwAbgBGAHUAZQBsACAAcwBjAG8AcABlACAAMwAgAGUAbQBpAHMAcwBpAG8AbgAgAGYAYQBjAHQAbwByAHMAIAAtACAAUwB0AGEAdABpAG8AbgBhAHIAeQAgAGcAYQBzAGUAbwB1AHMAIABmAHUAZQBsAHMAXABuAD0APQA9AD0APQA9AD0APQA9AD0APQA9AD0APQA9AD0APQA9AD0APQA9AD0APQA9AD0APQA9AD0APQA9AD0APQA9AD0APQA9AD0APQA9AD0APQA9AD0APQA9AD0APQA9AD0APQA9AD0APQA9AD0APQA9AD0APQA9AD0APQA9AD0APQA9AD0APQA9AD0APQA9AD0APQA9AD0AXABuACoALwBcAG4AXABuAEYAdQBlAGwAXwBTAGMAbwBwAGUAMwBFAG0AaQBzAHMAaQBvAG4ARgBhAGMAdABvAHIAcwBTAHQAYQB0AGkAbwBuAGEAcgB5AEcAYQBzAGUAbwB1AHMAXwBUAGkAdABsAGUAXABuAD0ATABBAE0AQgBEAEEAKAAoAFwAIgBGAHUAZQBsACAAcwBjAG8AcABlACAAMwAgAGUAbQBpAHMAcwBpAG8AbgAgAGYAYQBjAHQAbwByAHMAIAAtACAAUwB0AGEAdABpAG8AbgBhAHIAeQAgAGcAYQBzAGUAbwB1AHMAIABmAHUAZQBsAHMAXAAiACkAKQA7AFwAbgBcAG4ARgB1AGUAbABfAFMAYwBvAHAAZQAzAEUAbQBpAHMAcwBpAG8AbgBGAGEAYwB0AG8AcgBzAFMAdABhAHQAaQBvAG4AYQByAHkARwBhAHMAZQBvAHUAcwBfAEQAZQBzAGMAcgBpAHAAdABpAG8AbgBcAG4APQBMAEEATQBCAEQAQQAoACgAXAAiAEkAbgBkAGkAcgBlAGMAdAAgACgAUwBjAG8AcABlACAAMwApACAAZQBtAGkAcwBzAGkAbwBuACAAZgBhAGMAdABvAHIAcwAgAGYAbwByACAAdABoAGUAIABjAG8AbgBzAHUAbQBwAHQAaQBvAG4AIABvAGYAIABuAGEAdAB1AHIAYQBsACAAZwBhAHMALgBcACIAKQApADsAXABuAFwAbgBGAHUAZQBsAF8AUwBjAG8AcABlADMARQBtAGkAcwBzAGkAbwBuAEYAYQBjAHQAbwByAHMAUwB0AGEAdABpAG8AbgBhAHIAeQBHAGEAcwBlAG8AdQBzAF8AUwBvAHUAcgBjAGUAXABuAD0ATABBAE0AQgBEAEEAKAAoAFwAIgBBAHUAcwB0AHIAYQBsAGkAYQBuACAATgBhAHQAaQBvAG4AYQBsACAARwByAGUAZQBuAGgAbwB1AHMAZQAgAEEAYwBjAG8AdQBuAHQAcwAgAEYAYQBjAHQAbwByAHMAIAAyADAAMgA1ACAALQAgAFQAYQBiAGwAZQAgADYAXAAiACkAKQA7AFwAbgBcAG4ARgB1AGUAbABfAFMAYwBvAHAAZQAzAEUAbQBpAHMAcwBpAG8AbgBGAGEAYwB0AG8AcgBzAFMAdABhAHQAaQBvAG4AYQByAHkARwBhAHMAZQBvAHUAcwBfAEQAYQB0AGEAXABuAD0ATABBAE0AQgBEAEEAKABcAG4AIAAgAE0AQQBLAEUAQQBSAFIAQQBZACgAOQAsACAAMwAsAFwAbgAgACAAIAAgAEwAQQBNAEIARABBACgAcgAsAGMALABcAG4AIAAgACAAIAAgACAASQBOAEQARQBYACgAewBcAG4AIAAgACAAIAAgACAAIAAgAFwAIgBTAHQAYQB0AGUAIABvAHIAIAB0AGUAcgByAGkAdABvAHIAeQBcACIALAAgAFwAIgBTAGMAbwBwAGUAIAAzACAARQBtAGkAcwBzAGkAbwBuACAARgBhAGMAdABvAHIAcwAgAGYAbwByACAATgBhAHQAdQByAGEAbAAgAEcAYQBzACAAKABrAGcAIABDAE8AMgAgAC0AIABlACAALwAgAEcASgApACAATQBlAHQAcgBvAFwAIgAsACAAXAAiAFMAYwBvAHAAZQAgADMAIABFAG0AaQBzAHMAaQBvAG4AIABGAGEAYwB0AG8AcgBzACAAZgBvAHIAIABOAGEAdAB1AHIAYQBsACAARwBhAHMAIAAoAGsAZwAgAEMATwAyACAALQAgAGUAIAAvACAARwBKACkAIABOAG8AbgAgAC0AIABNAGUAdAByAG8AXAAiADsAXABuACAAIAAgACAAIAAgACAAIABcACIATgBlAHcAIABTAG8AdQB0AGgAIABXAGEAbABlAHMAXAAiACwAIAAxADMALgAxACwAIAAxADQALgAwADsAXABuACAAIAAgACAAIAAgACAAIABcACIAQQBDAFQAXAAiACwAIAAxADMALgAxACwAIAAxADQALgAwADsAXABuACAAIAAgACAAIAAgACAAIABcACIAVgBpAGMAdABvAHIAaQBhAFwAIgAsACAANAAuADAALAAgADQALgAwADsAXABuACAAIAAgACAAIAAgACAAIABcACIAUQB1AGUAZQBuAHMAbABhAG4AZABcACIALAAgADgALgA4ACwAIAA3AC4AOQA7AFwAbgAgACAAIAAgACAAIAAgACAAXAAiAFMAbwB1AHQAaAAgAEEAdQBzAHQAcgBhAGwAaQBhAFwAIgAsACAAMQAwAC4ANwAsACAAMQAwAC4ANgA7AFwAbgAgACAAIAAgACAAIAAgACAAXAAiAFcAZQBzAHQAZQByAG4AIABBAHUAcwB0AHIAYQBsAGkAYQBcACIALAAgADQALgAxACwAIAA0AC4AMAA7AFwAbgAgACAAIAAgACAAIAAgACAAXAAiAFQAYQBzAG0AYQBuAGkAYQBcACIALAAgADQALgAwACwAIAA0AC4AMAA7AFwAbgAgACAAIAAgACAAIAAgACAAXAAiAE4AbwByAHQAaABlAHIAbgAgAFQAZQByAHIAaQB0AG8AcgB5AFwAIgAsACAANAAuADEALAAgADQALgAwAFwAbgAgACAAIAAgACAAIAB9ACwAIAByACwAIABjACkAXABuACkAKQApADsAXABuAFwAbgBGAHUAZQBsAF8AUwBjAG8AcABlADMARQBtAGkAcwBzAGkAbwBuAEYAYQBjAHQAbwByAHMAUwB0AGEAdABpAG8AbgBhAHIAeQBHAGEAcwBlAG8AdQBzAF8AVgBhAHIAaQBhAHQAaQBvAG4AXABuAD0ATABBAE0AQgBEAEEAKAAoAFwAIgBWAEEAUgBJAEEAVABJAE8ATgAgAE8ARgAgAFMATwBVAFIAQwBFACAARABBAFQAQQA6ACAATgBTAFcAIABhAG4AZAAgAEEAQwBUACAAcwBwAGwAaQB0ACAAaQBuAHQAbwAgAHMAZQBwAGEAcgBhAHQAZQAgAHIAbwB3AHMALgAgAFwAdQAwADAAMgA3AEMAXAB1ADAAMAAyADcAIABWAGEAbAB1AGUAcwAgAGYAbwByACAAVABhAHMAbQBhAG4AaQBhACAAYQBuAGQAIABOAG8AcgB0AGgAZQByAG4AIABUAGUAcgByAGkAdABvAHIAeQAgAHIAZQBwAGwAYQBjAGUAZAAgAHcAaQB0AGgAIAB0AGgAbwBzAGUAIABmAG8AcgAgAFYAaQBjAHQAbwByAGkAYQAgAGEAbgBkACAAVwBlAHMAdABlAHIAbgAgAEEAdQBzAHQAcgBhAGwAaQBhACAAcgBlAHMAcABlAGMAdABpAHYAZQBsAHkALgAgACgAUwBlAGUAIABhAHAAcABlAG4AZABpAGMAZQBzACkAXAAiACkAKQA7AFwAbgBcAG4ARgB1AGUAbABfAFMAYwBvAHAAZQAzAEUAbQBpAHMAcwBpAG8AbgBGAGEAYwB0AG8AcgBzAFMAdABhAHQAaQBvAG4AYQByAHkARwBhAHMAZQBvAHUAcwBfAEEAcABwAGUAbgBkAGkAYwBlAHMAXABuAD0ATABBAE0AQgBEAEEAKABcAG4AIAAgAE0AQQBLAEUAQQBSAFIAQQBZACgAMQAyACwAIAAyACwAXABuACAAIAAgACAATABBAE0AQgBEAEEAKAByACwAYwAsAFwAbgAgACAAIAAgACAAIABJAE4ARABFAFgAKAB7AFwAbgAgACAAIAAgACAAIAAgACAAXAAiAC0AXAAiACwAIABcACIAQQBzACAAUwBjAG8AcABlACAAMwAgAGYAYQBjAHQAbwByAHMAIABhAHIAZQAgAGMAYQBsAGMAdQBsAGEAdABlAGQAIABhAHQAIAB0AGgAZQAgAHAAbwBpAG4AdAAgAHcAaABlAHIAZQAgAG4AYQB0AHUAcgBhAGwAIABnAGEAcwAgAGkAcwAgAGQAZQBsAGkAdgBlAHIAZQBkACAAdABvACAAZQBuAGQAIAB1AHMAZQByAHMALAAgAGkAdAAgAGkAcwAgAG4AZQBjAGUAcwBzAGEAcgB5ACAAdABvACAAYwBhAGwAYwB1AGwAYQB0AGUAIABjAG8AbgBzAHUAbQBwAHQAaQBvAG4AIABhAHQAIABlAGEAYwBoACAAbwBmACAAdABoAGUAIABsAG8AYQBkACAAYwBlAG4AdAByAGUAcwAuAFwAIgA7AFwAbgAgACAAIAAgACAAIAAgACAAXAAiAFwAIgAsACAAXAAiAEcAYQBzACAAcgBlAGEAYwBoAGUAcwAgAGUAbgBkACAAdQBzAGUAcgBzACAAZQBpAHQAaABlAHIAIABmAHIAbwBtACAAdABoAGUAIABtAGUAdAByAG8AIABkAGkAcwB0AHIAaQBiAHUAdABpAG8AbgAgAG4AZQB0AHcAbwByAGsAcwAgAG8AcgAgAGQAaQByAGUAYwB0ACAAZgByAG8AbQAgAHQAaABlACAAaABpAGcAaAAgAC0AIABwAHIAZQBzAHMAdQByAGUAIABkAGkAcwB0AHIAaQBiAHUAdABpAG8AbgAgAHAAaQBwAGUAbABpAG4AZQBzAC4AXAAiADsAXABuACAAIAAgACAAIAAgACAAIABcACIAXAAiACwAIABcACIASABvAHUAcwBlAGgAbwBsAGQAcwAgAGEAbgBkACAAYwBvAG0AbQBlAHIAYwBpAGEAbAAgAHUAcwBlAHIAcwAgAHQAZQBuAGQAIAB0AG8AIABiAGUAIABzAGUAcgB2AGUAZAAgAGIAeQAgAHQAaABlACAAZgBvAHIAbQBlAHIALAAgAGEAbgBkACAAZQBsAGUAYwB0AHIAaQBjAGkAdAB5ACAAZwBlAG4AZQByAGEAdABvAHIAcwAgAGEAbgBkACAAbABhAHIAZwBlACAAaQBuAGQAdQBzAHQAcgBpAGEAbAAgAHAAbABhAG4AdABzACAAZgByAG8AbQAgAHQAaABlACAAbABhAHQAdABlAHIALgBcACIAOwBcAG4AIAAgACAAIAAgACAAIAAgAFwAIgAtAFwAIgAsACAAXAAiAE0AZQB0AHIAbwAgAGkAcwAgAGQAZQBmAGkAbgBlAGQAIABhAHMAIABsAG8AYwBhAHQAZQBkACAAbwBuACAAbwByACAAZQBhAHMAdAAgAG8AZgAgAHQAaABlACAAZABpAHYAaQBkAGkAbgBnACAAcgBhAG4AZwBlACAAaQBuACAATgBTAFcALAAgAGkAbgBjAGwAdQBkAGkAbgBnACAAQwBhAG4AYgBlAHIAcgBhACAAYQBuAGQAIABRAHUAZQBhAG4AYgBlAHkAYQBuACwAIABNAGUAbABiAG8AdQByAG4AZQAsACAAQgByAGkAcwBiAGEAbgBlACwAIABBAGQAZQBsAGEAaQBkAGUAIABvAHIAIABQAGUAcgB0AGgALgBcACIAOwBcAG4AIAAgACAAIAAgACAAIAAgAFwAIgBcACIALAAgAFwAIgBPAHQAaABlAHIAdwBpAHMAZQAsACAAdABoAGUAIABuAG8AbgAgAC0AIABtAGUAdAByAG8AIABmAGEAYwB0AG8AcgAgAHMAaABvAHUAbABkACAAYgBlACAAdQBzAGUAZAAuAFwAIgA7AFwAbgAgACAAIAAgACAAIAAgACAAXAAiAC0AXAAiACwAIABcACIARgBhAGMAdABvAHIAcwAgAGEAcgBlACAAYwBhAGwAYwB1AGwAYQB0AGUAZAAgAGYAbwByACAAYQBsAGwAIABuAGEAdAB1AHIAYQBsACAAZwBhAHMAIABkAGkAcwB0AHIAaQBiAHUAdABlAGQAIABpAG4AIABhACAAcABpAHAAZQBsAGkAbgBlACAAdwBoAGkAYwBoACAAbQBhAHkAIABpAG4AYwBsAHUAZABlACAAYwBvAGEAbAAgAHMAZQBhAG0AIABtAGUAdABoAGEAbgBlAC4AXAAiADsAXABuACAAIAAgACAAIAAgACAAIABcACIALQBcACIALAAgAFwAIgBUAGEAYgBsAGUAIAA2ACAAaQBzACAAbgBvAHQAIABhAHAAcABsAGkAYwBhAGIAbABlACAAdABvACAAZQB0AGgAYQBuAGUALgAgAFMAZQBlACAAVABhAGIAbABlACAANwAgAEkAbgBkAGkAcgBlAGMAdAAgACgAUwBjAG8AcABlACAAMwApACAAZQBtAGkAcwBzAGkAbwBuAHMAIABmAHIAbwBtACAAdABoAGUAIABjAG8AbgBzAHUAbQBwAHQAaQBvAG4AIABvAGYAIABlAHQAaABhAG4AZQAuAFwAIgA7AFwAbgAgACAAIAAgACAAIAAgACAAXAAiAC0AXAAiACwAIABcACIAQwAgAD0AIABDAG8AbgBmAGkAZABlAG4AdABpAGEAbAAuACAAUwBjAG8AcABlACAAMwAgAGUAbQBpAHMAcwBpAG8AbgAgAGYAYQBjAHQAbwByAHMAIABmAG8AcgAgAFQAYQBzAG0AYQBuAGkAYQAgAGEAbgBkACAAdABoAGUAIABOAG8AcgB0AGgAZQByAG4AIABUAGUAcgByAGkAdABvAHIAeQAgAGEAcgBlACAAbgBvAHQAIABhAHYAYQBpAGwAYQBiAGwAZQAgAGQAdQBlACAAdABvACAAYwBvAG4AZgBpAGQAZQBuAHQAaQBhAGwAaQB0AHkAIABjAG8AbgBzAHQAcgBhAGkAbgB0AHMAIAB0AGgAYQB0ACAAYQByAGkAcwBlAFwAIgA7AFwAbgAgACAAIAAgACAAIAAgACAAXAAiAFwAIgAsACAAXAAiAGYAcgBvAG0AIAB0AGgAZQAgAHUAcwBlACAAbwBmACAAYQAgAGwAaQBtAGkAdABlAGQAIABuAHUAbQBiAGUAcgAgAG8AZgAgAE4ARwBFAFIAIABkAGEAdABhACAAaQBuAHAAdQB0AHMALgAgAEkAdAAgAGkAcwAgAHMAdQBnAGcAZQBzAHQAZQBkACAAdABoAGEAdAAgAGYAbwByACAAVABhAHMAbQBhAG4AaQBhACAAdABoAGUAIAB1AHMAZQAgAG8AZgAgAHQAaABlACAAVgBpAGMAdABvAHIAaQBhAG4AIABlAG0AaQBzAHMAaQBvAG4AIABmAGEAYwB0AG8AcgBzACAAaQBzACAAYQBwAHAAcgBvAHAAcgBpAGEAdABlACwAXAAiADsAXABuACAAIAAgACAAIAAgACAAIABcACIAXAAiACwAIABcACIAdwBoAGkAbABlACAAZgBvAHIAIABOAG8AcgB0AGgAZQByAG4AIABUAGUAcgByAGkAdABvAHIAeQAgAHQAaABlACAAdQBzAGUAIABvAGYAIAB0AGgAZQAgAFcAZQBzAHQAZQByAG4AIABBAHUAcwB0AHIAYQBsAGkAYQBuACAAZQBtAGkAcwBzAGkAbwBuACAAZgBhAGMAdABvAHIAcwAgAGkAcwAgAGEAcABwAHIAbwBwAHIAaQBhAHQAZQAuAFwAIgA7AFwAbgAgACAAIAAgACAAIAAgACAAXAAiAC0AXAAiACwAIABcACIAUwBjAG8AcABlACAAMwAgAGUAbQBpAHMAcwBpAG8AbgAgAGYAYQBjAHQAbwByAHMAIABkAG8AIABuAG8AdAAgAGkAbgBjAGwAdQBkAGUAIABmAHUAZwBpAHQAaQB2AGUAIABlAG0AaQBzAHMAaQBvAG4AIABsAGUAYQBrAGEAZwBlACAAZgByAG8AbQAgAGwAbwB3ACAAcAByAGUAcwBzAHUAcgBlACAAbgBhAHQAdQByAGEAbAAgAGcAYQBzACAAZABpAHMAdAByAGkAYgB1AHQAaQBvAG4AIABwAGkAcABlAGwAaQBuAGUAIABuAGUAdAB3AG8AcgBrAHMAIAB3AGgAaQBsAGUAIAB0AGgAbwBzAGUAIABmAHIAbwBtACAAaABpAGcAaAAgAHAAcgBlAHMAcwB1AHIAZQBcACIAOwBcAG4AIAAgACAAIAAgACAAIAAgAFwAIgBcACIALAAgAFwAIgBnAGEAcwAgAG4AZQB0AHcAbwByAGsAcwAgAGEAcgBlACAAYwBvAG4AcwBpAGQAZQByAGUAZAAgAG4AZQBnAGwAaQBnAGkAYgBsAGUALg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EYAdQBlAGwAIABzAGMAbwBwAGUAIAAxACAAYQBuAGQAIAAzACAAZQBtAGkAcwBzAGkAbwBuACAAZgBhAGMAdABvAHIAcwAgAC0AIABTAHQAYQB0AGkAbwBuAGEAcgB5ACAAbABpAHEAdQBpAGQAIABmAHUAZQBsAHMAXABuAD0APQA9AD0APQA9AD0APQA9AD0APQA9AD0APQA9AD0APQA9AD0APQA9AD0APQA9AD0APQA9AD0APQA9AD0APQA9AD0APQA9AD0APQA9AD0APQA9AD0APQA9AD0APQA9AD0APQA9AD0APQA9AD0APQA9AD0APQA9AD0APQA9AD0APQA9AD0APQA9AD0APQA9AD0APQA9AD0AXABuACoALwBcAG4AXABuAEYAdQBlAGwAXwBTAGMAbwBwAGUAMQBTAGMAbwBwAGUAMwBFAG0AaQBzAHMAaQBvAG4ARgBhAGMAdABvAHIAcwBTAHQAYQB0AGkAbwBuAGEAcgB5AEwAaQBxAHUAaQBkAF8AVABpAHQAbABlAFwAbgA9AEwAQQBNAEIARABBACgAKABcACIARgB1AGUAbAAgAHMAYwBvAHAAZQAgADEAIABhAG4AZAAgADMAIABlAG0AaQBzAHMAaQBvAG4AIABmAGEAYwB0AG8AcgBzACAALQAgAFMAdABhAHQAaQBvAG4AYQByAHkAIABsAGkAcQB1AGkAZAAgAGYAdQBlAGwAcwBcACIAKQApADsAXABuAFwAbgBGAHUAZQBsAF8AUwBjAG8AcABlADEAUwBjAG8AcABlADMARQBtAGkAcwBzAGkAbwBuAEYAYQBjAHQAbwByAHMAUwB0AGEAdABpAG8AbgBhAHIAeQBMAGkAcQB1AGkAZABfAEQAZQBzAGMAcgBpAHAAdABpAG8AbgBcAG4APQBMAEEATQBCAEQAQQAoACgAXAAiAEQAaQByAGUAYwB0ACAAKABTAGMAbwBwAGUAIAAxACkAIABhAG4AZAAgAGkAbgBkAGkAcgBlAGMAdAAgACgAcwBjAG8AcABlACAAMwApACAAZQBtAGkAcwBzAGkAbwBuACAAZgBhAGMAdABvAHIAcwAgAGYAbwByACAAdABoAGUAIABjAG8AbgBzAHUAbQBwAHQAaQBvAG4AIABvAGYAIABsAGkAcQB1AGkAZAAgAGYAdQBlAGwAcwAsACAAaQBuAGMAbAB1AGQAaQBuAGcAIABjAGUAcgB0AGEAaQBuACAAcABlAHQAcgBvAGwAZQB1AG0AIABiAGEAcwBlAGQAIABwAHIAbwBkAHUAYwB0AHMAIABmAG8AcgAgAHMAdABhAHQAaQBvAG4AYQByAHkAIABlAG4AZQByAGcAeQAgAHAAdQByAHAAbwBzAGUAcwAuAFwAIgApACkAOwBcAG4AXABuAEYAdQBlAGwAXwBTAGMAbwBwAGUAMQBTAGMAbwBwAGUAMwBFAG0AaQBzAHMAaQBvAG4ARgBhAGMAdABvAHIAcwBTAHQAYQB0AGkAbwBuAGEAcgB5AEwAaQBxAHUAaQBkAF8AUwBvAHUAcgBjAGUAXABuAD0ATABBAE0AQgBEAEEAKAAoAFwAIgBBAHUAcwB0AHIAYQBsAGkAYQBuACAATgBhAHQAaQBvAG4AYQBsACAARwByAGUAZQBuAGgAbwB1AHMAZQAgAEEAYwBjAG8AdQBuAHQAcwAgAEYAYQBjAHQAbwByAHMAIAAyADAAMgA1ACAALQAgAFQAYQBiAGwAZQAgADgAXAAiACkAKQA7AFwAbgBcAG4ARgB1AGUAbABfAFMAYwBvAHAAZQAxAFMAYwBvAHAAZQAzAEUAbQBpAHMAcwBpAG8AbgBGAGEAYwB0AG8AcgBzAFMAdABhAHQAaQBvAG4AYQByAHkATABpAHEAdQBpAGQAXwBEAGEAdABhAFwAbgA9AEwAQQBNAEIARABBACgAXABuACAAIABNAEEASwBFAEEAUgBSAEEAWQAoADIANQAsACAAOAAsAFwAbgAgACAAIAAgAEwAQQBNAEIARABBACgAcgAsAGMALABcAG4AIAAgACAAIAAgACAASQBOAEQARQBYACgAewBcAG4AIAAgACAAIAAgACAAIAAgAFwAIgBGAHUAZQBsACAAYwBvAG0AYgB1AHMAdABlAGQAXAAiACwAIABcACIARQBuAGUAcgBnAHkAIABDAG8AbgB0AGUAbgB0ACAARgBhAGMAdABvAHIAIAAoAEcASgAgAHAAZQByACAAdQBuAGkAdAAgAG8AZgAgAGYAdQBlAGwAKQBcACIALAAgAFwAIgBGAHUAZQBsACAAdQBuAGkAdABcACIALAAgAFwAIgBTAGMAbwBwAGUAIAAxACAARQBtAGkAcwBzAGkAbwBuACAARgBhAGMAdABvAHIAIAAoAGsAZwAgAEMATwAyACAALQAgAGUAIAAvACAARwBKACkAIABDAE8AMgBcACIALAAgAFwAIgBTAGMAbwBwAGUAIAAxACAARQBtAGkAcwBzAGkAbwBuACAARgBhAGMAdABvAHIAIAAoAGsAZwAgAEMATwAyACAALQAgAGUAIAAvACAARwBKACkAIABDAEgANABcACIALAAgAFwAIgBTAGMAbwBwAGUAIAAxACAARQBtAGkAcwBzAGkAbwBuACAARgBhAGMAdABvAHIAIAAoAGsAZwAgAEMATwAyACAALQAgAGUAIAAvACAARwBKACkAIABOADIATwBcACIALAAgAFwAIgBTAGMAbwBwAGUAIAAxACAARQBtAGkAcwBzAGkAbwBuACAARgBhAGMAdABvAHIAIAAoAGsAZwAgAEMATwAyACAALQAgAGUAIAAvACAARwBKACkAIABDAG8AbQBiAGkAbgBlAGQAIABnAGEAcwBlAHMAXAAiACwAIABcACIAUwBjAG8AcABlACAAMwAgAEUAbQBpAHMAcwBpAG8AbgAgAEYAYQBjAHQAbwByACAAKABrAGcAIABDAE8AMgAgAC0AIABlACAALwAgAEcASgApAFwAIgA7AFwAbgAgACAAIAAgACAAIAAgACAAXAAiAFAAZQB0AHIAbwBsAGUAdQBtACAAYgBhAHMAZQBkACAAbwBpAGwAcwAgACgAbwB0AGgAZQByACAAdABoAGEAbgAgAHAAZQB0AHIAbwBsAGUAdQBtACAAYgBhAHMAZQBkACAAbwBpAGwAIAB1AHMAZQBkACAAYQBzACAAZgB1AGUAbAApACwAIABlAC4AZwAuACAAbAB1AGIAcgBpAGMAYQBuAHQAcwBcACIALAAgADMAOAAuADgALAAgAFwAIgBrAGwAXAAiACwAIAAxADMALgA5ACwAIAAwAC4AMAAsACAAMAAuADAALAAgADEAMwAuADkALAAgADEAOAAuADAAOwBcAG4AIAAgACAAIAAgACAAIAAgAFwAIgBQAGUAdAByAG8AbABlAHUAbQAgAGIAYQBzAGUAZAAgAGcAcgBlAGEAcwBlAHMAXAAiACwAIAAzADgALgA4ACwAIABcACIAawBsAFwAIgAsACAAMwAuADUALAAgADAALgAwACwAIAAwAC4AMAAsACAAMwAuADUALAAgADEAOAAuADAAOwBcAG4AIAAgACAAIAAgACAAIAAgAFwAIgBDAHIAdQBkAGUAIABvAGkAbAAgAGkAbgBjAGwAdQBkAGkAbgBnACAAYwByAHUAZABlACAAbwBpAGwAIABjAG8AbgBkAGUAbgBzAGEAdABlAHMAXAAiACwAIAA0ADUALgAzACwAIABcACIAdABcACIALAAgADYAOQAuADYALAAgADAALgAwADgALAAgADAALgAyACwAIAA2ADkALgA4ADgALAAgAFwAIgBOAEUAXAAiADsAXABuACAAIAAgACAAIAAgACAAIABcACIATwB0AGgAZQByACAAbgBhAHQAdQByAGEAbAAgAGcAYQBzACAAbABpAHEAdQBpAGQAcwBcACIALAAgADQANgAuADUALAAgAFwAIgB0AFwAIgAsACAANgAxAC4AMAAsACAAMAAuADAAOAAsACAAMAAuADIALAAgADYAMQAuADIAOAAsACAAXAAiAE4ARQBcACIAOwBcAG4AIAAgACAAIAAgACAAIAAgAFwAIgBBAHUAdABvAG0AbwB0AGkAdgBlACAAZwBhAHMAbwBsAGkAbgBlACAALwAgAHAAZQB0AHIAbwBsACAAKABvAHQAaABlAHIAIAB0AGgAYQBuACAAZgBvAHIAIAB1AHMAZQAgAGEAcwAgAGYAdQBlAGwAIABpAG4AIABhAG4AIABhAGkAcgBjAHIAYQBmAHQAKQBcACIALAAgADMANAAuADIALAAgAFwAIgBrAEwAXAAiACwAIAA2ADcALgA0ACwAIAAwAC4AMgAsACAAMAAuADIALAAgADYANwAuADgAMAAsACAAMQA3AC4AMgA7AFwAbgAgACAAIAAgACAAIAAgACAAXAAiAEEAdgBpAGEAdABpAG8AbgAgAGcAYQBzAG8AbABpAG4AZQBcACIALAAgADMAMwAuADEALAAgAFwAIgBrAEwAXAAiACwAIAA2ADcALAAgADAALgAyACwAIAAwAC4AMgAsACAANgA3AC4ANAAwACwAIAAxADgALgAwADsAXABuACAAIAAgACAAIAAgACAAIABcACIASwBlAHIAbwBzAGUAbgBlACAAKABvAHQAaABlAHIAIAB0AGgAYQBuACAAZgBvAHIAIAB1AHMAZQAgAGEAcwAgAGYAdQBlAGwAIABpAG4AIABhAG4AIABhAGkAcgBjAHIAYQBmAHQAKQBcACIALAAgADMANwAuADUALAAgAFwAIgBrAEwAXAAiACwAIAA2ADgALgA5ACwAIAAwAC4AMAAxACwAIAAwAC4AMgAsACAANgA5AC4AMQAxACwAIAAxADgALgAwADsAXABuACAAIAAgACAAIAAgACAAIABcACIAQQB2AGkAYQB0AGkAbwBuACAAdAB1AHIAYgBpAG4AZQAgAGYAdQBlAGwAIAAvACAAawBlAHIAbwBzAGUAbgBlAFwAIgAsACAAMwA2AC4AOAAsACAAXAAiAGsATABcACIALAAgADYAOQAuADYALAAgADAALgAwADIALAAgADAALgAyACwAIAA2ADkALgA4ADIALAAgADEAOAAuADAAOwBcAG4AIAAgACAAIAAgACAAIAAgAFwAIgBIAGUAYQB0AGkAbgBnACAAbwBpAGwAXAAiACwAIAAzADcALgAzACwAIABcACIAawBMAFwAIgAsACAANgA5AC4ANQAsACAAMAAuADAAMwAsACAAMAAuADIALAAgADYAOQAuADcAMwAsACAAMQA4AC4AMAA7AFwAbgAgACAAIAAgACAAIAAgACAAXAAiAEQAaQBlAHMAZQBsACAAbwBpAGwAXAAiACwAIAAzADgALgA2ACwAIABcACIAawBMAFwAIgAsACAANgA5AC4AOQAsACAAMAAuADEALAAgADAALgAyACwAIAA3ADAALgAyADAALAAgADEANwAuADMAOwBcAG4AIAAgACAAIAAgACAAIAAgAFwAIgBGAHUAZQBsACAAbwBpAGwAXAAiACwAIAAzADkALgA3ACwAIABcACIAawBMAFwAIgAsACAANwAzAC4ANgAsACAAMAAuADAANAAsACAAMAAuADIALAAgADcAMwAuADgANAAsACAAMQA4AC4AMAA7AFwAbgAgACAAIAAgACAAIAAgACAAXAAiAEwAaQBxAHUAZQBmAGkAZQBkACAAYQByAG8AbQBhAHQAaQBjACAAaAB5AGQAcgBvAGMAYQByAGIAbwBuAHMAXAAiACwAIAAzADQALgA0ACwAIABcACIAawBMAFwAIgAsACAANgA5AC4ANwAsACAAMAAuADAAMwAsACAAMAAuADIALAAgADYAOQAuADkAMwAsACAAMQA4AC4AMAA7AFwAbgAgACAAIAAgACAAIAAgACAAXAAiAFMAbwBsAHYAZQBuAHQAcwA6ACAAbQBpAG4AZQByAGEAbAAgAHQAdQByAHAAZQBuAHQAaQBuAGUAIABvAHIAIAB3AGgAaQB0AGUAIABzAHAAaQByAGkAdABzAFwAIgAsACAAMwA0AC4ANAAsACAAXAAiAGsATABcACIALAAgADYAOQAuADcALAAgADAALgAwADMALAAgADAALgAyACwAIAA2ADkALgA5ADMALAAgADEAOAAuADAAOwBcAG4AIAAgACAAIAAgACAAIAAgAFwAIgBMAGkAcQB1AGUAZgBpAGUAZAAgAHAAZQB0AHIAbwBsAGUAdQBtACAAZwBhAHMAIAAoAEwAUABHACkAXAAiACwAIAAyADUALgA3ACwAIABcACIAawBMAFwAIgAsACAANgAwAC4AMgAsACAAMAAuADIALAAgADAALgAyACwAIAA2ADAALgA2ADAALAAgADIAMAAuADIAOwBcAG4AIAAgACAAIAAgACAAIAAgAFwAIgBOAGEAcABoAHQAaABhAFwAIgAsACAAMwAxAC4ANAAsACAAXAAiAGsATABcACIALAAgADYAOQAuADgALAAgADAALgAwADEALAAgADAALgAwADEALAAgADYAOQAuADgAMgAsACAAMQA4AC4AMAA7AFwAbgAgACAAIAAgACAAIAAgACAAXAAiAFAAZQB0AHIAbwBsAGUAdQBtACAAYwBvAGsAZQBcACIALAAgADMANAAuADIALAAgAFwAIgB0AFwAIgAsACAAOQAyAC4ANgAsACAAMAAuADAAOAAsACAAMAAuADIALAAgADkAMgAuADgAOAAsACAAMQA4AC4AMAA7AFwAbgAgACAAIAAgACAAIAAgACAAXAAiAFIAZQBmAGkAbgBlAHIAeQAgAGcAYQBzACAAYQBuAGQAIABsAGkAcQB1AGkAZABzAFwAIgAsACAANAAyAC4AOQAsACAAXAAiAHQAXAAiACwAIAA1ADQALgA3ACwAIAAwAC4AMAAzACwAIAAwAC4AMAAzACwAIAA1ADQALgA3ADYALAAgADEAOAAuADAAOwBcAG4AIAAgACAAIAAgACAAIAAgAFwAIgBSAGUAZgBpAG4AZQByAHkAIABjAG8AawBlAFwAIgAsACAAMwA0AC4AMgAsACAAXAAiAHQAXAAiACwAIAA5ADIALgA2ACwAIAAwAC4AMAA4ACwAIAAwAC4AMgAsACAAOQAyAC4AOAA4ACwAIAAxADgALgAwADsAXABuACAAIAAgACAAIAAgACAAIABcACIAUABlAHQAcgBvAGwAZQB1AG0AIABiAGEAcwBlAGQAIABwAHIAbwBkAHUAYwB0AHMAIABvAHQAaABlAHIAIAB0AGgAYQBuACAAbQBlAG4AdABpAG8AbgBlAGQAIABpAG4AIAB0AGgAZQAgAGkAdABlAG0AcwAgAGEAYgBvAHYAZQBcACIALAAgADMANAAuADQALAAgAFwAIgBrAEwAXAAiACwAIAA2ADkALgA4ACwAIAAwAC4AMAAyACwAIAAwAC4AMQAsACAANgA5AC4AOQAyACwAIAAxADgALgAwADsAXABuACAAIAAgACAAIAAgACAAIABcACIAQgBpAG8AZABpAGUAcwBlAGwAXAAiACwAIAAzADQALgA2ACwAIABcACIAawBMAFwAIgAsACAAMAAuADAALAAgADAALgAwADgALAAgADAALgAyACwAIAAwAC4AMgA4ACwAIABcACIATgBFAFwAIgA7AFwAbgAgACAAIAAgACAAIAAgACAAXAAiAEUAdABoAGEAbgBvAGwAIABmAG8AcgAgAHUAcwBlACAAYQBzACAAYQAgAGYAdQBlAGwAIABpAG4AIABhAG4AIABpAG4AdABlAHIAbgBhAGwAIABjAG8AbQBiAHUAcwB0AGkAbwBuACAAZQBuAGcAaQBuAGUAXAAiACwAIAAyADMALgA0ACwAIABcACIAawBMAFwAIgAsACAAMAAuADAALAAgADAALgAwADgALAAgADAALgAyACwAIAAwAC4AMgA4ACwAIABcACIATgBFAFwAIgA7AFwAbgAgACAAIAAgACAAIAAgACAAXAAiAEIAaQBvAGYAdQBlAGwAcwAgAG8AdABoAGUAcgAgAHQAaABhAG4AIAB0AGgAbwBzAGUAIABtAGUAbgB0AGkAbwBuAGUAZAAgAGkAbgAgAHQAaABlACAAaQB0AGUAbQBzACAAYQBiAG8AdgBlACAAYQBuAGQAIABiAGUAbABvAHcAXAAiACwAIAAyADMALgA0ACwAIABcACIAawBMAFwAIgAsACAAMAAuADAALAAgADAALgAwADgALAAgADAALgAyACwAIAAwAC4AMgA4ACwAIABcACIATgBFAFwAIgA7AFwAbgAgACAAIAAgACAAIAAgACAAXAAiAFIAZQBuAGUAdwBhAGIAbABlACAAYQB2AGkAYQB0AGkAbwBuACAAawBlAHIAbwBzAGUAbgBlAFwAIgAsACAAMwA2AC4AOAAsACAAXAAiAGsATABcACIALAAgADAALgAwACwAIAAwAC4AMAAyACwAIAAwAC4AMgAsACAAMAAuADIAMgAsACAAXAAiAE4ARQBcACIAOwBcAG4AIAAgACAAIAAgACAAIAAgAFwAIgBSAGUAbgBlAHcAYQBiAGwAZQAgAGQAaQBlAHMAZQBsAFwAIgAsACAAMwA4AC4ANgAsACAAXAAiAGsATABcACIALAAgADAALgAwACwAIAAwAC4AMQAsACAAMAAuADIALAAgADAALgAzADAALAAgAFwAIgBOAEUAXAAiAFwAbgAgACAAIAAgACAAIAB9ACwAIAByACwAIABjACkAXABuACkAKQApADsAXABuAFwAbgBGAHUAZQBsAF8AUwBjAG8AcABlADEAUwBjAG8AcABlADMARQBtAGkAcwBzAGkAbwBuAEYAYQBjAHQAbwByAHMAUwB0AGEAdABpAG8AbgBhAHIAeQBMAGkAcQB1AGkAZABfAFYAYQByAGkAYQB0AGkAbwBuAFwAbgA9AEwAQQBNAEIARABBACgAXAAiAFYAQQBSAEkAQQBUAEkATwBOACAATwBGACAAUwBPAFUAUgBDAEUAIABEAEEAVABBADoAIABcAHUAMAAwADIANwBOAEUAXAB1ADAAMAAyADcAIAB2AGEAbAB1AGUAcwAgAHIAZQB0AHUAcgBuAGUAZAAgAGEAcwAgAHoAZQByAG8AIABmAG8AcgAgAGMAYQBsAGMAdQBsAGEAdABpAG8AbgBzAC4AXAAiACkAOwBcAG4AXABuAC8AKgBcAG4APQA9AD0APQA9AD0APQA9AD0APQA9AD0APQA9AD0APQA9AD0APQA9AD0APQA9AD0APQA9AD0APQA9AD0APQA9AD0APQA9AD0APQA9AD0APQA9AD0APQA9AD0APQA9AD0APQA9AD0APQA9AD0APQA9AD0APQA9AD0APQA9AD0APQA9AD0APQA9AD0APQA9AD0APQA9AD0APQBcAG4ARgB1AGUAbAAgAHMAYwBvAHAAZQAgADEAIABhAG4AZAAgADMAIABlAG0AaQBzAHMAaQBvAG4AIABmAGEAYwB0AG8AcgBzACAALQAgAFQAcgBhAG4AcwBwAG8AcgB0AFwAbgA9AD0APQA9AD0APQA9AD0APQA9AD0APQA9AD0APQA9AD0APQA9AD0APQA9AD0APQA9AD0APQA9AD0APQA9AD0APQA9AD0APQA9AD0APQA9AD0APQA9AD0APQA9AD0APQA9AD0APQA9AD0APQA9AD0APQA9AD0APQA9AD0APQA9AD0APQA9AD0APQA9AD0APQA9AD0APQA9AFwAbgAqAC8AXABuAFwAbgBGAHUAZQBsAF8AUwBjAG8AcABlADEAUwBjAG8AcABlADMARQBtAGkAcwBzAGkAbwBuAEYAYQBjAHQAbwByAHMAVAByAGEAbgBzAHAAbwByAHQAXwBUAGkAdABsAGUAXABuAD0ATABBAE0AQgBEAEEAKAAoAFwAIgBGAHUAZQBsACAAcwBjAG8AcABlACAAMQAgAGEAbgBkACAAMwAgAGUAbQBpAHMAcwBpAG8AbgAgAGYAYQBjAHQAbwByAHMAIAAtACAAVAByAGEAbgBzAHAAbwByAHQAXAAiACkAKQA7AFwAbgBcAG4ARgB1AGUAbABfAFMAYwBvAHAAZQAxAFMAYwBvAHAAZQAzAEUAbQBpAHMAcwBpAG8AbgBGAGEAYwB0AG8AcgBzAFQAcgBhAG4AcwBwAG8AcgB0AF8ARABlAHMAYwByAGkAcAB0AGkAbwBuAFwAbgA9AEwAQQBNAEIARABBACgAKABcACIARABpAHIAZQBjAHQAIAAoAHMAYwBvAHAAZQAgADEAKQAgAGEAbgBkACAAaQBuAGQAaQByAGUAYwB0ACAAKABzAGMAbwBwAGUAIAAzACkAIABlAG0AaQBzAHMAaQBvAG4AIABmAGEAYwB0AG8AcgBzACAAZgBvAHIAIAB0AGgAZQAgAGMAbwBuAHMAdQBtAHAAdABpAG8AbgAgAG8AZgAgAHQAcgBhAG4AcwBwAG8AcgB0ACAAZgB1AGUAbABzACAAaQBuACAAZABpAGYAZgBlAHIAZQBuAHQAIAB0AHIAYQBuAHMAcABvAHIAdAAgAGUAcQB1AGkAcABtAGUAbgB0AFwAIgApACkAOwBcAG4AXABuAEYAdQBlAGwAXwBTAGMAbwBwAGUAMQBTAGMAbwBwAGUAMwBFAG0AaQBzAHMAaQBvAG4ARgBhAGMAdABvAHIAcwBUAHIAYQBuAHMAcABvAHIAdABfAFMAbwB1AHIAYwBlAFwAbgA9AEwAQQBNAEIARABBACgAKABcACIAQQB1AHMAdAByAGEAbABpAGEAbgAgAE4AYQB0AGkAbwBuAGEAbAAgAEcAcgBlAGUAbgBoAG8AdQBzAGUAIABBAGMAYwBvAHUAbgB0AHMAIABGAGEAYwB0AG8AcgBzACAAMgAwADIANQAgAC0AIABUAGEAYgBsAGUAIAA5AFwAIgApACkAOwBcAG4AXABuAEYAdQBlAGwAXwBTAGMAbwBwAGUAMQBTAGMAbwBwAGUAMwBFAG0AaQBzAHMAaQBvAG4ARgBhAGMAdABvAHIAcwBUAHIAYQBuAHMAcABvAHIAdABfAEQAYQB0AGEAXABuAD0ATABBAE0AQgBEAEEAKABcAG4AIAAgAE0AQQBLAEUAQQBSAFIAQQBZACgAMgA2ACwAIAAxADAALABcAG4AIAAgACAAIABMAEEATQBCAEQAQQAoAHIALABjACwAXABuACAAIAAgACAAIAAgAEkATgBEAEUAWAAoAHsAXABuACAAIAAgACAAIAAgACAAIABcACIAVAByAGEAbgBzAHAAbwByAHQAIAB0AHkAcABlAFwAIgAsACAAXAAiAEYAdQBlAGwAIABjAG8AbQBiAHUAcwB0AGUAZABcACIALAAgAFwAIgBFAG4AZQByAGcAeQAgAEMAbwBuAHQAZQBuAHQAIABGAGEAYwB0AG8AcgAoAEcASgAgAHAAZQByACAAdQBuAGkAdAAgAG8AZgAgAGYAdQBlAGwAKQBcACIALAAgAFwAIgBGAHUAZQBsACAAdQBuAGkAdABcACIALAAgAFwAIgBTAGMAbwBwAGUAIAAxACAARQBtAGkAcwBzAGkAbwBuACAARgBhAGMAdABvAHIAIAAoAGsAZwAgAEMATwAyACAALQAgAGUAIAAvACAARwBKACkAIABDAE8AMgBcACIALAAgAFwAIgBTAGMAbwBwAGUAIAAxACAARQBtAGkAcwBzAGkAbwBuACAARgBhAGMAdABvAHIAIAAoAGsAZwAgAEMATwAyACAALQAgAGUAIAAvACAARwBKACkAIABDAEgANABcACIALAAgAFwAIgBTAGMAbwBwAGUAIAAxACAARQBtAGkAcwBzAGkAbwBuACAARgBhAGMAdABvAHIAIAAoAGsAZwAgAEMATwAyACAALQAgAGUAIAAvACAARwBKACkAIABOADIATwBcACIALAAgAFwAIgBTAGMAbwBwAGUAIAAxACAARQBtAGkAcwBzAGkAbwBuACAARgBhAGMAdABvAHIAIAAoAGsAZwAgAEMATwAyACAALQAgAGUAIAAvACAARwBKACkAIABDAG8AbQBiAGkAbgBlAGQAIABnAGEAcwBlAHMAXAAiACwAIABcACIAUwBjAG8AcABlACAAMwAgAEUAbQBpAHMAcwBpAG8AbgAgAEYAYQBjAHQAbwByACAAKABrAGcAIABDAE8AMgAgAC0AIABlACAALwAgAEcASgApAFwAIgAsACAAXAAiAFMAbwB1AHIAYwBlAFwAIgA7AFwAbgAgACAAIAAgACAAIAAgACAAXAAiAEMAYQByAHMAIABhAG4AZAAgAGwAaQBnAGgAdAAgAGMAbwBtAG0AZQByAGMAaQBhAGwAIAB2AGUAaABpAGMAbABlAHMAXAAiACwAIABcACIARwBhAHMAbwBsAGkAbgBlAFwAIgAsACAAMwA0AC4AMgAsACAAXAAiAGsAbABcACIALAAgADYANwAuADQALAAgADAALgAwADIALAAgADAALgAyACwAIAA2ADcALgA2ADIALAAgADEANwAuADIALAAgAFwAIgBOAEcAQQBGACAAMgAwADIANQA6ACAAVABhAGIAbABlACAAOQBcACIAOwBcAG4AIAAgACAAIAAgACAAIAAgAFwAIgBDAGEAcgBzACAAYQBuAGQAIABsAGkAZwBoAHQAIABjAG8AbQBtAGUAcgBjAGkAYQBsACAAdgBlAGgAaQBjAGwAZQBzAFwAIgAsACAAXAAiAEQAaQBlAHMAZQBsACAAbwBpAGwAXAAiACwAIAAzADgALgA2ACwAIABcACIAawBsAFwAIgAsACAANgA5AC4AOQAsACAAMAAuADAAMQAsACAAMAAuADUALAAgADcAMAAuADQAMQAsACAAMQA3AC4AMwAsACAAXAAiAE4ARwBBAEYAIAAyADAAMgA1ADoAIABUAGEAYgBsAGUAIAA5AFwAIgA7AFwAbgAgACAAIAAgACAAIAAgACAAXAAiAEMAYQByAHMAIABhAG4AZAAgAGwAaQBnAGgAdAAgAGMAbwBtAG0AZQByAGMAaQBhAGwAIAB2AGUAaABpAGMAbABlAHMAXAAiACwAIABcACIATABpAHEAdQBlAGYAaQBlAGQAIABwAGUAdAByAG8AbABlAHUAbQAgAGcAYQBzACAAKABMAFAARwApAFwAIgAsACAAMgA2AC4AMgAsACAAXAAiAGsAbABcACIALAAgADYAMAAuADIALAAgADAALgA1ACwAIAAwAC4AMwAsACAANgAxAC4AMAAwACwAIAAyADAALgAyACwAIABcACIATgBHAEEARgAgADIAMAAyADUAOgAgAFQAYQBiAGwAZQAgADkAXAAiADsAXABuACAAIAAgACAAIAAgACAAIABcACIAQwBhAHIAcwAgAGEAbgBkACAAbABpAGcAaAB0ACAAYwBvAG0AbQBlAHIAYwBpAGEAbAAgAHYAZQBoAGkAYwBsAGUAcwBcACIALAAgAFwAIgBGAHUAZQBsACAAbwBpAGwAXAAiACwAIAAzADkALgA3ACwAIABcACIAawBsAFwAIgAsACAANwAzAC4ANgAsACAAMAAuADAAOAAsACAAMAAuADUALAAgADcANAAuADEAOAAsACAAMQA4AC4AMAAsACAAXAAiAE4ARwBBAEYAIAAyADAAMgA1ADoAIABUAGEAYgBsAGUAIAA5AFwAIgA7AFwAbgAgACAAIAAgACAAIAAgACAAXAAiAEMAYQByAHMAIABhAG4AZAAgAGwAaQBnAGgAdAAgAGMAbwBtAG0AZQByAGMAaQBhAGwAIAB2AGUAaABpAGMAbABlAHMAXAAiACwAIABcACIARQB0AGgAYQBuAG8AbABcACIALAAgADIAMwAuADQALAAgAFwAIgBrAGwAXAAiACwAIAAwAC4AMAAsACAAMAAuADIALAAgADAALgAyACwAIAAwAC4ANAAsACAAXAAiAE4ARQBcACIALAAgAFwAIgBOAEcAQQBGACAAMgAwADIANQA6ACAAVABhAGIAbABlACAAOQBcACIAOwBcAG4AIAAgACAAIAAgACAAIAAgAFwAIgBDAGEAcgBzACAAYQBuAGQAIABsAGkAZwBoAHQAIABjAG8AbQBtAGUAcgBjAGkAYQBsACAAdgBlAGgAaQBjAGwAZQBzAFwAIgAsACAAXAAiAEIAaQBvAGQAaQBlAHMAZQBsAFwAIgAsACAAMwA0AC4ANgAsACAAXAAiAGsAbABcACIALAAgADAALgAwACwAIAAwAC4AOAAsACAAMQAuADcALAAgADIALgA1ACwAIABcACIATgBFAFwAIgAsACAAXAAiAE4ARwBBAEYAIAAyADAAMgA1ADoAIABUAGEAYgBsAGUAIAA5AFwAIgA7AFwAbgAgACAAIAAgACAAIAAgACAAXAAiAEMAYQByAHMAIABhAG4AZAAgAGwAaQBnAGgAdAAgAGMAbwBtAG0AZQByAGMAaQBhAGwAIAB2AGUAaABpAGMAbABlAHMAXAAiACwAIABcACIAUgBlAG4AZQB3AGEAYgBsAGUAIABkAGkAZQBzAGUAbABcACIALAAgADMAOAAuADYALAAgAFwAIgBrAGwAXAAiACwAIAAwAC4AMAAsACAAMAAuADAAMQAsACAAMAAuADUALAAgADAALgA1ADEALAAgAFwAIgBOAEUAXAAiACwAIABcACIATgBHAEEARgAgADIAMAAyADUAOgAgAFQAYQBiAGwAZQAgADkAXAAiADsAXABuACAAIAAgACAAIAAgACAAIABcACIAQwBhAHIAcwAgAGEAbgBkACAAbABpAGcAaAB0ACAAYwBvAG0AbQBlAHIAYwBpAGEAbAAgAHYAZQBoAGkAYwBsAGUAcwBcACIALAAgAFwAIgBPAHQAaABlAHIAIABiAGkAbwBmAHUAZQBsAHMAXAAiACwAIAAyADMALgA0ACwAIABcACIAawBsAFwAIgAsACAAMAAuADAALAAgADAALgA4ACwAIAAxAC4ANwAsACAAMgAuADUALAAgAFwAIgBOAEUAXAAiACwAIABcACIATgBHAEEARgAgADIAMAAyADUAOgAgAFQAYQBiAGwAZQAgADkAXAAiADsAXABuACAAIAAgACAAIAAgACAAIABcACIATABpAGcAaAB0ACAAZAB1AHQAeQAgAHYAZQBoAGkAYwBsAGUAcwBcACIALAAgAFwAIgBDAG8AbQBwAHIAZQBzAHMAZQBkACAAbgBhAHQAdQByAGEAbAAgAGcAYQBzAFwAIgAsACAAMAAuADAAMwA5ADMALAAgAFwAIgBtADMAXAAiACwAIAA1ADEALgA0ACwAIAA3AC4AMwAsACAAMAAuADMALAAgADUAOQAuADAALAAgADEAOAAuADAALAAgAFwAIgBOAEcAQQBGACAAMgAwADIANQA6ACAAVABhAGIAbABlACAAOQBcACIAOwBcAG4AIAAgACAAIAAgACAAIAAgAFwAIgBMAGkAZwBoAHQAIABkAHUAdAB5ACAAdgBlAGgAaQBjAGwAZQBzAFwAIgAsACAAXAAiAEwAaQBxAHUAZQBmAGkAZQBkACAAbgBhAHQAdQByAGEAbAAgAGcAYQBzAFwAIgAsACAAMgA1AC4AMwAsACAAXAAiAGsAbABcACIALAAgADUAMQAuADQALAAgADcALgAzACwAIAAwAC4AMwAsACAANQA5AC4AMAAsACAAMQA4AC4AMAAsACAAXAAiAE4ARwBBAEYAIAAyADAAMgA1ADoAIABUAGEAYgBsAGUAIAA5AFwAIgA7AFwAbgAgACAAIAAgACAAIAAgACAAXAAiAEgAZQBhAHYAeQAgAGQAdQB0AHkAIAB2AGUAaABpAGMAbABlAHMAXAAiACwAIABcACIAQwBvAG0AcAByAGUAcwBzAGUAZAAgAG4AYQB0AHUAcgBhAGwAIABnAGEAcwBcACIALAAgADAALgAwADMAOQAzACwAIABcACIAbQAzAFwAIgAsACAANQAxAC4ANAAsACAAMgAuADgALAAgADAALgAzACwAIAA1ADQALgA1ACwAIAAxADgALgAwACwAIABcACIATgBHAEEARgAgADIAMAAyADUAOgAgAFQAYQBiAGwAZQAgADkAXAAiADsAXABuACAAIAAgACAAIAAgACAAIABcACIASABlAGEAdgB5ACAAZAB1AHQAeQAgAHYAZQBoAGkAYwBsAGUAcwBcACIALAAgAFwAIgBMAGkAcQB1AGUAZgBpAGUAZAAgAG4AYQB0AHUAcgBhAGwAIABnAGEAcwBcACIALAAgADIANQAuADMALAAgAFwAIgBrAGwAXAAiACwAIAA1ADEALgA0ACwAIAAyAC4AOAAsACAAMAAuADMALAAgADUANAAuADUALAAgADEAOAAuADAALAAgAFwAIgBOAEcAQQBGACAAMgAwADIANQA6ACAAVABhAGIAbABlACAAOQBcACIAOwBcAG4AIAAgACAAIAAgACAAIAAgAFwAIgBIAGUAYQB2AHkAIABkAHUAdAB5ACAAdgBlAGgAaQBjAGwAZQBzAFwAIgAsACAAXAAiAEQAaQBlAHMAZQBsACAAbwBpAGwAIAAtACAARQB1AHIAbwAgAGkAdgAgAG8AcgAgAGgAaQBnAGgAZQByAFwAIgAsACAAMwA4AC4ANgAsACAAXAAiAGsAbABcACIALAAgADYAOQAuADkALAAgADAALgAwADcALAAgADAALgA0ACwAIAA3ADAALgAzADcALAAgADEANwAuADMALAAgAFwAIgBOAEcAQQBGACAAMgAwADIANQA6ACAAVABhAGIAbABlACAAOQBcACIAOwBcAG4AIAAgACAAIAAgACAAIAAgAFwAIgBIAGUAYQB2AHkAIABkAHUAdAB5ACAAdgBlAGgAaQBjAGwAZQBzAFwAIgAsACAAXAAiAEQAaQBlAHMAZQBsACAAbwBpAGwAIAAtACAARQB1AHIAbwAgAGkAaQBpAFwAIgAsACAAMwA4AC4ANgAsACAAXAAiAGsAbABcACIALAAgADYAOQAuADkALAAgADAALgAxACwAIAAwAC4ANAAsACAANwAwAC4ANAAsACAAMQA3AC4AMwAsACAAXAAiAE4ARwBBAEYAIAAyADAAMgA1ADoAIABUAGEAYgBsAGUAIAA5AFwAIgA7AFwAbgAgACAAIAAgACAAIAAgACAAXAAiAEgAZQBhAHYAeQAgAGQAdQB0AHkAIAB2AGUAaABpAGMAbABlAHMAXAAiACwAIABcACIARABpAGUAcwBlAGwAIABvAGkAbAAgAC0AIABFAHUAcgBvACAAaQBcACIALAAgADMAOAAuADYALAAgAFwAIgBrAGwAXAAiACwAIAA2ADkALgA5ACwAIAAwAC4AMgAsACAAMAAuADQALAAgADcAMAAuADUALAAgADEANwAuADMALAAgAFwAIgBOAEcAQQBGACAAMgAwADIANQA6ACAAVABhAGIAbABlACAAOQBcACIAOwBcAG4AIAAgACAAIAAgACAAIAAgAFwAIgBIAGUAYQB2AHkAIABkAHUAdAB5ACAAdgBlAGgAaQBjAGwAZQBzAFwAIgAsACAAXAAiAFIAZQBuAGUAdwBhAGIAbABlACAAZABpAGUAcwBlAGwAIAATICAARQB1AHIAbwAgAGkAdgAgAG8AcgAgAGgAaQBnAGgAZQByAFwAIgAsACAAMwA4AC4ANgAsACAAXAAiAGsAbABcACIALAAgADAALgAwACwAIAAwAC4AMAA3ACwAIAAwAC4ANAAsACAAMAAuADQANwAsACAAXAAiAE4ARQBcACIALAAgAFwAIgBOAEcAQQBGACAAMgAwADIANQA6ACAAVABhAGIAbABlACAAOQBcACIAOwBcAG4AIAAgACAAIAAgACAAIAAgAFwAIgBIAGUAYQB2AHkAIABkAHUAdAB5ACAAdgBlAGgAaQBjAGwAZQBzAFwAIgAsACAAXAAiAFIAZQBuAGUAdwBhAGIAbABlACAAZABpAGUAcwBlAGwAIAATICAARQB1AHIAbwAgAGkAaQBpAFwAIgAsACAAMwA4AC4ANgAsACAAXAAiAGsAbABcACIALAAgADAALgAwACwAIAAwAC4AMQAsACAAMAAuADQALAAgADAALgA1ACwAIABcACIATgBFAFwAIgAsACAAXAAiAE4ARwBBAEYAIAAyADAAMgA1ADoAIABUAGEAYgBsAGUAIAA5AFwAIgA7AFwAbgAgACAAIAAgACAAIAAgACAAXAAiAEgAZQBhAHYAeQAgAGQAdQB0AHkAIAB2AGUAaABpAGMAbABlAHMAXAAiACwAIABcACIAUgBlAG4AZQB3AGEAYgBsAGUAIABkAGkAZQBzAGUAbAAgABMgIABFAHUAcgBvACAAaQBcACIALAAgADMAOAAuADYALAAgAFwAIgBrAGwAXAAiACwAIAAwAC4AMAAsACAAMAAuADIALAAgADAALgA0ACwAIAAwAC4ANgAsACAAXAAiAE4ARQBcACIALAAgAFwAIgBOAEcAQQBGACAAMgAwADIANQA6ACAAVABhAGIAbABlACAAOQBcACIAOwBcAG4AIAAgACAAIAAgACAAIAAgAFwAIgBBAHYAaQBhAHQAaQBvAG4AXAAiACwAIABcACIARwBhAHMAbwBsAGkAbgBlACAAZgBvAHIAIAB1AHMAZQAgAGEAcwAgAGYAdQBlAGwAIABpAG4AIABhAG4AIABhAGkAcgBjAHIAYQBmAHQAXAAiACwAIAAzADMALgAxACwAIABcACIAawBsAFwAIgAsACAANgA3AC4AMAAsACAAMAAuADAANgAsACAAMAAuADYALAAgADYANwAuADYANgAsACAAMQA4AC4AMAAsACAAXAAiAE4ARwBBAEYAIAAyADAAMgA1ADoAIABUAGEAYgBsAGUAIAA5AFwAIgA7AFwAbgAgACAAIAAgACAAIAAgACAAXAAiAEEAdgBpAGEAdABpAG8AbgBcACIALAAgAFwAIgBLAGUAcgBvAHMAZQBuAGUAIABmAG8AcgAgAHUAcwBlACAAYQBzACAAZgB1AGUAbAAgAGkAbgAgAGEAbgAgAGEAaQByAGMAcgBhAGYAdABcACIALAAgADMANgAuADgALAAgAFwAIgBrAGwAXAAiACwAIAA2ADkALgA2ACwAIAAwAC4AMAAxACwAIAAwAC4ANgAsACAANwAwAC4AMgAxACwAIAAxADgALgAwACwAIABcACIATgBHAEEARgAgADIAMAAyADUAOgAgAFQAYQBiAGwAZQAgADkAXAAiADsAXABuACAAIAAgACAAIAAgACAAIABcACIAQQB2AGkAYQB0AGkAbwBuAFwAIgAsACAAXAAiAFIAZQBuAGUAdwBhAGIAbABlACAAYQB2AGkAYQB0AGkAbwBuACAAawBlAHIAbwBzAGUAbgBlAFwAIgAsACAAMwA2AC4AOAAsACAAXAAiAGsAbABcACIALAAgADAALgAwACwAIAAwAC4AMAAxACwAIAAwAC4ANgAsACAAMAAuADYAMQAsACAAXAAiAE4ARQBcACIALAAgAFwAIgBOAEcAQQBGACAAMgAwADIANQA6ACAAVABhAGIAbABlACAAOQBcACIAOwBcAG4AIAAgACAAIAAgACAAIAAgAFwAIgBWAGUAcwBzAGUAbABzAFwAIgAsACAAXAAiAEcAYQBzAG8AbABpAG4AZQBcACIALAAgADMANAAuADIALAAgAFwAIgBrAEwAXAAiACwAIAA2ADcALgA0ACwAIAAxADAALgAxACwAIAAwAC4AMwAsACAAXAAiAFwAIgAsACAAMQA3AC4AMgAsACAAXAAiAFYARQBFAFIARwAgADIAMAAyADYAOgAgAFQAYQBiAGwAZQAgAEEALgA0AC4AMgAuADEAXAAiADsAXABuACAAIAAgACAAIAAgACAAIABcACIAVgBlAHMAcwBlAGwAcwBcACIALAAgAFwAIgBEAGkAZQBzAGUAbAAgAG8AaQBsAFwAIgAsACAAMwA4AC4ANgAsACAAXAAiAGsATABcACIALAAgADYAOQAuADkALAAgADAALgAyACwAIAAwAC4ANQAsACAAXAAiAFwAIgAsACAAMQA3AC4AMwAsACAAXAAiAFYARQBFAFIARwAgADIAMAAyADYAOgAgAFQAYQBiAGwAZQAgAEEALgA0AC4AMgAuADEAXAAiADsAXABuACAAIAAgACAAIAAgACAAIABcACIAVgBlAHMAcwBlAGwAcwBcACIALAAgAFwAIgBGAHUAZQBsACAATwBpAGwAXAAiACwAIAAzADkALgA3ACwAIABcACIAawBMAFwAIgAsACAANwAzAC4ANgAsACAAMAAuADIALAAgADAALgA1ACwAIABcACIAXAAiACwAIAAxADgALgAwACwAIABcACIAVgBFAEUAUgBHACAAMgAwADIANgA6ACAAVABhAGIAbABlACAAQQAuADQALgAyAC4AMQBcACIAOwBcAG4AIAAgACAAIAAgACAAIAAgAFwAIgBPAGYAZgAtAHIAbwBhAGQAIABBAGcAcgBpAGMAdQBsAHQAdQByAGUAIABhAG4AZAAgAGYAbwByAGUAcwB0AHIAeQAgAGUAcQB1AGkAcABtAGUAbgB0AFwAIgAsACAAXAAiAEQAaQBlAHMAZQBsACAAbwBpAGwAXAAiACwAIAAzADgALgA2ACwAIABcACIAawBMAFwAIgAsACAANgA5AC4AOQAsACAAMAAuADMALAAgADAALgA1ACwAIABcACIAXAAiACwAIAAxADcALgAzACwAIABcACIAVgBFAEUAUgBHACAAMgAwADIANgA6ACAAVABhAGIAbABlACAAQQAuADQALgAyAC4AMQBcACIAXABuACAAIAAgACAAIAAgAH0ALAAgAHIALAAgAGMAKQBcAG4AKQApACkAOwBcAG4AXABuAEYAdQBlAGwAXwBTAGMAbwBwAGUAMQBTAGMAbwBwAGUAMwBFAG0AaQBzAHMAaQBvAG4ARgBhAGMAdABvAHIAcwBUAHIAYQBuAHMAcABvAHIAdABfAFYAYQByAGkAYQB0AGkAbwBuAFwAbgA9AEwAQQBNAEIARABBACgAXAAiAFYAQQBSAEkAQQBUAEkATwBOACAATwBGACAAUwBPAFUAUgBDAEUAIABEAEEAVABBADoAIABcAHUAMAAwADIANwBOAEUAXAB1ADAAMAAyADcAIAB2AGEAbAB1AGUAcwAgAHIAZQB0AHUAcgBuAGUAZAAgAGEAcwAgAHoAZQByAG8AIABmAG8AcgAgAGMAYQBsAGMAdQBsAGEAdABpAG8AbgBzAC4AXAAiACkAOwBcAG4AXABuAFwAbgAvACoAXABuAD0APQA9AD0APQA9AD0APQA9AD0APQA9AD0APQA9AD0APQA9AD0APQA9AD0APQA9AD0APQA9AD0APQA9AD0APQA9AD0APQA9AD0APQA9AD0APQA9AD0APQA9AD0APQA9AD0APQA9AD0APQA9AD0APQA9AD0APQA9AD0APQA9AD0APQA9AD0APQA9AD0APQA9AD0APQA9AD0AXABuAEYAdQBlAGwAIABzAGMAbwBwAGUAIAAxACAAYQBuAGQAIAAzACAAZQBtAGkAcwBzAGkAbwBuACAAZgBhAGMAdABvAHIAcwAgAC0AIABPAGYAZgAtAHIAYQBkACAAZQBxAHUAaQBwAG0AZQBuAHQAIABhAG4AZAAgAHYAZQBzAHMAZQBsAHMAXABuAD0APQA9AD0APQA9AD0APQA9AD0APQA9AD0APQA9AD0APQA9AD0APQA9AD0APQA9AD0APQA9AD0APQA9AD0APQA9AD0APQA9AD0APQA9AD0APQA9AD0APQA9AD0APQA9AD0APQA9AD0APQA9AD0APQA9AD0APQA9AD0APQA9AD0APQA9AD0APQA9AD0APQA9AD0APQA9AD0AXABuACoALwBcAG4AXABuAEYAdQBlAGwAXwBTAGMAbwBwAGUAMQBTAGMAbwBwAGUAMwBFAG0AaQBzAHMAaQBvAG4ARgBhAGMAdABvAHIAcwBUAHIAYQBuAHMAcABvAHIAdABPAGYAZgBSAG8AYQBkAF8AVABpAHQAbABlAFwAbgA9AEwAQQBNAEIARABBACgAKABcACIARgB1AGUAbAAgAHMAYwBvAHAAZQAgADEAIABhAG4AZAAgADMAIABlAG0AaQBzAHMAaQBvAG4AIABmAGEAYwB0AG8AcgBzACAALQAgAE8AZgBmAC0AcgBvAGEAZAAgAGUAcQB1AGkAcABtAGUAbgB0ACAAYQBuAGQAIAB2AGUAcwBzAGUAbABzAFwAIgApACkAOwBcAG4AXABuAEYAdQBlAGwAXwBTAGMAbwBwAGUAMQBTAGMAbwBwAGUAMwBFAG0AaQBzAHMAaQBvAG4ARgBhAGMAdABvAHIAcwBUAHIAYQBuAHMAcABvAHIAdABPAGYAZgBSAG8AYQBkAF8ARABlAHMAYwByAGkAcAB0AGkAbwBuAFwAbgA9AEwAQQBNAEIARABBACgAKABcACIARABpAHIAZQBjAHQAIAAoAHMAYwBvAHAAZQAgADEAKQAgAGEAbgBkACAAaQBuAGQAaQByAGUAYwB0ACAAKABzAGMAbwBwAGUAIAAzACkAIABlAG0AaQBzAHMAaQBvAG4AIABmAGEAYwB0AG8AcgBzACAAZgBvAHIAIAB0AGgAZQAgAGMAbwBuAHMAdQBtAHAAdABpAG8AbgAgAG8AZgAgAGYAdQBlAGwAcwAgAGkAbgAgAG8AZgBmAC0AcgBvAGEAZAAgAGUAcQB1AGkAcABtAGUAbgB0ACAAYQBuAGQAIAB2AGUAcwBzAGUAbABzAFwAIgApACkAOwBcAG4AXABuAEYAdQBlAGwAXwBTAGMAbwBwAGUAMQBTAGMAbwBwAGUAMwBFAG0AaQBzAHMAaQBvAG4ARgBhAGMAdABvAHIAcwBUAHIAYQBuAHMAcABvAHIAdABPAGYAZgBSAG8AYQBkAF8AUwBvAHUAcgBjAGUAXABuAD0ATABBAE0AQgBEAEEAKAAoAFwAIgBWAEUARQBSAEcAIAAyADAAMgA2ADoAIABUAGEAYgBsAGUAIABBAC4ANAAuADIALgAxAFwAIgApACkAOwBcAG4AXABuAEYAdQBlAGwAXwBTAGMAbwBwAGUAMQBTAGMAbwBwAGUAMwBFAG0AaQBzAHMAaQBvAG4ARgBhAGMAdABvAHIAcwBUAHIAYQBuAHMAcABvAHIAdABPAGYAZgBSAG8AYQBkAF8ARABhAHQAYQBcAG4APQBMAEEATQBCAEQAQQAoAFwAbgAgACAATQBBAEsARQBBAFIAUgBBAFkAKAA1ACwAIAA3ACwAXABuACAAIAAgACAATABBAE0AQgBEAEEAKAByACwAYwAsAFwAbgAgACAAIAAgACAAIABJAE4ARABFAFgAKAB7AFwAbgAgACAAIAAgACAAIAAgACAAXAAiAFQAcgBhAG4AcwBwAG8AcgB0ACAAdAB5AHAAZQAgAHQAXAAiACwAIABcACIARgB1AGUAbAAgAHQAeQBwAGUAIABxAFwAIgAsACAAXAAiAEUAQwBUAHIAYQBuAHMALABxACAAKABHAEoALwBrAEwAKQBcACIALAAgAFwAIgBTAGMAbwBwAGUAIAAxACAAQwBPADIAIABFAEYAVAByAGEAbgAsADEALAB0AHEAZwAgACgAawBnACAAQwBPADIALQBlAC8ARwBKACkAXAAiACwAIABcACIAUwBjAG8AcABlACAAMQAgAEMASAA0ACAARQBGAFQAcgBhAG4ALAAxACwAdABnAGcAIAAoAGsAZwAgAEMATwAyAC0AZQAvAEcASgApAFwAIgAsACAAXAAiAFMAYwBvAHAAZQAgADEAIABOADIATwAgAEUARgBUAHIAYQBuACwAMQAsAHQAZwBnACAAKABrAGcAIABDAE8AMgAtAGUALwBHAEoAKQBcACIALAAgAFwAIgBTAGMAbwBwAGUAIAAzACAARQBGAFQAcgBhAG4AcwAsADMALABxACAAKABrAGcAIABDAE8AMgAtAGUALwBHAEoAKQBcACIAOwBcAG4AIAAgACAAIAAgACAAIAAgAFwAIgBWAGUAcwBzAGUAbABcACIALAAgAFwAIgBQAGUAdAByAG8AbABcACIALAAgADMANAAuADIALAAgADYANwAuADQALAAgADEAMAAuADEALAAgADAALgAzACwAIAAxADcALgAyADsAXABuACAAIAAgACAAIAAgACAAIABcACIAVgBlAHMAcwBlAGwAXAAiACwAIABcACIARABpAGUAcwBlAGwAXAAiACwAIAAzADgALgA2ACwAIAA2ADkALgA5ACwAIAAwAC4AMgAsACAAMAAuADUALAAgADEANwAuADMAOwBcAG4AIAAgACAAIAAgACAAIAAgAFwAIgBWAGUAcwBzAGUAbABcACIALAAgAFwAIgBGAHUAZQBsACAATwBpAGwAXAAiACwAIAAzADkALgA3ACwAIAA3ADMALgA2ACwAIAAwAC4AMgAsACAAMAAuADUALAAgADEAOAAuADAAOwBcAG4AIAAgACAAIAAgACAAIAAgAFwAIgBPAGYAZgAtAHIAbwBhAGQAIABBAGcAcgBpAGMAdQBsAHQAdQByAGUAIABhAG4AZAAgAGYAbwByAGUAcwB0AHIAeQAgAGUAcQB1AGkAcABtAGUAbgB0AFwAIgAsACAAXAAiAEQAaQBlAHMAZQBsAFwAIgAsACAAMwA4AC4ANgAsACAANgA5AC4AOQAsACAAMAAuADMALAAgADAALgA1ACwAIAAxADcALgAzAFwAbgAgACAAIAAgACAAIAB9ACwAIAByACwAIABjACkAXABuACkAKQApADsAXABuAFwAbgBcAG4AXABuACIAfQAsAHsAIgBwAGEAdABoACIAOgAiAC8AcAByAG8AagBlAGMAdABzAC8AQwBvAG0AbQBvAG4AXwBJAG4AcAB1AHQARgB1AG4AYwB0AGkAbwBuAHMAIgAsACIAdABlAHgAdAAiADoAIgBVAHQAaQBsAGkAdAB5AF8ARwBlAHQAQQByAHIAYQB5AFQAYQBiAGwAZQBSAG8AdwBTAHQAYQByAHQATgB1AG0AYgBlAHIAXABuAD0ATABBAE0AQgBEAEEAKABcAG4AIAAgACAAIABUAGEAYgBsAGUAaABlAGEAZABlAHIAQwBlAGwAbAAsAFIAbwB3AHMAQgBlAHQAdwBlAGUAbgBIAGUAYQBkAGUAcgBhAG4AZABBAHIAcgBhAHkALABcAG4AIAAgACAAIABSAE8AVwAoAFQAYQBiAGwAZQBoAGUAYQBkAGUAcgBDAGUAbABsACkAIAArACAAUgBvAHcAcwBCAGUAdAB3AGUAZQBuAEgAZQBhAGQAZQByAGEAbgBkAEEAcgByAGEAeQAgAC0AIAAxAFwAbgApADsAXABuAFwAbgBVAHQAaQBsAGkAdAB5AF8ARwBlAHQAQQByAHIAYQB5AFQAYQBiAGwAZQBDAG8AbAB1AG0AbgBTAHQAYQByAHQATgB1AG0AYgBlAHIAXABuAD0ATABBAE0AQgBEAEEAKABcAG4AIAAgAFQAYQBiAGwAZQBIAGUAYQBkAGUAcgBDAGUAbABsACwAXABuACAAIABDAE8ATABVAE0ATgAoAFQAYQBiAGwAZQBIAGUAYQBkAGUAcgBDAGUAbABsACkAXABuACkAOwBcAG4AXABuAFUAdABpAGwAaQB0AHkAXwBEAGkAcwBwAGwAYQB5AEEAcgByAGEAeQBJAG4AVABhAGIAbABlAFwAbgA9AEwAQQBNAEIARABBACgAXABuACAAQQByAHIAYQB5AEQAYQB0AGEALAAgAFQAYQBiAGwAZQBoAGUAYQBkAGUAcgBDAGUAbABsACwAIABSAG8AdwBzAEIAZQB0AHcAZQBlAG4ASABlAGEAZABlAHIAYQBuAGQAQQByAHIAYQB5ACwAIABbAEMAbwBsAHUAbQBuAHMAQgBlAHQAdwBlAGUAbgBIAGUAYQBkAGUAcgBBAG4AZABBAHIAcgBhAHkAXQAsAFwAbgAgAEkARgBFAFIAUgBPAFIAKABcAG4AIAAgACAAIAAgAEkATgBEAEUAWAAoAFwAbgAgACAAIAAgACAAIAAgACAAIAAgACAAIABVAE4ASQBRAFUARQAoAEEAcgByAGEAeQBEAGEAdABhACkALAAgAFwAbgAgACAAIAAgACAAIAAgACAAIAAgACAAIABSAE8AVwAoACkALQBVAHQAaQBsAGkAdAB5AF8ARwBlAHQAQQByAHIAYQB5AFQAYQBiAGwAZQBSAG8AdwBTAHQAYQByAHQATgB1AG0AYgBlAHIAKABUAGEAYgBsAGUAaABlAGEAZABlAHIAQwBlAGwAbAAsACAAUgBvAHcAcwBCAGUAdAB3AGUAZQBuAEgAZQBhAGQAZQByAGEAbgBkAEEAcgByAGEAeQApACwAIABcAG4AIAAgACAAIAAgACAAIAAgACAAIAAgACAAQwBPAEwAVQBNAE4AKAApAC0AVQB0AGkAbABpAHQAeQBfAEcAZQB0AEEAcgByAGEAeQBUAGEAYgBsAGUAQwBvAGwAdQBtAG4AUwB0AGEAcgB0AE4AdQBtAGIAZQByACgAVABhAGIAbABlAGgAZQBhAGQAZQByAEMAZQBsAGwAKQAgACsAXABuACAAIAAgACAAIAAgACAAIAAgACAAIAAgAEkARgAoAEkAUwBPAE0ASQBUAFQARQBEACgAQwBvAGwAdQBtAG4AcwBCAGUAdAB3AGUAZQBuAEgAZQBhAGQAZQByAEEAbgBkAEEAcgByAGEAeQApACwAIAAxACwAIABDAG8AbAB1AG0AbgBzAEIAZQB0AHcAZQBlAG4ASABlAGEAZABlAHIAQQBuAGQAQQByAHIAYQB5ACkAXABuACAAIAAgACAAIAAgACAAIAApACwAIABcACIAXAAiAFwAbgAgACAAIAAgACkAXABuACkAOwBcAG4AXABuAFUAdABpAGwAaQB0AHkAXwBMAG8AbwBrAHUAcABWAGEAbAB1AGUASQBuAFQAYQBiAGwAZQBcAG4APQBMAEEATQBCAEQAQQAoAFwAbgAgACAAIAAgAEwAbwBvAGsAdQBwAFYAYQBsAHUAZQAsACAATABvAG8AawB1AHAAQQByAHIAYQB5ACwAIABSAGUAdAB1AHIAbgBBAHIAcgBhAHkALABcAG4AIAAgACAAIABYAEwATwBPAEsAVQBQACgATABvAG8AawB1AHAAVgBhAGwAdQBlACwAIABMAG8AbwBrAHUAcABBAHIAcgBhAHkALAAgAFIAZQB0AHUAcgBuAEEAcgByAGEAeQAsACAAXAAiAFwAIgApAFwAbgApADsAXABuAFwAbgBVAHQAaQBsAGkAdAB5AF8ATABvAG8AawB1AHAAVgBhAGwAdQBlAEkAbgBUAGEAYgBsAGUATgB1AG0AYgBlAHIAXABuAD0ATABBAE0AQgBEAEEAKABcAG4AIAAgACAAIABMAG8AbwBrAHUAcABWAGEAbAB1AGUALAAgAEwAbwBvAGsAdQBwAEEAcgByAGEAeQAsACAAUgBlAHQAdQByAG4AQQByAHIAYQB5ACwAXABuACAAIAAgACAASQBGACgASQBTAE4AVQBNAEIARQBSACgAXABuACAAIAAgACAAIAAgACAAIABYAEwATwBPAEsAVQBQACgATABvAG8AawB1AHAAVgBhAGwAdQBlACwAIABMAG8AbwBrAHUAcABBAHIAcgBhAHkALAAgAFIAZQB0AHUAcgBuAEEAcgByAGEAeQAsACAAXAAiAFwAIgApAFwAbgAgACAAIAAgACkALAAgAFgATABPAE8ASwBVAFAAKABMAG8AbwBrAHUAcABWAGEAbAB1AGUALAAgAEwAbwBvAGsAdQBwAEEAcgByAGEAeQAsACAAUgBlAHQAdQByAG4AQQByAHIAYQB5ACwAIABcACIAXAAiACkALAAgADAAKQBcAG4AKQA7AFwAbgBcAG4AVQB0AGkAbABpAHQAeQBfAEwAbwBvAGsAdQBwAFYAYQBsAHUAZQBJAG4AVABhAGIAbABlAFQAdwBvAEMAbwBsAHUAbQBuAHMAXABuAD0ATABBAE0AQgBEAEEAKABcAG4AIAAgACAAIABMAG8AbwBrAHUAcABWAGEAbAB1AGUAMQAsACAATABvAG8AawB1AHAAVgBhAGwAdQBlADIALAAgAEwAbwBvAGsAdQBwAEEAcgByAGEAeQAxACwAIABMAG8AbwBrAHUAcABBAHIAcgBhAHkAMgAsACAAUgBlAHQAdQByAG4AQQByAHIAYQB5ACwAIABbAFYAYQBsAHUAZQBJAEYARgBhAGwAcwBlAF0ALABcAG4AIAAgACAAIABYAEwATwBPAEsAVQBQACgAMQAsACAAKABMAG8AbwBrAHUAcABBAHIAcgBhAHkAMQA9AEwAbwBvAGsAdQBwAFYAYQBsAHUAZQAxACkAKgAoAEwAbwBvAGsAdQBwAEEAcgByAGEAeQAyAD0ATABvAG8AawB1AHAAVgBhAGwAdQBlADIAKQAsACAAUgBlAHQAdQByAG4AQQByAHIAYQB5ACwAIABJAEYAKABJAFMATwBNAEkAVABUAEUARAAoAFYAYQBsAHUAZQBJAEYARgBhAGwAcwBlACkALAAgAFwAIgBcACIALAAgAFYAYQBsAHUAZQBJAEYARgBhAGwAcwBlACkAKQBcAG4AKQA7AFwAbgBcAG4AVQB0AGkAbABpAHQAeQBfAEwAbwBvAGsAdQBwAFYAYQBsAHUAZQBJAG4AVABhAGIAbABlAE8AbgBlAEMAbwBsAHUAbQBuAEEAbgBkAEgAZQBhAGQAZQByAFwAbgA9AEwAQQBNAEIARABBACgAXABuACAAIAAgACAATABvAG8AawB1AHAAVgBhAGwAdQBlADEALAAgAEwAbwBvAGsAdQBwAFYAYQBsAHUAZQAyACwAIABMAG8AbwBrAHUAcABBAHIAcgBhAHkAMQAsACAATABvAG8AawB1AHAAQQByAHIAYQB5ADIALAAgAFIAZQB0AHUAcgBuAEEAcgByAGEAeQAsACAAWwBWAGEAbAB1AGUASQBmAEYAYQBsAHMAZQBdACwAXABuACAAIAAgACAASQBGAEUAUgBSAE8AUgAoAFwAbgAgACAAIAAgACAAIAAgACAAWABMAE8ATwBLAFUAUAAoAEwAbwBvAGsAdQBwAFYAYQBsAHUAZQAxACwAIABMAG8AbwBrAHUAcABBAHIAcgBhAHkAMQAsAFwAbgAgACAAIAAgACAAIAAgACAAIAAgACAAIABYAEwATwBPAEsAVQBQACgATABvAG8AawB1AHAAVgBhAGwAdQBlADIALAAgAEwAbwBvAGsAdQBwAEEAcgByAGEAeQAyACwAIABSAGUAdAB1AHIAbgBBAHIAcgBhAHkAKQBcAG4AIAAgACAAIAAgACAAIAAgACkALABcAG4AIAAgACAAIAAgACAAIAAgAEkARgAoAEkAUwBPAE0ASQBUAFQARQBEACgAVgBhAGwAdQBlAEkAZgBGAGEAbABzAGUAKQAsACAAXAAiAFwAIgAsACAAVgBhAGwAdQBlAEkAZgBGAGEAbABzAGUAKQBcAG4AIAAgACAAIAApAFwAbgApADsAXABuAFwAbgBVAHQAaQBsAGkAdAB5AF8AUwBwAGwAaQB0AFMAdAByAGkAbgBnAEkAbgB0AG8AQQByAHIAYQB5AFwAbgA9AEwAQQBNAEIARABBACgAXABuACAAIAAgACAAQwBlAGwAbAAsACAARABlAGwAaQBtAGkAdABlAHIALAAgAFsAQwBoAGEAcgBhAGMAdABlAHIAVABvAFIAZQBtAG8AdgBlADEAXQAsACAAWwBDAGgAYQByAGEAYwB0AGUAcgBUAG8AUgBlAG0AbwB2AGUAMgBdACwAXABuACAAIAAgACAAIAAgACAAIABGAEkATABUAEUAUgBYAE0ATAAoAFwAbgAgACAAIAAgACAAIAAgACAAXAAiAFwAdQAwADAAMwBjAHQAXAB1ADAAMAAzAGUAXAB1ADAAMAAzAGMAcwBcAHUAMAAwADMAZQBcACIAIABcAHUAMAAwADIAN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BcAHUAMAAwADMAYwAvAHMAXAB1ADAAMAAzAGUAXAB1ADAAMAAzAGMAcwBcAHUAMAAwADMAZQBcACIAXABuACAAIAAgACAAIAAgACAAIAApACAAXAB1ADAAMAAyADYAXABuACAAIAAgACAAIAAgACAAIABcACIAXAB1ADAAMAAzAGMALwBzAFwAdQAwADAAMwBlAFwAdQAwADAAMwBjAC8AdABcAHUAMAAwADMAZQ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XAB1ADAAMAAzAGMAPQBhAHYAZwBUAGUAbQBwACkAKgBcAG4AIAAgACAAIAAgACAAIAAgACgAVgBBAEwAVQBFACgAbQBhAHgAVABlAG0AcABBAHIAcgBhAHkAKQBcAHUAMAAwADMAZQA9AGEAdgBnAFQAZQBtAHAAKQAqAFwAbgAgACAAIAAgACAAIAAgACAAKABWAEEATABVAEUAKABtAGkAbgBSAGEAaQBuAGYAYQBsAGwAQQByAHIAYQB5ACkAXAB1ADAAMAAzAGMAPQBhAHYAZwBSAGEAaQBuACkAKgBcAG4AIAAgACAAIAAgACAAIAAgACgAVgBBAEwAVQBFACgAbQBhAHgAUgBhAGkAbgBmAGEAbABsAEEAcgByAGEAeQApAFwAdQAwADAAMwBlAD0AYQB2AGcAUgBhAGkAbgApACoAXABuACAAIAAgACAAIAAgACAAIAAoAFYAQQBMAFUARQAoAG0AaQBuAEYAcgBvAHMAdABBAHIAcgBhAHkAKQBcAHUAMAAwADMAYwA9AGYAcgBvAHMAdABEAGEAeQBzACkAKgBcAG4AIAAgACAAIAAgACAAIAAgACgAVgBBAEwAVQBFACgAbQBhAHgARgByAG8AcwB0AEEAcgByAGEAeQApAFwAdQAwADAAMwBlAD0AZgByAG8AcwB0AEQAYQB5AHMAKQAqAFwAbgAgACAAIAAgACAAIAAgACAAKABWAEEATABVAEUAKABtAGkAbgBFAGwAZQB2AGEAdABpAG8AbgBBAHIAcgBhAHkAKQBcAHUAMAAwADMAYwA9AGUAbABlAHYAKQAqAFwAbgAgACAAIAAgACAAIAAgACAAKABWAEEATABVAEUAKABtAGEAeABFAGwAZQB2AGEAdABpAG8AbgBBAHIAcgBhAHkAKQBcAHUAMAAwADMAZQA9AGUAbABlAHYAKQAqAFwAbgAgACAAIAAgACAAIAAgACAAKABWAEEATABVAEUAKABtAGkAbgBQAEUAVABBAHIAcgBhAHkAKQBcAHUAMAAwADMAYwA9AG0AYQBwAF8AcABlAHQAKQAqAFwAbgAgACAAIAAgACAAIAAgACAAKABWAEEATABVAEUAKABtAGEAeABQAEUAVABBAHIAcgBhAHkAKQBcAHUAMAAwADMAZQA9AG0AYQBwAF8AcABlAHQAKQAsAFwAbgAgACAAIAAgACAAIAAgACAAVABBAEsARQAoAFwAbgAgACAAIAAgACAAIAAgACAAIAAgACAAIABGAEkATABUAEUAUgAoAGMAbABpAG0AYQB0AGUAWgBvAG4AZQBBAHIAcgBhAHkALABtAGEAcwBrACwAIABcACIATgBvACAAbQBhAHQAYwBoAFwAIgApACwAXABuACAAIAAgACAAIAAgACAAIAAgACAAIAAgADEAXABuACAAIAAgACAAIAAgACAAIAApAFwAbgAgACAAIAAgACkAXABuACkAOwBcAG4AXABuAFUAdABpAGwAaQB0AHkAXwBMAG8AbwBrAHUAcABJAHQAZQBtAEYAcgBvAG0ATQBpAG4ATQBhAHgAXABuAD0ATABBAE0AQgBEAEEAKABcAG4AIAAgACAAIABMAG8AbwBrAHUAcABWAGEAbAB1AGUALAAgAE0AaQBuAEEAcgByAGEAeQAsACAATQBhAHgAQQByAHIAYQB5ACwAIABJAHQAZQBtAEEAcgByAGEAeQAsAFwAbgAgACAAIAAgAEwARQBUACgAXABuACAAIAAgACAAIAAgACAAIABtAGEAcwBrACwAXABuACAAIAAgACAAIAAgACAAIAAoAFYAQQBMAFUARQAoAE0AaQBuAEEAcgByAGEAeQApAFwAdQAwADAAMwBjAD0ATABvAG8AawB1AHAAVgBhAGwAdQBlACkAKgBcAG4AIAAgACAAIAAgACAAIAAgACgAVgBBAEwAVQBFACgATQBhAHgAQQByAHIAYQB5ACkAXAB1ADAAMAAzAGU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FwAdQAwADAAMwBjACAAUwApACwAXABuACAAIAAgACAAIAAgACAAIABsAGEAcwB0AFkAZQBhAHIALAB5AGIALQAoAEQAQQBUAEUAKAB5AGIALABtACwAZAApAFwAdQAwADAAMwBlACAARQApACwAXABuACAAIAAgACAAIAAgACAAIABNAEEAWAAoADAALABsAGEAcwB0AFkAZQBhAHIALQBmAGkAcgBzAHQAWQBlAGEAcgArADEAKQBcAG4AIAAgACAAIAApAFwAbgApADsAXABuAFwAbgBnAGUAdABPAHYAZQByAGwAYQBwAHAAaQBuAGcAUgBlAHAAbwByAHQAaQBuAGcAUABlAHIAaQBvAGQ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CAALwAqAGgAZQBsAHAAZQByADoAIABlAG4AZAAgAGQAYQB0AGUAIABmAG8AcgAgAGEAIAByAGUAcABvAHIAdABpAG4AZwAgAHAAZQByAGkAbwBkACAAcwB0AGEAcgB0AGkAbgBnACAAYQB0ACAAYQAgAGcAaQB2AGUAbgAgAGQAYQB0AGUAKgAvAFwAbgAgACAAIAAgACAAIAAgACAAUABlAHIAaQBvAGQARQBuAGQALABMAEEATQBCAEQAQQAoAHMAdAAsAEUARABBAFQARQAoAHMAdAAsADEAMgApAC0AMQApACwAIAAvACoAbwBuAGwAeQAgAG4AZQBlAGQAIAB0AG8AIABsAG8AbwBrACAAYgBhAGMAawAgADMANgA1ACAAZABhAHkAcwAoAG0AYQB4ACAAbwB2AGUAcgBsAGEAcAAgAHcAaQBuAGQAbwB3ACkAKgAvAFwAbgAgACAAIAAgACAAIAAgACAAQQAsAFMALQAzADYANQAsAFwAbgAgACAAIAAgACAAIAAgACAAeQBhACwAWQBFAEEAUgAoAEEAKQAsAFwAbgAgACAAIAAgACAAIAAgACAAeQBiACwAWQBFAEEAUgAoAEUAKQAsACAALwAqAGkAZgAgAHQAaABlACAAYQBuAGMAaABvAHIAIABmAG8AcgAgAHkAYQAgAGUAbgBkAHMAIABiAGUAZgBvAHIAZQAgAFMALABpAHQAIABjAGEAbgBcAHUAMAAwADIANwB0ACAAbwB2AGUAcgBsAGEAcAA7ACAAbQBvAHYAZQAgAHQAbwAgAG4AZQB4AHQAIAB5AGUAYQByACoALwBcAG4AIAAgACAAIAAgACAAIAAgAGYAaQByAHMAdABZAGUAYQByACwAeQBhACsAKABQAGUAcgBpAG8AZABFAG4AZAAoAEQAQQBUAEUAKAB5AGEALABtACwAZAApACkAXAB1ADAAMAAzAGMAUwApACwAIAAvACoAaQBmACAAdABoAGUAIABhAG4AYwBoAG8AcgAgAGYAbwByACAAeQBiACAAcwB0AGEAcgB0AHMAIABhAGYAdABlAHIAIABFACwAaQB0ACAAYwBhAG4AXAB1ADAAMAAyADcAdAAgAG8AdgBlAHIAbABhAHAAOwAgAG0AbwB2AGUAIAB0AG8AIABwAHIAZQB2AGkAbwB1AHMAIAB5AGUAYQByACoALwBcAG4AIAAgACAAIAAgACAAIAAgAGwAYQBzAHQAWQBlAGEAcgAsAHkAYgAtACgARABBAFQARQAoAHkAYgAsAG0ALABkACkAXAB1ADAAMAAzAGU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FwAdQAwADAAMgA2ACAAXAAiACAAdABvACAAXAAiACAAXAB1ADAAMAAyADYAIABlAG4AZABzAFQAZQB4AHQAIABcAHUAMAAwADIAN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VAHQAaQBsAGkAdAB5AF8AQwBvAG4AdgBlAHIAdABTAHQAYQB0AGUAQwBvAG0AbQBvAG4ATgBhAG0AZQBUAG8AQQBiAGIAcgBlAHYAaQBhAHQAaQBvAG4AXABuAD0ATABBAE0AQgBEAEEAKABcAG4AIAAgACAAIABTAHQAYQB0AGUAQwBvAG0AbQBvAG4ATgBhAG0AZQAsAFwAbgAgACAAIAAgAFMAdABhAHQAZQBDAG8AbQBtAG8AbgBOAGEAbQBlAEEAcgByAGEAeQAsACAAUwB0AGEAdABlAEEAYgBiAHIAZQB2AGkAYQB0AGkAbwBuAEEAcgByAGEAeQAsAFwAbgAgACAAIAAgAFgATABPAE8ASwBVAFAAKABTAHQAYQB0AGUAQwBvAG0AbQBvAG4ATgBhAG0AZQAsACAAUwB0AGEAdABlAEMAbwBtAG0AbwBuAE4AYQBtAGUAQQByAHIAYQB5ACwAIABTAHQAYQB0AGUAQQBiAGIAcgBlAHYAaQBhAHQAaQBvAG4AQQByAHIAYQB5ACwAIABcACIAXAAiACkAXABuACkAOwBcAG4AXABuAFUAdABpAGwAaQB0AHkAXwBTAG8AdQByAGMAZQBIAHkAcABlAHIAbABpAG4Aaw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FwAdQAwADAAMgA3AFwAIgAgAFwAdQAwADAAMgA2ACAAcwBoACAAXAB1ADAAMAAyADYAIABcACIAXAB1ADAAMAAyADcAIQBcACIAIABcAHUAMAAwADIANgAgAGEAZABkAHIAXABuACAAIAApAFwAbgApADsAXABuAFwAbgBVAHQAaQBsAGkAdAB5AF8AUwBvAHUAcgBjAGUASAB5AHAAZQByAGwAaQBuAGsARABpAGYAZgBlAHIAZQBuAHQAUwBoAGUAZQB0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AiACAAXAB1ADAAMAAyADYAIABhAGQAZAByAFwAbgAgACAAKQBcAG4AKQA7AFwAbgBcAG4AVQB0AGkAbABpAHQAeQBfAEQAaQBzAHAAbABhAHkAQQByAGcAdQBtAGUAbgB0AHMAXwAxAF8AMgBcAG4APQBMAEEATQBCAEQAQQAoAFwAbgAgACAAIAAgAEEAcgBnAHUAbQBlAG4AdABzAEEAcgByAGEAeQAsAFwAbgAgACAAIAAgAEMASABPAE8AUwBFAEMATwBMAFMAKABBAHIAZwB1AG0AZQBuAHQAcwBBAHIAcgBhAHkALAAgADEALAAgADIAKQBcAG4AKQA7AFwAbgBcAG4AVQB0AGkAbABpAHQAeQBfAEQAaQBzAHAAbABhAHkAQQByAGcAdQBtAGUAbgB0AHMAXwAzAF8ANABcAG4APQBMAEEATQBCAEQAQQAoAFwAbgAgACAAIAAgAEEAcgBnAHUAbQBlAG4AdABzAEEAcgByAGEAeQAsAFwAbgAgACAAIAAgAEMASABPAE8AUwBFAEMATwBMAFMAKABBAHIAZwB1AG0AZQBuAHQAcwBBAHIAcgBhAHkALAAgADMALAAgADQAKQBcAG4AKQA7AFwAbgBcAG4AQwBvAG0AbQBvAG4AXwBHAGUAdABNAEMARgBUAGUAbQBwAGUAcgBhAHQAdQByAGUAWgBvAG4AZQBcAG4APQBMAEEATQBCAEQAQQAoAFwAbgAgACAAIAAgAFQAZQBtAHAAZQByAGEAdAB1AHIAZQAsACAATQBNAFMALAAgAFQAZQBtAHAAZQByAGEAdAB1AHIAZQBBAHIAcgBhAHkALAAgAE0ATQBTAEEAcgByAGEAeQAsACAAUgBlAHQAdQByAG4AQQByAHIAYQB5ACwAXABuACAAIAAgACAAWABMAE8ATwBLAFUAUAAoAFwAbgAgACAAIAAgACAAIAAgACAATQBFAEQASQBBAE4AKABcAG4AIAAgACAAIAAgACAAIAAgACAAIAAgACAAVABlAG0AcABlAHIAYQB0AHUAcgBlACwAIABcAG4AIAAgACAAIAAgACAAIAAgACAAIAAgACAATQBJAE4AKABUAGUAbQBwAGUAcgBhAHQAdQByAGUAQQByAHIAYQB5ACkALAAgAFwAbgAgACAAIAAgACAAIAAgACAAIAAgACAAIABNAEEAWAAoAFQAZQBtAHAAZQByAGEAdAB1AHIAZQBBAHIAcgBhAHkAKQBcAG4AIAAgACAAIAAgACAAIAAgACkALABcAG4AIAAgACAAIAAgACAAIAAgAFQAZQBtAHAAZQByAGEAdAB1AHIAZQBBAHIAcgBhAHkALABcAG4AIAAgACAAIAAgACAAIAAgAFgATABPAE8ASwBVAFAAKABNAE0AUwAsACAATQBNAFMAQQByAHIAYQB5ACwAIABSAGUAdAB1AHIAbgBBAHIAcgBhAHkAKQBcAG4AIAAgACAAIAApAFwAbgApADsAXABuAFwAbgBcAG4AVQB0AGkAbABpAHQAeQBfAFIAZQBzAHUAbAB0AHMASQB0AGUAbQBGAHIAbwBtAEUAcQB1AGEAdABpAG8AbgBUAGkAdABsAGUAQQBuAGQAUwBvAHUAcgBjAGUAXABuAD0ATABBAE0AQgBEAEEAKABcAG4AIAAgACAAIABUAGkAdABsAGUAQwBlAGwAbAAsACAAUwBvAHUAcgBjAGUAQwBlAGwAbAAsAFwAbgAgACAAIAAgAFMAVQBCAFMAVABJAFQAVQBUAEUAKABMAEUARgBUACgAUwBvAHUAcgBjAGUAQwBlAGwAbAAsACAARgBJAE4ARAAoAFwAIgAsAFwAIgAsACAAUwBvAHUAcgBjAGUAQwBlAGwAbAApACAALQAxACkALAAgAFwAIgBWAEUARQBSAEcAIAAyADAAMgA2ADoAIABcACIALAAgAFwAIgBcACIAKQAgAFwAdQAwADAAMgA2ACAAXAAiACAAXAAiACAAXAB1ADAAMAAyADYAIABUAGkAdABsAGUAQwBlAGwAbABcAG4AKQA7ACIAfQAsAHsAIgBwAGEAdABoACIAOgAiAC8AcAByAG8AagBlAGMAdABzAC8AQwBvAG0AbQBvAG4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ZQBuAHQAZQByAHAAcgBpAHMAZQAgAHQAeQBwAGUAcwBcAG4ARQB4AGMAZQBsACAAbQBvAGQAdQBsAGUAIABuAGEAbQBlADoAIABDAG8AbQBtAG8AbgBfAFMAbwB1AHIAYwBlAEQAYQB0AGE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EMAbwBtAG0AbwBuAF8AUwBvAHUAcgBjAGUARABhAHQAYQBfAEQAZQBuAHMAaQB0AHkATwBmAE0AZQB0AGgAYQBuAGUAXABuAHAAIAA9ACAAZABlAG4AcwBpAHQAeQAgAG8AZgAgAG0AZQB0AGgAYQBuAGUAIAAoADAALgA2ADcAOAA0ACAAawBnAC8AbQAzACkAXABuAFQAYQBrAGUAbgAgAGYAcgBvAG0AIAB0AGgAZQAgAE4AYQB0AGkAbwBuAGEAbAAgAEcAcgBlAGUAbgBoAG8AdQBzAGUAIABhAG4AZAAgAEUAbgBlAHIAZwB5ACAAUgBlAHAAbwByAHQAaQBuAGcAIABcAG4AKABNAGUAYQBzAHUAcgBlAG0AZQBuAHQAKQAgAEQAZQB0AGUAcgBtAGkAbgBhAHQAaQBvAG4AIAAyADAAMAA4AFwAbgAtAC0ALQAtAC0ALQAtAC0ALQAtAC0ALQAtAC0ALQAtAC0ALQAtAC0ALQAtAC0ALQAtAC0ALQAtAC0ALQAtAC0ALQAtAC0ALQAtAC0AXABuACoALwBcAG4AXABuAEMAbwBtAG0AbwBuAF8AUwBvAHUAcgBjAGUARABhAHQAYQBfAEQAZQBuAHMAaQB0AHkATwBmAE0AZQB0AGgAYQBuAGUAXwBUAGkAdABsAGUAXABuACAAIAA9AEwAQQBNAEIARABBACgAXAAiAHAAIAA9ACAAZABlAG4AcwBpAHQAeQAgAG8AZgAgAG0AZQB0AGgAYQBuAGUAXAAiACkAOwBcAG4AXABuAEMAbwBtAG0AbwBuAF8AUwBvAHUAcgBjAGUARABhAHQAYQBfAEQAZQBuAHMAaQB0AHkATwBmAE0AZQB0AGgAYQBuAGUAXwBVAG4AaQB0AFwAbgAgACAAPQBMAEEATQBCAEQAQQAoAFwAIgBrAGcALwBtADMAXAAiACkAOwBcAG4AXABuAEMAbwBtAG0AbwBuAF8AUwBvAHUAcgBjAGUARABhAHQAYQBfAEQAZQBuAHMAaQB0AHkATwBmAE0AZQB0AGgAYQBuAGUAXwBTAG8AdQByAGMAZQBcAG4AIAAgAD0ATABBAE0AQgBEAEEAKABcACIATgBhAHQAaQBvAG4AYQBsACAASQBuAHYAZQBuAHQAbwByAHkAIABSAGUAcABvAHIAdAAgADIAMAAyADMAIABWAG8AbAB1AG0AZQAgADEAOgAgAEUAcQB1AGEAdABpAG8AbgBzACAAMwAuAEIALgAxAGEAXwAyACwAIAAzAC4AQgAuADEAYwBfADIALAAgADMALgBCAC4AMwBfADEALAAgADMALgBCAC4ANABnAF8AMgBcACIAKQA7AFwAbgBcAG4AQwBvAG0AbQBvAG4AXwBTAG8AdQByAGMAZQBEAGEAdABhAF8ARABlAG4AcwBpAHQAeQBPAGYATQBlAHQAaABhAG4AZQBfAEQAYQB0AGEAXABuACAAIAA9AEwAQQBNAEIARABBACgAMAAuADYANwA4ADQAKQA7AFwAbgBcAG4ALwAqACAAXABuAC0ALQAtAC0ALQAtAC0ALQAtAC0ALQAtAC0ALQAtAC0ALQAtAC0ALQAtAC0ALQAtAC0ALQAtAC0ALQAtAC0ALQAtAC0ALQAtAC0ALQBcAG4AQwBvAG0AbQBvAG4AXwBTAG8AdQByAGMAZQBEAGEAdABhAF8AQwBvAG4AdgBlAHIAdABOADIAbwBFAGwAZQBtAGUAbgB0AGEAbABUAG8ATQBvAGwAZQBjAHUAbABhAHIAQwBnAFwAbgBDAGcAIAA9ACAANAA0AC8AMgA4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QwBvAG0AbQBvAG4AXwBTAG8AdQByAGMAZQBEAGEAdABhAF8AQwBvAG4AdgBlAHIAdABOADIAbwBFAGwAZQBtAGUAbgB0AGEAbABUAG8ATQBvAGwAZQBjAHUAbABhAHIAQwBnAF8AVABpAHQAbABlAFwAbgAgACAAPQBMAEEATQBCAEQAQQAoAFwAIgBGAGEAYwB0AG8AcgAgAHQAbwAgAGMAbwBuAHYAZQByAHQAIABlAGwAZQBtAGUAbgB0AGEAbAAgAG0AYQBzAHMAIABvAGYAIABOADIATwAgAHQAbwAgAG0AbwBsAGUAYwB1AGwAYQByACAAbQBhAHMAcwBcACIAKQA7AFwAbgBcAG4AQwBvAG0AbQBvAG4AXwBTAG8AdQByAGMAZQBEAGEAdABhAF8AQwBvAG4AdgBlAHIAdABOADIAbwBFAGwAZQBtAGUAbgB0AGEAbABUAG8ATQBvAGwAZQBjAHUAbABhAHIAQwBnAF8AVgBhAHIAaQBhAGIAbABlAFwAbgAgACAAPQBMAEEATQBCAEQAQQAoAFwAIgBDAGcATgAyAE8AXAAiACkAOwBcAG4AXABuAEMAbwBtAG0AbwBuAF8AUwBvAHUAcgBjAGUARABhAHQAYQBfAEMAbwBuAHYAZQByAHQATgAyAG8ARQBsAGUAbQBlAG4AdABhAGwAVABvAE0AbwBsAGUAYwB1AGwAYQByAEMAZwBfAFUAbgBpAHQAXABuACAAIAA9AEwAQQBNAEIARABBACgAXAAiAGYAYQBjAHQAbwByAFwAIgApADsAXABuAFwAbgBDAG8AbQBtAG8AbgBfAFMAbwB1AHIAYwBlAEQAYQB0AGEAXwBDAG8AbgB2AGUAcgB0AE4AMgBvAEUAbABlAG0AZQBuAHQAYQBsAFQAbwBNAG8AbABlAGMAdQBsAGEAcgBDAGcAXwBTAG8AdQByAGMAZQBcAG4AIAAgAD0ATABBAE0AQgBEAEEAKABcACIATgBhAHQAaQBvAG4AYQBsACAASQBuAHYAZQBuAHQAbwByAHkAIABSAGUAcABvAHIAdAAgADIAMAAyADMAIABWAG8AbAB1AG0AZQAgADEAXAAiACkAOwBcAG4AXABuAEMAbwBtAG0AbwBuAF8AUwBvAHUAcgBjAGUARABhAHQAYQBfAEMAbwBuAHYAZQByAHQATgAyAG8ARQBsAGUAbQBlAG4AdABhAGwAVABvAE0AbwBsAGUAYwB1AGwAYQByAEMAZwBfAEQAYQB0AGEAXABuACAAIAA9AEwAQQBNAEIARABBACgANAA0AC8AMgA4ACkAOwBcAG4AXABuAC8AKgAgAFwAbgAtAC0ALQAtAC0ALQAtAC0ALQAtAC0ALQAtAC0ALQAtAC0ALQAtAC0ALQAtAC0ALQAtAC0ALQAtAC0ALQAtAC0ALQAtAC0ALQAtAC0AXABuAEMAbwBtAG0AbwBuAF8AUwBvAHUAcgBjAGUARABhAHQAYQBfAEMAbwBuAHYAZQByAHQARwBhAHMARQBsAGUAbQBlAG4AdABhAGwAVABvAE0AbwBsAGUAYwB1AGwAYQByAFwAbgBGAGEAYwB0AG8AcgAgAHQAbwAgAGMAbwBuAHYAZQByAHQAIABlAGwAZQBtAGUAbgB0AGEAbAAgAG0AYQBzAHMAIABvAGYAIABnAGEAcwAgAHQAbwAgAG0AbwBsAGUAYwB1AGwAYQByACAAbQBhAHMAcwBcAG4ALQAtAC0ALQAtAC0ALQAtAC0ALQAtAC0ALQAtAC0ALQAtAC0ALQAtAC0ALQAtAC0ALQAtAC0ALQAtAC0ALQAtAC0ALQAtAC0ALQAtAFwAbgAqAC8AXABuAFwAbgBDAG8AbQBtAG8AbgBfAFMAbwB1AHIAYwBlAEQAYQB0AGEAXwBDAG8AbgB2AGUAcgB0AEcAYQBzAEUAbABlAG0AZQBuAHQAYQBsAFQAbwBNAG8AbABlAGMAdQBsAGEAcgBfAFQAaQB0AGwAZQBcAG4AIAAgAD0ATABBAE0AQgBEAEEAKABcACIARgBhAGMAdABvAHIAIAB0AG8AIABjAG8AbgB2AGUAcgB0ACAAZQBsAGUAbQBlAG4AdABhAGwAIABtAGEAcwBzACAAbwBmACAAZwBhAHMAIAB0AG8AIABtAG8AbABlAGMAdQBsAGEAcgAgAG0AYQBzAHMAXAAiACkAOwBcAG4AXABuAEMAbwBtAG0AbwBuAF8AUwBvAHUAcgBjAGUARABhAHQAYQBfAEMAbwBuAHYAZQByAHQARwBhAHMARQBsAGUAbQBlAG4AdABhAGwAVABvAE0AbwBsAGUAYwB1AGwAYQByAF8AVgBhAHIAaQBhAGIAbABlAFwAbgAgACAAPQBMAEEATQBCAEQAQQAoAFwAIgBDAGcAXAAiACkAOwBcAG4AXABuAEMAbwBtAG0AbwBuAF8AUwBvAHUAcgBjAGUARABhAHQAYQBfAEMAbwBuAHYAZQByAHQARwBhAHMARQBsAGUAbQBlAG4AdABhAGwAVABvAE0AbwBsAGUAYwB1AGwAYQByAF8AVQBuAGkAdABcAG4AIAAgAD0ATABBAE0AQgBEAEEAKABcACIAZgBhAGMAdABvAHIAXAAiACkAOwBcAG4AXABuAEMAbwBtAG0AbwBuAF8AUwBvAHUAcgBjAGUARABhAHQAYQBfAEMAbwBuAHYAZQByAHQARwBhAHMARQBsAGUAbQBlAG4AdABhAGwAVABvAE0AbwBsAGUAYwB1AGwAYQByAF8AUwBvAHUAcgBjAGUAXABuACAAIAA9AEwAQQBNAEIARABBACgAXAAiAFgAWABYAFgAWABYAFgAXAAiACkAOwBcAG4AXABuAEMAbwBtAG0AbwBuAF8AUwBvAHUAcgBjAGUARABhAHQAYQBfAEMAbwBuAHYAZQByAHQARwBhAHMARQBsAGUAbQBlAG4AdABhAGwAVABvAE0AbwBsAGUAYwB1AGwAYQByAF8ARABhAHQAYQBcAG4AIAAgAD0ATABBAE0AQgBEAEEAKABcAG4AIAAgACAAIABNAEEASwBFAEEAUgBSAEEAWQAoADgALAAgADQALAAgAFwAbgAgACAAIAAgACAAIABMAEEATQBCAEQAQQAoAHIALABjACwAIABcAG4AIAAgACAAIAAgACAAIAAgAEkATgBEAEUAWAAoAHsAXABuACAAIAAgACAAIAAgACAAIAAgACAAXAAiAEcAYQBzAFwAIgAsACAAXAAiAEMAbwBuAHYAZQByAHMAaQBvAG4AIABmAGEAYwB0AG8AcgBcACIALAAgAFwAIgBDAG8AbgB2AGUAcgBzAGkAbwBuACAAZgBhAGMAdABvAHIAIAAxAFwAIgAsACAAXAAiAEMAbwBuAHYAZQByAHMAaQBvAG4AIABmAGEAYwB0AG8AcgAgADIAXAAiADsAXABuACAAIAAgACAAIAAgACAAIAAgACAAXAAiAEMATwAyAFwAIgAsACAAXAAiADQANAAvADEAMgBcACIALAAgADQANAAsACAAMQAyADsAXABuACAAIAAgACAAIAAgACAAIAAgACAAXAAiAEMASAA0AFwAIgAsACAAXAAiADEANgAvADEAMgBcACIALAAgADEANgAsACAAMQAyADsAXABuACAAIAAgACAAIAAgACAAIAAgACAAXAAiAE4AMgBPAFwAIgAsACAAXAAiADQANAAvADIAOABcACIALAAgADQANAAsACAAMgA4ADsAXABuACAAIAAgACAAIAAgACAAIAAgACAAXAAiAE4AbwB4AFwAIgAsACAAXAAiADQANgAvADEANABcACIALAAgADQANgAsACAAMQA0ADsAXABuACAAIAAgACAAIAAgACAAIAAgACAAXAAiAEMATwBcACIALAAgAFwAIgAyADgALwAxADIAXAAiACwAIAAyADgALAAgADEAMgA7AFwAbgAgACAAIAAgACAAIAAgACAAIAAgAFwAIgBDAE8AMgAgAEwAaQBtAGUAXAAiACwAIABcACIANAA0AC8AMQAyAFwAIgAsACAANAA0ACwAIAAxADIAOwBcAG4AIAAgACAAIAAgACAAIAAgACAAIABcACIATgBNAFYATwBDAFwAIgAsACAAXAAiADEANAAvADEAMgBcACIALAAgADEANAAsACAAMQAy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HAFcAUABOADIATwBcAG4ARwBsAG8AYgBhAGwAIAB3AGEAcgBtAGkAbgBnACAAcABvAHQAZQBuAHQAaQBhAGwAIABmAG8AcgAgAGcAcgBlAGUAbgBoAG8AdQBzAGUAIABnAGEAcwBlAHMAXABuAC0ALQAtAC0ALQAtAC0ALQAtAC0ALQAtAC0ALQAtAC0ALQAtAC0ALQAtAC0ALQAtAC0ALQAtAC0ALQAtAC0ALQAtAC0ALQAtAC0ALQBcAG4AKgAvAFwAbgBcAG4AQwBvAG0AbQBvAG4AXwBTAG8AdQByAGMAZQBEAGEAdABhAF8ARwBXAFAAXwBUAGkAdABsAGUAXABuACAAIAA9AEwAQQBNAEIARABBACgAXAAiAEcAbABvAGIAYQBsACAAdwBhAHIAbQBpAG4AZwAgAHAAbwB0AGUAbgB0AGkAYQBsACAAZgBvAHIAIABnAHIAZQBlAG4AaABvAHUAcwBlACAAZwBhAHMAZQBzAFwAIgApADsAXABuAFwAbgBDAG8AbQBtAG8AbgBfAFMAbwB1AHIAYwBlAEQAYQB0AGEAXwBHAFcAUABfAFYAYQByAGkAYQBiAGwAZQBcAG4AIAAgAD0ATABBAE0AQgBEAEEAKABcACIARwBXAFAATgAyAE8AXAAiACkAOwBcAG4AXABuAEMAbwBtAG0AbwBuAF8AUwBvAHUAcgBjAGUARABhAHQAYQBfAEcAVwBQAF8AVQBuAGkAdABcAG4AIAAgAD0ATABBAE0AQgBEAEEAKABcACIAZgBhAGMAdABvAHIAXAAiACkAOwBcAG4AXABuAEMAbwBtAG0AbwBuAF8AUwBvAHUAcgBjAGUARABhAHQAYQBfAEcAVwBQAF8AUwBvAHUAcgBjAGUAXABuACAAIAA9AEwAQQBNAEIARABBACgAXAAiAFgAWABYAFgAWABYAFgAXAAiACkAOwBcAG4AXABuAEMAbwBtAG0AbwBuAF8AUwBvAHUAcgBjAGUARABhAHQAYQBfAEcAVwBQAF8ARABhAHQAYQBcAG4AIAAgAD0ATABBAE0AQgBEAEEAKABcAG4AIAAgACAAIABNAEEASwBFAEEAUgBSAEEAWQAoADgALAAgADIALAAgAFwAbgAgACAAIAAgACAAIABMAEEATQBCAEQAQQAoAHIALABjACwAIABcAG4AIAAgACAAIAAgACAAIAAgAEkATgBEAEUAWAAoAHsAXABuACAAIAAgACAAIAAgACAAIAAgACAAXAAiAEcAYQBzAFwAIgAsACAAXAAiAEMATwAyAC0AZQAgAGYAYQBjAHQAbwByAFwAIgA7AFwAbgAgACAAIAAgACAAIAAgACAAIAAgAFwAIgBDAE8AMgBcACIALAAgADEAOwBcAG4AIAAgACAAIAAgACAAIAAgACAAIABcACIAQwBIADQAXAAiACwAIAAyADgAOwBcAG4AIAAgACAAIAAgACAAIAAgACAAIABcACIATgAyAE8AXAAiACwAIAAyADYANQA7AFwAbgAgACAAIAAgACAAIAAgACAAIAAgAFwAIgBDAEYANABcACIALAAgADYANgAzADAAOwBcAG4AIAAgACAAIAAgACAAIAAgACAAIABcACIAQwAyAEYANgBcACIALAAgADEAMgAyADAAMAA7AFwAbgAgACAAIAAgACAAIAAgACAAIAAgAFwAIgBTAEYANgBcACIALAAgADIAMgA4ADAAMAA7AFwAbgAgACAAIAAgACAAIAAgACAAIAAgAFwAIgBOAEYAMwBcACIALAAgADEANwAyADAAMA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EAdQBzAHQAcgBhAGwAaQBhAG4AUwB0AGEAdABlAHMAVABlAHIAcgBpAHQAbwByAGkAZQBzAFwAbgAtAC0ALQAtAC0ALQAtAC0ALQAtAC0ALQAtAC0ALQAtAC0ALQAtAC0ALQAtAC0ALQAtAC0ALQAtAC0ALQAtAC0ALQAtAC0ALQAtAC0AXABuACoALwBcAG4AXABuAEMAbwBtAG0AbwBuAF8AUwBvAHUAcgBjAGUARABhAHQAYQBfAEEAdQBzAHQAcgBhAGwAaQBhAG4AUwB0AGEAdABlAHMAVABlAHIAcgBpAHQAbwByAGkAZQBzAF8AVABpAHQAbABlAFwAbgAgACAAPQBMAEEATQBCAEQAQQAoAFwAIgBBAHUAcwB0AHIAYQBsAGkAYQBuACAAcwB0AGEAdABlAHMAIABhAG4AZAAgAHQAZQByAHIAaQB0AG8AcgBpAGUAcwBcACIAKQA7AFwAbgBcAG4AQwBvAG0AbQBvAG4AXwBTAG8AdQByAGMAZQBEAGEAdABhAF8AQQB1AHMAdAByAGEAbABpAGEAbgBTAHQAYQB0AGUAcwBUAGUAcgByAGkAdABvAHIAaQBlAHMAXwBWAGEAcgBpAGEAYgBsAGUAXABuACAAIAA9AEwAQQBNAEIARABBACgAXAAiAFwAIgApADsAXABuAFwAbgBDAG8AbQBtAG8AbgBfAFMAbwB1AHIAYwBlAEQAYQB0AGEAXwBBAHUAcwB0AHIAYQBsAGkAYQBuAFMAdABhAHQAZQBzAFQAZQByAHIAaQB0AG8AcgBpAGUAcwBfAFUAbgBpAHQAXABuACAAIAA9AEwAQQBNAEIARABBACgAXAAiAFwAIgApADsAXABuAFwAbgBDAG8AbQBtAG8AbgBfAFMAbwB1AHIAYwBlAEQAYQB0AGEAXwBBAHUAcwB0AHIAYQBsAGkAYQBuAFMAdABhAHQAZQBzAFQAZQByAHIAaQB0AG8AcgBpAGUAcwBfAFMAbwB1AHIAYwBlAFwAbgAgACAAPQBMAEEATQBCAEQAQQAoAFwAIgBcACIAKQA7AFwAbgBcAG4AQwBvAG0AbQBvAG4AXwBTAG8AdQByAGMAZQBEAGEAdABhAF8AQQB1AHMAdAByAGEAbABpAGEAbgBTAHQAYQB0AGUAcwBUAGUAcgByAGkAdABvAHIAaQBlAHMAXwBEAGEAdABhAFwAbgAgACAAIAA9AEwAQQBNAEIARABBACgAXABuACAAIAAgACAATQBBAEsARQBBAFIAUgBBAFkAKAA5ACwAIAAzACwAIABcAG4AIAAgACAAIAAgACAATABBAE0AQgBEAEEAKAByACwAYwAsACAAXABuACAAIAAgACAAIAAgACAAIABJAE4ARABFAFgAKAB7AFwAbgAgACAAIAAgACAAIAAgACAAIAAgAFwAIgBTAHQAYQB0AGUALwBUAGUAcgByAGkAdABvAHIAeQBcACIALAAgAFwAIgBDAG8AbQBtAG8AbgAgAE4AYQBtAGUAXAAiACwAIABcACIAQQBiAGIAcgBlAHYAaQBhAHQAaQBvAG4AXAAiADsAXABuACAAIAAgACAAIAAgACAAIAAgACAAXAAiAE4AZQB3ACAAUwBvAHUAdABoACAAVwBhAGwAZQBzAFwAIgAsACAAXAAiAE4AZQB3ACAAUwBvAHUAdABoACAAVwBhAGwAZQBzAFwAIgAsACAAXAAiAE4AUwBXAFwAIgA7AFwAbgAgACAAIAAgACAAIAAgACAAIAAgAFwAIgBBAHUAcwB0AHIAYQBsAGkAYQBuACAAQwBhAHAAaQB0AGEAbAAgAFQAZQByAHIAaQB0AG8AcgB5AFwAIgAsACAAXAAiAEEAQwBUAFwAIgAsACAAXAAiAEEAQwBUAFwAIgA7AFwAbgAgACAAIAAgACAAIAAgACAAIAAgAFwAIgBWAGkAYwB0AG8AcgBpAGEAXAAiACwAIABcACIAVgBpAGMAdABvAHIAaQBhAFwAIgAsACAAXAAiAFYASQBDAFwAIgA7AFwAbgAgACAAIAAgACAAIAAgACAAIAAgAFwAIgBRAHUAZQBlAG4AcwBsAGEAbgBkAFwAIgAsACAAXAAiAFEAdQBlAGUAbgBzAGwAYQBuAGQAXAAiACwAIABcACIAUQBMAEQAXAAiADsAXABuACAAIAAgACAAIAAgACAAIAAgACAAXAAiAFMAbwB1AHQAaAAgAEEAdQBzAHQAcgBhAGwAaQBhAFwAIgAsACAAXAAiAFMAbwB1AHQAaAAgAEEAdQBzAHQAcgBhAGwAaQBhAFwAIgAsACAAXAAiAFMAQQBcACIAOwBcAG4AIAAgACAAIAAgACAAIAAgACAAIABcACIAVwBlAHMAdABlAHIAbgAgAEEAdQBzAHQAcgBhAGwAaQBhAFwAIgAsACAAXAAiAFcAZQBzAHQAZQByAG4AIABBAHUAcwB0AHIAYQBsAGkAYQBcACIALAAgAFwAIgBXAEEAXAAiADsAXABuACAAIAAgACAAIAAgACAAIAAgACAAXAAiAFQAYQBzAG0AYQBuAGkAYQBcACIALAAgAFwAIgBUAGEAcwBtAGEAbgBpAGEAXAAiACwAIABcACIAVABBAFMAXAAiADsAXABuACAAIAAgACAAIAAgACAAIAAgACAAXAAiAE4AbwByAHQAaABlAHIAbgAgAFQAZQByAHIAaQB0AG8AcgB5AFwAIgAsACAAXAAiAE4AbwByAHQAaABlAHIAbgAgAFQAZQByAHIAaQB0AG8AcgB5AFwAIgAsACAAXAAiAE4AVA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QQBTAEEANABBAHIAZQBhAHMAXABuAC0ALQAtAC0ALQAtAC0ALQAtAC0ALQAtAC0ALQAtAC0ALQAtAC0ALQAtAC0ALQAtAC0ALQAtAC0ALQAtAC0ALQAtAC0ALQAtAC0ALQBcAG4AKgAvAFwAbgBcAG4AQwBvAG0AbQBvAG4AXwBTAG8AdQByAGMAZQBEAGEAdABhAF8AVwBBAFMAQQA0AEEAcgBlAGEAcwBfAFQAaQB0AGwAZQBcAG4AIAAgAD0ATABBAE0AQgBEAEEAKABcACIAQQBCAFMAIABTAHQAYQB0AGkAcwB0AGMAYQBsACAAQQByAGUAYQBzACAATABlAHYAZQBsACAANAAgAC0AIABXAGUAcwB0AGUAcgBuACAAQQB1AHMAdAByAGEAbABpAGEAXAAiACkAOwBcAG4AXABuAEMAbwBtAG0AbwBuAF8AUwBvAHUAcgBjAGUARABhAHQAYQBfAFcAQQBTAEEANABBAHIAZQBhAHMAXwBWAGEAcgBpAGEAYgBsAGUAXABuACAAIAA9AEwAQQBNAEIARABBACgAXAAiAFwAIgApADsAXABuAFwAbgBDAG8AbQBtAG8AbgBfAFMAbwB1AHIAYwBlAEQAYQB0AGEAXwBXAEEAUwBBADQAQQByAGUAYQBzAF8AVQBuAGkAdABcAG4AIAAgAD0ATABBAE0AQgBEAEEAKABcACIAXAAiACkAOwBcAG4AXABuAEMAbwBtAG0AbwBuAF8AUwBvAHUAcgBjAGUARABhAHQAYQBfAFcAQQBTAEEANABBAHIAZQBhAHMAXwBTAG8AdQByAGMAZQBcAG4AIAAgAD0ATABBAE0AQgBEAEEAKABcACIAQQB1AHMAdAByAGEAbABpAGEAbgAgAEIAdQByAGUAYQB1ACAAbwBmACAAUwB0AGEAdABpAHMAdABpAGMAcwAgACgAQQBCAFMAKQAgAC0AIABTAHQAYQB0AGkAcwB0AGkAYwBhAGwAIABBAHIAZQBhAHMAIABMAGUAdgBlAGwAIAAyACAALQAgADIAMAAyADEAIAAtACAAUwBoAGEAcABlAGYAaQBsAGUAXAAiACkAOwBcAG4AXABuAEMAbwBtAG0AbwBuAF8AUwBvAHUAcgBjAGUARABhAHQAYQBfAFcAQQBTAEEANABBAHIAZQBhAHMAXwBEAGEAdABhAFwAbgAgACAAIAA9AEwAQQBNAEIARABBACgAXABuACAAIAAgACAATQBBAEsARQBBAFIAUgBBAFkAKAAxADEALAAgADEALAAgAFwAbgAgACAAIAAgACAAIABMAEEATQBCAEQAQQAoAHIALABjACwAIABcAG4AIAAgACAAIAAgACAAIAAgAEkATgBEAEUAWAAoAHsAXABuACAAIAAgACAAIAAgACAAIAAgACAAXAAiAFMAQQAgADQAIABOAGEAbQBlAFwAIgA7AFwAbgAgACAAIAAgACAAIAAgACAAIAAgAFwAIgBCAHUAbgBiAHUAcgB5AFwAIgA7AFwAbgAgACAAIAAgACAAIAAgACAAIAAgAFwAIgBNAGEAbgBkAHUAcgBhAGgAXAAiADsAXABuACAAIAAgACAAIAAgACAAIAAgACAAXAAiAFAAZQByAHQAaAAgAC0AIABJAG4AbgBlAHIAXAAiADsAXABuACAAIAAgACAAIAAgACAAIAAgACAAXAAiAFAAZQByAHQAaAAgAC0AIABOAG8AcgB0AGgAIABFAGEAcwB0AFwAIgA7AFwAbgAgACAAIAAgACAAIAAgACAAIAAgAFwAIgBQAGUAcgB0AGgAIAAtACAATgBvAHIAdABoACAAVwBlAHMAdABcACIAOwBcAG4AIAAgACAAIAAgACAAIAAgACAAIABcACIAUABlAHIAdABoACAALQAgAFMAbwB1AHQAaAAgAEUAYQBzAHQAXAAiADsAXABuACAAIAAgACAAIAAgACAAIAAgACAAXAAiAFAAZQByAHQAaAAgAC0AIABTAG8AdQB0AGgAIABXAGUAcwB0AFwAIgA7AFwAbgAgACAAIAAgACAAIAAgACAAIAAgAFwAIgBXAGUAcwB0AGUAcgBuACAAQQB1AHMAdAByAGEAbABpAGEAIAAtACAAVwBoAGUAYQB0ACAAQgBlAGwAdABcACIAOwBcAG4AIAAgACAAIAAgACAAIAAgACAAIABcACIAVwBlAHMAdABlAHIAbgAgAEEAdQBzAHQAcgBhAGwAaQBhACAALQAgAE8AdQB0AGIAYQBjAGsAIAAoAE4AbwByAHQAaAApAFwAIgA7AFwAbgAgACAAIAAgACAAIAAgACAAIAAgAFwAIgBXAGUAcwB0AGUAcgBuACAAQQB1AHMAdAByAGEAbABpAGEAIAAtACAATwB1AHQAYgBhAGMAawAgACgAUwBvAHUAdABoACk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XAGUAdABBAG4AZABEAHIAeQBaAG8AbgBlAHMAXABuAC0ALQAtAC0ALQAtAC0ALQAtAC0ALQAtAC0ALQAtAC0ALQAtAC0ALQAtAC0ALQAtAC0ALQAtAC0ALQAtAC0ALQAtAC0ALQAtAC0ALQBcAG4AKgAvAFwAbgBcAG4AQwBvAG0AbQBvAG4AXwBTAG8AdQByAGMAZQBEAGEAdABhAF8AVwBlAHQAQQBuAGQARAByAHkAWgBvAG4AZQBzAF8AVABpAHQAbABlAFwAbgAgACAAPQBMAEEATQBCAEQAQQAoAFwAIgBWAEUARQBSAEcAIABBAHUAcwB0AHIAYQBsAGkAYQBuACAAdwBlAHQAIABhAG4AZAAgAGQAcgB5ACAAegBvAG4AZQBzAFwAIgApADsAXABuAFwAbgBDAG8AbQBtAG8AbgBfAFMAbwB1AHIAYwBlAEQAYQB0AGEAXwBXAGUAdABBAG4AZABEAHIAeQBaAG8AbgBlAHMAXwBWAGEAcgBpAGEAYgBsAGUAXABuACAAIAA9AEwAQQBNAEIARABBACgAXAAiAFwAIgApADsAXABuAFwAbgBDAG8AbQBtAG8AbgBfAFMAbwB1AHIAYwBlAEQAYQB0AGEAXwBXAGUAdABBAG4AZABEAHIAeQBaAG8AbgBlAHMAXwBVAG4AaQB0AFwAbgAgACAAPQBMAEEATQBCAEQAQQAoAFwAIgBcACIAKQA7AFwAbgBcAG4AQwBvAG0AbQBvAG4AXwBTAG8AdQByAGMAZQBEAGEAdABhAF8AVwBlAHQAQQBuAGQARAByAHkAWgBvAG4AZQBzAF8AUwBvAHUAcgBjAGUAXABuACAAIAA9AEwAQQBNAEIARABBACgAXAAiAFYARQBFAFIARwAgADIAMAAyADYAOgAgAFQAYQBiAGwAZQAgADEALgAyADoAIABUAHIAYQBuAHMAbABhAHQAaQBuAGcAIABjAGwAaQBtAGEAdABlACAAegBvAG4AZQBzACAAdABvACAAdwBlAHQAIABhAG4AZAAgAGQAcgB5ACAAegBvAG4AZQBzAFwAIgApADsAXABuAFwAbgBDAG8AbQBtAG8AbgBfAFMAbwB1AHIAYwBlAEQAYQB0AGEAXwBXAGUAdABBAG4AZABEAHIAeQBaAG8AbgBlAHMAXwBWAGEAcgBpAGEAdABpAG8AbgBcAG4AIAAgACAAPQBMAEEATQBCAEQAQQAoAFwAbgAgACAAIAAgAE0AQQBLAEUAQQBSAFIAQQBZACgAMw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LQAgAEMAaABhAG4AZwBlAGQAIABcAHUAMAAwADIANwBGAHIAeQBcAHUAMAAwADIANwAgAHQAbwAgAFwAdQAwADAAMgA3AEQAcgB5AFwAdQAwADAAMgA3AC4AXAAiAFwAbgAgACAAIAAgACAAIAAgACAAfQAsACAAcgAsACAAYwApAFwAbgAgACAAIAAgACAAIAApAFwAbgAgACAAIAAgACkAXABuACAAIAApADsAXABuAFwAbgBDAG8AbQBtAG8AbgBfAFMAbwB1AHIAYwBlAEQAYQB0AGEAXwBXAGUAdABBAG4AZABEAHIAeQBaAG8AbgBlAHMAXwBEAGEAdABhAFwAbgAgACAAIAA9AEwAQQBNAEIARABBACgAXABuACAAIAAgACAATQBBAEsARQBBAFIAUgBBAFkAKAAxADUALAAgADIALAAgAFwAbgAgACAAIAAgACAAIABMAEEATQBCAEQAQQAoAHIALABjACwAIABcAG4AIAAgACAAIAAgACAAIAAgAEkATgBEAEUAWAAoAHsAXABuACAAIAAgACAAIAAgACAAIAAgACAAXAAiAEMAbABpAG0AYQB0AGUAIABaAG8AbgBlAFwAIgAsACAAXAAiAFcAZQB0ACAAbwByACAARAByAHkAIABaAG8AbgBlAFwAIgA7AFwAbgAgACAAIAAgACAAIAAgACAAIAAgAFwAIgBUAHIAbwBwAGkAYwBhAGwAIABtAG8AbgB0AGEAbgBlAFwAIgAsACAAXAAiAFcAZQB0ACAAYwBsAGkAbQBhAHQAZQAgAHoAbwBuAGUAXAAiADsAXABuACAAIAAgACAAIAAgACAAIAAgACAAXAAiAFQAcgBvAHAAaQBjAGEAbAAgAHcAZQB0AFwAIgAsACAAXAAiAFcAZQB0ACAAYwBsAGkAbQBhAHQAZQAgAHoAbwBuAGUAXAAiADsAXABuACAAIAAgACAAIAAgACAAIAAgACAAXAAiAFQAcgBvAHAAaQBjAGEAbAAgAG0AbwBpAHMAdABcACIALAAgAFwAIgBXAGUAdAAgAGMAbABpAG0AYQB0AGUAIAB6AG8AbgBlAFwAIgA7AFwAbgAgACAAIAAgACAAIAAgACAAIAAgAFwAIgBUAHIAbwBwAGkAYwBhAGwAIABkAHIAeQBcACIALAAgAFwAIgBEAHIAeQAgAGMAbABpAG0AYQB0AGUAIAB6AG8AbgBlAFwAIgA7AFwAbgAgACAAIAAgACAAIAAgACAAIAAgAFwAIgBXAGEAcgBtACAAdABlAG0AcABlAHIAYQB0AGUAIABtAG8AaQBzAHQAXAAiACwAIABcACIAVwBlAHQAIABjAGwAaQBtAGEAdABlACAAegBvAG4AZQBcACIAOwBcAG4AIAAgACAAIAAgACAAIAAgACAAIABcACIAVwBhAHIAbQAgAHQAZQBtAHAAZQByAGEAdABlACAAZAByAHkAXAAiACwAIABcACIARAByAHkAIABjAGwAaQBtAGEAdABlACAAegBvAG4AZQBcACIAOwBcAG4AIAAgACAAIAAgACAAIAAgACAAIABcACIAQwBvAG8AbAAgAHQAZQBtAHAAZQByAGEAdABlACAAbQBvAGkAcwB0AFwAIgAsACAAXAAiAFcAZQB0ACAAYwBsAGkAbQBhAHQAZQAgAHoAbwBuAGUAXAAiADsAXABuACAAIAAgACAAIAAgACAAIAAgACAAXAAiAEMAbwBvAGwAIAB0AGUAbQBwAGUAcgBhAHQAZQAgAGQAcgB5AFwAIgAsACAAXAAiAEQAcgB5ACAAYwBsAGkAbQBhAHQAZQAgAHoAbwBuAGUAXAAiADsAXABuACAAIAAgACAAIAAgACAAIAAgACAAXAAiAFcAYQByAG0AIAB0AGUAbQBwAGUAcgBhAHQAZQAgAG0AbwBpAHMAdAAgAC0AIABsAG8AdwAgAGYAcgBvAHMAdABcACIALAAgAFwAIgBXAGUAdAAgAGMAbABpAG0AYQB0AGUAIAB6AG8AbgBlAFwAIgA7AFwAbgAgACAAIAAgACAAIAAgACAAIAAgAFwAIgBXAGEAcgBtACAAdABlAG0AcABlAHIAYQB0AGUAIABkAHIAeQAgAC0AIABsAG8AdwAgAGYAcgBvAHMAdABcACIALAAgAFwAIgBEAHIAeQAgAGMAbABpAG0AYQB0AGUAIAB6AG8AbgBlAFwAIgA7AFwAbgAgACAAIAAgACAAIAAgACAAIAAgAFwAIgBXAGEAcgBtACAAdABlAG0AcABlAHIAYQB0AGUAIABtAG8AaQBzAHQAIAAtACAAaABpAGcAaAAgAHQAZQBtAHAAXAAiACwAIABcACIAVwBlAHQAIABjAGwAaQBtAGEAdABlACAAegBvAG4AZQBcACIAOwBcAG4AIAAgACAAIAAgACAAIAAgACAAIABcACIAVwBhAHIAbQAgAHQAZQBtAHAAZQByAGEAdABlACAAZAByAHkAIAAtACAAaABpAGcAaAAgAHQAZQBtAHAAXAAiACwAIABcACIARAByAHkAIABjAGwAaQBtAGEAdABlACAAegBvAG4AZQBcACIAOwBcAG4AIAAgACAAIAAgACAAIAAgACAAIABcACIAQwBvAG8AbAAgAHQAZQBtAHAAZQByAGEAdABlACAAbQBvAGkAcwB0ACAALQAgAGwAbwB3ACAAZgByAG8AcwB0AFwAIgAsACAAXAAiAFcAZQB0ACAAYwBsAGkAbQBhAHQAZQAgAHoAbwBuAGUAXAAiADsAXABuACAAIAAgACAAIAAgACAAIAAgACAAXAAiAEMAbwBvAGwAIAB0AGUAbQBwAGUAcgBhAHQAZQAgAGQAcgB5ACAALQAgAGwAbwB3ACAAZgByAG8AcwB0AFwAIgAsACAAXAAiAEQAcgB5ACAAYwBsAGkAbQBhAHQAZQAgAHoAbwBuAGU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DAGwAaQBtAGEAdABlAFoAbwBuAGUAcwBcAG4ALQAtAC0ALQAtAC0ALQAtAC0ALQAtAC0ALQAtAC0ALQAtAC0ALQAtAC0ALQAtAC0ALQAtAC0ALQAtAC0ALQAtAC0ALQAtAC0ALQAtAFwAbgAqAC8AXABuAFwAbgBDAG8AbQBtAG8AbgBfAFMAbwB1AHIAYwBlAEQAYQB0AGEAXwBDAGwAaQBtAGEAdABlAFoAbwBuAGUAcwBfAFQAaQB0AGwAZQBcAG4AIAAgAD0ATABBAE0AQgBEAEEAKABcACIAVgBFAEUAUgBHACAAQQB1AHMAdAByAGEAbABpAGEAbgAgAGMAbABpAG0AYQB0AGUAIAB6AG8AbgBlAHMAXAAiACkAOwBcAG4AXABuAEMAbwBtAG0AbwBuAF8AUwBvAHUAcgBjAGUARABhAHQAYQBfAEMAbABpAG0AYQB0AGUAWgBvAG4AZQBzAF8AVgBhAHIAaQBhAGIAbABlAFwAbgAgACAAPQBMAEEATQBCAEQAQQAoAFwAIgBcACIAKQA7AFwAbgBcAG4AQwBvAG0AbQBvAG4AXwBTAG8AdQByAGMAZQBEAGEAdABhAF8AQwBsAGkAbQBhAHQAZQBaAG8AbgBlAHMAXwBVAG4AaQB0AFwAbgAgACAAPQBMAEEATQBCAEQAQQAoAFwAIgBcACIAKQA7AFwAbgBcAG4AQwBvAG0AbQBvAG4AXwBTAG8AdQByAGMAZQBEAGEAdABhAF8AQwBsAGkAbQBhAHQ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DAGwAaQBtAGEAdABlAFoAbwBuAGUAcwBfAFYAYQByAGkAYQB0AGkAbwBuAFwAbgAgACAAIAA9AEwAQQBNAEIARABBACgAXABuACAAIAAgACAATQBBAEsARQBBAFIAUgBBAFkAKAA1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BpAG4AIABNAEEAVAAgAHYAYQBsAHUAZQAgAGYAbwByACAAdwBhAHIAbQAgAHQAZQBtAHAAZQByAGEAdABlACAAZAByAHkAIAAtACAAYwBoAGEAbgBnAGUAZAAgADEAMAAgAHQAbwAgADEAMQAuAFwAIgA7AFwAbgAgACAAIAAgACAAIAAgACAAIAAgAFwAIgBBAGQAZABlAGQAIABtAGkAbgAgAGEAbgBkACAAbQBhAHgAIABjAG8AbAB1AG0AbgBzACAAZgBvAHIAIABNAEEAVAAsACAATQBBAFAALAAgAGYAcgBvAHMAdAAgAGQAYQB5AHMAIABwAGUAcgAgAHkAZQBhAHIALAAgAGUAbABlAHYAYQB0AGkAbwBuACwAIABNAEEAUAA6AFAARQBUACAAdABvACAAYwBhAGwAYwB1AGwAYQB0AGUAIAB6AG8AbgBlAHMAIABmAHIAbwBtACAAcgBlAGEAbAAgAGMAbABpAG0AYQB0AGUAIABkAGEAdABhAC4AXAAiADsAXABuACAAIAAgACAAIAAgACAAIAAgACAAXAAiAEcAQQBGACAAYQBjAGMAZQBwAHQAcwAgAHIAYQBpAG4AZgBhAGwAbAAgAGEAcwAgAGEAIABwAHIAbwB4AHkAIABmAG8AcgAgAHAAcgBlAGMAaQBwAGkAdABhAHQAaQBvAG4ALgBcACIAXABuACAAIAAgACAAIAAgACAAIAB9ACwAIAByACwAIABjACkAXABuACAAIAAgACAAIAAgACkAXABuACAAIAAgACAAKQBcAG4AIAAgACkAOwBcAG4AXABuAEMAbwBtAG0AbwBuAF8AUwBvAHUAcgBjAGUARABhAHQAYQBfAEMAbABpAG0AYQB0AGUAWgBvAG4AZQBzAF8ARABhAHQAYQBcAG4AIAAgACAAPQBMAEEATQBCAEQAQQAoAFwAbgAgACAAIAAgAE0AQQBLAEUAQQBSAFIAQQBZACgAOQAsACAAMQA2ACwAIABcAG4AIAAgACAAIAAgACAATABBAE0AQgBEAEEAKAByACwAYwAsACAAXABuACAAIAAgACAAIAAgACAAIABJAE4ARABFAFgAKAB7AFwAbgAgACAAIAAgACAAIAAgACAAIAAgAFwAIgBDAGwAaQBtAGEAdABlACAAWgBvAG4AZQBcACIALAAgAFwAIgBNAEEAVABcACIALAAgAFwAIgBNAEEAUABcACIALAAgAFwAIgBGAHIAbwBzAHQAIABkAGEAeQBzACAAcABlAHIAIAB5AGUAYQByAFwAIgAsACAAXAAiAEUAbABlAHYAYQB0AGkAbwBuAFwAIgAsACAAXAAiAE0AQQBQADoAUABFAFQAXAAiACwAIABcACIATQBpAG4AIAB0AGUAbQBwAFwAIgAsACAAXAAiAE0AYQB4ACAAdABlAG0AcABcACIALAAgAFwAIgBNAGkAbgAgAHIAYQBpAG4AZgBhAGwAbABcACIALAAgAFwAIgBNAGEAeAAgAHIAYQBpAG4AZgBhAGwAbABcACIALAAgAFwAIgBNAGkAbgAgAGYAcgBvAHMAdAAgAGQAYQB5AHMAXAAiACwAIABcACIATQBhAHgAIABmAHIAbwBzAHQAIABkAGEAeQBzAFwAIgAsACAAXAAiAE0AaQBuACAAZQBsAGUAdgBhAHQAaQBvAG4AXAAiACwAIABcACIATQBhAHgAIABlAGwAZQB2AGEAdABpAG8AbgBcACIALAAgAFwAIgBNAGkAbgAgAE0AQQBQADoAUABFAFQAXAAiACwAIABcACIATQBpAG4AIABNAEEAUAA6AFAARQBUAFwAIgA7AFwAbgAgACAAIAAgACAAIAAgACAAIAAgAFwAIgBUAHIAbwBwAGkAYwBhAGwAIABtAG8AbgB0AGEAbgBlAFwAIgAsACAAXAAiAFwAdQAwADAAMwBlACAAMQA4ACAAQwBcACIALAAgAFwAIgBBAG4AeQBcACIALAAgAFwAIgBkIiAANwBcACIALAAgAFwAIgBcAHUAMAAwADMAZQAgADEAMAAwADAAIABtAFwAIgAsACAAXAAiAEEAbgB5AFwAIgAsACAAMQA4AC4AMAAwADEALAAgADkAOQA5ADkAOQA5ACwAIAAtADkAOQA5ADkAOQA5ACwAIAA5ADkAOQA5ADkAOQAsACAALQA5ADkAOQA5ADkAOQAsACAANwAsACAAMQAwADAAMAAsACAAOQA5ADkAOQA5ADkALAAgAC0AOQA5ADkAOQA5ADkALAAgADkAOQA5ADkAOQA5ADsAXABuACAAIAAgACAAIAAgACAAIAAgACAAXAAiAFQAcgBvAHAAaQBjAGEAbAAgAHcAZQB0AFwAIgAsACAAXAAiAFwAdQAwADAAMwBlACAAMQA4ACAAQwBcACIALAAgAFwAIgBcAHUAMAAwADMAZQ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BcAHUAMAAwADMAZQAgADEAOAAgAEMAXAAiACwAIABcACIAXAB1ADAAMAAzAGUAIAAxADAAMAAwACAAbQBtACAALQAgAGQiIAAyADAAMAAwACAAbQBtAFwAIgAsACAAXAAiAGQiIAA3AFwAIgAsACAAXAAiAGQiIAAxADAAMAAwACAAbQBcACIALAAgAFwAIgBBAG4AeQBcACIALAAgADEAOAAuADAAMAAxACwAIAA5ADkAOQA5ADkAOQAsACAAMQAwADAAMAAuADAAMAAxACwAIAAyADAAMAAwACwAIAAtADkAOQA5ADkAOQA5ACwAIAA3ACwAIAAtADkAOQA5ADkAOQA5ACwAIAA5ADkAOQAuADkAOQA5ACwAIAAgAC0AOQA5ADkAOQA5ADkALAAgADkAOQA5ADkAOQA5ADsAXABuACAAIAAgACAAIAAgACAAIAAgACAAXAAiAFQAcgBvAHAAaQBjAGEAbAAgAGQAcgB5AFwAIgAsACAAXAAiAFwAdQAwADAAMwBl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FwAdQAwADAAMwBlACAAMQAwACAAQwBcACIALAAgAFwAIgBBAG4AeQBcACIALAAgAFwAIgBBAG4AeQBcACIALAAgAFwAIgBBAG4AeQBcACIALAAgAFwAIgBcAHUAMAAwADMAZQAgADEAXAAiACwAIAAxADAALgAwADAAMQAsACAAOQA5ADkAOQA5ADkALAAgAC0AOQA5ADkAOQA5ADkALAAgADkAOQA5ADkAOQA5ACwAIAAtADkAOQA5ADkAOQA5ACwAIAA5ADkAOQA5ADkAOQAsACAALQA5ADkAOQA5ADkAOQAsACAAOQA5ADkAOQA5ADkALAAgADEALgAwADAAMQAsACAAOQA5ADkAOQA5ADkAOwBcAG4AIAAgACAAIAAgACAAIAAgACAAIABcACIAVwBhAHIAbQAgAHQAZQBtAHAAZQByAGEAdABlACAAZAByAHkAXAAiACwAIABcACIAXAB1ADAAMAAzAGU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FwAdQAwADAAMwBlACAAMAAgAEMAIAAtACAAZCIgADEAMAAgAEMAXAAiACwAIABcACIAQQBuAHkAXAAiACwAIABcACIAQQBuAHkAXAAiACwAIABcACIAQQBuAHkAXAAiACwAIABcACIAXAB1ADAAMAAzAGUAIAAxAFwAIgAsACAALQA5ADkAOQA5ADkAOQAsACAAMQAwACwAIAAtADkAOQA5ADkAOQA5ACwAIAA5ADkAOQA5ADkAOQAsACAALQA5ADkAOQA5ADkAOQAsACAAOQA5ADkAOQA5ADkALAAgAC0AOQA5ADkAOQA5ADkALAAgADkAOQA5ADkAOQA5ACwAIAAxAC4AMAAwADEALAAgADkAOQA5ADkAOQA5ADsAXABuACAAIAAgACAAIAAgACAAIAAgACAAXAAiAEMAbwBvAGwAIAB0AGUAbQBwAGUAcgBhAHQAZQAgAGQAcgB5AFwAIgAsACAAXAAiAFwAdQAwADAAMwBl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FwAdQAwADAAMwBlACAANgAwADAAbQBtAFwAIgAsACAANgAwADAALgAwADAAMQAsACAAOQA5ADkAOQA5ADkAOwBcAG4AIAAgACAAIAAgACAAIAAgACAAIABcACIATABvAHcAIAByAGEAaQBuAGYAYQBsAGwAXAAiACwAIABcACIAQQBuAG4AdQBhAGwAIAByAGEAaQBuAGYAYQBsAGwAIABkIiAANgAwADAAbQBtAFwAIgAsACAALQA5ADkAOQA5ADkAOQAsACAANgAwADA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wAZQBhAGMAaABpAG4AZwBaAG8AbgBlAHMAXABuAC0ALQAtAC0ALQAtAC0ALQAtAC0ALQAtAC0ALQAtAC0ALQAtAC0ALQAtAC0ALQAtAC0ALQAtAC0ALQAtAC0ALQAtAC0ALQAtAC0ALQBcAG4AKgAvAFwAbgBcAG4AQwBvAG0AbQBvAG4AXwBTAG8AdQByAGMAZQBEAGEAdABhAF8ATABlAGEAYwBoAGkAbgBnAFoAbwBuAGUAcwBfAFQAaQB0AGwAZQBcAG4AIAAgAD0ATABBAE0AQgBEAEEAKABcACIAVgBFAEUAUgBHACAAQQB1AHMAdAByAGEAbABpAGEAbgAgAGwAZQBhAGMAaABpAG4AZwAgAHoAbwBuAGUAcwBcACIAKQA7AFwAbgBcAG4AQwBvAG0AbQBvAG4AXwBTAG8AdQByAGMAZQBEAGEAdABhAF8ATABlAGEAYwBoAGkAbgBnAFoAbwBuAGUAcwBfAFYAYQByAGkAYQBiAGwAZQBcAG4AIAAgAD0ATABBAE0AQgBEAEEAKABcACIAXAAiACkAOwBcAG4AXABuAEMAbwBtAG0AbwBuAF8AUwBvAHUAcgBjAGUARABhAHQAYQBfAEwAZQBhAGMAaABpAG4AZwBaAG8AbgBlAHMAXwBVAG4AaQB0AFwAbgAgACAAPQBMAEEATQBCAEQAQQAoAFwAIgBcACIAKQA7AFwAbgBcAG4AQwBvAG0AbQBvAG4AXwBTAG8AdQByAGMAZQBEAGEAdABhAF8ATABlAGEAYwBoAGkAbgBn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wAZQBhAGMAaABpAG4AZwBaAG8AbgBlAHMAXwBWAGEAcgBpAGEAdABpAG8AbgBcAG4AIAAgAD0ATABBAE0AQgBEAEEAKABcACIAXAAiACkAOwBcAG4AXABuAEMAbwBtAG0AbwBuAF8AUwBvAHUAcgBjAGUARABhAHQAYQBfAEwAZQBhAGMAaABpAG4AZwBaAG8AbgBlAHMAXwBEAGEAdABhAFwAbgAgACAAIAA9AEwAQQBNAEIARABBACgAXABuACAAIAAgACAATQBBAEsARQBBAFIAUgBBAFkAKAA0ACwAIAAyACwAIABcAG4AIAAgACAAIAAgACAATABBAE0AQgBEAEEAKAByACwAYwAsACAAXABuACAAIAAgACAAIAAgACAAIABJAE4ARABFAFgAKAB7AFwAbgAgACAAIAAgACAAIAAgACAAIAAgAFwAIgBMAGUAYQBjAGgAaQBuAGcAIABaAG8AbgBlAFwAIgAsACAAXAAiAEwAZQBhAGMAaABpAG4AZwAgAGMAcgBpAHQAZQByAGkAYQBcACIAOwBcAG4AIAAgACAAIAAgACAAIAAgACAAIABcACIATABlAGEAYwBoAGkAbgBnACAAbwBjAGMAdQByAHMAXAAiACwAIABcACIAowMoADXYX9w12E7cNdhW3DXYW9wpAFwAdQAwADAAMwBlAKMDKAA12DjcNdhH3DAAKQArADXYYNw12FzcNdhW3DXYWdwgADXYZNw12E7cNdhh3DXYUtw12F/cIAAOITXYXNw12FncNdhR3DXYVtw12FvcNdhU3CAANdhQ3DXYTtw12F3cNdhO3DXYUNw12FbcNdhh3DXYZtxcACIAOwBcAG4AIAAgACAAIAAgACAAIAAgACAAIABcACIATABlAGEAYwBoAGkAbgBnACAAZABvAGUAcwAgAG4AbwB0ACAAbwBjAGMAdQByAFwAIgAsACAAXAAiAKMDKAA12F/cNdhO3DXYVtw12FvcKQBkIqMDKAA12DjcNdhH3DAAKQArADXYYNw12FzcNdhW3DXYWdwgADXYZNw12E7cNdhh3DXYUtw12F/cIAAOITXYXNw12FncNdhR3DXYVtw12FvcNdhU3CAANdhQ3DXYTtw12F3cNdhO3DXYUNw12FbcNdhh3DXYZtx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YAcgBhAGMAVwBFAFQAXABuADUALgA1AC4AMgAuADMAIABDAG8AbgBzAHQAYQBuAHQAIABQAGEAcgBhAG0AZQB0AGUAcgBzAFwAbgBGAHIAYQBjAHQAaQBvAG4AIABvAGYAIABOACAAdABoAGEAdAAgAGkAcwAgAGEAdgBhAGkAbABhAGIAbABlACAAZgBvAHIAIABsAGUAYQBjAGgAaQBuAGcAIABhAG4AZAAgAHIAdQBuAG8AZgBmAFwAbgAtAC0ALQAtAC0ALQAtAC0ALQAtAC0ALQAtAC0ALQAtAC0ALQAtAC0ALQAtAC0ALQAtAC0ALQAtAC0ALQAtAC0ALQAtAC0ALQAtAC0AXABuACoALwBcAG4AXABuAEMAbwBtAG0AbwBuAF8AUwBvAHUAcgBjAGUARABhAHQAYQBfAEYAcgBhAGMAVwBFAFQ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VwBFAFQAXwBVAG4AaQB0AFwAbgAgACAAPQBMAEEATQBCAEQAQQAoAFwAIgAoAEQAaQBtAGUAbgBzAGkAbwBuAGwAZQBzAHMAXAAiACkAOwBcAG4AXABuAEMAbwBtAG0AbwBuAF8AUwBvAHUAcgBjAGUARABhAHQAYQBfAEYAcgBhAGMAVwBFAFQAXwBTAG8AdQByAGMAZQBcAG4AIAAgAD0ATABBAE0AQgBEAEEAKABcACIAVgBFAEUAUgBHACAAMgAwADIANgA6ADUALgA1AC4AMgAuADMAIABDAG8AbgBzAHQAYQBuAHQAIABQAGEAcgBhAG0AZQB0AGUAcgBzAFwAIgApADsAXABuAFwAbgBDAG8AbQBtAG8AbgBfAFMAbwB1AHIAYwBlAEQAYQB0AGEAXwBGAHIAYQBjAFcARQBUAF8ATgBJAFIAUgBlAGYAZQByAGUAbgBjAGUAXABuACAAIAA9AEwAQQBNAEIARABBACgAXAAiAFwAIgApADsAXABuAFwAbgBDAG8AbQBtAG8AbgBfAFMAbwB1AHIAYwBlAEQAYQB0AGEAXwBGAHIAYQBjAFcARQBUAF8ARABhAHQAYQBcAG4AIAAgAD0ATABBAE0AQgBEAEEAKABcAG4AIAAgACAAIABNAEEASwBFAEEAUgBSAEEAWQAoADMALAAgADIALAAgAFwAbgAgACAAIAAgACAAIABMAEEATQBCAEQAQQAoAHIALABjACwAIABcAG4AIAAgACAAIAAgACAAIAAgAEkATgBEAEUAWAAoAHsAXABuACAAIAAgACAAIAAgACAAIAAgACAAXAAiAEkAcwAgAGkAbgAgAGwAZQBhAGMAaABpAG4AZwAgAHoAbwBuAGUAXAAiACwAXAAiAEYAcgBhAGMAVwBFAFQAXAAiADsAXABuACAAIAAgACAAIAAgACAAIAAgACAAXAAiAFkAZQBzACAALQAgAGkAbgAgAGwAZQBhAGMAaABpAG4AZwAgAHoAbwBuAGUAXAAiACwAIAAxADsAXABuACAAIAAgACAAIAAgACAAIAAgACAAXAAiAE4AbwAgAC0AIABuAG8AdAAgAGkAbgAgAGwAZQBhAGMAaABpAG4AZwAgAHoAbwBuAGUAXAAiACwAIAAwAFwAbgAgACAAIAAgACAAIAAgACAAfQAsACAAcgAsACAAYwApAFwAbgAgACAAIAAgACAAIAApAFwAbgAgACAAIAAgACkAXABuACAAIAApADsAXABuAFwAbgAgACAAQwBvAG0AbQBvAG4AXwBTAG8AdQByAGMAZQBEAGEAdABhAF8ARgByAGEAYwBXAEUAVABfAFYAYQByAGkAYQB0AGkAbwBuAFwAbgAgACAAPQBMAEEATQBCAEQAQQAoACgAXAAiAFwAIgApACkAOwBcAG4AXABuAFwAbgBcAG4ALwAqACAAXABuAC0ALQAtAC0ALQAtAC0ALQAtAC0ALQAtAC0ALQAtAC0ALQAtAC0ALQAtAC0ALQAtAC0ALQAtAC0ALQAtAC0ALQAtAC0ALQAtAC0ALQBcAG4AQwBvAG0AbQBvAG4AXwBTAG8AdQByAGMAZQBEAGEAdABhAF8ARABhAHQAYQBTAGMAbwByAGUAcwBfAFMAYwBvAHAAZQAzAFwAbgAtAC0ALQAtAC0ALQAtAC0ALQAtAC0ALQAtAC0ALQAtAC0ALQAtAC0ALQAtAC0ALQAtAC0ALQAtAC0ALQAtAC0ALQAtAC0ALQAtAC0AXABuACoALwBcAG4AXABuAEMAbwBtAG0AbwBuAF8AUwBvAHUAcgBjAGUARABhAHQAYQBfAEQAYQB0AGEAUwBjAG8AcgBlAHMAXwBTAGMAbwBwAGUAMwBfAFQAaQB0AGwAZQBcAG4AIAAgAD0ATABBAE0AQgBEAEEAKABcACIAQQB1AHMAdAByAGEAbABpAGEAbgAgAGQAYQB0AGEAIABzAGMAbwByAGUAcwAgAGYAbwByACAAcwBjAG8AcABlACAAMwBcACIAKQA7AFwAbgBcAG4AQwBvAG0AbQBvAG4AXwBTAG8AdQByAGMAZQBEAGEAdABhAF8ARABhAHQAYQBTAGMAbwByAGUAcwBfAFMAYwBvAHAAZQAzAF8AVgBhAHIAaQBhAGIAbABlAFwAbgAgACAAPQBMAEEATQBCAEQAQQAoAFwAIgBcACIAKQA7AFwAbgBcAG4AQwBvAG0AbQBvAG4AXwBTAG8AdQByAGMAZQBEAGEAdABhAF8ARABhAHQAYQBTAGMAbwByAGUAcwBfAFMAYwBvAHAAZQAzAF8AVQBuAGkAdABcAG4AIAAgAD0ATABBAE0AQgBEAEEAKABcACIAXAAiACkAOwBcAG4AXABuAEMAbwBtAG0AbwBuAF8AUwBvAHUAcgBjAGUARABhAHQAYQBfAEQAYQB0AGEAUwBjAG8AcgBlAHMAXwBTAGMAbwBwAGUAMwBfAFMAbwB1AHIAYwBlAFwAbgAgACAAPQBMAEEATQBCAEQAQQAoAFwAIgBWAEUARQBSAEcAIAAyADAAMgA2ADoAIABYAFgAWABYAFgAWABYAFgAXAAiACkAOwBcAG4AXABuAEMAbwBtAG0AbwBuAF8AUwBvAHUAcgBjAGUARABhAHQAYQBfAEQAYQB0AGEAUwBjAG8AcgBlAHMAXwBTAGMAbwBwAGUAMwBfAFYAYQByAGkAYQB0AGkAbwBuAFwAbgAgACAAPQBMAEEATQBCAEQAQQAoAFwAIgBcACIAKQA7AFwAbgBcAG4AQwBvAG0AbQBvAG4AXwBTAG8AdQByAGMAZQBEAGEAdABhAF8ARABhAHQAYQBTAGMAbwByAGUAcwBfAFMAYwBvAHAAZQAzAF8ARABhAHQAYQBcAG4AIAAgACAAPQBMAEEATQBCAEQAQQAoAFwAbgAgACAAIAAgAE0AQQBLAEUAQQBSAFIAQQBZACgANgAsACAAMgAsACAAXABuACAAIAAgACAAIAAgAEwAQQBNAEIARABBACgAcgAsAGMALAAgAFwAbgAgACAAIAAgACAAIAAgACAASQBOAEQARQBYACgAewBcAG4AIAAgACAAIAAgACAAIAAgACAAIABcACIARABhAHQAYQAgAHMAbwB1AHIAYwBlAFwAIgAsACAAXAAiAEQAYQB0AGEAIABzAGMAbwByAGUAXAAiADsAXABuACAAIAAgACAAIAAgACAAIAAgACAAXAAiAEkAbgB0AGUAcgBuAGEAdABpAG8AbgBhAGwAIABzAGMAbwBwAGUAIAAzACAAZABhAHQAYQBiAGEAcwBlAFwAIgAsACAAMQA7AFwAbgAgACAAIAAgACAAIAAgACAAIAAgAFwAIgBBAHUAcwB0AHIAYQBsAGkAYQBuACAAcwBjAG8AcABlACAAMwAgAGQAYQB0AGEAYgBhAHMAZQBcACIALAAgADIAOwBcAG4AIAAgACAAIAAgACAAIAAgACAAIABcACIAUwB0AGEAdABlACAAbwByACAAcgBlAGcAaQBvAG4AYQBsACAAcwBjAG8AcABlACAAMwAgAGQAYQB0AGEAYgBhAHMAZQBcACIALAAgADMAOwBcAG4AIAAgACAAIAAgACAAIAAgACAAIABcACIARQBtAGkAcwBzAGkAbwBuAHMAIABpAG4AdABlAG4AcwBpAHQAeQAgAGMAYQBsAGMAdQBsAGEAdABlAGQAIABmAHIAbwBtACAAYQBwAHAAcgBvAHYAZQBkACAAbQBlAHQAaABvAGQAXAAiACwAIAA0ADsAXABuACAAIAAgACAAIAAgACAAIAAgACAAXAAiAFYAZQByAGkAZgBpAGUAZAAgAGMAcgBlAGQAZQBuAHQAaQBhAGwAIABtAGEAdABjAGgAaQBuAGcAIABJAFMATwAxADQAMAA2ADcAXAAiACwAIAA1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RgByAGEAYwBMAEUAQQBDAEgAXABuADUALgA1AC4AMgAuADMAIABDAG8AbgBzAHQAYQBuAHQAIABQAGEAcgBhAG0AZQB0AGUAcgBzAFwAbgBGAHIAYQBjAHQAaQBvAG4AIABvAGYAIABOACAAdABoAGEAdAAgAGkAcwAgAGEAdgBhAGkAbABhAGIAbABlACAAZgBvAHIAIABsAGUAYQBjAGgAaQBuAGcAIABhAG4AZAAgAHIAdQBuAG8AZgBmAFwAbgAtAC0ALQAtAC0ALQAtAC0ALQAtAC0ALQAtAC0ALQAtAC0ALQAtAC0ALQAtAC0ALQAtAC0ALQAtAC0ALQAtAC0ALQAtAC0ALQAtAC0AXABuACoALwBcAG4AXABuAEMAbwBtAG0AbwBuAF8AUwBvAHUAcgBjAGUARABhAHQAYQBfAEYAcgBhAGMATABFAEEAQwBI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EwARQBBAEMASABfAFUAbgBpAHQAXABuACAAIAA9AEwAQQBNAEIARABBACgAXAAiACgARABpAG0AZQBuAHMAaQBvAG4AbABlAHMAcwBcACIAKQA7AFwAbgBcAG4AQwBvAG0AbQBvAG4AXwBTAG8AdQByAGMAZQBEAGEAdABhAF8ARgByAGEAYwBMAEUAQQBDAEgAXwBTAG8AdQByAGMAZQBcAG4AIAAgAD0ATABBAE0AQgBEAEEAKABcACIAVgBFAEUAUgBHACAAMgAwADIANgA6ADUALgA1AC4AMgAuADMAIABDAG8AbgBzAHQAYQBuAHQAIABQAGEAcgBhAG0AZQB0AGUAcgBzAFwAIgApADsAXABuAFwAbgBDAG8AbQBtAG8AbgBfAFMAbwB1AHIAYwBlAEQAYQB0AGEAXwBGAHIAYQBjAEwARQBBAEMASABfAE4ASQBSAFIAZQBmAGUAcgBlAG4AYwBlAFwAbgAgACAAPQBMAEEATQBCAEQAQQAoAFwAIgBOAGEAdABpAG8AbgBhAGwAIABJAG4AdgBlAG4AdABvAHIAeQAgAFIAZQBwAG8AcgB0ACAAVgBvAGwAdQBtAGUAIAAxADoAIABMAGUAYQBjAGgAaQBuAGcAIABhAG4AZAAgAHIAdQBuAG8AZgBmACAAKAAzAC4ARAAuAGIALgAyACkAXAAiACkAOwBcAG4AXABuAEMAbwBtAG0AbwBuAF8AUwBvAHUAcgBjAGUARABhAHQAYQBfAEYAcgBhAGMATABFAEEAQwBIAF8ARABhAHQAYQBcAG4AIAAgAD0ATABBAE0AQgBEAEEAKABcAG4AIAAgACAAIABNAEEASwBFAEEAUgBSAEEAWQAoADEALAAgADIALAAgAFwAbgAgACAAIAAgACAAIABMAEEATQBCAEQAQQAoAHIALABjACwAIABcAG4AIAAgACAAIAAgACAAIAAgAEkATgBEAEUAWAAoAHsAXABuACAAIAAgACAAIAAgACAAIAAgACAAXAAiAEYAcgBhAGMATABFAEEAQwBIAFwAIgAsADAALgAyADQAXABuACAAIAAgACAAIAAgACAAIAB9ACwAIAByACwAIABjACkAXABuACAAIAAgACAAIAAgACkAXABuACAAIAAgACAAKQBcAG4AIAAgACkAOwBcAG4AXABuACAAIABDAG8AbQBtAG8AbgBfAFMAbwB1AHIAYwBlAEQAYQB0AGEAXwBGAHIAYQBjAEwARQBBAEMASABfAFYAYQByAGkAYQB0AGkAbwBuAFwAbgAgACAAPQBMAEEATQBCAEQAQQAoACgAXAAiAFwAIgApACkAOwBcAG4AXABuAFwAbgBcAG4ALwAqACAAXABuAC0ALQAtAC0ALQAtAC0ALQAtAC0ALQAtAC0ALQAtAC0ALQAtAC0ALQAtAC0ALQAtAC0ALQAtAC0ALQAtAC0ALQAtAC0ALQAtAC0ALQBcAG4AQwBvAG0AbQBvAG4AXwBTAG8AdQByAGMAZQBEAGEAdABhAF8ARQBGAGwAZQBhAGMAaABcAG4ANQAuADUALgAyAC4AMwAgAEMAbwBuAHMAdABhAG4AdAAgAFAAYQByAGEAbQBlAHQAZQByAHMAXABuAEUAbQBpAHMAcwBpAG8AbgAgAGYAYQBjAHQAbwByACAAZgBvAHIAIABuAGkAdAByAG8AZwBlAG4AIABsAGUAYQBjAGgAaQBuAGcAIABhAG4AZAAgAHIAdQBuAG8AZgBmAFwAbgAtAC0ALQAtAC0ALQAtAC0ALQAtAC0ALQAtAC0ALQAtAC0ALQAtAC0ALQAtAC0ALQAtAC0ALQAtAC0ALQAtAC0ALQAtAC0ALQAtAC0AXABuACoALwBcAG4AXABuAEMAbwBtAG0AbwBuAF8AUwBvAHUAcgBjAGUARABhAHQAYQBfAEUARgBsAGUAYQBjAGgAXwBUAGkAdABsAGUAXABuACAAIAA9AEwAQQBNAEIARABBACgAXAAiAEUAbQBpAHMAcwBpAG8AbgAgAGYAYQBjAHQAbwByACAAZgBvAHIAIABuAGkAdAByAG8AZwBlAG4AIABsAGUAYQBjAGgAaQBuAGcAIABhAG4AZAAgAHIAdQBuAG8AZgBmAFwAIgApADsAXABuAFwAbgBDAG8AbQBtAG8AbgBfAFMAbwB1AHIAYwBlAEQAYQB0AGEAXwBFAEYAbABlAGEAYwBoAF8AVQBuAGkAdABcAG4AIAAgAD0ATABBAE0AQgBEAEEAKABcACIAKABrAGcAIABOADIATwAtAE4AIAAvACAAawBnACAATgBcACIAKQA7AFwAbgBcAG4AQwBvAG0AbQBvAG4AXwBTAG8AdQByAGMAZQBEAGEAdABhAF8ARQBGAGwAZQBhAGMAaABfAFMAbwB1AHIAYwBlAFwAbgAgACAAPQBMAEEATQBCAEQAQQAoAFwAIgBWAEUARQBSAEcAIAAyADAAMgA2ADoANQAuADUALgAyAC4AMwAgAEMAbwBuAHMAdABhAG4AdAAgAFAAYQByAGEAbQBlAHQAZQByAHMAXAAiACkAOwBcAG4AXABuAEMAbwBtAG0AbwBuAF8AUwBvAHUAcgBjAGUARABhAHQAYQBfAEUARgBsAGUAYQBjAGgAXwBOAEkAUgBSAGUAZgBlAHIAZQBuAGMAZQBcAG4AIAAgAD0ATABBAE0AQgBEAEEAKABcACIATgBhAHQAaQBvAG4AYQBsACAASQBuAHYAZQBuAHQAbwByAHkAIABSAGUAcABvAHIAdAAgAFYAbwBsAHUAbQBlACAAMQA6ACAARQBxAHUAYQB0AGkAbwBuACAAMwAuAEQALgBCAF8AMQAwAFwAIgApADsAXABuAFwAbgBDAG8AbQBtAG8AbgBfAFMAbwB1AHIAYwBlAEQAYQB0AGEAXwBFAEYAbABlAGEAYwBoAF8ARABhAHQAYQBcAG4AIAAgAD0ATABBAE0AQgBEAEEAKABcAG4AIAAgACAAIABNAEEASwBFAEEAUgBSAEEAWQAoADEALAAgADIALAAgAFwAbgAgACAAIAAgACAAIABMAEEATQBCAEQAQQAoAHIALABjACwAIABcAG4AIAAgACAAIAAgACAAIAAgAEkATgBEAEUAWAAoAHsAXABuACAAIAAgACAAIAAgACAAIAAgACAAXAAiAEUARgBsAGUAYQBjAGgAXAAiACwAMAAuADAAMQAxAFwAbgAgACAAIAAgACAAIAAgACAAfQAsACAAcgAsACAAYwApAFwAbgAgACAAIAAgACAAIAApAFwAbgAgACAAIAAgACkAXABuACAAIAApADsAXABuAFwAbgAgACAAQwBvAG0AbQBvAG4AXwBTAG8AdQByAGMAZQBEAGEAdABhAF8ARQBGAGwAZQBhAGMAaABfAFYAYQByAGkAYQB0AGkAbwBuAFwAbgAgACAAPQBMAEEATQBCAEQAQQAoACgAXAAiAFwAIgApACkAOwBcAG4AXABuAFwAbgAvACoAIABcAG4ALQAtAC0ALQAtAC0ALQAtAC0ALQAtAC0ALQAtAC0ALQAtAC0ALQAtAC0ALQAtAC0ALQAtAC0ALQAtAC0ALQAtAC0ALQAtAC0ALQAtAFwAbgBDAG8AbQBtAG8AbgBfAFMAbwB1AHIAYwBlAEQAYQB0AGEAXwBFAEYATgAyAE8AXABuAFQAYQBiAGwAZQAgAEEALgAyAC4AMgAuADEAXABuAE4AaQB0AHIAbwB1AHMAIABvAHgAaQBkAGUAIABlAG0AaQBzAHMAaQBvAG4AIABmAGEAYwB0AG8AcgBzACAAZgBvAHIAIABpAG4AbwByAGcAYQBuAGkAYwAgAGYAZQByAHQAaQBsAGkAcwBlAHIAIABhAHAAcABsAGkAYwBhAHQAaQBvAG4AIAAoAGsAZwAgAE4AMgBPAC0ATgAvAGsAZwAgAE4AKQAgACgARQBGAE4AMgBPACkAXABuAC0ALQAtAC0ALQAtAC0ALQAtAC0ALQAtAC0ALQAtAC0ALQAtAC0ALQAtAC0ALQAtAC0ALQAtAC0ALQAtAC0ALQAtAC0ALQAtAC0ALQBcAG4AKgAvAFwAbgBcAG4AQwBvAG0AbQBvAG4AXwBTAG8AdQByAGMAZQBEAGEAdABhAF8ARQBGAE4AMgBPAF8AVABpAHQAbABlAFwAbgAgACAAPQBMAEEATQBCAEQAQQAoAFwAIgBOAGkAdAByAG8AdQBzACAAbwB4AGkAZABlACAAZQBtAGkAcwBzAGkAbwBuACAAZgBhAGMAdABvAHIAcwAgAGYAbwByACAAaQBuAG8AcgBnAGEAbgBpAGMAIABmAGUAcgB0AGkAbABpAHMAZQByACAAYQBwAHAAbABpAGMAYQB0AGkAbwBuAFwAIgApADsAXABuAFwAbgBDAG8AbQBtAG8AbgBfAFMAbwB1AHIAYwBlAEQAYQB0AGEAXwBFAEYATgAyAE8AXwBVAG4AaQB0AFwAbgAgACAAPQBMAEEATQBCAEQAQQAoAFwAIgAoAGsAZwAgAE4AMgBPAC0ATgAgAC8AIABrAGcAIABOAFwAIgApADsAXABuAFwAbgBDAG8AbQBtAG8AbgBfAFMAbwB1AHIAYwBlAEQAYQB0AGEAXwBFAEYATgAyAE8AXwBTAG8AdQByAGMAZQBcAG4AIAAgAD0ATABBAE0AQgBEAEEAKABcACIAVgBFAEUAUgBHACAAMgAwADIANgA6ACAAVABhAGIAbABlACAAQQAuADIALgAyAC4AMQBcACIAKQA7AFwAbgBcAG4AQwBvAG0AbQBvAG4AXwBTAG8AdQByAGMAZQBEAGEAdABhAF8ARQBGAE4AMgBPAF8ATgBJAFIAUgBlAGYAZQByAGUAbgBjAGUAXABuACAAIAA9AEwAQQBNAEIARABBACgAXAAiAFwAIgApADsAXABuAFwAbgBDAG8AbQBtAG8AbgBfAFMAbwB1AHIAYwBlAEQAYQB0AGEAXwBFAEYATgAyAE8AXwBEAGEAdABhAFwAbgAgACAAPQBMAEEATQBCAEQAQQAoAFwAbgAgACAAIAAgAE0AQQBLAEUAQQBSAFIAQQBZACgAMQA1ACwAIAA1ACwAIABcAG4AIAAgACAAIAAgACAATABBAE0AQgBEAEEAKAByACwAYwAsACAAXABuACAAIAAgACAAIAAgACAAIABJAE4ARABFAFgAKAB7AFwAbgAgACAAIAAgACAAIAAgACAAIAAgAFwAIgBQAHIAbwBkAHUAYwB0AGkAbwBuACAAcwB5AHMAdABlAG0AIABqAFwAIgAsAFwAIgBFAEYATgAyAE8AXAAiACwAIABcACIAUAByAG8AZAB1AGMAdABpAG8AbgAgAHMAeQBzAHQAZQBtACAAbwBuAGwAeQBcACIALAAgAFwAIgBJAHIAcgBpAGcAYQB0AGkAbwBuACAAbQBlAHQAaABvAGQAXAAiACwAIABcACIAUgBhAGkAbgBmAGEAbABsACAAegBvAG4AZQBcACIAOwBcAG4AIAAgACAAIAAgACAAIAAgACAAIABcACIASQByAHIAaQBnAGEAdABlAGQAIABwAGEAcwB0AHUAcgBlAFwAIgAsADAALgAwADAANQA5ACwAIABcACIAUABhAHMAdAB1AHIAZQBcACIALAAgAFwAIgBBAG4AeQBcACIALAAgAFwAIgBBAG4AeQBcACIAOwBcAG4AIAAgACAAIAAgACAAIAAgACAAIABcACIASQByAHIAaQBnAGEAdABlAGQAIABjAHIAbwBwAFwAIgAsADAALgAwADAANwAsACAAXAAiAEMAcgBvAHAAXAAiACwAIABcACIAQQBuAHkAXAAiACwAIABcACIAQQBuAHkAXAAiADsAXABuACAAIAAgACAAIAAgACAAIAAgACAAXAAiAE4AbwBuAC0AaQByAHIAaQBnAGEAdABlAGQAIABwAGEAcwB0AHUAcgBlAFwAIgAsADAALgAwADAAMQA4ACwAIABcACIAUABhAHMAdAB1AHIAZQBcACIALAAgAFwAIgBOAG8AdAAgAGkAcgByAGkAZwBhAHQAZQBkAFwAIgAsACAAXAAiAEwAbwB3ACAAcgBhAGkAbgBmAGEAbABsAFwAIgA7AFwAbgAgACAAIAAgACAAIAAgACAAIAAgAFwAIgBOAG8AbgAtAGkAcgByAGkAZwBhAHQAZQBkACAAcABhAHMAdAB1AHIAZQBcACIALAAwAC4AMAAwADEAOAAsACAAXAAiAFAAYQBzAHQAdQByAGUAXAAiACwAIABcACIATgBvAHQAIABpAHIAcgBpAGcAYQB0AGUAZABcACIALAAgAFwAIgBIAGkAZwBoACAAcgBhAGkAbgBmAGEAbABsAFwAIgA7AFwAbgAgACAAIAAgACAAIAAgACAAIAAgAFwAIgBOAG8AbgAtAGkAcgByAGkAZwBhAHQAZQBkACAAYwByAG8AcAAgACgAbABvAHcAIAByAGEAaQBuAGYAYQBsAGwAKQBcACIALAAwAC4AMAAwADIAOQAsACAAXAAiAEMAcgBvAHAAXAAiACwAIABcACIATgBvAHQAIABpAHIAcgBpAGcAYQB0AGUAZABcACIALAAgAFwAIgBMAG8AdwAgAHIAYQBpAG4AZgBhAGwAbABcACIAOwBcAG4AIAAgACAAIAAgACAAIAAgACAAIABcACIATgBvAG4ALQBpAHIAcgBpAGcAYQB0AGUAZAAgAGMAcgBvAHAAIAAoAGgAaQBnAGgAIAByAGEAaQBuAGYAYQBsAGwAKQBcACIALAAwAC4AMAAwADgALAAgAFwAIgBDAHIAbwBwAFwAIgAsACAAXAAiAE4AbwB0ACAAaQByAHIAaQBnAGEAdABlAGQAXAAiACwAIABcACIASABpAGcAaAAgAHIAYQBpAG4AZgBhAGwAbABcACIAOwBcAG4AIAAgACAAIAAgACAAIAAgACAAIABcACIAUwB1AGcAYQByAFwAIgAsADAALgAwADEAOQA5ACwAIABcACIAUwB1AGcAYQByAFwAIgAsACAAXAAiAEEAbgB5AFwAIgAsACAAXAAiAEEAbgB5AFwAIgA7AFwAbgAgACAAIAAgACAAIAAgACAAIAAgAFwAIgBDAG8AdAB0AG8AbgBcACIALAAwAC4AMAAwADUAMwAsACAAXAAiAEMAbwB0AHQAbwBuAFwAIgAsACAAXAAiAEEAbgB5AFwAIgAsACAAXAAiAEEAbgB5AFwAIgA7AFwAbgAgACAAIAAgACAAIAAgACAAIAAgAFwAIgBIAG8AcgB0AGkAYwB1AGwAdAB1AHIAYQBsACAAYwByAG8AcABzAFwAIgAsADAALgAwADAANgA0ACwAIABcACIASABvAHIAdABpAGMAdQBsAHQAdQByAGEAbAAgAGMAcgBvAHAAcwBcACIALAAgAFwAIgBBAG4AeQBcACIALAAgAFwAIgBBAG4AeQBcACIAOwBcAG4AIAAgACAAIAAgACAAIAAgACAAIABcACIAUgBpAGMAZQAgACgAYwBvAG4AdABpAG4AdQBvAHUAcwAgAGYAbABvAG8AZABpAG4AZwApAFwAIgAsADAALgAwADAAMwAsACAAXAAiAFIAaQBjAGUAXAAiACwAIABcACIAQwBvAG4AdABpAG4AdQBvAHUAcwAgAGYAbABvAG8AZABpAG4AZwBcACIALAAgAFwAIgBBAG4AeQBcACIAOwBcAG4AIAAgACAAIAAgACAAIAAgACAAIABcACIAUgBpAGMAZQAgACgAcwBpAG4AZwBsAGUAIABhAG4AZAAgAG0AdQBsAHQAaQBwAGwAZQAgAGQAcgBhAGkAbgBhAGcAZQAsACAAbwByACAAYQBsAHQAZQByAG4AYQB0AGUAIAB3AGUAdAB0AGkAbgBnACAAYQBuAGQAIABkAHIAeQBpAG4AZwApAFwAIgAsADAALgAwADAANQAsACAAXAAiAFIAaQBjAGUAXAAiACwAIABcACIAUwBpAG4AZwBsAGUAIABhAG4AZAAgAG0AdQBsAHQAaQBwAGwAZQAgAGQAcgBhAGkAbgBhAGcAZQAsACAAbwByACAAYQBsAHQAZQByAG4AYQB0AGUAIAB3AGUAdAB0AGkAbgBnACAAYQBuAGQAIABkAHIAeQBpAG4AZwBcACIALAAgAFwAIgBBAG4AeQBcACIAOwBcAG4AIAAgACAAIAAgACAAIAAgACAAIABcACIAQQBxAHUAYQBjAHUAbAB0AHUAcgBlAFwAIgAsADAALgAwADAAMgA2ACwAIABcACIAQQBxAHUAYQBjAHUAbAB0AHUAcgBlAFwAIgAsACAAXAAiAEEAbgB5AFwAIgAsACAAXAAiAEEAbgB5AFwAIgA7AFwAbgAgACAAIAAgACAAIAAgACAAIAAgAFwAIgBGAG8AcgBlAHMAdAByAHkAXAAiACwAMAAuADAAMAAxADgALAAgAFwAIgBGAG8AcgBlAHMAdAByAHkAXAAiACwAIABcACIAQQBuAHkAXAAiACwAIABcACIAQQBuAHkAXAAiAFwAbgAgACAAIAAgACAAIAAgACAAfQAsACAAcgAsACAAYwApAFwAbgAgACAAIAAgACAAIAApAFwAbgAgACAAIAAgACkAXABuACAAIAApADsAXABuAFwAbgAgACAAQwBvAG0AbQBvAG4AXwBTAG8AdQByAGMAZQBEAGEAdABhAF8ARQBGAE4AMgBPAF8AVgBhAHIAaQBhAHQAaQBvAG4AXABuACAAIAA9AEwAQQBNAEIARABBACgAXABuACAAIAAgACAATQBBAEsARQBBAFIAUgBBAFkAKAA1ACwAIAAxACwAIABcAG4AIAAgACAAIAAgACAATABBAE0AQgBEAEEAKAByACwAYwAsACAAXABuACAAIAAgACAAIAAgACAAIABJAE4ARABFAFgAKAB7AFwAbgAgACAAIAAgACAAIAAgACAAIAAgAFwAIgBWAEEAUgBJAEEAVABJAE8ATgAgAE8ARgAgAFMATwBVAFIAQwBFACAARABBAFQAQQA6AFwAIgA7AFwAbgAgACAAIAAgACAAIAAgACAAIAAgAFwAIgBSAGUAbQBvAHYAZQBkACAAZAB1AHAAbABpAGMAYQB0AGUAIABcAHUAMAAwADIANwBBAHEAdQBhAGMAdQBsAHQAdQByAGUAXAB1ADAAMAAyADcAIAByAG8AdwAuAFwAIgA7AFwAbgAgACAAIAAgACAAIAAgACAAIAAgAFwAIgBSAGUAbQBvAHYAZQBkACAAYQBzAHQAZQByAGkAcwBrAHMAIAB0AG8AIABhAGkAZAAgAGwAbwBvAGsAdQBwAC4AXAAiADsAXABuACAAIAAgACAAIAAgACAAIAAgACAAXAAiAEEAZABkAGUAZAAgAFwAdQAwADAAMgA3AHAAcgBvAGQAdQBjAHQAaQBvAG4AIABzAHkAcwB0AGUAbQAgAG8AbgBsAHkAXAB1ADAAMAAyADcALAAgAFwAdQAwADAAMgA3AHIAYQBpAG4AZgBhAGwAbAAgAHoAbwBuAGUAXAB1ADAAMAAyADcAIABhAG4AZAAgAFwAdQAwADAAMgA3AGkAcgByAGkAZwBhAHQAaQBvAG4AIABtAGUAdABoAG8AZABcAHUAMAAwADIANwAgAGMAbwBsAHUAbQBuAHMAIAB0AG8AIABhAGkAZAAgAGwAbwBvAGsAdQBwAC4AXAAiADsAXABuACAAIAAgACAAIAAgACAAIAAgACAAXAAiAEQAdQBwAGwAaQBjAGEAdABlAGQAIABcAHUAMAAwADIANwBuAG8AbgAtAGkAcgByAGkAZwBhAHQAZQBkACAAcABhAHMAdAB1AHIAZQBcAHUAMAAwADIAN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BcAHUAMAAwADIANwBBAHIAZQBhAHMAIABhAHIAZQAgAHMAdQBiAGoAZQBjAHQAIAB0AG8AIABsAGUAYQBjAGgAaQBuAGcAIAAoAGkALgBlAC4ALAAgAGkAbgAgAHQAaABlACAAbABlAGEAYwBoAGkAbgBnACAAegBvAG4AZQApACAAdwBoAGUAbgAuAC4ALgAgAHQAaABlACAAbABhAG4AZAAgAGkAcwAgAGkAcgByAGkAZwBhAHQAZQBkACAAKABlAHgAYwBlAHAAdAAgAGQAcgBpAHAAIABpAHIAcgBpAGcAYQB0AGkAbwBuACkALgBcAHUAMAAwADIANwBcACIAKQA7AFwAbgBcAG4AXABuAC8AKgAgAFwAbgAtAC0ALQAtAC0ALQAtAC0ALQAtAC0ALQAtAC0ALQAtAC0ALQAtAC0ALQAtAC0ALQAtAC0ALQAtAC0ALQAtAC0ALQAtAC0ALQAtAC0AXABuAEMAbwBtAG0AbwBuAF8AUwBvAHUAcgBjAGUARABhAHQAYQBfAEUARgBQAGEAcwB0AHUAcgBlAFIAYQBuAGcAZQBBAG4AZABQAGEAZABkAG8AYwBrAFwAbgBUAGEAYgBsAGUAIABBAC4AMgAuADIALgAyADoAIABFAG0AaQBzAHMAaQBvAG4AIABmAGEAYwB0AG8AcgAgAGYAbwByACAAdQByAGkAbgBlACAAYQBuAGQAIABkAHUAbgBnACAAZABlAHAAbwBzAGkAdABlAGQAIABvAG4AIABwAGEAcwB0AHUAcgBlACwAIAByAGEAbgBnAGUAIABvAHIAIABwAGEAZABkAG8AYwBrACAAKABrAGcAIABOADIATwAtAE4ALwBrAGcAIABOACkAIAAoAEUARgBQAFIAUAApAFwAbgAtAC0ALQAtAC0ALQAtAC0ALQAtAC0ALQAtAC0ALQAtAC0ALQAtAC0ALQAtAC0ALQAtAC0ALQAtAC0ALQAtAC0ALQAtAC0ALQAtAC0AXABuACoALwBcAG4AXABuAEMAbwBtAG0AbwBuAF8AUwBvAHUAcgBjAGUARABhAHQAYQBfAEUARgBQAGEAcwB0AHUAcgBlAFIAYQBuAGcAZQBBAG4AZABQAGEAZABkAG8AYwBrAF8AVABpAHQAbABlAFwAbgAgACAAPQBMAEEATQBCAEQAQQAoAFwAIgBFAG0AaQBzAHMAaQBvAG4AIABmAGEAYwB0AG8AcgAgAGYAbwByACAAdQByAGkAbgBlACAAYQBuAGQAIABkAHUAbgBnACAAZABlAHAAbwBzAGkAdABlAGQAIABvAG4AIABwAGEAcwB0AHUAcgBlACwAIAByAGEAbgBnAGUAIABvAHIAIABwAGEAZABkAG8AYwBrAFwAIgApADsAXABuAFwAbgBDAG8AbQBtAG8AbgBfAFMAbwB1AHIAYwBlAEQAYQB0AGEAXwBFAEYAUABhAHMAdAB1AHIAZQBSAGEAbgBnAGUAQQBuAGQAUABhAGQAZABvAGMAawBfAFUAbgBpAHQAXABuACAAIAA9AEwAQQBNAEIARABBACgAXAAiAGsAZwAgAE4AMgBPACAALQAgAE4AIAAvACAAawBnACAATgBcACIAKQA7AFwAbgBcAG4AQwBvAG0AbQBvAG4AXwBTAG8AdQByAGMAZQBEAGEAdABhAF8ARQBGAFAAYQBzAHQAdQByAGUAUgBhAG4AZwBlAEEAbgBkAFAAYQBkAGQAbwBjAGsAXwBTAG8AdQByAGMAZQBcAG4AIAAgAD0ATABBAE0AQgBEAEEAKABcACIAVgBFAEUAUgBHACAAMgAwADIANgA6ACAAVABhAGIAbABlACAAQQAuADIALgAyAC4AMgBcACIAKQA7AFwAbgBcAG4AQwBvAG0AbQBvAG4AXwBTAG8AdQByAGMAZQBEAGEAdABhAF8ARQBGAFAAYQBzAHQAdQByAGUAUgBhAG4AZwBlAEEAbgBkAFAAYQBkAGQAbwBjAGsAXwBOAEkAUgBSAGUAZgBlAHIAZQBuAGMAZQBcAG4AIAAgAD0ATABBAE0AQgBEAEEAKABcACIAXAAiACkAOwBcAG4AXABuAEMAbwBtAG0AbwBuAF8AUwBvAHUAcgBjAGUARABhAHQAYQBfAEUARgBQAGEAcwB0AHUAcgBlAFIAYQBuAGcAZQBBAG4AZABQAGEAZABkAG8AYwBr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QAFIAUABcACIAOwBcAG4AIAAgACAAIAAgACAAIAAgACAAIABcACIAVwBlAHQAIABjAGwAaQBtAGEAdABlACAAegBvAG4AZQBcACIALAAgADAALgAwADAANgA7AFwAbgAgACAAIAAgACAAIAAgACAAIAAgAFwAIgBEAHIAeQAgAGMAbABpAG0AYQB0AGUAIAB6AG8AbgBlAFwAIgAsACAAMAAuADAAMAAyAFwAbgAgACAAIAAgACAAIAAgACAAfQAsACAAcgAsACAAYwApAFwAbgAgACAAIAAgACAAIAApAFwAbgAgACAAIAAgACkAXABuACAAIAApADsAXABuAFwAbgAgACAAQwBvAG0AbQBvAG4AXwBTAG8AdQByAGMAZQBEAGEAdABhAF8ARQBGAFAAYQBzAHQAdQByAGUAUgBhAG4AZwBlAEEAbgBkAFAAYQBkAGQAbwBjAGsAXwBWAGEAcgBpAGEAdABpAG8AbgBcAG4AIAAgAD0ATABBAE0AQgBEAEEAKABcACIAVgBBAFIASQBBAFQASQBPAE4AIABGAFIATwBNACAAUwBPAFUAUgBDAEUAIABEAEEAVABBADoAIABDAGgAYQBuAGcAZQBkACAAXAB1ADAAMAAyADcARAByAHkAIABjAGwAaQBtAGEAdABlACAAegBvAG4AZQBzAFwAdQAwADAAMgA3ACAAdABvACAAcwBpAG4AZwB1AGwAYQByACAAXAB1ADAAMAAyADcARAByAHkAIABjAGwAaQBtAGEAdABlACAAegBvAG4AZQBcAHUAMAAwADIAN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g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FwAdQAwADAAMwBjADEAIABtAG8AbgB0AGgAXAAiACwAIABcACIARABlAGUAcAAgAEwAaQB0AHQAZQByAFwAIgAsACAAXAAiAFAAbwB1AGwAdAByAHkAIABNAGEAbgB1AHIAZQAgACgAdwBpAHQAaAAvAHcAaQB0AGgAbwB1AHQAIABsAGkAdAB0AGUAcgApAFwAIgAsACAAXAAiAFwAIgAsACAAXAAiAEQAaQByAGUAYwB0ACAAcAByAG8AYwBlAHMAcwBpAG4AZwAgAGkAbgB0AG8AIABwAGUAbABsAGUAdABpAHoAZQBkACAAZgBlAHIAdABpAGwAaQBzAGUAcgBcACIALAAgAFwAIgBEAGkAcgBlAGMAdAAgAGEAcABwAGwAaQBjAGEAdABpAG8AbgAgAHQAbwAgAHMAbwBpAGwAXAAiACwAIABcACIAUABhAHMAdAB1AHIAZQAsACAAUgBhAG4AZwBlACAAYQBuAGQAIABQAGEAZABkAG8AYwBrACAAKABjACkAKABkACkAXAAiACwAIABcACIATQBBAFQAIAByAGEAdwBcACIAOwBcAG4AIAAgACAAIAAgACAAIAAgACAAIABcACIAQwBvAG8AbABcACIALAAgAFwAIgBkIjEAMABcACIALAAgADAALgA2ADYALAAgADAALgAxACwAIAAwAC4AMQAsACAAMAAuADAAMAAxACwAIAAwAC4AMAAwADUALAAgADAALgAwADIALAAgADAALgAwADMALAAgADAALgAwADQALAAgADAALgAwADEANQAsACAAMAAuADAAMQA1ACwAIAAwACwAIAAwACwAIAAwAC4AMAAwADQANwAsACAAMQAwADsAXABuACAAIAAgACAAIAAgACAAIAAgACAAXAAiAEMAbwBvAGwAXAAiACwAIAAxADEALAAgADAALgA2ADgALAAgADAALgAxACwAIAAwAC4AMQAxACwAIAAwAC4AMAAwADEALAAgADAALgAwADAANQAsACAAMAAuADAAMgAsACAAMAAuADAAMwAsACAAMAAuADAANAAsACAAMAAuADAAMQA1ACwAIAAwAC4AMAAxADUALAAgADAALAAgADAALAAgADAALgAwADAANAA3ACwAIAAxADEAOwBcAG4AIAAgACAAIAAgACAAIAAgACAAIABcACIAQwBvAG8AbABcACIALAAgADEAMgAsACAAMAAuADcALAAgADAALgAxACwAIAAwAC4AMQAzACwAIAAwAC4AMAAwADEALAAgADAALgAwADAANQAsACAAMAAuADAAMgAsACAAMAAuADAAMwAsACAAMAAuADAANAAsACAAMAAuADAAMQA1ACwAIAAwAC4AMAAxADUALAAgADAALAAgADAALAAgADAALgAwADAANAA3ACwAIAAxADIAOwBcAG4AIAAgACAAIAAgACAAIAAgACAAIABcACIAQwBvAG8AbABcACIALAAgADEAMwAsACAAMAAuADcAMQAsACAAMAAuADEALAAgADAALgAxADQALAAgADAALgAwADAAMQAsACAAMAAuADAAMAA1ACwAIAAwAC4AMAAyACwAIAAwAC4AMAAzACwAIAAwAC4AMAA0ACwAIAAwAC4AMAAxADUALAAgADAALgAwADEANQAsACAAMAAsACAAMAAsACAAMAAuADAAMAA0ADcALAAgADEAMwA7AFwAbgAgACAAIAAgACAAIAAgACAAIAAgAFwAIgBDAG8AbwBsAFwAIgAsACAAMQA0ACwAIAAwAC4ANwAzACwAIAAwAC4AMQAsACAAMAAuADEANQAsACAAMAAuADAAMAAxACwAIAAwAC4AMAAwADUALAAgADAALgAwADIALAAgADAALgAwADMALAAgADAALgAwADQALAAgADAALgAwADEANQAsACAAMAAuADAAMQA1ACwAIAAwACwAIAAwACwAIAAwAC4AMAAwADQANwAsACAAMQA0ADsAXABuACAAIAAgACAAIAAgACAAIAAgACAAXAAiAFQAZQBtAHAAZQByAGEAdABlAFwAIgAsACAAMQA1ACwAIAAwAC4ANwA0ACwAIAAwAC4AMQAsACAAMAAuADEANwAsACAAMAAuADAAMAA1ACwAIAAwAC4AMAAxACwAIAAwAC4AMAAyACwAIAAwAC4AMAAzACwAIAAwAC4AMAA0ACwAIAAwAC4AMAAxADUALAAgADAALgAwADEANQAsACAAMAAsACAAMAAsACAAMAAuADAAMAA0ADcALAAgADEANQA7AFwAbgAgACAAIAAgACAAIAAgACAAIAAgAFwAIgBUAGUAbQBwAGUAcgBhAHQAZQBcACIALAAgADEANgAsACAAMAAuADcANQAsACAAMAAuADEALAAgADAALgAxADgALAAgADAALgAwADAANQAsACAAMAAuADAAMQAsACAAMAAuADAAMgAsACAAMAAuADAAMwAsACAAMAAuADAANAAsACAAMAAuADAAMQA1ACwAIAAwAC4AMAAxADUALAAgADAALAAgADAALAAgADAALgAwADAANAA3ACwAIAAxADYAOwBcAG4AIAAgACAAIAAgACAAIAAgACAAIABcACIAVABlAG0AcABlAHIAYQB0AGUAXAAiACwAIAAxADcALAAgADAALgA3ADYALAAgADAALgAxACwAIAAwAC4AMgAsACAAMAAuADAAMAA1ACwAIAAwAC4AMAAxACwAIAAwAC4AMAAyACwAIAAwAC4AMAAzACwAIAAwAC4AMAA0ACwAIAAwAC4AMAAxADUALAAgADAALgAwADEANQAsACAAMAAsACAAMAAsACAAMAAuADAAMAA0ADcALAAgADEANwA7AFwAbgAgACAAIAAgACAAIAAgACAAIAAgAFwAIgBUAGUAbQBwAGUAcgBhAHQAZQBcACIALAAgADEAOAAsACAAMAAuADcANwAsACAAMAAuADEALAAgADAALgAyADIALAAgADAALgAwADAANQAsACAAMAAuADAAMQAsACAAMAAuADAAMgAsACAAMAAuADAAMwAsACAAMAAuADAANAAsACAAMAAuADAAMQA1ACwAIAAwAC4AMAAxADUALAAgADAALAAgADAALAAgADAALgAwADAANAA3ACwAIAAxADgAOwBcAG4AIAAgACAAIAAgACAAIAAgACAAIABcACIAVABlAG0AcABlAHIAYQB0AGUAXAAiACwAIAAxADkALAAgADAALgA3ADcALAAgADAALgAxACwAIAAwAC4AMgA0ACwAIAAwAC4AMAAwADUALAAgADAALgAwADEALAAgADAALgAwADIALAAgADAALgAwADMALAAgADAALgAwADQALAAgADAALgAwADEANQAsACAAMAAuADAAMQA1ACwAIAAwACwAIAAwACwAIAAwAC4AMAAwADQANwAsACAAMQA5ADsAXABuACAAIAAgACAAIAAgACAAIAAgACAAXAAiAFQAZQBtAHAAZQByAGEAdABlAFwAIgAsACAAMgAwACwAIAAwAC4ANwA4ACwAIAAwAC4AMQAsACAAMAAuADIANgAsACAAMAAuADAAMAA1ACwAIAAwAC4AMAAxACwAIAAwAC4AMAAyACwAIAAwAC4AMAAzACwAIAAwAC4AMAA0ACwAIAAwAC4AMAAxADUALAAgADAALgAwADEANQAsACAAMAAsACAAMAAsACAAMAAuADAAMAA0ADcALAAgADIAMAA7AFwAbgAgACAAIAAgACAAIAAgACAAIAAgAFwAIgBUAGUAbQBwAGUAcgBhAHQAZQBcACIALAAgADIAMQAsACAAMAAuADcAOAAsACAAMAAuADEALAAgADAALgAyADkALAAgADAALgAwADAANQAsACAAMAAuADAAMQAsACAAMAAuADAAMgAsACAAMAAuADAAMwAsACAAMAAuADAANAAsACAAMAAuADAAMQA1ACwAIAAwAC4AMAAxADUALAAgADAALAAgADAALAAgADAALgAwADAANAA3ACwAIAAyADEAOwBcAG4AIAAgACAAIAAgACAAIAAgACAAIABcACIAVABlAG0AcABlAHIAYQB0AGUAXAAiACwAIAAyADIALAAgADAALgA3ADgALAAgADAALgAxACwAIAAwAC4AMwAxACwAIAAwAC4AMAAwADUALAAgADAALgAwADEALAAgADAALgAwADIALAAgADAALgAwADMALAAgADAALgAwADQALAAgADAALgAwADEANQAsACAAMAAuADAAMQA1ACwAIAAwACwAIAAwACwAIAAwAC4AMAAwADQANwAsACAAMgAyADsAXABuACAAIAAgACAAIAAgACAAIAAgACAAXAAiAFQAZQBtAHAAZQByAGEAdABlAFwAIgAsACAAMgAzACwAIAAwAC4ANwA5ACwAIAAwAC4AMQAsACAAMAAuADMANAAsACAAMAAuADAAMAA1ACwAIAAwAC4AMAAxACwAIAAwAC4AMAAyACwAIAAwAC4AMAAzACwAIAAwAC4AMAA0ACwAIAAwAC4AMAAxADUALAAgADAALgAwADEANQAsACAAMAAsACAAMAAsACAAMAAuADAAMAA0ADcALAAgADIAMwA7AFwAbgAgACAAIAAgACAAIAAgACAAIAAgAFwAIgBUAGUAbQBwAGUAcgBhAHQAZQBcACIALAAgADIANAAsACAAMAAuADcAOQAsACAAMAAuADEALAAgADAALgAzADcALAAgADAALgAwADAANQAsACAAMAAuADAAMQAsACAAMAAuADAAMgAsACAAMAAuADAAMwAsACAAMAAuADAANAAsACAAMAAuADAAMQA1ACwAIAAwAC4AMAAxADUALAAgADAALAAgADAALAAgADAALgAwADAANAA3ACwAIAAyADQAOwBcAG4AIAAgACAAIAAgACAAIAAgACAAIABcACIAVABlAG0AcABlAHIAYQB0AGUAXAAiACwAIAAyADUALAAgADAALgA3ADkALAAgADAALgAxACwAIAAwAC4ANAAxACwAIAAwAC4AMAAwADUALAAgADAALgAwADEALAAgADAALgAwADIALAAgADAALgAwADMALAAgADAALgAwADQALAAgADAALgAwADEANQAsACAAMAAuADAAMQA1ACwAIAAwACwAIAAwACwAIAAwAC4AMAAwADQANwAsACAAMgA1ADsAXABuACAAIAAgACAAIAAgACAAIAAgACAAXAAiAFcAYQByAG0AXAAiACwAIAAyADYALAAgADAALgA3ADkALAAgADAALgAxACwAIAAwAC4ANAA0ACwAIAAwAC4AMAAxACwAIAAwAC4AMAAxADUALAAgADAALgAwADIALAAgADAALgAwADMALAAgADAALgAwADQALAAgADAALgAwADEANQAsACAAMAAuADAAMQA1ACwAIAAwACwAIAAwACwAIAAwAC4AMAAwADQANwAsACAAMgA2ADsAXABuACAAIAAgACAAIAAgACAAIAAgACAAXAAiAFcAYQByAG0AXAAiACwAIAAyADcALAAgADAALgA4ACwAIAAwAC4AMQAsACAAMAAuADQAOAAsACAAMAAuADAAMQAsACAAMAAuADAAMQA1ACwAIAAwAC4AMAAyACwAIAAwAC4AMAAzACwAIAAwAC4AMAA0ACwAIAAwAC4AMAAxADUALAAgADAALgAwADEANQAsACAAMAAsACAAMAAsACAAMAAuADAAMAA0ADcALAAgADIANwA7AFwAbgAgACAAIAAgACAAIAAgACAAIAAgAFwAIgBXAGEAcgBtAFwAIgAsACAAXAAiAGUiMgA4AFwAIgAsACAAMAAuADgALAAgADAALgAxACwAIAAwAC4ANQAsACAAMAAuADAAMQAsACAAMAAuADAAMQA1ACwAIAAwAC4AMAAyACwAIAAwAC4AMAAzACwAIAAwAC4AMAA0ACwAIAAwAC4AMAAxADUALAAgADAALgAwADEANQAsACAAMAAsACAAMAAsACAAMAAuADAAMAA0ADcALAAgADIAOAA7AFwAbgAgACAAIAAgACAAIAAgACAAIAAgAFwAIgBcACIALAAgAFwAIgBcACIALAAgAFwAIgBBAG4AYQBlAHIAbwBiAGkAYwAgAGwAYQBnAG8AbwBuAFwAIgAsACAAXAAiAEQAaQBnAGUAcwB0AGUAcgAgAC8AIABjAG8AdgBlAHIAZQBkACAAbABhAGcAbwBvAG4AcwBcACIALAAgAFwAIgBMAGkAcQB1AGkAZAAgAHMAeQBzAHQAZQBtAHMAXAAiACwAIABcACIARABhAGkAbAB5ACAAcwBwAHIAZQBhAGQAXAAiACwAIABcACIAQwBvAG0AcABvAHMAdABpAG4AZwAgACgAcABhAHMAcwBpAHYAZQAgAHcAaQBuAGQAcgBvAHcAKQBcACIALAAgAFwAIgBTAG8AbABpAGQAIABzAHQAbwByAGEAZwBlAFwAIgAsACAAXAAiAFAAaQB0ACAAcwB0AG8AcgBhAGcAZQBcACIALAAgAFwAIgBEAGUAZQBwACAAbABpAHQAdABlAHIAXAAiACwAIABcACIAUABvAHUAbAB0AHIAeQAgAG0AYQBuAHUAcgBlACAAdwBpAHQAaAAgAGIAZQBkAGQAaQBuAGcAXAAiACwAIABcACIAUABvAHUAbAB0AHIAeQAgAG0AYQBuAHUAcgBlACAAdwBpAHQAaABvAHUAdAAgAGIAZQBkAGQAaQBuAGcAXAAiACwAIABcACIARABpAHIAZQBjAHQAIABwAHIAbwBjAGUAcwBzAGkAbgBnAFwAIgAsACAAXAAiAEQAaQByAGUAYwB0ACAAYQBwAHAAbABpAGMAYQB0AGkAbwBuAFwAIgAsACAAXAAiAFAAYQBzAHQAdQByAGUAIAByAGEAbgBnAGUAIABhAG4AZAAgAHAAYQBkAGQAbwBjAGsAXAAiACwAIABcACIATQBBAFQAIAByAGEAdwBcACIAIABcAG4AIAAgACAAIAAgACAAIAAgAH0ALAAgAHIALAAgAGMAKQBcAG4AIAAgACAAIAAgACAAKQBcAG4AIAAgACAAIAApAFwAbgAgACAAKQA7AFwAbgBcAG4AQwBvAG0AbQBvAG4AXwBTAG8AdQByAGMAZQBEAGEAdABhAF8ATQBDAEYAVABlAG0AcABlAHIAYQB0AHUAcgBlAFoAbwBuAGUAXwBWAGEAcgBpAGEAdABpAG8AbgBcAG4AIAAgAD0ATABBAE0AQgBEAEEAKABcACIAVgBBAFIASQBBAFQASQBPAE4AIABGAFIATwBNACAAUwBPAFUAUgBDAEUAOgAgAEEAZABkAGUAZAAgAHIAbwB3ACAAbwBmACAATgBJAFIAIABNAE0AQQAgAGQAZQBmAGkAbgBpAHQAaQBvAG4AcwAgAHQAbwAgAGEAaQBkACAAbABvAG8AawB1AHAALgAgAEQAdQBwAGwAaQBjAGEAdABlAGQAIABcAHUAMAAwADIANwBQAG8AdQBsAHQAcgB5ACAAdwBpAHQAaAAgAGEAbgBkACAAdwBpAHQAaABvAHUAdAAgAGwAaQB0AHQAZQByAFwAdQAwADAAMgA3ACAAYwBvAGwAdQBtAG4AIAB3AGkAdABoACAAcwBlAHAAYQByAGEAdABlACAATgBJAFIAIABkAGUAZgBpAG4AaQB0AGkAbwBuAHMAIAB0AG8AIABhAGkAZAAgAGwAbwBvAGsAdQBwAC4AIABBAGQAZABlAGQAIABcAHUAMAAwADIANwBNAEEAVAAgAHIAYQB3AFwAdQAwADAAMgA3ACAAYwBvAGwAdQBtAG4AIAB0AG8AIABhAGwAbABvAHcAIABsAG8AbwBrAHUAcAAgAG8AZgAgAG4AdQBtAGIAZQByAHMALgBcACIAKQA7AFwAbgBcAG4AXABuAFwAbgAvACoAIABcAG4ALQAtAC0ALQAtAC0ALQAtAC0ALQAtAC0ALQAtAC0ALQAtAC0ALQAtAC0ALQAtAC0ALQAtAC0ALQAtAC0ALQAtAC0ALQAtAC0ALQAtAFwAbgBDAG8AbQBtAG8AbgBfAFMAbwB1AHIAYwBlAEQAYQB0AGEAXwBFAEYATwByAGcAYQBuAGkAYwBGAGUAcgB0AGkAbABpAHMAZQByAEEAbgBkAEMAcgBvAHAAUgBlAHMAaQBkAHUAZQBzAFwAbgAtAC0ALQAtAC0ALQAtAC0ALQAtAC0ALQAtAC0ALQAtAC0ALQAtAC0ALQAtAC0ALQAtAC0ALQAtAC0ALQAtAC0ALQAtAC0ALQAtAC0AXABuACoALwBcAG4AXABuAEMAbwBtAG0AbwBuAF8AUwBvAHUAcgBjAGUARABhAHQAYQBfAEUARgBPAHIAZwBhAG4AaQBjAEYAZQByAHQAaQBsAGkAcwBlAHIAQQBuAGQAQwByAG8AcABSAGUAcwBpAGQAdQBlAHMAXwBUAGkAdABsAGUAXABuACAAIAA9AEwAQQBNAEIARABBACgAXAAiAEUAbQBpAHMAcwBpAG8AbgAgAGYAYQBjAHQAbwByACAAZgBvAHIAIABvAHIAZwBhAG4AaQBjACAAZgBlAHIAdABpAGwAaQBzAGUAcgAgAGEAbgBkACAAYwByAG8AcAAgAHIAZQBzAGkAZAB1AGUAcwAgAHIAZQB0AHUAcgBuAGUAZAAgAHQAbwAgAHQAaABlACAAcwBvAGkAbABcACIAKQA7AFwAbgBcAG4AQwBvAG0AbQBvAG4AXwBTAG8AdQByAGMAZQBEAGEAdABhAF8ARQBGAE8AcgBnAGEAbgBpAGMARgBlAHIAdABpAGwAaQBzAGUAcgBBAG4AZABDAHIAbwBwAFIAZQBzAGkAZAB1AGUAcwBfAFYAYQByAGkAYQBiAGwAZQBcAG4AIAAgAD0ATABBAE0AQgBEAEEAKABcACIARQBGAE4AaQAgAFwAdQAwADAAMgA2ACAARQBGAE4AMgBPAGkAXAAiACkAOwBcAG4AXABuAEMAbwBtAG0AbwBuAF8AUwBvAHUAcgBjAGUARABhAHQAYQBfAEUARgBPAHIAZwBhAG4AaQBjAEYAZQByAHQAaQBsAGkAcwBlAHIAQQBuAGQAQwByAG8AcABSAGUAcwBpAGQAdQBlAHMAXwBVAG4AaQB0AFwAbgAgACAAPQBMAEEATQBCAEQAQQAoAFwAIgBrAGcAIABOADIATwAgAC0AIABOACAALwAgAGsAZwAgAE4AXAAiACkAOwBcAG4AXABuAEMAbwBtAG0AbwBuAF8AUwBvAHUAcgBjAGUARABhAHQAYQBfAEUARgBPAHIAZwBhAG4AaQBjAEYAZQByAHQAaQBsAGkAcwBlAHIAQQBuAGQAQwByAG8AcABSAGUAcwBpAGQAdQBlAHMAXwBTAG8AdQByAGMAZQBcAG4AIAAgAD0ATABBAE0AQgBEAEEAKABcACIAVgBFAEUAUgBHACAAMgAwADIANgA6ACAAVABhAGIAbABlACAAQQAuADIALgAxAC4ANABcACIAKQA7AFwAbgBcAG4AQwBvAG0AbQBvAG4AXwBTAG8AdQByAGMAZQBEAGEAdABhAF8ARQBGAE8AcgBnAGEAbgBpAGMARgBlAHIAdABpAGwAaQBzAGUAcgBBAG4AZABDAHIAbwBwAFIAZQBzAGkAZAB1AGUAcwBfAE4ASQBSAFIAZQBmAGUAcgBlAG4AYwBlAFwAbgAgACAAPQBMAEEATQBCAEQAQQAoAFwAIgBcACIAKQA7AFwAbgBcAG4AQwBvAG0AbQBvAG4AXwBTAG8AdQByAGMAZQBEAGEAdABhAF8ARQBGAE8AcgBnAGEAbgBpAGMARgBlAHIAdABpAGwAaQBzAGUAcgBBAG4AZABDAHIAbwBwAFIAZQBzAGkAZAB1AGUAc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TgBpACAAXAB1ADAAMAAyADYAIABFAEYATgAyAE8AXAAiADsAXABuACAAIAAgACAAIAAgACAAIAAgACAAXAAiAFcAZQB0ACAAYwBsAGkAbQBhAHQAZQAgAHoAbwBuAGUAXAAiACwAIAAwAC4AMAAwADYAOwBcAG4AIAAgACAAIAAgACAAIAAgACAAIABcACIARAByAHkAIABjAGwAaQBtAGEAdABlACAAegBvAG4AZQBcACIALAAgADAALgAwADAANQBcAG4AIAAgACAAIAAgACAAIAAgAH0ALAAgAHIALAAgAGMAKQBcAG4AIAAgACAAIAAgACAAKQBcAG4AIAAgACAAIAApAFwAbgAgACAAKQA7AFwAbgBcAG4AQwBvAG0AbQBvAG4AXwBTAG8AdQByAGMAZQBEAGEAdABhAF8ARQBGAE8AcgBnAGEAbgBpAGMARgBlAHIAdABpAGwAaQBzAGUAcgBBAG4AZABDAHIAbwBwAFIAZQBzAGkAZAB1AGUAcwBfAFYAYQByAGkAYQB0AGkAbwBuAFwAbgAgACAAPQBMAEEATQBCAEQAQQAoAFwAIgBcACIAKQA7AFwAbgBcAG4AXABuAFwAbgBcAG4AXABuAFwAbgBcAG4AXABuAFwAbgBcAG4AXABuAFwAbgBcAG4AXABuAFwAbgBcAG4AIgB9ACwAewAiAHAAYQB0AGgAIgA6ACIALwBwAHIAbwBqAGUAYwB0AHMALwBDAG8AbQBtAG8AbgBfAEUAcQB1AGEAdABpAG8AbgBzACIALAAiAHQAZQB4AHQAIgA6ACIAXABuAC8AKgAgAFwAbgAtAC0ALQAtAC0ALQAtAC0ALQAtAC0ALQAtAC0ALQAtAC0ALQAtAC0ALQAtAC0ALQAtAC0ALQAtAC0ALQAtAC0ALQAtAC0ALQAtAC0AXABuAEMAbwBtAG0AbwBuAF8AQwBvAG4AdgBlAHIAdABOADIATwBUAG8AQwBPADIAZQBcAG4AQwBvAG4AdgBlAHIAdAAgAG4AaQB0AHIAbwB1AHMAIABvAHgAaQBkAGUAIABlAG0AaQBzAHMAaQBvAG4AcwAgAHQAbwAgAGMAYQByAGIAbwBuACAAZABpAG8AeABpAGQAZQAgAGUAcQB1AGkAdgBhAGwAZQBuAHQAIABlAG0AaQBzAHMAaQBvAG4AcwBcAG4ARQBOADIATwAgAEMATwAyAGUAXABuAHQAIABDAE8AMgBlAFwAbgBFAE4AMgBPADoAIABuAGkAdAByAG8AdQBzACAAbwB4AGkAZABlACAAZQBtAGkAcwBzAGkAbwBuAHMAIAAoAHQAIABOADIATwApAFwAbgBHAFcAUABOADIATwA6ACAAZwBsAG8AYgBhAGwAIAB3AGEAcgBtAGkAbgBnACAAcABvAHQAZQBuAHQAaQBhAGwAIABmAG8AcgAgAG4AaQB0AHIAbwB1AHMAIABvAHgAaQBkAGUAIAAoAHQAIABDAE8AMgAtAGUAIAAvACAAdAAgAE4AMgBPACkAXABuAC0ALQAtAC0ALQAtAC0ALQAtAC0ALQAtAC0ALQAtAC0ALQAtAC0ALQAtAC0ALQAtAC0ALQAtAC0ALQAtAC0ALQAtAC0ALQAtAC0ALQBcAG4AKgAvAFwAbgBcAG4AXABuAEMAbwBtAG0AbwBuAF8AQwBvAG4AdgBlAHIAdABOADIATwBUAG8AQwBPADIAZQBcAG4AIAAgAD0ATABBAE0AQgBEAEEAKABcAG4AIAAgACAAIABFAF8ATgAyAE8ALAAgAEcAVwBQAF8ATgAyAE8ALABcAG4AIAAgACAAIABFAF8ATgAyAE8AIAAqACAARwBXAFAAXwBOADIATwBcAG4AIAAgACkAXABuADsAXABuAFwAbgBDAG8AbQBtAG8AbgBfAEMAbwBuAHYAZQByAHQATgAyAE8AVABvAEMATwAyAGUAXwBUAGkAdABsAGUAXABuACAAIAA9AEwAQQBNAEIARABBACgAXAAiAEMAbwBuAHYAZQByAHQAIABuAGkAdAByAG8AdQBzACAAbwB4AGkAZABlACAAZQBtAGkAcwBzAGkAbwBuAHMAIAB0AG8AIABjAGEAcgBiAG8AbgAgAGQAaQBvAHgAaQBkAGUAIABlAHEAdQBpAHYAYQBsAGUAbgB0ACAAZQBtAGkAcwBzAGkAbwBuAHMAXAAiACkAOwBcAG4AXABuAEMAbwBtAG0AbwBuAF8AQwBvAG4AdgBlAHIAdABOADIATwBUAG8AQwBPADIAZQBfAFYAYQByAGkAYQBiAGwAZQBcAG4AIAAgAD0ATABBAE0AQgBEAEEAKABcACIARQBOADIATwAgAEMATwAyAGUAXAAiACkAOwBcAG4AXABuAEMAbwBtAG0AbwBuAF8AQwBvAG4AdgBlAHIAdABOADIATwBUAG8AQwBPADIAZQBfAFUAbgBpAHQAXABuACAAIAA9AEwAQQBNAEIARABBACgAXAAiAHQAIABDAE8AMgBlAFwAIgApADsAXABuAFwAbgBDAG8AbQBtAG8AbgBfAEMAbwBuAHYAZQByAHQATgAyAE8AVABvAEMATwAyAGUAXwBOAEkAUgBSAGUAZgBlAHIAZQBuAGMAZQBcAG4AIAAgAD0ATABBAE0AQgBEAEEAKABcACIAXAAiACkAOwBcAG4AXABuAEMAbwBtAG0AbwBuAF8AQwBvAG4AdgBlAHIAdABOADIATwBUAG8AQwBPADIAZQBfAEwAYQB0AGUAeABFAHEAdQBhAHQAaQBvAG4AXABuACAAIAA9AEwAQQBNAEIARABBACgAXAAiAEMATwAyAF8AZQAgAD0AIABFAF8AewBOADIATwB9ACAAXABcAHQAaQBtAGUAcwAgAEcAVwBQAF8AewBOADIATwB9AFwAIgApADsAXABuAFwAbgBDAG8AbQBtAG8AbgBfAEMAbwBuAHYAZQByAHQATgAyAE8AVABvAEMATwAyAGUAXwBBAHIAZwB1AG0AZQBuAHQAcwBcAG4AIAAgAD0ATABBAE0AQgBEAEEAKABcAG4AIAAgACAAIABNAEEASwBFAEEAUgBSAEEAWQAoADIALAAgADIALAAgAFwAbgAgACAAIAAgACAAIABMAEEATQBCAEQAQQAoAHIALABjACwAIABcAG4AIAAgACAAIAAgACAAIAAgAEkATgBEAEUAWAAoAHsAXABuACAAIAAgACAAIAAgACAAIAAgACAAXAAiAEUATgAyAE8AXAAiACwAXAAiAE4AaQB0AHIAbwB1AHMAIABvAHgAaQBkAGUAIABlAG0AaQBzAHMAaQBvAG4AcwAgACgAdAAgAE4AMgBPACkAXAAiADsAXABuACAAIAAgACAAIAAgACAAIAAgACAAXAAiAEcAVwBQAE4AMgBPAFwAIgAsAFwAIgBHAGwAbwBiAGEAbAAgAHcAYQByAG0AaQBuAGcAIABwAG8AdABlAG4AdABpAGEAbAAgAGYAbwByACAAbgBpAHQAcgBvAHUAcwAgAG8AeABpAGQAZQAgACgAdAAgAEMATwAyAC0AZQAgAC8AIAB0ACAATgAyAE8AKQBcACIAXABuACAAIAAgACAAIAAgACAAIAB9ACwAIAByACwAIABjACkAXABuACAAIAAgACAAIAAgACkAXABuACAAIAAgACAAKQBcAG4AIAAgACkAOwBcAG4AXABuAC8AKgAgAFwAbgAtAC0ALQAtAC0ALQAtAC0ALQAtAC0ALQAtAC0ALQAtAC0ALQAtAC0ALQAtAC0ALQAtAC0ALQAtAC0ALQAtAC0ALQAtAC0ALQAtAC0AXABuAEMAbwBtAG0AbwBuAF8AQwBvAG4AdgBlAHIAdABDAEgANABUAG8AQwBPADIAZQBcAG4AQwBvAG4AdgBlAHIAdAAgAG0AZQB0AGgAYQBuAGUAIABlAG0AaQBzAHMAaQBvAG4AcwAgAHQAbwAgAGMAYQByAGIAbwBuACAAZABpAG8AeABpAGQAZQAgAGUAcQB1AGkAdgBhAGwAZQBuAHQAIABlAG0AaQBzAHMAaQBvAG4AcwBcAG4ARQBDAEgANAAgAEMATwAyAGUAXABuAHQAIABDAE8AMgBlAFwAbgBFAEMASAA0ADoAIABtAGUAdABoAGEAbgBlACAAZQBtAGkAcwBzAGkAbwBuAHMAIAAoAHQAIABDAEgANAApAFwAbgBHAFcAUABDAEgANAA6ACAAZwBsAG8AYgBhAGwAIAB3AGEAcgBtAGkAbgBnACAAcABvAHQAZQBuAHQAaQBhAGwAIABmAG8AcgAgAG0AZQB0AGgAYQBuAGUAIAAoAHQAIABDAE8AMgAtAGUAIAAvACAAdAAgAEMASAA0ACkAXABuAC0ALQAtAC0ALQAtAC0ALQAtAC0ALQAtAC0ALQAtAC0ALQAtAC0ALQAtAC0ALQAtAC0ALQAtAC0ALQAtAC0ALQAtAC0ALQAtAC0ALQBcAG4AKgAvAFwAbgBcAG4AXABuAEMAbwBtAG0AbwBuAF8AQwBvAG4AdgBlAHIAdABDAEgANABUAG8AQwBPADIAZQBcAG4AIAAgAD0ATABBAE0AQgBEAEEAKABcAG4AIAAgACAAIABFAF8AQwBIADQALAAgAEcAVwBQAF8AQwBIADQALABcAG4AIAAgACAAIABFAF8AQwBIADQAIAAqACAARwBXAFAAXwBDAEgANABcAG4AIAAgACkAXABuADsAXABuAFwAbgBDAG8AbQBtAG8AbgBfAEMAbwBuAHYAZQByAHQAQwBIADQAVABvAEMATwAyAGUAXwBUAGkAdABsAGUAXABuACAAIAA9AEwAQQBNAEIARABBACgAXAAiAEMAbwBuAHYAZQByAHQAIABtAGUAdABoAGEAbgBlACAAZQBtAGkAcwBzAGkAbwBuAHMAIAB0AG8AIABjAGEAcgBiAG8AbgAgAGQAaQBvAHgAaQBkAGUAIABlAHEAdQBpAHYAYQBsAGUAbgB0ACAAZQBtAGkAcwBzAGkAbwBuAHMAXAAiACkAOwBcAG4AXABuAEMAbwBtAG0AbwBuAF8AQwBvAG4AdgBlAHIAdABDAEgANABUAG8AQwBPADIAZQBfAFYAYQByAGkAYQBiAGwAZQBcAG4AIAAgAD0ATABBAE0AQgBEAEEAKABcACIARQBDAEgANAAgAEMATwAyAGUAXAAiACkAOwBcAG4AXABuAEMAbwBtAG0AbwBuAF8AQwBvAG4AdgBlAHIAdABDAEgANABUAG8AQwBPADIAZQBfAFUAbgBpAHQAXABuACAAIAA9AEwAQQBNAEIARABBACgAXAAiAHQAIABDAE8AMgBlAFwAIgApADsAXABuAFwAbgBDAG8AbQBtAG8AbgBfAEMAbwBuAHYAZQByAHQAQwBIADQAVABvAEMATwAyAGUAXwBOAEkAUgBSAGUAZgBlAHIAZQBuAGMAZQBcAG4AIAAgAD0ATABBAE0AQgBEAEEAKABcACIAXAAiACkAOwBcAG4AXABuAEMAbwBtAG0AbwBuAF8AQwBvAG4AdgBlAHIAdABDAEgANABUAG8AQwBPADIAZQBfAEwAYQB0AGUAeABFAHEAdQBhAHQAaQBvAG4AXABuACAAIAA9AEwAQQBNAEIARABBACgAXAAiAEMATwAyAF8AZQAgAD0AIABFAF8AewBDAEgANAB9ACAAXABcAHQAaQBtAGUAcwAgAEcAVwBQAF8AewBDAEgANAB9AFwAIgApADsAXABuAFwAbgBDAG8AbQBtAG8AbgBfAEMAbwBuAHYAZQByAHQAQwBIADQAVABvAEMATwAyAGUAXwBBAHIAZwB1AG0AZQBuAHQAcwBcAG4AIAAgAD0ATABBAE0AQgBEAEEAKABcAG4AIAAgACAAIABNAEEASwBFAEEAUgBSAEEAWQAoADIALAAgADIALAAgAFwAbgAgACAAIAAgACAAIABMAEEATQBCAEQAQQAoAHIALABjACwAIABcAG4AIAAgACAAIAAgACAAIAAgAEkATgBEAEUAWAAoAHsAXABuACAAIAAgACAAIAAgACAAIAAgACAAXAAiAEUAQwBIADQAXAAiACwAXAAiAE0AZQB0AGgAYQBuAGUAIABlAG0AaQBzAHMAaQBvAG4AcwAgACgAdAAgAEMASAA0ACkAXAAiADsAXABuACAAIAAgACAAIAAgACAAIAAgACAAXAAiAEcAVwBQAEMASAA0AFwAIgAsAFwAIgBHAGwAbwBiAGEAbAAgAHcAYQByAG0AaQBuAGcAIABwAG8AdABlAG4AdABpAGEAbAAgAGYAbwByACAAbQBlAHQAaABhAG4AZQAgACgAdAAgAEMATwAyAC0AZQAgAC8AIAB0ACAAQwBIADQAKQBcACIAXABuACAAIAAgACAAIAAgACAAIAB9ACwAIAByACwAIABjACkAXABuACAAIAAgACAAIAAgACkAXABuACAAIAAgACAAKQBcAG4AIAAgACkAOwAiAH0ALAB7ACIAcABhAHQAaAAiADoAIgAvAHAAcgBvAGoAZQBjAHQAcwAvAEYAdQBlAGwAXwBJAG4AcAB1AHQARgB1AG4AYwB0AGkAbwBuAHMAIgAsACIAdABlAHgAdAAiADoAIgBGAHUAZQBsAF8ARwBlAHQAVAByAGEAbgBzAHAAbwByAHQARgB1AGUAbABTAHQAcgBpAG4AZwBcAG4APQBMAEEATQBCAEQAQQAoAFwAbgAgACAAIAAgAEMAZQBsAGwALABcAG4AIAAgACAAIABMAEUARgBUACgAQwBlAGwAbAAsACAARgBJAE4ARAAoAFwAIgAsACAAXAAiACwAQwBlAGwAbAApACAALQAxACkAXABuACkAOwBcAG4AXABuAEYAdQBlAGwAXwBHAGUAdABTAHQAYQB0AGkAbwBuAGEAcgB5AEYAdQBlAGwAUwB0AHIAaQBuAGcAXABuAD0ATABBAE0AQgBEAEEAKABcAG4AIAAgACAAIABDAGUAbABsACwAXABuACAAIAAgACAAUgBJAEcASABUACgAQwBlAGwAbAAsAEwARQBOACgAQwBlAGwAbAApAC0ARgBJAE4ARAAoAFwAIgAsACAAXAAiACwAQwBlAGwAbAApACkAXABuACkAOwBcAG4AXABuAEYAdQBlAGwAXwBUAG8AdABhAGwAQwBvAG4AcwB1AG0AcAB0AGkAbwBuAFwAbgA9ACAATABBAE0AQgBEAEEAKABcAG4AIAAgACAAIABGAHUAZQBsAEMAbwBuAHMAdQBtAHAAdABpAG8AbgBBAHIAcgBhAHkALAAgAEYAdQBlAGwAVQBzAGUAQQByAHIAYQB5ACwAIABGAHUAZQBsAFUAcwBlACwAIABGAHUAZQBsAFQAeQBwAGUAQQByAHIAYQB5ACwAIABGAHUAZQBsAFQAeQBwAGUALABcAG4AIAAgACAAIABJAEYARQBSAFIATwBSACgAXABuACAAIAAgACAAUwBVAE0AKABcAG4AIAAgACAAIAAgACAARgBJAEwAVABFAFIAKABcAG4AIAAgACAAIAAgACAAIAAgAEYAdQBlAGwAQwBvAG4AcwB1AG0AcAB0AGkAbwBuAEEAcgByAGEAeQAsAFwAbgAgACAAIAAgACAAIAAgACAAKABGAHUAZQBsAFQAeQBwAGUAQQByAHIAYQB5ACAAPQAgAEYAdQBlAGwAVAB5AHAAZQApACAAKgAgAFwAbgAgACAAIAAgACAAIAAgACAAKABGAHUAZQBsAFUAcwBlAEEAcgByAGEAeQAgAD0AIABGAHUAZQBsAFUAcwBlACkAXABuACAAIAAgACAAIAAgACkAXABuACAAIAAgACAAKQAsAFwAbgAgACAAIAAgADAAXABuACAAIAApAFwAbgApADsAIgB9ACwAewAiAHAAYQB0AGgAIgA6ACIALwBwAHIAbwBqAGUAYwB0AHMALwBGAGUAcgB0AGkAbABpAHMAZQByAF8AUwBvAHUAcgBjAGUARABhAHQAYQAiACwAIgB0AGUAeAB0ACIAOgAiAC8AKgBcAG4APQA9AD0APQA9AD0APQA9AD0APQA9AD0APQA9AD0APQA9AD0APQA9AD0APQA9AD0APQA9AD0APQA9AD0APQA9AD0APQA9AD0APQA9AD0APQA9AD0APQA9AD0APQA9AD0APQA9AD0APQA9AD0APQA9AD0APQA9AD0APQA9AD0APQA9AD0APQA9AD0APQA9AD0APQA9AD0APQBcAG4ARgBlAHIAdABpAGwAaQBzAGUAcgAgAGMAaABlAG0AaQBjAGEAbAAgAGMAbwBtAHAAbwB1AG4AZABzAFwAbgA9AD0APQA9AD0APQA9AD0APQA9AD0APQA9AD0APQA9AD0APQA9AD0APQA9AD0APQA9AD0APQA9AD0APQA9AD0APQA9AD0APQA9AD0APQA9AD0APQA9AD0APQA9AD0APQA9AD0APQA9AD0APQA9AD0APQA9AD0APQA9AD0APQA9AD0APQA9AD0APQA9AD0APQA9AD0APQA9AFwAbgAqAC8AXABuAFwAbgBGAGUAcgB0AGkAbABpAHMAZQByAF8AQwBoAGUAbQBpAGMAYQBsAEMAbwBtAHAAbwB1AG4AZABFAGwAZQBtAGUAbgB0AHMAXwBUAGkAdABsAGUAXABuAD0ATABBAE0AQgBEAEEAKAAoAFwAIgBDAG8AbQBtAG8AbgAgAGkAbgBvAHIAZwBhAG4AaQBjACAAZgBlAHIAdABpAGwAaQBzAGUAcgBzAFwAIgApACkAOwBcAG4AXABuAEYAZQByAHQAaQBsAGkAcwBlAHIAXwBDAGgAZQBtAGkAYwBhAGwAQwBvAG0AcABvAHUAbgBkAEUAbABlAG0AZQBuAHQAcwBfAFMAbwB1AHIAYwBlAFwAbgA9AEwAQQBNAEIARABBACgAKABcACIAVABhAGIAbABlACAAQQAuADIALgAyAC4AMwA6ACAARgByAGEAYwB0AGkAbwBuACAAbwBmACAAbgBpAHQAcgBvAGcAZQBuACAAaQBuACAAYwBvAG0AbQBvAG4AIABpAG4AbwByAGcAYQBuAGkAYwAgAGYAZQByAHQAaQBsAGkAcwBlAHIAcwAgACgAawBnAE4ALwBrAGcAKQAgACgARgBOAG8AcgBnAGEAbgBpAGMALABmACkAIABBAE4ARAAgAFQAYQBiAGwAZQAgAEEALgAyAC4AMgAuADQAOgAgAEYAcgBhAGMAdABpAG8AbgAgAG8AZgAgAHUAcgBlAGEAIABpAG4AIABjAG8AbQBtAG8AbgAgAGkAbgBvAHIAZwBhAG4AaQBjACAAZgBlAHIAdABpAGwAaQBzAGUAcgBzACAAKABrAGcAIAB1AHIAZQBhAC8AawBnACkAIAAoAEYAVQBmACkAXAAiACkAKQA7AFwAbgBcAG4ARgBlAHIAdABpAGwAaQBzAGUAcgBfAEMAaABlAG0AaQBjAGEAbABDAG8AbQBwAG8AdQBuAGQARQBsAGUAbQBlAG4AdABzAF8ARABhAHQAYQBcAG4APQBMAEEATQBCAEQAQQAoAFwAbgAgAE0AQQBLAEUAQQBSAFIAQQBZACgAMgAwACwAIAA2ACwAXABuACAATABBAE0AQgBEAEEAKAByACwAYwAsAFwAbgAgACAASQBOAEQARQBYACgAewBcAG4AIAAgAFwAIgBGAGUAcgB0AGkAbABpAHMAZQByACAAVAB5AHAAZQAgAGYAXAAiACwAIABcACIARgBOAGkAbgBvAHIAZwBhAG4AaQBjACwAZgBcACIALAAgAFwAIgBGAFUAZgBcACIALAAgAFwAIgBCAGEAcwBpAHMAXAAiACwAIABcACIATABpAGYAZQBDAHkAYwBsAGUAcwAgAFMAYwBvAHAAZQAgADMAIABkAGUAZgBpAG4AaQB0AGkAbwBuAFwAIgAsACAAXAAiAFMAbwB1AHIAYwBlAFwAIgA7AFwAbgAgACAAXAAiAE0AbwBuAG8AYQBtAG0AbwBuAGkAdQBtACAAcABoAG8AcwBwAGgAYQB0AGUAIAAoAE0AQQBQACkAXAAiACwAIAAwAC4AMQAwACwAIAAwACwAIABcACIAQQBtAG0AbwBuAGkAdQBtAC0AYgBhAHMAZQBkACAAZgBlAHIAdABpAGwAaQBzAGUAcgBzAFwAIgAsACAAXAAiAE0AbwBuAG8AYQBtAG0AbwBuAGkAdQBtACAAcABoAG8AcwBwAGgAYQB0AGUAIAAoAE0AQQBQACkAXAAiACwAIABcACIAVgBFAEUAUgBHAFwAIgA7AFwAbgAgACAAXAAiAEQAaQBhAG0AbQBvAG4AaQB1AG0AIABwAGgAbwBzAHAAaABhAHQAZQAgACgARABBAFAAKQBcACIALAAgADAALgAxADgALAAgADAALAAgAFwAIgBBAG0AbQBvAG4AaQB1AG0ALQBiAGEAcwBlAGQAIABmAGUAcgB0AGkAbABpAHMAZQByAHMAXAAiACwAIABcACIARABpAGEAbQBtAG8AbgBpAHUAbQAgAHAAaABvAHMAcABoAGEAdABlACAAKABEAEEAUAApAFwAIgAsACAAXAAiAFYARQBFAFIARwBcACIAOwBcAG4AIAAgAFwAIgBVAHIAZQBhAFwAIgAsACAAMAAuADQANgAsACAAMQAsACAAXAAiAFUAcgBlAGEALQBiAGEAcwBlAGQAIABmAGUAcgB0AGkAbABpAHMAZQByAHMAXAAiACwAIABcACIAVQByAGUAYQBcACIALAAgAFwAIgBWAEUARQBSAEcAXAAiADsAXABuACAAIABcACIAUwB1AGwAcABoAGEAdABlACAAbwBmACAAYQBtAG0AbwBuAGkAYQAgACgAUwBPAEEAKQBcACIALAAgADAALgAyADEALAAgADAALAAgAFwAIgBBAG0AbQBvAG4AaQB1AG0ALQBiAGEAcwBlAGQAIABmAGUAcgB0AGkAbABpAHMAZQByAHMAXAAiACwAIABcACIAUwB1AGwAcABoAGEAdABlACAAbwBmACAAYQBtAG0AbwBuAGkAYQAgACgAUwBPAEEAKQBcACIALAAgAFwAIgBWAEUARQBSAEcAXAAiADsAXABuACAAIABcACIAVQByAGUAYQAtAGEAbQBtAG8AbgBpAHUAbQAgAG4AaQB0AHIAYQB0AGUAIAAoAFUAQQBOACkAXAAiACwAIAAwAC4AMwAyACwAIAAwAC4AMwA1ACwAIABcACIAVQByAGUAYQAtAGIAYQBzAGUAZAAgAGYAZQByAHQAaQBsAGkAcwBlAHIAcwBcACIALAAgAFwAIgBVAHIAZQBhAC0AYQBtAG0AbwBuAGkAdQBtACAAbgBpAHQAcgBhAHQAZQAgACgAVQBBAE4AKQBcACIALAAgAFwAIgBWAEUARQBSAEcAXAAiADsAXABuACAAIABcACIAQQBtAG0AbwBuAGkAdQBtACAAbgBpAHQAcgBhAHQAZQAgACgAQQBOACkAXAAiACwAIAAwAC4AMwAzADcALAAgADAALAAgAFwAIgBBAG0AbQBvAG4AaQB1AG0ALQBuAGkAdAByAGEAdABlACAAYgBhAHMAZQBkACAAZgBlAHIAdABpAGwAaQBzAGUAcgBzAFwAIgAsACAAXAAiAEEAbQBtAG8AbgBpAHUAbQAgAG4AaQB0AHIAYQB0AGUAIAAoAEEATgApAFwAIgAsACAAXAAiAFYARQBFAFIARwBcACIAOwBcAG4AIAAgAFwAIgBDAGEAbABjAGkAdQBtACAAYQBtAG0AbwBuAGkAdQBtACAAbgBpAHQAcgBhAHQAZQAgACgAQwBBAE4AKQBcACIALAAgADAALgAyADcALAAgADAALAAgAFwAIgBBAG0AbQBvAG4AaQB1AG0ALQBuAGkAdAByAGEAdABlACAAYgBhAHMAZQBkACAAZgBlAHIAdABpAGwAaQBzAGUAcgBzAFwAIgAsACAAXAAiAEMAYQBsAGMAaQB1AG0AIABhAG0AbQBvAG4AaQB1AG0AIABuAGkAdAByAGEAdABlACAAKABDAEEATgApAFwAIgAsACAAXAAiAFYARQBFAFIARwBcACIAOwBcAG4AIAAgAFwAIgBOAGkAdAByAG8AZwBlAG4AIAAtACAAQQBtAG0AbwBuAGkAYQBjAGEAbABcACIALAAgADEALAAgADAALAAgAFwAIgBBAG0AbQBvAG4AaQB1AG0ALQBiAGEAcwBlAGQAIABmAGUAcgB0AGkAbABpAHMAZQByAHMAXAAiACwAIABcACIATgBpAHQAcgBvAGcAZQBuACAALQAgAEEAbQBtAG8AbgBpAGEAYwBhAGwAXAAiACwAIABcACIATABpAGYAZQBDAHkAYwBsAGUAcwBcACIAOwBcAG4AIAAgAFwAIgBOAGkAdAByAG8AZwBlAG4AIAAtACAATgBpAHQAcgBhAHQAZQBcACIALAAgADEALAAgADAALAAgAFwAIgBOAGkAdAByAGEAdABlAC0AYgBhAHMAZQBkACAAZgBlAHIAdABpAGwAaQBzAGUAcgBzAFwAIgAsACAAXAAiAE4AaQB0AHIAbwBnAGUAbgAgAGYAcgBvAG0AIABOAGkAdAByAGEAdABlAFwAIgAsACAAXAAiAEwAaQBmAGUAQwB5AGMAbABlAHMAXAAiADsAXABuACAAIABcACIATgBpAHQAcgBvAGcAZQBuACAALQAgAEcAZQBuAGUAcgBpAGMAXAAiACwAIAAxACwAIAAwACwAIABcACIAVQByAGUAYQAtAGIAYQBzAGUAZAAgAGYAZQByAHQAaQBsAGkAcwBlAHIAcwBcACIALAAgAFwAIgBOAGkAdAByAG8AZwBlAG4AIABmAHIAbwBtACAAZgBlAHIAdABpAGwAaQBzAGUAcgBcACIALAAgAFwAIgBMAGkAZgBlAEMAeQBjAGwAZQBzAFwAIgA7AFwAbgAgACAAXAAiAFAAaABvAHMAcABoAG8AcgB1AHMAIAAtACAARwBlAG4AZQByAGkAYwBcACIALAAgADAALAAgADAALAAgAFwAIgBPAHQAaABlAHIAIABmAGUAcgB0AGkAbABpAHMAZQByAHMAXAAiACwAIABcACIAUABoAG8AcwBwAGgAbwByAHUAcwAgAGYAcgBvAG0AIABmAGUAcgB0AGkAbABpAHMAZQByAFwAIgAsACAAXAAiAEwAaQBmAGUAQwB5AGMAbABlAHMAXAAiADsAXABuACAAIABcACIAUABvAHQAYQBzAHMAaQB1AG0AIAAtACAARwBlAG4AZQByAGkAYwBcACIALAAgADAALAAgADAALAAgAFwAIgBPAHQAaABlAHIAIABmAGUAcgB0AGkAbABpAHMAZQByAHMAXAAiACwAIABcACIAUABvAHQAYQBzAHMAaQB1AG0AIABmAHIAbwBtACAAZgBlAHIAdABpAGwAaQBzAGUAcgBcACIALAAgAFwAIgBMAGkAZgBlAEMAeQBjAGwAZQBzAFwAIgA7AFwAbgAgACAAXAAiAFMAdQBsAGYAdQByACAALQAgAEcAZQBuAGUAcgBpAGMAXAAiACwAIAAwACwAIAAwACwAIABcACIATwB0AGgAZQByACAAZgBlAHIAdABpAGwAaQBzAGUAcgBzAFwAIgAsACAAXAAiAFMAdQBsAGYAdQByACAAZgByAG8AbQAgAGYAZQByAHQAaQBsAGkAcwBlAHIAXAAiACwAIABcACIATABpAGYAZQBDAHkAYwBsAGUAcwBcACIAOwBcAG4AIAAgAFwAIgBaAGkAbgBjACAALQAgAEcAZQBuAGUAcgBpAGMAXAAiACwAIAAwACwAIAAwACwAIABcACIATwB0AGgAZQByACAAZgBlAHIAdABpAGwAaQBzAGUAcgBzAFwAIgAsACAAXAAiAFoAaQBuAGMAIABmAHIAbwBtACAAZgBlAHIAdABpAGwAaQBzAGUAcgBcACIALAAgAFwAIgBMAGkAZgBlAEMAeQBjAGwAZQBzAFwAIgA7AFwAbgAgACAAXAAiAE0AdQByAGkAYQB0AGUAIABvAGYAIABwAG8AdABhAHMAaAAgACgATQBPAFAAKQBcACIALAAgADAALAAgADAALAAgAFwAIgBPAHQAaABlAHIAIABmAGUAcgB0AGkAbABpAHMAZQByAHMAXAAiACwAIABcACIATQB1AHIAaQBhAHQAZQAgAG8AZgAgAHAAbwB0AGEAcwBoACAAKABNAE8AUAApAFwAIgAsACAAXAAiAEwAaQBmAGUAQwB5AGMAbABlAHMAXAAiADsAXABuACAAIABcACIARABvAHUAYgBsAGUAIABzAHUAcABlAHIAcABoAG8AcwBwAGgAYQB0AGUAXAAiACwAIAAwACwAIAAwACwAIABcACIATwB0AGgAZQByACAAZgBlAHIAdABpAGwAaQBzAGUAcgBzAFwAIgAsACAAXAAiAEQAbwB1AGIAbABlACAAcwB1AHAAZQByAHAAaABvAHMAcABoAGEAdABlAFwAIgAsACAAXAAiAEwAaQBmAGUAQwB5AGMAbABlAHMAXAAiADsAXABuACAAIABcACIAUwBpAG4AZwBsAGUAIABzAHUAcABlAHIAcABoAG8AcwBwAGgAYQB0AGUAIAAoAFMAUwBQACkAXAAiACwAIAAwACwAIAAwACwAIABcACIATwB0AGgAZQByACAAZgBlAHIAdABpAGwAaQBzAGUAcgBzAFwAIgAsACAAXAAiAFMAaQBuAGcAbABlACAAcwB1AHAAZQByAHAAaABvAHMAcABoAGEAdABlACAAKABTAFMAUAApAFwAIgAsACAAXAAiAEwAaQBmAGUAQwB5AGMAbABlAHMAXAAiADsAXABuACAAIABcACIAQQBtAG0AbwBuAGkAYQBcACIALAAgADAALgA4ADIAMwA1ACwAIAAwACwAIABcACIAQQBtAG0AbwBuAGkAdQBtAC0AYgBhAHMAZQBkACAAZgBlAHIAdABpAGwAaQBzAGUAcgBzAFwAIgAsACAAXAAiAEEAbQBtAG8AbgBpAGEAXAAiACwAIABcACIATABpAGYAZQBDAHkAYwBsAGUAcwBcACIAOwBcAG4AIAAgAFwAIgBDAGEAbABjAGkAdQBtACAAbgBpAHQAcgBhAHQAZQBcACIALAAgADAALgAxADUANQAsACAAMAAsACAAXAAiAE4AaQB0AHIAYQB0AGUALQBiAGEAcwBlAGQAIABmAGUAcgB0AGkAbABpAHMAZQByAHMAXAAiACwAIABcACIAQwBhAGwAYwBpAHUAbQAgAG4AaQB0AHIAYQB0AGUAXAAiACwAIABcACIAVgBFAEUAUgBHAFwAIgBcAG4AIAAgAH0ALAAgAHIALAAgAGMAKQBcAG4AKQApACkAOwBcAG4AXABuAEYAZQByAHQAaQBsAGkAcwBlAHIAXwBDAGgAZQBtAGkAYwBhAGwAQwBvAG0AcABvAHUAbgBkAEUAbABlAG0AZQBuAHQAcwBfAFYAYQByAGkAYQB0AGkAbwBuAFwAbgA9AEwAQQBNAEIARABBACgAXABuACAATQBBAEsARQBBAFIAUgBBAFkAKAAxADIALAAgADEALABcAG4AIABMAEEATQBCAEQAQQAoAHIALABjACwAXABuACAAIABJAE4ARABFAFgAKAB7AFwAbgAgACAAXAAiAFYAQQBSAEkAQQBUAEkATwBOACAATwBOACAAUwBPAFUAUgBDAEUAXAAiADsAXABuACAAIABcACIAQQBkAGQAZQBkACAAXAB1ADAAMAAyADcAQgBhAHMAaQBzAFwAdQAwADAAMgA3ACAAYwBvAGwAdQBtAG4AIAB0AG8AIABhAGwAbABvAHcAIABjAHIAbwBzAHMALQByAGUAZgBlAHIAZQBuAGMAaQBuAGcAIAB3AGkAdABoACAAdABhAGIAbABlACAAVABhAGIAbABlACAAQQAuADIALgAyAC4ANgA6ACAARgByAGEAYwB0AGkAbwBuACAAbwBmACAAaQBuAG8AcgBnAGEAbgBpAGMAIABmAGUAcgB0AGkAbABpAHMAZQByACAAZgAgAHQAaABhAHQAIAB2AG8AbABhAHQAaQBsAGkAcwBlAHMAIABhAHMAIABOAEgAMwAgAGEAbgBkACAATgBPAHgAIAAoACgAawBnACAATgBIADMALQBOACAAKwAgAE4ATwB4AC0ATgApAC8AawBnACAATgApACAAKABGAHIAYQBjAEcAQQBTAEYAZgApAFwAIgA7AFwAbgAgACAAXAAiAEEAZABkAGUAZAAgAGUAeAB0AHIAYQAgAGYAZQByAHQAaQBsAGkAcwBlAHIAIAB0AHkAcABlAHMAIABhAG4AZAAgAGcAZQBuAGUAcgBpAGMAIABjAGgAZQBtAGkAYwBhAGwAIABjAG8AbQBwAG8AdQBuAGQAcwAgAHQAbwAgAGEAbABsAG8AdwAgAGYAbwByACAAYwB1AHMAdABvAG0AIABOAFAASwBTACAAYgBsAGUAbgBkAHMAXAAiADsAXABuACAAIABcACIAQQBkAGQAZQBkACAAZQB4AHQAcgBhACAAXAB1ADAAMAAyADcAUwBjAG8AcABlACAAMwAgAGQAZQBmAGkAbgBpAHQAaQBvAG4AXAB1ADAAMAAyADcAIABjAG8AbAB1AG0AbgAgAHQAbwAgAGEAbABsAG8AdwAgAG0AYQBwAHAAaQBuAGcAIAB3AGkAdABoACAAcwBjAG8AcABlACAAMwAgAGQAYQB0AGEAXAAiADsAXABuACAAIABcACIAQQBkAGQAZQBkACAAXAB1ADAAMAAyADcAUwBvAHUAcgBjAGUAXAB1ADAAMAAyADcAIABjAG8AbAB1AG0AbgBcACIAOwBcAG4AIAAgAFwAIgBDAG8AbQBiAGkAbgBlAGQAIABkAGEAdABhACAAZgByAG8AbQAgAFQAYQBiAGwAZQAgAEEALgAyAC4AMgAuADMAIABhAG4AZAAgAFQAYQBiAGwAZQAgAEEALgAyAC4AMgAuADQAIABpAG4AdABvACAAbwBuAGUAIAB0AGEAYgBsAGUAIAB0AG8AIABhAGkAZAAgAGwAbwBvAGsAdQBwAC4AXAAiADsAXABuACAAIABcACIARQB4AGMAbAB1AGQAZQBkACAAXAB1ADAAMAAyADcAUgBlAGYAZQByAGUAbgBjAGUAcwBcAHUAMAAwADIANwAgAGMAbwBsAHUAbQBuAFwAIgA7AFwAbgAgACAAXAAiAEUAeABjAGwAdQBkAGUAZAAgAFwAdQAwADAAMgA3AEEAbQBtAG8AbgBpAHUAbQAgAHMAdQBsAGYAYQB0AGUAXAB1ADAAMAAyADcAIABhAHMAIABpAHQAIABpAHMAIABhACAAZAB1AHAAbABpAGMAYQB0AGUAIABvAGYAIABcAHUAMAAwADIANwBTAHUAbABwAGgAYQB0AGUAIABvAGYAIABhAG0AbQBvAG4AaQBhACAAKABTAE8AQQApAFwAdQAwADAAMgA3AFwAIgA7AFwAbgAgACAAXAAiAEUAeABjAGwAdQBkAGUAZAAgAFwAdQAwADAAMgA3AEMAYQBsAGMAaQB1AG0AIABuAGkAdAByAGEAdABlAFwAdQAwADAAMgA3ACAAYQBzACAAbgBvACAAcwBjAG8AcABlACAAMwAgAHYAYQBsAHUAZQAgAGEAdgBhAGkAbABhAGIAbABlAC4AXAAiADsAXABuACAAIABcACIAUwBlAHQAIABcAHUAMAAwADIANwBOAGkAdAByAG8AZwBlAG4AIAAtACAARwBlAG4AZQByAGkAYwBcAHUAMAAwADIANwAgAGIAYQBzAGkAcwAgAGEAcwAgAFwAdQAwADAAMgA3AFUAcgBlAGEALQBiAGEAcwBlAGQAIABmAGUAcgB0AGkAbABpAHMAZQByAHMALAAgAGEAcwAgAHUAcgBlAGEAIABpAHMAIAB0AGgAZQAgAG0AbwBzAHQAIABjAG8AbQBtAG8AbgBsAHkAIAB1AHMAZQBkACAAZgBvAHIAbQAgAG8AZgAgAG4AaQB0AHIAbwBnAGUAbgAgAGkAbgAgAEEAdQBzAHQAcgBhAGwAaQBhAG4AIABmAGUAcgB0AGkAbABpAHMAZQByAHMAXAAiADsAXABuACAAIABcACIAUwBlAHQAIABcAHUAMAAwADIANwBVAHIAZQBhAC0AYQBtAG0AbwBuAGkAdQBtACAAbgBpAHQAcgBhAHQAZQBcAHUAMAAwADIANwAgAGIAYQBzAGkAcwAgAGEAcwAgAFwAdQAwADAAMgA3AFUAcgBlAGEALQBiAGEAcwBlAGQAIABmAGUAcgB0AGkAbABpAHMAZQByAFwAdQAwADAAMgA3AFwAIgA7AFwAbgAgACAAXAAiAEEAbQBtAG8AbgBpAGEAIABoAGEAcwAgAGEAbgAgAEYATgAgAHYAYQBsAHUAZQAgAG8AZgAgADAALgA4ADIAMwA1ACAAYgBhAHMAZQBkACAAbwBuACAAKAAxADQALwAxADcAKQB4ADEAMAAwACwAIAB3AGgAZQByAGUAIAAxADQAIABpAHMAIAB0AGgAZQAgAG0AYQBzAHMAIABvAGYAIABuAGkAdAByAG8AZwBlAG4AIABpAG4AIABhAG0AbQBvAG4AaQBhACAAYQBuAGQAIAAxADcAIABpAHMAIAB0AGgAZQAgAG0AbwBsAGEAcgAgAG0AYQBzAHMAIABvAGYAIABhAG0AbQBvAG4AaQBhAC4AXAAiAFwAbgAgACAAfQAsACAAcgAsACAAYwApAFwAbgApACkAKQA7AFwAbgBcAG4AXABuAC8AKgBcAG4APQA9AD0APQA9AD0APQA9AD0APQA9AD0APQA9AD0APQA9AD0APQA9AD0APQA9AD0APQA9AD0APQA9AD0APQA9AD0APQA9AD0APQA9AD0APQA9AD0APQA9AD0APQA9AD0APQA9AD0APQA9AD0APQA9AD0APQA9AD0APQA9AD0APQA9AD0APQA9AD0APQA9AD0APQA9AD0APQBcAG4ARgByAGEAYwB0AGkAbwBuACAAbwBmACAAaQBuAG8AcgBnAGEAbgBpAGMAIABmAGUAcgB0AGkAbABpAHMAZQByACAAdABoAGEAdAAgAHYAbwBsAGEAdABpAGwAaQBzAGUAcwAgAGEAcwAgAE4ASAAzACAAYQBuAGQAIABOAE8AeABcAG4APQA9AD0APQA9AD0APQA9AD0APQA9AD0APQA9AD0APQA9AD0APQA9AD0APQA9AD0APQA9AD0APQA9AD0APQA9AD0APQA9AD0APQA9AD0APQA9AD0APQA9AD0APQA9AD0APQA9AD0APQA9AD0APQA9AD0APQA9AD0APQA9AD0APQA9AD0APQA9AD0APQA9AD0APQA9AD0APQBcAG4AKgAvAFwAbgBcAG4ARgBlAHIAdABpAGwAaQBzAGUAcgBfAEYAcgBhAGMARwBBAFMARgBfAFQAaQB0AGwAZQBcAG4APQBMAEEATQBCAEQAQQAoACgAXAAiAEYAcgBhAGMAdABpAG8AbgAgAG8AZgAgAGkAbgBvAHIAZwBhAG4AaQBjACAAZgBlAHIAdABpAGwAaQBzAGUAcgAgAHQAaABhAHQAIAB2AG8AbABhAHQAaQBsAGkAcwBlAHMAIABhAHMAIABOAEgAMwAgAGEAbgBkACAATgBPAHgAXAAiACkAKQA7AFwAbgBcAG4ARgBlAHIAdABpAGwAaQBzAGUAcgBfAEYAcgBhAGMARwBBAFMARgBfAFMAbwB1AHIAYwBlAFwAbgA9AEwAQQBNAEIARABBACgAKABcACIAVABhAGIAbABlACAAQQAuADIALgAyAC4ANgA6ACAARgByAGEAYwB0AGkAbwBuACAAbwBmACAAaQBuAG8AcgBnAGEAbgBpAGMAIABmAGUAcgB0AGkAbABpAHMAZQByACAAZgAgAHQAaABhAHQAIAB2AG8AbABhAHQAaQBsAGkAcwBlAHMAIABhAHMAIABOAEgAMwAgAGEAbgBkACAATgBPAHgAIAAoACgAawBnACAATgBIADMA4gCsIBwgTgAgACsAIABOAE8AeADiAKwgHCBOACkALwBrAGcAIABOACkAIAAoAEYAcgBhAGMARwBBAFMARgBmACkAXAAiACkAKQA7AFwAbgBcAG4ARgBlAHIAdABpAGwAaQBzAGUAcgBfAEYAcgBhAGMARwBBAFMARgBfAEQAYQB0AGEAXABuAD0ATABBAE0AQgBEAEEAKABcAG4AIABNAEEASwBFAEEAUgBSAEEAWQAoADYALAAgADIALABcAG4AIABMAEEATQBCAEQAQQAoAHIALABjACwAXABuACAAIABJAE4ARABFAFgAKAB7AFwAbgAgACAAXAAiAEYAZQByAHQAaQBsAGkAcwBlAHIAIAB0AHkAcABlACAAZgBcACIALAAgAFwAIgBGAHIAYQBjAEcAQQBTAEYAZgBcACIAOwBcAG4AIAAgAFwAIgBVAHIAZQBhAC0AYgBhAHMAZQBkACAAZgBlAHIAdABpAGwAaQBzAGUAcgBzAFwAIgAsACAAMAAuADEANQA7AFwAbgAgACAAXAAiAEEAbQBtAG8AbgBpAHUAbQAtAGIAYQBzAGUAZAAgAGYAZQByAHQAaQBsAGkAcwBlAHIAcwBcACIALAAgADAALgAwADgAOwBcAG4AIAAgAFwAIgBOAGkAdAByAGEAdABlAC0AYgBhAHMAZQBkACAAZgBlAHIAdABpAGwAaQBzAGUAcgBzAFwAIgAsACAAMAAuADAAMQA7AFwAbgAgACAAXAAiAEEAbQBtAG8AbgBpAHUAbQAtAG4AaQB0AHIAYQB0AGUAIABiAGEAcwBlAGQAIABmAGUAcgB0AGkAbABpAHMAZQByAHMAXAAiACwAIAAwAC4AMAA1ADsAXABuACAAIABcACIATwB0AGgAZQByACAAZgBlAHIAdABpAGwAaQBzAGUAcgBzAFwAIgAsACAAMAAuADEAMQBcAG4AIAAgAH0ALAAgAHIALAAgAGMAKQBcAG4AKQApACkAOwBcAG4AXABuAEYAZQByAHQAaQBsAGkAcwBlAHIAXwBGAHIAYQBjAEcAQQBTAEY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QBtAGkAcwBzAGkAbwBuACAAZgBhAGMAdABvAHIAIABmAG8AcgAgAGMAYQByAGIAbwBuACAAZQBtAGkAcwBzAGkAbwBuAHMAIABmAHIAbwBtACAAdQByAGUAYQAgAGEAcABwAGwAaQBjAGEAdABpAG8AbgBcAG4APQA9AD0APQA9AD0APQA9AD0APQA9AD0APQA9AD0APQA9AD0APQA9AD0APQA9AD0APQA9AD0APQA9AD0APQA9AD0APQA9AD0APQA9AD0APQA9AD0APQA9AD0APQA9AD0APQA9AD0APQA9AD0APQA9AD0APQA9AD0APQA9AD0APQA9AD0APQA9AD0APQA9AD0APQA9AD0APQBcAG4AKgAvAFwAbgBcAG4ARgBlAHIAdABpAGwAaQBzAGUAcgBfAEUARgBVAHIAZQBhAEMATwAyAF8AVABpAHQAbABlAFwAbgA9AEwAQQBNAEIARABBACgAKABcACIARQBtAGkAcwBzAGkAbwBuACAAZgBhAGMAdABvAHIAIABmAG8AcgAgAGMAYQByAGIAbwBuACAAZQBtAGkAcwBzAGkAbwBuAHMAIABmAHIAbwBtACAAdQByAGUAYQAgAGEAcABwAGwAaQBjAGEAdABpAG8AbgBcACIAKQApADsAXABuAFwAbgBGAGUAcgB0AGkAbABpAHMAZQByAF8ARQBGAFUAcgBlAGEAQwBPADIAXwBTAG8AdQByAGMAZQBcAG4APQBMAEEATQBCAEQAQQAoACgAXAAiAFYARQBFAFIARwAgADIAMAAyADYAOgAgADUALgAxAC4AMgAuADIAIABDAG8AbgBzAHQAYQBuAHQAIABQAGEAcgBhAG0AZQB0AGUAcgBzAFwAIgApACkAOwBcAG4AXABuAEYAZQByAHQAaQBsAGkAcwBlAHIAXwBFAEYAVQByAGUAYQBDAE8AMgBfAFYAYQByAGkAYQBiAGwAZQBcAG4APQBMAEEATQBCAEQAQQAoACgAXAAiAEUARgB1AHIAZQBhAEMATwAyAFwAIgApACkAOwBcAG4AXABuAEYAZQByAHQAaQBsAGkAcwBlAHIAXwBFAEYAVQByAGUAYQBDAE8AMgBfAFUAbgBpAHQAXABuAD0ATABBAE0AQgBEAEEAKAAoAFwAIgBrAGcAIABDAC8AawBnACAAdQByAGUAYQBcACIAKQApADsAXABuAFwAbgBGAGUAcgB0AGkAbABpAHMAZQByAF8ARQBGAFUAcgBlAGEAQwBPADIAXwBEAGEAdABhAFwAbgA9AEwAQQBNAEIARABBACgAMAAuADIAKQA7AFwAbgBcAG4ARgBlAHIAdABpAGwAaQBzAGUAcgBfAEUARgBVAHIAZQBhAEMATwAyAF8AVgBhAHIAaQBhAHQAaQBvAG4AXABuAD0ATABBAE0AQgBEAEEAKABcACIAXAAiACkAOwBcAG4AXABuAFwAbgAvACoAXABuAD0APQA9AD0APQA9AD0APQA9AD0APQA9AD0APQA9AD0APQA9AD0APQA9AD0APQA9AD0APQA9AD0APQA9AD0APQA9AD0APQA9AD0APQA9AD0APQA9AD0APQA9AD0APQA9AD0APQA9AD0APQA9AD0APQA9AD0APQA9AD0APQA9AD0APQA9AD0APQA9AD0APQA9AD0APQA9AD0AXABuAEYAcgBhAGMAdABpAG8AbgAgAG8AZgAgAG8AcgBnAGEAbgBpAGMAIABmAGUAcgB0AGkAbABpAHMAZQByACAAdABoAGEAdAAgAHYAbwBsAGEAdABpAGwAaQBzAGUAcwAgAGEAcwAgAE4ASAAzACAAYQBuAGQAIABOAE8AeABcAG4APQA9AD0APQA9AD0APQA9AD0APQA9AD0APQA9AD0APQA9AD0APQA9AD0APQA9AD0APQA9AD0APQA9AD0APQA9AD0APQA9AD0APQA9AD0APQA9AD0APQA9AD0APQA9AD0APQA9AD0APQA9AD0APQA9AD0APQA9AD0APQA9AD0APQA9AD0APQA9AD0APQA9AD0APQA9AD0APQBcAG4AKgAvAFwAbgBcAG4ARgBlAHIAdABpAGwAaQBzAGUAcgBfAEYAcgBhAGMARwBBAFMATQBTAG8AaQBsAF8AVABpAHQAbABlAFwAbgA9AEwAQQBNAEIARABBACgAKABcACIARgByAGEAYwB0AGkAbwBuACAAbwBmACAAbwByAGcAYQBuAGkAYwAgAGYAZQByAHQAaQBsAGkAcwBlAHIAIAB0AGgAYQB0ACAAdgBvAGwAYQB0AGkAbABpAHMAZQBzACAAYQBzACAATgBIADMAIABhAG4AZAAgAE4ATwB4AFwAIgApACkAOwBcAG4AXABuAEYAZQByAHQAaQBsAGkAcwBlAHIAXwBGAHIAYQBjAEcAQQBTAE0AUwBvAGkAbABfAFMAbwB1AHIAYwBlAFwAbgA9AEwAQQBNAEIARABBACgAKABcACIAVgBFAEUAUgBHACAAMgAwADIANgA6ACAANQAuADQALgAyAC4AMwAgAEMAbwBuAHMAdABhAG4AdAAgAFAAYQByAGEAbQBlAHQAZQByAHMAXAAiACkAKQA7AFwAbgBcAG4ARgBlAHIAdABpAGwAaQBzAGUAcgBfAEYAcgBhAGMARwBBAFMATQBTAG8AaQBsAF8AVgBhAHIAaQBhAGIAbABlAFwAbgA9AEwAQQBNAEIARABBACgAKABcACIARgByAGEAYwBHAEEAUwBNAHMAbwBpAGwAXAAiACkAKQA7AFwAbgBcAG4ARgBlAHIAdABpAGwAaQBzAGUAcgBfAEYAcgBhAGMARwBBAFMATQBTAG8AaQBsAF8AVQBuAGkAdABcAG4APQBMAEEATQBCAEQAQQAoACgAXAAiACgAawBnACAATgBIADMALQBOACAAKwAgAE4ATwB4AC0ATgApAC8AawBnACAATgBcACIAKQApADsAXABuAFwAbgBGAGUAcgB0AGkAbABpAHMAZQByAF8ARgByAGEAYwBHAEEAUwBNAFMAbwBpAGwAXwBEAGEAdABhAFwAbgA9AEwAQQBNAEIARABBACgAMAAuADIAMQApADsAXABuAFwAbgBGAGUAcgB0AGkAbABpAHMAZQByAF8ARgByAGEAYwBHAEEAUwBNAFMAbwBpAGw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gByAGEAYwB0AGkAbwBuACAAbwBmACAAbgBpAHQAcgBvAGcAZQBuACAAdABoAGEAdAAgAGkAcwAgAGwAbwBzAHQAIAB0AGgAcgBvAHUAZwBoACAAbABlAGEAYwBoAGkAbgBnACAAYQBuAGQAIAByAHUAbgBvAGYAZgBcAG4APQA9AD0APQA9AD0APQA9AD0APQA9AD0APQA9AD0APQA9AD0APQA9AD0APQA9AD0APQA9AD0APQA9AD0APQA9AD0APQA9AD0APQA9AD0APQA9AD0APQA9AD0APQA9AD0APQA9AD0APQA9AD0APQA9AD0APQA9AD0APQA9AD0APQA9AD0APQA9AD0APQA9AD0APQA9AD0APQBcAG4AKgAvAFwAbgBcAG4ARgBlAHIAdABpAGwAaQBzAGUAcgBfAEYAcgBhAGMATABFAEEAQwBIAF8AVABpAHQAbABlAFwAbgA9AEwAQQBNAEIARABBACgAKABcACIARgByAGEAYwB0AGkAbwBuACAAbwBmACAAbgBpAHQAcgBvAGcAZQBuACAAdABoAGEAdAAgAGkAcwAgAGwAbwBzAHQAIAB0AGgAcgBvAHUAZwBoACAAbABlAGEAYwBoAGkAbgBnACAAYQBuAGQAIAByAHUAbgBvAGYAZgBcACIAKQApADsAXABuAFwAbgBGAGUAcgB0AGkAbABpAHMAZQByAF8ARgByAGEAYwBMAEUAQQBDAEgAXwBTAG8AdQByAGMAZQBcAG4APQBMAEEATQBCAEQAQQAoACgAXAAiAFYARQBFAFIARwAgADIAMAAyADYAOgAgADUALgA1AC4AMgAuADMAIABDAG8AbgBzAHQAYQBuAHQAIABQAGEAcgBhAG0AZQB0AGUAcgBzAFwAIgApACkAOwBcAG4AXABuAEYAZQByAHQAaQBsAGkAcwBlAHIAXwBGAHIAYQBjAEwARQBBAEMASABfAFYAYQByAGkAYQBiAGwAZQBcAG4APQBMAEEATQBCAEQAQQAoACgAXAAiAEYAcgBhAGMATABFAEEAQwBIAFwAIgApACkAOwBcAG4AXABuAEYAZQByAHQAaQBsAGkAcwBlAHIAXwBGAHIAYQBjAEwARQBBAEMASABfAFUAbgBpAHQAXABuAD0ATABBAE0AQgBEAEEAKAAoAFwAIgBmAHIAYQBjAHQAaQBvAG4AXAAiACkAKQA7AFwAbgBcAG4ARgBlAHIAdABpAGwAaQBzAGUAcgBfAEYAcgBhAGMATABFAEEAQwBIAF8ARABhAHQAYQBcAG4APQBMAEEATQBCAEQAQQAoADAALgAyADQAKQA7AFwAbgBcAG4ARgBlAHIAdABpAGwAaQBzAGUAcgBfAEYAcgBhAGMATABFAEEAQwBIAF8AVgBhAHIAaQBhAHQAaQBvAG4AXABuAD0ATABBAE0AQgBEAEEAKABcACIAXAAiACkAOwBcAG4AXABuAFwAbgAvACoAXABuAD0APQA9AD0APQA9AD0APQA9AD0APQA9AD0APQA9AD0APQA9AD0APQA9AD0APQA9AD0APQA9AD0APQA9AD0APQA9AD0APQA9AD0APQA9AD0APQA9AD0APQA9AD0APQA9AD0APQA9AD0APQA9AD0APQA9AD0APQA9AD0APQA9AD0APQA9AD0APQA9AD0APQA9AD0APQA9AD0AXABuAEUAbQBpAHMAcwBpAG8AbgAgAGYAYQBjAHQAbwByACAAZgBvAHIAIABuAGkAdAByAG8AZwBlAG4AIABsAGUAYQBjAGgAaQBuAGcAIABhAG4AZAAgAHIAdQBuAG8AZgBmAFwAbgA9AD0APQA9AD0APQA9AD0APQA9AD0APQA9AD0APQA9AD0APQA9AD0APQA9AD0APQA9AD0APQA9AD0APQA9AD0APQA9AD0APQA9AD0APQA9AD0APQA9AD0APQA9AD0APQA9AD0APQA9AD0APQA9AD0APQA9AD0APQA9AD0APQA9AD0APQA9AD0APQA9AD0APQA9AD0APQA9AFwAbgAqAC8AXABuAFwAbgBGAGUAcgB0AGkAbABpAHMAZQByAF8ARQBGAEwAZQBhAGMAaABfAFQAaQB0AGwAZQBcAG4APQBMAEEATQBCAEQAQQAoACgAXAAiAEUAbQBpAHMAcwBpAG8AbgAgAGYAYQBjAHQAbwByACAAZgBvAHIAIABuAGkAdAByAG8AZwBlAG4AIABsAGUAYQBjAGgAaQBuAGcAIABhAG4AZAAgAHIAdQBuAG8AZgBmAFwAIgApACkAOwBcAG4AXABuAEYAZQByAHQAaQBsAGkAcwBlAHIAXwBFAEYATABlAGEAYwBoAF8AUwBvAHUAcgBjAGUAXABuAD0ATABBAE0AQgBEAEEAKAAoAFwAIgBWAEUARQBSAEcAIAAyADAAMgA2ADoAIAA1AC4ANQAuADIALgAzACAAQwBvAG4AcwB0AGEAbgB0ACAAUABhAHIAYQBtAGUAdABlAHIAcwBcACIAKQApADsAXABuAFwAbgBGAGUAcgB0AGkAbABpAHMAZQByAF8ARQBGAEwAZQBhAGMAaABfAFYAYQByAGkAYQBiAGwAZQBcAG4APQBMAEEATQBCAEQAQQAoACgAXAAiAEUARgBMAGUAYQBjAGgAXAAiACkAKQA7AFwAbgBcAG4ARgBlAHIAdABpAGwAaQBzAGUAcgBfAEUARgBMAGUAYQBjAGgAXwBVAG4AaQB0AFwAbgA9AEwAQQBNAEIARABBACgAKABcACIAawBnACAATgAyAE8ALQBOACAALwAgAGsAZwAgAE4AXAAiACkAKQA7AFwAbgBcAG4ARgBlAHIAdABpAGwAaQBzAGUAcgBfAEUARgBMAGUAYQBjAGgAXwBEAGEAdABhAFwAbgA9AEwAQQBNAEIARABBACgAMAAuADAAMQAxACkAOwBcAG4AXABuAEYAZQByAHQAaQBsAGkAcwBlAHIAXwBFAEYATABlAGEAYwBoAF8AVgBhAHIAaQBhAHQAaQBvAG4AXABuAD0ATABBAE0AQgBEAEEAKABcACIAXAAiACkAOwBcAG4AXABuAFwAbgBcAG4ALwAqAFwAbgA9AD0APQA9AD0APQA9AD0APQA9AD0APQA9AD0APQA9AD0APQA9AD0APQA9AD0APQA9AD0APQA9AD0APQA9AD0APQA9AD0APQA9AD0APQA9AD0APQA9AD0APQA9AD0APQA9AD0APQA9AD0APQA9AD0APQA9AD0APQA9AD0APQA9AD0APQA9AD0APQA9AD0APQA9AD0APQA9AFwAbgBMAGkAbQBlACwAIABkAG8AbABvAG0AaQB0AGUAIABhAG4AZAAgAGcAeQBwAHMAdQBtAFwAbgA9AD0APQA9AD0APQA9AD0APQA9AD0APQA9AD0APQA9AD0APQA9AD0APQA9AD0APQA9AD0APQA9AD0APQA9AD0APQA9AD0APQA9AD0APQA9AD0APQA9AD0APQA9AD0APQA9AD0APQA9AD0APQA9AD0APQA9AD0APQA9AD0APQA9AD0APQA9AD0APQA9AD0APQA9AD0APQA9AFwAbgAqAC8AXABuAFwAbgBGAGUAcgB0AGkAbABpAHMAZQByAF8ATABpAG0AZQBEAG8AbABvAG0AaQB0AGUARwB5AHAAcwB1AG0AQwBvAG4AcwB0AGEAbgB0AHMAXwBUAGkAdABsAGUAXABuAD0ATABBAE0AQgBEAEEAKAAoAFwAIgBDAG8AbgBzAHQAYQBuAHQAcwAgAGYAbwByACAAbABpAG0AZQAsACAAZABvAGwAbwBtAGkAdABlACAAYQBuAGQAIABnAHkAcABzAHUAbQBcACIAKQApADsAXABuAFwAbgBGAGUAcgB0AGkAbABpAHMAZQByAF8ATABpAG0AZQBEAG8AbABvAG0AaQB0AGUARwB5AHAAcwB1AG0AQwBvAG4AcwB0AGEAbgB0AHMAXwBEAGUAcwBjAHIAaQBwAHQAaQBvAG4AXABuAD0ATABBAE0AQgBEAEEAKAAoAFwAIgBDAG8AbgBzAHQAYQBuAHQAcwAgAGYAbwByACAAbABpAG0AZQAsACAAZABvAGwAbwBtAGkAdABlACAAYQBuAGQAIABnAHkAcABzAHUAbQBcACIAKQApADsAXABuAFwAbgBGAGUAcgB0AGkAbABpAHMAZQByAF8ATABpAG0AZQBEAG8AbABvAG0AaQB0AGUARwB5AHAAcwB1AG0AQwBvAG4AcwB0AGEAbgB0AHMAXwBTAG8AdQByAGMAZQBcAG4APQBMAEEATQBCAEQAQQAoACgAXAAiAFYARQBFAFIARwAgADIAMAAyADYAOgAgADUALgAzAC4AMgAuADMAIABDAG8AbgBzAHQAYQBuAHQAIABQAGEAcgBhAG0AZQB0AGUAcgBzAFwAIgApACkAOwBcAG4AXABuAEYAZQByAHQAaQBsAGkAcwBlAHIAXwBMAGkAbQBlAEQAbwBsAG8AbQBpAHQAZQBHAHkAcABzAHUAbQBDAG8AbgBzAHQAYQBuAHQAcwBfAEQAYQB0AGEAXABuAD0ATABBAE0AQgBEAEEAKABcAG4AIABNAEEASwBFAEEAUgBSAEEAWQAoADQALAAgADMALABcAG4AIABMAEEATQBCAEQAQQAoAHIALABjACwAXABuACAAIABJAE4ARABFAFgAKAB7AFwAbgAgACAAXAAiAEUAbABlAG0AZQBuAHQAXAAiACwAIABcACIAUABcACIALAAgAFwAIgBFAEYAXAAiADsAXABuACAAIABcACIATABpAG0AZQAgACgAQwBhAGwAYwBpAHUAbQAgAGMAYQByAGIAbwBuAGEAdABlACkAXAAiACwAIAAwAC4AOQAsACAAMAAuADEAMgA7AFwAbgAgACAAXAAiAEQAbwBsAG8AbQBpAHQAZQAgACgATQBhAGcAbgBlAHMAaQB1AG0AIABjAGEAcgBiAG8AbgBhAHQAZQApAFwAIgAsACAAMAAuADkANQAsACAAMAAuADEAMwA7AFwAbgAgACAAXAAiAEcAeQBwAHMAdQBtAFwAIgAsACAAMAAsACAAMABcAG4AIAAgAH0ALAAgAHIALAAgAGMAKQBcAG4AKQApACkAOwBcAG4AXABuAEYAZQByAHQAaQBsAGkAcwBlAHIAXwBMAGkAbQBlAEQAbwBsAG8AbQBpAHQAZQBHAHkAcABzAHUAbQBDAG8AbgBzAHQAYQBuAHQAcwBfAFYAYQByAGkAYQB0AGkAbwBuAFwAbgA9AEwAQQBNAEIARABBACgAKABcACIAVgBBAFIASQBBAFQASQBPAE4AIABGAFIATwBNACAAUwBPAFUAUgBDAEUAIABEAEEAVABBADoAIABHAHkAcABzAHUAbQAgAGgAYQBzACAAYgBlAGUAbgAgAGEAZABkAGUAZAAgAHcAaQB0AGgAIABwAGwAYQBjAGUAaABvAGwAZABlAHIAIAB2AGEAbAB1AGUAcwAgAG8AZgAgADAAIABmAG8AcgAgAFAAIABhAG4AZAAgAEUARgAuAFwAIgApACkAOwBcAG4AXABuAFwAbgAvACoAXABuAD0APQA9AD0APQA9AD0APQA9AD0APQA9AD0APQA9AD0APQA9AD0APQA9AD0APQA9AD0APQA9AD0APQA9AD0APQA9AD0APQA9AD0APQA9AD0APQA9AD0APQA9AD0APQA9AD0APQA9AD0APQA9AD0APQA9AD0APQA9AD0APQA9AD0APQA9AD0APQA9AD0APQA9AD0APQA9AD0AXABuAEYAcgBhAGMAdABpAG8AbgAgAG8AZgAgAG4AaQB0AHIAbwBnAGUAbgAgAGkAbgAgAGMAbwBtAG0AbwBuACAAaQBuAG8AcgBnAGEAbgBpAGMAIABmAGUAcgB0AGkAbABpAHMAZQByAHMAXABuAD0APQA9AD0APQA9AD0APQA9AD0APQA9AD0APQA9AD0APQA9AD0APQA9AD0APQA9AD0APQA9AD0APQA9AD0APQA9AD0APQA9AD0APQA9AD0APQA9AD0APQA9AD0APQA9AD0APQA9AD0APQA9AD0APQA9AD0APQA9AD0APQA9AD0APQA9AD0APQA9AD0APQA9AD0APQA9AD0AXABuACoALwBcAG4AXABuAEYAZQByAHQAaQBsAGkAcwBlAHIAXwBGAHIAYQBjAHQAaQBvAG4ATgBDAG8AbQBtAG8AbgBGAGUAcgB0AGkAbABpAHMAZQByAHMAXwBUAGkAdABsAGUAXABuAD0ATABBAE0AQgBEAEEAKAAoAFwAIgBGAHIAYQBjAHQAaQBvAG4AIABvAGYAIABuAGkAdAByAG8AZwBlAG4AIABpAG4AIABjAG8AbQBtAG8AbgAgAGkAbgBvAHIAZwBhAG4AaQBjACAAZgBlAHIAdABpAGwAaQBzAGUAcgBzACAAKABrAGcATgAvAGsAZwApACAAKABGAE4AbwByAGcAYQBuAGkAYwAsAGYAKQBcACIAKQApADsAXABuAFwAbgBGAGUAcgB0AGkAbABpAHMAZQByAF8ARgByAGEAYwB0AGkAbwBuAE4AQwBvAG0AbQBvAG4ARgBlAHIAdABpAGwAaQBzAGUAcgBzAF8AUwBvAHUAcgBjAGUAXABuAD0ATABBAE0AQgBEAEEAKAAoAFwAIgBWAEUARQBSAEcAIAAyADAAMgA2ADoAIABUAGEAYgBsAGUAIABBAC4AMgAuADIALgAzAFwAIgApACkAOwBcAG4AXABuAEYAZQByAHQAaQBsAGkAcwBlAHIAXwBGAHIAYQBjAHQAaQBvAG4ATgBDAG8AbQBtAG8AbgBGAGUAcgB0AGkAbABpAHMAZQByAHMAXwBEAGEAdABhAFwAbgA9AEwAQQBNAEIARABBACgAXABuACAATQBBAEsARQBBAFIAUgBBAFkAKAAxADAALAAgADIALABcAG4AIABMAEEATQBCAEQAQQAoAHIALABjACwAXABuACAAIABJAE4ARABFAFgAKAB7AFwAbgAgACAAXAAiAEYAZQByAHQAaQBsAGkAcwBlAHIAIABUAHkAcABlACAAZgBcACIALAAgAFwAIgBGAE4AaQBuAG8AcgBnAGEAbgBpAGMAZgBcACIAOwBcAG4AIAAgAFwAIgBNAG8AbgBvAGEAbQBtAG8AbgBpAHUAbQAgAHAAaABvAHMAcABoAGEAdABlACAAKABNAEEAUAApAFwAIgAsACAAMAAuADEAMAA7AFwAbgAgACAAXAAiAEQAaQBhAG0AbQBvAG4AaQB1AG0AIABwAGgAbwBzAHAAaABhAHQAZQAgACgARABBAFAAKQBcACIALAAgADAALgAxADgAOwBcAG4AIAAgAFwAIgBVAHIAZQBhAFwAIgAsACAAMAAuADQANgA7AFwAbgAgACAAXAAiAFMAdQBsAHAAaABhAHQAZQAgAG8AZgAgAGEAbQBtAG8AbgBpAGEAIAAoAFMATwBBACkAXAAiACwAIAAwAC4AMgAxADsAXABuACAAIABcACIAVQByAGUAYQAtAGEAbQBtAG8AbgBpAHUAbQAgAG4AaQB0AHIAYQB0AGUAIAAoAFUAQQBOACkAXAAiACwAIAAwAC4AMwAyADsAXABuACAAIABcACIAQQBtAG0AbwBuAGkAdQBtACAAbgBpAHQAcgBhAHQAZQAgACgAQQBOACkAXAAiACwAIAAwAC4AMwAzADcAOwBcAG4AIAAgAFwAIgBDAGEAbABjAGkAdQBtACAAYQBtAG0AbwBuAGkAdQBtACAAbgBpAHQAcgBhAHQAZQAgACgAQwBBAE4AKQBcACIALAAgADAALgAyADcAOwBcAG4AIAAgAFwAIgBBAG0AbQBvAG4AaQB1AG0AIABTAHUAbABmAGEAdABlAFwAIgAsACAAMAAuADIAMQA7AFwAbgAgACAAXAAiAEMAYQBsAGMAaQB1AG0AIABOAGkAdAByAGEAdABlAFwAIgAsACAAMAAuADEANQA1AFwAbgAgACAAfQAsACAAcgAsACAAYwApAFwAbgApACkAKQA7AFwAbgBcAG4ARgBlAHIAdABpAGwAaQBzAGUAcgBfAEYAcgBhAGMAdABpAG8AbgBOAEMAbwBtAG0AbwBuAEYAZQByAHQAaQBsAGkAcwBlAHIAcwBfAFYAYQByAGkAYQB0AGkAbwBuAFwAbgA9AEwAQQBNAEIARABBACgAKABcACIAXAAiACkAKQA7AFwAbgBcAG4AXABuAC8AKgBcAG4APQA9AD0APQA9AD0APQA9AD0APQA9AD0APQA9AD0APQA9AD0APQA9AD0APQA9AD0APQA9AD0APQA9AD0APQA9AD0APQA9AD0APQA9AD0APQA9AD0APQA9AD0APQA9AD0APQA9AD0APQA9AD0APQA9AD0APQA9AD0APQA9AD0APQA9AD0APQA9AD0APQA9AD0APQA9AD0APQBcAG4ARgByAGEAYwB0AGkAbwBuACAAbwBmACAAdQByAGUAYQAgAGkAbgAgAGMAbwBtAG0AbwBuACAAaQBuAG8AcgBnAGEAbgBpAGMAIABmAGUAcgB0AGkAbABpAHMAZQByAHMAXABuAD0APQA9AD0APQA9AD0APQA9AD0APQA9AD0APQA9AD0APQA9AD0APQA9AD0APQA9AD0APQA9AD0APQA9AD0APQA9AD0APQA9AD0APQA9AD0APQA9AD0APQA9AD0APQA9AD0APQA9AD0APQA9AD0APQA9AD0APQA9AD0APQA9AD0APQA9AD0APQA9AD0APQA9AD0APQA9AD0AXABuACoALwBcAG4AXABuAEYAZQByAHQAaQBsAGkAcwBlAHIAXwBGAHIAYQBjAHQAaQBvAG4AVQByAGUAYQBDAG8AbQBtAG8AbgBGAGUAcgB0AGkAbABpAHMAZQByAHMAXwBUAGkAdABsAGUAXABuAD0ATABBAE0AQgBEAEEAKAAoAFwAIgBGAHIAYQBjAHQAaQBvAG4AIABvAGYAIAB1AHIAZQBhACAAaQBuACAAYwBvAG0AbQBvAG4AIABpAG4AbwByAGcAYQBuAGkAYwAgAGYAZQByAHQAaQBsAGkAcwBlAHIAcwAgACgAawBnACAAdQByAGUAYQAvAGsAZwApACAAKABGAFUAZgApAFwAIgApACkAOwBcAG4AXABuAEYAZQByAHQAaQBsAGkAcwBlAHIAXwBGAHIAYQBjAHQAaQBvAG4AVQByAGUAYQBDAG8AbQBtAG8AbgBGAGUAcgB0AGkAbABpAHMAZQByAHMAXwBTAG8AdQByAGMAZQBcAG4APQBMAEEATQBCAEQAQQAoACgAXAAiAFYARQBFAFIARwAgADIAMAAyADYAOgAgAFQAYQBiAGwAZQAgAEEALgAyAC4AMgAuADQAXAAiACkAKQA7AFwAbgBcAG4ARgBlAHIAdABpAGwAaQBzAGUAcgBfAEYAcgBhAGMAdABpAG8AbgBVAHIAZQBhAEMAbwBtAG0AbwBuAEYAZQByAHQAaQBsAGkAcwBlAHIAcwBfAEQAYQB0AGEAXABuAD0ATABBAE0AQgBEAEEAKABcAG4AIABNAEEASwBFAEEAUgBSAEEAWQAoADEAMAAsACAAMgAsAFwAbgAgAEwAQQBNAEIARABBACgAcgAsAGMALABcAG4AIAAgAEkATgBEAEUAWAAoAHsAXABuACAAIABcACIARgBlAHIAdABpAGwAaQBzAGUAcgAgAFQAeQBwAGUAIABmAFwAIgAsACAAXAAiAEYAVQBmAFwAIgA7AFwAbgAgACAAXAAiAE0AbwBuAG8AYQBtAG0AbwBuAGkAdQBtACAAcABoAG8AcwBwAGgAYQB0AGUAIAAoAE0AQQBQACkAXAAiACwAIAAwADsAXABuACAAIABcACIARABpAGEAbQBtAG8AbgBpAHUAbQAgAHAAaABvAHMAcABoAGEAdABlACAAKABEAEEAUAApAFwAIgAsACAAMAA7AFwAbgAgACAAXAAiAFUAcgBlAGEAXAAiACwAIAAxADsAXABuACAAIABcACIAUwB1AGwAcABoAGEAdABlACAAbwBmACAAYQBtAG0AbwBuAGkAYQAgACgAUwBPAEEAKQBcACIALAAgADAAOwBcAG4AIAAgAFwAIgBVAHIAZQBhAC0AYQBtAG0AbwBuAGkAdQBtACAAbgBpAHQAcgBhAHQAZQAgACgAVQBBAE4AKQBcACIALAAgADAALgAzADUAOwBcAG4AIAAgAFwAIgBBAG0AbQBvAG4AaQB1AG0AIABuAGkAdAByAGEAdABlACAAKABBAE4AKQBcACIALAAgADAAOwBcAG4AIAAgAFwAIgBDAGEAbABjAGkAdQBtACAAYQBtAG0AbwBuAGkAdQBtACAAbgBpAHQAcgBhAHQAZQAgACgAQwBBAE4AKQBcACIALAAgADAAOwBcAG4AIAAgAFwAIgBBAG0AbQBvAG4AaQB1AG0AIABTAHUAbABmAGEAdABlAFwAIgAsACAAMAA7AFwAbgAgACAAXAAiAEMAYQBsAGMAaQB1AG0AIABOAGkAdAByAGEAdABlAFwAIgAsACAAMABcAG4AIAAgAH0ALAAgAHIALAAgAGMAKQBcAG4AKQApACkAOwBcAG4AXABuAEYAZQByAHQAaQBsAGkAcwBlAHIAXwBGAHIAYQBjAHQAaQBvAG4AVQByAGUAYQBDAG8AbQBtAG8AbgBGAGUAcgB0AGkAbABpAHMAZQByAHMAXwBWAGEAcgBpAGEAdABpAG8AbgBcAG4APQBMAEEATQBCAEQAQQAoACgAXAAiAFwAIgApACkAOwBcAG4AXABuAFwAbgAvACoAXABuAD0APQA9AD0APQA9AD0APQA9AD0APQA9AD0APQA9AD0APQA9AD0APQA9AD0APQA9AD0APQA9AD0APQA9AD0APQA9AD0APQA9AD0APQA9AD0APQA9AD0APQA9AD0APQA9AD0APQA9AD0APQA9AD0APQA9AD0APQA9AD0APQA9AD0APQA9AD0APQA9AD0APQA9AD0APQA9AD0AXABuAFMAbwB1AHIAYwBlACAAcgBlAGcAaQBvAG4AcwAgAGYAbwByACAAdQByAGUAYQAgAGEAbgBkACAAYQBtAG0AbwBuAGkAYQBcAG4APQA9AD0APQA9AD0APQA9AD0APQA9AD0APQA9AD0APQA9AD0APQA9AD0APQA9AD0APQA9AD0APQA9AD0APQA9AD0APQA9AD0APQA9AD0APQA9AD0APQA9AD0APQA9AD0APQA9AD0APQA9AD0APQA9AD0APQA9AD0APQA9AD0APQA9AD0APQA9AD0APQA9AD0APQA9AD0APQBcAG4AKgAvAFwAbgBcAG4ARgBlAHIAdABpAGwAaQBzAGUAcgBfAFUAcgBlAGEAQQBtAG0AbwBuAGkAYQBTAG8AdQByAGMAZQBSAGUAZwBpAG8AbgBzAF8AVABpAHQAbABlAFwAbgA9AEwAQQBNAEIARABBACgAXAAiAFMAbwB1AHIAYwBlACAAcgBlAGcAaQBvAG4AcwAgAGYAbwByACAAdQByAGUAYQAgAGEAbgBkACAAYQBtAG0AbwBuAGkAYQBcACIAKQA7AFwAbgBcAG4ARgBlAHIAdABpAGwAaQBzAGUAcgBfAFUAcgBlAGEAQQBtAG0AbwBuAGkAYQBTAG8AdQByAGMAZQBSAGUAZwBpAG8AbgBzAF8AUwBvAHUAcgBjAGUAXABu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RgBlAHIAdABpAGwAaQBzAGUAcgBfAFUAcgBlAGEAQQBtAG0AbwBuAGkAYQBTAG8AdQByAGMAZQBSAGUAZwBpAG8AbgBzAF8ARABhAHQAYQBcAG4APQBMAEEATQBCAEQAQQAoAFwAbgAgAE0AQQBLAEUAQQBSAFIAQQBZACgANQAsACAAMQAsAFwAbgAgAEwAQQBNAEIARABBACgAcgAsAGMALABcAG4AIAAgAEkATgBEAEUAWAAoAHsAXABuACAAIABcACIAUwBvAHUAcgBjAGUAXAAiADsAXABuACAAIABcACIARwBsAG8AYgBhAGwAXAAiADsAXABuACAAIABcACIAQwBhAG4AYQBkAGEAXAAiADsAXABuACAAIABcACIAQwBoAGkAbgBhAFwAIgA7AFwAbgAgACAAXAAiAFkAZQBtAGUAbgBcACIAXABuACAAIAB9ACwAIAByACwAIABjACkAXABuACkAKQApADsAXABuAFwAbgAvACoAXABuAD0APQA9AD0APQA9AD0APQA9AD0APQA9AD0APQA9AD0APQA9AD0APQA9AD0APQA9AD0APQA9AD0APQA9AD0APQA9AD0APQA9AD0APQA9AD0APQA9AD0APQA9AD0APQA9AD0APQA9AD0APQA9AD0APQA9AD0APQA9AD0APQA9AD0APQA9AD0APQA9AD0APQA9AD0APQA9AD0AXABuAEIAcgBhAG4AZABlAGQAIABmAGUAcgB0AGkAbABpAHMAZQByACAAcAByAG8AZAB1AGMAdABzAFwAbgA9AD0APQA9AD0APQA9AD0APQA9AD0APQA9AD0APQA9AD0APQA9AD0APQA9AD0APQA9AD0APQA9AD0APQA9AD0APQA9AD0APQA9AD0APQA9AD0APQA9AD0APQA9AD0APQA9AD0APQA9AD0APQA9AD0APQA9AD0APQA9AD0APQA9AD0APQA9AD0APQA9AD0APQA9AD0APQA9AFwAbgAqAC8AXABuAFwAbgBGAGUAcgB0AGkAbABpAHMAZQByAF8AUAByAG8AZAB1AGMAdABzAF8AVABpAHQAbABlAFwAbgA9AEwAQQBNAEIARABBACgAKABcACIAQgByAGEAbgBkAGUAZAAgAGYAZQByAHQAaQBsAGkAcwBlAHIAIABwAHIAbwBkAHUAYwB0AHMAIABhAG4AZAAgAHQAaABlAGkAcgAgAGMAaABlAG0AaQBjAGEAbAAgAGMAbwBtAHAAbwBzAGkAdABpAG8AbgBcACIAKQApADsAXABuAFwAbgBGAGUAcgB0AGkAbABpAHMAZQByAF8AUAByAG8AZAB1AGMAdABzAF8AUwBvAHUAcgBjAGUAXABuAD0ATABBAE0AQgBEAEEAKAAoAFwAIgBcACIAKQApADsAXABuAFwAbgBGAGUAcgB0AGkAbABpAHMAZQByAF8AUAByAG8AZAB1AGMAdABzAF8ARABhAHQAYQAxAFwAbgA9AEwAQQBNAEIARABBACgAXABuACAATQBBAEsARQBBAFIAUgBBAFkAKAAzADkALAAgADMAMgAsAFwAbgAgAEwAQQBNAEIARABBACgAcgAsAGMALABcAG4AIAAgAEkATgBEAEUAWAAoAHsAXABuAFwAbgBcACIASQBuAGMAbAB1AGQAZQAgAG8AcgAgAGUAeABjAGwAdQBkAGUAXAAiACwAXAAiAE4AbwB0AGUAcwBcACIALABcACIAQwBvAG0AcABhAG4AeQBcACIALABcACIAUAByAG8AZAB1AGMAdAAgAE4AYQBtAGUAXAAiACwAXAAiAEwAaQBuAGsAXAAiACwAXAAiAEQAYQB0AGEAIABzAG8AdQByAGMAZQBcACIALABcACIAUwBvAHUAcgBjAGUAIABpAG0AYQBnAGUAcwBcACIALABcACIAVQBuAGkAdABcACIALABcACIARABlAG4AcwBpAHQAeQAgACgAbAAgAHQAbwAgAGsAZwApAFwAIgAsAFwAIgBVAHIAZQBhACAAcwBvAHUAcgBjAGUAXAAiACwAXAAiAEEAbQBtAG8AbgBpAGEAIABzAG8AdQByAGMAZQBcACIALABcACIASQBuAGcAcgBlAGQAaQBlAG4AdAAgADEAXAAiACwAXAAiAEkAbgBnAHIAZQBkAGkAZQBuAHQAIAAxACAAcABlAHIAYwBlAG4AdABcACIALABcACIASQBuAGcAcgBlAGQAaQBlAG4AdAAgADIAXAAiACwAXAAiAEkAbgBnAHIAZQBkAGkAZQBuAHQAIAAyACAAcABlAHIAYwBlAG4AdABcACIALABcACIASQBuAGcAcgBlAGQAaQBlAG4AdAAgADMAXAAiACwAXAAiAEkAbgBnAHIAZQBkAGkAZQBuAHQAIAAzACAAcABlAHIAYwBlAG4AdABcACIALABcACIASQBuAGcAcgBlAGQAaQBlAG4AdAAgADQAXAAiACwAXAAiAEkAbgBnAHIAZQBkAGkAZQBuAHQAIAA0ACAAcABlAHIAYwBlAG4AdABcACIALABcACIASQBuAGcAcgBlAGQAaQBlAG4AdAAgADUAXAAiACwAXAAiAEkAbgBnAHIAZQBkAGkAZQBuAHQAIAA1ACAAcABlAHIAYwBlAG4AdABcACIALABcACIASQBuAGcAcgBlAGQAaQBlAG4AdAAgADYAXAAiACwAXAAiAEkAbgBnAHIAZQBkAGkAZQBuAHQAIAA2ACAAcABlAHIAYwBlAG4AdABcACIALABcACIASQBuAGcAcgBlAGQAaQBlAG4AdAAgADcAXAAiACwAXAAiAEkAbgBnAHIAZQBkAGkAZQBuAHQAIAA3ACAAcABlAHIAYwBlAG4AdABcACIALABcACIASQBuAGcAcgBlAGQAaQBlAG4AdAAgADgAXAAiACwAXAAiAEkAbgBnAHIAZQBkAGkAZQBuAHQAIAA4ACAAcABlAHIAYwBlAG4AdABcACIALABcACIASQBuAGcAcgBlAGQAaQBlAG4AdAAgADkAXAAiACwAXAAiAEkAbgBnAHIAZQBkAGkAZQBuAHQAIAA5ACAAcABlAHIAYwBlAG4AdABcACIALABcACIASQBuAGcAcgBlAGQAaQBlAG4AdAAgADEAMABcACIALABcACIASQBuAGcAcgBlAGQAaQBlAG4AdAAgADEAMAAgAHAAZQByAGMAZQBuAHQAXAAiACwAXAAiAEUATgBEACAAUgBPAFcAXAAiADsAXABuAFwAIgBJAG4AYwBsAHUAZABlAFwAIgAsAFwAIgBcACIALABcACIAQwBhAG0AcABiAGUAbABsAHMAIABmAGUAcgB0AGkAbABpAHMAZQByAHMAIABBAHUAcwB0AHIAYQBsAGkAYQBcACIALABcACIAQQBxAHUAYQAgAEYAaQBuAGkAcwBoAFwAIgAsAFwAIgBBAHEAdQBhACAARgBpAG4AaQBzAGgAIAAtACAAQwBhAG0AcABiAGUAbABsAHMAIABGAGUAcgB0AGkAbABpAHMAZQByAHMAIABBAHUAcwB0AHIAYQBsAGEAcwBpAGEAXAAiACwAXAAiAFcAZQBiAHMAaQB0AGUAXAAiACwAXAAiAFwAIgAsAFwAIgBMAFwAIgAsADEALgAyADYALABcACIAXAAiACwAXAAiAFwAIgAsAFwAIgBQAG8AdABhAHMAcwBpAHUAbQAgAC0AIABHAGUAbgBlAHIAaQBjAFwAIgAsADAALgAyADIANQAsAFwAIgBQAGgAbwBzAHAAaABvAHIAdQBzACAALQAgAEcAZQBuAGUAcgBpAGMAXAAiACwAMAAuADAANAAsAFwAIgBOAGkAdAByAG8AZwBlAG4AIAAtACAARwBlAG4AZQByAGkAYwBcACIALAAwAC4AMAAyADYALABcACIAXAAiACwAXAAiAFwAIgAsAFwAIgBcACIALABcACIAXAAiACwAXAAiAFwAIgAsAFwAIgBcACIALABcACIAXAAiACwAXAAiAFwAIgAsAFwAIgBcACIALABcACIAXAAiACwAXAAiAFwAIgAsAFwAIgBcACIALABcACIAXAAiACwAXAAiAFwAIgAsAFwAIgBFAE4ARAAgAFIATwBXAFwAIgA7AFwAbgBcACIASQBuAGMAbAB1AGQAZQBcACIALABcACIAXAAiACwAXAAiAEMAYQBtAHAAYgBlAGwAbABzACAAZgBlAHIAdABpAGwAaQBzAGUAcgBzACAAQQB1AHMAdAByAGEAbABpAGEAXAAiACwAXAAiAEEAcQB1AGEAIABHAHIAbwB3AFwAIgAsAFwAIgBBAHEAdQBhACAARwByAG8AdwAgAC0AIABDAGEAbQBwAGIAZQBsAGwAcwAgAEYAZQByAHQAaQBsAGkAcwBlAHIAcwAgAEEAdQBzAHQAcgBhAGwAYQBzAGkAYQBcACIALABcACIAVwBlAGIAcwBpAHQAZQBcACIALABcACIAXAAiACwAXAAiAEwAXAAiACwAMQAuADIANgAsAFwAIgBcACIALABcACIAXAAiACwAXAAiAFAAbwB0AGEAcwBzAGkAdQBtACAALQAgAEcAZQBuAGUAcgBpAGMAXAAiACwAMAAuADEAMAA1ACwAXAAiAE4AaQB0AHIAbwBnAGUAbgAgAC0AIABHAGUAbgBlAHIAaQBjACAAXAAiACwAMAAuADAAOQA2ACwAXAAiAFAAaABvAHMAcABoAG8AcgB1AHMAIAAtACAARwBlAG4AZQByAGkAYwBcACIALAAwAC4AMAA1ACwAXAAiAFwAIgAsAFwAIgBcACIALABcACIAXAAiACwAXAAiAFwAIgAsAFwAIgBcACIALABcACIAXAAiACwAXAAiAFwAIgAsAFwAIgBcACIALABcACIAXAAiACwAXAAiAFwAIgAsAFwAIgBcACIALABcACIAXAAiACwAXAAiAFwAIgAsAFwAIgBcACIALABcACIARQBOAEQAIABSAE8AVwBcACIAOwBcAG4AXAAiAEkAbgBjAGwAdQBkAGUAXAAiACwAXAAiAFwAIgAsAFwAIgBDAGEAbQBwAGIAZQBsAGwAcwAgAGYAZQByAHQAaQBsAGkAcwBlAHIAcwAgAEEAdQBzAHQAcgBhAGwAaQBhAFwAIgAsAFwAIgBBAHEAdQBhACAATgBpAHQAcgBvACAAQQBOAFwAIgAsAFwAIgBBAHEAdQBhACAATgBpAHQAcgBvACAAQQBOACAALQAgAEMAYQBtAHAAYgBlAGwAbABzACAARgBlAHIAdABpAGwAaQBzAGUAcgBzACAAQQB1AHMAdAByAGEAbABhAHMAaQBhAFwAIgAsAFwAIgBXAGUAYgBzAGkAdABlAC4AIABCAHIAbwBjAGgAdQByAGUAXAAiACwAXAAiAFwAIgAsAFwAIgBMAFwAIgAsADEALgAyADQALABcACIAXAAiACwAXAAiAFwAIgAsAFwAIgBOAGkAdAByAG8AZwBlAG4AIAAtACAAQQBtAG0AbwBuAGkAYQBjAGEAbABcACIALAAwAC4AMgAyADM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QwBhAG0AcABiAGUAbABsAHMAIABmAGUAcgB0AGkAbABpAHMAZQByAHMAIABBAHUAcwB0AHIAYQBsAGkAYQBcACIALABcACIAQQBxAHUAYQAgAE4AaQB0AHIAbwBDAGEAbABcACIALABcACIAQQBxAHUAYQAgAE4AaQB0AHIAbwBDAGEAbAAgAC0AIABDAGEAbQBwAGIAZQBsAGwAcwAgAEYAZQByAHQAaQBsAGkAcwBlAHIAcwAgAEEAdQBzAHQAcgBhAGwAYQBzAGkAYQBcACIALABcACIAVwBlAGIAcwBpAHQAZQAgAFMARABTAFwAIgAsAFwAIgBcACIALABcACIATABcACIALAAxAC4ANQAsAFwAIgBcACIALABcACIAXAAiACwAXAAiAEMAYQBsAGMAaQB1AG0AIAAtACAARwBlAG4AZQByAGkAYwBcACIALAAwAC4AMQA2ADIALABcACIATgBpAHQAcgBvAGcAZQBuACAALQAgAE4AaQB0AHIAYQB0AGUAXAAiACwAMAAuADEAMwAy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VQBzAGUAIABMAGkAbQBlACAARQBGACAAZgBvAHIAIABjAGEAbABjAGkAdQBtAFwAIgAsAFwAIgBDAGEAbQBwAGIAZQBsAGwAcwAgAGYAZQByAHQAaQBsAGkAcwBlAHIAcwAgAEEAdQBzAHQAcgBhAGwAaQBhAFwAIgAsAFwAIgBBAHEAdQBhACAATgBpAHQAcgBvAEMAYQBsACAAKABWAEkAKQBcACIALABcACIAQQBxAHUAYQAgAE4AaQB0AHIAbwBDAGEAbAAgACgAVgBJACkAIAAtACAAQwBhAG0AcABiAGUAbABsAHMAIABGAGUAcgB0AGkAbABpAHMAZQByAHMAIABBAHUAcwB0AHIAYQBsAGEAcwBpAGEAXAAiACwAXAAiAFcAZQBiAHMAaQB0AGUAIABTAEQAUwBcACIALABcACIAXAAiACwAXAAiAEwAXAAiACwAMQAuADUALABcACIAXAAiACwAXAAiAFwAIgAsAFwAIgBDAGEAbABjAGkAdQBtACAALQAgAEcAZQBuAGUAcgBpAGMAXAAiACwAMAAuADEAOAA3ACwAXAAiAE4AaQB0AHIAbwBnAGUAbgAgAC0AIABOAGkAdAByAGEAdABlAFwAIgAsADAALgAxADMAM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QwBhAG0AcABiAGUAbABsAHMAIABmAGUAcgB0AGkAbABpAHMAZQByAHMAIABBAHUAcwB0AHIAYQBsAGkAYQBcACIALABcACIAQQBxAHUAYQAgAE4AaQB0AHIAbwBDAGEAbAAgAFUAbAB0AGkAbQBhAHQAZQBcACIALABcACIAQQBxAHUAYQAgAE4AaQB0AHIAbwBDAGEAbAAgAFUAbAB0AGkAbQBhAHQAZQAgAC0AIABDAGEAbQBwAGIAZQBsAGwAcwAgAEYAZQByAHQAaQBsAGkAcwBlAHIAcwAgAEEAdQBzAHQAcgBhAGwAYQBzAGkAYQBcACIALABcACIAVwBlAGIAcwBpAHQAZQAgAFMARABTAFwAIgAsAFwAIgBcACIALABcACIATABcACIALAAxAC4ANQAsAFwAIgBcACIALABcACIAXAAiACwAXAAiAEMAYQBsAGMAaQB1AG0AIAAtACAARwBlAG4AZQByAGkAYwBcACIALAAwAC4AMQA4ADMALABcACIATgBpAHQAcgBvAGcAZQBuACAAIAAtACAATgBpAHQAcgBhAHQAZQBcACIALAAwAC4AMQAzAD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FMAdABhAHIAdABcACIALABcACIAQQBxAHUAYQAgAFMAdABhAHIAdAAgAC0AIABDAGEAbQBwAGIAZQBsAGwAcwAgAEYAZQByAHQAaQBsAGkAcwBlAHIAcwAgAEEAdQBzAHQAcgBhAGwAYQBzAGkAYQBcACIALABcACIAVwBlAGIAcwBpAHQAZQAgAFMARABTAFwAIgAsAFwAIgBcACIALABcACIATABcACIALAAxAC4AMgA1ACwAXAAiAFwAIgAsAFwAIgBcACIALABcACIATgBpAHQAcgBvAGcAZQBuACAALQAgAEcAZQBuAGUAcgBpAGMAXAAiACwAMAAuADEAMAAzACwAXAAiAFAAaABvAHMAcABoAG8AcgB1AHMAIAAtACAARwBlAG4AZQByAGkAYwBcACIALAAwAC4AMQAsAFwAIgBQAG8AdABhAHMAcwBpAHUAbQAgAC0AIABHAGUAbgBlAHIAaQBjAFwAIgAsADAALgAwADMANA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FQAaABpAG8ALQBDAG8AbQBwAGwAZQB0AGUAXAAiACwAXAAiAEEAcQB1AGEAIABUAGgAaQBvAC0AQwBvAG0AcABsAGUAdABlACAALQAgAEMAYQBtAHAAYgBlAGwAbABzACAARgBlAHIAdABpAGwAaQBzAGUAcgBzACAAQQB1AHMAdAByAGEAbABhAHMAaQBhAFwAIgAsAFwAIgBXAGUAYgBzAGkAdABlACAAUwBEAFMAXAAiACwAXAAiAFwAIgAsAFwAIgBMAFwAIgAsADEALgA0ADMALABcACIAXAAiACwAXAAiAFwAIgAsAFwAIgBQAG8AdABhAHMAcwBpAHUAbQAgAC0AIABHAGUAbgBlAHIAaQBjAFwAIgAsADAALgAyADIANQAsAFwAIgBQAGgAbwBzAHAAaABvAHIAdQBzACAALQAgAEcAZQBuAGUAcgBpAGMAXAAiACwAMAAuADAAMwA4ACwAXAAiAE4AaQB0AHIAbwBnAGUAbgAgAC0AIABHAGUAbgBlAHIAaQBjAFwAIgAsADAALgAwADIANQ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FQAaABpAG8ALQBFAG0AZQByAGcAZQBcACIALABcACIAQQBxAHUAYQAgAFQAaABpAG8ALQBFAG0AZQByAGcAZQAgAC0AIABDAGEAbQBwAGIAZQBsAGwAcwAgAEYAZQByAHQAaQBsAGkAcwBlAHIAcwAgAEEAdQBzAHQAcgBhAGwAYQBzAGkAYQBcACIALABcACIAVwBlAGIAcwBpAHQAZQAgAFMARABTAFwAIgAsAFwAIgBcACIALABcACIATABcACIALAAxAC4AMgA5ACwAXAAiAFwAIgAsAFwAIgBcACIALABcACIATgBpAHQAcgBvAGcAZQBuACAALQAgAEcAZQBuAGUAcgBpAGMAXAAiACwAMAAuADEAMAA1ACwAXAAiAFAAaABvAHMAcABoAG8AcgB1AHMAIAAtACAARwBlAG4AZQByAGkAYwBcACIALAAwAC4AMAA5ADQALABcACIAUABvAHQAYQBzAHMAaQB1AG0AIAAtACAARwBlAG4AZQByAGkAYwBcACIALAAwAC4AMAA0ACwAXAAiAFMAdQBsAGYAdQByACAALQAgAEcAZQBuAGUAcgBpAGMAXAAiACwAMAAuADAAMwAsAFwAIgBcACIALABcACIAXAAiACwAXAAiAFwAIgAsAFwAIgBcACIALABcACIAXAAiACwAXAAiAFwAIgAsAFwAIgBcACIALABcACIAXAAiACwAXAAiAFwAIgAsAFwAIgBcACIALABcACIAXAAiACwAXAAiAFwAIgAsAFwAIgBFAE4ARAAgAFIATwBXAFwAIgA7AFwAbgBcACIASQBuAGMAbAB1AGQAZQBcACIALABcACIAXAAiACwAXAAiAEMAYQBtAHAAYgBlAGwAbABzACAAZgBlAHIAdABpAGwAaQBzAGUAcgBzACAAQQB1AHMAdAByAGEAbABpAGEAXAAiACwAXAAiAEEAcQB1AGEAIABUAGgAaQBvAC0ARgBsAG8AdQByAGkAcwBoAFwAIgAsAFwAIgBBAHEAdQBhACAAVABoAGkAbwAtAEYAbABvAHUAcgBpAHMAaAAgAC0AIABDAGEAbQBwAGIAZQBsAGwAcwAgAEYAZQByAHQAaQBsAGkAcwBlAHIAcwAgAEEAdQBzAHQAcgBhAGwAYQBzAGkAYQBcACIALABcACIAVwBlAGIAcwBpAHQAZQAgAFMARABTAFwAIgAsAFwAIgBcACIALABcACIATABcACIALAAxAC4AMwAyACwAXAAiAFwAIgAsAFwAIgBcACIALABcACIAUABvAHQAYQBzAHMAaQB1AG0AIAAtACAARwBlAG4AZQByAGkAYwBcACIALAAwAC4AMQAwADgALABcACIATgBpAHQAcgBvAGcAZQBuACAALQAgAEcAZQBuAGUAcgBpAGMAIABcACIALAAwAC4AMAA5ADUALABcACIAUwB1AGwAZgB1AHIAIAAtACAARwBlAG4AZQByAGkAYwBcACIALAAwAC4AMAA4ADEALABcACIAUABoAG8AcwBwAGgAbwByAHUAcwAgAC0AIABHAGUAbgBlAHIAaQBjAFwAIgAsADAALgAwADQANw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EAcwBjAG8AIABGAG8AbAAgAFAAbAB1AHMAXAAiACwAXAAiAEEAcwBjAG8AIABGAG8AbAAgAFAAbAB1AHMAIAAtACAAQwBhAG0AcABiAGUAbABsAHMAIABGAGUAcgB0AGkAbABpAHMAZQByAHMAIABBAHUAcwB0AHIAYQBsAGEAcwBpAGEAXAAiACwAXAAiAFwAIgAsAFwAIgBPAHIAZwBhAG4AaQBjACAALQAgAEQAbwAgAG4AbwB0ACAAaQBuAGMAbAB1AGQAZQ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BAHMAYwBvACAAUABsAHUAcwBcACIALABcACIAQQBzAGMAbwAgAFAAbAB1AHMAIAAtACAAQwBhAG0AcABiAGUAbABsAHMAIABGAGUAcgB0AGkAbABpAHMAZQByAHMAIABBAHUAcwB0AHIAYQBsAGEAcwBpAGEAXAAiACwAXAAiAFwAIgAsAFwAIgBPAHIAZwBhAG4AaQBjACAALQAgAEQAbwAgAG4AbwB0ACAAaQBuAGMAbAB1AGQAZQ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BAHMAYwBvACAAUgBoAGkAegBvACAAUABsAHUAcwBcACIALABcACIAQQBzAGMAbwAgAFIAaABpAHoAbwAgAFAAbAB1AHMAIAAtACAAQwBhAG0AcABiAGUAbABsAHMAIABGAGUAcgB0AGkAbABpAHMAZQByAHMAIABBAHUAcwB0AHIAYQBsAGEAcwBpAGEAXAAiACwAXAAiAFwAIgAsAFwAIgBCAGkAbwBzAHQAaQBtAHUAbABhAG4AdA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gBlAG4AZQBmAGkAdAAgAFAAWgBcACIALABcACIAQgBlAG4AZQBmAGkAdAAgAFAAWgAgAC0AIABDAGEAbQBwAGIAZQBsAGwAcwAgAEYAZQByAHQAaQBsAGkAcwBlAHIAcwAgAEEAdQBzAHQAcgBhAGwAYQBzAGkAYQBcACIALABcACIAXAAiACwAXAAiAE4AbwB0ACAAZgBlAHIAdABpAGwAaQBzAGUAcg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JAG4AYwBsAHUAZABlACAALQAgAEEAYgBzAGUAbgB0ACAAaQBuAGcAcgBlAGQAaQBlAG4AdABzACAAXAB1ADAAMAAzAGMAIAAyACUAXAAiACwAXAAiAEEAbQBvAHUAbgB0ACAAbwBmACAAdQByAGUAYQAgAGMAYQBsAGMAdQBsAGEAdABlAGQAIABmAHIAbwBtACAAdQByAGUAYQAgAG4AaQB0AHIAbwBnAGUAbgAgAGEAbQBvAHUAbgB0AFwAIgAsAFwAIgBDAGEAbQBwAGIAZQBsAGwAcwAgAGYAZQByAHQAaQBsAGkAcwBlAHIAcwAgAEEAdQBzAHQAcgBhAGwAaQBhAFwAIgAsAFwAIgBCAG8AbwBzAHQALQBJAHQAXAAiACwAXAAiAEIAbwBvAHMAdAAtAEkAdAAgAC0AIABDAGEAbQBwAGIAZQBsAGwAcwAgAEYAZQByAHQAaQBsAGkAcwBlAHIAcwAgAEEAdQBzAHQAcgBhAGwAYQBzAGkAYQBcACIALABcACIAVwBlAGIAcwBpAHQAZQAgAFMARABTAFwAIgAsAFwAIgBcACIALABcACIAawBnAFwAIgAsADEALABcACIAXAAiACwAXAAiAFwAIgAsAFwAIgBVAHIAZQBhAFwAIgAsADAALgA1ADIAMQA3ADMAOQAxADMALABcACIAUABvAHQAYQBzAHMAaQB1AG0AIAAtACAARwBlAG4AZQByAGkAYwBcACIALAAwAC4AMAA4ACwAXAAiAFMAdQBsAGYAdQByACAALQAgAEcAZQBuAGUAcgBpAGMAXAAiACwAMAAuADAANQAzACwAXAAiAFAAaABvAHMAcABoAG8AcgB1AHMAIAAtACAARwBlAG4AZQByAGkAYwBcACIALAAwAC4AMAA1ADIALABcACIATQBhAGcAbgBlAHMAaQB1AG0AXAAiACwAMAAuADAAMQAzACwAXAAiAFoAaQBuAGMAXAAiACwAMAAuADAAMAAyACwAXAAiAE0AYQBuAGcAYQBuAGUAcwBlAFwAIgAsADAALgAwADAAMwA1ACwAXAAiAEkAcgBvAG4AXAAiACwAMAAuADAAMAAxADMALABcACIAQwBvAHAAcABlAHIAXAAiACwAMAAuADAAMAAwADcALABcACIAQgBvAHIAbwBuAFwAIgAsADAALgAwADAAMAA3ACwAXAAiAEUATgBEACAAUgBPAFcAXAAiADsAXABuAFwAIgBFAHgAYwBsAHUAZABlACAALQAgAE4AbwB0ACAAcgBlAGwAZQB2AGEAbgB0AFwAIgAsAFwAIgBcACIALABcACIAQwBhAG0AcABiAGUAbABsAHMAIABmAGUAcgB0AGkAbABpAHMAZQByAHMAIABBAHUAcwB0AHIAYQBsAGkAYQBcACIALABcACIAQgBvAHIAbwBwAGwAdQBzAFwAIgAsAFwAIgBCAG8AcgBvAHAAbAB1AHMAIAAtACAAQwBhAG0AcABiAGUAbABsAHMAIABGAGUAcgB0AGkAbABpAHMAZQByAHMAIABBAHUAcwB0AHIAYQBsAGEAcwBpAGEAXAAiACwAXAAiAFwAIgAsAFwAIgBOAG8AdAAgAGYAZQByAHQAaQBsAGkAcwBlAHI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IAcgBlAHYAaQBzAG8AbAAgAFIAYQBuAGcAZQBcACIALABcACIAQgByAGUAdgBpAFMAbwBsACAAUgBhAG4AZwBlACAALQAgAEMAYQBtAHAAYgBlAGwAbABzACAARgBlAHIAdABpAGwAaQBzAGUAcgBzACAAQQB1AHMAdAByAGEAbABhAHMAaQBhAFwAIgAsAFwAIgBcACIALABcACIATgBvAHQAIABmAGUAcgB0AGkAbABpAHMAZQByACAALQAgAEQAbwAgAG4AbwB0ACAAaQBuAGMAbAB1AGQAZQ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CAHIAZQB4AGkAbAAgAEwAaQBuAGUAXAAiACwAXAAiAEIAcgBlAHgAaQBsACAATABpAG4AZQAgAC0AIABDAGEAbQBwAGIAZQBsAGwAcwAgAEYAZQByAHQAaQBsAGkAcwBlAHIAcwAgAEEAdQBzAHQAcgBhAGwAYQBzAGkAYQBcACIALABcACIAXAAiACwAXAAiAE4AbwB0ACAAZgBlAHIAdABpAGwAaQBzAGUAcg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gByAG8AbgB6AGUAXAAiACwAXAAiAEIAcgBvAG4AegBlACAALQAgAEMAYQBtAHAAYgBlAGwAbABzACAARgBlAHIAdABpAGwAaQBzAGUAcgBzACAAQQB1AHMAdAByAGEAbABhAHMAaQBhAFwAIgAsAFwAIgBXAGUAYgBzAGkAdABlAFwAIgAsAFwAIgBcACIALABcACIAawBnAFwAIgAsAFwAIgBcACIALABcACIAXAAiACwAXAAiAFwAIgAsAFwAIgBNAHUAcgBpAGEAdABlACAAbwBmACAAUABvAHQAYQBzAGgAIAAoAE0ATwBQACkAXAAiACwAMAAuADIAMwAyACwAXAAiAE4AaQB0AHIAbwBnAGUAbgAgAC0AIABHAGUAbgBlAHIAaQBjAFwAIgAsADAALgAxADcALABcACIAUwB1AGwAZgB1AHIAIAAtACAARwBlAG4AZQByAGkAYwBcACIALAAwAC4AMAAwADUALABcACIATQBhAGcAbgBlAHMAaQB1AG0AXAAiACwAMAAuADAAMAAyADQALABcACIAUABoAG8AcwBwAGgAbwByAHUAcwAgAC0AIABHAGUAbgBlAHIAaQBjAFwAIgAsADAALgAwADAAMAA0ACwAXAAiAFwAIgAsAFwAIgBcACIALABcACIAXAAiACwAXAAiAFwAIgAsAFwAIgBcACIALABcACIAXAAiACwAXAAiAFwAIgAsAFwAIgBcACIALABcACIAXAAiACwAXAAiAFwAIgAsAFwAIgBFAE4ARAAgAFIATwBXAFwAIgA7AFwAbgBcACIARQB4AGMAbAB1AGQAZQAgAC0AIABBAGIAcwBlAG4AdAAgAGkAbgBnAHIAZQBkAGkAZQBuAHQAcwAgAFwAdQAwADAAMwBlACAAMgAlAFwAIgAsAFwAIgBcACIALABcACIAQwBhAG0AcABiAGUAbABsAHMAIABmAGUAcgB0AGkAbABpAHMAZQByAHMAIABBAHUAcwB0AHIAYQBsAGkAYQBcACIALABcACIAQgB1AGQALQBXAGkAcwBlAHIAIABEAHIAeQBcACIALABcACIAQgB1AGQALQBXAGkAcwBlAHIAIABEAHIAeQAgAC0AIABDAGEAbQBwAGIAZQBsAGwAcwAgAEYAZQByAHQAaQBsAGkAcwBlAHIAcwAgAEEAdQBzAHQAcgBhAGwAYQBzAGkAYQBcACIALABcACIAXAAiACwAXAAiAFwAIgAsAFwAIgBrAGcAXAAiACwAXAAiAFwAIgAsAFwAIgBcACIALABcACIAXAAiACwAXAAiAFMAdQBsAGYAdQByACAALQAgAEcAZQBuAGUAcgBpAGMAXAAiACwAMAAuADAAOQA0ACwAXAAiAE0AYQBnAG4AZQBzAGkAdQBtAFwAIgAsADAALgAwADYALABcACIAQgBvAHIAbwBuAFwAIgAsADAALgAwADQANQAsAFwAIgBaAGkAbgBjAFwAIgAsADAALgAwADIANw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MAYQBsAGIAaQB0ACAAQwBcACIALABcACIAQwBhAGwAYgBpAHQAIABDACAALQAgAEMAYQBtAHAAYgBlAGwAbABzACAARgBlAHIAdABpAGwAaQBzAGUAcgBzACAAQQB1AHMAdAByAGEAbABhAHMAaQBhAFwAIgAsAFwAIgBcACIALABcACIATgBvAHQAIABmAGUAcgB0AGkAbABpAHMAZQByACAALQAgAEQAbwAgAG4AbwB0ACAAaQBuAGMAbAB1AGQAZQBcACIALABcACIAT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MAYQBsAGMAaQB1AG0AIAAxADcANQBcACIALABcACIAQwBhAGwAYwBpAHUAbQAgADEANwA1ACAALQAgAEMAYQBtAHAAYgBlAGwAbABzACAARgBlAHIAdABpAGwAaQBzAGUAcgBzACAAQQB1AHMAdAByAGEAbABhAHMAaQBhAFwAIgAsAFwAIgBcACIALABcACIATgBvAHQAIABmAGUAcgB0AGkAbABpAHMAZQByACAALQAgAEQAbwAgAG4AbwB0ACAAaQBuAGMAbAB1AGQAZQBcACIALABcACIAT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VQBzAGUAIABMAGkAbQBlACAARQBGACAAZgBvAHIAIABjAGEAbABjAGkAdQBtAFwAIgAsAFwAIgBDAGEAbQBwAGIAZQBsAGwAcwAgAGYAZQByAHQAaQBsAGkAcwBlAHIAcwAgAEEAdQBzAHQAcgBhAGwAaQBhAFwAIgAsAFwAIgBDAGEAbABQAGgAbwBzAFwAIgAsAFwAIgBDAGEAbABwAGgAbwBzACAALQAgAEMAYQBtAHAAYgBlAGwAbABzACAARgBlAHIAdABpAGwAaQBzAGUAcgBzACAAQQB1AHMAdAByAGEAbABhAHMAaQBhAFwAIgAsAFwAIgBXAGUAYgBzAGkAdABlAFwAIgAsAFwAIgBcACIALABcACIATABcACIALAAxAC4AMgA4ADUALABcACIAXAAiACwAXAAiAFwAIgAsAFwAIgBQAGgAbwBzAHAAaABvAHIAdQBzACAALQAgAEcAZQBuAGUAcgBpAGMAXAAiACwAMAAuADEAMwA1ACwAXAAiAEMAYQBsAGMAaQB1AG0AIAAtACAARwBlAG4AZQByAGkAYwBcACIALAAwAC4AMAA0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NQAwAC8ANQAwACAAbgBpAHQAcgBhAHQAZQAgAGEAbgBkACAAYQBtAG0AbwBuAGkAYQBjAGEAbAAgAG4AaQB0AHIAbwBnAGUAbgAgACgAYQBtAG0AbwBuAGkAdQBtACAAbgBpAHQAcgBhAHQAZQApAFwAIgAsAFwAIgBDAGEAbQBwAGIAZQBsAGwAcwAgAGYAZQByAHQAaQBsAGkAcwBlAHIAcwAgAEEAdQBzAHQAcgBhAGwAaQBhAFwAIgAsAFwAIgBDAG8AbQBwAGEAcwBzAFwAIgAsAFwAIgBDAG8AbQBwAGEAcwBzACAALQAgAEMAYQBtAHAAYgBlAGwAbABzACAARgBlAHIAdABpAGwAaQBzAGUAcgBzACAAQQB1AHMAdAByAGEAbABhAHMAaQBhAFwAIgAsAFwAIgBcACIALABcACIAXAAiACwAXAAiAGsAZwBcACIALAAxACwAXAAiAFwAIgAsAFwAIgBcACIALABcACIATgBpAHQAcgBvAGcAZQBuACAALQAgAEEAbQBtAG8AbgBpAGEAYwBhAGwAXAAiACwAMAAuADAANwA1ACwAXAAiAE4AaQB0AHIAbwBnAGUAbgAgAC0AIABOAGkAdAByAGEAdABlAFwAIgAsADAALgAwADcANQAsAFwAIgBQAG8AdABhAHMAcwBpAHUAbQAgAC0AIABHAGUAbgBlAHIAaQBjAFwAIgAsADAALgAxADIANQAsAFwAIgBQAGgAbwBzAHAAaABvAHIAdQBzAC0ARwBlAG4AZQByAGkAYwBcACIALAAwAC4AMAA2ADUALABcACIAUwB1AGwAZgB1AHIAIAAtACAARwBlAG4AZQByAGkAYwBcACIALAAwAC4AMAA2ACwAXAAiAFwAIgAsAFwAIgBcACIALABcACIAXAAiACwAXAAiAFwAIgAsAFwAIgBcACIALABcACIAXAAiACwAXAAiAFwAIgAsAFwAIgBcACIALABcACIAXAAiACwAXAAiAFwAIgAsAFwAIgBFAE4ARAAgAFIATwBXAFwAIgA7AFwAbgBcACIASQBuAGMAbAB1AGQAZQAgAC0AIABBAGIAcwBlAG4AdAAgAGkAbgBnAHIAZQBkAGkAZQBuAHQAcwAgAFwAdQAwADAAMwBjACAAMgAlAFwAIgAsAFwAIgBDAG8AbgB0AHIAbwBsAGwAZQBkACAAcgBlAGwAZQBhAHMAZQAgAE4AIAB0AHIAZQBhAHQAZQBkACAAYQBzACAAZwBlAG4AZQByAGkAYwAgAEEAbQBvAHUAbgB0ACAAbwBmACAAdQByAGUAYQAgAGMAYQBsAGMAdQBsAGEAdABlAGQAIABmAHIAbwBtACAAdQByAGUAYQAgAG4AaQB0AHIAbwBnAGUAbgAgAGEAbQBvAHUAbgB0AFwAIgAsAFwAIgBDAGEAbQBwAGIAZQBsAGwAcwAgAGYAZQByAHQAaQBsAGkAcwBlAHIAcwAgAEEAdQBzAHQAcgBhAGwAaQBhAFwAIgAsAFwAIgBDAG8AUgBvAE4AIAAxADIALQAwAC0AMQAwAFwAIgAsAFwAIgBDAG8AcgBvAG4AIAAxADIALQAwAC0AMQAwACAALQAgAEMAYQBtAHAAYgBlAGwAbABzACAARgBlAHIAdABpAGwAaQBzAGUAcgBzACAAQQB1AHMAdAByAGEAbABhAHMAaQBhAFwAIgAsAFwAIgBXAGUAYgBzAGkAdABlACAAUwBEAFMAIABCAHIAbwBjAGgAdQByAGUAXAAiACwAXAAiAFwAIgAsAFwAIgBMAFwAIgAsADEALgAyADEANQAsAFwAIgBcACIALABcACIAXAAiACwAXAAiAFUAcgBlAGEAXAAiACwAMAAuADEAOQA1ADYANQAyADEANwA0ACwAXAAiAFAAbwB0AGEAcwBzAGkAdQBtACAALQAgAEcAZQBuAGUAcgBpAGMAXAAiACwAMAAuADEALABcACIATgBpAHQAcgBvAGcAZQBuACAALQAgAEcAZQBuAGUAcgBpAGMAXAAiACwAMAAuADAAMwAsAFwAIgBCAG8AcgBvAG4AXAAiACwAMAAuADAAMAA1ACwAXAAiAFwAIgAsAFwAIgBcACIALABcACIAXAAiACwAXAAiAFwAIgAsAFwAIgBcACIALABcACIAXAAiACwAXAAiAFwAIgAsAFwAIgBcACIALABcACIAXAAiACwAXAAiAFwAIgAsAFwAIgBcACIALABcACIAXAAiACwAXAAiAEUATgBEACAAUgBPAFcAXAAiADsAXABuAFwAIgBJAG4AYwBsAHUAZABlAFwAIgAsAFwAIgBVAHMAZQBkACAAUwB1AGwAcABoAGEAdABlACAAbwBmACAAQQBtAG0AbwBuAGkAYQAgAGEAbgBkACAAQQBtAG0AbwBuAGkAdQBtACAAbgBpAHQAcgBhAHQAZQAgAHYAYQBsAHUAZQBzACAAZgByAG8AbQAgAFMARABTAFwAIgAsAFwAIgBDAGEAbQBwAGIAZQBsAGwAcwAgAGYAZQByAHQAaQBsAGkAcwBlAHIAcwAgAEEAdQBzAHQAcgBhAGwAaQBhAFwAIgAsAFwAIgBNAGEAeABpAG0AdQBtACAAUQB1AGkAYwBrAC0ATgBcACIALABcACIATQBhAHgAaQBtAHUAbQAgAFEAdQBpAGMAawAtAE4AIAAtACAAQwBhAG0AcABiAGUAbABsAHMAIABGAGUAcgB0AGkAbABpAHMAZQByAHMAIABBAHUAcwB0AHIAYQBsAGEAcwBpAGEAXAAiACwAXAAiAFcAZQBiAHMAaQB0AGUAIABTAEQAUwBcACIALABcACIAXAAiACwAXAAiAGsAZwBcACIALAAxACwAXAAiAFwAIgAsAFwAIgBcACIALABcACIAUwB1AGwAcABoAGEAdABlACAAbwBmACAAYQBtAG0AbwBuAGkAYQBcACIALAAwAC4ANQA1ACwAXAAiAEEAbQBtAG8AbgBpAHUAbQAgAG4AaQB0AHIAYQB0AGUAXAAiACwAMAAuADM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EAYgBzAGUAbgB0ACAAaQBuAGcAcgBlAGQAaQBlAG4AdABzACAAXAB1ADAAMAAzAGUAIAAyACUAXAAiACwAXAAiAFwAIgAsAFwAIgBBAGcAcwB0AGEAXAAiACwAXAAiAEEAZwBTAHQAYQByACAATQBhAG4AZwBhAG4AZQBzAGUAXAAiACwAXAAiAEEAZwBTAHQAYQByACAATQBhAG4AZwBhAG4AZQBzAGUAIAB8ACAAVwBlAGwAYwBvAG0AZQAgAHQAbwAgAEEAZwBzAHQAYQByAFwAIgAsAFwAIgBMAGEAYgBlAGwAIABTAEQAUwBcACIALABcACIAXAAiACwAXAAiAEwAXAAiACwAMQAuADQANwAsAFwAIgBcACIALABcACIAXAAiACwAXAAiAE0AYQBuAGcAYQBuAGUAcwBlACAAbgBpAHQAcgBhAHQAZQBcACIALAAwAC4ANAA1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UwBMACAAVABlAGMAXAAiACwAXAAiAEMAcgBvAHAAIABCAG8AbwBzAHQAZQByACAAUABMAFUAUwBcACIALABcACIAaAB0AHQAcABzADoALwAvAHcAdwB3AC4AcwBsAHQAZQBjAC4AYwBvAG0ALgBhAHUALwBzAGwAdABlAGMALwBmAGEAYwB0AF8AcwBoAGUAZQB0AHMALwBTAEwAVABFAEMAXwBDAHIAbwBwAEIAbwBvAHMAdABlAHIAUABsAHUAcwAuAHAAZABmAFwAIgAsAFwAIgBCAHIAbwBjAGgAdQByAGUAIAB3AGUAYgBzAGkAdABlAFwAIgAsAFwAIgBcACIALABcACIATABcACIALAAxAC4AMwAxADkALABcACIAXAAiACwAXAAiAFwAIgAsAFwAIgBQAGgAbwBzAHAAaABvAHIAdQBzACAALQAgAEcAZQBuAGUAcgBpAGMAXAAiACwAMAAuADEANQAsAFwAIgBDAGEAbABjAGkAdQBtACAALQAgAEcAZQBuAGUAcgBpAGMAXAAiACwAMAAuADAANAAsAFwAIgBOAGkAdAByAG8AZwBlAG4AIAAtACAAQQBtAG0AbwBuAGkAYQBjAGEAbABcACIALAAwAC4AMAAyADkALABcACIATgBpAHQAcgBvAGcAZQBuACAALQAgAE4AaQB0AHIAYQB0AGUAXAAiACwAMAAuADAAMgAxACwAXAAiAFAAbwB0AGEAcwBzAGkAdQBtACAALQAgAEcAZQBuAGUAcgBpAGMAXAAiACwAMAAuADAAMgAxACwAXAAiAEMAbwBvAHAAZQByAFwAIgAsADAALgAwADAANQAsAFwAIgBaAGkAbgBjAFwAIgAsADAALgAwADAANAAsAFwAIgBNAGEAbgBnAGEAbgBlAHMAZQBcACIALAAwAC4AMAAwADQALABcACIATQBhAGcAbgBlAHMAaQB1AG0AXAAiACwAMAAuADAAMAAyACwAXAAiAFwAIgAsAFwAIgBcACIALABcACIARQBOAEQAIABSAE8AVwBcACIAOwBcAG4AXAAiAEkAbgBjAGwAdQBkAGUAXAAiACwAXAAiAEkAbgBnAHIAZQBkAGkAZQBuAHQAIABpAHMAIABhAGMAdAB1AGEAbABsAHkAIABhAG0AbQBvAG4AaQB1AG0AIABiAGkAYwBhAHIAYgBvAG4AYQB0AGUAIAB0AGgAZQAgAGUAbABlAG0AZQBuAHQAYQBsACAAYwBvAG0AcABvAHMAaQB0AGkAbwBuACAAaABhAHMAIAAxADcALgA3ACUAIABOAGkAdAByAG8AZwBlAG4AXAAiACwAXAAiAFIAaQBzAHMAbwAtAEMAaABlAG0AaQBjAGEAbABcACIALABcACIAQQBtAG0AbwBuAGkAdQBtACAAQgBpAGMAYQByAGIAbwBuAGEAdABlAFwAIgAsAFwAIgBBAG0AbQBvAG4AaQB1AG0AIABCAGkAYwBhAHIAYgBvAG4AYQB0AGUAIAD9/yAASABpAGcAaAAtAFEAdQBhAGwAaQB0AHkAIABGAGUAcgB0AGkAbABpAHoAZQByACAAXAB1ADAAMAAyADYAIABMAGUAYQB2AGUAbgBpAG4AZwAgAEEAZwBlAG4AdABcACIALABcACIAVwBlAGIAcwBpAHQAZQAgAFMARABTACAAIABoAHQAdABwAHMAOgAvAC8AbQBlAHIAYwBrAGkAbgBkAGUAeAAuAHIAcwBjAC4AbwByAGcALwBtAG8AbgBvAGcAcgBhAHAAaABzAC8AbQAxADcANgA0AD8AYQBjAGMAZQBzAHMAPQBmAHQAXAAiACwAXAAiAFwAIgAsAFwAIgBrAGcAXAAiACwAMQAsAFwAIgBcACIALABcACIAQwBoAGkAbgBhAFwAIgAsAFwAIgBOAGkAdAByAG8AZwBlAG4AIAAtACAAQQBtAG0AbwBuAGkAYQBjAGEAbABcACIALAAwAC4AMQA3ADc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wAIgAsAFwAIgBSAGkAcwBzAG8ALQBDAGgAZQBtAGkAYwBhAGwAXAAiACwAXAAiAEEAbQBtAG8AbgBpAHUAbQAgAFMAdQBsAGYAYQB0AGUAXAAiACwAXAAiAEEAbQBtAG8AbgBpAHUAbQAgAFMAdQBsAGYAYQB0AGUAIABGAGUAcgB0AGkAbABpAHoAZQByACAA/f8gAEgAaQBnAGgALQBRAHUAYQBsAGkAdAB5ACAATgBpAHQAcgBvAGcAZQBuACAAYQBuAGQAIABTAHUAbABmAHUAcgAgAGYAbwByACAAQwByAG8AcABzAFwAIgAsAFwAIgBXAGUAYgBzAGkAdABlAFwAIgAsAFwAIgBcACIALABcACIAawBnAFwAIgAsADEALABcACIAXAAiACwAXAAiAEMAaABpAG4AYQBcACIALABcACIAUwB1AGwAZgB1AHIAIAAtACAARwBlAG4AZQByAGkAYwBcACIALAAwAC4AMgA0ACwAXAAiAE4AaQB0AHIAbwBnAGUAbgAgAC0AIABBAG0AbQBvAG4AaQBhAGMAYQBsAFwAIgAsADAALgAyADE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UgBhAHYAZQBuAHMAZABvAHcAbgBcACIALABcACIAQQBtAG0AbwBuAGkAdQBtACAAUwB1AGwAcABoAGEAdABlACAALQAgAEcAcgBhAG4AdQBsAGEAcgBcACIALABcACIAUgBhAHYAZQBuAHMAZABvAHcAbgAgAHwAIABHAHIAYQBuAHUAbABhAHIAIABBAG0AbQBvAG4AaQB1AG0AIABTAHUAbABwAGgAYQB0AGUAIAAoAEcAQQBTAC8AUwBPAEEAKQBcACIALABcACIAVwBlAGIAcwBpAHQAZQAgAFMARABTAFwAIgAsAFwAIgBcACIALABcACIAawBnAFwAIgAsADEALABcACIAXAAiACwAXAAiAFwAIgAsAFwAIgBTAHUAbABmAHUAcgAgAC0AIABHAGUAbgBlAHIAaQBjAFwAIgAsADAALgAyADMALABcACIATgBpAHQAcgBvAGcAZQBuACAALQAgAEEAbQBtAG8AbgBpAGEAYwBhAGwAXAAiACwAMAAuAD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SQBtAHAAYQBjAHQAIABGAGUAcgB0AGkAbABpAHMAZQByAHMAXAAiACwAXAAiAEQAaQAtAEEAbQBtAG8AbgBpAHUAbQAgAFAAaABvAHMAcABoAGEAdABlACAAKABEAEEAUAApAFwAIgAsAFwAIgBEAGkALQBBAG0AbQBvAG4AaQB1AG0AIABQAGgAbwBzAHAAaABhAHQAZQAgACgARABBAFAAKQAgAC0AIABJAG0AcABhAGMAdAAgAEYAZQByAHQAaQBsAGkAcwBlAHIAcwBcACIALABcACIAVwBlAGIAcwBpAHQAZQBcACIALABcACIAXAAiACwAXAAiAGsAZwBcACIALAAxACwAXAAiAFwAIgAsAFwAIgBcACIALABcACIAUABoAG8AcwBwAGgAbwByAHUAcwAgAC0AIABHAGUAbgBlAHIAaQBjAFwAIgAsADAALgAyADAAMgAsAFwAIgBOAGkAdAByAG8AZwBlAG4AIAAtACAARwBlAG4AZQByAGkAYwBcACIALAAwAC4AMQA4ACwAXAAiAFMAdQBsAGYAdQByACAALQAgAEcAZQBuAGUAcgBpAGMAXAAiACwAMAAuADAAMQA1ACwAXAAiAFwAIgAsAFwAIgBcACIALABcACIAXAAiACwAXAAiAFwAIgAsAFwAIgBcACIALABcACIAXAAiACwAXAAiAFwAIgAsAFwAIgBcACIALABcACIAXAAiACwAXAAiAFwAIgAsAFwAIgBcACIALABcACIAXAAiACwAXAAiAFwAIgAsAFwAIgBcACIALABcACIARQBOAEQAIABSAE8AVwBcACIAOwBcAG4AXAAiAEkAbgBjAGwAdQBkAGUAIAAtACAAQQBiAHMAZQBuAHQAIABpAG4AZwByAGUAZABpAGUAbgB0AHMAIABcAHUAMAAwADMAYwAgADIAJQBcACIALABcACIAXAAiACwAXAAiAEkAbgBjAGkAdABlAGMAIABQAGkAdgBvAHQAIABGAGUAcgB0AGkAbABpAHMAZQByAHMAXAAiACwAXAAiAEIAYQBzAGEAbAB0ACAAQgBvAG8AUwBTAHQAYQBcACIALABcACIAQgBhAGcAIABUAGEAZwBzAFwAIgAsAFwAIgBCAHIAbwBjAGgAdQByAGUAXAAiACwAXAAiAFwAIgAsAFwAIgBrAGcAXAAiACwAMQAsAFwAIgBcACIALABcACIAXAAiACwAXAAiAFMAdQBsAGYAdQByACAALQAgAEcAZQBuAGUAcgBpAGMAXAAiACwAMAAuADIANwA2ACwAXAAiAFAAaABvAHMAcABoAG8AcgB1AHMAIAAtACAARwBlAG4AZQByAGkAYwBcACIALAAwAC4AMQA0ACwAXAAiAE4AaQB0AHIAbwBnAGUAbgAgAC0AIABHAGUAbgBlAHIAaQBjAFwAIgAsADAALgAwADgALABcACIARgBsAG8AdQByAGkAZABlAFwAIgAsADAALgAwADIANAAsAFwAIgBcACIALABcACIAXAAiACwAXAAiAFwAIgAsAFwAIgBcACIALABcACIAXAAiACwAXAAiAFwAIgAsAFwAIgBcACIALABcACIAXAAiACwAXAAiAFwAIgAsAFwAIgBcACIALABcACIAXAAiACwAXAAiAFwAIgAsAFwAIgBFAE4ARAAgAFIATwBXAFwAIgA7AFwAbgBcACIASQBuAGMAbAB1AGQAZQAgAC0AIABBAGIAcwBlAG4AdAAgAGkAbgBnAHIAZQBkAGkAZQBuAHQAcwAgAFwAdQAwADAAMwBjACAAMgAlAFwAIgAsAFwAIgBcACIALABcACIAUwB1AG0AbQBpAHQAIABGAGUAcgB0AGkAbABpAHoAZQByAHMAXAAiACwAXAAiAEQAQQBQAFMAWgBDAFwAIgAsAFwAIgBNAGkAYwByAG8AcwBvAGYAdAAgAFcAbwByAGQAIAAtACAARABBAFAAUwBaAEMAIABTAGEAZgBlAHQAeQAgAEQAYQB0AGEAIABTAGgAZQBlAHQAXAAiACwAXAAiAFMARABTAFwAIgAsAFwAIgBcACIALABcACIAawBnAFwAIgAsADEALABcACIAXAAiACwAXAAiAFwAIgAsAFwAIgBQAGgAbwBzAHAAaABvAHIAdQBzACAALQAgAEcAZQBuAGUAcgBpAGMAXAAiACwAMAAuADEAOAAyACwAXAAiAE4AaQB0AHIAbwBnAGUAbgAgAC0AIABHAGUAbgBlAHIAaQBjAFwAIgAsADAALgAxADYAOQAsAFwAIgBTAHUAbABmAHUAcgAgAC0AIABHAGUAbgBlAHIAaQBjAFwAIgAsADAALgAwADgALABcACIAWgBpAG4AYwAgAC0AIABHAGUAbgBlAHIAaQBjAFwAIgAsADAALgAwADAAMgAsAFwAIgBDAG8AcABwAGUAcgBcACIALAAwAC4AMAAwADEALABcACIAXAAiACwAXAAiAFwAIgAsAFwAIgBcACIALABcACIAXAAiACwAXAAiAFwAIgAsAFwAIgBcACIALABcACIAXAAiACwAXAAiAFwAIgAsAFwAIgBcACIALABcACIAXAAiACwAXAAiAEUATgBEACAAUgBPAFcAXAAiADsAXABuAFwAIgBJAG4AYwBsAHUAZABlAFwAIgAsAFwAIgBBAG0AbwB1AG4AdAAgAG8AZgAgAHUAcgBlAGEAIABjAGEAbABjAHUAbABhAHQAZQBkACAAZgByAG8AbQAgAHUAcgBlAGEAIABuAGkAdAByAG8AZwBlAG4AIABhAG0AbwB1AG4AdABcACIALABcACIASQBuAGMAaQB0AGUAYwAgAFAAaQB2AG8AdAAgAEYAZQByAHQAaQBsAGkAcwBlAHIAcwBcACIALABcACIARQBhAHMAeQAgAE4AXAAiACwAXAAiAGgAdAB0AHAAcwA6AC8ALwB3AHcAdwAuAGkAbgBjAGkAdABlAGMAcABpAHYAbwB0AGYAZQByAHQAaQBsAGkAcwBlAHIAcwAuAGMAbwBtAC4AYQB1AC8AcAByAG8AZAB1AGMAdABzAC0AcwBlAHIAdgBpAGMAZQBzAC8AbwB1AHIALQBwAHIAbwBkAHUAYwB0AHMALwBsAGkAcQB1AGkAZABzAC8AZQBhAHMAeQAtAG4ALwBcACIALABcACIAVwBlAGIAcwBpAHQAZQAgAGIAcgBvAGMAaAB1AHIAZQAgAEIAYQBnACAAdABhAGcAXAAiACwAXAAiAFwAIgAsAFwAIgBMAFwAIgAsADEALgAzADIALABcACIAXAAiACwAXAAiAFwAIgAsAFwAIgBVAHIAZQBhAFwAIgAsADAALgA0ADYANwAzADkAMQAzADAANAAsAFwAIgBOAGkAdAByAG8AZwBlAG4AIAAtACAATgBpAHQAcgBhAHQAZQBcACIALAAwAC4AMQAwADUALABcACIATgBpAHQAcgBvAGcAZQBuACAALQAgAEEAbQBtAG8AbgBpAGEAYwBhAGwAXAAiACwAMAAuADEAMAA1ACwAXAAiAEIAaQB1AHIAZQB0AFwAIgAsADAALgAwADAANgAsAFwAIgBcACIALABcACIAXAAiACwAXAAiAFwAIgAsAFwAIgBcACIALABcACIAXAAiACwAXAAiAFwAIgAsAFwAIgBcACIALABcACIAXAAiACwAXAAiAFwAIgAsAFwAIgBcACIALABcACIAXAAiACwAXAAiAFwAIgAsAFwAIgBFAE4ARAAgAFIATwBXAFwAIgA7AFwAbgBcACIASQBuAGMAbAB1AGQAZQBcACIALABcACIAVQBzAGUAIABMAGkAbQBlACAARQBGACAAZgBvAHIAIABjAGEAbABjAGkAdQBtAFwAIgAsAFwAIgBSAGkAcwBzAG8ALQBDAGgAZQBtAGkAYwBhAGwAXAAiACwAXAAiAEMAYQBsAGMAaQB1AG0AIABBAG0AbQBvAG4AaQB1AG0AIABOAGkAdAByAGEAdABlAFwAIgAsAFwAIgBDAGEAbABjAGkAdQBtACAAQQBtAG0AbwBuAGkAdQBtACAATgBpAHQAcgBhAHQAZQAgAP3/IABCAGEAbABhAG4AYwBlAGQAIABGAGUAcgB0AGkAbABpAHoAZQByACAAZgBvAHIAIABFAG4AaABhAG4AYwBlAGQAIABDAHIAbwBwACAARwByAG8AdwB0AGgAIAB8ACAAUgBpAHMAcwBvAFwAIgAsAFwAIgBcACIALABcACIAXAAiACwAXAAiAGsAZwBcACIALAAxACwAXAAiAFwAIgAsAFwAIgBDAGgAaQBuAGEAXAAiACwAXAAiAE4AaQB0AHIAbwBnAGUAbgAgAC0AIABBAG0AbQBvAG4AaQBhAGMAYQBsAFwAIgAsADAALgAyADcALABcACIATgBpAHQAcgBvAGcAZQBuACAALQAgAE4AaQB0AHIAYQB0AGUAXAAiACwAMAAuADEAMwA1ACwAXAAiAEMAYQBsAGMAaQB1AG0AIAAtACAARwBlAG4AZQByAGkAYwBcACIALAAwAC4AMQAyACwAXAAiAFwAIgAsAFwAIgBcACI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UwBMACAAVABlAGMAXAAiACwAXAAiAEMAZQBsAGwAQwBBAEwAIABQAGwAdQBzAFwAIgAsAFwAIgBTAEwAVABFAEMAXwBDAGUAbABsAEMAQQBMAFAATABVAFMALgBwAGQAZgBcACIALABcACIAQgByAG8AYwBoAHUAcgBlAFwAIgAsAFwAIgBcACIALABcACIATABcACIALAAxAC4AMQAzADgALABcACIAXAAiACwAXAAiAFwAIgAsAFwAIgBDAGEAbABjAGkAdQBtACAALQAgAEcAZQBuAGUAcgBpAGMAXAAiACwAMAAuADAANQA5ACwAXAAiAEMAbwBwAHAAZQByAFwAIgAsADAALgAwADAAMwAsAFwAIgBCAG8AcgBvAG4AXAAiACwAMAAuADAAMAAxACwAXAAiAFwAIgAsAFwAIgBcACIALABcACIAXAAiACwAXAAiAFwAIgAsAFwAIgBcACIALABcACIAXAAiACwAXAAiAFwAIgAsAFwAIgBcACIALABcACIAXAAiACwAXAAiAFwAIgAsAFwAIgBcACIALABcACIAXAAiACwAXAAiAFwAIgAsAFwAIgBcACIALABcACIARQBOAEQAIABSAE8AVwBcACIAOwBcAG4AXAAiAEkAbgBjAGwAdQBkAGUAIAAtACAAQQBiAHMAZQBuAHQAIABpAG4AZwByAGUAZABpAGUAbgB0AHMAIABcAHUAMAAwADMAYwAgADIAJQBcACIALABcACIAVQBzAGUAIABtAHUAcgBpAGEAdABlACAAbwBmACAAcABvAHQAYQBzAGgAIAAoAE0ATwBQACkAIABpAG4AcwB0AGUAYQBkACAAbwBmACAAXAB1ADAAMAAyADcAcABvAHQAYQBzAHMAaQB1AG0AIABhAHMAIABjAGgAbABvAHIAaQBkAGUAXAB1ADAAMAAyADcAXAAiACwAXAAiAEkAbgBjAGkAdABlAGMAIABQAGkAdgBvAHQAIABGAGUAcgB0AGkAbABpAHMAZQByAHMAXAAiACwAXAAiAEMASwA1ADUAXAAiACwAXAAiAEIAYQBnACAAVABhAGcAcwBcACIALABcACIAQgBhAGcAIAB0AGEAZwBcACIALABcACIAXAAiACwAXAAiAGsAZwBcACIALAAxACwAXAAiAFwAIgAsAFwAIgBcACIALABcACIAUABoAG8AcwBwAGgAbwByAHUAcwAgAC0AIABHAGUAbgBlAHIAaQBjAFwAIgAsADAALgAxADUALABcACIATgBpAHQAcgBvAGcAZQBuACAALQAgAEEAbQBtAG8AbgBpAGEAYwBhAGwAXAAiACwAMAAuADEAMwA1ACwAXAAiAE0AdQByAGkAYQB0AGUAIABvAGYAIABQAG8AdABhAHMAaAAgACgATQBPAFAAKQBcACIALAAwAC4AMQAyADUALABcACIARgBsAG8AdQByAGkAZABlAFwAIgAsADAALgAwADIAMwAsAFwAIgBTAHUAbABmAHUAcgAgAC0AIABHAGUAbgBlAHIAaQBjAFwAIgAsADAALgAwADEAMgAsAFwAIgBcACIALABcACIAXAAiACwAXAAiAFwAIgAsAFwAIgBcACIALABcACIAXAAiACwAXAAiAFwAIgAsAFwAIgBcACIALABcACIAXAAiACwAXAAiAFwAIgAsAFwAIgBcACIALABcACIARQBOAEQAIABSAE8AVwBcACIAXABuACAAIAB9ACwAIAByACwAIABjACkAXABuACkAKQApADsAXABuAFwAbgAvACoAXABuAEYAZQByAHQAaQBsAGkAcwBlAHIAXwBQAHIAbwBkAHUAYwB0AHMAXwBEAGEAdABhADIAXABuAD0ATABBAE0AQgBEAEEAKABcAG4AIABNAEEASwBFAEEAUgBSAEEAWQAoADYALAAgADIAOAAsAFwAbgAgAEwAQQBNAEIARABBACgAcgAsAGMALABcAG4AIAAgAEkATgBEAEUAWAAoAHsAXABuAFwAIgBFAHgAYwBsAHUAZABlACAALQAgAEEAYgBzAGUAbgB0ACAAaQBuAGcAcgBlAGQAaQBlAG4AdABzACAAXAB1ADAAMAAzAGUAIAAyACUAXAAiACwAXAAiAFwAIgAsAFwAIgBDAGEAbQBwAGIAZQBsAGwAcwAgAGYAZQByAHQAaQBsAGkAcwBlAHIAcwAgAEEAdQBzAHQAcgBhAGwAaQBhAFwAIgAsAFwAIgBCAHUAZAAtAFcAaQBzAGUAcgAgAEQAcgB5AFwAIgAsAFwAIgBrAGcAXAAiACwAXAAiAFwAIgAsAFwAIgBcACIALABcACIAUwB1AGwAZgB1AHIAIAAtACAARwBlAG4AZQByAGkAYwBcACIALAAwAC4AMAA5ADQALABcACIATQBhAGcAbgBlAHMAaQB1AG0AXAAiACwAMAAuADAANgAsAFwAIgBCAG8AcgBvAG4AXAAiACwAMAAuADAANAA1ACwAXAAiAFoAaQBuAGMAXAAiACwAMAAuADAAMgA3ACwAXAAiAFwAIgAsAFwAIgBcACIALABcACIAXAAiACwAXAAiAFwAIgAsAFwAIgBcACIALABcACIAXAAiACwAXAAiAFwAIgAsAFwAIgBcACIALABcACIAXAAiACwAXAAiAFwAIgAsAFwAIgBcACIALABcACIAXAAiADsAXABuAFwAIgBFAHgAYwBsAHUAZABlACAALQAgAE4AbwB0ACAAcgBlAGwAZQB2AGEAbgB0AFwAIgAsAFwAIgBcACIALABcACIAQwBhAG0AcABiAGUAbABsAHMAIABmAGUAcgB0AGkAbABpAHMAZQByAHMAIABBAHUAcwB0AHIAYQBsAGkAYQBcACIALABcACIAQwBhAGwAYgBpAHQAIABDAFwAIgAsAFwAIgBM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FAHgAYwBsAHUAZABlACAALQAgAE4AbwB0ACAAcgBlAGwAZQB2AGEAbgB0AFwAIgAsAFwAIgBcACIALABcACIAQwBhAG0AcABiAGUAbABsAHMAIABmAGUAcgB0AGkAbABpAHMAZQByAHMAIABBAHUAcwB0AHIAYQBsAGkAYQBcACIALABcACIAQwBhAGwAYwBpAHUAbQAgADEANwA1AFwAIgAsAFwAIgBM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FAHgAYwBsAHUAZABlACAALQAgAEEAYgBzAGUAbgB0ACAAaQBuAGcAcgBlAGQAaQBlAG4AdABzACAAXAB1ADAAMAAzAGUAIAAyACUAXAAiACwAXAAiAFwAIgAsAFwAIgBDAGEAbQBwAGIAZQBsAGwAcwAgAGYAZQByAHQAaQBsAGkAcwBlAHIAcwAgAEEAdQBzAHQAcgBhAGwAaQBhAFwAIgAsAFwAIgBDAGEAbABQAGgAbwBzAFwAIgAsAFwAIgBMAFwAIgAsADEALgAyADgANQAsAFwAIgBcACIALABcACIAUABoAG8AcwBwAGgAbwByAHUAcwAgAC0AIABHAGUAbgBlAHIAaQBjAFwAIgAsADAALgAxADMANQAsAFwAIgBDAGEAbABjAGkAdQBtACAALQAgAEcAZQBuAGUAcgBpAGMAXAAiACwAMAAuADAANAAsAFwAIgBcACIALABcACIAXAAiACwAXAAiAFwAIgAsAFwAIgBcACIALABcACIAXAAiACwAXAAiAFwAIgAsAFwAIgBcACIALABcACIAXAAiACwAXAAiAFwAIgAsAFwAIgBcACIALABcACIAXAAiACwAXAAiAFwAIgAsAFwAIgBcACIALABcACIAXAAiADsAXABuAFwAIgBJAG4AYwBsAHUAZABlAFwAIgAsAFwAIgA1ADAALwA1ADAAIABuAGkAdAByAGEAdABlACAAYQBuAGQAIABhAG0AbQBvAG4AaQBhAGMAYQBsACAAbgBpAHQAcgBvAGcAZQBuACAAKABhAG0AbQBvAG4AaQB1AG0AIABuAGkAdAByAGEAdABlACkAXAAiACwAXAAiAFwAIgAsAFwAIgBDAGEAbQBwAGIAZQBsAGwAcwAgAGYAZQByAHQAaQBsAGkAcwBlAHIAcwAgAEEAdQBzAHQAcgBhAGwAaQBhAFwAIgAsAFwAIgBDAG8AbQBwAGEAcwBzAFwAIgAsAFwAIgBrAGcAXAAiACwAMQAsAFwAIgBcACIALABcACIATgBpAHQAcgBvAGcAZQBuACAALQAgAEEAbQBtAG8AbgBpAGEAYwBhAGwAXAAiACwAMAAuADAANwA1ACwAXAAiAE4AaQB0AHIAbwBnAGUAbgAgAC0AIABOAGkAdAByAGEAdABlAFwAIgAsADAALgAwADcANQAsAFwAIgBQAG8AdABhAHMAcwBpAHUAbQAgAC0AIABHAGUAbgBlAHIAaQBjAFwAIgAsADAALgAxADIANQAsAFwAIgBQAGgAbwBzAHAAaABvAHIAdQBzAC0ARwBlAG4AZQByAGkAYwBcACIALAAwAC4AMAA2ADUALABcACIAUwB1AGwAZgB1AHIAIAAtACAARwBlAG4AZQByAGkAYwBcACIALAAwAC4AMAA2ACwAXAAiAFwAIgAsAFwAIgBcACIALABcACIAXAAiACwAXAAiAFwAIgAsAFwAIgBcACIALABcACIAXAAiACwAXAAiAFwAIgAsAFwAIgBcACIAOwBcAG4AXAAiAEkAbgBjAGwAdQBkAGUAIAAtACAAQQBiAHMAZQBuAHQAIABpAG4AZwByAGUAZABpAGUAbgB0AHMAIABcAHUAMAAwADMAYwAgADIAJQBcACIALABcACIAQwBvAG4AdAByAG8AbABsAGUAZAAgAHIAZQBsAGUAYQBzAGUAIABOACAAdAByAGUAYQB0AGUAZAAgAGEAcwAgAGcAZQBuAGUAcgBpAGMAXAAiACwAXAAiAFwAIgAsAFwAIgBDAGEAbQBwAGIAZQBsAGwAcwAgAGYAZQByAHQAaQBsAGkAcwBlAHIAcwAgAEEAdQBzAHQAcgBhAGwAaQBhAFwAIgAsAFwAIgBDAG8AUgBvAE4AIAAxADIALQAwAC0AMQAwAFwAIgAsAFwAIgBMAFwAIgAsADEALgAyADEANQAsAFwAIgBcACIALABcACIATgBpAHQAcgBvAGcAZQBuACAALQAgAFUAcgBlAGkAYwBcACIALAAwAC4AMAA5ACwAXAAiAFAAbwB0AGEAcwBzAGkAdQBtACAALQAgAEcAZQBuAGUAcgBpAGMAXAAiACwAMAAuADEALABcACIATgBpAHQAcgBvAGcAZQBuACAALQAgAEcAZQBuAGUAcgBpAGMAXAAiACwAMAAuADAAMwAsAFwAIgBCAG8AcgBvAG4AXAAiACwAMAAuADAAMAA1ACwAXAAiAFwAIgAsAFwAIgBcACIALABcACIAXAAiACwAXAAiAFwAIgAsAFwAIgBcACIALABcACIAXAAiACwAXAAiAFwAIgAsAFwAIgBcACIALABcACIAXAAiAFwAbgAgACAAfQAsACAAcgAsACAAYwApAFwAbgApACkAKQA7AFwAbgBcAG4AXABuAEYAZQByAHQAaQBsAGkAcwBlAHIAXwBQAHIAbwBkAHUAYwB0AHMAXwBEAGEAdABhADMAXABuAD0ATABBAE0AQgBEAEEAKABcAG4AIABNAEEASwBFAEEAUgBSAEEAWQAoADIAMAAsACAAMwA1ACwAXABuACAATABBAE0AQgBEAEEAKAByACwAYwAsAFwAbgAgACAASQBOAEQARQBYACgAewBcAG4AXAAiAFIAdQBzAHQAaQBjAGEAIABOAGUAcgBnAGUAdABpAGMAXAAiACwAXAAiAGsAZwBcACIALAAxACwAXAAiAFAAbwB0AGEAcwBzAGkAdQBtACAALQAgAEcAZQBuAGUAcgBpAGMAXAAiACwAMAAuADEANAAxACwAXAAiAEwAbwBjAGEAdABpAG8AbgAgAG4AbwB0ACAAcwBwAGUAYwBpAGYAaQBlAGQAXAAiACwAXAAiAE4AaQB0AHIAbwBnAGUAbgAgAC0AIABHAGUAbgBlAHIAaQBjAFwAIgAsADAALgAxADIALABcACIATABvAGMAYQB0AGkAbwBuACAAbgBvAHQAIABzAHAAZQBjAGkAZgBpAGUAZABcACIALABcACIAUwB1AGwAZgB1AHIAIAAtACAARwBlAG4AZQByAGkAYwBcACIALAAwAC4AMAA5ADYALABcACIATABvAGMAYQB0AGkAbwBuACAAbgBvAHQAIABzAHAAZQBjAGkAZgBpAGUAZABcACIALABcACIAUABoAG8AcwBwAGgAbwByAHUAcwAgAC0AIABHAGUAbgBlAHIAaQBjAFwAIgAsADAALgAwADUAMgAsAFwAIgBMAG8AYwBhAHQAaQBvAG4AIABuAG8AdAAgAHMAcABlAGMAaQBmAGkAZQBkAFwAIgAsAFwAIgBNAGEAZwBuAGUAcwBpAHUAbQAgAC0AIABnAGUAbgBlAHIAaQBjAFwAIgAsADAALgAwADEAMgAsAFwAIgBMAG8AYwBhAHQAaQBvAG4AIABuAG8AdAAgAHMAcABlAGMAaQBmAGkAZQBkAFwAIgAsAFwAIgBaAGkAbgBjACAALQAgAEcAZQBuAGUAcgBpAGMAXAAiACwAMAAuADAAMAAwADgALABcACIATABvAGMAYQB0AGkAbwBuACAAbgBvAHQAIABzAHAAZQBjAGkAZgBpAGUAZABcACIALABcACIASQByAG8AbgAgAC0AIABnAGUAbgBlAHIAaQBjAFwAIgAsADAALgAwADAAMAA3ACwAXAAiAEwAbwBjAGEAdABpAG8AbgAgAG4AbwB0ACAAcwBwAGUAYwBpAGYAaQBlAGQAXAAiACwAXAAiAE0AYQBuAGcAYQBuAGUAcwBlACAALQAgAEcAZQBuAGUAcgBpAGMAXAAiACwAMAAuADAAMAAwADYALABcACIATABvAGMAYQB0AGkAbwBuACAAbgBvAHQAIABzAHAAZQBjAGkAZgBpAGUAZABcACIALABcACIAQgBvAHIAbwBuACAALQAgAGcAZQBuAGUAcgBpAGMAXAAiACwAMAAuADAAMAAwADIALABcACIATABvAGMAYQB0AGkAbwBuACAAbgBvAHQAIABzAHAAZQBjAGkAZgBpAGUAZABcACIALABcACIAXAAiACwAXAAiAFwAIgAsAFwAIgBcACIAOwBcAG4AXAAiAFMARQBUAG4AUwBJAFoARQBcACIALABcACIATABcACIALAAxAC4AMwAsAFwAIgBQAG8AdABhAHMAcwBpAHUAbQAgAC0AIABHAGUAbgBlAHIAaQBjAFwAIgAsADAALgAwADcAOQAyACwAXAAiAEwAbwBjAGEAdABpAG8AbgAgAG4AbwB0ACAAcwBwAGUAYwBpAGYAaQBlAGQAXAAiACwAXAAiAFAAaABvAHMAcABoAG8AcgB1AHMAIAAtACAARwBlAG4AZQByAGkAYwBcACIALAAwAC4AMAA2ADAANQAsAFwAIgBMAG8AYwBhAHQAaQBvAG4AIABuAG8AdAAgAHMAcABlAGMAaQBmAGkAZQBkAFwAIgAsAFwAIgBOAGkAdAByAG8AZwBlAG4AIAAtACAARwBlAG4AZQByAGkAYwBcACIALAAwAC4AMAAxADAAOAAsAFwAIgBMAG8AYwBhAHQAaQBvAG4AIABuAG8AdAAgAHMAcABlAGMAaQBmAGkAZQBkAFwAIgAsAFwAIgBaAGkAbgBjACAALQAgAEcAZQBuAGUAcgBpAGMAXAAiACwAMAAuADAAMQAwADcALABcACIATABvAGMAYQB0AGkAbwBuACAAbgBvAHQAIABzAHAAZQBjAGkAZgBpAGUAZABcACIALABcACIATQBhAGcAbgBlAHMAaQB1AG0AIAAtACAAZwBlAG4AZQByAGkAYwBcACIALAAwAC4AMAAxADAANAAsAFwAIgBMAG8AYwBhAHQAaQBvAG4AIABuAG8AdAAgAHMAcABlAGMAaQBmAGkAZQBkAFwAIgAsAFwAIgBNAGEAbgBnAGEAbgBlAHMAZQAgAC0AIABHAGUAbgBlAHIAaQBjAFwAIgAsADAALgAwADAANwA1ACwAXAAiAEwAbwBjAGEAdABpAG8AbgAgAG4AbwB0ACAAcwBwAGUAYwBpAGYAaQBlAGQAXAAiACwAXAAiAFMAdQBsAGYAdQByACAALQAgAEcAZQBuAGUAcgBpAGMAXAAiACwAMAAuADAAMAA1ADQALABcACIATABvAGMAYQB0AGkAbwBuACAAbgBvAHQAIABzAHAAZQBjAGkAZgBpAGUAZABcACIALABcACIAQwBvAGIAYQBsAHQAIAAtACAAZwBlAG4AZQByAGkAYwBcACIALAAwAC4AMAAwADEAOAAsAFwAIgBMAG8AYwBhAHQAaQBvAG4AIABuAG8AdAAgAHMAcABlAGMAaQBmAGkAZQBkAFwAIgAsAFwAIgBJAHIAbwBuACAALQAgAGcAZQBuAGUAcgBpAGMAXAAiACwAMAAuADAAMAAxADUALABcACIATABvAGMAYQB0AGkAbwBuACAAbgBvAHQAIABzAHAAZQBjAGkAZgBpAGUAZABcACIALABcACIAQwBvAHAAcABlAHIAIAAtACAAZwBlAG4AZQByAGkAYwBcACIALAAwAC4AMAAwADEAMQAsAFwAIgBMAG8AYwBhAHQAaQBvAG4AIABuAG8AdAAgAHMAcABlAGMAaQBmAGkAZQBkAFwAIgA7AFwAbgBcACIAUwBPAEEAXAAiACwAXAAiAGsAZwBcACIALAAxACwAXAAiAE4AaQB0AHIAbwBnAGUAbgAgAC0AIABBAG0AbQBvAG4AaQBhAGMAYQBsAFwAIgAsADAALgAyADEALABcACIATABvAGMAYQB0AGkAbwBuACAAbgBvAHQAIABzAHAAZQBjAGkAZgBpAGUAZABcACIALABcACIAUwB1AGwAZgB1AHIAIAAtACAARwBlAG4AZQByAGkAYwBcACIALAAwAC4AMgA0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TAG8AbAB1AC0ATQBBAFAAXAAiACwAXAAiAGsAZwBcACIALAAxACwAXAAiAFAAaABvAHMAcABoAG8AcgB1AHMAIAAtACAARwBlAG4AZQByAGkAYwBcACIALAAwAC4AMgA2ADYALABcACIATABvAGMAYQB0AGkAbwBuACAAbgBvAHQAIABzAHAAZQBjAGkAZgBpAGUAZABcACIALABcACIATgBpAHQAcgBvAGcAZQBuACAALQAgAEEAbQBtAG8AbgBpAGEAYwBhAGwAXAAiACwAMAAuADEAMg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UwBvAGwAdQAtAE0ASwBQAFwAIgAsAFwAIgBrAGcAXAAiACwAMQAsAFwAIgBQAGgAbwBzAHAAaABvAHIAdQBzACAALQAgAEcAZQBuAGUAcgBpAGMAXAAiACwAMAAuADIAMgA3ACwAXAAiAEwAbwBjAGEAdABpAG8AbgAgAG4AbwB0ACAAcwBwAGUAYwBpAGYAaQBlAGQAXAAiACwAXAAiAFAAbwB0AGEAcwBzAGkAdQBtACAALQAgAEcAZQBuAGUAcgBpAGMAXAAiACwAMAAuADIAOAA1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TAG8AbAB1AC0AUwBhAG0AXAAiACwAXAAiAGsAZwBcACIALAAxACwAXAAiAE4AaQB0AHIAbwBnAGUAbgAgAC0AIABBAG0AbQBvAG4AaQBhAGMAYQBsAFwAIgAsADAALgAyADAAOAAsAFwAIgBMAG8AYwBhAHQAaQBvAG4AIABuAG8AdAAgAHMAcABlAGMAaQBmAGkAZQBkAFwAIgAsAFwAIgBTAHUAbABmAHUAcgAgAC0AIABHAGUAbgBlAHIAaQBjAFwAIgAsADAALgAyADMAOA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UwBvAGwAdQAtAFoAaQBuAGMAXAAiACwAXAAiAGsAZwBcACIALAAxACwAXAAiAFoAaQBuAGMAIAAtACAARwBlAG4AZQByAGkAYwBcACIALAAwAC4AMgAxACwAXAAiAEwAbwBjAGEAdABpAG8AbgAgAG4AbwB0ACAAcwBwAGUAYwBpAGYAaQBlAGQAXAAiACwAXAAiAFMAdQBsAGYAdQByACAALQAgAEcAZQBuAGUAcgBpAGMAXAAiACwAMAAuADEAMAA1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UAGgAaQBvAC0ASwBcACIALABcACIATABcACIALAAxAC4ANAA3ACwAXAAiAFAAbwB0AGEAcwBzAGkAdQBtACAALQAgAEcAZQBuAGUAcgBpAGMAXAAiACwAMAAuADMALABcACIATABvAGMAYQB0AGkAbwBuACAAbgBvAHQAIABzAHAAZQBjAGkAZgBpAGUAZABcACIALABcACIAUwB1AGwAZgB1AHIAIAAtACAARwBlAG4AZQByAGkAYwBcACIALAAwAC4AMgA1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UAGgAaQBvAC0ATgBcACIALABcACIATABcACIALAAxAC4AMwAyACwAXAAiAE4AaQB0AHIAbwBnAGUAbgAgAC0AIABHAGUAbgBlAHIAaQBjAFwAIgAsADAALgAzADcAMgAsAFwAIgBMAG8AYwBhAHQAaQBvAG4AIABuAG8AdAAgAHMAcABlAGMAaQBmAGkAZQBkAFwAIgAsAFwAIgBTAHUAbABmAHUAcgAgAC0AIABHAGUAbgBlAHIAaQBjAFwAIgAsADAALgAwADc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QAaABpAG8ALQBOACAAUABsAHUAcwBcACIALABcACIATABcACIALAAxAC4AMwAyACwAXAAiAE4AaQB0AHIAbwBnAGUAbgAgAC0AIABHAGUAbgBlAHIAaQBjAFwAIgAsADAALgAzADYANAAsAFwAIgBMAG8AYwBhAHQAaQBvAG4AIABuAG8AdAAgAHMAcABlAGMAaQBmAGkAZQBkAFwAIgAsAFwAIgBTAHUAbABmAHUAcgAgAC0AIABHAGUAbgBlAHIAaQBjAFwAIgAsADAALgAwADc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QAaABpAG8ALQBTAHUAbABcACIALABcACIATABcACIALAAxAC4AMwA1ACwAXAAiAFMAdQBsAGYAdQByACAALQAgAEcAZQBuAGUAcgBpAGMAXAAiACwAMAAuADMANQAsAFwAIgBMAG8AYwBhAHQAaQBvAG4AIABuAG8AdAAgAHMAcABlAGMAaQBmAGkAZQBkAFwAIgAsAFwAIgBOAGkAdAByAG8AZwBlAG4AIAAtACAAQQBtAG0AbwBuAGkAYQBjAGEAbABcACIALAAwAC4AMQA2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VAEEAUwBcACIALABcACIATABcACIALAAxAC4AMgAzADUALABcACIATgBpAHQAcgBvAGcAZQBuACAALQAgAEcAZQBuAGUAcgBpAGMAXAAiACwAMAAuADIAMAA5ACwAXAAiAEwAbwBjAGEAdABpAG8AbgAgAG4AbwB0ACAAcwBwAGUAYwBpAGYAaQBlAGQAXAAiACwAXAAiAFMAdQBsAGYAdQByACAALQAgAEcAZQBuAGUAcgBpAGMAXAAiACwAMAAuADAANgA3ACwAXAAiAEwAbwBjAGEAdABpAG8AbgAgAG4AbwB0ACAAcwBwAGUAYwBpAGYAaQBlAGQAXAAiACwAXAAiAE4AaQB0AHIAbwBnAGUAbgAgAC0AIABBAG0AbQBvAG4AaQBhAGMAYQBsAFwAIgAsADAALgAwADUANw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WQBhAHIAYQAgAEwAaQBxAHUAaQBkAHMAIABOAC0ARgBPAEwAIAAyADQAKwBUAEUAXAAiACwAXAAiAGsAZwBcACIALAAxACwAXAAiAE4AaQB0AHIAbwBnAGUAbgAgAC0AIABHAGUAbgBlAHIAaQBjAFwAIgAsADAALgAxADkALABcACIATABvAGMAYQB0AGkAbwBuACAAbgBvAHQAIABzAHAAZQBjAGkAZgBpAGUAZABcACIALABcACIAUABvAHQAYQBzAHMAaQB1AG0AIAAtACAARwBlAG4AZQByAGkAYwBcACIALAAwAC4AMQA2ADYALABcACIATABvAGMAYQB0AGkAbwBuACAAbgBvAHQAIABzAHAAZQBjAGkAZgBpAGUAZABcACIALABcACIAUwB1AGwAZgB1AHIAIAAtACAARwBlAG4AZQByAGkAYwBcACIALAAwAC4AMAAzACwAXAAiAEwAbwBjAGEAdABpAG8AbgAgAG4AbwB0ACAAcwBwAGUAYwBpAGYAaQBlAGQAXAAiACwAXAAiAFAAaABvAHMAcABoAG8AcgB1AHMAIAAtACAARwBlAG4AZQByAGkAYwBcACIALAAwAC4AMAAyADYALABcACIATABvAGMAYQB0AGkAbwBuACAAbgBvAHQAIABzAHAAZQBjAGkAZgBpAGUAZABcACIALABcACIATQBhAGcAbgBlAHMAaQB1AG0AIAAtACAAZwBlAG4AZQByAGkAYwBcACIALAAwAC4AMAAxADgALABcACIATABvAGMAYQB0AGkAbwBuACAAbgBvAHQAIABzAHAAZQBjAGkAZgBpAGUAZABcACIALABcACIASQByAG8AbgAgAC0AIABnAGUAbgBlAHIAaQBjAFwAIgAsADAALgAwADAAMAA3ACwAXAAiAEwAbwBjAGEAdABpAG8AbgAgAG4AbwB0ACAAcwBwAGUAYwBpAGYAaQBlAGQAXAAiACwAXAAiAE0AYQBuAGcAYQBuAGUAcwBlACAALQAgAEcAZQBuAGUAcgBpAGMAXAAiACwAMAAuADAAMAAwADQALABcACIATABvAGMAYQB0AGkAbwBuACAAbgBvAHQAIABzAHAAZQBjAGkAZgBpAGUAZABcACIALABcACIAQgBvAHIAbwBuACAALQAgAGcAZQBuAGUAcgBpAGMAXAAiACwAMAAuADAAMAAwADIANQAsAFwAIgBMAG8AYwBhAHQAaQBvAG4AIABuAG8AdAAgAHMAcABlAGMAaQBmAGkAZQBkAFwAIgAsAFwAIgBaAGkAbgBjACAALQAgAEcAZQBuAGUAcgBpAGMAXAAiACwAMAAuADAAMAAwADIANQAsAFwAIgBMAG8AYwBhAHQAaQBvAG4AIABuAG8AdAAgAHMAcABlAGMAaQBmAGkAZQBkAFwAIgAsAFwAIgBDAG8AcABwAGUAcgAgAC0AIABnAGUAbgBlAHIAaQBjAFwAIgAsADAALgAwADAAMAAxACwAXAAiAEwAbwBjAGEAdABpAG8AbgAgAG4AbwB0ACAAcwBwAGUAYwBpAGYAaQBlAGQAXAAiADsAXABuAFwAIgBZAGEAcgBhACAAVQBuAGkAawBhACAAUABsAHUAcwBcACIALABcACIAawBnAFwAIgAsADEALABcACIAUABvAHQAYQBzAHMAaQB1AG0AIAAtACAARwBlAG4AZQByAGkAYwBcACIALAAwAC4AMwA4ADIALABcACIATABvAGMAYQB0AGkAbwBuACAAbgBvAHQAIABzAHAAZQBjAGkAZgBpAGUAZABcACIALABcACIATgBpAHQAcgBvAGcAZQBuACAALQAgAEcAZQBuAGUAcgBpAGMAXAAiACwAMAAuADEAMgAsAFwAIgBMAG8AYwBhAHQAaQBvAG4AIABuAG8AdAAgAHMAcABlAGMAaQBmAGkAZQBkAFwAIgAsAFwAIgBTAHUAbABmAHUAcgAgAC0AIABHAGUAbgBlAHIAaQBjAFwAIgAsADAALgAwADAANw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WQBhAHIAYQBNAGkAbABhACAAMgAxAC0ANwAtADMAKAA0ACkAXAAiACwAXAAiAGsAZwBcACIALAAxACwAXAAiAE4AaQB0AHIAbwBnAGUAbgAgAC0AIABHAGUAbgBlAHIAaQBjAFwAIgAsADAALgAyADEALABcACIATABvAGMAYQB0AGkAbwBuACAAbgBvAHQAIABzAHAAZQBjAGkAZgBpAGUAZABcACIALABcACIAUABoAG8AcwBwAGgAbwByAHUAcwAgAC0AIABHAGUAbgBlAHIAaQBjAFwAIgAsADAALgAwADcANAAsAFwAIgBMAG8AYwBhAHQAaQBvAG4AIABuAG8AdAAgAHMAcABlAGMAaQBmAGkAZQBkAFwAIgAsAFwAIgBTAHUAbABmAHUAcgAgAC0AIABHAGUAbgBlAHIAaQBjAFwAIgAsADAALgAwADQALABcACIATABvAGMAYQB0AGkAbwBuACAAbgBvAHQAIABzAHAAZQBjAGkAZgBpAGUAZABcACIALABcACIAUABvAHQAYQBzAHMAaQB1AG0AIAAtACAARwBlAG4AZQByAGkAYwBcACIALAAwAC4AMAAyADUALABcACIATABvAGMAYQB0AGkAbwBuACAAbgBvAHQAIABzAHAAZQBjAGkAZgBpAGUAZABcACIALABcACIATQBhAGcAbgBlAHMAaQB1AG0AIAAtACAAZwBlAG4AZQByAGkAYwBcACIALAAwAC4AMAAwADQALABcACIATABvAGMAYQB0AGkAbwBuACAAbgBvAHQAIABzAHAAZQBjAGkAZgBpAGUAZABcACIALABcACIAWgBpAG4AYwAgAC0AIABHAGUAbgBlAHIAaQBjAFwAIgAsADAALgAwADAAMQA1ACwAXAAiAEwAbwBjAGEAdABpAG8AbgAgAG4AbwB0ACAAcwBwAGUAYwBpAGYAaQBlAGQAXAAiACwAXAAiAFwAIgAsAFwAIgBcACIALABcACIAXAAiACwAXAAiAFwAIgAsAFwAIgBcACIALABcACIAXAAiACwAXAAiAFwAIgAsAFwAIgBcACIALABcACIAXAAiACwAXAAiAFwAIgAsAFwAIgBcACIALABcACIAXAAiADsAXABuAFwAIgBZAGEAcgBhAFIAZQBnAGEAIAAxADMALQAyAC0AMgAxAFwAIgAsAFwAIgBrAGcAXAAiACwAMQAsAFwAIgBQAG8AdABhAHMAcwBpAHUAbQAgAC0AIABHAGUAbgBlAHIAaQBjAFwAIgAsADAALgAyADEALABcACIATABvAGMAYQB0AGkAbwBuACAAbgBvAHQAIABzAHAAZQBjAGkAZgBpAGUAZABcACIALABcACIAUwB1AGwAZgB1AHIAIAAtACAARwBlAG4AZQByAGkAYwBcACIALAAwAC4AMQAwADgALABcACIATABvAGMAYQB0AGkAbwBuACAAbgBvAHQAIABzAHAAZQBjAGkAZgBpAGUAZABcACIALABcACIATgBpAHQAcgBvAGcAZQBuACAALQAgAEEAbQBtAG8AbgBpAGEAYwBhAGwAXAAiACwAMAAuADAANwA3ACwAXAAiAEwAbwBjAGEAdABpAG8AbgAgAG4AbwB0ACAAcwBwAGUAYwBpAGYAaQBlAGQAXAAiACwAXAAiAE4AaQB0AHIAbwBnAGUAbgAgAGYAcgBvAG0AIABOAGkAdAByAGEAdABlAFwAIgAsADAALgAwADUAMwAsAFwAIgBMAG8AYwBhAHQAaQBvAG4AIABuAG8AdAAgAHMAcABlAGMAaQBmAGkAZQBkAFwAIgAsAFwAIgBQAGgAbwBzAHAAaABvAHIAdQBzACAALQAgAEcAZQBuAGUAcgBpAGMAXAAiACwAMAAuADAAMQA3ADUALABcACIATABvAGMAYQB0AGkAbwBuACAAbgBvAHQAIABzAHAAZQBjAGkAZgBpAGUAZABcACIALABcACIATQBhAGcAbgBlAHMAaQB1AG0AIAAtACAAZwBlAG4AZQByAGkAYwBcACIALAAwAC4AMAAwADQALABcACIATABvAGMAYQB0AGkAbwBuACAAbgBvAHQAIABzAHAAZQBjAGkAZgBpAGUAZABcACIALABcACIAQgBvAHIAbwBuACAALQAgAGcAZQBuAGUAcgBpAGMAXAAiACwAMAAuADAAMAAwADgALABcACIATABvAGMAYQB0AGkAbwBuACAAbgBvAHQAIABzAHAAZQBjAGkAZgBpAGUAZABcACIALABcACIAWgBpAG4AYwAgAC0AIABHAGUAbgBlAHIAaQBjAFwAIgAsADAALgAwADAAMAA4ACwAXAAiAEwAbwBjAGEAdABpAG8AbgAgAG4AbwB0ACAAcwBwAGUAYwBpAGYAaQBlAGQAXAAiACwAXAAiAFwAIgAsAFwAIgBcACIALABcACIAXAAiACwAXAAiAFwAIgAsAFwAIgBcACIALABcACIAXAAiADsAXABuAFwAIgBZAGEAcgBhAFIAZQBnAGEAIAA5AC0AMAAtADMAMAAgACgAMQA0ACkAXAAiACwAXAAiAGsAZwBcACIALAAxACwAXAAiAFAAbwB0AGEAcwBzAGkAdQBtACAALQAgAEcAZQBuAGUAcgBpAGMAXAAiACwAMAAuADMALABcACIATABvAGMAYQB0AGkAbwBuACAAbgBvAHQAIABzAHAAZQBjAGkAZgBpAGUAZABcACIALABcACIAUwB1AGwAZgB1AHIAIAAtACAARwBlAG4AZQByAGkAYwBcACIALAAwAC4AMQA0ACwAXAAiAEwAbwBjAGEAdABpAG8AbgAgAG4AbwB0ACAAcwBwAGUAYwBpAGYAaQBlAGQAXAAiACwAXAAiAE4AaQB0AHIAbwBnAGUAbgAgAC0AIABBAG0AbQBvAG4AaQBhAGMAYQBsAFwAIgAsADAALgAwADQANQAsAFwAIgBMAG8AYwBhAHQAaQBvAG4AIABuAG8AdAAgAHMAcABlAGMAaQBmAGkAZQBkAFwAIgAsAFwAIgBOAGkAdAByAG8AZwBlAG4AIABmAHIAbwBtACAATgBpAHQAcgBhAHQAZQBcACIALAAwAC4AMAA0ADU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OwBcAG4AXAAiAFkAYQByAGEAVABlAHIAYQAgAEsAUgBJAFMAVABBACAASwAgAFAATABVAFMAXAAiACwAXAAiAGsAZwBcACIALAAxACwAXAAiAE4AaQB0AHIAbwBnAGUAbgAgAC0AIABHAGUAbgBlAHIAaQBjAFwAIgAsADAALgAxADMANwAsAFwAIgBMAG8AYwBhAHQAaQBvAG4AIABuAG8AdAAgAHMAcABlAGMAaQBmAGkAZQBkAFwAIgAsAFwAIgBQAG8AdABhAHMAcwBpAHUAbQAgAC0AIABHAGUAbgBlAHIAaQBjAFwAIgAsADAALgAzADgANA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WQBhAHIAYQBUAGUAcgBhACAASwBSAEkAUwBUAEEAIABNAEEAUABcACIALABcACIAawBnAFwAIgAsADEALABcACIAUABoAG8AcwBwAGgAbwByAHUAcwAgAC0AIABHAGUAbgBlAHIAaQBjAFwAIgAsADAALgAyADYANgAsAFwAIgBMAG8AYwBhAHQAaQBvAG4AIABuAG8AdAAgAHMAcABlAGMAaQBmAGkAZQBkAFwAIgAsAFwAIgBOAGkAdAByAG8AZwBlAG4AIAAtACAAQQBtAG0AbwBuAGkAYQBjAGEAbABcACIALAAwAC4AMQAy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ZAGEAcgBhAFQAZQByAGEAIABLAFIASQBTAFQAQQAgAE0ASwBQAFwAIgAsAFwAIgBrAGcAXAAiACwAMQAsAFwAIgBQAG8AdABhAHMAcwBpAHUAbQAgAC0AIABHAGUAbgBlAHIAaQBjAFwAIgAsADAALgAyADgAMgAsAFwAIgBMAG8AYwBhAHQAaQBvAG4AIABuAG8AdAAgAHMAcABlAGMAaQBmAGkAZQBkAFwAIgAsAFwAIgBQAGgAbwBzAHAAaABvAHIAdQBzACAALQAgAEcAZQBuAGUAcgBpAGMAXAAiACwAMAAuADIAMgA3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FwAbgAgACAAfQAsACAAcgAsACAAYwApAFwAbgApACkAKQA7AFwAbgBcAG4ARgBlAHIAdABpAGwAaQBzAGUAcgBfAFAAcgBvAGQAdQBjAHQAcwBfAEQAYQB0AGEANABcAG4APQBMAEEATQBCAEQAQQAoAFwAbgAgAE0AQQBLAEUAQQBSAFIAQQBZACgANQAsACAAMwA1ACwAXABuACAATABBAE0AQgBEAEEAKAByACwAYwAsAFwAbgAgACAASQBOAEQARQBYACgAewBcAG4AXAAiAFkAYQByAGEAVABlAHIAYQAgAEsAUgBJAFMAVABBAEwATwBOACAAUgBFAEQAXAAiACwAXAAiAGsAZwBcACIALAAxACwAXAAiAFAAbwB0AGEAcwBzAGkAdQBtACAALQAgAEcAZQBuAGUAcgBpAGMAXAAiACwAMAAuADIAOQA4ADgALABcACIATABvAGMAYQB0AGkAbwBuACAAbgBvAHQAIABzAHAAZQBjAGkAZgBpAGUAZABcACIALABcACIATgBpAHQAcgBvAGcAZQBuACAALQAgAEcAZQBuAGUAcgBpAGMAXAAiACwAMAAuADEAMgAsAFwAIgBMAG8AYwBhAHQAaQBvAG4AIABuAG8AdAAgAHMAcABlAGMAaQBmAGkAZQBkAFwAIgAsAFwAIgBQAGgAbwBzAHAAaABvAHIAdQBzACAALQAgAEcAZQBuAGUAcgBpAGMAXAAiACwAMAAuADAANQAyADQANAAsAFwAIgBMAG8AYwBhAHQAaQBvAG4AIABuAG8AdAAgAHMAcABlAGMAaQBmAGkAZQBkAFwAIgAsAFwAIgBTAHUAbABmAHUAcgAgAC0AIABHAGUAbgBlAHIAaQBjAFwAIgAsADAALgAwADEALABcACIATABvAGMAYQB0AGkAbwBuACAAbgBvAHQAIABzAHAAZQBjAGkAZgBpAGUAZABcACIALABcACIATQBhAGcAbgBlAHMAaQB1AG0AIAAtACAAZwBlAG4AZQByAGkAYwBcACIALAAwAC4AMAAwADYAMAAzACwAXAAiAEwAbwBjAGEAdABpAG8AbgAgAG4AbwB0ACAAcwBwAGUAYwBpAGYAaQBlAGQAXAAiACwAXAAiAEkAcgBvAG4AIAAtACAAZwBlAG4AZQByAGkAYwBcACIALAAwAC4AMAAwADAANwAsAFwAIgBMAG8AYwBhAHQAaQBvAG4AIABuAG8AdAAgAHMAcABlAGMAaQBmAGkAZQBkAFwAIgAsAFwAIgBNAGEAbgBnAGEAbgBlAHMAZQAgAC0AIABHAGUAbgBlAHIAaQBjAFwAIgAsADAALgAwADAAMAA0ACwAXAAiAEwAbwBjAGEAdABpAG8AbgAgAG4AbwB0ACAAcwBwAGUAYwBpAGYAaQBlAGQAXAAiACwAXAAiAEIAbwByAG8AbgAgAC0AIABnAGUAbgBlAHIAaQBjAFwAIgAsADAALgAwADAAMAAyADUALABcACIATABvAGMAYQB0AGkAbwBuACAAbgBvAHQAIABzAHAAZQBjAGkAZgBpAGUAZABcACIALABcACIAWgBpAG4AYwAgAC0AIABHAGUAbgBlAHIAaQBjAFwAIgAsADAALgAwADAAMAAyADUALABcACIATABvAGMAYQB0AGkAbwBuACAAbgBvAHQAIABzAHAAZQBjAGkAZgBpAGUAZABcACIALABcACIAQwBvAHAAcABlAHIAIAAtACAAZwBlAG4AZQByAGkAYwBcACIALAAwAC4AMAAwADAAMQAsAFwAIgBMAG8AYwBhAHQAaQBvAG4AIABuAG8AdAAgAHMAcABlAGMAaQBmAGkAZQBkAFwAIgA7AFwAbgBcACIAWQBhAHIAYQBUAGUAcgBhACAASwBSAEkAUwBUAEEATABPAE4AIABTAFAARQBDAEkAQQBMAFwAIgAsAFwAIgBrAGcAXAAiACwAMQAsAFwAIgBOAGkAdAByAG8AZwBlAG4AIAAtACAARwBlAG4AZQByAGkAYwBcACIALAAwAC4AMQA4ACwAXAAiAEwAbwBjAGEAdABpAG8AbgAgAG4AbwB0ACAAcwBwAGUAYwBpAGYAaQBlAGQAXAAiACwAXAAiAFAAbwB0AGEAcwBzAGkAdQBtACAALQAgAEcAZQBuAGUAcgBpAGMAXAAiACwAMAAuADEANAA5ACwAXAAiAEwAbwBjAGEAdABpAG8AbgAgAG4AbwB0ACAAcwBwAGUAYwBpAGYAaQBlAGQAXAAiACwAXAAiAFAAaABvAHMAcABoAG8AcgB1AHMAIAAtACAARwBlAG4AZQByAGkAYwBcACIALAAwAC4AMAA3ADkALABcACIATABvAGMAYQB0AGkAbwBuACAAbgBvAHQAIABzAHAAZQBjAGkAZgBpAGUAZABcACIALABcACIAUwB1AGwAZgB1AHIAIAAtACAARwBlAG4AZQByAGkAYwBcACIALAAwAC4AMAAyACwAXAAiAEwAbwBjAGEAdABpAG8AbgAgAG4AbwB0ACAAcwBwAGUAYwBpAGYAaQBlAGQAXAAiACwAXAAiAE0AYQBnAG4AZQBzAGkAdQBtACAALQAgAGcAZQBuAGUAcgBpAGMAXAAiACwAMAAuADAAMQA4ACwAXAAiAEwAbwBjAGEAdABpAG8AbgAgAG4AbwB0ACAAcwBwAGUAYwBpAGYAaQBlAGQAXAAiACwAXAAiAEkAcgBvAG4AIAAtACAAZwBlAG4AZQByAGkAYwBcACIALAAwAC4AMAAwADAANwAsAFwAIgBMAG8AYwBhAHQAaQBvAG4AIABuAG8AdAAgAHMAcABlAGMAaQBmAGkAZQBkAFwAIgAsAFwAIgBNAGEAbgBnAGEAbgBlAHMAZQAgAC0AIABHAGUAbgBlAHIAaQBjAFwAIgAsADAALgAwADAAMAA0ACwAXAAiAEwAbwBjAGEAdABpAG8AbgAgAG4AbwB0ACAAcwBwAGUAYwBpAGYAaQBlAGQAXAAiACwAXAAiAEIAbwByAG8AbgAgAC0AIABnAGUAbgBlAHIAaQBjAFwAIgAsADAALgAwADAAMAAyADUALABcACIATABvAGMAYQB0AGkAbwBuACAAbgBvAHQAIABzAHAAZQBjAGkAZgBpAGUAZABcACIALABcACIAWgBpAG4AYwAgAC0AIABHAGUAbgBlAHIAaQBjAFwAIgAsADAALgAwADAAMAAyADUALABcACIATABvAGMAYQB0AGkAbwBuACAAbgBvAHQAIABzAHAAZQBjAGkAZgBpAGUAZABcACIALABcACIAQwBvAHAAcABlAHIAIAAtACAAZwBlAG4AZQByAGkAYwBcACIALAAwAC4AMAAwADAAMQAsAFwAIgBMAG8AYwBhAHQAaQBvAG4AIABuAG8AdAAgAHMAcABlAGMAaQBmAGkAZQBkAFwAIgA7AFwAbgBcACIAWQBhAHIAYQBWAGkAdABhACAARwBsAHkAdAByAGUAbAAgAFoAbgBQAFwAIgAsAFwAIgBMAFwAIgAsADEALgAzADUANAAsAFwAIgBaAGkAbgBjACAALQAgAEcAZQBuAGUAcgBpAGMAXAAiACwAMAAuADEALABcACIATABvAGMAYQB0AGkAbwBuACAAbgBvAHQAIABzAHAAZQBjAGkAZgBpAGUAZABcACIALABcACIAUABoAG8AcwBwAGgAbwByAHUAcwAgAC0AIABHAGUAbgBlAHIAaQBjAFwAIgAsADAALgAwADQANA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WQBhAHIAYQBWAGkAdABhACAAWgBpAG4AdAByAGEAYwBcACIALABcACIATABcACIALAAxAC4ANwAzADQALABcACIAWgBpAG4AYwAgAC0AIABHAGUAbgBlAHIAaQBjAFwAIgAsADAALgA3ACwAXAAiAEwAbwBjAGEAdABpAG8AbgAgAG4AbwB0ACAAcwBwAGUAYwBpAGYAaQBlAGQAXAAiACwAXAAiAE4AaQB0AHIAbwBnAGUAbgAgAC0AIABHAGUAbgBlAHIAaQBjAFwAIgAsADAALgAwADEAOA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WgBpAG4AYwBTAHQAYQByAFwAIgAsAFwAIgBrAGcAXAAiACwAMQAsAFwAIgBOAGkAdAByAG8AZwBlAG4AIAAtACAAQQBtAG0AbwBuAGkAYQBjAGEAbABcACIALAAwAC4AMQAsAFwAIgBMAG8AYwBhAHQAaQBvAG4AIABuAG8AdAAgAHMAcABlAGMAaQBmAGkAZQBkAFwAIgAsAFwAIgBQAGgAbwBzAHAAaABvAHIAdQBzACAALQAgAEcAZQBuAGUAcgBpAGMAXAAiACwAMAAuADIAMgAsAFwAIgBMAG8AYwBhAHQAaQBvAG4AIABuAG8AdAAgAHMAcABlAGMAaQBmAGkAZQBkAFwAIgAsAFwAIgBTAHUAbABmAHUAcgAgAC0AIABHAGUAbgBlAHIAaQBjAFwAIgAsADAALgAwADIALABcACIATABvAGMAYQB0AGkAbwBuACAAbgBvAHQAIABzAHAAZQBjAGkAZgBpAGUAZABcACIALABcACIAWgBpAG4AYwAgAC0AIABHAGUAbgBlAHIAaQBjAFwAIgAsADAALgAwADE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XABuACAAIAB9ACwAIAByACwAIABjACkAXABuACkAKQApADsAXABuACoALwBcAG4AXABuAFwAbgBcAG4AIgB9ACwAewAiAHAAYQB0AGgAIgA6ACIALwBwAHIAbwBqAGUAYwB0AHMALwBGAGUAcgB0AGkAbABpAHMAZQByAF8ASQBuAHAAdQB0AEYAdQBuAGMAdABpAG8AbgBzACIALAAiAHQAZQB4AHQAIgA6ACIARgBlAHIAdABpAGwAaQBzAGUAcgBfAEYAZQByAHQAaQBsAGkAcwBlAHIAUAByAG8AZAB1AGMAdABMAG8AbwBrAHUAcABcAG4APQBMAEEATQBCAEQAQQAoAFwAbgAgACAAUAByAG8AZAB1AGMAdAAsAFwAbgAgACAAUAByAG8AZAB1AGMAdABBAHQAdAByAGkAYgB1AHQAZQAsAFwAbgAgACAAUAByAG8AZAB1AGMAdABBAHIAcgBhAHkALABcAG4AIAAgAFAAcgBvAGQAdQBjAHQAQQByAHIAYQB5AEMAbwBsAHUAbQBuACwAXABuACAAIABQAHIAbwBkAHUAYwB0AEEAcgByAGEAeQBIAGUAYQBkAGUAcgBzACwAXABuACAAIABJAEYARQBSAFIATwBSACgAXABuACAAIAAgACAASQBOAEQARQBYACgAXABuACAAIAAgACAAIAAgAFAAcgBvAGQAdQBjAHQAQQByAHIAYQB5ACwAXABuACAAIAAgACAAIAAgAFgATQBBAFQAQwBIACgAXABuACAAIAAgACAAIAAgACAAIABUAFIASQBNACgAXABuACAAIAAgACAAIAAgACAAIAAgACAAUAByAG8AZAB1AGMAdABcAG4AIAAgACAAIAAgACAAIAAgACkALABcAG4AIAAgACAAIAAgACAAIAAgAFAAcgBvAGQAdQBjAHQAQQByAHIAYQB5AEMAbwBsAHUAbQBuACwAXABuACAAIAAgACAAIAAgACAAIAAwAFwAbgAgACAAIAAgACAAIAApACwAXABuACAAIAAgACAAIAAgAFgATQBBAFQAQwBIACgAXABuACAAIAAgACAAIAAgACAAIABUAFIASQBNACgAXABuACAAIAAgACAAIAAgACAAIAAgACAAUAByAG8AZAB1AGMAdABBAHQAdAByAGkAYgB1AHQAZQBcAG4AIAAgACAAIAAgACAAIAAgACkALABcAG4AIAAgACAAIAAgACAAIAAgAFAAcgBvAGQAdQBjAHQAQQByAHIAYQB5AEgAZQBhAGQAZQByAHMALABcAG4AIAAgACAAIAAgACAAIAAgADAAXABuACAAIAAgACAAIAAgACkAXABuACAAIAAgACAAKQAsAFwAbgAgACAAIAAgAFwAIgBcACIAXABuACAAIAApAFwAbgApADsAXABuAFwAbgBGAGUAcgB0AGkAbABpAHMAZQByAF8AUwB1AG0AUAByAG8AZAB1AGMAdABBAHAAcABsAGkAZQBkAFwAbgA9AEwAQQBNAEIARABBACgAXABuACAAIABMAG8AbwBrAHUAcABUAGEAcgBnAGUAdAAxACwAXABuACAAIABMAG8AbwBrAHUAcABBAHIAcgBhAHkAMQAsAFwAbgAgACAAQQBtAG8AdQBuAHQAQQBwAHAAbABpAGUAZAAsAFwAbgAgACAAWwBMAG8AbwBrAHUAcABUAGEAcgBnAGUAdAAyAF0ALABcAG4AIAAgAFsATABvAG8AawB1AHAAQQByAHIAYQB5ADIAXQAsAFwAbgAgACAATABFAFQAKABcAG4AIAAgACAAIABjAHIAaQB0AGUAcgBpAGEAMQAsAFwAbgAgACAAIAAgAC0ALQAoAFwAbgAgACAAIAAgACAAIABMAG8AbwBrAHUAcABBAHIAcgBhAHkAMQAgAD0AIABMAG8AbwBrAHUAcABUAGEAcgBnAGUAdAAxAFwAbgAgACAAIAAgACkALABcAG4AIAAgACAAIABjAHIAaQB0AGUAcgBpAGEAMgAsAFwAbgAgACAAIAAgAEkARgAoAFwAbgAgACAAIAAgACAAIABJAFMATwBNAEkAVABUAEUARAAoAFwAbgAgACAAIAAgACAAIAAgACAATABvAG8AawB1AHAAVABhAHIAZwBlAHQAMgBcAG4AIAAgACAAIAAgACAAKQAsAFwAbgAgACAAIAAgACAAIAAxACwAXABuACAAIAAgACAAIAAgAC0ALQAoAFwAbgAgACAAIAAgACAAIAAgACAATABvAG8AawB1AHAAQQByAHIAYQB5ADIAIAA9ACAATABvAG8AawB1AHAAVABhAHIAZwBlAHQAMgBcAG4AIAAgACAAIAAgACAAKQBcAG4AIAAgACAAIAApACwAXABuACAAIAAgACAAUwBVAE0AUABSAE8ARABVAEMAVAAoAFwAbgAgACAAIAAgACAAIABjAHIAaQB0AGUAcgBpAGEAMQAgACoAIABjAHIAaQB0AGUAcgBpAGEAMgAgACoAIABBAG0AbwB1AG4AdABBAHAAcABsAGkAZQBkAFwAbgAgACAAIAAgACkAXABuACAAIAApAFwAbgApADsAXABuAFwAbgBGAGUAcgB0AGkAbABpAHMAZQByAF8AVABvAHQAYQBsAFMAbwBpAGwAQQBtAGUAbgBkAG0AZQBuAHQAQQBwAHAAbABpAGUAZABcAG4APQBMAEEATQBCAEQAQQAoAFwAbgAgACAAQQBtAG8AdQBuAHQAQQBwAHAAbABpAGUAZAAsAFwAbgAgACAAQQBtAGUAbgBkAG0AZQBuAHQAUABlAHIAYwBlAG4AdAAsAFwAbgAgACAAUwBVAE0AUABSAE8ARABVAEMAVAAoAFwAbgAgACAAIAAgAEEAbQBvAHUAbgB0AEEAcABwAGwAaQBlAGQAIAAqACAAQQBtAGUAbgBkAG0AZQBuAHQAUABlAHIAYwBlAG4AdABcAG4AIAAgACkAXABuACkAOwBcAG4AXABuAEYAZQByAHQAaQBsAGkAcwBlAHIAXwBUAG8AdABhAGwAQwBoAGUAbQBpAGMAYQBsAEMAbwBtAHAAbwB1AG4AZABBAHAAcABsAGkAZQBkAEEAbABsAEkAbgBnAHIAZQBkAGkAZQBuAHQAcwBcAG4APQBMAEEATQBCAEQAQQAoAFwAbgAgACAAQwBoAGUAbQBpAGMAYQBsAEMAbwBtAHAAbwB1AG4AZAAsAFwAbgAgACAAQQBtAG8AdQBuAHQAQQBwAHAAbABpAGUAZAAsAFwAbgAgACAAUAByAG8AZAB1AGMAdABJAG4AZwByAGUAZABpAGUAbgB0ADEALABcAG4AIAAgAFAAcgBvAGQAdQBjAHQASQBuAGcAcgBlAGQAaQBlAG4AdABQAGUAcgBjAGUAbgB0ADEALABcAG4AIAAgAFsAUAByAG8AZAB1AGMAdABJAG4AZwByAGUAZABpAGUAbgB0ADIAXQAsAFwAbgAgACAAWwBQAHIAbwBkAHUAYwB0AEkAbgBnAHIAZQBkAGkAZQBuAHQAUABlAHIAYwBlAG4AdAAyAF0ALABcAG4AIAAgAFsAUAByAG8AZAB1AGMAdABJAG4AZwByAGUAZABpAGUAbgB0ADMAXQAsAFwAbgAgACAAWwBQAHIAbwBkAHUAYwB0AEkAbgBnAHIAZQBkAGkAZQBuAHQAUABlAHIAYwBlAG4AdAAzAF0ALABcAG4AIAAgAFsAUAByAG8AZAB1AGMAdABJAG4AZwByAGUAZABpAGUAbgB0ADQAXQAsAFwAbgAgACAAWwBQAHIAbwBkAHUAYwB0AEkAbgBnAHIAZQBkAGkAZQBuAHQAUABlAHIAYwBlAG4AdAA0AF0ALABcAG4AIAAgAFsAUAByAG8AZAB1AGMAdABJAG4AZwByAGUAZABpAGUAbgB0ADUAXQAsAFwAbgAgACAAWwBQAHIAbwBkAHUAYwB0AEkAbgBnAHIAZQBkAGkAZQBuAHQAUABlAHIAYwBlAG4AdAA1AF0ALABcAG4AIAAgAFsAUAByAG8AZAB1AGMAdABJAG4AZwByAGUAZABpAGUAbgB0ADYAXQAsAFwAbgAgACAAWwBQAHIAbwBkAHUAYwB0AEkAbgBnAHIAZQBkAGkAZQBuAHQAUABlAHIAYwBlAG4AdAA2AF0ALABcAG4AIAAgAEwARQBUACgAXABuACAAIAAgACAAYwBhAGwAYwB1AGwAYQB0AGUAZABBAG0AbwB1AG4AdAAxACwAXABuACAAIAAgACAAKABcAG4AIAAgACAAIAAgACAAQQBtAG8AdQBuAHQAQQBwAHAAbABpAGUAZAAgACoAIABQAHIAbwBkAHUAYwB0AEkAbgBnAHIAZQBkAGkAZQBuAHQAUABlAHIAYwBlAG4AdAAxAFwAbgAgACAAIAAgACkALABcAG4AIAAgACAAIABjAGEAbABjAHUAbABhAHQAZQBkAEEAbQBvAHUAbgB0ADIALABcAG4AIAAgACAAIAAoAFwAbgAgACAAIAAgACAAIABBAG0AbwB1AG4AdABBAHAAcABsAGkAZQBkACAAKgAgAFAAcgBvAGQAdQBjAHQASQBuAGcAcgBlAGQAaQBlAG4AdABQAGUAcgBjAGUAbgB0ADIAXABuACAAIAAgACAAKQAsAFwAbgAgACAAIAAgAGMAYQBsAGMAdQBsAGEAdABlAGQAQQBtAG8AdQBuAHQAMwAsAFwAbgAgACAAIAAgACgAXABuACAAIAAgACAAIAAgAEEAbQBvAHUAbgB0AEEAcABwAGwAaQBlAGQAIAAqACAAUAByAG8AZAB1AGMAdABJAG4AZwByAGUAZABpAGUAbgB0AFAAZQByAGMAZQBuAHQAMwBcAG4AIAAgACAAIAApACwAXABuACAAIAAgACAAYwBhAGwAYwB1AGwAYQB0AGUAZABBAG0AbwB1AG4AdAA0ACwAXABuACAAIAAgACAAKABcAG4AIAAgACAAIAAgACAAQQBtAG8AdQBuAHQAQQBwAHAAbABpAGUAZAAgACoAIABQAHIAbwBkAHUAYwB0AEkAbgBnAHIAZQBkAGkAZQBuAHQAUABlAHIAYwBlAG4AdAA0AFwAbgAgACAAIAAgACkALABcAG4AIAAgACAAIABjAGEAbABjAHUAbABhAHQAZQBkAEEAbQBvAHUAbgB0ADUALABcAG4AIAAgACAAIAAoAFwAbgAgACAAIAAgACAAIABBAG0AbwB1AG4AdABBAHAAcABsAGkAZQBkACAAKgAgAFAAcgBvAGQAdQBjAHQASQBuAGcAcgBlAGQAaQBlAG4AdABQAGUAcgBjAGUAbgB0ADUAXABuACAAIAAgACAAKQAsAFwAbgAgACAAIAAgAGMAYQBsAGMAdQBsAGEAdABlAGQAQQBtAG8AdQBuAHQANgAsAFwAbgAgACAAIAAgACgAXABuACAAIAAgACAAIAAgAEEAbQBvAHUAbgB0AEEAcABwAGwAaQBlAGQAIAAqACAAUAByAG8AZAB1AGMAdABJAG4AZwByAGUAZABpAGUAbgB0AFAAZQByAGMAZQBuAHQANgBcAG4AIAAgACAAIAApACwAXABuACAAIAAgACAARgBlAHIAdABpAGwAaQBzAGUAcgBfAFMAdQBtAFAAcgBvAGQAdQBjAHQAQQBwAHAAbABpAGUAZAAoAFwAbgAgACAAIAAgACAAIABDAGgAZQBtAGkAYwBhAGwAQwBvAG0AcABvAHUAbgBkACwAXABuACAAIAAgACAAIAAgAFAAcgBvAGQAdQBjAHQASQBuAGcAcgBlAGQAaQBlAG4AdAAxACwAXABuACAAIAAgACAAIAAgAGMAYQBsAGMAdQBsAGEAdABlAGQAQQBtAG8AdQBuAHQAMQ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IALABcAG4AIAAgACAAIAAgACAAIAAgAGMAYQBsAGMAdQBsAGEAdABlAGQAQQBtAG8AdQBuAHQAMg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wAsAFwAbgAgACAAIAAgACAAIAAgACAAYwBhAGwAYwB1AGwAYQB0AGUAZABBAG0AbwB1AG4AdAAz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0ACwAXABuACAAIAAgACAAIAAgACAAIABjAGEAbABjAHUAbABhAHQAZQBkAEEAbQBvAHUAbgB0ADQ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UALABcAG4AIAAgACAAIAAgACAAIAAgAGMAYQBsAGMAdQBsAGEAdABlAGQAQQBtAG8AdQBuAHQAN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gAsAFwAbgAgACAAIAAgACAAIAAgACAAYwBhAGwAYwB1AGwAYQB0AGUAZABBAG0AbwB1AG4AdAA2AFwAbgAgACAAIAAgACAAIAApACwAXABuACAAIAAgACAAIAAgADAAXABuACAAIAAgACAAKQBcAG4AIAAgACkAXABuACkAOwBcAG4AXABuAEYAZQByAHQAaQBsAGkAcwBlAHIAXwBUAG8AdABhAGwAQwBoAGUAbQBpAGMAYQBsAEMAbwBtAHAAbwB1AG4AZAB0AEEAcABwAGwAaQBlAGQAQgB5AFMAbwB1AHIAYwBlAEEAbABsAEkAbgBnAHIAZQBkAGkAZQBuAHQAcwBcAG4APQBMAEEATQBCAEQAQQAoAFwAbgAgACAAQwBoAGUAbQBpAGMAYQBsAEMAbwBtAHAAbwB1AG4AZAAsAFwAbgAgACAAUwBvAHUAcgBjAGUALABcAG4AIAAgAEEAbQBvAHUAbgB0AEEAcABwAGwAaQBlAGQALABcAG4AIAAgAFAAcgBvAGQAdQBjAHQASQBuAGcAcgBlAGQAaQBlAG4AdAAxACwAXABuACAAIABQAHIAbwBkAHUAYwB0AEkAbgBnAHIAZQBkAGkAZQBuAHQAUABlAHIAYwBlAG4AdAAxACwAXABuACAAIABbAFAAcgBvAGQAdQBjAHQASQBuAGcAcgBlAGQAaQBlAG4AdABTAG8AdQByAGMAZQBdACwAXABuACAAIABbAFAAcgBvAGQAdQBjAHQASQBuAGcAcgBlAGQAaQBlAG4AdAAyAF0ALABcAG4AIAAgAFsAUAByAG8AZAB1AGMAdABJAG4AZwByAGUAZABpAGUAbgB0AFAAZQByAGMAZQBuAHQAMgBdACwAXABuACAAIABbAFAAcgBvAGQAdQBjAHQASQBuAGcAcgBlAGQAaQBlAG4AdAAzAF0ALABcAG4AIAAgAFsAUAByAG8AZAB1AGMAdABJAG4AZwByAGUAZABpAGUAbgB0AFAAZQByAGMAZQBuAHQAMwBdACwAXABuACAAIABbAFAAcgBvAGQAdQBjAHQASQBuAGcAcgBlAGQAaQBlAG4AdAA0AF0ALABcAG4AIAAgAFsAUAByAG8AZAB1AGMAdABJAG4AZwByAGUAZABpAGUAbgB0AFAAZQByAGMAZQBuAHQANABdACwAXABuACAAIABbAFAAcgBvAGQAdQBjAHQASQBuAGcAcgBlAGQAaQBlAG4AdAA1AF0ALABcAG4AIAAgAFsAUAByAG8AZAB1AGMAdABJAG4AZwByAGUAZABpAGUAbgB0AFAAZQByAGMAZQBuAHQANQBdACwAXABuACAAIABbAFAAcgBvAGQAdQBjAHQASQBuAGcAcgBlAGQAaQBlAG4AdAA2AF0ALABcAG4AIAAgAFsAUAByAG8AZAB1AGMAdABJAG4AZwByAGUAZABpAGUAbgB0AFAAZQByAGMAZQBuAHQANgBdACwAXABuACAAIABMAEUAVAAoAFwAbgAgACAAIAAgAGMAYQBsAGMAdQBsAGEAdABlAGQAQQBtAG8AdQBuAHQAMQAsAFwAbgAgACAAIAAgACgAXABuACAAIAAgACAAIAAgAEEAbQBvAHUAbgB0AEEAcABwAGwAaQBlAGQAIAAqACAAUAByAG8AZAB1AGMAdABJAG4AZwByAGUAZABpAGUAbgB0AFAAZQByAGMAZQBuAHQAMQBcAG4AIAAgACAAIAApACwAXABuACAAIAAgACAAYwBhAGwAYwB1AGwAYQB0AGUAZABBAG0AbwB1AG4AdAAyACwAXABuACAAIAAgACAAKABcAG4AIAAgACAAIAAgACAAQQBtAG8AdQBuAHQAQQBwAHAAbABpAGUAZAAgACoAIABQAHIAbwBkAHUAYwB0AEkAbgBnAHIAZQBkAGkAZQBuAHQAUABlAHIAYwBlAG4AdAAyAFwAbgAgACAAIAAgACkALABcAG4AIAAgACAAIABjAGEAbABjAHUAbABhAHQAZQBkAEEAbQBvAHUAbgB0ADMALABcAG4AIAAgACAAIAAoAFwAbgAgACAAIAAgACAAIABBAG0AbwB1AG4AdABBAHAAcABsAGkAZQBkACAAKgAgAFAAcgBvAGQAdQBjAHQASQBuAGcAcgBlAGQAaQBlAG4AdABQAGUAcgBjAGUAbgB0ADMAXABuACAAIAAgACAAKQAsAFwAbgAgACAAIAAgAGMAYQBsAGMAdQBsAGEAdABlAGQAQQBtAG8AdQBuAHQANAAsAFwAbgAgACAAIAAgACgAXABuACAAIAAgACAAIAAgAEEAbQBvAHUAbgB0AEEAcABwAGwAaQBlAGQAIAAqACAAUAByAG8AZAB1AGMAdABJAG4AZwByAGUAZABpAGUAbgB0AFAAZQByAGMAZQBuAHQANABcAG4AIAAgACAAIAApACwAXABuACAAIAAgACAAYwBhAGwAYwB1AGwAYQB0AGUAZABBAG0AbwB1AG4AdAA1ACwAXABuACAAIAAgACAAKABcAG4AIAAgACAAIAAgACAAQQBtAG8AdQBuAHQAQQBwAHAAbABpAGUAZAAgACoAIABQAHIAbwBkAHUAYwB0AEkAbgBnAHIAZQBkAGkAZQBuAHQAUABlAHIAYwBlAG4AdAA1AFwAbgAgACAAIAAgACkALABcAG4AIAAgACAAIABjAGEAbABjAHUAbABhAHQAZQBkAEEAbQBvAHUAbgB0ADYALABcAG4AIAAgACAAIAAoAFwAbgAgACAAIAAgACAAIABBAG0AbwB1AG4AdABBAHAAcABsAGkAZQBkACAAKgAgAFAAcgBvAGQAdQBjAHQASQBuAGcAcgBlAGQAaQBlAG4AdABQAGUAcgBjAGUAbgB0ADYAXABuACAAIAAgACAAKQAsAFwAbgAgACAAIAAgAFAAcgBvAGQAdQBjAHQASQBuAGcAcgBlAGQAaQBlAG4AdABTAG8AdQByAGMAZQAsAFwAbgAgACAAIAAgAEkARgAoAFwAbgAgACAAIAAgACAAIABQAHIAbwBkAHUAYwB0AEkAbgBnAHIAZQBkAGkAZQBuAHQAUwBvAHUAcgBjAGUAIAA9ACAAXAAiAFwAIgAsAFwAbgAgACAAIAAgACAAIABcACIARwBsAG8AYgBhAGwAXAAiACwAXABuACAAIAAgACAAIAAgAFAAcgBvAGQAdQBjAHQASQBuAGcAcgBlAGQAaQBlAG4AdABTAG8AdQByAGMAZQBcAG4AIAAgACAAIAApACwAXABuACAAIAAgACAARgBlAHIAdABpAGwAaQBzAGUAcgBfAFMAdQBtAFAAcgBvAGQAdQBjAHQAQQBwAHAAbABpAGUAZAAoAFwAbgAgACAAIAAgACAAIABDAGgAZQBtAGkAYwBhAGwAQwBvAG0AcABvAHUAbgBkACwAXABuACAAIAAgACAAIAAgAFAAcgBvAGQAdQBjAHQASQBuAGcAcgBlAGQAaQBlAG4AdAAxACwAXABuACAAIAAgACAAIAAgAGMAYQBsAGMAdQBsAGEAdABlAGQAQQBtAG8AdQBuAHQAMQAsAFwAbgAgACAAIAAgACAAIABTAG8AdQByAGMAZQAsAFwAbgAgACAAIAAgACAAIABQAHIAbwBkAHUAYwB0AEkAbgBnAHIAZQBkAGkAZQBuAHQAUwBvAHUAcgBjAGU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yACwAXABuACAAIAAgACAAIAAgACAAIABjAGEAbABjAHUAbABhAHQAZQBkAEEAbQBvAHUAbgB0ADIALABcAG4AIAAgACAAIAAgACAAIAAgAFMAbwB1AHIAYwBlACwAXABuACAAIAAgACAAIAAgACAAIABQAHIAbwBkAHUAYwB0AEkAbgBnAHIAZQBkAGkAZQBuAHQAUwBvAHUAcgBjAG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MALABcAG4AIAAgACAAIAAgACAAIAAgAGMAYQBsAGMAdQBsAGEAdABlAGQAQQBtAG8AdQBuAHQAMw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AAsAFwAbgAgACAAIAAgACAAIAAgACAAYwBhAGwAYwB1AGwAYQB0AGUAZABBAG0AbwB1AG4AdAA0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1ACwAXABuACAAIAAgACAAIAAgACAAIABjAGEAbABjAHUAbABhAHQAZQBkAEEAbQBvAHUAbgB0ADUALABcAG4AIAAgACAAIAAgACAAIAAgAFMAbwB1AHIAYwBlACwAXABuACAAIAAgACAAIAAgACAAIABQAHIAbwBkAHUAYwB0AEkAbgBnAHIAZQBkAGkAZQBuAHQAUwBvAHUAcgBjAG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YALABcAG4AIAAgACAAIAAgACAAIAAgAGMAYQBsAGMAdQBsAGEAdABlAGQAQQBtAG8AdQBuAHQANgAsAFwAbgAgACAAIAAgACAAIAAgACAAUwBvAHUAcgBjAGUALABcAG4AIAAgACAAIAAgACAAIAAgAFAAcgBvAGQAdQBjAHQASQBuAGcAcgBlAGQAaQBlAG4AdABTAG8AdQByAGMAZQBcAG4AIAAgACAAIAAgACAAKQAsAFwAbgAgACAAIAAgACAAIAAwAFwAbgAgACAAIAAgACkAXABuACAAIAApAFwAbgApADsAXABuAFwAbgBGAGUAcgB0AGkAbABpAHMAZQByAF8ARwBlAHQAUwBjAG8AcABlADMARQBGAFwAbgA9AEwAQQBNAEIARABBACgAXABuACAAIABDAGgAZQBtAGkAYwBhAGwAQwBvAG0AcABvAHUAbgBkACwAXABuACAAIABTAGMAbwBwAGUAMwBBAHIAcgBhAHkALABcAG4AIAAgAEMAaABlAG0AaQBjAGEAbABDAG8AbQBwAG8AdQBuAGQAQwBvAGwAdQBtAG4ALABcAG4AIAAgAFMAbwB1AHIAYwBlACwAXABuACAAIABTAG8AdQByAGMAZQBSAG8AdwAsAFwAbgAgACAASQBOAEQARQBYACgAXABuACAAIAAgACAAUwBjAG8AcABlADMAQQByAHIAYQB5ACwAXABuACAAIAAgACAATQBBAFQAQwBIACgAXABuACAAIAAgACAAIAAgAEMAaABlAG0AaQBjAGEAbABDAG8AbQBwAG8AdQBuAGQALABcAG4AIAAgACAAIAAgACAAQwBoAGUAbQBpAGMAYQBsAEMAbwBtAHAAbwB1AG4AZABDAG8AbAB1AG0AbgAsAFwAbgAgACAAIAAgACAAIAAwAFwAbgAgACAAIAAgACkALABcAG4AIAAgACAAIABNAEEAVABDAEgAKABcAG4AIAAgACAAIAAgACAAUwBvAHUAcgBjAGUALABcAG4AIAAgACAAIAAgACAAUwBvAHUAcgBjAGUAUgBvAHcALABcAG4AIAAgACAAIAAgACAAMABcAG4AIAAgACAAIAApAFwAbgAgACAAKQBcAG4AKQA7AFwAbgBcAG4ARgBlAHIAdABpAGwAaQBzAGUAcgBfAEcAZQB0AEMAaABlAG0AaQBjAGEAbABDAG8AbQBwAG8AdQBuAGQARQBsAGUAbQBlAG4AdABGAHIAYQBjAHQAaQBvAG4AXABuAD0ATABBAE0AQgBEAEEAKABcAG4AIAAgAEMAaABlAG0AaQBjAGEAbABDAG8AbQBwAG8AdQBuAGQALABcAG4AIAAgAEUAbABlAG0AZQBuAHQALABcAG4AIAAgAEMAaABlAG0AaQBjAGEAbABDAG8AbQBwAG8AdQBuAGQAQQByAHIAYQB5ACwAXABuACAAIABDAGgAZQBtAGkAYwBhAGwAQwBvAG0AcABvAHUAbgBkAEMAbwBsAHUAbQBuACwAXABuACAAIABFAGwAZQBtAGUAbgB0AFIAbwB3ACwAXABuACAAIABJAE4ARABFAFgAKABcAG4AIAAgACAAIABDAGgAZQBtAGkAYwBhAGwAQwBvAG0AcABvAHUAbgBkAEEAcgByAGEAeQAsAFwAbgAgACAAIAAgAE0AQQBUAEMASAAoAFwAbgAgACAAIAAgACAAIABDAGgAZQBtAGkAYwBhAGwAQwBvAG0AcABvAHUAbgBkACwAXABuACAAIAAgACAAIAAgAEMAaABlAG0AaQBjAGEAbABDAG8AbQBwAG8AdQBuAGQAQwBvAGwAdQBtAG4ALABcAG4AIAAgACAAIAAgACAAMABcAG4AIAAgACAAIAApACwAXABuACAAIAAgACAATQBBAFQAQwBIACgAXABuACAAIAAgACAAIAAgAEUAbABlAG0AZQBuAHQALABcAG4AIAAgACAAIAAgACAARQBsAGUAbQBlAG4AdABSAG8AdwAsAFwAbgAgACAAIAAgACAAIAAwAFwAbgAgACAAIAAgACkAXABuACAAIAApAFwAbgApADsAXABuAFwAbgBGAGUAcgB0AGkAbABpAHMAZQByAF8AVABvAHQAYQBsAEEAYwB0AGkAdgBlAEkAbgBnAHIAZQBkAGkAZQBuAHQAQQBwAHAAbABpAGUAZABBAGwAbABJAG4AZwByAGUAZABpAGUAbgB0AHMAXABuAD0ATABBAE0AQgBEAEEAKABcAG4AIAAgAEMAaABlAG0AaQBjAGEAbABDAG8AbQBwAG8AdQBuAGQALABcAG4AIAAgAEEAbQBvAHUAbgB0AEEAcABwAGwAaQBlAGQALABcAG4AIAAgAFAAcgBvAGQAdQBjAHQASQBuAGcAcgBlAGQAaQBlAG4AdAAxACwAXABuACAAIABQAHIAbwBkAHUAYwB0AEkAbgBnAHIAZQBkAGkAZQBuAHQAVQBuAGkAdAAxACwAXABuACAAIABQAHIAbwBkAHUAYwB0AEkAbgBnAHIAZQBkAGkAZQBuAHQAUABlAHIAYwBlAG4AdAAxACwAXABuACAAIABbAFAAcgBvAGQAdQBjAHQASQBuAGcAcgBlAGQAaQBlAG4AdAAyAF0ALABcAG4AIAAgAFsAUAByAG8AZAB1AGMAdABJAG4AZwByAGUAZABpAGUAbgB0AFUAbgBpAHQAMgBdACwAXABuACAAIABbAFAAcgBvAGQAdQBjAHQASQBuAGcAcgBlAGQAaQBlAG4AdABQAGUAcgBjAGUAbgB0ADIAXQAsAFwAbgAgACAAWwBQAHIAbwBkAHUAYwB0AEkAbgBnAHIAZQBkAGkAZQBuAHQAMwBdACwAXABuACAAIABbAFAAcgBvAGQAdQBjAHQASQBuAGcAcgBlAGQAaQBlAG4AdABVAG4AaQB0ADMAXQAsAFwAbgAgACAAWwBQAHIAbwBkAHUAYwB0AEkAbgBnAHIAZQBkAGkAZQBuAHQAUABlAHIAYwBlAG4AdAAzAF0ALABcAG4AIAAgAEwARQBUACgAXABuACAAIAAgACAAYwBhAGwAYwB1AGwAYQB0AGUAZABBAG0AbwB1AG4AdAAxACwAXABuACAAIAAgACAAKABcAG4AIAAgACAAIAAgACAASQBGACgAXABuACAAIAAgACAAIAAgACAAIABQAHIAbwBkAHUAYwB0AEkAbgBnAHIAZQBkAGkAZQBuAHQAVQBuAGkAdAAxACAAPQAgAFwAIgBQAGUAcgBjAGUAbgB0ACAAbwBmACAAcAByAG8AZAB1AGMAdABcACIALABcAG4AIAAgACAAIAAgACAAIAAgAEEAbQBvAHUAbgB0AEEAcABwAGwAaQBlAGQAIAAqACAAUAByAG8AZAB1AGMAdABJAG4AZwByAGUAZABpAGUAbgB0AFAAZQByAGMAZQBuAHQAMQAsAFwAbgAgACAAIAAgACAAIAAgACAAQQBtAG8AdQBuAHQAQQBwAHAAbABpAGUAZAAgACoAKABcAG4AIAAgACAAIAAgACAAIAAgACAAIABQAHIAbwBkAHUAYwB0AEkAbgBnAHIAZQBkAGkAZQBuAHQAUABlAHIAYwBlAG4AdAAxACAAKgAgADEAMAAgAF4AIAAtACAAMwBcAG4AIAAgACAAIAAgACAAIAAgACkAXABuACAAIAAgACAAIAAgACkAXABuACAAIAAgACAAKQAsAFwAbgAgACAAIAAgAGMAYQBsAGMAdQBsAGEAdABlAGQAQQBtAG8AdQBuAHQAMgAsAFwAbgAgACAAIAAgACgAXABuACAAIAAgACAAIAAgAEkARgAoAFwAbgAgACAAIAAgACAAIAAgACAAUAByAG8AZAB1AGMAdABJAG4AZwByAGUAZABpAGUAbgB0AFUAbgBpAHQAMQAgAD0AIABcACIAUABlAHIAYwBlAG4AdAAgAG8AZgAgAHAAcgBvAGQAdQBjAHQAXAAiACwAXABuACAAIAAgACAAIAAgACAAIABBAG0AbwB1AG4AdABBAHAAcABsAGkAZQBkACAAKgAgAFAAcgBvAGQAdQBjAHQASQBuAGcAcgBlAGQAaQBlAG4AdABQAGUAcgBjAGUAbgB0ADIALABcAG4AIAAgACAAIAAgACAAIAAgAEEAbQBvAHUAbgB0AEEAcABwAGwAaQBlAGQAIAAqACgAXABuACAAIAAgACAAIAAgACAAIAAgACAAUAByAG8AZAB1AGMAdABJAG4AZwByAGUAZABpAGUAbgB0AFAAZQByAGMAZQBuAHQAMgAgACoAIAAxADAAIABeACAALQAgADMAXABuACAAIAAgACAAIAAgACAAIAApAFwAbgAgACAAIAAgACAAIAApAFwAbgAgACAAIAAgACkALABcAG4AIAAgACAAIABjAGEAbABjAHUAbABhAHQAZQBkAEEAbQBvAHUAbgB0ADMALABcAG4AIAAgACAAIAAoAFwAbgAgACAAIAAgACAAIABJAEYAKABcAG4AIAAgACAAIAAgACAAIAAgAFAAcgBvAGQAdQBjAHQASQBuAGcAcgBlAGQAaQBlAG4AdABVAG4AaQB0ADEAIAA9ACAAXAAiAFAAZQByAGMAZQBuAHQAIABvAGYAIABwAHIAbwBkAHUAYwB0AFwAIgAsAFwAbgAgACAAIAAgACAAIAAgACAAQQBtAG8AdQBuAHQAQQBwAHAAbABpAGUAZAAgACoAIABQAHIAbwBkAHUAYwB0AEkAbgBnAHIAZQBkAGkAZQBuAHQAUABlAHIAYwBlAG4AdAAzACwAXABuACAAIAAgACAAIAAgACAAIABBAG0AbwB1AG4AdABBAHAAcABsAGkAZQBkACAAKgAoAFwAbgAgACAAIAAgACAAIAAgACAAIAAgAFAAcgBvAGQAdQBjAHQASQBuAGcAcgBlAGQAaQBlAG4AdABQAGUAcgBjAGUAbgB0ADMAIAAqACAAMQAwACAAXgAgAC0AIAAzAFwAbgAgACAAIAAgACAAIAAgACAAKQBcAG4AIAAgACAAIAAgACAAKQBcAG4AIAAgACAAIAApACwAXABuACAAIAAgACAARgBlAHIAdABpAGwAaQBzAGUAcgBfAEkAbgBwAHUAdABGAHUAbgBjAHQAaQBvAG4AcwAuAEYAZQByAHQAaQBsAGkAcwBlAHIAXwBTAHUAbQBQAHIAbwBkAHUAYwB0AEEAcABwAGwAaQBlAGQAKABcAG4AIAAgACAAIAAgACAAQwBoAGUAbQBpAGMAYQBsAEMAbwBtAHAAbwB1AG4AZAAsAFwAbgAgACAAIAAgACAAIABQAHIAbwBkAHUAYwB0AEkAbgBnAHIAZQBkAGkAZQBuAHQAMQAsAFwAbgAgACAAIAAgACAAIABjAGEAbABjAHUAbABhAHQAZQBkAEEAbQBvAHUAbgB0ADEAXABuACAAIAAgACAAKQAgACsAIABJAEYARQBSAFIATwBSACgAXABuACAAIAAgACAAIAAgAEYAZQByAHQAaQBsAGkAcwBlAHIAXwBJAG4AcAB1AHQARgB1AG4AYwB0AGkAbwBuAHMALgBGAGUAcgB0AGkAbABpAHMAZQByAF8AUwB1AG0AUAByAG8AZAB1AGMAdABBAHAAcABsAGkAZQBkACgAXABuACAAIAAgACAAIAAgACAAIABDAGgAZQBtAGkAYwBhAGwAQwBvAG0AcABvAHUAbgBkACwAXABuACAAIAAgACAAIAAgACAAIABQAHIAbwBkAHUAYwB0AEkAbgBnAHIAZQBkAGkAZQBuAHQAMgAsAFwAbgAgACAAIAAgACAAIAAgACAAYwBhAGwAYwB1AGwAYQB0AGUAZABBAG0AbwB1AG4AdAAyAFwAbgAgACAAIAAgACAAIAApACwAXABuACAAIAAgACAAIAAgADAAXABuACAAIAAgACAAKQAgACsAIABJAEYARQBSAFIATwBSACgAXABuACAAIAAgACAAIAAgAEYAZQByAHQAaQBsAGkAcwBlAHIAXwBJAG4AcAB1AHQARgB1AG4AYwB0AGkAbwBuAHMALgBGAGUAcgB0AGkAbABpAHMAZQByAF8AUwB1AG0AUAByAG8AZAB1AGMAdABBAHAAcABsAGkAZQBkACgAXABuACAAIAAgACAAIAAgACAAIABDAGgAZQBtAGkAYwBhAGwAQwBvAG0AcABvAHUAbgBkACwAXABuACAAIAAgACAAIAAgACAAIABQAHIAbwBkAHUAYwB0AEkAbgBnAHIAZQBkAGkAZQBuAHQAMwAsAFwAbgAgACAAIAAgACAAIAAgACAAYwBhAGwAYwB1AGwAYQB0AGUAZABBAG0AbwB1AG4AdAAzAFwAbgAgACAAIAAgACAAIAApACwAXABuACAAIAAgACAAIAAgADAAXABuACAAIAAgACAAKQBcAG4AIAAgACkAXABuACkAIgB9ACwAewAiAHAAYQB0AGgAIgA6ACIALwBwAHIAbwBqAGUAYwB0AHMALwBFAGwAZQBjAHQAcgBpAGMAaQB0AHkAXwBTAG8AdQByAGMAZQBEAGEAdABhACIALAAiAHQAZQB4AHQAIgA6ACIALwAqAFwAbgA9AD0APQA9AD0APQA9AD0APQA9AD0APQA9AD0APQA9AD0APQA9AD0APQA9AD0APQA9AD0APQA9AD0APQA9AD0APQA9AD0APQA9AD0APQA9AD0APQA9AD0APQA9AD0APQA9AD0APQA9AD0APQA9AD0APQA9AD0APQA9AD0APQA9AD0APQA9AD0APQA9AD0APQA9AD0APQA9AFwAbgBJAG4AZABpAHIAZQBjAHQAIAAoAHMAYwBvAHAAZQAgADIAIABhAG4AZAAgAHMAYwBvAHAAZQAgADMAKQAgAGwAbwBjAGEAdABpAG8AbgAtAGIAYQBzAGUAZAAgAGUAbQBpAHMAcwBpAG8AbgAgAGYAYQBjAHQAbwByAHMAIABhAHMAcwBvAGMAaQBhAHQAZQBkACAAdwBpAHQAaAAgAHQAaABlACAAYwBvAG4AcwB1AG0AcAB0AGkAbwBuACAAYQBuAGQAIABsAG8AcwBzAGUAcwAgAG8AZgAgAHAAdQByAGMAaABhAHMAZQBkACAAbwByACAAYQBjAHEAdQBpAHIAZQBkACAAZQBsAGUAYwB0AHIAaQBjAGkAdAB5ACAAXABuAD0APQA9AD0APQA9AD0APQA9AD0APQA9AD0APQA9AD0APQA9AD0APQA9AD0APQA9AD0APQA9AD0APQA9AD0APQA9AD0APQA9AD0APQA9AD0APQA9AD0APQA9AD0APQA9AD0APQA9AD0APQA9AD0APQA9AD0APQA9AD0APQA9AD0APQA9AD0APQA9AD0APQA9AD0APQA9AD0AXABuACoALwBcAG4AXABuAEUAbABlAGMAdAByAGkAYwBpAHQAeQBfAFMAYwBvAHAAZQAyAFMAYwBvAHAAZQAzAEwAbwBjAGEAdABpAG8AbgBCAGEAcwBlAGQAXwBUAGkAdABsAGUAXABuAD0ATABBAE0AQgBEAEEAKAAoAFwAIgBFAGwAZQBjAHQAcgBpAGMAaQB0AHkAIABzAGMAbwBwAGUAIAAyACAAYQBuAGQAIABzAGMAbwBwAGUAIAAzACAAbABvAGMAYQB0AGkAbwBuAC0AYgBhAHMAZQBkACAAZQBtAGkAcwBzAGkAbwBuACAAZgBhAGMAdABvAHIAcwBcACIAKQApADsAXABuAFwAbgBFAGwAZQBjAHQAcgBpAGMAaQB0AHkAXwBTAGMAbwBwAGUAMgBMAG8AYwBhAHQAaQBvAG4AQgBhAHMAZQBkAF8ARABlAHMAYwByAGkAcAB0AGkAbwBuAFwAbgA9AEwAQQBNAEIARABBACgAKABcACIASQBuAGQAaQByAGUAYwB0ACAAKABzAGMAbwBwAGUAIAAyACAAYQBuAGQAIABzAGMAbwBwAGUAIAAzACkAIABsAG8AYwBhAHQAaQBvAG4ALQBiAGEAcwBlAGQAIABlAG0AaQBzAHMAaQBvAG4AIABmAGEAYwB0AG8AcgBzACAAYQBzAHMAbwBjAGkAYQB0AGUAZAAgAHcAaQB0AGgAIAB0AGgAZQAgAGMAbwBuAHMAdQBtAHAAdABpAG8AbgAgAGEAbgBkACAAbABvAHMAcwBlAHMAIABvAGYAIABwAHUAcgBjAGgAYQBzAGUAZAAgAG8AcgAgAGEAYwBxAHUAaQByAGUAZAAgAGUAbABlAGMAdAByAGkAYwBpAHQAeQBcACIAKQApADsAXABuAFwAbgBFAGwAZQBjAHQAcgBpAGMAaQB0AHkAXwBTAGMAbwBwAGUAMgBTAGMAbwBwAGUAMwBMAG8AYwBhAHQAaQBvAG4AQgBhAHMAZQBkAF8AUwBvAHUAcgBjAGUAXABuAD0ATABBAE0AQgBEAEEAKAAoAFwAIgBBAHUAcwB0AHIAYQBsAGkAYQBuACAATgBhAHQAaQBvAG4AYQBsACAARwByAGUAZQBuAGgAbwB1AHMAZQAgAEEAYwBjAG8AdQBuAHQAcwAgAEYAYQBjAHQAbwByAHMAIAAyADAAMgA1ACAALQAgAFQAYQBiAGwAZQAgADEAXAAiACkAKQA7AFwAbgBcAG4ARQBsAGUAYwB0AHIAaQBjAGkAdAB5AF8AUwBjAG8AcABlADIAUwBjAG8AcABlADMATABvAGMAYQB0AGkAbwBuAEIAYQBzAGUAZABfAEQAYQB0AGEAXABuAD0ATABBAE0AQgBEAEEAKABcAG4AIAAgAE0AQQBLAEUAQQBSAFIAQQBZACgAMQAxACwAIAAzACwAXABuACAAIAAgACAATABBAE0AQgBEAEEAKAByACwAYwAsAFwAbgAgACAAIAAgACAAIABJAE4ARABFAFgAKAB7AFwAbgAgACAAIAAgACAAIAAgACAAXAAiAFMAdABhAHQAZQAsACAAVABlAHIAcgBpAHQAbwByAHkAIABvAHIAIABnAHIAaQBkACAAZABlAHMAYwByAGkAcAB0AGkAbwBuAFwAIgAsACAAXAAiAFMAYwBvAHAAZQAgADIAIABFAG0AaQBzAHMAaQBvAG4AIABGAGEAYwB0AG8AcgBzACAAKABrAGcAIABDAE8AMgAtAGUALwBrAFcAaAApAFwAIgAsACAAXAAiAFMAYwBvAHAAZQAgADMAIABFAG0AaQBzAHMAaQBvAG4AIABGAGEAYwB0AG8AcgBzACAAKABrAGcAIABDAE8AMgAtAGUALwBrAFcAaAApAFwAIgA7AFwAbgAgACAAIAAgACAAIAAgACAAXAAiAE4AZQB3ACAAUwBvAHUAdABoACAAVwBhAGwAZQBzAFwAIgAsACAAMAAuADYANAAsACAAMAAuADAAMwA7AFwAbgAgACAAIAAgACAAIAAgACAAXAAiAEEAQwBUAFwAIgAsACAAMAAuADYANAAsACAAMAAuADAAMwA7AFwAbgAgACAAIAAgACAAIAAgACAAXAAiAFYAaQBjAHQAbwByAGkAYQBcACIALAAgADAALgA3ADgALAAgADAALgAwADkAOwBcAG4AIAAgACAAIAAgACAAIAAgAFwAIgBRAHUAZQBlAG4AcwBsAGEAbgBkAFwAIgAsACAAMAAuADYANwAsACAAMAAuADAAOQA7AFwAbgAgACAAIAAgACAAIAAgACAAXAAiAFMAbwB1AHQAaAAgAEEAdQBzAHQAcgBhAGwAaQBhAFwAIgAsACAAMAAuADIAMgAsACAAMAAuADAANAA7AFwAbgAgACAAIAAgACAAIAAgACAAXAAiAFcAZQBzAHQAZQByAG4AIABBAHUAcwB0AHIAYQBsAGkAYQAgAC0AIABTAG8AdQB0AGgAIABXAGUAcwB0ACAASQBuAHQAZQByAGMAbwBuAG4AZQBjAHQAZQBkACAAUwB5AHMAdABlAG0AIAAoAFMAVwBJAFMAKQBcACIALAAgADAALgA1ADAALAAgADAALgAwADYAOwBcAG4AIAAgACAAIAAgACAAIAAgAFwAIgBXAGUAcwB0AGUAcgBuACAAQQB1AHMAdAByAGEAbABpAGEAIAAtACAATgBvAHIAdABoACAAVwBlAHMAdABlAHIAbgAgAEkAbgB0AGUAcgBjAG8AbgBuAGUAYwB0AGUAZAAgAFMAeQBzAHQAZQBtACAAKABOAFcASQBTACkAXAAiACwAIAAwAC4ANQA2ACwAIAAwAC4AMAA5ADsAXABuACAAIAAgACAAIAAgACAAIABcACIAVABhAHMAbQBhAG4AaQBhAFwAIgAsACAAMAAuADIAMAAsACAAMAAuADAAMwA7AFwAbgAgACAAIAAgACAAIAAgACAAXAAiAE4AbwByAHQAaABlAHIAbgAgAFQAZQByAHIAaQB0AG8AcgB5ACAALQAgAEQAYQByAHcAaQBuACAASwBhAHQAaABlAHIAaQBuAGUAIABJAG4AdABlAHIAYwBvAG4AbgBlAGMAdABlAGQAIABTAHkAcwB0AGUAbQAgACgARABLAEkAUwApAFwAIgAsACAAMAAuADUANgAsACAAMAAuADAAOQA7AFwAbgAgACAAIAAgACAAIAAgACAAXAAiAE4AYQB0AGkAbwBuAGEAbABcACIALAAgADAALgA2ADIALAAgADAALgAwADcAXABuACAAIAAgACAAIAAgAH0ALAAgAHIALAAgAGMAKQBcAG4AKQApACkAOwBcAG4AXABuAEUAbABlAGMAdAByAGkAYwBpAHQAeQBfAFMAYwBvAHAAZQAyAFMAYwBvAHAAZQAzAEwAbwBjAGEAdABpAG8AbgBCAGEAcwBlAGQAXwBWAGEAcgBpAGEAdABpAG8AbgBcAG4APQBMAEEATQBCAEQAQQAoACgAXAAiAFYAQQBSAEkAQQBUAEkATwBOACAATwBGACAAUwBPAFUAUgBDAEUAIABEAEEAVABBADoAIABOAFMAVwAgAGEAbgBkACAAQQBDAFQAIABzAHAAbABpAHQAIABpAG4AdABvACAAcwBlAHAAYQByAGEAdABlACAAcgBvAHcAcwAuAFwAIgApACkAOwBcAG4AXABuAFwAbgAvACoAXABuAD0APQA9AD0APQA9AD0APQA9AD0APQA9AD0APQA9AD0APQA9AD0APQA9AD0APQA9AD0APQA9AD0APQA9AD0APQA9AD0APQA9AD0APQA9AD0APQA9AD0APQA9AD0APQA9AD0APQA9AD0APQA9AD0APQA9AD0APQA9AD0APQA9AD0APQA9AD0APQA9AD0APQA9AD0APQA9AD0AXABuAFIAZQBzAGkAZAB1AGEAbAAgAE0AaQB4ACAARgBhAGMAdABvAHIAIABmAG8AcgAgAG0AYQByAGsAZQB0AC0AYgBhAHMAZQBkACAAZQBxAHUAYQB0AGkAbwBuAHMAXABuAD0APQA9AD0APQA9AD0APQA9AD0APQA9AD0APQA9AD0APQA9AD0APQA9AD0APQA9AD0APQA9AD0APQA9AD0APQA9AD0APQA9AD0APQA9AD0APQA9AD0APQA9AD0APQA9AD0APQA9AD0APQA9AD0APQA9AD0APQA9AD0APQA9AD0APQA9AD0APQA9AD0APQA9AD0APQA9AD0AXABuACoALwBcAG4AXABuAEUAbABlAGMAdAByAGkAYwBpAHQAeQBfAFMAYwBvAHAAZQAyAFMAYwBvAHAAZQAzAE0AYQByAGsAZQB0AEIAYQBzAGUAZABfAFQAaQB0AGwAZQBcAG4APQBMAEEATQBCAEQAQQAoACgAXAAiAEUAbABlAGMAdAByAGkAYwBpAHQAeQAgAHMAYwBvAHAAZQAgADIAIABhAG4AZAAgAHMAYwBvAHAAZQAgADMAIABtAGEAcgBrAGUAdAAtAGIAYQBzAGUAZAAgAGUAbQBpAHMAcwBpAG8AbgAgAGYAYQBjAHQAbwByAHMAXAAiACkAKQA7AFwAbgBcAG4ARQBsAGUAYwB0AHIAaQBjAGkAdAB5AF8AUwBjAG8AcABlADIATQBhAHIAawBlAHQAQgBhAHMAZQBkAF8ARABlAHMAYwByAGkAcAB0AGkAbwBuAFwAbgA9AEwAQQBNAEIARABBACgAKABcACIAVABhAGIAbABlACAAMgBhACAASQBuAGQAaQByAGUAYwB0ACAAKABzAGMAbwBwAGUAIAAyACAAYQBuAGQAIABzAGMAbwBwAGUAIAAzACkAIABlAG0AaQBzAHMAaQBvAG4AIABmAGEAYwB0AG8AcgBzACAAZgByAG8AbQAgAGMAbwBuAHMAdQBtAHAAdABpAG8AbgAgAG8AZgAgAHAAdQByAGMAaABhAHMAZQBkACAAbwByACAAYQBjAHEAdQBpAHIAZQBkACAAZQBsAGUAYwB0AHIAaQBjAGkAdAB5ADoAIABtAGEAcgBrAGUAdAAtAGIAYQBzAGUAZAAgAGYAYQBjAHQAbwByAHMAIABcACIAKQApADsAXABuAFwAbgBFAGwAZQBjAHQAcgBpAGMAaQB0AHkAXwBTAGMAbwBwAGUAMgBTAGMAbwBwAGUAMwBNAGEAcgBrAGUAdABCAGEAcwBlAGQAXwBTAG8AdQByAGMAZQBcAG4APQBMAEEATQBCAEQAQQAoACgAXAAiAEEAdQBzAHQAcgBhAGwAaQBhAG4AIABOAGEAdABpAG8AbgBhAGwAIABHAHIAZQBlAG4AaABvAHUAcwBlACAAQQBjAGMAbwB1AG4AdABzACAARgBhAGMAdABvAHIAcwAgADIAMAAyADUAIAAtACAAVABhAGIAbABlACAAMgBhAFwAIgApACkAOwBcAG4AXABuAEUAbABlAGMAdAByAGkAYwBpAHQAeQBfAFMAYwBvAHAAZQAyAFMAYwBvAHAAZQAzAE0AYQByAGsAZQB0AEIAYQBzAGUAZABfAEQAYQB0AGEAXABuAD0ATABBAE0AQgBEAEEAKABcAG4AIAAgAE0AQQBLAEUAQQBSAFIAQQBZACgAMgAsACAANQAsAFwAbgAgACAAIAAgAEwAQQBNAEIARABBACgAcgAsAGMALABcAG4AIAAgACAAIAAgACAASQBOAEQARQBYACgAewBcAG4AIAAgACAAIAAgACAAIAAgAFwAIgBTAHQAYQB0AGUALAAgAFQAZQByAHIAaQB0AG8AcgB5ACAAbwByACAAZwByAGkAZAAgAGQAZQBzAGMAcgBpAHAAdABpAG8AbgBcACIALAAgAFwAIgBTAGMAbwBwAGUAIAAyACAARQBtAGkAcwBzAGkAbwBuACAARgBhAGMAdABvAHIAcwAgACgAawBnACAAQwBPADIALQBlAC8AawBXAGgAKQBcACIALAAgAFwAIgBTAGMAbwBwAGUAIAAyACAARQBtAGkAcwBzAGkAbwBuACAARgBhAGMAdABvAHIAcwAgACgAawBnACAAQwBPADIALQBlAC8ARwBKACkAXAAiACwAIABcACIAUwBjAG8AcABlACAAMwAgAEUAbQBpAHMAcwBpAG8AbgAgAEYAYQBjAHQAbwByAHMAIAAoAGsAZwAgAEMATwAyACAALQAgAGUAIAAvACAAawBXAGgAKQBcACIALAAgAFwAIgBTAGMAbwBwAGUAIAAzACAARQBtAGkAcwBzAGkAbwBuACAARgBhAGMAdABvAHIAcwAgACgAawBnACAAQwBPADIAIAAtACAAZQAgAC8AIABHAEoAKQBcACIAOwBcAG4AIAAgACAAIAAgACAAIAAgAFwAIgBOAGEAdABpAG8AbgBhAGwAXAAiACwAIAAwAC4AOAAxACwAIAAyADIANgAsACAAMAAuADEAMAAsACAAMgA5AFwAbgAgACAAIAAgACAAIAB9ACwAIAByACwAIABjACkAXABuACkAKQApADsAXABuAFwAbgBFAGwAZQBjAHQAcgBpAGMAaQB0AHkAXwBTAGMAbwBwAGUAMgBTAGMAbwBwAGUAMwBNAGEAcgBrAGUAdABCAGEAcwBlAGQAXwBWAGEAcgBpAGEAdABpAG8AbgBcAG4APQBMAEEATQBCAEQAQQAoACgAXAAiAFwAIgApACkAOwAiAH0ALAB7ACIAcABhAHQAaAAiADoAIgAvAHAAcgBvAGoAZQBjAHQAcwAvAFMAYwBvAHAAZQAzAF8AUwBvAHUAcgBjAGUARABhAHQAYQAiACwAIgB0AGUAeAB0ACIAOgAiAFwAbgAvACoAXABuAD0APQA9AD0APQA9AD0APQA9AD0APQA9AD0APQA9AD0APQA9AD0APQA9AD0APQA9AD0APQA9AD0APQA9AD0APQA9AD0APQA9AD0APQA9AD0APQA9AD0APQA9AD0APQA9AD0APQA9AD0APQA9AD0APQA9AD0APQA9AD0APQA9AD0APQA9AD0APQA9AD0APQA9AD0APQA9AD0AXABuAEEAbgBpAG0AYQBsAHMAXABuAD0APQA9AD0APQA9AD0APQA9AD0APQA9AD0APQA9AD0APQA9AD0APQA9AD0APQA9AD0APQA9AD0APQA9AD0APQA9AD0APQA9AD0APQA9AD0APQA9AD0APQA9AD0APQA9AD0APQA9AD0APQA9AD0APQA9AD0APQA9AD0APQA9AD0APQA9AD0APQA9AD0APQA9AD0APQA9AD0AXABuACoALwBcAG4AXABuAFMAYwBvAHAAZQAzAF8ATABpAHYAZQBzAHQAbwBjAGsAXwBUAGkAdABsAGUAXABuAD0ATABBAE0AQgBEAEEAKAAoAFwAIgBMAGkAdgBlAHMAdABvAGMAawAgAHMAYwBvAHAAZQAgADMAXAAiACkAKQA7AFwAbgBcAG4AUwBjAG8AcABlADMAXwBMAGkAdgBlAHMAdABvAGMAa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wAaQB2AGUAcwB0AG8AYwBrAF8AVgBhAHIAaQBhAHQAaQBvAG4AXABuAD0ATABBAE0AQgBEAEEAKAAoAFwAIgBcACIAKQApADsAXABuAFwAbgBTAGMAbwBwAGUAMwBfAEwAaQB2AGUAcwB0AG8AYwBrAF8ARABhAHQAYQBcAG4APQBMAEEATQBCAEQAQQAoAFwAbgAgACAATQBBAEsARQBBAFIAUgBBAFkAKAA0ADI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BAG4AaQBtAGEAbABzAFwAIgAsACAAXAAiAEIAZQBlAGYAIABjAGEAdAB0AGwAZQBcACIALAAgAFwAIgBDAGEAdAB0AGwAZQAsACAAZgBvAHIAIABtAGEAbgB1AGYAYQBjAHQAdQByAGkAbgBnACAAYgBlAGUAZgBcACIALAAgAFwAIgBBAHUAcwB0AHIAYQBsAGkAYQBcACIALAAgAFwAIgBrAGcAIABsAGkAdgBlAHcAZQBpAGcAaAB0AFwAIgAsACAAMQAxACwAIABcACIAYQB0ACAAbQBhAHIAawBlAHQAXAAiADsAXABuACAAIAAgACAAIAAgACAAIABcACIAQQBuAGkAbQBhAGwAcwBcACIALAAgAFwAIgBCAGUAZQBmACAAYwBhAHQAdABsAGUAXAAiACwAIABcACIAQwBhAHQAdABsAGUALAAgAGYAbwByACAAbQBhAG4AdQBmAGEAYwB0AHUAcgBpAG4AZwAgAGIAZQBlAGYAXAAiACwAIABcACIATgBTAFcAXAAiACwAIABcACIAawBnACAAbABpAHYAZQB3AGUAaQBnAGgAdABcACIALAAgADgALgAyADEALAAgAFwAIgBhAHQAIABtAGEAcgBrAGUAdABcACIAOwBcAG4AIAAgACAAIAAgACAAIAAgAFwAIgBBAG4AaQBtAGEAbABzAFwAIgAsACAAXAAiAEIAZQBlAGYAIABjAGEAdAB0AGwAZQBcACIALAAgAFwAIgBDAGEAdAB0AGwAZQAsACAAZgBvAHIAIABtAGEAbgB1AGYAYQBjAHQAdQByAGkAbgBnACAAYgBlAGUAZgBcACIALAAgAFwAIgBOAFQAXAAiACwAIABcACIAawBnACAAbABpAHYAZQB3AGUAaQBnAGgAdABcACIALAAgADEAMgAuADIALAAgAFwAIgBhAHQAIABtAGEAcgBrAGUAdABcACIAOwBcAG4AIAAgACAAIAAgACAAIAAgAFwAIgBBAG4AaQBtAGEAbABzAFwAIgAsACAAXAAiAEIAZQBlAGYAIABjAGEAdAB0AGwAZQBcACIALAAgAFwAIgBDAGEAdAB0AGwAZQAsACAAZgBvAHIAIABtAGEAbgB1AGYAYQBjAHQAdQByAGkAbgBnACAAYgBlAGUAZgBcACIALAAgAFwAIgBRAEwARABcACIALAAgAFwAIgBrAGcAIABsAGkAdgBlAHcAZQBpAGcAaAB0AFwAIgAsACAAMQAwAC4AOQAsACAAXAAiAGEAdAAgAG0AYQByAGsAZQB0AFwAIgA7AFwAbgAgACAAIAAgACAAIAAgACAAXAAiAEEAbgBpAG0AYQBsAHMAXAAiACwAIABcACIAQgBlAGUAZgAgAGMAYQB0AHQAbABlAFwAIgAsACAAXAAiAEMAYQB0AHQAbABlACwAIABmAG8AcgAgAG0AYQBuAHUAZgBhAGMAdAB1AHIAaQBuAGcAIABiAGUAZQBmAFwAIgAsACAAXAAiAFMAQQBcACIALAAgAFwAIgBrAGcAIABsAGkAdgBlAHcAZQBpAGcAaAB0AFwAIgAsACAANwAuADYAMwAsACAAXAAiAGEAdAAgAG0AYQByAGsAZQB0AFwAIgA7AFwAbgAgACAAIAAgACAAIAAgACAAXAAiAEEAbgBpAG0AYQBsAHMAXAAiACwAIABcACIAQgBlAGUAZgAgAGMAYQB0AHQAbABlAFwAIgAsACAAXAAiAEMAYQB0AHQAbABlACwAIABmAG8AcgAgAG0AYQBuAHUAZgBhAGMAdAB1AHIAaQBuAGcAIABiAGUAZQBmAFwAIgAsACAAXAAiAFQAQQBTAFwAIgAsACAAXAAiAGsAZwAgAGwAaQB2AGUAdwBlAGkAZwBoAHQAXAAiACwAIAA4AC4ANwA1ACwAIABcACIAYQB0ACAAbQBhAHIAawBlAHQAXAAiADsAXABuACAAIAAgACAAIAAgACAAIABcACIAQQBuAGkAbQBhAGwAcwBcACIALAAgAFwAIgBCAGUAZQBmACAAYwBhAHQAdABsAGUAXAAiACwAIABcACIAQwBhAHQAdABsAGUALAAgAGYAbwByACAAbQBhAG4AdQBmAGEAYwB0AHUAcgBpAG4AZwAgAGIAZQBlAGYAXAAiACwAIABcACIAVgBJAEMAXAAiACwAIABcACIAawBnACAAbABpAHYAZQB3AGUAaQBnAGgAdABcACIALAAgADgALgAxADcALAAgAFwAIgBhAHQAIABtAGEAcgBrAGUAdABcACIAOwBcAG4AIAAgACAAIAAgACAAIAAgAFwAIgBBAG4AaQBtAGEAbABzAFwAIgAsACAAXAAiAEIAZQBlAGYAIABjAGEAdAB0AGwAZQBcACIALAAgAFwAIgBDAGEAdAB0AGwAZQAsACAAZgBvAHIAIABtAGEAbgB1AGYAYQBjAHQAdQByAGkAbgBnACAAYgBlAGUAZgBcACIALAAgAFwAIgBXAEEAXAAiACwAIABcACIAawBnACAAbABpAHYAZQB3AGUAaQBnAGgAdABcACIALAAgADEAMwAuADEALAAgAFwAIgBhAHQAIABtAGEAcgBrAGUAdABcACIAOwBcAG4AIAAgACAAIAAgACAAIAAgAFwAIgBBAG4AaQBtAGEAbABzAFwAIgAsACAAXAAiAEIAZQBlAGYAIABjAGEAdAB0AGwAZQBcACIALAAgAFwAIgBDAGEAdAB0AGwAZQAsACAAZgBvAHIAIABwAHIAaQBtAGUAIABiAGUAZQBmAFwAIgAsACAAXAAiAEEAdQBzAHQAcgBhAGwAaQBhAFwAIgAsACAAXAAiAGsAZwAgAGwAaQB2AGUAdwBlAGkAZwBoAHQAXAAiACwAIAAxADQALgA1ACwAIABcACIAYQB0ACAAbQBhAHIAawBlAHQAXAAiADsAXABuACAAIAAgACAAIAAgACAAIABcACIAQQBuAGkAbQBhAGwAcwBcACIALAAgAFwAIgBCAGUAZQBmACAAYwBhAHQAdABsAGUAXAAiACwAIABcACIAQwBhAHQAdABsAGUALAAgAGYAbwByACAAcAByAGkAbQBlACAAYgBlAGUAZgBcACIALAAgAFwAIgBOAFMAVwBcACIALAAgAFwAIgBrAGcAIABsAGkAdgBlAHcAZQBpAGcAaAB0AFwAIgAsACAAMQAxAC4AMwAsACAAXAAiAGEAdAAgAG0AYQByAGsAZQB0AFwAIgA7AFwAbgAgACAAIAAgACAAIAAgACAAXAAiAEEAbgBpAG0AYQBsAHMAXAAiACwAIABcACIAQgBlAGUAZgAgAGMAYQB0AHQAbABlAFwAIgAsACAAXAAiAEMAYQB0AHQAbABlACwAIABmAG8AcgAgAHAAcgBpAG0AZQAgAGIAZQBlAGYAXAAiACwAIABcACIATgBUAFwAIgAsACAAXAAiAGsAZwAgAGwAaQB2AGUAdwBlAGkAZwBoAHQAXAAiACwAIAAxADgALgA5ACwAIABcACIAYQB0ACAAbQBhAHIAawBlAHQAXAAiADsAXABuACAAIAAgACAAIAAgACAAIABcACIAQQBuAGkAbQBhAGwAcwBcACIALAAgAFwAIgBCAGUAZQBmACAAYwBhAHQAdABsAGUAXAAiACwAIABcACIAQwBhAHQAdABsAGUALAAgAGYAbwByACAAcAByAGkAbQBlACAAYgBlAGUAZgBcACIALAAgAFwAIgBRAEwARABcACIALAAgAFwAIgBrAGcAIABsAGkAdgBlAHcAZQBpAGcAaAB0AFwAIgAsACAAMQAzAC4AOQAsACAAXAAiAGEAdAAgAG0AYQByAGsAZQB0AFwAIgA7AFwAbgAgACAAIAAgACAAIAAgACAAXAAiAEEAbgBpAG0AYQBsAHMAXAAiACwAIABcACIAQgBlAGUAZgAgAGMAYQB0AHQAbABlAFwAIgAsACAAXAAiAEMAYQB0AHQAbABlACwAIABmAG8AcgAgAHAAcgBpAG0AZQAgAGIAZQBlAGYAXAAiACwAIABcACIAUwBBAFwAIgAsACAAXAAiAGsAZwAgAGwAaQB2AGUAdwBlAGkAZwBoAHQAXAAiACwAIAAxADIALgAzACwAIABcACIAYQB0ACAAbQBhAHIAawBlAHQAXAAiADsAXABuACAAIAAgACAAIAAgACAAIABcACIAQQBuAGkAbQBhAGwAcwBcACIALAAgAFwAIgBCAGUAZQBmACAAYwBhAHQAdABsAGUAXAAiACwAIABcACIAQwBhAHQAdABsAGUALAAgAGYAbwByACAAcAByAGkAbQBlACAAYgBlAGUAZgBcACIALAAgAFwAIgBUAEEAUwBcACIALAAgAFwAIgBrAGcAIABsAGkAdgBlAHcAZQBpAGcAaAB0AFwAIgAsACAAMQAxAC4ANQAsACAAXAAiAGEAdAAgAG0AYQByAGsAZQB0AFwAIgA7AFwAbgAgACAAIAAgACAAIAAgACAAXAAiAEEAbgBpAG0AYQBsAHMAXAAiACwAIABcACIAQgBlAGUAZgAgAGMAYQB0AHQAbABlAFwAIgAsACAAXAAiAEMAYQB0AHQAbABlACwAIABmAG8AcgAgAHAAcgBpAG0AZQAgAGIAZQBlAGYAXAAiACwAIABcACIAVgBJAEMAXAAiACwAIABcACIAawBnACAAbABpAHYAZQB3AGUAaQBnAGgAdABcACIALAAgADEAMQAuADUALAAgAFwAIgBhAHQAIABtAGEAcgBrAGUAdABcACIAOwBcAG4AIAAgACAAIAAgACAAIAAgAFwAIgBBAG4AaQBtAGEAbABzAFwAIgAsACAAXAAiAEIAZQBlAGYAIABjAGEAdAB0AGwAZQBcACIALAAgAFwAIgBDAGEAdAB0AGwAZQAsACAAZgBvAHIAIABwAHIAaQBtAGUAIABiAGUAZQBmAFwAIgAsACAAXAAiAFcAQQBcACIALAAgAFwAIgBrAGcAIABsAGkAdgBlAHcAZQBpAGcAaAB0AFwAIgAsACAAMgAwAC4AOAAsACAAXAAiAGEAdAAgAG0AYQByAGsAZQB0AFwAIgA7AFwAbgAgACAAIAAgACAAIAAgACAAXAAiAEEAbgBpAG0AYQBsAHMAXAAiACwAIABcACIAQgBlAGUAZgAgAGMAYQB0AHQAbABlAFwAIgAsACAAXAAiAEMAYQB0AHQAbABlACwAIAB3AGUAYQBuAGUAcgBzAFwAIgAsACAAXAAiAEEAdQBzAHQAcgBhAGwAaQBhAFwAIgAsACAAXAAiAGsAZwAgAGwAaQB2AGUAdwBlAGkAZwBoAHQAXAAiACwAIAAxADUALgA1ACwAIABcACIAYQB0ACAAbQBhAHIAawBlAHQAXAAiADsAXABuACAAIAAgACAAIAAgACAAIABcACIAQQBuAGkAbQBhAGwAcwBcACIALAAgAFwAIgBCAGUAZQBmACAAYwBhAHQAdABsAGUAXAAiACwAIABcACIAQwBhAHQAdABsAGUALAAgAHcAZQBhAG4AZQByAHMAXAAiACwAIABcACIATgBTAFcAXAAiACwAIABcACIAawBnACAAbABpAHYAZQB3AGUAaQBnAGgAdABcACIALAAgADEAMgAuADcALAAgAFwAIgBhAHQAIABtAGEAcgBrAGUAdABcACIAOwBcAG4AIAAgACAAIAAgACAAIAAgAFwAIgBBAG4AaQBtAGEAbABzAFwAIgAsACAAXAAiAEIAZQBlAGYAIABjAGEAdAB0AGwAZQBcACIALAAgAFwAIgBDAGEAdAB0AGwAZQAsACAAdwBlAGEAbgBlAHIAcwBcACIALAAgAFwAIgBOAFQAXAAiACwAIABcACIAawBnACAAbABpAHYAZQB3AGUAaQBnAGgAdABcACIALAAgADEAOQAuADEALAAgAFwAIgBhAHQAIABtAGEAcgBrAGUAdABcACIAOwBcAG4AIAAgACAAIAAgACAAIAAgAFwAIgBBAG4AaQBtAGEAbABzAFwAIgAsACAAXAAiAEIAZQBlAGYAIABjAGEAdAB0AGwAZQBcACIALAAgAFwAIgBDAGEAdAB0AGwAZQAsACAAdwBlAGEAbgBlAHIAcwBcACIALAAgAFwAIgBRAEwARABcACIALAAgAFwAIgBrAGcAIABsAGkAdgBlAHcAZQBpAGcAaAB0AFwAIgAsACAAMgAwAC4ANQAsACAAXAAiAGEAdAAgAG0AYQByAGsAZQB0AFwAIgA7AFwAbgAgACAAIAAgACAAIAAgACAAXAAiAEEAbgBpAG0AYQBsAHMAXAAiACwAIABcACIAQgBlAGUAZgAgAGMAYQB0AHQAbABlAFwAIgAsACAAXAAiAEMAYQB0AHQAbABlACwAIAB3AGUAYQBuAGUAcgBzAFwAIgAsACAAXAAiAFMAQQBcACIALAAgAFwAIgBrAGcAIABsAGkAdgBlAHcAZQBpAGcAaAB0AFwAIgAsACAAMQAwAC4AOAAsACAAXAAiAGEAdAAgAG0AYQByAGsAZQB0AFwAIgA7AFwAbgAgACAAIAAgACAAIAAgACAAXAAiAEEAbgBpAG0AYQBsAHMAXAAiACwAIABcACIAQgBlAGUAZgAgAGMAYQB0AHQAbABlAFwAIgAsACAAXAAiAEMAYQB0AHQAbABlACwAIAB3AGUAYQBuAGUAcgBzAFwAIgAsACAAXAAiAFQAQQBTAFwAIgAsACAAXAAiAGsAZwAgAGwAaQB2AGUAdwBlAGkAZwBoAHQAXAAiACwAIAAxADMALgA0ACwAIABcACIAYQB0ACAAbQBhAHIAawBlAHQAXAAiADsAXABuACAAIAAgACAAIAAgACAAIABcACIAQQBuAGkAbQBhAGwAcwBcACIALAAgAFwAIgBCAGUAZQBmACAAYwBhAHQAdABsAGUAXAAiACwAIABcACIAQwBhAHQAdABsAGUALAAgAHcAZQBhAG4AZQByAHMAXAAiACwAIABcACIAVgBJAEMAXAAiACwAIABcACIAawBnACAAbABpAHYAZQB3AGUAaQBnAGgAdABcACIALAAgADEAMgAsACAAXAAiAGEAdAAgAG0AYQByAGsAZQB0AFwAIgA7AFwAbgAgACAAIAAgACAAIAAgACAAXAAiAEEAbgBpAG0AYQBsAHMAXAAiACwAIABcACIAQgBlAGUAZgAgAGMAYQB0AHQAbABlAFwAIgAsACAAXAAiAEMAYQB0AHQAbABlACwAIAB3AGUAYQBuAGUAcgBzAFwAIgAsACAAXAAiAFcAQQBcACIALAAgAFwAIgBrAGcAIABsAGkAdgBlAHcAZQBpAGcAaAB0AFwAIgAsACAAMQAyAC4ANAAsACAAXAAiAGEAdAAgAG0AYQByAGsAZQB0AFwAIgA7AFwAbgAgACAAIAAgACAAIAAgACAAXAAiAEEAbgBpAG0AYQBsAHMAXAAiACwAIABcACIAQwBoAGkAYwBrAGUAbgBzAFwAIgAsACAAXAAiAEMAaABpAGMAawBlAG4AcwBcACIALAAgAFwAIgBBAHUAcwB0AHIAYQBsAGkAYQBcACIALAAgAFwAIgBrAGcAIABsAGkAdgBlAHcAZQBpAGcAaAB0AFwAIgAsACAAMQAuADMANgAsACAAXAAiAGEAdAAgAG0AYQByAGsAZQB0AFwAIgA7AFwAbgAgACAAIAAgACAAIAAgACAAXAAiAEEAbgBpAG0AYQBsAHMAXAAiACwAIABcACIARABhAGkAcgB5ACAAYwBhAHQAdABsAGUAXAAiACwAIABcACIARABhAGkAcgB5ACAAYwBvAHcAcwBcACIALAAgAFwAIgBWAEkAQwBcACIALAAgAFwAIgBrAGcAIABsAGkAdgBlAHcAZQBpAGcAaAB0AFwAIgAsACAANAAuADQAMQAsACAAXAAiAGEAdAAgAG0AYQByAGsAZQB0AFwAIgA7AFwAbgAgACAAIAAgACAAIAAgACAAXAAiAEEAbgBpAG0AYQBsAHMAXAAiACwAIABcACIAUABpAGcAcwBcACIALAAgAFwAIgBQAGkAZwBzAFwAIgAsACAAXAAiAEEAdQBzAHQAcgBhAGwAaQBhAFwAIgAsACAAXAAiAGsAZwAgAGwAaQB2AGUAdwBlAGkAZwBoAHQAXAAiACwAIAAzAC4AMwA4ACwAIABcACIAYQB0ACAAbQBhAHIAawBlAHQAXAAiADsAXABuACAAIAAgACAAIAAgACAAIABcACIAQQBuAGkAbQBhAGwAcwBcACIALAAgAFwAIgBTAGgAZQBlAHAAXAAiACwAIABcACIAUwBoAGUAZQBwACwAIABmAG8AcgAgAG0AdQB0AHQAbwBuAFwAIgAsACAAXAAiAEEAdQBzAHQAcgBhAGwAaQBhAFwAIgAsACAAXAAiAGsAZwAgAGwAaQB2AGUAdwBlAGkAZwBoAHQAXAAiACwAIAA2AC4AOAAxACwAIABcACIAYQB0ACAAbQBhAHIAawBlAHQAXAAiADsAXABuACAAIAAgACAAIAAgACAAIABcACIAQQBuAGkAbQBhAGwAcwBcACIALAAgAFwAIgBTAGgAZQBlAHAAXAAiACwAIABcACIAUwBoAGUAZQBwACwAIABmAG8AcgAgAG0AdQB0AHQAbwBuAFwAIgAsACAAXAAiAE4AUwBXAFwAIgAsACAAXAAiAGsAZwAgAGwAaQB2AGUAdwBlAGkAZwBoAHQAXAAiACwAIAAyAC4AMgA2ACwAIABcACIAYQB0ACAAbQBhAHIAawBlAHQAXAAiADsAXABuACAAIAAgACAAIAAgACAAIABcACIAQQBuAGkAbQBhAGwAcwBcACIALAAgAFwAIgBTAGgAZQBlAHAAXAAiACwAIABcACIAUwBoAGUAZQBwACwAIABmAG8AcgAgAG0AdQB0AHQAbwBuAFwAIgAsACAAXAAiAFEATABEAFwAIgAsACAAXAAiAGsAZwAgAGwAaQB2AGUAdwBlAGkAZwBoAHQAXAAiACwAIAA2AC4AMwAzACwAIABcACIAYQB0ACAAbQBhAHIAawBlAHQAXAAiADsAXABuACAAIAAgACAAIAAgACAAIABcACIAQQBuAGkAbQBhAGwAcwBcACIALAAgAFwAIgBTAGgAZQBlAHAAXAAiACwAIABcACIAUwBoAGUAZQBwACwAIABmAG8AcgAgAG0AdQB0AHQAbwBuAFwAIgAsACAAXAAiAFMAQQBcACIALAAgAFwAIgBrAGcAIABsAGkAdgBlAHcAZQBpAGcAaAB0AFwAIgAsACAANgAuADEAOAAsACAAXAAiAGEAdAAgAG0AYQByAGsAZQB0AFwAIgA7AFwAbgAgACAAIAAgACAAIAAgACAAXAAiAEEAbgBpAG0AYQBsAHMAXAAiACwAIABcACIAUwBoAGUAZQBwAFwAIgAsACAAXAAiAFMAaABlAGUAcAAsACAAZgBvAHIAIABtAHUAdAB0AG8AbgBcACIALAAgAFwAIgBUAEEAUwBcACIALAAgAFwAIgBrAGcAIABsAGkAdgBlAHcAZQBpAGcAaAB0AFwAIgAsACAANwAuADUALAAgAFwAIgBhAHQAIABtAGEAcgBrAGUAdABcACIAOwBcAG4AIAAgACAAIAAgACAAIAAgAFwAIgBBAG4AaQBtAGEAbABzAFwAIgAsACAAXAAiAFMAaABlAGUAcABcACIALAAgAFwAIgBTAGgAZQBlAHAALAAgAGYAbwByACAAbQB1AHQAdABvAG4AXAAiACwAIABcACIAVgBJAEMAXAAiACwAIABcACIAawBnACAAbABpAHYAZQB3AGUAaQBnAGgAdABcACIALAAgADgALgAwADgALAAgAFwAIgBhAHQAIABtAGEAcgBrAGUAdABcACIAOwBcAG4AIAAgACAAIAAgACAAIAAgAFwAIgBBAG4AaQBtAGEAbABzAFwAIgAsACAAXAAiAFMAaABlAGUAcABcACIALAAgAFwAIgBTAGgAZQBlAHAALAAgAGYAbwByACAAbQB1AHQAdABvAG4AXAAiACwAIABcACIAVwBBAFwAIgAsACAAXAAiAGsAZwAgAGwAaQB2AGUAdwBlAGkAZwBoAHQAXAAiACwAIAA1AC4ANAA1ACwAIABcACIAYQB0ACAAbQBhAHIAawBlAHQAXAAiADsAXABuACAAIAAgACAAIAAgACAAIABcACIAQQBuAGkAbQBhAGwAcwBcACIALAAgAFwAIgBTAGgAZQBlAHAAXAAiACwAIABcACIAUwBoAGUAZQBwACwAIABmAG8AcgAgAHAAcgBpAG0AZQAgAGwAYQBtAGIAXAAiACwAIABcACIAQQB1AHMAdAByAGEAbABpAGEAXAAiACwAIABcACIAawBnACAAbABpAHYAZQB3AGUAaQBnAGgAdABcACIALAAgADcALgAxADUALAAgAFwAIgBhAHQAIABtAGEAcgBrAGUAdABcACIAOwBcAG4AIAAgACAAIAAgACAAIAAgAFwAIgBBAG4AaQBtAGEAbABzAFwAIgAsACAAXAAiAFMAaABlAGUAcABcACIALAAgAFwAIgBTAGgAZQBlAHAALAAgAGYAbwByACAAcAByAGkAbQBlACAAbABhAG0AYgBcACIALAAgAFwAIgBOAFMAVwBcACIALAAgAFwAIgBrAGcAIABsAGkAdgBlAHcAZQBpAGcAaAB0AFwAIgAsACAAOAAuADIAOQAsACAAXAAiAGEAdAAgAG0AYQByAGsAZQB0AFwAIgA7AFwAbgAgACAAIAAgACAAIAAgACAAXAAiAEEAbgBpAG0AYQBsAHMAXAAiACwAIABcACIAUwBoAGUAZQBwAFwAIgAsACAAXAAiAFMAaABlAGUAcAAsACAAZgBvAHIAIABwAHIAaQBtAGUAIABsAGEAbQBiAFwAIgAsACAAXAAiAFEATABEAFwAIgAsACAAXAAiAGsAZwAgAGwAaQB2AGUAdwBlAGkAZwBoAHQAXAAiACwAIAA2AC4AMwA5ACwAIABcACIAYQB0ACAAbQBhAHIAawBlAHQAXAAiADsAXABuACAAIAAgACAAIAAgACAAIABcACIAQQBuAGkAbQBhAGwAcwBcACIALAAgAFwAIgBTAGgAZQBlAHAAXAAiACwAIABcACIAUwBoAGUAZQBwACwAIABmAG8AcgAgAHAAcgBpAG0AZQAgAGwAYQBtAGIAXAAiACwAIABcACIAUwBBAFwAIgAsACAAXAAiAGsAZwAgAGwAaQB2AGUAdwBlAGkAZwBoAHQAXAAiACwAIAA2AC4AOAA3ACwAIABcACIAYQB0ACAAbQBhAHIAawBlAHQAXAAiADsAXABuACAAIAAgACAAIAAgACAAIABcACIAQQBuAGkAbQBhAGwAcwBcACIALAAgAFwAIgBTAGgAZQBlAHAAXAAiACwAIABcACIAUwBoAGUAZQBwACwAIABmAG8AcgAgAHAAcgBpAG0AZQAgAGwAYQBtAGIAXAAiACwAIABcACIAVABBAFMAXAAiACwAIABcACIAawBnACAAbABpAHYAZQB3AGUAaQBnAGgAdABcACIALAAgADgALgA2ADYALAAgAFwAIgBhAHQAIABtAGEAcgBrAGUAdABcACIAOwBcAG4AIAAgACAAIAAgACAAIAAgAFwAIgBBAG4AaQBtAGEAbABzAFwAIgAsACAAXAAiAFMAaABlAGUAcABcACIALAAgAFwAIgBTAGgAZQBlAHAALAAgAGYAbwByACAAcAByAGkAbQBlACAAbABhAG0AYgBcACIALAAgAFwAIgBWAEkAQwBcACIALAAgAFwAIgBrAGcAIABsAGkAdgBlAHcAZQBpAGcAaAB0AFwAIgAsACAAMQAwACwAIABcACIAYQB0ACAAbQBhAHIAawBlAHQAXAAiADsAXABuACAAIAAgACAAIAAgACAAIABcACIAQQBuAGkAbQBhAGwAcwBcACIALAAgAFwAIgBTAGgAZQBlAHAAXAAiACwAIABcACIAUwBoAGUAZQBwACwAIABmAG8AcgAgAHAAcgBpAG0AZQAgAGwAYQBtAGIAXAAiACwAIABcACIAVwBBAFwAIgAsACAAXAAiAGsAZwAgAGwAaQB2AGUAdwBlAGkAZwBoAHQAXAAiACwAIAA1AC4ANgA3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DAGgAZQBtAGkAYwBhAGwAcwBcAG4APQA9AD0APQA9AD0APQA9AD0APQA9AD0APQA9AD0APQA9AD0APQA9AD0APQA9AD0APQA9AD0APQA9AD0APQA9AD0APQA9AD0APQA9AD0APQA9AD0APQA9AD0APQA9AD0APQA9AD0APQA9AD0APQA9AD0APQA9AD0APQA9AD0APQA9AD0APQA9AD0APQA9AD0APQA9AD0APQBcAG4AKgAvAFwAbgBcAG4AUwBjAG8AcABlADMAXwBDAGgAZQBtAGkAYwBhAGwAcwBfAFQAaQB0AGwAZQBcAG4APQBMAEEATQBCAEQAQQAoACgAXAAiAEMAaABlAG0AaQBjAGEAbABzACAAcwBjAG8AcABlACAAMwBcACIAKQApADsAXABuAFwAbgBTAGMAbwBwAGUAMwBfAEMAaABlAG0AaQBjAGEAbA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QwBoAGUAbQBpAGMAYQBsAHMAXwBWAGEAcgBpAGEAdABpAG8AbgBcAG4APQBMAEEATQBCAEQAQQAoACgAXAAiAFwAIgApACkAOwBcAG4AXABuAFMAYwBvAHAAZQAzAF8AQwBoAGUAbQBpAGMAYQBsAHMAXwBEAGEAdABhAFwAbgA9AEwAQQBNAEIARABBACgAXABuACAAIABNAEEASwBFAEEAUgBSAEEAWQAoADg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DAGgAZQBtAGkAYwBhAGwAcwBcACIALAAgAFwAIgBDAGwAZQBhAG4AaQBuAGcAIABjAGgAZQBtAGkAYwBhAGwAcwBcACIALAAgAFwAIgBBAGwAawBhAGwAaQBuAGUAIABjAGwAZQBhAG4AZQByAFwAIgAsACAAXAAiAEcAbABvAGIAYQBsAFwAIgAsACAAXAAiAGsAZwBcACIALAAgADAALgA3ADIAMgAsACAAXAAiAGEAdAAgAG0AYQBuAHUAZgBhAGMAdAB1AHIAZQByAFwAIgA7AFwAbgAgACAAIAAgACAAIAAgACAAXAAiAEMAaABlAG0AaQBjAGEAbABzAFwAIgAsACAAXAAiAEMAbABlAGEAbgBpAG4AZwAgAGMAaABlAG0AaQBjAGEAbABzAFwAIgAsACAAXAAiAEIAbABlAGEAYwBoAFwAIgAsACAAXAAiAEcAbABvAGIAYQBsAFwAIgAsACAAXAAiAGsAZwBcACIALAAgADAALgA4ADAANAAsACAAXAAiAGEAdAAgAG0AYQBuAHUAZgBhAGMAdAB1AHIAZQByAFwAIgA7AFwAbgAgACAAIAAgACAAIAAgACAAXAAiAEMAaABlAG0AaQBjAGEAbABzAFwAIgAsACAAXAAiAEMAbABlAGEAbgBpAG4AZwAgAGMAaABlAG0AaQBjAGEAbABzAFwAIgAsACAAXAAiAFAAaABvAHMAcABoAG8AcgBpAGMAIABhAGMAaQBkAFwAIgAsACAAXAAiAEcAbABvAGIAYQBsAFwAIgAsACAAXAAiAGsAZwBcACIALAAgADAALgA5ADAANwAsACAAXAAiAGEAdAAgAG0AYQBuAHUAZgBhAGMAdAB1AHIAZQByAFwAIgA7AFwAbgAgACAAIAAgACAAIAAgACAAXAAiAEMAaABlAG0AaQBjAGEAbABzAFwAIgAsACAAXAAiAFAAaABhAHIAbQBhAGMAeQAgAGMAaABlAG0AaQBjAGEAbABzAFwAIgAsACAAXAAiAFAAYQByAGEAcwBpAHQAZQAgAGMAbwBuAHQAcgBvAGwAIABmAG8AcgAgAGMAYQB0AHQAbABlACAAKABlAHgAdABlAHIAbgBhAGwAKQAsACAAZABpAHAAcABpAG4AZwBcACIALAAgAFwAIgBHAGwAbwBiAGEAbABcACIALAAgAFwAIgBwACAAKABoAGUAYQBkACkAXAAiACwAIAAwAC4AMAA1ADQANwAsACAAXAAiAGEAdAAgAG0AYQBuAHUAZgBhAGMAdAB1AHIAZQByAFwAIgA7AFwAbgAgACAAIAAgACAAIAAgACAAXAAiAEMAaABlAG0AaQBjAGEAbABzAFwAIgAsACAAXAAiAFAAaABhAHIAbQBhAGMAeQAgAGMAaABlAG0AaQBjAGEAbABzAFwAIgAsACAAXAAiAFAAYQByAGEAcwBpAHQAZQAgAGMAbwBuAHQAcgBvAGwAIABmAG8AcgAgAGMAYQB0AHQAbABlACAAKABpAG4AdABlAHIAbgBhAGwAKQBcACIALAAgAFwAIgBHAGwAbwBiAGEAbABcACIALAAgAFwAIgBwACAAKABoAGUAYQBkACkAXAAiACwAIAAwAC4AMAAxADQAMgAsACAAXAAiAGEAdAAgAG0AYQBuAHUAZgBhAGMAdAB1AHIAZQByAFwAIgA7AFwAbgAgACAAIAAgACAAIAAgACAAXAAiAEMAaABlAG0AaQBjAGEAbABzAFwAIgAsACAAXAAiAFAAaABhAHIAbQBhAGMAeQAgAGMAaABlAG0AaQBjAGEAbABzAFwAIgAsACAAXAAiAFAAYQByAGEAcwBpAHQAZQAgAGMAbwBuAHQAcgBvAGwAIABmAG8AcgAgAHMAaABlAGUAcAAgACgAZQB4AHQAZQByAG4AYQBsACkAXAAiACwAIABcACIARwBsAG8AYgBhAGwAXAAiACwAIABcACIAcAAgACgAaABlAGEAZAApAFwAIgAsACAAMAAuADAAMQA0ADMALAAgAFwAIgBhAHQAIABtAGEAbgB1AGYAYQBjAHQAdQByAGUAcgBcACIAOwBcAG4AIAAgACAAIAAgACAAIAAgAFwAIgBDAGgAZQBtAGkAYwBhAGwAcwBcACIALAAgAFwAIgBQAGgAYQByAG0AYQBjAHkAIABjAGgAZQBtAGkAYwBhAGwAcwBcACIALAAgAFwAIgBQAGEAcgBhAHMAaQB0AGUAIABjAG8AbgB0AHIAbwBsACAAZgBvAHIAIABzAGgAZQBlAHAAIAAoAGkAbgB0AGUAcgBuAGEAbAApAFwAIgAsACAAXAAiAEcAbABvAGIAYQBsAFwAIgAsACAAXAAiAHAAIAAoAGgAZQBhAGQAKQBcACIALAAgADAALgAwADAANAAyADYALAAgAFwAIgBhAHQAIABtAGEAbgB1AGYAYQBjAHQAdQByAGUAcg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EYAZQBlAGQAXABuAD0APQA9AD0APQA9AD0APQA9AD0APQA9AD0APQA9AD0APQA9AD0APQA9AD0APQA9AD0APQA9AD0APQA9AD0APQA9AD0APQA9AD0APQA9AD0APQA9AD0APQA9AD0APQA9AD0APQA9AD0APQA9AD0APQA9AD0APQA9AD0APQA9AD0APQA9AD0APQA9AD0APQA9AD0APQA9AD0AXABuACoALwBcAG4AXABuAFMAYwBvAHAAZQAzAF8ARgBlAGUAZABfAFQAaQB0AGwAZQBcAG4APQBMAEEATQBCAEQAQQAoACgAXAAiAEYAZQBlAGQAIABzAGMAbwBwAGUAIAAzAFwAIgApACkAOwBcAG4AXABuAFMAYwBvAHAAZQAzAF8ARgBlAGUAZA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YAZQBlAGQAXwBWAGEAcgBpAGEAdABpAG8AbgBcAG4APQBMAEEATQBCAEQAQQAoACgAXAAiAFwAIgApACkAOwBcAG4AXABuAFMAYwBvAHAAZQAzAF8ARgBlAGUAZABfAEQAYQB0AGEAXABuAD0ATABBAE0AQgBEAEEAKABcAG4AIAAgAE0AQQBLAEUAQQBSAFIAQQBZACgANwA4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RgBlAGUAZABcACIALAAgAFwAIgBBAHEAdQBhAGMAdQBsAHQAdQByAGUAIABmAGUAZQBkAFwAIgAsACAAXAAiAFMAYQByAGQAaQBuAGUAcwAgACgAdwBoAG8AbABlACkAXAAiACwAIABcACIAUwBBAFwAIgAsACAAXAAiAGsAZwBcACIALAAgADAALgAzADcANgAsACAAXAAiAGEAdAAgAG0AYQByAGsAZQB0AFwAIgA7AFwAbgAgACAAIAAgACAAIAAgACAAXAAiAEYAZQBlAGQAXAAiACwAIABcACIARwByAGEAaQBuAFwAIgAsACAAXAAiAEIAYQByAGwAZQB5ACAAZwByAGEAaQBuAFwAIgAsACAAXAAiAEEAdQBzAHQAcgBhAGwAaQBhAFwAIgAsACAAXAAiAGsAZwBcACIALAAgADAALgAyADMAOQAsACAAXAAiAGEAdAAgAG0AYQByAGsAZQB0AFwAIgA7AFwAbgAgACAAIAAgACAAIAAgACAAXAAiAEYAZQBlAGQAXAAiACwAIABcACIARwByAGEAaQBuAFwAIgAsACAAXAAiAEIAYQByAGwAZQB5ACAAZwByAGEAaQBuAFwAIgAsACAAXAAiAE4AUwBXAFwAIgAsACAAXAAiAGsAZwBcACIALAAgADAALgAyADUANgAsACAAXAAiAGEAdAAgAG0AYQByAGsAZQB0AFwAIgA7AFwAbgAgACAAIAAgACAAIAAgACAAXAAiAEYAZQBlAGQAXAAiACwAIABcACIARwByAGEAaQBuAFwAIgAsACAAXAAiAEIAYQByAGwAZQB5ACAAZwByAGEAaQBuAFwAIgAsACAAXAAiAE4AVABcACIALAAgAFwAIgBrAGcAXAAiACwAIAAwAC4AMwAzADIALAAgAFwAIgBhAHQAIABtAGEAcgBrAGUAdABcACIAOwBcAG4AIAAgACAAIAAgACAAIAAgAFwAIgBGAGUAZQBkAFwAIgAsACAAXAAiAEcAcgBhAGkAbgBcACIALAAgAFwAIgBCAGEAcgBsAGUAeQAgAGcAcgBhAGkAbgBcACIALAAgAFwAIgBRAEwARABcACIALAAgAFwAIgBrAGcAXAAiACwAIAAwAC4AMgA2ADkALAAgAFwAIgBhAHQAIABtAGEAcgBrAGUAdABcACIAOwBcAG4AIAAgACAAIAAgACAAIAAgAFwAIgBGAGUAZQBkAFwAIgAsACAAXAAiAEcAcgBhAGkAbgBcACIALAAgAFwAIgBCAGEAcgBsAGUAeQAgAGcAcgBhAGkAbgBcACIALAAgAFwAIgBTAEEAXAAiACwAIABcACIAawBnAFwAIgAsACAAMAAuADIAMgAzACwAIABcACIAYQB0ACAAbQBhAHIAawBlAHQAXAAiADsAXABuACAAIAAgACAAIAAgACAAIABcACIARgBlAGUAZABcACIALAAgAFwAIgBHAHIAYQBpAG4AXAAiACwAIABcACIAQgBhAHIAbABlAHkAIABnAHIAYQBpAG4AXAAiACwAIABcACIAVABBAFMAXAAiACwAIABcACIAawBnAFwAIgAsACAAMAAuADMAMAA3ACwAIABcACIAYQB0ACAAbQBhAHIAawBlAHQAXAAiADsAXABuACAAIAAgACAAIAAgACAAIABcACIARgBlAGUAZABcACIALAAgAFwAIgBHAHIAYQBpAG4AXAAiACwAIABcACIAQgBhAHIAbABlAHkAIABnAHIAYQBpAG4AXAAiACwAIABcACIAVgBJAEMAXAAiACwAIABcACIAawBnAFwAIgAsACAAMAAuADIANAAxACwAIABcACIAYQB0ACAAbQBhAHIAawBlAHQAXAAiADsAXABuACAAIAAgACAAIAAgACAAIABcACIARgBlAGUAZABcACIALAAgAFwAIgBHAHIAYQBpAG4AXAAiACwAIABcACIAQgBhAHIAbABlAHkAIABnAHIAYQBpAG4AXAAiACwAIABcACIAVwBBAFwAIgAsACAAXAAiAGsAZwBcACIALAAgADAALgAyADMANgAsACAAXAAiAGEAdAAgAG0AYQByAGsAZQB0AFwAIgA7AFwAbgAgACAAIAAgACAAIAAgACAAXAAiAEYAZQBlAGQAXAAiACwAIABcACIARwByAGEAaQBuAFwAIgAsACAAXAAiAE0AYQBpAHoAZQAgAGcAcgBhAGkAbgBcACIALAAgAFwAIgBBAHUAcwB0AHIAYQBsAGkAYQBcACIALAAgAFwAIgBrAGcAXAAiACwAIAAwAC4AMQA4ADEALAAgAFwAIgBhAHQAIABtAGEAcgBrAGUAdABcACIAOwBcAG4AIAAgACAAIAAgACAAIAAgAFwAIgBGAGUAZQBkAFwAIgAsACAAXAAiAEcAcgBhAGkAbgBcACIALAAgAFwAIgBNAGEAaQB6AGUAIABnAHIAYQBpAG4AXAAiACwAIABcACIATgBTAFcAXAAiACwAIABcACIAawBnAFwAIgAsACAAMAAuADEANgA5ACwAIABcACIAYQB0ACAAbQBhAHIAawBlAHQAXAAiADsAXABuACAAIAAgACAAIAAgACAAIABcACIARgBlAGUAZABcACIALAAgAFwAIgBHAHIAYQBpAG4AXAAiACwAIABcACIATQBhAGkAegBlACAAZwByAGEAaQBuAFwAIgAsACAAXAAiAE4AVABcACIALAAgAFwAIgBrAGcAXAAiACwAIAAwAC4AMgA1ADYALAAgAFwAIgBhAHQAIABtAGEAcgBrAGUAdABcACIAOwBcAG4AIAAgACAAIAAgACAAIAAgAFwAIgBGAGUAZQBkAFwAIgAsACAAXAAiAEcAcgBhAGkAbgBcACIALAAgAFwAIgBNAGEAaQB6AGUAIABnAHIAYQBpAG4AXAAiACwAIABcACIAUQBMAEQAXAAiACwAIABcACIAawBnAFwAIgAsACAAMAAuADEAOAA2ACwAIABcACIAYQB0ACAAbQBhAHIAawBlAHQAXAAiADsAXABuACAAIAAgACAAIAAgACAAIABcACIARgBlAGUAZABcACIALAAgAFwAIgBHAHIAYQBpAG4AXAAiACwAIABcACIATQBhAGkAegBlACAAZwByAGEAaQBuAFwAIgAsACAAXAAiAFMAQQBcACIALAAgAFwAIgBrAGcAXAAiACwAIAAwAC4AMQA3ADYALAAgAFwAIgBhAHQAIABtAGEAcgBrAGUAdABcACIAOwBcAG4AIAAgACAAIAAgACAAIAAgAFwAIgBGAGUAZQBkAFwAIgAsACAAXAAiAEcAcgBhAGkAbgBcACIALAAgAFwAIgBNAGEAaQB6AGUAIABnAHIAYQBpAG4AXAAiACwAIABcACIAVgBJAEMAXAAiACwAIABcACIAawBnAFwAIgAsACAAMAAuADEANQA5ACwAIABcACIAYQB0ACAAbQBhAHIAawBlAHQAXAAiADsAXABuACAAIAAgACAAIAAgACAAIABcACIARgBlAGUAZABcACIALAAgAFwAIgBHAHIAYQBpAG4AXAAiACwAIABcACIATQBhAGkAegBlACAAZwByAGEAaQBuAFwAIgAsACAAXAAiAFcAQQBcACIALAAgAFwAIgBrAGcAXAAiACwAIAAwAC4AMgA4ADUALAAgAFwAIgBhAHQAIABtAGEAcgBrAGUAdABcACIAOwBcAG4AIAAgACAAIAAgACAAIAAgAFwAIgBGAGUAZQBkAFwAIgAsACAAXAAiAEcAcgBhAGkAbgBcACIALAAgAFwAIgBTAG8AcgBnAGgAdQBtACAAZwByAGEAaQBuAFwAIgAsACAAXAAiAEEAdQBzAHQAcgBhAGwAaQBhAFwAIgAsACAAXAAiAGsAZwBcACIALAAgADAALgAyADMAMgAsACAAXAAiAGEAdAAgAG0AYQByAGsAZQB0AFwAIgA7AFwAbgAgACAAIAAgACAAIAAgACAAXAAiAEYAZQBlAGQAXAAiACwAIABcACIARwByAGEAaQBuAFwAIgAsACAAXAAiAFMAbwByAGcAaAB1AG0AIABnAHIAYQBpAG4AXAAiACwAIABcACIATgBTAFcAXAAiACwAIABcACIAawBnAFwAIgAsACAAMAAuADIAMwAyACwAIABcACIAYQB0ACAAbQBhAHIAawBlAHQAXAAiADsAXABuACAAIAAgACAAIAAgACAAIABcACIARgBlAGUAZABcACIALAAgAFwAIgBHAHIAYQBpAG4AXAAiACwAIABcACIAUwBvAHIAZwBoAHUAbQAgAGcAcgBhAGkAbgBcACIALAAgAFwAIgBRAEwARABcACIALAAgAFwAIgBrAGcAXAAiACwAIAAwAC4AMgAzADEALAAgAFwAIgBhAHQAIABtAGEAcgBrAGUAdABcACIAOwBcAG4AIAAgACAAIAAgACAAIAAgAFwAIgBGAGUAZQBkAFwAIgAsACAAXAAiAEcAcgBhAGkAbgBcACIALAAgAFwAIgBTAG8AcgBnAGgAdQBtACAAZwByAGEAaQBuAFwAIgAsACAAXAAiAFMAQQBcACIALAAgAFwAIgBrAGcAXAAiACwAIAAwAC4AMgAxADgALAAgAFwAIgBhAHQAIABtAGEAcgBrAGUAdABcACIAOwBcAG4AIAAgACAAIAAgACAAIAAgAFwAIgBGAGUAZQBkAFwAIgAsACAAXAAiAEcAcgBhAGkAbgBcACIALAAgAFwAIgBTAG8AcgBnAGgAdQBtACAAZwByAGEAaQBuAFwAIgAsACAAXAAiAFYASQBDAFwAIgAsACAAXAAiAGsAZwBcACIALAAgADAALgAyADQANgAsACAAXAAiAGEAdAAgAG0AYQByAGsAZQB0AFwAIgA7AFwAbgAgACAAIAAgACAAIAAgACAAXAAiAEYAZQBlAGQAXAAiACwAIABcACIARwByAGEAaQBuAFwAIgAsACAAXAAiAFcAaABlAGEAdAAgAGcAcgBhAGkAbgBcACIALAAgAFwAIgBBAHUAcwB0AHIAYQBsAGkAYQBcACIALAAgAFwAIgBrAGcAXAAiACwAIAAwAC4AMgA2ADgALAAgAFwAIgBhAHQAIABtAGEAcgBrAGUAdABcACIAOwBcAG4AIAAgACAAIAAgACAAIAAgAFwAIgBGAGUAZQBkAFwAIgAsACAAXAAiAEcAcgBhAGkAbgBcACIALAAgAFwAIgBXAGgAZQBhAHQAIABnAHIAYQBpAG4AXAAiACwAIABcACIATgBTAFcAXAAiACwAIABcACIAawBnAFwAIgAsACAAMAAuADIAOAAyACwAIABcACIAYQB0ACAAbQBhAHIAawBlAHQAXAAiADsAXABuACAAIAAgACAAIAAgACAAIABcACIARgBlAGUAZABcACIALAAgAFwAIgBHAHIAYQBpAG4AXAAiACwAIABcACIAVwBoAGUAYQB0ACAAZwByAGEAaQBuAFwAIgAsACAAXAAiAE4AVABcACIALAAgAFwAIgBrAGcAXAAiACwAIAAwAC4AMwA4ADUALAAgAFwAIgBhAHQAIABtAGEAcgBrAGUAdABcACIAOwBcAG4AIAAgACAAIAAgACAAIAAgAFwAIgBGAGUAZQBkAFwAIgAsACAAXAAiAEcAcgBhAGkAbgBcACIALAAgAFwAIgBXAGgAZQBhAHQAIABnAHIAYQBpAG4AXAAiACwAIABcACIAUQBMAEQAXAAiACwAIABcACIAawBnAFwAIgAsACAAMAAuADIAOQA2ACwAIABcACIAYQB0ACAAbQBhAHIAawBlAHQAXAAiADsAXABuACAAIAAgACAAIAAgACAAIABcACIARgBlAGUAZABcACIALAAgAFwAIgBHAHIAYQBpAG4AXAAiACwAIABcACIAVwBoAGUAYQB0ACAAZwByAGEAaQBuAFwAIgAsACAAXAAiAFMAQQBcACIALAAgAFwAIgBrAGcAXAAiACwAIAAwAC4AMgA0ADEALAAgAFwAIgBhAHQAIABtAGEAcgBrAGUAdABcACIAOwBcAG4AIAAgACAAIAAgACAAIAAgAFwAIgBGAGUAZQBkAFwAIgAsACAAXAAiAEcAcgBhAGkAbgBcACIALAAgAFwAIgBXAGgAZQBhAHQAIABnAHIAYQBpAG4AXAAiACwAIABcACIAVABBAFMAXAAiACwAIABcACIAawBnAFwAIgAsACAAMAAuADMAMwA4ACwAIABcACIAYQB0ACAAbQBhAHIAawBlAHQAXAAiADsAXABuACAAIAAgACAAIAAgACAAIABcACIARgBlAGUAZABcACIALAAgAFwAIgBHAHIAYQBpAG4AXAAiACwAIABcACIAVwBoAGUAYQB0ACAAZwByAGEAaQBuAFwAIgAsACAAXAAiAFYASQBDAFwAIgAsACAAXAAiAGsAZwBcACIALAAgADAALgAyADYANgAsACAAXAAiAGEAdAAgAG0AYQByAGsAZQB0AFwAIgA7AFwAbgAgACAAIAAgACAAIAAgACAAXAAiAEYAZQBlAGQAXAAiACwAIABcACIARwByAGEAaQBuAFwAIgAsACAAXAAiAFcAaABlAGEAdAAgAGcAcgBhAGkAbgBcACIALAAgAFwAIgBXAEEAXAAiACwAIABcACIAawBnAFwAIgAsACAAMAAuADIANgAxACwAIABcACIAYQB0ACAAbQBhAHIAawBlAHQAXAAiADsAXABuACAAIAAgACAAIAAgACAAIABcACIARgBlAGUAZABcACIALAAgAFwAIgBIAGEAeQBcACIALAAgAFwAIgBDAGUAcgBlAGEAbAAgAGgAYQB5AFwAIgAsACAAXAAiAEEAdQBzAHQAcgBhAGwAaQBhAFwAIgAsACAAXAAiAGsAZwBcACIALAAgADAALgAxADEANwAsACAAXAAiAGEAdAAgAG0AYQByAGsAZQB0AFwAIgA7AFwAbgAgACAAIAAgACAAIAAgACAAXAAiAEYAZQBlAGQAXAAiACwAIABcACIASABhAHkAXAAiACwAIABcACIAQwBlAHIAZQBhAGwAIABoAGEAeQBcACIALAAgAFwAIgBOAFMAVwBcACIALAAgAFwAIgBrAGcAXAAiACwAIAAwAC4AMQAxADYALAAgAFwAIgBhAHQAIABtAGEAcgBrAGUAdABcACIAOwBcAG4AIAAgACAAIAAgACAAIAAgAFwAIgBGAGUAZQBkAFwAIgAsACAAXAAiAEgAYQB5AFwAIgAsACAAXAAiAEMAZQByAGUAYQBsACAAaABhAHkAXAAiACwAIABcACIAUQBMAEQAXAAiACwAIABcACIAawBnAFwAIgAsACAAMAAuADEAMQA4ACwAIABcACIAYQB0ACAAbQBhAHIAawBlAHQAXAAiADsAXABuACAAIAAgACAAIAAgACAAIABcACIARgBlAGUAZABcACIALAAgAFwAIgBIAGEAeQBcACIALAAgAFwAIgBDAGUAcgBlAGEAbAAgAGgAYQB5AFwAIgAsACAAXAAiAFMAQQBcACIALAAgAFwAIgBrAGcAXAAiACwAIAAwAC4AMQAxADEALAAgAFwAIgBhAHQAIABtAGEAcgBrAGUAdABcACIAOwBcAG4AIAAgACAAIAAgACAAIAAgAFwAIgBGAGUAZQBkAFwAIgAsACAAXAAiAEgAYQB5AFwAIgAsACAAXAAiAEMAZQByAGUAYQBsACAAaABhAHkAXAAiACwAIABcACIAVABBAFMAXAAiACwAIABcACIAawBnAFwAIgAsACAAMAAuADEAMwA5ACwAIABcACIAYQB0ACAAbQBhAHIAawBlAHQAXAAiADsAXABuACAAIAAgACAAIAAgACAAIABcACIARgBlAGUAZABcACIALAAgAFwAIgBIAGEAeQBcACIALAAgAFwAIgBDAGUAcgBlAGEAbAAgAGgAYQB5AFwAIgAsACAAXAAiAFYASQBDAFwAIgAsACAAXAAiAGsAZwBcACIALAAgADAALgAxADEANgAsACAAXAAiAGEAdAAgAG0AYQByAGsAZQB0AFwAIgA7AFwAbgAgACAAIAAgACAAIAAgACAAXAAiAEYAZQBlAGQAXAAiACwAIABcACIASABhAHkAXAAiACwAIABcACIAQwBlAHIAZQBhAGwAIABoAGEAeQBcACIALAAgAFwAIgBXAEEAXAAiACwAIABcACIAawBnAFwAIgAsACAAMAAuADEAMgAyACwAIABcACIAYQB0ACAAbQBhAHIAawBlAHQAXAAiADsAXABuACAAIAAgACAAIAAgACAAIABcACIARgBlAGUAZABcACIALAAgAFwAIgBIAGEAeQBcACIALAAgAFwAIgBDAGUAcgBlAGEAbAAgAHMAaQBsAGEAZwBlAFwAIgAsACAAXAAiAEEAdQBzAHQAcgBhAGwAaQBhAFwAIgAsACAAXAAiAGsAZwBcACIALAAgADAALgAwADcANAA0ACwAIABcACIAYQB0ACAAbQBhAHIAawBlAHQAXAAiADsAXABuACAAIAAgACAAIAAgACAAIABcACIARgBlAGUAZABcACIALAAgAFwAIgBIAGEAeQBcACIALAAgAFwAIgBDAGUAcgBlAGEAbAAgAHMAaQBsAGEAZwBlAFwAIgAsACAAXAAiAE4AUwBXAFwAIgAsACAAXAAiAGsAZwBcACIALAAgADAALgAwADcAMwA5ACwAIABcACIAYQB0ACAAbQBhAHIAawBlAHQAXAAiADsAXABuACAAIAAgACAAIAAgACAAIABcACIARgBlAGUAZABcACIALAAgAFwAIgBIAGEAeQBcACIALAAgAFwAIgBDAGUAcgBlAGEAbAAgAHMAaQBsAGEAZwBlAFwAIgAsACAAXAAiAFEATABEAFwAIgAsACAAXAAiAGsAZwBcACIALAAgADAALgAwADcAOQAsACAAXAAiAGEAdAAgAG0AYQByAGsAZQB0AFwAIgA7AFwAbgAgACAAIAAgACAAIAAgACAAXAAiAEYAZQBlAGQAXAAiACwAIABcACIASABhAHkAXAAiACwAIABcACIAQwBlAHIAZQBhAGwAIABzAGkAbABhAGcAZQBcACIALAAgAFwAIgBTAEEAXAAiACwAIABcACIAawBnAFwAIgAsACAAMAAuADAANwAwADYALAAgAFwAIgBhAHQAIABtAGEAcgBrAGUAdABcACIAOwBcAG4AIAAgACAAIAAgACAAIAAgAFwAIgBGAGUAZQBkAFwAIgAsACAAXAAiAEgAYQB5AFwAIgAsACAAXAAiAEMAZQByAGUAYQBsACAAcwBpAGwAYQBnAGUAXAAiACwAIABcACIAVABBAFMAXAAiACwAIABcACIAawBnAFwAIgAsACAAMAAuADAAOAAwADgALAAgAFwAIgBhAHQAIABtAGEAcgBrAGUAdABcACIAOwBcAG4AIAAgACAAIAAgACAAIAAgAFwAIgBGAGUAZQBkAFwAIgAsACAAXAAiAEgAYQB5AFwAIgAsACAAXAAiAEMAZQByAGUAYQBsACAAcwBpAGwAYQBnAGUAXAAiACwAIABcACIAVgBJAEMAXAAiACwAIABcACIAawBnAFwAIgAsACAAMAAuADAANwAzADYALAAgAFwAIgBhAHQAIABtAGEAcgBrAGUAdABcACIAOwBcAG4AIAAgACAAIAAgACAAIAAgAFwAIgBGAGUAZQBkAFwAIgAsACAAXAAiAEgAYQB5AFwAIgAsACAAXAAiAEwAdQBjAGUAcgBuAGUAIABoAGEAeQBcACIALAAgAFwAIgBBAHUAcwB0AHIAYQBsAGkAYQBcACIALAAgAFwAIgBrAGcAXAAiACwAIAAwAC4AMQAxADcALAAgAFwAIgBhAHQAIABtAGEAcgBrAGUAdABcACIAOwBcAG4AIAAgACAAIAAgACAAIAAgAFwAIgBGAGUAZQBkAFwAIgAsACAAXAAiAEgAYQB5AFwAIgAsACAAXAAiAEwAdQBjAGUAcgBuAGUAIABoAGEAeQBcACIALAAgAFwAIgBOAFMAVwBcACIALAAgAFwAIgBrAGcAXAAiACwAIAAwAC4AMQAxADMALAAgAFwAIgBhAHQAIABtAGEAcgBrAGUAdABcACIAOwBcAG4AIAAgACAAIAAgACAAIAAgAFwAIgBGAGUAZQBkAFwAIgAsACAAXAAiAEgAYQB5AFwAIgAsACAAXAAiAEwAdQBjAGUAcgBuAGUAIABoAGEAeQBcACIALAAgAFwAIgBRAEwARABcACIALAAgAFwAIgBrAGcAXAAiACwAIAAwAC4AMQA0ADMALAAgAFwAIgBhAHQAIABtAGEAcgBrAGUAdABcACIAOwBcAG4AIAAgACAAIAAgACAAIAAgAFwAIgBGAGUAZQBkAFwAIgAsACAAXAAiAEgAYQB5AFwAIgAsACAAXAAiAEwAdQBjAGUAcgBuAGUAIABoAGEAeQBcACIALAAgAFwAIgBTAEEAXAAiACwAIABcACIAawBnAFwAIgAsACAAMAAuADEAMAA2ACwAIABcACIAYQB0ACAAbQBhAHIAawBlAHQAXAAiADsAXABuACAAIAAgACAAIAAgACAAIABcACIARgBlAGUAZABcACIALAAgAFwAIgBIAGEAeQBcACIALAAgAFwAIgBMAHUAYwBlAHIAbgBlACAAaABhAHkAXAAiACwAIABcACIAVABBAFMAXAAiACwAIABcACIAawBnAFwAIgAsACAAMAAuADEAMQAzACwAIABcACIAYQB0ACAAbQBhAHIAawBlAHQAXAAiADsAXABuACAAIAAgACAAIAAgACAAIABcACIARgBlAGUAZABcACIALAAgAFwAIgBIAGEAeQBcACIALAAgAFwAIgBMAHUAYwBlAHIAbgBlACAAaABhAHkAXAAiACwAIABcACIAVgBJAEMAXAAiACwAIABcACIAawBnAFwAIgAsACAAMAAuADEAMAA2ACwAIABcACIAYQB0ACAAbQBhAHIAawBlAHQAXAAiADsAXABuACAAIAAgACAAIAAgACAAIABcACIARgBlAGUAZABcACIALAAgAFwAIgBIAGEAeQBcACIALAAgAFwAIgBNAGEAaQB6AGUAIABzAGkAbABhAGcAZQBcACIALAAgAFwAIgBWAEkAQwBcACIALAAgAFwAIgBrAGcAXAAiACwAIAAwAC4AMQA2ADMALAAgAFwAIgBhAHQAIABtAGEAcgBrAGUAdABcACIAOwBcAG4AIAAgACAAIAAgACAAIAAgAFwAIgBGAGUAZQBkAFwAIgAsACAAXAAiAEgAYQB5AFwAIgAsACAAXAAiAE8AYQB0AGUAbgAgAGgAYQB5AFwAIgAsACAAXAAiAEEAdQBzAHQAcgBhAGwAaQBhAFwAIgAsACAAXAAiAGsAZwBcACIALAAgADAALgAxADIALAAgAFwAIgBhAHQAIABtAGEAcgBrAGUAdABcACIAOwBcAG4AIAAgACAAIAAgACAAIAAgAFwAIgBGAGUAZQBkAFwAIgAsACAAXAAiAEgAYQB5AFwAIgAsACAAXAAiAE8AYQB0AGUAbgAgAGgAYQB5AFwAIgAsACAAXAAiAE4AUwBXAFwAIgAsACAAXAAiAGsAZwBcACIALAAgADAALgAxADEAOQAsACAAXAAiAGEAdAAgAG0AYQByAGsAZQB0AFwAIgA7AFwAbgAgACAAIAAgACAAIAAgACAAXAAiAEYAZQBlAGQAXAAiACwAIABcACIASABhAHkAXAAiACwAIABcACIATwBhAHQAZQBuACAAaABhAHkAXAAiACwAIABcACIAUQBMAEQAXAAiACwAIABcACIAawBnAFwAIgAsACAAMAAuADEAMQA3ACwAIABcACIAYQB0ACAAbQBhAHIAawBlAHQAXAAiADsAXABuACAAIAAgACAAIAAgACAAIABcACIARgBlAGUAZABcACIALAAgAFwAIgBIAGEAeQBcACIALAAgAFwAIgBPAGEAdABlAG4AIABoAGEAeQBcACIALAAgAFwAIgBTAEEAXAAiACwAIABcACIAawBnAFwAIgAsACAAMAAuADEAMQA0ACwAIABcACIAYQB0ACAAbQBhAHIAawBlAHQAXAAiADsAXABuACAAIAAgACAAIAAgACAAIABcACIARgBlAGUAZABcACIALAAgAFwAIgBIAGEAeQBcACIALAAgAFwAIgBPAGEAdABlAG4AIABoAGEAeQBcACIALAAgAFwAIgBWAEkAQwBcACIALAAgAFwAIgBrAGcAXAAiACwAIAAwAC4AMQAxADgALAAgAFwAIgBhAHQAIABtAGEAcgBrAGUAdABcACIAOwBcAG4AIAAgACAAIAAgACAAIAAgAFwAIgBGAGUAZQBkAFwAIgAsACAAXAAiAEgAYQB5AFwAIgAsACAAXAAiAE8AYQB0AGUAbgAgAGgAYQB5AFwAIgAsACAAXAAiAFcAQQBcACIALAAgAFwAIgBrAGcAXAAiACwAIAAwAC4AMQAyADQALAAgAFwAIgBhAHQAIABtAGEAcgBrAGUAdABcACIAOwBcAG4AIAAgACAAIAAgACAAIAAgAFwAIgBGAGUAZQBkAFwAIgAsACAAXAAiAEgAYQB5AFwAIgAsACAAXAAiAFAAYQBzAHQAdQByAGUAIABoAGEAeQBcACIALAAgAFwAIgBBAHUAcwB0AHIAYQBsAGkAYQBcACIALAAgAFwAIgBrAGcAXAAiACwAIAAwAC4AMwAzADkALAAgAFwAIgBhAHQAIABtAGEAcgBrAGUAdABcACIAOwBcAG4AIAAgACAAIAAgACAAIAAgAFwAIgBGAGUAZQBkAFwAIgAsACAAXAAiAEgAYQB5AFwAIgAsACAAXAAiAFAAYQBzAHQAdQByAGUAIABoAGEAeQBcACIALAAgAFwAIgBOAFMAVwBcACIALAAgAFwAIgBrAGcAXAAiACwAIAAwAC4AMwAxADEALAAgAFwAIgBhAHQAIABtAGEAcgBrAGUAdABcACIAOwBcAG4AIAAgACAAIAAgACAAIAAgAFwAIgBGAGUAZQBkAFwAIgAsACAAXAAiAEgAYQB5AFwAIgAsACAAXAAiAFAAYQBzAHQAdQByAGUAIABoAGEAeQBcACIALAAgAFwAIgBRAEwARABcACIALAAgAFwAIgBrAGcAXAAiACwAIAAwAC4AMgA1ADQALAAgAFwAIgBhAHQAIABtAGEAcgBrAGUAdABcACIAOwBcAG4AIAAgACAAIAAgACAAIAAgAFwAIgBGAGUAZQBkAFwAIgAsACAAXAAiAEgAYQB5AFwAIgAsACAAXAAiAFAAYQBzAHQAdQByAGUAIABoAGEAeQBcACIALAAgAFwAIgBTAEEAXAAiACwAIABcACIAawBnAFwAIgAsACAAMAAuADMAMQAzACwAIABcACIAYQB0ACAAbQBhAHIAawBlAHQAXAAiADsAXABuACAAIAAgACAAIAAgACAAIABcACIARgBlAGUAZABcACIALAAgAFwAIgBIAGEAeQBcACIALAAgAFwAIgBQAGEAcwB0AHUAcgBlACAAaABhAHkAXAAiACwAIABcACIAVABBAFMAXAAiACwAIABcACIAawBnAFwAIgAsACAAMAAuADMAOQA4ACwAIABcACIAYQB0ACAAbQBhAHIAawBlAHQAXAAiADsAXABuACAAIAAgACAAIAAgACAAIABcACIARgBlAGUAZABcACIALAAgAFwAIgBIAGEAeQBcACIALAAgAFwAIgBQAGEAcwB0AHUAcgBlACAAaABhAHkAXAAiACwAIABcACIAVgBJAEMAXAAiACwAIABcACIAawBnAFwAIgAsACAAMAAuADMANAA1ACwAIABcACIAYQB0ACAAbQBhAHIAawBlAHQAXAAiADsAXABuACAAIAAgACAAIAAgACAAIABcACIARgBlAGUAZABcACIALAAgAFwAIgBIAGEAeQBcACIALAAgAFwAIgBQAGEAcwB0AHUAcgBlACAAaABhAHkAXAAiACwAIABcACIAVwBBAFwAIgAsACAAXAAiAGsAZwBcACIALAAgADAALgAzADYAOAAsACAAXAAiAGEAdAAgAG0AYQByAGsAZQB0AFwAIgA7AFwAbgAgACAAIAAgACAAIAAgACAAXAAiAEYAZQBlAGQAXAAiACwAIABcACIATQBlAGEAbABcACIALAAgAFwAIgBDAGEAbgBvAGwAYQAgAG0AZQBhAGwAXAAiACwAIABcACIAQQB1AHMAdAByAGEAbABpAGEAXAAiACwAIABcACIAawBnAFwAIgAsACAAMAAuADIANAA0ACwAIABcACIAYQB0ACAAbQBhAHIAawBlAHQAXAAiADsAXABuACAAIAAgACAAIAAgACAAIABcACIARgBlAGUAZABcACIALAAgAFwAIgBNAGUAYQBsAFwAIgAsACAAXAAiAE0AZQBhAHQAIABtAGUAYQBsAFwAIgAsACAAXAAiAEEAdQBzAHQAcgBhAGwAaQBhAFwAIgAsACAAXAAiAGsAZwBcACIALAAgADAALgA0ADAAOAAsACAAXAAiAGEAdAAgAG0AYQByAGsAZQB0AFwAIgA7AFwAbgAgACAAIAAgACAAIAAgACAAXAAiAEYAZQBlAGQAXAAiACwAIABcACIATQBlAGEAbABcACIALAAgAFwAIgBTAG8AeQBiAGUAYQBuACAAbQBlAGEAbABcACIALAAgAFwAIgBCAHIAYQB6AGkAbABcACIALAAgAFwAIgBrAGcAXAAiACwAIAAwAC4ANAAyADYALAAgAFwAIgBhAHQAIABtAGEAcgBrAGUAdABcACIAOwBcAG4AIAAgACAAIAAgACAAIAAgAFwAIgBGAGUAZQBkAFwAIgAsACAAXAAiAE0AZQBhAGwAXAAiACwAIABcACIAVwBoAGUAYQB0ACAAYgByAGEAbgBcACIALAAgAFwAIgBBAHUAcwB0AHIAYQBsAGkAYQBcACIALAAgAFwAIgBrAGcAXAAiACwAIAAwAC4AMQA5ADYALAAgAFwAIgBhAHQAIABtAGEAcgBrAGUAdABcACIAOwBcAG4AIAAgACAAIAAgACAAIAAgAFwAIgBGAGUAZQBkAFwAIgAsACAAXAAiAE0AaQB4AGUAZAAgAHIAYQB0AGkAbwBuAHMAXAAiACwAIABcACIARgBlAGUAZAAgAGYAbwByACAAYwBoAGkAYwBrAGUAbgBzAFwAIgAsACAAXAAiAEEAdQBzAHQAcgBhAGwAaQBhAFwAIgAsACAAXAAiAGsAZwBcACIALAAgADAALgA1ADkANAAsACAAXAAiAGEAdAAgAG0AYQByAGsAZQB0AFwAIgA7AFwAbgAgACAAIAAgACAAIAAgACAAXAAiAEYAZQBlAGQAXAAiACwAIABcACIATQBpAHgAZQBkACAAcgBhAHQAaQBvAG4AcwBcACIALAAgAFwAIgBGAGUAZQBkACAAZgBvAHIAIABkAGEAaQByAHkAIABjAGEAbAB2AGUAcwBcACIALAAgAFwAIgBBAHUAcwB0AHIAYQBsAGkAYQBcACIALAAgAFwAIgBrAGcAXAAiACwAIAAwAC4ANAAxADkALAAgAFwAIgBhAHQAIABtAGEAcgBrAGUAdABcACIAOwBcAG4AIAAgACAAIAAgACAAIAAgAFwAIgBGAGUAZQBkAFwAIgAsACAAXAAiAE0AaQB4AGUAZAAgAHIAYQB0AGkAbwBuAHMAXAAiACwAIABcACIARgBlAGUAZAAgAGYAbwByACAAZABhAGkAcgB5ACAAYwBvAHcAcwBcACIALAAgAFwAIgBBAHUAcwB0AHIAYQBsAGkAYQBcACIALAAgAFwAIgBrAGcAXAAiACwAIAAwAC4AMwAzADMALAAgAFwAIgBhAHQAIABtAGEAcgBrAGUAdABcACIAOwBcAG4AIAAgACAAIAAgACAAIAAgAFwAIgBGAGUAZQBkAFwAIgAsACAAXAAiAE0AaQB4AGUAZAAgAHIAYQB0AGkAbwBuAHMAXAAiACwAIABcACIARgBlAGUAZAAgAGYAbwByACAAcABpAGcAcwBcACIALAAgAFwAIgBBAHUAcwB0AHIAYQBsAGkAYQBcACIALAAgAFwAIgBrAGcAXAAiACwAIAAwAC4ANAAwADMALAAgAFwAIgBhAHQAIABtAGEAcgBrAGUAdABcACIAOwBcAG4AIAAgACAAIAAgACAAIAAgAFwAIgBGAGUAZQBkAFwAIgAsACAAXAAiAE8AdABoAGUAcgBcACIALAAgAFwAIgBCAGUAbgB0AG8AbgBpAHQAZQBcACIALAAgAFwAIgBBAHUAcwB0AHIAYQBsAGkAYQBcACIALAAgAFwAIgBrAGcAXAAiACwAIAAwAC4AMAA2ADUAMgAsACAAXAAiAGEAdAAgAG0AYQByAGsAZQB0AFwAIgA7AFwAbgAgACAAIAAgACAAIAAgACAAXAAiAEYAZQBlAGQAXAAiACwAIABcACIATwB0AGgAZQByAFwAIgAsACAAXAAiAEMAYQBuAG8AbABhACAAbwBpAGwAXAAiACwAIABcACIAQQB1AHMAdAByAGEAbABpAGEAXAAiACwAIABcACIAawBnAFwAIgAsACAAMAAuADgANwAsACAAXAAiAGEAdAAgAG0AYQByAGsAZQB0AFwAIgA7AFwAbgAgACAAIAAgACAAIAAgACAAXAAiAEYAZQBlAGQAXAAiACwAIABcACIATwB0AGgAZQByAFwAIgAsACAAXAAiAEMAbwB0AHQAbwBuACAAcwBlAGUAZABcACIALAAgAFwAIgBBAHUAcwB0AHIAYQBsAGkAYQBcACIALAAgAFwAIgBrAGcAXAAiACwAIAAwAC4AMQA5ADcALAAgAFwAIgBhAHQAIABtAGEAcgBrAGUAdABcACIAOwBcAG4AIAAgACAAIAAgACAAIAAgAFwAIgBGAGUAZQBkAFwAIgAsACAAXAAiAE8AdABoAGUAcgBcACIALAAgAFwAIgBMAGkAYwBrACAAYgBsAG8AYwBrACwAIABkAHIAeQAgAHMAZQBhAHMAbwBuACAAbQBpAHgAXAAiACwAIABcACIAQQB1AHMAdAByAGEAbABpAGEAXAAiACwAIABcACIAawBnAFwAIgAsACAAMAAuADgAOAAxACwAIABcACIAYQB0ACAAbQBhAHIAawBlAHQAXAAiADsAXABuACAAIAAgACAAIAAgACAAIABcACIARgBlAGUAZABcACIALAAgAFwAIgBPAHQAaABlAHIAXAAiACwAIABcACIATABpAGMAawAgAGIAbABvAGMAawAsACAAbQBpAG4AZQByAGEAbABcACIALAAgAFwAIgBBAHUAcwB0AHIAYQBsAGkAYQBcACIALAAgAFwAIgBrAGcAXAAiACwAIAAwAC4ANgA3ADcALAAgAFwAIgBhAHQAIABtAGEAcgBrAGUAdABcACIAOwBcAG4AIAAgACAAIAAgACAAIAAgAFwAIgBGAGUAZQBkAFwAIgAsACAAXAAiAE8AdABoAGUAcgBcACIALAAgAFwAIgBMAGkAYwBrACAAYgBsAG8AYwBrACwAIAB3AGUAYQBuAGUAcgBcACIALAAgAFwAIgBBAHUAcwB0AHIAYQBsAGkAYQBcACIALAAgAFwAIgBrAGcAXAAiACwAIAAwAC4AMgAzADEALAAgAFwAIgBhAHQAIABtAGEAcgBrAGUAdABcACIAOwBcAG4AIAAgACAAIAAgACAAIAAgAFwAIgBGAGUAZQBkAFwAIgAsACAAXAAiAE8AdABoAGUAcgBcACIALAAgAFwAIgBNAG8AbABhAHMAcwBlAHMAXAAiACwAIABcACIAUQBMAEQAXAAiACwAIABcACIAawBnAFwAIgAsACAAMAAuADEAOAA0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J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UwBjAG8AcABlADMAXwBJAG4AbwByAGcAYQBuAGkAYwBGAGUAcgB0AGkAbABpAHMAZQByAHMAXwBUAGkAdABsAGUAXABuAD0ATABBAE0AQgBEAEEAKAAoAFwAIgBJAG4AbwByAGcAYQBuAGkAYwAgAGYAZQByAHQAaQBsAGkAcwBlAHIAIABjAGgAZQBtAGkAYwBhAGwAIABjAG8AbQBwAG8AdQBuAGQAIABzAGMAbwBwAGUAIAAzAFwAIgApACkAOwBcAG4AXABuAFMAYwBvAHAAZQAzAF8ASQBuAG8AcgBnAGEAbgBpAGMARgBlAHIAdABpAGwAaQBzAGUAcg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SQBuAG8AcgBnAGEAbgBpAGMARgBlAHIAdABpAGwAaQBzAGUAcgBzAF8AVgBhAHIAaQBhAHQAaQBvAG4AXABuAD0ATABBAE0AQgBEAEEAKAAoAFwAIgBcACIAKQApADsAXABuAFwAbgBTAGMAbwBwAGUAMwBfAEkAbgBvAHIAZwBhAG4AaQBjAEYAZQByAHQAaQBsAGkAcwBlAHIAcwBfAEQAYQB0AGEAXABuAD0ATABBAE0AQgBEAEEAKABcAG4AIAAgAE0AQQBLAEUAQQBSAFIAQQBZACgAMgA2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RgBlAHIAdABpAGwAaQBzAGUAcgBzAFwAIgAsACAAXAAiAEkAbgBvAHIAZwBhAG4AaQBjACAAZgBlAHIAdABpAGwAaQBzAGUAcgBzAFwAIgAsACAAXAAiAEEAbQBtAG8AbgBpAGEALAAgAEEAVQAgAG0AYQByAGsAZQB0ACAAbQBpAHgAXAAiACwAIABcACIARwBsAG8AYgBhAGwAXAAiACwAIABcACIAawBnAFwAIgAsACAAMgAuADMAMgAsACAAXAAiAGEAdAAgAG0AYQByAGsAZQB0AFwAIgA7AFwAbgAgACAAIAAgACAAIAAgACAAXAAiAEYAZQByAHQAaQBsAGkAcwBlAHIAcwBcACIALAAgAFwAIgBJAG4AbwByAGcAYQBuAGkAYwAgAGYAZQByAHQAaQBsAGkAcwBlAHIAcwBcACIALAAgAFwAIgBBAG0AbQBvAG4AaQBhACwAIABDAGEAbgBhAGQAYQBcACIALAAgAFwAIgBDAGEAbgBhAGQAYQBcACIALAAgAFwAIgBrAGcAXAAiACwAIAAyAC4AMQAyACwAIABcACIAYQB0ACAAbQBhAHIAawBlAHQAXAAiADsAXABuACAAIAAgACAAIAAgACAAIABcACIARgBlAHIAdABpAGwAaQBzAGUAcgBzAFwAIgAsACAAXAAiAEkAbgBvAHIAZwBhAG4AaQBjACAAZgBlAHIAdABpAGwAaQBzAGUAcgBzAFwAIgAsACAAXAAiAEEAbQBtAG8AbgBpAGEALAAgAEMAaABpAG4AYQBcACIALAAgAFwAIgBDAGgAaQBuAGEAXAAiACwAIABcACIAawBnAFwAIgAsACAANAAuADEANwAsACAAXAAiAGEAdAAgAG0AYQByAGsAZQB0AFwAIgA7AFwAbgAgACAAIAAgACAAIAAgACAAXAAiAEYAZQByAHQAaQBsAGkAcwBlAHIAcwBcACIALAAgAFwAIgBJAG4AbwByAGcAYQBuAGkAYwAgAGYAZQByAHQAaQBsAGkAcwBlAHIAcwBcACIALAAgAFwAIgBBAG0AbQBvAG4AaQBhACwAIABZAGUAbQBlAG4AXAAiACwAIABcACIAWQBlAG0AZQBuAFwAIgAsACAAXAAiAGsAZwBcACIALAAgADIALgAyADYALAAgAFwAIgBhAHQAIABtAGEAcgBrAGUAdABcACIAOwBcAG4AIAAgACAAIAAgACAAIAAgAFwAIgBGAGUAcgB0AGkAbABpAHMAZQByAHMAXAAiACwAIABcACIASQBuAG8AcgBnAGEAbgBpAGMAIABmAGUAcgB0AGkAbABpAHMAZQByAHMAXAAiACwAIABcACIAQQBtAG0AbwBuAGkAdQBtACAAbgBpAHQAcgBhAHQAZQAsACAAQQBVACAAbQBhAHIAawBlAHQAIABtAGkAeABcACIALAAgAFwAIgBHAGwAbwBiAGEAbABcACIALAAgAFwAIgBrAGcAXAAiACwAIAAyAC4AMgAxACwAIABcACIAYQB0ACAAbQBhAHIAawBlAHQAXAAiADsAXABuACAAIAAgACAAIAAgACAAIABcACIARgBlAHIAdABpAGwAaQBzAGUAcgBzAFwAIgAsACAAXAAiAEkAbgBvAHIAZwBhAG4AaQBjACAAZgBlAHIAdABpAGwAaQBzAGUAcgBzAFwAIgAsACAAXAAiAEMAYQBsAGMAaQB1AG0AIABhAG0AbQBvAG4AaQB1AG0AIABuAGkAdAByAGEAdABlACwAIABBAFUAIABtAGEAcgBrAGUAdAAgAG0AaQB4AFwAIgAsACAAXAAiAEcAbABvAGIAYQBsAFwAIgAsACAAXAAiAGsAZwBcACIALAAgADEALgAxADUALAAgAFwAIgBhAHQAIABtAGEAcgBrAGUAdABcACIAOwBcAG4AIAAgACAAIAAgACAAIAAgAFwAIgBGAGUAcgB0AGkAbABpAHMAZQByAHMAXAAiACwAIABcACIASQBuAG8AcgBnAGEAbgBpAGMAIABmAGUAcgB0AGkAbABpAHMAZQByAHMAXAAiACwAIABcACIAQwBhAGwAYwBpAHUAbQAgAG4AaQB0AHIAYQB0AGUAXAAiACwAIABcACIARwBsAG8AYgBhAGwAXAAiACwAIABcACIAawBnAFwAIgAsACAAMAAuADcANQAsACAAXAAiAGEAdAAgAG0AYQByAGsAZQB0AFwAIgA7AFwAbgAgACAAIAAgACAAIAAgACAAXAAiAEYAZQByAHQAaQBsAGkAcwBlAHIAcwBcACIALAAgAFwAIgBJAG4AbwByAGcAYQBuAGkAYwAgAGYAZQByAHQAaQBsAGkAcwBlAHIAcwBcACIALAAgAFwAIgBEAGkAYQBtAG0AbwBuAGkAdQBtACAAcABoAG8AcwBwAGgAYQB0AGUALAAgAEEAVQAgAG0AYQByAGsAZQB0ACAAbQBpAHgAXAAiACwAIABcACIARwBsAG8AYgBhAGwAXAAiACwAIABcACIAawBnAFwAIgAsACAAMQAuADMANAAsACAAXAAiAGEAdAAgAG0AYQByAGsAZQB0AFwAIgA7AFwAbgAgACAAIAAgACAAIAAgACAAXAAiAEYAZQByAHQAaQBsAGkAcwBlAHIAcwBcACIALAAgAFwAIgBJAG4AbwByAGcAYQBuAGkAYwAgAGYAZQByAHQAaQBsAGkAcwBlAHIAcwBcACIALAAgAFwAIgBEAG8AdQBiAGwAZQAgAHMAdQBwAGUAcgBwAGgAbwBzAHAAaABhAHQAZQAsACAAQQBVACAAbQBhAHIAawBlAHQAIABtAGkAeABcACIALAAgAFwAIgBHAGwAbwBiAGEAbABcACIALAAgAFwAIgBrAGcAXAAiACwAIAAwAC4AMwA5ADIALAAgAFwAIgBhAHQAIABtAGEAcgBrAGUAdABcACIAOwBcAG4AIAAgACAAIAAgACAAIAAgAFwAIgBGAGUAcgB0AGkAbABpAHMAZQByAHMAXAAiACwAIABcACIASQBuAG8AcgBnAGEAbgBpAGMAIABmAGUAcgB0AGkAbABpAHMAZQByAHMAXAAiACwAIABcACIATQBvAG4AbwBhAG0AbQBvAG4AaQB1AG0AIABwAGgAbwBzAHAAaABhAHQAZQAsACAAQQBVACAAbQBhAHIAawBlAHQAIABtAGkAeABcACIALAAgAFwAIgBHAGwAbwBiAGEAbABcACIALAAgAFwAIgBrAGcAXAAiACwAIAAwAC4AOAAyADcALAAgAFwAIgBhAHQAIABtAGEAcgBrAGUAdABcACIAOwBcAG4AIAAgACAAIAAgACAAIAAgAFwAIgBGAGUAcgB0AGkAbABpAHMAZQByAHMAXAAiACwAIABcACIASQBuAG8AcgBnAGEAbgBpAGMAIABmAGUAcgB0AGkAbABpAHMAZQByAHMAXAAiACwAIABcACIATQB1AHIAaQBhAHQAZQAgAG8AZgAgAHAAbwB0AGEAcwBoACwAIABBAFUAIABtAGEAcgBrAGUAdAAgAG0AaQB4AFwAIgAsACAAXAAiAEcAbABvAGIAYQBsAFwAIgAsACAAXAAiAGsAZwBcACIALAAgADAALgA1ADQAOQAsACAAXAAiAGEAdAAgAG0AYQByAGsAZQB0AFwAIgA7AFwAbgAgACAAIAAgACAAIAAgACAAXAAiAEYAZQByAHQAaQBsAGkAcwBlAHIAcwBcACIALAAgAFwAIgBJAG4AbwByAGcAYQBuAGkAYwAgAGYAZQByAHQAaQBsAGkAcwBlAHIAcwBcACIALAAgAFwAIgBOAGkAdAByAG8AZwBlAG4AIABmAHIAbwBtACAAYQBtAG0AbwBuAGkAYQAsACAAQQBVACAAbQBhAHIAawBlAHQAIABtAGkAeABcACIALAAgAFwAIgBHAGwAbwBiAGEAbABcACIALAAgAFwAIgBrAGcAIABOAFwAIgAsACAAMgAuADgAMwAsACAAXAAiAGEAdAAgAG0AYQByAGsAZQB0AFwAIgA7AFwAbgAgACAAIAAgACAAIAAgACAAXAAiAEYAZQByAHQAaQBsAGkAcwBlAHIAcwBcACIALAAgAFwAIgBJAG4AbwByAGcAYQBuAGkAYwAgAGYAZQByAHQAaQBsAGkAcwBlAHIAcwBcACIALAAgAFwAIgBOAGkAdAByAG8AZwBlAG4AIABmAHIAbwBtACAAZgBlAHIAdABpAGwAaQB6AGUAcgAsACAAQQBVACAAbQBhAHIAawBlAHQAIABtAGkAeABcACIALAAgAFwAIgBHAGwAbwBiAGEAbABcACIALAAgAFwAIgBrAGcAIABOAFwAIgAsACAANAAuADIALAAgAFwAIgBhAHQAIABtAGEAcgBrAGUAdABcACIAOwBcAG4AIAAgACAAIAAgACAAIAAgAFwAIgBGAGUAcgB0AGkAbABpAHMAZQByAHMAXAAiACwAIABcACIASQBuAG8AcgBnAGEAbgBpAGMAIABmAGUAcgB0AGkAbABpAHMAZQByAHMAXAAiACwAIABcACIATgBpAHQAcgBvAGcAZQBuACAAZgByAG8AbQAgAG4AaQB0AHIAYQB0AGUAIABmAGUAcgB0AGkAbABpAHoAZQByACwAIABBAFUAIABtAGEAcgBrAGUAdAAgAG0AaQB4AFwAIgAsACAAXAAiAEcAbABvAGIAYQBsAFwAIgAsACAAXAAiAGsAZwAgAE4AXAAiACwAIAA1AC4ANAA3ACwAIABcACIAYQB0ACAAbQBhAHIAawBlAHQAXAAiADsAXABuACAAIAAgACAAIAAgACAAIABcACIARgBlAHIAdABpAGwAaQBzAGUAcgBzAFwAIgAsACAAXAAiAEkAbgBvAHIAZwBhAG4AaQBjACAAZgBlAHIAdABpAGwAaQBzAGUAcgBzAFwAIgAsACAAXAAiAFAAaABvAHMAcABoAG8AcgB1AHMAIABmAHIAbwBtACAAZgBlAHIAdABpAGwAaQB6AGUAcgAsACAAQQBVACAAbQBhAHIAawBlAHQAIABtAGkAeABcACIALAAgAFwAIgBHAGwAbwBiAGEAbABcACIALAAgAFwAIgBrAGcAIABQAFwAIgAsACAAMwAuADkANgAsACAAXAAiAGEAdAAgAG0AYQByAGsAZQB0AFwAIgA7AFwAbgAgACAAIAAgACAAIAAgACAAXAAiAEYAZQByAHQAaQBsAGkAcwBlAHIAcwBcACIALAAgAFwAIgBJAG4AbwByAGcAYQBuAGkAYwAgAGYAZQByAHQAaQBsAGkAcwBlAHIAcwBcACIALAAgAFwAIgBQAG8AdABhAHMAcwBpAHUAbQAgAGYAcgBvAG0AIABmAGUAcgB0AGkAbABpAHoAZQByACwAIABBAFUAIABtAGEAcgBrAGUAdAAgAG0AaQB4AFwAIgAsACAAXAAiAEcAbABvAGIAYQBsAFwAIgAsACAAXAAiAGsAZwAgAEsAXAAiACwAIAAwAC4AOQAwADkALAAgAFwAIgBhAHQAIABtAGEAcgBrAGUAdABcACIAOwBcAG4AIAAgACAAIAAgACAAIAAgAFwAIgBGAGUAcgB0AGkAbABpAHMAZQByAHMAXAAiACwAIABcACIASQBuAG8AcgBnAGEAbgBpAGMAIABmAGUAcgB0AGkAbABpAHMAZQByAHMAXAAiACwAIABcACIAUwBpAG4AZwBsAGUAIABzAHUAcABlAHIAcABoAG8AcwBwAGgAYQB0AGUALAAgAEEAVQAgAG0AYQByAGsAZQB0ACAAbQBpAHgAXAAiACwAIABcACIARwBsAG8AYgBhAGwAXAAiACwAIABcACIAawBnAFwAIgAsACAAMAAuADIAMgA3ACwAIABcACIAYQB0ACAAbQBhAHIAawBlAHQAXAAiADsAXABuACAAIAAgACAAIAAgACAAIABcACIARgBlAHIAdABpAGwAaQBzAGUAcgBzAFwAIgAsACAAXAAiAEkAbgBvAHIAZwBhAG4AaQBjACAAZgBlAHIAdABpAGwAaQBzAGUAcgBzAFwAIgAsACAAXAAiAFMAdQBsAGYAdQByACAAZgByAG8AbQAgAGYAZQByAHQAaQBsAGkAegBlAHIALAAgAEEAVQAgAG0AYQByAGsAZQB0ACAAbQBpAHgAXAAiACwAIABcACIARwBsAG8AYgBhAGwAXAAiACwAIABcACIAawBnACAAUwBcACIALAAgADIALgA1ACwAIABcACIAYQB0ACAAbQBhAHIAawBlAHQAXAAiADsAXABuACAAIAAgACAAIAAgACAAIABcACIARgBlAHIAdABpAGwAaQBzAGUAcgBzAFwAIgAsACAAXAAiAEkAbgBvAHIAZwBhAG4AaQBjACAAZgBlAHIAdABpAGwAaQBzAGUAcgBzAFwAIgAsACAAXAAiAEEAbQBtAG8AbgBpAHUAbQAgAHMAdQBsAHAAaABhAHQAZQAsACAAQQBVACAAbQBhAHIAawBlAHQAIABtAGkAeABcACIALAAgAFwAIgBHAGwAbwBiAGEAbABcACIALAAgAFwAIgBrAGcAXAAiACwAIAAwAC4AOAA2ADUALAAgAFwAIgBhAHQAIABtAGEAcgBrAGUAdABcACIAOwBcAG4AIAAgACAAIAAgACAAIAAgAFwAIgBGAGUAcgB0AGkAbABpAHMAZQByAHMAXAAiACwAIABcACIASQBuAG8AcgBnAGEAbgBpAGMAIABmAGUAcgB0AGkAbABpAHMAZQByAHMAXAAiACwAIABcACIAVQByAGUAYQAgAGEAbQBtAG8AbgBpAHUAbQAgAG4AaQB0AHIAYQB0AGUALAAgAEEAVQAgAG0AYQByAGsAZQB0ACAAbQBpAHgAXAAiACwAIABcACIARwBsAG8AYgBhAGwAXAAiACwAIABcACIAawBnAFwAIgAsACAAMQAuADcANQAsACAAXAAiAGEAdAAgAG0AYQByAGsAZQB0AFwAIgA7AFwAbgAgACAAIAAgACAAIAAgACAAXAAiAEYAZQByAHQAaQBsAGkAcwBlAHIAcwBcACIALAAgAFwAIgBJAG4AbwByAGcAYQBuAGkAYwAgAGYAZQByAHQAaQBsAGkAcwBlAHIAcwBcACIALAAgAFwAIgBVAHIAZQBhACwAIABBAFUAIABtAGEAcgBrAGUAdAAgAG0AaQB4AFwAIgAsACAAXAAiAEcAbABvAGIAYQBsAFwAIgAsACAAXAAiAGsAZwBcACIALAAgADAALgA5ADYAOAAsACAAXAAiAGEAdAAgAG0AYQByAGsAZQB0AFwAIgA7AFwAbgAgACAAIAAgACAAIAAgACAAXAAiAEYAZQByAHQAaQBsAGkAcwBlAHIAcwBcACIALAAgAFwAIgBJAG4AbwByAGcAYQBuAGkAYwAgAGYAZQByAHQAaQBsAGkAcwBlAHIAcwBcACIALAAgAFwAIgBVAHIAZQBhACwAIABDAGEAbgBhAGQAYQBcACIALAAgAFwAIgBDAGEAbgBhAGQAYQBcACIALAAgAFwAIgBrAGcAXAAiACwAIAAwAC4AOAAyADMALAAgAFwAIgBhAHQAIABtAGEAcgBrAGUAdABcACIAOwBcAG4AIAAgACAAIAAgACAAIAAgAFwAIgBGAGUAcgB0AGkAbABpAHMAZQByAHMAXAAiACwAIABcACIASQBuAG8AcgBnAGEAbgBpAGMAIABmAGUAcgB0AGkAbABpAHMAZQByAHMAXAAiACwAIABcACIAVQByAGUAYQAsACAAQwBoAGkAbgBhAFwAIgAsACAAXAAiAEMAaABpAG4AYQBcACIALAAgAFwAIgBrAGcAXAAiACwAIAAyAC4AMAA5ACwAIABcACIAYQB0ACAAbQBhAHIAawBlAHQAXAAiADsAXABuACAAIAAgACAAIAAgACAAIABcACIARgBlAHIAdABpAGwAaQBzAGUAcgBzAFwAIgAsACAAXAAiAEkAbgBvAHIAZwBhAG4AaQBjACAAZgBlAHIAdABpAGwAaQBzAGUAcgBzAFwAIgAsACAAXAAiAFUAcgBlAGEALAAgAFkAZQBtAGUAbgBcACIALAAgAFwAIgBZAGUAbQBlAG4AXAAiACwAIABcACIAawBnAFwAIgAsACAAMAAuADkANgAzACwAIABcACIAYQB0ACAAbQBhAHIAawBlAHQAXAAiADsAXABuACAAIAAgACAAIAAgACAAIABcACIARgBlAHIAdABpAGwAaQBzAGUAcgBzAFwAIgAsACAAXAAiAEkAbgBvAHIAZwBhAG4AaQBjACAAZgBlAHIAdABpAGwAaQBzAGUAcgBzAFwAIgAsACAAXAAiAFoAaQBuAGMAIABmAHIAbwBtACAAZgBlAHIAdABpAGwAaQB6AGUAcgBcACIALAAgAFwAIgBHAGwAbwBiAGEAbABcACIALAAgAFwAIgBrAGcAIABaAG4AXAAiACwAIAA0AC4AOAAy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PAHQAaABlAHIAIABhAGcAcgBpAGMAdQBsAHQAdQByAGEAbAAgAGkAbgBwAHUAdABzAFwAbgA9AD0APQA9AD0APQA9AD0APQA9AD0APQA9AD0APQA9AD0APQA9AD0APQA9AD0APQA9AD0APQA9AD0APQA9AD0APQA9AD0APQA9AD0APQA9AD0APQA9AD0APQA9AD0APQA9AD0APQA9AD0APQA9AD0APQA9AD0APQA9AD0APQA9AD0APQA9AD0APQA9AD0APQA9AD0APQA9AFwAbgAqAC8AXABuAFwAbgBTAGMAbwBwAGUAMwBfAE8AdABoAGUAcgBfAFQAaQB0AGwAZQBcAG4APQBMAEEATQBCAEQAQQAoACgAXAAiAE8AdABoAGUAcgAgAGEAZwByAGkAYwB1AGwAdAB1AHIAYQBsACAAaQBuAHAAdQB0AHMAIABzAGMAbwBwAGUAIAAzAFwAIgApACkAOwBcAG4AXABuAFMAYwBvAHAAZQAzAF8ATwB0AGgAZQBy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TwB0AGgAZQByAF8AVgBhAHIAaQBhAHQAaQBvAG4AXABuAD0ATABBAE0AQgBEAEEAKAAoAFwAIgBcACIAKQApADsAXABuAFwAbgBTAGMAbwBwAGUAMwBfAE8AdABoAGUAcgBfAEQAYQB0AGEAXABuAD0ATABBAE0AQgBEAEEAKABcAG4AIAAgAE0AQQBLAEUAQQBSAFIAQQBZACgAOQ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8AdABoAGUAcgBcACIALAAgAFwAIgBPAHQAaABlAHIAXAAiACwAIABcACIAQQBuAGkAbQBhAGwAIABlAGEAcgAgAHQAYQBnAHMAIAAoAGwAYQByAGcAZQApAFwAIgAsACAAXAAiAEEAdQBzAHQAcgBhAGwAaQBhAFwAIgAsACAAXAAiAHAAXAAiACwAIAAwAC4AMAA0ADIANAAsACAAXAAiAGEAdAAgAG0AYQByAGsAZQB0AFwAIgA7AFwAbgAgACAAIAAgACAAIAAgACAAXAAiAE8AdABoAGUAcgBcACIALAAgAFwAIgBPAHQAaABlAHIAXAAiACwAIABcACIAQQBuAGkAbQBhAGwAIABlAGEAcgAgAHQAYQBnAHMAIAAoAHMAbQBhAGwAbAApAFwAIgAsACAAXAAiAEEAdQBzAHQAcgBhAGwAaQBhAFwAIgAsACAAXAAiAHAAXAAiACwAIAAwAC4AMAAyADkAMwAsACAAXAAiAGEAdAAgAG0AYQByAGsAZQB0AFwAIgA7AFwAbgAgACAAIAAgACAAIAAgACAAXAAiAE8AdABoAGUAcgBcACIALAAgAFwAIgBPAHQAaABlAHIAXAAiACwAIABcACIAQgBhAHIAbABlAHkAIABnAHIAYQBpAG4AIAAoAGYAbwByACAAcwBlAGUAZAApAFwAIgAsACAAXAAiAEEAdQBzAHQAcgBhAGwAaQBhAFwAIgAsACAAXAAiAGsAZwBcACIALAAgADAALgAyADMAOQAsACAAXAAiAGEAdAAgAG0AYQByAGsAZQB0AFwAIgA7AFwAbgAgACAAIAAgACAAIAAgACAAXAAiAE8AdABoAGUAcgBcACIALAAgAFwAIgBPAHQAaABlAHIAXAAiACwAIABcACIATQBhAGkAegBlACAAZwByAGEAaQBuACAAKABmAG8AcgAgAHMAZQBlAGQAKQBcACIALAAgAFwAIgBBAHUAcwB0AHIAYQBsAGkAYQBcACIALAAgAFwAIgBrAGcAXAAiACwAIAAwAC4AMQA4ADEALAAgAFwAIgBhAHQAIABtAGEAcgBrAGUAdABcACIAOwBcAG4AIAAgACAAIAAgACAAIAAgAFwAIgBPAHQAaABlAHIAXAAiACwAIABcACIATwB0AGgAZQByAFwAIgAsACAAXAAiAE4AeQBsAG8AbgAgAG4AZQB0AHQAaQBuAGcAXAAiACwAIABcACIARwBsAG8AYgBhAGwAXAAiACwAIABcACIAawBnAFwAIgAsACAAOQAuADgAMQAsACAAXAAiAGEAdAAgAG0AYQByAGsAZQB0AFwAIgA7AFwAbgAgACAAIAAgACAAIAAgACAAXAAiAE8AdABoAGUAcgBcACIALAAgAFwAIgBPAHQAaABlAHIAXAAiACwAIABcACIATwBhAHQAIABnAHIAYQBpAG4AIAAoAGYAbwByACAAcwBlAGUAZAApAFwAIgAsACAAXAAiAEEAdQBzAHQAcgBhAGwAaQBhAFwAIgAsACAAXAAiAGsAZwBcACIALAAgADAALgAyADcALAAgAFwAIgBhAHQAIABtAGEAcgBrAGUAdABcACIAOwBcAG4AIAAgACAAIAAgACAAIAAgAFwAIgBPAHQAaABlAHIAXAAiACwAIABcACIATwB0AGgAZQByAFwAIgAsACAAXAAiAFMAbwByAGcAaAB1AG0AIABnAHIAYQBpAG4AIAAoAGYAbwByACAAcwBlAGUAZAApAFwAIgAsACAAXAAiAEEAdQBzAHQAcgBhAGwAaQBhAFwAIgAsACAAXAAiAGsAZwBcACIALAAgADAALgAyADMAMgAsACAAXAAiAGEAdAAgAG0AYQByAGsAZQB0AFwAIgA7AFwAbgAgACAAIAAgACAAIAAgACAAXAAiAE8AdABoAGUAcgBcACIALAAgAFwAIgBPAHQAaABlAHIAXAAiACwAIABcACIAVwBoAGUAYQB0ACAAZwByAGEAaQBuACAAKABmAG8AcgAgAHMAZQBlAGQAKQBcACIALAAgAFwAIgBBAHUAcwB0AHIAYQBsAGkAYQBcACIALAAgAFwAIgBrAGcAXAAiACwAIAAwAC4AMgA2ADgALAAgAFwAIgBhAHQAIABtAGEAcgBrAGUAdA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FAAYQBjAGsAYQBnAGkAbgBnAFwAbgA9AD0APQA9AD0APQA9AD0APQA9AD0APQA9AD0APQA9AD0APQA9AD0APQA9AD0APQA9AD0APQA9AD0APQA9AD0APQA9AD0APQA9AD0APQA9AD0APQA9AD0APQA9AD0APQA9AD0APQA9AD0APQA9AD0APQA9AD0APQA9AD0APQA9AD0APQA9AD0APQA9AD0APQA9AD0APQA9AFwAbgAqAC8AXABuAFwAbgBTAGMAbwBwAGUAMwBfAFAAYQBjAGsAYQBnAGkAbgBnAF8AVABpAHQAbABlAFwAbgA9AEwAQQBNAEIARABBACgAKABcACIAUABhAGMAawBhAGcAaQBuAGcAIABzAGMAbwBwAGUAIAAzAFwAIgApACkAOwBcAG4AXABuAFMAYwBvAHAAZQAzAF8AUABhAGMAawBhAGcAaQBuAGc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QAGEAYwBrAGEAZwBpAG4AZwBfAFYAYQByAGkAYQB0AGkAbwBuAFwAbgA9AEwAQQBNAEIARABBACgAKABcACIAXAAiACkAKQA7AFwAbgBcAG4AUwBjAG8AcABlADMAXwBQAGEAYwBrAGEAZwBpAG4AZwBfAEQAYQB0AGEAXABuAD0ATABBAE0AQgBEAEEAKABcAG4AIAAgAE0AQQBLAEUAQQBSAFIAQQBZACgANQ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FAAYQBjAGsAYQBnAGkAbgBnAFwAIgAsACAAXAAiAFAAYQBjAGsAYQBnAGkAbgBnAFwAIgAsACAAXAAiAEMAbwByAHIAdQBnAGEAdABlAGQAIABiAG8AYQByAGQAXAAiACwAIABcACIARwBsAG8AYgBhAGwAXAAiACwAIABcACIAawBnAFwAIgAsACAAMQAuADAANQAsACAAXAAiAGEAdAAgAG0AYQBuAHUAZgBhAGMAdAB1AHIAZQByAFwAIgA7AFwAbgAgACAAIAAgACAAIAAgACAAXAAiAFAAYQBjAGsAYQBnAGkAbgBnAFwAIgAsACAAXAAiAFAAYQBjAGsAYQBnAGkAbgBnAFwAIgAsACAAXAAiAFAAbABhAHMAdABpAGMAIABjAHIAYQB0AGUAIABwAG8AbAB5AHAAcgBvAHAAeQBsAGUAbgBlAFwAIgAsACAAXAAiAEcAbABvAGIAYQBsAFwAIgAsACAAXAAiAHAAXAAiACwAIAAzAC4AOQA5ACwAIABcACIAYQB0ACAAbQBhAG4AdQBmAGEAYwB0AHUAcgBlAHIAXAAiADsAXABuACAAIAAgACAAIAAgACAAIABcACIAUABhAGMAawBhAGcAaQBuAGcAXAAiACwAIABcACIAUABhAGMAawBhAGcAaQBuAGcAXAAiACwAIABcACIAUABsAGEAcwB0AGkAYwAgAGYAaQBsAG0AIABMAEQAUABFAFwAIgAsACAAXAAiAEcAbABvAGIAYQBsAFwAIgAsACAAXAAiAGsAZwBcACIALAAgADMALgA0ADQALAAgAFwAIgBhAHQAIABtAGEAbgB1AGYAYQBjAHQAdQByAGUAcgBcACIAOwBcAG4AIAAgACAAIAAgACAAIAAgAFwAIgBQAGEAYwBrAGEAZwBpAG4AZwBcACIALAAgAFwAIgBQAGEAYwBrAGEAZwBpAG4AZwBcACIALAAgAFwAIgBQAGwAYQBzAHQAaQBjACAAcwBoAGUAZQB0ACAASABEAFAARQBcACIALAAgAFwAIgBHAGwAbwBiAGEAbABcACIALAAgAFwAIgBrAGcAXAAiACwAIAAzAC4ANwAyACwAIABcACIAYQB0ACAAbQBhAG4AdQBmAGEAYwB0AHUAcgBlAHI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QAGUAcwB0AGkAYwBpAGQAZQBzAFwAbgA9AD0APQA9AD0APQA9AD0APQA9AD0APQA9AD0APQA9AD0APQA9AD0APQA9AD0APQA9AD0APQA9AD0APQA9AD0APQA9AD0APQA9AD0APQA9AD0APQA9AD0APQA9AD0APQA9AD0APQA9AD0APQA9AD0APQA9AD0APQA9AD0APQA9AD0APQA9AD0APQA9AD0APQA9AD0APQA9AFwAbgAqAC8AXABuAFwAbgBTAGMAbwBwAGUAMwBfAFAAZQBzAHQAaQBjAGkAZABlAHMAXwBUAGkAdABsAGUAXABuAD0ATABBAE0AQgBEAEEAKAAoAFwAIgBQAGUAcwB0AGkAYwBpAGQAZQBzACAAcwBjAG8AcABlACAAMwBcACIAKQApADsAXABuAFwAbgBTAGMAbwBwAGUAMwBfAFAAZQBzAHQAaQBjAGkAZABlAHM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QAGUAcwB0AGkAYwBpAGQAZQBzAF8AVgBhAHIAaQBhAHQAaQBvAG4AXABuAD0ATABBAE0AQgBEAEEAKAAoAFwAIgBcACIAKQApADsAXABuAFwAbgBTAGMAbwBwAGUAMwBfAFAAZQBzAHQAaQBjAGkAZABlAHMAXwBEAGEAdABhAFwAbgA9AEwAQQBNAEIARABBACgAXABuACAAIABNAEEASwBFAEEAUgBSAEEAWQAoADEAMw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FAAZQBzAHQAaQBjAGkAZABlAHMAXAAiACwAIABcACIAUABlAHMAdABpAGMAaQBkAGUAcwBcACIALAAgAFwAIgAyACwANAAtAEQAXAAiACwAIABcACIARwBsAG8AYgBhAGwAXAAiACwAIABcACIAawBnACAAQQBJAFwAIgAsACAANQAuADIALAAgAFwAIgBhAHQAIABtAGEAcgBrAGUAdABcACIAOwBcAG4AIAAgACAAIAAgACAAIAAgAFwAIgBQAGUAcwB0AGkAYwBpAGQAZQBzAFwAIgAsACAAXAAiAFAAZQBzAHQAaQBjAGkAZABlAHMAXAAiACwAIABcACIAQQB0AHIAYQB6AGkAbgBlAFwAIgAsACAAXAAiAEcAbABvAGIAYQBsAFwAIgAsACAAXAAiAGsAZwAgAEEASQBcACIALAAgADgALgAzADgALAAgAFwAIgBhAHQAIABtAGEAcgBrAGUAdABcACIAOwBcAG4AIAAgACAAIAAgACAAIAAgAFwAIgBQAGUAcwB0AGkAYwBpAGQAZQBzAFwAIgAsACAAXAAiAFAAZQBzAHQAaQBjAGkAZABlAHMAXAAiACwAIABcACIARABpAHUAcgBvAG4AXAAiACwAIABcACIARwBsAG8AYgBhAGwAXAAiACwAIABcACIAawBnACAAQQBJAFwAIgAsACAAOAAuADgALAAgAFwAIgBhAHQAIABtAGEAcgBrAGUAdABcACIAOwBcAG4AIAAgACAAIAAgACAAIAAgAFwAIgBQAGUAcwB0AGkAYwBpAGQAZQBzAFwAIgAsACAAXAAiAFAAZQBzAHQAaQBjAGkAZABlAHMAXAAiACwAIABcACIARwBsAHkAcABoAG8AcwBhAHQAZQBcACIALAAgAFwAIgBHAGwAbwBiAGEAbABcACIALAAgAFwAIgBrAGcAIABBAEkAXAAiACwAIAAxADAALgAzACwAIABcACIAYQB0ACAAbQBhAHIAawBlAHQAXAAiADsAXABuACAAIAAgACAAIAAgACAAIABcACIAUABlAHMAdABpAGMAaQBkAGUAcwBcACIALAAgAFwAIgBQAGUAcwB0AGkAYwBpAGQAZQBzAFwAIgAsACAAXAAiAE0AYQBuAGMAbwB6AGUAYgBcACIALAAgAFwAIgBHAGwAbwBiAGEAbABcACIALAAgAFwAIgBrAGcAIABBAEkAXAAiACwAIAA0AC4ANQA1ACwAIABcACIAYQB0ACAAbQBhAHIAawBlAHQAXAAiADsAXABuACAAIAAgACAAIAAgACAAIABcACIAUABlAHMAdABpAGMAaQBkAGUAcwBcACIALAAgAFwAIgBQAGUAcwB0AGkAYwBpAGQAZQBzAFwAIgAsACAAXAAiAE0AQwBQAEEAXAAiACwAIABcACIARwBsAG8AYgBhAGwAXAAiACwAIABcACIAawBnACAAQQBJAFwAIgAsACAANQAuADYALAAgAFwAIgBhAHQAIABtAGEAcgBrAGUAdABcACIAOwBcAG4AIAAgACAAIAAgACAAIAAgAFwAIgBQAGUAcwB0AGkAYwBpAGQAZQBzAFwAIgAsACAAXAAiAFAAZQBzAHQAaQBjAGkAZABlAHMAXAAiACwAIABcACIATQBlAHQAbwBsAGEAYwBoAGwAbwByAFwAIgAsACAAXAAiAEcAbABvAGIAYQBsAFwAIgAsACAAXAAiAGsAZwAgAEEASQBcACIALAAgADgALgAwADYALAAgAFwAIgBhAHQAIABtAGEAcgBrAGUAdABcACIAOwBcAG4AIAAgACAAIAAgACAAIAAgAFwAIgBQAGUAcwB0AGkAYwBpAGQAZQBzAFwAIgAsACAAXAAiAFAAZQBzAHQAaQBjAGkAZABlAHMAXAAiACwAIABcACIATQBlAHQAcwB1AGwAZgB1AHIAbwBuAC0AbQBlAHQAaAB5AGwAXAAiACwAIABcACIARwBsAG8AYgBhAGwAXAAiACwAIABcACIAawBnACAAQQBJAFwAIgAsACAAOAAuADgALAAgAFwAIgBhAHQAIABtAGEAcgBrAGUAdABcACIAOwBcAG4AIAAgACAAIAAgACAAIAAgAFwAIgBQAGUAcwB0AGkAYwBpAGQAZQBzAFwAIgAsACAAXAAiAFAAZQBzAHQAaQBjAGkAZABlAHMAXAAiACwAIABcACIAUABlAHMAdABpAGMAaQBkAGUAcwAgACgAZwBlAG4AZQByAGkAYwApAFwAIgAsACAAXAAiAEcAbABvAGIAYQBsAFwAIgAsACAAXAAiAGsAZwAgAEEASQBcACIALAAgADkALgAxADYALAAgAFwAIgBhAHQAIABtAGEAcgBrAGUAdABcACIAOwBcAG4AIAAgACAAIAAgACAAIAAgAFwAIgBQAGUAcwB0AGkAYwBpAGQAZQBzAFwAIgAsACAAXAAiAFAAZQBzAHQAaQBjAGkAZABlAHMAXAAiACwAIABcACIAVAByAGkALQBhAGwAbABhAHQAZQBcACIALAAgAFwAIgBHAGwAbwBiAGEAbABcACIALAAgAFwAIgBrAGcAIABBAEkAXAAiACwAIAA4AC4ANQA3ACwAIABcACIAYQB0ACAAbQBhAHIAawBlAHQAXAAiADsAXABuACAAIAAgACAAIAAgACAAIABcACIAUABlAHMAdABpAGMAaQBkAGUAcwBcACIALAAgAFwAIgBQAGUAcwB0AGkAYwBpAGQAZQBzAFwAIgAsACAAXAAiAFQAcgBpAGIAZQBuAHUAcgBvAG4AIABtAGUAdABoAHkAbABcACIALAAgAFwAIgBHAGwAbwBiAGEAbABcACIALAAgAFwAIgBrAGcAIABBAEkAXAAiACwAIAA4AC4AOAAsACAAXAAiAGEAdAAgAG0AYQByAGsAZQB0AFwAIgA7AFwAbgAgACAAIAAgACAAIAAgACAAXAAiAFAAZQBzAHQAaQBjAGkAZABlAHMAXAAiACwAIABcACIAUABlAHMAdABpAGMAaQBkAGUAcwBcACIALAAgAFwAIgBUAHIAaQBmAGwAdQByAGEAbABpAG4AXAAiACwAIABcACIARwBsAG8AYgBhAGwAXAAiACwAIABcACIAawBnACAAQQBJAFwAIgAsACAANgAuADEANg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UwBvAGkAbAAgAGEAbQBlAG4AZABtAGUAbgB0AHMAXABuAD0APQA9AD0APQA9AD0APQA9AD0APQA9AD0APQA9AD0APQA9AD0APQA9AD0APQA9AD0APQA9AD0APQA9AD0APQA9AD0APQA9AD0APQA9AD0APQA9AD0APQA9AD0APQA9AD0APQA9AD0APQA9AD0APQA9AD0APQA9AD0APQA9AD0APQA9AD0APQA9AD0APQA9AD0APQA9AD0AXABuACoALwBcAG4AXABuAFMAYwBvAHAAZQAzAF8AUwBvAGkAbABBAG0AZQBuAGQAbQBlAG4AdABzAF8AVABpAHQAbABlAFwAbgA9AEwAQQBNAEIARABBACgAKABcACIAUwBvAGkAbAAgAGEAbQBlAG4AZABtAGUAbgB0AHMAIABzAGMAbwBwAGUAIAAzAFwAIgApACkAOwBcAG4AXABuAFMAYwBvAHAAZQAzAF8AUwBvAGkAbABBAG0AZQBuAGQAbQBlAG4AdA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UwBvAGkAbABBAG0AZQBuAGQAbQBlAG4AdABzAF8AVgBhAHIAaQBhAHQAaQBvAG4AXABuAD0ATABBAE0AQgBEAEEAKAAoAFwAIgBcACIAKQApADsAXABuAFwAbgBTAGMAbwBwAGUAMwBfAFMAbwBpAGwAQQBtAGUAbgBkAG0AZQBuAHQAcwBfAEQAYQB0AGEAXABuAD0ATABBAE0AQgBEAEEAKABcAG4AIAAgAE0AQQBLAEUAQQBSAFIAQQBZACgANA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FMAbwBpAGwAIABhAG0AZQBsAGkAbwByAGEAbgB0AHMAXAAiACwAIABcACIAUwBvAGkAbAAgAGEAbQBlAGwAaQBvAHIAYQBuAHQAcwBcACIALAAgAFwAIgBEAG8AbABvAG0AaQB0AGUAXAAiACwAIABcACIAQQB1AHMAdAByAGEAbABpAGEAXAAiACwAIABcACIAawBnAFwAIgAsACAAMAAuADAANgA1ADIALAAgAFwAIgBhAHQAIABtAGEAcgBrAGUAdABcACIAOwBcAG4AIAAgACAAIAAgACAAIAAgAFwAIgBTAG8AaQBsACAAYQBtAGUAbABpAG8AcgBhAG4AdABzAFwAIgAsACAAXAAiAFMAbwBpAGwAIABhAG0AZQBsAGkAbwByAGEAbgB0AHMAXAAiACwAIABcACIARwB5AHAAcwB1AG0AXAAiACwAIABcACIAQQB1AHMAdAByAGEAbABpAGEAXAAiACwAIABcACIAawBnAFwAIgAsACAAMAAuADAANgA1ADIALAAgAFwAIgBhAHQAIABtAGEAcgBrAGUAdABcACIAOwBcAG4AIAAgACAAIAAgACAAIAAgAFwAIgBTAG8AaQBsACAAYQBtAGUAbABpAG8AcgBhAG4AdABzAFwAIgAsACAAXAAiAFMAbwBpAGwAIABhAG0AZQBsAGkAbwByAGEAbgB0AHMAXAAiACwAIABcACIATABpAG0AZQBzAHQAbwBuAGUAIAAoAGMAcgB1AHMAaABlAGQAKQBcACIALAAgAFwAIgBBAHUAcwB0AHIAYQBsAGkAYQBcACIALAAgAFwAIgBrAGcAXAAiACwAIAAwAC4AMAA0ADgANQAsACAAXAAiAGEAdAAgAG0AYQByAGsAZQB0AFwAIgBcAG4AIAAgACAAIAAgACAAfQAsACAAcgAsACAAYwApAFwAbgApACkAKQA7AFwAbgAiAH0ALAB7ACIAcABhAHQAaAAiADoAIgAvAHAAcgBvAGoAZQBjAHQAcwAvAEMAbwBtAG0AbwBuAEwAaQB2AGUAcwB0AG8AYwBrAF8AUwBvAHUAcgBjAGUARABhAHQAYQAiACwAIgB0AGUAeAB0ACIAOgAiAC8AK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UwBvAHUAcgBjAGUAIABkAGEAdABhACAAdABoAGEAdAAgAGkAcwAgAGMAbwBtAG0AbwBuACAAYQBjAHIAbwBzAHMAIABhAGwAbAAgAGwAaQB2AGUAcwB0AG8AYwBrACAAdAB5AHAAZQBzAFwAbgBFAHgAYwBlAGwAIABtAG8AZAB1AGwAZQAgAG4AYQBtAGUAOgAgAFMAbwB1AHIAYwBlAEQAYQB0AGEAXwBMAGkAdgBlAHMAdABvAGMAawBfAEMAbwBtAG0AbwBu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AqAC8AXABuAFwAbgAvACoAXABuAD0APQA9AD0APQA9AD0APQA9AD0APQA9AD0APQA9AD0APQA9AD0APQA9AD0APQA9AD0APQA9AD0APQA9AD0APQA9AD0APQA9AD0APQBcAG4APQA9AD0APQA9AD0APQA9AD0APQA9AD0APQA9AD0APQA9AD0APQA9AD0APQA9AD0APQA9AD0APQA9AD0APQA9AD0APQA9AD0APQA9AFwAbgBTAG8AdQByAGMAZQA6ACAATgBhAHQAaQBvAG4AYQBsACAASQBuAHYAZQBuAHQAbwByAHkAIABSAGUAcABvAHIAdAAgADIAMAAyADMAIABWAG8AbAB1AG0AZQAgADEAXABuAE4ASQBSAF8AMgAwADIAMwBfAFYAbwBsADEAXABuAD0APQA9AD0APQA9AD0APQA9AD0APQA9AD0APQA9AD0APQA9AD0APQA9AD0APQA9AD0APQA9AD0APQA9AD0APQA9AD0APQA9AD0APQBcAG4APQA9AD0APQA9AD0APQA9AD0APQA9AD0APQA9AD0APQA9AD0APQA9AD0APQA9AD0APQA9AD0APQA9AD0APQA9AD0APQA9AD0APQA9AFwAbgAqAC8AXABuAFwAbgAvACoAIABcAG4ALQAtAC0ALQAtAC0ALQAtAC0ALQAtAC0ALQAtAC0ALQAtAC0ALQAtAC0ALQAtAC0ALQAtAC0ALQAtAC0ALQAtAC0ALQAtAC0ALQAtAFwAbgBTAG8AdQByAGMAZQBEAGEAdABhAF8ATABpAHYAZQBzAHQAbwBjAGsAXwBDAG8AbQBtAG8AbgBfAEYAcgBhAGMAVwBFAFQATQBNAFMAXABuAEYAcgBhAGMAVwBFAFQATQBNAFMAaQAgAD0AIABGAHIAYQBjAHQAaQBvAG4AIABvAGYAIABOACAAYQB2AGEAaQBsAGEAYgBsAGUAIABmAG8AcgAgAGwAZQBhAGMAaABpAG4AZwAgAGEAbgBkACAAcgB1AG4AbwBmAGYAXABuACgAVABhAGIAbABlACAAQQA1AC4ANQAuADEAMAAuADIAIABpAHMAIAByAGUAZgBlAHIAZQBuAGMAZQBkACAAaQBuACAATgBJAFIAIABiAHUAdAAgADEAIABpAHMAIAB1AHMAZQBkACkAXABuAC0ALQAtAC0ALQAtAC0ALQAtAC0ALQAtAC0ALQAtAC0ALQAtAC0ALQAtAC0ALQAtAC0ALQAtAC0ALQAtAC0ALQAtAC0ALQAtAC0ALQBcAG4AKgAvAFwAbgBcAG4AUwBvAHUAcgBjAGUARABhAHQAYQBfAEwAaQB2AGUAcwB0AG8AYwBrAF8AQwBvAG0AbQBvAG4AXwBGAHIAYQBjAFcARQBUAE0ATQBTAF8AVABpAHQAbABlAFwAbgAgACAAPQBMAEEATQBCAEQAQQAoAFwAIgBGAHIAYQBjAHQAaQBvAG4AIABvAGYAIABOACAAYQB2AGEAaQBsAGEAYgBsAGUAIABmAG8AcgAgAGwAZQBhAGMAaABpAG4AZwAgAGEAbgBkACAAcgB1AG4AbwBmAGYAXAAiACkAOwBcAG4AXABuAFMAbwB1AHIAYwBlAEQAYQB0AGEAXwBMAGkAdgBlAHMAdABvAGMAawBfAEMAbwBtAG0AbwBuAF8ARgByAGEAYwBXAEUAVABNAE0AUwBfAFUAbgBpAHQAXABuACAAIAA9AEwAQQBNAEIARABBACgAXAAiAEYAcgBhAGMAdABpAG8AbgBcACIAKQA7AFwAbgBcAG4AUwBvAHUAcgBjAGUARABhAHQAYQBfAEwAaQB2AGUAcwB0AG8AYwBrAF8AQwBvAG0AbQBvAG4AXwBGAHIAYQBjAFcARQBUAE0ATQBTAF8AUwBvAHUAcgBjAGUAXABuACAAIAA9AEwAQQBNAEIARABBACgAXAAiAE4AYQB0AGkAbwBuAGEAbAAgAEkAbgB2AGUAbgB0AG8AcgB5ACAAUgBlAHAAbwByAHQAIAAyADAAMgAzACAAVgBvAGwAdQBtAGUAIAAxADoAIABFAHEAdQBhAHQAaQBvAG4AcwAgADMALgBCAC4ANQBhAF8AMwAsACAAMwAuAEIALgA1AGMAXwAzACwAIAAzAC4AQgAuADUAZABfADMAXAAiACkAOwBcAG4AXABuAFMAbwB1AHIAYwBlAEQAYQB0AGEAXwBMAGkAdgBlAHMAdABvAGMAawBfAEMAbwBtAG0AbwBuAF8ARgByAGEAYwBXAEUAVABNAE0AUwBfAEQAYQB0AGEAXABuACAAIAA9AEwAQQBNAEIARABBACgAMQApADsAXABuAFwAbgAvACoAIABcAG4ALQAtAC0ALQAtAC0ALQAtAC0ALQAtAC0ALQAtAC0ALQAtAC0ALQAtAC0ALQAtAC0ALQAtAC0ALQAtAC0ALQAtAC0ALQAtAC0ALQAtAFwAbgBTAG8AdQByAGMAZQBEAGEAdABhAF8ATABpAHYAZQBzAHQAbwBjAGsAXwBDAG8AbQBtAG8AbgBfAEYAcgBhAGMATABFAEEAQwBIAF8ATQBTAFwAbgBGAHIAYQBjAEwARQBBAEMASABfAE0AUwAgAD0AIAAwAC4AMAAyACAAKABHAGcAIABOAC8ARwBnACAAYQBwAHAAbABpAGUAZAApACAAKABDAFMAIABFAEYALAAgAHMAbwB1AHIAYwBlACAASQBQAEMAQwAgACgAMgAwADEAOQApACkAIABcAG4AZgByAGEAYwB0AGkAbwBuACAAbwBmACAATgAgAGwAbwBzAHQAIAB0AGgAcgBvAHUAZwBoACAAbABlAGEAYwBoAGkAbgBnACAAYQBuAGQAIAByAHUAbgBvAGYAZgBcAG4ALQAtAC0ALQAtAC0ALQAtAC0ALQAtAC0ALQAtAC0ALQAtAC0ALQAtAC0ALQAtAC0ALQAtAC0ALQAtAC0ALQAtAC0ALQAtAC0ALQAtAFwAbgAqAC8AXABuAFwAbgBTAG8AdQByAGMAZQBEAGEAdABhAF8ATABpAHYAZQBzAHQAbwBjAGsAXwBDAG8AbQBtAG8AbgBfAEYAcgBhAGMATABFAEEAQwBIAF8ATQBTAF8AVABpAHQAbABlAFwAbgAgACAAPQBMAEEATQBCAEQAQQAoAFwAIgBGAHIAYQBjAHQAaQBvAG4AIABvAGYAIABOACAAbABvAHMAdAAgAHQAaAByAG8AdQBnAGgAIABsAGUAYQBjAGgAaQBuAGcAIABhAG4AZAAgAHIAdQBuAG8AZgBmAFwAIgApADsAXABuAFwAbgBTAG8AdQByAGMAZQBEAGEAdABhAF8ATABpAHYAZQBzAHQAbwBjAGsAXwBDAG8AbQBtAG8AbgBfAEYAcgBhAGMATABFAEEAQwBIAF8ATQBTAF8AVQBuAGkAdABcAG4AIAAgAD0ATABBAE0AQgBEAEEAKABcACIARgByAGEAYwB0AGkAbwBuAFwAIgApADsAXABuAFwAbgBTAG8AdQByAGMAZQBEAGEAdABhAF8ATABpAHYAZQBzAHQAbwBjAGsAXwBDAG8AbQBtAG8AbgBfAEYAcgBhAGMATABFAEEAQwBIAF8ATQBTAF8AUwBvAHUAcgBjAGUAXABuACAAIAA9AEwAQQBNAEIARABBACgAXAAiAE4AYQB0AGkAbwBuAGEAbAAgAEkAbgB2AGUAbgB0AG8AcgB5ACAAUgBlAHAAbwByAHQAIAAyADAAMgAzACAAVgBvAGwAdQBtAGUAIAAxADoAIABFAHEAdQBhAHQAaQBvAG4AcwAgADMALgBCAC4ANQBhAF8AMwAsACAAMwAuAEIALgA1AGMAXwAzACwAIAAzAC4AQgAuADUAZABfADMAXAAiACkAOwBcAG4AXABuAFMAbwB1AHIAYwBlAEQAYQB0AGEAXwBMAGkAdgBlAHMAdABvAGMAawBfAEMAbwBtAG0AbwBuAF8ARgByAGEAYwBMAEUAQQBDAEgAXwBNAFMAXwBEAGEAdABhAFwAbgAgACAAPQBMAEEATQBCAEQAQQAoAFwAbgAgACAAIAAgAE0AQQBLAEUAQQBSAFIAQQBZACgAOAAsACAAMgAsACAAXABuACAAIAAgACAAIAAgAEwAQQBNAEIARABBACgAcgAsAGMALAAgAFwAbgAgACAAIAAgACAAIAAgACAASQBOAEQARQBYACgAewBcAG4AIAAgACAAIAAgACAAIAAgACAAIABcACIAUAByAG8AZAB1AGMAdABpAG8AbgAgAHMAeQBzAHQAZQBtAFwAIgAsACAAXAAiAEUAbQBpAHMAcwBpAG8AbgAgAGYAYQBjAHQAbwByAFwAIgA7AFwAbgAgACAAIAAgACAAIAAgACAAIAAgACAAIABcACIASQByAHIAaQBnAGEAdABlAGQAIABwAGEAcwB0AHUAcgBlAFwAIgAsACAAMAAuADAAMAA1ADkAOwBcAG4AIAAgACAAIAAgACAAIAAgACAAIAAgACAAXAAiAEkAcgByAGkAZwBhAHQAZQBkACAAYwByAG8AcABcACIALAAgADAALgAwADAANwA7AFwAbgAgACAAIAAgACAAIAAgACAAIAAgACAAIABcACIATgBvAG4ALQBpAHIAcgBpAGcAYQB0AGUAZAAgAHAAYQBzAHQAdQByAGUAXAAiACwAIAAwAC4AMAAwADEAOAA7AFwAbgAgACAAIAAgACAAIAAgACAAIAAgACAAIABcACIATgBvAG4ALQBpAHIAcgBpAGcAYQB0AGUAZAAgAGMAcgBvAHAAXAAiACwAIAAwAC4AMAAwADQAMQA7AFwAbgAgACAAIAAgACAAIAAgACAAIAAgACAAIABcACIAUwB1AGcAYQByACAAYwBhAG4AZQBcACIALAAgADAALgAwADEAOQA5ADsAXABuACAAIAAgACAAIAAgACAAIAAgACAAIAAgAFwAIgBDAG8AdAB0AG8AbgBcACIALAAgADAALgAwADAANQAzADsAXABuACAAIAAgACAAIAAgACAAIAAgACAAIAAgAFwAIgBIAG8AcgB0AGkAYwB1AGwAdAB1AHIAZQBcACIALAAgADAALgAwADAANgA0AFwAbgAgACAAIAAgACAAIAAgACAAfQAsACAAcgAsACAAYwApAFwAbgAgACAAIAAgACAAIAApAFwAbgAgACAAIAAgACkAXABuACAAIAApADsAXABuAFwAbgBcAG4ALwAqACAAXABuAC0ALQAtAC0ALQAtAC0ALQAtAC0ALQAtAC0ALQAtAC0ALQAtAC0ALQAtAC0ALQAtAC0ALQAtAC0ALQAtAC0ALQAtAC0ALQAtAC0ALQBcAG4AUwBvAHUAcgBjAGUARABhAHQAYQBfAEwAaQB2AGUAcwB0AG8AYwBrAF8AQwBvAG0AbQBvAG4AXwBTAHkAbQBiAG8AbABzAE0ATQBTAFwAbgBUAGEAYgBsAGUAIAA1AC4AMQAyACAAQQBkAGQAaQB0AGkAbwBuAGEAbAAgAHMAeQBtAGIAbwBsAHMAIAB1AHMAZQBkACAAaQBuACAAYQBsAGcAbwByAGkAdABoAG0AcwAgAGYAbwByACAAbQBhAG4AdQByAGUAIAByAGUAbABhAHQAZQBkACAAZQBtAGkAcwBzAGkAbwBuAHMAXABuAC0ALQAtAC0ALQAtAC0ALQAtAC0ALQAtAC0ALQAtAC0ALQAtAC0ALQAtAC0ALQAtAC0ALQAtAC0ALQAtAC0ALQAtAC0ALQAtAC0ALQBcAG4AKgAvAFwAbgBcAG4AUwBvAHUAcgBjAGUARABhAHQAYQBfAEwAaQB2AGUAcwB0AG8AYwBrAF8AQwBvAG0AbQBvAG4AXwBTAHkAbQBiAG8AbABzAE0ATQBTAF8AVABpAHQAbABlAFwAbgAgACAAPQBMAEEATQBCAEQAQQAoAFwAIgBUAGEAYgBsAGUAIAA1AC4AMQAyACAAQQBkAGQAaQB0AGkAbwBuAGEAbAAgAHMAeQBtAGIAbwBsAHMAIAB1AHMAZQBkACAAaQBuACAAYQBsAGcAbwByAGkAdABoAG0AcwAgAGYAbwByACAAbQBhAG4AdQByAGUAIAByAGUAbABhAHQAZQBkACAAZQBtAGkAcwBzAGkAbwBuAHMAXAAiACkAOwBcAG4AXABuAFMAbwB1AHIAYwBlAEQAYQB0AGEAXwBMAGkAdgBlAHMAdABvAGMAawBfAEMAbwBtAG0AbwBuAF8AUwB5AG0AYgBvAGwAcwBNAE0AUwBfAFYAYQBpAHIAYQBiAGwAZQBcAG4AIAAgAD0ATABBAE0AQgBEAEEAKABcACIATQBNAFMAXAAiACkAOwBcAG4AXABuAFMAbwB1AHIAYwBlAEQAYQB0AGEAXwBMAGkAdgBlAHMAdABvAGMAawBfAEMAbwBtAG0AbwBuAF8AUwB5AG0AYgBvAGwAcwBNAE0AUwBfAFUAbgBpAHQAXABuACAAIAA9AEwAQQBNAEIARABBACgAXAAiAFwAIgApADsAXABuAFwAbgBTAG8AdQByAGMAZQBEAGEAdABhAF8ATABpAHYAZQBzAHQAbwBjAGsAXwBDAG8AbQBtAG8AbgBfAFMAeQBtAGIAbwBsAHMATQBNAFMAXwBTAG8AdQByAGMAZQBcAG4AIAAgAD0ATABBAE0AQgBEAEEAKABcACIATgBhAHQAaQBvAG4AYQBsACAASQBuAHYAZQBuAHQAbwByAHkAIABSAGUAcABvAHIAdAAgADIAMAAyADMAIABWAG8AbAB1AG0AZQAgADEAOgAgAFQAYQBiAGwAZQAgADUALgAxADIAXAAiACkAOwBcAG4AXABuAFMAbwB1AHIAYwBlAEQAYQB0AGEAXwBMAGkAdgBlAHMAdABvAGMAawBfAEMAbwBtAG0AbwBuAF8AUwB5AG0AYgBvAGwAcwBNAE0AUwBfAEQAYQB0AGEAXABuACAAIAA9AEwAQQBNAEIARABBACgAXABuACAAIAAgACAATQBBAEsARQBBAFIAUgBBAFkAKAAxADkALAAgADMALAAgAFwAbgAgACAAIAAgACAAIABMAEEATQBCAEQAQQAoAHIALABjACwAIABcAG4AIAAgACAAIAAgACAAIAAgAEkATgBEAEUAWAAoAHsAXABuACAAIAAgACAAIAAgACAAIAAgACAAXAAiAFMAeQBtAGIAbwBsAFwAIgAsACAAXAAiAE0AYQBuAHUAcgBlACAAbQBhAG4AYQBnAGUAbQBlAG4AdAAgAHMAeQBzAHQAZQBtAFwAIgAsACAAXAAiAFwAIgA7AFwAbgAgACAAIAAgACAAIAAgACAAIAAgACAAIABcACIAMQBcACIALAAgAFwAIgBBAG4AYQBlAHIAbwBiAGkAYwAgAGwAYQBnAG8AbwBuAFwAIgAsACAAXAAiAEEAbgBhAGUAcgBvAGIAaQBjACAAbABhAGcAbwBvAG4AIAAoAG0APQAxACkAXAAiADsAXABuACAAIAAgACAAIAAgACAAIAAgACAAIAAgAFwAIgAyAFwAIgAsACAAXAAiAEwAaQBxAHUAaQBkACAAcwB5AHMAdABlAG0AcwBcACIALAAgAFwAIgBMAGkAcQB1AGkAZAAgAHMAeQBzAHQAZQBtAHMAIAAoAG0APQAyACkAXAAiADsAXABuACAAIAAgACAAIAAgACAAIAAgACAAIAAgAFwAIgAzAFwAIgAsACAAXAAiAEQAYQBpAGwAeQAgAHMAcAByAGUAYQBkAFwAIgAsACAAXAAiAEQAYQBpAGwAeQAgAHMAcAByAGUAYQBkACAAKABtAD0AMwApAFwAIgA7AFwAbgAgACAAIAAgACAAIAAgACAAIAAgACAAIABcACIAMwBhAFwAIgAsACAAXAAiAFMAdQBtAHAAIABhAG4AZAAgAGQAaQBzAHAAZQByAHMAYQBsACAAcwB5AHMAdABlAG0AXAAiACwAIABcACIAUwB1AG0AcAAgAGEAbgBkACAAZABpAHMAcABlAHIAcwBhAGwAIABzAHkAcwB0AGUAbQAgACgAbQA9ADMAYQApAFwAIgA7AFwAbgAgACAAIAAgACAAIAAgACAAIAAgACAAIABcACIAMwBiAFwAIgAsACAAXAAiAEQAcgBhAGkAbgBzACAAdABvACAAcABhAGQAZABvAGMAawBcACIALAAgAFwAIgBEAHIAYQBpAG4AcwAgAHQAbwAgAHAAYQBkAGQAbwBjAGsAIAAoAG0APQAzAGIAKQBcACIAOwBcAG4AIAAgACAAIAAgACAAIAAgACAAIAAgACAAXAAiADQAXAAiACwAIABcACIAUwBvAGwAaQBkACAAcwB0AG8AcgBhAGcAZQBcACIALAAgAFwAIgBTAG8AbABpAGQAIABzAHQAbwByAGEAZwBlACAAKABtAD0ANAApAFwAIgA7AFwAbgAgACAAIAAgACAAIAAgACAAIAAgACAAIABcACIANQBcACIALAAgAFwAIgBEAHIAeQBsAG8AdAAgACgAZgBlAGUAZAAgAHAAYQBkACkAXAAiACwAIABcACIARAByAHkAbABvAHQAIAAoAGYAZQBlAGQAIABwAGEAZAApACAAKABtAD0ANQApAFwAIgA7AFwAbgAgACAAIAAgACAAIAAgACAAIAAgACAAIABcACIANgBcACIALAAgAFwAIgBDAG8AbQBwAG8AcwB0AGkAbgBnACAAKABwAGEAcwBzAGkAdgBlACAAdwBpAG4AZAByAG8AdwApAFwAIgAsACAAXAAiAEMAbwBtAHAAbwBzAHQAaQBuAGcAIAAoAHAAYQBzAHMAaQB2AGUAIAB3AGkAbgBkAHIAbwB3ACkAIAAoAG0APQA2ACkAXAAiADsAXABuACAAIAAgACAAIAAgACAAIAAgACAAIAAgAFwAIgA3AFwAIgAsACAAXAAiAEQAaQBnAGUAcwB0AGUAcgAgAC8AIABjAG8AdgBlAHIAZQBkACAAbABhAGcAbwBvAG4AcwBcACIALAAgAFwAIgBEAGkAZwBlAHMAdABlAHIAIAAvACAAYwBvAHYAZQByAGUAZAAgAGwAYQBnAG8AbwBuAHMAIAAoAG0APQA3ACkAXAAiADsAXABuACAAIAAgACAAIAAgACAAIAAgACAAIAAgAFwAIgA4AFwAIgAsACAAXAAiAEQAZQBlAHAAIABsAGkAdAB0AGUAcgBcACIALAAgAFwAIgBEAGUAZQBwACAAbABpAHQAdABlAHIAIAAoAG0APQA4ACkAXAAiADsAXABuACAAIAAgACAAIAAgACAAIAAgACAAIAAgAFwAIgA5AFwAIgAsACAAXAAiAFAAaQB0ACAAcwB0AG8AcgBhAGcAZQBcACIALAAgAFwAIgBQAGkAdAAgAHMAdABvAHIAYQBnAGUAIAAoAG0APQA5ACkAXAAiADsAXABuACAAIAAgACAAIAAgACAAIAAgACAAIAAgAFwAIgAxADAAXAAiACwAIABcACIAUABvAHUAbAB0AHIAeQAgAG0AYQBuAHUAcgBlACAAdwBpAHQAaAAgAGIAZQBkAGQAaQBuAGcAXAAiACwAIABcACIAUABvAHUAbAB0AHIAeQAgAG0AYQBuAHUAcgBlACAAdwBpAHQAaAAgAGIAZQBkAGQAaQBuAGcAIAAoAG0APQAxADAAKQBcACIAOwBcAG4AIAAgACAAIAAgACAAIAAgACAAIAAgACAAXAAiADEAMQBcACIALAAgAFwAIgBQAG8AdQBsAHQAcgB5ACAAbQBhAG4AdQByAGUAIAB3AGkAdABoAG8AdQB0ACAAYgBlAGQAZABpAG4AZwBcACIALAAgAFwAIgBQAG8AdQBsAHQAcgB5ACAAbQBhAG4AdQByAGUAIAB3AGkAdABoAG8AdQB0ACAAYgBlAGQAZABpAG4AZwAgACgAbQA9ADEAMQApAFwAIgA7AFwAbgAgACAAIAAgACAAIAAgACAAIAAgACAAIABcACIAMQAxAGEAXAAiACwAIABcACIAQgBlAGwAdAAgAG0AYQBuAHUAcgBlACAAcgBlAG0AbwB2AGEAbABcACIALAAgAFwAIgBCAGUAbAB0ACAAbQBhAG4AdQByAGUAIAByAGUAbQBvAHYAYQBsACAAKABtAD0AMQAxAGEAKQBcACIAOwBcAG4AIAAgACAAIAAgACAAIAAgACAAIAAgACAAXAAiADEAMQBiAFwAIgAsACAAXAAiAE0AYQBuAHUAcgBlACAAcwB0AG8AcgBlAGQAIABpAG4AIABoAG8AdQBzAGUAXAAiACwAIABcACIATQBhAG4AdQByAGUAIABzAHQAbwByAGUAZAAgAGkAbgAgAGgAbwB1AHMAZQAgACgAbQA9ADEAMQBiACkAXAAiADsAXABuACAAIAAgACAAIAAgACAAIAAgACAAIAAgAFwAIgAxADIAXAAiACwAIABcACIARABpAHIAZQBjAHQAIABwAHIAbwBjAGUAcwBzAGkAbgBnAFwAIgAsACAAXAAiAEQAaQByAGUAYwB0ACAAcAByAG8AYwBlAHMAcwBpAG4AZwAgACgAbQA9ADEAMgApAFwAIgA7AFwAbgAgACAAIAAgACAAIAAgACAAIAAgACAAIABcACIAMQAzAFwAIgAsACAAXAAiAEQAaQByAGUAYwB0ACAAYQBwAHAAbABpAGMAYQB0AGkAbwBuAFwAIgAsACAAXAAiAEQAaQByAGUAYwB0ACAAYQBwAHAAbABpAGMAYQB0AGkAbwBuACAAKABtAD0AMQAzACkAXAAiADsAXABuACAAIAAgACAAIAAgACAAIAAgACAAIAAgAFwAIgAxADQAXAAiACwAIABcACIAUABhAHMAdAB1AHIAZQAgAHIAYQBuAGcAZQAgAGEAbgBkACAAcABhAGQAZABvAGMAawBcACIALAAgAFwAIgBQAGEAcwB0AHUAcgBlACAAcgBhAG4AZwBlACAAYQBuAGQAIABwAGEAZABkAG8AYwBrACAAKABtAD0AMQA0ACkAXAAiAFwAbgAgACAAIAAgACAAIAAgACAAfQAsACAAcgAsACAAYwApAFwAbgAgACAAIAAgACAAIAApAFwAbgAgACAAIAAgACkAXABuACAAIAApADsAXABuAFwAbgBcAG4ALwAqACAAXABuAC0ALQAtAC0ALQAtAC0ALQAtAC0ALQAtAC0ALQAtAC0ALQAtAC0ALQAtAC0ALQAtAC0ALQAtAC0ALQAtAC0ALQAtAC0ALQAtAC0ALQBcAG4AUwBvAHUAcgBjAGUARABhAHQAYQBfAEwAaQB2AGUAcwB0AG8AYwBrAF8AUAByAG8AZAB1AGMAdABfAEIAZQBlAGYAQwBhAHQAdABsAGUAXABuAC0ALQAtAC0ALQAtAC0ALQAtAC0ALQAtAC0ALQAtAC0ALQAtAC0ALQAtAC0ALQAtAC0ALQAtAC0ALQAtAC0ALQAtAC0ALQAtAC0ALQBcAG4AKgAvAFwAbgBcAG4AUwBvAHUAcgBjAGUARABhAHQAYQBfAEwAaQB2AGUAcwB0AG8AYwBrAF8AUAByAG8AZAB1AGMAdABfAEIAZQBlAGYAQwBhAHQAdABsAGUAXwBUAGkAdABsAGUAXABuACAAIAA9AEwAQQBNAEIARABBACgAXAAiAEIAZQBlAGYAIABjAGEAdAB0AGwAZQAgAHAAcgBvAGQAdQBjAHQAcwAgAGYAbwByACAAcwBjAG8AcABlACAAMwBcACIAKQA7AFwAbgBcAG4AUwBvAHUAcgBjAGUARABhAHQAYQBfAEwAaQB2AGUAcwB0AG8AYwBrAF8AUAByAG8AZAB1AGMAdABfAEIAZQBlAGYAQwBhAHQAdABsAGUAXwBWAGEAaQByAGEAYgBsAGUAXABuACAAIAA9AEwAQQBNAEIARABBACgAXAAiAFwAIgApADsAXABuAFwAbgBTAG8AdQByAGMAZQBEAGEAdABhAF8ATABpAHYAZQBzAHQAbwBjAGsAXwBQAHIAbwBkAHUAYwB0AF8AQgBlAGUAZgBDAGEAdAB0AGwAZQBfAFUAbgBpAHQAXABuACAAIAA9AEwAQQBNAEIARABBACgAXAAiAFwAIgApADsAXABuAFwAbgBTAG8AdQByAGMAZQBEAGEAdABhAF8ATABpAHYAZQBzAHQAbwBjAGsAXwBQAHIAbwBkAHUAYwB0AF8AQgBlAGUAZgBDAGEAdAB0AGwAZQ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QgBlAGUAZgBDAGEAdAB0AGwAZQBfAEQAYQB0AGEAXABuACAAIAA9AEwAQQBNAEIARABBACgAXABuACAAIAAgACAATQBBAEsARQBBAFIAUgBBAFkAKAA5ACwAIAAyACwAIABcAG4AIAAgACAAIAAgACAATABBAE0AQgBEAEEAKAByACwAYwAsACAAXABuACAAIAAgACAAIAAgACAAIABJAE4ARABFAFgAKAB7AFwAbgAgACAAIAAgACAAIAAgACAAIAAgAFwAIgBQAHIAbwBkAHUAYwB0AFwAIgAsACAAXAAiAFMAbwB1AHIAYwBlACAAcgBlAGcAaQBvAG4AXAAiADsAXABuACAAIAAgACAAIAAgACAAIAAgACAAIAAgAFwAIgBDAGEAdAB0AGwAZQAsACAAZgBvAHIAIABtAGEAbgB1AGYAYQBjAHQAdQByAGkAbgBnACAAYgBlAGUAZgBcACIALAAgAFwAIgBBAHUAcwB0AHIAYQBsAGkAYQBcACIAOwBcAG4AIAAgACAAIAAgACAAIAAgACAAIAAgACAAXAAiAEMAYQB0AHQAbABlACwAIABmAG8AcgAgAHAAcgBpAG0AZQAgAGIAZQBlAGYAXAAiACwAIABcACIATgBTAFcAXAAiADsAXABuACAAIAAgACAAIAAgACAAIAAgACAAIAAgAFwAIgBDAGEAdAB0AGwAZQAsACAAdwBlAGEAbgBlAHIAcwBcACIALAAgAFwAIgBOAFQAXAAiADsAXABuACAAIAAgACAAIAAgACAAIAAgACAAIAAgAFwAIgBcACIALAAgAFwAIgBRAEwARABcACIAOwBcAG4AIAAgACAAIAAgACAAIAAgACAAIAAgACAAXAAiAFwAIgAsACAAXAAiAFMAQQBcACIAOwBcAG4AIAAgACAAIAAgACAAIAAgACAAIAAgACAAXAAiAFwAIgAsACAAXAAiAFQAQQBTAFwAIgA7AFwAbgAgACAAIAAgACAAIAAgACAAIAAgACAAIABcACIAXAAiACwAIABcACIAVgBJAEMAXAAiADsAXABuACAAIAAgACAAIAAgACAAIAAgACAAIAAgAFwAIgBcACIALAAgAFwAIgBXAE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QwBoAGkAYwBrAGUAbgBzAFwAbgAtAC0ALQAtAC0ALQAtAC0ALQAtAC0ALQAtAC0ALQAtAC0ALQAtAC0ALQAtAC0ALQAtAC0ALQAtAC0ALQAtAC0ALQAtAC0ALQAtAC0AXABuACoALwBcAG4AXABuAFMAbwB1AHIAYwBlAEQAYQB0AGEAXwBMAGkAdgBlAHMAdABvAGMAawBfAFAAcgBvAGQAdQBjAHQAXwBDAGgAaQBjAGsAZQBuAHMAXwBUAGkAdABsAGUAXABuACAAIAA9AEwAQQBNAEIARABBACgAXAAiAEMAaABpAGMAawBlAG4AcwAgAHAAcgBvAGQAdQBjAHQAcwAgAGYAbwByACAAcwBjAG8AcABlACAAMwBcACIAKQA7AFwAbgBcAG4AUwBvAHUAcgBjAGUARABhAHQAYQBfAEwAaQB2AGUAcwB0AG8AYwBrAF8AUAByAG8AZAB1AGMAdABfAEMAaABpAGMAawBlAG4AcwBfAFYAYQBpAHIAYQBiAGwAZQBcAG4AIAAgAD0ATABBAE0AQgBEAEEAKABcACIAXAAiACkAOwBcAG4AXABuAFMAbwB1AHIAYwBlAEQAYQB0AGEAXwBMAGkAdgBlAHMAdABvAGMAawBfAFAAcgBvAGQAdQBjAHQAXwBDAGgAaQBjAGsAZQBuAHMAXwBVAG4AaQB0AFwAbgAgACAAPQBMAEEATQBCAEQAQQAoAFwAIgBcACIAKQA7AFwAbgBcAG4AUwBvAHUAcgBjAGUARABhAHQAYQBfAEwAaQB2AGUAcwB0AG8AYwBrAF8AUAByAG8AZAB1AGMAdABfAEMAaABpAGMAawBlAG4Acw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QwBoAGkAYwBrAGUAbg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EMAaABpAGMAawBlAG4AcwBcACIALAAgAFwAIgBBAHUAcwB0AHIAYQBsAGkAY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RABhAGkAcgB5AGMAYQB0AHQAbABlAFwAbgAtAC0ALQAtAC0ALQAtAC0ALQAtAC0ALQAtAC0ALQAtAC0ALQAtAC0ALQAtAC0ALQAtAC0ALQAtAC0ALQAtAC0ALQAtAC0ALQAtAC0AXABuACoALwBcAG4AXABuAFMAbwB1AHIAYwBlAEQAYQB0AGEAXwBMAGkAdgBlAHMAdABvAGMAawBfAFAAcgBvAGQAdQBjAHQAXwBEAGEAaQByAHkAYwBhAHQAdABsAGUAXwBUAGkAdABsAGUAXABuACAAIAA9AEwAQQBNAEIARABBACgAXAAiAEQAYQBpAHIAeQAgAGMAYQB0AHQAbABlACAAcAByAG8AZAB1AGMAdABzACAAZgBvAHIAIABzAGMAbwBwAGUAIAAzAFwAIgApADsAXABuAFwAbgBTAG8AdQByAGMAZQBEAGEAdABhAF8ATABpAHYAZQBzAHQAbwBjAGsAXwBQAHIAbwBkAHUAYwB0AF8ARABhAGkAcgB5AGMAYQB0AHQAbABlAF8AVgBhAGkAcgBhAGIAbABlAFwAbgAgACAAPQBMAEEATQBCAEQAQQAoAFwAIgBcACIAKQA7AFwAbgBcAG4AUwBvAHUAcgBjAGUARABhAHQAYQBfAEwAaQB2AGUAcwB0AG8AYwBrAF8AUAByAG8AZAB1AGMAdABfAEQAYQBpAHIAeQBjAGEAdAB0AGwAZQBfAFUAbgBpAHQAXABuACAAIAA9AEwAQQBNAEIARABBACgAXAAiAFwAIgApADsAXABuAFwAbgBTAG8AdQByAGMAZQBEAGEAdABhAF8ATABpAHYAZQBzAHQAbwBjAGsAXwBQAHIAbwBkAHUAYwB0AF8ARABhAGkAcgB5AG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EAGEAaQByAHkAYwBhAHQAdABsAGU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RABhAGkAcgB5ACAAYwBvAHcAcwBcACIALAAgAFwAIgBWAEkAQw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UABpAGcAcwBcAG4ALQAtAC0ALQAtAC0ALQAtAC0ALQAtAC0ALQAtAC0ALQAtAC0ALQAtAC0ALQAtAC0ALQAtAC0ALQAtAC0ALQAtAC0ALQAtAC0ALQAtAFwAbgAqAC8AXABuAFwAbgBTAG8AdQByAGMAZQBEAGEAdABhAF8ATABpAHYAZQBzAHQAbwBjAGsAXwBQAHIAbwBkAHUAYwB0AF8AUABpAGcAcwBfAFQAaQB0AGwAZQBcAG4AIAAgAD0ATABBAE0AQgBEAEEAKABcACIAUABpAGcAcwAgAHAAcgBvAGQAdQBjAHQAcwAgAGYAbwByACAAcwBjAG8AcABlACAAMwBcACIAKQA7AFwAbgBcAG4AUwBvAHUAcgBjAGUARABhAHQAYQBfAEwAaQB2AGUAcwB0AG8AYwBrAF8AUAByAG8AZAB1AGMAdABfAFAAaQBnAHMAXwBWAGEAaQByAGEAYgBsAGUAXABuACAAIAA9AEwAQQBNAEIARABBACgAXAAiAFwAIgApADsAXABuAFwAbgBTAG8AdQByAGMAZQBEAGEAdABhAF8ATABpAHYAZQBzAHQAbwBjAGsAXwBQAHIAbwBkAHUAYwB0AF8AUABpAGcAcwBfAFUAbgBpAHQAXABuACAAIAA9AEwAQQBNAEIARABBACgAXAAiAFwAIgApADsAXABuAFwAbgBTAG8AdQByAGMAZQBEAGEAdABhAF8ATABpAHYAZQBzAHQAbwBjAGsAXwBQAHIAbwBkAHUAYwB0AF8AUABpAGcAcw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ABpAGcAcw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QAGkAZwBzAFwAIgAsACAAXAAiAEEAdQBzAHQAcgBhAGwAaQBhAFwAIgBcAG4AIAAgACAAIAAgACAAIAAgAH0ALAAgAHIALAAgAGMAKQBcAG4AIAAgACAAIAAgACAAKQBcAG4AIAAgACAAIAApAFwAbgAgACAAKQA7AFwAbgBcAG4ALwAqACAAXABuAC0ALQAtAC0ALQAtAC0ALQAtAC0ALQAtAC0ALQAtAC0ALQAtAC0ALQAtAC0ALQAtAC0ALQAtAC0ALQAtAC0ALQAtAC0ALQAtAC0ALQBcAG4AUwBvAHUAcgBjAGUARABhAHQAYQBfAEwAaQB2AGUAcwB0AG8AYwBrAF8AUAByAG8AZAB1AGMAdABfAFMAaABlAGUAcABcAG4ALQAtAC0ALQAtAC0ALQAtAC0ALQAtAC0ALQAtAC0ALQAtAC0ALQAtAC0ALQAtAC0ALQAtAC0ALQAtAC0ALQAtAC0ALQAtAC0ALQAtAFwAbgAqAC8AXABuAFwAbgBTAG8AdQByAGMAZQBEAGEAdABhAF8ATABpAHYAZQBzAHQAbwBjAGsAXwBQAHIAbwBkAHUAYwB0AF8AUwBoAGUAZQBwAF8AVABpAHQAbABlAFwAbgAgACAAPQBMAEEATQBCAEQAQQAoAFwAIgBTAGgAZQBlAHAAIABwAHIAbwBkAHUAYwB0AHMAIABmAG8AcgAgAHMAYwBvAHAAZQAgADMAXAAiACkAOwBcAG4AXABuAFMAbwB1AHIAYwBlAEQAYQB0AGEAXwBMAGkAdgBlAHMAdABvAGMAawBfAFAAcgBvAGQAdQBjAHQAXwBTAGgAZQBlAHAAXwBWAGEAaQByAGEAYgBsAGUAXABuACAAIAA9AEwAQQBNAEIARABBACgAXAAiAFwAIgApADsAXABuAFwAbgBTAG8AdQByAGMAZQBEAGEAdABhAF8ATABpAHYAZQBzAHQAbwBjAGsAXwBQAHIAbwBkAHUAYwB0AF8AUwBoAGUAZQBwAF8AVQBuAGkAdABcAG4AIAAgAD0ATABBAE0AQgBEAEEAKABcACIAXAAiACkAOwBcAG4AXABuAFMAbwB1AHIAYwBlAEQAYQB0AGEAXwBMAGkAdgBlAHMAdABvAGMAawBfAFAAcgBvAGQAdQBjAHQAXwBTAGgAZQBlAHA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FMAaABlAGUAcABfAEQAYQB0AGEAXABuACAAIAA9AEwAQQBNAEIARABBACgAXABuACAAIAAgACAATQBBAEsARQBBAFIAUgBBAFkAKAA4ACwAIAAyACwAIABcAG4AIAAgACAAIAAgACAATABBAE0AQgBEAEEAKAByACwAYwAsACAAXABuACAAIAAgACAAIAAgACAAIABJAE4ARABFAFgAKAB7AFwAbgAgACAAIAAgACAAIAAgACAAIAAgAFwAIgBQAHIAbwBkAHUAYwB0AFwAIgAsACAAXAAiAFMAbwB1AHIAYwBlACAAcgBlAGcAaQBvAG4AXAAiADsAXABuACAAIAAgACAAIAAgACAAIAAgACAAIAAgAFwAIgBTAGgAZQBlAHAALAAgAGYAbwByACAAbQB1AHQAdABvAG4AXAAiACwAIABcACIAQQB1AHMAdAByAGEAbABpAGEAXAAiADsAXABuACAAIAAgACAAIAAgACAAIAAgACAAIAAgAFwAIgBTAGgAZQBlAHAALAAgAGYAbwByACAAcAByAGkAbQBlACAAbABhAG0AYgBcACIALAAgAFwAIgBOAFMAVw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IAfQAsAHsAIgBwAGEAdABoACIAOgAiAC8AcAByAG8AagBlAGMAdABzAC8AUwBvAHUAcgBjAGUARABhAHQAYQBfAFAAYQBzAHQAdQByAGUAQgBlAGUAZgAiACwAIgB0AGUAeAB0ACIAOgAiAFwAbgAvACoAIABcAG4ALQAtAC0ALQAtAC0ALQAtAC0ALQAtAC0ALQAtAC0ALQAtAC0ALQAtAC0ALQAtAC0ALQAtAC0ALQAtAC0ALQAtAC0ALQAtAC0ALQAtAFwAbgBTAG8AdQByAGMAZQBEAGEAdABhAF8AUABhAHMAdAB1AHIAZQBCAGUAZQBmAF8ATABpAHYAZQB3AGUAaQBnAGgAdABcAG4AVABhAGIAbABlACAAQQAuADEALgAyAC4AMQA6ACAAQgBlAGUAZgAgAHAAYQBzAHQAdQByAGUAIABjAGEAdAB0AGwAZQAgAC0AIABMAGkAdgBlAHcAZQBpAGcAaAB0ACAAKABrAGcAKQAgACgAVwBqAGsAbAApAFwAbgAtAC0ALQAtAC0ALQAtAC0ALQAtAC0ALQAtAC0ALQAtAC0ALQAtAC0ALQAtAC0ALQAtAC0ALQAtAC0ALQAtAC0ALQAtAC0ALQAtAC0AXABuACoALwBcAG4AXABuAFMAbwB1AHIAYwBlAEQAYQB0AGEAXwBQAGEAcwB0AHUAcgBlAEIAZQBlAGYAXwBMAGkAdgBlAHcAZQBpAGcAaAB0AF8AVABpAHQAbABlAFwAbgAgACAAPQBMAEEATQBCAEQAQQAoAFwAIgBCAGUAZQBmACAAcABhAHMAdAB1AHIAZQAgAGMAYQB0AHQAbABlACAALQAgAEwAaQB2AGUAdwBlAGkAZwBoAHQAIAAoAGsAZwApACAAKABXAGoAawBsACkAXAAiACkAOwBcAG4AXABuAFMAbwB1AHIAYwBlAEQAYQB0AGEAXwBQAGEAcwB0AHUAcgBlAEIAZQBlAGYAXwBMAGkAdgBlAHcAZQBpAGcAaAB0AF8AVgBhAHIAaQBhAGIAbABlAFwAbgAgACAAPQBMAEEATQBCAEQAQQAoAFwAIgBXAGoAawBsAFwAIgApADsAXABuAFwAbgBTAG8AdQByAGMAZQBEAGEAdABhAF8AUABhAHMAdAB1AHIAZQBCAGUAZQBmAF8ATABpAHYAZQB3AGUAaQBnAGgAdABfAFUAbgBpAHQAXABuACAAIAA9AEwAQQBNAEIARABBACgAXAAiAGsAZwBcACIAKQA7AFwAbgBcAG4AUwBvAHUAcgBjAGUARABhAHQAYQBfAFAAYQBzAHQAdQByAGUAQgBlAGUAZgBfAEwAaQB2AGUAdwBlAGkAZwBoAHQAXwBTAG8AdQByAGMAZQBcAG4AIAAgAD0ATABBAE0AQgBEAEEAKABcACIAVgBFAEUAUgBHACAAMgAwADIANgA6ACAAVABhAGIAbABlACAAQQAuADEALgAyAC4AMQBcACIAKQA7AFwAbgBcAG4AUwBvAHUAcgBjAGUARABhAHQAYQBfAFAAYQBzAHQAdQByAGUAQgBlAGUAZgBfAEwAaQB2AGUAdwBlAGkAZwBoAHQAXwBWAGEAcgBpAGEAdABpAG8AbgBcAG4AIAAgAD0ATABBAE0AQgBEAEEAKABcACIAXAAiACkAOwBcAG4AXABuAFMAbwB1AHIAYwBlAEQAYQB0AGEAXwBQAGEAcwB0AHUAcgBlAEIAZQBlAGYAXwBMAGkAdgBlAHcAZQBpAGcAaAB0AF8ARABhAHQAYQBcAG4AIAAgAD0ATABBAE0AQgBEAEEAKABcAG4AIAAgACAAIABNAEEASwBFAEEAUgBSAEEAWQAoADIAOQAsACAAMQAwACwAXABuACAAIAAgACAAIAAgAEwAQQBNAEIARABBACgAcgAsAGMALABcAG4AIAAgACAAIAAgACAAIAAgAEkATgBEAEUAWAAoAHsAXABuACAAIAAgACAAIAAgACAAIAAgACAAXAAiAFMAdABhAHQAZQBcACIALAAgAFwAIgBSAGUAZwBpAG8AbgBcACIALAAgAFwAIgBTAGUAYQBzAG8AbgBcACIALAAgAFwAIgBCAHUAbABsACAAXAB1ADAAMAAzAGMAIAAxAFwAIgAsACAAXAAiAEIAdQBsAGwAIABcAHUAMAAwADMAZQAgADEAXAAiACwAIABcACIAQwBvAHcAIABcAHUAMAAwADMAYwAgADEAXAAiACwAIABcACIAQwBvAHcAIAAxAC0AMgBcACIALAAgAFwAIgBDAG8AdwAgAFwAdQAwADAAMwBlACAAMgBcACIALAAgAFwAIgBTAHQAZQBlAHIAIABcAHUAMAAwADMAYwAgADEAXAAiACwAIABcACIAUwB0AGUAZQByACAAXAB1ADAAMAAzAGUAIAAxAFwAIgA7AFwAbgAgACAAIAAgACAAIAAgACAAIAAgAFwAIgBBAEMAVAAvAE4AUwBXAFwAIgAsACAAXAAiAG4ALwBhAFwAIgAsACAAXAAiAFMAcAByAGkAbgBnAFwAIgAsACAAOAAwACwAIAA0ADgAMAAsACAANwA1ACwAIAAzADAAMAAsACAANAA0ADAALAAgADcANQAsACAAMwA4ADAAOwBcAG4AIAAgACAAIAAgACAAIAAgACAAIABcACIAQQBDAFQALwBOAFMAVwBcACIALAAgAFwAIgBuAC8AYQBcACIALAAgAFwAIgBTAHUAbQBtAGUAcgBcACIALAAgADEANwAwACwAIAA1ADIAMAAsACAAMQA2ADAALAAgADMANgAwACwAIAA0ADcAMAAsACAAMQA2ADAALAAgADQAMgAwADsAXABuACAAIAAgACAAIAAgACAAIAAgACAAXAAiAEEAQwBUAC8ATgBTAFcAXAAiACwAIABcACIAbgAvAGEAXAAiACwAIABcACIAQQB1AHQAdQBtAG4AXAAiACwAIAAyADQAMAAsACAANQA1ADAALAAgADIAMgAwACwAIAAzADkAMAAsACAANAA5ADAALAAgADIAMgAwACwAIAA0ADUAMAA7AFwAbgAgACAAIAAgACAAIAAgACAAIAAgAFwAIgBBAEMAVAAvAE4AUwBXAFwAIgAsACAAXAAiAG4ALwBhAFwAIgAsACAAXAAiAFcAaQBuAHQAZQByAFwAIgAsACAAMgA4ADAALAAgADUANgAwACwAIAAyADYAMAAsACAANAAxADAALAAgADUAMAAwACwAIAAyADYAMAAsACAANAA2ADAAOwBcAG4AIAAgACAAIAAgACAAIAAgACAAIABcACIAUwBvAHUAdABoACAAQQB1AHMAdAByAGEAbABpAGEAXAAiACwAIABcACIAbgAvAGEAXAAiACwAIABcACIAUwBwAHIAaQBuAGcAXAAiACwAIAAyADUAMAAsACAAOAAwADAALAAgADIAMgAwACwAIAA0ADAAMAAsACAANQAwADAALAAgADIAMwAwACwAIAA0ADIAMAA7AFwAbgAgACAAIAAgACAAIAAgACAAIAAgAFwAIgBTAG8AdQB0AGgAIABBAHUAcwB0AHIAYQBsAGkAYQBcACIALAAgAFwAIgBuAC8AYQBcACIALAAgAFwAIgBTAHUAbQBtAGUAcgBcACIALAAgADMAMgAwACwAIAA4ADAAMAAsACAAMgA4ADAALAAgADQAMgAwACwAIAA1ADAAMAAsACAAMgA5ADAALAAgADQAMgAwADsAXABuACAAIAAgACAAIAAgACAAIAAgACAAXAAiAFMAbwB1AHQAaAAgAEEAdQBzAHQAcgBhAGwAaQBhAFwAIgAsACAAXAAiAG4ALwBhAFwAIgAsACAAXAAiAEEAdQB0AHUAbQBuAFwAIgAsACAAOAAwACwAIAA3ADAAMAAsACAANwAwACwAIAAzADAAMAAsACAANAA1ADAALAAgADcANQAsACAANAAwADAAOwBcAG4AIAAgACAAIAAgACAAIAAgACAAIABcACIAUwBvAHUAdABoACAAQQB1AHMAdAByAGEAbABpAGEAXAAiACwAIABcACIAbgAvAGEAXAAiACwAIABcACIAVwBpAG4AdABlAHIAXAAiACwAIAAxADYAMAAsACAANwAwADAALAAgADEANAAwACwAIAAzADUAMAAsACAANAA1ADAALAAgADEANQAwACwAIAA0ADAAMAA7AFwAbgAgACAAIAAgACAAIAAgACAAIAAgAFwAIgBUAGEAcwBtAGEAbgBpAGEAXAAiACwAIABcACIAbgAvAGEAXAAiACwAIABcACIAUwBwAHIAaQBuAGcAXAAiACwAIAAxADAANQAsACAANwAwADAALAAgADgANQAsACAAMwAwADAALAAgADQAOQAwACwAIAA5ADAALAAgADQAOAAwADsAXABuACAAIAAgACAAIAAgACAAIAAgACAAXAAiAFQAYQBzAG0AYQBuAGkAYQBcACIALAAgAFwAIgBuAC8AYQBcACIALAAgAFwAIgBTAHUAbQBtAGUAcgBcACIALAAgADQAOAAwACwAIAA3ADUAMAAsACAAMQA1ADAALAAgADMANQAwACwAIAA1ADMAMAAsACAAMQA2ADAALAAgADQANgAwADsAXABuACAAIAAgACAAIAAgACAAIAAgACAAXAAiAFQAYQBzAG0AYQBuAGkAYQBcACIALAAgAFwAIgBuAC8AYQBcACIALAAgAFwAIgBBAHUAdAB1AG0AbgBcACIALAAgADIANQAwACwAIAA3ADIANQAsACAAMgAwADAALAAgADMANgAwACwAIAA1ADAAMAAsACAAMgAxADUALAAgADQAOQAwADsAXABuACAAIAAgACAAIAAgACAAIAAgACAAXAAiAFQAYQBzAG0AYQBuAGkAYQBcACIALAAgAFwAIgBuAC8AYQBcACIALAAgAFwAIgBXAGkAbgB0AGUAcgBcACIALAAgADIANgAwACwAIAA3ADAAMAAsACAAMgAxADAALAAgADMAOAAwACwAIAA0ADYAMAAsACAAMgAzADAALAAgADQANwAwADsAXABuACAAIAAgACAAIAAgACAAIAAgACAAXAAiAFYAaQBjAHQAbwByAGkAYQBcACIALAAgAFwAIgBuAC8AYQBcACIALAAgAFwAIgBTAHAAcgBpAG4AZwBcACIALAAgADIANQAwACwAIAA4ADIAMAAsACAAMgA0ADAALAAgADQAMQAwACwAIAA1ADYAMAAsACAAMgA0ADAALAAgADUAMQAwADsAXABuACAAIAAgACAAIAAgACAAIAAgACAAXAAiAFYAaQBjAHQAbwByAGkAYQBcACIALAAgAFwAIgBuAC8AYQBcACIALAAgAFwAIgBTAHUAbQBtAGUAcgBcACIALAAgADIAOAAwACwAIAA4ADUAMAAsACAAMgA2ADAALAAgADQANAAwACwAIAA1ADUAMAAsACAAMgA3ADAALAAgADUAMgAwADsAXABuACAAIAAgACAAIAAgACAAIAAgACAAXAAiAFYAaQBjAHQAbwByAGkAYQBcACIALAAgAFwAIgBuAC8AYQBcACIALAAgAFwAIgBBAHUAdAB1AG0AbgBcACIALAAgADEAMAAwACwAIAA3ADAAMAAsACAAOQA1ACwAIAAzADAAMAAsACAANAA1ADAALAAgADkANQAsACAANAAxADAAOwBcAG4AIAAgACAAIAAgACAAIAAgACAAIABcACIAVgBpAGMAdABvAHIAaQBhAFwAIgAsACAAXAAiAG4ALwBhAFwAIgAsACAAXAAiAFcAaQBuAHQAZQByAFwAIgAsACAAMQA1ADAALAAgADcAMgAwACwAIAAxADQAMAAsACAAMwAyADAALAAgADQANwAwACwAIAAxADQAMAAsACAANAA0ADAAOwBcAG4AIAAgACAAIAAgACAAIAAgACAAIABcACIAVwBlAHMAdABlAHIAbgAgAEEAdQBzAHQAcgBhAGwAaQBhAFwAIgAsACAAXAAiAFMAbwB1AHQAaAAgAFcAZQBzAHQAXAAiACwAIABcACIAUwBwAHIAaQBuAGcAXAAiACwAIAAzADQAMAAsACAAOAAwADAALAAgADIANgAwACwAIAA0ADIAMAAsACAANQA1ADAALAAgADMAMAAwACwAIAA0ADgAMAA7AFwAbgAgACAAIAAgACAAIAAgACAAIAAgAFwAIgBXAGUAcwB0AGUAcgBuACAAQQB1AHMAdAByAGEAbABpAGEAXAAiACwAIABcACIAUwBvAHUAdABoACAAVwBlAHMAdABcACIALAAgAFwAIgBTAHUAbQBtAGUAcgBcACIALAAgADMAOAAwACwAIAA3ADgAMAAsACAAMwAwADAALAAgADQANQAwACwAIAA1ADMAMAAsACAAMwA0ADAALAAgADQANwAwADsAXABuACAAIAAgACAAIAAgACAAIAAgACAAXAAiAFcAZQBzAHQAZQByAG4AIABBAHUAcwB0AHIAYQBsAGkAYQBcACIALAAgAFwAIgBTAG8AdQB0AGgAIABXAGUAcwB0AFwAIgAsACAAXAAiAEEAdQB0AHUAbQBuAFwAIgAsACAAMQAwADAALAAgADYAOAAwACwAIAA4ADAALAAgADMAMgAwACwAIAA0ADgAMAAsACAAMQAwADAALAAgADMANAAwADsAXABuACAAIAAgACAAIAAgACAAIAAgACAAXAAiAFcAZQBzAHQAZQByAG4AIABBAHUAcwB0AHIAYQBsAGkAYQBcACIALAAgAFwAIgBTAG8AdQB0AGgAIABXAGUAcwB0AFwAIgAsACAAXAAiAFcAaQBuAHQAZQByAFwAIgAsACAAMQA5ADAALAAgADcAMAAwACwAIAAxADUAMAAsACAAMwAzADAALAAgADQAOQAwACwAIAAxADcAMAAsACAAMwA2ADAAOwBcAG4AIAAgACAAIAAgACAAIAAgACAAIABcACIAVwBlAHMAdABlAHIAbgAgAEEAdQBzAHQAcgBhAGwAaQBhAFwAIgAsACAAXAAiAFAAaQBsAGIAYQByAGEAXAAiACwAIABcACIAUwBwAHIAaQBuAGcAXAAiACwAIAA4ADAALAAgADQANQAwACwAIAA3ADAALAAgADIANgAwACwAIAAzADQAMAAsACAAOAAwACwAIAAzADcAMAA7AFwAbgAgACAAIAAgACAAIAAgACAAIAAgAFwAIgBXAGUAcwB0AGUAcgBuACAAQQB1AHMAdAByAGEAbABpAGEAXAAiACwAIABcACIAUABpAGwAYgBhAHIAYQBcACIALAAgAFwAIgBTAHUAbQBtAGUAcgBcACIALAAgADEANQAwACwAIAA1ADAAMAAsACAAMQA0ADAALAAgADMAMQAwACwAIAAzADYAMAAsACAAMQA1ADAALAAgADQAMAAwADsAXABuACAAIAAgACAAIAAgACAAIAAgACAAXAAiAFcAZQBzAHQAZQByAG4AIABBAHUAcwB0AHIAYQBsAGkAYQBcACIALAAgAFwAIgBQAGkAbABiAGEAcgBhAFwAIgAsACAAXAAiAEEAdQB0AHUAbQBuAFwAIgAsACAAMgAzADAALAAgADUANQAwACwAIAAyADIAMAAsACAAMwAzADAALAAgADMAOAAwACwAIAAyADMAMAAsACAANAAyADAAOwBcAG4AIAAgACAAIAAgACAAIAAgACAAIABcACIAVwBlAHMAdABlAHIAbgAgAEEAdQBzAHQAcgBhAGwAaQBhAFwAIgAsACAAXAAiAFAAaQBsAGIAYQByAGEAXAAiACwAIABcACIAVwBpAG4AdABlAHIAXAAiACwAIAAyADUAMAAsACAANQAwADAALAAgADIANAAwACwAIAAzADQAMAAsACAAMwA2ADAALAAgADIANQAwACwAIAAzADkAMAA7AFwAbgAgACAAIAAgACAAIAAgACAAIAAgAFwAIgBXAGUAcwB0AGUAcgBuACAAQQB1AHMAdAByAGEAbABpAGEAXAAiACwAIABcACIASwBpAG0AYgBlAHIAbABlAHkAXAAiACwAIABcACIAUwBwAHIAaQBuAGcAXAAiACwAIAAyADIAMAAsACAANQAwADAALAAgADEAOAAwACwAIAAzADAAMAAsACAAMwAyADAALAAgADIAMQAwACwAIAAzADQAMAA7AFwAbgAgACAAIAAgACAAIAAgACAAIAAgAFwAIgBXAGUAcwB0AGUAcgBuACAAQQB1AHMAdAByAGEAbABpAGEAXAAiACwAIABcACIASwBpAG0AYgBlAHIAbABlAHkAXAAiACwAIABcACIAUwB1AG0AbQBlAHIAXAAiACwAIAAxADEAMAAsACAANQA1ADAALAAgADkAMAAsACAAMgAyADAALAAgADMAOAAwACwAIAAxADAAMAAsACAAMwA5ADAAOwBcAG4AIAAgACAAIAAgACAAIAAgACAAIABcACIAVwBlAHMAdABlAHIAbgAgAEEAdQBzAHQAcgBhAGwAaQBhAFwAIgAsACAAXAAiAEsAaQBtAGIAZQByAGwAZQB5AFwAIgAsACAAXAAiAEEAdQB0AHUAbQBuAFwAIgAsACAAMQA3ADAALAAgADYAMAAwACwAIAAxADQAMAAsACAAMgA3ADAALAAgADMAOQAwACwAIAAxADYAMAAsACAANAAzADAAOwBcAG4AIAAgACAAIAAgACAAIAAgACAAIABcACIAVwBlAHMAdABlAHIAbgAgAEEAdQBzAHQAcgBhAGwAaQBhAFwAIgAsACAAXAAiAEsAaQBtAGIAZQByAGwAZQB5AFwAIgAsACAAXAAiAFcAaQBuAHQAZQByAFwAIgAsACAAMgAwADAALAAgADUANQAwACwAIAAxADUAMAAsACAAMgA4ADAALAAgADMANQAwACwAIAAxADkAMAAsACAANAAwADA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MAGkAdgBlAHcAZQBpAGcAaAB0AE4AVABRAEwARABcAG4AVABhAGIAbABlACAAQQAuADEALgAyAC4AMgA6ACAAQgBlAGUAZgAgAHAAYQBzAHQAdQByAGUAIABjAGEAdAB0AGwAZQAgAC0AIABMAGkAdgBlAHcAZQBpAGcAaAB0ACAAKABrAGcAKQAgACgAVwBqAGsAbAApACAAZgBvAHIAIABOAFQAIABhAG4AZAAgAFEATABEAFwAbgAtAC0ALQAtAC0ALQAtAC0ALQAtAC0ALQAtAC0ALQAtAC0ALQAtAC0ALQAtAC0ALQAtAC0ALQAtAC0ALQAtAC0ALQAtAC0ALQAtAC0AXABuACoALwBcAG4AXABuAFMAbwB1AHIAYwBlAEQAYQB0AGEAXwBQAGEAcwB0AHUAcgBlAEIAZQBlAGYAXwBMAGkAdgBlAHcAZQBpAGcAaAB0AE4AVABRAEwARABfAFQAaQB0AGwAZQBcAG4AIAAgAD0ATABBAE0AQgBEAEEAKABcACIAQgBlAGUAZgAgAHAAYQBzAHQAdQByAGUAIABjAGEAdAB0AGwAZQAgAC0AIABMAGkAdgBlAHcAZQBpAGcAaAB0ACAAKABrAGcAKQAgACgAVwBqAGsAbAApACAAZgBvAHIAIABOAFQAIABhAG4AZAAgAFEATABEAFwAIgApADsAXABuAFwAbgBTAG8AdQByAGMAZQBEAGEAdABhAF8AUABhAHMAdAB1AHIAZQBCAGUAZQBmAF8ATABpAHYAZQB3AGUAaQBnAGgAdABOAFQAUQBMAEQAXwBWAGEAcgBpAGEAYgBsAGUAXABuACAAIAA9AEwAQQBNAEIARABBACgAXAAiAFcAagBrAGwAXAAiACkAOwBcAG4AXABuAFMAbwB1AHIAYwBlAEQAYQB0AGEAXwBQAGEAcwB0AHUAcgBlAEIAZQBlAGYAXwBMAGkAdgBlAHcAZQBpAGcAaAB0AE4AVABRAEwARABfAFUAbgBpAHQAXABuACAAIAA9AEwAQQBNAEIARABBACgAXAAiAGsAZwBcACIAKQA7AFwAbgBcAG4AUwBvAHUAcgBjAGUARABhAHQAYQBfAFAAYQBzAHQAdQByAGUAQgBlAGUAZgBfAEwAaQB2AGUAdwBlAGkAZwBoAHQATgBUAFEATABEAF8AUwBvAHUAcgBjAGUAXABuACAAIAA9AEwAQQBNAEIARABBACgAXAAiAFYARQBFAFIARwAgADIAMAAyADYAOgAgAFQAYQBiAGwAZQAgAEEALgAxAC4AMgAuADIAXAAiACkAOwBcAG4AXABuAFMAbwB1AHIAYwBlAEQAYQB0AGEAXwBQAGEAcwB0AHUAcgBlAEIAZQBlAGYAXwBMAGkAdgBlAHcAZQBpAGcAaAB0AE4AVABRAEwARABfAFYAYQByAGkAYQB0AGkAbwBuAFwAbgAgACAAPQBMAEEATQBCAEQAQQAoAFwAIgBcACIAKQA7AFwAbgBcAG4AUwBvAHUAcgBjAGUARABhAHQAYQBfAFAAYQBzAHQAdQByAGUAQgBlAGUAZgBfAEwAaQB2AGUAdwBlAGkAZwBoAHQATgBUAFEATABEAF8ARABhAHQAYQBcAG4AIAAgAD0ATABBAE0AQgBEAEEAKABcAG4AIAAgACAAIABNAEEASwBFAEEAUgBSAEEAWQAoADIAOQAsACAAMQAzACwAXABuACAAIAAgACAAIAAgAEwAQQBNAEIARABBACgAcgAsAGMALABcAG4AIAAgACAAIAAgACAAIAAgAEkATgBEAEUAWAAoAHsAXABuACAAIAAgACAAIAAgACAAIAAgACAAXAAiAFMAdABhAHQAZQBcACIALAAgAFwAIgBSAGUAZwBpAG8AbgBcACIALAAgAFwAIgBTAGUAYQBzAG8AbgBcACIALAAgAFwAIgBCAHUAbABsACAAXAB1ADAAMAAzAGMAMQBcACIALAAgAFwAIgBCAHUAbABsACAAXAB1ADAAMAAzAGUAMQBcACIALAAgAFwAIgBDAG8AdwBzACAAXAB1ADAAMAAzAGMAMQBcACIALAAgAFwAIgBDAG8AdwBzACAAMQAtADIAXAAiACwAIABcACIAQwBvAHcAcwAgADIALQAzAFwAIgAsACAAXAAiAEMAbwB3AHMAIABcAHUAMAAwADMAZQAzAFwAIgAsACAAXAAiAFMAdABlAGUAcgAgAFwAdQAwADAAMwBjADEAXAAiACwAIABcACIAUwB0AGUAZQByACAAMQAtADIAXAAiACwAIABcACIAUwB0AGUAZQByACAAMgAtADMAXAAiACwAIABcACIAUwB0AGUAZQByACAAXAB1ADAAMAAzAGUAMwBcACIAOwBcAG4AIAAgACAAIAAgACAAIAAgACAAIABcACIATgBvAHIAdABoAGUAcgBuACAAVABlAHIAcgBpAHQAbwByAHkAXAAiACwAIABcACIAQQBsAGkAYwBlACAAUwBwAHIAaQBuAGcAcwBcACIALAAgAFwAIgBTAHAAcgBpAG4AZwBcACIALAAgADIAMgAwACwAIAA3ADAANgAsACAAMgAwADgALAAgADMAMgAzACwAIAA0ADEANQAsACAANAA2ADcALAAgADIAMgAzACwAIAAzADcAMQAsACAANAA5ADMALAAgADUAOAA1ADsAXABuACAAIAAgACAAIAAgACAAIAAgACAAXAAiAE4AbwByAHQAaABlAHIAbgAgAFQAZQByAHIAaQB0AG8AcgB5AFwAIgAsACAAXAAiAEEAbABpAGMAZQAgAFMAcAByAGkAbgBnAHMAXAAiACwAIABcACIAUwB1AG0AbQBlAHIAXAAiACwAIAAxADEAMAAsACAANwAwADMALAAgADEAMQAyACwAIAAyADUANgAsACAAMwA2ADgALAAgADQANgA1ACwAIAAxADAAOAAsACAAMgA4ADAALAAgADQAMgAxACwAIAA1ADQAMwA7AFwAbgAgACAAIAAgACAAIAAgACAAIAAgAFwAIgBOAG8AcgB0AGgAZQByAG4AIABUAGUAcgByAGkAdABvAHIAeQBcACIALAAgAFwAIgBBAGwAaQBjAGUAIABTAHAAcgBpAG4AZwBzAFwAIgAsACAAXAAiAEEAdQB0AHUAbQBuAFwAIgAsACAAMQA3ADAALAAgADcAMgAxACwAIAAxADYAOQAsACAAMwAwADYALAAgADMAOQAyACwAIAA0ADYANAAsACAAMQA3ADYALAAgADMAMwA5ACwAIAA0ADcAMAAsACAANQA4ADAAOwBcAG4AIAAgACAAIAAgACAAIAAgACAAIABcACIATgBvAHIAdABoAGUAcgBuACAAVABlAHIAcgBpAHQAbwByAHkAXAAiACwAIABcACIAQQBsAGkAYwBlACAAUwBwAHIAaQBuAGcAcwBcACIALAAgAFwAIgBXAGkAbgB0AGUAcgBcACIALAAgADIAMAAwACwAIAA3ADIANwAsACAAMgAxADEALAAgADMAMwA4ACwAIAA0ADMAMgAsACAANAA5ADIALAAgADIAMgAyACwAIAAzADcANwAsACAANAA5ADgALAAgADUAOQAwADsAXABuACAAIAAgACAAIAAgACAAIAAgACAAXAAiAE4AbwByAHQAaABlAHIAbgAgAFQAZQByAHIAaQB0AG8AcgB5AFwAIgAsACAAXAAiAEIAYQByAGsAbAB5AFwAIgAsACAAXAAiAFMAcAByAGkAbgBnAFwAIgAsACAAMgAyADAALAAgADYAMgAwACwAIAAyADIANwAsACAAMwAxADkALAAgADMAOQA4ACwAIAA0ADUAMgAsACAAMgAxADYALAAgADMAMwA0ACwAIABcACIATgBPAFwAIgAsACAAXAAiAE4ATwBcACIAOwBcAG4AIAAgACAAIAAgACAAIAAgACAAIABcACIATgBvAHIAdABoAGUAcgBuACAAVABlAHIAcgBpAHQAbwByAHkAXAAiACwAIABcACIAQgBhAHIAawBsAHkAXAAiACwAIABcACIAUwB1AG0AbQBlAHIAXAAiACwAIAAxADEAMAAsACAANgA1ADAALAAgADEAMAA4ACwAIAAyADYAMgAsACAAMwA0ADYALAAgADQAMwAwACwAIAAxADEAMQAsACAAMgAzADYALAAgAFwAIgBOAE8AXAAiACwAIABcACIATgBPAFwAIgA7AFwAbgAgACAAIAAgACAAIAAgACAAIAAgAFwAIgBOAG8AcgB0AGgAZQByAG4AIABUAGUAcgByAGkAdABvAHIAeQBcACIALAAgAFwAIgBCAGEAcgBrAGwAeQBcACIALAAgAFwAIgBBAHUAdAB1AG0AbgBcACIALAAgADEANwAwACwAIAA2ADcAMAAsACAAMQA3ADAALAAgADIANgA2ACwAIAAzADYAMwAsACAANAA0ADQALAAgADEANgA5ACwAIAAyADgAMgAsACAAXAAiAE4ATwBcACIALAAgAFwAIgBOAE8AXAAiADsAXABuACAAIAAgACAAIAAgACAAIAAgACAAXAAiAE4AbwByAHQAaABlAHIAbgAgAFQAZQByAHIAaQB0AG8AcgB5AFwAIgAsACAAXAAiAEIAYQByAGsAbAB5AFwAIgAsACAAXAAiAFcAaQBuAHQAZQByAFwAIgAsACAAMgAwADAALAAgADYANgAwACwAIAAyADIANQAsACAAMwAwADcALAAgADMAOQA4ACwAIAA0ADUAMgAsACAAMgAxADQALAAgADMAMgA2ACwAIABcACIATgBPAFwAIgAsACAAXAAiAE4ATwBcACIAOwBcAG4AIAAgACAAIAAgACAAIAAgACAAIABcACIATgBvAHIAdABoAGUAcgBuACAAVABlAHIAcgBpAHQAbwByAHkAXAAiACwAIABcACIATgBvAHIAdABoAGUAcgBuAFwAIgAsACAAXAAiAFMAcAByAGkAbgBnAFwAIgAsACAAMgAyADAALAAgADYAMgAwACwAIAAxADcANwAsACAAMgA2ADcALAAgADMANgA1ACwAIAA0ADAANgAsACAAMgAzADEALAAgADIANAA5ACwAIAAzADIANAAsACAAXAAiAE4ATwBcACIAOwBcAG4AIAAgACAAIAAgACAAIAAgACAAIABcACIATgBvAHIAdABoAGUAcgBuACAAVABlAHIAcgBpAHQAbwByAHkAXAAiACwAIABcACIATgBvAHIAdABoAGUAcgBuAFwAIgAsACAAXAAiAFMAdQBtAG0AZQByAFwAIgAsACAAMQAxADAALAAgADYANQAwACwAIAAxADAAMgAsACAAMgAwADMALAAgADIAOQA5ACwAIAAzADgAMAAsACAAMQAwADIALAAgADIAMQA4ACwAIAAyADYAMwAsACAAXAAiAE4ATwBcACIAOwBcAG4AIAAgACAAIAAgACAAIAAgACAAIABcACIATgBvAHIAdABoAGUAcgBuACAAVABlAHIAcgBpAHQAbwByAHkAXAAiACwAIABcACIATgBvAHIAdABoAGUAcgBuAFwAIgAsACAAXAAiAEEAdQB0AHUAbQBuAFwAIgAsACAAMQA3ADAALAAgADYANwAwACwAIAAxADcAMwAsACAAMgA1ADAALAAgADMAMwA2ACwAIAA0ADEANAAsACAAMQA3ADUALAAgADIANAAzACwAIAAzADAANAAsACAAXAAiAE4ATwBcACIAOwBcAG4AIAAgACAAIAAgACAAIAAgACAAIABcACIATgBvAHIAdABoAGUAcgBuACAAVABlAHIAcgBpAHQAbwByAHkAXAAiACwAIABcACIATgBvAHIAdABoAGUAcgBuAFwAIgAsACAAXAAiAFcAaQBuAHQAZQByAFwAIgAsACAAMgAwADAALAAgADYANgAwACwAIAAyADAAMgAsACAAMgA3ADIALAAgADMANgA1ACwAIAAzADkAMAAsACAAMgAwADgALAAgADIANgAwACwAIAAzADMANwAsACAAXAAiAE4ATwBcACIAOwBcAG4AIAAgACAAIAAgACAAIAAgACAAIABcACIAUQB1AGUAZQBuAHMAbABhAG4AZABcACIALAAgAFwAIgBIAGkAZwBoAFwAIgAsACAAXAAiAFMAcAByAGkAbgBnAFwAIgAsACAAMgA2ADAALAAgADcAMAA1ACwAIAAyADEANQAsACAAMwAwADIALAAgADQAMQA2ACwAIAA1ADEAOQAsACAAMgAzADQALAAgADQANQA1ACwAIAA1ADUAMQAsACAANgA2ADAAOwBcAG4AIAAgACAAIAAgACAAIAAgACAAIABcACIAUQB1AGUAZQBuAHMAbABhAG4AZABcACIALAAgAFwAIgBIAGkAZwBoAFwAIgAsACAAXAAiAFMAdQBtAG0AZQByAFwAIgAsACAAMQA1ADMALAAgADcAMAAzACwAIAAxADEAOAAsACAAMgA3ADcALAAgADMAOQA3ACwAIAA0ADgAMwAsACAAMQAxADEALAAgADMAMAA0ACwAIAA1ADIAMQAsACAANQA0ADcAOwBcAG4AIAAgACAAIAAgACAAIAAgACAAIABcACIAUQB1AGUAZQBuAHMAbABhAG4AZABcACIALAAgAFwAIgBIAGkAZwBoAFwAIgAsACAAXAAiAEEAdQB0AHUAbQBuAFwAIgAsACAAMQA2ADgALAAgADcAMQA4ACwAIAAxADkAMQAsACAAMwAxADkALAAgADQANAAwACwAIAA1ADAANgAsACAAMQA4ADgALAAgADMAMgA2ACwAIAA1ADIAMAAsACAANQA4ADIAOwBcAG4AIAAgACAAIAAgACAAIAAgACAAIABcACIAUQB1AGUAZQBuAHMAbABhAG4AZABcACIALAAgAFwAIgBIAGkAZwBoAFwAIgAsACAAXAAiAFcAaQBuAHQAZQByAFwAIgAsACAAMgAzADUALAAgADcAMgAyACwAIAAyADAANwAsACAAMwA1ADIALAAgADQANwAwACwAIAA1ADEANAAsACAAMgAwADkALAAgADQAMgAxACwAIAA1ADEAMgAsACAANgAwADUAOwBcAG4AIAAgACAAIAAgACAAIAAgACAAIABcACIAUQB1AGUAZQBuAHMAbABhAG4AZABcACIALAAgAFwAIgBNAG8AZABlAHIAYQB0AGUALwBIAGkAZwBoAFwAIgAsACAAXAAiAFMAcAByAGkAbgBnAFwAIgAsACAAMgAzADAALAAgADYANwA0ACwAIAAyADEANwAsACAAMwA0ADQALAAgADMANQA3ACwAIAA0ADYANwAsACAAMgA0ADIALAAgADMANwAwACwAIAA1ADUAMAAsACAANgAyADAAOwBcAG4AIAAgACAAIAAgACAAIAAgACAAIABcACIAUQB1AGUAZQBuAHMAbABhAG4AZABcACIALAAgAFwAIgBNAG8AZABlAHIAYQB0AGUALwBIAGkAZwBoAFwAIgAsACAAXAAiAFMAdQBtAG0AZQByAFwAIgAsACAAMQAxADMALAAgADYANgA5ACwAIAAxADEAMwAsACAAMgA4ADMALAAgADMANgAxACwAIAA0ADcANwAsACAAMQAyADAALAAgADIANwAzACwAIAA1ADQANQAsACAANQA1ADMAOwBcAG4AIAAgACAAIAAgACAAIAAgACAAIABcACIAUQB1AGUAZQBuAHMAbABhAG4AZABcACIALAAgAFwAIgBNAG8AZABlAHIAYQB0AGUALwBIAGkAZwBoAFwAIgAsACAAXAAiAEEAdQB0AHUAbQBuAFwAIgAsACAAMQA3ADIALAAgADYAOAA1ACwAIAAxADcAMgAsACAAMwAwADkALAAgADMANwA2ACwAIAA0ADcAMQAsACAAMgAzADgALAAgADMAMgA5ACwAIAA1ADcAMwAsACAANgAyADAAOwBcAG4AIAAgACAAIAAgACAAIAAgACAAIABcACIAUQB1AGUAZQBuAHMAbABhAG4AZABcACIALAAgAFwAIgBNAG8AZABlAHIAYQB0AGUALwBIAGkAZwBoAFwAIgAsACAAXAAiAFcAaQBuAHQAZQByAFwAIgAsACAAMgA0ADEALAAgADYAOQAyACwAIAAyADAAOAAsACAAMwA0ADQALAAgADMANgA0ACwAIAA0ADgANAAsACAAMgA2ADAALAAgADMANQAwACwAIAA1ADYANwAsACAANgAyADAAOwBcAG4AIAAgACAAIAAgACAAIAAgACAAIABcACIAUQB1AGUAZQBuAHMAbABhAG4AZABcACIALAAgAFwAIgBNAG8AZABlAHIAYQB0AGUALwBMAG8AdwBcACIALAAgAFwAIgBTAHAAcgBpAG4AZwBcACIALAAgADIAMwA2ACwAIAA2ADcANAAsACAAMQA3ADgALAAgADMAMQAwACwAIAA0ADIAOAAsACAANAA2ADYALAAgADEAOQAzACwAIAAzADcAMAAsACAANQAxADkALAAgADUANgA1ADsAXABuACAAIAAgACAAIAAgACAAIAAgACAAXAAiAFEAdQBlAGUAbgBzAGwAYQBuAGQAXAAiACwAIABcACIATQBvAGQAZQByAGEAdABlAC8ATABvAHcAXAAiACwAIABcACIAUwB1AG0AbQBlAHIAXAAiACwAIAAxADIAMAAsACAANgA2ADkALAAgADEAMQAyACwAIAAyADUAMAAsACAAMwA5ADAALAAgADQANAA4ACwAIAAxADEANQAsACAAMgA3ADMALAAgADQAMwAzACwAIAA1ADUANgA7AFwAbgAgACAAIAAgACAAIAAgACAAIAAgAFwAIgBRAHUAZQBlAG4AcwBsAGEAbgBkAFwAIgAsACAAXAAiAE0AbwBkAGUAcgBhAHQAZQAvAEwAbwB3AFwAIgAsACAAXAAiAEEAdQB0AHUAbQBuAFwAIgAsACAAMQAyADUALAAgADYAOAA1ACwAIAAxADQAMAAsACAAMgA3ADcALAAgADQAMAA3ACwAIAA0ADUANQAsACAAMQA0ADEALAAgADIAOQA2ACwAIAA0ADQANQAsACAANQA5ADMAOwBcAG4AIAAgACAAIAAgACAAIAAgACAAIABcACIAUQB1AGUAZQBuAHMAbABhAG4AZABcACIALAAgAFwAIgBNAG8AZABlAHIAYQB0AGUALwBMAG8AdwBcACIALAAgAFwAIgBXAGkAbgB0AGUAcgBcACIALAAgADEAOAAwACwAIAA2ADkAMgAsACAAMQA4ADMALAAgADMAMQA2ACwAIAA0ADMAOAAsACAANAA2ADgALAAgADEAOAA5ACwAIAAzADUANAAsACAANQAwADAALAAgADUANQAzADsAXABuACAAIAAgACAAIAAgACAAIAAgACAAXAAiAFEAdQBlAGUAbgBzAGwAYQBuAGQAXAAiACwAIABcACIATABvAHcAXAAiACwAIABcACIAUwBwAHIAaQBuAGcAXAAiACwAIAAxADkAMAAsACAANgAxADcALAAgADEANwA0ACwAIAAyADYANQAsACAAMwA3ADEALAAgADQAMQA1ACwAIAAxADcAMAAsACAAMgA3ADIALAAgADMAOQAyACwAIAA1ADMAMQA7AFwAbgAgACAAIAAgACAAIAAgACAAIAAgAFwAIgBRAHUAZQBlAG4AcwBsAGEAbgBkAFwAIgAsACAAXAAiAEwAbwB3AFwAIgAsACAAXAAiAFMAdQBtAG0AZQByAFwAIgAsACAAMQAxADkALAAgADUAOQAxACwAIAAxADQAMAAsACAAMgAwADUALAAgADMAMQAwACwAIAA0ADAANQAsACAAMQAzADMALAAgADIAMQA4ACwAIAAzADEANQAsACAANAA0ADUAOwBcAG4AIAAgACAAIAAgACAAIAAgACAAIABcACIAUQB1AGUAZQBuAHMAbABhAG4AZABcACIALAAgAFwAIgBMAG8AdwBcACIALAAgAFwAIgBBAHUAdAB1AG0AbgBcACIALAAgADEANwA1ACwAIAA2ADEAMAAsACAAMQA2ADMALAAgADIAMwAyACwAIAAzADUAMQAsACAANAAyADcALAAgADEANAA2ACwAIAAyADQAMgAsACAAMwAyADAALAAgADQANwAxADsAXABuACAAIAAgACAAIAAgACAAIAAgACAAXAAiAFEAdQBlAGUAbgBzAGwAYQBuAGQAXAAiACwAIABcACIATABvAHcAXAAiACwAIABcACIAVwBpAG4AdABlAHIAXAAiACwAIAAxADkAMgAsACAANgAxADUALAAgADEANgAyACwAIAAyADUANQAsACAAMwA2ADQALAAgADQAMgAwACwAIAAxADUANwAsACAAMgA2ADEALAAgADMANAAyACwAIAA0ADgANA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MAGkAdgBlAHcAZQBpAGcAaAB0AEcAYQBpAG4AXABuAFQAYQBiAGwAZQAgAEEALgAxAC4AMgAuADMAOgAgAEIAZQBlAGYAIABwAGEAcwB0AHUAcgBlACAAYwBhAHQAdABsAGUAIAAtACAATABpAHYAZQB3AGUAaQBnAGgAdAAgAGcAYQBpAG4AIAAoAGsAZwApACAAKABMAFcARwBqAGsAbAApAFwAbgAtAC0ALQAtAC0ALQAtAC0ALQAtAC0ALQAtAC0ALQAtAC0ALQAtAC0ALQAtAC0ALQAtAC0ALQAtAC0ALQAtAC0ALQAtAC0ALQAtAC0AXABuACoALwBcAG4AXABuAFMAbwB1AHIAYwBlAEQAYQB0AGEAXwBQAGEAcwB0AHUAcgBlAEIAZQBlAGYAXwBMAGkAdgBlAHcAZQBpAGcAaAB0AEcAYQBpAG4AXwBUAGkAdABsAGUAXABuACAAIAA9AEwAQQBNAEIARABBACgAXAAiAEIAZQBlAGYAIABwAGEAcwB0AHUAcgBlACAAYwBhAHQAdABsAGUAIAAtACAATABpAHYAZQB3AGUAaQBnAGgAdAAgAGcAYQBpAG4AIAAoAGsAZwApACAAKABMAFcARwBqAGsAbAApAFwAIgApADsAXABuAFwAbgBTAG8AdQByAGMAZQBEAGEAdABhAF8AUABhAHMAdAB1AHIAZQBCAGUAZQBmAF8ATABpAHYAZQB3AGUAaQBnAGgAdABHAGEAaQBuAF8AVgBhAHIAaQBhAGIAbABlAFwAbgAgACAAPQBMAEEATQBCAEQAQQAoAFwAIgBMAFcARwBqAGsAbABcACIAKQA7AFwAbgBcAG4AUwBvAHUAcgBjAGUARABhAHQAYQBfAFAAYQBzAHQAdQByAGUAQgBlAGUAZgBfAEwAaQB2AGUAdwBlAGkAZwBoAHQARwBhAGkAbgBfAFUAbgBpAHQAXABuACAAIAA9AEwAQQBNAEIARABBACgAXAAiAGsAZwBcACIAKQA7AFwAbgBcAG4AUwBvAHUAcgBjAGUARABhAHQAYQBfAFAAYQBzAHQAdQByAGUAQgBlAGUAZgBfAEwAaQB2AGUAdwBlAGkAZwBoAHQARwBhAGkAbgBfAFMAbwB1AHIAYwBlAFwAbgAgACAAPQBMAEEATQBCAEQAQQAoAFwAIgBWAEUARQBSAEcAIAAyADAAMgA2ADoAIABUAGEAYgBsAGUAIABBAC4AMQAuADIALgAzAFwAIgApADsAXABuAFwAbgBTAG8AdQByAGMAZQBEAGEAdABhAF8AUABhAHMAdAB1AHIAZQBCAGUAZQBmAF8ATABpAHYAZQB3AGUAaQBnAGgAdABHAGEAaQBuAF8AVgBhAHIAaQBhAHQAaQBvAG4AXABuACAAIAA9AEwAQQBNAEIARABBACgAXAAiAFYAQQBSAEkAQQBUAEkATwBOACAATwBOACAAUwBPAFUAUgBDAEUAOgAgAFIAZQBwAGwAYQBjAGUAZAAgAFwAdQAwADAAMgA3AG4ALwBhAFwAdQAwADAAMgA3ACAAdwBpAHQAaAAgAFwAdQAwADAAMgA3AFMAbwB1AHQAaAAgAFcAZQBzAHQAXAB1ADAAMAAyADcAIABmAG8AcgAgAGYAaQByAHMAdAAgAGYAbwB1AHIAIAByAG8AdwBzACAAbwBmACAAVwBlAHMAdABlAHIAbgAgAEEAdQBzAHQAcgBhAGwAaQBhACAAdABvACAAYgBlACAAYwBvAG4AcwBpAHMAdABlAG4AdAAgAHcAaQB0AGgAIAB0AGEAYgBsAGUAIABBAC4AMQAuADIALgAxAFwAIgApADsAXABuAFwAbgBTAG8AdQByAGMAZQBEAGEAdABhAF8AUABhAHMAdAB1AHIAZQBCAGUAZQBmAF8ATABpAHYAZQB3AGUAaQBnAGgAdABHAGEAaQBuAF8ARABhAHQAYQBcAG4AIAAgAD0ATABBAE0AQgBEAEEAKABcAG4AIAAgACAAIABNAEEASwBFAEEAUgBSAEEAWQAoADIAOQAsACAAMQAwACwAXABuACAAIAAgACAAIAAgAEwAQQBNAEIARABBACgAcgAsAGMALABcAG4AIAAgACAAIAAgACAAIAAgAEkATgBEAEUAWAAoAHsAXABuACAAIAAgACAAIAAgACAAIAAgACAAXAAiAFMAdABhAHQAZQBcACIALAAgAFwAIgBSAGUAZwBpAG8AbgBcACIALAAgAFwAIgBTAGUAYQBzAG8AbgBcACIALAAgAFwAIgBCAHUAbABsACAAXAB1ADAAMAAzAGMAMQBcACIALAAgAFwAIgBCAHUAbABsACAAXAB1ADAAMAAzAGUAMQBcACIALAAgAFwAIgBDAG8AdwAgAFwAdQAwADAAMwBjADEAXAAiACwAIABcACIAQwBvAHcAIAAxAC0AMgBcACIALAAgAFwAIgBDAG8AdwAgAFwAdQAwADAAMwBlADIAXAAiACwAIABcACIAUwB0AGUAZQByACAAXAB1ADAAMAAzAGMAMQBcACIALAAgAFwAIgBTAHQAZQBlAHIAIABcAHUAMAAwADMAZQAxAFwAIgA7AFwAbgAgACAAIAAgACAAIAAgACAAIAAgAFwAIgBBAEMAVAAvAE4AUwBXAFwAIgAsACAAXAAiAG4ALwBhAFwAIgAsACAAXAAiAFMAcAByAGkAbgBnAFwAIgAsACAAMAAuADUALAAgADAALgAyACwAIAAwAC4ANQAsACAAMAAuADQALAAgADAALgAzACwAIAAwAC4ANQAsACAAMAAuADQAOwBcAG4AIAAgACAAIAAgACAAIAAgACAAIABcACIAQQBDAFQALwBOAFMAVwBcACIALAAgAFwAIgBuAC8AYQBcACIALAAgAFwAIgBTAHUAbQBtAGUAcgBcACIALAAgADEALgAwACwAIAAwAC4ANAAsACAAMAAuADkALAAgADAALgA3ACwAIAAwAC4AMwAsACAAMAAuADkALAAgADAALgA0ADsAXABuACAAIAAgACAAIAAgACAAIAAgACAAXAAiAEEAQwBUAC8ATgBTAFcAXAAiACwAIABcACIAbgAvAGEAXAAiACwAIABcACIAQQB1AHQAdQBtAG4AXAAiACwAIAAwAC4AOAAsACAAMAAuADMALAAgADAALgA3ACwAIAAwAC4AMwAsACAAMAAuADIALAAgADAALgA3ACwAIAAwAC4AMwA7AFwAbgAgACAAIAAgACAAIAAgACAAIAAgAFwAIgBBAEMAVAAvAE4AUwBXAFwAIgAsACAAXAAiAG4ALwBhAFwAIgAsACAAXAAiAFcAaQBuAHQAZQByAFwAIgAsACAAMAAuADQALAAgADAALgAxACwAIAAwAC4ANAAsACAAMAAuADIALAAgADAALgAxACwAIAAwAC4ANAAsACAAMAAuADEAOwBcAG4AIAAgACAAIAAgACAAIAAgACAAIABcACIAUwBvAHUAdABoACAAQQB1AHMAdAByAGEAbABpAGEAXAAiACwAIABcACIAbgAvAGEAXAAiACwAIABcACIAUwBwAHIAaQBuAGcAXAAiACwAIAAwAC4AOQA5ACwAIAAxAC4AMQAsACAAMAAuADgAOAAsACAAMAAuADUANQAsACAAMAAuADUANQAsACAAMAAuADgAOAAsACAAMAAuADIAMgA7AFwAbgAgACAAIAAgACAAIAAgACAAIAAgAFwAIgBTAG8AdQB0AGgAIABBAHUAcwB0AHIAYQBsAGkAYQBcACIALAAgAFwAIgBuAC8AYQBcACIALAAgAFwAIgBTAHUAbQBtAGUAcgBcACIALAAgADAALgA3ADcALAAgADAALgAwACwAIAAwAC4ANgA2ACwAIAAwAC4AMgAyACwAIAAwAC4AMAAsACAAMAAuADYANgAsACAAMAAuADAAOwBcAG4AIAAgACAAIAAgACAAIAAgACAAIABcACIAUwBvAHUAdABoACAAQQB1AHMAdAByAGEAbABpAGEAXAAiACwAIABcACIAbgAvAGEAXAAiACwAIABcACIAQQB1AHQAdQBtAG4AXAAiACwAIAAwAC4AOQAsACAALQAxAC4AMQAsACAAMAAuADcALAAgADAALgAyADIALAAgAC0AMAAuADUANQAsACAAMAAuADgALAAgAC0AMAAuADIAMgA7AFwAbgAgACAAIAAgACAAIAAgACAAIAAgAFwAIgBTAG8AdQB0AGgAIABBAHUAcwB0AHIAYQBsAGkAYQBcACIALAAgAFwAIgBuAC8AYQBcACIALAAgAFwAIgBXAGkAbgB0AGUAcgBcACIALAAgADAALgA4ADgALAAgADAALgAwACwAIAAwAC4ANwA3ACwAIAAwAC4ANQA1ACwAIAAwAC4AMAAsACAAMAAuADgAMgAsACAAMAAuADAAOwBcAG4AIAAgACAAIAAgACAAIAAgACAAIABcACIAVABhAHMAbQBhAG4AaQBhAFwAIgAsACAAXAAiAG4ALwBhAFwAIgAsACAAXAAiAFMAcAByAGkAbgBnAFwAIgAsACAAMQAuADAALAAgADAALgA1ADAALAAgADEALgAwACwAIAAxAC4AMAAsACAALQAwAC4ANAA0ACwAIAAxAC4AMAAsACAAMAAuADUAOwBcAG4AIAAgACAAIAAgACAAIAAgACAAIABcACIAVABhAHMAbQBhAG4AaQBhAFwAIgAsACAAXAAiAG4ALwBhAFwAIgAsACAAXAAiAFMAdQBtAG0AZQByAFwAIgAsACAAMAAuADgAMgAsACAAMAAuADUANQAsACAAMAAuADcAMQAsACAAMAAuADUANQAsACAAMAAuADkAOQAsACAAMAAuADcANwAsACAAMAAuADUAOwBcAG4AIAAgACAAIAAgACAAIAAgACAAIABcACIAVABhAHMAbQBhAG4AaQBhAFwAIgAsACAAXAAiAG4ALwBhAFwAIgAsACAAXAAiAEEAdQB0AHUAbQBuAFwAIgAsACAAMAAuADcANwAsACAAMAAuADUAMAAsACAAMAAuADUANQAsACAAMAAuADEAMQAsACAALQAwAC4AMwAzACwAIAAwAC4ANgAsACAAMAAuADMAMwA7AFwAbgAgACAAIAAgACAAIAAgACAAIAAgAFwAIgBUAGEAcwBtAGEAbgBpAGEAXAAiACwAIABcACIAbgAvAGEAXAAiACwAIABcACIAVwBpAG4AdABlAHIAXAAiACwAIAAwAC4AMQAxACwAIAAtADAALgAyADcALAAgADAALgAxADEALAAgADAALgAyADIALAAgAC0AMAAuADQANAAsACAAMAAuADEANgAsACAALQAwAC4AMgAyADsAXABuACAAIAAgACAAIAAgACAAIAAgACAAXAAiAFYAaQBjAHQAbwByAGkAYQBcACIALAAgAFwAIgBuAC8AYQBcACIALAAgAFwAIgBTAHAAcgBpAG4AZwBcACIALAAgADEALgAxADAALAAgADEALgAxADAALAAgADEALgAxADAALAAgADAALgA5ADkALAAgADAALgA5ADkALAAgADEALgAxADAALAAgADAALgA3ADcAOwBcAG4AIAAgACAAIAAgACAAIAAgACAAIABcACIAVgBpAGMAdABvAHIAaQBhAFwAIgAsACAAXAAiAG4ALwBhAFwAIgAsACAAXAAiAFMAdQBtAG0AZQByAFwAIgAsACAAMAAuADMAMwAsACAAMAAuADMAMwAsACAAMAAuADIAMgAsACAAMAAuADMAMwAsACAALQAwAC4AMQAwACwAIAAwAC4AMwAzACwAIAAwAC4AMQAxADsAXABuACAAIAAgACAAIAAgACAAIAAgACAAXAAiAFYAaQBjAHQAbwByAGkAYQBcACIALAAgAFwAIgBuAC8AYQBcACIALAAgAFwAIgBBAHUAdAB1AG0AbgBcACIALAAgADAALgA1ADAALAAgADAALgAyADAALAAgADAALgA1ADUALAAgADAALgA0ADQALAAgADAALgAyADAALAAgADAALgA1ADUALAAgADAALgAyADAAOwBcAG4AIAAgACAAIAAgACAAIAAgACAAIABcACIAVgBpAGMAdABvAHIAaQBhAFwAIgAsACAAXAAiAG4ALwBhAFwAIgAsACAAXAAiAFcAaQBuAHQAZQByAFwAIgAsACAAMAAuADUANQAsACAAMAAuADIAMgAsACAAMAAuADQAOQAsACAAMAAuADIAMgAsACAAMAAuADIAMgAsACAAMAAuADQAOQAsACAAMAAuADMAMwA7AFwAbgAgACAAIAAgACAAIAAgACAAIAAgAFwAIgBXAGUAcwB0AGUAcgBuACAAQQB1AHMAdAByAGEAbABpAGEAXAAiACwAIABcACIAUwBvAHUAdABoACAAVwBlAHMAdABcACIALAAgAFwAIgBTAHAAcgBpAG4AZwBcACIALAAgADEALgA2ADQALAAgADEALgAxADAALAAgADEALgAyADEALAAgADAALgA5ADkALAAgADAALgA2ADYALAAgADEALgA0ADIALAAgADEALgAxADAAOwBcAG4AIAAgACAAIAAgACAAIAAgACAAIABcACIAVwBlAHMAdABlAHIAbgAgAEEAdQBzAHQAcgBhAGwAaQBhAFwAIgAsACAAXAAiAFMAbwB1AHQAaAAgAFcAZQBzAHQAXAAiACwAIABcACIAUwB1AG0AbQBlAHIAXAAiACwAIAAwAC4ANAA0ACwAIAAtADAALgAyADIALAAgADAALgA0ADQALAAgADAALgAzADMALAAgAC0AMAAuADIAMgAsACAAMAAuADQANAAsACAALQAwAC4AMQAxADsAXABuACAAIAAgACAAIAAgACAAIAAgACAAXAAiAFcAZQBzAHQAZQByAG4AIABBAHUAcwB0AHIAYQBsAGkAYQBcACIALAAgAFwAIgBTAG8AdQB0AGgAIABXAGUAcwB0AFwAIgAsACAAXAAiAEEAdQB0AHUAbQBuAFwAIgAsACAAMAAuADYAMAAsACAAMAAuADAAMAAsACAAMAAuADYAMAAsACAAMAAuADIAMgAsACAALQAwAC4ANQA1ACwAIAAwAC4ANgAwACwAIAAwAC4AMAAwADsAXABuACAAIAAgACAAIAAgACAAIAAgACAAXAAiAFcAZQBzAHQAZQByAG4AIABBAHUAcwB0AHIAYQBsAGkAYQBcACIALAAgAFwAIgBTAG8AdQB0AGgAIABXAGUAcwB0AFwAIgAsACAAXAAiAFcAaQBuAHQAZQByAFwAIgAsACAAMAAuADkAOQAsACAAMAAuADIAMgAsACAAMAAuADcANwAsACAAMAAuADEAMQAsACAAMAAuADEAMQAsACAAMAAuADcANwAsACAAMAAuADQANAA7AFwAbgAgACAAIAAgACAAIAAgACAAIAAgAFwAIgBXAGUAcwB0AGUAcgBuACAAQQB1AHMAdAByAGEAbABpAGEAXAAiACwAIABcACIAUABpAGwAYgBhAHIAYQBcACIALAAgAFwAIgBTAHAAcgBpAG4AZwBcACIALAAgADAALgA3ADAALAAgAC0AMAAuADUANQAsACAAMAAuADcAMAAsACAAMAAuADIAMgAsACAALQAwAC4AMgAyACwAIAAwAC4ANwAwACwAIAAtADAALgAyADIAOwBcAG4AIAAgACAAIAAgACAAIAAgACAAIABcACIAVwBlAHMAdABlAHIAbgAgAEEAdQBzAHQAcgBhAGwAaQBhAFwAIgAsACAAXAAiAFAAaQBsAGIAYQByAGEAXAAiACwAIABcACIAUwB1AG0AbQBlAHIAXAAiACwAIAAwAC4ANwA3ACwAIAAwAC4ANQA1ACwAIAAwAC4ANwA3ACwAIAAwAC4ANgA2ACwAIAAwAC4ANQA1ACwAIAAwAC4ANwA3ACwAIAAwAC4AMwAzADsAXABuACAAIAAgACAAIAAgACAAIAAgACAAXAAiAFcAZQBzAHQAZQByAG4AIABBAHUAcwB0AHIAYQBsAGkAYQBcACIALAAgAFwAIgBQAGkAbABiAGEAcgBhAFwAIgAsACAAXAAiAEEAdQB0AHUAbQBuAFwAIgAsACAAMAAuADgAOAAsACAAMAAuADUANQAsACAAMAAuADgAOAAsACAAMAAuADIAMgAsACAAMAAuADIAMgAsACAAMAAuADgAOAAsACAAMAAuADIAMgA7AFwAbgAgACAAIAAgACAAIAAgACAAIAAgAFwAIgBXAGUAcwB0AGUAcgBuACAAQQB1AHMAdAByAGEAbABpAGEAXAAiACwAIABcACIAUABpAGwAYgBhAHIAYQBcACIALAAgAFwAIgBXAGkAbgB0AGUAcgBcACIALAAgADAALgAyADIALAAgAC0AMAAuADUANQAsACAAMAAuADIAMgAsACAAMAAuADEAMQAsACAALQAwAC4AMgAyACwAIAAwAC4AMgAyACwAIAAtADAALgAzADMAOwBcAG4AIAAgACAAIAAgACAAIAAgACAAIABcACIAVwBlAHMAdABlAHIAbgAgAEEAdQBzAHQAcgBhAGwAaQBhAFwAIgAsACAAXAAiAEsAaQBtAGIAZQByAGwAZQB5AFwAIgAsACAAXAAiAFMAcAByAGkAbgBnAFwAIgAsACAAMAAuADIAMgAsACAALQAwAC4ANQA1ACwAIAAwAC4AMwAzACwAIAAwAC4AMgAyACwAIAAtADAALgAzADMALAAgADAALgAyADIALAAgAC0AMAAuADUANQA7AFwAbgAgACAAIAAgACAAIAAgACAAIAAgAFwAIgBXAGUAcwB0AGUAcgBuACAAQQB1AHMAdAByAGEAbABpAGEAXAAiACwAIABcACIASwBpAG0AYgBlAHIAbABlAHkAXAAiACwAIABcACIAUwB1AG0AbQBlAHIAXAAiACwAIAAwAC4AOAAwACwAIAAwAC4ANQA1ACwAIAAwAC4ANwAwACwAIAAwAC4ANAA0ACwAIAAwAC4ANgA2ACwAIAAwAC4AOAAwACwAIAAwAC4ANQA1ADsAXABuACAAIAAgACAAIAAgACAAIAAgACAAXAAiAFcAZQBzAHQAZQByAG4AIABBAHUAcwB0AHIAYQBsAGkAYQBcACIALAAgAFwAIgBLAGkAbQBiAGUAcgBsAGUAeQBcACIALAAgAFwAIgBBAHUAdAB1AG0AbgBcACIALAAgADAALgA2ADYALAAgADAALgA1ADUALAAgADAALgA1ADUALAAgADAALgA1ADUALAAgADAALgAxADEALAAgADAALgA2ADYALAAgADAALgA1ADUAOwBcAG4AIAAgACAAIAAgACAAIAAgACAAIABcACIAVwBlAHMAdABlAHIAbgAgAEEAdQBzAHQAcgBhAGwAaQBhAFwAIgAsACAAXAAiAEsAaQBtAGIAZQByAGwAZQB5AFwAIgAsACAAXAAiAFcAaQBuAHQAZQByAFwAIgAsACAAMAAuADMAMwAsACAALQAwAC4ANQA1ACwAIAAwAC4AMQAxACwAIAAwAC4AMQAxACwAIAAtADAALgA0ADQALAAgADAALgAzADMALAAgAC0AMAAuADUANQ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wAaQB2AGUAdwBlAGkAZwBoAHQARwBhAGkAbgBOAFQAUQBMAEQAXABuAFQAYQBiAGwAZQAgAEEALgAxAC4AMgAuADQAOgAgAEIAZQBlAGYAIABwAGEAcwB0AHUAcgBlACAAYwBhAHQAdABsAGUAIAAtACAATABpAHYAZQB3AGUAaQBnAGgAdAAgAGcAYQBpAG4AIAAoAGsAZwApACAAKABMAFcARwBqAGsAbAApACAAZgBvAHIAIABOAFQAIABhAG4AZAAgAFEATABEAFwAbgAtAC0ALQAtAC0ALQAtAC0ALQAtAC0ALQAtAC0ALQAtAC0ALQAtAC0ALQAtAC0ALQAtAC0ALQAtAC0ALQAtAC0ALQAtAC0ALQAtAC0AXABuACoALwBcAG4AXABuAFMAbwB1AHIAYwBlAEQAYQB0AGEAXwBQAGEAcwB0AHUAcgBlAEIAZQBlAGYAXwBMAGkAdgBlAHcAZQBpAGcAaAB0AEcAYQBpAG4ATgBUAFEATABEAF8AVABpAHQAbABlAFwAbgAgACAAPQBMAEEATQBCAEQAQQAoAFwAIgBCAGUAZQBmACAAcABhAHMAdAB1AHIAZQAgAGMAYQB0AHQAbABlACAALQAgAEwAaQB2AGUAdwBlAGkAZwBoAHQAIABnAGEAaQBuACAAKABrAGcAKQAgACgATABXAEcAagBrAGwAKQAgAGYAbwByACAATgBUACAAYQBuAGQAIABRAEwARABcACIAKQA7AFwAbgBcAG4AUwBvAHUAcgBjAGUARABhAHQAYQBfAFAAYQBzAHQAdQByAGUAQgBlAGUAZgBfAEwAaQB2AGUAdwBlAGkAZwBoAHQARwBhAGkAbgBOAFQAUQBMAEQAXwBWAGEAcgBpAGEAYgBsAGUAXABuACAAIAA9AEwAQQBNAEIARABBACgAXAAiAEwAVwBHAGoAawBsAFwAIgApADsAXABuAFwAbgBTAG8AdQByAGMAZQBEAGEAdABhAF8AUABhAHMAdAB1AHIAZQBCAGUAZQBmAF8ATABpAHYAZQB3AGUAaQBnAGgAdABHAGEAaQBuAE4AVABRAEwARABfAFUAbgBpAHQAXABuACAAIAA9AEwAQQBNAEIARABBACgAXAAiAGsAZwBcACIAKQA7AFwAbgBcAG4AUwBvAHUAcgBjAGUARABhAHQAYQBfAFAAYQBzAHQAdQByAGUAQgBlAGUAZgBfAEwAaQB2AGUAdwBlAGkAZwBoAHQARwBhAGkAbgBOAFQAUQBMAEQAXwBTAG8AdQByAGMAZQBcAG4AIAAgAD0ATABBAE0AQgBEAEEAKABcACIAVgBFAEUAUgBHACAAMgAwADIANgA6ACAAVABhAGIAbABlACAAQQAuADEALgAyAC4ANABcACIAKQA7AFwAbgBcAG4AUwBvAHUAcgBjAGUARABhAHQAYQBfAFAAYQBzAHQAdQByAGUAQgBlAGUAZgBfAEwAaQB2AGUAdwBlAGkAZwBoAHQARwBhAGkAbgBOAFQAUQBMAEQAXwBWAGEAcgBpAGEAdABpAG8AbgBcAG4AIAAgAD0ATABBAE0AQgBEAEEAKABcACIAXAAiACkAOwBcAG4AXABuAFMAbwB1AHIAYwBlAEQAYQB0AGEAXwBQAGEAcwB0AHUAcgBlAEIAZQBlAGYAXwBMAGkAdgBlAHcAZQBpAGcAaAB0AEcAYQBpAG4ATgBUAFEATABEAF8ARABhAHQAYQBcAG4AIAAgAD0ATABBAE0AQgBEAEEAKABcAG4AIAAgACAAIABNAEEASwBFAEEAUgBSAEEAWQAoADIAOQAsACAAMQAzACwAXABuACAAIAAgACAAIAAgAEwAQQBNAEIARABBACgAcgAsAGMALABcAG4AIAAgACAAIAAgACAAIAAgAEkATgBEAEUAWAAoAHsAXABuACAAIAAgACAAIAAgACAAIAAgACAAXAAiAFMAdABhAHQAZQBcACIALAAgAFwAIgBSAGUAZwBpAG8AbgBcACIALAAgAFwAIgBTAGUAYQBzAG8AbgBcACIALAAgAFwAIgBCAHUAbABsACAAXAB1ADAAMAAzAGMAMQBcACIALAAgAFwAIgBCAHUAbABsACAAXAB1ADAAMAAzAGUAMQBcACIALAAgAFwAIgBDAG8AdwAgAFwAdQAwADAAMwBjADEAXAAiACwAIABcACIAQwBvAHcAIAAxAC0AMgBcACIALAAgAFwAIgBDAG8AdwAgADIALQAzAFwAIgAsACAAXAAiAEMAbwB3ACAAXAB1ADAAMAAzAGUAMwBcACIALAAgAFwAIgBTAHQAZQBlAHIAIABcAHUAMAAwADMAYwAxAFwAIgAsACAAXAAiAFMAdABlAGUAcgAgADEALQAyAFwAIgAsACAAXAAiAFMAdABlAGUAcgAgADIALQAzAFwAIgAsACAAXAAiAFMAdABlAGUAcgAgAFwAdQAwADAAMwBlADMAXAAiADsAXABuACAAIAAgACAAIAAgACAAIAAgACAAXAAiAE4AbwByAHQAaABlAHIAbgAgAFQAZQByAHIAaQB0AG8AcgB5AFwAIgAsACAAXAAiAEEAbABpAGMAZQAgAFMAcAByAGkAbgBnAHMAXAAiACwAIABcACIAUwBwAHIAaQBuAGcAXAAiACwAIAAwAC4AMgAyACwAIAAtADAALgAyADMALAAgADAALgAyADUALAAgADAALgAxADcALAAgADAALgAxADgALAAgAC0AMAAuADIAOAAsACAAMAAuADMAMgAsACAAMAAuADIANAAsACAAMAAuADIANQAsACAALQAwAC4AMAA1ADsAXABuACAAIAAgACAAIAAgACAAIAAgACAAXAAiAE4AbwByAHQAaABlAHIAbgAgAFQAZQByAHIAaQB0AG8AcgB5AFwAIgAsACAAXAAiAEEAbABpAGMAZQAgAFMAcAByAGkAbgBnAHMAXAAiACwAIABcACIAUwB1AG0AbQBlAHIAXAAiACwAIAAwAC4ANgA2ACwAIAAwAC4AMgAwACwAIAAwAC4ANgAyACwAIAAwAC4ANQA0ACwAIAAwAC4AMwA4ACwAIAAwAC4AMgA3ACwAIAAwAC4ANwA1ACwAIAAwAC4ANgA0ACwAIAAwAC4ANQA1ACwAIAAwAC4ANAA4ADsAXABuACAAIAAgACAAIAAgACAAIAAgACAAXAAiAE4AbwByAHQAaABlAHIAbgAgAFQAZQByAHIAaQB0AG8AcgB5AFwAIgAsACAAXAAiAEEAbABpAGMAZQAgAFMAcAByAGkAbgBnAHMAXAAiACwAIABcACIAQQB1AHQAdQBtAG4AXAAiACwAIAAwAC4ANAA5ACwAIAAwAC4AMQAzACwAIAAwAC4ANQA0ACwAIAAwAC4ANAA1ACwAIAAwAC4AMwA1ACwAIAAwAC4AMQA1ACwAIAAwAC4ANgAzACwAIAAwAC4ANQA0ACwAIAAwAC4ANAAyACwAIAAwAC4AMgA2ADsAXABuACAAIAAgACAAIAAgACAAIAAgACAAXAAiAE4AbwByAHQAaABlAHIAbgAgAFQAZQByAHIAaQB0AG8AcgB5AFwAIgAsACAAXAAiAEEAbABpAGMAZQAgAFMAcAByAGkAbgBnAHMAXAAiACwAIABcACIAVwBpAG4AdABlAHIAXAAiACwAIAAwAC4AMgA3ACwAIAAtADAALgA4ADAALAAgADAALgAyADIALAAgADAALgAwADkALAAgADAALgAxADIALAAgADAALgAwADIALAAgADAALgAyADUALAAgADAALgAxADgALAAgADAALgAxADIALAAgADAALgAwADMAOwBcAG4AIAAgACAAIAAgACAAIAAgACAAIABcACIATgBvAHIAdABoAGUAcgBuACAAVABlAHIAcgBpAHQAbwByAHkAXAAiACwAIABcACIAQgBhAHIAawBsAHkAXAAiACwAIABcACIAUwBwAHIAaQBuAGcAXAAiACwAIAAwAC4AMgAyACwAIAAtADAALgA0ADQALAAgADAALgAyADAALAAgADAALgAyADEALAAgADAALgAxADgALAAgADAALgAwADEALAAgADAALgAxADIALAAgADAALgAwADkALAAgAFwAIgBOAE8AXAAiACwAIABcACIATgBPAFwAIgA7AFwAbgAgACAAIAAgACAAIAAgACAAIAAgAFwAIgBOAG8AcgB0AGgAZQByAG4AIABUAGUAcgByAGkAdABvAHIAeQBcACIALAAgAFwAIgBCAGEAcgBrAGwAeQBcACIALAAgAFwAIgBTAHUAbQBtAGUAcgBcACIALAAgADAALgA2ADYALAAgADAALgAyADIALAAgADAALgA2ADgALAAgADAALgAyADIALAAgADAALgAyADQALAAgADAALgAyADUALAAgADAALgA2ADQALAAgADAALgAzADcALAAgAFwAIgBOAE8AXAAiACwAIABcACIATgBPAFwAIgA7AFwAbgAgACAAIAAgACAAIAAgACAAIAAgAFwAIgBOAG8AcgB0AGgAZQByAG4AIABUAGUAcgByAGkAdABvAHIAeQBcACIALAAgAFwAIgBCAGEAcgBrAGwAeQBcACIALAAgAFwAIgBBAHUAdAB1AG0AbgBcACIALAAgADAALgA0ADkALAAgADAALgAwADUALAAgADAALgA2ADQALAAgADAALgAyADUALAAgADAALgAyADkALAAgADAALgAxADIALAAgADAALgA1ADcALAAgADAALgA0ADkALAAgAFwAIgBOAE8AXAAiACwAIABcACIATgBPAFwAIgA7AFwAbgAgACAAIAAgACAAIAAgACAAIAAgAFwAIgBOAG8AcgB0AGgAZQByAG4AIABUAGUAcgByAGkAdABvAHIAeQBcACIALAAgAFwAIgBCAGEAcgBrAGwAeQBcACIALAAgAFwAIgBXAGkAbgB0AGUAcgBcACIALAAgADAALgAyADcALAAgAC0AMAAuADIANwAsACAAMAAuADMAMQAsACAAMAAuADIAOQAsACAAMAAuADEAOQAsACAAMAAuADAANAAsACAAMAAuADIANgAsACAAMAAuADIAOAAsACAAXAAiAE4ATwBcACIALAAgAFwAIgBOAE8AXAAiADsAXABuACAAIAAgACAAIAAgACAAIAAgACAAXAAiAE4AbwByAHQAaABlAHIAbgAgAFQAZQByAHIAaQB0AG8AcgB5AFwAIgAsACAAXAAiAE4AbwByAHQAaABlAHIAbgBcACIALAAgAFwAIgBTAHAAcgBpAG4AZwBcACIALAAgADAALgAyADIALAAgAC0AMAAuADQANAAsACAAMAAuADAAMAAsACAAMAAuADEANQAsACAAMAAuADAAOAAsACAAMAAuADEANwAsACAAMAAuADAANgAsACAAMAAuADAAMgAsACAALQAwAC4AMQA0ACwAIABcACIATgBPAFwAIgA7AFwAbgAgACAAIAAgACAAIAAgACAAIAAgAFwAIgBOAG8AcgB0AGgAZQByAG4AIABUAGUAcgByAGkAdABvAHIAeQBcACIALAAgAFwAIgBOAG8AcgB0AGgAZQByAG4AXAAiACwAIABcACIAUwB1AG0AbQBlAHIAXAAiACwAIAAwAC4ANgA2ACwAIAAwAC4AMgAyACwAIAAwAC4ANwA5ACwAIAAwAC4ANAAwACwAIAAwAC4AMwA4ACwAIAAwAC4AMgA3ACwAIAAwAC4AOAAwACwAIAAwAC4AMQA2ACwAIAAwAC4AMwAwACwAIABcACIATgBPAFwAIgA7AFwAbgAgACAAIAAgACAAIAAgACAAIAAgAFwAIgBOAG8AcgB0AGgAZQByAG4AIABUAGUAcgByAGkAdABvAHIAeQBcACIALAAgAFwAIgBOAG8AcgB0AGgAZQByAG4AXAAiACwAIABcACIAQQB1AHQAdQBtAG4AXAAiACwAIAAwAC4ANAA5ACwAIAAwAC4AMAA1ACwAIAAwAC4ANQA1ACwAIAAwAC4AMwA4ACwAIAAwAC4AMwA2ACwAIAAwAC4AMAA2ACwAIAAwAC4ANQA4ACwAIAAwAC4AMgAzACwAIAAwAC4ANAAwACwAIABcACIATgBPAFwAIgA7AFwAbgAgACAAIAAgACAAIAAgACAAIAAgAFwAIgBOAG8AcgB0AGgAZQByAG4AIABUAGUAcgByAGkAdABvAHIAeQBcACIALAAgAFwAIgBOAG8AcgB0AGgAZQByAG4AXAAiACwAIABcACIAVwBpAG4AdABlAHIAXAAiACwAIAAwAC4AMgA3ACwAIAAtADAALgAyADcALAAgADAALgAwADIALAAgADAALgAwADkALAAgADAALgAxADYALAAgAC0AMAAuADAANAAsACAAMAAuADIAMQAsACAAMAAuADAAMwAsACAAMAAuADEAMQAsACAAXAAiAE4ATwBcACIAOwBcAG4AIAAgACAAIAAgACAAIAAgACAAIABcACIAUQB1AGUAZQBuAHMAbABhAG4AZABcACIALAAgAFwAIgBIAGkAZwBoAFwAIgAsACAAXAAiAFMAcAByAGkAbgBnAFwAIgAsACAAMAAuADIANwAsACAALQAwAC4AMQA5ACwAIAAwAC4AMwA4ACwAIAAwAC4AMgA1ACwAIAAwAC4AMAA3ACwAIAAwAC4AMAA1ACwAIAAwAC4ANQAyACwAIAAwAC4ANQA1ACwAIAAwAC4AMQA5ACwAIAAwAC4ANgAwADsAXABuACAAIAAgACAAIAAgACAAIAAgACAAXAAiAFEAdQBlAGUAbgBzAGwAYQBuAGQAXAAiACwAIABcACIASABpAGcAaABcACIALAAgAFwAIgBTAHUAbQBtAGUAcgBcACIALAAgADAALgAxADYALAAgADAALgAxADYALAAgADAALgA4ADAALAAgADAALgA1ADcALAAgADAALgA3ADYALAAgADAALgA0ADkALAAgADAALgA4ADQALAAgADAALgA1ADEALAAgADAALgAzADYALAAgADAALgAxADcAOwBcAG4AIAAgACAAIAAgACAAIAAgACAAIABcACIAUQB1AGUAZQBuAHMAbABhAG4AZABcACIALAAgAFwAIgBIAGkAZwBoAFwAIgAsACAAXAAiAEEAdQB0AHUAbQBuAFwAIgAsACAAMAAuADQANQAsACAAMAAuADEAMAAsACAAMAAuADQAOQAsACAAMAAuADQAMQAsACAAMAAuADQAMAAsACAAMAAuADEANwAsACAAMAAuADUANAAsACAAMAAuADYANAAsACAALQAwAC4AMAA1ACwAIAAwAC4AMwAyADsAXABuACAAIAAgACAAIAAgACAAIAAgACAAXAAiAFEAdQBlAGUAbgBzAGwAYQBuAGQAXAAiACwAIABcACIASABpAGcAaABcACIALAAgAFwAIgBXAGkAbgB0AGUAcgBcACIALAAgADAALgA1ADEALAAgAC0AMAAuADAANwAsACAAMAAuADEAMwAsACAALQAwAC4AMAA5ACwAIAAtADAALgAxADMALAAgADAALgAwADcALAAgADAALgAyADUALAAgADAALgA3ADEALAAgADAALgAxADcALAAgADAALgA0ADMAOwBcAG4AIAAgACAAIAAgACAAIAAgACAAIABcACIAUQB1AGUAZQBuAHMAbABhAG4AZABcACIALAAgAFwAIgBNAG8AZABlAHIAYQB0AGUALwBIAGkAZwBoAFwAIgAsACAAXAAiAFMAcAByAGkAbgBnAFwAIgAsACAALQAwAC4AMQAyACwAIAAtADAALgAxADkALAAgADAALgA0ADEALAAgADAALgAwADkALAAgADAALgA0ADEALAAgAC0AMAAuADEAOQAsACAAMAAuADAANwAsACAAMQAuADAANwAsACAALQAwAC4AMAA4ACwAIAAwAC4AMAAwADsAXABuACAAIAAgACAAIAAgACAAIAAgACAAXAAiAFEAdQBlAGUAbgBzAGwAYQBuAGQAXAAiACwAIABcACIATQBvAGQAZQByAGEAdABlAC8ASABpAGcAaABcACIALAAgAFwAIgBTAHUAbQBtAGUAcgBcACIALAAgADAALgA2ADUALAAgADAALgAxADkALAAgADAALgA2ADUALAAgADAALgA1ADEALAAgADAALgAxADgALAAgADAALgA2ADMALAAgADEALgAzADAALAAgADAALgA0ADgALAAgADEALgAxADIALAAgADAALgAzADgAOwBcAG4AIAAgACAAIAAgACAAIAAgACAAIABcACIAUQB1AGUAZQBuAHMAbABhAG4AZABcACIALAAgAFwAIgBNAG8AZABlAHIAYQB0AGUALwBIAGkAZwBoAFwAIgAsACAAXAAiAEEAdQB0AHUAbQBuAFwAIgAsACAAMAAuADcAMAAsACAAMAAuADEAMwAsACAAMAAuADUAMgAsACAAMAAuADMANAAsACAAMAAuADAAMgAsACAAMAAuADAANAAsACAAMAAuADcANwAsACAAMAAuADQAMgAsACAAMAAuADEAMgAsACAAMAAuADcANAA7AFwAbgAgACAAIAAgACAAIAAgACAAIAAgAFwAIgBRAHUAZQBlAG4AcwBsAGEAbgBkAFwAIgAsACAAXAAiAE0AbwBkAGUAcgBhAHQAZQAvAEgAaQBnAGgAXAAiACwAIABcACIAVwBpAG4AdABlAHIAXAAiACwAIAAwAC4AMwAyACwAIAAtADAALgAwADYALAAgADAALgAyADUALAAgADAALgAxADkALAAgAC0AMAAuADEAMAAsACAALQAwAC4AMAAyACwAIAAwAC4AMAAyACwAIAAwAC4AMgAzACwAIAAtADAALgAxADMALAAgADAALgAwADAAOwBcAG4AIAAgACAAIAAgACAAIAAgACAAIABcACIAUQB1AGUAZQBuAHMAbABhAG4AZABcACIALAAgAFwAIgBNAG8AZABlAHIAYQB0AGUALwBMAG8AdwBcACIALAAgAFwAIgBTAHAAcgBpAG4AZwBcACIALAAgADAALgA2ADIALAAgAC0AMAAuADEAOQAsACAAMAAuADMANwAsACAAMAAuADQAMQAsACAAMAAuADAANgAsACAALQAwAC4AMAAyACwAIAAwAC4ANAA3ACwAIAAwAC4ANAA0ACwAIAAwAC4AMwAwACwAIAAwAC4AMQAzADsAXABuACAAIAAgACAAIAAgACAAIAAgACAAXAAiAFEAdQBlAGUAbgBzAGwAYQBuAGQAXAAiACwAIABcACIATQBvAGQAZQByAGEAdABlAC8ATABvAHcAXAAiACwAIABcACIAUwB1AG0AbQBlAHIAXAAiACwAIAAwAC4AMAA1ACwAIAAwAC4AMQA5ACwAIAAwAC4AMwAxACwAIAAwAC4ANQA0ACwAIAAwAC4ANQAzACwAIAAwAC4AMQA1ACwAIAAwAC4AMgA4ACwAIAAwAC4ANQA3ACwAIAAwAC4ANAAyACwAIAAwAC4ANAAwADsAXABuACAAIAAgACAAIAAgACAAIAAgACAAXAAiAFEAdQBlAGUAbgBzAGwAYQBuAGQAXAAiACwAIABcACIATQBvAGQAZQByAGEAdABlAC8ATABvAHcAXAAiACwAIABcACIAQQB1AHQAdQBtAG4AXAAiACwAIAAwAC4AMwAzACwAIAAwAC4AMQAzACwAIAAwAC4AMwA5ACwAIAAwAC4AMwA2ACwAIAAwAC4AMgA2ACwAIAAwAC4AMQAxACwAIAAwAC4ANAAwACwAIAAwAC4ANAA0ACwAIAAwAC4AMwA3ACwAIAAtADAALgAwADEAOwBcAG4AIAAgACAAIAAgACAAIAAgACAAIABcACIAUQB1AGUAZQBuAHMAbABhAG4AZABcACIALAAgAFwAIgBNAG8AZABlAHIAYQB0AGUALwBMAG8AdwBcACIALAAgAFwAIgBXAGkAbgB0AGUAcgBcACIALAAgADAALgA2ADEALAAgAC0AMAAuADAANgAsACAAMAAuADIAMQAsACAAMAAuADEAOAAsACAAMAAuADEAMgAsACAAMAAuADAANgAsACAAMAAuADIAOQAsACAAMAAuADQAMQAsACAAMAAuADQAMQAsACAALQAwAC4AMQA1ADsAXABuACAAIAAgACAAIAAgACAAIAAgACAAXAAiAFEAdQBlAGUAbgBzAGwAYQBuAGQAXAAiACwAIABcACIATABvAHcAXAAiACwAIABcACIAUwBwAHIAaQBuAGcAXAAiACwAIAAtADAALgAyADAALAAgADAALgAwADIALAAgADAALgAyADQALAAgADAALgAzADAALAAgADAALgAyADMALAAgAC0AMAAuADAANQAsACAAMAAuADMANAAsACAAMAAuADMAMAAsACAAMAAuADUANwAsACAAMAAuADUAMgA7AFwAbgAgACAAIAAgACAAIAAgACAAIAAgAFwAIgBRAHUAZQBlAG4AcwBsAGEAbgBkAFwAIgAsACAAXAAiAEwAbwB3AFwAIgAsACAAXAAiAFMAdQBtAG0AZQByAFwAIgAsACAAMAAuADYAMgAsACAAMAAuADIAMQAsACAAMAAuADIANQAsACAAMAAuADMAMgAsACAAMAAuADQANwAsACAAMAAuADMAMQAsACAAMAAuADEANAAsACAAMAAuADQAMAAsACAAMAAuADIANgAsACAAMAAuADQAMwA7AFwAbgAgACAAIAAgACAAIAAgACAAIAAgAFwAIgBRAHUAZQBlAG4AcwBsAGEAbgBkAFwAIgAsACAAXAAiAEwAbwB3AFwAIgAsACAAXAAiAEEAdQB0AHUAbQBuAFwAIgAsACAAMAAuADQAMAAsACAAMAAuADEAMwAsACAAMAAuADEAMgAsACAAMAAuADIANwAsACAAMAAuADMAMAAsACAAMAAuADAAOAAsACAAMAAuADEAMwAsACAAMAAuADIANAAsACAAMAAuADEANQAsACAAMAAuADIAMQA7AFwAbgAgACAAIAAgACAAIAAgACAAIAAgAFwAIgBRAHUAZQBlAG4AcwBsAGEAbgBkAFwAIgAsACAAXAAiAEwAbwB3AFwAIgAsACAAXAAiAFcAaQBuAHQAZQByAFwAIgAsACAAMAAuADAAOAAsACAAMAAuADAANAAsACAAMAAuADAANgAsACAAMAAuADEAOAAsACAAMAAuADEAMQAsACAALQAwAC4AMAA3ACwAIAAwAC4AMQAzACwAIAAwAC4AMQA2ACwAIAAwAC4ANAAwACwAIAAwAC4AMwAzAFwAbgAgACAAIAAgACAAIAAgACAAfQAsACAAcgAsACAAYwApAFwAbgAgACAAIAAgACAAIAApAFwAbgAgACAAIAAgACkAXABuACAAIAApADsAXABuAFwAbgBcAG4ALwAqACAAXABuAC0ALQAtAC0ALQAtAC0ALQAtAC0ALQAtAC0ALQAtAC0ALQAtAC0ALQAtAC0ALQAtAC0ALQAtAC0ALQAtAC0ALQAtAC0ALQAtAC0ALQBcAG4AUwBvAHUAcgBjAGUARABhAHQAYQBfAFAAYQBzAHQAdQByAGUAQgBlAGUAZgBfAEQAcgB5AE0AYQB0AHQAZQByAEQAaQBnAGUAcwB0AGkAYgBpAGwAaQB0AHkAXABuAFQAYQBiAGwAZQAgAEEALgAxAC4AMgAuADUAOgAgAEIAZQBlAGYAIABwAGEAcwB0AHUAcgBlACAAYwBhAHQAdABsAGUAIAAtACAARAByAHkAIABtAGEAdAB0AGUAcgAgAGQAaQBnAGUAcwB0AGkAYgBpAGwAaQB0AHkAIABvAGYAIABmAGUAZQBkACAAaQBuAHQAYQBrAGUAIAAoAGYAcgBhAGMAdABpAG8AbgApACAAKABEAE0ARABqACkAXABuAC0ALQAtAC0ALQAtAC0ALQAtAC0ALQAtAC0ALQAtAC0ALQAtAC0ALQAtAC0ALQAtAC0ALQAtAC0ALQAtAC0ALQAtAC0ALQAtAC0ALQBcAG4AKgAvAFwAbgBcAG4AUwBvAHUAcgBjAGUARABhAHQAYQBfAFAAYQBzAHQAdQByAGUAQgBlAGUAZgBfAEQAcgB5AE0AYQB0AHQAZQByAEQAaQBnAGUAcwB0AGkAYgBpAGwAaQB0AHkAXwBUAGkAdABsAGUAXABuACAAIAA9AEwAQQBNAEIARABBACgAXAAiAEIAZQBlAGYAIABwAGEAcwB0AHUAcgBlACAAYwBhAHQAdABsAGUAIAAtACAARAByAHkAIABtAGEAdAB0AGUAcgAgAGQAaQBnAGUAcwB0AGkAYgBpAGwAaQB0AHkAIABvAGYAIABmAGUAZQBkACAAaQBuAHQAYQBrAGUAIAAoAGYAcgBhAGMAdABpAG8AbgApACAAKABEAE0ARABqACkAXAAiACkAOwBcAG4AXABuAFMAbwB1AHIAYwBlAEQAYQB0AGEAXwBQAGEAcwB0AHUAcgBlAEIAZQBlAGYAXwBEAHIAeQBNAGEAdAB0AGUAcgBEAGkAZwBlAHMAdABpAGIAaQBsAGkAdAB5AF8AVgBhAHIAaQBhAGIAbABlAFwAbgAgACAAPQBMAEEATQBCAEQAQQAoAFwAIgBEAE0ARABqAFwAIgApADsAXABuAFwAbgBTAG8AdQByAGMAZQBEAGEAdABhAF8AUABhAHMAdAB1AHIAZQBCAGUAZQBmAF8ARAByAHkATQBhAHQAdABlAHIARABpAGcAZQBzAHQAaQBiAGkAbABpAHQAeQBfAFUAbgBpAHQAXABuACAAIAA9AEwAQQBNAEIARABBACgAXAAiAGYAcgBhAGMAdABpAG8AbgBcACIAKQA7AFwAbgBcAG4AUwBvAHUAcgBjAGUARABhAHQAYQBfAFAAYQBzAHQAdQByAGUAQgBlAGUAZgBfAEQAcgB5AE0AYQB0AHQAZQByAEQAaQBnAGUAcwB0AGkAYgBpAGwAaQB0AHkAXwBTAG8AdQByAGMAZQBcAG4AIAAgAD0ATABBAE0AQgBEAEEAKABcACIAVgBFAEUAUgBHACAAMgAwADIANgA6ACAAVABhAGIAbABlACAAQQAuADEALgAyAC4ANQBcACIAKQA7AFwAbgBcAG4AUwBvAHUAcgBjAGUARABhAHQAYQBfAFAAYQBzAHQAdQByAGUAQgBlAGUAZgBfAEQAcgB5AE0AYQB0AHQAZQByAEQAaQBnAGUAcwB0AGkAYgBpAGwAaQB0AHkAXwBWAGEAcgBpAGEAdABpAG8AbgBcAG4AIAAgAD0ATABBAE0AQgBEAEEAKABcACIAVgBBAFIASQBBAFQASQBPAE4AIABPAE4AIABTAE8AVQBSAEMARQA6ACAAUwBwAGwAaQB0ACAAQQBDAFQAIABhAG4AZAAgAE4AUwBXACAAaQBuAHQAbwAgAHMAZQBwAGEAcgBhAHQAZQAgAHIAbwB3AHMALgAgAEQAdQBwAGwAaQBjAGEAdABlAGQAIABRAEwARAAgAGEAbgBkACAATgBUACAAcgBvAHcAcwAgAHcAaQB0AGgAIAByAGUAZwBpAG8AbgBzACAAZgByAG8AbQAgAHQAYQBiAGwAZQAgAEEALgAxAC4AMgAuADIAIAB0AG8AIABhAGkAZAAgAGwAbwBvAGsAdQBwAFwAIgApADsAXABuAFwAbgBTAG8AdQByAGMAZQBEAGEAdABhAF8AUABhAHMAdAB1AHIAZQBCAGUAZQBmAF8ARAByAHkATQBhAHQAdABlAHIARABpAGcAZQBzAHQAaQBiAGkAbABpAHQAeQBfAEQAYQB0AGEAXABuACAAIAA9AEwAQQBNAEIARABBACgAXABuACAAIAAgACAATQBBAEsARQBBAFIAUgBBAFkAKAAxADYALAAgADYALABcAG4AIAAgACAAIAAgACAATABBAE0AQgBEAEEAKAByACwAYwAsAFwAbgAgACAAIAAgACAAIAAgACAASQBOAEQARQBYACgAewBcAG4AIAAgACAAIAAgACAAIAAgACAAIABcACIAUwB0AGEAdABlAFwAIgAsACAAXAAiAFIAZQBnAGkAbwBuAFwAIgAsACAAXAAiAFMAcAByAGkAbgBnAFwAIgAsACAAXAAiAFMAdQBtAG0AZQByAFwAIgAsACAAXAAiAEEAdQB0AHUAbQBuAFwAIgAsACAAXAAiAFcAaQBuAHQAZQByAFwAIgA7AFwAbgAgACAAIAAgACAAIAAgACAAIAAgAFwAIgBBAEMAVABcACIALAAgAFwAIgBuAC8AYQBcACIALAAgADAALgA1ADUALAAgADAALgA2ADUALAAgADAALgA2ADAALAAgADAALgA1ADAAOwBcAG4AIAAgACAAIAAgACAAIAAgACAAIABcACIATgBTAFcAXAAiACwAIABcACIAbgAvAGEAXAAiACwAIAAwAC4ANQA1ACwAIAAwAC4ANgA1ACwAIAAwAC4ANgAwACwAIAAwAC4ANQAwADsAXABuACAAIAAgACAAIAAgACAAIAAgACAAXAAiAE4AVABcACIALAAgAFwAIgBBAGwAaQBjAGUAIABTAHAAcgBpAG4AZwBzAFwAIgAsACAAMAAuADUANQAsACAAMAAuADYAMQAsACAAMAAuADUANwAsACAAMAAuADUANAA7AFwAbgAgACAAIAAgACAAIAAgACAAIAAgAFwAIgBOAFQAXAAiACwAIABcACIAQgBhAHIAawBsAHkAXAAiACwAIAAwAC4ANQA1ACwAIAAwAC4ANgAxACwAIAAwAC4ANQA3ACwAIAAwAC4ANQA0ADsAXABuACAAIAAgACAAIAAgACAAIAAgACAAXAAiAE4AVABcACIALAAgAFwAIgBOAG8AcgB0AGgAZQByAG4AXAAiACwAIAAwAC4ANQA1ACwAIAAwAC4ANgAxACwAIAAwAC4ANQA3ACwAIAAwAC4ANQA0ADsAXABuACAAIAAgACAAIAAgACAAIAAgACAAXAAiAFEATABEAFwAIgAsACAAXAAiAEgAaQBnAGgAXAAiACwAIAAwAC4ANQAzACwAIAAwAC4ANQA3ACwAIAAwAC4ANQA1ACwAIAAwAC4ANQAxADsAXABuACAAIAAgACAAIAAgACAAIAAgACAAXAAiAFEATABEAFwAIgAsACAAXAAiAE0AbwBkAGUAcgBhAHQAZQAvAEgAaQBnAGgAXAAiACwAIAAwAC4ANQAzACwAIAAwAC4ANQA3ACwAIAAwAC4ANQA1ACwAIAAwAC4ANQAxADsAXABuACAAIAAgACAAIAAgACAAIAAgACAAXAAiAFEATABEAFwAIgAsACAAXAAiAE0AbwBkAGUAcgBhAHQAZQAvAEwAbwB3AFwAIgAsACAAMAAuADUAMwAsACAAMAAuADUANwAsACAAMAAuADUANQAsACAAMAAuADUAMQA7AFwAbgAgACAAIAAgACAAIAAgACAAIAAgAFwAIgBRAEwARABcACIALAAgAFwAIgBMAG8AdwBcACIALAAgADAALgA1ADMALAAgADAALgA1ADcALAAgADAALgA1ADUALAAgADAALgA1ADEAOwBcAG4AIAAgACAAIAAgACAAIAAgACAAIABcACIAUwBBAFwAIgAsACAAXAAiAG4ALwBhAFwAIgAsACAAMAAuADcAMAAsACAAMAAuADUANQAsACAAMAAuADUANQAsACAAMAAuADcANQA7AFwAbgAgACAAIAAgACAAIAAgACAAIAAgAFwAIgBUAEEAUwBcACIALAAgAFwAIgBuAC8AYQBcACIALAAgADAALgA3ADUALAAgADAALgA2ADAALAAgADAALgA3ADAALAAgADAALgA3ADUAOwBcAG4AIAAgACAAIAAgACAAIAAgACAAIABcACIAVgBJAEMAXAAiACwAIABcACIAbgAvAGEAXAAiACwAIAAwAC4AOAAwACwAIAAwAC4ANQA1ACwAIAAwAC4ANgAwACwAIAAwAC4ANwA2ADsAXABuACAAIAAgACAAIAAgACAAIAAgACAAXAAiAFcAQQBcACIALAAgAFwAIgBTAG8AdQB0AGgAIABXAGUAcwB0AFwAIgAsACAAMAAuADgAMAAsACAAMAAuADUAOAAsACAAMAAuADUAMAAsACAAMAAuADcANQA7AFwAbgAgACAAIAAgACAAIAAgACAAIAAgAFwAIgBXAEEAXAAiACwAIABcACIAUABpAGwAYgBhAHIAYQBcACIALAAgADAALgA0ADAALAAgADAALgA2ADUALAAgADAALgA1ADUALAAgADAALgA0ADUAOwBcAG4AIAAgACAAIAAgACAAIAAgACAAIABcACIAVwBBAFwAIgAsACAAXAAiAEsAaQBtAGIAZQByAGwAZQB5AFwAIgAsACAAMAAuADQAMAAsACAAMAAuADYANQAsACAAMAAuADUANQAsACAAMAAuADQANQ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MAcgB1AGQAZQBQAHIAbwB0AGUAaQBuAEMAbwBuAHQAZQBuAHQAXABuAFQAYQBiAGwAZQAgAEEALgAxAC4AMgAuADYAOgAgAEIAZQBlAGYAIABwAGEAcwB0AHUAcgBlACAAYwBhAHQAdABsAGUAIAAtACAAQwByAHUAZABlACAAcAByAG8AdABlAGkAbgAgAGMAbwBuAHQAZQBuAHQAIABvAGYAIABmAGUAZQBkACAAaQBuAHQAYQBrAGUAIAAoAGYAcgBhAGMAdABpAG8AbgApACAAKABDAFAAagApAFwAbgAtAC0ALQAtAC0ALQAtAC0ALQAtAC0ALQAtAC0ALQAtAC0ALQAtAC0ALQAtAC0ALQAtAC0ALQAtAC0ALQAtAC0ALQAtAC0ALQAtAC0AXABuACoALwBcAG4AXABuAFMAbwB1AHIAYwBlAEQAYQB0AGEAXwBQAGEAcwB0AHUAcgBlAEIAZQBlAGYAXwBDAHIAdQBkAGUAUAByAG8AdABlAGkAbgBDAG8AbgB0AGUAbgB0AF8AVABpAHQAbABlAFwAbgAgACAAPQBMAEEATQBCAEQAQQAoAFwAIgBCAGUAZQBmACAAcABhAHMAdAB1AHIAZQAgAGMAYQB0AHQAbABlACAALQAgAEMAcgB1AGQAZQAgAHAAcgBvAHQAZQBpAG4AIABjAG8AbgB0AGUAbgB0ACAAbwBmACAAZgBlAGUAZAAgAGkAbgB0AGEAawBlACAAKABmAHIAYQBjAHQAaQBvAG4AKQAgACgAQwBQAGoAKQBcACIAKQA7AFwAbgBcAG4AUwBvAHUAcgBjAGUARABhAHQAYQBfAFAAYQBzAHQAdQByAGUAQgBlAGUAZgBfAEMAcgB1AGQAZQBQAHIAbwB0AGUAaQBuAEMAbwBuAHQAZQBuAHQAXwBWAGEAcgBpAGEAYgBsAGUAXABuACAAIAA9AEwAQQBNAEIARABBACgAXAAiAEMAUABqAFwAIgApADsAXABuAFwAbgBTAG8AdQByAGMAZQBEAGEAdABhAF8AUABhAHMAdAB1AHIAZQBCAGUAZQBmAF8AQwByAHUAZABlAFAAcgBvAHQAZQBpAG4AQwBvAG4AdABlAG4AdABfAFUAbgBpAHQAXABuACAAIAA9AEwAQQBNAEIARABBACgAXAAiAGYAcgBhAGMAdABpAG8AbgBcACIAKQA7AFwAbgBcAG4AUwBvAHUAcgBjAGUARABhAHQAYQBfAFAAYQBzAHQAdQByAGUAQgBlAGUAZgBfAEMAcgB1AGQAZQBQAHIAbwB0AGUAaQBuAEMAbwBuAHQAZQBuAHQAXwBTAG8AdQByAGMAZQBcAG4AIAAgAD0ATABBAE0AQgBEAEEAKABcACIAVgBFAEUAUgBHACAAMgAwADIANgA6ACAAVABhAGIAbABlACAAQQAuADEALgAyAC4ANgBcACIAKQA7AFwAbgBcAG4AUwBvAHUAcgBjAGUARABhAHQAYQBfAFAAYQBzAHQAdQByAGUAQgBlAGUAZgBfAEMAcgB1AGQAZQBQAHIAbwB0AGUAaQBuAEMAbwBuAHQAZQBuAHQAXwBWAGEAcgBpAGEAdABpAG8AbgBcAG4AIAAgAD0ATABBAE0AQgBEAEEAKABcACIAVgBBAFIASQBBAFQASQBPAE4AIABPAE4AIABTAE8AVQBSAEMARQA6ACAAUwBwAGwAaQB0ACAAQQBDAFQAIABhAG4AZAAgAE4AUwBXACAAaQBuAHQAbwAgAHMAZQBwAGEAcgBhAHQAZQAgAHIAbwB3AHMALgAgAEQAdQBwAGwAaQBjAGEAdABlAGQAIABRAEwARAAgAGEAbgBkACAATgBUACAAcgBvAHcAcwAgAHcAaQB0AGgAIAByAGUAZwBpAG8AbgBzACAAZgByAG8AbQAgAHQAYQBiAGwAZQAgAEEALgAxAC4AMgAuADIAIAB0AG8AIABhAGkAZAAgAGwAbwBvAGsAdQBwAFwAIgApADsAXABuAFwAbgBTAG8AdQByAGMAZQBEAGEAdABhAF8AUABhAHMAdAB1AHIAZQBCAGUAZQBmAF8AQwByAHUAZABlAFAAcgBvAHQAZQBpAG4AQwBvAG4AdABlAG4AdABfAEQAYQB0AGEAXABuACAAIAA9AEwAQQBNAEIARABBACgAXABuACAAIAAgACAATQBBAEsARQBBAFIAUgBBAFkAKAAxADYALAAgADYALABcAG4AIAAgACAAIAAgACAATABBAE0AQgBEAEEAKAByACwAYwAsAFwAbgAgACAAIAAgACAAIAAgACAASQBOAEQARQBYACgAewBcAG4AIAAgACAAIAAgACAAIAAgACAAIABcACIAUwB0AGEAdABlAFwAIgAsACAAXAAiAFIAZQBnAGkAbwBuAFwAIgAsACAAXAAiAFMAcAByAGkAbgBnAFwAIgAsACAAXAAiAFMAdQBtAG0AZQByAFwAIgAsACAAXAAiAEEAdQB0AHUAbQBuAFwAIgAsACAAXAAiAFcAaQBuAHQAZQByAFwAIgA7AFwAbgAgACAAIAAgACAAIAAgACAAIAAgAFwAIgBBAEMAVABcACIALAAgAFwAIgBuAC8AYQBcACIALAAgADAALgAwADcALAAgADAALgAxADMALAAgADAALgAxACwAIAAwAC4AMAA2ADsAXABuACAAIAAgACAAIAAgACAAIAAgACAAXAAiAE4AUwBXAFwAIgAsACAAXAAiAG4ALwBhAFwAIgAsACAAMAAuADAANwAsACAAMAAuADEAMwAsACAAMAAuADEALAAgADAALgAwADYAOwBcAG4AIAAgACAAIAAgACAAIAAgACAAIABcACIATgBUAFwAIgAsACAAXAAiAEEAbABpAGMAZQAgAFMAcAByAGkAbgBnAHMAXAAiACwAIAAwAC4AMAA1ADgALAAgADAALgAwADkAMgAsACAAMAAuADAANwA1ACwAIAAwAC4AMAA1ADMAOwBcAG4AIAAgACAAIAAgACAAIAAgACAAIABcACIATgBUAFwAIgAsACAAXAAiAEIAYQByAGsAbAB5AFwAIgAsACAAMAAuADAANQA4ACwAIAAwAC4AMAA5ADIALAAgADAALgAwADcANQAsACAAMAAuADAANQAzADsAXABuACAAIAAgACAAIAAgACAAIAAgACAAXAAiAE4AVABcACIALAAgAFwAIgBOAG8AcgB0AGgAZQByAG4AXAAiACwAIAAwAC4AMAA1ADgALAAgADAALgAwADkAMgAsACAAMAAuADAANwA1ACwAIAAwAC4AMAA1ADMAOwBcAG4AIAAgACAAIAAgACAAIAAgACAAIABcACIAUQBMAEQAXAAiACwAIABcACIASABpAGcAaABcACIALAAgADAALgAwADcAMgAsACAAMAAuADAAOQA5ACwAIAAwAC4AMAA3ADgALAAgADAALgAwADUAOQA7AFwAbgAgACAAIAAgACAAIAAgACAAIAAgAFwAIgBRAEwARABcACIALAAgAFwAIgBNAG8AZABlAHIAYQB0AGUALwBIAGkAZwBoAFwAIgAsACAAMAAuADAANwAyACwAIAAwAC4AMAA5ADkALAAgADAALgAwADcAOAAsACAAMAAuADAANQA5ADsAXABuACAAIAAgACAAIAAgACAAIAAgACAAXAAiAFEATABEAFwAIgAsACAAXAAiAE0AbwBkAGUAcgBhAHQAZQAvAEwAbwB3AFwAIgAsACAAMAAuADAANwAyACwAIAAwAC4AMAA5ADkALAAgADAALgAwADcAOAAsACAAMAAuADAANQA5ADsAXABuACAAIAAgACAAIAAgACAAIAAgACAAXAAiAFEATABEAFwAIgAsACAAXAAiAEwAbwB3AFwAIgAsACAAMAAuADAANwAyACwAIAAwAC4AMAA5ADkALAAgADAALgAwADcAOAAsACAAMAAuADAANQA5ADsAXABuACAAIAAgACAAIAAgACAAIAAgACAAXAAiAFMAQQBcACIALAAgAFwAIgBuAC8AYQBcACIALAAgADAALgAxADYALAAgADAALgAwADcALAAgADAALgAwADkALAAgADAALgAyADsAXABuACAAIAAgACAAIAAgACAAIAAgACAAXAAiAFQAQQBTAFwAIgAsACAAXAAiAG4ALwBhAFwAIgAsACAAMAAuADIALAAgADAALgAxACwAIAAwAC4AMQA2ACwAIAAwAC4AMgA7AFwAbgAgACAAIAAgACAAIAAgACAAIAAgAFwAIgBWAEkAQwBcACIALAAgAFwAIgBuAC8AYQBcACIALAAgADAALgAyADUALAAgADAALgAwADcALAAgADAALgAxACwAIAAwAC4AMgAxADsAXABuACAAIAAgACAAIAAgACAAIAAgACAAXAAiAFcAQQBcACIALAAgAFwAIgBTAG8AdQB0AGgAIABXAGUAcwB0AFwAIgAsACAAMAAuADIALAAgADAALgAwADkALAAgADAALgAwADYALAAgADAALgAyADsAXABuACAAIAAgACAAIAAgACAAIAAgACAAXAAiAFcAQQBcACIALAAgAFwAIgBQAGkAbABiAGEAcgBhAFwAIgAsACAAMAAuADAANAAsACAAMAAuADEAMgAsACAAMAAuADAAOQAsACAAMAAuADAANgA7AFwAbgAgACAAIAAgACAAIAAgACAAIAAgAFwAIgBXAEEAXAAiACwAIABcACIASwBpAG0AYgBlAHIAbABlAHkAXAAiACwAIAAwAC4AMAA0ACwAIAAwAC4AMQAyACwAIAAwAC4AMAA5ACwAIAAwAC4AMAA2AFwAbgAgACAAIAAgACAAIAAgACAAfQAsACAAcgAsACAAYwApAFwAbgAgACAAIAAgACAAIAApAFwAbgAgACAAIAAgACkAXABuACAAIAApADsAXABuAFwAbgBcAG4ALwAqACAAXABuAC0ALQAtAC0ALQAtAC0ALQAtAC0ALQAtAC0ALQAtAC0ALQAtAC0ALQAtAC0ALQAtAC0ALQAtAC0ALQAtAC0ALQAtAC0ALQAtAC0ALQBcAG4AUwBvAHUAcgBjAGUARABhAHQAYQBfAFAAYQBzAHQAdQByAGUAQgBlAGUAZgBfAEYAZQBlAGQAQQBkAGoAdQBzAHQAbQBlAG4AdABBAG4AZABNAGkAbABrAFAAcgBvAGQAdQBjAHQAaQBvAG4AXABuAFQAYQBiAGwAZQAgAEEALgAxAC4AMgAuADcAOgAgAEIAZQBlAGYAIABwAGEAcwB0AHUAcgBlACAAYwBhAHQAdABsAGUAIAAtACAARgBlAGUAZAAgAGkAbgB0AGEAawBlACAAYQBkAGoAdQBzAHQAbQBlAG4AdAAgAGEAbgBkACAAbQBpAGwAawAgAHAAcgBvAGQAdQBjAHQAaQBvAG4AIAAoAGsAZwAvAGgAZQBhAGQALwBkAGEAeQApAFwAbgAtAC0ALQAtAC0ALQAtAC0ALQAtAC0ALQAtAC0ALQAtAC0ALQAtAC0ALQAtAC0ALQAtAC0ALQAtAC0ALQAtAC0ALQAtAC0ALQAtAC0AXABuACoALwBcAG4AXABuAFMAbwB1AHIAYwBlAEQAYQB0AGEAXwBQAGEAcwB0AHUAcgBlAEIAZQBlAGYAXwBGAGUAZQBkAEEAZABqAHUAcwB0AG0AZQBuAHQAQQBuAGQATQBpAGwAawBQAHIAbwBkAHUAYwB0AGkAbwBuAF8AVABpAHQAbABlAFwAbgAgACAAPQBMAEEATQBCAEQAQQAoAFwAIgBCAGUAZQBmACAAcABhAHMAdAB1AHIAZQAgAGMAYQB0AHQAbABlACAALQAgAEYAZQBlAGQAIABpAG4AdABhAGsAZQAgAGEAZABqAHUAcwB0AG0AZQBuAHQAIABhAG4AZAAgAG0AaQBsAGsAIABwAHIAbwBkAHUAYwB0AGkAbwBuACAAKABrAGcALwBoAGUAYQBkAC8AZABhAHkAKQBcACIAKQA7AFwAbgBcAG4AUwBvAHUAcgBjAGUARABhAHQAYQBfAFAAYQBzAHQAdQByAGUAQgBlAGUAZgBfAEYAZQBlAGQAQQBkAGoAdQBzAHQAbQBlAG4AdABBAG4AZABNAGkAbABrAFAAcgBvAGQAdQBjAHQAaQBvAG4AXwBWAGEAcgBpAGEAYgBsAGUAXABuACAAIAA9AEwAQQBNAEIARABBACgAXAAiAE0AQwBqAGsAPQAxACwAMwAsADYAOwAgAEQATQBQAGoAawA9ADUAXAAiACkAOwBcAG4AXABuAFMAbwB1AHIAYwBlAEQAYQB0AGEAXwBQAGEAcwB0AHUAcgBlAEIAZQBlAGYAXwBGAGUAZQBkAEEAZABqAHUAcwB0AG0AZQBuAHQAQQBuAGQATQBpAGwAawBQAHIAbwBkAHUAYwB0AGkAbwBuAF8AVQBuAGkAdABcAG4AIAAgAD0ATABBAE0AQgBEAEEAKABcACIAXAAiACkAOwBcAG4AXABuAFMAbwB1AHIAYwBlAEQAYQB0AGEAXwBQAGEAcwB0AHUAcgBlAEIAZQBlAGYAXwBGAGUAZQBkAEEAZABqAHUAcwB0AG0AZQBuAHQAQQBuAGQATQBpAGwAawBQAHIAbwBkAHUAYwB0AGkAbwBuAF8AUwBvAHUAcgBjAGUAXABuACAAIAA9AEwAQQBNAEIARABBACgAXAAiAFYARQBFAFIARwAgADIAMAAyADYAOgAgAFQAYQBiAGwAZQAgAEEALgAxAC4AMgAuADcAXAAiACkAOwBcAG4AXABuAFMAbwB1AHIAYwBlAEQAYQB0AGEAXwBQAGEAcwB0AHUAcgBlAEIAZQBlAGYAXwBGAGUAZQBkAEEAZABqAHUAcwB0AG0AZQBuAHQAQQBuAGQATQBpAGwAawBQAHIAbwBkAHUAYwB0AGkAbwBuAF8AVgBhAHIAaQBhAHQAaQBvAG4AXABuACAAIAA9AEwAQQBNAEIARABBACgAXAAiAFwAIgApADsAXABuAFwAbgBTAG8AdQByAGMAZQBEAGEAdABhAF8AUABhAHMAdAB1AHIAZQBCAGUAZQBmAF8ARgBlAGUAZABBAGQAagB1AHMAdABtAGUAbgB0AEEAbgBkAE0AaQBsAGsAUAByAG8AZAB1AGMAdABpAG8AbgBfAEQAYQB0AGEAXABuACAAIAA9AEwAQQBNAEIARABBACgAXABuACAAIAAgACAATQBBAEsARQBBAFIAUgBBAFkAKAA5ACwAIAA0ACwAXABuACAAIAAgACAAIAAgAEwAQQBNAEIARABBACgAcgAsAGMALABcAG4AIAAgACAAIAAgACAAIAAgAEkATgBEAEUAWAAoAHsAXABuACAAIAAgACAAIAAgACAAIAAgACAAXAAiAEIAcgBlAGUAZABcACIALAAgAFwAIgBTAGUAYQBzAG8AbgBcACIALAAgAFwAIgBGAGUAZQBkACAAYQBkAGoAdQBzAHQAbQBlAG4AdAAgACgATQBDAGoAawA9ADEALAAzACwANgApAFwAIgAsACAAXAAiAE0AaQBsAGsAIABpAG4AdABhAGsAZQAgAC8AIABwAHIAbwBkAHUAYwB0AGkAbwBuACAAKABEAE0AUABqAGsAPQA1ACkAXAAiADsAXABuACAAIAAgACAAIAAgACAAIAAgACAAXAAiAEgAZQByAGUAZgBvAHIAZAAgAG8AcgAgAFMAaABvAHIAdABoAG8AcgBuACAAYgByAGUAZQBkAHMAXAAiACwAIABcACIAUwBwAHIAaQBuAGcAXAAiACwAIAAxAC4AMwAsACAANgA7AFwAbgAgACAAIAAgACAAIAAgACAAIAAgAFwAIgBIAGUAcgBlAGYAbwByAGQAIABvAHIAIABTAGgAbwByAHQAaABvAHIAbgAgAGIAcgBlAGUAZABzAFwAIgAsACAAXAAiAFMAdQBtAG0AZQByAFwAIgAsACAAMQAuADEALAAgADQAOwBcAG4AIAAgACAAIAAgACAAIAAgACAAIABcACIASABlAHIAZQBmAG8AcgBkACAAbwByACAAUwBoAG8AcgB0AGgAbwByAG4AIABiAHIAZQBlAGQAcwBcACIALAAgAFwAIgBBAHUAdAB1AG0AbgBcACIALAAgADAALAAgADAAOwBcAG4AIAAgACAAIAAgACAAIAAgACAAIABcACIASABlAHIAZQBmAG8AcgBkACAAbwByACAAUwBoAG8AcgB0AGgAbwByAG4AIABiAHIAZQBlAGQAcwBcACIALAAgAFwAIgBXAGkAbgB0AGUAcgBcACIALAAgADAALAAgADAAOwBcAG4AIAAgACAAIAAgACAAIAAgACAAIABcACIATgBvAHIAdABoAGUAcgBuACAAQgByAGEAaABtAGEAbgAgAGMAcgBvAHMAcwAgAGIAcgBlAGUAZABcACIALAAgAFwAIgBTAHAAcgBpAG4AZwBcACIALAAgADAALAAgADAAOwBcAG4AIAAgACAAIAAgACAAIAAgACAAIABcACIATgBvAHIAdABoAGUAcgBuACAAQgByAGEAaABtAGEAbgAgAGMAcgBvAHMAcwAgAGIAcgBlAGUAZABcACIALAAgAFwAIgBTAHUAbQBtAGUAcgBcACIALAAgADEALgAzACwAIAA0ADsAXABuACAAIAAgACAAIAAgACAAIAAgACAAXAAiAE4AbwByAHQAaABlAHIAbgAgAEIAcgBhAGgAbQBhAG4AIABjAHIAbwBzAHMAIABiAHIAZQBlAGQAXAAiACwAIABcACIAQQB1AHQAdQBtAG4AXAAiACwAIAAxAC4AMQAsACAAMwA7AFwAbgAgACAAIAAgACAAIAAgACAAIAAgAFwAIgBOAG8AcgB0AGgAZQByAG4AIABCAHIAYQBoAG0AYQBuACAAYwByAG8AcwBzACAAYgByAGUAZQBkAFwAIgAsACAAXAAiAFcAaQBuAHQAZQByAFwAIgAsACAAMAAsACAAMA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FMAdABhAG4AZABhAHIAZABSAGUAZgBlAHIAZQBuAGMAZQBXAGUAaQBnAGgAdABzAFwAbgBUAGEAYgBsAGUAIABBAC4AMQAuADIALgA4ADoAIABCAGUAZQBmACAAcABhAHMAdAB1AHIAZQAgAGMAYQB0AHQAbABlACAALQAgAFMAdABhAG4AZABhAHIAZAAgAHIAZQBmAGUAcgBlAG4AYwBlACAAdwBlAGkAZwBoAHQAcwAgACgAawBnACkAIAAoAFMAUgBXAGsAKQBcAG4ALQAtAC0ALQAtAC0ALQAtAC0ALQAtAC0ALQAtAC0ALQAtAC0ALQAtAC0ALQAtAC0ALQAtAC0ALQAtAC0ALQAtAC0ALQAtAC0ALQAtAFwAbgAqAC8AXABuAFwAbgBTAG8AdQByAGMAZQBEAGEAdABhAF8AUABhAHMAdAB1AHIAZQBCAGUAZQBmAF8AUwB0AGEAbgBkAGEAcgBkAFIAZQBmAGUAcgBlAG4AYwBlAFcAZQBpAGcAaAB0AHMAXwBUAGkAdABsAGUAXABuACAAIAA9AEwAQQBNAEIARABBACgAXAAiAEIAZQBlAGYAIABwAGEAcwB0AHUAcgBlACAAYwBhAHQAdABsAGUAIAAtACAAUwB0AGEAbgBkAGEAcgBkACAAcgBlAGYAZQByAGUAbgBjAGUAIAB3AGUAaQBnAGgAdABzACAAKABrAGcAKQAgACgAUwBSAFcAawApAFwAIgApADsAXABuAFwAbgBTAG8AdQByAGMAZQBEAGEAdABhAF8AUABhAHMAdAB1AHIAZQBCAGUAZQBmAF8AUwB0AGEAbgBkAGEAcgBkAFIAZQBmAGUAcgBlAG4AYwBlAFcAZQBpAGcAaAB0AHMAXwBWAGEAcgBpAGEAYgBsAGUAXABuACAAIAA9AEwAQQBNAEIARABBACgAXAAiAFMAUgBXAGsAXAAiACkAOwBcAG4AXABuAFMAbwB1AHIAYwBlAEQAYQB0AGEAXwBQAGEAcwB0AHUAcgBlAEIAZQBlAGYAXwBTAHQAYQBuAGQAYQByAGQAUgBlAGYAZQByAGUAbgBjAGUAVwBlAGkAZwBoAHQAcwBfAFUAbgBpAHQAXABuACAAIAA9AEwAQQBNAEIARABBACgAXAAiAGsAZwBcACIAKQA7AFwAbgBcAG4AUwBvAHUAcgBjAGUARABhAHQAYQBfAFAAYQBzAHQAdQByAGUAQgBlAGUAZgBfAFMAdABhAG4AZABhAHIAZABSAGUAZgBlAHIAZQBuAGMAZQBXAGUAaQBnAGgAdABzAF8AUwBvAHUAcgBjAGUAXABuACAAIAA9AEwAQQBNAEIARABBACgAXAAiAFYARQBFAFIARwAgADIAMAAyADYAOgAgAFQAYQBiAGwAZQAgAEEALgAxAC4AMgAuADgAXAAiACkAOwBcAG4AXABuAFMAbwB1AHIAYwBlAEQAYQB0AGEAXwBQAGEAcwB0AHUAcgBlAEIAZQBlAGYAXwBTAHQAYQBuAGQAYQByAGQAUgBlAGYAZQByAGUAbgBjAGUAVwBlAGkAZwBoAHQAcwBfAFYAYQByAGkAYQB0AGkAbwBuAFwAbgAgACAAPQBMAEEATQBCAEQAQQAoAFwAIgBWAEEAUgBJAEEAVABJAE8ATgAgAE8ATgAgAFMATwBVAFIAQwBFADoAIABTAHAAbABpAHQAIABBAEMAVAAgAGEAbgBkACAATgBTAFcAIABpAG4AdABvACAAcwBlAHAAYQByAGEAdABlACAAcgBvAHcAcwAuACAAQQBkAGQAZQBkACAAXAB1ADAAMAAyADcAUwB0AGEAdABlACAAYQBiAGIAcgBlAHYAaQBhAHQAaQBvAG4AXAB1ADAAMAAyADcAIABjAG8AbAB1AG0AbgAgAHQAbwAgAGEAaQBkACAAbABvAG8AawB1AHAALgBcACIAKQA7AFwAbgBcAG4AUwBvAHUAcgBjAGUARABhAHQAYQBfAFAAYQBzAHQAdQByAGUAQgBlAGUAZgBfAFMAdABhAG4AZABhAHIAZABSAGUAZgBlAHIAZQBuAGMAZQBXAGUAaQBnAGgAdABzAF8ARABhAHQAYQBcAG4AIAAgAD0ATABBAE0AQgBEAEEAKABcAG4AIAAgACAAIABNAEEASwBFAEEAUgBSAEEAWQAoADkALAAgADkALABcAG4AIAAgACAAIAAgACAATABBAE0AQgBEAEEAKAByACwAYwAsAFwAbgAgACAAIAAgACAAIAAgACAASQBOAEQARQBYACgAewBcAG4AIAAgACAAIAAgACAAIAAgACAAIABcACIAUwB0AGEAdABlAFwAIgAsACAAXAAiAEIAdQBsAGwAcwAgAFwAdQAwADAAMwBjADEAXAAiACwAIABcACIAQgB1AGwAbABzACAAXAB1ADAAMAAzAGUAMQBcACIALAAgAFwAIgBDAG8AdwBzACAAXAB1ADAAMAAzAGMAMQBcACIALAAgAFwAIgBDAG8AdwBzACAAMQAtADIAXAAiACwAIABcACIAQwBvAHcAcwAgAFwAdQAwADAAMwBlADIAXAAiACwAIABcACIAUwB0AGUAZQByACAAXAB1ADAAMAAzAGMAMQBcACIALAAgAFwAIgBTAHQAZQBlAHIAIABcAHUAMAAwADMAZQAxAFwAIgAsACAAXAAiAFMAdABhAHQAZQAgAGEAYgBiAHIAZQB2AGkAYQB0AGkAbwBuAFwAIgA7AFwAbgAgACAAIAAgACAAIAAgACAAIAAgAFwAIgBBAEMAVABcACIALAAgADcAMAAwACwAIAA3ADAAMAAsACAANQAwADAALAAgADUAMAAwACwAIAA1ADAAMAAsACAANgAwADAALAAgADYAMAAwACwAIABcACIAQQBDAFQAXAAiADsAXABuACAAIAAgACAAIAAgACAAIAAgACAAXAAiAE4AUwBXAFwAIgAsACAANwAwADAALAAgADcAMAAwACwAIAA1ADAAMAAsACAANQAwADAALAAgADUAMAAwACwAIAA2ADAAMAAsACAANgAwADAALAAgAFwAIgBOAFMAVwBcACIAOwBcAG4AIAAgACAAIAAgACAAIAAgACAAIABcACIATgBvAHIAdABoAGUAcgBuACAAVABlAHIAcgBpAHQAbwByAHkAXAAiACwAIAA3ADcAMAAsACAANwA3ADAALAAgADUANQAwACwAIAA1ADUAMAAsACAANQA1ADAALAAgADYANgAwACwAIAA2ADYAMAAsACAAXAAiAE4AVABcACIAOwBcAG4AIAAgACAAIAAgACAAIAAgACAAIABcACIAUQB1AGUAZQBuAHMAbABhAG4AZABcACIALAAgADcANwAwACwAIAA3ADcAMAAsACAANQA1ADAALAAgADUANQAwACwAIAA1ADUAMAAsACAANgA2ADAALAAgADYANgAwACwAIABcACIAUQBMAEQAXAAiADsAXABuACAAIAAgACAAIAAgACAAIAAgACAAXAAiAFMAbwB1AHQAaAAgAEEAdQBzAHQAcgBhAGwAaQBhAFwAIgAsACAANwA3ADAALAAgADcANwAwACwAIAA1ADUAMAAsACAANQA1ADAALAAgADUANQAwACwAIAA2ADYAMAAsACAANgA2ADAALAAgAFwAIgBTAEEAXAAiADsAXABuACAAIAAgACAAIAAgACAAIAAgACAAXAAiAFQAYQBzAG0AYQBuAGkAYQBcACIALAAgADcANwAwACwAIAA3ADcAMAAsACAANQA1ADAALAAgADUANQAwACwAIAA1ADUAMAAsACAANgA2ADAALAAgADYANgAwACwAIABcACIAVABBAFMAXAAiADsAXABuACAAIAAgACAAIAAgACAAIAAgACAAXAAiAFYAaQBjAHQAbwByAGkAYQBcACIALAAgADcANwAwACwAIAA3ADcAMAAsACAANQA1ADAALAAgADUANQAwACwAIAA1ADUAMAAsACAANgA2ADAALAAgADYANgAwACwAIABcACIAVgBJAEMAXAAiADsAXABuACAAIAAgACAAIAAgACAAIAAgACAAXAAiAFcAZQBzAHQAZQByAG4AIABBAHUAcwB0AHIAYQBsAGkAYQBcACIALAAgADcANwAwACwAIAA3ADcAMAAsACAANQA1ADAALAAgADUANQAwACwAIAA1ADUAMAAsACAANgA2ADAALAAgADYANgAwACwAIABcACIAVwBBAFwAIg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YAcgBhAGMAdABpAG8AbgBPAGYATQBhAG4AdQByAGUAVABvAE0ATQBTAFwAbgBUAGEAYgBsAGUAIABBAC4AMQAuADIALgA5ADoAIABCAGUAZQBmACAAcABhAHMAdAB1AHIAZQAgAGMAYQB0AHQAbABlACAALQAgAEYAcgBhAGMAdABpAG8AbgAgAG8AZgAgAG0AYQBuAHUAcgBlACAAdABvACAAZQBhAGMAaAAgAG0AYQBuAHUAcgBlACAAbQBhAG4AYQBnAGUAbQBlAG4AdAAgAHMAeQBzAHQAZQBtACAAKABmAHIAYQBjAHQAaQBvAG4AKQAgACgATQBNAFMAbQApAFwAbgAtAC0ALQAtAC0ALQAtAC0ALQAtAC0ALQAtAC0ALQAtAC0ALQAtAC0ALQAtAC0ALQAtAC0ALQAtAC0ALQAtAC0ALQAtAC0ALQAtAC0AXABuACoALwBcAG4AXABuAFMAbwB1AHIAYwBlAEQAYQB0AGEAXwBQAGEAcwB0AHUAcgBlAEIAZQBlAGYAXwBGAHIAYQBjAHQAaQBvAG4ATwBmAE0AYQBuAHUAcgBlAFQAbwBNAE0AUwBfAFQAaQB0AGwAZQBcAG4AIAAgAD0ATABBAE0AQgBEAEEAKABcACIAQgBlAGUAZgAgAHAAYQBzAHQAdQByAGUAIABjAGEAdAB0AGwAZQAgAC0AIABGAHIAYQBjAHQAaQBvAG4AIABvAGYAIABtAGEAbgB1AHIAZQAgAHQAbwAgAGUAYQBjAGgAIABtAGEAbgB1AHIAZQAgAG0AYQBuAGEAZwBlAG0AZQBuAHQAIABzAHkAcwB0AGUAbQAgACgAZgByAGEAYwB0AGkAbwBuACkAIAAoAE0ATQBTAG0AKQBcACIAKQA7AFwAbgBcAG4AUwBvAHUAcgBjAGUARABhAHQAYQBfAFAAYQBzAHQAdQByAGUAQgBlAGUAZgBfAEYAcgBhAGMAdABpAG8AbgBPAGYATQBhAG4AdQByAGUAVABvAE0ATQBTAF8AVgBhAHIAaQBhAGIAbABlAFwAbgAgACAAPQBMAEEATQBCAEQAQQAoAFwAIgBNAE0AUwBtAFwAIgApADsAXABuAFwAbgBTAG8AdQByAGMAZQBEAGEAdABhAF8AUABhAHMAdAB1AHIAZQBCAGUAZQBmAF8ARgByAGEAYwB0AGkAbwBuAE8AZgBNAGEAbgB1AHIAZQBUAG8ATQBNAFMAXwBVAG4AaQB0AFwAbgAgACAAPQBMAEEATQBCAEQAQQAoAFwAIgBmAHIAYQBjAHQAaQBvAG4AXAAiACkAOwBcAG4AXABuAFMAbwB1AHIAYwBlAEQAYQB0AGEAXwBQAGEAcwB0AHUAcgBlAEIAZQBlAGYAXwBGAHIAYQBjAHQAaQBvAG4ATwBmAE0AYQBuAHUAcgBlAFQAbwBNAE0AUwBfAFMAbwB1AHIAYwBlAFwAbgAgACAAPQBMAEEATQBCAEQAQQAoAFwAIgBWAEUARQBSAEcAIAAyADAAMgA2ADoAIABUAGEAYgBsAGUAIABBAC4AMQAuADIALgA5AFwAIgApADsAXABuAFwAbgBTAG8AdQByAGMAZQBEAGEAdABhAF8AUABhAHMAdAB1AHIAZQBCAGUAZQBmAF8ARgByAGEAYwB0AGkAbwBuAE8AZgBNAGEAbgB1AHIAZQBUAG8ATQBNAFMAXwBWAGEAcgBpAGEAdABpAG8AbgBcAG4AIAAgAD0ATABBAE0AQgBEAEEAKABcACIAVgBBAFIASQBBAFQASQBPAE4AIABPAE4AIABTAE8AVQBSAEMARQA6ACAAUgBlAG0AbwB2AGUAZAAgAGMAbwBtAG0AYQAgAGYAcgBvAG0AIABcAHUAMAAwADIANwBQAGEAcwB0AHUAcgBlACAAcgBhAG4AZwBlACAAYQBuAGQAIABwAGEAZABkAG8AYwBrAFwAdQAwADAAMgA3ACAAdABvACAAYQBpAGQAIABsAG8AbwBrAHUAcABcACIAKQA7AFwAbgBcAG4AUwBvAHUAcgBjAGUARABhAHQAYQBfAFAAYQBzAHQAdQByAGUAQgBlAGUAZgBfAEYAcgBhAGMAdABpAG8AbgBPAGYATQBhAG4AdQByAGUAVABvAE0ATQBTAF8ARABhAHQAYQBcAG4AIAAgAD0ATABBAE0AQgBEAEEAKABcAG4AIAAgACAAIABNAEEASwBFAEEAUgBSAEEAWQAoADEANgAsACAANAAsAFwAbgAgACAAIAAgACAAIABMAEEATQBCAEQAQQAoAHIALABjACwAXABuACAAIAAgACAAIAAgACAAIABJAE4ARABFAFgAKAB7AFwAbgAgACAAIAAgACAAIAAgACAAIAAgAFwAIgBTAHQAYQB0AGUAXAAiACwAIABcACIAUgBlAGcAaQBvAG4AXAAiACwAIABcACIAUABhAHMAdAB1AHIAZQAgAHIAYQBuAGcAZQAgAGEAbgBkACAAcABhAGQAZABvAGMAawBcACIALAAgAFwAIgBVAG4AYwBvAHYAZQByAGUAZAAgAEEAbgBhAGUAcgBvAGIAaQBjACAAbABhAGcAbwBvAG4AXAAiADsAXABuACAAIAAgACAAIAAgACAAIAAgACAAXAAiAEEAQwBUAFwAIgAsACAAXAAiAG4ALwBhAFwAIgAsACAAOQA5AC4AMQA5ADIALAAgADAALgA4ADAAOAA7AFwAbgAgACAAIAAgACAAIAAgACAAIAAgAFwAIgBOAFMAVwBcACIALAAgAFwAIgBuAC8AYQBcACIALAAgADkAOQAuADQANQAyACwAIAAwAC4ANQA0ADgAOwBcAG4AIAAgACAAIAAgACAAIAAgACAAIABcACIAUwBBAFwAIgAsACAAXAAiAG4ALwBhAFwAIgAsACAAOQA5AC4ANwA1ADkALAAgADAALgAyADQAMQA7AFwAbgAgACAAIAAgACAAIAAgACAAIAAgAFwAIgBUAEEAUwBcACIALAAgAFwAIgBuAC8AYQBcACIALAAgADkAOQAuADEAMgAyACwAIAAwAC4AOAA3ADgAOwBcAG4AIAAgACAAIAAgACAAIAAgACAAIABcACIAVgBJAEMAXAAiACwAIABcACIAbgAvAGEAXAAiACwAIAA5ADgALgA4ADkANAAsACAAMQAuADEAMAA2ADsAXABuACAAIAAgACAAIAAgACAAIAAgACAAXAAiAFcAQQBcACIALAAgAFwAIgBTAG8AdQB0AGgAIABXAGUAcwB0AFwAIgAsACAAOQA5AC4ANgAyADIALAAgADAALgAzADcAOAA7AFwAbgAgACAAIAAgACAAIAAgACAAIAAgAFwAIgBXAEEAXAAiACwAIABcACIAUABpAGwAYgBhAHIAYQBcACIALAAgADkAOQAuADkAOQA5ACwAIAAwAC4AMAAwADEAOwBcAG4AIAAgACAAIAAgACAAIAAgACAAIABcACIAVwBBAFwAIgAsACAAXAAiAEsAaQBtAGIAZQByAGwAZQB5AFwAIgAsACAAOQA5AC4AOQA5ADkALAAgADAALgAwADAAMQA7AFwAbgAgACAAIAAgACAAIAAgACAAIAAgAFwAIgBOAFQAXAAiACwAIABcACIAQQBsAGkAYwBlACAAUwBwAHIAaQBuAGcAcwBcACIALAAgADkAOQAuADkAOQA5ACwAIAAwAC4AMAAwADEAOwBcAG4AIAAgACAAIAAgACAAIAAgACAAIABcACIATgBUAFwAIgAsACAAXAAiAEIAYQByAGsAbAB5AFwAIgAsACAAOQA5AC4AOQA5ADQALAAgADAALgAwADAANgA7AFwAbgAgACAAIAAgACAAIAAgACAAIAAgAFwAIgBOAFQAXAAiACwAIABcACIATgBvAHIAdABoAGUAcgBuAFwAIgAsACAAOQA5AC4AOQA5ADkALAAgADAALgAwADAAMQA7AFwAbgAgACAAIAAgACAAIAAgACAAIAAgAFwAIgBRAEwARABcACIALAAgAFwAIgBIAGkAZwBoAFwAIgAsACAAOQA5AC4ANwA3ADMALAAgADAALgAyADIANwA7AFwAbgAgACAAIAAgACAAIAAgACAAIAAgAFwAIgBRAEwARABcACIALAAgAFwAIgBNAG8AZABlAHIAYQB0AGUALwBIAGkAZwBoAFwAIgAsACAAOQA5AC4AOAA5ADgALAAgADAALgAxADAAMgA7AFwAbgAgACAAIAAgACAAIAAgACAAIAAgAFwAIgBRAEwARABcACIALAAgAFwAIgBNAG8AZABlAHIAYQB0AGUALwBMAG8AdwBcACIALAAgADkAOQAuADkANwA5ACwAIAAwAC4AMAAyADEAOwBcAG4AIAAgACAAIAAgACAAIAAgACAAIABcACIAUQBMAEQAXAAiACwAIABcACIATABvAHcAXAAiACwAIAA5ADkALgA5ADcANwAsACAAMAAuADAAMgAz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QBlAHQAaABhAG4AZQBDAG8AbgB2AGUAcgBzAGkAbwBuAEYAYQBjAHQAbwByAFAAZQByAFIAZQBnAGkAbwBuAFwAbgBUAGEAYgBsAGUAIABBAC4AMQAuADIALgAxADAAOgAgAEIAZQBlAGYAIABwAGEAcwB0AHUAcgBlACAAYwBhAHQAdABsAGUAIAAtACAATQBlAHQAaABhAG4AZQAgAGMAbwBuAHYAZQByAHMAaQBvAG4AIABmAGEAYwB0AG8AcgAgAHAAZQByACAAcgBlAGcAaQBvAG4AIAAoAGYAcgBhAGMAdABpAG8AbgApACAAKABNAEMARgBpAG0AKQBcAG4ALQAtAC0ALQAtAC0ALQAtAC0ALQAtAC0ALQAtAC0ALQAtAC0ALQAtAC0ALQAtAC0ALQAtAC0ALQAtAC0ALQAtAC0ALQAtAC0ALQAtAFwAbgAqAC8AXABuAFwAbgBTAG8AdQByAGMAZQBEAGEAdABhAF8AUABhAHMAdAB1AHIAZQBCAGUAZQBmAF8ATQBlAHQAaABhAG4AZQBDAG8AbgB2AGUAcgBzAGkAbwBuAEYAYQBjAHQAbwByAFAAZQByAFIAZQBnAGkAbwBuAF8AVABpAHQAbABlAFwAbgAgACAAPQBMAEEATQBCAEQAQQAoAFwAIgBCAGUAZQBmACAAcABhAHMAdAB1AHIAZQAgAGMAYQB0AHQAbABlACAALQAgAE0AZQB0AGgAYQBuAGUAIABjAG8AbgB2AGUAcgBzAGkAbwBuACAAZgBhAGMAdABvAHIAIABwAGUAcgAgAHIAZQBnAGkAbwBuACAAKABmAHIAYQBjAHQAaQBvAG4AKQAgACgATQBDAEYAaQBtACkAXAAiACkAOwBcAG4AXABuAFMAbwB1AHIAYwBlAEQAYQB0AGEAXwBQAGEAcwB0AHUAcgBlAEIAZQBlAGYAXwBNAGUAdABoAGEAbgBlAEMAbwBuAHYAZQByAHMAaQBvAG4ARgBhAGMAdABvAHIAUABlAHIAUgBlAGcAaQBvAG4AXwBWAGEAcgBpAGEAYgBsAGUAXABuACAAIAA9AEwAQQBNAEIARABBACgAXAAiAE0AQwBGAGkAbQBcACIAKQA7AFwAbgBcAG4AUwBvAHUAcgBjAGUARABhAHQAYQBfAFAAYQBzAHQAdQByAGUAQgBlAGUAZgBfAE0AZQB0AGgAYQBuAGUAQwBvAG4AdgBlAHIAcwBpAG8AbgBGAGEAYwB0AG8AcgBQAGUAcgBSAGUAZwBpAG8AbgBfAFUAbgBpAHQAXABuACAAIAA9AEwAQQBNAEIARABBACgAXAAiAGYAcgBhAGMAdABpAG8AbgBcACIAKQA7AFwAbgBcAG4AUwBvAHUAcgBjAGUARABhAHQAYQBfAFAAYQBzAHQAdQByAGUAQgBlAGUAZgBfAE0AZQB0AGgAYQBuAGUAQwBvAG4AdgBlAHIAcwBpAG8AbgBGAGEAYwB0AG8AcgBQAGUAcgBSAGUAZwBpAG8AbgBfAFMAbwB1AHIAYwBlAFwAbgAgACAAPQBMAEEATQBCAEQAQQAoAFwAIgBWAEUARQBSAEcAIAAyADAAMgA2ADoAIABUAGEAYgBsAGUAIABBAC4AMQAuADIALgAxADAAXAAiACkAOwBcAG4AXABuAFMAbwB1AHIAYwBlAEQAYQB0AGEAXwBQAGEAcwB0AHUAcgBlAEIAZQBlAGYAXwBNAGUAdABoAGEAbgBlAEMAbwBuAHYAZQByAHMAaQBvAG4ARgBhAGMAdABvAHIAUABlAHIAUgBlAGcAaQBvAG4AXwBWAGEAcgBpAGEAdABpAG8AbgBcAG4AIAAgAD0ATABBAE0AQgBEAEEAKABcACIAVgBBAFIASQBBAFQASQBPAE4AIABPAE4AIABTAE8AVQBSAEMARQA6ACAAUgBlAG0AbwB2AGUAZAAgAGMAbwBtAG0AYQAgAGYAcgBvAG0AIABcAHUAMAAwADIANwBQAGEAcwB0AHUAcgBlACAAcgBhAG4AZwBlACAAYQBuAGQAIABwAGEAZABkAG8AYwBrAFwAdQAwADAAMgA3ACAAdABvACAAYQBpAGQAIABsAG8AbwBrAHUAcABcACIAKQA7AFwAbgBcAG4AUwBvAHUAcgBjAGUARABhAHQAYQBfAFAAYQBzAHQAdQByAGUAQgBlAGUAZgBfAE0AZQB0AGgAYQBuAGUAQwBvAG4AdgBlAHIAcwBpAG8AbgBGAGEAYwB0AG8AcgBQAGUAcgBSAGUAZwBpAG8AbgBfAEQAYQB0AGEAXABuACAAIAA9AEwAQQBNAEIARABBACgAXABuACAAIAAgACAATQBBAEsARQBBAFIAUgBBAFkAKAAxADYALAAgADQALABcAG4AIAAgACAAIAAgACAATABBAE0AQgBEAEEAKAByACwAYwAsAFwAbgAgACAAIAAgACAAIAAgACAASQBOAEQARQBYACgAewBcAG4AIAAgACAAIAAgACAAIAAgACAAIABcACIAUwB0AGEAdABlAFwAIgAsACAAXAAiAFIAZQBnAGkAbwBuAFwAIgAsACAAXAAiAFAAYQBzAHQAdQByAGUAIAByAGEAbgBnAGUAIABhAG4AZAAgAHAAYQBkAGQAbwBjAGsAXAAiACwAIABcACIAVQBuAGMAbwB2AGUAcgBlAGQAIABBAG4AYQBlAHIAbwBiAGkAYwAgAGwAYQBnAG8AbwBuAFwAIgA7AFwAbgAgACAAIAAgACAAIAAgACAAIAAgAFwAIgBBAEMAVABcACIALAAgAFwAIgBuAC8AYQBcACIALAAgADAALgAwADAANAA3ACwAIAAwAC4ANwAxADsAXABuACAAIAAgACAAIAAgACAAIAAgACAAXAAiAE4AUwBXAFwAIgAsACAAXAAiAG4ALwBhAFwAIgAsACAAMAAuADAAMAA0ADcALAAgADAALgA3ADUAOwBcAG4AIAAgACAAIAAgACAAIAAgACAAIABcACIAUwBBAFwAIgAsACAAXAAiAG4ALwBhAFwAIgAsACAAMAAuADAAMAA0ADcALAAgADAALgA3ADQAOwBcAG4AIAAgACAAIAAgACAAIAAgACAAIABcACIAVABBAFMAXAAiACwAIABcACIAbgAvAGEAXAAiACwAIAAwAC4AMAAwADQANwAsACAAMAAuADcAOwBcAG4AIAAgACAAIAAgACAAIAAgACAAIABcACIAVgBJAEMAXAAiACwAIABcACIAbgAvAGEAXAAiACwAIAAwAC4AMAAwADQANwAsACAAMAAuADcANAA7AFwAbgAgACAAIAAgACAAIAAgACAAIAAgAFwAIgBXAEEAXAAiACwAIABcACIAUwBvAHUAdABoACAAVwBlAHMAdABcACIALAAgADAALgAwADAANAA3ACwAIAAwAC4ANwA2ADsAXABuACAAIAAgACAAIAAgACAAIAAgACAAXAAiAFcAQQBcACIALAAgAFwAIgBQAGkAbABiAGEAcgBhAFwAIgAsACAAMAAuADAAMAA0ADcALAAgADAALgA3ADYAOwBcAG4AIAAgACAAIAAgACAAIAAgACAAIABcACIAVwBBAFwAIgAsACAAXAAiAEsAaQBtAGIAZQByAGwAZQB5AFwAIgAsACAAMAAuADAAMAA0ADcALAAgADAALgA3ADYAOwBcAG4AIAAgACAAIAAgACAAIAAgACAAIABcACIATgBUAFwAIgAsACAAXAAiAEEAbABpAGMAZQAgAFMAcAByAGkAbgBnAHMAXAAiACwAIAAwAC4AMAAwADQANwAsACAAMAAuADgAOwBcAG4AIAAgACAAIAAgACAAIAAgACAAIABcACIATgBUAFwAIgAsACAAXAAiAEIAYQByAGsAbAB5AFwAIgAsACAAMAAuADAAMAA0ADcALAAgADAALgA4ADsAXABuACAAIAAgACAAIAAgACAAIAAgACAAXAAiAE4AVABcACIALAAgAFwAIgBOAG8AcgB0AGgAZQByAG4AXAAiACwAIAAwAC4AMAAwADQANwAsACAAMAAuADgAOwBcAG4AIAAgACAAIAAgACAAIAAgACAAIABcACIAUQBMAEQAXAAiACwAIABcACIASABpAGcAaABcACIALAAgADAALgAwADAANAA3ACwAIAAwAC4ANwA4ADsAXABuACAAIAAgACAAIAAgACAAIAAgACAAXAAiAFEATABEAFwAIgAsACAAXAAiAE0AbwBkAGUAcgBhAHQAZQAvAEgAaQBnAGgAXAAiACwAIAAwAC4AMAAwADQANwAsACAAMAAuADcAOAA7AFwAbgAgACAAIAAgACAAIAAgACAAIAAgAFwAIgBRAEwARABcACIALAAgAFwAIgBNAG8AZABlAHIAYQB0AGUALwBMAG8AdwBcACIALAAgADAALgAwADAANAA3ACwAIAAwAC4ANwA4ADsAXABuACAAIAAgACAAIAAgACAAIAAgACAAXAAiAFEATABEAFwAIgAsACAAXAAiAEwAbwB3AFwAIgAsACAAMAAuADAAMAA0ADcALAAgADAALgA3ADgAXABuACAAIAAgACAAIAAgACAAIAB9ACwAIAByACwAIABjACkAXABuACAAIAAgACAAIAAgACkAXABuACAAIAAgACAAKQBcAG4AIAAgACkAOwBcAG4AXABuAFwAbgBcAG4ALwAqACAAXABuAC0ALQAtAC0ALQAtAC0ALQAtAC0ALQAtAC0ALQAtAC0ALQAtAC0ALQAtAC0ALQAtAC0ALQAtAC0ALQAtAC0ALQAtAC0ALQAtAC0ALQBcAG4AUwBvAHUAcgBjAGUARABhAHQAYQBfAFAAYQBzAHQAdQByAGUAQgBlAGUAZgBfAEEAcwBoAEMAbwBuAHQAZQBuAHQATwBmAEYAZQBlAGQASQBuAHQAYQBrAGUAXABuAFYARQBFAFIARwAgADIAMAAyADYAOgAgADQALgAyAC4AMgAuADMAIABDAE8ATgBTAFQAQQBOAFQAUwBcAG4ALQAtAC0ALQAtAC0ALQAtAC0ALQAtAC0ALQAtAC0ALQAtAC0ALQAtAC0ALQAtAC0ALQAtAC0ALQAtAC0ALQAtAC0ALQAtAC0ALQAtAFwAbgAqAC8AXABuAFwAbgBTAG8AdQByAGMAZQBEAGEAdABhAF8AUABhAHMAdAB1AHIAZQBCAGUAZQBmAF8AQQBzAGgAQwBvAG4AdABlAG4AdABPAGYARgBlAGUAZABJAG4AdABhAGsAZQBfAFQAaQB0AGwAZQBcAG4AIAAgAD0ATABBAE0AQgBEAEEAKABcACIAQQBzAGgAIABjAG8AbgB0AGUAbgB0ACAAbwBmACAAZgBlAGUAZAAgAGkAbgB0AGEAawBlAFwAIgApADsAXABuAFwAbgBTAG8AdQByAGMAZQBEAGEAdABhAF8AUABhAHMAdAB1AHIAZQBCAGUAZQBmAF8AQQBzAGgAQwBvAG4AdABlAG4AdABPAGYARgBlAGUAZABJAG4AdABhAGsAZQBfAFYAYQByAGkAYQBiAGwAZQBcAG4AIAAgAD0ATABBAE0AQgBEAEEAKABcACIAQQBcACIAKQA7AFwAbgBcAG4AUwBvAHUAcgBjAGUARABhAHQAYQBfAFAAYQBzAHQAdQByAGUAQgBlAGUAZgBfAEEAcwBoAEMAbwBuAHQAZQBuAHQATwBmAEYAZQBlAGQASQBuAHQAYQBrAGUAXwBVAG4AaQB0AFwAbgAgACAAPQBMAEEATQBCAEQAQQAoAFwAIgBmAHIAYQBjAHQAaQBvAG4AXAAiACkAOwBcAG4AXABuAFMAbwB1AHIAYwBlAEQAYQB0AGEAXwBQAGEAcwB0AHUAcgBlAEIAZQBlAGYAXwBBAHMAaABDAG8AbgB0AGUAbgB0AE8AZgBGAGUAZQBkAEkAbgB0AGEAawBlAF8AUwBvAHUAcgBjAGUAXABuACAAIAA9AEwAQQBNAEIARABBACgAXAAiAFYARQBFAFIARwAgADIAMAAyADYAOgAgADQALgAyAC4AMgAuADMAIABDAE8ATgBTAFQAQQBOAFQAUwBcACIAKQA7AFwAbgBcAG4AUwBvAHUAcgBjAGUARABhAHQAYQBfAFAAYQBzAHQAdQByAGUAQgBlAGUAZgBfAEEAcwBoAEMAbwBuAHQAZQBuAHQATwBmAEYAZQBlAGQASQBuAHQAYQBrAGUAXwBWAGEAcgBpAGEAdABpAG8AbgBcAG4AIAAgAD0ATABBAE0AQgBEAEEAKABcACIAXAAiACkAOwBcAG4AXABuAFMAbwB1AHIAYwBlAEQAYQB0AGEAXwBQAGEAcwB0AHUAcgBlAEIAZQBlAGYAXwBBAHMAaABDAG8AbgB0AGUAbgB0AE8AZgBGAGUAZQBkAEkAbgB0AGEAawBlAF8ARABhAHQAYQBcAG4AIAAgAD0ATABBAE0AQgBEAEEAKAAwAC4AMAA4ACkAOwBcAG4AXABuAC8AKgAgAFwAbgAtAC0ALQAtAC0ALQAtAC0ALQAtAC0ALQAtAC0ALQAtAC0ALQAtAC0ALQAtAC0ALQAtAC0ALQAtAC0ALQAtAC0ALQAtAC0ALQAtAC0AXABuAFMAbwB1AHIAYwBlAEQAYQB0AGEAXwBQAGEAcwB0AHUAcgBlAEIAZQBlAGYAXwBNAGUAdABoAGEAbgBlAEUAbQBpAHMAcwBpAG8AbgBzAFAAbwB0AGUAbgB0AGkAYQBsAFwAbgBNAGUAdABoAGEAbgBlACAAZQBtAGkAcwBzAGkAbwBuAHMAIABwAG8AdABlAG4AdABpAGEAbAAuAFwAbgAtAC0ALQAtAC0ALQAtAC0ALQAtAC0ALQAtAC0ALQAtAC0ALQAtAC0ALQAtAC0ALQAtAC0ALQAtAC0ALQAtAC0ALQAtAC0ALQAtAC0AXABuACoALwBcAG4AXABuAFMAbwB1AHIAYwBlAEQAYQB0AGEAXwBQAGEAcwB0AHUAcgBlAEIAZQBlAGYAXwBNAGUAdABoAGEAbgBlAEUAbQBpAHMAcwBpAG8AbgBzAFAAbwB0AGUAbgB0AGkAYQBsAF8AVABpAHQAbABlAFwAbgAgACAAPQBMAEEATQBCAEQAQQAoAFwAIgBNAGUAdABoAGEAbgBlACAAZQBtAGkAcwBzAGkAbwBuAHMAIABwAG8AdABlAG4AdABpAGEAbABcACIAKQA7AFwAbgBcAG4AUwBvAHUAcgBjAGUARABhAHQAYQBfAFAAYQBzAHQAdQByAGUAQgBlAGUAZgBfAE0AZQB0AGgAYQBuAGUARQBtAGkAcwBzAGkAbwBuAHMAUABvAHQAZQBuAHQAaQBhAGwAXwBWAGEAcgBpAGEAYgBsAGUAXABuACAAIAA9AEwAQQBNAEIARABBACgAXAAiAEIAMABcACIAKQA7AFwAbgBcAG4AUwBvAHUAcgBjAGUARABhAHQAYQBfAFAAYQBzAHQAdQByAGUAQgBlAGUAZgBfAE0AZQB0AGgAYQBuAGUARQBtAGkAcwBzAGkAbwBuAHMAUABvAHQAZQBuAHQAaQBhAGwAXwBVAG4AaQB0AFwAbgAgACAAPQBMAEEATQBCAEQAQQAoAFwAIgBtADMAIABDAEgANAAgAC8AIABrAGcAIABWAFMAXAAiACkAOwBcAG4AXABuAFMAbwB1AHIAYwBlAEQAYQB0AGEAXwBQAGEAcwB0AHUAcgBlAEIAZQBlAGYAXwBNAGUAdABoAGEAbgBlAEUAbQBpAHMAcwBpAG8AbgBzAFAAbwB0AGUAbgB0AGkAYQBsAF8AUwBvAHUAcgBjAGUAXABuACAAIAA9AEwAQQBNAEIARABBACgAXAAiAFYARQBFAFIARwAgADIAMAAyADYAOgAgADQALgAyAC4AMgAuADMAIABDAE8ATgBTAFQAQQBOAFQAUwBcACIAKQA7AFwAbgBcAG4AUwBvAHUAcgBjAGUARABhAHQAYQBfAFAAYQBzAHQAdQByAGUAQgBlAGUAZgBfAE0AZQB0AGgAYQBuAGUARQBtAGkAcwBzAGkAbwBuAHMAUABvAHQAZQBuAHQAaQBhAGwAXwBWAGEAcgBpAGEAdABpAG8AbgBcAG4AIAAgAD0ATABBAE0AQgBEAEEAKABcACIAXAAiACkAOwBcAG4AXABuAFMAbwB1AHIAYwBlAEQAYQB0AGEAXwBQAGEAcwB0AHUAcgBlAEIAZQBlAGYAXwBNAGUAdABoAGEAbgBlAEUAbQBpAHMAcwBpAG8AbgBzAFAAbwB0AGUAbgB0AGkAYQBsAF8ARABhAHQAYQBcAG4AIAAgAD0ATABBAE0AQgBEAEEAKAAwAC4AMQA5ACkAOwBcAG4AXABuAC8AKgAgAFwAbgAtAC0ALQAtAC0ALQAtAC0ALQAtAC0ALQAtAC0ALQAtAC0ALQAtAC0ALQAtAC0ALQAtAC0ALQAtAC0ALQAtAC0ALQAtAC0ALQAtAC0AXABuAFMAbwB1AHIAYwBlAEQAYQB0AGEAXwBQAGEAcwB0AHUAcgBlAEIAZQBlAGYAXwBGAHIAYQBjAEcAQQBTAE0AUwBvAGkAbABcAG4ARgByAGEAYwB0AGkAbwBuACAAbwBmACAAbgBpAHQAcgBvAGcAZQBuACAAdgBvAGwAYQB0AGkAbABpAHMAZQBkACAAZgByAG8AbQAgAHUAcgBpAG4AZQAgAGEAbgBkACAAZgBhAGUAYwBlAHMAIABkAGUAcABvAHMAaQB0AGUAZAAgAG8AbgAgAHAAYQBzAHQAdQByAGUAXABuAC0ALQAtAC0ALQAtAC0ALQAtAC0ALQAtAC0ALQAtAC0ALQAtAC0ALQAtAC0ALQAtAC0ALQAtAC0ALQAtAC0ALQAtAC0ALQAtAC0ALQBcAG4AKgAvAFwAbgBcAG4AUwBvAHUAcgBjAGUARABhAHQAYQBfAFAAYQBzAHQAdQByAGUAQgBlAGUAZgBfAEYAcgBhAGMARwBBAFMATQBTAG8AaQBsAF8AVABpAHQAbABlAFwAbgAgACAAPQBMAEEATQBCAEQAQQAoAFwAIgBGAHIAYQBjAHQAaQBvAG4AIABvAGYAIABuAGkAdAByAG8AZwBlAG4AIAB2AG8AbABhAHQAaQBsAGkAcwBlAGQAIABmAHIAbwBtACAAdQByAGkAbgBlACAAYQBuAGQAIABmAGEAZQBjAGUAcwAgAGQAZQBwAG8AcwBpAHQAZQBkACAAbwBuACAAcABhAHMAdAB1AHIAZQBcACIAKQA7AFwAbgBcAG4AUwBvAHUAcgBjAGUARABhAHQAYQBfAFAAYQBzAHQAdQByAGUAQgBlAGUAZgBfAEYAcgBhAGMARwBBAFMATQBTAG8AaQBsAF8AVgBhAHIAaQBhAGIAbABlAFwAbgAgACAAPQBMAEEATQBCAEQAQQAoAFwAIgBGAHIAYQBjAEcAQQBTAE0AUwBvAGkAbABcACIAKQA7AFwAbgBcAG4AUwBvAHUAcgBjAGUARABhAHQAYQBfAFAAYQBzAHQAdQByAGUAQgBlAGUAZgBfAEYAcgBhAGMARwBBAFMATQBTAG8AaQBsAF8AVQBuAGkAdABcAG4AIAAgAD0ATABBAE0AQgBEAEEAKABcACIAZgByAGEAYwB0AGkAbwBuAFwAIgApADsAXABuAFwAbgBTAG8AdQByAGMAZQBEAGEAdABhAF8AUABhAHMAdAB1AHIAZQBCAGUAZQBmAF8ARgByAGEAYwBHAEEAUwBNAFMAbwBpAGwAXwBTAG8AdQByAGMAZQBcAG4AIAAgAD0ATABBAE0AQgBEAEEAKABcACIAVgBFAEUAUgBHACAAMgAwADIANgA6ACAANAAuADIALgAyAC4AMwAgAEMATwBOAFMAVABBAE4AVABTAFwAIgApADsAXABuAFwAbgBTAG8AdQByAGMAZQBEAGEAdABhAF8AUABhAHMAdAB1AHIAZQBCAGUAZQBmAF8ARgByAGEAYwBHAEEAUwBNAFMAbwBpAGwAXwBWAGEAcgBpAGEAdABpAG8AbgBcAG4AIAAgAD0ATABBAE0AQgBEAEEAKABcACIAXAAiACkAOwBcAG4AXABuAFMAbwB1AHIAYwBlAEQAYQB0AGEAXwBQAGEAcwB0AHUAcgBlAEIAZQBlAGYAXwBGAHIAYQBjAEcAQQBTAE0AUwBvAGkAbABfAEQAYQB0AGEAXABuACAAIAA9AEwAQQBNAEIARABBACgAMAAuADIAMQApADsAXABuAFwAbgAvACoAIABcAG4ALQAtAC0ALQAtAC0ALQAtAC0ALQAtAC0ALQAtAC0ALQAtAC0ALQAtAC0ALQAtAC0ALQAtAC0ALQAtAC0ALQAtAC0ALQAtAC0ALQAtAFwAbgBTAG8AdQByAGMAZQBEAGEAdABhAF8AUABhAHMAdAB1AHIAZQBCAGUAZQBmAF8ARgByAGEAYwBMAEUAQQBDAEgAXABuAEQAZQBmAGEAdQBsAHQAIABmAHIAYQBjAHQAaQBvAG4AIABvAGYAIABOACAAdABoAGEAdAAgAGkAcwAgAGwAbwBzAHQAIAB0AGgAcgBvAHUAZwBoACAAbABlAGEAYwBoAGkAbgBnACAAYQBuAGQAIAByAHUAbgBvAGYAZgBcAG4ALQAtAC0ALQAtAC0ALQAtAC0ALQAtAC0ALQAtAC0ALQAtAC0ALQAtAC0ALQAtAC0ALQAtAC0ALQAtAC0ALQAtAC0ALQAtAC0ALQAtAFwAbgAqAC8AXABuAFwAbgBTAG8AdQByAGMAZQBEAGEAdABhAF8AUABhAHMAdAB1AHIAZQBCAGUAZQBmAF8ARgByAGEAYwBMAEUAQQBDAEgAXwBUAGkAdABsAGUAXABuACAAIAA9AEwAQQBNAEIARABBACgAXAAiAEQAZQBmAGEAdQBsAHQAIABmAHIAYQBjAHQAaQBvAG4AIABvAGYAIABOACAAdABoAGEAdAAgAGkAcwAgAGwAbwBzAHQAIAB0AGgAcgBvAHUAZwBoACAAbABlAGEAYwBoAGkAbgBnACAAYQBuAGQAIAByAHUAbgBvAGYAZgBcACIAKQA7AFwAbgBcAG4AUwBvAHUAcgBjAGUARABhAHQAYQBfAFAAYQBzAHQAdQByAGUAQgBlAGUAZgBfAEYAcgBhAGMATABFAEEAQwBIAF8AVgBhAHIAaQBhAGIAbABlAFwAbgAgACAAPQBMAEEATQBCAEQAQQAoAFwAIgBGAHIAYQBjAEwARQBBAEMASABcACIAKQA7AFwAbgBcAG4AUwBvAHUAcgBjAGUARABhAHQAYQBfAFAAYQBzAHQAdQByAGUAQgBlAGUAZgBfAEYAcgBhAGMATABFAEEAQwBIAF8AVQBuAGkAdABcAG4AIAAgAD0ATABBAE0AQgBEAEEAKABcACIAZgByAGEAYwB0AGkAbwBuAFwAIgApADsAXABuAFwAbgBTAG8AdQByAGMAZQBEAGEAdABhAF8AUABhAHMAdAB1AHIAZQBCAGUAZQBmAF8ARgByAGEAYwBMAEUAQQBDAEgAXwBTAG8AdQByAGMAZQBcAG4AIAAgAD0ATABBAE0AQgBEAEEAKABcACIAVgBFAEUAUgBHACAAMgAwADIANgA6ACAANAAuADIALgAyAC4AMwAgAEMATwBOAFMAVABBAE4AVABTAFwAIgApADsAXABuAFwAbgBTAG8AdQByAGMAZQBEAGEAdABhAF8AUABhAHMAdAB1AHIAZQBCAGUAZQBmAF8ARgByAGEAYwBMAEUAQQBDAEgAXwBWAGEAcgBpAGEAdABpAG8AbgBcAG4AIAAgAD0ATABBAE0AQgBEAEEAKABcACIAXAAiACkAOwBcAG4AXABuAFMAbwB1AHIAYwBlAEQAYQB0AGEAXwBQAGEAcwB0AHUAcgBlAEIAZQBlAGYAXwBGAHIAYQBjAEwARQBBAEMASABfAEQAYQB0AGEAXABuACAAIAA9AEwAQQBNAEIARABBACgAMAAuADIANAApADsAIgB9ACwAewAiAHAAYQB0AGgAIgA6ACIALwBwAHIAbwBqAGUAYwB0AHMALwBTAGMAbwBwAGUAMwBfAEkAbgBwAHUAdABGAHUAbgBjAHQAaQBvAG4AcwAiACwAIgB0AGUAeAB0ACIAOgAiAFwAbgBHAGUAdABMAGkAdgBlAHcAZQBpAGcAaAB0AF8AUABhAHMAdAB1AHIAZQBCAGUAZQBmAFwAbgA9AEwAQQBNAEIARABBACgAXABuACAAIABQAHUAcgBjAGgAYQBzAGUARABhAHQAZQAsACAATABpAHYAZQBzAHQAbwBjAGsAQwBsAGEAcwBzACwAIABTAG8AdQByAGMAZQBSAGUAZwBpAG8AbgAsAFwAbgAgACAAUwBvAHUAcgBjAGUAUgBlAGcAaQBvAG4ATABlAGYAdABBAHIAcgBhAHkALAAgAFMAbwB1AHIAYwBlAFIAZQBnAGkAbwBuAFIAaQBnAGgAdABBAHIAcgBhAHkALAAgAFMAZQBhAHMAbwBuAEEAcgByAGEAeQAsACAATABpAHYAZQBzAHQAbwBjAGsAQwBsAGEAcwBzAEEAcgByAGEAeQAsACAATABpAHYAZQB3AGUAaQBnAGgAdABBAHIAcgBhAHkALABcAG4AIAAgAEwARQBUACgAXABuACAAIAAgACAAUwBlAGEAcwBvAG4ALAAgAEkARgBTACgAXABuACAAIAAgACAAIAAgAE0ATwBOAFQASAAoAFAAdQByAGMAaABhAHMAZQBEAGEAdABlACkAIABcAHUAMAAwADMAYwA9ACAAMgAsACAAIABcACIAUwB1AG0AbQBlAHIAXAAiACwAXABuACAAIAAgACAAIAAgAE0ATwBOAFQASAAoAFAAdQByAGMAaABhAHMAZQBEAGEAdABlACkAIABcAHUAMAAwADMAYwA9ACAANQAsACAAIABcACIAQQB1AHQAdQBtAG4AXAAiACwAXABuACAAIAAgACAAIAAgAE0ATwBOAFQASAAoAFAAdQByAGMAaABhAHMAZQBEAGEAdABlACkAIABcAHUAMAAwADMAYwA9ACAAOAAsACAAIABcACIAVwBpAG4AdABlAHIAXAAiACwAXABuACAAIAAgACAAIAAgAE0ATwBOAFQASAAoAFAAdQByAGMAaABhAHMAZQBEAGEAdABlACkAIABcAHUAMAAwADMAYwA9ACAAMQAxACwAIABcACIAUwBwAHIAaQBuAGcAXAAiACwAXABuACAAIAAgACAAIAAgAE0ATwBOAFQASAAoAFAAdQByAGMAaABhAHMAZQBEAGEAdABlACkAIAA9ACAAMQAyACwAIAAgAFwAIgBTAHUAbQBtAGUAcgBcACIAXABuACAAIAAgACAAKQAsAFwAbgAgACAAIAAgAFMAbwB1AHIAYwBlAFIAZQBnAGkAbwBuAFIAaQBnAGgAdAAsACAASQBGACgASQBTAE4AVQBNAEIARQBSACgARgBJAE4ARAAoAFwAIgAgAC0AIABcACIALAAgAFMAbwB1AHIAYwBlAFIAZQBnAGkAbwBuACkAKQAsACAATQBJAEQAKABTAG8AdQByAGMAZQBSAGUAZwBpAG8AbgAsACAARgBJAE4ARAAoAFwAIgAgAC0AIABcACIALAAgAFMAbwB1AHIAYwBlAFIAZQBnAGkAbwBuACkAIAArACAAMwAsACAATABFAE4AKABTAG8AdQByAGMAZQBSAGUAZwBpAG8AbgApACkALAAgAFwAIgBuAC8AYQBcACIAKQAsAFwAbgAgACAAIAAgAFMAbwB1AHIAYwBlAFIAZQBnAGkAbwBuAEwAZQBmAHQALAAgACAASQBGACgASQBTAE4AVQBNAEIARQBSACgARgBJAE4ARAAoAFwAIgAgAC0AIABcACIALAAgAFMAbwB1AHIAYwBlAFIAZQBnAGkAbwBuACkAKQAsACAATABFAEYAVAAoAFMAbwB1AHIAYwBlAFIAZQBnAGkAbwBuACwAIABGAEkATgBEACgAXAAiACAALQAgAFwAIgAsACAAUwBvAHUAcgBjAGUAUgBlAGcAaQBvAG4AKQAgAC0AIAAxACkALAAgAFMAbwB1AHIAYwBlAFIAZQBnAGkAbwBuACkALABcAG4AIAAgACAAIABJAEYARQBSAFIATwBSACgAXABuACAAIAAgACAAIAAgAFgATABPAE8ASwBVAFAAKAAxACwAXABuACAAIAAgACAAIAAgACAAIAAoAFMAbwB1AHIAYwBlAFIAZQBnAGkAbwBuAEwAZQBmAHQAQQByAHIAYQB5ACAAPQAgAFMAbwB1AHIAYwBlAFIAZQBnAGkAbwBuAEwAZQBmAHQAKQAgACoAIAAoAFMAbwB1AHIAYwBlAFIAZQBnAGkAbwBuAFIAaQBnAGgAdABBAHIAcgBhAHkAIAA9ACAAUwBvAHUAcgBjAGUAUgBlAGcAaQBvAG4AUgBpAGcAaAB0ACkAIAAqACAAKABTAGUAYQBzAG8AbgBBAHIAcgBhAHkAIAA9ACAAUwBlAGEAcwBvAG4AKQAsAFwAbgAgACAAIAAgACAAIAAgACAAWABMAE8ATwBLAFUAUAAoAEwAaQB2AGUAcwB0AG8AYwBrAEMAbABhAHMAcwAsACAATABpAHYAZQBzAHQAbwBjAGsAQwBsAGEAcwBzAEEAcgByAGEAeQAsACAATABpAHYAZQB3AGUAaQBnAGgAdABBAHIAcgBhAHkALAAgADAAKQAsAFwAbgAgACAAIAAgACAAIAAwACkALABcAG4AIAAgACAAIAAwACkAXABuACAAIAApAFwAbgApADsAIgB9ACwAewAiAHAAYQB0AGgAIgA6ACIALwBwAHIAbwBqAGUAYwB0AHMALwBTAG8AdQByAGMAZQBEAGEAdABhAF8ARABhAGkAcgB5ACIALAAiAHQAZQB4AHQAIgA6ACIAXABuAC8AKgAgAFwAbgAtAC0ALQAtAC0ALQAtAC0ALQAtAC0ALQAtAC0ALQAtAC0ALQAtAC0ALQAtAC0ALQAtAC0ALQAtAC0ALQAtAC0ALQAtAC0ALQAtAC0AXABuAFMAbwB1AHIAYwBlAEQAYQB0AGEAXwBEAGEAaQByAHkAXwBMAGkAdgBlAHcAZQBpAGcAaAB0AEMAbwB3AHMAQQBuAGQASABlAGkAZgBlAHIAcwBcAG4AVABhAGIAbABlACAAQQAuADEALgAzAC4AMQA6ACAARABhAGkAcgB5ACAAYwBhAHQAdABsAGUAIAAtACAATABpAHYAZQB3AGUAaQBnAGgAdAAgACgAawBnACkAIAAtACAAQwBvAHcAcwAgAGEAbgBkACAASABlAGkAZgBlAHIAcwAgACgAVwBqACkAXABuAC0ALQAtAC0ALQAtAC0ALQAtAC0ALQAtAC0ALQAtAC0ALQAtAC0ALQAtAC0ALQAtAC0ALQAtAC0ALQAtAC0ALQAtAC0ALQAtAC0ALQBcAG4AKgAvAFwAbgBcAG4AUwBvAHUAcgBjAGUARABhAHQAYQBfAEQAYQBpAHIAeQBfAEwAaQB2AGUAdwBlAGkAZwBoAHQAQwBvAHcAcwBBAG4AZABIAGUAaQBmAGUAcgBzAF8AVABpAHQAbABlAFwAbgAgACAAPQBMAEEATQBCAEQAQQAoAFwAIgBUAGEAYgBsAGUAIABBAC4AMQAuADMALgAxADoAIABEAGEAaQByAHkAIABjAGEAdAB0AGwAZQAgAC0AIABMAGkAdgBlAHcAZQBpAGcAaAB0ACAAKABrAGcAKQAgAC0AIABDAG8AdwBzACAAYQBuAGQAIABIAGUAaQBmAGUAcgBzACAAKABXAGoAKQBcACIAKQA7AFwAbgBcAG4AUwBvAHUAcgBjAGUARABhAHQAYQBfAEQAYQBpAHIAeQBfAEwAaQB2AGUAdwBlAGkAZwBoAHQAQwBvAHcAcwBBAG4AZABIAGUAaQBmAGUAcgBzAF8AVgBhAHIAaQBhAGIAbABlAFwAbgAgACAAPQBMAEEATQBCAEQAQQAoAFwAIgBXAGoAXAAiACkAOwBcAG4AXABuAFMAbwB1AHIAYwBlAEQAYQB0AGEAXwBEAGEAaQByAHkAXwBMAGkAdgBlAHcAZQBpAGcAaAB0AEMAbwB3AHMAQQBuAGQASABlAGkAZgBlAHIAcwBfAFUAbgBpAHQAXABuACAAIAA9AEwAQQBNAEIARABBACgAXAAiAGsAZwBcACIAKQA7AFwAbgBcAG4AUwBvAHUAcgBjAGUARABhAHQAYQBfAEQAYQBpAHIAeQBfAEwAaQB2AGUAdwBlAGkAZwBoAHQAQwBvAHcAcwBBAG4AZABIAGUAaQBmAGUAcgBzAF8AUwBvAHUAcgBjAGUAXABuACAAIAA9AEwAQQBNAEIARABBACgAXAAiAFYARQBFAFIARwAgADIAMAAyADYAOgAgAFQAYQBiAGwAZQAgAEEALgAxAC4AMwAuADEAXAAiACkAOwBcAG4AXABuAFMAbwB1AHIAYwBlAEQAYQB0AGEAXwBEAGEAaQByAHkAXwBMAGkAdgBlAHcAZQBpAGcAaAB0AEMAbwB3AHMAQQBuAGQASABlAGkAZgBlAHIAcwBfAFYAYQByAGkAYQB0AGkAbwBuAFwAbgAgACAAPQBMAEEATQBCAEQAQQAoAFwAIgBWAEEAUgBJAEEAVABJAE8ATgAgAE8ARgAgAFMATwBVAFIAQwBFADoAIABFAHgAYwBsAHUAZABlAGQAIABcAHUAMAAwADIANwBSAGUAZgBlAHIAZQBuAGMAZQBcAHUAMAAwADIANwAsACAAYQBzACAAdABoAGUAIAB2AGEAbAB1AGUAIABpAHMAIABjAG8AbgBzAGkAcwB0AGUAbgB0AGwAeQAgAFwAdQAwADAAMgA3AEQAYQBpAHIAeQAgAEEAdQBzAHQAcgBhAGwAaQBhACAAWwAxAF0AXAB1ADAAMAAyADcAIABhAG4AZAAgAGkAcwAgAG4AbwB0ACAAdQBzAGUAZAAgAGkAbgAgAGMAYQBsAGMAdQBsAGEAdABpAG8AbgAuAFwAIgApADsAXABuAFwAbgBTAG8AdQByAGMAZQBEAGEAdABhAF8ARABhAGkAcgB5AF8ATABpAHYAZQB3AGUAaQBnAGgAdABDAG8AdwBzAEEAbgBkAEgAZQBpAGYAZQByAHMAXwBEAGEAdABhAFwAbgAgACAAPQBMAEEATQBCAEQAQQAoAFwAbgAgACAAIAAgAE0AQQBLAEUAQQBSAFIAQQBZACgAMQAxACwAIAA0ACwAXABuACAAIAAgACAAIAAgAEwAQQBNAEIARABBACgAcgAsAGMALABcAG4AIAAgACAAIAAgACAAIAAgAEkATgBEAEUAWAAoAHsAXABuACAAIAAgACAAIAAgACAAIAAgACAAXAAiAEIAcgBlAGUAZABcACIALAAgAFwAIgBNAGkAbABrAGkAbgBnACAAQwBvAHcAcwBcACIALAAgAFwAIgBIAGUAaQBmAGUAcgBzACAAXAB1ADAAMAAzAGUAMQBcACIALAAgAFwAIgBIAGUAaQBmAGUAcgBzACAAXAB1ADAAMAAzAGMAMQAgACgAdwBlAGEAbgBlAGQAKQBcACIAOwBcAG4AIAAgACAAIAAgACAAIAAgACAAIABcACIATQBlAGQAaQB1AG0AIABGAHIAaQBlAHMAaQBhAG4AXAAiACwAIAA1ADUAMAAsACAAMwA4ADAALAAgADEANQA1ADsAXABuACAAIAAgACAAIAAgACAAIAAgACAAXAAiAEwAYQByAGcAZQAgAEYAcgBpAGUAcwBpAGEAbgBcACIALAAgADYAMAAwACwAIAA0ADEANQAsACAAMQA3ADAAOwBcAG4AIAAgACAAIAAgACAAIAAgACAAIABcACIASABvAGwAcwB0AGUAaQBuAC0ARgByAGkAZQBzAGkAYQBuAFwAIgAsACAANgA1ADAALAAgADQANQAwACwAIAAxADgANQA7AFwAbgAgACAAIAAgACAAIAAgACAAIAAgAFwAIgBGAHIAaQBlAHMAaQBhAG4AIABjAHIAbwBzAHMAYgByAGUAZABcACIALAAgADUAMAAwACwAIAAzADUAMAAsACAAMQA0ADUAOwBcAG4AIAAgACAAIAAgACAAIAAgACAAIABcACIASgBlAHIAcwBlAHkAXAAiACwAIAA0ADAAMAAsACAAMgA3ADUALAAgADEAMQA1ADsAXABuACAAIAAgACAAIAAgACAAIAAgACAAXAAiAEoAZQByAHMAZQB5ACAAYwByAG8AcwBzAGIAcgBlAGQAXAAiACwAIAA0ADUAMAAsACAAMwAxADUALAAgADEAMwAwADsAXABuACAAIAAgACAAIAAgACAAIAAgACAAXAAiAEEAeQByAHMAaABpAHIAZQBcACIALAAgADUANAAwACwAIAAzADcANQAsACAAMQA1ADAAOwBcAG4AIAAgACAAIAAgACAAIAAgACAAIABcACIARwB1AGUAcgBuAHMAZQB5AFwAIgAsACAANAA4ADAALAAgADMAMwA1ACwAIAAxADQAMAA7AFwAbgAgACAAIAAgACAAIAAgACAAIAAgAFwAIgBCAHIAbwB3AG4AIABTAHcAaQBzAHMAXAAiACwAIAA2ADAAMAAsACAANAAxADUALAAgADEANwAwADsAXABuACAAIAAgACAAIAAgACAAIAAgACAAXAAiAEkAbABsAGEAdwBhAHIAcgBhAC8AQQB1AHMAcwBpAGUAIABSAGUAZABcACIALAAgADUANQAwACwAIAAzADcANQAsACAAMQA1ADAAXABuACAAIAAgACAAIAAgACAAIAB9ACwAIAByACwAIABjACkAXABuACAAIAAgACAAIAAgACkAXABuACAAIAAgACAAKQBcAG4AIAAgACkAOwBcAG4AXABuAFwAbgAvACoAIABcAG4ALQAtAC0ALQAtAC0ALQAtAC0ALQAtAC0ALQAtAC0ALQAtAC0ALQAtAC0ALQAtAC0ALQAtAC0ALQAtAC0ALQAtAC0ALQAtAC0ALQAtAFwAbgBTAG8AdQByAGMAZQBEAGEAdABhAF8ARABhAGkAcgB5AF8ATABpAHYAZQB3AGUAaQBnAGgAdABCAHUAbABsAHMAXABuAFQAYQBiAGwAZQAgAEEALgAxAC4AMwAuADIAOgAgAEQAYQBpAHIAeQAgAGMAYQB0AHQAbABlACAALQAgAEwAaQB2AGUAdwBlAGkAZwBoAHQAIAAoAGsAZwApACAALQAgAEIAdQBsAGwAcwAgACgAVwBqACkAXABuAC0ALQAtAC0ALQAtAC0ALQAtAC0ALQAtAC0ALQAtAC0ALQAtAC0ALQAtAC0ALQAtAC0ALQAtAC0ALQAtAC0ALQAtAC0ALQAtAC0ALQBcAG4AKgAvAFwAbgBcAG4AUwBvAHUAcgBjAGUARABhAHQAYQBfAEQAYQBpAHIAeQBfAEwAaQB2AGUAdwBlAGkAZwBoAHQAQgB1AGwAbABzAF8AVABpAHQAbABlAFwAbgAgACAAPQBMAEEATQBCAEQAQQAoAFwAIgBUAGEAYgBsAGUAIABBAC4AMQAuADMALgAyADoAIABEAGEAaQByAHkAIABjAGEAdAB0AGwAZQAgAC0AIABMAGkAdgBlAHcAZQBpAGcAaAB0ACAAKABrAGcAKQAgAC0AIABCAHUAbABsAHMAIAAoAFcAagApAFwAIgApADsAXABuAFwAbgBTAG8AdQByAGMAZQBEAGEAdABhAF8ARABhAGkAcgB5AF8ATABpAHYAZQB3AGUAaQBnAGgAdABCAHUAbABsAHMAXwBWAGEAcgBpAGEAYgBsAGUAXABuACAAIAA9AEwAQQBNAEIARABBACgAXAAiAFcAagBcACIAKQA7AFwAbgBcAG4AUwBvAHUAcgBjAGUARABhAHQAYQBfAEQAYQBpAHIAeQBfAEwAaQB2AGUAdwBlAGkAZwBoAHQAQgB1AGwAbABzAF8AVQBuAGkAdABcAG4AIAAgAD0ATABBAE0AQgBEAEEAKABcACIAawBnAFwAIgApADsAXABuAFwAbgBTAG8AdQByAGMAZQBEAGEAdABhAF8ARABhAGkAcgB5AF8ATABpAHYAZQB3AGUAaQBnAGgAdABCAHUAbABsAHMAXwBTAG8AdQByAGMAZQBcAG4AIAAgAD0ATABBAE0AQgBEAEEAKABcACIAVgBFAEUAUgBHACAAMgAwADIANgA6ACAAVABhAGIAbABlACAAQQAuADEALgAzAC4AMgBcACIAKQA7AFwAbgBcAG4AUwBvAHUAcgBjAGUARABhAHQAYQBfAEQAYQBpAHIAeQBfAEwAaQB2AGUAdwBlAGkAZwBoAHQAQgB1AGwAbABzAF8AVgBhAHIAaQBhAHQAaQBvAG4AXABuACAAIAA9AEwAQQBNAEIARABBACgAXAAiAFwAIgApADsAXABuAFwAbgBTAG8AdQByAGMAZQBEAGEAdABhAF8ARABhAGkAcgB5AF8ATABpAHYAZQB3AGUAaQBnAGgAdABCAHUAbABsAHMAXwBEAGEAdABhAFwAbgAgACAAPQBMAEEATQBCAEQAQQAoAFwAbgAgACAAIAAgAE0AQQBLAEUAQQBSAFIAQQBZACgAMgAsACAAMwAsAFwAbgAgACAAIAAgACAAIABMAEEATQBCAEQAQQAoAHIALABjACwAXABuACAAIAAgACAAIAAgACAAIABJAE4ARABFAFgAKAB7AFwAbgAgACAAIAAgACAAIAAgACAAIAAgAFwAIgBCAHIAZQBlAGQAXAAiACwAIABcACIAQgB1AGwAbABzACAAXAB1ADAAMAAzAGUAMQBcACIALAAgAFwAIgBCAHUAbABsAHMAIABcAHUAMAAwADMAYwAxACAAKAB3AGUAYQBuAGUAZAApAFwAIgA7AFwAbgAgACAAIAAgACAAIAAgACAAIAAgAFwAIgBBAGwAbAAgAGIAcgBlAGUAZABzAFwAIgAsACAANgAwADAALAAgADIAMgA1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TABpAHYAZQB3AGUAaQBnAGgAdABHAGEAaQBuAFwAbgBUAGEAYgBsAGUAIABBAC4AMQAuADMALgAzADoAIABEAGEAaQByAHkAIABjAGEAdAB0AGwAZQAgAC0AIABMAGkAdgBlAHcAZQBpAGcAaAB0ACAAZwBhAGkAbgAgACgAawBnACkAIAAoAEwAVwBHAGoAKQBcAG4ALQAtAC0ALQAtAC0ALQAtAC0ALQAtAC0ALQAtAC0ALQAtAC0ALQAtAC0ALQAtAC0ALQAtAC0ALQAtAC0ALQAtAC0ALQAtAC0ALQAtAFwAbgAqAC8AXABuAFwAbgBTAG8AdQByAGMAZQBEAGEAdABhAF8ARABhAGkAcgB5AF8ATABpAHYAZQB3AGUAaQBnAGgAdABHAGEAaQBuAF8AVABpAHQAbABlAFwAbgAgACAAPQBMAEEATQBCAEQAQQAoAFwAIgBUAGEAYgBsAGUAIABBAC4AMQAuADMALgAzADoAIABEAGEAaQByAHkAIABjAGEAdAB0AGwAZQAgAC0AIABMAGkAdgBlAHcAZQBpAGcAaAB0ACAAZwBhAGkAbgAgACgAawBnACkAIAAoAEwAVwBHAGoAKQBcACIAKQA7AFwAbgBcAG4AUwBvAHUAcgBjAGUARABhAHQAYQBfAEQAYQBpAHIAeQBfAEwAaQB2AGUAdwBlAGkAZwBoAHQARwBhAGkAbgBfAFYAYQByAGkAYQBiAGwAZQBcAG4AIAAgAD0ATABBAE0AQgBEAEEAKABcACIATABXAEcAagBcACIAKQA7AFwAbgBcAG4AUwBvAHUAcgBjAGUARABhAHQAYQBfAEQAYQBpAHIAeQBfAEwAaQB2AGUAdwBlAGkAZwBoAHQARwBhAGkAbgBfAFUAbgBpAHQAXABuACAAIAA9AEwAQQBNAEIARABBACgAXAAiAGsAZwBcACIAKQA7AFwAbgBcAG4AUwBvAHUAcgBjAGUARABhAHQAYQBfAEQAYQBpAHIAeQBfAEwAaQB2AGUAdwBlAGkAZwBoAHQARwBhAGkAbgBfAFMAbwB1AHIAYwBlAFwAbgAgACAAPQBMAEEATQBCAEQAQQAoAFwAIgBWAEUARQBSAEcAIAAyADAAMgA2ADoAIABUAGEAYgBsAGUAIABBAC4AMQAuADMALgAzAFwAIgApADsAXABuAFwAbgBTAG8AdQByAGMAZQBEAGEAdABhAF8ARABhAGkAcgB5AF8ATABpAHYAZQB3AGUAaQBnAGgAdABHAGEAaQBuAF8AVgBhAHIAaQBhAHQAaQBvAG4AXABuACAAIAA9AEwAQQBNAEIARABBACgAXAAiAFwAIgApADsAXABuAFwAbgBTAG8AdQByAGMAZQBEAGEAdABhAF8ARABhAGkAcgB5AF8ATABpAHYAZQB3AGUAaQBnAGgAdABHAGEAaQBuAF8ARABhAHQAYQBcAG4AIAAgAD0ATABBAE0AQgBEAEEAKABcAG4AIAAgACAAIABNAEEASwBFAEEAUgBSAEEAWQAoADIALAAgADUALABcAG4AIAAgACAAIAAgACAATABBAE0AQgBEAEEAKAByACwAYwAsAFwAbgAgACAAIAAgACAAIAAgACAASQBOAEQARQBYACgAewBcAG4AIAAgACAAIAAgACAAIAAgACAAIABcACIATQBpAGwAawBpAG4AZwAgAEMAbwB3AHMAXAAiACwAIABcACIASABlAGkAZgBlAHIAcwAgAFwAdQAwADAAMwBlADEAXAAiACwAIABcACIASABlAGkAZgBlAHIAcwAgAFwAdQAwADAAMwBjADEAIAAoAHcAZQBhAG4AZQBkACkAXAAiACwAIABcACIAQgB1AGwAbABzACAAXAB1ADAAMAAzAGUAMQBcACIALAAgAFwAIgBCAHUAbABsAHMAIABcAHUAMAAwADMAYwAxACAAKAB3AGUAYQBuAGUAZAApAFwAIgA7AFwAbgAgACAAIAAgACAAIAAgACAAIAAgADAALgAwADEANgAsACAAMAAuADYALAAgADAALgA1ADcALAAgADAALgAxACwAIAAwAC4AOA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FIAZQBmAGUAcgBlAG4AYwBlAFcAZQBpAGcAaAB0AHMAXABuAFQAYQBiAGwAZQAgAEEALgAxAC4AMwAuADQAOgAgAEQAYQBpAHIAeQAgAGMAYQB0AHQAbABlACAALQAgAFIAZQBmAGUAcgBlAG4AYwBlACAAdwBlAGkAZwBoAHQAcwAgACgAawBnACkAIAAoAFcAUgBqACkAXABuAC0ALQAtAC0ALQAtAC0ALQAtAC0ALQAtAC0ALQAtAC0ALQAtAC0ALQAtAC0ALQAtAC0ALQAtAC0ALQAtAC0ALQAtAC0ALQAtAC0ALQBcAG4AKgAvAFwAbgBcAG4AUwBvAHUAcgBjAGUARABhAHQAYQBfAEQAYQBpAHIAeQBfAFIAZQBmAGUAcgBlAG4AYwBlAFcAZQBpAGcAaAB0AHMAXwBUAGkAdABsAGUAXABuACAAIAA9AEwAQQBNAEIARABBACgAXAAiAFQAYQBiAGwAZQAgAEEALgAxAC4AMwAuADQAOgAgAEQAYQBpAHIAeQAgAGMAYQB0AHQAbABlACAALQAgAFIAZQBmAGUAcgBlAG4AYwBlACAAdwBlAGkAZwBoAHQAcwAgACgAawBnACkAIAAoAFcAUgBqACkAXAAiACkAOwBcAG4AXABuAFMAbwB1AHIAYwBlAEQAYQB0AGEAXwBEAGEAaQByAHkAXwBSAGUAZgBlAHIAZQBuAGMAZQBXAGUAaQBnAGgAdABzAF8AVgBhAHIAaQBhAGIAbABlAFwAbgAgACAAPQBMAEEATQBCAEQAQQAoAFwAIgBXAFIAagBcACIAKQA7AFwAbgBcAG4AUwBvAHUAcgBjAGUARABhAHQAYQBfAEQAYQBpAHIAeQBfAFIAZQBmAGUAcgBlAG4AYwBlAFcAZQBpAGcAaAB0AHMAXwBVAG4AaQB0AFwAbgAgACAAPQBMAEEATQBCAEQAQQAoAFwAIgBrAGcAXAAiACkAOwBcAG4AXABuAFMAbwB1AHIAYwBlAEQAYQB0AGEAXwBEAGEAaQByAHkAXwBSAGUAZgBlAHIAZQBuAGMAZQBXAGUAaQBnAGgAdABzAF8AUwBvAHUAcgBjAGUAXABuACAAIAA9AEwAQQBNAEIARABBACgAXAAiAFYARQBFAFIARwAgADIAMAAyADYAOgAgAFQAYQBiAGwAZQAgAEEALgAxAC4AMwAuADQAXAAiACkAOwBcAG4AXABuAFMAbwB1AHIAYwBlAEQAYQB0AGEAXwBEAGEAaQByAHkAXwBSAGUAZgBlAHIAZQBuAGMAZQBXAGUAaQBnAGgAdABzAF8AVgBhAHIAaQBhAHQAaQBvAG4AXABuACAAIAA9AEwAQQBNAEIARABBACgAXAAiAFwAIgApADsAXABuAFwAbgBTAG8AdQByAGMAZQBEAGEAdABhAF8ARABhAGkAcgB5AF8AUgBlAGYAZQByAGUAbgBjAGUAVwBlAGkAZwBoAHQAcwBfAEQAYQB0AGEAXABuACAAIAA9AEwAQQBNAEIARABBACgAXABuACAAIAAgACAATQBBAEsARQBBAFIAUgBBAFkAKAAyACwAIAA1ACwAXABuACAAIAAgACAAIAAgAEwAQQBNAEIARABBACgAcgAsAGMALABcAG4AIAAgACAAIAAgACAAIAAgAEkATgBEAEUAWAAoAHsAXABuACAAIAAgACAAIAAgACAAIAAgACAAXAAiAE0AaQBsAGsAaQBuAGcAIABDAG8AdwBzAFwAIgAsACAAXAAiAEgAZQBpAGYAZQByAHMAIABcAHUAMAAwADMAZQAxAFwAIgAsACAAXAAiAEgAZQBpAGYAZQByAHMAIABcAHUAMAAwADMAYwAxACAAKAB3AGUAYQBuAGUAZAApAFwAIgAsACAAXAAiAEIAdQBsAGwAcwAgAFwAdQAwADAAMwBlADEAXAAiACwAIABcACIAQgB1AGwAbABzACAAXAB1ADAAMAAzAGMAMQAgACgAdwBlAGEAbgBlAGQAKQBcACIAOwBcAG4AIAAgACAAIAAgACAAIAAgACAAIAA1ADkAMAAsACAANQA5ADAALAAgADUAOQAwACwAIAA3ADcAMAAsACAANwA3ADA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QAHIAZQBXAGUAYQBuAGUAZABDAGEAbAB2AGUAcwBcAG4AVABhAGIAbABlACAAQQAuADEALgAzAC4ANQA6ACAARABhAGkAcgB5ACAAYwBhAHQAdABsAGUAIAAtACAARABhAHQAYQAgAGYAbwByACAAcAByAGUAIAAtACAAdwBlAGEAbgBlAGQAIABjAGEAbAB2AGUAcwBcAG4ALQAtAC0ALQAtAC0ALQAtAC0ALQAtAC0ALQAtAC0ALQAtAC0ALQAtAC0ALQAtAC0ALQAtAC0ALQAtAC0ALQAtAC0ALQAtAC0ALQAtAFwAbgAqAC8AXABuAFwAbgBTAG8AdQByAGMAZQBEAGEAdABhAF8ARABhAGkAcgB5AF8AUAByAGUAVwBlAGEAbgBlAGQAQwBhAGwAdgBlAHMAXwBUAGkAdABsAGUAXABuACAAIAA9AEwAQQBNAEIARABBACgAXAAiAFQAYQBiAGwAZQAgAEEALgAxAC4AMwAuADUAOgAgAEQAYQBpAHIAeQAgAGMAYQB0AHQAbABlACAALQAgAEQAYQB0AGEAIABmAG8AcgAgAHAAcgBlACAALQAgAHcAZQBhAG4AZQBkACAAYwBhAGwAdgBlAHMAXAAiACkAOwBcAG4AXABuAFMAbwB1AHIAYwBlAEQAYQB0AGEAXwBEAGEAaQByAHkAXwBQAHIAZQBXAGUAYQBuAGUAZABDAGEAbAB2AGUAcwBfAFYAYQByAGkAYQBiAGwAZQBcAG4AIAAgAD0ATABBAE0AQgBEAEEAKABcACIAVgBTAGoAPQAzACwANQA7ACAATgBQAFcAagA9ADMALAA1AFwAIgApADsAXABuAFwAbgBTAG8AdQByAGMAZQBEAGEAdABhAF8ARABhAGkAcgB5AF8AUAByAGUAVwBlAGEAbgBlAGQAQwBhAGwAdgBlAHMAXwBVAG4AaQB0AFwAbgAgACAAPQBMAEEATQBCAEQAQQAoAFwAIgBrAGcALwBkAGEAeQBcACIAKQA7AFwAbgBcAG4AUwBvAHUAcgBjAGUARABhAHQAYQBfAEQAYQBpAHIAeQBfAFAAcgBlAFcAZQBhAG4AZQBkAEMAYQBsAHYAZQBzAF8AUwBvAHUAcgBjAGUAXABuACAAIAA9AEwAQQBNAEIARABBACgAXAAiAFYARQBFAFIARwAgADIAMAAyADYAOgAgAFQAYQBiAGwAZQAgAEEALgAxAC4AMwAuADUAXAAiACkAOwBcAG4AXABuAFMAbwB1AHIAYwBlAEQAYQB0AGEAXwBEAGEAaQByAHkAXwBQAHIAZQBXAGUAYQBuAGUAZABDAGEAbAB2AGUAcwBfAFYAYQByAGkAYQB0AGkAbwBuAFwAbgAgACAAPQBMAEEATQBCAEQAQQAoAFwAIgBWAEEAUgBJAEEAVABJAE8ATgAgAE8ARgAgAFMATwBVAFIAQwBFADoAIABBAGQAZABlAGQAIABcAHUAMAAwADIANwBBAG4AaQBtAGEAbAAgAGMAbABhAHMAcwAgAGoAXAB1ADAAMAAyADcAIABjAG8AbAB1AG0AbgAgAGgAZQBhAGQAZQByAFwAIgApADsAXABuAFwAbgBTAG8AdQByAGMAZQBEAGEAdABhAF8ARABhAGkAcgB5AF8AUAByAGUAVwBlAGEAbgBlAGQAQwBhAGwAdgBlAHMAXwBEAGEAdABhAFwAbgAgACAAPQBMAEEATQBCAEQAQQAoAFwAbgAgACAAIAAgAE0AQQBLAEUAQQBSAFIAQQBZACgANAAsACAANAAsAFwAbgAgACAAIAAgACAAIABMAEEATQBCAEQAQQAoAHIALABjACwAXABuACAAIAAgACAAIAAgACAAIABJAE4ARABFAFgAKAB7AFwAbgAgACAAIAAgACAAIAAgACAAIAAgAFwAIgBBAG4AaQBtAGEAbAAgAGMAbABhAHMAcwAgAGoAXAAiACwAIABcACIAQwBIADQAIABwAHIAbwBkAHUAYwB0AGkAbwBuAFwAIgAsACAAXAAiAFYAbwBsAGEAdABpAGwAZQAgAHMAbwBsAGkAZABzACAAKABWAFMAagA9ADMALAA1ACkAXAAiACwAIABcACIATgBpAHQAcgBvAGcAZQBuACAARQB4AGMAcgBlAHQAZQBkACAAKABOAFAAVwBqAD0AMwAsADUAKQBcACIAOwBcAG4AIAAgACAAIAAgACAAIAAgACAAIABcACIAXAAiACwAIABcACIAKABrAGcALwBkAGEAeQApAFwAIgAsACAAXAAiACgAawBnAC8AZABhAHkAKQBcACIALAAgAFwAIgAoAGsAZwAvAGQAYQB5ACkAXAAiADsAXABuACAAIAAgACAAIAAgACAAIAAgACAAXAAiAEgAZQBpAGYAZQByAHMAXAB1ADAAMAAzAGMAMQBcACIALAAgADAALgAwADEANwA2ACwAIAAwAC4AMgA2ADgANQAsACAAMAAuADAAMQAzADcAOwBcAG4AIAAgACAAIAAgACAAIAAgACAAIABcACIAQgB1AGwAbABzAFwAdQAwADAAMwBjADEAXAAiACwAIAAwAC4AMAAyADAANAAsACAAMAAuADMAMAAwADMALAAgADAALgAwADAAOQAy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TQBDAEYAXABuAFQAYQBiAGwAZQAgAEEALgAxAC4AMwAuADYAOgAgAEQAYQBpAHIAeQAgAGMAYQB0AHQAbABlACAALQAgAEQAYQBpAHIAeQAgAGMAYQB0AHQAbABlACAALQAgAE0AQwBGAHMAIAAoAGYAcgBhAGMAdABpAG8AbgApACAAKABNAEMARgBqAG0AKQBcAG4ALQAtAC0ALQAtAC0ALQAtAC0ALQAtAC0ALQAtAC0ALQAtAC0ALQAtAC0ALQAtAC0ALQAtAC0ALQAtAC0ALQAtAC0ALQAtAC0ALQAtAFwAbgAqAC8AXABuAFwAbgBTAG8AdQByAGMAZQBEAGEAdABhAF8ARABhAGkAcgB5AF8ATQBDAEYAXwBUAGkAdABsAGUAXABuACAAIAA9AEwAQQBNAEIARABBACgAXAAiAFQAYQBiAGwAZQAgAEEALgAxAC4AMwAuADYAOgAgAEQAYQBpAHIAeQAgAGMAYQB0AHQAbABlACAALQAgAEQAYQBpAHIAeQAgAGMAYQB0AHQAbABlACAALQAgAE0AQwBGAHMAIAAoAGYAcgBhAGMAdABpAG8AbgApACAAKABNAEMARgBqAG0AKQBcACIAKQA7AFwAbgBcAG4AUwBvAHUAcgBjAGUARABhAHQAYQBfAEQAYQBpAHIAeQBfAE0AQwBGAF8AVgBhAHIAaQBhAGIAbABlAFwAbgAgACAAPQBMAEEATQBCAEQAQQAoAFwAIgBNAEMARgBqAG0AXAAiACkAOwBcAG4AXABuAFMAbwB1AHIAYwBlAEQAYQB0AGEAXwBEAGEAaQByAHkAXwBNAEMARgBfAFUAbgBpAHQAXABuACAAIAA9AEwAQQBNAEIARABBACgAXAAiAGYAcgBhAGMAdABpAG8AbgBcACIAKQA7AFwAbgBcAG4AUwBvAHUAcgBjAGUARABhAHQAYQBfAEQAYQBpAHIAeQBfAE0AQwBGAF8AUwBvAHUAcgBjAGUAXABuACAAIAA9AEwAQQBNAEIARABBACgAXAAiAFYARQBFAFIARwAgADIAMAAyADYAOgAgAFQAYQBiAGwAZQAgAEEALgAxAC4AMwAuADYAXAAiACkAOwBcAG4AXABuAFMAbwB1AHIAYwBlAEQAYQB0AGEAXwBEAGEAaQByAHkAXwBNAEMARgBfAFYAYQByAGkAYQB0AGkAbwBuAFwAbgAgACAAPQBMAEEATQBCAEQAQQAoAFwAIgBWAEEAUgBJAEEAVABJAE8ATgAgAE8ARgAgAFMATwBVAFIAQwBFADoAIABBAGQAZABlAGQAIABcAHUAMAAwADIANwBOAEkAUgAgAHIAZQBmAGUAcgBlAG4AYwBlAFwAdQAwADAAMgA3ACAAYwBvAGwAdQBtAG4AIAB0AG8AIABhAGkAZAAgAGwAbwBvAGsAdQBwAFwAIgApADsAXABuAFwAbgBTAG8AdQByAGMAZQBEAGEAdABhAF8ARABhAGkAcgB5AF8ATQBDAEYAXwBEAGEAdABhAFwAbgAgACAAPQBMAEEATQBCAEQAQQAoAFwAbgAgACAAIAAgAE0AQQBLAEUAQQBSAFIAQQBZACgANwAsACAAMQAwACwAXABuACAAIAAgACAAIAAgAEwAQQBNAEIARABBACgAcgAsAGMALABcAG4AIAAgACAAIAAgACAAIAAgAEkATgBEAEUAWAAoAHsAXABuACAAIAAgACAAIAAgACAAIAAgACAAXAAiAE0ATQBTACAAbQBcACIALAAgAFwAIgBBAEMAVABcACIALAAgAFwAIgBOAFMAVwBcACIALAAgAFwAIgBOAFQAXAAiACwAIABcACIAUQBMAEQAXAAiACwAIABcACIAUwBBAFwAIgAsACAAXAAiAFQAQQBTAFwAIgAsACAAXAAiAFYASQBDAFwAIgAsACAAXAAiAFcAQQBcACIALAAgAFwAIgBOAEkAUgAgAHIAZQBmAGUAcgBlAG4AYwBlAFwAIgA7AFwAbgAgACAAIAAgACAAIAAgACAAIAAgAFwAIgBQAGEAcwB0AHUAcgBlAFwAIgAsACAAMAAuADAAMQAsACAAMAAuADAAMQAsACAAMAAuADAAMgAsACAAMAAuADAAMQAsACAAMAAuADAAMQAsACAAMAAuADAAMQAsACAAMAAuADAAMQAsACAAMAAuADAAMQAsACAAXAAiAFAAYQBzAHQAdQByAGUAIAByAGEAbgBnAGUAIABhAG4AZAAgAHAAYQBkAGQAbwBjAGsAXAAiADsAXABuACAAIAAgACAAIAAgACAAIAAgACAAXAAiAEEAbgBhAGUAcgBvAGIAaQBjACAAbABhAGcAbwBvAG4AXAAiACwAIAAwAC4ANwAyACwAIAAwAC4ANwA2ACwAIAAwAC4AOAAsACAAMAAuADcAOAAsACAAMAAuADcANAAsACAAMAAuADYAOQAsACAAMAAuADcAMwAsACAAMAAuADcANgAsACAAXAAiAEEAbgBhAGUAcgBvAGIAaQBjACAAbABhAGcAbwBvAG4AXAAiADsAXABuACAAIAAgACAAIAAgACAAIAAgACAAXAAiAEQAYQBpAGwAeQAgAHMAcAByAGUAYQBkACAALQAgAFMAdQBtAHAAIABhAG4AZAAgAGQAaQBzAHAAZQByAHMAYQBsACAAcwB5AHMAdABlAG0AcwBcACIALAAgADAALgAwADAANQAsACAAMAAuADAAMAA1ACwAIAAwAC4AMAAxACwAIAAwAC4AMAAwADUALAAgADAALgAwADAANQAsACAAMAAuADAAMAAxACwAIAAwAC4AMAAwADUALAAgADAALgAwADAANQAsACAAXAAiAFMAdQBtAHAAIABhAG4AZAAgAGQAaQBzAHAAZQByAHMAYQBsACAAcwB5AHMAdABlAG0AXAAiADsAXABuACAAIAAgACAAIAAgACAAIAAgACAAXAAiAEQAYQBpAGwAeQAgAHMAcAByAGUAYQBkACAALQAgAEQAcgBhAGkAbgBzACAAdABvACAAcABhAGQAZABvAGMAawBzACAAKABhACkAXAAiACwAIAAwAC4AMQA1ACwAIAAwAC4AMQA4ACwAIAAwAC4ANQAwACwAIAAwAC4AMgA0ACwAIAAwAC4AMQA3ACwAIAAwAC4AMQAzACwAIAAwAC4AMQA3ACwAIAAwAC4AMQA4ACwAIABcACIARAByAGEAaQBuAHMAIAB0AG8AIABwAGEAZABkAG8AYwBrAFwAIgA7AFwAbgAgACAAIAAgACAAIAAgACAAIAAgAFwAIgBTAG8AbABpAGQAIABTAHQAbwByAGEAZwBlAFwAIgAsACAAMAAuADAAMgAsACAAMAAuADAAMgAsACAAMAAuADAAMgAsACAAMAAuADAAMgAsACAAMAAuADAAMgAsACAAMAAuADAAMgAsACAAMAAuADAAMgAsACAAMAAuADAAMgAsACAAXAAiAFMAbwBsAGkAZAAgAHMAdABvAHIAYQBnAGUAXAAiADsAXABuACAAIAAgACAAIAAgACAAIAAgACAAXAAiAEQAaQByAGUAYwB0ACAAQQBwAHAAbABpAGMAYQB0AGkAbwBuACAAdABvACAAcwBvAGkAbABcACIALAAgADAALAAgADAALAAgADAALAAgADAALAAgADAALAAgADAALAAgADAALAAgADAALAAgAFwAIgBEAGkAcgBlAGMAdAAgAGEAcABwAGwAaQBjAGEAdABpAG8AbgBcACI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OAGkAdAByAG8AdQBzAE8AeABpAGQAZQBFAEYAcwBBAG4AZABGAHIAYQBjAEcAQQBTAE0AXABuAFQAYQBiAGwAZQAgAEEALgAxAC4AMwAuADcAOgAgAEQAYQBpAHIAeQAgAGMAYQB0AHQAbABlACAALQAgAE4AaQB0AHIAbwB1AHMAIABvAHgAaQBkAGUAIABFAEYAcwAgAGEAbgBkACAAZgByAGEAYwB0AGkAbwBuACAAbwBmACAATgAgAHYAbwBsAGEAdABpAGwAaQBzAGUAZAAgAGIAeQAgAE0ATQBTAFwAbgAtAC0ALQAtAC0ALQAtAC0ALQAtAC0ALQAtAC0ALQAtAC0ALQAtAC0ALQAtAC0ALQAtAC0ALQAtAC0ALQAtAC0ALQAtAC0ALQAtAC0AXABuACoALwBcAG4AXABuAFMAbwB1AHIAYwBlAEQAYQB0AGEAXwBEAGEAaQByAHkAXwBOAGkAdAByAG8AdQBzAE8AeABpAGQAZQBFAEYAcwBBAG4AZABGAHIAYQBjAEcAQQBTAE0AXwBUAGkAdABsAGUAXABuACAAIAA9AEwAQQBNAEIARABBACgAXAAiAFQAYQBiAGwAZQAgAEEALgAxAC4AMwAuADcAOgAgAEQAYQBpAHIAeQAgAGMAYQB0AHQAbABlACAALQAgAE4AaQB0AHIAbwB1AHMAIABvAHgAaQBkAGUAIABFAEYAcwAgAGEAbgBkACAAZgByAGEAYwB0AGkAbwBuACAAbwBmACAATgAgAHYAbwBsAGEAdABpAGwAaQBzAGUAZAAgAGIAeQAgAE0ATQBTAFwAIgApADsAXABuAFwAbgBTAG8AdQByAGMAZQBEAGEAdABhAF8ARABhAGkAcgB5AF8ATgBpAHQAcgBvAHUAcwBPAHgAaQBkAGUARQBGAHMAQQBuAGQARgByAGEAYwBHAEEAUwBNAF8AVgBhAHIAaQBhAGIAbABlAFwAbgAgACAAPQBMAEEATQBCAEQAQQAoAFwAIgBFAEYAbQA7ACAARgByAGEAYwBHAEEAUwBNAG0AXAAiACkAOwBcAG4AXABuAFMAbwB1AHIAYwBlAEQAYQB0AGEAXwBEAGEAaQByAHkAXwBOAGkAdAByAG8AdQBzAE8AeABpAGQAZQBFAEYAcwBBAG4AZABGAHIAYQBjAEcAQQBTAE0AXwBVAG4AaQB0AFwAbgAgACAAPQBMAEEATQBCAEQAQQAoAFwAIgBrAGcAIABOADIATwAtAE4ALwBrAGcAIABOACAAZQB4AGMAcgBlAHQAZQBkAFwAIgApADsAXABuAFwAbgBTAG8AdQByAGMAZQBEAGEAdABhAF8ARABhAGkAcgB5AF8ATgBpAHQAcgBvAHUAcwBPAHgAaQBkAGUARQBGAHMAQQBuAGQARgByAGEAYwBHAEEAUwBNAF8AUwBvAHUAcgBjAGUAXABuACAAIAA9AEwAQQBNAEIARABBACgAXAAiAFYARQBFAFIARwAgADIAMAAyADYAOgAgAFQAYQBiAGwAZQAgAEEALgAxAC4AMwAuADcAXAAiACkAOwBcAG4AXABuAFMAbwB1AHIAYwBlAEQAYQB0AGEAXwBEAGEAaQByAHkAXwBOAGkAdAByAG8AdQBzAE8AeABpAGQAZQBFAEYAcwBBAG4AZABGAHIAYQBjAEcAQQBTAE0AXwBWAGEAcgBpAGEAdABpAG8AbgBcAG4AIAAgAD0ATABBAE0AQgBEAEEAKABcACIAVgBBAFIASQBBAFQASQBPAE4AIABPAEYAIABTAE8AVQBSAEMARQA6ACAAQQBkAGQAZQBkACAAXAB1ADAAMAAyADcATgBJAFIAIAByAGUAZgBlAHIAZQBuAGMAZQBcAHUAMAAwADIANwAgAGMAbwBsAHUAbQBuACAAdABvACAAYQBpAGQAIABsAG8AbwBrAHUAcABcACIAKQA7AFwAbgBcAG4AUwBvAHUAcgBjAGUARABhAHQAYQBfAEQAYQBpAHIAeQBfAE4AaQB0AHIAbwB1AHMATwB4AGkAZABlAEUARgBzAEEAbgBkAEYAcgBhAGMARwBBAFMATQBfAEQAYQB0AGEAXABuACAAIAA9AEwAQQBNAEIARABBACgAXABuACAAIAAgACAATQBBAEsARQBBAFIAUgBBAFkAKAA2ACwAIAA0ACwAXABuACAAIAAgACAAIAAgAEwAQQBNAEIARABBACgAcgAsAGMALABcAG4AIAAgACAAIAAgACAAIAAgAEkATgBEAEUAWAAoAHsAXABuACAAIAAgACAAIAAgACAAIAAgACAAXAAiAE0ATQBTACAAbQBcACIALAAgAFwAIgBFAEYAbQAgACgAawBnACAATgAyAE8ALQBOAC8AawBnACAATgAgAGUAeABjAHIAZQB0AGUAZAApAFwAIgAsACAAXAAiAEYAcgBhAGMARwBBAFMATQBtACAAKABrAGcAIABOADIATwAtAE4ALwBrAGcAIABOACAAZQB4AGMAcgBlAHQAZQBkACkAXAAiACwAIABcACIATgBJAFIAIAByAGUAZgBlAHIAZQBuAGMAZQBcACIAOwBcAG4AIAAgACAAIAAgACAAIAAgACAAIABcACIATQA9ADEANAAgAFAAYQBzAHQAdQByAGUAXAAiACwAIAAwACwAIAAwACwAIABcACIAUABhAHMAdAB1AHIAZQAgAHIAYQBuAGcAZQAgAGEAbgBkACAAcABhAGQAZABvAGMAawBcACIAOwBcAG4AIAAgACAAIAAgACAAIAAgACAAIABcACIATQA9ADEAIABBAG4AYQBlAHIAbwBiAGkAYwAgAGwAYQBnAG8AbwBuAFwAIgAsACAAMAAsACAAMAAuADMANQAsACAAXAAiAEEAbgBhAGUAcgBvAGIAaQBjACAAbABhAGcAbwBvAG4AXAAiADsAXABuACAAIAAgACAAIAAgACAAIAAgACAAXAAiAE0APQAyACAARABhAGkAbAB5ACAAUwBwAHIAZQBhAGQAIAAtACAAUwB1AG0AcAAgAGEAbgBkACAARABpAHMAcABlAHIAcwBhAGwAXAAiACwAIAAwACwAIAAwAC4AMAA3ACwAIABcACIAUwB1AG0AcAAgAGEAbgBkACAAZABpAHMAcABlAHIAcwBhAGwAIABzAHkAcwB0AGUAbQBcACIAOwBcAG4AIAAgACAAIAAgACAAIAAgACAAIABcACIATQA9ADMAIABEAGEAaQBsAHkAIABTAHAAcgBlAGEAZAAgAC0AIABEAHIAYQBpAG4AcwAgAHQAbwAgAFAAYQBkAGQAbwBjAGsAXAAiACwAIAAwACwAIAAwAC4AMgAsACAAXAAiAEQAcgBhAGkAbgBzACAAdABvACAAcABhAGQAZABvAGMAawBcACIAOwBcAG4AIAAgACAAIAAgACAAIAAgACAAIABcACIATQA9ADMAIABTAG8AbABpAGQAIABTAHQAbwByAGEAZwBlAFwAIgAsACAAMAAuADAAMAA1ACwAIAAwAC4AMwAsACAAXAAiAFMAbwBsAGkAZAAgAHMAdABvAHIAYQBnAGUAXAAiAFwAbgAgACAAIAAgACAAIAAgACAAfQAsACAAcgAsACAAYwApAFwAbgAgACAAIAAgACAAIAApAFwAbgAgACAAIAAgACkAXABuACAAIAApADsAXABuAFwAbgBcAG4ALwAqACAAXABuAC0ALQAtAC0ALQAtAC0ALQAtAC0ALQAtAC0ALQAtAC0ALQAtAC0ALQAtAC0ALQAtAC0ALQAtAC0ALQAtAC0ALQAtAC0ALQAtAC0ALQBcAG4AUwBvAHUAcgBjAGUARABhAHQAYQBfAEQAYQBpAHIAeQBfAE0AZQB0AGgAYQBuAGUAUAByAG8AZAB1AGMAdABpAG8AbgBQAHIAZQBXAGUAYQBuAGUAZABDAGEAbAB2AGUAcwBcAG4AVABhAGIAbABlACAAQQAuADEALgAzAC4AOAA6ACAARABhAGkAcgB5ACAAYwBhAHQAdABsAGUAIAAtACAATQBlAHQAaABhAG4AZQAgAHAAcgBvAGQAdQBjAHQAaQBvAG4AIABmAG8AcgAgAHAAcgBlAC0AdwBlAGEAbgBlAGQAIABoAGUAaQBmAGUAcgAgAGEAbgBkACAAYgB1AGwAbAAgAGMAYQBsAHYAZQBzACAAKABrAGcAIABDAEgANAAvAGgAZQBhAGQALwBkAGEAeQApACAAKABNAFAAVwBFAE4AVABFAFIASQBDACwAagA9ADMALAA1ACkAXABuAC0ALQAtAC0ALQAtAC0ALQAtAC0ALQAtAC0ALQAtAC0ALQAtAC0ALQAtAC0ALQAtAC0ALQAtAC0ALQAtAC0ALQAtAC0ALQAtAC0ALQBcAG4AKgAvAFwAbgBcAG4AUwBvAHUAcgBjAGUARABhAHQAYQBfAEQAYQBpAHIAeQBfAE0AZQB0AGgAYQBuAGUAUAByAG8AZAB1AGMAdABpAG8AbgBQAHIAZQBXAGUAYQBuAGUAZABDAGEAbAB2AGUAcwBfAFQAaQB0AGwAZQBcAG4AIAAgAD0ATABBAE0AQgBEAEEAKABcACIAVABhAGIAbABlACAAQQAuADEALgAzAC4AOAA6ACAARABhAGkAcgB5ACAAYwBhAHQAdABsAGUAIAAtACAATQBlAHQAaABhAG4AZQAgAHAAcgBvAGQAdQBjAHQAaQBvAG4AIABmAG8AcgAgAHAAcgBlAC0AdwBlAGEAbgBlAGQAIABoAGUAaQBmAGUAcgAgAGEAbgBkACAAYgB1AGwAbAAgAGMAYQBsAHYAZQBzACAAKABrAGcAIABDAEgANAAvAGgAZQBhAGQALwBkAGEAeQApACAAKABNAFAAVwBFAE4AVABFAFIASQBDACwAagA9ADMALAA1ACkAXAAiACkAOwBcAG4AXABuAFMAbwB1AHIAYwBlAEQAYQB0AGEAXwBEAGEAaQByAHkAXwBNAGUAdABoAGEAbgBlAFAAcgBvAGQAdQBjAHQAaQBvAG4AUAByAGUAVwBlAGEAbgBlAGQAQwBhAGwAdgBlAHMAXwBWAGEAcgBpAGEAYgBsAGUAXABuACAAIAA9AEwAQQBNAEIARABBACgAXAAiAE0AUABXAEUATgBUAEUAUgBJAEMALABqAD0AMwAsADUAXAAiACkAOwBcAG4AXABuAFMAbwB1AHIAYwBlAEQAYQB0AGEAXwBEAGEAaQByAHkAXwBNAGUAdABoAGEAbgBlAFAAcgBvAGQAdQBjAHQAaQBvAG4AUAByAGUAVwBlAGEAbgBlAGQAQwBhAGwAdgBlAHMAXwBVAG4AaQB0AFwAbgAgACAAPQBMAEEATQBCAEQAQQAoAFwAIgBrAGcAIABDAEgANAAvAGgAZQBhAGQALwBkAGEAeQBcACIAKQA7AFwAbgBcAG4AUwBvAHUAcgBjAGUARABhAHQAYQBfAEQAYQBpAHIAeQBfAE0AZQB0AGgAYQBuAGUAUAByAG8AZAB1AGMAdABpAG8AbgBQAHIAZQBXAGUAYQBuAGUAZABDAGEAbAB2AGUAcwBfAFMAbwB1AHIAYwBlAFwAbgAgACAAPQBMAEEATQBCAEQAQQAoAFwAIgBWAEUARQBSAEcAIAAyADAAMgA2ADoAIABUAGEAYgBsAGUAIABBAC4AMQAuADMALgA4AFwAIgApADsAXABuAFwAbgBTAG8AdQByAGMAZQBEAGEAdABhAF8ARABhAGkAcgB5AF8ATQBlAHQAaABhAG4AZQBQAHIAbwBkAHUAYwB0AGkAbwBuAFAAcgBlAFcAZQBhAG4AZQBkAEMAYQBsAHYAZQBzAF8AVgBhAHIAaQBhAHQAaQBvAG4AXABuACAAIAA9AEwAQQBNAEIARABBACgAXAAiAFwAIgApADsAXABuAFwAbgBTAG8AdQByAGMAZQBEAGEAdABhAF8ARABhAGkAcgB5AF8ATQBlAHQAaABhAG4AZQBQAHIAbwBkAHUAYwB0AGkAbwBuAFAAcgBlAFcAZQBhAG4AZQBkAEMAYQBsAHYAZQBzAF8ARABhAHQAYQBcAG4AIAAgAD0ATABBAE0AQgBEAEEAKABcAG4AIAAgACAAIABNAEEASwBFAEEAUgBSAEEAWQAoADMALAAgADIALABcAG4AIAAgACAAIAAgACAATABBAE0AQgBEAEEAKAByACwAYwAsAFwAbgAgACAAIAAgACAAIAAgACAASQBOAEQARQBYACgAewBcAG4AIAAgACAAIAAgACAAIAAgACAAIABcACIAQQBuAGkAbQBhAGwAIABDAGwAYQBzAHMAIABqAFwAIgAsACAAXAAiAE0AUABXAEUATgBUAEUAUgBJAEMAXAAiADsAXABuACAAIAAgACAAIAAgACAAIAAgACAAXAAiAEgAZQBpAGYAZQByAHMAIABcAHUAMAAwADMAYwAgADEAIAB5AGUAYQByAFwAIgAsACAAMAAuADAAMQA3ADYAOwBcAG4AIAAgACAAIAAgACAAIAAgACAAIABcACIAQgB1AGwAbABzACAAXAB1ADAAMAAzAGMAIAAxACAAeQBlAGEAcgBcACIALAAgADAALgAwADIAMAA0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SQBuAGMAcgBlAGEAcwBlAGQATQBlAHQAYQBiAG8AbABpAGMAUgBhAHQAZQBNAGkAbABrAFwAbgBUAGEAYgBsAGUAIABBAC4AMQAuADMALgA5ADoAIABEAGEAaQByAHkAIABjAGEAdAB0AGwAZQAgAC0AIABJAG4AYwByAGUAYQBzAGUAZAAgAG0AZQB0AGEAYgBvAGwAaQBjACAAcgBhAHQAZQAgAHcAaABlAG4AIABwAHIAbwBkAHUAYwBpAG4AZwAgAG0AaQBsAGsAIAAoAGsAZwAgAEQATQAvAGgAZQBhAGQALwBkAGEAeQApACAAKABNAFIAagApAFwAbgAtAC0ALQAtAC0ALQAtAC0ALQAtAC0ALQAtAC0ALQAtAC0ALQAtAC0ALQAtAC0ALQAtAC0ALQAtAC0ALQAtAC0ALQAtAC0ALQAtAC0AXABuACoALwBcAG4AXABuAFMAbwB1AHIAYwBlAEQAYQB0AGEAXwBEAGEAaQByAHkAXwBJAG4AYwByAGUAYQBzAGUAZABNAGUAdABhAGIAbwBsAGkAYwBSAGEAdABlAE0AaQBsAGsAXwBUAGkAdABsAGUAXABuACAAIAA9AEwAQQBNAEIARABBACgAXAAiAFQAYQBiAGwAZQAgAEEALgAxAC4AMwAuADkAOgAgAEQAYQBpAHIAeQAgAGMAYQB0AHQAbABlACAALQAgAEkAbgBjAHIAZQBhAHMAZQBkACAAbQBlAHQAYQBiAG8AbABpAGMAIAByAGEAdABlACAAdwBoAGUAbgAgAHAAcgBvAGQAdQBjAGkAbgBnACAAbQBpAGwAawAgACgATQBSAGoAKQBcACIAKQA7AFwAbgBcAG4AUwBvAHUAcgBjAGUARABhAHQAYQBfAEQAYQBpAHIAeQBfAEkAbgBjAHIAZQBhAHMAZQBkAE0AZQB0AGEAYgBvAGwAaQBjAFIAYQB0AGUATQBpAGwAawBfAFYAYQByAGkAYQBiAGwAZQBcAG4AIAAgAD0ATABBAE0AQgBEAEEAKABcACIATQBSAGoAXAAiACkAOwBcAG4AXABuAFMAbwB1AHIAYwBlAEQAYQB0AGEAXwBEAGEAaQByAHkAXwBJAG4AYwByAGUAYQBzAGUAZABNAGUAdABhAGIAbwBsAGkAYwBSAGEAdABlAE0AaQBsAGsAXwBVAG4AaQB0AFwAbgAgACAAPQBMAEEATQBCAEQAQQAoAFwAIgBcACIAKQA7AFwAbgBcAG4AUwBvAHUAcgBjAGUARABhAHQAYQBfAEQAYQBpAHIAeQBfAEkAbgBjAHIAZQBhAHMAZQBkAE0AZQB0AGEAYgBvAGwAaQBjAFIAYQB0AGUATQBpAGwAawBfAFMAbwB1AHIAYwBlAFwAbgAgACAAPQBMAEEATQBCAEQAQQAoAFwAIgBWAEUARQBSAEcAIAAyADAAMgA2ADoAIABUAGEAYgBsAGUAIABBAC4AMQAuADMALgA5AFwAIgApADsAXABuAFwAbgBTAG8AdQByAGMAZQBEAGEAdABhAF8ARABhAGkAcgB5AF8ASQBuAGMAcgBlAGEAcwBlAGQATQBlAHQAYQBiAG8AbABpAGMAUgBhAHQAZQBNAGkAbABrAF8AVgBhAHIAaQBhAHQAaQBvAG4AXABuACAAIAA9AEwAQQBNAEIARABBACgAXAAiAFwAIgApADsAXABuAFwAbgBTAG8AdQByAGMAZQBEAGEAdABhAF8ARABhAGkAcgB5AF8ASQBuAGMAcgBlAGEAcwBlAGQATQBlAHQAYQBiAG8AbABpAGMAUgBhAHQAZQBNAGkAbABrAF8ARABhAHQAYQBcAG4AIAAgAD0ATABBAE0AQgBEAEEAKABcAG4AIAAgACAAIABNAEEASwBFAEEAUgBSAEEAWQAoADMALAAgADIALABcAG4AIAAgACAAIAAgACAATABBAE0AQgBEAEEAKAByACwAYwAsAFwAbgAgACAAIAAgACAAIAAgACAASQBOAEQARQBYACgAewBcAG4AIAAgACAAIAAgACAAIAAgACAAIABcACIAQQBuAGkAbQBhAGwAIABDAGwAYQBzAHMAIABqAFwAIgAsACAAXAAiAE0AUgBqAFwAIgA7AFwAbgAgACAAIAAgACAAIAAgACAAIAAgAFwAIgBNAGkAbABrAGkAbgBnACAAYwBvAHcAcwAsACAAYQBuAGQAIABoAG8AdQBzAGUAIABjAG8AdwBzAFwAIgAsACAAMQAuADEAOwBcAG4AIAAgACAAIAAgACAAIAAgACAAIABcACIAQQBsAGwAIABvAHQAaABlAHIAIABjAGEAdAB0AGwAZQAgAGMAbABhAHMAcwBlAHMAXAAiACwAIAAxAC4AMA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YAcgBhAGMAdABpAG8AbgBWAG8AbABhAHQAaQBsAGUAUwBvAGwAaQBkAHMAVgBvAGkAZABlAGQATQBNAFMAXABuAFQAYQBiAGwAZQAgAEEALgAxAC4AMwAuADEAMAA6ACAARABhAGkAcgB5ACAAYwBhAHQAdABsAGUAIAAtACAARgByAGEAYwB0AGkAbwBuACAAbwBmACAAdgBvAGwAYQB0AGkAbABlACAAcwBvAGwAaQBkAHMAIAB2AG8AaQBkAGUAZAAgAHQAbwAgAGUAYQBjAGgAIABtAGEAbgB1AHIAZQAgAG0AYQBuAGEAZwBlAG0AZQBuAHQAIABzAHkAcwB0AGUAbQAgACgAZgByAGEAYwB0AGkAbwBuACkAIAAoAE0ATQBTAGoAbQApAFwAbgAtAC0ALQAtAC0ALQAtAC0ALQAtAC0ALQAtAC0ALQAtAC0ALQAtAC0ALQAtAC0ALQAtAC0ALQAtAC0ALQAtAC0ALQAtAC0ALQAtAC0AXABuACoALwBcAG4AXABuAFMAbwB1AHIAYwBlAEQAYQB0AGEAXwBEAGEAaQByAHkAXwBGAHIAYQBjAHQAaQBvAG4AVgBvAGwAYQB0AGkAbABlAFMAbwBsAGkAZABzAFYAbwBpAGQAZQBkAE0ATQBTAF8AVABpAHQAbABlAFwAbgAgACAAPQBMAEEATQBCAEQAQQAoAFwAIgBUAGEAYgBsAGUAIABBAC4AMQAuADMALgAxADAAOgAgAEQAYQBpAHIAeQAgAGMAYQB0AHQAbABlACAALQAgAEYAcgBhAGMAdABpAG8AbgAgAG8AZgAgAHYAbwBsAGEAdABpAGwAZQAgAHMAbwBsAGkAZABzACAAdgBvAGkAZABlAGQAIAB0AG8AIABlAGEAYwBoACAAbQBhAG4AdQByAGUAIABtAGEAbgBhAGcAZQBtAGUAbgB0ACAAcwB5AHMAdABlAG0AIAAoAGYAcgBhAGMAdABpAG8AbgApACAAKABNAE0AUwBqAG0AKQBcACIAKQA7AFwAbgBcAG4AUwBvAHUAcgBjAGUARABhAHQAYQBfAEQAYQBpAHIAeQBfAEYAcgBhAGMAdABpAG8AbgBWAG8AbABhAHQAaQBsAGUAUwBvAGwAaQBkAHMAVgBvAGkAZABlAGQATQBNAFMAXwBWAGEAcgBpAGEAYgBsAGUAXABuACAAIAA9AEwAQQBNAEIARABBACgAXAAiAE0ATQBTAGoAbQBcACIAKQA7AFwAbgBcAG4AUwBvAHUAcgBjAGUARABhAHQAYQBfAEQAYQBpAHIAeQBfAEYAcgBhAGMAdABpAG8AbgBWAG8AbABhAHQAaQBsAGUAUwBvAGwAaQBkAHMAVgBvAGkAZABlAGQATQBNAFMAXwBVAG4AaQB0AFwAbgAgACAAPQBMAEEATQBCAEQAQQAoAFwAIgBmAHIAYQBjAHQAaQBvAG4AXAAiACkAOwBcAG4AXABuAFMAbwB1AHIAYwBlAEQAYQB0AGEAXwBEAGEAaQByAHkAXwBGAHIAYQBjAHQAaQBvAG4AVgBvAGwAYQB0AGkAbABlAFMAbwBsAGkAZABzAFYAbwBpAGQAZQBkAE0ATQBTAF8AUwBvAHUAcgBjAGUAXABuACAAIAA9AEwAQQBNAEIARABBACgAXAAiAFYARQBFAFIARwAgADIAMAAyADYAOgAgAFQAYQBiAGwAZQAgAEEALgAxAC4AMwAuADEAMABcACIAKQA7AFwAbgBcAG4AUwBvAHUAcgBjAGUARABhAHQAYQBfAEQAYQBpAHIAeQBfAEYAcgBhAGMAdABpAG8AbgBWAG8AbABhAHQAaQBsAGUAUwBvAGwAaQBkAHMAVgBvAGkAZABlAGQATQBNAFMAXwBWAGEAcgBpAGEAdABpAG8AbgBcAG4AIAAgAD0ATABBAE0AQgBEAEEAKABcACIAVgBBAFIASQBBAFQASQBPAE4AIABPAEYAIABTAE8AVQBSAEMARQA6ACAARQB4AGMAbAB1AGQAZQBkACAAXAB1ADAAMAAyADcAQQBuAG4AdQBhAGwAIABmAHIAYQBjAHQAaQBvAG4AIABvAGYAIAB0AGkAbQBlACAAcwBwAGUAbgB0ACAAcABlAHIAIABhAHIAZQBhAFwAdQAwADAAMgA3ACAAcgBvAHcAIABhAHMAIAB0AGgAaQBzACAAaQBuAGYAbwByAG0AYQB0AGkAbwBuACAAaQBzACAAaQBuACAAdABoAGUAIAB0AGEAYgBsAGUAIAB0AGkAdABsAGUALgBcACIAKQA7AFwAbgBcAG4AUwBvAHUAcgBjAGUARABhAHQAYQBfAEQAYQBpAHIAeQBfAEYAcgBhAGMAdABpAG8AbgBWAG8AbABhAHQAaQBsAGUAUwBvAGwAaQBkAHMAVgBvAGkAZABlAGQATQBNAFMAXwBEAGEAdABhAFwAbgAgACAAPQBMAEEATQBCAEQAQQAoAFwAbgAgACAAIAAgAE0AQQBLAEUAQQBSAFIAQQBZACgANQAsACAANAAsAFwAbgAgACAAIAAgACAAIABMAEEATQBCAEQAQQAoAHIALABjACwAXABuACAAIAAgACAAIAAgACAAIABJAE4ARABFAFgAKAB7AFwAbgAgACAAIAAgACAAIAAgACAAIAAgAFwAIgBBAHIAZQBhAFwAIgAsACAAXAAiAFAAYQBzAHQAdQByAGUAXAAiACwAIABcACIATQBpAGwAawBpAG4AZwAgAFMAaABlAGQAXAAiACwAIABcACIARgBlAGUAZABwAGEAZABcACIAOwBcAG4AIAAgACAAIAAgACAAIAAgACAAIABcACIAUwB5AHMAdABlAG0AIAAxADoAIABHAHIAYQB6AGUAZAAgAE8AbgBsAHkAXAAiACwAIAAwAC4AOAA5ACwAIAAwAC4AMQAxACwAIAAwADsAXABuACAAIAAgACAAIAAgACAAIAAgACAAXAAiAFMAeQBzAHQAZQBtACAAMgA6ACAATwBuACAAZgBlAGUAZABwAGEAZAAgAGYAbwByACAAXAB1ADAAMAAzAGMAMQAwACAAaAByAC8AZABhAHkAIABmAG8AcgAgAFwAdQAwADAAMwBjADMAIABtAG8AbgB0AGgAcwAvAHkAZQBhAHIAXAAiACwAIAAwAC4ANwA5ACwAIAAwAC4AMQAxACwAIAAwAC4AMQAwADsAXABuACAAIAAgACAAIAAgACAAIAAgACAAXAAiAFMAeQBzAHQAZQBtACAAMwA6ACAAUABhAHMAdAB1AHIAZQAtAGcAcgBhAHoAZQBkACAAMwAtADkAIABtAG8AbgB0AGgAcwAvAHkAZQBhAHIAXAAiACwAIAAwAC4ANQAzADQALAAgADAALgAxADEALAAgADAALgAzADUANgA7AFwAbgAgACAAIAAgACAAIAAgACAAIAAgAFwAIgBTAHkAcwB0AGUAbQAgADQAOgAgAFoAZQByAG8AIABnAHIAYQB6AGkAbgBnAFwAIgAsACAAMAAsACAAMAAuADEAMQAsACAAMAAuADgAOQ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UARgBOAGkAdAByAG8AdQBzAE8AeABpAGQAZQBQAGUAcgBNAE0AUwBcAG4AVABhAGIAbABlACAAQQAuADEALgAzAC4AMQAxADoAIABEAGEAaQByAHkAIABjAGEAdAB0AGwAZQAgAC0AIABFAEYAIABmAG8AcgAgAG4AaQB0AHIAbwB1AHMAIABvAHgAaQBkAGUAIABwAGUAcgAgAE0ATQBTACAAKABrAGcAIABOADIATwAtAE4ALwBrAGcAIABOACkAIAAoAEUARgBtACkAXABuAC0ALQAtAC0ALQAtAC0ALQAtAC0ALQAtAC0ALQAtAC0ALQAtAC0ALQAtAC0ALQAtAC0ALQAtAC0ALQAtAC0ALQAtAC0ALQAtAC0ALQBcAG4AKgAvAFwAbgBcAG4AUwBvAHUAcgBjAGUARABhAHQAYQBfAEQAYQBpAHIAeQBfAEUARgBOAGkAdAByAG8AdQBzAE8AeABpAGQAZQBQAGUAcgBNAE0AUwBfAFQAaQB0AGwAZQBcAG4AIAAgAD0ATABBAE0AQgBEAEEAKABcACIAVABhAGIAbABlACAAQQAuADEALgAzAC4AMQAxADoAIABEAGEAaQByAHkAIABjAGEAdAB0AGwAZQAgAC0AIABFAEYAIABmAG8AcgAgAG4AaQB0AHIAbwB1AHMAIABvAHgAaQBkAGUAIABwAGUAcgAgAE0ATQBTACAAKABrAGcAIABOADIATwAtAE4ALwBrAGcAIABOACkAIAAoAEUARgBtACkAXAAiACkAOwBcAG4AXABuAFMAbwB1AHIAYwBlAEQAYQB0AGEAXwBEAGEAaQByAHkAXwBFAEYATgBpAHQAcgBvAHUAcwBPAHgAaQBkAGUAUABlAHIATQBNAFMAXwBWAGEAcgBpAGEAYgBsAGUAXABuACAAIAA9AEwAQQBNAEIARABBACgAXAAiAEUARgBtAFwAIgApADsAXABuAFwAbgBTAG8AdQByAGMAZQBEAGEAdABhAF8ARABhAGkAcgB5AF8ARQBGAE4AaQB0AHIAbwB1AHMATwB4AGkAZABlAFAAZQByAE0ATQBTAF8AVQBuAGkAdABcAG4AIAAgAD0ATABBAE0AQgBEAEEAKABcACIAawBnACAATgAyAE8ALQBOAC8AawBnACAATgBcACIAKQA7AFwAbgBcAG4AUwBvAHUAcgBjAGUARABhAHQAYQBfAEQAYQBpAHIAeQBfAEUARgBOAGkAdAByAG8AdQBzAE8AeABpAGQAZQBQAGUAcgBNAE0AUwBfAFMAbwB1AHIAYwBlAFwAbgAgACAAPQBMAEEATQBCAEQAQQAoAFwAIgBWAEUARQBSAEcAIAAyADAAMgA2ADoAIABUAGEAYgBsAGUAIABBAC4AMQAuADMALgAxADEAXAAiACkAOwBcAG4AXABuAFMAbwB1AHIAYwBlAEQAYQB0AGEAXwBEAGEAaQByAHkAXwBFAEYATgBpAHQAcgBvAHUAcwBPAHgAaQBkAGUAUABlAHIATQBNAFMAXwBWAGEAcgBpAGEAdABpAG8AbgBcAG4AIAAgAD0ATABBAE0AQgBEAEEAKABcACIAVgBBAFIASQBBAFQASQBPAE4AIABPAEYAIABTAE8AVQBSAEMARQA6ACAAQQBkAGQAZQBkACAAXAB1ADAAMAAyADcATgBJAFIAIAByAGUAZgBlAHIAZQBuAGMAZQBcAHUAMAAwADIANwAgAGMAbwBsAHUAbQBuACAAdABvACAAYQBpAGQAIABsAG8AbwBrAHUAcABcACIAKQA7AFwAbgBcAG4AUwBvAHUAcgBjAGUARABhAHQAYQBfAEQAYQBpAHIAeQBfAEUARgBOAGkAdAByAG8AdQBzAE8AeABpAGQAZQBQAGUAcgBNAE0AUwBfAEQAYQB0AGEAXABuACAAIAA9AEwAQQBNAEIARABBACgAXABuACAAIAAgACAATQBBAEsARQBBAFIAUgBBAFkAKAA2ACwAIAAzACwAXABuACAAIAAgACAAIAAgAEwAQQBNAEIARABBACgAcgAsAGMALABcAG4AIAAgACAAIAAgACAAIAAgAEkATgBEAEUAWAAoAHsAXABuACAAIAAgACAAIAAgACAAIAAgACAAXAAiAE0ATQBTACAAbQBcACIALAAgAFwAIgBFAEYAbQBcACIALAAgAFwAIgBOAEkAUgAgAHIAZQBmAGUAcgBlAG4AYwBlAFwAIgA7AFwAbgAgACAAIAAgACAAIAAgACAAIAAgAFwAIgBtAD0AMQA0ACAAUABhAHMAdAB1AHIAZQBcACIALAAgADAALAAgAFwAIgBQAGEAcwB0AHUAcgBlACAAcgBhAG4AZwBlACAAYQBuAGQAIABwAGEAZABkAG8AYwBrAFwAIgA7AFwAbgAgACAAIAAgACAAIAAgACAAIAAgAFwAIgBtAD0AMQAgAEEAbgBlAHIAbwBiAGkAYwAgAEwAYQBnAG8AbwBuAFwAIgAsACAAMAAsACAAXAAiAEEAbgBhAGUAcgBvAGIAaQBjACAAbABhAGcAbwBvAG4AXAAiADsAXABuACAAIAAgACAAIAAgACAAIAAgACAAXAAiAG0APQAyACAARABhAGkAbAB5ACAAUwBwAHIAZQBhAGQAOgAgAFMAdQBtAHAAIABhAG4AZAAgAGQAaQBzAHAAZQByAHMAYQBsAFwAIgAsACAAMAAsACAAXAAiAFMAdQBtAHAAIABhAG4AZAAgAGQAaQBzAHAAZQByAHMAYQBsACAAcwB5AHMAdABlAG0AXAAiADsAXABuACAAIAAgACAAIAAgACAAIAAgACAAXAAiAG0APQAzACAARABhAGkAbAB5ACAAUwBwAHIAZQBhAGQAOgAgAEQAcgBhAGkAbgBzACAAdABvACAAcABhAGQAZABvAGMAawBzAFwAIgAsACAAMAAsACAAXAAiAEQAcgBhAGkAbgBzACAAdABvACAAcABhAGQAZABvAGMAawBcACIAOwBcAG4AIAAgACAAIAAgACAAIAAgACAAIABcACIAbQA9ADQAIABTAG8AbABpAGQAIABTAHQAbwByAGEAZwBlAFwAIgAsACAAMAAuADAAMAA1ACwAIABcACIAUwBvAGwAaQBkACAAcwB0AG8AcgBhAGcAZQBcACIAXABuACAAIAAgACAAIAAgACAAIAB9ACwAIAByACwAIABjACkAXABuACAAIAAgACAAIAAgACkAXABuACAAIAAgACAAKQBcAG4AIAAgACkAOwBcAG4AXABuAFwAbgBcAG4ALwAqACAAXABuAC0ALQAtAC0ALQAtAC0ALQAtAC0ALQAtAC0ALQAtAC0ALQAtAC0ALQAtAC0ALQAtAC0ALQAtAC0ALQAtAC0ALQAtAC0ALQAtAC0ALQBcAG4AUwBvAHUAcgBjAGUARABhAHQAYQBfAEQAYQBpAHIAeQBfAEQAdQByAGEAdABpAG8AbgBPAGYAUwB0AGEAeQBcAG4ARAB1AHIAYQB0AGkAbwBuACAAbwBmACAAcwB0AGEAeQAgAGYAbwByACAAZQBhAGMAaAAgAGQAYQBpAHIAeQAgAGMAYQB0AHQAbABlACAAaQBuAHAAdQB0ACAAYwBsAGEAcwBzAFwAbgAtAC0ALQAtAC0ALQAtAC0ALQAtAC0ALQAtAC0ALQAtAC0ALQAtAC0ALQAtAC0ALQAtAC0ALQAtAC0ALQAtAC0ALQAtAC0ALQAtAC0AXABuACoALwBcAG4AXABuAFMAbwB1AHIAYwBlAEQAYQB0AGEAXwBEAGEAaQByAHkAXwBEAHUAcgBhAHQAaQBvAG4ATwBmAFMAdABhAHkAXwBUAGkAdABsAGUAXABuACAAIAA9AEwAQQBNAEIARABBACgAXAAiAEQAdQByAGEAdABpAG8AbgAgAG8AZgAgAHMAdABhAHkAIABmAG8AcgAgAGUAYQBjAGgAIABkAGEAaQByAHkAIABjAGEAdAB0AGwAZQAgAGkAbgBwAHUAdAAgAGMAbABhAHMAcwBcACIAKQA7AFwAbgBcAG4AUwBvAHUAcgBjAGUARABhAHQAYQBfAEQAYQBpAHIAeQBfAEQAdQByAGEAdABpAG8AbgBPAGYAUwB0AGEAeQBfAFYAYQByAGkAYQBiAGwAZQBcAG4AIAAgAD0ATABBAE0AQgBEAEEAKABcACIARABcACIAKQA7AFwAbgBcAG4AUwBvAHUAcgBjAGUARABhAHQAYQBfAEQAYQBpAHIAeQBfAEQAdQByAGEAdABpAG8AbgBPAGYAUwB0AGEAeQBfAFUAbgBpAHQAXABuACAAIAA9AEwAQQBNAEIARABBACgAXAAiAGQAYQB5AHMAXAAiACkAOwBcAG4AXABuAFMAbwB1AHIAYwBlAEQAYQB0AGEAXwBEAGEAaQByAHkAXwBEAHUAcgBhAHQAaQBvAG4ATwBmAFMAdABhAHkAXwBTAG8AdQByAGMAZQBcAG4AIAAgAD0ATABBAE0AQgBEAEEAKABcACIAVgBFAEUAUgBHACAAMgAwADIANgA6ACAANAAuADMALgAyAC4AMgBcAHQARABBAFQAQQAgACgATQBFAFQASABPAEQAIAAxACAAQQBOAEQAIAAyACAATwBQAFQASQBPAE4AUwApAFwAIgApADsAXABuAFwAbgBTAG8AdQByAGMAZQBEAGEAdABhAF8ARABhAGkAcgB5AF8ARAB1AHIAYQB0AGkAbwBuAE8AZgBTAHQAYQB5AF8AVgBhAHIAaQBhAHQAaQBvAG4AXABuACAAIAA9AEwAQQBNAEIARABBACgAXAAiAFYAQQBSAEkAQQBUAEkATwBOACAATwBGACAAUwBPAFUAUgBDAEUAOgAgAEMAbwBuAHYAZQByAHQAZQBkACAAZgByAGUAZQAgAHQAZQB4AHQAIABpAG4AIABkAG8AYwB1AG0AZQBuAHQAIAB0AG8AIAB0AGEAYgBsAGUALAAgAG0AYQB0AGMAaABpAG4AZwAgAGwAaQB2AGUAcwB0AG8AYwBrACAAYwBsAGEAcwBzACAAbgBhAG0AZQBzAC4AXAAiACkAOwBcAG4AXABuAFMAbwB1AHIAYwBlAEQAYQB0AGEAXwBEAGEAaQByAHkAXwBEAHUAcgBhAHQAaQBvAG4ATwBmAFMAdABhAHkAXwBEAGEAdABhAFwAbgAgACAAPQBMAEEATQBCAEQAQQAoAFwAbgAgACAAIAAgAE0AQQBLAEUAQQBSAFIAQQBZACgANgAsACAAMwAsAFwAbgAgACAAIAAgACAAIABMAEEATQBCAEQAQQAoAHIALABjACwAXABuACAAIAAgACAAIAAgACAAIABJAE4ARABFAFgAKAB7AFwAbgAgACAAIAAgACAAIAAgACAAIAAgAFwAIgBBAG4AaQBtAGEAbAAgAGMAbABhAHMAcwAgAGoAXAAiACwAIABcACIARAB1AHIAYQB0AGkAbwBuACAAKAB3AGUAYQBuAGUAZAApAFwAIgAsACAAXAAiAEQAdQByAGEAdABpAG8AbgAgACgAcAByAGUALQB3AGUAYQBuAGUAZAApAFwAIgA7AFwAbgAgACAAIAAgACAAIAAgACAAIAAgAFwAIgBNAGkAbABrAGkAbgBnACAAYwBvAHcAcwBcACIALAAgADMANgA1ACwAIAAwADsAXABuACAAIAAgACAAIAAgACAAIAAgACAAXAAiAEgAZQBpAGYAZQByAHMAIABcAHUAMAAwADMAZQAgADEAIAB5AGUAYQByAFwAIgAsACAAMwA2ADUALAAgADAAOwBcAG4AIAAgACAAIAAgACAAIAAgACAAIABcACIASABlAGkAZgBlAHIAcwAgAFwAdQAwADAAMwBjACAAMQAgAHkAZQBhAHIAXAAiACwAIAAyADgAMQAsACAAOAA0ADsAXABuACAAIAAgACAAIAAgACAAIAAgACAAXAAiAEIAdQBsAGwAcwAgAFwAdQAwADAAMwBlACAAMQAgAHkAZQBhAHIAXAAiACwAIAAzADYANQAsACAAMAA7AFwAbgAgACAAIAAgACAAIAAgACAAIAAgAFwAIgBCAHUAbABsAHMAIABcAHUAMAAwADMAYwAgADEAIAB5AGUAYQByAFwAIgAsACAAMgA4ADEALAAgADgANABcAG4AIAAgACAAIAAgACAAIAAgAH0ALAAgAHIALAAgAGMAKQBcAG4AIAAgACAAIAAgACAAKQBcAG4AIAAgACAAIAApAFwAbgAgACAAKQA7AFwAbgBcAG4AXABuAC8AKgAgAFwAbgAtAC0ALQAtAC0ALQAtAC0ALQAtAC0ALQAtAC0ALQAtAC0ALQAtAC0ALQAtAC0ALQAtAC0ALQAtAC0ALQAtAC0ALQAtAC0ALQAtAC0AXABuAFMAbwB1AHIAYwBlAEQAYQB0AGEAXwBEAGEAaQByAHkAXwBDAHIAdQBkAGUAUAByAG8AdABlAGkAbgBcAG4AQwByAHUAZABlACAAcAByAG8AdABlAGkAbgAgAGMAbwBuAHQAZQBuAHQAIABvAGYAIABmAGUAZQBkACAAaQBuAHQAYQBrAGUAXABuAC0ALQAtAC0ALQAtAC0ALQAtAC0ALQAtAC0ALQAtAC0ALQAtAC0ALQAtAC0ALQAtAC0ALQAtAC0ALQAtAC0ALQAtAC0ALQAtAC0ALQBcAG4AKgAvAFwAbgBcAG4AUwBvAHUAcgBjAGUARABhAHQAYQBfAEQAYQBpAHIAeQBfAEMAcgB1AGQAZQBQAHIAbwB0AGUAaQBuAF8AVABpAHQAbABlAFwAbgAgACAAPQBMAEEATQBCAEQAQQAoAFwAIgBDAHIAdQBkAGUAIABwAHIAbwB0AGUAaQBuACAAYwBvAG4AdABlAG4AdAAgAG8AZgAgAGYAZQBlAGQAIABpAG4AdABhAGsAZQBcACIAKQA7AFwAbgBcAG4AUwBvAHUAcgBjAGUARABhAHQAYQBfAEQAYQBpAHIAeQBfAEMAcgB1AGQAZQBQAHIAbwB0AGUAaQBuAF8AVgBhAHIAaQBhAGIAbABlAFwAbgAgACAAPQBMAEEATQBCAEQAQQAoAFwAIgBDAFAAXAAiACkAOwBcAG4AXABuAFMAbwB1AHIAYwBlAEQAYQB0AGEAXwBEAGEAaQByAHkAXwBDAHIAdQBkAGUAUAByAG8AdABlAGkAbgBfAFUAbgBpAHQAXABuACAAIAA9AEwAQQBNAEIARABBACgAXAAiAGYAcgBhAGMAdABpAG8AbgBcACIAKQA7AFwAbgBcAG4AUwBvAHUAcgBjAGUARABhAHQAYQBfAEQAYQBpAHIAeQBfAEMAcgB1AGQAZQBQAHIAbwB0AGUAaQBuAF8AUwBvAHUAcgBjAGUAXABuACAAIAA9AEwAQQBNAEIARABBACgAXAAiAFYARQBFAFIARwAgADIAMAAyADYAOgAgADQALgAzAC4AMgAuADIAXAB0AEQAQQBUAEEAIAAoAE0ARQBUAEgATwBEACAAMQAgAEEATgBEACAAMgAgAE8AUABUAEkATwBOAFMAKQBcACIAKQA7AFwAbgBcAG4AUwBvAHUAcgBjAGUARABhAHQAYQBfAEQAYQBpAHIAeQBfAEMAcgB1AGQAZQBQAHIAbwB0AGUAaQBuAF8AVgBhAHIAaQBhAHQAaQBvAG4AXABuACAAIAA9AEwAQQBNAEIARABBACgAXAAiAFwAIgApADsAXABuAFwAbgBTAG8AdQByAGMAZQBEAGEAdABhAF8ARABhAGkAcgB5AF8AQwByAHUAZABlAFAAcgBvAHQAZQBpAG4AXwBEAGEAdABhAFwAbgAgACAAPQBMAEEATQBCAEQAQQAoADAALgAyADAAKQA7AFwAbgBcAG4AXABuAC8AKgAgAFwAbgAtAC0ALQAtAC0ALQAtAC0ALQAtAC0ALQAtAC0ALQAtAC0ALQAtAC0ALQAtAC0ALQAtAC0ALQAtAC0ALQAtAC0ALQAtAC0ALQAtAC0AXABuAFMAbwB1AHIAYwBlAEQAYQB0AGEAXwBEAGEAaQByAHkAXwBEAHIAeQBNAGEAdAB0AGUAcgBEAGkAZwBlAHMAdABpAGIAaQBsAGkAdAB5AFwAbgBEAHIAeQAgAG0AYQB0AHQAZQByACAAZABpAGcAZQBzAHQAaQBiAGkAbABpAHQAeQBcAG4ALQAtAC0ALQAtAC0ALQAtAC0ALQAtAC0ALQAtAC0ALQAtAC0ALQAtAC0ALQAtAC0ALQAtAC0ALQAtAC0ALQAtAC0ALQAtAC0ALQAtAFwAbgAqAC8AXABuAFwAbgBTAG8AdQByAGMAZQBEAGEAdABhAF8ARABhAGkAcgB5AF8ARAByAHkATQBhAHQAdABlAHIARABpAGcAZQBzAHQAaQBiAGkAbABpAHQAeQBfAFQAaQB0AGwAZQBcAG4AIAAgAD0ATABBAE0AQgBEAEEAKABcACIARAByAHkAIABtAGEAdAB0AGUAcgAgAGQAaQBnAGUAcwB0AGkAYgBpAGwAaQB0AHkAXAAiACkAOwBcAG4AXABuAFMAbwB1AHIAYwBlAEQAYQB0AGEAXwBEAGEAaQByAHkAXwBEAHIAeQBNAGEAdAB0AGUAcgBEAGkAZwBlAHMAdABpAGIAaQBsAGkAdAB5AF8AVgBhAHIAaQBhAGIAbABlAFwAbgAgACAAPQBMAEEATQBCAEQAQQAoAFwAIgBEAE0ARABcACIAKQA7AFwAbgBcAG4AUwBvAHUAcgBjAGUARABhAHQAYQBfAEQAYQBpAHIAeQBfAEQAcgB5AE0AYQB0AHQAZQByAEQAaQBnAGUAcwB0AGkAYgBpAGwAaQB0AHkAXwBVAG4AaQB0AFwAbgAgACAAPQBMAEEATQBCAEQAQQAoAFwAIgBmAHIAYQBjAHQAaQBvAG4AXAAiACkAOwBcAG4AXABuAFMAbwB1AHIAYwBlAEQAYQB0AGEAXwBEAGEAaQByAHkAXwBEAHIAeQBNAGEAdAB0AGUAcgBEAGkAZwBlAHMAdABpAGIAaQBsAGkAdAB5AF8AUwBvAHUAcgBjAGUAXABuACAAIAA9AEwAQQBNAEIARABBACgAXAAiAFYARQBFAFIARwAgADIAMAAyADYAOgAgADMALgAzAC4AMgAuADIAXAB0AEQAQQBUAEEAIAAoAE0ARQBUAEgATwBEACAAMQAgAEEATgBEACAAMgAgAE8AUABUAEkATwBOAFMAKQBcACIAKQA7AFwAbgBcAG4AUwBvAHUAcgBjAGUARABhAHQAYQBfAEQAYQBpAHIAeQBfAEQAcgB5AE0AYQB0AHQAZQByAEQAaQBnAGUAcwB0AGkAYgBpAGwAaQB0AHkAXwBWAGEAcgBpAGEAdABpAG8AbgBcAG4AIAAgAD0ATABBAE0AQgBEAEEAKABcACIAXAAiACkAOwBcAG4AXABuAFMAbwB1AHIAYwBlAEQAYQB0AGEAXwBEAGEAaQByAHkAXwBEAHIAeQBNAGEAdAB0AGUAcgBEAGkAZwBlAHMAdABpAGIAaQBsAGkAdAB5AF8ARABhAHQAYQBcAG4AIAAgAD0ATABBAE0AQgBEAEEAKAAwAC4ANwA1ACkAOwBcAG4AXABuAFwAbgAvACoAIABcAG4ALQAtAC0ALQAtAC0ALQAtAC0ALQAtAC0ALQAtAC0ALQAtAC0ALQAtAC0ALQAtAC0ALQAtAC0ALQAtAC0ALQAtAC0ALQAtAC0ALQAtAFwAbgBTAG8AdQByAGMAZQBEAGEAdABhAF8ARABhAGkAcgB5AF8ATgBlAHQARQBuAGUAcgBnAHkAXABuAE4AZQB0ACAAZQBuAGUAcgBnAHkAIAByAGUAcQB1AGkAcgBlAGQAIABmAG8AcgAgAG0AaQBsAGsAIABwAHIAbwBkAHUAYwB0AGkAbwBuAFwAbgAtAC0ALQAtAC0ALQAtAC0ALQAtAC0ALQAtAC0ALQAtAC0ALQAtAC0ALQAtAC0ALQAtAC0ALQAtAC0ALQAtAC0ALQAtAC0ALQAtAC0AXABuACoALwBcAG4AXABuAFMAbwB1AHIAYwBlAEQAYQB0AGEAXwBEAGEAaQByAHkAXwBOAGUAdABFAG4AZQByAGcAeQBfAFQAaQB0AGwAZQBcAG4AIAAgAD0ATABBAE0AQgBEAEEAKABcACIATgBlAHQAIABlAG4AZQByAGcAeQAgAHIAZQBxAHUAaQByAGUAZAAgAGYAbwByACAAbQBpAGwAawAgAHAAcgBvAGQAdQBjAHQAaQBvAG4AXAAiACkAOwBcAG4AXABuAFMAbwB1AHIAYwBlAEQAYQB0AGEAXwBEAGEAaQByAHkAXwBOAGUAdABFAG4AZQByAGcAeQBfAFYAYQByAGkAYQBiAGwAZQBcAG4AIAAgAD0ATABBAE0AQgBEAEEAKABcACIATgBFAFwAIgApADsAXABuAFwAbgBTAG8AdQByAGMAZQBEAGEAdABhAF8ARABhAGkAcgB5AF8ATgBlAHQARQBuAGUAcgBnAHkAXwBVAG4AaQB0AFwAbgAgACAAPQBMAEEATQBCAEQAQQAoAFwAIgBNAEoAIABuAGUAdAAgAGUAbgBlAHIAZwB5ACAALwAgAGsAZwAgAG0AaQBsAGsAXAAiACkAOwBcAG4AXABuAFMAbwB1AHIAYwBlAEQAYQB0AGEAXwBEAGEAaQByAHkAXwBOAGUAdABFAG4AZQByAGcAeQBfAFMAbwB1AHIAYwBlAFwAbgAgACAAPQBMAEEATQBCAEQAQQAoAFwAIgBWAEUARQBSAEcAIAAyADAAMgA2ADoAIAAzAC4AMwAuADIALgAzACAAQwBPAE4AUwBUAEEATgBUAFMAXAAiACkAOwBcAG4AXABuAFMAbwB1AHIAYwBlAEQAYQB0AGEAXwBEAGEAaQByAHkAXwBOAGUAdABFAG4AZQByAGcAeQBfAFYAYQByAGkAYQB0AGkAbwBuAFwAbgAgACAAPQBMAEEATQBCAEQAQQAoAFwAIgBcACIAKQA7AFwAbgBcAG4AUwBvAHUAcgBjAGUARABhAHQAYQBfAEQAYQBpAHIAeQBfAE4AZQB0AEUAbgBlAHIAZwB5AF8ARABhAHQAYQBcAG4AIAAgAD0ATABBAE0AQgBEAEEAKAAzAC4AMAA1ADQAKQA7AFwAbgBcAG4AXABuAC8AKgAgAFwAbgAtAC0ALQAtAC0ALQAtAC0ALQAtAC0ALQAtAC0ALQAtAC0ALQAtAC0ALQAtAC0ALQAtAC0ALQAtAC0ALQAtAC0ALQAtAC0ALQAtAC0AXABuAFMAbwB1AHIAYwBlAEQAYQB0AGEAXwBEAGEAaQByAHkAXwBHAHIAbwBzAHMARQBuAGUAcgBnAHkAQwBvAG4AdABlAG4AdABcAG4ARwByAG8AcwBzACAAZQBuAGUAcgBnAHkAIABjAG8AbgB0AGUAbgB0ACAAbwBmACAAZgBlAGUAZAAgAGQAcgB5ACAAbQBhAHQAdABlAHIAXABuAC0ALQAtAC0ALQAtAC0ALQAtAC0ALQAtAC0ALQAtAC0ALQAtAC0ALQAtAC0ALQAtAC0ALQAtAC0ALQAtAC0ALQAtAC0ALQAtAC0ALQBcAG4AKgAvAFwAbgBcAG4AUwBvAHUAcgBjAGUARABhAHQAYQBfAEQAYQBpAHIAeQBfAEcAcgBvAHMAcwBFAG4AZQByAGcAeQBDAG8AbgB0AGUAbgB0AF8AVABpAHQAbABlAFwAbgAgACAAPQBMAEEATQBCAEQAQQAoAFwAIgBHAHIAbwBzAHMAIABlAG4AZQByAGcAeQAgAGMAbwBuAHQAZQBuAHQAIABvAGYAIABmAGUAZQBkACAAZAByAHkAIABtAGEAdAB0AGUAcgBcACIAKQA7AFwAbgBcAG4AUwBvAHUAcgBjAGUARABhAHQAYQBfAEQAYQBpAHIAeQBfAEcAcgBvAHMAcwBFAG4AZQByAGcAeQBDAG8AbgB0AGUAbgB0AF8AVgBhAHIAaQBhAGIAbABlAFwAbgAgACAAPQBMAEEATQBCAEQAQQAoAFwAIgBHAEUAQwBcACIAKQA7AFwAbgBcAG4AUwBvAHUAcgBjAGUARABhAHQAYQBfAEQAYQBpAHIAeQBfAEcAcgBvAHMAcwBFAG4AZQByAGcAeQBDAG8AbgB0AGUAbgB0AF8AVQBuAGkAdABcAG4AIAAgAD0ATABBAE0AQgBEAEEAKABcACIATQBKACAALwAgAGsAZwBEAE0AXAAiACkAOwBcAG4AXABuAFMAbwB1AHIAYwBlAEQAYQB0AGEAXwBEAGEAaQByAHkAXwBHAHIAbwBzAHMARQBuAGUAcgBnAHkAQwBvAG4AdABlAG4AdABfAFMAbwB1AHIAYwBlAFwAbgAgACAAPQBMAEEATQBCAEQAQQAoAFwAIgBWAEUARQBSAEcAIAAyADAAMgA2ADoAIAAzAC4AMwAuADIALgAzACAAQwBPAE4AUwBUAEEATgBUAFMAXAAiACkAOwBcAG4AXABuAFMAbwB1AHIAYwBlAEQAYQB0AGEAXwBEAGEAaQByAHkAXwBHAHIAbwBzAHMARQBuAGUAcgBnAHkAQwBvAG4AdABlAG4AdABfAFYAYQByAGkAYQB0AGkAbwBuAFwAbgAgACAAPQBMAEEATQBCAEQAQQAoAFwAIgBcACIAKQA7AFwAbgBcAG4AUwBvAHUAcgBjAGUARABhAHQAYQBfAEQAYQBpAHIAeQBfAEcAcgBvAHMAcwBFAG4AZQByAGcAeQBDAG8AbgB0AGUAbgB0AF8ARABhAHQAYQBcAG4AIAAgAD0ATABBAE0AQgBEAEEAKAAxADgALgA0ACkAOwBcAG4AXABuAFwAbgAvACoAIABcAG4ALQAtAC0ALQAtAC0ALQAtAC0ALQAtAC0ALQAtAC0ALQAtAC0ALQAtAC0ALQAtAC0ALQAtAC0ALQAtAC0ALQAtAC0ALQAtAC0ALQAtAFwAbgBTAG8AdQByAGMAZQBEAGEAdABhAF8ARABhAGkAcgB5AF8ARQBmAGYAaQBjAGkAZQBuAGMAeQBPAGYAVQBzAGUATwBmAE0AZQB0AGEAYgBvAGwAaQB6AGEAYgBsAGUARQBuAGUAcgBnAHkAXABuAEUAZgBmAGkAYwBpAGUAbgBjAHkAIABvAGYAIAB1AHMAZQAgAG8AZgAgAG0AZQB0AGEAYgBvAGwAaQB6AGEAYgBsAGUAIABlAG4AZQByAGcAeQAgAGYAbwByACAAbQBpAGwAawAgAHAAcgBvAGQAdQBjAHQAaQBvAG4AXABuAC0ALQAtAC0ALQAtAC0ALQAtAC0ALQAtAC0ALQAtAC0ALQAtAC0ALQAtAC0ALQAtAC0ALQAtAC0ALQAtAC0ALQAtAC0ALQAtAC0ALQBcAG4AKgAvAFwAbgBcAG4AUwBvAHUAcgBjAGUARABhAHQAYQBfAEQAYQBpAHIAeQBfAEUAZgBmAGkAYwBpAGUAbgBjAHkATwBmAFUAcwBlAE8AZgBNAGUAdABhAGIAbwBsAGkAegBhAGIAbABlAEUAbgBlAHIAZwB5AF8AVABpAHQAbABlAFwAbgAgACAAPQBMAEEATQBCAEQAQQAoAFwAIgBFAGYAZgBpAGMAaQBlAG4AYwB5ACAAbwBmACAAdQBzAGUAIABvAGYAIABtAGUAdABhAGIAbwBsAGkAegBhAGIAbABlACAAZQBuAGUAcgBnAHkAIABmAG8AcgAgAG0AaQBsAGsAIABwAHIAbwBkAHUAYwB0AGkAbwBuAFwAIgApADsAXABuAFwAbgBTAG8AdQByAGMAZQBEAGEAdABhAF8ARABhAGkAcgB5AF8ARQBmAGYAaQBjAGkAZQBuAGMAeQBPAGYAVQBzAGUATwBmAE0AZQB0AGEAYgBvAGwAaQB6AGEAYgBsAGUARQBuAGUAcgBnAHkAXwBWAGEAcgBpAGEAYgBsAGUAXABuACAAIAA9AEwAQQBNAEIARABBACgAXAAiAGsAXAAiACkAOwBcAG4AXABuAFMAbwB1AHIAYwBlAEQAYQB0AGEAXwBEAGEAaQByAHkAXwBFAGYAZgBpAGMAaQBlAG4AYwB5AE8AZgBVAHMAZQBPAGYATQBlAHQAYQBiAG8AbABpAHoAYQBiAGwAZQBFAG4AZQByAGcAeQBfAFUAbgBpAHQAXABuACAAIAA9AEwAQQBNAEIARABBACgAXAAiAGYAcgBhAGMAdABpAG8AbgBcACIAKQA7AFwAbgBcAG4AUwBvAHUAcgBjAGUARABhAHQAYQBfAEQAYQBpAHIAeQBfAEUAZgBmAGkAYwBpAGUAbgBjAHkATwBmAFUAcwBlAE8AZgBNAGUAdABhAGIAbwBsAGkAegBhAGIAbABlAEUAbgBlAHIAZwB5AF8AUwBvAHUAcgBjAGUAXABuACAAIAA9AEwAQQBNAEIARABBACgAXAAiAFYARQBFAFIARwAgADIAMAAyADYAOgAgADMALgAzAC4AMgAuADMAIABDAE8ATgBTAFQAQQBOAFQAUwBcACIAKQA7AFwAbgBcAG4AUwBvAHUAcgBjAGUARABhAHQAYQBfAEQAYQBpAHIAeQBfAEUAZgBmAGkAYwBpAGUAbgBjAHkATwBmAFUAcwBlAE8AZgBNAGUAdABhAGIAbwBsAGkAegBhAGIAbABlAEUAbgBlAHIAZwB5AF8AVgBhAHIAaQBhAHQAaQBvAG4AXABuACAAIAA9AEwAQQBNAEIARABBACgAXAAiAFwAIgApADsAXABuAFwAbgBTAG8AdQByAGMAZQBEAGEAdABhAF8ARABhAGkAcgB5AF8ARQBmAGYAaQBjAGkAZQBuAGMAeQBPAGYAVQBzAGUATwBmAE0AZQB0AGEAYgBvAGwAaQB6AGEAYgBsAGUARQBuAGUAcgBnAHkAXwBEAGEAdABhAFwAbgAgACAAPQBMAEEATQBCAEQAQQAoADAALgA2ADAAKQA7AFwAbgBcAG4AXABuAC8AKgAgAFwAbgAtAC0ALQAtAC0ALQAtAC0ALQAtAC0ALQAtAC0ALQAtAC0ALQAtAC0ALQAtAC0ALQAtAC0ALQAtAC0ALQAtAC0ALQAtAC0ALQAtAC0AXABuAFMAbwB1AHIAYwBlAEQAYQB0AGEAXwBEAGEAaQByAHkAXwBBAHMAaABDAG8AbgB0AGUAbgB0AFwAbgBBAHMAaAAgAGMAbwBuAHQAZQBuAHQAIABvAGYAIABtAGEAbgB1AHIAZQBcAG4ALQAtAC0ALQAtAC0ALQAtAC0ALQAtAC0ALQAtAC0ALQAtAC0ALQAtAC0ALQAtAC0ALQAtAC0ALQAtAC0ALQAtAC0ALQAtAC0ALQAtAFwAbgAqAC8AXABuAFwAbgBTAG8AdQByAGMAZQBEAGEAdABhAF8ARABhAGkAcgB5AF8AQQBzAGgAQwBvAG4AdABlAG4AdABfAFQAaQB0AGwAZQBcAG4AIAAgAD0ATABBAE0AQgBEAEEAKABcACIAQQBzAGgAIABjAG8AbgB0AGUAbgB0ACAAbwBmACAAbQBhAG4AdQByAGUAXAAiACkAOwBcAG4AXABuAFMAbwB1AHIAYwBlAEQAYQB0AGEAXwBEAGEAaQByAHkAXwBBAHMAaABDAG8AbgB0AGUAbgB0AF8AVgBhAHIAaQBhAGIAbABlAFwAbgAgACAAPQBMAEEATQBCAEQAQQAoAFwAIgBBAFwAIgApADsAXABuAFwAbgBTAG8AdQByAGMAZQBEAGEAdABhAF8ARABhAGkAcgB5AF8AQQBzAGgAQwBvAG4AdABlAG4AdABfAFUAbgBpAHQAXABuACAAIAA9AEwAQQBNAEIARABBACgAXAAiAGYAcgBhAGMAdABpAG8AbgBcACIAKQA7AFwAbgBcAG4AUwBvAHUAcgBjAGUARABhAHQAYQBfAEQAYQBpAHIAeQBfAEEAcwBoAEMAbwBuAHQAZQBuAHQAXwBTAG8AdQByAGMAZQBcAG4AIAAgAD0ATABBAE0AQgBEAEEAKABcACIAVgBFAEUAUgBHACAAMgAwADIANgA6ACAANAAuADMALgAyAC4AMwAgAEMATwBOAFMAVABBAE4AVABTAFwAIgApADsAXABuAFwAbgBTAG8AdQByAGMAZQBEAGEAdABhAF8ARABhAGkAcgB5AF8AQQBzAGgAQwBvAG4AdABlAG4AdABfAFYAYQByAGkAYQB0AGkAbwBuAFwAbgAgACAAPQBMAEEATQBCAEQAQQAoAFwAIgBcACIAKQA7AFwAbgBcAG4AUwBvAHUAcgBjAGUARABhAHQAYQBfAEQAYQBpAHIAeQBfAEEAcwBoAEMAbwBuAHQAZQBuAHQAXwBEAGEAdABhAFwAbgAgACAAPQBMAEEATQBCAEQAQQAoADAALgAwADgAKQA7AFwAbgBcAG4AXABuAC8AKgAgAFwAbgAtAC0ALQAtAC0ALQAtAC0ALQAtAC0ALQAtAC0ALQAtAC0ALQAtAC0ALQAtAC0ALQAtAC0ALQAtAC0ALQAtAC0ALQAtAC0ALQAtAC0AXABuAFMAbwB1AHIAYwBlAEQAYQB0AGEAXwBEAGEAaQByAHkAXwBNAGUAdABoAGEAbgBlAEUAbQBpAHMAcwBpAG8AbgBzAFAAbwB0AGUAbgB0AGkAYQBsAFwAbgBBAHMAaAAgAGMAbwBuAHQAZQBuAHQAIABvAGYAIABtAGEAbgB1AHIAZQBcAG4ALQAtAC0ALQAtAC0ALQAtAC0ALQAtAC0ALQAtAC0ALQAtAC0ALQAtAC0ALQAtAC0ALQAtAC0ALQAtAC0ALQAtAC0ALQAtAC0ALQAtAFwAbgAqAC8AXABuAFwAbgBTAG8AdQByAGMAZQBEAGEAdABhAF8ARABhAGkAcgB5AF8ATQBlAHQAaABhAG4AZQBFAG0AaQBzAHMAaQBvAG4AcwBQAG8AdABlAG4AdABpAGEAbABfAFQAaQB0AGwAZQBcAG4AIAAgAD0ATABBAE0AQgBEAEEAKABcACIATQBlAHQAaABhAG4AZQAgAGUAbQBpAHMAcwBpAG8AbgBzACAAcABvAHQAZQBuAHQAaQBhAGwAXAAiACkAOwBcAG4AXABuAFMAbwB1AHIAYwBlAEQAYQB0AGEAXwBEAGEAaQByAHkAXwBNAGUAdABoAGEAbgBlAEUAbQBpAHMAcwBpAG8AbgBzAFAAbwB0AGUAbgB0AGkAYQBsAF8AVgBhAHIAaQBhAGIAbABlAFwAbgAgACAAPQBMAEEATQBCAEQAQQAoAFwAIgBCAF8AbwBcACIAKQA7AFwAbgBcAG4AUwBvAHUAcgBjAGUARABhAHQAYQBfAEQAYQBpAHIAeQBfAE0AZQB0AGgAYQBuAGUARQBtAGkAcwBzAGkAbwBuAHMAUABvAHQAZQBuAHQAaQBhAGwAXwBVAG4AaQB0AFwAbgAgACAAPQBMAEEATQBCAEQAQQAoAFwAIgBtADMAIABDAEgANAAvAGsAZwBWAFMAXAAiACkAOwBcAG4AXABuAFMAbwB1AHIAYwBlAEQAYQB0AGEAXwBEAGEAaQByAHkAXwBNAGUAdABoAGEAbgBlAEUAbQBpAHMAcwBpAG8AbgBzAFAAbwB0AGUAbgB0AGkAYQBsAF8AUwBvAHUAcgBjAGUAXABuACAAIAA9AEwAQQBNAEIARABBACgAXAAiAFYARQBFAFIARwAgADIAMAAyADYAOgAgADQALgAzAC4AMgAuADMAIABDAE8ATgBTAFQAQQBOAFQAUwBcACIAKQA7AFwAbgBcAG4AUwBvAHUAcgBjAGUARABhAHQAYQBfAEQAYQBpAHIAeQBfAE0AZQB0AGgAYQBuAGUARQBtAGkAcwBzAGkAbwBuAHMAUABvAHQAZQBuAHQAaQBhAGwAXwBWAGEAcgBpAGEAdABpAG8AbgBcAG4AIAAgAD0ATABBAE0AQgBEAEEAKABcACIAXAAiACkAOwBcAG4AXABuAFMAbwB1AHIAYwBlAEQAYQB0AGEAXwBEAGEAaQByAHkAXwBNAGUAdABoAGEAbgBlAEUAbQBpAHMAcwBpAG8AbgBzAFAAbwB0AGUAbgB0AGkAYQBsAF8ARABhAHQAYQBcAG4AIAAgAD0ATABBAE0AQgBEAEEAKAAwAC4AMgA0ACkAOwBcAG4AXABuAC8AKgAgAFwAbgAtAC0ALQAtAC0ALQAtAC0ALQAtAC0ALQAtAC0ALQAtAC0ALQAtAC0ALQAtAC0ALQAtAC0ALQAtAC0ALQAtAC0ALQAtAC0ALQAtAC0AXABuAFMAbwB1AHIAYwBlAEQAYQB0AGEAXwBEAGEAaQByAHkAXwBFAG0AaQBzAHMAaQBvAG4ARgBhAGMAdABvAHIARgBvAHIATABlAGEAYwBoAGkAbgBnAEEAbgBkAFIAdQBuAG8AZgBmAFwAbgBFAG0AaQBzAHMAaQBvAG4AIABmAGEAYwB0AG8AcgAgAGYAbwByACAAbABlAGEAYwBoAGkAbgBnACAAYQBuAGQAIAByAHUAbgBvAGYAZgBcAG4ALQAtAC0ALQAtAC0ALQAtAC0ALQAtAC0ALQAtAC0ALQAtAC0ALQAtAC0ALQAtAC0ALQAtAC0ALQAtAC0ALQAtAC0ALQAtAC0ALQAtAFwAbgAqAC8AXABuAFwAbgBTAG8AdQByAGMAZQBEAGEAdABhAF8ARABhAGkAcgB5AF8ARQBtAGkAcwBzAGkAbwBuAEYAYQBjAHQAbwByAEYAbwByAEwAZQBhAGMAaABpAG4AZwBBAG4AZABSAHUAbgBvAGYAZgBfAFQAaQB0AGwAZQBcAG4AIAAgAD0ATABBAE0AQgBEAEEAKABcACIARQBtAGkAcwBzAGkAbwBuACAAZgBhAGMAdABvAHIAIABmAG8AcgAgAGwAZQBhAGMAaABpAG4AZwAgAGEAbgBkACAAcgB1AG4AbwBmAGYAXAAiACkAOwBcAG4AXABuAFMAbwB1AHIAYwBlAEQAYQB0AGEAXwBEAGEAaQByAHkAXwBFAG0AaQBzAHMAaQBvAG4ARgBhAGMAdABvAHIARgBvAHIATABlAGEAYwBoAGkAbgBnAEEAbgBkAFIAdQBuAG8AZgBmAF8AVgBhAHIAaQBhAGIAbABlAFwAbgAgACAAPQBMAEEATQBCAEQAQQAoAFwAIgBFAEYAXwBsAGUAYQBjAGgAXAAiACkAOwBcAG4AXABuAFMAbwB1AHIAYwBlAEQAYQB0AGEAXwBEAGEAaQByAHkAXwBFAG0AaQBzAHMAaQBvAG4ARgBhAGMAdABvAHIARgBvAHIATABlAGEAYwBoAGkAbgBnAEEAbgBkAFIAdQBuAG8AZgBmAF8AVQBuAGkAdABcAG4AIAAgAD0ATABBAE0AQgBEAEEAKABcACIAawBnACAATgAyAE8ALQBOAC8AawBnACAATgBcACIAKQA7AFwAbgBcAG4AUwBvAHUAcgBjAGUARABhAHQAYQBfAEQAYQBpAHIAeQBfAEUAbQBpAHMAcwBpAG8AbgBGAGEAYwB0AG8AcgBGAG8AcgBMAGUAYQBjAGgAaQBuAGcAQQBuAGQAUgB1AG4AbwBmAGYAXwBTAG8AdQByAGMAZQBcAG4AIAAgAD0ATABBAE0AQgBEAEEAKABcACIAVgBFAEUAUgBHACAAMgAwADIANgA6ACAANAAuADMALgAyAC4AMwAgAEMATwBOAFMAVABBAE4AVABTAFwAIgApADsAXABuAFwAbgBTAG8AdQByAGMAZQBEAGEAdABhAF8ARABhAGkAcgB5AF8ARQBtAGkAcwBzAGkAbwBuAEYAYQBjAHQAbwByAEYAbwByAEwAZQBhAGMAaABpAG4AZwBBAG4AZABSAHUAbgBvAGYAZgBfAFYAYQByAGkAYQB0AGkAbwBuAFwAbgAgACAAPQBMAEEATQBCAEQAQQAoAFwAIgBcACIAKQA7AFwAbgBcAG4AUwBvAHUAcgBjAGUARABhAHQAYQBfAEQAYQBpAHIAeQBfAEUAbQBpAHMAcwBpAG8AbgBGAGEAYwB0AG8AcgBGAG8AcgBMAGUAYQBjAGgAaQBuAGcAQQBuAGQAUgB1AG4AbwBmAGYAXwBEAGEAdABhAFwAbgAgACAAPQBMAEEATQBCAEQAQQAoADAALgAwADEAMQApADsAXABuAFwAbgBcAG4ALwAqACAAXABuAC0ALQAtAC0ALQAtAC0ALQAtAC0ALQAtAC0ALQAtAC0ALQAtAC0ALQAtAC0ALQAtAC0ALQAtAC0ALQAtAC0ALQAtAC0ALQAtAC0ALQBcAG4AUwBvAHUAcgBjAGUARABhAHQAYQBfAEQAYQBpAHIAeQBfAEYAcgBhAGMAdABpAG8AbgBPAGYATgBpAHQAcgBvAGcAZQBuAEwAbwBzAHQAVABoAHIAbwB1AGcAaABMAGUAYQBjAGgAaQBuAGcAQQBuAGQAUgB1AG4AbwBmAGYAUwBvAGwAaQBkAFMAdABvAHIAYQBnAGUAXABuAEYAcgBhAGMAdABpAG8AbgAgAG8AZgAgAG4AaQB0AHIAbwBnAGUAbgAgAGwAbwBzAHQAIAB0AGgAcgBvAHUAZwBoACAAbABlAGEAYwBoAGkAbgBnACAAYQBuAGQAIAByAHUAbgBvAGYAZgAgAGYAbwByACAAcwBvAGwAaQBkACAAcwB0AG8AcgBhAGcAZQAgAE0ATQBTACAAbwBuAGwAeQAgACgAZgByAGEAYwB0AGkAbwBuACkAXABuAC0ALQAtAC0ALQAtAC0ALQAtAC0ALQAtAC0ALQAtAC0ALQAtAC0ALQAtAC0ALQAtAC0ALQAtAC0ALQAtAC0ALQAtAC0ALQAtAC0ALQBcAG4AKgAvAFwAbgBcAG4AUwBvAHUAcgBjAGUARABhAHQAYQBfAEQAYQBpAHIAeQBfAEYAcgBhAGMAdABpAG8AbgBPAGYATgBpAHQAcgBvAGcAZQBuAEwAbwBzAHQAVABoAHIAbwB1AGcAaABMAGUAYQBjAGgAaQBuAGcAQQBuAGQAUgB1AG4AbwBmAGYAUwBvAGwAaQBkAFMAdABvAHIAYQBnAGUAXwBUAGkAdABsAGUAXABuACAAIAA9AEwAQQBNAEIARABBACgAXAAiAEYAcgBhAGMAdABpAG8AbgAgAG8AZgAgAG4AaQB0AHIAbwBnAGUAbgAgAGwAbwBzAHQAIAB0AGgAcgBvAHUAZwBoACAAbABlAGEAYwBoAGkAbgBnACAAYQBuAGQAIAByAHUAbgBvAGYAZgAgAGYAbwByACAAcwBvAGwAaQBkACAAcwB0AG8AcgBhAGcAZQAgAE0ATQBTACAAbwBuAGwAeQBcACIAKQA7AFwAbgBcAG4AUwBvAHUAcgBjAGUARABhAHQAYQBfAEQAYQBpAHIAeQBfAEYAcgBhAGMAdABpAG8AbgBPAGYATgBpAHQAcgBvAGcAZQBuAEwAbwBzAHQAVABoAHIAbwB1AGcAaABMAGUAYQBjAGgAaQBuAGcAQQBuAGQAUgB1AG4AbwBmAGYAUwBvAGwAaQBkAFMAdABvAHIAYQBnAGUAXwBWAGEAcgBpAGEAYgBsAGUAXABuACAAIAA9AEwAQQBNAEIARABBACgAXAAiAEYAcgBhAGMAXwBMAEUAQQBDAEgAXwBNAFMAXAAiACkAOwBcAG4AXABuAFMAbwB1AHIAYwBlAEQAYQB0AGEAXwBEAGEAaQByAHkAXwBGAHIAYQBjAHQAaQBvAG4ATwBmAE4AaQB0AHIAbwBnAGUAbgBMAG8AcwB0AFQAaAByAG8AdQBnAGgATABlAGEAYwBoAGkAbgBnAEEAbgBkAFIAdQBuAG8AZgBmAFMAbwBsAGkAZABTAHQAbwByAGEAZwBlAF8AVQBuAGkAdABcAG4AIAAgAD0ATABBAE0AQgBEAEEAKABcACIARgByAGEAYwB0AGkAbwBuAFwAIgApADsAXABuAFwAbgBTAG8AdQByAGMAZQBEAGEAdABhAF8ARABhAGkAcgB5AF8ARgByAGEAYwB0AGkAbwBuAE8AZgBOAGkAdAByAG8AZwBlAG4ATABvAHMAdABUAGgAcgBvAHUAZwBoAEwAZQBhAGMAaABpAG4AZwBBAG4AZABSAHUAbgBvAGYAZgBTAG8AbABpAGQAUwB0AG8AcgBhAGcAZQBfAFMAbwB1AHIAYwBlAFwAbgAgACAAPQBMAEEATQBCAEQAQQAoAFwAIgBWAEUARQBSAEcAIAAyADAAMgA2ADoAIAA0AC4AMwAuADIALgAzACAAQwBPAE4AUwBUAEEATgBUAFMAXAAiACkAOwBcAG4AXABuAFMAbwB1AHIAYwBlAEQAYQB0AGEAXwBEAGEAaQByAHkAXwBGAHIAYQBjAHQAaQBvAG4ATwBmAE4AaQB0AHIAbwBnAGUAbgBMAG8AcwB0AFQAaAByAG8AdQBnAGgATABlAGEAYwBoAGkAbgBnAEEAbgBkAFIAdQBuAG8AZgBmAFMAbwBsAGkAZABTAHQAbwByAGEAZwBlAF8AVgBhAHIAaQBhAHQAaQBvAG4AXABuACAAIAA9AEwAQQBNAEIARABBACgAXAAiAFwAIgApADsAXABuAFwAbgBTAG8AdQByAGMAZQBEAGEAdABhAF8ARABhAGkAcgB5AF8ARgByAGEAYwB0AGkAbwBuAE8AZgBOAGkAdAByAG8AZwBlAG4ATABvAHMAdABUAGgAcgBvAHUAZwBoAEwAZQBhAGMAaABpAG4AZwBBAG4AZABSAHUAbgBvAGYAZgBTAG8AbABpAGQAUwB0AG8AcgBhAGcAZQBfAEQAYQB0AGEAXABuACAAIAA9AEwAQQBNAEIARABBACgAMAAuADAAMgApADsAXABuAFwAbgBcAG4ALwAqACAAXABuAC0ALQAtAC0ALQAtAC0ALQAtAC0ALQAtAC0ALQAtAC0ALQAtAC0ALQAtAC0ALQAtAC0ALQAtAC0ALQAtAC0ALQAtAC0ALQAtAC0ALQBcAG4AUwBvAHUAcgBjAGUARABhAHQAYQBfAEQAYQBpAHIAeQBfAEYAcgBhAGMAdABpAG8AbgBPAGYATgBpAHQAcgBvAGcAZQBuAEwAbwBzAHQAVABoAHIAbwB1AGcAaABMAGUAYQBjAGgAaQBuAGcAQQBuAGQAUgB1AG4AbwBmAGYAXABuAEQAZQBmAGEAdQBsAHQAIABmAHIAYQBjAHQAaQBvAG4AIABvAGYAIABOACAAdABoAGEAdAAgAGkAcwAgAGwAbwBzAHQAIAB0AGgAcgBvAHUAZwBoACAAbABlAGEAYwBoAGkAbgBnACAAYQBuAGQAIAByAHUAbgBvAGYAZgAgAHcAaABlAG4AIABtAGEAbgB1AHIAZQAgAGkAcwAgAGUAeABjAHIAZQB0AGUAZAAgAHQAbwAgAHAAYQBzAHQAdQByAGUALAAgAHIAYQBuAGcAZQAgAGEAbgBkACAAcABhAGQAZABvAGMAawAgACgAbQA9ADEANAApAC4AIABcAG4ALQAtAC0ALQAtAC0ALQAtAC0ALQAtAC0ALQAtAC0ALQAtAC0ALQAtAC0ALQAtAC0ALQAtAC0ALQAtAC0ALQAtAC0ALQAtAC0ALQAtAFwAbgAqAC8AXABuAFwAbgBTAG8AdQByAGMAZQBEAGEAdABhAF8ARABhAGkAcgB5AF8ARgByAGEAYwB0AGkAbwBuAE8AZgBOAGkAdAByAG8AZwBlAG4ATABvAHMAdABUAGgAcgBvAHUAZwBoAEwAZQBhAGMAaABpAG4AZwBBAG4AZABSAHUAbgBvAGYAZgBfAFQAaQB0AGwAZQBcAG4AIAAgAD0ATABBAE0AQgBEAEEAKABcACIARABlAGYAYQB1AGwAdAAgAGYAcgBhAGMAdABpAG8AbgAgAG8AZgAgAE4AIAB0AGgAYQB0ACAAaQBzACAAbABvAHMAdAAgAHQAaAByAG8AdQBnAGgAIABsAGUAYQBjAGgAaQBuAGcAIABhAG4AZAAgAHIAdQBuAG8AZgBmACAAdwBoAGUAbgAgAG0AYQBuAHUAcgBlACAAaQBzACAAZQB4AGMAcgBlAHQAZQBkACAAdABvACAAcABhAHMAdAB1AHIAZQAsACAAcgBhAG4AZwBlACAAYQBuAGQAIABwAGEAZABkAG8AYwBrACAAKABtAD0AMQA0ACkALgBcACIAKQA7AFwAbgBcAG4AUwBvAHUAcgBjAGUARABhAHQAYQBfAEQAYQBpAHIAeQBfAEYAcgBhAGMAdABpAG8AbgBPAGYATgBpAHQAcgBvAGcAZQBuAEwAbwBzAHQAVABoAHIAbwB1AGcAaABMAGUAYQBjAGgAaQBuAGcAQQBuAGQAUgB1AG4AbwBmAGYAXwBWAGEAcgBpAGEAYgBsAGUAXABuACAAIAA9AEwAQQBNAEIARABBACgAXAAiAEYAcgBhAGMAXwBMAEUAQQBDAEgAXwBNAFMAXAAiACkAOwBcAG4AXABuAFMAbwB1AHIAYwBlAEQAYQB0AGEAXwBEAGEAaQByAHkAXwBGAHIAYQBjAHQAaQBvAG4ATwBmAE4AaQB0AHIAbwBnAGUAbgBMAG8AcwB0AFQAaAByAG8AdQBnAGgATABlAGEAYwBoAGkAbgBnAEEAbgBkAFIAdQBuAG8AZgBmAF8AVQBuAGkAdABcAG4AIAAgAD0ATABBAE0AQgBEAEEAKABcACIARgByAGEAYwB0AGkAbwBuAFwAIgApADsAXABuAFwAbgBTAG8AdQByAGMAZQBEAGEAdABhAF8ARABhAGkAcgB5AF8ARgByAGEAYwB0AGkAbwBuAE8AZgBOAGkAdAByAG8AZwBlAG4ATABvAHMAdABUAGgAcgBvAHUAZwBoAEwAZQBhAGMAaABpAG4AZwBBAG4AZABSAHUAbgBvAGYAZgBfAFMAbwB1AHIAYwBlAFwAbgAgACAAPQBMAEEATQBCAEQAQQAoAFwAIgBWAEUARQBSAEcAIAAyADAAMgA2ADoAIAA0AC4AMwAuADIALgAzACAAQwBPAE4AUwBUAEEATgBUAFMAXAAiACkAOwBcAG4AXABuAFMAbwB1AHIAYwBlAEQAYQB0AGEAXwBEAGEAaQByAHkAXwBGAHIAYQBjAHQAaQBvAG4ATwBmAE4AaQB0AHIAbwBnAGUAbgBMAG8AcwB0AFQAaAByAG8AdQBnAGgATABlAGEAYwBoAGkAbgBnAEEAbgBkAFIAdQBuAG8AZgBmAF8AVgBhAHIAaQBhAHQAaQBvAG4AXABuACAAIAA9AEwAQQBNAEIARABBACgAXAAiAFwAIgApADsAXABuAFwAbgBTAG8AdQByAGMAZQBEAGEAdABhAF8ARABhAGkAcgB5AF8ARgByAGEAYwB0AGkAbwBuAE8AZgBOAGkAdAByAG8AZwBlAG4ATABvAHMAdABUAGgAcgBvAHUAZwBoAEwAZQBhAGMAaABpAG4AZwBBAG4AZABSAHUAbgBvAGYAZgBfAEQAYQB0AGEAXABuACAAIAA9AEwAQQBNAEIARABBACgAMAAuADIANAApADsAXABuAFwAbgBcAG4ALwAqACAAXABuAC0ALQAtAC0ALQAtAC0ALQAtAC0ALQAtAC0ALQAtAC0ALQAtAC0ALQAtAC0ALQAtAC0ALQAtAC0ALQAtAC0ALQAtAC0ALQAtAC0ALQBcAG4AUwBvAHUAcgBjAGUARABhAHQAYQBfAEQAYQBpAHIAeQBfAEYAcgBhAGMARwBBAFMATQBTAG8AaQBsAFwAbgBGAHIAYQBjAHQAaQBvAG4AIABvAGYAIABuAGkAdAByAG8AZwBlAG4AIAB2AG8AbABhAHQAaQBsAGkAegBlAGQAIABmAHIAbwBtACAAdQByAGkAbgBlACAAYQBuAGQAIABmAGEAZQBjAGUAcwAgAGQAZQBwAG8AcwBpAHQAZQBkACAAbwBuACAAcABhAHMAdAB1AHIAZQAuAFwAbgAtAC0ALQAtAC0ALQAtAC0ALQAtAC0ALQAtAC0ALQAtAC0ALQAtAC0ALQAtAC0ALQAtAC0ALQAtAC0ALQAtAC0ALQAtAC0ALQAtAC0AXABuACoALwBcAG4AXABuAFMAbwB1AHIAYwBlAEQAYQB0AGEAXwBEAGEAaQByAHkAXwBGAHIAYQBjAEcAQQBTAE0AUwBvAGkAbABfAFQAaQB0AGwAZQBcAG4AIAAgAD0ATABBAE0AQgBEAEEAKABcACIARgByAGEAYwB0AGkAbwBuACAAbwBmACAAbgBpAHQAcgBvAGcAZQBuACAAdgBvAGwAYQB0AGkAbABpAHoAZQBkACAAZgByAG8AbQAgAHUAcgBpAG4AZQAgAGEAbgBkACAAZgBhAGUAYwBlAHMAIABkAGUAcABvAHMAaQB0AGUAZAAgAG8AbgAgAHAAYQBzAHQAdQByAGUAXAAiACkAOwBcAG4AXABuAFMAbwB1AHIAYwBlAEQAYQB0AGEAXwBEAGEAaQByAHkAXwBGAHIAYQBjAEcAQQBTAE0AUwBvAGkAbABfAFYAYQByAGkAYQBiAGwAZQBcAG4AIAAgAD0ATABBAE0AQgBEAEEAKABcACIARgByAGEAYwBHAEEAUwBNAHMAbwBpAGwAXAAiACkAOwBcAG4AXABuAFMAbwB1AHIAYwBlAEQAYQB0AGEAXwBEAGEAaQByAHkAXwBGAHIAYQBjAEcAQQBTAE0AUwBvAGkAbABfAFUAbgBpAHQAXABuACAAIAA9AEwAQQBNAEIARABBACgAXAAiACgAawBnACAATgBIADMALQBOACAAKwAgAE4ATwB4AC0ATgApAC8AawBnACAATgBcACIAKQA7AFwAbgBcAG4AUwBvAHUAcgBjAGUARABhAHQAYQBfAEQAYQBpAHIAeQBfAEYAcgBhAGMARwBBAFMATQBTAG8AaQBsAF8AUwBvAHUAcgBjAGUAXABuACAAIAA9AEwAQQBNAEIARABBACgAXAAiAFYARQBFAFIARwAgADIAMAAyADYAOgAgADQALgAzAC4AMgAuADMAIABDAE8ATgBTAFQAQQBOAFQAUwBcACIAKQA7AFwAbgBcAG4AUwBvAHUAcgBjAGUARABhAHQAYQBfAEQAYQBpAHIAeQBfAEYAcgBhAGMARwBBAFMATQBTAG8AaQBsAF8AVgBhAHIAaQBhAHQAaQBvAG4AXABuACAAIAA9AEwAQQBNAEIARABBACgAXAAiAFwAIgApADsAXABuAFwAbgBTAG8AdQByAGMAZQBEAGEAdABhAF8ARABhAGkAcgB5AF8ARgByAGEAYwBHAEEAUwBNAFMAbwBpAGwAXwBEAGEAdABhAFwAbgAgACAAPQBMAEEATQBCAEQAQQAoADAALgAyADEAKQA7AFwAbgBcAG4AXABuAC8AKgAgAFwAbgAtAC0ALQAtAC0ALQAtAC0ALQAtAC0ALQAtAC0ALQAtAC0ALQAtAC0ALQAtAC0ALQAtAC0ALQAtAC0ALQAtAC0ALQAtAC0ALQAtAC0AXABuAFMAbwB1AHIAYwBlAEQAYQB0AGEAXwBEAGEAaQByAHkAXwBGAGEAdABDAG8AbgB0AGUAbgB0AEkAbgBNAGkAbABrAFwAbgBGAGEAdAAgAGMAbwBuAHQAZQBuAHQAIABpAG4AIABmAGEAdAAgAGEAbgBkACAAcAByAG8AdABlAGkAbgAgAGMAbwByAHIAZQBjAHQAZQBkACAAbQBpAGwAawBcAG4ALQAtAC0ALQAtAC0ALQAtAC0ALQAtAC0ALQAtAC0ALQAtAC0ALQAtAC0ALQAtAC0ALQAtAC0ALQAtAC0ALQAtAC0ALQAtAC0ALQAtAFwAbgAqAC8AXABuAFwAbgBTAG8AdQByAGMAZQBEAGEAdABhAF8ARABhAGkAcgB5AF8ARgBhAHQAQwBvAG4AdABlAG4AdABJAG4ATQBpAGwAawBfAFQAaQB0AGwAZQBcAG4AIAAgAD0ATABBAE0AQgBEAEEAKABcACIARgBhAHQAIABjAG8AbgB0AGUAbgB0ACAAaQBuACAAZgBhAHQAIABhAG4AZAAgAHAAcgBvAHQAZQBpAG4AIABjAG8AcgByAGUAYwB0AGUAZAAgAG0AaQBsAGsAXAAiACkAOwBcAG4AXABuAFMAbwB1AHIAYwBlAEQAYQB0AGEAXwBEAGEAaQByAHkAXwBGAGEAdABDAG8AbgB0AGUAbgB0AEkAbgBNAGkAbABrAF8AVgBhAHIAaQBhAGIAbABlAFwAbgAgACAAPQBMAEEATQBCAEQAQQAoAFwAIgBGAEMAXwBqAFwAIgApADsAXABuAFwAbgBTAG8AdQByAGMAZQBEAGEAdABhAF8ARABhAGkAcgB5AF8ARgBhAHQAQwBvAG4AdABlAG4AdABJAG4ATQBpAGwAawBfAFUAbgBpAHQAXABuACAAIAA9AEwAQQBNAEIARABBACgAXAAiAHAAZQByAGMAZQBuAHQAXAAiACkAOwBcAG4AXABuAFMAbwB1AHIAYwBlAEQAYQB0AGEAXwBEAGEAaQByAHkAXwBGAGEAdABDAG8AbgB0AGUAbgB0AEkAbgBNAGkAbABrAF8AUwBvAHUAcgBjAGUAXABuACAAIAA9AEwAQQBNAEIARABBACgAXAAiAFYARQBFAFIARwAgADIAMAAyADYAOgAgADMALgAzAC4AMgAuADIAIABEAEEAVABBACAAKABNAEUAVABIAE8ARAAgADEAIABBAE4ARAAgADIAIABPAFAAVABJAE8ATgBTACkAXAAiACkAOwBcAG4AXABuAFMAbwB1AHIAYwBlAEQAYQB0AGEAXwBEAGEAaQByAHkAXwBGAGEAdABDAG8AbgB0AGUAbgB0AEkAbgBNAGkAbABrAF8AVgBhAHIAaQBhAHQAaQBvAG4AXABuACAAIAA9AEwAQQBNAEIARABBACgAXAAiAFwAIgApADsAXABuAFwAbgBTAG8AdQByAGMAZQBEAGEAdABhAF8ARABhAGkAcgB5AF8ARgBhAHQAQwBvAG4AdABlAG4AdABJAG4ATQBpAGwAawBfAEQAYQB0AGEAXABuACAAIAA9AEwAQQBNAEIARABBACgANAAuADAAKQA7AFwAbgBcAG4AXABuAC8AKgAgAFwAbgAtAC0ALQAtAC0ALQAtAC0ALQAtAC0ALQAtAC0ALQAtAC0ALQAtAC0ALQAtAC0ALQAtAC0ALQAtAC0ALQAtAC0ALQAtAC0ALQAtAC0AXABuAFMAbwB1AHIAYwBlAEQAYQB0AGEAXwBEAGEAaQByAHkAXwBQAHIAbwB0AGUAaQBuAEMAbwBuAHQAZQBuAHQASQBuAE0AaQBsAGsAXABuAFAAcgBvAHQAZQBpAG4AIABjAG8AbgB0AGUAbgB0ACAAaQBuACAAZgBhAHQAIABhAG4AZAAgAHAAcgBvAHQAZQBpAG4AIABjAG8AcgByAGUAYwB0AGUAZAAgAG0AaQBsAGsAXABuAC0ALQAtAC0ALQAtAC0ALQAtAC0ALQAtAC0ALQAtAC0ALQAtAC0ALQAtAC0ALQAtAC0ALQAtAC0ALQAtAC0ALQAtAC0ALQAtAC0ALQBcAG4AKgAvAFwAbgBcAG4AUwBvAHUAcgBjAGUARABhAHQAYQBfAEQAYQBpAHIAeQBfAFAAcgBvAHQAZQBpAG4AQwBvAG4AdABlAG4AdABJAG4ATQBpAGwAawBfAFQAaQB0AGwAZQBcAG4AIAAgAD0ATABBAE0AQgBEAEEAKABcACIAUAByAG8AdABlAGkAbgAgAGMAbwBuAHQAZQBuAHQAIABpAG4AIABmAGEAdAAgAGEAbgBkACAAcAByAG8AdABlAGkAbgAgAGMAbwByAHIAZQBjAHQAZQBkACAAbQBpAGwAawBcACIAKQA7AFwAbgBcAG4AUwBvAHUAcgBjAGUARABhAHQAYQBfAEQAYQBpAHIAeQBfAFAAcgBvAHQAZQBpAG4AQwBvAG4AdABlAG4AdABJAG4ATQBpAGwAawBfAFYAYQByAGkAYQBiAGwAZQBcAG4AIAAgAD0ATABBAE0AQgBEAEEAKABcACIAUABDAF8AagBcACIAKQA7AFwAbgBcAG4AUwBvAHUAcgBjAGUARABhAHQAYQBfAEQAYQBpAHIAeQBfAFAAcgBvAHQAZQBpAG4AQwBvAG4AdABlAG4AdABJAG4ATQBpAGwAawBfAFUAbgBpAHQAXABuACAAIAA9AEwAQQBNAEIARABBACgAXAAiAHAAZQByAGMAZQBuAHQAXAAiACkAOwBcAG4AXABuAFMAbwB1AHIAYwBlAEQAYQB0AGEAXwBEAGEAaQByAHkAXwBQAHIAbwB0AGUAaQBuAEMAbwBuAHQAZQBuAHQASQBuAE0AaQBsAGsAXwBTAG8AdQByAGMAZQBcAG4AIAAgAD0ATABBAE0AQgBEAEEAKABcACIAVgBFAEUAUgBHACAAMgAwADIANgA6ACAAMwAuADMALgAyAC4AMgAgAEQAQQBUAEEAIAAoAE0ARQBUAEgATwBEACAAMQAgAEEATgBEACAAMgAgAE8AUABUAEkATwBOAFMAKQBcACIAKQA7AFwAbgBcAG4AUwBvAHUAcgBjAGUARABhAHQAYQBfAEQAYQBpAHIAeQBfAFAAcgBvAHQAZQBpAG4AQwBvAG4AdABlAG4AdABJAG4ATQBpAGwAawBfAFYAYQByAGkAYQB0AGkAbwBuAFwAbgAgACAAPQBMAEEATQBCAEQAQQAoAFwAIgBcACIAKQA7AFwAbgBcAG4AUwBvAHUAcgBjAGUARABhAHQAYQBfAEQAYQBpAHIAeQBfAFAAcgBvAHQAZQBpAG4AQwBvAG4AdABlAG4AdABJAG4ATQBpAGwAawBfAEQAYQB0AGEAXABuACAAIAA9AEwAQQBNAEIARABBACgAMwAuADMAKQA7ACIAfQAsAHsAIgBwAGEAdABoACIAOgAiAC8AcAByAG8AagBlAGMAdABzAC8AUwBvAHUAcgBjAGUARABhAHQAYQBfAFMAdwBpAG4AZQAiACwAIgB0AGUAeAB0ACIAOgAiAC8AK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UwBvAHUAcgBjAGUAIABkAGEAdABhACAARgBvAHIAIABTAHcAaQBuAGUAXABuAEUAeABjAGUAbAAgAG0AbwBkAHUAbABlACAAbgBhAG0AZQA6ACAAUwBvAHUAcgBjAGUARABhAHQAYQBfAFMAdwBpAG4AZ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XABuAC8AKgAgAFwAbgAtAC0ALQAtAC0ALQAtAC0ALQAtAC0ALQAtAC0ALQAtAC0ALQAtAC0ALQAtAC0ALQAtAC0ALQAtAC0ALQAtAC0ALQAtAC0ALQAtAC0AXABuAFMAbwB1AHIAYwBlAEQAYQB0AGEAXwBTAHcAaQBuAGUAXwBWAG8AbABhAHQAaQBsAGUAUwBvAGwAaQBkAHMAXABuAFYAUwBqAFwAbgBrAGcALwBoAGUAYQBkAC8AZABhAHkAXABuAC0ALQAtAC0ALQAtAC0ALQAtAC0ALQAtAC0ALQAtAC0ALQAtAC0ALQAtAC0ALQAtAC0ALQAtAC0ALQAtAC0ALQAtAC0ALQAtAC0ALQBcAG4AKgAvAFwAbgBcAG4AUwBvAHUAcgBjAGUARABhAHQAYQBfAFMAdwBpAG4AZQBfAFYAbwBsAGEAdABpAGwAZQBTAG8AbABpAGQAcwBfAFQAaQB0AGwAZQBcAG4AIAAgAD0ATABBAE0AQgBEAEEAKABcACIAUwB3AGkAbgBlACAALQAgAFYAbwBsAGEAdABpAGwAZQAgAHMAbwBsAGkAZABzACAAKABWAFMAagApACAALQAgADIAMAAyADAAIAB0AG8AIAAyADAAMgA0AFwAIgApADsAXABuAFwAbgBTAG8AdQByAGMAZQBEAGEAdABhAF8AUwB3AGkAbgBlAF8AVgBvAGwAYQB0AGkAbABlAFMAbwBsAGkAZABzAF8AVQBuAGkAdABcAG4AIAAgAD0ATABBAE0AQgBEAEEAKABcACIAawBnAC8AaABlAGEAZAAvAGQAYQB5AFwAIgApADsAXABuAFwAbgBTAG8AdQByAGMAZQBEAGEAdABhAF8AUwB3AGkAbgBlAF8AVgBvAGwAYQB0AGkAbABlAFMAbwBsAGkAZABzAF8AUwBvAHUAcgBjAGUAXABuACAAIAA9AEwAQQBNAEIARABBACgAXAAiAFYARQBFAFIARwAgADIAMAAyADYAOgAgAFQAYQBiAGwAZQAgAEEALgAxAC4ANgAuADEAOgAgAFMAdwBpAG4AZQAgAC0AIABJAG4AdABhAGsAZQAgAGEAbgBkACAAbQBhAG4AdQByAGUAIABjAGgAYQByAGEAYwB0AGUAcgBpAHMAdABpAGMAcwAgAGQAZQByAGkAdgBlAGQAIABmAHIAbwBtACAAUABpAGcAQgBhAGwAXAAiACkAOwBcAG4AXABuAFMAbwB1AHIAYwBlAEQAYQB0AGEAXwBTAHcAaQBuAGUAXwBWAG8AbABhAHQAaQBsAGUAUwBvAGwAaQBkAHMAXwBWAGEAcgBpAGEAdABpAG8AbgBcAG4AIAAgAD0ATABBAE0AQgBEAEEAKABcACIAVgBBAFIASQBBAFQASQBPAE4AIABPAE4AIABTAE8AVQBSAEMARQAgAEQAQQBUAEEAOgAgAE8AbgBsAHkAIAB1AHMAZQBzACAAZABhAHQAYQAgAGYAbwByACAAMgAwADIAMAAtADIAMAAyADQALgAgAFUAcwBlACAAXAB1ADAAMAAyADcAUwBsAGEAdQBnAGgAdABlAHIAIABwAGkAZwBzAFwAdQAwADAAMgA3ACAAZABhAHQAYQAgAGYAbwByACAAXAB1ADAAMAAyADcATwB0AGgAZQByACAAagA9ADQAXAB1ADAAMAAyADcAIABjAGwAYQBzAHMALgBcACIAKQA7AFwAbgBcAG4AUwBvAHUAcgBjAGUARABhAHQAYQBfAFMAdwBpAG4AZQBfAFYAbwBsAGEAdABpAGwAZQBTAG8AbABpAGQAcwBfAEQAYQB0AGEAXABuACAAIAA9AEwAQQBNAEIARABBACgAXABuACAAIAAgACAATQBBAEsARQBBAFIAUgBBAFkAKAA1ACwAIAAyACwAIABcAG4AIAAgACAAIAAgACAATABBAE0AQgBEAEEAKAByACwAYwAsACAAXABuACAAIAAgACAAIAAgACAAIABJAE4ARABFAFgAKAB7AFwAbgAgACAAIAAgACAAIAAgACAAIAAgAFwAIgBDAGwAYQBzAHMAXAAiACwAIABcACIAVgBTAGoAXAAiADsAXABuACAAIAAgACAAIAAgACAAIAAgACAAXAAiAEIAbwBhAHIAcwBcACIALAAgADAALgA0ADAAOwBcAG4AIAAgACAAIAAgACAAIAAgACAAIABcACIAUwBvAHcAcwBcACIALAAgADAALgA0ADYAOwBcAG4AIAAgACAAIAAgACAAIAAgACAAIABcACIARwBpAGwAdABzAFwAIgAsACAAMAAuADUANQA7AFwAbgAgACAAIAAgACAAIAAgACAAIAAgAFwAIgBPAHQAaABlAHIAcwBcACIALAAgADAALgAzADkAXABuACAAIAAgACAAIAAgACAAIAB9ACwAIAByACwAIABjACkAXABuACAAIAAgACAAIAAgACkAXABuACAAIAAgACAAKQBcAG4AIAAgACkAOwBcAG4AXABuAFwAbgAvACoAIABcAG4ALQAtAC0ALQAtAC0ALQAtAC0ALQAtAC0ALQAtAC0ALQAtAC0ALQAtAC0ALQAtAC0ALQAtAC0ALQAtAC0ALQAtAC0ALQAtAC0ALQAtAFwAbgBTAG8AdQByAGMAZQBEAGEAdABhAF8AUwB3AGkAbgBlAF8ARgBlAGUAZABJAG4AdABhAGsAZQBcAG4ASQBqAFwAbgBrAGcALwBoAGUAYQBkAC8AZABhAHkAXABuAC0ALQAtAC0ALQAtAC0ALQAtAC0ALQAtAC0ALQAtAC0ALQAtAC0ALQAtAC0ALQAtAC0ALQAtAC0ALQAtAC0ALQAtAC0ALQAtAC0ALQBcAG4AKgAvAFwAbgBcAG4AUwBvAHUAcgBjAGUARABhAHQAYQBfAFMAdwBpAG4AZQBfAEYAZQBlAGQASQBuAHQAYQBrAGUAXwBUAGkAdABsAGUAXABuACAAIAA9AEwAQQBNAEIARABBACgAXAAiAFMAdwBpAG4AZQAgAC0AIABGAGUAZQBkACAAaQBuAHQAYQBrAGUAIAAtACAAaQBuAGcAZQBzAHQAZQBkACAAYQBzACAAZgBlAGQAIAAgACgASQBqACkAIAAtACAAMgAwADIAMAAgAHQAbwAgADIAMAAyADQAXAAiACkAOwBcAG4AXABuAFMAbwB1AHIAYwBlAEQAYQB0AGEAXwBTAHcAaQBuAGUAXwBGAGUAZQBkAEkAbgB0AGEAawBlAF8AVQBuAGkAdABcAG4AIAAgAD0ATABBAE0AQgBEAEEAKABcACIAawBnAC8AaABlAGEAZAAvAGQAYQB5AFwAIgApADsAXABuAFwAbgBTAG8AdQByAGMAZQBEAGEAdABhAF8AUwB3AGkAbgBlAF8ARgBlAGUAZABJAG4AdABhAGsAZQBfAFMAbwB1AHIAYwBlAFwAbgAgACAAPQBMAEEATQBCAEQAQQAoAFwAIgBWAEUARQBSAEcAIAAyADAAMgA2ADoAIABUAGEAYgBsAGUAIABBAC4AMQAuADYALgAxADoAIABTAHcAaQBuAGUAIAAtACAASQBuAHQAYQBrAGUAIABhAG4AZAAgAG0AYQBuAHUAcgBlACAAYwBoAGEAcgBhAGMAdABlAHIAaQBzAHQAaQBjAHMAIABkAGUAcgBpAHYAZQBkACAAZgByAG8AbQAgAFAAaQBnAEIAYQBsAFwAIgApADsAXABuAFwAbgBTAG8AdQByAGMAZQBEAGEAdABhAF8AUwB3AGkAbgBlAF8ARgBlAGUAZABJAG4AdABhAGsAZQBfAFYAYQByAGkAYQB0AGkAbwBuAFwAbgAgACAAPQBMAEEATQBCAEQAQQAoAFwAIgBWAEEAUgBJAEEAVABJAE8ATgAgAE8ATgAgAFMATwBVAFIAQwBFACAARABBAFQAQQA6ACAATwBuAGwAeQAgAHUAcwBlAHMAIABkAGEAdABhACAAZgBvAHIAIAAyADAAMgAwAC0AMgAwADIANAAuACAAVQBzAGUAIABcAHUAMAAwADIANwBTAGwAYQB1AGcAaAB0AGUAcgAgAHAAaQBnAHMAXAB1ADAAMAAyADcAIABkAGEAdABhACAAZgBvAHIAIABcAHUAMAAwADIANwBPAHQAaABlAHIAIABqAD0ANABcAHUAMAAwADIANwAgAGMAbABhAHMAcwAuAFwAIgApADsAXABuAFwAbgBTAG8AdQByAGMAZQBEAGEAdABhAF8AUwB3AGkAbgBlAF8ARgBlAGUAZABJAG4AdABhAGsAZQBfAEQAYQB0AGEAXABuACAAIAA9AEwAQQBNAEIARABBACgAXABuACAAIAAgACAATQBBAEsARQBBAFIAUgBBAFkAKAA1ACwAIAAyACwAIABcAG4AIAAgACAAIAAgACAATABBAE0AQgBEAEEAKAByACwAYwAsACAAXABuACAAIAAgACAAIAAgACAAIABJAE4ARABFAFgAKAB7AFwAbgAgACAAIAAgACAAIAAgACAAIAAgAFwAIgBDAGwAYQBzAHMAXAAiACwAIABcACIASQBqAFwAIgA7AFwAbgAgACAAIAAgACAAIAAgACAAIAAgAFwAIgBCAG8AYQByAHMAXAAiACwAIAAyAC4ANgAyADsAXABuACAAIAAgACAAIAAgACAAIAAgACAAXAAiAFMAbwB3AHMAXAAiACwAMgAuADMAMAA7AFwAbgAgACAAIAAgACAAIAAgACAAIAAgAFwAIgBHAGkAbAB0AHMAXAAiACwAIAAyAC4ANQAwADsAXABuACAAIAAgACAAIAAgACAAIAAgACAAXAAiAE8AdABoAGUAcgBzAFwAIgAsACAAMQAuADcAMQBcAG4AIAAgACAAIAAgACAAIAAgAH0ALAAgAHIALAAgAGMAKQBcAG4AIAAgACAAIAAgACAAKQBcAG4AIAAgACAAIAApAFwAbgAgACAAKQA7AFwAbgBcAG4ALwAqACAAXABuAC0ALQAtAC0ALQAtAC0ALQAtAC0ALQAtAC0ALQAtAC0ALQAtAC0ALQAtAC0ALQAtAC0ALQAtAC0ALQAtAC0ALQAtAC0ALQAtAC0ALQBcAG4AUwBvAHUAcgBjAGUARABhAHQAYQBfAFMAdwBpAG4AZQBfAE4AaQB0AHIAbwBnAGUAbgBJAG4AVwBhAHMAdABlAFwAbgBOAFcAagBcAG4AawBnAC8AaABlAGEAZAAvAGQAYQB5AFwAbgAtAC0ALQAtAC0ALQAtAC0ALQAtAC0ALQAtAC0ALQAtAC0ALQAtAC0ALQAtAC0ALQAtAC0ALQAtAC0ALQAtAC0ALQAtAC0ALQAtAC0AXABuACoALwBcAG4AXABuAFMAbwB1AHIAYwBlAEQAYQB0AGEAXwBTAHcAaQBuAGUAXwBOAGkAdAByAG8AZwBlAG4ASQBuAFcAYQBzAHQAZQBfAFQAaQB0AGwAZQBcAG4AIAAgAD0ATABBAE0AQgBEAEEAKABcACIAUwB3AGkAbgBlACAALQAgAE4AaQB0AHIAbwBnAGUAbgAgAGkAbgAgAHcAYQBzAHQAZQAgACgATgBXAGoAKQAgAC0AIAAyADAAMgAwACAAdABvACAAMgAwADIANABcACIAKQA7AFwAbgBcAG4AUwBvAHUAcgBjAGUARABhAHQAYQBfAFMAdwBpAG4AZQBfAE4AaQB0AHIAbwBnAGUAbgBJAG4AVwBhAHMAdABlAF8AVQBuAGkAdABcAG4AIAAgAD0ATABBAE0AQgBEAEEAKABcACIAawBnAC8AaABlAGEAZAAvAGQAYQB5AFwAIgApADsAXABuAFwAbgBTAG8AdQByAGMAZQBEAGEAdABhAF8AUwB3AGkAbgBlAF8ATgBpAHQAcgBvAGcAZQBuAEkAbgBXAGEAcwB0AGUAXwBTAG8AdQByAGMAZQBcAG4AIAAgAD0ATABBAE0AQgBEAEEAKABcACIAVgBFAEUAUgBHACAAMgAwADIANgA6ACAAVABhAGIAbABlACAAQQAuADEALgA2AC4AMQA6ACAAUwB3AGkAbgBlACAALQAgAEkAbgB0AGEAawBlACAAYQBuAGQAIABtAGEAbgB1AHIAZQAgAGMAaABhAHIAYQBjAHQAZQByAGkAcwB0AGkAYwBzACAAZABlAHIAaQB2AGUAZAAgAGYAcgBvAG0AIABQAGkAZwBCAGEAbABcACIAKQA7AFwAbgBcAG4AUwBvAHUAcgBjAGUARABhAHQAYQBfAFMAdwBpAG4AZQBfAE4AaQB0AHIAbwBnAGUAbgBJAG4AVwBhAHMAdABlAF8AVgBhAHIAaQBhAHQAaQBvAG4AXABuACAAIAA9AEwAQQBNAEIARABBACgAXAAiAFYAQQBSAEkAQQBUAEkATwBOACAATwBOACAAUwBPAFUAUgBDAEUAIABEAEEAVABBADoAIABPAG4AbAB5ACAAdQBzAGUAcwAgAGQAYQB0AGEAIABmAG8AcgAgADIAMAAyADAALQAyADAAMgA0AC4AIABVAHMAZQAgAFwAdQAwADAAMgA3AFMAbABhAHUAZwBoAHQAZQByACAAcABpAGcAcwBcAHUAMAAwADIANwAgAGQAYQB0AGEAIABmAG8AcgAgAFwAdQAwADAAMgA3AE8AdABoAGUAcgAgAGoAPQA0AFwAdQAwADAAMgA3ACAAYwBsAGEAcwBzAC4AIABBAGQAZABlAGQAIABcAHUAMAAwADIANwBOAFcAagAgAGQAYQBpAGwAeQBcAHUAMAAwADIANwAgAGMAbwBsAHUAbQBuACAAdABvACAAcAByAG8AdgBpAGQAZQAgAGQAYQBpAGwAeQAgAHYAYQBsAHUAZQAgAGYAbwByACAATwB0AGgAZQByAHMAIABjAGwAYQBzAHMALgAgAEEAZABkAGUAZAAgAFwAdQAwADAAMgA3AEMAbABhAHMAcwAgAG4AYQBtAGUAXAB1ADAAMAAyADcAIABjAG8AbAB1AG0AbgAgAHQAbwAgAGEAaQBkACAAbABvAG8AawB1AHAALgBcACIAKQA7AFwAbgBcAG4AUwBvAHUAcgBjAGUARABhAHQAYQBfAFMAdwBpAG4AZQBfAE4AaQB0AHIAbwBnAGUAbgBJAG4AVwBhAHMAdABlAF8ARABhAHQAYQBcAG4AIAAgAD0ATABBAE0AQgBEAEEAKABcAG4AIAAgACAAIABNAEEASwBFAEEAUgBSAEEAWQAoADUALAAgADQALAAgAFwAbgAgACAAIAAgACAAIABMAEEATQBCAEQAQQAoAHIALABjACwAIABcAG4AIAAgACAAIAAgACAAIAAgAEkATgBEAEUAWAAoAHsAXABuACAAIAAgACAAIAAgACAAIAAgACAAXAAiAEMAbABhAHMAcwBcACIALAAgAFwAIgBOAFcAagBcACIALAAgAFwAIgBOAFcAagAgAGQAYQBpAGwAeQBcACIALAAgAFwAIgBDAGwAYQBzAHMAIABuAGEAbQBlAFwAIgA7AFwAbgAgACAAIAAgACAAIAAgACAAIAAgAFwAIgBCAG8AYQByAHMAXAAiACwAIAAwAC4AMAA0ADYALAAgADAALgAwADQANgAsACAAXAAiAEIAbwBhAHIAcwBcACIAOwBcAG4AIAAgACAAIAAgACAAIAAgACAAIABcACIAUwBvAHcAcwBcACIALAAwAC4AMAA0ADkALAAgADAALgAwADQAOQAsACAAXAAiAFMAbwB3AHMAXAAiADsAXABuACAAIAAgACAAIAAgACAAIAAgACAAXAAiAEcAaQBsAHQAcwBcACIALAAgADAALgAwADQANgAsACAAMAAuADAANAA2ACwAIABcACIARwBpAGwAdABzAFwAIgA7AFwAbgAgACAAIAAgACAAIAAgACAAIAAgAFwAIgBPAHQAaABlAHIAcwAgACgAawBnAC8AaABlAGEAZAAvAHkAZQBhAHIAKQBcACIALAAgADEAMQAuADQALAAgADAALgAwADMAMQAyACwAIABcACIATwB0AGgAZQByAHMAXAAi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YAcgBhAGMAdABpAG8AbgBOAFYAbwBsAGEAdABpAGwAaQBzAGUAZABcAG4ARgByAGEAYwBHAEEAUwBNAG0AVABcAG4AKABrAGcAIABOAEgAMwAtAE4AIAArACAATgBPAHgALQBOACkALwBrAGcATgBcAG4ALQAtAC0ALQAtAC0ALQAtAC0ALQAtAC0ALQAtAC0ALQAtAC0ALQAtAC0ALQAtAC0ALQAtAC0ALQAtAC0ALQAtAC0ALQAtAC0ALQAtAFwAbgAqAC8AXABuAFwAbgBTAG8AdQByAGMAZQBEAGEAdABhAF8AUwB3AGkAbgBlAF8ARgByAGEAYwB0AGkAbwBuAE4AVgBvAGwAYQB0AGkAbABpAHMAZQBkAF8AVABpAHQAbABlAFwAbgAgACAAPQBMAEEATQBCAEQAQQAoAFwAIgBTAHcAaQBuAGUAIAAtACAARgByAGEAYwB0AGkAbwBuACAAbwBmACAAbgBpAHQAcgBvAGcAZQBuACAAdgBvAGwAYQB0AGkAbABpAHMAZQBkACAAKABGAHIAYQBjAEcAQQBTAE0AbQBUACkAXAAiACkAOwBcAG4AXABuAFMAbwB1AHIAYwBlAEQAYQB0AGEAXwBTAHcAaQBuAGUAXwBGAHIAYQBjAHQAaQBvAG4ATgBWAG8AbABhAHQAaQBsAGkAcwBlAGQAXwBVAG4AaQB0AFwAbgAgACAAPQBMAEEATQBCAEQAQQAoAFwAIgAoAGsAZwAgAE4ASAAzAC0ATgAgACsAIABOAE8AeAAtAE4AKQAvAGsAZwBOAFwAIgApADsAXABuAFwAbgBTAG8AdQByAGMAZQBEAGEAdABhAF8AUwB3AGkAbgBlAF8ARgByAGEAYwB0AGkAbwBuAE4AVgBvAGwAYQB0AGkAbABpAHMAZQBkAF8AUwBvAHUAcgBjAGUAXABuACAAIAA9AEwAQQBNAEIARABBACgAXAAiAFYARQBFAFIARwAgADIAMAAyADYAOgAgAFQAYQBiAGwAZQAgAEEALgAxAC4ANgAuADIAOgAgAFMAdwBpAG4AZQAgAC0AIABGAHIAYQBjAHQAaQBvAG4AIABvAGYAIABOACAAdgBvAGwAYQB0AGkAbABpAHMAZQBkACAAYgB5ACAATQBNAFMAIAAoACgAawBnACAATgBIADMALQBOACAAKwAgAE4ATwB4AC0ATgApAC8AawBnAE4AKQAgACgARgByAGEAYwBHAEEAUwBNAG0AVAApAFwAIgApADsAXABuAFwAbgBTAG8AdQByAGMAZQBEAGEAdABhAF8AUwB3AGkAbgBlAF8ARgByAGEAYwB0AGkAbwBuAE4AVgBvAGwAYQB0AGkAbABpAHMAZQBkAF8AVgBhAHIAaQBhAHQAaQBvAG4AXABuACAAIAA9AEwAQQBNAEIARABBACgAXAAiAFYAQQBSAEkAQQBUAEkATwBOACAATwBOACAAUwBPAFUAUgBDAEUAIABEAEEAVABBADoAIABBAGQAZABlAGQAIABcAHUAMAAwADIANwBOAEkAUgAgAHIAZQBmAGUAcgBlAG4AYwBlACAAYwBvAGwAdQBtAG4AIAB0AG8AIABhAGkAZAAgAGwAbwBvAGsAdQBwAC4AXAAiACkAOwBcAG4AXABuAFMAbwB1AHIAYwBlAEQAYQB0AGEAXwBTAHcAaQBuAGUAXwBGAHIAYQBjAHQAaQBvAG4ATgBWAG8AbABhAHQAaQBsAGkAcwBlAGQAXwBEAGEAdABhAFwAbgAgACAAPQBMAEEATQBCAEQAQQAoAFwAbgAgACAAIAAgAE0AQQBLAEUAQQBSAFIAQQBZACgANwAsACAAMwAsACAAXABuACAAIAAgACAAIAAgAEwAQQBNAEIARABBACgAcgAsAGMALAAgAFwAbgAgACAAIAAgACAAIAAgACAASQBOAEQARQBYACgAewBcAG4AIAAgACAAIAAgACAAIAAgACAAIABcACIATQBNAFMAbQBcACIALAAgAFwAIgBGAHIAYQBjAEcAQQBTAE0AbQBUAFwAIgAsACAAXAAiAE4ASQBSACAAcgBlAGYAZQByAGUAbgBjAGUAXAAiADsAXABuACAAIAAgACAAIAAgACAAIAAgACAAXAAiAE8AdQB0AGQAbwBvAHIAIAAoAEQAcgB5ACAAbABvAHQAKQBcACIALAAgADAALgAzACwAIABcACIARAByAHkAbABvAHQAIAAoAGYAZQBlAGQAIABwAGEAZAApAFwAIgA7AFwAbgAgACAAIAAgACAAIAAgACAAIAAgAFwAIgBEAGUAZQBwACAAbABpAHQAdABlAHIAXAAiACwAIAAwAC4AMQAyADUALAAgAFwAIgBEAGUAZQBwACAAbABpAHQAdABlAHIAXAAiADsAXABuACAAIAAgACAAIAAgACAAIAAgACAAXAAiAFMAdABvAGMAawBwAGkAbABlACAAKABTAG8AbABpAGQAIABzAHQAbwByAGEAZwBlACkAXAAiACwAIAAwAC4AMgAsACAAXAAiAFMAbwBsAGkAZAAgAHMAdABvAHIAYQBnAGUAXAAiADsAXABuACAAIAAgACAAIAAgACAAIAAgACAAXAAiAEUAZgBmAGwAdQBlAG4AdAAgAHAAbwBuAGQAIAAoAFUAbgBjAG8AdgBlAHIAZQBkACAAYQBuAGEAZQByAG8AYgBpAGMAIABsAGEAZwBvAG8AbgApAFwAIgAsACAAMAAuADUANQAsACAAXAAiAEEAbgBhAGUAcgBvAGIAaQBjACAAbABhAGcAbwBvAG4AXAAiADsAXABuACAAIAAgACAAIAAgACAAIAAgACAAXAAiAEEAbgBhAGUAcgBvAGIAaQBjACAAZABpAGcAZQBzAHQAZQByACAALwAgAEMAbwB2AGUAcgBlAGQAIABsAGEAZwBvAG8AbgBcACIALAAgADAALAAgAFwAIgBEAGkAZwBlAHMAdABlAHIAIAAvACAAYwBvAHYAZQByAGUAZAAgAGwAYQBnAG8AbwBuAHMAXAAiADsAXABuACAAIAAgACAAIAAgACAAIAAgACAAXAAiAFMAaABvAHIAdAAgAEgAUgBUACAAdABhAG4AawAgAHMAdABvAHIAYQBnAGUAIABcAHUAMAAwADMAYwAgADEAIABtAG8AbgB0AGgAIAAoAHAAaQB0ACAAcwB0AG8AcgBhAGcAZQApAFwAIgAsACAAMAAuADIANQAsACAAXAAiAFAAaQB0ACAAcwB0AG8AcgBhAGcAZQBcACIAXABuACAAIAAgACAAIAAgACAAIAB9ACwAIAByACwAIABjACkAXABuACAAIAAgACAAIAAgACkAXABuACAAIAAgACAAKQBcAG4AIAAgACkAOwBcAG4AXABuAFwAbgAvACoAIABcAG4ALQAtAC0ALQAtAC0ALQAtAC0ALQAtAC0ALQAtAC0ALQAtAC0ALQAtAC0ALQAtAC0ALQAtAC0ALQAtAC0ALQAtAC0ALQAtAC0ALQAtAFwAbgBTAG8AdQByAGMAZQBEAGEAdABhAF8AUwB3AGkAbgBlAF8ATgBpAHQAcgBvAHUAcwBPAHgAaQBkAGUARQBGAHMAXABuAEYAcgBhAGMARwBBAFMATQBtAFQAXABuAGsAZwBOADIATwAgAC0AIABOACAALwAgAGsAZwBOAFwAbgAtAC0ALQAtAC0ALQAtAC0ALQAtAC0ALQAtAC0ALQAtAC0ALQAtAC0ALQAtAC0ALQAtAC0ALQAtAC0ALQAtAC0ALQAtAC0ALQAtAC0AXABuACoALwBcAG4AXABuAFMAbwB1AHIAYwBlAEQAYQB0AGEAXwBTAHcAaQBuAGUAXwBOAGkAdAByAG8AdQBzAE8AeABpAGQAZQBFAEYAcwBfAFQAaQB0AGwAZQBcAG4AIAAgAD0ATABBAE0AQgBEAEEAKABcACIAUwB3AGkAbgBlACAALQAgAE4AaQB0AHIAbwB1AHMAIABvAHgAaQBkAGUAIABFAEYAcwAgAGIAeQAgAE0ATQBTACAAKABFAEYAbQBUACkAXAAiACkAOwBcAG4AXABuAFMAbwB1AHIAYwBlAEQAYQB0AGEAXwBTAHcAaQBuAGUAXwBOAGkAdAByAG8AdQBzAE8AeABpAGQAZQBFAEYAcwBfAFUAbgBpAHQAXABuACAAIAA9AEwAQQBNAEIARABBACgAXAAiAGsAZwBOADIATwAgAC0AIABOACAALwAgAGsAZwBOAFwAIgApADsAXABuAFwAbgBTAG8AdQByAGMAZQBEAGEAdABhAF8AUwB3AGkAbgBlAF8ATgBpAHQAcgBvAHUAcwBPAHgAaQBkAGUARQBGAHMAXwBTAG8AdQByAGMAZQBcAG4AIAAgAD0ATABBAE0AQgBEAEEAKABcACIAVgBFAEUAUgBHACAAMgAwADIANgA6ACAAVABhAGIAbABlACAAQQAuADEALgA2AC4AMwA6ACAAUwB3AGkAbgBlACAALQAgAE4AaQB0AHIAbwB1AHMAIABvAHgAaQBkAGUAIABFAEYAcwAgAGIAeQAgAE0ATQBTACAAKABrAGcATgAyAE8ALQBOAC8AawBnAE4AKQAgACgARQBGAG0AVAApAFwAIgApADsAXABuAFwAbgBTAG8AdQByAGMAZQBEAGEAdABhAF8AUwB3AGkAbgBlAF8ATgBpAHQAcgBvAHUAcwBPAHgAaQBkAGUARQBGAHMAXwBWAGEAcgBpAGEAdABpAG8AbgBcAG4AIAAgAD0ATABBAE0AQgBEAEEAKABcACIAVgBBAFIASQBBAFQASQBPAE4AIABPAE4AIABTAE8AVQBSAEMARQAgAEQAQQBUAEEAOgAgAEEAZABkAGUAZAAgAFwAdQAwADAAMgA3AE4ASQBSACAAcgBlAGYAZQByAGUAbgBjAGUAIABjAG8AbAB1AG0AbgAgAHQAbwAgAGEAaQBkACAAbABvAG8AawB1AHAALgBcACIAKQA7AFwAbgBcAG4AUwBvAHUAcgBjAGUARABhAHQAYQBfAFMAdwBpAG4AZQBfAE4AaQB0AHIAbwB1AHMATwB4AGkAZABlAEUARgBzAF8ARABhAHQAYQBcAG4AIAAgAD0ATABBAE0AQgBEAEEAKABcAG4AIAAgACAAIABNAEEASwBFAEEAUgBSAEEAWQAoADcALAAgADMALAAgAFwAbgAgACAAIAAgACAAIABMAEEATQBCAEQAQQAoAHIALABjACwAIABcAG4AIAAgACAAIAAgACAAIAAgAEkATgBEAEUAWAAoAHsAXABuACAAIAAgACAAIAAgACAAIAAgACAAXAAiAE0ATQBTAG0AXAAiACwAIABcACIARQBGAG0AVABcACIALAAgAFwAIgBOAEkAUgAgAHIAZQBmAGUAcgBlAG4AYwBlAFwAIgA7AFwAbgAgACAAIAAgACAAIAAgACAAIAAgAFwAIgBPAHUAdABkAG8AbwByACAAKABEAHIAeQAgAGwAbwB0ACkAXAAiACwAIAAwAC4AMAAyACwAIABcACIARAByAHkAbABvAHQAIAAoAGYAZQBlAGQAIABwAGEAZAApAFwAIgA7AFwAbgAgACAAIAAgACAAIAAgACAAIAAgAFwAIgBEAGUAZQBwACAAbABpAHQAdABlAHIAXAAiACwAIAAwAC4AMAAxACwAIABcACIARABlAGUAcAAgAGwAaQB0AHQAZQByAFwAIgA7AFwAbgAgACAAIAAgACAAIAAgACAAIAAgAFwAIgBTAHQAbwBjAGsAcABpAGwAZQAgACgAUwBvAGwAaQBkACAAcwB0AG8AcgBhAGcAZQApAFwAIgAsACAAMAAuADAAMAA1ACwAIABcACIAUwBvAGwAaQBkACAAcwB0AG8AcgBhAGcAZQBcACIAOwBcAG4AIAAgACAAIAAgACAAIAAgACAAIABcACIARQBmAGYAbAB1AGUAbgB0ACAAcABvAG4AZAAgACgAVQBuAGMAbwB2AGUAcgBlAGQAIABhAG4AYQBlAHIAbwBiAGkAYwAgAGwAYQBnAG8AbwBuACkAXAAiACwAIAAwACwAIABcACIAQQBuAGEAZQByAG8AYgBpAGMAIABsAGEAZwBvAG8AbgBcACIAOwBcAG4AIAAgACAAIAAgACAAIAAgACAAIABcACIAQQBuAGEAZQByAG8AYgBpAGMAIABkAGkAZwBlAHMAdABvAHIAIAAvACAAQwBvAHYAZQByAGUAZAAgAGwAYQBnAG8AbwBuAFwAIgAsACAAMAAsACAAXAAiAEQAaQBnAGUAcwB0AGUAcgAgAC8AIABjAG8AdgBlAHIAZQBkACAAbABhAGcAbwBvAG4AcwBcACIAOwBcAG4AIAAgACAAIAAgACAAIAAgACAAIABcACIAUwBoAG8AcgB0ACAASABSAFQAIAB0AGEAbgBrACAAcwB0AG8AcgBhAGcAZQAgAFwAdQAwADAAMwBjACAAMQAgAG0AbwBuAHQAaAAgACgAcABpAHQAIABzAHQAbwByAGEAZwBlACkAXAAiACwAIAAwAC4AMAAwADIALAAgAFwAIgBQAGkAdAAgAHMAdABvAHIAYQBnAGUAXAAi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0AZQB0AGgAYQBuAGUAVgBvAGwAYQB0AGkAbABlAFMAbwBsAGkAZABzAEUAbQBpAHMAcwBpAG8AbgBzAFAAbwB0AGUAbgB0AGkAYQBsAFwAbgBCADAAXABuAG0AMwAgAEMASAA0AC8AawBnACAAVgBTAFwAbgAtAC0ALQAtAC0ALQAtAC0ALQAtAC0ALQAtAC0ALQAtAC0ALQAtAC0ALQAtAC0ALQAtAC0ALQAtAC0ALQAtAC0ALQAtAC0ALQAtAC0AXABuACoALwBcAG4AXABuAFMAbwB1AHIAYwBlAEQAYQB0AGEAXwBTAHcAaQBuAGUAXwBNAGUAdABoAGEAbgBlAFYAbwBsAGEAdABpAGwAZQBTAG8AbABpAGQAcwBFAG0AaQBzAHMAaQBvAG4AcwBQAG8AdABlAG4AdABpAGEAbABfAFQAaQB0AGwAZQBcAG4AIAAgAD0ATABBAE0AQgBEAEEAKABcACIARQBtAGkAcwBzAGkAbwBuAHMAIABwAG8AdABlAG4AdABpAGEAbAAgAG8AZgAgAG0AZQB0AGgAYQBuAGUAIABwAGUAcgAgAGsAaQBsAG8AZwByAGEAbQAgAG8AZgAgAHYAbwBsAGEAdABpAGwAZQAgAHMAbwBsAGkAZABzAFwAIgApADsAXABuAFwAbgBTAG8AdQByAGMAZQBEAGEAdABhAF8AUwB3AGkAbgBlAF8ATQBlAHQAaABhAG4AZQBWAG8AbABhAHQAaQBsAGUAUwBvAGwAaQBkAHMARQBtAGkAcwBzAGkAbwBuAHMAUABvAHQAZQBuAHQAaQBhAGwAXwBWAGEAcgBpAGEAYgBsAGUAXABuACAAIAA9AEwAQQBNAEIARABBACgAXAAiAEIAMABcACIAKQA7AFwAbgBcAG4AUwBvAHUAcgBjAGUARABhAHQAYQBfAFMAdwBpAG4AZQBfAE0AZQB0AGgAYQBuAGUAVgBvAGwAYQB0AGkAbABlAFMAbwBsAGkAZABzAEUAbQBpAHMAcwBpAG8AbgBzAFAAbwB0AGUAbgB0AGkAYQBsAF8AVQBuAGkAdABcAG4AIAAgAD0ATABBAE0AQgBEAEEAKABcACIAbQAzACAAQwBIADQAIAAvACAAawBnACAAVgBTAFwAIgApADsAXABuAFwAbgBTAG8AdQByAGMAZQBEAGEAdABhAF8AUwB3AGkAbgBlAF8ATQBlAHQAaABhAG4AZQBWAG8AbABhAHQAaQBsAGUAUwBvAGwAaQBkAHMARQBtAGkAcwBzAGkAbwBuAHMAUABvAHQAZQBuAHQAaQBhAGwAXwBTAG8AdQByAGMAZQBcAG4AIAAgAD0ATABBAE0AQgBEAEEAKABcACIASQBQAEMAQwAgACgAMgAwADEAOQApACwAIABDAGgAYQBwAHQAZQByACAAMQAwACAAWwA0AF0AXAAiACkAOwBcAG4AXABuAFMAbwB1AHIAYwBlAEQAYQB0AGEAXwBTAHcAaQBuAGUAXwBNAGUAdABoAGEAbgBlAFYAbwBsAGEAdABpAGwAZQBTAG8AbABpAGQAcwBFAG0AaQBzAHMAaQBvAG4AcwBQAG8AdABlAG4AdABpAGEAbABfAFYAYQByAGkAYQB0AGkAbwBuAFwAbgAgACAAPQBMAEEATQBCAEQAQQAoAFwAIgBcACIAKQA7AFwAbgBcAG4AUwBvAHUAcgBjAGUARABhAHQAYQBfAFMAdwBpAG4AZQBfAE0AZQB0AGgAYQBuAGUAVgBvAGwAYQB0AGkAbABlAFMAbwBsAGkAZABzAEUAbQBpAHMAcwBpAG8AbgBzAFAAbwB0AGUAbgB0AGkAYQBsAF8ARABhAHQAYQBcAG4AIAAgAD0ATABBAE0AQgBEAEEAKAAwAC4AMQA5ACkAOwBcAG4AXABuAFwAbgAvACoAIABcAG4ALQAtAC0ALQAtAC0ALQAtAC0ALQAtAC0ALQAtAC0ALQAtAC0ALQAtAC0ALQAtAC0ALQAtAC0ALQAtAC0ALQAtAC0ALQAtAC0ALQAtAFwAbgBTAG8AdQByAGMAZQBEAGEAdABhAF8AUwB3AGkAbgBlAF8ATQBNAFMAXwBNAEMARgBzAFwAbgBUAGEAYgBsAGUAIABBAC4AMQAuADYALgA0ADoAIABTAHcAaQBuAGUAIAAtACAATQBDAEYAcwAgACgATQBDAEYAaQBtACkAXABuAC0ALQAtAC0ALQAtAC0ALQAtAC0ALQAtAC0ALQAtAC0ALQAtAC0ALQAtAC0ALQAtAC0ALQAtAC0ALQAtAC0ALQAtAC0ALQAtAC0ALQBcAG4AKgAvAFwAbgBcAG4AUwBvAHUAcgBjAGUARABhAHQAYQBfAFMAdwBpAG4AZQBfAE0ATQBTAF8ATQBDAEYAcwBfAFQAaQB0AGwAZQBcAG4AIAAgAD0ATABBAE0AQgBEAEEAKABcACIATQBlAHQAaABhAG4AZQAgAGMAbwBuAHYAZQByAHMAaQBvAG4AIABmAGEAYwB0AG8AcgAgAGYAbwByACAAdABlAG0AcABlAHIAYQB0AHUAcgBlACAAegBvAG4AZQAgAGEAbgBkACAAbQBhAG4AdQByAGUAIABtAGEAbgBhAGcAZQBtAGUAbgB0ACAAcwB5AHMAdABlAG0ALgBcACIAKQA7AFwAbgBcAG4AUwBvAHUAcgBjAGUARABhAHQAYQBfAFMAdwBpAG4AZQBfAE0ATQBTAF8ATQBDAEYAcwBfAFUAbgBpAHQAXABuACAAIAA9AEwAQQBNAEIARABBACgAXAAiAFwAIgApADsAXABuAFwAbgBTAG8AdQByAGMAZQBEAGEAdABhAF8AUwB3AGkAbgBlAF8ATQBNAFMAXwBNAEMARgBzAF8AUwBvAHUAcgBjAGUAXABuACAAIAA9AEwAQQBNAEIARABBACgAXAAiAFYARQBFAFIARwAgADIAMAAyADYAOgAgAFQAYQBiAGwAZQAgAEEALgAxAC4ANgAuADQAOgAgAFMAdwBpAG4AZQAgAC0AIABNAEMARgBzACAAKABNAEMARgBpAG0AKQBcACIAKQA7AFwAbgBcAG4AUwBvAHUAcgBjAGUARABhAHQAYQBfAFMAdwBpAG4AZQBfAE0ATQBTAF8ATQBDAEYAcwBfAFYAYQByAGkAYQB0AGkAbwBuAFwAbgAgACAAPQBMAEEATQBCAEQAQQAoAFwAIgBWAEEAUgBJAEEAVABJAE8ATgAgAE8ATgAgAFMATwBVAFIAQwBFACAARABBAFQAQQA6ACAAQQBkAGQAZQBkACAAYwBvAGwAdQBtAG4AcwAgAGYAbwByACAAQQBDAFQALAAgAHMAcABsAGkAdAAgAFEATABEACAAYQBuAGQAIABOAFQALgAgAEEAZABkAGUAZAAgAGUAeAB0AHIAYQAgAGMAbwBsAHUAbQBuACAAdwBpAHQAaAAgAE0ATQBTACAAbgBhAG0AZQBzACAAdABoAGEAdAAgAG0AYQB0AGMAaAAgAE4ASQBSACAAZABlAGYAaQBuAGkAdABpAG8AbgBzAFwAIgApADsAXABuAFwAbgBTAG8AdQByAGMAZQBEAGEAdABhAF8AUwB3AGkAbgBlAF8ATQBNAFMAXwBNAEMARgBzAF8ARABhAHQAYQBcAG4AIAAgAD0ATABBAE0AQgBEAEEAKABcAG4AIAAgACAAIABNAEEASwBFAEEAUgBSAEEAWQAoADgALAAgADEAMAAsACAAXABuACAAIAAgACAAIAAgAEwAQQBNAEIARABBACgAcgAsAGMALAAgAFwAbgAgACAAIAAgACAAIAAgACAASQBOAEQARQBYACgAewBcAG4AIAAgACAAIAAgACAAIAAgACAAIABcACIATQBNAFMAXAAiACwAIABcACIATgBTAFcAXAAiACwAIABcACIAQQBDAFQAXAAiACwAIABcACIAUQBMAEQAXAAiACwAIABcACIATgBUAFwAIgAsACAAXAAiAFMAQQBcACIALAAgAFwAIgBUAEEAUwBcACIALAAgAFwAIgBWAEkAQwBcACIALAAgAFwAIgBXAEEAXAAiACwAIABcACIATgBJAFIAIABkAGUAZgBpAG4AaQB0AGkAbwBuAFwAIgA7AFwAbgAgACAAIAAgACAAIAAgACAAIAAgAFwAIgBPAHUAdABkAG8AbwByACAAKABEAHIAeQAgAGwAbwB0ACkAXAAiACwAIAAwAC4AMAAxACwAIAAwAC4AMAAxACwAIAAwAC4AMAAzACwAIAAwAC4AMAAzACwAIAAwAC4AMAAxACwAIAAwAC4AMAAxACwAIAAwAC4AMAAxACwAIAAwAC4AMAAxACwAIABcACIARAByAHkAbABvAHQAIAAoAGYAZQBlAGQAIABwAGEAZAApAFwAIgA7ACAAXABuACAAIAAgACAAIAAgACAAIAAgACAAXAAiAEQAZQBlAHAAIABsAGkAdAB0AGUAcgBcACIALAAgADAALgAwADQALAAgADAALgAwADQALAAgADAALgAwADQALAAgADAALgAwADQALAAgADAALgAwADQALAAgADAALgAwADQALAAgADAALgAwADQALAAgADAALgAwADQALAAgAFwAIgBEAGUAZQBwACAAbABpAHQAdABlAHIAXAAiADsAXABuACAAIAAgACAAIAAgACAAIAAgACAAXAAiAFMAdABvAGMAawBwAGkAbABlACAAKABTAG8AbABpAGQAIABzAHQAbwByAGEAZwBlACkAXAAiACwAIAAwAC4AMAAyACwAIAAwAC4AMAAyACwAIAAwAC4AMAAyACwAIAAwAC4AMAAyACwAIAAwAC4AMAAyACwAIAAwAC4AMAAyACwAIAAwAC4AMAAyACwAIAAwAC4AMAAyACwAIABcACIAUwBvAGwAaQBkACAAcwB0AG8AcgBhAGcAZQBcACIAOwBcAG4AIAAgACAAIAAgACAAIAAgACAAIABcACIARQBmAGYAbAB1AGUAbgB0ACAAcABvAG4AZAAgACgAVQBuAGMAbwB2AGUAcgBlAGQAIABhAG4AYQBlAHIAbwBiAGkAYwAgAGwAYQBnAG8AbwBuACkAXAAiACwAIAAwAC4ANwA1ACwAIAAwAC4ANwA1ACwAIAAwAC4ANwA4ACwAIAAwAC4ANwA4ACwAIAAwAC4ANwA1ACwAIAAwAC4ANwAwACwAIAAwAC4ANwA0ACwAIAAwAC4ANwA2ACwAIABcACIAQQBuAGEAZQByAG8AYgBpAGMAIABsAGEAZwBvAG8AbgBcACIAOwBcAG4AIAAgACAAIAAgACAAIAAgACAAIABcACIAQQBuAGEAZQByAG8AYgBpAGMAIABkAGkAZwBlAHMAdABlAHIAIAAvACAAQwBvAHYAZQByAGUAZAAgAGwAYQBnAG8AbwBuAFwAIgAsACAAMAAuADEALAAgADAALgAxACwAIAAwAC4AMQAsACAAMAAuADEALAAgADAALgAxACwAIAAwAC4AMQAsACAAMAAuADEALAAgADAALgAxACwAIABcACIARABpAGcAZQBzAHQAZQByACAALwAgAGMAbwB2AGUAcgBlAGQAIABsAGEAZwBvAG8AbgBzAFwAIgA7ACAAXABuACAAIAAgACAAIAAgACAAIAAgACAAXAAiAFMAaABvAHIAdAAgAEgAUgBUACAAdABhAG4AawAgAHMAdABvAHIAYQBnAGUAIABcAHUAMAAwADMAYwAgADEAIABtAG8AbgB0AGgAIAAoAHAAaQB0ACAAcwB0AG8AcgBhAGcAZQApAFwAIgAsACAAMAAuADAAMwAsACAAMAAuADAAMwAsACAAMAAuADAAMwAsACAAMAAuADAAMwAsACAAMAAuADAAMwAsACAAMAAuADAAMwAsACAAMAAuADAAMwAsACAAMAAuADAAMwAsACAAXAAiAFAAaQB0ACAAcwB0AG8AcgBhAGcAZQBcACIAOwAgAFwAbgAgACAAIAAgACAAIAAgACAAIAAgAFwAIgBEAGkAcgBlAGMAdAAgAEEAcABwAGwAaQBjAGEAdABpAG8AbgAgAHQAbwAgAHMAbwBpAGwAXAAiACwAIAAwACwAIAAwACwAIAAwACwAIAAwACwAIAAwACwAIAAwACwAIAAwACwAIAAwACwAIABcACIARABpAHIAZQBjAHQAIABhAHAAcABsAGkAYwBhAHQAaQBvAG4AXAAi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EAdgBlAHIAYQBnAGUATABpAHYAZQB3AGUAaQBnAGgAdABcAG4AVwBjAG8AXABuAGsAZwBcAG4ALQAtAC0ALQAtAC0ALQAtAC0ALQAtAC0ALQAtAC0ALQAtAC0ALQAtAC0ALQAtAC0ALQAtAC0ALQAtAC0ALQAtAC0ALQAtAC0ALQAtAFwAbgAqAC8AXABuAFwAbgBTAG8AdQByAGMAZQBEAGEAdABhAF8AUwB3AGkAbgBlAF8AQQB2AGUAcgBhAGcAZQBMAGkAdgBlAHcAZQBpAGcAaAB0AF8AVABpAHQAbABlAFwAbgAgACAAPQBMAEEATQBCAEQAQQAoAFwAIgBTAHcAaQBuAGUAIAAtACAAQQB2AGUAcgBhAGcAZQAgAGwAaQB2AGUAdwBlAGkAZwBoAHQAIAAoAGkAbgB2AGUAbgB0AG8AcgB5ACAAZABlAGYAYQB1AGwAdABzACkAIAAoAGsAZwApACAAKABXAGMAbwApAFwAIgApADsAXABuAFwAbgBTAG8AdQByAGMAZQBEAGEAdABhAF8AUwB3AGkAbgBlAF8AQQB2AGUAcgBhAGcAZQBMAGkAdgBlAHcAZQBpAGcAaAB0AF8AVQBuAGkAdABcAG4AIAAgAD0ATABBAE0AQgBEAEEAKABcACIAawBnAFwAIgApADsAXABuAFwAbgBTAG8AdQByAGMAZQBEAGEAdABhAF8AUwB3AGkAbgBlAF8AQQB2AGUAcgBhAGcAZQBMAGkAdgBlAHcAZQBpAGcAaAB0AF8AUwBvAHUAcgBjAGUAXABuACAAIAA9AEwAQQBNAEIARABBACgAXAAiAFYARQBFAFIARwAgADIAMAAyADYAOgAgAFQAYQBiAGwAZQAgAEEALgAxAC4ANgAuADUAOgAgAFMAdwBpAG4AZQAgAC0AIABBAHYAZQByAGEAZwBlACAAbABpAHYAZQB3AGUAaQBnAGgAdAAgACgAaQBuAHYAZQBuAHQAbwByAHkAIABkAGUAZgBhAHUAbAB0AHMAKQAgACgAawBnACkAIAAoAFcAYwBvACkAXAAiACkAOwBcAG4AXABuAFMAbwB1AHIAYwBlAEQAYQB0AGEAXwBTAHcAaQBuAGUAXwBBAHYAZQByAGEAZwBlAEwAaQB2AGUAdwBlAGkAZwBoAHQAXwBWAGEAcgBpAGEAdABpAG8AbgBcAG4AIAAgAD0ATABBAE0AQgBEAEEAKABcACIALgBcACIAKQA7AFwAbgBcAG4AUwBvAHUAcgBjAGUARABhAHQAYQBfAFMAdwBpAG4AZQBfAEEAdgBlAHIAYQBnAGUATABpAHYAZQB3AGUAaQBnAGgAdABfAEQAYQB0AGEAXABuACAAIAA9AEwAQQBNAEIARABBACgAXABuACAAIAAgACAATQBBAEsARQBBAFIAUgBBAFkAKAA2ACwAIAAyACwAIABcAG4AIAAgACAAIAAgACAATABBAE0AQgBEAEEAKAByACwAYwAsACAAXABuACAAIAAgACAAIAAgACAAIABJAE4ARABFAFgAKAB7AFwAbgAgACAAIAAgACAAIAAgACAAIAAgAFwAIgBMAGkAdgBlAHMAdABvAGMAawAgAFQAeQBwAGUAIABqAFwAIgAsACAAXAAiAEEAdgBlAHIAYQBnAGUAIABMAGkAdgBlAHcAZQBpAGcAaAB0ACAAKABrAGcAKQBcACIAOwBcAG4AIAAgACAAIAAgACAAIAAgACAAIABcACIAUwBvAHcAcwBcACIALAAgADEAOAA4ADsAXABuACAAIAAgACAAIAAgACAAIAAgACAAXAAiAEIAbwBhAHIAcwBcACIALAAgADIAMAA2ADsAXABuACAAIAAgACAAIAAgACAAIAAgACAAXAAiAEcAaQBsAHQAcwBcACIALAAgADEAMgA1ADsAXABuACAAIAAgACAAIAAgACAAIAAgACAAXAAiAFMAbABhAHUAZwBoAHQAZQByACAAcABpAGcAcwBcACIALAAgADMAOQA7AFwAbgAgACAAIAAgACAAIAAgACAAIAAgAFwAIgBTAGwAYQB1AGcAaAB0AGUAcgAgAHAAaQBnAHMAIABhAHQAIAB0AHUAcgBuAG8AZgBmAFwAIgAsACAAOQA3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FAAcgBvAGQAdQBjAHQAaQBvAG4AUwB5AHMAdABlAG0AcwBcAG4ANAAuADUAIABTAHcAaQBuAGUAIABGAGkAZwB1AHIAZQAgADQALgA4AFwAbgAtAC0ALQAtAC0ALQAtAC0ALQAtAC0ALQAtAC0ALQAtAC0ALQAtAC0ALQAtAC0ALQAtAC0ALQAtAC0ALQAtAC0ALQAtAC0ALQAtAC0AXABuACoALwBcAG4AXABuAFMAbwB1AHIAYwBlAEQAYQB0AGEAXwBTAHcAaQBuAGUAXwBQAHIAbwBkAHUAYwB0AGkAbwBuAFMAeQBzAHQAZQBtAHMAXwBUAGkAdABsAGUAXABuACAAIAA9AEwAQQBNAEIARABBACgAXAAiAFMAdwBpAG4AZQAgAHAAcgBvAGQAdQBjAHQAaQBvAG4AIABzAHkAcwB0AGUAbQBzAFwAIgApADsAXABuAFwAbgBTAG8AdQByAGMAZQBEAGEAdABhAF8AUwB3AGkAbgBlAF8AUAByAG8AZAB1AGMAdABpAG8AbgBTAHkAcwB0AGUAbQBzAF8AVQBuAGkAdABcAG4AIAAgAD0ATABBAE0AQgBEAEEAKABcACIAXAAiACkAOwBcAG4AXABuAFMAbwB1AHIAYwBlAEQAYQB0AGEAXwBTAHcAaQBuAGUAXwBQAHIAbwBkAHUAYwB0AGkAbwBuAFMAeQBzAHQAZQBtAHMAXwBTAG8AdQByAGMAZQBcAG4AIAAgAD0ATABBAE0AQgBEAEEAKABcACIAVgBFAEUAUgBHACAAMgAwADIANgA6ACAANAAuADUAIABTAHcAaQBuAGUAIABGAGkAZwB1AHIAZQAgADQALgA4AFwAIgApADsAXABuAFwAbgBTAG8AdQByAGMAZQBEAGEAdABhAF8AUwB3AGkAbgBlAF8AUAByAG8AZAB1AGMAdABpAG8AbgBTAHkAcwB0AGUAbQBzAF8AVgBhAHIAaQBhAHQAaQBvAG4AXABuACAAIAA9AEwAQQBNAEIARABBACgAXAAiAFwAIgApADsAXABuAFwAbgBTAG8AdQByAGMAZQBEAGEAdABhAF8AUwB3AGkAbgBlAF8AUAByAG8AZAB1AGMAdABpAG8AbgBTAHkAcwB0AGUAbQBzAF8ARABhAHQAYQBcAG4AIAAgAD0ATABBAE0AQgBEAEEAKABcAG4AIAAgACAAIABNAEEASwBFAEEAUgBSAEEAWQAoADQALAAgADEALAAgAFwAbgAgACAAIAAgACAAIABMAEEATQBCAEQAQQAoAHIALABjACwAIABcAG4AIAAgACAAIAAgACAAIAAgAEkATgBEAEUAWAAoAHsAXABuACAAIAAgACAAIAAgACAAIAAgACAAXAAiAFAAcgBvAGQAdQBjAHQAaQBvAG4AIABzAHkAcwB0AGUAbQBcACIAOwBcAG4AIAAgACAAIAAgACAAIAAgACAAIABcACIAQwBvAG4AdgBlAG4AdABpAG8AbgBhAGwAIABoAG8AdQBzAGkAbgBnAFwAIgA7AFwAbgAgACAAIAAgACAAIAAgACAAIAAgAFwAIgBEAGUAZQBwACAAbABpAHQAdABlAHIAIABoAG8AdQBzAGkAbgBnAFwAIgA7AFwAbgAgACAAIAAgACAAIAAgACAAIAAgAFwAIgBPAHUAdABkAG8AbwByAC8AZgByAGUAZQAgAHIAYQBuAGcAZQBcACIAXABuACAAIAAgACAAIAAgACAAIAB9ACwAIAByACwAIABjACkAXABuACAAIAAgACAAIAAgACkAXABuACAAIAAgACAAKQBcAG4AIAAgACkAOwBcAG4AXABuAFwAbgAvACoAIABcAG4ALQAtAC0ALQAtAC0ALQAtAC0ALQAtAC0ALQAtAC0ALQAtAC0ALQAtAC0ALQAtAC0ALQAtAC0ALQAtAC0ALQAtAC0ALQAtAC0ALQAtAFwAbgBTAG8AdQByAGMAZQBEAGEAdABhAF8AUwB3AGkAbgBlAF8ARgByAGEAYwBMAEUAQQBDAEgAXwBEAHIAeQBsAG8AdABNAE0AUwBcAG4ARgByAGEAYwBMAEUAQQBDAEgAXwBNAFMAXABuAGYAcgBhAGMAdABpAG8AbgBcAG4ALQAtAC0ALQAtAC0ALQAtAC0ALQAtAC0ALQAtAC0ALQAtAC0ALQAtAC0ALQAtAC0ALQAtAC0ALQAtAC0ALQAtAC0ALQAtAC0ALQAtAFwAbgAqAC8AXABuAFwAbgBTAG8AdQByAGMAZQBEAGEAdABhAF8AUwB3AGkAbgBlAF8ARgByAGEAYwBMAEUAQQBDAEgAXwBEAHIAeQBsAG8AdABNAE0AUwBfAFQAaQB0AGwAZQBcAG4AIAAgAD0ATABBAE0AQgBEAEEAKABcACIARgByAGEAYwB0AGkAbwBuACAAbwBmACAAbgBpAHQAcgBvAGcAZQBuACAAbABvAHMAdAAgAHQAaAByAG8AdQBnAGgAIABsAGUAYQBjAGgAaQBuAGcAIABhAG4AZAAgAHIAdQBuAG8AZgBmACAAZgBvAHIAIABkAHIAeQBsAG8AdAAgAE0ATQBTAFwAIgApADsAXABuAFwAbgBTAG8AdQByAGMAZQBEAGEAdABhAF8AUwB3AGkAbgBlAF8ARgByAGEAYwBMAEUAQQBDAEgAXwBEAHIAeQBsAG8AdABNAE0AUwBfAFYAYQByAGkAYQBiAGwAZQBcAG4AIAAgAD0ATABBAE0AQgBEAEEAKABcACIARgByAGEAYwBMAEUAQQBDAEgAXwBNAFMAXAAiACkAOwBcAG4AXABuAFMAbwB1AHIAYwBlAEQAYQB0AGEAXwBTAHcAaQBuAGUAXwBGAHIAYQBjAEwARQBBAEMASABfAEQAcgB5AGwAbwB0AE0ATQBTAF8AVQBuAGkAdABcAG4AIAAgAD0ATABBAE0AQgBEAEEAKABcACIAZgByAGEAYwB0AGkAbwBuAFwAIgApADsAXABuAFwAbgBTAG8AdQByAGMAZQBEAGEAdABhAF8AUwB3AGkAbgBlAF8ARgByAGEAYwBMAEUAQQBDAEgAXwBEAHIAeQBsAG8AdABNAE0AUwBfAFMAbwB1AHIAYwBlAFwAbgAgACAAPQBMAEEATQBCAEQAQQAoAFwAIgBWAEUARQBSAEcAIAAyADAAMgA2ADoAIAA0AC4ANQAuADIALgAzACAAQwBPAE4AUwBUAEEATgBUAFwAIgApADsAXABuAFwAbgBTAG8AdQByAGMAZQBEAGEAdABhAF8AUwB3AGkAbgBlAF8ARgByAGEAYwBMAEUAQQBDAEgAXwBEAHIAeQBsAG8AdABNAE0AUwBfAFYAYQByAGkAYQB0AGkAbwBuAFwAbgAgACAAPQBMAEEATQBCAEQAQQAoAFwAIgBWAEEAUgBJAEEAVABJAE8ATgAgAE8ATgAgAFMATwBVAFIAQwBFADoAIABUAGUAeAB0ACAAcgBlAGYAZQByAHMAIAB0AG8AIABcAHUAMAAwADIANwBzAG8AbABpAGQAIABzAHQAbwByAGEAZwBlAFwAdQAwADAAMgA3ACAATQBNAFMALAAgAGIAdQB0ACAAZQBxAHUAYQB0AGkAbwBuACAAcgBlAGYAZQByAHMAIAB0AG8AIABcAHUAMAAwADIANwBkAHIAeQBsAG8AdABcAHUAMAAwADIANwAgAE0ATQBTAC4AXAAiACkAOwBcAG4AXABuAFMAbwB1AHIAYwBlAEQAYQB0AGEAXwBTAHcAaQBuAGUAXwBGAHIAYQBjAEwARQBBAEMASABfAEQAcgB5AGwAbwB0AE0ATQBTAF8ARABhAHQAYQBcAG4AIAAgAD0ATABBAE0AQgBEAEEAKAAwAC4AMAAyACkAOwBcAG4AXABuAFwAbgAvACoAIABcAG4ALQAtAC0ALQAtAC0ALQAtAC0ALQAtAC0ALQAtAC0ALQAtAC0ALQAtAC0ALQAtAC0ALQAtAC0ALQAtAC0ALQAtAC0ALQAtAC0ALQAtAFwAbgBTAG8AdQByAGMAZQBEAGEAdABhAF8AUwB3AGkAbgBlAF8ATQBlAGcAYQBqAG8AdQBsAGUAcwBQAGUAcgBLAGkAbABvAGcAcgBhAG0ATQBlAHQAaABhAG4AZQBcAG4ARgBcAG4ATQBKAC8AawBnACAAQwBIADQAXABuAFwAbgAtAC0ALQAtAC0ALQAtAC0ALQAtAC0ALQAtAC0ALQAtAC0ALQAtAC0ALQAtAC0ALQAtAC0ALQAtAC0ALQAtAC0ALQAtAC0ALQAtAC0AXABuACoALwBcAG4AXABuAFMAbwB1AHIAYwBlAEQAYQB0AGEAXwBTAHcAaQBuAGUAXwBNAGUAZwBhAGoAbwB1AGwAZQBzAFAAZQByAEsAaQBsAG8AZwByAGEAbQBNAGUAdABoAGEAbgBlAF8AVABpAHQAbABlAFwAbgAgACAAPQBMAEEATQBCAEQAQQAoAFwAIgBNAGUAZwBhAGoAbwB1AGwAZQBzACAAcABlAHIAIABrAGkAbABvAGcAcgBhAG0AIABvAGYAIABtAGUAdABoAGEAbgBlAFwAIgApADsAXABuAFwAbgBTAG8AdQByAGMAZQBEAGEAdABhAF8AUwB3AGkAbgBlAF8ATQBlAGcAYQBqAG8AdQBsAGUAcwBQAGUAcgBLAGkAbABvAGcAcgBhAG0ATQBlAHQAaABhAG4AZQBfAFYAYQByAGkAYQBiAGwAZQBcAG4AIAAgAD0ATABBAE0AQgBEAEEAKABcACIARgBcACIAKQA7AFwAbgBcAG4AUwBvAHUAcgBjAGUARABhAHQAYQBfAFMAdwBpAG4AZQBfAE0AZQBnAGEAagBvAHUAbABlAHMAUABlAHIASwBpAGwAbwBnAHIAYQBtAE0AZQB0AGgAYQBuAGUAXwBVAG4AaQB0AFwAbgAgACAAPQBMAEEATQBCAEQAQQAoAFwAIgBNAEoAIAAvACAAawBnACAAQwBIADQAXAAiACkAOwBcAG4AXABuAFMAbwB1AHIAYwBlAEQAYQB0AGEAXwBTAHcAaQBuAGUAXwBNAGUAZwBhAGoAbwB1AGwAZQBzAFAAZQByAEsAaQBsAG8AZwByAGEAbQBNAGUAdABoAGEAbgBlAF8AUwBvAHUAcgBjAGUAXABuACAAIAA9AEwAQQBNAEIARABBACgAXAAiAFYARQBFAFIARwAgADIAMAAyADYAOgAgADMALgA1AC4AMgAuADMAIABDAE8ATgBTAFQAQQBOAFQAXAAiACkAOwBcAG4AXABuAFMAbwB1AHIAYwBlAEQAYQB0AGEAXwBTAHcAaQBuAGUAXwBNAGUAZwBhAGoAbwB1AGwAZQBzAFAAZQByAEsAaQBsAG8AZwByAGEAbQBNAGUAdABoAGEAbgBlAF8AVgBhAHIAaQBhAHQAaQBvAG4AXABuACAAIAA9AEwAQQBNAEIARABBACgAXAAiAFwAIgApADsAXABuAFwAbgBTAG8AdQByAGMAZQBEAGEAdABhAF8AUwB3AGkAbgBlAF8ATQBlAGcAYQBqAG8AdQBsAGUAcwBQAGUAcgBLAGkAbABvAGcAcgBhAG0ATQBlAHQAaABhAG4AZQBfAEQAYQB0AGEAXABuACAAIAA9AEwAQQBNAEIARABBACgANQA1AC4AMgAyACkAOwAiAH0ALAB7ACIAcABhAHQAaAAiADoAIgAvAHAAcgBvAGoAZQBjAHQAcwAvAFMAbwB1AHIAYwBlAEQAYQB0AGEAXwBQAG8AdQBsAHQAcgB5ACIALAAiAHQAZQB4AHQAIgA6ACIALwAqACAAXABuAC0ALQAtAC0ALQAtAC0ALQAtAC0ALQAtAC0ALQAtAC0ALQAtAC0ALQAtAC0ALQAtAC0ALQAtAC0ALQAtAC0ALQAtAC0ALQAtAC0ALQBcAG4AUwBvAHUAcgBjAGUARABhAHQAYQBfAFAAbwB1AGwAdAByAHkAXwBEAGkAZQB0AFAAcgBvAHAAZQByAHQAaQBlAHMAXABuAFQAYQBiAGwAZQAgAEEALgAxAC4ANwAuADEAOgAgAFAAbwB1AGwAdAByAHkAIAAtACAARABpAGUAdAAgAHAAcgBvAHAAZQByAHQAaQBlAHMAXABuAC0ALQAtAC0ALQAtAC0ALQAtAC0ALQAtAC0ALQAtAC0ALQAtAC0ALQAtAC0ALQAtAC0ALQAtAC0ALQAtAC0ALQAtAC0ALQAtAC0ALQBcAG4AKgAvAFwAbgBcAG4AUwBvAHUAcgBjAGUARABhAHQAYQBfAFAAbwB1AGwAdAByAHkAXwBEAGkAZQB0AFAAcgBvAHAAZQByAHQAaQBlAHMAXwBUAGkAdABsAGUAXABuACAAIAA9AEwAQQBNAEIARABBACgAXAAiAFAAbwB1AGwAdAByAHkAIAAtACAARABpAGUAdAAgAHAAcgBvAHAAZQByAHQAaQBlAHMAXAAiACkAOwBcAG4AXABuAFMAbwB1AHIAYwBlAEQAYQB0AGEAXwBQAG8AdQBsAHQAcgB5AF8ARABpAGUAdABQAHIAbwBwAGUAcgB0AGkAZQBzAF8AVQBuAGkAdABcAG4AIAAgAD0ATABBAE0AQgBEAEEAKABcACIAXAAiACkAOwBcAG4AXABuAFMAbwB1AHIAYwBlAEQAYQB0AGEAXwBQAG8AdQBsAHQAcgB5AF8ARABpAGUAdABQAHIAbwBwAGUAcgB0AGkAZQBzAF8AUwBvAHUAcgBjAGUAXABuACAAIAA9AEwAQQBNAEIARABBACgAXAAiAFYARQBFAFIARwAgADIAMAAyADYAOgAgAFQAYQBiAGwAZQAgAEEALgAxAC4ANwAuADEAOgAgAFAAbwB1AGwAdAByAHkAIAAtACAARABpAGUAdAAgAHAAcgBvAHAAZQByAHQAaQBlAHMAXAAiACkAOwBcAG4AXABuAFMAbwB1AHIAYwBlAEQAYQB0AGEAXwBQAG8AdQBsAHQAcgB5AF8ARABpAGUAdABQAHIAbwBwAGUAcgB0AGkAZQBzAF8AVgBhAHIAaQBhAHQAaQBvAG4AXABuACAAIAA9AEwAQQBNAEIARABBACgAXAAiAFwAIgApADsAXABuAFwAbgBTAG8AdQByAGMAZQBEAGEAdABhAF8AUABvAHUAbAB0AHIAeQBfAEQAaQBlAHQAUAByAG8AcABlAHIAdABpAGUAcwBfAEQAYQB0AGEAXABuACAAIAA9AEwAQQBNAEIARABBACgAXABuACAAIAAgACAATQBBAEsARQBBAFIAUgBBAFkAKAA2ACwAIAA1ACwAIABcAG4AIAAgACAAIAAgACAATABBAE0AQgBEAEEAKAByACwAYwAsACAAXABuACAAIAAgACAAIAAgACAAIABJAE4ARABFAFgAKAB7AFwAbgAgACAAIAAgACAAIAAgACAAIAAgAFwAIgBOAHUAdAByAGkAZQBuAHQAIABhAG4AYQBsAHkAcwBpAHMAXAAiACwAIABcACIATABhAHkAZQByAHMAXAAiACwAIABcACIATQBlAGEAdAAgAGMAaABpAGMAawBlAG4AIABnAHIAbwB3AGUAcgBzAFwAIgAsACAAXAAiAE0AZQBhAHQAIABjAGgAaQBjAGsAZQBuACAAYgByAGUAZQBkAGUAcgBcACIALAAgAFwAIgBNAGUAYQB0ACAAbwB0AGgAZQByAFwAIgA7AFwAbgAgACAAIAAgACAAIAAgACAAIAAgAFwAIgBEAHIAeQAgAG0AYQB0AHQAZQByACAAaQBuAHQAYQBrAGUAIAAoAGsAZwAvAGgAZQBhAGQALwBkAGEAeQApAFwAIgAsACAAMAAuADAAOAA2ACwAIAAwAC4AMAA5ADMALAAgADAALgAxADAAMwAsACAAMAAuADAAOQAzADsAIABcAG4AIAAgACAAIAAgACAAIAAgACAAIABcACIARAByAHkAIABtAGEAdAB0AGUAcgAgAGQAaQBnAGUAcwB0AGkAYgBpAGwAaQB0AHkAXAAiACwAIAAwAC4AOAAwACwAIAAwAC4AOAAwACwAIAAwAC4AOAAwACwAIAAwAC4AOAAwADsAXABuACAAIAAgACAAIAAgACAAIAAgACAAXAAiAEMAcgB1AGQAZQAgAHAAcgBvAHQAZQBpAG4AXAAiACwAIAAwAC4AMQA5ACwAIAAwAC4AMgAzACwAIAAwAC4AMQA5ACwAIAAwAC4AMgAzADsAXABuACAAIAAgACAAIAAgACAAIAAgACAAXAAiAE4AaQB0AHIAbwBnAGUAbgAgAHIAZQB0AGUAbgB0AGkAbwBuACAAcgBhAHQAZQBcACIALAAgADAALgAzADUALAAgADAALgA0ADcALAAgADAALgAzADIALAAgADAALgA0ADcAOwBcAG4AIAAgACAAIAAgACAAIAAgACAAIABcACIATQBhAG4AdQByAGUAIABhAHMAaABcACIALAAgADAALgAxADgALAAgADAALgAxADUALAAgADAALgAxADgALAAgADAALgAxADUAXABuACAAIAAgACAAIAAgACAAIAB9ACwAIAByACwAIABjACkAXABuACAAIAAgACAAIAAgACkAXABuACAAIAAgACAAKQBcAG4AIAAgACkAOwBcAG4AXABuAC8AKgAgAFwAbgAtAC0ALQAtAC0ALQAtAC0ALQAtAC0ALQAtAC0ALQAtAC0ALQAtAC0ALQAtAC0ALQAtAC0ALQAtAC0ALQAtAC0ALQAtAC0ALQAtAC0AXABuAFMAbwB1AHIAYwBlAEQAYQB0AGEAXwBQAG8AdQBsAHQAcgB5AF8ATQBDAEYAXABuAFQAYQBiAGwAZQAgAEEALgAxAC4ANwAuADQAOgAgAFAAbwB1AGwAdAByAHkAIAAtACAATQBDAEYAcwBcAG4ALQAtAC0ALQAtAC0ALQAtAC0ALQAtAC0ALQAtAC0ALQAtAC0ALQAtAC0ALQAtAC0ALQAtAC0ALQAtAC0ALQAtAC0ALQAtAC0ALQAtAFwAbgAqAC8AXABuAFwAbgBTAG8AdQByAGMAZQBEAGEAdABhAF8AUABvAHUAbAB0AHIAeQBfAE0AQwBGAF8AVABpAHQAbABlAFwAbgAgACAAPQBMAEEATQBCAEQAQQAoAFwAIgBQAG8AdQBsAHQAcgB5ACAALQAgAE0AQwBGAHMAXAAiACkAOwBcAG4AXABuAFMAbwB1AHIAYwBlAEQAYQB0AGEAXwBQAG8AdQBsAHQAcgB5AF8ATQBDAEYAXwBVAG4AaQB0AFwAbgAgACAAPQBMAEEATQBCAEQAQQAoAFwAIgBcACIAKQA7AFwAbgBcAG4AUwBvAHUAcgBjAGUARABhAHQAYQBfAFAAbwB1AGwAdAByAHkAXwBNAEMARgBfAFMAbwB1AHIAYwBlAFwAbgAgACAAPQBMAEEATQBCAEQAQQAoAFwAIgBWAEUARQBSAEcAIAAyADAAMgA2ADoAIABUAGEAYgBsAGUAIABBAC4AMQAuADcALgA0ADoAIABQAG8AdQBsAHQAcgB5ACAALQAgAE0AQwBGAHMAXAAiACkAOwBcAG4AXABuAFMAbwB1AHIAYwBlAEQAYQB0AGEAXwBQAG8AdQBsAHQAcgB5AF8ATQBDAEY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OACAAUwBPAFUAUgBDAEUAOgBcACIAOwBcAG4AIAAgACAAIAAgACAAIAAgACAAIABcACIAUwBwAGwAaQB0ACAATgBTAFcAIABhAG4AZAAgAEEAQwBUACAAaQBuAHQAbwAgAHMAZQBwAGEAcgBhAHQAZQAgAHMAdABhAHQAZQBzAC4AIABTAHAAbABpAHQAIABRAEwARAAgAGEAbgBkACAATgBUACAAaQBuAHQAbwAgAHMAZQBwAGEAcgBhAHQAZQAgAHMAdABhAHQAZQBzAC4AXAAiADsAXABuACAAIAAgACAAIAAgACAAIAAgACAAXAAiAEkAbgBjAGwAdQBkAGUAZAAgAHYAYQBsAHUAZQBzACAAZgBvAHIAIABlAGEAYwBoACAAcwB0AGEAdABlACAAdwBoAGUAbgAgAFwAdQAwADAAMgA3AEEAbABsACAAcwB0AGEAdABlAHMAXAB1ADAAMAAyADcAIAB2AGEAbAB1AGUAIABpAHMAIABnAGkAdgBlAG4ALgBcACIAOwBcAG4AIAAgACAAIAAgACAAIAAgACAAIABcACIAQQBkAGQAZQBkACAAXAB1ADAAMAAyADcATgBJAFIAIABkAGUAZgBpAG4AaQB0AGkAbwBuAFwAdQAwADAAMgA3ACAAYwBvAGwAdQBtAG4AIAB3AGkAdABoACAATQBNAFMAIABuAGEAbQBlAHMAIAB0AGgAYQB0ACAAbQBhAHQAYwBoACAATgBJAFIAIABkAGUAZgBpAG4AaQB0AGkAbwBuAHMALgBcACIAOwBcAG4AIAAgACAAIAAgACAAIAAgACAAIABcACIARAB1AHAAbABpAGMAYQB0AGUAZAAgAFwAdQAwADAAMgA3AFAAbwB1AGwAdAByAHkAIABtAGEAbgB1AHIAZQAgAHcAaQB0AGgAbwB1AHQAIABsAGkAdAB0AGUAcgBcAHUAMAAwADIANwAgAHIAbwB3ACAAZgBvAHIAIABOAEkAUgAgAE0ATQBTACAAXAB1ADAAMAAyADcAQgBlAGwAdAAgAG0AYQBuAHUAcgBlACAAcgBlAG0AbwB2AGEAbABcAHUAMAAwADIANwAgAGEAbgBkACAAXAB1ADAAMAAyADcATQBhAG4AdQByAGUAIABzAHQAbwByAGUAZAAgAGkAbgAgAGgAbwB1AHMAZQBcAHUAMAAwADIANwBcACIAXABuACAAIAAgACAAIAAgACAAIAB9ACwAIAByACwAIABjACkAXABuACAAIAAgACAAIAAgACkAXABuACAAIAAgACAAKQBcAG4AIAAgACkAOwBcAG4AXABuAFMAbwB1AHIAYwBlAEQAYQB0AGEAXwBQAG8AdQBsAHQAcgB5AF8ATQBDAEYAXwBEAGEAdABhAFwAbgAgACAAPQBMAEEATQBCAEQAQQAoAFwAbgAgACAAIAAgAE0AQQBLAEUAQQBSAFIAQQBZACgAMQAwACwAIAAxADEALAAgAFwAbgAgACAAIAAgACAAIABMAEEATQBCAEQAQQAoAHIALABjACwAIABcAG4AIAAgACAAIAAgACAAIAAgAEkATgBEAEUAWAAoAHsAXABuACAAIAAgACAAIAAgACAAIAAgACAAXAAiAE0ATQBTACAAbQBcACIALAAgAFwAIgBBAGwAbAAgAHMAdABhAHQAZQBzAFwAIgAsACAAXAAiAE4AUwBXAFwAIgAsACAAXAAiAEEAQwBUAFwAIgAsACAAXAAiAFEATABEAFwAIgAsACAAXAAiAE4AVABcACIALAAgAFwAIgBWAEkAQwBcACIALAAgAFwAIgBTAEEAXAAiACwAIABcACIAVwBBAFwAIgAsACAAXAAiAFQAQQBTAFwAIgAsACAAXAAiAE4ASQBSACAAZABlAGYAaQBuAGkAdABpAG8AbgBcACIAOwBcAG4AIAAgACAAIAAgACAAIAAgACAAIABcACIAUABvAHUAbAB0AHIAeQAgAG0AYQBuAHUAcgBlACAAdwBpAHQAaAAgAGwAaQB0AHQAZQByAFwAIgAsACAAMAAuADAAMQA1ACwAIAAwAC4AMAAxADUALAAgADAALgAwADEANQAsACAAMAAuADAAMQA1ACwAIAAwAC4AMAAxADUALAAgADAALgAwADEANQAsACAAMAAuADAAMQA1ACwAIAAwAC4AMAAxADUALAAgADAALgAwADEANQAsACAAXAAiAFAAbwB1AGwAdAByAHkAIABtAGEAbgB1AHIAZQAgAHcAaQB0AGgAIABiAGUAZABkAGkAbgBnAFwAIgA7ACAAXABuACAAIAAgACAAIAAgACAAIAAgACAAXAAiAFAAbwB1AGwAdAByAHkAIABtAGEAbgB1AHIAZQAgAHcAaQB0AGgAbwB1AHQAIABsAGkAdAB0AGUAcgBcACIALAAgADAALgAwADEANQAsACAAMAAuADAAMQA1ACwAIAAwAC4AMAAxADUALAAgADAALgAwADEANQAsACAAMAAuADAAMQA1ACwAIAAwAC4AMAAxADUALAAgADAALgAwADEANQAsACAAMAAuADAAMQA1ACwAIAAwAC4AMAAxADUALAAgAFwAIgBCAGUAbAB0ACAAbQBhAG4AdQByAGUAIAByAGUAbQBvAHYAYQBsAFwAIgA7AFwAbgAgACAAIAAgACAAIAAgACAAIAAgAFwAIgBQAG8AdQBsAHQAcgB5ACAAbQBhAG4AdQByAGUAIAB3AGkAdABoAG8AdQB0ACAAbABpAHQAdABlAHIAXAAiACwAIAAwAC4AMAAxADUALAAgADAALgAwADEANQAsACAAMAAuADAAMQA1ACwAIAAwAC4AMAAxADUALAAgADAALgAwADEANQAsACAAMAAuADAAMQA1ACwAIAAwAC4AMAAxADUALAAgADAALgAwADEANQAsACAAMAAuADAAMQA1ACwAIABcACIATQBhAG4AdQByAGUAIABzAHQAbwByAGUAZAAgAGkAbgAgAGgAbwB1AHMAZQBcACIAOwBcAG4AIAAgACAAIAAgACAAIAAgACAAIABcACIAUABhAHMAdAB1AHIAZQAgAHIAYQBuAGcAZQAgAGEAbgBkACAAcABhAGQAZABvAGMAawBcACIALAAgAFwAIgBuAC8AYQBcACIALAAgADAALgAwADEALAAgADAALgAwADEALAAgADAALgAwADMALAAgADAALgAwADMALAAgADAALgAwADEALAAgADAALgAwADEALAAgADAALgAwADEALAAgADAALgAwADEALAAgAFwAIgBQAGEAcwB0AHUAcgBlACAAcgBhAG4AZwBlACAAYQBuAGQAIABwAGEAZABkAG8AYwBrAFwAIgA7AFwAbgAgACAAIAAgACAAIAAgACAAIAAgAFwAIgBTAG8AbABpAGQAIABzAHQAbwByAGEAZwBlAFwAIgAsACAAMAAuADAAMgAsACAAMAAuADAAMgAsACAAMAAuADAAMgAsACAAMAAuADAAMgAsACAAMAAuADAAMgAsACAAMAAuADAAMgAsACAAMAAuADAAMgAsACAAMAAuADAAMgAsACAAMAAuADAAMgAsACAAXAAiAFMAbwBsAGkAZAAgAHMAdABvAHIAYQBnAGUAXAAiADsAXABuACAAIAAgACAAIAAgACAAIAAgACAAXAAiAEMAbwBtAHAAbwBzAHQAaQBuAGcAIAAoAHAAYQBzAHMAaQB2AGUAIAB3AGkAbgBkAHIAbwB3ACkAXAAiACwAIABcACIAbgAvAGEAXAAiACwAIAAwAC4AMAAxACwAIAAwAC4AMAAxACwAIAAwAC4AMAAxACwAIAAwAC4AMAAxACwAIAAwAC4AMAAxACwAIAAwAC4AMAAxACwAIAAwAC4AMAAxACwAIAAwAC4AMAAwADUALAAgAFwAIgBDAG8AbQBwAG8AcwB0AGkAbgBnACAAKABwAGEAcwBzAGkAdgBlACAAdwBpAG4AZAByAG8AdwApAFwAIgA7AFwAbgAgACAAIAAgACAAIAAgACAAIAAgAFwAIgBBAG4AYQBlAHIAbwBiAGkAYwAgAGQAaQBnAGUAcwB0AGUAcgAgAC8AIABDAG8AdgBlAHIAZQBkACAAcABvAG4AZABcACIALAAgADAALgAxACwAIAAwAC4AMQAsACAAMAAuADEALAAgADAALgAxACwAIAAwAC4AMQAsACAAMAAuADEALAAgADAALgAxACwAIAAwAC4AMQAsACAAMAAuADEALAAgAFwAIgBEAGkAZwBlAHMAdABlAHIAIAAvACAAYwBvAHYAZQByAGUAZAAgAGwAYQBnAG8AbwBuAHMAXAAiADsAXABuACAAIAAgACAAIAAgACAAIAAgACAAXAAiAEQAaQByAGUAYwB0ACAAcAByAG8AYwBlAHMAcwBpAG4AZwBcACIALAAgADAALAAgADAALAAgADAALAAgADAALAAgADAALAAgADAALAAgADAALAAgADAALAAgADAALAAgAFwAIgBEAGkAcgBlAGMAdAAgAHAAcgBvAGMAZQBzAHMAaQBuAGcAXAAiADsAXABuACAAIAAgACAAIAAgACAAIAAgACAAXAAiAEQAaQByAGUAYwB0ACAAYQBwAHAAbABpAGMAYQB0AGkAbwBuACAAdABvACAAcwBvAGkAbABcACIALAAgADAALAAgADAALAAgADAALAAgADAALAAgADAALAAgADAALAAgADAALAAgADAALAAgADAALAAgAFwAIgBEAGkAcgBlAGMAdAAgAGEAcABwAGwAaQBjAGEAdABpAG8AbgBcACIAXABuACAAIAAgACAAIAAgACAAIAB9ACwAIAByACwAIABjACkAXABuACAAIAAgACAAIAAgACkAXABuACAAIAAgACAAKQBcAG4AIAAgACkAOwBcAG4AXABuAFMAbwB1AHIAYwBlAEQAYQB0AGEAXwBQAG8AdQBsAHQAcgB5AF8ATQBDAEYAXwBOAG8AdABlAHMAXABuACAAIAA9AEwAQQBNAEIARABBACgAXAAiAFwAdQAwADAAMgA3AFAAYQBzAHQAdQByAGUAIAByAGEAbgBnAGUAIABhAG4AZAAgAHAAYQBkAGQAbwBjAGsAXAB1ADAAMAAyADcAIABhAHAAcABsAGkAZQBzACAATQBDAEYAIABmAG8AcgAgAGQAcgB5AGwAbwB0AC4AXAAiACkAOwBcAG4AXABuAFwAbgAvACoAIABcAG4ALQAtAC0ALQAtAC0ALQAtAC0ALQAtAC0ALQAtAC0ALQAtAC0ALQAtAC0ALQAtAC0ALQAtAC0ALQAtAC0ALQAtAC0ALQAtAC0ALQAtAFwAbgBTAG8AdQByAGMAZQBEAGEAdABhAF8AUABvAHUAbAB0AHIAeQBfAE0AZQB0AGgAYQBuAGUARQBtAGkAcwBzAGkAbwBuAHMAUABvAHQAZQBuAHQAaQBhAGwAXABuAE0AZQB0AGgAYQBuAGUAIABlAG0AaQBzAHMAaQBvAG4AcwAgAHAAbwB0AGUAbgB0AGkAYQBsACAAcABlAHIAIABwAG8AdQBsAHQAcgB5ACAAYwBsAGEAcwBzAFwAbgAtAC0ALQAtAC0ALQAtAC0ALQAtAC0ALQAtAC0ALQAtAC0ALQAtAC0ALQAtAC0ALQAtAC0ALQAtAC0ALQAtAC0ALQAtAC0ALQAtAC0AXABuACoALwBcAG4AXABuAFMAbwB1AHIAYwBlAEQAYQB0AGEAXwBQAG8AdQBsAHQAcgB5AF8ATQBlAHQAaABhAG4AZQBFAG0AaQBzAHMAaQBvAG4AcwBQAG8AdABlAG4AdABpAGEAbABfAFQAaQB0AGwAZQBcAG4AIAAgAD0ATABBAE0AQgBEAEEAKABcACIAUABvAHUAbAB0AHIAeQAgAC0AIABNAGUAdABoAGEAbgBlACAAZQBtAGkAcwBzAGkAbwBuAHMAIABwAG8AdABlAG4AdABpAGEAbAAgAHAAZQByACAAYwBsAGEAcwBzAFwAIgApADsAXABuAFwAbgBTAG8AdQByAGMAZQBEAGEAdABhAF8AUABvAHUAbAB0AHIAeQBfAE0AZQB0AGgAYQBuAGUARQBtAGkAcwBzAGkAbwBuAHMAUABvAHQAZQBuAHQAaQBhAGwAXwBVAG4AaQB0AFwAbgAgACAAPQBMAEEATQBCAEQAQQAoAFwAIgBtADMAIABDAEgANAAvAGsAZwAgAFYAUwBcACIAKQA7AFwAbgBcAG4AUwBvAHUAcgBjAGUARABhAHQAYQBfAFAAbwB1AGwAdAByAHkAXwBNAGUAdABoAGEAbgBlAEUAbQBpAHMAcwBpAG8AbgBzAFAAbwB0AGUAbgB0AGkAYQBsAF8AUwBvAHUAcgBjAGUAXABuACAAIAA9AEwAQQBNAEIARABBACgAXAAiAFYARQBFAFIARwAgADIAMAAyADYAOgAgADQALgA2AC4AMgAuADMAIABDAE8ATgBTAFQAQQBOAFQAOgAgAFAAbwB1AGwAdAByAHkAIAAtACAATQBlAHQAaABhAG4AZQAgAGUAbQBpAHMAcwBpAG8AbgBzACAAcABvAHQAZQBuAHQAaQBhAGwAIABwAGUAcgAgAGMAbABhAHMAcwBcACIAKQA7AFwAbgBcAG4AUwBvAHUAcgBjAGUARABhAHQAYQBfAFAAbwB1AGwAdAByAHkAXwBNAGUAdABoAGEAbgBlAEUAbQBpAHMAcwBpAG8AbgBzAFAAbwB0AGUAbgB0AGkAYQBsAF8AVgBhAHIAaQBhAHQAaQBvAG4AXABuACAAIAA9AEwAQQBNAEIARABBACgAXAAiAFwAIgApADsAXABuAFwAbgBTAG8AdQByAGMAZQBEAGEAdABhAF8AUABvAHUAbAB0AHIAeQBfAE0AZQB0AGgAYQBuAGUARQBtAGkAcwBzAGkAbwBuAHMAUABvAHQAZQBuAHQAaQBhAGwAXwBEAGEAdABhAFwAbgAgACAAPQBMAEEATQBCAEQAQQAoAFwAbgAgACAAIAAgAE0AQQBLAEUAQQBSAFIAQQBZACgAMwAsACAAMgAsACAAXABuACAAIAAgACAAIAAgAEwAQQBNAEIARABBACgAcgAsAGMALAAgAFwAbgAgACAAIAAgACAAIAAgACAASQBOAEQARQBYACgAewBcAG4AIAAgACAAIAAgACAAIAAgACAAIABcACIAUABvAHUAbAB0AHIAeQAgAGMAbABhAHMAcwBcACIALAAgAFwAIgBCADAAXAAiADsAXABuACAAIAAgACAAIAAgACAAIAAgACAAXAAiAEwAYQB5AGUAcgBzAFwAIgAsACAAMAAuADMAOQA7ACAAXABuACAAIAAgACAAIAAgACAAIAAgACAAXAAiAE0AZQBhAHQAIABjAGgAaQBjAGsAZQBuAHMAXAAiACwAIAAwAC4AMwA2AFwAbgAgACAAIAAgACAAIAAgACAAfQAsACAAcgAsACAAYwApAFwAbgAgACAAIAAgACAAIAApAFwAbgAgACAAIAAgACkAXABuACAAIAApADsAXABuAFwAbgAvACoAIABcAG4ALQAtAC0ALQAtAC0ALQAtAC0ALQAtAC0ALQAtAC0ALQAtAC0ALQAtAC0ALQAtAC0ALQAtAC0ALQAtAC0ALQAtAC0ALQAtAC0ALQAtAFwAbgBTAG8AdQByAGMAZQBEAGEAdABhAF8AUABvAHUAbAB0AHIAeQBfAFAAcgBvAGQAdQBjAHQAaQBvAG4AUwB5AHMAdABlAG0AcwBcAG4AUABvAHUAbAB0AHIAeQAgAHAAcgBvAGQAdQBjAHQAaQBvAG4AIABzAHkAcwB0AGUAbQBzAFwAbgAtAC0ALQAtAC0ALQAtAC0ALQAtAC0ALQAtAC0ALQAtAC0ALQAtAC0ALQAtAC0ALQAtAC0ALQAtAC0ALQAtAC0ALQAtAC0ALQAtAC0AXABuACoALwBcAG4AXABuAFMAbwB1AHIAYwBlAEQAYQB0AGEAXwBQAG8AdQBsAHQAcgB5AF8AUAByAG8AZAB1AGMAdABpAG8AbgBTAHkAcwB0AGUAbQBzAF8AVABpAHQAbABlAFwAbgAgACAAPQBMAEEATQBCAEQAQQAoAFwAIgBQAG8AdQBsAHQAcgB5ACAALQAgAFAAcgBvAGQAdQBjAHQAaQBvAG4AIABzAHkAcwB0AGUAbQBzAFwAIgApADsAXABuAFwAbgBTAG8AdQByAGMAZQBEAGEAdABhAF8AUABvAHUAbAB0AHIAeQBfAFAAcgBvAGQAdQBjAHQAaQBvAG4AUwB5AHMAdABlAG0AcwBfAFUAbgBpAHQAXABuACAAIAA9AEwAQQBNAEIARABBACgAXAAiAFwAIgApADsAXABuAFwAbgBTAG8AdQByAGMAZQBEAGEAdABhAF8AUABvAHUAbAB0AHIAeQBfAFAAcgBvAGQAdQBjAHQAaQBvAG4AUwB5AHMAdABlAG0AcwBfAFMAbwB1AHIAYwBlAFwAbgAgACAAPQBMAEEATQBCAEQAQQAoAFwAIgBWAEUARQBSAEcAIAAyADAAMgA2ADoAIAA0AC4ANgAgAFAAbwB1AGwAdAByAHkAXAAiACkAOwBcAG4AXABuAFMAbwB1AHIAYwBlAEQAYQB0AGEAXwBQAG8AdQBsAHQAcgB5AF8AUAByAG8AZAB1AGMAdABpAG8AbgBTAHkAcwB0AGUAbQBzAF8AVgBhAHIAaQBhAHQAaQBvAG4AXABuACAAIAA9AEwAQQBNAEIARABBACgAXAAiAFwAIgApADsAXABuAFwAbgBTAG8AdQByAGMAZQBEAGEAdABhAF8AUABvAHUAbAB0AHIAeQBfAFAAcgBvAGQAdQBjAHQAaQBvAG4AUwB5AHMAdABlAG0AcwBfAEQAYQB0AGEAXABuACAAIAA9AEwAQQBNAEIARABBACgAXABuACAAIAAgACAATQBBAEsARQBBAFIAUgBBAFkAKAA0ACwAIAAxACwAIABcAG4AIAAgACAAIAAgACAATABBAE0AQgBEAEEAKAByACwAYwAsACAAXABuACAAIAAgACAAIAAgACAAIABJAE4ARABFAFgAKAB7AFwAbgAgACAAIAAgACAAIAAgACAAIAAgAFwAIgBQAHIAbwBkAHUAYwB0AGkAbwBuACAAcwB5AHMAdABlAG0AXAAiADsAXABuACAAIAAgACAAIAAgACAAIAAgACAAXAAiAEYAcgBlAGUAIAByAGEAbgBnAGUAXAAiADsAIABcAG4AIAAgACAAIAAgACAAIAAgACAAIABcACIAQgBhAHIAbgBcACIAOwBcAG4AIAAgACAAIAAgACAAIAAgACAAIABcACIAQwBhAGcAZQBcACIAXABuACAAIAAgACAAIAAgACAAIAB9ACwAIAByACwAIABjACkAXABuACAAIAAgACAAIAAgACkAXABuACAAIAAgACAAKQBcAG4AIAAgACkAOwBcAG4AXABuAFwAbgAvACoAIABcAG4ALQAtAC0ALQAtAC0ALQAtAC0ALQAtAC0ALQAtAC0ALQAtAC0ALQAtAC0ALQAtAC0ALQAtAC0ALQAtAC0ALQAtAC0ALQAtAC0ALQAtAFwAbgBTAG8AdQByAGMAZQBEAGEAdABhAF8AUABvAHUAbAB0AHIAeQBfAFYAUwBMAFwAbgBGAHIAYQBjAHQAaQBvAG4AIABvAGYAIAB2AG8AbABhAHQAaQBsAGUAIABzAG8AbABpAGQAcwAgAGwAbwBzAHQAIABpAG4AIAB0AGgAZQAgAHAAcgBpAG0AYQByAHkAIABNAE0AUwBcAG4ALQAtAC0ALQAtAC0ALQAtAC0ALQAtAC0ALQAtAC0ALQAtAC0ALQAtAC0ALQAtAC0ALQAtAC0ALQAtAC0ALQAtAC0ALQAtAC0ALQAtAFwAbgAqAC8AXABuAFwAbgBTAG8AdQByAGMAZQBEAGEAdABhAF8AUABvAHUAbAB0AHIAeQBfAFYAUwBMAF8AVABpAHQAbABlAFwAbgAgACAAPQBMAEEATQBCAEQAQQAoAFwAIgBQAG8AdQBsAHQAcgB5ACAALQAgAEYAcgBhAGMAdABpAG8AbgAgAG8AZgAgAHYAbwBsAGEAdABpAGwAZQAgAHMAbwBsAGkAZABzACAAbABvAHMAdAAgAGkAbgAgAHQAaABlACAAcAByAGkAbQBhAHIAeQAgAE0ATQBTAFwAIgApADsAXABuAFwAbgBTAG8AdQByAGMAZQBEAGEAdABhAF8AUABvAHUAbAB0AHIAeQBfAFYAUwBMAF8AVQBuAGkAdABcAG4AIAAgAD0ATABBAE0AQgBEAEEAKABcACIAXAAiACkAOwBcAG4AXABuAFMAbwB1AHIAYwBlAEQAYQB0AGEAXwBQAG8AdQBsAHQAcgB5AF8AVgBTAEwAXwBTAG8AdQByAGMAZQBcAG4AIAAgAD0ATABBAE0AQgBEAEEAKABcACIAVgBFAEUAUgBHACAAMgAwADIANgA6ACAANAAuADYALgAyAC4AMwAgAEMATwBOAFMAVABBAE4AVABcACIAKQA7AFwAbgBcAG4AUwBvAHUAcgBjAGUARABhAHQAYQBfAFAAbwB1AGwAdAByAHkAXwBWAFMATABfAFYAYQByAGkAYQB0AGkAbwBuAFwAbgAgACAAPQBMAEEATQBCAEQAQQAoAFwAIgBWAEEAUgBJAEEAVABJAE8ATgAgAE8ATgAgAFMATwBVAFIAQwBFADoAIABUAGEAYgBsAGUAIABnAGUAbgBlAHIAYQB0AGUAZAAgAGYAcgBvAG0AIABsAGkAbgBlACAAaQB0AGUAbQBzAC4AIABBAGQAZABlAGQAIABcAHUAMAAwADIANwBOAEkAUgAgAGQAZQBmAGkAbgBpAHQAaQBvAG4AIABjAG8AbAB1AG0AbgBcAHUAMAAwADIANwAuAFwAIgApADsAXABuAFwAbgBTAG8AdQByAGMAZQBEAGEAdABhAF8AUABvAHUAbAB0AHIAeQBfAFYAUwBMAF8ARABhAHQAYQBcAG4AIAAgAD0ATABBAE0AQgBEAEEAKABcAG4AIAAgACAAIABNAEEASwBFAEEAUgBSAEEAWQAoADQALAAgADMALAAgAFwAbgAgACAAIAAgACAAIABMAEEATQBCAEQAQQAoAHIALABjACwAIABcAG4AIAAgACAAIAAgACAAIAAgAEkATgBEAEUAWAAoAHsAXABuACAAIAAgACAAIAAgACAAIAAgACAAXAAiAE0ATQBTAFwAIgAsACAAXAAiAFYAUwBMAFwAIgAsACAAXAAiAE4ASQBSACAAZABlAGYAaQBuAGkAdABpAG8AbgBcACIAOwBcAG4AIAAgACAAIAAgACAAIAAgACAAIABcACIAUABvAHUAbAB0AHIAeQAgAG0AYQBuAHUAcgBlACAAdwBpAHQAaAAgAGwAaQB0AHQAZQByAFwAIgAsACAAMAAuADEANQAsACAAXAAiAFAAbwB1AGwAdAByAHkAIABtAGEAbgB1AHIAZQAgAHcAaQB0AGgAIABiAGUAZABkAGkAbgBnAFwAIgA7AFwAbgAgACAAIAAgACAAIAAgACAAIAAgAFwAIgBQAG8AdQBsAHQAcgB5ACAAbQBhAG4AdQByAGUAIAB3AGkAdABoAG8AdQB0ACAAbABpAHQAdABlAHIAIAAtACAAcwB0AG8AcgBlAGQAIABpAG4AIABoAG8AdQBzAGUAXAAiACwAIAAwAC4AMgAsACAAXAAiAE0AYQBuAHUAcgBlACAAcwB0AG8AcgBlAGQAIABpAG4AIABoAG8AdQBzAGUAXAAiADsAXABuACAAIAAgACAAIAAgACAAIAAgACAAXAAiAFAAbwB1AGwAdAByAHkAIABtAGEAbgB1AHIAZQAgAHcAaQB0AGgAbwB1AHQAIABsAGkAdAB0AGUAcgAgAC0AIABiAGUAbAB0ACAAcgBlAG0AbwB2AGEAbABcACIALAAgADAALAAgAFwAIgBCAGUAbAB0ACAAbQBhAG4AdQByAGUAIAByAGUAbQBvAHYAYQBs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UABvAHUAbAB0AHIAeQBfAEYAcgBhAGMARwBBAFMATQBtAFQAXABuAFQAYQBiAGwAZQAgAEEALgAxAC4ANwAuADIAOgAgAFAAbwB1AGwAdAByAHkAIAAtACAARgByAGEAYwB0AGkAbwBuACAAbwBmACAATgAgAHYAbwBsAGEAdABpAGwAaQBzAGUAZAAgAGIAeQAgAE0ATQBTACAAKAAoAGsAZwAgAE4ASAAzAC0ATgAgACsAIABOAE8AeAAtAE4AKQAvAGsAZwBOACkAIAAoAEYAcgBhAGMARwBBAFMATQBtAFQAKQBcAG4ALQAtAC0ALQAtAC0ALQAtAC0ALQAtAC0ALQAtAC0ALQAtAC0ALQAtAC0ALQAtAC0ALQAtAC0ALQAtAC0ALQAtAC0ALQAtAC0ALQAtAFwAbgAqAC8AXABuAFwAbgBTAG8AdQByAGMAZQBEAGEAdABhAF8AUABvAHUAbAB0AHIAeQBfAEYAcgBhAGMARwBBAFMATQBtAFQAXwBUAGkAdABsAGUAXABuACAAIAA9AEwAQQBNAEIARABBACgAXAAiAFAAbwB1AGwAdAByAHkAIAAtACAARgByAGEAYwB0AGkAbwBuACAAbwBmACAATgAgAHYAbwBsAGEAdABpAGwAaQBzAGUAZAAgAGIAeQAgAE0ATQBTACAAKAAoAGsAZwAgAE4ASAAzAC0ATgAgACsAIABOAE8AeAAtAE4AKQAvAGsAZwBOACkAIAAoAEYAcgBhAGMARwBBAFMATQBtAFQAKQBcACIAKQA7AFwAbgBcAG4AUwBvAHUAcgBjAGUARABhAHQAYQBfAFAAbwB1AGwAdAByAHkAXwBGAHIAYQBjAEcAQQBTAE0AbQBUAF8AVQBuAGkAdABcAG4AIAAgAD0ATABBAE0AQgBEAEEAKABcACIAKABrAGcAIABOAEgAMwAtAE4AIAArACAATgBPAHgALQBOACkALwBrAGcATgBcACIAKQA7AFwAbgBcAG4AUwBvAHUAcgBjAGUARABhAHQAYQBfAFAAbwB1AGwAdAByAHkAXwBGAHIAYQBjAEcAQQBTAE0AbQBUAF8AUwBvAHUAcgBjAGUAXABuACAAIAA9AEwAQQBNAEIARABBACgAXAAiAFYARQBFAFIARwAgADIAMAAyADYAOgAgAFQAYQBiAGwAZQAgAEEALgAxAC4ANwAuADIAXAAiACkAOwBcAG4AXABuAFMAbwB1AHIAYwBlAEQAYQB0AGEAXwBQAG8AdQBsAHQAcgB5AF8ARgByAGEAYwBHAEEAUwBNAG0AVABfAFYAYQByAGkAYQB0AGkAbwBuAFwAbgAgACAAPQBMAEEATQBCAEQAQQAoAFwAIgBWAEEAUgBJAEEAVABJAE8ATgAgAE8ATgAgAFMATwBVAFIAQwBFADoAIABBAGQAZABlAGQAIABcAHUAMAAwADIANwBOAEkAUgAgAGQAZQBmAGkAbgBpAHQAaQBvAG4AIABjAG8AbAB1AG0AbgBcAHUAMAAwADIANwAuAFwAIgApADsAXABuAFwAbgBTAG8AdQByAGMAZQBEAGEAdABhAF8AUABvAHUAbAB0AHIAeQBfAEYAcgBhAGMARwBBAFMATQBtAFQAXwBEAGEAdABhAFwAbgAgACAAPQBMAEEATQBCAEQAQQAoAFwAbgAgACAAIAAgAE0AQQBLAEUAQQBSAFIAQQBZACgAOAAsACAAMwAsACAAXABuACAAIAAgACAAIAAgAEwAQQBNAEIARABBACgAcgAsAGMALAAgAFwAbgAgACAAIAAgACAAIAAgACAASQBOAEQARQBYACgAewBcAG4AIAAgACAAIAAgACAAIAAgACAAIABcACIATQBNAFMAIABtAFwAIgAsACAAXAAiAEYAcgBhAGMARwBBAFMATQBtAFQAXAAiACwAIABcACIATgBJAFIAIAByAGUAZgBlAHIAZQBuAGMAZQBcACIAOwBcAG4AIAAgACAAIAAgACAAIAAgACAAIABcACIAUABvAHUAbAB0AHIAeQAgAG0AYQBuAHUAcgBlACAAdwBpAHQAaAAgAGwAaQB0AHQAZQByACAAKABoAG8AdQBzAGkAbgBnACkAXAAiACwAIAAwAC4AMwAsACAAXAAiAFAAbwB1AGwAdAByAHkAIABtAGEAbgB1AHIAZQAgAHcAaQB0AGgAIABiAGUAZABkAGkAbgBnAFwAIgA7AFwAbgAgACAAIAAgACAAIAAgACAAIAAgAFwAIgBQAG8AdQBsAHQAcgB5ACAAbQBhAG4AdQByAGUAIAB3AGkAdABoAG8AdQB0ACAAbABpAHQAdABlAHIAIAAoAGgAbwB1AHMAaQBuAGcAKQAgAEIAZQBsAHQAIABtAGEAbgB1AHIAZQAgAHIAZQBtAG8AdgBhAGwAXAAiACwAIAAwAC4AMAA1ACwAIABcACIAQgBlAGwAdAAgAG0AYQBuAHUAcgBlACAAcgBlAG0AbwB2AGEAbABcACIAOwBcAG4AIAAgACAAIAAgACAAIAAgACAAIABcACIAUABvAHUAbAB0AHIAeQAgAG0AYQBuAHUAcgBlACAAdwBpAHQAaABvAHUAdAAgAGwAaQB0AHQAZQByACAAKABoAG8AdQBzAGkAbgBnACkAIABNAGEAbgB1AHIAZQAgAHMAdABvAHIAZQBkACAAaQBuACAAaABvAHUAcwBlACAAdQBuAGQAZQByACAAYwBhAGcAZQBzACAAbwByACAAcwBsAGEAdABcACIALAAgADAALgA0ACwAIABcACIATQBhAG4AdQByAGUAIABzAHQAbwByAGUAZAAgAGkAbgAgAGgAbwB1AHMAZQBcACIAOwBcAG4AIAAgACAAIAAgACAAIAAgACAAIABcACIAUwBvAGwAaQBkACAAcwB0AG8AcgBhAGcAZQAgACgAcwB0AG8AYwBrAHAAaQBsAGUAKQBcACIALAAgADAALgAyACwAIABcACIAUwBvAGwAaQBkACAAcwB0AG8AcgBhAGcAZQBcACIAOwBcAG4AIAAgACAAIAAgACAAIAAgACAAIABcACIAQwBvAG0AcABvAHMAdABpAG4AZwAgACgAcABhAHMAcwBpAHYAZQAgAHcAaQBuAGQAcgBvAHcAKQBcACIALAAgADAALgAyACwAIABcACIAQwBvAG0AcABvAHMAdABpAG4AZwAgACgAcABhAHMAcwBpAHYAZQAgAHcAaQBuAGQAcgBvAHcAKQBcACIAOwBcAG4AIAAgACAAIAAgACAAIAAgACAAIABcACIARABpAHIAZQBjAHQAIABwAHIAbwBjAGUAcwBzAGkAbgBnAFwAIgAsACAAMAAsACAAXAAiAEQAaQByAGUAYwB0ACAAcAByAG8AYwBlAHMAcwBpAG4AZwBcACIAOwBcAG4AIAAgACAAIAAgACAAIAAgACAAIABcACIAQQBuAGEAZQByAG8AYgBpAGMAIABkAGkAZwBlAHMAdABlAHIAIAAvACAAYwBvAHYAZQByAGUAZAAgAHAAbwBuAGQAXAAiACwAIAAwACwAIABcACIARABpAGcAZQBzAHQAZQByACAALwAgAGMAbwB2AGUAcgBlAGQAIABsAGEAZwBvAG8AbgBzAFwAIgBcAG4AIAAgACAAIAAgACAAIAAgAH0ALAAgAHIALAAgAGMAKQBcAG4AIAAgACAAIAAgACAAKQBcAG4AIAAgACAAIAApAFwAbgAgACAAKQA7AFwAbgBcAG4AXABuAC8AKgAgAFwAbgAtAC0ALQAtAC0ALQAtAC0ALQAtAC0ALQAtAC0ALQAtAC0ALQAtAC0ALQAtAC0ALQAtAC0ALQAtAC0ALQAtAC0ALQAtAC0ALQAtAC0AXABuAFMAbwB1AHIAYwBlAEQAYQB0AGEAXwBQAG8AdQBsAHQAcgB5AF8ARQBGAG0AVABcAG4AVABhAGIAbABlACAAQQAuADEALgA3AC4AMwA6ACAAUABvAHUAbAB0AHIAeQAgAC0AIABOAGkAdAByAG8AdQBzACAAbwB4AGkAZABlACAARQBGAHMAIABiAHkAIABNAE0AUwAgACgAawBnAE4AMgBPAC0ATgAvAGsAZwBOACkAIAAoAEUARgBtAFQAKQBcAG4ALQAtAC0ALQAtAC0ALQAtAC0ALQAtAC0ALQAtAC0ALQAtAC0ALQAtAC0ALQAtAC0ALQAtAC0ALQAtAC0ALQAtAC0ALQAtAC0ALQAtAFwAbgAqAC8AXABuAFwAbgBTAG8AdQByAGMAZQBEAGEAdABhAF8AUABvAHUAbAB0AHIAeQBfAEUARgBtAFQAXwBUAGkAdABsAGUAXABuACAAIAA9AEwAQQBNAEIARABBACgAXAAiAFAAbwB1AGwAdAByAHkAIAAtACAATgBpAHQAcgBvAHUAcwAgAG8AeABpAGQAZQAgAEUARgBzACAAYgB5ACAATQBNAFMAIAAoAGsAZwBOADIATwAtAE4ALwBrAGcATgApACAAKABFAEYAbQBUACkAXAAiACkAOwBcAG4AXABuAFMAbwB1AHIAYwBlAEQAYQB0AGEAXwBQAG8AdQBsAHQAcgB5AF8ARQBGAG0AVABfAFUAbgBpAHQAXABuACAAIAA9AEwAQQBNAEIARABBACgAXAAiAGsAZwBOADIATwAgAC0AIABOACAALwAgAGsAZwBOAFwAIgApADsAXABuAFwAbgBTAG8AdQByAGMAZQBEAGEAdABhAF8AUABvAHUAbAB0AHIAeQBfAEUARgBtAFQAXwBTAG8AdQByAGMAZQBcAG4AIAAgAD0ATABBAE0AQgBEAEEAKABcACIAVgBFAEUAUgBHACAAMgAwADIANgA6ACAAVABhAGIAbABlACAAQQAuADEALgA3AC4AMwBcACIAKQA7AFwAbgBcAG4AUwBvAHUAcgBjAGUARABhAHQAYQBfAFAAbwB1AGwAdAByAHkAXwBFAEYAbQBUAF8AVgBhAHIAaQBhAHQAaQBvAG4AXABuACAAIAA9AEwAQQBNAEIARABBACgAXAAiAFYAQQBSAEkAQQBUAEkATwBOACAATwBOACAAUwBPAFUAUgBDAEUAOgAgAEEAZABkAGUAZAAgAFwAdQAwADAAMgA3AE4ASQBSACAAZABlAGYAaQBuAGkAdABpAG8AbgAgAGMAbwBsAHUAbQBuAFwAdQAwADAAMgA3AC4AIABEAHUAcABsAGkAYwBhAHQAZQBkACAAXAB1ADAAMAAyADcAUABvAHUAbAB0AHIAeQAgAG0AYQBuAHUAcgBlACAAdwBpAHQAaABvAHUAdAAgAGwAaQB0AHQAZQByAFwAdQAwADAAMgA3ACAAcgBvAHcAIABmAG8AcgAgAE4ASQBSACAATQBNAFMAIABcAHUAMAAwADIANwBCAGUAbAB0ACAAbQBhAG4AdQByAGUAIAByAGUAbQBvAHYAYQBsAFwAdQAwADAAMgA3ACAAYQBuAGQAIABcAHUAMAAwADIANwBNAGEAbgB1AHIAZQAgAHMAdABvAHIAZQBkACAAaQBuACAAaABvAHUAcwBlAFwAdQAwADAAMgA3AC4AXAAiACkAOwBcAG4AXABuAFMAbwB1AHIAYwBlAEQAYQB0AGEAXwBQAG8AdQBsAHQAcgB5AF8ARQBGAG0AVABfAEQAYQB0AGEAXABuACAAIAA9AEwAQQBNAEIARABBACgAXABuACAAIAAgACAATQBBAEsARQBBAFIAUgBBAFkAKAA5ACwAIAAzACwAIABcAG4AIAAgACAAIAAgACAATABBAE0AQgBEAEEAKAByACwAYwAsACAAXABuACAAIAAgACAAIAAgACAAIABJAE4ARABFAFgAKAB7AFwAbgAgACAAIAAgACAAIAAgACAAIAAgAFwAIgBNAE0AUwAgAG0AXAAiACwAIABcACIARQBGAG0AVABcACIALAAgAFwAIgBOAEkAUgAgAHIAZQBmAGUAcgBlAG4AYwBlAFwAIgA7AFwAbgAgACAAIAAgACAAIAAgACAAIAAgAFwAIgBQAG8AdQBsAHQAcgB5ACAAbQBhAG4AdQByAGUAIAB3AGkAdABoACAAbABpAHQAdABlAHIAIAAoAGgAbwB1AHMAaQBuAGcAKQBcACIALAAgADAALgAwADAAMQAsACAAXAAiAFAAbwB1AGwAdAByAHkAIABtAGEAbgB1AHIAZQAgAHcAaQB0AGgAIABiAGUAZABkAGkAbgBnAFwAIgA7AFwAbgAgACAAIAAgACAAIAAgACAAIAAgAFwAIgBQAG8AdQBsAHQAcgB5ACAAbQBhAG4AdQByAGUAIAB3AGkAdABoAG8AdQB0ACAAbABpAHQAdABlAHIAIAAoAGgAbwB1AHMAaQBuAGcAKQBcACIALAAgADAALgAwADAAMQAsACAAXAAiAEIAZQBsAHQAIABtAGEAbgB1AHIAZQAgAHIAZQBtAG8AdgBhAGwAXAAiADsAXABuACAAIAAgACAAIAAgACAAIAAgACAAXAAiAFAAbwB1AGwAdAByAHkAIABtAGEAbgB1AHIAZQAgAHcAaQB0AGgAbwB1AHQAIABsAGkAdAB0AGUAcgAgACgAaABvAHUAcwBpAG4AZwApAFwAIgAsACAAMAAuADAAMAAxACwAIABcACIATQBhAG4AdQByAGUAIABzAHQAbwByAGUAZAAgAGkAbgAgAGgAbwB1AHMAZQBcACIAOwBcAG4AIAAgACAAIAAgACAAIAAgACAAIABcACIAUABhAHMAdAB1AHIAZQAgAHIAYQBuAGcAZQAgAGEAbgBkACAAcABhAGQAZABvAGMAawAgACgAZgByAGUAZQAgAHIAYQBuAGcAZQApAFwAIgAsACAAMAAuADAAMgAsACAAXAAiAFAAYQBzAHQAdQByAGUAIAByAGEAbgBnAGUAIABhAG4AZAAgAHAAYQBkAGQAbwBjAGsAXAAiADsAXABuACAAIAAgACAAIAAgACAAIAAgACAAXAAiAFMAbwBsAGkAZAAgAHMAdABvAHIAYQBnAGUAIAAoAHMAdABvAGMAawBwAGkAbABlACkAXAAiACwAIAAwAC4AMAAwADUALAAgAFwAIgBTAG8AbABpAGQAIABzAHQAbwByAGEAZwBlAFwAIgA7AFwAbgAgACAAIAAgACAAIAAgACAAIAAgAFwAIgBDAG8AbQBwAG8AcwB0AGkAbgBnACAAKABwAGEAcwBzAGkAdgBlACAAdwBpAG4AZAByAG8AdwApAFwAIgAsACAAMAAuADAAMQAsACAAXAAiAEMAbwBtAHAAbwBzAHQAaQBuAGcAIAAoAHAAYQBzAHMAaQB2AGUAIAB3AGkAbgBkAHIAbwB3ACkAXAAiADsAXABuACAAIAAgACAAIAAgACAAIAAgACAAXAAiAEQAaQByAGUAYwB0ACAAcAByAG8AYwBlAHMAcwBpAG4AZwBcACIALAAgADAALAAgAFwAIgBEAGkAcgBlAGMAdAAgAHAAcgBvAGMAZQBzAHMAaQBuAGcAXAAiADsAXABuACAAIAAgACAAIAAgACAAIAAgACAAXAAiAEEAbgBhAGUAcgBvAGIAaQBjACAAZABpAGcAZQBzAHQAZQByACAALwAgAGMAbwB2AGUAcgBlAGQAIABwAG8AbgBkAFwAIgAsACAAMAAsACAAXAAiAEQAaQBnAGUAcwB0AGUAcgAgAC8AIABjAG8AdgBlAHIAZQBkACAAbABhAGcAbwBvAG4AcwBcACIAXABuACAAIAAgACAAIAAgACAAIAB9ACwAIAByACwAIABjACkAXABuACAAIAAgACAAIAAgACkAXABuACAAIAAgACAAKQBcAG4AIAAgACkAOwBcAG4AXABuAC8AKgAgAFwAbgAtAC0ALQAtAC0ALQAtAC0ALQAtAC0ALQAtAC0ALQAtAC0ALQAtAC0ALQAtAC0ALQAtAC0ALQAtAC0ALQAtAC0ALQAtAC0ALQAtAC0AXABuAFMAbwB1AHIAYwBlAEQAYQB0AGEAXwBQAG8AdQBsAHQAcgB5AF8ARgByAGEAYwB0AGkAbwBuAE8AZgBOAGkAdAByAG8AZwBlAG4ATABvAHMAdABUAGgAcgBvAHUAZwBoAEwAZQBhAGMAaABpAG4AZwBBAG4AZABSAHUAbgBvAGYAZgBcAG4ARgByAGEAYwB0AGkAbwBuACAAbwBmACAATgAgAHQAaABhAHQAIABpAHMAIABsAG8AcwB0ACAAdABoAHIAbwB1AGcAaAAgAGwAZQBhAGMAaABpAG4AZwAgAGEAbgBkACAAcgB1AG4AbwBmAGYAIAAoAGQAaQBtAGUAbgBzAGkAbwBuAGwAZQBzAHMAKQBcAG4ALQAtAC0ALQAtAC0ALQAtAC0ALQAtAC0ALQAtAC0ALQAtAC0ALQAtAC0ALQAtAC0ALQAtAC0ALQAtAC0ALQAtAC0ALQAtAC0ALQAtAFwAbgAqAC8AXABuAFwAbgBTAG8AdQByAGMAZQBEAGEAdABhAF8AUABvAHUAbAB0AHIAeQBfAEYAcgBhAGMAdABpAG8AbgBPAGYATgBpAHQAcgBvAGcAZQBuAEwAbwBzAHQAVABoAHIAbwB1AGcAaABMAGUAYQBjAGgAaQBuAGcAQQBuAGQAUgB1AG4AbwBmAGYAXwBUAGkAdABsAGUAXABuACAAIAA9AEwAQQBNAEIARABBACgAXAAiAEYAcgBhAGMAdABpAG8AbgAgAG8AZgAgAE4AIAB0AGgAYQB0ACAAaQBzACAAbABvAHMAdAAgAHQAaAByAG8AdQBnAGgAIABsAGUAYQBjAGgAaQBuAGcAIABhAG4AZAAgAHIAdQBuAG8AZgBmAFwAIgApADsAXABuAFwAbgBTAG8AdQByAGMAZQBEAGEAdABhAF8AUABvAHUAbAB0AHIAeQBfAEYAcgBhAGMAdABpAG8AbgBPAGYATgBpAHQAcgBvAGcAZQBuAEwAbwBzAHQAVABoAHIAbwB1AGcAaABMAGUAYQBjAGgAaQBuAGcAQQBuAGQAUgB1AG4AbwBmAGYAXwBWAGEAcgBpAGEAYgBsAGUAXABuACAAIAA9AEwAQQBNAEIARABBACgAXAAiAEYAcgBhAGMAXwBMAEUAQQBDAEgAXwBNAFMAXAAiACkAOwBcAG4AXABuAFMAbwB1AHIAYwBlAEQAYQB0AGEAXwBQAG8AdQBsAHQAcgB5AF8ARgByAGEAYwB0AGkAbwBuAE8AZgBOAGkAdAByAG8AZwBlAG4ATABvAHMAdABUAGgAcgBvAHUAZwBoAEwAZQBhAGMAaABpAG4AZwBBAG4AZABSAHUAbgBvAGYAZgBfAFUAbgBpAHQAXABuACAAIAA9AEwAQQBNAEIARABBACgAXAAiAEQAaQBtAGUAbgBzAGkAbwBuAGwAZQBzAHMAXAAiACkAOwBcAG4AXABuAFMAbwB1AHIAYwBlAEQAYQB0AGEAXwBQAG8AdQBsAHQAcgB5AF8ARgByAGEAYwB0AGkAbwBuAE8AZgBOAGkAdAByAG8AZwBlAG4ATABvAHMAdABUAGgAcgBvAHUAZwBoAEwAZQBhAGMAaABpAG4AZwBBAG4AZABSAHUAbgBvAGYAZgBfAFMAbwB1AHIAYwBlAFwAbgAgACAAPQBMAEEATQBCAEQAQQAoAFwAIgBWAEUARQBSAEcAIAAyADAAMgA2ADoAIAA0AC4ANgAuADIALgAzACAAQwBPAE4AUwBUAEEATgBUAFMAXAAiACkAOwBcAG4AXABuAFMAbwB1AHIAYwBlAEQAYQB0AGEAXwBQAG8AdQBsAHQAcgB5AF8ARgByAGEAYwB0AGkAbwBuAE8AZgBOAGkAdAByAG8AZwBlAG4ATABvAHMAdABUAGgAcgBvAHUAZwBoAEwAZQBhAGMAaABpAG4AZwBBAG4AZABSAHUAbgBvAGYAZgBfAFYAYQByAGkAYQB0AGkAbwBuAFwAbgAgACAAPQBMAEEATQBCAEQAQQAoAFwAIgBcACIAKQA7AFwAbgBcAG4AUwBvAHUAcgBjAGUARABhAHQAYQBfAFAAbwB1AGwAdAByAHkAXwBGAHIAYQBjAHQAaQBvAG4ATwBmAE4AaQB0AHIAbwBnAGUAbgBMAG8AcwB0AFQAaAByAG8AdQBnAGgATABlAGEAYwBoAGkAbgBnAEEAbgBkAFIAdQBuAG8AZgBmAF8ARABhAHQAYQBcAG4AIAAgAD0ATABBAE0AQgBEAEEAKAAwAC4AMAAyACkAOwBcAG4AXABuAFwAbgAvACoAIABcAG4ALQAtAC0ALQAtAC0ALQAtAC0ALQAtAC0ALQAtAC0ALQAtAC0ALQAtAC0ALQAtAC0ALQAtAC0ALQAtAC0ALQAtAC0ALQAtAC0ALQAtAFwAbgBTAG8AdQByAGMAZQBEAGEAdABhAF8AUABvAHUAbAB0AHIAeQBfAEYAcgBhAGMARwBBAE0AUwBTAG8AaQBsAFwAbgBGAHIAYQBjAHQAaQBvAG4AIABvAGYAIABuAGkAdAByAG8AZwBlAG4AIAB2AG8AbABhAHQAaQBsAGkAcwBlAGQAIABmAHIAbwBtACAAdQByAGkAbgBlACAAYQBuAGQAIABmAGEAZQBjAGUAcwAgAGQAZQBwAG8AcwBpAHQAZQBkACAAbwBuACAAcABhAHMAdAB1AHIAZQBcAG4ALQAtAC0ALQAtAC0ALQAtAC0ALQAtAC0ALQAtAC0ALQAtAC0ALQAtAC0ALQAtAC0ALQAtAC0ALQAtAC0ALQAtAC0ALQAtAC0ALQAtAFwAbgAqAC8AXABuAFwAbgBTAG8AdQByAGMAZQBEAGEAdABhAF8AUABvAHUAbAB0AHIAeQBfAEYAcgBhAGMARwBBAE0AUwBTAG8AaQBsAF8AVABpAHQAbABlAFwAbgAgACAAPQBMAEEATQBCAEQAQQAoAFwAIgBGAHIAYQBjAHQAaQBvAG4AIABvAGYAIABuAGkAdAByAG8AZwBlAG4AIAB2AG8AbABhAHQAaQBsAGkAcwBlAGQAIABmAHIAbwBtACAAdQByAGkAbgBlACAAYQBuAGQAIABmAGEAZQBjAGUAcwAgAGQAZQBwAG8AcwBpAHQAZQBkACAAbwBuACAAcABhAHMAdAB1AHIAZQBcACIAKQA7AFwAbgBcAG4AUwBvAHUAcgBjAGUARABhAHQAYQBfAFAAbwB1AGwAdAByAHkAXwBGAHIAYQBjAEcAQQBNAFMAUwBvAGkAbABfAFYAYQByAGkAYQBiAGwAZQBcAG4AIAAgAD0ATABBAE0AQgBEAEEAKABcACIARgByAGEAYwBHAEEAUwBNAF8AcwBvAGkAbABcACIAKQA7AFwAbgBcAG4AUwBvAHUAcgBjAGUARABhAHQAYQBfAFAAbwB1AGwAdAByAHkAXwBGAHIAYQBjAEcAQQBNAFMAUwBvAGkAbABfAFUAbgBpAHQAXABuACAAIAA9AEwAQQBNAEIARABBACgAXAAiACgAawBnACAATgBIADMALQBOACAAKwAgAE4ATwB4AC0ATgApAC8AawBnACAATgBcACIAKQA7AFwAbgBcAG4AUwBvAHUAcgBjAGUARABhAHQAYQBfAFAAbwB1AGwAdAByAHkAXwBGAHIAYQBjAEcAQQBNAFMAUwBvAGkAbABfAFMAbwB1AHIAYwBlAFwAbgAgACAAPQBMAEEATQBCAEQAQQAoAFwAIgBWAEUARQBSAEcAIAAyADAAMgA2ADoAIAA0AC4ANgAuADIALgAzACAAQwBPAE4AUwBUAEEATgBUAFMAXAAiACkAOwBcAG4AXABuAFMAbwB1AHIAYwBlAEQAYQB0AGEAXwBQAG8AdQBsAHQAcgB5AF8ARgByAGEAYwBHAEEATQBTAFMAbwBpAGwAXwBWAGEAcgBpAGEAdABpAG8AbgBcAG4AIAAgAD0ATABBAE0AQgBEAEEAKABcACIAVgBBAFIASQBBAFQASQBPAE4AIABPAE4AIABTAE8AVQBSAEMARQA6ACAAVABoAGkAcwAgAGMAbwBuAHMAdABhAG4AdAAgAGkAcwAgAG4AbwB0ACAAZABvAGMAdQBtAGUAbgB0AGUAZAAgAGkAbgAgAHQAaABlACAAZAByAGEAZgB0ACwAIAB1AHMAZQBkACAAdABoAGUAIABzAGEAbQBlACAAdgBhAGwAdQBlACAAbwBmACAAMAAuADIAMQAgAGEAcwAgAGEAbABsACAAbwB0AGgAZQByACAAbABpAHYAZQBzAHQAbwBjAGsALgBcACIAKQA7AFwAbgBcAG4AUwBvAHUAcgBjAGUARABhAHQAYQBfAFAAbwB1AGwAdAByAHkAXwBGAHIAYQBjAEcAQQBNAFMAUwBvAGkAbABfAEQAYQB0AGEAXABuACAAIAA9AEwAQQBNAEIARABBACgAMAAuADIAMQApADsAXABuAFwAbgBcAG4ALwAqACAAXABuAC0ALQAtAC0ALQAtAC0ALQAtAC0ALQAtAC0ALQAtAC0ALQAtAC0ALQAtAC0ALQAtAC0ALQAtAC0ALQAtAC0ALQAtAC0ALQAtAC0ALQBcAG4AUwBvAHUAcgBjAGUARABhAHQAYQBfAFAAbwB1AGwAdAByAHkAXwBMAGkAdgBlAHcAZQBpAGcAaAB0AHMAXABuAFQAYQBiAGwAZQAgAEEALgAxAC4ANwAuADUAOgAgAFAAbwB1AGwAdAByAHkAIAAtACAATABpAHYAZQB3AGUAaQBnAGgAdABzACAAKABXAGMAbwApACAAKABrAGcAKQBcAG4ALQAtAC0ALQAtAC0ALQAtAC0ALQAtAC0ALQAtAC0ALQAtAC0ALQAtAC0ALQAtAC0ALQAtAC0ALQAtAC0ALQAtAC0ALQAtAC0ALQAtAFwAbgAqAC8AXABuAFwAbgBTAG8AdQByAGMAZQBEAGEAdABhAF8AUABvAHUAbAB0AHIAeQBfAEwAaQB2AGUAdwBlAGkAZwBoAHQAcwBfAFQAaQB0AGwAZQBcAG4AIAAgAD0ATABBAE0AQgBEAEEAKABcACIAUABvAHUAbAB0AHIAeQAgAC0AIABMAGkAdgBlAHcAZQBpAGcAaAB0AHMAIAAoAFcAYwBvACkAIAAoAGsAZwApAFwAIgApADsAXABuAFwAbgBTAG8AdQByAGMAZQBEAGEAdABhAF8AUABvAHUAbAB0AHIAeQBfAEwAaQB2AGUAdwBlAGkAZwBoAHQAcwBfAFUAbgBpAHQAXABuACAAIAA9AEwAQQBNAEIARABBACgAXAAiAGsAZwBcACIAKQA7AFwAbgBcAG4AUwBvAHUAcgBjAGUARABhAHQAYQBfAFAAbwB1AGwAdAByAHkAXwBMAGkAdgBlAHcAZQBpAGcAaAB0AHMAXwBTAG8AdQByAGMAZQBcAG4AIAAgAD0ATABBAE0AQgBEAEEAKABcACIAVgBFAEUAUgBHACAAMgAwADIANgA6ACAAVABhAGIAbABlACAAQQAuADEALgA3AC4ANQBcACIAKQA7AFwAbgBcAG4AUwBvAHUAcgBjAGUARABhAHQAYQBfAFAAbwB1AGwAdAByAHkAXwBMAGkAdgBlAHcAZQBpAGcAaAB0AHMAXwBWAGEAcgBpAGEAdABpAG8AbgBcAG4AIAAgAD0ATABBAE0AQgBEAEEAKABcACIAXAAiACkAOwBcAG4AXABuAFMAbwB1AHIAYwBlAEQAYQB0AGEAXwBQAG8AdQBsAHQAcgB5AF8ATABpAHYAZQB3AGUAaQBnAGgAdABzAF8ARABhAHQAYQBcAG4AIAAgAD0ATABBAE0AQgBEAEEAKABcAG4AIAAgACAAIABNAEEASwBFAEEAUgBSAEEAWQAoADkALAAgADMALAAgAFwAbgAgACAAIAAgACAAIABMAEEATQBCAEQAQQAoAHIALABjACwAIABcAG4AIAAgACAAIAAgACAAIAAgAEkATgBEAEUAWAAoAHsAXABuACAAIAAgACAAIAAgACAAIAAgACAAXAAiAEwAaQB2AGUAcwB0AG8AYwBrACAAQwBsAGEAcwBzACAAagBcACIALAAgAFwAIgBBAHYAZQByAGEAZwBlACAATABpAHYAZQB3AGUAaQBnAGgAdAAgACgAawBnACkAXAAiADsAXABuACAAIAAgACAAIAAgACAAIAAgACAAXAAiAEMAaABpAGMAawBlAG4AXAAiACwAIAAxAC4AMwA7AFwAbgAgACAAIAAgACAAIAAgACAAIAAgAFwAIgBIAGUAbgAgAFwAdQAwADAAMwBlAC8APQAxACAAeQByAFwAIgAsACAAMgA7AFwAbgAgACAAIAAgACAAIAAgACAAIAAgAFwAIgBQAHUAbABsAGUAdABzAFwAIgAsACAAMQAuADQAOwBcAG4AIAAgACAAIAAgACAAIAAgACAAIABcACIAQgByAG8AaQBsAGUAcgBzAFwAIgAsACAAMQAuADIAXABuACAAIAAgACAAIAAgACAAIAB9ACwAIAByACwAIABjACkAXABuACAAIAAgACAAIAAgACkAXABuACAAIAAgACAAKQBcAG4AIAAgACkAOwAiAH0ALAB7ACIAcABhAHQAaAAiADoAIgAvAHAAcgBvAGoAZQBjAHQAcwAvAFMAYwBvAHAAZQAzAF8ARQBxAHUAYQB0AGkAbwBuAHMAIgAsACIAdABlAHgAdAAiADoAIgAvACoAXABuAD0APQA9AD0APQA9AD0APQA9AD0APQA9AD0APQA9AD0APQA9AD0APQA9AD0APQA9AD0APQA9AD0APQA9AD0APQA9AD0APQA9AD0APQA9AD0APQA9AD0APQA9AD0APQA9AD0APQA9AD0APQA9AD0APQA9AD0APQA9AD0APQA9AD0APQA9AD0APQA9AD0APQA9AD0APQA9AD0AXABuADEANQA6ACAAUwBjAG8AcABlACAAMwAgAEUAbQBpAHMAcwBpAG8AbgBz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QA1AF8AMQBfADEAXwAxAF8AXwAxAF8ARQBtAGkAcwBzAGkAbwBuAHMARgByAG8AbQBQAHUAcgBjAGgAYQBzAGUAZABMAGkAdgBlAHMAdABvAGMAawBcAG4AVABvAHQAYQBsACAAZQBtAGkAcwBzAGkAbwBuAHMAIABmAHIAbwBtACAAcAB1AHIAYwBoAGEAcwBlAGQAIABsAGkAdgBlAHMAdABvAGMAawBcAG4ARQBcAG4AdAAgAEMATwAyAGUAXABuAEUAPQBcAFwAcwB1AG0AXABcAG4AbwBsAGkAbQBpAHQAcwBfAGMAXABcAHMAdQBtAFwAXABuAG8AbABpAG0AaQB0AHMAXwBvAFwAXABsAGUAZgB0ACgATgBfAHsAYwBvAH0AXABcAHQAaQBtAGUAcwAgAFcAXwB7AGMAbwB9AFwAXAB0AGkAbQBlAHMAIABFAEYAXwB7AGMAbwB9AFwAXAByAGkAZwBoAHQAKQBcAFwAdABpAG0AZQBzACAAMQAwAF4AewAtADMAfQBcAG4ATgBfAGMAbwAgAD0AIABuAHUAbQBiAGUAcgAgAG8AZgAgAGEAbgBpAG0AYQBsAHMAIABwAHUAcgBjAGgAYQBzAGUAZAAgAGkAbgAgAGwAaQB2AGUAcwB0AG8AYwBrACAAdAB5AHAAZQAgAGMAIABmAHIAbwBtACAAbwByAGkAZwBpAG4AIABvAFwAbgBXAF8AYwBvACAAPQAgAGEAdgBlAHIAYQBnAGUAIABsAGkAdgBlAHcAZQBpAGcAaAB0ACAAbwBmACAAcAB1AHIAYwBoAGEAcwBlAGQAIABsAGkAdgBlAHMAdABvAGMAawAgAGEAdAAgAHAAbwBpAG4AdAAgAG8AZgAgAHAAdQByAGMAaABhAHMAZQBcAG4ARQBGAF8AYwBvACAAPQAgAGUAbQBpAHMAcwBpAG8AbgAgAGYAYQBjAHQAbwByACAAcABlAHIAIABsAGkAdgBlAHMAdABvAGMAawAgAHQAeQBwAGUAIABhAG4AZAAgAG8AcgBpAGcAaQBuAFwAbgAtAC0ALQAtAC0ALQAtAC0ALQAtAC0ALQAtAC0ALQAtAC0ALQAtAC0ALQAtAC0ALQAtAC0ALQAtAC0ALQAtAC0ALQAtAC0ALQAtAC0AXABuACoALwBcAG4AXABuAFYARQBFAFIARwBfADEANQBfADEAXwAxAF8AMQBfAF8AMQBfAEUAbQBpAHMAcwBpAG8AbgBzAEYAcgBvAG0AUAB1AHIAYwBoAGEAcwBlAGQATABpAHYAZQBzAHQAbwBjAGsAXABuACAAIAA9AEwAQQBNAEIARABBACgAXABuACAAIAAgACAATgBfAGMAbwAsACAAVwBfAGMAbwAsACAARQBGAF8AYwBvACwAXABuACAAIAAgACAAKABOAF8AYwBvACAAKgAgAFcAXwBjAG8AIAAqACAARQBGAF8AYwBvACkAIAAqACAAMQAwACAAXgAgAC0AMwBcAG4AIAAgACkAOwBcAG4AXABuAFYARQBFAFIARwBfADEANQBfADEAXwAxAF8AMQBfAF8AMQBfAEUAbQBpAHMAcwBpAG8AbgBzAEYAcgBvAG0AUAB1AHIAYwBoAGEAcwBlAGQATABpAHYAZQBzAHQAbwBjAGsAXwBUAGkAdABsAGUAXABuACAAIAA9AEwAQQBNAEIARABBACgAXAAiAFQAbwB0AGEAbAAgAGUAbQBpAHMAcwBpAG8AbgBzACAAZgByAG8AbQAgAHAAdQByAGMAaABhAHMAZQBkACAAbABpAHYAZQBzAHQAbwBjAGsAXAAiACkAOwBcAG4AXABuAFYARQBFAFIARwBfADEANQBfADEAXwAxAF8AMQBfAF8AMQBfAEUAbQBpAHMAcwBpAG8AbgBzAEYAcgBvAG0AUAB1AHIAYwBoAGEAcwBlAGQATABpAHYAZQBzAHQAbwBjAGsAXwBWAGEAcgBpAGEAYgBsAGUAXABuACAAIAA9AEwAQQBNAEIARABBACgAXAAiAEUAXAAiACkAOwBcAG4AXABuAFYARQBFAFIARwBfADEANQBfADEAXwAxAF8AMQBfAF8AMQBfAEUAbQBpAHMAcwBpAG8AbgBzAEYAcgBvAG0AUAB1AHIAYwBoAGEAcwBlAGQATABpAHYAZQBzAHQAbwBjAGsAXwBVAG4AaQB0AFwAbgAgACAAPQBMAEEATQBCAEQAQQAoAFwAIgB0ACAAQwBPADIAZQBcACIAKQA7AFwAbgBcAG4AVgBFAEUAUgBHAF8AMQA1AF8AMQBfADEAXwAxAF8AXwAxAF8ARQBtAGkAcwBzAGkAbwBuAHMARgByAG8AbQBQAHUAcgBjAGgAYQBzAGUAZABMAGkAdgBlAHMAdABvAGMAawBfAFMAbwB1AHIAYwBlAFwAbgAgACAAPQBMAEEATQBCAEQAQQAoAFwAIgBWAEUARQBSAEcAIAAyADAAMgA2ADoAIAAxADUALgAxAC4AMQAuADEALAAgAEUAcQB1AGEAdABpAG8AbgAgACgAMQApAFwAIgApADsAXABuAFwAbgBWAEUARQBSAEcAXwAxADUAXwAxAF8AMQBfADEAXwBfADEAXwBFAG0AaQBzAHMAaQBvAG4AcwBGAHIAbwBtAFAAdQByAGMAaABhAHMAZQBkAEwAaQB2AGUAcwB0AG8AYwBrAF8ATgBJAFIAUgBlAGYAZQByAGUAbgBjAGUAXABuACAAIAA9AEwAQQBNAEIARABBACgAXAAiAFwAIgApADsAXABuAFwAbgBWAEUARQBSAEcAXwAxADUAXwAxAF8AMQBfADEAXwBfADEAXwBFAG0AaQBzAHMAaQBvAG4AcwBGAHIAbwBtAFAAdQByAGMAaABhAHMAZQBkAEwAaQB2AGUAcwB0AG8AYwBrAF8ATABhAHQAZQB4AEUAcQB1AGEAdABpAG8AbgBcAG4AIAAgAD0ATABBAE0AQgBEAEEAKABcACIARQA9AFwAXABzAHUAbQBcAFwAbgBvAGwAaQBtAGkAdABzAF8AYwBcAFwAcwB1AG0AXABcAG4AbwBsAGkAbQBpAHQAcwBfAG8AXABcAGwAZQBmAHQAKABOAF8AewBjAG8AfQBcAFwAdABpAG0AZQBzACAAVwBfAHsAYwBvAH0AXABcAHQAaQBtAGUAcwAgAEUARgBfAHsAYwBvAH0AXABcAHIAaQBnAGgAdAApAFwAXAB0AGkAbQBlAHMAIAAxADAAXgB7AC0AMwB9AFwAIgApADsAXABuAFwAbgBWAEUARQBSAEcAXwAxADUAXwAxAF8AMQBfADEAXwBfADEAXwBFAG0AaQBzAHMAaQBvAG4AcwBGAHIAbwBtAFAAdQByAGMAaABhAHMAZQBkAEwAaQB2AGUAcwB0AG8AYwBrAF8AQQByAGcAdQBtAGUAbgB0AHMAXABuACAAIAA9AEwAQQBNAEIARABBACgAXABuACAAIAAgACAATQBBAEsARQBBAFIAUgBBAFkAKAA1ACwAIAA0ACwAXABuACAAIAAgACAAIAAgAEwAQQBNAEIARABBACgAcgAsAGMALABcAG4AIAAgACAAIAAgACAAIAAgAEkATgBEAEUAWAAoAHsAXABuACAAIAAgACAAIAAgACAAIAAgACAAXAAiAE4AXwBjAG8AXAAiACwAIABcACIAbgB1AG0AYgBlAHIAIABvAGYAIABhAG4AaQBtAGEAbABzACAAcAB1AHIAYwBoAGEAcwBlAGQAIABpAG4AIABsAGkAdgBlAHMAdABvAGMAawAgAHQAeQBwAGUAIABjACAAZgByAG8AbQAgAG8AcgBpAGcAaQBuACAAbwBcACIALAAgAFwAIgBoAGUAYQBkAFwAIgAsACAAXAAiAEkAbgBwAHUAdABcACIAOwBcAG4AIAAgACAAIAAgACAAIAAgACAAIABcACIAVwBfAGMAbwBcACIALAAgAFwAIgBhAHYAZQByAGEAZwBlACAAbABpAHYAZQB3AGUAaQBnAGgAdAAgAG8AZgAgAHAAdQByAGMAaABhAHMAZQBkACAAbABpAHYAZQBzAHQAbwBjAGsAIABhAHQAIABwAG8AaQBuAHQAIABvAGYAIABwAHUAcgBjAGgAYQBzAGUAXAAiACwAIABcACIAawBnAC8AaABlAGEAZABcACIALAAgAFwAIgBJAG4AcAB1AHQAXAAiADsAXABuACAAIAAgACAAIAAgACAAIAAgACAAXAAiAEUARgBfAGMAbwBcACIALAAgAFwAIgBlAG0AaQBzAHMAaQBvAG4AIABmAGEAYwB0AG8AcgAgAHAAZQByACAAbABpAHYAZQBzAHQAbwBjAGsAIAB0AHkAcABlACAAYQBuAGQAIABvAHIAaQBnAGkAbgBcACIALAAgAFwAIgBrAGcAIABDAE8AMgBlAC8AawBnAFwAIgAsACAAXAAiAEMAbwBuAHMAdABhAG4AdABcACIAOwBcAG4AIAAgACAAIAAgACAAIAAgACAAIABcACIAYwBcACIALAAgAFwAIgBsAGkAdgBlAHMAdABvAGMAawAgAHQAeQBwAGUAXAAiACwAIABcACIAXAAiACwAIABcACIASQBuAHAAdQB0AFwAIgA7AFwAbgAgACAAIAAgACAAIAAgACAAIAAgAFwAIgBvAFwAIgAsACAAXAAiAG8AcgBpAGcAaQBu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yAF8AMQBfADEAXwBfADEAXwBFAG0AaQBzAHMAaQBvAG4AcwBGAHIAbwBtAFAAdQByAGMAaABhAHMAZQBkAEYAZQBlAGQAXABuAEUAbQBpAHMAcwBpAG8AbgBzACAAZgByAG8AbQAgAHAAdQByAGMAaABhAHMAZQBkACAAZgBlAGUAZABcAG4ARQBcAG4AdAAgAEMATwAyAGUAXABuAEUAPQBcAFwAcwB1AG0AXABcAG4AbwBsAGkAbQBpAHQAcwBfAGoAXABcAGwAZQBmAHQAKABRAF8AagBcAFwAdABpAG0AZQBzACAARQBGAF8AagBcAFwAcgBpAGcAaAB0ACkAXABuAFEAXwBqACAAPQAgAHEAdQBhAG4AdABpAHQAeQAgAG8AZgAgAGYAZQBlAGQAIAB0AHkAcABlACAAagAgAHAAdQByAGMAaABhAHMAZQBkAFwAbgBFAEYAXwBqACAAPQAgAGUAbQBpAHMAcwBpAG8AbgAgAGYAYQBjAHQAbwByACAAbwBmACAAcAB1AHIAYwBoAGEAcwBlAGQAIABmAGUAZQBkAFwAbgAtAC0ALQAtAC0ALQAtAC0ALQAtAC0ALQAtAC0ALQAtAC0ALQAtAC0ALQAtAC0ALQAtAC0ALQAtAC0ALQAtAC0ALQAtAC0ALQAtAC0AXABuACoALwBcAG4AXABuAFYARQBFAFIARwBfADEANQBfADIAXwAxAF8AMQBfAF8AMQBfAEUAbQBpAHMAcwBpAG8AbgBzAEYAcgBvAG0AUAB1AHIAYwBoAGEAcwBlAGQARgBlAGUAZABcAG4AIAAgAD0ATABBAE0AQgBEAEEAKABcAG4AIAAgACAAIABRAF8AagAsACAARQBGAF8AagAsAFwAbgAgACAAIAAgAFEAXwBqACAAKgAgAEUARgBfAGoAXABuACAAIAApADsAXABuAFwAbgBWAEUARQBSAEcAXwAxADUAXwAyAF8AMQBfADEAXwBfADEAXwBFAG0AaQBzAHMAaQBvAG4AcwBGAHIAbwBtAFAAdQByAGMAaABhAHMAZQBkAEYAZQBlAGQAXwBUAGkAdABsAGUAXABuACAAIAA9AEwAQQBNAEIARABBACgAXAAiAEUAbQBpAHMAcwBpAG8AbgBzACAAZgByAG8AbQAgAHAAdQByAGMAaABhAHMAZQBkACAAZgBlAGUAZABcACIAKQA7AFwAbgBcAG4AVgBFAEUAUgBHAF8AMQA1AF8AMgBfADEAXwAxAF8AXwAxAF8ARQBtAGkAcwBzAGkAbwBuAHMARgByAG8AbQBQAHUAcgBjAGgAYQBzAGUAZABGAGUAZQBkAF8AVgBhAHIAaQBhAGIAbABlAFwAbgAgACAAPQBMAEEATQBCAEQAQQAoAFwAIgBFAFwAIgApADsAXABuAFwAbgBWAEUARQBSAEcAXwAxADUAXwAyAF8AMQBfADEAXwBfADEAXwBFAG0AaQBzAHMAaQBvAG4AcwBGAHIAbwBtAFAAdQByAGMAaABhAHMAZQBkAEYAZQBlAGQAXwBVAG4AaQB0AFwAbgAgACAAPQBMAEEATQBCAEQAQQAoAFwAIgB0ACAAQwBPADIAZQBcACIAKQA7AFwAbgBcAG4AVgBFAEUAUgBHAF8AMQA1AF8AMgBfADEAXwAxAF8AXwAxAF8ARQBtAGkAcwBzAGkAbwBuAHMARgByAG8AbQBQAHUAcgBjAGgAYQBzAGUAZABGAGUAZQBkAF8AUwBvAHUAcgBjAGUAXABuACAAIAA9AEwAQQBNAEIARABBACgAXAAiAFYARQBFAFIARwAgADIAMAAyADYAOgAgADEANQAuADIALgAxAC4AMQAsACAARQBxAHUAYQB0AGkAbwBuACAAKAAxACkAXAAiACkAOwBcAG4AXABuAFYARQBFAFIARwBfADEANQBfADIAXwAxAF8AMQBfAF8AMQBfAEUAbQBpAHMAcwBpAG8AbgBzAEYAcgBvAG0AUAB1AHIAYwBoAGEAcwBlAGQARgBlAGUAZABfAE4ASQBSAFIAZQBmAGUAcgBlAG4AYwBlAFwAbgAgACAAPQBMAEEATQBCAEQAQQAoAFwAIgBcACIAKQA7AFwAbgBcAG4AVgBFAEUAUgBHAF8AMQA1AF8AMgBfADEAXwAxAF8AXwAxAF8ARQBtAGkAcwBzAGkAbwBuAHMARgByAG8AbQBQAHUAcgBjAGgAYQBzAGUAZABGAGUAZQBkAF8ATABhAHQAZQB4AEUAcQB1AGEAdABpAG8AbgBcAG4AIAAgAD0ATABBAE0AQgBEAEEAKABcACIARQA9AFwAXABzAHUAbQBcAFwAbgBvAGwAaQBtAGkAdABzAF8AagBcAFwAbABlAGYAdAAoAFEAXwBqAFwAXAB0AGkAbQBlAHMAIABFAEYAXwBqAFwAXAByAGkAZwBoAHQAKQBcACIAKQA7AFwAbgBcAG4AVgBFAEUAUgBHAF8AMQA1AF8AMgBfADEAXwAxAF8AXwAxAF8ARQBtAGkAcwBzAGkAbwBuAHMARgByAG8AbQBQAHUAcgBjAGgAYQBzAGUAZABGAGUAZQBkAF8AQQByAGcAdQBtAGUAbgB0AHMAXABuACAAIAA9AEwAQQBNAEIARABBACgAXABuACAAIAAgACAATQBBAEsARQBBAFIAUgBBAFkAKAAzACwAIAA0ACwAXABuACAAIAAgACAAIAAgAEwAQQBNAEIARABBACgAcgAsAGMALABcAG4AIAAgACAAIAAgACAAIAAgAEkATgBEAEUAWAAoAHsAXABuACAAIAAgACAAIAAgACAAIAAgACAAXAAiAFEAXwBqAFwAIgAsACAAXAAiAHEAdQBhAG4AdABpAHQAeQAgAG8AZgAgAGYAZQBlAGQAIAB0AHkAcABlACAAagAgAHAAdQByAGMAaABhAHMAZQBkAFwAIgAsACAAXAAiAHQAXAAiACwAIABcACIASQBuAHAAdQB0AFwAIgA7AFwAbgAgACAAIAAgACAAIAAgACAAIAAgAFwAIgBFAEYAXwBqAFwAIgAsACAAXAAiAGUAbQBpAHMAcwBpAG8AbgAgAGYAYQBjAHQAbwByACAAbwBmACAAcAB1AHIAYwBoAGEAcwBlAGQAIABmAGUAZQBkAFwAIgAsACAAXAAiAGsAZwAgAEMATwAyAGUALwBrAGcAXAAiACwAIABcACIAQwBvAG4AcwB0AGEAbgB0AFwAIgA7AFwAbgAgACAAIAAgACAAIAAgACAAIAAgAFwAIgBqAFwAIgAsACAAXAAiAGYAZQBlAGQ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zAF8AMQBfADEAXwBfADEAXwBFAG0AaQBzAHMAaQBvAG4AcwBGAHIAbwBtAFAAdQByAGMAaABhAHMAZQBkAE0AaQBuAGUAcgBhAGwAUwB1AHAAcABsAGUAbQBlAG4AdABzAFwAbgBUAG8AdABhAGwAIABlAG0AaQBzAHMAaQBvAG4AcwAgAGYAcgBvAG0AIABwAHUAcgBjAGgAYQBzAGUAZAAgAG0AaQBuAGUAcgBhAGwAIABzAHUAcABwAGwAZQBtAGUAbgB0AHMAXABuAEUAXABuAHQAIABDAE8AMgBlAFwAbgBFAD0AXABcAHMAdQBtAFwAXABuAG8AbABpAG0AaQB0AHMAXwBtAFwAXABsAGUAZgB0ACgAUQBfAG0AXABcAHQAaQBtAGUAcwAgAEUARgBfAG0AXABcAHIAaQBnAGgAdAApAFwAbgBRAF8AbQAgAD0AIAB0AG8AdABhAGwAIABxAHUAYQBuAHQAaQB0AHkAIABvAGYAIABtAGkAbgBlAHIAYQBsACAAcwB1AHAAcABsAGUAbQBlAG4AdAAgAHQAeQBwAGUAIABtACAAdQBzAGUAZABcAG4ARQBGAF8AbQAgAD0AIABlAG0AaQBzAHMAaQBvAG4AIABmAGEAYwB0AG8AcgAgAG8AZgAgAHAAdQByAGMAaABhAHMAZQBkACAAbQBpAG4AZQByAGEAbAAgAHMAdQBwAHAAbABlAG0AZQBuAHQAXABuAC0ALQAtAC0ALQAtAC0ALQAtAC0ALQAtAC0ALQAtAC0ALQAtAC0ALQAtAC0ALQAtAC0ALQAtAC0ALQAtAC0ALQAtAC0ALQAtAC0ALQBcAG4AKgAvAFwAbgBcAG4AVgBFAEUAUgBHAF8AMQA1AF8AMwBfADEAXwAxAF8AXwAxAF8ARQBtAGkAcwBzAGkAbwBuAHMARgByAG8AbQBQAHUAcgBjAGgAYQBzAGUAZABNAGkAbgBlAHIAYQBsAFMAdQBwAHAAbABlAG0AZQBuAHQAcwBcAG4AIAAgAD0ATABBAE0AQgBEAEEAKABcAG4AIAAgACAAIABRAF8AbQAsACAARQBGAF8AbQAsAFwAbgAgACAAIAAgAFEAXwBtACAAKgAgAEUARgBfAG0AXABuACAAIAApADsAXABuAFwAbgBWAEUARQBSAEcAXwAxADUAXwAzAF8AMQBfADEAXwBfADEAXwBFAG0AaQBzAHMAaQBvAG4AcwBGAHIAbwBtAFAAdQByAGMAaABhAHMAZQBkAE0AaQBuAGUAcgBhAGwAUwB1AHAAcABsAGUAbQBlAG4AdABzAF8AVABpAHQAbABlAFwAbgAgACAAPQBMAEEATQBCAEQAQQAoAFwAIgBUAG8AdABhAGwAIABlAG0AaQBzAHMAaQBvAG4AcwAgAGYAcgBvAG0AIABwAHUAcgBjAGgAYQBzAGUAZAAgAG0AaQBuAGUAcgBhAGwAIABzAHUAcABwAGwAZQBtAGUAbgB0AHMAXAAiACkAOwBcAG4AXABuAFYARQBFAFIARwBfADEANQBfADMAXwAxAF8AMQBfAF8AMQBfAEUAbQBpAHMAcwBpAG8AbgBzAEYAcgBvAG0AUAB1AHIAYwBoAGEAcwBlAGQATQBpAG4AZQByAGEAbABTAHUAcABwAGwAZQBtAGUAbgB0AHMAXwBWAGEAcgBpAGEAYgBsAGUAXABuACAAIAA9AEwAQQBNAEIARABBACgAXAAiAEUAXAAiACkAOwBcAG4AXABuAFYARQBFAFIARwBfADEANQBfADMAXwAxAF8AMQBfAF8AMQBfAEUAbQBpAHMAcwBpAG8AbgBzAEYAcgBvAG0AUAB1AHIAYwBoAGEAcwBlAGQATQBpAG4AZQByAGEAbABTAHUAcABwAGwAZQBtAGUAbgB0AHMAXwBVAG4AaQB0AFwAbgAgACAAPQBMAEEATQBCAEQAQQAoAFwAIgB0ACAAQwBPADIAZQBcACIAKQA7AFwAbgBcAG4AVgBFAEUAUgBHAF8AMQA1AF8AMwBfADEAXwAxAF8AXwAxAF8ARQBtAGkAcwBzAGkAbwBuAHMARgByAG8AbQBQAHUAcgBjAGgAYQBzAGUAZABNAGkAbgBlAHIAYQBsAFMAdQBwAHAAbABlAG0AZQBuAHQAcwBfAFMAbwB1AHIAYwBlAFwAbgAgACAAPQBMAEEATQBCAEQAQQAoAFwAIgBWAEUARQBSAEcAIAAyADAAMgA2ADoAIAAxADUALgAzAC4AMQAuADEALAAgAEUAcQB1AGEAdABpAG8AbgAgACgAMQApAFwAIgApADsAXABuAFwAbgBWAEUARQBSAEcAXwAxADUAXwAzAF8AMQBfADEAXwBfADEAXwBFAG0AaQBzAHMAaQBvAG4AcwBGAHIAbwBtAFAAdQByAGMAaABhAHMAZQBkAE0AaQBuAGUAcgBhAGwAUwB1AHAAcABsAGUAbQBlAG4AdABzAF8ATgBJAFIAUgBlAGYAZQByAGUAbgBjAGUAXABuACAAIAA9AEwAQQBNAEIARABBACgAXAAiAFwAIgApADsAXABuAFwAbgBWAEUARQBSAEcAXwAxADUAXwAzAF8AMQBfADEAXwBfADEAXwBFAG0AaQBzAHMAaQBvAG4AcwBGAHIAbwBtAFAAdQByAGMAaABhAHMAZQBkAE0AaQBuAGUAcgBhAGwAUwB1AHAAcABsAGUAbQBlAG4AdABzAF8ATABhAHQAZQB4AEUAcQB1AGEAdABpAG8AbgBcAG4AIAAgAD0ATABBAE0AQgBEAEEAKABcACIARQA9AFwAXABzAHUAbQBcAFwAbgBvAGwAaQBtAGkAdABzAF8AbQBcAFwAbABlAGYAdAAoAFEAXwBtAFwAXAB0AGkAbQBlAHMAIABFAEYAXwBtAFwAXAByAGkAZwBoAHQAKQBcACIAKQA7AFwAbgBcAG4AVgBFAEUAUgBHAF8AMQA1AF8AMwBfADEAXwAxAF8AXwAxAF8ARQBtAGkAcwBzAGkAbwBuAHMARgByAG8AbQBQAHUAcgBjAGgAYQBzAGUAZABNAGkAbgBlAHIAYQBsAFMAdQBwAHAAbABlAG0AZQBuAHQAcwBfAEEAcgBnAHUAbQBlAG4AdABzAFwAbgAgACAAPQBMAEEATQBCAEQAQQAoAFwAbgAgACAAIAAgAE0AQQBLAEUAQQBSAFIAQQBZACgAMwAsACAANAAsAFwAbgAgACAAIAAgACAAIABMAEEATQBCAEQAQQAoAHIALABjACwAXABuACAAIAAgACAAIAAgACAAIABJAE4ARABFAFgAKAB7AFwAbgAgACAAIAAgACAAIAAgACAAIAAgAFwAIgBRAF8AbQBcACIALAAgAFwAIgB0AG8AdABhAGwAIABxAHUAYQBuAHQAaQB0AHkAIABvAGYAIABtAGkAbgBlAHIAYQBsACAAcwB1AHAAcABsAGUAbQBlAG4AdAAgAHQAeQBwAGUAIABtACAAdQBzAGUAZABcACIALAAgAFwAIgB0AFwAIgAsACAAXAAiAEkAbgBwAHUAdABcACIAOwBcAG4AIAAgACAAIAAgACAAIAAgACAAIABcACIARQBGAF8AbQBcACIALAAgAFwAIgBlAG0AaQBzAHMAaQBvAG4AIABmAGEAYwB0AG8AcgAgAG8AZgAgAHAAdQByAGMAaABhAHMAZQBkACAAbQBpAG4AZQByAGEAbAAgAHMAdQBwAHAAbABlAG0AZQBuAHQAXAAiACwAIABcACIAawBnACAAQwBPADIAZQAvAGsAZwBcACIALAAgAFwAIgBDAG8AbgBzAHQAYQBuAHQAXAAiADsAXABuACAAIAAgACAAIAAgACAAIAAgACAAXAAiAG0AXAAiACwAIABcACIAbQBpAG4AZQByAGEAbAAgAHMAdQBwAHAAbABlAG0AZQBuAHQ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0AF8AMQBfADEAXwBfADEAXwBFAG0AaQBzAHMAaQBvAG4AcwBGAHIAbwBtAFAAdQByAGMAaABhAHMAZQBkAEYAZQByAHQAaQBsAGkAcwBlAHIAXABuAEUAbQBpAHMAcwBpAG8AbgBzACAAZgByAG8AbQAgAHAAdQByAGMAaABhAHMAZQBkACAAZgBlAHIAdABpAGwAaQBzAGUAcgBcAG4ARQBcAG4AdAAgAEMATwAyAGUAXABuAEUAPQBcAFwAcwB1AG0AXABcAG4AbwBsAGkAbQBpAHQAcwBfAGYAXABcAHMAdQBtAFwAXABuAG8AbABpAG0AaQB0AHMAXwBqAFwAXABsAGUAZgB0ACgAVABNAF8AewBqAGYAfQBcAFwAdABpAG0AZQBzACAARQBGAF8AZgBcAFwAcgBpAGcAaAB0ACkAXABcAHQAaQBtAGUAcwAgADEAMABeAHsALQAzAH0AXABuAFQATQBfAGoAZgAgAD0AIABxAHUAYQBuAHQAaQB0AHkAIABvAGYAIABpAG4AbwByAGcAYQBuAGkAYwAgAGYAZQByAHQAaQBsAGkAcwBlAHIAIAB0AHkAcABlACAAZgAgAHAAdQByAGMAaABhAHMAZQBkACAAYQBuAGQAIABhAHAAcABsAGkAZQBkACAAdABvACAAcAByAG8AZAB1AGMAdABpAG8AbgAgAHMAeQBzAHQAZQBtACAAagBcAG4ARQBGAF8AZgAgAD0AIABlAG0AaQBzAHMAaQBvAG4AIABmAGEAYwB0AG8AcgAgAG8AZgAgAHAAdQByAGMAaABhAHMAZQBkACAAaQBuAG8AcgBnAGEAbgBpAGMAIABmAGUAcgB0AGkAbABpAHMAZQByAFwAbgAtAC0ALQAtAC0ALQAtAC0ALQAtAC0ALQAtAC0ALQAtAC0ALQAtAC0ALQAtAC0ALQAtAC0ALQAtAC0ALQAtAC0ALQAtAC0ALQAtAC0AXABuACoALwBcAG4AXABuAFYARQBFAFIARwBfADEANQBfADQAXwAxAF8AMQBfAF8AMQBfAEUAbQBpAHMAcwBpAG8AbgBzAEYAcgBvAG0AUAB1AHIAYwBoAGEAcwBlAGQARgBlAHIAdABpAGwAaQBzAGUAcgBcAG4AIAAgAD0ATABBAE0AQgBEAEEAKABcAG4AIAAgACAAIABUAE0AXwBqAGYALAAgAEUARgBfAGYALABcAG4AIAAgACAAIAAoAFQATQBfAGoAZgAgACoAIABFAEYAXwBmACkAIAAqACAAMQAwACAAXgAgAC0AMwBcAG4AIAAgACkAOwBcAG4AXABuAFYARQBFAFIARwBfADEANQBfADQAXwAxAF8AMQBfAF8AMQBfAEUAbQBpAHMAcwBpAG8AbgBzAEYAcgBvAG0AUAB1AHIAYwBoAGEAcwBlAGQARgBlAHIAdABpAGwAaQBzAGUAcgBfAFQAaQB0AGwAZQBcAG4AIAAgAD0ATABBAE0AQgBEAEEAKABcACIARQBtAGkAcwBzAGkAbwBuAHMAIABmAHIAbwBtACAAcAB1AHIAYwBoAGEAcwBlAGQAIABmAGUAcgB0AGkAbABpAHMAZQByAFwAIgApADsAXABuAFwAbgBWAEUARQBSAEcAXwAxADUAXwA0AF8AMQBfADEAXwBfADEAXwBFAG0AaQBzAHMAaQBvAG4AcwBGAHIAbwBtAFAAdQByAGMAaABhAHMAZQBkAEYAZQByAHQAaQBsAGkAcwBlAHIAXwBWAGEAcgBpAGEAYgBsAGUAXABuACAAIAA9AEwAQQBNAEIARABBACgAXAAiAEUAXAAiACkAOwBcAG4AXABuAFYARQBFAFIARwBfADEANQBfADQAXwAxAF8AMQBfAF8AMQBfAEUAbQBpAHMAcwBpAG8AbgBzAEYAcgBvAG0AUAB1AHIAYwBoAGEAcwBlAGQARgBlAHIAdABpAGwAaQBzAGUAcgBfAFUAbgBpAHQAXABuACAAIAA9AEwAQQBNAEIARABBACgAXAAiAHQAIABDAE8AMgBlAFwAIgApADsAXABuAFwAbgBWAEUARQBSAEcAXwAxADUAXwA0AF8AMQBfADEAXwBfADEAXwBFAG0AaQBzAHMAaQBvAG4AcwBGAHIAbwBtAFAAdQByAGMAaABhAHMAZQBkAEYAZQByAHQAaQBsAGkAcwBlAHIAXwBTAG8AdQByAGMAZQBcAG4AIAAgAD0ATABBAE0AQgBEAEEAKABcACIAVgBFAEUAUgBHACAAMgAwADIANgA6ACAAMQA1AC4ANAAuADEALgAxACwAIABFAHEAdQBhAHQAaQBvAG4AIAAoADEAKQBcACIAKQA7AFwAbgBcAG4AVgBFAEUAUgBHAF8AMQA1AF8ANABfADEAXwAxAF8AXwAxAF8ARQBtAGkAcwBzAGkAbwBuAHMARgByAG8AbQBQAHUAcgBjAGgAYQBzAGUAZABGAGUAcgB0AGkAbABpAHMAZQByAF8ATgBJAFIAUgBlAGYAZQByAGUAbgBjAGUAXABuACAAIAA9AEwAQQBNAEIARABBACgAXAAiAFwAIgApADsAXABuAFwAbgBWAEUARQBSAEcAXwAxADUAXwA0AF8AMQBfADEAXwBfADEAXwBFAG0AaQBzAHMAaQBvAG4AcwBGAHIAbwBtAFAAdQByAGMAaABhAHMAZQBkAEYAZQByAHQAaQBsAGkAcwBlAHIAXwBMAGEAdABlAHgARQBxAHUAYQB0AGkAbwBuAFwAbgAgACAAPQBMAEEATQBCAEQAQQAoAFwAIgBFAD0AXABcAHMAdQBtAFwAXABuAG8AbABpAG0AaQB0AHMAXwBmAFwAXABzAHUAbQBcAFwAbgBvAGwAaQBtAGkAdABzAF8AagBcAFwAbABlAGYAdAAoAFQATQBfAHsAagBmAH0AXABcAHQAaQBtAGUAcwAgAEUARgBfAGYAXABcAHIAaQBnAGgAdAApAFwAXAB0AGkAbQBlAHMAIAAxADAAXgB7AC0AMwB9AFwAIgApADsAXABuAFwAbgBWAEUARQBSAEcAXwAxADUAXwA0AF8AMQBfADEAXwBfADEAXwBFAG0AaQBzAHMAaQBvAG4AcwBGAHIAbwBtAFAAdQByAGMAaABhAHMAZQBkAEYAZQByAHQAaQBsAGkAcwBlAHIAXwBBAHIAZwB1AG0AZQBuAHQAcwBcAG4AIAAgAD0ATABBAE0AQgBEAEEAKABcAG4AIAAgACAAIABNAEEASwBFAEEAUgBSAEEAWQAoADQALAAgADQALABcAG4AIAAgACAAIAAgACAATABBAE0AQgBEAEEAKAByACwAYwAsAFwAbgAgACAAIAAgACAAIAAgACAASQBOAEQARQBYACgAewBcAG4AIAAgACAAIAAgACAAIAAgACAAIABcACIAVABNAF8AagBmAFwAIgAsACAAXAAiAHEAdQBhAG4AdABpAHQAeQAgAG8AZgAgAGkAbgBvAHIAZwBhAG4AaQBjACAAZgBlAHIAdABpAGwAaQBzAGUAcgAgAHQAeQBwAGUAIABmACAAcAB1AHIAYwBoAGEAcwBlAGQAIABhAG4AZAAgAGEAcABwAGwAaQBlAGQAIAB0AG8AIABwAHIAbwBkAHUAYwB0AGkAbwBuACAAcwB5AHMAdABlAG0AIABqAFwAIgAsACAAXAAiAGsAZwBcACIALAAgAFwAIgBJAG4AcAB1AHQAXAAiADsAXABuACAAIAAgACAAIAAgACAAIAAgACAAXAAiAEUARgBfAGYAXAAiACwAIABcACIAZQBtAGkAcwBzAGkAbwBuACAAZgBhAGMAdABvAHIAIABvAGYAIABwAHUAcgBjAGgAYQBzAGUAZAAgAGkAbgBvAHIAZwBhAG4AaQBjACAAZgBlAHIAdABpAGwAaQBzAGUAcgBcACIALAAgAFwAIgBrAGcAIABDAE8AMgBlAC8AawBnAFwAIgAsACAAXAAiAEMAbwBuAHMAdABhAG4AdABcACIAOwBcAG4AIAAgACAAIAAgACAAIAAgACAAIABcACIAagBcACIALAAgAFwAIgBwAHIAbwBkAHUAYwB0AGkAbwBuACAAcwB5AHMAdABlAG0AXAAiACwAIABcACIAXAAiACwAIABcACIASQBuAHAAdQB0AFwAIgA7AFwAbgAgACAAIAAgACAAIAAgACAAIAAgAFwAIgBmAFwAIgAsACAAXAAiAGkAbgBvAHIAZwBhAG4AaQBjACAAZgBlAHIAdABpAGwAaQBzAGUAcgAgAHQAeQBw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QAXwAxAF8AMQBfAF8AMgBfAEUAbQBpAHMAcwBpAG8AbgBzAEYAcgBvAG0AUAB1AHIAYwBoAGEAcwBlAGQARgBlAHIAdABpAGwAaQBzAGUAcgBDAG8AbQBwAG8AbgBlAG4AdABzAFwAbgBFAG0AaQBzAHMAaQBvAG4AcwAgAGYAcgBvAG0AIABwAHUAcgBjAGgAYQBzAGUAZAAgAGYAZQByAHQAaQBsAGkAcwBlAHIAIABjAG8AbQBwAG8AbgBlAG4AdABzAFwAbgBFAFwAbgB0ACAAQwBPADIAZQBcAG4ARQA9AFwAXABzAHUAbQBcAFwAbgBvAGwAaQBtAGkAdABzAF8AZgBcAFwAcwB1AG0AXABcAG4AbwBsAGkAbQBpAHQAcwBfAGMAXABcAHMAdQBtAFwAXABuAG8AbABpAG0AaQB0AHMAXwBqAFwAXABsAGUAZgB0ACgAKABGAF8AewBjAGYAfQBcAFwAdABpAG0AZQBzACAAVABNAF8AewBqAGYAfQApAC8AMQAwADAAXABcAHQAaQBtAGUAcwAgAEUARgBfAGMAXABcAHIAaQBnAGgAdAApAFwAbgBGAF8AYwBmACAAPQAgAGYAcgBhAGMAdABpAG8AbgAgAG8AZgAgAGMAbwBtAHAAbwBuAGUAbgB0ACAAYwAgAGMAbwBuAHQAYQBpAG4AZQBkACAAdwBpAHQAaABpAG4AIAB0AGgAZQAgAGkAbgBvAHIAZwBhAG4AaQBjACAAZgBlAHIAdABpAGwAaQBzAGUAcgAgAGYAXABuAFQATQBfAGoAZgAgAD0AIABxAHUAYQBuAHQAaQB0AHkAIABvAGYAIABpAG4AbwByAGcAYQBuAGkAYwAgAGYAZQByAHQAaQBsAGkAcwBlAHIAIAB0AHkAcABlACAAZgAgAHAAdQByAGMAaABhAHMAZQBkACAAYQBuAGQAIABhAHAAcABsAGkAZQBkACAAdABvACAAcAByAG8AZAB1AGMAdABpAG8AbgAgAHMAeQBzAHQAZQBtACAAagBcAG4ARQBGAF8AYwAgAD0AIABlAG0AaQBzAHMAaQBvAG4AIABmAGEAYwB0AG8AcgAgAGYAbwByACAAdABoAGUAIABwAHIAbwBkAHUAYwB0AGkAbwBuACAAbwBmACAAYwBvAG0AcABvAG4AZQBuAHQAIABjAFwAbgAtAC0ALQAtAC0ALQAtAC0ALQAtAC0ALQAtAC0ALQAtAC0ALQAtAC0ALQAtAC0ALQAtAC0ALQAtAC0ALQAtAC0ALQAtAC0ALQAtAC0AXABuACoALwBcAG4AXABuAFYARQBFAFIARwBfADEANQBfADQAXwAxAF8AMQBfAF8AMgBfAEUAbQBpAHMAcwBpAG8AbgBzAEYAcgBvAG0AUAB1AHIAYwBoAGEAcwBlAGQARgBlAHIAdABpAGwAaQBzAGUAcgBDAG8AbQBwAG8AbgBlAG4AdABzAFwAbgAgACAAPQBMAEEATQBCAEQAQQAoAFwAbgAgACAAIAAgAEYAXwBjAGYALAAgAFQATQBfAGoAZgAsACAARQBGAF8AYwAsAFwAbgAgACAAIAAgACgAKABGAF8AYwBmACAAKgAgAFQATQBfAGoAZgApACAALwAgADEAMAAwACkAIAAqACAARQBGAF8AYwBcAG4AIAAgACkAOwBcAG4AXABuAFYARQBFAFIARwBfADEANQBfADQAXwAxAF8AMQBfAF8AMgBfAEUAbQBpAHMAcwBpAG8AbgBzAEYAcgBvAG0AUAB1AHIAYwBoAGEAcwBlAGQARgBlAHIAdABpAGwAaQBzAGUAcgBDAG8AbQBwAG8AbgBlAG4AdABzAFYAYQByAGkAYQB0AGkAbwBuAFwAbgAgACAAPQBMAEEATQBCAEQAQQAoAFwAbgAgACAAIAAgAEYAXwBjAGYALAAgAFQATQBfAGoAZgAsACAARQBGAF8AYwAsAFwAbgAgACAAIAAgACgARgBfAGMAZgAgACoAIABUAE0AXwBqAGYAKQAgACoAIABFAEYAXwBjACAAKgAgADEAMABeAC0AMwBcAG4AIAAgACkAOwBcAG4AXABuAFYARQBFAFIARwBfADEANQBfADQAXwAxAF8AMQBfAF8AMgBfAEUAbQBpAHMAcwBpAG8AbgBzAEYAcgBvAG0AUAB1AHIAYwBoAGEAcwBlAGQARgBlAHIAdABpAGwAaQBzAGUAcgBDAG8AbQBwAG8AbgBlAG4AdABzAF8AVABpAHQAbABlAFwAbgAgACAAPQBMAEEATQBCAEQAQQAoAFwAIgBFAG0AaQBzAHMAaQBvAG4AcwAgAGYAcgBvAG0AIABwAHUAcgBjAGgAYQBzAGUAZAAgAGYAZQByAHQAaQBsAGkAcwBlAHIAIABjAG8AbQBwAG8AbgBlAG4AdABzAFwAIgApADsAXABuAFwAbgBWAEUARQBSAEcAXwAxADUAXwA0AF8AMQBfADEAXwBfADIAXwBFAG0AaQBzAHMAaQBvAG4AcwBGAHIAbwBtAFAAdQByAGMAaABhAHMAZQBkAEYAZQByAHQAaQBsAGkAcwBlAHIAQwBvAG0AcABvAG4AZQBuAHQAcwBfAFYAYQByAGkAYQBiAGwAZQBcAG4AIAAgAD0ATABBAE0AQgBEAEEAKABcACIARQBcACIAKQA7AFwAbgBcAG4AVgBFAEUAUgBHAF8AMQA1AF8ANABfADEAXwAxAF8AXwAyAF8ARQBtAGkAcwBzAGkAbwBuAHMARgByAG8AbQBQAHUAcgBjAGgAYQBzAGUAZABGAGUAcgB0AGkAbABpAHMAZQByAEMAbwBtAHAAbwBuAGUAbgB0AHMAXwBVAG4AaQB0AFwAbgAgACAAPQBMAEEATQBCAEQAQQAoAFwAIgB0ACAAQwBPADIAZQBcACIAKQA7AFwAbgBcAG4AVgBFAEUAUgBHAF8AMQA1AF8ANABfADEAXwAxAF8AXwAyAF8ARQBtAGkAcwBzAGkAbwBuAHMARgByAG8AbQBQAHUAcgBjAGgAYQBzAGUAZABGAGUAcgB0AGkAbABpAHMAZQByAEMAbwBtAHAAbwBuAGUAbgB0AHMAXwBTAG8AdQByAGMAZQBcAG4AIAAgAD0ATABBAE0AQgBEAEEAKABcACIAVgBFAEUAUgBHACAAMgAwADIANgA6ACAAMQA1AC4ANAAuADEALgAxACwAIABFAHEAdQBhAHQAaQBvAG4AIAAoADIAKQBcACIAKQA7AFwAbgBcAG4AVgBFAEUAUgBHAF8AMQA1AF8ANABfADEAXwAxAF8AXwAyAF8ARQBtAGkAcwBzAGkAbwBuAHMARgByAG8AbQBQAHUAcgBjAGgAYQBzAGUAZABGAGUAcgB0AGkAbABpAHMAZQByAEMAbwBtAHAAbwBuAGUAbgB0AHMAXwBOAEkAUgBSAGUAZgBlAHIAZQBuAGMAZQBcAG4AIAAgAD0ATABBAE0AQgBEAEEAKABcACIAXAAiACkAOwBcAG4AXABuAFYARQBFAFIARwBfADEANQBfADQAXwAxAF8AMQBfAF8AMgBfAEUAbQBpAHMAcwBpAG8AbgBzAEYAcgBvAG0AUAB1AHIAYwBoAGEAcwBlAGQARgBlAHIAdABpAGwAaQBzAGUAcgBDAG8AbQBwAG8AbgBlAG4AdABzAF8ATABhAHQAZQB4AEUAcQB1AGEAdABpAG8AbgBcAG4AIAAgAD0ATABBAE0AQgBEAEEAKABcACIARQA9AFwAXABzAHUAbQBcAFwAbgBvAGwAaQBtAGkAdABzAF8AZgBcAFwAcwB1AG0AXABcAG4AbwBsAGkAbQBpAHQAcwBfAGMAXABcAHMAdQBtAFwAXABuAG8AbABpAG0AaQB0AHMAXwBqAFwAXABsAGUAZgB0ACgAXABcAGYAcgBhAGMAewBGAF8AewBjAGYAfQBcAFwAdABpAG0AZQBzACAAVABNAF8AewBqAGYAfQB9AHsAMQAwADAAfQBcAFwAdABpAG0AZQBzACAARQBGAF8AYwBcAFwAcgBpAGcAaAB0ACkAXAAiACkAOwBcAG4AXABuAFYARQBFAFIARwBfADEANQBfADQAXwAxAF8AMQBfAF8AMgBfAEUAbQBpAHMAcwBpAG8AbgBzAEYAcgBvAG0AUAB1AHIAYwBoAGEAcwBlAGQARgBlAHIAdABpAGwAaQBzAGUAcgBDAG8AbQBwAG8AbgBlAG4AdABzAF8ATABhAHQAZQB4AEUAcQB1AGEAdABpAG8AbgBWAGEAcgBpAGEAdABpAG8AbgBcAG4AIAAgAD0ATABBAE0AQgBEAEEAKABcACIARQA9AFwAXABzAHUAbQBcAFwAbgBvAGwAaQBtAGkAdABzAF8AZgBcAFwAcwB1AG0AXABcAG4AbwBsAGkAbQBpAHQAcwBfAGMAXABcAHMAdQBtAFwAXABuAG8AbABpAG0AaQB0AHMAXwBqAFwAXABsAGUAZgB0ACgARgBfAHsAYwBmAH0AXABcAHQAaQBtAGUAcwAgAFQATQBfAHsAagBmAH0AXABcAHQAaQBtAGUAcwAgAEUARgBfAGMAXABcAHIAaQBnAGgAdAApAFwAXAB0AGkAbQBlAHMAIAAxADAAXgB7AC0AMwB9AFwAIgApADsAXABuAFwAbgBWAEUARQBSAEcAXwAxADUAXwA0AF8AMQBfADEAXwBfADIAXwBFAG0AaQBzAHMAaQBvAG4AcwBGAHIAbwBtAFAAdQByAGMAaABhAHMAZQBkAEYAZQByAHQAaQBsAGkAcwBlAHIAQwBvAG0AcABvAG4AZQBuAHQAcwBfAEEAcgBnAHUAbQBlAG4AdABzAFwAbgAgACAAPQBMAEEATQBCAEQAQQAoAFwAbgAgACAAIAAgAE0AQQBLAEUAQQBSAFIAQQBZACgANgAsACAANAAsAFwAbgAgACAAIAAgACAAIABMAEEATQBCAEQAQQAoAHIALABjACwAXABuACAAIAAgACAAIAAgACAAIABJAE4ARABFAFgAKAB7AFwAbgAgACAAIAAgACAAIAAgACAAIAAgAFwAIgBGAF8AYwBmAFwAIgAsACAAXAAiAGYAcgBhAGMAdABpAG8AbgAgAG8AZgAgAGMAbwBtAHAAbwBuAGUAbgB0ACAAYwAgAGMAbwBuAHQAYQBpAG4AZQBkACAAdwBpAHQAaABpAG4AIAB0AGgAZQAgAGkAbgBvAHIAZwBhAG4AaQBjACAAZgBlAHIAdABpAGwAaQBzAGUAcgAgAGYAXAAiACwAIABcACIAdwB0ACUAXAAiACwAIABcACIASQBuAHAAdQB0AFwAIgA7AFwAbgAgACAAIAAgACAAIAAgACAAIAAgAFwAIgBUAE0AXwBqAGYAXAAiACwAIABcACIAcQB1AGEAbgB0AGkAdAB5ACAAbwBmACAAaQBuAG8AcgBnAGEAbgBpAGMAIABmAGUAcgB0AGkAbABpAHMAZQByACAAdAB5AHAAZQAgAGYAIABwAHUAcgBjAGgAYQBzAGUAZAAgAGEAbgBkACAAYQBwAHAAbABpAGUAZAAgAHQAbwAgAHAAcgBvAGQAdQBjAHQAaQBvAG4AIABzAHkAcwB0AGUAbQAgAGoAXAAiACwAIABcACIAawBnAFwAIgAsACAAXAAiAEkAbgBwAHUAdABcACIAOwBcAG4AIAAgACAAIAAgACAAIAAgACAAIABcACIARQBGAF8AYwBcACIALAAgAFwAIgBlAG0AaQBzAHMAaQBvAG4AIABmAGEAYwB0AG8AcgAgAGYAbwByACAAdABoAGUAIABwAHIAbwBkAHUAYwB0AGkAbwBuACAAbwBmACAAYwBvAG0AcABvAG4AZQBuAHQAIABjAFwAIgAsACAAXAAiAGsAZwAgAEMATwAyAGUALwBrAGcAIABjAG8AbQBwAG8AbgBlAG4AdABcACIALAAgAFwAIgBDAG8AbgBzAHQAYQBuAHQAXAAiADsAXABuACAAIAAgACAAIAAgACAAIAAgACAAXAAiAGMAXAAiACwAIABcACIAZgBlAHIAdABpAGwAaQBzAGUAcgAgAGMAbwBtAHAAbwBuAGUAbgB0AFwAIgAsACAAXAAiAFwAIgAsACAAXAAiAEkAbgBwAHUAdABcACIAOwBcAG4AIAAgACAAIAAgACAAIAAgACAAIABcACIAZgBcACIALAAgAFwAIgBpAG4AbwByAGcAYQBuAGkAYwAgAGYAZQByAHQAaQBsAGkAcwBlAHIAIAB0AHkAcABlAFwAIgAsACAAXAAiAFwAIgAsACAAXAAiAEkAbgBwAHUAdABcACIAOwBcAG4AIAAgACAAIAAgACAAIAAgACAAIABcACIAagBcACIALAAgAFwAIgBwAHIAbwBkAHUAYwB0AGkAbwBuACAAcwB5AHMAdABlAG0AXAAiACwAIABcACIAXAAiACwAIABcACIASQBuAHAAdQB0AFwAIgBcAG4AIAAgACAAIAAgACAAIAAgAH0ALAAgAHIALAAgAGMAKQBcAG4AIAAgACAAIAAgACAAKQBcAG4AIAAgACAAIAApAFwAbgAgACAAKQA7AFwAbgBcAG4AVgBFAEUAUgBHAF8AMQA1AF8ANABfADEAXwAxAF8AXwAyAF8ARQBtAGkAcwBzAGkAbwBuAHMARgByAG8AbQBQAHUAcgBjAGgAYQBzAGUAZABGAGUAcgB0AGkAbABpAHMAZQByAEMAbwBtAHAAbwBuAGUAbgB0AHMAXwBWAGEAcgBpAGEAdABpAG8AbgBcAG4AIAAgAD0ATABBAE0AQgBEAEEAKABcACIAVgBBAFIASQBBAFQASQBPAE4AIABPAE4AIABTAE8AVQBSAEMARQA6ACAAcgBlAG0AbwB2AGUAcwAgAGQAaQB2AGkAcwBpAG8AbgAgAGIAeQAgADEAMAAwACAAZgBvAHIAIABGAF8AYwBmACwAIAB0AHIAZQBhAHQAaQBuAGcAIABGAF8AYwBmACAAYQBzACAAZgByAGEAYwB0AGkAbwBuACAAaQBuAHMAdABlAGEAZAAgAG8AZgAgAHAAZQByAGMAZQBuAHQAIABiAGUAYwBhAHUAcwBlACAAaQB0ACAAaQBzACAAYQAgAGYAcgBhAGMAdABpAG8AbgAgAGkAbgAgAHMAYwBvAHAAZQAgADEAIABlAHEAdQBhAHQAaQBvAG4AcwAuACAAQwBvAG4AdgBlAHIAdAAgAGsAZwAgAHQAbwAgAHQAbwBuAG4AZQBzACAAYgB5ACAAbQB1AHQAaQBwAGwAeQBpAG4AZwAgAGIAeQAgADEAMABeAC0AMwAuAFwAIgApADsAXABuAFwAbgBcAG4AXABuAFwAbgAvACoAXABuAC0ALQAtAC0ALQAtAC0ALQAtAC0ALQAtAC0ALQAtAC0ALQAtAC0ALQAtAC0ALQAtAC0ALQAtAC0ALQAtAC0ALQAtAC0ALQAtAC0ALQBcAG4AVgBFAEUAUgBHAF8AMQA1AF8ANABfADEAXwAxAF8AXwBYAF8ARQBtAGkAcwBzAGkAbwBuAEYAYQBjAHQAbwByAEYAcgBvAG0AUAB1AHIAYwBoAGEAcwBlAGQARgBlAHIAdABpAGwAaQBzAGUAcgBDAG8AbQBwAG8AbgBlAG4AdABzAFwAbgBFAG0AaQBzAHMAaQBvAG4AIABmAGEAYwB0AG8AcgAgAGYAbwByACAAZgBlAHIAdABpAGwAaQBzAGUAcgAgAHAAcgBvAGQAdQBjAHQAIABkAGUAcgBpAHYAZQBkACAAZgByAG8AbQAgAGMAbwBtAHAAbwBuAGUAbgB0AHMAXABuAC0ALQAtAC0ALQAtAC0ALQAtAC0ALQAtAC0ALQAtAC0ALQAtAC0ALQAtAC0ALQAtAC0ALQAtAC0ALQAtAC0ALQAtAC0ALQAtAC0ALQBcAG4AKgAvAFwAbgBcAG4AVgBFAEUAUgBHAF8AMQA1AF8ANABfADEAXwAxAF8AXwBYAF8ARQBtAGkAcwBzAGkAbwBuAEYAYQBjAHQAbwByAEYAcgBvAG0AUAB1AHIAYwBoAGEAcwBlAGQARgBlAHIAdABpAGwAaQBzAGUAcgBDAG8AbQBwAG8AbgBlAG4AdABzAFwAbgAgACAAPQBMAEEATQBCAEQAQQAoAFwAbgAgACAAIAAgAEYAXwBjAGYALAAgAEUARgBfAGMALABcAG4AIAAgACAAIABGAF8AYwBmACAAKgAgAEUARgBfAGMAXABuACAAIAApADsAXABuAFwAbgBWAEUARQBSAEcAXwAxADUAXwA0AF8AMQBfADEAXwBfAFgAXwBFAG0AaQBzAHMAaQBvAG4ARgBhAGMAdABvAHIARgByAG8AbQBQAHUAcgBjAGgAYQBzAGUAZABGAGUAcgB0AGkAbABpAHMAZQByAEMAbwBtAHAAbwBuAGUAbgB0AHMAXwBUAGkAdABsAGUAXABuACAAIAA9AEwAQQBNAEIARABBACgAXAAiAEUAbQBpAHMAcwBpAG8AbgAgAGYAYQBjAHQAbwByACAAZgBvAHIAIABmAGUAcgB0AGkAbABpAHMAZQByACAAcAByAG8AZAB1AGMAdAAgAGQAZQByAGkAdgBlAGQAIABmAHIAbwBtACAAYwBvAG0AcABvAG4AZQBuAHQAcwBcACIAKQA7AFwAbgBcAG4AVgBFAEUAUgBHAF8AMQA1AF8ANABfADEAXwAxAF8AXwBYAF8ARQBtAGkAcwBzAGkAbwBuAEYAYQBjAHQAbwByAEYAcgBvAG0AUAB1AHIAYwBoAGEAcwBlAGQARgBlAHIAdABpAGwAaQBzAGUAcgBDAG8AbQBwAG8AbgBlAG4AdABzAF8AVgBhAHIAaQBhAGIAbABlAFwAbgAgACAAPQBMAEEATQBCAEQAQQAoAFwAIgBFAEYAXwBmAFwAIgApADsAXABuAFwAbgBWAEUARQBSAEcAXwAxADUAXwA0AF8AMQBfADEAXwBfAFgAXwBFAG0AaQBzAHMAaQBvAG4ARgBhAGMAdABvAHIARgByAG8AbQBQAHUAcgBjAGgAYQBzAGUAZABGAGUAcgB0AGkAbABpAHMAZQByAEMAbwBtAHAAbwBuAGUAbgB0AHMAXwBVAG4AaQB0AFwAbgAgACAAPQBMAEEATQBCAEQAQQAoAFwAIgBrAGcAIABDAE8AMgBlAC8AawBnACAAZgBlAHIAdABpAGwAaQBzAGUAcgBcACIAKQA7AFwAbgBcAG4AVgBFAEUAUgBHAF8AMQA1AF8ANABfADEAXwAxAF8AXwBYAF8ARQBtAGkAcwBzAGkAbwBuAEYAYQBjAHQAbwByAEYAcgBvAG0AUAB1AHIAYwBoAGEAcwBlAGQARgBlAHIAdABpAGwAaQBzAGUAcgBDAG8AbQBwAG8AbgBlAG4AdABzAF8AUwBvAHUAcgBjAGUAXABuACAAIAA9AEwAQQBNAEIARABBACgAXAAiAEcAQQBGAFwAIgApADsAXABuAFwAbgBWAEUARQBSAEcAXwAxADUAXwA0AF8AMQBfADEAXwBfAFgAXwBFAG0AaQBzAHMAaQBvAG4ARgBhAGMAdABvAHIARgByAG8AbQBQAHUAcgBjAGgAYQBzAGUAZABGAGUAcgB0AGkAbABpAHMAZQByAEMAbwBtAHAAbwBuAGUAbgB0AHMAXwBOAEkAUgBSAGUAZgBlAHIAZQBuAGMAZQBcAG4AIAAgAD0ATABBAE0AQgBEAEEAKABcACIAXAAiACkAOwBcAG4AXABuAFYARQBFAFIARwBfADEANQBfADQAXwAxAF8AMQBfAF8AWABfAEUAbQBpAHMAcwBpAG8AbgBGAGEAYwB0AG8AcgBGAHIAbwBtAFAAdQByAGMAaABhAHMAZQBkAEYAZQByAHQAaQBsAGkAcwBlAHIAQwBvAG0AcABvAG4AZQBuAHQAcwBfAEwAYQB0AGUAeABFAHEAdQBhAHQAaQBvAG4AXABuACAAIAA9AEwAQQBNAEIARABBACgAXAAiAEUARgBfAGYAPQBcAFwAcwB1AG0AXABcAG4AbwBsAGkAbQBpAHQAcwBfAGMAXABcAGwAZQBmAHQAKABGAF8AewBjAGYAfQBcAFwAdABpAG0AZQBzACAARQBGAF8AYwBcAFwAcgBpAGcAaAB0ACkAXAAiACkAOwBcAG4AXABuAFYARQBFAFIARwBfADEANQBfADQAXwAxAF8AMQBfAF8AWABfAEUAbQBpAHMAcwBpAG8AbgBGAGEAYwB0AG8AcgBGAHIAbwBtAFAAdQByAGMAaABhAHMAZQBkAEYAZQByAHQAaQBsAGkAcwBlAHIAQwBvAG0AcABvAG4AZQBuAHQAcwBfAEEAcgBnAHUAbQBlAG4AdABzAFwAbgAgACAAPQBMAEEATQBCAEQAQQAoAFwAbgAgACAAIAAgAE0AQQBLAEUAQQBSAFIAQQBZACgANAAsACAANAAsAFwAbgAgACAAIAAgACAAIABMAEEATQBCAEQAQQAoAHIALABjACwAXABuACAAIAAgACAAIAAgACAAIABJAE4ARABFAFgAKAB7AFwAbgAgACAAIAAgACAAIAAgACAAIAAgAFwAIgBGAF8AYwBmAFwAIgAsACAAXAAiAGYAcgBhAGMAdABpAG8AbgAgAG8AZgAgAGMAbwBtAHAAbwBuAGUAbgB0ACAAYwAgAGMAbwBuAHQAYQBpAG4AZQBkACAAdwBpAHQAaABpAG4AIAB0AGgAZQAgAGkAbgBvAHIAZwBhAG4AaQBjACAAZgBlAHIAdABpAGwAaQBzAGUAcgAgAGYAXAAiACwAIABcACIAdwB0ACUAXAAiACwAIABcACIASQBuAHAAdQB0AFwAIgA7AFwAbgAgACAAIAAgACAAIAAgACAAIAAgAFwAIgBFAEYAXwBjAFwAIgAsACAAXAAiAGUAbQBpAHMAcwBpAG8AbgAgAGYAYQBjAHQAbwByACAAZgBvAHIAIAB0AGgAZQAgAHAAcgBvAGQAdQBjAHQAaQBvAG4AIABvAGYAIABjAG8AbQBwAG8AbgBlAG4AdAAgAGMAXAAiACwAIABcACIAawBnACAAQwBPADIAZQAvAGsAZwAgAGMAbwBtAHAAbwBuAGUAbgB0AFwAIgAsACAAXAAiAEMAbwBuAHMAdABhAG4AdABcACIAOwBcAG4AIAAgACAAIAAgACAAIAAgACAAIABcACIAYwBcACIALAAgAFwAIgBmAGUAcgB0AGkAbABpAHMAZQByACAAYwBvAG0AcABvAG4AZQBuAHQAXAAiACwAIABcACIAXAAiACwAIABcACIASQBuAHAAdQB0AFwAIgA7AFwAbgAgACAAIAAgACAAIAAgACAAIAAgAFwAIgBmAFwAIgAsACAAXAAiAGkAbgBvAHIAZwBhAG4AaQBjACAAZgBlAHIAdABpAGwAaQBzAGUAcgAgAHQAeQBwAGUAXAAiACwAIABcACIAXAAiACwAIABcACIASQBuAHAAdQB0AFwAIgBcAG4AIAAgACAAIAAgACAAIAAgAH0ALAAgAHIALAAgAGMAKQBcAG4AIAAgACAAIAAgACAAKQBcAG4AIAAgACAAIAApAFwAbgAgACAAKQA7AFwAbgBcAG4AVgBFAEUAUgBHAF8AMQA1AF8ANABfADEAXwAxAF8AXwBYAF8ARQBtAGkAcwBzAGkAbwBuAEYAYQBjAHQAbwByAEYAcgBvAG0AUAB1AHIAYwBoAGEAcwBlAGQARgBlAHIAdABpAGwAaQBzAGUAcgBDAG8AbQBwAG8AbgBlAG4AdABzAF8AVgBhAHIAaQBhAHQAaQBvAG4AXABuACAAIAA9AEwAQQBNAEIARABBACgAXAAiAFYAQQBSAEkAQQBUAEkATwBOACAATwBOACAAUwBPAFUAUgBDAEUAOgAgAFQAaABpAHMAIABlAHEAdQBhAHQAaQBvAG4AIABpAHMAIABhAGQAZABlAGQAIAB0AG8AIABjAGEAbABjAHUAbABhAHQAZQAgAGEAbgAgAEUARgAgAHYAYQBsAHUAZQAgAGYAcgBvAG0AIABmAGUAcgB0AGkAbABpAHMAZQByACAAYwBvAG0AcABvAG4AZQBuAHQAcwAgAHQAaABhAHQAIABjAGEAbgAgAGIAZQAgAHUAcwBlAGQAIABpAG4AIAAxADUALgA0AC4AMQAuADEAIAAoADEAKQBcACIAKQA7AFwAbgBcAG4ALwAqAFwAbgAtAC0ALQAtAC0ALQAtAC0ALQAtAC0ALQAtAC0ALQAtAC0ALQAtAC0ALQAtAC0ALQAtAC0ALQAtAC0ALQAtAC0ALQAtAC0ALQAtAC0AXABuAFYARQBFAFIARwBfADEANQBfADUAXwAxAF8AMQBfAF8AMQBfAEUAbQBpAHMAcwBpAG8AbgBzAEYAcgBvAG0AUAB1AHIAYwBoAGEAcwBlAGQAQQBnAHIAaQBjAGgAZQBtAGkAYwBhAGwAcwBcAG4AVABvAHQAYQBsACAAZQBtAGkAcwBzAGkAbwBuAHMAIABmAHIAbwBtACAAcAB1AHIAYwBoAGEAcwBlAGQAIABhAGcAcgBpAGMAaABlAG0AaQBjAGEAbABzAFwAbgBFAFwAbgB0ACAAQwBPADIAZQBcAG4ARQA9AFwAXABzAHUAbQBcAFwAbgBvAGwAaQBtAGkAdABzAF8AaABcAFwAbABlAGYAdAAoAFEAXwBoAFwAXAB0AGkAbQBlAHMAIABFAEYAXwBoAFwAXAByAGkAZwBoAHQAKQBcAFwAdABpAG0AZQBzACAAMQAwAF4AewAtADMAfQBcAG4AUQBfAGgAIAA9ACAAcQB1AGEAbgB0AGkAdAB5ACAAbwBmACAAYQBjAHQAaQB2AGUAIABpAG4AZwByAGUAZABpAGUAbgB0AHMAIABpAG4AIABhAGcAcgBpAGMAaABlAG0AaQBjAGEAbAAgAHQAeQBwAGUAIABoACAAcAB1AHIAYwBoAGEAcwBlAGQAIABhAG4AZAAgAGEAcABwAGwAaQBlAGQAIAB0AG8AIABzAG8AaQBsAHMAXABuAEUARgBfAGgAIAA9ACAAZQBtAGkAcwBzAGkAbwBuACAAZgBhAGMAdABvAHIAIABmAG8AcgAgAHAAdQByAGMAaABhAHMAZQBkACAAYQBnAHIAaQBjAGgAZQBtAGkAYwBhAGwAIABhAGMAdABpAHYAZQAgAGkAbgBnAHIAZQBkAGkAZQBuAHQAXABuAC0ALQAtAC0ALQAtAC0ALQAtAC0ALQAtAC0ALQAtAC0ALQAtAC0ALQAtAC0ALQAtAC0ALQAtAC0ALQAtAC0ALQAtAC0ALQAtAC0ALQBcAG4AKgAvAFwAbgBcAG4AVgBFAEUAUgBHAF8AMQA1AF8ANQBfADEAXwAxAF8AXwAxAF8ARQBtAGkAcwBzAGkAbwBuAHMARgByAG8AbQBQAHUAcgBjAGgAYQBzAGUAZABBAGcAcgBpAGMAaABlAG0AaQBjAGEAbABzAFwAbgAgACAAPQBMAEEATQBCAEQAQQAoAFwAbgAgACAAIAAgAFEAXwBoACwAIABFAEYAXwBoACwAXABuACAAIAAgACAAKABRAF8AaAAgACoAIABFAEYAXwBoACkAIAAqACAAMQAwACAAXgAgAC0AMwBcAG4AIAAgACkAOwBcAG4AXABuAFYARQBFAFIARwBfADEANQBfADUAXwAxAF8AMQBfAF8AMQBfAEUAbQBpAHMAcwBpAG8AbgBzAEYAcgBvAG0AUAB1AHIAYwBoAGEAcwBlAGQAQQBnAHIAaQBjAGgAZQBtAGkAYwBhAGwAcwBfAFQAaQB0AGwAZQBcAG4AIAAgAD0ATABBAE0AQgBEAEEAKABcACIAVABvAHQAYQBsACAAZQBtAGkAcwBzAGkAbwBuAHMAIABmAHIAbwBtACAAcAB1AHIAYwBoAGEAcwBlAGQAIABhAGcAcgBpAGMAaABlAG0AaQBjAGEAbABzAFwAIgApADsAXABuAFwAbgBWAEUARQBSAEcAXwAxADUAXwA1AF8AMQBfADEAXwBfADEAXwBFAG0AaQBzAHMAaQBvAG4AcwBGAHIAbwBtAFAAdQByAGMAaABhAHMAZQBkAEEAZwByAGkAYwBoAGUAbQBpAGMAYQBsAHMAXwBWAGEAcgBpAGEAYgBsAGUAXABuACAAIAA9AEwAQQBNAEIARABBACgAXAAiAEUAXAAiACkAOwBcAG4AXABuAFYARQBFAFIARwBfADEANQBfADUAXwAxAF8AMQBfAF8AMQBfAEUAbQBpAHMAcwBpAG8AbgBzAEYAcgBvAG0AUAB1AHIAYwBoAGEAcwBlAGQAQQBnAHIAaQBjAGgAZQBtAGkAYwBhAGwAcwBfAFUAbgBpAHQAXABuACAAIAA9AEwAQQBNAEIARABBACgAXAAiAHQAIABDAE8AMgBlAFwAIgApADsAXABuAFwAbgBWAEUARQBSAEcAXwAxADUAXwA1AF8AMQBfADEAXwBfADEAXwBFAG0AaQBzAHMAaQBvAG4AcwBGAHIAbwBtAFAAdQByAGMAaABhAHMAZQBkAEEAZwByAGkAYwBoAGUAbQBpAGMAYQBsAHMAXwBTAG8AdQByAGMAZQBcAG4AIAAgAD0ATABBAE0AQgBEAEEAKABcACIAVgBFAEUAUgBHACAAMgAwADIANgA6ACAAMQA1AC4ANQAuADEALgAxACwAIABFAHEAdQBhAHQAaQBvAG4AIAAoADEAKQBcACIAKQA7AFwAbgBcAG4AVgBFAEUAUgBHAF8AMQA1AF8ANQBfADEAXwAxAF8AXwAxAF8ARQBtAGkAcwBzAGkAbwBuAHMARgByAG8AbQBQAHUAcgBjAGgAYQBzAGUAZABBAGcAcgBpAGMAaABlAG0AaQBjAGEAbABzAF8ATgBJAFIAUgBlAGYAZQByAGUAbgBjAGUAXABuACAAIAA9AEwAQQBNAEIARABBACgAXAAiAFwAIgApADsAXABuAFwAbgBWAEUARQBSAEcAXwAxADUAXwA1AF8AMQBfADEAXwBfADEAXwBFAG0AaQBzAHMAaQBvAG4AcwBGAHIAbwBtAFAAdQByAGMAaABhAHMAZQBkAEEAZwByAGkAYwBoAGUAbQBpAGMAYQBsAHMAXwBMAGEAdABlAHgARQBxAHUAYQB0AGkAbwBuAFwAbgAgACAAPQBMAEEATQBCAEQAQQAoAFwAIgBFAD0AXABcAHMAdQBtAFwAXABuAG8AbABpAG0AaQB0AHMAXwBoAFwAXABsAGUAZgB0ACgAUQBfAGgAXABcAHQAaQBtAGUAcwAgAEUARgBfAGgAXABcAHIAaQBnAGgAdAApAFwAXAB0AGkAbQBlAHMAIAAxADAAXgB7AC0AMwB9AFwAIgApADsAXABuAFwAbgBWAEUARQBSAEcAXwAxADUAXwA1AF8AMQBfADEAXwBfADEAXwBFAG0AaQBzAHMAaQBvAG4AcwBGAHIAbwBtAFAAdQByAGMAaABhAHMAZQBkAEEAZwByAGkAYwBoAGUAbQBpAGMAYQBsAHMAXwBBAHIAZwB1AG0AZQBuAHQAcwBcAG4AIAAgAD0ATABBAE0AQgBEAEEAKABcAG4AIAAgACAAIABNAEEASwBFAEEAUgBSAEEAWQAoADMALAAgADQALABcAG4AIAAgACAAIAAgACAATABBAE0AQgBEAEEAKAByACwAYwAsAFwAbgAgACAAIAAgACAAIAAgACAASQBOAEQARQBYACgAewBcAG4AIAAgACAAIAAgACAAIAAgACAAIABcACIAUQBfAGgAXAAiACwAIABcACIAcQB1AGEAbgB0AGkAdAB5ACAAbwBmACAAYQBjAHQAaQB2AGUAIABpAG4AZwByAGUAZABpAGUAbgB0AHMAIABpAG4AIABhAGcAcgBpAGMAaABlAG0AaQBjAGEAbAAgAHQAeQBwAGUAIABoACAAcAB1AHIAYwBoAGEAcwBlAGQAIABhAG4AZAAgAGEAcABwAGwAaQBlAGQAIAB0AG8AIABzAG8AaQBsAHMAXAAiACwAIABcACIAawBnACAAYQBpAFwAIgAsACAAXAAiAEkAbgBwAHUAdABcACIAOwBcAG4AIAAgACAAIAAgACAAIAAgACAAIABcACIARQBGAF8AaABcACIALAAgAFwAIgBlAG0AaQBzAHMAaQBvAG4AIABmAGEAYwB0AG8AcgAgAGYAbwByACAAcAB1AHIAYwBoAGEAcwBlAGQAIABhAGcAcgBpAGMAaABlAG0AaQBjAGEAbAAgAGEAYwB0AGkAdgBlACAAaQBuAGcAcgBlAGQAaQBlAG4AdABcACIALAAgAFwAIgBrAGcAIABDAE8AMgBlAC8AawBnACAAYQBpAFwAIgAsACAAXAAiAEMAbwBuAHMAdABhAG4AdABcACIAOwBcAG4AIAAgACAAIAAgACAAIAAgACAAIABcACIAaABcACIALAAgAFwAIgBhAGcAcgBpAGMAaABlAG0AaQBjAGEAbAAgAHQAeQBw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YAXwAxAF8AMQBfAF8AMQBfAEUAbQBpAHMAcwBpAG8AbgBzAEYAcgBvAG0AUAB1AHIAYwBoAGEAcwBlAGQATABpAG0AZQBcAG4ARQBtAGIAZQBkAGQAZQBkACAAZQBtAGkAcwBzAGkAbwBuAHMAIABmAG8AcgAgAHAAdQByAGMAaABhAHMAZQBkACAAbABpAG0AZQBcAG4ARQBcAG4AdAAgAEMATwAyAGUAXABuAEUAPQBNAF8AbABpAG0AZQBcAFwAdABpAG0AZQBzACAARQBGAF8AbABcAG4ATQBfAGwAaQBtAGUAIAA9ACAAdABvAHQAYQBsACAAcQB1AGEAbgB0AGkAdAB5ACAAbwBmACAAbABpAG0AZQAgAGEAcABwAGwAaQBlAGQAIAB0AG8AIABzAG8AaQBsAHMAXABuAEUARgBfAGwAIAA9ACAAZQBtAGkAcwBzAGkAbwBuACAAZgBhAGMAdABvAHIAIABmAG8AcgAgAHAAdQByAGMAaABhAHMAZQBkACAAbABpAG0AZQBcAG4ALQAtAC0ALQAtAC0ALQAtAC0ALQAtAC0ALQAtAC0ALQAtAC0ALQAtAC0ALQAtAC0ALQAtAC0ALQAtAC0ALQAtAC0ALQAtAC0ALQAtAFwAbgAqAC8AXABuAFwAbgBWAEUARQBSAEcAXwAxADUAXwA2AF8AMQBfADEAXwBfADEAXwBFAG0AaQBzAHMAaQBvAG4AcwBGAHIAbwBtAFAAdQByAGMAaABhAHMAZQBkAEwAaQBtAGUAXABuACAAIAA9AEwAQQBNAEIARABBACgAXABuACAAIAAgACAATQBfAGwAaQBtAGUALAAgAEUARgBfAGwALABcAG4AIAAgACAAIABNAF8AbABpAG0AZQAgACoAIABFAEYAXwBsAFwAbgAgACAAKQA7AFwAbgBcAG4AVgBFAEUAUgBHAF8AMQA1AF8ANgBfADEAXwAxAF8AXwAxAF8ARQBtAGkAcwBzAGkAbwBuAHMARgByAG8AbQBQAHUAcgBjAGgAYQBzAGUAZABMAGkAbQBlAF8AVABpAHQAbABlAFwAbgAgACAAPQBMAEEATQBCAEQAQQAoAFwAIgBFAG0AYgBlAGQAZABlAGQAIABlAG0AaQBzAHMAaQBvAG4AcwAgAGYAbwByACAAcAB1AHIAYwBoAGEAcwBlAGQAIABsAGkAbQBlAFwAIgApADsAXABuAFwAbgBWAEUARQBSAEcAXwAxADUAXwA2AF8AMQBfADEAXwBfADEAXwBFAG0AaQBzAHMAaQBvAG4AcwBGAHIAbwBtAFAAdQByAGMAaABhAHMAZQBkAEwAaQBtAGUAXwBWAGEAcgBpAGEAYgBsAGUAXABuACAAIAA9AEwAQQBNAEIARABBACgAXAAiAEUAXAAiACkAOwBcAG4AXABuAFYARQBFAFIARwBfADEANQBfADYAXwAxAF8AMQBfAF8AMQBfAEUAbQBpAHMAcwBpAG8AbgBzAEYAcgBvAG0AUAB1AHIAYwBoAGEAcwBlAGQATABpAG0AZQBfAFUAbgBpAHQAXABuACAAIAA9AEwAQQBNAEIARABBACgAXAAiAHQAIABDAE8AMgBlAFwAIgApADsAXABuAFwAbgBWAEUARQBSAEcAXwAxADUAXwA2AF8AMQBfADEAXwBfADEAXwBFAG0AaQBzAHMAaQBvAG4AcwBGAHIAbwBtAFAAdQByAGMAaABhAHMAZQBkAEwAaQBtAGUAXwBTAG8AdQByAGMAZQBcAG4AIAAgAD0ATABBAE0AQgBEAEEAKABcACIAVgBFAEUAUgBHACAAMgAwADIANgA6ACAAMQA1AC4ANgAuADEALgAxACwAIABFAHEAdQBhAHQAaQBvAG4AIAAoADEAKQBcACIAKQA7AFwAbgBcAG4AVgBFAEUAUgBHAF8AMQA1AF8ANgBfADEAXwAxAF8AXwAxAF8ARQBtAGkAcwBzAGkAbwBuAHMARgByAG8AbQBQAHUAcgBjAGgAYQBzAGUAZABMAGkAbQBlAF8ATgBJAFIAUgBlAGYAZQByAGUAbgBjAGUAXABuACAAIAA9AEwAQQBNAEIARABBACgAXAAiAFwAIgApADsAXABuAFwAbgBWAEUARQBSAEcAXwAxADUAXwA2AF8AMQBfADEAXwBfADEAXwBFAG0AaQBzAHMAaQBvAG4AcwBGAHIAbwBtAFAAdQByAGMAaABhAHMAZQBkAEwAaQBtAGUAXwBMAGEAdABlAHgARQBxAHUAYQB0AGkAbwBuAFwAbgAgACAAPQBMAEEATQBCAEQAQQAoAFwAIgBFAD0ATQBfAHsAbABpAG0AZQB9AFwAXAB0AGkAbQBlAHMAIABFAEYAXwBsAFwAIgApADsAXABuAFwAbgBWAEUARQBSAEcAXwAxADUAXwA2AF8AMQBfADEAXwBfADEAXwBFAG0AaQBzAHMAaQBvAG4AcwBGAHIAbwBtAFAAdQByAGMAaABhAHMAZQBkAEwAaQBtAGUAXwBBAHIAZwB1AG0AZQBuAHQAcwBcAG4AIAAgAD0ATABBAE0AQgBEAEEAKABcAG4AIAAgACAAIABNAEEASwBFAEEAUgBSAEEAWQAoADIALAAgADQALABcAG4AIAAgACAAIAAgACAATABBAE0AQgBEAEEAKAByACwAYwAsAFwAbgAgACAAIAAgACAAIAAgACAASQBOAEQARQBYACgAewBcAG4AIAAgACAAIAAgACAAIAAgACAAIABcACIATQBfAGwAaQBtAGUAXAAiACwAIABcACIAdABvAHQAYQBsACAAcQB1AGEAbgB0AGkAdAB5ACAAbwBmACAAbABpAG0AZQAgAGEAcABwAGwAaQBlAGQAIAB0AG8AIABzAG8AaQBsAHMAXAAiACwAIABcACIAdABcACIALAAgAFwAIgBJAG4AcAB1AHQAXAAiADsAXABuACAAIAAgACAAIAAgACAAIAAgACAAXAAiAEUARgBfAGwAXAAiACwAIABcACIAZQBtAGkAcwBzAGkAbwBuACAAZgBhAGMAdABvAHIAIABmAG8AcgAgAHAAdQByAGMAaABhAHMAZQBkACAAbABpAG0AZQBcACIALAAgAFwAIgB0ACAAQwBPADIAZQAvAHQ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EANQBfADcAXwAxAF8AMQBfAF8AMQBfAEUAbQBpAHMAcwBpAG8AbgBzAEYAcgBvAG0AUAB1AHIAYwBoAGEAcwBlAGQAUwBlAHIAdgBpAGMAZQBzAFwAbgBFAG0AaQBzAHMAaQBvAG4AcwAgAG8AZgAgAHAAdQByAGMAaABhAHMAZQBkACAAcwBlAHIAdgBpAGMAZQBzACAAYQBuAGQAIABjAG8AbgB0AHIAYQBjAHQAbwByACAAbwBwAGUAcgBhAHQAaQBvAG4AcwBcAG4ARQBcAG4AdAAgAEMATwAyAGUAXABuAEUAPQBcAFwAcwB1AG0AXABcAG4AbwBsAGkAbQBpAHQAcwBfAHAAXABcAGwAZQBmAHQAKABBAF8AcABcAFwAdABpAG0AZQBzACAARQBGAF8AcABcAFwAcgBpAGcAaAB0ACkAXABcAHQAaQBtAGUAcwAgADEAMABeAHsALQAzAH0AXABuAEEAXwBwACAAPQAgAGEAYwB0AGkAdgBpAHQAeQAgAGQAYQB0AGEAIABvAGYAIAB0AGgAZQAgAHMAZQByAHYAaQBjAGUAIAB0AGgAYQB0ACAAdwBhAHMAIABwAHUAcgBjAGgAYQBzAGUAZABcAG4ARQBGAF8AcAAgAD0AIABsAGkAZgBlACAAYwB5AGMAbABlACAAZQBtAGkAcwBzAGkAbwBuACAAZgBhAGMAdABvAHIAIABmAG8AcgAgAHQAaABlACAAcAB1AHIAYwBoAGEAcwBlAGQAIABzAGUAcgB2AGkAYwBlAFwAbgAtAC0ALQAtAC0ALQAtAC0ALQAtAC0ALQAtAC0ALQAtAC0ALQAtAC0ALQAtAC0ALQAtAC0ALQAtAC0ALQAtAC0ALQAtAC0ALQAtAC0AXABuACoALwBcAG4AXABuAFYARQBFAFIARwBfADEANQBfADcAXwAxAF8AMQBfAF8AMQBfAEUAbQBpAHMAcwBpAG8AbgBzAEYAcgBvAG0AUAB1AHIAYwBoAGEAcwBlAGQAUwBlAHIAdgBpAGMAZQBzAFwAbgAgACAAPQBMAEEATQBCAEQAQQAoAFwAbgAgACAAIAAgAEEAXwBwACwAIABFAEYAXwBwACwAXABuACAAIAAgACAAKABBAF8AcAAgACoAIABFAEYAXwBwACkAIAAqACAAMQAwACAAXgAgAC0AMwBcAG4AIAAgACkAOwBcAG4AXABuAFYARQBFAFIARwBfADEANQBfADcAXwAxAF8AMQBfAF8AMQBfAEUAbQBpAHMAcwBpAG8AbgBzAEYAcgBvAG0AUAB1AHIAYwBoAGEAcwBlAGQAUwBlAHIAdgBpAGMAZQBzAF8AVABpAHQAbABlAFwAbgAgACAAPQBMAEEATQBCAEQAQQAoAFwAIgBFAG0AaQBzAHMAaQBvAG4AcwAgAG8AZgAgAHAAdQByAGMAaABhAHMAZQBkACAAcwBlAHIAdgBpAGMAZQBzACAAYQBuAGQAIABjAG8AbgB0AHIAYQBjAHQAbwByACAAbwBwAGUAcgBhAHQAaQBvAG4AcwBcACIAKQA7AFwAbgBcAG4AVgBFAEUAUgBHAF8AMQA1AF8ANwBfADEAXwAxAF8AXwAxAF8ARQBtAGkAcwBzAGkAbwBuAHMARgByAG8AbQBQAHUAcgBjAGgAYQBzAGUAZABTAGUAcgB2AGkAYwBlAHMAXwBWAGEAcgBpAGEAYgBsAGUAXABuACAAIAA9AEwAQQBNAEIARABBACgAXAAiAEUAXAAiACkAOwBcAG4AXABuAFYARQBFAFIARwBfADEANQBfADcAXwAxAF8AMQBfAF8AMQBfAEUAbQBpAHMAcwBpAG8AbgBzAEYAcgBvAG0AUAB1AHIAYwBoAGEAcwBlAGQAUwBlAHIAdgBpAGMAZQBzAF8AVQBuAGkAdABcAG4AIAAgAD0ATABBAE0AQgBEAEEAKABcACIAdAAgAEMATwAyAGUAXAAiACkAOwBcAG4AXABuAFYARQBFAFIARwBfADEANQBfADcAXwAxAF8AMQBfAF8AMQBfAEUAbQBpAHMAcwBpAG8AbgBzAEYAcgBvAG0AUAB1AHIAYwBoAGEAcwBlAGQAUwBlAHIAdgBpAGMAZQBzAF8AUwBvAHUAcgBjAGUAXABuACAAIAA9AEwAQQBNAEIARABBACgAXAAiAFYARQBFAFIARwAgADIAMAAyADYAOgAgADEANQAuADcALgAxAC4AMQAsACAARQBxAHUAYQB0AGkAbwBuACAAKAAxACkAXAAiACkAOwBcAG4AXABuAFYARQBFAFIARwBfADEANQBfADcAXwAxAF8AMQBfAF8AMQBfAEUAbQBpAHMAcwBpAG8AbgBzAEYAcgBvAG0AUAB1AHIAYwBoAGEAcwBlAGQAUwBlAHIAdgBpAGMAZQBzAF8ATgBJAFIAUgBlAGYAZQByAGUAbgBjAGUAXABuACAAIAA9AEwAQQBNAEIARABBACgAXAAiAFwAIgApADsAXABuAFwAbgBWAEUARQBSAEcAXwAxADUAXwA3AF8AMQBfADEAXwBfADEAXwBFAG0AaQBzAHMAaQBvAG4AcwBGAHIAbwBtAFAAdQByAGMAaABhAHMAZQBkAFMAZQByAHYAaQBjAGUAcwBfAEwAYQB0AGUAeABFAHEAdQBhAHQAaQBvAG4AXABuACAAIAA9AEwAQQBNAEIARABBACgAXAAiAEUAPQBcAFwAcwB1AG0AXABcAG4AbwBsAGkAbQBpAHQAcwBfAHAAXABcAGwAZQBmAHQAKABBAF8AcABcAFwAdABpAG0AZQBzACAARQBGAF8AcABcAFwAcgBpAGcAaAB0ACkAXABcAHQAaQBtAGUAcwAgADEAMABeAHsALQAzAH0AXAAiACkAOwBcAG4AXABuAFYARQBFAFIARwBfADEANQBfADcAXwAxAF8AMQBfAF8AMQBfAEUAbQBpAHMAcwBpAG8AbgBzAEYAcgBvAG0AUAB1AHIAYwBoAGEAcwBlAGQAUwBlAHIAdgBpAGMAZQBzAF8AQQByAGcAdQBtAGUAbgB0AHMAXABuACAAIAA9AEwAQQBNAEIARABBACgAXABuACAAIAAgACAATQBBAEsARQBBAFIAUgBBAFkAKAAzACwAIAA0ACwAXABuACAAIAAgACAAIAAgAEwAQQBNAEIARABBACgAcgAsAGMALABcAG4AIAAgACAAIAAgACAAIAAgAEkATgBEAEUAWAAoAHsAXABuACAAIAAgACAAIAAgACAAIAAgACAAXAAiAEEAXwBwAFwAIgAsACAAXAAiAGEAYwB0AGkAdgBpAHQAeQAgAGQAYQB0AGEAIABvAGYAIAB0AGgAZQAgAHMAZQByAHYAaQBjAGUAIAB0AGgAYQB0ACAAdwBhAHMAIABwAHUAcgBjAGgAYQBzAGUAZABcACIALAAgAFwAIgBoAGEAIABvAHIAIABoAFwAIgAsACAAXAAiAEkAbgBwAHUAdABcACIAOwBcAG4AIAAgACAAIAAgACAAIAAgACAAIABcACIARQBGAF8AcABcACIALAAgAFwAIgBsAGkAZgBlACAAYwB5AGMAbABlACAAZQBtAGkAcwBzAGkAbwBuACAAZgBhAGMAdABvAHIAIABmAG8AcgAgAHQAaABlACAAcAB1AHIAYwBoAGEAcwBlAGQAIABzAGUAcgB2AGkAYwBlAFwAIgAsACAAXAAiAGsAZwAgAEMATwAyAGUALwBoAGEAIABvAHIAIABrAGcAIABDAE8AMgBlAC8AaABcACIALAAgAFwAIgBDAG8AbgBzAHQAYQBuAHQAXAAiADsAXABuACAAIAAgACAAIAAgACAAIAAgACAAXAAiAHAAXAAiACwAIABcACIAcwBlAHIAdgBpAGMAZQAgAHQAeQBw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gAXwAxAF8AMQBfAF8AMQBfAEUAbQBpAHMAcwBpAG8AbgBzAEYAcgBvAG0AUAB1AHIAYwBoAGEAcwBlAGQAUABhAGMAawBhAGcAaQBuAGcAXABuAEUAbQBiAGUAZABkAGUAZAAgAGUAbQBpAHMAcwBpAG8AbgBzACAAZgByAG8AbQAgAHUAcwBlACAAbwBmACAAcABhAGMAawBhAGcAaQBuAGcAIABtAGEAdABlAHIAaQBhAGwAcwBcAG4ARQBcAG4AdAAgAEMATwAyAGUAXABuAEUAPQBcAFwAcwB1AG0AXABcAG4AbwBsAGkAbQBpAHQAcwBfAHAAXABcAGwAZQBmAHQAKABRAF8AcABcAFwAdABpAG0AZQBzACAARQBGAF8AcABcAFwAcgBpAGcAaAB0ACkAXABcAHQAaQBtAGUAcwAgADEAMABeAHsALQAzAH0AXABuAFEAXwBwACAAPQAgAHUAbgBpAHQAcwAgAG8AZgAgAHAAYQBjAGsAYQBnAGkAbgBnACAAdAB5AHAAZQAgAHAAXABuAEUARgBfAHAAIAA9ACAAZQBtAGkAcwBzAGkAbwBuACAAZgBhAGMAdABvAHIAIABmAG8AcgAgAHAAYQBjAGsAYQBnAGkAbgBnACAAdAB5AHAAZQAgAHAAXABuAC0ALQAtAC0ALQAtAC0ALQAtAC0ALQAtAC0ALQAtAC0ALQAtAC0ALQAtAC0ALQAtAC0ALQAtAC0ALQAtAC0ALQAtAC0ALQAtAC0ALQBcAG4AKgAvAFwAbgBcAG4AVgBFAEUAUgBHAF8AMQA1AF8AOABfADEAXwAxAF8AXwAxAF8ARQBtAGkAcwBzAGkAbwBuAHMARgByAG8AbQBQAHUAcgBjAGgAYQBzAGUAZABQAGEAYwBrAGEAZwBpAG4AZwBcAG4AIAAgAD0ATABBAE0AQgBEAEEAKABcAG4AIAAgACAAIABRAF8AcAAsACAARQBGAF8AcAAsAFwAbgAgACAAIAAgACgAUQBfAHAAIAAqACAARQBGAF8AcAApACAAKgAgADEAMAAgAF4AIAAtADMAXABuACAAIAApADsAXABuAFwAbgBWAEUARQBSAEcAXwAxADUAXwA4AF8AMQBfADEAXwBfADEAXwBFAG0AaQBzAHMAaQBvAG4AcwBGAHIAbwBtAFAAdQByAGMAaABhAHMAZQBkAFAAYQBjAGsAYQBnAGkAbgBnAF8AVABpAHQAbABlAFwAbgAgACAAPQBMAEEATQBCAEQAQQAoAFwAIgBFAG0AYgBlAGQAZABlAGQAIABlAG0AaQBzAHMAaQBvAG4AcwAgAGYAcgBvAG0AIAB1AHMAZQAgAG8AZgAgAHAAYQBjAGsAYQBnAGkAbgBnACAAbQBhAHQAZQByAGkAYQBsAHMAXAAiACkAOwBcAG4AXABuAFYARQBFAFIARwBfADEANQBfADgAXwAxAF8AMQBfAF8AMQBfAEUAbQBpAHMAcwBpAG8AbgBzAEYAcgBvAG0AUAB1AHIAYwBoAGEAcwBlAGQAUABhAGMAawBhAGcAaQBuAGcAXwBWAGEAcgBpAGEAYgBsAGUAXABuACAAIAA9AEwAQQBNAEIARABBACgAXAAiAEUAXAAiACkAOwBcAG4AXABuAFYARQBFAFIARwBfADEANQBfADgAXwAxAF8AMQBfAF8AMQBfAEUAbQBpAHMAcwBpAG8AbgBzAEYAcgBvAG0AUAB1AHIAYwBoAGEAcwBlAGQAUABhAGMAawBhAGcAaQBuAGcAXwBVAG4AaQB0AFwAbgAgACAAPQBMAEEATQBCAEQAQQAoAFwAIgB0ACAAQwBPADIAZQBcACIAKQA7AFwAbgBcAG4AVgBFAEUAUgBHAF8AMQA1AF8AOABfADEAXwAxAF8AXwAxAF8ARQBtAGkAcwBzAGkAbwBuAHMARgByAG8AbQBQAHUAcgBjAGgAYQBzAGUAZABQAGEAYwBrAGEAZwBpAG4AZwBfAFMAbwB1AHIAYwBlAFwAbgAgACAAPQBMAEEATQBCAEQAQQAoAFwAIgBWAEUARQBSAEcAIAAyADAAMgA2ADoAIAAxADUALgA4AC4AMQAuADEALAAgAEUAcQB1AGEAdABpAG8AbgAgACgAMQApAFwAIgApADsAXABuAFwAbgBWAEUARQBSAEcAXwAxADUAXwA4AF8AMQBfADEAXwBfADEAXwBFAG0AaQBzAHMAaQBvAG4AcwBGAHIAbwBtAFAAdQByAGMAaABhAHMAZQBkAFAAYQBjAGsAYQBnAGkAbgBnAF8ATgBJAFIAUgBlAGYAZQByAGUAbgBjAGUAXABuACAAIAA9AEwAQQBNAEIARABBACgAXAAiAFwAIgApADsAXABuAFwAbgBWAEUARQBSAEcAXwAxADUAXwA4AF8AMQBfADEAXwBfADEAXwBFAG0AaQBzAHMAaQBvAG4AcwBGAHIAbwBtAFAAdQByAGMAaABhAHMAZQBkAFAAYQBjAGsAYQBnAGkAbgBnAF8ATABhAHQAZQB4AEUAcQB1AGEAdABpAG8AbgBcAG4AIAAgAD0ATABBAE0AQgBEAEEAKABcACIARQA9AFwAXABzAHUAbQBcAFwAbgBvAGwAaQBtAGkAdABzAF8AcABcAFwAbABlAGYAdAAoAFEAXwBwAFwAXAB0AGkAbQBlAHMAIABFAEYAXwBwAFwAXAByAGkAZwBoAHQAKQBcAFwAdABpAG0AZQBzACAAMQAwAF4AewAtADMAfQBcACIAKQA7AFwAbgBcAG4AVgBFAEUAUgBHAF8AMQA1AF8AOABfADEAXwAxAF8AXwAxAF8ARQBtAGkAcwBzAGkAbwBuAHMARgByAG8AbQBQAHUAcgBjAGgAYQBzAGUAZABQAGEAYwBrAGEAZwBpAG4AZwBfAEEAcgBnAHUAbQBlAG4AdABzAFwAbgAgACAAPQBMAEEATQBCAEQAQQAoAFwAbgAgACAAIAAgAE0AQQBLAEUAQQBSAFIAQQBZACgAMwAsACAANAAsAFwAbgAgACAAIAAgACAAIABMAEEATQBCAEQAQQAoAHIALABjACwAXABuACAAIAAgACAAIAAgACAAIABJAE4ARABFAFgAKAB7AFwAbgAgACAAIAAgACAAIAAgACAAIAAgAFwAIgBRAF8AcABcACIALAAgAFwAIgB1AG4AaQB0AHMAIABvAGYAIABwAGEAYwBrAGEAZwBpAG4AZwAgAHQAeQBwAGUAIABwAFwAIgAsACAAXAAiAHUAbgBpAHQAcwBcACIALAAgAFwAIgBJAG4AcAB1AHQAXAAiADsAXABuACAAIAAgACAAIAAgACAAIAAgACAAXAAiAEUARgBfAHAAXAAiACwAIABcACIAZQBtAGkAcwBzAGkAbwBuACAAZgBhAGMAdABvAHIAIABmAG8AcgAgAHAAYQBjAGsAYQBnAGkAbgBnACAAdAB5AHAAZQAgAHAAXAAiACwAIABcACIAawBnACAAQwBPADIAZQAvAHUAbgBpAHQAXAAiACwAIABcACIAQwBvAG4AcwB0AGEAbgB0AFwAIgA7AFwAbgAgACAAIAAgACAAIAAgACAAIAAgAFwAIgBwAFwAIgAsACAAXAAiAHAAYQBjAGsAYQBnAGkAbgBnACAAdAB5AHAAZQBcACIALAAgAFwAIgBcACIALAAgAFwAIgBJAG4AcAB1AHQAXAAiAFwAbgAgACAAIAAgACAAIAAgACAAfQAsACAAcgAsACAAYwApAFwAbgAgACAAIAAgACAAIAApAFwAbgAgACAAIAAgACkAXABuACAAIAApADsAXABuAFwAbgBWAEUARQBSAEcAXwAxADUAXwA4AF8AMQBfADEAXwBfADEAXwBFAG0AaQBzAHMAaQBvAG4AcwBGAHIAbwBtAFAAdQByAGMAaABhAHMAZQBkAFAAYQBjAGsAYQBnAGkAbgBnAF8AVgBhAHIAaQBhAHQAaQBvAG4AXABuACAAIAA9AEwAQQBNAEIARABBACgAXAAiAFYAQQBSAEkAQQBUAEkATwBOACAATwBOACAAUwBPAFUAUgBDAEUAOgAgAEMAaABhAG4AZwBlAGQAIAB1AG4AaQB0ACAAbwBmACAAUQAgAGYAcgBvAG0AIABcAHUAMAAwADIANwB1AG4AaQB0AHMAXAB1ADAAMAAyADcAIAB0AG8AIABcAHUAMAAwADIANwBrAGcAXAB1ADAAMAAyADcAIABhAHMAIABFAEYAIABkAGEAdABhACAAaQBzACAAaQBuACAAawBnAC4AXAAiACkAOwBcAG4AIAAgAFwAbgBcAG4ALwAqAFwAbgAtAC0ALQAtAC0ALQAtAC0ALQAtAC0ALQAtAC0ALQAtAC0ALQAtAC0ALQAtAC0ALQAtAC0ALQAtAC0ALQAtAC0ALQAtAC0ALQAtAC0AXABuAFYARQBFAFIARwBfADEANQBfADkAXwAxAF8AMQBfAF8AMQBfAEUAbQBpAHMAcwBpAG8AbgBzAEYAcgBvAG0AUAB1AHIAYwBoAGEAcwBlAGQARwByAG8AdwBNAGUAZABpAGEAXABuAEUAbQBiAGUAZABkAGUAZAAgAGUAbQBpAHMAcwBpAG8AbgBzACAAZgByAG8AbQAgAHUAcwBlACAAbwBmACAAZwByAG8AdwAgAG0AZQBkAGkAYQAgAHAAcgBvAGQAdQBjAHQAcwBcAG4ARQBcAG4AdAAgAEMATwAyAGUAXABuAEUAPQBcAFwAcwB1AG0AXABcAG4AbwBsAGkAbQBpAHQAcwBfAGcAXABcAGwAZQBmAHQAKABRAF8AZwBcAFwAdABpAG0AZQBzACAARQBGAF8AZwBcAFwAcgBpAGcAaAB0ACkAXABcAHQAaQBtAGUAcwAgADEAMABeAHsALQAzAH0AXABuAFEAXwBnACAAPQAgAHQAbwB0AGEAbAAgAHEAdQBhAG4AdABpAHQAeQAgAG8AZgAgAGcAcgBvAHcAIABtAGUAZABpAGEAIAB0AHkAcABlACAAZwBcAG4ARQBGAF8AZwAgAD0AIABlAG0AaQBzAHMAaQBvAG4AIABmAGEAYwB0AG8AcgAgAGYAbwByACAAZwByAG8AdwAgAG0AZQBkAGkAYQAgAHQAeQBwAGUAIABnAFwAbgAtAC0ALQAtAC0ALQAtAC0ALQAtAC0ALQAtAC0ALQAtAC0ALQAtAC0ALQAtAC0ALQAtAC0ALQAtAC0ALQAtAC0ALQAtAC0ALQAtAC0AXABuACoALwBcAG4AXABuAFYARQBFAFIARwBfADEANQBfADkAXwAxAF8AMQBfAF8AMQBfAEUAbQBpAHMAcwBpAG8AbgBzAEYAcgBvAG0AUAB1AHIAYwBoAGEAcwBlAGQARwByAG8AdwBNAGUAZABpAGEAXABuACAAIAA9AEwAQQBNAEIARABBACgAXABuACAAIAAgACAAUQBfAGcALAAgAEUARgBfAGcALABcAG4AIAAgACAAIAAoAFEAXwBnACAAKgAgAEUARgBfAGcAKQAgACoAIAAxADAAIABeACAALQAzAFwAbgAgACAAKQA7AFwAbgBcAG4AVgBFAEUAUgBHAF8AMQA1AF8AOQBfADEAXwAxAF8AXwAxAF8ARQBtAGkAcwBzAGkAbwBuAHMARgByAG8AbQBQAHUAcgBjAGgAYQBzAGUAZABHAHIAbwB3AE0AZQBkAGkAYQBfAFQAaQB0AGwAZQBcAG4AIAAgAD0ATABBAE0AQgBEAEEAKABcACIARQBtAGIAZQBkAGQAZQBkACAAZQBtAGkAcwBzAGkAbwBuAHMAIABmAHIAbwBtACAAdQBzAGUAIABvAGYAIABnAHIAbwB3ACAAbQBlAGQAaQBhACAAcAByAG8AZAB1AGMAdABzAFwAIgApADsAXABuAFwAbgBWAEUARQBSAEcAXwAxADUAXwA5AF8AMQBfADEAXwBfADEAXwBFAG0AaQBzAHMAaQBvAG4AcwBGAHIAbwBtAFAAdQByAGMAaABhAHMAZQBkAEcAcgBvAHcATQBlAGQAaQBhAF8AVgBhAHIAaQBhAGIAbABlAFwAbgAgACAAPQBMAEEATQBCAEQAQQAoAFwAIgBFAFwAIgApADsAXABuAFwAbgBWAEUARQBSAEcAXwAxADUAXwA5AF8AMQBfADEAXwBfADEAXwBFAG0AaQBzAHMAaQBvAG4AcwBGAHIAbwBtAFAAdQByAGMAaABhAHMAZQBkAEcAcgBvAHcATQBlAGQAaQBhAF8AVQBuAGkAdABcAG4AIAAgAD0ATABBAE0AQgBEAEEAKABcACIAdAAgAEMATwAyAGUAXAAiACkAOwBcAG4AXABuAFYARQBFAFIARwBfADEANQBfADkAXwAxAF8AMQBfAF8AMQBfAEUAbQBpAHMAcwBpAG8AbgBzAEYAcgBvAG0AUAB1AHIAYwBoAGEAcwBlAGQARwByAG8AdwBNAGUAZABpAGEAXwBTAG8AdQByAGMAZQBcAG4AIAAgAD0ATABBAE0AQgBEAEEAKABcACIAVgBFAEUAUgBHACAAMgAwADIANgA6ACAAMQA1AC4AOQAuADEALgAxACwAIABFAHEAdQBhAHQAaQBvAG4AIAAoADEAKQBcACIAKQA7AFwAbgBcAG4AVgBFAEUAUgBHAF8AMQA1AF8AOQBfADEAXwAxAF8AXwAxAF8ARQBtAGkAcwBzAGkAbwBuAHMARgByAG8AbQBQAHUAcgBjAGgAYQBzAGUAZABHAHIAbwB3AE0AZQBkAGkAYQBfAE4ASQBSAFIAZQBmAGUAcgBlAG4AYwBlAFwAbgAgACAAPQBMAEEATQBCAEQAQQAoAFwAIgBcACIAKQA7AFwAbgBcAG4AVgBFAEUAUgBHAF8AMQA1AF8AOQBfADEAXwAxAF8AXwAxAF8ARQBtAGkAcwBzAGkAbwBuAHMARgByAG8AbQBQAHUAcgBjAGgAYQBzAGUAZABHAHIAbwB3AE0AZQBkAGkAYQBfAEwAYQB0AGUAeABFAHEAdQBhAHQAaQBvAG4AXABuACAAIAA9AEwAQQBNAEIARABBACgAXAAiAEUAPQBcAFwAcwB1AG0AXABcAG4AbwBsAGkAbQBpAHQAcwBfAGcAXABcAGwAZQBmAHQAKABRAF8AZwBcAFwAdABpAG0AZQBzACAARQBGAF8AZwBcAFwAcgBpAGcAaAB0ACkAXABcAHQAaQBtAGUAcwAgADEAMABeAHsALQAzAH0AXAAiACkAOwBcAG4AXABuAFYARQBFAFIARwBfADEANQBfADkAXwAxAF8AMQBfAF8AMQBfAEUAbQBpAHMAcwBpAG8AbgBzAEYAcgBvAG0AUAB1AHIAYwBoAGEAcwBlAGQARwByAG8AdwBNAGUAZABpAGEAXwBBAHIAZwB1AG0AZQBuAHQAcwBcAG4AIAAgAD0ATABBAE0AQgBEAEEAKABcAG4AIAAgACAAIABNAEEASwBFAEEAUgBSAEEAWQAoADMALAAgADQALABcAG4AIAAgACAAIAAgACAATABBAE0AQgBEAEEAKAByACwAYwAsAFwAbgAgACAAIAAgACAAIAAgACAASQBOAEQARQBYACgAewBcAG4AIAAgACAAIAAgACAAIAAgACAAIABcACIAUQBfAGcAXAAiACwAIABcACIAdABvAHQAYQBsACAAcQB1AGEAbgB0AGkAdAB5ACAAbwBmACAAZwByAG8AdwAgAG0AZQBkAGkAYQAgAHQAeQBwAGUAIABnAFwAIgAsACAAXAAiAGsAZwAgAG8AcgAgAG0AMwBcACIALAAgAFwAIgBJAG4AcAB1AHQAXAAiADsAXABuACAAIAAgACAAIAAgACAAIAAgACAAXAAiAEUARgBfAGcAXAAiACwAIABcACIAZQBtAGkAcwBzAGkAbwBuACAAZgBhAGMAdABvAHIAIABmAG8AcgAgAGcAcgBvAHcAIABtAGUAZABpAGEAIAB0AHkAcABlACAAZwBcACIALAAgAFwAIgBrAGcAIABDAE8AMgBlAC8AawBnACAAbwByACAAawBnACAAQwBPADIAZQAvAG0AMwBcACIALAAgAFwAIgBDAG8AbgBzAHQAYQBuAHQAXAAiADsAXABuACAAIAAgACAAIAAgACAAIAAgACAAXAAiAGcAXAAiACwAIABcACIAZwByAG8AdwAgAG0AZQBkAGkAYQAgAHQAeQBw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EAMABfADEAXwAxAF8AXwAxAF8ATwB0AGgAZQByAFAAdQByAGMAaABhAHMAZQBkAEcAbwBvAGQAcwBBAG4AZABTAGUAcgB2AGkAYwBlAHMAXABuAE8AdABoAGUAcgAgAHAAdQByAGMAaABhAHMAZQBkACAAZwBvAG8AZABzACAAYQBuAGQAIABzAGUAcgB2AGkAYwBlAHMAIABnAGUAbgBlAHIAaQBjACAAZQBzAHQAaQBtAGEAdABlAFwAbgBlAG0AaQBzAHMAaQBvAG4AcwBcAG4AdAAgAEMATwAyAGUAXABuAGUAbQBpAHMAcwBpAG8AbgBzAD0AYQBjAHQAaQB2AGkAdAB5AF8AZABhAHQAYQBcAFwAdABpAG0AZQBzACAAZQBtAGkAcwBzAGkAbwBuAF8AZgBhAGMAdABvAHIAXABuAGEAYwB0AGkAdgBpAHQAeQBfAGQAYQB0AGEAIAA9ACAAbQBlAGEAcwB1AHIAZQBkACAAYQBjAHQAaQB2AGkAdAB5ACAAZgBvAHIAIAB0AGgAZQAgAHAAdQByAGMAaABhAHMAZQBkACAAZwBvAG8AZAAgAG8AcgAgAHMAZQByAHYAaQBjAGUAXABuAGUAbQBpAHMAcwBpAG8AbgBfAGYAYQBjAHQAbwByACAAPQAgAGwAaQBmAGUAYwB5AGMAbABlACAAZQBtAGkAcwBzAGkAbwBuAHMAIABwAGUAcgAgAHUAbgBpAHQAIABvAGYAIABhAGMAdABpAHYAaQB0AHkAXABuAC0ALQAtAC0ALQAtAC0ALQAtAC0ALQAtAC0ALQAtAC0ALQAtAC0ALQAtAC0ALQAtAC0ALQAtAC0ALQAtAC0ALQAtAC0ALQAtAC0ALQBcAG4AKgAvAFwAbgBcAG4AVgBFAEUAUgBHAF8AMQA1AF8AMQAwAF8AMQBfADEAXwBfADEAXwBPAHQAaABlAHIAUAB1AHIAYwBoAGEAcwBlAGQARwBvAG8AZABzAEEAbgBkAFMAZQByAHYAaQBjAGUAcwBcAG4AIAAgAD0ATABBAE0AQgBEAEEAKABcAG4AIAAgACAAIABhAGMAdABpAHYAaQB0AHkAXwBkAGEAdABhACwAIABlAG0AaQBzAHMAaQBvAG4AXwBmAGEAYwB0AG8AcgAsAFwAbgAgACAAIAAgAGEAYwB0AGkAdgBpAHQAeQBfAGQAYQB0AGEAIAAqACAAZQBtAGkAcwBzAGkAbwBuAF8AZgBhAGMAdABvAHIAXABuACAAIAApADsAXABuAFwAbgBWAEUARQBSAEcAXwAxADUAXwAxADAAXwAxAF8AMQBfAF8AMQBfAE8AdABoAGUAcgBQAHUAcgBjAGgAYQBzAGUAZABHAG8AbwBkAHMAQQBuAGQAUwBlAHIAdgBpAGMAZQBzAF8AVABpAHQAbABlAFwAbgAgACAAPQBMAEEATQBCAEQAQQAoAFwAIgBPAHQAaABlAHIAIABwAHUAcgBjAGgAYQBzAGUAZAAgAGcAbwBvAGQAcwAgAGEAbgBkACAAcwBlAHIAdgBpAGMAZQBzACAAZwBlAG4AZQByAGkAYwAgAGUAcwB0AGkAbQBhAHQAZQBcACIAKQA7AFwAbgBcAG4AVgBFAEUAUgBHAF8AMQA1AF8AMQAwAF8AMQBfADEAXwBfADEAXwBPAHQAaABlAHIAUAB1AHIAYwBoAGEAcwBlAGQARwBvAG8AZABzAEEAbgBkAFMAZQByAHYAaQBjAGUAcwBfAFYAYQByAGkAYQBiAGwAZQBcAG4AIAAgAD0ATABBAE0AQgBEAEEAKABcACIAZQBtAGkAcwBzAGkAbwBuAHMAXAAiACkAOwBcAG4AXABuAFYARQBFAFIARwBfADEANQBfADEAMABfADEAXwAxAF8AXwAxAF8ATwB0AGgAZQByAFAAdQByAGMAaABhAHMAZQBkAEcAbwBvAGQAcwBBAG4AZABTAGUAcgB2AGkAYwBlAHMAXwBVAG4AaQB0AFwAbgAgACAAPQBMAEEATQBCAEQAQQAoAFwAIgB0ACAAQwBPADIAZQBcACIAKQA7AFwAbgBcAG4AVgBFAEUAUgBHAF8AMQA1AF8AMQAwAF8AMQBfADEAXwBfADEAXwBPAHQAaABlAHIAUAB1AHIAYwBoAGEAcwBlAGQARwBvAG8AZABzAEEAbgBkAFMAZQByAHYAaQBjAGUAcwBfAFMAbwB1AHIAYwBlAFwAbgAgACAAPQBMAEEATQBCAEQAQQAoAFwAIgBWAEUARQBSAEcAIAAyADAAMgA2ADoAIAAxADUALgAxADAALAAgAGcAZQBuAGUAcgBpAGMAIABwAGwAYQBjAGUAaABvAGwAZABlAHIAIABlAHEAdQBhAHQAaQBvAG4AXAAiACkAOwBcAG4AXABuAFYARQBFAFIARwBfADEANQBfADEAMABfADEAXwAxAF8AXwAxAF8ATwB0AGgAZQByAFAAdQByAGMAaABhAHMAZQBkAEcAbwBvAGQAcwBBAG4AZABTAGUAcgB2AGkAYwBlAHMAXwBOAEkAUgBSAGUAZgBlAHIAZQBuAGMAZQBcAG4AIAAgAD0ATABBAE0AQgBEAEEAKABcACIAXAAiACkAOwBcAG4AXABuAFYARQBFAFIARwBfADEANQBfADEAMABfADEAXwAxAF8AXwAxAF8ATwB0AGgAZQByAFAAdQByAGMAaABhAHMAZQBkAEcAbwBvAGQAcwBBAG4AZABTAGUAcgB2AGkAYwBlAHMAXwBMAGEAdABlAHgARQBxAHUAYQB0AGkAbwBuAFwAbgAgACAAPQBMAEEATQBCAEQAQQAoAFwAIgBlAG0AaQBzAHMAaQBvAG4AcwA9AGEAYwB0AGkAdgBpAHQAeQBcAFwAXwBkAGEAdABhAFwAXAB0AGkAbQBlAHMAIABlAG0AaQBzAHMAaQBvAG4AXABcAF8AZgBhAGMAdABvAHIAXAAiACkAOwBcAG4AXABuAFYARQBFAFIARwBfADEANQBfADEAMABfADEAXwAxAF8AXwAxAF8ATwB0AGgAZQByAFAAdQByAGMAaABhAHMAZQBkAEcAbwBvAGQAcwBBAG4AZABTAGUAcgB2AGkAYwBlAHMAXwBBAHIAZwB1AG0AZQBuAHQAcwBcAG4AIAAgAD0ATABBAE0AQgBEAEEAKABcAG4AIAAgACAAIABNAEEASwBFAEEAUgBSAEEAWQAoADIALAAgADQALABcAG4AIAAgACAAIAAgACAATABBAE0AQgBEAEEAKAByACwAYwAsAFwAbgAgACAAIAAgACAAIAAgACAASQBOAEQARQBYACgAewBcAG4AIAAgACAAIAAgACAAIAAgACAAIABcACIAYQBjAHQAaQB2AGkAdAB5AF8AZABhAHQAYQBcACIALAAgAFwAIgBtAGUAYQBzAHUAcgBlAGQAIABhAGMAdABpAHYAaQB0AHkAIABmAG8AcgAgAHQAaABlACAAcAB1AHIAYwBoAGEAcwBlAGQAIABnAG8AbwBkACAAbwByACAAcwBlAHIAdgBpAGMAZQBcACIALAAgAFwAIgB2AGEAcgBpAGUAcwBcACIALAAgAFwAIgBJAG4AcAB1AHQAXAAiADsAXABuACAAIAAgACAAIAAgACAAIAAgACAAXAAiAGUAbQBpAHMAcwBpAG8AbgBfAGYAYQBjAHQAbwByAFwAIgAsACAAXAAiAGwAaQBmAGUAYwB5AGMAbABlACAAZQBtAGkAcwBzAGkAbwBuAHMAIABwAGUAcgAgAHUAbgBpAHQAIABvAGYAIABhAGMAdABpAHYAaQB0AHkAXAAiACwAIABcACIAdgBhAHIAaQBlAHM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EANQBfADEAMQBfADEAXwAxAF8AXwAxAF8AVABvAHQAYQBsAFUAcABzAHQAcgBlAGEAbQBFAG0AaQBzAHMAaQBvAG4AcwBGAHIAbwBtAEYAdQBlAGwAXABuAFQAbwB0AGEAbAAgAHUAcABzAHQAcgBlAGEAbQAgAGUAbQBpAHMAcwBpAG8AbgBzACAAZgByAG8AbQAgAHMAYwBvAHAAZQAgADEAIABmAHUAZQBsACAAYwBvAG4AcwB1AG0AcAB0AGkAbwBuAFwAbgBFAFwAbgB0ACAAQwBPADIAZQBcAG4ARQA9AFwAXABzAHUAbQBcAFwAbgBvAGwAaQBtAGkAdABzAF8AcQBFAF8AewBXAFQAVAAsAHQAcgBhAG4AcwAsAHEAfQArAFwAXABzAHUAbQBcAFwAbgBvAGwAaQBtAGkAdABzAF8AcQBFAF8AewBXAFQAVAAsAFMAQwAsAHEAfQBcAG4ARQBfAFcAVABUAHQAcgBhAG4AcwBxACAAPQAgAHUAcABzAHQAcgBlAGEAbQAgAGUAbQBpAHMAcwBpAG8AbgBzACAAZgByAG8AbQAgAHMAYwBvAHAAZQAgADEAIAB0AHIAYQBuAHMAcABvAHIAdAAgAGYAdQBlAGwAIAB1AHMAZQBcAG4ARQBfAFcAVABUAFMAQwBxACAAPQAgAHUAcABzAHQAcgBlAGEAbQAgAGUAbQBpAHMAcwBpAG8AbgBzACAAZgByAG8AbQAgAHMAYwBvAHAAZQAgADEAIABzAHQAYQB0AGkAbwBuAGEAcgB5ACAAYwBvAG0AYgB1AHMAdABpAG8AbgAgAGYAdQBlAGwAIAB1AHMAZQBcAG4ALQAtAC0ALQAtAC0ALQAtAC0ALQAtAC0ALQAtAC0ALQAtAC0ALQAtAC0ALQAtAC0ALQAtAC0ALQAtAC0ALQAtAC0ALQAtAC0ALQAtAFwAbgAqAC8AXABuAFwAbgBWAEUARQBSAEcAXwAxADUAXwAxADEAXwAxAF8AMQBfAF8AMQBfAFQAbwB0AGEAbABVAHAAcwB0AHIAZQBhAG0ARQBtAGkAcwBzAGkAbwBuAHMARgByAG8AbQBGAHUAZQBsAFwAbgAgACAAPQBMAEEATQBCAEQAQQAoAFwAbgAgACAAIAAgAEUAXwBXAFQAVAB0AHIAYQBuAHMAcQAsACAARQBfAFcAVABUAFMAQwBxACwAXABuACAAIAAgACAARQBfAFcAVABUAHQAcgBhAG4AcwBxACAAKwAgAEUAXwBXAFQAVABTAEMAcQBcAG4AIAAgACkAOwBcAG4AXABuAFYARQBFAFIARwBfADEANQBfADEAMQBfADEAXwAxAF8AXwAxAF8AVABvAHQAYQBsAFUAcABzAHQAcgBlAGEAbQBFAG0AaQBzAHMAaQBvAG4AcwBGAHIAbwBtAEYAdQBlAGwAXwBUAGkAdABsAGUAXABuACAAIAA9AEwAQQBNAEIARABBACgAXAAiAFQAbwB0AGEAbAAgAHUAcABzAHQAcgBlAGEAbQAgAGUAbQBpAHMAcwBpAG8AbgBzACAAZgByAG8AbQAgAHMAYwBvAHAAZQAgADEAIABmAHUAZQBsACAAYwBvAG4AcwB1AG0AcAB0AGkAbwBuAFwAIgApADsAXABuAFwAbgBWAEUARQBSAEcAXwAxADUAXwAxADEAXwAxAF8AMQBfAF8AMQBfAFQAbwB0AGEAbABVAHAAcwB0AHIAZQBhAG0ARQBtAGkAcwBzAGkAbwBuAHMARgByAG8AbQBGAHUAZQBsAF8AVgBhAHIAaQBhAGIAbABlAFwAbgAgACAAPQBMAEEATQBCAEQAQQAoAFwAIgBFAFwAIgApADsAXABuAFwAbgBWAEUARQBSAEcAXwAxADUAXwAxADEAXwAxAF8AMQBfAF8AMQBfAFQAbwB0AGEAbABVAHAAcwB0AHIAZQBhAG0ARQBtAGkAcwBzAGkAbwBuAHMARgByAG8AbQBGAHUAZQBsAF8AVQBuAGkAdABcAG4AIAAgAD0ATABBAE0AQgBEAEEAKABcACIAdAAgAEMATwAyAGUAXAAiACkAOwBcAG4AXABuAFYARQBFAFIARwBfADEANQBfADEAMQBfADEAXwAxAF8AXwAxAF8AVABvAHQAYQBsAFUAcABzAHQAcgBlAGEAbQBFAG0AaQBzAHMAaQBvAG4AcwBGAHIAbwBtAEYAdQBlAGwAXwBTAG8AdQByAGMAZQBcAG4AIAAgAD0ATABBAE0AQgBEAEEAKABcACIAVgBFAEUAUgBHACAAMgAwADIANgA6ACAAMQA1AC4AMQAxAC4AMQAuADEALAAgAEUAcQB1AGEAdABpAG8AbgAgACgAMQApAFwAIgApADsAXABuAFwAbgBWAEUARQBSAEcAXwAxADUAXwAxADEAXwAxAF8AMQBfAF8AMQBfAFQAbwB0AGEAbABVAHAAcwB0AHIAZQBhAG0ARQBtAGkAcwBzAGkAbwBuAHMARgByAG8AbQBGAHUAZQBsAF8ATgBJAFIAUgBlAGYAZQByAGUAbgBjAGUAXABuACAAIAA9AEwAQQBNAEIARABBACgAXAAiAFwAIgApADsAXABuAFwAbgBWAEUARQBSAEcAXwAxADUAXwAxADEAXwAxAF8AMQBfAF8AMQBfAFQAbwB0AGEAbABVAHAAcwB0AHIAZQBhAG0ARQBtAGkAcwBzAGkAbwBuAHMARgByAG8AbQBGAHUAZQBsAF8ATABhAHQAZQB4AEUAcQB1AGEAdABpAG8AbgBcAG4AIAAgAD0ATABBAE0AQgBEAEEAKABcACIARQA9AFwAXABzAHUAbQBcAFwAbgBvAGwAaQBtAGkAdABzAF8AcQBFAF8AewBXAFQAVAAsAHQAcgBhAG4AcwAsAHEAfQArAFwAXABzAHUAbQBcAFwAbgBvAGwAaQBtAGkAdABzAF8AcQBFAF8AewBXAFQAVAAsAFMAQwAsAHEAfQBcACIAKQA7AFwAbgBcAG4AVgBFAEUAUgBHAF8AMQA1AF8AMQAxAF8AMQBfADEAXwBfADEAXwBUAG8AdABhAGwAVQBwAHMAdAByAGUAYQBtAEUAbQBpAHMAcwBpAG8AbgBzAEYAcgBvAG0ARgB1AGUAbABfAEEAcgBnAHUAbQBlAG4AdABzAFwAbgAgACAAPQBMAEEATQBCAEQAQQAoAFwAbgAgACAAIAAgAE0AQQBLAEUAQQBSAFIAQQBZACgAMgAsACAANAAsAFwAbgAgACAAIAAgACAAIABMAEEATQBCAEQAQQAoAHIALABjACwAXABuACAAIAAgACAAIAAgACAAIABJAE4ARABFAFgAKAB7AFwAbgAgACAAIAAgACAAIAAgACAAIAAgAFwAIgBFAF8AVwBUAFQAdAByAGEAbgBzAHEAXAAiACwAIABcACIAdQBwAHMAdAByAGUAYQBtACAAZQBtAGkAcwBzAGkAbwBuAHMAIABmAHIAbwBtACAAcwBjAG8AcABlACAAMQAgAHQAcgBhAG4AcwBwAG8AcgB0ACAAZgB1AGUAbAAgAHUAcwBlAFwAIgAsACAAXAAiAHQAIABDAE8AMgBlAFwAIgAsACAAXAAiAEMAYQBsAGMAdQBsAGEAdABlAGQAIABiAHkAIAAxADUALgAxADEALgAxAC4AMQAgACgAMgApAFwAIgA7AFwAbgAgACAAIAAgACAAIAAgACAAIAAgAFwAIgBFAF8AVwBUAFQAUwBDAHEAXAAiACwAIABcACIAdQBwAHMAdAByAGUAYQBtACAAZQBtAGkAcwBzAGkAbwBuAHMAIABmAHIAbwBtACAAcwBjAG8AcABlACAAMQAgAHMAdABhAHQAaQBvAG4AYQByAHkAIABjAG8AbQBiAHUAcwB0AGkAbwBuACAAZgB1AGUAbAAgAHUAcwBlAFwAIgAsACAAXAAiAHQAIABDAE8AMgBlAFwAIgAsACAAXAAiAEMAYQBsAGMAdQBsAGEAdABlAGQAIABiAHkAIAAxADUALgAxADEALgAxAC4AMQAgACgAMwApAFwAIgBcAG4AIAAgACAAIAAgACAAIAAgAH0ALAAgAHIALAAgAGMAKQBcAG4AIAAgACAAIAAgACAAKQBcAG4AIAAgACAAIAApAFwAbgAgACAAKQA7AFwAbgBcAG4ALwAqAFwAbgAtAC0ALQAtAC0ALQAtAC0ALQAtAC0ALQAtAC0ALQAtAC0ALQAtAC0ALQAtAC0ALQAtAC0ALQAtAC0ALQAtAC0ALQAtAC0ALQAtAC0AXABuAFYARQBFAFIARwBfADEANQBfADEAMQBfADEAXwAxAF8AXwAyAF8AVQBwAHMAdAByAGUAYQBtAFQAcgBhAG4AcwBwAG8AcgB0AEYAdQBlAGwARQBtAGkAcwBzAGkAbwBuAHMAXABuAFUAcABzAHQAcgBlAGEAbQAgAGUAbQBpAHMAcwBpAG8AbgBzACAAZgByAG8AbQAgAHMAYwBvAHAAZQAgADEAIABmAHUAZQBsACAAdQBzAGUAIABmAG8AcgAgAHQAcgBhAG4AcwBwAG8AcgB0ACAAcAB1AHIAcABvAHMAZQBzAFwAbgBFAF8AVwBUAFQAdAByAGEAbgBzAHEAXABuAHQAIABDAE8AMgBlAFwAbgBFAF8AewBXAFQAVAAsAHQAcgBhAG4AcwAsAHEAfQA9AFEAXwB7AFQAcgBhAG4AcwAsAHEAfQBcAFwAdABpAG0AZQBzACAARQBDAF8AewBUAHIAYQBuAHMALABxAH0AXABcAHQAaQBtAGUAcwAgAEUARgBfAHsAVAByAGEAbgBzACwAMwAsAHEAfQBcAFwAdABpAG0AZQBzACAAMQAwAF4AewAtADMAfQBcAG4AUQBfAFQAcgBhAG4AcwBxACAAPQAgAGEAbQBvAHUAbgB0ACAAbwBmACAAZgB1AGUAbAAgAHEAIABjAG8AbQBiAHUAcwB0AGUAZAAgAGYAbwByACAAdAByAGEAbgBzAHAAbwByAHQAIABlAG4AZQByAGcAeQAgAHAAdQByAHAAbwBzAGUAcwBcAG4ARQBDAF8AVAByAGEAbgBzAHEAIAA9ACAAZQBuAGUAcgBnAHkAIABjAG8AbgB0AGUAbgB0ACAAZgBhAGMAdABvAHIAIABmAG8AcgAgAHQAcgBhAG4AcwBwAG8AcgB0ACAAZQBuAGUAcgBnAHkAIABwAHUAcgBwAG8AcwBlAHMAXABuAEUARgBfAFQAcgBhAG4AcwAzAHEAIAA9ACAAcwBjAG8AcABlACAAMwAgAGUAbQBpAHMAcwBpAG8AbgAgAGYAYQBjAHQAbwByACAAZgBvAHIAIAB0AHIAYQBuAHMAcABvAHIAdAAgAGUAbgBlAHIAZwB5ACAAcAB1AHIAcABvAHMAZQBzAFwAbgAtAC0ALQAtAC0ALQAtAC0ALQAtAC0ALQAtAC0ALQAtAC0ALQAtAC0ALQAtAC0ALQAtAC0ALQAtAC0ALQAtAC0ALQAtAC0ALQAtAC0AXABuACoALwBcAG4AXABuAFYARQBFAFIARwBfADEANQBfADEAMQBfADEAXwAxAF8AXwAyAF8AVQBwAHMAdAByAGUAYQBtAFQAcgBhAG4AcwBwAG8AcgB0AEYAdQBlAGwARQBtAGkAcwBzAGkAbwBuAHMAXABuACAAIAA9AEwAQQBNAEIARABBACgAXABuACAAIAAgACAAUQBfAFQAcgBhAG4AcwBxACwAIABFAEMAXwBUAHIAYQBuAHMAcQAsACAARQBGAF8AVAByAGEAbgBzADMAcQAsAFwAbgAgACAAIAAgACgAUQBfAFQAcgBhAG4AcwBxACAAKgAgAEUAQwBfAFQAcgBhAG4AcwBxACAAKgAgAEUARgBfAFQAcgBhAG4AcwAzAHEAKQAgACoAIAAxADAAIABeACAALQAzAFwAbgAgACAAKQA7AFwAbgBcAG4AVgBFAEUAUgBHAF8AMQA1AF8AMQAxAF8AMQBfADEAXwBfADIAXwBVAHAAcwB0AHIAZQBhAG0AVAByAGEAbgBzAHAAbwByAHQARgB1AGUAbABFAG0AaQBzAHMAaQBvAG4AcwBfAFQAaQB0AGwAZQBcAG4AIAAgAD0ATABBAE0AQgBEAEEAKABcACIAVQBwAHMAdAByAGUAYQBtACAAZQBtAGkAcwBzAGkAbwBuAHMAIABmAHIAbwBtACAAcwBjAG8AcABlACAAMQAgAGYAdQBlAGwAIAB1AHMAZQAgAGYAbwByACAAdAByAGEAbgBzAHAAbwByAHQAIABwAHUAcgBwAG8AcwBlAHMAXAAiACkAOwBcAG4AXABuAFYARQBFAFIARwBfADEANQBfADEAMQBfADEAXwAxAF8AXwAyAF8AVQBwAHMAdAByAGUAYQBtAFQAcgBhAG4AcwBwAG8AcgB0AEYAdQBlAGwARQBtAGkAcwBzAGkAbwBuAHMAXwBWAGEAcgBpAGEAYgBsAGUAXABuACAAIAA9AEwAQQBNAEIARABBACgAXAAiAEUAXwBXAFQAVAB0AHIAYQBuAHMAcQBcACIAKQA7AFwAbgBcAG4AVgBFAEUAUgBHAF8AMQA1AF8AMQAxAF8AMQBfADEAXwBfADIAXwBVAHAAcwB0AHIAZQBhAG0AVAByAGEAbgBzAHAAbwByAHQARgB1AGUAbABFAG0AaQBzAHMAaQBvAG4AcwBfAFUAbgBpAHQAXABuACAAIAA9AEwAQQBNAEIARABBACgAXAAiAHQAIABDAE8AMgBlAFwAIgApADsAXABuAFwAbgBWAEUARQBSAEcAXwAxADUAXwAxADEAXwAxAF8AMQBfAF8AMgBfAFUAcABzAHQAcgBlAGEAbQBUAHIAYQBuAHMAcABvAHIAdABGAHUAZQBsAEUAbQBpAHMAcwBpAG8AbgBzAF8AUwBvAHUAcgBjAGUAXABuACAAIAA9AEwAQQBNAEIARABBACgAXAAiAFYARQBFAFIARwAgADIAMAAyADYAOgAgADEANQAuADEAMQAuADEALgAxACwAIABFAHEAdQBhAHQAaQBvAG4AIAAoADIAKQBcACIAKQA7AFwAbgBcAG4AVgBFAEUAUgBHAF8AMQA1AF8AMQAxAF8AMQBfADEAXwBfADIAXwBVAHAAcwB0AHIAZQBhAG0AVAByAGEAbgBzAHAAbwByAHQARgB1AGUAbABFAG0AaQBzAHMAaQBvAG4AcwBfAE4ASQBSAFIAZQBmAGUAcgBlAG4AYwBlAFwAbgAgACAAPQBMAEEATQBCAEQAQQAoAFwAIgBcACIAKQA7AFwAbgBcAG4AVgBFAEUAUgBHAF8AMQA1AF8AMQAxAF8AMQBfADEAXwBfADIAXwBVAHAAcwB0AHIAZQBhAG0AVAByAGEAbgBzAHAAbwByAHQARgB1AGUAbABFAG0AaQBzAHMAaQBvAG4AcwBfAEwAYQB0AGUAeABFAHEAdQBhAHQAaQBvAG4AXABuACAAIAA9AEwAQQBNAEIARABBACgAXAAiAEUAXwB7AFcAVABUACwAdAByAGEAbgBzACwAcQB9AD0AUQBfAHsAVAByAGEAbgBzACwAcQB9AFwAXAB0AGkAbQBlAHMAIABFAEMAXwB7AFQAcgBhAG4AcwAsAHEAfQBcAFwAdABpAG0AZQBzACAARQBGAF8AewBUAHIAYQBuAHMALAAzACwAcQB9AFwAXAB0AGkAbQBlAHMAIAAxADAAXgB7AC0AMwB9AFwAIgApADsAXABuAFwAbgBWAEUARQBSAEcAXwAxADUAXwAxADEAXwAxAF8AMQBfAF8AMgBfAFUAcABzAHQAcgBlAGEAbQBUAHIAYQBuAHMAcABvAHIAdABGAHUAZQBsAEUAbQBpAHMAcwBpAG8AbgBzAF8AQQByAGcAdQBtAGUAbgB0AHMAXABuACAAIAA9AEwAQQBNAEIARABBACgAXABuACAAIAAgACAATQBBAEsARQBBAFIAUgBBAFkAKAAzACwAIAA0ACwAXABuACAAIAAgACAAIAAgAEwAQQBNAEIARABBACgAcgAsAGMALABcAG4AIAAgACAAIAAgACAAIAAgAEkATgBEAEUAWAAoAHsAXABuACAAIAAgACAAIAAgACAAIAAgACAAXAAiAFEAXwBUAHIAYQBuAHMAcQBcACIALAAgAFwAIgBhAG0AbwB1AG4AdAAgAG8AZgAgAGYAdQBlAGwAIABxACAAYwBvAG0AYgB1AHMAdABlAGQAIABmAG8AcgAgAHQAcgBhAG4AcwBwAG8AcgB0ACAAZQBuAGUAcgBnAHkAIABwAHUAcgBwAG8AcwBlAHMAXAAiACwAIABcACIAawBMAFwAIgAsACAAXAAiAEkAbgBwAHUAdABcACIAOwBcAG4AIAAgACAAIAAgACAAIAAgACAAIABcACIARQBDAF8AVAByAGEAbgBzAHEAXAAiACwAIABcACIAZQBuAGUAcgBnAHkAIABjAG8AbgB0AGUAbgB0ACAAZgBhAGMAdABvAHIAIABmAG8AcgAgAHQAcgBhAG4AcwBwAG8AcgB0ACAAZQBuAGUAcgBnAHkAIABwAHUAcgBwAG8AcwBlAHMAXAAiACwAIABcACIARwBKAC8AawBMACAAbwByACAARwBKAC8AbQAzAFwAIgAsACAAXAAiAEMAbwBuAHMAdABhAG4AdABcACIAOwBcAG4AIAAgACAAIAAgACAAIAAgACAAIABcACIARQBGAF8AVAByAGEAbgBzADMAcQBcACIALAAgAFwAIgBzAGMAbwBwAGUAIAAzACAAZQBtAGkAcwBzAGkAbwBuACAAZgBhAGMAdABvAHIAIABmAG8AcgAgAHQAcgBhAG4AcwBwAG8AcgB0ACAAZQBuAGUAcgBnAHkAIABwAHUAcgBwAG8AcwBlAHMAXAAiACwAIABcACIAawBnACAAQwBPADIAZQAvAEcASg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MQA1AF8AMQAxAF8AMQBfADEAXwBfADMAXwBVAHAAcwB0AHIAZQBhAG0AUwB0AGEAdABpAG8AbgBhAHIAeQBGAHUAZQBsAEUAbQBpAHMAcwBpAG8AbgBzAFwAbgBVAHAAcwB0AHIAZQBhAG0AIABlAG0AaQBzAHMAaQBvAG4AcwAgAGYAcgBvAG0AIABzAGMAbwBwAGUAIAAxACAAcwB0AGEAdABpAG8AbgBhAHIAeQAgAGMAbwBtAGIAdQBzAHQAaQBvAG4AIABmAHUAZQBsACAAdQBzAGUAXABuAEUAXwBXAFQAVABTAEMAcQBcAG4AdAAgAEMATwAyAGUAXABuAEUAXwB7AFcAVABUACwAUwBDACwAcQB9AD0AUQBfAHsAUwBDACwAcQB9AFwAXAB0AGkAbQBlAHMAIABFAEMAXwB7AFMAQwAsAHEAfQBcAFwAdABpAG0AZQBzACAARQBGAF8AewBTAEMALAAzACwAcQB9AFwAXAB0AGkAbQBlAHMAIAAxADAAXgB7AC0AMwB9AFwAbgBRAF8AUwBDAHEAIAA9ACAAYQBtAG8AdQBuAHQAIABvAGYAIABmAHUAZQBsACAAcQAgAHUAcwBlAGQAIABmAG8AcgAgAHMAdABhAHQAaQBvAG4AYQByAHkAIABjAG8AbQBiAHUAcwB0AGkAbwBuACAAbwBwAGUAcgBhAHQAaQBvAG4AcwBcAG4ARQBDAF8AUwBDAHEAIAA9ACAAZQBuAGUAcgBnAHkAIABjAG8AbgB0AGUAbgB0ACAAZgBhAGMAdABvAHIAIABmAG8AcgAgAHMAdABhAHQAaQBvAG4AYQByAHkAIABjAG8AbQBiAHUAcwB0AGkAbwBuACAAbwBwAGUAcgBhAHQAaQBvAG4AcwBcAG4ARQBGAF8AUwBDADMAcQAgAD0AIABzAGMAbwBwAGUAIAAzACAAZQBtAGkAcwBzAGkAbwBuACAAZgBhAGMAdABvAHIAIABmAG8AcgAgAHMAdABhAHQAaQBvAG4AYQByAHkAIABjAG8AbQBiAHUAcwB0AGkAbwBuACAAbwBwAGUAcgBhAHQAaQBvAG4AcwBcAG4ALQAtAC0ALQAtAC0ALQAtAC0ALQAtAC0ALQAtAC0ALQAtAC0ALQAtAC0ALQAtAC0ALQAtAC0ALQAtAC0ALQAtAC0ALQAtAC0ALQAtAFwAbgAqAC8AXABuAFwAbgBWAEUARQBSAEcAXwAxADUAXwAxADEAXwAxAF8AMQBfAF8AMwBfAFUAcABzAHQAcgBlAGEAbQBTAHQAYQB0AGkAbwBuAGEAcgB5AEYAdQBlAGwARQBtAGkAcwBzAGkAbwBuAHMAXABuACAAIAA9AEwAQQBNAEIARABBACgAXABuACAAIAAgACAAUQBfAFMAQwBxACwAIABFAEMAXwBTAEMAcQAsACAARQBGAF8AUwBDADMAcQAsAFwAbgAgACAAIAAgACgAUQBfAFMAQwBxACAAKgAgAEUAQwBfAFMAQwBxACAAKgAgAEUARgBfAFMAQwAzAHEAKQAgACoAIAAxADAAIABeACAALQAzAFwAbgAgACAAKQA7AFwAbgBcAG4AVgBFAEUAUgBHAF8AMQA1AF8AMQAxAF8AMQBfADEAXwBfADMAXwBVAHAAcwB0AHIAZQBhAG0AUwB0AGEAdABpAG8AbgBhAHIAeQBGAHUAZQBsAEUAbQBpAHMAcwBpAG8AbgBzAF8AVABpAHQAbABlAFwAbgAgACAAPQBMAEEATQBCAEQAQQAoAFwAIgBVAHAAcwB0AHIAZQBhAG0AIABlAG0AaQBzAHMAaQBvAG4AcwAgAGYAcgBvAG0AIABzAGMAbwBwAGUAIAAxACAAcwB0AGEAdABpAG8AbgBhAHIAeQAgAGMAbwBtAGIAdQBzAHQAaQBvAG4AIABmAHUAZQBsACAAdQBzAGUAXAAiACkAOwBcAG4AXABuAFYARQBFAFIARwBfADEANQBfADEAMQBfADEAXwAxAF8AXwAzAF8AVQBwAHMAdAByAGUAYQBtAFMAdABhAHQAaQBvAG4AYQByAHkARgB1AGUAbABFAG0AaQBzAHMAaQBvAG4AcwBfAFYAYQByAGkAYQBiAGwAZQBcAG4AIAAgAD0ATABBAE0AQgBEAEEAKABcACIARQBfAFcAVABUAFMAQwBxAFwAIgApADsAXABuAFwAbgBWAEUARQBSAEcAXwAxADUAXwAxADEAXwAxAF8AMQBfAF8AMwBfAFUAcABzAHQAcgBlAGEAbQBTAHQAYQB0AGkAbwBuAGEAcgB5AEYAdQBlAGwARQBtAGkAcwBzAGkAbwBuAHMAXwBVAG4AaQB0AFwAbgAgACAAPQBMAEEATQBCAEQAQQAoAFwAIgB0ACAAQwBPADIAZQBcACIAKQA7AFwAbgBcAG4AVgBFAEUAUgBHAF8AMQA1AF8AMQAxAF8AMQBfADEAXwBfADMAXwBVAHAAcwB0AHIAZQBhAG0AUwB0AGEAdABpAG8AbgBhAHIAeQBGAHUAZQBsAEUAbQBpAHMAcwBpAG8AbgBzAF8AUwBvAHUAcgBjAGUAXABuACAAIAA9AEwAQQBNAEIARABBACgAXAAiAFYARQBFAFIARwAgADIAMAAyADYAOgAgADEANQAuADEAMQAuADEALgAxACwAIABFAHEAdQBhAHQAaQBvAG4AIAAoADMAKQBcACIAKQA7AFwAbgBcAG4AVgBFAEUAUgBHAF8AMQA1AF8AMQAxAF8AMQBfADEAXwBfADMAXwBVAHAAcwB0AHIAZQBhAG0AUwB0AGEAdABpAG8AbgBhAHIAeQBGAHUAZQBsAEUAbQBpAHMAcwBpAG8AbgBzAF8ATgBJAFIAUgBlAGYAZQByAGUAbgBjAGUAXABuACAAIAA9AEwAQQBNAEIARABBACgAXAAiAFwAIgApADsAXABuAFwAbgBWAEUARQBSAEcAXwAxADUAXwAxADEAXwAxAF8AMQBfAF8AMwBfAFUAcABzAHQAcgBlAGEAbQBTAHQAYQB0AGkAbwBuAGEAcgB5AEYAdQBlAGwARQBtAGkAcwBzAGkAbwBuAHMAXwBMAGEAdABlAHgARQBxAHUAYQB0AGkAbwBuAFwAbgAgACAAPQBMAEEATQBCAEQAQQAoAFwAIgBFAF8AewBXAFQAVAAsAFMAQwAsAHEAfQA9AFEAXwB7AFMAQwAsAHEAfQBcAFwAdABpAG0AZQBzACAARQBDAF8AewBTAEMALABxAH0AXABcAHQAaQBtAGUAcwAgAEUARgBfAHsAUwBDACwAMwAsAHEAfQBcAFwAdABpAG0AZQBzACAAMQAwAF4AewAtADMAfQBcACIAKQA7AFwAbgBcAG4AVgBFAEUAUgBHAF8AMQA1AF8AMQAxAF8AMQBfADEAXwBfADMAXwBVAHAAcwB0AHIAZQBhAG0AUwB0AGEAdABpAG8AbgBhAHIAeQBGAHUAZQBsAEUAbQBpAHMAcwBpAG8AbgBzAF8AQQByAGcAdQBtAGUAbgB0AHMAXABuACAAIAA9AEwAQQBNAEIARABBACgAXABuACAAIAAgACAATQBBAEsARQBBAFIAUgBBAFkAKAA1ACwAIAA0ACwAXABuACAAIAAgACAAIAAgAEwAQQBNAEIARABBACgAcgAsAGMALABcAG4AIAAgACAAIAAgACAAIAAgAEkATgBEAEUAWAAoAHsAXABuACAAIAAgACAAIAAgACAAIAAgACAAXAAiAFEAXwBTAEMAcQBcACIALAAgAFwAIgBhAG0AbwB1AG4AdAAgAG8AZgAgAGYAdQBlAGwAIABxACAAdQBzAGUAZAAgAGYAbwByACAAcwB0AGEAdABpAG8AbgBhAHIAeQAgAGMAbwBtAGIAdQBzAHQAaQBvAG4AIABvAHAAZQByAGEAdABpAG8AbgBzAFwAIgAsACAAXAAiAGsATABcACIALAAgAFwAIgBJAG4AcAB1AHQAXAAiADsAXABuACAAIAAgACAAIAAgACAAIAAgACAAXAAiAEUAQwBfAFMAQwBxAFwAIgAsACAAXAAiAGUAbgBlAHIAZwB5ACAAYwBvAG4AdABlAG4AdAAgAGYAYQBjAHQAbwByACAAZgBvAHIAIABzAHQAYQB0AGkAbwBuAGEAcgB5ACAAYwBvAG0AYgB1AHMAdABpAG8AbgAgAG8AcABlAHIAYQB0AGkAbwBuAHMAXAAiACwAIABcACIARwBKAC8AawBMAFwAIgAsACAAXAAiAEMAbwBuAHMAdABhAG4AdABcACIAOwBcAG4AIAAgACAAIAAgACAAIAAgACAAIABcACIARQBGAF8AUwBDADMAcQBcACIALAAgAFwAIgBzAGMAbwBwAGUAIAAzACAAZQBtAGkAcwBzAGkAbwBuACAAZgBhAGMAdABvAHIAIABmAG8AcgAgAHMAdABhAHQAaQBvAG4AYQByAHkAIABjAG8AbQBiAHUAcwB0AGkAbwBuACAAbwBwAGUAcgBhAHQAaQBvAG4AcwBcACIALAAgAFwAIgBrAGcAIABDAE8AMgBlAC8ARwBKAFwAIgAsACAAXAAiAEMAbwBuAHMAdABhAG4AdABcACIAOwBcAG4AIAAgACAAIAAgACAAIAAgACAAIABcACIAaQBcACIALAAgAFwAIgBzAHQAYQB0AGUAXAAiACwAIABcACIAXAAiACwAIABcACIASQBuAHAAdQB0AFwAIgA7AFwAbgAgACAAIAAgACAAIAAgACAAIAAgAFwAIgBtAFwAIgAsACAAXAAiAG0AZQB0AHIAbwBwAG8AbABpAHQAYQBuAC8AbgBvAG4ALQBtAGUAdAByAG8AcABvAGwAaQB0AGEAbgAgAGwAbwBjAGEAdABpAG8AbgBcACIALAAgAFwAIgBcACIALAAgAFwAIgBJAG4AcAB1AHQAXAAiAFwAbgAgACAAIAAgACAAIAAgACAAfQAsACAAcgAsACAAYwApAFwAbgAgACAAIAAgACAAIAApAFwAbgAgACAAIAAgACkAXABuACAAIAApADsAXABuAFwAbgBWAEUARQBSAEcAXwAxADUAXwAxADEAXwAxAF8AMQBfAF8AMwBfAFUAcABzAHQAcgBlAGEAbQBTAHQAYQB0AGkAbwBuAGEAcgB5AEYAdQBlAGwARQBtAGkAcwBzAGkAbwBuAHMAXwBWAGEAcgBpAGEAdABpAG8AbgBcAG4AIAAgAD0ATABBAE0AQgBEAEEAKABcACIAVgBBAFIASQBBAFQASQBPAE4AIABPAE4AIABTAE8AVQBSAEMARQA6ACAAQQBkAGQAZQBkACAAXAB1ADAAMAAyADcAcwB0AGEAdABlAFwAdQAwADAAMgA3ACAAYQBuAGQAIABcAHUAMAAwADIANwBtAGUAdAByAG8ALwBuAG8AbgAtAG0AZQB0AHIAbwBcAHUAMAAwADIANwAgAGEAcgBnAHUAbQBlAG4AdABzACAAYQBzACAAZwBhAHMAZQBvAHUAcwAgAHMAYwBvAHAAZQAgADMAIABFAEYAcwAgAGEAcgBlACAAcwB0AGEAdABlACAAYQBuAGQAIABtAGUAdAByAG8ALwBuAG8AbgAtAG0AZQB0AHIAbwAgAGwAbwBjAGEAdABpAG8AbgAtAGIAYQBzAGUAZAAuAFwAIgApADsAXABuAFwAbgAvACoAXABuAC0ALQAtAC0ALQAtAC0ALQAtAC0ALQAtAC0ALQAtAC0ALQAtAC0ALQAtAC0ALQAtAC0ALQAtAC0ALQAtAC0ALQAtAC0ALQAtAC0ALQBcAG4AVgBFAEUAUgBHAF8AMQA1AF8AMQAyAF8AMQBfADEAXwBfADEAXwBVAHAAcwB0AHIAZQBhAG0AUAB1AHIAYwBoAGEAcwBlAGQARQBsAGUAYwB0AHIAaQBjAGkAdAB5AEwAbwBjAGEAdABpAG8AbgBCAGEAcwBlAGQAXABuAFMAYwBvAHAAZQAgADMAIABlAG0AaQBzAHMAaQBvAG4AcwAgAGYAcgBvAG0AIABwAHUAcgBjAGgAYQBzAGUAZAAgAGUAbABlAGMAdAByAGkAYwBpAHQAeQAgAGwAbwBjAGEAdABpAG8AbgAgAGIAYQBzAGUAZABcAG4ARQBfADMAZQBsAGUAYwBcAG4AdAAgAEMATwAyAGUAXABuAEUAXwB7ADMALABlAGwAZQBjAH0APQBRAF8AewBlAGwAZQBjAH0AXABcAHQAaQBtAGUAcwAgAEUARgBfAHsAMwAsAGUAbABlAGMAfQBcAFwAdABpAG0AZQBzACAAMQAwAF4AewAtADMAfQBcAG4AUQBfAGUAbABlAGMAIAA9ACAAYQBtAG8AdQBuAHQAIABvAGYAIABlAGwAZQBjAHQAcgBpAGMAaQB0AHkAIABwAHUAcgBjAGgAYQBzAGUAZAAgAGYAcgBvAG0AIAB0AGgAZQAgAGcAcgBpAGQAXABuAEUARgBfADMAZQBsAGUAYwAgAD0AIABzAGMAbwBwAGUAIAAzACAAZQBtAGkAcwBzAGkAbwBuACAAZgBhAGMAdABvAHIAIABmAG8AcgAgAHAAdQByAGMAaABhAHMAZQBkACAAZQBsAGUAYwB0AHIAaQBjAGkAdAB5AFwAbgAtAC0ALQAtAC0ALQAtAC0ALQAtAC0ALQAtAC0ALQAtAC0ALQAtAC0ALQAtAC0ALQAtAC0ALQAtAC0ALQAtAC0ALQAtAC0ALQAtAC0AXABuACoALwBcAG4AXABuAFYARQBFAFIARwBfADEANQBfADEAMgBfADEAXwAxAF8AXwAxAF8AVQBwAHMAdAByAGUAYQBtAFAAdQByAGMAaABhAHMAZQBkAEUAbABlAGMAdAByAGkAYwBpAHQAeQBMAG8AYwBhAHQAaQBvAG4AQgBhAHMAZQBkAFwAbgAgACAAPQBMAEEATQBCAEQAQQAoAFwAbgAgACAAIAAgAFEAXwBlAGwAZQBjACwAIABFAEYAXwAzAGUAbABlAGMALABcAG4AIAAgACAAIAAoAFEAXwBlAGwAZQBjACAAKgAgAEUARgBfADMAZQBsAGUAYwApACAAKgAgADEAMAAgAF4AIAAtADMAXABuACAAIAApADsAXABuAFwAbgBWAEUARQBSAEcAXwAxADUAXwAxADIAXwAxAF8AMQBfAF8AMQBfAFUAcABzAHQAcgBlAGEAbQBQAHUAcgBjAGgAYQBzAGUAZABFAGwAZQBjAHQAcgBpAGMAaQB0AHkATABvAGMAYQB0AGkAbwBuAEIAYQBzAGUAZABfAFQAaQB0AGwAZQBcAG4AIAAgAD0ATABBAE0AQgBEAEEAKABcACIAUwBjAG8AcABlACAAMwAgAGUAbQBpAHMAcwBpAG8AbgBzACAAZgByAG8AbQAgAHAAdQByAGMAaABhAHMAZQBkACAAZQBsAGUAYwB0AHIAaQBjAGkAdAB5ACAAbABvAGMAYQB0AGkAbwBuACAAYgBhAHMAZQBkAFwAIgApADsAXABuAFwAbgBWAEUARQBSAEcAXwAxADUAXwAxADIAXwAxAF8AMQBfAF8AMQBfAFUAcABzAHQAcgBlAGEAbQBQAHUAcgBjAGgAYQBzAGUAZABFAGwAZQBjAHQAcgBpAGMAaQB0AHkATABvAGMAYQB0AGkAbwBuAEIAYQBzAGUAZABfAFYAYQByAGkAYQBiAGwAZQBcAG4AIAAgAD0ATABBAE0AQgBEAEEAKABcACIARQBfADMAZQBsAGUAYwBcACIAKQA7AFwAbgBcAG4AVgBFAEUAUgBHAF8AMQA1AF8AMQAyAF8AMQBfADEAXwBfADEAXwBVAHAAcwB0AHIAZQBhAG0AUAB1AHIAYwBoAGEAcwBlAGQARQBsAGUAYwB0AHIAaQBjAGkAdAB5AEwAbwBjAGEAdABpAG8AbgBCAGEAcwBlAGQAXwBVAG4AaQB0AFwAbgAgACAAPQBMAEEATQBCAEQAQQAoAFwAIgB0ACAAQwBPADIAZQBcACIAKQA7AFwAbgBcAG4AVgBFAEUAUgBHAF8AMQA1AF8AMQAyAF8AMQBfADEAXwBfADEAXwBVAHAAcwB0AHIAZQBhAG0AUAB1AHIAYwBoAGEAcwBlAGQARQBsAGUAYwB0AHIAaQBjAGkAdAB5AEwAbwBjAGEAdABpAG8AbgBCAGEAcwBlAGQAXwBTAG8AdQByAGMAZQBcAG4AIAAgAD0ATABBAE0AQgBEAEEAKABcACIAVgBFAEUAUgBHACAAMgAwADIANgA6ACAAMQA1AC4AMQAyAC4AMQAuADEALAAgAEUAcQB1AGEAdABpAG8AbgAgACgAMQApAFwAIgApADsAXABuAFwAbgBWAEUARQBSAEcAXwAxADUAXwAxADIAXwAxAF8AMQBfAF8AMQBfAFUAcABzAHQAcgBlAGEAbQBQAHUAcgBjAGgAYQBzAGUAZABFAGwAZQBjAHQAcgBpAGMAaQB0AHkATABvAGMAYQB0AGkAbwBuAEIAYQBzAGUAZABfAE4ASQBSAFIAZQBmAGUAcgBlAG4AYwBlAFwAbgAgACAAPQBMAEEATQBCAEQAQQAoAFwAIgBcACIAKQA7AFwAbgBcAG4AVgBFAEUAUgBHAF8AMQA1AF8AMQAyAF8AMQBfADEAXwBfADEAXwBVAHAAcwB0AHIAZQBhAG0AUAB1AHIAYwBoAGEAcwBlAGQARQBsAGUAYwB0AHIAaQBjAGkAdAB5AEwAbwBjAGEAdABpAG8AbgBCAGEAcwBlAGQAXwBMAGEAdABlAHgARQBxAHUAYQB0AGkAbwBuAFwAbgAgACAAPQBMAEEATQBCAEQAQQAoAFwAIgBFAF8AewAzACwAZQBsAGUAYwB9AD0AUQBfAHsAZQBsAGUAYwB9AFwAXAB0AGkAbQBlAHMAIABFAEYAXwB7ADMALABlAGwAZQBjAH0AXABcAHQAaQBtAGUAcwAgADEAMABeAHsALQAzAH0AXAAiACkAOwBcAG4AXABuAFYARQBFAFIARwBfADEANQBfADEAMgBfADEAXwAxAF8AXwAxAF8AVQBwAHMAdAByAGUAYQBtAFAAdQByAGMAaABhAHMAZQBkAEUAbABlAGMAdAByAGkAYwBpAHQAeQBMAG8AYwBhAHQAaQBvAG4AQgBhAHMAZQBkAF8AQQByAGcAdQBtAGUAbgB0AHMAXABuACAAIAA9AEwAQQBNAEIARABBACgAXABuACAAIAAgACAATQBBAEsARQBBAFIAUgBBAFkAKAAzACwAIAA0ACwAXABuACAAIAAgACAAIAAgAEwAQQBNAEIARABBACgAcgAsAGMALABcAG4AIAAgACAAIAAgACAAIAAgAEkATgBEAEUAWAAoAHsAXABuACAAIAAgACAAIAAgACAAIAAgACAAXAAiAFEAXwBlAGwAZQBjAFwAIgAsACAAXAAiAGEAbQBvAHUAbgB0ACAAbwBmACAAZQBsAGUAYwB0AHIAaQBjAGkAdAB5ACAAcAB1AHIAYwBoAGEAcwBlAGQAIABmAHIAbwBtACAAdABoAGUAIABnAHIAaQBkAFwAIgAsACAAXAAiAGsAVwBoAFwAIgAsACAAXAAiAEkAbgBwAHUAdABcACIAOwBcAG4AIAAgACAAIAAgACAAIAAgACAAIABcACIARQBGAF8AMwBlAGwAZQBjAFwAIgAsACAAXAAiAHMAYwBvAHAAZQAgADMAIABlAG0AaQBzAHMAaQBvAG4AIABmAGEAYwB0AG8AcgAgAGYAbwByACAAcAB1AHIAYwBoAGEAcwBlAGQAIABlAGwAZQBjAHQAcgBpAGMAaQB0AHkAXAAiACwAIABcACIAawBnACAAQwBPADIAZQAvAGsAVwBoAFwAIgAsACAAXAAiAEMAbwBuAHMAdABhAG4AdABcACIAOwBcAG4AIAAgACAAIAAgACAAIAAgACAAIABcACIAZwBcACIALAAgAFwAIgBnAHIAaQBkACAAZQBsAGUAYwB0AHIAaQBjAGkAdAB5ACAAdwBhAHMAIABwAHUAcgBjAGgAYQBzAGUAZAAgAGYAcgBvAG0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EAMgBfADEAXwAyAF8AXwAxAF8AVQBwAHMAdAByAGUAYQBtAFAAdQByAGMAaABhAHMAZQBkAEUAbABlAGMAdAByAGkAYwBpAHQAeQBNAGEAcgBrAGUAdABCAGEAcwBlAGQAXABuAFMAYwBvAHAAZQAgADMAIABlAG0AaQBzAHMAaQBvAG4AcwAgAGYAcgBvAG0AIABwAHUAcgBjAGgAYQBzAGUAZAAgAGUAbABlAGMAdAByAGkAYwBpAHQAeQAgAG0AYQByAGsAZQB0ACAAYgBhAHMAZQBkAFwAbgBFAF8AMwBlAGwAZQBjAFwAbgB0ACAAQwBPADIAZQBcAG4ARQBfAHsAMwAsAGUAbABlAGMAfQA9AFwAXABsAGUAZgB0AFsAUQBfAHsAZQBsAGUAYwB9AFwAXAB0AGkAbQBlAHMAXABcAGwAZQBmAHQAKAAxAC0AKABSAFAAUAArAEoAUgBQAFAAKQBcAFwAcgBpAGcAaAB0ACkALQBcAFwAbABlAGYAdAAoAFIARQBDAF8AewBzAHUAcgByAGUAbgBkAGUAcgBlAGQAfQAtAFIARQBDAF8AewBvAG4AcwBpAHQAZQB9AFwAXAByAGkAZwBoAHQAKQBcAFwAdABpAG0AZQBzACAAMQAwAF4AewAtADMAfQBcAFwAcgBpAGcAaAB0AF0AXABcAHQAaQBtAGUAcwAgAEUARgBfAHsAUgBNAEYAMwAsAGUAbABlAGMAfQBcAFwAdABpAG0AZQBzACAAMQAwAF4AewAtADMAfQBcAG4AUQBfAGUAbABlAGMAIAA9ACAAYQBtAG8AdQBuAHQAIABvAGYAIABlAGwAZQBjAHQAcgBpAGMAaQB0AHkAIABwAHUAcgBjAGgAYQBzAGUAZAAgAGYAcgBvAG0AIAB0AGgAZQAgAGcAcgBpAGQAXABuAFIAUABQACAAPQAgAHIAZQBuAGUAdwBhAGIAbABlACAAcABvAHcAZQByACAAcABlAHIAYwBlAG4AdABhAGcAZQAgAHUAbgBkAGUAcgAgAEwAUgBFAFQAIABmAG8AcgAgAHQAaABlACAAYQBwAHAAbABpAGMAYQBiAGwAZQAgAHAAZQByAGkAbwBkAFwAbgBKAFIAUABQACAAPQAgAGoAdQByAGkAcwBkAGkAYwB0AGkAbwBuAGEAbAAgAHIAZQBuAGUAdwBhAGIAbABlACAAcABvAHcAZQByACAAcABlAHIAYwBlAG4AdABhAGcAZQAgAGYAbwByACAAdABoAGUAIABhAHAAcABsAGkAYwBhAGIAbABlACAAcABlAHIAaQBvAGQAXABuAFIARQBDAF8AcwB1AHIAcgBlAG4AZABlAHIAZQBkACAAPQAgAGUAbABpAGcAaQBiAGwAZQAgAHIAZQBuAGUAdwBhAGIAbABlACAAZQBuAGUAcgBnAHkAIABjAGUAcgB0AGkAZgBpAGMAYQB0AGUAcwAgAHYAbwBsAHUAbgB0AGEAcgBpAGwAeQAgAHMAdQByAHIAZQBuAGQAZQByAGUAZABcAG4AUgBFAEMAXwBvAG4AcwBpAHQAZQAgAD0AIABlAGwAaQBnAGkAYgBsAGUAIAByAGUAbgBlAHcAYQBiAGwAZQAgAGUAbgBlAHIAZwB5ACAAYwBlAHIAdABpAGYAaQBjAGEAdABlAHMAIABpAHMAcwB1AGUAZAAgAGYAbwByACAAbwBuAHMAaQB0AGUAIABnAGUAbgBlAHIAYQB0AGUAZAAgAGUAbABlAGMAdAByAGkAYwBpAHQAeQBcAG4ARQBGAF8AUgBNAEYAMwBlAGwAZQBjACAAPQAgAHMAYwBvAHAAZQAgADMAIAByAGUAcwBpAGQAdQBhAGwAIABtAGkAeAAgAGUAbQBpAHMAcwBpAG8AbgAgAGYAYQBjAHQAbwByACAAZgBvAHIAIABlAGwAZQBjAHQAcgBpAGMAaQB0AHkAXABuAC0ALQAtAC0ALQAtAC0ALQAtAC0ALQAtAC0ALQAtAC0ALQAtAC0ALQAtAC0ALQAtAC0ALQAtAC0ALQAtAC0ALQAtAC0ALQAtAC0ALQBcAG4AKgAvAFwAbgBcAG4AVgBFAEUAUgBHAF8AMQA1AF8AMQAyAF8AMQBfADIAXwBfADEAXwBVAHAAcwB0AHIAZQBhAG0AUAB1AHIAYwBoAGEAcwBlAGQARQBsAGUAYwB0AHIAaQBjAGkAdAB5AE0AYQByAGsAZQB0AEIAYQBzAGUAZABcAG4AIAAgAD0ATABBAE0AQgBEAEEAKABcAG4AIAAgACAAIABRAF8AZQBsAGUAYwAsACAAUgBQAFAALAAgAEoAUgBQAFAALAAgAFIARQBDAF8AcwB1AHIAcgBlAG4AZABlAHIAZQBkACwAIABSAEUAQwBfAG8AbgBzAGkAdABlACwAIABFAEYAXwBSAE0ARgAzAGUAbABlAGMALABcAG4AIAAgACAAIAAoACgAUQBfAGUAbABlAGMAIAAqACAAKAAxACAALQAgACgAUgBQAFAAIAArACAASgBSAFAAUAApACkAKQAgAC0AIAAoACgAUgBFAEMAXwBzAHUAcgByAGUAbgBkAGUAcgBlAGQAIAAtACAAUgBFAEMAXwBvAG4AcwBpAHQAZQApACAAKgAgADEAMAAgAF4AIAAtADMAKQApACAAKgAgAEUARgBfAFIATQBGADMAZQBsAGUAYwAgACoAIAAxADAAIABeACAALQAzAFwAbgAgACAAKQA7AFwAbgBcAG4AVgBFAEUAUgBHAF8AMQA1AF8AMQAyAF8AMQBfADIAXwBfADEAXwBVAHAAcwB0AHIAZQBhAG0AUAB1AHIAYwBoAGEAcwBlAGQARQBsAGUAYwB0AHIAaQBjAGkAdAB5AE0AYQByAGsAZQB0AEIAYQBzAGUAZABWAGEAcgBpAGEAdABpAG8AbgBcAG4AIAAgAD0ATABBAE0AQgBEAEEAKABcAG4AIAAgACAAIABRAF8AZQBsAGUAYwAsACAAUgBQAFAALAAgAEoAUgBQAFAALAAgAFIARQBDAF8AcwB1AHIAcgBlAG4AZABlAHIAZQBkACwAIABSAEUAQwBfAG8AbgBzAGkAdABlACwAIABFAEYAXwBSAE0ARgAzAGUAbABlAGMALABcAG4AIAAgACAAIAAoACgAUQBfAGUAbABlAGMAIAAqACAAKAAxACAALQAgACgAUgBQAFAAIAArACAASgBSAFAAUAApACkAKQAgAC0AIAAoACgAUgBFAEMAXwBzAHUAcgByAGUAbgBkAGUAcgBlAGQAIAAtACAAUgBFAEMAXwBvAG4AcwBpAHQAZQApACAAKgAgADEAMAAgAF4AIAAzACkAKQAgACoAIABFAEYAXwBSAE0ARgAzAGUAbABlAGMAIAAqACAAMQAwACAAXgAgAC0AMwBcAG4AIAAgACkAOwBcAG4AXABuAFYARQBFAFIARwBfADEANQBfADEAMgBfADEAXwAyAF8AXwAxAF8AVQBwAHMAdAByAGUAYQBtAFAAdQByAGMAaABhAHMAZQBkAEUAbABlAGMAdAByAGkAYwBpAHQAeQBNAGEAcgBrAGUAdABCAGEAcwBlAGQAXwBUAGkAdABsAGUAXABuACAAIAA9AEwAQQBNAEIARABBACgAXAAiAFMAYwBvAHAAZQAgADMAIABlAG0AaQBzAHMAaQBvAG4AcwAgAGYAcgBvAG0AIABwAHUAcgBjAGgAYQBzAGUAZAAgAGUAbABlAGMAdAByAGkAYwBpAHQAeQAgAG0AYQByAGsAZQB0ACAAYgBhAHMAZQBkAFwAIgApADsAXABuAFwAbgBWAEUARQBSAEcAXwAxADUAXwAxADIAXwAxAF8AMgBfAF8AMQBfAFUAcABzAHQAcgBlAGEAbQBQAHUAcgBjAGgAYQBzAGUAZABFAGwAZQBjAHQAcgBpAGMAaQB0AHkATQBhAHIAawBlAHQAQgBhAHMAZQBkAF8AVgBhAHIAaQBhAGIAbABlAFwAbgAgACAAPQBMAEEATQBCAEQAQQAoAFwAIgBFAF8AMwBlAGwAZQBjAFwAIgApADsAXABuAFwAbgBWAEUARQBSAEcAXwAxADUAXwAxADIAXwAxAF8AMgBfAF8AMQBfAFUAcABzAHQAcgBlAGEAbQBQAHUAcgBjAGgAYQBzAGUAZABFAGwAZQBjAHQAcgBpAGMAaQB0AHkATQBhAHIAawBlAHQAQgBhAHMAZQBkAF8AVQBuAGkAdABcAG4AIAAgAD0ATABBAE0AQgBEAEEAKABcACIAdAAgAEMATwAyAGUAXAAiACkAOwBcAG4AXABuAFYARQBFAFIARwBfADEANQBfADEAMgBfADEAXwAyAF8AXwAxAF8AVQBwAHMAdAByAGUAYQBtAFAAdQByAGMAaABhAHMAZQBkAEUAbABlAGMAdAByAGkAYwBpAHQAeQBNAGEAcgBrAGUAdABCAGEAcwBlAGQAXwBTAG8AdQByAGMAZQBcAG4AIAAgAD0ATABBAE0AQgBEAEEAKABcACIAVgBFAEUAUgBHACAAMgAwADIANgA6ACAAMQA1AC4AMQAyAC4AMQAuADIALAAgAEUAcQB1AGEAdABpAG8AbgAgACgAMQApAFwAIgApADsAXABuAFwAbgBWAEUARQBSAEcAXwAxADUAXwAxADIAXwAxAF8AMgBfAF8AMQBfAFUAcABzAHQAcgBlAGEAbQBQAHUAcgBjAGgAYQBzAGUAZABFAGwAZQBjAHQAcgBpAGMAaQB0AHkATQBhAHIAawBlAHQAQgBhAHMAZQBkAF8ATgBJAFIAUgBlAGYAZQByAGUAbgBjAGUAXABuACAAIAA9AEwAQQBNAEIARABBACgAXAAiAFwAIgApADsAXABuAFwAbgBWAEUARQBSAEcAXwAxADUAXwAxADIAXwAxAF8AMgBfAF8AMQBfAFUAcABzAHQAcgBlAGEAbQBQAHUAcgBjAGgAYQBzAGUAZABFAGwAZQBjAHQAcgBpAGMAaQB0AHkATQBhAHIAawBlAHQAQgBhAHMAZQBkAF8ATABhAHQAZQB4AEUAcQB1AGEAdABpAG8AbgBcAG4AIAAgAD0ATABBAE0AQgBEAEEAKABcACIARQBfAHsAMwAsAGUAbABlAGMAfQA9ACAAWwAgAFEAXwB7AGUAbABlAGMAfQBcAFwAdABpAG0AZQBzAFwAXABsAGUAZgB0ACgAMQAtACgAUgBQAFAAKwBKAFIAUABQACkAXABcAHIAaQBnAGgAdAApAC0AXABcAGwAZQBmAHQAXABcAGwAZQBmAHQAKAAoAFIARQBDAF8AewBzAHUAcgByAGUAbgBkAGUAcgBlAGQAfQAtAFIARQBDAF8AewBvAG4AcwBpAHQAZQB9AFwAXAByAGkAZwBoAHQAKQBcAFwAdABpAG0AZQBzACAAMQAwAF4AewAtADMAfQBcAFwAcgBpAGcAaAB0ACkAXABcAHIAaQBnAGgAdABdAFwAXAB0AGkAbQBlAHMAIABFAEYAXwB7AFIATQBGADMALABlAGwAZQBjAH0AXABcAHQAaQBtAGUAcwAgADEAMABeAHsALQAzAH0AXAAiACkAOwBcAG4AXABuAFYARQBFAFIARwBfADEANQBfADEAMgBfADEAXwAyAF8AXwAxAF8AVQBwAHMAdAByAGUAYQBtAFAAdQByAGMAaABhAHMAZQBkAEUAbABlAGMAdAByAGkAYwBpAHQAeQBNAGEAcgBrAGUAdABCAGEAcwBlAGQAXwBMAGEAdABlAHgARQBxAHUAYQB0AGkAbwBuAFYAYQByAGkAYQB0AGkAbwBuAFwAbgAgACAAPQBMAEEATQBCAEQAQQAoAFwAIgBFAF8AewAzACwAZQBsAGUAYwB9AD0AIABbACAAUQBfAHsAZQBsAGUAYwB9AFwAXAB0AGkAbQBlAHMAXABcAGwAZQBmAHQAKAAxAC0AKABSAFAAUAArAEoAUgBQAFAAKQBcAFwAcgBpAGcAaAB0ACkALQBcAFwAbABlAGYAdABcAFwAbABlAGYAdAAoACgAUgBFAEMAXwB7AHMAdQByAHIAZQBuAGQAZQByAGUAZAB9AC0AUgBFAEMAXwB7AG8AbgBzAGkAdABlAH0AXABcAHIAaQBnAGgAdAApAFwAXAB0AGkAbQBlAHMAIAAxADAAXgB7ADMAfQBcAFwAcgBpAGcAaAB0ACkAXABcAHIAaQBnAGgAdABdAFwAXAB0AGkAbQBlAHMAIABFAEYAXwB7AFIATQBGADMALABlAGwAZQBjAH0AXABcAHQAaQBtAGUAcwAgADEAMABeAHsALQAzAH0AXAAiACkAOwBcAG4AXABuAFYARQBFAFIARwBfADEANQBfADEAMgBfADEAXwAyAF8AXwAxAF8AVQBwAHMAdAByAGUAYQBtAFAAdQByAGMAaABhAHMAZQBkAEUAbABlAGMAdAByAGkAYwBpAHQAeQBNAGEAcgBrAGUAdABCAGEAcwBlAGQAXwBBAHIAZwB1AG0AZQBuAHQAcwBcAG4AIAAgAD0ATABBAE0AQgBEAEEAKABcAG4AIAAgACAAIABNAEEASwBFAEEAUgBSAEEAWQAoADcALAAgADQALABcAG4AIAAgACAAIAAgACAATABBAE0AQgBEAEEAKAByACwAYwAsAFwAbgAgACAAIAAgACAAIAAgACAASQBOAEQARQBYACgAewBcAG4AIAAgACAAIAAgACAAIAAgACAAIABcACIAUQBfAGUAbABlAGMAXAAiACwAIABcACIAYQBtAG8AdQBuAHQAIABvAGYAIABlAGwAZQBjAHQAcgBpAGMAaQB0AHkAIABwAHUAcgBjAGgAYQBzAGUAZAAgAGYAcgBvAG0AIAB0AGgAZQAgAGcAcgBpAGQAXAAiACwAIABcACIAawBXAGgAXAAiACwAIABcACIASQBuAHAAdQB0AFwAIgA7AFwAbgAgACAAIAAgACAAIAAgACAAIAAgAFwAIgBSAFAAUABcACIALAAgAFwAIgByAGUAbgBlAHcAYQBiAGwAZQAgAHAAbwB3AGUAcgAgAHAAZQByAGMAZQBuAHQAYQBnAGUAIAB1AG4AZABlAHIAIABMAFIARQBUACAAZgBvAHIAIAB0AGgAZQAgAGEAcABwAGwAaQBjAGEAYgBsAGUAIABwAGUAcgBpAG8AZABcACIALAAgAFwAIgBmAHIAYQBjAHQAaQBvAG4AXAAiACwAIABcACIASQBuAHAAdQB0AFwAIgA7AFwAbgAgACAAIAAgACAAIAAgACAAIAAgAFwAIgBKAFIAUABQAFwAIgAsACAAXAAiAGoAdQByAGkAcwBkAGkAYwB0AGkAbwBuAGEAbAAgAHIAZQBuAGUAdwBhAGIAbABlACAAcABvAHcAZQByACAAcABlAHIAYwBlAG4AdABhAGcAZQAgAGYAbwByACAAdABoAGUAIABhAHAAcABsAGkAYwBhAGIAbABlACAAcABlAHIAaQBvAGQAXAAiACwAIABcACIAZgByAGEAYwB0AGkAbwBuAFwAIgAsACAAXAAiAEkAbgBwAHUAdABcACIAOwBcAG4AIAAgACAAIAAgACAAIAAgACAAIABcACIAUgBFAEMAXwBzAHUAcgByAGUAbgBkAGUAcgBlAGQAXAAiACwAIABcACIAZQBsAGkAZwBpAGIAbABlACAAcgBlAG4AZQB3AGEAYgBsAGUAIABlAG4AZQByAGcAeQAgAGMAZQByAHQAaQBmAGkAYwBhAHQAZQBzACAAdgBvAGwAdQBuAHQAYQByAGkAbAB5ACAAcwB1AHIAcgBlAG4AZABlAHIAZQBkAFwAIgAsACAAXAAiAE0AVwBoAFwAIgAsACAAXAAiAEkAbgBwAHUAdABcACIAOwBcAG4AIAAgACAAIAAgACAAIAAgACAAIABcACIAUgBFAEMAXwBvAG4AcwBpAHQAZQBcACIALAAgAFwAIgBlAGwAaQBnAGkAYgBsAGUAIAByAGUAbgBlAHcAYQBiAGwAZQAgAGUAbgBlAHIAZwB5ACAAYwBlAHIAdABpAGYAaQBjAGEAdABlAHMAIABpAHMAcwB1AGUAZAAgAGYAbwByACAAbwBuAHMAaQB0AGUAIABnAGUAbgBlAHIAYQB0AGUAZAAgAGUAbABlAGMAdAByAGkAYwBpAHQAeQBcACIALAAgAFwAIgBNAFcAaABcACIALAAgAFwAIgBJAG4AcAB1AHQAXAAiADsAXABuACAAIAAgACAAIAAgACAAIAAgACAAXAAiAEUARgBfAFIATQBGADMAZQBsAGUAYwBcACIALAAgAFwAIgBzAGMAbwBwAGUAIAAzACAAcgBlAHMAaQBkAHUAYQBsACAAbQBpAHgAIABlAG0AaQBzAHMAaQBvAG4AIABmAGEAYwB0AG8AcgAgAGYAbwByACAAZQBsAGUAYwB0AHIAaQBjAGkAdAB5AFwAIgAsACAAXAAiAGsAZwAgAEMATwAyAGUALwBrAFcAaABcACIALAAgAFwAIgBDAG8AbgBzAHQAYQBuAHQAXAAiADsAXABuACAAIAAgACAAIAAgACAAIAAgACAAXAAiAGkAXAAiACwAIABcACIAcwB0AGEAdABlAFwAIgAsACAAXAAiAFwAIgAsACAAXAAiAEkAbgBwAHUAdABcACIAXABuACAAIAAgACAAIAAgACAAIAB9ACwAIAByACwAIABjACkAXABuACAAIAAgACAAIAAgACkAXABuACAAIAAgACAAKQBcAG4AIAAgACkAOwBcAG4AXABuAFYARQBFAFIARwBfADEANQBfADEAMgBfADEAXwAyAF8AXwAxAF8AVQBwAHMAdAByAGUAYQBtAFAAdQByAGMAaABhAHMAZQBkAEUAbABlAGMAdAByAGkAYwBpAHQAeQBNAGEAcgBrAGUAdABCAGEAcwBlAGQAXwBWAGEAcgBpAGEAdABpAG8AbgBcAG4AIAAgAD0ATABBAE0AQgBEAEEAKABcACIAVgBBAFIASQBBAFQASQBPAE4AIABPAE4AIABTAE8AVQBSAEMARQA6ACAASQBuACAAbwByAGQAZQByACAAdABvACAAYwBvAG4AdgBlAHIAdAAgAG0AZQBnAGEAdwBhAHQAdAAgAGgAbwB1AHIAcwAgAHQAbwAgAGsAaQBsAG8AdwBhAHQAdAAgAGgAbwB1AHIAcwAsACAAdABoAGUAIABSAEUAQwBfAHMAdQByAHIAZQBuAGQAZQByAGUAZAAgAGEAbgBkACAAUgBFAEMAXwBvAG4AcwBpAHQAZQAgAHYAYQByAGkAYQBiAGwAZQBzACAAYQByAGUAIABtAHUAbAB0AGkAcABsAGkAZQBkACAAYgB5ACAAMQAwAF4AMwAgAGkAbgBzAHQAZQBhAGQAIABvAGYAIAAxADAAXgAtADMALgBcACIAKQA7AFwAbgBcAG4ALwAqAFwAbgAtAC0ALQAtAC0ALQAtAC0ALQAtAC0ALQAtAC0ALQAtAC0ALQAtAC0ALQAtAC0ALQAtAC0ALQAtAC0ALQAtAC0ALQAtAC0ALQAtAC0AXABuAFYARQBFAFIARwBfADEANQBfADEAMwBfADEAXwAxAF8AXwAxAF8ARQBtAGkAcwBzAGkAbwBuAHMARgByAG8AbQBNAGEAbgB1AHIAZQBTAGUAbgB0AE8AZgBmAFMAaQB0AGUAXABuAEUAbQBpAHMAcwBpAG8AbgBzACAAZgByAG8AbQAgAG0AYQBuAHUAcgBlACAAcwBlAG4AdAAgAG8AZgBmACAAcwBpAHQAZQAgAGEAcABwAGwAaQBlAGQAIAB0AG8AIABzAG8AaQBsAHMAIABpAG4AIABhAG4AbwB0AGgAZQByACAAZgBhAHIAbQBpAG4AZwAgAHMAeQBzAHQAZQBtACAAbwByACAAZQBuAHQAZQByAHAAcgBpAHMAZQBcAG4ARQBcAG4AdAAgAE4AMgBPAFwAbgBFAD0ARQBfAHsATgAyAE8AfQArAEUAXwB7AGEAZAB9ACsARQBfAHsAbABlAGEAYwBoAH0AXABuAEUAXwBOADIATwAgAD0AIABkAGkAcgBlAGMAdAAgAG4AaQB0AHIAbwB1AHMAIABvAHgAaQBkAGUAIABlAG0AaQBzAHMAaQBvAG4AcwAgAGYAcgBvAG0AIABhAHAAcABsAGkAYwBhAHQAaQBvAG4AIABvAGYAIABtAGEAbgB1AHIAZQAgAHQAbwAgAHMAbwBpAGwAcwAgAG8AdQB0AHMAaQBkAGUAIABvAGYAIABzAGMAbwBwAGUAIAAxACAAYgBvAHUAbgBkAGEAcgB5AFwAbgBFAF8AYQBkACAAPQAgAG4AaQB0AHIAbwB1AHMAIABvAHgAaQBkAGUAIABlAG0AaQBzAHMAaQBvAG4AcwAgAGYAcgBvAG0AIABhAHQAbQBvAHMAcABoAGUAcgBpAGMAIABkAGUAcABvAHMAaQB0AGkAbwBuACAAbwBmACAAbQBhAG4AdQByAGUAIAB0AG8AIABzAG8AaQBsAHMAXABuAEUAXwBsAGUAYQBjAGgAIAA9ACAAbgBpAHQAcgBvAHUAcwAgAG8AeABpAGQAZQAgAGUAbQBpAHMAcwBpAG8AbgBzACAAZgByAG8AbQAgAG4AaQB0AHIAbwBnAGUAbgAgAGwAZQBhAGMAaABpAG4AZwAgAGEAbgBkACAAcgB1AG4AbwBmAGYAIABvAGYAIABtAGEAbgB1AHIAZQAgAHQAbwAgAHMAbwBpAGwAcwBcAG4ALQAtAC0ALQAtAC0ALQAtAC0ALQAtAC0ALQAtAC0ALQAtAC0ALQAtAC0ALQAtAC0ALQAtAC0ALQAtAC0ALQAtAC0ALQAtAC0ALQAtAFwAbgAqAC8AXABuAFwAbgBWAEUARQBSAEcAXwAxADUAXwAxADMAXwAxAF8AMQBfAF8AMQBfAEUAbQBpAHMAcwBpAG8AbgBzAEYAcgBvAG0ATQBhAG4AdQByAGUAUwBlAG4AdABPAGYAZgBTAGkAdABlAFwAbgAgACAAPQBMAEEATQBCAEQAQQAoAFwAbgAgACAAIAAgAEUAXwBOADIATwAsACAARQBfAGEAZAAsACAARQBfAGwAZQBhAGMAaAAsAFwAbgAgACAAIAAgAEUAXwBOADIATwAgACsAIABFAF8AYQBkACAAKwAgAEUAXwBsAGUAYQBjAGgAXABuACAAIAApADsAXABuAFwAbgBWAEUARQBSAEcAXwAxADUAXwAxADMAXwAxAF8AMQBfAF8AMQBfAEUAbQBpAHMAcwBpAG8AbgBzAEYAcgBvAG0ATQBhAG4AdQByAGUAUwBlAG4AdABPAGYAZgBTAGkAdABlAF8AVABpAHQAbABlAFwAbgAgACAAPQBMAEEATQBCAEQAQQAoAFwAIgBFAG0AaQBzAHMAaQBvAG4AcwAgAGYAcgBvAG0AIABtAGEAbgB1AHIAZQAgAHMAZQBuAHQAIABvAGYAZgAgAHMAaQB0AGUAIABhAHAAcABsAGkAZQBkACAAdABvACAAcwBvAGkAbABzACAAaQBuACAAYQBuAG8AdABoAGUAcgAgAGYAYQByAG0AaQBuAGcAIABzAHkAcwB0AGUAbQAgAG8AcgAgAGUAbgB0AGUAcgBwAHIAaQBzAGUAXAAiACkAOwBcAG4AXABuAFYARQBFAFIARwBfADEANQBfADEAMwBfADEAXwAxAF8AXwAxAF8ARQBtAGkAcwBzAGkAbwBuAHMARgByAG8AbQBNAGEAbgB1AHIAZQBTAGUAbgB0AE8AZgBmAFMAaQB0AGUAXwBWAGEAcgBpAGEAYgBsAGUAXABuACAAIAA9AEwAQQBNAEIARABBACgAXAAiAEUAXAAiACkAOwBcAG4AXABuAFYARQBFAFIARwBfADEANQBfADEAMwBfADEAXwAxAF8AXwAxAF8ARQBtAGkAcwBzAGkAbwBuAHMARgByAG8AbQBNAGEAbgB1AHIAZQBTAGUAbgB0AE8AZgBmAFMAaQB0AGUAXwBVAG4AaQB0AFwAbgAgACAAPQBMAEEATQBCAEQAQQAoAFwAIgB0ACAATgAyAE8AXAAiACkAOwBcAG4AXABuAFYARQBFAFIARwBfADEANQBfADEAMwBfADEAXwAxAF8AXwAxAF8ARQBtAGkAcwBzAGkAbwBuAHMARgByAG8AbQBNAGEAbgB1AHIAZQBTAGUAbgB0AE8AZgBmAFMAaQB0AGUAXwBTAG8AdQByAGMAZQBcAG4AIAAgAD0ATABBAE0AQgBEAEEAKABcACIAVgBFAEUAUgBHACAAMgAwADIANgA6ACAAMQA1AC4AMQAzAC4AMQAuADEALAAgAEUAcQB1AGEAdABpAG8AbgAgACgAMQApAFwAIgApADsAXABuAFwAbgBWAEUARQBSAEcAXwAxADUAXwAxADMAXwAxAF8AMQBfAF8AMQBfAEUAbQBpAHMAcwBpAG8AbgBzAEYAcgBvAG0ATQBhAG4AdQByAGUAUwBlAG4AdABPAGYAZgBTAGkAdABlAF8ATgBJAFIAUgBlAGYAZQByAGUAbgBjAGUAXABuACAAIAA9AEwAQQBNAEIARABBACgAXAAiAFwAIgApADsAXABuAFwAbgBWAEUARQBSAEcAXwAxADUAXwAxADMAXwAxAF8AMQBfAF8AMQBfAEUAbQBpAHMAcwBpAG8AbgBzAEYAcgBvAG0ATQBhAG4AdQByAGUAUwBlAG4AdABPAGYAZgBTAGkAdABlAF8ATABhAHQAZQB4AEUAcQB1AGEAdABpAG8AbgBcAG4AIAAgAD0ATABBAE0AQgBEAEEAKABcACIARQA9AEUAXwB7AE4AMgBPAH0AKwBFAF8AewBhAGQAfQArAEUAXwB7AGwAZQBhAGMAaAB9AFwAIgApADsAXABuAFwAbgBWAEUARQBSAEcAXwAxADUAXwAxADMAXwAxAF8AMQBfAF8AMQBfAEUAbQBpAHMAcwBpAG8AbgBzAEYAcgBvAG0ATQBhAG4AdQByAGUAUwBlAG4AdABPAGYAZgBTAGkAdABlAF8AQQByAGcAdQBtAGUAbgB0AHMAXABuACAAIAA9AEwAQQBNAEIARABBACgAXABuACAAIAAgACAATQBBAEsARQBBAFIAUgBBAFkAKAAzACwAIAA0ACwAXABuACAAIAAgACAAIAAgAEwAQQBNAEIARABBACgAcgAsAGMALABcAG4AIAAgACAAIAAgACAAIAAgAEkATgBEAEUAWAAoAHsAXABuACAAIAAgACAAIAAgACAAIAAgACAAXAAiAEUAXwBOADIATwBcACIALAAgAFwAIgBkAGkAcgBlAGMAdAAgAG4AaQB0AHIAbwB1AHMAIABvAHgAaQBkAGUAIABlAG0AaQBzAHMAaQBvAG4AcwAgAGYAcgBvAG0AIABhAHAAcABsAGkAYwBhAHQAaQBvAG4AIABvAGYAIABtAGEAbgB1AHIAZQAgAHQAbwAgAHMAbwBpAGwAcwAgAG8AdQB0AHMAaQBkAGUAIABvAGYAIABzAGMAbwBwAGUAIAAxACAAYgBvAHUAbgBkAGEAcgB5AFwAIgAsACAAXAAiAHQAIABOADIATwBcACIALAAgAFwAIgBDAGEAbABjAHUAbABhAHQAZQBkAFwAIgA7AFwAbgAgACAAIAAgACAAIAAgACAAIAAgAFwAIgBFAF8AYQBkAFwAIgAsACAAXAAiAG4AaQB0AHIAbwB1AHMAIABvAHgAaQBkAGUAIABlAG0AaQBzAHMAaQBvAG4AcwAgAGYAcgBvAG0AIABhAHQAbQBvAHMAcABoAGUAcgBpAGMAIABkAGUAcABvAHMAaQB0AGkAbwBuACAAbwBmACAAbQBhAG4AdQByAGUAIAB0AG8AIABzAG8AaQBsAHMAXAAiACwAIABcACIAdAAgAE4AMgBPAFwAIgAsACAAXAAiAEMAYQBsAGMAdQBsAGEAdABlAGQAXAAiADsAXABuACAAIAAgACAAIAAgACAAIAAgACAAXAAiAEUAXwBsAGUAYQBjAGgAXAAiACwAIABcACIAbgBpAHQAcgBvAHUAcwAgAG8AeABpAGQAZQAgAGUAbQBpAHMAcwBpAG8AbgBzACAAZgByAG8AbQAgAG4AaQB0AHIAbwBnAGUAbgAgAGwAZQBhAGMAaABpAG4AZwAgAGEAbgBkACAAcgB1AG4AbwBmAGYAIABvAGYAIABtAGEAbgB1AHIAZQAgAHQAbwAgAHMAbwBpAGwAcwBcACIALAAgAFwAIgB0ACAATgAyAE8AXAAiACwAIABcACIAQwBhAGwAYwB1AGwAYQB0AGUAZABcACIAXABuACAAIAAgACAAIAAgACAAIAB9ACwAIAByACwAIABjACkAXABuACAAIAAgACAAIAAgACkAXABuACAAIAAgACAAKQBcAG4AIAAgACkAOwBcAG4AXABuAFwAbgAvACoAXABuAC0ALQAtAC0ALQAtAC0ALQAtAC0ALQAtAC0ALQAtAC0ALQAtAC0ALQAtAC0ALQAtAC0ALQAtAC0ALQAtAC0ALQAtAC0ALQAtAC0ALQBcAG4AVgBFAEUAUgBHAF8AMQA1AF8AMQAzAF8AMQBfADMAXwBfADEAXwBFAG0AaQBzAHMAaQBvAG4AcwBGAHIAbwBtAFMAbwBsAGkAZABXAGEAcwB0AGUAVAByAGUAYQB0AG0AZQBuAHQARgBhAGMAaQBsAGkAdAB5AFwAbgAtAC0ALQAtAC0ALQAtAC0ALQAtAC0ALQAtAC0ALQAtAC0ALQAtAC0ALQAtAC0ALQAtAC0ALQAtAC0ALQAtAC0ALQAtAC0ALQAtAC0AXABuACoALwBcAG4AXABuAFYARQBFAFIARwBfADEANQBfADEAMwBfADEAXwAzAF8AXwAxAF8ARQBtAGkAcwBzAGkAbwBuAHMARgByAG8AbQBTAG8AbABpAGQAVwBhAHMAdABlAFQAcgBlAGEAdABtAGUAbgB0AEYAYQBjAGkAbABpAHQAeQBcAG4AIAAgAD0ATABBAE0AQgBEAEEAKABcAG4AIAAgACAAIABFAF8ATgAyAE8ALAAgAEUAXwBhAGQALAAgAEUAXwBsAGUAYQBjAGgALABcAG4AIAAgACAAIABFAF8ATgAyAE8AIAArACAARQBfAGEAZAAgACsAIABFAF8AbABlAGEAYwBoAFwAbgAgACAAKQA7AFwAbgBcAG4AVgBFAEUAUgBHAF8AMQA1AF8AMQAzAF8AMQBfADMAXwBfADEAXwBFAG0AaQBzAHMAaQBvAG4AcwBGAHIAbwBtAFMAbwBsAGkAZABXAGEAcwB0AGUAVAByAGUAYQB0AG0AZQBuAHQARgBhAGMAaQBsAGkAdAB5AF8AVABpAHQAbABlAFwAbgAgACAAPQBMAEEATQBCAEQAQQAoAFwAIgBFAG0AaQBzAHMAaQBvAG4AcwAgAGYAcgBvAG0AIABzAG8AbABpAGQAIAB3AGEAcwB0AGUAIABzAGUAbgB0ACAAdABvACAAYQAgAHQAcgBlAGEAdABtAGUAbgB0ACAAZgBhAGMAaQBsAGkAdAB5AFwAIgApADsAXABuAFwAbgBWAEUARQBSAEcAXwAxADUAXwAxADMAXwAxAF8AMwBfAF8AMQBfAEUAbQBpAHMAcwBpAG8AbgBzAEYAcgBvAG0AUwBvAGwAaQBkAFcAYQBzAHQAZQBUAHIAZQBhAHQAbQBlAG4AdABGAGEAYwBpAGwAaQB0AHkAXwBWAGEAcgBpAGEAYgBsAGUAXABuACAAIAA9AEwAQQBNAEIARABBACgAXAAiAEUAXAAiACkAOwBcAG4AXABuAFYARQBFAFIARwBfADEANQBfADEAMwBfADEAXwAzAF8AXwAxAF8ARQBtAGkAcwBzAGkAbwBuAHMARgByAG8AbQBTAG8AbABpAGQAVwBhAHMAdABlAFQAcgBlAGEAdABtAGUAbgB0AEYAYQBjAGkAbABpAHQAeQBfAFUAbgBpAHQAXABuACAAIAA9AEwAQQBNAEIARABBACgAXAAiAHQAIABDAE8AMgBlAFwAIgApADsAXABuAFwAbgBWAEUARQBSAEcAXwAxADUAXwAxADMAXwAxAF8AMwBfAF8AMQBfAEUAbQBpAHMAcwBpAG8AbgBzAEYAcgBvAG0AUwBvAGwAaQBkAFcAYQBzAHQAZQBUAHIAZQBhAHQAbQBlAG4AdABGAGEAYwBpAGwAaQB0AHkAXwBTAG8AdQByAGMAZQBcAG4AIAAgAD0ATABBAE0AQgBEAEEAKABcACIAVgBFAEUAUgBHACAAMgAwADIANgA6ACAAMQA1AC4AMQAzAC4AMQAuADMAXAAiACkAOwBcAG4AXABuAFYARQBFAFIARwBfADEANQBfADEAMwBfADEAXwAzAF8AXwAxAF8ARQBtAGkAcwBzAGkAbwBuAHMARgByAG8AbQBTAG8AbABpAGQAVwBhAHMAdABlAFQAcgBlAGEAdABtAGUAbgB0AEYAYQBjAGkAbABpAHQAeQBfAE4ASQBSAFIAZQBmAGUAcgBlAG4AYwBlAFwAbgAgACAAPQBMAEEATQBCAEQAQQAoAFwAIgBcACIAKQA7AFwAbgBcAG4AVgBFAEUAUgBHAF8AMQA1AF8AMQAzAF8AMQBfADMAXwBfADEAXwBFAG0AaQBzAHMAaQBvAG4AcwBGAHIAbwBtAFMAbwBsAGkAZABXAGEAcwB0AGUAVAByAGUAYQB0AG0AZQBuAHQARgBhAGMAaQBsAGkAdAB5AF8ATABhAHQAZQB4AEUAcQB1AGEAdABpAG8AbgBcAG4AIAAgAD0ATABBAE0AQgBEAEEAKABcACIAXAAiACkAOwBcAG4AXABuAFYARQBFAFIARwBfADEANQBfADEAMwBfADEAXwAzAF8AXwAxAF8ARQBtAGkAcwBzAGkAbwBuAHMARgByAG8AbQBTAG8AbABpAGQAVwBhAHMAdABlAFQAcgBlAGEAdABtAGUAbgB0AEYAYQBjAGkAbABpAHQAeQBfAEEAcgBnAHUAbQBlAG4AdABzAFwAbgAgACAAPQBMAEEATQBCAEQAQQAoAFwAIgBcACIAKQA7AFwAbgBcAG4AXABuAC8AKgBcAG4ALQAtAC0ALQAtAC0ALQAtAC0ALQAtAC0ALQAtAC0ALQAtAC0ALQAtAC0ALQAtAC0ALQAtAC0ALQAtAC0ALQAtAC0ALQAtAC0ALQAtAFwAbgBWAEUARQBSAEcAXwAxADUAXwAxADQAXwAxAF8AMQBfAF8AMQBfAEUAbQBiAGUAZABkAGUAZABFAG0AaQBzAHMAaQBvAG4AcwBGAHIAbwBtAFUAcABzAHQAcgBlAGEAbQBGAHIAZQBpAGcAaAB0AFwAbgBFAG0AYgBlAGQAZABlAGQAIABlAG0AaQBzAHMAaQBvAG4AcwAgAGYAcgBvAG0AIAB1AHAAcwB0AHIAZQBhAG0AIABmAHIAZQBpAGcAaAB0AFwAbgBFAFwAbgB0ACAAQwBPADIAZQBcAG4ARQA9AFwAXABzAHUAbQBcAFwAbgBvAGwAaQBtAGkAdABzAF8AZgBcAFwAbABlAGYAdAAoACgAVwBfAGYAXABcAHQAaQBtAGUAcwAgAEQAXwBmACkAXABcAHQAaQBtAGUAcwAgAEUARgBfAGYAXABcAHIAaQBnAGgAdAApAFwAbgBXAF8AZgAgAD0AIAB0AG8AdABhAGwAIABtAGEAcwBzACAAbwBmACAAZwBvAG8AZABzACAAdAByAGEAbgBzAHAAbwByAHQAZQBkACAAcABlAHIAIABmAHIAZQBpAGcAaAB0ACAAdAB5AHAAZQAgAGYAXABuAEQAXwBmACAAPQAgAHQAbwB0AGEAbAAgAGQAaQBzAHQAYQBuAGMAZQAgAHQAcgBhAG4AcwBwAG8AcgB0AGUAZAAgAHAAZQByACAAZgByAGUAaQBnAGgAdAAgAHQAeQBwAGUAIABmAFwAbgBFAEYAXwBmACAAPQAgAGUAbQBpAHMAcwBpAG8AbgAgAGYAYQBjAHQAbwByACAAZgBvAHIAIABmAHIAZQBpAGcAaAB0ACAAdAB5AHAAZQAgAGYAXABuAC0ALQAtAC0ALQAtAC0ALQAtAC0ALQAtAC0ALQAtAC0ALQAtAC0ALQAtAC0ALQAtAC0ALQAtAC0ALQAtAC0ALQAtAC0ALQAtAC0ALQBcAG4AKgAvAFwAbgBcAG4AVgBFAEUAUgBHAF8AMQA1AF8AMQA0AF8AMQBfADEAXwBfADEAXwBFAG0AYgBlAGQAZABlAGQARQBtAGkAcwBzAGkAbwBuAHMARgByAG8AbQBVAHAAcwB0AHIAZQBhAG0ARgByAGUAaQBnAGgAdABcAG4AIAAgAD0ATABBAE0AQgBEAEEAKABcAG4AIAAgACAAIABXAF8AZgAsACAARABfAGYALAAgAEUARgBfAGYALABcAG4AIAAgACAAIAAoAFcAXwBmACAAKgAgAEQAXwBmACkAIAAqACAARQBGAF8AZgBcAG4AIAAgACkAOwBcAG4AXABuAFYARQBFAFIARwBfADEANQBfADEANABfADEAXwAxAF8AXwAxAF8ARQBtAGIAZQBkAGQAZQBkAEUAbQBpAHMAcwBpAG8AbgBzAEYAcgBvAG0AVQBwAHMAdAByAGUAYQBtAEYAcgBlAGkAZwBoAHQAXwBUAGkAdABsAGUAXABuACAAIAA9AEwAQQBNAEIARABBACgAXAAiAEUAbQBiAGUAZABkAGUAZAAgAGUAbQBpAHMAcwBpAG8AbgBzACAAZgByAG8AbQAgAHUAcABzAHQAcgBlAGEAbQAgAGYAcgBlAGkAZwBoAHQAXAAiACkAOwBcAG4AXABuAFYARQBFAFIARwBfADEANQBfADEANABfADEAXwAxAF8AXwAxAF8ARQBtAGIAZQBkAGQAZQBkAEUAbQBpAHMAcwBpAG8AbgBzAEYAcgBvAG0AVQBwAHMAdAByAGUAYQBtAEYAcgBlAGkAZwBoAHQAXwBWAGEAcgBpAGEAYgBsAGUAXABuACAAIAA9AEwAQQBNAEIARABBACgAXAAiAEUAXAAiACkAOwBcAG4AXABuAFYARQBFAFIARwBfADEANQBfADEANABfADEAXwAxAF8AXwAxAF8ARQBtAGIAZQBkAGQAZQBkAEUAbQBpAHMAcwBpAG8AbgBzAEYAcgBvAG0AVQBwAHMAdAByAGUAYQBtAEYAcgBlAGkAZwBoAHQAXwBVAG4AaQB0AFwAbgAgACAAPQBMAEEATQBCAEQAQQAoAFwAIgB0ACAAQwBPADIAZQBcACIAKQA7AFwAbgBcAG4AVgBFAEUAUgBHAF8AMQA1AF8AMQA0AF8AMQBfADEAXwBfADEAXwBFAG0AYgBlAGQAZABlAGQARQBtAGkAcwBzAGkAbwBuAHMARgByAG8AbQBVAHAAcwB0AHIAZQBhAG0ARgByAGUAaQBnAGgAdABfAFMAbwB1AHIAYwBlAFwAbgAgACAAPQBMAEEATQBCAEQAQQAoAFwAIgBWAEUARQBSAEcAIAAyADAAMgA2ADoAIAAxADUALgAxADQALgAxAC4AMQAsACAARQBxAHUAYQB0AGkAbwBuACAAKAAxACkAXAAiACkAOwBcAG4AXABuAFYARQBFAFIARwBfADEANQBfADEANABfADEAXwAxAF8AXwAxAF8ARQBtAGIAZQBkAGQAZQBkAEUAbQBpAHMAcwBpAG8AbgBzAEYAcgBvAG0AVQBwAHMAdAByAGUAYQBtAEYAcgBlAGkAZwBoAHQAXwBOAEkAUgBSAGUAZgBlAHIAZQBuAGMAZQBcAG4AIAAgAD0ATABBAE0AQgBEAEEAKABcACIAXAAiACkAOwBcAG4AXABuAFYARQBFAFIARwBfADEANQBfADEANABfADEAXwAxAF8AXwAxAF8ARQBtAGIAZQBkAGQAZQBkAEUAbQBpAHMAcwBpAG8AbgBzAEYAcgBvAG0AVQBwAHMAdAByAGUAYQBtAEYAcgBlAGkAZwBoAHQAXwBMAGEAdABlAHgARQBxAHUAYQB0AGkAbwBuAFwAbgAgACAAPQBMAEEATQBCAEQAQQAoAFwAIgBFAD0AXABcAHMAdQBtAFwAXABuAG8AbABpAG0AaQB0AHMAXwBmAFwAXABsAGUAZgB0ACgAKABXAF8AZgBcAFwAdABpAG0AZQBzACAARABfAGYAKQBcAFwAdABpAG0AZQBzACAARQBGAF8AZgBcAFwAcgBpAGcAaAB0ACkAXAAiACkAOwBcAG4AXABuAFYARQBFAFIARwBfADEANQBfADEANABfADEAXwAxAF8AXwAxAF8ARQBtAGIAZQBkAGQAZQBkAEUAbQBpAHMAcwBpAG8AbgBzAEYAcgBvAG0AVQBwAHMAdAByAGUAYQBtAEYAcgBlAGkAZwBoAHQAXwBBAHIAZwB1AG0AZQBuAHQAcwBcAG4AIAAgAD0ATABBAE0AQgBEAEEAKABcAG4AIAAgACAAIABNAEEASwBFAEEAUgBSAEEAWQAoADQALAAgADQALABcAG4AIAAgACAAIAAgACAATABBAE0AQgBEAEEAKAByACwAYwAsAFwAbgAgACAAIAAgACAAIAAgACAASQBOAEQARQBYACgAewBcAG4AIAAgACAAIAAgACAAIAAgACAAIABcACIAVwBfAGYAXAAiACwAIABcACIAdABvAHQAYQBsACAAbQBhAHMAcwAgAG8AZgAgAGcAbwBvAGQAcwAgAHQAcgBhAG4AcwBwAG8AcgB0AGUAZAAgAHAAZQByACAAZgByAGUAaQBnAGgAdAAgAHQAeQBwAGUAIABmAFwAIgAsACAAXAAiAHQAXAAiACwAIABcACIASQBuAHAAdQB0AFwAIgA7AFwAbgAgACAAIAAgACAAIAAgACAAIAAgAFwAIgBEAF8AZgBcACIALAAgAFwAIgB0AG8AdABhAGwAIABkAGkAcwB0AGEAbgBjAGUAIAB0AHIAYQBuAHMAcABvAHIAdABlAGQAIABwAGUAcgAgAGYAcgBlAGkAZwBoAHQAIAB0AHkAcABlACAAZgBcACIALAAgAFwAIgBrAG0AXAAiACwAIABcACIASQBuAHAAdQB0AFwAIgA7AFwAbgAgACAAIAAgACAAIAAgACAAIAAgAFwAIgBFAEYAXwBmAFwAIgAsACAAXAAiAGUAbQBpAHMAcwBpAG8AbgAgAGYAYQBjAHQAbwByACAAZgBvAHIAIABmAHIAZQBpAGcAaAB0ACAAdAB5AHAAZQAgAGYAXAAiACwAIABcACIAdAAgAEMATwAyAGUALwAoAHQAIABrAG0AKQBcACIALAAgAFwAIgBDAG8AbgBzAHQAYQBuAHQAXAAiADsAXABuACAAIAAgACAAIAAgACAAIAAgACAAXAAiAGYAXAAiACwAIABcACIAZgByAGUAaQBnAGgAdAAgAHQAeQBwAGUAXAAiACwAIABcACIAXAAiACwAIABcACIASQBuAHAAdQB0AFwAIgBcAG4AIAAgACAAIAAgACAAIAAgAH0ALAAgAHIALAAgAGMAKQBcAG4AIAAgACAAIAAgACAAKQBcAG4AIAAgACAAIAApAFwAbgAgACAAKQA7AFwAbgAiAH0ALAB7ACIAcABhAHQAaAAiADoAIgAvAHAAcgBvAGoAZQBjAHQAcwAvAEYAdQBlAGwAXwBFAHEAdQBhAHQAaQBvAG4AcwAiACwAIgB0AGUAeAB0ACIAOgAiAC8AKgBcAG4APQA9AD0APQA9AD0APQA9AD0APQA9AD0APQA9AD0APQA9AD0APQA9AD0APQA9AD0APQA9AD0APQA9AD0APQA9AD0APQA9AD0APQA9AFwAbgA4ADoAIABGAHUAZQBsACAAVQBzAGUAXABuAD0APQA9AD0APQA9AD0APQA9AD0APQA9AD0APQA9AD0APQA9AD0APQA9AD0APQA9AD0APQA9AD0APQA9AD0APQA9AD0APQA9AD0APQBcAG4AOAAuADEAIABGAHUAZQBsACAAVQBzAGUAIAAtACAAVAByAGEAbgBzAHAAbwByAHQAIABmAHUAZQBsAFwAbgA9AD0APQA9AD0APQA9AD0APQA9AD0APQA9AD0APQA9AD0APQA9AD0APQA9AD0APQA9AD0APQA9AD0APQA9AD0APQA9AD0APQA9AD0AXABuACoALwBcAG4AXABuAFwAbgBWAEUARQBSAEcAXwA4AF8ARgB1AGUAbABDAG8AbQBiAHUAcwB0AGkAbwBuAFwAbgAgACAAPQBMAEEATQBCAEQAQQAoAFwAbgAgACAAIAAgAFEALAAgAEUAQwAsACAARQBGACwAXABuACAAIAAgACAAKABRACAAKgAgAEUAQwAgACoAIABFAEYAKQAgACoAIAAxADAAIABeACAALQAgADMAXABuACAAIAApAFwAbgA7AFwAbgBcAG4ALwAqACAAXABuAC0ALQAtAC0ALQAtAC0ALQAtAC0ALQAtAC0ALQAtAC0ALQAtAC0ALQAtAC0ALQAtAC0ALQAtAC0ALQAtAC0ALQAtAC0ALQAtAC0ALQBcAG4AVgBFAEUAUgBHAF8AOABfADEAXwAxAF8AMQBfAF8AMQBfAEYAdQBlAGwAQwBvAG0AYgB1AHMAdABpAG8AbgBUAHIAYQBuAHMAcABvAHIAdABcAG4ARQBtAGkAcwBzAGkAbwBuAHMAIABmAG8AcgAgAGUAYQBjAGgAIABHAEgARwAgAGYAcgBvAG0AIAB0AGgAZQAgAGMAbwBtAGIAdQBzAHQAaQBvAG4AIABvAGYAIABmAHUAZQBsAHMAIABmAG8AcgAgAHQAcgBhAG4AcwBwAG8AcgB0ACAAZQBuAGUAcgBnAHkAIABwAHUAcgBwAG8AcwBlAHMAXABuAFEAIAA6ACAAQQBtAG8AdQBuAHQAIABvAGYAIABmAHUAZQBsACAAdAB5AHAAZQAgAHEAIABjAG8AbQBiAHUAcwB0AGUAZAAgAGYAbwByACAAdAByAGEAbgBzAHAAbwByAHQAIABlAG4AZQByAGcAeQAgAHAAdQByAHAAbwBzAGUAcwAgADoAIABrAEwAXABuAEUAQwAgADoAIABlAG4AZQByAGcAeQAgAGMAbwBuAHQAZQBuAHQAIABmAGEAYwB0AG8AcgAgAGYAbwByACAAdAByAGEAbgBzAHAAbwByAHQAIABlAG4AZQByAGcAeQAgAHAAdQByAHAAbwBzAGUAcwAgADoAIABHAEoALwBrAEwAXABuAEUARgAgADoAIABTAGMAbwBwAGUAIAAxACAAZQBtAGkAcwBzAGkAbwBuACAAZgBhAGMAdABvAHIAIABmAG8AcgAgAHQAcgBhAG4AcwBwAG8AcgB0ACAAZQBuAGUAcgBnAHkAIABwAHUAcgBwAG8AcwBlAHMAIABmAG8AcgAgAGUAYQBjAGgAIABnAHIAZQBlAG4AaABvAHUAcwBlACAAZwBhAHMAIAA6ACAAawBnACAAQwBPADIAZQAgAC8AIABHAEoAXABuAC0ALQAtAC0ALQAtAC0ALQAtAC0ALQAtAC0ALQAtAC0ALQAtAC0ALQAtAC0ALQAtAC0ALQAtAC0ALQAtAC0ALQAtAC0ALQAtAC0ALQBcAG4AKgAvAFwAbgBcAG4AXABuAFYARQBFAFIARwBfADgAXwAxAF8AMQBfADEAXwBfADEAXwBGAHUAZQBsAEMAbwBtAGIAdQBzAHQAaQBvAG4AVAByAGEAbgBzAHAAbwByAHQAXABuACAAIAA9AEwAQQBNAEIARABBACgAXABuACAAIAAgACAAUQBfAFQAcgBhAG4AcwB0AHEALAAgAEUAQwBfAFQAcgBhAG4AcwBxACwAIABFAEYAXwBUAHIAYQBuAHMAMQB0AHEAZwAsAFwAbgAgACAAIAAgAFYARQBFAFIARwBfADgAXwBGAHUAZQBsAEMAbwBtAGIAdQBzAHQAaQBvAG4AKABRAF8AVAByAGEAbgBzAHQAcQAsACAARQBDAF8AVAByAGEAbgBzAHEALAAgAEUARgBfAFQAcgBhAG4AcwAxAHQAcQBnACkAXABuACAAIAApAFwAbgA7AFwAbgBcAG4AVgBFAEUAUgBHAF8AOABfADEAXwAxAF8AMQBfAF8AMQBfAEYAdQBlAGwAQwBvAG0AYgB1AHMAdABpAG8AbgBUAHIAYQBuAHMAcABvAHIAdABfAFQAaQB0AGwAZQBcAG4AIAAgAD0ATABBAE0AQgBEAEEAKABcACIARQBtAGkAcwBzAGkAbwBuAHMAIABmAG8AcgAgAGUAYQBjAGgAIABHAEgARwAgAGYAcgBvAG0AIAB0AGgAZQAgAGMAbwBtAGIAdQBzAHQAaQBvAG4AIABvAGYAIABmAHUAZQBsAHMAIABmAG8AcgAgAHQAcgBhAG4AcwBwAG8AcgB0ACAAZQBuAGUAcgBnAHkAIABwAHUAcgBwAG8AcwBlAHMAXAAiACkAOwBcAG4AXABuAFYARQBFAFIARwBfADgAXwAxAF8AMQBfADEAXwBfADEAXwBGAHUAZQBsAEMAbwBtAGIAdQBzAHQAaQBvAG4AVAByAGEAbgBzAHAAbwByAHQAXwBWAGEAcgBpAGEAYgBsAGUAXABuACAAIAA9AEwAQQBNAEIARABBACgAXAAiAEUAXwBnAFwAIgApADsAXABuAFwAbgBWAEUARQBSAEcAXwA4AF8AMQBfADEAXwAxAF8AXwAxAF8ARgB1AGUAbABDAG8AbQBiAHUAcwB0AGkAbwBuAFQAcgBhAG4AcwBwAG8AcgB0AF8AVQBuAGkAdABcAG4AIAAgAD0ATABBAE0AQgBEAEEAKABcACIAdAAgAEMATwAyAC0AZQBcACIAKQA7AFwAbgBcAG4AVgBFAEUAUgBHAF8AOABfADEAXwAxAF8AMQBfAF8AMQBfAEYAdQBlAGwAQwBvAG0AYgB1AHMAdABpAG8AbgBUAHIAYQBuAHMAcABvAHIAdABfAFMAbwB1AHIAYwBlAFwAbgAgACAAPQBMAEEATQBCAEQAQQAoAFwAIgBWAEUARQBSAEcAIAAyADAAMgA2ADoAIAA4AC4AMQAuADEALgAxACwAIABFAHEAdQBhAHQAaQBvAG4AIAAoADEAKQBcACIAKQA7AFwAbgBcAG4AVgBFAEUAUgBHAF8AOABfADEAXwAxAF8AMQBfAF8AMQBfAEYAdQBlAGwAQwBvAG0AYgB1AHMAdABpAG8AbgBUAHIAYQBuAHMAcABvAHIAdABfAE4ASQBSAFIAZQBmAGUAcgBlAG4AYwBlAFwAbgAgACAAPQBMAEEATQBCAEQAQQAoAFwAIgBBAHUAcwB0AHIAYQBsAGkAYQBuACAATgBhAHQAaQBvAG4AYQBsACAARwByAGUAZQBuAGgAbwB1AHMAZQAgAEEAYwBjAG8AdQBuAHQAcwAgAEYAYQBjAHQAbwByAHMAIAAyADAAMgA1ACAALQAgADIALgAzACAARQBzAHQAaQBtAGEAdABpAG4AZwAgAGUAbQBpAHMAcwBpAG8AbgBzACAAZgByAG8AbQAgAHQAcgBhAG4AcwBwAG8AcgB0ACAAZgB1AGUAbABzAFwAIgApADsAXABuAFwAbgBWAEUARQBSAEcAXwA4AF8AMQBfADEAXwAxAF8AXwAxAF8ARgB1AGUAbABDAG8AbQBiAHUAcwB0AGkAbwBuAFQAcgBhAG4AcwBwAG8AcgB0AF8ATABhAHQAZQB4AEUAcQB1AGEAdABpAG8AbgBcAG4AIAAgAD0ATABBAE0AQgBEAEEAKABcACIARQBfAGcAPQBcAFwAcwB1AG0AXABcAG4AbwBsAGkAbQBpAHQAcwBfAHQAIABcAFwAcwB1AG0AXABcAG4AbwBsAGkAbQBpAHQAcwBfAHEAXABcAGwAZQBmAHQAKABRAF8AewBUAHIAYQBuAHMALAB0AHEAfQBcAFwAdABpAG0AZQBzACAARQBDAF8AewBUAHIAYQBuAHMALABxAH0AXABcAHQAaQBtAGUAcwAgAEUARgBfAHsAVAByAGEAbgBzACwAMQAsAHQAcQBnAH0AXABcAHIAaQBnAGgAdAApAFwAXAB0AGkAbQBlAHMAIAAxADAAXgB7AC0AMwB9AFwAIgApADsAXABuAFwAbgBWAEUARQBSAEcAXwA4AF8AMQBfADEAXwAxAF8AXwAxAF8ARgB1AGUAbABDAG8AbQBiAHUAcwB0AGkAbwBuAFQAcgBhAG4AcwBwAG8AcgB0AF8AQQByAGcAdQBtAGUAbgB0AHMAXABuACAAIAA9AEwAQQBNAEIARABBACgAXABuACAAIAAgACAATQBBAEsARQBBAFIAUgBBAFkAKAA3ACwAIAA0ACwAIABcAG4AIAAgACAAIAAgACAATABBAE0AQgBEAEEAKAByACwAYwAsACAAXABuACAAIAAgACAAIAAgACAAIABJAE4ARABFAFgAKAB7AFwAbgAgACAAIAAgACAAIAAgACAAIAAgAFwAIgBRAF8AVAByAGEAbgBzAHQAcQBcACIALAAgAFwAIgBBAG0AbwB1AG4AdAAgAG8AZgAgAGYAdQBlAGwAIAB0AHkAcABlACAAcQAgAGMAbwBtAGIAdQBzAHQAZQBkACAAZgBvAHIAIAB0AHIAYQBuAHMAcABvAHIAdAAgAGUAbgBlAHIAZwB5ACAAcAB1AHIAcABvAHMAZQBzAFwAIgAsACAAXAAiAFYAYQByAGkAZQBzACAAYgBhAHMAZQBkACAAbwBuACAAZgB1AGUAbAAgAHQAeQBwAGUAOgAgAGsATAAsACAAbQAzACwAIABHAEoAXAAiACwAIABcACIASQBuAHAAdQB0AFwAIgA7AFwAbgAgACAAIAAgACAAIAAgACAAIAAgAFwAIgBFAEMAXwBUAHIAYQBuAHMAcQBcACIALAAgAFwAIgBFAG4AZQByAGcAeQAgAGMAbwBuAHQAZQBuAHQAIABmAGEAYwB0AG8AcgAgAGYAbwByACAAdAByAGEAbgBzAHAAbwByAHQAIABlAG4AZQByAGcAeQAgAHAAdQByAHAAbwBzAGUAcwBcACIALAAgAFwAIgBHAEoAIAAvACAAdQBuAGkAdAAgAG8AZgAgAGYAdQBlAGwAXAAiACwAIABcACIAQwBvAG4AcwB0AGEAbgB0AFwAIgA7AFwAbgAgACAAIAAgACAAIAAgACAAIAAgAFwAIgBFAEYAXwBUAHIAYQBuAHMAMQB0AHEAZwBcACIALAAgAFwAIgBTAGMAbwBwAGUAIAAxACAAZQBtAGkAcwBzAGkAbwBuACAAZgBhAGMAdABvAHIAIABmAG8AcgAgAHQAcgBhAG4AcwBwAG8AcgB0ACAAZQBuAGUAcgBnAHkAIABwAHUAcgBwAG8AcwBlAHMAIABmAG8AcgAgAGUAYQBjAGgAIABnAHIAZQBlAG4AaABvAHUAcwBlACAAZwBhAHMAXAAiACwAIABcACIAawBnACAAQwBPADIAZQAgAC8AIABHAEoAXAAiACwAIABcACIAQwBvAG4AcwB0AGEAbgB0AFwAIgA7AFwAbgAgACAAIAAgACAAIAAgACAAIAAgAFwAIgBxAFwAIgAsACAAXAAiAEYAdQBlAGwAIAB0AHkAcABlAFwAIgAsACAAXAAiAFwAIgAsACAAXAAiAEMAbwBuAHMAdABhAG4AdABcACIAOwBcAG4AIAAgACAAIAAgACAAIAAgACAAIABcACIAVAByAGEAbgBzAFwAIgAsACAAXAAiAFQAcgBhAG4AcwBwAG8AcgB0ACAAYwBvAG0AYgB1AHMAdABpAG8AbgBcACIALAAgAFwAIgBcACIALAAgAFwAIgBDAG8AbgBzAHQAYQBuAHQAXAAiADsAXABuACAAIAAgACAAIAAgACAAIAAgACAAXAAiAGcAXAAiACwAIABcACIARwByAGUAZQBuAGgAbwB1AHMAZQAgAGcAYQBzAFwAIgAsACAAXAAiAFwAIgAsACAAXAAiAEMAbwBuAHMAdABhAG4AdABcACIAOwBcAG4AIAAgACAAIAAgACAAIAAgACAAIABcACIAMQBcACIALAAgAFwAIgBTAGMAbwBwAGUAIAAxAFwAIgAsACAAXAAiAFwAIgAsACAAXAAiAEMAbwBuAHMAdABhAG4AdABcACIAXABuACAAIAAgACAAIAAgACAAIAB9ACwAIAByACwAIABjACkAXABuACAAIAAgACAAIAAgACkAXABuACAAIAAgACAAKQBcAG4AIAAgACkAOwBcAG4AXABuAC8AKgAgAFwAbgAtAC0ALQAtAC0ALQAtAC0ALQAtAC0ALQAtAC0ALQAtAC0ALQAtAC0ALQAtAC0ALQAtAC0ALQAtAC0ALQAtAC0ALQAtAC0ALQAtAC0AXABuAFYARQBFAFIARwBfADgAXwAyAF8AMQBfADEAXwBfADEAXwBGAHUAZQBsAEMAbwBtAGIAdQBzAHQAaQBvAG4AUwB0AGEAdABpAG8AbgBhAHIAeQBcAG4ARQBtAGkAcwBzAGkAbwBuAHMAIABmAG8AcgAgAGUAYQBjAGgAIABHAEgARwAgAGYAcgBvAG0AIAB0AGgAZQAgAHMAdABhAHQAaQBvAG4AYQByAHkAIABjAG8AbQBiAHUAcwB0AGkAbwBuACAAbwBmACAAZgB1AGUAbABzAFwAbgBRACAAOgAgAEEAbQBvAHUAbgB0ACAAbwBmACAAZgB1AGUAbAAgAHQAeQBwAGUAIABxACAAdQBzAGUAZAAgAGYAbwByACAAcwB0AGEAdABpAG8AbgBhAHIAeQAgAGMAbwBtAGIAdQBzAHQAaQBvAG4AIABvAHAAZQByAGEAdABpAG8AbgBzACAAOgAgAGsATABcAG4ARQBDACAAOgAgAEUAbgBlAHIAZwB5ACAAYwBvAG4AdABlAG4AdAAgAGYAYQBjAHQAbwByACAAZgBvAHIAIABzAHQAYQB0AGkAbwBuAGEAcgB5ACAAYwBvAG0AYgB1AHMAdABpAG8AbgAgAG8AcABlAHIAYQB0AGkAbwBuAHMAIAA6ACAARwBKAC8AawBMAFwAbgBFAEYAIAA6ACAAUwBjAG8AcABlACAAMQAgAGUAbQBpAHMAcwBpAG8AbgAgAGYAYQBjAHQAbwByACAAZgBvAHIAIABzAHQAYQB0AGkAbwBuAGEAcgB5ACAAYwBvAG0AYgB1AHMAdABpAG8AbgAgAGYAbwByACAAZQBhAGMAaAAgAGcAcgBlAGUAbgBoAG8AdQBzAGUAIABnAGEAcwAgADoAIABrAGcAIABDAE8AMgBlACAALwAgAEcASgBcAG4ALQAtAC0ALQAtAC0ALQAtAC0ALQAtAC0ALQAtAC0ALQAtAC0ALQAtAC0ALQAtAC0ALQAtAC0ALQAtAC0ALQAtAC0ALQAtAC0ALQAtAFwAbgAqAC8AXABuAFwAbgBcAG4AVgBFAEUAUgBHAF8AOABfADIAXwAxAF8AMQBfAF8AMQBfAEYAdQBlAGwAQwBvAG0AYgB1AHMAdABpAG8AbgBTAHQAYQB0AGkAbwBuAGEAcgB5AFwAbgAgACAAPQBMAEEATQBCAEQAQQAoAFwAbgAgACAAIAAgAFEAXwBTAEMAcQAsACAARQBDAF8AUwBDAHEALAAgAEUARgBfAFMAQwAxAHEAZwAsAFwAbgAgACAAIAAgAFYARQBFAFIARwBfADgAXwBGAHUAZQBsAEMAbwBtAGIAdQBzAHQAaQBvAG4AKABRAF8AUwBDAHEALAAgAEUAQwBfAFMAQwBxACwAIABFAEYAXwBTAEMAMQBxAGcAKQBcAG4AIAAgACkAXABuADsAXABuAFwAbgBWAEUARQBSAEcAXwA4AF8AMgBfADEAXwAxAF8AXwAxAF8ARgB1AGUAbABDAG8AbQBiAHUAcwB0AGkAbwBuAFMAdABhAHQAaQBvAG4AYQByAHkAXwBUAGkAdABsAGUAXABuACAAIAA9AEwAQQBNAEIARABBACgAXAAiAEUAbQBpAHMAcwBpAG8AbgBzACAAZgBvAHIAIABlAGEAYwBoACAARwBIAEcAIABmAHIAbwBtACAAdABoAGUAIABzAHQAYQB0AGkAbwBuAGEAcgB5ACAAYwBvAG0AYgB1AHMAdABpAG8AbgAgAG8AZgAgAGYAdQBlAGwAcwBcACIAKQA7AFwAbgBcAG4AVgBFAEUAUgBHAF8AOABfADIAXwAxAF8AMQBfAF8AMQBfAEYAdQBlAGwAQwBvAG0AYgB1AHMAdABpAG8AbgBTAHQAYQB0AGkAbwBuAGEAcgB5AF8AVgBhAHIAaQBhAGIAbABlAFwAbgAgACAAPQBMAEEATQBCAEQAQQAoAFwAIgBFAF8AZwBcACIAKQA7AFwAbgBcAG4AVgBFAEUAUgBHAF8AOABfADIAXwAxAF8AMQBfAF8AMQBfAEYAdQBlAGwAQwBvAG0AYgB1AHMAdABpAG8AbgBTAHQAYQB0AGkAbwBuAGEAcgB5AF8AVQBuAGkAdABcAG4AIAAgAD0ATABBAE0AQgBEAEEAKABcACIAdAAgAEMATwAyAC0AZQBcACIAKQA7AFwAbgBcAG4AVgBFAEUAUgBHAF8AOABfADIAXwAxAF8AMQBfAF8AMQBfAEYAdQBlAGwAQwBvAG0AYgB1AHMAdABpAG8AbgBTAHQAYQB0AGkAbwBuAGEAcgB5AF8AUwBvAHUAcgBjAGUAXABuACAAIAA9AEwAQQBNAEIARABBACgAXAAiAFYARQBFAFIARwAgADIAMAAyADYAOgAgADgALgAyAC4AMQAuADEALAAgAEUAcQB1AGEAdABpAG8AbgAgACgAMQApAFwAIgApADsAXABuAFwAbgBWAEUARQBSAEcAXwA4AF8AMgBfADEAXwAxAF8AXwAxAF8ARgB1AGUAbABDAG8AbQBiAHUAcwB0AGkAbwBuAFMAdABhAHQAaQBvAG4AYQByAHkAXwBOAEkAUgBSAGUAZgBlAHIAZQBuAGMAZQBcAG4AIAAgAD0ATABBAE0AQgBEAEEAKABcACIAQQB1AHMAdAByAGEAbABpAGEAbgAgAE4AYQB0AGkAbwBuAGEAbAAgAEcAcgBlAGUAbgBoAG8AdQBzAGUAIABBAGMAYwBvAHUAbgB0AHMAIABGAGEAYwB0AG8AcgBzACAAMgAwADIANQAgAC0AIAAyAC4AMgAgAEUAcwB0AGkAbQBhAHQAaQBuAGcAIABlAG0AaQBzAHMAaQBvAG4AcwAgAGYAcgBvAG0AIABzAHQAYQB0AGkAbwBuAGEAcgB5ACAAZQBuAGUAcgBnAHkAIABzAG8AdQByAGMAZQBzACAALQAgAEMAYQBsAGMAdQBsAGEAdABpAG4AZwAgAGUAbQBpAHMAcwBpAG8AbgBzACAAZgByAG8AbQAgAHMAdABhAHQAaQBvAG4AYQByAHkAIABjAG8AbQBiAHUAcwB0AGkAbwBuACAAbwBmACAAbABpAHEAdQBpAGQAIABmAHUAZQBsAHMAXAAiACkAOwBcAG4AXABuAFYARQBFAFIARwBfADgAXwAyAF8AMQBfADEAXwBfADEAXwBGAHUAZQBsAEMAbwBtAGIAdQBzAHQAaQBvAG4AUwB0AGEAdABpAG8AbgBhAHIAeQBfAEwAYQB0AGUAeABFAHEAdQBhAHQAaQBvAG4AXABuACAAIAA9AEwAQQBNAEIARABBACgAXAAiAEUAXwBnAD0AXABcAHMAdQBtAFwAXABuAG8AbABpAG0AaQB0AHMAXwB0ACAAXABcAHMAdQBtAFwAXABuAG8AbABpAG0AaQB0AHMAXwBxAFwAXABsAGUAZgB0ACgAUQBfAHsAUwBDACwAcQB9AFwAXAB0AGkAbQBlAHMAIABFAEMAXwB7AFMAQwAsAHEAfQBcAFwAdABpAG0AZQBzACAARQBGAF8AewBTAEMALAAxACwAcQBnAH0AXABcAHIAaQBnAGgAdAApAFwAXAB0AGkAbQBlAHMAIAAxADAAXgB7AC0AMwB9AFwAIgApADsAXABuAFwAbgBWAEUARQBSAEcAXwA4AF8AMgBfADEAXwAxAF8AXwAxAF8ARgB1AGUAbABDAG8AbQBiAHUAcwB0AGkAbwBuAFMAdABhAHQAaQBvAG4AYQByAHkAXwBBAHIAZwB1AG0AZQBuAHQAcwBcAG4AIAAgAD0ATABBAE0AQgBEAEEAKABcAG4AIAAgACAAIABNAEEASwBFAEEAUgBSAEEAWQAoADcALAAgADQALAAgAFwAbgAgACAAIAAgACAAIABMAEEATQBCAEQAQQAoAHIALABjACwAIABcAG4AIAAgACAAIAAgACAAIAAgAEkATgBEAEUAWAAoAHsAXABuACAAIAAgACAAIAAgACAAIAAgACAAXAAiAFEAXwBTAEMAcQBcACIALAAgAFwAIgBBAG0AbwB1AG4AdAAgAG8AZgAgAGYAdQBlAGwAIAB0AHkAcABlACAAcQAgAHUAcwBlAGQAIABmAG8AcgAgAHMAdABhAHQAaQBvAG4AYQByAHkAIABjAG8AbQBiAHUAcwB0AGkAbwBuACAAbwBwAGUAcgBhAHQAaQBvAG4AcwBcACIALAAgAFwAIgBWAGEAcgBpAGUAcwAgAGIAYQBzAGUAZAAgAG8AbgAgAGYAdQBlAGwAIAB0AHkAcABlADoAIABrAEwALAAgAG0AMwAsACAARwBKAFwAIgAsACAAXAAiAEkAbgBwAHUAdABcACIAOwBcAG4AIAAgACAAIAAgACAAIAAgACAAIABcACIARQBDAF8AUwBDAHEAXAAiACwAIABcACIARQBuAGUAcgBnAHkAIABjAG8AbgB0AGUAbgB0ACAAZgBhAGMAdABvAHIAIABmAG8AcgAgAHMAdABhAHQAaQBvAG4AYQByAHkAIABjAG8AbQBiAHUAcwB0AGkAbwBuACAAbwBwAGUAcgBhAHQAaQBvAG4AcwBcACIALAAgAFwAIgBHAEoAIAAvACAAdQBuAGkAdAAgAG8AZgAgAGYAdQBlAGwAXAAiACwAIABcACIAQwBvAG4AcwB0AGEAbgB0AFwAIgA7AFwAbgAgACAAIAAgACAAIAAgACAAIAAgAFwAIgBFAEYAXwBTAEMAMQBxAGcAXAAiACwAIABcACIAUwBjAG8AcABlACAAMQAgAGUAbQBpAHMAcwBpAG8AbgAgAGYAYQBjAHQAbwByACAAZgBvAHIAIABzAHQAYQB0AGkAbwBuAGEAcgB5ACAAYwBvAG0AYgB1AHMAdABpAG8AbgAgAGYAbwByACAAZQBhAGMAaAAgAGcAcgBlAGUAbgBoAG8AdQBzAGUAIABnAGEAcwBcACIALAAgAFwAIgBrAGcAIABDAE8AMgBlACAALwAgAEcASgBcACIALAAgAFwAIgBDAG8AbgBzAHQAYQBuAHQAXAAiADsAXABuACAAIAAgACAAIAAgACAAIAAgACAAXAAiAHEAXAAiACwAIABcACIARgB1AGUAbAAgAHQAeQBwAGUAXAAiACwAIABcACIAXAAiACwAIABcACIAQwBvAG4AcwB0AGEAbgB0AFwAIgA7AFwAbgAgACAAIAAgACAAIAAgACAAIAAgAFwAIgBTAEMAXAAiACwAIABcACIAUwB0AGEAdABpAG8AbgBhAHIAeQAgAGMAbwBtAGIAdQBzAHQAaQBvAG4AXAAiACwAIABcACIAXAAiACwAIABcACIAQwBvAG4AcwB0AGEAbgB0AFwAIgA7AFwAbgAgACAAIAAgACAAIAAgACAAIAAgAFwAIgBnAFwAIgAsACAAXAAiAEcAcgBlAGUAbgBoAG8AdQBzAGUAIABnAGEAcwBcACIALAAgAFwAIgBcACIALAAgAFwAIgBDAG8AbgBzAHQAYQBuAHQAXAAiADsAXABuACAAIAAgACAAIAAgACAAIAAgACAAXAAiADEAXAAiACwAIABcACIAUwBjAG8AcABlACAAMQBcACIALAAgAFwAIgBcACIALAAgAFwAIgBDAG8AbgBzAHQAYQBuAHQAXAAiAFwAbgAgACAAIAAgACAAIAAgACAAfQAsACAAcgAsACAAYwApAFwAbgAgACAAIAAgACAAIAApAFwAbgAgACAAIAAgACkAXABuACAAIAApADsAXABuAFwAbgAiAH0ALAB7ACIAcABhAHQAaAAiADoAIgAvAHAAcgBvAGoAZQBjAHQAcwAvAEYAZQByAHQAaQBsAGkAcwBlAHIAXwBFAHEAdQBhAHQAaQBvAG4AcwBfAE8AcgBnAGEAbgBpAGMATgAyAE8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yACAATwByAGcAYQBuAGkAYw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IAXwAxAF8AMQBfAF8AMQBfAE8AcgBnAGEAbgBpAGMARgBlAHIAdABpAGwAaQBzAGUAcgBBAHAAcABsAGkAYwBhAHQAaQBvAG4ATgAyAE8ARQBtAGkAcwBzAGkAbwBuAHMAXABuAE4AaQB0AHIAbwB1AHMAIABvAHgAaQBkAGUAIABlAG0AaQBzAHMAaQBvAG4AcwAgAGYAcgBvAG0AIAB0AGgAZQAgAGEAcABwAGwAaQBjAGEAdABpAG8AbgAgAG8AZgAgAGEAbABsACAAbwByAGcAYQBuAGkAYwAgAGYAZQByAHQAaQBsAGkAcwBlAHIAIAB0AHkAcABlAHMAIABmACAAdABvACAAYQBsAGwAIABwAHIAbwBkAHUAYwB0AGkAbwBuACAAcwB5AHMAdABlAG0AcwAgAGoAXABuAEUAXwBOADIATwBcAG4AdAAgAE4AMgBPAFwAbgBFAF8AewBOADIATwB9AD0AXABcAHMAdQBtAF8AewBqAH0AXABcAHMAdQBtAF8AewBmAH0AKAAoAE0ATgBTAG8AaQBsAF8AewBqAGYAfQBcAFwAdABpAG0AZQBzACAARQBGAF8AewBOADIATwAsAGkAfQBcAFwAdABpAG0AZQBzACAAQwBfAHsATgAyAE8AfQApAFwAXAB0AGkAbQBlAHMAIAAxADAAXgB7AC0AMwB9ACkAXABuAE0ATgBTAG8AaQBsAF8AagBmAFwAbgBFAEYAXwBOADIATwBpAFwAbgBDAF8ATgAyAE8AXABuAGoAXABuAGkAXABuAGYAXABuAC0ALQAtAC0ALQAtAC0ALQAtAC0ALQAtAC0ALQAtAC0ALQAtAC0ALQAtAC0ALQAtAC0ALQAtAC0ALQAtAC0ALQAtAC0ALQAtAC0ALQBcAG4AKgAvAFwAbgBcAG4AVgBFAEUAUgBHAF8ANQBfADIAXwAxAF8AMQBfAF8AMQBfAE8AcgBnAGEAbgBpAGMARgBlAHIAdABpAGwAaQBzAGUAcgBBAHAAcABsAGkAYwBhAHQAaQBvAG4ATgAyAE8ARQBtAGkAcwBzAGkAbwBuAHMAXABuACAAIAA9AEwAQQBNAEIARABBACgAXABuACAAIAAgACAATQBOAFMAbwBpAGwAXwBqAGYALAAgAEUARgBfAE4AMgBPAGkALAAgAEMAXwBOADIATwAsAFwAbgAgACAAIAAgACgATQBOAFMAbwBpAGwAXwBqAGYAIAAqACAARQBGAF8ATgAyAE8AaQAgACoAIABDAF8ATgAyAE8AKQAgACoAIAAxADAAIABeACAALQAzAFwAbgAgACAAKQA7AFwAbgBcAG4AVgBFAEUAUgBHAF8ANQBfADIAXwAxAF8AMQBfAF8AMQBfAE8AcgBnAGEAbgBpAGMARgBlAHIAdABpAGwAaQBzAGUAcgBBAHAAcABsAGkAYwBhAHQAaQBvAG4ATgAyAE8ARQBtAGkAcwBzAGkAbwBuAHMAXwBUAGkAdABsAGUAXABuACAAIAA9AEwAQQBNAEIARABBACgAXAAiAE4AaQB0AHIAbwB1AHMAIABvAHgAaQBkAGUAIABlAG0AaQBzAHMAaQBvAG4AcwAgAGYAcgBvAG0AIAB0AGgAZQAgAGEAcABwAGwAaQBjAGEAdABpAG8AbgAgAG8AZgAgAGEAbABsACAAbwByAGcAYQBuAGkAYwAgAGYAZQByAHQAaQBsAGkAcwBlAHIAIAB0AHkAcABlAHMAIABmACAAdABvACAAYQBsAGwAIABwAHIAbwBkAHUAYwB0AGkAbwBuACAAcwB5AHMAdABlAG0AcwAgAGoAXAAiACkAOwBcAG4AXABuAFYARQBFAFIARwBfADUAXwAyAF8AMQBfADEAXwBfADEAXwBPAHIAZwBhAG4AaQBjAEYAZQByAHQAaQBsAGkAcwBlAHIAQQBwAHAAbABpAGMAYQB0AGkAbwBuAE4AMgBPAEUAbQBpAHMAcwBpAG8AbgBzAF8AVgBhAHIAaQBhAGIAbABlAFwAbgAgACAAPQBMAEEATQBCAEQAQQAoAFwAIgBFAF8ATgAyAE8AXAAiACkAOwBcAG4AXABuAFYARQBFAFIARwBfADUAXwAyAF8AMQBfADEAXwBfADEAXwBPAHIAZwBhAG4AaQBjAEYAZQByAHQAaQBsAGkAcwBlAHIAQQBwAHAAbABpAGMAYQB0AGkAbwBuAE4AMgBPAEUAbQBpAHMAcwBpAG8AbgBzAF8AVQBuAGkAdABcAG4AIAAgAD0ATABBAE0AQgBEAEEAKABcACIAdAAgAE4AMgBPAFwAIgApADsAXABuAFwAbgBWAEUARQBSAEcAXwA1AF8AMgBfADEAXwAxAF8AXwAxAF8ATwByAGcAYQBuAGkAYwBGAGUAcgB0AGkAbABpAHMAZQByAEEAcABwAGwAaQBjAGEAdABpAG8AbgBOADIATwBFAG0AaQBzAHMAaQBvAG4AcwBfAFMAbwB1AHIAYwBlAFwAbgAgACAAPQBMAEEATQBCAEQAQQAoAFwAIgBWAEUARQBSAEcAIAAyADAAMgA2ADoAIAA1AC4AMgAuADEALgAxACwAIABFAHEAdQBhAHQAaQBvAG4AIAAoADEAKQBcACIAKQA7AFwAbgBcAG4AVgBFAEUAUgBHAF8ANQBfADIAXwAxAF8AMQBfAF8AMQBfAE8AcgBnAGEAbgBpAGMARgBlAHIAdABpAGwAaQBzAGUAcgBBAHAAcABsAGkAYwBhAHQAaQBvAG4ATgAyAE8ARQBtAGkAcwBzAGkAbwBuAHMAXwBOAEkAUgBSAGUAZgBlAHIAZQBuAGMAZQBcAG4AIAAgAD0ATABBAE0AQgBEAEEAKABcACIAXAAiACkAOwBcAG4AXABuAFYARQBFAFIARwBfADUAXwAyAF8AMQBfADEAXwBfADEAXwBPAHIAZwBhAG4AaQBjAEYAZQByAHQAaQBsAGkAcwBlAHIAQQBwAHAAbABpAGMAYQB0AGkAbwBuAE4AMgBPAEUAbQBpAHMAcwBpAG8AbgBzAF8ATABhAHQAZQB4AEUAcQB1AGEAdABpAG8AbgBcAG4AIAAgAD0ATABBAE0AQgBEAEEAKABcACIARQBfAHsATgAyAE8AfQA9AFwAXABzAHUAbQBfAHsAagB9AFwAXABzAHUAbQBfAHsAZgB9ACgAKABNAE4AUwBvAGkAbABfAHsAagBmAH0AXABcAHQAaQBtAGUAcwAgAEUARgBfAHsATgAyAE8ALABpAH0AXABcAHQAaQBtAGUAcwAgAEMAXwB7AE4AMgBPAH0AKQBcAFwAdABpAG0AZQBzACAAMQAwAF4AewAtADMAfQApAFwAIgApADsAXABuAFwAbgBWAEUARQBSAEcAXwA1AF8AMgBfADEAXwAxAF8AXwAxAF8ATwByAGcAYQBuAGkAYwBGAGUAcgB0AGkAbABpAHMAZQByAEEAcABwAGwAaQBjAGEAdABpAG8AbgBOADIATwBFAG0AaQBzAHMAaQBvAG4AcwBfAEEAcgBnAHUAbQBlAG4AdABzAFwAbgAgACAAPQBMAEEATQBCAEQAQQAoAFwAbgAgACAAIAAgAE0AQQBLAEUAQQBSAFIAQQBZACgANQAsACAANAAsACAAXABuACAAIAAgACAAIAAgAEwAQQBNAEIARABBACgAcgAsAGMALAAgAFwAbgAgACAAIAAgACAAIAAgACAASQBOAEQARQBYACgAewBcAG4AIAAgACAAIAAgACAAIAAgACAAIABcACIATQBOAFMAbwBpAGwAXwBqAGYAXAAiACwAXAAiAG0AYQBzAHMAIABvAGYAIABuAGkAdAByAG8AZwBlAG4AIABpAG4AIABvAHIAZwBhAG4AaQBjACAAZgBlAHIAdABpAGwAaQBzAGUAcgAgAHQAeQBwAGUAIABmACAAYQBwAHAAbABpAGUAZAAgAHQAbwAgAHAAcgBvAGQAdQBjAHQAaQBvAG4AIABzAHkAcwB0AGUAbQAgAGoAXAAiACwAIABcACIAawBnACAATgBcACIALAAgAFwAIgBDAGEAbABjAHUAbABhAHQAZQBkACAAZgByAG8AbQAgADUALgAyAC4AMQAuADEAIAAoADIAKQBcACIAOwBcAG4AIAAgACAAIAAgACAAIAAgACAAIABcACIARQBGAF8ATgAyAE8AaQBcACIALABcACIAZQBtAGkAcwBzAGkAbwBuACAAZgBhAGMAdABvAHIAIABmAG8AcgAgAGQAaQByAGUAYwB0ACAAbgBpAHQAcgBvAHUAcwAgAG8AeABpAGQAZQAgAGUAbQBpAHMAcwBpAG8AbgBzACAAZgByAG8AbQAgAG8AcgBnAGEAbgBpAGMAIABmAGUAcgB0AGkAbABpAHMAZQByACAAYQBwAHAAbABpAGUAZAAgAHQAbwAgAHMAbwBpAGwAcwAgAGEAbgBkACAAYQBxAHUAYQB0AGkAYwAgAHMAeQBzAHQAZQBtAHMAIABpAG4AIABjAGwAaQBtAGEAdABlACAAegBvAG4AZQAgAGkAXAAiACwAIABcACIAawBnACAATgAyAE8ALQBOAC8AawBnACAATgBcACIALAAgAFwAIgBMAG8AbwBrAHUAc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aQBcACIALABcACIAVwBlAHQAIABvAHIAIABkAHIAeQAgAGMAbABpAG0AYQB0AGU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yAF8AMQBfADEAXwBfADIAXwBNAGEAcwBzAE8AZgBOAGkAdAByAG8AZwBlAG4ASQBuAE8AcgBnAGEAbgBpAGMARgBlAHIAdABpAGwAaQBzAGUAcgBcAG4ATQBhAHMAcwAgAG8AZgAgAG4AaQB0AHIAbwBnAGUAbgAgAGkAbgAgAHAAdQByAGMAaABhAHMAZQBkACAAbwByAGcAYQBuAGkAYwAgAGYAZQByAHQAaQBsAGkAcwBlAHIAcwAgAGEAcABwAGwAaQBlAGQAIAB0AG8AIABwAHIAbwBkAHUAYwB0AGkAbwBuACAAcwB5AHMAdABlAG0AXABuAE0ATgBTAG8AaQBsAF8AagBmAFwAbgBrAGcAIABOAFwAbgBNAE4AUwBvAGkAbABfAHsAagBmAH0APQBNAF8AewBvAHIAZwBhAG4AaQBjACwAagBmAH0AXABcAHQAaQBtAGUAcwAgAEYATgBfAHsAbwByAGcAYQBuAGkAYwAsAGYAfQBcAG4ATQBfAG8AcgBnAGEAbgBpAGMAagBmAFwAbgBGAE4AXwBvAHIAZwBhAG4AaQBjAGYAXABuAGoAXABuAGYAXABuAC0ALQAtAC0ALQAtAC0ALQAtAC0ALQAtAC0ALQAtAC0ALQAtAC0ALQAtAC0ALQAtAC0ALQAtAC0ALQAtAC0ALQAtAC0ALQAtAC0ALQBcAG4AKgAvAFwAbgBcAG4AVgBFAEUAUgBHAF8ANQBfADIAXwAxAF8AMQBfAF8AMgBfAE0AYQBzAHMATwBmAE4AaQB0AHIAbwBnAGUAbgBJAG4ATwByAGcAYQBuAGkAYwBGAGUAcgB0AGkAbABpAHMAZQByAFwAbgAgACAAPQBMAEEATQBCAEQAQQAoAFwAbgAgACAAIAAgAE0AXwBvAHIAZwBhAG4AaQBjAGoAZgAsACAARgBOAF8AbwByAGcAYQBuAGkAYwBmACwAXABuACAAIAAgACAATQBfAG8AcgBnAGEAbgBpAGMAagBmACAAKgAgAEYATgBfAG8AcgBnAGEAbgBpAGMAZgBcAG4AIAAgACkAOwBcAG4AXABuAFYARQBFAFIARwBfADUAXwAyAF8AMQBfADEAXwBfADIAXwBNAGEAcwBzAE8AZgBOAGkAdAByAG8AZwBlAG4ASQBuAE8AcgBnAGEAbgBpAGMARgBlAHIAdABpAGwAaQBzAGUAcgBfAFQAaQB0AGwAZQBcAG4AIAAgAD0ATABBAE0AQgBEAEEAKABcACIATQBhAHMAcwAgAG8AZgAgAG4AaQB0AHIAbwBnAGUAbgAgAGkAbgAgAHAAdQByAGMAaABhAHMAZQBkACAAbwByAGcAYQBuAGkAYwAgAGYAZQByAHQAaQBsAGkAcwBlAHIAcwAgAGEAcABwAGwAaQBlAGQAIAB0AG8AIABwAHIAbwBkAHUAYwB0AGkAbwBuACAAcwB5AHMAdABlAG0AXAAiACkAOwBcAG4AXABuAFYARQBFAFIARwBfADUAXwAyAF8AMQBfADEAXwBfADIAXwBNAGEAcwBzAE8AZgBOAGkAdAByAG8AZwBlAG4ASQBuAE8AcgBnAGEAbgBpAGMARgBlAHIAdABpAGwAaQBzAGUAcgBfAFYAYQByAGkAYQBiAGwAZQBcAG4AIAAgAD0ATABBAE0AQgBEAEEAKABcACIATQBOAFMAbwBpAGwAXwBqAGYAXAAiACkAOwBcAG4AXABuAFYARQBFAFIARwBfADUAXwAyAF8AMQBfADEAXwBfADIAXwBNAGEAcwBzAE8AZgBOAGkAdAByAG8AZwBlAG4ASQBuAE8AcgBnAGEAbgBpAGMARgBlAHIAdABpAGwAaQBzAGUAcgBfAFUAbgBpAHQAXABuACAAIAA9AEwAQQBNAEIARABBACgAXAAiAGsAZwAgAE4AXAAiACkAOwBcAG4AXABuAFYARQBFAFIARwBfADUAXwAyAF8AMQBfADEAXwBfADIAXwBNAGEAcwBzAE8AZgBOAGkAdAByAG8AZwBlAG4ASQBuAE8AcgBnAGEAbgBpAGMARgBlAHIAdABpAGwAaQBzAGUAcgBfAFMAbwB1AHIAYwBlAFwAbgAgACAAPQBMAEEATQBCAEQAQQAoAFwAIgBWAEUARQBSAEcAIAAyADAAMgA2ADoAIAA1AC4AMgAuADEALgAxACwAIABFAHEAdQBhAHQAaQBvAG4AIAAoADIAKQBcACIAKQA7AFwAbgBcAG4AVgBFAEUAUgBHAF8ANQBfADIAXwAxAF8AMQBfAF8AMgBfAE0AYQBzAHMATwBmAE4AaQB0AHIAbwBnAGUAbgBJAG4ATwByAGcAYQBuAGkAYwBGAGUAcgB0AGkAbABpAHMAZQByAF8ATgBJAFIAUgBlAGYAZQByAGUAbgBjAGUAXABuACAAIAA9AEwAQQBNAEIARABBACgAXAAiAFwAIgApADsAXABuAFwAbgBWAEUARQBSAEcAXwA1AF8AMgBfADEAXwAxAF8AXwAyAF8ATQBhAHMAcwBPAGYATgBpAHQAcgBvAGcAZQBuAEkAbgBPAHIAZwBhAG4AaQBjAEYAZQByAHQAaQBsAGkAcwBlAHIAXwBMAGEAdABlAHgARQBxAHUAYQB0AGkAbwBuAFwAbgAgACAAPQBMAEEATQBCAEQAQQAoAFwAIgBNAE4AUwBvAGkAbABfAHsAagBmAH0APQBNAF8AewBvAHIAZwBhAG4AaQBjACwAagBmAH0AXABcAHQAaQBtAGUAcwAgAEYATgBfAHsAbwByAGcAYQBuAGkAYwAsAGYAfQBcACIAKQA7AFwAbgBcAG4AVgBFAEUAUgBHAF8ANQBfADIAXwAxAF8AMQBfAF8AMgBfAE0AYQBzAHMATwBmAE4AaQB0AHIAbwBnAGUAbgBJAG4ATwByAGcAYQBuAGkAYwBGAGUAcgB0AGkAbABpAHMAZQByAF8AQQByAGcAdQBtAGUAbgB0AHMAXABuACAAIAA9AEwAQQBNAEIARABBACgAXABuACAAIAAgACAATQBBAEsARQBBAFIAUgBBAFkAKAAzACwAIAA0ACwAIABcAG4AIAAgACAAIAAgACAATABBAE0AQgBEAEEAKAByACwAYwAsACAAXABuACAAIAAgACAAIAAgACAAIABJAE4ARABFAFgAKAB7AFwAbgAgACAAIAAgACAAIAAgACAAIAAgAFwAIgBNAF8AbwByAGcAYQBuAGkAYwBqAGYAXAAiACwAXAAiAG0AYQBzAHMAIABvAGYAIABvAHIAZwBhAG4AaQBjACAAZgBlAHIAdABpAGwAaQBzAGUAcgAgAHQAeQBwAGUAIABmACAAYQBwAHAAbABpAGUAZAAgAHQAbwAgAHAAcgBvAGQAdQBjAHQAaQBvAG4AIABzAHkAcwB0AGUAbQAgAGoAXAAiACwAIABcACIAawBnAFwAIgAsACAAXAAiAEkAbgBwAHUAdABcACIAOwBcAG4AIAAgACAAIAAgACAAIAAgACAAIABcACIARgBOAF8AbwByAGcAYQBuAGkAYwBmAFwAIgAsAFwAIgBuAGkAdAByAG8AZwBlAG4AIABmAHIAYQBjAHQAaQBvAG4AIABvAGYAIABvAHIAZwBhAG4AaQBjACAAZgBlAHIAdABpAGwAaQBzAGUAcgAgAHQAeQBwAGUAIABmAFwAIgAsACAAXAAiAGsAZwAgAE4ALwBrAGcAXAAiACwAIABcACIASQBuAHAAdQB0AFwAIgA7AFwAbgAgACAAIAAgACAAIAAgACAAIAAgAFwAIgBmAFwAIgAsAFwAIgBPAHIAZwBhAG4AaQBjACAAZgBlAHIAdABpAGwAaQBzAGUAcgAgAHQAeQBwAGUAXAAiACwAIABcACIAXAAiACwAIABcACIASQBuAHAAdQB0AFwAIgBcAG4AIAAgACAAIAAgACAAIAAgAH0ALAAgAHIALAAgAGMAKQBcAG4AIAAgACAAIAAgACAAKQBcAG4AIAAgACAAIAApAFwAbgAgACAAKQA7AFwAbgAiAH0ALAB7ACIAcABhAHQAaAAiADoAIgAvAHAAcgBvAGoAZQBjAHQAcwAvAEYAZQByAHQAaQBsAGkAcwBlAHIAXwBFAHEAdQBhAHQAaQBvAG4AcwBfAEEAdABtAG8AcwBwAGgAZQByAGkAYwBEAGUAcABvAHMAaQB0AGkAbwBu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NAAgAEkAbgBvAHIAZwBhAG4AaQBjACAAZgBlAHIAdABpAGwAaQBzAGUAcgAgAGEAdABtAG8AcwBwAGgAZQByAGkAYwAgAGQAZQBwAG8AcwBp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QAXwAxAF8AMQBfAF8AMQBfAEkAbgBvAHIAZwBhAG4AaQBjAEYAZQByAHQAaQBsAGkAcwBlAHIAQQB0AG0AbwBzAHAAaABlAHIAaQBjAEQAZQBwAG8AcwBpAHQAaQBvAG4ATgAyAE8ARQBtAGkAcwBzAGkAbwBuAHMAXABuAE4AaQB0AHIAbwB1AHMAIABvAHgAaQBkAGUAIABlAG0AaQBzAHMAaQBvAG4AcwAgAGYAcgBvAG0AIABhAHQAbQBvAHMAcABoAGUAcgBpAGMAIABkAGUAcABvAHMAaQB0AGkAbwBuACAAZgByAG8AbQAgAGEAbABsACAAaQBuAG8AcgBnAGEAbgBpAGMAIABmAGUAcgB0AGkAbABpAHMAZQByACAAdAB5AHAAZQBzACAAZgAgAGEAbgBkACAAYQBsAGwAIABwAHIAbwBkAHUAYwB0AGkAbwBuACAAcwB5AHMAdABlAG0AcwAgAGoAXABuAEUAXwBhAGQAaQBuAG8AcgBnAGEAbgBpAGMAXABuAHQAIABOADIATwBcAG4ARQBfAHsAYQBkACwAaQBuAG8AcgBnAGEAbgBpAGMAfQA9AFwAXABzAHUAbQBfAHsAagB9AFwAXABzAHUAbQBfAHsAZgB9ACgAKABNAF8AewB2AG8AbAAsAGkAbgBvAHIAZwBhAG4AaQBjACwAagBmAH0AXABcAHQAaQBtAGUAcwAgAEUARgBfAHsATgAyAE8ALABqAH0AKQBcAFwAdABpAG0AZQBzACAAQwBfAHsATgAyAE8AfQBcAFwAdABpAG0AZQBzACAAMQAwAF4AewAtADMAfQApAFwAbgBNAF8AdgBvAGwAaQBuAG8AcgBnAGEAbgBpAGMAagBmAFwAbgBFAEYAXwBOADIATwBqAFwAbgBDAF8ATgAyAE8AXABuAGoAXABuAGYAXABuAC0ALQAtAC0ALQAtAC0ALQAtAC0ALQAtAC0ALQAtAC0ALQAtAC0ALQAtAC0ALQAtAC0ALQAtAC0ALQAtAC0ALQAtAC0ALQAtAC0ALQBcAG4AKgAvAFwAbgBcAG4AVgBFAEUAUgBHAF8ANQBfADQAXwAxAF8AMQBfAF8AMQBfAEkAbgBvAHIAZwBhAG4AaQBjAEYAZQByAHQAaQBsAGkAcwBlAHIAQQB0AG0AbwBzAHAAaABlAHIAaQBjAEQAZQBwAG8AcwBpAHQAaQBvAG4ATgAyAE8ARQBtAGkAcwBzAGkAbwBuAHMAXABuACAAIAA9AEwAQQBNAEIARABBACgAXABuACAAIAAgACAATQBfAHYAbwBsAGkAbgBvAHIAZwBhAG4AaQBjAGoAZgAsACAARQBGAF8ATgAyAE8AagAsACAAQwBfAE4AMgBPACwAXABuACAAIAAgACAAKABNAF8AdgBvAGwAaQBuAG8AcgBnAGEAbgBpAGMAagBmACAAKgAgAEUARgBfAE4AMgBPAGoAKQAgACoAIABDAF8ATgAyAE8AIAAqACAAMQAwACAAXgAgAC0AMwBcAG4AIAAgACkAOwBcAG4AXABuAFYARQBFAFIARwBfADUAXwA0AF8AMQBfADEAXwBfADEAXwBJAG4AbwByAGcAYQBuAGkAYwBGAGUAcgB0AGkAbABpAHMAZQByAEEAdABtAG8AcwBwAGgAZQByAGkAYwBEAGUAcABvAHMAaQB0AGkAbwBuAE4AMgBPAEUAbQBpAHMAcwBpAG8AbgBzAF8AVABpAHQAbABlAFwAbgAgACAAPQBMAEEATQBCAEQAQQAoAFwAIgBOAGkAdAByAG8AdQBzACAAbwB4AGkAZABlACAAZQBtAGkAcwBzAGkAbwBuAHMAIABmAHIAbwBtACAAYQB0AG0AbwBzAHAAaABlAHIAaQBjACAAZABlAHAAbwBzAGkAdABpAG8AbgAgAGYAcgBvAG0AIABhAGwAbAAgAGkAbgBvAHIAZwBhAG4AaQBjACAAZgBlAHIAdABpAGwAaQBzAGUAcgAgAHQAeQBwAGUAcwAgAGYAIABhAG4AZAAgAGEAbABsACAAcAByAG8AZAB1AGMAdABpAG8AbgAgAHMAeQBzAHQAZQBtAHMAIABqAFwAIgApADsAXABuAFwAbgBWAEUARQBSAEcAXwA1AF8ANABfADEAXwAxAF8AXwAxAF8ASQBuAG8AcgBnAGEAbgBpAGMARgBlAHIAdABpAGwAaQBzAGUAcgBBAHQAbQBvAHMAcABoAGUAcgBpAGMARABlAHAAbwBzAGkAdABpAG8AbgBOADIATwBFAG0AaQBzAHMAaQBvAG4AcwBfAFYAYQByAGkAYQBiAGwAZQBcAG4AIAAgAD0ATABBAE0AQgBEAEEAKABcACIARQBfAGEAZABpAG4AbwByAGcAYQBuAGkAYwBcACIAKQA7AFwAbgBcAG4AVgBFAEUAUgBHAF8ANQBfADQAXwAxAF8AMQBfAF8AMQBfAEkAbgBvAHIAZwBhAG4AaQBjAEYAZQByAHQAaQBsAGkAcwBlAHIAQQB0AG0AbwBzAHAAaABlAHIAaQBjAEQAZQBwAG8AcwBpAHQAaQBvAG4ATgAyAE8ARQBtAGkAcwBzAGkAbwBuAHMAXwBVAG4AaQB0AFwAbgAgACAAPQBMAEEATQBCAEQAQQAoAFwAIgB0ACAATgAyAE8AXAAiACkAOwBcAG4AXABuAFYARQBFAFIARwBfADUAXwA0AF8AMQBfADEAXwBfADEAXwBJAG4AbwByAGcAYQBuAGkAYwBGAGUAcgB0AGkAbABpAHMAZQByAEEAdABtAG8AcwBwAGgAZQByAGkAYwBEAGUAcABvAHMAaQB0AGkAbwBuAE4AMgBPAEUAbQBpAHMAcwBpAG8AbgBzAF8AUwBvAHUAcgBjAGUAXABuACAAIAA9AEwAQQBNAEIARABBACgAXAAiAFYARQBFAFIARwAgADIAMAAyADYAOgAgADUALgA0AC4AMQAuADEALAAgAEUAcQB1AGEAdABpAG8AbgAgACgAMQApAFwAIgApADsAXABuAFwAbgBWAEUARQBSAEcAXwA1AF8ANABfADEAXwAxAF8AXwAxAF8ASQBuAG8AcgBnAGEAbgBpAGMARgBlAHIAdABpAGwAaQBzAGUAcgBBAHQAbQBvAHMAcABoAGUAcgBpAGMARABlAHAAbwBzAGkAdABpAG8AbgBOADIATwBFAG0AaQBzAHMAaQBvAG4AcwBfAE4ASQBSAFIAZQBmAGUAcgBlAG4AYwBlAFwAbgAgACAAPQBMAEEATQBCAEQAQQAoAFwAIgBcACIAKQA7AFwAbgBcAG4AVgBFAEUAUgBHAF8ANQBfADQAXwAxAF8AMQBfAF8AMQBfAEkAbgBvAHIAZwBhAG4AaQBjAEYAZQByAHQAaQBsAGkAcwBlAHIAQQB0AG0AbwBzAHAAaABlAHIAaQBjAEQAZQBwAG8AcwBpAHQAaQBvAG4ATgAyAE8ARQBtAGkAcwBzAGkAbwBuAHMAXwBMAGEAdABlAHgARQBxAHUAYQB0AGkAbwBuAFwAbgAgACAAPQBMAEEATQBCAEQAQQAoAFwAIgBFAF8AewBhAGQALABpAG4AbwByAGcAYQBuAGkAYwB9AD0AXABcAHMAdQBtAFwAXABuAG8AbABpAG0AaQB0AHMAXwB7AGoAfQBcAFwAcwB1AG0AXABcAG4AbwBsAGkAbQBpAHQAcwBfAHsAZgB9ACgAKABNAF8AewB2AG8AbAAsAGkAbgBvAHIAZwBhAG4AaQBjACwAagBmAH0AXABcAHQAaQBtAGUAcwAgAEUARgBfAHsATgAyAE8ALABqAH0AKQBcAFwAdABpAG0AZQBzACAAQwBfAHsATgAyAE8AfQBcAFwAdABpAG0AZQBzACAAMQAwAF4AewAtADMAfQApAFwAIgApADsAXABuAFwAbgBWAEUARQBSAEcAXwA1AF8ANABfADEAXwAxAF8AXwAxAF8ASQBuAG8AcgBnAGEAbgBpAGMARgBlAHIAdABpAGwAaQBzAGUAcgBBAHQAbQBvAHMAcABoAGUAcgBpAGMARABlAHAAbwBzAGkAdABpAG8AbgBOADIATwBFAG0AaQBzAHMAaQBvAG4AcwBfAEEAcgBnAHUAbQBlAG4AdABzAFwAbgAgACAAPQBMAEEATQBCAEQAQQAoAFwAbgAgACAAIAAgAE0AQQBLAEUAQQBSAFIAQQBZACgANgAsACAANAAsACAAXABuACAAIAAgACAAIAAgAEwAQQBNAEIARABBACgAcgAsAGMALAAgAFwAbgAgACAAIAAgACAAIAAgACAASQBOAEQARQBYACgAewBcAG4AIAAgACAAIAAgACAAIAAgACAAIABcACIATQBfAHYAbwBsAGkAbgBvAHIAZwBhAG4AaQBjAGoAZgBcACIALABcACIAbQBhAHMAcwAgAG8AZgAgAG4AaQB0AHIAbwBnAGUAbgAgAHYAbwBsAGEAdABpAGwAaQBzAGUAZAAgAGYAcgBvAG0AIABpAG4AbwByAGcAYQBuAGkAYwAgAGYAZQByAHQAaQBsAGkAcwBlAHIAIABhAHAAcABsAGkAZQBkACAAdABvACAAcAByAG8AZAB1AGMAdABpAG8AbgAgAHMAeQBzAHQAZQBtAFwAIgAsACAAXAAiAGsAZwAgAE4AXAAiACwAIABcACIAQwBhAGwAYwB1AGwAYQB0AGUAZAAgAGYAcgBvAG0AIAA1AC4ANAAuADEALgAxACAAKAAyACkAXAAiADsAXABuACAAIAAgACAAIAAgACAAIAAgACAAXAAiAEUARgBfAE4AMgBPAGoAXAAiACwAXAAiAGUAbQBpAHMAcwBpAG8AbgAgAGYAYQBjAHQAbwByACAAZgBvAHIAIABhAHQAbQBvAHMAcABoAGUAcgBpAGMAIABkAGUAcABvAHMAaQB0AGkAbwBu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pAHIAXAAiACwAXAAiAGkAcgByAGkAZwBhAHQAaQBvAG4AIABtAGUAdABoAG8AZABcACIALAAgAFwAIgBcACIALAAgAFwAIgBJAG4AcAB1AHQAXAAiADsAXABuACAAIAAgACAAIAAgACAAIAAgACAAXAAiAHIAXAAiACwAXAAiAHIAYQBpAG4AZgBhAGwAbAAgAHIAZQBnAGkAbwBu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0AF8AMQBfADEAXwBfADIAXwBNAGEAcwBzAE8AZgBOAGkAdAByAG8AZwBlAG4AVgBvAGwAYQB0AGkAbABpAHMAZQBkAEYAcgBvAG0ASQBuAG8AcgBnAGEAbgBpAGMARgBlAHIAdABpAGwAaQBzAGUAcgBcAG4ATQBhAHMAcwAgAG8AZgAgAG4AaQB0AHIAbwBnAGUAbgAgAHYAbwBsAGEAdABpAGwAaQBzAGUAZAAgAGYAcgBvAG0AIABpAG4AbwByAGcAYQBuAGkAYwAgAGYAZQByAHQAaQBsAGkAcwBlAHIAIABhAHAAcABsAGkAZQBkACAAdABvACAAcAByAG8AZAB1AGMAdABpAG8AbgAgAHMAeQBzAHQAZQBtAFwAbgBNAF8AdgBvAGwAaQBuAG8AcgBnAGEAbgBpAGMAagBmAFwAbgBrAGcAIABOAFwAbgBNAF8AewB2AG8AbAAsAGkAbgBvAHIAZwBhAG4AaQBjACwAagBmAH0APQB7AE0ATgB9AF8AewBqAGYAfQBcAFwAdABpAG0AZQBzACAARgByAGEAYwBHAEEAUwBGAF8AewBmAH0AXABuAE0ATgBfAGoAZgBcAG4ARgByAGEAYwBHAEEAUwBGAF8AZgBcAG4AagBcAG4AZgBcAG4ALQAtAC0ALQAtAC0ALQAtAC0ALQAtAC0ALQAtAC0ALQAtAC0ALQAtAC0ALQAtAC0ALQAtAC0ALQAtAC0ALQAtAC0ALQAtAC0ALQAtAFwAbgAqAC8AXABuAFwAbgBWAEUARQBSAEcAXwA1AF8ANABfADEAXwAxAF8AXwAyAF8ATQBhAHMAcwBPAGYATgBpAHQAcgBvAGcAZQBuAFYAbwBsAGEAdABpAGwAaQBzAGUAZABGAHIAbwBtAEkAbgBvAHIAZwBhAG4AaQBjAEYAZQByAHQAaQBsAGkAcwBlAHIAXABuACAAIAA9AEwAQQBNAEIARABBACgAXABuACAAIAAgACAATQBOAF8AagBmACwAIABGAHIAYQBjAEcAQQBTAEYAXwBmACwAXABuACAAIAAgACAATQBOAF8AagBmACAAKgAgAEYAcgBhAGMARwBBAFMARgBfAGYAXABuACAAIAApADsAXABuAFwAbgBWAEUARQBSAEcAXwA1AF8ANABfADEAXwAxAF8AXwAyAF8ATQBhAHMAcwBPAGYATgBpAHQAcgBvAGcAZQBuAFYAbwBsAGEAdABpAGwAaQBzAGUAZABGAHIAbwBtAEkAbgBvAHIAZwBhAG4AaQBjAEYAZQByAHQAaQBsAGkAcwBlAHIAXwBUAGkAdABsAGUAXABuACAAIAA9AEwAQQBNAEIARABBACgAXAAiAE0AYQBzAHMAIABvAGYAIABuAGkAdAByAG8AZwBlAG4AIAB2AG8AbABhAHQAaQBsAGkAcwBlAGQAIABmAHIAbwBtACAAaQBuAG8AcgBnAGEAbgBpAGMAIABmAGUAcgB0AGkAbABpAHMAZQByACAAYQBwAHAAbABpAGUAZAAgAHQAbwAgAHAAcgBvAGQAdQBjAHQAaQBvAG4AIABzAHkAcwB0AGUAbQBcACIAKQA7AFwAbgBcAG4AVgBFAEUAUgBHAF8ANQBfADQAXwAxAF8AMQBfAF8AMgBfAE0AYQBzAHMATwBmAE4AaQB0AHIAbwBnAGUAbgBWAG8AbABhAHQAaQBsAGkAcwBlAGQARgByAG8AbQBJAG4AbwByAGcAYQBuAGkAYwBGAGUAcgB0AGkAbABpAHMAZQByAF8AVgBhAHIAaQBhAGIAbABlAFwAbgAgACAAPQBMAEEATQBCAEQAQQAoAFwAIgBNAF8AdgBvAGwAaQBuAG8AcgBnAGEAbgBpAGMAagBmAFwAIgApADsAXABuAFwAbgBWAEUARQBSAEcAXwA1AF8ANABfADEAXwAxAF8AXwAyAF8ATQBhAHMAcwBPAGYATgBpAHQAcgBvAGcAZQBuAFYAbwBsAGEAdABpAGwAaQBzAGUAZABGAHIAbwBtAEkAbgBvAHIAZwBhAG4AaQBjAEYAZQByAHQAaQBsAGkAcwBlAHIAXwBVAG4AaQB0AFwAbgAgACAAPQBMAEEATQBCAEQAQQAoAFwAIgBrAGcAIABOAFwAIgApADsAXABuAFwAbgBWAEUARQBSAEcAXwA1AF8ANABfADEAXwAxAF8AXwAyAF8ATQBhAHMAcwBPAGYATgBpAHQAcgBvAGcAZQBuAFYAbwBsAGEAdABpAGwAaQBzAGUAZABGAHIAbwBtAEkAbgBvAHIAZwBhAG4AaQBjAEYAZQByAHQAaQBsAGkAcwBlAHIAXwBTAG8AdQByAGMAZQBcAG4AIAAgAD0ATABBAE0AQgBEAEEAKABcACIAVgBFAEUAUgBHACAAMgAwADIANgA6ACAANQAuADQALgAxAC4AMQAsACAARQBxAHUAYQB0AGkAbwBuACAAKAAyACkAXAAiACkAOwBcAG4AXABuAFYARQBFAFIARwBfADUAXwA0AF8AMQBfADEAXwBfADIAXwBNAGEAcwBzAE8AZgBOAGkAdAByAG8AZwBlAG4AVgBvAGwAYQB0AGkAbABpAHMAZQBkAEYAcgBvAG0ASQBuAG8AcgBnAGEAbgBpAGMARgBlAHIAdABpAGwAaQBzAGUAcgBfAE4ASQBSAFIAZQBmAGUAcgBlAG4AYwBlAFwAbgAgACAAPQBMAEEATQBCAEQAQQAoAFwAIgBcACIAKQA7AFwAbgBcAG4AVgBFAEUAUgBHAF8ANQBfADQAXwAxAF8AMQBfAF8AMgBfAE0AYQBzAHMATwBmAE4AaQB0AHIAbwBnAGUAbgBWAG8AbABhAHQAaQBsAGkAcwBlAGQARgByAG8AbQBJAG4AbwByAGcAYQBuAGkAYwBGAGUAcgB0AGkAbABpAHMAZQByAF8ATABhAHQAZQB4AEUAcQB1AGEAdABpAG8AbgBcAG4AIAAgAD0ATABBAE0AQgBEAEEAKABcACIATQBfAHsAdgBvAGwALABpAG4AbwByAGcAYQBuAGkAYwAsAGoAZgB9AD0AewBNAE4AfQBfAHsAagBmAH0AXABcAHQAaQBtAGUAcwAgAEYAcgBhAGMARwBBAFMARgBfAHsAZgB9AFwAIgApADsAXABuAFwAbgBWAEUARQBSAEcAXwA1AF8ANABfADEAXwAxAF8AXwAyAF8ATQBhAHMAcwBPAGYATgBpAHQAcgBvAGcAZQBuAFYAbwBsAGEAdABpAGwAaQBzAGUAZABGAHIAbwBtAEkAbgBvAHIAZwBhAG4AaQBjAEYAZQByAHQAaQBsAGkAcwBlAHIAXwBBAHIAZwB1AG0AZQBuAHQAcwBcAG4AIAAgAD0ATABBAE0AQgBEAEEAKABcAG4AIAAgACAAIABNAEEASwBFAEEAUgBSAEEAWQAoADI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GEAcABwAGwAaQBlAGQAXAAiACwAIABcACIAawBnACAATgBcACIALAAgAFwAIgBDAGEAbABjAHUAbABhAHQAZQBkACAAZgByAG8AbQAgADUALgAxAC4AMQAuADEAIAAoADIAKQBcACIAOwBcAG4AIAAgACAAIAAgACAAIAAgACAAIABcACIARgByAGEAYwBHAEEAUwBGAF8AZgBcACIALABcACIAZgByAGEAYwB0AGkAbwBuACAAbwBmACAAaQBuAG8AcgBnAGEAbgBpAGMAIABmAGUAcgB0AGkAbABpAHMAZQByACAAdABoAGEAdAAgAHYAbwBsAGEAdABpAGwAaQBzAGUAcwBcACIALAAgAFwAIgAoAGsAZwAgAE4ASAAzAC0ATgAgACsAIABOAE8AeAAtAE4AKQAvAGsAZwAgAE4AXAAiACwAIABcACIAQwBvAG4AcwB0AGEAbgB0AFwAIgBcAG4AIAAgACAAIAAgACAAIAAgAH0ALAAgAHIALAAgAGMAKQBcAG4AIAAgACAAIAAgACAAKQBcAG4AIAAgACAAIAApAFwAbgAgACAAKQA7AFwAbgBcAG4AXABuAC8AKgAgAFwAbgAtAC0ALQAtAC0ALQAtAC0ALQAtAC0ALQAtAC0ALQAtAC0ALQAtAC0ALQAtAC0ALQAtAC0ALQAtAC0ALQAtAC0ALQAtAC0ALQAtAC0AXABuAFYARQBFAFIARwBfADUAXwA0AF8AMQBfADMAXwBfADEAXwBPAHIAZwBhAG4AaQBjAEYAZQByAHQAaQBsAGkAcwBlAHIAQQB0AG0AbwBzAHAAaABlAHIAaQBjAEQAZQBwAG8AcwBpAHQAaQBvAG4ATgAyAE8ARQBtAGkAcwBzAGkAbwBuAHMAXABuAE4AaQB0AHIAbwB1AHMAIABvAHgAaQBkAGUAIABlAG0AaQBzAHMAaQBvAG4AcwAgAGYAcgBvAG0AIABhAHQAbQBvAHMAcABoAGUAcgBpAGMAIABkAGUAcABvAHMAaQB0AGkAbwBuACAAbwBmACAAYQBsAGwAIABvAHIAZwBhAG4AaQBjACAAZgBlAHIAdABpAGwAaQBzAGUAcgAgAHQAeQBwAGUAcwAgAGYAIABhAG4AZAAgAGEAbABsACAAcAByAG8AZAB1AGMAdABpAG8AbgAgAHMAeQBzAHQAZQBtAHMAIABqAFwAbgBFAF8AYQBkAG8AcgBnAGEAbgBpAGMAXABuAHQAIABOADIATwBcAG4ARQBfAHsAYQBkACwAbwByAGcAYQBuAGkAYwB9AD0AXABcAHMAdQBtAF8AewBqAH0AXABcAHMAdQBtAF8AewBmAH0AKAAoAE0AXwB7AHYAbwBsACwAbwByAGcAYQBuAGkAYwAsAGoAZgB9AFwAXAB0AGkAbQBlAHMAIABFAEYAXwB7AE4AMgBPACwAagB9ACkAXABcAHQAaQBtAGUAcwAgAEMAXwB7AE4AMgBPAH0AXABcAHQAaQBtAGUAcwAgADEAMABeAHsALQAzAH0AKQBcAG4ATQBfAHYAbwBsAG8AcgBnAGEAbgBpAGMAagBmAFwAbgBFAEYAXwBOADIATwBqAFwAbgBDAF8ATgAyAE8AXABuAGoAXABuAGYAXABuAC0ALQAtAC0ALQAtAC0ALQAtAC0ALQAtAC0ALQAtAC0ALQAtAC0ALQAtAC0ALQAtAC0ALQAtAC0ALQAtAC0ALQAtAC0ALQAtAC0ALQBcAG4AKgAvAFwAbgBcAG4AVgBFAEUAUgBHAF8ANQBfADQAXwAxAF8AMwBfAF8AMQBfAE8AcgBnAGEAbgBpAGMARgBlAHIAdABpAGwAaQBzAGUAcgBBAHQAbQBvAHMAcABoAGUAcgBpAGMARABlAHAAbwBzAGkAdABpAG8AbgBOADIATwBFAG0AaQBzAHMAaQBvAG4AcwBcAG4AIAAgAD0ATABBAE0AQgBEAEEAKABcAG4AIAAgACAAIABNAF8AdgBvAGwAbwByAGcAYQBuAGkAYwBqAGYALAAgAEUARgBfAE4AMgBPAGoALAAgAEMAXwBOADIATwAsAFwAbgAgACAAIAAgACgATQBfAHYAbwBsAG8AcgBnAGEAbgBpAGMAagBmACAAKgAgAEUARgBfAE4AMgBPAGoAKQAgACoAIABDAF8ATgAyAE8AIAAqACAAMQAwACAAXgAgAC0AMwBcAG4AIAAgACkAOwBcAG4AXABuAFYARQBFAFIARwBfADUAXwA0AF8AMQBfADMAXwBfADEAXwBPAHIAZwBhAG4AaQBjAEYAZQByAHQAaQBsAGkAcwBlAHIAQQB0AG0AbwBzAHAAaABlAHIAaQBjAEQAZQBwAG8AcwBpAHQAaQBvAG4ATgAyAE8ARQBtAGkAcwBzAGkAbwBuAHMAXwBUAGkAdABsAGUAXABuACAAIAA9AEwAQQBNAEIARABBACgAXAAiAE4AaQB0AHIAbwB1AHMAIABvAHgAaQBkAGUAIABlAG0AaQBzAHMAaQBvAG4AcwAgAGYAcgBvAG0AIABhAHQAbQBvAHMAcABoAGUAcgBpAGMAIABkAGUAcABvAHMAaQB0AGkAbwBuACAAbwBmACAAYQBsAGwAIABvAHIAZwBhAG4AaQBjACAAZgBlAHIAdABpAGwAaQBzAGUAcgAgAHQAeQBwAGUAcwAgAGYAIABhAG4AZAAgAGEAbABsACAAcAByAG8AZAB1AGMAdABpAG8AbgAgAHMAeQBzAHQAZQBtAHMAIABqAFwAIgApADsAXABuAFwAbgBWAEUARQBSAEcAXwA1AF8ANABfADEAXwAzAF8AXwAxAF8ATwByAGcAYQBuAGkAYwBGAGUAcgB0AGkAbABpAHMAZQByAEEAdABtAG8AcwBwAGgAZQByAGkAYwBEAGUAcABvAHMAaQB0AGkAbwBuAE4AMgBPAEUAbQBpAHMAcwBpAG8AbgBzAF8AVgBhAHIAaQBhAGIAbABlAFwAbgAgACAAPQBMAEEATQBCAEQAQQAoAFwAIgBFAF8AYQBkAG8AcgBnAGEAbgBpAGMAXAAiACkAOwBcAG4AXABuAFYARQBFAFIARwBfADUAXwA0AF8AMQBfADMAXwBfADEAXwBPAHIAZwBhAG4AaQBjAEYAZQByAHQAaQBsAGkAcwBlAHIAQQB0AG0AbwBzAHAAaABlAHIAaQBjAEQAZQBwAG8AcwBpAHQAaQBvAG4ATgAyAE8ARQBtAGkAcwBzAGkAbwBuAHMAXwBVAG4AaQB0AFwAbgAgACAAPQBMAEEATQBCAEQAQQAoAFwAIgB0ACAATgAyAE8AXAAiACkAOwBcAG4AXABuAFYARQBFAFIARwBfADUAXwA0AF8AMQBfADMAXwBfADEAXwBPAHIAZwBhAG4AaQBjAEYAZQByAHQAaQBsAGkAcwBlAHIAQQB0AG0AbwBzAHAAaABlAHIAaQBjAEQAZQBwAG8AcwBpAHQAaQBvAG4ATgAyAE8ARQBtAGkAcwBzAGkAbwBuAHMAXwBTAG8AdQByAGMAZQBcAG4AIAAgAD0ATABBAE0AQgBEAEEAKABcACIAVgBFAEUAUgBHACAAMgAwADIANgA6ACAANQAuADQALgAxAC4AMwAsACAARQBxAHUAYQB0AGkAbwBuACAAKAAxACkAXAAiACkAOwBcAG4AXABuAFYARQBFAFIARwBfADUAXwA0AF8AMQBfADMAXwBfADEAXwBPAHIAZwBhAG4AaQBjAEYAZQByAHQAaQBsAGkAcwBlAHIAQQB0AG0AbwBzAHAAaABlAHIAaQBjAEQAZQBwAG8AcwBpAHQAaQBvAG4ATgAyAE8ARQBtAGkAcwBzAGkAbwBuAHMAXwBOAEkAUgBSAGUAZgBlAHIAZQBuAGMAZQBcAG4AIAAgAD0ATABBAE0AQgBEAEEAKABcACIAXAAiACkAOwBcAG4AXABuAFYARQBFAFIARwBfADUAXwA0AF8AMQBfADMAXwBfADEAXwBPAHIAZwBhAG4AaQBjAEYAZQByAHQAaQBsAGkAcwBlAHIAQQB0AG0AbwBzAHAAaABlAHIAaQBjAEQAZQBwAG8AcwBpAHQAaQBvAG4ATgAyAE8ARQBtAGkAcwBzAGkAbwBuAHMAXwBMAGEAdABlAHgARQBxAHUAYQB0AGkAbwBuAFwAbgAgACAAPQBMAEEATQBCAEQAQQAoAFwAIgBFAF8AewBhAGQALABvAHIAZwBhAG4AaQBjAH0APQBcAFwAcwB1AG0AXABcAG4AbwBsAGkAbQBpAHQAcwBfAHsAagB9AFwAXABzAHUAbQBcAFwAbgBvAGwAaQBtAGkAdABzAF8AewBmAH0AKAAoAE0AXwB7AHYAbwBsACwAbwByAGcAYQBuAGkAYwAsAGoAZgB9AFwAXAB0AGkAbQBlAHMAIABFAEYAXwB7AE4AMgBPACwAagB9ACkAXABcAHQAaQBtAGUAcwAgAEMAXwB7AE4AMgBPAH0AXABcAHQAaQBtAGUAcwAgADEAMABeAHsALQAzAH0AKQBcACIAKQA7AFwAbgBcAG4AVgBFAEUAUgBHAF8ANQBfADQAXwAxAF8AMwBfAF8AMQBfAE8AcgBnAGEAbgBpAGMARgBlAHIAdABpAGwAaQBzAGUAcgBBAHQAbQBvAHMAcABoAGUAcgBpAGMARABlAHAAbwBzAGkAdABpAG8AbgBOADIATwBFAG0AaQBzAHMAaQBvAG4AcwBfAEEAcgBnAHUAbQBlAG4AdABzAFwAbgAgACAAPQBMAEEATQBCAEQAQQAoAFwAbgAgACAAIAAgAE0AQQBLAEUAQQBSAFIAQQBZACgANgAsACAANAAsACAAXABuACAAIAAgACAAIAAgAEwAQQBNAEIARABBACgAcgAsAGMALAAgAFwAbgAgACAAIAAgACAAIAAgACAASQBOAEQARQBYACgAewBcAG4AIAAgACAAIAAgACAAIAAgACAAIABcACIATQBfAHYAbwBsAG8AcgBnAGEAbgBpAGMAagBmAFwAIgAsAFwAIgBtAGEAcwBzACAAbwBmACAAbgBpAHQAcgBvAGcAZQBuACAAdgBvAGwAYQB0AGkAbABpAHMAZQBkACAAZgByAG8AbQAgAG8AcgBnAGEAbgBpAGMAIABmAGUAcgB0AGkAbABpAHMAZQByACAAYQBwAHAAbABpAGUAZAAgAHQAbwAgAHAAcgBvAGQAdQBjAHQAaQBvAG4AIABzAHkAcwB0AGUAbQBcACIALAAgAFwAIgBrAGcAIABOAFwAIgAsACAAXAAiAEMAYQBsAGMAdQBsAGEAdABlAGQAIABmAHIAbwBtACAANQAuADQALgAxAC4AMwAgACgAMgApAFwAIgA7AFwAbgAgACAAIAAgACAAIAAgACAAIAAgAFwAIgBFAEYAXwBOADIATwBqAFwAIgAsAFwAIgBlAG0AaQBzAHMAaQBvAG4AIABmAGEAYwB0AG8AcgAgAGYAbwByACAAYQB0AG0AbwBzAHAAaABlAHIAaQBjACAAZABlAHAAbwBzAGkAdABpAG8AbgAgAGkAbgAgAHAAcgBvAGQAdQBjAHQAaQBvAG4AIABzAHkAcwB0AGUAbQAgAGo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kAcgBcACIALABcACIAaQByAHIAaQBnAGEAdABpAG8AbgAgAG0AZQB0AGgAbwBkAFwAIgAsACAAXAAiAFwAIgAsACAAXAAiAEkAbgBwAHUAdABcACIAOwBcAG4AIAAgACAAIAAgACAAIAAgACAAIABcACIAcgBcACIALABcACIAcgBhAGkAbgBmAGEAbABsACAAcgBlAGcAaQBvAG4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QAXwAxAF8AMwBfAF8AMgBfAE0AYQBzAHMATwBmAE4AaQB0AHIAbwBnAGUAbgBWAG8AbABhAHQAaQBsAGkAcwBlAGQARgByAG8AbQBPAHIAZwBhAG4AaQBjAEYAZQByAHQAaQBsAGkAcwBlAHIAXABuAE0AYQBzAHMAIABvAGYAIABuAGkAdAByAG8AZwBlAG4AIAB2AG8AbABhAHQAaQBsAGkAcwBlAGQAIABmAHIAbwBtACAAbwByAGcAYQBuAGkAYwAgAGYAZQByAHQAaQBsAGkAcwBlAHIAIABhAHAAcABsAGkAZQBkACAAdABvACAAcAByAG8AZAB1AGMAdABpAG8AbgAgAHMAeQBzAHQAZQBtAFwAbgBNAF8AdgBvAGwAbwByAGcAYQBuAGkAYwBqAGYAXABuAGsAZwAgAE4AXABuAE0AXwB7AHYAbwBsACwAbwByAGcAYQBuAGkAYwAsAGoAZgB9AD0ATQBOAFMAbwBpAGwAXwB7AGoAZgB9AFwAXAB0AGkAbQBlAHMAIABGAHIAYQBjAEcAQQBTAE0AXwB7AHMAbwBpAGwAfQBcAG4ATQBOAFMAbwBpAGwAXwBqAGYAXABuAEYAcgBhAGMARwBBAFMATQBfAHMAbwBpAGwAXABuAGoAXABuAGYAXABuAC0ALQAtAC0ALQAtAC0ALQAtAC0ALQAtAC0ALQAtAC0ALQAtAC0ALQAtAC0ALQAtAC0ALQAtAC0ALQAtAC0ALQAtAC0ALQAtAC0ALQBcAG4AKgAvAFwAbgBcAG4AVgBFAEUAUgBHAF8ANQBfADQAXwAxAF8AMwBfAF8AMgBfAE0AYQBzAHMATwBmAE4AaQB0AHIAbwBnAGUAbgBWAG8AbABhAHQAaQBsAGkAcwBlAGQARgByAG8AbQBPAHIAZwBhAG4AaQBjAEYAZQByAHQAaQBsAGkAcwBlAHIAXABuACAAIAA9AEwAQQBNAEIARABBACgAXABuACAAIAAgACAATQBOAFMAbwBpAGwAXwBqAGYALAAgAEYAcgBhAGMARwBBAFMATQBfAHMAbwBpAGwALABcAG4AIAAgACAAIABNAE4AUwBvAGkAbABfAGoAZgAgACoAIABGAHIAYQBjAEcAQQBTAE0AXwBzAG8AaQBsAFwAbgAgACAAKQA7AFwAbgBcAG4AVgBFAEUAUgBHAF8ANQBfADQAXwAxAF8AMwBfAF8AMgBfAE0AYQBzAHMATwBmAE4AaQB0AHIAbwBnAGUAbgBWAG8AbABhAHQAaQBsAGkAcwBlAGQARgByAG8AbQBPAHIAZwBhAG4AaQBjAEYAZQByAHQAaQBsAGkAcwBlAHIAXwBUAGkAdABsAGUAXABuACAAIAA9AEwAQQBNAEIARABBACgAXAAiAE0AYQBzAHMAIABvAGYAIABuAGkAdAByAG8AZwBlAG4AIAB2AG8AbABhAHQAaQBsAGkAcwBlAGQAIABmAHIAbwBtACAAbwByAGcAYQBuAGkAYwAgAGYAZQByAHQAaQBsAGkAcwBlAHIAIABhAHAAcABsAGkAZQBkACAAdABvACAAcAByAG8AZAB1AGMAdABpAG8AbgAgAHMAeQBzAHQAZQBtAFwAIgApADsAXABuAFwAbgBWAEUARQBSAEcAXwA1AF8ANABfADEAXwAzAF8AXwAyAF8ATQBhAHMAcwBPAGYATgBpAHQAcgBvAGcAZQBuAFYAbwBsAGEAdABpAGwAaQBzAGUAZABGAHIAbwBtAE8AcgBnAGEAbgBpAGMARgBlAHIAdABpAGwAaQBzAGUAcgBfAFYAYQByAGkAYQBiAGwAZQBcAG4AIAAgAD0ATABBAE0AQgBEAEEAKABcACIATQBfAHYAbwBsAG8AcgBnAGEAbgBpAGMAagBmAFwAIgApADsAXABuAFwAbgBWAEUARQBSAEcAXwA1AF8ANABfADEAXwAzAF8AXwAyAF8ATQBhAHMAcwBPAGYATgBpAHQAcgBvAGcAZQBuAFYAbwBsAGEAdABpAGwAaQBzAGUAZABGAHIAbwBtAE8AcgBnAGEAbgBpAGMARgBlAHIAdABpAGwAaQBzAGUAcgBfAFUAbgBpAHQAXABuACAAIAA9AEwAQQBNAEIARABBACgAXAAiAGsAZwAgAE4AXAAiACkAOwBcAG4AXABuAFYARQBFAFIARwBfADUAXwA0AF8AMQBfADMAXwBfADIAXwBNAGEAcwBzAE8AZgBOAGkAdAByAG8AZwBlAG4AVgBvAGwAYQB0AGkAbABpAHMAZQBkAEYAcgBvAG0ATwByAGcAYQBuAGkAYwBGAGUAcgB0AGkAbABpAHMAZQByAF8AUwBvAHUAcgBjAGUAXABuACAAIAA9AEwAQQBNAEIARABBACgAXAAiAFYARQBFAFIARwAgADIAMAAyADYAOgAgADUALgA0AC4AMQAuADMALAAgAEUAcQB1AGEAdABpAG8AbgAgACgAMgApAFwAIgApADsAXABuAFwAbgBWAEUARQBSAEcAXwA1AF8ANABfADEAXwAzAF8AXwAyAF8ATQBhAHMAcwBPAGYATgBpAHQAcgBvAGcAZQBuAFYAbwBsAGEAdABpAGwAaQBzAGUAZABGAHIAbwBtAE8AcgBnAGEAbgBpAGMARgBlAHIAdABpAGwAaQBzAGUAcgBfAE4ASQBSAFIAZQBmAGUAcgBlAG4AYwBlAFwAbgAgACAAPQBMAEEATQBCAEQAQQAoAFwAIgBcACIAKQA7AFwAbgBcAG4AVgBFAEUAUgBHAF8ANQBfADQAXwAxAF8AMwBfAF8AMgBfAE0AYQBzAHMATwBmAE4AaQB0AHIAbwBnAGUAbgBWAG8AbABhAHQAaQBsAGkAcwBlAGQARgByAG8AbQBPAHIAZwBhAG4AaQBjAEYAZQByAHQAaQBsAGkAcwBlAHIAXwBMAGEAdABlAHgARQBxAHUAYQB0AGkAbwBuAFwAbgAgACAAPQBMAEEATQBCAEQAQQAoAFwAIgBNAF8AewB2AG8AbAAsAG8AcgBnAGEAbgBpAGMALABqAGYAfQA9AE0ATgBTAG8AaQBsAF8AewBqAGYAfQBcAFwAdABpAG0AZQBzACAARgByAGEAYwBHAEEAUwBNAF8AewBzAG8AaQBsAH0AXAAiACkAOwBcAG4AXABuAFYARQBFAFIARwBfADUAXwA0AF8AMQBfADMAXwBfADIAXwBNAGEAcwBzAE8AZgBOAGkAdAByAG8AZwBlAG4AVgBvAGwAYQB0AGkAbABpAHMAZQBkAEYAcgBvAG0AT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NAE4AUwBvAGkAbABfAGoAZgBcACIALABcACIAbQBhAHMAcwAgAG8AZgAgAG4AaQB0AHIAbwBnAGUAbgAgAGkAbgAgAG8AcgBnAGEAbgBpAGMAIABmAGUAcgB0AGkAbABpAHMAZQByACAAdAB5AHAAZQAgAGYAIABhAHAAcABsAGkAZQBkACAAdABvACAAcAByAG8AZAB1AGMAdABpAG8AbgAgAHMAeQBzAHQAZQBtACAAagBcACIALAAgAFwAIgBrAGcAIABOAFwAIgAsACAAXAAiAEMAYQBsAGMAdQBsAGEAdABlAGQAIABmAHIAbwBtACAANQAuADIALgAxAC4AMQAgACgAMgApAFwAIgA7AFwAbgAgACAAIAAgACAAIAAgACAAIAAgAFwAIgBGAHIAYQBjAEcAQQBTAE0AXwBzAG8AaQBsAFwAIgAsAFwAIgBmAHIAYQBjAHQAaQBvAG4AIABvAGYAIABvAHIAZwBhAG4AaQBjACAAZgBlAHIAdABpAGwAaQBzAGUAcgAgAE4AIAB0AGgAYQB0ACAAdgBvAGwAYQB0AGkAbABpAHMAZQBzAFwAIgAsACAAXAAiACgAawBnACAATgBIADMALQBOACAAKwAgAE4ATwB4AC0ATgApAC8AawBnACAATgBcACIALAAgAFwAIgBDAG8AbgBzAHQAYQBuAHQAXAAiAFwAbgAgACAAIAAgACAAIAAgACAAfQAsACAAcgAsACAAYwApAFwAbgAgACAAIAAgACAAIAApAFwAbgAgACAAIAAgACkAXABuACAAIAApADsAXABuACIAfQAsAHsAIgBwAGEAdABoACIAOgAiAC8AcAByAG8AagBlAGMAdABzAC8ARgBlAHIAdABpAGwAaQBzAGUAcgBfAEUAcQB1AGEAdABpAG8AbgBzAF8ATABlAGEAYwBoAGkAbgBnAEEAbgBkAFIAdQBuAG8AZgBm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NQAgAEwAZQBhAGMAaABpAG4AZwAgAGEAbgBkACAAcgB1AG4ALQBvAGYAZgAgAHIAZQBzAHUAbAB0AGkAbgBnACAAZgByAG8AbQ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UAXwAxAF8AMQBfAF8AMQBfAEYAZQByAHQAaQBsAGkAcwBlAHIATABlAGEAYwBoAGkAbgBnAEEAbgBkAFIAdQBuAG8AZgBmAE4AMgBPAEUAbQBpAHMAcwBpAG8AbgBzAFwAbgBOAGkAdAByAG8AdQBzACAAbwB4AGkAZABlACAAZQBtAGkAcwBzAGkAbwBuAHMAIABmAHIAbwBtACAAbgBpAHQAcgBvAGcAZQBuACAAbABlAGEAYwBoAGkAbgBnACAAYQBuAGQAIAByAHUAbgBvAGYAZgAgAGYAcgBvAG0AIAB0AGgAZQAgAGEAcABwAGwAaQBjAGEAdABpAG8AbgAgAG8AZgAgAGEAbABsACAAZgBlAHIAdABpAGwAaQBzAGUAcgBzACAAYQBjAHIAbwBzAHMAIABhAGwAbAAgAHAAcgBvAGQAdQBjAHQAaQBvAG4AIABzAHkAcwB0AGUAbQBzACAAagBcAG4ARQBfAGYAZQByAHQAbABlAGEAYwBoAFwAbgB0ACAATgAyAE8AXABuAEUAXwB7AGYAZQByAHQALABsAGUAYQBjAGgAfQA9AFwAXABzAHUAbQBfAHsAagB9ACgAKABNAF8AewBsAGUAYQBjAGgALABpAG4AbwByAGcAYQBuAGkAYwAsAGoAfQArAE0AXwB7AGwAZQBhAGMAaAAsAG8AcgBnAGEAbgBpAGMALABqAH0AKQBcAFwAdABpAG0AZQBzACAARQBGAF8AewBsAGUAYQBjAGgAfQBcAFwAdABpAG0AZQBzACAAQwBfAHsATgAyAE8AfQBcAFwAdABpAG0AZQBzACAAMQAwAF4AewAtADMAfQApAFwAbgBNAF8AbABlAGEAYwBoAGkAbgBvAHIAZwBhAG4AaQBjAGoAXABuAE0AXwBsAGUAYQBjAGgAbwByAGcAYQBuAGkAYwBqAFwAbgBFAEYAXwBsAGUAYQBjAGgAXABuAEMAXwBOADIATwBcAG4AagBcAG4ALQAtAC0ALQAtAC0ALQAtAC0ALQAtAC0ALQAtAC0ALQAtAC0ALQAtAC0ALQAtAC0ALQAtAC0ALQAtAC0ALQAtAC0ALQAtAC0ALQAtAFwAbgAqAC8AXABuAFwAbgBWAEUARQBSAEcAXwA1AF8ANQBfADEAXwAxAF8AXwAxAF8ARgBlAHIAdABpAGwAaQBzAGUAcgBMAGUAYQBjAGgAaQBuAGcAQQBuAGQAUgB1AG4AbwBmAGYATgAyAE8ARQBtAGkAcwBzAGkAbwBuAHMAXABuACAAIAA9AEwAQQBNAEIARABBACgAXABuACAAIAAgACAATQBfAGwAZQBhAGMAaABpAG4AbwByAGcAYQBuAGkAYwBqACwAIABNAF8AbABlAGEAYwBoAG8AcgBnAGEAbgBpAGMAagAsACAARQBGAF8AbABlAGEAYwBoACwAIABDAF8ATgAyAE8ALABcAG4AIAAgACAAIAAoAE0AXwBsAGUAYQBjAGgAaQBuAG8AcgBnAGEAbgBpAGMAagAgACsAIABNAF8AbABlAGEAYwBoAG8AcgBnAGEAbgBpAGMAagApACAAKgAgAEUARgBfAGwAZQBhAGMAaAAgACoAIABDAF8ATgAyAE8AIAAqACAAMQAwACAAXgAgAC0AMwBcAG4AIAAgACkAOwBcAG4AXABuAFYARQBFAFIARwBfADUAXwA1AF8AMQBfADEAXwBfADEAXwBGAGUAcgB0AGkAbABpAHMAZQByAEwAZQBhAGMAaABpAG4AZwBBAG4AZABSAHUAbgBvAGYAZgBOADIATwBFAG0AaQBzAHMAaQBvAG4AcwBfAFQAaQB0AGwAZQBcAG4AIAAgAD0ATABBAE0AQgBEAEEAKABcACIATgBpAHQAcgBvAHUAcwAgAG8AeABpAGQAZQAgAGUAbQBpAHMAcwBpAG8AbgBzACAAZgByAG8AbQAgAG4AaQB0AHIAbwBnAGUAbgAgAGwAZQBhAGMAaABpAG4AZwAgAGEAbgBkACAAcgB1AG4AbwBmAGYAIABmAHIAbwBtACAAdABoAGUAIABhAHAAcABsAGkAYwBhAHQAaQBvAG4AIABvAGYAIABhAGwAbAAgAGYAZQByAHQAaQBsAGkAcwBlAHIAcwAgAGEAYwByAG8AcwBzACAAYQBsAGwAIABwAHIAbwBkAHUAYwB0AGkAbwBuACAAcwB5AHMAdABlAG0AcwAgAGoAXAAiACkAOwBcAG4AXABuAFYARQBFAFIARwBfADUAXwA1AF8AMQBfADEAXwBfADEAXwBGAGUAcgB0AGkAbABpAHMAZQByAEwAZQBhAGMAaABpAG4AZwBBAG4AZABSAHUAbgBvAGYAZgBOADIATwBFAG0AaQBzAHMAaQBvAG4AcwBfAFYAYQByAGkAYQBiAGwAZQBcAG4AIAAgAD0ATABBAE0AQgBEAEEAKABcACIARQBfAGYAZQByAHQAbABlAGEAYwBoAFwAIgApADsAXABuAFwAbgBWAEUARQBSAEcAXwA1AF8ANQBfADEAXwAxAF8AXwAxAF8ARgBlAHIAdABpAGwAaQBzAGUAcgBMAGUAYQBjAGgAaQBuAGcAQQBuAGQAUgB1AG4AbwBmAGYATgAyAE8ARQBtAGkAcwBzAGkAbwBuAHMAXwBVAG4AaQB0AFwAbgAgACAAPQBMAEEATQBCAEQAQQAoAFwAIgB0ACAATgAyAE8AXAAiACkAOwBcAG4AXABuAFYARQBFAFIARwBfADUAXwA1AF8AMQBfADEAXwBfADEAXwBGAGUAcgB0AGkAbABpAHMAZQByAEwAZQBhAGMAaABpAG4AZwBBAG4AZABSAHUAbgBvAGYAZgBOADIATwBFAG0AaQBzAHMAaQBvAG4AcwBfAFMAbwB1AHIAYwBlAFwAbgAgACAAPQBMAEEATQBCAEQAQQAoAFwAIgBWAEUARQBSAEcAIAAyADAAMgA2ADoAIAA1AC4ANQAsACAARQBxAHUAYQB0AGkAbwBuACAAKAAxACkAXAAiACkAOwBcAG4AXABuAFYARQBFAFIARwBfADUAXwA1AF8AMQBfADEAXwBfADEAXwBGAGUAcgB0AGkAbABpAHMAZQByAEwAZQBhAGMAaABpAG4AZwBBAG4AZABSAHUAbgBvAGYAZgBOADIATwBFAG0AaQBzAHMAaQBvAG4AcwBfAE4ASQBSAFIAZQBmAGUAcgBlAG4AYwBlAFwAbgAgACAAPQBMAEEATQBCAEQAQQAoAFwAIgBcACIAKQA7AFwAbgBcAG4AVgBFAEUAUgBHAF8ANQBfADUAXwAxAF8AMQBfAF8AMQBfAEYAZQByAHQAaQBsAGkAcwBlAHIATABlAGEAYwBoAGkAbgBnAEEAbgBkAFIAdQBuAG8AZgBmAE4AMgBPAEUAbQBpAHMAcwBpAG8AbgBzAF8ATABhAHQAZQB4AEUAcQB1AGEAdABpAG8AbgBcAG4AIAAgAD0ATABBAE0AQgBEAEEAKABcACIARQBfAHsAZgBlAHIAdAAsAGwAZQBhAGMAaAB9AD0AXABcAHMAdQBtAF8AewBqAH0AKAAoAE0AXwB7AGwAZQBhAGMAaAAsAGkAbgBvAHIAZwBhAG4AaQBjACwAagB9ACsATQBfAHsAbABlAGEAYwBoACwAbwByAGcAYQBuAGkAYwAsAGoAfQApAFwAXAB0AGkAbQBlAHMAIABFAEYAXwB7AGwAZQBhAGMAaAB9AFwAXAB0AGkAbQBlAHMAIABDAF8AewBOADIATwB9AFwAXAB0AGkAbQBlAHMAIAAxADAAXgB7AC0AMwB9ACkAXAAiACkAOwBcAG4AXABuAFYARQBFAFIARwBfADUAXwA1AF8AMQBfADEAXwBfADEAXwBGAGUAcgB0AGkAbABpAHMAZQByAEwAZQBhAGMAaABpAG4AZwBBAG4AZABSAHUAbgBvAGYAZgBOADIATwBFAG0AaQBzAHMAaQBvAG4AcwBfAEEAcgBnAHUAbQBlAG4AdABzAFwAbgAgACAAPQBMAEEATQBCAEQAQQAoAFwAbgAgACAAIAAgAE0AQQBLAEUAQQBSAFIAQQBZACgANAAsACAANAAsACAAXABuACAAIAAgACAAIAAgAEwAQQBNAEIARABBACgAcgAsAGMALAAgAFwAbgAgACAAIAAgACAAIAAgACAASQBOAEQARQBYACgAewBcAG4AIAAgACAAIAAgACAAIAAgACAAIABcACIATQBfAGwAZQBhAGMAaABpAG4AbwByAGcAYQBuAGkAYwBqAFwAIgAsAFwAIgBtAGEAcwBzACAAbwBmACAAbgBpAHQAcgBvAGcAZQBuACAAbABvAHMAdAAgAHQAaAByAG8AdQBnAGgAIABsAGUAYQBjAGgAaQBuAGcAIABhAG4AZAAgAHIAdQBuAG8AZgBmACAAZgByAG8AbQAgAGkAbgBvAHIAZwBhAG4AaQBjACAAZgBlAHIAdABpAGwAaQBzAGUAcgAgAGEAcABwAGwAaQBjAGEAdABpAG8AbgAgAGkAbgAgAHAAcgBvAGQAdQBjAHQAaQBvAG4AIABzAHkAcwB0AGUAbQAgAGoAXAAiACwAIABcACIAawBnACAATgBcACIALAAgAFwAIgBDAGEAbABjAHUAbABhAHQAZQBkACAAZgByAG8AbQAgADUALgA1AC4AMQAuADEAIAAoADIAKQBcACIAOwBcAG4AIAAgACAAIAAgACAAIAAgACAAIABcACIATQBfAGwAZQBhAGMAaABvAHIAZwBhAG4AaQBjAGoAXAAiACwAXAAiAG0AYQBzAHMAIABvAGYAIABuAGkAdAByAG8AZwBlAG4AIABsAG8AcwB0ACAAdABoAHIAbwB1AGcAaAAgAGwAZQBhAGMAaABpAG4AZwAgAGEAbgBkACAAcgB1AG4AbwBmAGYAIABmAHIAbwBtACAAbwByAGcAYQBuAGkAYwAgAGYAZQByAHQAaQBsAGkAcwBlAHIAIABhAHAAcABsAGkAYwBhAHQAaQBvAG4AXAAiACwAIABcACIAawBnACAATgBcACIALAAgAFwAIgBDAGEAbABjAHUAbABhAHQAZQBkACAAZgByAG8AbQAgADUALgA1AC4AMQAuADEAIAAoADMAKQBcACIAOwBcAG4AIAAgACAAIAAgACAAIAAgACAAIABcACIARQBGAF8AbABlAGEAYwBoAFwAIgAsAFwAIgBlAG0AaQBzAHMAaQBvAG4AIABmAGEAYwB0AG8AcgAgAGYAbwByACAAbgBpAHQAcgBvAGcAZQBuACAAbABlAGEAYwBoAGkAbgBnACAAYQBuAGQAIAByAHUAbgBvAGYAZ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XABuACAAIAAgACAAIAAgACAAIAB9ACwAIAByACwAIABjACkAXABuACAAIAAgACAAIAAgACkAXABuACAAIAAgACAAKQBcAG4AIAAgACkAOwBcAG4AXABuAC8AKgAgAFwAbgAtAC0ALQAtAC0ALQAtAC0ALQAtAC0ALQAtAC0ALQAtAC0ALQAtAC0ALQAtAC0ALQAtAC0ALQAtAC0ALQAtAC0ALQAtAC0ALQAtAC0AXABuAFYARQBFAFIARwBfADUAXwA1AF8AMQBfADEAXwBfADIAXwBNAGEAcwBzAE8AZgBOAGkAdAByAG8AZwBlAG4ATABlAGEAYwBoAGUAZABGAHIAbwBtAEkAbgBvAHIAZwBhAG4AaQBjAEYAZQByAHQAaQBsAGkAcwBlAHIAXABuAE0AYQBzAHMAIABvAGYAIABuAGkAdAByAG8AZwBlAG4AIABsAG8AcwB0ACAAdABoAHIAbwB1AGcAaAAgAGwAZQBhAGMAaABpAG4AZwAgAGEAbgBkACAAcgB1AG4AbwBmAGYAIABmAHIAbwBtACAAaQBuAG8AcgBnAGEAbgBpAGMAIABmAGUAcgB0AGkAbABpAHMAZQByACAAYQBwAHAAbABpAGMAYQB0AGkAbwBuACAAaQBuACAAcAByAG8AZAB1AGMAdABpAG8AbgAgAHMAeQBzAHQAZQBtACAAagBcAG4ATQBfAGwAZQBhAGMAaABpAG4AbwByAGcAYQBuAGkAYwBqAFwAbgBrAGcAIABOAFwAbgBNAF8AewBsAGUAYQBjAGgALABpAG4AbwByAGcAYQBuAGkAYwAsAGoAfQA9AFwAXABzAHUAbQBfAHsAZgB9ACgAewBNAE4AfQBfAHsAagBmAH0AXABcAHQAaQBtAGUAcwAgAEYAcgBhAGMAXwB7AFcARQBUACwAagB9AFwAXAB0AGkAbQBlAHMAIABGAHIAYQBjAF8AewBMAEUAQQBDAEgAfQApAFwAbgBNAE4AXwBqAGYAXABuAEYAcgBhAGMAVwBFAFQAagBcAG4ARgByAGEAYwBMAEUAQQBDAEgAXABuAGoAXABuAGYAXABuAC0ALQAtAC0ALQAtAC0ALQAtAC0ALQAtAC0ALQAtAC0ALQAtAC0ALQAtAC0ALQAtAC0ALQAtAC0ALQAtAC0ALQAtAC0ALQAtAC0ALQBcAG4AKgAvAFwAbgBcAG4AVgBFAEUAUgBHAF8ANQBfADUAXwAxAF8AMQBfAF8AMgBfAE0AYQBzAHMATwBmAE4AaQB0AHIAbwBnAGUAbgBMAGUAYQBjAGgAZQBkAEYAcgBvAG0ASQBuAG8AcgBnAGEAbgBpAGMARgBlAHIAdABpAGwAaQBzAGUAcgBcAG4AIAAgAD0ATABBAE0AQgBEAEEAKABcAG4AIAAgACAAIABNAE4AXwBqAGYALAAgAEYAcgBhAGMAVwBFAFQAagAsACAARgByAGEAYwBMAEUAQQBDAEgALABcAG4AIAAgACAAIABNAE4AXwBqAGYAIAAqACAARgByAGEAYwBXAEUAVABqACAAKgAgAEYAcgBhAGMATABFAEEAQwBIAFwAbgAgACAAKQA7AFwAbgBcAG4AVgBFAEUAUgBHAF8ANQBfADUAXwAxAF8AMQBfAF8AMgBfAE0AYQBzAHMATwBmAE4AaQB0AHIAbwBnAGUAbgBMAGUAYQBjAGgAZQBkAEYAcgBvAG0ASQBuAG8AcgBnAGEAbgBpAGMARgBlAHIAdABpAGwAaQBzAGUAcgBfAFQAaQB0AGwAZQBcAG4AIAAgAD0ATABBAE0AQgBEAEEAKABcACIATQBhAHMAcwAgAG8AZgAgAG4AaQB0AHIAbwBnAGUAbgAgAGwAbwBzAHQAIAB0AGgAcgBvAHUAZwBoACAAbABlAGEAYwBoAGkAbgBnACAAYQBuAGQAIAByAHUAbgBvAGYAZgAgAGYAcgBvAG0AIABpAG4AbwByAGcAYQBuAGkAYwAgAGYAZQByAHQAaQBsAGkAcwBlAHIAIABhAHAAcABsAGkAYwBhAHQAaQBvAG4AIABpAG4AIABwAHIAbwBkAHUAYwB0AGkAbwBuACAAcwB5AHMAdABlAG0AIABqAFwAIgApADsAXABuAFwAbgBWAEUARQBSAEcAXwA1AF8ANQBfADEAXwAxAF8AXwAyAF8ATQBhAHMAcwBPAGYATgBpAHQAcgBvAGcAZQBuAEwAZQBhAGMAaABlAGQARgByAG8AbQBJAG4AbwByAGcAYQBuAGkAYwBGAGUAcgB0AGkAbABpAHMAZQByAF8AVgBhAHIAaQBhAGIAbABlAFwAbgAgACAAPQBMAEEATQBCAEQAQQAoAFwAIgBNAF8AbABlAGEAYwBoAGkAbgBvAHIAZwBhAG4AaQBjAGoAXAAiACkAOwBcAG4AXABuAFYARQBFAFIARwBfADUAXwA1AF8AMQBfADEAXwBfADIAXwBNAGEAcwBzAE8AZgBOAGkAdAByAG8AZwBlAG4ATABlAGEAYwBoAGUAZABGAHIAbwBtAEkAbgBvAHIAZwBhAG4AaQBjAEYAZQByAHQAaQBsAGkAcwBlAHIAXwBVAG4AaQB0AFwAbgAgACAAPQBMAEEATQBCAEQAQQAoAFwAIgBrAGcAIABOAFwAIgApADsAXABuAFwAbgBWAEUARQBSAEcAXwA1AF8ANQBfADEAXwAxAF8AXwAyAF8ATQBhAHMAcwBPAGYATgBpAHQAcgBvAGcAZQBuAEwAZQBhAGMAaABlAGQARgByAG8AbQBJAG4AbwByAGcAYQBuAGkAYwBGAGUAcgB0AGkAbABpAHMAZQByAF8AUwBvAHUAcgBjAGUAXABuACAAIAA9AEwAQQBNAEIARABBACgAXAAiAFYARQBFAFIARwAgADIAMAAyADYAOgAgADUALgA1ACwAIABFAHEAdQBhAHQAaQBvAG4AIAAoADIAKQBcACIAKQA7AFwAbgBcAG4AVgBFAEUAUgBHAF8ANQBfADUAXwAxAF8AMQBfAF8AMgBfAE0AYQBzAHMATwBmAE4AaQB0AHIAbwBnAGUAbgBMAGUAYQBjAGgAZQBkAEYAcgBvAG0ASQBuAG8AcgBnAGEAbgBpAGMARgBlAHIAdABpAGwAaQBzAGUAcgBfAE4ASQBSAFIAZQBmAGUAcgBlAG4AYwBlAFwAbgAgACAAPQBMAEEATQBCAEQAQQAoAFwAIgBcACIAKQA7AFwAbgBcAG4AVgBFAEUAUgBHAF8ANQBfADUAXwAxAF8AMQBfAF8AMgBfAE0AYQBzAHMATwBmAE4AaQB0AHIAbwBnAGUAbgBMAGUAYQBjAGgAZQBkAEYAcgBvAG0ASQBuAG8AcgBnAGEAbgBpAGMARgBlAHIAdABpAGwAaQBzAGUAcgBfAEwAYQB0AGUAeABFAHEAdQBhAHQAaQBvAG4AXABuACAAIAA9AEwAQQBNAEIARABBACgAXAAiAE0AXwB7AGwAZQBhAGMAaAAsAGkAbgBvAHIAZwBhAG4AaQBjACwAagB9AD0AXABcAHMAdQBtAFwAXABuAG8AbABpAG0AaQB0AHMAXwB7AGYAfQBcAFwAbABlAGYAdAAoAHsATQBOAH0AXwB7AGoAZgB9AFwAXAB0AGkAbQBlAHMAIABGAHIAYQBjAF8AewBXAEUAVAAsAGoAfQBcAFwAdABpAG0AZQBzACAARgByAGEAYwBfAHsATABFAEEAQwBIAH0AXABcAHIAaQBnAGgAdAApAFwAIgApADsAXABuAFwAbgBWAEUARQBSAEcAXwA1AF8ANQBfADEAXwAxAF8AXwAyAF8ATQBhAHMAcwBPAGYATgBpAHQAcgBvAGcAZQBuAEwAZQBhAGMAaABlAGQARgByAG8AbQBJAG4AbwByAGcAYQBuAGkAYwBGAGUAcgB0AGkAbABpAHMAZQByAF8AQQByAGcAdQBtAGUAbgB0AHMAXABuACAAIAA9AEwAQQBNAEIARABBACgAXABuACAAIAAgACAATQBBAEsARQBBAFIAUgBBAFkAKAA2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XAAiACwAIABcACIAawBnACAATgBcACIALAAgAFwAIgBDAGEAbABjAHUAbABhAHQAZQBkACAAZgByAG8AbQAgADUALgAxAC4AMQAuADEAIAAoADIAKQBcACIAOwBcAG4AIAAgACAAIAAgACAAIAAgACAAIABcACIARgByAGEAYwBXAEUAVABqAFwAIgAsAFwAIgBmAHIAYQBjAHQAaQBvAG4AIABvAGYAIABOACAAYQB2AGEAaQBsAGEAYgBsAGUAIABmAG8AcgAgAGwAZQBhAGMAaABpAG4AZwAgAGEAbgBkACAAcgB1AG4AbwBmAGYAXAAiACwAIABcACIAZgByAGEAYwB0AGkAbwBuAFwAIgAsACAAXAAiAEMAbwBuAHMAdABhAG4AdABcACIAOwBcAG4AIAAgACAAIAAgACAAIAAgACAAIABcACIARgByAGEAYwBMAEUAQQBDAEgAXAAiACwAXAAiAGYAcgBhAGMAdABpAG8AbgAgAG8AZgAgAE4AIAB0AGgAYQB0ACAAaQBzACAAbABvAHMAdAAgAHQAaAByAG8AdQBnAGgAIABsAGUAYQBjAGgAaQBuAGcAIABhAG4AZAAgAHIAdQBuAG8AZgBmAFwAIgAsACAAXAAiAGYAcgBhAGMAdABpAG8AbgBcACIALAAgAFwAIgBDAG8AbgBzAHQAYQBuAHQAXAAiADsAXABuACAAIAAgACAAIAAgACAAIAAgACAAIAAgAFwAIgB6AFwAIgAsAFwAIgBsAG8AYwBhAHQAaQBvAG4AIABpAG4AIABsAGUAYQBjAGgAaQBuAGcAIAB6AG8AbgBlAFwAIgAsACAAXAAiAFwAIgAsACAAXAAiAEkAbgBwAHUAdABcACIAOwBcAG4AIAAgACAAIAAgACAAIAAgACAAIAAgACAAXAAiAGoAXAAiACwAXAAiAHAAcgBvAGQAdQBjAHQAaQBvAG4AIABzAHkAcwB0AGUAbQBcACIALAAgAFwAIgBcACIALAAgAFwAIgBJAG4AcAB1AHQAXAAiADsAXABuACAAIAAgACAAIAAgACAAIAAgACAAIAAgAFwAIgBpAHIAXAAiACwAXAAiAGkAcgByAGkAZwBhAHQAaQBvAG4AIABtAGUAdABoAG8AZA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NQBfADEAXwAxAF8AXwAzAF8ATQBhAHMAcwBPAGYATgBpAHQAcgBvAGcAZQBuAEwAZQBhAGMAaABlAGQARgByAG8AbQBPAHIAZwBhAG4AaQBjAEYAZQByAHQAaQBsAGkAcwBlAHIAXABuAE0AYQBzAHMAIABvAGYAIABuAGkAdAByAG8AZwBlAG4AIABsAG8AcwB0ACAAdABoAHIAbwB1AGcAaAAgAGwAZQBhAGMAaABpAG4AZwAgAGEAbgBkACAAcgB1AG4AbwBmAGYAIABmAHIAbwBtACAAbwByAGcAYQBuAGkAYwAgAGYAZQByAHQAaQBsAGkAcwBlAHIAIABhAHAAcABsAGkAYwBhAHQAaQBvAG4AIABpAG4AIABwAHIAbwBkAHUAYwB0AGkAbwBuACAAcwB5AHMAdABlAG0AIABqAFwAbgBNAF8AbABlAGEAYwBoAG8AcgBnAGEAbgBpAGMAagBcAG4AawBnACAATgBcAG4ATQBfAHsAbABlAGEAYwBoACwAbwByAGcAYQBuAGkAYwAsAGoAfQA9AFwAXABzAHUAbQBfAHsAZgB9ACgAewBNAE4AUwBvAGkAbAB9AF8AewBqAGYAfQBcAFwAdABpAG0AZQBzACAARgByAGEAYwBfAHsAVwBFAFQALABqAH0AXABcAHQAaQBtAGUAcwAgAEYAcgBhAGMAXwB7AEwARQBBAEMASAB9ACkAXABuAE0ATgBTAG8AaQBsAF8AagBmAFwAbgBGAHIAYQBjAFcARQBUAGoAXABuAEYAcgBhAGMATABFAEEAQwBIAFwAbgBqAFwAbgBmAFwAbgAtAC0ALQAtAC0ALQAtAC0ALQAtAC0ALQAtAC0ALQAtAC0ALQAtAC0ALQAtAC0ALQAtAC0ALQAtAC0ALQAtAC0ALQAtAC0ALQAtAC0AXABuACoALwBcAG4AXABuAFYARQBFAFIARwBfADUAXwA1AF8AMQBfADEAXwBfADMAXwBNAGEAcwBzAE8AZgBOAGkAdAByAG8AZwBlAG4ATABlAGEAYwBoAGUAZABGAHIAbwBtAE8AcgBnAGEAbgBpAGMARgBlAHIAdABpAGwAaQBzAGUAcgBcAG4AIAAgAD0ATABBAE0AQgBEAEEAKABcAG4AIAAgACAAIABNAE4AUwBvAGkAbABfAGoAZgAsACAARgByAGEAYwBXAEUAVABqACwAIABGAHIAYQBjAEwARQBBAEMASAAsAFwAbgAgACAAIAAgAE0ATgBTAG8AaQBsAF8AagBmACAAKgAgAEYAcgBhAGMAVwBFAFQAagAgACoAIABGAHIAYQBjAEwARQBBAEMASABcAG4AIAAgACkAOwBcAG4AXABuAFYARQBFAFIARwBfADUAXwA1AF8AMQBfADEAXwBfADMAXwBNAGEAcwBzAE8AZgBOAGkAdAByAG8AZwBlAG4ATABlAGEAYwBoAGUAZABGAHIAbwBtAE8AcgBnAGEAbgBpAGMARgBlAHIAdABpAGwAaQBzAGUAcgBfAFQAaQB0AGwAZQBcAG4AIAAgAD0ATABBAE0AQgBEAEEAKABcACIATQBhAHMAcwAgAG8AZgAgAG4AaQB0AHIAbwBnAGUAbgAgAGwAbwBzAHQAIAB0AGgAcgBvAHUAZwBoACAAbABlAGEAYwBoAGkAbgBnACAAYQBuAGQAIAByAHUAbgBvAGYAZgAgAGYAcgBvAG0AIABvAHIAZwBhAG4AaQBjACAAZgBlAHIAdABpAGwAaQBzAGUAcgAgAGEAcABwAGwAaQBjAGEAdABpAG8AbgAgAGkAbgAgAHAAcgBvAGQAdQBjAHQAaQBvAG4AIABzAHkAcwB0AGUAbQAgAGoAXAAiACkAOwBcAG4AXABuAFYARQBFAFIARwBfADUAXwA1AF8AMQBfADEAXwBfADMAXwBNAGEAcwBzAE8AZgBOAGkAdAByAG8AZwBlAG4ATABlAGEAYwBoAGUAZABGAHIAbwBtAE8AcgBnAGEAbgBpAGMARgBlAHIAdABpAGwAaQBzAGUAcgBfAFYAYQByAGkAYQBiAGwAZQBcAG4AIAAgAD0ATABBAE0AQgBEAEEAKABcACIATQBfAGwAZQBhAGMAaABvAHIAZwBhAG4AaQBjAGoAXAAiACkAOwBcAG4AXABuAFYARQBFAFIARwBfADUAXwA1AF8AMQBfADEAXwBfADMAXwBNAGEAcwBzAE8AZgBOAGkAdAByAG8AZwBlAG4ATABlAGEAYwBoAGUAZABGAHIAbwBtAE8AcgBnAGEAbgBpAGMARgBlAHIAdABpAGwAaQBzAGUAcgBfAFUAbgBpAHQAXABuACAAIAA9AEwAQQBNAEIARABBACgAXAAiAGsAZwAgAE4AXAAiACkAOwBcAG4AXABuAFYARQBFAFIARwBfADUAXwA1AF8AMQBfADEAXwBfADMAXwBNAGEAcwBzAE8AZgBOAGkAdAByAG8AZwBlAG4ATABlAGEAYwBoAGUAZABGAHIAbwBtAE8AcgBnAGEAbgBpAGMARgBlAHIAdABpAGwAaQBzAGUAcgBfAFMAbwB1AHIAYwBlAFwAbgAgACAAPQBMAEEATQBCAEQAQQAoAFwAIgBWAEUARQBSAEcAIAAyADAAMgA2ADoAIAA1AC4ANQAsACAARQBxAHUAYQB0AGkAbwBuACAAKAAzACkAXAAiACkAOwBcAG4AXABuAFYARQBFAFIARwBfADUAXwA1AF8AMQBfADEAXwBfADMAXwBNAGEAcwBzAE8AZgBOAGkAdAByAG8AZwBlAG4ATABlAGEAYwBoAGUAZABGAHIAbwBtAE8AcgBnAGEAbgBpAGMARgBlAHIAdABpAGwAaQBzAGUAcgBfAE4ASQBSAFIAZQBmAGUAcgBlAG4AYwBlAFwAbgAgACAAPQBMAEEATQBCAEQAQQAoAFwAIgBcACIAKQA7AFwAbgBcAG4AVgBFAEUAUgBHAF8ANQBfADUAXwAxAF8AMQBfAF8AMwBfAE0AYQBzAHMATwBmAE4AaQB0AHIAbwBnAGUAbgBMAGUAYQBjAGgAZQBkAEYAcgBvAG0ATwByAGcAYQBuAGkAYwBGAGUAcgB0AGkAbABpAHMAZQByAF8ATABhAHQAZQB4AEUAcQB1AGEAdABpAG8AbgBcAG4AIAAgAD0ATABBAE0AQgBEAEEAKABcACIATQBfAHsAbABlAGEAYwBoACwAbwByAGcAYQBuAGkAYwAsAGoAfQA9AFwAXABzAHUAbQBcAFwAbgBvAGwAaQBtAGkAdABzAF8AewBmAH0AXABcAGwAZQBmAHQAKAB7AE0ATgBTAG8AaQBsAH0AXwB7AGoAZgB9AFwAXAB0AGkAbQBlAHMAIABGAHIAYQBjAF8AewBXAEUAVAAsAGoAfQBcAFwAdABpAG0AZQBzACAARgByAGEAYwBfAHsATABFAEEAQwBIAH0AXABcAHIAaQBnAGgAdAApAFwAIgApADsAXABuAFwAbgBWAEUARQBSAEcAXwA1AF8ANQBfADEAXwAxAF8AXwAzAF8ATQBhAHMAcwBPAGYATgBpAHQAcgBvAGcAZQBuAEwAZQBhAGMAaABlAGQARgByAG8AbQBPAHIAZwBhAG4AaQBjAEYAZQByAHQAaQBsAGkAcwBlAHIAXwBBAHIAZwB1AG0AZQBuAHQAcwBcAG4AIAAgAD0ATABBAE0AQgBEAEEAKABcAG4AIAAgACAAIABNAEEASwBFAEEAUgBSAEEAWQAoADYALAAgADQALAAgAFwAbgAgACAAIAAgACAAIABMAEEATQBCAEQAQQAoAHIALABjACwAIABcAG4AIAAgACAAIAAgACAAIAAgAEkATgBEAEUAWAAoAHsAXABuACAAIAAgACAAIAAgACAAIAAgACAAXAAiAE0ATgBTAG8AaQBsAF8AagBmAFwAIgAsAFwAIgBtAGEAcwBzACAAbwBmACAAbgBpAHQAcgBvAGcAZQBuACAAaQBuACAAbwByAGcAYQBuAGkAYwAgAGYAZQByAHQAaQBsAGkAcwBlAHIAXAAiACwAIABcACIAawBnACAATgBcACIALAAgAFwAIgBDAGEAbABjAHUAbABhAHQAZQBkACAAZgByAG8AbQAgADUALgAyAC4AMQAuADEAIAAoADIAKQBcACIAOwBcAG4AIAAgACAAIAAgACAAIAAgACAAIABcACIARgByAGEAYwBXAEUAVABqAFwAIgAsAFwAIgBmAHIAYQBjAHQAaQBvAG4AIABvAGYAIABOACAAYQB2AGEAaQBsAGEAYgBsAGUAIABmAG8AcgAgAGwAZQBhAGMAaABpAG4AZwAgAGEAbgBkACAAcgB1AG4AbwBmAGYAXAAiACwAIABcACIAZgByAGEAYwB0AGkAbwBuAFwAIgAsACAAXAAiAEMAbwBuAHMAdABhAG4AdABcACIAOwBcAG4AIAAgACAAIAAgACAAIAAgACAAIABcACIARgByAGEAYwBMAEUAQQBDAEgAXAAiACwAXAAiAGYAcgBhAGMAdABpAG8AbgAgAG8AZgAgAE4AIAB0AGgAYQB0ACAAaQBzACAAbABvAHMAdAAgAHQAaAByAG8AdQBnAGgAIABsAGUAYQBjAGgAaQBuAGcAIABhAG4AZAAgAHIAdQBuAG8AZgBmAFwAIgAsACAAXAAiAGYAcgBhAGMAdABpAG8AbgBcACIALAAgAFwAIgBDAG8AbgBzAHQAYQBuAHQAXAAiADsAXABuACAAIAAgACAAIAAgACAAIAAgACAAXAAiAHoAXAAiACwAXAAiAGwAbwBjAGEAdABpAG8AbgAgAGkAbgAgAGwAZQBhAGMAaABpAG4AZwAgAHoAbwBuAGUAXAAiACwAIABcACIAXAAiACwAIABcACIASQBuAHAAdQB0AFwAIgA7AFwAbgAgACAAIAAgACAAIAAgACAAIAAgAFwAIgBqAFwAIgAsAFwAIgBwAHIAbwBkAHUAYwB0AGkAbwBuACAAcwB5AHMAdABlAG0AXAAiACwAIABcACIAXAAiACwAIABcACIASQBuAHAAdQB0AFwAIgA7AFwAbgAgACAAIAAgACAAIAAgACAAIAAgAFwAIgBpAHIAXAAiACwAXAAiAGkAcgByAGkAZwBhAHQAaQBvAG4AIABtAGUAdABoAG8AZABcACIALAAgAFwAIgBcACIALAAgAFwAIgBJAG4AcAB1AHQAXAAiAFwAbgAgACAAIAAgACAAIAAgACAAfQAsACAAcgAsACAAYwApAFwAbgAgACAAIAAgACAAIAApAFwAbgAgACAAIAAgACkAXABuACAAIAApADsAXABuACIAfQAsAHsAIgBwAGEAdABoACIAOgAiAC8AcAByAG8AagBlAGMAdABzAC8AVwBhAHMAdABlAFMAbwBsAGkAZABfAEkAbgBwAHUAdABGAHUAbgBjAHQAaQBvAG4AcwAiACwAIgB0AGUAeAB0ACIAOgAiAFwAbgBXAGEAcwB0AGUAUwBvAGwAaQBkAF8ASQBuAHAAdQB0AEYAdQBuAGMAdABpAG8AbgBzAF8AUwB1AG0AVwBhAHMAdABlAFQAcgBlAGEAdABtAGUAbgB0AFwAbgA9AEwAQQBNAEIARABBACgAXABuACAAIABUAHIAZQBhAHQAbQBlAG4AdABBAHIAcgBhAHkALAAgAFcAYQBzAHQAZQBBAHIAcgBhAHkALAAgAFQAcgBlAGEAdABtAGUAbgB0AEwAbwBjAGEAdABpAG8AbgBBAHIAcgBhAHkALAAgAFUAbgBpAHQAQQByAHIAYQB5ACwAIABBAG0AbwB1AG4AdABBAHIAcgBhAHkALABcAG4AIAAgAFQAcgBlAGEAdABtAGUAbgB0AFQAeQBwAGUALAAgAFcAYQBzAHQAZQBUAHkAcABlACwAIABUAHIAZQBhAHQAbQBlAG4AdABMAG8AYwBhAHQAaQBvAG4AVAB5AHAAZQAsACAAVQBuAGkAdABUAHkAcABlACwAXABuACAAIABTAFUATQBJAEYAUwAoAFwAbgAgACAAIAAgAEEAbQBvAHUAbgB0AEEAcgByAGEAeQAsAFwAbgAgACAAIABUAHIAZQBhAHQAbQBlAG4AdABBAHIAcgBhAHkALAAgAFQAcgBlAGEAdABtAGUAbgB0AFQAeQBwAGUALABcAG4AIAAgACAAIABXAGEAcwB0AGUAQQByAHIAYQB5ACwAIABXAGEAcwB0AGUAVAB5AHAAZQAsAFwAbgAgACAAIAAgAFQAcgBlAGEAdABtAGUAbgB0AEwAbwBjAGEAdABpAG8AbgBBAHIAcgBhAHkALAAgAFQAcgBlAGEAdABtAGUAbgB0AEwAbwBjAGEAdABpAG8AbgBUAHkAcABlACwAIABcAG4AIAAgACAAIABVAG4AaQB0AEEAcgByAGEAeQAsACAAVQBuAGkAdABUAHkAcABlAFwAbgAgACAAKQBcAG4AKQA7ACIAfQAsAHsAIgBwAGEAdABoACIAOgAiAC8AcAByAG8AagBlAGMAdABzAC8AVwBhAHMAdABlAFMAbwBsAGkAZABfAFMAbwB1AHIAYwBlAEQAYQB0AGEAIgAsACIAdABlAHgAdAAiADoAIgAvACoAXABuAD0APQA9AD0APQA9AD0APQA9AD0APQA9AD0APQA9AD0APQA9AD0APQA9AD0APQA9AD0APQA9AD0APQA9AD0APQA9AD0APQA9AD0APQA9AD0APQA9AD0APQA9AD0APQA9AD0APQA9AD0APQA9AD0APQA9AD0APQA9AD0APQA9AD0APQA9AD0APQA9AD0APQA9AD0APQA9AD0AXABuAEUAbQBpAHMAcwBpAG8AbgAgAGYAYQBjAHQAbwByAHMAIABmAG8AcgAgAHcAYQBzAHQAZQBzACAAZABpAHMAcABvAHMAZQBkACAAbwBmACAAYQB0ACAAZABpAGYAZgBlAHIAZQBuAHQAIAB0AHIAZQBhAHQAbQBlAG4AdAAgAGYAYQBjAGkAbABpAHQAaQBlAHMAXABuAD0APQA9AD0APQA9AD0APQA9AD0APQA9AD0APQA9AD0APQA9AD0APQA9AD0APQA9AD0APQA9AD0APQA9AD0APQA9AD0APQA9AD0APQA9AD0APQA9AD0APQA9AD0APQA9AD0APQA9AD0APQA9AD0APQA9AD0APQA9AD0APQA9AD0APQA9AD0APQA9AD0APQA9AD0APQA9AD0AXABuACoALwBcAG4AXABuAFcAYQBzAHQAZQBfAEUAbQBpAHMAcwBpAG8AbgBGAGEAYwB0AG8AcgBzAEYAbwByAFcAYQBzAHQAZQBUAHIAZQBhAHQAbQBlAG4AdABfAFQAaQB0AGwAZQBcAG4APQBMAEEATQBCAEQAQQAoACgAXAAiAEUAbQBpAHMAcwBpAG8AbgAgAGYAYQBjAHQAbwByAHMAIABmAG8AcgAgAHcAYQBzAHQAZQBzACAAZABpAHMAcABvAHMAZQBkACAAbwBmACAAYQB0ACAAZABpAGYAZgBlAHIAZQBuAHQAIAB0AHIAZQBhAHQAbQBlAG4AdAAgAGYAYQBjAGkAbABpAHQAaQBlAHMAXAAiACkAKQA7AFwAbgBcAG4AVwBhAHMAdABlAF8ARQBtAGkAcwBzAGkAbwBuAEYAYQBjAHQAbwByAHMARgBvAHIAVwBhAHMAdABlAFQAcgBlAGEAdABtAGUAbgB0AF8AVgBhAHIAaQBhAGIAbABlAFwAbgA9AEwAQQBNAEIARABBACgAKABcACIARQBGAHcAdABcACIAKQApADsAXABuAFwAbgBXAGEAcwB0AGUAXwBFAG0AaQBzAHMAaQBvAG4ARgBhAGMAdABvAHIAcwBGAG8AcgBXAGEAcwB0AGUAVAByAGUAYQB0AG0AZQBuAHQAXwBVAG4AaQB0AFwAbgA9AEwAQQBNAEIARABBACgAKABcACIAdAAgAEMATwAyAGUAIAAvACAAdABcACIAKQApADsAXABuAFwAbgBXAGEAcwB0AGUAXwBFAG0AaQBzAHMAaQBvAG4ARgBhAGMAdABvAHIAcwBGAG8AcgBXAGEAcwB0AGUAVAByAGUAYQB0AG0AZQBuAHQAXwBTAG8AdQByAGMAZQBcAG4APQBMAEEATQBCAEQAQQAoACgAXAAiAFYARQBFAFIARwAgADIAMAAyADYAOgAgAFQAYQBiAGwAZQAgAEEALgA0AC4AMQAuADEAXAAiACkAKQA7AFwAbgBcAG4AVwBhAHMAdABlAF8ARQBtAGkAcwBzAGkAbwBuAEYAYQBjAHQAbwByAHMARgBvAHIAVwBhAHMAdABlAFQAcgBlAGEAdABtAGUAbgB0AF8ARABhAHQAYQBcAG4APQBMAEEATQBCAEQAQQAoAFwAbgAgACAATQBBAEsARQBBAFIAUgBBAFkAKAAyADEALAAgADQALABcAG4AIAAgACAAIABMAEEATQBCAEQAQQAoAHIALABjACwAXABuACAAIAAgACAAIAAgAEkATgBEAEUAWAAoAHsAXABuACAAIAAgACAAIAAgACAAIABcACIAVAByAGUAYQB0AG0AZQBuAHQAIAB0AHkAcABlACAAdABcACIALAAgAFwAIgBXAGEAcwB0AGUAIAB0AHkAcABlACAAdwBcACIALAAgAFwAIgBFAEYAdwB0AFwAIgAsACAAXAAiAEUARgAgAHMAbwB1AHIAYwBlAFwAIgA7AFwAbgAgACAAIAAgACAAIAAgACAAXAAiAEwAYQBuAGQAZgBpAGwAbABcACIALAAgAFwAIgBGAG8AbwBkACAAdwBhAHMAdABlACAAKABpAG4AYwBsAHUAZABpAG4AZwAgAGEAbgBpAG0AYQBsACAAYwBhAHIAYwBhAHMAcwBlAHMALAAgAHMAcABvAGkAbABlAGQAIABhAG4AaQBtAGEAbAAgAGYAZQBlAGQAIABvAHIAIABjAHIAbwBwACkAXAAiACwAIAAyAC4AMQAsACAAXAAiAE4ARwBBAEYAIAAyADAAMgA1ACAAdABhAGIAbABlACAAMQA1AFwAIgA7AFwAbgAgACAAIAAgACAAIAAgACAAXAAiAEwAYQBuAGQAZgBpAGwAbABcACIALAAgAFwAIgBQAGEAcABlAHIAIABhAG4AZAAgAGMAYQByAGQAYgBvAGEAcgBkAFwAIgAsACAAMwAuADMALAAgAFwAIgBOAEcAQQBGACAAMgAwADIANQAgAHQAYQBiAGwAZQAgADEANQBcACIAOwBcAG4AIAAgACAAIAAgACAAIAAgAFwAIgBMAGEAbgBkAGYAaQBsAGwAXAAiACwAIABcACIARwByAGUAZQBuACAAdwBhAHMAdABlACAAKABpAG4AYwBsAHUAZABpAG4AZwAgAGMAcgBvAHAAIAByAGUAcwBpAGQAdQBlAHMAIABvAHIAIABwAHIAdQBuAG4AaQBuAGcAcwApAFwAIgAsACAAMQAuADYALAAgAFwAIgBOAEcAQQBGACAAMgAwADIANQAgAHQAYQBiAGwAZQAgADEANQBcACIAOwBcAG4AIAAgACAAIAAgACAAIAAgAFwAIgBMAGEAbgBkAGYAaQBsAGwAXAAiACwAIABcACIAVwBvAG8AZABcACIALAAgADAALgA3ACwAIABcACIATgBHAEEARgAgADIAMAAyADUAIAB0AGEAYgBsAGUAIAAxADUAXAAiADsAXABuACAAIAAgACAAIAAgACAAIABcACIATABhAG4AZABmAGkAbABsAFwAIgAsACAAXAAiAFQAZQB4AHQAaQBsAGUAcwBcACIALAAgADIALgAwACwAIABcACIATgBHAEEARgAgADIAMAAyADUAIAB0AGEAYgBsAGUAIAAxADUAXAAiADsAXABuACAAIAAgACAAIAAgACAAIABcACIATABhAG4AZABmAGkAbABsAFwAIgAsACAAXAAiAFMAbAB1AGQAZwBlAFwAIgAsACAAMAAuADQALAAgAFwAIgBOAEcAQQBGACAAMgAwADIANQAgAHQAYQBiAGwAZQAgADEANQBcACIAOwBcAG4AIAAgACAAIAAgACAAIAAgAFwAIgBMAGEAbgBkAGYAaQBsAGwAXAAiACwAIABcACIAUgB1AGIAYgBlAHIAIABhAG4AZAAgAGwAZQBhAHQAaABlAHIAXAAiACwAIAAzAC4AMwAsACAAXAAiAE4ARwBBAEYAIAAyADAAMgA1ACAAdABhAGIAbABlACAAMQA1AFwAIgA7AFwAbgAgACAAIAAgACAAIAAgACAAXAAiAEwAYQBuAGQAZgBpAGwAbABcACIALAAgAFwAIgBJAG4AZQByAHQAIAB3AGEAcwB0AGUAIAAoAGkAbgBjAGwAdQBkAGkAbgBnACAAYwBvAG4AYwByAGUAdABlACwAIABtAGUAdABhAGwALAAgAHAAbABhAHMAdABpAGMAIABvAHIAIABnAGwAYQBzAHMAKQBcACIALAAgADAALAAgAFwAIgBOAEcAQQBGACAAMgAwADIANQAgAHQAYQBiAGwAZQAgADEANQBcACIAOwBcAG4AIAAgACAAIAAgACAAIAAgAFwAIgBMAGEAbgBkAGYAaQBsAGwAXAAiACwAIABcACIATQB1AG4AaQBjAGkAcABhAGwAIABzAG8AbABpAGQAIAB3AGEAcwB0AGUAXAAiACwAIAAxAC4ANgAsACAAXAAiAE4ARwBBAEYAIAAyADAAMgA1ACAAdABhAGIAbABlACAAMQA1AFwAIgA7AFwAbgAgACAAIAAgACAAIAAgACAAXAAiAEwAYQBuAGQAZgBpAGwAbABcACIALAAgAFwAIgBDAG8AbQBtAGUAcgBjAGkAYQBsACAAYQBuAGQAIABpAG4AZAB1AHMAdAByAGkAYQBsACAAdwBhAHMAdABlAFwAIgAsACAAMQAuADMALAAgAFwAIgBOAEcAQQBGACAAMgAwADIANQAgAHQAYQBiAGwAZQAgADEANQBcACIAOwBcAG4AIAAgACAAIAAgACAAIAAgAFwAIgBMAGEAbgBkAGYAaQBsAGwAXAAiACwAIABcACIAQwBvAG4AcwB0AHIAdQBjAHQAaQBvAG4AIABhAG4AZAAgAGQAZQBtAG8AbABpAHQAaQBvAG4AIAB3AGEAcwB0AGUAXAAiACwAIAAwAC4AMgAsACAAXAAiAE4ARwBBAEYAIAAyADAAMgA1ACAAdABhAGIAbABlACAAMQA1AFwAIgA7AFwAbgAgACAAIAAgACAAIAAgACAAXAAiAEkAbgBjAGkAbgBlAHIAYQB0AGkAbwBuAFwAIgAsACAAXAAiAEYAbwBvAGQAIAB3AGEAcwB0AGUALAAgAGcAcgBlAGUAbgAgAHcAYQBzAHQAZQAsACAAdwBvAG8AZAAsACAAcwBsAHUAZABnAGUAXAAiACwAIAAwACwAIABcACIAXAAiADsAXABuACAAIAAgACAAIAAgACAAIABcACIASQBuAGMAaQBuAGUAcgBhAHQAaQBvAG4AXAAiACwAIABcACIAUABhAHAAZQByACAAYQBuAGQAIABjAGEAcgBkAGIAbwBhAHIAZABcACIALAAgADAALgAwADEANgA5ACwAIABcACIAXAAiADsAXABuACAAIAAgACAAIAAgACAAIABcACIASQBuAGMAaQBuAGUAcgBhAHQAaQBvAG4AXAAiACwAIABcACIAVABlAHgAdABpAGwAZQBzAFwAIgAsACAAMAAuADMANgA2ADcALAAgAFwAIgBcACIAOwBcAG4AIAAgACAAIAAgACAAIAAgAFwAIgBJAG4AYwBpAG4AZQByAGEAdABpAG8AbgBcACIALAAgAFwAIgBSAHUAYgBiAGUAcgAgAGEAbgBkACAAbABlAGEAdABoAGUAcgBcACIALAAgADAALgA0ADkAMQA5ACwAIABcACIAXAAiADsAXABuACAAIAAgACAAIAAgACAAIABcACIASQBuAGMAaQBuAGUAcgBhAHQAaQBvAG4AXAAiACwAIABcACIASQBuAGUAcgB0ACAAVwBhAHMAdABlAFwAIgAsACAAMAAuADEAMQAwADAALAAgAFwAIgBcACIAOwBcAG4AIAAgACAAIAAgACAAIAAgAFwAIgBJAG4AYwBpAG4AZQByAGEAdABpAG8AbgBcACIALAAgAFwAIgBNAHUAbgBpAGMAaQBwAGEAbAAgAFMAbwBsAGkAZAAgAFcAYQBzAHQAZQBcACIALAAgADAALgAwADUAMwA3ACwAIABcACIATgBHAEEARgAgADIAMAAyADUAIABUAGEAYgBsAGUAIAAxADgAXAAiADsAXABuACAAIAAgACAAIAAgACAAIABcACIASQBuAGMAaQBuAGUAcgBhAHQAaQBvAG4AXAAiACwAIABcACIASQBuAGQAdQBzAHQAcgBpAGEAbAAgAFcAYQBzAHQAZQBcACIALAAgADEALgA2ADQAOQAsACAAXAAiAE4ARwBBAEYAIAAyADAAMgA1ACAAVABhAGIAbABlACAAMQA4AFwAIgA7AFwAbgAgACAAIAAgACAAIAAgACAAXAAiAEMAbwBtAHAAbwBzAHQAaQBuAGcAXAAiACwAIABcACIAQQBsAGwAIABvAHIAZwBhAG4AaQBjACAAdwBhAHMAdABlAFwAIgAsACAAMAAuADAANAA2ACwAIABcACIATgBHAEEARgAgADIAMAAyADUAIABUAGEAYgBsAGUAIAAxADkAXAAiADsAXABuACAAIAAgACAAIAAgACAAIABcACIAQQBuAGEAZQByAG8AYgBpAGMAIABkAGkAZwBlAHMAdABpAG8AbgBcACIALAAgAFwAIgBBAGwAbAAgAG8AcgBnAGEAbgBpAGMAIAB3AGEAcwB0AGUAXAAiACwAIAAwAC4AMAAyADgALAAgAFwAIgBOAEcAQQBGACAAMgAwADIANQAgAFQAYQBiAGwAZQAgADEAOQBcACIAXABuACAAIAAgACAAIAAgAH0ALAAgAHIALAAgAGMAKQBcAG4AKQApACkAOwBcAG4AXABuAFcAYQBzAHQAZQBfAEUAbQBpAHMAcwBpAG8AbgBGAGEAYwB0AG8AcgBzAEYAbwByAFcAYQBzAHQAZQBUAHIAZQBhAHQAbQBlAG4AdABfAFYAYQByAGkAYQB0AGkAbwBuAFwAbgA9AEwAQQBNAEIARABBACgAKABcACIAVgBBAFIASQBBAFQASQBPAE4AIABPAE4AIABTAE8AVQBSAEMARQA6ACAARgBpAHgAZQBkACAAdAB5AHAAbwAgAFwAdQAwADAAMgA3AHAAYQBwAGUAcgAgAGEAbgBkACAAYwBhAHIAYgBvAGEAcgBkAFwAdQAwADAAMgA3ACAAdABvACAAXAB1ADAAMAAyADcAcABhAHAAZQByACAAYQBuAGQAIABjAGEAcgBkAGIAbwBhAHIAZABcAHUAMAAwADIANwAuACAAQQBkAGQAZQBkACAARQBGACAAcwBvAHUAcgBjAGUAIABjAG8AbAB1AG0AbgAgAHcAaQB0AGgAIABzAHAAZQBjAGkAZgBpAGMAIAByAGUAZgBlAHIAZQBuAGMAZQBzAC4AXAAiACkAKQA7AFwAbgBcAG4AXABuAC8AKgBcAG4APQA9AD0APQA9AD0APQA9AD0APQA9AD0APQA9AD0APQA9AD0APQA9AD0APQA9AD0APQA9AD0APQA9AD0APQA9AD0APQA9AD0APQA9AD0APQA9AD0APQA9AD0APQA9AD0APQA9AD0APQA9AD0APQA9AD0APQA9AD0APQA9AD0APQA9AD0APQA9AD0APQA9AD0APQA9AD0APQBcAG4AVABhAGIAbABlACAAQQAuADQALgAxAC4AMgA6ACAAVgBvAGwAdQBtAGUAIAB0AG8AIABtAGEAcwBzACAAYwBvAG4AdgBlAHIAcwBpAG8AbgAgAGYAYQBjAHQAbwByACAAZgBvAHIAIAB2AGEAcgBpAG8AdQBzACAAdwBhAHMAdABlACAAdAB5AHAAZQBzACAAKAB0AC8AbQAzACkAIAAoAFYAVABNAHcAKQBcAG4APQA9AD0APQA9AD0APQA9AD0APQA9AD0APQA9AD0APQA9AD0APQA9AD0APQA9AD0APQA9AD0APQA9AD0APQA9AD0APQA9AD0APQA9AD0APQA9AD0APQA9AD0APQA9AD0APQA9AD0APQA9AD0APQA9AD0APQA9AD0APQA9AD0APQA9AD0APQA9AD0APQA9AD0APQA9AD0APQBcAG4AKgAvAFwAbgBcAG4AVwBhAHMAdABlAF8AVwBhAHMAdABlAFYAbwBsAHUAbQBlAFQAbwBNAGEAcwBzAEMAbwBuAHYAZQByAHMAaQBvAG4AXwBUAGkAdABsAGUAXABuAD0ATABBAE0AQgBEAEEAKAAoAFwAIgBWAG8AbAB1AG0AZQAgAHQAbwAgAG0AYQBzAHMAIABjAG8AbgB2AGUAcgBzAGkAbwBuACAAZgBhAGMAdABvAHIAIABmAG8AcgAgAHYAYQByAGkAbwB1AHMAIAB3AGEAcwB0AGUAIAB0AHkAcABlAHMAXAAiACkAKQA7AFwAbgBcAG4AVwBhAHMAdABlAF8AVwBhAHMAdABlAFYAbwBsAHUAbQBlAFQAbwBNAGEAcwBzAEMAbwBuAHYAZQByAHMAaQBvAG4AXwBWAGEAcgBpAGEAYgBsAGUAXABuAD0ATABBAE0AQgBEAEEAKAAoAFwAIgBWAFQATQB3AFwAIgApACkAOwBcAG4AXABuAFcAYQBzAHQAZQBfAFcAYQBzAHQAZQBWAG8AbAB1AG0AZQBUAG8ATQBhAHMAcwBDAG8AbgB2AGUAcgBzAGkAbwBuAF8AVQBuAGkAdABcAG4APQBMAEEATQBCAEQAQQAoACgAXAAiAHQALwBtADMAXAAiACkAKQA7AFwAbgBcAG4AVwBhAHMAdABlAF8AVwBhAHMAdABlAFYAbwBsAHUAbQBlAFQAbwBNAGEAcwBzAEMAbwBuAHYAZQByAHMAaQBvAG4AXwBTAG8AdQByAGMAZQBcAG4APQBMAEEATQBCAEQAQQAoACgAXAAiAFYARQBFAFIARwAgADIAMAAyADYAOgAgAFQAYQBiAGwAZQAgAEEALgA0AC4AMQAuADIAXAAiACkAKQA7AFwAbgBcAG4AVwBhAHMAdABlAF8AVwBhAHMAdABlAFYAbwBsAHUAbQBlAFQAbwBNAGEAcwBzAEMAbwBuAHYAZQByAHMAaQBvAG4AXwBEAGEAdABhAFwAbgA9AEwAQQBNAEIARABBACgAXABuACAAIABNAEEASwBFAEEAUgBSAEEAWQAoADEAMgAsACAAMgAsAFwAbgAgACAAIAAgAEwAQQBNAEIARABBACgAcgAsAGMALABcAG4AIAAgACAAIAAgACAASQBOAEQARQBYACgAewBcAG4AIAAgACAAIAAgACAAIAAgAFwAIgBXAGEAcwB0AGUAIAB0AHkAcABlACAAdwBcACIALAAgAFwAIgBWAFQATQB3AFwAIgA7AFwAbgAgACAAIAAgACAAIAAgACAAXAAiAEYAbwBvAGQAIAB3AGEAcwB0AGUAIAAoAGkAbgBjAGwAdQBkAGkAbgBnACAAYQBuAGkAbQBhAGwAIABjAGEAcgBjAGEAcwBzAGUAcwAsACAAcwBwAG8AaQBsAGUAZAAgAGEAbgBpAG0AYQBsACAAZgBlAGUAZAAgAG8AcgAgAGMAcgBvAHAAKQBcACIALAAgADAALgA1ADAAOwBcAG4AIAAgACAAIAAgACAAIAAgAFwAIgBQAGEAcABlAHIAIABhAG4AZAAgAGMAYQByAGQAYgBvAGEAcgBkAFwAIgAsACAAMAAuADAAOQA7AFwAbgAgACAAIAAgACAAIAAgACAAXAAiAEcAcgBlAGUAbgAgAHcAYQBzAHQAZQAgACgAaQBuAGMAbAB1AGQAaQBuAGcAIABjAHIAbwBwACAAcgBlAHMAaQBkAHUAZQBzACAAbwByACAAcAByAHUAbgBpAG4AZwBzACkAXAAiACwAIAAwAC4AMgA0ADsAXABuACAAIAAgACAAIAAgACAAIABcACIAVwBvAG8AZABcACIALAAgADAALgAxADUAOwBcAG4AIAAgACAAIAAgACAAIAAgAFwAIgBUAGUAeAB0AGkAbABlAHMAXAAiACwAIAAwAC4AMQA0ADsAXABuACAAIAAgACAAIAAgACAAIABcACIAUwBsAHUAZABnAGUAXAAiACwAIAAwAC4ANwAyADsAXABuACAAIAAgACAAIAAgACAAIABcACIAUgB1AGIAYgBlAHIAIABhAG4AZAAgAGwAZQBhAHQAaABlAHIAXAAiACwAIAAwAC4AMQA0ADsAXABuACAAIAAgACAAIAAgACAAIABcACIASQBuAGUAcgB0ACAAdwBhAHMAdABlACAAKABpAG4AYwBsAHUAZABpAG4AZwAgAGMAbwBuAGMAcgBlAHQAZQAsACAAbQBlAHQAYQBsACwAIABwAGwAYQBzAHQAaQBjACAAbwByACAAZwBsAGEAcwBzACkAXAAiACwAIAAwAC4ANAAyADsAXABuACAAIAAgACAAIAAgACAAIABcACIATQB1AG4AaQBjAGkAcABhAGwAIABzAG8AbABpAGQAIAB3AGEAcwB0AGUAXAAiACwAIAAwAC4AMwA2ADsAXABuACAAIAAgACAAIAAgACAAIABcACIAQwBvAG0AbQBlAHIAYwBpAGEAbAAgAGEAbgBkACAAaQBuAGQAdQBzAHQAcgBpAGEAbAAgAHcAYQBzAHQAZQBcACIALAAgADAALgAzADMAOwBcAG4AIAAgACAAIAAgACAAIAAgAFwAIgBDAG8AbgBzAHQAcgB1AGMAdABpAG8AbgAgAGEAbgBkACAAZABlAG0AbwBsAGkAdABpAG8AbgAgAHcAYQBzAHQAZQBcACIALAAgADAALgAzADkAXABuACAAIAAgACAAIAAgAH0ALAAgAHIALAAgAGMAKQBcAG4AKQApACkAOwBcAG4AXABuAFcAYQBzAHQAZQBfAFcAYQBzAHQAZQBWAG8AbAB1AG0AZQBUAG8ATQBhAHMAcwBDAG8AbgB2AGUAcgBzAGkAbwBuAF8AVgBhAHIAaQBhAHQAaQBvAG4AXABuAD0ATABBAE0AQgBEAEEAKAAoAFwAIgBWAEEAUgBJAEEAVABJAE8ATgAgAE8ARgAgAFMATwBVAFIAQwBFADoAIABDAGgAYQBuAGcAZQBkACAAYwBvAGwAdQBtAG4AIABoAGUAYQBkAGUAcgAgAEMARgB3ACAAdABvACAAVgBUAE0AdwAgAHQAbwAgAG0AYQB0AGMAaAAgAHQAaQB0AGwAZQAgAHYAYQByAGkAYQBiAGwAZQAuAFwAIgApACkAOwBcAG4AXABuAFwAbgAiAH0ALAB7ACIAcABhAHQAaAAiADoAIgAvAHAAcgBvAGoAZQBjAHQAcwAvAFcAYQBzAHQAZQBTAG8AbABpAGQAXwBFAHEAdQBhAHQAaQBvAG4AcwAiACwAIgB0AGUAeAB0ACIAOgAiAC8AKgBcAG4APQA9AD0APQA9AD0APQA9AD0APQA9AD0APQA9AD0APQA9AD0APQA9AD0APQA9AD0APQA9AD0APQA9AD0APQA9AD0APQA9AD0APQA9AD0APQA9AD0APQA9AD0APQA9AD0APQA9AD0APQA9AD0APQA9AD0APQA9AD0APQA9AD0APQA9AD0APQA9AD0APQA9AD0APQA9AD0APQBcAG4AMQAwAC4AMQA6ACAAVwBhAHMAdABlAFwAbgA9AD0APQA9AD0APQA9AD0APQA9AD0APQA9AD0APQA9AD0APQA9AD0APQA9AD0APQA9AD0APQA9AD0APQA9AD0APQA9AD0APQA9AD0APQA9AD0APQA9AD0APQA9AD0APQA9AD0APQA9AD0APQA9AD0APQA9AD0APQA9AD0APQA9AD0APQA9AD0APQA9AD0APQA9AD0APQA9AFwAbgAxADAALgAxAC4AMQAuADEAIABNAGUAdABoAG8AZAAgADEAIAAtACAAUwBvAGwAaQBkACAAVwBhAHMAdABlACAAVAByAGUAYQB0AG0AZQBuAHQ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xADAAXwAxAF8AMQBfADEAXwBfADEAXwBFAG0AaQBzAHMAaQBvAG4AcwBGAHIAbwBtAFcAYQBzAHQAZQBNAGEAbgBhAGcAZQBtAGUAbgB0AFwAbgBFAG0AaQBzAHMAaQBvAG4AcwAgAGYAcgBvAG0AIAB3AGEAcwB0AGUAIABtAGEAbgBhAGcAZQBtAGUAbgB0ACAAYgB5ACAAZwByAGUAZQBuAGgAbwB1AHMAZQAgAGcAYQBzAFwAbgBFAF8AZwBcAG4AdAAgAEMATwAyAGUAXABuAEUAXwBnAD0AXABcAHMAdQBtAF8AdABcAFwAcwB1AG0AXwB3ACgAUQBfAHcAdABcAFwAdABpAG0AZQBzACAARQBGAF8AdwB0AGcAKQBcAG4AUQBfAHcAdAAgAD0AIABxAHUAYQBuAHQAaQB0AHkAIABvAGYAIABzAG8AbABpAGQAIAB3AGEAcwB0AGUAIABvAGYAIAB0AHkAcABlACAAdwAgAGIAZQBpAG4AZwAgAHMAZQBuAHQAIAB0AG8AIAB0AHIAZQBhAHQAbQBlAG4AdAAgAGYAYQBjAGkAbABpAHQAeQAgAHQALAAgAG8AbgAgAGEAIAB3AGUAdAAgAHcAZQBpAGcAaAB0ACAAYgBhAHMAaQBzACAAKAB0ACkAXABuAEUARgBfAHcAdABnACAAPQAgAGUAbQBpAHMAcwBpAG8AbgAgAGYAYQBjAHQAbwByACAAZgBvAHIAIABnAHIAZQBlAG4AaABvAHUAcwBlACAAZwBhAHMAIABnACAAZgBvAHIAIAB0AGgAZQAgAG0AYQBuAGEAZwBlAG0AZQBuAHQAIABvAGYAIAB3AGEAcwB0AGUAIABhAHQAIAB0AHIAZQBhAHQAbQBlAG4AdAAgAGYAYQBjAGkAbABpAHQAeQAgAHQAIAAoAHQAIABDAE8AMgBlAC8AdAApAFwAbgAtAC0ALQAtAC0ALQAtAC0ALQAtAC0ALQAtAC0ALQAtAC0ALQAtAC0ALQAtAC0ALQAtAC0ALQAtAC0ALQAtAC0ALQAtAC0ALQAtAC0AXABuACoALwBcAG4AXABuAFYARQBFAFIARwBfADEAMABfADEAXwAxAF8AMQBfAF8AMQBfAEUAbQBpAHMAcwBpAG8AbgBzAEYAcgBvAG0AVwBhAHMAdABlAE0AYQBuAGEAZwBlAG0AZQBuAHQAXABuACAAIAA9AEwAQQBNAEIARABBACgAXABuACAAIAAgACAAUQBfAHcAdAAsACAARQBGAF8AdwB0AGcALABcAG4AIAAgACAAIABRAF8AdwB0ACAAKgAgAEUARgBfAHcAdABnAFwAbgAgACAAKQA7AFwAbgBcAG4AVgBFAEUAUgBHAF8AMQAwAF8AMQBfADEAXwAxAF8AXwAxAF8ARQBtAGkAcwBzAGkAbwBuAHMARgByAG8AbQBXAGEAcwB0AGUATQBhAG4AYQBnAGUAbQBlAG4AdABfAFQAaQB0AGwAZQBcAG4AIAAgAD0ATABBAE0AQgBEAEEAKABcACIARQBtAGkAcwBzAGkAbwBuAHMAIABmAHIAbwBtACAAdwBhAHMAdABlACAAbQBhAG4AYQBnAGUAbQBlAG4AdAAgAGIAeQAgAGcAcgBlAGUAbgBoAG8AdQBzAGUAIABnAGEAcwBcACIAKQA7AFwAbgBcAG4AVgBFAEUAUgBHAF8AMQAwAF8AMQBfADEAXwAxAF8AXwAxAF8ARQBtAGkAcwBzAGkAbwBuAHMARgByAG8AbQBXAGEAcwB0AGUATQBhAG4AYQBnAGUAbQBlAG4AdABfAFYAYQByAGkAYQBiAGwAZQBcAG4AIAAgAD0ATABBAE0AQgBEAEEAKABcACIARQBfAGcAXAAiACkAOwBcAG4AXABuAFYARQBFAFIARwBfADEAMABfADEAXwAxAF8AMQBfAF8AMQBfAEUAbQBpAHMAcwBpAG8AbgBzAEYAcgBvAG0AVwBhAHMAdABlAE0AYQBuAGEAZwBlAG0AZQBuAHQAXwBVAG4AaQB0AFwAbgAgACAAPQBMAEEATQBCAEQAQQAoAFwAIgB0ACAAQwBPADIAZQBcACIAKQA7AFwAbgBcAG4AVgBFAEUAUgBHAF8AMQAwAF8AMQBfADEAXwAxAF8AXwAxAF8ARQBtAGkAcwBzAGkAbwBuAHMARgByAG8AbQBXAGEAcwB0AGUATQBhAG4AYQBnAGUAbQBlAG4AdABfAFMAbwB1AHIAYwBlAFwAbgAgACAAPQBMAEEATQBCAEQAQQAoAFwAIgBWAEUARQBSAEcAIAAyADAAMgA2ADoAIAAxADAALgAxAC4AMQAuADEALAAgAEUAcQB1AGEAdABpAG8AbgAgACgAMQApAFwAIgApADsAXABuAFwAbgBWAEUARQBSAEcAXwAxADAAXwAxAF8AMQBfADEAXwBfADEAXwBFAG0AaQBzAHMAaQBvAG4AcwBGAHIAbwBtAFcAYQBzAHQAZQBNAGEAbgBhAGcAZQBtAGUAbgB0AF8ATgBJAFIAUgBlAGYAZQByAGUAbgBjAGUAXABuACAAIAA9AEwAQQBNAEIARABBACgAXAAiAFwAIgApADsAXABuAFwAbgBWAEUARQBSAEcAXwAxADAAXwAxAF8AMQBfADEAXwBfADEAXwBFAG0AaQBzAHMAaQBvAG4AcwBGAHIAbwBtAFcAYQBzAHQAZQBNAGEAbgBhAGcAZQBtAGUAbgB0AF8ATABhAHQAZQB4AEUAcQB1AGEAdABpAG8AbgBcAG4AIAAgAD0ATABBAE0AQgBEAEEAKABcACIARQBfAGcAPQBcAFwAcwB1AG0AXABcAG4AbwBsAGkAbQBpAHQAcwBfAHQAXABcAHMAdQBtAFwAXABuAG8AbABpAG0AaQB0AHMAXwB3ACgAUQBfAHsAdwB0AH0AXABcAHQAaQBtAGUAcwAgAEUARgBfAHsAdwB0AGcAfQApAFwAIgApADsAXABuAFwAbgBWAEUARQBSAEcAXwAxADAAXwAxAF8AMQBfADEAXwBfADEAXwBFAG0AaQBzAHMAaQBvAG4AcwBGAHIAbwBtAFcAYQBzAHQAZQBNAGEAbgBhAGcAZQBtAGUAbgB0AF8AQQByAGcAdQBtAGUAbgB0AHMAXABuACAAIAA9AEwAQQBNAEIARABBACgAXABuACAAIAAgACAATQBBAEsARQBBAFIAUgBBAFkAKAA3ACwAIAA0ACwAXABuACAAIAAgACAAIAAgAEwAQQBNAEIARABBACgAcgAsAGMALABcAG4AIAAgACAAIAAgACAAIAAgAEkATgBEAEUAWAAoAHsAXABuACAAIAAgACAAIAAgACAAIAAgACAAXAAiAFEAXwB3AHQAXAAiACwAIABcACIAcQB1AGEAbgB0AGkAdAB5ACAAbwBmACAAcwBvAGwAaQBkACAAdwBhAHMAdABlACAAbwBmACAAdAB5AHAAZQAgAHcAIABiAGUAaQBuAGcAIABzAGUAbgB0ACAAdABvACAAdAByAGUAYQB0AG0AZQBuAHQAIABmAGEAYwBpAGwAaQB0AHkAIAB0ACwAIABvAG4AIABhACAAdwBlAHQAIAB3AGUAaQBnAGgAdAAgAGIAYQBzAGkAcwBcACIALAAgAFwAIgB0AFwAIgAsACAAXAAiAFMAdQBtACAAbwBmACAAUQBfAHYAbwBsAHcAdAAgAGEAbgBkACAAUQBfAG0AYQBzAHMAdwB0AFwAIgA7AFwAbgAgACAAIAAgACAAIAAgACAAIAAgAFwAIgBFAEYAXwB3AHQAZwBcACIALAAgAFwAIgBlAG0AaQBzAHMAaQBvAG4AIABmAGEAYwB0AG8AcgAgAGYAbwByACAAZwByAGUAZQBuAGgAbwB1AHMAZQAgAGcAYQBzACAAZwAgAGYAbwByACAAdABoAGUAIABtAGEAbgBhAGcAZQBtAGUAbgB0ACAAbwBmACAAdwBhAHMAdABlACAAYQB0ACAAdAByAGUAYQB0AG0AZQBuAHQAIABmAGEAYwBpAGwAaQB0AHkAIAB0AFwAIgAsACAAXAAiAHQAIABDAE8AMgBlAC8AdABcACIALAAgAFwAIgBDAG8AbgBzAHQAYQBuAHQAXAAiADsAXABuACAAIAAgACAAIAAgACAAIAAgACAAXAAiAHcAXAAiACwAIABcACIAdwBhAHMAdABlACAAdAB5AHAAZQBcACIALAAgAFwAIgBcACIALAAgAFwAIgBJAG4AcAB1AHQAXAAiADsAXABuACAAIAAgACAAIAAgACAAIAAgACAAXAAiAHQAXAAiACwAIABcACIAdAByAGUAYQB0AG0AZQBuAHQAIABmAGEAYwBpAGwAaQB0AHkAXAAiACwAIABcACIAXAAiACwAIABcACIASQBuAHAAdQB0AFwAIgA7AFwAbgAgACAAIAAgACAAIAAgACAAIAAgAFwAIgBnAFwAIgAsACAAXAAiAGcAcgBlAGUAbgBoAG8AdQBzAGUAIABnAGEAcwBcACIALAAgAFwAIgBcACIALAAgAFwAIgBJAG4AcAB1AHQAXAAiADsAXABuACAAIAAgACAAIAAgACAAIAAgACAAXAAiAFEAXwB2AG8AbAB3AHQAXAAiACwAIABcACIAcQB1AGEAbgB0AGkAdAB5ACAAbwBmACAAcwBvAGwAZAAgAHcAYQBzAHQAZQAgAGkAbgBwAHUAdAAgAGEAcwAgAHYAbwBsAHUAbQBlACAAYQBuAGQAIABjAG8AbgB2AGUAcgB0AGUAZAAgAHQAbwAgAHQAbwBuAG4AZQBzAFwAIgAsACAAXAAiAHQAbwBuAG4AZQBzAFwAIgAsACAAXAAiAEMAYQBsAGMAdQBsAGEAdABlAGQAIABmAHIAbwBtACAAMQAwAC4AMQAuADEALgAxACAAKAAyACkAXAAiADsAXABuACAAIAAgACAAIAAgACAAIAAgACAAXAAiAFEAXwBtAGEAcwBzAHcAdABcACIALAAgAFwAIgBxAHUAYQBuAHQAaQB0AHkAIABvAGYAIABzAG8AbABpAGQAIAB3AGEAcwB0AGUAIABpAG4AcAB1AHQAIABhAHMAIABtAGEAcwBzAFwAIgAsACAAXAAiAHQAbwBuAG4AZQBzAFwAIgAsACAAXAAiAEkAbgBwAHUAdABcACIAXABuACAAIAAgACAAIAAgACAAIAB9ACwAIAByACwAIABjACkAXABuACAAIAAgACAAIAAgACkAXABuACAAIAAgACAAKQBcAG4AIAAgACkAOwBcAG4AXABuAFYARQBFAFIARwBfADEAMABfADEAXwAxAF8AMQBfAF8AMQBfAEUAbQBpAHMAcwBpAG8AbgBzAEYAcgBvAG0AVwBhAHMAdABlAE0AYQBuAGEAZwBlAG0AZQBuAHQAXwBWAGEAcgBpAGEAdABpAG8AbgBcAG4AIAAgAD0ATABBAE0AQgBEAEEAKABcACIAVgBBAFIASQBBAFQASQBPAE4AIABPAE4AIABTAE8AVQBSAEMARQA6ACAAQQBkAGQAZQBkACAAUQBfAHYAbwBsAHcAdAAgAGEAbgBkACAAUQBfAG0AYQBzAHMAdwB0ACAAdgBhAHIAaQBhAGIAbABlAHMAIAB0AG8AIABjAGwAZQBhAHIAbAB5ACAAdAByAGEAYwBrACAAaQBuAHAAdQB0ACAAbwByACAAYwBhAGwAYwB1AGwAYQB0AGUAZAAgAFEAIAB2AGEAbAB1AGUAcwBcACIAKQA7AFwAbgBcAG4ALwAqAFwAbgAtAC0ALQAtAC0ALQAtAC0ALQAtAC0ALQAtAC0ALQAtAC0ALQAtAC0ALQAtAC0ALQAtAC0ALQAtAC0ALQAtAC0ALQAtAC0ALQAtAC0AXABuAFYARQBFAFIARwBfADEAMABfADEAXwAxAF8AMQBfAF8AMgBfAE0AYQBzAHMATwBmAFcAYQBzAHQAZQBGAHIAbwBtAFYAbwBsAHUAbQBlAFwAbgBNAGEAcwBzACAAbwBmACAAdwBhAHMAdABlACAAZgByAG8AbQAgAHcAYQBzAHQAZQAgAHYAbwBsAHUAbQBlAFwAbgBRAF8AdwB0AFwAbgB0AFwAbgBRAF8AdwB0AD0AVgBfAHcAdABcAFwAdABpAG0AZQBzACAAVgBUAE0AXwB3AFwAbgBWAF8AdwB0ACAAPQAgAHYAbwBsAHUAbQBlACAAbwBmACAAcwBvAGwAaQBkACAAdwBhAHMAdABlACAAdAB5AHAAZQAgAHcAIABiAGUAaQBuAGcAIABzAGUAbgB0ACAAdABvACAAdAByAGUAYQB0AG0AZQBuAHQAIABmAGEAYwBpAGwAaQB0AHkAIAB0ACAAKABtADMAKQBcAG4AVgBUAE0AXwB3ACAAPQAgAGMAbwBuAHYAZQByAHMAaQBvAG4AIABmAGEAYwB0AG8AcgAgAG8AZgAgAHYAbwBsAHUAbQBlACAAdABvACAAbQBhAHMAcwAgAGYAbwByACAAdwBhAHMAdABlACAAdAB5AHAAZQAgAHcAIAAoAHQALwBtADMAKQBcAG4ALQAtAC0ALQAtAC0ALQAtAC0ALQAtAC0ALQAtAC0ALQAtAC0ALQAtAC0ALQAtAC0ALQAtAC0ALQAtAC0ALQAtAC0ALQAtAC0ALQAtAFwAbgAqAC8AXABuAFwAbgBWAEUARQBSAEcAXwAxADAAXwAxAF8AMQBfADEAXwBfADIAXwBNAGEAcwBzAE8AZgBXAGEAcwB0AGUARgByAG8AbQBWAG8AbAB1AG0AZQBcAG4AIAAgAD0ATABBAE0AQgBEAEEAKABcAG4AIAAgACAAIABWAF8AdwB0ACwAIABWAFQATQBfAHcALABcAG4AIAAgACAAIABWAF8AdwB0ACAAKgAgAFYAVABNAF8AdwBcAG4AIAAgACkAOwBcAG4AXABuAFYARQBFAFIARwBfADEAMABfADEAXwAxAF8AMQBfAF8AMgBfAE0AYQBzAHMATwBmAFcAYQBzAHQAZQBGAHIAbwBtAFYAbwBsAHUAbQBlAF8AVABpAHQAbABlAFwAbgAgACAAPQBMAEEATQBCAEQAQQAoAFwAIgBNAGEAcwBzACAAbwBmACAAdwBhAHMAdABlACAAZgByAG8AbQAgAHcAYQBzAHQAZQAgAHYAbwBsAHUAbQBlAFwAIgApADsAXABuAFwAbgBWAEUARQBSAEcAXwAxADAAXwAxAF8AMQBfADEAXwBfADIAXwBNAGEAcwBzAE8AZgBXAGEAcwB0AGUARgByAG8AbQBWAG8AbAB1AG0AZQBfAFYAYQByAGkAYQBiAGwAZQBcAG4AIAAgAD0ATABBAE0AQgBEAEEAKABcACIAUQBfAHcAdABcACIAKQA7AFwAbgBcAG4AVgBFAEUAUgBHAF8AMQAwAF8AMQBfADEAXwAxAF8AXwAyAF8ATQBhAHMAcwBPAGYAVwBhAHMAdABlAEYAcgBvAG0AVgBvAGwAdQBtAGUAXwBVAG4AaQB0AFwAbgAgACAAPQBMAEEATQBCAEQAQQAoAFwAIgB0AFwAIgApADsAXABuAFwAbgBWAEUARQBSAEcAXwAxADAAXwAxAF8AMQBfADEAXwBfADIAXwBNAGEAcwBzAE8AZgBXAGEAcwB0AGUARgByAG8AbQBWAG8AbAB1AG0AZQBfAFMAbwB1AHIAYwBlAFwAbgAgACAAPQBMAEEATQBCAEQAQQAoAFwAIgBWAEUARQBSAEcAIAAyADAAMgA2ADoAIAAxADAALgAxAC4AMQAuADEALAAgAEUAcQB1AGEAdABpAG8AbgAgACgAMgApAFwAIgApADsAXABuAFwAbgBWAEUARQBSAEcAXwAxADAAXwAxAF8AMQBfADEAXwBfADIAXwBNAGEAcwBzAE8AZgBXAGEAcwB0AGUARgByAG8AbQBWAG8AbAB1AG0AZQBfAE4ASQBSAFIAZQBmAGUAcgBlAG4AYwBlAFwAbgAgACAAPQBMAEEATQBCAEQAQQAoAFwAIgBcACIAKQA7AFwAbgBcAG4AVgBFAEUAUgBHAF8AMQAwAF8AMQBfADEAXwAxAF8AXwAyAF8ATQBhAHMAcwBPAGYAVwBhAHMAdABlAEYAcgBvAG0AVgBvAGwAdQBtAGUAXwBMAGEAdABlAHgARQBxAHUAYQB0AGkAbwBuAFwAbgAgACAAPQBMAEEATQBCAEQAQQAoAFwAIgBRAF8AewB3AHQAfQA9AFYAXwB7AHcAdAB9AFwAXAB0AGkAbQBlAHMAIABWAFQATQBfAHcAXAAiACkAOwBcAG4AXABuAFYARQBFAFIARwBfADEAMABfADEAXwAxAF8AMQBfAF8AMgBfAE0AYQBzAHMATwBmAFcAYQBzAHQAZQBGAHIAbwBtAFYAbwBsAHUAbQBlAF8AQQByAGcAdQBtAGUAbgB0AHMAXABuACAAIAA9AEwAQQBNAEIARABBACgAXABuACAAIAAgACAATQBBAEsARQBBAFIAUgBBAFkAKAA0ACwAIAA0ACwAXABuACAAIAAgACAAIAAgAEwAQQBNAEIARABBACgAcgAsAGMALABcAG4AIAAgACAAIAAgACAAIAAgAEkATgBEAEUAWAAoAHsAXABuACAAIAAgACAAIAAgACAAIAAgACAAXAAiAFYAXwB3AHQAXAAiACwAIABcACIAdgBvAGwAdQBtAGUAIABvAGYAIABzAG8AbABpAGQAIAB3AGEAcwB0AGUAIAB0AHkAcABlACAAdwAgAGIAZQBpAG4AZwAgAHMAZQBuAHQAIAB0AG8AIAB0AHIAZQBhAHQAbQBlAG4AdAAgAGYAYQBjAGkAbABpAHQAeQAgAHQAXAAiACwAIABcACIAbQAzAFwAIgAsACAAXAAiAEkAbgBwAHUAdABcACIAOwBcAG4AIAAgACAAIAAgACAAIAAgACAAIABcACIAVgBUAE0AXwB3AFwAIgAsACAAXAAiAGMAbwBuAHYAZQByAHMAaQBvAG4AIABmAGEAYwB0AG8AcgAgAG8AZgAgAHYAbwBsAHUAbQBlACAAdABvACAAbQBhAHMAcwAgAGYAbwByACAAdwBhAHMAdABlACAAdAB5AHAAZQAgAHcAXAAiACwAIABcACIAdAAvAG0AMwBcACIALAAgAFwAIgBDAG8AbgBzAHQAYQBuAHQAXAAiADsAXABuACAAIAAgACAAIAAgACAAIAAgACAAXAAiAHcAXAAiACwAIABcACIAdwBhAHMAdABlACAAdAB5AHAAZQBcACIALAAgAFwAIgBcACIALAAgAFwAIgBJAG4AcAB1AHQAXAAiADsAXABuACAAIAAgACAAIAAgACAAIAAgACAAXAAiAHQAXAAiACwAIABcACIAdAByAGUAYQB0AG0AZQBuAHQAIABmAGEAYwBpAGwAaQB0AHkAXAAiACwAIABcACIAXAAiACwAIABcACIASQBuAHAAdQB0AFwAIgBcAG4AIAAgACAAIAAgACAAIAAgAH0ALAAgAHIALAAgAGMAKQBcAG4AIAAgACAAIAAgACAAKQBcAG4AIAAgACAAIAApAFwAbgAgACAAKQA7AFwAbgAiAH0AXQAsACIAcAByAG8AagBlAGMAdABOAGEAbQBlAHMAIgA6AFsAIgBWAGEAbABpAGQATABpAHYAZQBzAHQAbwBjAGsAQwBsAGEAcwBzACIALAAiAEYAdQBlAGwAXwBTAG8AdQByAGMAZQBEAGEAdABhAC4ARgB1AGUAbABfAFMAYwBvAHAAZQAxAEUAbQBpAHMAcwBpAG8AbgBGAGEAYwB0AG8AcgBzAFMAdABhAHQAaQBvAG4AYQByAHkARwBhAHMAZQBvAHUAcwBfAFQAaQB0AGwAZQAiACwAIgBGAHUAZQBsAF8AUwBvAHUAcgBjAGUARABhAHQAYQAuAEYAdQBlAGwAXwBTAGMAbwBwAGUAMQBFAG0AaQBzAHMAaQBvAG4ARgBhAGMAdABvAHIAcwBTAHQAYQB0AGkAbwBuAGEAcgB5AEcAYQBzAGUAbwB1AHMAXwBEAGUAcwBjAHIAaQBwAHQAaQBvAG4AIgAsACIARgB1AGUAbABfAFMAbwB1AHIAYwBlAEQAYQB0AGEALgBGAHUAZQBsAF8AUwBjAG8AcABlADEARQBtAGkAcwBzAGkAbwBuAEYAYQBjAHQAbwByAHMAUwB0AGEAdABpAG8AbgBhAHIAeQBHAGEAcwBlAG8AdQBzAF8AUwBvAHUAcgBjAGUAIgAsACIARgB1AGUAbABfAFMAbwB1AHIAYwBlAEQAYQB0AGEALgBGAHUAZQBsAF8AUwBjAG8AcABlADEARQBtAGkAcwBzAGkAbwBuAEYAYQBjAHQAbwByAHMAUwB0AGEAdABpAG8AbgBhAHIAeQBHAGEAcwBlAG8AdQBzAF8ARABhAHQAYQAiACwAIgBGAHUAZQBsAF8AUwBvAHUAcgBjAGUARABhAHQAYQAuAEYAdQBlAGwAXwBTAGMAbwBwAGUAMQBFAG0AaQBzAHMAaQBvAG4ARgBhAGMAdABvAHIAcwBTAHQAYQB0AGkAbwBuAGEAcgB5AEcAYQBzAGUAbwB1AHMAXwBWAGEAcgBpAGEAdABpAG8AbgAiACwAIgBGAHUAZQBsAF8AUwBvAHUAcgBjAGUARABhAHQAYQAuAEYAdQBlAGwAXwBTAGMAbwBwAGUAMwBFAG0AaQBzAHMAaQBvAG4ARgBhAGMAdABvAHIAcwBTAHQAYQB0AGkAbwBuAGEAcgB5AEcAYQBzAGUAbwB1AHMAXwBUAGkAdABsAGUAIgAsACIARgB1AGUAbABfAFMAbwB1AHIAYwBlAEQAYQB0AGEALgBGAHUAZQBsAF8AUwBjAG8AcABlADMARQBtAGkAcwBzAGkAbwBuAEYAYQBjAHQAbwByAHMAUwB0AGEAdABpAG8AbgBhAHIAeQBHAGEAcwBlAG8AdQBzAF8ARABlAHMAYwByAGkAcAB0AGkAbwBuACIALAAiAEYAdQBlAGwAXwBTAG8AdQByAGMAZQBEAGEAdABhAC4ARgB1AGUAbABfAFMAYwBvAHAAZQAzAEUAbQBpAHMAcwBpAG8AbgBGAGEAYwB0AG8AcgBzAFMAdABhAHQAaQBvAG4AYQByAHkARwBhAHMAZQBvAHUAcwBfAFMAbwB1AHIAYwBlACIALAAiAEYAdQBlAGwAXwBTAG8AdQByAGMAZQBEAGEAdABhAC4ARgB1AGUAbABfAFMAYwBvAHAAZQAzAEUAbQBpAHMAcwBpAG8AbgBGAGEAYwB0AG8AcgBzAFMAdABhAHQAaQBvAG4AYQByAHkARwBhAHMAZQBvAHUAcwBfAEQAYQB0AGEAIgAsACIARgB1AGUAbABfAFMAbwB1AHIAYwBlAEQAYQB0AGEALgBGAHUAZQBsAF8AUwBjAG8AcABlADMARQBtAGkAcwBzAGkAbwBuAEYAYQBjAHQAbwByAHMAUwB0AGEAdABpAG8AbgBhAHIAeQBHAGEAcwBlAG8AdQBzAF8AVgBhAHIAaQBhAHQAaQBvAG4AIgAsACIARgB1AGUAbABfAFMAbwB1AHIAYwBlAEQAYQB0AGEALgBGAHUAZQBsAF8AUwBjAG8AcABlADMARQBtAGkAcwBzAGkAbwBuAEYAYQBjAHQAbwByAHMAUwB0AGEAdABpAG8AbgBhAHIAeQBHAGEAcwBlAG8AdQBzAF8AQQBwAHAAZQBuAGQAaQBjAGUAcwAiACwAIgBGAHUAZQBsAF8AUwBvAHUAcgBjAGUARABhAHQAYQAuAEYAdQBlAGwAXwBTAGMAbwBwAGUAMQBTAGMAbwBwAGUAMwBFAG0AaQBzAHMAaQBvAG4ARgBhAGMAdABvAHIAcwBTAHQAYQB0AGkAbwBuAGEAcgB5AEwAaQBxAHUAaQBkAF8AVABpAHQAbABlACIALAAiAEYAdQBlAGwAXwBTAG8AdQByAGMAZQBEAGEAdABhAC4ARgB1AGUAbABfAFMAYwBvAHAAZQAxAFMAYwBvAHAAZQAzAEUAbQBpAHMAcwBpAG8AbgBGAGEAYwB0AG8AcgBzAFMAdABhAHQAaQBvAG4AYQByAHkATABpAHEAdQBpAGQAXwBEAGUAcwBjAHIAaQBwAHQAaQBvAG4AIgAsACIARgB1AGUAbABfAFMAbwB1AHIAYwBlAEQAYQB0AGEALgBGAHUAZQBsAF8AUwBjAG8AcABlADEAUwBjAG8AcABlADMARQBtAGkAcwBzAGkAbwBuAEYAYQBjAHQAbwByAHMAUwB0AGEAdABpAG8AbgBhAHIAeQBMAGkAcQB1AGkAZABfAFMAbwB1AHIAYwBlACIALAAiAEYAdQBlAGwAXwBTAG8AdQByAGMAZQBEAGEAdABhAC4ARgB1AGUAbABfAFMAYwBvAHAAZQAxAFMAYwBvAHAAZQAzAEUAbQBpAHMAcwBpAG8AbgBGAGEAYwB0AG8AcgBzAFMAdABhAHQAaQBvAG4AYQByAHkATABpAHEAdQBpAGQAXwBEAGEAdABhACIALAAiAEYAdQBlAGwAXwBTAG8AdQByAGMAZQBEAGEAdABhAC4ARgB1AGUAbABfAFMAYwBvAHAAZQAxAFMAYwBvAHAAZQAzAEUAbQBpAHMAcwBpAG8AbgBGAGEAYwB0AG8AcgBzAFMAdABhAHQAaQBvAG4AYQByAHkATABpAHEAdQBpAGQAXwBWAGEAcgBpAGEAdABpAG8AbgAiACwAIgBGAHUAZQBsAF8AUwBvAHUAcgBjAGUARABhAHQAYQAuAEYAdQBlAGwAXwBTAGMAbwBwAGUAMQBTAGMAbwBwAGUAMwBFAG0AaQBzAHMAaQBvAG4ARgBhAGMAdABvAHIAcwBUAHIAYQBuAHMAcABvAHIAdABfAFQAaQB0AGwAZQAiACwAIgBGAHUAZQBsAF8AUwBvAHUAcgBjAGUARABhAHQAYQAuAEYAdQBlAGwAXwBTAGMAbwBwAGUAMQBTAGMAbwBwAGUAMwBFAG0AaQBzAHMAaQBvAG4ARgBhAGMAdABvAHIAcwBUAHIAYQBuAHMAcABvAHIAdABfAEQAZQBzAGMAcgBpAHAAdABpAG8AbgAiACwAIgBGAHUAZQBsAF8AUwBvAHUAcgBjAGUARABhAHQAYQAuAEYAdQBlAGwAXwBTAGMAbwBwAGUAMQBTAGMAbwBwAGUAMwBFAG0AaQBzAHMAaQBvAG4ARgBhAGMAdABvAHIAcwBUAHIAYQBuAHMAcABvAHIAdABfAFMAbwB1AHIAYwBlACIALAAiAEYAdQBlAGwAXwBTAG8AdQByAGMAZQBEAGEAdABhAC4ARgB1AGUAbABfAFMAYwBvAHAAZQAxAFMAYwBvAHAAZQAzAEUAbQBpAHMAcwBpAG8AbgBGAGEAYwB0AG8AcgBzAFQAcgBhAG4AcwBwAG8AcgB0AF8ARABhAHQAYQAiACwAIgBGAHUAZQBsAF8AUwBvAHUAcgBjAGUARABhAHQAYQAuAEYAdQBlAGwAXwBTAGMAbwBwAGUAMQBTAGMAbwBwAGUAMwBFAG0AaQBzAHMAaQBvAG4ARgBhAGMAdABvAHIAcwBUAHIAYQBuAHMAcABvAHIAdABfAFYAYQByAGkAYQB0AGkAbwBuACIALAAiAEYAdQBlAGwAXwBTAG8AdQByAGMAZQBEAGEAdABhAC4ARgB1AGUAbABfAFMAYwBvAHAAZQAxAFMAYwBvAHAAZQAzAEUAbQBpAHMAcwBpAG8AbgBGAGEAYwB0AG8AcgBzAFQAcgBhAG4AcwBwAG8AcgB0AE8AZgBmAFIAbwBhAGQAXwBUAGkAdABsAGUAIgAsACIARgB1AGUAbABfAFMAbwB1AHIAYwBlAEQAYQB0AGEALgBGAHUAZQBsAF8AUwBjAG8AcABlADEAUwBjAG8AcABlADMARQBtAGkAcwBzAGkAbwBuAEYAYQBjAHQAbwByAHMAVAByAGEAbgBzAHAAbwByAHQATwBmAGYAUgBvAGEAZABfAEQAZQBzAGMAcgBpAHAAdABpAG8AbgAiACwAIgBGAHUAZQBsAF8AUwBvAHUAcgBjAGUARABhAHQAYQAuAEYAdQBlAGwAXwBTAGMAbwBwAGUAMQBTAGMAbwBwAGUAMwBFAG0AaQBzAHMAaQBvAG4ARgBhAGMAdABvAHIAcwBUAHIAYQBuAHMAcABvAHIAdABPAGYAZgBSAG8AYQBkAF8AUwBvAHUAcgBjAGUAIgAsACIARgB1AGUAbABfAFMAbwB1AHIAYwBlAEQAYQB0AGEALgBGAHUAZQBsAF8AUwBjAG8AcABlADEAUwBjAG8AcABlADMARQBtAGkAcwBzAGkAbwBuAEYAYQBjAHQAbwByAHMAVAByAGEAbgBzAHAAbwByAHQATwBmAGYAUgBvAGEAZABfAEQAYQB0AGE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MAG8AbwBrAHUAcABWAGEAbAB1AGUASQBuAFQAYQBiAGwAZQBUAHcAbwBDAG8AbAB1AG0AbgBzACIALAAiAEMAbwBtAG0AbwBuAF8ASQBuAHAAdQB0AEYAdQBuAGMAdABpAG8AbgBzAC4AVQB0AGkAbABpAHQAeQBfAEwAbwBvAGsAdQBwAFYAYQBsAHUAZQBJAG4AVABhAGIAbABlAE8AbgBlAEMAbwBsAHUAbQBuAEEAbgBkAEgAZQBhAGQ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fAEkAbgBwAHUAdABGAHUAbgBjAHQAaQBvAG4AcwAuAEMAbwBtAG0AbwBuAEMAcgBvAHAAcABpAG4AZwBfAEcAZQB0AEYAcgBhAGMAVwBFAFQAIgAsACIAQwBvAG0AbQBvAG4AXwBJAG4AcAB1AHQARgB1AG4AYwB0AGkAbwBuAHMALgBVAHQAaQBsAGkAdAB5AF8AQwBvAG4AdgBlAHIAdABTAHQAYQB0AGUAQwBvAG0AbQBvAG4ATgBhAG0AZQBUAG8AQQBiAGIAcgBlAHYAaQBhAHQAaQBvAG4AIgAsACIAQwBvAG0AbQBvAG4AXwBJAG4AcAB1AHQARgB1AG4AYwB0AGkAbwBuAHMALgBVAHQAaQBsAGkAdAB5AF8AUwBvAHUAcgBjAGUASAB5AHAAZQByAGwAaQBuAGsAIgAsACIAQwBvAG0AbQBvAG4AXwBJAG4AcAB1AHQARgB1AG4AYwB0AGkAbwBuAHMALgBVAHQAaQBsAGkAdAB5AF8AUwBvAHUAcgBjAGUASAB5AHAAZQByAGwAaQBuAGsARABpAGYAZgBlAHIAZQBuAHQAUwBoAGUAZQB0ACIALAAiAEMAbwBtAG0AbwBuAF8ASQBuAHAAdQB0AEYAdQBuAGMAdABpAG8AbgBzAC4AVQB0AGkAbABpAHQAeQBfAEQAaQBzAHAAbABhAHkAQQByAGcAdQBtAGUAbgB0AHMAXwAxAF8AMgAiACwAIgBDAG8AbQBtAG8AbgBfAEkAbgBwAHUAdABGAHUAbgBjAHQAaQBvAG4AcwAuAFUAdABpAGwAaQB0AHkAXwBEAGkAcwBwAGwAYQB5AEEAcgBnAHUAbQBlAG4AdABzAF8AMwBfADQAIgAsACIAQwBvAG0AbQBvAG4AXwBJAG4AcAB1AHQARgB1AG4AYwB0AGkAbwBuAHMALgBDAG8AbQBtAG8AbgBfAEcAZQB0AE0AQwBGAFQAZQBtAHAAZQByAGEAdAB1AHIAZQBaAG8AbgBlACIALAAiAEMAbwBtAG0AbwBuAF8ASQBuAHAAdQB0AEYAdQBuAGMAdABpAG8AbgBzAC4AVQB0AGkAbABpAHQAeQBfAFIAZQBzAHUAbAB0AHMASQB0AGUAbQBGAHIAbwBtAEUAcQB1AGEAdABpAG8AbgBUAGkAdABsAGUAQQBuAGQAUwBvAHUAcgBjAGUAIgAs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TAG8AdQByAGMAZQBEAGEAdABhAC4AQwBvAG0AbQBvAG4AXwBTAG8AdQByAGMAZQBEAGEAdABhAF8ATQBvAG4AdABoAHMAVABvAFMAZQBhAHMAbwBuAHMAXwBUAGkAdABsAGUAIgAsACIAQwBvAG0AbQBvAG4AXwBTAG8AdQByAGMAZQBEAGEAdABhAC4AQwBvAG0AbQBvAG4AXwBTAG8AdQByAGMAZQBEAGEAdABhAF8ATQBvAG4AdABoAHMAVABvAFMAZQBhAHMAbwBuAHMAXwBVAG4AaQB0ACIALAAiAEMAbwBtAG0AbwBuAF8AUwBvAHUAcgBjAGUARABhAHQAYQAuAEMAbwBtAG0AbwBuAF8AUwBvAHUAcgBjAGUARABhAHQAYQBfAE0AbwBuAHQAaABzAFQAbwBTAGUAYQBzAG8AbgBzAF8AUwBvAHUAcgBjAGUAIgAsACIAQwBvAG0AbQBvAG4AXwBTAG8AdQByAGMAZQBEAGEAdABhAC4AQwBvAG0AbQBvAG4AXwBTAG8AdQByAGMAZQBEAGEAdABhAF8ATQBvAG4AdABoAHMAVABvAFMAZQBhAHMAbwBuAHMAXwBOAEkAUgBSAGUAZgBlAHIAZQBuAGMAZQAiACwAIgBDAG8AbQBtAG8AbgBfAFMAbwB1AHIAYwBlAEQAYQB0AGEALgBDAG8AbQBtAG8AbgBfAFMAbwB1AHIAYwBlAEQAYQB0AGEAXwBNAG8AbgB0AGgAcwBUAG8AUwBlAGEAcwBvAG4AcwBfAEQAYQB0AGEAIgAsACIAQwBvAG0AbQBvAG4AXwBTAG8AdQByAGMAZQBEAGEAdABhAC4AQwBvAG0AbQBvAG4AXwBTAG8AdQByAGMAZQBEAGEAdABhAF8ATQBvAG4AdABoAHMAVABvAFMAZQBhAHMAbwBuAHMAXwBWAGEAcgBpAGEAdABpAG8AbgAiACwAIgBDAG8AbQBtAG8AbgBfAFMAbwB1AHIAYwBlAEQAYQB0AGEALgBDAG8AbQBtAG8AbgBfAFMAbwB1AHIAYwBlAEQAYQB0AGEAXwBNAEMARgBUAGUAbQBwAGUAcgBhAHQAdQByAGUAWgBvAG4AZQBfAFQAaQB0AGwAZQAiACwAIgBDAG8AbQBtAG8AbgBfAFMAbwB1AHIAYwBlAEQAYQB0AGEALgBDAG8AbQBtAG8AbgBfAFMAbwB1AHIAYwBlAEQAYQB0AGEAXwBNAEMARgBUAGUAbQBwAGUAcgBhAHQAdQByAGUAWgBvAG4AZQBfAFUAbgBpAHQAIgAsACIAQwBvAG0AbQBvAG4AXwBTAG8AdQByAGMAZQBEAGEAdABhAC4AQwBvAG0AbQBvAG4AXwBTAG8AdQByAGMAZQBEAGEAdABhAF8ATQBDAEYAVABlAG0AcABlAHIAYQB0AHUAcgBlAFoAbwBuAGUAXwBTAG8AdQByAGMAZQAiACwAIgBDAG8AbQBtAG8AbgBfAFMAbwB1AHIAYwBlAEQAYQB0AGEALgBDAG8AbQBtAG8AbgBfAFMAbwB1AHIAYwBlAEQAYQB0AGEAXwBNAEMARgBUAGUAbQBwAGUAcgBhAHQAdQByAGUAWgBvAG4AZQBfAEQAYQB0AGEAIgAsACIAQwBvAG0AbQBvAG4AXwBTAG8AdQByAGMAZQBEAGEAdABhAC4AQwBvAG0AbQBvAG4AXwBTAG8AdQByAGMAZQBEAGEAdABhAF8ATQBDAEYAVABlAG0AcABlAHIAYQB0AHUAcgBlAFoAbwBuAGUAXwBWAGEAcgBpAGEAdABpAG8AbgAiACwAIgBDAG8AbQBtAG8AbgBfAFMAbwB1AHIAYwBlAEQAYQB0AGEALgBDAG8AbQBtAG8AbgBfAFMAbwB1AHIAYwBlAEQAYQB0AGEAXwBFAEYATwByAGcAYQBuAGkAYwBGAGUAcgB0AGkAbABpAHMAZQByAEEAbgBkAEMAcgBvAHAAUgBlAHMAaQBkAHUAZQBzAF8AVABpAHQAbABlACIALAAiAEMAbwBtAG0AbwBuAF8AUwBvAHUAcgBjAGUARABhAHQAYQAuAEMAbwBtAG0AbwBuAF8AUwBvAHUAcgBjAGUARABhAHQAYQBfAEUARgBPAHIAZwBhAG4AaQBjAEYAZQByAHQAaQBsAGkAcwBlAHIAQQBuAGQAQwByAG8AcABSAGUAcwBpAGQAdQBlAHMAXwBWAGEAcgBpAGEAYgBsAGUAIgAsACIAQwBvAG0AbQBvAG4AXwBTAG8AdQByAGMAZQBEAGEAdABhAC4AQwBvAG0AbQBvAG4AXwBTAG8AdQByAGMAZQBEAGEAdABhAF8ARQBGAE8AcgBnAGEAbgBpAGMARgBlAHIAdABpAGwAaQBzAGUAcgBBAG4AZABDAHIAbwBwAFIAZQBzAGkAZAB1AGUAcwBfAFUAbgBpAHQAIgAsACIAQwBvAG0AbQBvAG4AXwBTAG8AdQByAGMAZQBEAGEAdABhAC4AQwBvAG0AbQBvAG4AXwBTAG8AdQByAGMAZQBEAGEAdABhAF8ARQBGAE8AcgBnAGEAbgBpAGMARgBlAHIAdABpAGwAaQBzAGUAcgBBAG4AZABDAHIAbwBwAFIAZQBzAGkAZAB1AGUAcwBfAFMAbwB1AHIAYwBlACIALAAiAEMAbwBtAG0AbwBuAF8AUwBvAHUAcgBjAGUARABhAHQAYQAuAEMAbwBtAG0AbwBuAF8AUwBvAHUAcgBjAGUARABhAHQAYQBfAEUARgBPAHIAZwBhAG4AaQBjAEYAZQByAHQAaQBsAGkAcwBlAHIAQQBuAGQAQwByAG8AcABSAGUAcwBpAGQAdQBlAHMAXwBOAEkAUgBSAGUAZgBlAHIAZQBuAGMAZQAiACwAIgBDAG8AbQBtAG8AbgBfAFMAbwB1AHIAYwBlAEQAYQB0AGEALgBDAG8AbQBtAG8AbgBfAFMAbwB1AHIAYwBlAEQAYQB0AGEAXwBFAEYATwByAGcAYQBuAGkAYwBGAGUAcgB0AGkAbABpAHMAZQByAEEAbgBkAEMAcgBvAHAAUgBlAHMAaQBkAHUAZQBzAF8ARABhAHQAYQAiACwAIgBDAG8AbQBtAG8AbgBfAFMAbwB1AHIAYwBlAEQAYQB0AGEALgBDAG8AbQBtAG8AbgBfAFMAbwB1AHIAYwBlAEQAYQB0AGEAXwBFAEYATwByAGcAYQBuAGkAYwBGAGUAcgB0AGkAbABpAHMAZQByAEEAbgBkAEMAcgBvAHAAUgBlAHMAaQBkAHUAZQBzAF8AVgBhAHIAaQBhAHQAaQBvAG4AIgAs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YAdQBlAGwAXwBJAG4AcAB1AHQARgB1AG4AYwB0AGkAbwBuAHMALgBGAHUAZQBsAF8ARwBlAHQAVAByAGEAbgBzAHAAbwByAHQARgB1AGUAbABTAHQAcgBpAG4AZwAiACwAIgBGAHUAZQBsAF8ASQBuAHAAdQB0AEYAdQBuAGMAdABpAG8AbgBzAC4ARgB1AGUAbABfAEcAZQB0AFMAdABhAHQAaQBvAG4AYQByAHkARgB1AGUAbABTAHQAcgBpAG4AZwAiACwAIgBGAHUAZQBsAF8ASQBuAHAAdQB0AEYAdQBuAGMAdABpAG8AbgBzAC4ARgB1AGUAbABfAFQAbwB0AGEAbABDAG8AbgBzAHUAbQBwAHQAaQBvAG4AIgAsACIARgBlAHIAdABpAGwAaQBzAGUAcgBfAFMAbwB1AHIAYwBlAEQAYQB0AGEALgBGAGUAcgB0AGkAbABpAHMAZQByAF8AQwBoAGUAbQBpAGMAYQBsAEMAbwBtAHAAbwB1AG4AZABFAGwAZQBtAGUAbgB0AHMAXwBUAGkAdABsAGUAIgAsACIARgBlAHIAdABpAGwAaQBzAGUAcgBfAFMAbwB1AHIAYwBlAEQAYQB0AGEALgBGAGUAcgB0AGkAbABpAHMAZQByAF8AQwBoAGUAbQBpAGMAYQBsAEMAbwBtAHAAbwB1AG4AZABFAGwAZQBtAGUAbgB0AHMAXwBTAG8AdQByAGMAZQAiACwAIgBGAGUAcgB0AGkAbABpAHMAZQByAF8AUwBvAHUAcgBjAGUARABhAHQAYQAuAEYAZQByAHQAaQBsAGkAcwBlAHIAXwBDAGgAZQBtAGkAYwBhAGwAQwBvAG0AcABvAHUAbgBkAEUAbABlAG0AZQBuAHQAcwBfAEQAYQB0AGEAIgAsACIARgBlAHIAdABpAGwAaQBzAGUAcgBfAFMAbwB1AHIAYwBlAEQAYQB0AGEALgBGAGUAcgB0AGkAbABpAHMAZQByAF8AQwBoAGUAbQBpAGMAYQBsAEMAbwBtAHAAbwB1AG4AZABFAGwAZQBtAGUAbgB0AHMAXwBWAGEAcgBpAGEAdABpAG8AbgAiACwAIgBGAGUAcgB0AGkAbABpAHMAZQByAF8AUwBvAHUAcgBjAGUARABhAHQAYQAuAEYAZQByAHQAaQBsAGkAcwBlAHIAXwBGAHIAYQBjAEcAQQBTAEYAXwBUAGkAdABsAGUAIgAsACIARgBlAHIAdABpAGwAaQBzAGUAcgBfAFMAbwB1AHIAYwBlAEQAYQB0AGEALgBGAGUAcgB0AGkAbABpAHMAZQByAF8ARgByAGEAYwBHAEEAUwBGAF8AUwBvAHUAcgBjAGUAIgAsACIARgBlAHIAdABpAGwAaQBzAGUAcgBfAFMAbwB1AHIAYwBlAEQAYQB0AGEALgBGAGUAcgB0AGkAbABpAHMAZQByAF8ARgByAGEAYwBHAEEAUwBGAF8ARABhAHQAYQAiACwAIgBGAGUAcgB0AGkAbABpAHMAZQByAF8AUwBvAHUAcgBjAGUARABhAHQAYQAuAEYAZQByAHQAaQBsAGkAcwBlAHIAXwBGAHIAYQBjAEcAQQBTAEYAXwBWAGEAcgBpAGEAdABpAG8AbgAiACwAIgBGAGUAcgB0AGkAbABpAHMAZQByAF8AUwBvAHUAcgBjAGUARABhAHQAYQAuAEYAZQByAHQAaQBsAGkAcwBlAHIAXwBFAEYAVQByAGUAYQBDAE8AMgBfAFQAaQB0AGwAZQAiACwAIgBGAGUAcgB0AGkAbABpAHMAZQByAF8AUwBvAHUAcgBjAGUARABhAHQAYQAuAEYAZQByAHQAaQBsAGkAcwBlAHIAXwBFAEYAVQByAGUAYQBDAE8AMgBfAFMAbwB1AHIAYwBlACIALAAiAEYAZQByAHQAaQBsAGkAcwBlAHIAXwBTAG8AdQByAGMAZQBEAGEAdABhAC4ARgBlAHIAdABpAGwAaQBzAGUAcgBfAEUARgBVAHIAZQBhAEMATwAyAF8AVgBhAHIAaQBhAGIAbABlACIALAAiAEYAZQByAHQAaQBsAGkAcwBlAHIAXwBTAG8AdQByAGMAZQBEAGEAdABhAC4ARgBlAHIAdABpAGwAaQBzAGUAcgBfAEUARgBVAHIAZQBhAEMATwAyAF8AVQBuAGkAdAAiACwAIgBGAGUAcgB0AGkAbABpAHMAZQByAF8AUwBvAHUAcgBjAGUARABhAHQAYQAuAEYAZQByAHQAaQBsAGkAcwBlAHIAXwBFAEYAVQByAGUAYQBDAE8AMgBfAEQAYQB0AGEAIgAsACIARgBlAHIAdABpAGwAaQBzAGUAcgBfAFMAbwB1AHIAYwBlAEQAYQB0AGEALgBGAGUAcgB0AGkAbABpAHMAZQByAF8ARQBGAFUAcgBlAGEAQwBPADIAXwBWAGEAcgBpAGEAdABpAG8AbgAiACwAIgBGAGUAcgB0AGkAbABpAHMAZQByAF8AUwBvAHUAcgBjAGUARABhAHQAYQAuAEYAZQByAHQAaQBsAGkAcwBlAHIAXwBGAHIAYQBjAEcAQQBTAE0AUwBvAGkAbABfAFQAaQB0AGwAZQAiACwAIgBGAGUAcgB0AGkAbABpAHMAZQByAF8AUwBvAHUAcgBjAGUARABhAHQAYQAuAEYAZQByAHQAaQBsAGkAcwBlAHIAXwBGAHIAYQBjAEcAQQBTAE0AUwBvAGkAbABfAFMAbwB1AHIAYwBlACIALAAiAEYAZQByAHQAaQBsAGkAcwBlAHIAXwBTAG8AdQByAGMAZQBEAGEAdABhAC4ARgBlAHIAdABpAGwAaQBzAGUAcgBfAEYAcgBhAGMARwBBAFMATQBTAG8AaQBsAF8AVgBhAHIAaQBhAGIAbABlACIALAAiAEYAZQByAHQAaQBsAGkAcwBlAHIAXwBTAG8AdQByAGMAZQBEAGEAdABhAC4ARgBlAHIAdABpAGwAaQBzAGUAcgBfAEYAcgBhAGMARwBBAFMATQBTAG8AaQBsAF8AVQBuAGkAdAAiACwAIgBGAGUAcgB0AGkAbABpAHMAZQByAF8AUwBvAHUAcgBjAGUARABhAHQAYQAuAEYAZQByAHQAaQBsAGkAcwBlAHIAXwBGAHIAYQBjAEcAQQBTAE0AUwBvAGkAbABfAEQAYQB0AGEAIgAsACIARgBlAHIAdABpAGwAaQBzAGUAcgBfAFMAbwB1AHIAYwBlAEQAYQB0AGEALgBGAGUAcgB0AGkAbABpAHMAZQByAF8ARgByAGEAYwBHAEEAUwBNAFMAbwBpAGwAXwBWAGEAcgBpAGEAdABpAG8AbgAiACwAIgBGAGUAcgB0AGkAbABpAHMAZQByAF8AUwBvAHUAcgBjAGUARABhAHQAYQAuAEYAZQByAHQAaQBsAGkAcwBlAHIAXwBGAHIAYQBjAEwARQBBAEMASABfAFQAaQB0AGwAZQAiACwAIgBGAGUAcgB0AGkAbABpAHMAZQByAF8AUwBvAHUAcgBjAGUARABhAHQAYQAuAEYAZQByAHQAaQBsAGkAcwBlAHIAXwBGAHIAYQBjAEwARQBBAEMASABfAFMAbwB1AHIAYwBlACIALAAiAEYAZQByAHQAaQBsAGkAcwBlAHIAXwBTAG8AdQByAGMAZQBEAGEAdABhAC4ARgBlAHIAdABpAGwAaQBzAGUAcgBfAEYAcgBhAGMATABFAEEAQwBIAF8AVgBhAHIAaQBhAGIAbABlACIALAAiAEYAZQByAHQAaQBsAGkAcwBlAHIAXwBTAG8AdQByAGMAZQBEAGEAdABhAC4ARgBlAHIAdABpAGwAaQBzAGUAcgBfAEYAcgBhAGMATABFAEEAQwBIAF8AVQBuAGkAdAAiACwAIgBGAGUAcgB0AGkAbABpAHMAZQByAF8AUwBvAHUAcgBjAGUARABhAHQAYQAuAEYAZQByAHQAaQBsAGkAcwBlAHIAXwBGAHIAYQBjAEwARQBBAEMASABfAEQAYQB0AGEAIgAsACIARgBlAHIAdABpAGwAaQBzAGUAcgBfAFMAbwB1AHIAYwBlAEQAYQB0AGEALgBGAGUAcgB0AGkAbABpAHMAZQByAF8ARgByAGEAYwBMAEUAQQBDAEgAXwBWAGEAcgBpAGEAdABpAG8AbgAiACwAIgBGAGUAcgB0AGkAbABpAHMAZQByAF8AUwBvAHUAcgBjAGUARABhAHQAYQAuAEYAZQByAHQAaQBsAGkAcwBlAHIAXwBFAEYATABlAGEAYwBoAF8AVABpAHQAbABlACIALAAiAEYAZQByAHQAaQBsAGkAcwBlAHIAXwBTAG8AdQByAGMAZQBEAGEAdABhAC4ARgBlAHIAdABpAGwAaQBzAGUAcgBfAEUARgBMAGUAYQBjAGgAXwBTAG8AdQByAGMAZQAiACwAIgBGAGUAcgB0AGkAbABpAHMAZQByAF8AUwBvAHUAcgBjAGUARABhAHQAYQAuAEYAZQByAHQAaQBsAGkAcwBlAHIAXwBFAEYATABlAGEAYwBoAF8AVgBhAHIAaQBhAGIAbABlACIALAAiAEYAZQByAHQAaQBsAGkAcwBlAHIAXwBTAG8AdQByAGMAZQBEAGEAdABhAC4ARgBlAHIAdABpAGwAaQBzAGUAcgBfAEUARgBMAGUAYQBjAGgAXwBVAG4AaQB0ACIALAAiAEYAZQByAHQAaQBsAGkAcwBlAHIAXwBTAG8AdQByAGMAZQBEAGEAdABhAC4ARgBlAHIAdABpAGwAaQBzAGUAcgBfAEUARgBMAGUAYQBjAGgAXwBEAGEAdABhACIALAAiAEYAZQByAHQAaQBsAGkAcwBlAHIAXwBTAG8AdQByAGMAZQBEAGEAdABhAC4ARgBlAHIAdABpAGwAaQBzAGUAcgBfAEUARgBMAGUAYQBjAGgAXwBWAGEAcgBpAGEAdABpAG8AbgAiACwAIgBGAGUAcgB0AGkAbABpAHMAZQByAF8AUwBvAHUAcgBjAGUARABhAHQAYQAuAEYAZQByAHQAaQBsAGkAcwBlAHIAXwBMAGkAbQBlAEQAbwBsAG8AbQBpAHQAZQBHAHkAcABzAHUAbQBDAG8AbgBzAHQAYQBuAHQAcwBfAFQAaQB0AGwAZQAiACwAIgBGAGUAcgB0AGkAbABpAHMAZQByAF8AUwBvAHUAcgBjAGUARABhAHQAYQAuAEYAZQByAHQAaQBsAGkAcwBlAHIAXwBMAGkAbQBlAEQAbwBsAG8AbQBpAHQAZQBHAHkAcABzAHUAbQBDAG8AbgBzAHQAYQBuAHQAcwBfAEQAZQBzAGMAcgBpAHAAdABpAG8AbgAiACwAIgBGAGUAcgB0AGkAbABpAHMAZQByAF8AUwBvAHUAcgBjAGUARABhAHQAYQAuAEYAZQByAHQAaQBsAGkAcwBlAHIAXwBMAGkAbQBlAEQAbwBsAG8AbQBpAHQAZQBHAHkAcABzAHUAbQBDAG8AbgBzAHQAYQBuAHQAcwBfAFMAbwB1AHIAYwBlACIALAAiAEYAZQByAHQAaQBsAGkAcwBlAHIAXwBTAG8AdQByAGMAZQBEAGEAdABhAC4ARgBlAHIAdABpAGwAaQBzAGUAcgBfAEwAaQBtAGUARABvAGwAbwBtAGkAdABlAEcAeQBwAHMAdQBtAEMAbwBuAHMAdABhAG4AdABzAF8ARABhAHQAYQAiACwAIgBGAGUAcgB0AGkAbABpAHMAZQByAF8AUwBvAHUAcgBjAGUARABhAHQAYQAuAEYAZQByAHQAaQBsAGkAcwBlAHIAXwBMAGkAbQBlAEQAbwBsAG8AbQBpAHQAZQBHAHkAcABzAHUAbQBDAG8AbgBzAHQAYQBuAHQAcwBfAFYAYQByAGkAYQB0AGkAbwBuACIALAAiAEYAZQByAHQAaQBsAGkAcwBlAHIAXwBTAG8AdQByAGMAZQBEAGEAdABhAC4ARgBlAHIAdABpAGwAaQBzAGUAcgBfAEYAcgBhAGMAdABpAG8AbgBOAEMAbwBtAG0AbwBuAEYAZQByAHQAaQBsAGkAcwBlAHIAcwBfAFQAaQB0AGwAZQAiACwAIgBGAGUAcgB0AGkAbABpAHMAZQByAF8AUwBvAHUAcgBjAGUARABhAHQAYQAuAEYAZQByAHQAaQBsAGkAcwBlAHIAXwBGAHIAYQBjAHQAaQBvAG4ATgBDAG8AbQBtAG8AbgBGAGUAcgB0AGkAbABpAHMAZQByAHMAXwBTAG8AdQByAGMAZQAiACwAIgBGAGUAcgB0AGkAbABpAHMAZQByAF8AUwBvAHUAcgBjAGUARABhAHQAYQAuAEYAZQByAHQAaQBsAGkAcwBlAHIAXwBGAHIAYQBjAHQAaQBvAG4ATgBDAG8AbQBtAG8AbgBGAGUAcgB0AGkAbABpAHMAZQByAHMAXwBEAGEAdABhACIALAAiAEYAZQByAHQAaQBsAGkAcwBlAHIAXwBTAG8AdQByAGMAZQBEAGEAdABhAC4ARgBlAHIAdABpAGwAaQBzAGUAcgBfAEYAcgBhAGMAdABpAG8AbgBOAEMAbwBtAG0AbwBuAEYAZQByAHQAaQBsAGkAcwBlAHIAcwBfAFYAYQByAGkAYQB0AGkAbwBuACIALAAiAEYAZQByAHQAaQBsAGkAcwBlAHIAXwBTAG8AdQByAGMAZQBEAGEAdABhAC4ARgBlAHIAdABpAGwAaQBzAGUAcgBfAEYAcgBhAGMAdABpAG8AbgBVAHIAZQBhAEMAbwBtAG0AbwBuAEYAZQByAHQAaQBsAGkAcwBlAHIAcwBfAFQAaQB0AGwAZQAiACwAIgBGAGUAcgB0AGkAbABpAHMAZQByAF8AUwBvAHUAcgBjAGUARABhAHQAYQAuAEYAZQByAHQAaQBsAGkAcwBlAHIAXwBGAHIAYQBjAHQAaQBvAG4AVQByAGUAYQBDAG8AbQBtAG8AbgBGAGUAcgB0AGkAbABpAHMAZQByAHMAXwBTAG8AdQByAGMAZQAiACwAIgBGAGUAcgB0AGkAbABpAHMAZQByAF8AUwBvAHUAcgBjAGUARABhAHQAYQAuAEYAZQByAHQAaQBsAGkAcwBlAHIAXwBGAHIAYQBjAHQAaQBvAG4AVQByAGUAYQBDAG8AbQBtAG8AbgBGAGUAcgB0AGkAbABpAHMAZQByAHMAXwBEAGEAdABhACIALAAiAEYAZQByAHQAaQBsAGkAcwBlAHIAXwBTAG8AdQByAGMAZQBEAGEAdABhAC4ARgBlAHIAdABpAGwAaQBzAGUAcgBfAEYAcgBhAGMAdABpAG8AbgBVAHIAZQBhAEMAbwBtAG0AbwBuAEYAZQByAHQAaQBsAGkAcwBlAHIAcwBfAFYAYQByAGkAYQB0AGkAbwBuACIALAAiAEYAZQByAHQAaQBsAGkAcwBlAHIAXwBTAG8AdQByAGMAZQBEAGEAdABhAC4ARgBlAHIAdABpAGwAaQBzAGUAcgBfAFUAcgBlAGEAQQBtAG0AbwBuAGkAYQBTAG8AdQByAGMAZQBSAGUAZwBpAG8AbgBzAF8AVABpAHQAbABlACIALAAiAEYAZQByAHQAaQBsAGkAcwBlAHIAXwBTAG8AdQByAGMAZQBEAGEAdABhAC4ARgBlAHIAdABpAGwAaQBzAGUAcgBfAFUAcgBlAGEAQQBtAG0AbwBuAGkAYQBTAG8AdQByAGMAZQBSAGUAZwBpAG8AbgBzAF8AUwBvAHUAcgBjAGUAIgAsACIARgBlAHIAdABpAGwAaQBzAGUAcgBfAFMAbwB1AHIAYwBlAEQAYQB0AGEALgBGAGUAcgB0AGkAbABpAHMAZQByAF8AVQByAGUAYQBBAG0AbQBvAG4AaQBhAFMAbwB1AHIAYwBlAFIAZQBnAGkAbwBuAHMAXwBEAGEAdABhACIALAAiAEYAZQByAHQAaQBsAGkAcwBlAHIAXwBTAG8AdQByAGMAZQBEAGEAdABhAC4ARgBlAHIAdABpAGwAaQBzAGUAcgBfAFAAcgBvAGQAdQBjAHQAcwBfAFQAaQB0AGwAZQAiACwAIgBGAGUAcgB0AGkAbABpAHMAZQByAF8AUwBvAHUAcgBjAGUARABhAHQAYQAuAEYAZQByAHQAaQBsAGkAcwBlAHIAXwBQAHIAbwBkAHUAYwB0AHMAXwBTAG8AdQByAGMAZQAiACwAIgBGAGUAcgB0AGkAbABpAHMAZQByAF8AUwBvAHUAcgBjAGUARABhAHQAYQAuAEYAZQByAHQAaQBsAGkAcwBlAHIAXwBQAHIAbwBkAHUAYwB0AHMAXwBEAGEAdABhADEAIgAsACIARgBlAHIAdABpAGwAaQBzAGUAcgBfAEkAbgBwAHUAdABGAHUAbgBjAHQAaQBvAG4AcwAuAEYAZQByAHQAaQBsAGkAcwBlAHIAXwBGAGUAcgB0AGkAbABpAHMAZQByAFAAcgBvAGQAdQBjAHQATABvAG8AawB1AHAAIgAsACIARgBlAHIAdABpAGwAaQBzAGUAcgBfAEkAbgBwAHUAdABGAHUAbgBjAHQAaQBvAG4AcwAuAEYAZQByAHQAaQBsAGkAcwBlAHIAXwBTAHUAbQBQAHIAbwBkAHUAYwB0AEEAcABwAGwAaQBlAGQAIgAsACIARgBlAHIAdABpAGwAaQBzAGUAcgBfAEkAbgBwAHUAdABGAHUAbgBjAHQAaQBvAG4AcwAuAEYAZQByAHQAaQBsAGkAcwBlAHIAXwBUAG8AdABhAGwAUwBvAGkAbABBAG0AZQBuAGQAbQBlAG4AdABBAHAAcABsAGkAZQBkACIALAAiAEYAZQByAHQAaQBsAGkAcwBlAHIAXwBJAG4AcAB1AHQARgB1AG4AYwB0AGkAbwBuAHMALgBGAGUAcgB0AGkAbABpAHMAZQByAF8AVABvAHQAYQBsAEMAaABlAG0AaQBjAGEAbABDAG8AbQBwAG8AdQBuAGQAQQBwAHAAbABpAGUAZABBAGwAbABJAG4AZwByAGUAZABpAGUAbgB0AHMAIgAsACIARgBlAHIAdABpAGwAaQBzAGUAcgBfAEkAbgBwAHUAdABGAHUAbgBjAHQAaQBvAG4AcwAuAEYAZQByAHQAaQBsAGkAcwBlAHIAXwBUAG8AdABhAGwAQwBoAGUAbQBpAGMAYQBsAEMAbwBtAHAAbwB1AG4AZAB0AEEAcABwAGwAaQBlAGQAQgB5AFMAbwB1AHIAYwBlAEEAbABsAEkAbgBnAHIAZQBkAGkAZQBuAHQAcwAiACwAIgBGAGUAcgB0AGkAbABpAHMAZQByAF8ASQBuAHAAdQB0AEYAdQBuAGMAdABpAG8AbgBzAC4ARgBlAHIAdABpAGwAaQBzAGUAcgBfAEcAZQB0AFMAYwBvAHAAZQAzAEUARgAiACwAIgBGAGUAcgB0AGkAbABpAHMAZQByAF8ASQBuAHAAdQB0AEYAdQBuAGMAdABpAG8AbgBzAC4ARgBlAHIAdABpAGwAaQBzAGUAcgBfAEcAZQB0AEMAaABlAG0AaQBjAGEAbABDAG8AbQBwAG8AdQBuAGQARQBsAGUAbQBlAG4AdABGAHIAYQBjAHQAaQBvAG4AIgAsACIARgBlAHIAdABpAGwAaQBzAGUAcgBfAEkAbgBwAHUAdABGAHUAbgBjAHQAaQBvAG4AcwAuAEYAZQByAHQAaQBsAGkAcwBlAHIAXwBUAG8AdABhAGwAQQBjAHQAaQB2AGUASQBuAGcAcgBlAGQAaQBlAG4AdABBAHAAcABsAGkAZQBkAEEAbABsAEkAbgBnAHIAZQBkAGkAZQBuAHQAcwAiACwAIgBFAGwAZQBjAHQAcgBpAGMAaQB0AHkAXwBTAG8AdQByAGMAZQBEAGEAdABhAC4ARQBsAGUAYwB0AHIAaQBjAGkAdAB5AF8AUwBjAG8AcABlADIAUwBjAG8AcABlADMATABvAGMAYQB0AGkAbwBuAEIAYQBzAGUAZABfAFQAaQB0AGwAZQAiACwAIgBFAGwAZQBjAHQAcgBpAGMAaQB0AHkAXwBTAG8AdQByAGMAZQBEAGEAdABhAC4ARQBsAGUAYwB0AHIAaQBjAGkAdAB5AF8AUwBjAG8AcABlADIATABvAGMAYQB0AGkAbwBuAEIAYQBzAGUAZABfAEQAZQBzAGMAcgBpAHAAdABpAG8AbgAiACwAIgBFAGwAZQBjAHQAcgBpAGMAaQB0AHkAXwBTAG8AdQByAGMAZQBEAGEAdABhAC4ARQBsAGUAYwB0AHIAaQBjAGkAdAB5AF8AUwBjAG8AcABlADIAUwBjAG8AcABlADMATABvAGMAYQB0AGkAbwBuAEIAYQBzAGUAZABfAFMAbwB1AHIAYwBlACIALAAiAEUAbABlAGMAdAByAGkAYwBpAHQAeQBfAFMAbwB1AHIAYwBlAEQAYQB0AGEALgBFAGwAZQBjAHQAcgBpAGMAaQB0AHkAXwBTAGMAbwBwAGUAMgBTAGMAbwBwAGUAMwBMAG8AYwBhAHQAaQBvAG4AQgBhAHMAZQBkAF8ARABhAHQAYQAiACwAIgBFAGwAZQBjAHQAcgBpAGMAaQB0AHkAXwBTAG8AdQByAGMAZQBEAGEAdABhAC4ARQBsAGUAYwB0AHIAaQBjAGkAdAB5AF8AUwBjAG8AcABlADIAUwBjAG8AcABlADMATABvAGMAYQB0AGkAbwBuAEIAYQBzAGUAZABfAFYAYQByAGkAYQB0AGkAbwBuACIALAAiAEUAbABlAGMAdAByAGkAYwBpAHQAeQBfAFMAbwB1AHIAYwBlAEQAYQB0AGEALgBFAGwAZQBjAHQAcgBpAGMAaQB0AHkAXwBTAGMAbwBwAGUAMgBTAGMAbwBwAGUAMwBNAGEAcgBrAGUAdABCAGEAcwBlAGQAXwBUAGkAdABsAGUAIgAsACIARQBsAGUAYwB0AHIAaQBjAGkAdAB5AF8AUwBvAHUAcgBjAGUARABhAHQAYQAuAEUAbABlAGMAdAByAGkAYwBpAHQAeQBfAFMAYwBvAHAAZQAyAE0AYQByAGsAZQB0AEIAYQBzAGUAZABfAEQAZQBzAGMAcgBpAHAAdABpAG8AbgAiACwAIgBFAGwAZQBjAHQAcgBpAGMAaQB0AHkAXwBTAG8AdQByAGMAZQBEAGEAdABhAC4ARQBsAGUAYwB0AHIAaQBjAGkAdAB5AF8AUwBjAG8AcABlADIAUwBjAG8AcABlADMATQBhAHIAawBlAHQAQgBhAHMAZQBkAF8AUwBvAHUAcgBjAGUAIgAsACIARQBsAGUAYwB0AHIAaQBjAGkAdAB5AF8AUwBvAHUAcgBjAGUARABhAHQAYQAuAEUAbABlAGMAdAByAGkAYwBpAHQAeQBfAFMAYwBvAHAAZQAyAFMAYwBvAHAAZQAzAE0AYQByAGsAZQB0AEIAYQBzAGUAZABfAEQAYQB0AGEAIgAsACIARQBsAGUAYwB0AHIAaQBjAGkAdAB5AF8AUwBvAHUAcgBjAGUARABhAHQAYQAuAEUAbABlAGMAdAByAGkAYwBpAHQAeQBfAFMAYwBvAHAAZQAyAFMAYwBvAHAAZQAzAE0AYQByAGsAZQB0AEIAYQBzAGUAZABfAFYAYQByAGkAYQB0AGkAbwBuACIALAAiAFMAYwBvAHAAZQAzAF8AUwBvAHUAcgBjAGUARABhAHQAYQAuAFMAYwBvAHAAZQAzAF8ATABpAHYAZQBzAHQAbwBjAGsAXwBUAGkAdABsAGUAIgAsACIAUwBjAG8AcABlADMAXwBTAG8AdQByAGMAZQBEAGEAdABhAC4AUwBjAG8AcABlADMAXwBMAGkAdgBlAHMAdABvAGMAawBfAFMAbwB1AHIAYwBlACIALAAiAFMAYwBvAHAAZQAzAF8AUwBvAHUAcgBjAGUARABhAHQAYQAuAFMAYwBvAHAAZQAzAF8ATABpAHYAZQBzAHQAbwBjAGsAXwBWAGEAcgBpAGEAdABpAG8AbgAiACwAIgBTAGMAbwBwAGUAMwBfAFMAbwB1AHIAYwBlAEQAYQB0AGEALgBTAGMAbwBwAGUAMwBfAEwAaQB2AGUAcwB0AG8AYwBrAF8ARABhAHQAYQAiACwAIgBTAGMAbwBwAGUAMwBfAFMAbwB1AHIAYwBlAEQAYQB0AGEALgBTAGMAbwBwAGUAMwBfAEMAaABlAG0AaQBjAGEAbABzAF8AVABpAHQAbABlACIALAAiAFMAYwBvAHAAZQAzAF8AUwBvAHUAcgBjAGUARABhAHQAYQAuAFMAYwBvAHAAZQAzAF8AQwBoAGUAbQBpAGMAYQBsAHMAXwBTAG8AdQByAGMAZQAiACwAIgBTAGMAbwBwAGUAMwBfAFMAbwB1AHIAYwBlAEQAYQB0AGEALgBTAGMAbwBwAGUAMwBfAEMAaABlAG0AaQBjAGEAbABzAF8AVgBhAHIAaQBhAHQAaQBvAG4AIgAsACIAUwBjAG8AcABlADMAXwBTAG8AdQByAGMAZQBEAGEAdABhAC4AUwBjAG8AcABlADMAXwBDAGgAZQBtAGkAYwBhAGwAcwBfAEQAYQB0AGEAIgAsACIAUwBjAG8AcABlADMAXwBTAG8AdQByAGMAZQBEAGEAdABhAC4AUwBjAG8AcABlADMAXwBGAGUAZQBkAF8AVABpAHQAbABlACIALAAiAFMAYwBvAHAAZQAzAF8AUwBvAHUAcgBjAGUARABhAHQAYQAuAFMAYwBvAHAAZQAzAF8ARgBlAGUAZABfAFMAbwB1AHIAYwBlACIALAAiAFMAYwBvAHAAZQAzAF8AUwBvAHUAcgBjAGUARABhAHQAYQAuAFMAYwBvAHAAZQAzAF8ARgBlAGUAZABfAFYAYQByAGkAYQB0AGkAbwBuACIALAAiAFMAYwBvAHAAZQAzAF8AUwBvAHUAcgBjAGUARABhAHQAYQAuAFMAYwBvAHAAZQAzAF8ARgBlAGUAZABfAEQAYQB0AGEAIgAsACIAUwBjAG8AcABlADMAXwBTAG8AdQByAGMAZQBEAGEAdABhAC4AUwBjAG8AcABlADMAXwBJAG4AbwByAGcAYQBuAGkAYwBGAGUAcgB0AGkAbABpAHMAZQByAHMAXwBUAGkAdABsAGUAIgAsACIAUwBjAG8AcABlADMAXwBTAG8AdQByAGMAZQBEAGEAdABhAC4AUwBjAG8AcABlADMAXwBJAG4AbwByAGcAYQBuAGkAYwBGAGUAcgB0AGkAbABpAHMAZQByAHMAXwBTAG8AdQByAGMAZQAiACwAIgBTAGMAbwBwAGUAMwBfAFMAbwB1AHIAYwBlAEQAYQB0AGEALgBTAGMAbwBwAGUAMwBfAEkAbgBvAHIAZwBhAG4AaQBjAEYAZQByAHQAaQBsAGkAcwBlAHIAcwBfAFYAYQByAGkAYQB0AGkAbwBuACIALAAiAFMAYwBvAHAAZQAzAF8AUwBvAHUAcgBjAGUARABhAHQAYQAuAFMAYwBvAHAAZQAzAF8ASQBuAG8AcgBnAGEAbgBpAGMARgBlAHIAdABpAGwAaQBzAGUAcgBzAF8ARABhAHQAYQAiACwAIgBTAGMAbwBwAGUAMwBfAFMAbwB1AHIAYwBlAEQAYQB0AGEALgBTAGMAbwBwAGUAMwBfAE8AdABoAGUAcgBfAFQAaQB0AGwAZQAiACwAIgBTAGMAbwBwAGUAMwBfAFMAbwB1AHIAYwBlAEQAYQB0AGEALgBTAGMAbwBwAGUAMwBfAE8AdABoAGUAcgBfAFMAbwB1AHIAYwBlACIALAAiAFMAYwBvAHAAZQAzAF8AUwBvAHUAcgBjAGUARABhAHQAYQAuAFMAYwBvAHAAZQAzAF8ATwB0AGgAZQByAF8AVgBhAHIAaQBhAHQAaQBvAG4AIgAsACIAUwBjAG8AcABlADMAXwBTAG8AdQByAGMAZQBEAGEAdABhAC4AUwBjAG8AcABlADMAXwBPAHQAaABlAHIAXwBEAGEAdABhACIALAAiAFMAYwBvAHAAZQAzAF8AUwBvAHUAcgBjAGUARABhAHQAYQAuAFMAYwBvAHAAZQAzAF8AUABhAGMAawBhAGcAaQBuAGcAXwBUAGkAdABsAGUAIgAsACIAUwBjAG8AcABlADMAXwBTAG8AdQByAGMAZQBEAGEAdABhAC4AUwBjAG8AcABlADMAXwBQAGEAYwBrAGEAZwBpAG4AZwBfAFMAbwB1AHIAYwBlACIALAAiAFMAYwBvAHAAZQAzAF8AUwBvAHUAcgBjAGUARABhAHQAYQAuAFMAYwBvAHAAZQAzAF8AUABhAGMAawBhAGcAaQBuAGcAXwBWAGEAcgBpAGEAdABpAG8AbgAiACwAIgBTAGMAbwBwAGUAMwBfAFMAbwB1AHIAYwBlAEQAYQB0AGEALgBTAGMAbwBwAGUAMwBfAFAAYQBjAGsAYQBnAGkAbgBnAF8ARABhAHQAYQAiACwAIgBTAGMAbwBwAGUAMwBfAFMAbwB1AHIAYwBlAEQAYQB0AGEALgBTAGMAbwBwAGUAMwBfAFAAZQBzAHQAaQBjAGkAZABlAHMAXwBUAGkAdABsAGUAIgAsACIAUwBjAG8AcABlADMAXwBTAG8AdQByAGMAZQBEAGEAdABhAC4AUwBjAG8AcABlADMAXwBQAGUAcwB0AGkAYwBpAGQAZQBzAF8AUwBvAHUAcgBjAGUAIgAsACIAUwBjAG8AcABlADMAXwBTAG8AdQByAGMAZQBEAGEAdABhAC4AUwBjAG8AcABlADMAXwBQAGUAcwB0AGkAYwBpAGQAZQBzAF8AVgBhAHIAaQBhAHQAaQBvAG4AIgAsACIAUwBjAG8AcABlADMAXwBTAG8AdQByAGMAZQBEAGEAdABhAC4AUwBjAG8AcABlADMAXwBQAGUAcwB0AGkAYwBpAGQAZQBzAF8ARABhAHQAYQAiACwAIgBTAGMAbwBwAGUAMwBfAFMAbwB1AHIAYwBlAEQAYQB0AGEALgBTAGMAbwBwAGUAMwBfAFMAbwBpAGwAQQBtAGUAbgBkAG0AZQBuAHQAcwBfAFQAaQB0AGwAZQAiACwAIgBTAGMAbwBwAGUAMwBfAFMAbwB1AHIAYwBlAEQAYQB0AGEALgBTAGMAbwBwAGUAMwBfAFMAbwBpAGwAQQBtAGUAbgBkAG0AZQBuAHQAcwBfAFMAbwB1AHIAYwBlACIALAAiAFMAYwBvAHAAZQAzAF8AUwBvAHUAcgBjAGUARABhAHQAYQAuAFMAYwBvAHAAZQAzAF8AUwBvAGkAbABBAG0AZQBuAGQAbQBlAG4AdABzAF8AVgBhAHIAaQBhAHQAaQBvAG4AIgAsACIAUwBjAG8AcABlADMAXwBTAG8AdQByAGMAZQBEAGEAdABhAC4AUwBjAG8AcABlADMAXwBTAG8AaQBsAEEAbQBlAG4AZABtAGUAbgB0AHMAXwBEAGEAdABhACIALAAiAEMAbwBtAG0AbwBuAEwAaQB2AGUAcwB0AG8AYwBrAF8AUwBvAHUAcgBjAGUARABhAHQAYQAuAFMAbwB1AHIAYwBlAEQAYQB0AGEAXwBMAGkAdgBlAHMAdABvAGMAawBfAEMAbwBtAG0AbwBuAF8ARgByAGEAYwBXAEUAVABNAE0AUwBfAFQAaQB0AGwAZQAiACwAIgBDAG8AbQBtAG8AbgBMAGkAdgBlAHMAdABvAGMAawBfAFMAbwB1AHIAYwBlAEQAYQB0AGEALgBTAG8AdQByAGMAZQBEAGEAdABhAF8ATABpAHYAZQBzAHQAbwBjAGsAXwBDAG8AbQBtAG8AbgBfAEYAcgBhAGMAVwBFAFQATQBNAFMAXwBVAG4AaQB0ACIALAAiAEMAbwBtAG0AbwBuAEwAaQB2AGUAcwB0AG8AYwBrAF8AUwBvAHUAcgBjAGUARABhAHQAYQAuAFMAbwB1AHIAYwBlAEQAYQB0AGEAXwBMAGkAdgBlAHMAdABvAGMAawBfAEMAbwBtAG0AbwBuAF8ARgByAGEAYwBXAEUAVABNAE0AUwBfAFMAbwB1AHIAYwBlACIALAAiAEMAbwBtAG0AbwBuAEwAaQB2AGUAcwB0AG8AYwBrAF8AUwBvAHUAcgBjAGUARABhAHQAYQAuAFMAbwB1AHIAYwBlAEQAYQB0AGEAXwBMAGkAdgBlAHMAdABvAGMAawBfAEMAbwBtAG0AbwBuAF8ARgByAGEAYwBXAEUAVABNAE0AUwBfAEQAYQB0AGEAIgAsACIAQwBvAG0AbQBvAG4ATABpAHYAZQBzAHQAbwBjAGsAXwBTAG8AdQByAGMAZQBEAGEAdABhAC4AUwBvAHUAcgBjAGUARABhAHQAYQBfAEwAaQB2AGUAcwB0AG8AYwBrAF8AQwBvAG0AbQBvAG4AXwBGAHIAYQBjAEwARQBBAEMASABfAE0AUwBfAFQAaQB0AGwAZQAiACwAIgBDAG8AbQBtAG8AbgBMAGkAdgBlAHMAdABvAGMAawBfAFMAbwB1AHIAYwBlAEQAYQB0AGEALgBTAG8AdQByAGMAZQBEAGEAdABhAF8ATABpAHYAZQBzAHQAbwBjAGsAXwBDAG8AbQBtAG8AbgBfAEYAcgBhAGMATABFAEEAQwBIAF8ATQBTAF8AVQBuAGkAdAAiACwAIgBDAG8AbQBtAG8AbgBMAGkAdgBlAHMAdABvAGMAawBfAFMAbwB1AHIAYwBlAEQAYQB0AGEALgBTAG8AdQByAGMAZQBEAGEAdABhAF8ATABpAHYAZQBzAHQAbwBjAGsAXwBDAG8AbQBtAG8AbgBfAEYAcgBhAGMATABFAEEAQwBIAF8ATQBTAF8AUwBvAHUAcgBjAGUAIgAsACIAQwBvAG0AbQBvAG4ATABpAHYAZQBzAHQAbwBjAGsAXwBTAG8AdQByAGMAZQBEAGEAdABhAC4AUwBvAHUAcgBjAGUARABhAHQAYQBfAEwAaQB2AGUAcwB0AG8AYwBrAF8AQwBvAG0AbQBvAG4AXwBGAHIAYQBjAEwARQBBAEMASABfAE0AUwBfAEQAYQB0AGEAIgAsACIAQwBvAG0AbQBvAG4ATABpAHYAZQBzAHQAbwBjAGsAXwBTAG8AdQByAGMAZQBEAGEAdABhAC4AUwBvAHUAcgBjAGUARABhAHQAYQBfAEwAaQB2AGUAcwB0AG8AYwBrAF8AQwBvAG0AbQBvAG4AXwBTAHkAbQBiAG8AbABzAE0ATQBTAF8AVABpAHQAbABlACIALAAiAEMAbwBtAG0AbwBuAEwAaQB2AGUAcwB0AG8AYwBrAF8AUwBvAHUAcgBjAGUARABhAHQAYQAuAFMAbwB1AHIAYwBlAEQAYQB0AGEAXwBMAGkAdgBlAHMAdABvAGMAawBfAEMAbwBtAG0AbwBuAF8AUwB5AG0AYgBvAGwAcwBNAE0AUwBfAFYAYQBpAHIAYQBiAGwAZQAiACwAIgBDAG8AbQBtAG8AbgBMAGkAdgBlAHMAdABvAGMAawBfAFMAbwB1AHIAYwBlAEQAYQB0AGEALgBTAG8AdQByAGMAZQBEAGEAdABhAF8ATABpAHYAZQBzAHQAbwBjAGsAXwBDAG8AbQBtAG8AbgBfAFMAeQBtAGIAbwBsAHMATQBNAFMAXwBVAG4AaQB0ACIALAAiAEMAbwBtAG0AbwBuAEwAaQB2AGUAcwB0AG8AYwBrAF8AUwBvAHUAcgBjAGUARABhAHQAYQAuAFMAbwB1AHIAYwBlAEQAYQB0AGEAXwBMAGkAdgBlAHMAdABvAGMAawBfAEMAbwBtAG0AbwBuAF8AUwB5AG0AYgBvAGwAcwBNAE0AUwBfAFMAbwB1AHIAYwBlACIALAAiAEMAbwBtAG0AbwBuAEwAaQB2AGUAcwB0AG8AYwBrAF8AUwBvAHUAcgBjAGUARABhAHQAYQAuAFMAbwB1AHIAYwBlAEQAYQB0AGEAXwBMAGkAdgBlAHMAdABvAGMAawBfAEMAbwBtAG0AbwBuAF8AUwB5AG0AYgBvAGwAcwBNAE0AUwBfAEQAYQB0AGEAIgAsACIAQwBvAG0AbQBvAG4ATABpAHYAZQBzAHQAbwBjAGsAXwBTAG8AdQByAGMAZQBEAGEAdABhAC4AUwBvAHUAcgBjAGUARABhAHQAYQBfAEwAaQB2AGUAcwB0AG8AYwBrAF8AUAByAG8AZAB1AGMAdABfAEIAZQBlAGYAQwBhAHQAdABsAGUAXwBUAGkAdABsAGUAIgAsACIAQwBvAG0AbQBvAG4ATABpAHYAZQBzAHQAbwBjAGsAXwBTAG8AdQByAGMAZQBEAGEAdABhAC4AUwBvAHUAcgBjAGUARABhAHQAYQBfAEwAaQB2AGUAcwB0AG8AYwBrAF8AUAByAG8AZAB1AGMAdABfAEIAZQBlAGYAQwBhAHQAdABsAGUAXwBWAGEAaQByAGEAYgBsAGUAIgAsACIAQwBvAG0AbQBvAG4ATABpAHYAZQBzAHQAbwBjAGsAXwBTAG8AdQByAGMAZQBEAGEAdABhAC4AUwBvAHUAcgBjAGUARABhAHQAYQBfAEwAaQB2AGUAcwB0AG8AYwBrAF8AUAByAG8AZAB1AGMAdABfAEIAZQBlAGYAQwBhAHQAdABsAGUAXwBVAG4AaQB0ACIALAAiAEMAbwBtAG0AbwBuAEwAaQB2AGUAcwB0AG8AYwBrAF8AUwBvAHUAcgBjAGUARABhAHQAYQAuAFMAbwB1AHIAYwBlAEQAYQB0AGEAXwBMAGkAdgBlAHMAdABvAGMAawBfAFAAcgBvAGQAdQBjAHQAXwBCAGUAZQBmAEMAYQB0AHQAbABlAF8AUwBvAHUAcgBjAGUAIgAsACIAQwBvAG0AbQBvAG4ATABpAHYAZQBzAHQAbwBjAGsAXwBTAG8AdQByAGMAZQBEAGEAdABhAC4AUwBvAHUAcgBjAGUARABhAHQAYQBfAEwAaQB2AGUAcwB0AG8AYwBrAF8AUAByAG8AZAB1AGMAdABfAEIAZQBlAGYAQwBhAHQAdABsAGUAXwBEAGEAdABhACIALAAiAEMAbwBtAG0AbwBuAEwAaQB2AGUAcwB0AG8AYwBrAF8AUwBvAHUAcgBjAGUARABhAHQAYQAuAFMAbwB1AHIAYwBlAEQAYQB0AGEAXwBMAGkAdgBlAHMAdABvAGMAawBfAFAAcgBvAGQAdQBjAHQAXwBDAGgAaQBjAGsAZQBuAHMAXwBUAGkAdABsAGUAIgAsACIAQwBvAG0AbQBvAG4ATABpAHYAZQBzAHQAbwBjAGsAXwBTAG8AdQByAGMAZQBEAGEAdABhAC4AUwBvAHUAcgBjAGUARABhAHQAYQBfAEwAaQB2AGUAcwB0AG8AYwBrAF8AUAByAG8AZAB1AGMAdABfAEMAaABpAGMAawBlAG4AcwBfAFYAYQBpAHIAYQBiAGwAZQAiACwAIgBDAG8AbQBtAG8AbgBMAGkAdgBlAHMAdABvAGMAawBfAFMAbwB1AHIAYwBlAEQAYQB0AGEALgBTAG8AdQByAGMAZQBEAGEAdABhAF8ATABpAHYAZQBzAHQAbwBjAGsAXwBQAHIAbwBkAHUAYwB0AF8AQwBoAGkAYwBrAGUAbgBzAF8AVQBuAGkAdAAiACwAIgBDAG8AbQBtAG8AbgBMAGkAdgBlAHMAdABvAGMAawBfAFMAbwB1AHIAYwBlAEQAYQB0AGEALgBTAG8AdQByAGMAZQBEAGEAdABhAF8ATABpAHYAZQBzAHQAbwBjAGsAXwBQAHIAbwBkAHUAYwB0AF8AQwBoAGkAYwBrAGUAbgBzAF8AUwBvAHUAcgBjAGUAIgAsACIAQwBvAG0AbQBvAG4ATABpAHYAZQBzAHQAbwBjAGsAXwBTAG8AdQByAGMAZQBEAGEAdABhAC4AUwBvAHUAcgBjAGUARABhAHQAYQBfAEwAaQB2AGUAcwB0AG8AYwBrAF8AUAByAG8AZAB1AGMAdABfAEMAaABpAGMAawBlAG4AcwBfAEQAYQB0AGEAIgAsACIAQwBvAG0AbQBvAG4ATABpAHYAZQBzAHQAbwBjAGsAXwBTAG8AdQByAGMAZQBEAGEAdABhAC4AUwBvAHUAcgBjAGUARABhAHQAYQBfAEwAaQB2AGUAcwB0AG8AYwBrAF8AUAByAG8AZAB1AGMAdABfAEQAYQBpAHIAeQBjAGEAdAB0AGwAZQBfAFQAaQB0AGwAZQAiACwAIgBDAG8AbQBtAG8AbgBMAGkAdgBlAHMAdABvAGMAawBfAFMAbwB1AHIAYwBlAEQAYQB0AGEALgBTAG8AdQByAGMAZQBEAGEAdABhAF8ATABpAHYAZQBzAHQAbwBjAGsAXwBQAHIAbwBkAHUAYwB0AF8ARABhAGkAcgB5AGMAYQB0AHQAbABlAF8AVgBhAGkAcgBhAGIAbABlACIALAAiAEMAbwBtAG0AbwBuAEwAaQB2AGUAcwB0AG8AYwBrAF8AUwBvAHUAcgBjAGUARABhAHQAYQAuAFMAbwB1AHIAYwBlAEQAYQB0AGEAXwBMAGkAdgBlAHMAdABvAGMAawBfAFAAcgBvAGQAdQBjAHQAXwBEAGEAaQByAHkAYwBhAHQAdABsAGUAXwBVAG4AaQB0ACIALAAiAEMAbwBtAG0AbwBuAEwAaQB2AGUAcwB0AG8AYwBrAF8AUwBvAHUAcgBjAGUARABhAHQAYQAuAFMAbwB1AHIAYwBlAEQAYQB0AGEAXwBMAGkAdgBlAHMAdABvAGMAawBfAFAAcgBvAGQAdQBjAHQAXwBEAGEAaQByAHkAYwBhAHQAdABsAGUAXwBTAG8AdQByAGMAZQAiACwAIgBDAG8AbQBtAG8AbgBMAGkAdgBlAHMAdABvAGMAawBfAFMAbwB1AHIAYwBlAEQAYQB0AGEALgBTAG8AdQByAGMAZQBEAGEAdABhAF8ATABpAHYAZQBzAHQAbwBjAGsAXwBQAHIAbwBkAHUAYwB0AF8ARABhAGkAcgB5AGMAYQB0AHQAbABlAF8ARABhAHQAYQAiACwAIgBDAG8AbQBtAG8AbgBMAGkAdgBlAHMAdABvAGMAawBfAFMAbwB1AHIAYwBlAEQAYQB0AGEALgBTAG8AdQByAGMAZQBEAGEAdABhAF8ATABpAHYAZQBzAHQAbwBjAGsAXwBQAHIAbwBkAHUAYwB0AF8AUABpAGcAcwBfAFQAaQB0AGwAZQAiACwAIgBDAG8AbQBtAG8AbgBMAGkAdgBlAHMAdABvAGMAawBfAFMAbwB1AHIAYwBlAEQAYQB0AGEALgBTAG8AdQByAGMAZQBEAGEAdABhAF8ATABpAHYAZQBzAHQAbwBjAGsAXwBQAHIAbwBkAHUAYwB0AF8AUABpAGcAcwBfAFYAYQBpAHIAYQBiAGwAZQAiACwAIgBDAG8AbQBtAG8AbgBMAGkAdgBlAHMAdABvAGMAawBfAFMAbwB1AHIAYwBlAEQAYQB0AGEALgBTAG8AdQByAGMAZQBEAGEAdABhAF8ATABpAHYAZQBzAHQAbwBjAGsAXwBQAHIAbwBkAHUAYwB0AF8AUABpAGcAcwBfAFUAbgBpAHQAIgAsACIAQwBvAG0AbQBvAG4ATABpAHYAZQBzAHQAbwBjAGsAXwBTAG8AdQByAGMAZQBEAGEAdABhAC4AUwBvAHUAcgBjAGUARABhAHQAYQBfAEwAaQB2AGUAcwB0AG8AYwBrAF8AUAByAG8AZAB1AGMAdABfAFAAaQBnAHMAXwBTAG8AdQByAGMAZQAiACwAIgBDAG8AbQBtAG8AbgBMAGkAdgBlAHMAdABvAGMAawBfAFMAbwB1AHIAYwBlAEQAYQB0AGEALgBTAG8AdQByAGMAZQBEAGEAdABhAF8ATABpAHYAZQBzAHQAbwBjAGsAXwBQAHIAbwBkAHUAYwB0AF8AUABpAGcAcwBfAEQAYQB0AGEAIgAsACIAQwBvAG0AbQBvAG4ATABpAHYAZQBzAHQAbwBjAGsAXwBTAG8AdQByAGMAZQBEAGEAdABhAC4AUwBvAHUAcgBjAGUARABhAHQAYQBfAEwAaQB2AGUAcwB0AG8AYwBrAF8AUAByAG8AZAB1AGMAdABfAFMAaABlAGUAcABfAFQAaQB0AGwAZQAiACwAIgBDAG8AbQBtAG8AbgBMAGkAdgBlAHMAdABvAGMAawBfAFMAbwB1AHIAYwBlAEQAYQB0AGEALgBTAG8AdQByAGMAZQBEAGEAdABhAF8ATABpAHYAZQBzAHQAbwBjAGsAXwBQAHIAbwBkAHUAYwB0AF8AUwBoAGUAZQBwAF8AVgBhAGkAcgBhAGIAbABlACIALAAiAEMAbwBtAG0AbwBuAEwAaQB2AGUAcwB0AG8AYwBrAF8AUwBvAHUAcgBjAGUARABhAHQAYQAuAFMAbwB1AHIAYwBlAEQAYQB0AGEAXwBMAGkAdgBlAHMAdABvAGMAawBfAFAAcgBvAGQAdQBjAHQAXwBTAGgAZQBlAHAAXwBVAG4AaQB0ACIALAAiAEMAbwBtAG0AbwBuAEwAaQB2AGUAcwB0AG8AYwBrAF8AUwBvAHUAcgBjAGUARABhAHQAYQAuAFMAbwB1AHIAYwBlAEQAYQB0AGEAXwBMAGkAdgBlAHMAdABvAGMAawBfAFAAcgBvAGQAdQBjAHQAXwBTAGgAZQBlAHAAXwBTAG8AdQByAGMAZQAiACwAIgBDAG8AbQBtAG8AbgBMAGkAdgBlAHMAdABvAGMAawBfAFMAbwB1AHIAYwBlAEQAYQB0AGEALgBTAG8AdQByAGMAZQBEAGEAdABhAF8ATABpAHYAZQBzAHQAbwBjAGsAXwBQAHIAbwBkAHUAYwB0AF8AUwBoAGUAZQBwAF8ARABhAHQAYQAiACwAIgBTAG8AdQByAGMAZQBEAGEAdABhAF8AUABhAHMAdAB1AHIAZQBCAGUAZQBmAC4AUwBvAHUAcgBjAGUARABhAHQAYQBfAFAAYQBzAHQAdQByAGUAQgBlAGUAZgBfAEwAaQB2AGUAdwBlAGkAZwBoAHQAXwBUAGkAdABsAGUAIgAsACIAUwBvAHUAcgBjAGUARABhAHQAYQBfAFAAYQBzAHQAdQByAGUAQgBlAGUAZgAuAFMAbwB1AHIAYwBlAEQAYQB0AGEAXwBQAGEAcwB0AHUAcgBlAEIAZQBlAGYAXwBMAGkAdgBlAHcAZQBpAGcAaAB0AF8AVgBhAHIAaQBhAGIAbABlACIALAAiAFMAbwB1AHIAYwBlAEQAYQB0AGEAXwBQAGEAcwB0AHUAcgBlAEIAZQBlAGYALgBTAG8AdQByAGMAZQBEAGEAdABhAF8AUABhAHMAdAB1AHIAZQBCAGUAZQBmAF8ATABpAHYAZQB3AGUAaQBnAGgAdABfAFUAbgBpAHQAIgAsACIAUwBvAHUAcgBjAGUARABhAHQAYQBfAFAAYQBzAHQAdQByAGUAQgBlAGUAZgAuAFMAbwB1AHIAYwBlAEQAYQB0AGEAXwBQAGEAcwB0AHUAcgBlAEIAZQBlAGYAXwBMAGkAdgBlAHcAZQBpAGcAaAB0AF8AUwBvAHUAcgBjAGUAIgAsACIAUwBvAHUAcgBjAGUARABhAHQAYQBfAFAAYQBzAHQAdQByAGUAQgBlAGUAZgAuAFMAbwB1AHIAYwBlAEQAYQB0AGEAXwBQAGEAcwB0AHUAcgBlAEIAZQBlAGYAXwBMAGkAdgBlAHcAZQBpAGcAaAB0AF8AVgBhAHIAaQBhAHQAaQBvAG4AIgAsACIAUwBvAHUAcgBjAGUARABhAHQAYQBfAFAAYQBzAHQAdQByAGUAQgBlAGUAZgAuAFMAbwB1AHIAYwBlAEQAYQB0AGEAXwBQAGEAcwB0AHUAcgBlAEIAZQBlAGYAXwBMAGkAdgBlAHcAZQBpAGcAaAB0AF8ARABhAHQAYQAiACwAIgBTAG8AdQByAGMAZQBEAGEAdABhAF8AUABhAHMAdAB1AHIAZQBCAGUAZQBmAC4AUwBvAHUAcgBjAGUARABhAHQAYQBfAFAAYQBzAHQAdQByAGUAQgBlAGUAZgBfAEwAaQB2AGUAdwBlAGkAZwBoAHQATgBUAFEATABEAF8AVABpAHQAbABlACIALAAiAFMAbwB1AHIAYwBlAEQAYQB0AGEAXwBQAGEAcwB0AHUAcgBlAEIAZQBlAGYALgBTAG8AdQByAGMAZQBEAGEAdABhAF8AUABhAHMAdAB1AHIAZQBCAGUAZQBmAF8ATABpAHYAZQB3AGUAaQBnAGgAdABOAFQAUQBMAEQAXwBWAGEAcgBpAGEAYgBsAGUAIgAsACIAUwBvAHUAcgBjAGUARABhAHQAYQBfAFAAYQBzAHQAdQByAGUAQgBlAGUAZgAuAFMAbwB1AHIAYwBlAEQAYQB0AGEAXwBQAGEAcwB0AHUAcgBlAEIAZQBlAGYAXwBMAGkAdgBlAHcAZQBpAGcAaAB0AE4AVABRAEwARABfAFUAbgBpAHQAIgAsACIAUwBvAHUAcgBjAGUARABhAHQAYQBfAFAAYQBzAHQAdQByAGUAQgBlAGUAZgAuAFMAbwB1AHIAYwBlAEQAYQB0AGEAXwBQAGEAcwB0AHUAcgBlAEIAZQBlAGYAXwBMAGkAdgBlAHcAZQBpAGcAaAB0AE4AVABRAEwARABfAFMAbwB1AHIAYwBlACIALAAiAFMAbwB1AHIAYwBlAEQAYQB0AGEAXwBQAGEAcwB0AHUAcgBlAEIAZQBlAGYALgBTAG8AdQByAGMAZQBEAGEAdABhAF8AUABhAHMAdAB1AHIAZQBCAGUAZQBmAF8ATABpAHYAZQB3AGUAaQBnAGgAdABOAFQAUQBMAEQAXwBWAGEAcgBpAGEAdABpAG8AbgAiACwAIgBTAG8AdQByAGMAZQBEAGEAdABhAF8AUABhAHMAdAB1AHIAZQBCAGUAZQBmAC4AUwBvAHUAcgBjAGUARABhAHQAYQBfAFAAYQBzAHQAdQByAGUAQgBlAGUAZgBfAEwAaQB2AGUAdwBlAGkAZwBoAHQATgBUAFEATABEAF8ARABhAHQAYQAiACwAIgBTAG8AdQByAGMAZQBEAGEAdABhAF8AUABhAHMAdAB1AHIAZQBCAGUAZQBmAC4AUwBvAHUAcgBjAGUARABhAHQAYQBfAFAAYQBzAHQAdQByAGUAQgBlAGUAZgBfAEwAaQB2AGUAdwBlAGkAZwBoAHQARwBhAGkAbgBfAFQAaQB0AGwAZQAiACwAIgBTAG8AdQByAGMAZQBEAGEAdABhAF8AUABhAHMAdAB1AHIAZQBCAGUAZQBmAC4AUwBvAHUAcgBjAGUARABhAHQAYQBfAFAAYQBzAHQAdQByAGUAQgBlAGUAZgBfAEwAaQB2AGUAdwBlAGkAZwBoAHQARwBhAGkAbgBfAFYAYQByAGkAYQBiAGwAZQAiACwAIgBTAG8AdQByAGMAZQBEAGEAdABhAF8AUABhAHMAdAB1AHIAZQBCAGUAZQBmAC4AUwBvAHUAcgBjAGUARABhAHQAYQBfAFAAYQBzAHQAdQByAGUAQgBlAGUAZgBfAEwAaQB2AGUAdwBlAGkAZwBoAHQARwBhAGkAbgBfAFUAbgBpAHQAIgAsACIAUwBvAHUAcgBjAGUARABhAHQAYQBfAFAAYQBzAHQAdQByAGUAQgBlAGUAZgAuAFMAbwB1AHIAYwBlAEQAYQB0AGEAXwBQAGEAcwB0AHUAcgBlAEIAZQBlAGYAXwBMAGkAdgBlAHcAZQBpAGcAaAB0AEcAYQBpAG4AXwBTAG8AdQByAGMAZQAiACwAIgBTAG8AdQByAGMAZQBEAGEAdABhAF8AUABhAHMAdAB1AHIAZQBCAGUAZQBmAC4AUwBvAHUAcgBjAGUARABhAHQAYQBfAFAAYQBzAHQAdQByAGUAQgBlAGUAZgBfAEwAaQB2AGUAdwBlAGkAZwBoAHQARwBhAGkAbgBfAFYAYQByAGkAYQB0AGkAbwBuACIALAAiAFMAbwB1AHIAYwBlAEQAYQB0AGEAXwBQAGEAcwB0AHUAcgBlAEIAZQBlAGYALgBTAG8AdQByAGMAZQBEAGEAdABhAF8AUABhAHMAdAB1AHIAZQBCAGUAZQBmAF8ATABpAHYAZQB3AGUAaQBnAGgAdABHAGEAaQBuAF8ARABhAHQAYQAiACwAIgBTAG8AdQByAGMAZQBEAGEAdABhAF8AUABhAHMAdAB1AHIAZQBCAGUAZQBmAC4AUwBvAHUAcgBjAGUARABhAHQAYQBfAFAAYQBzAHQAdQByAGUAQgBlAGUAZgBfAEwAaQB2AGUAdwBlAGkAZwBoAHQARwBhAGkAbgBOAFQAUQBMAEQAXwBUAGkAdABsAGUAIgAsACIAUwBvAHUAcgBjAGUARABhAHQAYQBfAFAAYQBzAHQAdQByAGUAQgBlAGUAZgAuAFMAbwB1AHIAYwBlAEQAYQB0AGEAXwBQAGEAcwB0AHUAcgBlAEIAZQBlAGYAXwBMAGkAdgBlAHcAZQBpAGcAaAB0AEcAYQBpAG4ATgBUAFEATABEAF8AVgBhAHIAaQBhAGIAbABlACIALAAiAFMAbwB1AHIAYwBlAEQAYQB0AGEAXwBQAGEAcwB0AHUAcgBlAEIAZQBlAGYALgBTAG8AdQByAGMAZQBEAGEAdABhAF8AUABhAHMAdAB1AHIAZQBCAGUAZQBmAF8ATABpAHYAZQB3AGUAaQBnAGgAdABHAGEAaQBuAE4AVABRAEwARABfAFUAbgBpAHQAIgAsACIAUwBvAHUAcgBjAGUARABhAHQAYQBfAFAAYQBzAHQAdQByAGUAQgBlAGUAZgAuAFMAbwB1AHIAYwBlAEQAYQB0AGEAXwBQAGEAcwB0AHUAcgBlAEIAZQBlAGYAXwBMAGkAdgBlAHcAZQBpAGcAaAB0AEcAYQBpAG4ATgBUAFEATABEAF8AUwBvAHUAcgBjAGUAIgAsACIAUwBvAHUAcgBjAGUARABhAHQAYQBfAFAAYQBzAHQAdQByAGUAQgBlAGUAZgAuAFMAbwB1AHIAYwBlAEQAYQB0AGEAXwBQAGEAcwB0AHUAcgBlAEIAZQBlAGYAXwBMAGkAdgBlAHcAZQBpAGcAaAB0AEcAYQBpAG4ATgBUAFEATABEAF8AVgBhAHIAaQBhAHQAaQBvAG4AIgAsACIAUwBvAHUAcgBjAGUARABhAHQAYQBfAFAAYQBzAHQAdQByAGUAQgBlAGUAZgAuAFMAbwB1AHIAYwBlAEQAYQB0AGEAXwBQAGEAcwB0AHUAcgBlAEIAZQBlAGYAXwBMAGkAdgBlAHcAZQBpAGcAaAB0AEcAYQBpAG4ATgBUAFEATABEAF8ARABhAHQAYQAiACwAIgBTAG8AdQByAGMAZQBEAGEAdABhAF8AUABhAHMAdAB1AHIAZQBCAGUAZQBmAC4AUwBvAHUAcgBjAGUARABhAHQAYQBfAFAAYQBzAHQAdQByAGUAQgBlAGUAZgBfAEQAcgB5AE0AYQB0AHQAZQByAEQAaQBnAGUAcwB0AGkAYgBpAGwAaQB0AHkAXwBUAGkAdABsAGUAIgAsACIAUwBvAHUAcgBjAGUARABhAHQAYQBfAFAAYQBzAHQAdQByAGUAQgBlAGUAZgAuAFMAbwB1AHIAYwBlAEQAYQB0AGEAXwBQAGEAcwB0AHUAcgBlAEIAZQBlAGYAXwBEAHIAeQBNAGEAdAB0AGUAcgBEAGkAZwBlAHMAdABpAGIAaQBsAGkAdAB5AF8AVgBhAHIAaQBhAGIAbABlACIALAAiAFMAbwB1AHIAYwBlAEQAYQB0AGEAXwBQAGEAcwB0AHUAcgBlAEIAZQBlAGYALgBTAG8AdQByAGMAZQBEAGEAdABhAF8AUABhAHMAdAB1AHIAZQBCAGUAZQBmAF8ARAByAHkATQBhAHQAdABlAHIARABpAGcAZQBzAHQAaQBiAGkAbABpAHQAeQBfAFUAbgBpAHQAIgAsACIAUwBvAHUAcgBjAGUARABhAHQAYQBfAFAAYQBzAHQAdQByAGUAQgBlAGUAZgAuAFMAbwB1AHIAYwBlAEQAYQB0AGEAXwBQAGEAcwB0AHUAcgBlAEIAZQBlAGYAXwBEAHIAeQBNAGEAdAB0AGUAcgBEAGkAZwBlAHMAdABpAGIAaQBsAGkAdAB5AF8AUwBvAHUAcgBjAGUAIgAsACIAUwBvAHUAcgBjAGUARABhAHQAYQBfAFAAYQBzAHQAdQByAGUAQgBlAGUAZgAuAFMAbwB1AHIAYwBlAEQAYQB0AGEAXwBQAGEAcwB0AHUAcgBlAEIAZQBlAGYAXwBEAHIAeQBNAGEAdAB0AGUAcgBEAGkAZwBlAHMAdABpAGIAaQBsAGkAdAB5AF8AVgBhAHIAaQBhAHQAaQBvAG4AIgAsACIAUwBvAHUAcgBjAGUARABhAHQAYQBfAFAAYQBzAHQAdQByAGUAQgBlAGUAZgAuAFMAbwB1AHIAYwBlAEQAYQB0AGEAXwBQAGEAcwB0AHUAcgBlAEIAZQBlAGYAXwBEAHIAeQBNAGEAdAB0AGUAcgBEAGkAZwBlAHMAdABpAGIAaQBsAGkAdAB5AF8ARABhAHQAYQAiACwAIgBTAG8AdQByAGMAZQBEAGEAdABhAF8AUABhAHMAdAB1AHIAZQBCAGUAZQBmAC4AUwBvAHUAcgBjAGUARABhAHQAYQBfAFAAYQBzAHQAdQByAGUAQgBlAGUAZgBfAEMAcgB1AGQAZQBQAHIAbwB0AGUAaQBuAEMAbwBuAHQAZQBuAHQAXwBUAGkAdABsAGUAIgAsACIAUwBvAHUAcgBjAGUARABhAHQAYQBfAFAAYQBzAHQAdQByAGUAQgBlAGUAZgAuAFMAbwB1AHIAYwBlAEQAYQB0AGEAXwBQAGEAcwB0AHUAcgBlAEIAZQBlAGYAXwBDAHIAdQBkAGUAUAByAG8AdABlAGkAbgBDAG8AbgB0AGUAbgB0AF8AVgBhAHIAaQBhAGIAbABlACIALAAiAFMAbwB1AHIAYwBlAEQAYQB0AGEAXwBQAGEAcwB0AHUAcgBlAEIAZQBlAGYALgBTAG8AdQByAGMAZQBEAGEAdABhAF8AUABhAHMAdAB1AHIAZQBCAGUAZQBmAF8AQwByAHUAZABlAFAAcgBvAHQAZQBpAG4AQwBvAG4AdABlAG4AdABfAFUAbgBpAHQAIgAsACIAUwBvAHUAcgBjAGUARABhAHQAYQBfAFAAYQBzAHQAdQByAGUAQgBlAGUAZgAuAFMAbwB1AHIAYwBlAEQAYQB0AGEAXwBQAGEAcwB0AHUAcgBlAEIAZQBlAGYAXwBDAHIAdQBkAGUAUAByAG8AdABlAGkAbgBDAG8AbgB0AGUAbgB0AF8AUwBvAHUAcgBjAGUAIgAsACIAUwBvAHUAcgBjAGUARABhAHQAYQBfAFAAYQBzAHQAdQByAGUAQgBlAGUAZgAuAFMAbwB1AHIAYwBlAEQAYQB0AGEAXwBQAGEAcwB0AHUAcgBlAEIAZQBlAGYAXwBDAHIAdQBkAGUAUAByAG8AdABlAGkAbgBDAG8AbgB0AGUAbgB0AF8AVgBhAHIAaQBhAHQAaQBvAG4AIgAsACIAUwBvAHUAcgBjAGUARABhAHQAYQBfAFAAYQBzAHQAdQByAGUAQgBlAGUAZgAuAFMAbwB1AHIAYwBlAEQAYQB0AGEAXwBQAGEAcwB0AHUAcgBlAEIAZQBlAGYAXwBDAHIAdQBkAGUAUAByAG8AdABlAGkAbgBDAG8AbgB0AGUAbgB0AF8ARABhAHQAYQAiACwAIgBTAG8AdQByAGMAZQBEAGEAdABhAF8AUABhAHMAdAB1AHIAZQBCAGUAZQBmAC4AUwBvAHUAcgBjAGUARABhAHQAYQBfAFAAYQBzAHQAdQByAGUAQgBlAGUAZgBfAEYAZQBlAGQAQQBkAGoAdQBzAHQAbQBlAG4AdABBAG4AZABNAGkAbABrAFAAcgBvAGQAdQBjAHQAaQBvAG4AXwBUAGkAdABsAGUAIgAsACIAUwBvAHUAcgBjAGUARABhAHQAYQBfAFAAYQBzAHQAdQByAGUAQgBlAGUAZgAuAFMAbwB1AHIAYwBlAEQAYQB0AGEAXwBQAGEAcwB0AHUAcgBlAEIAZQBlAGYAXwBGAGUAZQBkAEEAZABqAHUAcwB0AG0AZQBuAHQAQQBuAGQATQBpAGwAawBQAHIAbwBkAHUAYwB0AGkAbwBuAF8AVgBhAHIAaQBhAGIAbABlACIALAAiAFMAbwB1AHIAYwBlAEQAYQB0AGEAXwBQAGEAcwB0AHUAcgBlAEIAZQBlAGYALgBTAG8AdQByAGMAZQBEAGEAdABhAF8AUABhAHMAdAB1AHIAZQBCAGUAZQBmAF8ARgBlAGUAZABBAGQAagB1AHMAdABtAGUAbgB0AEEAbgBkAE0AaQBsAGsAUAByAG8AZAB1AGMAdABpAG8AbgBfAFUAbgBpAHQAIgAsACIAUwBvAHUAcgBjAGUARABhAHQAYQBfAFAAYQBzAHQAdQByAGUAQgBlAGUAZgAuAFMAbwB1AHIAYwBlAEQAYQB0AGEAXwBQAGEAcwB0AHUAcgBlAEIAZQBlAGYAXwBGAGUAZQBkAEEAZABqAHUAcwB0AG0AZQBuAHQAQQBuAGQATQBpAGwAawBQAHIAbwBkAHUAYwB0AGkAbwBuAF8AUwBvAHUAcgBjAGUAIgAsACIAUwBvAHUAcgBjAGUARABhAHQAYQBfAFAAYQBzAHQAdQByAGUAQgBlAGUAZgAuAFMAbwB1AHIAYwBlAEQAYQB0AGEAXwBQAGEAcwB0AHUAcgBlAEIAZQBlAGYAXwBGAGUAZQBkAEEAZABqAHUAcwB0AG0AZQBuAHQAQQBuAGQATQBpAGwAawBQAHIAbwBkAHUAYwB0AGkAbwBuAF8AVgBhAHIAaQBhAHQAaQBvAG4AIgAsACIAUwBvAHUAcgBjAGUARABhAHQAYQBfAFAAYQBzAHQAdQByAGUAQgBlAGUAZgAuAFMAbwB1AHIAYwBlAEQAYQB0AGEAXwBQAGEAcwB0AHUAcgBlAEIAZQBlAGYAXwBGAGUAZQBkAEEAZABqAHUAcwB0AG0AZQBuAHQAQQBuAGQATQBpAGwAawBQAHIAbwBkAHUAYwB0AGkAbwBuAF8ARABhAHQAYQAiACwAIgBTAG8AdQByAGMAZQBEAGEAdABhAF8AUABhAHMAdAB1AHIAZQBCAGUAZQBmAC4AUwBvAHUAcgBjAGUARABhAHQAYQBfAFAAYQBzAHQAdQByAGUAQgBlAGUAZgBfAFMAdABhAG4AZABhAHIAZABSAGUAZgBlAHIAZQBuAGMAZQBXAGUAaQBnAGgAdABzAF8AVABpAHQAbABlACIALAAiAFMAbwB1AHIAYwBlAEQAYQB0AGEAXwBQAGEAcwB0AHUAcgBlAEIAZQBlAGYALgBTAG8AdQByAGMAZQBEAGEAdABhAF8AUABhAHMAdAB1AHIAZQBCAGUAZQBmAF8AUwB0AGEAbgBkAGEAcgBkAFIAZQBmAGUAcgBlAG4AYwBlAFcAZQBpAGcAaAB0AHMAXwBWAGEAcgBpAGEAYgBsAGUAIgAsACIAUwBvAHUAcgBjAGUARABhAHQAYQBfAFAAYQBzAHQAdQByAGUAQgBlAGUAZgAuAFMAbwB1AHIAYwBlAEQAYQB0AGEAXwBQAGEAcwB0AHUAcgBlAEIAZQBlAGYAXwBTAHQAYQBuAGQAYQByAGQAUgBlAGYAZQByAGUAbgBjAGUAVwBlAGkAZwBoAHQAcwBfAFUAbgBpAHQAIgAsACIAUwBvAHUAcgBjAGUARABhAHQAYQBfAFAAYQBzAHQAdQByAGUAQgBlAGUAZgAuAFMAbwB1AHIAYwBlAEQAYQB0AGEAXwBQAGEAcwB0AHUAcgBlAEIAZQBlAGYAXwBTAHQAYQBuAGQAYQByAGQAUgBlAGYAZQByAGUAbgBjAGUAVwBlAGkAZwBoAHQAcwBfAFMAbwB1AHIAYwBlACIALAAiAFMAbwB1AHIAYwBlAEQAYQB0AGEAXwBQAGEAcwB0AHUAcgBlAEIAZQBlAGYALgBTAG8AdQByAGMAZQBEAGEAdABhAF8AUABhAHMAdAB1AHIAZQBCAGUAZQBmAF8AUwB0AGEAbgBkAGEAcgBkAFIAZQBmAGUAcgBlAG4AYwBlAFcAZQBpAGcAaAB0AHMAXwBWAGEAcgBpAGEAdABpAG8AbgAiACwAIgBTAG8AdQByAGMAZQBEAGEAdABhAF8AUABhAHMAdAB1AHIAZQBCAGUAZQBmAC4AUwBvAHUAcgBjAGUARABhAHQAYQBfAFAAYQBzAHQAdQByAGUAQgBlAGUAZgBfAFMAdABhAG4AZABhAHIAZABSAGUAZgBlAHIAZQBuAGMAZQBXAGUAaQBnAGgAdABzAF8ARABhAHQAYQAiACwAIgBTAG8AdQByAGMAZQBEAGEAdABhAF8AUABhAHMAdAB1AHIAZQBCAGUAZQBmAC4AUwBvAHUAcgBjAGUARABhAHQAYQBfAFAAYQBzAHQAdQByAGUAQgBlAGUAZgBfAEYAcgBhAGMAdABpAG8AbgBPAGYATQBhAG4AdQByAGUAVABvAE0ATQBTAF8AVABpAHQAbABlACIALAAiAFMAbwB1AHIAYwBlAEQAYQB0AGEAXwBQAGEAcwB0AHUAcgBlAEIAZQBlAGYALgBTAG8AdQByAGMAZQBEAGEAdABhAF8AUABhAHMAdAB1AHIAZQBCAGUAZQBmAF8ARgByAGEAYwB0AGkAbwBuAE8AZgBNAGEAbgB1AHIAZQBUAG8ATQBNAFMAXwBWAGEAcgBpAGEAYgBsAGUAIgAsACIAUwBvAHUAcgBjAGUARABhAHQAYQBfAFAAYQBzAHQAdQByAGUAQgBlAGUAZgAuAFMAbwB1AHIAYwBlAEQAYQB0AGEAXwBQAGEAcwB0AHUAcgBlAEIAZQBlAGYAXwBGAHIAYQBjAHQAaQBvAG4ATwBmAE0AYQBuAHUAcgBlAFQAbwBNAE0AUwBfAFUAbgBpAHQAIgAsACIAUwBvAHUAcgBjAGUARABhAHQAYQBfAFAAYQBzAHQAdQByAGUAQgBlAGUAZgAuAFMAbwB1AHIAYwBlAEQAYQB0AGEAXwBQAGEAcwB0AHUAcgBlAEIAZQBlAGYAXwBGAHIAYQBjAHQAaQBvAG4ATwBmAE0AYQBuAHUAcgBlAFQAbwBNAE0AUwBfAFMAbwB1AHIAYwBlACIALAAiAFMAbwB1AHIAYwBlAEQAYQB0AGEAXwBQAGEAcwB0AHUAcgBlAEIAZQBlAGYALgBTAG8AdQByAGMAZQBEAGEAdABhAF8AUABhAHMAdAB1AHIAZQBCAGUAZQBmAF8ARgByAGEAYwB0AGkAbwBuAE8AZgBNAGEAbgB1AHIAZQBUAG8ATQBNAFMAXwBWAGEAcgBpAGEAdABpAG8AbgAiACwAIgBTAG8AdQByAGMAZQBEAGEAdABhAF8AUABhAHMAdAB1AHIAZQBCAGUAZQBmAC4AUwBvAHUAcgBjAGUARABhAHQAYQBfAFAAYQBzAHQAdQByAGUAQgBlAGUAZgBfAEYAcgBhAGMAdABpAG8AbgBPAGYATQBhAG4AdQByAGUAVABvAE0ATQBTAF8ARABhAHQAYQAiACwAIgBTAG8AdQByAGMAZQBEAGEAdABhAF8AUABhAHMAdAB1AHIAZQBCAGUAZQBmAC4AUwBvAHUAcgBjAGUARABhAHQAYQBfAFAAYQBzAHQAdQByAGUAQgBlAGUAZgBfAE0AZQB0AGgAYQBuAGUAQwBvAG4AdgBlAHIAcwBpAG8AbgBGAGEAYwB0AG8AcgBQAGUAcgBSAGUAZwBpAG8AbgBfAFQAaQB0AGwAZQAiACwAIgBTAG8AdQByAGMAZQBEAGEAdABhAF8AUABhAHMAdAB1AHIAZQBCAGUAZQBmAC4AUwBvAHUAcgBjAGUARABhAHQAYQBfAFAAYQBzAHQAdQByAGUAQgBlAGUAZgBfAE0AZQB0AGgAYQBuAGUAQwBvAG4AdgBlAHIAcwBpAG8AbgBGAGEAYwB0AG8AcgBQAGUAcgBSAGUAZwBpAG8AbgBfAFYAYQByAGkAYQBiAGwAZQAiACwAIgBTAG8AdQByAGMAZQBEAGEAdABhAF8AUABhAHMAdAB1AHIAZQBCAGUAZQBmAC4AUwBvAHUAcgBjAGUARABhAHQAYQBfAFAAYQBzAHQAdQByAGUAQgBlAGUAZgBfAE0AZQB0AGgAYQBuAGUAQwBvAG4AdgBlAHIAcwBpAG8AbgBGAGEAYwB0AG8AcgBQAGUAcgBSAGUAZwBpAG8AbgBfAFUAbgBpAHQAIgAsACIAUwBvAHUAcgBjAGUARABhAHQAYQBfAFAAYQBzAHQAdQByAGUAQgBlAGUAZgAuAFMAbwB1AHIAYwBlAEQAYQB0AGEAXwBQAGEAcwB0AHUAcgBlAEIAZQBlAGYAXwBNAGUAdABoAGEAbgBlAEMAbwBuAHYAZQByAHMAaQBvAG4ARgBhAGMAdABvAHIAUABlAHIAUgBlAGcAaQBvAG4AXwBTAG8AdQByAGMAZQAiACwAIgBTAG8AdQByAGMAZQBEAGEAdABhAF8AUABhAHMAdAB1AHIAZQBCAGUAZQBmAC4AUwBvAHUAcgBjAGUARABhAHQAYQBfAFAAYQBzAHQAdQByAGUAQgBlAGUAZgBfAE0AZQB0AGgAYQBuAGUAQwBvAG4AdgBlAHIAcwBpAG8AbgBGAGEAYwB0AG8AcgBQAGUAcgBSAGUAZwBpAG8AbgBfAFYAYQByAGkAYQB0AGkAbwBuACIALAAiAFMAbwB1AHIAYwBlAEQAYQB0AGEAXwBQAGEAcwB0AHUAcgBlAEIAZQBlAGYALgBTAG8AdQByAGMAZQBEAGEAdABhAF8AUABhAHMAdAB1AHIAZQBCAGUAZQBmAF8ATQBlAHQAaABhAG4AZQBDAG8AbgB2AGUAcgBzAGkAbwBuAEYAYQBjAHQAbwByAFAAZQByAFIAZQBnAGkAbwBuAF8ARABhAHQAYQAiACwAIgBTAG8AdQByAGMAZQBEAGEAdABhAF8AUABhAHMAdAB1AHIAZQBCAGUAZQBmAC4AUwBvAHUAcgBjAGUARABhAHQAYQBfAFAAYQBzAHQAdQByAGUAQgBlAGUAZgBfAEEAcwBoAEMAbwBuAHQAZQBuAHQATwBmAEYAZQBlAGQASQBuAHQAYQBrAGUAXwBUAGkAdABsAGUAIgAsACIAUwBvAHUAcgBjAGUARABhAHQAYQBfAFAAYQBzAHQAdQByAGUAQgBlAGUAZgAuAFMAbwB1AHIAYwBlAEQAYQB0AGEAXwBQAGEAcwB0AHUAcgBlAEIAZQBlAGYAXwBBAHMAaABDAG8AbgB0AGUAbgB0AE8AZgBGAGUAZQBkAEkAbgB0AGEAawBlAF8AVgBhAHIAaQBhAGIAbABlACIALAAiAFMAbwB1AHIAYwBlAEQAYQB0AGEAXwBQAGEAcwB0AHUAcgBlAEIAZQBlAGYALgBTAG8AdQByAGMAZQBEAGEAdABhAF8AUABhAHMAdAB1AHIAZQBCAGUAZQBmAF8AQQBzAGgAQwBvAG4AdABlAG4AdABPAGYARgBlAGUAZABJAG4AdABhAGsAZQBfAFUAbgBpAHQAIgAsACIAUwBvAHUAcgBjAGUARABhAHQAYQBfAFAAYQBzAHQAdQByAGUAQgBlAGUAZgAuAFMAbwB1AHIAYwBlAEQAYQB0AGEAXwBQAGEAcwB0AHUAcgBlAEIAZQBlAGYAXwBBAHMAaABDAG8AbgB0AGUAbgB0AE8AZgBGAGUAZQBkAEkAbgB0AGEAawBlAF8AUwBvAHUAcgBjAGUAIgAsACIAUwBvAHUAcgBjAGUARABhAHQAYQBfAFAAYQBzAHQAdQByAGUAQgBlAGUAZgAuAFMAbwB1AHIAYwBlAEQAYQB0AGEAXwBQAGEAcwB0AHUAcgBlAEIAZQBlAGYAXwBBAHMAaABDAG8AbgB0AGUAbgB0AE8AZgBGAGUAZQBkAEkAbgB0AGEAawBlAF8AVgBhAHIAaQBhAHQAaQBvAG4AIgAsACIAUwBvAHUAcgBjAGUARABhAHQAYQBfAFAAYQBzAHQAdQByAGUAQgBlAGUAZgAuAFMAbwB1AHIAYwBlAEQAYQB0AGEAXwBQAGEAcwB0AHUAcgBlAEIAZQBlAGYAXwBBAHMAaABDAG8AbgB0AGUAbgB0AE8AZgBGAGUAZQBkAEkAbgB0AGEAawBlAF8ARABhAHQAYQAiACwAIgBTAG8AdQByAGMAZQBEAGEAdABhAF8AUABhAHMAdAB1AHIAZQBCAGUAZQBmAC4AUwBvAHUAcgBjAGUARABhAHQAYQBfAFAAYQBzAHQAdQByAGUAQgBlAGUAZgBfAE0AZQB0AGgAYQBuAGUARQBtAGkAcwBzAGkAbwBuAHMAUABvAHQAZQBuAHQAaQBhAGwAXwBUAGkAdABsAGUAIgAsACIAUwBvAHUAcgBjAGUARABhAHQAYQBfAFAAYQBzAHQAdQByAGUAQgBlAGUAZgAuAFMAbwB1AHIAYwBlAEQAYQB0AGEAXwBQAGEAcwB0AHUAcgBlAEIAZQBlAGYAXwBNAGUAdABoAGEAbgBlAEUAbQBpAHMAcwBpAG8AbgBzAFAAbwB0AGUAbgB0AGkAYQBsAF8AVgBhAHIAaQBhAGIAbABlACIALAAiAFMAbwB1AHIAYwBlAEQAYQB0AGEAXwBQAGEAcwB0AHUAcgBlAEIAZQBlAGYALgBTAG8AdQByAGMAZQBEAGEAdABhAF8AUABhAHMAdAB1AHIAZQBCAGUAZQBmAF8ATQBlAHQAaABhAG4AZQBFAG0AaQBzAHMAaQBvAG4AcwBQAG8AdABlAG4AdABpAGEAbABfAFUAbgBpAHQAIgAsACIAUwBvAHUAcgBjAGUARABhAHQAYQBfAFAAYQBzAHQAdQByAGUAQgBlAGUAZgAuAFMAbwB1AHIAYwBlAEQAYQB0AGEAXwBQAGEAcwB0AHUAcgBlAEIAZQBlAGYAXwBNAGUAdABoAGEAbgBlAEUAbQBpAHMAcwBpAG8AbgBzAFAAbwB0AGUAbgB0AGkAYQBsAF8AUwBvAHUAcgBjAGUAIgAsACIAUwBvAHUAcgBjAGUARABhAHQAYQBfAFAAYQBzAHQAdQByAGUAQgBlAGUAZgAuAFMAbwB1AHIAYwBlAEQAYQB0AGEAXwBQAGEAcwB0AHUAcgBlAEIAZQBlAGYAXwBNAGUAdABoAGEAbgBlAEUAbQBpAHMAcwBpAG8AbgBzAFAAbwB0AGUAbgB0AGkAYQBsAF8AVgBhAHIAaQBhAHQAaQBvAG4AIgAsACIAUwBvAHUAcgBjAGUARABhAHQAYQBfAFAAYQBzAHQAdQByAGUAQgBlAGUAZgAuAFMAbwB1AHIAYwBlAEQAYQB0AGEAXwBQAGEAcwB0AHUAcgBlAEIAZQBlAGYAXwBNAGUAdABoAGEAbgBlAEUAbQBpAHMAcwBpAG8AbgBzAFAAbwB0AGUAbgB0AGkAYQBsAF8ARABhAHQAYQAiACwAIgBTAG8AdQByAGMAZQBEAGEAdABhAF8AUABhAHMAdAB1AHIAZQBCAGUAZQBmAC4AUwBvAHUAcgBjAGUARABhAHQAYQBfAFAAYQBzAHQAdQByAGUAQgBlAGUAZgBfAEYAcgBhAGMARwBBAFMATQBTAG8AaQBsAF8AVABpAHQAbABlACIALAAiAFMAbwB1AHIAYwBlAEQAYQB0AGEAXwBQAGEAcwB0AHUAcgBlAEIAZQBlAGYALgBTAG8AdQByAGMAZQBEAGEAdABhAF8AUABhAHMAdAB1AHIAZQBCAGUAZQBmAF8ARgByAGEAYwBHAEEAUwBNAFMAbwBpAGwAXwBWAGEAcgBpAGEAYgBsAGUAIgAsACIAUwBvAHUAcgBjAGUARABhAHQAYQBfAFAAYQBzAHQAdQByAGUAQgBlAGUAZgAuAFMAbwB1AHIAYwBlAEQAYQB0AGEAXwBQAGEAcwB0AHUAcgBlAEIAZQBlAGYAXwBGAHIAYQBjAEcAQQBTAE0AUwBvAGkAbABfAFUAbgBpAHQAIgAsACIAUwBvAHUAcgBjAGUARABhAHQAYQBfAFAAYQBzAHQAdQByAGUAQgBlAGUAZgAuAFMAbwB1AHIAYwBlAEQAYQB0AGEAXwBQAGEAcwB0AHUAcgBlAEIAZQBlAGYAXwBGAHIAYQBjAEcAQQBTAE0AUwBvAGkAbABfAFMAbwB1AHIAYwBlACIALAAiAFMAbwB1AHIAYwBlAEQAYQB0AGEAXwBQAGEAcwB0AHUAcgBlAEIAZQBlAGYALgBTAG8AdQByAGMAZQBEAGEAdABhAF8AUABhAHMAdAB1AHIAZQBCAGUAZQBmAF8ARgByAGEAYwBHAEEAUwBNAFMAbwBpAGwAXwBWAGEAcgBpAGEAdABpAG8AbgAiACwAIgBTAG8AdQByAGMAZQBEAGEAdABhAF8AUABhAHMAdAB1AHIAZQBCAGUAZQBmAC4AUwBvAHUAcgBjAGUARABhAHQAYQBfAFAAYQBzAHQAdQByAGUAQgBlAGUAZgBfAEYAcgBhAGMARwBBAFMATQBTAG8AaQBsAF8ARABhAHQAYQAiACwAIgBTAG8AdQByAGMAZQBEAGEAdABhAF8AUABhAHMAdAB1AHIAZQBCAGUAZQBmAC4AUwBvAHUAcgBjAGUARABhAHQAYQBfAFAAYQBzAHQAdQByAGUAQgBlAGUAZgBfAEYAcgBhAGMATABFAEEAQwBIAF8AVABpAHQAbABlACIALAAiAFMAbwB1AHIAYwBlAEQAYQB0AGEAXwBQAGEAcwB0AHUAcgBlAEIAZQBlAGYALgBTAG8AdQByAGMAZQBEAGEAdABhAF8AUABhAHMAdAB1AHIAZQBCAGUAZQBmAF8ARgByAGEAYwBMAEUAQQBDAEgAXwBWAGEAcgBpAGEAYgBsAGUAIgAsACIAUwBvAHUAcgBjAGUARABhAHQAYQBfAFAAYQBzAHQAdQByAGUAQgBlAGUAZgAuAFMAbwB1AHIAYwBlAEQAYQB0AGEAXwBQAGEAcwB0AHUAcgBlAEIAZQBlAGYAXwBGAHIAYQBjAEwARQBBAEMASABfAFUAbgBpAHQAIgAsACIAUwBvAHUAcgBjAGUARABhAHQAYQBfAFAAYQBzAHQAdQByAGUAQgBlAGUAZgAuAFMAbwB1AHIAYwBlAEQAYQB0AGEAXwBQAGEAcwB0AHUAcgBlAEIAZQBlAGYAXwBGAHIAYQBjAEwARQBBAEMASABfAFMAbwB1AHIAYwBlACIALAAiAFMAbwB1AHIAYwBlAEQAYQB0AGEAXwBQAGEAcwB0AHUAcgBlAEIAZQBlAGYALgBTAG8AdQByAGMAZQBEAGEAdABhAF8AUABhAHMAdAB1AHIAZQBCAGUAZQBmAF8ARgByAGEAYwBMAEUAQQBDAEgAXwBWAGEAcgBpAGEAdABpAG8AbgAiACwAIgBTAG8AdQByAGMAZQBEAGEAdABhAF8AUABhAHMAdAB1AHIAZQBCAGUAZQBmAC4AUwBvAHUAcgBjAGUARABhAHQAYQBfAFAAYQBzAHQAdQByAGUAQgBlAGUAZgBfAEYAcgBhAGMATABFAEEAQwBIAF8ARABhAHQAYQAiACwAIgBTAGMAbwBwAGUAMwBfAEkAbgBwAHUAdABGAHUAbgBjAHQAaQBvAG4AcwAuAEcAZQB0AEwAaQB2AGUAdwBlAGkAZwBoAHQAXwBQAGEAcwB0AHUAcgBlAEIAZQBlAGYAIgAsACIAUwBvAHUAcgBjAGUARABhAHQAYQBfAEQAYQBpAHIAeQAuAFMAbwB1AHIAYwBlAEQAYQB0AGEAXwBEAGEAaQByAHkAXwBMAGkAdgBlAHcAZQBpAGcAaAB0AEMAbwB3AHMAQQBuAGQASABlAGkAZgBlAHIAcwBfAFQAaQB0AGwAZQAiACwAIgBTAG8AdQByAGMAZQBEAGEAdABhAF8ARABhAGkAcgB5AC4AUwBvAHUAcgBjAGUARABhAHQAYQBfAEQAYQBpAHIAeQBfAEwAaQB2AGUAdwBlAGkAZwBoAHQAQwBvAHcAcwBBAG4AZABIAGUAaQBmAGUAcgBzAF8AVgBhAHIAaQBhAGIAbABlACIALAAiAFMAbwB1AHIAYwBlAEQAYQB0AGEAXwBEAGEAaQByAHkALgBTAG8AdQByAGMAZQBEAGEAdABhAF8ARABhAGkAcgB5AF8ATABpAHYAZQB3AGUAaQBnAGgAdABDAG8AdwBzAEEAbgBkAEgAZQBpAGYAZQByAHMAXwBVAG4AaQB0ACIALAAiAFMAbwB1AHIAYwBlAEQAYQB0AGEAXwBEAGEAaQByAHkALgBTAG8AdQByAGMAZQBEAGEAdABhAF8ARABhAGkAcgB5AF8ATABpAHYAZQB3AGUAaQBnAGgAdABDAG8AdwBzAEEAbgBkAEgAZQBpAGYAZQByAHMAXwBTAG8AdQByAGMAZQAiACwAIgBTAG8AdQByAGMAZQBEAGEAdABhAF8ARABhAGkAcgB5AC4AUwBvAHUAcgBjAGUARABhAHQAYQBfAEQAYQBpAHIAeQBfAEwAaQB2AGUAdwBlAGkAZwBoAHQAQwBvAHcAcwBBAG4AZABIAGUAaQBmAGUAcgBzAF8AVgBhAHIAaQBhAHQAaQBvAG4AIgAsACIAUwBvAHUAcgBjAGUARABhAHQAYQBfAEQAYQBpAHIAeQAuAFMAbwB1AHIAYwBlAEQAYQB0AGEAXwBEAGEAaQByAHkAXwBMAGkAdgBlAHcAZQBpAGcAaAB0AEMAbwB3AHMAQQBuAGQASABlAGkAZgBlAHIAcwBfAEQAYQB0AGEAIgAsACIAUwBvAHUAcgBjAGUARABhAHQAYQBfAEQAYQBpAHIAeQAuAFMAbwB1AHIAYwBlAEQAYQB0AGEAXwBEAGEAaQByAHkAXwBMAGkAdgBlAHcAZQBpAGcAaAB0AEIAdQBsAGwAcwBfAFQAaQB0AGwAZQAiACwAIgBTAG8AdQByAGMAZQBEAGEAdABhAF8ARABhAGkAcgB5AC4AUwBvAHUAcgBjAGUARABhAHQAYQBfAEQAYQBpAHIAeQBfAEwAaQB2AGUAdwBlAGkAZwBoAHQAQgB1AGwAbABzAF8AVgBhAHIAaQBhAGIAbABlACIALAAiAFMAbwB1AHIAYwBlAEQAYQB0AGEAXwBEAGEAaQByAHkALgBTAG8AdQByAGMAZQBEAGEAdABhAF8ARABhAGkAcgB5AF8ATABpAHYAZQB3AGUAaQBnAGgAdABCAHUAbABsAHMAXwBVAG4AaQB0ACIALAAiAFMAbwB1AHIAYwBlAEQAYQB0AGEAXwBEAGEAaQByAHkALgBTAG8AdQByAGMAZQBEAGEAdABhAF8ARABhAGkAcgB5AF8ATABpAHYAZQB3AGUAaQBnAGgAdABCAHUAbABsAHMAXwBTAG8AdQByAGMAZQAiACwAIgBTAG8AdQByAGMAZQBEAGEAdABhAF8ARABhAGkAcgB5AC4AUwBvAHUAcgBjAGUARABhAHQAYQBfAEQAYQBpAHIAeQBfAEwAaQB2AGUAdwBlAGkAZwBoAHQAQgB1AGwAbABzAF8AVgBhAHIAaQBhAHQAaQBvAG4AIgAsACIAUwBvAHUAcgBjAGUARABhAHQAYQBfAEQAYQBpAHIAeQAuAFMAbwB1AHIAYwBlAEQAYQB0AGEAXwBEAGEAaQByAHkAXwBMAGkAdgBlAHcAZQBpAGcAaAB0AEIAdQBsAGwAcwBfAEQAYQB0AGEAIgAsACIAUwBvAHUAcgBjAGUARABhAHQAYQBfAEQAYQBpAHIAeQAuAFMAbwB1AHIAYwBlAEQAYQB0AGEAXwBEAGEAaQByAHkAXwBMAGkAdgBlAHcAZQBpAGcAaAB0AEcAYQBpAG4AXwBUAGkAdABsAGUAIgAsACIAUwBvAHUAcgBjAGUARABhAHQAYQBfAEQAYQBpAHIAeQAuAFMAbwB1AHIAYwBlAEQAYQB0AGEAXwBEAGEAaQByAHkAXwBMAGkAdgBlAHcAZQBpAGcAaAB0AEcAYQBpAG4AXwBWAGEAcgBpAGEAYgBsAGUAIgAsACIAUwBvAHUAcgBjAGUARABhAHQAYQBfAEQAYQBpAHIAeQAuAFMAbwB1AHIAYwBlAEQAYQB0AGEAXwBEAGEAaQByAHkAXwBMAGkAdgBlAHcAZQBpAGcAaAB0AEcAYQBpAG4AXwBVAG4AaQB0ACIALAAiAFMAbwB1AHIAYwBlAEQAYQB0AGEAXwBEAGEAaQByAHkALgBTAG8AdQByAGMAZQBEAGEAdABhAF8ARABhAGkAcgB5AF8ATABpAHYAZQB3AGUAaQBnAGgAdABHAGEAaQBuAF8AUwBvAHUAcgBjAGUAIgAsACIAUwBvAHUAcgBjAGUARABhAHQAYQBfAEQAYQBpAHIAeQAuAFMAbwB1AHIAYwBlAEQAYQB0AGEAXwBEAGEAaQByAHkAXwBMAGkAdgBlAHcAZQBpAGcAaAB0AEcAYQBpAG4AXwBWAGEAcgBpAGEAdABpAG8AbgAiACwAIgBTAG8AdQByAGMAZQBEAGEAdABhAF8ARABhAGkAcgB5AC4AUwBvAHUAcgBjAGUARABhAHQAYQBfAEQAYQBpAHIAeQBfAEwAaQB2AGUAdwBlAGkAZwBoAHQARwBhAGkAbgBfAEQAYQB0AGEAIgAsACIAUwBvAHUAcgBjAGUARABhAHQAYQBfAEQAYQBpAHIAeQAuAFMAbwB1AHIAYwBlAEQAYQB0AGEAXwBEAGEAaQByAHkAXwBSAGUAZgBlAHIAZQBuAGMAZQBXAGUAaQBnAGgAdABzAF8AVABpAHQAbABlACIALAAiAFMAbwB1AHIAYwBlAEQAYQB0AGEAXwBEAGEAaQByAHkALgBTAG8AdQByAGMAZQBEAGEAdABhAF8ARABhAGkAcgB5AF8AUgBlAGYAZQByAGUAbgBjAGUAVwBlAGkAZwBoAHQAcwBfAFYAYQByAGkAYQBiAGwAZQAiACwAIgBTAG8AdQByAGMAZQBEAGEAdABhAF8ARABhAGkAcgB5AC4AUwBvAHUAcgBjAGUARABhAHQAYQBfAEQAYQBpAHIAeQBfAFIAZQBmAGUAcgBlAG4AYwBlAFcAZQBpAGcAaAB0AHMAXwBVAG4AaQB0ACIALAAiAFMAbwB1AHIAYwBlAEQAYQB0AGEAXwBEAGEAaQByAHkALgBTAG8AdQByAGMAZQBEAGEAdABhAF8ARABhAGkAcgB5AF8AUgBlAGYAZQByAGUAbgBjAGUAVwBlAGkAZwBoAHQAcwBfAFMAbwB1AHIAYwBlACIALAAiAFMAbwB1AHIAYwBlAEQAYQB0AGEAXwBEAGEAaQByAHkALgBTAG8AdQByAGMAZQBEAGEAdABhAF8ARABhAGkAcgB5AF8AUgBlAGYAZQByAGUAbgBjAGUAVwBlAGkAZwBoAHQAcwBfAFYAYQByAGkAYQB0AGkAbwBuACIALAAiAFMAbwB1AHIAYwBlAEQAYQB0AGEAXwBEAGEAaQByAHkALgBTAG8AdQByAGMAZQBEAGEAdABhAF8ARABhAGkAcgB5AF8AUgBlAGYAZQByAGUAbgBjAGUAVwBlAGkAZwBoAHQAcwBfAEQAYQB0AGEAIgAsACIAUwBvAHUAcgBjAGUARABhAHQAYQBfAEQAYQBpAHIAeQAuAFMAbwB1AHIAYwBlAEQAYQB0AGEAXwBEAGEAaQByAHkAXwBQAHIAZQBXAGUAYQBuAGUAZABDAGEAbAB2AGUAcwBfAFQAaQB0AGwAZQAiACwAIgBTAG8AdQByAGMAZQBEAGEAdABhAF8ARABhAGkAcgB5AC4AUwBvAHUAcgBjAGUARABhAHQAYQBfAEQAYQBpAHIAeQBfAFAAcgBlAFcAZQBhAG4AZQBkAEMAYQBsAHYAZQBzAF8AVgBhAHIAaQBhAGIAbABlACIALAAiAFMAbwB1AHIAYwBlAEQAYQB0AGEAXwBEAGEAaQByAHkALgBTAG8AdQByAGMAZQBEAGEAdABhAF8ARABhAGkAcgB5AF8AUAByAGUAVwBlAGEAbgBlAGQAQwBhAGwAdgBlAHMAXwBVAG4AaQB0ACIALAAiAFMAbwB1AHIAYwBlAEQAYQB0AGEAXwBEAGEAaQByAHkALgBTAG8AdQByAGMAZQBEAGEAdABhAF8ARABhAGkAcgB5AF8AUAByAGUAVwBlAGEAbgBlAGQAQwBhAGwAdgBlAHMAXwBTAG8AdQByAGMAZQAiACwAIgBTAG8AdQByAGMAZQBEAGEAdABhAF8ARABhAGkAcgB5AC4AUwBvAHUAcgBjAGUARABhAHQAYQBfAEQAYQBpAHIAeQBfAFAAcgBlAFcAZQBhAG4AZQBkAEMAYQBsAHYAZQBzAF8AVgBhAHIAaQBhAHQAaQBvAG4AIgAsACIAUwBvAHUAcgBjAGUARABhAHQAYQBfAEQAYQBpAHIAeQAuAFMAbwB1AHIAYwBlAEQAYQB0AGEAXwBEAGEAaQByAHkAXwBQAHIAZQBXAGUAYQBuAGUAZABDAGEAbAB2AGUAcwBfAEQAYQB0AGEAIgAsACIAUwBvAHUAcgBjAGUARABhAHQAYQBfAEQAYQBpAHIAeQAuAFMAbwB1AHIAYwBlAEQAYQB0AGEAXwBEAGEAaQByAHkAXwBNAEMARgBfAFQAaQB0AGwAZQAiACwAIgBTAG8AdQByAGMAZQBEAGEAdABhAF8ARABhAGkAcgB5AC4AUwBvAHUAcgBjAGUARABhAHQAYQBfAEQAYQBpAHIAeQBfAE0AQwBGAF8AVgBhAHIAaQBhAGIAbABlACIALAAiAFMAbwB1AHIAYwBlAEQAYQB0AGEAXwBEAGEAaQByAHkALgBTAG8AdQByAGMAZQBEAGEAdABhAF8ARABhAGkAcgB5AF8ATQBDAEYAXwBVAG4AaQB0ACIALAAiAFMAbwB1AHIAYwBlAEQAYQB0AGEAXwBEAGEAaQByAHkALgBTAG8AdQByAGMAZQBEAGEAdABhAF8ARABhAGkAcgB5AF8ATQBDAEYAXwBTAG8AdQByAGMAZQAiACwAIgBTAG8AdQByAGMAZQBEAGEAdABhAF8ARABhAGkAcgB5AC4AUwBvAHUAcgBjAGUARABhAHQAYQBfAEQAYQBpAHIAeQBfAE0AQwBGAF8AVgBhAHIAaQBhAHQAaQBvAG4AIgAsACIAUwBvAHUAcgBjAGUARABhAHQAYQBfAEQAYQBpAHIAeQAuAFMAbwB1AHIAYwBlAEQAYQB0AGEAXwBEAGEAaQByAHkAXwBNAEMARgBfAEQAYQB0AGEAIgAsACIAUwBvAHUAcgBjAGUARABhAHQAYQBfAEQAYQBpAHIAeQAuAFMAbwB1AHIAYwBlAEQAYQB0AGEAXwBEAGEAaQByAHkAXwBOAGkAdAByAG8AdQBzAE8AeABpAGQAZQBFAEYAcwBBAG4AZABGAHIAYQBjAEcAQQBTAE0AXwBUAGkAdABsAGUAIgAsACIAUwBvAHUAcgBjAGUARABhAHQAYQBfAEQAYQBpAHIAeQAuAFMAbwB1AHIAYwBlAEQAYQB0AGEAXwBEAGEAaQByAHkAXwBOAGkAdAByAG8AdQBzAE8AeABpAGQAZQBFAEYAcwBBAG4AZABGAHIAYQBjAEcAQQBTAE0AXwBWAGEAcgBpAGEAYgBsAGUAIgAsACIAUwBvAHUAcgBjAGUARABhAHQAYQBfAEQAYQBpAHIAeQAuAFMAbwB1AHIAYwBlAEQAYQB0AGEAXwBEAGEAaQByAHkAXwBOAGkAdAByAG8AdQBzAE8AeABpAGQAZQBFAEYAcwBBAG4AZABGAHIAYQBjAEcAQQBTAE0AXwBVAG4AaQB0ACIALAAiAFMAbwB1AHIAYwBlAEQAYQB0AGEAXwBEAGEAaQByAHkALgBTAG8AdQByAGMAZQBEAGEAdABhAF8ARABhAGkAcgB5AF8ATgBpAHQAcgBvAHUAcwBPAHgAaQBkAGUARQBGAHMAQQBuAGQARgByAGEAYwBHAEEAUwBNAF8AUwBvAHUAcgBjAGUAIgAsACIAUwBvAHUAcgBjAGUARABhAHQAYQBfAEQAYQBpAHIAeQAuAFMAbwB1AHIAYwBlAEQAYQB0AGEAXwBEAGEAaQByAHkAXwBOAGkAdAByAG8AdQBzAE8AeABpAGQAZQBFAEYAcwBBAG4AZABGAHIAYQBjAEcAQQBTAE0AXwBWAGEAcgBpAGEAdABpAG8AbgAiACwAIgBTAG8AdQByAGMAZQBEAGEAdABhAF8ARABhAGkAcgB5AC4AUwBvAHUAcgBjAGUARABhAHQAYQBfAEQAYQBpAHIAeQBfAE4AaQB0AHIAbwB1AHMATwB4AGkAZABlAEUARgBzAEEAbgBkAEYAcgBhAGMARwBBAFMATQBfAEQAYQB0AGEAIgAsACIAUwBvAHUAcgBjAGUARABhAHQAYQBfAEQAYQBpAHIAeQAuAFMAbwB1AHIAYwBlAEQAYQB0AGEAXwBEAGEAaQByAHkAXwBNAGUAdABoAGEAbgBlAFAAcgBvAGQAdQBjAHQAaQBvAG4AUAByAGUAVwBlAGEAbgBlAGQAQwBhAGwAdgBlAHMAXwBUAGkAdABsAGUAIgAsACIAUwBvAHUAcgBjAGUARABhAHQAYQBfAEQAYQBpAHIAeQAuAFMAbwB1AHIAYwBlAEQAYQB0AGEAXwBEAGEAaQByAHkAXwBNAGUAdABoAGEAbgBlAFAAcgBvAGQAdQBjAHQAaQBvAG4AUAByAGUAVwBlAGEAbgBlAGQAQwBhAGwAdgBlAHMAXwBWAGEAcgBpAGEAYgBsAGUAIgAsACIAUwBvAHUAcgBjAGUARABhAHQAYQBfAEQAYQBpAHIAeQAuAFMAbwB1AHIAYwBlAEQAYQB0AGEAXwBEAGEAaQByAHkAXwBNAGUAdABoAGEAbgBlAFAAcgBvAGQAdQBjAHQAaQBvAG4AUAByAGUAVwBlAGEAbgBlAGQAQwBhAGwAdgBlAHMAXwBVAG4AaQB0ACIALAAiAFMAbwB1AHIAYwBlAEQAYQB0AGEAXwBEAGEAaQByAHkALgBTAG8AdQByAGMAZQBEAGEAdABhAF8ARABhAGkAcgB5AF8ATQBlAHQAaABhAG4AZQBQAHIAbwBkAHUAYwB0AGkAbwBuAFAAcgBlAFcAZQBhAG4AZQBkAEMAYQBsAHYAZQBzAF8AUwBvAHUAcgBjAGUAIgAsACIAUwBvAHUAcgBjAGUARABhAHQAYQBfAEQAYQBpAHIAeQAuAFMAbwB1AHIAYwBlAEQAYQB0AGEAXwBEAGEAaQByAHkAXwBNAGUAdABoAGEAbgBlAFAAcgBvAGQAdQBjAHQAaQBvAG4AUAByAGUAVwBlAGEAbgBlAGQAQwBhAGwAdgBlAHMAXwBWAGEAcgBpAGEAdABpAG8AbgAiACwAIgBTAG8AdQByAGMAZQBEAGEAdABhAF8ARABhAGkAcgB5AC4AUwBvAHUAcgBjAGUARABhAHQAYQBfAEQAYQBpAHIAeQBfAE0AZQB0AGgAYQBuAGUAUAByAG8AZAB1AGMAdABpAG8AbgBQAHIAZQBXAGUAYQBuAGUAZABDAGEAbAB2AGUAcwBfAEQAYQB0AGEAIgAsACIAUwBvAHUAcgBjAGUARABhAHQAYQBfAEQAYQBpAHIAeQAuAFMAbwB1AHIAYwBlAEQAYQB0AGEAXwBEAGEAaQByAHkAXwBJAG4AYwByAGUAYQBzAGUAZABNAGUAdABhAGIAbwBsAGkAYwBSAGEAdABlAE0AaQBsAGsAXwBUAGkAdABsAGUAIgAsACIAUwBvAHUAcgBjAGUARABhAHQAYQBfAEQAYQBpAHIAeQAuAFMAbwB1AHIAYwBlAEQAYQB0AGEAXwBEAGEAaQByAHkAXwBJAG4AYwByAGUAYQBzAGUAZABNAGUAdABhAGIAbwBsAGkAYwBSAGEAdABlAE0AaQBsAGsAXwBWAGEAcgBpAGEAYgBsAGUAIgAsACIAUwBvAHUAcgBjAGUARABhAHQAYQBfAEQAYQBpAHIAeQAuAFMAbwB1AHIAYwBlAEQAYQB0AGEAXwBEAGEAaQByAHkAXwBJAG4AYwByAGUAYQBzAGUAZABNAGUAdABhAGIAbwBsAGkAYwBSAGEAdABlAE0AaQBsAGsAXwBVAG4AaQB0ACIALAAiAFMAbwB1AHIAYwBlAEQAYQB0AGEAXwBEAGEAaQByAHkALgBTAG8AdQByAGMAZQBEAGEAdABhAF8ARABhAGkAcgB5AF8ASQBuAGMAcgBlAGEAcwBlAGQATQBlAHQAYQBiAG8AbABpAGMAUgBhAHQAZQBNAGkAbABrAF8AUwBvAHUAcgBjAGUAIgAsACIAUwBvAHUAcgBjAGUARABhAHQAYQBfAEQAYQBpAHIAeQAuAFMAbwB1AHIAYwBlAEQAYQB0AGEAXwBEAGEAaQByAHkAXwBJAG4AYwByAGUAYQBzAGUAZABNAGUAdABhAGIAbwBsAGkAYwBSAGEAdABlAE0AaQBsAGsAXwBWAGEAcgBpAGEAdABpAG8AbgAiACwAIgBTAG8AdQByAGMAZQBEAGEAdABhAF8ARABhAGkAcgB5AC4AUwBvAHUAcgBjAGUARABhAHQAYQBfAEQAYQBpAHIAeQBfAEkAbgBjAHIAZQBhAHMAZQBkAE0AZQB0AGEAYgBvAGwAaQBjAFIAYQB0AGUATQBpAGwAawBfAEQAYQB0AGEAIgAsACIAUwBvAHUAcgBjAGUARABhAHQAYQBfAEQAYQBpAHIAeQAuAFMAbwB1AHIAYwBlAEQAYQB0AGEAXwBEAGEAaQByAHkAXwBGAHIAYQBjAHQAaQBvAG4AVgBvAGwAYQB0AGkAbABlAFMAbwBsAGkAZABzAFYAbwBpAGQAZQBkAE0ATQBTAF8AVABpAHQAbABlACIALAAiAFMAbwB1AHIAYwBlAEQAYQB0AGEAXwBEAGEAaQByAHkALgBTAG8AdQByAGMAZQBEAGEAdABhAF8ARABhAGkAcgB5AF8ARgByAGEAYwB0AGkAbwBuAFYAbwBsAGEAdABpAGwAZQBTAG8AbABpAGQAcwBWAG8AaQBkAGUAZABNAE0AUwBfAFYAYQByAGkAYQBiAGwAZQAiACwAIgBTAG8AdQByAGMAZQBEAGEAdABhAF8ARABhAGkAcgB5AC4AUwBvAHUAcgBjAGUARABhAHQAYQBfAEQAYQBpAHIAeQBfAEYAcgBhAGMAdABpAG8AbgBWAG8AbABhAHQAaQBsAGUAUwBvAGwAaQBkAHMAVgBvAGkAZABlAGQATQBNAFMAXwBVAG4AaQB0ACIALAAiAFMAbwB1AHIAYwBlAEQAYQB0AGEAXwBEAGEAaQByAHkALgBTAG8AdQByAGMAZQBEAGEAdABhAF8ARABhAGkAcgB5AF8ARgByAGEAYwB0AGkAbwBuAFYAbwBsAGEAdABpAGwAZQBTAG8AbABpAGQAcwBWAG8AaQBkAGUAZABNAE0AUwBfAFMAbwB1AHIAYwBlACIALAAiAFMAbwB1AHIAYwBlAEQAYQB0AGEAXwBEAGEAaQByAHkALgBTAG8AdQByAGMAZQBEAGEAdABhAF8ARABhAGkAcgB5AF8ARgByAGEAYwB0AGkAbwBuAFYAbwBsAGEAdABpAGwAZQBTAG8AbABpAGQAcwBWAG8AaQBkAGUAZABNAE0AUwBfAFYAYQByAGkAYQB0AGkAbwBuACIALAAiAFMAbwB1AHIAYwBlAEQAYQB0AGEAXwBEAGEAaQByAHkALgBTAG8AdQByAGMAZQBEAGEAdABhAF8ARABhAGkAcgB5AF8ARgByAGEAYwB0AGkAbwBuAFYAbwBsAGEAdABpAGwAZQBTAG8AbABpAGQAcwBWAG8AaQBkAGUAZABNAE0AUwBfAEQAYQB0AGEAIgAsACIAUwBvAHUAcgBjAGUARABhAHQAYQBfAEQAYQBpAHIAeQAuAFMAbwB1AHIAYwBlAEQAYQB0AGEAXwBEAGEAaQByAHkAXwBFAEYATgBpAHQAcgBvAHUAcwBPAHgAaQBkAGUAUABlAHIATQBNAFMAXwBUAGkAdABsAGUAIgAsACIAUwBvAHUAcgBjAGUARABhAHQAYQBfAEQAYQBpAHIAeQAuAFMAbwB1AHIAYwBlAEQAYQB0AGEAXwBEAGEAaQByAHkAXwBFAEYATgBpAHQAcgBvAHUAcwBPAHgAaQBkAGUAUABlAHIATQBNAFMAXwBWAGEAcgBpAGEAYgBsAGUAIgAsACIAUwBvAHUAcgBjAGUARABhAHQAYQBfAEQAYQBpAHIAeQAuAFMAbwB1AHIAYwBlAEQAYQB0AGEAXwBEAGEAaQByAHkAXwBFAEYATgBpAHQAcgBvAHUAcwBPAHgAaQBkAGUAUABlAHIATQBNAFMAXwBVAG4AaQB0ACIALAAiAFMAbwB1AHIAYwBlAEQAYQB0AGEAXwBEAGEAaQByAHkALgBTAG8AdQByAGMAZQBEAGEAdABhAF8ARABhAGkAcgB5AF8ARQBGAE4AaQB0AHIAbwB1AHMATwB4AGkAZABlAFAAZQByAE0ATQBTAF8AUwBvAHUAcgBjAGUAIgAsACIAUwBvAHUAcgBjAGUARABhAHQAYQBfAEQAYQBpAHIAeQAuAFMAbwB1AHIAYwBlAEQAYQB0AGEAXwBEAGEAaQByAHkAXwBFAEYATgBpAHQAcgBvAHUAcwBPAHgAaQBkAGUAUABlAHIATQBNAFMAXwBWAGEAcgBpAGEAdABpAG8AbgAiACwAIgBTAG8AdQByAGMAZQBEAGEAdABhAF8ARABhAGkAcgB5AC4AUwBvAHUAcgBjAGUARABhAHQAYQBfAEQAYQBpAHIAeQBfAEUARgBOAGkAdAByAG8AdQBzAE8AeABpAGQAZQBQAGUAcgBNAE0AUwBfAEQAYQB0AGEAIgAsACIAUwBvAHUAcgBjAGUARABhAHQAYQBfAEQAYQBpAHIAeQAuAFMAbwB1AHIAYwBlAEQAYQB0AGEAXwBEAGEAaQByAHkAXwBEAHUAcgBhAHQAaQBvAG4ATwBmAFMAdABhAHkAXwBUAGkAdABsAGUAIgAsACIAUwBvAHUAcgBjAGUARABhAHQAYQBfAEQAYQBpAHIAeQAuAFMAbwB1AHIAYwBlAEQAYQB0AGEAXwBEAGEAaQByAHkAXwBEAHUAcgBhAHQAaQBvAG4ATwBmAFMAdABhAHkAXwBWAGEAcgBpAGEAYgBsAGUAIgAsACIAUwBvAHUAcgBjAGUARABhAHQAYQBfAEQAYQBpAHIAeQAuAFMAbwB1AHIAYwBlAEQAYQB0AGEAXwBEAGEAaQByAHkAXwBEAHUAcgBhAHQAaQBvAG4ATwBmAFMAdABhAHkAXwBVAG4AaQB0ACIALAAiAFMAbwB1AHIAYwBlAEQAYQB0AGEAXwBEAGEAaQByAHkALgBTAG8AdQByAGMAZQBEAGEAdABhAF8ARABhAGkAcgB5AF8ARAB1AHIAYQB0AGkAbwBuAE8AZgBTAHQAYQB5AF8AUwBvAHUAcgBjAGUAIgAsACIAUwBvAHUAcgBjAGUARABhAHQAYQBfAEQAYQBpAHIAeQAuAFMAbwB1AHIAYwBlAEQAYQB0AGEAXwBEAGEAaQByAHkAXwBEAHUAcgBhAHQAaQBvAG4ATwBmAFMAdABhAHkAXwBWAGEAcgBpAGEAdABpAG8AbgAiACwAIgBTAG8AdQByAGMAZQBEAGEAdABhAF8ARABhAGkAcgB5AC4AUwBvAHUAcgBjAGUARABhAHQAYQBfAEQAYQBpAHIAeQBfAEQAdQByAGEAdABpAG8AbgBPAGYAUwB0AGEAeQBfAEQAYQB0AGEAIgAsACIAUwBvAHUAcgBjAGUARABhAHQAYQBfAEQAYQBpAHIAeQAuAFMAbwB1AHIAYwBlAEQAYQB0AGEAXwBEAGEAaQByAHkAXwBDAHIAdQBkAGUAUAByAG8AdABlAGkAbgBfAFQAaQB0AGwAZQAiACwAIgBTAG8AdQByAGMAZQBEAGEAdABhAF8ARABhAGkAcgB5AC4AUwBvAHUAcgBjAGUARABhAHQAYQBfAEQAYQBpAHIAeQBfAEMAcgB1AGQAZQBQAHIAbwB0AGUAaQBuAF8AVgBhAHIAaQBhAGIAbABlACIALAAiAFMAbwB1AHIAYwBlAEQAYQB0AGEAXwBEAGEAaQByAHkALgBTAG8AdQByAGMAZQBEAGEAdABhAF8ARABhAGkAcgB5AF8AQwByAHUAZABlAFAAcgBvAHQAZQBpAG4AXwBVAG4AaQB0ACIALAAiAFMAbwB1AHIAYwBlAEQAYQB0AGEAXwBEAGEAaQByAHkALgBTAG8AdQByAGMAZQBEAGEAdABhAF8ARABhAGkAcgB5AF8AQwByAHUAZABlAFAAcgBvAHQAZQBpAG4AXwBTAG8AdQByAGMAZQAiACwAIgBTAG8AdQByAGMAZQBEAGEAdABhAF8ARABhAGkAcgB5AC4AUwBvAHUAcgBjAGUARABhAHQAYQBfAEQAYQBpAHIAeQBfAEMAcgB1AGQAZQBQAHIAbwB0AGUAaQBuAF8AVgBhAHIAaQBhAHQAaQBvAG4AIgAsACIAUwBvAHUAcgBjAGUARABhAHQAYQBfAEQAYQBpAHIAeQAuAFMAbwB1AHIAYwBlAEQAYQB0AGEAXwBEAGEAaQByAHkAXwBDAHIAdQBkAGUAUAByAG8AdABlAGkAbgBfAEQAYQB0AGEAIgAsACIAUwBvAHUAcgBjAGUARABhAHQAYQBfAEQAYQBpAHIAeQAuAFMAbwB1AHIAYwBlAEQAYQB0AGEAXwBEAGEAaQByAHkAXwBEAHIAeQBNAGEAdAB0AGUAcgBEAGkAZwBlAHMAdABpAGIAaQBsAGkAdAB5AF8AVABpAHQAbABlACIALAAiAFMAbwB1AHIAYwBlAEQAYQB0AGEAXwBEAGEAaQByAHkALgBTAG8AdQByAGMAZQBEAGEAdABhAF8ARABhAGkAcgB5AF8ARAByAHkATQBhAHQAdABlAHIARABpAGcAZQBzAHQAaQBiAGkAbABpAHQAeQBfAFYAYQByAGkAYQBiAGwAZQAiACwAIgBTAG8AdQByAGMAZQBEAGEAdABhAF8ARABhAGkAcgB5AC4AUwBvAHUAcgBjAGUARABhAHQAYQBfAEQAYQBpAHIAeQBfAEQAcgB5AE0AYQB0AHQAZQByAEQAaQBnAGUAcwB0AGkAYgBpAGwAaQB0AHkAXwBVAG4AaQB0ACIALAAiAFMAbwB1AHIAYwBlAEQAYQB0AGEAXwBEAGEAaQByAHkALgBTAG8AdQByAGMAZQBEAGEAdABhAF8ARABhAGkAcgB5AF8ARAByAHkATQBhAHQAdABlAHIARABpAGcAZQBzAHQAaQBiAGkAbABpAHQAeQBfAFMAbwB1AHIAYwBlACIALAAiAFMAbwB1AHIAYwBlAEQAYQB0AGEAXwBEAGEAaQByAHkALgBTAG8AdQByAGMAZQBEAGEAdABhAF8ARABhAGkAcgB5AF8ARAByAHkATQBhAHQAdABlAHIARABpAGcAZQBzAHQAaQBiAGkAbABpAHQAeQBfAFYAYQByAGkAYQB0AGkAbwBuACIALAAiAFMAbwB1AHIAYwBlAEQAYQB0AGEAXwBEAGEAaQByAHkALgBTAG8AdQByAGMAZQBEAGEAdABhAF8ARABhAGkAcgB5AF8ARAByAHkATQBhAHQAdABlAHIARABpAGcAZQBzAHQAaQBiAGkAbABpAHQAeQBfAEQAYQB0AGEAIgAsACIAUwBvAHUAcgBjAGUARABhAHQAYQBfAEQAYQBpAHIAeQAuAFMAbwB1AHIAYwBlAEQAYQB0AGEAXwBEAGEAaQByAHkAXwBOAGUAdABFAG4AZQByAGcAeQBfAFQAaQB0AGwAZQAiACwAIgBTAG8AdQByAGMAZQBEAGEAdABhAF8ARABhAGkAcgB5AC4AUwBvAHUAcgBjAGUARABhAHQAYQBfAEQAYQBpAHIAeQBfAE4AZQB0AEUAbgBlAHIAZwB5AF8AVgBhAHIAaQBhAGIAbABlACIALAAiAFMAbwB1AHIAYwBlAEQAYQB0AGEAXwBEAGEAaQByAHkALgBTAG8AdQByAGMAZQBEAGEAdABhAF8ARABhAGkAcgB5AF8ATgBlAHQARQBuAGUAcgBnAHkAXwBVAG4AaQB0ACIALAAiAFMAbwB1AHIAYwBlAEQAYQB0AGEAXwBEAGEAaQByAHkALgBTAG8AdQByAGMAZQBEAGEAdABhAF8ARABhAGkAcgB5AF8ATgBlAHQARQBuAGUAcgBnAHkAXwBTAG8AdQByAGMAZQAiACwAIgBTAG8AdQByAGMAZQBEAGEAdABhAF8ARABhAGkAcgB5AC4AUwBvAHUAcgBjAGUARABhAHQAYQBfAEQAYQBpAHIAeQBfAE4AZQB0AEUAbgBlAHIAZwB5AF8AVgBhAHIAaQBhAHQAaQBvAG4AIgAsACIAUwBvAHUAcgBjAGUARABhAHQAYQBfAEQAYQBpAHIAeQAuAFMAbwB1AHIAYwBlAEQAYQB0AGEAXwBEAGEAaQByAHkAXwBOAGUAdABFAG4AZQByAGcAeQBfAEQAYQB0AGEAIgAsACIAUwBvAHUAcgBjAGUARABhAHQAYQBfAEQAYQBpAHIAeQAuAFMAbwB1AHIAYwBlAEQAYQB0AGEAXwBEAGEAaQByAHkAXwBHAHIAbwBzAHMARQBuAGUAcgBnAHkAQwBvAG4AdABlAG4AdABfAFQAaQB0AGwAZQAiACwAIgBTAG8AdQByAGMAZQBEAGEAdABhAF8ARABhAGkAcgB5AC4AUwBvAHUAcgBjAGUARABhAHQAYQBfAEQAYQBpAHIAeQBfAEcAcgBvAHMAcwBFAG4AZQByAGcAeQBDAG8AbgB0AGUAbgB0AF8AVgBhAHIAaQBhAGIAbABlACIALAAiAFMAbwB1AHIAYwBlAEQAYQB0AGEAXwBEAGEAaQByAHkALgBTAG8AdQByAGMAZQBEAGEAdABhAF8ARABhAGkAcgB5AF8ARwByAG8AcwBzAEUAbgBlAHIAZwB5AEMAbwBuAHQAZQBuAHQAXwBVAG4AaQB0ACIALAAiAFMAbwB1AHIAYwBlAEQAYQB0AGEAXwBEAGEAaQByAHkALgBTAG8AdQByAGMAZQBEAGEAdABhAF8ARABhAGkAcgB5AF8ARwByAG8AcwBzAEUAbgBlAHIAZwB5AEMAbwBuAHQAZQBuAHQAXwBTAG8AdQByAGMAZQAiACwAIgBTAG8AdQByAGMAZQBEAGEAdABhAF8ARABhAGkAcgB5AC4AUwBvAHUAcgBjAGUARABhAHQAYQBfAEQAYQBpAHIAeQBfAEcAcgBvAHMAcwBFAG4AZQByAGcAeQBDAG8AbgB0AGUAbgB0AF8AVgBhAHIAaQBhAHQAaQBvAG4AIgAsACIAUwBvAHUAcgBjAGUARABhAHQAYQBfAEQAYQBpAHIAeQAuAFMAbwB1AHIAYwBlAEQAYQB0AGEAXwBEAGEAaQByAHkAXwBHAHIAbwBzAHMARQBuAGUAcgBnAHkAQwBvAG4AdABlAG4AdABfAEQAYQB0AGEAIgAsACIAUwBvAHUAcgBjAGUARABhAHQAYQBfAEQAYQBpAHIAeQAuAFMAbwB1AHIAYwBlAEQAYQB0AGEAXwBEAGEAaQByAHkAXwBFAGYAZgBpAGMAaQBlAG4AYwB5AE8AZgBVAHMAZQBPAGYATQBlAHQAYQBiAG8AbABpAHoAYQBiAGwAZQBFAG4AZQByAGcAeQBfAFQAaQB0AGwAZQAiACwAIgBTAG8AdQByAGMAZQBEAGEAdABhAF8ARABhAGkAcgB5AC4AUwBvAHUAcgBjAGUARABhAHQAYQBfAEQAYQBpAHIAeQBfAEUAZgBmAGkAYwBpAGUAbgBjAHkATwBmAFUAcwBlAE8AZgBNAGUAdABhAGIAbwBsAGkAegBhAGIAbABlAEUAbgBlAHIAZwB5AF8AVgBhAHIAaQBhAGIAbABlACIALAAiAFMAbwB1AHIAYwBlAEQAYQB0AGEAXwBEAGEAaQByAHkALgBTAG8AdQByAGMAZQBEAGEAdABhAF8ARABhAGkAcgB5AF8ARQBmAGYAaQBjAGkAZQBuAGMAeQBPAGYAVQBzAGUATwBmAE0AZQB0AGEAYgBvAGwAaQB6AGEAYgBsAGUARQBuAGUAcgBnAHkAXwBVAG4AaQB0ACIALAAiAFMAbwB1AHIAYwBlAEQAYQB0AGEAXwBEAGEAaQByAHkALgBTAG8AdQByAGMAZQBEAGEAdABhAF8ARABhAGkAcgB5AF8ARQBmAGYAaQBjAGkAZQBuAGMAeQBPAGYAVQBzAGUATwBmAE0AZQB0AGEAYgBvAGwAaQB6AGEAYgBsAGUARQBuAGUAcgBnAHkAXwBTAG8AdQByAGMAZQAiACwAIgBTAG8AdQByAGMAZQBEAGEAdABhAF8ARABhAGkAcgB5AC4AUwBvAHUAcgBjAGUARABhAHQAYQBfAEQAYQBpAHIAeQBfAEUAZgBmAGkAYwBpAGUAbgBjAHkATwBmAFUAcwBlAE8AZgBNAGUAdABhAGIAbwBsAGkAegBhAGIAbABlAEUAbgBlAHIAZwB5AF8AVgBhAHIAaQBhAHQAaQBvAG4AIgAsACIAUwBvAHUAcgBjAGUARABhAHQAYQBfAEQAYQBpAHIAeQAuAFMAbwB1AHIAYwBlAEQAYQB0AGEAXwBEAGEAaQByAHkAXwBFAGYAZgBpAGMAaQBlAG4AYwB5AE8AZgBVAHMAZQBPAGYATQBlAHQAYQBiAG8AbABpAHoAYQBiAGwAZQBFAG4AZQByAGcAeQBfAEQAYQB0AGEAIgAsACIAUwBvAHUAcgBjAGUARABhAHQAYQBfAEQAYQBpAHIAeQAuAFMAbwB1AHIAYwBlAEQAYQB0AGEAXwBEAGEAaQByAHkAXwBBAHMAaABDAG8AbgB0AGUAbgB0AF8AVABpAHQAbABlACIALAAiAFMAbwB1AHIAYwBlAEQAYQB0AGEAXwBEAGEAaQByAHkALgBTAG8AdQByAGMAZQBEAGEAdABhAF8ARABhAGkAcgB5AF8AQQBzAGgAQwBvAG4AdABlAG4AdABfAFYAYQByAGkAYQBiAGwAZQAiACwAIgBTAG8AdQByAGMAZQBEAGEAdABhAF8ARABhAGkAcgB5AC4AUwBvAHUAcgBjAGUARABhAHQAYQBfAEQAYQBpAHIAeQBfAEEAcwBoAEMAbwBuAHQAZQBuAHQAXwBVAG4AaQB0ACIALAAiAFMAbwB1AHIAYwBlAEQAYQB0AGEAXwBEAGEAaQByAHkALgBTAG8AdQByAGMAZQBEAGEAdABhAF8ARABhAGkAcgB5AF8AQQBzAGgAQwBvAG4AdABlAG4AdABfAFMAbwB1AHIAYwBlACIALAAiAFMAbwB1AHIAYwBlAEQAYQB0AGEAXwBEAGEAaQByAHkALgBTAG8AdQByAGMAZQBEAGEAdABhAF8ARABhAGkAcgB5AF8AQQBzAGgAQwBvAG4AdABlAG4AdABfAFYAYQByAGkAYQB0AGkAbwBuACIALAAiAFMAbwB1AHIAYwBlAEQAYQB0AGEAXwBEAGEAaQByAHkALgBTAG8AdQByAGMAZQBEAGEAdABhAF8ARABhAGkAcgB5AF8AQQBzAGgAQwBvAG4AdABlAG4AdABfAEQAYQB0AGEAIgAsACIAUwBvAHUAcgBjAGUARABhAHQAYQBfAEQAYQBpAHIAeQAuAFMAbwB1AHIAYwBlAEQAYQB0AGEAXwBEAGEAaQByAHkAXwBNAGUAdABoAGEAbgBlAEUAbQBpAHMAcwBpAG8AbgBzAFAAbwB0AGUAbgB0AGkAYQBsAF8AVABpAHQAbABlACIALAAiAFMAbwB1AHIAYwBlAEQAYQB0AGEAXwBEAGEAaQByAHkALgBTAG8AdQByAGMAZQBEAGEAdABhAF8ARABhAGkAcgB5AF8ATQBlAHQAaABhAG4AZQBFAG0AaQBzAHMAaQBvAG4AcwBQAG8AdABlAG4AdABpAGEAbABfAFYAYQByAGkAYQBiAGwAZQAiACwAIgBTAG8AdQByAGMAZQBEAGEAdABhAF8ARABhAGkAcgB5AC4AUwBvAHUAcgBjAGUARABhAHQAYQBfAEQAYQBpAHIAeQBfAE0AZQB0AGgAYQBuAGUARQBtAGkAcwBzAGkAbwBuAHMAUABvAHQAZQBuAHQAaQBhAGwAXwBVAG4AaQB0ACIALAAiAFMAbwB1AHIAYwBlAEQAYQB0AGEAXwBEAGEAaQByAHkALgBTAG8AdQByAGMAZQBEAGEAdABhAF8ARABhAGkAcgB5AF8ATQBlAHQAaABhAG4AZQBFAG0AaQBzAHMAaQBvAG4AcwBQAG8AdABlAG4AdABpAGEAbABfAFMAbwB1AHIAYwBlACIALAAiAFMAbwB1AHIAYwBlAEQAYQB0AGEAXwBEAGEAaQByAHkALgBTAG8AdQByAGMAZQBEAGEAdABhAF8ARABhAGkAcgB5AF8ATQBlAHQAaABhAG4AZQBFAG0AaQBzAHMAaQBvAG4AcwBQAG8AdABlAG4AdABpAGEAbABfAFYAYQByAGkAYQB0AGkAbwBuACIALAAiAFMAbwB1AHIAYwBlAEQAYQB0AGEAXwBEAGEAaQByAHkALgBTAG8AdQByAGMAZQBEAGEAdABhAF8ARABhAGkAcgB5AF8ATQBlAHQAaABhAG4AZQBFAG0AaQBzAHMAaQBvAG4AcwBQAG8AdABlAG4AdABpAGEAbABfAEQAYQB0AGEAIgAsACIAUwBvAHUAcgBjAGUARABhAHQAYQBfAEQAYQBpAHIAeQAuAFMAbwB1AHIAYwBlAEQAYQB0AGEAXwBEAGEAaQByAHkAXwBFAG0AaQBzAHMAaQBvAG4ARgBhAGMAdABvAHIARgBvAHIATABlAGEAYwBoAGkAbgBnAEEAbgBkAFIAdQBuAG8AZgBmAF8AVABpAHQAbABlACIALAAiAFMAbwB1AHIAYwBlAEQAYQB0AGEAXwBEAGEAaQByAHkALgBTAG8AdQByAGMAZQBEAGEAdABhAF8ARABhAGkAcgB5AF8ARQBtAGkAcwBzAGkAbwBuAEYAYQBjAHQAbwByAEYAbwByAEwAZQBhAGMAaABpAG4AZwBBAG4AZABSAHUAbgBvAGYAZgBfAFYAYQByAGkAYQBiAGwAZQAiACwAIgBTAG8AdQByAGMAZQBEAGEAdABhAF8ARABhAGkAcgB5AC4AUwBvAHUAcgBjAGUARABhAHQAYQBfAEQAYQBpAHIAeQBfAEUAbQBpAHMAcwBpAG8AbgBGAGEAYwB0AG8AcgBGAG8AcgBMAGUAYQBjAGgAaQBuAGcAQQBuAGQAUgB1AG4AbwBmAGYAXwBVAG4AaQB0ACIALAAiAFMAbwB1AHIAYwBlAEQAYQB0AGEAXwBEAGEAaQByAHkALgBTAG8AdQByAGMAZQBEAGEAdABhAF8ARABhAGkAcgB5AF8ARQBtAGkAcwBzAGkAbwBuAEYAYQBjAHQAbwByAEYAbwByAEwAZQBhAGMAaABpAG4AZwBBAG4AZABSAHUAbgBvAGYAZgBfAFMAbwB1AHIAYwBlACIALAAiAFMAbwB1AHIAYwBlAEQAYQB0AGEAXwBEAGEAaQByAHkALgBTAG8AdQByAGMAZQBEAGEAdABhAF8ARABhAGkAcgB5AF8ARQBtAGkAcwBzAGkAbwBuAEYAYQBjAHQAbwByAEYAbwByAEwAZQBhAGMAaABpAG4AZwBBAG4AZABSAHUAbgBvAGYAZgBfAFYAYQByAGkAYQB0AGkAbwBuACIALAAiAFMAbwB1AHIAYwBlAEQAYQB0AGEAXwBEAGEAaQByAHkALgBTAG8AdQByAGMAZQBEAGEAdABhAF8ARABhAGkAcgB5AF8ARQBtAGkAcwBzAGkAbwBuAEYAYQBjAHQAbwByAEYAbwByAEwAZQBhAGMAaABpAG4AZwBBAG4AZABSAHUAbgBvAGYAZgBfAEQAYQB0AGEAIgAsACIAUwBvAHUAcgBjAGUARABhAHQAYQBfAEQAYQBpAHIAeQAuAFMAbwB1AHIAYwBlAEQAYQB0AGEAXwBEAGEAaQByAHkAXwBGAHIAYQBjAHQAaQBvAG4ATwBmAE4AaQB0AHIAbwBnAGUAbgBMAG8AcwB0AFQAaAByAG8AdQBnAGgATABlAGEAYwBoAGkAbgBnAEEAbgBkAFIAdQBuAG8AZgBmAF8AVABpAHQAbABlACIALAAiAFMAbwB1AHIAYwBlAEQAYQB0AGEAXwBEAGEAaQByAHkALgBTAG8AdQByAGMAZQBEAGEAdABhAF8ARABhAGkAcgB5AF8ARgByAGEAYwB0AGkAbwBuAE8AZgBOAGkAdAByAG8AZwBlAG4ATABvAHMAdABUAGgAcgBvAHUAZwBoAEwAZQBhAGMAaABpAG4AZwBBAG4AZABSAHUAbgBvAGYAZgBfAFYAYQByAGkAYQBiAGwAZQAiACwAIgBTAG8AdQByAGMAZQBEAGEAdABhAF8ARABhAGkAcgB5AC4AUwBvAHUAcgBjAGUARABhAHQAYQBfAEQAYQBpAHIAeQBfAEYAcgBhAGMAdABpAG8AbgBPAGYATgBpAHQAcgBvAGcAZQBuAEwAbwBzAHQAVABoAHIAbwB1AGcAaABMAGUAYQBjAGgAaQBuAGcAQQBuAGQAUgB1AG4AbwBmAGYAXwBVAG4AaQB0ACIALAAiAFMAbwB1AHIAYwBlAEQAYQB0AGEAXwBEAGEAaQByAHkALgBTAG8AdQByAGMAZQBEAGEAdABhAF8ARABhAGkAcgB5AF8ARgByAGEAYwB0AGkAbwBuAE8AZgBOAGkAdAByAG8AZwBlAG4ATABvAHMAdABUAGgAcgBvAHUAZwBoAEwAZQBhAGMAaABpAG4AZwBBAG4AZABSAHUAbgBvAGYAZgBfAFMAbwB1AHIAYwBlACIALAAiAFMAbwB1AHIAYwBlAEQAYQB0AGEAXwBEAGEAaQByAHkALgBTAG8AdQByAGMAZQBEAGEAdABhAF8ARABhAGkAcgB5AF8ARgByAGEAYwB0AGkAbwBuAE8AZgBOAGkAdAByAG8AZwBlAG4ATABvAHMAdABUAGgAcgBvAHUAZwBoAEwAZQBhAGMAaABpAG4AZwBBAG4AZABSAHUAbgBvAGYAZgBfAFYAYQByAGkAYQB0AGkAbwBuACIALAAiAFMAbwB1AHIAYwBlAEQAYQB0AGEAXwBEAGEAaQByAHkALgBTAG8AdQByAGMAZQBEAGEAdABhAF8ARABhAGkAcgB5AF8ARgByAGEAYwB0AGkAbwBuAE8AZgBOAGkAdAByAG8AZwBlAG4ATABvAHMAdABUAGgAcgBvAHUAZwBoAEwAZQBhAGMAaABpAG4AZwBBAG4AZABSAHUAbgBvAGYAZgBfAEQAYQB0AGEAIgAsACIAUwBvAHUAcgBjAGUARABhAHQAYQBfAEQAYQBpAHIAeQAuAFMAbwB1AHIAYwBlAEQAYQB0AGEAXwBEAGEAaQByAHkAXwBGAHIAYQBjAEcAQQBTAE0AUwBvAGkAbABfAFQAaQB0AGwAZQAiACwAIgBTAG8AdQByAGMAZQBEAGEAdABhAF8ARABhAGkAcgB5AC4AUwBvAHUAcgBjAGUARABhAHQAYQBfAEQAYQBpAHIAeQBfAEYAcgBhAGMARwBBAFMATQBTAG8AaQBsAF8AVgBhAHIAaQBhAGIAbABlACIALAAiAFMAbwB1AHIAYwBlAEQAYQB0AGEAXwBEAGEAaQByAHkALgBTAG8AdQByAGMAZQBEAGEAdABhAF8ARABhAGkAcgB5AF8ARgByAGEAYwBHAEEAUwBNAFMAbwBpAGwAXwBVAG4AaQB0ACIALAAiAFMAbwB1AHIAYwBlAEQAYQB0AGEAXwBEAGEAaQByAHkALgBTAG8AdQByAGMAZQBEAGEAdABhAF8ARABhAGkAcgB5AF8ARgByAGEAYwBHAEEAUwBNAFMAbwBpAGwAXwBTAG8AdQByAGMAZQAiACwAIgBTAG8AdQByAGMAZQBEAGEAdABhAF8ARABhAGkAcgB5AC4AUwBvAHUAcgBjAGUARABhAHQAYQBfAEQAYQBpAHIAeQBfAEYAcgBhAGMARwBBAFMATQBTAG8AaQBsAF8AVgBhAHIAaQBhAHQAaQBvAG4AIgAsACIAUwBvAHUAcgBjAGUARABhAHQAYQBfAEQAYQBpAHIAeQAuAFMAbwB1AHIAYwBlAEQAYQB0AGEAXwBEAGEAaQByAHkAXwBGAHIAYQBjAEcAQQBTAE0AUwBvAGkAbABfAEQAYQB0AGEAIgAsACIAUwBvAHUAcgBjAGUARABhAHQAYQBfAEQAYQBpAHIAeQAuAFMAbwB1AHIAYwBlAEQAYQB0AGEAXwBEAGEAaQByAHkAXwBGAGEAdABDAG8AbgB0AGUAbgB0AEkAbgBNAGkAbABrAF8AVABpAHQAbABlACIALAAiAFMAbwB1AHIAYwBlAEQAYQB0AGEAXwBEAGEAaQByAHkALgBTAG8AdQByAGMAZQBEAGEAdABhAF8ARABhAGkAcgB5AF8ARgBhAHQAQwBvAG4AdABlAG4AdABJAG4ATQBpAGwAawBfAFYAYQByAGkAYQBiAGwAZQAiACwAIgBTAG8AdQByAGMAZQBEAGEAdABhAF8ARABhAGkAcgB5AC4AUwBvAHUAcgBjAGUARABhAHQAYQBfAEQAYQBpAHIAeQBfAEYAYQB0AEMAbwBuAHQAZQBuAHQASQBuAE0AaQBsAGsAXwBVAG4AaQB0ACIALAAiAFMAbwB1AHIAYwBlAEQAYQB0AGEAXwBEAGEAaQByAHkALgBTAG8AdQByAGMAZQBEAGEAdABhAF8ARABhAGkAcgB5AF8ARgBhAHQAQwBvAG4AdABlAG4AdABJAG4ATQBpAGwAawBfAFMAbwB1AHIAYwBlACIALAAiAFMAbwB1AHIAYwBlAEQAYQB0AGEAXwBEAGEAaQByAHkALgBTAG8AdQByAGMAZQBEAGEAdABhAF8ARABhAGkAcgB5AF8ARgBhAHQAQwBvAG4AdABlAG4AdABJAG4ATQBpAGwAawBfAFYAYQByAGkAYQB0AGkAbwBuACIALAAiAFMAbwB1AHIAYwBlAEQAYQB0AGEAXwBEAGEAaQByAHkALgBTAG8AdQByAGMAZQBEAGEAdABhAF8ARABhAGkAcgB5AF8ARgBhAHQAQwBvAG4AdABlAG4AdABJAG4ATQBpAGwAawBfAEQAYQB0AGEAIgAsACIAUwBvAHUAcgBjAGUARABhAHQAYQBfAEQAYQBpAHIAeQAuAFMAbwB1AHIAYwBlAEQAYQB0AGEAXwBEAGEAaQByAHkAXwBQAHIAbwB0AGUAaQBuAEMAbwBuAHQAZQBuAHQASQBuAE0AaQBsAGsAXwBUAGkAdABsAGUAIgAsACIAUwBvAHUAcgBjAGUARABhAHQAYQBfAEQAYQBpAHIAeQAuAFMAbwB1AHIAYwBlAEQAYQB0AGEAXwBEAGEAaQByAHkAXwBQAHIAbwB0AGUAaQBuAEMAbwBuAHQAZQBuAHQASQBuAE0AaQBsAGsAXwBWAGEAcgBpAGEAYgBsAGUAIgAsACIAUwBvAHUAcgBjAGUARABhAHQAYQBfAEQAYQBpAHIAeQAuAFMAbwB1AHIAYwBlAEQAYQB0AGEAXwBEAGEAaQByAHkAXwBQAHIAbwB0AGUAaQBuAEMAbwBuAHQAZQBuAHQASQBuAE0AaQBsAGsAXwBVAG4AaQB0ACIALAAiAFMAbwB1AHIAYwBlAEQAYQB0AGEAXwBEAGEAaQByAHkALgBTAG8AdQByAGMAZQBEAGEAdABhAF8ARABhAGkAcgB5AF8AUAByAG8AdABlAGkAbgBDAG8AbgB0AGUAbgB0AEkAbgBNAGkAbABrAF8AUwBvAHUAcgBjAGUAIgAsACIAUwBvAHUAcgBjAGUARABhAHQAYQBfAEQAYQBpAHIAeQAuAFMAbwB1AHIAYwBlAEQAYQB0AGEAXwBEAGEAaQByAHkAXwBQAHIAbwB0AGUAaQBuAEMAbwBuAHQAZQBuAHQASQBuAE0AaQBsAGsAXwBWAGEAcgBpAGEAdABpAG8AbgAiACwAIgBTAG8AdQByAGMAZQBEAGEAdABhAF8ARABhAGkAcgB5AC4AUwBvAHUAcgBjAGUARABhAHQAYQBfAEQAYQBpAHIAeQBfAFAAcgBvAHQAZQBpAG4AQwBvAG4AdABlAG4AdABJAG4ATQBpAGwAawBfAEQAYQB0AGEAIgAsACIAUwBvAHUAcgBjAGUARABhAHQAYQBfAFMAdwBpAG4AZQAuAFMAbwB1AHIAYwBlAEQAYQB0AGEAXwBTAHcAaQBuAGUAXwBWAG8AbABhAHQAaQBsAGUAUwBvAGwAaQBkAHMAXwBUAGkAdABsAGUAIgAsACIAUwBvAHUAcgBjAGUARABhAHQAYQBfAFMAdwBpAG4AZQAuAFMAbwB1AHIAYwBlAEQAYQB0AGEAXwBTAHcAaQBuAGUAXwBWAG8AbABhAHQAaQBsAGUAUwBvAGwAaQBkAHMAXwBVAG4AaQB0ACIALAAiAFMAbwB1AHIAYwBlAEQAYQB0AGEAXwBTAHcAaQBuAGUALgBTAG8AdQByAGMAZQBEAGEAdABhAF8AUwB3AGkAbgBlAF8AVgBvAGwAYQB0AGkAbABlAFMAbwBsAGkAZABzAF8AUwBvAHUAcgBjAGUAIgAsACIAUwBvAHUAcgBjAGUARABhAHQAYQBfAFMAdwBpAG4AZQAuAFMAbwB1AHIAYwBlAEQAYQB0AGEAXwBTAHcAaQBuAGUAXwBWAG8AbABhAHQAaQBsAGUAUwBvAGwAaQBkAHMAXwBWAGEAcgBpAGEAdABpAG8AbgAiACwAIgBTAG8AdQByAGMAZQBEAGEAdABhAF8AUwB3AGkAbgBlAC4AUwBvAHUAcgBjAGUARABhAHQAYQBfAFMAdwBpAG4AZQBfAFYAbwBsAGEAdABpAGwAZQBTAG8AbABpAGQAcwBfAEQAYQB0AGEAIgAsACIAUwBvAHUAcgBjAGUARABhAHQAYQBfAFMAdwBpAG4AZQAuAFMAbwB1AHIAYwBlAEQAYQB0AGEAXwBTAHcAaQBuAGUAXwBGAGUAZQBkAEkAbgB0AGEAawBlAF8AVABpAHQAbABlACIALAAiAFMAbwB1AHIAYwBlAEQAYQB0AGEAXwBTAHcAaQBuAGUALgBTAG8AdQByAGMAZQBEAGEAdABhAF8AUwB3AGkAbgBlAF8ARgBlAGUAZABJAG4AdABhAGsAZQBfAFUAbgBpAHQAIgAsACIAUwBvAHUAcgBjAGUARABhAHQAYQBfAFMAdwBpAG4AZQAuAFMAbwB1AHIAYwBlAEQAYQB0AGEAXwBTAHcAaQBuAGUAXwBGAGUAZQBkAEkAbgB0AGEAawBlAF8AUwBvAHUAcgBjAGUAIgAsACIAUwBvAHUAcgBjAGUARABhAHQAYQBfAFMAdwBpAG4AZQAuAFMAbwB1AHIAYwBlAEQAYQB0AGEAXwBTAHcAaQBuAGUAXwBGAGUAZQBkAEkAbgB0AGEAawBlAF8AVgBhAHIAaQBhAHQAaQBvAG4AIgAsACIAUwBvAHUAcgBjAGUARABhAHQAYQBfAFMAdwBpAG4AZQAuAFMAbwB1AHIAYwBlAEQAYQB0AGEAXwBTAHcAaQBuAGUAXwBGAGUAZQBkAEkAbgB0AGEAawBlAF8ARABhAHQAYQAiACwAIgBTAG8AdQByAGMAZQBEAGEAdABhAF8AUwB3AGkAbgBlAC4AUwBvAHUAcgBjAGUARABhAHQAYQBfAFMAdwBpAG4AZQBfAE4AaQB0AHIAbwBnAGUAbgBJAG4AVwBhAHMAdABlAF8AVABpAHQAbABlACIALAAiAFMAbwB1AHIAYwBlAEQAYQB0AGEAXwBTAHcAaQBuAGUALgBTAG8AdQByAGMAZQBEAGEAdABhAF8AUwB3AGkAbgBlAF8ATgBpAHQAcgBvAGcAZQBuAEkAbgBXAGEAcwB0AGUAXwBVAG4AaQB0ACIALAAiAFMAbwB1AHIAYwBlAEQAYQB0AGEAXwBTAHcAaQBuAGUALgBTAG8AdQByAGMAZQBEAGEAdABhAF8AUwB3AGkAbgBlAF8ATgBpAHQAcgBvAGcAZQBuAEkAbgBXAGEAcwB0AGUAXwBTAG8AdQByAGMAZQAiACwAIgBTAG8AdQByAGMAZQBEAGEAdABhAF8AUwB3AGkAbgBlAC4AUwBvAHUAcgBjAGUARABhAHQAYQBfAFMAdwBpAG4AZQBfAE4AaQB0AHIAbwBnAGUAbgBJAG4AVwBhAHMAdABlAF8AVgBhAHIAaQBhAHQAaQBvAG4AIgAsACIAUwBvAHUAcgBjAGUARABhAHQAYQBfAFMAdwBpAG4AZQAuAFMAbwB1AHIAYwBlAEQAYQB0AGEAXwBTAHcAaQBuAGUAXwBOAGkAdAByAG8AZwBlAG4ASQBuAFcAYQBzAHQAZQBfAEQAYQB0AGEAIgAsACIAUwBvAHUAcgBjAGUARABhAHQAYQBfAFMAdwBpAG4AZQAuAFMAbwB1AHIAYwBlAEQAYQB0AGEAXwBTAHcAaQBuAGUAXwBGAHIAYQBjAHQAaQBvAG4ATgBWAG8AbABhAHQAaQBsAGkAcwBlAGQAXwBUAGkAdABsAGUAIgAsACIAUwBvAHUAcgBjAGUARABhAHQAYQBfAFMAdwBpAG4AZQAuAFMAbwB1AHIAYwBlAEQAYQB0AGEAXwBTAHcAaQBuAGUAXwBGAHIAYQBjAHQAaQBvAG4ATgBWAG8AbABhAHQAaQBsAGkAcwBlAGQAXwBVAG4AaQB0ACIALAAiAFMAbwB1AHIAYwBlAEQAYQB0AGEAXwBTAHcAaQBuAGUALgBTAG8AdQByAGMAZQBEAGEAdABhAF8AUwB3AGkAbgBlAF8ARgByAGEAYwB0AGkAbwBuAE4AVgBvAGwAYQB0AGkAbABpAHMAZQBkAF8AUwBvAHUAcgBjAGUAIgAsACIAUwBvAHUAcgBjAGUARABhAHQAYQBfAFMAdwBpAG4AZQAuAFMAbwB1AHIAYwBlAEQAYQB0AGEAXwBTAHcAaQBuAGUAXwBGAHIAYQBjAHQAaQBvAG4ATgBWAG8AbABhAHQAaQBsAGkAcwBlAGQAXwBWAGEAcgBpAGEAdABpAG8AbgAiACwAIgBTAG8AdQByAGMAZQBEAGEAdABhAF8AUwB3AGkAbgBlAC4AUwBvAHUAcgBjAGUARABhAHQAYQBfAFMAdwBpAG4AZQBfAEYAcgBhAGMAdABpAG8AbgBOAFYAbwBsAGEAdABpAGwAaQBzAGUAZABfAEQAYQB0AGEAIgAsACIAUwBvAHUAcgBjAGUARABhAHQAYQBfAFMAdwBpAG4AZQAuAFMAbwB1AHIAYwBlAEQAYQB0AGEAXwBTAHcAaQBuAGUAXwBOAGkAdAByAG8AdQBzAE8AeABpAGQAZQBFAEYAcwBfAFQAaQB0AGwAZQAiACwAIgBTAG8AdQByAGMAZQBEAGEAdABhAF8AUwB3AGkAbgBlAC4AUwBvAHUAcgBjAGUARABhAHQAYQBfAFMAdwBpAG4AZQBfAE4AaQB0AHIAbwB1AHMATwB4AGkAZABlAEUARgBzAF8AVQBuAGkAdAAiACwAIgBTAG8AdQByAGMAZQBEAGEAdABhAF8AUwB3AGkAbgBlAC4AUwBvAHUAcgBjAGUARABhAHQAYQBfAFMAdwBpAG4AZQBfAE4AaQB0AHIAbwB1AHMATwB4AGkAZABlAEUARgBzAF8AUwBvAHUAcgBjAGUAIgAsACIAUwBvAHUAcgBjAGUARABhAHQAYQBfAFMAdwBpAG4AZQAuAFMAbwB1AHIAYwBlAEQAYQB0AGEAXwBTAHcAaQBuAGUAXwBOAGkAdAByAG8AdQBzAE8AeABpAGQAZQBFAEYAcwBfAFYAYQByAGkAYQB0AGkAbwBuACIALAAiAFMAbwB1AHIAYwBlAEQAYQB0AGEAXwBTAHcAaQBuAGUALgBTAG8AdQByAGMAZQBEAGEAdABhAF8AUwB3AGkAbgBlAF8ATgBpAHQAcgBvAHUAcwBPAHgAaQBkAGUARQBGAHMAXwBEAGEAdABhACIALAAiAFMAbwB1AHIAYwBlAEQAYQB0AGEAXwBTAHcAaQBuAGUALgBTAG8AdQByAGMAZQBEAGEAdABhAF8AUwB3AGkAbgBlAF8ATQBlAHQAaABhAG4AZQBWAG8AbABhAHQAaQBsAGUAUwBvAGwAaQBkAHMARQBtAGkAcwBzAGkAbwBuAHMAUABvAHQAZQBuAHQAaQBhAGwAXwBUAGkAdABsAGUAIgAsACIAUwBvAHUAcgBjAGUARABhAHQAYQBfAFMAdwBpAG4AZQAuAFMAbwB1AHIAYwBlAEQAYQB0AGEAXwBTAHcAaQBuAGUAXwBNAGUAdABoAGEAbgBlAFYAbwBsAGEAdABpAGwAZQBTAG8AbABpAGQAcwBFAG0AaQBzAHMAaQBvAG4AcwBQAG8AdABlAG4AdABpAGEAbABfAFYAYQByAGkAYQBiAGwAZQAiACwAIgBTAG8AdQByAGMAZQBEAGEAdABhAF8AUwB3AGkAbgBlAC4AUwBvAHUAcgBjAGUARABhAHQAYQBfAFMAdwBpAG4AZQBfAE0AZQB0AGgAYQBuAGUAVgBvAGwAYQB0AGkAbABlAFMAbwBsAGkAZABzAEUAbQBpAHMAcwBpAG8AbgBzAFAAbwB0AGUAbgB0AGkAYQBsAF8AVQBuAGkAdAAiACwAIgBTAG8AdQByAGMAZQBEAGEAdABhAF8AUwB3AGkAbgBlAC4AUwBvAHUAcgBjAGUARABhAHQAYQBfAFMAdwBpAG4AZQBfAE0AZQB0AGgAYQBuAGUAVgBvAGwAYQB0AGkAbABlAFMAbwBsAGkAZABzAEUAbQBpAHMAcwBpAG8AbgBzAFAAbwB0AGUAbgB0AGkAYQBsAF8AUwBvAHUAcgBjAGUAIgAsACIAUwBvAHUAcgBjAGUARABhAHQAYQBfAFMAdwBpAG4AZQAuAFMAbwB1AHIAYwBlAEQAYQB0AGEAXwBTAHcAaQBuAGUAXwBNAGUAdABoAGEAbgBlAFYAbwBsAGEAdABpAGwAZQBTAG8AbABpAGQAcwBFAG0AaQBzAHMAaQBvAG4AcwBQAG8AdABlAG4AdABpAGEAbABfAFYAYQByAGkAYQB0AGkAbwBuACIALAAiAFMAbwB1AHIAYwBlAEQAYQB0AGEAXwBTAHcAaQBuAGUALgBTAG8AdQByAGMAZQBEAGEAdABhAF8AUwB3AGkAbgBlAF8ATQBlAHQAaABhAG4AZQBWAG8AbABhAHQAaQBsAGUAUwBvAGwAaQBkAHMARQBtAGkAcwBzAGkAbwBuAHMAUABvAHQAZQBuAHQAaQBhAGwAXwBEAGEAdABhACIALAAiAFMAbwB1AHIAYwBlAEQAYQB0AGEAXwBTAHcAaQBuAGUALgBTAG8AdQByAGMAZQBEAGEAdABhAF8AUwB3AGkAbgBlAF8ATQBNAFMAXwBNAEMARgBzAF8AVABpAHQAbABlACIALAAiAFMAbwB1AHIAYwBlAEQAYQB0AGEAXwBTAHcAaQBuAGUALgBTAG8AdQByAGMAZQBEAGEAdABhAF8AUwB3AGkAbgBlAF8ATQBNAFMAXwBNAEMARgBzAF8AVQBuAGkAdAAiACwAIgBTAG8AdQByAGMAZQBEAGEAdABhAF8AUwB3AGkAbgBlAC4AUwBvAHUAcgBjAGUARABhAHQAYQBfAFMAdwBpAG4AZQBfAE0ATQBTAF8ATQBDAEYAcwBfAFMAbwB1AHIAYwBlACIALAAiAFMAbwB1AHIAYwBlAEQAYQB0AGEAXwBTAHcAaQBuAGUALgBTAG8AdQByAGMAZQBEAGEAdABhAF8AUwB3AGkAbgBlAF8ATQBNAFMAXwBNAEMARgBzAF8AVgBhAHIAaQBhAHQAaQBvAG4AIgAsACIAUwBvAHUAcgBjAGUARABhAHQAYQBfAFMAdwBpAG4AZQAuAFMAbwB1AHIAYwBlAEQAYQB0AGEAXwBTAHcAaQBuAGUAXwBNAE0AUwBfAE0AQwBGAHMAXwBEAGEAdABhACIALAAiAFMAbwB1AHIAYwBlAEQAYQB0AGEAXwBTAHcAaQBuAGUALgBTAG8AdQByAGMAZQBEAGEAdABhAF8AUwB3AGkAbgBlAF8AQQB2AGUAcgBhAGcAZQBMAGkAdgBlAHcAZQBpAGcAaAB0AF8AVABpAHQAbABlACIALAAiAFMAbwB1AHIAYwBlAEQAYQB0AGEAXwBTAHcAaQBuAGUALgBTAG8AdQByAGMAZQBEAGEAdABhAF8AUwB3AGkAbgBlAF8AQQB2AGUAcgBhAGcAZQBMAGkAdgBlAHcAZQBpAGcAaAB0AF8AVQBuAGkAdAAiACwAIgBTAG8AdQByAGMAZQBEAGEAdABhAF8AUwB3AGkAbgBlAC4AUwBvAHUAcgBjAGUARABhAHQAYQBfAFMAdwBpAG4AZQBfAEEAdgBlAHIAYQBnAGUATABpAHYAZQB3AGUAaQBnAGgAdABfAFMAbwB1AHIAYwBlACIALAAiAFMAbwB1AHIAYwBlAEQAYQB0AGEAXwBTAHcAaQBuAGUALgBTAG8AdQByAGMAZQBEAGEAdABhAF8AUwB3AGkAbgBlAF8AQQB2AGUAcgBhAGcAZQBMAGkAdgBlAHcAZQBpAGcAaAB0AF8AVgBhAHIAaQBhAHQAaQBvAG4AIgAsACIAUwBvAHUAcgBjAGUARABhAHQAYQBfAFMAdwBpAG4AZQAuAFMAbwB1AHIAYwBlAEQAYQB0AGEAXwBTAHcAaQBuAGUAXwBBAHYAZQByAGEAZwBlAEwAaQB2AGUAdwBlAGkAZwBoAHQAXwBEAGEAdABhACIALAAiAFMAbwB1AHIAYwBlAEQAYQB0AGEAXwBTAHcAaQBuAGUALgBTAG8AdQByAGMAZQBEAGEAdABhAF8AUwB3AGkAbgBlAF8AUAByAG8AZAB1AGMAdABpAG8AbgBTAHkAcwB0AGUAbQBzAF8AVABpAHQAbABlACIALAAiAFMAbwB1AHIAYwBlAEQAYQB0AGEAXwBTAHcAaQBuAGUALgBTAG8AdQByAGMAZQBEAGEAdABhAF8AUwB3AGkAbgBlAF8AUAByAG8AZAB1AGMAdABpAG8AbgBTAHkAcwB0AGUAbQBzAF8AVQBuAGkAdAAiACwAIgBTAG8AdQByAGMAZQBEAGEAdABhAF8AUwB3AGkAbgBlAC4AUwBvAHUAcgBjAGUARABhAHQAYQBfAFMAdwBpAG4AZQBfAFAAcgBvAGQAdQBjAHQAaQBvAG4AUwB5AHMAdABlAG0AcwBfAFMAbwB1AHIAYwBlACIALAAiAFMAbwB1AHIAYwBlAEQAYQB0AGEAXwBTAHcAaQBuAGUALgBTAG8AdQByAGMAZQBEAGEAdABhAF8AUwB3AGkAbgBlAF8AUAByAG8AZAB1AGMAdABpAG8AbgBTAHkAcwB0AGUAbQBzAF8AVgBhAHIAaQBhAHQAaQBvAG4AIgAsACIAUwBvAHUAcgBjAGUARABhAHQAYQBfAFMAdwBpAG4AZQAuAFMAbwB1AHIAYwBlAEQAYQB0AGEAXwBTAHcAaQBuAGUAXwBQAHIAbwBkAHUAYwB0AGkAbwBuAFMAeQBzAHQAZQBtAHMAXwBEAGEAdABhACIALAAiAFMAbwB1AHIAYwBlAEQAYQB0AGEAXwBTAHcAaQBuAGUALgBTAG8AdQByAGMAZQBEAGEAdABhAF8AUwB3AGkAbgBlAF8ARgByAGEAYwBMAEUAQQBDAEgAXwBEAHIAeQBsAG8AdABNAE0AUwBfAFQAaQB0AGwAZQAiACwAIgBTAG8AdQByAGMAZQBEAGEAdABhAF8AUwB3AGkAbgBlAC4AUwBvAHUAcgBjAGUARABhAHQAYQBfAFMAdwBpAG4AZQBfAEYAcgBhAGMATABFAEEAQwBIAF8ARAByAHkAbABvAHQATQBNAFMAXwBWAGEAcgBpAGEAYgBsAGUAIgAsACIAUwBvAHUAcgBjAGUARABhAHQAYQBfAFMAdwBpAG4AZQAuAFMAbwB1AHIAYwBlAEQAYQB0AGEAXwBTAHcAaQBuAGUAXwBGAHIAYQBjAEwARQBBAEMASABfAEQAcgB5AGwAbwB0AE0ATQBTAF8AVQBuAGkAdAAiACwAIgBTAG8AdQByAGMAZQBEAGEAdABhAF8AUwB3AGkAbgBlAC4AUwBvAHUAcgBjAGUARABhAHQAYQBfAFMAdwBpAG4AZQBfAEYAcgBhAGMATABFAEEAQwBIAF8ARAByAHkAbABvAHQATQBNAFMAXwBTAG8AdQByAGMAZQAiACwAIgBTAG8AdQByAGMAZQBEAGEAdABhAF8AUwB3AGkAbgBlAC4AUwBvAHUAcgBjAGUARABhAHQAYQBfAFMAdwBpAG4AZQBfAEYAcgBhAGMATABFAEEAQwBIAF8ARAByAHkAbABvAHQATQBNAFMAXwBWAGEAcgBpAGEAdABpAG8AbgAiACwAIgBTAG8AdQByAGMAZQBEAGEAdABhAF8AUwB3AGkAbgBlAC4AUwBvAHUAcgBjAGUARABhAHQAYQBfAFMAdwBpAG4AZQBfAEYAcgBhAGMATABFAEEAQwBIAF8ARAByAHkAbABvAHQATQBNAFMAXwBEAGEAdABhACIALAAiAFMAbwB1AHIAYwBlAEQAYQB0AGEAXwBTAHcAaQBuAGUALgBTAG8AdQByAGMAZQBEAGEAdABhAF8AUwB3AGkAbgBlAF8ATQBlAGcAYQBqAG8AdQBsAGUAcwBQAGUAcgBLAGkAbABvAGcAcgBhAG0ATQBlAHQAaABhAG4AZQBfAFQAaQB0AGwAZQAiACwAIgBTAG8AdQByAGMAZQBEAGEAdABhAF8AUwB3AGkAbgBlAC4AUwBvAHUAcgBjAGUARABhAHQAYQBfAFMAdwBpAG4AZQBfAE0AZQBnAGEAagBvAHUAbABlAHMAUABlAHIASwBpAGwAbwBnAHIAYQBtAE0AZQB0AGgAYQBuAGUAXwBWAGEAcgBpAGEAYgBsAGUAIgAsACIAUwBvAHUAcgBjAGUARABhAHQAYQBfAFMAdwBpAG4AZQAuAFMAbwB1AHIAYwBlAEQAYQB0AGEAXwBTAHcAaQBuAGUAXwBNAGUAZwBhAGoAbwB1AGwAZQBzAFAAZQByAEsAaQBsAG8AZwByAGEAbQBNAGUAdABoAGEAbgBlAF8AVQBuAGkAdAAiACwAIgBTAG8AdQByAGMAZQBEAGEAdABhAF8AUwB3AGkAbgBlAC4AUwBvAHUAcgBjAGUARABhAHQAYQBfAFMAdwBpAG4AZQBfAE0AZQBnAGEAagBvAHUAbABlAHMAUABlAHIASwBpAGwAbwBnAHIAYQBtAE0AZQB0AGgAYQBuAGUAXwBTAG8AdQByAGMAZQAiACwAIgBTAG8AdQByAGMAZQBEAGEAdABhAF8AUwB3AGkAbgBlAC4AUwBvAHUAcgBjAGUARABhAHQAYQBfAFMAdwBpAG4AZQBfAE0AZQBnAGEAagBvAHUAbABlAHMAUABlAHIASwBpAGwAbwBnAHIAYQBtAE0AZQB0AGgAYQBuAGUAXwBWAGEAcgBpAGEAdABpAG8AbgAiACwAIgBTAG8AdQByAGMAZQBEAGEAdABhAF8AUwB3AGkAbgBlAC4AUwBvAHUAcgBjAGUARABhAHQAYQBfAFMAdwBpAG4AZQBfAE0AZQBnAGEAagBvAHUAbABlAHMAUABlAHIASwBpAGwAbwBnAHIAYQBtAE0AZQB0AGgAYQBuAGUAXwBEAGEAdABhACIALAAiAFMAbwB1AHIAYwBlAEQAYQB0AGEAXwBQAG8AdQBsAHQAcgB5AC4AUwBvAHUAcgBjAGUARABhAHQAYQBfAFAAbwB1AGwAdAByAHkAXwBEAGkAZQB0AFAAcgBvAHAAZQByAHQAaQBlAHMAXwBUAGkAdABsAGUAIgAsACIAUwBvAHUAcgBjAGUARABhAHQAYQBfAFAAbwB1AGwAdAByAHkALgBTAG8AdQByAGMAZQBEAGEAdABhAF8AUABvAHUAbAB0AHIAeQBfAEQAaQBlAHQAUAByAG8AcABlAHIAdABpAGUAcwBfAFUAbgBpAHQAIgAsACIAUwBvAHUAcgBjAGUARABhAHQAYQBfAFAAbwB1AGwAdAByAHkALgBTAG8AdQByAGMAZQBEAGEAdABhAF8AUABvAHUAbAB0AHIAeQBfAEQAaQBlAHQAUAByAG8AcABlAHIAdABpAGUAcwBfAFMAbwB1AHIAYwBlACIALAAiAFMAbwB1AHIAYwBlAEQAYQB0AGEAXwBQAG8AdQBsAHQAcgB5AC4AUwBvAHUAcgBjAGUARABhAHQAYQBfAFAAbwB1AGwAdAByAHkAXwBEAGkAZQB0AFAAcgBvAHAAZQByAHQAaQBlAHMAXwBWAGEAcgBpAGEAdABpAG8AbgAiACwAIgBTAG8AdQByAGMAZQBEAGEAdABhAF8AUABvAHUAbAB0AHIAeQAuAFMAbwB1AHIAYwBlAEQAYQB0AGEAXwBQAG8AdQBsAHQAcgB5AF8ARABpAGUAdABQAHIAbwBwAGUAcgB0AGkAZQBzAF8ARABhAHQAYQAiACwAIgBTAG8AdQByAGMAZQBEAGEAdABhAF8AUABvAHUAbAB0AHIAeQAuAFMAbwB1AHIAYwBlAEQAYQB0AGEAXwBQAG8AdQBsAHQAcgB5AF8ATQBDAEYAXwBUAGkAdABsAGUAIgAsACIAUwBvAHUAcgBjAGUARABhAHQAYQBfAFAAbwB1AGwAdAByAHkALgBTAG8AdQByAGMAZQBEAGEAdABhAF8AUABvAHUAbAB0AHIAeQBfAE0AQwBGAF8AVQBuAGkAdAAiACwAIgBTAG8AdQByAGMAZQBEAGEAdABhAF8AUABvAHUAbAB0AHIAeQAuAFMAbwB1AHIAYwBlAEQAYQB0AGEAXwBQAG8AdQBsAHQAcgB5AF8ATQBDAEYAXwBTAG8AdQByAGMAZQAiACwAIgBTAG8AdQByAGMAZQBEAGEAdABhAF8AUABvAHUAbAB0AHIAeQAuAFMAbwB1AHIAYwBlAEQAYQB0AGEAXwBQAG8AdQBsAHQAcgB5AF8ATQBDAEYAXwBWAGEAcgBpAGEAdABpAG8AbgAiACwAIgBTAG8AdQByAGMAZQBEAGEAdABhAF8AUABvAHUAbAB0AHIAeQAuAFMAbwB1AHIAYwBlAEQAYQB0AGEAXwBQAG8AdQBsAHQAcgB5AF8ATQBDAEYAXwBEAGEAdABhACIALAAiAFMAbwB1AHIAYwBlAEQAYQB0AGEAXwBQAG8AdQBsAHQAcgB5AC4AUwBvAHUAcgBjAGUARABhAHQAYQBfAFAAbwB1AGwAdAByAHkAXwBNAEMARgBfAE4AbwB0AGUAcwAiACwAIgBTAG8AdQByAGMAZQBEAGEAdABhAF8AUABvAHUAbAB0AHIAeQAuAFMAbwB1AHIAYwBlAEQAYQB0AGEAXwBQAG8AdQBsAHQAcgB5AF8ATQBlAHQAaABhAG4AZQBFAG0AaQBzAHMAaQBvAG4AcwBQAG8AdABlAG4AdABpAGEAbABfAFQAaQB0AGwAZQAiACwAIgBTAG8AdQByAGMAZQBEAGEAdABhAF8AUABvAHUAbAB0AHIAeQAuAFMAbwB1AHIAYwBlAEQAYQB0AGEAXwBQAG8AdQBsAHQAcgB5AF8ATQBlAHQAaABhAG4AZQBFAG0AaQBzAHMAaQBvAG4AcwBQAG8AdABlAG4AdABpAGEAbABfAFUAbgBpAHQAIgAsACIAUwBvAHUAcgBjAGUARABhAHQAYQBfAFAAbwB1AGwAdAByAHkALgBTAG8AdQByAGMAZQBEAGEAdABhAF8AUABvAHUAbAB0AHIAeQBfAE0AZQB0AGgAYQBuAGUARQBtAGkAcwBzAGkAbwBuAHMAUABvAHQAZQBuAHQAaQBhAGwAXwBTAG8AdQByAGMAZQAiACwAIgBTAG8AdQByAGMAZQBEAGEAdABhAF8AUABvAHUAbAB0AHIAeQAuAFMAbwB1AHIAYwBlAEQAYQB0AGEAXwBQAG8AdQBsAHQAcgB5AF8ATQBlAHQAaABhAG4AZQBFAG0AaQBzAHMAaQBvAG4AcwBQAG8AdABlAG4AdABpAGEAbABfAFYAYQByAGkAYQB0AGkAbwBuACIALAAiAFMAbwB1AHIAYwBlAEQAYQB0AGEAXwBQAG8AdQBsAHQAcgB5AC4AUwBvAHUAcgBjAGUARABhAHQAYQBfAFAAbwB1AGwAdAByAHkAXwBNAGUAdABoAGEAbgBlAEUAbQBpAHMAcwBpAG8AbgBzAFAAbwB0AGUAbgB0AGkAYQBsAF8ARABhAHQAYQAiACwAIgBTAG8AdQByAGMAZQBEAGEAdABhAF8AUABvAHUAbAB0AHIAeQAuAFMAbwB1AHIAYwBlAEQAYQB0AGEAXwBQAG8AdQBsAHQAcgB5AF8AUAByAG8AZAB1AGMAdABpAG8AbgBTAHkAcwB0AGUAbQBzAF8AVABpAHQAbABlACIALAAiAFMAbwB1AHIAYwBlAEQAYQB0AGEAXwBQAG8AdQBsAHQAcgB5AC4AUwBvAHUAcgBjAGUARABhAHQAYQBfAFAAbwB1AGwAdAByAHkAXwBQAHIAbwBkAHUAYwB0AGkAbwBuAFMAeQBzAHQAZQBtAHMAXwBVAG4AaQB0ACIALAAiAFMAbwB1AHIAYwBlAEQAYQB0AGEAXwBQAG8AdQBsAHQAcgB5AC4AUwBvAHUAcgBjAGUARABhAHQAYQBfAFAAbwB1AGwAdAByAHkAXwBQAHIAbwBkAHUAYwB0AGkAbwBuAFMAeQBzAHQAZQBtAHMAXwBTAG8AdQByAGMAZQAiACwAIgBTAG8AdQByAGMAZQBEAGEAdABhAF8AUABvAHUAbAB0AHIAeQAuAFMAbwB1AHIAYwBlAEQAYQB0AGEAXwBQAG8AdQBsAHQAcgB5AF8AUAByAG8AZAB1AGMAdABpAG8AbgBTAHkAcwB0AGUAbQBzAF8AVgBhAHIAaQBhAHQAaQBvAG4AIgAsACIAUwBvAHUAcgBjAGUARABhAHQAYQBfAFAAbwB1AGwAdAByAHkALgBTAG8AdQByAGMAZQBEAGEAdABhAF8AUABvAHUAbAB0AHIAeQBfAFAAcgBvAGQAdQBjAHQAaQBvAG4AUwB5AHMAdABlAG0AcwBfAEQAYQB0AGEAIgAsACIAUwBvAHUAcgBjAGUARABhAHQAYQBfAFAAbwB1AGwAdAByAHkALgBTAG8AdQByAGMAZQBEAGEAdABhAF8AUABvAHUAbAB0AHIAeQBfAFYAUwBMAF8AVABpAHQAbABlACIALAAiAFMAbwB1AHIAYwBlAEQAYQB0AGEAXwBQAG8AdQBsAHQAcgB5AC4AUwBvAHUAcgBjAGUARABhAHQAYQBfAFAAbwB1AGwAdAByAHkAXwBWAFMATABfAFUAbgBpAHQAIgAsACIAUwBvAHUAcgBjAGUARABhAHQAYQBfAFAAbwB1AGwAdAByAHkALgBTAG8AdQByAGMAZQBEAGEAdABhAF8AUABvAHUAbAB0AHIAeQBfAFYAUwBMAF8AUwBvAHUAcgBjAGUAIgAsACIAUwBvAHUAcgBjAGUARABhAHQAYQBfAFAAbwB1AGwAdAByAHkALgBTAG8AdQByAGMAZQBEAGEAdABhAF8AUABvAHUAbAB0AHIAeQBfAFYAUwBMAF8AVgBhAHIAaQBhAHQAaQBvAG4AIgAsACIAUwBvAHUAcgBjAGUARABhAHQAYQBfAFAAbwB1AGwAdAByAHkALgBTAG8AdQByAGMAZQBEAGEAdABhAF8AUABvAHUAbAB0AHIAeQBfAFYAUwBMAF8ARABhAHQAYQAiACwAIgBTAG8AdQByAGMAZQBEAGEAdABhAF8AUABvAHUAbAB0AHIAeQAuAFMAbwB1AHIAYwBlAEQAYQB0AGEAXwBQAG8AdQBsAHQAcgB5AF8ARgByAGEAYwBHAEEAUwBNAG0AVABfAFQAaQB0AGwAZQAiACwAIgBTAG8AdQByAGMAZQBEAGEAdABhAF8AUABvAHUAbAB0AHIAeQAuAFMAbwB1AHIAYwBlAEQAYQB0AGEAXwBQAG8AdQBsAHQAcgB5AF8ARgByAGEAYwBHAEEAUwBNAG0AVABfAFUAbgBpAHQAIgAsACIAUwBvAHUAcgBjAGUARABhAHQAYQBfAFAAbwB1AGwAdAByAHkALgBTAG8AdQByAGMAZQBEAGEAdABhAF8AUABvAHUAbAB0AHIAeQBfAEYAcgBhAGMARwBBAFMATQBtAFQAXwBTAG8AdQByAGMAZQAiACwAIgBTAG8AdQByAGMAZQBEAGEAdABhAF8AUABvAHUAbAB0AHIAeQAuAFMAbwB1AHIAYwBlAEQAYQB0AGEAXwBQAG8AdQBsAHQAcgB5AF8ARgByAGEAYwBHAEEAUwBNAG0AVABfAFYAYQByAGkAYQB0AGkAbwBuACIALAAiAFMAbwB1AHIAYwBlAEQAYQB0AGEAXwBQAG8AdQBsAHQAcgB5AC4AUwBvAHUAcgBjAGUARABhAHQAYQBfAFAAbwB1AGwAdAByAHkAXwBGAHIAYQBjAEcAQQBTAE0AbQBUAF8ARABhAHQAYQAiACwAIgBTAG8AdQByAGMAZQBEAGEAdABhAF8AUABvAHUAbAB0AHIAeQAuAFMAbwB1AHIAYwBlAEQAYQB0AGEAXwBQAG8AdQBsAHQAcgB5AF8ARQBGAG0AVABfAFQAaQB0AGwAZQAiACwAIgBTAG8AdQByAGMAZQBEAGEAdABhAF8AUABvAHUAbAB0AHIAeQAuAFMAbwB1AHIAYwBlAEQAYQB0AGEAXwBQAG8AdQBsAHQAcgB5AF8ARQBGAG0AVABfAFUAbgBpAHQAIgAsACIAUwBvAHUAcgBjAGUARABhAHQAYQBfAFAAbwB1AGwAdAByAHkALgBTAG8AdQByAGMAZQBEAGEAdABhAF8AUABvAHUAbAB0AHIAeQBfAEUARgBtAFQAXwBTAG8AdQByAGMAZQAiACwAIgBTAG8AdQByAGMAZQBEAGEAdABhAF8AUABvAHUAbAB0AHIAeQAuAFMAbwB1AHIAYwBlAEQAYQB0AGEAXwBQAG8AdQBsAHQAcgB5AF8ARQBGAG0AVABfAFYAYQByAGkAYQB0AGkAbwBuACIALAAiAFMAbwB1AHIAYwBlAEQAYQB0AGEAXwBQAG8AdQBsAHQAcgB5AC4AUwBvAHUAcgBjAGUARABhAHQAYQBfAFAAbwB1AGwAdAByAHkAXwBFAEYAbQBUAF8ARABhAHQAYQAiACwAIgBTAG8AdQByAGMAZQBEAGEAdABhAF8AUABvAHUAbAB0AHIAeQAuAFMAbwB1AHIAYwBlAEQAYQB0AGEAXwBQAG8AdQBsAHQAcgB5AF8ARgByAGEAYwB0AGkAbwBuAE8AZgBOAGkAdAByAG8AZwBlAG4ATABvAHMAdABUAGgAcgBvAHUAZwBoAEwAZQBhAGMAaABpAG4AZwBBAG4AZABSAHUAbgBvAGYAZgBfAFQAaQB0AGwAZQAiACwAIgBTAG8AdQByAGMAZQBEAGEAdABhAF8AUABvAHUAbAB0AHIAeQAuAFMAbwB1AHIAYwBlAEQAYQB0AGEAXwBQAG8AdQBsAHQAcgB5AF8ARgByAGEAYwB0AGkAbwBuAE8AZgBOAGkAdAByAG8AZwBlAG4ATABvAHMAdABUAGgAcgBvAHUAZwBoAEwAZQBhAGMAaABpAG4AZwBBAG4AZABSAHUAbgBvAGYAZgBfAFYAYQByAGkAYQBiAGwAZQAiACwAIgBTAG8AdQByAGMAZQBEAGEAdABhAF8AUABvAHUAbAB0AHIAeQAuAFMAbwB1AHIAYwBlAEQAYQB0AGEAXwBQAG8AdQBsAHQAcgB5AF8ARgByAGEAYwB0AGkAbwBuAE8AZgBOAGkAdAByAG8AZwBlAG4ATABvAHMAdABUAGgAcgBvAHUAZwBoAEwAZQBhAGMAaABpAG4AZwBBAG4AZABSAHUAbgBvAGYAZgBfAFUAbgBpAHQAIgAsACIAUwBvAHUAcgBjAGUARABhAHQAYQBfAFAAbwB1AGwAdAByAHkALgBTAG8AdQByAGMAZQBEAGEAdABhAF8AUABvAHUAbAB0AHIAeQBfAEYAcgBhAGMAdABpAG8AbgBPAGYATgBpAHQAcgBvAGcAZQBuAEwAbwBzAHQAVABoAHIAbwB1AGcAaABMAGUAYQBjAGgAaQBuAGcAQQBuAGQAUgB1AG4AbwBmAGYAXwBTAG8AdQByAGMAZQAiACwAIgBTAG8AdQByAGMAZQBEAGEAdABhAF8AUABvAHUAbAB0AHIAeQAuAFMAbwB1AHIAYwBlAEQAYQB0AGEAXwBQAG8AdQBsAHQAcgB5AF8ARgByAGEAYwB0AGkAbwBuAE8AZgBOAGkAdAByAG8AZwBlAG4ATABvAHMAdABUAGgAcgBvAHUAZwBoAEwAZQBhAGMAaABpAG4AZwBBAG4AZABSAHUAbgBvAGYAZgBfAFYAYQByAGkAYQB0AGkAbwBuACIALAAiAFMAbwB1AHIAYwBlAEQAYQB0AGEAXwBQAG8AdQBsAHQAcgB5AC4AUwBvAHUAcgBjAGUARABhAHQAYQBfAFAAbwB1AGwAdAByAHkAXwBGAHIAYQBjAHQAaQBvAG4ATwBmAE4AaQB0AHIAbwBnAGUAbgBMAG8AcwB0AFQAaAByAG8AdQBnAGgATABlAGEAYwBoAGkAbgBnAEEAbgBkAFIAdQBuAG8AZgBmAF8ARABhAHQAYQAiACwAIgBTAG8AdQByAGMAZQBEAGEAdABhAF8AUABvAHUAbAB0AHIAeQAuAFMAbwB1AHIAYwBlAEQAYQB0AGEAXwBQAG8AdQBsAHQAcgB5AF8ARgByAGEAYwBHAEEATQBTAFMAbwBpAGwAXwBUAGkAdABsAGUAIgAsACIAUwBvAHUAcgBjAGUARABhAHQAYQBfAFAAbwB1AGwAdAByAHkALgBTAG8AdQByAGMAZQBEAGEAdABhAF8AUABvAHUAbAB0AHIAeQBfAEYAcgBhAGMARwBBAE0AUwBTAG8AaQBsAF8AVgBhAHIAaQBhAGIAbABlACIALAAiAFMAbwB1AHIAYwBlAEQAYQB0AGEAXwBQAG8AdQBsAHQAcgB5AC4AUwBvAHUAcgBjAGUARABhAHQAYQBfAFAAbwB1AGwAdAByAHkAXwBGAHIAYQBjAEcAQQBNAFMAUwBvAGkAbABfAFUAbgBpAHQAIgAsACIAUwBvAHUAcgBjAGUARABhAHQAYQBfAFAAbwB1AGwAdAByAHkALgBTAG8AdQByAGMAZQBEAGEAdABhAF8AUABvAHUAbAB0AHIAeQBfAEYAcgBhAGMARwBBAE0AUwBTAG8AaQBsAF8AUwBvAHUAcgBjAGUAIgAsACIAUwBvAHUAcgBjAGUARABhAHQAYQBfAFAAbwB1AGwAdAByAHkALgBTAG8AdQByAGMAZQBEAGEAdABhAF8AUABvAHUAbAB0AHIAeQBfAEYAcgBhAGMARwBBAE0AUwBTAG8AaQBsAF8AVgBhAHIAaQBhAHQAaQBvAG4AIgAsACIAUwBvAHUAcgBjAGUARABhAHQAYQBfAFAAbwB1AGwAdAByAHkALgBTAG8AdQByAGMAZQBEAGEAdABhAF8AUABvAHUAbAB0AHIAeQBfAEYAcgBhAGMARwBBAE0AUwBTAG8AaQBsAF8ARABhAHQAYQAiACwAIgBTAG8AdQByAGMAZQBEAGEAdABhAF8AUABvAHUAbAB0AHIAeQAuAFMAbwB1AHIAYwBlAEQAYQB0AGEAXwBQAG8AdQBsAHQAcgB5AF8ATABpAHYAZQB3AGUAaQBnAGgAdABzAF8AVABpAHQAbABlACIALAAiAFMAbwB1AHIAYwBlAEQAYQB0AGEAXwBQAG8AdQBsAHQAcgB5AC4AUwBvAHUAcgBjAGUARABhAHQAYQBfAFAAbwB1AGwAdAByAHkAXwBMAGkAdgBlAHcAZQBpAGcAaAB0AHMAXwBVAG4AaQB0ACIALAAiAFMAbwB1AHIAYwBlAEQAYQB0AGEAXwBQAG8AdQBsAHQAcgB5AC4AUwBvAHUAcgBjAGUARABhAHQAYQBfAFAAbwB1AGwAdAByAHkAXwBMAGkAdgBlAHcAZQBpAGcAaAB0AHMAXwBTAG8AdQByAGMAZQAiACwAIgBTAG8AdQByAGMAZQBEAGEAdABhAF8AUABvAHUAbAB0AHIAeQAuAFMAbwB1AHIAYwBlAEQAYQB0AGEAXwBQAG8AdQBsAHQAcgB5AF8ATABpAHYAZQB3AGUAaQBnAGgAdABzAF8AVgBhAHIAaQBhAHQAaQBvAG4AIgAsACIAUwBvAHUAcgBjAGUARABhAHQAYQBfAFAAbwB1AGwAdAByAHkALgBTAG8AdQByAGMAZQBEAGEAdABhAF8AUABvAHUAbAB0AHIAeQBfAEwAaQB2AGUAdwBlAGkAZwBoAHQAcwBfAEQAYQB0AGEAIgAsACIAUwBjAG8AcABlADMAXwBFAHEAdQBhAHQAaQBvAG4AcwAuAFYARQBFAFIARwBfADEANQBfADEAXwAxAF8AMQBfAF8AMQBfAEUAbQBpAHMAcwBpAG8AbgBzAEYAcgBvAG0AUAB1AHIAYwBoAGEAcwBlAGQATABpAHYAZQBzAHQAbwBjAGsAIgAsACIAUwBjAG8AcABlADMAXwBFAHEAdQBhAHQAaQBvAG4AcwAuAFYARQBFAFIARwBfADEANQBfADEAXwAxAF8AMQBfAF8AMQBfAEUAbQBpAHMAcwBpAG8AbgBzAEYAcgBvAG0AUAB1AHIAYwBoAGEAcwBlAGQATABpAHYAZQBzAHQAbwBjAGsAXwBUAGkAdABsAGUAIgAsACIAUwBjAG8AcABlADMAXwBFAHEAdQBhAHQAaQBvAG4AcwAuAFYARQBFAFIARwBfADEANQBfADEAXwAxAF8AMQBfAF8AMQBfAEUAbQBpAHMAcwBpAG8AbgBzAEYAcgBvAG0AUAB1AHIAYwBoAGEAcwBlAGQATABpAHYAZQBzAHQAbwBjAGsAXwBWAGEAcgBpAGEAYgBsAGUAIgAsACIAUwBjAG8AcABlADMAXwBFAHEAdQBhAHQAaQBvAG4AcwAuAFYARQBFAFIARwBfADEANQBfADEAXwAxAF8AMQBfAF8AMQBfAEUAbQBpAHMAcwBpAG8AbgBzAEYAcgBvAG0AUAB1AHIAYwBoAGEAcwBlAGQATABpAHYAZQBzAHQAbwBjAGsAXwBVAG4AaQB0ACIALAAiAFMAYwBvAHAAZQAzAF8ARQBxAHUAYQB0AGkAbwBuAHMALgBWAEUARQBSAEcAXwAxADUAXwAxAF8AMQBfADEAXwBfADEAXwBFAG0AaQBzAHMAaQBvAG4AcwBGAHIAbwBtAFAAdQByAGMAaABhAHMAZQBkAEwAaQB2AGUAcwB0AG8AYwBrAF8AUwBvAHUAcgBjAGUAIgAsACIAUwBjAG8AcABlADMAXwBFAHEAdQBhAHQAaQBvAG4AcwAuAFYARQBFAFIARwBfADEANQBfADEAXwAxAF8AMQBfAF8AMQBfAEUAbQBpAHMAcwBpAG8AbgBzAEYAcgBvAG0AUAB1AHIAYwBoAGEAcwBlAGQATABpAHYAZQBzAHQAbwBjAGsAXwBOAEkAUgBSAGUAZgBlAHIAZQBuAGMAZQAiACwAIgBTAGMAbwBwAGUAMwBfAEUAcQB1AGEAdABpAG8AbgBzAC4AVgBFAEUAUgBHAF8AMQA1AF8AMQBfADEAXwAxAF8AXwAxAF8ARQBtAGkAcwBzAGkAbwBuAHMARgByAG8AbQBQAHUAcgBjAGgAYQBzAGUAZABMAGkAdgBlAHMAdABvAGMAawBfAEwAYQB0AGUAeABFAHEAdQBhAHQAaQBvAG4AIgAsACIAUwBjAG8AcABlADMAXwBFAHEAdQBhAHQAaQBvAG4AcwAuAFYARQBFAFIARwBfADEANQBfADEAXwAxAF8AMQBfAF8AMQBfAEUAbQBpAHMAcwBpAG8AbgBzAEYAcgBvAG0AUAB1AHIAYwBoAGEAcwBlAGQATABpAHYAZQBzAHQAbwBjAGsAXwBBAHIAZwB1AG0AZQBuAHQAcwAiACwAIgBTAGMAbwBwAGUAMwBfAEUAcQB1AGEAdABpAG8AbgBzAC4AVgBFAEUAUgBHAF8AMQA1AF8AMgBfADEAXwAxAF8AXwAxAF8ARQBtAGkAcwBzAGkAbwBuAHMARgByAG8AbQBQAHUAcgBjAGgAYQBzAGUAZABGAGUAZQBkACIALAAiAFMAYwBvAHAAZQAzAF8ARQBxAHUAYQB0AGkAbwBuAHMALgBWAEUARQBSAEcAXwAxADUAXwAyAF8AMQBfADEAXwBfADEAXwBFAG0AaQBzAHMAaQBvAG4AcwBGAHIAbwBtAFAAdQByAGMAaABhAHMAZQBkAEYAZQBlAGQAXwBUAGkAdABsAGUAIgAsACIAUwBjAG8AcABlADMAXwBFAHEAdQBhAHQAaQBvAG4AcwAuAFYARQBFAFIARwBfADEANQBfADIAXwAxAF8AMQBfAF8AMQBfAEUAbQBpAHMAcwBpAG8AbgBzAEYAcgBvAG0AUAB1AHIAYwBoAGEAcwBlAGQARgBlAGUAZABfAFYAYQByAGkAYQBiAGwAZQAiACwAIgBTAGMAbwBwAGUAMwBfAEUAcQB1AGEAdABpAG8AbgBzAC4AVgBFAEUAUgBHAF8AMQA1AF8AMgBfADEAXwAxAF8AXwAxAF8ARQBtAGkAcwBzAGkAbwBuAHMARgByAG8AbQBQAHUAcgBjAGgAYQBzAGUAZABGAGUAZQBkAF8AVQBuAGkAdAAiACwAIgBTAGMAbwBwAGUAMwBfAEUAcQB1AGEAdABpAG8AbgBzAC4AVgBFAEUAUgBHAF8AMQA1AF8AMgBfADEAXwAxAF8AXwAxAF8ARQBtAGkAcwBzAGkAbwBuAHMARgByAG8AbQBQAHUAcgBjAGgAYQBzAGUAZABGAGUAZQBkAF8AUwBvAHUAcgBjAGUAIgAsACIAUwBjAG8AcABlADMAXwBFAHEAdQBhAHQAaQBvAG4AcwAuAFYARQBFAFIARwBfADEANQBfADIAXwAxAF8AMQBfAF8AMQBfAEUAbQBpAHMAcwBpAG8AbgBzAEYAcgBvAG0AUAB1AHIAYwBoAGEAcwBlAGQARgBlAGUAZABfAE4ASQBSAFIAZQBmAGUAcgBlAG4AYwBlACIALAAiAFMAYwBvAHAAZQAzAF8ARQBxAHUAYQB0AGkAbwBuAHMALgBWAEUARQBSAEcAXwAxADUAXwAyAF8AMQBfADEAXwBfADEAXwBFAG0AaQBzAHMAaQBvAG4AcwBGAHIAbwBtAFAAdQByAGMAaABhAHMAZQBkAEYAZQBlAGQAXwBMAGEAdABlAHgARQBxAHUAYQB0AGkAbwBuACIALAAiAFMAYwBvAHAAZQAzAF8ARQBxAHUAYQB0AGkAbwBuAHMALgBWAEUARQBSAEcAXwAxADUAXwAyAF8AMQBfADEAXwBfADEAXwBFAG0AaQBzAHMAaQBvAG4AcwBGAHIAbwBtAFAAdQByAGMAaABhAHMAZQBkAEYAZQBlAGQAXwBBAHIAZwB1AG0AZQBuAHQAcwAiACwAIgBTAGMAbwBwAGUAMwBfAEUAcQB1AGEAdABpAG8AbgBzAC4AVgBFAEUAUgBHAF8AMQA1AF8AMwBfADEAXwAxAF8AXwAxAF8ARQBtAGkAcwBzAGkAbwBuAHMARgByAG8AbQBQAHUAcgBjAGgAYQBzAGUAZABNAGkAbgBlAHIAYQBsAFMAdQBwAHAAbABlAG0AZQBuAHQAcwAiACwAIgBTAGMAbwBwAGUAMwBfAEUAcQB1AGEAdABpAG8AbgBzAC4AVgBFAEUAUgBHAF8AMQA1AF8AMwBfADEAXwAxAF8AXwAxAF8ARQBtAGkAcwBzAGkAbwBuAHMARgByAG8AbQBQAHUAcgBjAGgAYQBzAGUAZABNAGkAbgBlAHIAYQBsAFMAdQBwAHAAbABlAG0AZQBuAHQAcwBfAFQAaQB0AGwAZQAiACwAIgBTAGMAbwBwAGUAMwBfAEUAcQB1AGEAdABpAG8AbgBzAC4AVgBFAEUAUgBHAF8AMQA1AF8AMwBfADEAXwAxAF8AXwAxAF8ARQBtAGkAcwBzAGkAbwBuAHMARgByAG8AbQBQAHUAcgBjAGgAYQBzAGUAZABNAGkAbgBlAHIAYQBsAFMAdQBwAHAAbABlAG0AZQBuAHQAcwBfAFYAYQByAGkAYQBiAGwAZQAiACwAIgBTAGMAbwBwAGUAMwBfAEUAcQB1AGEAdABpAG8AbgBzAC4AVgBFAEUAUgBHAF8AMQA1AF8AMwBfADEAXwAxAF8AXwAxAF8ARQBtAGkAcwBzAGkAbwBuAHMARgByAG8AbQBQAHUAcgBjAGgAYQBzAGUAZABNAGkAbgBlAHIAYQBsAFMAdQBwAHAAbABlAG0AZQBuAHQAcwBfAFUAbgBpAHQAIgAsACIAUwBjAG8AcABlADMAXwBFAHEAdQBhAHQAaQBvAG4AcwAuAFYARQBFAFIARwBfADEANQBfADMAXwAxAF8AMQBfAF8AMQBfAEUAbQBpAHMAcwBpAG8AbgBzAEYAcgBvAG0AUAB1AHIAYwBoAGEAcwBlAGQATQBpAG4AZQByAGEAbABTAHUAcABwAGwAZQBtAGUAbgB0AHMAXwBTAG8AdQByAGMAZQAiACwAIgBTAGMAbwBwAGUAMwBfAEUAcQB1AGEAdABpAG8AbgBzAC4AVgBFAEUAUgBHAF8AMQA1AF8AMwBfADEAXwAxAF8AXwAxAF8ARQBtAGkAcwBzAGkAbwBuAHMARgByAG8AbQBQAHUAcgBjAGgAYQBzAGUAZABNAGkAbgBlAHIAYQBsAFMAdQBwAHAAbABlAG0AZQBuAHQAcwBfAE4ASQBSAFIAZQBmAGUAcgBlAG4AYwBlACIALAAiAFMAYwBvAHAAZQAzAF8ARQBxAHUAYQB0AGkAbwBuAHMALgBWAEUARQBSAEcAXwAxADUAXwAzAF8AMQBfADEAXwBfADEAXwBFAG0AaQBzAHMAaQBvAG4AcwBGAHIAbwBtAFAAdQByAGMAaABhAHMAZQBkAE0AaQBuAGUAcgBhAGwAUwB1AHAAcABsAGUAbQBlAG4AdABzAF8ATABhAHQAZQB4AEUAcQB1AGEAdABpAG8AbgAiACwAIgBTAGMAbwBwAGUAMwBfAEUAcQB1AGEAdABpAG8AbgBzAC4AVgBFAEUAUgBHAF8AMQA1AF8AMwBfADEAXwAxAF8AXwAxAF8ARQBtAGkAcwBzAGkAbwBuAHMARgByAG8AbQBQAHUAcgBjAGgAYQBzAGUAZABNAGkAbgBlAHIAYQBsAFMAdQBwAHAAbABlAG0AZQBuAHQAcwBfAEEAcgBnAHUAbQBlAG4AdABzACIALAAiAFMAYwBvAHAAZQAzAF8ARQBxAHUAYQB0AGkAbwBuAHMALgBWAEUARQBSAEcAXwAxADUAXwA0AF8AMQBfADEAXwBfADEAXwBFAG0AaQBzAHMAaQBvAG4AcwBGAHIAbwBtAFAAdQByAGMAaABhAHMAZQBkAEYAZQByAHQAaQBsAGkAcwBlAHIAIgAsACIAUwBjAG8AcABlADMAXwBFAHEAdQBhAHQAaQBvAG4AcwAuAFYARQBFAFIARwBfADEANQBfADQAXwAxAF8AMQBfAF8AMQBfAEUAbQBpAHMAcwBpAG8AbgBzAEYAcgBvAG0AUAB1AHIAYwBoAGEAcwBlAGQARgBlAHIAdABpAGwAaQBzAGUAcgBfAFQAaQB0AGwAZQAiACwAIgBTAGMAbwBwAGUAMwBfAEUAcQB1AGEAdABpAG8AbgBzAC4AVgBFAEUAUgBHAF8AMQA1AF8ANABfADEAXwAxAF8AXwAxAF8ARQBtAGkAcwBzAGkAbwBuAHMARgByAG8AbQBQAHUAcgBjAGgAYQBzAGUAZABGAGUAcgB0AGkAbABpAHMAZQByAF8AVgBhAHIAaQBhAGIAbABlACIALAAiAFMAYwBvAHAAZQAzAF8ARQBxAHUAYQB0AGkAbwBuAHMALgBWAEUARQBSAEcAXwAxADUAXwA0AF8AMQBfADEAXwBfADEAXwBFAG0AaQBzAHMAaQBvAG4AcwBGAHIAbwBtAFAAdQByAGMAaABhAHMAZQBkAEYAZQByAHQAaQBsAGkAcwBlAHIAXwBVAG4AaQB0ACIALAAiAFMAYwBvAHAAZQAzAF8ARQBxAHUAYQB0AGkAbwBuAHMALgBWAEUARQBSAEcAXwAxADUAXwA0AF8AMQBfADEAXwBfADEAXwBFAG0AaQBzAHMAaQBvAG4AcwBGAHIAbwBtAFAAdQByAGMAaABhAHMAZQBkAEYAZQByAHQAaQBsAGkAcwBlAHIAXwBTAG8AdQByAGMAZQAiACwAIgBTAGMAbwBwAGUAMwBfAEUAcQB1AGEAdABpAG8AbgBzAC4AVgBFAEUAUgBHAF8AMQA1AF8ANABfADEAXwAxAF8AXwAxAF8ARQBtAGkAcwBzAGkAbwBuAHMARgByAG8AbQBQAHUAcgBjAGgAYQBzAGUAZABGAGUAcgB0AGkAbABpAHMAZQByAF8ATgBJAFIAUgBlAGYAZQByAGUAbgBjAGUAIgAsACIAUwBjAG8AcABlADMAXwBFAHEAdQBhAHQAaQBvAG4AcwAuAFYARQBFAFIARwBfADEANQBfADQAXwAxAF8AMQBfAF8AMQBfAEUAbQBpAHMAcwBpAG8AbgBzAEYAcgBvAG0AUAB1AHIAYwBoAGEAcwBlAGQARgBlAHIAdABpAGwAaQBzAGUAcgBfAEwAYQB0AGUAeABFAHEAdQBhAHQAaQBvAG4AIgAsACIAUwBjAG8AcABlADMAXwBFAHEAdQBhAHQAaQBvAG4AcwAuAFYARQBFAFIARwBfADEANQBfADQAXwAxAF8AMQBfAF8AMQBfAEUAbQBpAHMAcwBpAG8AbgBzAEYAcgBvAG0AUAB1AHIAYwBoAGEAcwBlAGQARgBlAHIAdABpAGwAaQBzAGUAcgBfAEEAcgBnAHUAbQBlAG4AdABzACIALAAiAFMAYwBvAHAAZQAzAF8ARQBxAHUAYQB0AGkAbwBuAHMALgBWAEUARQBSAEcAXwAxADUAXwA0AF8AMQBfADEAXwBfADIAXwBFAG0AaQBzAHMAaQBvAG4AcwBGAHIAbwBtAFAAdQByAGMAaABhAHMAZQBkAEYAZQByAHQAaQBsAGkAcwBlAHIAQwBvAG0AcABvAG4AZQBuAHQAcwAiACwAIgBTAGMAbwBwAGUAMwBfAEUAcQB1AGEAdABpAG8AbgBzAC4AVgBFAEUAUgBHAF8AMQA1AF8ANABfADEAXwAxAF8AXwAyAF8ARQBtAGkAcwBzAGkAbwBuAHMARgByAG8AbQBQAHUAcgBjAGgAYQBzAGUAZABGAGUAcgB0AGkAbABpAHMAZQByAEMAbwBtAHAAbwBuAGUAbgB0AHMAVgBhAHIAaQBhAHQAaQBvAG4AIgAsACIAUwBjAG8AcABlADMAXwBFAHEAdQBhAHQAaQBvAG4AcwAuAFYARQBFAFIARwBfADEANQBfADQAXwAxAF8AMQBfAF8AMgBfAEUAbQBpAHMAcwBpAG8AbgBzAEYAcgBvAG0AUAB1AHIAYwBoAGEAcwBlAGQARgBlAHIAdABpAGwAaQBzAGUAcgBDAG8AbQBwAG8AbgBlAG4AdABzAF8AVABpAHQAbABlACIALAAiAFMAYwBvAHAAZQAzAF8ARQBxAHUAYQB0AGkAbwBuAHMALgBWAEUARQBSAEcAXwAxADUAXwA0AF8AMQBfADEAXwBfADIAXwBFAG0AaQBzAHMAaQBvAG4AcwBGAHIAbwBtAFAAdQByAGMAaABhAHMAZQBkAEYAZQByAHQAaQBsAGkAcwBlAHIAQwBvAG0AcABvAG4AZQBuAHQAcwBfAFYAYQByAGkAYQBiAGwAZQAiACwAIgBTAGMAbwBwAGUAMwBfAEUAcQB1AGEAdABpAG8AbgBzAC4AVgBFAEUAUgBHAF8AMQA1AF8ANABfADEAXwAxAF8AXwAyAF8ARQBtAGkAcwBzAGkAbwBuAHMARgByAG8AbQBQAHUAcgBjAGgAYQBzAGUAZABGAGUAcgB0AGkAbABpAHMAZQByAEMAbwBtAHAAbwBuAGUAbgB0AHMAXwBVAG4AaQB0ACIALAAiAFMAYwBvAHAAZQAzAF8ARQBxAHUAYQB0AGkAbwBuAHMALgBWAEUARQBSAEcAXwAxADUAXwA0AF8AMQBfADEAXwBfADIAXwBFAG0AaQBzAHMAaQBvAG4AcwBGAHIAbwBtAFAAdQByAGMAaABhAHMAZQBkAEYAZQByAHQAaQBsAGkAcwBlAHIAQwBvAG0AcABvAG4AZQBuAHQAcwBfAFMAbwB1AHIAYwBlACIALAAiAFMAYwBvAHAAZQAzAF8ARQBxAHUAYQB0AGkAbwBuAHMALgBWAEUARQBSAEcAXwAxADUAXwA0AF8AMQBfADEAXwBfADIAXwBFAG0AaQBzAHMAaQBvAG4AcwBGAHIAbwBtAFAAdQByAGMAaABhAHMAZQBkAEYAZQByAHQAaQBsAGkAcwBlAHIAQwBvAG0AcABvAG4AZQBuAHQAcwBfAE4ASQBSAFIAZQBmAGUAcgBlAG4AYwBlACIALAAiAFMAYwBvAHAAZQAzAF8ARQBxAHUAYQB0AGkAbwBuAHMALgBWAEUARQBSAEcAXwAxADUAXwA0AF8AMQBfADEAXwBfADIAXwBFAG0AaQBzAHMAaQBvAG4AcwBGAHIAbwBtAFAAdQByAGMAaABhAHMAZQBkAEYAZQByAHQAaQBsAGkAcwBlAHIAQwBvAG0AcABvAG4AZQBuAHQAcwBfAEwAYQB0AGUAeABFAHEAdQBhAHQAaQBvAG4AIgAsACIAUwBjAG8AcABlADMAXwBFAHEAdQBhAHQAaQBvAG4AcwAuAFYARQBFAFIARwBfADEANQBfADQAXwAxAF8AMQBfAF8AMgBfAEUAbQBpAHMAcwBpAG8AbgBzAEYAcgBvAG0AUAB1AHIAYwBoAGEAcwBlAGQARgBlAHIAdABpAGwAaQBzAGUAcgBDAG8AbQBwAG8AbgBlAG4AdABzAF8ATABhAHQAZQB4AEUAcQB1AGEAdABpAG8AbgBWAGEAcgBpAGEAdABpAG8AbgAiACwAIgBTAGMAbwBwAGUAMwBfAEUAcQB1AGEAdABpAG8AbgBzAC4AVgBFAEUAUgBHAF8AMQA1AF8ANABfADEAXwAxAF8AXwAyAF8ARQBtAGkAcwBzAGkAbwBuAHMARgByAG8AbQBQAHUAcgBjAGgAYQBzAGUAZABGAGUAcgB0AGkAbABpAHMAZQByAEMAbwBtAHAAbwBuAGUAbgB0AHMAXwBBAHIAZwB1AG0AZQBuAHQAcwAiACwAIgBTAGMAbwBwAGUAMwBfAEUAcQB1AGEAdABpAG8AbgBzAC4AVgBFAEUAUgBHAF8AMQA1AF8ANABfADEAXwAxAF8AXwAyAF8ARQBtAGkAcwBzAGkAbwBuAHMARgByAG8AbQBQAHUAcgBjAGgAYQBzAGUAZABGAGUAcgB0AGkAbABpAHMAZQByAEMAbwBtAHAAbwBuAGUAbgB0AHMAXwBWAGEAcgBpAGEAdABpAG8AbgAiACwAIgBTAGMAbwBwAGUAMwBfAEUAcQB1AGEAdABpAG8AbgBzAC4AVgBFAEUAUgBHAF8AMQA1AF8ANABfADEAXwAxAF8AXwBYAF8ARQBtAGkAcwBzAGkAbwBuAEYAYQBjAHQAbwByAEYAcgBvAG0AUAB1AHIAYwBoAGEAcwBlAGQARgBlAHIAdABpAGwAaQBzAGUAcgBDAG8AbQBwAG8AbgBlAG4AdABzACIALAAiAFMAYwBvAHAAZQAzAF8ARQBxAHUAYQB0AGkAbwBuAHMALgBWAEUARQBSAEcAXwAxADUAXwA0AF8AMQBfADEAXwBfAFgAXwBFAG0AaQBzAHMAaQBvAG4ARgBhAGMAdABvAHIARgByAG8AbQBQAHUAcgBjAGgAYQBzAGUAZABGAGUAcgB0AGkAbABpAHMAZQByAEMAbwBtAHAAbwBuAGUAbgB0AHMAXwBUAGkAdABsAGUAIgAsACIAUwBjAG8AcABlADMAXwBFAHEAdQBhAHQAaQBvAG4AcwAuAFYARQBFAFIARwBfADEANQBfADQAXwAxAF8AMQBfAF8AWABfAEUAbQBpAHMAcwBpAG8AbgBGAGEAYwB0AG8AcgBGAHIAbwBtAFAAdQByAGMAaABhAHMAZQBkAEYAZQByAHQAaQBsAGkAcwBlAHIAQwBvAG0AcABvAG4AZQBuAHQAcwBfAFYAYQByAGkAYQBiAGwAZQAiACwAIgBTAGMAbwBwAGUAMwBfAEUAcQB1AGEAdABpAG8AbgBzAC4AVgBFAEUAUgBHAF8AMQA1AF8ANABfADEAXwAxAF8AXwBYAF8ARQBtAGkAcwBzAGkAbwBuAEYAYQBjAHQAbwByAEYAcgBvAG0AUAB1AHIAYwBoAGEAcwBlAGQARgBlAHIAdABpAGwAaQBzAGUAcgBDAG8AbQBwAG8AbgBlAG4AdABzAF8AVQBuAGkAdAAiACwAIgBTAGMAbwBwAGUAMwBfAEUAcQB1AGEAdABpAG8AbgBzAC4AVgBFAEUAUgBHAF8AMQA1AF8ANABfADEAXwAxAF8AXwBYAF8ARQBtAGkAcwBzAGkAbwBuAEYAYQBjAHQAbwByAEYAcgBvAG0AUAB1AHIAYwBoAGEAcwBlAGQARgBlAHIAdABpAGwAaQBzAGUAcgBDAG8AbQBwAG8AbgBlAG4AdABzAF8AUwBvAHUAcgBjAGUAIgAsACIAUwBjAG8AcABlADMAXwBFAHEAdQBhAHQAaQBvAG4AcwAuAFYARQBFAFIARwBfADEANQBfADQAXwAxAF8AMQBfAF8AWABfAEUAbQBpAHMAcwBpAG8AbgBGAGEAYwB0AG8AcgBGAHIAbwBtAFAAdQByAGMAaABhAHMAZQBkAEYAZQByAHQAaQBsAGkAcwBlAHIAQwBvAG0AcABvAG4AZQBuAHQAcwBfAE4ASQBSAFIAZQBmAGUAcgBlAG4AYwBlACIALAAiAFMAYwBvAHAAZQAzAF8ARQBxAHUAYQB0AGkAbwBuAHMALgBWAEUARQBSAEcAXwAxADUAXwA0AF8AMQBfADEAXwBfAFgAXwBFAG0AaQBzAHMAaQBvAG4ARgBhAGMAdABvAHIARgByAG8AbQBQAHUAcgBjAGgAYQBzAGUAZABGAGUAcgB0AGkAbABpAHMAZQByAEMAbwBtAHAAbwBuAGUAbgB0AHMAXwBMAGEAdABlAHgARQBxAHUAYQB0AGkAbwBuACIALAAiAFMAYwBvAHAAZQAzAF8ARQBxAHUAYQB0AGkAbwBuAHMALgBWAEUARQBSAEcAXwAxADUAXwA0AF8AMQBfADEAXwBfAFgAXwBFAG0AaQBzAHMAaQBvAG4ARgBhAGMAdABvAHIARgByAG8AbQBQAHUAcgBjAGgAYQBzAGUAZABGAGUAcgB0AGkAbABpAHMAZQByAEMAbwBtAHAAbwBuAGUAbgB0AHMAXwBBAHIAZwB1AG0AZQBuAHQAcwAiACwAIgBTAGMAbwBwAGUAMwBfAEUAcQB1AGEAdABpAG8AbgBzAC4AVgBFAEUAUgBHAF8AMQA1AF8ANABfADEAXwAxAF8AXwBYAF8ARQBtAGkAcwBzAGkAbwBuAEYAYQBjAHQAbwByAEYAcgBvAG0AUAB1AHIAYwBoAGEAcwBlAGQARgBlAHIAdABpAGwAaQBzAGUAcgBDAG8AbQBwAG8AbgBlAG4AdABzAF8AVgBhAHIAaQBhAHQAaQBvAG4AIgAsACIAUwBjAG8AcABlADMAXwBFAHEAdQBhAHQAaQBvAG4AcwAuAFYARQBFAFIARwBfADEANQBfADUAXwAxAF8AMQBfAF8AMQBfAEUAbQBpAHMAcwBpAG8AbgBzAEYAcgBvAG0AUAB1AHIAYwBoAGEAcwBlAGQAQQBnAHIAaQBjAGgAZQBtAGkAYwBhAGwAcwAiACwAIgBTAGMAbwBwAGUAMwBfAEUAcQB1AGEAdABpAG8AbgBzAC4AVgBFAEUAUgBHAF8AMQA1AF8ANQBfADEAXwAxAF8AXwAxAF8ARQBtAGkAcwBzAGkAbwBuAHMARgByAG8AbQBQAHUAcgBjAGgAYQBzAGUAZABBAGcAcgBpAGMAaABlAG0AaQBjAGEAbABzAF8AVABpAHQAbABlACIALAAiAFMAYwBvAHAAZQAzAF8ARQBxAHUAYQB0AGkAbwBuAHMALgBWAEUARQBSAEcAXwAxADUAXwA1AF8AMQBfADEAXwBfADEAXwBFAG0AaQBzAHMAaQBvAG4AcwBGAHIAbwBtAFAAdQByAGMAaABhAHMAZQBkAEEAZwByAGkAYwBoAGUAbQBpAGMAYQBsAHMAXwBWAGEAcgBpAGEAYgBsAGUAIgAsACIAUwBjAG8AcABlADMAXwBFAHEAdQBhAHQAaQBvAG4AcwAuAFYARQBFAFIARwBfADEANQBfADUAXwAxAF8AMQBfAF8AMQBfAEUAbQBpAHMAcwBpAG8AbgBzAEYAcgBvAG0AUAB1AHIAYwBoAGEAcwBlAGQAQQBnAHIAaQBjAGgAZQBtAGkAYwBhAGwAcwBfAFUAbgBpAHQAIgAsACIAUwBjAG8AcABlADMAXwBFAHEAdQBhAHQAaQBvAG4AcwAuAFYARQBFAFIARwBfADEANQBfADUAXwAxAF8AMQBfAF8AMQBfAEUAbQBpAHMAcwBpAG8AbgBzAEYAcgBvAG0AUAB1AHIAYwBoAGEAcwBlAGQAQQBnAHIAaQBjAGgAZQBtAGkAYwBhAGwAcwBfAFMAbwB1AHIAYwBlACIALAAiAFMAYwBvAHAAZQAzAF8ARQBxAHUAYQB0AGkAbwBuAHMALgBWAEUARQBSAEcAXwAxADUAXwA1AF8AMQBfADEAXwBfADEAXwBFAG0AaQBzAHMAaQBvAG4AcwBGAHIAbwBtAFAAdQByAGMAaABhAHMAZQBkAEEAZwByAGkAYwBoAGUAbQBpAGMAYQBsAHMAXwBOAEkAUgBSAGUAZgBlAHIAZQBuAGMAZQAiACwAIgBTAGMAbwBwAGUAMwBfAEUAcQB1AGEAdABpAG8AbgBzAC4AVgBFAEUAUgBHAF8AMQA1AF8ANQBfADEAXwAxAF8AXwAxAF8ARQBtAGkAcwBzAGkAbwBuAHMARgByAG8AbQBQAHUAcgBjAGgAYQBzAGUAZABBAGcAcgBpAGMAaABlAG0AaQBjAGEAbABzAF8ATABhAHQAZQB4AEUAcQB1AGEAdABpAG8AbgAiACwAIgBTAGMAbwBwAGUAMwBfAEUAcQB1AGEAdABpAG8AbgBzAC4AVgBFAEUAUgBHAF8AMQA1AF8ANQBfADEAXwAxAF8AXwAxAF8ARQBtAGkAcwBzAGkAbwBuAHMARgByAG8AbQBQAHUAcgBjAGgAYQBzAGUAZABBAGcAcgBpAGMAaABlAG0AaQBjAGEAbABzAF8AQQByAGcAdQBtAGUAbgB0AHMAIgAsACIAUwBjAG8AcABlADMAXwBFAHEAdQBhAHQAaQBvAG4AcwAuAFYARQBFAFIARwBfADEANQBfADYAXwAxAF8AMQBfAF8AMQBfAEUAbQBpAHMAcwBpAG8AbgBzAEYAcgBvAG0AUAB1AHIAYwBoAGEAcwBlAGQATABpAG0AZQAiACwAIgBTAGMAbwBwAGUAMwBfAEUAcQB1AGEAdABpAG8AbgBzAC4AVgBFAEUAUgBHAF8AMQA1AF8ANgBfADEAXwAxAF8AXwAxAF8ARQBtAGkAcwBzAGkAbwBuAHMARgByAG8AbQBQAHUAcgBjAGgAYQBzAGUAZABMAGkAbQBlAF8AVABpAHQAbABlACIALAAiAFMAYwBvAHAAZQAzAF8ARQBxAHUAYQB0AGkAbwBuAHMALgBWAEUARQBSAEcAXwAxADUAXwA2AF8AMQBfADEAXwBfADEAXwBFAG0AaQBzAHMAaQBvAG4AcwBGAHIAbwBtAFAAdQByAGMAaABhAHMAZQBkAEwAaQBtAGUAXwBWAGEAcgBpAGEAYgBsAGUAIgAsACIAUwBjAG8AcABlADMAXwBFAHEAdQBhAHQAaQBvAG4AcwAuAFYARQBFAFIARwBfADEANQBfADYAXwAxAF8AMQBfAF8AMQBfAEUAbQBpAHMAcwBpAG8AbgBzAEYAcgBvAG0AUAB1AHIAYwBoAGEAcwBlAGQATABpAG0AZQBfAFUAbgBpAHQAIgAsACIAUwBjAG8AcABlADMAXwBFAHEAdQBhAHQAaQBvAG4AcwAuAFYARQBFAFIARwBfADEANQBfADYAXwAxAF8AMQBfAF8AMQBfAEUAbQBpAHMAcwBpAG8AbgBzAEYAcgBvAG0AUAB1AHIAYwBoAGEAcwBlAGQATABpAG0AZQBfAFMAbwB1AHIAYwBlACIALAAiAFMAYwBvAHAAZQAzAF8ARQBxAHUAYQB0AGkAbwBuAHMALgBWAEUARQBSAEcAXwAxADUAXwA2AF8AMQBfADEAXwBfADEAXwBFAG0AaQBzAHMAaQBvAG4AcwBGAHIAbwBtAFAAdQByAGMAaABhAHMAZQBkAEwAaQBtAGUAXwBOAEkAUgBSAGUAZgBlAHIAZQBuAGMAZQAiACwAIgBTAGMAbwBwAGUAMwBfAEUAcQB1AGEAdABpAG8AbgBzAC4AVgBFAEUAUgBHAF8AMQA1AF8ANgBfADEAXwAxAF8AXwAxAF8ARQBtAGkAcwBzAGkAbwBuAHMARgByAG8AbQBQAHUAcgBjAGgAYQBzAGUAZABMAGkAbQBlAF8ATABhAHQAZQB4AEUAcQB1AGEAdABpAG8AbgAiACwAIgBTAGMAbwBwAGUAMwBfAEUAcQB1AGEAdABpAG8AbgBzAC4AVgBFAEUAUgBHAF8AMQA1AF8ANgBfADEAXwAxAF8AXwAxAF8ARQBtAGkAcwBzAGkAbwBuAHMARgByAG8AbQBQAHUAcgBjAGgAYQBzAGUAZABMAGkAbQBlAF8AQQByAGcAdQBtAGUAbgB0AHMAIgAsACIAUwBjAG8AcABlADMAXwBFAHEAdQBhAHQAaQBvAG4AcwAuAFYARQBFAFIARwBfADEANQBfADcAXwAxAF8AMQBfAF8AMQBfAEUAbQBpAHMAcwBpAG8AbgBzAEYAcgBvAG0AUAB1AHIAYwBoAGEAcwBlAGQAUwBlAHIAdgBpAGMAZQBzACIALAAiAFMAYwBvAHAAZQAzAF8ARQBxAHUAYQB0AGkAbwBuAHMALgBWAEUARQBSAEcAXwAxADUAXwA3AF8AMQBfADEAXwBfADEAXwBFAG0AaQBzAHMAaQBvAG4AcwBGAHIAbwBtAFAAdQByAGMAaABhAHMAZQBkAFMAZQByAHYAaQBjAGUAcwBfAFQAaQB0AGwAZQAiACwAIgBTAGMAbwBwAGUAMwBfAEUAcQB1AGEAdABpAG8AbgBzAC4AVgBFAEUAUgBHAF8AMQA1AF8ANwBfADEAXwAxAF8AXwAxAF8ARQBtAGkAcwBzAGkAbwBuAHMARgByAG8AbQBQAHUAcgBjAGgAYQBzAGUAZABTAGUAcgB2AGkAYwBlAHMAXwBWAGEAcgBpAGEAYgBsAGUAIgAsACIAUwBjAG8AcABlADMAXwBFAHEAdQBhAHQAaQBvAG4AcwAuAFYARQBFAFIARwBfADEANQBfADcAXwAxAF8AMQBfAF8AMQBfAEUAbQBpAHMAcwBpAG8AbgBzAEYAcgBvAG0AUAB1AHIAYwBoAGEAcwBlAGQAUwBlAHIAdgBpAGMAZQBzAF8AVQBuAGkAdAAiACwAIgBTAGMAbwBwAGUAMwBfAEUAcQB1AGEAdABpAG8AbgBzAC4AVgBFAEUAUgBHAF8AMQA1AF8ANwBfADEAXwAxAF8AXwAxAF8ARQBtAGkAcwBzAGkAbwBuAHMARgByAG8AbQBQAHUAcgBjAGgAYQBzAGUAZABTAGUAcgB2AGkAYwBlAHMAXwBTAG8AdQByAGMAZQAiACwAIgBTAGMAbwBwAGUAMwBfAEUAcQB1AGEAdABpAG8AbgBzAC4AVgBFAEUAUgBHAF8AMQA1AF8ANwBfADEAXwAxAF8AXwAxAF8ARQBtAGkAcwBzAGkAbwBuAHMARgByAG8AbQBQAHUAcgBjAGgAYQBzAGUAZABTAGUAcgB2AGkAYwBlAHMAXwBOAEkAUgBSAGUAZgBlAHIAZQBuAGMAZQAiACwAIgBTAGMAbwBwAGUAMwBfAEUAcQB1AGEAdABpAG8AbgBzAC4AVgBFAEUAUgBHAF8AMQA1AF8ANwBfADEAXwAxAF8AXwAxAF8ARQBtAGkAcwBzAGkAbwBuAHMARgByAG8AbQBQAHUAcgBjAGgAYQBzAGUAZABTAGUAcgB2AGkAYwBlAHMAXwBMAGEAdABlAHgARQBxAHUAYQB0AGkAbwBuACIALAAiAFMAYwBvAHAAZQAzAF8ARQBxAHUAYQB0AGkAbwBuAHMALgBWAEUARQBSAEcAXwAxADUAXwA3AF8AMQBfADEAXwBfADEAXwBFAG0AaQBzAHMAaQBvAG4AcwBGAHIAbwBtAFAAdQByAGMAaABhAHMAZQBkAFMAZQByAHYAaQBjAGUAcwBfAEEAcgBnAHUAbQBlAG4AdABzACIALAAiAFMAYwBvAHAAZQAzAF8ARQBxAHUAYQB0AGkAbwBuAHMALgBWAEUARQBSAEcAXwAxADUAXwA4AF8AMQBfADEAXwBfADEAXwBFAG0AaQBzAHMAaQBvAG4AcwBGAHIAbwBtAFAAdQByAGMAaABhAHMAZQBkAFAAYQBjAGsAYQBnAGkAbgBnACIALAAiAFMAYwBvAHAAZQAzAF8ARQBxAHUAYQB0AGkAbwBuAHMALgBWAEUARQBSAEcAXwAxADUAXwA4AF8AMQBfADEAXwBfADEAXwBFAG0AaQBzAHMAaQBvAG4AcwBGAHIAbwBtAFAAdQByAGMAaABhAHMAZQBkAFAAYQBjAGsAYQBnAGkAbgBnAF8AVABpAHQAbABlACIALAAiAFMAYwBvAHAAZQAzAF8ARQBxAHUAYQB0AGkAbwBuAHMALgBWAEUARQBSAEcAXwAxADUAXwA4AF8AMQBfADEAXwBfADEAXwBFAG0AaQBzAHMAaQBvAG4AcwBGAHIAbwBtAFAAdQByAGMAaABhAHMAZQBkAFAAYQBjAGsAYQBnAGkAbgBnAF8AVgBhAHIAaQBhAGIAbABlACIALAAiAFMAYwBvAHAAZQAzAF8ARQBxAHUAYQB0AGkAbwBuAHMALgBWAEUARQBSAEcAXwAxADUAXwA4AF8AMQBfADEAXwBfADEAXwBFAG0AaQBzAHMAaQBvAG4AcwBGAHIAbwBtAFAAdQByAGMAaABhAHMAZQBkAFAAYQBjAGsAYQBnAGkAbgBnAF8AVQBuAGkAdAAiACwAIgBTAGMAbwBwAGUAMwBfAEUAcQB1AGEAdABpAG8AbgBzAC4AVgBFAEUAUgBHAF8AMQA1AF8AOABfADEAXwAxAF8AXwAxAF8ARQBtAGkAcwBzAGkAbwBuAHMARgByAG8AbQBQAHUAcgBjAGgAYQBzAGUAZABQAGEAYwBrAGEAZwBpAG4AZwBfAFMAbwB1AHIAYwBlACIALAAiAFMAYwBvAHAAZQAzAF8ARQBxAHUAYQB0AGkAbwBuAHMALgBWAEUARQBSAEcAXwAxADUAXwA4AF8AMQBfADEAXwBfADEAXwBFAG0AaQBzAHMAaQBvAG4AcwBGAHIAbwBtAFAAdQByAGMAaABhAHMAZQBkAFAAYQBjAGsAYQBnAGkAbgBnAF8ATgBJAFIAUgBlAGYAZQByAGUAbgBjAGUAIgAsACIAUwBjAG8AcABlADMAXwBFAHEAdQBhAHQAaQBvAG4AcwAuAFYARQBFAFIARwBfADEANQBfADgAXwAxAF8AMQBfAF8AMQBfAEUAbQBpAHMAcwBpAG8AbgBzAEYAcgBvAG0AUAB1AHIAYwBoAGEAcwBlAGQAUABhAGMAawBhAGcAaQBuAGcAXwBMAGEAdABlAHgARQBxAHUAYQB0AGkAbwBuACIALAAiAFMAYwBvAHAAZQAzAF8ARQBxAHUAYQB0AGkAbwBuAHMALgBWAEUARQBSAEcAXwAxADUAXwA4AF8AMQBfADEAXwBfADEAXwBFAG0AaQBzAHMAaQBvAG4AcwBGAHIAbwBtAFAAdQByAGMAaABhAHMAZQBkAFAAYQBjAGsAYQBnAGkAbgBnAF8AQQByAGcAdQBtAGUAbgB0AHMAIgAsACIAUwBjAG8AcABlADMAXwBFAHEAdQBhAHQAaQBvAG4AcwAuAFYARQBFAFIARwBfADEANQBfADgAXwAxAF8AMQBfAF8AMQBfAEUAbQBpAHMAcwBpAG8AbgBzAEYAcgBvAG0AUAB1AHIAYwBoAGEAcwBlAGQAUABhAGMAawBhAGcAaQBuAGcAXwBWAGEAcgBpAGEAdABpAG8AbgAiACwAIgBTAGMAbwBwAGUAMwBfAEUAcQB1AGEAdABpAG8AbgBzAC4AVgBFAEUAUgBHAF8AMQA1AF8AOQBfADEAXwAxAF8AXwAxAF8ARQBtAGkAcwBzAGkAbwBuAHMARgByAG8AbQBQAHUAcgBjAGgAYQBzAGUAZABHAHIAbwB3AE0AZQBkAGkAYQAiACwAIgBTAGMAbwBwAGUAMwBfAEUAcQB1AGEAdABpAG8AbgBzAC4AVgBFAEUAUgBHAF8AMQA1AF8AOQBfADEAXwAxAF8AXwAxAF8ARQBtAGkAcwBzAGkAbwBuAHMARgByAG8AbQBQAHUAcgBjAGgAYQBzAGUAZABHAHIAbwB3AE0AZQBkAGkAYQBfAFQAaQB0AGwAZQAiACwAIgBTAGMAbwBwAGUAMwBfAEUAcQB1AGEAdABpAG8AbgBzAC4AVgBFAEUAUgBHAF8AMQA1AF8AOQBfADEAXwAxAF8AXwAxAF8ARQBtAGkAcwBzAGkAbwBuAHMARgByAG8AbQBQAHUAcgBjAGgAYQBzAGUAZABHAHIAbwB3AE0AZQBkAGkAYQBfAFYAYQByAGkAYQBiAGwAZQAiACwAIgBTAGMAbwBwAGUAMwBfAEUAcQB1AGEAdABpAG8AbgBzAC4AVgBFAEUAUgBHAF8AMQA1AF8AOQBfADEAXwAxAF8AXwAxAF8ARQBtAGkAcwBzAGkAbwBuAHMARgByAG8AbQBQAHUAcgBjAGgAYQBzAGUAZABHAHIAbwB3AE0AZQBkAGkAYQBfAFUAbgBpAHQAIgAsACIAUwBjAG8AcABlADMAXwBFAHEAdQBhAHQAaQBvAG4AcwAuAFYARQBFAFIARwBfADEANQBfADkAXwAxAF8AMQBfAF8AMQBfAEUAbQBpAHMAcwBpAG8AbgBzAEYAcgBvAG0AUAB1AHIAYwBoAGEAcwBlAGQARwByAG8AdwBNAGUAZABpAGEAXwBTAG8AdQByAGMAZQAiACwAIgBTAGMAbwBwAGUAMwBfAEUAcQB1AGEAdABpAG8AbgBzAC4AVgBFAEUAUgBHAF8AMQA1AF8AOQBfADEAXwAxAF8AXwAxAF8ARQBtAGkAcwBzAGkAbwBuAHMARgByAG8AbQBQAHUAcgBjAGgAYQBzAGUAZABHAHIAbwB3AE0AZQBkAGkAYQBfAE4ASQBSAFIAZQBmAGUAcgBlAG4AYwBlACIALAAiAFMAYwBvAHAAZQAzAF8ARQBxAHUAYQB0AGkAbwBuAHMALgBWAEUARQBSAEcAXwAxADUAXwA5AF8AMQBfADEAXwBfADEAXwBFAG0AaQBzAHMAaQBvAG4AcwBGAHIAbwBtAFAAdQByAGMAaABhAHMAZQBkAEcAcgBvAHcATQBlAGQAaQBhAF8ATABhAHQAZQB4AEUAcQB1AGEAdABpAG8AbgAiACwAIgBTAGMAbwBwAGUAMwBfAEUAcQB1AGEAdABpAG8AbgBzAC4AVgBFAEUAUgBHAF8AMQA1AF8AOQBfADEAXwAxAF8AXwAxAF8ARQBtAGkAcwBzAGkAbwBuAHMARgByAG8AbQBQAHUAcgBjAGgAYQBzAGUAZABHAHIAbwB3AE0AZQBkAGkAYQBfAEEAcgBnAHUAbQBlAG4AdABzACIALAAiAFMAYwBvAHAAZQAzAF8ARQBxAHUAYQB0AGkAbwBuAHMALgBWAEUARQBSAEcAXwAxADUAXwAxADAAXwAxAF8AMQBfAF8AMQBfAE8AdABoAGUAcgBQAHUAcgBjAGgAYQBzAGUAZABHAG8AbwBkAHMAQQBuAGQAUwBlAHIAdgBpAGMAZQBzACIALAAiAFMAYwBvAHAAZQAzAF8ARQBxAHUAYQB0AGkAbwBuAHMALgBWAEUARQBSAEcAXwAxADUAXwAxADAAXwAxAF8AMQBfAF8AMQBfAE8AdABoAGUAcgBQAHUAcgBjAGgAYQBzAGUAZABHAG8AbwBkAHMAQQBuAGQAUwBlAHIAdgBpAGMAZQBzAF8AVABpAHQAbABlACIALAAiAFMAYwBvAHAAZQAzAF8ARQBxAHUAYQB0AGkAbwBuAHMALgBWAEUARQBSAEcAXwAxADUAXwAxADAAXwAxAF8AMQBfAF8AMQBfAE8AdABoAGUAcgBQAHUAcgBjAGgAYQBzAGUAZABHAG8AbwBkAHMAQQBuAGQAUwBlAHIAdgBpAGMAZQBzAF8AVgBhAHIAaQBhAGIAbABlACIALAAiAFMAYwBvAHAAZQAzAF8ARQBxAHUAYQB0AGkAbwBuAHMALgBWAEUARQBSAEcAXwAxADUAXwAxADAAXwAxAF8AMQBfAF8AMQBfAE8AdABoAGUAcgBQAHUAcgBjAGgAYQBzAGUAZABHAG8AbwBkAHMAQQBuAGQAUwBlAHIAdgBpAGMAZQBzAF8AVQBuAGkAdAAiACwAIgBTAGMAbwBwAGUAMwBfAEUAcQB1AGEAdABpAG8AbgBzAC4AVgBFAEUAUgBHAF8AMQA1AF8AMQAwAF8AMQBfADEAXwBfADEAXwBPAHQAaABlAHIAUAB1AHIAYwBoAGEAcwBlAGQARwBvAG8AZABzAEEAbgBkAFMAZQByAHYAaQBjAGUAcwBfAFMAbwB1AHIAYwBlACIALAAiAFMAYwBvAHAAZQAzAF8ARQBxAHUAYQB0AGkAbwBuAHMALgBWAEUARQBSAEcAXwAxADUAXwAxADAAXwAxAF8AMQBfAF8AMQBfAE8AdABoAGUAcgBQAHUAcgBjAGgAYQBzAGUAZABHAG8AbwBkAHMAQQBuAGQAUwBlAHIAdgBpAGMAZQBzAF8ATgBJAFIAUgBlAGYAZQByAGUAbgBjAGUAIgAsACIAUwBjAG8AcABlADMAXwBFAHEAdQBhAHQAaQBvAG4AcwAuAFYARQBFAFIARwBfADEANQBfADEAMABfADEAXwAxAF8AXwAxAF8ATwB0AGgAZQByAFAAdQByAGMAaABhAHMAZQBkAEcAbwBvAGQAcwBBAG4AZABTAGUAcgB2AGkAYwBlAHMAXwBMAGEAdABlAHgARQBxAHUAYQB0AGkAbwBuACIALAAiAFMAYwBvAHAAZQAzAF8ARQBxAHUAYQB0AGkAbwBuAHMALgBWAEUARQBSAEcAXwAxADUAXwAxADAAXwAxAF8AMQBfAF8AMQBfAE8AdABoAGUAcgBQAHUAcgBjAGgAYQBzAGUAZABHAG8AbwBkAHMAQQBuAGQAUwBlAHIAdgBpAGMAZQBzAF8AQQByAGcAdQBtAGUAbgB0AHMAIgAsACIAUwBjAG8AcABlADMAXwBFAHEAdQBhAHQAaQBvAG4AcwAuAFYARQBFAFIARwBfADEANQBfADEAMQBfADEAXwAxAF8AXwAxAF8AVABvAHQAYQBsAFUAcABzAHQAcgBlAGEAbQBFAG0AaQBzAHMAaQBvAG4AcwBGAHIAbwBtAEYAdQBlAGwAIgAsACIAUwBjAG8AcABlADMAXwBFAHEAdQBhAHQAaQBvAG4AcwAuAFYARQBFAFIARwBfADEANQBfADEAMQBfADEAXwAxAF8AXwAxAF8AVABvAHQAYQBsAFUAcABzAHQAcgBlAGEAbQBFAG0AaQBzAHMAaQBvAG4AcwBGAHIAbwBtAEYAdQBlAGwAXwBUAGkAdABsAGUAIgAsACIAUwBjAG8AcABlADMAXwBFAHEAdQBhAHQAaQBvAG4AcwAuAFYARQBFAFIARwBfADEANQBfADEAMQBfADEAXwAxAF8AXwAxAF8AVABvAHQAYQBsAFUAcABzAHQAcgBlAGEAbQBFAG0AaQBzAHMAaQBvAG4AcwBGAHIAbwBtAEYAdQBlAGwAXwBWAGEAcgBpAGEAYgBsAGUAIgAsACIAUwBjAG8AcABlADMAXwBFAHEAdQBhAHQAaQBvAG4AcwAuAFYARQBFAFIARwBfADEANQBfADEAMQBfADEAXwAxAF8AXwAxAF8AVABvAHQAYQBsAFUAcABzAHQAcgBlAGEAbQBFAG0AaQBzAHMAaQBvAG4AcwBGAHIAbwBtAEYAdQBlAGwAXwBVAG4AaQB0ACIALAAiAFMAYwBvAHAAZQAzAF8ARQBxAHUAYQB0AGkAbwBuAHMALgBWAEUARQBSAEcAXwAxADUAXwAxADEAXwAxAF8AMQBfAF8AMQBfAFQAbwB0AGEAbABVAHAAcwB0AHIAZQBhAG0ARQBtAGkAcwBzAGkAbwBuAHMARgByAG8AbQBGAHUAZQBsAF8AUwBvAHUAcgBjAGUAIgAsACIAUwBjAG8AcABlADMAXwBFAHEAdQBhAHQAaQBvAG4AcwAuAFYARQBFAFIARwBfADEANQBfADEAMQBfADEAXwAxAF8AXwAxAF8AVABvAHQAYQBsAFUAcABzAHQAcgBlAGEAbQBFAG0AaQBzAHMAaQBvAG4AcwBGAHIAbwBtAEYAdQBlAGwAXwBOAEkAUgBSAGUAZgBlAHIAZQBuAGMAZQAiACwAIgBTAGMAbwBwAGUAMwBfAEUAcQB1AGEAdABpAG8AbgBzAC4AVgBFAEUAUgBHAF8AMQA1AF8AMQAxAF8AMQBfADEAXwBfADEAXwBUAG8AdABhAGwAVQBwAHMAdAByAGUAYQBtAEUAbQBpAHMAcwBpAG8AbgBzAEYAcgBvAG0ARgB1AGUAbABfAEwAYQB0AGUAeABFAHEAdQBhAHQAaQBvAG4AIgAsACIAUwBjAG8AcABlADMAXwBFAHEAdQBhAHQAaQBvAG4AcwAuAFYARQBFAFIARwBfADEANQBfADEAMQBfADEAXwAxAF8AXwAxAF8AVABvAHQAYQBsAFUAcABzAHQAcgBlAGEAbQBFAG0AaQBzAHMAaQBvAG4AcwBGAHIAbwBtAEYAdQBlAGwAXwBBAHIAZwB1AG0AZQBuAHQAcwAiACwAIgBTAGMAbwBwAGUAMwBfAEUAcQB1AGEAdABpAG8AbgBzAC4AVgBFAEUAUgBHAF8AMQA1AF8AMQAxAF8AMQBfADEAXwBfADIAXwBVAHAAcwB0AHIAZQBhAG0AVAByAGEAbgBzAHAAbwByAHQARgB1AGUAbABFAG0AaQBzAHMAaQBvAG4AcwAiACwAIgBTAGMAbwBwAGUAMwBfAEUAcQB1AGEAdABpAG8AbgBzAC4AVgBFAEUAUgBHAF8AMQA1AF8AMQAxAF8AMQBfADEAXwBfADIAXwBVAHAAcwB0AHIAZQBhAG0AVAByAGEAbgBzAHAAbwByAHQARgB1AGUAbABFAG0AaQBzAHMAaQBvAG4AcwBfAFQAaQB0AGwAZQAiACwAIgBTAGMAbwBwAGUAMwBfAEUAcQB1AGEAdABpAG8AbgBzAC4AVgBFAEUAUgBHAF8AMQA1AF8AMQAxAF8AMQBfADEAXwBfADIAXwBVAHAAcwB0AHIAZQBhAG0AVAByAGEAbgBzAHAAbwByAHQARgB1AGUAbABFAG0AaQBzAHMAaQBvAG4AcwBfAFYAYQByAGkAYQBiAGwAZQAiACwAIgBTAGMAbwBwAGUAMwBfAEUAcQB1AGEAdABpAG8AbgBzAC4AVgBFAEUAUgBHAF8AMQA1AF8AMQAxAF8AMQBfADEAXwBfADIAXwBVAHAAcwB0AHIAZQBhAG0AVAByAGEAbgBzAHAAbwByAHQARgB1AGUAbABFAG0AaQBzAHMAaQBvAG4AcwBfAFUAbgBpAHQAIgAsACIAUwBjAG8AcABlADMAXwBFAHEAdQBhAHQAaQBvAG4AcwAuAFYARQBFAFIARwBfADEANQBfADEAMQBfADEAXwAxAF8AXwAyAF8AVQBwAHMAdAByAGUAYQBtAFQAcgBhAG4AcwBwAG8AcgB0AEYAdQBlAGwARQBtAGkAcwBzAGkAbwBuAHMAXwBTAG8AdQByAGMAZQAiACwAIgBTAGMAbwBwAGUAMwBfAEUAcQB1AGEAdABpAG8AbgBzAC4AVgBFAEUAUgBHAF8AMQA1AF8AMQAxAF8AMQBfADEAXwBfADIAXwBVAHAAcwB0AHIAZQBhAG0AVAByAGEAbgBzAHAAbwByAHQARgB1AGUAbABFAG0AaQBzAHMAaQBvAG4AcwBfAE4ASQBSAFIAZQBmAGUAcgBlAG4AYwBlACIALAAiAFMAYwBvAHAAZQAzAF8ARQBxAHUAYQB0AGkAbwBuAHMALgBWAEUARQBSAEcAXwAxADUAXwAxADEAXwAxAF8AMQBfAF8AMgBfAFUAcABzAHQAcgBlAGEAbQBUAHIAYQBuAHMAcABvAHIAdABGAHUAZQBsAEUAbQBpAHMAcwBpAG8AbgBzAF8ATABhAHQAZQB4AEUAcQB1AGEAdABpAG8AbgAiACwAIgBTAGMAbwBwAGUAMwBfAEUAcQB1AGEAdABpAG8AbgBzAC4AVgBFAEUAUgBHAF8AMQA1AF8AMQAxAF8AMQBfADEAXwBfADIAXwBVAHAAcwB0AHIAZQBhAG0AVAByAGEAbgBzAHAAbwByAHQARgB1AGUAbABFAG0AaQBzAHMAaQBvAG4AcwBfAEEAcgBnAHUAbQBlAG4AdABzACIALAAiAFMAYwBvAHAAZQAzAF8ARQBxAHUAYQB0AGkAbwBuAHMALgBWAEUARQBSAEcAXwAxADUAXwAxADEAXwAxAF8AMQBfAF8AMwBfAFUAcABzAHQAcgBlAGEAbQBTAHQAYQB0AGkAbwBuAGEAcgB5AEYAdQBlAGwARQBtAGkAcwBzAGkAbwBuAHMAIgAsACIAUwBjAG8AcABlADMAXwBFAHEAdQBhAHQAaQBvAG4AcwAuAFYARQBFAFIARwBfADEANQBfADEAMQBfADEAXwAxAF8AXwAzAF8AVQBwAHMAdAByAGUAYQBtAFMAdABhAHQAaQBvAG4AYQByAHkARgB1AGUAbABFAG0AaQBzAHMAaQBvAG4AcwBfAFQAaQB0AGwAZQAiACwAIgBTAGMAbwBwAGUAMwBfAEUAcQB1AGEAdABpAG8AbgBzAC4AVgBFAEUAUgBHAF8AMQA1AF8AMQAxAF8AMQBfADEAXwBfADMAXwBVAHAAcwB0AHIAZQBhAG0AUwB0AGEAdABpAG8AbgBhAHIAeQBGAHUAZQBsAEUAbQBpAHMAcwBpAG8AbgBzAF8AVgBhAHIAaQBhAGIAbABlACIALAAiAFMAYwBvAHAAZQAzAF8ARQBxAHUAYQB0AGkAbwBuAHMALgBWAEUARQBSAEcAXwAxADUAXwAxADEAXwAxAF8AMQBfAF8AMwBfAFUAcABzAHQAcgBlAGEAbQBTAHQAYQB0AGkAbwBuAGEAcgB5AEYAdQBlAGwARQBtAGkAcwBzAGkAbwBuAHMAXwBVAG4AaQB0ACIALAAiAFMAYwBvAHAAZQAzAF8ARQBxAHUAYQB0AGkAbwBuAHMALgBWAEUARQBSAEcAXwAxADUAXwAxADEAXwAxAF8AMQBfAF8AMwBfAFUAcABzAHQAcgBlAGEAbQBTAHQAYQB0AGkAbwBuAGEAcgB5AEYAdQBlAGwARQBtAGkAcwBzAGkAbwBuAHMAXwBTAG8AdQByAGMAZQAiACwAIgBTAGMAbwBwAGUAMwBfAEUAcQB1AGEAdABpAG8AbgBzAC4AVgBFAEUAUgBHAF8AMQA1AF8AMQAxAF8AMQBfADEAXwBfADMAXwBVAHAAcwB0AHIAZQBhAG0AUwB0AGEAdABpAG8AbgBhAHIAeQBGAHUAZQBsAEUAbQBpAHMAcwBpAG8AbgBzAF8ATgBJAFIAUgBlAGYAZQByAGUAbgBjAGUAIgAsACIAUwBjAG8AcABlADMAXwBFAHEAdQBhAHQAaQBvAG4AcwAuAFYARQBFAFIARwBfADEANQBfADEAMQBfADEAXwAxAF8AXwAzAF8AVQBwAHMAdAByAGUAYQBtAFMAdABhAHQAaQBvAG4AYQByAHkARgB1AGUAbABFAG0AaQBzAHMAaQBvAG4AcwBfAEwAYQB0AGUAeABFAHEAdQBhAHQAaQBvAG4AIgAsACIAUwBjAG8AcABlADMAXwBFAHEAdQBhAHQAaQBvAG4AcwAuAFYARQBFAFIARwBfADEANQBfADEAMQBfADEAXwAxAF8AXwAzAF8AVQBwAHMAdAByAGUAYQBtAFMAdABhAHQAaQBvAG4AYQByAHkARgB1AGUAbABFAG0AaQBzAHMAaQBvAG4AcwBfAEEAcgBnAHUAbQBlAG4AdABzACIALAAiAFMAYwBvAHAAZQAzAF8ARQBxAHUAYQB0AGkAbwBuAHMALgBWAEUARQBSAEcAXwAxADUAXwAxADIAXwAxAF8AMQBfAF8AMQBfAFUAcABzAHQAcgBlAGEAbQBQAHUAcgBjAGgAYQBzAGUAZABFAGwAZQBjAHQAcgBpAGMAaQB0AHkATABvAGMAYQB0AGkAbwBuAEIAYQBzAGUAZAAiACwAIgBTAGMAbwBwAGUAMwBfAEUAcQB1AGEAdABpAG8AbgBzAC4AVgBFAEUAUgBHAF8AMQA1AF8AMQAyAF8AMQBfADEAXwBfADEAXwBVAHAAcwB0AHIAZQBhAG0AUAB1AHIAYwBoAGEAcwBlAGQARQBsAGUAYwB0AHIAaQBjAGkAdAB5AEwAbwBjAGEAdABpAG8AbgBCAGEAcwBlAGQAXwBUAGkAdABsAGUAIgAsACIAUwBjAG8AcABlADMAXwBFAHEAdQBhAHQAaQBvAG4AcwAuAFYARQBFAFIARwBfADEANQBfADEAMgBfADEAXwAxAF8AXwAxAF8AVQBwAHMAdAByAGUAYQBtAFAAdQByAGMAaABhAHMAZQBkAEUAbABlAGMAdAByAGkAYwBpAHQAeQBMAG8AYwBhAHQAaQBvAG4AQgBhAHMAZQBkAF8AVgBhAHIAaQBhAGIAbABlACIALAAiAFMAYwBvAHAAZQAzAF8ARQBxAHUAYQB0AGkAbwBuAHMALgBWAEUARQBSAEcAXwAxADUAXwAxADIAXwAxAF8AMQBfAF8AMQBfAFUAcABzAHQAcgBlAGEAbQBQAHUAcgBjAGgAYQBzAGUAZABFAGwAZQBjAHQAcgBpAGMAaQB0AHkATABvAGMAYQB0AGkAbwBuAEIAYQBzAGUAZABfAFUAbgBpAHQAIgAsACIAUwBjAG8AcABlADMAXwBFAHEAdQBhAHQAaQBvAG4AcwAuAFYARQBFAFIARwBfADEANQBfADEAMgBfADEAXwAxAF8AXwAxAF8AVQBwAHMAdAByAGUAYQBtAFAAdQByAGMAaABhAHMAZQBkAEUAbABlAGMAdAByAGkAYwBpAHQAeQBMAG8AYwBhAHQAaQBvAG4AQgBhAHMAZQBkAF8AUwBvAHUAcgBjAGUAIgAsACIAUwBjAG8AcABlADMAXwBFAHEAdQBhAHQAaQBvAG4AcwAuAFYARQBFAFIARwBfADEANQBfADEAMgBfADEAXwAxAF8AXwAxAF8AVQBwAHMAdAByAGUAYQBtAFAAdQByAGMAaABhAHMAZQBkAEUAbABlAGMAdAByAGkAYwBpAHQAeQBMAG8AYwBhAHQAaQBvAG4AQgBhAHMAZQBkAF8ATgBJAFIAUgBlAGYAZQByAGUAbgBjAGUAIgAsACIAUwBjAG8AcABlADMAXwBFAHEAdQBhAHQAaQBvAG4AcwAuAFYARQBFAFIARwBfADEANQBfADEAMgBfADEAXwAxAF8AXwAxAF8AVQBwAHMAdAByAGUAYQBtAFAAdQByAGMAaABhAHMAZQBkAEUAbABlAGMAdAByAGkAYwBpAHQAeQBMAG8AYwBhAHQAaQBvAG4AQgBhAHMAZQBkAF8ATABhAHQAZQB4AEUAcQB1AGEAdABpAG8AbgAiACwAIgBTAGMAbwBwAGUAMwBfAEUAcQB1AGEAdABpAG8AbgBzAC4AVgBFAEUAUgBHAF8AMQA1AF8AMQAyAF8AMQBfADEAXwBfADEAXwBVAHAAcwB0AHIAZQBhAG0AUAB1AHIAYwBoAGEAcwBlAGQARQBsAGUAYwB0AHIAaQBjAGkAdAB5AEwAbwBjAGEAdABpAG8AbgBCAGEAcwBlAGQAXwBBAHIAZwB1AG0AZQBuAHQAcwAiACwAIgBTAGMAbwBwAGUAMwBfAEUAcQB1AGEAdABpAG8AbgBzAC4AVgBFAEUAUgBHAF8AMQA1AF8AMQAyAF8AMQBfADIAXwBfADEAXwBVAHAAcwB0AHIAZQBhAG0AUAB1AHIAYwBoAGEAcwBlAGQARQBsAGUAYwB0AHIAaQBjAGkAdAB5AE0AYQByAGsAZQB0AEIAYQBzAGUAZAAiACwAIgBTAGMAbwBwAGUAMwBfAEUAcQB1AGEAdABpAG8AbgBzAC4AVgBFAEUAUgBHAF8AMQA1AF8AMQAyAF8AMQBfADIAXwBfADEAXwBVAHAAcwB0AHIAZQBhAG0AUAB1AHIAYwBoAGEAcwBlAGQARQBsAGUAYwB0AHIAaQBjAGkAdAB5AE0AYQByAGsAZQB0AEIAYQBzAGUAZABWAGEAcgBpAGEAdABpAG8AbgAiACwAIgBTAGMAbwBwAGUAMwBfAEUAcQB1AGEAdABpAG8AbgBzAC4AVgBFAEUAUgBHAF8AMQA1AF8AMQAyAF8AMQBfADIAXwBfADEAXwBVAHAAcwB0AHIAZQBhAG0AUAB1AHIAYwBoAGEAcwBlAGQARQBsAGUAYwB0AHIAaQBjAGkAdAB5AE0AYQByAGsAZQB0AEIAYQBzAGUAZABfAFQAaQB0AGwAZQAiACwAIgBTAGMAbwBwAGUAMwBfAEUAcQB1AGEAdABpAG8AbgBzAC4AVgBFAEUAUgBHAF8AMQA1AF8AMQAyAF8AMQBfADIAXwBfADEAXwBVAHAAcwB0AHIAZQBhAG0AUAB1AHIAYwBoAGEAcwBlAGQARQBsAGUAYwB0AHIAaQBjAGkAdAB5AE0AYQByAGsAZQB0AEIAYQBzAGUAZABfAFYAYQByAGkAYQBiAGwAZQAiACwAIgBTAGMAbwBwAGUAMwBfAEUAcQB1AGEAdABpAG8AbgBzAC4AVgBFAEUAUgBHAF8AMQA1AF8AMQAyAF8AMQBfADIAXwBfADEAXwBVAHAAcwB0AHIAZQBhAG0AUAB1AHIAYwBoAGEAcwBlAGQARQBsAGUAYwB0AHIAaQBjAGkAdAB5AE0AYQByAGsAZQB0AEIAYQBzAGUAZABfAFUAbgBpAHQAIgAsACIAUwBjAG8AcABlADMAXwBFAHEAdQBhAHQAaQBvAG4AcwAuAFYARQBFAFIARwBfADEANQBfADEAMgBfADEAXwAyAF8AXwAxAF8AVQBwAHMAdAByAGUAYQBtAFAAdQByAGMAaABhAHMAZQBkAEUAbABlAGMAdAByAGkAYwBpAHQAeQBNAGEAcgBrAGUAdABCAGEAcwBlAGQAXwBTAG8AdQByAGMAZQAiACwAIgBTAGMAbwBwAGUAMwBfAEUAcQB1AGEAdABpAG8AbgBzAC4AVgBFAEUAUgBHAF8AMQA1AF8AMQAyAF8AMQBfADIAXwBfADEAXwBVAHAAcwB0AHIAZQBhAG0AUAB1AHIAYwBoAGEAcwBlAGQARQBsAGUAYwB0AHIAaQBjAGkAdAB5AE0AYQByAGsAZQB0AEIAYQBzAGUAZABfAE4ASQBSAFIAZQBmAGUAcgBlAG4AYwBlACIALAAiAFMAYwBvAHAAZQAzAF8ARQBxAHUAYQB0AGkAbwBuAHMALgBWAEUARQBSAEcAXwAxADUAXwAxADIAXwAxAF8AMgBfAF8AMQBfAFUAcABzAHQAcgBlAGEAbQBQAHUAcgBjAGgAYQBzAGUAZABFAGwAZQBjAHQAcgBpAGMAaQB0AHkATQBhAHIAawBlAHQAQgBhAHMAZQBkAF8ATABhAHQAZQB4AEUAcQB1AGEAdABpAG8AbgAiACwAIgBTAGMAbwBwAGUAMwBfAEUAcQB1AGEAdABpAG8AbgBzAC4AVgBFAEUAUgBHAF8AMQA1AF8AMQAyAF8AMQBfADIAXwBfADEAXwBVAHAAcwB0AHIAZQBhAG0AUAB1AHIAYwBoAGEAcwBlAGQARQBsAGUAYwB0AHIAaQBjAGkAdAB5AE0AYQByAGsAZQB0AEIAYQBzAGUAZABfAEwAYQB0AGUAeABFAHEAdQBhAHQAaQBvAG4AVgBhAHIAaQBhAHQAaQBvAG4AIgAsACIAUwBjAG8AcABlADMAXwBFAHEAdQBhAHQAaQBvAG4AcwAuAFYARQBFAFIARwBfADEANQBfADEAMgBfADEAXwAyAF8AXwAxAF8AVQBwAHMAdAByAGUAYQBtAFAAdQByAGMAaABhAHMAZQBkAEUAbABlAGMAdAByAGkAYwBpAHQAeQBNAGEAcgBrAGUAdABCAGEAcwBlAGQAXwBBAHIAZwB1AG0AZQBuAHQAcwAiACwAIgBTAGMAbwBwAGUAMwBfAEUAcQB1AGEAdABpAG8AbgBzAC4AVgBFAEUAUgBHAF8AMQA1AF8AMQAyAF8AMQBfADIAXwBfADEAXwBVAHAAcwB0AHIAZQBhAG0AUAB1AHIAYwBoAGEAcwBlAGQARQBsAGUAYwB0AHIAaQBjAGkAdAB5AE0AYQByAGsAZQB0AEIAYQBzAGUAZABfAFYAYQByAGkAYQB0AGkAbwBuACIALAAiAFMAYwBvAHAAZQAzAF8ARQBxAHUAYQB0AGkAbwBuAHMALgBWAEUARQBSAEcAXwAxADUAXwAxADMAXwAxAF8AMQBfAF8AMQBfAEUAbQBpAHMAcwBpAG8AbgBzAEYAcgBvAG0ATQBhAG4AdQByAGUAUwBlAG4AdABPAGYAZgBTAGkAdABlACIALAAiAFMAYwBvAHAAZQAzAF8ARQBxAHUAYQB0AGkAbwBuAHMALgBWAEUARQBSAEcAXwAxADUAXwAxADMAXwAxAF8AMQBfAF8AMQBfAEUAbQBpAHMAcwBpAG8AbgBzAEYAcgBvAG0ATQBhAG4AdQByAGUAUwBlAG4AdABPAGYAZgBTAGkAdABlAF8AVABpAHQAbABlACIALAAiAFMAYwBvAHAAZQAzAF8ARQBxAHUAYQB0AGkAbwBuAHMALgBWAEUARQBSAEcAXwAxADUAXwAxADMAXwAxAF8AMQBfAF8AMQBfAEUAbQBpAHMAcwBpAG8AbgBzAEYAcgBvAG0ATQBhAG4AdQByAGUAUwBlAG4AdABPAGYAZgBTAGkAdABlAF8AVgBhAHIAaQBhAGIAbABlACIALAAiAFMAYwBvAHAAZQAzAF8ARQBxAHUAYQB0AGkAbwBuAHMALgBWAEUARQBSAEcAXwAxADUAXwAxADMAXwAxAF8AMQBfAF8AMQBfAEUAbQBpAHMAcwBpAG8AbgBzAEYAcgBvAG0ATQBhAG4AdQByAGUAUwBlAG4AdABPAGYAZgBTAGkAdABlAF8AVQBuAGkAdAAiACwAIgBTAGMAbwBwAGUAMwBfAEUAcQB1AGEAdABpAG8AbgBzAC4AVgBFAEUAUgBHAF8AMQA1AF8AMQAzAF8AMQBfADEAXwBfADEAXwBFAG0AaQBzAHMAaQBvAG4AcwBGAHIAbwBtAE0AYQBuAHUAcgBlAFMAZQBuAHQATwBmAGYAUwBpAHQAZQBfAFMAbwB1AHIAYwBlACIALAAiAFMAYwBvAHAAZQAzAF8ARQBxAHUAYQB0AGkAbwBuAHMALgBWAEUARQBSAEcAXwAxADUAXwAxADMAXwAxAF8AMQBfAF8AMQBfAEUAbQBpAHMAcwBpAG8AbgBzAEYAcgBvAG0ATQBhAG4AdQByAGUAUwBlAG4AdABPAGYAZgBTAGkAdABlAF8ATgBJAFIAUgBlAGYAZQByAGUAbgBjAGUAIgAsACIAUwBjAG8AcABlADMAXwBFAHEAdQBhAHQAaQBvAG4AcwAuAFYARQBFAFIARwBfADEANQBfADEAMwBfADEAXwAxAF8AXwAxAF8ARQBtAGkAcwBzAGkAbwBuAHMARgByAG8AbQBNAGEAbgB1AHIAZQBTAGUAbgB0AE8AZgBmAFMAaQB0AGUAXwBMAGEAdABlAHgARQBxAHUAYQB0AGkAbwBuACIALAAiAFMAYwBvAHAAZQAzAF8ARQBxAHUAYQB0AGkAbwBuAHMALgBWAEUARQBSAEcAXwAxADUAXwAxADMAXwAxAF8AMQBfAF8AMQBfAEUAbQBpAHMAcwBpAG8AbgBzAEYAcgBvAG0ATQBhAG4AdQByAGUAUwBlAG4AdABPAGYAZgBTAGkAdABlAF8AQQByAGcAdQBtAGUAbgB0AHMAIgAsACIAUwBjAG8AcABlADMAXwBFAHEAdQBhAHQAaQBvAG4AcwAuAFYARQBFAFIARwBfADEANQBfADEAMwBfADEAXwAzAF8AXwAxAF8ARQBtAGkAcwBzAGkAbwBuAHMARgByAG8AbQBTAG8AbABpAGQAVwBhAHMAdABlAFQAcgBlAGEAdABtAGUAbgB0AEYAYQBjAGkAbABpAHQAeQAiACwAIgBTAGMAbwBwAGUAMwBfAEUAcQB1AGEAdABpAG8AbgBzAC4AVgBFAEUAUgBHAF8AMQA1AF8AMQAzAF8AMQBfADMAXwBfADEAXwBFAG0AaQBzAHMAaQBvAG4AcwBGAHIAbwBtAFMAbwBsAGkAZABXAGEAcwB0AGUAVAByAGUAYQB0AG0AZQBuAHQARgBhAGMAaQBsAGkAdAB5AF8AVABpAHQAbABlACIALAAiAFMAYwBvAHAAZQAzAF8ARQBxAHUAYQB0AGkAbwBuAHMALgBWAEUARQBSAEcAXwAxADUAXwAxADMAXwAxAF8AMwBfAF8AMQBfAEUAbQBpAHMAcwBpAG8AbgBzAEYAcgBvAG0AUwBvAGwAaQBkAFcAYQBzAHQAZQBUAHIAZQBhAHQAbQBlAG4AdABGAGEAYwBpAGwAaQB0AHkAXwBWAGEAcgBpAGEAYgBsAGUAIgAsACIAUwBjAG8AcABlADMAXwBFAHEAdQBhAHQAaQBvAG4AcwAuAFYARQBFAFIARwBfADEANQBfADEAMwBfADEAXwAzAF8AXwAxAF8ARQBtAGkAcwBzAGkAbwBuAHMARgByAG8AbQBTAG8AbABpAGQAVwBhAHMAdABlAFQAcgBlAGEAdABtAGUAbgB0AEYAYQBjAGkAbABpAHQAeQBfAFUAbgBpAHQAIgAsACIAUwBjAG8AcABlADMAXwBFAHEAdQBhAHQAaQBvAG4AcwAuAFYARQBFAFIARwBfADEANQBfADEAMwBfADEAXwAzAF8AXwAxAF8ARQBtAGkAcwBzAGkAbwBuAHMARgByAG8AbQBTAG8AbABpAGQAVwBhAHMAdABlAFQAcgBlAGEAdABtAGUAbgB0AEYAYQBjAGkAbABpAHQAeQBfAFMAbwB1AHIAYwBlACIALAAiAFMAYwBvAHAAZQAzAF8ARQBxAHUAYQB0AGkAbwBuAHMALgBWAEUARQBSAEcAXwAxADUAXwAxADMAXwAxAF8AMwBfAF8AMQBfAEUAbQBpAHMAcwBpAG8AbgBzAEYAcgBvAG0AUwBvAGwAaQBkAFcAYQBzAHQAZQBUAHIAZQBhAHQAbQBlAG4AdABGAGEAYwBpAGwAaQB0AHkAXwBOAEkAUgBSAGUAZgBlAHIAZQBuAGMAZQAiACwAIgBTAGMAbwBwAGUAMwBfAEUAcQB1AGEAdABpAG8AbgBzAC4AVgBFAEUAUgBHAF8AMQA1AF8AMQAzAF8AMQBfADMAXwBfADEAXwBFAG0AaQBzAHMAaQBvAG4AcwBGAHIAbwBtAFMAbwBsAGkAZABXAGEAcwB0AGUAVAByAGUAYQB0AG0AZQBuAHQARgBhAGMAaQBsAGkAdAB5AF8ATABhAHQAZQB4AEUAcQB1AGEAdABpAG8AbgAiACwAIgBTAGMAbwBwAGUAMwBfAEUAcQB1AGEAdABpAG8AbgBzAC4AVgBFAEUAUgBHAF8AMQA1AF8AMQAzAF8AMQBfADMAXwBfADEAXwBFAG0AaQBzAHMAaQBvAG4AcwBGAHIAbwBtAFMAbwBsAGkAZABXAGEAcwB0AGUAVAByAGUAYQB0AG0AZQBuAHQARgBhAGMAaQBsAGkAdAB5AF8AQQByAGcAdQBtAGUAbgB0AHMAIgAsACIAUwBjAG8AcABlADMAXwBFAHEAdQBhAHQAaQBvAG4AcwAuAFYARQBFAFIARwBfADEANQBfADEANABfADEAXwAxAF8AXwAxAF8ARQBtAGIAZQBkAGQAZQBkAEUAbQBpAHMAcwBpAG8AbgBzAEYAcgBvAG0AVQBwAHMAdAByAGUAYQBtAEYAcgBlAGkAZwBoAHQAIgAsACIAUwBjAG8AcABlADMAXwBFAHEAdQBhAHQAaQBvAG4AcwAuAFYARQBFAFIARwBfADEANQBfADEANABfADEAXwAxAF8AXwAxAF8ARQBtAGIAZQBkAGQAZQBkAEUAbQBpAHMAcwBpAG8AbgBzAEYAcgBvAG0AVQBwAHMAdAByAGUAYQBtAEYAcgBlAGkAZwBoAHQAXwBUAGkAdABsAGUAIgAsACIAUwBjAG8AcABlADMAXwBFAHEAdQBhAHQAaQBvAG4AcwAuAFYARQBFAFIARwBfADEANQBfADEANABfADEAXwAxAF8AXwAxAF8ARQBtAGIAZQBkAGQAZQBkAEUAbQBpAHMAcwBpAG8AbgBzAEYAcgBvAG0AVQBwAHMAdAByAGUAYQBtAEYAcgBlAGkAZwBoAHQAXwBWAGEAcgBpAGEAYgBsAGUAIgAsACIAUwBjAG8AcABlADMAXwBFAHEAdQBhAHQAaQBvAG4AcwAuAFYARQBFAFIARwBfADEANQBfADEANABfADEAXwAxAF8AXwAxAF8ARQBtAGIAZQBkAGQAZQBkAEUAbQBpAHMAcwBpAG8AbgBzAEYAcgBvAG0AVQBwAHMAdAByAGUAYQBtAEYAcgBlAGkAZwBoAHQAXwBVAG4AaQB0ACIALAAiAFMAYwBvAHAAZQAzAF8ARQBxAHUAYQB0AGkAbwBuAHMALgBWAEUARQBSAEcAXwAxADUAXwAxADQAXwAxAF8AMQBfAF8AMQBfAEUAbQBiAGUAZABkAGUAZABFAG0AaQBzAHMAaQBvAG4AcwBGAHIAbwBtAFUAcABzAHQAcgBlAGEAbQBGAHIAZQBpAGcAaAB0AF8AUwBvAHUAcgBjAGUAIgAsACIAUwBjAG8AcABlADMAXwBFAHEAdQBhAHQAaQBvAG4AcwAuAFYARQBFAFIARwBfADEANQBfADEANABfADEAXwAxAF8AXwAxAF8ARQBtAGIAZQBkAGQAZQBkAEUAbQBpAHMAcwBpAG8AbgBzAEYAcgBvAG0AVQBwAHMAdAByAGUAYQBtAEYAcgBlAGkAZwBoAHQAXwBOAEkAUgBSAGUAZgBlAHIAZQBuAGMAZQAiACwAIgBTAGMAbwBwAGUAMwBfAEUAcQB1AGEAdABpAG8AbgBzAC4AVgBFAEUAUgBHAF8AMQA1AF8AMQA0AF8AMQBfADEAXwBfADEAXwBFAG0AYgBlAGQAZABlAGQARQBtAGkAcwBzAGkAbwBuAHMARgByAG8AbQBVAHAAcwB0AHIAZQBhAG0ARgByAGUAaQBnAGgAdABfAEwAYQB0AGUAeABFAHEAdQBhAHQAaQBvAG4AIgAsACIAUwBjAG8AcABlADMAXwBFAHEAdQBhAHQAaQBvAG4AcwAuAFYARQBFAFIARwBfADEANQBfADEANABfADEAXwAxAF8AXwAxAF8ARQBtAGIAZQBkAGQAZQBkAEUAbQBpAHMAcwBpAG8AbgBzAEYAcgBvAG0AVQBwAHMAdAByAGUAYQBtAEYAcgBlAGkAZwBoAHQAXwBBAHIAZwB1AG0AZQBuAHQAcwAiACwAIgBGAHUAZQBsAF8ARQBxAHUAYQB0AGkAbwBuAHMALgBWAEUARQBSAEcAXwA4AF8ARgB1AGUAbABDAG8AbQBiAHUAcwB0AGkAbwBuACIALAAiAEYAdQBlAGwAXwBFAHEAdQBhAHQAaQBvAG4AcwAuAFYARQBFAFIARwBfADgAXwAxAF8AMQBfADEAXwBfADEAXwBGAHUAZQBsAEMAbwBtAGIAdQBzAHQAaQBvAG4AVAByAGEAbgBzAHAAbwByAHQAIgAsACIARgB1AGUAbABfAEUAcQB1AGEAdABpAG8AbgBzAC4AVgBFAEUAUgBHAF8AOABfADEAXwAxAF8AMQBfAF8AMQBfAEYAdQBlAGwAQwBvAG0AYgB1AHMAdABpAG8AbgBUAHIAYQBuAHMAcABvAHIAdABfAFQAaQB0AGwAZQAiACwAIgBGAHUAZQBsAF8ARQBxAHUAYQB0AGkAbwBuAHMALgBWAEUARQBSAEcAXwA4AF8AMQBfADEAXwAxAF8AXwAxAF8ARgB1AGUAbABDAG8AbQBiAHUAcwB0AGkAbwBuAFQAcgBhAG4AcwBwAG8AcgB0AF8AVgBhAHIAaQBhAGIAbABlACIALAAiAEYAdQBlAGwAXwBFAHEAdQBhAHQAaQBvAG4AcwAuAFYARQBFAFIARwBfADgAXwAxAF8AMQBfADEAXwBfADEAXwBGAHUAZQBsAEMAbwBtAGIAdQBzAHQAaQBvAG4AVAByAGEAbgBzAHAAbwByAHQAXwBVAG4AaQB0ACIALAAiAEYAdQBlAGwAXwBFAHEAdQBhAHQAaQBvAG4AcwAuAFYARQBFAFIARwBfADgAXwAxAF8AMQBfADEAXwBfADEAXwBGAHUAZQBsAEMAbwBtAGIAdQBzAHQAaQBvAG4AVAByAGEAbgBzAHAAbwByAHQAXwBTAG8AdQByAGMAZQAiACwAIgBGAHUAZQBsAF8ARQBxAHUAYQB0AGkAbwBuAHMALgBWAEUARQBSAEcAXwA4AF8AMQBfADEAXwAxAF8AXwAxAF8ARgB1AGUAbABDAG8AbQBiAHUAcwB0AGkAbwBuAFQAcgBhAG4AcwBwAG8AcgB0AF8ATgBJAFIAUgBlAGYAZQByAGUAbgBjAGUAIgAsACIARgB1AGUAbABfAEUAcQB1AGEAdABpAG8AbgBzAC4AVgBFAEUAUgBHAF8AOABfADEAXwAxAF8AMQBfAF8AMQBfAEYAdQBlAGwAQwBvAG0AYgB1AHMAdABpAG8AbgBUAHIAYQBuAHMAcABvAHIAdABfAEwAYQB0AGUAeABFAHEAdQBhAHQAaQBvAG4AIgAsACIARgB1AGUAbABfAEUAcQB1AGEAdABpAG8AbgBzAC4AVgBFAEUAUgBHAF8AOABfADEAXwAxAF8AMQBfAF8AMQBfAEYAdQBlAGwAQwBvAG0AYgB1AHMAdABpAG8AbgBUAHIAYQBuAHMAcABvAHIAdABfAEEAcgBnAHUAbQBlAG4AdABzACIALAAiAEYAdQBlAGwAXwBFAHEAdQBhAHQAaQBvAG4AcwAuAFYARQBFAFIARwBfADgAXwAyAF8AMQBfADEAXwBfADEAXwBGAHUAZQBsAEMAbwBtAGIAdQBzAHQAaQBvAG4AUwB0AGEAdABpAG8AbgBhAHIAeQAiACwAIgBGAHUAZQBsAF8ARQBxAHUAYQB0AGkAbwBuAHMALgBWAEUARQBSAEcAXwA4AF8AMgBfADEAXwAxAF8AXwAxAF8ARgB1AGUAbABDAG8AbQBiAHUAcwB0AGkAbwBuAFMAdABhAHQAaQBvAG4AYQByAHkAXwBUAGkAdABsAGUAIgAsACIARgB1AGUAbABfAEUAcQB1AGEAdABpAG8AbgBzAC4AVgBFAEUAUgBHAF8AOABfADIAXwAxAF8AMQBfAF8AMQBfAEYAdQBlAGwAQwBvAG0AYgB1AHMAdABpAG8AbgBTAHQAYQB0AGkAbwBuAGEAcgB5AF8AVgBhAHIAaQBhAGIAbABlACIALAAiAEYAdQBlAGwAXwBFAHEAdQBhAHQAaQBvAG4AcwAuAFYARQBFAFIARwBfADgAXwAyAF8AMQBfADEAXwBfADEAXwBGAHUAZQBsAEMAbwBtAGIAdQBzAHQAaQBvAG4AUwB0AGEAdABpAG8AbgBhAHIAeQBfAFUAbgBpAHQAIgAsACIARgB1AGUAbABfAEUAcQB1AGEAdABpAG8AbgBzAC4AVgBFAEUAUgBHAF8AOABfADIAXwAxAF8AMQBfAF8AMQBfAEYAdQBlAGwAQwBvAG0AYgB1AHMAdABpAG8AbgBTAHQAYQB0AGkAbwBuAGEAcgB5AF8AUwBvAHUAcgBjAGUAIgAsACIARgB1AGUAbABfAEUAcQB1AGEAdABpAG8AbgBzAC4AVgBFAEUAUgBHAF8AOABfADIAXwAxAF8AMQBfAF8AMQBfAEYAdQBlAGwAQwBvAG0AYgB1AHMAdABpAG8AbgBTAHQAYQB0AGkAbwBuAGEAcgB5AF8ATgBJAFIAUgBlAGYAZQByAGUAbgBjAGUAIgAsACIARgB1AGUAbABfAEUAcQB1AGEAdABpAG8AbgBzAC4AVgBFAEUAUgBHAF8AOABfADIAXwAxAF8AMQBfAF8AMQBfAEYAdQBlAGwAQwBvAG0AYgB1AHMAdABpAG8AbgBTAHQAYQB0AGkAbwBuAGEAcgB5AF8ATABhAHQAZQB4AEUAcQB1AGEAdABpAG8AbgAiACwAIgBGAHUAZQBsAF8ARQBxAHUAYQB0AGkAbwBuAHMALgBWAEUARQBSAEcAXwA4AF8AMgBfADEAXwAxAF8AXwAxAF8ARgB1AGUAbABDAG8AbQBiAHUAcwB0AGkAbwBuAFMAdABhAHQAaQBvAG4AYQByAHkAXwBBAHIAZwB1AG0AZQBuAHQAcwAiACwAIgBGAGUAcgB0AGkAbABpAHMAZQByAF8ARQBxAHUAYQB0AGkAbwBuAHMAXwBPAHIAZwBhAG4AaQBjAE4AMgBPAC4AVgBFAEUAUgBHAF8ANQBfADIAXwAxAF8AMQBfAF8AMQBfAE8AcgBnAGEAbgBpAGMARgBlAHIAdABpAGwAaQBzAGUAcgBBAHAAcABsAGkAYwBhAHQAaQBvAG4ATgAyAE8ARQBtAGkAcwBzAGkAbwBuAHMAIgAsACIARgBlAHIAdABpAGwAaQBzAGUAcgBfAEUAcQB1AGEAdABpAG8AbgBzAF8ATwByAGcAYQBuAGkAYwBOADIATwAuAFYARQBFAFIARwBfADUAXwAyAF8AMQBfADEAXwBfADEAXwBPAHIAZwBhAG4AaQBjAEYAZQByAHQAaQBsAGkAcwBlAHIAQQBwAHAAbABpAGMAYQB0AGkAbwBuAE4AMgBPAEUAbQBpAHMAcwBpAG8AbgBzAF8AVABpAHQAbABlACIALAAiAEYAZQByAHQAaQBsAGkAcwBlAHIAXwBFAHEAdQBhAHQAaQBvAG4AcwBfAE8AcgBnAGEAbgBpAGMATgAyAE8ALgBWAEUARQBSAEcAXwA1AF8AMgBfADEAXwAxAF8AXwAxAF8ATwByAGcAYQBuAGkAYwBGAGUAcgB0AGkAbABpAHMAZQByAEEAcABwAGwAaQBjAGEAdABpAG8AbgBOADIATwBFAG0AaQBzAHMAaQBvAG4AcwBfAFYAYQByAGkAYQBiAGwAZQAiACwAIgBGAGUAcgB0AGkAbABpAHMAZQByAF8ARQBxAHUAYQB0AGkAbwBuAHMAXwBPAHIAZwBhAG4AaQBjAE4AMgBPAC4AVgBFAEUAUgBHAF8ANQBfADIAXwAxAF8AMQBfAF8AMQBfAE8AcgBnAGEAbgBpAGMARgBlAHIAdABpAGwAaQBzAGUAcgBBAHAAcABsAGkAYwBhAHQAaQBvAG4ATgAyAE8ARQBtAGkAcwBzAGkAbwBuAHMAXwBVAG4AaQB0ACIALAAiAEYAZQByAHQAaQBsAGkAcwBlAHIAXwBFAHEAdQBhAHQAaQBvAG4AcwBfAE8AcgBnAGEAbgBpAGMATgAyAE8ALgBWAEUARQBSAEcAXwA1AF8AMgBfADEAXwAxAF8AXwAxAF8ATwByAGcAYQBuAGkAYwBGAGUAcgB0AGkAbABpAHMAZQByAEEAcABwAGwAaQBjAGEAdABpAG8AbgBOADIATwBFAG0AaQBzAHMAaQBvAG4AcwBfAFMAbwB1AHIAYwBlACIALAAiAEYAZQByAHQAaQBsAGkAcwBlAHIAXwBFAHEAdQBhAHQAaQBvAG4AcwBfAE8AcgBnAGEAbgBpAGMATgAyAE8ALgBWAEUARQBSAEcAXwA1AF8AMgBfADEAXwAxAF8AXwAxAF8ATwByAGcAYQBuAGkAYwBGAGUAcgB0AGkAbABpAHMAZQByAEEAcABwAGwAaQBjAGEAdABpAG8AbgBOADIATwBFAG0AaQBzAHMAaQBvAG4AcwBfAE4ASQBSAFIAZQBmAGUAcgBlAG4AYwBlACIALAAiAEYAZQByAHQAaQBsAGkAcwBlAHIAXwBFAHEAdQBhAHQAaQBvAG4AcwBfAE8AcgBnAGEAbgBpAGMATgAyAE8ALgBWAEUARQBSAEcAXwA1AF8AMgBfADEAXwAxAF8AXwAxAF8ATwByAGcAYQBuAGkAYwBGAGUAcgB0AGkAbABpAHMAZQByAEEAcABwAGwAaQBjAGEAdABpAG8AbgBOADIATwBFAG0AaQBzAHMAaQBvAG4AcwBfAEwAYQB0AGUAeABFAHEAdQBhAHQAaQBvAG4AIgAsACIARgBlAHIAdABpAGwAaQBzAGUAcgBfAEUAcQB1AGEAdABpAG8AbgBzAF8ATwByAGcAYQBuAGkAYwBOADIATwAuAFYARQBFAFIARwBfADUAXwAyAF8AMQBfADEAXwBfADEAXwBPAHIAZwBhAG4AaQBjAEYAZQByAHQAaQBsAGkAcwBlAHIAQQBwAHAAbABpAGMAYQB0AGkAbwBuAE4AMgBPAEUAbQBpAHMAcwBpAG8AbgBzAF8AQQByAGcAdQBtAGUAbgB0AHMAIgAsACIARgBlAHIAdABpAGwAaQBzAGUAcgBfAEUAcQB1AGEAdABpAG8AbgBzAF8ATwByAGcAYQBuAGkAYwBOADIATwAuAFYARQBFAFIARwBfADUAXwAyAF8AMQBfADEAXwBfADIAXwBNAGEAcwBzAE8AZgBOAGkAdAByAG8AZwBlAG4ASQBuAE8AcgBnAGEAbgBpAGMARgBlAHIAdABpAGwAaQBzAGUAcgAiACwAIgBGAGUAcgB0AGkAbABpAHMAZQByAF8ARQBxAHUAYQB0AGkAbwBuAHMAXwBPAHIAZwBhAG4AaQBjAE4AMgBPAC4AVgBFAEUAUgBHAF8ANQBfADIAXwAxAF8AMQBfAF8AMgBfAE0AYQBzAHMATwBmAE4AaQB0AHIAbwBnAGUAbgBJAG4ATwByAGcAYQBuAGkAYwBGAGUAcgB0AGkAbABpAHMAZQByAF8AVABpAHQAbABlACIALAAiAEYAZQByAHQAaQBsAGkAcwBlAHIAXwBFAHEAdQBhAHQAaQBvAG4AcwBfAE8AcgBnAGEAbgBpAGMATgAyAE8ALgBWAEUARQBSAEcAXwA1AF8AMgBfADEAXwAxAF8AXwAyAF8ATQBhAHMAcwBPAGYATgBpAHQAcgBvAGcAZQBuAEkAbgBPAHIAZwBhAG4AaQBjAEYAZQByAHQAaQBsAGkAcwBlAHIAXwBWAGEAcgBpAGEAYgBsAGUAIgAsACIARgBlAHIAdABpAGwAaQBzAGUAcgBfAEUAcQB1AGEAdABpAG8AbgBzAF8ATwByAGcAYQBuAGkAYwBOADIATwAuAFYARQBFAFIARwBfADUAXwAyAF8AMQBfADEAXwBfADIAXwBNAGEAcwBzAE8AZgBOAGkAdAByAG8AZwBlAG4ASQBuAE8AcgBnAGEAbgBpAGMARgBlAHIAdABpAGwAaQBzAGUAcgBfAFUAbgBpAHQAIgAsACIARgBlAHIAdABpAGwAaQBzAGUAcgBfAEUAcQB1AGEAdABpAG8AbgBzAF8ATwByAGcAYQBuAGkAYwBOADIATwAuAFYARQBFAFIARwBfADUAXwAyAF8AMQBfADEAXwBfADIAXwBNAGEAcwBzAE8AZgBOAGkAdAByAG8AZwBlAG4ASQBuAE8AcgBnAGEAbgBpAGMARgBlAHIAdABpAGwAaQBzAGUAcgBfAFMAbwB1AHIAYwBlACIALAAiAEYAZQByAHQAaQBsAGkAcwBlAHIAXwBFAHEAdQBhAHQAaQBvAG4AcwBfAE8AcgBnAGEAbgBpAGMATgAyAE8ALgBWAEUARQBSAEcAXwA1AF8AMgBfADEAXwAxAF8AXwAyAF8ATQBhAHMAcwBPAGYATgBpAHQAcgBvAGcAZQBuAEkAbgBPAHIAZwBhAG4AaQBjAEYAZQByAHQAaQBsAGkAcwBlAHIAXwBOAEkAUgBSAGUAZgBlAHIAZQBuAGMAZQAiACwAIgBGAGUAcgB0AGkAbABpAHMAZQByAF8ARQBxAHUAYQB0AGkAbwBuAHMAXwBPAHIAZwBhAG4AaQBjAE4AMgBPAC4AVgBFAEUAUgBHAF8ANQBfADIAXwAxAF8AMQBfAF8AMgBfAE0AYQBzAHMATwBmAE4AaQB0AHIAbwBnAGUAbgBJAG4ATwByAGcAYQBuAGkAYwBGAGUAcgB0AGkAbABpAHMAZQByAF8ATABhAHQAZQB4AEUAcQB1AGEAdABpAG8AbgAiACwAIgBGAGUAcgB0AGkAbABpAHMAZQByAF8ARQBxAHUAYQB0AGkAbwBuAHMAXwBPAHIAZwBhAG4AaQBjAE4AMgBPAC4AVgBFAEUAUgBHAF8ANQBfADIAXwAxAF8AMQBfAF8AMgBfAE0AYQBzAHMATwBmAE4AaQB0AHIAbwBnAGUAbgBJAG4ATwByAGcAYQBuAGkAYwBGAGUAcgB0AGkAbABpAHMAZQByAF8AQQByAGcAdQBtAGUAbgB0AHM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VABpAHQAbABl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WAGEAcgBpAGEAYgBsAGU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FUAbgBpAHQ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FMAbwB1AHIAYwBl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OAEkAUgBSAGUAZgBlAHIAZQBuAGMAZQ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TABhAHQAZQB4AEUAcQB1AGEAdABpAG8Abg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QQByAGcAdQBtAGUAbgB0AHM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UAGkAdABsAGU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WAGEAcgBpAGEAYgBsAGU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VAG4AaQB0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UwBvAHUAcgBjAGU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OAEkAUgBSAGUAZgBlAHIAZQBuAGMAZQ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EwAYQB0AGUAeABFAHEAdQBhAHQAaQBvAG4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BAHIAZwB1AG0AZQBuAHQAcw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VABpAHQAbABl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FYAYQByAGkAYQBiAGwAZQ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VAG4AaQB0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FMAbwB1AHIAYwBl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E4ASQBSAFIAZQBmAGUAcgBlAG4AYwBl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EwAYQB0AGUAeABFAHEAdQBhAHQAaQBvAG4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QQByAGcAdQBtAGUAbgB0AHM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VABpAHQAbABl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WAGEAcgBpAGEAYgBsAGU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FUAbgBpAHQ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FMAbwB1AHIAYwBl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OAEkAUgBSAGUAZgBlAHIAZQBuAGMAZQ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TABhAHQAZQB4AEUAcQB1AGEAdABpAG8Abg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QQByAGcAdQBtAGUAbgB0AHMAIgAsACIARgBlAHIAdABpAGwAaQBzAGUAcgBfAEUAcQB1AGEAdABpAG8AbgBzAF8ATABlAGEAYwBoAGkAbgBnAEEAbgBkAFIAdQBuAG8AZgBmAC4AVgBFAEUAUgBHAF8ANQBfADUAXwAxAF8AMQBfAF8AMQBfAEYAZQByAHQAaQBsAGkAcwBlAHIATABlAGEAYwBoAGkAbgBnAEEAbgBkAFIAdQBuAG8AZgBmAE4AMgBPAEUAbQBpAHMAcwBpAG8AbgBzACIALAAiAEYAZQByAHQAaQBsAGkAcwBlAHIAXwBFAHEAdQBhAHQAaQBvAG4AcwBfAEwAZQBhAGMAaABpAG4AZwBBAG4AZABSAHUAbgBvAGYAZgAuAFYARQBFAFIARwBfADUAXwA1AF8AMQBfADEAXwBfADEAXwBGAGUAcgB0AGkAbABpAHMAZQByAEwAZQBhAGMAaABpAG4AZwBBAG4AZABSAHUAbgBvAGYAZgBOADIATwBFAG0AaQBzAHMAaQBvAG4AcwBfAFQAaQB0AGwAZQAiACwAIgBGAGUAcgB0AGkAbABpAHMAZQByAF8ARQBxAHUAYQB0AGkAbwBuAHMAXwBMAGUAYQBjAGgAaQBuAGcAQQBuAGQAUgB1AG4AbwBmAGYALgBWAEUARQBSAEcAXwA1AF8ANQBfADEAXwAxAF8AXwAxAF8ARgBlAHIAdABpAGwAaQBzAGUAcgBMAGUAYQBjAGgAaQBuAGcAQQBuAGQAUgB1AG4AbwBmAGYATgAyAE8ARQBtAGkAcwBzAGkAbwBuAHMAXwBWAGEAcgBpAGEAYgBsAGUAIgAsACIARgBlAHIAdABpAGwAaQBzAGUAcgBfAEUAcQB1AGEAdABpAG8AbgBzAF8ATABlAGEAYwBoAGkAbgBnAEEAbgBkAFIAdQBuAG8AZgBmAC4AVgBFAEUAUgBHAF8ANQBfADUAXwAxAF8AMQBfAF8AMQBfAEYAZQByAHQAaQBsAGkAcwBlAHIATABlAGEAYwBoAGkAbgBnAEEAbgBkAFIAdQBuAG8AZgBmAE4AMgBPAEUAbQBpAHMAcwBpAG8AbgBzAF8AVQBuAGkAdAAiACwAIgBGAGUAcgB0AGkAbABpAHMAZQByAF8ARQBxAHUAYQB0AGkAbwBuAHMAXwBMAGUAYQBjAGgAaQBuAGcAQQBuAGQAUgB1AG4AbwBmAGYALgBWAEUARQBSAEcAXwA1AF8ANQBfADEAXwAxAF8AXwAxAF8ARgBlAHIAdABpAGwAaQBzAGUAcgBMAGUAYQBjAGgAaQBuAGcAQQBuAGQAUgB1AG4AbwBmAGYATgAyAE8ARQBtAGkAcwBzAGkAbwBuAHMAXwBTAG8AdQByAGMAZQAiACwAIgBGAGUAcgB0AGkAbABpAHMAZQByAF8ARQBxAHUAYQB0AGkAbwBuAHMAXwBMAGUAYQBjAGgAaQBuAGcAQQBuAGQAUgB1AG4AbwBmAGYALgBWAEUARQBSAEcAXwA1AF8ANQBfADEAXwAxAF8AXwAxAF8ARgBlAHIAdABpAGwAaQBzAGUAcgBMAGUAYQBjAGgAaQBuAGcAQQBuAGQAUgB1AG4AbwBmAGYATgAyAE8ARQBtAGkAcwBzAGkAbwBuAHMAXwBOAEkAUgBSAGUAZgBlAHIAZQBuAGMAZQAiACwAIgBGAGUAcgB0AGkAbABpAHMAZQByAF8ARQBxAHUAYQB0AGkAbwBuAHMAXwBMAGUAYQBjAGgAaQBuAGcAQQBuAGQAUgB1AG4AbwBmAGYALgBWAEUARQBSAEcAXwA1AF8ANQBfADEAXwAxAF8AXwAxAF8ARgBlAHIAdABpAGwAaQBzAGUAcgBMAGUAYQBjAGgAaQBuAGcAQQBuAGQAUgB1AG4AbwBmAGYATgAyAE8ARQBtAGkAcwBzAGkAbwBuAHMAXwBMAGEAdABlAHgARQBxAHUAYQB0AGkAbwBuACIALAAiAEYAZQByAHQAaQBsAGkAcwBlAHIAXwBFAHEAdQBhAHQAaQBvAG4AcwBfAEwAZQBhAGMAaABpAG4AZwBBAG4AZABSAHUAbgBvAGYAZgAuAFYARQBFAFIARwBfADUAXwA1AF8AMQBfADEAXwBfADEAXwBGAGUAcgB0AGkAbABpAHMAZQByAEwAZQBhAGMAaABpAG4AZwBBAG4AZABSAHUAbgBvAGYAZgBOADIATwBFAG0AaQBzAHMAaQBvAG4AcwBfAEEAcgBnAHUAbQBlAG4AdABzACIALAAiAEYAZQByAHQAaQBsAGkAcwBlAHIAXwBFAHEAdQBhAHQAaQBvAG4AcwBfAEwAZQBhAGMAaABpAG4AZwBBAG4AZABSAHUAbgBvAGYAZgAuAFYARQBFAFIARwBfADUAXwA1AF8AMQBfADEAXwBfADIAXwBNAGEAcwBzAE8AZgBOAGkAdAByAG8AZwBlAG4ATABlAGEAYwBoAGUAZABGAHIAbwBtAEkAbgBvAHIAZwBhAG4AaQBjAEYAZQByAHQAaQBsAGkAcwBlAHIAIgAsACIARgBlAHIAdABpAGwAaQBzAGUAcgBfAEUAcQB1AGEAdABpAG8AbgBzAF8ATABlAGEAYwBoAGkAbgBnAEEAbgBkAFIAdQBuAG8AZgBmAC4AVgBFAEUAUgBHAF8ANQBfADUAXwAxAF8AMQBfAF8AMgBfAE0AYQBzAHMATwBmAE4AaQB0AHIAbwBnAGUAbgBMAGUAYQBjAGgAZQBkAEYAcgBvAG0ASQBuAG8AcgBnAGEAbgBpAGMARgBlAHIAdABpAGwAaQBzAGUAcgBfAFQAaQB0AGwAZQAiACwAIgBGAGUAcgB0AGkAbABpAHMAZQByAF8ARQBxAHUAYQB0AGkAbwBuAHMAXwBMAGUAYQBjAGgAaQBuAGcAQQBuAGQAUgB1AG4AbwBmAGYALgBWAEUARQBSAEcAXwA1AF8ANQBfADEAXwAxAF8AXwAyAF8ATQBhAHMAcwBPAGYATgBpAHQAcgBvAGcAZQBuAEwAZQBhAGMAaABlAGQARgByAG8AbQBJAG4AbwByAGcAYQBuAGkAYwBGAGUAcgB0AGkAbABpAHMAZQByAF8AVgBhAHIAaQBhAGIAbABlACIALAAiAEYAZQByAHQAaQBsAGkAcwBlAHIAXwBFAHEAdQBhAHQAaQBvAG4AcwBfAEwAZQBhAGMAaABpAG4AZwBBAG4AZABSAHUAbgBvAGYAZgAuAFYARQBFAFIARwBfADUAXwA1AF8AMQBfADEAXwBfADIAXwBNAGEAcwBzAE8AZgBOAGkAdAByAG8AZwBlAG4ATABlAGEAYwBoAGUAZABGAHIAbwBtAEkAbgBvAHIAZwBhAG4AaQBjAEYAZQByAHQAaQBsAGkAcwBlAHIAXwBVAG4AaQB0ACIALAAiAEYAZQByAHQAaQBsAGkAcwBlAHIAXwBFAHEAdQBhAHQAaQBvAG4AcwBfAEwAZQBhAGMAaABpAG4AZwBBAG4AZABSAHUAbgBvAGYAZgAuAFYARQBFAFIARwBfADUAXwA1AF8AMQBfADEAXwBfADIAXwBNAGEAcwBzAE8AZgBOAGkAdAByAG8AZwBlAG4ATABlAGEAYwBoAGUAZABGAHIAbwBtAEkAbgBvAHIAZwBhAG4AaQBjAEYAZQByAHQAaQBsAGkAcwBlAHIAXwBTAG8AdQByAGMAZQAiACwAIgBGAGUAcgB0AGkAbABpAHMAZQByAF8ARQBxAHUAYQB0AGkAbwBuAHMAXwBMAGUAYQBjAGgAaQBuAGcAQQBuAGQAUgB1AG4AbwBmAGYALgBWAEUARQBSAEcAXwA1AF8ANQBfADEAXwAxAF8AXwAyAF8ATQBhAHMAcwBPAGYATgBpAHQAcgBvAGcAZQBuAEwAZQBhAGMAaABlAGQARgByAG8AbQBJAG4AbwByAGcAYQBuAGkAYwBGAGUAcgB0AGkAbABpAHMAZQByAF8ATgBJAFIAUgBlAGYAZQByAGUAbgBjAGUAIgAsACIARgBlAHIAdABpAGwAaQBzAGUAcgBfAEUAcQB1AGEAdABpAG8AbgBzAF8ATABlAGEAYwBoAGkAbgBnAEEAbgBkAFIAdQBuAG8AZgBmAC4AVgBFAEUAUgBHAF8ANQBfADUAXwAxAF8AMQBfAF8AMgBfAE0AYQBzAHMATwBmAE4AaQB0AHIAbwBnAGUAbgBMAGUAYQBjAGgAZQBkAEYAcgBvAG0ASQBuAG8AcgBnAGEAbgBpAGMARgBlAHIAdABpAGwAaQBzAGUAcgBfAEwAYQB0AGUAeABFAHEAdQBhAHQAaQBvAG4AIgAsACIARgBlAHIAdABpAGwAaQBzAGUAcgBfAEUAcQB1AGEAdABpAG8AbgBzAF8ATABlAGEAYwBoAGkAbgBnAEEAbgBkAFIAdQBuAG8AZgBmAC4AVgBFAEUAUgBHAF8ANQBfADUAXwAxAF8AMQBfAF8AMgBfAE0AYQBzAHMATwBmAE4AaQB0AHIAbwBnAGUAbgBMAGUAYQBjAGgAZQBkAEYAcgBvAG0ASQBuAG8AcgBnAGEAbgBpAGMARgBlAHIAdABpAGwAaQBzAGUAcgBfAEEAcgBnAHUAbQBlAG4AdABzACIALAAiAEYAZQByAHQAaQBsAGkAcwBlAHIAXwBFAHEAdQBhAHQAaQBvAG4AcwBfAEwAZQBhAGMAaABpAG4AZwBBAG4AZABSAHUAbgBvAGYAZgAuAFYARQBFAFIARwBfADUAXwA1AF8AMQBfADEAXwBfADMAXwBNAGEAcwBzAE8AZgBOAGkAdAByAG8AZwBlAG4ATABlAGEAYwBoAGUAZABGAHIAbwBtAE8AcgBnAGEAbgBpAGMARgBlAHIAdABpAGwAaQBzAGUAcgAiACwAIgBGAGUAcgB0AGkAbABpAHMAZQByAF8ARQBxAHUAYQB0AGkAbwBuAHMAXwBMAGUAYQBjAGgAaQBuAGcAQQBuAGQAUgB1AG4AbwBmAGYALgBWAEUARQBSAEcAXwA1AF8ANQBfADEAXwAxAF8AXwAzAF8ATQBhAHMAcwBPAGYATgBpAHQAcgBvAGcAZQBuAEwAZQBhAGMAaABlAGQARgByAG8AbQBPAHIAZwBhAG4AaQBjAEYAZQByAHQAaQBsAGkAcwBlAHIAXwBUAGkAdABsAGUAIgAsACIARgBlAHIAdABpAGwAaQBzAGUAcgBfAEUAcQB1AGEAdABpAG8AbgBzAF8ATABlAGEAYwBoAGkAbgBnAEEAbgBkAFIAdQBuAG8AZgBmAC4AVgBFAEUAUgBHAF8ANQBfADUAXwAxAF8AMQBfAF8AMwBfAE0AYQBzAHMATwBmAE4AaQB0AHIAbwBnAGUAbgBMAGUAYQBjAGgAZQBkAEYAcgBvAG0ATwByAGcAYQBuAGkAYwBGAGUAcgB0AGkAbABpAHMAZQByAF8AVgBhAHIAaQBhAGIAbABlACIALAAiAEYAZQByAHQAaQBsAGkAcwBlAHIAXwBFAHEAdQBhAHQAaQBvAG4AcwBfAEwAZQBhAGMAaABpAG4AZwBBAG4AZABSAHUAbgBvAGYAZgAuAFYARQBFAFIARwBfADUAXwA1AF8AMQBfADEAXwBfADMAXwBNAGEAcwBzAE8AZgBOAGkAdAByAG8AZwBlAG4ATABlAGEAYwBoAGUAZABGAHIAbwBtAE8AcgBnAGEAbgBpAGMARgBlAHIAdABpAGwAaQBzAGUAcgBfAFUAbgBpAHQAIgAsACIARgBlAHIAdABpAGwAaQBzAGUAcgBfAEUAcQB1AGEAdABpAG8AbgBzAF8ATABlAGEAYwBoAGkAbgBnAEEAbgBkAFIAdQBuAG8AZgBmAC4AVgBFAEUAUgBHAF8ANQBfADUAXwAxAF8AMQBfAF8AMwBfAE0AYQBzAHMATwBmAE4AaQB0AHIAbwBnAGUAbgBMAGUAYQBjAGgAZQBkAEYAcgBvAG0ATwByAGcAYQBuAGkAYwBGAGUAcgB0AGkAbABpAHMAZQByAF8AUwBvAHUAcgBjAGUAIgAsACIARgBlAHIAdABpAGwAaQBzAGUAcgBfAEUAcQB1AGEAdABpAG8AbgBzAF8ATABlAGEAYwBoAGkAbgBnAEEAbgBkAFIAdQBuAG8AZgBmAC4AVgBFAEUAUgBHAF8ANQBfADUAXwAxAF8AMQBfAF8AMwBfAE0AYQBzAHMATwBmAE4AaQB0AHIAbwBnAGUAbgBMAGUAYQBjAGgAZQBkAEYAcgBvAG0ATwByAGcAYQBuAGkAYwBGAGUAcgB0AGkAbABpAHMAZQByAF8ATgBJAFIAUgBlAGYAZQByAGUAbgBjAGUAIgAsACIARgBlAHIAdABpAGwAaQBzAGUAcgBfAEUAcQB1AGEAdABpAG8AbgBzAF8ATABlAGEAYwBoAGkAbgBnAEEAbgBkAFIAdQBuAG8AZgBmAC4AVgBFAEUAUgBHAF8ANQBfADUAXwAxAF8AMQBfAF8AMwBfAE0AYQBzAHMATwBmAE4AaQB0AHIAbwBnAGUAbgBMAGUAYQBjAGgAZQBkAEYAcgBvAG0ATwByAGcAYQBuAGkAYwBGAGUAcgB0AGkAbABpAHMAZQByAF8ATABhAHQAZQB4AEUAcQB1AGEAdABpAG8AbgAiACwAIgBGAGUAcgB0AGkAbABpAHMAZQByAF8ARQBxAHUAYQB0AGkAbwBuAHMAXwBMAGUAYQBjAGgAaQBuAGcAQQBuAGQAUgB1AG4AbwBmAGYALgBWAEUARQBSAEcAXwA1AF8ANQBfADEAXwAxAF8AXwAzAF8ATQBhAHMAcwBPAGYATgBpAHQAcgBvAGcAZQBuAEwAZQBhAGMAaABlAGQARgByAG8AbQBPAHIAZwBhAG4AaQBjAEYAZQByAHQAaQBsAGkAcwBlAHIAXwBBAHIAZwB1AG0AZQBuAHQAcwAiACwAIgBXAGEAcwB0AGUAUwBvAGwAaQBkAF8ASQBuAHAAdQB0AEYAdQBuAGMAdABpAG8AbgBzAC4AVwBhAHMAdABlAFMAbwBsAGkAZABfAEkAbgBwAHUAdABGAHUAbgBjAHQAaQBvAG4AcwBfAFMAdQBtAFcAYQBzAHQAZQBUAHIAZQBhAHQAbQBlAG4AdAAiACwAIgBXAGEAcwB0AGUAUwBvAGwAaQBkAF8AUwBvAHUAcgBjAGUARABhAHQAYQAuAFcAYQBzAHQAZQBfAEUAbQBpAHMAcwBpAG8AbgBGAGEAYwB0AG8AcgBzAEYAbwByAFcAYQBzAHQAZQBUAHIAZQBhAHQAbQBlAG4AdABfAFQAaQB0AGwAZQAiACwAIgBXAGEAcwB0AGUAUwBvAGwAaQBkAF8AUwBvAHUAcgBjAGUARABhAHQAYQAuAFcAYQBzAHQAZQBfAEUAbQBpAHMAcwBpAG8AbgBGAGEAYwB0AG8AcgBzAEYAbwByAFcAYQBzAHQAZQBUAHIAZQBhAHQAbQBlAG4AdABfAFYAYQByAGkAYQBiAGwAZQAiACwAIgBXAGEAcwB0AGUAUwBvAGwAaQBkAF8AUwBvAHUAcgBjAGUARABhAHQAYQAuAFcAYQBzAHQAZQBfAEUAbQBpAHMAcwBpAG8AbgBGAGEAYwB0AG8AcgBzAEYAbwByAFcAYQBzAHQAZQBUAHIAZQBhAHQAbQBlAG4AdABfAFUAbgBpAHQAIgAsACIAVwBhAHMAdABlAFMAbwBsAGkAZABfAFMAbwB1AHIAYwBlAEQAYQB0AGEALgBXAGEAcwB0AGUAXwBFAG0AaQBzAHMAaQBvAG4ARgBhAGMAdABvAHIAcwBGAG8AcgBXAGEAcwB0AGUAVAByAGUAYQB0AG0AZQBuAHQAXwBTAG8AdQByAGMAZQAiACwAIgBXAGEAcwB0AGUAUwBvAGwAaQBkAF8AUwBvAHUAcgBjAGUARABhAHQAYQAuAFcAYQBzAHQAZQBfAEUAbQBpAHMAcwBpAG8AbgBGAGEAYwB0AG8AcgBzAEYAbwByAFcAYQBzAHQAZQBUAHIAZQBhAHQAbQBlAG4AdABfAEQAYQB0AGEAIgAsACIAVwBhAHMAdABlAFMAbwBsAGkAZABfAFMAbwB1AHIAYwBlAEQAYQB0AGEALgBXAGEAcwB0AGUAXwBFAG0AaQBzAHMAaQBvAG4ARgBhAGMAdABvAHIAcwBGAG8AcgBXAGEAcwB0AGUAVAByAGUAYQB0AG0AZQBuAHQAXwBWAGEAcgBpAGEAdABpAG8AbgAiACwAIgBXAGEAcwB0AGUAUwBvAGwAaQBkAF8AUwBvAHUAcgBjAGUARABhAHQAYQAuAFcAYQBzAHQAZQBfAFcAYQBzAHQAZQBWAG8AbAB1AG0AZQBUAG8ATQBhAHMAcwBDAG8AbgB2AGUAcgBzAGkAbwBuAF8AVABpAHQAbABlACIALAAiAFcAYQBzAHQAZQBTAG8AbABpAGQAXwBTAG8AdQByAGMAZQBEAGEAdABhAC4AVwBhAHMAdABlAF8AVwBhAHMAdABlAFYAbwBsAHUAbQBlAFQAbwBNAGEAcwBzAEMAbwBuAHYAZQByAHMAaQBvAG4AXwBWAGEAcgBpAGEAYgBsAGUAIgAsACIAVwBhAHMAdABlAFMAbwBsAGkAZABfAFMAbwB1AHIAYwBlAEQAYQB0AGEALgBXAGEAcwB0AGUAXwBXAGEAcwB0AGUAVgBvAGwAdQBtAGUAVABvAE0AYQBzAHMAQwBvAG4AdgBlAHIAcwBpAG8AbgBfAFUAbgBpAHQAIgAsACIAVwBhAHMAdABlAFMAbwBsAGkAZABfAFMAbwB1AHIAYwBlAEQAYQB0AGEALgBXAGEAcwB0AGUAXwBXAGEAcwB0AGUAVgBvAGwAdQBtAGUAVABvAE0AYQBzAHMAQwBvAG4AdgBlAHIAcwBpAG8AbgBfAFMAbwB1AHIAYwBlACIALAAiAFcAYQBzAHQAZQBTAG8AbABpAGQAXwBTAG8AdQByAGMAZQBEAGEAdABhAC4AVwBhAHMAdABlAF8AVwBhAHMAdABlAFYAbwBsAHUAbQBlAFQAbwBNAGEAcwBzAEMAbwBuAHYAZQByAHMAaQBvAG4AXwBEAGEAdABhACIALAAiAFcAYQBzAHQAZQBTAG8AbABpAGQAXwBTAG8AdQByAGMAZQBEAGEAdABhAC4AVwBhAHMAdABlAF8AVwBhAHMAdABlAFYAbwBsAHUAbQBlAFQAbwBNAGEAcwBzAEMAbwBuAHYAZQByAHMAaQBvAG4AXwBWAGEAcgBpAGEAdABpAG8AbgAiACwAIgBXAGEAcwB0AGUAUwBvAGwAaQBkAF8ARQBxAHUAYQB0AGkAbwBuAHMALgBWAEUARQBSAEcAXwAxADAAXwAxAF8AMQBfADEAXwBfADEAXwBFAG0AaQBzAHMAaQBvAG4AcwBGAHIAbwBtAFcAYQBzAHQAZQBNAGEAbgBhAGcAZQBtAGUAbgB0ACIALAAiAFcAYQBzAHQAZQBTAG8AbABpAGQAXwBFAHEAdQBhAHQAaQBvAG4AcwAuAFYARQBFAFIARwBfADEAMABfADEAXwAxAF8AMQBfAF8AMQBfAEUAbQBpAHMAcwBpAG8AbgBzAEYAcgBvAG0AVwBhAHMAdABlAE0AYQBuAGEAZwBlAG0AZQBuAHQAXwBUAGkAdABsAGUAIgAsACIAVwBhAHMAdABlAFMAbwBsAGkAZABfAEUAcQB1AGEAdABpAG8AbgBzAC4AVgBFAEUAUgBHAF8AMQAwAF8AMQBfADEAXwAxAF8AXwAxAF8ARQBtAGkAcwBzAGkAbwBuAHMARgByAG8AbQBXAGEAcwB0AGUATQBhAG4AYQBnAGUAbQBlAG4AdABfAFYAYQByAGkAYQBiAGwAZQAiACwAIgBXAGEAcwB0AGUAUwBvAGwAaQBkAF8ARQBxAHUAYQB0AGkAbwBuAHMALgBWAEUARQBSAEcAXwAxADAAXwAxAF8AMQBfADEAXwBfADEAXwBFAG0AaQBzAHMAaQBvAG4AcwBGAHIAbwBtAFcAYQBzAHQAZQBNAGEAbgBhAGcAZQBtAGUAbgB0AF8AVQBuAGkAdAAiACwAIgBXAGEAcwB0AGUAUwBvAGwAaQBkAF8ARQBxAHUAYQB0AGkAbwBuAHMALgBWAEUARQBSAEcAXwAxADAAXwAxAF8AMQBfADEAXwBfADEAXwBFAG0AaQBzAHMAaQBvAG4AcwBGAHIAbwBtAFcAYQBzAHQAZQBNAGEAbgBhAGcAZQBtAGUAbgB0AF8AUwBvAHUAcgBjAGUAIgAsACIAVwBhAHMAdABlAFMAbwBsAGkAZABfAEUAcQB1AGEAdABpAG8AbgBzAC4AVgBFAEUAUgBHAF8AMQAwAF8AMQBfADEAXwAxAF8AXwAxAF8ARQBtAGkAcwBzAGkAbwBuAHMARgByAG8AbQBXAGEAcwB0AGUATQBhAG4AYQBnAGUAbQBlAG4AdABfAE4ASQBSAFIAZQBmAGUAcgBlAG4AYwBlACIALAAiAFcAYQBzAHQAZQBTAG8AbABpAGQAXwBFAHEAdQBhAHQAaQBvAG4AcwAuAFYARQBFAFIARwBfADEAMABfADEAXwAxAF8AMQBfAF8AMQBfAEUAbQBpAHMAcwBpAG8AbgBzAEYAcgBvAG0AVwBhAHMAdABlAE0AYQBuAGEAZwBlAG0AZQBuAHQAXwBMAGEAdABlAHgARQBxAHUAYQB0AGkAbwBuACIALAAiAFcAYQBzAHQAZQBTAG8AbABpAGQAXwBFAHEAdQBhAHQAaQBvAG4AcwAuAFYARQBFAFIARwBfADEAMABfADEAXwAxAF8AMQBfAF8AMQBfAEUAbQBpAHMAcwBpAG8AbgBzAEYAcgBvAG0AVwBhAHMAdABlAE0AYQBuAGEAZwBlAG0AZQBuAHQAXwBBAHIAZwB1AG0AZQBuAHQAcwAiACwAIgBXAGEAcwB0AGUAUwBvAGwAaQBkAF8ARQBxAHUAYQB0AGkAbwBuAHMALgBWAEUARQBSAEcAXwAxADAAXwAxAF8AMQBfADEAXwBfADEAXwBFAG0AaQBzAHMAaQBvAG4AcwBGAHIAbwBtAFcAYQBzAHQAZQBNAGEAbgBhAGcAZQBtAGUAbgB0AF8AVgBhAHIAaQBhAHQAaQBvAG4AIgAsACIAVwBhAHMAdABlAFMAbwBsAGkAZABfAEUAcQB1AGEAdABpAG8AbgBzAC4AVgBFAEUAUgBHAF8AMQAwAF8AMQBfADEAXwAxAF8AXwAyAF8ATQBhAHMAcwBPAGYAVwBhAHMAdABlAEYAcgBvAG0AVgBvAGwAdQBtAGUAIgAsACIAVwBhAHMAdABlAFMAbwBsAGkAZABfAEUAcQB1AGEAdABpAG8AbgBzAC4AVgBFAEUAUgBHAF8AMQAwAF8AMQBfADEAXwAxAF8AXwAyAF8ATQBhAHMAcwBPAGYAVwBhAHMAdABlAEYAcgBvAG0AVgBvAGwAdQBtAGUAXwBUAGkAdABsAGUAIgAsACIAVwBhAHMAdABlAFMAbwBsAGkAZABfAEUAcQB1AGEAdABpAG8AbgBzAC4AVgBFAEUAUgBHAF8AMQAwAF8AMQBfADEAXwAxAF8AXwAyAF8ATQBhAHMAcwBPAGYAVwBhAHMAdABlAEYAcgBvAG0AVgBvAGwAdQBtAGUAXwBWAGEAcgBpAGEAYgBsAGUAIgAsACIAVwBhAHMAdABlAFMAbwBsAGkAZABfAEUAcQB1AGEAdABpAG8AbgBzAC4AVgBFAEUAUgBHAF8AMQAwAF8AMQBfADEAXwAxAF8AXwAyAF8ATQBhAHMAcwBPAGYAVwBhAHMAdABlAEYAcgBvAG0AVgBvAGwAdQBtAGUAXwBVAG4AaQB0ACIALAAiAFcAYQBzAHQAZQBTAG8AbABpAGQAXwBFAHEAdQBhAHQAaQBvAG4AcwAuAFYARQBFAFIARwBfADEAMABfADEAXwAxAF8AMQBfAF8AMgBfAE0AYQBzAHMATwBmAFcAYQBzAHQAZQBGAHIAbwBtAFYAbwBsAHUAbQBlAF8AUwBvAHUAcgBjAGUAIgAsACIAVwBhAHMAdABlAFMAbwBsAGkAZABfAEUAcQB1AGEAdABpAG8AbgBzAC4AVgBFAEUAUgBHAF8AMQAwAF8AMQBfADEAXwAxAF8AXwAyAF8ATQBhAHMAcwBPAGYAVwBhAHMAdABlAEYAcgBvAG0AVgBvAGwAdQBtAGUAXwBOAEkAUgBSAGUAZgBlAHIAZQBuAGMAZQAiACwAIgBXAGEAcwB0AGUAUwBvAGwAaQBkAF8ARQBxAHUAYQB0AGkAbwBuAHMALgBWAEUARQBSAEcAXwAxADAAXwAxAF8AMQBfADEAXwBfADIAXwBNAGEAcwBzAE8AZgBXAGEAcwB0AGUARgByAG8AbQBWAG8AbAB1AG0AZQBfAEwAYQB0AGUAeABFAHEAdQBhAHQAaQBvAG4AIgAsACIAVwBhAHMAdABlAFMAbwBsAGkAZABfAEUAcQB1AGEAdABpAG8AbgBzAC4AVgBFAEUAUgBHAF8AMQAwAF8AMQBfADEAXwAxAF8AXwAyAF8ATQBhAHMAcwBPAGYAVwBhAHMAdABlAEYAcgBvAG0AVgBvAGwAdQBtAGU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Props1.xml><?xml version="1.0" encoding="utf-8"?>
<ds:datastoreItem xmlns:ds="http://schemas.openxmlformats.org/officeDocument/2006/customXml" ds:itemID="{8523A1ED-64A4-4F28-87AE-B321FB11927F}">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Overview</vt:lpstr>
      <vt:lpstr>Results</vt:lpstr>
      <vt:lpstr>Input - Site</vt:lpstr>
      <vt:lpstr>Input - Fuel</vt:lpstr>
      <vt:lpstr>Input - Fertiliser</vt:lpstr>
      <vt:lpstr>Input - Farm Inputs</vt:lpstr>
      <vt:lpstr>Input - Freight</vt:lpstr>
      <vt:lpstr>Input - Waste sent off-site</vt:lpstr>
      <vt:lpstr>Input - Electricity</vt:lpstr>
      <vt:lpstr>15 Scope 3</vt:lpstr>
      <vt:lpstr>10.1.1-2 Solid waste treatment</vt:lpstr>
      <vt:lpstr>Calcs - Manure sent off-site</vt:lpstr>
      <vt:lpstr>8.1.1.1-2 Transport fuel</vt:lpstr>
      <vt:lpstr>8.2.1.1-2 Stationary fuel</vt:lpstr>
      <vt:lpstr>Constants - Scope 3</vt:lpstr>
      <vt:lpstr>Constants - Solid Waste</vt:lpstr>
      <vt:lpstr>Constants - Fuel</vt:lpstr>
      <vt:lpstr>Constants - Poultry</vt:lpstr>
      <vt:lpstr>Constants - Swine</vt:lpstr>
      <vt:lpstr>Constants - Dairy</vt:lpstr>
      <vt:lpstr>Constants - Pasture Beef</vt:lpstr>
      <vt:lpstr>Constants - Common Livestock</vt:lpstr>
      <vt:lpstr>Constants - Fertiliser</vt:lpstr>
      <vt:lpstr>Constants - Electricity</vt:lpstr>
      <vt:lpstr>Constants - Common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2026-05-25T02:58:55Z</dcterms:created>
  <dcterms:modified xsi:type="dcterms:W3CDTF">2026-06-10T02:18:28Z</dcterms:modified>
</cp:coreProperties>
</file>