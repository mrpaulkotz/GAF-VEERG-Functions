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0C9C1C3-EBD6-4EB1-B7FA-8D06C40C99FA}"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4"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124" l="1" a="1"/>
  <c r="D117" i="124" s="1"/>
  <c r="D107" i="124" a="1"/>
  <c r="D107" i="124" s="1"/>
  <c r="D83" i="124" a="1"/>
  <c r="D83" i="124" s="1"/>
  <c r="D59" i="124" a="1"/>
  <c r="D59" i="124" s="1"/>
  <c r="A16" i="70"/>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D19" i="120" a="1"/>
  <c r="D19" i="120" s="1"/>
  <c r="I14" i="120"/>
  <c r="E17" i="120" s="1"/>
  <c r="F22" i="120" a="1"/>
  <c r="F22" i="120" s="1"/>
  <c r="F17" i="120"/>
  <c r="I13" i="120"/>
  <c r="A136" i="120"/>
  <c r="A109" i="120"/>
  <c r="A66" i="120"/>
  <c r="I15" i="120"/>
  <c r="J26" i="69"/>
  <c r="J22" i="69"/>
  <c r="J19" i="69"/>
  <c r="A16" i="13"/>
  <c r="A15" i="13"/>
  <c r="A8" i="13"/>
  <c r="A5" i="13"/>
  <c r="A4" i="13"/>
  <c r="A3" i="13"/>
  <c r="F35" i="69" a="1"/>
  <c r="F35" i="69" s="1"/>
  <c r="D32" i="69" a="1"/>
  <c r="D32" i="69" s="1"/>
  <c r="H49" i="124" l="1"/>
  <c r="H48" i="124"/>
  <c r="H51" i="124"/>
  <c r="H52" i="124"/>
  <c r="H53" i="124"/>
  <c r="H54" i="124"/>
  <c r="H50" i="124"/>
  <c r="J27" i="69"/>
  <c r="G19" i="120" l="1"/>
  <c r="E22" i="120" s="1" a="1"/>
  <c r="E22" i="120" s="1"/>
  <c r="H10" i="13" s="1"/>
  <c r="I10" i="13" s="1"/>
  <c r="E10" i="13"/>
  <c r="F10" i="13" s="1"/>
  <c r="J25" i="69"/>
  <c r="J24" i="69"/>
  <c r="J23" i="69"/>
  <c r="J21" i="69" a="1"/>
  <c r="J21" i="69" s="1"/>
  <c r="J20" i="69"/>
  <c r="J28" i="69"/>
  <c r="J18" i="69" a="1"/>
  <c r="J18" i="69" s="1"/>
  <c r="J17" i="69"/>
  <c r="J16" i="69"/>
  <c r="J15" i="69"/>
  <c r="J14" i="69"/>
  <c r="F30" i="69"/>
  <c r="E30" i="69" l="1"/>
  <c r="G32" i="69" s="1"/>
  <c r="E35" i="69" s="1" a="1"/>
  <c r="E35" i="69" s="1"/>
  <c r="H9" i="13" s="1"/>
  <c r="D57" i="70"/>
  <c r="E9" i="13" l="1"/>
  <c r="H11" i="13"/>
  <c r="I9" i="13"/>
  <c r="I11" i="13" s="1"/>
  <c r="A77" i="110"/>
  <c r="A49" i="110"/>
  <c r="A109" i="69"/>
  <c r="A136" i="69"/>
  <c r="A66" i="69"/>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<sst xmlns="http://schemas.openxmlformats.org/spreadsheetml/2006/main" count="605" uniqueCount="384">
  <si>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</si>
  <si>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</si>
  <si>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</si>
  <si>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</si>
  <si>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</si>
  <si>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</si>
  <si>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</si>
  <si>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</si>
  <si>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</si>
  <si>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</si>
  <si>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</si>
  <si>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</si>
  <si>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</si>
  <si>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</si>
  <si>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</si>
  <si>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</si>
  <si>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</si>
  <si>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</si>
  <si>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</si>
  <si>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</si>
  <si>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</si>
  <si>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</si>
  <si>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</si>
  <si>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</si>
  <si>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</si>
  <si>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</si>
  <si>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</si>
  <si>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</si>
  <si>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</si>
  <si>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</si>
  <si>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</si>
  <si>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</si>
  <si>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</si>
  <si>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</si>
  <si>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</si>
  <si>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</si>
  <si>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</si>
  <si>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</si>
  <si>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</si>
  <si>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</si>
  <si>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</si>
  <si>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</si>
  <si>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</si>
  <si>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</si>
  <si>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</si>
  <si>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</si>
  <si>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</si>
  <si>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</si>
  <si>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</si>
  <si>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</si>
  <si>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</si>
  <si>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</si>
  <si>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</si>
  <si>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</si>
  <si>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</si>
  <si>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</si>
  <si>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</si>
  <si>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</si>
  <si>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</si>
  <si>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</si>
  <si>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</si>
  <si>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</si>
  <si>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</si>
  <si>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</si>
  <si>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</si>
  <si>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</si>
  <si>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</si>
  <si>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</si>
  <si>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</si>
  <si>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</si>
  <si>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</si>
  <si>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</si>
  <si>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</si>
  <si>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</si>
  <si>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</si>
  <si>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</si>
  <si>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</si>
  <si>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</si>
  <si>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</si>
  <si>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</si>
  <si>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</si>
  <si>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</si>
  <si>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</si>
  <si>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</si>
  <si>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</si>
  <si>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</si>
  <si>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</si>
  <si>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</si>
  <si>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</si>
  <si>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</si>
  <si>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</si>
  <si>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</si>
  <si>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</si>
  <si>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</si>
  <si>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</si>
  <si>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</si>
  <si>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</si>
  <si>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</si>
  <si>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</si>
  <si>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</si>
  <si>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</si>
  <si>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</si>
  <si>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</si>
  <si>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</si>
  <si>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</si>
  <si>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</si>
  <si>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</si>
  <si>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</si>
  <si>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</si>
  <si>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</si>
  <si>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</si>
  <si>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</si>
  <si>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</si>
  <si>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</si>
  <si>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</si>
  <si>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</si>
  <si>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</si>
  <si>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</si>
  <si>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</si>
  <si>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t>These values are identical - check NGAF and NGER</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</si>
  <si>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</si>
  <si>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</si>
  <si>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</si>
  <si>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</si>
  <si>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</si>
  <si>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</si>
  <si>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</si>
  <si>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</si>
  <si>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</si>
  <si>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</si>
  <si>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</si>
  <si>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</si>
  <si>
    <t>Methane emissions from wastewater treatment</t>
  </si>
  <si>
    <t>VEERG 2026: 11.1.1.1, Equation (1)</t>
  </si>
  <si>
    <t xml:space="preserve">VARIATION ON SOURCE: Changed units of EF_ww, EF_Sludge and EF_flared from CO2e to CH4 to match data in Table </t>
  </si>
  <si>
    <t>E_CH4</t>
  </si>
  <si>
    <t>W_t</t>
  </si>
  <si>
    <t>quantity of wastewater treated at facility type t</t>
  </si>
  <si>
    <t>COD_in</t>
  </si>
  <si>
    <t>average inlet Chemical Oxygen Demand concentration of wastewater</t>
  </si>
  <si>
    <t>F_sludge</t>
  </si>
  <si>
    <t>fraction of COD removed from wastewater as sludge</t>
  </si>
  <si>
    <t>COD_out</t>
  </si>
  <si>
    <t>average outlet COD concentration of wastewater</t>
  </si>
  <si>
    <t>CF_ww_t</t>
  </si>
  <si>
    <t>methane correction factor for facility type t used to treat wastewater</t>
  </si>
  <si>
    <t>EF_ww</t>
  </si>
  <si>
    <t>methane emission factor for wastewater</t>
  </si>
  <si>
    <t>F_removed</t>
  </si>
  <si>
    <t>fraction of COD removed from the wastewater treatment facility and transferred elsewhere</t>
  </si>
  <si>
    <t>CF_sludge_t</t>
  </si>
  <si>
    <t>methane correction factor for facility type t used to treat sludge</t>
  </si>
  <si>
    <t>EF_sludge</t>
  </si>
  <si>
    <t>methane emission factor for sludge</t>
  </si>
  <si>
    <t>Q_cap</t>
  </si>
  <si>
    <t>quantity of methane in sludge biogas captured for combustion</t>
  </si>
  <si>
    <t>Q_flared</t>
  </si>
  <si>
    <t>quantity of methane in sludge biogas flared by the treatment facility</t>
  </si>
  <si>
    <t>Q_out</t>
  </si>
  <si>
    <t>quantity of methane in sludge biogas transferred out of the treatment facility</t>
  </si>
  <si>
    <t>EC_flared</t>
  </si>
  <si>
    <t>energy content factor of methane in sludge biogas flared</t>
  </si>
  <si>
    <t>EF_flaredCH4</t>
  </si>
  <si>
    <t>methane emission factor for sludge biogas flared</t>
  </si>
  <si>
    <t>t</t>
  </si>
  <si>
    <t>treatment facility type</t>
  </si>
  <si>
    <t>Input</t>
  </si>
  <si>
    <t>Constant</t>
  </si>
  <si>
    <t>kg CH4/kg COD</t>
  </si>
  <si>
    <t>GJ/m3</t>
  </si>
  <si>
    <t>kg CH4/GJ</t>
  </si>
  <si>
    <t>Nitrous oxide emissions from flared biogas</t>
  </si>
  <si>
    <t>VEERG 2026: 11.1.3.1, Equation (1)</t>
  </si>
  <si>
    <t>E_N2O</t>
  </si>
  <si>
    <t>volume of biogas flared</t>
  </si>
  <si>
    <t>energy content factor of sludge biogas flared</t>
  </si>
  <si>
    <t>EF_flaredN2O</t>
  </si>
  <si>
    <t>nitrous oxide emission factor for flared biogas</t>
  </si>
  <si>
    <t>kg N2O/GJ</t>
  </si>
  <si>
    <t>Methane correction factor for treatment facility type t used to treat wastewater</t>
  </si>
  <si>
    <t>VEERG 2026: Table A.4.1.3</t>
  </si>
  <si>
    <t>Managed aerobic treatment</t>
  </si>
  <si>
    <t>Anaerobic digestor/reactor</t>
  </si>
  <si>
    <t>Shallow anaerobic lagoon (≤ 2 m)</t>
  </si>
  <si>
    <t>Deep anaerobic lagoon (&gt; 2m)</t>
  </si>
  <si>
    <t>Methane correction factor for treatment facility type t used to treat sludge</t>
  </si>
  <si>
    <t>VEERG 2026: Table A.4.1.4</t>
  </si>
  <si>
    <t>Methane emission factor for wastewater</t>
  </si>
  <si>
    <t>VEERG 2026: 11.2.3 Constants</t>
  </si>
  <si>
    <t>EFww</t>
  </si>
  <si>
    <t>kg CH4 / kg COD</t>
  </si>
  <si>
    <t>Methane emission factor for sludge</t>
  </si>
  <si>
    <t>EFsludge</t>
  </si>
  <si>
    <t>Energy content factor of sludge biogas flared</t>
  </si>
  <si>
    <t>ECflared</t>
  </si>
  <si>
    <t>GJ / m3</t>
  </si>
  <si>
    <t>Methane emission factor for sludge biogas flared</t>
  </si>
  <si>
    <t>EFflared,CH4</t>
  </si>
  <si>
    <t>kg CH4 / GJ</t>
  </si>
  <si>
    <t>Nitrous oxide emission factor for sludge biogas flared</t>
  </si>
  <si>
    <t>EFflared,N2O</t>
  </si>
  <si>
    <t>kg N2O / GJ</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</si>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</sst>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FF0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31" fillId="16" borderId="0" xfId="8" applyFill="1">
      <alignment horizontal="left" vertical="center"/>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22" dataCellStyle="Content normal">
  <autoFilter ref="D9:E14" xr:uid="{86752300-1056-4C92-8247-C96E2D7BEDD4}">
    <filterColumn colId="0" hiddenButton="1"/>
    <filterColumn colId="1" hiddenButton="1"/>
  </autoFilter>
  <tableColumns count="2">
    <tableColumn id="1" xr3:uid="{60322701-4B4B-459F-8E0D-E1FDA0005D7E}" name="Facility type t" dataDxfId="21"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20"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19" dataCellStyle="Content normal">
  <autoFilter ref="D21:E26" xr:uid="{CAC655BD-F756-4971-8D46-22867B90DE87}">
    <filterColumn colId="0" hiddenButton="1"/>
    <filterColumn colId="1" hiddenButton="1"/>
  </autoFilter>
  <tableColumns count="2">
    <tableColumn id="1" xr3:uid="{D1DF76B8-1010-4952-AD56-4DF4622F5028}" name="Facility type t" dataDxfId="18"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17"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9D8D8-A94C-4765-A2F4-FBF3EB858A2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71512E4-DD77-45F5-A7DC-7F756E38E58B}" name="State/Territory">
      <calculatedColumnFormula array="1">Common_InputFunctions.Utility_DisplayArrayInTable(Common_SourceData.Common_SourceData_AustralianStatesTerritories_Data(),Table_AustralianStates[[#Headers],[State/Territory]],0)</calculatedColumnFormula>
    </tableColumn>
    <tableColumn id="2" xr3:uid="{67A2E349-9D96-4192-BF1C-973FE556FADB}" name="Common Name">
      <calculatedColumnFormula array="1">Common_InputFunctions.Utility_DisplayArrayInTable(Common_SourceData.Common_SourceData_AustralianStatesTerritories_Data(),Table_AustralianStates[[#Headers],[State/Territory]],0)</calculatedColumnFormula>
    </tableColumn>
    <tableColumn id="3" xr3:uid="{6C9B778A-6BC0-4CBC-92FC-621305E6382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49E782-62CC-4024-A8A1-E5EA1E498D2A}" name="Table_WASA4Areas" displayName="Table_WASA4Areas" ref="D20:D30" totalsRowShown="0">
  <autoFilter ref="D20:D30" xr:uid="{5FA81339-C6C8-4D36-BEEA-6C4AEDD9E676}">
    <filterColumn colId="0" hiddenButton="1"/>
  </autoFilter>
  <tableColumns count="1">
    <tableColumn id="1" xr3:uid="{9D56D53A-6694-4B57-A02F-8E9551CB7A1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A15D44-60E0-4864-879A-DD3FCF3315EE}" name="Table_GWPData" displayName="Table_GWPData" ref="D36:E43" totalsRowShown="0">
  <autoFilter ref="D36:E43" xr:uid="{B8E87A66-3E41-4AD3-925D-01EE21B43D7A}">
    <filterColumn colId="0" hiddenButton="1"/>
    <filterColumn colId="1" hiddenButton="1"/>
  </autoFilter>
  <tableColumns count="2">
    <tableColumn id="1" xr3:uid="{29D0E979-289C-49F4-93D3-6124A7F51BE5}" name="Gas">
      <calculatedColumnFormula array="1">Common_InputFunctions.Utility_DisplayArrayInTable(Common_SourceData.Common_SourceData_GWP_Data(), Table_GWPData[[#Headers],[Gas]], 0)</calculatedColumnFormula>
    </tableColumn>
    <tableColumn id="2" xr3:uid="{F1769B4A-4D35-4F1E-B9DA-F65441424C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352728F-1C63-4F70-B975-4EF1CA2C819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AD24F5B-C1DA-4F22-BB17-81A6F8D71410}" name="Gas">
      <calculatedColumnFormula array="1">Common_InputFunctions.Utility_DisplayArrayInTable(Common_SourceData.Common_SourceData_ConvertGasElementalToMolecular_Data(),Table_GasToMolecularConversionFactor[[#Headers],[Gas]], 0)</calculatedColumnFormula>
    </tableColumn>
    <tableColumn id="5" xr3:uid="{B50E9557-5672-4944-AC8B-E65E187DE052}" name="Conversion factor">
      <calculatedColumnFormula array="1">Common_InputFunctions.Utility_DisplayArrayInTable(Common_SourceData.Common_SourceData_ConvertGasElementalToMolecular_Data(),Table_GasToMolecularConversionFactor[[#Headers],[Gas]], 0)</calculatedColumnFormula>
    </tableColumn>
    <tableColumn id="2" xr3:uid="{85EF82D1-0A91-4FC0-96CC-52E8DE88242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C9DBC6F-DAFE-493B-A2AD-0B39C1BB80D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37F38D1-8FCD-4B3A-A678-FA02F0A28A6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570EA12-3286-4560-9BE6-60258611BC9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D0CF1D-7CD9-4066-8EE4-25FE923E5D3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F963462-2F2C-4BF6-A892-086541529F20}"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1B3F3876-9D6F-447A-A423-66E21AC0558A}"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A4802F3E-DC20-40F1-AC5A-D182C68519BB}"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1F7F9556-3126-439E-875C-D76E463F8036}"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DBB23AF3-C817-42CE-BE89-ADDA8D904773}"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60216B5C-783A-4916-AACF-4280FF3BECAD}"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1FE05885-DAC3-47B8-BEB3-6920E3033122}"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2B644226-778B-401E-99C4-CEB1DE3EDAE1}"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B73B8CF5-08DF-4843-B82E-B9FB1813470C}"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2516891E-4C4A-426D-8B84-5149409BFCBC}"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189C1E5A-6304-4676-A9EB-8B293F4544B2}"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14B9E9DB-0BCC-48C2-8CCA-57C75DB45D61}"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67D82299-FF27-4038-A32D-781A02A531ED}"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FB2C0315-064C-437A-86D7-3E8FA9F4822B}"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378C37E5-D887-4B5C-9001-232EF0A792B4}"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2F7A40-370B-4A1A-BB7E-6930F4763E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4AAB7B6-31A0-4522-84AE-3428F2D4D02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619F0C7-D005-4F89-B453-E75937AA076E}"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18547E-C2B9-4253-9B23-ECFAF5D3F0C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5952A61-6A28-4826-9977-99686E3CA96D}" name="Temperature Zone">
      <calculatedColumnFormula array="1">Common_InputFunctions.Utility_DisplayArrayInTable(Common_SourceData.Common_SourceData_TemperatureZones_Data(),Table_SourceData_TemperatureZones[[#Headers],[Temperature Zone]],0)</calculatedColumnFormula>
    </tableColumn>
    <tableColumn id="2" xr3:uid="{F49ABE84-00CE-4251-9431-9E6E70A546AC}" name="MAT">
      <calculatedColumnFormula array="1">Common_InputFunctions.Utility_DisplayArrayInTable(Common_SourceData.Common_SourceData_TemperatureZones_Data(),Table_SourceData_TemperatureZones[[#Headers],[Temperature Zone]],0)</calculatedColumnFormula>
    </tableColumn>
    <tableColumn id="3" xr3:uid="{0323FC01-6733-41DC-9E79-98C1FED01EC8}" name="Min MAT">
      <calculatedColumnFormula array="1">Common_InputFunctions.Utility_DisplayArrayInTable(Common_SourceData.Common_SourceData_TemperatureZones_Data(),Table_SourceData_TemperatureZones[[#Headers],[Temperature Zone]],0)</calculatedColumnFormula>
    </tableColumn>
    <tableColumn id="4" xr3:uid="{F9992E54-F3A7-462B-BC56-E5BA0C72765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FAB6A22-121F-4A50-9152-A8E58012281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A7B006-3B9B-490B-A956-7F904A9BC1A0}" name="Rainfall Zone">
      <calculatedColumnFormula array="1">Common_InputFunctions.Utility_DisplayArrayInTable(Common_SourceData.Common_SourceData_RainfallZones_Data(),Table_SourceData_RainfallZones[[#Headers],[Rainfall Zone]],0)</calculatedColumnFormula>
    </tableColumn>
    <tableColumn id="2" xr3:uid="{A3178854-1904-46B6-9601-FBCC390F839C}" name="Annual rainfall">
      <calculatedColumnFormula array="1">Common_InputFunctions.Utility_DisplayArrayInTable(Common_SourceData.Common_SourceData_RainfallZones_Data(),Table_SourceData_RainfallZones[[#Headers],[Rainfall Zone]],0)</calculatedColumnFormula>
    </tableColumn>
    <tableColumn id="3" xr3:uid="{D21F920E-74C3-43C6-8E18-6CFD69944EC3}" name="Min rainfall">
      <calculatedColumnFormula array="1">Common_InputFunctions.Utility_DisplayArrayInTable(Common_SourceData.Common_SourceData_RainfallZones_Data(),Table_SourceData_RainfallZones[[#Headers],[Rainfall Zone]],0)</calculatedColumnFormula>
    </tableColumn>
    <tableColumn id="4" xr3:uid="{39CF9EA2-C9B6-41EC-AC58-E1943DCC6E0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B5808CD-4C52-49C0-8D9C-DDD27E7ABF8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B17C9DE-741E-4223-8B98-9DA237A2543C}" name="Leaching Zone">
      <calculatedColumnFormula array="1">Common_InputFunctions.Utility_DisplayArrayInTable(Common_SourceData.Common_SourceData_LeachingZones_Data(), Table_SourceData_LeachingZones[[#Headers],[Leaching Zone]], 0)</calculatedColumnFormula>
    </tableColumn>
    <tableColumn id="2" xr3:uid="{9AE87DF0-C92B-4748-9688-790D35C88B2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7892C5-921B-4BA8-8C3E-941A4EBD545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1C79171-18D4-4538-B8B5-4035B9BDADE4}" name="Data source">
      <calculatedColumnFormula array="1">Common_InputFunctions.Utility_DisplayArrayInTable(Common_SourceData.Common_SourceData_DataScores_Scope3_Data(), Table_SourceData_DataScores_Scope3[[#Headers],[Data source]], 0)</calculatedColumnFormula>
    </tableColumn>
    <tableColumn id="2" xr3:uid="{F4879EF9-AFF2-4FBB-8AC4-10E9136CB39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1B8ACAC-A09F-4E48-8944-728EA0065A24}" name="Table_SourceData_FracWET" displayName="Table_SourceData_FracWET" ref="D134:E136" totalsRowShown="0">
  <autoFilter ref="D134:E136" xr:uid="{308E99BE-FE1F-47A4-B2CA-97217277C4E9}">
    <filterColumn colId="0" hiddenButton="1"/>
    <filterColumn colId="1" hiddenButton="1"/>
  </autoFilter>
  <tableColumns count="2">
    <tableColumn id="1" xr3:uid="{AC686EA2-8D9A-4D6D-A8A8-062FB3B515CC}" name="Is in leaching zone">
      <calculatedColumnFormula array="1">Common_InputFunctions.Utility_DisplayArrayInTable(Common_SourceData.Common_SourceData_FracWET_Data(),Table_SourceData_FracWET[[#Headers],[Is in leaching zone]],0)</calculatedColumnFormula>
    </tableColumn>
    <tableColumn id="2" xr3:uid="{1FCEBDA5-65F4-46B1-B370-C11FB49932FA}"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C0F7AC-0F98-4652-98CC-95BA4A16C13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10BB70-498C-4145-BAE7-7A04D5280125}" name="Production system j">
      <calculatedColumnFormula array="1">Common_InputFunctions.Utility_DisplayArrayInTable(Common_SourceData.Common_SourceData_EFN2O_Data(), Table_SourceData_Common_EFN2O[[#Headers],[Production system j]], 0)</calculatedColumnFormula>
    </tableColumn>
    <tableColumn id="2" xr3:uid="{9A35A152-BB7C-4846-9F6E-3E9C99E73442}" name="EFN2O">
      <calculatedColumnFormula array="1">Common_InputFunctions.Utility_DisplayArrayInTable(Common_SourceData.Common_SourceData_EFN2O_Data(), Table_SourceData_Common_EFN2O[[#Headers],[Production system j]], 0)</calculatedColumnFormula>
    </tableColumn>
    <tableColumn id="3" xr3:uid="{748EC603-7F46-49E5-A98E-535FE8846206}" name="Production system only">
      <calculatedColumnFormula array="1">Common_InputFunctions.Utility_DisplayArrayInTable(Common_SourceData.Common_SourceData_EFN2O_Data(), Table_SourceData_Common_EFN2O[[#Headers],[Production system j]], 0)</calculatedColumnFormula>
    </tableColumn>
    <tableColumn id="4" xr3:uid="{A56CD644-C6AA-445E-9F25-4B23A92A9B64}" name="Irrigation method">
      <calculatedColumnFormula array="1">Common_InputFunctions.Utility_DisplayArrayInTable(Common_SourceData.Common_SourceData_EFN2O_Data(), Table_SourceData_Common_EFN2O[[#Headers],[Production system j]], 0)</calculatedColumnFormula>
    </tableColumn>
    <tableColumn id="5" xr3:uid="{CCAB1984-3AF3-43D3-81A5-8CE900C9816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165A077-B250-4DEE-B369-59E4E767990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2C9E476-6A55-47D9-B3E7-C67EA63535FA}" name="Irrigation type i">
      <calculatedColumnFormula array="1">Common_InputFunctions.Utility_DisplayArrayInTable(Common_SourceData.Common_SourceData_FracWETIrrigation_Data(), Table_SourceData_FracWETIrrigation[[#Headers],[Irrigation type i]], 0)</calculatedColumnFormula>
    </tableColumn>
    <tableColumn id="2" xr3:uid="{88DAA629-0590-41E1-A2CC-610CF9FDB97C}"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CE216A-9BD9-485A-9EB8-B9E0DFCC2C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F9CBDC1-27EF-4EED-B8DF-92F594F394C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1AF672B-1B1A-422D-A6B3-621D6214B60E}"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EDBE9B8-7638-405B-BBEA-28F4A90E5F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6D4BDC-1A8D-48FE-B31E-DE67F81E1C52}" name="Month">
      <calculatedColumnFormula array="1">Common_InputFunctions.Utility_DisplayArrayInTable(Common_SourceData.Common_SourceData_MonthsToSeasons_Data(), Table_SourceData_Common_MonthToSeason[[#Headers],[Month]], 0)</calculatedColumnFormula>
    </tableColumn>
    <tableColumn id="2" xr3:uid="{84A8C1F6-0D04-4FAE-AC8C-5DCE94CD2667}"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2C0D77-D19C-4F62-8E5B-44E9019BF69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787CE1-8BC3-48A0-BD72-4D31FF2981A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36F7AC5-AA7A-4B5B-A91D-B3234A850B1F}"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88DBCE-83A9-4948-B739-6D8CFA8FB1F1}"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F0A7CCE-9091-445B-A615-A547A51F5200}"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5FD72F-73B7-4580-B927-C93DC98F52E5}"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72DB022-C4D0-41C7-A672-C4F576EDC815}"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8BE1154-A30B-4B37-8D42-1FCB8196ADFF}"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E6F67A9-BD27-47E8-B501-A2D2DDFAFD2B}"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612D188-6F19-4A62-9F7B-984763732FCD}"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2B629FE-D9AC-43BB-8712-0244FAFED160}"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EB1AAB3-C1F7-4609-811C-C8F71F27BEA7}"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0CD3C79-0D8E-4E7F-87FD-8F4EA6115707}"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6966C78-6D1B-4D36-AF62-930896F91722}"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19A832A-BD0E-4DCC-BA3B-3FE865BD158B}"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A0A5924-316D-4A5B-BC7C-60065B83EB70}"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1772124-674F-460B-8395-C3AE2FD9C178}"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9E744CC-76BA-4DD4-AC67-44F809197B9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99ABC9-646D-4864-8875-225CB798A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28CCD4A-4F4D-4667-8FE5-C00753040270}"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85</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82</v>
      </c>
      <c r="E5" s="37"/>
      <c r="F5" s="37"/>
      <c r="G5" s="37"/>
      <c r="H5" s="37"/>
      <c r="I5" s="37"/>
      <c r="J5" s="37"/>
      <c r="K5" s="37"/>
      <c r="L5" s="37"/>
      <c r="M5" s="37"/>
      <c r="N5" s="37"/>
      <c r="O5" s="34"/>
    </row>
    <row r="6" spans="1:17" ht="20.100000000000001" customHeight="1" x14ac:dyDescent="0.25">
      <c r="A6" s="12"/>
      <c r="D6" s="57" t="s">
        <v>83</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44</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84</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86</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79</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49</v>
      </c>
      <c r="E8" s="39" t="s">
        <v>59</v>
      </c>
      <c r="F8" s="39" t="s">
        <v>60</v>
      </c>
      <c r="G8" s="39" t="s">
        <v>54</v>
      </c>
      <c r="H8" s="39" t="s">
        <v>128</v>
      </c>
      <c r="I8" s="39" t="s">
        <v>129</v>
      </c>
      <c r="J8" s="39" t="s">
        <v>130</v>
      </c>
      <c r="K8" s="18"/>
    </row>
    <row r="9" spans="1:11" ht="20.100000000000001" customHeight="1" x14ac:dyDescent="0.25">
      <c r="A9" s="13"/>
      <c r="C9" s="18"/>
      <c r="D9" s="1" t="s">
        <v>124</v>
      </c>
      <c r="E9" s="52">
        <f>'11.1.1-2 Wastewater CH4'!E30</f>
        <v>4.7159433000000001E-2</v>
      </c>
      <c r="F9" s="52">
        <f>E9</f>
        <v>4.7159433000000001E-2</v>
      </c>
      <c r="G9" s="30" t="s">
        <v>126</v>
      </c>
      <c r="H9" s="52">
        <f>'11.1.1-2 Wastewater CH4'!E35</f>
        <v>1.3204641239999999</v>
      </c>
      <c r="I9" s="52">
        <f>H9</f>
        <v>1.3204641239999999</v>
      </c>
      <c r="J9" s="30" t="s">
        <v>57</v>
      </c>
      <c r="K9" s="18"/>
    </row>
    <row r="10" spans="1:11" ht="20.100000000000001" customHeight="1" x14ac:dyDescent="0.25">
      <c r="A10" s="15" t="s">
        <v>44</v>
      </c>
      <c r="C10" s="18"/>
      <c r="D10" s="1" t="s">
        <v>125</v>
      </c>
      <c r="E10" s="76">
        <f>'11.1.3-4 Wastewater N2O'!E17</f>
        <v>4.26764E-7</v>
      </c>
      <c r="F10" s="52">
        <f>E10</f>
        <v>4.26764E-7</v>
      </c>
      <c r="G10" s="30" t="s">
        <v>127</v>
      </c>
      <c r="H10" s="52">
        <f>'11.1.3-4 Wastewater N2O'!E22</f>
        <v>1.1309246E-4</v>
      </c>
      <c r="I10" s="52">
        <f>H10</f>
        <v>1.1309246E-4</v>
      </c>
      <c r="J10" s="30" t="s">
        <v>57</v>
      </c>
      <c r="K10" s="18"/>
    </row>
    <row r="11" spans="1:11" ht="20.100000000000001" customHeight="1" x14ac:dyDescent="0.3">
      <c r="A11" s="13" t="str">
        <f>HYPERLINK("#'11.1.1-2 Wastewater CH4'!A1", "10.1.1-2 Wastewater CH4")</f>
        <v>10.1.1-2 Wastewater CH4</v>
      </c>
      <c r="C11" s="18"/>
      <c r="D11" s="77" t="s">
        <v>131</v>
      </c>
      <c r="E11" s="78"/>
      <c r="F11" s="78"/>
      <c r="G11" s="77"/>
      <c r="H11" s="79">
        <f>SUM(H9:H10)</f>
        <v>1.3205772164599998</v>
      </c>
      <c r="I11" s="79">
        <f>SUM(I9:I10)</f>
        <v>1.3205772164599998</v>
      </c>
      <c r="J11" s="75" t="s">
        <v>57</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123</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90</v>
      </c>
    </row>
    <row r="6" spans="1:10" ht="20.100000000000001" customHeight="1" x14ac:dyDescent="0.25">
      <c r="A6" s="12"/>
    </row>
    <row r="7" spans="1:10" ht="20.100000000000001" customHeight="1" x14ac:dyDescent="0.25">
      <c r="A7" s="16" t="s">
        <v>1</v>
      </c>
      <c r="D7" s="1" t="s">
        <v>116</v>
      </c>
      <c r="F7" s="27" t="s">
        <v>118</v>
      </c>
      <c r="G7" s="70" t="s">
        <v>117</v>
      </c>
    </row>
    <row r="8" spans="1:10" ht="20.100000000000001" customHeight="1" x14ac:dyDescent="0.25">
      <c r="A8" s="41" t="str">
        <f>HYPERLINK("#'Input - Wastewater'!A1", "Wastewater")</f>
        <v>Wastewater</v>
      </c>
      <c r="D8" s="1" t="s">
        <v>92</v>
      </c>
      <c r="F8" s="67">
        <v>1000</v>
      </c>
      <c r="G8" s="70" t="s">
        <v>91</v>
      </c>
    </row>
    <row r="9" spans="1:10" ht="20.100000000000001" customHeight="1" x14ac:dyDescent="0.25">
      <c r="A9" s="13"/>
    </row>
    <row r="10" spans="1:10" ht="20.100000000000001" customHeight="1" x14ac:dyDescent="0.25">
      <c r="A10" s="15" t="s">
        <v>44</v>
      </c>
      <c r="D10" s="69" t="s">
        <v>114</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115</v>
      </c>
      <c r="E12" s="68"/>
      <c r="F12" s="60"/>
    </row>
    <row r="13" spans="1:10" ht="20.100000000000001" customHeight="1" x14ac:dyDescent="0.25">
      <c r="A13" s="13"/>
    </row>
    <row r="14" spans="1:10" ht="20.100000000000001" customHeight="1" x14ac:dyDescent="0.25">
      <c r="A14" s="14" t="s">
        <v>2</v>
      </c>
      <c r="D14" s="1" t="s">
        <v>93</v>
      </c>
      <c r="F14" s="67">
        <v>0.9</v>
      </c>
      <c r="G14" s="70" t="s">
        <v>94</v>
      </c>
    </row>
    <row r="15" spans="1:10" ht="20.100000000000001" customHeight="1" x14ac:dyDescent="0.25">
      <c r="A15" s="13" t="str">
        <f>HYPERLINK("#'Constants - Wastewater'!A1", "Constants - Wastewater")</f>
        <v>Constants - Wastewater</v>
      </c>
      <c r="D15" s="1" t="s">
        <v>101</v>
      </c>
      <c r="F15" s="67">
        <v>0.5</v>
      </c>
      <c r="G15" s="70" t="s">
        <v>100</v>
      </c>
    </row>
    <row r="16" spans="1:10" ht="20.100000000000001" customHeight="1" x14ac:dyDescent="0.25">
      <c r="A16" s="13" t="str">
        <f>HYPERLINK("#'Constants - Common'!A1", "Constants - Common")</f>
        <v>Constants - Common</v>
      </c>
      <c r="D16" s="1" t="s">
        <v>113</v>
      </c>
      <c r="F16" s="67">
        <v>0.2</v>
      </c>
      <c r="G16" s="70" t="s">
        <v>100</v>
      </c>
    </row>
    <row r="17" spans="1:11" ht="20.100000000000001" customHeight="1" x14ac:dyDescent="0.25">
      <c r="D17" s="1" t="s">
        <v>95</v>
      </c>
      <c r="F17" s="67">
        <v>0.1</v>
      </c>
      <c r="G17" s="70" t="s">
        <v>94</v>
      </c>
    </row>
    <row r="18" spans="1:11" ht="20.100000000000001" customHeight="1" x14ac:dyDescent="0.25"/>
    <row r="19" spans="1:11" ht="20.100000000000001" customHeight="1" x14ac:dyDescent="0.25"/>
    <row r="20" spans="1:11" ht="20.100000000000001" customHeight="1" x14ac:dyDescent="0.25">
      <c r="D20" s="69" t="s">
        <v>112</v>
      </c>
    </row>
    <row r="21" spans="1:11" ht="20.100000000000001" customHeight="1" x14ac:dyDescent="0.25">
      <c r="A21" s="13"/>
    </row>
    <row r="22" spans="1:11" ht="20.100000000000001" customHeight="1" x14ac:dyDescent="0.25">
      <c r="D22" s="59" t="s">
        <v>111</v>
      </c>
      <c r="E22" s="68"/>
      <c r="F22" s="60"/>
    </row>
    <row r="23" spans="1:11" ht="20.100000000000001" customHeight="1" x14ac:dyDescent="0.25">
      <c r="A23" s="13"/>
    </row>
    <row r="24" spans="1:11" ht="20.100000000000001" customHeight="1" x14ac:dyDescent="0.25">
      <c r="D24" s="1" t="s">
        <v>96</v>
      </c>
      <c r="F24" s="67">
        <v>100</v>
      </c>
      <c r="G24" s="70" t="s">
        <v>99</v>
      </c>
    </row>
    <row r="25" spans="1:11" ht="20.100000000000001" customHeight="1" x14ac:dyDescent="0.25">
      <c r="D25" s="1" t="s">
        <v>97</v>
      </c>
      <c r="F25" s="67">
        <v>100</v>
      </c>
      <c r="G25" s="70" t="s">
        <v>99</v>
      </c>
    </row>
    <row r="26" spans="1:11" ht="20.100000000000001" customHeight="1" x14ac:dyDescent="0.25">
      <c r="D26" s="1" t="s">
        <v>98</v>
      </c>
      <c r="F26" s="67">
        <v>100</v>
      </c>
      <c r="G26" s="70" t="s">
        <v>99</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84</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103</v>
      </c>
    </row>
    <row r="55" spans="4:5" ht="20.100000000000001" customHeight="1" x14ac:dyDescent="0.25">
      <c r="E55" s="1" t="s">
        <v>109</v>
      </c>
    </row>
    <row r="56" spans="4:5" ht="20.100000000000001" customHeight="1" x14ac:dyDescent="0.25">
      <c r="D56" s="1" t="s">
        <v>102</v>
      </c>
    </row>
    <row r="57" spans="4:5" ht="20.100000000000001" customHeight="1" x14ac:dyDescent="0.25">
      <c r="D57" s="1">
        <f>F8*(F14*(1-F15)-F17)</f>
        <v>350</v>
      </c>
    </row>
    <row r="58" spans="4:5" ht="20.100000000000001" customHeight="1" x14ac:dyDescent="0.25"/>
    <row r="59" spans="4:5" ht="20.100000000000001" customHeight="1" x14ac:dyDescent="0.25">
      <c r="E59" s="1" t="s">
        <v>109</v>
      </c>
    </row>
    <row r="60" spans="4:5" ht="20.100000000000001" customHeight="1" x14ac:dyDescent="0.25">
      <c r="D60" s="1" t="s">
        <v>104</v>
      </c>
    </row>
    <row r="61" spans="4:5" ht="20.100000000000001" customHeight="1" x14ac:dyDescent="0.25"/>
    <row r="62" spans="4:5" ht="20.100000000000001" customHeight="1" x14ac:dyDescent="0.25">
      <c r="D62" s="1" t="s">
        <v>107</v>
      </c>
    </row>
    <row r="63" spans="4:5" ht="20.100000000000001" customHeight="1" x14ac:dyDescent="0.25"/>
    <row r="64" spans="4:5" ht="20.100000000000001" customHeight="1" x14ac:dyDescent="0.25"/>
    <row r="65" spans="4:5" ht="20.100000000000001" customHeight="1" x14ac:dyDescent="0.25">
      <c r="D65" s="1" t="s">
        <v>106</v>
      </c>
      <c r="E65" s="1" t="s">
        <v>108</v>
      </c>
    </row>
    <row r="66" spans="4:5" ht="20.100000000000001" customHeight="1" x14ac:dyDescent="0.25"/>
    <row r="67" spans="4:5" ht="20.100000000000001" customHeight="1" x14ac:dyDescent="0.25"/>
    <row r="68" spans="4:5" ht="20.100000000000001" customHeight="1" x14ac:dyDescent="0.25">
      <c r="D68" s="1" t="s">
        <v>105</v>
      </c>
    </row>
    <row r="69" spans="4:5" ht="20.100000000000001" customHeight="1" x14ac:dyDescent="0.25"/>
    <row r="70" spans="4:5" ht="20.100000000000001" customHeight="1" x14ac:dyDescent="0.25">
      <c r="D70" s="1" t="s">
        <v>110</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disablePrompts="1"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124</v>
      </c>
    </row>
    <row r="2" spans="1:12" s="8" customFormat="1" ht="20.100000000000001" customHeight="1" x14ac:dyDescent="0.25"/>
    <row r="3" spans="1:12" ht="20.100000000000001" customHeight="1" x14ac:dyDescent="0.25">
      <c r="A3" s="13" t="str">
        <f>HYPERLINK("#'Home'!A1", "Home")</f>
        <v>Home</v>
      </c>
      <c r="C3" s="3"/>
      <c r="D3" s="3" t="s">
        <v>48</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
        <v>132</v>
      </c>
    </row>
    <row r="6" spans="1:12" ht="20.100000000000001" customHeight="1" x14ac:dyDescent="0.25">
      <c r="A6" s="12"/>
      <c r="D6" s="4" t="s">
        <v>133</v>
      </c>
    </row>
    <row r="7" spans="1:12" ht="20.100000000000001" customHeight="1" x14ac:dyDescent="0.25">
      <c r="A7" s="16" t="s">
        <v>1</v>
      </c>
      <c r="D7" s="31" t="s">
        <v>134</v>
      </c>
    </row>
    <row r="8" spans="1:12" ht="20.100000000000001" customHeight="1" x14ac:dyDescent="0.25">
      <c r="A8" s="13" t="str">
        <f>HYPERLINK("#'Input - Wastewater'!A1", "Wastewater")</f>
        <v>Wastewater</v>
      </c>
      <c r="D8" s="10"/>
      <c r="E8" s="10"/>
    </row>
    <row r="9" spans="1:12" ht="20.100000000000001" customHeight="1" x14ac:dyDescent="0.25">
      <c r="A9" s="13"/>
    </row>
    <row r="10" spans="1:12" ht="20.100000000000001" customHeight="1" x14ac:dyDescent="0.25">
      <c r="A10" s="15" t="s">
        <v>44</v>
      </c>
    </row>
    <row r="11" spans="1:12" ht="20.100000000000001" customHeight="1" x14ac:dyDescent="0.25">
      <c r="A11" s="65" t="str">
        <f>HYPERLINK("#'11.1.1-2 Wastewater CH4'!A1", "10.1.1-2 Wastewater CH4")</f>
        <v>10.1.1-2 Wastewater CH4</v>
      </c>
      <c r="D11" s="29" t="s">
        <v>12</v>
      </c>
      <c r="E11" s="1" t="s">
        <v>135</v>
      </c>
    </row>
    <row r="12" spans="1:12" ht="20.100000000000001" customHeight="1" x14ac:dyDescent="0.25">
      <c r="A12" s="13" t="str">
        <f>HYPERLINK("#'11.1.3-4 Wastewater N2O'!A1", "10.1.3-4 Wastewater N2O")</f>
        <v>10.1.3-4 Wastewater N2O</v>
      </c>
      <c r="D12" s="29" t="s">
        <v>5</v>
      </c>
      <c r="E12" s="30" t="s">
        <v>126</v>
      </c>
    </row>
    <row r="13" spans="1:12" ht="20.100000000000001" customHeight="1" x14ac:dyDescent="0.25">
      <c r="A13" s="13"/>
    </row>
    <row r="14" spans="1:12" ht="20.100000000000001" customHeight="1" x14ac:dyDescent="0.25">
      <c r="A14" s="14" t="s">
        <v>2</v>
      </c>
      <c r="D14" s="48" t="s">
        <v>136</v>
      </c>
      <c r="E14" s="50" t="s">
        <v>137</v>
      </c>
      <c r="F14" s="64"/>
      <c r="G14" s="49"/>
      <c r="H14" s="48" t="s">
        <v>91</v>
      </c>
      <c r="I14" s="44" t="s">
        <v>166</v>
      </c>
      <c r="J14" s="48">
        <f>'Input - Wastewater'!F8</f>
        <v>1000</v>
      </c>
    </row>
    <row r="15" spans="1:12" ht="20.100000000000001" customHeight="1" x14ac:dyDescent="0.25">
      <c r="A15" s="13" t="str">
        <f>HYPERLINK("#'Constants - Wastewater'!A1", "Constants - Wastewater")</f>
        <v>Constants - Wastewater</v>
      </c>
      <c r="D15" s="48" t="s">
        <v>138</v>
      </c>
      <c r="E15" s="50" t="s">
        <v>139</v>
      </c>
      <c r="F15" s="64"/>
      <c r="G15" s="49"/>
      <c r="H15" s="48" t="s">
        <v>94</v>
      </c>
      <c r="I15" s="44" t="s">
        <v>166</v>
      </c>
      <c r="J15" s="48">
        <f>'Input - Wastewater'!F14</f>
        <v>0.9</v>
      </c>
    </row>
    <row r="16" spans="1:12" ht="20.100000000000001" customHeight="1" x14ac:dyDescent="0.25">
      <c r="A16" s="13" t="str">
        <f>HYPERLINK("#'Constants - Common'!A1", "Constants - Common")</f>
        <v>Constants - Common</v>
      </c>
      <c r="D16" s="48" t="s">
        <v>140</v>
      </c>
      <c r="E16" s="50" t="s">
        <v>141</v>
      </c>
      <c r="F16" s="64"/>
      <c r="G16" s="49"/>
      <c r="H16" s="48" t="s">
        <v>100</v>
      </c>
      <c r="I16" s="44" t="s">
        <v>166</v>
      </c>
      <c r="J16" s="48">
        <f>'Input - Wastewater'!F15</f>
        <v>0.5</v>
      </c>
    </row>
    <row r="17" spans="1:10" ht="20.100000000000001" customHeight="1" x14ac:dyDescent="0.25">
      <c r="D17" s="48" t="s">
        <v>142</v>
      </c>
      <c r="E17" s="50" t="s">
        <v>143</v>
      </c>
      <c r="F17" s="64"/>
      <c r="G17" s="49"/>
      <c r="H17" s="48" t="s">
        <v>94</v>
      </c>
      <c r="I17" s="44" t="s">
        <v>166</v>
      </c>
      <c r="J17" s="48">
        <f>'Input - Wastewater'!F17</f>
        <v>0.1</v>
      </c>
    </row>
    <row r="18" spans="1:10" ht="20.100000000000001" customHeight="1" x14ac:dyDescent="0.25">
      <c r="D18" s="48" t="s">
        <v>144</v>
      </c>
      <c r="E18" s="50" t="s">
        <v>145</v>
      </c>
      <c r="F18" s="64"/>
      <c r="G18" s="49"/>
      <c r="H18" s="48" t="s">
        <v>100</v>
      </c>
      <c r="I18" s="43" t="s">
        <v>167</v>
      </c>
      <c r="J18" s="48" cm="1">
        <f t="array" ref="J18">Common_InputFunctions.Utility_LookupValueInTableNumber(J28,Table_SourceData_MCF_Wastewater[Facility type t],Table_SourceData_MCF_Wastewater[CFww,t])</f>
        <v>0.3</v>
      </c>
    </row>
    <row r="19" spans="1:10" ht="20.100000000000001" customHeight="1" x14ac:dyDescent="0.25">
      <c r="D19" s="48" t="s">
        <v>146</v>
      </c>
      <c r="E19" s="50" t="s">
        <v>147</v>
      </c>
      <c r="F19" s="64"/>
      <c r="G19" s="49"/>
      <c r="H19" s="48" t="s">
        <v>168</v>
      </c>
      <c r="I19" s="43" t="s">
        <v>167</v>
      </c>
      <c r="J19" s="48">
        <f>'Constants - Wastewater'!$E$31</f>
        <v>0.25</v>
      </c>
    </row>
    <row r="20" spans="1:10" ht="20.100000000000001" customHeight="1" x14ac:dyDescent="0.25">
      <c r="D20" s="48" t="s">
        <v>148</v>
      </c>
      <c r="E20" s="50" t="s">
        <v>149</v>
      </c>
      <c r="F20" s="64"/>
      <c r="G20" s="49"/>
      <c r="H20" s="48" t="s">
        <v>100</v>
      </c>
      <c r="I20" s="44" t="s">
        <v>166</v>
      </c>
      <c r="J20" s="48">
        <f>'Input - Wastewater'!F16</f>
        <v>0.2</v>
      </c>
    </row>
    <row r="21" spans="1:10" ht="20.100000000000001" customHeight="1" x14ac:dyDescent="0.25">
      <c r="A21" s="13"/>
      <c r="D21" s="48" t="s">
        <v>150</v>
      </c>
      <c r="E21" s="50" t="s">
        <v>151</v>
      </c>
      <c r="F21" s="64"/>
      <c r="G21" s="49"/>
      <c r="H21" s="48" t="s">
        <v>100</v>
      </c>
      <c r="I21" s="43" t="s">
        <v>167</v>
      </c>
      <c r="J21" s="48" cm="1">
        <f t="array" ref="J21">Common_InputFunctions.Utility_LookupValueInTableNumber(J28,Table_SourceData_MCF_Sludge[Facility type t],Table_SourceData_MCF_Sludge[CFsludge,t])</f>
        <v>0.3</v>
      </c>
    </row>
    <row r="22" spans="1:10" ht="20.100000000000001" customHeight="1" x14ac:dyDescent="0.25">
      <c r="D22" s="48" t="s">
        <v>152</v>
      </c>
      <c r="E22" s="50" t="s">
        <v>153</v>
      </c>
      <c r="F22" s="64"/>
      <c r="G22" s="49"/>
      <c r="H22" s="48" t="s">
        <v>168</v>
      </c>
      <c r="I22" s="43" t="s">
        <v>167</v>
      </c>
      <c r="J22" s="48">
        <f>'Constants - Wastewater'!$E$36</f>
        <v>0.25</v>
      </c>
    </row>
    <row r="23" spans="1:10" ht="20.100000000000001" customHeight="1" x14ac:dyDescent="0.25">
      <c r="A23" s="13"/>
      <c r="D23" s="48" t="s">
        <v>154</v>
      </c>
      <c r="E23" s="50" t="s">
        <v>155</v>
      </c>
      <c r="F23" s="64"/>
      <c r="G23" s="49"/>
      <c r="H23" s="48" t="s">
        <v>99</v>
      </c>
      <c r="I23" s="44" t="s">
        <v>166</v>
      </c>
      <c r="J23" s="48">
        <f>'Input - Wastewater'!F24</f>
        <v>100</v>
      </c>
    </row>
    <row r="24" spans="1:10" ht="20.100000000000001" customHeight="1" x14ac:dyDescent="0.25">
      <c r="D24" s="48" t="s">
        <v>156</v>
      </c>
      <c r="E24" s="50" t="s">
        <v>157</v>
      </c>
      <c r="F24" s="64"/>
      <c r="G24" s="49"/>
      <c r="H24" s="48" t="s">
        <v>99</v>
      </c>
      <c r="I24" s="44" t="s">
        <v>166</v>
      </c>
      <c r="J24" s="48">
        <f>'Input - Wastewater'!F25</f>
        <v>100</v>
      </c>
    </row>
    <row r="25" spans="1:10" ht="20.100000000000001" customHeight="1" x14ac:dyDescent="0.25">
      <c r="D25" s="48" t="s">
        <v>158</v>
      </c>
      <c r="E25" s="50" t="s">
        <v>159</v>
      </c>
      <c r="F25" s="64"/>
      <c r="G25" s="49"/>
      <c r="H25" s="48" t="s">
        <v>99</v>
      </c>
      <c r="I25" s="44" t="s">
        <v>166</v>
      </c>
      <c r="J25" s="48">
        <f>'Input - Wastewater'!F26</f>
        <v>100</v>
      </c>
    </row>
    <row r="26" spans="1:10" ht="20.100000000000001" customHeight="1" x14ac:dyDescent="0.25">
      <c r="D26" s="48" t="s">
        <v>160</v>
      </c>
      <c r="E26" s="50" t="s">
        <v>161</v>
      </c>
      <c r="F26" s="64"/>
      <c r="G26" s="49"/>
      <c r="H26" s="48" t="s">
        <v>169</v>
      </c>
      <c r="I26" s="43" t="s">
        <v>167</v>
      </c>
      <c r="J26" s="48">
        <f>'Constants - Wastewater'!$E$41</f>
        <v>3.7699999999999997E-2</v>
      </c>
    </row>
    <row r="27" spans="1:10" ht="20.100000000000001" customHeight="1" x14ac:dyDescent="0.25">
      <c r="D27" s="48" t="s">
        <v>162</v>
      </c>
      <c r="E27" s="50" t="s">
        <v>163</v>
      </c>
      <c r="F27" s="64"/>
      <c r="G27" s="49"/>
      <c r="H27" s="48" t="s">
        <v>170</v>
      </c>
      <c r="I27" s="43" t="s">
        <v>167</v>
      </c>
      <c r="J27" s="48">
        <f>'Constants - Wastewater'!$E$46</f>
        <v>0.22889999999999999</v>
      </c>
    </row>
    <row r="28" spans="1:10" ht="20.100000000000001" customHeight="1" x14ac:dyDescent="0.25">
      <c r="D28" s="48" t="s">
        <v>164</v>
      </c>
      <c r="E28" s="50" t="s">
        <v>165</v>
      </c>
      <c r="F28" s="64"/>
      <c r="G28" s="49"/>
      <c r="H28" s="48"/>
      <c r="I28" s="44" t="s">
        <v>166</v>
      </c>
      <c r="J28" s="48" t="str">
        <f>'Input - Wastewater'!$F$7</f>
        <v>Unmanaged aerobic treatment</v>
      </c>
    </row>
    <row r="29" spans="1:10" ht="20.100000000000001" customHeight="1" x14ac:dyDescent="0.25"/>
    <row r="30" spans="1:10" ht="20.100000000000001" customHeight="1" x14ac:dyDescent="0.25">
      <c r="D30" s="61" t="s">
        <v>120</v>
      </c>
      <c r="E30" s="63">
        <f>((1 / 1000) * ((J14 * (J15 * (1 - J16) - J17) * J18 * J19) + (J14 * (J15 * (J16 - J20)) * J21 * J22) - (6.784 * 10 ^ -4 * (J23 + J24 + J25)) + (J24 * (J26 * J27))))</f>
        <v>4.7159433000000001E-2</v>
      </c>
      <c r="F30" s="66" t="str">
        <f>$E$12</f>
        <v>t CH4</v>
      </c>
    </row>
    <row r="31" spans="1:10" ht="20.100000000000001" customHeight="1" x14ac:dyDescent="0.25"/>
    <row r="32" spans="1:10" ht="20.100000000000001" customHeight="1" x14ac:dyDescent="0.25">
      <c r="D32" s="72" t="str" cm="1">
        <f t="array" ref="D32:E33">Common_Equations.Common_ConvertCH4ToCO2e_Arguments()</f>
        <v>ECH4</v>
      </c>
      <c r="E32" s="73" t="str">
        <v>Methane emissions (t CH4)</v>
      </c>
      <c r="F32" s="74"/>
      <c r="G32" s="28">
        <f>E30</f>
        <v>4.7159433000000001E-2</v>
      </c>
    </row>
    <row r="33" spans="4:7" ht="20.100000000000001" customHeight="1" x14ac:dyDescent="0.25">
      <c r="D33" s="72" t="str">
        <v>GWPCH4</v>
      </c>
      <c r="E33" s="73" t="str">
        <v>Global warming potential for methane (t CO2-e / t CH4)</v>
      </c>
      <c r="F33" s="74"/>
      <c r="G33" s="28">
        <v>28</v>
      </c>
    </row>
    <row r="34" spans="4:7" ht="20.100000000000001" customHeight="1" x14ac:dyDescent="0.25"/>
    <row r="35" spans="4:7" ht="20.100000000000001" customHeight="1" x14ac:dyDescent="0.25">
      <c r="D35" s="62" t="s">
        <v>121</v>
      </c>
      <c r="E35" s="62" cm="1">
        <f t="array" ref="E35">Common_Equations.Common_ConvertN2OToCO2e(G32,G33)</f>
        <v>1.3204641239999999</v>
      </c>
      <c r="F35" s="75"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125</v>
      </c>
    </row>
    <row r="2" spans="1:10" s="8" customFormat="1" ht="20.100000000000001" customHeight="1" x14ac:dyDescent="0.25"/>
    <row r="3" spans="1:10" ht="20.100000000000001" customHeight="1" x14ac:dyDescent="0.25">
      <c r="A3" s="13" t="str">
        <f>HYPERLINK("#'Home'!A1", "Home")</f>
        <v>Home</v>
      </c>
      <c r="C3" s="3"/>
      <c r="D3" s="3" t="s">
        <v>48</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
        <v>171</v>
      </c>
    </row>
    <row r="6" spans="1:10" ht="20.100000000000001" customHeight="1" x14ac:dyDescent="0.25">
      <c r="A6" s="12"/>
      <c r="D6" s="4" t="s">
        <v>172</v>
      </c>
    </row>
    <row r="7" spans="1:10" ht="20.100000000000001" customHeight="1" x14ac:dyDescent="0.25">
      <c r="A7" s="16" t="s">
        <v>1</v>
      </c>
      <c r="D7" s="10"/>
      <c r="E7" s="10"/>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44</v>
      </c>
      <c r="D10" s="29" t="s">
        <v>12</v>
      </c>
      <c r="E10" s="1" t="s">
        <v>173</v>
      </c>
    </row>
    <row r="11" spans="1:10" ht="20.100000000000001" customHeight="1" x14ac:dyDescent="0.25">
      <c r="A11" s="13" t="str">
        <f>HYPERLINK("#'11.1.1-2 Wastewater CH4'!A1", "10.1.1-2 Wastewater CH4")</f>
        <v>10.1.1-2 Wastewater CH4</v>
      </c>
      <c r="D11" s="29" t="s">
        <v>5</v>
      </c>
      <c r="E11" s="30" t="s">
        <v>127</v>
      </c>
    </row>
    <row r="12" spans="1:10" ht="20.100000000000001" customHeight="1" x14ac:dyDescent="0.25">
      <c r="A12" s="65" t="str">
        <f>HYPERLINK("#'11.1.3-4 Wastewater N2O'!A1", "10.1.3-4 Wastewater N2O")</f>
        <v>10.1.3-4 Wastewater N2O</v>
      </c>
    </row>
    <row r="13" spans="1:10" ht="20.100000000000001" customHeight="1" x14ac:dyDescent="0.25">
      <c r="A13" s="13"/>
      <c r="D13" s="48" t="s">
        <v>156</v>
      </c>
      <c r="E13" s="50" t="s">
        <v>174</v>
      </c>
      <c r="F13" s="49"/>
      <c r="G13" s="48" t="s">
        <v>91</v>
      </c>
      <c r="H13" s="44" t="s">
        <v>166</v>
      </c>
      <c r="I13" s="48">
        <f>'Input - Wastewater'!F25</f>
        <v>100</v>
      </c>
    </row>
    <row r="14" spans="1:10" ht="20.100000000000001" customHeight="1" x14ac:dyDescent="0.25">
      <c r="A14" s="14" t="s">
        <v>2</v>
      </c>
      <c r="D14" s="48" t="s">
        <v>160</v>
      </c>
      <c r="E14" s="50" t="s">
        <v>175</v>
      </c>
      <c r="F14" s="49"/>
      <c r="G14" s="48" t="s">
        <v>169</v>
      </c>
      <c r="H14" s="43" t="s">
        <v>167</v>
      </c>
      <c r="I14" s="48">
        <f>'Constants - Wastewater'!E41</f>
        <v>3.7699999999999997E-2</v>
      </c>
    </row>
    <row r="15" spans="1:10" ht="20.100000000000001" customHeight="1" x14ac:dyDescent="0.25">
      <c r="A15" s="13" t="str">
        <f>HYPERLINK("#'Constants - Wastewater'!A1", "Constants - Wastewater")</f>
        <v>Constants - Wastewater</v>
      </c>
      <c r="D15" s="48" t="s">
        <v>176</v>
      </c>
      <c r="E15" s="50" t="s">
        <v>177</v>
      </c>
      <c r="F15" s="49"/>
      <c r="G15" s="48" t="s">
        <v>178</v>
      </c>
      <c r="H15" s="43" t="s">
        <v>167</v>
      </c>
      <c r="I15" s="48">
        <f>'Constants - Wastewater'!E51</f>
        <v>1.132E-4</v>
      </c>
    </row>
    <row r="16" spans="1:10" ht="20.100000000000001" customHeight="1" x14ac:dyDescent="0.25">
      <c r="A16" s="13" t="str">
        <f>HYPERLINK("#'Constants - Common'!A1", "Constants - Common")</f>
        <v>Constants - Common</v>
      </c>
    </row>
    <row r="17" spans="1:7" ht="20.100000000000001" customHeight="1" x14ac:dyDescent="0.25">
      <c r="D17" s="61" t="s">
        <v>120</v>
      </c>
      <c r="E17" s="63">
        <f>((I13 / 1000) * (I14 * I15))</f>
        <v>4.26764E-7</v>
      </c>
      <c r="F17" s="66" t="str">
        <f>$E$11</f>
        <v>t N2O</v>
      </c>
    </row>
    <row r="18" spans="1:7" ht="20.100000000000001" customHeight="1" x14ac:dyDescent="0.25"/>
    <row r="19" spans="1:7" ht="20.100000000000001" customHeight="1" x14ac:dyDescent="0.25">
      <c r="D19" s="72" t="str" cm="1">
        <f t="array" ref="D19:E20">Common_Equations.Common_ConvertN2OToCO2e_Arguments()</f>
        <v>EN2O</v>
      </c>
      <c r="E19" s="73" t="str">
        <v>Nitrous oxide emissions (t N2O)</v>
      </c>
      <c r="F19" s="74"/>
      <c r="G19" s="28">
        <f>E17</f>
        <v>4.26764E-7</v>
      </c>
    </row>
    <row r="20" spans="1:7" ht="20.100000000000001" customHeight="1" x14ac:dyDescent="0.25">
      <c r="D20" s="72" t="str">
        <v>GWPN2O</v>
      </c>
      <c r="E20" s="73" t="str">
        <v>Global warming potential for nitrous oxide (t CO2-e / t N2O)</v>
      </c>
      <c r="F20" s="74"/>
      <c r="G20" s="28">
        <v>265</v>
      </c>
    </row>
    <row r="21" spans="1:7" ht="20.100000000000001" customHeight="1" x14ac:dyDescent="0.25">
      <c r="A21" s="13"/>
    </row>
    <row r="22" spans="1:7" ht="20.100000000000001" customHeight="1" x14ac:dyDescent="0.25">
      <c r="D22" s="62" t="s">
        <v>121</v>
      </c>
      <c r="E22" s="62" cm="1">
        <f t="array" ref="E22">Common_Equations.Common_ConvertN2OToCO2e(G19,G20)</f>
        <v>1.1309246E-4</v>
      </c>
      <c r="F22" s="75"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122</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
        <v>179</v>
      </c>
    </row>
    <row r="6" spans="1:35" ht="20.100000000000001" customHeight="1" x14ac:dyDescent="0.25">
      <c r="A6" s="12"/>
      <c r="D6" s="4" t="s">
        <v>180</v>
      </c>
    </row>
    <row r="7" spans="1:35" ht="20.100000000000001" customHeight="1" x14ac:dyDescent="0.25">
      <c r="A7" s="16" t="s">
        <v>1</v>
      </c>
      <c r="D7" s="1" t="s">
        <v>88</v>
      </c>
    </row>
    <row r="8" spans="1:35" ht="20.100000000000001" customHeight="1" x14ac:dyDescent="0.25">
      <c r="A8" s="13" t="str">
        <f>HYPERLINK("#'Input - Wastewater'!A1", "Wastewater")</f>
        <v>Wastewater</v>
      </c>
      <c r="D8" s="30" t="s">
        <v>100</v>
      </c>
    </row>
    <row r="9" spans="1:35" ht="20.100000000000001" customHeight="1" x14ac:dyDescent="0.25">
      <c r="A9" s="13"/>
      <c r="D9" s="26" t="s">
        <v>87</v>
      </c>
      <c r="E9" s="26" t="s">
        <v>88</v>
      </c>
    </row>
    <row r="10" spans="1:35" ht="20.100000000000001" customHeight="1" x14ac:dyDescent="0.25">
      <c r="A10" s="15" t="s">
        <v>44</v>
      </c>
      <c r="D10" s="26" t="s">
        <v>181</v>
      </c>
      <c r="E10" s="26">
        <v>0</v>
      </c>
    </row>
    <row r="11" spans="1:35" ht="20.100000000000001" customHeight="1" x14ac:dyDescent="0.25">
      <c r="A11" s="13" t="str">
        <f>HYPERLINK("#'11.1.1-2 Wastewater CH4'!A1", "10.1.1-2 Wastewater CH4")</f>
        <v>10.1.1-2 Wastewater CH4</v>
      </c>
      <c r="D11" s="26" t="s">
        <v>118</v>
      </c>
      <c r="E11" s="26">
        <v>0.3</v>
      </c>
    </row>
    <row r="12" spans="1:35" ht="20.100000000000001" customHeight="1" x14ac:dyDescent="0.25">
      <c r="A12" s="13" t="str">
        <f>HYPERLINK("#'11.1.3-4 Wastewater N2O'!A1", "10.1.3-4 Wastewater N2O")</f>
        <v>10.1.3-4 Wastewater N2O</v>
      </c>
      <c r="D12" s="26" t="s">
        <v>182</v>
      </c>
      <c r="E12" s="26">
        <v>0.8</v>
      </c>
    </row>
    <row r="13" spans="1:35" ht="20.100000000000001" customHeight="1" x14ac:dyDescent="0.25">
      <c r="A13" s="13"/>
      <c r="D13" s="26" t="s">
        <v>183</v>
      </c>
      <c r="E13" s="26">
        <v>0.2</v>
      </c>
    </row>
    <row r="14" spans="1:35" ht="20.100000000000001" customHeight="1" x14ac:dyDescent="0.25">
      <c r="A14" s="14" t="s">
        <v>2</v>
      </c>
      <c r="D14" s="26" t="s">
        <v>184</v>
      </c>
      <c r="E14" s="26">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
        <v>185</v>
      </c>
    </row>
    <row r="18" spans="1:6" ht="20.100000000000001" customHeight="1" x14ac:dyDescent="0.25">
      <c r="D18" s="4" t="s">
        <v>186</v>
      </c>
    </row>
    <row r="19" spans="1:6" ht="20.100000000000001" customHeight="1" x14ac:dyDescent="0.25">
      <c r="D19" s="1" t="s">
        <v>89</v>
      </c>
    </row>
    <row r="20" spans="1:6" ht="20.100000000000001" customHeight="1" x14ac:dyDescent="0.25">
      <c r="D20" s="30" t="s">
        <v>100</v>
      </c>
      <c r="F20" s="71" t="s">
        <v>119</v>
      </c>
    </row>
    <row r="21" spans="1:6" ht="20.100000000000001" customHeight="1" x14ac:dyDescent="0.25">
      <c r="A21" s="13"/>
      <c r="D21" s="26" t="s">
        <v>87</v>
      </c>
      <c r="E21" s="26" t="s">
        <v>89</v>
      </c>
    </row>
    <row r="22" spans="1:6" ht="20.100000000000001" customHeight="1" x14ac:dyDescent="0.25">
      <c r="D22" s="26" t="s">
        <v>181</v>
      </c>
      <c r="E22" s="26">
        <v>0</v>
      </c>
    </row>
    <row r="23" spans="1:6" ht="20.100000000000001" customHeight="1" x14ac:dyDescent="0.25">
      <c r="A23" s="13"/>
      <c r="D23" s="26" t="s">
        <v>118</v>
      </c>
      <c r="E23" s="26">
        <v>0.3</v>
      </c>
    </row>
    <row r="24" spans="1:6" ht="20.100000000000001" customHeight="1" x14ac:dyDescent="0.25">
      <c r="D24" s="26" t="s">
        <v>182</v>
      </c>
      <c r="E24" s="26">
        <v>0.8</v>
      </c>
    </row>
    <row r="25" spans="1:6" ht="20.100000000000001" customHeight="1" x14ac:dyDescent="0.25">
      <c r="D25" s="26" t="s">
        <v>183</v>
      </c>
      <c r="E25" s="26">
        <v>0.2</v>
      </c>
    </row>
    <row r="26" spans="1:6" ht="20.100000000000001" customHeight="1" x14ac:dyDescent="0.25">
      <c r="D26" s="26" t="s">
        <v>184</v>
      </c>
      <c r="E26" s="26">
        <v>0.8</v>
      </c>
    </row>
    <row r="27" spans="1:6" ht="20.100000000000001" customHeight="1" x14ac:dyDescent="0.25"/>
    <row r="28" spans="1:6" ht="20.100000000000001" customHeight="1" x14ac:dyDescent="0.25"/>
    <row r="29" spans="1:6" ht="20.100000000000001" customHeight="1" x14ac:dyDescent="0.25">
      <c r="D29" s="5" t="s">
        <v>187</v>
      </c>
    </row>
    <row r="30" spans="1:6" ht="20.100000000000001" customHeight="1" x14ac:dyDescent="0.25">
      <c r="D30" s="4" t="s">
        <v>188</v>
      </c>
    </row>
    <row r="31" spans="1:6" ht="20.100000000000001" customHeight="1" x14ac:dyDescent="0.25">
      <c r="D31" s="29" t="s">
        <v>189</v>
      </c>
      <c r="E31" s="1">
        <v>0.25</v>
      </c>
      <c r="F31" s="30" t="s">
        <v>190</v>
      </c>
    </row>
    <row r="32" spans="1:6" ht="20.100000000000001" customHeight="1" x14ac:dyDescent="0.25"/>
    <row r="33" spans="4:6" ht="20.100000000000001" customHeight="1" x14ac:dyDescent="0.25"/>
    <row r="34" spans="4:6" ht="20.100000000000001" customHeight="1" x14ac:dyDescent="0.25">
      <c r="D34" s="5" t="s">
        <v>191</v>
      </c>
    </row>
    <row r="35" spans="4:6" ht="20.100000000000001" customHeight="1" x14ac:dyDescent="0.25">
      <c r="D35" s="4" t="s">
        <v>188</v>
      </c>
    </row>
    <row r="36" spans="4:6" ht="20.100000000000001" customHeight="1" x14ac:dyDescent="0.25">
      <c r="D36" s="29" t="s">
        <v>192</v>
      </c>
      <c r="E36" s="1">
        <v>0.25</v>
      </c>
      <c r="F36" s="30" t="s">
        <v>190</v>
      </c>
    </row>
    <row r="37" spans="4:6" ht="20.100000000000001" customHeight="1" x14ac:dyDescent="0.25"/>
    <row r="38" spans="4:6" ht="20.100000000000001" customHeight="1" x14ac:dyDescent="0.25"/>
    <row r="39" spans="4:6" ht="20.100000000000001" customHeight="1" x14ac:dyDescent="0.25">
      <c r="D39" s="5" t="s">
        <v>193</v>
      </c>
    </row>
    <row r="40" spans="4:6" ht="20.100000000000001" customHeight="1" x14ac:dyDescent="0.25">
      <c r="D40" s="4" t="s">
        <v>188</v>
      </c>
    </row>
    <row r="41" spans="4:6" ht="20.100000000000001" customHeight="1" x14ac:dyDescent="0.25">
      <c r="D41" s="29" t="s">
        <v>194</v>
      </c>
      <c r="E41" s="1">
        <v>3.7699999999999997E-2</v>
      </c>
      <c r="F41" s="30" t="s">
        <v>195</v>
      </c>
    </row>
    <row r="42" spans="4:6" ht="20.100000000000001" customHeight="1" x14ac:dyDescent="0.25"/>
    <row r="43" spans="4:6" ht="20.100000000000001" customHeight="1" x14ac:dyDescent="0.25"/>
    <row r="44" spans="4:6" ht="20.100000000000001" customHeight="1" x14ac:dyDescent="0.25">
      <c r="D44" s="5" t="s">
        <v>196</v>
      </c>
    </row>
    <row r="45" spans="4:6" ht="20.100000000000001" customHeight="1" x14ac:dyDescent="0.25">
      <c r="D45" s="4" t="s">
        <v>188</v>
      </c>
    </row>
    <row r="46" spans="4:6" ht="20.100000000000001" customHeight="1" x14ac:dyDescent="0.25">
      <c r="D46" s="29" t="s">
        <v>197</v>
      </c>
      <c r="E46" s="1">
        <v>0.22889999999999999</v>
      </c>
      <c r="F46" s="30" t="s">
        <v>198</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
        <v>199</v>
      </c>
    </row>
    <row r="50" spans="1:6" ht="20.100000000000001" customHeight="1" x14ac:dyDescent="0.25">
      <c r="D50" s="4" t="s">
        <v>188</v>
      </c>
    </row>
    <row r="51" spans="1:6" ht="20.100000000000001" customHeight="1" x14ac:dyDescent="0.25">
      <c r="D51" s="29" t="s">
        <v>200</v>
      </c>
      <c r="E51" s="1">
        <v>1.132E-4</v>
      </c>
      <c r="F51" s="30" t="s">
        <v>201</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7BE6-A391-432F-B8D2-A68CD0E0E20E}">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
        <v>202</v>
      </c>
      <c r="BM5" s="2"/>
    </row>
    <row r="6" spans="1:65" ht="20.100000000000001" customHeight="1" x14ac:dyDescent="0.25">
      <c r="A6"/>
      <c r="D6" s="26" t="s">
        <v>6</v>
      </c>
      <c r="E6" s="26" t="s">
        <v>7</v>
      </c>
      <c r="F6" s="26" t="s">
        <v>8</v>
      </c>
    </row>
    <row r="7" spans="1:65" ht="20.100000000000001" customHeight="1" x14ac:dyDescent="0.25">
      <c r="A7"/>
      <c r="D7" s="26" t="s">
        <v>203</v>
      </c>
      <c r="E7" s="26" t="s">
        <v>203</v>
      </c>
      <c r="F7" s="26" t="s">
        <v>204</v>
      </c>
    </row>
    <row r="8" spans="1:65" ht="20.100000000000001" customHeight="1" x14ac:dyDescent="0.25">
      <c r="A8"/>
      <c r="D8" s="26" t="s">
        <v>205</v>
      </c>
      <c r="E8" s="26" t="s">
        <v>206</v>
      </c>
      <c r="F8" s="26" t="s">
        <v>206</v>
      </c>
    </row>
    <row r="9" spans="1:65" ht="20.100000000000001" customHeight="1" x14ac:dyDescent="0.25">
      <c r="A9"/>
      <c r="D9" s="26" t="s">
        <v>207</v>
      </c>
      <c r="E9" s="26" t="s">
        <v>207</v>
      </c>
      <c r="F9" s="26" t="s">
        <v>208</v>
      </c>
    </row>
    <row r="10" spans="1:65" ht="20.100000000000001" customHeight="1" x14ac:dyDescent="0.25">
      <c r="A10"/>
      <c r="D10" s="26" t="s">
        <v>209</v>
      </c>
      <c r="E10" s="26" t="s">
        <v>209</v>
      </c>
      <c r="F10" s="26" t="s">
        <v>210</v>
      </c>
    </row>
    <row r="11" spans="1:65" ht="20.100000000000001" customHeight="1" x14ac:dyDescent="0.25">
      <c r="A11"/>
      <c r="D11" s="26" t="s">
        <v>211</v>
      </c>
      <c r="E11" s="26" t="s">
        <v>211</v>
      </c>
      <c r="F11" s="26" t="s">
        <v>212</v>
      </c>
      <c r="BM11" s="2"/>
    </row>
    <row r="12" spans="1:65" ht="20.100000000000001" customHeight="1" x14ac:dyDescent="0.25">
      <c r="A12"/>
      <c r="D12" s="26" t="s">
        <v>213</v>
      </c>
      <c r="E12" s="26" t="s">
        <v>213</v>
      </c>
      <c r="F12" s="26" t="s">
        <v>214</v>
      </c>
      <c r="BM12" s="2"/>
    </row>
    <row r="13" spans="1:65" ht="20.100000000000001" customHeight="1" x14ac:dyDescent="0.25">
      <c r="A13"/>
      <c r="D13" s="26" t="s">
        <v>215</v>
      </c>
      <c r="E13" s="26" t="s">
        <v>215</v>
      </c>
      <c r="F13" s="26" t="s">
        <v>216</v>
      </c>
    </row>
    <row r="14" spans="1:65" ht="20.100000000000001" customHeight="1" x14ac:dyDescent="0.25">
      <c r="A14"/>
      <c r="D14" s="26" t="s">
        <v>217</v>
      </c>
      <c r="E14" s="26" t="s">
        <v>217</v>
      </c>
      <c r="F14" s="26" t="s">
        <v>218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
        <v>219</v>
      </c>
    </row>
    <row r="19" spans="1:4" ht="20.100000000000001" customHeight="1" x14ac:dyDescent="0.25">
      <c r="A19"/>
      <c r="D19" s="4" t="s">
        <v>220</v>
      </c>
    </row>
    <row r="20" spans="1:4" ht="20.100000000000001" customHeight="1" x14ac:dyDescent="0.25">
      <c r="A20"/>
      <c r="D20" s="26" t="s">
        <v>9</v>
      </c>
    </row>
    <row r="21" spans="1:4" ht="20.100000000000001" customHeight="1" x14ac:dyDescent="0.25">
      <c r="A21"/>
      <c r="D21" s="26" t="s">
        <v>221</v>
      </c>
    </row>
    <row r="22" spans="1:4" ht="20.100000000000001" customHeight="1" x14ac:dyDescent="0.25">
      <c r="A22"/>
      <c r="D22" s="26" t="s">
        <v>222</v>
      </c>
    </row>
    <row r="23" spans="1:4" ht="20.100000000000001" customHeight="1" x14ac:dyDescent="0.25">
      <c r="A23"/>
      <c r="D23" s="26" t="s">
        <v>223</v>
      </c>
    </row>
    <row r="24" spans="1:4" ht="20.100000000000001" customHeight="1" x14ac:dyDescent="0.25">
      <c r="A24"/>
      <c r="D24" s="26" t="s">
        <v>224</v>
      </c>
    </row>
    <row r="25" spans="1:4" ht="20.100000000000001" customHeight="1" x14ac:dyDescent="0.25">
      <c r="A25"/>
      <c r="D25" s="26" t="s">
        <v>225</v>
      </c>
    </row>
    <row r="26" spans="1:4" ht="20.100000000000001" customHeight="1" x14ac:dyDescent="0.25">
      <c r="A26"/>
      <c r="D26" s="26" t="s">
        <v>226</v>
      </c>
    </row>
    <row r="27" spans="1:4" ht="20.100000000000001" customHeight="1" x14ac:dyDescent="0.25">
      <c r="A27"/>
      <c r="D27" s="26" t="s">
        <v>227</v>
      </c>
    </row>
    <row r="28" spans="1:4" ht="20.100000000000001" customHeight="1" x14ac:dyDescent="0.25">
      <c r="A28"/>
      <c r="D28" s="26" t="s">
        <v>228</v>
      </c>
    </row>
    <row r="29" spans="1:4" ht="20.100000000000001" customHeight="1" x14ac:dyDescent="0.25">
      <c r="A29"/>
      <c r="D29" s="26" t="s">
        <v>229</v>
      </c>
    </row>
    <row r="30" spans="1:4" ht="20.100000000000001" customHeight="1" x14ac:dyDescent="0.25">
      <c r="A30"/>
      <c r="D30" s="26" t="s">
        <v>230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
        <v>231</v>
      </c>
    </row>
    <row r="35" spans="1:8" ht="20.100000000000001" customHeight="1" x14ac:dyDescent="0.25">
      <c r="A35"/>
      <c r="D35" s="4" t="s">
        <v>232</v>
      </c>
    </row>
    <row r="36" spans="1:8" ht="20.100000000000001" customHeight="1" x14ac:dyDescent="0.25">
      <c r="A36"/>
      <c r="D36" s="26" t="s">
        <v>10</v>
      </c>
      <c r="E36" s="26" t="s">
        <v>11</v>
      </c>
    </row>
    <row r="37" spans="1:8" ht="20.100000000000001" customHeight="1" x14ac:dyDescent="0.25">
      <c r="A37"/>
      <c r="D37" s="26" t="s">
        <v>233</v>
      </c>
      <c r="E37" s="26">
        <v>1</v>
      </c>
    </row>
    <row r="38" spans="1:8" ht="20.100000000000001" customHeight="1" x14ac:dyDescent="0.25">
      <c r="A38"/>
      <c r="D38" s="26" t="s">
        <v>234</v>
      </c>
      <c r="E38" s="26">
        <v>28</v>
      </c>
    </row>
    <row r="39" spans="1:8" ht="20.100000000000001" customHeight="1" x14ac:dyDescent="0.25">
      <c r="A39"/>
      <c r="D39" s="26" t="s">
        <v>235</v>
      </c>
      <c r="E39" s="26">
        <v>265</v>
      </c>
    </row>
    <row r="40" spans="1:8" ht="20.100000000000001" customHeight="1" x14ac:dyDescent="0.25">
      <c r="A40"/>
      <c r="D40" s="26" t="s">
        <v>236</v>
      </c>
      <c r="E40" s="26">
        <v>6630</v>
      </c>
    </row>
    <row r="41" spans="1:8" ht="20.100000000000001" customHeight="1" x14ac:dyDescent="0.25">
      <c r="A41"/>
      <c r="D41" s="26" t="s">
        <v>237</v>
      </c>
      <c r="E41" s="26">
        <v>12200</v>
      </c>
    </row>
    <row r="42" spans="1:8" ht="20.100000000000001" customHeight="1" x14ac:dyDescent="0.25">
      <c r="D42" s="26" t="s">
        <v>238</v>
      </c>
      <c r="E42" s="26">
        <v>22800</v>
      </c>
    </row>
    <row r="43" spans="1:8" ht="20.100000000000001" customHeight="1" x14ac:dyDescent="0.25">
      <c r="D43" s="26" t="s">
        <v>239</v>
      </c>
      <c r="E43" s="26">
        <v>17200</v>
      </c>
    </row>
    <row r="44" spans="1:8" ht="20.100000000000001" customHeight="1" x14ac:dyDescent="0.25"/>
    <row r="45" spans="1:8" ht="20.100000000000001" customHeight="1" x14ac:dyDescent="0.25">
      <c r="D45" s="5" t="s">
        <v>240</v>
      </c>
    </row>
    <row r="46" spans="1:8" ht="20.100000000000001" customHeight="1" x14ac:dyDescent="0.25">
      <c r="D46" s="4" t="s">
        <v>232</v>
      </c>
    </row>
    <row r="47" spans="1:8" ht="20.100000000000001" customHeight="1" x14ac:dyDescent="0.25">
      <c r="D47" s="26" t="s">
        <v>10</v>
      </c>
      <c r="E47" s="26" t="s">
        <v>13</v>
      </c>
      <c r="F47" s="26" t="s">
        <v>14</v>
      </c>
      <c r="G47" s="26" t="s">
        <v>15</v>
      </c>
      <c r="H47" s="26" t="s">
        <v>16</v>
      </c>
    </row>
    <row r="48" spans="1:8" ht="20.100000000000001" customHeight="1" x14ac:dyDescent="0.25">
      <c r="D48" s="26" t="s">
        <v>233</v>
      </c>
      <c r="E48" s="26" t="s">
        <v>241</v>
      </c>
      <c r="F48" s="26">
        <v>44</v>
      </c>
      <c r="G48" s="26">
        <v>12</v>
      </c>
      <c r="H48" s="26">
        <f>Table_GasToMolecularConversionFactor[[#This Row],[Conversion factor 1]]/Table_GasToMolecularConversionFactor[[#This Row],[Conversion factor 2]]</f>
        <v>3.6666666666666665</v>
      </c>
    </row>
    <row r="49" spans="4:8" ht="20.100000000000001" customHeight="1" x14ac:dyDescent="0.25">
      <c r="D49" s="26" t="s">
        <v>234</v>
      </c>
      <c r="E49" s="26" t="s">
        <v>242</v>
      </c>
      <c r="F49" s="26">
        <v>16</v>
      </c>
      <c r="G49" s="26">
        <v>12</v>
      </c>
      <c r="H49" s="26">
        <f>Table_GasToMolecularConversionFactor[[#This Row],[Conversion factor 1]]/Table_GasToMolecularConversionFactor[[#This Row],[Conversion factor 2]]</f>
        <v>1.3333333333333333</v>
      </c>
    </row>
    <row r="50" spans="4:8" ht="20.100000000000001" customHeight="1" x14ac:dyDescent="0.25">
      <c r="D50" s="26" t="s">
        <v>235</v>
      </c>
      <c r="E50" s="26" t="s">
        <v>243</v>
      </c>
      <c r="F50" s="26">
        <v>44</v>
      </c>
      <c r="G50" s="26">
        <v>28</v>
      </c>
      <c r="H50" s="26">
        <f>Table_GasToMolecularConversionFactor[[#This Row],[Conversion factor 1]]/Table_GasToMolecularConversionFactor[[#This Row],[Conversion factor 2]]</f>
        <v>1.5714285714285714</v>
      </c>
    </row>
    <row r="51" spans="4:8" ht="20.100000000000001" customHeight="1" x14ac:dyDescent="0.25">
      <c r="D51" s="26" t="s">
        <v>244</v>
      </c>
      <c r="E51" s="26" t="s">
        <v>245</v>
      </c>
      <c r="F51" s="26">
        <v>46</v>
      </c>
      <c r="G51" s="26">
        <v>14</v>
      </c>
      <c r="H51" s="26">
        <f>Table_GasToMolecularConversionFactor[[#This Row],[Conversion factor 1]]/Table_GasToMolecularConversionFactor[[#This Row],[Conversion factor 2]]</f>
        <v>3.2857142857142856</v>
      </c>
    </row>
    <row r="52" spans="4:8" ht="20.100000000000001" customHeight="1" x14ac:dyDescent="0.25">
      <c r="D52" s="26" t="s">
        <v>246</v>
      </c>
      <c r="E52" s="26" t="s">
        <v>247</v>
      </c>
      <c r="F52" s="26">
        <v>28</v>
      </c>
      <c r="G52" s="26">
        <v>12</v>
      </c>
      <c r="H52" s="26">
        <f>Table_GasToMolecularConversionFactor[[#This Row],[Conversion factor 1]]/Table_GasToMolecularConversionFactor[[#This Row],[Conversion factor 2]]</f>
        <v>2.3333333333333335</v>
      </c>
    </row>
    <row r="53" spans="4:8" ht="20.100000000000001" customHeight="1" x14ac:dyDescent="0.25">
      <c r="D53" s="26" t="s">
        <v>248</v>
      </c>
      <c r="E53" s="26" t="s">
        <v>241</v>
      </c>
      <c r="F53" s="26">
        <v>44</v>
      </c>
      <c r="G53" s="26">
        <v>12</v>
      </c>
      <c r="H53" s="26">
        <f>Table_GasToMolecularConversionFactor[[#This Row],[Conversion factor 1]]/Table_GasToMolecularConversionFactor[[#This Row],[Conversion factor 2]]</f>
        <v>3.6666666666666665</v>
      </c>
    </row>
    <row r="54" spans="4:8" ht="20.100000000000001" customHeight="1" x14ac:dyDescent="0.25">
      <c r="D54" s="26" t="s">
        <v>249</v>
      </c>
      <c r="E54" s="26" t="s">
        <v>250</v>
      </c>
      <c r="F54" s="26">
        <v>14</v>
      </c>
      <c r="G54" s="26">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
        <v>251</v>
      </c>
    </row>
    <row r="58" spans="4:8" ht="20.100000000000001" customHeight="1" x14ac:dyDescent="0.25">
      <c r="D58" s="4" t="s">
        <v>252</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30</v>
      </c>
    </row>
    <row r="64" spans="4:8" ht="20.100000000000001" customHeight="1" x14ac:dyDescent="0.25">
      <c r="D64" s="26" t="s">
        <v>253</v>
      </c>
      <c r="E64" s="26" t="s">
        <v>254</v>
      </c>
    </row>
    <row r="65" spans="4:5" ht="20.100000000000001" customHeight="1" x14ac:dyDescent="0.25">
      <c r="D65" s="26" t="s">
        <v>255</v>
      </c>
      <c r="E65" s="26" t="s">
        <v>254</v>
      </c>
    </row>
    <row r="66" spans="4:5" ht="20.100000000000001" customHeight="1" x14ac:dyDescent="0.25">
      <c r="D66" s="26" t="s">
        <v>256</v>
      </c>
      <c r="E66" s="26" t="s">
        <v>254</v>
      </c>
    </row>
    <row r="67" spans="4:5" ht="20.100000000000001" customHeight="1" x14ac:dyDescent="0.25">
      <c r="D67" s="26" t="s">
        <v>257</v>
      </c>
      <c r="E67" s="26" t="s">
        <v>258</v>
      </c>
    </row>
    <row r="68" spans="4:5" ht="20.100000000000001" customHeight="1" x14ac:dyDescent="0.25">
      <c r="D68" s="26" t="s">
        <v>259</v>
      </c>
      <c r="E68" s="26" t="s">
        <v>254</v>
      </c>
    </row>
    <row r="69" spans="4:5" ht="20.100000000000001" customHeight="1" x14ac:dyDescent="0.25">
      <c r="D69" s="26" t="s">
        <v>260</v>
      </c>
      <c r="E69" s="26" t="s">
        <v>258</v>
      </c>
    </row>
    <row r="70" spans="4:5" ht="20.100000000000001" customHeight="1" x14ac:dyDescent="0.25">
      <c r="D70" s="26" t="s">
        <v>261</v>
      </c>
      <c r="E70" s="26" t="s">
        <v>254</v>
      </c>
    </row>
    <row r="71" spans="4:5" ht="20.100000000000001" customHeight="1" x14ac:dyDescent="0.25">
      <c r="D71" s="26" t="s">
        <v>262</v>
      </c>
      <c r="E71" s="26" t="s">
        <v>258</v>
      </c>
    </row>
    <row r="72" spans="4:5" ht="20.100000000000001" customHeight="1" x14ac:dyDescent="0.25">
      <c r="D72" s="26" t="s">
        <v>263</v>
      </c>
      <c r="E72" s="26" t="s">
        <v>254</v>
      </c>
    </row>
    <row r="73" spans="4:5" ht="20.100000000000001" customHeight="1" x14ac:dyDescent="0.25">
      <c r="D73" s="26" t="s">
        <v>264</v>
      </c>
      <c r="E73" s="26" t="s">
        <v>258</v>
      </c>
    </row>
    <row r="74" spans="4:5" ht="20.100000000000001" customHeight="1" x14ac:dyDescent="0.25">
      <c r="D74" s="26" t="s">
        <v>265</v>
      </c>
      <c r="E74" s="26" t="s">
        <v>254</v>
      </c>
    </row>
    <row r="75" spans="4:5" ht="20.100000000000001" customHeight="1" x14ac:dyDescent="0.25">
      <c r="D75" s="26" t="s">
        <v>266</v>
      </c>
      <c r="E75" s="26" t="s">
        <v>258</v>
      </c>
    </row>
    <row r="76" spans="4:5" ht="20.100000000000001" customHeight="1" x14ac:dyDescent="0.25">
      <c r="D76" s="26" t="s">
        <v>267</v>
      </c>
      <c r="E76" s="26" t="s">
        <v>254</v>
      </c>
    </row>
    <row r="77" spans="4:5" ht="20.100000000000001" customHeight="1" x14ac:dyDescent="0.25">
      <c r="D77" s="26" t="s">
        <v>268</v>
      </c>
      <c r="E77" s="26" t="s">
        <v>258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
        <v>269</v>
      </c>
    </row>
    <row r="82" spans="4:20" ht="20.100000000000001" customHeight="1" x14ac:dyDescent="0.25">
      <c r="D82" s="4" t="s">
        <v>270</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4:20" ht="20.100000000000001" customHeight="1" x14ac:dyDescent="0.25">
      <c r="D90" s="26" t="s">
        <v>253</v>
      </c>
      <c r="E90" s="26" t="s">
        <v>271</v>
      </c>
      <c r="F90" s="26" t="s">
        <v>272</v>
      </c>
      <c r="G90" s="26" t="s">
        <v>273</v>
      </c>
      <c r="H90" s="26" t="s">
        <v>274</v>
      </c>
      <c r="I90" s="26" t="s">
        <v>272</v>
      </c>
      <c r="J90" s="26">
        <v>18.001000000000001</v>
      </c>
      <c r="K90" s="26">
        <v>999999</v>
      </c>
      <c r="L90" s="26">
        <v>-999999</v>
      </c>
      <c r="M90" s="26">
        <v>999999</v>
      </c>
      <c r="N90" s="26">
        <v>-999999</v>
      </c>
      <c r="O90" s="26">
        <v>7</v>
      </c>
      <c r="P90" s="26">
        <v>1000</v>
      </c>
      <c r="Q90" s="26">
        <v>999999</v>
      </c>
      <c r="R90" s="26">
        <v>-999999</v>
      </c>
      <c r="S90" s="26">
        <v>999999</v>
      </c>
      <c r="T90" s="26"/>
    </row>
    <row r="91" spans="4:20" ht="20.100000000000001" customHeight="1" x14ac:dyDescent="0.25">
      <c r="D91" s="26" t="s">
        <v>255</v>
      </c>
      <c r="E91" s="26" t="s">
        <v>271</v>
      </c>
      <c r="F91" s="26" t="s">
        <v>275</v>
      </c>
      <c r="G91" s="26" t="s">
        <v>273</v>
      </c>
      <c r="H91" s="26" t="s">
        <v>276</v>
      </c>
      <c r="I91" s="26" t="s">
        <v>272</v>
      </c>
      <c r="J91" s="26">
        <v>18.001000000000001</v>
      </c>
      <c r="K91" s="26">
        <v>999999</v>
      </c>
      <c r="L91" s="26">
        <v>2000.001</v>
      </c>
      <c r="M91" s="26">
        <v>999999</v>
      </c>
      <c r="N91" s="26">
        <v>-999999</v>
      </c>
      <c r="O91" s="26">
        <v>7</v>
      </c>
      <c r="P91" s="26">
        <v>-999999</v>
      </c>
      <c r="Q91" s="26">
        <v>999.99900000000002</v>
      </c>
      <c r="R91" s="26">
        <v>-999999</v>
      </c>
      <c r="S91" s="26">
        <v>999999</v>
      </c>
      <c r="T91" s="26"/>
    </row>
    <row r="92" spans="4:20" ht="20.100000000000001" customHeight="1" x14ac:dyDescent="0.25">
      <c r="D92" s="26" t="s">
        <v>256</v>
      </c>
      <c r="E92" s="26" t="s">
        <v>271</v>
      </c>
      <c r="F92" s="26" t="s">
        <v>277</v>
      </c>
      <c r="G92" s="26" t="s">
        <v>273</v>
      </c>
      <c r="H92" s="26" t="s">
        <v>276</v>
      </c>
      <c r="I92" s="26" t="s">
        <v>272</v>
      </c>
      <c r="J92" s="26">
        <v>18.001000000000001</v>
      </c>
      <c r="K92" s="26">
        <v>999999</v>
      </c>
      <c r="L92" s="26">
        <v>1000.001</v>
      </c>
      <c r="M92" s="26">
        <v>2000</v>
      </c>
      <c r="N92" s="26">
        <v>-999999</v>
      </c>
      <c r="O92" s="26">
        <v>7</v>
      </c>
      <c r="P92" s="26">
        <v>-999999</v>
      </c>
      <c r="Q92" s="26">
        <v>999.99900000000002</v>
      </c>
      <c r="R92" s="26">
        <v>-999999</v>
      </c>
      <c r="S92" s="26">
        <v>999999</v>
      </c>
      <c r="T92" s="26"/>
    </row>
    <row r="93" spans="4:20" ht="20.100000000000001" customHeight="1" x14ac:dyDescent="0.25">
      <c r="D93" s="26" t="s">
        <v>257</v>
      </c>
      <c r="E93" s="26" t="s">
        <v>271</v>
      </c>
      <c r="F93" s="26" t="s">
        <v>278</v>
      </c>
      <c r="G93" s="26" t="s">
        <v>273</v>
      </c>
      <c r="H93" s="26" t="s">
        <v>276</v>
      </c>
      <c r="I93" s="26" t="s">
        <v>272</v>
      </c>
      <c r="J93" s="26">
        <v>18.001000000000001</v>
      </c>
      <c r="K93" s="26">
        <v>999999</v>
      </c>
      <c r="L93" s="26">
        <v>-999999</v>
      </c>
      <c r="M93" s="26">
        <v>1000</v>
      </c>
      <c r="N93" s="26">
        <v>-999999</v>
      </c>
      <c r="O93" s="26">
        <v>7</v>
      </c>
      <c r="P93" s="26">
        <v>-999999</v>
      </c>
      <c r="Q93" s="26">
        <v>999.99900000000002</v>
      </c>
      <c r="R93" s="26">
        <v>-999999</v>
      </c>
      <c r="S93" s="26">
        <v>999999</v>
      </c>
      <c r="T93" s="26"/>
    </row>
    <row r="94" spans="4:20" ht="20.100000000000001" customHeight="1" x14ac:dyDescent="0.25">
      <c r="D94" s="26" t="s">
        <v>259</v>
      </c>
      <c r="E94" s="26" t="s">
        <v>279</v>
      </c>
      <c r="F94" s="26" t="s">
        <v>272</v>
      </c>
      <c r="G94" s="26" t="s">
        <v>272</v>
      </c>
      <c r="H94" s="26" t="s">
        <v>272</v>
      </c>
      <c r="I94" s="26" t="s">
        <v>280</v>
      </c>
      <c r="J94" s="26">
        <v>10.000999999999999</v>
      </c>
      <c r="K94" s="26">
        <v>999999</v>
      </c>
      <c r="L94" s="26">
        <v>-999999</v>
      </c>
      <c r="M94" s="26">
        <v>999999</v>
      </c>
      <c r="N94" s="26">
        <v>-999999</v>
      </c>
      <c r="O94" s="26">
        <v>999999</v>
      </c>
      <c r="P94" s="26">
        <v>-999999</v>
      </c>
      <c r="Q94" s="26">
        <v>999999</v>
      </c>
      <c r="R94" s="26">
        <v>1.0009999999999999</v>
      </c>
      <c r="S94" s="26">
        <v>999999</v>
      </c>
      <c r="T94" s="26"/>
    </row>
    <row r="95" spans="4:20" ht="20.100000000000001" customHeight="1" x14ac:dyDescent="0.25">
      <c r="D95" s="26" t="s">
        <v>260</v>
      </c>
      <c r="E95" s="26" t="s">
        <v>279</v>
      </c>
      <c r="F95" s="26" t="s">
        <v>272</v>
      </c>
      <c r="G95" s="26" t="s">
        <v>272</v>
      </c>
      <c r="H95" s="26" t="s">
        <v>272</v>
      </c>
      <c r="I95" s="26" t="s">
        <v>281</v>
      </c>
      <c r="J95" s="26">
        <v>10.000999999999999</v>
      </c>
      <c r="K95" s="26">
        <v>999999</v>
      </c>
      <c r="L95" s="26">
        <v>-999999</v>
      </c>
      <c r="M95" s="26">
        <v>999999</v>
      </c>
      <c r="N95" s="26">
        <v>-999999</v>
      </c>
      <c r="O95" s="26">
        <v>999999</v>
      </c>
      <c r="P95" s="26">
        <v>-999999</v>
      </c>
      <c r="Q95" s="26">
        <v>999999</v>
      </c>
      <c r="R95" s="26">
        <v>-999999</v>
      </c>
      <c r="S95" s="26">
        <v>1</v>
      </c>
      <c r="T95" s="26"/>
    </row>
    <row r="96" spans="4:20" ht="20.100000000000001" customHeight="1" x14ac:dyDescent="0.25">
      <c r="D96" s="26" t="s">
        <v>261</v>
      </c>
      <c r="E96" s="26" t="s">
        <v>282</v>
      </c>
      <c r="F96" s="26" t="s">
        <v>272</v>
      </c>
      <c r="G96" s="26" t="s">
        <v>272</v>
      </c>
      <c r="H96" s="26" t="s">
        <v>272</v>
      </c>
      <c r="I96" s="26" t="s">
        <v>280</v>
      </c>
      <c r="J96" s="26">
        <v>-999999</v>
      </c>
      <c r="K96" s="26">
        <v>10</v>
      </c>
      <c r="L96" s="26">
        <v>-999999</v>
      </c>
      <c r="M96" s="26">
        <v>999999</v>
      </c>
      <c r="N96" s="26">
        <v>-999999</v>
      </c>
      <c r="O96" s="26">
        <v>999999</v>
      </c>
      <c r="P96" s="26">
        <v>-999999</v>
      </c>
      <c r="Q96" s="26">
        <v>999999</v>
      </c>
      <c r="R96" s="26">
        <v>1.0009999999999999</v>
      </c>
      <c r="S96" s="26">
        <v>999999</v>
      </c>
      <c r="T96" s="26"/>
    </row>
    <row r="97" spans="4:20" ht="20.100000000000001" customHeight="1" x14ac:dyDescent="0.25">
      <c r="D97" s="26" t="s">
        <v>262</v>
      </c>
      <c r="E97" s="26" t="s">
        <v>282</v>
      </c>
      <c r="F97" s="26" t="s">
        <v>272</v>
      </c>
      <c r="G97" s="26" t="s">
        <v>272</v>
      </c>
      <c r="H97" s="26" t="s">
        <v>272</v>
      </c>
      <c r="I97" s="26" t="s">
        <v>281</v>
      </c>
      <c r="J97" s="26">
        <v>-999999</v>
      </c>
      <c r="K97" s="26">
        <v>10</v>
      </c>
      <c r="L97" s="26">
        <v>-999999</v>
      </c>
      <c r="M97" s="26">
        <v>999999</v>
      </c>
      <c r="N97" s="26">
        <v>-999999</v>
      </c>
      <c r="O97" s="26">
        <v>999999</v>
      </c>
      <c r="P97" s="26">
        <v>-999999</v>
      </c>
      <c r="Q97" s="26">
        <v>999999</v>
      </c>
      <c r="R97" s="26">
        <v>-999999</v>
      </c>
      <c r="S97" s="26">
        <v>1</v>
      </c>
      <c r="T97" s="26"/>
    </row>
    <row r="98" spans="4:20" ht="20.100000000000001" customHeight="1" x14ac:dyDescent="0.25"/>
    <row r="99" spans="4:20" ht="20.100000000000001" customHeight="1" x14ac:dyDescent="0.25">
      <c r="D99" s="30" t="s">
        <v>283</v>
      </c>
    </row>
    <row r="100" spans="4:20" ht="20.100000000000001" customHeight="1" x14ac:dyDescent="0.25">
      <c r="D100" s="30" t="s">
        <v>284</v>
      </c>
    </row>
    <row r="101" spans="4:20" ht="20.100000000000001" customHeight="1" x14ac:dyDescent="0.25">
      <c r="D101" s="30" t="s">
        <v>285</v>
      </c>
    </row>
    <row r="102" spans="4:20" ht="20.100000000000001" customHeight="1" x14ac:dyDescent="0.25">
      <c r="D102" s="30" t="s">
        <v>286</v>
      </c>
    </row>
    <row r="103" spans="4:20" ht="20.100000000000001" customHeight="1" x14ac:dyDescent="0.25">
      <c r="D103" s="30"/>
    </row>
    <row r="104" spans="4:20" ht="20.100000000000001" customHeight="1" x14ac:dyDescent="0.25"/>
    <row r="105" spans="4:20" ht="20.100000000000001" customHeight="1" x14ac:dyDescent="0.25">
      <c r="D105" s="5" t="s">
        <v>287</v>
      </c>
    </row>
    <row r="106" spans="4:20" ht="20.100000000000001" customHeight="1" x14ac:dyDescent="0.25">
      <c r="D106" s="4" t="s">
        <v>270</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35</v>
      </c>
      <c r="E109" s="26" t="s">
        <v>18</v>
      </c>
      <c r="F109" s="26" t="s">
        <v>36</v>
      </c>
      <c r="G109" s="26" t="s">
        <v>37</v>
      </c>
    </row>
    <row r="110" spans="4:20" ht="20.100000000000001" customHeight="1" x14ac:dyDescent="0.25">
      <c r="D110" s="26" t="s">
        <v>288</v>
      </c>
      <c r="E110" s="26" t="s">
        <v>289</v>
      </c>
      <c r="F110" s="26">
        <v>26</v>
      </c>
      <c r="G110" s="26">
        <v>999999</v>
      </c>
    </row>
    <row r="111" spans="4:20" ht="20.100000000000001" customHeight="1" x14ac:dyDescent="0.25">
      <c r="D111" s="26" t="s">
        <v>290</v>
      </c>
      <c r="E111" s="26" t="s">
        <v>291</v>
      </c>
      <c r="F111" s="26">
        <v>15</v>
      </c>
      <c r="G111" s="26">
        <v>25.998999999999999</v>
      </c>
    </row>
    <row r="112" spans="4:20" ht="20.100000000000001" customHeight="1" x14ac:dyDescent="0.25">
      <c r="D112" s="26" t="s">
        <v>292</v>
      </c>
      <c r="E112" s="26" t="s">
        <v>293</v>
      </c>
      <c r="F112" s="26">
        <v>-999999</v>
      </c>
      <c r="G112" s="26">
        <v>14.999000000000001</v>
      </c>
    </row>
    <row r="113" spans="4:66" ht="20.100000000000001" customHeight="1" x14ac:dyDescent="0.25"/>
    <row r="114" spans="4:66" ht="20.100000000000001" customHeight="1" x14ac:dyDescent="0.25"/>
    <row r="115" spans="4:66" ht="20.100000000000001" customHeight="1" x14ac:dyDescent="0.25">
      <c r="D115" s="5" t="s">
        <v>294</v>
      </c>
      <c r="BN115" s="6"/>
    </row>
    <row r="116" spans="4:66" ht="20.100000000000001" customHeight="1" x14ac:dyDescent="0.25">
      <c r="D116" s="4" t="s">
        <v>270</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38</v>
      </c>
      <c r="E119" s="26" t="s">
        <v>39</v>
      </c>
      <c r="F119" s="26" t="s">
        <v>25</v>
      </c>
      <c r="G119" s="26" t="s">
        <v>26</v>
      </c>
      <c r="BN119" s="6"/>
    </row>
    <row r="120" spans="4:66" ht="20.100000000000001" customHeight="1" x14ac:dyDescent="0.25">
      <c r="D120" s="26" t="s">
        <v>295</v>
      </c>
      <c r="E120" s="26" t="s">
        <v>296</v>
      </c>
      <c r="F120" s="26">
        <v>600.00099999999998</v>
      </c>
      <c r="G120" s="26">
        <v>999999</v>
      </c>
      <c r="BN120" s="6"/>
    </row>
    <row r="121" spans="4:66" ht="20.100000000000001" customHeight="1" x14ac:dyDescent="0.25">
      <c r="D121" s="26" t="s">
        <v>297</v>
      </c>
      <c r="E121" s="26" t="s">
        <v>298</v>
      </c>
      <c r="F121" s="26">
        <v>-999999</v>
      </c>
      <c r="G121" s="26">
        <v>600</v>
      </c>
      <c r="BN121" s="6"/>
    </row>
    <row r="122" spans="4:66" ht="20.100000000000001" customHeight="1" x14ac:dyDescent="0.25">
      <c r="BN122" s="6"/>
    </row>
    <row r="123" spans="4:66" ht="20.100000000000001" customHeight="1" x14ac:dyDescent="0.25"/>
    <row r="124" spans="4:66" ht="20.100000000000001" customHeight="1" x14ac:dyDescent="0.25">
      <c r="D124" s="5" t="s">
        <v>299</v>
      </c>
    </row>
    <row r="125" spans="4:66" ht="20.100000000000001" customHeight="1" x14ac:dyDescent="0.25">
      <c r="D125" s="4" t="s">
        <v>270</v>
      </c>
    </row>
    <row r="126" spans="4:66" ht="20.100000000000001" customHeight="1" x14ac:dyDescent="0.25"/>
    <row r="127" spans="4:66" ht="20.100000000000001" customHeight="1" x14ac:dyDescent="0.25">
      <c r="D127" s="26" t="s">
        <v>40</v>
      </c>
      <c r="E127" s="26" t="s">
        <v>41</v>
      </c>
    </row>
    <row r="128" spans="4:66" ht="20.100000000000001" customHeight="1" x14ac:dyDescent="0.25">
      <c r="D128" s="26" t="s">
        <v>300</v>
      </c>
      <c r="E128" s="26" t="s">
        <v>301</v>
      </c>
    </row>
    <row r="129" spans="4:77" ht="20.100000000000001" customHeight="1" x14ac:dyDescent="0.25">
      <c r="D129" s="26" t="s">
        <v>302</v>
      </c>
      <c r="E129" s="26" t="s">
        <v>303</v>
      </c>
    </row>
    <row r="130" spans="4:77" ht="20.100000000000001" customHeight="1" x14ac:dyDescent="0.25"/>
    <row r="131" spans="4:77" ht="20.100000000000001" customHeight="1" x14ac:dyDescent="0.25"/>
    <row r="132" spans="4:77" ht="20.100000000000001" customHeight="1" x14ac:dyDescent="0.25">
      <c r="D132" s="5" t="s">
        <v>304</v>
      </c>
      <c r="E132" s="18"/>
    </row>
    <row r="133" spans="4:77" ht="20.100000000000001" customHeight="1" x14ac:dyDescent="0.25">
      <c r="D133" s="4" t="s">
        <v>305</v>
      </c>
      <c r="E133" s="18"/>
    </row>
    <row r="134" spans="4:77" ht="20.100000000000001" customHeight="1" x14ac:dyDescent="0.25">
      <c r="D134" t="s">
        <v>46</v>
      </c>
      <c r="E134" t="s">
        <v>47</v>
      </c>
    </row>
    <row r="135" spans="4:77" ht="20.100000000000001" customHeight="1" x14ac:dyDescent="0.25">
      <c r="D135" t="s">
        <v>306</v>
      </c>
      <c r="E135">
        <v>1</v>
      </c>
    </row>
    <row r="136" spans="4:77" ht="20.100000000000001" customHeight="1" x14ac:dyDescent="0.25">
      <c r="D136" s="1" t="s">
        <v>307</v>
      </c>
      <c r="E136" s="26">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
        <v>308</v>
      </c>
      <c r="BN139" s="6"/>
      <c r="BO139" s="6"/>
      <c r="BP139" s="6"/>
      <c r="BQ139" s="6"/>
      <c r="BR139" s="6"/>
      <c r="BS139" s="6"/>
      <c r="BT139" s="6"/>
      <c r="BU139" s="6"/>
      <c r="BV139" s="6"/>
      <c r="BW139" s="6"/>
      <c r="BX139" s="6"/>
      <c r="BY139" s="6"/>
    </row>
    <row r="140" spans="4:77" ht="20.100000000000001" customHeight="1" x14ac:dyDescent="0.25">
      <c r="D140" s="4" t="s">
        <v>309</v>
      </c>
      <c r="BN140" s="6"/>
      <c r="BO140" s="6"/>
      <c r="BP140" s="6"/>
      <c r="BQ140" s="6"/>
      <c r="BR140" s="6"/>
      <c r="BS140" s="6"/>
      <c r="BT140" s="6"/>
      <c r="BU140" s="6"/>
      <c r="BV140" s="6"/>
      <c r="BW140" s="6"/>
      <c r="BX140" s="6"/>
      <c r="BY140" s="6"/>
    </row>
    <row r="141" spans="4:77" ht="20.100000000000001" customHeight="1" x14ac:dyDescent="0.25">
      <c r="D141" s="31" t="s">
        <v>310</v>
      </c>
      <c r="BN141" s="6"/>
    </row>
    <row r="142" spans="4:77" ht="20.100000000000001" customHeight="1" x14ac:dyDescent="0.25">
      <c r="D142" s="26" t="s">
        <v>56</v>
      </c>
      <c r="E142" s="26" t="s">
        <v>47</v>
      </c>
      <c r="BN142" s="6"/>
    </row>
    <row r="143" spans="4:77" ht="20.100000000000001" customHeight="1" x14ac:dyDescent="0.25">
      <c r="D143" s="26" t="s">
        <v>311</v>
      </c>
      <c r="E143" s="26">
        <v>0</v>
      </c>
      <c r="BN143" s="6"/>
    </row>
    <row r="144" spans="4:77" ht="20.100000000000001" customHeight="1" x14ac:dyDescent="0.25">
      <c r="D144" s="1" t="s">
        <v>312</v>
      </c>
      <c r="E144" s="26">
        <v>0</v>
      </c>
      <c r="BN144" s="6"/>
    </row>
    <row r="145" spans="4:66" ht="20.100000000000001" customHeight="1" x14ac:dyDescent="0.25">
      <c r="D145" s="1" t="s">
        <v>313</v>
      </c>
      <c r="E145" s="26">
        <v>1</v>
      </c>
      <c r="BN145" s="6"/>
    </row>
    <row r="146" spans="4:66" ht="20.100000000000001" customHeight="1" x14ac:dyDescent="0.25">
      <c r="D146" s="1" t="s">
        <v>314</v>
      </c>
      <c r="E146" s="26">
        <v>1</v>
      </c>
      <c r="BN146" s="6"/>
    </row>
    <row r="147" spans="4:66" ht="20.100000000000001" customHeight="1" x14ac:dyDescent="0.25">
      <c r="D147" s="1" t="s">
        <v>315</v>
      </c>
      <c r="E147" s="26">
        <v>1</v>
      </c>
      <c r="BN147" s="6"/>
    </row>
    <row r="148" spans="4:66" ht="20.100000000000001" customHeight="1" x14ac:dyDescent="0.25">
      <c r="BN148" s="6"/>
    </row>
    <row r="149" spans="4:66" ht="20.100000000000001" customHeight="1" x14ac:dyDescent="0.25">
      <c r="BN149" s="6"/>
    </row>
    <row r="150" spans="4:66" ht="20.100000000000001" customHeight="1" x14ac:dyDescent="0.25">
      <c r="D150" s="5" t="s">
        <v>316</v>
      </c>
      <c r="BN150" s="6"/>
    </row>
    <row r="151" spans="4:66" ht="20.100000000000001" customHeight="1" x14ac:dyDescent="0.25">
      <c r="D151" s="4" t="s">
        <v>317</v>
      </c>
      <c r="BN151" s="6"/>
    </row>
    <row r="152" spans="4:66" ht="20.100000000000001" customHeight="1" x14ac:dyDescent="0.25">
      <c r="BN152" s="6"/>
    </row>
    <row r="153" spans="4:66" ht="20.100000000000001" customHeight="1" x14ac:dyDescent="0.25">
      <c r="D153" s="26" t="s">
        <v>42</v>
      </c>
      <c r="E153" s="26" t="s">
        <v>43</v>
      </c>
      <c r="BC153" s="2"/>
      <c r="BD153" s="2"/>
      <c r="BE153" s="2"/>
      <c r="BF153" s="2"/>
      <c r="BG153" s="2"/>
      <c r="BH153" s="2"/>
      <c r="BI153" s="2"/>
      <c r="BJ153" s="2"/>
      <c r="BK153" s="2"/>
      <c r="BL153" s="2"/>
      <c r="BM153" s="2"/>
    </row>
    <row r="154" spans="4:66" ht="20.100000000000001" customHeight="1" x14ac:dyDescent="0.25">
      <c r="D154" s="26" t="s">
        <v>318</v>
      </c>
      <c r="E154" s="26">
        <v>1</v>
      </c>
      <c r="BC154" s="2"/>
      <c r="BD154" s="2"/>
      <c r="BE154" s="2"/>
      <c r="BF154" s="2"/>
      <c r="BG154" s="2"/>
      <c r="BH154" s="2"/>
      <c r="BI154" s="2"/>
      <c r="BJ154" s="2"/>
      <c r="BK154" s="2"/>
      <c r="BL154" s="2"/>
      <c r="BM154" s="2"/>
    </row>
    <row r="155" spans="4:66" ht="20.100000000000001" customHeight="1" x14ac:dyDescent="0.25">
      <c r="D155" s="26" t="s">
        <v>319</v>
      </c>
      <c r="E155" s="26">
        <v>2</v>
      </c>
      <c r="BC155" s="2"/>
      <c r="BD155" s="2"/>
      <c r="BE155" s="2"/>
      <c r="BF155" s="2"/>
      <c r="BG155" s="2"/>
      <c r="BH155" s="2"/>
      <c r="BI155" s="2"/>
      <c r="BJ155" s="2"/>
      <c r="BK155" s="2"/>
      <c r="BL155" s="2"/>
      <c r="BM155" s="2"/>
    </row>
    <row r="156" spans="4:66" ht="20.100000000000001" customHeight="1" x14ac:dyDescent="0.25">
      <c r="D156" s="26" t="s">
        <v>320</v>
      </c>
      <c r="E156" s="26">
        <v>3</v>
      </c>
    </row>
    <row r="157" spans="4:66" ht="20.100000000000001" customHeight="1" x14ac:dyDescent="0.25">
      <c r="D157" s="26" t="s">
        <v>321</v>
      </c>
      <c r="E157" s="26">
        <v>4</v>
      </c>
    </row>
    <row r="158" spans="4:66" ht="20.100000000000001" customHeight="1" x14ac:dyDescent="0.25">
      <c r="D158" s="26" t="s">
        <v>322</v>
      </c>
      <c r="E158" s="26">
        <v>5</v>
      </c>
    </row>
    <row r="159" spans="4:66" ht="20.100000000000001" customHeight="1" x14ac:dyDescent="0.25"/>
    <row r="160" spans="4:66" ht="20.100000000000001" customHeight="1" x14ac:dyDescent="0.25"/>
    <row r="161" spans="4:68" ht="20.100000000000001" customHeight="1" x14ac:dyDescent="0.25">
      <c r="D161" s="5" t="s">
        <v>304</v>
      </c>
      <c r="E161" s="18"/>
    </row>
    <row r="162" spans="4:68" ht="20.100000000000001" customHeight="1" x14ac:dyDescent="0.25">
      <c r="D162" s="4" t="s">
        <v>305</v>
      </c>
      <c r="E162" s="18"/>
    </row>
    <row r="163" spans="4:68" ht="20.100000000000001" customHeight="1" x14ac:dyDescent="0.25">
      <c r="D163" s="4" t="s">
        <v>323</v>
      </c>
      <c r="E163" s="18"/>
    </row>
    <row r="164" spans="4:68" ht="20.100000000000001" customHeight="1" x14ac:dyDescent="0.25">
      <c r="D164" s="18" t="s">
        <v>324</v>
      </c>
      <c r="E164" s="18"/>
    </row>
    <row r="165" spans="4:68" ht="20.100000000000001" customHeight="1" x14ac:dyDescent="0.25">
      <c r="D165" s="1">
        <v>0.24</v>
      </c>
      <c r="BN165" s="6"/>
      <c r="BO165" s="6"/>
      <c r="BP165" s="6"/>
    </row>
    <row r="166" spans="4:68" ht="20.100000000000001" customHeight="1" x14ac:dyDescent="0.25">
      <c r="BN166" s="6"/>
      <c r="BO166" s="6"/>
      <c r="BP166" s="6"/>
    </row>
    <row r="167" spans="4:68" ht="20.100000000000001" customHeight="1" x14ac:dyDescent="0.25">
      <c r="D167" s="5" t="s">
        <v>325</v>
      </c>
      <c r="BN167" s="6"/>
      <c r="BO167" s="6"/>
      <c r="BP167" s="6"/>
    </row>
    <row r="168" spans="4:68" ht="20.100000000000001" customHeight="1" x14ac:dyDescent="0.25">
      <c r="D168" s="4" t="s">
        <v>305</v>
      </c>
      <c r="BN168" s="6"/>
      <c r="BO168" s="6"/>
      <c r="BP168" s="6"/>
    </row>
    <row r="169" spans="4:68" ht="20.100000000000001" customHeight="1" x14ac:dyDescent="0.25">
      <c r="D169" s="4" t="s">
        <v>326</v>
      </c>
      <c r="BN169" s="6"/>
      <c r="BO169" s="6"/>
      <c r="BP169" s="6"/>
    </row>
    <row r="170" spans="4:68" ht="20.100000000000001" customHeight="1" x14ac:dyDescent="0.25">
      <c r="D170" s="1" t="s">
        <v>327</v>
      </c>
      <c r="BN170" s="6"/>
      <c r="BO170" s="6"/>
      <c r="BP170" s="6"/>
    </row>
    <row r="171" spans="4:68" ht="20.100000000000001" customHeight="1" x14ac:dyDescent="0.25">
      <c r="D171" s="1">
        <v>1.0999999999999999E-2</v>
      </c>
      <c r="BN171" s="6"/>
      <c r="BO171" s="6"/>
      <c r="BP171" s="6"/>
    </row>
    <row r="172" spans="4:68" ht="20.100000000000001" customHeight="1" x14ac:dyDescent="0.25">
      <c r="BN172" s="6"/>
      <c r="BO172" s="6"/>
      <c r="BP172" s="6"/>
    </row>
    <row r="173" spans="4:68" ht="20.100000000000001" customHeight="1" x14ac:dyDescent="0.25">
      <c r="D173" s="5" t="s">
        <v>328</v>
      </c>
      <c r="BN173" s="6"/>
      <c r="BO173" s="6"/>
      <c r="BP173" s="6"/>
    </row>
    <row r="174" spans="4:68" ht="20.100000000000001" customHeight="1" x14ac:dyDescent="0.25">
      <c r="D174" s="4" t="s">
        <v>329</v>
      </c>
      <c r="BN174" s="6"/>
      <c r="BO174" s="6"/>
      <c r="BP174" s="6"/>
    </row>
    <row r="175" spans="4:68" ht="20.100000000000001" customHeight="1" x14ac:dyDescent="0.25">
      <c r="D175" s="1">
        <v>0.6784</v>
      </c>
      <c r="E175" s="30" t="s">
        <v>330</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
        <v>331</v>
      </c>
      <c r="BN178" s="6"/>
      <c r="BO178" s="6"/>
      <c r="BP178" s="6"/>
    </row>
    <row r="179" spans="4:68" ht="20.100000000000001" customHeight="1" x14ac:dyDescent="0.25">
      <c r="D179" s="4" t="s">
        <v>332</v>
      </c>
      <c r="BN179" s="6"/>
      <c r="BO179" s="6"/>
      <c r="BP179" s="6"/>
    </row>
    <row r="180" spans="4:68" ht="20.100000000000001" customHeight="1" x14ac:dyDescent="0.25">
      <c r="D180" s="30" t="s">
        <v>333</v>
      </c>
    </row>
    <row r="181" spans="4:68" ht="20.100000000000001" customHeight="1" x14ac:dyDescent="0.25">
      <c r="D181" s="31" t="s">
        <v>334</v>
      </c>
    </row>
    <row r="182" spans="4:68" ht="20.100000000000001" customHeight="1" x14ac:dyDescent="0.25">
      <c r="D182" s="31" t="s">
        <v>335</v>
      </c>
    </row>
    <row r="183" spans="4:68" ht="20.100000000000001" customHeight="1" x14ac:dyDescent="0.25">
      <c r="D183" s="31" t="s">
        <v>336</v>
      </c>
    </row>
    <row r="184" spans="4:68" ht="20.100000000000001" customHeight="1" x14ac:dyDescent="0.25">
      <c r="D184" s="31" t="s">
        <v>337</v>
      </c>
    </row>
    <row r="185" spans="4:68" ht="20.100000000000001" customHeight="1" x14ac:dyDescent="0.25">
      <c r="D185" s="31" t="s">
        <v>338</v>
      </c>
    </row>
    <row r="186" spans="4:68" ht="20.100000000000001" customHeight="1" x14ac:dyDescent="0.25">
      <c r="D186" s="26" t="s">
        <v>50</v>
      </c>
      <c r="E186" s="26" t="s">
        <v>51</v>
      </c>
      <c r="F186" s="26" t="s">
        <v>52</v>
      </c>
      <c r="G186" s="26" t="s">
        <v>53</v>
      </c>
      <c r="H186" s="26" t="s">
        <v>17</v>
      </c>
    </row>
    <row r="187" spans="4:68" ht="20.100000000000001" customHeight="1" x14ac:dyDescent="0.25">
      <c r="D187" s="26" t="s">
        <v>339</v>
      </c>
      <c r="E187" s="26">
        <v>5.8999999999999999E-3</v>
      </c>
      <c r="F187" s="26" t="s">
        <v>340</v>
      </c>
      <c r="G187" s="26" t="s">
        <v>272</v>
      </c>
      <c r="H187" s="26" t="s">
        <v>272</v>
      </c>
    </row>
    <row r="188" spans="4:68" ht="20.100000000000001" customHeight="1" x14ac:dyDescent="0.25">
      <c r="D188" s="26" t="s">
        <v>341</v>
      </c>
      <c r="E188" s="26">
        <v>7.0000000000000001E-3</v>
      </c>
      <c r="F188" s="26" t="s">
        <v>342</v>
      </c>
      <c r="G188" s="26" t="s">
        <v>272</v>
      </c>
      <c r="H188" s="26" t="s">
        <v>272</v>
      </c>
    </row>
    <row r="189" spans="4:68" ht="20.100000000000001" customHeight="1" x14ac:dyDescent="0.25">
      <c r="D189" s="26" t="s">
        <v>343</v>
      </c>
      <c r="E189" s="26">
        <v>1.8E-3</v>
      </c>
      <c r="F189" s="26" t="s">
        <v>340</v>
      </c>
      <c r="G189" s="26" t="s">
        <v>311</v>
      </c>
      <c r="H189" s="26" t="s">
        <v>297</v>
      </c>
    </row>
    <row r="190" spans="4:68" ht="20.100000000000001" customHeight="1" x14ac:dyDescent="0.25">
      <c r="D190" s="26" t="s">
        <v>343</v>
      </c>
      <c r="E190" s="26">
        <v>1.8E-3</v>
      </c>
      <c r="F190" s="26" t="s">
        <v>340</v>
      </c>
      <c r="G190" s="26" t="s">
        <v>311</v>
      </c>
      <c r="H190" s="26" t="s">
        <v>295</v>
      </c>
    </row>
    <row r="191" spans="4:68" ht="20.100000000000001" customHeight="1" x14ac:dyDescent="0.25">
      <c r="D191" s="26" t="s">
        <v>344</v>
      </c>
      <c r="E191" s="26">
        <v>2.8999999999999998E-3</v>
      </c>
      <c r="F191" s="26" t="s">
        <v>342</v>
      </c>
      <c r="G191" s="26" t="s">
        <v>311</v>
      </c>
      <c r="H191" s="26" t="s">
        <v>297</v>
      </c>
    </row>
    <row r="192" spans="4:68" ht="20.100000000000001" customHeight="1" x14ac:dyDescent="0.25">
      <c r="D192" s="26" t="s">
        <v>345</v>
      </c>
      <c r="E192" s="26">
        <v>8.0000000000000002E-3</v>
      </c>
      <c r="F192" s="26" t="s">
        <v>342</v>
      </c>
      <c r="G192" s="26" t="s">
        <v>311</v>
      </c>
      <c r="H192" s="26" t="s">
        <v>295</v>
      </c>
    </row>
    <row r="193" spans="4:8" ht="20.100000000000001" customHeight="1" x14ac:dyDescent="0.25">
      <c r="D193" s="26" t="s">
        <v>346</v>
      </c>
      <c r="E193" s="26">
        <v>1.9900000000000001E-2</v>
      </c>
      <c r="F193" s="26" t="s">
        <v>346</v>
      </c>
      <c r="G193" s="26" t="s">
        <v>272</v>
      </c>
      <c r="H193" s="26" t="s">
        <v>272</v>
      </c>
    </row>
    <row r="194" spans="4:8" ht="20.100000000000001" customHeight="1" x14ac:dyDescent="0.25">
      <c r="D194" s="26" t="s">
        <v>347</v>
      </c>
      <c r="E194" s="26">
        <v>5.3E-3</v>
      </c>
      <c r="F194" s="26" t="s">
        <v>347</v>
      </c>
      <c r="G194" s="26" t="s">
        <v>272</v>
      </c>
      <c r="H194" s="26" t="s">
        <v>272</v>
      </c>
    </row>
    <row r="195" spans="4:8" ht="20.100000000000001" customHeight="1" x14ac:dyDescent="0.25">
      <c r="D195" s="26" t="s">
        <v>348</v>
      </c>
      <c r="E195" s="26">
        <v>6.4000000000000003E-3</v>
      </c>
      <c r="F195" s="26" t="s">
        <v>348</v>
      </c>
      <c r="G195" s="26" t="s">
        <v>272</v>
      </c>
      <c r="H195" s="26" t="s">
        <v>272</v>
      </c>
    </row>
    <row r="196" spans="4:8" ht="20.100000000000001" customHeight="1" x14ac:dyDescent="0.25">
      <c r="D196" s="26" t="s">
        <v>349</v>
      </c>
      <c r="E196" s="26">
        <v>3.0000000000000001E-3</v>
      </c>
      <c r="F196" s="26" t="s">
        <v>350</v>
      </c>
      <c r="G196" s="26" t="s">
        <v>351</v>
      </c>
      <c r="H196" s="26" t="s">
        <v>272</v>
      </c>
    </row>
    <row r="197" spans="4:8" x14ac:dyDescent="0.25">
      <c r="D197" s="26" t="s">
        <v>352</v>
      </c>
      <c r="E197" s="26">
        <v>5.0000000000000001E-3</v>
      </c>
      <c r="F197" s="26" t="s">
        <v>350</v>
      </c>
      <c r="G197" s="26" t="s">
        <v>353</v>
      </c>
      <c r="H197" s="26" t="s">
        <v>272</v>
      </c>
    </row>
    <row r="198" spans="4:8" x14ac:dyDescent="0.25">
      <c r="D198" s="26" t="s">
        <v>354</v>
      </c>
      <c r="E198" s="26">
        <v>2.5999999999999999E-3</v>
      </c>
      <c r="F198" s="26" t="s">
        <v>354</v>
      </c>
      <c r="G198" s="26" t="s">
        <v>272</v>
      </c>
      <c r="H198" s="26" t="s">
        <v>272</v>
      </c>
    </row>
    <row r="199" spans="4:8" x14ac:dyDescent="0.25">
      <c r="D199" s="26" t="s">
        <v>355</v>
      </c>
      <c r="E199" s="26">
        <v>1.8E-3</v>
      </c>
      <c r="F199" s="26" t="s">
        <v>355</v>
      </c>
      <c r="G199" s="26" t="s">
        <v>272</v>
      </c>
      <c r="H199" s="26" t="s">
        <v>272</v>
      </c>
    </row>
    <row r="202" spans="4:8" ht="23.25" x14ac:dyDescent="0.25">
      <c r="D202" s="5" t="s">
        <v>356</v>
      </c>
    </row>
    <row r="203" spans="4:8" x14ac:dyDescent="0.25">
      <c r="D203" s="4" t="s">
        <v>357</v>
      </c>
    </row>
    <row r="204" spans="4:8" x14ac:dyDescent="0.25">
      <c r="D204" s="31" t="s">
        <v>358</v>
      </c>
    </row>
    <row r="205" spans="4:8" x14ac:dyDescent="0.25">
      <c r="D205" s="30" t="s">
        <v>359</v>
      </c>
    </row>
    <row r="206" spans="4:8" x14ac:dyDescent="0.25">
      <c r="D206" s="26" t="s">
        <v>4</v>
      </c>
      <c r="E206" s="26" t="s">
        <v>58</v>
      </c>
    </row>
    <row r="207" spans="4:8" x14ac:dyDescent="0.25">
      <c r="D207" s="26" t="s">
        <v>254</v>
      </c>
      <c r="E207" s="26">
        <v>6.0000000000000001E-3</v>
      </c>
    </row>
    <row r="208" spans="4:8" x14ac:dyDescent="0.25">
      <c r="D208" s="1" t="s">
        <v>258</v>
      </c>
      <c r="E208" s="26">
        <v>2E-3</v>
      </c>
    </row>
    <row r="211" spans="4:5" x14ac:dyDescent="0.25">
      <c r="D211" s="1" t="s">
        <v>360</v>
      </c>
    </row>
    <row r="212" spans="4:5" x14ac:dyDescent="0.25">
      <c r="D212" s="26" t="s">
        <v>55</v>
      </c>
      <c r="E212" s="26" t="s">
        <v>61</v>
      </c>
    </row>
    <row r="213" spans="4:5" x14ac:dyDescent="0.25">
      <c r="D213" s="26" t="s">
        <v>361</v>
      </c>
      <c r="E213" s="26" t="s">
        <v>362</v>
      </c>
    </row>
    <row r="214" spans="4:5" x14ac:dyDescent="0.25">
      <c r="D214" s="1" t="s">
        <v>363</v>
      </c>
      <c r="E214" s="26" t="s">
        <v>362</v>
      </c>
    </row>
    <row r="215" spans="4:5" x14ac:dyDescent="0.25">
      <c r="D215" s="1" t="s">
        <v>364</v>
      </c>
      <c r="E215" s="26" t="s">
        <v>365</v>
      </c>
    </row>
    <row r="216" spans="4:5" x14ac:dyDescent="0.25">
      <c r="D216" s="1" t="s">
        <v>366</v>
      </c>
      <c r="E216" s="26" t="s">
        <v>365</v>
      </c>
    </row>
    <row r="217" spans="4:5" x14ac:dyDescent="0.25">
      <c r="D217" s="1" t="s">
        <v>367</v>
      </c>
      <c r="E217" s="26" t="s">
        <v>365</v>
      </c>
    </row>
    <row r="218" spans="4:5" x14ac:dyDescent="0.25">
      <c r="D218" s="1" t="s">
        <v>368</v>
      </c>
      <c r="E218" s="26" t="s">
        <v>369</v>
      </c>
    </row>
    <row r="219" spans="4:5" x14ac:dyDescent="0.25">
      <c r="D219" s="1" t="s">
        <v>370</v>
      </c>
      <c r="E219" s="26" t="s">
        <v>369</v>
      </c>
    </row>
    <row r="220" spans="4:5" x14ac:dyDescent="0.25">
      <c r="D220" s="1" t="s">
        <v>371</v>
      </c>
      <c r="E220" s="26" t="s">
        <v>369</v>
      </c>
    </row>
    <row r="221" spans="4:5" x14ac:dyDescent="0.25">
      <c r="D221" s="1" t="s">
        <v>372</v>
      </c>
      <c r="E221" s="26" t="s">
        <v>373</v>
      </c>
    </row>
    <row r="222" spans="4:5" x14ac:dyDescent="0.25">
      <c r="D222" s="1" t="s">
        <v>374</v>
      </c>
      <c r="E222" s="26" t="s">
        <v>373</v>
      </c>
    </row>
    <row r="223" spans="4:5" x14ac:dyDescent="0.25">
      <c r="D223" s="1" t="s">
        <v>375</v>
      </c>
      <c r="E223" s="26" t="s">
        <v>373</v>
      </c>
    </row>
    <row r="224" spans="4:5" x14ac:dyDescent="0.25">
      <c r="D224" s="1" t="s">
        <v>376</v>
      </c>
      <c r="E224" s="26" t="s">
        <v>362</v>
      </c>
    </row>
    <row r="227" spans="4:19" ht="23.25" x14ac:dyDescent="0.25">
      <c r="D227" s="5" t="s">
        <v>377</v>
      </c>
    </row>
    <row r="228" spans="4:19" x14ac:dyDescent="0.25">
      <c r="D228" s="4" t="s">
        <v>378</v>
      </c>
    </row>
    <row r="229" spans="4:19" x14ac:dyDescent="0.25">
      <c r="D229" s="31" t="s">
        <v>379</v>
      </c>
    </row>
    <row r="231" spans="4:19" x14ac:dyDescent="0.25">
      <c r="D231" s="26" t="s">
        <v>34</v>
      </c>
      <c r="E231" s="26" t="s">
        <v>69</v>
      </c>
      <c r="F231" s="25" t="s">
        <v>70</v>
      </c>
      <c r="G231" s="26" t="s">
        <v>65</v>
      </c>
      <c r="H231" s="26" t="s">
        <v>71</v>
      </c>
      <c r="I231" s="26" t="s">
        <v>72</v>
      </c>
      <c r="J231" s="26" t="s">
        <v>64</v>
      </c>
      <c r="K231" s="26" t="s">
        <v>63</v>
      </c>
      <c r="L231" s="26" t="s">
        <v>73</v>
      </c>
      <c r="M231" s="26" t="s">
        <v>74</v>
      </c>
      <c r="N231" s="26" t="s">
        <v>62</v>
      </c>
      <c r="O231" s="26" t="s">
        <v>75</v>
      </c>
      <c r="P231" s="26" t="s">
        <v>67</v>
      </c>
      <c r="Q231" s="26" t="s">
        <v>68</v>
      </c>
      <c r="R231" s="26" t="s">
        <v>66</v>
      </c>
      <c r="S231" s="26" t="s">
        <v>76</v>
      </c>
    </row>
    <row r="232" spans="4:19" x14ac:dyDescent="0.25">
      <c r="D232" s="26" t="s">
        <v>292</v>
      </c>
      <c r="E232" s="26" t="s">
        <v>380</v>
      </c>
      <c r="F232" s="26">
        <v>0.66</v>
      </c>
      <c r="G232" s="26">
        <v>0.1</v>
      </c>
      <c r="H232" s="26">
        <v>0.1</v>
      </c>
      <c r="I232" s="26">
        <v>1E-3</v>
      </c>
      <c r="J232" s="26">
        <v>5.0000000000000001E-3</v>
      </c>
      <c r="K232" s="26">
        <v>0.02</v>
      </c>
      <c r="L232" s="26">
        <v>0.03</v>
      </c>
      <c r="M232" s="26">
        <v>0.04</v>
      </c>
      <c r="N232" s="26">
        <v>1.4999999999999999E-2</v>
      </c>
      <c r="O232" s="26">
        <v>1.4999999999999999E-2</v>
      </c>
      <c r="P232" s="26">
        <v>0</v>
      </c>
      <c r="Q232" s="26">
        <v>0</v>
      </c>
      <c r="R232" s="26">
        <v>4.7000000000000002E-3</v>
      </c>
      <c r="S232" s="26">
        <v>10</v>
      </c>
    </row>
    <row r="233" spans="4:19" x14ac:dyDescent="0.25">
      <c r="D233" s="1" t="s">
        <v>292</v>
      </c>
      <c r="E233" s="26">
        <v>11</v>
      </c>
      <c r="F233" s="26">
        <v>0.68</v>
      </c>
      <c r="G233" s="26">
        <v>0.1</v>
      </c>
      <c r="H233" s="26">
        <v>0.11</v>
      </c>
      <c r="I233" s="26">
        <v>1E-3</v>
      </c>
      <c r="J233" s="26">
        <v>5.0000000000000001E-3</v>
      </c>
      <c r="K233" s="26">
        <v>0.02</v>
      </c>
      <c r="L233" s="26">
        <v>0.03</v>
      </c>
      <c r="M233" s="26">
        <v>0.04</v>
      </c>
      <c r="N233" s="26">
        <v>1.4999999999999999E-2</v>
      </c>
      <c r="O233" s="26">
        <v>1.4999999999999999E-2</v>
      </c>
      <c r="P233" s="26">
        <v>0</v>
      </c>
      <c r="Q233" s="26">
        <v>0</v>
      </c>
      <c r="R233" s="26">
        <v>4.7000000000000002E-3</v>
      </c>
      <c r="S233" s="26">
        <v>11</v>
      </c>
    </row>
    <row r="234" spans="4:19" x14ac:dyDescent="0.25">
      <c r="D234" s="1" t="s">
        <v>292</v>
      </c>
      <c r="E234" s="26">
        <v>12</v>
      </c>
      <c r="F234" s="26">
        <v>0.7</v>
      </c>
      <c r="G234" s="26">
        <v>0.1</v>
      </c>
      <c r="H234" s="26">
        <v>0.13</v>
      </c>
      <c r="I234" s="26">
        <v>1E-3</v>
      </c>
      <c r="J234" s="26">
        <v>5.0000000000000001E-3</v>
      </c>
      <c r="K234" s="26">
        <v>0.02</v>
      </c>
      <c r="L234" s="26">
        <v>0.03</v>
      </c>
      <c r="M234" s="26">
        <v>0.04</v>
      </c>
      <c r="N234" s="26">
        <v>1.4999999999999999E-2</v>
      </c>
      <c r="O234" s="26">
        <v>1.4999999999999999E-2</v>
      </c>
      <c r="P234" s="26">
        <v>0</v>
      </c>
      <c r="Q234" s="26">
        <v>0</v>
      </c>
      <c r="R234" s="26">
        <v>4.7000000000000002E-3</v>
      </c>
      <c r="S234" s="26">
        <v>12</v>
      </c>
    </row>
    <row r="235" spans="4:19" x14ac:dyDescent="0.25">
      <c r="D235" s="1" t="s">
        <v>292</v>
      </c>
      <c r="E235" s="26">
        <v>13</v>
      </c>
      <c r="F235" s="26">
        <v>0.71</v>
      </c>
      <c r="G235" s="26">
        <v>0.1</v>
      </c>
      <c r="H235" s="26">
        <v>0.14000000000000001</v>
      </c>
      <c r="I235" s="26">
        <v>1E-3</v>
      </c>
      <c r="J235" s="26">
        <v>5.0000000000000001E-3</v>
      </c>
      <c r="K235" s="26">
        <v>0.02</v>
      </c>
      <c r="L235" s="26">
        <v>0.03</v>
      </c>
      <c r="M235" s="26">
        <v>0.04</v>
      </c>
      <c r="N235" s="26">
        <v>1.4999999999999999E-2</v>
      </c>
      <c r="O235" s="26">
        <v>1.4999999999999999E-2</v>
      </c>
      <c r="P235" s="26">
        <v>0</v>
      </c>
      <c r="Q235" s="26">
        <v>0</v>
      </c>
      <c r="R235" s="26">
        <v>4.7000000000000002E-3</v>
      </c>
      <c r="S235" s="26">
        <v>13</v>
      </c>
    </row>
    <row r="236" spans="4:19" x14ac:dyDescent="0.25">
      <c r="D236" s="1" t="s">
        <v>292</v>
      </c>
      <c r="E236" s="26">
        <v>14</v>
      </c>
      <c r="F236" s="26">
        <v>0.73</v>
      </c>
      <c r="G236" s="26">
        <v>0.1</v>
      </c>
      <c r="H236" s="26">
        <v>0.15</v>
      </c>
      <c r="I236" s="26">
        <v>1E-3</v>
      </c>
      <c r="J236" s="26">
        <v>5.0000000000000001E-3</v>
      </c>
      <c r="K236" s="26">
        <v>0.02</v>
      </c>
      <c r="L236" s="26">
        <v>0.03</v>
      </c>
      <c r="M236" s="26">
        <v>0.04</v>
      </c>
      <c r="N236" s="26">
        <v>1.4999999999999999E-2</v>
      </c>
      <c r="O236" s="26">
        <v>1.4999999999999999E-2</v>
      </c>
      <c r="P236" s="26">
        <v>0</v>
      </c>
      <c r="Q236" s="26">
        <v>0</v>
      </c>
      <c r="R236" s="26">
        <v>4.7000000000000002E-3</v>
      </c>
      <c r="S236" s="26">
        <v>14</v>
      </c>
    </row>
    <row r="237" spans="4:19" x14ac:dyDescent="0.25">
      <c r="D237" s="1" t="s">
        <v>290</v>
      </c>
      <c r="E237" s="26">
        <v>15</v>
      </c>
      <c r="F237" s="26">
        <v>0.74</v>
      </c>
      <c r="G237" s="26">
        <v>0.1</v>
      </c>
      <c r="H237" s="26">
        <v>0.17</v>
      </c>
      <c r="I237" s="26">
        <v>5.0000000000000001E-3</v>
      </c>
      <c r="J237" s="26">
        <v>0.01</v>
      </c>
      <c r="K237" s="26">
        <v>0.02</v>
      </c>
      <c r="L237" s="26">
        <v>0.03</v>
      </c>
      <c r="M237" s="26">
        <v>0.04</v>
      </c>
      <c r="N237" s="26">
        <v>1.4999999999999999E-2</v>
      </c>
      <c r="O237" s="26">
        <v>1.4999999999999999E-2</v>
      </c>
      <c r="P237" s="26">
        <v>0</v>
      </c>
      <c r="Q237" s="26">
        <v>0</v>
      </c>
      <c r="R237" s="26">
        <v>4.7000000000000002E-3</v>
      </c>
      <c r="S237" s="26">
        <v>15</v>
      </c>
    </row>
    <row r="238" spans="4:19" x14ac:dyDescent="0.25">
      <c r="D238" s="1" t="s">
        <v>290</v>
      </c>
      <c r="E238" s="26">
        <v>16</v>
      </c>
      <c r="F238" s="26">
        <v>0.75</v>
      </c>
      <c r="G238" s="26">
        <v>0.1</v>
      </c>
      <c r="H238" s="26">
        <v>0.18</v>
      </c>
      <c r="I238" s="26">
        <v>5.0000000000000001E-3</v>
      </c>
      <c r="J238" s="26">
        <v>0.01</v>
      </c>
      <c r="K238" s="26">
        <v>0.02</v>
      </c>
      <c r="L238" s="26">
        <v>0.03</v>
      </c>
      <c r="M238" s="26">
        <v>0.04</v>
      </c>
      <c r="N238" s="26">
        <v>1.4999999999999999E-2</v>
      </c>
      <c r="O238" s="26">
        <v>1.4999999999999999E-2</v>
      </c>
      <c r="P238" s="26">
        <v>0</v>
      </c>
      <c r="Q238" s="26">
        <v>0</v>
      </c>
      <c r="R238" s="26">
        <v>4.7000000000000002E-3</v>
      </c>
      <c r="S238" s="26">
        <v>16</v>
      </c>
    </row>
    <row r="239" spans="4:19" x14ac:dyDescent="0.25">
      <c r="D239" s="1" t="s">
        <v>290</v>
      </c>
      <c r="E239" s="26">
        <v>17</v>
      </c>
      <c r="F239" s="26">
        <v>0.76</v>
      </c>
      <c r="G239" s="26">
        <v>0.1</v>
      </c>
      <c r="H239" s="26">
        <v>0.2</v>
      </c>
      <c r="I239" s="26">
        <v>5.0000000000000001E-3</v>
      </c>
      <c r="J239" s="26">
        <v>0.01</v>
      </c>
      <c r="K239" s="26">
        <v>0.02</v>
      </c>
      <c r="L239" s="26">
        <v>0.03</v>
      </c>
      <c r="M239" s="26">
        <v>0.04</v>
      </c>
      <c r="N239" s="26">
        <v>1.4999999999999999E-2</v>
      </c>
      <c r="O239" s="26">
        <v>1.4999999999999999E-2</v>
      </c>
      <c r="P239" s="26">
        <v>0</v>
      </c>
      <c r="Q239" s="26">
        <v>0</v>
      </c>
      <c r="R239" s="26">
        <v>4.7000000000000002E-3</v>
      </c>
      <c r="S239" s="26">
        <v>17</v>
      </c>
    </row>
    <row r="240" spans="4:19" x14ac:dyDescent="0.25">
      <c r="D240" s="1" t="s">
        <v>290</v>
      </c>
      <c r="E240" s="26">
        <v>18</v>
      </c>
      <c r="F240" s="26">
        <v>0.77</v>
      </c>
      <c r="G240" s="26">
        <v>0.1</v>
      </c>
      <c r="H240" s="26">
        <v>0.22</v>
      </c>
      <c r="I240" s="26">
        <v>5.0000000000000001E-3</v>
      </c>
      <c r="J240" s="26">
        <v>0.01</v>
      </c>
      <c r="K240" s="26">
        <v>0.02</v>
      </c>
      <c r="L240" s="26">
        <v>0.03</v>
      </c>
      <c r="M240" s="26">
        <v>0.04</v>
      </c>
      <c r="N240" s="26">
        <v>1.4999999999999999E-2</v>
      </c>
      <c r="O240" s="26">
        <v>1.4999999999999999E-2</v>
      </c>
      <c r="P240" s="26">
        <v>0</v>
      </c>
      <c r="Q240" s="26">
        <v>0</v>
      </c>
      <c r="R240" s="26">
        <v>4.7000000000000002E-3</v>
      </c>
      <c r="S240" s="26">
        <v>18</v>
      </c>
    </row>
    <row r="241" spans="4:19" x14ac:dyDescent="0.25">
      <c r="D241" s="1" t="s">
        <v>290</v>
      </c>
      <c r="E241" s="26">
        <v>19</v>
      </c>
      <c r="F241" s="26">
        <v>0.77</v>
      </c>
      <c r="G241" s="26">
        <v>0.1</v>
      </c>
      <c r="H241" s="26">
        <v>0.24</v>
      </c>
      <c r="I241" s="26">
        <v>5.0000000000000001E-3</v>
      </c>
      <c r="J241" s="26">
        <v>0.01</v>
      </c>
      <c r="K241" s="26">
        <v>0.02</v>
      </c>
      <c r="L241" s="26">
        <v>0.03</v>
      </c>
      <c r="M241" s="26">
        <v>0.04</v>
      </c>
      <c r="N241" s="26">
        <v>1.4999999999999999E-2</v>
      </c>
      <c r="O241" s="26">
        <v>1.4999999999999999E-2</v>
      </c>
      <c r="P241" s="26">
        <v>0</v>
      </c>
      <c r="Q241" s="26">
        <v>0</v>
      </c>
      <c r="R241" s="26">
        <v>4.7000000000000002E-3</v>
      </c>
      <c r="S241" s="26">
        <v>19</v>
      </c>
    </row>
    <row r="242" spans="4:19" x14ac:dyDescent="0.25">
      <c r="D242" s="1" t="s">
        <v>290</v>
      </c>
      <c r="E242" s="26">
        <v>20</v>
      </c>
      <c r="F242" s="26">
        <v>0.78</v>
      </c>
      <c r="G242" s="26">
        <v>0.1</v>
      </c>
      <c r="H242" s="26">
        <v>0.26</v>
      </c>
      <c r="I242" s="26">
        <v>5.0000000000000001E-3</v>
      </c>
      <c r="J242" s="26">
        <v>0.01</v>
      </c>
      <c r="K242" s="26">
        <v>0.02</v>
      </c>
      <c r="L242" s="26">
        <v>0.03</v>
      </c>
      <c r="M242" s="26">
        <v>0.04</v>
      </c>
      <c r="N242" s="26">
        <v>1.4999999999999999E-2</v>
      </c>
      <c r="O242" s="26">
        <v>1.4999999999999999E-2</v>
      </c>
      <c r="P242" s="26">
        <v>0</v>
      </c>
      <c r="Q242" s="26">
        <v>0</v>
      </c>
      <c r="R242" s="26">
        <v>4.7000000000000002E-3</v>
      </c>
      <c r="S242" s="26">
        <v>20</v>
      </c>
    </row>
    <row r="243" spans="4:19" x14ac:dyDescent="0.25">
      <c r="D243" s="1" t="s">
        <v>290</v>
      </c>
      <c r="E243" s="26">
        <v>21</v>
      </c>
      <c r="F243" s="26">
        <v>0.78</v>
      </c>
      <c r="G243" s="26">
        <v>0.1</v>
      </c>
      <c r="H243" s="26">
        <v>0.28999999999999998</v>
      </c>
      <c r="I243" s="26">
        <v>5.0000000000000001E-3</v>
      </c>
      <c r="J243" s="26">
        <v>0.01</v>
      </c>
      <c r="K243" s="26">
        <v>0.02</v>
      </c>
      <c r="L243" s="26">
        <v>0.03</v>
      </c>
      <c r="M243" s="26">
        <v>0.04</v>
      </c>
      <c r="N243" s="26">
        <v>1.4999999999999999E-2</v>
      </c>
      <c r="O243" s="26">
        <v>1.4999999999999999E-2</v>
      </c>
      <c r="P243" s="26">
        <v>0</v>
      </c>
      <c r="Q243" s="26">
        <v>0</v>
      </c>
      <c r="R243" s="26">
        <v>4.7000000000000002E-3</v>
      </c>
      <c r="S243" s="26">
        <v>21</v>
      </c>
    </row>
    <row r="244" spans="4:19" x14ac:dyDescent="0.25">
      <c r="D244" s="1" t="s">
        <v>290</v>
      </c>
      <c r="E244" s="26">
        <v>22</v>
      </c>
      <c r="F244" s="26">
        <v>0.78</v>
      </c>
      <c r="G244" s="26">
        <v>0.1</v>
      </c>
      <c r="H244" s="26">
        <v>0.31</v>
      </c>
      <c r="I244" s="26">
        <v>5.0000000000000001E-3</v>
      </c>
      <c r="J244" s="26">
        <v>0.01</v>
      </c>
      <c r="K244" s="26">
        <v>0.02</v>
      </c>
      <c r="L244" s="26">
        <v>0.03</v>
      </c>
      <c r="M244" s="26">
        <v>0.04</v>
      </c>
      <c r="N244" s="26">
        <v>1.4999999999999999E-2</v>
      </c>
      <c r="O244" s="26">
        <v>1.4999999999999999E-2</v>
      </c>
      <c r="P244" s="26">
        <v>0</v>
      </c>
      <c r="Q244" s="26">
        <v>0</v>
      </c>
      <c r="R244" s="26">
        <v>4.7000000000000002E-3</v>
      </c>
      <c r="S244" s="26">
        <v>22</v>
      </c>
    </row>
    <row r="245" spans="4:19" x14ac:dyDescent="0.25">
      <c r="D245" s="1" t="s">
        <v>290</v>
      </c>
      <c r="E245" s="26">
        <v>23</v>
      </c>
      <c r="F245" s="26">
        <v>0.79</v>
      </c>
      <c r="G245" s="26">
        <v>0.1</v>
      </c>
      <c r="H245" s="26">
        <v>0.34</v>
      </c>
      <c r="I245" s="26">
        <v>5.0000000000000001E-3</v>
      </c>
      <c r="J245" s="26">
        <v>0.01</v>
      </c>
      <c r="K245" s="26">
        <v>0.02</v>
      </c>
      <c r="L245" s="26">
        <v>0.03</v>
      </c>
      <c r="M245" s="26">
        <v>0.04</v>
      </c>
      <c r="N245" s="26">
        <v>1.4999999999999999E-2</v>
      </c>
      <c r="O245" s="26">
        <v>1.4999999999999999E-2</v>
      </c>
      <c r="P245" s="26">
        <v>0</v>
      </c>
      <c r="Q245" s="26">
        <v>0</v>
      </c>
      <c r="R245" s="26">
        <v>4.7000000000000002E-3</v>
      </c>
      <c r="S245" s="26">
        <v>23</v>
      </c>
    </row>
    <row r="246" spans="4:19" x14ac:dyDescent="0.25">
      <c r="D246" s="1" t="s">
        <v>290</v>
      </c>
      <c r="E246" s="26">
        <v>24</v>
      </c>
      <c r="F246" s="26">
        <v>0.79</v>
      </c>
      <c r="G246" s="26">
        <v>0.1</v>
      </c>
      <c r="H246" s="26">
        <v>0.37</v>
      </c>
      <c r="I246" s="26">
        <v>5.0000000000000001E-3</v>
      </c>
      <c r="J246" s="26">
        <v>0.01</v>
      </c>
      <c r="K246" s="26">
        <v>0.02</v>
      </c>
      <c r="L246" s="26">
        <v>0.03</v>
      </c>
      <c r="M246" s="26">
        <v>0.04</v>
      </c>
      <c r="N246" s="26">
        <v>1.4999999999999999E-2</v>
      </c>
      <c r="O246" s="26">
        <v>1.4999999999999999E-2</v>
      </c>
      <c r="P246" s="26">
        <v>0</v>
      </c>
      <c r="Q246" s="26">
        <v>0</v>
      </c>
      <c r="R246" s="26">
        <v>4.7000000000000002E-3</v>
      </c>
      <c r="S246" s="26">
        <v>24</v>
      </c>
    </row>
    <row r="247" spans="4:19" x14ac:dyDescent="0.25">
      <c r="D247" s="1" t="s">
        <v>290</v>
      </c>
      <c r="E247" s="26">
        <v>25</v>
      </c>
      <c r="F247" s="26">
        <v>0.79</v>
      </c>
      <c r="G247" s="26">
        <v>0.1</v>
      </c>
      <c r="H247" s="26">
        <v>0.41</v>
      </c>
      <c r="I247" s="26">
        <v>5.0000000000000001E-3</v>
      </c>
      <c r="J247" s="26">
        <v>0.01</v>
      </c>
      <c r="K247" s="26">
        <v>0.02</v>
      </c>
      <c r="L247" s="26">
        <v>0.03</v>
      </c>
      <c r="M247" s="26">
        <v>0.04</v>
      </c>
      <c r="N247" s="26">
        <v>1.4999999999999999E-2</v>
      </c>
      <c r="O247" s="26">
        <v>1.4999999999999999E-2</v>
      </c>
      <c r="P247" s="26">
        <v>0</v>
      </c>
      <c r="Q247" s="26">
        <v>0</v>
      </c>
      <c r="R247" s="26">
        <v>4.7000000000000002E-3</v>
      </c>
      <c r="S247" s="26">
        <v>25</v>
      </c>
    </row>
    <row r="248" spans="4:19" x14ac:dyDescent="0.25">
      <c r="D248" s="1" t="s">
        <v>288</v>
      </c>
      <c r="E248" s="26">
        <v>26</v>
      </c>
      <c r="F248" s="26">
        <v>0.79</v>
      </c>
      <c r="G248" s="26">
        <v>0.1</v>
      </c>
      <c r="H248" s="26">
        <v>0.44</v>
      </c>
      <c r="I248" s="26">
        <v>0.01</v>
      </c>
      <c r="J248" s="26">
        <v>1.4999999999999999E-2</v>
      </c>
      <c r="K248" s="26">
        <v>0.02</v>
      </c>
      <c r="L248" s="26">
        <v>0.03</v>
      </c>
      <c r="M248" s="26">
        <v>0.04</v>
      </c>
      <c r="N248" s="26">
        <v>1.4999999999999999E-2</v>
      </c>
      <c r="O248" s="26">
        <v>1.4999999999999999E-2</v>
      </c>
      <c r="P248" s="26">
        <v>0</v>
      </c>
      <c r="Q248" s="26">
        <v>0</v>
      </c>
      <c r="R248" s="26">
        <v>4.7000000000000002E-3</v>
      </c>
      <c r="S248" s="26">
        <v>26</v>
      </c>
    </row>
    <row r="249" spans="4:19" x14ac:dyDescent="0.25">
      <c r="D249" s="1" t="s">
        <v>288</v>
      </c>
      <c r="E249" s="26">
        <v>27</v>
      </c>
      <c r="F249" s="26">
        <v>0.8</v>
      </c>
      <c r="G249" s="26">
        <v>0.1</v>
      </c>
      <c r="H249" s="26">
        <v>0.48</v>
      </c>
      <c r="I249" s="26">
        <v>0.01</v>
      </c>
      <c r="J249" s="26">
        <v>1.4999999999999999E-2</v>
      </c>
      <c r="K249" s="26">
        <v>0.02</v>
      </c>
      <c r="L249" s="26">
        <v>0.03</v>
      </c>
      <c r="M249" s="26">
        <v>0.04</v>
      </c>
      <c r="N249" s="26">
        <v>1.4999999999999999E-2</v>
      </c>
      <c r="O249" s="26">
        <v>1.4999999999999999E-2</v>
      </c>
      <c r="P249" s="26">
        <v>0</v>
      </c>
      <c r="Q249" s="26">
        <v>0</v>
      </c>
      <c r="R249" s="26">
        <v>4.7000000000000002E-3</v>
      </c>
      <c r="S249" s="26">
        <v>27</v>
      </c>
    </row>
    <row r="250" spans="4:19" x14ac:dyDescent="0.25">
      <c r="D250" s="1" t="s">
        <v>288</v>
      </c>
      <c r="E250" s="26" t="s">
        <v>381</v>
      </c>
      <c r="F250" s="26">
        <v>0.8</v>
      </c>
      <c r="G250" s="26">
        <v>0.1</v>
      </c>
      <c r="H250" s="26">
        <v>0.5</v>
      </c>
      <c r="I250" s="26">
        <v>0.01</v>
      </c>
      <c r="J250" s="26">
        <v>1.4999999999999999E-2</v>
      </c>
      <c r="K250" s="26">
        <v>0.02</v>
      </c>
      <c r="L250" s="26">
        <v>0.03</v>
      </c>
      <c r="M250" s="26">
        <v>0.04</v>
      </c>
      <c r="N250" s="26">
        <v>1.4999999999999999E-2</v>
      </c>
      <c r="O250" s="26">
        <v>1.4999999999999999E-2</v>
      </c>
      <c r="P250" s="26">
        <v>0</v>
      </c>
      <c r="Q250" s="26">
        <v>0</v>
      </c>
      <c r="R250" s="26">
        <v>4.7000000000000002E-3</v>
      </c>
      <c r="S250" s="26">
        <v>28</v>
      </c>
    </row>
    <row r="253" spans="4:19" ht="23.25" x14ac:dyDescent="0.25">
      <c r="D253" s="5" t="s">
        <v>382</v>
      </c>
    </row>
    <row r="254" spans="4:19" x14ac:dyDescent="0.25">
      <c r="D254" s="4" t="s">
        <v>383</v>
      </c>
    </row>
    <row r="255" spans="4:19" x14ac:dyDescent="0.25">
      <c r="D255" s="1" t="s">
        <v>78</v>
      </c>
    </row>
    <row r="256" spans="4:19" x14ac:dyDescent="0.25">
      <c r="D256" s="30" t="s">
        <v>359</v>
      </c>
    </row>
    <row r="257" spans="4:5" x14ac:dyDescent="0.25">
      <c r="D257" s="26" t="s">
        <v>77</v>
      </c>
      <c r="E257" s="26" t="s">
        <v>78</v>
      </c>
    </row>
    <row r="258" spans="4:5" x14ac:dyDescent="0.25">
      <c r="D258" s="26" t="s">
        <v>254</v>
      </c>
      <c r="E258" s="26">
        <v>6.0000000000000001E-3</v>
      </c>
    </row>
    <row r="259" spans="4:5" x14ac:dyDescent="0.25">
      <c r="D259" s="1" t="s">
        <v>258</v>
      </c>
      <c r="E259" s="26">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cAYQBzAHQAZQB3AGEAdABlAHI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EAMQAuADEAOgAgAFcAYQBzAHQAZQB3AGEAdABlAHIAXABuAD0APQA9AD0APQA9AD0APQA9AD0APQA9AD0APQA9AD0APQA9AD0APQA9AD0APQA9AD0APQA9AD0APQA9AD0APQA9AD0APQA9AD0APQA9AD0APQA9AD0APQA9AD0APQA9AD0APQA9AD0APQA9AD0APQA9AD0APQA9AD0APQA9AD0APQA9AD0APQA9AD0APQA9AD0APQA9AD0AXABuADEAMQAuADEALgAxAC4AMQAgAE0AZQB0AGgAbwBkACAAMQAgAC0AIABNAGUAdABoAGEAbgBlACAAZQBtAGkAcwBzAGkAbwBuAHMAIABmAHIAbwBtACAAbwBuAHMAaQB0AGUAIABXAGEAcwB0AGUAdwBhAHQAZQByACAATQBhAG4AYQBnAGU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QBfADEAXwAxAF8AMQBfAF8AMQBfAE0AZQB0AGgAYQBuAGUARQBtAGkAcwBzAGkAbwBuAHMARgByAG8AbQBXAGEAcwB0AGUAdwBhAHQAZQByAFQAcgBlAGEAdABtAGUAbgB0AFwAbgBNAGUAdABoAGEAbgBlACAAZQBtAGkAcwBzAGkAbwBuAHMAIABmAHIAbwBtACAAdwBhAHMAdABlAHcAYQB0AGUAcgAgAHQAcgBlAGEAdABtAGUAbgB0AFwAbgBFAF8AQwBIADQAXABuAHQAIABDAEgANABcAG4ARQBfAHsAQwBIADQAfQA9AFwAXABmAHIAYQBjAHsAMQB9AHsAMQAwADAAMAB9AFwAXAB0AGkAbQBlAHMAXABcAGwAZQBmAHQAWwBcAFwAbABlAGYAdAAoAFcAXwB0AFwAXAB0AGkAbQBlAHMAXABcAGwAZQBmAHQAKABDAE8ARABfAHsAaQBuAH0AXABcAHQAaQBtAGUAcwAoADEALQBGAF8AewBzAGwAdQBkAGcAZQB9ACkALQBDAE8ARABfAHsAbwB1AHQAfQBcAFwAcgBpAGcAaAB0ACkAXABcAHQAaQBtAGUAcwAgAEMARgBfAHsAdwB3ACwAdAB9AFwAXAB0AGkAbQBlAHMAIABFAEYAXwB7AHcAdwB9AFwAXAByAGkAZwBoAHQAKQArAFwAXABsAGUAZgB0ACgAVwBfAHQAXABcAHQAaQBtAGUAcwBcAFwAbABlAGYAdAAoAEMATwBEAF8AewBpAG4AfQBcAFwAdABpAG0AZQBzACgARgBfAHsAcwBsAHUAZABnAGUAfQAtAEYAXwB7AHIAZQBtAG8AdgBlAGQAfQApAFwAXAByAGkAZwBoAHQAKQBcAFwAdABpAG0AZQBzACAAQwBGAF8AewBzAGwAdQBkAGcAZQAsAHQAfQBcAFwAdABpAG0AZQBzACAARQBGAF8AewBzAGwAdQBkAGcAZQB9AFwAXAByAGkAZwBoAHQAKQAtAFwAXABsAGUAZgB0ACgANgAuADcAOAA0AFwAXAB0AGkAbQBlAHMAIAAxADAAXgB7AC0ANAB9AFwAXAB0AGkAbQBlAHMAKABRAF8AewBjAGEAcAB9ACsAUQBfAHsAZgBsAGEAcgBlAGQAfQArAFEAXwB7AG8AdQB0AH0AKQBcAFwAcgBpAGcAaAB0ACkAKwBcAFwAbABlAGYAdAAoAFEAXwB7AGYAbABhAHIAZQBkAH0AXABcAHQAaQBtAGUAcwAgAEUAQwBfAHsAZgBsAGEAcgBlAGQAfQBcAFwAdABpAG0AZQBzACAARQBGAF8AewBmAGwAYQByAGUAZAAsAEMASAA0AH0AXABcAHIAaQBnAGgAdAApAFwAXAByAGkAZwBoAHQAXQBcAG4AVwBfAHQAIAA9ACAAcQB1AGEAbgB0AGkAdAB5ACAAbwBmACAAdwBhAHMAdABlAHcAYQB0AGUAcgAgAHQAcgBlAGEAdABlAGQAIABhAHQAIABmAGEAYwBpAGwAaQB0AHkAIAB0AHkAcABlACAAdAAgACgAbQAzACkAXABuAEMATwBEAF8AaQBuACAAPQAgAGEAdgBlAHIAYQBnAGUAIABpAG4AbABlAHQAIABDAGgAZQBtAGkAYwBhAGwAIABPAHgAeQBnAGUAbgAgAEQAZQBtAGEAbgBkACAAYwBvAG4AYwBlAG4AdAByAGEAdABpAG8AbgAgAG8AZgAgAHcAYQBzAHQAZQB3AGEAdABlAHIAIAAoAGsAZwAgAEMATwBEAC8AbQAzACkAXABuAEYAXwBzAGwAdQBkAGcAZQAgAD0AIABmAHIAYQBjAHQAaQBvAG4AIABvAGYAIABDAE8ARAAgAHIAZQBtAG8AdgBlAGQAIABmAHIAbwBtACAAdwBhAHMAdABlAHcAYQB0AGUAcgAgAGEAcwAgAHMAbAB1AGQAZwBlAFwAbgBDAE8ARABfAG8AdQB0ACAAPQAgAGEAdgBlAHIAYQBnAGUAIABvAHUAdABsAGUAdAAgAEMATwBEACAAYwBvAG4AYwBlAG4AdAByAGEAdABpAG8AbgAgAG8AZgAgAHcAYQBzAHQAZQB3AGEAdABlAHIAIAAoAGsAZwAgAEMATwBEAC8AbQAzACkAXABuAEMARgBfAHcAdwBfAHQAIAA9ACAAbQBlAHQAaABhAG4AZQAgAGMAbwByAHIAZQBjAHQAaQBvAG4AIABmAGEAYwB0AG8AcgAgAGYAbwByACAAZgBhAGMAaQBsAGkAdAB5ACAAdAB5AHAAZQAgAHQAIAB1AHMAZQBkACAAdABvACAAdAByAGUAYQB0ACAAdwBhAHMAdABlAHcAYQB0AGUAcgBcAG4ARQBGAF8AdwB3ACAAPQAgAG0AZQB0AGgAYQBuAGUAIABlAG0AaQBzAHMAaQBvAG4AIABmAGEAYwB0AG8AcgAgAGYAbwByACAAdwBhAHMAdABlAHcAYQB0AGUAcgAgACgAawBnACAAQwBPADIAZQAvAGsAZwAgAEMATwBEACkAXABuAEYAXwByAGUAbQBvAHYAZQBkACAAPQAgAGYAcgBhAGMAdABpAG8AbgAgAG8AZgAgAEMATwBEACAAcgBlAG0AbwB2AGUAZAAgAGYAcgBvAG0AIAB0AGgAZQAgAHcAYQBzAHQAZQB3AGEAdABlAHIAIAB0AHIAZQBhAHQAbQBlAG4AdAAgAGYAYQBjAGkAbABpAHQAeQAgAGEAbgBkACAAdAByAGEAbgBzAGYAZQByAHIAZQBkACAAZQBsAHMAZQB3AGgAZQByAGUAXABuAEMARgBfAHMAbAB1AGQAZwBlAF8AdAAgAD0AIABtAGUAdABoAGEAbgBlACAAYwBvAHIAcgBlAGMAdABpAG8AbgAgAGYAYQBjAHQAbwByACAAZgBvAHIAIABmAGEAYwBpAGwAaQB0AHkAIAB0AHkAcABlACAAdAAgAHUAcwBlAGQAIAB0AG8AIAB0AHIAZQBhAHQAIABzAGwAdQBkAGcAZQBcAG4ARQBGAF8AcwBsAHUAZABnAGUAIAA9ACAAbQBlAHQAaABhAG4AZQAgAGUAbQBpAHMAcwBpAG8AbgAgAGYAYQBjAHQAbwByACAAZgBvAHIAIABzAGwAdQBkAGcAZQAgACgAawBnACAAQwBPADIAZQAvAGsAZwAgAEMATwBEACkAXABuAFEAXwBjAGEAcAAgAD0AIABxAHUAYQBuAHQAaQB0AHkAIABvAGYAIABtAGUAdABoAGEAbgBlACAAaQBuACAAcwBsAHUAZABnAGUAIABiAGkAbwBnAGEAcwAgAGMAYQBwAHQAdQByAGUAZAAgAGYAbwByACAAYwBvAG0AYgB1AHMAdABpAG8AbgAgACgAbQAzACAAQwBIADQAKQBcAG4AUQBfAGYAbABhAHIAZQBkACAAPQAgAHEAdQBhAG4AdABpAHQAeQAgAG8AZgAgAG0AZQB0AGgAYQBuAGUAIABpAG4AIABzAGwAdQBkAGcAZQAgAGIAaQBvAGcAYQBzACAAZgBsAGEAcgBlAGQAIAAoAG0AMwAgAEMASAA0ACkAXABuAFEAXwBvAHUAdAAgAD0AIABxAHUAYQBuAHQAaQB0AHkAIABvAGYAIABtAGUAdABoAGEAbgBlACAAaQBuACAAcwBsAHUAZABnAGUAIABiAGkAbwBnAGEAcwAgAHQAcgBhAG4AcwBmAGUAcgByAGUAZAAgAG8AdQB0ACAAbwBmACAAdABoAGUAIAB0AHIAZQBhAHQAbQBlAG4AdAAgAGYAYQBjAGkAbABpAHQAeQAgACgAbQAzACAAQwBIADQAKQBcAG4ARQBDAF8AZgBsAGEAcgBlAGQAIAA9ACAAZQBuAGUAcgBnAHkAIABjAG8AbgB0AGUAbgB0ACAAZgBhAGMAdABvAHIAIABvAGYAIABtAGUAdABoAGEAbgBlACAAaQBuACAAcwBsAHUAZABnAGUAIABiAGkAbwBnAGEAcwAgAGYAbABhAHIAZQBkACAAKABHAEoALwBtADMAKQBcAG4ARQBGAF8AZgBsAGEAcgBlAGQAXwBDAEgANAAgAD0AIABtAGUAdABoAGEAbgBlACAAZQBtAGkAcwBzAGkAbwBuACAAZgBhAGMAdABvAHIAIABmAG8AcgAgAHMAbAB1AGQAZwBlACAAYgBpAG8AZwBhAHMAIABmAGwAYQByAGUAZAAgACgAawBnACAAQwBPADIAZQAvAEcASgApAFwAbgAtAC0ALQAtAC0ALQAtAC0ALQAtAC0ALQAtAC0ALQAtAC0ALQAtAC0ALQAtAC0ALQAtAC0ALQAtAC0ALQAtAC0ALQAtAC0ALQAtAC0AXABuACoALwBcAG4AXABuAFYARQBFAFIARwBfADEAMQBfADEAXwAxAF8AMQBfAF8AMQBfAE0AZQB0AGgAYQBuAGUARQBtAGkAcwBzAGkAbwBuAHMARgByAG8AbQBXAGEAcwB0AGUAdwBhAHQAZQByAFQAcgBlAGEAdABtAGUAbgB0AFwAbgAgACAAPQBMAEEATQBCAEQAQQAoAFwAbgAgACAAIAAgAFcAXwB0ACwAIABDAE8ARABfAGkAbgAsACAARgBfAHMAbAB1AGQAZwBlACwAIABDAE8ARABfAG8AdQB0ACwAIABDAEYAXwB3AHcAXwB0ACwAIABFAEYAXwB3AHcALAAgAEYAXwByAGUAbQBvAHYAZQBkACwAIABDAEYAXwBzAGwAdQBkAGcAZQBfAHQALAAgAEUARgBfAHMAbAB1AGQAZwBlACwAIABRAF8AYwBhAHAALAAgAFEAXwBmAGwAYQByAGUAZAAsACAAUQBfAG8AdQB0ACwAIABFAEMAXwBmAGwAYQByAGUAZAAsACAARQBGAF8AZgBsAGEAcgBlAGQAQwBIADQALABcAG4AIAAgACAAIAAoADEALwAxADAAMAAwACkAIAAqACAAKAAoAFcAXwB0ACAAKgAgACgAQwBPAEQAXwBpAG4AIAAqACAAKAAxACAALQAgAEYAXwBzAGwAdQBkAGcAZQApACAALQAgAEMATwBEAF8AbwB1AHQAKQAgACoAIABDAEYAXwB3AHcAXwB0ACAAKgAgAEUARgBfAHcAdwApACAAKwAgACgAVwBfAHQAIAAqACAAKABDAE8ARABfAGkAbgAgACoAIAAoAEYAXwBzAGwAdQBkAGcAZQAgAC0AIABGAF8AcgBlAG0AbwB2AGUAZAApACkAIAAqACAAQwBGAF8AcwBsAHUAZABnAGUAXwB0ACAAKgAgAEUARgBfAHMAbAB1AGQAZwBlACkAIAAtACAAKAA2AC4ANwA4ADQAIAAqACAAMQAwAF4ALQA0ACAAKgAgACgAUQBfAGMAYQBwACAAKwAgAFEAXwBmAGwAYQByAGUAZAAgACsAIABRAF8AbwB1AHQAKQApACAAKwAgACgAUQBfAGYAbABhAHIAZQBkACAAKgAgACgARQBDAF8AZgBsAGEAcgBlAGQAIAAqACAARQBGAF8AZgBsAGEAcgBlAGQAQwBIADQAKQApACkAXABuACAAIAApADsAXABuAFwAbgBWAEUARQBSAEcAXwAxADEAXwAxAF8AMQBfADEAXwBfADEAXwBNAGUAdABoAGEAbgBlAEUAbQBpAHMAcwBpAG8AbgBzAEYAcgBvAG0AVwBhAHMAdABlAHcAYQB0AGUAcgBUAHIAZQBhAHQAbQBlAG4AdABfAFQAaQB0AGwAZQBcAG4AIAAgAD0ATABBAE0AQgBEAEEAKABcACIATQBlAHQAaABhAG4AZQAgAGUAbQBpAHMAcwBpAG8AbgBzACAAZgByAG8AbQAgAHcAYQBzAHQAZQB3AGEAdABlAHIAIAB0AHIAZQBhAHQAbQBlAG4AdABcACIAKQA7AFwAbgBcAG4AVgBFAEUAUgBHAF8AMQAxAF8AMQBfADEAXwAxAF8AXwAxAF8ATQBlAHQAaABhAG4AZQBFAG0AaQBzAHMAaQBvAG4AcwBGAHIAbwBtAFcAYQBzAHQAZQB3AGEAdABlAHIAVAByAGUAYQB0AG0AZQBuAHQAXwBWAGEAcgBpAGEAYgBsAGUAXABuACAAIAA9AEwAQQBNAEIARABBACgAXAAiAEUAXwBDAEgANABcACIAKQA7AFwAbgBcAG4AVgBFAEUAUgBHAF8AMQAxAF8AMQBfADEAXwAxAF8AXwAxAF8ATQBlAHQAaABhAG4AZQBFAG0AaQBzAHMAaQBvAG4AcwBGAHIAbwBtAFcAYQBzAHQAZQB3AGEAdABlAHIAVAByAGUAYQB0AG0AZQBuAHQAXwBVAG4AaQB0AFwAbgAgACAAPQBMAEEATQBCAEQAQQAoAFwAIgB0ACAAQwBIADQAXAAiACkAOwBcAG4AXABuAFYARQBFAFIARwBfADEAMQBfADEAXwAxAF8AMQBfAF8AMQBfAE0AZQB0AGgAYQBuAGUARQBtAGkAcwBzAGkAbwBuAHMARgByAG8AbQBXAGEAcwB0AGUAdwBhAHQAZQByAFQAcgBlAGEAdABtAGUAbgB0AF8AUwBvAHUAcgBjAGUAXABuACAAIAA9AEwAQQBNAEIARABBACgAXAAiAFYARQBFAFIARwAgADIAMAAyADYAOgAgADEAMQAuADEALgAxAC4AMQAsACAARQBxAHUAYQB0AGkAbwBuACAAKAAxACkAXAAiACkAOwBcAG4AXABuAFYARQBFAFIARwBfADEAMQBfADEAXwAxAF8AMQBfAF8AMQBfAE0AZQB0AGgAYQBuAGUARQBtAGkAcwBzAGkAbwBuAHMARgByAG8AbQBXAGEAcwB0AGUAdwBhAHQAZQByAFQAcgBlAGEAdABtAGUAbgB0AF8ATgBJAFIAUgBlAGYAZQByAGUAbgBjAGUAXABuACAAIAA9AEwAQQBNAEIARABBACgAXAAiAE4AYQB0AGkAbwBuAGEAbAAgAEcAcgBlAGUAbgBoAG8AdQBzAGUAIABhAG4AZAAgAEUAbgBlAHIAZwB5ACAAUgBlAHAAbwByAHQAaQBuAGcAIABNAGUAYQBzAHUAcgBlAG0AZQBuAHQAIABEAGUAdABlAHIAbQBpAG4AYQB0AGkAbwBuACAAMgAwADAAOABcACIAKQA7AFwAbgBcAG4AVgBFAEUAUgBHAF8AMQAxAF8AMQBfADEAXwAxAF8AXwAxAF8ATQBlAHQAaABhAG4AZQBFAG0AaQBzAHMAaQBvAG4AcwBGAHIAbwBtAFcAYQBzAHQAZQB3AGEAdABlAHIAVAByAGUAYQB0AG0AZQBuAHQAXwBMAGEAdABlAHgARQBxAHUAYQB0AGkAbwBuAFwAbgAgACAAPQBMAEEATQBCAEQAQQAoAFwAIgBFAF8AewBDAEgANAB9AD0AXABcAGYAcgBhAGMAewAxAH0AewAxADAAMAAwAH0AXABcAHQAaQBtAGUAcwBcAFwAbABlAGYAdAB7AFwAXABsAGUAZgB0AHsAVwBfAHQAXABcAHQAaQBtAGUAcwBcAFwAbABlAGYAdABbAEMATwBEAF8AewBpAG4AfQBcAFwAdABpAG0AZQBzACgAMQAtAEYAXwB7AHMAbAB1AGQAZwBlAH0AKQAtAEMATwBEAF8AewBvAHUAdAB9AFwAXAByAGkAZwBoAHQAXQBcAFwAdABpAG0AZQBzACAAQwBGAF8AewB3AHcALAB0AH0AXABcAHQAaQBtAGUAcwAgAEUARgBfAHsAdwB3AH0AXABcAHIAaQBnAGgAdAB9ACsAXABcAGwAZQBmAHQAewBXAF8AdABcAFwAdABpAG0AZQBzAFwAXABsAGUAZgB0AFsAQwBPAEQAXwB7AGkAbgB9AFwAXAB0AGkAbQBlAHMAKABGAF8AewBzAGwAdQBkAGcAZQB9AC0ARgBfAHsAcgBlAG0AbwB2AGUAZAB9ACkAXABcAHIAaQBnAGgAdABdAFwAXAB0AGkAbQBlAHMAIABDAEYAXwB7AHMAbAB1AGQAZwBlACwAdAB9AFwAXAB0AGkAbQBlAHMAIABFAEYAXwB7AHMAbAB1AGQAZwBlAH0AXABcAHIAaQBnAGgAdAB9AC0AXABcAGwAZQBmAHQAewA2AC4ANwA4ADQAXABcAHQAaQBtAGUAcwAgADEAMABeAHsALQA0AH0AXABcAHQAaQBtAGUAcwAgAFwAXABsAGUAZgB0AFsAIABRAF8AewBjAGEAcAB9ACsAUQBfAHsAZgBsAGEAcgBlAGQAfQArAFEAXwB7AG8AdQB0AH0AXABcAHIAaQBnAGgAdABdAFwAXAByAGkAZwBoAHQAfQArAFwAXABsAGUAZgB0AHsAUQBfAHsAZgBsAGEAcgBlAGQAfQBcAFwAdABpAG0AZQBzACAAXABcAGwAZQBmAHQAWwAgAEUAQwBfAHsAZgBsAGEAcgBlAGQAfQBcAFwAdABpAG0AZQBzACAARQBGAF8AewBmAGwAYQByAGUAZAAsAEMASAA0AH0AXABcAHIAaQBnAGgAdABdAFwAXAByAGkAZwBoAHQAfQBcAFwAcgBpAGcAaAB0AH0AXAAiACkAOwBcAG4AXABuAFYARQBFAFIARwBfADEAMQBfADEAXwAxAF8AMQBfAF8AMQBfAE0AZQB0AGgAYQBuAGUARQBtAGkAcwBzAGkAbwBuAHMARgByAG8AbQBXAGEAcwB0AGUAdwBhAHQAZQByAFQAcgBlAGEAdABtAGUAbgB0AF8AQQByAGcAdQBtAGUAbgB0AHMAXABuACAAIAA9AEwAQQBNAEIARABBACgAXABuACAAIAAgACAATQBBAEsARQBBAFIAUgBBAFkAKAAxADUALAAgADQALABcAG4AIAAgACAAIAAgACAATABBAE0AQgBEAEEAKAByACwAYwAsAFwAbgAgACAAIAAgACAAIAAgACAASQBOAEQARQBYACgAewBcAG4AIAAgACAAIAAgACAAIAAgACAAIABcACIAVwBfAHQAXAAiACwAIABcACIAcQB1AGEAbgB0AGkAdAB5ACAAbwBmACAAdwBhAHMAdABlAHcAYQB0AGUAcgAgAHQAcgBlAGEAdABlAGQAIABhAHQAIABmAGEAYwBpAGwAaQB0AHkAIAB0AHkAcABlACAAdABcACIALAAgAFwAIgBtADMAXAAiACwAIABcACIASQBuAHAAdQB0AFwAIgA7AFwAbgAgACAAIAAgACAAIAAgACAAIAAgAFwAIgBDAE8ARABfAGkAbgBcACIALAAgAFwAIgBhAHYAZQByAGEAZwBlACAAaQBuAGwAZQB0ACAAQwBoAGUAbQBpAGMAYQBsACAATwB4AHkAZwBlAG4AIABEAGUAbQBhAG4AZAAgAGMAbwBuAGMAZQBuAHQAcgBhAHQAaQBvAG4AIABvAGYAIAB3AGEAcwB0AGUAdwBhAHQAZQByAFwAIgAsACAAXAAiAGsAZwAgAEMATwBEAC8AbQAzAFwAIgAsACAAXAAiAEkAbgBwAHUAdABcACIAOwBcAG4AIAAgACAAIAAgACAAIAAgACAAIABcACIARgBfAHMAbAB1AGQAZwBlAFwAIgAsACAAXAAiAGYAcgBhAGMAdABpAG8AbgAgAG8AZgAgAEMATwBEACAAcgBlAG0AbwB2AGUAZAAgAGYAcgBvAG0AIAB3AGEAcwB0AGUAdwBhAHQAZQByACAAYQBzACAAcwBsAHUAZABnAGUAXAAiACwAIABcACIAZgByAGEAYwB0AGkAbwBuAFwAIgAsACAAXAAiAEkAbgBwAHUAdABcACIAOwBcAG4AIAAgACAAIAAgACAAIAAgACAAIABcACIAQwBPAEQAXwBvAHUAdABcACIALAAgAFwAIgBhAHYAZQByAGEAZwBlACAAbwB1AHQAbABlAHQAIABDAE8ARAAgAGMAbwBuAGMAZQBuAHQAcgBhAHQAaQBvAG4AIABvAGYAIAB3AGEAcwB0AGUAdwBhAHQAZQByAFwAIgAsACAAXAAiAGsAZwAgAEMATwBEAC8AbQAzAFwAIgAsACAAXAAiAEkAbgBwAHUAdABcACIAOwBcAG4AIAAgACAAIAAgACAAIAAgACAAIABcACIAQwBGAF8AdwB3AF8AdABcACIALAAgAFwAIgBtAGUAdABoAGEAbgBlACAAYwBvAHIAcgBlAGMAdABpAG8AbgAgAGYAYQBjAHQAbwByACAAZgBvAHIAIABmAGEAYwBpAGwAaQB0AHkAIAB0AHkAcABlACAAdAAgAHUAcwBlAGQAIAB0AG8AIAB0AHIAZQBhAHQAIAB3AGEAcwB0AGUAdwBhAHQAZQByAFwAIgAsACAAXAAiAGYAcgBhAGMAdABpAG8AbgBcACIALAAgAFwAIgBDAG8AbgBzAHQAYQBuAHQAXAAiADsAXABuACAAIAAgACAAIAAgACAAIAAgACAAXAAiAEUARgBfAHcAdwBcACIALAAgAFwAIgBtAGUAdABoAGEAbgBlACAAZQBtAGkAcwBzAGkAbwBuACAAZgBhAGMAdABvAHIAIABmAG8AcgAgAHcAYQBzAHQAZQB3AGEAdABlAHIAXAAiACwAIABcACIAawBnACAAQwBIADQALwBrAGcAIABDAE8ARABcACIALAAgAFwAIgBDAG8AbgBzAHQAYQBuAHQAXAAiADsAXABuACAAIAAgACAAIAAgACAAIAAgACAAXAAiAEYAXwByAGUAbQBvAHYAZQBkAFwAIgAsACAAXAAiAGYAcgBhAGMAdABpAG8AbgAgAG8AZgAgAEMATwBEACAAcgBlAG0AbwB2AGUAZAAgAGYAcgBvAG0AIAB0AGgAZQAgAHcAYQBzAHQAZQB3AGEAdABlAHIAIAB0AHIAZQBhAHQAbQBlAG4AdAAgAGYAYQBjAGkAbABpAHQAeQAgAGEAbgBkACAAdAByAGEAbgBzAGYAZQByAHIAZQBkACAAZQBsAHMAZQB3AGgAZQByAGUAXAAiACwAIABcACIAZgByAGEAYwB0AGkAbwBuAFwAIgAsACAAXAAiAEkAbgBwAHUAdABcACIAOwBcAG4AIAAgACAAIAAgACAAIAAgACAAIABcACIAQwBGAF8AcwBsAHUAZABnAGUAXwB0AFwAIgAsACAAXAAiAG0AZQB0AGgAYQBuAGUAIABjAG8AcgByAGUAYwB0AGkAbwBuACAAZgBhAGMAdABvAHIAIABmAG8AcgAgAGYAYQBjAGkAbABpAHQAeQAgAHQAeQBwAGUAIAB0ACAAdQBzAGUAZAAgAHQAbwAgAHQAcgBlAGEAdAAgAHMAbAB1AGQAZwBlAFwAIgAsACAAXAAiAGYAcgBhAGMAdABpAG8AbgBcACIALAAgAFwAIgBDAG8AbgBzAHQAYQBuAHQAXAAiADsAXABuACAAIAAgACAAIAAgACAAIAAgACAAXAAiAEUARgBfAHMAbAB1AGQAZwBlAFwAIgAsACAAXAAiAG0AZQB0AGgAYQBuAGUAIABlAG0AaQBzAHMAaQBvAG4AIABmAGEAYwB0AG8AcgAgAGYAbwByACAAcwBsAHUAZABnAGUAXAAiACwAIABcACIAawBnACAAQwBIADQALwBrAGcAIABDAE8ARABcACIALAAgAFwAIgBDAG8AbgBzAHQAYQBuAHQAXAAiADsAXABuACAAIAAgACAAIAAgACAAIAAgACAAXAAiAFEAXwBjAGEAcABcACIALAAgAFwAIgBxAHUAYQBuAHQAaQB0AHkAIABvAGYAIABtAGUAdABoAGEAbgBlACAAaQBuACAAcwBsAHUAZABnAGUAIABiAGkAbwBnAGEAcwAgAGMAYQBwAHQAdQByAGUAZAAgAGYAbwByACAAYwBvAG0AYgB1AHMAdABpAG8AbgBcACIALAAgAFwAIgBtADMAIABDAEgANABcACIALAAgAFwAIgBJAG4AcAB1AHQAXAAiADsAXABuACAAIAAgACAAIAAgACAAIAAgACAAXAAiAFEAXwBmAGwAYQByAGUAZABcACIALAAgAFwAIgBxAHUAYQBuAHQAaQB0AHkAIABvAGYAIABtAGUAdABoAGEAbgBlACAAaQBuACAAcwBsAHUAZABnAGUAIABiAGkAbwBnAGEAcwAgAGYAbABhAHIAZQBkACAAYgB5ACAAdABoAGUAIAB0AHIAZQBhAHQAbQBlAG4AdAAgAGYAYQBjAGkAbABpAHQAeQBcACIALAAgAFwAIgBtADMAIABDAEgANABcACIALAAgAFwAIgBJAG4AcAB1AHQAXAAiADsAXABuACAAIAAgACAAIAAgACAAIAAgACAAXAAiAFEAXwBvAHUAdABcACIALAAgAFwAIgBxAHUAYQBuAHQAaQB0AHkAIABvAGYAIABtAGUAdABoAGEAbgBlACAAaQBuACAAcwBsAHUAZABnAGUAIABiAGkAbwBnAGEAcwAgAHQAcgBhAG4AcwBmAGUAcgByAGUAZAAgAG8AdQB0ACAAbwBmACAAdABoAGUAIAB0AHIAZQBhAHQAbQBlAG4AdAAgAGYAYQBjAGkAbABpAHQAeQBcACIALAAgAFwAIgBtADMAIABDAEgANABcACIALAAgAFwAIgBJAG4AcAB1AHQAXAAiADsAXABuACAAIAAgACAAIAAgACAAIAAgACAAXAAiAEUAQwBfAGYAbABhAHIAZQBkAFwAIgAsACAAXAAiAGUAbgBlAHIAZwB5ACAAYwBvAG4AdABlAG4AdAAgAGYAYQBjAHQAbwByACAAbwBmACAAbQBlAHQAaABhAG4AZQAgAGkAbgAgAHMAbAB1AGQAZwBlACAAYgBpAG8AZwBhAHMAIABmAGwAYQByAGUAZABcACIALAAgAFwAIgBHAEoALwBtADMAXAAiACwAIABcACIAQwBvAG4AcwB0AGEAbgB0AFwAIgA7AFwAbgAgACAAIAAgACAAIAAgACAAIAAgAFwAIgBFAEYAXwBmAGwAYQByAGUAZABDAEgANABcACIALAAgAFwAIgBtAGUAdABoAGEAbgBlACAAZQBtAGkAcwBzAGkAbwBuACAAZgBhAGMAdABvAHIAIABmAG8AcgAgAHMAbAB1AGQAZwBlACAAYgBpAG8AZwBhAHMAIABmAGwAYQByAGUAZABcACIALAAgAFwAIgBrAGcAIABDAEgANAAvAEcASgBcACIALAAgAFwAIgBDAG8AbgBzAHQAYQBuAHQAXAAiADsAXABuACAAIAAgACAAIAAgACAAIAAgACAAXAAiAHQAXAAiACwAIABcACIAdAByAGUAYQB0AG0AZQBuAHQAIABmAGEAYwBpAGwAaQB0AHkAIAB0AHkAcABlAFwAIgAsACAAXAAiAFwAIgAsACAAXAAiAEkAbgBwAHUAdABcACIAXABuACAAIAAgACAAIAAgACAAIAB9ACwAIAByACwAIABjACkAXABuACAAIAAgACAAIAAgACkAXABuACAAIAAgACAAKQBcAG4AIAAgACkAOwBcAG4AXABuAFwAbgBWAEUARQBSAEcAXwAxADEAXwAxAF8AMQBfADEAXwBfADEAXwBNAGUAdABoAGEAbgBlAEUAbQBpAHMAcwBpAG8AbgBzAEYAcgBvAG0AVwBhAHMAdABlAHcAYQB0AGUAcgBUAHIAZQBhAHQAbQBlAG4AdABfAFYAYQByAGkAYQB0AGkAbwBuAFwAbgAgACAAPQBMAEEATQBCAEQAQQAoAFwAIgBWAEEAUgBJAEEAVABJAE8ATgAgAE8ATgAgAFMATwBVAFIAQwBFADoAIABDAGgAYQBuAGcAZQBkACAAdQBuAGkAdABzACAAbwBmACAARQBGAF8AdwB3ACwAIABFAEYAXwBTAGwAdQBkAGcAZQAgAGEAbgBkACAARQBGAF8AZgBsAGEAcgBlAGQAIABmAHIAbwBtACAAQwBPADIAZQAgAHQAbwAgAEMASAA0ACAAdABvACAAbQBhAHQAYwBoACAAZABhAHQAYQAgAGkAbgAgAFQAYQBiAGwAZQAgAFwAIgApADsAIgB9ACwAewAiAHAAYQB0AGgAIgA6ACIALwBwAHIAbwBqAGUAYwB0AHMALwBXAGEAcwB0AGUAdwBhAHQ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VABhAGIAbABlACAAQQAuADQALgAxAC4AMwA6ACAATQBlAHQAaABhAG4AZQAgAGMAbwByAHIAZQBjAHQAaQBvAG4AIABmAGEAYwB0AG8AcgAgAGYAbwByACAAdAByAGUAYQB0AG0AZQBuAHQAIABmAGEAYwBpAGwAaQB0AHkAIAB0AHkAcABlACAAdAAgAHUAcwBlAGQAIAB0AG8AIAB0AHIAZQBhAHQAIAB3AGEAcwB0AGUAdwBhAHQAZQByACAAKABmAHIAYQBjAHQAaQBvAG4AKQAgACgAQwBGAHcAdwAsAHQAKQBcAG4APQA9AD0APQA9AD0APQA9AD0APQA9AD0APQA9AD0APQA9AD0APQA9AD0APQA9AD0APQA9AD0APQA9AD0APQA9AD0APQA9AD0APQA9AD0APQA9AD0APQA9AD0APQA9AD0APQA9AD0APQA9AD0APQA9AD0APQA9AD0APQA9AD0APQA9AD0APQA9AD0APQA9AD0APQA9AD0APQBcAG4AKgAvAFwAbgBcAG4AVwBhAHMAdABlAF8ATQBlAHQAaABhAG4AZQBDAG8AcgByAGUAYwB0AGkAbwBuAEYAYQBjAHQAbwByAFcAYQBzAHQAZQB3AGEAdABlAHIAXwBUAGkAdABsAGUAXABuAD0ATABBAE0AQgBEAEEAKAAoAFwAIgBNAGUAdABoAGEAbgBlACAAYwBvAHIAcgBlAGMAdABpAG8AbgAgAGYAYQBjAHQAbwByACAAZgBvAHIAIAB0AHIAZQBhAHQAbQBlAG4AdAAgAGYAYQBjAGkAbABpAHQAeQAgAHQAeQBwAGUAIAB0ACAAdQBzAGUAZAAgAHQAbwAgAHQAcgBlAGEAdAAgAHcAYQBzAHQAZQB3AGEAdABlAHIAXAAiACkAKQA7AFwAbgBcAG4AVwBhAHMAdABlAF8ATQBlAHQAaABhAG4AZQBDAG8AcgByAGUAYwB0AGkAbwBuAEYAYQBjAHQAbwByAFcAYQBzAHQAZQB3AGEAdABlAHIAXwBWAGEAcgBpAGEAYgBsAGUAXABuAD0ATABBAE0AQgBEAEEAKAAoAFwAIgBDAEYAdwB3ACwAdABcACIAKQApADsAXABuAFwAbgBXAGEAcwB0AGUAXwBNAGUAdABoAGEAbgBlAEMAbwByAHIAZQBjAHQAaQBvAG4ARgBhAGMAdABvAHIAVwBhAHMAdABlAHcAYQB0AGUAcgBfAFUAbgBpAHQAXABuAD0ATABBAE0AQgBEAEEAKAAoAFwAIgBmAHIAYQBjAHQAaQBvAG4AXAAiACkAKQA7AFwAbgBcAG4AVwBhAHMAdABlAF8ATQBlAHQAaABhAG4AZQBDAG8AcgByAGUAYwB0AGkAbwBuAEYAYQBjAHQAbwByAFcAYQBzAHQAZQB3AGEAdABlAHIAXwBTAG8AdQByAGMAZQBcAG4APQBMAEEATQBCAEQAQQAoACgAXAAiAFYARQBFAFIARwAgADIAMAAyADYAOgAgAFQAYQBiAGwAZQAgAEEALgA0AC4AMQAuADMAXAAiACkAKQA7AFwAbgBcAG4AVwBhAHMAdABlAF8ATQBlAHQAaABhAG4AZQBDAG8AcgByAGUAYwB0AGkAbwBuAEYAYQBjAHQAbwByAFcAYQBzAHQAZQB3AGEAdABlAHIAXwBEAGEAdABhAFwAbgA9AEwAQQBNAEIARABBACgAXABuACAAIABNAEEASwBFAEEAUgBSAEEAWQAoADYALAAgADIALABcAG4AIAAgACAAIABMAEEATQBCAEQAQQAoAHIALABjACwAXABuACAAIAAgACAAIAAgAEkATgBEAEUAWAAoAHsAXABuACAAIAAgACAAIAAgACAAIABcACIARgBhAGMAaQBsAGkAdAB5ACAAdAB5AHAAZQAgAHQAXAAiACwAIABcACIAQwBGAHcAdw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XAGEAcwB0AGUAdwBhAHQAZQBy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UAGEAYgBsAGUAIABBAC4ANAAuADEALgA0ADoAIABNAGUAdABoAGEAbgBlACAAYwBvAHIAcgBlAGMAdABpAG8AbgAgAGYAYQBjAHQAbwByACAAZgBvAHIAIAB0AHIAZQBhAHQAbQBlAG4AdAAgAGYAYQBjAGkAbABpAHQAeQAgAHQAeQBwAGUAIAB0ACAAdQBzAGUAZAAgAHQAbwAgAHQAcgBlAGEAdAAgAHMAbAB1AGQAZwBlACAAKABmAHIAYQBjAHQAaQBvAG4AKQAgACgAQwBGAHMAbAB1AGQAZwBl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UwBsAHUAZABnAGUAXwBUAGkAdABsAGUAXABuAD0ATABBAE0AQgBEAEEAKAAoAFwAIgBNAGUAdABoAGEAbgBlACAAYwBvAHIAcgBlAGMAdABpAG8AbgAgAGYAYQBjAHQAbwByACAAZgBvAHIAIAB0AHIAZQBhAHQAbQBlAG4AdAAgAGYAYQBjAGkAbABpAHQAeQAgAHQAeQBwAGUAIAB0ACAAdQBzAGUAZAAgAHQAbwAgAHQAcgBlAGEAdAAgAHMAbAB1AGQAZwBlAFwAIgApACkAOwBcAG4AXABuAFcAYQBzAHQAZQBfAE0AZQB0AGgAYQBuAGUAQwBvAHIAcgBlAGMAdABpAG8AbgBGAGEAYwB0AG8AcgBTAGwAdQBkAGcAZQBfAFYAYQByAGkAYQBiAGwAZQBcAG4APQBMAEEATQBCAEQAQQAoACgAXAAiAEMARgBzAGwAdQBkAGcAZQAsAHQAXAAiACkAKQA7AFwAbgBcAG4AVwBhAHMAdABlAF8ATQBlAHQAaABhAG4AZQBDAG8AcgByAGUAYwB0AGkAbwBuAEYAYQBjAHQAbwByAFMAbAB1AGQAZwBlAF8AVQBuAGkAdABcAG4APQBMAEEATQBCAEQAQQAoACgAXAAiAGYAcgBhAGMAdABpAG8AbgBcACIAKQApADsAXABuAFwAbgBXAGEAcwB0AGUAXwBNAGUAdABoAGEAbgBlAEMAbwByAHIAZQBjAHQAaQBvAG4ARgBhAGMAdABvAHIAUwBsAHUAZABnAGUAXwBTAG8AdQByAGMAZQBcAG4APQBMAEEATQBCAEQAQQAoACgAXAAiAFYARQBFAFIARwAgADIAMAAyADYAOgAgAFQAYQBiAGwAZQAgAEEALgA0AC4AMQAuADQAXAAiACkAKQA7AFwAbgBcAG4AVwBhAHMAdABlAF8ATQBlAHQAaABhAG4AZQBDAG8AcgByAGUAYwB0AGkAbwBuAEYAYQBjAHQAbwByAFMAbAB1AGQAZwBlAF8ARABhAHQAYQBcAG4APQBMAEEATQBCAEQAQQAoAFwAbgAgACAATQBBAEsARQBBAFIAUgBBAFkAKAA2ACwAIAAyACwAXABuACAAIAAgACAATABBAE0AQgBEAEEAKAByACwAYwAsAFwAbgAgACAAIAAgACAAIABJAE4ARABFAFgAKAB7AFwAbgAgACAAIAAgACAAIAAgACAAXAAiAEYAYQBjAGkAbABpAHQAeQAgAHQAeQBwAGUAIAB0AFwAIgAsACAAXAAiAEMARgBzAGwAdQBkAGcAZQ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TAGwAdQBkAGcAZQBfAFYAYQByAGkAYQB0AGkAbwBuAFwAbgA9AEwAQQBNAEIARABBACgAKABcACIAXAAiACkAKQA7AFwAbgBcAG4ALwAqAFwAbgA9AD0APQA9AD0APQA9AD0APQA9AD0APQA9AD0APQA9AD0APQA9AD0APQA9AD0APQA9AD0APQA9AD0APQA9AD0APQA9AD0APQA9AD0APQA9AD0APQA9AD0APQA9AD0APQA9AD0APQA9AD0APQA9AD0APQA9AD0APQA9AD0APQA9AD0APQA9AD0APQA9AD0APQA9AD0APQA9AFwAbgAqAC8AXABuAFwAbgBXAGEAcwB0AGUAXwBNAGUAdABoAGEAbgBlAEUAbQBpAHMAcwBpAG8AbgBGAGEAYwB0AG8AcgBXAGEAcwB0AGUAdwBhAHQAZQByAF8AVABpAHQAbABlAFwAbgA9AEwAQQBNAEIARABBACgAKABcACIATQBlAHQAaABhAG4AZQAgAGUAbQBpAHMAcwBpAG8AbgAgAGYAYQBjAHQAbwByACAAZgBvAHIAIAB3AGEAcwB0AGUAdwBhAHQAZQByAFwAIgApACkAOwBcAG4AXABuAFcAYQBzAHQAZQBfAE0AZQB0AGgAYQBuAGUARQBtAGkAcwBzAGkAbwBuAEYAYQBjAHQAbwByAFcAYQBzAHQAZQB3AGEAdABlAHIAXwBWAGEAcgBpAGEAYgBsAGUAXABuAD0ATABBAE0AQgBEAEEAKAAoAFwAIgBFAEYAdwB3AFwAIgApACkAOwBcAG4AXABuAFcAYQBzAHQAZQBfAE0AZQB0AGgAYQBuAGUARQBtAGkAcwBzAGkAbwBuAEYAYQBjAHQAbwByAFcAYQBzAHQAZQB3AGEAdABlAHIAXwBVAG4AaQB0AFwAbgA9AEwAQQBNAEIARABBACgAKABcACIAawBnACAAQwBIADQAIAAvACAAawBnACAAQwBPAEQAXAAiACkAKQA7AFwAbgBcAG4AVwBhAHMAdABlAF8ATQBlAHQAaABhAG4AZQBFAG0AaQBzAHMAaQBvAG4ARgBhAGMAdABvAHIAVwBhAHMAdABlAHcAYQB0AGUAcgBfAFMAbwB1AHIAYwBlAFwAbgA9AEwAQQBNAEIARABBACgAKABcACIAVgBFAEUAUgBHACAAMgAwADIANgA6ACAAMQAxAC4AMgAuADMAIABDAG8AbgBzAHQAYQBuAHQAcwBcACIAKQApADsAXABuAFwAbgBXAGEAcwB0AGUAXwBNAGUAdABoAGEAbgBlAEUAbQBpAHMAcwBpAG8AbgBGAGEAYwB0AG8AcgBXAGEAcwB0AGUAdwBhAHQAZQByAF8ARABhAHQAYQBcAG4APQBMAEEATQBCAEQAQQAoACAAMAAuADIAN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F8AVABpAHQAbABlAFwAbgA9AEwAQQBNAEIARABBACgAKABcACIATQBlAHQAaABhAG4AZQAgAGUAbQBpAHMAcwBpAG8AbgAgAGYAYQBjAHQAbwByACAAZgBvAHIAIABzAGwAdQBkAGcAZQBcACIAKQApADsAXABuAFwAbgBXAGEAcwB0AGUAXwBNAGUAdABoAGEAbgBlAEUAbQBpAHMAcwBpAG8AbgBGAGEAYwB0AG8AcgBTAGwAdQBkAGcAZQBfAFYAYQByAGkAYQBiAGwAZQBcAG4APQBMAEEATQBCAEQAQQAoACgAXAAiAEUARgBzAGwAdQBkAGcAZQBcACIAKQApADsAXABuAFwAbgBXAGEAcwB0AGUAXwBNAGUAdABoAGEAbgBlAEUAbQBpAHMAcwBpAG8AbgBGAGEAYwB0AG8AcgBTAGwAdQBkAGcAZQBfAFUAbgBpAHQAXABuAD0ATABBAE0AQgBEAEEAKAAoAFwAIgBrAGcAIABDAEgANAAgAC8AIABrAGcAIABDAE8ARABcACIAKQApADsAXABuAFwAbgBXAGEAcwB0AGUAXwBNAGUAdABoAGEAbgBlAEUAbQBpAHMAcwBpAG8AbgBGAGEAYwB0AG8AcgBTAGwAdQBkAGcAZQBfAFMAbwB1AHIAYwBlAFwAbgA9AEwAQQBNAEIARABBACgAKABcACIAVgBFAEUAUgBHACAAMgAwADIANgA6ACAAMQAxAC4AMgAuADMAIABDAG8AbgBzAHQAYQBuAHQAcwBcACIAKQApADsAXABuAFwAbgBXAGEAcwB0AGUAXwBNAGUAdABoAGEAbgBlAEUAbQBpAHMAcwBpAG8AbgBGAGEAYwB0AG8AcgBTAGwAdQBkAGcAZQBfAEQAYQB0AGEAXABuAD0ATABBAE0AQgBEAEEAKAAwAC4AMgA1ACkAOwBcAG4AXABuAC8AKgBcAG4APQA9AD0APQA9AD0APQA9AD0APQA9AD0APQA9AD0APQA9AD0APQA9AD0APQA9AD0APQA9AD0APQA9AD0APQA9AD0APQA9AD0APQA9AD0APQA9AD0APQA9AD0APQA9AD0APQA9AD0APQA9AD0APQA9AD0APQA9AD0APQA9AD0APQA9AD0APQA9AD0APQA9AD0APQA9AD0APQBcAG4AKgAvAFwAbgBcAG4AVwBhAHMAdABlAF8ARQBuAGUAcgBnAHkAQwBvAG4AdABlAG4AdABGAGEAYwB0AG8AcgBTAGwAdQBkAGcAZQBCAGkAbwBnAGEAcwBGAGwAYQByAGUAZABfAFQAaQB0AGwAZQBcAG4APQBMAEEATQBCAEQAQQAoACgAXAAiAEUAbgBlAHIAZwB5ACAAYwBvAG4AdABlAG4AdAAgAGYAYQBjAHQAbwByACAAbwBmACAAcwBsAHUAZABnAGUAIABiAGkAbwBnAGEAcwAgAGYAbABhAHIAZQBkAFwAIgApACkAOwBcAG4AXABuAFcAYQBzAHQAZQBfAEUAbgBlAHIAZwB5AEMAbwBuAHQAZQBuAHQARgBhAGMAdABvAHIAUwBsAHUAZABnAGUAQgBpAG8AZwBhAHMARgBsAGEAcgBlAGQAXwBWAGEAcgBpAGEAYgBsAGUAXABuAD0ATABBAE0AQgBEAEEAKAAoAFwAIgBFAEMAZgBsAGEAcgBlAGQAXAAiACkAKQA7AFwAbgBcAG4AVwBhAHMAdABlAF8ARQBuAGUAcgBnAHkAQwBvAG4AdABlAG4AdABGAGEAYwB0AG8AcgBTAGwAdQBkAGcAZQBCAGkAbwBnAGEAcwBGAGwAYQByAGUAZABfAFUAbgBpAHQAXABuAD0ATABBAE0AQgBEAEEAKAAoAFwAIgBHAEoAIAAvACAAbQAzAFwAIgApACkAOwBcAG4AXABuAFcAYQBzAHQAZQBfAEUAbgBlAHIAZwB5AEMAbwBuAHQAZQBuAHQARgBhAGMAdABvAHIAUwBsAHUAZABnAGUAQgBpAG8AZwBhAHMARgBsAGEAcgBlAGQAXwBTAG8AdQByAGMAZQBcAG4APQBMAEEATQBCAEQAQQAoACgAXAAiAFYARQBFAFIARwAgADIAMAAyADYAOgAgADEAMQAuADIALgAzACAAQwBvAG4AcwB0AGEAbgB0AHMAXAAiACkAKQA7AFwAbgBcAG4AVwBhAHMAdABlAF8ARQBuAGUAcgBnAHkAQwBvAG4AdABlAG4AdABGAGEAYwB0AG8AcgBTAGwAdQBkAGcAZQBCAGkAbwBnAGEAcwBGAGwAYQByAGUAZABfAEQAYQB0AGEAXABuAD0ATABBAE0AQgBEAEEAKAAwAC4AMAAzADcANw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EIAaQBvAGcAYQBzAEYAbABhAHIAZQBkAF8AVABpAHQAbABlAFwAbgA9AEwAQQBNAEIARABBACgAKABcACIATQBlAHQAaABhAG4AZQAgAGUAbQBpAHMAcwBpAG8AbgAgAGYAYQBjAHQAbwByACAAZgBvAHIAIABzAGwAdQBkAGcAZQAgAGIAaQBvAGcAYQBzACAAZgBsAGEAcgBlAGQAXAAiACkAKQA7AFwAbgBcAG4AVwBhAHMAdABlAF8ATQBlAHQAaABhAG4AZQBFAG0AaQBzAHMAaQBvAG4ARgBhAGMAdABvAHIAUwBsAHUAZABnAGUAQgBpAG8AZwBhAHMARgBsAGEAcgBlAGQAXwBWAGEAcgBpAGEAYgBsAGUAXABuAD0ATABBAE0AQgBEAEEAKAAoAFwAIgBFAEYAZgBsAGEAcgBlAGQALABDAEgANABcACIAKQApADsAXABuAFwAbgBXAGEAcwB0AGUAXwBNAGUAdABoAGEAbgBlAEUAbQBpAHMAcwBpAG8AbgBGAGEAYwB0AG8AcgBTAGwAdQBkAGcAZQBCAGkAbwBnAGEAcwBGAGwAYQByAGUAZABfAFUAbgBpAHQAXABuAD0ATABBAE0AQgBEAEEAKAAoAFwAIgBrAGcAIABDAEgANAAgAC8AIABHAEoAXAAiACkAKQA7AFwAbgBcAG4AVwBhAHMAdABlAF8ATQBlAHQAaABhAG4AZQBFAG0AaQBzAHMAaQBvAG4ARgBhAGMAdABvAHIAUwBsAHUAZABnAGUAQgBpAG8AZwBhAHMARgBsAGEAcgBlAGQAXwBTAG8AdQByAGMAZQBcAG4APQBMAEEATQBCAEQAQQAoACgAXAAiAFYARQBFAFIARwAgADIAMAAyADYAOgAgADEAMQAuADIALgAzACAAQwBvAG4AcwB0AGEAbgB0AHMAXAAiACkAKQA7AFwAbgBcAG4AVwBhAHMAdABlAF8ATQBlAHQAaABhAG4AZQBFAG0AaQBzAHMAaQBvAG4ARgBhAGMAdABvAHIAUwBsAHUAZABnAGUAQgBpAG8AZwBhAHMARgBsAGEAcgBlAGQAXwBEAGEAdABhAFwAbgA9AEwAQQBNAEIARABBACgAMAAuADIAMgA4ADkAKQA7AFwAbgBcAG4ALwAqAFwAbgA9AD0APQA9AD0APQA9AD0APQA9AD0APQA9AD0APQA9AD0APQA9AD0APQA9AD0APQA9AD0APQA9AD0APQA9AD0APQA9AD0APQA9AD0APQA9AD0APQA9AD0APQA9AD0APQA9AD0APQA9AD0APQA9AD0APQA9AD0APQA9AD0APQA9AD0APQA9AD0APQA9AD0APQA9AD0APQA9AFwAbgAqAC8AXABuAFwAbgBXAGEAcwB0AGUAXwBOAGkAdAByAG8AdQBzAE8AeABpAGQAZQBFAG0AaQBzAHMAaQBvAG4ARgBhAGMAdABvAHIAUwBsAHUAZABnAGUAQgBpAG8AZwBhAHMARgBsAGEAcgBlAGQAXwBUAGkAdABsAGUAXABuAD0ATABBAE0AQgBEAEEAKAAoAFwAIgBOAGkAdAByAG8AdQBzACAAbwB4AGkAZABlACAAZQBtAGkAcwBzAGkAbwBuACAAZgBhAGMAdABvAHIAIABmAG8AcgAgAHMAbAB1AGQAZwBlACAAYgBpAG8AZwBhAHMAIABmAGwAYQByAGUAZABcACIAKQApADsAXABuAFwAbgBXAGEAcwB0AGUAXwBOAGkAdAByAG8AdQBzAE8AeABpAGQAZQBFAG0AaQBzAHMAaQBvAG4ARgBhAGMAdABvAHIAUwBsAHUAZABnAGUAQgBpAG8AZwBhAHMARgBsAGEAcgBlAGQAXwBWAGEAcgBpAGEAYgBsAGUAXABuAD0ATABBAE0AQgBEAEEAKAAoAFwAIgBFAEYAZgBsAGEAcgBlAGQALABOADIATwBcACIAKQApADsAXABuAFwAbgBXAGEAcwB0AGUAXwBOAGkAdAByAG8AdQBzAE8AeABpAGQAZQBFAG0AaQBzAHMAaQBvAG4ARgBhAGMAdABvAHIAUwBsAHUAZABnAGUAQgBpAG8AZwBhAHMARgBsAGEAcgBlAGQAXwBVAG4AaQB0AFwAbgA9AEwAQQBNAEIARABBACgAKABcACIAawBnACAATgAyAE8AIAAvACAARwBKAFwAIgApACkAOwBcAG4AXABuAFcAYQBzAHQAZQBfAE4AaQB0AHIAbwB1AHMATwB4AGkAZABlAEUAbQBpAHMAcwBpAG8AbgBGAGEAYwB0AG8AcgBTAGwAdQBkAGcAZQBCAGkAbwBnAGEAcwBGAGwAYQByAGUAZABfAFMAbwB1AHIAYwBlAFwAbgA9AEwAQQBNAEIARABBACgAKABcACIAVgBFAEUAUgBHACAAMgAwADIANgA6ACAAMQAxAC4AMgAuADMAIABDAG8AbgBzAHQAYQBuAHQAcwBcACIAKQApADsAXABuAFwAbgBXAGEAcwB0AGUAXwBOAGkAdAByAG8AdQBzAE8AeABpAGQAZQBFAG0AaQBzAHMAaQBvAG4ARgBhAGMAdABvAHIAUwBsAHUAZABnAGUAQgBpAG8AZwBhAHMARgBsAGEAcgBlAGQAXwBEAGEAdABhAFwAbgA9AEwAQQBNAEIARABBACgAMQAuADEAMwAyAGUALQA0ACkAOwBcAG4AIgB9ACwAewAiAHAAYQB0AGgAIgA6ACIALwBwAHIAbwBqAGUAYwB0AHMALwBXAGEAcwB0AGUAdwBhAHQAZQByAF8ATgAyAE8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MALgAxACAATQBlAHQAaABvAGQAIAAxACAALQAgAE4AaQB0AHIAbwB1AHMAIABvAHgAaQBk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MAXwAxAF8AXwAxAF8ATgBpAHQAcgBvAHUAcwBPAHgAaQBkAGUARQBtAGkAcwBzAGkAbwBuAHMARgByAG8AbQBGAGwAYQByAGUAZABCAGkAbwBnAGEAcwBcAG4ATgBpAHQAcgBvAHUAcwAgAG8AeABpAGQAZQAgAGUAbQBpAHMAcwBpAG8AbgBzACAAZgByAG8AbQAgAGYAbABhAHIAZQBkACAAYgBpAG8AZwBhAHMAXABuAEUAXwBOADIATwBcAG4AdAAgAE4AMgBPAFwAbgBFAF8AewBOADIATwB9AD0AXABcAGYAcgBhAGMAewBRAF8AewBmAGwAYQByAGUAZAB9AH0AewAxADAAMAAwAH0AXABcAHQAaQBtAGUAcwAgAEUARgBfAHsAZgBsAGEAcgBlAGQALABOADIATwB9AFwAbgBRAF8AZgBsAGEAcgBlAGQAIAA9ACAAdgBvAGwAdQBtAGUAIABvAGYAIABiAGkAbwBnAGEAcwAgAGYAbABhAHIAZQBkACAAKABtADMAIABvAHIAIABHAEoAKQBcAG4ARQBGAF8AZgBsAGEAcgBlAGQAXwBOADIATwAgAD0AIABuAGkAdAByAG8AdQBzACAAbwB4AGkAZABlACAAZQBtAGkAcwBzAGkAbwBuACAAZgBhAGMAdABvAHIAIABmAG8AcgAgAGYAbABhAHIAZQBkACAAYgBpAG8AZwBhAHMAIAAoAGsAZwAgAE4AMgBPAC8ARwBKACkAXABuAC0ALQAtAC0ALQAtAC0ALQAtAC0ALQAtAC0ALQAtAC0ALQAtAC0ALQAtAC0ALQAtAC0ALQAtAC0ALQAtAC0ALQAtAC0ALQAtAC0ALQBcAG4AKgAvAFwAbgBcAG4AVgBFAEUAUgBHAF8AMQAxAF8AMQBfADMAXwAxAF8AXwAxAF8ATgBpAHQAcgBvAHUAcwBPAHgAaQBkAGUARQBtAGkAcwBzAGkAbwBuAHMARgByAG8AbQBGAGwAYQByAGUAZABCAGkAbwBnAGEAcwBcAG4AIAAgAD0ATABBAE0AQgBEAEEAKABcAG4AIAAgACAAIABRAF8AZgBsAGEAcgBlAGQALAAgAEUAQwBfAGYAbABhAHIAZQBkACwAIABFAEYAXwBmAGwAYQByAGUAZABOADIATwAsAFwAbgAgACAAIAAgACgAUQBfAGYAbABhAHIAZQBkACAALwAgADEAMAAwADAAKQAgACoAIAAoAEUAQwBfAGYAbABhAHIAZQBkACAAKgAgAEUARgBfAGYAbABhAHIAZQBkAE4AMgBPACkAXABuACAAIAApADsAXABuAFwAbgBWAEUARQBSAEcAXwAxADEAXwAxAF8AMwBfADEAXwBfADEAXwBOAGkAdAByAG8AdQBzAE8AeABpAGQAZQBFAG0AaQBzAHMAaQBvAG4AcwBGAHIAbwBtAEYAbABhAHIAZQBkAEIAaQBvAGcAYQBzAF8AVABpAHQAbABlAFwAbgAgACAAPQBMAEEATQBCAEQAQQAoAFwAIgBOAGkAdAByAG8AdQBzACAAbwB4AGkAZABlACAAZQBtAGkAcwBzAGkAbwBuAHMAIABmAHIAbwBtACAAZgBsAGEAcgBlAGQAIABiAGkAbwBnAGEAcwBcACIAKQA7AFwAbgBcAG4AVgBFAEUAUgBHAF8AMQAxAF8AMQBfADMAXwAxAF8AXwAxAF8ATgBpAHQAcgBvAHUAcwBPAHgAaQBkAGUARQBtAGkAcwBzAGkAbwBuAHMARgByAG8AbQBGAGwAYQByAGUAZABCAGkAbwBnAGEAcwBfAFYAYQByAGkAYQBiAGwAZQBcAG4AIAAgAD0ATABBAE0AQgBEAEEAKABcACIARQBfAE4AMgBPAFwAIgApADsAXABuAFwAbgBWAEUARQBSAEcAXwAxADEAXwAxAF8AMwBfADEAXwBfADEAXwBOAGkAdAByAG8AdQBzAE8AeABpAGQAZQBFAG0AaQBzAHMAaQBvAG4AcwBGAHIAbwBtAEYAbABhAHIAZQBkAEIAaQBvAGcAYQBzAF8AVQBuAGkAdABcAG4AIAAgAD0ATABBAE0AQgBEAEEAKABcACIAdAAgAE4AMgBPAFwAIgApADsAXABuAFwAbgBWAEUARQBSAEcAXwAxADEAXwAxAF8AMwBfADEAXwBfADEAXwBOAGkAdAByAG8AdQBzAE8AeABpAGQAZQBFAG0AaQBzAHMAaQBvAG4AcwBGAHIAbwBtAEYAbABhAHIAZQBkAEIAaQBvAGcAYQBzAF8AUwBvAHUAcgBjAGUAXABuACAAIAA9AEwAQQBNAEIARABBACgAXAAiAFYARQBFAFIARwAgADIAMAAyADYAOgAgADEAMQAuADEALgAzAC4AMQAsACAARQBxAHUAYQB0AGkAbwBuACAAKAAxACkAXAAiACkAOwBcAG4AXABuAFYARQBFAFIARwBfADEAMQBfADEAXwAzAF8AMQBfAF8AMQBfAE4AaQB0AHIAbwB1AHMATwB4AGkAZABlAEUAbQBpAHMAcwBpAG8AbgBzAEYAcgBvAG0ARgBsAGEAcgBlAGQAQgBpAG8AZwBhAHMAXwBOAEkAUgBSAGUAZgBlAHIAZQBuAGMAZQBcAG4AIAAgAD0ATABBAE0AQgBEAEEAKABcACIAXAAiACkAOwBcAG4AXABuAFYARQBFAFIARwBfADEAMQBfADEAXwAzAF8AMQBfAF8AMQBfAE4AaQB0AHIAbwB1AHMATwB4AGkAZABlAEUAbQBpAHMAcwBpAG8AbgBzAEYAcgBvAG0ARgBsAGEAcgBlAGQAQgBpAG8AZwBhAHMAXwBMAGEAdABlAHgARQBxAHUAYQB0AGkAbwBuAFwAbgAgACAAPQBMAEEATQBCAEQAQQAoAFwAIgBFAF8AewBOADIATwB9AD0AXABcAGYAcgBhAGMAewBRAF8AewBmAGwAYQByAGUAZAB9AH0AewAxADAAMAAwAH0AXABcAHQAaQBtAGUAcwAgAFwAXABsAGUAZgB0AFsARQBDAF8AewBmAGwAYQByAGUAZAB9ACAAXABcAHQAaQBtAGUAcwAgAEUARgBfAHsAZgBsAGEAcgBlAGQALABOADIATwB9AFwAXAByAGkAZwBoAHQAXQBcACIAKQA7AFwAbgBcAG4AVgBFAEUAUgBHAF8AMQAxAF8AMQBfADMAXwAxAF8AXwAxAF8ATgBpAHQAcgBvAHUAcwBPAHgAaQBkAGUARQBtAGkAcwBzAGkAbwBuAHMARgByAG8AbQBGAGwAYQByAGUAZABCAGkAbwBnAGEAcwBfAEEAcgBnAHUAbQBlAG4AdABzAFwAbgAgACAAPQBMAEEATQBCAEQAQQAoAFwAbgAgACAAIAAgAE0AQQBLAEUAQQBSAFIAQQBZACgAMwAsACAANAAsAFwAbgAgACAAIAAgACAAIABMAEEATQBCAEQAQQAoAHIALABjACwAXABuACAAIAAgACAAIAAgACAAIABJAE4ARABFAFgAKAB7AFwAbgAgACAAIAAgACAAIAAgACAAIAAgAFwAIgBRAF8AZgBsAGEAcgBlAGQAXAAiACwAIABcACIAdgBvAGwAdQBtAGUAIABvAGYAIABiAGkAbwBnAGEAcwAgAGYAbABhAHIAZQBkAFwAIgAsACAAXAAiAG0AMwBcACIALAAgAFwAIgBJAG4AcAB1AHQAXAAiADsAXABuACAAIAAgACAAIAAgACAAIAAgACAAXAAiAEUAQwBfAGYAbABhAHIAZQBkAFwAIgAsACAAXAAiAGUAbgBlAHIAZwB5ACAAYwBvAG4AdABlAG4AdAAgAGYAYQBjAHQAbwByACAAbwBmACAAcwBsAHUAZABnAGUAIABiAGkAbwBnAGEAcwAgAGYAbABhAHIAZQBkAFwAIgAsACAAXAAiAEcASgAvAG0AMwBcACIALAAgAFwAIgBDAG8AbgBzAHQAYQBuAHQAXAAiADsAXABuACAAIAAgACAAIAAgACAAIAAgACAAXAAiAEUARgBfAGYAbABhAHIAZQBkAE4AMgBPAFwAIgAsACAAXAAiAG4AaQB0AHIAbwB1AHMAIABvAHgAaQBkAGUAIABlAG0AaQBzAHMAaQBvAG4AIABmAGEAYwB0AG8AcgAgAGYAbwByACAAZgBsAGEAcgBlAGQAIABiAGkAbwBnAGEAcwBcACIALAAgAFwAIgBrAGcAIABOADIATwAvAEcASgBcACIALAAgAFwAIgBDAG8AbgBzAHQAYQBu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XAGEAcwB0AGUAdwBhAHQAZQByAF8ATQBlAHQAaABhAG4AZQBfAEUAcQB1AGEAdABpAG8AbgBzAC4AVgBFAEUAUgBHAF8AMQAxAF8AMQBfADEAXwAxAF8AXwAxAF8ATQBlAHQAaABhAG4AZQBFAG0AaQBzAHMAaQBvAG4AcwBGAHIAbwBtAFcAYQBzAHQAZQB3AGEAdABlAHIAVAByAGUAYQB0AG0AZQBuAHQAIgAsACIAVwBhAHMAdABlAHcAYQB0AGUAcgBfAE0AZQB0AGgAYQBuAGUAXwBFAHEAdQBhAHQAaQBvAG4AcwAuAFYARQBFAFIARwBfADEAMQBfADEAXwAxAF8AMQBfAF8AMQBfAE0AZQB0AGgAYQBuAGUARQBtAGkAcwBzAGkAbwBuAHMARgByAG8AbQBXAGEAcwB0AGUAdwBhAHQAZQByAFQAcgBlAGEAdABtAGUAbgB0AF8AVABpAHQAbABlACIALAAiAFcAYQBzAHQAZQB3AGEAdABlAHIAXwBNAGUAdABoAGEAbgBlAF8ARQBxAHUAYQB0AGkAbwBuAHMALgBWAEUARQBSAEcAXwAxADEAXwAxAF8AMQBfADEAXwBfADEAXwBNAGUAdABoAGEAbgBlAEUAbQBpAHMAcwBpAG8AbgBzAEYAcgBvAG0AVwBhAHMAdABlAHcAYQB0AGUAcgBUAHIAZQBhAHQAbQBlAG4AdABfAFYAYQByAGkAYQBiAGwAZQAiACwAIgBXAGEAcwB0AGUAdwBhAHQAZQByAF8ATQBlAHQAaABhAG4AZQBfAEUAcQB1AGEAdABpAG8AbgBzAC4AVgBFAEUAUgBHAF8AMQAxAF8AMQBfADEAXwAxAF8AXwAxAF8ATQBlAHQAaABhAG4AZQBFAG0AaQBzAHMAaQBvAG4AcwBGAHIAbwBtAFcAYQBzAHQAZQB3AGEAdABlAHIAVAByAGUAYQB0AG0AZQBuAHQAXwBVAG4AaQB0ACIALAAiAFcAYQBzAHQAZQB3AGEAdABlAHIAXwBNAGUAdABoAGEAbgBlAF8ARQBxAHUAYQB0AGkAbwBuAHMALgBWAEUARQBSAEcAXwAxADEAXwAxAF8AMQBfADEAXwBfADEAXwBNAGUAdABoAGEAbgBlAEUAbQBpAHMAcwBpAG8AbgBzAEYAcgBvAG0AVwBhAHMAdABlAHcAYQB0AGUAcgBUAHIAZQBhAHQAbQBlAG4AdABfAFMAbwB1AHIAYwBlACIALAAiAFcAYQBzAHQAZQB3AGEAdABlAHIAXwBNAGUAdABoAGEAbgBlAF8ARQBxAHUAYQB0AGkAbwBuAHMALgBWAEUARQBSAEcAXwAxADEAXwAxAF8AMQBfADEAXwBfADEAXwBNAGUAdABoAGEAbgBlAEUAbQBpAHMAcwBpAG8AbgBzAEYAcgBvAG0AVwBhAHMAdABlAHcAYQB0AGUAcgBUAHIAZQBhAHQAbQBlAG4AdABfAE4ASQBSAFIAZQBmAGUAcgBlAG4AYwBlACIALAAiAFcAYQBzAHQAZQB3AGEAdABlAHIAXwBNAGUAdABoAGEAbgBlAF8ARQBxAHUAYQB0AGkAbwBuAHMALgBWAEUARQBSAEcAXwAxADEAXwAxAF8AMQBfADEAXwBfADEAXwBNAGUAdABoAGEAbgBlAEUAbQBpAHMAcwBpAG8AbgBzAEYAcgBvAG0AVwBhAHMAdABlAHcAYQB0AGUAcgBUAHIAZQBhAHQAbQBlAG4AdABfAEwAYQB0AGUAeABFAHEAdQBhAHQAaQBvAG4AIgAsACIAVwBhAHMAdABlAHcAYQB0AGUAcgBfAE0AZQB0AGgAYQBuAGUAXwBFAHEAdQBhAHQAaQBvAG4AcwAuAFYARQBFAFIARwBfADEAMQBfADEAXwAxAF8AMQBfAF8AMQBfAE0AZQB0AGgAYQBuAGUARQBtAGkAcwBzAGkAbwBuAHMARgByAG8AbQBXAGEAcwB0AGUAdwBhAHQAZQByAFQAcgBlAGEAdABtAGUAbgB0AF8AQQByAGcAdQBtAGUAbgB0AHMAIgAsACIAVwBhAHMAdABlAHcAYQB0AGUAcgBfAE0AZQB0AGgAYQBuAGUAXwBFAHEAdQBhAHQAaQBvAG4AcwAuAFYARQBFAFIARwBfADEAMQBfADEAXwAxAF8AMQBfAF8AMQBfAE0AZQB0AGgAYQBuAGUARQBtAGkAcwBzAGkAbwBuAHMARgByAG8AbQBXAGEAcwB0AGUAdwBhAHQAZQByAFQAcgBlAGEAdABtAGUAbgB0AF8AVgBhAHIAaQBhAHQAaQBvAG4AIgAsACIAVwBhAHMAdABlAHcAYQB0AGUAcgBfAFMAbwB1AHIAYwBlAEQAYQB0AGEALgBXAGEAcwB0AGUAXwBNAGUAdABoAGEAbgBlAEMAbwByAHIAZQBjAHQAaQBvAG4ARgBhAGMAdABvAHIAVwBhAHMAdABlAHcAYQB0AGUAcgBfAFQAaQB0AGwAZQAiACwAIgBXAGEAcwB0AGUAdwBhAHQAZQByAF8AUwBvAHUAcgBjAGUARABhAHQAYQAuAFcAYQBzAHQAZQBfAE0AZQB0AGgAYQBuAGUAQwBvAHIAcgBlAGMAdABpAG8AbgBGAGEAYwB0AG8AcgBXAGEAcwB0AGUAdwBhAHQAZQByAF8AVgBhAHIAaQBhAGIAbABlACIALAAiAFcAYQBzAHQAZQB3AGEAdABlAHIAXwBTAG8AdQByAGMAZQBEAGEAdABhAC4AVwBhAHMAdABlAF8ATQBlAHQAaABhAG4AZQBDAG8AcgByAGUAYwB0AGkAbwBuAEYAYQBjAHQAbwByAFcAYQBzAHQAZQB3AGEAdABlAHIAXwBVAG4AaQB0ACIALAAiAFcAYQBzAHQAZQB3AGEAdABlAHIAXwBTAG8AdQByAGMAZQBEAGEAdABhAC4AVwBhAHMAdABlAF8ATQBlAHQAaABhAG4AZQBDAG8AcgByAGUAYwB0AGkAbwBuAEYAYQBjAHQAbwByAFcAYQBzAHQAZQB3AGEAdABlAHIAXwBTAG8AdQByAGMAZQAiACwAIgBXAGEAcwB0AGUAdwBhAHQAZQByAF8AUwBvAHUAcgBjAGUARABhAHQAYQAuAFcAYQBzAHQAZQBfAE0AZQB0AGgAYQBuAGUAQwBvAHIAcgBlAGMAdABpAG8AbgBGAGEAYwB0AG8AcgBXAGEAcwB0AGUAdwBhAHQAZQByAF8ARABhAHQAYQAiACwAIgBXAGEAcwB0AGUAdwBhAHQAZQByAF8AUwBvAHUAcgBjAGUARABhAHQAYQAuAFcAYQBzAHQAZQBfAE0AZQB0AGgAYQBuAGUAQwBvAHIAcgBlAGMAdABpAG8AbgBGAGEAYwB0AG8AcgBXAGEAcwB0AGUAdwBhAHQAZQByAF8AVgBhAHIAaQBhAHQAaQBvAG4AIgAsACIAVwBhAHMAdABlAHcAYQB0AGUAcgBfAFMAbwB1AHIAYwBlAEQAYQB0AGEALgBXAGEAcwB0AGUAXwBNAGUAdABoAGEAbgBlAEMAbwByAHIAZQBjAHQAaQBvAG4ARgBhAGMAdABvAHIAUwBsAHUAZABnAGUAXwBUAGkAdABsAGUAIgAsACIAVwBhAHMAdABlAHcAYQB0AGUAcgBfAFMAbwB1AHIAYwBlAEQAYQB0AGEALgBXAGEAcwB0AGUAXwBNAGUAdABoAGEAbgBlAEMAbwByAHIAZQBjAHQAaQBvAG4ARgBhAGMAdABvAHIAUwBsAHUAZABnAGUAXwBWAGEAcgBpAGEAYgBsAGUAIgAsACIAVwBhAHMAdABlAHcAYQB0AGUAcgBfAFMAbwB1AHIAYwBlAEQAYQB0AGEALgBXAGEAcwB0AGUAXwBNAGUAdABoAGEAbgBlAEMAbwByAHIAZQBjAHQAaQBvAG4ARgBhAGMAdABvAHIAUwBsAHUAZABnAGUAXwBVAG4AaQB0ACIALAAiAFcAYQBzAHQAZQB3AGEAdABlAHIAXwBTAG8AdQByAGMAZQBEAGEAdABhAC4AVwBhAHMAdABlAF8ATQBlAHQAaABhAG4AZQBDAG8AcgByAGUAYwB0AGkAbwBuAEYAYQBjAHQAbwByAFMAbAB1AGQAZwBlAF8AUwBvAHUAcgBjAGUAIgAsACIAVwBhAHMAdABlAHcAYQB0AGUAcgBfAFMAbwB1AHIAYwBlAEQAYQB0AGEALgBXAGEAcwB0AGUAXwBNAGUAdABoAGEAbgBlAEMAbwByAHIAZQBjAHQAaQBvAG4ARgBhAGMAdABvAHIAUwBsAHUAZABnAGUAXwBEAGEAdABhACIALAAiAFcAYQBzAHQAZQB3AGEAdABlAHIAXwBTAG8AdQByAGMAZQBEAGEAdABhAC4AVwBhAHMAdABlAF8ATQBlAHQAaABhAG4AZQBDAG8AcgByAGUAYwB0AGkAbwBuAEYAYQBjAHQAbwByAFMAbAB1AGQAZwBlAF8AVgBhAHIAaQBhAHQAaQBvAG4AIgAsACIAVwBhAHMAdABlAHcAYQB0AGUAcgBfAFMAbwB1AHIAYwBlAEQAYQB0AGEALgBXAGEAcwB0AGUAXwBNAGUAdABoAGEAbgBlAEUAbQBpAHMAcwBpAG8AbgBGAGEAYwB0AG8AcgBXAGEAcwB0AGUAdwBhAHQAZQByAF8AVABpAHQAbABlACIALAAiAFcAYQBzAHQAZQB3AGEAdABlAHIAXwBTAG8AdQByAGMAZQBEAGEAdABhAC4AVwBhAHMAdABlAF8ATQBlAHQAaABhAG4AZQBFAG0AaQBzAHMAaQBvAG4ARgBhAGMAdABvAHIAVwBhAHMAdABlAHcAYQB0AGUAcgBfAFYAYQByAGkAYQBiAGwAZQAiACwAIgBXAGEAcwB0AGUAdwBhAHQAZQByAF8AUwBvAHUAcgBjAGUARABhAHQAYQAuAFcAYQBzAHQAZQBfAE0AZQB0AGgAYQBuAGUARQBtAGkAcwBzAGkAbwBuAEYAYQBjAHQAbwByAFcAYQBzAHQAZQB3AGEAdABlAHIAXwBVAG4AaQB0ACIALAAiAFcAYQBzAHQAZQB3AGEAdABlAHIAXwBTAG8AdQByAGMAZQBEAGEAdABhAC4AVwBhAHMAdABlAF8ATQBlAHQAaABhAG4AZQBFAG0AaQBzAHMAaQBvAG4ARgBhAGMAdABvAHIAVwBhAHMAdABlAHcAYQB0AGUAcgBfAFMAbwB1AHIAYwBlACIALAAiAFcAYQBzAHQAZQB3AGEAdABlAHIAXwBTAG8AdQByAGMAZQBEAGEAdABhAC4AVwBhAHMAdABlAF8ATQBlAHQAaABhAG4AZQBFAG0AaQBzAHMAaQBvAG4ARgBhAGMAdABvAHIAVwBhAHMAdABlAHcAYQB0AGUAcgBfAEQAYQB0AGEAIgAsACIAVwBhAHMAdABlAHcAYQB0AGUAcgBfAFMAbwB1AHIAYwBlAEQAYQB0AGEALgBXAGEAcwB0AGUAXwBNAGUAdABoAGEAbgBlAEUAbQBpAHMAcwBpAG8AbgBGAGEAYwB0AG8AcgBTAGwAdQBkAGcAZQBfAFQAaQB0AGwAZQAiACwAIgBXAGEAcwB0AGUAdwBhAHQAZQByAF8AUwBvAHUAcgBjAGUARABhAHQAYQAuAFcAYQBzAHQAZQBfAE0AZQB0AGgAYQBuAGUARQBtAGkAcwBzAGkAbwBuAEYAYQBjAHQAbwByAFMAbAB1AGQAZwBlAF8AVgBhAHIAaQBhAGIAbABlACIALAAiAFcAYQBzAHQAZQB3AGEAdABlAHIAXwBTAG8AdQByAGMAZQBEAGEAdABhAC4AVwBhAHMAdABlAF8ATQBlAHQAaABhAG4AZQBFAG0AaQBzAHMAaQBvAG4ARgBhAGMAdABvAHIAUwBsAHUAZABnAGUAXwBVAG4AaQB0ACIALAAiAFcAYQBzAHQAZQB3AGEAdABlAHIAXwBTAG8AdQByAGMAZQBEAGEAdABhAC4AVwBhAHMAdABlAF8ATQBlAHQAaABhAG4AZQBFAG0AaQBzAHMAaQBvAG4ARgBhAGMAdABvAHIAUwBsAHUAZABnAGUAXwBTAG8AdQByAGMAZQAiACwAIgBXAGEAcwB0AGUAdwBhAHQAZQByAF8AUwBvAHUAcgBjAGUARABhAHQAYQAuAFcAYQBzAHQAZQBfAE0AZQB0AGgAYQBuAGUARQBtAGkAcwBzAGkAbwBuAEYAYQBjAHQAbwByAFMAbAB1AGQAZwBlAF8ARABhAHQAYQAiACwAIgBXAGEAcwB0AGUAdwBhAHQAZQByAF8AUwBvAHUAcgBjAGUARABhAHQAYQAuAFcAYQBzAHQAZQBfAEUAbgBlAHIAZwB5AEMAbwBuAHQAZQBuAHQARgBhAGMAdABvAHIAUwBsAHUAZABnAGUAQgBpAG8AZwBhAHMARgBsAGEAcgBlAGQAXwBUAGkAdABsAGUAIgAsACIAVwBhAHMAdABlAHcAYQB0AGUAcgBfAFMAbwB1AHIAYwBlAEQAYQB0AGEALgBXAGEAcwB0AGUAXwBFAG4AZQByAGcAeQBDAG8AbgB0AGUAbgB0AEYAYQBjAHQAbwByAFMAbAB1AGQAZwBlAEIAaQBvAGcAYQBzAEYAbABhAHIAZQBkAF8AVgBhAHIAaQBhAGIAbABlACIALAAiAFcAYQBzAHQAZQB3AGEAdABlAHIAXwBTAG8AdQByAGMAZQBEAGEAdABhAC4AVwBhAHMAdABlAF8ARQBuAGUAcgBnAHkAQwBvAG4AdABlAG4AdABGAGEAYwB0AG8AcgBTAGwAdQBkAGcAZQBCAGkAbwBnAGEAcwBGAGwAYQByAGUAZABfAFUAbgBpAHQAIgAsACIAVwBhAHMAdABlAHcAYQB0AGUAcgBfAFMAbwB1AHIAYwBlAEQAYQB0AGEALgBXAGEAcwB0AGUAXwBFAG4AZQByAGcAeQBDAG8AbgB0AGUAbgB0AEYAYQBjAHQAbwByAFMAbAB1AGQAZwBlAEIAaQBvAGcAYQBzAEYAbABhAHIAZQBkAF8AUwBvAHUAcgBjAGUAIgAsACIAVwBhAHMAdABlAHcAYQB0AGUAcgBfAFMAbwB1AHIAYwBlAEQAYQB0AGEALgBXAGEAcwB0AGUAXwBFAG4AZQByAGcAeQBDAG8AbgB0AGUAbgB0AEYAYQBjAHQAbwByAFMAbAB1AGQAZwBlAEIAaQBvAGcAYQBzAEYAbABhAHIAZQBkAF8ARABhAHQAYQAiACwAIgBXAGEAcwB0AGUAdwBhAHQAZQByAF8AUwBvAHUAcgBjAGUARABhAHQAYQAuAFcAYQBzAHQAZQBfAE0AZQB0AGgAYQBuAGUARQBtAGkAcwBzAGkAbwBuAEYAYQBjAHQAbwByAFMAbAB1AGQAZwBlAEIAaQBvAGcAYQBzAEYAbABhAHIAZQBkAF8AVABpAHQAbABlACIALAAiAFcAYQBzAHQAZQB3AGEAdABlAHIAXwBTAG8AdQByAGMAZQBEAGEAdABhAC4AVwBhAHMAdABlAF8ATQBlAHQAaABhAG4AZQBFAG0AaQBzAHMAaQBvAG4ARgBhAGMAdABvAHIAUwBsAHUAZABnAGUAQgBpAG8AZwBhAHMARgBsAGEAcgBlAGQAXwBWAGEAcgBpAGEAYgBsAGUAIgAsACIAVwBhAHMAdABlAHcAYQB0AGUAcgBfAFMAbwB1AHIAYwBlAEQAYQB0AGEALgBXAGEAcwB0AGUAXwBNAGUAdABoAGEAbgBlAEUAbQBpAHMAcwBpAG8AbgBGAGEAYwB0AG8AcgBTAGwAdQBkAGcAZQBCAGkAbwBnAGEAcwBGAGwAYQByAGUAZABfAFUAbgBpAHQAIgAsACIAVwBhAHMAdABlAHcAYQB0AGUAcgBfAFMAbwB1AHIAYwBlAEQAYQB0AGEALgBXAGEAcwB0AGUAXwBNAGUAdABoAGEAbgBlAEUAbQBpAHMAcwBpAG8AbgBGAGEAYwB0AG8AcgBTAGwAdQBkAGcAZQBCAGkAbwBnAGEAcwBGAGwAYQByAGUAZABfAFMAbwB1AHIAYwBlACIALAAiAFcAYQBzAHQAZQB3AGEAdABlAHIAXwBTAG8AdQByAGMAZQBEAGEAdABhAC4AVwBhAHMAdABlAF8ATQBlAHQAaABhAG4AZQBFAG0AaQBzAHMAaQBvAG4ARgBhAGMAdABvAHIAUwBsAHUAZABnAGUAQgBpAG8AZwBhAHMARgBsAGEAcgBlAGQAXwBEAGEAdABhACIALAAiAFcAYQBzAHQAZQB3AGEAdABlAHIAXwBTAG8AdQByAGMAZQBEAGEAdABhAC4AVwBhAHMAdABlAF8ATgBpAHQAcgBvAHUAcwBPAHgAaQBkAGUARQBtAGkAcwBzAGkAbwBuAEYAYQBjAHQAbwByAFMAbAB1AGQAZwBlAEIAaQBvAGcAYQBzAEYAbABhAHIAZQBkAF8AVABpAHQAbABlACIALAAiAFcAYQBzAHQAZQB3AGEAdABlAHIAXwBTAG8AdQByAGMAZQBEAGEAdABhAC4AVwBhAHMAdABlAF8ATgBpAHQAcgBvAHUAcwBPAHgAaQBkAGUARQBtAGkAcwBzAGkAbwBuAEYAYQBjAHQAbwByAFMAbAB1AGQAZwBlAEIAaQBvAGcAYQBzAEYAbABhAHIAZQBkAF8AVgBhAHIAaQBhAGIAbABlACIALAAiAFcAYQBzAHQAZQB3AGEAdABlAHIAXwBTAG8AdQByAGMAZQBEAGEAdABhAC4AVwBhAHMAdABlAF8ATgBpAHQAcgBvAHUAcwBPAHgAaQBkAGUARQBtAGkAcwBzAGkAbwBuAEYAYQBjAHQAbwByAFMAbAB1AGQAZwBlAEIAaQBvAGcAYQBzAEYAbABhAHIAZQBkAF8AVQBuAGkAdAAiACwAIgBXAGEAcwB0AGUAdwBhAHQAZQByAF8AUwBvAHUAcgBjAGUARABhAHQAYQAuAFcAYQBzAHQAZQBfAE4AaQB0AHIAbwB1AHMATwB4AGkAZABlAEUAbQBpAHMAcwBpAG8AbgBGAGEAYwB0AG8AcgBTAGwAdQBkAGcAZQBCAGkAbwBnAGEAcwBGAGwAYQByAGUAZABfAFMAbwB1AHIAYwBlACIALAAiAFcAYQBzAHQAZQB3AGEAdABlAHIAXwBTAG8AdQByAGMAZQBEAGEAdABhAC4AVwBhAHMAdABlAF8ATgBpAHQAcgBvAHUAcwBPAHgAaQBkAGUARQBtAGkAcwBzAGkAbwBuAEYAYQBjAHQAbwByAFMAbAB1AGQAZwBlAEIAaQBvAGcAYQBzAEYAbABhAHIAZQBkAF8ARABhAHQAYQAiACwAIgBXAGEAcwB0AGUAdwBhAHQAZQByAF8ATgAyAE8AXwBFAHEAdQBhAHQAaQBvAG4AcwAuAFYARQBFAFIARwBfADEAMQBfADEAXwAzAF8AMQBfAF8AMQBfAE4AaQB0AHIAbwB1AHMATwB4AGkAZABlAEUAbQBpAHMAcwBpAG8AbgBzAEYAcgBvAG0ARgBsAGEAcgBlAGQAQgBpAG8AZwBhAHMAIgAsACIAVwBhAHMAdABlAHcAYQB0AGUAcgBfAE4AMgBPAF8ARQBxAHUAYQB0AGkAbwBuAHMALgBWAEUARQBSAEcAXwAxADEAXwAxAF8AMwBfADEAXwBfADEAXwBOAGkAdAByAG8AdQBzAE8AeABpAGQAZQBFAG0AaQBzAHMAaQBvAG4AcwBGAHIAbwBtAEYAbABhAHIAZQBkAEIAaQBvAGcAYQBzAF8AVABpAHQAbABlACIALAAiAFcAYQBzAHQAZQB3AGEAdABlAHIAXwBOADIATwBfAEUAcQB1AGEAdABpAG8AbgBzAC4AVgBFAEUAUgBHAF8AMQAxAF8AMQBfADMAXwAxAF8AXwAxAF8ATgBpAHQAcgBvAHUAcwBPAHgAaQBkAGUARQBtAGkAcwBzAGkAbwBuAHMARgByAG8AbQBGAGwAYQByAGUAZABCAGkAbwBnAGEAcwBfAFYAYQByAGkAYQBiAGwAZQAiACwAIgBXAGEAcwB0AGUAdwBhAHQAZQByAF8ATgAyAE8AXwBFAHEAdQBhAHQAaQBvAG4AcwAuAFYARQBFAFIARwBfADEAMQBfADEAXwAzAF8AMQBfAF8AMQBfAE4AaQB0AHIAbwB1AHMATwB4AGkAZABlAEUAbQBpAHMAcwBpAG8AbgBzAEYAcgBvAG0ARgBsAGEAcgBlAGQAQgBpAG8AZwBhAHMAXwBVAG4AaQB0ACIALAAiAFcAYQBzAHQAZQB3AGEAdABlAHIAXwBOADIATwBfAEUAcQB1AGEAdABpAG8AbgBzAC4AVgBFAEUAUgBHAF8AMQAxAF8AMQBfADMAXwAxAF8AXwAxAF8ATgBpAHQAcgBvAHUAcwBPAHgAaQBkAGUARQBtAGkAcwBzAGkAbwBuAHMARgByAG8AbQBGAGwAYQByAGUAZABCAGkAbwBnAGEAcwBfAFMAbwB1AHIAYwBlACIALAAiAFcAYQBzAHQAZQB3AGEAdABlAHIAXwBOADIATwBfAEUAcQB1AGEAdABpAG8AbgBzAC4AVgBFAEUAUgBHAF8AMQAxAF8AMQBfADMAXwAxAF8AXwAxAF8ATgBpAHQAcgBvAHUAcwBPAHgAaQBkAGUARQBtAGkAcwBzAGkAbwBuAHMARgByAG8AbQBGAGwAYQByAGUAZABCAGkAbwBnAGEAcwBfAE4ASQBSAFIAZQBmAGUAcgBlAG4AYwBlACIALAAiAFcAYQBzAHQAZQB3AGEAdABlAHIAXwBOADIATwBfAEUAcQB1AGEAdABpAG8AbgBzAC4AVgBFAEUAUgBHAF8AMQAxAF8AMQBfADMAXwAxAF8AXwAxAF8ATgBpAHQAcgBvAHUAcwBPAHgAaQBkAGUARQBtAGkAcwBzAGkAbwBuAHMARgByAG8AbQBGAGwAYQByAGUAZABCAGkAbwBnAGEAcwBfAEwAYQB0AGUAeABFAHEAdQBhAHQAaQBvAG4AIgAsACIAVwBhAHMAdABlAHcAYQB0AGUAcgBfAE4AMgBPAF8ARQBxAHUAYQB0AGkAbwBuAHMALgBWAEUARQBSAEcAXwAxADEAXwAxAF8AMwBfADEAXwBfADEAXwBOAGkAdAByAG8AdQBzAE8AeABpAGQAZQBFAG0AaQBzAHMAaQBvAG4AcwBGAHIAbwBtAEYAbABhAHIAZQBkAEIAaQBvAGcAYQB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Wastewater</vt:lpstr>
      <vt:lpstr>11.1.1-2 Wastewater CH4</vt:lpstr>
      <vt:lpstr>11.1.3-4 Wastewater N2O</vt:lpstr>
      <vt:lpstr>Constants - Wastewater</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