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F56908F-1BA4-4C49-8C19-E5B79632BDD9}" xr6:coauthVersionLast="47" xr6:coauthVersionMax="47" xr10:uidLastSave="{00000000-0000-0000-0000-000000000000}"/>
  <bookViews>
    <workbookView xWindow="4680" yWindow="4680" windowWidth="28800" windowHeight="15345" firstSheet="3" activeTab="7"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19"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_xlfn.LAMBDA(_xlfn.MAKEARRAY(7, 2, _xlfn.LAMBDA(_xlpm.r,_xlpm.c, INDEX({"Organic amendment i","CFOAi";"Straw incorporated shortly (&lt;30 days) before cultivation",1;"Straw incorporated long (&gt;30 days) before cultivation",0.19;"Compost",0.17;"Farm yard manure",0.21;"Green manure",0.45;"Inorganic fertiliser",1}, _xlpm.r, _xlpm.c))))</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69" l="1" a="1"/>
  <c r="D7" i="69" s="1"/>
  <c r="G105" i="69"/>
  <c r="D117" i="119" a="1"/>
  <c r="D117" i="119" s="1"/>
  <c r="D107" i="119" a="1"/>
  <c r="D107" i="119" s="1"/>
  <c r="D83" i="119" a="1"/>
  <c r="D83" i="119" s="1"/>
  <c r="D59" i="119" a="1"/>
  <c r="D59" i="119" s="1"/>
  <c r="H51" i="119"/>
  <c r="H48" i="119"/>
  <c r="E96" i="69" a="1"/>
  <c r="E96" i="69" s="1"/>
  <c r="J91" i="69"/>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D104" i="69" a="1"/>
  <c r="D104" i="69" s="1"/>
  <c r="F96" i="69" a="1"/>
  <c r="F96" i="69" s="1"/>
  <c r="D96" i="69" a="1"/>
  <c r="D96" i="69" s="1"/>
  <c r="J65" i="69" a="1"/>
  <c r="J65" i="69" s="1"/>
  <c r="J64" i="69" a="1"/>
  <c r="J64" i="69" s="1"/>
  <c r="J63" i="69" a="1"/>
  <c r="J63" i="69" s="1"/>
  <c r="J62" i="69" a="1"/>
  <c r="J62" i="69" s="1"/>
  <c r="J61" i="69" a="1"/>
  <c r="J61" i="69" s="1"/>
  <c r="J60" i="69" a="1"/>
  <c r="J60" i="69" s="1"/>
  <c r="D10" i="70"/>
  <c r="F24" i="69" a="1"/>
  <c r="F24" i="69" s="1"/>
  <c r="E24" i="69" a="1"/>
  <c r="E24" i="69" s="1"/>
  <c r="H49" i="119" l="1"/>
  <c r="H54" i="119"/>
  <c r="H50" i="119"/>
  <c r="F102" i="69"/>
  <c r="H96" i="69"/>
  <c r="H53" i="119"/>
  <c r="H52" i="119"/>
  <c r="G70" i="69" l="1" a="1"/>
  <c r="F70" i="69" a="1"/>
  <c r="E70" i="69" a="1"/>
  <c r="D70" i="69" a="1"/>
  <c r="D70" i="69" s="1"/>
  <c r="I19" i="69" a="1"/>
  <c r="I19" i="69" s="1"/>
  <c r="I18" i="69" a="1"/>
  <c r="I18" i="69" s="1"/>
  <c r="I17" i="69" a="1"/>
  <c r="I17" i="69" s="1"/>
  <c r="D38" i="69"/>
  <c r="E38" i="69"/>
  <c r="D43" i="69" a="1"/>
  <c r="D43" i="69" s="1"/>
  <c r="J24" i="69" a="1"/>
  <c r="J24" i="69" s="1"/>
  <c r="I24" i="69" a="1"/>
  <c r="I24" i="69" s="1"/>
  <c r="H24" i="69" a="1"/>
  <c r="H24" i="69" s="1"/>
  <c r="G24" i="69" a="1"/>
  <c r="G24" i="69" s="1"/>
  <c r="D24" i="69" a="1"/>
  <c r="D24" i="69" s="1"/>
  <c r="J59" i="69"/>
  <c r="I23" i="69"/>
  <c r="E37" i="69"/>
  <c r="H23" i="69"/>
  <c r="E36" i="69"/>
  <c r="G23" i="69"/>
  <c r="E35" i="69"/>
  <c r="F23" i="69"/>
  <c r="E34" i="69"/>
  <c r="E33" i="69"/>
  <c r="E23" i="69"/>
  <c r="L12" i="110"/>
  <c r="L11" i="110"/>
  <c r="L10" i="110"/>
  <c r="J12" i="110"/>
  <c r="J11" i="110"/>
  <c r="J10" i="110"/>
  <c r="H11" i="110"/>
  <c r="E47" i="69" l="1"/>
  <c r="E46" i="69"/>
  <c r="E45" i="69"/>
  <c r="E43" i="69"/>
  <c r="E44" i="69"/>
  <c r="J74" i="69" a="1"/>
  <c r="J74" i="69" s="1"/>
  <c r="J73" i="69" a="1"/>
  <c r="J73" i="69" s="1"/>
  <c r="J72" i="69" a="1"/>
  <c r="J72" i="69" s="1"/>
  <c r="H10" i="110"/>
  <c r="I73" i="69" a="1"/>
  <c r="I73" i="69" s="1"/>
  <c r="I74" i="69" a="1"/>
  <c r="I74" i="69" s="1"/>
  <c r="I72" i="69" a="1"/>
  <c r="I72" i="69" s="1"/>
  <c r="E70" i="69"/>
  <c r="I70" i="69" s="1" a="1"/>
  <c r="I70" i="69" s="1"/>
  <c r="I71" i="69" a="1"/>
  <c r="I71" i="69" s="1"/>
  <c r="F70" i="69"/>
  <c r="J70" i="69" s="1" a="1"/>
  <c r="J70" i="69" s="1"/>
  <c r="J71" i="69" a="1"/>
  <c r="J71" i="69" s="1"/>
  <c r="G70" i="69"/>
  <c r="H73" i="69" a="1"/>
  <c r="H73" i="69" s="1"/>
  <c r="H71" i="69" a="1"/>
  <c r="H71" i="69" s="1"/>
  <c r="D33" i="69"/>
  <c r="D34" i="69"/>
  <c r="D35" i="69"/>
  <c r="D36" i="69"/>
  <c r="D37" i="69"/>
  <c r="K71" i="69" l="1"/>
  <c r="G97" i="69" s="1"/>
  <c r="K73" i="69"/>
  <c r="G99" i="69" s="1"/>
  <c r="H74" i="69" a="1"/>
  <c r="H74" i="69" s="1"/>
  <c r="K74" i="69" s="1"/>
  <c r="G100" i="69" s="1"/>
  <c r="H72" i="69" a="1"/>
  <c r="H72" i="69" s="1"/>
  <c r="K72" i="69" s="1"/>
  <c r="G98" i="69" s="1"/>
  <c r="H70" i="69" a="1"/>
  <c r="H70" i="69" s="1"/>
  <c r="K70" i="69" s="1"/>
  <c r="G96" i="69" s="1"/>
  <c r="E102" i="69" l="1"/>
  <c r="E9" i="13" s="1"/>
  <c r="F9" i="13" s="1"/>
  <c r="K24" i="69" l="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<sst xmlns="http://schemas.openxmlformats.org/spreadsheetml/2006/main" count="635" uniqueCount="423">
  <si>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</si>
  <si>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</si>
  <si>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</si>
  <si>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</si>
  <si>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</si>
  <si>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</si>
  <si>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</si>
  <si>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</si>
  <si>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</si>
  <si>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</si>
  <si>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</si>
  <si>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</si>
  <si>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</si>
  <si>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</si>
  <si>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</si>
  <si>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</si>
  <si>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</si>
  <si>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</si>
  <si>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</si>
  <si>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</si>
  <si>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</si>
  <si>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</si>
  <si>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</si>
  <si>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</si>
  <si>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</si>
  <si>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</si>
  <si>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</si>
  <si>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</si>
  <si>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</si>
  <si>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</si>
  <si>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</si>
  <si>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</si>
  <si>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</si>
  <si>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</si>
  <si>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</si>
  <si>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</si>
  <si>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</si>
  <si>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</si>
  <si>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</si>
  <si>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</si>
  <si>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</si>
  <si>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</si>
  <si>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</si>
  <si>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</si>
  <si>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</si>
  <si>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</si>
  <si>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</si>
  <si>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</si>
  <si>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</si>
  <si>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</si>
  <si>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</si>
  <si>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</si>
  <si>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</si>
  <si>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</si>
  <si>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</si>
  <si>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</si>
  <si>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</si>
  <si>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</si>
  <si>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</si>
  <si>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</si>
  <si>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</si>
  <si>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</si>
  <si>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</si>
  <si>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</si>
  <si>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</si>
  <si>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</si>
  <si>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</si>
  <si>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</si>
  <si>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</si>
  <si>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</si>
  <si>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</si>
  <si>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</si>
  <si>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</si>
  <si>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</si>
  <si>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</si>
  <si>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</si>
  <si>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</si>
  <si>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</si>
  <si>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</si>
  <si>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</si>
  <si>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</si>
  <si>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</si>
  <si>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</si>
  <si>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</si>
  <si>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</si>
  <si>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</si>
  <si>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</si>
  <si>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</si>
  <si>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</si>
  <si>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</si>
  <si>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</si>
  <si>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</si>
  <si>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</si>
  <si>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</si>
  <si>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</si>
  <si>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</si>
  <si>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</si>
  <si>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</si>
  <si>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</si>
  <si>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</si>
  <si>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</si>
  <si>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</si>
  <si>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</si>
  <si>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</si>
  <si>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</si>
  <si>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</si>
  <si>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</si>
  <si>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</si>
  <si>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</si>
  <si>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</si>
  <si>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</si>
  <si>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</si>
  <si>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</si>
  <si>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</si>
  <si>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</si>
  <si>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</si>
  <si>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</si>
  <si>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</si>
  <si>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</si>
  <si>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</si>
  <si>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</si>
  <si>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</si>
  <si>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</si>
  <si>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</si>
  <si>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</si>
  <si>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</si>
  <si>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</si>
  <si>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</si>
  <si>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</si>
  <si>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</si>
  <si>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</si>
  <si>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</si>
  <si>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</si>
  <si>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</si>
  <si>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</si>
  <si>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</si>
  <si>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</si>
  <si>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</si>
  <si>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</si>
  <si>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</si>
  <si>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</si>
  <si>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</si>
  <si>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</si>
  <si>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</si>
  <si>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</si>
  <si>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</si>
  <si>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</si>
  <si>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</si>
  <si>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</si>
  <si>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</si>
  <si>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</si>
  <si>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</si>
  <si>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</si>
  <si>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</si>
  <si>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</si>
  <si>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</si>
  <si>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Straw added &lt; 30 days before cultivation (t/ha)</t>
  </si>
  <si>
    <t>Straw added 30+ days before cultivation (t/ha)</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</si>
  <si>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</si>
  <si>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</si>
  <si>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</si>
  <si>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</si>
  <si>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</si>
  <si>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</si>
  <si>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trice,wpo</t>
  </si>
  <si>
    <t>Table_E_rice</t>
  </si>
  <si>
    <t>Methane emissions from rice cultivation</t>
  </si>
  <si>
    <t>7.1.1-2 Rice cultivation</t>
  </si>
  <si>
    <t>7: Rice Cultivation: Overview</t>
  </si>
  <si>
    <t>7: Rice Cultivation: Results</t>
  </si>
  <si>
    <t>VEERG 2026: 7.1.1.1, Equation (3)</t>
  </si>
  <si>
    <t>SF_o</t>
  </si>
  <si>
    <t>dimensionless</t>
  </si>
  <si>
    <t>ROA_o</t>
  </si>
  <si>
    <t>application rate of organic amendment o</t>
  </si>
  <si>
    <t>CFOA_o</t>
  </si>
  <si>
    <t>conversion factor of organic amendment o</t>
  </si>
  <si>
    <t>o</t>
  </si>
  <si>
    <t>organic amendment type</t>
  </si>
  <si>
    <t>tonnes/ha</t>
  </si>
  <si>
    <t>Input</t>
  </si>
  <si>
    <t>fraction</t>
  </si>
  <si>
    <t>Constant</t>
  </si>
  <si>
    <t>VEERG 2026: 7.1.1.1, Equation (2)</t>
  </si>
  <si>
    <t>EF_ricewpo</t>
  </si>
  <si>
    <t>kg CH4/ha/day</t>
  </si>
  <si>
    <t>EF_c</t>
  </si>
  <si>
    <t>baseline emission factor for continuously flooded fields without organic amendments</t>
  </si>
  <si>
    <t>SF_w</t>
  </si>
  <si>
    <t>scaling factor for water regime during the growing season</t>
  </si>
  <si>
    <t>SF_p</t>
  </si>
  <si>
    <t>scaling factor for water regime in the pre-season</t>
  </si>
  <si>
    <t>scaling factor for type and amount of organic amendments</t>
  </si>
  <si>
    <t>w</t>
  </si>
  <si>
    <t>water regime during growing season</t>
  </si>
  <si>
    <t>p</t>
  </si>
  <si>
    <t>pre-season water regime</t>
  </si>
  <si>
    <t>organic amendment</t>
  </si>
  <si>
    <t>Calculated from 7.1.1.1, (3)</t>
  </si>
  <si>
    <t>VEERG 2026: 7.1.1.1, Equation (1)</t>
  </si>
  <si>
    <t>Added 'number of seasons' variable as per VEERG description in 7.2.1 'Where there is more than one cropping season per year, Arice,wpo shall be scaled accordingly'</t>
  </si>
  <si>
    <t>E_rice</t>
  </si>
  <si>
    <t>t CH4</t>
  </si>
  <si>
    <t>A_ricewpo</t>
  </si>
  <si>
    <t>annual area of rice cultivation under water regime w, pre-season water regime p, and organic amendment condition o</t>
  </si>
  <si>
    <t>emission factor for rice cultivation under conditions w, p, and o</t>
  </si>
  <si>
    <t>t_ricewpo</t>
  </si>
  <si>
    <t>cultivation period for rice under conditions w, p, and o</t>
  </si>
  <si>
    <t>s</t>
  </si>
  <si>
    <t>number of cropping seasons in reporting period managed this way</t>
  </si>
  <si>
    <t>ha</t>
  </si>
  <si>
    <t>Calculated from 7.1.1.1, (2)</t>
  </si>
  <si>
    <t>days</t>
  </si>
  <si>
    <t>seasons</t>
  </si>
  <si>
    <t>Scaling factor based on the water regime employed during the growing season cultivation period</t>
  </si>
  <si>
    <t>VEERG 2026: Table A.2.3.1</t>
  </si>
  <si>
    <t>Upland</t>
  </si>
  <si>
    <t>Paddy rotation</t>
  </si>
  <si>
    <t>Fallow without flooding in previous year</t>
  </si>
  <si>
    <t>Continuously flooded</t>
  </si>
  <si>
    <t>Multiple drainage periods</t>
  </si>
  <si>
    <t>Regular rainfed</t>
  </si>
  <si>
    <t>Deep water</t>
  </si>
  <si>
    <t>Scaling factor based on the water regime employed in the pre - season before the growing period</t>
  </si>
  <si>
    <t>VEERG 2026: Table A.2.3.2</t>
  </si>
  <si>
    <t>Non flooded pre-season &gt;180 days</t>
  </si>
  <si>
    <t>Non-flooded pre-season &gt;365 days</t>
  </si>
  <si>
    <t>Conversion factor for organic amendment i</t>
  </si>
  <si>
    <t>VEERG 2026: Table A.2.3.3</t>
  </si>
  <si>
    <t>VARIATION ON SOURCE:</t>
  </si>
  <si>
    <t>Included inorganic fertiliser as amendment as per VEERG equation description:</t>
  </si>
  <si>
    <t>Where inorganic fertiliser is applied to the rice fields rather than organic amendments, SF_o is set to 1.</t>
  </si>
  <si>
    <t>Straw incorporated shortly (&lt;30 days) before cultivation</t>
  </si>
  <si>
    <t>Straw incorporated long (&gt;30 days) before cultivation</t>
  </si>
  <si>
    <t>Compost</t>
  </si>
  <si>
    <t>Farm yard manure</t>
  </si>
  <si>
    <t>Green manure</t>
  </si>
  <si>
    <t>Baseline emission factor for continuously flooded fields without organic amendments</t>
  </si>
  <si>
    <t>VEERG 2026: 7.2.3 Constant Parameters</t>
  </si>
  <si>
    <t>EFc</t>
  </si>
  <si>
    <t>kg CH4 / ha / day</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</si>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</sst>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45" fillId="13" borderId="0" xfId="41" applyBorder="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before cultivation (t/ha)"/>
    <tableColumn id="8" xr3:uid="{6AB8226E-B5ED-4236-BF1D-312497BC4C8F}" name="Straw added 30+ days befo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92D7-9159-4DA8-868F-97A60010C68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56CCF88-C654-4845-97D7-9D7D362BCE69}" name="State/Territory">
      <calculatedColumnFormula array="1">Common_InputFunctions.Utility_DisplayArrayInTable(Common_SourceData.Common_SourceData_AustralianStatesTerritories_Data(),Table_AustralianStates[[#Headers],[State/Territory]],0)</calculatedColumnFormula>
    </tableColumn>
    <tableColumn id="2" xr3:uid="{281E9821-9727-41EE-9BB2-A0EE34626517}" name="Common Name">
      <calculatedColumnFormula array="1">Common_InputFunctions.Utility_DisplayArrayInTable(Common_SourceData.Common_SourceData_AustralianStatesTerritories_Data(),Table_AustralianStates[[#Headers],[State/Territory]],0)</calculatedColumnFormula>
    </tableColumn>
    <tableColumn id="3" xr3:uid="{DB9ED2A9-4530-4389-9F51-62F4D51CBA8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986F30-D9EC-4803-8DA0-95980EFC62A0}" name="Table_WASA4Areas" displayName="Table_WASA4Areas" ref="D20:D30" totalsRowShown="0">
  <autoFilter ref="D20:D30" xr:uid="{5FA81339-C6C8-4D36-BEEA-6C4AEDD9E676}">
    <filterColumn colId="0" hiddenButton="1"/>
  </autoFilter>
  <tableColumns count="1">
    <tableColumn id="1" xr3:uid="{DB52865D-6F2D-4651-9C10-87FA05E28ED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5A8FF1-51D1-4DC7-A67C-E1BB1D169339}" name="Table_GWPData" displayName="Table_GWPData" ref="D36:E43" totalsRowShown="0">
  <autoFilter ref="D36:E43" xr:uid="{B8E87A66-3E41-4AD3-925D-01EE21B43D7A}">
    <filterColumn colId="0" hiddenButton="1"/>
    <filterColumn colId="1" hiddenButton="1"/>
  </autoFilter>
  <tableColumns count="2">
    <tableColumn id="1" xr3:uid="{DE7AB944-8934-40CD-9BD0-1EB0965AAF53}" name="Gas">
      <calculatedColumnFormula array="1">Common_InputFunctions.Utility_DisplayArrayInTable(Common_SourceData.Common_SourceData_GWP_Data(), Table_GWPData[[#Headers],[Gas]], 0)</calculatedColumnFormula>
    </tableColumn>
    <tableColumn id="2" xr3:uid="{BF74DAA5-1727-4598-8BDF-A1FFEAF3679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B336F-AD27-4469-81D9-D75BF39270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F8E719-A496-4146-95F1-5C74FB0907DF}" name="Gas">
      <calculatedColumnFormula array="1">Common_InputFunctions.Utility_DisplayArrayInTable(Common_SourceData.Common_SourceData_ConvertGasElementalToMolecular_Data(),Table_GasToMolecularConversionFactor[[#Headers],[Gas]], 0)</calculatedColumnFormula>
    </tableColumn>
    <tableColumn id="5" xr3:uid="{141A87B3-BDC7-4BC9-86AA-9AEF8E4516F0}" name="Conversion factor">
      <calculatedColumnFormula array="1">Common_InputFunctions.Utility_DisplayArrayInTable(Common_SourceData.Common_SourceData_ConvertGasElementalToMolecular_Data(),Table_GasToMolecularConversionFactor[[#Headers],[Gas]], 0)</calculatedColumnFormula>
    </tableColumn>
    <tableColumn id="2" xr3:uid="{6EEA02FE-9CA9-42CC-9715-CE1AE379A7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3DBA7EA-762D-4502-893E-4F59C65F1D0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5503ED-E349-402E-BE70-522640844EB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4F6EE9-601E-431C-889B-F490F94AAF6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EAE8D7-79F7-4CFF-AA60-81BEB0D1F9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0558006-D3B7-45CA-BB08-CBC5FB2D525E}"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31536C54-9D90-4BA1-8630-5A5825932E3D}"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C736DFB1-216D-41C0-9BDA-AF1DACA0D28E}"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EBC9733B-D9D6-44EF-92E6-EAE63368707E}"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86BD24B4-BCF5-43E4-9791-66486A239A29}"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04625927-EE66-47A4-9B56-E9FF16A40381}"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0B6D7849-AF37-4F92-B3BC-F00F938473A4}"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79B2D447-365C-4E5B-9B46-EB9A6FEABC8F}"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15AE00CB-0DCC-4C76-9A69-811B2102ABD0}"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453B192C-DCF9-4759-9B4F-A3C3978C4EAF}"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399D591D-E030-4FE8-8A4D-14B154F55401}"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7BB2477B-60BA-4ACB-81E8-FD8FE87495FF}"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0A47AD04-56FF-4DD7-A870-3813EAA5B320}"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FE9A6C0E-201D-4A67-8D4D-C6A488CA05EA}"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3378CC43-2399-435F-A3FE-BB19D039E80F}"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035090-ADB1-4F10-9C19-A48DE1D5960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ECE3957-9413-4408-BDB8-77552A7231E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3FFA737-2FA7-48E9-A115-73FA50C9393D}"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F50EEC-58C1-4511-A309-1BA0389F0D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CB9DB5A-F79A-4195-A2D3-345C295DFC8A}" name="Temperature Zone">
      <calculatedColumnFormula array="1">Common_InputFunctions.Utility_DisplayArrayInTable(Common_SourceData.Common_SourceData_TemperatureZones_Data(),Table_SourceData_TemperatureZones[[#Headers],[Temperature Zone]],0)</calculatedColumnFormula>
    </tableColumn>
    <tableColumn id="2" xr3:uid="{25D74762-0A2D-4400-B824-894D618905BB}" name="MAT">
      <calculatedColumnFormula array="1">Common_InputFunctions.Utility_DisplayArrayInTable(Common_SourceData.Common_SourceData_TemperatureZones_Data(),Table_SourceData_TemperatureZones[[#Headers],[Temperature Zone]],0)</calculatedColumnFormula>
    </tableColumn>
    <tableColumn id="3" xr3:uid="{1205EC90-4A04-43FC-A053-69E387CE1D3F}" name="Min MAT">
      <calculatedColumnFormula array="1">Common_InputFunctions.Utility_DisplayArrayInTable(Common_SourceData.Common_SourceData_TemperatureZones_Data(),Table_SourceData_TemperatureZones[[#Headers],[Temperature Zone]],0)</calculatedColumnFormula>
    </tableColumn>
    <tableColumn id="4" xr3:uid="{A0CC6FD8-F8F6-4A79-9CDF-BE796852DAF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6F1A3E-799D-40CF-8D17-7ECCC24A893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FCA308-B091-442E-94CA-E0A51124F1E1}" name="Rainfall Zone">
      <calculatedColumnFormula array="1">Common_InputFunctions.Utility_DisplayArrayInTable(Common_SourceData.Common_SourceData_RainfallZones_Data(),Table_SourceData_RainfallZones[[#Headers],[Rainfall Zone]],0)</calculatedColumnFormula>
    </tableColumn>
    <tableColumn id="2" xr3:uid="{71D5D2C7-753E-4961-91F7-5D8FD4EBBBB8}" name="Annual rainfall">
      <calculatedColumnFormula array="1">Common_InputFunctions.Utility_DisplayArrayInTable(Common_SourceData.Common_SourceData_RainfallZones_Data(),Table_SourceData_RainfallZones[[#Headers],[Rainfall Zone]],0)</calculatedColumnFormula>
    </tableColumn>
    <tableColumn id="3" xr3:uid="{6FA6F6A2-93E0-4091-A742-AE671B909E65}" name="Min rainfall">
      <calculatedColumnFormula array="1">Common_InputFunctions.Utility_DisplayArrayInTable(Common_SourceData.Common_SourceData_RainfallZones_Data(),Table_SourceData_RainfallZones[[#Headers],[Rainfall Zone]],0)</calculatedColumnFormula>
    </tableColumn>
    <tableColumn id="4" xr3:uid="{EBBE1093-D022-42FA-A758-FE815C9D665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C58793-EC57-49E4-811D-88A2C42FD54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DEDD535-7F20-4744-95AD-A4D8DE59C041}" name="Leaching Zone">
      <calculatedColumnFormula array="1">Common_InputFunctions.Utility_DisplayArrayInTable(Common_SourceData.Common_SourceData_LeachingZones_Data(), Table_SourceData_LeachingZones[[#Headers],[Leaching Zone]], 0)</calculatedColumnFormula>
    </tableColumn>
    <tableColumn id="2" xr3:uid="{413AA76F-C255-42F1-A6D5-5CD24BBBAF2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111242-9C75-4E29-97AB-7B805B52270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DB9D991-F5EB-4B03-9F51-46A4472289C1}" name="Data source">
      <calculatedColumnFormula array="1">Common_InputFunctions.Utility_DisplayArrayInTable(Common_SourceData.Common_SourceData_DataScores_Scope3_Data(), Table_SourceData_DataScores_Scope3[[#Headers],[Data source]], 0)</calculatedColumnFormula>
    </tableColumn>
    <tableColumn id="2" xr3:uid="{01E97336-A13E-4773-A06E-95DCCDC3855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5DAA02-E4E8-4624-A2C5-096D1B60A921}" name="Table_SourceData_FracWET" displayName="Table_SourceData_FracWET" ref="D134:E136" totalsRowShown="0">
  <autoFilter ref="D134:E136" xr:uid="{308E99BE-FE1F-47A4-B2CA-97217277C4E9}">
    <filterColumn colId="0" hiddenButton="1"/>
    <filterColumn colId="1" hiddenButton="1"/>
  </autoFilter>
  <tableColumns count="2">
    <tableColumn id="1" xr3:uid="{1FF542F2-F612-45D7-AC03-2F170C811D2C}" name="Is in leaching zone">
      <calculatedColumnFormula array="1">Common_InputFunctions.Utility_DisplayArrayInTable(Common_SourceData.Common_SourceData_FracWET_Data(),Table_SourceData_FracWET[[#Headers],[Is in leaching zone]],0)</calculatedColumnFormula>
    </tableColumn>
    <tableColumn id="2" xr3:uid="{CAF3234F-1744-4CC7-97FB-29E26283D105}"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C4B023C-39DC-4A61-B287-ACF14E1CC6B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8E69A42-D0D6-4FBD-91D3-EC4843CB8995}" name="Production system j">
      <calculatedColumnFormula array="1">Common_InputFunctions.Utility_DisplayArrayInTable(Common_SourceData.Common_SourceData_EFN2O_Data(), Table_SourceData_Common_EFN2O[[#Headers],[Production system j]], 0)</calculatedColumnFormula>
    </tableColumn>
    <tableColumn id="2" xr3:uid="{FB6F1229-41A4-4698-ADAF-85A7F3BDC850}" name="EFN2O">
      <calculatedColumnFormula array="1">Common_InputFunctions.Utility_DisplayArrayInTable(Common_SourceData.Common_SourceData_EFN2O_Data(), Table_SourceData_Common_EFN2O[[#Headers],[Production system j]], 0)</calculatedColumnFormula>
    </tableColumn>
    <tableColumn id="3" xr3:uid="{48F26286-FAFA-4819-9AFA-F6ECAE3F6B49}" name="Production system only">
      <calculatedColumnFormula array="1">Common_InputFunctions.Utility_DisplayArrayInTable(Common_SourceData.Common_SourceData_EFN2O_Data(), Table_SourceData_Common_EFN2O[[#Headers],[Production system j]], 0)</calculatedColumnFormula>
    </tableColumn>
    <tableColumn id="4" xr3:uid="{99A2A834-E5E1-4659-9E7A-BC2543C1E44F}" name="Irrigation method">
      <calculatedColumnFormula array="1">Common_InputFunctions.Utility_DisplayArrayInTable(Common_SourceData.Common_SourceData_EFN2O_Data(), Table_SourceData_Common_EFN2O[[#Headers],[Production system j]], 0)</calculatedColumnFormula>
    </tableColumn>
    <tableColumn id="5" xr3:uid="{4316727C-0C8D-4A2E-947B-24A6E48379F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71BEDC-DFB7-49CC-BFDB-089589025B0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349773D-F8B1-4F20-8D67-02CFFC1D5B01}" name="Irrigation type i">
      <calculatedColumnFormula array="1">Common_InputFunctions.Utility_DisplayArrayInTable(Common_SourceData.Common_SourceData_FracWETIrrigation_Data(), Table_SourceData_FracWETIrrigation[[#Headers],[Irrigation type i]], 0)</calculatedColumnFormula>
    </tableColumn>
    <tableColumn id="2" xr3:uid="{E1A81332-451C-4F13-819A-08B47B324E1A}"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B56AF9D-3A20-46F2-9DF6-908E16C583F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9ECEEA9-A0E2-448E-9242-5EB4612E5A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C812F-1B20-433B-A220-45B290E585E4}"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54172A-1F0A-4DA8-AF3D-FBD2D01D81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2EF0B5-08C2-435D-AD90-194AA40AF483}" name="Month">
      <calculatedColumnFormula array="1">Common_InputFunctions.Utility_DisplayArrayInTable(Common_SourceData.Common_SourceData_MonthsToSeasons_Data(), Table_SourceData_Common_MonthToSeason[[#Headers],[Month]], 0)</calculatedColumnFormula>
    </tableColumn>
    <tableColumn id="2" xr3:uid="{1B155342-2AE7-4ACF-A9BA-20CE30CBC6E1}"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87B9ADF-B9E3-4BCF-ABE8-F47F94E4CCD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609039-97C4-4729-BC48-B95334FF569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18B5A5E-83DE-4F01-B188-8A16EF097844}"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36388A3-2885-4653-8CA5-464AC2653131}"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C1AA35B-D1B9-4F13-9AFE-E084527288D4}"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6AFD6DE-B5F7-4FA0-8661-5137CBBDF314}"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9AC720-CEA6-4B40-B794-DA1221D8A639}"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54AD809-4295-4C51-9928-79A9335C5131}"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B58D073-0610-4780-89E8-72FD5F9DE29F}"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054B9BB-77F9-4163-856D-1F02090BD29E}"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761C4A1-7DEB-4A74-ABFE-16C4A40CA65E}"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BEF1D1-4341-4566-AE85-0BAE80513B23}"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AC3B56F-0E3B-46E4-881E-4A4C23336DB8}"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E2D555B-CCCB-47A0-ABC6-4BBE59B69EB8}"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ABF9296-D829-4357-B8D0-BF198B1CB558}"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43C946F-C17F-411D-99BA-FB5337573E30}"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76FAEC-5772-4EAC-8F56-60AF713901CD}"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62A48A5-6B2F-4D2D-8025-572DAB9FE02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C964A67-F781-4D99-8B91-5BFC8B5214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C008960-0F7E-4D6F-90B0-1B33D47696C5}"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168</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101</v>
      </c>
      <c r="E5" s="80"/>
      <c r="F5" s="80"/>
      <c r="G5" s="80"/>
      <c r="H5" s="80"/>
      <c r="I5" s="80"/>
      <c r="J5" s="80"/>
      <c r="K5" s="80"/>
      <c r="L5" s="80"/>
      <c r="M5" s="80"/>
      <c r="N5" s="80"/>
      <c r="O5" s="76"/>
    </row>
    <row r="6" spans="1:42" ht="20.100000000000001" customHeight="1" x14ac:dyDescent="0.25">
      <c r="A6" s="16"/>
      <c r="D6" s="119" t="s">
        <v>102</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51</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99</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169</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98</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62</v>
      </c>
      <c r="E8" s="95" t="s">
        <v>74</v>
      </c>
      <c r="F8" s="95" t="s">
        <v>75</v>
      </c>
      <c r="G8" s="95" t="s">
        <v>68</v>
      </c>
      <c r="H8" s="95" t="s">
        <v>76</v>
      </c>
      <c r="I8" s="95" t="s">
        <v>77</v>
      </c>
      <c r="J8" s="95" t="s">
        <v>69</v>
      </c>
      <c r="K8" s="22"/>
    </row>
    <row r="9" spans="1:11" ht="20.100000000000001" customHeight="1" x14ac:dyDescent="0.25">
      <c r="A9" s="17" t="str">
        <f>HYPERLINK("#'Input - Rice'!A1", "Rice")</f>
        <v>Rice</v>
      </c>
      <c r="C9" s="22"/>
      <c r="D9" s="1" t="s">
        <v>167</v>
      </c>
      <c r="E9" s="114">
        <f>'7.1.1-2 Rice cultivation'!$E$102</f>
        <v>98.450769394817939</v>
      </c>
      <c r="F9" s="114">
        <f>E9</f>
        <v>98.450769394817939</v>
      </c>
      <c r="G9" s="49" t="s">
        <v>79</v>
      </c>
      <c r="H9" s="93">
        <f>'7.1.1-2 Rice cultivation'!$E$107</f>
        <v>2756.6215430549023</v>
      </c>
      <c r="I9" s="93">
        <f>H9</f>
        <v>2756.6215430549023</v>
      </c>
      <c r="J9" s="49" t="s">
        <v>72</v>
      </c>
      <c r="K9" s="22"/>
    </row>
    <row r="10" spans="1:11" ht="20.100000000000001" customHeight="1" x14ac:dyDescent="0.3">
      <c r="C10" s="22"/>
      <c r="D10" s="29" t="s">
        <v>67</v>
      </c>
      <c r="E10" s="23"/>
      <c r="F10" s="23"/>
      <c r="G10" s="29"/>
      <c r="H10" s="94">
        <f>SUM(H9:H9)</f>
        <v>2756.6215430549023</v>
      </c>
      <c r="I10" s="94">
        <f>SUM(I9:I9)</f>
        <v>2756.6215430549023</v>
      </c>
      <c r="J10" s="90" t="s">
        <v>72</v>
      </c>
      <c r="K10" s="22"/>
    </row>
    <row r="11" spans="1:11" ht="20.100000000000001" customHeight="1" x14ac:dyDescent="0.25">
      <c r="A11" s="19" t="s">
        <v>51</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49</v>
      </c>
      <c r="E8" s="31" t="s">
        <v>50</v>
      </c>
    </row>
    <row r="9" spans="1:24" ht="20.100000000000001" customHeight="1" x14ac:dyDescent="0.25">
      <c r="A9" s="17" t="str">
        <f>HYPERLINK("#'Input - Rice'!A1", "Rice")</f>
        <v>Rice</v>
      </c>
      <c r="N9" s="40"/>
    </row>
    <row r="10" spans="1:24" ht="20.100000000000001" customHeight="1" x14ac:dyDescent="0.25">
      <c r="A10"/>
      <c r="D10" s="82" t="s">
        <v>53</v>
      </c>
      <c r="E10" s="81"/>
      <c r="F10" s="83"/>
      <c r="G10" s="78"/>
      <c r="N10" s="40"/>
    </row>
    <row r="11" spans="1:24" ht="20.100000000000001" customHeight="1" x14ac:dyDescent="0.25">
      <c r="A11" s="19" t="s">
        <v>51</v>
      </c>
      <c r="N11" s="41"/>
    </row>
    <row r="12" spans="1:24" ht="20.100000000000001" customHeight="1" x14ac:dyDescent="0.25">
      <c r="A12" s="17" t="str">
        <f>HYPERLINK("#'7.1.1-2 Rice cultivation'!A1", "7.1.1-2 Rice cultivation")</f>
        <v>7.1.1-2 Rice cultivation</v>
      </c>
      <c r="D12" s="10" t="s">
        <v>57</v>
      </c>
      <c r="E12" s="56">
        <v>45292</v>
      </c>
      <c r="F12" s="2" t="s">
        <v>48</v>
      </c>
    </row>
    <row r="13" spans="1:24" ht="20.100000000000001" customHeight="1" x14ac:dyDescent="0.25">
      <c r="A13" s="17"/>
      <c r="D13" s="10" t="s">
        <v>58</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106</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103</v>
      </c>
    </row>
    <row r="6" spans="1:11" ht="20.100000000000001" customHeight="1" x14ac:dyDescent="0.25">
      <c r="A6" s="16"/>
    </row>
    <row r="7" spans="1:11" ht="20.100000000000001" customHeight="1" x14ac:dyDescent="0.25">
      <c r="A7" s="20" t="s">
        <v>1</v>
      </c>
      <c r="D7" s="82" t="s">
        <v>104</v>
      </c>
      <c r="E7" s="83"/>
      <c r="F7" s="83"/>
      <c r="G7" s="78"/>
      <c r="H7" s="122"/>
      <c r="I7" s="122"/>
      <c r="J7" s="122"/>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151</v>
      </c>
    </row>
    <row r="11" spans="1:11" ht="20.100000000000001" customHeight="1" x14ac:dyDescent="0.25">
      <c r="A11" s="19" t="s">
        <v>51</v>
      </c>
    </row>
    <row r="12" spans="1:11" ht="20.100000000000001" customHeight="1" x14ac:dyDescent="0.25">
      <c r="A12" s="17" t="str">
        <f>HYPERLINK("#'7.1.1-2 Rice cultivation'!A1", "7.1.1-2 Rice cultivation")</f>
        <v>7.1.1-2 Rice cultivation</v>
      </c>
      <c r="D12" s="6" t="s">
        <v>113</v>
      </c>
    </row>
    <row r="13" spans="1:11" ht="20.100000000000001" customHeight="1" x14ac:dyDescent="0.25">
      <c r="A13" s="17"/>
    </row>
    <row r="14" spans="1:11" ht="20.100000000000001" customHeight="1" x14ac:dyDescent="0.25">
      <c r="A14" s="18" t="s">
        <v>2</v>
      </c>
      <c r="D14" s="101" t="s">
        <v>131</v>
      </c>
      <c r="E14" s="101" t="s">
        <v>156</v>
      </c>
      <c r="F14" s="101" t="s">
        <v>157</v>
      </c>
      <c r="G14" s="101" t="s">
        <v>115</v>
      </c>
      <c r="H14" s="101" t="s">
        <v>116</v>
      </c>
      <c r="I14" s="101" t="s">
        <v>117</v>
      </c>
      <c r="J14" s="101" t="s">
        <v>118</v>
      </c>
    </row>
    <row r="15" spans="1:11" ht="20.100000000000001" customHeight="1" x14ac:dyDescent="0.25">
      <c r="A15" s="17" t="str">
        <f>HYPERLINK("#'Constants - Rice cultivation'!A1", "Constants - Rice cultivation")</f>
        <v>Constants - Rice cultivation</v>
      </c>
      <c r="D15" s="35" t="s">
        <v>152</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153</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107</v>
      </c>
    </row>
    <row r="20" spans="1:10" ht="20.100000000000001" customHeight="1" x14ac:dyDescent="0.25">
      <c r="A20" s="17"/>
    </row>
    <row r="21" spans="1:10" ht="20.100000000000001" customHeight="1" x14ac:dyDescent="0.25">
      <c r="D21" s="101" t="s">
        <v>109</v>
      </c>
      <c r="E21" s="101" t="s">
        <v>162</v>
      </c>
      <c r="F21" s="101" t="s">
        <v>122</v>
      </c>
      <c r="G21" s="101" t="s">
        <v>121</v>
      </c>
      <c r="H21" s="101" t="s">
        <v>120</v>
      </c>
      <c r="I21" s="101" t="s">
        <v>119</v>
      </c>
      <c r="J21" s="101" t="s">
        <v>160</v>
      </c>
    </row>
    <row r="22" spans="1:10" ht="20.100000000000001" customHeight="1" x14ac:dyDescent="0.25">
      <c r="D22" s="35" t="s">
        <v>140</v>
      </c>
      <c r="E22" s="35">
        <v>100</v>
      </c>
      <c r="F22" s="37" t="s">
        <v>142</v>
      </c>
      <c r="G22" s="37" t="s">
        <v>149</v>
      </c>
      <c r="H22" s="37" t="s">
        <v>155</v>
      </c>
      <c r="I22" s="37" t="s">
        <v>152</v>
      </c>
      <c r="J22" s="35">
        <v>100</v>
      </c>
    </row>
    <row r="23" spans="1:10" ht="20.100000000000001" customHeight="1" x14ac:dyDescent="0.25">
      <c r="D23" s="35" t="s">
        <v>141</v>
      </c>
      <c r="E23" s="35">
        <v>100</v>
      </c>
      <c r="F23" s="37" t="s">
        <v>150</v>
      </c>
      <c r="G23" s="37" t="s">
        <v>147</v>
      </c>
      <c r="H23" s="37" t="s">
        <v>148</v>
      </c>
      <c r="I23" s="37" t="s">
        <v>153</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105</v>
      </c>
      <c r="M1"/>
    </row>
    <row r="2" spans="1:22" s="9" customFormat="1" ht="20.100000000000001" customHeight="1" x14ac:dyDescent="0.25">
      <c r="M2"/>
    </row>
    <row r="3" spans="1:22" ht="20.100000000000001" customHeight="1" x14ac:dyDescent="0.25">
      <c r="A3" s="17" t="str">
        <f>HYPERLINK("#'Home'!A1", "Home")</f>
        <v>Home</v>
      </c>
      <c r="C3" s="4"/>
      <c r="D3" s="4" t="s">
        <v>60</v>
      </c>
      <c r="E3" s="4"/>
      <c r="F3" s="4"/>
      <c r="G3" s="4"/>
      <c r="H3" s="4"/>
      <c r="I3" s="4"/>
      <c r="J3" s="4"/>
      <c r="K3" s="4"/>
      <c r="L3" s="4"/>
      <c r="N3" s="4"/>
      <c r="O3" s="4" t="s">
        <v>61</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
        <v>137</v>
      </c>
      <c r="E5" s="22"/>
      <c r="F5" s="22"/>
      <c r="G5" s="22"/>
      <c r="H5" s="22"/>
    </row>
    <row r="6" spans="1:22" ht="20.100000000000001" customHeight="1" x14ac:dyDescent="0.25">
      <c r="A6" s="16"/>
      <c r="D6" s="5" t="s">
        <v>170</v>
      </c>
      <c r="E6" s="22"/>
      <c r="F6" s="22"/>
      <c r="G6" s="22"/>
      <c r="H6" s="22"/>
      <c r="L6" s="22"/>
    </row>
    <row r="7" spans="1:22" ht="20.100000000000001" customHeight="1" x14ac:dyDescent="0.25">
      <c r="A7" s="20" t="s">
        <v>1</v>
      </c>
      <c r="D7" s="50" t="str" cm="1">
        <f t="array" ref="D7:D10">(_xlfn.MAKEARRAY(4,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51</v>
      </c>
      <c r="D11" s="13"/>
      <c r="E11" s="13"/>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16</v>
      </c>
      <c r="E14" s="1" t="s">
        <v>171</v>
      </c>
      <c r="F14" s="22"/>
      <c r="G14" s="22"/>
      <c r="H14" s="22"/>
      <c r="L14" s="22"/>
    </row>
    <row r="15" spans="1:22" ht="20.100000000000001" customHeight="1" x14ac:dyDescent="0.25">
      <c r="A15" s="17" t="str">
        <f>HYPERLINK("#'Constants - Rice cultivation'!A1", "Constants - Rice cultivation")</f>
        <v>Constants - Rice cultivation</v>
      </c>
      <c r="D15" s="48" t="s">
        <v>9</v>
      </c>
      <c r="E15" s="49" t="s">
        <v>172</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
        <v>173</v>
      </c>
      <c r="E17" s="111" t="s">
        <v>174</v>
      </c>
      <c r="F17" s="110"/>
      <c r="G17" s="109" t="s">
        <v>179</v>
      </c>
      <c r="H17" s="103" t="s">
        <v>180</v>
      </c>
      <c r="I17" s="108" t="str" cm="1">
        <f t="array" aca="1" ref="I17" ca="1">HYPERLINK(Common_InputFunctions.Utility_SourceHyperlink($D$21),$D$21)</f>
        <v>Table_ROA_o</v>
      </c>
    </row>
    <row r="18" spans="1:11" ht="20.100000000000001" customHeight="1" x14ac:dyDescent="0.25">
      <c r="D18" s="109" t="s">
        <v>175</v>
      </c>
      <c r="E18" s="111" t="s">
        <v>176</v>
      </c>
      <c r="F18" s="110"/>
      <c r="G18" s="109" t="s">
        <v>181</v>
      </c>
      <c r="H18" s="102" t="s">
        <v>182</v>
      </c>
      <c r="I18" s="108" t="str" cm="1">
        <f t="array" aca="1" ref="I18" ca="1">HYPERLINK(Common_InputFunctions.Utility_SourceHyperlink($D$30),$D$30)</f>
        <v>Table_CFOA_o</v>
      </c>
    </row>
    <row r="19" spans="1:11" ht="20.100000000000001" customHeight="1" x14ac:dyDescent="0.25">
      <c r="D19" s="109" t="s">
        <v>177</v>
      </c>
      <c r="E19" s="111" t="s">
        <v>178</v>
      </c>
      <c r="F19" s="110"/>
      <c r="G19" s="109"/>
      <c r="H19" s="103" t="s">
        <v>180</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136</v>
      </c>
      <c r="E21" s="22"/>
      <c r="F21" s="6"/>
      <c r="G21" s="22"/>
    </row>
    <row r="22" spans="1:11" ht="20.100000000000001" customHeight="1" x14ac:dyDescent="0.25">
      <c r="D22" s="84" t="s">
        <v>112</v>
      </c>
      <c r="E22" s="22"/>
      <c r="F22" s="22"/>
      <c r="G22" s="22"/>
      <c r="H22" s="22"/>
    </row>
    <row r="23" spans="1:11" ht="20.100000000000001" customHeight="1" x14ac:dyDescent="0.25">
      <c r="D23" s="101" t="s">
        <v>130</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114</v>
      </c>
    </row>
    <row r="24" spans="1:11" ht="20.100000000000001" customHeight="1" x14ac:dyDescent="0.25">
      <c r="D24" s="47" t="str" cm="1">
        <f t="array" ref="D24:D25">Table_Input_AmendmentBlends[Amendment mix name]</f>
        <v>Mix 1</v>
      </c>
      <c r="E24" s="47" cm="1">
        <f t="array" ref="E24:E25">Table_Input_AmendmentBlends[Straw added &lt; 30 days before cultivation (t/ha)]</f>
        <v>2</v>
      </c>
      <c r="F24" s="47" cm="1">
        <f t="array" ref="F24:F25">Table_Input_AmendmentBlends[Straw added 30+ days before cultivation (t/ha)]</f>
        <v>0</v>
      </c>
      <c r="G24" s="47" cm="1">
        <f t="array" ref="G24:G25">Table_Input_AmendmentBlends[Compost (t/ha)]</f>
        <v>2</v>
      </c>
      <c r="H24" s="47" cm="1">
        <f t="array" ref="H24:H25">Table_Input_AmendmentBlends[Farm yard manure (t/ha)]</f>
        <v>0</v>
      </c>
      <c r="I24" s="47" cm="1">
        <f t="array" ref="I24:I25">Table_Input_AmendmentBlends[Green manure (t/ha)]</f>
        <v>2</v>
      </c>
      <c r="J24" s="47" cm="1">
        <f t="array" ref="J24:J25">Table_Input_AmendmentBlends[Inorganic fertiliser (t/ha)]</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c r="E26" s="47"/>
      <c r="F26" s="47"/>
      <c r="G26" s="47"/>
      <c r="H26" s="47"/>
      <c r="I26" s="47"/>
      <c r="J26" s="47"/>
    </row>
    <row r="27" spans="1:11" ht="20.100000000000001" customHeight="1" x14ac:dyDescent="0.25">
      <c r="D27" s="47"/>
      <c r="E27" s="47"/>
      <c r="F27" s="47"/>
      <c r="G27" s="47"/>
      <c r="H27" s="47"/>
      <c r="I27" s="47"/>
      <c r="J27" s="47"/>
    </row>
    <row r="28" spans="1:11" ht="20.100000000000001" customHeight="1" x14ac:dyDescent="0.25">
      <c r="D28" s="47"/>
      <c r="E28" s="47"/>
      <c r="F28" s="47"/>
      <c r="G28" s="47"/>
      <c r="H28" s="47"/>
      <c r="I28" s="47"/>
      <c r="J28" s="47"/>
    </row>
    <row r="29" spans="1:11" ht="20.100000000000001" customHeight="1" x14ac:dyDescent="0.25"/>
    <row r="30" spans="1:11" ht="20.100000000000001" customHeight="1" x14ac:dyDescent="0.25">
      <c r="D30" s="85" t="s">
        <v>132</v>
      </c>
    </row>
    <row r="31" spans="1:11" ht="20.100000000000001" customHeight="1" x14ac:dyDescent="0.25">
      <c r="D31" s="84" t="s">
        <v>133</v>
      </c>
    </row>
    <row r="32" spans="1:11" ht="20.100000000000001" customHeight="1" x14ac:dyDescent="0.25">
      <c r="D32" s="46" t="s">
        <v>134</v>
      </c>
      <c r="E32" s="46" t="s">
        <v>135</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129</v>
      </c>
    </row>
    <row r="41" spans="1:6" ht="20.100000000000001" customHeight="1" x14ac:dyDescent="0.25">
      <c r="D41" s="84" t="s">
        <v>137</v>
      </c>
    </row>
    <row r="42" spans="1:6" ht="20.100000000000001" customHeight="1" x14ac:dyDescent="0.25">
      <c r="D42" s="46" t="s">
        <v>130</v>
      </c>
      <c r="E42" s="46" t="s">
        <v>138</v>
      </c>
    </row>
    <row r="43" spans="1:6" ht="20.100000000000001" customHeight="1" x14ac:dyDescent="0.25">
      <c r="D43" s="47" t="str" cm="1">
        <f t="array" ref="D43:D44">Table_Input_AmendmentBlends[Amendment mix name]</f>
        <v>Mix 1</v>
      </c>
      <c r="E43" s="47">
        <f>((1 + ((E24 * $E$33) + (F24 * $E$34) + (G24 * $E$35) + (H24 * $E$36) + (I24 * $E$37) + (J24 * $E$38))) ^ 0.59)</f>
        <v>2.3450162437672319</v>
      </c>
    </row>
    <row r="44" spans="1:6" ht="20.100000000000001" customHeight="1" x14ac:dyDescent="0.25">
      <c r="D44" s="47" t="str">
        <v>Mix 2</v>
      </c>
      <c r="E44" s="47">
        <f>((1 + ((E25 * $E$33) + (F25 * $E$34) + (G25 * $E$35) + (H25 * $E$36) + (I25 * $E$37) + (J25 * $E$38))) ^ 0.59)</f>
        <v>2.1982259075210928</v>
      </c>
    </row>
    <row r="45" spans="1:6" ht="20.100000000000001" customHeight="1" x14ac:dyDescent="0.25">
      <c r="D45" s="47"/>
      <c r="E45" s="47">
        <f>((1 + ((E26 * $E$33) + (F26 * $E$34) + (G26 * $E$35) + (H26 * $E$36) + (I26 * $E$37) + (J26 * $E$38))) ^ 0.59)</f>
        <v>1</v>
      </c>
    </row>
    <row r="46" spans="1:6" ht="20.100000000000001" customHeight="1" x14ac:dyDescent="0.25">
      <c r="D46" s="47"/>
      <c r="E46" s="47">
        <f>((1 + ((E27 * $E$33) + (F27 * $E$34) + (G27 * $E$35) + (H27 * $E$36) + (I27 * $E$37) + (J27 * $E$38))) ^ 0.59)</f>
        <v>1</v>
      </c>
    </row>
    <row r="47" spans="1:6" ht="20.100000000000001" customHeight="1" x14ac:dyDescent="0.25">
      <c r="A47" s="113" t="str">
        <f>HYPERLINK("#A1", "▲ Back to top")</f>
        <v>▲ Back to top</v>
      </c>
      <c r="D47" s="47"/>
      <c r="E47" s="47">
        <f>((1 + ((E28 * $E$33) + (F28 * $E$34) + (G28 * $E$35) + (H28 * $E$36) + (I28 * $E$37) + (J28 * $E$38))) ^ 0.59)</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
        <v>159</v>
      </c>
    </row>
    <row r="52" spans="3:12" ht="20.100000000000001" customHeight="1" x14ac:dyDescent="0.25">
      <c r="D52" s="5" t="s">
        <v>183</v>
      </c>
    </row>
    <row r="53" spans="3:12" ht="20.100000000000001" customHeight="1" x14ac:dyDescent="0.25">
      <c r="D53" s="13"/>
      <c r="E53" s="13"/>
    </row>
    <row r="54" spans="3:12" ht="20.100000000000001" customHeight="1" x14ac:dyDescent="0.25"/>
    <row r="55" spans="3:12" ht="20.100000000000001" customHeight="1" x14ac:dyDescent="0.25"/>
    <row r="56" spans="3:12" ht="20.100000000000001" customHeight="1" x14ac:dyDescent="0.25">
      <c r="D56" s="48" t="s">
        <v>16</v>
      </c>
      <c r="E56" s="1" t="s">
        <v>184</v>
      </c>
    </row>
    <row r="57" spans="3:12" ht="20.100000000000001" customHeight="1" x14ac:dyDescent="0.25">
      <c r="D57" s="48" t="s">
        <v>9</v>
      </c>
      <c r="E57" s="49" t="s">
        <v>185</v>
      </c>
    </row>
    <row r="58" spans="3:12" ht="20.100000000000001" customHeight="1" x14ac:dyDescent="0.25"/>
    <row r="59" spans="3:12" ht="20.100000000000001" customHeight="1" x14ac:dyDescent="0.25">
      <c r="D59" s="109" t="s">
        <v>186</v>
      </c>
      <c r="E59" s="111" t="s">
        <v>187</v>
      </c>
      <c r="F59" s="112"/>
      <c r="G59" s="110"/>
      <c r="H59" s="109" t="s">
        <v>185</v>
      </c>
      <c r="I59" s="102" t="s">
        <v>182</v>
      </c>
      <c r="J59" s="109">
        <f>'Constants - Rice cultivation'!$E$49</f>
        <v>1.19</v>
      </c>
    </row>
    <row r="60" spans="3:12" ht="20.100000000000001" customHeight="1" x14ac:dyDescent="0.25">
      <c r="D60" s="109" t="s">
        <v>188</v>
      </c>
      <c r="E60" s="111" t="s">
        <v>189</v>
      </c>
      <c r="F60" s="112"/>
      <c r="G60" s="110"/>
      <c r="H60" s="109" t="s">
        <v>181</v>
      </c>
      <c r="I60" s="102" t="s">
        <v>182</v>
      </c>
      <c r="J60" s="108" t="str" cm="1">
        <f t="array" aca="1" ref="J60" ca="1">HYPERLINK(Common_InputFunctions.Utility_SourceHyperlink($D$67), $D$67)</f>
        <v>Table_EF_rice_w_p_o</v>
      </c>
    </row>
    <row r="61" spans="3:12" ht="20.100000000000001" customHeight="1" x14ac:dyDescent="0.25">
      <c r="D61" s="109" t="s">
        <v>190</v>
      </c>
      <c r="E61" s="111" t="s">
        <v>191</v>
      </c>
      <c r="F61" s="112"/>
      <c r="G61" s="110"/>
      <c r="H61" s="109" t="s">
        <v>181</v>
      </c>
      <c r="I61" s="102" t="s">
        <v>182</v>
      </c>
      <c r="J61" s="108" t="str" cm="1">
        <f t="array" aca="1" ref="J61" ca="1">HYPERLINK(Common_InputFunctions.Utility_SourceHyperlink($D$67), $D$67)</f>
        <v>Table_EF_rice_w_p_o</v>
      </c>
    </row>
    <row r="62" spans="3:12" ht="20.100000000000001" customHeight="1" x14ac:dyDescent="0.25">
      <c r="D62" s="109" t="s">
        <v>171</v>
      </c>
      <c r="E62" s="111" t="s">
        <v>192</v>
      </c>
      <c r="F62" s="112"/>
      <c r="G62" s="110"/>
      <c r="H62" s="109" t="s">
        <v>181</v>
      </c>
      <c r="I62" s="102" t="s">
        <v>198</v>
      </c>
      <c r="J62" s="108" t="str" cm="1">
        <f t="array" aca="1" ref="J62" ca="1">HYPERLINK(Common_InputFunctions.Utility_SourceHyperlink($D$67), $D$67)</f>
        <v>Table_EF_rice_w_p_o</v>
      </c>
    </row>
    <row r="63" spans="3:12" ht="20.100000000000001" customHeight="1" x14ac:dyDescent="0.25">
      <c r="D63" s="109" t="s">
        <v>193</v>
      </c>
      <c r="E63" s="111" t="s">
        <v>194</v>
      </c>
      <c r="F63" s="112"/>
      <c r="G63" s="110"/>
      <c r="H63" s="109"/>
      <c r="I63" s="103" t="s">
        <v>180</v>
      </c>
      <c r="J63" s="108" t="str" cm="1">
        <f t="array" aca="1" ref="J63" ca="1">HYPERLINK(Common_InputFunctions.Utility_SourceHyperlink($D$67), $D$67)</f>
        <v>Table_EF_rice_w_p_o</v>
      </c>
      <c r="L63" s="22"/>
    </row>
    <row r="64" spans="3:12" ht="20.100000000000001" customHeight="1" x14ac:dyDescent="0.25">
      <c r="D64" s="109" t="s">
        <v>195</v>
      </c>
      <c r="E64" s="111" t="s">
        <v>196</v>
      </c>
      <c r="F64" s="112"/>
      <c r="G64" s="110"/>
      <c r="H64" s="109"/>
      <c r="I64" s="103" t="s">
        <v>180</v>
      </c>
      <c r="J64" s="108" t="str" cm="1">
        <f t="array" aca="1" ref="J64" ca="1">HYPERLINK(Common_InputFunctions.Utility_SourceHyperlink($D$67), $D$67)</f>
        <v>Table_EF_rice_w_p_o</v>
      </c>
      <c r="L64" s="22"/>
    </row>
    <row r="65" spans="3:12" ht="20.100000000000001" customHeight="1" x14ac:dyDescent="0.25">
      <c r="D65" s="109" t="s">
        <v>177</v>
      </c>
      <c r="E65" s="111" t="s">
        <v>197</v>
      </c>
      <c r="F65" s="112"/>
      <c r="G65" s="110"/>
      <c r="H65" s="109"/>
      <c r="I65" s="103" t="s">
        <v>180</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158</v>
      </c>
    </row>
    <row r="68" spans="3:12" ht="20.100000000000001" customHeight="1" x14ac:dyDescent="0.25">
      <c r="D68" s="84" t="s">
        <v>159</v>
      </c>
    </row>
    <row r="69" spans="3:12" ht="20.100000000000001" customHeight="1" x14ac:dyDescent="0.25">
      <c r="D69" s="101" t="s">
        <v>139</v>
      </c>
      <c r="E69" s="101" t="s">
        <v>110</v>
      </c>
      <c r="F69" s="101" t="s">
        <v>111</v>
      </c>
      <c r="G69" s="101" t="s">
        <v>130</v>
      </c>
      <c r="H69" s="46" t="s">
        <v>138</v>
      </c>
      <c r="I69" s="46" t="s">
        <v>126</v>
      </c>
      <c r="J69" s="46" t="s">
        <v>124</v>
      </c>
      <c r="K69" s="46" t="s">
        <v>154</v>
      </c>
    </row>
    <row r="70" spans="3:12" ht="20.100000000000001" customHeight="1" x14ac:dyDescent="0.25">
      <c r="D70" s="47" t="str" cm="1">
        <f t="array" ref="D70:D71">Table_Input_Regimes[Regime name]</f>
        <v>Regime 1</v>
      </c>
      <c r="E70" s="47" t="str" cm="1">
        <f t="array" ref="E70:E71">Table_Input_Regimes[Pre-cultivation water regime (select)]</f>
        <v>Non flooded pre-season &lt;180 days</v>
      </c>
      <c r="F70" s="47" t="str" cm="1">
        <f t="array" ref="F70:F71">Table_Input_Regimes[Water regime sub-type (select)]</f>
        <v>Drought prone</v>
      </c>
      <c r="G70" s="47" t="str" cm="1">
        <f t="array" ref="G70:G71">Table_Input_Regimes[Amendment blend (select)]</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f>($J$59 * J70 * I70 * 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f>($J$59 * J71 * I71 * H71)</f>
        <v>4.4760473769276166</v>
      </c>
    </row>
    <row r="72" spans="3:12" ht="20.100000000000001" customHeight="1" x14ac:dyDescent="0.25">
      <c r="D72" s="47"/>
      <c r="E72" s="47"/>
      <c r="F72" s="47"/>
      <c r="G72" s="47"/>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f>($J$59 * J72 * I72 * H72)</f>
        <v>0</v>
      </c>
    </row>
    <row r="73" spans="3:12" ht="20.100000000000001" customHeight="1" x14ac:dyDescent="0.25">
      <c r="D73" s="47"/>
      <c r="E73" s="47"/>
      <c r="F73" s="47"/>
      <c r="G73" s="47"/>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f>($J$59 * J73 * I73 * H73)</f>
        <v>0</v>
      </c>
    </row>
    <row r="74" spans="3:12" ht="20.100000000000001" customHeight="1" x14ac:dyDescent="0.25">
      <c r="D74" s="47"/>
      <c r="E74" s="47"/>
      <c r="F74" s="47"/>
      <c r="G74" s="47"/>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f>($J$59 * J74 * I74 * 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
        <v>166</v>
      </c>
    </row>
    <row r="79" spans="3:12" ht="20.100000000000001" customHeight="1" x14ac:dyDescent="0.25">
      <c r="D79" s="5" t="s">
        <v>199</v>
      </c>
    </row>
    <row r="80" spans="3:12" ht="20.100000000000001" customHeight="1" x14ac:dyDescent="0.25">
      <c r="D80" s="50" t="s">
        <v>200</v>
      </c>
    </row>
    <row r="81" spans="1:10" ht="20.100000000000001" customHeight="1" x14ac:dyDescent="0.25">
      <c r="D81" s="13"/>
      <c r="E81" s="13"/>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16</v>
      </c>
      <c r="E85" s="1" t="s">
        <v>201</v>
      </c>
    </row>
    <row r="86" spans="1:10" ht="20.100000000000001" customHeight="1" x14ac:dyDescent="0.25">
      <c r="D86" s="48" t="s">
        <v>9</v>
      </c>
      <c r="E86" s="49" t="s">
        <v>202</v>
      </c>
    </row>
    <row r="87" spans="1:10" ht="20.100000000000001" customHeight="1" x14ac:dyDescent="0.25"/>
    <row r="88" spans="1:10" ht="20.100000000000001" customHeight="1" x14ac:dyDescent="0.25">
      <c r="D88" s="109" t="s">
        <v>203</v>
      </c>
      <c r="E88" s="111" t="s">
        <v>204</v>
      </c>
      <c r="F88" s="112"/>
      <c r="G88" s="110"/>
      <c r="H88" s="109" t="s">
        <v>210</v>
      </c>
      <c r="I88" s="103" t="s">
        <v>180</v>
      </c>
      <c r="J88" s="108" t="str" cm="1">
        <f t="array" aca="1" ref="J88" ca="1">HYPERLINK(Common_InputFunctions.Utility_SourceHyperlink($D$93), $D$93)</f>
        <v>Table_E_rice</v>
      </c>
    </row>
    <row r="89" spans="1:10" ht="20.100000000000001" customHeight="1" x14ac:dyDescent="0.25">
      <c r="D89" s="109" t="s">
        <v>184</v>
      </c>
      <c r="E89" s="111" t="s">
        <v>205</v>
      </c>
      <c r="F89" s="112"/>
      <c r="G89" s="110"/>
      <c r="H89" s="109" t="s">
        <v>185</v>
      </c>
      <c r="I89" s="102" t="s">
        <v>211</v>
      </c>
      <c r="J89" s="108" t="str" cm="1">
        <f t="array" aca="1" ref="J89" ca="1">HYPERLINK(Common_InputFunctions.Utility_SourceHyperlink($D$67),$D$67)</f>
        <v>Table_EF_rice_w_p_o</v>
      </c>
    </row>
    <row r="90" spans="1:10" ht="20.100000000000001" customHeight="1" x14ac:dyDescent="0.25">
      <c r="D90" s="109" t="s">
        <v>206</v>
      </c>
      <c r="E90" s="111" t="s">
        <v>207</v>
      </c>
      <c r="F90" s="112"/>
      <c r="G90" s="110"/>
      <c r="H90" s="109" t="s">
        <v>212</v>
      </c>
      <c r="I90" s="103" t="s">
        <v>180</v>
      </c>
      <c r="J90" s="108" t="str" cm="1">
        <f t="array" aca="1" ref="J90" ca="1">HYPERLINK(Common_InputFunctions.Utility_SourceHyperlink($D$93), $D$93)</f>
        <v>Table_E_rice</v>
      </c>
    </row>
    <row r="91" spans="1:10" ht="20.100000000000001" customHeight="1" x14ac:dyDescent="0.25">
      <c r="D91" s="109" t="s">
        <v>208</v>
      </c>
      <c r="E91" s="111" t="s">
        <v>209</v>
      </c>
      <c r="F91" s="112"/>
      <c r="G91" s="110"/>
      <c r="H91" s="109" t="s">
        <v>213</v>
      </c>
      <c r="I91" s="103" t="s">
        <v>180</v>
      </c>
      <c r="J91" s="109">
        <f>'Input - Rice'!E10</f>
        <v>2</v>
      </c>
    </row>
    <row r="92" spans="1:10" ht="20.100000000000001" customHeight="1" x14ac:dyDescent="0.25"/>
    <row r="93" spans="1:10" ht="20.100000000000001" customHeight="1" x14ac:dyDescent="0.25">
      <c r="D93" s="85" t="s">
        <v>165</v>
      </c>
    </row>
    <row r="94" spans="1:10" ht="20.100000000000001" customHeight="1" x14ac:dyDescent="0.25">
      <c r="D94" s="84" t="s">
        <v>166</v>
      </c>
    </row>
    <row r="95" spans="1:10" ht="20.100000000000001" customHeight="1" x14ac:dyDescent="0.25">
      <c r="D95" s="101" t="s">
        <v>139</v>
      </c>
      <c r="E95" s="101" t="s">
        <v>163</v>
      </c>
      <c r="F95" s="101" t="s">
        <v>164</v>
      </c>
      <c r="G95" s="46" t="s">
        <v>161</v>
      </c>
    </row>
    <row r="96" spans="1:10" ht="20.100000000000001" customHeight="1" x14ac:dyDescent="0.25">
      <c r="D96" s="47" t="str" cm="1">
        <f t="array" ref="D96:D97">Table_Input_Regimes[Regime name]</f>
        <v>Regime 1</v>
      </c>
      <c r="E96" s="47" cm="1">
        <f t="array" ref="E96:E97">Table_Input_Regimes[Area under cultivation (hectares)]*J91</f>
        <v>200</v>
      </c>
      <c r="F96" s="47" cm="1">
        <f t="array" ref="F96:F97">Table_Input_Regimes[Cultivation period (days)]</f>
        <v>100</v>
      </c>
      <c r="G96" s="47">
        <f>(SUM(E96 * K70 * F96) * 10 ^ -3)</f>
        <v>8.9298218562656189</v>
      </c>
      <c r="H96" s="2" t="str">
        <f>E86</f>
        <v>t CH4</v>
      </c>
    </row>
    <row r="97" spans="4:12" ht="20.100000000000001" customHeight="1" x14ac:dyDescent="0.25">
      <c r="D97" s="47" t="str">
        <v>Regime 2</v>
      </c>
      <c r="E97" s="47">
        <v>200</v>
      </c>
      <c r="F97" s="47">
        <v>100</v>
      </c>
      <c r="G97" s="47">
        <f>(SUM(E97 * K71 * F97) * 10 ^ -3)</f>
        <v>89.520947538552321</v>
      </c>
    </row>
    <row r="98" spans="4:12" ht="20.100000000000001" customHeight="1" x14ac:dyDescent="0.25">
      <c r="D98" s="47"/>
      <c r="E98" s="47"/>
      <c r="F98" s="47"/>
      <c r="G98" s="47">
        <f>(SUM(E98 * K72 * F98) * 10 ^ -3)</f>
        <v>0</v>
      </c>
    </row>
    <row r="99" spans="4:12" ht="20.100000000000001" customHeight="1" x14ac:dyDescent="0.25">
      <c r="D99" s="47"/>
      <c r="E99" s="47"/>
      <c r="F99" s="47"/>
      <c r="G99" s="47">
        <f>(SUM(E99 * K73 * F99) * 10 ^ -3)</f>
        <v>0</v>
      </c>
    </row>
    <row r="100" spans="4:12" ht="20.100000000000001" customHeight="1" x14ac:dyDescent="0.25">
      <c r="D100" s="47"/>
      <c r="E100" s="47"/>
      <c r="F100" s="47"/>
      <c r="G100" s="47">
        <f>(SUM(E100 * K74 * F100) * 10 ^ -3)</f>
        <v>0</v>
      </c>
    </row>
    <row r="101" spans="4:12" ht="20.100000000000001" customHeight="1" x14ac:dyDescent="0.25"/>
    <row r="102" spans="4:12" ht="20.100000000000001" customHeight="1" x14ac:dyDescent="0.25">
      <c r="D102" s="86" t="s">
        <v>87</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59</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123</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
        <v>214</v>
      </c>
    </row>
    <row r="6" spans="1:35" ht="20.100000000000001" customHeight="1" x14ac:dyDescent="0.25">
      <c r="A6" s="16"/>
      <c r="D6" s="5" t="s">
        <v>215</v>
      </c>
    </row>
    <row r="7" spans="1:35" ht="20.100000000000001" customHeight="1" x14ac:dyDescent="0.25">
      <c r="A7" s="20" t="s">
        <v>1</v>
      </c>
      <c r="D7" s="1" t="s">
        <v>124</v>
      </c>
      <c r="AG7" s="1"/>
      <c r="AH7" s="1"/>
      <c r="AI7" s="1"/>
    </row>
    <row r="8" spans="1:35" ht="20.100000000000001" customHeight="1" x14ac:dyDescent="0.25">
      <c r="A8" s="17" t="str">
        <f>HYPERLINK("#'Input - Site'!A1", "Site")</f>
        <v>Site</v>
      </c>
      <c r="D8" s="49" t="s">
        <v>181</v>
      </c>
      <c r="H8" s="1" t="s">
        <v>143</v>
      </c>
      <c r="J8" s="1" t="s">
        <v>144</v>
      </c>
      <c r="L8" s="1" t="s">
        <v>145</v>
      </c>
      <c r="AG8" s="1"/>
      <c r="AH8" s="1"/>
      <c r="AI8" s="1"/>
    </row>
    <row r="9" spans="1:35" ht="20.100000000000001" customHeight="1" x14ac:dyDescent="0.25">
      <c r="A9" s="17" t="str">
        <f>HYPERLINK("#'Input - Rice'!A1", "Rice")</f>
        <v>Rice</v>
      </c>
      <c r="D9" s="35" t="s">
        <v>108</v>
      </c>
      <c r="E9" s="35" t="s">
        <v>111</v>
      </c>
      <c r="F9" s="35" t="s">
        <v>124</v>
      </c>
      <c r="H9" s="35" t="s">
        <v>146</v>
      </c>
      <c r="J9" s="35" t="s">
        <v>146</v>
      </c>
      <c r="L9" s="35" t="s">
        <v>146</v>
      </c>
      <c r="AG9" s="1"/>
      <c r="AH9" s="1"/>
      <c r="AI9" s="1"/>
    </row>
    <row r="10" spans="1:35" ht="20.100000000000001" customHeight="1" x14ac:dyDescent="0.25">
      <c r="D10" s="35" t="s">
        <v>216</v>
      </c>
      <c r="E10" s="35" t="s">
        <v>217</v>
      </c>
      <c r="F10" s="35">
        <v>0</v>
      </c>
      <c r="H10" s="35" t="str">
        <f>E10</f>
        <v>Paddy rotation</v>
      </c>
      <c r="J10" s="35" t="str">
        <f>E12</f>
        <v>Continuously flooded</v>
      </c>
      <c r="L10" s="35" t="str">
        <f>E15</f>
        <v>Regular rainfed</v>
      </c>
      <c r="AG10" s="1"/>
      <c r="AH10" s="1"/>
      <c r="AI10" s="1"/>
    </row>
    <row r="11" spans="1:35" ht="20.100000000000001" customHeight="1" x14ac:dyDescent="0.25">
      <c r="A11" s="19" t="s">
        <v>51</v>
      </c>
      <c r="D11" s="1" t="s">
        <v>216</v>
      </c>
      <c r="E11" s="35" t="s">
        <v>218</v>
      </c>
      <c r="F11" s="35">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
        <v>147</v>
      </c>
      <c r="E12" s="35" t="s">
        <v>219</v>
      </c>
      <c r="F12" s="35">
        <v>1</v>
      </c>
      <c r="J12" s="35" t="str">
        <f>E14</f>
        <v>Multiple drainage periods</v>
      </c>
      <c r="L12" s="35" t="str">
        <f>E17</f>
        <v>Deep water</v>
      </c>
    </row>
    <row r="13" spans="1:35" ht="20.100000000000001" customHeight="1" x14ac:dyDescent="0.25">
      <c r="A13" s="17"/>
      <c r="D13" s="1" t="s">
        <v>147</v>
      </c>
      <c r="E13" s="35" t="s">
        <v>148</v>
      </c>
      <c r="F13" s="35">
        <v>0.71</v>
      </c>
    </row>
    <row r="14" spans="1:35" ht="20.100000000000001" customHeight="1" x14ac:dyDescent="0.25">
      <c r="A14" s="18" t="s">
        <v>2</v>
      </c>
      <c r="D14" s="1" t="s">
        <v>147</v>
      </c>
      <c r="E14" s="35" t="s">
        <v>220</v>
      </c>
      <c r="F14" s="35">
        <v>0.55000000000000004</v>
      </c>
    </row>
    <row r="15" spans="1:35" ht="20.100000000000001" customHeight="1" x14ac:dyDescent="0.25">
      <c r="A15" s="121" t="str">
        <f>HYPERLINK("#'Constants - Rice cultivation'!A1", "Constants - Rice cultivation")</f>
        <v>Constants - Rice cultivation</v>
      </c>
      <c r="D15" s="1" t="s">
        <v>149</v>
      </c>
      <c r="E15" s="35" t="s">
        <v>221</v>
      </c>
      <c r="F15" s="35">
        <v>0.54</v>
      </c>
    </row>
    <row r="16" spans="1:35" ht="20.100000000000001" customHeight="1" x14ac:dyDescent="0.25">
      <c r="A16" s="17" t="str">
        <f>HYPERLINK("#'Constants - Common'!A1", "Constants - Common")</f>
        <v>Constants - Common</v>
      </c>
      <c r="D16" s="1" t="s">
        <v>149</v>
      </c>
      <c r="E16" s="35" t="s">
        <v>155</v>
      </c>
      <c r="F16" s="35">
        <v>0.16</v>
      </c>
    </row>
    <row r="17" spans="1:6" ht="20.100000000000001" customHeight="1" x14ac:dyDescent="0.25">
      <c r="D17" s="1" t="s">
        <v>149</v>
      </c>
      <c r="E17" s="35" t="s">
        <v>222</v>
      </c>
      <c r="F17" s="35">
        <v>0.06</v>
      </c>
    </row>
    <row r="18" spans="1:6" ht="20.100000000000001" customHeight="1" x14ac:dyDescent="0.25"/>
    <row r="19" spans="1:6" ht="20.100000000000001" customHeight="1" x14ac:dyDescent="0.25"/>
    <row r="20" spans="1:6" ht="20.100000000000001" customHeight="1" x14ac:dyDescent="0.25">
      <c r="A20" s="17"/>
      <c r="D20" s="6" t="s">
        <v>223</v>
      </c>
    </row>
    <row r="21" spans="1:6" ht="20.100000000000001" customHeight="1" x14ac:dyDescent="0.25">
      <c r="D21" s="5" t="s">
        <v>224</v>
      </c>
    </row>
    <row r="22" spans="1:6" ht="20.100000000000001" customHeight="1" x14ac:dyDescent="0.25">
      <c r="D22" s="1" t="s">
        <v>126</v>
      </c>
    </row>
    <row r="23" spans="1:6" ht="20.100000000000001" customHeight="1" x14ac:dyDescent="0.25">
      <c r="D23" s="49" t="s">
        <v>181</v>
      </c>
    </row>
    <row r="24" spans="1:6" ht="20.100000000000001" customHeight="1" x14ac:dyDescent="0.25">
      <c r="D24" s="35" t="s">
        <v>125</v>
      </c>
      <c r="E24" s="35" t="s">
        <v>126</v>
      </c>
    </row>
    <row r="25" spans="1:6" ht="20.100000000000001" customHeight="1" x14ac:dyDescent="0.25">
      <c r="D25" s="35" t="s">
        <v>142</v>
      </c>
      <c r="E25" s="35">
        <v>1</v>
      </c>
    </row>
    <row r="26" spans="1:6" ht="20.100000000000001" customHeight="1" x14ac:dyDescent="0.25">
      <c r="D26" s="1" t="s">
        <v>225</v>
      </c>
      <c r="E26" s="35">
        <v>0.89</v>
      </c>
    </row>
    <row r="27" spans="1:6" ht="20.100000000000001" customHeight="1" x14ac:dyDescent="0.25">
      <c r="D27" s="1" t="s">
        <v>150</v>
      </c>
      <c r="E27" s="35">
        <v>2.41</v>
      </c>
    </row>
    <row r="28" spans="1:6" ht="20.100000000000001" customHeight="1" x14ac:dyDescent="0.25">
      <c r="D28" s="1" t="s">
        <v>226</v>
      </c>
      <c r="E28" s="35">
        <v>0.59</v>
      </c>
    </row>
    <row r="29" spans="1:6" ht="20.100000000000001" customHeight="1" x14ac:dyDescent="0.25"/>
    <row r="30" spans="1:6" ht="20.100000000000001" customHeight="1" x14ac:dyDescent="0.25"/>
    <row r="31" spans="1:6" ht="20.100000000000001" customHeight="1" x14ac:dyDescent="0.25">
      <c r="D31" s="6" t="s">
        <v>227</v>
      </c>
    </row>
    <row r="32" spans="1:6" ht="20.100000000000001" customHeight="1" x14ac:dyDescent="0.25">
      <c r="D32" s="5" t="s">
        <v>228</v>
      </c>
    </row>
    <row r="33" spans="4:5" ht="20.100000000000001" customHeight="1" x14ac:dyDescent="0.25">
      <c r="D33" s="50" t="s">
        <v>229</v>
      </c>
    </row>
    <row r="34" spans="4:5" ht="20.100000000000001" customHeight="1" x14ac:dyDescent="0.25">
      <c r="D34" s="50" t="s">
        <v>230</v>
      </c>
    </row>
    <row r="35" spans="4:5" ht="20.100000000000001" customHeight="1" x14ac:dyDescent="0.25">
      <c r="D35" s="50" t="s">
        <v>231</v>
      </c>
    </row>
    <row r="36" spans="4:5" ht="20.100000000000001" customHeight="1" x14ac:dyDescent="0.25">
      <c r="D36" s="1" t="s">
        <v>128</v>
      </c>
    </row>
    <row r="37" spans="4:5" ht="20.100000000000001" customHeight="1" x14ac:dyDescent="0.25">
      <c r="D37" s="49" t="s">
        <v>181</v>
      </c>
    </row>
    <row r="38" spans="4:5" ht="20.100000000000001" customHeight="1" x14ac:dyDescent="0.25">
      <c r="D38" s="35" t="s">
        <v>127</v>
      </c>
      <c r="E38" s="35" t="s">
        <v>128</v>
      </c>
    </row>
    <row r="39" spans="4:5" ht="20.100000000000001" customHeight="1" x14ac:dyDescent="0.25">
      <c r="D39" s="35" t="s">
        <v>232</v>
      </c>
      <c r="E39" s="35">
        <v>1</v>
      </c>
    </row>
    <row r="40" spans="4:5" ht="20.100000000000001" customHeight="1" x14ac:dyDescent="0.25">
      <c r="D40" s="1" t="s">
        <v>233</v>
      </c>
      <c r="E40" s="35">
        <v>0.19</v>
      </c>
    </row>
    <row r="41" spans="4:5" ht="20.100000000000001" customHeight="1" x14ac:dyDescent="0.25">
      <c r="D41" s="1" t="s">
        <v>234</v>
      </c>
      <c r="E41" s="35">
        <v>0.17</v>
      </c>
    </row>
    <row r="42" spans="4:5" ht="20.100000000000001" customHeight="1" x14ac:dyDescent="0.25">
      <c r="D42" s="1" t="s">
        <v>235</v>
      </c>
      <c r="E42" s="35">
        <v>0.21</v>
      </c>
    </row>
    <row r="43" spans="4:5" ht="20.100000000000001" customHeight="1" x14ac:dyDescent="0.25">
      <c r="D43" s="1" t="s">
        <v>236</v>
      </c>
      <c r="E43" s="35">
        <v>0.45</v>
      </c>
    </row>
    <row r="44" spans="4:5" ht="20.100000000000001" customHeight="1" x14ac:dyDescent="0.25">
      <c r="D44" s="1" t="s">
        <v>114</v>
      </c>
      <c r="E44" s="35">
        <v>1</v>
      </c>
    </row>
    <row r="45" spans="4:5" ht="20.100000000000001" customHeight="1" x14ac:dyDescent="0.25"/>
    <row r="46" spans="4:5" ht="20.100000000000001" customHeight="1" x14ac:dyDescent="0.25"/>
    <row r="47" spans="4:5" ht="20.100000000000001" customHeight="1" x14ac:dyDescent="0.25">
      <c r="D47" s="6" t="s">
        <v>237</v>
      </c>
    </row>
    <row r="48" spans="4:5" ht="20.100000000000001" customHeight="1" x14ac:dyDescent="0.25">
      <c r="D48" s="5" t="s">
        <v>238</v>
      </c>
    </row>
    <row r="49" spans="4:6" ht="20.100000000000001" customHeight="1" x14ac:dyDescent="0.25">
      <c r="D49" s="48" t="s">
        <v>239</v>
      </c>
      <c r="E49" s="1">
        <v>1.19</v>
      </c>
      <c r="F49" s="49" t="s">
        <v>240</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28F-C552-4DBE-BEDA-1D3AB479C827}">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241</v>
      </c>
      <c r="BM5" s="3"/>
    </row>
    <row r="6" spans="1:65" ht="20.100000000000001" customHeight="1" x14ac:dyDescent="0.25">
      <c r="A6"/>
      <c r="D6" s="35" t="s">
        <v>10</v>
      </c>
      <c r="E6" s="35" t="s">
        <v>11</v>
      </c>
      <c r="F6" s="35" t="s">
        <v>12</v>
      </c>
    </row>
    <row r="7" spans="1:65" ht="20.100000000000001" customHeight="1" x14ac:dyDescent="0.25">
      <c r="A7"/>
      <c r="D7" s="35" t="s">
        <v>242</v>
      </c>
      <c r="E7" s="35" t="s">
        <v>242</v>
      </c>
      <c r="F7" s="35" t="s">
        <v>243</v>
      </c>
    </row>
    <row r="8" spans="1:65" ht="20.100000000000001" customHeight="1" x14ac:dyDescent="0.25">
      <c r="A8"/>
      <c r="D8" s="35" t="s">
        <v>244</v>
      </c>
      <c r="E8" s="35" t="s">
        <v>245</v>
      </c>
      <c r="F8" s="35" t="s">
        <v>245</v>
      </c>
    </row>
    <row r="9" spans="1:65" ht="20.100000000000001" customHeight="1" x14ac:dyDescent="0.25">
      <c r="A9"/>
      <c r="D9" s="35" t="s">
        <v>246</v>
      </c>
      <c r="E9" s="35" t="s">
        <v>246</v>
      </c>
      <c r="F9" s="35" t="s">
        <v>247</v>
      </c>
    </row>
    <row r="10" spans="1:65" ht="20.100000000000001" customHeight="1" x14ac:dyDescent="0.25">
      <c r="A10"/>
      <c r="D10" s="35" t="s">
        <v>248</v>
      </c>
      <c r="E10" s="35" t="s">
        <v>248</v>
      </c>
      <c r="F10" s="35" t="s">
        <v>249</v>
      </c>
    </row>
    <row r="11" spans="1:65" ht="20.100000000000001" customHeight="1" x14ac:dyDescent="0.25">
      <c r="A11"/>
      <c r="D11" s="35" t="s">
        <v>250</v>
      </c>
      <c r="E11" s="35" t="s">
        <v>250</v>
      </c>
      <c r="F11" s="35" t="s">
        <v>251</v>
      </c>
      <c r="BM11" s="3"/>
    </row>
    <row r="12" spans="1:65" ht="20.100000000000001" customHeight="1" x14ac:dyDescent="0.25">
      <c r="A12"/>
      <c r="D12" s="35" t="s">
        <v>252</v>
      </c>
      <c r="E12" s="35" t="s">
        <v>252</v>
      </c>
      <c r="F12" s="35" t="s">
        <v>253</v>
      </c>
      <c r="BM12" s="3"/>
    </row>
    <row r="13" spans="1:65" ht="20.100000000000001" customHeight="1" x14ac:dyDescent="0.25">
      <c r="A13"/>
      <c r="D13" s="35" t="s">
        <v>254</v>
      </c>
      <c r="E13" s="35" t="s">
        <v>254</v>
      </c>
      <c r="F13" s="35" t="s">
        <v>255</v>
      </c>
    </row>
    <row r="14" spans="1:65" ht="20.100000000000001" customHeight="1" x14ac:dyDescent="0.25">
      <c r="A14"/>
      <c r="D14" s="35" t="s">
        <v>256</v>
      </c>
      <c r="E14" s="35" t="s">
        <v>256</v>
      </c>
      <c r="F14" s="35" t="s">
        <v>257</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258</v>
      </c>
    </row>
    <row r="19" spans="1:4" ht="20.100000000000001" customHeight="1" x14ac:dyDescent="0.25">
      <c r="A19"/>
      <c r="D19" s="5" t="s">
        <v>259</v>
      </c>
    </row>
    <row r="20" spans="1:4" ht="20.100000000000001" customHeight="1" x14ac:dyDescent="0.25">
      <c r="A20"/>
      <c r="D20" s="35" t="s">
        <v>13</v>
      </c>
    </row>
    <row r="21" spans="1:4" ht="20.100000000000001" customHeight="1" x14ac:dyDescent="0.25">
      <c r="A21"/>
      <c r="D21" s="35" t="s">
        <v>260</v>
      </c>
    </row>
    <row r="22" spans="1:4" ht="20.100000000000001" customHeight="1" x14ac:dyDescent="0.25">
      <c r="A22"/>
      <c r="D22" s="35" t="s">
        <v>261</v>
      </c>
    </row>
    <row r="23" spans="1:4" ht="20.100000000000001" customHeight="1" x14ac:dyDescent="0.25">
      <c r="A23"/>
      <c r="D23" s="35" t="s">
        <v>262</v>
      </c>
    </row>
    <row r="24" spans="1:4" ht="20.100000000000001" customHeight="1" x14ac:dyDescent="0.25">
      <c r="A24"/>
      <c r="D24" s="35" t="s">
        <v>263</v>
      </c>
    </row>
    <row r="25" spans="1:4" ht="20.100000000000001" customHeight="1" x14ac:dyDescent="0.25">
      <c r="A25"/>
      <c r="D25" s="35" t="s">
        <v>264</v>
      </c>
    </row>
    <row r="26" spans="1:4" ht="20.100000000000001" customHeight="1" x14ac:dyDescent="0.25">
      <c r="A26"/>
      <c r="D26" s="35" t="s">
        <v>265</v>
      </c>
    </row>
    <row r="27" spans="1:4" ht="20.100000000000001" customHeight="1" x14ac:dyDescent="0.25">
      <c r="A27"/>
      <c r="D27" s="35" t="s">
        <v>266</v>
      </c>
    </row>
    <row r="28" spans="1:4" ht="20.100000000000001" customHeight="1" x14ac:dyDescent="0.25">
      <c r="A28"/>
      <c r="D28" s="35" t="s">
        <v>267</v>
      </c>
    </row>
    <row r="29" spans="1:4" ht="20.100000000000001" customHeight="1" x14ac:dyDescent="0.25">
      <c r="A29"/>
      <c r="D29" s="35" t="s">
        <v>268</v>
      </c>
    </row>
    <row r="30" spans="1:4" ht="20.100000000000001" customHeight="1" x14ac:dyDescent="0.25">
      <c r="A30"/>
      <c r="D30" s="35" t="s">
        <v>269</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270</v>
      </c>
    </row>
    <row r="35" spans="1:8" ht="20.100000000000001" customHeight="1" x14ac:dyDescent="0.25">
      <c r="A35"/>
      <c r="D35" s="5" t="s">
        <v>271</v>
      </c>
    </row>
    <row r="36" spans="1:8" ht="20.100000000000001" customHeight="1" x14ac:dyDescent="0.25">
      <c r="A36"/>
      <c r="D36" s="35" t="s">
        <v>14</v>
      </c>
      <c r="E36" s="35" t="s">
        <v>15</v>
      </c>
    </row>
    <row r="37" spans="1:8" ht="20.100000000000001" customHeight="1" x14ac:dyDescent="0.25">
      <c r="A37"/>
      <c r="D37" s="35" t="s">
        <v>272</v>
      </c>
      <c r="E37" s="35">
        <v>1</v>
      </c>
    </row>
    <row r="38" spans="1:8" ht="20.100000000000001" customHeight="1" x14ac:dyDescent="0.25">
      <c r="A38"/>
      <c r="D38" s="35" t="s">
        <v>273</v>
      </c>
      <c r="E38" s="35">
        <v>28</v>
      </c>
    </row>
    <row r="39" spans="1:8" ht="20.100000000000001" customHeight="1" x14ac:dyDescent="0.25">
      <c r="A39"/>
      <c r="D39" s="35" t="s">
        <v>274</v>
      </c>
      <c r="E39" s="35">
        <v>265</v>
      </c>
    </row>
    <row r="40" spans="1:8" ht="20.100000000000001" customHeight="1" x14ac:dyDescent="0.25">
      <c r="A40"/>
      <c r="D40" s="35" t="s">
        <v>275</v>
      </c>
      <c r="E40" s="35">
        <v>6630</v>
      </c>
    </row>
    <row r="41" spans="1:8" ht="20.100000000000001" customHeight="1" x14ac:dyDescent="0.25">
      <c r="A41"/>
      <c r="D41" s="35" t="s">
        <v>276</v>
      </c>
      <c r="E41" s="35">
        <v>12200</v>
      </c>
    </row>
    <row r="42" spans="1:8" ht="20.100000000000001" customHeight="1" x14ac:dyDescent="0.25">
      <c r="D42" s="35" t="s">
        <v>277</v>
      </c>
      <c r="E42" s="35">
        <v>22800</v>
      </c>
    </row>
    <row r="43" spans="1:8" ht="20.100000000000001" customHeight="1" x14ac:dyDescent="0.25">
      <c r="D43" s="35" t="s">
        <v>278</v>
      </c>
      <c r="E43" s="35">
        <v>17200</v>
      </c>
    </row>
    <row r="44" spans="1:8" ht="20.100000000000001" customHeight="1" x14ac:dyDescent="0.25"/>
    <row r="45" spans="1:8" ht="20.100000000000001" customHeight="1" x14ac:dyDescent="0.25">
      <c r="D45" s="6" t="s">
        <v>279</v>
      </c>
    </row>
    <row r="46" spans="1:8" ht="20.100000000000001" customHeight="1" x14ac:dyDescent="0.25">
      <c r="D46" s="5" t="s">
        <v>271</v>
      </c>
    </row>
    <row r="47" spans="1:8" ht="20.100000000000001" customHeight="1" x14ac:dyDescent="0.25">
      <c r="D47" s="35" t="s">
        <v>14</v>
      </c>
      <c r="E47" s="35" t="s">
        <v>17</v>
      </c>
      <c r="F47" s="35" t="s">
        <v>18</v>
      </c>
      <c r="G47" s="35" t="s">
        <v>19</v>
      </c>
      <c r="H47" s="35" t="s">
        <v>20</v>
      </c>
    </row>
    <row r="48" spans="1:8" ht="20.100000000000001" customHeight="1" x14ac:dyDescent="0.25">
      <c r="D48" s="35" t="s">
        <v>272</v>
      </c>
      <c r="E48" s="35" t="s">
        <v>280</v>
      </c>
      <c r="F48" s="35">
        <v>44</v>
      </c>
      <c r="G48" s="35">
        <v>12</v>
      </c>
      <c r="H48" s="35">
        <f>Table_GasToMolecularConversionFactor[[#This Row],[Conversion factor 1]]/Table_GasToMolecularConversionFactor[[#This Row],[Conversion factor 2]]</f>
        <v>3.6666666666666665</v>
      </c>
    </row>
    <row r="49" spans="4:8" ht="20.100000000000001" customHeight="1" x14ac:dyDescent="0.25">
      <c r="D49" s="35" t="s">
        <v>273</v>
      </c>
      <c r="E49" s="35" t="s">
        <v>281</v>
      </c>
      <c r="F49" s="35">
        <v>16</v>
      </c>
      <c r="G49" s="35">
        <v>12</v>
      </c>
      <c r="H49" s="35">
        <f>Table_GasToMolecularConversionFactor[[#This Row],[Conversion factor 1]]/Table_GasToMolecularConversionFactor[[#This Row],[Conversion factor 2]]</f>
        <v>1.3333333333333333</v>
      </c>
    </row>
    <row r="50" spans="4:8" ht="20.100000000000001" customHeight="1" x14ac:dyDescent="0.25">
      <c r="D50" s="35" t="s">
        <v>274</v>
      </c>
      <c r="E50" s="35" t="s">
        <v>282</v>
      </c>
      <c r="F50" s="35">
        <v>44</v>
      </c>
      <c r="G50" s="35">
        <v>28</v>
      </c>
      <c r="H50" s="35">
        <f>Table_GasToMolecularConversionFactor[[#This Row],[Conversion factor 1]]/Table_GasToMolecularConversionFactor[[#This Row],[Conversion factor 2]]</f>
        <v>1.5714285714285714</v>
      </c>
    </row>
    <row r="51" spans="4:8" ht="20.100000000000001" customHeight="1" x14ac:dyDescent="0.25">
      <c r="D51" s="35" t="s">
        <v>283</v>
      </c>
      <c r="E51" s="35" t="s">
        <v>284</v>
      </c>
      <c r="F51" s="35">
        <v>46</v>
      </c>
      <c r="G51" s="35">
        <v>14</v>
      </c>
      <c r="H51" s="35">
        <f>Table_GasToMolecularConversionFactor[[#This Row],[Conversion factor 1]]/Table_GasToMolecularConversionFactor[[#This Row],[Conversion factor 2]]</f>
        <v>3.2857142857142856</v>
      </c>
    </row>
    <row r="52" spans="4:8" ht="20.100000000000001" customHeight="1" x14ac:dyDescent="0.25">
      <c r="D52" s="35" t="s">
        <v>285</v>
      </c>
      <c r="E52" s="35" t="s">
        <v>286</v>
      </c>
      <c r="F52" s="35">
        <v>28</v>
      </c>
      <c r="G52" s="35">
        <v>12</v>
      </c>
      <c r="H52" s="35">
        <f>Table_GasToMolecularConversionFactor[[#This Row],[Conversion factor 1]]/Table_GasToMolecularConversionFactor[[#This Row],[Conversion factor 2]]</f>
        <v>2.3333333333333335</v>
      </c>
    </row>
    <row r="53" spans="4:8" ht="20.100000000000001" customHeight="1" x14ac:dyDescent="0.25">
      <c r="D53" s="35" t="s">
        <v>287</v>
      </c>
      <c r="E53" s="35" t="s">
        <v>280</v>
      </c>
      <c r="F53" s="35">
        <v>44</v>
      </c>
      <c r="G53" s="35">
        <v>12</v>
      </c>
      <c r="H53" s="35">
        <f>Table_GasToMolecularConversionFactor[[#This Row],[Conversion factor 1]]/Table_GasToMolecularConversionFactor[[#This Row],[Conversion factor 2]]</f>
        <v>3.6666666666666665</v>
      </c>
    </row>
    <row r="54" spans="4:8" ht="20.100000000000001" customHeight="1" x14ac:dyDescent="0.25">
      <c r="D54" s="35" t="s">
        <v>288</v>
      </c>
      <c r="E54" s="35" t="s">
        <v>289</v>
      </c>
      <c r="F54" s="35">
        <v>14</v>
      </c>
      <c r="G54" s="35">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290</v>
      </c>
    </row>
    <row r="58" spans="4:8" ht="20.100000000000001" customHeight="1" x14ac:dyDescent="0.25">
      <c r="D58" s="5" t="s">
        <v>291</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34</v>
      </c>
    </row>
    <row r="64" spans="4:8" ht="20.100000000000001" customHeight="1" x14ac:dyDescent="0.25">
      <c r="D64" s="35" t="s">
        <v>292</v>
      </c>
      <c r="E64" s="35" t="s">
        <v>293</v>
      </c>
    </row>
    <row r="65" spans="4:5" ht="20.100000000000001" customHeight="1" x14ac:dyDescent="0.25">
      <c r="D65" s="35" t="s">
        <v>294</v>
      </c>
      <c r="E65" s="35" t="s">
        <v>293</v>
      </c>
    </row>
    <row r="66" spans="4:5" ht="20.100000000000001" customHeight="1" x14ac:dyDescent="0.25">
      <c r="D66" s="35" t="s">
        <v>295</v>
      </c>
      <c r="E66" s="35" t="s">
        <v>293</v>
      </c>
    </row>
    <row r="67" spans="4:5" ht="20.100000000000001" customHeight="1" x14ac:dyDescent="0.25">
      <c r="D67" s="35" t="s">
        <v>296</v>
      </c>
      <c r="E67" s="35" t="s">
        <v>297</v>
      </c>
    </row>
    <row r="68" spans="4:5" ht="20.100000000000001" customHeight="1" x14ac:dyDescent="0.25">
      <c r="D68" s="35" t="s">
        <v>298</v>
      </c>
      <c r="E68" s="35" t="s">
        <v>293</v>
      </c>
    </row>
    <row r="69" spans="4:5" ht="20.100000000000001" customHeight="1" x14ac:dyDescent="0.25">
      <c r="D69" s="35" t="s">
        <v>299</v>
      </c>
      <c r="E69" s="35" t="s">
        <v>297</v>
      </c>
    </row>
    <row r="70" spans="4:5" ht="20.100000000000001" customHeight="1" x14ac:dyDescent="0.25">
      <c r="D70" s="35" t="s">
        <v>300</v>
      </c>
      <c r="E70" s="35" t="s">
        <v>293</v>
      </c>
    </row>
    <row r="71" spans="4:5" ht="20.100000000000001" customHeight="1" x14ac:dyDescent="0.25">
      <c r="D71" s="35" t="s">
        <v>301</v>
      </c>
      <c r="E71" s="35" t="s">
        <v>297</v>
      </c>
    </row>
    <row r="72" spans="4:5" ht="20.100000000000001" customHeight="1" x14ac:dyDescent="0.25">
      <c r="D72" s="35" t="s">
        <v>302</v>
      </c>
      <c r="E72" s="35" t="s">
        <v>293</v>
      </c>
    </row>
    <row r="73" spans="4:5" ht="20.100000000000001" customHeight="1" x14ac:dyDescent="0.25">
      <c r="D73" s="35" t="s">
        <v>303</v>
      </c>
      <c r="E73" s="35" t="s">
        <v>297</v>
      </c>
    </row>
    <row r="74" spans="4:5" ht="20.100000000000001" customHeight="1" x14ac:dyDescent="0.25">
      <c r="D74" s="35" t="s">
        <v>304</v>
      </c>
      <c r="E74" s="35" t="s">
        <v>293</v>
      </c>
    </row>
    <row r="75" spans="4:5" ht="20.100000000000001" customHeight="1" x14ac:dyDescent="0.25">
      <c r="D75" s="35" t="s">
        <v>305</v>
      </c>
      <c r="E75" s="35" t="s">
        <v>297</v>
      </c>
    </row>
    <row r="76" spans="4:5" ht="20.100000000000001" customHeight="1" x14ac:dyDescent="0.25">
      <c r="D76" s="35" t="s">
        <v>306</v>
      </c>
      <c r="E76" s="35" t="s">
        <v>293</v>
      </c>
    </row>
    <row r="77" spans="4:5" ht="20.100000000000001" customHeight="1" x14ac:dyDescent="0.25">
      <c r="D77" s="35" t="s">
        <v>307</v>
      </c>
      <c r="E77" s="35" t="s">
        <v>297</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308</v>
      </c>
    </row>
    <row r="82" spans="4:20" ht="20.100000000000001" customHeight="1" x14ac:dyDescent="0.25">
      <c r="D82" s="5" t="s">
        <v>309</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22</v>
      </c>
      <c r="F89" s="35" t="s">
        <v>23</v>
      </c>
      <c r="G89" s="35" t="s">
        <v>24</v>
      </c>
      <c r="H89" s="35" t="s">
        <v>25</v>
      </c>
      <c r="I89" s="35" t="s">
        <v>26</v>
      </c>
      <c r="J89" s="35" t="s">
        <v>27</v>
      </c>
      <c r="K89" s="35" t="s">
        <v>28</v>
      </c>
      <c r="L89" s="35" t="s">
        <v>29</v>
      </c>
      <c r="M89" s="35" t="s">
        <v>30</v>
      </c>
      <c r="N89" s="35" t="s">
        <v>31</v>
      </c>
      <c r="O89" s="35" t="s">
        <v>35</v>
      </c>
      <c r="P89" s="35" t="s">
        <v>32</v>
      </c>
      <c r="Q89" s="35" t="s">
        <v>36</v>
      </c>
      <c r="R89" s="35" t="s">
        <v>33</v>
      </c>
      <c r="S89" s="35" t="s">
        <v>37</v>
      </c>
      <c r="T89" s="35"/>
    </row>
    <row r="90" spans="4:20" ht="20.100000000000001" customHeight="1" x14ac:dyDescent="0.25">
      <c r="D90" s="35" t="s">
        <v>292</v>
      </c>
      <c r="E90" s="35" t="s">
        <v>310</v>
      </c>
      <c r="F90" s="35" t="s">
        <v>311</v>
      </c>
      <c r="G90" s="35" t="s">
        <v>312</v>
      </c>
      <c r="H90" s="35" t="s">
        <v>313</v>
      </c>
      <c r="I90" s="35" t="s">
        <v>311</v>
      </c>
      <c r="J90" s="35">
        <v>18.001000000000001</v>
      </c>
      <c r="K90" s="35">
        <v>999999</v>
      </c>
      <c r="L90" s="35">
        <v>-999999</v>
      </c>
      <c r="M90" s="35">
        <v>999999</v>
      </c>
      <c r="N90" s="35">
        <v>-999999</v>
      </c>
      <c r="O90" s="35">
        <v>7</v>
      </c>
      <c r="P90" s="35">
        <v>1000</v>
      </c>
      <c r="Q90" s="35">
        <v>999999</v>
      </c>
      <c r="R90" s="35">
        <v>-999999</v>
      </c>
      <c r="S90" s="35">
        <v>999999</v>
      </c>
      <c r="T90" s="35"/>
    </row>
    <row r="91" spans="4:20" ht="20.100000000000001" customHeight="1" x14ac:dyDescent="0.25">
      <c r="D91" s="35" t="s">
        <v>294</v>
      </c>
      <c r="E91" s="35" t="s">
        <v>310</v>
      </c>
      <c r="F91" s="35" t="s">
        <v>314</v>
      </c>
      <c r="G91" s="35" t="s">
        <v>312</v>
      </c>
      <c r="H91" s="35" t="s">
        <v>315</v>
      </c>
      <c r="I91" s="35" t="s">
        <v>311</v>
      </c>
      <c r="J91" s="35">
        <v>18.001000000000001</v>
      </c>
      <c r="K91" s="35">
        <v>999999</v>
      </c>
      <c r="L91" s="35">
        <v>2000.001</v>
      </c>
      <c r="M91" s="35">
        <v>999999</v>
      </c>
      <c r="N91" s="35">
        <v>-999999</v>
      </c>
      <c r="O91" s="35">
        <v>7</v>
      </c>
      <c r="P91" s="35">
        <v>-999999</v>
      </c>
      <c r="Q91" s="35">
        <v>999.99900000000002</v>
      </c>
      <c r="R91" s="35">
        <v>-999999</v>
      </c>
      <c r="S91" s="35">
        <v>999999</v>
      </c>
      <c r="T91" s="35"/>
    </row>
    <row r="92" spans="4:20" ht="20.100000000000001" customHeight="1" x14ac:dyDescent="0.25">
      <c r="D92" s="35" t="s">
        <v>295</v>
      </c>
      <c r="E92" s="35" t="s">
        <v>310</v>
      </c>
      <c r="F92" s="35" t="s">
        <v>316</v>
      </c>
      <c r="G92" s="35" t="s">
        <v>312</v>
      </c>
      <c r="H92" s="35" t="s">
        <v>315</v>
      </c>
      <c r="I92" s="35" t="s">
        <v>311</v>
      </c>
      <c r="J92" s="35">
        <v>18.001000000000001</v>
      </c>
      <c r="K92" s="35">
        <v>999999</v>
      </c>
      <c r="L92" s="35">
        <v>1000.001</v>
      </c>
      <c r="M92" s="35">
        <v>2000</v>
      </c>
      <c r="N92" s="35">
        <v>-999999</v>
      </c>
      <c r="O92" s="35">
        <v>7</v>
      </c>
      <c r="P92" s="35">
        <v>-999999</v>
      </c>
      <c r="Q92" s="35">
        <v>999.99900000000002</v>
      </c>
      <c r="R92" s="35">
        <v>-999999</v>
      </c>
      <c r="S92" s="35">
        <v>999999</v>
      </c>
      <c r="T92" s="35"/>
    </row>
    <row r="93" spans="4:20" ht="20.100000000000001" customHeight="1" x14ac:dyDescent="0.25">
      <c r="D93" s="35" t="s">
        <v>296</v>
      </c>
      <c r="E93" s="35" t="s">
        <v>310</v>
      </c>
      <c r="F93" s="35" t="s">
        <v>317</v>
      </c>
      <c r="G93" s="35" t="s">
        <v>312</v>
      </c>
      <c r="H93" s="35" t="s">
        <v>315</v>
      </c>
      <c r="I93" s="35" t="s">
        <v>311</v>
      </c>
      <c r="J93" s="35">
        <v>18.001000000000001</v>
      </c>
      <c r="K93" s="35">
        <v>999999</v>
      </c>
      <c r="L93" s="35">
        <v>-999999</v>
      </c>
      <c r="M93" s="35">
        <v>1000</v>
      </c>
      <c r="N93" s="35">
        <v>-999999</v>
      </c>
      <c r="O93" s="35">
        <v>7</v>
      </c>
      <c r="P93" s="35">
        <v>-999999</v>
      </c>
      <c r="Q93" s="35">
        <v>999.99900000000002</v>
      </c>
      <c r="R93" s="35">
        <v>-999999</v>
      </c>
      <c r="S93" s="35">
        <v>999999</v>
      </c>
      <c r="T93" s="35"/>
    </row>
    <row r="94" spans="4:20" ht="20.100000000000001" customHeight="1" x14ac:dyDescent="0.25">
      <c r="D94" s="35" t="s">
        <v>298</v>
      </c>
      <c r="E94" s="35" t="s">
        <v>318</v>
      </c>
      <c r="F94" s="35" t="s">
        <v>311</v>
      </c>
      <c r="G94" s="35" t="s">
        <v>311</v>
      </c>
      <c r="H94" s="35" t="s">
        <v>311</v>
      </c>
      <c r="I94" s="35" t="s">
        <v>319</v>
      </c>
      <c r="J94" s="35">
        <v>10.000999999999999</v>
      </c>
      <c r="K94" s="35">
        <v>999999</v>
      </c>
      <c r="L94" s="35">
        <v>-999999</v>
      </c>
      <c r="M94" s="35">
        <v>999999</v>
      </c>
      <c r="N94" s="35">
        <v>-999999</v>
      </c>
      <c r="O94" s="35">
        <v>999999</v>
      </c>
      <c r="P94" s="35">
        <v>-999999</v>
      </c>
      <c r="Q94" s="35">
        <v>999999</v>
      </c>
      <c r="R94" s="35">
        <v>1.0009999999999999</v>
      </c>
      <c r="S94" s="35">
        <v>999999</v>
      </c>
      <c r="T94" s="35"/>
    </row>
    <row r="95" spans="4:20" ht="20.100000000000001" customHeight="1" x14ac:dyDescent="0.25">
      <c r="D95" s="35" t="s">
        <v>299</v>
      </c>
      <c r="E95" s="35" t="s">
        <v>318</v>
      </c>
      <c r="F95" s="35" t="s">
        <v>311</v>
      </c>
      <c r="G95" s="35" t="s">
        <v>311</v>
      </c>
      <c r="H95" s="35" t="s">
        <v>311</v>
      </c>
      <c r="I95" s="35" t="s">
        <v>320</v>
      </c>
      <c r="J95" s="35">
        <v>10.000999999999999</v>
      </c>
      <c r="K95" s="35">
        <v>999999</v>
      </c>
      <c r="L95" s="35">
        <v>-999999</v>
      </c>
      <c r="M95" s="35">
        <v>999999</v>
      </c>
      <c r="N95" s="35">
        <v>-999999</v>
      </c>
      <c r="O95" s="35">
        <v>999999</v>
      </c>
      <c r="P95" s="35">
        <v>-999999</v>
      </c>
      <c r="Q95" s="35">
        <v>999999</v>
      </c>
      <c r="R95" s="35">
        <v>-999999</v>
      </c>
      <c r="S95" s="35">
        <v>1</v>
      </c>
      <c r="T95" s="35"/>
    </row>
    <row r="96" spans="4:20" ht="20.100000000000001" customHeight="1" x14ac:dyDescent="0.25">
      <c r="D96" s="35" t="s">
        <v>300</v>
      </c>
      <c r="E96" s="35" t="s">
        <v>321</v>
      </c>
      <c r="F96" s="35" t="s">
        <v>311</v>
      </c>
      <c r="G96" s="35" t="s">
        <v>311</v>
      </c>
      <c r="H96" s="35" t="s">
        <v>311</v>
      </c>
      <c r="I96" s="35" t="s">
        <v>319</v>
      </c>
      <c r="J96" s="35">
        <v>-999999</v>
      </c>
      <c r="K96" s="35">
        <v>10</v>
      </c>
      <c r="L96" s="35">
        <v>-999999</v>
      </c>
      <c r="M96" s="35">
        <v>999999</v>
      </c>
      <c r="N96" s="35">
        <v>-999999</v>
      </c>
      <c r="O96" s="35">
        <v>999999</v>
      </c>
      <c r="P96" s="35">
        <v>-999999</v>
      </c>
      <c r="Q96" s="35">
        <v>999999</v>
      </c>
      <c r="R96" s="35">
        <v>1.0009999999999999</v>
      </c>
      <c r="S96" s="35">
        <v>999999</v>
      </c>
      <c r="T96" s="35"/>
    </row>
    <row r="97" spans="4:20" ht="20.100000000000001" customHeight="1" x14ac:dyDescent="0.25">
      <c r="D97" s="35" t="s">
        <v>301</v>
      </c>
      <c r="E97" s="35" t="s">
        <v>321</v>
      </c>
      <c r="F97" s="35" t="s">
        <v>311</v>
      </c>
      <c r="G97" s="35" t="s">
        <v>311</v>
      </c>
      <c r="H97" s="35" t="s">
        <v>311</v>
      </c>
      <c r="I97" s="35" t="s">
        <v>320</v>
      </c>
      <c r="J97" s="35">
        <v>-999999</v>
      </c>
      <c r="K97" s="35">
        <v>10</v>
      </c>
      <c r="L97" s="35">
        <v>-999999</v>
      </c>
      <c r="M97" s="35">
        <v>999999</v>
      </c>
      <c r="N97" s="35">
        <v>-999999</v>
      </c>
      <c r="O97" s="35">
        <v>999999</v>
      </c>
      <c r="P97" s="35">
        <v>-999999</v>
      </c>
      <c r="Q97" s="35">
        <v>999999</v>
      </c>
      <c r="R97" s="35">
        <v>-999999</v>
      </c>
      <c r="S97" s="35">
        <v>1</v>
      </c>
      <c r="T97" s="35"/>
    </row>
    <row r="98" spans="4:20" ht="20.100000000000001" customHeight="1" x14ac:dyDescent="0.25"/>
    <row r="99" spans="4:20" ht="20.100000000000001" customHeight="1" x14ac:dyDescent="0.25">
      <c r="D99" s="49" t="s">
        <v>322</v>
      </c>
    </row>
    <row r="100" spans="4:20" ht="20.100000000000001" customHeight="1" x14ac:dyDescent="0.25">
      <c r="D100" s="49" t="s">
        <v>323</v>
      </c>
    </row>
    <row r="101" spans="4:20" ht="20.100000000000001" customHeight="1" x14ac:dyDescent="0.25">
      <c r="D101" s="49" t="s">
        <v>324</v>
      </c>
    </row>
    <row r="102" spans="4:20" ht="20.100000000000001" customHeight="1" x14ac:dyDescent="0.25">
      <c r="D102" s="49" t="s">
        <v>325</v>
      </c>
    </row>
    <row r="103" spans="4:20" ht="20.100000000000001" customHeight="1" x14ac:dyDescent="0.25">
      <c r="D103" s="49"/>
    </row>
    <row r="104" spans="4:20" ht="20.100000000000001" customHeight="1" x14ac:dyDescent="0.25"/>
    <row r="105" spans="4:20" ht="20.100000000000001" customHeight="1" x14ac:dyDescent="0.25">
      <c r="D105" s="6" t="s">
        <v>326</v>
      </c>
    </row>
    <row r="106" spans="4:20" ht="20.100000000000001" customHeight="1" x14ac:dyDescent="0.25">
      <c r="D106" s="5" t="s">
        <v>309</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39</v>
      </c>
      <c r="E109" s="35" t="s">
        <v>22</v>
      </c>
      <c r="F109" s="35" t="s">
        <v>40</v>
      </c>
      <c r="G109" s="35" t="s">
        <v>41</v>
      </c>
    </row>
    <row r="110" spans="4:20" ht="20.100000000000001" customHeight="1" x14ac:dyDescent="0.25">
      <c r="D110" s="35" t="s">
        <v>327</v>
      </c>
      <c r="E110" s="35" t="s">
        <v>328</v>
      </c>
      <c r="F110" s="35">
        <v>26</v>
      </c>
      <c r="G110" s="35">
        <v>999999</v>
      </c>
    </row>
    <row r="111" spans="4:20" ht="20.100000000000001" customHeight="1" x14ac:dyDescent="0.25">
      <c r="D111" s="35" t="s">
        <v>329</v>
      </c>
      <c r="E111" s="35" t="s">
        <v>330</v>
      </c>
      <c r="F111" s="35">
        <v>15</v>
      </c>
      <c r="G111" s="35">
        <v>25.998999999999999</v>
      </c>
    </row>
    <row r="112" spans="4:20" ht="20.100000000000001" customHeight="1" x14ac:dyDescent="0.25">
      <c r="D112" s="35" t="s">
        <v>331</v>
      </c>
      <c r="E112" s="35" t="s">
        <v>332</v>
      </c>
      <c r="F112" s="35">
        <v>-999999</v>
      </c>
      <c r="G112" s="35">
        <v>14.999000000000001</v>
      </c>
    </row>
    <row r="113" spans="4:66" ht="20.100000000000001" customHeight="1" x14ac:dyDescent="0.25"/>
    <row r="114" spans="4:66" ht="20.100000000000001" customHeight="1" x14ac:dyDescent="0.25"/>
    <row r="115" spans="4:66" ht="20.100000000000001" customHeight="1" x14ac:dyDescent="0.25">
      <c r="D115" s="6" t="s">
        <v>333</v>
      </c>
      <c r="BN115" s="7"/>
    </row>
    <row r="116" spans="4:66" ht="20.100000000000001" customHeight="1" x14ac:dyDescent="0.25">
      <c r="D116" s="5" t="s">
        <v>309</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42</v>
      </c>
      <c r="E119" s="35" t="s">
        <v>43</v>
      </c>
      <c r="F119" s="35" t="s">
        <v>29</v>
      </c>
      <c r="G119" s="35" t="s">
        <v>30</v>
      </c>
      <c r="BN119" s="7"/>
    </row>
    <row r="120" spans="4:66" ht="20.100000000000001" customHeight="1" x14ac:dyDescent="0.25">
      <c r="D120" s="35" t="s">
        <v>334</v>
      </c>
      <c r="E120" s="35" t="s">
        <v>335</v>
      </c>
      <c r="F120" s="35">
        <v>600.00099999999998</v>
      </c>
      <c r="G120" s="35">
        <v>999999</v>
      </c>
      <c r="BN120" s="7"/>
    </row>
    <row r="121" spans="4:66" ht="20.100000000000001" customHeight="1" x14ac:dyDescent="0.25">
      <c r="D121" s="35" t="s">
        <v>336</v>
      </c>
      <c r="E121" s="35" t="s">
        <v>337</v>
      </c>
      <c r="F121" s="35">
        <v>-999999</v>
      </c>
      <c r="G121" s="35">
        <v>600</v>
      </c>
      <c r="BN121" s="7"/>
    </row>
    <row r="122" spans="4:66" ht="20.100000000000001" customHeight="1" x14ac:dyDescent="0.25">
      <c r="BN122" s="7"/>
    </row>
    <row r="123" spans="4:66" ht="20.100000000000001" customHeight="1" x14ac:dyDescent="0.25"/>
    <row r="124" spans="4:66" ht="20.100000000000001" customHeight="1" x14ac:dyDescent="0.25">
      <c r="D124" s="6" t="s">
        <v>338</v>
      </c>
    </row>
    <row r="125" spans="4:66" ht="20.100000000000001" customHeight="1" x14ac:dyDescent="0.25">
      <c r="D125" s="5" t="s">
        <v>309</v>
      </c>
    </row>
    <row r="126" spans="4:66" ht="20.100000000000001" customHeight="1" x14ac:dyDescent="0.25"/>
    <row r="127" spans="4:66" ht="20.100000000000001" customHeight="1" x14ac:dyDescent="0.25">
      <c r="D127" s="35" t="s">
        <v>44</v>
      </c>
      <c r="E127" s="35" t="s">
        <v>45</v>
      </c>
    </row>
    <row r="128" spans="4:66" ht="20.100000000000001" customHeight="1" x14ac:dyDescent="0.25">
      <c r="D128" s="35" t="s">
        <v>339</v>
      </c>
      <c r="E128" s="35" t="s">
        <v>340</v>
      </c>
    </row>
    <row r="129" spans="4:77" ht="20.100000000000001" customHeight="1" x14ac:dyDescent="0.25">
      <c r="D129" s="35" t="s">
        <v>341</v>
      </c>
      <c r="E129" s="35" t="s">
        <v>342</v>
      </c>
    </row>
    <row r="130" spans="4:77" ht="20.100000000000001" customHeight="1" x14ac:dyDescent="0.25"/>
    <row r="131" spans="4:77" ht="20.100000000000001" customHeight="1" x14ac:dyDescent="0.25"/>
    <row r="132" spans="4:77" ht="20.100000000000001" customHeight="1" x14ac:dyDescent="0.25">
      <c r="D132" s="6" t="s">
        <v>343</v>
      </c>
      <c r="E132" s="22"/>
    </row>
    <row r="133" spans="4:77" ht="20.100000000000001" customHeight="1" x14ac:dyDescent="0.25">
      <c r="D133" s="5" t="s">
        <v>344</v>
      </c>
      <c r="E133" s="22"/>
    </row>
    <row r="134" spans="4:77" ht="20.100000000000001" customHeight="1" x14ac:dyDescent="0.25">
      <c r="D134" t="s">
        <v>55</v>
      </c>
      <c r="E134" t="s">
        <v>56</v>
      </c>
    </row>
    <row r="135" spans="4:77" ht="20.100000000000001" customHeight="1" x14ac:dyDescent="0.25">
      <c r="D135" t="s">
        <v>345</v>
      </c>
      <c r="E135">
        <v>1</v>
      </c>
    </row>
    <row r="136" spans="4:77" ht="20.100000000000001" customHeight="1" x14ac:dyDescent="0.25">
      <c r="D136" s="1" t="s">
        <v>346</v>
      </c>
      <c r="E136" s="35">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347</v>
      </c>
      <c r="BN139" s="7"/>
      <c r="BO139" s="7"/>
      <c r="BP139" s="7"/>
      <c r="BQ139" s="7"/>
      <c r="BR139" s="7"/>
      <c r="BS139" s="7"/>
      <c r="BT139" s="7"/>
      <c r="BU139" s="7"/>
      <c r="BV139" s="7"/>
      <c r="BW139" s="7"/>
      <c r="BX139" s="7"/>
      <c r="BY139" s="7"/>
    </row>
    <row r="140" spans="4:77" ht="20.100000000000001" customHeight="1" x14ac:dyDescent="0.25">
      <c r="D140" s="5" t="s">
        <v>348</v>
      </c>
      <c r="BN140" s="7"/>
      <c r="BO140" s="7"/>
      <c r="BP140" s="7"/>
      <c r="BQ140" s="7"/>
      <c r="BR140" s="7"/>
      <c r="BS140" s="7"/>
      <c r="BT140" s="7"/>
      <c r="BU140" s="7"/>
      <c r="BV140" s="7"/>
      <c r="BW140" s="7"/>
      <c r="BX140" s="7"/>
      <c r="BY140" s="7"/>
    </row>
    <row r="141" spans="4:77" ht="20.100000000000001" customHeight="1" x14ac:dyDescent="0.25">
      <c r="D141" s="50" t="s">
        <v>349</v>
      </c>
      <c r="BN141" s="7"/>
    </row>
    <row r="142" spans="4:77" ht="20.100000000000001" customHeight="1" x14ac:dyDescent="0.25">
      <c r="D142" s="35" t="s">
        <v>71</v>
      </c>
      <c r="E142" s="35" t="s">
        <v>56</v>
      </c>
      <c r="BN142" s="7"/>
    </row>
    <row r="143" spans="4:77" ht="20.100000000000001" customHeight="1" x14ac:dyDescent="0.25">
      <c r="D143" s="35" t="s">
        <v>350</v>
      </c>
      <c r="E143" s="35">
        <v>0</v>
      </c>
      <c r="BN143" s="7"/>
    </row>
    <row r="144" spans="4:77" ht="20.100000000000001" customHeight="1" x14ac:dyDescent="0.25">
      <c r="D144" s="1" t="s">
        <v>351</v>
      </c>
      <c r="E144" s="35">
        <v>0</v>
      </c>
      <c r="BN144" s="7"/>
    </row>
    <row r="145" spans="4:66" ht="20.100000000000001" customHeight="1" x14ac:dyDescent="0.25">
      <c r="D145" s="1" t="s">
        <v>352</v>
      </c>
      <c r="E145" s="35">
        <v>1</v>
      </c>
      <c r="BN145" s="7"/>
    </row>
    <row r="146" spans="4:66" ht="20.100000000000001" customHeight="1" x14ac:dyDescent="0.25">
      <c r="D146" s="1" t="s">
        <v>353</v>
      </c>
      <c r="E146" s="35">
        <v>1</v>
      </c>
      <c r="BN146" s="7"/>
    </row>
    <row r="147" spans="4:66" ht="20.100000000000001" customHeight="1" x14ac:dyDescent="0.25">
      <c r="D147" s="1" t="s">
        <v>354</v>
      </c>
      <c r="E147" s="35">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355</v>
      </c>
      <c r="BN150" s="7"/>
    </row>
    <row r="151" spans="4:66" ht="20.100000000000001" customHeight="1" x14ac:dyDescent="0.25">
      <c r="D151" s="5" t="s">
        <v>356</v>
      </c>
      <c r="BN151" s="7"/>
    </row>
    <row r="152" spans="4:66" ht="20.100000000000001" customHeight="1" x14ac:dyDescent="0.25">
      <c r="BN152" s="7"/>
    </row>
    <row r="153" spans="4:66" ht="20.100000000000001" customHeight="1" x14ac:dyDescent="0.25">
      <c r="D153" s="35" t="s">
        <v>46</v>
      </c>
      <c r="E153" s="35" t="s">
        <v>47</v>
      </c>
      <c r="BC153" s="3"/>
      <c r="BD153" s="3"/>
      <c r="BE153" s="3"/>
      <c r="BF153" s="3"/>
      <c r="BG153" s="3"/>
      <c r="BH153" s="3"/>
      <c r="BI153" s="3"/>
      <c r="BJ153" s="3"/>
      <c r="BK153" s="3"/>
      <c r="BL153" s="3"/>
      <c r="BM153" s="3"/>
    </row>
    <row r="154" spans="4:66" ht="20.100000000000001" customHeight="1" x14ac:dyDescent="0.25">
      <c r="D154" s="35" t="s">
        <v>357</v>
      </c>
      <c r="E154" s="35">
        <v>1</v>
      </c>
      <c r="BC154" s="3"/>
      <c r="BD154" s="3"/>
      <c r="BE154" s="3"/>
      <c r="BF154" s="3"/>
      <c r="BG154" s="3"/>
      <c r="BH154" s="3"/>
      <c r="BI154" s="3"/>
      <c r="BJ154" s="3"/>
      <c r="BK154" s="3"/>
      <c r="BL154" s="3"/>
      <c r="BM154" s="3"/>
    </row>
    <row r="155" spans="4:66" ht="20.100000000000001" customHeight="1" x14ac:dyDescent="0.25">
      <c r="D155" s="35" t="s">
        <v>358</v>
      </c>
      <c r="E155" s="35">
        <v>2</v>
      </c>
      <c r="BC155" s="3"/>
      <c r="BD155" s="3"/>
      <c r="BE155" s="3"/>
      <c r="BF155" s="3"/>
      <c r="BG155" s="3"/>
      <c r="BH155" s="3"/>
      <c r="BI155" s="3"/>
      <c r="BJ155" s="3"/>
      <c r="BK155" s="3"/>
      <c r="BL155" s="3"/>
      <c r="BM155" s="3"/>
    </row>
    <row r="156" spans="4:66" ht="20.100000000000001" customHeight="1" x14ac:dyDescent="0.25">
      <c r="D156" s="35" t="s">
        <v>359</v>
      </c>
      <c r="E156" s="35">
        <v>3</v>
      </c>
    </row>
    <row r="157" spans="4:66" ht="20.100000000000001" customHeight="1" x14ac:dyDescent="0.25">
      <c r="D157" s="35" t="s">
        <v>360</v>
      </c>
      <c r="E157" s="35">
        <v>4</v>
      </c>
    </row>
    <row r="158" spans="4:66" ht="20.100000000000001" customHeight="1" x14ac:dyDescent="0.25">
      <c r="D158" s="35" t="s">
        <v>361</v>
      </c>
      <c r="E158" s="35">
        <v>5</v>
      </c>
    </row>
    <row r="159" spans="4:66" ht="20.100000000000001" customHeight="1" x14ac:dyDescent="0.25"/>
    <row r="160" spans="4:66" ht="20.100000000000001" customHeight="1" x14ac:dyDescent="0.25"/>
    <row r="161" spans="4:68" ht="20.100000000000001" customHeight="1" x14ac:dyDescent="0.25">
      <c r="D161" s="6" t="s">
        <v>343</v>
      </c>
      <c r="E161" s="22"/>
    </row>
    <row r="162" spans="4:68" ht="20.100000000000001" customHeight="1" x14ac:dyDescent="0.25">
      <c r="D162" s="5" t="s">
        <v>344</v>
      </c>
      <c r="E162" s="22"/>
    </row>
    <row r="163" spans="4:68" ht="20.100000000000001" customHeight="1" x14ac:dyDescent="0.25">
      <c r="D163" s="5" t="s">
        <v>362</v>
      </c>
      <c r="E163" s="22"/>
    </row>
    <row r="164" spans="4:68" ht="20.100000000000001" customHeight="1" x14ac:dyDescent="0.25">
      <c r="D164" s="22" t="s">
        <v>363</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364</v>
      </c>
      <c r="BN167" s="7"/>
      <c r="BO167" s="7"/>
      <c r="BP167" s="7"/>
    </row>
    <row r="168" spans="4:68" ht="20.100000000000001" customHeight="1" x14ac:dyDescent="0.25">
      <c r="D168" s="5" t="s">
        <v>344</v>
      </c>
      <c r="BN168" s="7"/>
      <c r="BO168" s="7"/>
      <c r="BP168" s="7"/>
    </row>
    <row r="169" spans="4:68" ht="20.100000000000001" customHeight="1" x14ac:dyDescent="0.25">
      <c r="D169" s="5" t="s">
        <v>365</v>
      </c>
      <c r="BN169" s="7"/>
      <c r="BO169" s="7"/>
      <c r="BP169" s="7"/>
    </row>
    <row r="170" spans="4:68" ht="20.100000000000001" customHeight="1" x14ac:dyDescent="0.25">
      <c r="D170" s="1" t="s">
        <v>366</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367</v>
      </c>
      <c r="BN173" s="7"/>
      <c r="BO173" s="7"/>
      <c r="BP173" s="7"/>
    </row>
    <row r="174" spans="4:68" ht="20.100000000000001" customHeight="1" x14ac:dyDescent="0.25">
      <c r="D174" s="5" t="s">
        <v>368</v>
      </c>
      <c r="BN174" s="7"/>
      <c r="BO174" s="7"/>
      <c r="BP174" s="7"/>
    </row>
    <row r="175" spans="4:68" ht="20.100000000000001" customHeight="1" x14ac:dyDescent="0.25">
      <c r="D175" s="1">
        <v>0.6784</v>
      </c>
      <c r="E175" s="49" t="s">
        <v>369</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370</v>
      </c>
      <c r="BN178" s="7"/>
      <c r="BO178" s="7"/>
      <c r="BP178" s="7"/>
    </row>
    <row r="179" spans="4:68" ht="20.100000000000001" customHeight="1" x14ac:dyDescent="0.25">
      <c r="D179" s="5" t="s">
        <v>371</v>
      </c>
      <c r="BN179" s="7"/>
      <c r="BO179" s="7"/>
      <c r="BP179" s="7"/>
    </row>
    <row r="180" spans="4:68" ht="20.100000000000001" customHeight="1" x14ac:dyDescent="0.25">
      <c r="D180" s="49" t="s">
        <v>372</v>
      </c>
    </row>
    <row r="181" spans="4:68" ht="20.100000000000001" customHeight="1" x14ac:dyDescent="0.25">
      <c r="D181" s="50" t="s">
        <v>373</v>
      </c>
    </row>
    <row r="182" spans="4:68" ht="20.100000000000001" customHeight="1" x14ac:dyDescent="0.25">
      <c r="D182" s="50" t="s">
        <v>374</v>
      </c>
    </row>
    <row r="183" spans="4:68" ht="20.100000000000001" customHeight="1" x14ac:dyDescent="0.25">
      <c r="D183" s="50" t="s">
        <v>375</v>
      </c>
    </row>
    <row r="184" spans="4:68" ht="20.100000000000001" customHeight="1" x14ac:dyDescent="0.25">
      <c r="D184" s="50" t="s">
        <v>376</v>
      </c>
    </row>
    <row r="185" spans="4:68" ht="20.100000000000001" customHeight="1" x14ac:dyDescent="0.25">
      <c r="D185" s="50" t="s">
        <v>377</v>
      </c>
    </row>
    <row r="186" spans="4:68" ht="20.100000000000001" customHeight="1" x14ac:dyDescent="0.25">
      <c r="D186" s="35" t="s">
        <v>63</v>
      </c>
      <c r="E186" s="35" t="s">
        <v>64</v>
      </c>
      <c r="F186" s="35" t="s">
        <v>65</v>
      </c>
      <c r="G186" s="35" t="s">
        <v>66</v>
      </c>
      <c r="H186" s="35" t="s">
        <v>21</v>
      </c>
    </row>
    <row r="187" spans="4:68" ht="20.100000000000001" customHeight="1" x14ac:dyDescent="0.25">
      <c r="D187" s="35" t="s">
        <v>378</v>
      </c>
      <c r="E187" s="35">
        <v>5.8999999999999999E-3</v>
      </c>
      <c r="F187" s="35" t="s">
        <v>379</v>
      </c>
      <c r="G187" s="35" t="s">
        <v>311</v>
      </c>
      <c r="H187" s="35" t="s">
        <v>311</v>
      </c>
    </row>
    <row r="188" spans="4:68" ht="20.100000000000001" customHeight="1" x14ac:dyDescent="0.25">
      <c r="D188" s="35" t="s">
        <v>380</v>
      </c>
      <c r="E188" s="35">
        <v>7.0000000000000001E-3</v>
      </c>
      <c r="F188" s="35" t="s">
        <v>381</v>
      </c>
      <c r="G188" s="35" t="s">
        <v>311</v>
      </c>
      <c r="H188" s="35" t="s">
        <v>311</v>
      </c>
    </row>
    <row r="189" spans="4:68" ht="20.100000000000001" customHeight="1" x14ac:dyDescent="0.25">
      <c r="D189" s="35" t="s">
        <v>382</v>
      </c>
      <c r="E189" s="35">
        <v>1.8E-3</v>
      </c>
      <c r="F189" s="35" t="s">
        <v>379</v>
      </c>
      <c r="G189" s="35" t="s">
        <v>350</v>
      </c>
      <c r="H189" s="35" t="s">
        <v>336</v>
      </c>
    </row>
    <row r="190" spans="4:68" ht="20.100000000000001" customHeight="1" x14ac:dyDescent="0.25">
      <c r="D190" s="35" t="s">
        <v>382</v>
      </c>
      <c r="E190" s="35">
        <v>1.8E-3</v>
      </c>
      <c r="F190" s="35" t="s">
        <v>379</v>
      </c>
      <c r="G190" s="35" t="s">
        <v>350</v>
      </c>
      <c r="H190" s="35" t="s">
        <v>334</v>
      </c>
    </row>
    <row r="191" spans="4:68" ht="20.100000000000001" customHeight="1" x14ac:dyDescent="0.25">
      <c r="D191" s="35" t="s">
        <v>383</v>
      </c>
      <c r="E191" s="35">
        <v>2.8999999999999998E-3</v>
      </c>
      <c r="F191" s="35" t="s">
        <v>381</v>
      </c>
      <c r="G191" s="35" t="s">
        <v>350</v>
      </c>
      <c r="H191" s="35" t="s">
        <v>336</v>
      </c>
    </row>
    <row r="192" spans="4:68" ht="20.100000000000001" customHeight="1" x14ac:dyDescent="0.25">
      <c r="D192" s="35" t="s">
        <v>384</v>
      </c>
      <c r="E192" s="35">
        <v>8.0000000000000002E-3</v>
      </c>
      <c r="F192" s="35" t="s">
        <v>381</v>
      </c>
      <c r="G192" s="35" t="s">
        <v>350</v>
      </c>
      <c r="H192" s="35" t="s">
        <v>334</v>
      </c>
    </row>
    <row r="193" spans="4:8" ht="20.100000000000001" customHeight="1" x14ac:dyDescent="0.25">
      <c r="D193" s="35" t="s">
        <v>385</v>
      </c>
      <c r="E193" s="35">
        <v>1.9900000000000001E-2</v>
      </c>
      <c r="F193" s="35" t="s">
        <v>385</v>
      </c>
      <c r="G193" s="35" t="s">
        <v>311</v>
      </c>
      <c r="H193" s="35" t="s">
        <v>311</v>
      </c>
    </row>
    <row r="194" spans="4:8" ht="20.100000000000001" customHeight="1" x14ac:dyDescent="0.25">
      <c r="D194" s="35" t="s">
        <v>386</v>
      </c>
      <c r="E194" s="35">
        <v>5.3E-3</v>
      </c>
      <c r="F194" s="35" t="s">
        <v>386</v>
      </c>
      <c r="G194" s="35" t="s">
        <v>311</v>
      </c>
      <c r="H194" s="35" t="s">
        <v>311</v>
      </c>
    </row>
    <row r="195" spans="4:8" ht="20.100000000000001" customHeight="1" x14ac:dyDescent="0.25">
      <c r="D195" s="35" t="s">
        <v>387</v>
      </c>
      <c r="E195" s="35">
        <v>6.4000000000000003E-3</v>
      </c>
      <c r="F195" s="35" t="s">
        <v>387</v>
      </c>
      <c r="G195" s="35" t="s">
        <v>311</v>
      </c>
      <c r="H195" s="35" t="s">
        <v>311</v>
      </c>
    </row>
    <row r="196" spans="4:8" ht="20.100000000000001" customHeight="1" x14ac:dyDescent="0.25">
      <c r="D196" s="35" t="s">
        <v>388</v>
      </c>
      <c r="E196" s="35">
        <v>3.0000000000000001E-3</v>
      </c>
      <c r="F196" s="35" t="s">
        <v>389</v>
      </c>
      <c r="G196" s="35" t="s">
        <v>390</v>
      </c>
      <c r="H196" s="35" t="s">
        <v>311</v>
      </c>
    </row>
    <row r="197" spans="4:8" x14ac:dyDescent="0.25">
      <c r="D197" s="35" t="s">
        <v>391</v>
      </c>
      <c r="E197" s="35">
        <v>5.0000000000000001E-3</v>
      </c>
      <c r="F197" s="35" t="s">
        <v>389</v>
      </c>
      <c r="G197" s="35" t="s">
        <v>392</v>
      </c>
      <c r="H197" s="35" t="s">
        <v>311</v>
      </c>
    </row>
    <row r="198" spans="4:8" x14ac:dyDescent="0.25">
      <c r="D198" s="35" t="s">
        <v>393</v>
      </c>
      <c r="E198" s="35">
        <v>2.5999999999999999E-3</v>
      </c>
      <c r="F198" s="35" t="s">
        <v>393</v>
      </c>
      <c r="G198" s="35" t="s">
        <v>311</v>
      </c>
      <c r="H198" s="35" t="s">
        <v>311</v>
      </c>
    </row>
    <row r="199" spans="4:8" x14ac:dyDescent="0.25">
      <c r="D199" s="35" t="s">
        <v>394</v>
      </c>
      <c r="E199" s="35">
        <v>1.8E-3</v>
      </c>
      <c r="F199" s="35" t="s">
        <v>394</v>
      </c>
      <c r="G199" s="35" t="s">
        <v>311</v>
      </c>
      <c r="H199" s="35" t="s">
        <v>311</v>
      </c>
    </row>
    <row r="202" spans="4:8" ht="23.25" x14ac:dyDescent="0.25">
      <c r="D202" s="6" t="s">
        <v>395</v>
      </c>
    </row>
    <row r="203" spans="4:8" x14ac:dyDescent="0.25">
      <c r="D203" s="5" t="s">
        <v>396</v>
      </c>
    </row>
    <row r="204" spans="4:8" x14ac:dyDescent="0.25">
      <c r="D204" s="50" t="s">
        <v>397</v>
      </c>
    </row>
    <row r="205" spans="4:8" x14ac:dyDescent="0.25">
      <c r="D205" s="49" t="s">
        <v>398</v>
      </c>
    </row>
    <row r="206" spans="4:8" x14ac:dyDescent="0.25">
      <c r="D206" s="35" t="s">
        <v>6</v>
      </c>
      <c r="E206" s="35" t="s">
        <v>73</v>
      </c>
    </row>
    <row r="207" spans="4:8" x14ac:dyDescent="0.25">
      <c r="D207" s="35" t="s">
        <v>293</v>
      </c>
      <c r="E207" s="35">
        <v>6.0000000000000001E-3</v>
      </c>
    </row>
    <row r="208" spans="4:8" x14ac:dyDescent="0.25">
      <c r="D208" s="1" t="s">
        <v>297</v>
      </c>
      <c r="E208" s="35">
        <v>2E-3</v>
      </c>
    </row>
    <row r="211" spans="4:5" x14ac:dyDescent="0.25">
      <c r="D211" s="1" t="s">
        <v>399</v>
      </c>
    </row>
    <row r="212" spans="4:5" x14ac:dyDescent="0.25">
      <c r="D212" s="35" t="s">
        <v>70</v>
      </c>
      <c r="E212" s="35" t="s">
        <v>78</v>
      </c>
    </row>
    <row r="213" spans="4:5" x14ac:dyDescent="0.25">
      <c r="D213" s="35" t="s">
        <v>400</v>
      </c>
      <c r="E213" s="35" t="s">
        <v>401</v>
      </c>
    </row>
    <row r="214" spans="4:5" x14ac:dyDescent="0.25">
      <c r="D214" s="1" t="s">
        <v>402</v>
      </c>
      <c r="E214" s="35" t="s">
        <v>401</v>
      </c>
    </row>
    <row r="215" spans="4:5" x14ac:dyDescent="0.25">
      <c r="D215" s="1" t="s">
        <v>403</v>
      </c>
      <c r="E215" s="35" t="s">
        <v>404</v>
      </c>
    </row>
    <row r="216" spans="4:5" x14ac:dyDescent="0.25">
      <c r="D216" s="1" t="s">
        <v>405</v>
      </c>
      <c r="E216" s="35" t="s">
        <v>404</v>
      </c>
    </row>
    <row r="217" spans="4:5" x14ac:dyDescent="0.25">
      <c r="D217" s="1" t="s">
        <v>406</v>
      </c>
      <c r="E217" s="35" t="s">
        <v>404</v>
      </c>
    </row>
    <row r="218" spans="4:5" x14ac:dyDescent="0.25">
      <c r="D218" s="1" t="s">
        <v>407</v>
      </c>
      <c r="E218" s="35" t="s">
        <v>408</v>
      </c>
    </row>
    <row r="219" spans="4:5" x14ac:dyDescent="0.25">
      <c r="D219" s="1" t="s">
        <v>409</v>
      </c>
      <c r="E219" s="35" t="s">
        <v>408</v>
      </c>
    </row>
    <row r="220" spans="4:5" x14ac:dyDescent="0.25">
      <c r="D220" s="1" t="s">
        <v>410</v>
      </c>
      <c r="E220" s="35" t="s">
        <v>408</v>
      </c>
    </row>
    <row r="221" spans="4:5" x14ac:dyDescent="0.25">
      <c r="D221" s="1" t="s">
        <v>411</v>
      </c>
      <c r="E221" s="35" t="s">
        <v>412</v>
      </c>
    </row>
    <row r="222" spans="4:5" x14ac:dyDescent="0.25">
      <c r="D222" s="1" t="s">
        <v>413</v>
      </c>
      <c r="E222" s="35" t="s">
        <v>412</v>
      </c>
    </row>
    <row r="223" spans="4:5" x14ac:dyDescent="0.25">
      <c r="D223" s="1" t="s">
        <v>414</v>
      </c>
      <c r="E223" s="35" t="s">
        <v>412</v>
      </c>
    </row>
    <row r="224" spans="4:5" x14ac:dyDescent="0.25">
      <c r="D224" s="1" t="s">
        <v>415</v>
      </c>
      <c r="E224" s="35" t="s">
        <v>401</v>
      </c>
    </row>
    <row r="227" spans="4:19" ht="23.25" x14ac:dyDescent="0.25">
      <c r="D227" s="6" t="s">
        <v>416</v>
      </c>
    </row>
    <row r="228" spans="4:19" x14ac:dyDescent="0.25">
      <c r="D228" s="5" t="s">
        <v>417</v>
      </c>
    </row>
    <row r="229" spans="4:19" x14ac:dyDescent="0.25">
      <c r="D229" s="50" t="s">
        <v>418</v>
      </c>
    </row>
    <row r="231" spans="4:19" x14ac:dyDescent="0.25">
      <c r="D231" s="35" t="s">
        <v>38</v>
      </c>
      <c r="E231" s="35" t="s">
        <v>88</v>
      </c>
      <c r="F231" s="34" t="s">
        <v>89</v>
      </c>
      <c r="G231" s="35" t="s">
        <v>83</v>
      </c>
      <c r="H231" s="35" t="s">
        <v>90</v>
      </c>
      <c r="I231" s="35" t="s">
        <v>91</v>
      </c>
      <c r="J231" s="35" t="s">
        <v>82</v>
      </c>
      <c r="K231" s="35" t="s">
        <v>81</v>
      </c>
      <c r="L231" s="35" t="s">
        <v>92</v>
      </c>
      <c r="M231" s="35" t="s">
        <v>93</v>
      </c>
      <c r="N231" s="35" t="s">
        <v>80</v>
      </c>
      <c r="O231" s="35" t="s">
        <v>94</v>
      </c>
      <c r="P231" s="35" t="s">
        <v>85</v>
      </c>
      <c r="Q231" s="35" t="s">
        <v>86</v>
      </c>
      <c r="R231" s="35" t="s">
        <v>84</v>
      </c>
      <c r="S231" s="35" t="s">
        <v>95</v>
      </c>
    </row>
    <row r="232" spans="4:19" x14ac:dyDescent="0.25">
      <c r="D232" s="35" t="s">
        <v>331</v>
      </c>
      <c r="E232" s="35" t="s">
        <v>419</v>
      </c>
      <c r="F232" s="35">
        <v>0.66</v>
      </c>
      <c r="G232" s="35">
        <v>0.1</v>
      </c>
      <c r="H232" s="35">
        <v>0.1</v>
      </c>
      <c r="I232" s="35">
        <v>1E-3</v>
      </c>
      <c r="J232" s="35">
        <v>5.0000000000000001E-3</v>
      </c>
      <c r="K232" s="35">
        <v>0.02</v>
      </c>
      <c r="L232" s="35">
        <v>0.03</v>
      </c>
      <c r="M232" s="35">
        <v>0.04</v>
      </c>
      <c r="N232" s="35">
        <v>1.4999999999999999E-2</v>
      </c>
      <c r="O232" s="35">
        <v>1.4999999999999999E-2</v>
      </c>
      <c r="P232" s="35">
        <v>0</v>
      </c>
      <c r="Q232" s="35">
        <v>0</v>
      </c>
      <c r="R232" s="35">
        <v>4.7000000000000002E-3</v>
      </c>
      <c r="S232" s="35">
        <v>10</v>
      </c>
    </row>
    <row r="233" spans="4:19" x14ac:dyDescent="0.25">
      <c r="D233" s="1" t="s">
        <v>331</v>
      </c>
      <c r="E233" s="35">
        <v>11</v>
      </c>
      <c r="F233" s="35">
        <v>0.68</v>
      </c>
      <c r="G233" s="35">
        <v>0.1</v>
      </c>
      <c r="H233" s="35">
        <v>0.11</v>
      </c>
      <c r="I233" s="35">
        <v>1E-3</v>
      </c>
      <c r="J233" s="35">
        <v>5.0000000000000001E-3</v>
      </c>
      <c r="K233" s="35">
        <v>0.02</v>
      </c>
      <c r="L233" s="35">
        <v>0.03</v>
      </c>
      <c r="M233" s="35">
        <v>0.04</v>
      </c>
      <c r="N233" s="35">
        <v>1.4999999999999999E-2</v>
      </c>
      <c r="O233" s="35">
        <v>1.4999999999999999E-2</v>
      </c>
      <c r="P233" s="35">
        <v>0</v>
      </c>
      <c r="Q233" s="35">
        <v>0</v>
      </c>
      <c r="R233" s="35">
        <v>4.7000000000000002E-3</v>
      </c>
      <c r="S233" s="35">
        <v>11</v>
      </c>
    </row>
    <row r="234" spans="4:19" x14ac:dyDescent="0.25">
      <c r="D234" s="1" t="s">
        <v>331</v>
      </c>
      <c r="E234" s="35">
        <v>12</v>
      </c>
      <c r="F234" s="35">
        <v>0.7</v>
      </c>
      <c r="G234" s="35">
        <v>0.1</v>
      </c>
      <c r="H234" s="35">
        <v>0.13</v>
      </c>
      <c r="I234" s="35">
        <v>1E-3</v>
      </c>
      <c r="J234" s="35">
        <v>5.0000000000000001E-3</v>
      </c>
      <c r="K234" s="35">
        <v>0.02</v>
      </c>
      <c r="L234" s="35">
        <v>0.03</v>
      </c>
      <c r="M234" s="35">
        <v>0.04</v>
      </c>
      <c r="N234" s="35">
        <v>1.4999999999999999E-2</v>
      </c>
      <c r="O234" s="35">
        <v>1.4999999999999999E-2</v>
      </c>
      <c r="P234" s="35">
        <v>0</v>
      </c>
      <c r="Q234" s="35">
        <v>0</v>
      </c>
      <c r="R234" s="35">
        <v>4.7000000000000002E-3</v>
      </c>
      <c r="S234" s="35">
        <v>12</v>
      </c>
    </row>
    <row r="235" spans="4:19" x14ac:dyDescent="0.25">
      <c r="D235" s="1" t="s">
        <v>331</v>
      </c>
      <c r="E235" s="35">
        <v>13</v>
      </c>
      <c r="F235" s="35">
        <v>0.71</v>
      </c>
      <c r="G235" s="35">
        <v>0.1</v>
      </c>
      <c r="H235" s="35">
        <v>0.14000000000000001</v>
      </c>
      <c r="I235" s="35">
        <v>1E-3</v>
      </c>
      <c r="J235" s="35">
        <v>5.0000000000000001E-3</v>
      </c>
      <c r="K235" s="35">
        <v>0.02</v>
      </c>
      <c r="L235" s="35">
        <v>0.03</v>
      </c>
      <c r="M235" s="35">
        <v>0.04</v>
      </c>
      <c r="N235" s="35">
        <v>1.4999999999999999E-2</v>
      </c>
      <c r="O235" s="35">
        <v>1.4999999999999999E-2</v>
      </c>
      <c r="P235" s="35">
        <v>0</v>
      </c>
      <c r="Q235" s="35">
        <v>0</v>
      </c>
      <c r="R235" s="35">
        <v>4.7000000000000002E-3</v>
      </c>
      <c r="S235" s="35">
        <v>13</v>
      </c>
    </row>
    <row r="236" spans="4:19" x14ac:dyDescent="0.25">
      <c r="D236" s="1" t="s">
        <v>331</v>
      </c>
      <c r="E236" s="35">
        <v>14</v>
      </c>
      <c r="F236" s="35">
        <v>0.73</v>
      </c>
      <c r="G236" s="35">
        <v>0.1</v>
      </c>
      <c r="H236" s="35">
        <v>0.15</v>
      </c>
      <c r="I236" s="35">
        <v>1E-3</v>
      </c>
      <c r="J236" s="35">
        <v>5.0000000000000001E-3</v>
      </c>
      <c r="K236" s="35">
        <v>0.02</v>
      </c>
      <c r="L236" s="35">
        <v>0.03</v>
      </c>
      <c r="M236" s="35">
        <v>0.04</v>
      </c>
      <c r="N236" s="35">
        <v>1.4999999999999999E-2</v>
      </c>
      <c r="O236" s="35">
        <v>1.4999999999999999E-2</v>
      </c>
      <c r="P236" s="35">
        <v>0</v>
      </c>
      <c r="Q236" s="35">
        <v>0</v>
      </c>
      <c r="R236" s="35">
        <v>4.7000000000000002E-3</v>
      </c>
      <c r="S236" s="35">
        <v>14</v>
      </c>
    </row>
    <row r="237" spans="4:19" x14ac:dyDescent="0.25">
      <c r="D237" s="1" t="s">
        <v>329</v>
      </c>
      <c r="E237" s="35">
        <v>15</v>
      </c>
      <c r="F237" s="35">
        <v>0.74</v>
      </c>
      <c r="G237" s="35">
        <v>0.1</v>
      </c>
      <c r="H237" s="35">
        <v>0.17</v>
      </c>
      <c r="I237" s="35">
        <v>5.0000000000000001E-3</v>
      </c>
      <c r="J237" s="35">
        <v>0.01</v>
      </c>
      <c r="K237" s="35">
        <v>0.02</v>
      </c>
      <c r="L237" s="35">
        <v>0.03</v>
      </c>
      <c r="M237" s="35">
        <v>0.04</v>
      </c>
      <c r="N237" s="35">
        <v>1.4999999999999999E-2</v>
      </c>
      <c r="O237" s="35">
        <v>1.4999999999999999E-2</v>
      </c>
      <c r="P237" s="35">
        <v>0</v>
      </c>
      <c r="Q237" s="35">
        <v>0</v>
      </c>
      <c r="R237" s="35">
        <v>4.7000000000000002E-3</v>
      </c>
      <c r="S237" s="35">
        <v>15</v>
      </c>
    </row>
    <row r="238" spans="4:19" x14ac:dyDescent="0.25">
      <c r="D238" s="1" t="s">
        <v>329</v>
      </c>
      <c r="E238" s="35">
        <v>16</v>
      </c>
      <c r="F238" s="35">
        <v>0.75</v>
      </c>
      <c r="G238" s="35">
        <v>0.1</v>
      </c>
      <c r="H238" s="35">
        <v>0.18</v>
      </c>
      <c r="I238" s="35">
        <v>5.0000000000000001E-3</v>
      </c>
      <c r="J238" s="35">
        <v>0.01</v>
      </c>
      <c r="K238" s="35">
        <v>0.02</v>
      </c>
      <c r="L238" s="35">
        <v>0.03</v>
      </c>
      <c r="M238" s="35">
        <v>0.04</v>
      </c>
      <c r="N238" s="35">
        <v>1.4999999999999999E-2</v>
      </c>
      <c r="O238" s="35">
        <v>1.4999999999999999E-2</v>
      </c>
      <c r="P238" s="35">
        <v>0</v>
      </c>
      <c r="Q238" s="35">
        <v>0</v>
      </c>
      <c r="R238" s="35">
        <v>4.7000000000000002E-3</v>
      </c>
      <c r="S238" s="35">
        <v>16</v>
      </c>
    </row>
    <row r="239" spans="4:19" x14ac:dyDescent="0.25">
      <c r="D239" s="1" t="s">
        <v>329</v>
      </c>
      <c r="E239" s="35">
        <v>17</v>
      </c>
      <c r="F239" s="35">
        <v>0.76</v>
      </c>
      <c r="G239" s="35">
        <v>0.1</v>
      </c>
      <c r="H239" s="35">
        <v>0.2</v>
      </c>
      <c r="I239" s="35">
        <v>5.0000000000000001E-3</v>
      </c>
      <c r="J239" s="35">
        <v>0.01</v>
      </c>
      <c r="K239" s="35">
        <v>0.02</v>
      </c>
      <c r="L239" s="35">
        <v>0.03</v>
      </c>
      <c r="M239" s="35">
        <v>0.04</v>
      </c>
      <c r="N239" s="35">
        <v>1.4999999999999999E-2</v>
      </c>
      <c r="O239" s="35">
        <v>1.4999999999999999E-2</v>
      </c>
      <c r="P239" s="35">
        <v>0</v>
      </c>
      <c r="Q239" s="35">
        <v>0</v>
      </c>
      <c r="R239" s="35">
        <v>4.7000000000000002E-3</v>
      </c>
      <c r="S239" s="35">
        <v>17</v>
      </c>
    </row>
    <row r="240" spans="4:19" x14ac:dyDescent="0.25">
      <c r="D240" s="1" t="s">
        <v>329</v>
      </c>
      <c r="E240" s="35">
        <v>18</v>
      </c>
      <c r="F240" s="35">
        <v>0.77</v>
      </c>
      <c r="G240" s="35">
        <v>0.1</v>
      </c>
      <c r="H240" s="35">
        <v>0.22</v>
      </c>
      <c r="I240" s="35">
        <v>5.0000000000000001E-3</v>
      </c>
      <c r="J240" s="35">
        <v>0.01</v>
      </c>
      <c r="K240" s="35">
        <v>0.02</v>
      </c>
      <c r="L240" s="35">
        <v>0.03</v>
      </c>
      <c r="M240" s="35">
        <v>0.04</v>
      </c>
      <c r="N240" s="35">
        <v>1.4999999999999999E-2</v>
      </c>
      <c r="O240" s="35">
        <v>1.4999999999999999E-2</v>
      </c>
      <c r="P240" s="35">
        <v>0</v>
      </c>
      <c r="Q240" s="35">
        <v>0</v>
      </c>
      <c r="R240" s="35">
        <v>4.7000000000000002E-3</v>
      </c>
      <c r="S240" s="35">
        <v>18</v>
      </c>
    </row>
    <row r="241" spans="4:19" x14ac:dyDescent="0.25">
      <c r="D241" s="1" t="s">
        <v>329</v>
      </c>
      <c r="E241" s="35">
        <v>19</v>
      </c>
      <c r="F241" s="35">
        <v>0.77</v>
      </c>
      <c r="G241" s="35">
        <v>0.1</v>
      </c>
      <c r="H241" s="35">
        <v>0.24</v>
      </c>
      <c r="I241" s="35">
        <v>5.0000000000000001E-3</v>
      </c>
      <c r="J241" s="35">
        <v>0.01</v>
      </c>
      <c r="K241" s="35">
        <v>0.02</v>
      </c>
      <c r="L241" s="35">
        <v>0.03</v>
      </c>
      <c r="M241" s="35">
        <v>0.04</v>
      </c>
      <c r="N241" s="35">
        <v>1.4999999999999999E-2</v>
      </c>
      <c r="O241" s="35">
        <v>1.4999999999999999E-2</v>
      </c>
      <c r="P241" s="35">
        <v>0</v>
      </c>
      <c r="Q241" s="35">
        <v>0</v>
      </c>
      <c r="R241" s="35">
        <v>4.7000000000000002E-3</v>
      </c>
      <c r="S241" s="35">
        <v>19</v>
      </c>
    </row>
    <row r="242" spans="4:19" x14ac:dyDescent="0.25">
      <c r="D242" s="1" t="s">
        <v>329</v>
      </c>
      <c r="E242" s="35">
        <v>20</v>
      </c>
      <c r="F242" s="35">
        <v>0.78</v>
      </c>
      <c r="G242" s="35">
        <v>0.1</v>
      </c>
      <c r="H242" s="35">
        <v>0.26</v>
      </c>
      <c r="I242" s="35">
        <v>5.0000000000000001E-3</v>
      </c>
      <c r="J242" s="35">
        <v>0.01</v>
      </c>
      <c r="K242" s="35">
        <v>0.02</v>
      </c>
      <c r="L242" s="35">
        <v>0.03</v>
      </c>
      <c r="M242" s="35">
        <v>0.04</v>
      </c>
      <c r="N242" s="35">
        <v>1.4999999999999999E-2</v>
      </c>
      <c r="O242" s="35">
        <v>1.4999999999999999E-2</v>
      </c>
      <c r="P242" s="35">
        <v>0</v>
      </c>
      <c r="Q242" s="35">
        <v>0</v>
      </c>
      <c r="R242" s="35">
        <v>4.7000000000000002E-3</v>
      </c>
      <c r="S242" s="35">
        <v>20</v>
      </c>
    </row>
    <row r="243" spans="4:19" x14ac:dyDescent="0.25">
      <c r="D243" s="1" t="s">
        <v>329</v>
      </c>
      <c r="E243" s="35">
        <v>21</v>
      </c>
      <c r="F243" s="35">
        <v>0.78</v>
      </c>
      <c r="G243" s="35">
        <v>0.1</v>
      </c>
      <c r="H243" s="35">
        <v>0.28999999999999998</v>
      </c>
      <c r="I243" s="35">
        <v>5.0000000000000001E-3</v>
      </c>
      <c r="J243" s="35">
        <v>0.01</v>
      </c>
      <c r="K243" s="35">
        <v>0.02</v>
      </c>
      <c r="L243" s="35">
        <v>0.03</v>
      </c>
      <c r="M243" s="35">
        <v>0.04</v>
      </c>
      <c r="N243" s="35">
        <v>1.4999999999999999E-2</v>
      </c>
      <c r="O243" s="35">
        <v>1.4999999999999999E-2</v>
      </c>
      <c r="P243" s="35">
        <v>0</v>
      </c>
      <c r="Q243" s="35">
        <v>0</v>
      </c>
      <c r="R243" s="35">
        <v>4.7000000000000002E-3</v>
      </c>
      <c r="S243" s="35">
        <v>21</v>
      </c>
    </row>
    <row r="244" spans="4:19" x14ac:dyDescent="0.25">
      <c r="D244" s="1" t="s">
        <v>329</v>
      </c>
      <c r="E244" s="35">
        <v>22</v>
      </c>
      <c r="F244" s="35">
        <v>0.78</v>
      </c>
      <c r="G244" s="35">
        <v>0.1</v>
      </c>
      <c r="H244" s="35">
        <v>0.31</v>
      </c>
      <c r="I244" s="35">
        <v>5.0000000000000001E-3</v>
      </c>
      <c r="J244" s="35">
        <v>0.01</v>
      </c>
      <c r="K244" s="35">
        <v>0.02</v>
      </c>
      <c r="L244" s="35">
        <v>0.03</v>
      </c>
      <c r="M244" s="35">
        <v>0.04</v>
      </c>
      <c r="N244" s="35">
        <v>1.4999999999999999E-2</v>
      </c>
      <c r="O244" s="35">
        <v>1.4999999999999999E-2</v>
      </c>
      <c r="P244" s="35">
        <v>0</v>
      </c>
      <c r="Q244" s="35">
        <v>0</v>
      </c>
      <c r="R244" s="35">
        <v>4.7000000000000002E-3</v>
      </c>
      <c r="S244" s="35">
        <v>22</v>
      </c>
    </row>
    <row r="245" spans="4:19" x14ac:dyDescent="0.25">
      <c r="D245" s="1" t="s">
        <v>329</v>
      </c>
      <c r="E245" s="35">
        <v>23</v>
      </c>
      <c r="F245" s="35">
        <v>0.79</v>
      </c>
      <c r="G245" s="35">
        <v>0.1</v>
      </c>
      <c r="H245" s="35">
        <v>0.34</v>
      </c>
      <c r="I245" s="35">
        <v>5.0000000000000001E-3</v>
      </c>
      <c r="J245" s="35">
        <v>0.01</v>
      </c>
      <c r="K245" s="35">
        <v>0.02</v>
      </c>
      <c r="L245" s="35">
        <v>0.03</v>
      </c>
      <c r="M245" s="35">
        <v>0.04</v>
      </c>
      <c r="N245" s="35">
        <v>1.4999999999999999E-2</v>
      </c>
      <c r="O245" s="35">
        <v>1.4999999999999999E-2</v>
      </c>
      <c r="P245" s="35">
        <v>0</v>
      </c>
      <c r="Q245" s="35">
        <v>0</v>
      </c>
      <c r="R245" s="35">
        <v>4.7000000000000002E-3</v>
      </c>
      <c r="S245" s="35">
        <v>23</v>
      </c>
    </row>
    <row r="246" spans="4:19" x14ac:dyDescent="0.25">
      <c r="D246" s="1" t="s">
        <v>329</v>
      </c>
      <c r="E246" s="35">
        <v>24</v>
      </c>
      <c r="F246" s="35">
        <v>0.79</v>
      </c>
      <c r="G246" s="35">
        <v>0.1</v>
      </c>
      <c r="H246" s="35">
        <v>0.37</v>
      </c>
      <c r="I246" s="35">
        <v>5.0000000000000001E-3</v>
      </c>
      <c r="J246" s="35">
        <v>0.01</v>
      </c>
      <c r="K246" s="35">
        <v>0.02</v>
      </c>
      <c r="L246" s="35">
        <v>0.03</v>
      </c>
      <c r="M246" s="35">
        <v>0.04</v>
      </c>
      <c r="N246" s="35">
        <v>1.4999999999999999E-2</v>
      </c>
      <c r="O246" s="35">
        <v>1.4999999999999999E-2</v>
      </c>
      <c r="P246" s="35">
        <v>0</v>
      </c>
      <c r="Q246" s="35">
        <v>0</v>
      </c>
      <c r="R246" s="35">
        <v>4.7000000000000002E-3</v>
      </c>
      <c r="S246" s="35">
        <v>24</v>
      </c>
    </row>
    <row r="247" spans="4:19" x14ac:dyDescent="0.25">
      <c r="D247" s="1" t="s">
        <v>329</v>
      </c>
      <c r="E247" s="35">
        <v>25</v>
      </c>
      <c r="F247" s="35">
        <v>0.79</v>
      </c>
      <c r="G247" s="35">
        <v>0.1</v>
      </c>
      <c r="H247" s="35">
        <v>0.41</v>
      </c>
      <c r="I247" s="35">
        <v>5.0000000000000001E-3</v>
      </c>
      <c r="J247" s="35">
        <v>0.01</v>
      </c>
      <c r="K247" s="35">
        <v>0.02</v>
      </c>
      <c r="L247" s="35">
        <v>0.03</v>
      </c>
      <c r="M247" s="35">
        <v>0.04</v>
      </c>
      <c r="N247" s="35">
        <v>1.4999999999999999E-2</v>
      </c>
      <c r="O247" s="35">
        <v>1.4999999999999999E-2</v>
      </c>
      <c r="P247" s="35">
        <v>0</v>
      </c>
      <c r="Q247" s="35">
        <v>0</v>
      </c>
      <c r="R247" s="35">
        <v>4.7000000000000002E-3</v>
      </c>
      <c r="S247" s="35">
        <v>25</v>
      </c>
    </row>
    <row r="248" spans="4:19" x14ac:dyDescent="0.25">
      <c r="D248" s="1" t="s">
        <v>327</v>
      </c>
      <c r="E248" s="35">
        <v>26</v>
      </c>
      <c r="F248" s="35">
        <v>0.79</v>
      </c>
      <c r="G248" s="35">
        <v>0.1</v>
      </c>
      <c r="H248" s="35">
        <v>0.44</v>
      </c>
      <c r="I248" s="35">
        <v>0.01</v>
      </c>
      <c r="J248" s="35">
        <v>1.4999999999999999E-2</v>
      </c>
      <c r="K248" s="35">
        <v>0.02</v>
      </c>
      <c r="L248" s="35">
        <v>0.03</v>
      </c>
      <c r="M248" s="35">
        <v>0.04</v>
      </c>
      <c r="N248" s="35">
        <v>1.4999999999999999E-2</v>
      </c>
      <c r="O248" s="35">
        <v>1.4999999999999999E-2</v>
      </c>
      <c r="P248" s="35">
        <v>0</v>
      </c>
      <c r="Q248" s="35">
        <v>0</v>
      </c>
      <c r="R248" s="35">
        <v>4.7000000000000002E-3</v>
      </c>
      <c r="S248" s="35">
        <v>26</v>
      </c>
    </row>
    <row r="249" spans="4:19" x14ac:dyDescent="0.25">
      <c r="D249" s="1" t="s">
        <v>327</v>
      </c>
      <c r="E249" s="35">
        <v>27</v>
      </c>
      <c r="F249" s="35">
        <v>0.8</v>
      </c>
      <c r="G249" s="35">
        <v>0.1</v>
      </c>
      <c r="H249" s="35">
        <v>0.48</v>
      </c>
      <c r="I249" s="35">
        <v>0.01</v>
      </c>
      <c r="J249" s="35">
        <v>1.4999999999999999E-2</v>
      </c>
      <c r="K249" s="35">
        <v>0.02</v>
      </c>
      <c r="L249" s="35">
        <v>0.03</v>
      </c>
      <c r="M249" s="35">
        <v>0.04</v>
      </c>
      <c r="N249" s="35">
        <v>1.4999999999999999E-2</v>
      </c>
      <c r="O249" s="35">
        <v>1.4999999999999999E-2</v>
      </c>
      <c r="P249" s="35">
        <v>0</v>
      </c>
      <c r="Q249" s="35">
        <v>0</v>
      </c>
      <c r="R249" s="35">
        <v>4.7000000000000002E-3</v>
      </c>
      <c r="S249" s="35">
        <v>27</v>
      </c>
    </row>
    <row r="250" spans="4:19" x14ac:dyDescent="0.25">
      <c r="D250" s="1" t="s">
        <v>327</v>
      </c>
      <c r="E250" s="35" t="s">
        <v>420</v>
      </c>
      <c r="F250" s="35">
        <v>0.8</v>
      </c>
      <c r="G250" s="35">
        <v>0.1</v>
      </c>
      <c r="H250" s="35">
        <v>0.5</v>
      </c>
      <c r="I250" s="35">
        <v>0.01</v>
      </c>
      <c r="J250" s="35">
        <v>1.4999999999999999E-2</v>
      </c>
      <c r="K250" s="35">
        <v>0.02</v>
      </c>
      <c r="L250" s="35">
        <v>0.03</v>
      </c>
      <c r="M250" s="35">
        <v>0.04</v>
      </c>
      <c r="N250" s="35">
        <v>1.4999999999999999E-2</v>
      </c>
      <c r="O250" s="35">
        <v>1.4999999999999999E-2</v>
      </c>
      <c r="P250" s="35">
        <v>0</v>
      </c>
      <c r="Q250" s="35">
        <v>0</v>
      </c>
      <c r="R250" s="35">
        <v>4.7000000000000002E-3</v>
      </c>
      <c r="S250" s="35">
        <v>28</v>
      </c>
    </row>
    <row r="253" spans="4:19" ht="23.25" x14ac:dyDescent="0.25">
      <c r="D253" s="6" t="s">
        <v>421</v>
      </c>
    </row>
    <row r="254" spans="4:19" x14ac:dyDescent="0.25">
      <c r="D254" s="5" t="s">
        <v>422</v>
      </c>
    </row>
    <row r="255" spans="4:19" x14ac:dyDescent="0.25">
      <c r="D255" s="1" t="s">
        <v>97</v>
      </c>
    </row>
    <row r="256" spans="4:19" x14ac:dyDescent="0.25">
      <c r="D256" s="49" t="s">
        <v>398</v>
      </c>
    </row>
    <row r="257" spans="4:5" x14ac:dyDescent="0.25">
      <c r="D257" s="35" t="s">
        <v>96</v>
      </c>
      <c r="E257" s="35" t="s">
        <v>97</v>
      </c>
    </row>
    <row r="258" spans="4:5" x14ac:dyDescent="0.25">
      <c r="D258" s="35" t="s">
        <v>293</v>
      </c>
      <c r="E258" s="35">
        <v>6.0000000000000001E-3</v>
      </c>
    </row>
    <row r="259" spans="4:5" x14ac:dyDescent="0.25">
      <c r="D259" s="1" t="s">
        <v>297</v>
      </c>
      <c r="E259" s="35">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gBpAGMAZQBDAHUAbAB0AGkAdgBhAHQAaQBvAG4AXwBTAG8AdQByAGMAZQBEAGEAdABhACIALAAiAHQAZQB4AHQAIgA6ACIAXABuAC8AKgAgAFwAbgAtAC0ALQAtAC0ALQAtAC0ALQAtAC0ALQAtAC0ALQAtAC0ALQAtAC0ALQAtAC0ALQAtAC0ALQAtAC0ALQAtAC0ALQAtAC0ALQAtAC0AXABuAFMAbwB1AHIAYwBlAEQAYQB0AGEAXwBSAGkAYwBlAEMAdQBsAHQAaQB2AGEAdABpAG8AbgBfAFcAYQB0AGUAcgBTAGMAYQBsAGkAbgBnAEYAYQBjAHQAbwByAEcAcgBvAHcAaQBuAGcAUwBlAGEAcwBvAG4AXABuAC0ALQAtAC0ALQAtAC0ALQAtAC0ALQAtAC0ALQAtAC0ALQAtAC0ALQAtAC0ALQAtAC0ALQAtAC0ALQAtAC0ALQAtAC0ALQAtAC0ALQBcAG4AKgAvAFwAbgBcAG4AUwBvAHUAcgBjAGUARABhAHQAYQBfAFIAaQBjAGUAQwB1AGwAdABpAHYAYQB0AGkAbwBuAF8AVwBhAHQAZQByAFMAYwBhAGwAaQBuAGcARgBhAGMAdABvAHIARwByAG8AdwBpAG4AZwBTAGUAYQBzAG8AbgBfAFQAaQB0AGwAZQBcAG4AIAAgAD0ATABBAE0AQgBEAEEAKABcACIAUwBjAGEAbABpAG4AZwAgAGYAYQBjAHQAbwByACAAYgBhAHMAZQBkACAAbwBuACAAdABoAGUAIAB3AGEAdABlAHIAIAByAGUAZwBpAG0AZQAgAGUAbQBwAGwAbwB5AGUAZAAgAGQAdQByAGkAbgBnACAAdABoAGUAIABnAHIAbwB3AGkAbgBnACAAcwBlAGEAcwBvAG4AIABjAHUAbAB0AGkAdgBhAHQAaQBvAG4AIABwAGUAcgBpAG8AZABcACIAKQA7AFwAbgBcAG4AUwBvAHUAcgBjAGUARABhAHQAYQBfAFIAaQBjAGUAQwB1AGwAdABpAHYAYQB0AGkAbwBuAF8AVwBhAHQAZQByAFMAYwBhAGwAaQBuAGcARgBhAGMAdABvAHIARwByAG8AdwBpAG4AZwBTAGUAYQBzAG8AbgBfAFYAYQByAGkAYQBiAGwAZQBcAG4AIAAgAD0ATABBAE0AQgBEAEEAKABcACIAUwBGAHcAXAAiACkAOwBcAG4AXABuAFMAbwB1AHIAYwBlAEQAYQB0AGEAXwBSAGkAYwBlAEMAdQBsAHQAaQB2AGEAdABpAG8AbgBfAFcAYQB0AGUAcgBTAGMAYQBsAGkAbgBnAEYAYQBjAHQAbwByAEcAcgBvAHcAaQBuAGcAUwBlAGEAcwBvAG4AXwBVAG4AaQB0AFwAbgAgACAAPQBMAEEATQBCAEQAQQAoAFwAIgBmAHIAYQBjAHQAaQBvAG4AXAAiACkAOwBcAG4AXABuAFMAbwB1AHIAYwBlAEQAYQB0AGEAXwBSAGkAYwBlAEMAdQBsAHQAaQB2AGEAdABpAG8AbgBfAFcAYQB0AGUAcgBTAGMAYQBsAGkAbgBnAEYAYQBjAHQAbwByAEcAcgBvAHcAaQBuAGcAUwBlAGEAcwBvAG4AXwBTAG8AdQByAGMAZQBcAG4AIAAgAD0ATABBAE0AQgBEAEEAKABcACIAVgBFAEUAUgBHACAAMgAwADIANgA6ACAAVABhAGIAbABlACAAQQAuADIALgAzAC4AMQBcACIAKQA7AFwAbgBcAG4AUwBvAHUAcgBjAGUARABhAHQAYQBfAFIAaQBjAGUAQwB1AGwAdABpAHYAYQB0AGkAbwBuAF8AVwBhAHQAZQByAFMAYwBhAGwAaQBuAGcARgBhAGMAdABvAHIARwByAG8AdwBpAG4AZwBTAGUAYQBzAG8AbgBfAFYAYQByAGkAYQB0AGkAbwBuAFwAbgAgACAAPQBMAEEATQBCAEQAQQAoAFwAIgBcACIAKQA7AFwAbgBcAG4AUwBvAHUAcgBjAGUARABhAHQAYQBfAFIAaQBjAGUAQwB1AGwAdABpAHYAYQB0AGkAbwBuAF8AVwBhAHQAZQByAFMAYwBhAGwAaQBuAGcARgBhAGMAdABvAHIARwByAG8AdwBpAG4AZwBTAGUAYQBzAG8AbgBfAEQAYQB0AGEAXABuACAAIAA9AEwAQQBNAEIARABBACgAXABuACAAIAAgACAATQBBAEsARQBBAFIAUgBBAFkAKAA5ACwAIAAzACwAIABcAG4AIAAgACAAIAAgACAATABBAE0AQgBEAEEAKAByACwAYwAsACAAXABuACAAIAAgACAAIAAgACAAIABJAE4ARABFAFgAKAB7AFwAbgAgACAAIAAgACAAIAAgACAAIAAgAFwAIgBXAGEAdABlAHIAIAByAGUAZwBpAG0AZQAgAHQAeQBwAGUAXAAiACwAIABcACIAVwBhAHQAZQByACAAcgBlAGcAaQBtAGUAIABzAHUAYgAgAC0AIAB0AHkAcABlAFwAIgAsACAAXAAiAFMARgB3AFwAIgA7AFwAbgAgACAAIAAgACAAIAAgACAAIAAgAFwAIgBVAHAAbABhAG4AZABcACIALAAgAFwAIgBQAGEAZABkAHkAIAByAG8AdABhAHQAaQBvAG4AXAAiACwAIAAwADsAXABuACAAIAAgACAAIAAgACAAIAAgACAAXAAiAFUAcABsAGEAbgBkAFwAIgAsACAAXAAiAEYAYQBsAGwAbwB3ACAAdwBpAHQAaABvAHUAdAAgAGYAbABvAG8AZABpAG4AZwAgAGkAbgAgAHAAcgBlAHYAaQBvAHUAcwAgAHkAZQBhAHIAXAAiACwAIAAwADsAXABuACAAIAAgACAAIAAgACAAIAAgACAAXAAiAEkAcgByAGkAZwBhAHQAZQBkAFwAIgAsACAAXAAiAEMAbwBuAHQAaQBuAHUAbwB1AHMAbAB5ACAAZgBsAG8AbwBkAGUAZABcACIALAAgADEAOwBcAG4AIAAgACAAIAAgACAAIAAgACAAIABcACIASQByAHIAaQBnAGEAdABlAGQAXAAiACwAIABcACIAUwBpAG4AZwBsAGUAIABkAHIAYQBpAG4AYQBnAGUAIABwAGUAcgBpAG8AZABcACIALAAgADAALgA3ADEAOwBcAG4AIAAgACAAIAAgACAAIAAgACAAIABcACIASQByAHIAaQBnAGEAdABlAGQAXAAiACwAIABcACIATQB1AGwAdABpAHAAbABlACAAZAByAGEAaQBuAGEAZwBlACAAcABlAHIAaQBvAGQAcwBcACIALAAgADAALgA1ADUAOwBcAG4AIAAgACAAIAAgACAAIAAgACAAIABcACIAUgBhAGkAbgBmAGUAZAAgAGEAbgBkACAAZABlAGUAcAAgAHcAYQB0AGUAcgBcACIALAAgAFwAIgBSAGUAZwB1AGwAYQByACAAcgBhAGkAbgBmAGUAZABcACIALAAgADAALgA1ADQAOwBcAG4AIAAgACAAIAAgACAAIAAgACAAIABcACIAUgBhAGkAbgBmAGUAZAAgAGEAbgBkACAAZABlAGUAcAAgAHcAYQB0AGUAcgBcACIALAAgAFwAIgBEAHIAbwB1AGcAaAB0ACAAcAByAG8AbgBlAFwAIgAsACAAMAAuADEANgA7AFwAbgAgACAAIAAgACAAIAAgACAAIAAgAFwAIgBSAGEAaQBuAGYAZQBkACAAYQBuAGQAIABkAGUAZQBwACAAdwBhAHQAZQByAFwAIgAsACAAXAAiAEQAZQBlAHAAIAB3AGEAdABlAHIAXAAiACwAIAAwAC4AMAA2AFwAbgAgACAAIAAgACAAIAAgACAAfQAsACAAcgAsACAAYwApAFwAbgAgACAAIAAgACAAIAApAFwAbgAgACAAIAAgACkAXABuACAAIAApADsAXABuAFwAbgBcAG4AXABuAC8AKgAgAFwAbgAtAC0ALQAtAC0ALQAtAC0ALQAtAC0ALQAtAC0ALQAtAC0ALQAtAC0ALQAtAC0ALQAtAC0ALQAtAC0ALQAtAC0ALQAtAC0ALQAtAC0AXABuAFMAbwB1AHIAYwBlAEQAYQB0AGEAXwBSAGkAYwBlAEMAdQBsAHQAaQB2AGEAdABpAG8AbgBfAFcAYQB0AGUAcgBTAGMAYQBsAGkAbgBnAEYAYQBjAHQAbwByAFAAcgBlAFMAZQBhAHMAbwBuAFwAbgAtAC0ALQAtAC0ALQAtAC0ALQAtAC0ALQAtAC0ALQAtAC0ALQAtAC0ALQAtAC0ALQAtAC0ALQAtAC0ALQAtAC0ALQAtAC0ALQAtAC0AXABuACoALwBcAG4AXABuAFMAbwB1AHIAYwBlAEQAYQB0AGEAXwBSAGkAYwBlAEMAdQBsAHQAaQB2AGEAdABpAG8AbgBfAFcAYQB0AGUAcgBTAGMAYQBsAGkAbgBnAEYAYQBjAHQAbwByAFAAcgBlAFMAZQBhAHMAbwBuAF8AVABpAHQAbABlAFwAbgAgACAAPQBMAEEATQBCAEQAQQAoAFwAIgBTAGMAYQBsAGkAbgBnACAAZgBhAGMAdABvAHIAIABiAGEAcwBlAGQAIABvAG4AIAB0AGgAZQAgAHcAYQB0AGUAcgAgAHIAZQBnAGkAbQBlACAAZQBtAHAAbABvAHkAZQBkACAAaQBuACAAdABoAGUAIABwAHIAZQAgAC0AIABzAGUAYQBzAG8AbgAgAGIAZQBmAG8AcgBlACAAdABoAGUAIABnAHIAbwB3AGkAbgBnACAAcABlAHIAaQBvAGQAXAAiACkAOwBcAG4AXABuAFMAbwB1AHIAYwBlAEQAYQB0AGEAXwBSAGkAYwBlAEMAdQBsAHQAaQB2AGEAdABpAG8AbgBfAFcAYQB0AGUAcgBTAGMAYQBsAGkAbgBnAEYAYQBjAHQAbwByAFAAcgBlAFMAZQBhAHMAbwBuAF8AVgBhAHIAaQBhAGIAbABlAFwAbgAgACAAPQBMAEEATQBCAEQAQQAoAFwAIgBTAEYAcABcACIAKQA7AFwAbgBcAG4AUwBvAHUAcgBjAGUARABhAHQAYQBfAFIAaQBjAGUAQwB1AGwAdABpAHYAYQB0AGkAbwBuAF8AVwBhAHQAZQByAFMAYwBhAGwAaQBuAGcARgBhAGMAdABvAHIAUAByAGUAUwBlAGEAcwBvAG4AXwBVAG4AaQB0AFwAbgAgACAAPQBMAEEATQBCAEQAQQAoAFwAIgBmAHIAYQBjAHQAaQBvAG4AXAAiACkAOwBcAG4AXABuAFMAbwB1AHIAYwBlAEQAYQB0AGEAXwBSAGkAYwBlAEMAdQBsAHQAaQB2AGEAdABpAG8AbgBfAFcAYQB0AGUAcgBTAGMAYQBsAGkAbgBnAEYAYQBjAHQAbwByAFAAcgBlAFMAZQBhAHMAbwBuAF8AUwBvAHUAcgBjAGUAXABuACAAIAA9AEwAQQBNAEIARABBACgAXAAiAFYARQBFAFIARwAgADIAMAAyADYAOgAgAFQAYQBiAGwAZQAgAEEALgAyAC4AMwAuADIAXAAiACkAOwBcAG4AXABuAFMAbwB1AHIAYwBlAEQAYQB0AGEAXwBSAGkAYwBlAEMAdQBsAHQAaQB2AGEAdABpAG8AbgBfAFcAYQB0AGUAcgBTAGMAYQBsAGkAbgBnAEYAYQBjAHQAbwByAFAAcgBlAFMAZQBhAHMAbwBuAF8AVgBhAHIAaQBhAHQAaQBvAG4AXABuACAAIAA9AEwAQQBNAEIARABBACgAXAAiAFwAIgApADsAXABuAFwAbgBTAG8AdQByAGMAZQBEAGEAdABhAF8AUgBpAGMAZQBDAHUAbAB0AGkAdgBhAHQAaQBvAG4AXwBXAGEAdABlAHIAUwBjAGEAbABpAG4AZwBGAGEAYwB0AG8AcgBQAHIAZQBTAGUAYQBzAG8AbgBfAEQAYQB0AGEAXABuACAAIAA9AEwAQQBNAEIARABBACgAXABuACAAIAAgACAATQBBAEsARQBBAFIAUgBBAFkAKAA1ACwAIAAyACwAIABcAG4AIAAgACAAIAAgACAATABBAE0AQgBEAEEAKAByACwAYwAsACAAXABuACAAIAAgACAAIAAgACAAIABJAE4ARABFAFgAKAB7AFwAbgAgACAAIAAgACAAIAAgACAAIAAgAFwAIgBXAGEAdABlAHIAIAByAGUAZwBpAG0AZQAgAHAAcgBpAG8AcgAgAHQAbwAgAGMAdQBsAHQAaQB2AGEAdABpAG8AbgAgAHAAZQByAGkAbwBkACAAcABcACIALAAgAFwAIgBTAEYAcABcACIAOwBcAG4AIAAgACAAIAAgACAAIAAgACAAIABcACIATgBvAG4AIABmAGwAbwBvAGQAZQBkACAAcAByAGUALQBzAGUAYQBzAG8AbgAgAFwAdQAwADAAMwBjADEAOAAwACAAZABhAHkAcwBcACIALAAgADEAOwBcAG4AIAAgACAAIAAgACAAIAAgACAAIABcACIATgBvAG4AIABmAGwAbwBvAGQAZQBkACAAcAByAGUALQBzAGUAYQBzAG8AbgAgAFwAdQAwADAAMwBlADEAOAAwACAAZABhAHkAcwBcACIALAAgADAALgA4ADkAOwBcAG4AIAAgACAAIAAgACAAIAAgACAAIABcACIARgBsAG8AbwBkAGUAZAAgAHAAcgBlAC0AcwBlAGEAcwBvAG4AIABcAHUAMAAwADMAZQAzADAAIABkAGEAeQBzAFwAIgAsACAAMgAuADQAMQA7AFwAbgAgACAAIAAgACAAIAAgACAAIAAgAFwAIgBOAG8AbgAtAGYAbABvAG8AZABlAGQAIABwAHIAZQAtAHMAZQBhAHMAbwBuACAAXAB1ADAAMAAzAGUAMwA2ADUAIABkAGEAeQBzAFwAIgAsACAAMAAuADUAO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8AcgBnAGEAbgBpAGMAQQBtAGUAbgBkAG0AZQBuAHQAQwBvAG4AdgBlAHIAcwBpAG8AbgBGAGEAYwB0AG8AcgBcAG4ALQAtAC0ALQAtAC0ALQAtAC0ALQAtAC0ALQAtAC0ALQAtAC0ALQAtAC0ALQAtAC0ALQAtAC0ALQAtAC0ALQAtAC0ALQAtAC0ALQAtAFwAbgAqAC8AXABuAFwAbgBTAG8AdQByAGMAZQBEAGEAdABhAF8AUgBpAGMAZQBDAHUAbAB0AGkAdgBhAHQAaQBvAG4AXwBPAHIAZwBhAG4AaQBjAEEAbQBlAG4AZABtAGUAbgB0AEMAbwBuAHYAZQByAHMAaQBvAG4ARgBhAGMAdABvAHIAXwBUAGkAdABsAGUAXABuACAAIAA9AEwAQQBNAEIARABBACgAXAAiAEMAbwBuAHYAZQByAHMAaQBvAG4AIABmAGEAYwB0AG8AcgAgAGYAbwByACAAbwByAGcAYQBuAGkAYwAgAGEAbQBlAG4AZABtAGUAbgB0ACAAaQBcACIAKQA7AFwAbgBcAG4AUwBvAHUAcgBjAGUARABhAHQAYQBfAFIAaQBjAGUAQwB1AGwAdABpAHYAYQB0AGkAbwBuAF8ATwByAGcAYQBuAGkAYwBBAG0AZQBuAGQAbQBlAG4AdABDAG8AbgB2AGUAcgBzAGkAbwBuAEYAYQBjAHQAbwByAF8AVgBhAHIAaQBhAGIAbABlAFwAbgAgACAAPQBMAEEATQBCAEQAQQAoAFwAIgBDAEYATwBBAGkAXAAiACkAOwBcAG4AXABuAFMAbwB1AHIAYwBlAEQAYQB0AGEAXwBSAGkAYwBlAEMAdQBsAHQAaQB2AGEAdABpAG8AbgBfAE8AcgBnAGEAbgBpAGMAQQBtAGUAbgBkAG0AZQBuAHQAQwBvAG4AdgBlAHIAcwBpAG8AbgBGAGEAYwB0AG8AcgBfAFUAbgBpAHQAXABuACAAIAA9AEwAQQBNAEIARABBACgAXAAiAGYAcgBhAGMAdABpAG8AbgBcACIAKQA7AFwAbgBcAG4AUwBvAHUAcgBjAGUARABhAHQAYQBfAFIAaQBjAGUAQwB1AGwAdABpAHYAYQB0AGkAbwBuAF8ATwByAGcAYQBuAGkAYwBBAG0AZQBuAGQAbQBlAG4AdABDAG8AbgB2AGUAcgBzAGkAbwBuAEYAYQBjAHQAbwByAF8AUwBvAHUAcgBjAGUAXABuACAAIAA9AEwAQQBNAEIARABBACgAXAAiAFYARQBFAFIARwAgADIAMAAyADYAOgAgAFQAYQBiAGwAZQAgAEEALgAyAC4AMwAuADMAXAAiACkAOwBcAG4AXABuAFMAbwB1AHIAYwBlAEQAYQB0AGEAXwBSAGkAYwBlAEMAdQBsAHQAaQB2AGEAdABpAG8AbgBfAE8AcgBnAGEAbgBpAGMAQQBtAGUAbgBkAG0AZQBuAHQAQwBvAG4AdgBlAHIAcwBpAG8AbgBGAGEAYwB0AG8AcgBfAFYAYQByAGkAYQB0AGkAbwBuAFwAbg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XABuACAAIAAgACAAIAAgACAAIAB9ACwAIAByACwAIABjACkAXABuACAAIAAgACAAIAAgACkAXABuACAAIAAgACAAKQBcAG4AIAAgACkAOwBcAG4AXABuAFMAbwB1AHIAYwBlAEQAYQB0AGEAXwBSAGkAYwBlAEMAdQBsAHQAaQB2AGEAdABpAG8AbgBfAE8AcgBnAGEAbgBpAGMAQQBtAGUAbgBkAG0AZQBuAHQAQwBvAG4AdgBlAHIAcwBpAG8AbgBGAGEAYwB0AG8AcgBfAEQAYQB0AGEAXABuACAAIAA9AEwAQQBNAEIARABBACgAXABuACAAIAAgACAATQBBAEsARQBBAFIAUgBBAFkAKAA3ACwAIAAyACwAIABcAG4AIAAgACAAIAAgACAATABBAE0AQgBEAEEAKAByACwAYwAsACAAXABuACAAIAAgACAAIAAgACAAIABJAE4ARABFAFgAKAB7AFwAbgAgACAAIAAgACAAIAAgACAAIAAgAFwAIgBPAHIAZwBhAG4AaQBjACAAYQBtAGUAbgBkAG0AZQBuAHQAIABpAFwAIgAsACAAXAAiAEMARgBPAEEAaQBcACIAOwBcAG4AIAAgACAAIAAgACAAIAAgACAAIABcACIAUwB0AHIAYQB3ACAAaQBuAGMAbwByAHAAbwByAGEAdABlAGQAIABzAGgAbwByAHQAbAB5ACAAKABcAHUAMAAwADMAYwAzADAAIABkAGEAeQBzACkAIABiAGUAZgBvAHIAZQAgAGMAdQBsAHQAaQB2AGEAdABpAG8AbgBcACIALAAgADEALgAwADAAOwBcAG4AIAAgACAAIAAgACAAIAAgACAAIABcACIAUwB0AHIAYQB3ACAAaQBuAGMAbwByAHAAbwByAGEAdABlAGQAIABsAG8AbgBnACAAKABcAHUAMAAwADMAZQAzADAAIABkAGEAeQBzACkAIABiAGUAZgBvAHIAZQAgAGMAdQBsAHQAaQB2AGEAdABpAG8AbgBcACIALAAgADAALgAxADkAOwBcAG4AIAAgACAAIAAgACAAIAAgACAAIABcACIAQwBvAG0AcABvAHMAdABcACIALAAgADAALgAxADcAOwBcAG4AIAAgACAAIAAgACAAIAAgACAAIABcACIARgBhAHIAbQAgAHkAYQByAGQAIABtAGEAbgB1AHIAZQBcACIALAAgADAALgAyADEAOwBcAG4AIAAgACAAIAAgACAAIAAgACAAIABcACIARwByAGUAZQBuACAAbQBhAG4AdQByAGUAXAAiACwAIAAwAC4ANAA1ADsAXABuACAAIAAgACAAIAAgACAAIAAgACAAXAAiAEkAbgBvAHIAZwBhAG4AaQBjACAAZgBlAHIAdABpAGwAaQBzAGUAcgBcACIALAAgADEAXABuACAAIAAgACAAIAAgACAAIAB9ACwAIAByACwAIABjACkAXABuACAAIAAgACAAIAAgACkAXABuACAAIAAgACAAKQBcAG4AIAAgACkAOwBcAG4AXABuAFwAbgAvACoAIABcAG4ALQAtAC0ALQAtAC0ALQAtAC0ALQAtAC0ALQAtAC0ALQAtAC0ALQAtAC0ALQAtAC0ALQAtAC0ALQAtAC0ALQAtAC0ALQAtAC0ALQAtAFwAbgBTAG8AdQByAGMAZQBEAGEAdABhAF8AUgBpAGMAZQBDAHUAbAB0AGkAdgBhAHQAaQBvAG4AXwBCAGEAcwBlAGwAaQBuAGUARQBGAFwAbgAtAC0ALQAtAC0ALQAtAC0ALQAtAC0ALQAtAC0ALQAtAC0ALQAtAC0ALQAtAC0ALQAtAC0ALQAtAC0ALQAtAC0ALQAtAC0ALQAtAC0AXABuACoALwBcAG4AXABuAFMAbwB1AHIAYwBlAEQAYQB0AGEAXwBSAGkAYwBlAEMAdQBsAHQAaQB2AGEAdABpAG8AbgBfAEIAYQBzAGUAbABpAG4AZQBFAEYAXwBUAGkAdABsAGUAXABuACAAIAA9AEwAQQBNAEIARABBACgAXAAiAEIAYQBzAGUAbABpAG4AZQAgAGUAbQBpAHMAcwBpAG8AbgAgAGYAYQBjAHQAbwByACAAZgBvAHIAIABjAG8AbgB0AGkAbgB1AG8AdQBzAGwAeQAgAGYAbABvAG8AZABlAGQAIABmAGkAZQBsAGQAcwAgAHcAaQB0AGgAbwB1AHQAIABvAHIAZwBhAG4AaQBjACAAYQBtAGUAbgBkAG0AZQBuAHQAcwBcACIAKQA7AFwAbgBcAG4AUwBvAHUAcgBjAGUARABhAHQAYQBfAFIAaQBjAGUAQwB1AGwAdABpAHYAYQB0AGkAbwBuAF8AQgBhAHMAZQBsAGkAbgBlAEUARgBfAFYAYQByAGkAYQBiAGwAZQBcAG4AIAAgAD0ATABBAE0AQgBEAEEAKABcACIARQBGAGMAXAAiACkAOwBcAG4AXABuAFMAbwB1AHIAYwBlAEQAYQB0AGEAXwBSAGkAYwBlAEMAdQBsAHQAaQB2AGEAdABpAG8AbgBfAEIAYQBzAGUAbABpAG4AZQBFAEYAXwBVAG4AaQB0AFwAbgAgACAAPQBMAEEATQBCAEQAQQAoAFwAIgBrAGcAIABDAEgANAAgAC8AIABoAGEAIAAvACAAZABhAHkAXAAiACkAOwBcAG4AXABuAFMAbwB1AHIAYwBlAEQAYQB0AGEAXwBSAGkAYwBlAEMAdQBsAHQAaQB2AGEAdABpAG8AbgBfAEIAYQBzAGUAbABpAG4AZQBFAEYAXwBTAG8AdQByAGMAZQBcAG4AIAAgAD0ATABBAE0AQgBEAEEAKABcACIAVgBFAEUAUgBHACAAMgAwADIANgA6ACAANwAuADIALgAzACAAQwBvAG4AcwB0AGEAbgB0ACAAUABhAHIAYQBtAGUAdABlAHIAcwBcACIAKQA7AFwAbgBcAG4AUwBvAHUAcgBjAGUARABhAHQAYQBfAFIAaQBjAGUAQwB1AGwAdABpAHYAYQB0AGkAbwBuAF8AQgBhAHMAZQBsAGkAbgBlAEUARgBfAFYAYQByAGkAYQB0AGkAbwBuAFwAbgAgACAAPQBMAEEATQBCAEQAQQAoAFwAIgBcACIAKQA7AFwAbgBcAG4AUwBvAHUAcgBjAGUARABhAHQAYQBfAFIAaQBjAGUAQwB1AGwAdABpAHYAYQB0AGkAbwBuAF8AQgBhAHMAZQBsAGkAbgBlAEUARgBfAEQAYQB0AGEAXABuACAAIAA9AEwAQQBNAEIARABBACgAMQAuADEAOQApADsAIgB9ACwAewAiAHAAYQB0AGgAIgA6ACIALwBwAHIAbwBqAGUAYwB0AHMALwBSAGkAYwBlAEMAdQBsAHQAaQB2AGE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3AC4AMQA6ACAAUgBpAGMAZQAgAEMAdQBsAHQAaQB2AGEAdABpAG8AbgBcAG4APQA9AD0APQA9AD0APQA9AD0APQA9AD0APQA9AD0APQA9AD0APQA9AD0APQA9AD0APQA9AD0APQA9AD0APQA9AD0APQA9AD0APQA9AD0APQA9AD0APQA9AD0APQA9AD0APQA9AD0APQA9AD0APQA9AD0APQA9AD0APQA9AD0APQA9AD0APQA9AD0APQA9AD0APQA9AD0APQBcAG4ANwAuADEALgAxAC4AMQAgAE0AZQB0AGgAbwBkACAAMQAgAC0AIABSAGkAYwBlACAAQwB1AGwAdABpAHYAYQB0AGkAbwBuACAAQwBIADQ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cAXwAxAF8AMQBfADEAXwBfADEAXwBNAGUAdABoAGEAbgBlAEUAbQBpAHMAcwBpAG8AbgBzAEYAcgBvAG0AUgBpAGMAZQBDAHUAbAB0AGkAdgBhAHQAaQBvAG4AXABuAE0AZQB0AGgAYQBuAGUAIABlAG0AaQBzAHMAaQBvAG4AcwAgAGYAcgBvAG0AIAByAGkAYwBlACAAYwB1AGwAdABpAHYAYQB0AGkAbwBuAFwAbgBFAF8AcgBpAGMAZQBcAG4AdAAgAEMASAA0AFwAbgBFAF8AewByAGkAYwBlAH0APQBcAFwAcwB1AG0AXwB3AFwAXABzAHUAbQBfAHAAXABcAHMAdQBtAF8AbwAoAEEAXwB7AHIAaQBjAGUALAB3AHAAbwB9AFwAXAB0AGkAbQBlAHMAIABFAEYAXwB7AHIAaQBjAGUALAB3AHAAbwB9AFwAXAB0AGkAbQBlAHMAIAB0AF8AewByAGkAYwBlACwAdwBwAG8AfQApAFwAXAB0AGkAbQBlAHMAIAAxADAAXgB7AC0AMwB9AFwAbgBBAF8AcgBpAGMAZQB3AHAAbwAgAD0AIA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AgACgAaABhACkAXABuAEUARgBfAHIAaQBjAGUAdwBwAG8AIAA9ACAAZQBtAGkAcwBzAGkAbwBuACAAZgBhAGMAdABvAHIAIABmAG8AcgAgAHIAaQBjAGUAIABjAHUAbAB0AGkAdgBhAHQAaQBvAG4AIAB1AG4AZABlAHIAIABjAG8AbgBkAGkAdABpAG8AbgBzACAAdwAsACAAcAAsACAAYQBuAGQAIABvACAAKABrAGcAIABDAEgANAAvAGgAYQAvAGQAYQB5ACkAXABuAHQAXwByAGkAYwBlAHcAcABvACAAPQAgAGMAdQBsAHQAaQB2AGEAdABpAG8AbgAgAHAAZQByAGkAbwBkACAAZgBvAHIAIAByAGkAYwBlACAAdQBuAGQAZQByACAAYwBvAG4AZABpAHQAaQBvAG4AcwAgAHcALAAgAHAALAAgAGEAbgBkACAAbwAgACgAZABhAHkAcwApAFwAbgAtAC0ALQAtAC0ALQAtAC0ALQAtAC0ALQAtAC0ALQAtAC0ALQAtAC0ALQAtAC0ALQAtAC0ALQAtAC0ALQAtAC0ALQAtAC0ALQAtAC0AXABuACoALwBcAG4AXABuAFYARQBFAFIARwBfADcAXwAxAF8AMQBfADEAXwBfADEAXwBNAGUAdABoAGEAbgBlAEUAbQBpAHMAcwBpAG8AbgBzAEYAcgBvAG0AUgBpAGMAZQBDAHUAbAB0AGkAdgBhAHQAaQBvAG4AXABuACAAIAA9AEwAQQBNAEIARABBACgAXABuACAAIAAgACAAQQBfAHIAaQBjAGUAdwBwAG8ALAAgAEUARgBfAHIAaQBjAGUAdwBwAG8ALAAgAHQAXwByAGkAYwBlAHcAcABvACwAXABuACAAIAAgACAAUwBVAE0AKABBAF8AcgBpAGMAZQB3AHAAbwAgACoAIABFAEYAXwByAGkAYwBlAHcAcABvACAAKgAgAHQAXwByAGkAYwBlAHcAcABvACkAIAAqACAAMQAwACAAXgAgAC0AMwBcAG4AIAAgACkAOwBcAG4AXABuAFYARQBFAFIARwBfADcAXwAxAF8AMQBfADEAXwBfADEAXwBNAGUAdABoAGEAbgBlAEUAbQBpAHMAcwBpAG8AbgBzAEYAcgBvAG0AUgBpAGMAZQBDAHUAbAB0AGkAdgBhAHQAaQBvAG4AXwBUAGkAdABsAGUAXABuACAAIAA9AEwAQQBNAEIARABBACgAXAAiAE0AZQB0AGgAYQBuAGUAIABlAG0AaQBzAHMAaQBvAG4AcwAgAGYAcgBvAG0AIAByAGkAYwBlACAAYwB1AGwAdABpAHYAYQB0AGkAbwBuAFwAIgApADsAXABuAFwAbgBWAEUARQBSAEcAXwA3AF8AMQBfADEAXwAxAF8AXwAxAF8ATQBlAHQAaABhAG4AZQBFAG0AaQBzAHMAaQBvAG4AcwBGAHIAbwBtAFIAaQBjAGUAQwB1AGwAdABpAHYAYQB0AGkAbwBuAF8AVgBhAHIAaQBhAGIAbABlAFwAbgAgACAAPQBMAEEATQBCAEQAQQAoAFwAIgBFAF8AcgBpAGMAZQBcACIAKQA7AFwAbgBcAG4AVgBFAEUAUgBHAF8ANwBfADEAXwAxAF8AMQBfAF8AMQBfAE0AZQB0AGgAYQBuAGUARQBtAGkAcwBzAGkAbwBuAHMARgByAG8AbQBSAGkAYwBlAEMAdQBsAHQAaQB2AGEAdABpAG8AbgBfAFUAbgBpAHQAXABuACAAIAA9AEwAQQBNAEIARABBACgAXAAiAHQAIABDAEgANABcACIAKQA7AFwAbgBcAG4AVgBFAEUAUgBHAF8ANwBfADEAXwAxAF8AMQBfAF8AMQBfAE0AZQB0AGgAYQBuAGUARQBtAGkAcwBzAGkAbwBuAHMARgByAG8AbQBSAGkAYwBlAEMAdQBsAHQAaQB2AGEAdABpAG8AbgBfAFMAbwB1AHIAYwBlAFwAbgAgACAAPQBMAEEATQBCAEQAQQAoAFwAIgBWAEUARQBSAEcAIAAyADAAMgA2ADoAIAA3AC4AMQAuADEALgAxACwAIABFAHEAdQBhAHQAaQBvAG4AIAAoADEAKQBcACIAKQA7AFwAbgBcAG4AVgBFAEUAUgBHAF8ANwBfADEAXwAxAF8AMQBfAF8AMQBfAE0AZQB0AGgAYQBuAGUARQBtAGkAcwBzAGkAbwBuAHMARgByAG8AbQBSAGkAYwBlAEMAdQBsAHQAaQB2AGEAdABpAG8AbgBfAE4ASQBSAFIAZQBmAGUAcgBlAG4AYwBlAFwAbgAgACAAPQBMAEEATQBCAEQAQQAoAFwAIgBcACIAKQA7AFwAbgBcAG4AVgBFAEUAUgBHAF8ANwBfADEAXwAxAF8AMQBfAF8AMQBfAE0AZQB0AGgAYQBuAGUARQBtAGkAcwBzAGkAbwBuAHMARgByAG8AbQBSAGkAYwBlAEMAdQBsAHQAaQB2AGEAdABpAG8AbgBfAEwAYQB0AGUAeABFAHEAdQBhAHQAaQBvAG4AXABuACAAIAA9AEwAQQBNAEIARABBACgAXAAiAEUAXwB7AHIAaQBjAGUAfQA9AFwAXABzAHUAbQBfAHcAXABcAHMAdQBtAF8AcABcAFwAcwB1AG0AXwBvACgAQQBfAHsAcgBpAGMAZQAsAHcAcABvAH0AXABcAHQAaQBtAGUAcwAgAEUARgBfAHsAcgBpAGMAZQAsAHcAcABvAH0AXABcAHQAaQBtAGUAcwAgAHQAXwB7AHIAaQBjAGUALAB3AHAAbwB9ACkAXABcAHQAaQBtAGUAcwAgADEAMABeAHsALQAzAH0AXAAiACkAOwBcAG4AXABuAFYARQBFAFIARwBfADcAXwAxAF8AMQBfADEAXwBfADEAXwBNAGUAdABoAGEAbgBlAEUAbQBpAHMAcwBpAG8AbgBzAEYAcgBvAG0AUgBpAGMAZQBDAHUAbAB0AGkAdgBhAHQAaQBvAG4AXwBBAHIAZwB1AG0AZQBuAHQAcwBcAG4AIAAgAD0ATABBAE0AQgBEAEEAKABcAG4AIAAgACAAIABNAEEASwBFAEEAUgBSAEEAWQAoADQALAAgADQALABcAG4AIAAgACAAIAAgACAATABBAE0AQgBEAEEAKAByACwAYwAsAFwAbgAgACAAIAAgACAAIAAgACAASQBOAEQARQBYACgAewBcAG4AIAAgACAAIAAgACAAIAAgACAAIABcACIAQQBfAHIAaQBjAGUAdwBwAG8AXAAiACwAIABcACIAYQBuAG4AdQBhAGwAIABhAHIAZQBhACAAbwBmACAAcgBpAGMAZQAgAGMAdQBsAHQAaQB2AGEAdABpAG8AbgAgAHUAbgBkAGUAcgAgAHcAYQB0AGUAcgAgAHIAZQBnAGkAbQBlACAAdwAsACAAcAByAGUALQBzAGUAYQBzAG8AbgAgAHcAYQB0AGUAcgAgAHIAZQBnAGkAbQBlACAAcAAsACAAYQBuAGQAIABvAHIAZwBhAG4AaQBjACAAYQBtAGUAbgBkAG0AZQBuAHQAIABjAG8AbgBkAGkAdABpAG8AbgAgAG8AXAAiACwAIABcACIAaABhAFwAIgAsACAAXAAiAEkAbgBwAHUAdABcACIAOwBcAG4AIAAgACAAIAAgACAAIAAgACAAIABcACIARQBGAF8AcgBpAGMAZQB3AHAAbwBcACIALAAgAFwAIgBlAG0AaQBzAHMAaQBvAG4AIABmAGEAYwB0AG8AcgAgAGYAbwByACAAcgBpAGMAZQAgAGMAdQBsAHQAaQB2AGEAdABpAG8AbgAgAHUAbgBkAGUAcgAgAGMAbwBuAGQAaQB0AGkAbwBuAHMAIAB3ACwAIABwACwAIABhAG4AZAAgAG8AXAAiACwAIABcACIAawBnACAAQwBIADQALwBoAGEALwBkAGEAeQBcACIALAAgAFwAIgBDAGEAbABjAHUAbABhAHQAZQBkACAAZgByAG8AbQAgADcALgAxAC4AMQAuADEALAAgACgAMgApAFwAIgA7AFwAbgAgACAAIAAgACAAIAAgACAAIAAgAFwAIgB0AF8AcgBpAGMAZQB3AHAAbwBcACIALAAgAFwAIgBjAHUAbAB0AGkAdgBhAHQAaQBvAG4AIABwAGUAcgBpAG8AZAAgAGYAbwByACAAcgBpAGMAZQAgAHUAbgBkAGUAcgAgAGMAbwBuAGQAaQB0AGkAbwBuAHMAIAB3ACwAIABwACwAIABhAG4AZAAgAG8AXAAiACwAIABcACIAZABhAHkAcwBcACIALAAgAFwAIgBJAG4AcAB1AHQAXAAiADsAXABuACAAIAAgACAAIAAgACAAIAAgACAAXAAiAHMAXAAiACwAIABcACIAbgB1AG0AYgBlAHIAIABvAGYAIABjAHIAbwBwAHAAaQBuAGcAIABzAGUAYQBzAG8AbgBzACAAaQBuACAAcgBlAHAAbwByAHQAaQBuAGcAIABwAGUAcgBpAG8AZAAgAG0AYQBuAGEAZwBlAGQAIAB0AGgAaQBzACAAdwBhAHkAXAAiACwAIABcACIAcwBlAGEAcwBvAG4AcwBcACIALAAgAFwAIgBJAG4AcAB1AHQAXAAiAFwAbgAgACAAIAAgACAAIAAgACAAfQAsACAAcgAsACAAYwApAFwAbgAgACAAIAAgACAAIAApAFwAbgAgACAAIAAgACkAXABuACAAIAApADsAXABuAFwAbgBWAEUARQBSAEcAXwA3AF8AMQBfADEAXwAxAF8AXwAxAF8ATQBlAHQAaABhAG4AZQBFAG0AaQBzAHMAaQBvAG4AcwBGAHIAbwBtAFIAaQBjAGUAQwB1AGwAdABpAHYAYQB0AGkAbwBuAF8AVgBhAHIAaQBhAHQAaQBvAG4AXABuACAAIAA9AEwAQQBNAEIARABBACgAXAAiAEEAZABkAGUAZAAgAFwAdQAwADAAMgA3AG4AdQBtAGIAZQByACAAbwBmACAAcwBlAGEAcwBvAG4AcwBcAHUAMAAwADIANwAgAHYAYQByAGkAYQBiAGwAZQAgAGEAcwAgAHAAZQByACAAVgBFAEUAUgBHACAAZABlAHMAYwByAGkAcAB0AGkAbwBuACAAaQBuACAANwAuADIALgAxACAAXAB1ADAAMAAyADcAVwBoAGUAcgBlACAAdABoAGUAcgBlACAAaQBzACAAbQBvAHIAZQAgAHQAaABhAG4AIABvAG4AZQAgAGMAcgBvAHAAcABpAG4AZwAgAHMAZQBhAHMAbwBuACAAcABlAHIAIAB5AGUAYQByACwAIABBAHIAaQBjAGUALAB3AHAAbwAgAHMAaABhAGwAbAAgAGIAZQAgAHMAYwBhAGwAZQBkACAAYQBjAGMAbwByAGQAaQBuAGcAbAB5AFwAdQAwADAAMgA3AFwAIgApADsAXABuAFwAbgAvACoAXABuAC0ALQAtAC0ALQAtAC0ALQAtAC0ALQAtAC0ALQAtAC0ALQAtAC0ALQAtAC0ALQAtAC0ALQAtAC0ALQAtAC0ALQAtAC0ALQAtAC0ALQBcAG4AVgBFAEUAUgBHAF8ANwBfADEAXwAxAF8AMQBfAF8AMgBfAEUAbQBpAHMAcwBpAG8AbgBGAGEAYwB0AG8AcgBGAG8AcgBSAGkAYwBlAEMAdQBsAHQAaQB2AGEAdABpAG8AbgBcAG4ARQBtAGkAcwBzAGkAbwBuACAAZgBhAGMAdABvAHIAIABmAG8AcgAgAHIAaQBjAGUAIABjAHUAbAB0AGkAdgBhAHQAaQBvAG4AXABuAEUARgBfAHIAaQBjAGUAdwBwAG8AXABuAGsAZwAgAEMASAA0AC8AaABhAC8AZABhAHkAXABuAEUARgBfAHsAcgBpAGMAZQAsAHcAcABvAH0APQBFAEYAXwBjAFwAXAB0AGkAbQBlAHMAIABTAEYAXwB3AFwAXAB0AGkAbQBlAHMAIABTAEYAXwBwAFwAXAB0AGkAbQBlAHMAIABTAEYAXwBvAFwAbgBFAEYAXwBjACAAPQAgAGIAYQBzAGUAbABpAG4AZQAgAGUAbQBpAHMAcwBpAG8AbgAgAGYAYQBjAHQAbwByACAAZgBvAHIAIABjAG8AbgB0AGkAbgB1AG8AdQBzAGwAeQAgAGYAbABvAG8AZABlAGQAIABmAGkAZQBsAGQAcwAgAHcAaQB0AGgAbwB1AHQAIABvAHIAZwBhAG4AaQBjACAAYQBtAGUAbgBkAG0AZQBuAHQAcwAgACgAawBnACAAQwBIADQALwBoAGEALwBkAGEAeQApAFwAbgBTAEYAXwB3ACAAPQAgAHMAYwBhAGwAaQBuAGcAIABmAGEAYwB0AG8AcgAgAGYAbwByACAAdwBhAHQAZQByACAAcgBlAGcAaQBtAGUAIABkAHUAcgBpAG4AZwAgAHQAaABlACAAZwByAG8AdwBpAG4AZwAgAHMAZQBhAHMAbwBuAFwAbgBTAEYAXwBwACAAPQAgAHMAYwBhAGwAaQBuAGcAIABmAGEAYwB0AG8AcgAgAGYAbwByACAAdwBhAHQAZQByACAAcgBlAGcAaQBtAGUAIABpAG4AIAB0AGgAZQAgAHAAcgBlAC0AcwBlAGEAcwBvAG4AXABuAFMARgBfAG8AIAA9ACAAcwBjAGEAbABpAG4AZwAgAGYAYQBjAHQAbwByACAAZgBvAHIAIAB0AHkAcABlACAAYQBuAGQAIABhAG0AbwB1AG4AdAAgAG8AZgAgAG8AcgBnAGEAbgBpAGMAIABhAG0AZQBuAGQAbQBlAG4AdABzACAAKABzAGUAdAAgAHQAbwAgADEAIABmAG8AcgAgAGkAbgBvAHIAZwBhAG4AaQBjACAAZgBlAHIAdABpAGwAaQBzAGUAcgAgAHUAcwBlACkAXABuAC0ALQAtAC0ALQAtAC0ALQAtAC0ALQAtAC0ALQAtAC0ALQAtAC0ALQAtAC0ALQAtAC0ALQAtAC0ALQAtAC0ALQAtAC0ALQAtAC0ALQBcAG4AKgAvAFwAbgBcAG4AVgBFAEUAUgBHAF8ANwBfADEAXwAxAF8AMQBfAF8AMgBfAEUAbQBpAHMAcwBpAG8AbgBGAGEAYwB0AG8AcgBGAG8AcgBSAGkAYwBlAEMAdQBsAHQAaQB2AGEAdABpAG8AbgBcAG4AIAAgAD0ATABBAE0AQgBEAEEAKABcAG4AIAAgACAAIABFAEYAXwBjACwAIABTAEYAXwB3ACwAIABTAEYAXwBwACwAIABTAEYAXwBvACwAXABuACAAIAAgACAARQBGAF8AYwAgACoAIABTAEYAXwB3ACAAKgAgAFMARgBfAHAAIAAqACAAUwBGAF8AbwBcAG4AIAAgACkAOwBcAG4AXABuAFYARQBFAFIARwBfADcAXwAxAF8AMQBfADEAXwBfADIAXwBFAG0AaQBzAHMAaQBvAG4ARgBhAGMAdABvAHIARgBvAHIAUgBpAGMAZQBDAHUAbAB0AGkAdgBhAHQAaQBvAG4AXwBUAGkAdABsAGUAXABuACAAIAA9AEwAQQBNAEIARABBACgAXAAiAEUAbQBpAHMAcwBpAG8AbgAgAGYAYQBjAHQAbwByACAAZgBvAHIAIAByAGkAYwBlACAAYwB1AGwAdABpAHYAYQB0AGkAbwBuAFwAIgApADsAXABuAFwAbgBWAEUARQBSAEcAXwA3AF8AMQBfADEAXwAxAF8AXwAyAF8ARQBtAGkAcwBzAGkAbwBuAEYAYQBjAHQAbwByAEYAbwByAFIAaQBjAGUAQwB1AGwAdABpAHYAYQB0AGkAbwBuAF8AVgBhAHIAaQBhAGIAbABlAFwAbgAgACAAPQBMAEEATQBCAEQAQQAoAFwAIgBFAEYAXwByAGkAYwBlAHcAcABvAFwAIgApADsAXABuAFwAbgBWAEUARQBSAEcAXwA3AF8AMQBfADEAXwAxAF8AXwAyAF8ARQBtAGkAcwBzAGkAbwBuAEYAYQBjAHQAbwByAEYAbwByAFIAaQBjAGUAQwB1AGwAdABpAHYAYQB0AGkAbwBuAF8AVQBuAGkAdABcAG4AIAAgAD0ATABBAE0AQgBEAEEAKABcACIAawBnACAAQwBIADQALwBoAGEALwBkAGEAeQBcACIAKQA7AFwAbgBcAG4AVgBFAEUAUgBHAF8ANwBfADEAXwAxAF8AMQBfAF8AMgBfAEUAbQBpAHMAcwBpAG8AbgBGAGEAYwB0AG8AcgBGAG8AcgBSAGkAYwBlAEMAdQBsAHQAaQB2AGEAdABpAG8AbgBfAFMAbwB1AHIAYwBlAFwAbgAgACAAPQBMAEEATQBCAEQAQQAoAFwAIgBWAEUARQBSAEcAIAAyADAAMgA2ADoAIAA3AC4AMQAuADEALgAxACwAIABFAHEAdQBhAHQAaQBvAG4AIAAoADIAKQBcACIAKQA7AFwAbgBcAG4AVgBFAEUAUgBHAF8ANwBfADEAXwAxAF8AMQBfAF8AMgBfAEUAbQBpAHMAcwBpAG8AbgBGAGEAYwB0AG8AcgBGAG8AcgBSAGkAYwBlAEMAdQBsAHQAaQB2AGEAdABpAG8AbgBfAE4ASQBSAFIAZQBmAGUAcgBlAG4AYwBlAFwAbgAgACAAPQBMAEEATQBCAEQAQQAoAFwAIgBcACIAKQA7AFwAbgBcAG4AVgBFAEUAUgBHAF8ANwBfADEAXwAxAF8AMQBfAF8AMgBfAEUAbQBpAHMAcwBpAG8AbgBGAGEAYwB0AG8AcgBGAG8AcgBSAGkAYwBlAEMAdQBsAHQAaQB2AGEAdABpAG8AbgBfAEwAYQB0AGUAeABFAHEAdQBhAHQAaQBvAG4AXABuACAAIAA9AEwAQQBNAEIARABBACgAXAAiAEUARgBfAHsAcgBpAGMAZQAsAHcAcABvAH0APQBFAEYAXwBjAFwAXAB0AGkAbQBlAHMAIABTAEYAXwB3AFwAXAB0AGkAbQBlAHMAIABTAEYAXwBwAFwAXAB0AGkAbQBlAHMAIABTAEYAXwBvAFwAIgApADsAXABuAFwAbgBWAEUARQBSAEcAXwA3AF8AMQBfADEAXwAxAF8AXwAyAF8ARQBtAGkAcwBzAGkAbwBuAEYAYQBjAHQAbwByAEYAbwByAFIAaQBjAGUAQwB1AGwAdABpAHYAYQB0AGkAbwBuAF8AQQByAGcAdQBtAGUAbgB0AHMAXABuACAAIAA9AEwAQQBNAEIARABBACgAXABuACAAIAAgACAATQBBAEsARQBBAFIAUgBBAFkAKAA3ACwAIAA0ACwAXABuACAAIAAgACAAIAAgAEwAQQBNAEIARABBACgAcgAsAGMALABcAG4AIAAgACAAIAAgACAAIAAgAEkATgBEAEUAWAAoAHsAXABuACAAIAAgACAAIAAgACAAIAAgACAAXAAiAEUARgBfAGMAXAAiACwAIABcACIAYgBhAHMAZQBsAGkAbgBlACAAZQBtAGkAcwBzAGkAbwBuACAAZgBhAGMAdABvAHIAIABmAG8AcgAgAGMAbwBuAHQAaQBuAHUAbwB1AHMAbAB5ACAAZgBsAG8AbwBkAGUAZAAgAGYAaQBlAGwAZABzACAAdwBpAHQAaABvAHUAdAAgAG8AcgBnAGEAbgBpAGMAIABhAG0AZQBuAGQAbQBlAG4AdABzAFwAIgAsACAAXAAiAGsAZwAgAEMASAA0AC8AaABhAC8AZABhAHkAXAAiACwAIABcACIAQwBvAG4AcwB0AGEAbgB0AFwAIgA7AFwAbgAgACAAIAAgACAAIAAgACAAIAAgAFwAIgBTAEYAXwB3AFwAIgAsACAAXAAiAHMAYwBhAGwAaQBuAGcAIABmAGEAYwB0AG8AcgAgAGYAbwByACAAdwBhAHQAZQByACAAcgBlAGcAaQBtAGUAIABkAHUAcgBpAG4AZwAgAHQAaABlACAAZwByAG8AdwBpAG4AZwAgAHMAZQBhAHMAbwBuAFwAIgAsACAAXAAiAGYAcgBhAGMAdABpAG8AbgBcACIALAAgAFwAIgBDAG8AbgBzAHQAYQBuAHQAXAAiADsAXABuACAAIAAgACAAIAAgACAAIAAgACAAXAAiAFMARgBfAHAAXAAiACwAIABcACIAcwBjAGEAbABpAG4AZwAgAGYAYQBjAHQAbwByACAAZgBvAHIAIAB3AGEAdABlAHIAIAByAGUAZwBpAG0AZQAgAGkAbgAgAHQAaABlACAAcAByAGUALQBzAGUAYQBzAG8AbgBcACIALAAgAFwAIgBmAHIAYQBjAHQAaQBvAG4AXAAiACwAIABcACIAQwBvAG4AcwB0AGEAbgB0AFwAIgA7AFwAbgAgACAAIAAgACAAIAAgACAAIAAgAFwAIgBTAEYAXwBvAFwAIgAsACAAXAAiAHMAYwBhAGwAaQBuAGcAIABmAGEAYwB0AG8AcgAgAGYAbwByACAAdAB5AHAAZQAgAGEAbgBkACAAYQBtAG8AdQBuAHQAIABvAGYAIABvAHIAZwBhAG4AaQBjACAAYQBtAGUAbgBkAG0AZQBuAHQAcwBcACIALAAgAFwAIgBmAHIAYQBjAHQAaQBvAG4AXAAiACwAIABcACIAQwBhAGwAYwB1AGwAYQB0AGUAZAAgAGYAcgBvAG0AIAA3AC4AMQAuADEALgAxACwAIAAoADMAKQBcACIAOwBcAG4AIAAgACAAIAAgACAAIAAgACAAIABcACIAdwBcACIALAAgAFwAIgB3AGEAdABlAHIAIAByAGUAZwBpAG0AZQAgAGQAdQByAGkAbgBnACAAZwByAG8AdwBpAG4AZwAgAHMAZQBhAHMAbwBuAFwAIgAsACAAXAAiAFwAIgAsACAAXAAiAEkAbgBwAHUAdABcACIAOwBcAG4AIAAgACAAIAAgACAAIAAgACAAIABcACIAcABcACIALAAgAFwAIgBwAHIAZQAtAHMAZQBhAHMAbwBuACAAdwBhAHQAZQByACAAcgBlAGcAaQBtAGUAXAAiACwAIABcACIAXAAiACwAIABcACIASQBuAHAAdQB0AFwAIgA7AFwAbgAgACAAIAAgACAAIAAgACAAIAAgAFwAIgBvAFwAIgAsACAAXAAiAG8AcgBnAGEAbgBpAGMAIABhAG0AZQBuAGQAbQBlAG4AdA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wBfADEAXwAxAF8AMQBfAF8AMwBfAE8AcgBnAGEAbgBpAGMAQQBtAGUAbgBkAG0AZQBuAHQAcwBTAGMAYQBsAGkAbgBnAEYAYQBjAHQAbwByAFwAbgBPAHIAZwBhAG4AaQBjACAAYQBtAGUAbgBkAG0AZQBuAHQAcwAgAHMAYwBhAGwAaQBuAGcAIABmAGEAYwB0AG8AcgBcAG4AUwBGAF8AbwBcAG4AZABpAG0AZQBuAHMAaQBvAG4AbABlAHMAcwBcAG4AUwBGAF8AbwA9ACgAMQArAFwAXABzAHUAbQBfAG8AKABSAE8AQQBfAG8AXABcAHQAaQBtAGUAcwAgAEMARgBPAEEAXwBvACkAKQBeAHsAMAAuADUAOQB9AFwAbgBSAE8AQQBfAG8AIAA9ACAAYQBwAHAAbABpAGMAYQB0AGkAbwBuACAAcgBhAHQAZQAgAG8AZgAgAG8AcgBnAGEAbgBpAGMAIABhAG0AZQBuAGQAbQBlAG4AdAAgAG8AIAAoAHQAbwBuAG4AZQBzAC8AaABhACkAXABuAEMARgBPAEEAXwBvACAAPQAgAGMAbwBuAHYAZQByAHMAaQBvAG4AIABmAGEAYwB0AG8AcgAgAG8AZgAgAG8AcgBnAGEAbgBpAGMAIABhAG0AZQBuAGQAbQBlAG4AdAAgAG8AXABuAC0ALQAtAC0ALQAtAC0ALQAtAC0ALQAtAC0ALQAtAC0ALQAtAC0ALQAtAC0ALQAtAC0ALQAtAC0ALQAtAC0ALQAtAC0ALQAtAC0ALQBcAG4AKgAvAFwAbgBcAG4AVgBFAEUAUgBHAF8ANwBfADEAXwAxAF8AMQBfAF8AMwBfAE8AcgBnAGEAbgBpAGMAQQBtAGUAbgBkAG0AZQBuAHQAcwBTAGMAYQBsAGkAbgBnAEYAYQBjAHQAbwByAFwAbgAgACAAPQBMAEEATQBCAEQAQQAoAFwAbgAgACAAIAAgAFIATwBBAF8AbwAsACAAQwBGAE8AQQBfAG8ALABcAG4AIAAgACAAIAAoADEAIAArACAAUwBVAE0AKABSAE8AQQBfAG8AIAAqACAAQwBGAE8AQQBfAG8AKQApACAAXgAgADAALgA1ADkAXABuACAAIAApADsAXABuAFwAbgBWAEUARQBSAEcAXwA3AF8AMQBfADEAXwAxAF8AXwAzAF8ATwByAGcAYQBuAGkAYwBBAG0AZQBuAGQAbQBlAG4AdABzAFMAYwBhAGwAaQBuAGcARgBhAGMAdABvAHIAVgBhAHIAaQBhAHQAaQBvAG4AXABuACAAIAA9AEwAQQBNAEIARABBACgAXABuACAAIAAgACAAUgBPAEEAXwBvADEALAAgAEMARgBPAEEAXwBvADEALAAgAFIATwBBAF8AbwAyACwAIABDAEYATwBBAF8AbwAyACwAIABSAE8AQQBfAG8AMwAsACAAQwBGAE8AQQBfAG8AMwAsACAAUgBPAEEAXwBvADQALAAgAEMARgBPAEEAXwBvADQALAAgAFIATwBBAF8AbwA1ACwAIABDAEYATwBBAF8AbwA1ACwAIABSAE8AQQBfAG8ANgAsACAAQwBGAE8AQQBfAG8ANgAsAFwAbgAgACAAIAAgACgAMQAgACsAIAAoACgAUgBPAEEAXwBvADEAIAAqACAAQwBGAE8AQQBfAG8AMQApACAAKwAgACgAUgBPAEEAXwBvADIAIAAqACAAQwBGAE8AQQBfAG8AMgApACAAKwAgACgAUgBPAEEAXwBvADMAIAAqACAAQwBGAE8AQQBfAG8AMwApACsAIAAoAFIATwBBAF8AbwA0ACAAKgAgAEMARgBPAEEAXwBvADQAKQAgACsAIAAoAFIATwBBAF8AbwA1ACAAKgAgAEMARgBPAEEAXwBvADUAKQAgACsAIAAoAFIATwBBAF8AbwA2ACAAKgAgAEMARgBPAEEAXwBvADYAKQApACkAIABeACAAMAAuADUAOQBcAG4AIAAgACkAOwBcAG4AXABuAFYARQBFAFIARwBfADcAXwAxAF8AMQBfADEAXwBfADMAXwBPAHIAZwBhAG4AaQBjAEEAbQBlAG4AZABtAGUAbgB0AHMAUwBjAGEAbABpAG4AZwBGAGEAYwB0AG8AcgBfAFQAaQB0AGwAZQBcAG4AIAAgAD0ATABBAE0AQgBEAEEAKABcACIATwByAGcAYQBuAGkAYwAgAGEAbQBlAG4AZABtAGUAbgB0AHMAIABzAGMAYQBsAGkAbgBnACAAZgBhAGMAdABvAHIAXAAiACkAOwBcAG4AXABuAFYARQBFAFIARwBfADcAXwAxAF8AMQBfADEAXwBfADMAXwBPAHIAZwBhAG4AaQBjAEEAbQBlAG4AZABtAGUAbgB0AHMAUwBjAGEAbABpAG4AZwBGAGEAYwB0AG8AcgBfAFYAYQByAGkAYQBiAGwAZQBcAG4AIAAgAD0ATABBAE0AQgBEAEEAKABcACIAUwBGAF8AbwBcACIAKQA7AFwAbgBcAG4AVgBFAEUAUgBHAF8ANwBfADEAXwAxAF8AMQBfAF8AMwBfAE8AcgBnAGEAbgBpAGMAQQBtAGUAbgBkAG0AZQBuAHQAcwBTAGMAYQBsAGkAbgBnAEYAYQBjAHQAbwByAF8AVQBuAGkAdABcAG4AIAAgAD0ATABBAE0AQgBEAEEAKABcACIAZABpAG0AZQBuAHMAaQBvAG4AbABlAHMAcwBcACIAKQA7AFwAbgBcAG4AVgBFAEUAUgBHAF8ANwBfADEAXwAxAF8AMQBfAF8AMwBfAE8AcgBnAGEAbgBpAGMAQQBtAGUAbgBkAG0AZQBuAHQAcwBTAGMAYQBsAGkAbgBnAEYAYQBjAHQAbwByAF8AUwBvAHUAcgBjAGUAXABuACAAIAA9AEwAQQBNAEIARABBACgAXAAiAFYARQBFAFIARwAgADIAMAAyADYAOgAgADcALgAxAC4AMQAuADEALAAgAEUAcQB1AGEAdABpAG8AbgAgACgAMwApAFwAIgApADsAXABuAFwAbgBWAEUARQBSAEcAXwA3AF8AMQBfADEAXwAxAF8AXwAzAF8ATwByAGcAYQBuAGkAYwBBAG0AZQBuAGQAbQBlAG4AdABzAFMAYwBhAGwAaQBuAGcARgBhAGMAdABvAHIAXwBOAEkAUgBSAGUAZgBlAHIAZQBuAGMAZQBcAG4AIAAgAD0ATABBAE0AQgBEAEEAKABcACIAXAAiACkAOwBcAG4AXABuAFYARQBFAFIARwBfADcAXwAxAF8AMQBfADEAXwBfADMAXwBPAHIAZwBhAG4AaQBjAEEAbQBlAG4AZABtAGUAbgB0AHMAUwBjAGEAbABpAG4AZwBGAGEAYwB0AG8AcgBfAEwAYQB0AGUAeABFAHEAdQBhAHQAaQBvAG4AXABuACAAIAA9AEwAQQBNAEIARABBACgAXAAiAFMARgBfAG8APQAoADEAKwBcAFwAcwB1AG0AXwBvAFIATwBBAF8AbwBcAFwAdABpAG0AZQBzACAAQwBGAE8AQQBfAG8AKQBeAHsAMAAuADUAOQB9AFwAIgApADsAXABuAFwAbgBWAEUARQBSAEcAXwA3AF8AMQBfADEAXwAxAF8AXwAzAF8ATwByAGcAYQBuAGkAYwBBAG0AZQBuAGQAbQBlAG4AdABzAFMAYwBhAGwAaQBuAGcARgBhAGMAdABvAHIAXwBMAGEAdABlAHgARQBxAHUAYQB0AGkAbwBuAFYAYQByAGkAYQB0AGkAbwBuAFwAbgAgACAAPQBMAEEATQBCAEQAQQAoAFwAIgBTAEYAXwBvAD0AKAAxACsAIAAoACgAUgBPAEEAXwBvADEAXABcAHQAaQBtAGUAcwAgAEMARgBPAEEAXwBvADEAKQAgACsAIAAoAFIATwBBAF8AbwAyAFwAXAB0AGkAbQBlAHMAIABDAEYATwBBAF8AbwAyACkAIAArACAAKABSAE8AQQBfAG8AMwBcAFwAdABpAG0AZQBzACAAQwBGAE8AQQBfAG8AMwApACAAKwAgACgAUgBPAEEAXwBvADQAXABcAHQAaQBtAGUAcwAgAEMARgBPAEEAXwBvADQAKQAgACsAIAAoAFIATwBBAF8AbwA1AFwAXAB0AGkAbQBlAHMAIABDAEYATwBBAF8AbwA1ACkAIAArACAAKABSAE8AQQBfAG8ANgBcAFwAdABpAG0AZQBzACAAQwBGAE8AQQBfAG8ANgApACkAXgB7ADAALgA1ADkAfQBcACIAKQA7AFwAbgBcAG4AVgBFAEUAUgBHAF8ANwBfADEAXwAxAF8AMQBfAF8AMwBfAE8AcgBnAGEAbgBpAGMAQQBtAGUAbgBkAG0AZQBuAHQAcwBTAGMAYQBsAGkAbgBnAEYAYQBjAHQAbwByAF8AQQByAGcAdQBtAGUAbgB0AHMAXABuACAAIAA9AEwAQQBNAEIARABBACgAXABuACAAIAAgACAATQBBAEsARQBBAFIAUgBBAFkAKAAzACwAIAA0ACwAXABuACAAIAAgACAAIAAgAEwAQQBNAEIARABBACgAcgAsAGMALABcAG4AIAAgACAAIAAgACAAIAAgAEkATgBEAEUAWAAoAHsAXABuACAAIAAgACAAIAAgACAAIAAgACAAXAAiAFIATwBBAF8AbwBcACIALAAgAFwAIgBhAHAAcABsAGkAYwBhAHQAaQBvAG4AIAByAGEAdABlACAAbwBmACAAbwByAGcAYQBuAGkAYwAgAGEAbQBlAG4AZABtAGUAbgB0ACAAbwBcACIALAAgAFwAIgB0AG8AbgBuAGUAcwAvAGgAYQBcACIALAAgAFwAIgBJAG4AcAB1AHQAXAAiADsAXABuACAAIAAgACAAIAAgACAAIAAgACAAXAAiAEMARgBPAEEAXwBvAFwAIgAsACAAXAAiAGMAbwBuAHYAZQByAHMAaQBvAG4AIABmAGEAYwB0AG8AcgAgAG8AZgAgAG8AcgBnAGEAbgBpAGMAIABhAG0AZQBuAGQAbQBlAG4AdAAgAG8AXAAiACwAIABcACIAZgByAGEAYwB0AGkAbwBuAFwAIgAsACAAXAAiAEMAbwBuAHMAdABhAG4AdABcACIAOwBcAG4AIAAgACAAIAAgACAAIAAgACAAIABcACIAbwBcACIALAAgAFwAIgBvAHIAZwBhAG4AaQBjACAAYQBtAGUAbgBkAG0AZQBuAHQAIAB0AHkAcABlAFwAIgAsACAAXAAiAFwAIgAsACAAXAAiAEkAbgBwAHUAdABcACIAXABuACAAIAAgACAAIAAgACAAIAB9ACwAIAByACwAIABjACkAXABuACAAIAAgACAAIAAgACkAXABuACAAIAAgACAAKQBcAG4AIAAgACkAOwBcAG4AXABuAFYARQBFAFIARwBfADcAXwAxAF8AMQBfADEAXwBfADMAXwBPAHIAZwBhAG4AaQBjAEEAbQBlAG4AZABtAGUAbgB0AHMAUwBjAGEAbABpAG4AZwBGAGEAYwB0AG8AcgBfAFYAYQByAGkAYQB0AGkAbwBuAFwAbgAgACAAPQBMAEEATQBCAEQAQQAoAFwAbgAgACAAIAAgAE0AQQBLAEUAQQBSAFIAQQBZACgANA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OwBcAG4AIAAgACAAIAAgACAAIAAgACAAIABcACIARABlAGMAbABhAHIAZQBkACAAZQBhAGMAaAAgAGEAbQBlAG4AZABtAGUAbgB0ACAAcwBlAHAAYQByAGEAdABlAGwAeQAgAHQAbwAgAGEAbABsAG8AdwAgAHMAdQBtAG0AaQBuAGcAIABpAG4AIABFAHgAYwBlAGwAIABpAG4AIABvAG4AZQAgAGUAcQB1AGEAdABpAG8Ab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IAaQBjAGUAQwB1AGwAdABpAHYAYQB0AGkAbwBuAF8AUwBvAHUAcgBjAGUARABhAHQAYQAuAFMAbwB1AHIAYwBlAEQAYQB0AGEAXwBSAGkAYwBlAEMAdQBsAHQAaQB2AGEAdABpAG8AbgBfAFcAYQB0AGUAcgBTAGMAYQBsAGkAbgBnAEYAYQBjAHQAbwByAEcAcgBvAHcAaQBuAGcAUwBlAGEAcwBvAG4AXwBUAGkAdABsAGUAIgAsACIAUgBpAGMAZQBDAHUAbAB0AGkAdgBhAHQAaQBvAG4AXwBTAG8AdQByAGMAZQBEAGEAdABhAC4AUwBvAHUAcgBjAGUARABhAHQAYQBfAFIAaQBjAGUAQwB1AGwAdABpAHYAYQB0AGkAbwBuAF8AVwBhAHQAZQByAFMAYwBhAGwAaQBuAGcARgBhAGMAdABvAHIARwByAG8AdwBpAG4AZwBTAGUAYQBzAG8AbgBfAFYAYQByAGkAYQBiAGwAZQAiACwAIgBSAGkAYwBlAEMAdQBsAHQAaQB2AGEAdABpAG8AbgBfAFMAbwB1AHIAYwBlAEQAYQB0AGEALgBTAG8AdQByAGMAZQBEAGEAdABhAF8AUgBpAGMAZQBDAHUAbAB0AGkAdgBhAHQAaQBvAG4AXwBXAGEAdABlAHIAUwBjAGEAbABpAG4AZwBGAGEAYwB0AG8AcgBHAHIAbwB3AGkAbgBnAFMAZQBhAHMAbwBuAF8AVQBuAGkAdAAiACwAIgBSAGkAYwBlAEMAdQBsAHQAaQB2AGEAdABpAG8AbgBfAFMAbwB1AHIAYwBlAEQAYQB0AGEALgBTAG8AdQByAGMAZQBEAGEAdABhAF8AUgBpAGMAZQBDAHUAbAB0AGkAdgBhAHQAaQBvAG4AXwBXAGEAdABlAHIAUwBjAGEAbABpAG4AZwBGAGEAYwB0AG8AcgBHAHIAbwB3AGkAbgBnAFMAZQBhAHMAbwBuAF8AUwBvAHUAcgBjAGUAIgAsACIAUgBpAGMAZQBDAHUAbAB0AGkAdgBhAHQAaQBvAG4AXwBTAG8AdQByAGMAZQBEAGEAdABhAC4AUwBvAHUAcgBjAGUARABhAHQAYQBfAFIAaQBjAGUAQwB1AGwAdABpAHYAYQB0AGkAbwBuAF8AVwBhAHQAZQByAFMAYwBhAGwAaQBuAGcARgBhAGMAdABvAHIARwByAG8AdwBpAG4AZwBTAGUAYQBzAG8AbgBfAFYAYQByAGkAYQB0AGkAbwBuACIALAAiAFIAaQBjAGUAQwB1AGwAdABpAHYAYQB0AGkAbwBuAF8AUwBvAHUAcgBjAGUARABhAHQAYQAuAFMAbwB1AHIAYwBlAEQAYQB0AGEAXwBSAGkAYwBlAEMAdQBsAHQAaQB2AGEAdABpAG8AbgBfAFcAYQB0AGUAcgBTAGMAYQBsAGkAbgBnAEYAYQBjAHQAbwByAEcAcgBvAHcAaQBuAGcAUwBlAGEAcwBvAG4AXwBEAGEAdABhACIALAAiAFIAaQBjAGUAQwB1AGwAdABpAHYAYQB0AGkAbwBuAF8AUwBvAHUAcgBjAGUARABhAHQAYQAuAFMAbwB1AHIAYwBlAEQAYQB0AGEAXwBSAGkAYwBlAEMAdQBsAHQAaQB2AGEAdABpAG8AbgBfAFcAYQB0AGUAcgBTAGMAYQBsAGkAbgBnAEYAYQBjAHQAbwByAFAAcgBlAFMAZQBhAHMAbwBuAF8AVABpAHQAbABlACIALAAiAFIAaQBjAGUAQwB1AGwAdABpAHYAYQB0AGkAbwBuAF8AUwBvAHUAcgBjAGUARABhAHQAYQAuAFMAbwB1AHIAYwBlAEQAYQB0AGEAXwBSAGkAYwBlAEMAdQBsAHQAaQB2AGEAdABpAG8AbgBfAFcAYQB0AGUAcgBTAGMAYQBsAGkAbgBnAEYAYQBjAHQAbwByAFAAcgBlAFMAZQBhAHMAbwBuAF8AVgBhAHIAaQBhAGIAbABlACIALAAiAFIAaQBjAGUAQwB1AGwAdABpAHYAYQB0AGkAbwBuAF8AUwBvAHUAcgBjAGUARABhAHQAYQAuAFMAbwB1AHIAYwBlAEQAYQB0AGEAXwBSAGkAYwBlAEMAdQBsAHQAaQB2AGEAdABpAG8AbgBfAFcAYQB0AGUAcgBTAGMAYQBsAGkAbgBnAEYAYQBjAHQAbwByAFAAcgBlAFMAZQBhAHMAbwBuAF8AVQBuAGkAdAAiACwAIgBSAGkAYwBlAEMAdQBsAHQAaQB2AGEAdABpAG8AbgBfAFMAbwB1AHIAYwBlAEQAYQB0AGEALgBTAG8AdQByAGMAZQBEAGEAdABhAF8AUgBpAGMAZQBDAHUAbAB0AGkAdgBhAHQAaQBvAG4AXwBXAGEAdABlAHIAUwBjAGEAbABpAG4AZwBGAGEAYwB0AG8AcgBQAHIAZQBTAGUAYQBzAG8AbgBfAFMAbwB1AHIAYwBlACIALAAiAFIAaQBjAGUAQwB1AGwAdABpAHYAYQB0AGkAbwBuAF8AUwBvAHUAcgBjAGUARABhAHQAYQAuAFMAbwB1AHIAYwBlAEQAYQB0AGEAXwBSAGkAYwBlAEMAdQBsAHQAaQB2AGEAdABpAG8AbgBfAFcAYQB0AGUAcgBTAGMAYQBsAGkAbgBnAEYAYQBjAHQAbwByAFAAcgBlAFMAZQBhAHMAbwBuAF8AVgBhAHIAaQBhAHQAaQBvAG4AIgAsACIAUgBpAGMAZQBDAHUAbAB0AGkAdgBhAHQAaQBvAG4AXwBTAG8AdQByAGMAZQBEAGEAdABhAC4AUwBvAHUAcgBjAGUARABhAHQAYQBfAFIAaQBjAGUAQwB1AGwAdABpAHYAYQB0AGkAbwBuAF8AVwBhAHQAZQByAFMAYwBhAGwAaQBuAGcARgBhAGMAdABvAHIAUAByAGUAUwBlAGEAcwBvAG4AXwBEAGEAdABhACIALAAiAFIAaQBjAGUAQwB1AGwAdABpAHYAYQB0AGkAbwBuAF8AUwBvAHUAcgBjAGUARABhAHQAYQAuAFMAbwB1AHIAYwBlAEQAYQB0AGEAXwBSAGkAYwBlAEMAdQBsAHQAaQB2AGEAdABpAG8AbgBfAE8AcgBnAGEAbgBpAGMAQQBtAGUAbgBkAG0AZQBuAHQAQwBvAG4AdgBlAHIAcwBpAG8AbgBGAGEAYwB0AG8AcgBfAFQAaQB0AGwAZQAiACwAIgBSAGkAYwBlAEMAdQBsAHQAaQB2AGEAdABpAG8AbgBfAFMAbwB1AHIAYwBlAEQAYQB0AGEALgBTAG8AdQByAGMAZQBEAGEAdABhAF8AUgBpAGMAZQBDAHUAbAB0AGkAdgBhAHQAaQBvAG4AXwBPAHIAZwBhAG4AaQBjAEEAbQBlAG4AZABtAGUAbgB0AEMAbwBuAHYAZQByAHMAaQBvAG4ARgBhAGMAdABvAHIAXwBWAGEAcgBpAGEAYgBsAGUAIgAsACIAUgBpAGMAZQBDAHUAbAB0AGkAdgBhAHQAaQBvAG4AXwBTAG8AdQByAGMAZQBEAGEAdABhAC4AUwBvAHUAcgBjAGUARABhAHQAYQBfAFIAaQBjAGUAQwB1AGwAdABpAHYAYQB0AGkAbwBuAF8ATwByAGcAYQBuAGkAYwBBAG0AZQBuAGQAbQBlAG4AdABDAG8AbgB2AGUAcgBzAGkAbwBuAEYAYQBjAHQAbwByAF8AVQBuAGkAdAAiACwAIgBSAGkAYwBlAEMAdQBsAHQAaQB2AGEAdABpAG8AbgBfAFMAbwB1AHIAYwBlAEQAYQB0AGEALgBTAG8AdQByAGMAZQBEAGEAdABhAF8AUgBpAGMAZQBDAHUAbAB0AGkAdgBhAHQAaQBvAG4AXwBPAHIAZwBhAG4AaQBjAEEAbQBlAG4AZABtAGUAbgB0AEMAbwBuAHYAZQByAHMAaQBvAG4ARgBhAGMAdABvAHIAXwBTAG8AdQByAGMAZQAiACwAIgBSAGkAYwBlAEMAdQBsAHQAaQB2AGEAdABpAG8AbgBfAFMAbwB1AHIAYwBlAEQAYQB0AGEALgBTAG8AdQByAGMAZQBEAGEAdABhAF8AUgBpAGMAZQBDAHUAbAB0AGkAdgBhAHQAaQBvAG4AXwBPAHIAZwBhAG4AaQBjAEEAbQBlAG4AZABtAGUAbgB0AEMAbwBuAHYAZQByAHMAaQBvAG4ARgBhAGMAdABvAHIAXwBWAGEAcgBpAGEAdABpAG8AbgAiACwAIgBSAGkAYwBlAEMAdQBsAHQAaQB2AGEAdABpAG8AbgBfAFMAbwB1AHIAYwBlAEQAYQB0AGEALgBTAG8AdQByAGMAZQBEAGEAdABhAF8AUgBpAGMAZQBDAHUAbAB0AGkAdgBhAHQAaQBvAG4AXwBPAHIAZwBhAG4AaQBjAEEAbQBlAG4AZABtAGUAbgB0AEMAbwBuAHYAZQByAHMAaQBvAG4ARgBhAGMAdABvAHIAXwBEAGEAdABhACIALAAiAFIAaQBjAGUAQwB1AGwAdABpAHYAYQB0AGkAbwBuAF8AUwBvAHUAcgBjAGUARABhAHQAYQAuAFMAbwB1AHIAYwBlAEQAYQB0AGEAXwBSAGkAYwBlAEMAdQBsAHQAaQB2AGEAdABpAG8AbgBfAEIAYQBzAGUAbABpAG4AZQBFAEYAXwBUAGkAdABsAGUAIgAsACIAUgBpAGMAZQBDAHUAbAB0AGkAdgBhAHQAaQBvAG4AXwBTAG8AdQByAGMAZQBEAGEAdABhAC4AUwBvAHUAcgBjAGUARABhAHQAYQBfAFIAaQBjAGUAQwB1AGwAdABpAHYAYQB0AGkAbwBuAF8AQgBhAHMAZQBsAGkAbgBlAEUARgBfAFYAYQByAGkAYQBiAGwAZQAiACwAIgBSAGkAYwBlAEMAdQBsAHQAaQB2AGEAdABpAG8AbgBfAFMAbwB1AHIAYwBlAEQAYQB0AGEALgBTAG8AdQByAGMAZQBEAGEAdABhAF8AUgBpAGMAZQBDAHUAbAB0AGkAdgBhAHQAaQBvAG4AXwBCAGEAcwBlAGwAaQBuAGUARQBGAF8AVQBuAGkAdAAiACwAIgBSAGkAYwBlAEMAdQBsAHQAaQB2AGEAdABpAG8AbgBfAFMAbwB1AHIAYwBlAEQAYQB0AGEALgBTAG8AdQByAGMAZQBEAGEAdABhAF8AUgBpAGMAZQBDAHUAbAB0AGkAdgBhAHQAaQBvAG4AXwBCAGEAcwBlAGwAaQBuAGUARQBGAF8AUwBvAHUAcgBjAGUAIgAsACIAUgBpAGMAZQBDAHUAbAB0AGkAdgBhAHQAaQBvAG4AXwBTAG8AdQByAGMAZQBEAGEAdABhAC4AUwBvAHUAcgBjAGUARABhAHQAYQBfAFIAaQBjAGUAQwB1AGwAdABpAHYAYQB0AGkAbwBuAF8AQgBhAHMAZQBsAGkAbgBlAEUARgBfAFYAYQByAGkAYQB0AGkAbwBuACIALAAiAFIAaQBjAGUAQwB1AGwAdABpAHYAYQB0AGkAbwBuAF8AUwBvAHUAcgBjAGUARABhAHQAYQAuAFMAbwB1AHIAYwBlAEQAYQB0AGEAXwBSAGkAYwBlAEMAdQBsAHQAaQB2AGEAdABpAG8AbgBfAEIAYQBzAGUAbABpAG4AZQBFAEYAXwBEAGEAdABhACIALAAiAFIAaQBjAGUAQwB1AGwAdABpAHYAYQB0AGkAbwBuAF8ARQBxAHUAYQB0AGkAbwBuAHMALgBWAEUARQBSAEcAXwA3AF8AMQBfADEAXwAxAF8AXwAxAF8ATQBlAHQAaABhAG4AZQBFAG0AaQBzAHMAaQBvAG4AcwBGAHIAbwBtAFIAaQBjAGUAQwB1AGwAdABpAHYAYQB0AGkAbwBuACIALAAiAFIAaQBjAGUAQwB1AGwAdABpAHYAYQB0AGkAbwBuAF8ARQBxAHUAYQB0AGkAbwBuAHMALgBWAEUARQBSAEcAXwA3AF8AMQBfADEAXwAxAF8AXwAxAF8ATQBlAHQAaABhAG4AZQBFAG0AaQBzAHMAaQBvAG4AcwBGAHIAbwBtAFIAaQBjAGUAQwB1AGwAdABpAHYAYQB0AGkAbwBuAF8AVABpAHQAbABlACIALAAiAFIAaQBjAGUAQwB1AGwAdABpAHYAYQB0AGkAbwBuAF8ARQBxAHUAYQB0AGkAbwBuAHMALgBWAEUARQBSAEcAXwA3AF8AMQBfADEAXwAxAF8AXwAxAF8ATQBlAHQAaABhAG4AZQBFAG0AaQBzAHMAaQBvAG4AcwBGAHIAbwBtAFIAaQBjAGUAQwB1AGwAdABpAHYAYQB0AGkAbwBuAF8AVgBhAHIAaQBhAGIAbABlACIALAAiAFIAaQBjAGUAQwB1AGwAdABpAHYAYQB0AGkAbwBuAF8ARQBxAHUAYQB0AGkAbwBuAHMALgBWAEUARQBSAEcAXwA3AF8AMQBfADEAXwAxAF8AXwAxAF8ATQBlAHQAaABhAG4AZQBFAG0AaQBzAHMAaQBvAG4AcwBGAHIAbwBtAFIAaQBjAGUAQwB1AGwAdABpAHYAYQB0AGkAbwBuAF8AVQBuAGkAdAAiACwAIgBSAGkAYwBlAEMAdQBsAHQAaQB2AGEAdABpAG8AbgBfAEUAcQB1AGEAdABpAG8AbgBzAC4AVgBFAEUAUgBHAF8ANwBfADEAXwAxAF8AMQBfAF8AMQBfAE0AZQB0AGgAYQBuAGUARQBtAGkAcwBzAGkAbwBuAHMARgByAG8AbQBSAGkAYwBlAEMAdQBsAHQAaQB2AGEAdABpAG8AbgBfAFMAbwB1AHIAYwBlACIALAAiAFIAaQBjAGUAQwB1AGwAdABpAHYAYQB0AGkAbwBuAF8ARQBxAHUAYQB0AGkAbwBuAHMALgBWAEUARQBSAEcAXwA3AF8AMQBfADEAXwAxAF8AXwAxAF8ATQBlAHQAaABhAG4AZQBFAG0AaQBzAHMAaQBvAG4AcwBGAHIAbwBtAFIAaQBjAGUAQwB1AGwAdABpAHYAYQB0AGkAbwBuAF8ATgBJAFIAUgBlAGYAZQByAGUAbgBjAGUAIgAsACIAUgBpAGMAZQBDAHUAbAB0AGkAdgBhAHQAaQBvAG4AXwBFAHEAdQBhAHQAaQBvAG4AcwAuAFYARQBFAFIARwBfADcAXwAxAF8AMQBfADEAXwBfADEAXwBNAGUAdABoAGEAbgBlAEUAbQBpAHMAcwBpAG8AbgBzAEYAcgBvAG0AUgBpAGMAZQBDAHUAbAB0AGkAdgBhAHQAaQBvAG4AXwBMAGEAdABlAHgARQBxAHUAYQB0AGkAbwBuACIALAAiAFIAaQBjAGUAQwB1AGwAdABpAHYAYQB0AGkAbwBuAF8ARQBxAHUAYQB0AGkAbwBuAHMALgBWAEUARQBSAEcAXwA3AF8AMQBfADEAXwAxAF8AXwAxAF8ATQBlAHQAaABhAG4AZQBFAG0AaQBzAHMAaQBvAG4AcwBGAHIAbwBtAFIAaQBjAGUAQwB1AGwAdABpAHYAYQB0AGkAbwBuAF8AQQByAGcAdQBtAGUAbgB0AHMAIgAsACIAUgBpAGMAZQBDAHUAbAB0AGkAdgBhAHQAaQBvAG4AXwBFAHEAdQBhAHQAaQBvAG4AcwAuAFYARQBFAFIARwBfADcAXwAxAF8AMQBfADEAXwBfADEAXwBNAGUAdABoAGEAbgBlAEUAbQBpAHMAcwBpAG8AbgBzAEYAcgBvAG0AUgBpAGMAZQBDAHUAbAB0AGkAdgBhAHQAaQBvAG4AXwBWAGEAcgBpAGEAdABpAG8AbgAiACwAIgBSAGkAYwBlAEMAdQBsAHQAaQB2AGEAdABpAG8AbgBfAEUAcQB1AGEAdABpAG8AbgBzAC4AVgBFAEUAUgBHAF8ANwBfADEAXwAxAF8AMQBfAF8AMgBfAEUAbQBpAHMAcwBpAG8AbgBGAGEAYwB0AG8AcgBGAG8AcgBSAGkAYwBlAEMAdQBsAHQAaQB2AGEAdABpAG8AbgAiACwAIgBSAGkAYwBlAEMAdQBsAHQAaQB2AGEAdABpAG8AbgBfAEUAcQB1AGEAdABpAG8AbgBzAC4AVgBFAEUAUgBHAF8ANwBfADEAXwAxAF8AMQBfAF8AMgBfAEUAbQBpAHMAcwBpAG8AbgBGAGEAYwB0AG8AcgBGAG8AcgBSAGkAYwBlAEMAdQBsAHQAaQB2AGEAdABpAG8AbgBfAFQAaQB0AGwAZQAiACwAIgBSAGkAYwBlAEMAdQBsAHQAaQB2AGEAdABpAG8AbgBfAEUAcQB1AGEAdABpAG8AbgBzAC4AVgBFAEUAUgBHAF8ANwBfADEAXwAxAF8AMQBfAF8AMgBfAEUAbQBpAHMAcwBpAG8AbgBGAGEAYwB0AG8AcgBGAG8AcgBSAGkAYwBlAEMAdQBsAHQAaQB2AGEAdABpAG8AbgBfAFYAYQByAGkAYQBiAGwAZQAiACwAIgBSAGkAYwBlAEMAdQBsAHQAaQB2AGEAdABpAG8AbgBfAEUAcQB1AGEAdABpAG8AbgBzAC4AVgBFAEUAUgBHAF8ANwBfADEAXwAxAF8AMQBfAF8AMgBfAEUAbQBpAHMAcwBpAG8AbgBGAGEAYwB0AG8AcgBGAG8AcgBSAGkAYwBlAEMAdQBsAHQAaQB2AGEAdABpAG8AbgBfAFUAbgBpAHQAIgAsACIAUgBpAGMAZQBDAHUAbAB0AGkAdgBhAHQAaQBvAG4AXwBFAHEAdQBhAHQAaQBvAG4AcwAuAFYARQBFAFIARwBfADcAXwAxAF8AMQBfADEAXwBfADIAXwBFAG0AaQBzAHMAaQBvAG4ARgBhAGMAdABvAHIARgBvAHIAUgBpAGMAZQBDAHUAbAB0AGkAdgBhAHQAaQBvAG4AXwBTAG8AdQByAGMAZQAiACwAIgBSAGkAYwBlAEMAdQBsAHQAaQB2AGEAdABpAG8AbgBfAEUAcQB1AGEAdABpAG8AbgBzAC4AVgBFAEUAUgBHAF8ANwBfADEAXwAxAF8AMQBfAF8AMgBfAEUAbQBpAHMAcwBpAG8AbgBGAGEAYwB0AG8AcgBGAG8AcgBSAGkAYwBlAEMAdQBsAHQAaQB2AGEAdABpAG8AbgBfAE4ASQBSAFIAZQBmAGUAcgBlAG4AYwBlACIALAAiAFIAaQBjAGUAQwB1AGwAdABpAHYAYQB0AGkAbwBuAF8ARQBxAHUAYQB0AGkAbwBuAHMALgBWAEUARQBSAEcAXwA3AF8AMQBfADEAXwAxAF8AXwAyAF8ARQBtAGkAcwBzAGkAbwBuAEYAYQBjAHQAbwByAEYAbwByAFIAaQBjAGUAQwB1AGwAdABpAHYAYQB0AGkAbwBuAF8ATABhAHQAZQB4AEUAcQB1AGEAdABpAG8AbgAiACwAIgBSAGkAYwBlAEMAdQBsAHQAaQB2AGEAdABpAG8AbgBfAEUAcQB1AGEAdABpAG8AbgBzAC4AVgBFAEUAUgBHAF8ANwBfADEAXwAxAF8AMQBfAF8AMgBfAEUAbQBpAHMAcwBpAG8AbgBGAGEAYwB0AG8AcgBGAG8AcgBSAGkAYwBlAEMAdQBsAHQAaQB2AGEAdABpAG8AbgBfAEEAcgBnAHUAbQBlAG4AdABzACIALAAiAFIAaQBjAGUAQwB1AGwAdABpAHYAYQB0AGkAbwBuAF8ARQBxAHUAYQB0AGkAbwBuAHMALgBWAEUARQBSAEcAXwA3AF8AMQBfADEAXwAxAF8AXwAzAF8ATwByAGcAYQBuAGkAYwBBAG0AZQBuAGQAbQBlAG4AdABzAFMAYwBhAGwAaQBuAGcARgBhAGMAdABvAHIAIgAsACIAUgBpAGMAZQBDAHUAbAB0AGkAdgBhAHQAaQBvAG4AXwBFAHEAdQBhAHQAaQBvAG4AcwAuAFYARQBFAFIARwBfADcAXwAxAF8AMQBfADEAXwBfADMAXwBPAHIAZwBhAG4AaQBjAEEAbQBlAG4AZABtAGUAbgB0AHMAUwBjAGEAbABpAG4AZwBGAGEAYwB0AG8AcgBWAGEAcgBpAGEAdABpAG8AbgAiACwAIgBSAGkAYwBlAEMAdQBsAHQAaQB2AGEAdABpAG8AbgBfAEUAcQB1AGEAdABpAG8AbgBzAC4AVgBFAEUAUgBHAF8ANwBfADEAXwAxAF8AMQBfAF8AMwBfAE8AcgBnAGEAbgBpAGMAQQBtAGUAbgBkAG0AZQBuAHQAcwBTAGMAYQBsAGkAbgBnAEYAYQBjAHQAbwByAF8AVABpAHQAbABlACIALAAiAFIAaQBjAGUAQwB1AGwAdABpAHYAYQB0AGkAbwBuAF8ARQBxAHUAYQB0AGkAbwBuAHMALgBWAEUARQBSAEcAXwA3AF8AMQBfADEAXwAxAF8AXwAzAF8ATwByAGcAYQBuAGkAYwBBAG0AZQBuAGQAbQBlAG4AdABzAFMAYwBhAGwAaQBuAGcARgBhAGMAdABvAHIAXwBWAGEAcgBpAGEAYgBsAGUAIgAsACIAUgBpAGMAZQBDAHUAbAB0AGkAdgBhAHQAaQBvAG4AXwBFAHEAdQBhAHQAaQBvAG4AcwAuAFYARQBFAFIARwBfADcAXwAxAF8AMQBfADEAXwBfADMAXwBPAHIAZwBhAG4AaQBjAEEAbQBlAG4AZABtAGUAbgB0AHMAUwBjAGEAbABpAG4AZwBGAGEAYwB0AG8AcgBfAFUAbgBpAHQAIgAsACIAUgBpAGMAZQBDAHUAbAB0AGkAdgBhAHQAaQBvAG4AXwBFAHEAdQBhAHQAaQBvAG4AcwAuAFYARQBFAFIARwBfADcAXwAxAF8AMQBfADEAXwBfADMAXwBPAHIAZwBhAG4AaQBjAEEAbQBlAG4AZABtAGUAbgB0AHMAUwBjAGEAbABpAG4AZwBGAGEAYwB0AG8AcgBfAFMAbwB1AHIAYwBlACIALAAiAFIAaQBjAGUAQwB1AGwAdABpAHYAYQB0AGkAbwBuAF8ARQBxAHUAYQB0AGkAbwBuAHMALgBWAEUARQBSAEcAXwA3AF8AMQBfADEAXwAxAF8AXwAzAF8ATwByAGcAYQBuAGkAYwBBAG0AZQBuAGQAbQBlAG4AdABzAFMAYwBhAGwAaQBuAGcARgBhAGMAdABvAHIAXwBOAEkAUgBSAGUAZgBlAHIAZQBuAGMAZQAiACwAIgBSAGkAYwBlAEMAdQBsAHQAaQB2AGEAdABpAG8AbgBfAEUAcQB1AGEAdABpAG8AbgBzAC4AVgBFAEUAUgBHAF8ANwBfADEAXwAxAF8AMQBfAF8AMwBfAE8AcgBnAGEAbgBpAGMAQQBtAGUAbgBkAG0AZQBuAHQAcwBTAGMAYQBsAGkAbgBnAEYAYQBjAHQAbwByAF8ATABhAHQAZQB4AEUAcQB1AGEAdABpAG8AbgAiACwAIgBSAGkAYwBlAEMAdQBsAHQAaQB2AGEAdABpAG8AbgBfAEUAcQB1AGEAdABpAG8AbgBzAC4AVgBFAEUAUgBHAF8ANwBfADEAXwAxAF8AMQBfAF8AMwBfAE8AcgBnAGEAbgBpAGMAQQBtAGUAbgBkAG0AZQBuAHQAcwBTAGMAYQBsAGkAbgBnAEYAYQBjAHQAbwByAF8ATABhAHQAZQB4AEUAcQB1AGEAdABpAG8AbgBWAGEAcgBpAGEAdABpAG8AbgAiACwAIgBSAGkAYwBlAEMAdQBsAHQAaQB2AGEAdABpAG8AbgBfAEUAcQB1AGEAdABpAG8AbgBzAC4AVgBFAEUAUgBHAF8ANwBfADEAXwAxAF8AMQBfAF8AMwBfAE8AcgBnAGEAbgBpAGMAQQBtAGUAbgBkAG0AZQBuAHQAcwBTAGMAYQBsAGkAbgBnAEYAYQBjAHQAbwByAF8AQQByAGcAdQBtAGUAbgB0AHMAIgAsACIAUgBpAGMAZQBDAHUAbAB0AGkAdgBhAHQAaQBvAG4AXwBFAHEAdQBhAHQAaQBvAG4AcwAuAFYARQBFAFIARwBfADcAXwAxAF8AMQBfADEAXwBfADMAXwBPAHIAZwBhAG4AaQBjAEEAbQBlAG4AZABtAGUAbgB0AHMAUwBjAGEAbABpAG4AZwBGAGEAYwB0AG8Acg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Site</vt:lpstr>
      <vt:lpstr>Input - Rice</vt:lpstr>
      <vt:lpstr>7.1.1-2 Rice cultivation</vt:lpstr>
      <vt:lpstr>Constants - Rice cultivation</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