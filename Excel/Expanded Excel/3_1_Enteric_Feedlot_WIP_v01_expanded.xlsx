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4C2860F-2852-4FAD-8796-0E2A2B8DF534}"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D117" i="104" a="1"/>
  <c r="D117" i="104" s="1"/>
  <c r="D107" i="104" a="1"/>
  <c r="D107" i="104" s="1"/>
  <c r="D83" i="104" a="1"/>
  <c r="D83" i="104" s="1"/>
  <c r="D59" i="104" a="1"/>
  <c r="D59"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I15" i="69" a="1"/>
  <c r="I15" i="69" s="1"/>
  <c r="G20" i="69"/>
  <c r="P35" i="69"/>
  <c r="H52" i="104" l="1"/>
  <c r="H49" i="104"/>
  <c r="H50" i="104"/>
  <c r="H54" i="104"/>
  <c r="H48" i="104"/>
  <c r="H51" i="104"/>
  <c r="H53" i="104"/>
  <c r="P20" i="69"/>
  <c r="P30" i="69"/>
  <c r="P25" i="69"/>
  <c r="G30" i="69"/>
  <c r="G25" i="69"/>
  <c r="A9" i="13"/>
  <c r="A8" i="13"/>
  <c r="A5" i="13"/>
  <c r="A4" i="13"/>
  <c r="A3" i="13"/>
  <c r="I50" i="69" l="1" a="1"/>
  <c r="I50" i="69" s="1"/>
  <c r="I48" i="69" a="1"/>
  <c r="I48" i="69" s="1"/>
  <c r="G55" i="69"/>
  <c r="G60" i="69" l="1"/>
  <c r="I14" i="69" a="1"/>
  <c r="I14" i="69" s="1"/>
  <c r="I13" i="69" a="1"/>
  <c r="I13" i="69" s="1"/>
  <c r="O72" i="69" l="1" a="1"/>
  <c r="O72" i="69" s="1"/>
  <c r="M69" i="69" a="1"/>
  <c r="M69" i="69" s="1"/>
  <c r="A39" i="74" l="1"/>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c r="M65" i="69" s="1"/>
  <c r="N20" i="69"/>
  <c r="N35" i="69" s="1"/>
  <c r="N65" i="69" s="1"/>
  <c r="O20" i="69"/>
  <c r="O35" i="69" s="1"/>
  <c r="O65" i="69" s="1"/>
  <c r="F60" i="69" l="1"/>
  <c r="E60" i="69"/>
  <c r="D60" i="69"/>
  <c r="F55" i="69"/>
  <c r="E55" i="69"/>
  <c r="D55" i="69"/>
  <c r="D8" i="70"/>
  <c r="D9" i="70"/>
  <c r="G35" i="69" l="1"/>
  <c r="P65" i="69"/>
  <c r="H69" i="69"/>
  <c r="Q69" i="69"/>
  <c r="G65" i="69"/>
  <c r="O67" i="69"/>
  <c r="F67" i="69"/>
  <c r="G7" i="13" s="1"/>
  <c r="F25" i="69"/>
  <c r="E25" i="69"/>
  <c r="D25" i="69"/>
  <c r="F20" i="69"/>
  <c r="E20" i="69"/>
  <c r="D20" i="69"/>
  <c r="D35" i="69" l="1"/>
  <c r="D65" i="69" s="1"/>
  <c r="E35" i="69"/>
  <c r="E65" i="69" s="1"/>
  <c r="F35" i="69"/>
  <c r="F65" i="69" s="1"/>
  <c r="E31" i="79"/>
  <c r="D31" i="79"/>
  <c r="E30" i="79"/>
  <c r="E28" i="79"/>
  <c r="D28" i="79"/>
  <c r="E29" i="79"/>
  <c r="E32" i="79"/>
  <c r="D32" i="79"/>
  <c r="D29" i="79" l="1"/>
  <c r="D30" i="79"/>
  <c r="E67" i="69" l="1"/>
  <c r="G69" i="69" s="1"/>
  <c r="E72" i="69" s="1" a="1"/>
  <c r="E72" i="69" s="1"/>
  <c r="H7" i="13" s="1"/>
  <c r="H8" i="13" s="1"/>
  <c r="N67" i="69"/>
  <c r="P69" i="69" s="1"/>
  <c r="N72" i="69" s="1" a="1"/>
  <c r="N72" i="69" s="1"/>
  <c r="I7" i="13" s="1"/>
  <c r="I8" i="13" s="1"/>
  <c r="E7" i="13" l="1"/>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<sst xmlns="http://schemas.openxmlformats.org/spreadsheetml/2006/main" count="833" uniqueCount="457">
  <si>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</si>
  <si>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</si>
  <si>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</si>
  <si>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</si>
  <si>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</si>
  <si>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</si>
  <si>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</si>
  <si>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</si>
  <si>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</si>
  <si>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</si>
  <si>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</si>
  <si>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</si>
  <si>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</si>
  <si>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</si>
  <si>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</si>
  <si>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</si>
  <si>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</si>
  <si>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</si>
  <si>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</si>
  <si>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</si>
  <si>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</si>
  <si>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</si>
  <si>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</si>
  <si>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</si>
  <si>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</si>
  <si>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</si>
  <si>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</si>
  <si>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</si>
  <si>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</si>
  <si>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</si>
  <si>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</si>
  <si>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</si>
  <si>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</si>
  <si>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</si>
  <si>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</si>
  <si>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</si>
  <si>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</si>
  <si>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</si>
  <si>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</si>
  <si>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</si>
  <si>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</si>
  <si>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</si>
  <si>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</si>
  <si>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</si>
  <si>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</si>
  <si>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</si>
  <si>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</si>
  <si>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</si>
  <si>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</si>
  <si>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</si>
  <si>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</si>
  <si>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</si>
  <si>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</si>
  <si>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</si>
  <si>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</si>
  <si>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</si>
  <si>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</si>
  <si>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</si>
  <si>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</si>
  <si>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</si>
  <si>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</si>
  <si>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</si>
  <si>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</si>
  <si>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</si>
  <si>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</si>
  <si>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</si>
  <si>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</si>
  <si>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</si>
  <si>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</si>
  <si>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</si>
  <si>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</si>
  <si>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</si>
  <si>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</si>
  <si>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</si>
  <si>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</si>
  <si>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</si>
  <si>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</si>
  <si>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</si>
  <si>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</si>
  <si>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</si>
  <si>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</si>
  <si>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</si>
  <si>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</si>
  <si>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</si>
  <si>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</si>
  <si>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</si>
  <si>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</si>
  <si>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</si>
  <si>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</si>
  <si>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</si>
  <si>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</si>
  <si>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</si>
  <si>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</si>
  <si>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</si>
  <si>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</si>
  <si>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</si>
  <si>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</si>
  <si>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</si>
  <si>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</si>
  <si>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</si>
  <si>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</si>
  <si>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</si>
  <si>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</si>
  <si>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</si>
  <si>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</si>
  <si>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</si>
  <si>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</si>
  <si>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</si>
  <si>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</si>
  <si>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</si>
  <si>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</si>
  <si>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</si>
  <si>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</si>
  <si>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</si>
  <si>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</si>
  <si>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</si>
  <si>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</si>
  <si>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</si>
  <si>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</si>
  <si>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</si>
  <si>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</si>
  <si>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</si>
  <si>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</si>
  <si>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</si>
  <si>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</si>
  <si>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</si>
  <si>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</si>
  <si>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</si>
  <si>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</si>
  <si>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</si>
  <si>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</si>
  <si>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</si>
  <si>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</si>
  <si>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</si>
  <si>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</si>
  <si>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</si>
  <si>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</si>
  <si>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</si>
  <si>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</si>
  <si>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</si>
  <si>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</si>
  <si>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</si>
  <si>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</si>
  <si>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</si>
  <si>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</si>
  <si>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</si>
  <si>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</si>
  <si>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</si>
  <si>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</si>
  <si>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</si>
  <si>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</si>
  <si>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</si>
  <si>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</si>
  <si>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</si>
  <si>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</si>
  <si>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</si>
  <si>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</si>
  <si>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</si>
  <si>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</si>
  <si>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</si>
  <si>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</si>
  <si>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</si>
  <si>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</si>
  <si>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</si>
  <si>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</si>
  <si>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</si>
  <si>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</si>
  <si>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</si>
  <si>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</si>
  <si>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</si>
  <si>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</si>
  <si>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</si>
  <si>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</si>
  <si>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</si>
  <si>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</si>
  <si>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</si>
  <si>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</si>
  <si>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</si>
  <si>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</si>
  <si>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</si>
  <si>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</si>
  <si>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</si>
  <si>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</si>
  <si>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</si>
  <si>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</si>
  <si>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Daily production of enteric methane</t>
  </si>
  <si>
    <t>VEERG 2026: 3.1.1.1, Equation (2)</t>
  </si>
  <si>
    <t>M_j</t>
  </si>
  <si>
    <t>kg CH4/head/day</t>
  </si>
  <si>
    <t>I_j</t>
  </si>
  <si>
    <t>dry matter intake</t>
  </si>
  <si>
    <t>EE_j</t>
  </si>
  <si>
    <t>ether extract as a percentage of I_j</t>
  </si>
  <si>
    <t>NDF_j</t>
  </si>
  <si>
    <t>neutral detergent fibre as a percentage of I_j</t>
  </si>
  <si>
    <t>kg DM/head/day</t>
  </si>
  <si>
    <t>Input</t>
  </si>
  <si>
    <t>per cent</t>
  </si>
  <si>
    <t>Total annual methane production from enteric fermentation in feedlot beef cattle</t>
  </si>
  <si>
    <t>VEERG 2026: 3.1.1.1, Equation (1)</t>
  </si>
  <si>
    <t>E_enteric</t>
  </si>
  <si>
    <t>t CH4</t>
  </si>
  <si>
    <t>D_j</t>
  </si>
  <si>
    <t>duration of stay of each cattle lot</t>
  </si>
  <si>
    <t>daily methane production</t>
  </si>
  <si>
    <t>N_j</t>
  </si>
  <si>
    <t>numbers of feedlot cattle in each cattle lot</t>
  </si>
  <si>
    <t>Calculated from 3.1.1.1, (2)</t>
  </si>
  <si>
    <t>Feedlot - Fraction of volatile solids lost during storage in the primary system</t>
  </si>
  <si>
    <t>VEERG 2026: 4.1.2.3 CONSTANTS</t>
  </si>
  <si>
    <t>VSL</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</si>
  <si>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</si>
  <si>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</si>
  <si>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</si>
  <si>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</si>
  <si>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</si>
  <si>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</si>
  <si>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</si>
  <si>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</si>
  <si>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</si>
  <si>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</si>
  <si>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</si>
  <si>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</si>
  <si>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</si>
  <si>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</si>
  <si>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</si>
  <si>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</si>
  <si>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</si>
  <si>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</si>
  <si>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</si>
  <si>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</si>
  <si>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N retention</t>
  </si>
  <si>
    <t>per cent of intake</t>
  </si>
  <si>
    <t>Beef feedlot cattle - Diet properties</t>
  </si>
  <si>
    <t>VEERG 2026: Table A.1.1.3: Beef feedlot cattle - Diet properties</t>
  </si>
  <si>
    <t>Added 'Converted to fraction column and converted NDF and Ether extract values to fractions.</t>
  </si>
  <si>
    <t>Dry matter digestibility</t>
  </si>
  <si>
    <t>Crude protein</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</si>
  <si>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</si>
  <si>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</si>
  <si>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</si>
  <si>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</si>
  <si>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</si>
  <si>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</si>
  <si>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</si>
  <si>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</si>
  <si>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</si>
  <si>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Drylot (feed 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</si>
  <si>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</si>
  <si>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</si>
  <si>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</si>
  <si>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</si>
  <si>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</si>
  <si>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</si>
  <si>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</si>
  <si>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</si>
  <si>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</si>
  <si>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</si>
  <si>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</si>
  <si>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</si>
  <si>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Australian states and territories</t>
  </si>
  <si>
    <t>New South Wales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</si>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</sst>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178</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180</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160</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179</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115</v>
      </c>
      <c r="E6" s="100" t="s">
        <v>138</v>
      </c>
      <c r="F6" s="100" t="s">
        <v>139</v>
      </c>
      <c r="G6" s="100" t="s">
        <v>129</v>
      </c>
      <c r="H6" s="100" t="s">
        <v>140</v>
      </c>
      <c r="I6" s="100" t="s">
        <v>142</v>
      </c>
      <c r="J6" s="100" t="s">
        <v>130</v>
      </c>
      <c r="K6" s="24"/>
      <c r="L6" s="24"/>
    </row>
    <row r="7" spans="1:12" ht="20.100000000000001" customHeight="1" x14ac:dyDescent="0.25">
      <c r="A7" s="20" t="s">
        <v>3</v>
      </c>
      <c r="C7" s="24"/>
      <c r="D7" s="1" t="s">
        <v>161</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141</v>
      </c>
      <c r="K7" s="24"/>
      <c r="L7" s="24"/>
    </row>
    <row r="8" spans="1:12" ht="20.100000000000001" customHeight="1" x14ac:dyDescent="0.3">
      <c r="A8" s="17" t="str">
        <f>HYPERLINK("#'Input - Site'!A1", "Site")</f>
        <v>Site</v>
      </c>
      <c r="C8" s="24"/>
      <c r="D8" s="31" t="s">
        <v>128</v>
      </c>
      <c r="E8" s="25"/>
      <c r="F8" s="31"/>
      <c r="G8" s="31"/>
      <c r="H8" s="99">
        <f>SUM(H7:H7)</f>
        <v>991.7664400000001</v>
      </c>
      <c r="I8" s="99">
        <f>SUM(I7:I7)</f>
        <v>991.7664400000001</v>
      </c>
      <c r="J8" s="93" t="s">
        <v>141</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57</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53</v>
      </c>
      <c r="E8" s="33" t="s">
        <v>54</v>
      </c>
    </row>
    <row r="9" spans="1:24" ht="20.100000000000001" customHeight="1" x14ac:dyDescent="0.25">
      <c r="A9" s="17" t="str">
        <f>HYPERLINK("#'Input - Feedlot'!A1", "Feedlot")</f>
        <v>Feedlot</v>
      </c>
      <c r="N9" s="42"/>
    </row>
    <row r="10" spans="1:24" ht="20.100000000000001" customHeight="1" x14ac:dyDescent="0.25">
      <c r="A10" s="17"/>
      <c r="D10" s="82" t="s">
        <v>71</v>
      </c>
      <c r="E10" s="80"/>
      <c r="F10" s="83"/>
      <c r="G10" s="77"/>
      <c r="N10" s="42"/>
    </row>
    <row r="11" spans="1:24" ht="20.100000000000001" customHeight="1" x14ac:dyDescent="0.25">
      <c r="A11" s="19" t="s">
        <v>57</v>
      </c>
      <c r="N11" s="43"/>
    </row>
    <row r="12" spans="1:24" ht="20.100000000000001" customHeight="1" x14ac:dyDescent="0.25">
      <c r="A12" s="17" t="str">
        <f>HYPERLINK("#'3.1.1.1-2 Enteric Methane'!A1", "3.1.1.1-2 Enteric Methane")</f>
        <v>3.1.1.1-2 Enteric Methane</v>
      </c>
      <c r="D12" s="10" t="s">
        <v>75</v>
      </c>
      <c r="E12" s="59">
        <v>45292</v>
      </c>
      <c r="F12" s="2" t="s">
        <v>52</v>
      </c>
    </row>
    <row r="13" spans="1:24" ht="20.100000000000001" customHeight="1" x14ac:dyDescent="0.25">
      <c r="A13"/>
      <c r="D13" s="10" t="s">
        <v>76</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C2" sqref="C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182</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83</v>
      </c>
    </row>
    <row r="6" spans="1:21" ht="20.100000000000001" customHeight="1" x14ac:dyDescent="0.25">
      <c r="A6" s="16"/>
    </row>
    <row r="7" spans="1:21" ht="20.100000000000001" customHeight="1" x14ac:dyDescent="0.25">
      <c r="A7" s="20" t="s">
        <v>3</v>
      </c>
      <c r="D7" s="58"/>
      <c r="E7" s="39" t="s">
        <v>97</v>
      </c>
      <c r="F7" s="39" t="s">
        <v>98</v>
      </c>
      <c r="G7" s="39" t="s">
        <v>99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85</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144</v>
      </c>
      <c r="I9" s="2"/>
      <c r="J9" s="2"/>
      <c r="K9" s="2"/>
    </row>
    <row r="10" spans="1:21" ht="20.100000000000001" customHeight="1" x14ac:dyDescent="0.25">
      <c r="A10" s="17"/>
    </row>
    <row r="11" spans="1:21" ht="20.100000000000001" customHeight="1" x14ac:dyDescent="0.25">
      <c r="A11" s="19" t="s">
        <v>57</v>
      </c>
      <c r="D11" s="6" t="s">
        <v>78</v>
      </c>
    </row>
    <row r="12" spans="1:21" ht="20.100000000000001" customHeight="1" x14ac:dyDescent="0.25">
      <c r="A12" s="17" t="str">
        <f>HYPERLINK("#'3.1.1.1-2 Enteric Methane'!A1", "3.1.1.1-2 Enteric Methane")</f>
        <v>3.1.1.1-2 Enteric Methane</v>
      </c>
    </row>
    <row r="13" spans="1:21" ht="20.100000000000001" customHeight="1" x14ac:dyDescent="0.25">
      <c r="D13" s="58" t="s">
        <v>131</v>
      </c>
      <c r="E13" s="39" t="s">
        <v>97</v>
      </c>
      <c r="F13" s="39" t="s">
        <v>98</v>
      </c>
      <c r="G13" s="39" t="s">
        <v>99</v>
      </c>
    </row>
    <row r="14" spans="1:21" ht="20.100000000000001" customHeight="1" x14ac:dyDescent="0.25">
      <c r="A14" s="18" t="s">
        <v>4</v>
      </c>
      <c r="D14" s="1" t="s">
        <v>103</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80</v>
      </c>
      <c r="I14" s="2"/>
      <c r="J14" s="2"/>
      <c r="K14" s="2"/>
    </row>
    <row r="15" spans="1:21" ht="20.100000000000001" customHeight="1" x14ac:dyDescent="0.25">
      <c r="A15" s="17" t="str">
        <f>HYPERLINK("#'Constants - Feedlot'!A1", "Constants - Feedlot")</f>
        <v>Constants - Feedlot</v>
      </c>
      <c r="D15" s="1" t="s">
        <v>162</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145</v>
      </c>
      <c r="I15" s="2"/>
      <c r="J15" s="2"/>
      <c r="K15" s="2"/>
    </row>
    <row r="16" spans="1:21" ht="20.100000000000001" customHeight="1" x14ac:dyDescent="0.25">
      <c r="A16" s="17" t="str">
        <f>HYPERLINK("#'Constants - Livestock'!A1", "Constants - Livestock")</f>
        <v>Constants - Livestock</v>
      </c>
      <c r="D16" s="1" t="s">
        <v>163</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145</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132</v>
      </c>
      <c r="E18" s="39" t="s">
        <v>97</v>
      </c>
      <c r="F18" s="39" t="s">
        <v>98</v>
      </c>
      <c r="G18" s="39" t="s">
        <v>99</v>
      </c>
    </row>
    <row r="19" spans="1:11" ht="20.100000000000001" customHeight="1" x14ac:dyDescent="0.25">
      <c r="D19" s="1" t="s">
        <v>103</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80</v>
      </c>
      <c r="I19" s="2"/>
    </row>
    <row r="20" spans="1:11" ht="20.100000000000001" customHeight="1" x14ac:dyDescent="0.25">
      <c r="D20" s="1" t="s">
        <v>162</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145</v>
      </c>
      <c r="I20" s="2"/>
      <c r="J20" s="2"/>
      <c r="K20" s="2"/>
    </row>
    <row r="21" spans="1:11" ht="20.100000000000001" customHeight="1" x14ac:dyDescent="0.25">
      <c r="A21" s="17"/>
      <c r="D21" s="1" t="s">
        <v>163</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145</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181</v>
      </c>
      <c r="K1"/>
    </row>
    <row r="2" spans="1:19" s="9" customFormat="1" ht="20.100000000000001" customHeight="1" x14ac:dyDescent="0.25">
      <c r="K2"/>
    </row>
    <row r="3" spans="1:19" ht="20.100000000000001" customHeight="1" x14ac:dyDescent="0.25">
      <c r="A3" s="17" t="str">
        <f>HYPERLINK("#'Home'!A1", "Home")</f>
        <v>Home</v>
      </c>
      <c r="C3" s="4"/>
      <c r="D3" s="4" t="s">
        <v>109</v>
      </c>
      <c r="E3" s="4"/>
      <c r="F3" s="4"/>
      <c r="G3" s="4"/>
      <c r="H3" s="4"/>
      <c r="I3" s="4"/>
      <c r="J3" s="4"/>
      <c r="L3" s="4"/>
      <c r="M3" s="4" t="s">
        <v>110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185</v>
      </c>
    </row>
    <row r="6" spans="1:19" ht="20.100000000000001" customHeight="1" x14ac:dyDescent="0.25">
      <c r="A6" s="16"/>
      <c r="D6" s="5" t="s">
        <v>186</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
        <v>187</v>
      </c>
    </row>
    <row r="11" spans="1:19" ht="20.100000000000001" customHeight="1" x14ac:dyDescent="0.25">
      <c r="A11" s="19" t="s">
        <v>57</v>
      </c>
      <c r="D11" s="51" t="s">
        <v>11</v>
      </c>
      <c r="E11" s="52" t="s">
        <v>188</v>
      </c>
    </row>
    <row r="12" spans="1:19" ht="20.100000000000001" customHeight="1" x14ac:dyDescent="0.25">
      <c r="A12" s="22" t="str">
        <f>HYPERLINK("#'3.1.1.1-2 Enteric Methane'!A1", "3.1.1.1-2 Enteric Methane")</f>
        <v>3.1.1.1-2 Enteric Methane</v>
      </c>
    </row>
    <row r="13" spans="1:19" ht="20.100000000000001" customHeight="1" x14ac:dyDescent="0.25">
      <c r="D13" s="105" t="s">
        <v>189</v>
      </c>
      <c r="E13" s="108" t="s">
        <v>190</v>
      </c>
      <c r="F13" s="107"/>
      <c r="G13" s="105" t="s">
        <v>195</v>
      </c>
      <c r="H13" s="103" t="s">
        <v>196</v>
      </c>
      <c r="I13" s="106" t="str" cm="1">
        <f t="array" aca="1" ref="I13" ca="1">HYPERLINK(Common_InputFunctions.Utility_SourceHyperlink($D$17),$D$17)</f>
        <v>M1_Table_I_j</v>
      </c>
    </row>
    <row r="14" spans="1:19" ht="20.100000000000001" customHeight="1" x14ac:dyDescent="0.25">
      <c r="A14" s="18" t="s">
        <v>4</v>
      </c>
      <c r="D14" s="105" t="s">
        <v>191</v>
      </c>
      <c r="E14" s="108" t="s">
        <v>192</v>
      </c>
      <c r="F14" s="107"/>
      <c r="G14" s="105" t="s">
        <v>197</v>
      </c>
      <c r="H14" s="103" t="s">
        <v>196</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
        <v>193</v>
      </c>
      <c r="E15" s="108" t="s">
        <v>194</v>
      </c>
      <c r="F15" s="107"/>
      <c r="G15" s="105" t="s">
        <v>197</v>
      </c>
      <c r="H15" s="103" t="s">
        <v>196</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107</v>
      </c>
      <c r="M17" s="86" t="s">
        <v>108</v>
      </c>
    </row>
    <row r="18" spans="1:16" ht="20.100000000000001" customHeight="1" x14ac:dyDescent="0.25">
      <c r="A18" s="17" t="str">
        <f>HYPERLINK("#'Acknowledgements'!A1", "Acknowledgements")</f>
        <v>Acknowledgements</v>
      </c>
      <c r="D18" s="85" t="s">
        <v>111</v>
      </c>
      <c r="M18" s="85" t="s">
        <v>112</v>
      </c>
    </row>
    <row r="19" spans="1:16" ht="20.100000000000001" customHeight="1" x14ac:dyDescent="0.25">
      <c r="D19" s="39" t="s">
        <v>97</v>
      </c>
      <c r="E19" s="39" t="s">
        <v>98</v>
      </c>
      <c r="F19" s="39" t="s">
        <v>99</v>
      </c>
      <c r="M19" s="39" t="s">
        <v>97</v>
      </c>
      <c r="N19" s="39" t="s">
        <v>98</v>
      </c>
      <c r="O19" s="39" t="s">
        <v>99</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164</v>
      </c>
      <c r="M22" s="86" t="s">
        <v>172</v>
      </c>
    </row>
    <row r="23" spans="1:16" ht="20.100000000000001" customHeight="1" x14ac:dyDescent="0.25">
      <c r="D23" s="85" t="s">
        <v>165</v>
      </c>
      <c r="M23" s="85" t="s">
        <v>173</v>
      </c>
    </row>
    <row r="24" spans="1:16" ht="20.100000000000001" customHeight="1" x14ac:dyDescent="0.25">
      <c r="D24" s="39" t="s">
        <v>97</v>
      </c>
      <c r="E24" s="39" t="s">
        <v>98</v>
      </c>
      <c r="F24" s="39" t="s">
        <v>99</v>
      </c>
      <c r="M24" s="39" t="s">
        <v>97</v>
      </c>
      <c r="N24" s="39" t="s">
        <v>98</v>
      </c>
      <c r="O24" s="39" t="s">
        <v>99</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166</v>
      </c>
      <c r="M27" s="86" t="s">
        <v>174</v>
      </c>
    </row>
    <row r="28" spans="1:16" ht="20.100000000000001" customHeight="1" x14ac:dyDescent="0.25">
      <c r="D28" s="85" t="s">
        <v>167</v>
      </c>
      <c r="M28" s="85" t="s">
        <v>175</v>
      </c>
    </row>
    <row r="29" spans="1:16" ht="20.100000000000001" customHeight="1" x14ac:dyDescent="0.25">
      <c r="D29" s="39" t="s">
        <v>97</v>
      </c>
      <c r="E29" s="39" t="s">
        <v>98</v>
      </c>
      <c r="F29" s="39" t="s">
        <v>99</v>
      </c>
      <c r="M29" s="39" t="s">
        <v>97</v>
      </c>
      <c r="N29" s="39" t="s">
        <v>98</v>
      </c>
      <c r="O29" s="39" t="s">
        <v>99</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168</v>
      </c>
      <c r="M32" s="86" t="s">
        <v>170</v>
      </c>
    </row>
    <row r="33" spans="3:18" ht="20.100000000000001" customHeight="1" x14ac:dyDescent="0.25">
      <c r="D33" s="85" t="s">
        <v>169</v>
      </c>
      <c r="M33" s="85" t="s">
        <v>171</v>
      </c>
    </row>
    <row r="34" spans="3:18" ht="20.100000000000001" customHeight="1" x14ac:dyDescent="0.25">
      <c r="D34" s="49" t="s">
        <v>97</v>
      </c>
      <c r="E34" s="49" t="s">
        <v>98</v>
      </c>
      <c r="F34" s="49" t="s">
        <v>99</v>
      </c>
      <c r="M34" s="49" t="s">
        <v>97</v>
      </c>
      <c r="N34" s="49" t="s">
        <v>98</v>
      </c>
      <c r="O34" s="49" t="s">
        <v>99</v>
      </c>
    </row>
    <row r="35" spans="3:18" ht="20.100000000000001" customHeight="1" x14ac:dyDescent="0.25">
      <c r="D35" s="50">
        <f>((5.11 * D20 - 4 * D25 + 2.26 * D30) * 10 ^ -3)</f>
        <v>8.3664000000000002E-2</v>
      </c>
      <c r="E35" s="50">
        <f>((5.11 * E20 - 4 * E25 + 2.26 * E30) * 10 ^ -3)</f>
        <v>8.4908000000000011E-2</v>
      </c>
      <c r="F35" s="50">
        <f>((5.11 * F20 - 4 * F25 + 2.26 * F30) * 10 ^ -3)</f>
        <v>7.4142E-2</v>
      </c>
      <c r="G35" s="2" t="str">
        <f>$E$11</f>
        <v>kg CH4/head/day</v>
      </c>
      <c r="M35" s="50">
        <f>((5.11 * M20 - 4 * M25 + 2.26 * M30) * 10 ^ -3)</f>
        <v>8.3664000000000002E-2</v>
      </c>
      <c r="N35" s="50">
        <f>((5.11 * N20 - 4 * N25 + 2.26 * N30) * 10 ^ -3)</f>
        <v>8.4908000000000011E-2</v>
      </c>
      <c r="O35" s="50">
        <f>((5.11 * O20 - 4 * O25 + 2.26 * O30) * 10 ^ -3)</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
        <v>198</v>
      </c>
    </row>
    <row r="40" spans="3:18" ht="20.100000000000001" customHeight="1" x14ac:dyDescent="0.25">
      <c r="D40" s="5" t="s">
        <v>199</v>
      </c>
    </row>
    <row r="41" spans="3:18" ht="20.100000000000001" customHeight="1" x14ac:dyDescent="0.25">
      <c r="D41" s="13"/>
      <c r="E41" s="13"/>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
        <v>200</v>
      </c>
    </row>
    <row r="46" spans="3:18" ht="20.100000000000001" customHeight="1" x14ac:dyDescent="0.25">
      <c r="D46" s="51" t="s">
        <v>11</v>
      </c>
      <c r="E46" s="52" t="s">
        <v>201</v>
      </c>
    </row>
    <row r="47" spans="3:18" ht="20.100000000000001" customHeight="1" x14ac:dyDescent="0.25"/>
    <row r="48" spans="3:18" ht="20.100000000000001" customHeight="1" x14ac:dyDescent="0.25">
      <c r="D48" s="105" t="s">
        <v>202</v>
      </c>
      <c r="E48" s="108" t="s">
        <v>203</v>
      </c>
      <c r="F48" s="107"/>
      <c r="G48" s="105" t="s">
        <v>144</v>
      </c>
      <c r="H48" s="103" t="s">
        <v>196</v>
      </c>
      <c r="I48" s="106" t="str" cm="1">
        <f t="array" aca="1" ref="I48" ca="1">HYPERLINK(Common_InputFunctions.Utility_SourceHyperlink($D$52),$D$52)</f>
        <v>Table_D_j</v>
      </c>
    </row>
    <row r="49" spans="4:15" ht="20.100000000000001" customHeight="1" x14ac:dyDescent="0.25">
      <c r="D49" s="105" t="s">
        <v>187</v>
      </c>
      <c r="E49" s="108" t="s">
        <v>204</v>
      </c>
      <c r="F49" s="107"/>
      <c r="G49" s="105" t="s">
        <v>188</v>
      </c>
      <c r="H49" s="104" t="s">
        <v>207</v>
      </c>
      <c r="I49" s="106" t="str" cm="1">
        <f t="array" aca="1" ref="I49" ca="1">HYPERLINK(Common_InputFunctions.Utility_SourceHyperlink($D$32),$D$32)</f>
        <v>M1_Table_M_j</v>
      </c>
    </row>
    <row r="50" spans="4:15" ht="20.100000000000001" customHeight="1" x14ac:dyDescent="0.25">
      <c r="D50" s="105" t="s">
        <v>205</v>
      </c>
      <c r="E50" s="108" t="s">
        <v>206</v>
      </c>
      <c r="F50" s="107"/>
      <c r="G50" s="105" t="s">
        <v>85</v>
      </c>
      <c r="H50" s="103" t="s">
        <v>196</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86</v>
      </c>
    </row>
    <row r="53" spans="4:15" ht="20.100000000000001" customHeight="1" x14ac:dyDescent="0.25">
      <c r="D53" s="85" t="s">
        <v>84</v>
      </c>
    </row>
    <row r="54" spans="4:15" ht="20.100000000000001" customHeight="1" x14ac:dyDescent="0.25">
      <c r="D54" s="39" t="s">
        <v>97</v>
      </c>
      <c r="E54" s="39" t="s">
        <v>98</v>
      </c>
      <c r="F54" s="39" t="s">
        <v>99</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87</v>
      </c>
    </row>
    <row r="58" spans="4:15" ht="20.100000000000001" customHeight="1" x14ac:dyDescent="0.25">
      <c r="D58" s="85" t="s">
        <v>88</v>
      </c>
    </row>
    <row r="59" spans="4:15" ht="20.100000000000001" customHeight="1" x14ac:dyDescent="0.25">
      <c r="D59" s="39" t="s">
        <v>97</v>
      </c>
      <c r="E59" s="39" t="s">
        <v>98</v>
      </c>
      <c r="F59" s="39" t="s">
        <v>99</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89</v>
      </c>
      <c r="M62" s="86" t="s">
        <v>89</v>
      </c>
    </row>
    <row r="63" spans="4:15" ht="20.100000000000001" customHeight="1" x14ac:dyDescent="0.25">
      <c r="D63" s="85" t="s">
        <v>90</v>
      </c>
      <c r="M63" s="85" t="s">
        <v>90</v>
      </c>
    </row>
    <row r="64" spans="4:15" ht="20.100000000000001" customHeight="1" x14ac:dyDescent="0.25">
      <c r="D64" s="49" t="s">
        <v>97</v>
      </c>
      <c r="E64" s="49" t="s">
        <v>98</v>
      </c>
      <c r="F64" s="49" t="s">
        <v>99</v>
      </c>
      <c r="M64" s="49" t="s">
        <v>97</v>
      </c>
      <c r="N64" s="49" t="s">
        <v>98</v>
      </c>
      <c r="O64" s="49" t="s">
        <v>99</v>
      </c>
    </row>
    <row r="65" spans="4:17" ht="20.100000000000001" customHeight="1" x14ac:dyDescent="0.25">
      <c r="D65" s="50">
        <f>((D55 * D35 * D60) * 10 ^ -3)</f>
        <v>32.377968000000003</v>
      </c>
      <c r="E65" s="50">
        <f>((E55 * E35 * E60) * 10 ^ -3)</f>
        <v>1.1887120000000002</v>
      </c>
      <c r="F65" s="50">
        <f>((F55 * F35 * F60) * 10 ^ -3)</f>
        <v>1.85355</v>
      </c>
      <c r="G65" s="2" t="str">
        <f>$E$46</f>
        <v>t CH4</v>
      </c>
      <c r="M65" s="50">
        <f>((D55 * M35 * D60) * 10 ^ -3)</f>
        <v>32.377968000000003</v>
      </c>
      <c r="N65" s="50">
        <f>((E55 * N35 * E60) * 10 ^ -3)</f>
        <v>1.1887120000000002</v>
      </c>
      <c r="O65" s="50">
        <f>((F55 * O35 * F60) * 10 ^ -3)</f>
        <v>1.85355</v>
      </c>
      <c r="P65" s="2" t="str">
        <f>$E$46</f>
        <v>t CH4</v>
      </c>
    </row>
    <row r="66" spans="4:17" ht="20.100000000000001" customHeight="1" x14ac:dyDescent="0.25"/>
    <row r="67" spans="4:17" ht="20.100000000000001" customHeight="1" x14ac:dyDescent="0.25">
      <c r="D67" s="89" t="s">
        <v>176</v>
      </c>
      <c r="E67" s="90">
        <f>SUM(D65:F65)</f>
        <v>35.420230000000004</v>
      </c>
      <c r="F67" s="91" t="str">
        <f>$E$46</f>
        <v>t CH4</v>
      </c>
      <c r="M67" s="89" t="s">
        <v>177</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113</v>
      </c>
      <c r="E72" s="45" cm="1">
        <f t="array" ref="E72">Common_Equations.Common_ConvertCH4ToCO2e(G69,G70)</f>
        <v>991.7664400000001</v>
      </c>
      <c r="F72" s="93" t="str" cm="1">
        <f t="array" ref="F72">Common_Equations.Common_ConvertN2OToCO2e_Unit()</f>
        <v>t CO2e</v>
      </c>
      <c r="M72" s="45" t="s">
        <v>114</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208</v>
      </c>
      <c r="M5" s="1"/>
    </row>
    <row r="6" spans="1:21" ht="20.100000000000001" customHeight="1" x14ac:dyDescent="0.25">
      <c r="A6" s="16"/>
      <c r="D6" s="5" t="s">
        <v>209</v>
      </c>
      <c r="M6" s="1"/>
    </row>
    <row r="7" spans="1:21" ht="20.100000000000001" customHeight="1" x14ac:dyDescent="0.25">
      <c r="A7" s="20" t="s">
        <v>3</v>
      </c>
      <c r="D7" s="51" t="s">
        <v>210</v>
      </c>
      <c r="E7" s="1">
        <v>0.5</v>
      </c>
      <c r="F7" s="52" t="s">
        <v>211</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
        <v>212</v>
      </c>
      <c r="M10" s="1"/>
    </row>
    <row r="11" spans="1:21" ht="20.100000000000001" customHeight="1" x14ac:dyDescent="0.25">
      <c r="A11" s="19" t="s">
        <v>57</v>
      </c>
      <c r="D11" s="5" t="s">
        <v>209</v>
      </c>
      <c r="M11" s="1"/>
    </row>
    <row r="12" spans="1:21" ht="20.100000000000001" customHeight="1" x14ac:dyDescent="0.25">
      <c r="A12" s="17" t="str">
        <f>HYPERLINK("#'3.1.1.1-2 Enteric Methane'!A1", "3.1.1.1-2 Enteric Methane")</f>
        <v>3.1.1.1-2 Enteric Methane</v>
      </c>
      <c r="D12" s="51" t="s">
        <v>213</v>
      </c>
      <c r="E12" s="1">
        <v>0.02</v>
      </c>
      <c r="F12" s="52" t="s">
        <v>211</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
        <v>214</v>
      </c>
      <c r="M15" s="1"/>
    </row>
    <row r="16" spans="1:21" ht="20.100000000000001" customHeight="1" x14ac:dyDescent="0.25">
      <c r="A16" s="17" t="str">
        <f>HYPERLINK("#'Constants - Livestock'!A1", "Constants - Livestock")</f>
        <v>Constants - Livestock</v>
      </c>
      <c r="D16" s="5" t="s">
        <v>209</v>
      </c>
      <c r="M16" s="1"/>
    </row>
    <row r="17" spans="1:13" ht="20.100000000000001" customHeight="1" x14ac:dyDescent="0.25">
      <c r="A17" s="17" t="str">
        <f>HYPERLINK("#'Constants - Common'!A1", "Constants - Common")</f>
        <v>Constants - Common</v>
      </c>
      <c r="D17" s="51" t="s">
        <v>215</v>
      </c>
      <c r="E17" s="1">
        <v>0.16</v>
      </c>
      <c r="F17" s="52" t="s">
        <v>211</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
        <v>216</v>
      </c>
      <c r="M20" s="1"/>
    </row>
    <row r="21" spans="1:13" ht="20.100000000000001" customHeight="1" x14ac:dyDescent="0.25">
      <c r="A21" s="17"/>
      <c r="D21" s="5" t="s">
        <v>209</v>
      </c>
      <c r="M21" s="1"/>
    </row>
    <row r="22" spans="1:13" ht="20.100000000000001" customHeight="1" x14ac:dyDescent="0.25">
      <c r="D22" s="51" t="s">
        <v>217</v>
      </c>
      <c r="E22" s="1">
        <v>0.19</v>
      </c>
      <c r="F22" s="52" t="s">
        <v>218</v>
      </c>
      <c r="M22" s="1"/>
    </row>
    <row r="23" spans="1:13" ht="20.100000000000001" customHeight="1" x14ac:dyDescent="0.25">
      <c r="M23" s="1"/>
    </row>
    <row r="24" spans="1:13" ht="20.100000000000001" customHeight="1" x14ac:dyDescent="0.25">
      <c r="M24" s="1"/>
    </row>
    <row r="25" spans="1:13" ht="20.100000000000001" customHeight="1" x14ac:dyDescent="0.25">
      <c r="A25" s="17"/>
      <c r="D25" s="6" t="s">
        <v>82</v>
      </c>
      <c r="G25" s="6" t="s">
        <v>120</v>
      </c>
      <c r="J25" s="6" t="s">
        <v>122</v>
      </c>
      <c r="M25" s="1"/>
    </row>
    <row r="26" spans="1:13" ht="20.100000000000001" customHeight="1" x14ac:dyDescent="0.25">
      <c r="M26" s="1"/>
    </row>
    <row r="27" spans="1:13" ht="20.100000000000001" customHeight="1" x14ac:dyDescent="0.25">
      <c r="D27" s="84" t="s">
        <v>49</v>
      </c>
      <c r="E27" s="37" t="s">
        <v>62</v>
      </c>
      <c r="G27" s="37" t="s">
        <v>121</v>
      </c>
      <c r="J27" s="37" t="s">
        <v>119</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123</v>
      </c>
      <c r="M28" s="1"/>
    </row>
    <row r="29" spans="1:13" ht="20.100000000000001" customHeight="1" x14ac:dyDescent="0.25">
      <c r="D29" s="37" t="str">
        <f>'Constants - Livestock'!$E$15</f>
        <v>Solid storage</v>
      </c>
      <c r="E29" s="37" t="str">
        <f>'Constants - Livestock'!$F$15</f>
        <v>Solid storage (m=4)</v>
      </c>
      <c r="G29" s="1" t="str">
        <f>'Constants - Common'!$F$187</f>
        <v>Pasture</v>
      </c>
      <c r="J29" s="37" t="s">
        <v>124</v>
      </c>
      <c r="M29" s="1"/>
    </row>
    <row r="30" spans="1:13" ht="20.100000000000001" customHeight="1" x14ac:dyDescent="0.25">
      <c r="D30" s="37" t="str">
        <f>'Constants - Livestock'!$E$17</f>
        <v>Composting (passive windrow)</v>
      </c>
      <c r="E30" s="37" t="str">
        <f>'Constants - Livestock'!$F$17</f>
        <v>Composting (passive windrow) (m=6)</v>
      </c>
      <c r="J30" s="1" t="s">
        <v>125</v>
      </c>
      <c r="M30" s="1"/>
    </row>
    <row r="31" spans="1:13" ht="20.100000000000001" customHeight="1" x14ac:dyDescent="0.25">
      <c r="D31" s="37" t="str">
        <f>'Constants - Livestock'!$E$26</f>
        <v>Direct application</v>
      </c>
      <c r="E31" s="37" t="str">
        <f>'Constants - Livestock'!$F$26</f>
        <v>Direct application (m=13)</v>
      </c>
      <c r="J31" s="1" t="s">
        <v>126</v>
      </c>
      <c r="M31" s="1"/>
    </row>
    <row r="32" spans="1:13" ht="20.100000000000001" customHeight="1" x14ac:dyDescent="0.25">
      <c r="D32" s="1" t="str">
        <f>'Constants - Livestock'!$E$10</f>
        <v>Anaerobic lagoon</v>
      </c>
      <c r="E32" s="1" t="str">
        <f>'Constants - Livestock'!$F$10</f>
        <v>Anaerobic lagoon (m=1)</v>
      </c>
      <c r="J32" s="1" t="s">
        <v>127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
        <v>219</v>
      </c>
      <c r="M36" s="1"/>
    </row>
    <row r="37" spans="4:13" ht="20.100000000000001" customHeight="1" x14ac:dyDescent="0.25">
      <c r="D37" s="5" t="s">
        <v>220</v>
      </c>
      <c r="M37" s="1"/>
    </row>
    <row r="38" spans="4:13" ht="20.100000000000001" customHeight="1" x14ac:dyDescent="0.25">
      <c r="D38" s="37" t="s">
        <v>91</v>
      </c>
      <c r="E38" s="37" t="s">
        <v>104</v>
      </c>
      <c r="M38" s="1"/>
    </row>
    <row r="39" spans="4:13" ht="20.100000000000001" customHeight="1" x14ac:dyDescent="0.25">
      <c r="D39" s="37" t="s">
        <v>97</v>
      </c>
      <c r="E39" s="37" t="s">
        <v>221</v>
      </c>
      <c r="M39" s="24"/>
    </row>
    <row r="40" spans="4:13" ht="20.100000000000001" customHeight="1" x14ac:dyDescent="0.25">
      <c r="D40" s="1" t="s">
        <v>98</v>
      </c>
      <c r="E40" s="37" t="s">
        <v>222</v>
      </c>
      <c r="M40" s="24"/>
    </row>
    <row r="41" spans="4:13" ht="20.100000000000001" customHeight="1" x14ac:dyDescent="0.25">
      <c r="D41" s="1" t="s">
        <v>99</v>
      </c>
      <c r="E41" s="37" t="s">
        <v>223</v>
      </c>
      <c r="M41" s="24"/>
    </row>
    <row r="42" spans="4:13" ht="20.100000000000001" customHeight="1" x14ac:dyDescent="0.25">
      <c r="M42" s="24"/>
    </row>
    <row r="43" spans="4:13" ht="20.100000000000001" customHeight="1" x14ac:dyDescent="0.25">
      <c r="M43" s="24"/>
    </row>
    <row r="44" spans="4:13" ht="20.100000000000001" customHeight="1" x14ac:dyDescent="0.25">
      <c r="D44" s="6" t="s">
        <v>224</v>
      </c>
      <c r="M44" s="24"/>
    </row>
    <row r="45" spans="4:13" ht="20.100000000000001" customHeight="1" x14ac:dyDescent="0.25">
      <c r="D45" s="5" t="s">
        <v>225</v>
      </c>
      <c r="M45" s="24"/>
    </row>
    <row r="46" spans="4:13" ht="20.100000000000001" customHeight="1" x14ac:dyDescent="0.25">
      <c r="D46" s="53" t="s">
        <v>226</v>
      </c>
      <c r="M46" s="24"/>
    </row>
    <row r="47" spans="4:13" ht="20.100000000000001" customHeight="1" x14ac:dyDescent="0.25">
      <c r="D47" s="53" t="s">
        <v>227</v>
      </c>
      <c r="M47" s="24"/>
    </row>
    <row r="48" spans="4:13" ht="20.100000000000001" customHeight="1" x14ac:dyDescent="0.25">
      <c r="D48" s="53" t="s">
        <v>228</v>
      </c>
      <c r="M48" s="24"/>
    </row>
    <row r="49" spans="4:13" ht="20.100000000000001" customHeight="1" x14ac:dyDescent="0.25">
      <c r="D49" s="37" t="s">
        <v>91</v>
      </c>
      <c r="E49" s="37" t="s">
        <v>101</v>
      </c>
      <c r="F49" s="37" t="s">
        <v>11</v>
      </c>
      <c r="G49" s="37" t="s">
        <v>102</v>
      </c>
      <c r="H49" s="37" t="s">
        <v>93</v>
      </c>
      <c r="I49" s="37" t="s">
        <v>94</v>
      </c>
      <c r="J49" s="37" t="s">
        <v>95</v>
      </c>
      <c r="M49" s="24"/>
    </row>
    <row r="50" spans="4:13" ht="20.100000000000001" customHeight="1" x14ac:dyDescent="0.25">
      <c r="D50" s="37" t="s">
        <v>97</v>
      </c>
      <c r="E50" s="37" t="s">
        <v>229</v>
      </c>
      <c r="F50" s="37" t="s">
        <v>144</v>
      </c>
      <c r="G50" s="37">
        <v>70</v>
      </c>
      <c r="H50" s="37">
        <v>70</v>
      </c>
      <c r="I50" s="37">
        <v>70</v>
      </c>
      <c r="J50" s="37">
        <v>75</v>
      </c>
      <c r="M50" s="24"/>
    </row>
    <row r="51" spans="4:13" ht="20.100000000000001" customHeight="1" x14ac:dyDescent="0.25">
      <c r="D51" s="1" t="s">
        <v>97</v>
      </c>
      <c r="E51" s="37" t="s">
        <v>103</v>
      </c>
      <c r="F51" s="37" t="s">
        <v>230</v>
      </c>
      <c r="G51" s="37">
        <v>10</v>
      </c>
      <c r="H51" s="37">
        <v>10</v>
      </c>
      <c r="I51" s="37">
        <v>10.4</v>
      </c>
      <c r="J51" s="37">
        <v>10.4</v>
      </c>
      <c r="M51" s="24"/>
    </row>
    <row r="52" spans="4:13" ht="20.100000000000001" customHeight="1" x14ac:dyDescent="0.25">
      <c r="D52" s="1" t="s">
        <v>97</v>
      </c>
      <c r="E52" s="37" t="s">
        <v>231</v>
      </c>
      <c r="F52" s="37" t="s">
        <v>232</v>
      </c>
      <c r="G52" s="37">
        <v>21.1</v>
      </c>
      <c r="H52" s="37">
        <v>20.399999999999999</v>
      </c>
      <c r="I52" s="37">
        <v>20.399999999999999</v>
      </c>
      <c r="J52" s="37">
        <v>20.399999999999999</v>
      </c>
      <c r="M52" s="24"/>
    </row>
    <row r="53" spans="4:13" ht="20.100000000000001" customHeight="1" x14ac:dyDescent="0.25">
      <c r="D53" s="1" t="s">
        <v>98</v>
      </c>
      <c r="E53" s="37" t="s">
        <v>229</v>
      </c>
      <c r="F53" s="37" t="s">
        <v>144</v>
      </c>
      <c r="G53" s="37">
        <v>115</v>
      </c>
      <c r="H53" s="37">
        <v>115</v>
      </c>
      <c r="I53" s="37">
        <v>120</v>
      </c>
      <c r="J53" s="37">
        <v>150</v>
      </c>
      <c r="M53" s="24"/>
    </row>
    <row r="54" spans="4:13" ht="20.100000000000001" customHeight="1" x14ac:dyDescent="0.25">
      <c r="D54" s="1" t="s">
        <v>98</v>
      </c>
      <c r="E54" s="37" t="s">
        <v>103</v>
      </c>
      <c r="F54" s="37" t="s">
        <v>230</v>
      </c>
      <c r="G54" s="37">
        <v>11.2</v>
      </c>
      <c r="H54" s="37">
        <v>10.8</v>
      </c>
      <c r="I54" s="37">
        <v>10.8</v>
      </c>
      <c r="J54" s="37">
        <v>10.8</v>
      </c>
      <c r="M54" s="24"/>
    </row>
    <row r="55" spans="4:13" ht="20.100000000000001" customHeight="1" x14ac:dyDescent="0.25">
      <c r="D55" s="1" t="s">
        <v>98</v>
      </c>
      <c r="E55" s="37" t="s">
        <v>231</v>
      </c>
      <c r="F55" s="37" t="s">
        <v>232</v>
      </c>
      <c r="G55" s="37">
        <v>12.5</v>
      </c>
      <c r="H55" s="37">
        <v>12.7</v>
      </c>
      <c r="I55" s="37">
        <v>12.7</v>
      </c>
      <c r="J55" s="37">
        <v>12.7</v>
      </c>
      <c r="M55" s="24"/>
    </row>
    <row r="56" spans="4:13" ht="20.100000000000001" customHeight="1" x14ac:dyDescent="0.25">
      <c r="D56" s="1" t="s">
        <v>99</v>
      </c>
      <c r="E56" s="37" t="s">
        <v>229</v>
      </c>
      <c r="F56" s="37" t="s">
        <v>144</v>
      </c>
      <c r="G56" s="37">
        <v>250</v>
      </c>
      <c r="H56" s="37">
        <v>250</v>
      </c>
      <c r="I56" s="37">
        <v>250</v>
      </c>
      <c r="J56" s="37">
        <v>250</v>
      </c>
      <c r="M56" s="24"/>
    </row>
    <row r="57" spans="4:13" ht="20.100000000000001" customHeight="1" x14ac:dyDescent="0.25">
      <c r="D57" s="1" t="s">
        <v>99</v>
      </c>
      <c r="E57" s="37" t="s">
        <v>103</v>
      </c>
      <c r="F57" s="37" t="s">
        <v>230</v>
      </c>
      <c r="G57" s="37">
        <v>9</v>
      </c>
      <c r="H57" s="37">
        <v>8.5</v>
      </c>
      <c r="I57" s="37">
        <v>8.1999999999999993</v>
      </c>
      <c r="J57" s="37">
        <v>8.1999999999999993</v>
      </c>
      <c r="M57" s="24"/>
    </row>
    <row r="58" spans="4:13" ht="20.100000000000001" customHeight="1" x14ac:dyDescent="0.25">
      <c r="D58" s="1" t="s">
        <v>99</v>
      </c>
      <c r="E58" s="37" t="s">
        <v>231</v>
      </c>
      <c r="F58" s="37" t="s">
        <v>232</v>
      </c>
      <c r="G58" s="37">
        <v>6.6</v>
      </c>
      <c r="H58" s="37">
        <v>7</v>
      </c>
      <c r="I58" s="37">
        <v>7</v>
      </c>
      <c r="J58" s="37">
        <v>7</v>
      </c>
      <c r="M58" s="24"/>
    </row>
    <row r="59" spans="4:13" ht="20.100000000000001" customHeight="1" x14ac:dyDescent="0.25">
      <c r="M59" s="24"/>
    </row>
    <row r="60" spans="4:13" ht="20.100000000000001" customHeight="1" x14ac:dyDescent="0.25">
      <c r="M60" s="24"/>
    </row>
    <row r="61" spans="4:13" ht="20.100000000000001" customHeight="1" x14ac:dyDescent="0.25">
      <c r="D61" s="6" t="s">
        <v>233</v>
      </c>
      <c r="M61" s="24"/>
    </row>
    <row r="62" spans="4:13" ht="20.100000000000001" customHeight="1" x14ac:dyDescent="0.25">
      <c r="D62" s="5" t="s">
        <v>234</v>
      </c>
      <c r="M62" s="24"/>
    </row>
    <row r="63" spans="4:13" ht="20.100000000000001" customHeight="1" x14ac:dyDescent="0.25">
      <c r="D63" s="53" t="s">
        <v>226</v>
      </c>
      <c r="M63" s="24"/>
    </row>
    <row r="64" spans="4:13" ht="20.100000000000001" customHeight="1" x14ac:dyDescent="0.25">
      <c r="D64" s="53" t="s">
        <v>235</v>
      </c>
      <c r="M64" s="24"/>
    </row>
    <row r="65" spans="4:13" ht="20.100000000000001" customHeight="1" x14ac:dyDescent="0.25">
      <c r="D65" s="53" t="s">
        <v>227</v>
      </c>
      <c r="M65" s="24"/>
    </row>
    <row r="66" spans="4:13" ht="20.100000000000001" customHeight="1" x14ac:dyDescent="0.25">
      <c r="D66" s="37" t="s">
        <v>91</v>
      </c>
      <c r="E66" s="37" t="s">
        <v>92</v>
      </c>
      <c r="F66" s="37" t="s">
        <v>11</v>
      </c>
      <c r="G66" s="37" t="s">
        <v>93</v>
      </c>
      <c r="H66" s="37" t="s">
        <v>94</v>
      </c>
      <c r="I66" s="37" t="s">
        <v>95</v>
      </c>
      <c r="J66" s="37" t="s">
        <v>100</v>
      </c>
      <c r="M66" s="24"/>
    </row>
    <row r="67" spans="4:13" ht="20.100000000000001" customHeight="1" x14ac:dyDescent="0.25">
      <c r="D67" s="37" t="s">
        <v>97</v>
      </c>
      <c r="E67" s="37" t="s">
        <v>236</v>
      </c>
      <c r="F67" s="37" t="s">
        <v>145</v>
      </c>
      <c r="G67" s="37">
        <v>0.81</v>
      </c>
      <c r="H67" s="37">
        <v>0.81</v>
      </c>
      <c r="I67" s="37">
        <v>0.81</v>
      </c>
      <c r="J67" s="37">
        <v>0.81</v>
      </c>
      <c r="M67" s="24"/>
    </row>
    <row r="68" spans="4:13" ht="20.100000000000001" customHeight="1" x14ac:dyDescent="0.25">
      <c r="D68" s="1" t="s">
        <v>97</v>
      </c>
      <c r="E68" s="37" t="s">
        <v>237</v>
      </c>
      <c r="F68" s="37" t="s">
        <v>145</v>
      </c>
      <c r="G68" s="37">
        <v>0.14000000000000001</v>
      </c>
      <c r="H68" s="37">
        <v>0.14000000000000001</v>
      </c>
      <c r="I68" s="37">
        <v>0.14000000000000001</v>
      </c>
      <c r="J68" s="37">
        <v>0.14000000000000001</v>
      </c>
      <c r="M68" s="24"/>
    </row>
    <row r="69" spans="4:13" ht="20.100000000000001" customHeight="1" x14ac:dyDescent="0.25">
      <c r="D69" s="1" t="s">
        <v>97</v>
      </c>
      <c r="E69" s="37" t="s">
        <v>163</v>
      </c>
      <c r="F69" s="37" t="s">
        <v>197</v>
      </c>
      <c r="G69" s="37">
        <v>23</v>
      </c>
      <c r="H69" s="37">
        <v>22</v>
      </c>
      <c r="I69" s="37">
        <v>22</v>
      </c>
      <c r="J69" s="37">
        <v>22</v>
      </c>
      <c r="M69" s="24"/>
    </row>
    <row r="70" spans="4:13" ht="20.100000000000001" customHeight="1" x14ac:dyDescent="0.25">
      <c r="D70" s="1" t="s">
        <v>97</v>
      </c>
      <c r="E70" s="37" t="s">
        <v>238</v>
      </c>
      <c r="F70" s="37" t="s">
        <v>197</v>
      </c>
      <c r="G70" s="37">
        <v>4.5</v>
      </c>
      <c r="H70" s="37">
        <v>4.5</v>
      </c>
      <c r="I70" s="37">
        <v>4.8</v>
      </c>
      <c r="J70" s="37">
        <v>4.8</v>
      </c>
      <c r="M70" s="24"/>
    </row>
    <row r="71" spans="4:13" ht="20.100000000000001" customHeight="1" x14ac:dyDescent="0.25">
      <c r="D71" s="1" t="s">
        <v>98</v>
      </c>
      <c r="E71" s="37" t="s">
        <v>236</v>
      </c>
      <c r="F71" s="37" t="s">
        <v>145</v>
      </c>
      <c r="G71" s="37">
        <v>0.81</v>
      </c>
      <c r="H71" s="37">
        <v>0.81</v>
      </c>
      <c r="I71" s="37">
        <v>0.81</v>
      </c>
      <c r="J71" s="37">
        <v>0.81</v>
      </c>
      <c r="M71" s="24"/>
    </row>
    <row r="72" spans="4:13" ht="20.100000000000001" customHeight="1" x14ac:dyDescent="0.25">
      <c r="D72" s="1" t="s">
        <v>98</v>
      </c>
      <c r="E72" s="37" t="s">
        <v>237</v>
      </c>
      <c r="F72" s="37" t="s">
        <v>145</v>
      </c>
      <c r="G72" s="37">
        <v>0.13</v>
      </c>
      <c r="H72" s="37">
        <v>0.125</v>
      </c>
      <c r="I72" s="37">
        <v>0.12</v>
      </c>
      <c r="J72" s="37">
        <v>0.12</v>
      </c>
      <c r="M72" s="24"/>
    </row>
    <row r="73" spans="4:13" ht="20.100000000000001" customHeight="1" x14ac:dyDescent="0.25">
      <c r="D73" s="1" t="s">
        <v>98</v>
      </c>
      <c r="E73" s="37" t="s">
        <v>163</v>
      </c>
      <c r="F73" s="37" t="s">
        <v>197</v>
      </c>
      <c r="G73" s="37">
        <v>24</v>
      </c>
      <c r="H73" s="37">
        <v>22</v>
      </c>
      <c r="I73" s="37">
        <v>22</v>
      </c>
      <c r="J73" s="37">
        <v>22</v>
      </c>
      <c r="M73" s="24"/>
    </row>
    <row r="74" spans="4:13" ht="20.100000000000001" customHeight="1" x14ac:dyDescent="0.25">
      <c r="D74" s="1" t="s">
        <v>98</v>
      </c>
      <c r="E74" s="37" t="s">
        <v>238</v>
      </c>
      <c r="F74" s="37" t="s">
        <v>197</v>
      </c>
      <c r="G74" s="37">
        <v>5</v>
      </c>
      <c r="H74" s="37">
        <v>5</v>
      </c>
      <c r="I74" s="37">
        <v>5</v>
      </c>
      <c r="J74" s="37">
        <v>5</v>
      </c>
      <c r="M74" s="24"/>
    </row>
    <row r="75" spans="4:13" ht="20.100000000000001" customHeight="1" x14ac:dyDescent="0.25">
      <c r="D75" s="1" t="s">
        <v>239</v>
      </c>
      <c r="E75" s="37" t="s">
        <v>236</v>
      </c>
      <c r="F75" s="37" t="s">
        <v>145</v>
      </c>
      <c r="G75" s="37">
        <v>0.81</v>
      </c>
      <c r="H75" s="37">
        <v>0.81</v>
      </c>
      <c r="I75" s="37">
        <v>0.81</v>
      </c>
      <c r="J75" s="37">
        <v>0.81</v>
      </c>
      <c r="M75" s="24"/>
    </row>
    <row r="76" spans="4:13" ht="20.100000000000001" customHeight="1" x14ac:dyDescent="0.25">
      <c r="D76" s="1" t="s">
        <v>239</v>
      </c>
      <c r="E76" s="37" t="s">
        <v>237</v>
      </c>
      <c r="F76" s="37" t="s">
        <v>145</v>
      </c>
      <c r="G76" s="37">
        <v>0.13</v>
      </c>
      <c r="H76" s="37">
        <v>0.125</v>
      </c>
      <c r="I76" s="37">
        <v>0.12</v>
      </c>
      <c r="J76" s="37">
        <v>0.12</v>
      </c>
      <c r="M76" s="24"/>
    </row>
    <row r="77" spans="4:13" ht="20.100000000000001" customHeight="1" x14ac:dyDescent="0.25">
      <c r="D77" s="1" t="s">
        <v>239</v>
      </c>
      <c r="E77" s="37" t="s">
        <v>163</v>
      </c>
      <c r="F77" s="37" t="s">
        <v>197</v>
      </c>
      <c r="G77" s="37">
        <v>24</v>
      </c>
      <c r="H77" s="37">
        <v>24</v>
      </c>
      <c r="I77" s="37">
        <v>24</v>
      </c>
      <c r="J77" s="37">
        <v>24</v>
      </c>
      <c r="M77" s="24"/>
    </row>
    <row r="78" spans="4:13" ht="20.100000000000001" customHeight="1" x14ac:dyDescent="0.25">
      <c r="D78" s="1" t="s">
        <v>239</v>
      </c>
      <c r="E78" s="37" t="s">
        <v>238</v>
      </c>
      <c r="F78" s="37" t="s">
        <v>197</v>
      </c>
      <c r="G78" s="37">
        <v>5</v>
      </c>
      <c r="H78" s="37">
        <v>5</v>
      </c>
      <c r="I78" s="37">
        <v>5.5</v>
      </c>
      <c r="J78" s="37">
        <v>5.5</v>
      </c>
      <c r="M78" s="24"/>
    </row>
    <row r="79" spans="4:13" ht="20.100000000000001" customHeight="1" x14ac:dyDescent="0.25">
      <c r="M79" s="24"/>
    </row>
    <row r="80" spans="4:13" ht="20.100000000000001" customHeight="1" x14ac:dyDescent="0.25">
      <c r="M80" s="24"/>
    </row>
    <row r="81" spans="4:14" ht="20.100000000000001" customHeight="1" x14ac:dyDescent="0.25">
      <c r="D81" s="6" t="s">
        <v>240</v>
      </c>
      <c r="M81" s="1"/>
    </row>
    <row r="82" spans="4:14" ht="20.100000000000001" customHeight="1" x14ac:dyDescent="0.25">
      <c r="D82" s="5" t="s">
        <v>241</v>
      </c>
      <c r="M82" s="1"/>
    </row>
    <row r="83" spans="4:14" ht="20.100000000000001" customHeight="1" x14ac:dyDescent="0.25">
      <c r="D83" s="53" t="s">
        <v>226</v>
      </c>
      <c r="M83" s="1"/>
    </row>
    <row r="84" spans="4:14" ht="20.100000000000001" customHeight="1" x14ac:dyDescent="0.25">
      <c r="D84" s="53" t="s">
        <v>242</v>
      </c>
      <c r="M84" s="1"/>
    </row>
    <row r="85" spans="4:14" ht="20.100000000000001" customHeight="1" x14ac:dyDescent="0.25">
      <c r="D85" s="53" t="s">
        <v>243</v>
      </c>
      <c r="M85" s="1"/>
    </row>
    <row r="86" spans="4:14" ht="20.100000000000001" customHeight="1" x14ac:dyDescent="0.25">
      <c r="D86" s="53" t="s">
        <v>244</v>
      </c>
      <c r="M86" s="1"/>
    </row>
    <row r="87" spans="4:14" ht="20.100000000000001" customHeight="1" x14ac:dyDescent="0.25">
      <c r="M87" s="1"/>
    </row>
    <row r="88" spans="4:14" ht="20.100000000000001" customHeight="1" x14ac:dyDescent="0.25">
      <c r="D88" s="37" t="s">
        <v>81</v>
      </c>
      <c r="E88" s="37" t="s">
        <v>79</v>
      </c>
      <c r="F88" s="37" t="s">
        <v>64</v>
      </c>
      <c r="G88" s="37" t="s">
        <v>63</v>
      </c>
      <c r="H88" s="37" t="s">
        <v>66</v>
      </c>
      <c r="I88" s="37" t="s">
        <v>65</v>
      </c>
      <c r="J88" s="37" t="s">
        <v>67</v>
      </c>
      <c r="K88" s="37" t="s">
        <v>69</v>
      </c>
      <c r="L88" s="37" t="s">
        <v>70</v>
      </c>
      <c r="M88" s="37" t="s">
        <v>68</v>
      </c>
      <c r="N88" s="37" t="s">
        <v>77</v>
      </c>
    </row>
    <row r="89" spans="4:14" ht="20.100000000000001" customHeight="1" x14ac:dyDescent="0.25">
      <c r="D89" s="37" t="s">
        <v>245</v>
      </c>
      <c r="E89" s="37" t="s">
        <v>246</v>
      </c>
      <c r="F89" s="37">
        <v>0.01</v>
      </c>
      <c r="G89" s="37">
        <v>0.01</v>
      </c>
      <c r="H89" s="37">
        <v>0.03</v>
      </c>
      <c r="I89" s="37">
        <v>0.03</v>
      </c>
      <c r="J89" s="37">
        <v>0.01</v>
      </c>
      <c r="K89" s="37">
        <v>0.01</v>
      </c>
      <c r="L89" s="37">
        <v>0.01</v>
      </c>
      <c r="M89" s="37">
        <v>0.01</v>
      </c>
      <c r="N89" s="37" t="s">
        <v>247</v>
      </c>
    </row>
    <row r="90" spans="4:14" ht="20.100000000000001" customHeight="1" x14ac:dyDescent="0.25">
      <c r="D90" s="1" t="s">
        <v>248</v>
      </c>
      <c r="E90" s="37" t="s">
        <v>249</v>
      </c>
      <c r="F90" s="37">
        <v>0.02</v>
      </c>
      <c r="G90" s="37">
        <v>0.02</v>
      </c>
      <c r="H90" s="37">
        <v>0.02</v>
      </c>
      <c r="I90" s="37">
        <v>0.02</v>
      </c>
      <c r="J90" s="37">
        <v>0.02</v>
      </c>
      <c r="K90" s="37">
        <v>0.02</v>
      </c>
      <c r="L90" s="37">
        <v>0.02</v>
      </c>
      <c r="M90" s="37">
        <v>0.02</v>
      </c>
      <c r="N90" s="37" t="s">
        <v>152</v>
      </c>
    </row>
    <row r="91" spans="4:14" ht="20.100000000000001" customHeight="1" x14ac:dyDescent="0.25">
      <c r="D91" s="1" t="s">
        <v>248</v>
      </c>
      <c r="E91" s="37" t="s">
        <v>250</v>
      </c>
      <c r="F91" s="37">
        <v>0.01</v>
      </c>
      <c r="G91" s="37">
        <v>0.01</v>
      </c>
      <c r="H91" s="37">
        <v>0.01</v>
      </c>
      <c r="I91" s="37">
        <v>0.01</v>
      </c>
      <c r="J91" s="37">
        <v>0.01</v>
      </c>
      <c r="K91" s="37">
        <v>0.01</v>
      </c>
      <c r="L91" s="37">
        <v>0.01</v>
      </c>
      <c r="M91" s="37">
        <v>0.01</v>
      </c>
      <c r="N91" s="37" t="s">
        <v>151</v>
      </c>
    </row>
    <row r="92" spans="4:14" ht="20.100000000000001" customHeight="1" x14ac:dyDescent="0.25">
      <c r="D92" s="1" t="s">
        <v>248</v>
      </c>
      <c r="E92" s="37" t="s">
        <v>251</v>
      </c>
      <c r="F92" s="37">
        <v>0</v>
      </c>
      <c r="G92" s="37">
        <v>0</v>
      </c>
      <c r="H92" s="37">
        <v>0</v>
      </c>
      <c r="I92" s="37">
        <v>0</v>
      </c>
      <c r="J92" s="37">
        <v>0</v>
      </c>
      <c r="K92" s="37">
        <v>0</v>
      </c>
      <c r="L92" s="37">
        <v>0</v>
      </c>
      <c r="M92" s="37">
        <v>0</v>
      </c>
      <c r="N92" s="37" t="s">
        <v>143</v>
      </c>
    </row>
    <row r="93" spans="4:14" ht="20.100000000000001" customHeight="1" x14ac:dyDescent="0.25">
      <c r="D93" s="1" t="s">
        <v>252</v>
      </c>
      <c r="E93" s="37" t="s">
        <v>253</v>
      </c>
      <c r="F93" s="37">
        <v>0.75</v>
      </c>
      <c r="G93" s="37">
        <v>0.75</v>
      </c>
      <c r="H93" s="37">
        <v>0.77</v>
      </c>
      <c r="I93" s="37">
        <v>0.77</v>
      </c>
      <c r="J93" s="37">
        <v>0.75</v>
      </c>
      <c r="K93" s="37">
        <v>0.75</v>
      </c>
      <c r="L93" s="37">
        <v>0.77</v>
      </c>
      <c r="M93" s="37">
        <v>0.75</v>
      </c>
      <c r="N93" s="37" t="s">
        <v>147</v>
      </c>
    </row>
    <row r="94" spans="4:14" ht="20.100000000000001" customHeight="1" x14ac:dyDescent="0.25">
      <c r="M94" s="24"/>
    </row>
    <row r="95" spans="4:14" ht="20.100000000000001" customHeight="1" x14ac:dyDescent="0.25">
      <c r="M95" s="24"/>
    </row>
    <row r="96" spans="4:14" ht="20.100000000000001" customHeight="1" x14ac:dyDescent="0.25">
      <c r="D96" s="6" t="s">
        <v>254</v>
      </c>
      <c r="M96" s="24"/>
    </row>
    <row r="97" spans="4:14" ht="20.100000000000001" customHeight="1" x14ac:dyDescent="0.25">
      <c r="D97" s="5" t="s">
        <v>255</v>
      </c>
      <c r="M97" s="24"/>
    </row>
    <row r="98" spans="4:14" ht="20.100000000000001" customHeight="1" x14ac:dyDescent="0.25">
      <c r="D98" s="53" t="s">
        <v>226</v>
      </c>
      <c r="M98" s="24"/>
    </row>
    <row r="99" spans="4:14" ht="20.100000000000001" customHeight="1" x14ac:dyDescent="0.25">
      <c r="D99" s="53" t="s">
        <v>256</v>
      </c>
      <c r="M99" s="24"/>
    </row>
    <row r="100" spans="4:14" ht="20.100000000000001" customHeight="1" x14ac:dyDescent="0.25">
      <c r="D100" s="37" t="s">
        <v>81</v>
      </c>
      <c r="E100" s="37" t="s">
        <v>79</v>
      </c>
      <c r="F100" s="37" t="s">
        <v>105</v>
      </c>
      <c r="G100" s="37" t="s">
        <v>77</v>
      </c>
      <c r="M100" s="1"/>
      <c r="N100" s="24"/>
    </row>
    <row r="101" spans="4:14" ht="20.100000000000001" customHeight="1" x14ac:dyDescent="0.25">
      <c r="D101" s="37" t="s">
        <v>245</v>
      </c>
      <c r="E101" s="37" t="s">
        <v>246</v>
      </c>
      <c r="F101" s="37">
        <v>5.4000000000000003E-3</v>
      </c>
      <c r="G101" s="37" t="s">
        <v>247</v>
      </c>
      <c r="M101" s="1"/>
      <c r="N101" s="24"/>
    </row>
    <row r="102" spans="4:14" ht="20.100000000000001" customHeight="1" x14ac:dyDescent="0.25">
      <c r="D102" s="1" t="s">
        <v>248</v>
      </c>
      <c r="E102" s="37" t="s">
        <v>249</v>
      </c>
      <c r="F102" s="37">
        <v>5.0000000000000001E-3</v>
      </c>
      <c r="G102" s="37" t="s">
        <v>152</v>
      </c>
      <c r="M102" s="1"/>
      <c r="N102" s="24"/>
    </row>
    <row r="103" spans="4:14" ht="20.100000000000001" customHeight="1" x14ac:dyDescent="0.25">
      <c r="D103" s="1" t="s">
        <v>248</v>
      </c>
      <c r="E103" s="37" t="s">
        <v>250</v>
      </c>
      <c r="F103" s="37">
        <v>0.01</v>
      </c>
      <c r="G103" s="37" t="s">
        <v>151</v>
      </c>
      <c r="M103" s="24"/>
    </row>
    <row r="104" spans="4:14" ht="20.100000000000001" customHeight="1" x14ac:dyDescent="0.25">
      <c r="D104" s="1" t="s">
        <v>248</v>
      </c>
      <c r="E104" s="37" t="s">
        <v>251</v>
      </c>
      <c r="F104" s="37">
        <v>0</v>
      </c>
      <c r="G104" s="37" t="s">
        <v>143</v>
      </c>
      <c r="M104" s="24"/>
    </row>
    <row r="105" spans="4:14" ht="20.100000000000001" customHeight="1" x14ac:dyDescent="0.25">
      <c r="D105" s="1" t="s">
        <v>252</v>
      </c>
      <c r="E105" s="37" t="s">
        <v>257</v>
      </c>
      <c r="F105" s="37">
        <v>0</v>
      </c>
      <c r="G105" s="37" t="s">
        <v>147</v>
      </c>
      <c r="M105" s="24"/>
    </row>
    <row r="106" spans="4:14" ht="20.100000000000001" customHeight="1" x14ac:dyDescent="0.25">
      <c r="M106" s="24"/>
    </row>
    <row r="107" spans="4:14" ht="20.100000000000001" customHeight="1" x14ac:dyDescent="0.25">
      <c r="M107" s="24"/>
    </row>
    <row r="108" spans="4:14" ht="20.100000000000001" customHeight="1" x14ac:dyDescent="0.25">
      <c r="D108" s="6" t="s">
        <v>258</v>
      </c>
      <c r="M108" s="24"/>
    </row>
    <row r="109" spans="4:14" ht="20.100000000000001" customHeight="1" x14ac:dyDescent="0.25">
      <c r="D109" s="5" t="s">
        <v>259</v>
      </c>
      <c r="M109" s="24"/>
    </row>
    <row r="110" spans="4:14" ht="20.100000000000001" customHeight="1" x14ac:dyDescent="0.25">
      <c r="D110" s="53" t="s">
        <v>226</v>
      </c>
      <c r="M110" s="24"/>
    </row>
    <row r="111" spans="4:14" ht="20.100000000000001" customHeight="1" x14ac:dyDescent="0.25">
      <c r="D111" s="53" t="s">
        <v>256</v>
      </c>
      <c r="M111" s="24"/>
    </row>
    <row r="112" spans="4:14" ht="20.100000000000001" customHeight="1" x14ac:dyDescent="0.25">
      <c r="D112" s="95" t="s">
        <v>81</v>
      </c>
      <c r="E112" s="95" t="s">
        <v>79</v>
      </c>
      <c r="F112" s="95" t="s">
        <v>106</v>
      </c>
      <c r="G112" s="95" t="s">
        <v>77</v>
      </c>
      <c r="M112" s="24"/>
    </row>
    <row r="113" spans="4:22" ht="20.100000000000001" customHeight="1" x14ac:dyDescent="0.25">
      <c r="D113" s="1" t="s">
        <v>245</v>
      </c>
      <c r="E113" s="1" t="s">
        <v>246</v>
      </c>
      <c r="F113" s="1">
        <v>0.6</v>
      </c>
      <c r="G113" s="1" t="s">
        <v>247</v>
      </c>
      <c r="M113" s="24"/>
    </row>
    <row r="114" spans="4:22" ht="20.100000000000001" customHeight="1" x14ac:dyDescent="0.25">
      <c r="D114" s="1" t="s">
        <v>248</v>
      </c>
      <c r="E114" s="1" t="s">
        <v>249</v>
      </c>
      <c r="F114" s="1">
        <v>0.25</v>
      </c>
      <c r="G114" s="1" t="s">
        <v>152</v>
      </c>
      <c r="M114" s="24"/>
    </row>
    <row r="115" spans="4:22" ht="20.100000000000001" customHeight="1" x14ac:dyDescent="0.25">
      <c r="D115" s="1" t="s">
        <v>248</v>
      </c>
      <c r="E115" s="1" t="s">
        <v>250</v>
      </c>
      <c r="F115" s="1">
        <v>0.4</v>
      </c>
      <c r="G115" s="1" t="s">
        <v>151</v>
      </c>
      <c r="M115" s="24"/>
      <c r="V115" s="1"/>
    </row>
    <row r="116" spans="4:22" ht="20.100000000000001" customHeight="1" x14ac:dyDescent="0.25">
      <c r="D116" s="1" t="s">
        <v>248</v>
      </c>
      <c r="E116" s="1" t="s">
        <v>251</v>
      </c>
      <c r="F116" s="1">
        <v>0</v>
      </c>
      <c r="G116" s="1" t="s">
        <v>143</v>
      </c>
      <c r="M116" s="24"/>
      <c r="V116" s="1"/>
    </row>
    <row r="117" spans="4:22" ht="20.100000000000001" customHeight="1" x14ac:dyDescent="0.25">
      <c r="D117" s="1" t="s">
        <v>252</v>
      </c>
      <c r="E117" s="1" t="s">
        <v>253</v>
      </c>
      <c r="F117" s="1">
        <v>0.35</v>
      </c>
      <c r="G117" s="1" t="s">
        <v>147</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260</v>
      </c>
      <c r="BM5" s="3"/>
    </row>
    <row r="6" spans="1:65" ht="20.100000000000001" customHeight="1" x14ac:dyDescent="0.25">
      <c r="A6"/>
      <c r="D6" s="37" t="s">
        <v>13</v>
      </c>
      <c r="E6" s="37" t="s">
        <v>14</v>
      </c>
      <c r="F6" s="37" t="s">
        <v>15</v>
      </c>
    </row>
    <row r="7" spans="1:65" ht="20.100000000000001" customHeight="1" x14ac:dyDescent="0.25">
      <c r="A7"/>
      <c r="D7" s="37" t="s">
        <v>261</v>
      </c>
      <c r="E7" s="37" t="s">
        <v>261</v>
      </c>
      <c r="F7" s="37" t="s">
        <v>64</v>
      </c>
    </row>
    <row r="8" spans="1:65" ht="20.100000000000001" customHeight="1" x14ac:dyDescent="0.25">
      <c r="A8"/>
      <c r="D8" s="37" t="s">
        <v>262</v>
      </c>
      <c r="E8" s="37" t="s">
        <v>63</v>
      </c>
      <c r="F8" s="37" t="s">
        <v>63</v>
      </c>
    </row>
    <row r="9" spans="1:65" ht="20.100000000000001" customHeight="1" x14ac:dyDescent="0.25">
      <c r="A9"/>
      <c r="D9" s="37" t="s">
        <v>263</v>
      </c>
      <c r="E9" s="37" t="s">
        <v>263</v>
      </c>
      <c r="F9" s="37" t="s">
        <v>69</v>
      </c>
    </row>
    <row r="10" spans="1:65" ht="20.100000000000001" customHeight="1" x14ac:dyDescent="0.25">
      <c r="A10"/>
      <c r="D10" s="37" t="s">
        <v>264</v>
      </c>
      <c r="E10" s="37" t="s">
        <v>264</v>
      </c>
      <c r="F10" s="37" t="s">
        <v>66</v>
      </c>
    </row>
    <row r="11" spans="1:65" ht="20.100000000000001" customHeight="1" x14ac:dyDescent="0.25">
      <c r="A11"/>
      <c r="D11" s="37" t="s">
        <v>265</v>
      </c>
      <c r="E11" s="37" t="s">
        <v>265</v>
      </c>
      <c r="F11" s="37" t="s">
        <v>67</v>
      </c>
      <c r="BM11" s="3"/>
    </row>
    <row r="12" spans="1:65" ht="20.100000000000001" customHeight="1" x14ac:dyDescent="0.25">
      <c r="A12"/>
      <c r="D12" s="37" t="s">
        <v>266</v>
      </c>
      <c r="E12" s="37" t="s">
        <v>266</v>
      </c>
      <c r="F12" s="37" t="s">
        <v>70</v>
      </c>
      <c r="BM12" s="3"/>
    </row>
    <row r="13" spans="1:65" ht="20.100000000000001" customHeight="1" x14ac:dyDescent="0.25">
      <c r="A13"/>
      <c r="D13" s="37" t="s">
        <v>267</v>
      </c>
      <c r="E13" s="37" t="s">
        <v>267</v>
      </c>
      <c r="F13" s="37" t="s">
        <v>68</v>
      </c>
    </row>
    <row r="14" spans="1:65" ht="20.100000000000001" customHeight="1" x14ac:dyDescent="0.25">
      <c r="A14"/>
      <c r="D14" s="37" t="s">
        <v>268</v>
      </c>
      <c r="E14" s="37" t="s">
        <v>268</v>
      </c>
      <c r="F14" s="37" t="s">
        <v>65</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269</v>
      </c>
    </row>
    <row r="19" spans="1:4" ht="20.100000000000001" customHeight="1" x14ac:dyDescent="0.25">
      <c r="A19"/>
      <c r="D19" s="5" t="s">
        <v>270</v>
      </c>
    </row>
    <row r="20" spans="1:4" ht="20.100000000000001" customHeight="1" x14ac:dyDescent="0.25">
      <c r="A20"/>
      <c r="D20" s="37" t="s">
        <v>16</v>
      </c>
    </row>
    <row r="21" spans="1:4" ht="20.100000000000001" customHeight="1" x14ac:dyDescent="0.25">
      <c r="A21"/>
      <c r="D21" s="37" t="s">
        <v>271</v>
      </c>
    </row>
    <row r="22" spans="1:4" ht="20.100000000000001" customHeight="1" x14ac:dyDescent="0.25">
      <c r="A22"/>
      <c r="D22" s="37" t="s">
        <v>272</v>
      </c>
    </row>
    <row r="23" spans="1:4" ht="20.100000000000001" customHeight="1" x14ac:dyDescent="0.25">
      <c r="A23"/>
      <c r="D23" s="37" t="s">
        <v>273</v>
      </c>
    </row>
    <row r="24" spans="1:4" ht="20.100000000000001" customHeight="1" x14ac:dyDescent="0.25">
      <c r="A24"/>
      <c r="D24" s="37" t="s">
        <v>274</v>
      </c>
    </row>
    <row r="25" spans="1:4" ht="20.100000000000001" customHeight="1" x14ac:dyDescent="0.25">
      <c r="A25"/>
      <c r="D25" s="37" t="s">
        <v>275</v>
      </c>
    </row>
    <row r="26" spans="1:4" ht="20.100000000000001" customHeight="1" x14ac:dyDescent="0.25">
      <c r="A26"/>
      <c r="D26" s="37" t="s">
        <v>276</v>
      </c>
    </row>
    <row r="27" spans="1:4" ht="20.100000000000001" customHeight="1" x14ac:dyDescent="0.25">
      <c r="A27"/>
      <c r="D27" s="37" t="s">
        <v>277</v>
      </c>
    </row>
    <row r="28" spans="1:4" ht="20.100000000000001" customHeight="1" x14ac:dyDescent="0.25">
      <c r="A28"/>
      <c r="D28" s="37" t="s">
        <v>278</v>
      </c>
    </row>
    <row r="29" spans="1:4" ht="20.100000000000001" customHeight="1" x14ac:dyDescent="0.25">
      <c r="A29"/>
      <c r="D29" s="37" t="s">
        <v>279</v>
      </c>
    </row>
    <row r="30" spans="1:4" ht="20.100000000000001" customHeight="1" x14ac:dyDescent="0.25">
      <c r="A30"/>
      <c r="D30" s="37" t="s">
        <v>280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281</v>
      </c>
    </row>
    <row r="35" spans="1:8" ht="20.100000000000001" customHeight="1" x14ac:dyDescent="0.25">
      <c r="A35"/>
      <c r="D35" s="5" t="s">
        <v>282</v>
      </c>
    </row>
    <row r="36" spans="1:8" ht="20.100000000000001" customHeight="1" x14ac:dyDescent="0.25">
      <c r="A36"/>
      <c r="D36" s="37" t="s">
        <v>17</v>
      </c>
      <c r="E36" s="37" t="s">
        <v>18</v>
      </c>
    </row>
    <row r="37" spans="1:8" ht="20.100000000000001" customHeight="1" x14ac:dyDescent="0.25">
      <c r="A37"/>
      <c r="D37" s="37" t="s">
        <v>283</v>
      </c>
      <c r="E37" s="37">
        <v>1</v>
      </c>
    </row>
    <row r="38" spans="1:8" ht="20.100000000000001" customHeight="1" x14ac:dyDescent="0.25">
      <c r="A38"/>
      <c r="D38" s="37" t="s">
        <v>284</v>
      </c>
      <c r="E38" s="37">
        <v>28</v>
      </c>
    </row>
    <row r="39" spans="1:8" ht="20.100000000000001" customHeight="1" x14ac:dyDescent="0.25">
      <c r="A39"/>
      <c r="D39" s="37" t="s">
        <v>285</v>
      </c>
      <c r="E39" s="37">
        <v>265</v>
      </c>
    </row>
    <row r="40" spans="1:8" ht="20.100000000000001" customHeight="1" x14ac:dyDescent="0.25">
      <c r="A40"/>
      <c r="D40" s="37" t="s">
        <v>286</v>
      </c>
      <c r="E40" s="37">
        <v>6630</v>
      </c>
    </row>
    <row r="41" spans="1:8" ht="20.100000000000001" customHeight="1" x14ac:dyDescent="0.25">
      <c r="A41"/>
      <c r="D41" s="37" t="s">
        <v>287</v>
      </c>
      <c r="E41" s="37">
        <v>12200</v>
      </c>
    </row>
    <row r="42" spans="1:8" ht="20.100000000000001" customHeight="1" x14ac:dyDescent="0.25">
      <c r="D42" s="37" t="s">
        <v>288</v>
      </c>
      <c r="E42" s="37">
        <v>22800</v>
      </c>
    </row>
    <row r="43" spans="1:8" ht="20.100000000000001" customHeight="1" x14ac:dyDescent="0.25">
      <c r="D43" s="37" t="s">
        <v>289</v>
      </c>
      <c r="E43" s="37">
        <v>17200</v>
      </c>
    </row>
    <row r="44" spans="1:8" ht="20.100000000000001" customHeight="1" x14ac:dyDescent="0.25"/>
    <row r="45" spans="1:8" ht="20.100000000000001" customHeight="1" x14ac:dyDescent="0.25">
      <c r="D45" s="6" t="s">
        <v>290</v>
      </c>
    </row>
    <row r="46" spans="1:8" ht="20.100000000000001" customHeight="1" x14ac:dyDescent="0.25">
      <c r="D46" s="5" t="s">
        <v>282</v>
      </c>
    </row>
    <row r="47" spans="1:8" ht="20.100000000000001" customHeight="1" x14ac:dyDescent="0.25">
      <c r="D47" s="37" t="s">
        <v>17</v>
      </c>
      <c r="E47" s="37" t="s">
        <v>20</v>
      </c>
      <c r="F47" s="37" t="s">
        <v>21</v>
      </c>
      <c r="G47" s="37" t="s">
        <v>22</v>
      </c>
      <c r="H47" s="37" t="s">
        <v>23</v>
      </c>
    </row>
    <row r="48" spans="1:8" ht="20.100000000000001" customHeight="1" x14ac:dyDescent="0.25">
      <c r="D48" s="37" t="s">
        <v>283</v>
      </c>
      <c r="E48" s="37" t="s">
        <v>291</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284</v>
      </c>
      <c r="E49" s="37" t="s">
        <v>292</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285</v>
      </c>
      <c r="E50" s="37" t="s">
        <v>293</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294</v>
      </c>
      <c r="E51" s="37" t="s">
        <v>295</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296</v>
      </c>
      <c r="E52" s="37" t="s">
        <v>297</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298</v>
      </c>
      <c r="E53" s="37" t="s">
        <v>291</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299</v>
      </c>
      <c r="E54" s="37" t="s">
        <v>300</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301</v>
      </c>
    </row>
    <row r="58" spans="4:8" ht="20.100000000000001" customHeight="1" x14ac:dyDescent="0.25">
      <c r="D58" s="5" t="s">
        <v>302</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37</v>
      </c>
    </row>
    <row r="64" spans="4:8" ht="20.100000000000001" customHeight="1" x14ac:dyDescent="0.25">
      <c r="D64" s="37" t="s">
        <v>303</v>
      </c>
      <c r="E64" s="37" t="s">
        <v>304</v>
      </c>
    </row>
    <row r="65" spans="4:5" ht="20.100000000000001" customHeight="1" x14ac:dyDescent="0.25">
      <c r="D65" s="37" t="s">
        <v>305</v>
      </c>
      <c r="E65" s="37" t="s">
        <v>304</v>
      </c>
    </row>
    <row r="66" spans="4:5" ht="20.100000000000001" customHeight="1" x14ac:dyDescent="0.25">
      <c r="D66" s="37" t="s">
        <v>306</v>
      </c>
      <c r="E66" s="37" t="s">
        <v>304</v>
      </c>
    </row>
    <row r="67" spans="4:5" ht="20.100000000000001" customHeight="1" x14ac:dyDescent="0.25">
      <c r="D67" s="37" t="s">
        <v>307</v>
      </c>
      <c r="E67" s="37" t="s">
        <v>308</v>
      </c>
    </row>
    <row r="68" spans="4:5" ht="20.100000000000001" customHeight="1" x14ac:dyDescent="0.25">
      <c r="D68" s="37" t="s">
        <v>309</v>
      </c>
      <c r="E68" s="37" t="s">
        <v>304</v>
      </c>
    </row>
    <row r="69" spans="4:5" ht="20.100000000000001" customHeight="1" x14ac:dyDescent="0.25">
      <c r="D69" s="37" t="s">
        <v>310</v>
      </c>
      <c r="E69" s="37" t="s">
        <v>308</v>
      </c>
    </row>
    <row r="70" spans="4:5" ht="20.100000000000001" customHeight="1" x14ac:dyDescent="0.25">
      <c r="D70" s="37" t="s">
        <v>311</v>
      </c>
      <c r="E70" s="37" t="s">
        <v>304</v>
      </c>
    </row>
    <row r="71" spans="4:5" ht="20.100000000000001" customHeight="1" x14ac:dyDescent="0.25">
      <c r="D71" s="37" t="s">
        <v>312</v>
      </c>
      <c r="E71" s="37" t="s">
        <v>308</v>
      </c>
    </row>
    <row r="72" spans="4:5" ht="20.100000000000001" customHeight="1" x14ac:dyDescent="0.25">
      <c r="D72" s="37" t="s">
        <v>313</v>
      </c>
      <c r="E72" s="37" t="s">
        <v>304</v>
      </c>
    </row>
    <row r="73" spans="4:5" ht="20.100000000000001" customHeight="1" x14ac:dyDescent="0.25">
      <c r="D73" s="37" t="s">
        <v>314</v>
      </c>
      <c r="E73" s="37" t="s">
        <v>308</v>
      </c>
    </row>
    <row r="74" spans="4:5" ht="20.100000000000001" customHeight="1" x14ac:dyDescent="0.25">
      <c r="D74" s="37" t="s">
        <v>315</v>
      </c>
      <c r="E74" s="37" t="s">
        <v>304</v>
      </c>
    </row>
    <row r="75" spans="4:5" ht="20.100000000000001" customHeight="1" x14ac:dyDescent="0.25">
      <c r="D75" s="37" t="s">
        <v>316</v>
      </c>
      <c r="E75" s="37" t="s">
        <v>308</v>
      </c>
    </row>
    <row r="76" spans="4:5" ht="20.100000000000001" customHeight="1" x14ac:dyDescent="0.25">
      <c r="D76" s="37" t="s">
        <v>317</v>
      </c>
      <c r="E76" s="37" t="s">
        <v>304</v>
      </c>
    </row>
    <row r="77" spans="4:5" ht="20.100000000000001" customHeight="1" x14ac:dyDescent="0.25">
      <c r="D77" s="37" t="s">
        <v>318</v>
      </c>
      <c r="E77" s="37" t="s">
        <v>308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319</v>
      </c>
    </row>
    <row r="82" spans="4:20" ht="20.100000000000001" customHeight="1" x14ac:dyDescent="0.25">
      <c r="D82" s="5" t="s">
        <v>320</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
        <v>303</v>
      </c>
      <c r="E90" s="37" t="s">
        <v>321</v>
      </c>
      <c r="F90" s="37" t="s">
        <v>322</v>
      </c>
      <c r="G90" s="37" t="s">
        <v>323</v>
      </c>
      <c r="H90" s="37" t="s">
        <v>324</v>
      </c>
      <c r="I90" s="37" t="s">
        <v>322</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305</v>
      </c>
      <c r="E91" s="37" t="s">
        <v>321</v>
      </c>
      <c r="F91" s="37" t="s">
        <v>325</v>
      </c>
      <c r="G91" s="37" t="s">
        <v>323</v>
      </c>
      <c r="H91" s="37" t="s">
        <v>326</v>
      </c>
      <c r="I91" s="37" t="s">
        <v>322</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306</v>
      </c>
      <c r="E92" s="37" t="s">
        <v>321</v>
      </c>
      <c r="F92" s="37" t="s">
        <v>327</v>
      </c>
      <c r="G92" s="37" t="s">
        <v>323</v>
      </c>
      <c r="H92" s="37" t="s">
        <v>326</v>
      </c>
      <c r="I92" s="37" t="s">
        <v>322</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307</v>
      </c>
      <c r="E93" s="37" t="s">
        <v>321</v>
      </c>
      <c r="F93" s="37" t="s">
        <v>328</v>
      </c>
      <c r="G93" s="37" t="s">
        <v>323</v>
      </c>
      <c r="H93" s="37" t="s">
        <v>326</v>
      </c>
      <c r="I93" s="37" t="s">
        <v>322</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309</v>
      </c>
      <c r="E94" s="37" t="s">
        <v>329</v>
      </c>
      <c r="F94" s="37" t="s">
        <v>322</v>
      </c>
      <c r="G94" s="37" t="s">
        <v>322</v>
      </c>
      <c r="H94" s="37" t="s">
        <v>322</v>
      </c>
      <c r="I94" s="37" t="s">
        <v>330</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310</v>
      </c>
      <c r="E95" s="37" t="s">
        <v>329</v>
      </c>
      <c r="F95" s="37" t="s">
        <v>322</v>
      </c>
      <c r="G95" s="37" t="s">
        <v>322</v>
      </c>
      <c r="H95" s="37" t="s">
        <v>322</v>
      </c>
      <c r="I95" s="37" t="s">
        <v>331</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311</v>
      </c>
      <c r="E96" s="37" t="s">
        <v>332</v>
      </c>
      <c r="F96" s="37" t="s">
        <v>322</v>
      </c>
      <c r="G96" s="37" t="s">
        <v>322</v>
      </c>
      <c r="H96" s="37" t="s">
        <v>322</v>
      </c>
      <c r="I96" s="37" t="s">
        <v>330</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312</v>
      </c>
      <c r="E97" s="37" t="s">
        <v>332</v>
      </c>
      <c r="F97" s="37" t="s">
        <v>322</v>
      </c>
      <c r="G97" s="37" t="s">
        <v>322</v>
      </c>
      <c r="H97" s="37" t="s">
        <v>322</v>
      </c>
      <c r="I97" s="37" t="s">
        <v>331</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2" t="s">
        <v>333</v>
      </c>
    </row>
    <row r="100" spans="4:20" ht="20.100000000000001" customHeight="1" x14ac:dyDescent="0.25">
      <c r="D100" s="52" t="s">
        <v>334</v>
      </c>
    </row>
    <row r="101" spans="4:20" ht="20.100000000000001" customHeight="1" x14ac:dyDescent="0.25">
      <c r="D101" s="52" t="s">
        <v>335</v>
      </c>
    </row>
    <row r="102" spans="4:20" ht="20.100000000000001" customHeight="1" x14ac:dyDescent="0.25">
      <c r="D102" s="52" t="s">
        <v>336</v>
      </c>
    </row>
    <row r="103" spans="4:20" ht="20.100000000000001" customHeight="1" x14ac:dyDescent="0.25">
      <c r="D103" s="52"/>
    </row>
    <row r="104" spans="4:20" ht="20.100000000000001" customHeight="1" x14ac:dyDescent="0.25"/>
    <row r="105" spans="4:20" ht="20.100000000000001" customHeight="1" x14ac:dyDescent="0.25">
      <c r="D105" s="6" t="s">
        <v>337</v>
      </c>
    </row>
    <row r="106" spans="4:20" ht="20.100000000000001" customHeight="1" x14ac:dyDescent="0.25">
      <c r="D106" s="5" t="s">
        <v>320</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
        <v>338</v>
      </c>
      <c r="E110" s="37" t="s">
        <v>339</v>
      </c>
      <c r="F110" s="37">
        <v>26</v>
      </c>
      <c r="G110" s="37">
        <v>999999</v>
      </c>
    </row>
    <row r="111" spans="4:20" ht="20.100000000000001" customHeight="1" x14ac:dyDescent="0.25">
      <c r="D111" s="37" t="s">
        <v>340</v>
      </c>
      <c r="E111" s="37" t="s">
        <v>341</v>
      </c>
      <c r="F111" s="37">
        <v>15</v>
      </c>
      <c r="G111" s="37">
        <v>25.998999999999999</v>
      </c>
    </row>
    <row r="112" spans="4:20" ht="20.100000000000001" customHeight="1" x14ac:dyDescent="0.25">
      <c r="D112" s="37" t="s">
        <v>342</v>
      </c>
      <c r="E112" s="37" t="s">
        <v>343</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344</v>
      </c>
      <c r="BN115" s="7"/>
    </row>
    <row r="116" spans="4:66" ht="20.100000000000001" customHeight="1" x14ac:dyDescent="0.25">
      <c r="D116" s="5" t="s">
        <v>320</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
        <v>345</v>
      </c>
      <c r="E120" s="37" t="s">
        <v>346</v>
      </c>
      <c r="F120" s="37">
        <v>600.00099999999998</v>
      </c>
      <c r="G120" s="37">
        <v>999999</v>
      </c>
      <c r="BN120" s="7"/>
    </row>
    <row r="121" spans="4:66" ht="20.100000000000001" customHeight="1" x14ac:dyDescent="0.25">
      <c r="D121" s="37" t="s">
        <v>347</v>
      </c>
      <c r="E121" s="37" t="s">
        <v>348</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349</v>
      </c>
    </row>
    <row r="125" spans="4:66" ht="20.100000000000001" customHeight="1" x14ac:dyDescent="0.25">
      <c r="D125" s="5" t="s">
        <v>320</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
        <v>350</v>
      </c>
      <c r="E128" s="37" t="s">
        <v>351</v>
      </c>
    </row>
    <row r="129" spans="4:77" ht="20.100000000000001" customHeight="1" x14ac:dyDescent="0.25">
      <c r="D129" s="37" t="s">
        <v>352</v>
      </c>
      <c r="E129" s="37" t="s">
        <v>353</v>
      </c>
    </row>
    <row r="130" spans="4:77" ht="20.100000000000001" customHeight="1" x14ac:dyDescent="0.25"/>
    <row r="131" spans="4:77" ht="20.100000000000001" customHeight="1" x14ac:dyDescent="0.25"/>
    <row r="132" spans="4:77" ht="20.100000000000001" customHeight="1" x14ac:dyDescent="0.25">
      <c r="D132" s="6" t="s">
        <v>354</v>
      </c>
      <c r="E132" s="24"/>
    </row>
    <row r="133" spans="4:77" ht="20.100000000000001" customHeight="1" x14ac:dyDescent="0.25">
      <c r="D133" s="5" t="s">
        <v>355</v>
      </c>
      <c r="E133" s="24"/>
    </row>
    <row r="134" spans="4:77" ht="20.100000000000001" customHeight="1" x14ac:dyDescent="0.25">
      <c r="D134" t="s">
        <v>73</v>
      </c>
      <c r="E134" t="s">
        <v>74</v>
      </c>
    </row>
    <row r="135" spans="4:77" ht="20.100000000000001" customHeight="1" x14ac:dyDescent="0.25">
      <c r="D135" t="s">
        <v>356</v>
      </c>
      <c r="E135">
        <v>1</v>
      </c>
    </row>
    <row r="136" spans="4:77" ht="20.100000000000001" customHeight="1" x14ac:dyDescent="0.25">
      <c r="D136" s="1" t="s">
        <v>357</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358</v>
      </c>
      <c r="BN139" s="7"/>
      <c r="BO139" s="7"/>
      <c r="BP139" s="7"/>
      <c r="BQ139" s="7"/>
      <c r="BR139" s="7"/>
      <c r="BS139" s="7"/>
      <c r="BT139" s="7"/>
      <c r="BU139" s="7"/>
      <c r="BV139" s="7"/>
      <c r="BW139" s="7"/>
      <c r="BX139" s="7"/>
      <c r="BY139" s="7"/>
    </row>
    <row r="140" spans="4:77" ht="20.100000000000001" customHeight="1" x14ac:dyDescent="0.25">
      <c r="D140" s="5" t="s">
        <v>359</v>
      </c>
      <c r="BN140" s="7"/>
      <c r="BO140" s="7"/>
      <c r="BP140" s="7"/>
      <c r="BQ140" s="7"/>
      <c r="BR140" s="7"/>
      <c r="BS140" s="7"/>
      <c r="BT140" s="7"/>
      <c r="BU140" s="7"/>
      <c r="BV140" s="7"/>
      <c r="BW140" s="7"/>
      <c r="BX140" s="7"/>
      <c r="BY140" s="7"/>
    </row>
    <row r="141" spans="4:77" ht="20.100000000000001" customHeight="1" x14ac:dyDescent="0.25">
      <c r="D141" s="53" t="s">
        <v>360</v>
      </c>
      <c r="BN141" s="7"/>
    </row>
    <row r="142" spans="4:77" ht="20.100000000000001" customHeight="1" x14ac:dyDescent="0.25">
      <c r="D142" s="37" t="s">
        <v>133</v>
      </c>
      <c r="E142" s="37" t="s">
        <v>74</v>
      </c>
      <c r="BN142" s="7"/>
    </row>
    <row r="143" spans="4:77" ht="20.100000000000001" customHeight="1" x14ac:dyDescent="0.25">
      <c r="D143" s="37" t="s">
        <v>123</v>
      </c>
      <c r="E143" s="37">
        <v>0</v>
      </c>
      <c r="BN143" s="7"/>
    </row>
    <row r="144" spans="4:77" ht="20.100000000000001" customHeight="1" x14ac:dyDescent="0.25">
      <c r="D144" s="1" t="s">
        <v>124</v>
      </c>
      <c r="E144" s="37">
        <v>0</v>
      </c>
      <c r="BN144" s="7"/>
    </row>
    <row r="145" spans="4:66" ht="20.100000000000001" customHeight="1" x14ac:dyDescent="0.25">
      <c r="D145" s="1" t="s">
        <v>125</v>
      </c>
      <c r="E145" s="37">
        <v>1</v>
      </c>
      <c r="BN145" s="7"/>
    </row>
    <row r="146" spans="4:66" ht="20.100000000000001" customHeight="1" x14ac:dyDescent="0.25">
      <c r="D146" s="1" t="s">
        <v>126</v>
      </c>
      <c r="E146" s="37">
        <v>1</v>
      </c>
      <c r="BN146" s="7"/>
    </row>
    <row r="147" spans="4:66" ht="20.100000000000001" customHeight="1" x14ac:dyDescent="0.25">
      <c r="D147" s="1" t="s">
        <v>127</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361</v>
      </c>
      <c r="BN150" s="7"/>
    </row>
    <row r="151" spans="4:66" ht="20.100000000000001" customHeight="1" x14ac:dyDescent="0.25">
      <c r="D151" s="5" t="s">
        <v>362</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
        <v>363</v>
      </c>
      <c r="E154" s="37">
        <v>1</v>
      </c>
      <c r="BC154" s="3"/>
      <c r="BD154" s="3"/>
      <c r="BE154" s="3"/>
      <c r="BF154" s="3"/>
      <c r="BG154" s="3"/>
      <c r="BH154" s="3"/>
      <c r="BI154" s="3"/>
      <c r="BJ154" s="3"/>
      <c r="BK154" s="3"/>
      <c r="BL154" s="3"/>
      <c r="BM154" s="3"/>
    </row>
    <row r="155" spans="4:66" ht="20.100000000000001" customHeight="1" x14ac:dyDescent="0.25">
      <c r="D155" s="37" t="s">
        <v>364</v>
      </c>
      <c r="E155" s="37">
        <v>2</v>
      </c>
      <c r="BC155" s="3"/>
      <c r="BD155" s="3"/>
      <c r="BE155" s="3"/>
      <c r="BF155" s="3"/>
      <c r="BG155" s="3"/>
      <c r="BH155" s="3"/>
      <c r="BI155" s="3"/>
      <c r="BJ155" s="3"/>
      <c r="BK155" s="3"/>
      <c r="BL155" s="3"/>
      <c r="BM155" s="3"/>
    </row>
    <row r="156" spans="4:66" ht="20.100000000000001" customHeight="1" x14ac:dyDescent="0.25">
      <c r="D156" s="37" t="s">
        <v>365</v>
      </c>
      <c r="E156" s="37">
        <v>3</v>
      </c>
    </row>
    <row r="157" spans="4:66" ht="20.100000000000001" customHeight="1" x14ac:dyDescent="0.25">
      <c r="D157" s="37" t="s">
        <v>366</v>
      </c>
      <c r="E157" s="37">
        <v>4</v>
      </c>
    </row>
    <row r="158" spans="4:66" ht="20.100000000000001" customHeight="1" x14ac:dyDescent="0.25">
      <c r="D158" s="37" t="s">
        <v>367</v>
      </c>
      <c r="E158" s="37">
        <v>5</v>
      </c>
    </row>
    <row r="159" spans="4:66" ht="20.100000000000001" customHeight="1" x14ac:dyDescent="0.25"/>
    <row r="160" spans="4:66" ht="20.100000000000001" customHeight="1" x14ac:dyDescent="0.25"/>
    <row r="161" spans="4:68" ht="20.100000000000001" customHeight="1" x14ac:dyDescent="0.25">
      <c r="D161" s="6" t="s">
        <v>354</v>
      </c>
      <c r="E161" s="24"/>
    </row>
    <row r="162" spans="4:68" ht="20.100000000000001" customHeight="1" x14ac:dyDescent="0.25">
      <c r="D162" s="5" t="s">
        <v>355</v>
      </c>
      <c r="E162" s="24"/>
    </row>
    <row r="163" spans="4:68" ht="20.100000000000001" customHeight="1" x14ac:dyDescent="0.25">
      <c r="D163" s="5" t="s">
        <v>368</v>
      </c>
      <c r="E163" s="24"/>
    </row>
    <row r="164" spans="4:68" ht="20.100000000000001" customHeight="1" x14ac:dyDescent="0.25">
      <c r="D164" s="24" t="s">
        <v>369</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370</v>
      </c>
      <c r="BN167" s="7"/>
      <c r="BO167" s="7"/>
      <c r="BP167" s="7"/>
    </row>
    <row r="168" spans="4:68" ht="20.100000000000001" customHeight="1" x14ac:dyDescent="0.25">
      <c r="D168" s="5" t="s">
        <v>355</v>
      </c>
      <c r="BN168" s="7"/>
      <c r="BO168" s="7"/>
      <c r="BP168" s="7"/>
    </row>
    <row r="169" spans="4:68" ht="20.100000000000001" customHeight="1" x14ac:dyDescent="0.25">
      <c r="D169" s="5" t="s">
        <v>371</v>
      </c>
      <c r="BN169" s="7"/>
      <c r="BO169" s="7"/>
      <c r="BP169" s="7"/>
    </row>
    <row r="170" spans="4:68" ht="20.100000000000001" customHeight="1" x14ac:dyDescent="0.25">
      <c r="D170" s="1" t="s">
        <v>372</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373</v>
      </c>
      <c r="BN173" s="7"/>
      <c r="BO173" s="7"/>
      <c r="BP173" s="7"/>
    </row>
    <row r="174" spans="4:68" ht="20.100000000000001" customHeight="1" x14ac:dyDescent="0.25">
      <c r="D174" s="5" t="s">
        <v>374</v>
      </c>
      <c r="BN174" s="7"/>
      <c r="BO174" s="7"/>
      <c r="BP174" s="7"/>
    </row>
    <row r="175" spans="4:68" ht="20.100000000000001" customHeight="1" x14ac:dyDescent="0.25">
      <c r="D175" s="1">
        <v>0.6784</v>
      </c>
      <c r="E175" s="52" t="s">
        <v>375</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376</v>
      </c>
      <c r="BN178" s="7"/>
      <c r="BO178" s="7"/>
      <c r="BP178" s="7"/>
    </row>
    <row r="179" spans="4:68" ht="20.100000000000001" customHeight="1" x14ac:dyDescent="0.25">
      <c r="D179" s="5" t="s">
        <v>377</v>
      </c>
      <c r="BN179" s="7"/>
      <c r="BO179" s="7"/>
      <c r="BP179" s="7"/>
    </row>
    <row r="180" spans="4:68" ht="20.100000000000001" customHeight="1" x14ac:dyDescent="0.25">
      <c r="D180" s="52" t="s">
        <v>378</v>
      </c>
    </row>
    <row r="181" spans="4:68" ht="20.100000000000001" customHeight="1" x14ac:dyDescent="0.25">
      <c r="D181" s="53" t="s">
        <v>379</v>
      </c>
    </row>
    <row r="182" spans="4:68" ht="20.100000000000001" customHeight="1" x14ac:dyDescent="0.25">
      <c r="D182" s="53" t="s">
        <v>380</v>
      </c>
    </row>
    <row r="183" spans="4:68" ht="20.100000000000001" customHeight="1" x14ac:dyDescent="0.25">
      <c r="D183" s="53" t="s">
        <v>381</v>
      </c>
    </row>
    <row r="184" spans="4:68" ht="20.100000000000001" customHeight="1" x14ac:dyDescent="0.25">
      <c r="D184" s="53" t="s">
        <v>382</v>
      </c>
    </row>
    <row r="185" spans="4:68" ht="20.100000000000001" customHeight="1" x14ac:dyDescent="0.25">
      <c r="D185" s="53" t="s">
        <v>383</v>
      </c>
    </row>
    <row r="186" spans="4:68" ht="20.100000000000001" customHeight="1" x14ac:dyDescent="0.25">
      <c r="D186" s="37" t="s">
        <v>116</v>
      </c>
      <c r="E186" s="37" t="s">
        <v>117</v>
      </c>
      <c r="F186" s="37" t="s">
        <v>118</v>
      </c>
      <c r="G186" s="37" t="s">
        <v>119</v>
      </c>
      <c r="H186" s="37" t="s">
        <v>24</v>
      </c>
    </row>
    <row r="187" spans="4:68" ht="20.100000000000001" customHeight="1" x14ac:dyDescent="0.25">
      <c r="D187" s="37" t="s">
        <v>384</v>
      </c>
      <c r="E187" s="37">
        <v>5.8999999999999999E-3</v>
      </c>
      <c r="F187" s="37" t="s">
        <v>385</v>
      </c>
      <c r="G187" s="37" t="s">
        <v>322</v>
      </c>
      <c r="H187" s="37" t="s">
        <v>322</v>
      </c>
    </row>
    <row r="188" spans="4:68" ht="20.100000000000001" customHeight="1" x14ac:dyDescent="0.25">
      <c r="D188" s="37" t="s">
        <v>386</v>
      </c>
      <c r="E188" s="37">
        <v>7.0000000000000001E-3</v>
      </c>
      <c r="F188" s="37" t="s">
        <v>387</v>
      </c>
      <c r="G188" s="37" t="s">
        <v>322</v>
      </c>
      <c r="H188" s="37" t="s">
        <v>322</v>
      </c>
    </row>
    <row r="189" spans="4:68" ht="20.100000000000001" customHeight="1" x14ac:dyDescent="0.25">
      <c r="D189" s="37" t="s">
        <v>388</v>
      </c>
      <c r="E189" s="37">
        <v>1.8E-3</v>
      </c>
      <c r="F189" s="37" t="s">
        <v>385</v>
      </c>
      <c r="G189" s="37" t="s">
        <v>123</v>
      </c>
      <c r="H189" s="37" t="s">
        <v>347</v>
      </c>
    </row>
    <row r="190" spans="4:68" ht="20.100000000000001" customHeight="1" x14ac:dyDescent="0.25">
      <c r="D190" s="37" t="s">
        <v>388</v>
      </c>
      <c r="E190" s="37">
        <v>1.8E-3</v>
      </c>
      <c r="F190" s="37" t="s">
        <v>385</v>
      </c>
      <c r="G190" s="37" t="s">
        <v>123</v>
      </c>
      <c r="H190" s="37" t="s">
        <v>345</v>
      </c>
    </row>
    <row r="191" spans="4:68" ht="20.100000000000001" customHeight="1" x14ac:dyDescent="0.25">
      <c r="D191" s="37" t="s">
        <v>389</v>
      </c>
      <c r="E191" s="37">
        <v>2.8999999999999998E-3</v>
      </c>
      <c r="F191" s="37" t="s">
        <v>387</v>
      </c>
      <c r="G191" s="37" t="s">
        <v>123</v>
      </c>
      <c r="H191" s="37" t="s">
        <v>347</v>
      </c>
    </row>
    <row r="192" spans="4:68" ht="20.100000000000001" customHeight="1" x14ac:dyDescent="0.25">
      <c r="D192" s="37" t="s">
        <v>390</v>
      </c>
      <c r="E192" s="37">
        <v>8.0000000000000002E-3</v>
      </c>
      <c r="F192" s="37" t="s">
        <v>387</v>
      </c>
      <c r="G192" s="37" t="s">
        <v>123</v>
      </c>
      <c r="H192" s="37" t="s">
        <v>345</v>
      </c>
    </row>
    <row r="193" spans="4:8" ht="20.100000000000001" customHeight="1" x14ac:dyDescent="0.25">
      <c r="D193" s="37" t="s">
        <v>391</v>
      </c>
      <c r="E193" s="37">
        <v>1.9900000000000001E-2</v>
      </c>
      <c r="F193" s="37" t="s">
        <v>391</v>
      </c>
      <c r="G193" s="37" t="s">
        <v>322</v>
      </c>
      <c r="H193" s="37" t="s">
        <v>322</v>
      </c>
    </row>
    <row r="194" spans="4:8" ht="20.100000000000001" customHeight="1" x14ac:dyDescent="0.25">
      <c r="D194" s="37" t="s">
        <v>392</v>
      </c>
      <c r="E194" s="37">
        <v>5.3E-3</v>
      </c>
      <c r="F194" s="37" t="s">
        <v>392</v>
      </c>
      <c r="G194" s="37" t="s">
        <v>322</v>
      </c>
      <c r="H194" s="37" t="s">
        <v>322</v>
      </c>
    </row>
    <row r="195" spans="4:8" ht="20.100000000000001" customHeight="1" x14ac:dyDescent="0.25">
      <c r="D195" s="37" t="s">
        <v>393</v>
      </c>
      <c r="E195" s="37">
        <v>6.4000000000000003E-3</v>
      </c>
      <c r="F195" s="37" t="s">
        <v>393</v>
      </c>
      <c r="G195" s="37" t="s">
        <v>322</v>
      </c>
      <c r="H195" s="37" t="s">
        <v>322</v>
      </c>
    </row>
    <row r="196" spans="4:8" ht="20.100000000000001" customHeight="1" x14ac:dyDescent="0.25">
      <c r="D196" s="37" t="s">
        <v>394</v>
      </c>
      <c r="E196" s="37">
        <v>3.0000000000000001E-3</v>
      </c>
      <c r="F196" s="37" t="s">
        <v>395</v>
      </c>
      <c r="G196" s="37" t="s">
        <v>396</v>
      </c>
      <c r="H196" s="37" t="s">
        <v>322</v>
      </c>
    </row>
    <row r="197" spans="4:8" x14ac:dyDescent="0.25">
      <c r="D197" s="37" t="s">
        <v>397</v>
      </c>
      <c r="E197" s="37">
        <v>5.0000000000000001E-3</v>
      </c>
      <c r="F197" s="37" t="s">
        <v>395</v>
      </c>
      <c r="G197" s="37" t="s">
        <v>398</v>
      </c>
      <c r="H197" s="37" t="s">
        <v>322</v>
      </c>
    </row>
    <row r="198" spans="4:8" x14ac:dyDescent="0.25">
      <c r="D198" s="37" t="s">
        <v>399</v>
      </c>
      <c r="E198" s="37">
        <v>2.5999999999999999E-3</v>
      </c>
      <c r="F198" s="37" t="s">
        <v>399</v>
      </c>
      <c r="G198" s="37" t="s">
        <v>322</v>
      </c>
      <c r="H198" s="37" t="s">
        <v>322</v>
      </c>
    </row>
    <row r="199" spans="4:8" x14ac:dyDescent="0.25">
      <c r="D199" s="37" t="s">
        <v>400</v>
      </c>
      <c r="E199" s="37">
        <v>1.8E-3</v>
      </c>
      <c r="F199" s="37" t="s">
        <v>400</v>
      </c>
      <c r="G199" s="37" t="s">
        <v>322</v>
      </c>
      <c r="H199" s="37" t="s">
        <v>322</v>
      </c>
    </row>
    <row r="202" spans="4:8" ht="23.25" x14ac:dyDescent="0.25">
      <c r="D202" s="6" t="s">
        <v>401</v>
      </c>
    </row>
    <row r="203" spans="4:8" x14ac:dyDescent="0.25">
      <c r="D203" s="5" t="s">
        <v>402</v>
      </c>
    </row>
    <row r="204" spans="4:8" x14ac:dyDescent="0.25">
      <c r="D204" s="53" t="s">
        <v>403</v>
      </c>
    </row>
    <row r="205" spans="4:8" x14ac:dyDescent="0.25">
      <c r="D205" s="52" t="s">
        <v>404</v>
      </c>
    </row>
    <row r="206" spans="4:8" x14ac:dyDescent="0.25">
      <c r="D206" s="37" t="s">
        <v>8</v>
      </c>
      <c r="E206" s="37" t="s">
        <v>134</v>
      </c>
    </row>
    <row r="207" spans="4:8" x14ac:dyDescent="0.25">
      <c r="D207" s="37" t="s">
        <v>304</v>
      </c>
      <c r="E207" s="37">
        <v>6.0000000000000001E-3</v>
      </c>
    </row>
    <row r="208" spans="4:8" x14ac:dyDescent="0.25">
      <c r="D208" s="1" t="s">
        <v>308</v>
      </c>
      <c r="E208" s="37">
        <v>2E-3</v>
      </c>
    </row>
    <row r="211" spans="4:5" x14ac:dyDescent="0.25">
      <c r="D211" s="1" t="s">
        <v>405</v>
      </c>
    </row>
    <row r="212" spans="4:5" x14ac:dyDescent="0.25">
      <c r="D212" s="37" t="s">
        <v>135</v>
      </c>
      <c r="E212" s="37" t="s">
        <v>136</v>
      </c>
    </row>
    <row r="213" spans="4:5" x14ac:dyDescent="0.25">
      <c r="D213" s="37" t="s">
        <v>406</v>
      </c>
      <c r="E213" s="37" t="s">
        <v>407</v>
      </c>
    </row>
    <row r="214" spans="4:5" x14ac:dyDescent="0.25">
      <c r="D214" s="1" t="s">
        <v>408</v>
      </c>
      <c r="E214" s="37" t="s">
        <v>407</v>
      </c>
    </row>
    <row r="215" spans="4:5" x14ac:dyDescent="0.25">
      <c r="D215" s="1" t="s">
        <v>409</v>
      </c>
      <c r="E215" s="37" t="s">
        <v>410</v>
      </c>
    </row>
    <row r="216" spans="4:5" x14ac:dyDescent="0.25">
      <c r="D216" s="1" t="s">
        <v>411</v>
      </c>
      <c r="E216" s="37" t="s">
        <v>410</v>
      </c>
    </row>
    <row r="217" spans="4:5" x14ac:dyDescent="0.25">
      <c r="D217" s="1" t="s">
        <v>412</v>
      </c>
      <c r="E217" s="37" t="s">
        <v>410</v>
      </c>
    </row>
    <row r="218" spans="4:5" x14ac:dyDescent="0.25">
      <c r="D218" s="1" t="s">
        <v>413</v>
      </c>
      <c r="E218" s="37" t="s">
        <v>414</v>
      </c>
    </row>
    <row r="219" spans="4:5" x14ac:dyDescent="0.25">
      <c r="D219" s="1" t="s">
        <v>415</v>
      </c>
      <c r="E219" s="37" t="s">
        <v>414</v>
      </c>
    </row>
    <row r="220" spans="4:5" x14ac:dyDescent="0.25">
      <c r="D220" s="1" t="s">
        <v>416</v>
      </c>
      <c r="E220" s="37" t="s">
        <v>414</v>
      </c>
    </row>
    <row r="221" spans="4:5" x14ac:dyDescent="0.25">
      <c r="D221" s="1" t="s">
        <v>417</v>
      </c>
      <c r="E221" s="37" t="s">
        <v>418</v>
      </c>
    </row>
    <row r="222" spans="4:5" x14ac:dyDescent="0.25">
      <c r="D222" s="1" t="s">
        <v>419</v>
      </c>
      <c r="E222" s="37" t="s">
        <v>418</v>
      </c>
    </row>
    <row r="223" spans="4:5" x14ac:dyDescent="0.25">
      <c r="D223" s="1" t="s">
        <v>420</v>
      </c>
      <c r="E223" s="37" t="s">
        <v>418</v>
      </c>
    </row>
    <row r="224" spans="4:5" x14ac:dyDescent="0.25">
      <c r="D224" s="1" t="s">
        <v>421</v>
      </c>
      <c r="E224" s="37" t="s">
        <v>407</v>
      </c>
    </row>
    <row r="227" spans="4:19" ht="23.25" x14ac:dyDescent="0.25">
      <c r="D227" s="6" t="s">
        <v>422</v>
      </c>
    </row>
    <row r="228" spans="4:19" x14ac:dyDescent="0.25">
      <c r="D228" s="5" t="s">
        <v>423</v>
      </c>
    </row>
    <row r="229" spans="4:19" x14ac:dyDescent="0.25">
      <c r="D229" s="53" t="s">
        <v>424</v>
      </c>
    </row>
    <row r="231" spans="4:19" x14ac:dyDescent="0.25">
      <c r="D231" s="37" t="s">
        <v>41</v>
      </c>
      <c r="E231" s="37" t="s">
        <v>146</v>
      </c>
      <c r="F231" s="36" t="s">
        <v>147</v>
      </c>
      <c r="G231" s="37" t="s">
        <v>148</v>
      </c>
      <c r="H231" s="37" t="s">
        <v>149</v>
      </c>
      <c r="I231" s="37" t="s">
        <v>150</v>
      </c>
      <c r="J231" s="37" t="s">
        <v>151</v>
      </c>
      <c r="K231" s="37" t="s">
        <v>152</v>
      </c>
      <c r="L231" s="37" t="s">
        <v>153</v>
      </c>
      <c r="M231" s="37" t="s">
        <v>154</v>
      </c>
      <c r="N231" s="37" t="s">
        <v>155</v>
      </c>
      <c r="O231" s="37" t="s">
        <v>156</v>
      </c>
      <c r="P231" s="37" t="s">
        <v>157</v>
      </c>
      <c r="Q231" s="37" t="s">
        <v>143</v>
      </c>
      <c r="R231" s="37" t="s">
        <v>158</v>
      </c>
      <c r="S231" s="37" t="s">
        <v>159</v>
      </c>
    </row>
    <row r="232" spans="4:19" x14ac:dyDescent="0.25">
      <c r="D232" s="37" t="s">
        <v>342</v>
      </c>
      <c r="E232" s="37" t="s">
        <v>425</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342</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342</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342</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342</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340</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340</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340</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340</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340</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340</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340</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340</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340</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340</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340</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338</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338</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338</v>
      </c>
      <c r="E250" s="37" t="s">
        <v>426</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427</v>
      </c>
    </row>
    <row r="254" spans="4:19" x14ac:dyDescent="0.25">
      <c r="D254" s="5" t="s">
        <v>428</v>
      </c>
    </row>
    <row r="255" spans="4:19" x14ac:dyDescent="0.25">
      <c r="D255" s="1" t="s">
        <v>184</v>
      </c>
    </row>
    <row r="256" spans="4:19" x14ac:dyDescent="0.25">
      <c r="D256" s="52" t="s">
        <v>404</v>
      </c>
    </row>
    <row r="257" spans="4:5" x14ac:dyDescent="0.25">
      <c r="D257" s="37" t="s">
        <v>183</v>
      </c>
      <c r="E257" s="37" t="s">
        <v>184</v>
      </c>
    </row>
    <row r="258" spans="4:5" x14ac:dyDescent="0.25">
      <c r="D258" s="37" t="s">
        <v>304</v>
      </c>
      <c r="E258" s="37">
        <v>6.0000000000000001E-3</v>
      </c>
    </row>
    <row r="259" spans="4:5" x14ac:dyDescent="0.25">
      <c r="D259" s="1" t="s">
        <v>308</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60</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429</v>
      </c>
      <c r="E6" s="3"/>
      <c r="F6" s="3"/>
      <c r="G6" s="3"/>
      <c r="H6" s="3"/>
    </row>
    <row r="7" spans="1:13" ht="20.100000000000001" customHeight="1" x14ac:dyDescent="0.25">
      <c r="A7" s="20" t="s">
        <v>3</v>
      </c>
      <c r="D7" s="3" t="s">
        <v>49</v>
      </c>
      <c r="E7" s="3"/>
      <c r="F7" s="3"/>
      <c r="G7" s="3"/>
      <c r="H7" s="3"/>
    </row>
    <row r="8" spans="1:13" ht="20.100000000000001" customHeight="1" x14ac:dyDescent="0.25">
      <c r="A8" s="17" t="str">
        <f>HYPERLINK("#'Input - Site'!A1", "Site")</f>
        <v>Site</v>
      </c>
      <c r="D8" s="5" t="s">
        <v>430</v>
      </c>
      <c r="E8" s="3"/>
      <c r="F8" s="3"/>
      <c r="G8" s="3"/>
      <c r="H8" s="3"/>
    </row>
    <row r="9" spans="1:13" ht="20.100000000000001" customHeight="1" x14ac:dyDescent="0.25">
      <c r="A9" s="17" t="str">
        <f>HYPERLINK("#'Input - Feedlot'!A1", "Feedlot")</f>
        <v>Feedlot</v>
      </c>
      <c r="D9" s="36" t="s">
        <v>61</v>
      </c>
      <c r="E9" s="37" t="s">
        <v>12</v>
      </c>
      <c r="F9" s="37" t="s">
        <v>62</v>
      </c>
      <c r="G9" s="3"/>
    </row>
    <row r="10" spans="1:13" ht="20.100000000000001" customHeight="1" x14ac:dyDescent="0.25">
      <c r="A10" s="17"/>
      <c r="D10" s="36">
        <v>1</v>
      </c>
      <c r="E10" s="36" t="s">
        <v>147</v>
      </c>
      <c r="F10" s="36" t="s">
        <v>431</v>
      </c>
      <c r="G10" s="3"/>
    </row>
    <row r="11" spans="1:13" ht="20.100000000000001" customHeight="1" x14ac:dyDescent="0.25">
      <c r="A11" s="19" t="s">
        <v>57</v>
      </c>
      <c r="D11" s="36">
        <v>2</v>
      </c>
      <c r="E11" s="36" t="s">
        <v>149</v>
      </c>
      <c r="F11" s="36" t="s">
        <v>432</v>
      </c>
      <c r="G11" s="3"/>
    </row>
    <row r="12" spans="1:13" ht="20.100000000000001" customHeight="1" x14ac:dyDescent="0.25">
      <c r="A12" s="17" t="str">
        <f>HYPERLINK("#'3.1.1.1-2 Enteric Methane'!A1", "3.1.1.1-2 Enteric Methane")</f>
        <v>3.1.1.1-2 Enteric Methane</v>
      </c>
      <c r="D12" s="37">
        <v>3</v>
      </c>
      <c r="E12" s="37" t="s">
        <v>150</v>
      </c>
      <c r="F12" s="37" t="s">
        <v>433</v>
      </c>
      <c r="G12" s="3"/>
    </row>
    <row r="13" spans="1:13" ht="20.100000000000001" customHeight="1" x14ac:dyDescent="0.25">
      <c r="D13" s="37" t="s">
        <v>434</v>
      </c>
      <c r="E13" s="37" t="s">
        <v>435</v>
      </c>
      <c r="F13" s="37" t="s">
        <v>436</v>
      </c>
      <c r="G13" s="3"/>
    </row>
    <row r="14" spans="1:13" ht="20.100000000000001" customHeight="1" x14ac:dyDescent="0.25">
      <c r="A14" s="18" t="s">
        <v>4</v>
      </c>
      <c r="D14" s="37" t="s">
        <v>437</v>
      </c>
      <c r="E14" s="37" t="s">
        <v>438</v>
      </c>
      <c r="F14" s="37" t="s">
        <v>439</v>
      </c>
      <c r="G14" s="3"/>
    </row>
    <row r="15" spans="1:13" ht="20.100000000000001" customHeight="1" x14ac:dyDescent="0.25">
      <c r="A15" s="17" t="str">
        <f>HYPERLINK("#'Constants - Feedlot'!A1", "Constants - Feedlot")</f>
        <v>Constants - Feedlot</v>
      </c>
      <c r="D15" s="37">
        <v>4</v>
      </c>
      <c r="E15" s="37" t="s">
        <v>152</v>
      </c>
      <c r="F15" s="37" t="s">
        <v>440</v>
      </c>
      <c r="G15" s="3"/>
    </row>
    <row r="16" spans="1:13" ht="20.100000000000001" customHeight="1" x14ac:dyDescent="0.25">
      <c r="A16" s="64" t="str">
        <f>HYPERLINK("#'Constants - Livestock'!A1", "Constants - Livestock")</f>
        <v>Constants - Livestock</v>
      </c>
      <c r="D16" s="37">
        <v>5</v>
      </c>
      <c r="E16" s="37" t="s">
        <v>247</v>
      </c>
      <c r="F16" s="37" t="s">
        <v>441</v>
      </c>
      <c r="G16" s="3"/>
    </row>
    <row r="17" spans="1:8" ht="20.100000000000001" customHeight="1" x14ac:dyDescent="0.25">
      <c r="A17" s="17" t="str">
        <f>HYPERLINK("#'Constants - Common'!A1", "Constants - Common")</f>
        <v>Constants - Common</v>
      </c>
      <c r="D17" s="37">
        <v>6</v>
      </c>
      <c r="E17" s="37" t="s">
        <v>151</v>
      </c>
      <c r="F17" s="37" t="s">
        <v>442</v>
      </c>
      <c r="G17" s="3"/>
    </row>
    <row r="18" spans="1:8" ht="20.100000000000001" customHeight="1" x14ac:dyDescent="0.25">
      <c r="A18" s="17" t="str">
        <f>HYPERLINK("#'Acknowledgements'!A1", "Acknowledgements")</f>
        <v>Acknowledgements</v>
      </c>
      <c r="D18" s="37">
        <v>7</v>
      </c>
      <c r="E18" s="37" t="s">
        <v>148</v>
      </c>
      <c r="F18" s="37" t="s">
        <v>443</v>
      </c>
      <c r="G18" s="3"/>
    </row>
    <row r="19" spans="1:8" ht="20.100000000000001" customHeight="1" x14ac:dyDescent="0.25">
      <c r="D19" s="37">
        <v>8</v>
      </c>
      <c r="E19" s="37" t="s">
        <v>154</v>
      </c>
      <c r="F19" s="37" t="s">
        <v>444</v>
      </c>
      <c r="G19" s="3"/>
    </row>
    <row r="20" spans="1:8" ht="20.100000000000001" customHeight="1" x14ac:dyDescent="0.25">
      <c r="D20" s="37">
        <v>9</v>
      </c>
      <c r="E20" s="37" t="s">
        <v>153</v>
      </c>
      <c r="F20" s="37" t="s">
        <v>445</v>
      </c>
      <c r="G20" s="3"/>
    </row>
    <row r="21" spans="1:8" ht="20.100000000000001" customHeight="1" x14ac:dyDescent="0.25">
      <c r="A21" s="17"/>
      <c r="D21" s="37">
        <v>10</v>
      </c>
      <c r="E21" s="37" t="s">
        <v>155</v>
      </c>
      <c r="F21" s="37" t="s">
        <v>446</v>
      </c>
      <c r="G21" s="3"/>
    </row>
    <row r="22" spans="1:8" ht="20.100000000000001" customHeight="1" x14ac:dyDescent="0.25">
      <c r="D22" s="37">
        <v>11</v>
      </c>
      <c r="E22" s="37" t="s">
        <v>156</v>
      </c>
      <c r="F22" s="37" t="s">
        <v>447</v>
      </c>
      <c r="G22" s="3"/>
    </row>
    <row r="23" spans="1:8" ht="20.100000000000001" customHeight="1" x14ac:dyDescent="0.25">
      <c r="D23" s="37" t="s">
        <v>448</v>
      </c>
      <c r="E23" s="37" t="s">
        <v>449</v>
      </c>
      <c r="F23" s="37" t="s">
        <v>450</v>
      </c>
      <c r="G23" s="3"/>
    </row>
    <row r="24" spans="1:8" ht="20.100000000000001" customHeight="1" x14ac:dyDescent="0.25">
      <c r="A24" s="17"/>
      <c r="D24" s="37" t="s">
        <v>451</v>
      </c>
      <c r="E24" s="37" t="s">
        <v>452</v>
      </c>
      <c r="F24" s="37" t="s">
        <v>453</v>
      </c>
      <c r="G24" s="3"/>
    </row>
    <row r="25" spans="1:8" ht="20.100000000000001" customHeight="1" x14ac:dyDescent="0.25">
      <c r="A25" s="17"/>
      <c r="D25" s="37">
        <v>12</v>
      </c>
      <c r="E25" s="37" t="s">
        <v>157</v>
      </c>
      <c r="F25" s="37" t="s">
        <v>454</v>
      </c>
      <c r="G25" s="3"/>
    </row>
    <row r="26" spans="1:8" ht="20.100000000000001" customHeight="1" x14ac:dyDescent="0.25">
      <c r="D26" s="37">
        <v>13</v>
      </c>
      <c r="E26" s="37" t="s">
        <v>143</v>
      </c>
      <c r="F26" s="37" t="s">
        <v>455</v>
      </c>
      <c r="G26" s="3"/>
    </row>
    <row r="27" spans="1:8" ht="20.100000000000001" customHeight="1" x14ac:dyDescent="0.25">
      <c r="D27" s="37">
        <v>14</v>
      </c>
      <c r="E27" s="37" t="s">
        <v>158</v>
      </c>
      <c r="F27" s="37" t="s">
        <v>456</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59</v>
      </c>
    </row>
    <row r="17" spans="1:1" ht="20.100000000000001" customHeight="1" x14ac:dyDescent="0.25">
      <c r="A17" s="62" t="s">
        <v>55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57</v>
      </c>
    </row>
    <row r="22" spans="1:1" ht="20.100000000000001" customHeight="1" x14ac:dyDescent="0.25">
      <c r="A22" s="62" t="s">
        <v>1</v>
      </c>
    </row>
    <row r="23" spans="1:1" ht="20.100000000000001" customHeight="1" x14ac:dyDescent="0.25">
      <c r="A23" s="62" t="s">
        <v>56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59</v>
      </c>
    </row>
    <row r="32" spans="1:1" ht="20.100000000000001" customHeight="1" x14ac:dyDescent="0.25">
      <c r="A32" s="62" t="s">
        <v>55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