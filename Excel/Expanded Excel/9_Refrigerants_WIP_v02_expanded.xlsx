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B4A07D6-65A5-4368-87F5-C042E315EEB7}" xr6:coauthVersionLast="47" xr6:coauthVersionMax="47" xr10:uidLastSave="{00000000-0000-0000-0000-000000000000}"/>
  <bookViews>
    <workbookView xWindow="4680" yWindow="4680" windowWidth="28800" windowHeight="15345" firstSheet="2" activeTab="6" xr2:uid="{992023F3-CAB7-4E5B-A348-08D563A0EF40}"/>
  </bookViews>
  <sheets>
    <sheet name="Home" sheetId="71" r:id="rId1"/>
    <sheet name="Overview" sheetId="118" r:id="rId2"/>
    <sheet name="Results" sheetId="13" r:id="rId3"/>
    <sheet name="Input - Refrigerants" sheetId="70" r:id="rId4"/>
    <sheet name="9.1.1.1-2 Refrigerant use" sheetId="69" r:id="rId5"/>
    <sheet name="Constants - Refrigerants" sheetId="110" r:id="rId6"/>
    <sheet name="Constants - Common" sheetId="119"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Equations.VEERG_8_X_FuelCombustionGeneric">_xlfn.LAMBDA(_xlpm.Q_GCq,_xlpm.EC_GCq,_xlpm.EF_GC1qg, Fuel_Equations.VEERG_8_FuelCombustion(_xlpm.Q_GCq, _xlpm.EC_GCq, _xlpm.EF_GC1qg))</definedName>
    <definedName name="Fuel_Equations.VEERG_8_X_FuelCombustionGeneric_Arguments">_xlfn.LAMBDA(_xlfn.MAKEARRAY(7, 4, _xlfn.LAMBDA(_xlpm.r,_xlpm.c, INDEX({"Q_GCq","Amount of fuel type q used for generic combustion operations","Varies based on fuel type: kL, m3, GJ","Input";"EC_GCq","Energy content factor for generic combustion operations","GJ / unit of fuel","Constant";"EF_GC1qg","Scope 1 emission factor for generic combustion for each greenhouse gas","kg CO2e / GJ","Constant";"q","Fuel type","","Constant";"GC","Generic combustion","","Constant";"g","Greenhouse gas","","Constant";"1","Scope 1","","Constant"}, _xlpm.r, _xlpm.c))))</definedName>
    <definedName name="Fuel_Equations.VEERG_8_X_FuelCombustionGeneric_LatexEquation">_xlfn.LAMBDA("E_g=\sum\nolimits_t \sum\nolimits_q\left(Q_{GC,q}\times EC_{GC,q}\times EF_{GC,1,qg}\right)\times 10^{-3}")</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_xlfn.LAMBDA("E_g")</definedName>
    <definedName name="Fuel_Equations.VEERG_8_X_FuelCombustionGeneric_Variation">_xlfn.LAMBDA("VARIATION ON SOURCE: This calculation uses averages of transport and stationary emission factors for fuel combustion where the usage is not known.")</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Refrigerants_Equations.VEERG_9_1_1__1_RefrigerantLeaking">_xlfn.LAMBDA(_xlpm.charge_Ra,_xlpm.leakagerate_a, (_xlpm.charge_Ra * (_xlpm.leakagerate_a / 100)) * 10 ^ -3)</definedName>
    <definedName name="Refrigerants_Equations.VEERG_9_1_1__1_RefrigerantLeaking_Arguments">_xlfn.LAMBDA(_xlfn.MAKEARRAY(4, 4, _xlfn.LAMBDA(_xlpm.r,_xlpm.c, INDEX({"charge_Ra","Amount of refrigerant R contained in appliance a","kg","Input";"leakagerate_a","Prcentage of total charge leaked from appliance a each year","Percent","Constant";"a","Appliance type","","Input";"R","Refrigerant","","Input"}, _xlpm.r, _xlpm.c))))</definedName>
    <definedName name="Refrigerants_Equations.VEERG_9_1_1__1_RefrigerantLeaking_LatexEquation">_xlfn.LAMBDA("E_R = \sum\nolimits_a \left( charge_{Ra} \times \frac{leakage\,rate_a}{100} \right) \times 10^{-3}")</definedName>
    <definedName name="Refrigerants_Equations.VEERG_9_1_1__1_RefrigerantLeaking_ReadableEquation">_xlfn.LAMBDA("charge_Ra * (leakagerate_a/100)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refrigerant gas")</definedName>
    <definedName name="Refrigerants_Equations.VEERG_9_1_1__1_RefrigerantLeaking_Variable">_xlfn.LAMBDA("E_R")</definedName>
    <definedName name="Refrigerants_Equations.VEERG_9_1_1__1_RefrigerantLeaking_Variation">_xlfn.LAMBDA("VARIATION ON SOURCE: Added equation to convert refrigerant R to CO2-e using the refrigerant's global warming potential (GWP).")</definedName>
    <definedName name="Refrigerants_Equations.VEERG_9_1_1__1_RefrigerantLeakingGWP">_xlfn.LAMBDA(_xlpm.E_R,_xlpm.GWP_R, ((_xlpm.E_R * 10 ^ 3) * _xlpm.GWP_R) * 10 ^ -3)</definedName>
    <definedName name="Refrigerants_Equations.VEERG_9_1_1__1_RefrigerantLeakingGWP_Arguments">_xlfn.LAMBDA(_xlfn.MAKEARRAY(2, 4, _xlfn.LAMBDA(_xlpm.r,_xlpm.c, INDEX({"E_R","Total emissions of refrigerant R","t refrigerant gas","Calculated from 9.1.1 (1)";"GWP_R","Global warming potential of refrigerant R","Dimensionless","Constant"}, _xlpm.r, _xlpm.c))))</definedName>
    <definedName name="Refrigerants_Equations.VEERG_9_1_1__1_RefrigerantLeakingGWP_LatexEquation">_xlfn.LAMBDA("E_CO2e = \left(E_R \times 10^{3} \right) \times GWP_R \times 10^{-3}")</definedName>
    <definedName name="Refrigerants_Equations.VEERG_9_1_1__1_RefrigerantLeakingGWP_Source">_xlfn.LAMBDA("Australian National Greenhouse Accounts Factors 2025 - 3.1 Estimating industrial processes emissions - Refrigerant leakage")</definedName>
    <definedName name="Refrigerants_Equations.VEERG_9_1_1__1_RefrigerantLeakingGWP_Title">_xlfn.LAMBDA("Refrigerant leakage emissions converted to CO2-e")</definedName>
    <definedName name="Refrigerants_Equations.VEERG_9_1_1__1_RefrigerantLeakingGWP_Unit">_xlfn.LAMBDA("t CO2-e")</definedName>
    <definedName name="Refrigerants_Equations.VEERG_9_1_1__1_RefrigerantLeakingGWP_Variable">_xlfn.LAMBDA("E_CO2e")</definedName>
    <definedName name="Refrigerants_InputFunctions.Refrigerants_CalculateBlendGWP">_xlfn.LAMBDA(_xlpm.ConstituentFaction1,_xlpm.ConstituentGWP1,_xlpm.ConstituentFaction2,_xlpm.ConstituentGWP2,_xlpm.ConstituentFaction3,_xlpm.ConstituentGWP3,_xlpm.ConstituentFaction4,_xlpm.ConstituentGWP4, (_xlpm.ConstituentFaction1 * _xlpm.ConstituentGWP1) + (_xlpm.ConstituentFaction2 * _xlpm.ConstituentGWP2) + (_xlpm.ConstituentFaction3 * _xlpm.ConstituentGWP3) + (_xlpm.ConstituentFaction4 * _xlpm.ConstituentGWP4))</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119" l="1"/>
  <c r="D117" i="119" a="1"/>
  <c r="D107" i="119" a="1"/>
  <c r="D107" i="119" s="1"/>
  <c r="D83" i="119" a="1"/>
  <c r="D83" i="119" s="1"/>
  <c r="D59" i="119" a="1"/>
  <c r="D59" i="119" s="1"/>
  <c r="A15" i="110"/>
  <c r="A14" i="110"/>
  <c r="A11" i="110"/>
  <c r="A8" i="110"/>
  <c r="A5" i="110"/>
  <c r="A4" i="110"/>
  <c r="A3" i="110"/>
  <c r="A15" i="69"/>
  <c r="A14" i="69"/>
  <c r="A11" i="69"/>
  <c r="A8" i="69"/>
  <c r="A5" i="69"/>
  <c r="A4" i="69"/>
  <c r="A3" i="69"/>
  <c r="A15" i="13"/>
  <c r="A14" i="13"/>
  <c r="A11" i="13"/>
  <c r="A8" i="13"/>
  <c r="A5" i="13"/>
  <c r="A4" i="13"/>
  <c r="A3" i="13"/>
  <c r="A15" i="118"/>
  <c r="A14" i="118"/>
  <c r="A11" i="118"/>
  <c r="A8" i="118"/>
  <c r="A5" i="118"/>
  <c r="A4" i="118"/>
  <c r="A3" i="118"/>
  <c r="A8" i="70"/>
  <c r="A14" i="70"/>
  <c r="A11" i="70"/>
  <c r="I57" i="69" a="1"/>
  <c r="I57" i="69" s="1"/>
  <c r="I56" i="69" a="1"/>
  <c r="I56" i="69" s="1"/>
  <c r="J18" i="13"/>
  <c r="J17" i="13"/>
  <c r="J16" i="13"/>
  <c r="J15" i="13"/>
  <c r="J14" i="13"/>
  <c r="J13" i="13"/>
  <c r="G18" i="13"/>
  <c r="G17" i="13"/>
  <c r="G16" i="13"/>
  <c r="G15" i="13"/>
  <c r="G14" i="13"/>
  <c r="G13" i="13"/>
  <c r="F73" i="69"/>
  <c r="D71" i="69"/>
  <c r="D70" i="69"/>
  <c r="D69" i="69"/>
  <c r="D68" i="69"/>
  <c r="D67" i="69"/>
  <c r="D66" i="69"/>
  <c r="H53" i="119" l="1"/>
  <c r="H50" i="119"/>
  <c r="H54" i="119"/>
  <c r="H52" i="119"/>
  <c r="H51" i="119"/>
  <c r="H49" i="119"/>
  <c r="H48" i="119"/>
  <c r="H22" i="69" l="1" a="1"/>
  <c r="H22" i="69" s="1"/>
  <c r="G22" i="69" a="1"/>
  <c r="F22" i="69" a="1"/>
  <c r="E22" i="69" a="1"/>
  <c r="D22" i="69" a="1"/>
  <c r="D22" i="69" s="1"/>
  <c r="I31" i="69"/>
  <c r="I30" i="69"/>
  <c r="I29" i="69"/>
  <c r="I28" i="69"/>
  <c r="I27" i="69"/>
  <c r="D161" i="110"/>
  <c r="D160" i="110"/>
  <c r="D159" i="110"/>
  <c r="D158" i="110"/>
  <c r="D157" i="110"/>
  <c r="H156" i="110" a="1"/>
  <c r="H156" i="110" s="1"/>
  <c r="D156" i="110"/>
  <c r="D155" i="110"/>
  <c r="D154" i="110"/>
  <c r="D153" i="110"/>
  <c r="D152" i="110"/>
  <c r="D151" i="110"/>
  <c r="D150" i="110"/>
  <c r="D149" i="110"/>
  <c r="D148" i="110"/>
  <c r="D147" i="110"/>
  <c r="D146" i="110"/>
  <c r="D145" i="110"/>
  <c r="D144" i="110"/>
  <c r="D143" i="110"/>
  <c r="D142" i="110"/>
  <c r="D141" i="110"/>
  <c r="D140" i="110"/>
  <c r="D139" i="110"/>
  <c r="D138" i="110"/>
  <c r="D137" i="110"/>
  <c r="D136" i="110"/>
  <c r="D135" i="110"/>
  <c r="D134" i="110"/>
  <c r="D133" i="110"/>
  <c r="D132" i="110"/>
  <c r="D131" i="110"/>
  <c r="D130" i="110"/>
  <c r="D129" i="110"/>
  <c r="D128" i="110"/>
  <c r="D127" i="110"/>
  <c r="D126" i="110"/>
  <c r="D125" i="110"/>
  <c r="D124" i="110"/>
  <c r="D123" i="110"/>
  <c r="D122" i="110"/>
  <c r="D121" i="110"/>
  <c r="D120" i="110"/>
  <c r="D119" i="110"/>
  <c r="D118" i="110"/>
  <c r="D117" i="110"/>
  <c r="D116" i="110"/>
  <c r="D115" i="110"/>
  <c r="D114" i="110"/>
  <c r="D113" i="110"/>
  <c r="D51" i="110" a="1"/>
  <c r="D51" i="110" s="1"/>
  <c r="D108" i="110"/>
  <c r="D7" i="110" a="1"/>
  <c r="D7" i="110" s="1"/>
  <c r="D107" i="110"/>
  <c r="J31" i="69" l="1" a="1"/>
  <c r="J31" i="69" s="1"/>
  <c r="J30" i="69" a="1"/>
  <c r="J30" i="69" s="1"/>
  <c r="H117" i="110" a="1"/>
  <c r="H117" i="110" s="1"/>
  <c r="G117" i="110" a="1"/>
  <c r="G117" i="110" s="1"/>
  <c r="F117" i="110" a="1"/>
  <c r="F117" i="110" s="1"/>
  <c r="E117" i="110" a="1"/>
  <c r="E117" i="110" s="1"/>
  <c r="J126" i="110" a="1"/>
  <c r="J126" i="110" s="1"/>
  <c r="L126" i="110" a="1"/>
  <c r="L126" i="110" s="1"/>
  <c r="K126" i="110" a="1"/>
  <c r="K126" i="110" s="1"/>
  <c r="I126" i="110" a="1"/>
  <c r="I126" i="110" s="1"/>
  <c r="H131" i="110" a="1"/>
  <c r="H131" i="110" s="1"/>
  <c r="G131" i="110" a="1"/>
  <c r="G131" i="110" s="1"/>
  <c r="F131" i="110" a="1"/>
  <c r="F131" i="110" s="1"/>
  <c r="E131" i="110" a="1"/>
  <c r="E131" i="110" s="1"/>
  <c r="J140" i="110" a="1"/>
  <c r="J140" i="110" s="1"/>
  <c r="L140" i="110" a="1"/>
  <c r="L140" i="110" s="1"/>
  <c r="I140" i="110" a="1"/>
  <c r="I140" i="110" s="1"/>
  <c r="K140" i="110" a="1"/>
  <c r="K140" i="110" s="1"/>
  <c r="H145" i="110" a="1"/>
  <c r="H145" i="110" s="1"/>
  <c r="G145" i="110" a="1"/>
  <c r="G145" i="110" s="1"/>
  <c r="F145" i="110" a="1"/>
  <c r="F145" i="110" s="1"/>
  <c r="E145" i="110" a="1"/>
  <c r="E145" i="110" s="1"/>
  <c r="J154" i="110" a="1"/>
  <c r="J154" i="110" s="1"/>
  <c r="L154" i="110" a="1"/>
  <c r="L154" i="110" s="1"/>
  <c r="K154" i="110" a="1"/>
  <c r="K154" i="110" s="1"/>
  <c r="I154" i="110" a="1"/>
  <c r="I154" i="110" s="1"/>
  <c r="L117" i="110" a="1"/>
  <c r="L117" i="110" s="1"/>
  <c r="K117" i="110" a="1"/>
  <c r="K117" i="110" s="1"/>
  <c r="I117" i="110" a="1"/>
  <c r="I117" i="110" s="1"/>
  <c r="J117" i="110" a="1"/>
  <c r="J117" i="110" s="1"/>
  <c r="H122" i="110" a="1"/>
  <c r="H122" i="110" s="1"/>
  <c r="G122" i="110" a="1"/>
  <c r="G122" i="110" s="1"/>
  <c r="F122" i="110" a="1"/>
  <c r="F122" i="110" s="1"/>
  <c r="E122" i="110" a="1"/>
  <c r="E122" i="110" s="1"/>
  <c r="L131" i="110" a="1"/>
  <c r="L131" i="110" s="1"/>
  <c r="K131" i="110" a="1"/>
  <c r="K131" i="110" s="1"/>
  <c r="I131" i="110" a="1"/>
  <c r="I131" i="110" s="1"/>
  <c r="J131" i="110" a="1"/>
  <c r="J131" i="110" s="1"/>
  <c r="H136" i="110" a="1"/>
  <c r="H136" i="110" s="1"/>
  <c r="G136" i="110" a="1"/>
  <c r="G136" i="110" s="1"/>
  <c r="F136" i="110" a="1"/>
  <c r="F136" i="110" s="1"/>
  <c r="E136" i="110" a="1"/>
  <c r="E136" i="110" s="1"/>
  <c r="L145" i="110" a="1"/>
  <c r="L145" i="110" s="1"/>
  <c r="K145" i="110" a="1"/>
  <c r="K145" i="110" s="1"/>
  <c r="I145" i="110" a="1"/>
  <c r="I145" i="110" s="1"/>
  <c r="J145" i="110" a="1"/>
  <c r="J145" i="110" s="1"/>
  <c r="H150" i="110" a="1"/>
  <c r="H150" i="110" s="1"/>
  <c r="G150" i="110" a="1"/>
  <c r="G150" i="110" s="1"/>
  <c r="F150" i="110" a="1"/>
  <c r="F150" i="110" s="1"/>
  <c r="E150" i="110" a="1"/>
  <c r="E150" i="110" s="1"/>
  <c r="L160" i="110" a="1"/>
  <c r="L160" i="110" s="1"/>
  <c r="K160" i="110" a="1"/>
  <c r="K160" i="110" s="1"/>
  <c r="I160" i="110" a="1"/>
  <c r="I160" i="110" s="1"/>
  <c r="J160" i="110" a="1"/>
  <c r="J160" i="110" s="1"/>
  <c r="H112" i="110" a="1"/>
  <c r="H112" i="110" s="1"/>
  <c r="P112" i="110" s="1" a="1"/>
  <c r="P112" i="110" s="1"/>
  <c r="G112" i="110" a="1"/>
  <c r="G112" i="110" s="1"/>
  <c r="O112" i="110" s="1" a="1"/>
  <c r="O112" i="110" s="1"/>
  <c r="F112" i="110" a="1"/>
  <c r="F112" i="110" s="1"/>
  <c r="N112" i="110" s="1" a="1"/>
  <c r="N112" i="110" s="1"/>
  <c r="E112" i="110" a="1"/>
  <c r="E112" i="110" s="1"/>
  <c r="M112" i="110" s="1" a="1"/>
  <c r="M112" i="110" s="1"/>
  <c r="H111" i="110" a="1"/>
  <c r="H111" i="110" s="1"/>
  <c r="P111" i="110" s="1" a="1"/>
  <c r="P111" i="110" s="1"/>
  <c r="G111" i="110" a="1"/>
  <c r="G111" i="110" s="1"/>
  <c r="O111" i="110" s="1" a="1"/>
  <c r="O111" i="110" s="1"/>
  <c r="F111" i="110" a="1"/>
  <c r="F111" i="110" s="1"/>
  <c r="N111" i="110" s="1" a="1"/>
  <c r="N111" i="110" s="1"/>
  <c r="E111" i="110" a="1"/>
  <c r="E111" i="110" s="1"/>
  <c r="M111" i="110" s="1" a="1"/>
  <c r="M111" i="110" s="1"/>
  <c r="H110" i="110" a="1"/>
  <c r="H110" i="110" s="1"/>
  <c r="P110" i="110" s="1" a="1"/>
  <c r="P110" i="110" s="1"/>
  <c r="G110" i="110" a="1"/>
  <c r="G110" i="110" s="1"/>
  <c r="O110" i="110" s="1" a="1"/>
  <c r="O110" i="110" s="1"/>
  <c r="F110" i="110" a="1"/>
  <c r="F110" i="110" s="1"/>
  <c r="N110" i="110" s="1" a="1"/>
  <c r="N110" i="110" s="1"/>
  <c r="E110" i="110" a="1"/>
  <c r="E110" i="110" s="1"/>
  <c r="M110" i="110" s="1" a="1"/>
  <c r="M110" i="110" s="1"/>
  <c r="K121" i="110" a="1"/>
  <c r="K121" i="110" s="1"/>
  <c r="L121" i="110" a="1"/>
  <c r="L121" i="110" s="1"/>
  <c r="J121" i="110" a="1"/>
  <c r="J121" i="110" s="1"/>
  <c r="I121" i="110" a="1"/>
  <c r="I121" i="110" s="1"/>
  <c r="H126" i="110" a="1"/>
  <c r="H126" i="110" s="1"/>
  <c r="G126" i="110" a="1"/>
  <c r="G126" i="110" s="1"/>
  <c r="F126" i="110" a="1"/>
  <c r="F126" i="110" s="1"/>
  <c r="E126" i="110" a="1"/>
  <c r="E126" i="110" s="1"/>
  <c r="K149" i="110" a="1"/>
  <c r="K149" i="110" s="1"/>
  <c r="L149" i="110" a="1"/>
  <c r="L149" i="110" s="1"/>
  <c r="J149" i="110" a="1"/>
  <c r="J149" i="110" s="1"/>
  <c r="I149" i="110" a="1"/>
  <c r="I149" i="110" s="1"/>
  <c r="H113" i="110" a="1"/>
  <c r="H113" i="110" s="1"/>
  <c r="G113" i="110" a="1"/>
  <c r="G113" i="110" s="1"/>
  <c r="F113" i="110" a="1"/>
  <c r="F113" i="110" s="1"/>
  <c r="E113" i="110" a="1"/>
  <c r="E113" i="110" s="1"/>
  <c r="L122" i="110" a="1"/>
  <c r="L122" i="110" s="1"/>
  <c r="K122" i="110" a="1"/>
  <c r="K122" i="110" s="1"/>
  <c r="J122" i="110" a="1"/>
  <c r="J122" i="110" s="1"/>
  <c r="I122" i="110" a="1"/>
  <c r="I122" i="110" s="1"/>
  <c r="H127" i="110" a="1"/>
  <c r="H127" i="110" s="1"/>
  <c r="G127" i="110" a="1"/>
  <c r="G127" i="110" s="1"/>
  <c r="F127" i="110" a="1"/>
  <c r="F127" i="110" s="1"/>
  <c r="E127" i="110" a="1"/>
  <c r="E127" i="110" s="1"/>
  <c r="L136" i="110" a="1"/>
  <c r="L136" i="110" s="1"/>
  <c r="K136" i="110" a="1"/>
  <c r="K136" i="110" s="1"/>
  <c r="J136" i="110" a="1"/>
  <c r="J136" i="110" s="1"/>
  <c r="I136" i="110" a="1"/>
  <c r="I136" i="110" s="1"/>
  <c r="H141" i="110" a="1"/>
  <c r="H141" i="110" s="1"/>
  <c r="G141" i="110" a="1"/>
  <c r="G141" i="110" s="1"/>
  <c r="F141" i="110" a="1"/>
  <c r="F141" i="110" s="1"/>
  <c r="E141" i="110" a="1"/>
  <c r="E141" i="110" s="1"/>
  <c r="L150" i="110" a="1"/>
  <c r="L150" i="110" s="1"/>
  <c r="J150" i="110" a="1"/>
  <c r="J150" i="110" s="1"/>
  <c r="K150" i="110" a="1"/>
  <c r="K150" i="110" s="1"/>
  <c r="I150" i="110" a="1"/>
  <c r="I150" i="110" s="1"/>
  <c r="H155" i="110" a="1"/>
  <c r="H155" i="110" s="1"/>
  <c r="G155" i="110" a="1"/>
  <c r="G155" i="110" s="1"/>
  <c r="F155" i="110" a="1"/>
  <c r="F155" i="110" s="1"/>
  <c r="E155" i="110" a="1"/>
  <c r="E155" i="110" s="1"/>
  <c r="H159" i="110" a="1"/>
  <c r="H159" i="110" s="1"/>
  <c r="G159" i="110" a="1"/>
  <c r="G159" i="110" s="1"/>
  <c r="F159" i="110" a="1"/>
  <c r="F159" i="110" s="1"/>
  <c r="E159" i="110" a="1"/>
  <c r="E159" i="110" s="1"/>
  <c r="L113" i="110" a="1"/>
  <c r="L113" i="110" s="1"/>
  <c r="I113" i="110" a="1"/>
  <c r="I113" i="110" s="1"/>
  <c r="J113" i="110" a="1"/>
  <c r="J113" i="110" s="1"/>
  <c r="K113" i="110" a="1"/>
  <c r="K113" i="110" s="1"/>
  <c r="H118" i="110" a="1"/>
  <c r="H118" i="110" s="1"/>
  <c r="G118" i="110" a="1"/>
  <c r="G118" i="110" s="1"/>
  <c r="F118" i="110" a="1"/>
  <c r="F118" i="110" s="1"/>
  <c r="E118" i="110" a="1"/>
  <c r="E118" i="110" s="1"/>
  <c r="I155" i="110" a="1"/>
  <c r="I155" i="110" s="1"/>
  <c r="L155" i="110" a="1"/>
  <c r="L155" i="110" s="1"/>
  <c r="K155" i="110" a="1"/>
  <c r="K155" i="110" s="1"/>
  <c r="J155" i="110" a="1"/>
  <c r="J155" i="110" s="1"/>
  <c r="L159" i="110" a="1"/>
  <c r="L159" i="110" s="1"/>
  <c r="K159" i="110" a="1"/>
  <c r="K159" i="110" s="1"/>
  <c r="I159" i="110" a="1"/>
  <c r="I159" i="110" s="1"/>
  <c r="J159" i="110" a="1"/>
  <c r="J159" i="110" s="1"/>
  <c r="L132" i="110" a="1"/>
  <c r="L132" i="110" s="1"/>
  <c r="K132" i="110" a="1"/>
  <c r="K132" i="110" s="1"/>
  <c r="I132" i="110" a="1"/>
  <c r="I132" i="110" s="1"/>
  <c r="J132" i="110" a="1"/>
  <c r="J132" i="110" s="1"/>
  <c r="F137" i="110" a="1"/>
  <c r="F137" i="110" s="1"/>
  <c r="E137" i="110" a="1"/>
  <c r="E137" i="110" s="1"/>
  <c r="H137" i="110" a="1"/>
  <c r="H137" i="110" s="1"/>
  <c r="G137" i="110" a="1"/>
  <c r="G137" i="110" s="1"/>
  <c r="K146" i="110" a="1"/>
  <c r="K146" i="110" s="1"/>
  <c r="L146" i="110" a="1"/>
  <c r="L146" i="110" s="1"/>
  <c r="I146" i="110" a="1"/>
  <c r="I146" i="110" s="1"/>
  <c r="J146" i="110" a="1"/>
  <c r="J146" i="110" s="1"/>
  <c r="F151" i="110" a="1"/>
  <c r="F151" i="110" s="1"/>
  <c r="E151" i="110" a="1"/>
  <c r="E151" i="110" s="1"/>
  <c r="H151" i="110" a="1"/>
  <c r="H151" i="110" s="1"/>
  <c r="G151" i="110" a="1"/>
  <c r="G151" i="110" s="1"/>
  <c r="H114" i="110" a="1"/>
  <c r="H114" i="110" s="1"/>
  <c r="G114" i="110" a="1"/>
  <c r="G114" i="110" s="1"/>
  <c r="F114" i="110" a="1"/>
  <c r="F114" i="110" s="1"/>
  <c r="E114" i="110" a="1"/>
  <c r="E114" i="110" s="1"/>
  <c r="K123" i="110" a="1"/>
  <c r="K123" i="110" s="1"/>
  <c r="J123" i="110" a="1"/>
  <c r="J123" i="110" s="1"/>
  <c r="I123" i="110" a="1"/>
  <c r="I123" i="110" s="1"/>
  <c r="L123" i="110" a="1"/>
  <c r="L123" i="110" s="1"/>
  <c r="H128" i="110" a="1"/>
  <c r="H128" i="110" s="1"/>
  <c r="G128" i="110" a="1"/>
  <c r="G128" i="110" s="1"/>
  <c r="F128" i="110" a="1"/>
  <c r="F128" i="110" s="1"/>
  <c r="E128" i="110" a="1"/>
  <c r="E128" i="110" s="1"/>
  <c r="H160" i="110" a="1"/>
  <c r="H160" i="110" s="1"/>
  <c r="G160" i="110" a="1"/>
  <c r="G160" i="110" s="1"/>
  <c r="F160" i="110" a="1"/>
  <c r="F160" i="110" s="1"/>
  <c r="E160" i="110" a="1"/>
  <c r="E160" i="110" s="1"/>
  <c r="L114" i="110" a="1"/>
  <c r="L114" i="110" s="1"/>
  <c r="K114" i="110" a="1"/>
  <c r="K114" i="110" s="1"/>
  <c r="J114" i="110" a="1"/>
  <c r="J114" i="110" s="1"/>
  <c r="I114" i="110" a="1"/>
  <c r="I114" i="110" s="1"/>
  <c r="H119" i="110" a="1"/>
  <c r="H119" i="110" s="1"/>
  <c r="G119" i="110" a="1"/>
  <c r="G119" i="110" s="1"/>
  <c r="F119" i="110" a="1"/>
  <c r="F119" i="110" s="1"/>
  <c r="E119" i="110" a="1"/>
  <c r="E119" i="110" s="1"/>
  <c r="L142" i="110" a="1"/>
  <c r="L142" i="110" s="1"/>
  <c r="K142" i="110" a="1"/>
  <c r="K142" i="110" s="1"/>
  <c r="J142" i="110" a="1"/>
  <c r="J142" i="110" s="1"/>
  <c r="I142" i="110" a="1"/>
  <c r="I142" i="110" s="1"/>
  <c r="H147" i="110" a="1"/>
  <c r="H147" i="110" s="1"/>
  <c r="G147" i="110" a="1"/>
  <c r="G147" i="110" s="1"/>
  <c r="F147" i="110" a="1"/>
  <c r="F147" i="110" s="1"/>
  <c r="E147" i="110" a="1"/>
  <c r="E147" i="110" s="1"/>
  <c r="J133" i="110" a="1"/>
  <c r="J133" i="110" s="1"/>
  <c r="L133" i="110" a="1"/>
  <c r="L133" i="110" s="1"/>
  <c r="K133" i="110" a="1"/>
  <c r="K133" i="110" s="1"/>
  <c r="I133" i="110" a="1"/>
  <c r="I133" i="110" s="1"/>
  <c r="H138" i="110" a="1"/>
  <c r="H138" i="110" s="1"/>
  <c r="G138" i="110" a="1"/>
  <c r="G138" i="110" s="1"/>
  <c r="F138" i="110" a="1"/>
  <c r="F138" i="110" s="1"/>
  <c r="E138" i="110" a="1"/>
  <c r="E138" i="110" s="1"/>
  <c r="J147" i="110" a="1"/>
  <c r="J147" i="110" s="1"/>
  <c r="L147" i="110" a="1"/>
  <c r="L147" i="110" s="1"/>
  <c r="I147" i="110" a="1"/>
  <c r="I147" i="110" s="1"/>
  <c r="K147" i="110" a="1"/>
  <c r="K147" i="110" s="1"/>
  <c r="H152" i="110" a="1"/>
  <c r="H152" i="110" s="1"/>
  <c r="G152" i="110" a="1"/>
  <c r="G152" i="110" s="1"/>
  <c r="F152" i="110" a="1"/>
  <c r="F152" i="110" s="1"/>
  <c r="E152" i="110" a="1"/>
  <c r="E152" i="110" s="1"/>
  <c r="L156" i="110" a="1"/>
  <c r="L156" i="110" s="1"/>
  <c r="P156" i="110" s="1" a="1"/>
  <c r="P156" i="110" s="1"/>
  <c r="K156" i="110" a="1"/>
  <c r="K156" i="110" s="1"/>
  <c r="J156" i="110" a="1"/>
  <c r="J156" i="110" s="1"/>
  <c r="I156" i="110" a="1"/>
  <c r="I156" i="110" s="1"/>
  <c r="H115" i="110" a="1"/>
  <c r="H115" i="110" s="1"/>
  <c r="G115" i="110" a="1"/>
  <c r="G115" i="110" s="1"/>
  <c r="F115" i="110" a="1"/>
  <c r="F115" i="110" s="1"/>
  <c r="E115" i="110" a="1"/>
  <c r="E115" i="110" s="1"/>
  <c r="L124" i="110" a="1"/>
  <c r="L124" i="110" s="1"/>
  <c r="K124" i="110" a="1"/>
  <c r="K124" i="110" s="1"/>
  <c r="I124" i="110" a="1"/>
  <c r="I124" i="110" s="1"/>
  <c r="J124" i="110" a="1"/>
  <c r="J124" i="110" s="1"/>
  <c r="H129" i="110" a="1"/>
  <c r="H129" i="110" s="1"/>
  <c r="G129" i="110" a="1"/>
  <c r="G129" i="110" s="1"/>
  <c r="F129" i="110" a="1"/>
  <c r="F129" i="110" s="1"/>
  <c r="E129" i="110" a="1"/>
  <c r="E129" i="110" s="1"/>
  <c r="L138" i="110" a="1"/>
  <c r="L138" i="110" s="1"/>
  <c r="K138" i="110" a="1"/>
  <c r="K138" i="110" s="1"/>
  <c r="I138" i="110" a="1"/>
  <c r="I138" i="110" s="1"/>
  <c r="J138" i="110" a="1"/>
  <c r="J138" i="110" s="1"/>
  <c r="H143" i="110" a="1"/>
  <c r="H143" i="110" s="1"/>
  <c r="G143" i="110" a="1"/>
  <c r="G143" i="110" s="1"/>
  <c r="F143" i="110" a="1"/>
  <c r="F143" i="110" s="1"/>
  <c r="E143" i="110" a="1"/>
  <c r="E143" i="110" s="1"/>
  <c r="L152" i="110" a="1"/>
  <c r="L152" i="110" s="1"/>
  <c r="K152" i="110" a="1"/>
  <c r="K152" i="110" s="1"/>
  <c r="I152" i="110" a="1"/>
  <c r="I152" i="110" s="1"/>
  <c r="J152" i="110" a="1"/>
  <c r="J152" i="110" s="1"/>
  <c r="K135" i="110" a="1"/>
  <c r="K135" i="110" s="1"/>
  <c r="L135" i="110" a="1"/>
  <c r="L135" i="110" s="1"/>
  <c r="J135" i="110" a="1"/>
  <c r="J135" i="110" s="1"/>
  <c r="I135" i="110" a="1"/>
  <c r="I135" i="110" s="1"/>
  <c r="H140" i="110" a="1"/>
  <c r="H140" i="110" s="1"/>
  <c r="G140" i="110" a="1"/>
  <c r="G140" i="110" s="1"/>
  <c r="F140" i="110" a="1"/>
  <c r="F140" i="110" s="1"/>
  <c r="E140" i="110" a="1"/>
  <c r="E140" i="110" s="1"/>
  <c r="H154" i="110" a="1"/>
  <c r="H154" i="110" s="1"/>
  <c r="G154" i="110" a="1"/>
  <c r="G154" i="110" s="1"/>
  <c r="F154" i="110" a="1"/>
  <c r="F154" i="110" s="1"/>
  <c r="E154" i="110" a="1"/>
  <c r="E154" i="110" s="1"/>
  <c r="I127" i="110" a="1"/>
  <c r="I127" i="110" s="1"/>
  <c r="L127" i="110" a="1"/>
  <c r="L127" i="110" s="1"/>
  <c r="K127" i="110" a="1"/>
  <c r="K127" i="110" s="1"/>
  <c r="J127" i="110" a="1"/>
  <c r="J127" i="110" s="1"/>
  <c r="H132" i="110" a="1"/>
  <c r="H132" i="110" s="1"/>
  <c r="G132" i="110" a="1"/>
  <c r="G132" i="110" s="1"/>
  <c r="F132" i="110" a="1"/>
  <c r="F132" i="110" s="1"/>
  <c r="E132" i="110" a="1"/>
  <c r="E132" i="110" s="1"/>
  <c r="I141" i="110" a="1"/>
  <c r="I141" i="110" s="1"/>
  <c r="L141" i="110" a="1"/>
  <c r="L141" i="110" s="1"/>
  <c r="K141" i="110" a="1"/>
  <c r="K141" i="110" s="1"/>
  <c r="J141" i="110" a="1"/>
  <c r="J141" i="110" s="1"/>
  <c r="H146" i="110" a="1"/>
  <c r="H146" i="110" s="1"/>
  <c r="G146" i="110" a="1"/>
  <c r="G146" i="110" s="1"/>
  <c r="F146" i="110" a="1"/>
  <c r="F146" i="110" s="1"/>
  <c r="E146" i="110" a="1"/>
  <c r="E146" i="110" s="1"/>
  <c r="L118" i="110" a="1"/>
  <c r="L118" i="110" s="1"/>
  <c r="K118" i="110" a="1"/>
  <c r="K118" i="110" s="1"/>
  <c r="I118" i="110" a="1"/>
  <c r="I118" i="110" s="1"/>
  <c r="J118" i="110" a="1"/>
  <c r="J118" i="110" s="1"/>
  <c r="F123" i="110" a="1"/>
  <c r="F123" i="110" s="1"/>
  <c r="E123" i="110" a="1"/>
  <c r="E123" i="110" s="1"/>
  <c r="H123" i="110" a="1"/>
  <c r="H123" i="110" s="1"/>
  <c r="G123" i="110" a="1"/>
  <c r="G123" i="110" s="1"/>
  <c r="K137" i="110" a="1"/>
  <c r="K137" i="110" s="1"/>
  <c r="J137" i="110" a="1"/>
  <c r="J137" i="110" s="1"/>
  <c r="I137" i="110" a="1"/>
  <c r="I137" i="110" s="1"/>
  <c r="L137" i="110" a="1"/>
  <c r="L137" i="110" s="1"/>
  <c r="H142" i="110" a="1"/>
  <c r="H142" i="110" s="1"/>
  <c r="G142" i="110" a="1"/>
  <c r="G142" i="110" s="1"/>
  <c r="F142" i="110" a="1"/>
  <c r="F142" i="110" s="1"/>
  <c r="E142" i="110" a="1"/>
  <c r="E142" i="110" s="1"/>
  <c r="K151" i="110" a="1"/>
  <c r="K151" i="110" s="1"/>
  <c r="J151" i="110" a="1"/>
  <c r="J151" i="110" s="1"/>
  <c r="I151" i="110" a="1"/>
  <c r="I151" i="110" s="1"/>
  <c r="L151" i="110" a="1"/>
  <c r="L151" i="110" s="1"/>
  <c r="L128" i="110" a="1"/>
  <c r="L128" i="110" s="1"/>
  <c r="K128" i="110" a="1"/>
  <c r="K128" i="110" s="1"/>
  <c r="I128" i="110" a="1"/>
  <c r="I128" i="110" s="1"/>
  <c r="J128" i="110" a="1"/>
  <c r="J128" i="110" s="1"/>
  <c r="H133" i="110" a="1"/>
  <c r="H133" i="110" s="1"/>
  <c r="G133" i="110" a="1"/>
  <c r="G133" i="110" s="1"/>
  <c r="F133" i="110" a="1"/>
  <c r="F133" i="110" s="1"/>
  <c r="E133" i="110" a="1"/>
  <c r="E133" i="110" s="1"/>
  <c r="J119" i="110" a="1"/>
  <c r="J119" i="110" s="1"/>
  <c r="L119" i="110" a="1"/>
  <c r="L119" i="110" s="1"/>
  <c r="K119" i="110" a="1"/>
  <c r="K119" i="110" s="1"/>
  <c r="I119" i="110" a="1"/>
  <c r="I119" i="110" s="1"/>
  <c r="H124" i="110" a="1"/>
  <c r="H124" i="110" s="1"/>
  <c r="G124" i="110" a="1"/>
  <c r="G124" i="110" s="1"/>
  <c r="F124" i="110" a="1"/>
  <c r="F124" i="110" s="1"/>
  <c r="E124" i="110" a="1"/>
  <c r="E124" i="110" s="1"/>
  <c r="J129" i="110" a="1"/>
  <c r="J129" i="110" s="1"/>
  <c r="L129" i="110" a="1"/>
  <c r="L129" i="110" s="1"/>
  <c r="K129" i="110" a="1"/>
  <c r="K129" i="110" s="1"/>
  <c r="I129" i="110" a="1"/>
  <c r="I129" i="110" s="1"/>
  <c r="H134" i="110" a="1"/>
  <c r="H134" i="110" s="1"/>
  <c r="G134" i="110" a="1"/>
  <c r="G134" i="110" s="1"/>
  <c r="F134" i="110" a="1"/>
  <c r="F134" i="110" s="1"/>
  <c r="E134" i="110" a="1"/>
  <c r="E134" i="110" s="1"/>
  <c r="H157" i="110" a="1"/>
  <c r="H157" i="110" s="1"/>
  <c r="G157" i="110" a="1"/>
  <c r="G157" i="110" s="1"/>
  <c r="F157" i="110" a="1"/>
  <c r="F157" i="110" s="1"/>
  <c r="E157" i="110" a="1"/>
  <c r="E157" i="110" s="1"/>
  <c r="H161" i="110" a="1"/>
  <c r="H161" i="110" s="1"/>
  <c r="G161" i="110" a="1"/>
  <c r="G161" i="110" s="1"/>
  <c r="F161" i="110" a="1"/>
  <c r="F161" i="110" s="1"/>
  <c r="E161" i="110" a="1"/>
  <c r="E161" i="110" s="1"/>
  <c r="I148" i="110" a="1"/>
  <c r="I148" i="110" s="1"/>
  <c r="L148" i="110" a="1"/>
  <c r="L148" i="110" s="1"/>
  <c r="K148" i="110" a="1"/>
  <c r="K148" i="110" s="1"/>
  <c r="J148" i="110" a="1"/>
  <c r="J148" i="110" s="1"/>
  <c r="H153" i="110" a="1"/>
  <c r="H153" i="110" s="1"/>
  <c r="G153" i="110" a="1"/>
  <c r="G153" i="110" s="1"/>
  <c r="F153" i="110" a="1"/>
  <c r="F153" i="110" s="1"/>
  <c r="E153" i="110" a="1"/>
  <c r="E153" i="110" s="1"/>
  <c r="J161" i="110" a="1"/>
  <c r="J161" i="110" s="1"/>
  <c r="L161" i="110" a="1"/>
  <c r="L161" i="110" s="1"/>
  <c r="K161" i="110" a="1"/>
  <c r="K161" i="110" s="1"/>
  <c r="I161" i="110" a="1"/>
  <c r="I161" i="110" s="1"/>
  <c r="F116" i="110" a="1"/>
  <c r="F116" i="110" s="1"/>
  <c r="E116" i="110" a="1"/>
  <c r="E116" i="110" s="1"/>
  <c r="H116" i="110" a="1"/>
  <c r="H116" i="110" s="1"/>
  <c r="G116" i="110" a="1"/>
  <c r="G116" i="110" s="1"/>
  <c r="L125" i="110" a="1"/>
  <c r="L125" i="110" s="1"/>
  <c r="K125" i="110" a="1"/>
  <c r="K125" i="110" s="1"/>
  <c r="I125" i="110" a="1"/>
  <c r="I125" i="110" s="1"/>
  <c r="J125" i="110" a="1"/>
  <c r="J125" i="110" s="1"/>
  <c r="F130" i="110" a="1"/>
  <c r="F130" i="110" s="1"/>
  <c r="E130" i="110" a="1"/>
  <c r="E130" i="110" s="1"/>
  <c r="H130" i="110" a="1"/>
  <c r="H130" i="110" s="1"/>
  <c r="G130" i="110" a="1"/>
  <c r="G130" i="110" s="1"/>
  <c r="L139" i="110" a="1"/>
  <c r="L139" i="110" s="1"/>
  <c r="K139" i="110" a="1"/>
  <c r="K139" i="110" s="1"/>
  <c r="I139" i="110" a="1"/>
  <c r="I139" i="110" s="1"/>
  <c r="J139" i="110" a="1"/>
  <c r="J139" i="110" s="1"/>
  <c r="F144" i="110" a="1"/>
  <c r="F144" i="110" s="1"/>
  <c r="E144" i="110" a="1"/>
  <c r="E144" i="110" s="1"/>
  <c r="H144" i="110" a="1"/>
  <c r="H144" i="110" s="1"/>
  <c r="G144" i="110" a="1"/>
  <c r="G144" i="110" s="1"/>
  <c r="L153" i="110" a="1"/>
  <c r="L153" i="110" s="1"/>
  <c r="K153" i="110" a="1"/>
  <c r="K153" i="110" s="1"/>
  <c r="I153" i="110" a="1"/>
  <c r="I153" i="110" s="1"/>
  <c r="J153" i="110" a="1"/>
  <c r="J153" i="110" s="1"/>
  <c r="L115" i="110" a="1"/>
  <c r="L115" i="110" s="1"/>
  <c r="K115" i="110" a="1"/>
  <c r="K115" i="110" s="1"/>
  <c r="I115" i="110" a="1"/>
  <c r="I115" i="110" s="1"/>
  <c r="J115" i="110" a="1"/>
  <c r="J115" i="110" s="1"/>
  <c r="H120" i="110" a="1"/>
  <c r="H120" i="110" s="1"/>
  <c r="G120" i="110" a="1"/>
  <c r="G120" i="110" s="1"/>
  <c r="F120" i="110" a="1"/>
  <c r="F120" i="110" s="1"/>
  <c r="E120" i="110" a="1"/>
  <c r="E120" i="110" s="1"/>
  <c r="L143" i="110" a="1"/>
  <c r="L143" i="110" s="1"/>
  <c r="J143" i="110" a="1"/>
  <c r="J143" i="110" s="1"/>
  <c r="K143" i="110" a="1"/>
  <c r="K143" i="110" s="1"/>
  <c r="I143" i="110" a="1"/>
  <c r="I143" i="110" s="1"/>
  <c r="H148" i="110" a="1"/>
  <c r="H148" i="110" s="1"/>
  <c r="G148" i="110" a="1"/>
  <c r="G148" i="110" s="1"/>
  <c r="F148" i="110" a="1"/>
  <c r="F148" i="110" s="1"/>
  <c r="E148" i="110" a="1"/>
  <c r="E148" i="110" s="1"/>
  <c r="I120" i="110" a="1"/>
  <c r="I120" i="110" s="1"/>
  <c r="L120" i="110" a="1"/>
  <c r="L120" i="110" s="1"/>
  <c r="K120" i="110" a="1"/>
  <c r="K120" i="110" s="1"/>
  <c r="J120" i="110" a="1"/>
  <c r="J120" i="110" s="1"/>
  <c r="H125" i="110" a="1"/>
  <c r="H125" i="110" s="1"/>
  <c r="G125" i="110" a="1"/>
  <c r="G125" i="110" s="1"/>
  <c r="F125" i="110" a="1"/>
  <c r="F125" i="110" s="1"/>
  <c r="E125" i="110" a="1"/>
  <c r="E125" i="110" s="1"/>
  <c r="I134" i="110" a="1"/>
  <c r="I134" i="110" s="1"/>
  <c r="L134" i="110" a="1"/>
  <c r="L134" i="110" s="1"/>
  <c r="K134" i="110" a="1"/>
  <c r="K134" i="110" s="1"/>
  <c r="J134" i="110" a="1"/>
  <c r="J134" i="110" s="1"/>
  <c r="H139" i="110" a="1"/>
  <c r="H139" i="110" s="1"/>
  <c r="G139" i="110" a="1"/>
  <c r="G139" i="110" s="1"/>
  <c r="F139" i="110" a="1"/>
  <c r="F139" i="110" s="1"/>
  <c r="E139" i="110" a="1"/>
  <c r="E139" i="110" s="1"/>
  <c r="L157" i="110" a="1"/>
  <c r="L157" i="110" s="1"/>
  <c r="K157" i="110" a="1"/>
  <c r="K157" i="110" s="1"/>
  <c r="J157" i="110" a="1"/>
  <c r="J157" i="110" s="1"/>
  <c r="I157" i="110" a="1"/>
  <c r="I157" i="110" s="1"/>
  <c r="D110" i="110"/>
  <c r="D112" i="110"/>
  <c r="D111" i="110"/>
  <c r="K116" i="110" a="1"/>
  <c r="K116" i="110" s="1"/>
  <c r="J116" i="110" a="1"/>
  <c r="J116" i="110" s="1"/>
  <c r="I116" i="110" a="1"/>
  <c r="I116" i="110" s="1"/>
  <c r="L116" i="110" a="1"/>
  <c r="L116" i="110" s="1"/>
  <c r="H121" i="110" a="1"/>
  <c r="H121" i="110" s="1"/>
  <c r="G121" i="110" a="1"/>
  <c r="G121" i="110" s="1"/>
  <c r="F121" i="110" a="1"/>
  <c r="F121" i="110" s="1"/>
  <c r="E121" i="110" a="1"/>
  <c r="E121" i="110" s="1"/>
  <c r="K130" i="110" a="1"/>
  <c r="K130" i="110" s="1"/>
  <c r="J130" i="110" a="1"/>
  <c r="J130" i="110" s="1"/>
  <c r="I130" i="110" a="1"/>
  <c r="I130" i="110" s="1"/>
  <c r="L130" i="110" a="1"/>
  <c r="L130" i="110" s="1"/>
  <c r="H135" i="110" a="1"/>
  <c r="H135" i="110" s="1"/>
  <c r="G135" i="110" a="1"/>
  <c r="G135" i="110" s="1"/>
  <c r="F135" i="110" a="1"/>
  <c r="F135" i="110" s="1"/>
  <c r="E135" i="110" a="1"/>
  <c r="E135" i="110" s="1"/>
  <c r="K144" i="110" a="1"/>
  <c r="K144" i="110" s="1"/>
  <c r="J144" i="110" a="1"/>
  <c r="J144" i="110" s="1"/>
  <c r="I144" i="110" a="1"/>
  <c r="I144" i="110" s="1"/>
  <c r="L144" i="110" a="1"/>
  <c r="L144" i="110" s="1"/>
  <c r="H149" i="110" a="1"/>
  <c r="H149" i="110" s="1"/>
  <c r="G149" i="110" a="1"/>
  <c r="G149" i="110" s="1"/>
  <c r="F149" i="110" a="1"/>
  <c r="F149" i="110" s="1"/>
  <c r="E149" i="110" a="1"/>
  <c r="E149" i="110" s="1"/>
  <c r="F158" i="110" a="1"/>
  <c r="F158" i="110" s="1"/>
  <c r="E158" i="110" a="1"/>
  <c r="E158" i="110" s="1"/>
  <c r="H158" i="110" a="1"/>
  <c r="H158" i="110" s="1"/>
  <c r="G158" i="110" a="1"/>
  <c r="G158" i="110" s="1"/>
  <c r="K158" i="110" a="1"/>
  <c r="K158" i="110" s="1"/>
  <c r="J158" i="110" a="1"/>
  <c r="J158" i="110" s="1"/>
  <c r="I158" i="110" a="1"/>
  <c r="I158" i="110" s="1"/>
  <c r="L158" i="110" a="1"/>
  <c r="L158" i="110" s="1"/>
  <c r="J25" i="69" a="1"/>
  <c r="J25" i="69" s="1"/>
  <c r="E156" i="110" a="1"/>
  <c r="E156" i="110" s="1"/>
  <c r="F156" i="110" a="1"/>
  <c r="F156" i="110" s="1"/>
  <c r="G156" i="110" a="1"/>
  <c r="G156" i="110" s="1"/>
  <c r="J27" i="69" a="1"/>
  <c r="J27" i="69" s="1"/>
  <c r="J28" i="69" a="1"/>
  <c r="J28" i="69" s="1"/>
  <c r="J29" i="69" a="1"/>
  <c r="J29" i="69" s="1"/>
  <c r="I26" i="69"/>
  <c r="J26" i="69" a="1"/>
  <c r="J26" i="69" s="1"/>
  <c r="I25" i="69"/>
  <c r="F22" i="69"/>
  <c r="G22" i="69"/>
  <c r="I22" i="69" s="1"/>
  <c r="I23" i="69"/>
  <c r="E22" i="69"/>
  <c r="J22" i="69" s="1" a="1"/>
  <c r="J22" i="69" s="1"/>
  <c r="K22" i="69" s="1"/>
  <c r="J24" i="69" a="1"/>
  <c r="J24" i="69" s="1"/>
  <c r="J23" i="69" a="1"/>
  <c r="J23" i="69" s="1"/>
  <c r="I24" i="69"/>
  <c r="D106" i="110"/>
  <c r="A15" i="70"/>
  <c r="A5" i="70"/>
  <c r="A4" i="70"/>
  <c r="A3" i="70"/>
  <c r="A73" i="69"/>
  <c r="K23" i="69" l="1"/>
  <c r="L23" i="69" s="1"/>
  <c r="K24" i="69"/>
  <c r="L24" i="69" s="1"/>
  <c r="K31" i="69"/>
  <c r="L31" i="69" s="1"/>
  <c r="K25" i="69"/>
  <c r="L25" i="69" s="1"/>
  <c r="K26" i="69"/>
  <c r="L26" i="69" s="1"/>
  <c r="K29" i="69"/>
  <c r="L29" i="69" s="1"/>
  <c r="K27" i="69"/>
  <c r="L27" i="69" s="1"/>
  <c r="K28" i="69"/>
  <c r="L28" i="69" s="1"/>
  <c r="K30" i="69"/>
  <c r="L30" i="69" s="1"/>
  <c r="N161" i="110" a="1"/>
  <c r="N161" i="110" s="1"/>
  <c r="O161" i="110" a="1"/>
  <c r="O161" i="110" s="1"/>
  <c r="M161" i="110" a="1"/>
  <c r="M161" i="110" s="1"/>
  <c r="M160" i="110" a="1"/>
  <c r="M160" i="110" s="1"/>
  <c r="N160" i="110" a="1"/>
  <c r="N160" i="110" s="1"/>
  <c r="O160" i="110" a="1"/>
  <c r="O160" i="110" s="1"/>
  <c r="P160" i="110" a="1"/>
  <c r="P160" i="110" s="1"/>
  <c r="M159" i="110" a="1"/>
  <c r="M159" i="110" s="1"/>
  <c r="P159" i="110" a="1"/>
  <c r="P159" i="110" s="1"/>
  <c r="N159" i="110" a="1"/>
  <c r="N159" i="110" s="1"/>
  <c r="O159" i="110" a="1"/>
  <c r="O159" i="110" s="1"/>
  <c r="N158" i="110" a="1"/>
  <c r="N158" i="110" s="1"/>
  <c r="O158" i="110" a="1"/>
  <c r="O158" i="110" s="1"/>
  <c r="O156" i="110" a="1"/>
  <c r="O156" i="110" s="1"/>
  <c r="N156" i="110" a="1"/>
  <c r="N156" i="110" s="1"/>
  <c r="M156" i="110" a="1"/>
  <c r="M156" i="110" s="1"/>
  <c r="M155" i="110" a="1"/>
  <c r="M155" i="110" s="1"/>
  <c r="N155" i="110" a="1"/>
  <c r="N155" i="110" s="1"/>
  <c r="O155" i="110" a="1"/>
  <c r="O155" i="110" s="1"/>
  <c r="P155" i="110" a="1"/>
  <c r="P155" i="110" s="1"/>
  <c r="N154" i="110" a="1"/>
  <c r="N154" i="110" s="1"/>
  <c r="M154" i="110" a="1"/>
  <c r="M154" i="110" s="1"/>
  <c r="O154" i="110" a="1"/>
  <c r="O154" i="110" s="1"/>
  <c r="P154" i="110" a="1"/>
  <c r="P154" i="110" s="1"/>
  <c r="N153" i="110" a="1"/>
  <c r="N153" i="110" s="1"/>
  <c r="O153" i="110" a="1"/>
  <c r="O153" i="110" s="1"/>
  <c r="P153" i="110" a="1"/>
  <c r="P153" i="110" s="1"/>
  <c r="N152" i="110" a="1"/>
  <c r="N152" i="110" s="1"/>
  <c r="M152" i="110" a="1"/>
  <c r="M152" i="110" s="1"/>
  <c r="O152" i="110" a="1"/>
  <c r="O152" i="110" s="1"/>
  <c r="P152" i="110" a="1"/>
  <c r="P152" i="110" s="1"/>
  <c r="N151" i="110" a="1"/>
  <c r="N151" i="110" s="1"/>
  <c r="O151" i="110" a="1"/>
  <c r="O151" i="110" s="1"/>
  <c r="P151" i="110" a="1"/>
  <c r="P151" i="110" s="1"/>
  <c r="M150" i="110" a="1"/>
  <c r="M150" i="110" s="1"/>
  <c r="N150" i="110" a="1"/>
  <c r="N150" i="110" s="1"/>
  <c r="O150" i="110" a="1"/>
  <c r="O150" i="110" s="1"/>
  <c r="P150" i="110" a="1"/>
  <c r="P150" i="110" s="1"/>
  <c r="N149" i="110" a="1"/>
  <c r="N149" i="110" s="1"/>
  <c r="O149" i="110" a="1"/>
  <c r="O149" i="110" s="1"/>
  <c r="P149" i="110" a="1"/>
  <c r="P149" i="110" s="1"/>
  <c r="M148" i="110" a="1"/>
  <c r="M148" i="110" s="1"/>
  <c r="O148" i="110" a="1"/>
  <c r="O148" i="110" s="1"/>
  <c r="M147" i="110" a="1"/>
  <c r="M147" i="110" s="1"/>
  <c r="N147" i="110" a="1"/>
  <c r="N147" i="110" s="1"/>
  <c r="O147" i="110" a="1"/>
  <c r="O147" i="110" s="1"/>
  <c r="P147" i="110" a="1"/>
  <c r="P147" i="110" s="1"/>
  <c r="N146" i="110" a="1"/>
  <c r="N146" i="110" s="1"/>
  <c r="O146" i="110" a="1"/>
  <c r="O146" i="110" s="1"/>
  <c r="P146" i="110" a="1"/>
  <c r="P146" i="110" s="1"/>
  <c r="M145" i="110" a="1"/>
  <c r="M145" i="110" s="1"/>
  <c r="P145" i="110" a="1"/>
  <c r="P145" i="110" s="1"/>
  <c r="N145" i="110" a="1"/>
  <c r="N145" i="110" s="1"/>
  <c r="O145" i="110" a="1"/>
  <c r="O145" i="110" s="1"/>
  <c r="O144" i="110" a="1"/>
  <c r="O144" i="110" s="1"/>
  <c r="P144" i="110" a="1"/>
  <c r="P144" i="110" s="1"/>
  <c r="P143" i="110" a="1"/>
  <c r="P143" i="110" s="1"/>
  <c r="M143" i="110" a="1"/>
  <c r="M143" i="110" s="1"/>
  <c r="O143" i="110" a="1"/>
  <c r="O143" i="110" s="1"/>
  <c r="P142" i="110" a="1"/>
  <c r="P142" i="110" s="1"/>
  <c r="M142" i="110" a="1"/>
  <c r="M142" i="110" s="1"/>
  <c r="O142" i="110" a="1"/>
  <c r="O142" i="110" s="1"/>
  <c r="N141" i="110" a="1"/>
  <c r="N141" i="110" s="1"/>
  <c r="M141" i="110" a="1"/>
  <c r="M141" i="110" s="1"/>
  <c r="O141" i="110" a="1"/>
  <c r="O141" i="110" s="1"/>
  <c r="P141" i="110" a="1"/>
  <c r="P141" i="110" s="1"/>
  <c r="M140" i="110" a="1"/>
  <c r="M140" i="110" s="1"/>
  <c r="N140" i="110" a="1"/>
  <c r="N140" i="110" s="1"/>
  <c r="O140" i="110" a="1"/>
  <c r="O140" i="110" s="1"/>
  <c r="P140" i="110" a="1"/>
  <c r="P140" i="110" s="1"/>
  <c r="M139" i="110" a="1"/>
  <c r="M139" i="110" s="1"/>
  <c r="O138" i="110" a="1"/>
  <c r="O138" i="110" s="1"/>
  <c r="N138" i="110" a="1"/>
  <c r="N138" i="110" s="1"/>
  <c r="P138" i="110" a="1"/>
  <c r="P138" i="110" s="1"/>
  <c r="O137" i="110" a="1"/>
  <c r="O137" i="110" s="1"/>
  <c r="M137" i="110" a="1"/>
  <c r="M137" i="110" s="1"/>
  <c r="N137" i="110" a="1"/>
  <c r="N137" i="110" s="1"/>
  <c r="P137" i="110" a="1"/>
  <c r="P137" i="110" s="1"/>
  <c r="M136" i="110" a="1"/>
  <c r="M136" i="110" s="1"/>
  <c r="N136" i="110" a="1"/>
  <c r="N136" i="110" s="1"/>
  <c r="O136" i="110" a="1"/>
  <c r="O136" i="110" s="1"/>
  <c r="P136" i="110" a="1"/>
  <c r="P136" i="110" s="1"/>
  <c r="P135" i="110" a="1"/>
  <c r="P135" i="110" s="1"/>
  <c r="O135" i="110" a="1"/>
  <c r="O135" i="110" s="1"/>
  <c r="N134" i="110" a="1"/>
  <c r="N134" i="110" s="1"/>
  <c r="P134" i="110" a="1"/>
  <c r="P134" i="110" s="1"/>
  <c r="P133" i="110" a="1"/>
  <c r="P133" i="110" s="1"/>
  <c r="M133" i="110" a="1"/>
  <c r="M133" i="110" s="1"/>
  <c r="N133" i="110" a="1"/>
  <c r="N133" i="110" s="1"/>
  <c r="O133" i="110" a="1"/>
  <c r="O133" i="110" s="1"/>
  <c r="M132" i="110" a="1"/>
  <c r="M132" i="110" s="1"/>
  <c r="N132" i="110" a="1"/>
  <c r="N132" i="110" s="1"/>
  <c r="O132" i="110" a="1"/>
  <c r="O132" i="110" s="1"/>
  <c r="M131" i="110" a="1"/>
  <c r="M131" i="110" s="1"/>
  <c r="N131" i="110" a="1"/>
  <c r="N131" i="110" s="1"/>
  <c r="O131" i="110" a="1"/>
  <c r="O131" i="110" s="1"/>
  <c r="P131" i="110" a="1"/>
  <c r="P131" i="110" s="1"/>
  <c r="N129" i="110" a="1"/>
  <c r="N129" i="110" s="1"/>
  <c r="O129" i="110" a="1"/>
  <c r="O129" i="110" s="1"/>
  <c r="M129" i="110" a="1"/>
  <c r="M129" i="110" s="1"/>
  <c r="O128" i="110" a="1"/>
  <c r="O128" i="110" s="1"/>
  <c r="P128" i="110" a="1"/>
  <c r="P128" i="110" s="1"/>
  <c r="M128" i="110" a="1"/>
  <c r="M128" i="110" s="1"/>
  <c r="M127" i="110" a="1"/>
  <c r="M127" i="110" s="1"/>
  <c r="N127" i="110" a="1"/>
  <c r="N127" i="110" s="1"/>
  <c r="P127" i="110" a="1"/>
  <c r="P127" i="110" s="1"/>
  <c r="O127" i="110" a="1"/>
  <c r="O127" i="110" s="1"/>
  <c r="M126" i="110" a="1"/>
  <c r="M126" i="110" s="1"/>
  <c r="N126" i="110" a="1"/>
  <c r="N126" i="110" s="1"/>
  <c r="O126" i="110" a="1"/>
  <c r="O126" i="110" s="1"/>
  <c r="P126" i="110" a="1"/>
  <c r="P126" i="110" s="1"/>
  <c r="O125" i="110" a="1"/>
  <c r="O125" i="110" s="1"/>
  <c r="N125" i="110" a="1"/>
  <c r="N125" i="110" s="1"/>
  <c r="O124" i="110" a="1"/>
  <c r="O124" i="110" s="1"/>
  <c r="P124" i="110" a="1"/>
  <c r="P124" i="110" s="1"/>
  <c r="M124" i="110" a="1"/>
  <c r="M124" i="110" s="1"/>
  <c r="M123" i="110" a="1"/>
  <c r="M123" i="110" s="1"/>
  <c r="N123" i="110" a="1"/>
  <c r="N123" i="110" s="1"/>
  <c r="P123" i="110" a="1"/>
  <c r="P123" i="110" s="1"/>
  <c r="N122" i="110" a="1"/>
  <c r="N122" i="110" s="1"/>
  <c r="M122" i="110" a="1"/>
  <c r="M122" i="110" s="1"/>
  <c r="O122" i="110" a="1"/>
  <c r="O122" i="110" s="1"/>
  <c r="P122" i="110" a="1"/>
  <c r="P122" i="110" s="1"/>
  <c r="M121" i="110" a="1"/>
  <c r="M121" i="110" s="1"/>
  <c r="N121" i="110" a="1"/>
  <c r="N121" i="110" s="1"/>
  <c r="P121" i="110" a="1"/>
  <c r="P121" i="110" s="1"/>
  <c r="O121" i="110" a="1"/>
  <c r="O121" i="110" s="1"/>
  <c r="P119" i="110" a="1"/>
  <c r="P119" i="110" s="1"/>
  <c r="O119" i="110" a="1"/>
  <c r="O119" i="110" s="1"/>
  <c r="N119" i="110" a="1"/>
  <c r="N119" i="110" s="1"/>
  <c r="M119" i="110" a="1"/>
  <c r="M119" i="110" s="1"/>
  <c r="P118" i="110" a="1"/>
  <c r="P118" i="110" s="1"/>
  <c r="N118" i="110" a="1"/>
  <c r="N118" i="110" s="1"/>
  <c r="O118" i="110" a="1"/>
  <c r="O118" i="110" s="1"/>
  <c r="N117" i="110" a="1"/>
  <c r="N117" i="110" s="1"/>
  <c r="M117" i="110" a="1"/>
  <c r="M117" i="110" s="1"/>
  <c r="O117" i="110" a="1"/>
  <c r="O117" i="110" s="1"/>
  <c r="P117" i="110" a="1"/>
  <c r="P117" i="110" s="1"/>
  <c r="M116" i="110" a="1"/>
  <c r="M116" i="110" s="1"/>
  <c r="N116" i="110" a="1"/>
  <c r="N116" i="110" s="1"/>
  <c r="O116" i="110" a="1"/>
  <c r="O116" i="110" s="1"/>
  <c r="M115" i="110" a="1"/>
  <c r="M115" i="110" s="1"/>
  <c r="P115" i="110" a="1"/>
  <c r="P115" i="110" s="1"/>
  <c r="O115" i="110" a="1"/>
  <c r="O115" i="110" s="1"/>
  <c r="N115" i="110" a="1"/>
  <c r="N115" i="110" s="1"/>
  <c r="N114" i="110" a="1"/>
  <c r="N114" i="110" s="1"/>
  <c r="O114" i="110" a="1"/>
  <c r="O114" i="110" s="1"/>
  <c r="P114" i="110" a="1"/>
  <c r="P114" i="110" s="1"/>
  <c r="M114" i="110" a="1"/>
  <c r="M114" i="110" s="1"/>
  <c r="M113" i="110" a="1"/>
  <c r="M113" i="110" s="1"/>
  <c r="N113" i="110" a="1"/>
  <c r="N113" i="110" s="1"/>
  <c r="O113" i="110" a="1"/>
  <c r="O113" i="110" s="1"/>
  <c r="M144" i="110" a="1"/>
  <c r="M144" i="110" s="1"/>
  <c r="N144" i="110" a="1"/>
  <c r="N144" i="110" s="1"/>
  <c r="P116" i="110" a="1"/>
  <c r="P116" i="110" s="1"/>
  <c r="P148" i="110" a="1"/>
  <c r="P148" i="110" s="1"/>
  <c r="O120" i="110" a="1"/>
  <c r="O120" i="110" s="1"/>
  <c r="N124" i="110" a="1"/>
  <c r="N124" i="110" s="1"/>
  <c r="P161" i="110" a="1"/>
  <c r="P161" i="110" s="1"/>
  <c r="Q161" i="110" s="1" a="1"/>
  <c r="Q161" i="110" s="1"/>
  <c r="P158" i="110" a="1"/>
  <c r="P158" i="110" s="1"/>
  <c r="M130" i="110" a="1"/>
  <c r="M130" i="110" s="1"/>
  <c r="N157" i="110" a="1"/>
  <c r="N157" i="110" s="1"/>
  <c r="O130" i="110" a="1"/>
  <c r="O130" i="110" s="1"/>
  <c r="O157" i="110" a="1"/>
  <c r="O157" i="110" s="1"/>
  <c r="N120" i="110" a="1"/>
  <c r="N120" i="110" s="1"/>
  <c r="N139" i="110" a="1"/>
  <c r="N139" i="110" s="1"/>
  <c r="P129" i="110" a="1"/>
  <c r="P129" i="110" s="1"/>
  <c r="N128" i="110" a="1"/>
  <c r="N128" i="110" s="1"/>
  <c r="O123" i="110" a="1"/>
  <c r="O123" i="110" s="1"/>
  <c r="N148" i="110" a="1"/>
  <c r="N148" i="110" s="1"/>
  <c r="P113" i="110" a="1"/>
  <c r="P113" i="110" s="1"/>
  <c r="M135" i="110" a="1"/>
  <c r="M135" i="110" s="1"/>
  <c r="O134" i="110" a="1"/>
  <c r="O134" i="110" s="1"/>
  <c r="P132" i="110" a="1"/>
  <c r="P132" i="110" s="1"/>
  <c r="N135" i="110" a="1"/>
  <c r="N135" i="110" s="1"/>
  <c r="Q112" i="110" a="1"/>
  <c r="Q112" i="110" s="1"/>
  <c r="M125" i="110" a="1"/>
  <c r="M125" i="110" s="1"/>
  <c r="N142" i="110" a="1"/>
  <c r="N142" i="110" s="1"/>
  <c r="M157" i="110" a="1"/>
  <c r="M157" i="110" s="1"/>
  <c r="M149" i="110" a="1"/>
  <c r="M149" i="110" s="1"/>
  <c r="P125" i="110" a="1"/>
  <c r="P125" i="110" s="1"/>
  <c r="N143" i="110" a="1"/>
  <c r="N143" i="110" s="1"/>
  <c r="O139" i="110" a="1"/>
  <c r="O139" i="110" s="1"/>
  <c r="P157" i="110" a="1"/>
  <c r="P157" i="110" s="1"/>
  <c r="P120" i="110" a="1"/>
  <c r="P120" i="110" s="1"/>
  <c r="M146" i="110" a="1"/>
  <c r="M146" i="110" s="1"/>
  <c r="P130" i="110" a="1"/>
  <c r="P130" i="110" s="1"/>
  <c r="Q110" i="110" a="1"/>
  <c r="Q110" i="110" s="1"/>
  <c r="N130" i="110" a="1"/>
  <c r="N130" i="110" s="1"/>
  <c r="P139" i="110" a="1"/>
  <c r="P139" i="110" s="1"/>
  <c r="Q160" i="110" a="1"/>
  <c r="Q160" i="110" s="1"/>
  <c r="M118" i="110" a="1"/>
  <c r="M118" i="110" s="1"/>
  <c r="Q111" i="110" a="1"/>
  <c r="Q111" i="110" s="1"/>
  <c r="M158" i="110" a="1"/>
  <c r="M158" i="110" s="1"/>
  <c r="M153" i="110" a="1"/>
  <c r="M153" i="110" s="1"/>
  <c r="F67" i="69" a="1"/>
  <c r="F67" i="69" s="1"/>
  <c r="F66" i="69" a="1"/>
  <c r="F66" i="69" s="1"/>
  <c r="F68" i="69" a="1"/>
  <c r="F68" i="69" s="1"/>
  <c r="F69" i="69" a="1"/>
  <c r="F69" i="69" s="1"/>
  <c r="F71" i="69" a="1"/>
  <c r="F71" i="69" s="1"/>
  <c r="F70" i="69" a="1"/>
  <c r="F70" i="69" s="1"/>
  <c r="M138" i="110" a="1"/>
  <c r="M138" i="110" s="1"/>
  <c r="M120" i="110" a="1"/>
  <c r="M120" i="110" s="1"/>
  <c r="M134" i="110" a="1"/>
  <c r="M134" i="110" s="1"/>
  <c r="M151" i="110" a="1"/>
  <c r="M151" i="110" s="1"/>
  <c r="D36" i="69" a="1"/>
  <c r="E45" i="69"/>
  <c r="E43" i="69"/>
  <c r="E44" i="69"/>
  <c r="E41" i="69"/>
  <c r="E42" i="69"/>
  <c r="E40" i="69"/>
  <c r="L22" i="69"/>
  <c r="E39" i="69" l="1"/>
  <c r="E12" i="13" s="1"/>
  <c r="Q159" i="110" a="1"/>
  <c r="Q159" i="110" s="1"/>
  <c r="Q156" i="110" a="1"/>
  <c r="Q156" i="110" s="1"/>
  <c r="Q155" i="110" a="1"/>
  <c r="Q155" i="110" s="1"/>
  <c r="Q154" i="110" a="1"/>
  <c r="Q154" i="110" s="1"/>
  <c r="Q152" i="110" a="1"/>
  <c r="Q152" i="110" s="1"/>
  <c r="Q153" i="110" a="1"/>
  <c r="Q153" i="110" s="1"/>
  <c r="Q151" i="110" a="1"/>
  <c r="Q151" i="110" s="1"/>
  <c r="Q150" i="110" a="1"/>
  <c r="Q150" i="110" s="1"/>
  <c r="Q149" i="110" a="1"/>
  <c r="Q149" i="110" s="1"/>
  <c r="Q147" i="110" a="1"/>
  <c r="Q147" i="110" s="1"/>
  <c r="Q145" i="110" a="1"/>
  <c r="Q145" i="110" s="1"/>
  <c r="Q146" i="110" a="1"/>
  <c r="Q146" i="110" s="1"/>
  <c r="Q143" i="110" a="1"/>
  <c r="Q143" i="110" s="1"/>
  <c r="Q142" i="110" a="1"/>
  <c r="Q142" i="110" s="1"/>
  <c r="Q141" i="110" a="1"/>
  <c r="Q141" i="110" s="1"/>
  <c r="Q140" i="110" a="1"/>
  <c r="Q140" i="110" s="1"/>
  <c r="Q138" i="110" a="1"/>
  <c r="Q138" i="110" s="1"/>
  <c r="Q137" i="110" a="1"/>
  <c r="Q137" i="110" s="1"/>
  <c r="Q136" i="110" a="1"/>
  <c r="Q136" i="110" s="1"/>
  <c r="Q133" i="110" a="1"/>
  <c r="Q133" i="110" s="1"/>
  <c r="Q131" i="110" a="1"/>
  <c r="Q131" i="110" s="1"/>
  <c r="Q132" i="110" a="1"/>
  <c r="Q132" i="110" s="1"/>
  <c r="Q129" i="110" a="1"/>
  <c r="Q129" i="110" s="1"/>
  <c r="Q128" i="110" a="1"/>
  <c r="Q128" i="110" s="1"/>
  <c r="Q127" i="110" a="1"/>
  <c r="Q127" i="110" s="1"/>
  <c r="Q124" i="110" a="1"/>
  <c r="Q124" i="110" s="1"/>
  <c r="Q126" i="110" a="1"/>
  <c r="Q126" i="110" s="1"/>
  <c r="Q123" i="110" a="1"/>
  <c r="Q123" i="110" s="1"/>
  <c r="Q122" i="110" a="1"/>
  <c r="Q122" i="110" s="1"/>
  <c r="Q121" i="110" a="1"/>
  <c r="Q121" i="110" s="1"/>
  <c r="Q117" i="110" a="1"/>
  <c r="Q117" i="110" s="1"/>
  <c r="Q119" i="110" a="1"/>
  <c r="Q119" i="110" s="1"/>
  <c r="Q116" i="110" a="1"/>
  <c r="Q116" i="110" s="1"/>
  <c r="Q118" i="110" a="1"/>
  <c r="Q118" i="110" s="1"/>
  <c r="Q115" i="110" a="1"/>
  <c r="Q115" i="110" s="1"/>
  <c r="Q114" i="110" a="1"/>
  <c r="Q114" i="110" s="1"/>
  <c r="Q113" i="110" a="1"/>
  <c r="Q113" i="110" s="1"/>
  <c r="Q148" i="110" a="1"/>
  <c r="Q148" i="110" s="1"/>
  <c r="Q144" i="110" a="1"/>
  <c r="Q144" i="110" s="1"/>
  <c r="Q130" i="110" a="1"/>
  <c r="Q130" i="110" s="1"/>
  <c r="Q158" i="110" a="1"/>
  <c r="Q158" i="110" s="1"/>
  <c r="Q135" i="110" a="1"/>
  <c r="Q135" i="110" s="1"/>
  <c r="Q134" i="110" a="1"/>
  <c r="Q134" i="110" s="1"/>
  <c r="Q125" i="110" a="1"/>
  <c r="Q125" i="110" s="1"/>
  <c r="Q139" i="110" a="1"/>
  <c r="Q139" i="110" s="1"/>
  <c r="Q157" i="110" a="1"/>
  <c r="Q157" i="110" s="1"/>
  <c r="Q120" i="110" a="1"/>
  <c r="Q120" i="110" s="1"/>
  <c r="E14" i="13"/>
  <c r="E67" i="69"/>
  <c r="E16" i="13"/>
  <c r="F16" i="13" s="1"/>
  <c r="E69" i="69"/>
  <c r="E15" i="13"/>
  <c r="F15" i="13" s="1"/>
  <c r="E68" i="69"/>
  <c r="E17" i="13"/>
  <c r="F17" i="13" s="1"/>
  <c r="E70" i="69"/>
  <c r="E18" i="13"/>
  <c r="F18" i="13" s="1"/>
  <c r="E71" i="69"/>
  <c r="E13" i="13"/>
  <c r="E66" i="69"/>
  <c r="E38" i="69"/>
  <c r="D65" i="69"/>
  <c r="G12" i="13"/>
  <c r="J12" i="13"/>
  <c r="E37" i="69"/>
  <c r="D36" i="69"/>
  <c r="G11" i="13"/>
  <c r="D64" i="69"/>
  <c r="G10" i="13"/>
  <c r="D63" i="69"/>
  <c r="J11" i="13"/>
  <c r="J10" i="13"/>
  <c r="E36" i="69"/>
  <c r="E65" i="69" l="1"/>
  <c r="G66" i="69"/>
  <c r="H13" i="13" s="1"/>
  <c r="I13" i="13" s="1"/>
  <c r="G67" i="69"/>
  <c r="H14" i="13" s="1"/>
  <c r="I14" i="13" s="1"/>
  <c r="G71" i="69"/>
  <c r="H18" i="13" s="1"/>
  <c r="I18" i="13" s="1"/>
  <c r="G70" i="69"/>
  <c r="H17" i="13" s="1"/>
  <c r="I17" i="13" s="1"/>
  <c r="G68" i="69"/>
  <c r="H15" i="13" s="1"/>
  <c r="I15" i="13" s="1"/>
  <c r="G69" i="69"/>
  <c r="H16" i="13" s="1"/>
  <c r="I16" i="13" s="1"/>
  <c r="E9" i="13"/>
  <c r="F9" i="13" s="1"/>
  <c r="E62" i="69"/>
  <c r="E10" i="13"/>
  <c r="F10" i="13" s="1"/>
  <c r="E63" i="69"/>
  <c r="E11" i="13"/>
  <c r="F11" i="13" s="1"/>
  <c r="E64" i="69"/>
  <c r="F65" i="69" a="1"/>
  <c r="F65" i="69" s="1"/>
  <c r="J9" i="13"/>
  <c r="G9" i="13"/>
  <c r="D62" i="69"/>
  <c r="F64" i="69" a="1"/>
  <c r="F64" i="69" s="1"/>
  <c r="F63" i="69" a="1"/>
  <c r="F63" i="69" s="1"/>
  <c r="F13" i="13"/>
  <c r="F12" i="13"/>
  <c r="F14" i="13"/>
  <c r="G65" i="69" l="1"/>
  <c r="H12" i="13" s="1"/>
  <c r="I12" i="13" s="1"/>
  <c r="G63" i="69"/>
  <c r="H10" i="13" s="1"/>
  <c r="I10" i="13" s="1"/>
  <c r="G64" i="69"/>
  <c r="H11" i="13" s="1"/>
  <c r="I11" i="13" s="1"/>
  <c r="F62" i="69" a="1"/>
  <c r="F62" i="69" s="1"/>
  <c r="G62" i="69" s="1"/>
  <c r="A47" i="69" l="1"/>
  <c r="H9" i="13" l="1"/>
  <c r="I9" i="13" s="1"/>
  <c r="I19" i="13" s="1"/>
  <c r="E73" i="69"/>
  <c r="H1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<sst xmlns="http://schemas.openxmlformats.org/spreadsheetml/2006/main" count="812" uniqueCount="598">
  <si>
    <t>Home</t>
  </si>
  <si>
    <t>INPUTS</t>
  </si>
  <si>
    <t>APPENDICES</t>
  </si>
  <si>
    <t>Emissions breakdown</t>
  </si>
  <si>
    <t>Climate zone</t>
  </si>
  <si>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</si>
  <si>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</si>
  <si>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</si>
  <si>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</si>
  <si>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</si>
  <si>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</si>
  <si>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</si>
  <si>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</si>
  <si>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</si>
  <si>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</si>
  <si>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</si>
  <si>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</si>
  <si>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</si>
  <si>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</si>
  <si>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</si>
  <si>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</si>
  <si>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</si>
  <si>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</si>
  <si>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</si>
  <si>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</si>
  <si>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</si>
  <si>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</si>
  <si>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</si>
  <si>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</si>
  <si>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</si>
  <si>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</si>
  <si>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</si>
  <si>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</si>
  <si>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</si>
  <si>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</si>
  <si>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</si>
  <si>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</si>
  <si>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</si>
  <si>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</si>
  <si>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</si>
  <si>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</si>
  <si>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</si>
  <si>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</si>
  <si>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</si>
  <si>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</si>
  <si>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</si>
  <si>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</si>
  <si>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</si>
  <si>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</si>
  <si>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</si>
  <si>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</si>
  <si>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</si>
  <si>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</si>
  <si>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</si>
  <si>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Total</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</si>
  <si>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</si>
  <si>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</si>
  <si>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</si>
  <si>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</si>
  <si>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</si>
  <si>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</si>
  <si>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</si>
  <si>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</si>
  <si>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</si>
  <si>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</si>
  <si>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</si>
  <si>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</si>
  <si>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</si>
  <si>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</si>
  <si>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</si>
  <si>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</si>
  <si>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</si>
  <si>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</si>
  <si>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</si>
  <si>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</si>
  <si>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</si>
  <si>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</si>
  <si>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</si>
  <si>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</si>
  <si>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</si>
  <si>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</si>
  <si>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</si>
  <si>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</si>
  <si>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</si>
  <si>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</si>
  <si>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You can add more rows to the table by right-clicking on the table and selecting "Insert &gt; Table rows above/below"</t>
  </si>
  <si>
    <t xml:space="preserve"> </t>
  </si>
  <si>
    <t>Refrigerants</t>
  </si>
  <si>
    <t>Refrigeration unit name</t>
  </si>
  <si>
    <t>Appliance type (select)</t>
  </si>
  <si>
    <t>Refrigerant used (select)</t>
  </si>
  <si>
    <t>Unit refrigerant gas capacity (kg)</t>
  </si>
  <si>
    <t>Number of units in use</t>
  </si>
  <si>
    <t>Cool room</t>
  </si>
  <si>
    <t>Domestic refrigerators</t>
  </si>
  <si>
    <t>R-402A</t>
  </si>
  <si>
    <t>R-422B</t>
  </si>
  <si>
    <t>Car AC</t>
  </si>
  <si>
    <t>Light vehicle A/C</t>
  </si>
  <si>
    <t>R-400 60/40</t>
  </si>
  <si>
    <t>Chemical formula</t>
  </si>
  <si>
    <t>Global warming potential (AR5)</t>
  </si>
  <si>
    <t>Gas - FC name</t>
  </si>
  <si>
    <t>Aditional data source</t>
  </si>
  <si>
    <t>Blend</t>
  </si>
  <si>
    <t>Constituents</t>
  </si>
  <si>
    <t>Composition (%)</t>
  </si>
  <si>
    <t>Blended refrigerants - Cleaned for calculations</t>
  </si>
  <si>
    <t>Constituent 1</t>
  </si>
  <si>
    <t>Constituent 2</t>
  </si>
  <si>
    <t>Constituent 3</t>
  </si>
  <si>
    <t>Constituent 4</t>
  </si>
  <si>
    <t>Constituent 1 fraction</t>
  </si>
  <si>
    <t>Constituent 2 fraction</t>
  </si>
  <si>
    <t>Constituent 3 fraction</t>
  </si>
  <si>
    <t>Constituent 4 fraction</t>
  </si>
  <si>
    <t>Constituent 1 GWP</t>
  </si>
  <si>
    <t>Constituent 2 GWP</t>
  </si>
  <si>
    <t>Constituent 3 GWP</t>
  </si>
  <si>
    <t>Constituent 4 GWP</t>
  </si>
  <si>
    <t>Blend GWP</t>
  </si>
  <si>
    <t>Product</t>
  </si>
  <si>
    <t>Annual leakage rate (%)</t>
  </si>
  <si>
    <t>Constants - Refrigerants</t>
  </si>
  <si>
    <t>9.1.1.1-2 Refrigerant use</t>
  </si>
  <si>
    <t>Total capacity</t>
  </si>
  <si>
    <t>Leakage rate (percent)</t>
  </si>
  <si>
    <t>Refrigerant GWP</t>
  </si>
  <si>
    <r>
      <t>E</t>
    </r>
    <r>
      <rPr>
        <b/>
        <vertAlign val="subscript"/>
        <sz val="11"/>
        <color rgb="FF183C1B"/>
        <rFont val="Times New Roman"/>
        <family val="1"/>
      </rPr>
      <t>R</t>
    </r>
  </si>
  <si>
    <t>Refrigerant blend R</t>
  </si>
  <si>
    <r>
      <t>E</t>
    </r>
    <r>
      <rPr>
        <b/>
        <vertAlign val="subscript"/>
        <sz val="11"/>
        <color rgb="FF183C1B"/>
        <rFont val="Times New Roman"/>
        <family val="1"/>
      </rPr>
      <t>Ra</t>
    </r>
  </si>
  <si>
    <t>Domestic A/C split</t>
  </si>
  <si>
    <r>
      <t>E</t>
    </r>
    <r>
      <rPr>
        <b/>
        <vertAlign val="subscript"/>
        <sz val="11"/>
        <color rgb="FF183C1B"/>
        <rFont val="Times New Roman"/>
        <family val="1"/>
      </rPr>
      <t>CO2-e</t>
    </r>
  </si>
  <si>
    <t>Appliance type a</t>
  </si>
  <si>
    <t>CO2-e emissions method 1</t>
  </si>
  <si>
    <t>CO2-e emissions method 2</t>
  </si>
  <si>
    <t>Transport refrigeration</t>
  </si>
  <si>
    <r>
      <t>E</t>
    </r>
    <r>
      <rPr>
        <b/>
        <vertAlign val="subscript"/>
        <sz val="16"/>
        <color theme="1" tint="0.24994659260841701"/>
        <rFont val="Times New Roman"/>
        <family val="1"/>
      </rPr>
      <t>CO2e</t>
    </r>
  </si>
  <si>
    <t>Table_E_CO2e</t>
  </si>
  <si>
    <t>Table_E_R_Appliance</t>
  </si>
  <si>
    <t>Refrigerant leakage emissions by appliance</t>
  </si>
  <si>
    <t>Table_E_R</t>
  </si>
  <si>
    <t>Refrigerant leakage emisssions</t>
  </si>
  <si>
    <t>Refrigerant leakage emisssions carbon dioxide equivalent</t>
  </si>
  <si>
    <t>Office air con units</t>
  </si>
  <si>
    <t>Storage AC</t>
  </si>
  <si>
    <t>Refrigerated trucks</t>
  </si>
  <si>
    <t>R-504</t>
  </si>
  <si>
    <t>9: Refrigerant use: Overview</t>
  </si>
  <si>
    <t>9: Refrigerant use: Results</t>
  </si>
  <si>
    <t>9.1.1.1-2 Refrigerant leakage</t>
  </si>
  <si>
    <t>Input - Refrigerants</t>
  </si>
  <si>
    <t>The total emissions of refrigerant leaking during operation (not during installation or disposal)</t>
  </si>
  <si>
    <t>VEERG 2026: 9.1.1, Equation (1)</t>
  </si>
  <si>
    <t>VARIATION ON SOURCE: Added equation to convert refrigerant R to CO2-e using the refrigerant's global warming potential (GWP).</t>
  </si>
  <si>
    <t>E_R</t>
  </si>
  <si>
    <t>t refrigerant gas</t>
  </si>
  <si>
    <t>charge_Ra</t>
  </si>
  <si>
    <t>Amount of refrigerant R contained in appliance a</t>
  </si>
  <si>
    <t>leakagerate_a</t>
  </si>
  <si>
    <t>Prcentage of total charge leaked from appliance a each year</t>
  </si>
  <si>
    <t>a</t>
  </si>
  <si>
    <t>Appliance type</t>
  </si>
  <si>
    <t>R</t>
  </si>
  <si>
    <t>Refrigerant</t>
  </si>
  <si>
    <t>kg</t>
  </si>
  <si>
    <t>Input</t>
  </si>
  <si>
    <t>Percent</t>
  </si>
  <si>
    <t>Constant</t>
  </si>
  <si>
    <t>Refrigerant leakage emissions converted to CO2-e</t>
  </si>
  <si>
    <t>E_CO2e</t>
  </si>
  <si>
    <t>t CO2-e</t>
  </si>
  <si>
    <t>Total emissions of refrigerant R</t>
  </si>
  <si>
    <t>GWP_R</t>
  </si>
  <si>
    <t>Global warming potential of refrigerant R</t>
  </si>
  <si>
    <t>Calculated from 9.1.1 (1)</t>
  </si>
  <si>
    <t>Dimensionless</t>
  </si>
  <si>
    <t>Global Warming Potentials</t>
  </si>
  <si>
    <t>Australian National Greenhouse Accounts Factors 2025 - Appendix 2 - Table 23</t>
  </si>
  <si>
    <t>Carbon dioxide</t>
  </si>
  <si>
    <t>CO2</t>
  </si>
  <si>
    <t>Methane</t>
  </si>
  <si>
    <t>CH4</t>
  </si>
  <si>
    <t>Nitrous oxide</t>
  </si>
  <si>
    <t>N2O</t>
  </si>
  <si>
    <t>Sulphur hexafluoride</t>
  </si>
  <si>
    <t>SF6</t>
  </si>
  <si>
    <t>HFC-23 (R-23)</t>
  </si>
  <si>
    <t>CHF3</t>
  </si>
  <si>
    <t>HFC-23</t>
  </si>
  <si>
    <t>HFC-32 (R-32)</t>
  </si>
  <si>
    <t>CH2F2</t>
  </si>
  <si>
    <t>HFC-32</t>
  </si>
  <si>
    <t>HFC-41 (R-41)</t>
  </si>
  <si>
    <t>CH3F</t>
  </si>
  <si>
    <t>HFC-41</t>
  </si>
  <si>
    <t>HFC-43-10mee (R-4310mee)</t>
  </si>
  <si>
    <t>C5H2F10</t>
  </si>
  <si>
    <t>HFC-43-10mee</t>
  </si>
  <si>
    <t>HFC-125 (R-125)</t>
  </si>
  <si>
    <t>C2HF5</t>
  </si>
  <si>
    <t>HFC-125</t>
  </si>
  <si>
    <t>HFC-134 (R-134)</t>
  </si>
  <si>
    <t>C2H2F4 (CHF2CHF2)</t>
  </si>
  <si>
    <t>HFC-134</t>
  </si>
  <si>
    <t>HFC-134a (R-134a)</t>
  </si>
  <si>
    <t>C2H2F4 (CH2FCF3)</t>
  </si>
  <si>
    <t>HFC-134a</t>
  </si>
  <si>
    <t>HFC-143 (R-143)</t>
  </si>
  <si>
    <t>C2H3F3 (CHF2CH2F)</t>
  </si>
  <si>
    <t>HFC-143</t>
  </si>
  <si>
    <t>HFC-143a (R-143a)</t>
  </si>
  <si>
    <t>C2H3F3 (CF3CH3)</t>
  </si>
  <si>
    <t>HFC-143a</t>
  </si>
  <si>
    <t>HFC-152a (R-152a)</t>
  </si>
  <si>
    <t>C2H4F2 (CH3CHF2)</t>
  </si>
  <si>
    <t>HFC-152a</t>
  </si>
  <si>
    <t>HFC-227ea (R-227ea)</t>
  </si>
  <si>
    <t>C3HF7</t>
  </si>
  <si>
    <t>HFC-227ea</t>
  </si>
  <si>
    <t>HFC-236fa (R-236fa)</t>
  </si>
  <si>
    <t>C3H2F6</t>
  </si>
  <si>
    <t>HFC-236fa</t>
  </si>
  <si>
    <t>HFC-245ca (R-245ca)</t>
  </si>
  <si>
    <t>C3H3F5</t>
  </si>
  <si>
    <t>HFC-245ca</t>
  </si>
  <si>
    <t>HFC-245fa (R-245fa)</t>
  </si>
  <si>
    <t>CHF2CH2CF3</t>
  </si>
  <si>
    <t>HFC-245fa</t>
  </si>
  <si>
    <t>HFC-365mfc (R-365mfc)</t>
  </si>
  <si>
    <t>CH3CF2CH2CF3</t>
  </si>
  <si>
    <t>HFC-365mfc</t>
  </si>
  <si>
    <t>HCFC-22 (R-22)</t>
  </si>
  <si>
    <t>CHClF2</t>
  </si>
  <si>
    <t>HCFC-22</t>
  </si>
  <si>
    <t>HCFC-123 (R-123)</t>
  </si>
  <si>
    <t>CHCl22CF3</t>
  </si>
  <si>
    <t>HCFC-123</t>
  </si>
  <si>
    <t>HCFC-124 (R-124)</t>
  </si>
  <si>
    <t>CHClFCF3</t>
  </si>
  <si>
    <t>HCFC-124</t>
  </si>
  <si>
    <t>HCFC-141b (R-141b)</t>
  </si>
  <si>
    <t>CH3CCl2F</t>
  </si>
  <si>
    <t>HCFC-141b</t>
  </si>
  <si>
    <t>HCFC-142b (R-142b)</t>
  </si>
  <si>
    <t>CH2CClF2</t>
  </si>
  <si>
    <t>HCFC-142b</t>
  </si>
  <si>
    <t>HCFC-225ca (R-225ca)</t>
  </si>
  <si>
    <t>CHCl2CF2CF3</t>
  </si>
  <si>
    <t>HCFC-225ca</t>
  </si>
  <si>
    <t>HCFC-225cb (R-225cb)</t>
  </si>
  <si>
    <t>CHClFCF2CCIF2</t>
  </si>
  <si>
    <t>HCFC-225cb</t>
  </si>
  <si>
    <t>PFC-14 Perfluoromethane (tetrafluoromethane)</t>
  </si>
  <si>
    <t>CF4</t>
  </si>
  <si>
    <t>PFC-14</t>
  </si>
  <si>
    <t>PFC-116 Perfluoroethane (hexafluoroethane)</t>
  </si>
  <si>
    <t>C2F6</t>
  </si>
  <si>
    <t>PFC-116</t>
  </si>
  <si>
    <t>PFC-218 Perfluoropropane</t>
  </si>
  <si>
    <t>C3F8</t>
  </si>
  <si>
    <t>PFC-218</t>
  </si>
  <si>
    <t>PFC-31-10 Perfluorobutane</t>
  </si>
  <si>
    <t>C4F10</t>
  </si>
  <si>
    <t>PFC-31-10</t>
  </si>
  <si>
    <t>PFC-318 Perfluorocyclobutane</t>
  </si>
  <si>
    <t>c-C4F8</t>
  </si>
  <si>
    <t>PFC-318</t>
  </si>
  <si>
    <t>PFC-41-12 Perfluoropentane</t>
  </si>
  <si>
    <t>C5F12</t>
  </si>
  <si>
    <t>PFC-41-12</t>
  </si>
  <si>
    <t>PFC-51-14 Perfluorohexane</t>
  </si>
  <si>
    <t>C6F14</t>
  </si>
  <si>
    <t>PFC-51-14</t>
  </si>
  <si>
    <t>PFC-91-18 Perflunafene</t>
  </si>
  <si>
    <t>C10F18</t>
  </si>
  <si>
    <t>PFC-91-18</t>
  </si>
  <si>
    <t>CFC-12</t>
  </si>
  <si>
    <t>CCl2F2</t>
  </si>
  <si>
    <t>IPCC Global Warming Potential Values v2.0 - (AR5)</t>
  </si>
  <si>
    <t>CFC-13</t>
  </si>
  <si>
    <t>CClF3</t>
  </si>
  <si>
    <t>CFC-114</t>
  </si>
  <si>
    <t>CClF2CClF2</t>
  </si>
  <si>
    <t>CFC-115</t>
  </si>
  <si>
    <t>CClF2CF3</t>
  </si>
  <si>
    <t>Blended refrigerants (many containing HFCS and/or PFCS)</t>
  </si>
  <si>
    <t>Australian National Greenhouse Accounts Factors 2025 - Appendix 2 - Table 24</t>
  </si>
  <si>
    <t>R-400</t>
  </si>
  <si>
    <t>CFC-12/CFC-114</t>
  </si>
  <si>
    <t>R-400 can have various proportions of CFC-12 and CFC-114. The exact composition needs to be specified, e.g., R-400 (60/40).</t>
  </si>
  <si>
    <t>R-401A</t>
  </si>
  <si>
    <t>HCFC-22/HFC-152a/HCFC-124</t>
  </si>
  <si>
    <t>(53.0/13.0/34.0)</t>
  </si>
  <si>
    <t>R-401B</t>
  </si>
  <si>
    <t>(61.0/11.0/28.0)</t>
  </si>
  <si>
    <t>R-401C</t>
  </si>
  <si>
    <t>(33.0/15.0/52.0)</t>
  </si>
  <si>
    <t>HFC-125/HC-290/HCFC-22</t>
  </si>
  <si>
    <t>(60.0/2.0/38.0)</t>
  </si>
  <si>
    <t>R-402B</t>
  </si>
  <si>
    <t>(38.0/2.0/60.0)</t>
  </si>
  <si>
    <t>R-403A</t>
  </si>
  <si>
    <t>HC-290/HCFC-22/PFC-218</t>
  </si>
  <si>
    <t>(5.0/75.0/20.0)</t>
  </si>
  <si>
    <t>R-403B</t>
  </si>
  <si>
    <t>(5.0/56.0/39.0)</t>
  </si>
  <si>
    <t>R-404A</t>
  </si>
  <si>
    <t>HFC-125/HFC-143a/HFC-134a</t>
  </si>
  <si>
    <t>(44.0/52.0/4.0)</t>
  </si>
  <si>
    <t>R-405A</t>
  </si>
  <si>
    <t>HCFC-22/ HFC-152a/HCFC-142b/PFC-318</t>
  </si>
  <si>
    <t>(45.0/7.0/5.5/42.5)</t>
  </si>
  <si>
    <t>R-406A</t>
  </si>
  <si>
    <t>HCFC-22/HC-600a/HCFC-142b</t>
  </si>
  <si>
    <t>(55.0/14.0/41.0)</t>
  </si>
  <si>
    <t>R-407A</t>
  </si>
  <si>
    <t>HFC-32/HFC-125/HFC-134a</t>
  </si>
  <si>
    <t>(20.0/40.0/40.0)</t>
  </si>
  <si>
    <t>R-407B</t>
  </si>
  <si>
    <t>(10.0/70.0/20.0)</t>
  </si>
  <si>
    <t>R-407C</t>
  </si>
  <si>
    <t>(23.0/25.0/52.0)</t>
  </si>
  <si>
    <t>R-407D</t>
  </si>
  <si>
    <t>(15.0/15.0/70.0)</t>
  </si>
  <si>
    <t>R-407E</t>
  </si>
  <si>
    <t>(25.0/15.0/60.0)</t>
  </si>
  <si>
    <t>R-408A</t>
  </si>
  <si>
    <t>HFC-125/HFC-143a/HCFC-22</t>
  </si>
  <si>
    <t>(7.0/46.0/47.0)</t>
  </si>
  <si>
    <t>R-409A</t>
  </si>
  <si>
    <t>HCFC-22/HCFC-124/HCFC-142b</t>
  </si>
  <si>
    <t>(60.0/25.0/15.0)</t>
  </si>
  <si>
    <t>R-409B</t>
  </si>
  <si>
    <t>(65.0/25.0/10.0)</t>
  </si>
  <si>
    <t>R-410A</t>
  </si>
  <si>
    <t>HFC-32/HFC-125</t>
  </si>
  <si>
    <t>(50.0/50.0)</t>
  </si>
  <si>
    <t>R-410B</t>
  </si>
  <si>
    <t>(45.0/55.0)</t>
  </si>
  <si>
    <t>R-411A</t>
  </si>
  <si>
    <t>HC-1270/HCFC-22/HFC-152a</t>
  </si>
  <si>
    <t>(1.5/87.5/11.0)</t>
  </si>
  <si>
    <t>R-411B</t>
  </si>
  <si>
    <t>(3.0/94.0/3.0)</t>
  </si>
  <si>
    <t>R-411C</t>
  </si>
  <si>
    <t>(3.0/95.5/1.5)</t>
  </si>
  <si>
    <t>R-412A</t>
  </si>
  <si>
    <t>HCFC-22/PFC-218/HCFC-142b</t>
  </si>
  <si>
    <t>(70.0/5.0/25.0)</t>
  </si>
  <si>
    <t>R-413A</t>
  </si>
  <si>
    <t>PFC-218/HFC-134a/HC-600a</t>
  </si>
  <si>
    <t>(9.0/88.0/3.0)</t>
  </si>
  <si>
    <t>R-414A</t>
  </si>
  <si>
    <t>HCFC-22/HCFC-124/HC-600a/HCFC-142b</t>
  </si>
  <si>
    <t>(51.0/28.5/4.0/16.5)</t>
  </si>
  <si>
    <t>R-414B</t>
  </si>
  <si>
    <t>(50.0/39.0/1.5/9.5)</t>
  </si>
  <si>
    <t>R-415A</t>
  </si>
  <si>
    <t>HCFC-22/HFC-152a</t>
  </si>
  <si>
    <t>(82.0/18.0)</t>
  </si>
  <si>
    <t>R-415B</t>
  </si>
  <si>
    <t>(25.0/75.0)</t>
  </si>
  <si>
    <t>R-416A</t>
  </si>
  <si>
    <t>HFC-134a/HCFC-124/HC-600</t>
  </si>
  <si>
    <t>(59.0/39.5/1.5)</t>
  </si>
  <si>
    <t>R-417A</t>
  </si>
  <si>
    <t>HFC-125/HFC-134a/HC-600</t>
  </si>
  <si>
    <t>(46.6/50.0/3.4)</t>
  </si>
  <si>
    <t>R-418A</t>
  </si>
  <si>
    <t>HC-290/HCFC-22/HFC-152a</t>
  </si>
  <si>
    <t>(1.5/96.0/2.5)</t>
  </si>
  <si>
    <t>R-419A</t>
  </si>
  <si>
    <t>HFC-125/HFC-134a/HE-E170</t>
  </si>
  <si>
    <t>(77.0/19.0/4.0)</t>
  </si>
  <si>
    <t>R-420A</t>
  </si>
  <si>
    <t>HFC-134a/HCFC-142b</t>
  </si>
  <si>
    <t>(88.0/12.0)</t>
  </si>
  <si>
    <t>R-421A</t>
  </si>
  <si>
    <t>HFC-125/HFC-134a</t>
  </si>
  <si>
    <t>(58.0/42.0)</t>
  </si>
  <si>
    <t>R-422A</t>
  </si>
  <si>
    <t>HFC-125/HFC-134a/HC-600a</t>
  </si>
  <si>
    <t>(85.1/11.5/3.4)</t>
  </si>
  <si>
    <t>(55.0/42.0/3.0)</t>
  </si>
  <si>
    <t>R-422C</t>
  </si>
  <si>
    <t>(82.0/15.0/3.0)</t>
  </si>
  <si>
    <t>R-500</t>
  </si>
  <si>
    <t>CFC-12/HFC-152a</t>
  </si>
  <si>
    <t>(73.8/26.2)</t>
  </si>
  <si>
    <t>R-501</t>
  </si>
  <si>
    <t>HCFC-22/CFC-12</t>
  </si>
  <si>
    <t>(75.0/25.0)</t>
  </si>
  <si>
    <t>R-502</t>
  </si>
  <si>
    <t>HCFC-22/CFC-115</t>
  </si>
  <si>
    <t>(48.8/51.2)</t>
  </si>
  <si>
    <t>R-503</t>
  </si>
  <si>
    <t>HFC-23/CFC-13</t>
  </si>
  <si>
    <t>(40.1/59.9)</t>
  </si>
  <si>
    <t>HFC-32/CFC-115</t>
  </si>
  <si>
    <t>(48.2/51.8)</t>
  </si>
  <si>
    <t>R-505</t>
  </si>
  <si>
    <t>CFC-12/HCFC-31</t>
  </si>
  <si>
    <t>(78.0/22.0)</t>
  </si>
  <si>
    <t>R-506</t>
  </si>
  <si>
    <t>CFC-31/CFC-114</t>
  </si>
  <si>
    <t>(55.1/44.9)</t>
  </si>
  <si>
    <t>R-507A</t>
  </si>
  <si>
    <t>HFC-125/HFC-143a</t>
  </si>
  <si>
    <t>R-508A</t>
  </si>
  <si>
    <t>HFC-23/PFC-116</t>
  </si>
  <si>
    <t>(39.0/61.0)</t>
  </si>
  <si>
    <t>R-508B</t>
  </si>
  <si>
    <t>(46.0/54.0)</t>
  </si>
  <si>
    <t>R-509A</t>
  </si>
  <si>
    <t>HCFC-22/PFC-218</t>
  </si>
  <si>
    <t>(44.0/56.0)</t>
  </si>
  <si>
    <t>Indicative leakage rates for common refrigeration and air - conditioning equipment</t>
  </si>
  <si>
    <t>Australian National Greenhouse Accounts Factors 2025 - Table 10</t>
  </si>
  <si>
    <t>Domestic A/C portable</t>
  </si>
  <si>
    <t>Domestic A/C packaged</t>
  </si>
  <si>
    <t>Heavy vehicle A/C</t>
  </si>
  <si>
    <t>Australian states and territories</t>
  </si>
  <si>
    <t>New South Wales</t>
  </si>
  <si>
    <t>NSW</t>
  </si>
  <si>
    <t>Australian Capital Territory</t>
  </si>
  <si>
    <t>ACT</t>
  </si>
  <si>
    <t>Victoria</t>
  </si>
  <si>
    <t>VIC</t>
  </si>
  <si>
    <t>Queensland</t>
  </si>
  <si>
    <t>QLD</t>
  </si>
  <si>
    <t>South Australia</t>
  </si>
  <si>
    <t>SA</t>
  </si>
  <si>
    <t>Western Australia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</si>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</sst>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
    <numFmt numFmtId="165" formatCode="#,##0.000"/>
    <numFmt numFmtId="166" formatCode="d/mm/yyyy;@"/>
    <numFmt numFmtId="167" formatCode="[$-C09]dd\-mmmm\-yyyy;@"/>
    <numFmt numFmtId="168" formatCode="#,##0.000000"/>
    <numFmt numFmtId="169" formatCode="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b/>
      <sz val="10"/>
      <color theme="1" tint="0.34998626667073579"/>
      <name val="Times New Roman"/>
      <family val="1"/>
    </font>
    <font>
      <i/>
      <sz val="16"/>
      <color theme="1" tint="0.34998626667073579"/>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3"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5"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0"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8" fillId="4" borderId="0">
      <alignment horizontal="left" vertical="center"/>
    </xf>
    <xf numFmtId="0" fontId="39" fillId="4" borderId="0">
      <alignment horizontal="left" vertical="center"/>
    </xf>
    <xf numFmtId="0" fontId="41" fillId="4" borderId="0">
      <alignment horizontal="left" vertical="center"/>
    </xf>
    <xf numFmtId="0" fontId="37" fillId="11" borderId="0">
      <alignment horizontal="center" vertical="center"/>
    </xf>
    <xf numFmtId="0" fontId="20" fillId="11" borderId="0">
      <alignment horizontal="left" vertical="center" indent="1"/>
    </xf>
    <xf numFmtId="0" fontId="43" fillId="14" borderId="2">
      <alignment horizontal="center" vertical="center"/>
    </xf>
    <xf numFmtId="0" fontId="42"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81">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3"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24" fillId="4" borderId="1" xfId="0" applyFont="1" applyFill="1" applyBorder="1"/>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5" fillId="2" borderId="0" xfId="9">
      <alignment horizontal="center" vertical="center"/>
    </xf>
    <xf numFmtId="0" fontId="26" fillId="4" borderId="2" xfId="52">
      <alignment horizontal="center" vertical="center"/>
    </xf>
    <xf numFmtId="0" fontId="6" fillId="4" borderId="0" xfId="53">
      <alignment horizontal="left" vertical="center"/>
    </xf>
    <xf numFmtId="0" fontId="32" fillId="4" borderId="0" xfId="54">
      <alignment horizontal="left" vertical="center"/>
    </xf>
    <xf numFmtId="0" fontId="34" fillId="0" borderId="0" xfId="33" applyFont="1">
      <alignment horizontal="left" vertical="center" indent="1"/>
    </xf>
    <xf numFmtId="0" fontId="10" fillId="0" borderId="0" xfId="32"/>
    <xf numFmtId="0" fontId="35" fillId="13" borderId="9" xfId="39" applyBorder="1">
      <alignment horizontal="left" vertical="center"/>
    </xf>
    <xf numFmtId="0" fontId="35" fillId="13" borderId="11" xfId="39" applyBorder="1">
      <alignment horizontal="left" vertical="center"/>
    </xf>
    <xf numFmtId="0" fontId="35" fillId="13" borderId="12" xfId="39" applyBorder="1">
      <alignment horizontal="left" vertical="center"/>
    </xf>
    <xf numFmtId="0" fontId="35" fillId="13" borderId="13" xfId="39" applyBorder="1">
      <alignment horizontal="left" vertical="center"/>
    </xf>
    <xf numFmtId="0" fontId="39" fillId="4" borderId="0" xfId="58">
      <alignment horizontal="left" vertical="center"/>
    </xf>
    <xf numFmtId="0" fontId="38" fillId="4" borderId="0" xfId="57">
      <alignment horizontal="left" vertical="center"/>
    </xf>
    <xf numFmtId="0" fontId="6" fillId="4" borderId="1" xfId="53" applyBorder="1">
      <alignment horizontal="left" vertical="center"/>
    </xf>
    <xf numFmtId="0" fontId="41" fillId="4" borderId="0" xfId="59">
      <alignment horizontal="left" vertical="center"/>
    </xf>
    <xf numFmtId="2" fontId="24" fillId="4" borderId="1" xfId="0" applyNumberFormat="1" applyFont="1" applyFill="1" applyBorder="1" applyAlignment="1">
      <alignment horizontal="center"/>
    </xf>
    <xf numFmtId="0" fontId="37" fillId="11" borderId="0" xfId="60">
      <alignment horizontal="center" vertical="center"/>
    </xf>
    <xf numFmtId="0" fontId="31" fillId="4" borderId="0" xfId="8" applyAlignment="1">
      <alignment horizontal="center" vertical="center"/>
    </xf>
    <xf numFmtId="0" fontId="35"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12" fillId="6" borderId="0" xfId="29">
      <alignment horizontal="center" vertical="center"/>
      <protection locked="0"/>
    </xf>
    <xf numFmtId="0" fontId="42" fillId="15" borderId="2" xfId="63">
      <alignment horizontal="center" vertical="center"/>
    </xf>
    <xf numFmtId="0" fontId="43"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45" fillId="4" borderId="2" xfId="64">
      <alignment horizontal="left" vertical="center"/>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6" fillId="13" borderId="10" xfId="39" applyFont="1" applyBorder="1">
      <alignment horizontal="left" vertical="center"/>
    </xf>
    <xf numFmtId="0" fontId="20" fillId="8" borderId="0" xfId="37">
      <alignment horizontal="left" vertical="center" indent="1"/>
    </xf>
    <xf numFmtId="0" fontId="20" fillId="10" borderId="0" xfId="35">
      <alignment horizontal="left" vertical="center" indent="1"/>
    </xf>
    <xf numFmtId="0" fontId="35" fillId="13" borderId="14" xfId="39" applyBorder="1">
      <alignment horizontal="left" vertical="center"/>
    </xf>
    <xf numFmtId="0" fontId="35" fillId="13" borderId="15" xfId="39" applyBorder="1">
      <alignment horizontal="left" vertical="center"/>
    </xf>
    <xf numFmtId="0" fontId="35" fillId="13" borderId="16" xfId="39" applyBorder="1">
      <alignment horizontal="left" vertical="center"/>
    </xf>
    <xf numFmtId="0" fontId="2" fillId="0" borderId="2" xfId="56">
      <alignment horizontal="center" vertical="center"/>
    </xf>
    <xf numFmtId="0" fontId="9" fillId="4" borderId="0" xfId="55" applyFill="1"/>
    <xf numFmtId="0" fontId="0" fillId="0" borderId="0" xfId="55" applyFont="1" applyAlignment="1">
      <alignment vertical="center"/>
    </xf>
    <xf numFmtId="0" fontId="0" fillId="0" borderId="0" xfId="55" applyFont="1"/>
    <xf numFmtId="0" fontId="31" fillId="4" borderId="1" xfId="8" applyBorder="1">
      <alignment horizontal="left" vertical="center"/>
    </xf>
    <xf numFmtId="0" fontId="9" fillId="4" borderId="1" xfId="55" applyFill="1" applyBorder="1"/>
    <xf numFmtId="0" fontId="35" fillId="4" borderId="7" xfId="39" applyFill="1">
      <alignment horizontal="left" vertical="center"/>
    </xf>
    <xf numFmtId="0" fontId="48" fillId="4" borderId="2" xfId="52" applyFont="1">
      <alignment horizontal="center" vertical="center"/>
    </xf>
    <xf numFmtId="0" fontId="50" fillId="4" borderId="1" xfId="8" applyFont="1" applyBorder="1">
      <alignment horizontal="left" vertical="center"/>
    </xf>
    <xf numFmtId="0" fontId="52" fillId="4" borderId="1" xfId="8" applyFont="1" applyBorder="1">
      <alignment horizontal="left" vertical="center"/>
    </xf>
    <xf numFmtId="0" fontId="49" fillId="4" borderId="1" xfId="53" applyFont="1" applyBorder="1">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0">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9"/>
      <tableStyleElement type="headerRow" dxfId="58"/>
      <tableStyleElement type="totalRow" dxfId="57"/>
      <tableStyleElement type="firstColumn" dxfId="56"/>
      <tableStyleElement type="firstRowStripe" dxfId="55"/>
      <tableStyleElement type="secondRowStripe" dxfId="54"/>
    </tableStyle>
    <tableStyle name="Equation table" pivot="0" count="6" xr9:uid="{B247698E-E41D-4CCD-AA0A-C14817E9DE65}">
      <tableStyleElement type="wholeTable" dxfId="53"/>
      <tableStyleElement type="headerRow" dxfId="52"/>
      <tableStyleElement type="totalRow" dxfId="51"/>
      <tableStyleElement type="firstColumn" dxfId="50"/>
      <tableStyleElement type="firstRowStripe" dxfId="49"/>
      <tableStyleElement type="secondRowStripe" dxfId="48"/>
    </tableStyle>
    <tableStyle name="Table Style 1" pivot="0" count="0" xr9:uid="{97B370DB-5463-4A31-9160-5A96BD6A559D}"/>
  </tableStyles>
  <colors>
    <mruColors>
      <color rgb="FF0C769E"/>
      <color rgb="FFFFCCCC"/>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hyperlink" Target="#'9.1.1.1-2 Refrigerant use'!D5"/></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9.1.1.1-2 </a:t>
          </a:r>
          <a:br>
            <a:rPr lang="en-AU" sz="1400" b="0">
              <a:solidFill>
                <a:srgbClr val="0C769E"/>
              </a:solidFill>
            </a:rPr>
          </a:br>
          <a:r>
            <a:rPr lang="en-AU" sz="1400" b="0">
              <a:solidFill>
                <a:srgbClr val="0C769E"/>
              </a:solidFill>
            </a:rPr>
            <a:t>Refrigerant</a:t>
          </a:r>
          <a:r>
            <a:rPr lang="en-AU" sz="1400" b="0" baseline="0">
              <a:solidFill>
                <a:srgbClr val="0C769E"/>
              </a:solidFill>
            </a:rPr>
            <a:t> use</a:t>
          </a:r>
          <a:endParaRPr lang="en-AU" sz="1400" b="0">
            <a:solidFill>
              <a:srgbClr val="0C769E"/>
            </a:solidFill>
          </a:endParaRPr>
        </a:p>
      </xdr:txBody>
    </xdr:sp>
    <xdr:clientData/>
  </xdr:oneCellAnchor>
  <xdr:twoCellAnchor>
    <xdr:from>
      <xdr:col>3</xdr:col>
      <xdr:colOff>110835</xdr:colOff>
      <xdr:row>9</xdr:row>
      <xdr:rowOff>122958</xdr:rowOff>
    </xdr:from>
    <xdr:to>
      <xdr:col>5</xdr:col>
      <xdr:colOff>403635</xdr:colOff>
      <xdr:row>12</xdr:row>
      <xdr:rowOff>100008</xdr:rowOff>
    </xdr:to>
    <xdr:sp macro="" textlink="'9.1.1.1-2 Refrigerant use'!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4851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The total emissions of refrigerant leaking during operation (not during installation or disposal)</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8</xdr:row>
      <xdr:rowOff>54909</xdr:rowOff>
    </xdr:from>
    <xdr:ext cx="2898358" cy="3803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d>
                          <m:dPr>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e>
                        </m:d>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49B0CCA-3A31-4CC1-90DA-169146DA2FC7}"/>
                </a:ext>
              </a:extLst>
            </xdr:cNvPr>
            <xdr:cNvSpPr txBox="1"/>
          </xdr:nvSpPr>
          <xdr:spPr>
            <a:xfrm>
              <a:off x="2702858" y="2161615"/>
              <a:ext cx="2898358"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𝐸_𝑅=∑10_𝑎▒(𝑐ℎ𝑎𝑟𝑔𝑒_𝑅𝑎×(𝑙𝑒𝑎𝑘𝑎𝑔𝑒 𝑟𝑎𝑡𝑒_𝑎)/100) ×10^(−3)</a:t>
              </a:r>
              <a:endParaRPr lang="en-AU" sz="1100"/>
            </a:p>
          </xdr:txBody>
        </xdr:sp>
      </mc:Fallback>
    </mc:AlternateContent>
    <xdr:clientData/>
  </xdr:oneCellAnchor>
  <xdr:oneCellAnchor>
    <xdr:from>
      <xdr:col>3</xdr:col>
      <xdr:colOff>41461</xdr:colOff>
      <xdr:row>50</xdr:row>
      <xdr:rowOff>159124</xdr:rowOff>
    </xdr:from>
    <xdr:ext cx="2279022"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m:t>
                        </m:r>
                      </m:sub>
                    </m:sSub>
                    <m:r>
                      <a:rPr lang="en-AU" sz="1100" i="1">
                        <a:latin typeface="Cambria Math" panose="02040503050406030204" pitchFamily="18" charset="0"/>
                      </a:rPr>
                      <m:t>𝑂</m:t>
                    </m:r>
                    <m:r>
                      <a:rPr lang="en-AU" sz="1100" i="1">
                        <a:latin typeface="Cambria Math" panose="02040503050406030204" pitchFamily="18" charset="0"/>
                      </a:rPr>
                      <m:t>2</m:t>
                    </m:r>
                    <m:r>
                      <a:rPr lang="en-AU" sz="1100" i="1">
                        <a:latin typeface="Cambria Math" panose="02040503050406030204" pitchFamily="18" charset="0"/>
                      </a:rPr>
                      <m:t>𝑒</m:t>
                    </m:r>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r>
                      <a:rPr lang="en-AU" sz="1100" i="1">
                        <a:latin typeface="Cambria Math" panose="02040503050406030204" pitchFamily="18" charset="0"/>
                      </a:rPr>
                      <m:t>×</m:t>
                    </m:r>
                    <m:r>
                      <a:rPr lang="en-AU" sz="1100" i="1">
                        <a:latin typeface="Cambria Math" panose="02040503050406030204" pitchFamily="18" charset="0"/>
                      </a:rPr>
                      <m:t>𝐺𝑊</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𝑅</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1B22A78A-9A1D-96D2-4782-CC8E18F31BB9}"/>
                </a:ext>
              </a:extLst>
            </xdr:cNvPr>
            <xdr:cNvSpPr txBox="1"/>
          </xdr:nvSpPr>
          <xdr:spPr>
            <a:xfrm>
              <a:off x="2719667" y="12620065"/>
              <a:ext cx="2279022"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 𝑂2𝑒=(𝐸_𝑅×10^3 )×𝐺𝑊𝑃_𝑅×10^(−3)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2F53FC-4417-4684-906D-1EAA429D66BB}" name="Table_Input_Refrigerant" displayName="Table_Input_Refrigerant" ref="D9:H14" totalsRowShown="0" headerRowCellStyle="Input table column header">
  <autoFilter ref="D9:H14" xr:uid="{522F53FC-4417-4684-906D-1EAA429D66BB}">
    <filterColumn colId="0" hiddenButton="1"/>
    <filterColumn colId="1" hiddenButton="1"/>
    <filterColumn colId="2" hiddenButton="1"/>
    <filterColumn colId="3" hiddenButton="1"/>
    <filterColumn colId="4" hiddenButton="1"/>
  </autoFilter>
  <tableColumns count="5">
    <tableColumn id="1" xr3:uid="{6746A01D-1612-49BB-8917-35F6F366E6B5}" name="Refrigeration unit name"/>
    <tableColumn id="2" xr3:uid="{B1D63EF0-427C-44C7-8981-52C505957D8D}" name="Appliance type (select)" dataCellStyle="Input select"/>
    <tableColumn id="3" xr3:uid="{7D4059A8-3C98-469C-A367-BB4FE7ACBFBE}" name="Refrigerant used (select)" dataCellStyle="Input select"/>
    <tableColumn id="4" xr3:uid="{B1F7D4BA-0515-4248-ACA9-0BB1E037D020}" name="Unit refrigerant gas capacity (kg)" dataCellStyle="Input number general"/>
    <tableColumn id="5" xr3:uid="{182DF297-F247-4D14-ADA2-B1F02A7B0864}" name="Number of units in use" dataCellStyle="Input number general"/>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C64E54-9C84-4DF0-963A-F003AFDF82BC}" name="Table_RefrigerantChemicalGWP" displayName="Table_RefrigerantChemicalGWP" ref="D8:H46" totalsRowShown="0">
  <autoFilter ref="D8:H46" xr:uid="{E1C64E54-9C84-4DF0-963A-F003AFDF82BC}">
    <filterColumn colId="0" hiddenButton="1"/>
    <filterColumn colId="1" hiddenButton="1"/>
    <filterColumn colId="2" hiddenButton="1"/>
    <filterColumn colId="3" hiddenButton="1"/>
    <filterColumn colId="4" hiddenButton="1"/>
  </autoFilter>
  <tableColumns count="5">
    <tableColumn id="1" xr3:uid="{62BDB88E-3527-479E-864F-466878FB5CB5}" name="Gas">
      <calculatedColumnFormula array="1">Common_InputFunctions.Utility_DisplayArrayInTable(Refrigerants_SourceData.Refrigerants_ChemicalGWP_Data(), Table_RefrigerantChemicalGWP[[#Headers],[Gas]], 0)</calculatedColumnFormula>
    </tableColumn>
    <tableColumn id="2" xr3:uid="{D8D63CD1-DF01-49A3-AC85-F733266FF8FC}" name="Chemical formula">
      <calculatedColumnFormula array="1">Common_InputFunctions.Utility_DisplayArrayInTable(Refrigerants_SourceData.Refrigerants_ChemicalGWP_Data(), Table_RefrigerantChemicalGWP[[#Headers],[Gas]], 0)</calculatedColumnFormula>
    </tableColumn>
    <tableColumn id="3" xr3:uid="{0AE39E77-03BA-4B47-ADF4-E2A6E6E104AC}" name="Global warming potential (AR5)">
      <calculatedColumnFormula array="1">Common_InputFunctions.Utility_DisplayArrayInTable(Refrigerants_SourceData.Refrigerants_ChemicalGWP_Data(), Table_RefrigerantChemicalGWP[[#Headers],[Gas]], 0)</calculatedColumnFormula>
    </tableColumn>
    <tableColumn id="4" xr3:uid="{67178165-2BEF-455C-9CCE-778089F09E4E}" name="Gas - FC name">
      <calculatedColumnFormula array="1">Common_InputFunctions.Utility_DisplayArrayInTable(Refrigerants_SourceData.Refrigerants_ChemicalGWP_Data(), Table_RefrigerantChemicalGWP[[#Headers],[Gas]], 0)</calculatedColumnFormula>
    </tableColumn>
    <tableColumn id="5" xr3:uid="{908FBD65-4827-409D-A484-36C9D83CED3F}" name="Aditional data source">
      <calculatedColumnFormula array="1">Common_InputFunctions.Utility_DisplayArrayInTable(Refrigerants_SourceData.Refrigerants_ChemicalGWP_Data(),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425C18-C97A-4426-BBB3-EF366039709E}" name="Table_RefrigerantBlends" displayName="Table_RefrigerantBlends" ref="D52:F102" totalsRowShown="0">
  <autoFilter ref="D52:F102" xr:uid="{18425C18-C97A-4426-BBB3-EF366039709E}">
    <filterColumn colId="0" hiddenButton="1"/>
    <filterColumn colId="1" hiddenButton="1"/>
    <filterColumn colId="2" hiddenButton="1"/>
  </autoFilter>
  <tableColumns count="3">
    <tableColumn id="1" xr3:uid="{429F488B-CBBB-44C3-9090-A828E54D1599}" name="Blend">
      <calculatedColumnFormula array="1">Common_InputFunctions.Utility_DisplayArrayInTable(Refrigerants_SourceData.Refrigerants_ChemicalBlends_Data(), Table_RefrigerantBlends[[#Headers],[Blend]], 0)</calculatedColumnFormula>
    </tableColumn>
    <tableColumn id="2" xr3:uid="{CA69A4C4-12F9-46BC-85E7-8B615E52A4AC}" name="Constituents">
      <calculatedColumnFormula array="1">Common_InputFunctions.Utility_DisplayArrayInTable(Refrigerants_SourceData.Refrigerants_ChemicalBlends_Data(), Table_RefrigerantBlends[[#Headers],[Blend]], 0)</calculatedColumnFormula>
    </tableColumn>
    <tableColumn id="3" xr3:uid="{6963BC25-0EFC-4A8A-8B34-3E20B66DBF70}" name="Composition (%)">
      <calculatedColumnFormula array="1">Common_InputFunctions.Utility_DisplayArrayInTable(Refrigerants_SourceData.Refrigerants_ChemicalBlends_Data(),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81EECF-2AA9-4F39-8881-1C4A3A770595}" name="Table_RefrigerantBlends_Cleaned" displayName="Table_RefrigerantBlends_Cleaned" ref="D109:Q161" totalsRowShown="0">
  <autoFilter ref="D109:Q161" xr:uid="{4B81EECF-2AA9-4F39-8881-1C4A3A77059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FDA6927-34AA-4D8B-8D4A-9DC7E3B40163}" name="Blend">
      <calculatedColumnFormula>D53</calculatedColumnFormula>
    </tableColumn>
    <tableColumn id="2" xr3:uid="{65A7B9C0-00D2-46A0-943C-B2C99DFEF2B7}" name="Constituent 1">
      <calculatedColumnFormula array="1">IFERROR(INDEX(TRANSPOSE(InputFunctions_Utilities.Utility_SplitStringIntoArray($Q53, "/")), 1), "")</calculatedColumnFormula>
    </tableColumn>
    <tableColumn id="3" xr3:uid="{A931BA68-0170-43A0-A3E8-29249EB960F2}" name="Constituent 2">
      <calculatedColumnFormula array="1">IFERROR(INDEX(TRANSPOSE(InputFunctions_Utilities.Utility_SplitStringIntoArray($Q53, "/")), 2), "")</calculatedColumnFormula>
    </tableColumn>
    <tableColumn id="4" xr3:uid="{7A9F3AE1-87A4-4A01-9E6B-CB9F47E15C21}" name="Constituent 3">
      <calculatedColumnFormula array="1">IFERROR(INDEX(TRANSPOSE(InputFunctions_Utilities.Utility_SplitStringIntoArray($Q53, "/")), 3), "")</calculatedColumnFormula>
    </tableColumn>
    <tableColumn id="5" xr3:uid="{A3032C3A-81A7-4174-B583-04C6DCFC6757}" name="Constituent 4">
      <calculatedColumnFormula array="1">IFERROR(INDEX(TRANSPOSE(InputFunctions_Utilities.Utility_SplitStringIntoArray($Q53, "/")), 4), "")</calculatedColumnFormula>
    </tableColumn>
    <tableColumn id="6" xr3:uid="{46A3C022-9AC8-4B0D-B58A-5C9EEA318F6C}" name="Constituent 1 fraction"/>
    <tableColumn id="7" xr3:uid="{EAB72211-F9D7-417D-B623-AEBAA9148550}" name="Constituent 2 fraction"/>
    <tableColumn id="8" xr3:uid="{8B1B0E22-1C60-4228-9330-E64FC3EE0C74}" name="Constituent 3 fraction"/>
    <tableColumn id="9" xr3:uid="{775A3347-24EF-4D44-8982-179D3FE9A37D}" name="Constituent 4 fraction"/>
    <tableColumn id="10" xr3:uid="{C725453B-6BBB-4499-96BD-CFF2FC1E2EBA}" name="Constituent 1 GWP">
      <calculatedColumnFormula array="1">IFERROR(Table_RefrigerantBlends_Cleaned[[#This Row],[Constituent 1 fraction]]*Common_InputFunctions.Utility_LookupValueInTableNumber(Table_RefrigerantBlends_Cleaned[[#This Row],[Constituent 1]], Table_RefrigerantChemicalGWP[Gas - FC name], Table_RefrigerantChemicalGWP[Global warming potential (AR5)]),"")</calculatedColumnFormula>
    </tableColumn>
    <tableColumn id="11" xr3:uid="{89F89010-2000-4060-A642-2E886DBD3F75}" name="Constituent 2 GWP"/>
    <tableColumn id="12" xr3:uid="{FD568896-2AC0-4F6D-8246-12A3FC672388}" name="Constituent 3 GWP"/>
    <tableColumn id="13" xr3:uid="{CA40B9B1-FAB0-49FA-A641-3A11045EA1C8}" name="Constituent 4 GWP"/>
    <tableColumn id="14" xr3:uid="{7AD87404-6129-41AD-89ED-4654E9148F3D}" name="Blend GWP">
      <calculatedColumnFormula>SUM(Table_RefrigerantBlends_Cleaned[[#This Row],[Constituent 1 GWP]],Table_RefrigerantBlends_Cleaned[[#This Row],[Constituent 2 GWP]],Table_RefrigerantBlends_Cleaned[[#This Row],[Constituent 3 GWP]],Table_RefrigerantBlends_Cleaned[[#This Row],[Constituent 4 GWP]])</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340411-0B16-4A11-B31A-8128F73C9D92}" name="Table_Refrigerants_LeakageRates" displayName="Table_Refrigerants_LeakageRates" ref="D167:E174" totalsRowShown="0">
  <autoFilter ref="D167:E174" xr:uid="{4B340411-0B16-4A11-B31A-8128F73C9D92}">
    <filterColumn colId="0" hiddenButton="1"/>
    <filterColumn colId="1" hiddenButton="1"/>
  </autoFilter>
  <tableColumns count="2">
    <tableColumn id="1" xr3:uid="{04ACE1EE-94B4-4983-B905-9C7EB5BF69CB}" name="Product">
      <calculatedColumnFormula array="1">Common_InputFunctions.Utility_DisplayArrayInTable(Refrigerants_SourceData.Refrigerants_LeakageRates_Data(), Table_Refrigerants_LeakageRates[[#Headers],[Product]], 0)</calculatedColumnFormula>
    </tableColumn>
    <tableColumn id="2" xr3:uid="{068B358B-F2C9-4A9B-9CE5-084E3BCF9BC4}" name="Annual leakage rate (%)">
      <calculatedColumnFormula array="1">Common_InputFunctions.Utility_DisplayArrayInTable(Refrigerants_SourceData.Refrigerants_LeakageRates_Data(),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9B225CC-22FF-489B-944A-4F2BEE1F864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ACCCA86-D47A-49E6-B57D-A4B7CE23D744}" name="State/Territory">
      <calculatedColumnFormula array="1">Common_InputFunctions.Utility_DisplayArrayInTable(Common_SourceData.Common_SourceData_AustralianStatesTerritories_Data(),Table_AustralianStates[[#Headers],[State/Territory]],0)</calculatedColumnFormula>
    </tableColumn>
    <tableColumn id="2" xr3:uid="{B27BEAA4-A451-46EC-B597-B9703A1B45A7}" name="Common Name">
      <calculatedColumnFormula array="1">Common_InputFunctions.Utility_DisplayArrayInTable(Common_SourceData.Common_SourceData_AustralianStatesTerritories_Data(),Table_AustralianStates[[#Headers],[State/Territory]],0)</calculatedColumnFormula>
    </tableColumn>
    <tableColumn id="3" xr3:uid="{9FC59DF2-1592-4CD6-AF02-761876063B4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A034682-B3AF-4777-98F1-9BE6449F5298}" name="Table_WASA4Areas" displayName="Table_WASA4Areas" ref="D20:D30" totalsRowShown="0">
  <autoFilter ref="D20:D30" xr:uid="{5FA81339-C6C8-4D36-BEEA-6C4AEDD9E676}">
    <filterColumn colId="0" hiddenButton="1"/>
  </autoFilter>
  <tableColumns count="1">
    <tableColumn id="1" xr3:uid="{6DBBCDA6-30C0-4638-8E70-258F978DAC2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91615C9-B0E8-48DF-83C0-32D82AC8F59D}" name="Table_GWPData" displayName="Table_GWPData" ref="D36:E43" totalsRowShown="0">
  <autoFilter ref="D36:E43" xr:uid="{B8E87A66-3E41-4AD3-925D-01EE21B43D7A}">
    <filterColumn colId="0" hiddenButton="1"/>
    <filterColumn colId="1" hiddenButton="1"/>
  </autoFilter>
  <tableColumns count="2">
    <tableColumn id="1" xr3:uid="{56F20BC2-56F5-427B-8FF1-7EF09C514D4E}" name="Gas">
      <calculatedColumnFormula array="1">Common_InputFunctions.Utility_DisplayArrayInTable(Common_SourceData.Common_SourceData_GWP_Data(), Table_GWPData[[#Headers],[Gas]], 0)</calculatedColumnFormula>
    </tableColumn>
    <tableColumn id="2" xr3:uid="{C03A9D3C-DC7B-4F14-83E7-72FA50D1D978}"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AF2589-D67C-4A7B-8DF4-E3C3EA7870C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494CD3D-C587-4121-ACC7-41E23F5D8191}" name="Gas">
      <calculatedColumnFormula array="1">Common_InputFunctions.Utility_DisplayArrayInTable(Common_SourceData.Common_SourceData_ConvertGasElementalToMolecular_Data(),Table_GasToMolecularConversionFactor[[#Headers],[Gas]], 0)</calculatedColumnFormula>
    </tableColumn>
    <tableColumn id="5" xr3:uid="{259B97AB-2FE6-4FFB-A603-AD4E4F868E5E}" name="Conversion factor">
      <calculatedColumnFormula array="1">Common_InputFunctions.Utility_DisplayArrayInTable(Common_SourceData.Common_SourceData_ConvertGasElementalToMolecular_Data(),Table_GasToMolecularConversionFactor[[#Headers],[Gas]], 0)</calculatedColumnFormula>
    </tableColumn>
    <tableColumn id="2" xr3:uid="{20CFD2D3-87F3-4A7E-8D15-1F86461643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76ABA1C2-D154-4611-93A1-492948E1A4E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61BB90F-07C1-464B-861B-4976CFBE2EE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3E8EA07-16D0-4744-9285-B13305AFD09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8187F8-0042-4C0E-A158-2B1DDD89C55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EAA8886F-E011-45A8-B808-0BEFAC3A35DF}"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AA7B88F7-095C-4E16-9CF8-A98235D82885}"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0ECBB133-8208-4BC5-87AC-C9A17199BA63}"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3D9AC821-75C8-4D27-BCEF-C2056472F642}"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D643E4EB-D004-46BD-9D3C-B84163D0D6FB}"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12A07609-F08E-4413-B6D3-C87FDF66E215}"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F102AF9F-9FEA-40DD-AF28-041C1461D83E}"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90A51AC4-8B22-4441-A14C-E02D0326E5F8}"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3FD86231-C6F8-4A32-80AD-5D4060FD1B31}"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73D202BF-BFCE-42FA-9D0F-2DA13C4481FC}"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F3AAFA92-EA40-43BB-8481-31088FE8F2A5}"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EFBF1273-7CCE-435E-9C54-D0FC021C2D12}"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35C9987E-D507-47A4-9DE5-D9177126FF2D}"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F27CE1D5-2216-4EDB-B3ED-8A6CCE6C7142}"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520A4B37-7DA2-48BF-AF37-03D14FA097BC}"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AD80A4-98CA-4A77-AF91-D13C800FBEDB}"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EF58733-2135-49D9-856E-9C4907356A0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7659FA5-BEFD-4223-A8BA-0F0B54D3C77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EF9EAB-A496-4FA6-9FF3-9C2DA7DF988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92CCA7F-354D-4462-A5CC-B470737A3175}" name="Temperature Zone">
      <calculatedColumnFormula array="1">Common_InputFunctions.Utility_DisplayArrayInTable(Common_SourceData.Common_SourceData_TemperatureZones_Data(),Table_SourceData_TemperatureZones[[#Headers],[Temperature Zone]],0)</calculatedColumnFormula>
    </tableColumn>
    <tableColumn id="2" xr3:uid="{9417D96B-90BA-4033-B9C6-FDA813678B4C}" name="MAT">
      <calculatedColumnFormula array="1">Common_InputFunctions.Utility_DisplayArrayInTable(Common_SourceData.Common_SourceData_TemperatureZones_Data(),Table_SourceData_TemperatureZones[[#Headers],[Temperature Zone]],0)</calculatedColumnFormula>
    </tableColumn>
    <tableColumn id="3" xr3:uid="{F61EA434-BCC2-42F2-8919-8D2C0B407D0C}" name="Min MAT">
      <calculatedColumnFormula array="1">Common_InputFunctions.Utility_DisplayArrayInTable(Common_SourceData.Common_SourceData_TemperatureZones_Data(),Table_SourceData_TemperatureZones[[#Headers],[Temperature Zone]],0)</calculatedColumnFormula>
    </tableColumn>
    <tableColumn id="4" xr3:uid="{ECBB14F8-F7FB-45E5-B482-8ACA32BD90F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F1750BE-922B-48E8-ADA4-66091A5A0FE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F8142C1-4652-4EFB-ACD0-F33E4ADF1A95}" name="Rainfall Zone">
      <calculatedColumnFormula array="1">Common_InputFunctions.Utility_DisplayArrayInTable(Common_SourceData.Common_SourceData_RainfallZones_Data(),Table_SourceData_RainfallZones[[#Headers],[Rainfall Zone]],0)</calculatedColumnFormula>
    </tableColumn>
    <tableColumn id="2" xr3:uid="{C4EAC22C-2A06-49E0-913C-77E92F7B10F6}" name="Annual rainfall">
      <calculatedColumnFormula array="1">Common_InputFunctions.Utility_DisplayArrayInTable(Common_SourceData.Common_SourceData_RainfallZones_Data(),Table_SourceData_RainfallZones[[#Headers],[Rainfall Zone]],0)</calculatedColumnFormula>
    </tableColumn>
    <tableColumn id="3" xr3:uid="{433AECB9-327A-4C6E-8EE9-E1448F5E2DBE}" name="Min rainfall">
      <calculatedColumnFormula array="1">Common_InputFunctions.Utility_DisplayArrayInTable(Common_SourceData.Common_SourceData_RainfallZones_Data(),Table_SourceData_RainfallZones[[#Headers],[Rainfall Zone]],0)</calculatedColumnFormula>
    </tableColumn>
    <tableColumn id="4" xr3:uid="{2AA94844-B51B-405E-B9AD-53CEE3499D0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6BD446-2F05-45FD-83F3-42F2F34B5B9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FBF0D07-67BB-436A-9984-469656A28704}" name="Leaching Zone">
      <calculatedColumnFormula array="1">Common_InputFunctions.Utility_DisplayArrayInTable(Common_SourceData.Common_SourceData_LeachingZones_Data(), Table_SourceData_LeachingZones[[#Headers],[Leaching Zone]], 0)</calculatedColumnFormula>
    </tableColumn>
    <tableColumn id="2" xr3:uid="{EC0DCA32-396C-478E-90F8-04A7BED9BB1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90FA27C-33C1-4662-9AFF-006C08A4211E}"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71770D4-9368-4676-B714-C7475FF89B62}" name="Data source">
      <calculatedColumnFormula array="1">Common_InputFunctions.Utility_DisplayArrayInTable(Common_SourceData.Common_SourceData_DataScores_Scope3_Data(), Table_SourceData_DataScores_Scope3[[#Headers],[Data source]], 0)</calculatedColumnFormula>
    </tableColumn>
    <tableColumn id="2" xr3:uid="{0C157665-6F13-4351-A6EB-9119D273426C}"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5F685E-7CFD-4B01-8F98-11C78979ED5D}" name="Table_SourceData_FracWET" displayName="Table_SourceData_FracWET" ref="D134:E136" totalsRowShown="0">
  <autoFilter ref="D134:E136" xr:uid="{308E99BE-FE1F-47A4-B2CA-97217277C4E9}">
    <filterColumn colId="0" hiddenButton="1"/>
    <filterColumn colId="1" hiddenButton="1"/>
  </autoFilter>
  <tableColumns count="2">
    <tableColumn id="1" xr3:uid="{75BEBE37-39B4-4E59-A52E-53C1E93F718F}" name="Is in leaching zone">
      <calculatedColumnFormula array="1">Common_InputFunctions.Utility_DisplayArrayInTable(Common_SourceData.Common_SourceData_FracWET_Data(),Table_SourceData_FracWET[[#Headers],[Is in leaching zone]],0)</calculatedColumnFormula>
    </tableColumn>
    <tableColumn id="2" xr3:uid="{C0D50F48-A838-46A3-8B4E-BD74578D5EA5}"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38EC5FD-5E4F-4880-BB81-BDF89DA918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FB3196B-0D9B-41E0-81A6-84DA7CAE04DD}" name="Production system j">
      <calculatedColumnFormula array="1">Common_InputFunctions.Utility_DisplayArrayInTable(Common_SourceData.Common_SourceData_EFN2O_Data(), Table_SourceData_Common_EFN2O[[#Headers],[Production system j]], 0)</calculatedColumnFormula>
    </tableColumn>
    <tableColumn id="2" xr3:uid="{209F7857-519C-48A2-BB2E-9BCB020F651D}" name="EFN2O">
      <calculatedColumnFormula array="1">Common_InputFunctions.Utility_DisplayArrayInTable(Common_SourceData.Common_SourceData_EFN2O_Data(), Table_SourceData_Common_EFN2O[[#Headers],[Production system j]], 0)</calculatedColumnFormula>
    </tableColumn>
    <tableColumn id="3" xr3:uid="{5DF0D2F4-5F2B-4DE6-ADC7-CD7463078EEE}" name="Production system only">
      <calculatedColumnFormula array="1">Common_InputFunctions.Utility_DisplayArrayInTable(Common_SourceData.Common_SourceData_EFN2O_Data(), Table_SourceData_Common_EFN2O[[#Headers],[Production system j]], 0)</calculatedColumnFormula>
    </tableColumn>
    <tableColumn id="4" xr3:uid="{EC04533A-568D-4D72-AC19-2C7248B47182}" name="Irrigation method">
      <calculatedColumnFormula array="1">Common_InputFunctions.Utility_DisplayArrayInTable(Common_SourceData.Common_SourceData_EFN2O_Data(), Table_SourceData_Common_EFN2O[[#Headers],[Production system j]], 0)</calculatedColumnFormula>
    </tableColumn>
    <tableColumn id="5" xr3:uid="{C32F65B2-1CB1-4ABE-9FC4-BE4364E12EC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9729ED1-E86C-4E41-B0BE-BE545A1501D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58EE474-821C-46B8-B9DB-A856FC27B7A9}" name="Irrigation type i">
      <calculatedColumnFormula array="1">Common_InputFunctions.Utility_DisplayArrayInTable(Common_SourceData.Common_SourceData_FracWETIrrigation_Data(), Table_SourceData_FracWETIrrigation[[#Headers],[Irrigation type i]], 0)</calculatedColumnFormula>
    </tableColumn>
    <tableColumn id="2" xr3:uid="{64C441F6-07CD-4748-BEAE-C8625EB5AEF9}"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78524F2-0357-449F-ABA2-BC0D3754A4D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9D82E06-BBC8-48FF-87E0-4E5D302CD3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6B8B8187-2CE6-4828-B655-AC0E679BD856}"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7C71CAF-1371-452F-BE5F-BBFF68E929C1}"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B86F89E-F0C6-4E23-84FA-724586BBF2C0}" name="Month">
      <calculatedColumnFormula array="1">Common_InputFunctions.Utility_DisplayArrayInTable(Common_SourceData.Common_SourceData_MonthsToSeasons_Data(), Table_SourceData_Common_MonthToSeason[[#Headers],[Month]], 0)</calculatedColumnFormula>
    </tableColumn>
    <tableColumn id="2" xr3:uid="{E19CC679-0382-4B3E-B2BA-CA84BD9BEC57}"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E8C17E0-8327-49FB-920D-57E9236C3AC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82435-2C2B-4691-B43F-3A454A86AD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9F6E82C4-3071-42FC-93D6-968F926A0031}"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27891F1-2A40-4958-9F1E-6BEBC12FF7C4}"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662A798-B4DE-4CC1-A843-7A6191D9632B}"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5030C8-492D-4496-BF8E-7FA67C7FE1EA}"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0002A82C-EACF-411E-A58B-682D7665BB39}"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BF9F484-91EC-450F-8028-73876D34E694}"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A5C68A4-F5AA-4764-A03E-2279AB444523}"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23BF989-3B2E-4BA3-8E54-20C4BE277CFE}"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DAAE1D4-960B-4197-A78A-30E617DF6E41}"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34450AE7-D05C-4631-8EE5-4679D80792CD}"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C9DF90B-C67E-43D8-8207-6500A71BC3F4}"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89E1FE1C-A229-4E74-BA5A-27BCE54D61F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B2DF86-A0C2-49AA-921F-AD97795AEDAB}"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2429A0-44D3-4681-BFA0-84CC3419FDAC}"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F208E44-6053-4431-AA07-E648AB1553AE}"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D5D4212-3420-44AD-9282-E9DBF49BF3A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7068885-8281-4700-BCD0-1F0F37B151C2}"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4BCC72ED-670B-4B3C-AECD-20306DA91098}"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6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2.xml"/><Relationship Id="rId13" Type="http://schemas.openxmlformats.org/officeDocument/2006/relationships/table" Target="../tables/table17.xml"/><Relationship Id="rId18" Type="http://schemas.openxmlformats.org/officeDocument/2006/relationships/table" Target="../tables/table2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 Type="http://schemas.openxmlformats.org/officeDocument/2006/relationships/table" Target="../tables/table6.xml"/><Relationship Id="rId16" Type="http://schemas.openxmlformats.org/officeDocument/2006/relationships/table" Target="../tables/table20.xml"/><Relationship Id="rId1" Type="http://schemas.openxmlformats.org/officeDocument/2006/relationships/printerSettings" Target="../printerSettings/printerSettings3.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5" Type="http://schemas.openxmlformats.org/officeDocument/2006/relationships/table" Target="../tables/table1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60" t="s">
        <v>148</v>
      </c>
      <c r="D1" s="61"/>
      <c r="E1" s="61"/>
      <c r="F1" s="61"/>
      <c r="G1" s="61"/>
      <c r="H1" s="61"/>
      <c r="I1" s="61"/>
      <c r="J1" s="61"/>
      <c r="K1" s="61"/>
      <c r="L1" s="61"/>
      <c r="M1" s="61"/>
      <c r="N1" s="61"/>
      <c r="O1" s="61"/>
      <c r="P1" s="61"/>
    </row>
    <row r="2" spans="1:17" ht="20.100000000000001" customHeight="1" x14ac:dyDescent="0.25">
      <c r="A2" s="8"/>
      <c r="C2" s="61"/>
      <c r="D2" s="61"/>
      <c r="E2" s="61"/>
      <c r="F2" s="61"/>
      <c r="G2" s="61"/>
      <c r="H2" s="61"/>
      <c r="I2" s="61"/>
      <c r="J2" s="61"/>
      <c r="K2" s="61"/>
      <c r="L2" s="61"/>
      <c r="M2" s="61"/>
      <c r="N2" s="61"/>
      <c r="O2" s="61"/>
      <c r="P2" s="61"/>
      <c r="Q2" s="62"/>
    </row>
    <row r="3" spans="1:17" ht="20.100000000000001" customHeight="1" x14ac:dyDescent="0.25">
      <c r="A3" s="13" t="str">
        <f>HYPERLINK("#'Home'!A1", "Home")</f>
        <v>Home</v>
      </c>
      <c r="C3" s="63"/>
      <c r="D3" s="63"/>
      <c r="E3" s="63"/>
      <c r="F3" s="63"/>
      <c r="G3" s="63"/>
      <c r="H3" s="63"/>
      <c r="I3" s="63"/>
      <c r="J3" s="63"/>
      <c r="K3" s="63"/>
      <c r="L3" s="63"/>
      <c r="M3" s="63"/>
      <c r="N3" s="63"/>
      <c r="O3" s="63"/>
      <c r="P3" s="63"/>
    </row>
    <row r="4" spans="1:17" ht="20.100000000000001" customHeight="1" x14ac:dyDescent="0.25">
      <c r="A4" s="47" t="str">
        <f>HYPERLINK("#'Overview'!A1", "Overview")</f>
        <v>Overview</v>
      </c>
    </row>
    <row r="5" spans="1:17" ht="20.100000000000001" customHeight="1" x14ac:dyDescent="0.25">
      <c r="A5" s="13" t="str">
        <f>HYPERLINK("#'Results'!A1", "Results")</f>
        <v>Results</v>
      </c>
      <c r="D5" s="45" t="s">
        <v>83</v>
      </c>
      <c r="E5" s="37"/>
      <c r="F5" s="37"/>
      <c r="G5" s="37"/>
      <c r="H5" s="37"/>
      <c r="I5" s="37"/>
      <c r="J5" s="37"/>
      <c r="K5" s="37"/>
      <c r="L5" s="37"/>
      <c r="M5" s="37"/>
      <c r="N5" s="37"/>
      <c r="O5" s="34"/>
    </row>
    <row r="6" spans="1:17" ht="20.100000000000001" customHeight="1" x14ac:dyDescent="0.25">
      <c r="A6" s="12"/>
      <c r="D6" s="64"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Refrigerants'!A1", "Refrigerants")</f>
        <v>Refrigerants</v>
      </c>
    </row>
    <row r="9" spans="1:17" ht="20.100000000000001" customHeight="1" x14ac:dyDescent="0.25">
      <c r="A9" s="13"/>
    </row>
    <row r="10" spans="1:17" ht="20.100000000000001" customHeight="1" x14ac:dyDescent="0.25">
      <c r="A10" s="15" t="s">
        <v>44</v>
      </c>
    </row>
    <row r="11" spans="1:17" ht="20.100000000000001" customHeight="1" x14ac:dyDescent="0.25">
      <c r="A11" s="13" t="str">
        <f>HYPERLINK("#'9.1.1.1-2 Refrigerant use'!A1", "9.1.1.1-2 Refrigerant use")</f>
        <v>9.1.1.1-2 Refrigerant use</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Refrigerants'!A1", "Constants - Refrigerants")</f>
        <v>Constants - Refrigerants</v>
      </c>
      <c r="O14" s="1" t="s">
        <v>86</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21" sqref="E21"/>
    </sheetView>
  </sheetViews>
  <sheetFormatPr defaultRowHeight="15" x14ac:dyDescent="0.25"/>
  <cols>
    <col min="1" max="1" width="30.7109375" customWidth="1"/>
    <col min="2" max="3" width="2.7109375" customWidth="1"/>
    <col min="4" max="4" width="62.42578125" customWidth="1"/>
    <col min="5" max="10" width="30.7109375" customWidth="1"/>
    <col min="11" max="11" width="7.42578125" customWidth="1"/>
    <col min="12" max="26" width="28.7109375" customWidth="1"/>
  </cols>
  <sheetData>
    <row r="1" spans="1:11" ht="30" customHeight="1" x14ac:dyDescent="0.35">
      <c r="A1" s="33" t="e" vm="1">
        <v>#VALUE!</v>
      </c>
      <c r="C1" s="60" t="s">
        <v>149</v>
      </c>
    </row>
    <row r="2" spans="1:11" ht="20.100000000000001" customHeight="1" x14ac:dyDescent="0.25">
      <c r="A2" s="8"/>
      <c r="C2" s="8"/>
    </row>
    <row r="3" spans="1:11" ht="20.100000000000001" customHeight="1" x14ac:dyDescent="0.25">
      <c r="A3" s="13" t="str">
        <f>HYPERLINK("#'Home'!A1", "Home")</f>
        <v>Home</v>
      </c>
      <c r="C3" s="17"/>
      <c r="D3" s="17"/>
      <c r="E3" s="17"/>
      <c r="F3" s="17"/>
      <c r="G3" s="17"/>
      <c r="H3" s="17"/>
      <c r="I3" s="17"/>
      <c r="J3" s="17"/>
      <c r="K3" s="17"/>
    </row>
    <row r="4" spans="1:11" ht="20.100000000000001" customHeight="1" x14ac:dyDescent="0.25">
      <c r="A4" s="13" t="str">
        <f>HYPERLINK("#'Overview'!A1", "Overview")</f>
        <v>Overview</v>
      </c>
      <c r="C4" s="17"/>
      <c r="D4" s="5" t="s">
        <v>3</v>
      </c>
      <c r="E4" s="18"/>
      <c r="F4" s="18"/>
      <c r="G4" s="18"/>
      <c r="H4" s="18"/>
      <c r="I4" s="18"/>
      <c r="J4" s="18"/>
      <c r="K4" s="19"/>
    </row>
    <row r="5" spans="1:11" ht="20.100000000000001" customHeight="1" x14ac:dyDescent="0.3">
      <c r="A5" s="47" t="str">
        <f>HYPERLINK("#'Results'!A1", "Results")</f>
        <v>Results</v>
      </c>
      <c r="C5" s="17"/>
      <c r="D5" s="20"/>
      <c r="E5" s="21"/>
      <c r="F5" s="21"/>
      <c r="G5" s="21"/>
      <c r="H5" s="21"/>
      <c r="I5" s="21"/>
      <c r="J5" s="21"/>
      <c r="K5" s="17"/>
    </row>
    <row r="6" spans="1:11" ht="20.100000000000001" customHeight="1" x14ac:dyDescent="0.25">
      <c r="A6" s="12"/>
      <c r="C6" s="17"/>
      <c r="D6" s="67" t="s">
        <v>80</v>
      </c>
      <c r="E6" s="69"/>
      <c r="F6" s="17"/>
      <c r="G6" s="17"/>
      <c r="H6" s="17"/>
      <c r="I6" s="17"/>
      <c r="J6" s="17"/>
      <c r="K6" s="17"/>
    </row>
    <row r="7" spans="1:11" ht="20.100000000000001" customHeight="1" x14ac:dyDescent="0.25">
      <c r="A7" s="16" t="s">
        <v>1</v>
      </c>
      <c r="C7" s="17"/>
      <c r="D7" s="17"/>
      <c r="E7" s="17"/>
      <c r="F7" s="17"/>
      <c r="G7" s="17"/>
      <c r="H7" s="17"/>
      <c r="I7" s="17"/>
      <c r="J7" s="17"/>
      <c r="K7" s="17"/>
    </row>
    <row r="8" spans="1:11" ht="20.100000000000001" customHeight="1" x14ac:dyDescent="0.25">
      <c r="A8" s="13" t="str">
        <f>HYPERLINK("#'Input - Refrigerants'!A1", "Refrigerants")</f>
        <v>Refrigerants</v>
      </c>
      <c r="C8" s="17"/>
      <c r="D8" s="43" t="s">
        <v>49</v>
      </c>
      <c r="E8" s="43" t="s">
        <v>60</v>
      </c>
      <c r="F8" s="43" t="s">
        <v>61</v>
      </c>
      <c r="G8" s="43" t="s">
        <v>55</v>
      </c>
      <c r="H8" s="43" t="s">
        <v>134</v>
      </c>
      <c r="I8" s="43" t="s">
        <v>135</v>
      </c>
      <c r="J8" s="43"/>
      <c r="K8" s="17"/>
    </row>
    <row r="9" spans="1:11" ht="20.100000000000001" customHeight="1" x14ac:dyDescent="0.25">
      <c r="A9" s="13"/>
      <c r="C9" s="17"/>
      <c r="D9" s="1" t="s">
        <v>150</v>
      </c>
      <c r="E9" s="59">
        <f>'9.1.1.1-2 Refrigerant use'!E36</f>
        <v>8.5000000000000006E-4</v>
      </c>
      <c r="F9" s="59">
        <f>E9</f>
        <v>8.5000000000000006E-4</v>
      </c>
      <c r="G9" s="30" t="str">
        <f>IF(ISBLANK('9.1.1.1-2 Refrigerant use'!D36), "", "t " &amp; '9.1.1.1-2 Refrigerant use'!D36)</f>
        <v>t R-402A</v>
      </c>
      <c r="H9" s="59">
        <f>'9.1.1.1-2 Refrigerant use'!G62</f>
        <v>1.1860424000000003</v>
      </c>
      <c r="I9" s="59">
        <f>H9</f>
        <v>1.1860424000000003</v>
      </c>
      <c r="J9" s="30" t="str">
        <f>IF(ISBLANK('9.1.1.1-2 Refrigerant use'!D36), "", "t CO2e")</f>
        <v>t CO2e</v>
      </c>
      <c r="K9" s="17"/>
    </row>
    <row r="10" spans="1:11" ht="20.100000000000001" customHeight="1" x14ac:dyDescent="0.25">
      <c r="A10" s="15" t="s">
        <v>44</v>
      </c>
      <c r="C10" s="17"/>
      <c r="D10" s="1"/>
      <c r="E10" s="59">
        <f>'9.1.1.1-2 Refrigerant use'!E37</f>
        <v>1.7500000000000003E-3</v>
      </c>
      <c r="F10" s="59">
        <f t="shared" ref="F10:F18" si="0">E10</f>
        <v>1.7500000000000003E-3</v>
      </c>
      <c r="G10" s="30" t="str">
        <f>IF(ISBLANK('9.1.1.1-2 Refrigerant use'!D37), "", "t " &amp; '9.1.1.1-2 Refrigerant use'!D37)</f>
        <v>t R-422B</v>
      </c>
      <c r="H10" s="59">
        <f>'9.1.1.1-2 Refrigerant use'!G63</f>
        <v>2.0794287500000004</v>
      </c>
      <c r="I10" s="59">
        <f t="shared" ref="I10:I18" si="1">H10</f>
        <v>2.0794287500000004</v>
      </c>
      <c r="J10" s="30" t="str">
        <f>IF(ISBLANK('9.1.1.1-2 Refrigerant use'!D37), "", "t CO2e")</f>
        <v>t CO2e</v>
      </c>
      <c r="K10" s="17"/>
    </row>
    <row r="11" spans="1:11" ht="20.100000000000001" customHeight="1" x14ac:dyDescent="0.25">
      <c r="A11" s="13" t="str">
        <f>HYPERLINK("#'9.1.1.1-2 Refrigerant use'!A1", "9.1.1.1-2 Refrigerant use")</f>
        <v>9.1.1.1-2 Refrigerant use</v>
      </c>
      <c r="C11" s="17"/>
      <c r="D11" s="1"/>
      <c r="E11" s="59">
        <f>'9.1.1.1-2 Refrigerant use'!E38</f>
        <v>1.2210000000000002E-2</v>
      </c>
      <c r="F11" s="59">
        <f t="shared" si="0"/>
        <v>1.2210000000000002E-2</v>
      </c>
      <c r="G11" s="30" t="str">
        <f>IF(ISBLANK('9.1.1.1-2 Refrigerant use'!D38), "", "t " &amp; '9.1.1.1-2 Refrigerant use'!D38)</f>
        <v>t R-400 60/40</v>
      </c>
      <c r="H11" s="59">
        <f>'9.1.1.1-2 Refrigerant use'!G64</f>
        <v>70.007256000000027</v>
      </c>
      <c r="I11" s="59">
        <f t="shared" si="1"/>
        <v>70.007256000000027</v>
      </c>
      <c r="J11" s="30" t="str">
        <f>IF(ISBLANK('9.1.1.1-2 Refrigerant use'!D38), "", "t CO2e")</f>
        <v>t CO2e</v>
      </c>
      <c r="K11" s="17"/>
    </row>
    <row r="12" spans="1:11" ht="20.100000000000001" customHeight="1" x14ac:dyDescent="0.25">
      <c r="A12" s="13"/>
      <c r="C12" s="17"/>
      <c r="D12" s="1"/>
      <c r="E12" s="59">
        <f>'9.1.1.1-2 Refrigerant use'!E39</f>
        <v>1.5699999999999999E-2</v>
      </c>
      <c r="F12" s="59">
        <f t="shared" si="0"/>
        <v>1.5699999999999999E-2</v>
      </c>
      <c r="G12" s="30" t="str">
        <f>IF(ISBLANK('9.1.1.1-2 Refrigerant use'!D39), "", "t " &amp; '9.1.1.1-2 Refrigerant use'!D39)</f>
        <v>t R-504</v>
      </c>
      <c r="H12" s="59">
        <f>'9.1.1.1-2 Refrigerant use'!G65</f>
        <v>34.780656319599998</v>
      </c>
      <c r="I12" s="59">
        <f t="shared" si="1"/>
        <v>34.780656319599998</v>
      </c>
      <c r="J12" s="30" t="str">
        <f>IF(ISBLANK('9.1.1.1-2 Refrigerant use'!D39), "", "t CO2e")</f>
        <v>t CO2e</v>
      </c>
      <c r="K12" s="17"/>
    </row>
    <row r="13" spans="1:11" ht="20.100000000000001" customHeight="1" x14ac:dyDescent="0.25">
      <c r="A13" s="14" t="s">
        <v>2</v>
      </c>
      <c r="C13" s="17"/>
      <c r="D13" s="1"/>
      <c r="E13" s="59">
        <f>'9.1.1.1-2 Refrigerant use'!E40</f>
        <v>0</v>
      </c>
      <c r="F13" s="59">
        <f t="shared" si="0"/>
        <v>0</v>
      </c>
      <c r="G13" s="30" t="str">
        <f>IF(ISBLANK('9.1.1.1-2 Refrigerant use'!D40), "", "t " &amp; '9.1.1.1-2 Refrigerant use'!D40)</f>
        <v/>
      </c>
      <c r="H13" s="59">
        <f>'9.1.1.1-2 Refrigerant use'!G66</f>
        <v>0</v>
      </c>
      <c r="I13" s="59">
        <f t="shared" si="1"/>
        <v>0</v>
      </c>
      <c r="J13" s="30" t="str">
        <f>IF(ISBLANK('9.1.1.1-2 Refrigerant use'!D40), "", "t CO2e")</f>
        <v/>
      </c>
      <c r="K13" s="17"/>
    </row>
    <row r="14" spans="1:11" ht="20.100000000000001" customHeight="1" x14ac:dyDescent="0.25">
      <c r="A14" s="13" t="str">
        <f>HYPERLINK("#'Constants - Refrigerants'!A1", "Constants - Refrigerants")</f>
        <v>Constants - Refrigerants</v>
      </c>
      <c r="C14" s="17"/>
      <c r="D14" s="1"/>
      <c r="E14" s="59">
        <f>'9.1.1.1-2 Refrigerant use'!E41</f>
        <v>0</v>
      </c>
      <c r="F14" s="59">
        <f t="shared" si="0"/>
        <v>0</v>
      </c>
      <c r="G14" s="30" t="str">
        <f>IF(ISBLANK('9.1.1.1-2 Refrigerant use'!D41), "", "t " &amp; '9.1.1.1-2 Refrigerant use'!D41)</f>
        <v/>
      </c>
      <c r="H14" s="59">
        <f>'9.1.1.1-2 Refrigerant use'!G67</f>
        <v>0</v>
      </c>
      <c r="I14" s="59">
        <f t="shared" si="1"/>
        <v>0</v>
      </c>
      <c r="J14" s="30" t="str">
        <f>IF(ISBLANK('9.1.1.1-2 Refrigerant use'!D41), "", "t CO2e")</f>
        <v/>
      </c>
      <c r="K14" s="17"/>
    </row>
    <row r="15" spans="1:11" ht="20.100000000000001" customHeight="1" x14ac:dyDescent="0.25">
      <c r="A15" s="13" t="str">
        <f>HYPERLINK("#'Constants - Common'!A1", "Constants - Common")</f>
        <v>Constants - Common</v>
      </c>
      <c r="C15" s="17"/>
      <c r="D15" s="1"/>
      <c r="E15" s="59">
        <f>'9.1.1.1-2 Refrigerant use'!E42</f>
        <v>0</v>
      </c>
      <c r="F15" s="59">
        <f t="shared" si="0"/>
        <v>0</v>
      </c>
      <c r="G15" s="30" t="str">
        <f>IF(ISBLANK('9.1.1.1-2 Refrigerant use'!D42), "", "t " &amp; '9.1.1.1-2 Refrigerant use'!D42)</f>
        <v/>
      </c>
      <c r="H15" s="59">
        <f>'9.1.1.1-2 Refrigerant use'!G68</f>
        <v>0</v>
      </c>
      <c r="I15" s="59">
        <f t="shared" si="1"/>
        <v>0</v>
      </c>
      <c r="J15" s="30" t="str">
        <f>IF(ISBLANK('9.1.1.1-2 Refrigerant use'!D42), "", "t CO2e")</f>
        <v/>
      </c>
      <c r="K15" s="17"/>
    </row>
    <row r="16" spans="1:11" ht="20.100000000000001" customHeight="1" x14ac:dyDescent="0.25">
      <c r="C16" s="17"/>
      <c r="D16" s="1"/>
      <c r="E16" s="59">
        <f>'9.1.1.1-2 Refrigerant use'!E43</f>
        <v>0</v>
      </c>
      <c r="F16" s="59">
        <f t="shared" si="0"/>
        <v>0</v>
      </c>
      <c r="G16" s="30" t="str">
        <f>IF(ISBLANK('9.1.1.1-2 Refrigerant use'!D43), "", "t " &amp; '9.1.1.1-2 Refrigerant use'!D43)</f>
        <v/>
      </c>
      <c r="H16" s="59">
        <f>'9.1.1.1-2 Refrigerant use'!G69</f>
        <v>0</v>
      </c>
      <c r="I16" s="59">
        <f t="shared" si="1"/>
        <v>0</v>
      </c>
      <c r="J16" s="30" t="str">
        <f>IF(ISBLANK('9.1.1.1-2 Refrigerant use'!D43), "", "t CO2e")</f>
        <v/>
      </c>
      <c r="K16" s="17"/>
    </row>
    <row r="17" spans="1:11" ht="20.100000000000001" customHeight="1" x14ac:dyDescent="0.25">
      <c r="C17" s="17"/>
      <c r="D17" s="1"/>
      <c r="E17" s="59">
        <f>'9.1.1.1-2 Refrigerant use'!E44</f>
        <v>0</v>
      </c>
      <c r="F17" s="59">
        <f t="shared" si="0"/>
        <v>0</v>
      </c>
      <c r="G17" s="30" t="str">
        <f>IF(ISBLANK('9.1.1.1-2 Refrigerant use'!D44), "", "t " &amp; '9.1.1.1-2 Refrigerant use'!D44)</f>
        <v/>
      </c>
      <c r="H17" s="59">
        <f>'9.1.1.1-2 Refrigerant use'!G70</f>
        <v>0</v>
      </c>
      <c r="I17" s="59">
        <f t="shared" si="1"/>
        <v>0</v>
      </c>
      <c r="J17" s="30" t="str">
        <f>IF(ISBLANK('9.1.1.1-2 Refrigerant use'!D44), "", "t CO2e")</f>
        <v/>
      </c>
      <c r="K17" s="17"/>
    </row>
    <row r="18" spans="1:11" ht="20.100000000000001" customHeight="1" x14ac:dyDescent="0.25">
      <c r="C18" s="17"/>
      <c r="D18" s="1"/>
      <c r="E18" s="59">
        <f>'9.1.1.1-2 Refrigerant use'!E45</f>
        <v>0</v>
      </c>
      <c r="F18" s="59">
        <f t="shared" si="0"/>
        <v>0</v>
      </c>
      <c r="G18" s="30" t="str">
        <f>IF(ISBLANK('9.1.1.1-2 Refrigerant use'!D45), "", "t " &amp; '9.1.1.1-2 Refrigerant use'!D45)</f>
        <v/>
      </c>
      <c r="H18" s="59">
        <f>'9.1.1.1-2 Refrigerant use'!G71</f>
        <v>0</v>
      </c>
      <c r="I18" s="59">
        <f t="shared" si="1"/>
        <v>0</v>
      </c>
      <c r="J18" s="30" t="str">
        <f>IF(ISBLANK('9.1.1.1-2 Refrigerant use'!D45), "", "t CO2e")</f>
        <v/>
      </c>
      <c r="K18" s="17"/>
    </row>
    <row r="19" spans="1:11" ht="20.100000000000001" customHeight="1" x14ac:dyDescent="0.3">
      <c r="C19" s="17"/>
      <c r="D19" s="23" t="s">
        <v>54</v>
      </c>
      <c r="E19" s="42"/>
      <c r="F19" s="42"/>
      <c r="G19" s="42"/>
      <c r="H19" s="42">
        <f>SUM(H9:H18)</f>
        <v>108.05338346960002</v>
      </c>
      <c r="I19" s="42">
        <f>SUM(I9:I18)</f>
        <v>108.05338346960002</v>
      </c>
      <c r="J19" s="40" t="s">
        <v>58</v>
      </c>
      <c r="K19" s="17"/>
    </row>
    <row r="20" spans="1:11" ht="20.100000000000001" customHeight="1" x14ac:dyDescent="0.25">
      <c r="A20" s="13"/>
      <c r="C20" s="17"/>
      <c r="D20" s="1"/>
      <c r="E20" s="1"/>
      <c r="F20" s="1"/>
      <c r="G20" s="1"/>
      <c r="H20" s="1"/>
      <c r="I20" s="1"/>
      <c r="J20" s="1"/>
      <c r="K20" s="17"/>
    </row>
    <row r="21" spans="1:11" ht="20.100000000000001" customHeight="1" x14ac:dyDescent="0.25">
      <c r="A21" s="13"/>
      <c r="C21" s="17"/>
      <c r="D21" s="1"/>
      <c r="E21" s="44"/>
      <c r="F21" s="30"/>
      <c r="G21" s="1"/>
      <c r="H21" s="1"/>
      <c r="I21" s="1"/>
      <c r="J21" s="1"/>
      <c r="K21" s="17"/>
    </row>
    <row r="22" spans="1:11" ht="20.100000000000001" customHeight="1" x14ac:dyDescent="0.25">
      <c r="C22" s="17"/>
      <c r="D22" s="1"/>
      <c r="E22" s="44"/>
      <c r="F22" s="30"/>
      <c r="G22" s="1"/>
      <c r="H22" s="1"/>
      <c r="I22" s="1"/>
      <c r="J22" s="1"/>
      <c r="K22" s="17"/>
    </row>
    <row r="23" spans="1:11" ht="20.100000000000001" customHeight="1" x14ac:dyDescent="0.25">
      <c r="A23" s="13"/>
      <c r="C23" s="17"/>
      <c r="D23" s="1"/>
      <c r="E23" s="1"/>
      <c r="F23" s="1"/>
      <c r="G23" s="1"/>
      <c r="H23" s="1"/>
      <c r="I23" s="1"/>
      <c r="J23" s="1"/>
      <c r="K23" s="17"/>
    </row>
    <row r="24" spans="1:11" ht="20.100000000000001" customHeight="1" x14ac:dyDescent="0.25">
      <c r="C24" s="17"/>
      <c r="D24" s="1"/>
      <c r="E24" s="1"/>
      <c r="F24" s="1"/>
      <c r="G24" s="1"/>
      <c r="H24" s="1"/>
      <c r="I24" s="1"/>
      <c r="J24" s="1"/>
      <c r="K24" s="17"/>
    </row>
    <row r="25" spans="1:11" ht="20.100000000000001" customHeight="1" x14ac:dyDescent="0.25">
      <c r="C25" s="17"/>
      <c r="D25" s="1"/>
      <c r="E25" s="1"/>
      <c r="F25" s="1"/>
      <c r="G25" s="1"/>
      <c r="H25" s="1"/>
      <c r="I25" s="1"/>
      <c r="J25" s="1"/>
      <c r="K25" s="17"/>
    </row>
    <row r="26" spans="1:11" ht="20.100000000000001" customHeight="1" x14ac:dyDescent="0.25">
      <c r="C26" s="17"/>
      <c r="D26" s="1"/>
      <c r="E26" s="1"/>
      <c r="F26" s="1"/>
      <c r="G26" s="1"/>
      <c r="H26" s="1"/>
      <c r="I26" s="1"/>
      <c r="J26" s="1"/>
      <c r="K26" s="17"/>
    </row>
    <row r="27" spans="1:11" ht="20.100000000000001" customHeight="1" x14ac:dyDescent="0.25">
      <c r="C27" s="17"/>
      <c r="D27" s="1"/>
      <c r="E27" s="1"/>
      <c r="F27" s="1"/>
      <c r="G27" s="1"/>
      <c r="H27" s="1"/>
      <c r="I27" s="1"/>
      <c r="J27" s="1"/>
      <c r="K27" s="17"/>
    </row>
    <row r="28" spans="1:11" ht="20.100000000000001" customHeight="1" x14ac:dyDescent="0.25">
      <c r="C28" s="17"/>
      <c r="D28" s="1"/>
      <c r="E28" s="1"/>
      <c r="F28" s="1"/>
      <c r="G28" s="1"/>
      <c r="H28" s="1"/>
      <c r="I28" s="1"/>
      <c r="J28" s="1"/>
      <c r="K28" s="17"/>
    </row>
    <row r="29" spans="1:11" ht="20.100000000000001" customHeight="1" x14ac:dyDescent="0.25">
      <c r="C29" s="17"/>
      <c r="D29" s="1"/>
      <c r="E29" s="1"/>
      <c r="F29" s="1"/>
      <c r="G29" s="1"/>
      <c r="H29" s="1"/>
      <c r="I29" s="1"/>
      <c r="J29" s="1"/>
      <c r="K29" s="17"/>
    </row>
    <row r="30" spans="1:11" ht="20.100000000000001" customHeight="1" x14ac:dyDescent="0.25">
      <c r="C30" s="17"/>
      <c r="D30" s="1"/>
      <c r="E30" s="1"/>
      <c r="F30" s="1"/>
      <c r="G30" s="1"/>
      <c r="H30" s="1"/>
      <c r="I30" s="1"/>
      <c r="J30" s="1"/>
      <c r="K30" s="17"/>
    </row>
    <row r="31" spans="1:11" ht="20.100000000000001" customHeight="1" x14ac:dyDescent="0.25">
      <c r="C31" s="17"/>
      <c r="D31" s="1"/>
      <c r="E31" s="1"/>
      <c r="F31" s="1"/>
      <c r="G31" s="1"/>
      <c r="H31" s="1"/>
      <c r="I31" s="1"/>
      <c r="J31" s="1"/>
      <c r="K31" s="17"/>
    </row>
    <row r="32" spans="1:11" ht="20.100000000000001" customHeight="1" x14ac:dyDescent="0.25">
      <c r="C32" s="17"/>
      <c r="D32" s="1"/>
      <c r="E32" s="1"/>
      <c r="F32" s="1"/>
      <c r="G32" s="1"/>
      <c r="H32" s="1"/>
      <c r="I32" s="1"/>
      <c r="J32" s="1"/>
      <c r="K32" s="17"/>
    </row>
    <row r="33" spans="3:11" ht="20.100000000000001" customHeight="1" x14ac:dyDescent="0.25">
      <c r="C33" s="17"/>
      <c r="D33" s="1"/>
      <c r="E33" s="1"/>
      <c r="F33" s="1"/>
      <c r="G33" s="1"/>
      <c r="H33" s="1"/>
      <c r="I33" s="1"/>
      <c r="J33" s="1"/>
      <c r="K33" s="17"/>
    </row>
    <row r="34" spans="3:11" ht="20.100000000000001" customHeight="1" x14ac:dyDescent="0.25">
      <c r="C34" s="17"/>
      <c r="D34" s="1"/>
      <c r="E34" s="1"/>
      <c r="F34" s="1"/>
      <c r="G34" s="1"/>
      <c r="H34" s="1"/>
      <c r="I34" s="1"/>
      <c r="J34" s="1"/>
      <c r="K34" s="17"/>
    </row>
    <row r="35" spans="3:11" ht="20.100000000000001" customHeight="1" x14ac:dyDescent="0.25">
      <c r="C35" s="17"/>
      <c r="D35" s="1"/>
      <c r="E35" s="1"/>
      <c r="F35" s="1"/>
      <c r="G35" s="1"/>
      <c r="H35" s="1"/>
      <c r="I35" s="1"/>
      <c r="J35" s="1"/>
      <c r="K35" s="17"/>
    </row>
    <row r="36" spans="3:11" ht="20.100000000000001" customHeight="1" x14ac:dyDescent="0.25">
      <c r="C36" s="17"/>
      <c r="D36" s="1"/>
      <c r="E36" s="1"/>
      <c r="F36" s="1"/>
      <c r="G36" s="1"/>
      <c r="H36" s="1"/>
      <c r="I36" s="1"/>
      <c r="J36" s="1"/>
      <c r="K36" s="17"/>
    </row>
    <row r="37" spans="3:11" ht="20.100000000000001" customHeight="1" x14ac:dyDescent="0.25">
      <c r="C37" s="17"/>
      <c r="D37" s="1"/>
      <c r="E37" s="1"/>
      <c r="F37" s="1"/>
      <c r="G37" s="1"/>
      <c r="H37" s="1"/>
      <c r="I37" s="1"/>
      <c r="J37" s="1"/>
      <c r="K37" s="17"/>
    </row>
    <row r="38" spans="3:11" ht="20.100000000000001" customHeight="1" x14ac:dyDescent="0.25">
      <c r="C38" s="17"/>
      <c r="D38" s="1"/>
      <c r="E38" s="1"/>
      <c r="F38" s="1"/>
      <c r="G38" s="1"/>
      <c r="H38" s="1"/>
      <c r="I38" s="1"/>
      <c r="J38" s="1"/>
      <c r="K38" s="17"/>
    </row>
    <row r="39" spans="3:11" ht="20.100000000000001" customHeight="1" x14ac:dyDescent="0.25">
      <c r="C39" s="17"/>
      <c r="D39" s="1"/>
      <c r="E39" s="1"/>
      <c r="F39" s="1"/>
      <c r="G39" s="1"/>
      <c r="H39" s="1"/>
      <c r="I39" s="1"/>
      <c r="J39" s="1"/>
      <c r="K39" s="17"/>
    </row>
    <row r="40" spans="3:11" ht="20.100000000000001" customHeight="1" x14ac:dyDescent="0.25">
      <c r="C40" s="17"/>
      <c r="D40" s="1"/>
      <c r="E40" s="1"/>
      <c r="F40" s="1"/>
      <c r="G40" s="1"/>
      <c r="H40" s="1"/>
      <c r="I40" s="1"/>
      <c r="J40" s="1"/>
      <c r="K40" s="17"/>
    </row>
    <row r="41" spans="3:11" ht="20.100000000000001" customHeight="1" x14ac:dyDescent="0.25">
      <c r="C41" s="17"/>
      <c r="D41" s="1"/>
      <c r="E41" s="1"/>
      <c r="F41" s="1"/>
      <c r="G41" s="1"/>
      <c r="H41" s="1"/>
      <c r="I41" s="1"/>
      <c r="J41" s="1"/>
      <c r="K41" s="17"/>
    </row>
    <row r="42" spans="3:11" ht="20.100000000000001" customHeight="1" x14ac:dyDescent="0.25">
      <c r="C42" s="17"/>
      <c r="D42" s="1"/>
      <c r="E42" s="1"/>
      <c r="F42" s="1"/>
      <c r="G42" s="1"/>
      <c r="H42" s="1"/>
      <c r="I42" s="1"/>
      <c r="J42" s="1"/>
      <c r="K42" s="17"/>
    </row>
    <row r="43" spans="3:11" ht="20.100000000000001" customHeight="1" x14ac:dyDescent="0.25">
      <c r="C43" s="17"/>
      <c r="D43" s="1"/>
      <c r="E43" s="1"/>
      <c r="F43" s="1"/>
      <c r="G43" s="1"/>
      <c r="H43" s="1"/>
      <c r="I43" s="1"/>
      <c r="J43" s="1"/>
      <c r="K43" s="17"/>
    </row>
    <row r="44" spans="3:11" ht="20.100000000000001" customHeight="1" x14ac:dyDescent="0.25">
      <c r="C44" s="17"/>
      <c r="D44" s="1"/>
      <c r="E44" s="1"/>
      <c r="F44" s="1"/>
      <c r="G44" s="1"/>
      <c r="H44" s="1"/>
      <c r="I44" s="1"/>
      <c r="J44" s="1"/>
      <c r="K44" s="17"/>
    </row>
    <row r="45" spans="3:11" ht="20.100000000000001" customHeight="1" x14ac:dyDescent="0.25">
      <c r="C45" s="17"/>
      <c r="D45" s="1"/>
      <c r="E45" s="1"/>
      <c r="F45" s="1"/>
      <c r="G45" s="1"/>
      <c r="H45" s="1"/>
      <c r="I45" s="1"/>
      <c r="J45" s="1"/>
      <c r="K45" s="17"/>
    </row>
    <row r="46" spans="3:11" ht="20.100000000000001" customHeight="1" x14ac:dyDescent="0.25">
      <c r="C46" s="17"/>
      <c r="D46" s="1"/>
      <c r="E46" s="1"/>
      <c r="F46" s="1"/>
      <c r="G46" s="1"/>
      <c r="H46" s="1"/>
      <c r="I46" s="1"/>
      <c r="J46" s="1"/>
      <c r="K46" s="17"/>
    </row>
    <row r="47" spans="3:11" ht="20.100000000000001" customHeight="1" x14ac:dyDescent="0.25">
      <c r="C47" s="17"/>
      <c r="D47" s="1"/>
      <c r="E47" s="1"/>
      <c r="F47" s="1"/>
      <c r="G47" s="1"/>
      <c r="H47" s="1"/>
      <c r="I47" s="1"/>
      <c r="J47" s="1"/>
      <c r="K47" s="17"/>
    </row>
    <row r="48" spans="3:11" ht="20.100000000000001" customHeight="1" x14ac:dyDescent="0.25">
      <c r="C48" s="17"/>
      <c r="D48" s="1"/>
      <c r="E48" s="1"/>
      <c r="F48" s="1"/>
      <c r="G48" s="1"/>
      <c r="H48" s="1"/>
      <c r="I48" s="1"/>
      <c r="J48" s="1"/>
      <c r="K48" s="17"/>
    </row>
    <row r="49" spans="3:11" ht="20.100000000000001" customHeight="1" x14ac:dyDescent="0.25">
      <c r="C49" s="17"/>
      <c r="D49" s="1"/>
      <c r="E49" s="1"/>
      <c r="F49" s="1"/>
      <c r="G49" s="1"/>
      <c r="H49" s="1"/>
      <c r="I49" s="1"/>
      <c r="J49" s="1"/>
      <c r="K49" s="17"/>
    </row>
    <row r="50" spans="3:11" ht="20.100000000000001" customHeight="1" x14ac:dyDescent="0.25">
      <c r="C50" s="17"/>
      <c r="D50" s="1"/>
      <c r="E50" s="1"/>
      <c r="F50" s="1"/>
      <c r="G50" s="1"/>
      <c r="H50" s="1"/>
      <c r="I50" s="1"/>
      <c r="J50" s="1"/>
      <c r="K50" s="17"/>
    </row>
    <row r="51" spans="3:11" ht="20.100000000000001" customHeight="1" x14ac:dyDescent="0.25">
      <c r="C51" s="17"/>
      <c r="D51" s="1"/>
      <c r="E51" s="1"/>
      <c r="F51" s="1"/>
      <c r="G51" s="1"/>
      <c r="H51" s="1"/>
      <c r="I51" s="1"/>
      <c r="J51" s="1"/>
      <c r="K51" s="17"/>
    </row>
    <row r="52" spans="3:11" ht="20.100000000000001" customHeight="1" x14ac:dyDescent="0.25">
      <c r="C52" s="17"/>
      <c r="D52" s="1"/>
      <c r="E52" s="1"/>
      <c r="F52" s="1"/>
      <c r="G52" s="1"/>
      <c r="H52" s="1"/>
      <c r="I52" s="1"/>
      <c r="J52" s="1"/>
      <c r="K52" s="17"/>
    </row>
    <row r="53" spans="3:11" ht="20.100000000000001" customHeight="1" x14ac:dyDescent="0.25">
      <c r="C53" s="17"/>
      <c r="D53" s="1"/>
      <c r="E53" s="1"/>
      <c r="F53" s="1"/>
      <c r="G53" s="1"/>
      <c r="H53" s="1"/>
      <c r="I53" s="1"/>
      <c r="J53" s="1"/>
      <c r="K53" s="17"/>
    </row>
    <row r="54" spans="3:11" ht="20.100000000000001" customHeight="1" x14ac:dyDescent="0.25">
      <c r="C54" s="17"/>
      <c r="D54" s="1"/>
      <c r="E54" s="1"/>
      <c r="F54" s="1"/>
      <c r="G54" s="1"/>
      <c r="H54" s="1"/>
      <c r="I54" s="1"/>
      <c r="J54" s="1"/>
      <c r="K54" s="17"/>
    </row>
    <row r="55" spans="3:11" ht="20.100000000000001" customHeight="1" x14ac:dyDescent="0.25">
      <c r="C55" s="17"/>
      <c r="D55" s="1"/>
      <c r="E55" s="1"/>
      <c r="F55" s="1"/>
      <c r="G55" s="1"/>
      <c r="H55" s="1"/>
      <c r="I55" s="1"/>
      <c r="J55" s="1"/>
      <c r="K55" s="17"/>
    </row>
    <row r="56" spans="3:11" ht="20.100000000000001" customHeight="1" x14ac:dyDescent="0.25">
      <c r="C56" s="17"/>
      <c r="D56" s="1"/>
      <c r="E56" s="1"/>
      <c r="F56" s="1"/>
      <c r="G56" s="1"/>
      <c r="H56" s="1"/>
      <c r="I56" s="1"/>
      <c r="J56" s="1"/>
      <c r="K56" s="17"/>
    </row>
    <row r="57" spans="3:11" ht="20.100000000000001" customHeight="1" x14ac:dyDescent="0.25">
      <c r="C57" s="17"/>
      <c r="D57" s="1"/>
      <c r="E57" s="1"/>
      <c r="F57" s="1"/>
      <c r="G57" s="1"/>
      <c r="H57" s="1"/>
      <c r="I57" s="1"/>
      <c r="J57" s="1"/>
      <c r="K57" s="17"/>
    </row>
    <row r="58" spans="3:11" ht="20.100000000000001" customHeight="1" x14ac:dyDescent="0.25">
      <c r="C58" s="17"/>
      <c r="D58" s="1"/>
      <c r="E58" s="24"/>
      <c r="F58" s="22"/>
      <c r="G58" s="17"/>
      <c r="H58" s="17"/>
      <c r="I58" s="17"/>
      <c r="J58" s="17"/>
      <c r="K58" s="17"/>
    </row>
    <row r="59" spans="3:11" ht="20.100000000000001" customHeight="1" x14ac:dyDescent="0.25">
      <c r="C59" s="17"/>
      <c r="D59" s="1"/>
      <c r="E59" s="1"/>
      <c r="F59" s="1"/>
      <c r="G59" s="1"/>
      <c r="H59" s="1"/>
      <c r="I59" s="1"/>
      <c r="J59" s="1"/>
      <c r="K59" s="17"/>
    </row>
    <row r="60" spans="3:11" ht="20.100000000000001" customHeight="1" x14ac:dyDescent="0.25">
      <c r="C60" s="17"/>
      <c r="D60" s="1"/>
      <c r="E60" s="1"/>
      <c r="F60" s="1"/>
      <c r="G60" s="1"/>
      <c r="H60" s="1"/>
      <c r="I60" s="1"/>
      <c r="J60" s="1"/>
      <c r="K60" s="17"/>
    </row>
    <row r="61" spans="3:11" ht="20.100000000000001" customHeight="1" x14ac:dyDescent="0.25">
      <c r="C61" s="17"/>
      <c r="D61" s="1"/>
      <c r="E61" s="1"/>
      <c r="F61" s="1"/>
      <c r="G61" s="1"/>
      <c r="H61" s="1"/>
      <c r="I61" s="1"/>
      <c r="J61" s="1"/>
      <c r="K61" s="17"/>
    </row>
    <row r="62" spans="3:11" ht="20.100000000000001" customHeight="1" x14ac:dyDescent="0.25">
      <c r="C62" s="17"/>
      <c r="D62" s="1"/>
      <c r="E62" s="1"/>
      <c r="F62" s="1"/>
      <c r="G62" s="1"/>
      <c r="H62" s="1"/>
      <c r="I62" s="1"/>
      <c r="J62" s="1"/>
      <c r="K62" s="17"/>
    </row>
    <row r="63" spans="3:11" ht="20.100000000000001" customHeight="1" x14ac:dyDescent="0.25">
      <c r="C63" s="17"/>
      <c r="D63" s="1"/>
      <c r="E63" s="1"/>
      <c r="F63" s="1"/>
      <c r="G63" s="1"/>
      <c r="H63" s="1"/>
      <c r="I63" s="1"/>
      <c r="J63" s="1"/>
      <c r="K63" s="17"/>
    </row>
    <row r="64" spans="3:11" ht="20.100000000000001" customHeight="1" x14ac:dyDescent="0.25">
      <c r="C64" s="17"/>
      <c r="D64" s="1"/>
      <c r="E64" s="1"/>
      <c r="F64" s="1"/>
      <c r="G64" s="1"/>
      <c r="H64" s="1"/>
      <c r="I64" s="1"/>
      <c r="J64" s="1"/>
      <c r="K64" s="17"/>
    </row>
    <row r="65" spans="3:11" ht="20.100000000000001" customHeight="1" x14ac:dyDescent="0.25">
      <c r="C65" s="17"/>
      <c r="D65" s="1"/>
      <c r="E65" s="1"/>
      <c r="F65" s="1"/>
      <c r="G65" s="1"/>
      <c r="H65" s="1"/>
      <c r="I65" s="1"/>
      <c r="J65" s="1"/>
      <c r="K65" s="17"/>
    </row>
    <row r="66" spans="3:11" ht="20.100000000000001" customHeight="1" x14ac:dyDescent="0.25">
      <c r="C66" s="17"/>
      <c r="D66" s="1"/>
      <c r="E66" s="1"/>
      <c r="F66" s="1"/>
      <c r="G66" s="1"/>
      <c r="H66" s="1"/>
      <c r="I66" s="1"/>
      <c r="J66" s="1"/>
      <c r="K66" s="17"/>
    </row>
    <row r="67" spans="3:11" ht="20.100000000000001" customHeight="1" x14ac:dyDescent="0.25">
      <c r="C67" s="17"/>
      <c r="D67" s="1"/>
      <c r="E67" s="1"/>
      <c r="F67" s="1"/>
      <c r="G67" s="1"/>
      <c r="H67" s="1"/>
      <c r="I67" s="1"/>
      <c r="J67" s="1"/>
      <c r="K67" s="17"/>
    </row>
    <row r="68" spans="3:11" ht="20.100000000000001" customHeight="1" x14ac:dyDescent="0.25">
      <c r="C68" s="17"/>
      <c r="D68" s="1"/>
      <c r="E68" s="1"/>
      <c r="F68" s="1"/>
      <c r="G68" s="1"/>
      <c r="H68" s="1"/>
      <c r="I68" s="1"/>
      <c r="J68" s="1"/>
      <c r="K68" s="17"/>
    </row>
    <row r="69" spans="3:11" ht="20.100000000000001" customHeight="1" x14ac:dyDescent="0.25">
      <c r="C69" s="17"/>
      <c r="D69" s="1"/>
      <c r="E69" s="1"/>
      <c r="F69" s="1"/>
      <c r="G69" s="1"/>
      <c r="H69" s="1"/>
      <c r="I69" s="1"/>
      <c r="J69" s="1"/>
      <c r="K69" s="17"/>
    </row>
    <row r="70" spans="3:11" ht="20.100000000000001" customHeight="1" x14ac:dyDescent="0.25">
      <c r="C70" s="17"/>
      <c r="D70" s="1"/>
      <c r="E70" s="1"/>
      <c r="F70" s="1"/>
      <c r="G70" s="1"/>
      <c r="H70" s="1"/>
      <c r="I70" s="1"/>
      <c r="J70" s="1"/>
      <c r="K70" s="17"/>
    </row>
    <row r="71" spans="3:11" ht="20.100000000000001" customHeight="1" x14ac:dyDescent="0.25">
      <c r="C71" s="17"/>
      <c r="D71" s="1"/>
      <c r="E71" s="1"/>
      <c r="F71" s="1"/>
      <c r="G71" s="1"/>
      <c r="H71" s="1"/>
      <c r="I71" s="1"/>
      <c r="J71" s="1"/>
      <c r="K71" s="17"/>
    </row>
    <row r="72" spans="3:11" ht="20.100000000000001" customHeight="1" x14ac:dyDescent="0.25">
      <c r="C72" s="17"/>
      <c r="D72" s="1"/>
      <c r="E72" s="1"/>
      <c r="F72" s="1"/>
      <c r="G72" s="1"/>
      <c r="H72" s="1"/>
      <c r="I72" s="1"/>
      <c r="J72" s="1"/>
      <c r="K72" s="17"/>
    </row>
    <row r="73" spans="3:11" ht="20.100000000000001" customHeight="1" x14ac:dyDescent="0.25">
      <c r="C73" s="17"/>
      <c r="D73" s="1"/>
      <c r="E73" s="1"/>
      <c r="F73" s="1"/>
      <c r="G73" s="1"/>
      <c r="H73" s="1"/>
      <c r="I73" s="1"/>
      <c r="J73" s="1"/>
      <c r="K73" s="17"/>
    </row>
    <row r="74" spans="3:11" ht="20.100000000000001" customHeight="1" x14ac:dyDescent="0.25">
      <c r="C74" s="17"/>
      <c r="D74" s="1"/>
      <c r="E74" s="1"/>
      <c r="F74" s="1"/>
      <c r="G74" s="1"/>
      <c r="H74" s="1"/>
      <c r="I74" s="1"/>
      <c r="J74" s="1"/>
      <c r="K74" s="17"/>
    </row>
    <row r="75" spans="3:11" ht="20.100000000000001" customHeight="1" x14ac:dyDescent="0.25">
      <c r="C75" s="17"/>
      <c r="D75" s="1"/>
      <c r="E75" s="1"/>
      <c r="F75" s="1"/>
      <c r="G75" s="1"/>
      <c r="H75" s="1"/>
      <c r="I75" s="1"/>
      <c r="J75" s="1"/>
      <c r="K75" s="17"/>
    </row>
    <row r="76" spans="3:11" ht="15.75" x14ac:dyDescent="0.25">
      <c r="C76" s="17"/>
      <c r="D76" s="1"/>
      <c r="E76" s="1"/>
      <c r="F76" s="1"/>
      <c r="G76" s="1"/>
      <c r="H76" s="1"/>
      <c r="I76" s="1"/>
      <c r="J76" s="1"/>
      <c r="K76" s="17"/>
    </row>
    <row r="77" spans="3:11" ht="15.75" x14ac:dyDescent="0.25">
      <c r="C77" s="17"/>
      <c r="D77" s="1"/>
      <c r="E77" s="1"/>
      <c r="F77" s="1"/>
      <c r="G77" s="1"/>
      <c r="H77" s="1"/>
      <c r="I77" s="1"/>
      <c r="J77" s="1"/>
      <c r="K77" s="17"/>
    </row>
    <row r="78" spans="3:11" ht="15.75" x14ac:dyDescent="0.25">
      <c r="C78" s="17"/>
      <c r="D78" s="1"/>
      <c r="E78" s="1"/>
      <c r="F78" s="1"/>
      <c r="G78" s="1"/>
      <c r="H78" s="1"/>
      <c r="I78" s="1"/>
      <c r="J78" s="1"/>
      <c r="K78" s="17"/>
    </row>
    <row r="79" spans="3:11" ht="15.75" x14ac:dyDescent="0.25">
      <c r="C79" s="17"/>
      <c r="D79" s="1"/>
      <c r="E79" s="1"/>
      <c r="F79" s="1"/>
      <c r="G79" s="1"/>
      <c r="H79" s="1"/>
      <c r="I79" s="1"/>
      <c r="J79" s="1"/>
      <c r="K79" s="17"/>
    </row>
    <row r="80" spans="3:11" ht="15.75" x14ac:dyDescent="0.25">
      <c r="C80" s="17"/>
      <c r="D80" s="1"/>
      <c r="E80" s="1"/>
      <c r="F80" s="1"/>
      <c r="G80" s="1"/>
      <c r="H80" s="1"/>
      <c r="I80" s="1"/>
      <c r="J80" s="1"/>
      <c r="K80" s="17"/>
    </row>
    <row r="81" spans="3:11" ht="15.75" x14ac:dyDescent="0.25">
      <c r="C81" s="17"/>
      <c r="D81" s="1"/>
      <c r="E81" s="1"/>
      <c r="F81" s="1"/>
      <c r="G81" s="1"/>
      <c r="H81" s="1"/>
      <c r="I81" s="1"/>
      <c r="J81" s="1"/>
      <c r="K81" s="17"/>
    </row>
    <row r="82" spans="3:11" ht="15.75" x14ac:dyDescent="0.25">
      <c r="C82" s="17"/>
      <c r="D82" s="1"/>
      <c r="E82" s="1"/>
      <c r="F82" s="1"/>
      <c r="G82" s="1"/>
      <c r="H82" s="1"/>
      <c r="I82" s="1"/>
      <c r="J82" s="1"/>
      <c r="K82" s="17"/>
    </row>
    <row r="83" spans="3:11" ht="15.75" x14ac:dyDescent="0.25">
      <c r="C83" s="17"/>
      <c r="D83" s="1"/>
      <c r="E83" s="1"/>
      <c r="F83" s="1"/>
      <c r="G83" s="1"/>
      <c r="H83" s="1"/>
      <c r="I83" s="1"/>
      <c r="J83" s="1"/>
      <c r="K83" s="17"/>
    </row>
    <row r="84" spans="3:11" ht="15.75" x14ac:dyDescent="0.25">
      <c r="C84" s="17"/>
      <c r="D84" s="1"/>
      <c r="E84" s="1"/>
      <c r="F84" s="1"/>
      <c r="G84" s="1"/>
      <c r="H84" s="1"/>
      <c r="I84" s="1"/>
      <c r="J84" s="1"/>
      <c r="K84" s="17"/>
    </row>
    <row r="85" spans="3:11" ht="15.75" x14ac:dyDescent="0.25">
      <c r="C85" s="17"/>
      <c r="D85" s="1"/>
      <c r="E85" s="1"/>
      <c r="F85" s="1"/>
      <c r="G85" s="1"/>
      <c r="H85" s="1"/>
      <c r="I85" s="1"/>
      <c r="J85" s="1"/>
      <c r="K85" s="17"/>
    </row>
    <row r="86" spans="3:11" x14ac:dyDescent="0.25">
      <c r="C86" s="17"/>
      <c r="D86" s="17"/>
      <c r="E86" s="17"/>
      <c r="F86" s="17"/>
      <c r="G86" s="17"/>
      <c r="H86" s="17"/>
      <c r="I86" s="17"/>
      <c r="J86" s="17"/>
      <c r="K86" s="17"/>
    </row>
    <row r="87" spans="3:11" x14ac:dyDescent="0.25">
      <c r="C87" s="17"/>
      <c r="D87" s="17"/>
      <c r="E87" s="17"/>
      <c r="F87" s="17"/>
      <c r="G87" s="17"/>
      <c r="H87" s="17"/>
      <c r="I87" s="17"/>
      <c r="J87" s="17"/>
      <c r="K87"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I363"/>
  <sheetViews>
    <sheetView showGridLines="0" zoomScale="85" zoomScaleNormal="85" workbookViewId="0">
      <selection activeCell="A5" sqref="A5"/>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8" width="24.85546875" style="1" customWidth="1"/>
    <col min="9" max="9" width="4.7109375" style="1" customWidth="1"/>
    <col min="10" max="10" width="4.7109375" customWidth="1"/>
  </cols>
  <sheetData>
    <row r="1" spans="1:9" s="33" customFormat="1" ht="30" customHeight="1" x14ac:dyDescent="0.35">
      <c r="A1" s="33" t="e" vm="1">
        <v>#VALUE!</v>
      </c>
      <c r="C1" s="33" t="s">
        <v>151</v>
      </c>
    </row>
    <row r="2" spans="1:9" s="8" customFormat="1" ht="20.100000000000001" customHeight="1" x14ac:dyDescent="0.25"/>
    <row r="3" spans="1:9" ht="20.100000000000001" customHeight="1" x14ac:dyDescent="0.25">
      <c r="A3" s="13" t="str">
        <f>HYPERLINK("#'Home'!A1", "Home")</f>
        <v>Home</v>
      </c>
      <c r="C3" s="11"/>
      <c r="D3" s="11"/>
      <c r="E3" s="11"/>
      <c r="F3" s="11"/>
      <c r="G3" s="11"/>
      <c r="H3" s="11"/>
      <c r="I3" s="11"/>
    </row>
    <row r="4" spans="1:9" ht="20.100000000000001" customHeight="1" x14ac:dyDescent="0.25">
      <c r="A4" s="13" t="str">
        <f>HYPERLINK("#'Overview'!A1", "Overview")</f>
        <v>Overview</v>
      </c>
    </row>
    <row r="5" spans="1:9" ht="20.100000000000001" customHeight="1" x14ac:dyDescent="0.25">
      <c r="A5" s="13" t="str">
        <f>HYPERLINK("#'Results'!A1", "Results")</f>
        <v>Results</v>
      </c>
      <c r="D5" s="5" t="s">
        <v>87</v>
      </c>
    </row>
    <row r="6" spans="1:9" ht="20.100000000000001" customHeight="1" x14ac:dyDescent="0.25">
      <c r="A6" s="12"/>
      <c r="D6" s="17"/>
      <c r="E6" s="17"/>
      <c r="F6" s="17"/>
      <c r="G6" s="17"/>
      <c r="H6" s="17"/>
    </row>
    <row r="7" spans="1:9" ht="20.100000000000001" customHeight="1" x14ac:dyDescent="0.25">
      <c r="A7" s="16" t="s">
        <v>1</v>
      </c>
      <c r="D7" s="67" t="s">
        <v>85</v>
      </c>
      <c r="E7" s="68"/>
      <c r="F7" s="68"/>
      <c r="G7" s="69"/>
      <c r="H7" s="2"/>
    </row>
    <row r="8" spans="1:9" ht="20.100000000000001" customHeight="1" x14ac:dyDescent="0.25">
      <c r="A8" s="46" t="str">
        <f>HYPERLINK("#'Input - Refrigerants'!A1", "Refrigerants")</f>
        <v>Refrigerants</v>
      </c>
      <c r="E8" s="2"/>
      <c r="F8" s="2"/>
      <c r="G8" s="2"/>
      <c r="H8" s="2"/>
    </row>
    <row r="9" spans="1:9" ht="20.100000000000001" customHeight="1" x14ac:dyDescent="0.25">
      <c r="A9" s="13"/>
      <c r="D9" s="48" t="s">
        <v>88</v>
      </c>
      <c r="E9" s="48" t="s">
        <v>89</v>
      </c>
      <c r="F9" s="48" t="s">
        <v>90</v>
      </c>
      <c r="G9" s="48" t="s">
        <v>91</v>
      </c>
      <c r="H9" s="48" t="s">
        <v>92</v>
      </c>
    </row>
    <row r="10" spans="1:9" ht="20.100000000000001" customHeight="1" x14ac:dyDescent="0.25">
      <c r="A10" s="15" t="s">
        <v>44</v>
      </c>
      <c r="D10" t="s">
        <v>93</v>
      </c>
      <c r="E10" s="27" t="s">
        <v>94</v>
      </c>
      <c r="F10" s="27" t="s">
        <v>95</v>
      </c>
      <c r="G10" s="70">
        <v>10</v>
      </c>
      <c r="H10" s="70">
        <v>5</v>
      </c>
    </row>
    <row r="11" spans="1:9" ht="20.100000000000001" customHeight="1" x14ac:dyDescent="0.25">
      <c r="A11" s="13" t="str">
        <f>HYPERLINK("#'9.1.1.1-2 Refrigerant use'!A1", "9.1.1.1-2 Refrigerant use")</f>
        <v>9.1.1.1-2 Refrigerant use</v>
      </c>
      <c r="D11" t="s">
        <v>144</v>
      </c>
      <c r="E11" s="27" t="s">
        <v>131</v>
      </c>
      <c r="F11" s="27" t="s">
        <v>96</v>
      </c>
      <c r="G11" s="70">
        <v>10</v>
      </c>
      <c r="H11" s="70">
        <v>5</v>
      </c>
    </row>
    <row r="12" spans="1:9" ht="20.100000000000001" customHeight="1" x14ac:dyDescent="0.25">
      <c r="A12" s="13"/>
      <c r="D12" t="s">
        <v>97</v>
      </c>
      <c r="E12" s="27" t="s">
        <v>98</v>
      </c>
      <c r="F12" s="27" t="s">
        <v>99</v>
      </c>
      <c r="G12" s="70">
        <v>10</v>
      </c>
      <c r="H12" s="70">
        <v>13</v>
      </c>
    </row>
    <row r="13" spans="1:9" ht="20.100000000000001" customHeight="1" x14ac:dyDescent="0.25">
      <c r="A13" s="14" t="s">
        <v>2</v>
      </c>
      <c r="D13" t="s">
        <v>145</v>
      </c>
      <c r="E13" s="27" t="s">
        <v>131</v>
      </c>
      <c r="F13" s="27" t="s">
        <v>99</v>
      </c>
      <c r="G13" s="70">
        <v>10</v>
      </c>
      <c r="H13" s="70">
        <v>10</v>
      </c>
    </row>
    <row r="14" spans="1:9" ht="20.100000000000001" customHeight="1" x14ac:dyDescent="0.25">
      <c r="A14" s="13" t="str">
        <f>HYPERLINK("#'Constants - Refrigerants'!A1", "Constants - Refrigerants")</f>
        <v>Constants - Refrigerants</v>
      </c>
      <c r="D14" t="s">
        <v>146</v>
      </c>
      <c r="E14" s="27" t="s">
        <v>136</v>
      </c>
      <c r="F14" s="27" t="s">
        <v>147</v>
      </c>
      <c r="G14" s="70">
        <v>10</v>
      </c>
      <c r="H14" s="70">
        <v>10</v>
      </c>
    </row>
    <row r="15" spans="1:9" ht="20.100000000000001" customHeight="1" x14ac:dyDescent="0.25">
      <c r="A15" s="13" t="str">
        <f>HYPERLINK("#'Constants - Common'!A1", "Constants - Common")</f>
        <v>Constants - Common</v>
      </c>
    </row>
    <row r="16" spans="1:9"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c r="A20" s="13"/>
    </row>
    <row r="21" spans="1:1" ht="20.100000000000001" customHeight="1" x14ac:dyDescent="0.25">
      <c r="A21" s="13"/>
    </row>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c r="A29" s="13"/>
    </row>
    <row r="30" spans="1:1" ht="20.100000000000001" customHeight="1" x14ac:dyDescent="0.25">
      <c r="A30" s="13"/>
    </row>
    <row r="31" spans="1:1" ht="20.100000000000001" customHeight="1" x14ac:dyDescent="0.25">
      <c r="A31" s="32"/>
    </row>
    <row r="32" spans="1:1" ht="20.100000000000001" customHeight="1" x14ac:dyDescent="0.25">
      <c r="A32" s="32"/>
    </row>
    <row r="33" spans="1:9" ht="20.100000000000001" customHeight="1" x14ac:dyDescent="0.25">
      <c r="A33" s="13"/>
    </row>
    <row r="34" spans="1:9" ht="20.100000000000001" customHeight="1" x14ac:dyDescent="0.25"/>
    <row r="35" spans="1:9" ht="20.100000000000001" customHeight="1" x14ac:dyDescent="0.25"/>
    <row r="36" spans="1:9" ht="20.100000000000001" customHeight="1" x14ac:dyDescent="0.25"/>
    <row r="37" spans="1:9" ht="20.100000000000001" customHeight="1" x14ac:dyDescent="0.25"/>
    <row r="38" spans="1:9" ht="20.100000000000001" customHeight="1" x14ac:dyDescent="0.25">
      <c r="C38" s="51"/>
      <c r="I38" s="51"/>
    </row>
    <row r="39" spans="1:9" ht="20.100000000000001" customHeight="1" x14ac:dyDescent="0.25">
      <c r="A39" s="13"/>
      <c r="C39" s="51"/>
      <c r="I39" s="51"/>
    </row>
    <row r="40" spans="1:9" s="52" customFormat="1" ht="20.100000000000001" customHeight="1" x14ac:dyDescent="0.25">
      <c r="C40" s="1"/>
      <c r="D40" s="1"/>
      <c r="E40" s="1"/>
      <c r="F40" s="1"/>
      <c r="G40" s="1"/>
      <c r="H40" s="1"/>
      <c r="I40" s="1"/>
    </row>
    <row r="41" spans="1:9" s="52" customFormat="1" ht="20.100000000000001" customHeight="1" x14ac:dyDescent="0.25">
      <c r="A41" s="53"/>
      <c r="C41" s="1"/>
      <c r="D41" s="1"/>
      <c r="E41" s="1"/>
      <c r="F41" s="1"/>
      <c r="G41" s="1"/>
      <c r="H41" s="1"/>
      <c r="I41" s="1"/>
    </row>
    <row r="42" spans="1:9" ht="20.100000000000001" customHeight="1" x14ac:dyDescent="0.25"/>
    <row r="43" spans="1:9" ht="20.100000000000001" customHeight="1" x14ac:dyDescent="0.25"/>
    <row r="44" spans="1:9" ht="20.100000000000001" customHeight="1" x14ac:dyDescent="0.25">
      <c r="A44" s="58"/>
    </row>
    <row r="45" spans="1:9" ht="20.100000000000001" customHeight="1" x14ac:dyDescent="0.25"/>
    <row r="46" spans="1:9" ht="20.100000000000001" customHeight="1" x14ac:dyDescent="0.25"/>
    <row r="47" spans="1:9" ht="20.100000000000001" customHeight="1" x14ac:dyDescent="0.25"/>
    <row r="48" spans="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3" spans="4:4" x14ac:dyDescent="0.25">
      <c r="D363" s="41"/>
    </row>
  </sheetData>
  <conditionalFormatting sqref="F49">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H45:H47 E212:G212">
    <cfRule type="cellIs" dxfId="0" priority="79" operator="lessThan">
      <formula>0</formula>
    </cfRule>
  </conditionalFormatting>
  <dataValidations count="8">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E67" xr:uid="{DBA884B0-B52E-420E-8FD2-21B082EB75E2}">
      <formula1>INDIRECT("Table_SourceData_Swine_IrrigationMethods[Irrigation method]")</formula1>
    </dataValidation>
    <dataValidation type="list" allowBlank="1" showInputMessage="1" showErrorMessage="1" sqref="E66" xr:uid="{B95E29DC-96D0-4475-A29E-3F3A3B60CEA1}">
      <formula1>INDIRECT("Table_SourceData_Swine_CropProdSystems[Production system]")</formula1>
    </dataValidation>
    <dataValidation type="list" allowBlank="1" showInputMessage="1" showErrorMessage="1" sqref="D46:D47" xr:uid="{23F8C720-A764-46DD-9B01-B7EA3D86E5AB}">
      <formula1>INDIRECT("Table_SourceData_OrganicFertiliserTypes[Organic fertiliser type]")</formula1>
    </dataValidation>
    <dataValidation type="list" allowBlank="1" showInputMessage="1" showErrorMessage="1" sqref="F10:F14" xr:uid="{23277720-0332-4416-A6AF-2DA9CB20A246}">
      <formula1>INDIRECT("Table_RefrigerantBlends_Cleaned[Blend]")</formula1>
    </dataValidation>
    <dataValidation type="list" allowBlank="1" showInputMessage="1" showErrorMessage="1" sqref="E10:E14" xr:uid="{101D112D-006B-4A7F-919E-39E781ABCEE3}">
      <formula1>INDIRECT("Table_Refrigerants_LeakageRates[Product]")</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M342"/>
  <sheetViews>
    <sheetView showGridLines="0" zoomScale="85" zoomScaleNormal="85" workbookViewId="0">
      <selection activeCell="A4" sqref="A4"/>
    </sheetView>
  </sheetViews>
  <sheetFormatPr defaultRowHeight="15.75" x14ac:dyDescent="0.25"/>
  <cols>
    <col min="1" max="1" width="30.7109375" customWidth="1"/>
    <col min="2" max="2" width="4.7109375" customWidth="1"/>
    <col min="3" max="3" width="4.7109375" style="1" customWidth="1"/>
    <col min="4" max="4" width="46.28515625" style="1" customWidth="1"/>
    <col min="5" max="12" width="30.7109375" style="1" customWidth="1"/>
    <col min="13" max="13" width="4.7109375" style="1" customWidth="1"/>
  </cols>
  <sheetData>
    <row r="1" spans="1:13" s="7" customFormat="1" ht="30" customHeight="1" x14ac:dyDescent="0.35">
      <c r="A1" s="33" t="e" vm="1">
        <v>#VALUE!</v>
      </c>
      <c r="C1" s="7" t="s">
        <v>124</v>
      </c>
    </row>
    <row r="2" spans="1:13" s="8" customFormat="1" ht="20.100000000000001" customHeight="1" x14ac:dyDescent="0.25"/>
    <row r="3" spans="1:13" ht="20.100000000000001" customHeight="1" x14ac:dyDescent="0.25">
      <c r="A3" s="13" t="str">
        <f>HYPERLINK("#'Home'!A1", "Home")</f>
        <v>Home</v>
      </c>
      <c r="C3" s="3"/>
      <c r="D3" s="3" t="s">
        <v>48</v>
      </c>
      <c r="E3" s="3"/>
      <c r="F3" s="3"/>
      <c r="G3" s="3"/>
      <c r="H3" s="3"/>
      <c r="I3" s="3"/>
      <c r="J3" s="3"/>
      <c r="K3" s="3"/>
      <c r="L3" s="3"/>
      <c r="M3" s="3"/>
    </row>
    <row r="4" spans="1:13" ht="20.100000000000001" customHeight="1" x14ac:dyDescent="0.25">
      <c r="A4" s="13" t="str">
        <f>HYPERLINK("#'Overview'!A1", "Overview")</f>
        <v>Overview</v>
      </c>
    </row>
    <row r="5" spans="1:13" ht="20.100000000000001" customHeight="1" x14ac:dyDescent="0.25">
      <c r="A5" s="13" t="str">
        <f>HYPERLINK("#'Results'!A1", "Results")</f>
        <v>Results</v>
      </c>
      <c r="D5" s="5" t="s">
        <v>152</v>
      </c>
    </row>
    <row r="6" spans="1:13" ht="20.100000000000001" customHeight="1" x14ac:dyDescent="0.25">
      <c r="A6" s="12"/>
      <c r="D6" s="4" t="s">
        <v>153</v>
      </c>
      <c r="E6" s="71"/>
      <c r="F6" s="71"/>
      <c r="G6" s="71"/>
      <c r="H6" s="71"/>
      <c r="I6" s="71"/>
      <c r="J6" s="71"/>
      <c r="K6" s="71"/>
      <c r="L6" s="71"/>
    </row>
    <row r="7" spans="1:13" ht="20.100000000000001" customHeight="1" x14ac:dyDescent="0.25">
      <c r="A7" s="16" t="s">
        <v>1</v>
      </c>
      <c r="D7" s="31" t="s">
        <v>154</v>
      </c>
      <c r="F7" s="71"/>
      <c r="G7" s="71"/>
      <c r="H7" s="71"/>
      <c r="I7" s="71"/>
      <c r="J7" s="71"/>
      <c r="K7" s="71"/>
      <c r="L7" s="71"/>
    </row>
    <row r="8" spans="1:13" ht="20.100000000000001" customHeight="1" x14ac:dyDescent="0.25">
      <c r="A8" s="13" t="str">
        <f>HYPERLINK("#'Input - Refrigerants'!A1", "Refrigerants")</f>
        <v>Refrigerants</v>
      </c>
      <c r="D8" s="10"/>
      <c r="E8" s="10"/>
      <c r="F8" s="71"/>
      <c r="G8" s="71"/>
      <c r="H8" s="71"/>
      <c r="I8" s="71"/>
      <c r="J8" s="71"/>
      <c r="K8" s="71"/>
      <c r="L8" s="71"/>
    </row>
    <row r="9" spans="1:13" ht="20.100000000000001" customHeight="1" x14ac:dyDescent="0.25">
      <c r="A9" s="13"/>
      <c r="G9" s="71"/>
      <c r="H9" s="71"/>
      <c r="I9" s="71"/>
      <c r="J9" s="71"/>
      <c r="K9" s="71"/>
      <c r="L9" s="71"/>
    </row>
    <row r="10" spans="1:13" ht="20.100000000000001" customHeight="1" x14ac:dyDescent="0.25">
      <c r="A10" s="15" t="s">
        <v>44</v>
      </c>
      <c r="G10" s="71"/>
      <c r="H10" s="71"/>
      <c r="I10" s="71"/>
      <c r="J10" s="71"/>
      <c r="K10" s="71"/>
      <c r="L10" s="71"/>
    </row>
    <row r="11" spans="1:13" ht="20.100000000000001" customHeight="1" x14ac:dyDescent="0.25">
      <c r="A11" s="65" t="str">
        <f>HYPERLINK("#'9.1.1.1-2 Refrigerant use'!A1", "9.1.1.1-2 Refrigerant use")</f>
        <v>9.1.1.1-2 Refrigerant use</v>
      </c>
      <c r="D11" s="2" t="s">
        <v>12</v>
      </c>
      <c r="E11" s="1" t="s">
        <v>155</v>
      </c>
      <c r="G11" s="71"/>
      <c r="H11" s="71"/>
      <c r="I11" s="71"/>
      <c r="J11" s="71"/>
      <c r="K11" s="71"/>
      <c r="L11" s="71"/>
    </row>
    <row r="12" spans="1:13" ht="20.100000000000001" customHeight="1" x14ac:dyDescent="0.25">
      <c r="A12" s="13"/>
      <c r="D12" s="2" t="s">
        <v>5</v>
      </c>
      <c r="E12" s="30" t="s">
        <v>156</v>
      </c>
      <c r="F12" s="71"/>
      <c r="G12" s="71"/>
      <c r="H12" s="71"/>
      <c r="I12" s="71"/>
      <c r="J12" s="71"/>
      <c r="K12" s="71"/>
      <c r="L12" s="71"/>
    </row>
    <row r="13" spans="1:13" ht="20.100000000000001" customHeight="1" x14ac:dyDescent="0.25">
      <c r="A13" s="14" t="s">
        <v>2</v>
      </c>
      <c r="D13" s="71"/>
      <c r="E13" s="71"/>
      <c r="F13" s="71"/>
      <c r="G13" s="71"/>
      <c r="H13" s="71"/>
      <c r="I13" s="71"/>
      <c r="J13" s="71"/>
      <c r="K13" s="71"/>
      <c r="L13" s="71"/>
    </row>
    <row r="14" spans="1:13" ht="20.100000000000001" customHeight="1" x14ac:dyDescent="0.25">
      <c r="A14" s="13" t="str">
        <f>HYPERLINK("#'Constants - Refrigerants'!A1", "Constants - Refrigerants")</f>
        <v>Constants - Refrigerants</v>
      </c>
      <c r="D14" s="55" t="s">
        <v>157</v>
      </c>
      <c r="E14" s="57" t="s">
        <v>158</v>
      </c>
      <c r="F14" s="56"/>
      <c r="G14" s="55" t="s">
        <v>165</v>
      </c>
      <c r="H14" s="50" t="s">
        <v>166</v>
      </c>
      <c r="I14" s="71"/>
      <c r="J14" s="71"/>
      <c r="K14" s="71"/>
      <c r="L14" s="71"/>
    </row>
    <row r="15" spans="1:13" ht="20.100000000000001" customHeight="1" x14ac:dyDescent="0.25">
      <c r="A15" s="13" t="str">
        <f>HYPERLINK("#'Constants - Common'!A1", "Constants - Common")</f>
        <v>Constants - Common</v>
      </c>
      <c r="D15" s="55" t="s">
        <v>159</v>
      </c>
      <c r="E15" s="57" t="s">
        <v>160</v>
      </c>
      <c r="F15" s="56"/>
      <c r="G15" s="55" t="s">
        <v>167</v>
      </c>
      <c r="H15" s="49" t="s">
        <v>168</v>
      </c>
      <c r="I15" s="71"/>
      <c r="J15" s="71"/>
      <c r="K15" s="71"/>
      <c r="L15" s="71"/>
    </row>
    <row r="16" spans="1:13" ht="20.100000000000001" customHeight="1" x14ac:dyDescent="0.25">
      <c r="D16" s="55" t="s">
        <v>161</v>
      </c>
      <c r="E16" s="57" t="s">
        <v>162</v>
      </c>
      <c r="F16" s="56"/>
      <c r="G16" s="55"/>
      <c r="H16" s="50" t="s">
        <v>166</v>
      </c>
      <c r="I16" s="71"/>
      <c r="J16" s="71"/>
      <c r="K16" s="71"/>
      <c r="L16" s="71"/>
    </row>
    <row r="17" spans="1:12" ht="20.100000000000001" customHeight="1" x14ac:dyDescent="0.25">
      <c r="D17" s="55" t="s">
        <v>163</v>
      </c>
      <c r="E17" s="57" t="s">
        <v>164</v>
      </c>
      <c r="F17" s="56"/>
      <c r="G17" s="55"/>
      <c r="H17" s="50" t="s">
        <v>166</v>
      </c>
      <c r="I17" s="71"/>
      <c r="J17" s="71"/>
      <c r="K17" s="71"/>
      <c r="L17" s="71"/>
    </row>
    <row r="18" spans="1:12" ht="20.100000000000001" customHeight="1" x14ac:dyDescent="0.25">
      <c r="G18" s="71"/>
      <c r="H18" s="71"/>
      <c r="I18" s="71"/>
      <c r="J18" s="71"/>
      <c r="K18" s="71"/>
      <c r="L18" s="71"/>
    </row>
    <row r="19" spans="1:12" ht="20.100000000000001" customHeight="1" x14ac:dyDescent="0.25">
      <c r="D19" s="71" t="s">
        <v>139</v>
      </c>
      <c r="E19" s="71"/>
      <c r="F19" s="71"/>
      <c r="G19" s="71"/>
      <c r="H19" s="71"/>
      <c r="I19" s="71"/>
      <c r="J19" s="71"/>
      <c r="K19" s="71"/>
      <c r="L19" s="71"/>
    </row>
    <row r="20" spans="1:12" ht="20.100000000000001" customHeight="1" x14ac:dyDescent="0.25">
      <c r="A20" s="13"/>
      <c r="D20" s="38" t="s">
        <v>140</v>
      </c>
    </row>
    <row r="21" spans="1:12" ht="20.100000000000001" customHeight="1" x14ac:dyDescent="0.25">
      <c r="A21" s="13"/>
      <c r="D21" s="28" t="s">
        <v>88</v>
      </c>
      <c r="E21" s="48" t="s">
        <v>133</v>
      </c>
      <c r="F21" s="48" t="s">
        <v>129</v>
      </c>
      <c r="G21" s="48" t="s">
        <v>91</v>
      </c>
      <c r="H21" s="48" t="s">
        <v>92</v>
      </c>
      <c r="I21" s="28" t="s">
        <v>125</v>
      </c>
      <c r="J21" s="28" t="s">
        <v>126</v>
      </c>
      <c r="K21" s="28" t="s">
        <v>130</v>
      </c>
      <c r="L21" s="28" t="s">
        <v>128</v>
      </c>
    </row>
    <row r="22" spans="1:12" ht="20.100000000000001" customHeight="1" x14ac:dyDescent="0.25">
      <c r="D22" s="29" t="str" cm="1">
        <f t="array" ref="D22:D26">Table_Input_Refrigerant[Refrigeration unit name]</f>
        <v>Cool room</v>
      </c>
      <c r="E22" s="29" t="str" cm="1">
        <f t="array" ref="E22:E26">Table_Input_Refrigerant[Appliance type (select)]</f>
        <v>Domestic refrigerators</v>
      </c>
      <c r="F22" s="29" t="str" cm="1">
        <f t="array" ref="F22:F26">Table_Input_Refrigerant[Refrigerant used (select)]</f>
        <v>R-402A</v>
      </c>
      <c r="G22" s="29" cm="1">
        <f t="array" ref="G22:G26">Table_Input_Refrigerant[Unit refrigerant gas capacity (kg)]</f>
        <v>10</v>
      </c>
      <c r="H22" s="29" cm="1">
        <f t="array" ref="H22:H26">Table_Input_Refrigerant[Number of units in use]</f>
        <v>5</v>
      </c>
      <c r="I22" s="29">
        <f t="shared" ref="I22:I31" si="0">G22*H22</f>
        <v>50</v>
      </c>
      <c r="J22" s="29" cm="1">
        <f t="array" ref="J22">Common_InputFunctions.Utility_LookupValueInTableNumber(E22,Table_Refrigerants_LeakageRates[Product],Table_Refrigerants_LeakageRates[Annual leakage rate (%)])</f>
        <v>1.7</v>
      </c>
      <c r="K22" s="29">
        <f>((G22 * (J22 / 100)) * 10 ^ -3)</f>
        <v>1.7000000000000001E-4</v>
      </c>
      <c r="L22" s="77">
        <f t="shared" ref="L22:L31" si="1">K22*H22</f>
        <v>8.5000000000000006E-4</v>
      </c>
    </row>
    <row r="23" spans="1:12" ht="20.100000000000001" customHeight="1" x14ac:dyDescent="0.25">
      <c r="A23" s="13"/>
      <c r="D23" s="29" t="str">
        <v>Office air con units</v>
      </c>
      <c r="E23" s="29" t="str">
        <v>Domestic A/C split</v>
      </c>
      <c r="F23" s="29" t="str">
        <v>R-422B</v>
      </c>
      <c r="G23" s="29">
        <v>10</v>
      </c>
      <c r="H23" s="29">
        <v>5</v>
      </c>
      <c r="I23" s="29">
        <f t="shared" si="0"/>
        <v>50</v>
      </c>
      <c r="J23" s="29" cm="1">
        <f t="array" ref="J23">Common_InputFunctions.Utility_LookupValueInTableNumber(E23,Table_Refrigerants_LeakageRates[Product],Table_Refrigerants_LeakageRates[Annual leakage rate (%)])</f>
        <v>3.5</v>
      </c>
      <c r="K23" s="29">
        <f>((G23 * (J23 / 100)) * 10 ^ -3)</f>
        <v>3.5000000000000005E-4</v>
      </c>
      <c r="L23" s="77">
        <f t="shared" si="1"/>
        <v>1.7500000000000003E-3</v>
      </c>
    </row>
    <row r="24" spans="1:12" ht="20.100000000000001" customHeight="1" x14ac:dyDescent="0.25">
      <c r="D24" s="29" t="str">
        <v>Car AC</v>
      </c>
      <c r="E24" s="29" t="str">
        <v>Light vehicle A/C</v>
      </c>
      <c r="F24" s="29" t="str">
        <v>R-400 60/40</v>
      </c>
      <c r="G24" s="29">
        <v>10</v>
      </c>
      <c r="H24" s="29">
        <v>13</v>
      </c>
      <c r="I24" s="29">
        <f t="shared" si="0"/>
        <v>130</v>
      </c>
      <c r="J24" s="29" cm="1">
        <f t="array" ref="J24">Common_InputFunctions.Utility_LookupValueInTableNumber(E24,Table_Refrigerants_LeakageRates[Product],Table_Refrigerants_LeakageRates[Annual leakage rate (%)])</f>
        <v>6.7</v>
      </c>
      <c r="K24" s="29">
        <f>((G24 * (J24 / 100)) * 10 ^ -3)</f>
        <v>6.7000000000000002E-4</v>
      </c>
      <c r="L24" s="77">
        <f t="shared" si="1"/>
        <v>8.7100000000000007E-3</v>
      </c>
    </row>
    <row r="25" spans="1:12" ht="20.100000000000001" customHeight="1" x14ac:dyDescent="0.25">
      <c r="D25" s="29" t="str">
        <v>Storage AC</v>
      </c>
      <c r="E25" s="29" t="str">
        <v>Domestic A/C split</v>
      </c>
      <c r="F25" s="29" t="str">
        <v>R-400 60/40</v>
      </c>
      <c r="G25" s="29">
        <v>10</v>
      </c>
      <c r="H25" s="29">
        <v>10</v>
      </c>
      <c r="I25" s="29">
        <f t="shared" si="0"/>
        <v>100</v>
      </c>
      <c r="J25" s="29" cm="1">
        <f t="array" ref="J25">Common_InputFunctions.Utility_LookupValueInTableNumber(E25,Table_Refrigerants_LeakageRates[Product],Table_Refrigerants_LeakageRates[Annual leakage rate (%)])</f>
        <v>3.5</v>
      </c>
      <c r="K25" s="29">
        <f>((G25 * (J25 / 100)) * 10 ^ -3)</f>
        <v>3.5000000000000005E-4</v>
      </c>
      <c r="L25" s="77">
        <f t="shared" si="1"/>
        <v>3.5000000000000005E-3</v>
      </c>
    </row>
    <row r="26" spans="1:12" ht="20.100000000000001" customHeight="1" x14ac:dyDescent="0.25">
      <c r="D26" s="29" t="str">
        <v>Refrigerated trucks</v>
      </c>
      <c r="E26" s="29" t="str">
        <v>Transport refrigeration</v>
      </c>
      <c r="F26" s="29" t="str">
        <v>R-504</v>
      </c>
      <c r="G26" s="29">
        <v>10</v>
      </c>
      <c r="H26" s="29">
        <v>10</v>
      </c>
      <c r="I26" s="29">
        <f t="shared" si="0"/>
        <v>100</v>
      </c>
      <c r="J26" s="29" cm="1">
        <f t="array" ref="J26">Common_InputFunctions.Utility_LookupValueInTableNumber(E26,Table_Refrigerants_LeakageRates[Product],Table_Refrigerants_LeakageRates[Annual leakage rate (%)])</f>
        <v>15.7</v>
      </c>
      <c r="K26" s="29">
        <f>((G26 * (J26 / 100)) * 10 ^ -3)</f>
        <v>1.57E-3</v>
      </c>
      <c r="L26" s="77">
        <f t="shared" si="1"/>
        <v>1.5699999999999999E-2</v>
      </c>
    </row>
    <row r="27" spans="1:12" ht="20.100000000000001" customHeight="1" x14ac:dyDescent="0.25">
      <c r="D27" s="29"/>
      <c r="E27" s="29"/>
      <c r="F27" s="29"/>
      <c r="G27" s="29"/>
      <c r="H27" s="29"/>
      <c r="I27" s="29">
        <f t="shared" si="0"/>
        <v>0</v>
      </c>
      <c r="J27" s="29" cm="1">
        <f t="array" ref="J27">Common_InputFunctions.Utility_LookupValueInTableNumber(E27,Table_Refrigerants_LeakageRates[Product],Table_Refrigerants_LeakageRates[Annual leakage rate (%)])</f>
        <v>0</v>
      </c>
      <c r="K27" s="29">
        <f>((G27 * (J27 / 100)) * 10 ^ -3)</f>
        <v>0</v>
      </c>
      <c r="L27" s="77">
        <f t="shared" si="1"/>
        <v>0</v>
      </c>
    </row>
    <row r="28" spans="1:12" ht="20.100000000000001" customHeight="1" x14ac:dyDescent="0.25">
      <c r="D28" s="29"/>
      <c r="E28" s="29"/>
      <c r="F28" s="29"/>
      <c r="G28" s="29"/>
      <c r="H28" s="29"/>
      <c r="I28" s="29">
        <f t="shared" si="0"/>
        <v>0</v>
      </c>
      <c r="J28" s="29" cm="1">
        <f t="array" ref="J28">Common_InputFunctions.Utility_LookupValueInTableNumber(E28,Table_Refrigerants_LeakageRates[Product],Table_Refrigerants_LeakageRates[Annual leakage rate (%)])</f>
        <v>0</v>
      </c>
      <c r="K28" s="29">
        <f>((G28 * (J28 / 100)) * 10 ^ -3)</f>
        <v>0</v>
      </c>
      <c r="L28" s="77">
        <f t="shared" si="1"/>
        <v>0</v>
      </c>
    </row>
    <row r="29" spans="1:12" ht="20.100000000000001" customHeight="1" x14ac:dyDescent="0.25">
      <c r="D29" s="29"/>
      <c r="E29" s="29"/>
      <c r="F29" s="29"/>
      <c r="G29" s="29"/>
      <c r="H29" s="29"/>
      <c r="I29" s="29">
        <f t="shared" si="0"/>
        <v>0</v>
      </c>
      <c r="J29" s="29" cm="1">
        <f t="array" ref="J29">Common_InputFunctions.Utility_LookupValueInTableNumber(E29,Table_Refrigerants_LeakageRates[Product],Table_Refrigerants_LeakageRates[Annual leakage rate (%)])</f>
        <v>0</v>
      </c>
      <c r="K29" s="29">
        <f>((G29 * (J29 / 100)) * 10 ^ -3)</f>
        <v>0</v>
      </c>
      <c r="L29" s="77">
        <f t="shared" si="1"/>
        <v>0</v>
      </c>
    </row>
    <row r="30" spans="1:12" ht="20.100000000000001" customHeight="1" x14ac:dyDescent="0.25">
      <c r="D30" s="29"/>
      <c r="E30" s="29"/>
      <c r="F30" s="29"/>
      <c r="G30" s="29"/>
      <c r="H30" s="29"/>
      <c r="I30" s="29">
        <f t="shared" si="0"/>
        <v>0</v>
      </c>
      <c r="J30" s="29" cm="1">
        <f t="array" ref="J30">Common_InputFunctions.Utility_LookupValueInTableNumber(E30,Table_Refrigerants_LeakageRates[Product],Table_Refrigerants_LeakageRates[Annual leakage rate (%)])</f>
        <v>0</v>
      </c>
      <c r="K30" s="29">
        <f>((G30 * (J30 / 100)) * 10 ^ -3)</f>
        <v>0</v>
      </c>
      <c r="L30" s="77">
        <f t="shared" si="1"/>
        <v>0</v>
      </c>
    </row>
    <row r="31" spans="1:12" ht="20.100000000000001" customHeight="1" x14ac:dyDescent="0.25">
      <c r="D31" s="29"/>
      <c r="E31" s="29"/>
      <c r="F31" s="29"/>
      <c r="G31" s="29"/>
      <c r="H31" s="29"/>
      <c r="I31" s="29">
        <f t="shared" si="0"/>
        <v>0</v>
      </c>
      <c r="J31" s="29" cm="1">
        <f t="array" ref="J31">Common_InputFunctions.Utility_LookupValueInTableNumber(E31,Table_Refrigerants_LeakageRates[Product],Table_Refrigerants_LeakageRates[Annual leakage rate (%)])</f>
        <v>0</v>
      </c>
      <c r="K31" s="29">
        <f>((G31 * (J31 / 100)) * 10 ^ -3)</f>
        <v>0</v>
      </c>
      <c r="L31" s="77">
        <f t="shared" si="1"/>
        <v>0</v>
      </c>
    </row>
    <row r="32" spans="1:12" ht="20.100000000000001" customHeight="1" x14ac:dyDescent="0.25"/>
    <row r="33" spans="1:13" ht="20.100000000000001" customHeight="1" x14ac:dyDescent="0.25">
      <c r="D33" s="39" t="s">
        <v>141</v>
      </c>
    </row>
    <row r="34" spans="1:13" ht="20.100000000000001" customHeight="1" x14ac:dyDescent="0.25">
      <c r="D34" s="38" t="s">
        <v>142</v>
      </c>
    </row>
    <row r="35" spans="1:13" ht="20.100000000000001" customHeight="1" x14ac:dyDescent="0.25">
      <c r="D35" s="28" t="s">
        <v>129</v>
      </c>
      <c r="E35" s="28" t="s">
        <v>128</v>
      </c>
    </row>
    <row r="36" spans="1:13" ht="20.100000000000001" customHeight="1" x14ac:dyDescent="0.25">
      <c r="D36" s="29" t="str" cm="1">
        <f t="array" ref="D36:D39">_xlfn.UNIQUE(_xlfn._xlws.FILTER(F22:F31, F22:F31&lt;&gt;""))</f>
        <v>R-402A</v>
      </c>
      <c r="E36" s="29">
        <f t="shared" ref="E36:E45" si="2">SUMIF($F$22:$F$31,D36,$L$22:$L$31)</f>
        <v>8.5000000000000006E-4</v>
      </c>
      <c r="H36" s="71"/>
      <c r="I36" s="71"/>
      <c r="J36" s="71"/>
      <c r="K36" s="71"/>
      <c r="L36" s="71"/>
    </row>
    <row r="37" spans="1:13" ht="20.100000000000001" customHeight="1" x14ac:dyDescent="0.25">
      <c r="D37" s="29" t="str">
        <v>R-422B</v>
      </c>
      <c r="E37" s="29">
        <f t="shared" si="2"/>
        <v>1.7500000000000003E-3</v>
      </c>
      <c r="H37" s="71"/>
      <c r="I37" s="71"/>
      <c r="J37" s="71"/>
      <c r="K37" s="71"/>
      <c r="L37" s="71"/>
    </row>
    <row r="38" spans="1:13" ht="20.100000000000001" customHeight="1" x14ac:dyDescent="0.25">
      <c r="D38" s="29" t="str">
        <v>R-400 60/40</v>
      </c>
      <c r="E38" s="29">
        <f t="shared" si="2"/>
        <v>1.2210000000000002E-2</v>
      </c>
      <c r="H38" s="71"/>
      <c r="I38" s="71"/>
      <c r="J38" s="71"/>
      <c r="K38" s="71"/>
      <c r="L38" s="71"/>
    </row>
    <row r="39" spans="1:13" ht="20.100000000000001" customHeight="1" x14ac:dyDescent="0.25">
      <c r="D39" s="29" t="str">
        <v>R-504</v>
      </c>
      <c r="E39" s="29">
        <f t="shared" si="2"/>
        <v>1.5699999999999999E-2</v>
      </c>
    </row>
    <row r="40" spans="1:13" ht="20.100000000000001" customHeight="1" x14ac:dyDescent="0.25">
      <c r="D40" s="29"/>
      <c r="E40" s="29">
        <f t="shared" si="2"/>
        <v>0</v>
      </c>
    </row>
    <row r="41" spans="1:13" ht="20.100000000000001" customHeight="1" x14ac:dyDescent="0.25">
      <c r="D41" s="29"/>
      <c r="E41" s="29">
        <f t="shared" si="2"/>
        <v>0</v>
      </c>
    </row>
    <row r="42" spans="1:13" ht="20.100000000000001" customHeight="1" x14ac:dyDescent="0.25">
      <c r="D42" s="29"/>
      <c r="E42" s="29">
        <f t="shared" si="2"/>
        <v>0</v>
      </c>
    </row>
    <row r="43" spans="1:13" ht="20.100000000000001" customHeight="1" x14ac:dyDescent="0.25">
      <c r="D43" s="29"/>
      <c r="E43" s="29">
        <f t="shared" si="2"/>
        <v>0</v>
      </c>
    </row>
    <row r="44" spans="1:13" ht="20.100000000000001" customHeight="1" x14ac:dyDescent="0.25">
      <c r="D44" s="29"/>
      <c r="E44" s="29">
        <f t="shared" si="2"/>
        <v>0</v>
      </c>
    </row>
    <row r="45" spans="1:13" ht="20.100000000000001" customHeight="1" x14ac:dyDescent="0.25">
      <c r="D45" s="29"/>
      <c r="E45" s="29">
        <f t="shared" si="2"/>
        <v>0</v>
      </c>
    </row>
    <row r="46" spans="1:13" ht="20.100000000000001" customHeight="1" x14ac:dyDescent="0.25"/>
    <row r="47" spans="1:13" ht="20.100000000000001" customHeight="1" x14ac:dyDescent="0.25">
      <c r="A47" s="58" t="str">
        <f>HYPERLINK("#A1", "▲ Back to top")</f>
        <v>▲ Back to top</v>
      </c>
    </row>
    <row r="48" spans="1:13" ht="20.100000000000001" customHeight="1" x14ac:dyDescent="0.25">
      <c r="C48" s="74"/>
      <c r="D48" s="74"/>
      <c r="E48" s="74"/>
      <c r="F48" s="74"/>
      <c r="G48" s="74"/>
      <c r="H48" s="74"/>
      <c r="I48" s="74"/>
      <c r="J48" s="74"/>
      <c r="K48" s="74"/>
      <c r="L48" s="74"/>
      <c r="M48" s="74"/>
    </row>
    <row r="49" spans="4:9" ht="20.100000000000001" customHeight="1" x14ac:dyDescent="0.25">
      <c r="D49" s="5" t="s">
        <v>169</v>
      </c>
    </row>
    <row r="50" spans="4:9" ht="20.100000000000001" customHeight="1" x14ac:dyDescent="0.25">
      <c r="D50" s="10"/>
      <c r="E50" s="10"/>
    </row>
    <row r="51" spans="4:9" ht="20.100000000000001" customHeight="1" x14ac:dyDescent="0.25"/>
    <row r="52" spans="4:9" ht="20.100000000000001" customHeight="1" x14ac:dyDescent="0.25"/>
    <row r="53" spans="4:9" ht="20.100000000000001" customHeight="1" x14ac:dyDescent="0.25">
      <c r="D53" s="2" t="s">
        <v>12</v>
      </c>
      <c r="E53" s="1" t="s">
        <v>170</v>
      </c>
    </row>
    <row r="54" spans="4:9" ht="20.100000000000001" customHeight="1" x14ac:dyDescent="0.25">
      <c r="D54" s="2" t="s">
        <v>5</v>
      </c>
      <c r="E54" s="30" t="s">
        <v>171</v>
      </c>
    </row>
    <row r="55" spans="4:9" ht="20.100000000000001" customHeight="1" x14ac:dyDescent="0.25"/>
    <row r="56" spans="4:9" ht="20.100000000000001" customHeight="1" x14ac:dyDescent="0.25">
      <c r="D56" s="55" t="s">
        <v>155</v>
      </c>
      <c r="E56" s="57" t="s">
        <v>172</v>
      </c>
      <c r="F56" s="56"/>
      <c r="G56" s="55" t="s">
        <v>156</v>
      </c>
      <c r="H56" s="49" t="s">
        <v>175</v>
      </c>
      <c r="I56" s="54" t="str" cm="1">
        <f t="array" aca="1" ref="I56" ca="1">HYPERLINK(Common_InputFunctions.Utility_SourceHyperlink($D$33), $D$33)</f>
        <v>Table_E_R</v>
      </c>
    </row>
    <row r="57" spans="4:9" ht="20.100000000000001" customHeight="1" x14ac:dyDescent="0.25">
      <c r="D57" s="55" t="s">
        <v>173</v>
      </c>
      <c r="E57" s="57" t="s">
        <v>174</v>
      </c>
      <c r="F57" s="56"/>
      <c r="G57" s="55" t="s">
        <v>176</v>
      </c>
      <c r="H57" s="49" t="s">
        <v>168</v>
      </c>
      <c r="I57" s="54" t="str" cm="1">
        <f t="array" aca="1" ref="I57" ca="1">HYPERLINK(Common_InputFunctions.Utility_SourceHyperlink($D$59), $D$59)</f>
        <v>Table_E_CO2e</v>
      </c>
    </row>
    <row r="58" spans="4:9" ht="20.100000000000001" customHeight="1" x14ac:dyDescent="0.25"/>
    <row r="59" spans="4:9" ht="20.100000000000001" customHeight="1" x14ac:dyDescent="0.25">
      <c r="D59" s="39" t="s">
        <v>138</v>
      </c>
    </row>
    <row r="60" spans="4:9" ht="20.100000000000001" customHeight="1" x14ac:dyDescent="0.25">
      <c r="D60" s="38" t="s">
        <v>143</v>
      </c>
    </row>
    <row r="61" spans="4:9" ht="20.100000000000001" customHeight="1" x14ac:dyDescent="0.25">
      <c r="D61" s="28" t="s">
        <v>129</v>
      </c>
      <c r="E61" s="28" t="s">
        <v>128</v>
      </c>
      <c r="F61" s="28" t="s">
        <v>127</v>
      </c>
      <c r="G61" s="28" t="s">
        <v>132</v>
      </c>
    </row>
    <row r="62" spans="4:9" ht="20.100000000000001" customHeight="1" x14ac:dyDescent="0.25">
      <c r="D62" s="29" t="str">
        <f>D36</f>
        <v>R-402A</v>
      </c>
      <c r="E62" s="29">
        <f>E36</f>
        <v>8.5000000000000006E-4</v>
      </c>
      <c r="F62" s="29" cm="1">
        <f t="array" ref="F62">Common_InputFunctions.Utility_LookupValueInTableNumber(D62,Table_RefrigerantBlends_Cleaned[Blend],Table_RefrigerantBlends_Cleaned[Blend GWP])</f>
        <v>1395.3440000000001</v>
      </c>
      <c r="G62" s="29">
        <f>(((E62 * 10 ^ 3) * F62) * 10 ^ -3)</f>
        <v>1.1860424000000003</v>
      </c>
    </row>
    <row r="63" spans="4:9" ht="20.100000000000001" customHeight="1" x14ac:dyDescent="0.25">
      <c r="D63" s="29" t="str">
        <f t="shared" ref="D63:D71" si="3">D37</f>
        <v>R-422B</v>
      </c>
      <c r="E63" s="29">
        <f t="shared" ref="E63:E71" si="4">E37</f>
        <v>1.7500000000000003E-3</v>
      </c>
      <c r="F63" s="29" cm="1">
        <f t="array" ref="F63">Common_InputFunctions.Utility_LookupValueInTableNumber(D63,Table_RefrigerantBlends_Cleaned[Blend],Table_RefrigerantBlends_Cleaned[Blend GWP])</f>
        <v>1188.2450000000001</v>
      </c>
      <c r="G63" s="29">
        <f>(((E63 * 10 ^ 3) * F63) * 10 ^ -3)</f>
        <v>2.0794287500000004</v>
      </c>
    </row>
    <row r="64" spans="4:9" ht="20.100000000000001" customHeight="1" x14ac:dyDescent="0.25">
      <c r="D64" s="29" t="str">
        <f t="shared" si="3"/>
        <v>R-400 60/40</v>
      </c>
      <c r="E64" s="29">
        <f t="shared" si="4"/>
        <v>1.2210000000000002E-2</v>
      </c>
      <c r="F64" s="29" cm="1">
        <f t="array" ref="F64">Common_InputFunctions.Utility_LookupValueInTableNumber(D64,Table_RefrigerantBlends_Cleaned[Blend],Table_RefrigerantBlends_Cleaned[Blend GWP])</f>
        <v>5733.6</v>
      </c>
      <c r="G64" s="29">
        <f>(((E64 * 10 ^ 3) * F64) * 10 ^ -3)</f>
        <v>70.007256000000027</v>
      </c>
    </row>
    <row r="65" spans="1:7" ht="20.100000000000001" customHeight="1" x14ac:dyDescent="0.25">
      <c r="D65" s="29" t="str">
        <f t="shared" si="3"/>
        <v>R-504</v>
      </c>
      <c r="E65" s="29">
        <f t="shared" si="4"/>
        <v>1.5699999999999999E-2</v>
      </c>
      <c r="F65" s="29" cm="1">
        <f t="array" ref="F65">Common_InputFunctions.Utility_LookupValueInTableNumber(D65,Table_RefrigerantBlends_Cleaned[Blend],Table_RefrigerantBlends_Cleaned[Blend GWP])</f>
        <v>2215.3284279999998</v>
      </c>
      <c r="G65" s="29">
        <f>(((E65 * 10 ^ 3) * F65) * 10 ^ -3)</f>
        <v>34.780656319599998</v>
      </c>
    </row>
    <row r="66" spans="1:7" ht="20.100000000000001" customHeight="1" x14ac:dyDescent="0.25">
      <c r="D66" s="29">
        <f t="shared" si="3"/>
        <v>0</v>
      </c>
      <c r="E66" s="29">
        <f t="shared" si="4"/>
        <v>0</v>
      </c>
      <c r="F66" s="29" cm="1">
        <f t="array" ref="F66">Common_InputFunctions.Utility_LookupValueInTableNumber(D66,Table_RefrigerantBlends_Cleaned[Blend],Table_RefrigerantBlends_Cleaned[Blend GWP])</f>
        <v>0</v>
      </c>
      <c r="G66" s="29">
        <f>(((E66 * 10 ^ 3) * F66) * 10 ^ -3)</f>
        <v>0</v>
      </c>
    </row>
    <row r="67" spans="1:7" ht="20.100000000000001" customHeight="1" x14ac:dyDescent="0.25">
      <c r="D67" s="29">
        <f t="shared" si="3"/>
        <v>0</v>
      </c>
      <c r="E67" s="29">
        <f t="shared" si="4"/>
        <v>0</v>
      </c>
      <c r="F67" s="29" cm="1">
        <f t="array" ref="F67">Common_InputFunctions.Utility_LookupValueInTableNumber(D67,Table_RefrigerantBlends_Cleaned[Blend],Table_RefrigerantBlends_Cleaned[Blend GWP])</f>
        <v>0</v>
      </c>
      <c r="G67" s="29">
        <f>(((E67 * 10 ^ 3) * F67) * 10 ^ -3)</f>
        <v>0</v>
      </c>
    </row>
    <row r="68" spans="1:7" ht="20.100000000000001" customHeight="1" x14ac:dyDescent="0.25">
      <c r="D68" s="29">
        <f t="shared" si="3"/>
        <v>0</v>
      </c>
      <c r="E68" s="29">
        <f t="shared" si="4"/>
        <v>0</v>
      </c>
      <c r="F68" s="29" cm="1">
        <f t="array" ref="F68">Common_InputFunctions.Utility_LookupValueInTableNumber(D68,Table_RefrigerantBlends_Cleaned[Blend],Table_RefrigerantBlends_Cleaned[Blend GWP])</f>
        <v>0</v>
      </c>
      <c r="G68" s="29">
        <f>(((E68 * 10 ^ 3) * F68) * 10 ^ -3)</f>
        <v>0</v>
      </c>
    </row>
    <row r="69" spans="1:7" ht="20.100000000000001" customHeight="1" x14ac:dyDescent="0.25">
      <c r="D69" s="29">
        <f t="shared" si="3"/>
        <v>0</v>
      </c>
      <c r="E69" s="29">
        <f t="shared" si="4"/>
        <v>0</v>
      </c>
      <c r="F69" s="29" cm="1">
        <f t="array" ref="F69">Common_InputFunctions.Utility_LookupValueInTableNumber(D69,Table_RefrigerantBlends_Cleaned[Blend],Table_RefrigerantBlends_Cleaned[Blend GWP])</f>
        <v>0</v>
      </c>
      <c r="G69" s="29">
        <f>(((E69 * 10 ^ 3) * F69) * 10 ^ -3)</f>
        <v>0</v>
      </c>
    </row>
    <row r="70" spans="1:7" ht="20.100000000000001" customHeight="1" x14ac:dyDescent="0.25">
      <c r="D70" s="29">
        <f t="shared" si="3"/>
        <v>0</v>
      </c>
      <c r="E70" s="29">
        <f t="shared" si="4"/>
        <v>0</v>
      </c>
      <c r="F70" s="29" cm="1">
        <f t="array" ref="F70">Common_InputFunctions.Utility_LookupValueInTableNumber(D70,Table_RefrigerantBlends_Cleaned[Blend],Table_RefrigerantBlends_Cleaned[Blend GWP])</f>
        <v>0</v>
      </c>
      <c r="G70" s="29">
        <f>(((E70 * 10 ^ 3) * F70) * 10 ^ -3)</f>
        <v>0</v>
      </c>
    </row>
    <row r="71" spans="1:7" ht="20.100000000000001" customHeight="1" x14ac:dyDescent="0.25">
      <c r="D71" s="29">
        <f t="shared" si="3"/>
        <v>0</v>
      </c>
      <c r="E71" s="29">
        <f t="shared" si="4"/>
        <v>0</v>
      </c>
      <c r="F71" s="29" cm="1">
        <f t="array" ref="F71">Common_InputFunctions.Utility_LookupValueInTableNumber(D71,Table_RefrigerantBlends_Cleaned[Blend],Table_RefrigerantBlends_Cleaned[Blend GWP])</f>
        <v>0</v>
      </c>
      <c r="G71" s="29">
        <f>(((E71 * 10 ^ 3) * F71) * 10 ^ -3)</f>
        <v>0</v>
      </c>
    </row>
    <row r="72" spans="1:7" ht="20.100000000000001" customHeight="1" x14ac:dyDescent="0.25"/>
    <row r="73" spans="1:7" ht="20.100000000000001" customHeight="1" x14ac:dyDescent="0.25">
      <c r="A73" s="58" t="str">
        <f>HYPERLINK("#A1", "▲ Back to top")</f>
        <v>▲ Back to top</v>
      </c>
      <c r="D73" s="78" t="s">
        <v>137</v>
      </c>
      <c r="E73" s="79">
        <f>SUM(G62:G71)</f>
        <v>108.05338346960002</v>
      </c>
      <c r="F73" s="80" t="str">
        <f>E54</f>
        <v>t CO2-e</v>
      </c>
    </row>
    <row r="74" spans="1:7" ht="20.100000000000001" customHeight="1" x14ac:dyDescent="0.25"/>
    <row r="75" spans="1:7" ht="20.100000000000001" customHeight="1" x14ac:dyDescent="0.25"/>
    <row r="76" spans="1:7" ht="20.100000000000001" customHeight="1" x14ac:dyDescent="0.25"/>
    <row r="77" spans="1:7" ht="20.100000000000001" customHeight="1" x14ac:dyDescent="0.25"/>
    <row r="78" spans="1:7" ht="20.100000000000001" customHeight="1" x14ac:dyDescent="0.25"/>
    <row r="79" spans="1:7" ht="20.100000000000001" customHeight="1" x14ac:dyDescent="0.25"/>
    <row r="80" spans="1:7" ht="20.100000000000001" customHeight="1" x14ac:dyDescent="0.25"/>
    <row r="81" spans="1:1" ht="20.100000000000001" customHeight="1" x14ac:dyDescent="0.25"/>
    <row r="82" spans="1:1" ht="20.100000000000001" customHeight="1" x14ac:dyDescent="0.25"/>
    <row r="83" spans="1:1" ht="20.100000000000001" customHeight="1" x14ac:dyDescent="0.25">
      <c r="A83" s="58"/>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7"/>
    </row>
    <row r="342" spans="8:8" x14ac:dyDescent="0.25">
      <c r="H342" s="17"/>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80"/>
  <sheetViews>
    <sheetView showGridLines="0" zoomScaleNormal="100" workbookViewId="0">
      <selection activeCell="A11" sqref="A11"/>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123</v>
      </c>
      <c r="AG1"/>
      <c r="AH1"/>
      <c r="AI1"/>
    </row>
    <row r="2" spans="1:35" s="8" customFormat="1" ht="20.100000000000001" customHeight="1" x14ac:dyDescent="0.25">
      <c r="A2"/>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
        <v>177</v>
      </c>
      <c r="H5" s="71"/>
      <c r="I5" s="71"/>
      <c r="J5" s="71"/>
      <c r="K5" s="71"/>
      <c r="L5" s="71"/>
      <c r="M5" s="71"/>
      <c r="N5" s="71"/>
      <c r="O5" s="71"/>
      <c r="P5" s="71"/>
      <c r="Q5" s="71"/>
    </row>
    <row r="6" spans="1:35" ht="20.100000000000001" customHeight="1" x14ac:dyDescent="0.25">
      <c r="A6" s="12"/>
      <c r="D6" s="4" t="s">
        <v>178</v>
      </c>
      <c r="E6" s="71"/>
      <c r="F6" s="71"/>
      <c r="G6" s="71"/>
      <c r="H6" s="71"/>
      <c r="I6" s="71"/>
      <c r="J6" s="71"/>
      <c r="K6" s="71"/>
      <c r="L6" s="71"/>
      <c r="M6" s="71"/>
      <c r="N6" s="71"/>
      <c r="O6" s="71"/>
      <c r="P6" s="71"/>
      <c r="Q6" s="71"/>
    </row>
    <row r="7" spans="1:35" ht="20.100000000000001" customHeight="1" x14ac:dyDescent="0.25">
      <c r="A7" s="16" t="s">
        <v>1</v>
      </c>
      <c r="D7" s="31" t="str" cm="1">
        <f t="array" ref="D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H7" s="71"/>
      <c r="I7" s="71"/>
      <c r="J7" s="71"/>
      <c r="K7" s="71"/>
      <c r="L7" s="71"/>
      <c r="M7" s="71"/>
      <c r="N7" s="71"/>
      <c r="O7" s="71"/>
      <c r="P7" s="71"/>
      <c r="Q7" s="71"/>
    </row>
    <row r="8" spans="1:35" ht="20.100000000000001" customHeight="1" x14ac:dyDescent="0.25">
      <c r="A8" s="13" t="str">
        <f>HYPERLINK("#'Input - Refrigerants'!A1", "Refrigerants")</f>
        <v>Refrigerants</v>
      </c>
      <c r="D8" s="26" t="s">
        <v>10</v>
      </c>
      <c r="E8" s="26" t="s">
        <v>100</v>
      </c>
      <c r="F8" s="26" t="s">
        <v>101</v>
      </c>
      <c r="G8" s="72" t="s">
        <v>102</v>
      </c>
      <c r="H8" s="73" t="s">
        <v>103</v>
      </c>
      <c r="I8" s="71"/>
      <c r="J8" s="71"/>
      <c r="K8" s="71"/>
      <c r="L8" s="71"/>
      <c r="M8" s="71"/>
      <c r="N8" s="71"/>
      <c r="O8" s="71"/>
      <c r="P8" s="71"/>
      <c r="Q8" s="71"/>
    </row>
    <row r="9" spans="1:35" ht="20.100000000000001" customHeight="1" x14ac:dyDescent="0.25">
      <c r="A9" s="13"/>
      <c r="D9" s="26" t="s">
        <v>179</v>
      </c>
      <c r="E9" s="26" t="s">
        <v>180</v>
      </c>
      <c r="F9" s="26">
        <v>1</v>
      </c>
      <c r="G9" s="26" t="s">
        <v>180</v>
      </c>
      <c r="H9" s="73"/>
      <c r="I9" s="71"/>
      <c r="J9" s="71"/>
      <c r="K9" s="71"/>
      <c r="L9" s="71"/>
      <c r="M9" s="71"/>
      <c r="N9" s="71"/>
      <c r="O9" s="71"/>
      <c r="P9" s="71"/>
      <c r="Q9" s="71"/>
    </row>
    <row r="10" spans="1:35" ht="20.100000000000001" customHeight="1" x14ac:dyDescent="0.25">
      <c r="A10" s="15" t="s">
        <v>44</v>
      </c>
      <c r="D10" s="26" t="s">
        <v>181</v>
      </c>
      <c r="E10" s="26" t="s">
        <v>182</v>
      </c>
      <c r="F10" s="26">
        <v>28</v>
      </c>
      <c r="G10" s="26" t="s">
        <v>182</v>
      </c>
      <c r="H10" s="73"/>
      <c r="I10" s="71"/>
      <c r="J10" s="71"/>
      <c r="K10" s="71"/>
      <c r="L10" s="71"/>
      <c r="M10" s="71"/>
      <c r="N10" s="71"/>
      <c r="O10" s="71"/>
      <c r="P10" s="71"/>
      <c r="Q10" s="71"/>
    </row>
    <row r="11" spans="1:35" ht="20.100000000000001" customHeight="1" x14ac:dyDescent="0.25">
      <c r="A11" s="13" t="str">
        <f>HYPERLINK("#'9.1.1.1-2 Refrigerant use'!A1", "9.1.1.1-2 Refrigerant use")</f>
        <v>9.1.1.1-2 Refrigerant use</v>
      </c>
      <c r="D11" s="26" t="s">
        <v>183</v>
      </c>
      <c r="E11" s="26" t="s">
        <v>184</v>
      </c>
      <c r="F11" s="26">
        <v>265</v>
      </c>
      <c r="G11" s="26" t="s">
        <v>184</v>
      </c>
      <c r="H11" s="73"/>
      <c r="I11" s="71"/>
      <c r="J11" s="71"/>
      <c r="K11" s="71"/>
      <c r="L11" s="71"/>
      <c r="M11" s="71"/>
      <c r="N11" s="71"/>
      <c r="O11" s="71"/>
      <c r="P11" s="71"/>
      <c r="Q11" s="71"/>
    </row>
    <row r="12" spans="1:35" ht="20.100000000000001" customHeight="1" x14ac:dyDescent="0.25">
      <c r="A12" s="13"/>
      <c r="D12" s="26" t="s">
        <v>185</v>
      </c>
      <c r="E12" s="26" t="s">
        <v>186</v>
      </c>
      <c r="F12" s="26">
        <v>23500</v>
      </c>
      <c r="G12" s="26" t="s">
        <v>186</v>
      </c>
      <c r="H12" s="73"/>
      <c r="I12" s="71"/>
      <c r="J12" s="71"/>
      <c r="K12" s="71"/>
      <c r="L12" s="71"/>
      <c r="M12" s="71"/>
      <c r="N12" s="71"/>
      <c r="O12" s="71"/>
      <c r="P12" s="71"/>
      <c r="Q12" s="71"/>
    </row>
    <row r="13" spans="1:35" ht="20.100000000000001" customHeight="1" x14ac:dyDescent="0.25">
      <c r="A13" s="14" t="s">
        <v>2</v>
      </c>
      <c r="D13" s="26" t="s">
        <v>187</v>
      </c>
      <c r="E13" s="26" t="s">
        <v>188</v>
      </c>
      <c r="F13" s="26">
        <v>12400</v>
      </c>
      <c r="G13" s="26" t="s">
        <v>189</v>
      </c>
      <c r="H13" s="73"/>
      <c r="I13" s="71"/>
      <c r="J13" s="71"/>
      <c r="K13" s="71"/>
      <c r="L13" s="71"/>
      <c r="M13" s="71"/>
      <c r="N13" s="71"/>
      <c r="O13" s="71"/>
      <c r="P13" s="71"/>
      <c r="Q13" s="71"/>
    </row>
    <row r="14" spans="1:35" ht="20.100000000000001" customHeight="1" x14ac:dyDescent="0.25">
      <c r="A14" s="66" t="str">
        <f>HYPERLINK("#'Constants - Refrigerants'!A1", "Constants - Refrigerants")</f>
        <v>Constants - Refrigerants</v>
      </c>
      <c r="D14" s="26" t="s">
        <v>190</v>
      </c>
      <c r="E14" s="26" t="s">
        <v>191</v>
      </c>
      <c r="F14" s="26">
        <v>677</v>
      </c>
      <c r="G14" s="26" t="s">
        <v>192</v>
      </c>
      <c r="H14" s="73"/>
      <c r="I14" s="71"/>
      <c r="J14" s="71"/>
      <c r="K14" s="71"/>
      <c r="L14" s="71"/>
      <c r="M14" s="71"/>
      <c r="N14" s="71"/>
      <c r="O14" s="71"/>
      <c r="P14" s="71"/>
      <c r="Q14" s="71"/>
    </row>
    <row r="15" spans="1:35" ht="20.100000000000001" customHeight="1" x14ac:dyDescent="0.25">
      <c r="A15" s="13" t="str">
        <f>HYPERLINK("#'Constants - Common'!A1", "Constants - Common")</f>
        <v>Constants - Common</v>
      </c>
      <c r="D15" s="26" t="s">
        <v>193</v>
      </c>
      <c r="E15" s="26" t="s">
        <v>194</v>
      </c>
      <c r="F15" s="26">
        <v>116</v>
      </c>
      <c r="G15" s="26" t="s">
        <v>195</v>
      </c>
      <c r="H15" s="73"/>
      <c r="I15" s="71"/>
      <c r="J15" s="71"/>
      <c r="K15" s="71"/>
      <c r="L15" s="71"/>
      <c r="M15" s="71"/>
      <c r="N15" s="71"/>
      <c r="O15" s="71"/>
      <c r="P15" s="71"/>
      <c r="Q15" s="71"/>
    </row>
    <row r="16" spans="1:35" ht="20.100000000000001" customHeight="1" x14ac:dyDescent="0.25">
      <c r="D16" s="26" t="s">
        <v>196</v>
      </c>
      <c r="E16" s="26" t="s">
        <v>197</v>
      </c>
      <c r="F16" s="26">
        <v>1650</v>
      </c>
      <c r="G16" s="26" t="s">
        <v>198</v>
      </c>
      <c r="H16" s="73"/>
      <c r="I16" s="71"/>
      <c r="J16" s="71"/>
      <c r="K16" s="71"/>
      <c r="L16" s="71"/>
      <c r="M16" s="71"/>
      <c r="N16" s="71"/>
      <c r="O16" s="71"/>
      <c r="P16" s="71"/>
      <c r="Q16" s="71"/>
    </row>
    <row r="17" spans="1:17" ht="20.100000000000001" customHeight="1" x14ac:dyDescent="0.25">
      <c r="D17" s="26" t="s">
        <v>199</v>
      </c>
      <c r="E17" s="26" t="s">
        <v>200</v>
      </c>
      <c r="F17" s="26">
        <v>3170</v>
      </c>
      <c r="G17" s="26" t="s">
        <v>201</v>
      </c>
      <c r="H17" s="73"/>
      <c r="I17" s="71"/>
      <c r="J17" s="71"/>
      <c r="K17" s="71"/>
      <c r="L17" s="71"/>
      <c r="M17" s="71"/>
      <c r="N17" s="71"/>
      <c r="O17" s="71"/>
      <c r="P17" s="71"/>
      <c r="Q17" s="71"/>
    </row>
    <row r="18" spans="1:17" ht="20.100000000000001" customHeight="1" x14ac:dyDescent="0.25">
      <c r="D18" s="26" t="s">
        <v>202</v>
      </c>
      <c r="E18" s="26" t="s">
        <v>203</v>
      </c>
      <c r="F18" s="26">
        <v>1120</v>
      </c>
      <c r="G18" s="26" t="s">
        <v>204</v>
      </c>
      <c r="H18" s="73"/>
      <c r="I18" s="71"/>
      <c r="J18" s="71"/>
      <c r="K18" s="71"/>
      <c r="L18" s="71"/>
      <c r="M18" s="71"/>
      <c r="N18" s="71"/>
      <c r="O18" s="71"/>
      <c r="P18" s="71"/>
      <c r="Q18" s="71"/>
    </row>
    <row r="19" spans="1:17" ht="20.100000000000001" customHeight="1" x14ac:dyDescent="0.25">
      <c r="D19" s="26" t="s">
        <v>205</v>
      </c>
      <c r="E19" s="26" t="s">
        <v>206</v>
      </c>
      <c r="F19" s="26">
        <v>1300</v>
      </c>
      <c r="G19" s="26" t="s">
        <v>207</v>
      </c>
      <c r="H19" s="73"/>
      <c r="I19" s="71"/>
      <c r="J19" s="71"/>
      <c r="K19" s="71"/>
      <c r="L19" s="71"/>
      <c r="M19" s="71"/>
      <c r="N19" s="71"/>
      <c r="O19" s="71"/>
      <c r="P19" s="71"/>
      <c r="Q19" s="71"/>
    </row>
    <row r="20" spans="1:17" ht="20.100000000000001" customHeight="1" x14ac:dyDescent="0.25">
      <c r="A20" s="13"/>
      <c r="D20" s="26" t="s">
        <v>208</v>
      </c>
      <c r="E20" s="26" t="s">
        <v>209</v>
      </c>
      <c r="F20" s="26">
        <v>328</v>
      </c>
      <c r="G20" s="26" t="s">
        <v>210</v>
      </c>
      <c r="H20" s="73"/>
      <c r="I20" s="71"/>
      <c r="J20" s="71"/>
      <c r="K20" s="71"/>
      <c r="L20" s="71"/>
      <c r="M20" s="71"/>
      <c r="N20" s="71"/>
      <c r="O20" s="71"/>
      <c r="P20" s="71"/>
      <c r="Q20" s="71"/>
    </row>
    <row r="21" spans="1:17" ht="20.100000000000001" customHeight="1" x14ac:dyDescent="0.25">
      <c r="A21" s="13"/>
      <c r="D21" s="26" t="s">
        <v>211</v>
      </c>
      <c r="E21" s="26" t="s">
        <v>212</v>
      </c>
      <c r="F21" s="26">
        <v>4800</v>
      </c>
      <c r="G21" s="26" t="s">
        <v>213</v>
      </c>
      <c r="H21" s="73"/>
      <c r="I21" s="71"/>
      <c r="J21" s="71"/>
      <c r="K21" s="71"/>
      <c r="L21" s="71"/>
      <c r="M21" s="71"/>
      <c r="N21" s="71"/>
      <c r="O21" s="71"/>
      <c r="P21" s="71"/>
      <c r="Q21" s="71"/>
    </row>
    <row r="22" spans="1:17" ht="20.100000000000001" customHeight="1" x14ac:dyDescent="0.25">
      <c r="D22" s="26" t="s">
        <v>214</v>
      </c>
      <c r="E22" s="26" t="s">
        <v>215</v>
      </c>
      <c r="F22" s="26">
        <v>138</v>
      </c>
      <c r="G22" s="26" t="s">
        <v>216</v>
      </c>
      <c r="H22" s="73"/>
      <c r="I22" s="71"/>
      <c r="J22" s="71"/>
      <c r="K22" s="71"/>
      <c r="L22" s="71"/>
      <c r="M22" s="71"/>
      <c r="N22" s="71"/>
      <c r="O22" s="71"/>
      <c r="P22" s="71"/>
      <c r="Q22" s="71"/>
    </row>
    <row r="23" spans="1:17" ht="20.100000000000001" customHeight="1" x14ac:dyDescent="0.25">
      <c r="A23" s="13"/>
      <c r="D23" s="26" t="s">
        <v>217</v>
      </c>
      <c r="E23" s="26" t="s">
        <v>218</v>
      </c>
      <c r="F23" s="26">
        <v>3350</v>
      </c>
      <c r="G23" s="26" t="s">
        <v>219</v>
      </c>
      <c r="H23" s="73"/>
      <c r="I23" s="71"/>
      <c r="J23" s="71"/>
      <c r="K23" s="71"/>
      <c r="L23" s="71"/>
      <c r="M23" s="71"/>
      <c r="N23" s="71"/>
      <c r="O23" s="71"/>
      <c r="P23" s="71"/>
      <c r="Q23" s="71"/>
    </row>
    <row r="24" spans="1:17" ht="20.100000000000001" customHeight="1" x14ac:dyDescent="0.25">
      <c r="D24" s="26" t="s">
        <v>220</v>
      </c>
      <c r="E24" s="26" t="s">
        <v>221</v>
      </c>
      <c r="F24" s="26">
        <v>8060</v>
      </c>
      <c r="G24" s="26" t="s">
        <v>222</v>
      </c>
      <c r="H24" s="73"/>
      <c r="I24" s="71"/>
      <c r="J24" s="71"/>
      <c r="K24" s="71"/>
      <c r="L24" s="71"/>
      <c r="M24" s="71"/>
      <c r="N24" s="71"/>
      <c r="O24" s="71"/>
      <c r="P24" s="71"/>
      <c r="Q24" s="71"/>
    </row>
    <row r="25" spans="1:17" ht="20.100000000000001" customHeight="1" x14ac:dyDescent="0.25">
      <c r="D25" s="26" t="s">
        <v>223</v>
      </c>
      <c r="E25" s="26" t="s">
        <v>224</v>
      </c>
      <c r="F25" s="26">
        <v>716</v>
      </c>
      <c r="G25" s="26" t="s">
        <v>225</v>
      </c>
      <c r="H25" s="73"/>
      <c r="I25" s="71"/>
      <c r="J25" s="71"/>
      <c r="K25" s="71"/>
      <c r="L25" s="71"/>
      <c r="M25" s="71"/>
      <c r="N25" s="71"/>
      <c r="O25" s="71"/>
      <c r="P25" s="71"/>
      <c r="Q25" s="71"/>
    </row>
    <row r="26" spans="1:17" ht="20.100000000000001" customHeight="1" x14ac:dyDescent="0.25">
      <c r="D26" s="26" t="s">
        <v>226</v>
      </c>
      <c r="E26" s="26" t="s">
        <v>227</v>
      </c>
      <c r="F26" s="26">
        <v>858</v>
      </c>
      <c r="G26" s="26" t="s">
        <v>228</v>
      </c>
      <c r="H26" s="73"/>
      <c r="I26" s="71"/>
      <c r="J26" s="71"/>
      <c r="K26" s="71"/>
      <c r="L26" s="71"/>
      <c r="M26" s="71"/>
      <c r="N26" s="71"/>
      <c r="O26" s="71"/>
      <c r="P26" s="71"/>
      <c r="Q26" s="71"/>
    </row>
    <row r="27" spans="1:17" ht="20.100000000000001" customHeight="1" x14ac:dyDescent="0.25">
      <c r="D27" s="26" t="s">
        <v>229</v>
      </c>
      <c r="E27" s="26" t="s">
        <v>230</v>
      </c>
      <c r="F27" s="26">
        <v>804</v>
      </c>
      <c r="G27" s="26" t="s">
        <v>231</v>
      </c>
      <c r="H27" s="73"/>
      <c r="I27" s="71"/>
      <c r="J27" s="71"/>
      <c r="K27" s="71"/>
      <c r="L27" s="71"/>
      <c r="M27" s="71"/>
      <c r="N27" s="71"/>
      <c r="O27" s="71"/>
      <c r="P27" s="71"/>
      <c r="Q27" s="71"/>
    </row>
    <row r="28" spans="1:17" ht="20.100000000000001" customHeight="1" x14ac:dyDescent="0.25">
      <c r="D28" s="26" t="s">
        <v>232</v>
      </c>
      <c r="E28" s="26" t="s">
        <v>233</v>
      </c>
      <c r="F28" s="26">
        <v>1760</v>
      </c>
      <c r="G28" s="26" t="s">
        <v>234</v>
      </c>
      <c r="H28" s="73"/>
      <c r="I28" s="71"/>
      <c r="J28" s="71"/>
      <c r="K28" s="71"/>
      <c r="L28" s="71"/>
      <c r="M28" s="71"/>
      <c r="N28" s="71"/>
      <c r="O28" s="71"/>
      <c r="P28" s="71"/>
      <c r="Q28" s="71"/>
    </row>
    <row r="29" spans="1:17" ht="20.100000000000001" customHeight="1" x14ac:dyDescent="0.25">
      <c r="D29" s="73" t="s">
        <v>235</v>
      </c>
      <c r="E29" s="26" t="s">
        <v>236</v>
      </c>
      <c r="F29" s="26">
        <v>79</v>
      </c>
      <c r="G29" s="26" t="s">
        <v>237</v>
      </c>
      <c r="H29" s="73"/>
      <c r="I29" s="71"/>
      <c r="J29" s="71"/>
      <c r="K29" s="71"/>
      <c r="L29" s="71"/>
      <c r="M29" s="71"/>
      <c r="N29" s="71"/>
      <c r="O29" s="71"/>
      <c r="P29" s="71"/>
      <c r="Q29" s="71"/>
    </row>
    <row r="30" spans="1:17" ht="20.100000000000001" customHeight="1" x14ac:dyDescent="0.25">
      <c r="D30" s="73" t="s">
        <v>238</v>
      </c>
      <c r="E30" s="26" t="s">
        <v>239</v>
      </c>
      <c r="F30" s="26">
        <v>527</v>
      </c>
      <c r="G30" s="26" t="s">
        <v>240</v>
      </c>
      <c r="H30" s="73"/>
      <c r="I30" s="71"/>
      <c r="J30" s="71"/>
      <c r="K30" s="71"/>
      <c r="L30" s="71"/>
      <c r="M30" s="71"/>
      <c r="N30" s="71"/>
      <c r="O30" s="71"/>
      <c r="P30" s="71"/>
      <c r="Q30" s="71"/>
    </row>
    <row r="31" spans="1:17" ht="20.100000000000001" customHeight="1" x14ac:dyDescent="0.25">
      <c r="D31" s="73" t="s">
        <v>241</v>
      </c>
      <c r="E31" s="26" t="s">
        <v>242</v>
      </c>
      <c r="F31" s="26">
        <v>782</v>
      </c>
      <c r="G31" s="26" t="s">
        <v>243</v>
      </c>
      <c r="H31" s="73"/>
      <c r="I31" s="71"/>
      <c r="J31" s="71"/>
      <c r="K31" s="71"/>
      <c r="L31" s="71"/>
      <c r="M31" s="71"/>
      <c r="N31" s="71"/>
      <c r="O31" s="71"/>
      <c r="P31" s="71"/>
      <c r="Q31" s="71"/>
    </row>
    <row r="32" spans="1:17" ht="20.100000000000001" customHeight="1" x14ac:dyDescent="0.25">
      <c r="D32" s="73" t="s">
        <v>244</v>
      </c>
      <c r="E32" s="26" t="s">
        <v>245</v>
      </c>
      <c r="F32" s="26">
        <v>1980</v>
      </c>
      <c r="G32" s="26" t="s">
        <v>246</v>
      </c>
      <c r="H32" s="73"/>
      <c r="I32" s="71"/>
      <c r="J32" s="71"/>
      <c r="K32" s="71"/>
      <c r="L32" s="71"/>
      <c r="M32" s="71"/>
      <c r="N32" s="71"/>
      <c r="O32" s="71"/>
      <c r="P32" s="71"/>
      <c r="Q32" s="71"/>
    </row>
    <row r="33" spans="4:17" ht="20.100000000000001" customHeight="1" x14ac:dyDescent="0.25">
      <c r="D33" s="73" t="s">
        <v>247</v>
      </c>
      <c r="E33" s="26" t="s">
        <v>248</v>
      </c>
      <c r="F33" s="26">
        <v>127</v>
      </c>
      <c r="G33" s="26" t="s">
        <v>249</v>
      </c>
      <c r="H33" s="73"/>
      <c r="I33" s="71"/>
      <c r="J33" s="71"/>
      <c r="K33" s="71"/>
      <c r="L33" s="71"/>
      <c r="M33" s="71"/>
      <c r="N33" s="71"/>
      <c r="O33" s="71"/>
      <c r="P33" s="71"/>
      <c r="Q33" s="71"/>
    </row>
    <row r="34" spans="4:17" ht="20.100000000000001" customHeight="1" x14ac:dyDescent="0.25">
      <c r="D34" s="73" t="s">
        <v>250</v>
      </c>
      <c r="E34" s="26" t="s">
        <v>251</v>
      </c>
      <c r="F34" s="26">
        <v>525</v>
      </c>
      <c r="G34" s="26" t="s">
        <v>252</v>
      </c>
      <c r="H34" s="73"/>
      <c r="I34" s="71"/>
      <c r="J34" s="71"/>
      <c r="K34" s="71"/>
      <c r="L34" s="71"/>
      <c r="M34" s="71"/>
      <c r="N34" s="71"/>
      <c r="O34" s="71"/>
      <c r="P34" s="71"/>
      <c r="Q34" s="71"/>
    </row>
    <row r="35" spans="4:17" ht="20.100000000000001" customHeight="1" x14ac:dyDescent="0.25">
      <c r="D35" s="73" t="s">
        <v>253</v>
      </c>
      <c r="E35" s="26" t="s">
        <v>254</v>
      </c>
      <c r="F35" s="26">
        <v>6630</v>
      </c>
      <c r="G35" s="26" t="s">
        <v>255</v>
      </c>
      <c r="H35" s="73"/>
      <c r="I35" s="71"/>
      <c r="J35" s="71"/>
      <c r="K35" s="71"/>
      <c r="L35" s="71"/>
      <c r="M35" s="71"/>
      <c r="N35" s="71"/>
      <c r="O35" s="71"/>
      <c r="P35" s="71"/>
      <c r="Q35" s="71"/>
    </row>
    <row r="36" spans="4:17" ht="20.100000000000001" customHeight="1" x14ac:dyDescent="0.25">
      <c r="D36" s="73" t="s">
        <v>256</v>
      </c>
      <c r="E36" s="26" t="s">
        <v>257</v>
      </c>
      <c r="F36" s="26">
        <v>11100</v>
      </c>
      <c r="G36" s="26" t="s">
        <v>258</v>
      </c>
      <c r="H36" s="73"/>
      <c r="I36" s="71"/>
      <c r="J36" s="71"/>
      <c r="K36" s="71"/>
      <c r="L36" s="71"/>
      <c r="M36" s="71"/>
      <c r="N36" s="71"/>
      <c r="O36" s="71"/>
      <c r="P36" s="71"/>
      <c r="Q36" s="71"/>
    </row>
    <row r="37" spans="4:17" ht="20.100000000000001" customHeight="1" x14ac:dyDescent="0.25">
      <c r="D37" s="73" t="s">
        <v>259</v>
      </c>
      <c r="E37" s="26" t="s">
        <v>260</v>
      </c>
      <c r="F37" s="26">
        <v>8900</v>
      </c>
      <c r="G37" s="26" t="s">
        <v>261</v>
      </c>
      <c r="H37" s="73"/>
      <c r="I37" s="71"/>
      <c r="J37" s="71"/>
      <c r="K37" s="71"/>
      <c r="L37" s="71"/>
      <c r="M37" s="71"/>
      <c r="N37" s="71"/>
      <c r="O37" s="71"/>
      <c r="P37" s="71"/>
      <c r="Q37" s="71"/>
    </row>
    <row r="38" spans="4:17" ht="20.100000000000001" customHeight="1" x14ac:dyDescent="0.25">
      <c r="D38" s="73" t="s">
        <v>262</v>
      </c>
      <c r="E38" s="26" t="s">
        <v>263</v>
      </c>
      <c r="F38" s="26">
        <v>9200</v>
      </c>
      <c r="G38" s="26" t="s">
        <v>264</v>
      </c>
      <c r="H38" s="73"/>
      <c r="I38" s="71"/>
      <c r="J38" s="71"/>
      <c r="K38" s="71"/>
      <c r="L38" s="71"/>
      <c r="M38" s="71"/>
      <c r="N38" s="71"/>
      <c r="O38" s="71"/>
      <c r="P38" s="71"/>
      <c r="Q38" s="71"/>
    </row>
    <row r="39" spans="4:17" ht="20.100000000000001" customHeight="1" x14ac:dyDescent="0.25">
      <c r="D39" s="73" t="s">
        <v>265</v>
      </c>
      <c r="E39" s="26" t="s">
        <v>266</v>
      </c>
      <c r="F39" s="26">
        <v>9540</v>
      </c>
      <c r="G39" s="26" t="s">
        <v>267</v>
      </c>
      <c r="H39" s="73"/>
      <c r="I39" s="71"/>
      <c r="J39" s="71"/>
      <c r="K39" s="71"/>
      <c r="L39" s="71"/>
      <c r="M39" s="71"/>
      <c r="N39" s="71"/>
      <c r="O39" s="71"/>
      <c r="P39" s="71"/>
      <c r="Q39" s="71"/>
    </row>
    <row r="40" spans="4:17" ht="20.100000000000001" customHeight="1" x14ac:dyDescent="0.25">
      <c r="D40" s="73" t="s">
        <v>268</v>
      </c>
      <c r="E40" s="26" t="s">
        <v>269</v>
      </c>
      <c r="F40" s="26">
        <v>8550</v>
      </c>
      <c r="G40" s="26" t="s">
        <v>270</v>
      </c>
      <c r="H40" s="73"/>
      <c r="I40" s="71"/>
      <c r="J40" s="71"/>
      <c r="K40" s="71"/>
      <c r="L40" s="71"/>
      <c r="M40" s="71"/>
      <c r="N40" s="71"/>
      <c r="O40" s="71"/>
      <c r="P40" s="71"/>
      <c r="Q40" s="71"/>
    </row>
    <row r="41" spans="4:17" ht="20.100000000000001" customHeight="1" x14ac:dyDescent="0.25">
      <c r="D41" s="73" t="s">
        <v>271</v>
      </c>
      <c r="E41" s="26" t="s">
        <v>272</v>
      </c>
      <c r="F41" s="26">
        <v>7910</v>
      </c>
      <c r="G41" s="26" t="s">
        <v>273</v>
      </c>
      <c r="H41" s="73"/>
      <c r="I41" s="71"/>
      <c r="J41" s="71"/>
      <c r="K41" s="71"/>
      <c r="L41" s="71"/>
      <c r="M41" s="71"/>
      <c r="N41" s="71"/>
      <c r="O41" s="71"/>
      <c r="P41" s="71"/>
      <c r="Q41" s="71"/>
    </row>
    <row r="42" spans="4:17" ht="20.100000000000001" customHeight="1" x14ac:dyDescent="0.25">
      <c r="D42" s="73" t="s">
        <v>274</v>
      </c>
      <c r="E42" s="26" t="s">
        <v>275</v>
      </c>
      <c r="F42" s="26">
        <v>7190</v>
      </c>
      <c r="G42" s="26" t="s">
        <v>276</v>
      </c>
      <c r="H42" s="73"/>
      <c r="I42" s="71"/>
      <c r="J42" s="71"/>
      <c r="K42" s="71"/>
      <c r="L42" s="71"/>
      <c r="M42" s="71"/>
      <c r="N42" s="71"/>
      <c r="O42" s="71"/>
      <c r="P42" s="71"/>
      <c r="Q42" s="71"/>
    </row>
    <row r="43" spans="4:17" ht="20.100000000000001" customHeight="1" x14ac:dyDescent="0.25">
      <c r="D43" s="73" t="s">
        <v>277</v>
      </c>
      <c r="E43" s="73" t="s">
        <v>278</v>
      </c>
      <c r="F43" s="73">
        <v>10200</v>
      </c>
      <c r="G43" s="73" t="s">
        <v>277</v>
      </c>
      <c r="H43" s="73" t="s">
        <v>279</v>
      </c>
      <c r="I43" s="71"/>
      <c r="J43" s="71"/>
      <c r="K43" s="71"/>
      <c r="L43" s="71"/>
      <c r="M43" s="71"/>
      <c r="N43" s="71"/>
      <c r="O43" s="71"/>
      <c r="P43" s="71"/>
      <c r="Q43" s="71"/>
    </row>
    <row r="44" spans="4:17" ht="20.100000000000001" customHeight="1" x14ac:dyDescent="0.25">
      <c r="D44" s="73" t="s">
        <v>280</v>
      </c>
      <c r="E44" s="73" t="s">
        <v>281</v>
      </c>
      <c r="F44" s="73">
        <v>13900</v>
      </c>
      <c r="G44" s="73" t="s">
        <v>280</v>
      </c>
      <c r="H44" s="73" t="s">
        <v>279</v>
      </c>
      <c r="I44" s="71"/>
      <c r="J44" s="71"/>
      <c r="K44" s="71"/>
      <c r="L44" s="71"/>
      <c r="M44" s="71"/>
      <c r="N44" s="71"/>
      <c r="O44" s="71"/>
      <c r="P44" s="71"/>
      <c r="Q44" s="71"/>
    </row>
    <row r="45" spans="4:17" ht="20.100000000000001" customHeight="1" x14ac:dyDescent="0.25">
      <c r="D45" s="73" t="s">
        <v>282</v>
      </c>
      <c r="E45" s="73" t="s">
        <v>283</v>
      </c>
      <c r="F45" s="73">
        <v>8590</v>
      </c>
      <c r="G45" s="73" t="s">
        <v>282</v>
      </c>
      <c r="H45" s="73" t="s">
        <v>279</v>
      </c>
      <c r="I45" s="71"/>
      <c r="J45" s="71"/>
      <c r="K45" s="71"/>
      <c r="L45" s="71"/>
      <c r="M45" s="71"/>
      <c r="N45" s="71"/>
      <c r="O45" s="71"/>
      <c r="P45" s="71"/>
      <c r="Q45" s="71"/>
    </row>
    <row r="46" spans="4:17" ht="20.100000000000001" customHeight="1" x14ac:dyDescent="0.25">
      <c r="D46" s="73" t="s">
        <v>284</v>
      </c>
      <c r="E46" s="73" t="s">
        <v>285</v>
      </c>
      <c r="F46" s="73">
        <v>7670</v>
      </c>
      <c r="G46" s="73" t="s">
        <v>284</v>
      </c>
      <c r="H46" s="73" t="s">
        <v>279</v>
      </c>
      <c r="I46" s="71"/>
      <c r="J46" s="71"/>
      <c r="K46" s="71"/>
      <c r="L46" s="71"/>
      <c r="M46" s="71"/>
      <c r="N46" s="71"/>
      <c r="O46" s="71"/>
      <c r="P46" s="71"/>
      <c r="Q46" s="71"/>
    </row>
    <row r="47" spans="4:17" ht="20.100000000000001" customHeight="1" x14ac:dyDescent="0.25">
      <c r="D47" s="71"/>
      <c r="E47" s="71"/>
      <c r="F47" s="71"/>
      <c r="G47" s="71"/>
      <c r="H47" s="71"/>
      <c r="I47" s="71"/>
      <c r="J47" s="71"/>
      <c r="K47" s="71"/>
      <c r="L47" s="71"/>
      <c r="M47" s="71"/>
      <c r="N47" s="71"/>
      <c r="O47" s="71"/>
      <c r="P47" s="71"/>
      <c r="Q47" s="71"/>
    </row>
    <row r="48" spans="4:17" ht="20.100000000000001" customHeight="1" x14ac:dyDescent="0.25">
      <c r="D48" s="74"/>
      <c r="E48" s="74"/>
      <c r="F48" s="74"/>
      <c r="G48" s="74"/>
      <c r="H48" s="75"/>
      <c r="I48" s="75"/>
      <c r="J48" s="75"/>
      <c r="K48" s="75"/>
      <c r="L48" s="75"/>
      <c r="M48" s="75"/>
      <c r="N48" s="75"/>
      <c r="O48" s="75"/>
      <c r="P48" s="75"/>
      <c r="Q48" s="75"/>
    </row>
    <row r="49" spans="4:17" ht="20.100000000000001" customHeight="1" x14ac:dyDescent="0.25">
      <c r="D49" s="5" t="s">
        <v>286</v>
      </c>
      <c r="H49" s="71"/>
      <c r="I49" s="71"/>
      <c r="J49" s="71"/>
      <c r="K49" s="71"/>
      <c r="L49" s="71"/>
      <c r="M49" s="71"/>
      <c r="N49" s="71"/>
      <c r="O49" s="71"/>
      <c r="P49" s="71"/>
      <c r="Q49" s="71"/>
    </row>
    <row r="50" spans="4:17" ht="20.100000000000001" customHeight="1" x14ac:dyDescent="0.25">
      <c r="D50" s="4" t="s">
        <v>287</v>
      </c>
      <c r="E50" s="71"/>
      <c r="F50" s="71"/>
      <c r="G50" s="71"/>
      <c r="H50" s="71"/>
      <c r="I50" s="71"/>
      <c r="J50" s="71"/>
      <c r="K50" s="71"/>
      <c r="L50" s="71"/>
      <c r="M50" s="71"/>
      <c r="N50" s="71"/>
      <c r="O50" s="71"/>
      <c r="P50" s="71"/>
      <c r="Q50" s="71"/>
    </row>
    <row r="51" spans="4:17" ht="20.100000000000001" customHeight="1" x14ac:dyDescent="0.25">
      <c r="D51" s="31" t="str" cm="1">
        <f t="array" ref="D51">"⚠️" &amp; Refrigerants_SourceData.Refrigerants_ChemicalBlends_Variation()</f>
        <v>⚠️VARIATION OF SOURCE DATA: Fixed typo - changed HC600a to HC-600a for blend R-414B. Fixed typo for blend R-405A - Changed HCFC142b to HCFC-142b.</v>
      </c>
      <c r="H51" s="71"/>
      <c r="I51" s="71"/>
      <c r="J51" s="71"/>
      <c r="K51" s="71"/>
      <c r="L51" s="71"/>
      <c r="M51" s="71"/>
      <c r="N51" s="71"/>
      <c r="O51" s="71"/>
      <c r="P51" s="71"/>
      <c r="Q51" s="71"/>
    </row>
    <row r="52" spans="4:17" ht="20.100000000000001" customHeight="1" x14ac:dyDescent="0.25">
      <c r="D52" s="73" t="s">
        <v>104</v>
      </c>
      <c r="E52" s="73" t="s">
        <v>105</v>
      </c>
      <c r="F52" s="73" t="s">
        <v>106</v>
      </c>
      <c r="G52" s="71"/>
      <c r="H52" s="71"/>
      <c r="I52" s="71"/>
      <c r="J52" s="71"/>
      <c r="K52" s="71"/>
      <c r="L52" s="71"/>
      <c r="M52" s="71"/>
      <c r="N52" s="71"/>
      <c r="O52" s="71"/>
      <c r="P52" s="71"/>
      <c r="Q52" s="71"/>
    </row>
    <row r="53" spans="4:17" ht="20.100000000000001" customHeight="1" x14ac:dyDescent="0.25">
      <c r="D53" s="73" t="s">
        <v>288</v>
      </c>
      <c r="E53" s="73" t="s">
        <v>289</v>
      </c>
      <c r="F53" s="73" t="s">
        <v>290</v>
      </c>
      <c r="G53" s="71"/>
      <c r="H53" s="71"/>
      <c r="I53" s="71"/>
      <c r="J53" s="71"/>
      <c r="K53" s="71"/>
      <c r="L53" s="71"/>
      <c r="M53" s="71"/>
      <c r="N53" s="71"/>
      <c r="O53" s="71"/>
      <c r="P53" s="71"/>
      <c r="Q53" s="71"/>
    </row>
    <row r="54" spans="4:17" ht="20.100000000000001" customHeight="1" x14ac:dyDescent="0.25">
      <c r="D54" s="73" t="s">
        <v>291</v>
      </c>
      <c r="E54" s="73" t="s">
        <v>292</v>
      </c>
      <c r="F54" s="73" t="s">
        <v>293</v>
      </c>
      <c r="G54" s="71"/>
      <c r="H54" s="71"/>
      <c r="I54" s="71"/>
      <c r="J54" s="71"/>
      <c r="K54" s="71"/>
      <c r="L54" s="71"/>
      <c r="M54" s="71"/>
      <c r="N54" s="71"/>
      <c r="O54" s="71"/>
      <c r="P54" s="71"/>
      <c r="Q54" s="71"/>
    </row>
    <row r="55" spans="4:17" ht="20.100000000000001" customHeight="1" x14ac:dyDescent="0.25">
      <c r="D55" s="73" t="s">
        <v>294</v>
      </c>
      <c r="E55" s="73" t="s">
        <v>292</v>
      </c>
      <c r="F55" s="73" t="s">
        <v>295</v>
      </c>
      <c r="G55" s="71"/>
      <c r="H55" s="71"/>
      <c r="I55" s="71"/>
      <c r="J55" s="71"/>
      <c r="K55" s="71"/>
      <c r="L55" s="71"/>
      <c r="M55" s="71"/>
      <c r="N55" s="71"/>
      <c r="O55" s="71"/>
      <c r="P55" s="71"/>
      <c r="Q55" s="71"/>
    </row>
    <row r="56" spans="4:17" ht="20.100000000000001" customHeight="1" x14ac:dyDescent="0.25">
      <c r="D56" s="73" t="s">
        <v>296</v>
      </c>
      <c r="E56" s="73" t="s">
        <v>292</v>
      </c>
      <c r="F56" s="73" t="s">
        <v>297</v>
      </c>
      <c r="G56" s="71"/>
      <c r="H56" s="71"/>
      <c r="I56" s="71"/>
      <c r="J56" s="71"/>
      <c r="K56" s="71"/>
      <c r="L56" s="71"/>
      <c r="M56" s="71"/>
      <c r="N56" s="71"/>
      <c r="O56" s="71"/>
      <c r="P56" s="71"/>
      <c r="Q56" s="71"/>
    </row>
    <row r="57" spans="4:17" ht="20.100000000000001" customHeight="1" x14ac:dyDescent="0.25">
      <c r="D57" s="73" t="s">
        <v>95</v>
      </c>
      <c r="E57" s="73" t="s">
        <v>298</v>
      </c>
      <c r="F57" s="73" t="s">
        <v>299</v>
      </c>
      <c r="G57" s="71"/>
      <c r="H57" s="71"/>
      <c r="I57" s="71"/>
      <c r="J57" s="71"/>
      <c r="K57" s="71"/>
      <c r="L57" s="71"/>
      <c r="M57" s="71"/>
      <c r="N57" s="71"/>
      <c r="O57" s="71"/>
      <c r="P57" s="71"/>
      <c r="Q57" s="71"/>
    </row>
    <row r="58" spans="4:17" ht="20.100000000000001" customHeight="1" x14ac:dyDescent="0.25">
      <c r="D58" s="73" t="s">
        <v>300</v>
      </c>
      <c r="E58" s="73" t="s">
        <v>298</v>
      </c>
      <c r="F58" s="73" t="s">
        <v>301</v>
      </c>
      <c r="G58" s="71"/>
      <c r="H58" s="71"/>
      <c r="I58" s="71"/>
      <c r="J58" s="71"/>
      <c r="K58" s="71"/>
      <c r="L58" s="71"/>
      <c r="M58" s="71"/>
      <c r="N58" s="71"/>
      <c r="O58" s="71"/>
      <c r="P58" s="71"/>
      <c r="Q58" s="71"/>
    </row>
    <row r="59" spans="4:17" ht="20.100000000000001" customHeight="1" x14ac:dyDescent="0.25">
      <c r="D59" s="73" t="s">
        <v>302</v>
      </c>
      <c r="E59" s="73" t="s">
        <v>303</v>
      </c>
      <c r="F59" s="73" t="s">
        <v>304</v>
      </c>
      <c r="G59" s="71"/>
      <c r="H59" s="71"/>
      <c r="I59" s="71"/>
      <c r="J59" s="71"/>
      <c r="K59" s="71"/>
      <c r="L59" s="71"/>
      <c r="M59" s="71"/>
      <c r="N59" s="71"/>
      <c r="O59" s="71"/>
      <c r="P59" s="71"/>
      <c r="Q59" s="71"/>
    </row>
    <row r="60" spans="4:17" ht="20.100000000000001" customHeight="1" x14ac:dyDescent="0.25">
      <c r="D60" s="73" t="s">
        <v>305</v>
      </c>
      <c r="E60" s="73" t="s">
        <v>303</v>
      </c>
      <c r="F60" s="73" t="s">
        <v>306</v>
      </c>
      <c r="G60" s="71"/>
      <c r="H60" s="71"/>
      <c r="I60" s="71"/>
      <c r="J60" s="71"/>
      <c r="K60" s="71"/>
      <c r="L60" s="71"/>
      <c r="M60" s="71"/>
      <c r="N60" s="71"/>
      <c r="O60" s="71"/>
      <c r="P60" s="71"/>
      <c r="Q60" s="71"/>
    </row>
    <row r="61" spans="4:17" ht="20.100000000000001" customHeight="1" x14ac:dyDescent="0.25">
      <c r="D61" s="73" t="s">
        <v>307</v>
      </c>
      <c r="E61" s="73" t="s">
        <v>308</v>
      </c>
      <c r="F61" s="73" t="s">
        <v>309</v>
      </c>
      <c r="G61" s="71"/>
      <c r="H61" s="71"/>
      <c r="I61" s="71"/>
      <c r="J61" s="71"/>
      <c r="K61" s="71"/>
      <c r="L61" s="71"/>
      <c r="M61" s="71"/>
      <c r="N61" s="71"/>
      <c r="O61" s="71"/>
      <c r="P61" s="71"/>
      <c r="Q61" s="71"/>
    </row>
    <row r="62" spans="4:17" ht="20.100000000000001" customHeight="1" x14ac:dyDescent="0.25">
      <c r="D62" s="73" t="s">
        <v>310</v>
      </c>
      <c r="E62" s="73" t="s">
        <v>311</v>
      </c>
      <c r="F62" s="73" t="s">
        <v>312</v>
      </c>
      <c r="G62" s="71"/>
      <c r="H62" s="71"/>
      <c r="I62" s="71"/>
      <c r="J62" s="71"/>
      <c r="K62" s="71"/>
      <c r="L62" s="71"/>
      <c r="M62" s="71"/>
      <c r="N62" s="71"/>
      <c r="O62" s="71"/>
      <c r="P62" s="71"/>
      <c r="Q62" s="71"/>
    </row>
    <row r="63" spans="4:17" ht="20.100000000000001" customHeight="1" x14ac:dyDescent="0.25">
      <c r="D63" s="73" t="s">
        <v>313</v>
      </c>
      <c r="E63" s="73" t="s">
        <v>314</v>
      </c>
      <c r="F63" s="73" t="s">
        <v>315</v>
      </c>
      <c r="G63" s="71"/>
      <c r="H63" s="71"/>
      <c r="I63" s="71"/>
      <c r="J63" s="71"/>
      <c r="K63" s="71"/>
      <c r="L63" s="71"/>
      <c r="M63" s="71"/>
      <c r="N63" s="71"/>
      <c r="O63" s="71"/>
      <c r="P63" s="71"/>
      <c r="Q63" s="71"/>
    </row>
    <row r="64" spans="4:17" ht="20.100000000000001" customHeight="1" x14ac:dyDescent="0.25">
      <c r="D64" s="73" t="s">
        <v>316</v>
      </c>
      <c r="E64" s="73" t="s">
        <v>317</v>
      </c>
      <c r="F64" s="73" t="s">
        <v>318</v>
      </c>
      <c r="G64" s="71"/>
      <c r="H64" s="71"/>
      <c r="I64" s="71"/>
      <c r="J64" s="71"/>
      <c r="K64" s="71"/>
      <c r="L64" s="71"/>
      <c r="M64" s="71"/>
      <c r="N64" s="71"/>
      <c r="O64" s="71"/>
      <c r="P64" s="71"/>
      <c r="Q64" s="71"/>
    </row>
    <row r="65" spans="4:17" ht="20.100000000000001" customHeight="1" x14ac:dyDescent="0.25">
      <c r="D65" s="73" t="s">
        <v>319</v>
      </c>
      <c r="E65" s="73" t="s">
        <v>317</v>
      </c>
      <c r="F65" s="73" t="s">
        <v>320</v>
      </c>
      <c r="G65" s="71"/>
      <c r="H65" s="71"/>
      <c r="I65" s="71"/>
      <c r="J65" s="71"/>
      <c r="K65" s="71"/>
      <c r="L65" s="71"/>
      <c r="M65" s="71"/>
      <c r="N65" s="71"/>
      <c r="O65" s="71"/>
      <c r="P65" s="71"/>
      <c r="Q65" s="71"/>
    </row>
    <row r="66" spans="4:17" ht="20.100000000000001" customHeight="1" x14ac:dyDescent="0.25">
      <c r="D66" s="73" t="s">
        <v>321</v>
      </c>
      <c r="E66" s="73" t="s">
        <v>317</v>
      </c>
      <c r="F66" s="73" t="s">
        <v>322</v>
      </c>
      <c r="G66" s="71"/>
      <c r="H66" s="71"/>
      <c r="I66" s="71"/>
      <c r="J66" s="71"/>
      <c r="K66" s="71"/>
      <c r="L66" s="71"/>
      <c r="M66" s="71"/>
      <c r="N66" s="71"/>
      <c r="O66" s="71"/>
      <c r="P66" s="71"/>
      <c r="Q66" s="71"/>
    </row>
    <row r="67" spans="4:17" ht="20.100000000000001" customHeight="1" x14ac:dyDescent="0.25">
      <c r="D67" s="73" t="s">
        <v>323</v>
      </c>
      <c r="E67" s="73" t="s">
        <v>317</v>
      </c>
      <c r="F67" s="73" t="s">
        <v>324</v>
      </c>
      <c r="G67" s="71"/>
      <c r="H67" s="71"/>
      <c r="I67" s="71"/>
      <c r="J67" s="71"/>
      <c r="K67" s="71"/>
      <c r="L67" s="71"/>
      <c r="M67" s="71"/>
      <c r="N67" s="71"/>
      <c r="O67" s="71"/>
      <c r="P67" s="71"/>
      <c r="Q67" s="71"/>
    </row>
    <row r="68" spans="4:17" ht="20.100000000000001" customHeight="1" x14ac:dyDescent="0.25">
      <c r="D68" s="73" t="s">
        <v>325</v>
      </c>
      <c r="E68" s="73" t="s">
        <v>317</v>
      </c>
      <c r="F68" s="73" t="s">
        <v>326</v>
      </c>
      <c r="G68" s="71"/>
      <c r="H68" s="71"/>
      <c r="I68" s="71"/>
      <c r="J68" s="71"/>
      <c r="K68" s="71"/>
      <c r="L68" s="71"/>
      <c r="M68" s="71"/>
      <c r="N68" s="71"/>
      <c r="O68" s="71"/>
      <c r="P68" s="71"/>
      <c r="Q68" s="71"/>
    </row>
    <row r="69" spans="4:17" ht="20.100000000000001" customHeight="1" x14ac:dyDescent="0.25">
      <c r="D69" s="73" t="s">
        <v>327</v>
      </c>
      <c r="E69" s="73" t="s">
        <v>328</v>
      </c>
      <c r="F69" s="73" t="s">
        <v>329</v>
      </c>
      <c r="G69" s="71"/>
      <c r="H69" s="71"/>
      <c r="I69" s="71"/>
      <c r="J69" s="71"/>
      <c r="K69" s="71"/>
      <c r="L69" s="71"/>
      <c r="M69" s="71"/>
      <c r="N69" s="71"/>
      <c r="O69" s="71"/>
      <c r="P69" s="71"/>
      <c r="Q69" s="71"/>
    </row>
    <row r="70" spans="4:17" ht="20.100000000000001" customHeight="1" x14ac:dyDescent="0.25">
      <c r="D70" s="73" t="s">
        <v>330</v>
      </c>
      <c r="E70" s="73" t="s">
        <v>331</v>
      </c>
      <c r="F70" s="73" t="s">
        <v>332</v>
      </c>
      <c r="G70" s="71"/>
      <c r="H70" s="71"/>
      <c r="I70" s="71"/>
      <c r="J70" s="71"/>
      <c r="K70" s="71"/>
      <c r="L70" s="71"/>
      <c r="M70" s="71"/>
      <c r="N70" s="71"/>
      <c r="O70" s="71"/>
      <c r="P70" s="71"/>
      <c r="Q70" s="71"/>
    </row>
    <row r="71" spans="4:17" ht="20.100000000000001" customHeight="1" x14ac:dyDescent="0.25">
      <c r="D71" s="73" t="s">
        <v>333</v>
      </c>
      <c r="E71" s="73" t="s">
        <v>331</v>
      </c>
      <c r="F71" s="73" t="s">
        <v>334</v>
      </c>
      <c r="G71" s="71"/>
      <c r="H71" s="71"/>
      <c r="I71" s="71"/>
      <c r="J71" s="71"/>
      <c r="K71" s="71"/>
      <c r="L71" s="71"/>
      <c r="M71" s="71"/>
      <c r="N71" s="71"/>
      <c r="O71" s="71"/>
      <c r="P71" s="71"/>
      <c r="Q71" s="71"/>
    </row>
    <row r="72" spans="4:17" ht="20.100000000000001" customHeight="1" x14ac:dyDescent="0.25">
      <c r="D72" s="73" t="s">
        <v>335</v>
      </c>
      <c r="E72" s="73" t="s">
        <v>336</v>
      </c>
      <c r="F72" s="73" t="s">
        <v>337</v>
      </c>
      <c r="G72" s="71"/>
      <c r="H72" s="71"/>
      <c r="I72" s="71"/>
      <c r="J72" s="71"/>
      <c r="K72" s="71"/>
      <c r="L72" s="71"/>
      <c r="M72" s="71"/>
      <c r="N72" s="71"/>
      <c r="O72" s="71"/>
      <c r="P72" s="71"/>
      <c r="Q72" s="71"/>
    </row>
    <row r="73" spans="4:17" ht="20.100000000000001" customHeight="1" x14ac:dyDescent="0.25">
      <c r="D73" s="73" t="s">
        <v>338</v>
      </c>
      <c r="E73" s="73" t="s">
        <v>336</v>
      </c>
      <c r="F73" s="73" t="s">
        <v>339</v>
      </c>
      <c r="G73" s="71"/>
      <c r="H73" s="71"/>
      <c r="I73" s="71"/>
      <c r="J73" s="71"/>
      <c r="K73" s="71"/>
      <c r="L73" s="71"/>
      <c r="M73" s="71"/>
      <c r="N73" s="71"/>
      <c r="O73" s="71"/>
      <c r="P73" s="71"/>
      <c r="Q73" s="71"/>
    </row>
    <row r="74" spans="4:17" ht="20.100000000000001" customHeight="1" x14ac:dyDescent="0.25">
      <c r="D74" s="73" t="s">
        <v>340</v>
      </c>
      <c r="E74" s="73" t="s">
        <v>341</v>
      </c>
      <c r="F74" s="73" t="s">
        <v>342</v>
      </c>
      <c r="G74" s="71"/>
      <c r="H74" s="71"/>
      <c r="I74" s="71"/>
      <c r="J74" s="71"/>
      <c r="K74" s="71"/>
      <c r="L74" s="71"/>
      <c r="M74" s="71"/>
      <c r="N74" s="71"/>
      <c r="O74" s="71"/>
      <c r="P74" s="71"/>
      <c r="Q74" s="71"/>
    </row>
    <row r="75" spans="4:17" ht="20.100000000000001" customHeight="1" x14ac:dyDescent="0.25">
      <c r="D75" s="73" t="s">
        <v>343</v>
      </c>
      <c r="E75" s="73" t="s">
        <v>341</v>
      </c>
      <c r="F75" s="73" t="s">
        <v>344</v>
      </c>
      <c r="G75" s="71"/>
      <c r="H75" s="71"/>
      <c r="I75" s="71"/>
      <c r="J75" s="71"/>
      <c r="K75" s="71"/>
      <c r="L75" s="71"/>
      <c r="M75" s="71"/>
      <c r="N75" s="71"/>
      <c r="O75" s="71"/>
      <c r="P75" s="71"/>
      <c r="Q75" s="71"/>
    </row>
    <row r="76" spans="4:17" ht="20.100000000000001" customHeight="1" x14ac:dyDescent="0.25">
      <c r="D76" s="73" t="s">
        <v>345</v>
      </c>
      <c r="E76" s="73" t="s">
        <v>341</v>
      </c>
      <c r="F76" s="73" t="s">
        <v>346</v>
      </c>
      <c r="G76" s="71"/>
      <c r="H76" s="71"/>
      <c r="I76" s="71"/>
      <c r="J76" s="71"/>
      <c r="K76" s="71"/>
      <c r="L76" s="71"/>
      <c r="M76" s="71"/>
      <c r="N76" s="71"/>
      <c r="O76" s="71"/>
      <c r="P76" s="71"/>
      <c r="Q76" s="71"/>
    </row>
    <row r="77" spans="4:17" ht="20.100000000000001" customHeight="1" x14ac:dyDescent="0.25">
      <c r="D77" s="73" t="s">
        <v>347</v>
      </c>
      <c r="E77" s="73" t="s">
        <v>348</v>
      </c>
      <c r="F77" s="73" t="s">
        <v>349</v>
      </c>
      <c r="G77" s="71"/>
      <c r="H77" s="71"/>
      <c r="I77" s="71"/>
      <c r="J77" s="71"/>
      <c r="K77" s="71"/>
      <c r="L77" s="71"/>
      <c r="M77" s="71"/>
      <c r="N77" s="71"/>
      <c r="O77" s="71"/>
      <c r="P77" s="71"/>
      <c r="Q77" s="71"/>
    </row>
    <row r="78" spans="4:17" ht="20.100000000000001" customHeight="1" x14ac:dyDescent="0.25">
      <c r="D78" s="73" t="s">
        <v>350</v>
      </c>
      <c r="E78" s="73" t="s">
        <v>351</v>
      </c>
      <c r="F78" s="73" t="s">
        <v>352</v>
      </c>
      <c r="G78" s="71"/>
      <c r="H78" s="71"/>
      <c r="I78" s="71"/>
      <c r="J78" s="71"/>
      <c r="K78" s="71"/>
      <c r="L78" s="71"/>
      <c r="M78" s="71"/>
      <c r="N78" s="71"/>
      <c r="O78" s="71"/>
      <c r="P78" s="71"/>
      <c r="Q78" s="71"/>
    </row>
    <row r="79" spans="4:17" ht="20.100000000000001" customHeight="1" x14ac:dyDescent="0.25">
      <c r="D79" s="73" t="s">
        <v>353</v>
      </c>
      <c r="E79" s="73" t="s">
        <v>354</v>
      </c>
      <c r="F79" s="73" t="s">
        <v>355</v>
      </c>
      <c r="G79" s="71"/>
      <c r="H79" s="71"/>
      <c r="I79" s="71"/>
      <c r="J79" s="71"/>
      <c r="K79" s="71"/>
      <c r="L79" s="71"/>
      <c r="M79" s="71"/>
      <c r="N79" s="71"/>
      <c r="O79" s="71"/>
      <c r="P79" s="71"/>
      <c r="Q79" s="71"/>
    </row>
    <row r="80" spans="4:17" ht="20.100000000000001" customHeight="1" x14ac:dyDescent="0.25">
      <c r="D80" s="73" t="s">
        <v>356</v>
      </c>
      <c r="E80" s="73" t="s">
        <v>354</v>
      </c>
      <c r="F80" s="73" t="s">
        <v>357</v>
      </c>
      <c r="G80" s="71"/>
      <c r="H80" s="71"/>
      <c r="I80" s="71"/>
      <c r="J80" s="71"/>
      <c r="K80" s="71"/>
      <c r="L80" s="71"/>
      <c r="M80" s="71"/>
      <c r="N80" s="71"/>
      <c r="O80" s="71"/>
      <c r="P80" s="71"/>
      <c r="Q80" s="71"/>
    </row>
    <row r="81" spans="4:17" ht="20.100000000000001" customHeight="1" x14ac:dyDescent="0.25">
      <c r="D81" s="73" t="s">
        <v>358</v>
      </c>
      <c r="E81" s="73" t="s">
        <v>359</v>
      </c>
      <c r="F81" s="73" t="s">
        <v>360</v>
      </c>
      <c r="G81" s="71"/>
      <c r="H81" s="71"/>
      <c r="I81" s="71"/>
      <c r="J81" s="71"/>
      <c r="K81" s="71"/>
      <c r="L81" s="71"/>
      <c r="M81" s="71"/>
      <c r="N81" s="71"/>
      <c r="O81" s="71"/>
      <c r="P81" s="71"/>
      <c r="Q81" s="71"/>
    </row>
    <row r="82" spans="4:17" ht="20.100000000000001" customHeight="1" x14ac:dyDescent="0.25">
      <c r="D82" s="73" t="s">
        <v>361</v>
      </c>
      <c r="E82" s="73" t="s">
        <v>359</v>
      </c>
      <c r="F82" s="73" t="s">
        <v>362</v>
      </c>
      <c r="G82" s="71"/>
      <c r="H82" s="71"/>
      <c r="I82" s="71"/>
      <c r="J82" s="71"/>
      <c r="K82" s="71"/>
      <c r="L82" s="71"/>
      <c r="M82" s="71"/>
      <c r="N82" s="71"/>
      <c r="O82" s="71"/>
      <c r="P82" s="71"/>
      <c r="Q82" s="71"/>
    </row>
    <row r="83" spans="4:17" ht="20.100000000000001" customHeight="1" x14ac:dyDescent="0.25">
      <c r="D83" s="73" t="s">
        <v>363</v>
      </c>
      <c r="E83" s="73" t="s">
        <v>364</v>
      </c>
      <c r="F83" s="73" t="s">
        <v>365</v>
      </c>
      <c r="G83" s="71"/>
      <c r="H83" s="71"/>
      <c r="I83" s="71"/>
      <c r="J83" s="71"/>
      <c r="K83" s="71"/>
      <c r="L83" s="71"/>
      <c r="M83" s="71"/>
      <c r="N83" s="71"/>
      <c r="O83" s="71"/>
      <c r="P83" s="71"/>
      <c r="Q83" s="71"/>
    </row>
    <row r="84" spans="4:17" ht="20.100000000000001" customHeight="1" x14ac:dyDescent="0.25">
      <c r="D84" s="73" t="s">
        <v>366</v>
      </c>
      <c r="E84" s="73" t="s">
        <v>367</v>
      </c>
      <c r="F84" s="73" t="s">
        <v>368</v>
      </c>
      <c r="G84" s="71"/>
      <c r="H84" s="71"/>
      <c r="I84" s="71"/>
      <c r="J84" s="71"/>
      <c r="K84" s="71"/>
      <c r="L84" s="71"/>
      <c r="M84" s="71"/>
      <c r="N84" s="71"/>
      <c r="O84" s="71"/>
      <c r="P84" s="71"/>
      <c r="Q84" s="71"/>
    </row>
    <row r="85" spans="4:17" ht="20.100000000000001" customHeight="1" x14ac:dyDescent="0.25">
      <c r="D85" s="73" t="s">
        <v>369</v>
      </c>
      <c r="E85" s="73" t="s">
        <v>370</v>
      </c>
      <c r="F85" s="73" t="s">
        <v>371</v>
      </c>
      <c r="G85" s="71"/>
      <c r="H85" s="71"/>
      <c r="I85" s="71"/>
      <c r="J85" s="71"/>
      <c r="K85" s="71"/>
      <c r="L85" s="71"/>
      <c r="M85" s="71"/>
      <c r="N85" s="71"/>
      <c r="O85" s="71"/>
      <c r="P85" s="71"/>
      <c r="Q85" s="71"/>
    </row>
    <row r="86" spans="4:17" ht="20.100000000000001" customHeight="1" x14ac:dyDescent="0.25">
      <c r="D86" s="73" t="s">
        <v>372</v>
      </c>
      <c r="E86" s="73" t="s">
        <v>373</v>
      </c>
      <c r="F86" s="73" t="s">
        <v>374</v>
      </c>
      <c r="G86" s="71"/>
      <c r="H86" s="71"/>
      <c r="I86" s="71"/>
      <c r="J86" s="71"/>
      <c r="K86" s="71"/>
      <c r="L86" s="71"/>
      <c r="M86" s="71"/>
      <c r="N86" s="71"/>
      <c r="O86" s="71"/>
      <c r="P86" s="71"/>
      <c r="Q86" s="71"/>
    </row>
    <row r="87" spans="4:17" ht="20.100000000000001" customHeight="1" x14ac:dyDescent="0.25">
      <c r="D87" s="73" t="s">
        <v>375</v>
      </c>
      <c r="E87" s="73" t="s">
        <v>376</v>
      </c>
      <c r="F87" s="73" t="s">
        <v>377</v>
      </c>
      <c r="G87" s="71"/>
      <c r="H87" s="71"/>
      <c r="I87" s="71"/>
      <c r="J87" s="71"/>
      <c r="K87" s="71"/>
      <c r="L87" s="71"/>
      <c r="M87" s="71"/>
      <c r="N87" s="71"/>
      <c r="O87" s="71"/>
      <c r="P87" s="71"/>
      <c r="Q87" s="71"/>
    </row>
    <row r="88" spans="4:17" ht="20.100000000000001" customHeight="1" x14ac:dyDescent="0.25">
      <c r="D88" s="73" t="s">
        <v>378</v>
      </c>
      <c r="E88" s="73" t="s">
        <v>379</v>
      </c>
      <c r="F88" s="73" t="s">
        <v>380</v>
      </c>
      <c r="G88" s="71"/>
      <c r="H88" s="71"/>
      <c r="I88" s="71"/>
      <c r="J88" s="71"/>
      <c r="K88" s="71"/>
      <c r="L88" s="71"/>
      <c r="M88" s="71"/>
      <c r="N88" s="71"/>
      <c r="O88" s="71"/>
      <c r="P88" s="71"/>
      <c r="Q88" s="71"/>
    </row>
    <row r="89" spans="4:17" ht="20.100000000000001" customHeight="1" x14ac:dyDescent="0.25">
      <c r="D89" s="73" t="s">
        <v>381</v>
      </c>
      <c r="E89" s="73" t="s">
        <v>382</v>
      </c>
      <c r="F89" s="73" t="s">
        <v>383</v>
      </c>
      <c r="G89" s="71"/>
      <c r="H89" s="71"/>
      <c r="I89" s="71"/>
      <c r="J89" s="71"/>
      <c r="K89" s="71"/>
      <c r="L89" s="71"/>
      <c r="M89" s="71"/>
      <c r="N89" s="71"/>
      <c r="O89" s="71"/>
      <c r="P89" s="71"/>
      <c r="Q89" s="71"/>
    </row>
    <row r="90" spans="4:17" ht="20.100000000000001" customHeight="1" x14ac:dyDescent="0.25">
      <c r="D90" s="73" t="s">
        <v>96</v>
      </c>
      <c r="E90" s="73" t="s">
        <v>382</v>
      </c>
      <c r="F90" s="73" t="s">
        <v>384</v>
      </c>
      <c r="G90" s="71"/>
      <c r="H90" s="71"/>
      <c r="I90" s="71"/>
      <c r="J90" s="71"/>
      <c r="K90" s="71"/>
      <c r="L90" s="71"/>
      <c r="M90" s="71"/>
      <c r="N90" s="71"/>
      <c r="O90" s="71"/>
      <c r="P90" s="71"/>
      <c r="Q90" s="71"/>
    </row>
    <row r="91" spans="4:17" ht="20.100000000000001" customHeight="1" x14ac:dyDescent="0.25">
      <c r="D91" s="73" t="s">
        <v>385</v>
      </c>
      <c r="E91" s="73" t="s">
        <v>382</v>
      </c>
      <c r="F91" s="73" t="s">
        <v>386</v>
      </c>
      <c r="G91" s="71"/>
      <c r="H91" s="71"/>
      <c r="I91" s="71"/>
      <c r="J91" s="71"/>
      <c r="K91" s="71"/>
      <c r="L91" s="71"/>
      <c r="M91" s="71"/>
      <c r="N91" s="71"/>
      <c r="O91" s="71"/>
      <c r="P91" s="71"/>
      <c r="Q91" s="71"/>
    </row>
    <row r="92" spans="4:17" ht="20.100000000000001" customHeight="1" x14ac:dyDescent="0.25">
      <c r="D92" s="73" t="s">
        <v>387</v>
      </c>
      <c r="E92" s="73" t="s">
        <v>388</v>
      </c>
      <c r="F92" s="73" t="s">
        <v>389</v>
      </c>
      <c r="G92" s="71"/>
      <c r="H92" s="71"/>
      <c r="I92" s="71"/>
      <c r="J92" s="71"/>
      <c r="K92" s="71"/>
      <c r="L92" s="71"/>
      <c r="M92" s="71"/>
      <c r="N92" s="71"/>
      <c r="O92" s="71"/>
      <c r="P92" s="71"/>
      <c r="Q92" s="71"/>
    </row>
    <row r="93" spans="4:17" ht="20.100000000000001" customHeight="1" x14ac:dyDescent="0.25">
      <c r="D93" s="73" t="s">
        <v>390</v>
      </c>
      <c r="E93" s="73" t="s">
        <v>391</v>
      </c>
      <c r="F93" s="73" t="s">
        <v>392</v>
      </c>
      <c r="G93" s="71"/>
      <c r="H93" s="71"/>
      <c r="I93" s="71"/>
      <c r="J93" s="71"/>
      <c r="K93" s="71"/>
      <c r="L93" s="71"/>
      <c r="M93" s="71"/>
      <c r="N93" s="71"/>
      <c r="O93" s="71"/>
      <c r="P93" s="71"/>
      <c r="Q93" s="71"/>
    </row>
    <row r="94" spans="4:17" ht="20.100000000000001" customHeight="1" x14ac:dyDescent="0.25">
      <c r="D94" s="73" t="s">
        <v>393</v>
      </c>
      <c r="E94" s="73" t="s">
        <v>394</v>
      </c>
      <c r="F94" s="73" t="s">
        <v>395</v>
      </c>
      <c r="G94" s="71"/>
      <c r="H94" s="71"/>
      <c r="I94" s="71"/>
      <c r="J94" s="71"/>
      <c r="K94" s="71"/>
      <c r="L94" s="71"/>
      <c r="M94" s="71"/>
      <c r="N94" s="71"/>
      <c r="O94" s="71"/>
      <c r="P94" s="71"/>
      <c r="Q94" s="71"/>
    </row>
    <row r="95" spans="4:17" ht="20.100000000000001" customHeight="1" x14ac:dyDescent="0.25">
      <c r="D95" s="73" t="s">
        <v>396</v>
      </c>
      <c r="E95" s="73" t="s">
        <v>397</v>
      </c>
      <c r="F95" s="73" t="s">
        <v>398</v>
      </c>
      <c r="G95" s="71"/>
      <c r="H95" s="71"/>
      <c r="I95" s="71"/>
      <c r="J95" s="71"/>
      <c r="K95" s="71"/>
      <c r="L95" s="71"/>
      <c r="M95" s="71"/>
      <c r="N95" s="71"/>
      <c r="O95" s="71"/>
      <c r="P95" s="71"/>
      <c r="Q95" s="71"/>
    </row>
    <row r="96" spans="4:17" ht="20.100000000000001" customHeight="1" x14ac:dyDescent="0.25">
      <c r="D96" s="73" t="s">
        <v>147</v>
      </c>
      <c r="E96" s="73" t="s">
        <v>399</v>
      </c>
      <c r="F96" s="73" t="s">
        <v>400</v>
      </c>
      <c r="G96" s="71"/>
      <c r="H96" s="71"/>
      <c r="I96" s="71"/>
      <c r="J96" s="71"/>
      <c r="K96" s="71"/>
      <c r="L96" s="71"/>
      <c r="M96" s="71"/>
      <c r="N96" s="71"/>
      <c r="O96" s="71"/>
      <c r="P96" s="71"/>
      <c r="Q96" s="71"/>
    </row>
    <row r="97" spans="4:17" ht="20.100000000000001" customHeight="1" x14ac:dyDescent="0.25">
      <c r="D97" s="73" t="s">
        <v>401</v>
      </c>
      <c r="E97" s="73" t="s">
        <v>402</v>
      </c>
      <c r="F97" s="73" t="s">
        <v>403</v>
      </c>
      <c r="G97" s="71"/>
      <c r="H97" s="71"/>
      <c r="I97" s="71"/>
      <c r="J97" s="71"/>
      <c r="K97" s="71"/>
      <c r="L97" s="71"/>
      <c r="M97" s="71"/>
      <c r="N97" s="71"/>
      <c r="O97" s="71"/>
      <c r="P97" s="71"/>
      <c r="Q97" s="71"/>
    </row>
    <row r="98" spans="4:17" ht="20.100000000000001" customHeight="1" x14ac:dyDescent="0.25">
      <c r="D98" s="73" t="s">
        <v>404</v>
      </c>
      <c r="E98" s="73" t="s">
        <v>405</v>
      </c>
      <c r="F98" s="73" t="s">
        <v>406</v>
      </c>
      <c r="G98" s="71"/>
      <c r="H98" s="71"/>
      <c r="I98" s="71"/>
      <c r="J98" s="71"/>
      <c r="K98" s="71"/>
      <c r="L98" s="71"/>
      <c r="M98" s="71"/>
      <c r="N98" s="71"/>
      <c r="O98" s="71"/>
      <c r="P98" s="71"/>
      <c r="Q98" s="71"/>
    </row>
    <row r="99" spans="4:17" ht="20.100000000000001" customHeight="1" x14ac:dyDescent="0.25">
      <c r="D99" s="73" t="s">
        <v>407</v>
      </c>
      <c r="E99" s="73" t="s">
        <v>408</v>
      </c>
      <c r="F99" s="73" t="s">
        <v>337</v>
      </c>
      <c r="G99" s="71"/>
      <c r="H99" s="71"/>
      <c r="I99" s="71"/>
      <c r="J99" s="71"/>
      <c r="K99" s="71"/>
      <c r="L99" s="71"/>
      <c r="M99" s="71"/>
      <c r="N99" s="71"/>
      <c r="O99" s="71"/>
      <c r="P99" s="71"/>
      <c r="Q99" s="71"/>
    </row>
    <row r="100" spans="4:17" ht="20.100000000000001" customHeight="1" x14ac:dyDescent="0.25">
      <c r="D100" s="73" t="s">
        <v>409</v>
      </c>
      <c r="E100" s="73" t="s">
        <v>410</v>
      </c>
      <c r="F100" s="73" t="s">
        <v>411</v>
      </c>
      <c r="G100" s="71"/>
      <c r="H100" s="71"/>
      <c r="I100" s="71"/>
      <c r="J100" s="71"/>
      <c r="K100" s="71"/>
      <c r="L100" s="71"/>
      <c r="M100" s="71"/>
      <c r="N100" s="71"/>
      <c r="O100" s="71"/>
      <c r="P100" s="71"/>
      <c r="Q100" s="71"/>
    </row>
    <row r="101" spans="4:17" ht="20.100000000000001" customHeight="1" x14ac:dyDescent="0.25">
      <c r="D101" s="73" t="s">
        <v>412</v>
      </c>
      <c r="E101" s="73" t="s">
        <v>410</v>
      </c>
      <c r="F101" s="73" t="s">
        <v>413</v>
      </c>
      <c r="G101" s="71"/>
      <c r="H101" s="71"/>
      <c r="I101" s="71"/>
      <c r="J101" s="71"/>
      <c r="K101" s="71"/>
      <c r="L101" s="71"/>
      <c r="M101" s="71"/>
      <c r="N101" s="71"/>
      <c r="O101" s="71"/>
      <c r="P101" s="71"/>
      <c r="Q101" s="71"/>
    </row>
    <row r="102" spans="4:17" ht="20.100000000000001" customHeight="1" x14ac:dyDescent="0.25">
      <c r="D102" s="73" t="s">
        <v>414</v>
      </c>
      <c r="E102" s="73" t="s">
        <v>415</v>
      </c>
      <c r="F102" s="73" t="s">
        <v>416</v>
      </c>
      <c r="G102" s="71"/>
      <c r="H102" s="71"/>
      <c r="I102" s="71"/>
      <c r="J102" s="71"/>
      <c r="K102" s="71"/>
      <c r="L102" s="71"/>
      <c r="M102" s="71"/>
      <c r="N102" s="71"/>
      <c r="O102" s="71"/>
      <c r="P102" s="71"/>
      <c r="Q102" s="71"/>
    </row>
    <row r="103" spans="4:17" ht="20.100000000000001" customHeight="1" x14ac:dyDescent="0.25">
      <c r="D103" s="71"/>
      <c r="E103" s="71"/>
      <c r="F103" s="71"/>
      <c r="G103" s="71"/>
      <c r="H103" s="71"/>
      <c r="I103" s="71"/>
      <c r="J103" s="71"/>
      <c r="K103" s="71"/>
      <c r="L103" s="71"/>
      <c r="M103" s="71"/>
      <c r="N103" s="71"/>
      <c r="O103" s="71"/>
      <c r="P103" s="71"/>
      <c r="Q103" s="71"/>
    </row>
    <row r="104" spans="4:17" ht="20.100000000000001" customHeight="1" x14ac:dyDescent="0.25">
      <c r="D104" s="75"/>
      <c r="E104" s="75"/>
      <c r="F104" s="75"/>
      <c r="G104" s="75"/>
      <c r="H104" s="75"/>
      <c r="I104" s="75"/>
      <c r="J104" s="75"/>
      <c r="K104" s="75"/>
      <c r="L104" s="75"/>
      <c r="M104" s="75"/>
      <c r="N104" s="75"/>
      <c r="O104" s="75"/>
      <c r="P104" s="75"/>
      <c r="Q104" s="75"/>
    </row>
    <row r="105" spans="4:17" ht="20.100000000000001" customHeight="1" x14ac:dyDescent="0.25">
      <c r="D105" s="5" t="s">
        <v>107</v>
      </c>
      <c r="E105" s="71"/>
      <c r="F105" s="71"/>
      <c r="G105" s="71"/>
      <c r="H105" s="71"/>
      <c r="I105" s="71"/>
      <c r="J105" s="71"/>
      <c r="K105" s="71"/>
      <c r="L105" s="71"/>
      <c r="M105" s="71"/>
      <c r="N105" s="71"/>
      <c r="O105" s="71"/>
      <c r="P105" s="71"/>
      <c r="Q105" s="71"/>
    </row>
    <row r="106" spans="4:17" ht="20.100000000000001" customHeight="1" x14ac:dyDescent="0.25">
      <c r="D106" s="76" t="str">
        <f>"  ℹ️  This table lists the refrigerant blends from the table '"&amp;D49&amp;"' and each constituent gas in separate cells. For each constituent gas, it GWP value is found from the '"&amp;D5&amp;"'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E106" s="71"/>
      <c r="F106" s="71"/>
      <c r="G106" s="71"/>
      <c r="H106" s="71"/>
      <c r="I106" s="71"/>
      <c r="J106" s="71"/>
      <c r="K106" s="71"/>
      <c r="L106" s="71"/>
      <c r="M106" s="71"/>
      <c r="N106" s="71"/>
      <c r="O106" s="71"/>
      <c r="P106" s="71"/>
      <c r="Q106" s="71"/>
    </row>
    <row r="107" spans="4:17" ht="20.100000000000001" customHeight="1" x14ac:dyDescent="0.25">
      <c r="D107" s="31" t="str">
        <f>"⚠️NOTE: Some constituent gases are not listed in the '" &amp; D5 &amp; "' table. This is because those gases are not reportable under AR5."</f>
        <v>⚠️NOTE: Some constituent gases are not listed in the 'Global Warming Potentials' table. This is because those gases are not reportable under AR5.</v>
      </c>
      <c r="E107" s="71"/>
      <c r="F107" s="71"/>
      <c r="G107" s="71"/>
      <c r="H107" s="71"/>
      <c r="I107" s="71"/>
      <c r="J107" s="71"/>
      <c r="K107" s="71"/>
      <c r="L107" s="71"/>
      <c r="M107" s="71"/>
      <c r="N107" s="71"/>
      <c r="O107" s="71"/>
      <c r="P107" s="71"/>
      <c r="Q107" s="71"/>
    </row>
    <row r="108" spans="4:17" ht="20.100000000000001" customHeight="1" x14ac:dyDescent="0.25">
      <c r="D108" s="31" t="str">
        <f>"⚠️NOTE: Because there are no specified blends of R-400 in the table '" &amp; D49 &amp; "' We have specified three blends: 'R-400 50/50', 'R-400 60/40' and 'R-400 80/20'"</f>
        <v>⚠️NOTE: Because there are no specified blends of R-400 in the table 'Blended refrigerants (many containing HFCS and/or PFCS)' We have specified three blends: 'R-400 50/50', 'R-400 60/40' and 'R-400 80/20'</v>
      </c>
      <c r="E108" s="71"/>
      <c r="F108" s="71"/>
      <c r="G108" s="71"/>
      <c r="H108" s="71"/>
      <c r="I108" s="71"/>
      <c r="J108" s="71"/>
      <c r="K108" s="71"/>
      <c r="L108" s="71"/>
      <c r="M108" s="71"/>
      <c r="N108" s="71"/>
      <c r="O108" s="71"/>
      <c r="P108" s="71"/>
      <c r="Q108" s="71"/>
    </row>
    <row r="109" spans="4:17" ht="20.100000000000001" customHeight="1" x14ac:dyDescent="0.25">
      <c r="D109" s="73" t="s">
        <v>104</v>
      </c>
      <c r="E109" s="73" t="s">
        <v>108</v>
      </c>
      <c r="F109" s="73" t="s">
        <v>109</v>
      </c>
      <c r="G109" s="73" t="s">
        <v>110</v>
      </c>
      <c r="H109" s="73" t="s">
        <v>111</v>
      </c>
      <c r="I109" s="73" t="s">
        <v>112</v>
      </c>
      <c r="J109" s="73" t="s">
        <v>113</v>
      </c>
      <c r="K109" s="73" t="s">
        <v>114</v>
      </c>
      <c r="L109" s="73" t="s">
        <v>115</v>
      </c>
      <c r="M109" s="73" t="s">
        <v>116</v>
      </c>
      <c r="N109" s="73" t="s">
        <v>117</v>
      </c>
      <c r="O109" s="73" t="s">
        <v>118</v>
      </c>
      <c r="P109" s="73" t="s">
        <v>119</v>
      </c>
      <c r="Q109" s="73" t="s">
        <v>120</v>
      </c>
    </row>
    <row r="110" spans="4:17" ht="20.100000000000001" customHeight="1" x14ac:dyDescent="0.25">
      <c r="D110" s="73" t="str">
        <f>$D$53 &amp; " 50/50"</f>
        <v>R-400 50/50</v>
      </c>
      <c r="E110" s="73" t="str" cm="1">
        <f t="array" ref="E110">IFERROR(INDEX(TRANSPOSE(Common_InputFunctions.Utility_SplitStringIntoArray($E$53, "/")), 1), "")</f>
        <v>CFC-12</v>
      </c>
      <c r="F110" s="73" t="str" cm="1">
        <f t="array" ref="F110">IFERROR(INDEX(TRANSPOSE(Common_InputFunctions.Utility_SplitStringIntoArray($E$53, "/")), 2), "")</f>
        <v>CFC-114</v>
      </c>
      <c r="G110" s="73" t="str" cm="1">
        <f t="array" ref="G110">IFERROR(INDEX(TRANSPOSE(Common_InputFunctions.Utility_SplitStringIntoArray($E$53, "/")), 3), "")</f>
        <v/>
      </c>
      <c r="H110" s="73" t="str" cm="1">
        <f t="array" ref="H110">IFERROR(INDEX(TRANSPOSE(Common_InputFunctions.Utility_SplitStringIntoArray($E$53, "/")), 4), "")</f>
        <v/>
      </c>
      <c r="I110" s="73">
        <v>0.5</v>
      </c>
      <c r="J110" s="73">
        <v>0.5</v>
      </c>
      <c r="K110" s="73"/>
      <c r="L110" s="73"/>
      <c r="M110" s="73" cm="1">
        <f t="array" ref="M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N110" s="73" cm="1">
        <f t="array" ref="N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O110" s="73" cm="1">
        <f t="array" ref="O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0" s="73" cm="1">
        <f t="array" ref="P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0" s="73" cm="1">
        <f t="array" ref="Q11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4697.5</v>
      </c>
    </row>
    <row r="111" spans="4:17" ht="20.100000000000001" customHeight="1" x14ac:dyDescent="0.25">
      <c r="D111" s="73" t="str">
        <f>$D$53 &amp; " 60/40"</f>
        <v>R-400 60/40</v>
      </c>
      <c r="E111" s="73" t="str" cm="1">
        <f t="array" ref="E111">IFERROR(INDEX(TRANSPOSE(Common_InputFunctions.Utility_SplitStringIntoArray($E$53, "/")), 1), "")</f>
        <v>CFC-12</v>
      </c>
      <c r="F111" s="73" t="str" cm="1">
        <f t="array" ref="F111">IFERROR(INDEX(TRANSPOSE(Common_InputFunctions.Utility_SplitStringIntoArray($E$53, "/")), 2), "")</f>
        <v>CFC-114</v>
      </c>
      <c r="G111" s="73" t="str" cm="1">
        <f t="array" ref="G111">IFERROR(INDEX(TRANSPOSE(Common_InputFunctions.Utility_SplitStringIntoArray($E$53, "/")), 3), "")</f>
        <v/>
      </c>
      <c r="H111" s="73" t="str" cm="1">
        <f t="array" ref="H111">IFERROR(INDEX(TRANSPOSE(Common_InputFunctions.Utility_SplitStringIntoArray($E$53, "/")), 4), "")</f>
        <v/>
      </c>
      <c r="I111" s="73">
        <v>0.6</v>
      </c>
      <c r="J111" s="73">
        <v>0.4</v>
      </c>
      <c r="K111" s="73"/>
      <c r="L111" s="73"/>
      <c r="M111" s="73" cm="1">
        <f t="array" ref="M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N111" s="73" cm="1">
        <f t="array" ref="N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O111" s="73" cm="1">
        <f t="array" ref="O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1" s="73" cm="1">
        <f t="array" ref="P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1" s="73" cm="1">
        <f t="array" ref="Q11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5733.6</v>
      </c>
    </row>
    <row r="112" spans="4:17" ht="20.100000000000001" customHeight="1" x14ac:dyDescent="0.25">
      <c r="D112" s="73" t="str">
        <f>$D$53 &amp; " 80/20"</f>
        <v>R-400 80/20</v>
      </c>
      <c r="E112" s="73" t="str" cm="1">
        <f t="array" ref="E112">IFERROR(INDEX(TRANSPOSE(Common_InputFunctions.Utility_SplitStringIntoArray($E$53, "/")), 1), "")</f>
        <v>CFC-12</v>
      </c>
      <c r="F112" s="73" t="str" cm="1">
        <f t="array" ref="F112">IFERROR(INDEX(TRANSPOSE(Common_InputFunctions.Utility_SplitStringIntoArray($E$53, "/")), 2), "")</f>
        <v>CFC-114</v>
      </c>
      <c r="G112" s="73" t="str" cm="1">
        <f t="array" ref="G112">IFERROR(INDEX(TRANSPOSE(Common_InputFunctions.Utility_SplitStringIntoArray($E$53, "/")), 3), "")</f>
        <v/>
      </c>
      <c r="H112" s="73" t="str" cm="1">
        <f t="array" ref="H112">IFERROR(INDEX(TRANSPOSE(Common_InputFunctions.Utility_SplitStringIntoArray($E$53, "/")), 4), "")</f>
        <v/>
      </c>
      <c r="I112" s="73">
        <v>0.8</v>
      </c>
      <c r="J112" s="73">
        <v>0.2</v>
      </c>
      <c r="K112" s="73"/>
      <c r="L112" s="73"/>
      <c r="M112" s="73" cm="1">
        <f t="array" ref="M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N112" s="73" cm="1">
        <f t="array" ref="N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O112" s="73" cm="1">
        <f t="array" ref="O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P112" s="73" cm="1">
        <f t="array" ref="P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Q112" s="73" cm="1">
        <f t="array" ref="Q11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7902.4</v>
      </c>
    </row>
    <row r="113" spans="4:17" ht="20.100000000000001" customHeight="1" x14ac:dyDescent="0.25">
      <c r="D113" s="73" t="str">
        <f t="shared" ref="D113:D161" si="0">D54</f>
        <v>R-401A</v>
      </c>
      <c r="E113" s="73" t="str" cm="1">
        <f t="array" ref="E113">IFERROR(INDEX(TRANSPOSE(Common_InputFunctions.Utility_SplitStringIntoArray($E54, "/")), 1), "")</f>
        <v>HCFC-22</v>
      </c>
      <c r="F113" s="73" t="str" cm="1">
        <f t="array" ref="F113">IFERROR(INDEX(TRANSPOSE(Common_InputFunctions.Utility_SplitStringIntoArray($E54, "/")), 2), "")</f>
        <v>HFC-152a</v>
      </c>
      <c r="G113" s="73" t="str" cm="1">
        <f t="array" ref="G113">IFERROR(INDEX(TRANSPOSE(Common_InputFunctions.Utility_SplitStringIntoArray($E54, "/")), 3), "")</f>
        <v>HCFC-124</v>
      </c>
      <c r="H113" s="73" t="str" cm="1">
        <f t="array" ref="H113">IFERROR(INDEX(TRANSPOSE(Common_InputFunctions.Utility_SplitStringIntoArray($E54, "/")), 4), "")</f>
        <v/>
      </c>
      <c r="I113" s="73" cm="1">
        <f t="array" ref="I113">IFERROR(INDEX(TRANSPOSE(Common_InputFunctions.Utility_SplitStringIntoArray($F54, "/", "(", ")")), 1)*0.01, 0)</f>
        <v>0.53</v>
      </c>
      <c r="J113" s="73" cm="1">
        <f t="array" ref="J113">IFERROR(INDEX(TRANSPOSE(Common_InputFunctions.Utility_SplitStringIntoArray($F54, "/", "(", ")")), 2)*0.01, 0)</f>
        <v>0.13</v>
      </c>
      <c r="K113" s="73" cm="1">
        <f t="array" ref="K113">IFERROR(INDEX(TRANSPOSE(Common_InputFunctions.Utility_SplitStringIntoArray($F54, "/", "(", ")")), 3)*0.01, 0)</f>
        <v>0.34</v>
      </c>
      <c r="L113" s="73" cm="1">
        <f t="array" ref="L113">IFERROR(INDEX(TRANSPOSE(Common_InputFunctions.Utility_SplitStringIntoArray($F54, "/", "(", ")")), 4)*0.01, 0)</f>
        <v>0</v>
      </c>
      <c r="M113" s="73" cm="1">
        <f t="array" ref="M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N113" s="73" cm="1">
        <f t="array" ref="N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O113" s="73" cm="1">
        <f t="array" ref="O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P113" s="73" cm="1">
        <f t="array" ref="P11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3" s="73" cm="1">
        <f t="array" ref="Q11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557.63740000000007</v>
      </c>
    </row>
    <row r="114" spans="4:17" ht="20.100000000000001" customHeight="1" x14ac:dyDescent="0.25">
      <c r="D114" s="73" t="str">
        <f t="shared" si="0"/>
        <v>R-401B</v>
      </c>
      <c r="E114" s="73" t="str" cm="1">
        <f t="array" ref="E114">IFERROR(INDEX(TRANSPOSE(Common_InputFunctions.Utility_SplitStringIntoArray($E55, "/")), 1), "")</f>
        <v>HCFC-22</v>
      </c>
      <c r="F114" s="73" t="str" cm="1">
        <f t="array" ref="F114">IFERROR(INDEX(TRANSPOSE(Common_InputFunctions.Utility_SplitStringIntoArray($E55, "/")), 2), "")</f>
        <v>HFC-152a</v>
      </c>
      <c r="G114" s="73" t="str" cm="1">
        <f t="array" ref="G114">IFERROR(INDEX(TRANSPOSE(Common_InputFunctions.Utility_SplitStringIntoArray($E55, "/")), 3), "")</f>
        <v>HCFC-124</v>
      </c>
      <c r="H114" s="73" t="str" cm="1">
        <f t="array" ref="H114">IFERROR(INDEX(TRANSPOSE(Common_InputFunctions.Utility_SplitStringIntoArray($E55, "/")), 4), "")</f>
        <v/>
      </c>
      <c r="I114" s="73" cm="1">
        <f t="array" ref="I114">IFERROR(INDEX(TRANSPOSE(Common_InputFunctions.Utility_SplitStringIntoArray($F55, "/", "(", ")")), 1)*0.01, 0)</f>
        <v>0.61</v>
      </c>
      <c r="J114" s="73" cm="1">
        <f t="array" ref="J114">IFERROR(INDEX(TRANSPOSE(Common_InputFunctions.Utility_SplitStringIntoArray($F55, "/", "(", ")")), 2)*0.01, 0)</f>
        <v>0.11</v>
      </c>
      <c r="K114" s="73" cm="1">
        <f t="array" ref="K114">IFERROR(INDEX(TRANSPOSE(Common_InputFunctions.Utility_SplitStringIntoArray($F55, "/", "(", ")")), 3)*0.01, 0)</f>
        <v>0.28000000000000003</v>
      </c>
      <c r="L114" s="73" cm="1">
        <f t="array" ref="L114">IFERROR(INDEX(TRANSPOSE(Common_InputFunctions.Utility_SplitStringIntoArray($F55, "/", "(", ")")), 4)*0.01, 0)</f>
        <v>0</v>
      </c>
      <c r="M114" s="73" cm="1">
        <f t="array" ref="M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N114" s="73" cm="1">
        <f t="array" ref="N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O114" s="73" cm="1">
        <f t="array" ref="O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P114" s="73" cm="1">
        <f t="array" ref="P11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4" s="73" cm="1">
        <f t="array" ref="Q11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697.88260000000002</v>
      </c>
    </row>
    <row r="115" spans="4:17" ht="20.100000000000001" customHeight="1" x14ac:dyDescent="0.25">
      <c r="D115" s="73" t="str">
        <f t="shared" si="0"/>
        <v>R-401C</v>
      </c>
      <c r="E115" s="73" t="str" cm="1">
        <f t="array" ref="E115">IFERROR(INDEX(TRANSPOSE(Common_InputFunctions.Utility_SplitStringIntoArray($E56, "/")), 1), "")</f>
        <v>HCFC-22</v>
      </c>
      <c r="F115" s="73" t="str" cm="1">
        <f t="array" ref="F115">IFERROR(INDEX(TRANSPOSE(Common_InputFunctions.Utility_SplitStringIntoArray($E56, "/")), 2), "")</f>
        <v>HFC-152a</v>
      </c>
      <c r="G115" s="73" t="str" cm="1">
        <f t="array" ref="G115">IFERROR(INDEX(TRANSPOSE(Common_InputFunctions.Utility_SplitStringIntoArray($E56, "/")), 3), "")</f>
        <v>HCFC-124</v>
      </c>
      <c r="H115" s="73" t="str" cm="1">
        <f t="array" ref="H115">IFERROR(INDEX(TRANSPOSE(Common_InputFunctions.Utility_SplitStringIntoArray($E56, "/")), 4), "")</f>
        <v/>
      </c>
      <c r="I115" s="73" cm="1">
        <f t="array" ref="I115">IFERROR(INDEX(TRANSPOSE(Common_InputFunctions.Utility_SplitStringIntoArray($F56, "/", "(", ")")), 1)*0.01, 0)</f>
        <v>0.33</v>
      </c>
      <c r="J115" s="73" cm="1">
        <f t="array" ref="J115">IFERROR(INDEX(TRANSPOSE(Common_InputFunctions.Utility_SplitStringIntoArray($F56, "/", "(", ")")), 2)*0.01, 0)</f>
        <v>0.15</v>
      </c>
      <c r="K115" s="73" cm="1">
        <f t="array" ref="K115">IFERROR(INDEX(TRANSPOSE(Common_InputFunctions.Utility_SplitStringIntoArray($F56, "/", "(", ")")), 3)*0.01, 0)</f>
        <v>0.52</v>
      </c>
      <c r="L115" s="73" cm="1">
        <f t="array" ref="L115">IFERROR(INDEX(TRANSPOSE(Common_InputFunctions.Utility_SplitStringIntoArray($F56, "/", "(", ")")), 4)*0.01, 0)</f>
        <v>0</v>
      </c>
      <c r="M115" s="73" cm="1">
        <f t="array" ref="M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N115" s="73" cm="1">
        <f t="array" ref="N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O115" s="73" cm="1">
        <f t="array" ref="O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P115" s="73" cm="1">
        <f t="array" ref="P11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5" s="73" cm="1">
        <f t="array" ref="Q11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337.26980000000003</v>
      </c>
    </row>
    <row r="116" spans="4:17" ht="20.100000000000001" customHeight="1" x14ac:dyDescent="0.25">
      <c r="D116" s="73" t="str">
        <f t="shared" si="0"/>
        <v>R-402A</v>
      </c>
      <c r="E116" s="73" t="str" cm="1">
        <f t="array" ref="E116">IFERROR(INDEX(TRANSPOSE(Common_InputFunctions.Utility_SplitStringIntoArray($E57, "/")), 1), "")</f>
        <v>HFC-125</v>
      </c>
      <c r="F116" s="73" t="str" cm="1">
        <f t="array" ref="F116">IFERROR(INDEX(TRANSPOSE(Common_InputFunctions.Utility_SplitStringIntoArray($E57, "/")), 2), "")</f>
        <v>HC-290</v>
      </c>
      <c r="G116" s="73" t="str" cm="1">
        <f t="array" ref="G116">IFERROR(INDEX(TRANSPOSE(Common_InputFunctions.Utility_SplitStringIntoArray($E57, "/")), 3), "")</f>
        <v>HCFC-22</v>
      </c>
      <c r="H116" s="73" t="str" cm="1">
        <f t="array" ref="H116">IFERROR(INDEX(TRANSPOSE(Common_InputFunctions.Utility_SplitStringIntoArray($E57, "/")), 4), "")</f>
        <v/>
      </c>
      <c r="I116" s="73" cm="1">
        <f t="array" ref="I116">IFERROR(INDEX(TRANSPOSE(Common_InputFunctions.Utility_SplitStringIntoArray($F57, "/", "(", ")")), 1)*0.01, 0)</f>
        <v>0.6</v>
      </c>
      <c r="J116" s="73" cm="1">
        <f t="array" ref="J116">IFERROR(INDEX(TRANSPOSE(Common_InputFunctions.Utility_SplitStringIntoArray($F57, "/", "(", ")")), 2)*0.01, 0)</f>
        <v>0.02</v>
      </c>
      <c r="K116" s="73" cm="1">
        <f t="array" ref="K116">IFERROR(INDEX(TRANSPOSE(Common_InputFunctions.Utility_SplitStringIntoArray($F57, "/", "(", ")")), 3)*0.01, 0)</f>
        <v>0.38</v>
      </c>
      <c r="L116" s="73" cm="1">
        <f t="array" ref="L116">IFERROR(INDEX(TRANSPOSE(Common_InputFunctions.Utility_SplitStringIntoArray($F57, "/", "(", ")")), 4)*0.01, 0)</f>
        <v>0</v>
      </c>
      <c r="M116" s="73" cm="1">
        <f t="array" ref="M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N116" s="73" cm="1">
        <f t="array" ref="N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6" s="73" cm="1">
        <f t="array" ref="O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P116" s="73" cm="1">
        <f t="array" ref="P11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6" s="73" cm="1">
        <f t="array" ref="Q11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1395.3440000000001</v>
      </c>
    </row>
    <row r="117" spans="4:17" ht="20.100000000000001" customHeight="1" x14ac:dyDescent="0.25">
      <c r="D117" s="73" t="str">
        <f t="shared" si="0"/>
        <v>R-402B</v>
      </c>
      <c r="E117" s="73" t="str" cm="1">
        <f t="array" ref="E117">IFERROR(INDEX(TRANSPOSE(Common_InputFunctions.Utility_SplitStringIntoArray($E58, "/")), 1), "")</f>
        <v>HFC-125</v>
      </c>
      <c r="F117" s="73" t="str" cm="1">
        <f t="array" ref="F117">IFERROR(INDEX(TRANSPOSE(Common_InputFunctions.Utility_SplitStringIntoArray($E58, "/")), 2), "")</f>
        <v>HC-290</v>
      </c>
      <c r="G117" s="73" t="str" cm="1">
        <f t="array" ref="G117">IFERROR(INDEX(TRANSPOSE(Common_InputFunctions.Utility_SplitStringIntoArray($E58, "/")), 3), "")</f>
        <v>HCFC-22</v>
      </c>
      <c r="H117" s="73" t="str" cm="1">
        <f t="array" ref="H117">IFERROR(INDEX(TRANSPOSE(Common_InputFunctions.Utility_SplitStringIntoArray($E58, "/")), 4), "")</f>
        <v/>
      </c>
      <c r="I117" s="73" cm="1">
        <f t="array" ref="I117">IFERROR(INDEX(TRANSPOSE(Common_InputFunctions.Utility_SplitStringIntoArray($F58, "/", "(", ")")), 1)*0.01, 0)</f>
        <v>0.38</v>
      </c>
      <c r="J117" s="73" cm="1">
        <f t="array" ref="J117">IFERROR(INDEX(TRANSPOSE(Common_InputFunctions.Utility_SplitStringIntoArray($F58, "/", "(", ")")), 2)*0.01, 0)</f>
        <v>0.02</v>
      </c>
      <c r="K117" s="73" cm="1">
        <f t="array" ref="K117">IFERROR(INDEX(TRANSPOSE(Common_InputFunctions.Utility_SplitStringIntoArray($F58, "/", "(", ")")), 3)*0.01, 0)</f>
        <v>0.6</v>
      </c>
      <c r="L117" s="73" cm="1">
        <f t="array" ref="L117">IFERROR(INDEX(TRANSPOSE(Common_InputFunctions.Utility_SplitStringIntoArray($F58, "/", "(", ")")), 4)*0.01, 0)</f>
        <v>0</v>
      </c>
      <c r="M117" s="73" cm="1">
        <f t="array" ref="M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N117" s="73" cm="1">
        <f t="array" ref="N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17" s="73" cm="1">
        <f t="array" ref="O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P117" s="73" cm="1">
        <f t="array" ref="P11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7" s="73" cm="1">
        <f t="array" ref="Q11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1091.348</v>
      </c>
    </row>
    <row r="118" spans="4:17" ht="20.100000000000001" customHeight="1" x14ac:dyDescent="0.25">
      <c r="D118" s="73" t="str">
        <f t="shared" si="0"/>
        <v>R-403A</v>
      </c>
      <c r="E118" s="73" t="str" cm="1">
        <f t="array" ref="E118">IFERROR(INDEX(TRANSPOSE(Common_InputFunctions.Utility_SplitStringIntoArray($E59, "/")), 1), "")</f>
        <v>HC-290</v>
      </c>
      <c r="F118" s="73" t="str" cm="1">
        <f t="array" ref="F118">IFERROR(INDEX(TRANSPOSE(Common_InputFunctions.Utility_SplitStringIntoArray($E59, "/")), 2), "")</f>
        <v>HCFC-22</v>
      </c>
      <c r="G118" s="73" t="str" cm="1">
        <f t="array" ref="G118">IFERROR(INDEX(TRANSPOSE(Common_InputFunctions.Utility_SplitStringIntoArray($E59, "/")), 3), "")</f>
        <v>PFC-218</v>
      </c>
      <c r="H118" s="73" t="str" cm="1">
        <f t="array" ref="H118">IFERROR(INDEX(TRANSPOSE(Common_InputFunctions.Utility_SplitStringIntoArray($E59, "/")), 4), "")</f>
        <v/>
      </c>
      <c r="I118" s="73" cm="1">
        <f t="array" ref="I118">IFERROR(INDEX(TRANSPOSE(Common_InputFunctions.Utility_SplitStringIntoArray($F59, "/", "(", ")")), 1)*0.01, 0)</f>
        <v>0.05</v>
      </c>
      <c r="J118" s="73" cm="1">
        <f t="array" ref="J118">IFERROR(INDEX(TRANSPOSE(Common_InputFunctions.Utility_SplitStringIntoArray($F59, "/", "(", ")")), 2)*0.01, 0)</f>
        <v>0.75</v>
      </c>
      <c r="K118" s="73" cm="1">
        <f t="array" ref="K118">IFERROR(INDEX(TRANSPOSE(Common_InputFunctions.Utility_SplitStringIntoArray($F59, "/", "(", ")")), 3)*0.01, 0)</f>
        <v>0.2</v>
      </c>
      <c r="L118" s="73" cm="1">
        <f t="array" ref="L118">IFERROR(INDEX(TRANSPOSE(Common_InputFunctions.Utility_SplitStringIntoArray($F59, "/", "(", ")")), 4)*0.01, 0)</f>
        <v>0</v>
      </c>
      <c r="M118" s="73" cm="1">
        <f t="array" ref="M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8" s="73" cm="1">
        <f t="array" ref="N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O118" s="73" cm="1">
        <f t="array" ref="O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P118" s="73" cm="1">
        <f t="array" ref="P11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8" s="73" cm="1">
        <f t="array" ref="Q11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1346</v>
      </c>
    </row>
    <row r="119" spans="4:17" ht="20.100000000000001" customHeight="1" x14ac:dyDescent="0.25">
      <c r="D119" s="73" t="str">
        <f t="shared" si="0"/>
        <v>R-403B</v>
      </c>
      <c r="E119" s="73" t="str" cm="1">
        <f t="array" ref="E119">IFERROR(INDEX(TRANSPOSE(Common_InputFunctions.Utility_SplitStringIntoArray($E60, "/")), 1), "")</f>
        <v>HC-290</v>
      </c>
      <c r="F119" s="73" t="str" cm="1">
        <f t="array" ref="F119">IFERROR(INDEX(TRANSPOSE(Common_InputFunctions.Utility_SplitStringIntoArray($E60, "/")), 2), "")</f>
        <v>HCFC-22</v>
      </c>
      <c r="G119" s="73" t="str" cm="1">
        <f t="array" ref="G119">IFERROR(INDEX(TRANSPOSE(Common_InputFunctions.Utility_SplitStringIntoArray($E60, "/")), 3), "")</f>
        <v>PFC-218</v>
      </c>
      <c r="H119" s="73" t="str" cm="1">
        <f t="array" ref="H119">IFERROR(INDEX(TRANSPOSE(Common_InputFunctions.Utility_SplitStringIntoArray($E60, "/")), 4), "")</f>
        <v/>
      </c>
      <c r="I119" s="73" cm="1">
        <f t="array" ref="I119">IFERROR(INDEX(TRANSPOSE(Common_InputFunctions.Utility_SplitStringIntoArray($F60, "/", "(", ")")), 1)*0.01, 0)</f>
        <v>0.05</v>
      </c>
      <c r="J119" s="73" cm="1">
        <f t="array" ref="J119">IFERROR(INDEX(TRANSPOSE(Common_InputFunctions.Utility_SplitStringIntoArray($F60, "/", "(", ")")), 2)*0.01, 0)</f>
        <v>0.56000000000000005</v>
      </c>
      <c r="K119" s="73" cm="1">
        <f t="array" ref="K119">IFERROR(INDEX(TRANSPOSE(Common_InputFunctions.Utility_SplitStringIntoArray($F60, "/", "(", ")")), 3)*0.01, 0)</f>
        <v>0.39</v>
      </c>
      <c r="L119" s="73" cm="1">
        <f t="array" ref="L119">IFERROR(INDEX(TRANSPOSE(Common_InputFunctions.Utility_SplitStringIntoArray($F60, "/", "(", ")")), 4)*0.01, 0)</f>
        <v>0</v>
      </c>
      <c r="M119" s="73" cm="1">
        <f t="array" ref="M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19" s="73" cm="1">
        <f t="array" ref="N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O119" s="73" cm="1">
        <f t="array" ref="O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P119" s="73" cm="1">
        <f t="array" ref="P11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19" s="73" cm="1">
        <f t="array" ref="Q11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1905.6260000000002</v>
      </c>
    </row>
    <row r="120" spans="4:17" ht="20.100000000000001" customHeight="1" x14ac:dyDescent="0.25">
      <c r="D120" s="73" t="str">
        <f t="shared" si="0"/>
        <v>R-404A</v>
      </c>
      <c r="E120" s="73" t="str" cm="1">
        <f t="array" ref="E120">IFERROR(INDEX(TRANSPOSE(Common_InputFunctions.Utility_SplitStringIntoArray($E61, "/")), 1), "")</f>
        <v>HFC-125</v>
      </c>
      <c r="F120" s="73" t="str" cm="1">
        <f t="array" ref="F120">IFERROR(INDEX(TRANSPOSE(Common_InputFunctions.Utility_SplitStringIntoArray($E61, "/")), 2), "")</f>
        <v>HFC-143a</v>
      </c>
      <c r="G120" s="73" t="str" cm="1">
        <f t="array" ref="G120">IFERROR(INDEX(TRANSPOSE(Common_InputFunctions.Utility_SplitStringIntoArray($E61, "/")), 3), "")</f>
        <v>HFC-134a</v>
      </c>
      <c r="H120" s="73" t="str" cm="1">
        <f t="array" ref="H120">IFERROR(INDEX(TRANSPOSE(Common_InputFunctions.Utility_SplitStringIntoArray($E61, "/")), 4), "")</f>
        <v/>
      </c>
      <c r="I120" s="73" cm="1">
        <f t="array" ref="I120">IFERROR(INDEX(TRANSPOSE(Common_InputFunctions.Utility_SplitStringIntoArray($F61, "/", "(", ")")), 1)*0.01, 0)</f>
        <v>0.44</v>
      </c>
      <c r="J120" s="73" cm="1">
        <f t="array" ref="J120">IFERROR(INDEX(TRANSPOSE(Common_InputFunctions.Utility_SplitStringIntoArray($F61, "/", "(", ")")), 2)*0.01, 0)</f>
        <v>0.52</v>
      </c>
      <c r="K120" s="73" cm="1">
        <f t="array" ref="K120">IFERROR(INDEX(TRANSPOSE(Common_InputFunctions.Utility_SplitStringIntoArray($F61, "/", "(", ")")), 3)*0.01, 0)</f>
        <v>0.04</v>
      </c>
      <c r="L120" s="73" cm="1">
        <f t="array" ref="L120">IFERROR(INDEX(TRANSPOSE(Common_InputFunctions.Utility_SplitStringIntoArray($F61, "/", "(", ")")), 4)*0.01, 0)</f>
        <v>0</v>
      </c>
      <c r="M120" s="73" cm="1">
        <f t="array" ref="M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N120" s="73" cm="1">
        <f t="array" ref="N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O120" s="73" cm="1">
        <f t="array" ref="O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P120" s="73" cm="1">
        <f t="array" ref="P12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0" s="73" cm="1">
        <f t="array" ref="Q12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1913.712</v>
      </c>
    </row>
    <row r="121" spans="4:17" ht="20.100000000000001" customHeight="1" x14ac:dyDescent="0.25">
      <c r="D121" s="73" t="str">
        <f t="shared" si="0"/>
        <v>R-405A</v>
      </c>
      <c r="E121" s="73" t="str" cm="1">
        <f t="array" ref="E121">IFERROR(INDEX(TRANSPOSE(Common_InputFunctions.Utility_SplitStringIntoArray($E62, "/")), 1), "")</f>
        <v>HCFC-22</v>
      </c>
      <c r="F121" s="73" t="str" cm="1">
        <f t="array" ref="F121">IFERROR(INDEX(TRANSPOSE(Common_InputFunctions.Utility_SplitStringIntoArray($E62, "/")), 2), "")</f>
        <v>HFC-152a</v>
      </c>
      <c r="G121" s="73" t="str" cm="1">
        <f t="array" ref="G121">IFERROR(INDEX(TRANSPOSE(Common_InputFunctions.Utility_SplitStringIntoArray($E62, "/")), 3), "")</f>
        <v>HCFC-142b</v>
      </c>
      <c r="H121" s="73" t="str" cm="1">
        <f t="array" ref="H121">IFERROR(INDEX(TRANSPOSE(Common_InputFunctions.Utility_SplitStringIntoArray($E62, "/")), 4), "")</f>
        <v>PFC-318</v>
      </c>
      <c r="I121" s="73" cm="1">
        <f t="array" ref="I121">IFERROR(INDEX(TRANSPOSE(Common_InputFunctions.Utility_SplitStringIntoArray($F62, "/", "(", ")")), 1)*0.01, 0)</f>
        <v>0.45</v>
      </c>
      <c r="J121" s="73" cm="1">
        <f t="array" ref="J121">IFERROR(INDEX(TRANSPOSE(Common_InputFunctions.Utility_SplitStringIntoArray($F62, "/", "(", ")")), 2)*0.01, 0)</f>
        <v>7.0000000000000007E-2</v>
      </c>
      <c r="K121" s="73" cm="1">
        <f t="array" ref="K121">IFERROR(INDEX(TRANSPOSE(Common_InputFunctions.Utility_SplitStringIntoArray($F62, "/", "(", ")")), 3)*0.01, 0)</f>
        <v>5.5E-2</v>
      </c>
      <c r="L121" s="73" cm="1">
        <f t="array" ref="L121">IFERROR(INDEX(TRANSPOSE(Common_InputFunctions.Utility_SplitStringIntoArray($F62, "/", "(", ")")), 4)*0.01, 0)</f>
        <v>0.42499999999999999</v>
      </c>
      <c r="M121" s="73" cm="1">
        <f t="array" ref="M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N121" s="73" cm="1">
        <f t="array" ref="N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O121" s="73" cm="1">
        <f t="array" ref="O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P121" s="73" cm="1">
        <f t="array" ref="P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Q121" s="73" cm="1">
        <f t="array" ref="Q12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2086.2282</v>
      </c>
    </row>
    <row r="122" spans="4:17" ht="20.100000000000001" customHeight="1" x14ac:dyDescent="0.25">
      <c r="D122" s="73" t="str">
        <f t="shared" si="0"/>
        <v>R-406A</v>
      </c>
      <c r="E122" s="73" t="str" cm="1">
        <f t="array" ref="E122">IFERROR(INDEX(TRANSPOSE(Common_InputFunctions.Utility_SplitStringIntoArray($E63, "/")), 1), "")</f>
        <v>HCFC-22</v>
      </c>
      <c r="F122" s="73" t="str" cm="1">
        <f t="array" ref="F122">IFERROR(INDEX(TRANSPOSE(Common_InputFunctions.Utility_SplitStringIntoArray($E63, "/")), 2), "")</f>
        <v>HC-600a</v>
      </c>
      <c r="G122" s="73" t="str" cm="1">
        <f t="array" ref="G122">IFERROR(INDEX(TRANSPOSE(Common_InputFunctions.Utility_SplitStringIntoArray($E63, "/")), 3), "")</f>
        <v>HCFC-142b</v>
      </c>
      <c r="H122" s="73" t="str" cm="1">
        <f t="array" ref="H122">IFERROR(INDEX(TRANSPOSE(Common_InputFunctions.Utility_SplitStringIntoArray($E63, "/")), 4), "")</f>
        <v/>
      </c>
      <c r="I122" s="73" cm="1">
        <f t="array" ref="I122">IFERROR(INDEX(TRANSPOSE(Common_InputFunctions.Utility_SplitStringIntoArray($F63, "/", "(", ")")), 1)*0.01, 0)</f>
        <v>0.55000000000000004</v>
      </c>
      <c r="J122" s="73" cm="1">
        <f t="array" ref="J122">IFERROR(INDEX(TRANSPOSE(Common_InputFunctions.Utility_SplitStringIntoArray($F63, "/", "(", ")")), 2)*0.01, 0)</f>
        <v>0.14000000000000001</v>
      </c>
      <c r="K122" s="73" cm="1">
        <f t="array" ref="K122">IFERROR(INDEX(TRANSPOSE(Common_InputFunctions.Utility_SplitStringIntoArray($F63, "/", "(", ")")), 3)*0.01, 0)</f>
        <v>0.41000000000000003</v>
      </c>
      <c r="L122" s="73" cm="1">
        <f t="array" ref="L122">IFERROR(INDEX(TRANSPOSE(Common_InputFunctions.Utility_SplitStringIntoArray($F63, "/", "(", ")")), 4)*0.01, 0)</f>
        <v>0</v>
      </c>
      <c r="M122" s="73" cm="1">
        <f t="array" ref="M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N122" s="73" cm="1">
        <f t="array" ref="N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22" s="73" cm="1">
        <f t="array" ref="O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P122" s="73" cm="1">
        <f t="array" ref="P12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2" s="73" cm="1">
        <f t="array" ref="Q12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865.23800000000017</v>
      </c>
    </row>
    <row r="123" spans="4:17" ht="20.100000000000001" customHeight="1" x14ac:dyDescent="0.25">
      <c r="D123" s="73" t="str">
        <f t="shared" si="0"/>
        <v>R-407A</v>
      </c>
      <c r="E123" s="73" t="str" cm="1">
        <f t="array" ref="E123">IFERROR(INDEX(TRANSPOSE(Common_InputFunctions.Utility_SplitStringIntoArray($E64, "/")), 1), "")</f>
        <v>HFC-32</v>
      </c>
      <c r="F123" s="73" t="str" cm="1">
        <f t="array" ref="F123">IFERROR(INDEX(TRANSPOSE(Common_InputFunctions.Utility_SplitStringIntoArray($E64, "/")), 2), "")</f>
        <v>HFC-125</v>
      </c>
      <c r="G123" s="73" t="str" cm="1">
        <f t="array" ref="G123">IFERROR(INDEX(TRANSPOSE(Common_InputFunctions.Utility_SplitStringIntoArray($E64, "/")), 3), "")</f>
        <v>HFC-134a</v>
      </c>
      <c r="H123" s="73" t="str" cm="1">
        <f t="array" ref="H123">IFERROR(INDEX(TRANSPOSE(Common_InputFunctions.Utility_SplitStringIntoArray($E64, "/")), 4), "")</f>
        <v/>
      </c>
      <c r="I123" s="73" cm="1">
        <f t="array" ref="I123">IFERROR(INDEX(TRANSPOSE(Common_InputFunctions.Utility_SplitStringIntoArray($F64, "/", "(", ")")), 1)*0.01, 0)</f>
        <v>0.2</v>
      </c>
      <c r="J123" s="73" cm="1">
        <f t="array" ref="J123">IFERROR(INDEX(TRANSPOSE(Common_InputFunctions.Utility_SplitStringIntoArray($F64, "/", "(", ")")), 2)*0.01, 0)</f>
        <v>0.4</v>
      </c>
      <c r="K123" s="73" cm="1">
        <f t="array" ref="K123">IFERROR(INDEX(TRANSPOSE(Common_InputFunctions.Utility_SplitStringIntoArray($F64, "/", "(", ")")), 3)*0.01, 0)</f>
        <v>0.4</v>
      </c>
      <c r="L123" s="73" cm="1">
        <f t="array" ref="L123">IFERROR(INDEX(TRANSPOSE(Common_InputFunctions.Utility_SplitStringIntoArray($F64, "/", "(", ")")), 4)*0.01, 0)</f>
        <v>0</v>
      </c>
      <c r="M123" s="73" cm="1">
        <f t="array" ref="M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N123" s="73" cm="1">
        <f t="array" ref="N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O123" s="73" cm="1">
        <f t="array" ref="O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P123" s="73" cm="1">
        <f t="array" ref="P12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3" s="73" cm="1">
        <f t="array" ref="Q12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742.28000000000009</v>
      </c>
    </row>
    <row r="124" spans="4:17" ht="20.100000000000001" customHeight="1" x14ac:dyDescent="0.25">
      <c r="D124" s="73" t="str">
        <f t="shared" si="0"/>
        <v>R-407B</v>
      </c>
      <c r="E124" s="73" t="str" cm="1">
        <f t="array" ref="E124">IFERROR(INDEX(TRANSPOSE(Common_InputFunctions.Utility_SplitStringIntoArray($E65, "/")), 1), "")</f>
        <v>HFC-32</v>
      </c>
      <c r="F124" s="73" t="str" cm="1">
        <f t="array" ref="F124">IFERROR(INDEX(TRANSPOSE(Common_InputFunctions.Utility_SplitStringIntoArray($E65, "/")), 2), "")</f>
        <v>HFC-125</v>
      </c>
      <c r="G124" s="73" t="str" cm="1">
        <f t="array" ref="G124">IFERROR(INDEX(TRANSPOSE(Common_InputFunctions.Utility_SplitStringIntoArray($E65, "/")), 3), "")</f>
        <v>HFC-134a</v>
      </c>
      <c r="H124" s="73" t="str" cm="1">
        <f t="array" ref="H124">IFERROR(INDEX(TRANSPOSE(Common_InputFunctions.Utility_SplitStringIntoArray($E65, "/")), 4), "")</f>
        <v/>
      </c>
      <c r="I124" s="73" cm="1">
        <f t="array" ref="I124">IFERROR(INDEX(TRANSPOSE(Common_InputFunctions.Utility_SplitStringIntoArray($F65, "/", "(", ")")), 1)*0.01, 0)</f>
        <v>0.1</v>
      </c>
      <c r="J124" s="73" cm="1">
        <f t="array" ref="J124">IFERROR(INDEX(TRANSPOSE(Common_InputFunctions.Utility_SplitStringIntoArray($F65, "/", "(", ")")), 2)*0.01, 0)</f>
        <v>0.70000000000000007</v>
      </c>
      <c r="K124" s="73" cm="1">
        <f t="array" ref="K124">IFERROR(INDEX(TRANSPOSE(Common_InputFunctions.Utility_SplitStringIntoArray($F65, "/", "(", ")")), 3)*0.01, 0)</f>
        <v>0.2</v>
      </c>
      <c r="L124" s="73" cm="1">
        <f t="array" ref="L124">IFERROR(INDEX(TRANSPOSE(Common_InputFunctions.Utility_SplitStringIntoArray($F65, "/", "(", ")")), 4)*0.01, 0)</f>
        <v>0</v>
      </c>
      <c r="M124" s="73" cm="1">
        <f t="array" ref="M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N124" s="73" cm="1">
        <f t="array" ref="N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O124" s="73" cm="1">
        <f t="array" ref="O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P124" s="73" cm="1">
        <f t="array" ref="P12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4" s="73" cm="1">
        <f t="array" ref="Q12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1612.0700000000002</v>
      </c>
    </row>
    <row r="125" spans="4:17" ht="20.100000000000001" customHeight="1" x14ac:dyDescent="0.25">
      <c r="D125" s="73" t="str">
        <f t="shared" si="0"/>
        <v>R-407C</v>
      </c>
      <c r="E125" s="73" t="str" cm="1">
        <f t="array" ref="E125">IFERROR(INDEX(TRANSPOSE(Common_InputFunctions.Utility_SplitStringIntoArray($E66, "/")), 1), "")</f>
        <v>HFC-32</v>
      </c>
      <c r="F125" s="73" t="str" cm="1">
        <f t="array" ref="F125">IFERROR(INDEX(TRANSPOSE(Common_InputFunctions.Utility_SplitStringIntoArray($E66, "/")), 2), "")</f>
        <v>HFC-125</v>
      </c>
      <c r="G125" s="73" t="str" cm="1">
        <f t="array" ref="G125">IFERROR(INDEX(TRANSPOSE(Common_InputFunctions.Utility_SplitStringIntoArray($E66, "/")), 3), "")</f>
        <v>HFC-134a</v>
      </c>
      <c r="H125" s="73" t="str" cm="1">
        <f t="array" ref="H125">IFERROR(INDEX(TRANSPOSE(Common_InputFunctions.Utility_SplitStringIntoArray($E66, "/")), 4), "")</f>
        <v/>
      </c>
      <c r="I125" s="73" cm="1">
        <f t="array" ref="I125">IFERROR(INDEX(TRANSPOSE(Common_InputFunctions.Utility_SplitStringIntoArray($F66, "/", "(", ")")), 1)*0.01, 0)</f>
        <v>0.23</v>
      </c>
      <c r="J125" s="73" cm="1">
        <f t="array" ref="J125">IFERROR(INDEX(TRANSPOSE(Common_InputFunctions.Utility_SplitStringIntoArray($F66, "/", "(", ")")), 2)*0.01, 0)</f>
        <v>0.25</v>
      </c>
      <c r="K125" s="73" cm="1">
        <f t="array" ref="K125">IFERROR(INDEX(TRANSPOSE(Common_InputFunctions.Utility_SplitStringIntoArray($F66, "/", "(", ")")), 3)*0.01, 0)</f>
        <v>0.52</v>
      </c>
      <c r="L125" s="73" cm="1">
        <f t="array" ref="L125">IFERROR(INDEX(TRANSPOSE(Common_InputFunctions.Utility_SplitStringIntoArray($F66, "/", "(", ")")), 4)*0.01, 0)</f>
        <v>0</v>
      </c>
      <c r="M125" s="73" cm="1">
        <f t="array" ref="M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N125" s="73" cm="1">
        <f t="array" ref="N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O125" s="73" cm="1">
        <f t="array" ref="O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P125" s="73" cm="1">
        <f t="array" ref="P12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5" s="73" cm="1">
        <f t="array" ref="Q12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585.45830000000001</v>
      </c>
    </row>
    <row r="126" spans="4:17" ht="20.100000000000001" customHeight="1" x14ac:dyDescent="0.25">
      <c r="D126" s="73" t="str">
        <f t="shared" si="0"/>
        <v>R-407D</v>
      </c>
      <c r="E126" s="73" t="str" cm="1">
        <f t="array" ref="E126">IFERROR(INDEX(TRANSPOSE(Common_InputFunctions.Utility_SplitStringIntoArray($E67, "/")), 1), "")</f>
        <v>HFC-32</v>
      </c>
      <c r="F126" s="73" t="str" cm="1">
        <f t="array" ref="F126">IFERROR(INDEX(TRANSPOSE(Common_InputFunctions.Utility_SplitStringIntoArray($E67, "/")), 2), "")</f>
        <v>HFC-125</v>
      </c>
      <c r="G126" s="73" t="str" cm="1">
        <f t="array" ref="G126">IFERROR(INDEX(TRANSPOSE(Common_InputFunctions.Utility_SplitStringIntoArray($E67, "/")), 3), "")</f>
        <v>HFC-134a</v>
      </c>
      <c r="H126" s="73" t="str" cm="1">
        <f t="array" ref="H126">IFERROR(INDEX(TRANSPOSE(Common_InputFunctions.Utility_SplitStringIntoArray($E67, "/")), 4), "")</f>
        <v/>
      </c>
      <c r="I126" s="73" cm="1">
        <f t="array" ref="I126">IFERROR(INDEX(TRANSPOSE(Common_InputFunctions.Utility_SplitStringIntoArray($F67, "/", "(", ")")), 1)*0.01, 0)</f>
        <v>0.15</v>
      </c>
      <c r="J126" s="73" cm="1">
        <f t="array" ref="J126">IFERROR(INDEX(TRANSPOSE(Common_InputFunctions.Utility_SplitStringIntoArray($F67, "/", "(", ")")), 2)*0.01, 0)</f>
        <v>0.15</v>
      </c>
      <c r="K126" s="73" cm="1">
        <f t="array" ref="K126">IFERROR(INDEX(TRANSPOSE(Common_InputFunctions.Utility_SplitStringIntoArray($F67, "/", "(", ")")), 3)*0.01, 0)</f>
        <v>0.70000000000000007</v>
      </c>
      <c r="L126" s="73" cm="1">
        <f t="array" ref="L126">IFERROR(INDEX(TRANSPOSE(Common_InputFunctions.Utility_SplitStringIntoArray($F67, "/", "(", ")")), 4)*0.01, 0)</f>
        <v>0</v>
      </c>
      <c r="M126" s="73" cm="1">
        <f t="array" ref="M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N126" s="73" cm="1">
        <f t="array" ref="N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6" s="73" cm="1">
        <f t="array" ref="O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P126" s="73" cm="1">
        <f t="array" ref="P12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6" s="73" cm="1">
        <f t="array" ref="Q12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723.55750000000012</v>
      </c>
    </row>
    <row r="127" spans="4:17" ht="20.100000000000001" customHeight="1" x14ac:dyDescent="0.25">
      <c r="D127" s="73" t="str">
        <f t="shared" si="0"/>
        <v>R-407E</v>
      </c>
      <c r="E127" s="73" t="str" cm="1">
        <f t="array" ref="E127">IFERROR(INDEX(TRANSPOSE(Common_InputFunctions.Utility_SplitStringIntoArray($E68, "/")), 1), "")</f>
        <v>HFC-32</v>
      </c>
      <c r="F127" s="73" t="str" cm="1">
        <f t="array" ref="F127">IFERROR(INDEX(TRANSPOSE(Common_InputFunctions.Utility_SplitStringIntoArray($E68, "/")), 2), "")</f>
        <v>HFC-125</v>
      </c>
      <c r="G127" s="73" t="str" cm="1">
        <f t="array" ref="G127">IFERROR(INDEX(TRANSPOSE(Common_InputFunctions.Utility_SplitStringIntoArray($E68, "/")), 3), "")</f>
        <v>HFC-134a</v>
      </c>
      <c r="H127" s="73" t="str" cm="1">
        <f t="array" ref="H127">IFERROR(INDEX(TRANSPOSE(Common_InputFunctions.Utility_SplitStringIntoArray($E68, "/")), 4), "")</f>
        <v/>
      </c>
      <c r="I127" s="73" cm="1">
        <f t="array" ref="I127">IFERROR(INDEX(TRANSPOSE(Common_InputFunctions.Utility_SplitStringIntoArray($F68, "/", "(", ")")), 1)*0.01, 0)</f>
        <v>0.25</v>
      </c>
      <c r="J127" s="73" cm="1">
        <f t="array" ref="J127">IFERROR(INDEX(TRANSPOSE(Common_InputFunctions.Utility_SplitStringIntoArray($F68, "/", "(", ")")), 2)*0.01, 0)</f>
        <v>0.15</v>
      </c>
      <c r="K127" s="73" cm="1">
        <f t="array" ref="K127">IFERROR(INDEX(TRANSPOSE(Common_InputFunctions.Utility_SplitStringIntoArray($F68, "/", "(", ")")), 3)*0.01, 0)</f>
        <v>0.6</v>
      </c>
      <c r="L127" s="73" cm="1">
        <f t="array" ref="L127">IFERROR(INDEX(TRANSPOSE(Common_InputFunctions.Utility_SplitStringIntoArray($F68, "/", "(", ")")), 4)*0.01, 0)</f>
        <v>0</v>
      </c>
      <c r="M127" s="73" cm="1">
        <f t="array" ref="M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N127" s="73" cm="1">
        <f t="array" ref="N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O127" s="73" cm="1">
        <f t="array" ref="O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P127" s="73" cm="1">
        <f t="array" ref="P12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7" s="73" cm="1">
        <f t="array" ref="Q12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581.63750000000005</v>
      </c>
    </row>
    <row r="128" spans="4:17" ht="20.100000000000001" customHeight="1" x14ac:dyDescent="0.25">
      <c r="D128" s="73" t="str">
        <f t="shared" si="0"/>
        <v>R-408A</v>
      </c>
      <c r="E128" s="73" t="str" cm="1">
        <f t="array" ref="E128">IFERROR(INDEX(TRANSPOSE(Common_InputFunctions.Utility_SplitStringIntoArray($E69, "/")), 1), "")</f>
        <v>HFC-125</v>
      </c>
      <c r="F128" s="73" t="str" cm="1">
        <f t="array" ref="F128">IFERROR(INDEX(TRANSPOSE(Common_InputFunctions.Utility_SplitStringIntoArray($E69, "/")), 2), "")</f>
        <v>HFC-143a</v>
      </c>
      <c r="G128" s="73" t="str" cm="1">
        <f t="array" ref="G128">IFERROR(INDEX(TRANSPOSE(Common_InputFunctions.Utility_SplitStringIntoArray($E69, "/")), 3), "")</f>
        <v>HCFC-22</v>
      </c>
      <c r="H128" s="73" t="str" cm="1">
        <f t="array" ref="H128">IFERROR(INDEX(TRANSPOSE(Common_InputFunctions.Utility_SplitStringIntoArray($E69, "/")), 4), "")</f>
        <v/>
      </c>
      <c r="I128" s="73" cm="1">
        <f t="array" ref="I128">IFERROR(INDEX(TRANSPOSE(Common_InputFunctions.Utility_SplitStringIntoArray($F69, "/", "(", ")")), 1)*0.01, 0)</f>
        <v>7.0000000000000007E-2</v>
      </c>
      <c r="J128" s="73" cm="1">
        <f t="array" ref="J128">IFERROR(INDEX(TRANSPOSE(Common_InputFunctions.Utility_SplitStringIntoArray($F69, "/", "(", ")")), 2)*0.01, 0)</f>
        <v>0.46</v>
      </c>
      <c r="K128" s="73" cm="1">
        <f t="array" ref="K128">IFERROR(INDEX(TRANSPOSE(Common_InputFunctions.Utility_SplitStringIntoArray($F69, "/", "(", ")")), 3)*0.01, 0)</f>
        <v>0.47000000000000003</v>
      </c>
      <c r="L128" s="73" cm="1">
        <f t="array" ref="L128">IFERROR(INDEX(TRANSPOSE(Common_InputFunctions.Utility_SplitStringIntoArray($F69, "/", "(", ")")), 4)*0.01, 0)</f>
        <v>0</v>
      </c>
      <c r="M128" s="73" cm="1">
        <f t="array" ref="M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N128" s="73" cm="1">
        <f t="array" ref="N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O128" s="73" cm="1">
        <f t="array" ref="O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P128" s="73" cm="1">
        <f t="array" ref="P12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8" s="73" cm="1">
        <f t="array" ref="Q12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1419.9970000000001</v>
      </c>
    </row>
    <row r="129" spans="4:33" ht="20.100000000000001" customHeight="1" x14ac:dyDescent="0.25">
      <c r="D129" s="73" t="str">
        <f t="shared" si="0"/>
        <v>R-409A</v>
      </c>
      <c r="E129" s="73" t="str" cm="1">
        <f t="array" ref="E129">IFERROR(INDEX(TRANSPOSE(Common_InputFunctions.Utility_SplitStringIntoArray($E70, "/")), 1), "")</f>
        <v>HCFC-22</v>
      </c>
      <c r="F129" s="73" t="str" cm="1">
        <f t="array" ref="F129">IFERROR(INDEX(TRANSPOSE(Common_InputFunctions.Utility_SplitStringIntoArray($E70, "/")), 2), "")</f>
        <v>HCFC-124</v>
      </c>
      <c r="G129" s="73" t="str" cm="1">
        <f t="array" ref="G129">IFERROR(INDEX(TRANSPOSE(Common_InputFunctions.Utility_SplitStringIntoArray($E70, "/")), 3), "")</f>
        <v>HCFC-142b</v>
      </c>
      <c r="H129" s="73" t="str" cm="1">
        <f t="array" ref="H129">IFERROR(INDEX(TRANSPOSE(Common_InputFunctions.Utility_SplitStringIntoArray($E70, "/")), 4), "")</f>
        <v/>
      </c>
      <c r="I129" s="73" cm="1">
        <f t="array" ref="I129">IFERROR(INDEX(TRANSPOSE(Common_InputFunctions.Utility_SplitStringIntoArray($F70, "/", "(", ")")), 1)*0.01, 0)</f>
        <v>0.6</v>
      </c>
      <c r="J129" s="73" cm="1">
        <f t="array" ref="J129">IFERROR(INDEX(TRANSPOSE(Common_InputFunctions.Utility_SplitStringIntoArray($F70, "/", "(", ")")), 2)*0.01, 0)</f>
        <v>0.25</v>
      </c>
      <c r="K129" s="73" cm="1">
        <f t="array" ref="K129">IFERROR(INDEX(TRANSPOSE(Common_InputFunctions.Utility_SplitStringIntoArray($F70, "/", "(", ")")), 3)*0.01, 0)</f>
        <v>0.15</v>
      </c>
      <c r="L129" s="73" cm="1">
        <f t="array" ref="L129">IFERROR(INDEX(TRANSPOSE(Common_InputFunctions.Utility_SplitStringIntoArray($F70, "/", "(", ")")), 4)*0.01, 0)</f>
        <v>0</v>
      </c>
      <c r="M129" s="73" cm="1">
        <f t="array" ref="M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N129" s="73" cm="1">
        <f t="array" ref="N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29" s="73" cm="1">
        <f t="array" ref="O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P129" s="73" cm="1">
        <f t="array" ref="P12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29" s="73" cm="1">
        <f t="array" ref="Q12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711.08749999999998</v>
      </c>
    </row>
    <row r="130" spans="4:33" ht="20.100000000000001" customHeight="1" x14ac:dyDescent="0.25">
      <c r="D130" s="73" t="str">
        <f t="shared" si="0"/>
        <v>R-409B</v>
      </c>
      <c r="E130" s="73" t="str" cm="1">
        <f t="array" ref="E130">IFERROR(INDEX(TRANSPOSE(Common_InputFunctions.Utility_SplitStringIntoArray($E71, "/")), 1), "")</f>
        <v>HCFC-22</v>
      </c>
      <c r="F130" s="73" t="str" cm="1">
        <f t="array" ref="F130">IFERROR(INDEX(TRANSPOSE(Common_InputFunctions.Utility_SplitStringIntoArray($E71, "/")), 2), "")</f>
        <v>HCFC-124</v>
      </c>
      <c r="G130" s="73" t="str" cm="1">
        <f t="array" ref="G130">IFERROR(INDEX(TRANSPOSE(Common_InputFunctions.Utility_SplitStringIntoArray($E71, "/")), 3), "")</f>
        <v>HCFC-142b</v>
      </c>
      <c r="H130" s="73" t="str" cm="1">
        <f t="array" ref="H130">IFERROR(INDEX(TRANSPOSE(Common_InputFunctions.Utility_SplitStringIntoArray($E71, "/")), 4), "")</f>
        <v/>
      </c>
      <c r="I130" s="73" cm="1">
        <f t="array" ref="I130">IFERROR(INDEX(TRANSPOSE(Common_InputFunctions.Utility_SplitStringIntoArray($F71, "/", "(", ")")), 1)*0.01, 0)</f>
        <v>0.65</v>
      </c>
      <c r="J130" s="73" cm="1">
        <f t="array" ref="J130">IFERROR(INDEX(TRANSPOSE(Common_InputFunctions.Utility_SplitStringIntoArray($F71, "/", "(", ")")), 2)*0.01, 0)</f>
        <v>0.25</v>
      </c>
      <c r="K130" s="73" cm="1">
        <f t="array" ref="K130">IFERROR(INDEX(TRANSPOSE(Common_InputFunctions.Utility_SplitStringIntoArray($F71, "/", "(", ")")), 3)*0.01, 0)</f>
        <v>0.1</v>
      </c>
      <c r="L130" s="73" cm="1">
        <f t="array" ref="L130">IFERROR(INDEX(TRANSPOSE(Common_InputFunctions.Utility_SplitStringIntoArray($F71, "/", "(", ")")), 4)*0.01, 0)</f>
        <v>0</v>
      </c>
      <c r="M130" s="73" cm="1">
        <f t="array" ref="M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30" s="73" cm="1">
        <f t="array" ref="N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O130" s="73" cm="1">
        <f t="array" ref="O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P130" s="73" cm="1">
        <f t="array" ref="P13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0" s="73" cm="1">
        <f t="array" ref="Q13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796.33749999999998</v>
      </c>
      <c r="AG130" s="1"/>
    </row>
    <row r="131" spans="4:33" ht="20.100000000000001" customHeight="1" x14ac:dyDescent="0.25">
      <c r="D131" s="73" t="str">
        <f t="shared" si="0"/>
        <v>R-410A</v>
      </c>
      <c r="E131" s="73" t="str" cm="1">
        <f t="array" ref="E131">IFERROR(INDEX(TRANSPOSE(Common_InputFunctions.Utility_SplitStringIntoArray($E72, "/")), 1), "")</f>
        <v>HFC-32</v>
      </c>
      <c r="F131" s="73" t="str" cm="1">
        <f t="array" ref="F131">IFERROR(INDEX(TRANSPOSE(Common_InputFunctions.Utility_SplitStringIntoArray($E72, "/")), 2), "")</f>
        <v>HFC-125</v>
      </c>
      <c r="G131" s="73" t="str" cm="1">
        <f t="array" ref="G131">IFERROR(INDEX(TRANSPOSE(Common_InputFunctions.Utility_SplitStringIntoArray($E72, "/")), 3), "")</f>
        <v/>
      </c>
      <c r="H131" s="73" t="str" cm="1">
        <f t="array" ref="H131">IFERROR(INDEX(TRANSPOSE(Common_InputFunctions.Utility_SplitStringIntoArray($E72, "/")), 4), "")</f>
        <v/>
      </c>
      <c r="I131" s="73" cm="1">
        <f t="array" ref="I131">IFERROR(INDEX(TRANSPOSE(Common_InputFunctions.Utility_SplitStringIntoArray($F72, "/", "(", ")")), 1)*0.01, 0)</f>
        <v>0.5</v>
      </c>
      <c r="J131" s="73" cm="1">
        <f t="array" ref="J131">IFERROR(INDEX(TRANSPOSE(Common_InputFunctions.Utility_SplitStringIntoArray($F72, "/", "(", ")")), 2)*0.01, 0)</f>
        <v>0.5</v>
      </c>
      <c r="K131" s="73" cm="1">
        <f t="array" ref="K131">IFERROR(INDEX(TRANSPOSE(Common_InputFunctions.Utility_SplitStringIntoArray($F72, "/", "(", ")")), 3)*0.01, 0)</f>
        <v>0</v>
      </c>
      <c r="L131" s="73" cm="1">
        <f t="array" ref="L131">IFERROR(INDEX(TRANSPOSE(Common_InputFunctions.Utility_SplitStringIntoArray($F72, "/", "(", ")")), 4)*0.01, 0)</f>
        <v>0</v>
      </c>
      <c r="M131" s="73" cm="1">
        <f t="array" ref="M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N131" s="73" cm="1">
        <f t="array" ref="N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O131" s="73" cm="1">
        <f t="array" ref="O13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1" s="73" cm="1">
        <f t="array" ref="P13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1" s="73" cm="1">
        <f t="array" ref="Q13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961.75</v>
      </c>
      <c r="AG131" s="1"/>
    </row>
    <row r="132" spans="4:33" ht="20.100000000000001" customHeight="1" x14ac:dyDescent="0.25">
      <c r="D132" s="73" t="str">
        <f t="shared" si="0"/>
        <v>R-410B</v>
      </c>
      <c r="E132" s="73" t="str" cm="1">
        <f t="array" ref="E132">IFERROR(INDEX(TRANSPOSE(Common_InputFunctions.Utility_SplitStringIntoArray($E73, "/")), 1), "")</f>
        <v>HFC-32</v>
      </c>
      <c r="F132" s="73" t="str" cm="1">
        <f t="array" ref="F132">IFERROR(INDEX(TRANSPOSE(Common_InputFunctions.Utility_SplitStringIntoArray($E73, "/")), 2), "")</f>
        <v>HFC-125</v>
      </c>
      <c r="G132" s="73" t="str" cm="1">
        <f t="array" ref="G132">IFERROR(INDEX(TRANSPOSE(Common_InputFunctions.Utility_SplitStringIntoArray($E73, "/")), 3), "")</f>
        <v/>
      </c>
      <c r="H132" s="73" t="str" cm="1">
        <f t="array" ref="H132">IFERROR(INDEX(TRANSPOSE(Common_InputFunctions.Utility_SplitStringIntoArray($E73, "/")), 4), "")</f>
        <v/>
      </c>
      <c r="I132" s="73" cm="1">
        <f t="array" ref="I132">IFERROR(INDEX(TRANSPOSE(Common_InputFunctions.Utility_SplitStringIntoArray($F73, "/", "(", ")")), 1)*0.01, 0)</f>
        <v>0.45</v>
      </c>
      <c r="J132" s="73" cm="1">
        <f t="array" ref="J132">IFERROR(INDEX(TRANSPOSE(Common_InputFunctions.Utility_SplitStringIntoArray($F73, "/", "(", ")")), 2)*0.01, 0)</f>
        <v>0.55000000000000004</v>
      </c>
      <c r="K132" s="73" cm="1">
        <f t="array" ref="K132">IFERROR(INDEX(TRANSPOSE(Common_InputFunctions.Utility_SplitStringIntoArray($F73, "/", "(", ")")), 3)*0.01, 0)</f>
        <v>0</v>
      </c>
      <c r="L132" s="73" cm="1">
        <f t="array" ref="L132">IFERROR(INDEX(TRANSPOSE(Common_InputFunctions.Utility_SplitStringIntoArray($F73, "/", "(", ")")), 4)*0.01, 0)</f>
        <v>0</v>
      </c>
      <c r="M132" s="73" cm="1">
        <f t="array" ref="M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N132" s="73" cm="1">
        <f t="array" ref="N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O132" s="73" cm="1">
        <f t="array" ref="O13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2" s="73" cm="1">
        <f t="array" ref="P13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2" s="73" cm="1">
        <f t="array" ref="Q13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1096.0175000000002</v>
      </c>
      <c r="AG132" s="1"/>
    </row>
    <row r="133" spans="4:33" ht="20.100000000000001" customHeight="1" x14ac:dyDescent="0.25">
      <c r="D133" s="73" t="str">
        <f t="shared" si="0"/>
        <v>R-411A</v>
      </c>
      <c r="E133" s="73" t="str" cm="1">
        <f t="array" ref="E133">IFERROR(INDEX(TRANSPOSE(Common_InputFunctions.Utility_SplitStringIntoArray($E74, "/")), 1), "")</f>
        <v>HC-1270</v>
      </c>
      <c r="F133" s="73" t="str" cm="1">
        <f t="array" ref="F133">IFERROR(INDEX(TRANSPOSE(Common_InputFunctions.Utility_SplitStringIntoArray($E74, "/")), 2), "")</f>
        <v>HCFC-22</v>
      </c>
      <c r="G133" s="73" t="str" cm="1">
        <f t="array" ref="G133">IFERROR(INDEX(TRANSPOSE(Common_InputFunctions.Utility_SplitStringIntoArray($E74, "/")), 3), "")</f>
        <v>HFC-152a</v>
      </c>
      <c r="H133" s="73" t="str" cm="1">
        <f t="array" ref="H133">IFERROR(INDEX(TRANSPOSE(Common_InputFunctions.Utility_SplitStringIntoArray($E74, "/")), 4), "")</f>
        <v/>
      </c>
      <c r="I133" s="73" cm="1">
        <f t="array" ref="I133">IFERROR(INDEX(TRANSPOSE(Common_InputFunctions.Utility_SplitStringIntoArray($F74, "/", "(", ")")), 1)*0.01, 0)</f>
        <v>1.4999999999999999E-2</v>
      </c>
      <c r="J133" s="73" cm="1">
        <f t="array" ref="J133">IFERROR(INDEX(TRANSPOSE(Common_InputFunctions.Utility_SplitStringIntoArray($F74, "/", "(", ")")), 2)*0.01, 0)</f>
        <v>0.875</v>
      </c>
      <c r="K133" s="73" cm="1">
        <f t="array" ref="K133">IFERROR(INDEX(TRANSPOSE(Common_InputFunctions.Utility_SplitStringIntoArray($F74, "/", "(", ")")), 3)*0.01, 0)</f>
        <v>0.11</v>
      </c>
      <c r="L133" s="73" cm="1">
        <f t="array" ref="L133">IFERROR(INDEX(TRANSPOSE(Common_InputFunctions.Utility_SplitStringIntoArray($F74, "/", "(", ")")), 4)*0.01, 0)</f>
        <v>0</v>
      </c>
      <c r="M133" s="73" cm="1">
        <f t="array" ref="M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3" s="73" cm="1">
        <f t="array" ref="N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O133" s="73" cm="1">
        <f t="array" ref="O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P133" s="73" cm="1">
        <f t="array" ref="P13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3" s="73" cm="1">
        <f t="array" ref="Q13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1349.1697999999999</v>
      </c>
      <c r="AG133" s="1"/>
    </row>
    <row r="134" spans="4:33" ht="20.100000000000001" customHeight="1" x14ac:dyDescent="0.25">
      <c r="D134" s="73" t="str">
        <f t="shared" si="0"/>
        <v>R-411B</v>
      </c>
      <c r="E134" s="73" t="str" cm="1">
        <f t="array" ref="E134">IFERROR(INDEX(TRANSPOSE(Common_InputFunctions.Utility_SplitStringIntoArray($E75, "/")), 1), "")</f>
        <v>HC-1270</v>
      </c>
      <c r="F134" s="73" t="str" cm="1">
        <f t="array" ref="F134">IFERROR(INDEX(TRANSPOSE(Common_InputFunctions.Utility_SplitStringIntoArray($E75, "/")), 2), "")</f>
        <v>HCFC-22</v>
      </c>
      <c r="G134" s="73" t="str" cm="1">
        <f t="array" ref="G134">IFERROR(INDEX(TRANSPOSE(Common_InputFunctions.Utility_SplitStringIntoArray($E75, "/")), 3), "")</f>
        <v>HFC-152a</v>
      </c>
      <c r="H134" s="73" t="str" cm="1">
        <f t="array" ref="H134">IFERROR(INDEX(TRANSPOSE(Common_InputFunctions.Utility_SplitStringIntoArray($E75, "/")), 4), "")</f>
        <v/>
      </c>
      <c r="I134" s="73" cm="1">
        <f t="array" ref="I134">IFERROR(INDEX(TRANSPOSE(Common_InputFunctions.Utility_SplitStringIntoArray($F75, "/", "(", ")")), 1)*0.01, 0)</f>
        <v>0.03</v>
      </c>
      <c r="J134" s="73" cm="1">
        <f t="array" ref="J134">IFERROR(INDEX(TRANSPOSE(Common_InputFunctions.Utility_SplitStringIntoArray($F75, "/", "(", ")")), 2)*0.01, 0)</f>
        <v>0.94000000000000006</v>
      </c>
      <c r="K134" s="73" cm="1">
        <f t="array" ref="K134">IFERROR(INDEX(TRANSPOSE(Common_InputFunctions.Utility_SplitStringIntoArray($F75, "/", "(", ")")), 3)*0.01, 0)</f>
        <v>0.03</v>
      </c>
      <c r="L134" s="73" cm="1">
        <f t="array" ref="L134">IFERROR(INDEX(TRANSPOSE(Common_InputFunctions.Utility_SplitStringIntoArray($F75, "/", "(", ")")), 4)*0.01, 0)</f>
        <v>0</v>
      </c>
      <c r="M134" s="73" cm="1">
        <f t="array" ref="M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4" s="73" cm="1">
        <f t="array" ref="N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O134" s="73" cm="1">
        <f t="array" ref="O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P134" s="73" cm="1">
        <f t="array" ref="P13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4" s="73" cm="1">
        <f t="array" ref="Q13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1555.2602000000002</v>
      </c>
      <c r="AG134" s="1"/>
    </row>
    <row r="135" spans="4:33" ht="20.100000000000001" customHeight="1" x14ac:dyDescent="0.25">
      <c r="D135" s="73" t="str">
        <f t="shared" si="0"/>
        <v>R-411C</v>
      </c>
      <c r="E135" s="73" t="str" cm="1">
        <f t="array" ref="E135">IFERROR(INDEX(TRANSPOSE(Common_InputFunctions.Utility_SplitStringIntoArray($E76, "/")), 1), "")</f>
        <v>HC-1270</v>
      </c>
      <c r="F135" s="73" t="str" cm="1">
        <f t="array" ref="F135">IFERROR(INDEX(TRANSPOSE(Common_InputFunctions.Utility_SplitStringIntoArray($E76, "/")), 2), "")</f>
        <v>HCFC-22</v>
      </c>
      <c r="G135" s="73" t="str" cm="1">
        <f t="array" ref="G135">IFERROR(INDEX(TRANSPOSE(Common_InputFunctions.Utility_SplitStringIntoArray($E76, "/")), 3), "")</f>
        <v>HFC-152a</v>
      </c>
      <c r="H135" s="73" t="str" cm="1">
        <f t="array" ref="H135">IFERROR(INDEX(TRANSPOSE(Common_InputFunctions.Utility_SplitStringIntoArray($E76, "/")), 4), "")</f>
        <v/>
      </c>
      <c r="I135" s="73" cm="1">
        <f t="array" ref="I135">IFERROR(INDEX(TRANSPOSE(Common_InputFunctions.Utility_SplitStringIntoArray($F76, "/", "(", ")")), 1)*0.01, 0)</f>
        <v>0.03</v>
      </c>
      <c r="J135" s="73" cm="1">
        <f t="array" ref="J135">IFERROR(INDEX(TRANSPOSE(Common_InputFunctions.Utility_SplitStringIntoArray($F76, "/", "(", ")")), 2)*0.01, 0)</f>
        <v>0.95500000000000007</v>
      </c>
      <c r="K135" s="73" cm="1">
        <f t="array" ref="K135">IFERROR(INDEX(TRANSPOSE(Common_InputFunctions.Utility_SplitStringIntoArray($F76, "/", "(", ")")), 3)*0.01, 0)</f>
        <v>1.4999999999999999E-2</v>
      </c>
      <c r="L135" s="73" cm="1">
        <f t="array" ref="L135">IFERROR(INDEX(TRANSPOSE(Common_InputFunctions.Utility_SplitStringIntoArray($F76, "/", "(", ")")), 4)*0.01, 0)</f>
        <v>0</v>
      </c>
      <c r="M135" s="73" cm="1">
        <f t="array" ref="M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35" s="73" cm="1">
        <f t="array" ref="N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O135" s="73" cm="1">
        <f t="array" ref="O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P135" s="73" cm="1">
        <f t="array" ref="P13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5" s="73" cm="1">
        <f t="array" ref="Q13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1605.1950500000003</v>
      </c>
      <c r="AG135" s="1"/>
    </row>
    <row r="136" spans="4:33" ht="20.100000000000001" customHeight="1" x14ac:dyDescent="0.25">
      <c r="D136" s="73" t="str">
        <f t="shared" si="0"/>
        <v>R-412A</v>
      </c>
      <c r="E136" s="73" t="str" cm="1">
        <f t="array" ref="E136">IFERROR(INDEX(TRANSPOSE(Common_InputFunctions.Utility_SplitStringIntoArray($E77, "/")), 1), "")</f>
        <v>HCFC-22</v>
      </c>
      <c r="F136" s="73" t="str" cm="1">
        <f t="array" ref="F136">IFERROR(INDEX(TRANSPOSE(Common_InputFunctions.Utility_SplitStringIntoArray($E77, "/")), 2), "")</f>
        <v>PFC-218</v>
      </c>
      <c r="G136" s="73" t="str" cm="1">
        <f t="array" ref="G136">IFERROR(INDEX(TRANSPOSE(Common_InputFunctions.Utility_SplitStringIntoArray($E77, "/")), 3), "")</f>
        <v>HCFC-142b</v>
      </c>
      <c r="H136" s="73" t="str" cm="1">
        <f t="array" ref="H136">IFERROR(INDEX(TRANSPOSE(Common_InputFunctions.Utility_SplitStringIntoArray($E77, "/")), 4), "")</f>
        <v/>
      </c>
      <c r="I136" s="73" cm="1">
        <f t="array" ref="I136">IFERROR(INDEX(TRANSPOSE(Common_InputFunctions.Utility_SplitStringIntoArray($F77, "/", "(", ")")), 1)*0.01, 0)</f>
        <v>0.70000000000000007</v>
      </c>
      <c r="J136" s="73" cm="1">
        <f t="array" ref="J136">IFERROR(INDEX(TRANSPOSE(Common_InputFunctions.Utility_SplitStringIntoArray($F77, "/", "(", ")")), 2)*0.01, 0)</f>
        <v>0.05</v>
      </c>
      <c r="K136" s="73" cm="1">
        <f t="array" ref="K136">IFERROR(INDEX(TRANSPOSE(Common_InputFunctions.Utility_SplitStringIntoArray($F77, "/", "(", ")")), 3)*0.01, 0)</f>
        <v>0.25</v>
      </c>
      <c r="L136" s="73" cm="1">
        <f t="array" ref="L136">IFERROR(INDEX(TRANSPOSE(Common_InputFunctions.Utility_SplitStringIntoArray($F77, "/", "(", ")")), 4)*0.01, 0)</f>
        <v>0</v>
      </c>
      <c r="M136" s="73" cm="1">
        <f t="array" ref="M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N136" s="73" cm="1">
        <f t="array" ref="N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O136" s="73" cm="1">
        <f t="array" ref="O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P136" s="73" cm="1">
        <f t="array" ref="P13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6" s="73" cm="1">
        <f t="array" ref="Q13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1008.4000000000002</v>
      </c>
      <c r="AG136" s="1"/>
    </row>
    <row r="137" spans="4:33" ht="20.100000000000001" customHeight="1" x14ac:dyDescent="0.25">
      <c r="D137" s="73" t="str">
        <f t="shared" si="0"/>
        <v>R-413A</v>
      </c>
      <c r="E137" s="73" t="str" cm="1">
        <f t="array" ref="E137">IFERROR(INDEX(TRANSPOSE(Common_InputFunctions.Utility_SplitStringIntoArray($E78, "/")), 1), "")</f>
        <v>PFC-218</v>
      </c>
      <c r="F137" s="73" t="str" cm="1">
        <f t="array" ref="F137">IFERROR(INDEX(TRANSPOSE(Common_InputFunctions.Utility_SplitStringIntoArray($E78, "/")), 2), "")</f>
        <v>HFC-134a</v>
      </c>
      <c r="G137" s="73" t="str" cm="1">
        <f t="array" ref="G137">IFERROR(INDEX(TRANSPOSE(Common_InputFunctions.Utility_SplitStringIntoArray($E78, "/")), 3), "")</f>
        <v>HC-600a</v>
      </c>
      <c r="H137" s="73" t="str" cm="1">
        <f t="array" ref="H137">IFERROR(INDEX(TRANSPOSE(Common_InputFunctions.Utility_SplitStringIntoArray($E78, "/")), 4), "")</f>
        <v/>
      </c>
      <c r="I137" s="73" cm="1">
        <f t="array" ref="I137">IFERROR(INDEX(TRANSPOSE(Common_InputFunctions.Utility_SplitStringIntoArray($F78, "/", "(", ")")), 1)*0.01, 0)</f>
        <v>0.09</v>
      </c>
      <c r="J137" s="73" cm="1">
        <f t="array" ref="J137">IFERROR(INDEX(TRANSPOSE(Common_InputFunctions.Utility_SplitStringIntoArray($F78, "/", "(", ")")), 2)*0.01, 0)</f>
        <v>0.88</v>
      </c>
      <c r="K137" s="73" cm="1">
        <f t="array" ref="K137">IFERROR(INDEX(TRANSPOSE(Common_InputFunctions.Utility_SplitStringIntoArray($F78, "/", "(", ")")), 3)*0.01, 0)</f>
        <v>0.03</v>
      </c>
      <c r="L137" s="73" cm="1">
        <f t="array" ref="L137">IFERROR(INDEX(TRANSPOSE(Common_InputFunctions.Utility_SplitStringIntoArray($F78, "/", "(", ")")), 4)*0.01, 0)</f>
        <v>0</v>
      </c>
      <c r="M137" s="73" cm="1">
        <f t="array" ref="M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N137" s="73" cm="1">
        <f t="array" ref="N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O137" s="73" cm="1">
        <f t="array" ref="O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7" s="73" cm="1">
        <f t="array" ref="P13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37" s="73" cm="1">
        <f t="array" ref="Q13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1078.81</v>
      </c>
      <c r="AG137" s="1"/>
    </row>
    <row r="138" spans="4:33" ht="20.100000000000001" customHeight="1" x14ac:dyDescent="0.25">
      <c r="D138" s="73" t="str">
        <f t="shared" si="0"/>
        <v>R-414A</v>
      </c>
      <c r="E138" s="73" t="str" cm="1">
        <f t="array" ref="E138">IFERROR(INDEX(TRANSPOSE(Common_InputFunctions.Utility_SplitStringIntoArray($E79, "/")), 1), "")</f>
        <v>HCFC-22</v>
      </c>
      <c r="F138" s="73" t="str" cm="1">
        <f t="array" ref="F138">IFERROR(INDEX(TRANSPOSE(Common_InputFunctions.Utility_SplitStringIntoArray($E79, "/")), 2), "")</f>
        <v>HCFC-124</v>
      </c>
      <c r="G138" s="73" t="str" cm="1">
        <f t="array" ref="G138">IFERROR(INDEX(TRANSPOSE(Common_InputFunctions.Utility_SplitStringIntoArray($E79, "/")), 3), "")</f>
        <v>HC-600a</v>
      </c>
      <c r="H138" s="73" t="str" cm="1">
        <f t="array" ref="H138">IFERROR(INDEX(TRANSPOSE(Common_InputFunctions.Utility_SplitStringIntoArray($E79, "/")), 4), "")</f>
        <v>HCFC-142b</v>
      </c>
      <c r="I138" s="73" cm="1">
        <f t="array" ref="I138">IFERROR(INDEX(TRANSPOSE(Common_InputFunctions.Utility_SplitStringIntoArray($F79, "/", "(", ")")), 1)*0.01, 0)</f>
        <v>0.51</v>
      </c>
      <c r="J138" s="73" cm="1">
        <f t="array" ref="J138">IFERROR(INDEX(TRANSPOSE(Common_InputFunctions.Utility_SplitStringIntoArray($F79, "/", "(", ")")), 2)*0.01, 0)</f>
        <v>0.28500000000000003</v>
      </c>
      <c r="K138" s="73" cm="1">
        <f t="array" ref="K138">IFERROR(INDEX(TRANSPOSE(Common_InputFunctions.Utility_SplitStringIntoArray($F79, "/", "(", ")")), 3)*0.01, 0)</f>
        <v>0.04</v>
      </c>
      <c r="L138" s="73" cm="1">
        <f t="array" ref="L138">IFERROR(INDEX(TRANSPOSE(Common_InputFunctions.Utility_SplitStringIntoArray($F79, "/", "(", ")")), 4)*0.01, 0)</f>
        <v>0.16500000000000001</v>
      </c>
      <c r="M138" s="73" cm="1">
        <f t="array" ref="M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N138" s="73" cm="1">
        <f t="array" ref="N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O138" s="73" cm="1">
        <f t="array" ref="O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8" s="73" cm="1">
        <f t="array" ref="P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Q138" s="73" cm="1">
        <f t="array" ref="Q13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554.487075</v>
      </c>
      <c r="AG138" s="1"/>
    </row>
    <row r="139" spans="4:33" ht="20.100000000000001" customHeight="1" x14ac:dyDescent="0.25">
      <c r="D139" s="73" t="str">
        <f t="shared" si="0"/>
        <v>R-414B</v>
      </c>
      <c r="E139" s="73" t="str" cm="1">
        <f t="array" ref="E139">IFERROR(INDEX(TRANSPOSE(Common_InputFunctions.Utility_SplitStringIntoArray($E80, "/")), 1), "")</f>
        <v>HCFC-22</v>
      </c>
      <c r="F139" s="73" t="str" cm="1">
        <f t="array" ref="F139">IFERROR(INDEX(TRANSPOSE(Common_InputFunctions.Utility_SplitStringIntoArray($E80, "/")), 2), "")</f>
        <v>HCFC-124</v>
      </c>
      <c r="G139" s="73" t="str" cm="1">
        <f t="array" ref="G139">IFERROR(INDEX(TRANSPOSE(Common_InputFunctions.Utility_SplitStringIntoArray($E80, "/")), 3), "")</f>
        <v>HC-600a</v>
      </c>
      <c r="H139" s="73" t="str" cm="1">
        <f t="array" ref="H139">IFERROR(INDEX(TRANSPOSE(Common_InputFunctions.Utility_SplitStringIntoArray($E80, "/")), 4), "")</f>
        <v>HCFC-142b</v>
      </c>
      <c r="I139" s="73" cm="1">
        <f t="array" ref="I139">IFERROR(INDEX(TRANSPOSE(Common_InputFunctions.Utility_SplitStringIntoArray($F80, "/", "(", ")")), 1)*0.01, 0)</f>
        <v>0.5</v>
      </c>
      <c r="J139" s="73" cm="1">
        <f t="array" ref="J139">IFERROR(INDEX(TRANSPOSE(Common_InputFunctions.Utility_SplitStringIntoArray($F80, "/", "(", ")")), 2)*0.01, 0)</f>
        <v>0.39</v>
      </c>
      <c r="K139" s="73" cm="1">
        <f t="array" ref="K139">IFERROR(INDEX(TRANSPOSE(Common_InputFunctions.Utility_SplitStringIntoArray($F80, "/", "(", ")")), 3)*0.01, 0)</f>
        <v>1.4999999999999999E-2</v>
      </c>
      <c r="L139" s="73" cm="1">
        <f t="array" ref="L139">IFERROR(INDEX(TRANSPOSE(Common_InputFunctions.Utility_SplitStringIntoArray($F80, "/", "(", ")")), 4)*0.01, 0)</f>
        <v>9.5000000000000001E-2</v>
      </c>
      <c r="M139" s="73" cm="1">
        <f t="array" ref="M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N139" s="73" cm="1">
        <f t="array" ref="N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O139" s="73" cm="1">
        <f t="array" ref="O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39" s="73" cm="1">
        <f t="array" ref="P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Q139" s="73" cm="1">
        <f t="array" ref="Q13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538.02620000000002</v>
      </c>
      <c r="AG139" s="1"/>
    </row>
    <row r="140" spans="4:33" ht="20.100000000000001" customHeight="1" x14ac:dyDescent="0.25">
      <c r="D140" s="73" t="str">
        <f t="shared" si="0"/>
        <v>R-415A</v>
      </c>
      <c r="E140" s="73" t="str" cm="1">
        <f t="array" ref="E140">IFERROR(INDEX(TRANSPOSE(Common_InputFunctions.Utility_SplitStringIntoArray($E81, "/")), 1), "")</f>
        <v>HCFC-22</v>
      </c>
      <c r="F140" s="73" t="str" cm="1">
        <f t="array" ref="F140">IFERROR(INDEX(TRANSPOSE(Common_InputFunctions.Utility_SplitStringIntoArray($E81, "/")), 2), "")</f>
        <v>HFC-152a</v>
      </c>
      <c r="G140" s="73" t="str" cm="1">
        <f t="array" ref="G140">IFERROR(INDEX(TRANSPOSE(Common_InputFunctions.Utility_SplitStringIntoArray($E81, "/")), 3), "")</f>
        <v/>
      </c>
      <c r="H140" s="73" t="str" cm="1">
        <f t="array" ref="H140">IFERROR(INDEX(TRANSPOSE(Common_InputFunctions.Utility_SplitStringIntoArray($E81, "/")), 4), "")</f>
        <v/>
      </c>
      <c r="I140" s="73" cm="1">
        <f t="array" ref="I140">IFERROR(INDEX(TRANSPOSE(Common_InputFunctions.Utility_SplitStringIntoArray($F81, "/", "(", ")")), 1)*0.01, 0)</f>
        <v>0.82000000000000006</v>
      </c>
      <c r="J140" s="73" cm="1">
        <f t="array" ref="J140">IFERROR(INDEX(TRANSPOSE(Common_InputFunctions.Utility_SplitStringIntoArray($F81, "/", "(", ")")), 2)*0.01, 0)</f>
        <v>0.18</v>
      </c>
      <c r="K140" s="73" cm="1">
        <f t="array" ref="K140">IFERROR(INDEX(TRANSPOSE(Common_InputFunctions.Utility_SplitStringIntoArray($F81, "/", "(", ")")), 3)*0.01, 0)</f>
        <v>0</v>
      </c>
      <c r="L140" s="73" cm="1">
        <f t="array" ref="L140">IFERROR(INDEX(TRANSPOSE(Common_InputFunctions.Utility_SplitStringIntoArray($F81, "/", "(", ")")), 4)*0.01, 0)</f>
        <v>0</v>
      </c>
      <c r="M140" s="73" cm="1">
        <f t="array" ref="M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N140" s="73" cm="1">
        <f t="array" ref="N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O140" s="73" cm="1">
        <f t="array" ref="O14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0" s="73" cm="1">
        <f t="array" ref="P14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0" s="73" cm="1">
        <f t="array" ref="Q14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1187.8952000000002</v>
      </c>
    </row>
    <row r="141" spans="4:33" ht="20.100000000000001" customHeight="1" x14ac:dyDescent="0.25">
      <c r="D141" s="73" t="str">
        <f t="shared" si="0"/>
        <v>R-415B</v>
      </c>
      <c r="E141" s="73" t="str" cm="1">
        <f t="array" ref="E141">IFERROR(INDEX(TRANSPOSE(Common_InputFunctions.Utility_SplitStringIntoArray($E82, "/")), 1), "")</f>
        <v>HCFC-22</v>
      </c>
      <c r="F141" s="73" t="str" cm="1">
        <f t="array" ref="F141">IFERROR(INDEX(TRANSPOSE(Common_InputFunctions.Utility_SplitStringIntoArray($E82, "/")), 2), "")</f>
        <v>HFC-152a</v>
      </c>
      <c r="G141" s="73" t="str" cm="1">
        <f t="array" ref="G141">IFERROR(INDEX(TRANSPOSE(Common_InputFunctions.Utility_SplitStringIntoArray($E82, "/")), 3), "")</f>
        <v/>
      </c>
      <c r="H141" s="73" t="str" cm="1">
        <f t="array" ref="H141">IFERROR(INDEX(TRANSPOSE(Common_InputFunctions.Utility_SplitStringIntoArray($E82, "/")), 4), "")</f>
        <v/>
      </c>
      <c r="I141" s="73" cm="1">
        <f t="array" ref="I141">IFERROR(INDEX(TRANSPOSE(Common_InputFunctions.Utility_SplitStringIntoArray($F82, "/", "(", ")")), 1)*0.01, 0)</f>
        <v>0.25</v>
      </c>
      <c r="J141" s="73" cm="1">
        <f t="array" ref="J141">IFERROR(INDEX(TRANSPOSE(Common_InputFunctions.Utility_SplitStringIntoArray($F82, "/", "(", ")")), 2)*0.01, 0)</f>
        <v>0.75</v>
      </c>
      <c r="K141" s="73" cm="1">
        <f t="array" ref="K141">IFERROR(INDEX(TRANSPOSE(Common_InputFunctions.Utility_SplitStringIntoArray($F82, "/", "(", ")")), 3)*0.01, 0)</f>
        <v>0</v>
      </c>
      <c r="L141" s="73" cm="1">
        <f t="array" ref="L141">IFERROR(INDEX(TRANSPOSE(Common_InputFunctions.Utility_SplitStringIntoArray($F82, "/", "(", ")")), 4)*0.01, 0)</f>
        <v>0</v>
      </c>
      <c r="M141" s="73" cm="1">
        <f t="array" ref="M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N141" s="73" cm="1">
        <f t="array" ref="N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O141" s="73" cm="1">
        <f t="array" ref="O14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1" s="73" cm="1">
        <f t="array" ref="P14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1" s="73" cm="1">
        <f t="array" ref="Q14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187.625</v>
      </c>
    </row>
    <row r="142" spans="4:33" ht="20.100000000000001" customHeight="1" x14ac:dyDescent="0.25">
      <c r="D142" s="73" t="str">
        <f t="shared" si="0"/>
        <v>R-416A</v>
      </c>
      <c r="E142" s="73" t="str" cm="1">
        <f t="array" ref="E142">IFERROR(INDEX(TRANSPOSE(Common_InputFunctions.Utility_SplitStringIntoArray($E83, "/")), 1), "")</f>
        <v>HFC-134a</v>
      </c>
      <c r="F142" s="73" t="str" cm="1">
        <f t="array" ref="F142">IFERROR(INDEX(TRANSPOSE(Common_InputFunctions.Utility_SplitStringIntoArray($E83, "/")), 2), "")</f>
        <v>HCFC-124</v>
      </c>
      <c r="G142" s="73" t="str" cm="1">
        <f t="array" ref="G142">IFERROR(INDEX(TRANSPOSE(Common_InputFunctions.Utility_SplitStringIntoArray($E83, "/")), 3), "")</f>
        <v>HC-600</v>
      </c>
      <c r="H142" s="73" t="str" cm="1">
        <f t="array" ref="H142">IFERROR(INDEX(TRANSPOSE(Common_InputFunctions.Utility_SplitStringIntoArray($E83, "/")), 4), "")</f>
        <v/>
      </c>
      <c r="I142" s="73" cm="1">
        <f t="array" ref="I142">IFERROR(INDEX(TRANSPOSE(Common_InputFunctions.Utility_SplitStringIntoArray($F83, "/", "(", ")")), 1)*0.01, 0)</f>
        <v>0.59</v>
      </c>
      <c r="J142" s="73" cm="1">
        <f t="array" ref="J142">IFERROR(INDEX(TRANSPOSE(Common_InputFunctions.Utility_SplitStringIntoArray($F83, "/", "(", ")")), 2)*0.01, 0)</f>
        <v>0.39500000000000002</v>
      </c>
      <c r="K142" s="73" cm="1">
        <f t="array" ref="K142">IFERROR(INDEX(TRANSPOSE(Common_InputFunctions.Utility_SplitStringIntoArray($F83, "/", "(", ")")), 3)*0.01, 0)</f>
        <v>1.4999999999999999E-2</v>
      </c>
      <c r="L142" s="73" cm="1">
        <f t="array" ref="L142">IFERROR(INDEX(TRANSPOSE(Common_InputFunctions.Utility_SplitStringIntoArray($F83, "/", "(", ")")), 4)*0.01, 0)</f>
        <v>0</v>
      </c>
      <c r="M142" s="73" cm="1">
        <f t="array" ref="M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N142" s="73" cm="1">
        <f t="array" ref="N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O142" s="73" cm="1">
        <f t="array" ref="O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2" s="73" cm="1">
        <f t="array" ref="P14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2" s="73" cm="1">
        <f t="array" ref="Q14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534.75517500000001</v>
      </c>
    </row>
    <row r="143" spans="4:33" ht="20.100000000000001" customHeight="1" x14ac:dyDescent="0.25">
      <c r="D143" s="73" t="str">
        <f t="shared" si="0"/>
        <v>R-417A</v>
      </c>
      <c r="E143" s="73" t="str" cm="1">
        <f t="array" ref="E143">IFERROR(INDEX(TRANSPOSE(Common_InputFunctions.Utility_SplitStringIntoArray($E84, "/")), 1), "")</f>
        <v>HFC-125</v>
      </c>
      <c r="F143" s="73" t="str" cm="1">
        <f t="array" ref="F143">IFERROR(INDEX(TRANSPOSE(Common_InputFunctions.Utility_SplitStringIntoArray($E84, "/")), 2), "")</f>
        <v>HFC-134a</v>
      </c>
      <c r="G143" s="73" t="str" cm="1">
        <f t="array" ref="G143">IFERROR(INDEX(TRANSPOSE(Common_InputFunctions.Utility_SplitStringIntoArray($E84, "/")), 3), "")</f>
        <v>HC-600</v>
      </c>
      <c r="H143" s="73" t="str" cm="1">
        <f t="array" ref="H143">IFERROR(INDEX(TRANSPOSE(Common_InputFunctions.Utility_SplitStringIntoArray($E84, "/")), 4), "")</f>
        <v/>
      </c>
      <c r="I143" s="73" cm="1">
        <f t="array" ref="I143">IFERROR(INDEX(TRANSPOSE(Common_InputFunctions.Utility_SplitStringIntoArray($F84, "/", "(", ")")), 1)*0.01, 0)</f>
        <v>0.46600000000000003</v>
      </c>
      <c r="J143" s="73" cm="1">
        <f t="array" ref="J143">IFERROR(INDEX(TRANSPOSE(Common_InputFunctions.Utility_SplitStringIntoArray($F84, "/", "(", ")")), 2)*0.01, 0)</f>
        <v>0.5</v>
      </c>
      <c r="K143" s="73" cm="1">
        <f t="array" ref="K143">IFERROR(INDEX(TRANSPOSE(Common_InputFunctions.Utility_SplitStringIntoArray($F84, "/", "(", ")")), 3)*0.01, 0)</f>
        <v>3.4000000000000002E-2</v>
      </c>
      <c r="L143" s="73" cm="1">
        <f t="array" ref="L143">IFERROR(INDEX(TRANSPOSE(Common_InputFunctions.Utility_SplitStringIntoArray($F84, "/", "(", ")")), 4)*0.01, 0)</f>
        <v>0</v>
      </c>
      <c r="M143" s="73" cm="1">
        <f t="array" ref="M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N143" s="73" cm="1">
        <f t="array" ref="N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O143" s="73" cm="1">
        <f t="array" ref="O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3" s="73" cm="1">
        <f t="array" ref="P14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3" s="73" cm="1">
        <f t="array" ref="Q14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1013.3845200000001</v>
      </c>
    </row>
    <row r="144" spans="4:33" ht="20.100000000000001" customHeight="1" x14ac:dyDescent="0.25">
      <c r="D144" s="73" t="str">
        <f t="shared" si="0"/>
        <v>R-418A</v>
      </c>
      <c r="E144" s="73" t="str" cm="1">
        <f t="array" ref="E144">IFERROR(INDEX(TRANSPOSE(Common_InputFunctions.Utility_SplitStringIntoArray($E85, "/")), 1), "")</f>
        <v>HC-290</v>
      </c>
      <c r="F144" s="73" t="str" cm="1">
        <f t="array" ref="F144">IFERROR(INDEX(TRANSPOSE(Common_InputFunctions.Utility_SplitStringIntoArray($E85, "/")), 2), "")</f>
        <v>HCFC-22</v>
      </c>
      <c r="G144" s="73" t="str" cm="1">
        <f t="array" ref="G144">IFERROR(INDEX(TRANSPOSE(Common_InputFunctions.Utility_SplitStringIntoArray($E85, "/")), 3), "")</f>
        <v>HFC-152a</v>
      </c>
      <c r="H144" s="73" t="str" cm="1">
        <f t="array" ref="H144">IFERROR(INDEX(TRANSPOSE(Common_InputFunctions.Utility_SplitStringIntoArray($E85, "/")), 4), "")</f>
        <v/>
      </c>
      <c r="I144" s="73" cm="1">
        <f t="array" ref="I144">IFERROR(INDEX(TRANSPOSE(Common_InputFunctions.Utility_SplitStringIntoArray($F85, "/", "(", ")")), 1)*0.01, 0)</f>
        <v>1.4999999999999999E-2</v>
      </c>
      <c r="J144" s="73" cm="1">
        <f t="array" ref="J144">IFERROR(INDEX(TRANSPOSE(Common_InputFunctions.Utility_SplitStringIntoArray($F85, "/", "(", ")")), 2)*0.01, 0)</f>
        <v>0.96</v>
      </c>
      <c r="K144" s="73" cm="1">
        <f t="array" ref="K144">IFERROR(INDEX(TRANSPOSE(Common_InputFunctions.Utility_SplitStringIntoArray($F85, "/", "(", ")")), 3)*0.01, 0)</f>
        <v>2.5000000000000001E-2</v>
      </c>
      <c r="L144" s="73" cm="1">
        <f t="array" ref="L144">IFERROR(INDEX(TRANSPOSE(Common_InputFunctions.Utility_SplitStringIntoArray($F85, "/", "(", ")")), 4)*0.01, 0)</f>
        <v>0</v>
      </c>
      <c r="M144" s="73" cm="1">
        <f t="array" ref="M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44" s="73" cm="1">
        <f t="array" ref="N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O144" s="73" cm="1">
        <f t="array" ref="O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P144" s="73" cm="1">
        <f t="array" ref="P14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4" s="73" cm="1">
        <f t="array" ref="Q14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1622.1022499999999</v>
      </c>
    </row>
    <row r="145" spans="4:17" ht="20.100000000000001" customHeight="1" x14ac:dyDescent="0.25">
      <c r="D145" s="73" t="str">
        <f t="shared" si="0"/>
        <v>R-419A</v>
      </c>
      <c r="E145" s="73" t="str" cm="1">
        <f t="array" ref="E145">IFERROR(INDEX(TRANSPOSE(Common_InputFunctions.Utility_SplitStringIntoArray($E86, "/")), 1), "")</f>
        <v>HFC-125</v>
      </c>
      <c r="F145" s="73" t="str" cm="1">
        <f t="array" ref="F145">IFERROR(INDEX(TRANSPOSE(Common_InputFunctions.Utility_SplitStringIntoArray($E86, "/")), 2), "")</f>
        <v>HFC-134a</v>
      </c>
      <c r="G145" s="73" t="str" cm="1">
        <f t="array" ref="G145">IFERROR(INDEX(TRANSPOSE(Common_InputFunctions.Utility_SplitStringIntoArray($E86, "/")), 3), "")</f>
        <v>HE-E170</v>
      </c>
      <c r="H145" s="73" t="str" cm="1">
        <f t="array" ref="H145">IFERROR(INDEX(TRANSPOSE(Common_InputFunctions.Utility_SplitStringIntoArray($E86, "/")), 4), "")</f>
        <v/>
      </c>
      <c r="I145" s="73" cm="1">
        <f t="array" ref="I145">IFERROR(INDEX(TRANSPOSE(Common_InputFunctions.Utility_SplitStringIntoArray($F86, "/", "(", ")")), 1)*0.01, 0)</f>
        <v>0.77</v>
      </c>
      <c r="J145" s="73" cm="1">
        <f t="array" ref="J145">IFERROR(INDEX(TRANSPOSE(Common_InputFunctions.Utility_SplitStringIntoArray($F86, "/", "(", ")")), 2)*0.01, 0)</f>
        <v>0.19</v>
      </c>
      <c r="K145" s="73" cm="1">
        <f t="array" ref="K145">IFERROR(INDEX(TRANSPOSE(Common_InputFunctions.Utility_SplitStringIntoArray($F86, "/", "(", ")")), 3)*0.01, 0)</f>
        <v>0.04</v>
      </c>
      <c r="L145" s="73" cm="1">
        <f t="array" ref="L145">IFERROR(INDEX(TRANSPOSE(Common_InputFunctions.Utility_SplitStringIntoArray($F86, "/", "(", ")")), 4)*0.01, 0)</f>
        <v>0</v>
      </c>
      <c r="M145" s="73" cm="1">
        <f t="array" ref="M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N145" s="73" cm="1">
        <f t="array" ref="N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O145" s="73" cm="1">
        <f t="array" ref="O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5" s="73" cm="1">
        <f t="array" ref="P14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5" s="73" cm="1">
        <f t="array" ref="Q14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1926.4230000000002</v>
      </c>
    </row>
    <row r="146" spans="4:17" ht="20.100000000000001" customHeight="1" x14ac:dyDescent="0.25">
      <c r="D146" s="73" t="str">
        <f t="shared" si="0"/>
        <v>R-420A</v>
      </c>
      <c r="E146" s="73" t="str" cm="1">
        <f t="array" ref="E146">IFERROR(INDEX(TRANSPOSE(Common_InputFunctions.Utility_SplitStringIntoArray($E87, "/")), 1), "")</f>
        <v>HFC-134a</v>
      </c>
      <c r="F146" s="73" t="str" cm="1">
        <f t="array" ref="F146">IFERROR(INDEX(TRANSPOSE(Common_InputFunctions.Utility_SplitStringIntoArray($E87, "/")), 2), "")</f>
        <v>HCFC-142b</v>
      </c>
      <c r="G146" s="73" t="str" cm="1">
        <f t="array" ref="G146">IFERROR(INDEX(TRANSPOSE(Common_InputFunctions.Utility_SplitStringIntoArray($E87, "/")), 3), "")</f>
        <v/>
      </c>
      <c r="H146" s="73" t="str" cm="1">
        <f t="array" ref="H146">IFERROR(INDEX(TRANSPOSE(Common_InputFunctions.Utility_SplitStringIntoArray($E87, "/")), 4), "")</f>
        <v/>
      </c>
      <c r="I146" s="73" cm="1">
        <f t="array" ref="I146">IFERROR(INDEX(TRANSPOSE(Common_InputFunctions.Utility_SplitStringIntoArray($F87, "/", "(", ")")), 1)*0.01, 0)</f>
        <v>0.88</v>
      </c>
      <c r="J146" s="73" cm="1">
        <f t="array" ref="J146">IFERROR(INDEX(TRANSPOSE(Common_InputFunctions.Utility_SplitStringIntoArray($F87, "/", "(", ")")), 2)*0.01, 0)</f>
        <v>0.12</v>
      </c>
      <c r="K146" s="73" cm="1">
        <f t="array" ref="K146">IFERROR(INDEX(TRANSPOSE(Common_InputFunctions.Utility_SplitStringIntoArray($F87, "/", "(", ")")), 3)*0.01, 0)</f>
        <v>0</v>
      </c>
      <c r="L146" s="73" cm="1">
        <f t="array" ref="L146">IFERROR(INDEX(TRANSPOSE(Common_InputFunctions.Utility_SplitStringIntoArray($F87, "/", "(", ")")), 4)*0.01, 0)</f>
        <v>0</v>
      </c>
      <c r="M146" s="73" cm="1">
        <f t="array" ref="M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N146" s="73" cm="1">
        <f t="array" ref="N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O146" s="73" cm="1">
        <f t="array" ref="O14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6" s="73" cm="1">
        <f t="array" ref="P14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6" s="73" cm="1">
        <f t="array" ref="Q14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1035.232</v>
      </c>
    </row>
    <row r="147" spans="4:17" ht="20.100000000000001" customHeight="1" x14ac:dyDescent="0.25">
      <c r="D147" s="73" t="str">
        <f t="shared" si="0"/>
        <v>R-421A</v>
      </c>
      <c r="E147" s="73" t="str" cm="1">
        <f t="array" ref="E147">IFERROR(INDEX(TRANSPOSE(Common_InputFunctions.Utility_SplitStringIntoArray($E88, "/")), 1), "")</f>
        <v>HFC-125</v>
      </c>
      <c r="F147" s="73" t="str" cm="1">
        <f t="array" ref="F147">IFERROR(INDEX(TRANSPOSE(Common_InputFunctions.Utility_SplitStringIntoArray($E88, "/")), 2), "")</f>
        <v>HFC-134a</v>
      </c>
      <c r="G147" s="73" t="str" cm="1">
        <f t="array" ref="G147">IFERROR(INDEX(TRANSPOSE(Common_InputFunctions.Utility_SplitStringIntoArray($E88, "/")), 3), "")</f>
        <v/>
      </c>
      <c r="H147" s="73" t="str" cm="1">
        <f t="array" ref="H147">IFERROR(INDEX(TRANSPOSE(Common_InputFunctions.Utility_SplitStringIntoArray($E88, "/")), 4), "")</f>
        <v/>
      </c>
      <c r="I147" s="73" cm="1">
        <f t="array" ref="I147">IFERROR(INDEX(TRANSPOSE(Common_InputFunctions.Utility_SplitStringIntoArray($F88, "/", "(", ")")), 1)*0.01, 0)</f>
        <v>0.57999999999999996</v>
      </c>
      <c r="J147" s="73" cm="1">
        <f t="array" ref="J147">IFERROR(INDEX(TRANSPOSE(Common_InputFunctions.Utility_SplitStringIntoArray($F88, "/", "(", ")")), 2)*0.01, 0)</f>
        <v>0.42</v>
      </c>
      <c r="K147" s="73" cm="1">
        <f t="array" ref="K147">IFERROR(INDEX(TRANSPOSE(Common_InputFunctions.Utility_SplitStringIntoArray($F88, "/", "(", ")")), 3)*0.01, 0)</f>
        <v>0</v>
      </c>
      <c r="L147" s="73" cm="1">
        <f t="array" ref="L147">IFERROR(INDEX(TRANSPOSE(Common_InputFunctions.Utility_SplitStringIntoArray($F88, "/", "(", ")")), 4)*0.01, 0)</f>
        <v>0</v>
      </c>
      <c r="M147" s="73" cm="1">
        <f t="array" ref="M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N147" s="73" cm="1">
        <f t="array" ref="N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7" s="73" cm="1">
        <f t="array" ref="O14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7" s="73" cm="1">
        <f t="array" ref="P14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7" s="73" cm="1">
        <f t="array" ref="Q14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1295.7079999999999</v>
      </c>
    </row>
    <row r="148" spans="4:17" ht="20.100000000000001" customHeight="1" x14ac:dyDescent="0.25">
      <c r="D148" s="73" t="str">
        <f t="shared" si="0"/>
        <v>R-422A</v>
      </c>
      <c r="E148" s="73" t="str" cm="1">
        <f t="array" ref="E148">IFERROR(INDEX(TRANSPOSE(Common_InputFunctions.Utility_SplitStringIntoArray($E89, "/")), 1), "")</f>
        <v>HFC-125</v>
      </c>
      <c r="F148" s="73" t="str" cm="1">
        <f t="array" ref="F148">IFERROR(INDEX(TRANSPOSE(Common_InputFunctions.Utility_SplitStringIntoArray($E89, "/")), 2), "")</f>
        <v>HFC-134a</v>
      </c>
      <c r="G148" s="73" t="str" cm="1">
        <f t="array" ref="G148">IFERROR(INDEX(TRANSPOSE(Common_InputFunctions.Utility_SplitStringIntoArray($E89, "/")), 3), "")</f>
        <v>HC-600a</v>
      </c>
      <c r="H148" s="73" t="str" cm="1">
        <f t="array" ref="H148">IFERROR(INDEX(TRANSPOSE(Common_InputFunctions.Utility_SplitStringIntoArray($E89, "/")), 4), "")</f>
        <v/>
      </c>
      <c r="I148" s="73" cm="1">
        <f t="array" ref="I148">IFERROR(INDEX(TRANSPOSE(Common_InputFunctions.Utility_SplitStringIntoArray($F89, "/", "(", ")")), 1)*0.01, 0)</f>
        <v>0.85099999999999998</v>
      </c>
      <c r="J148" s="73" cm="1">
        <f t="array" ref="J148">IFERROR(INDEX(TRANSPOSE(Common_InputFunctions.Utility_SplitStringIntoArray($F89, "/", "(", ")")), 2)*0.01, 0)</f>
        <v>0.115</v>
      </c>
      <c r="K148" s="73" cm="1">
        <f t="array" ref="K148">IFERROR(INDEX(TRANSPOSE(Common_InputFunctions.Utility_SplitStringIntoArray($F89, "/", "(", ")")), 3)*0.01, 0)</f>
        <v>3.4000000000000002E-2</v>
      </c>
      <c r="L148" s="73" cm="1">
        <f t="array" ref="L148">IFERROR(INDEX(TRANSPOSE(Common_InputFunctions.Utility_SplitStringIntoArray($F89, "/", "(", ")")), 4)*0.01, 0)</f>
        <v>0</v>
      </c>
      <c r="M148" s="73" cm="1">
        <f t="array" ref="M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N148" s="73" cm="1">
        <f t="array" ref="N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O148" s="73" cm="1">
        <f t="array" ref="O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8" s="73" cm="1">
        <f t="array" ref="P14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8" s="73" cm="1">
        <f t="array" ref="Q14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2312.90967</v>
      </c>
    </row>
    <row r="149" spans="4:17" ht="20.100000000000001" customHeight="1" x14ac:dyDescent="0.25">
      <c r="D149" s="73" t="str">
        <f t="shared" si="0"/>
        <v>R-422B</v>
      </c>
      <c r="E149" s="73" t="str" cm="1">
        <f t="array" ref="E149">IFERROR(INDEX(TRANSPOSE(Common_InputFunctions.Utility_SplitStringIntoArray($E90, "/")), 1), "")</f>
        <v>HFC-125</v>
      </c>
      <c r="F149" s="73" t="str" cm="1">
        <f t="array" ref="F149">IFERROR(INDEX(TRANSPOSE(Common_InputFunctions.Utility_SplitStringIntoArray($E90, "/")), 2), "")</f>
        <v>HFC-134a</v>
      </c>
      <c r="G149" s="73" t="str" cm="1">
        <f t="array" ref="G149">IFERROR(INDEX(TRANSPOSE(Common_InputFunctions.Utility_SplitStringIntoArray($E90, "/")), 3), "")</f>
        <v>HC-600a</v>
      </c>
      <c r="H149" s="73" t="str" cm="1">
        <f t="array" ref="H149">IFERROR(INDEX(TRANSPOSE(Common_InputFunctions.Utility_SplitStringIntoArray($E90, "/")), 4), "")</f>
        <v/>
      </c>
      <c r="I149" s="73" cm="1">
        <f t="array" ref="I149">IFERROR(INDEX(TRANSPOSE(Common_InputFunctions.Utility_SplitStringIntoArray($F90, "/", "(", ")")), 1)*0.01, 0)</f>
        <v>0.55000000000000004</v>
      </c>
      <c r="J149" s="73" cm="1">
        <f t="array" ref="J149">IFERROR(INDEX(TRANSPOSE(Common_InputFunctions.Utility_SplitStringIntoArray($F90, "/", "(", ")")), 2)*0.01, 0)</f>
        <v>0.42</v>
      </c>
      <c r="K149" s="73" cm="1">
        <f t="array" ref="K149">IFERROR(INDEX(TRANSPOSE(Common_InputFunctions.Utility_SplitStringIntoArray($F90, "/", "(", ")")), 3)*0.01, 0)</f>
        <v>0.03</v>
      </c>
      <c r="L149" s="73" cm="1">
        <f t="array" ref="L149">IFERROR(INDEX(TRANSPOSE(Common_InputFunctions.Utility_SplitStringIntoArray($F90, "/", "(", ")")), 4)*0.01, 0)</f>
        <v>0</v>
      </c>
      <c r="M149" s="73" cm="1">
        <f t="array" ref="M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N149" s="73" cm="1">
        <f t="array" ref="N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O149" s="73" cm="1">
        <f t="array" ref="O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49" s="73" cm="1">
        <f t="array" ref="P14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49" s="73" cm="1">
        <f t="array" ref="Q14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1188.2450000000001</v>
      </c>
    </row>
    <row r="150" spans="4:17" ht="20.100000000000001" customHeight="1" x14ac:dyDescent="0.25">
      <c r="D150" s="73" t="str">
        <f t="shared" si="0"/>
        <v>R-422C</v>
      </c>
      <c r="E150" s="73" t="str" cm="1">
        <f t="array" ref="E150">IFERROR(INDEX(TRANSPOSE(Common_InputFunctions.Utility_SplitStringIntoArray($E91, "/")), 1), "")</f>
        <v>HFC-125</v>
      </c>
      <c r="F150" s="73" t="str" cm="1">
        <f t="array" ref="F150">IFERROR(INDEX(TRANSPOSE(Common_InputFunctions.Utility_SplitStringIntoArray($E91, "/")), 2), "")</f>
        <v>HFC-134a</v>
      </c>
      <c r="G150" s="73" t="str" cm="1">
        <f t="array" ref="G150">IFERROR(INDEX(TRANSPOSE(Common_InputFunctions.Utility_SplitStringIntoArray($E91, "/")), 3), "")</f>
        <v>HC-600a</v>
      </c>
      <c r="H150" s="73" t="str" cm="1">
        <f t="array" ref="H150">IFERROR(INDEX(TRANSPOSE(Common_InputFunctions.Utility_SplitStringIntoArray($E91, "/")), 4), "")</f>
        <v/>
      </c>
      <c r="I150" s="73" cm="1">
        <f t="array" ref="I150">IFERROR(INDEX(TRANSPOSE(Common_InputFunctions.Utility_SplitStringIntoArray($F91, "/", "(", ")")), 1)*0.01, 0)</f>
        <v>0.82000000000000006</v>
      </c>
      <c r="J150" s="73" cm="1">
        <f t="array" ref="J150">IFERROR(INDEX(TRANSPOSE(Common_InputFunctions.Utility_SplitStringIntoArray($F91, "/", "(", ")")), 2)*0.01, 0)</f>
        <v>0.15</v>
      </c>
      <c r="K150" s="73" cm="1">
        <f t="array" ref="K150">IFERROR(INDEX(TRANSPOSE(Common_InputFunctions.Utility_SplitStringIntoArray($F91, "/", "(", ")")), 3)*0.01, 0)</f>
        <v>0.03</v>
      </c>
      <c r="L150" s="73" cm="1">
        <f t="array" ref="L150">IFERROR(INDEX(TRANSPOSE(Common_InputFunctions.Utility_SplitStringIntoArray($F91, "/", "(", ")")), 4)*0.01, 0)</f>
        <v>0</v>
      </c>
      <c r="M150" s="73" cm="1">
        <f t="array" ref="M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N150" s="73" cm="1">
        <f t="array" ref="N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O150" s="73" cm="1">
        <f t="array" ref="O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0" s="73" cm="1">
        <f t="array" ref="P15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0" s="73" cm="1">
        <f t="array" ref="Q15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2160.7580000000003</v>
      </c>
    </row>
    <row r="151" spans="4:17" ht="20.100000000000001" customHeight="1" x14ac:dyDescent="0.25">
      <c r="D151" s="73" t="str">
        <f t="shared" si="0"/>
        <v>R-500</v>
      </c>
      <c r="E151" s="73" t="str" cm="1">
        <f t="array" ref="E151">IFERROR(INDEX(TRANSPOSE(Common_InputFunctions.Utility_SplitStringIntoArray($E92, "/")), 1), "")</f>
        <v>CFC-12</v>
      </c>
      <c r="F151" s="73" t="str" cm="1">
        <f t="array" ref="F151">IFERROR(INDEX(TRANSPOSE(Common_InputFunctions.Utility_SplitStringIntoArray($E92, "/")), 2), "")</f>
        <v>HFC-152a</v>
      </c>
      <c r="G151" s="73" t="str" cm="1">
        <f t="array" ref="G151">IFERROR(INDEX(TRANSPOSE(Common_InputFunctions.Utility_SplitStringIntoArray($E92, "/")), 3), "")</f>
        <v/>
      </c>
      <c r="H151" s="73" t="str" cm="1">
        <f t="array" ref="H151">IFERROR(INDEX(TRANSPOSE(Common_InputFunctions.Utility_SplitStringIntoArray($E92, "/")), 4), "")</f>
        <v/>
      </c>
      <c r="I151" s="73" cm="1">
        <f t="array" ref="I151">IFERROR(INDEX(TRANSPOSE(Common_InputFunctions.Utility_SplitStringIntoArray($F92, "/", "(", ")")), 1)*0.01, 0)</f>
        <v>0.73799999999999999</v>
      </c>
      <c r="J151" s="73" cm="1">
        <f t="array" ref="J151">IFERROR(INDEX(TRANSPOSE(Common_InputFunctions.Utility_SplitStringIntoArray($F92, "/", "(", ")")), 2)*0.01, 0)</f>
        <v>0.26200000000000001</v>
      </c>
      <c r="K151" s="73" cm="1">
        <f t="array" ref="K151">IFERROR(INDEX(TRANSPOSE(Common_InputFunctions.Utility_SplitStringIntoArray($F92, "/", "(", ")")), 3)*0.01, 0)</f>
        <v>0</v>
      </c>
      <c r="L151" s="73" cm="1">
        <f t="array" ref="L151">IFERROR(INDEX(TRANSPOSE(Common_InputFunctions.Utility_SplitStringIntoArray($F92, "/", "(", ")")), 4)*0.01, 0)</f>
        <v>0</v>
      </c>
      <c r="M151" s="73" cm="1">
        <f t="array" ref="M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N151" s="73" cm="1">
        <f t="array" ref="N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O151" s="73" cm="1">
        <f t="array" ref="O15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1" s="73" cm="1">
        <f t="array" ref="P15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1" s="73" cm="1">
        <f t="array" ref="Q15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5564.8416719999996</v>
      </c>
    </row>
    <row r="152" spans="4:17" ht="20.100000000000001" customHeight="1" x14ac:dyDescent="0.25">
      <c r="D152" s="73" t="str">
        <f t="shared" si="0"/>
        <v>R-501</v>
      </c>
      <c r="E152" s="73" t="str" cm="1">
        <f t="array" ref="E152">IFERROR(INDEX(TRANSPOSE(Common_InputFunctions.Utility_SplitStringIntoArray($E93, "/")), 1), "")</f>
        <v>HCFC-22</v>
      </c>
      <c r="F152" s="73" t="str" cm="1">
        <f t="array" ref="F152">IFERROR(INDEX(TRANSPOSE(Common_InputFunctions.Utility_SplitStringIntoArray($E93, "/")), 2), "")</f>
        <v>CFC-12</v>
      </c>
      <c r="G152" s="73" t="str" cm="1">
        <f t="array" ref="G152">IFERROR(INDEX(TRANSPOSE(Common_InputFunctions.Utility_SplitStringIntoArray($E93, "/")), 3), "")</f>
        <v/>
      </c>
      <c r="H152" s="73" t="str" cm="1">
        <f t="array" ref="H152">IFERROR(INDEX(TRANSPOSE(Common_InputFunctions.Utility_SplitStringIntoArray($E93, "/")), 4), "")</f>
        <v/>
      </c>
      <c r="I152" s="73" cm="1">
        <f t="array" ref="I152">IFERROR(INDEX(TRANSPOSE(Common_InputFunctions.Utility_SplitStringIntoArray($F93, "/", "(", ")")), 1)*0.01, 0)</f>
        <v>0.75</v>
      </c>
      <c r="J152" s="73" cm="1">
        <f t="array" ref="J152">IFERROR(INDEX(TRANSPOSE(Common_InputFunctions.Utility_SplitStringIntoArray($F93, "/", "(", ")")), 2)*0.01, 0)</f>
        <v>0.25</v>
      </c>
      <c r="K152" s="73" cm="1">
        <f t="array" ref="K152">IFERROR(INDEX(TRANSPOSE(Common_InputFunctions.Utility_SplitStringIntoArray($F93, "/", "(", ")")), 3)*0.01, 0)</f>
        <v>0</v>
      </c>
      <c r="L152" s="73" cm="1">
        <f t="array" ref="L152">IFERROR(INDEX(TRANSPOSE(Common_InputFunctions.Utility_SplitStringIntoArray($F93, "/", "(", ")")), 4)*0.01, 0)</f>
        <v>0</v>
      </c>
      <c r="M152" s="73" cm="1">
        <f t="array" ref="M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N152" s="73" cm="1">
        <f t="array" ref="N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O152" s="73" cm="1">
        <f t="array" ref="O15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2" s="73" cm="1">
        <f t="array" ref="P152">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2" s="73" cm="1">
        <f t="array" ref="Q152">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1627.5</v>
      </c>
    </row>
    <row r="153" spans="4:17" ht="20.100000000000001" customHeight="1" x14ac:dyDescent="0.25">
      <c r="D153" s="73" t="str">
        <f t="shared" si="0"/>
        <v>R-502</v>
      </c>
      <c r="E153" s="73" t="str" cm="1">
        <f t="array" ref="E153">IFERROR(INDEX(TRANSPOSE(Common_InputFunctions.Utility_SplitStringIntoArray($E94, "/")), 1), "")</f>
        <v>HCFC-22</v>
      </c>
      <c r="F153" s="73" t="str" cm="1">
        <f t="array" ref="F153">IFERROR(INDEX(TRANSPOSE(Common_InputFunctions.Utility_SplitStringIntoArray($E94, "/")), 2), "")</f>
        <v>CFC-115</v>
      </c>
      <c r="G153" s="73" t="str" cm="1">
        <f t="array" ref="G153">IFERROR(INDEX(TRANSPOSE(Common_InputFunctions.Utility_SplitStringIntoArray($E94, "/")), 3), "")</f>
        <v/>
      </c>
      <c r="H153" s="73" t="str" cm="1">
        <f t="array" ref="H153">IFERROR(INDEX(TRANSPOSE(Common_InputFunctions.Utility_SplitStringIntoArray($E94, "/")), 4), "")</f>
        <v/>
      </c>
      <c r="I153" s="73" cm="1">
        <f t="array" ref="I153">IFERROR(INDEX(TRANSPOSE(Common_InputFunctions.Utility_SplitStringIntoArray($F94, "/", "(", ")")), 1)*0.01, 0)</f>
        <v>0.48799999999999999</v>
      </c>
      <c r="J153" s="73" cm="1">
        <f t="array" ref="J153">IFERROR(INDEX(TRANSPOSE(Common_InputFunctions.Utility_SplitStringIntoArray($F94, "/", "(", ")")), 2)*0.01, 0)</f>
        <v>0.51200000000000001</v>
      </c>
      <c r="K153" s="73" cm="1">
        <f t="array" ref="K153">IFERROR(INDEX(TRANSPOSE(Common_InputFunctions.Utility_SplitStringIntoArray($F94, "/", "(", ")")), 3)*0.01, 0)</f>
        <v>0</v>
      </c>
      <c r="L153" s="73" cm="1">
        <f t="array" ref="L153">IFERROR(INDEX(TRANSPOSE(Common_InputFunctions.Utility_SplitStringIntoArray($F94, "/", "(", ")")), 4)*0.01, 0)</f>
        <v>0</v>
      </c>
      <c r="M153" s="73" cm="1">
        <f t="array" ref="M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N153" s="73" cm="1">
        <f t="array" ref="N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O153" s="73" cm="1">
        <f t="array" ref="O15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3" s="73" cm="1">
        <f t="array" ref="P153">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3" s="73" cm="1">
        <f t="array" ref="Q153">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2429.77792</v>
      </c>
    </row>
    <row r="154" spans="4:17" ht="20.100000000000001" customHeight="1" x14ac:dyDescent="0.25">
      <c r="D154" s="73" t="str">
        <f t="shared" si="0"/>
        <v>R-503</v>
      </c>
      <c r="E154" s="73" t="str" cm="1">
        <f t="array" ref="E154">IFERROR(INDEX(TRANSPOSE(Common_InputFunctions.Utility_SplitStringIntoArray($E95, "/")), 1), "")</f>
        <v>HFC-23</v>
      </c>
      <c r="F154" s="73" t="str" cm="1">
        <f t="array" ref="F154">IFERROR(INDEX(TRANSPOSE(Common_InputFunctions.Utility_SplitStringIntoArray($E95, "/")), 2), "")</f>
        <v>CFC-13</v>
      </c>
      <c r="G154" s="73" t="str" cm="1">
        <f t="array" ref="G154">IFERROR(INDEX(TRANSPOSE(Common_InputFunctions.Utility_SplitStringIntoArray($E95, "/")), 3), "")</f>
        <v/>
      </c>
      <c r="H154" s="73" t="str" cm="1">
        <f t="array" ref="H154">IFERROR(INDEX(TRANSPOSE(Common_InputFunctions.Utility_SplitStringIntoArray($E95, "/")), 4), "")</f>
        <v/>
      </c>
      <c r="I154" s="73" cm="1">
        <f t="array" ref="I154">IFERROR(INDEX(TRANSPOSE(Common_InputFunctions.Utility_SplitStringIntoArray($F95, "/", "(", ")")), 1)*0.01, 0)</f>
        <v>0.40100000000000002</v>
      </c>
      <c r="J154" s="73" cm="1">
        <f t="array" ref="J154">IFERROR(INDEX(TRANSPOSE(Common_InputFunctions.Utility_SplitStringIntoArray($F95, "/", "(", ")")), 2)*0.01, 0)</f>
        <v>0.59899999999999998</v>
      </c>
      <c r="K154" s="73" cm="1">
        <f t="array" ref="K154">IFERROR(INDEX(TRANSPOSE(Common_InputFunctions.Utility_SplitStringIntoArray($F95, "/", "(", ")")), 3)*0.01, 0)</f>
        <v>0</v>
      </c>
      <c r="L154" s="73" cm="1">
        <f t="array" ref="L154">IFERROR(INDEX(TRANSPOSE(Common_InputFunctions.Utility_SplitStringIntoArray($F95, "/", "(", ")")), 4)*0.01, 0)</f>
        <v>0</v>
      </c>
      <c r="M154" s="73" cm="1">
        <f t="array" ref="M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N154" s="73" cm="1">
        <f t="array" ref="N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O154" s="73" cm="1">
        <f t="array" ref="O154">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4" s="73" cm="1">
        <f t="array" ref="P154">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4" s="73" cm="1">
        <f t="array" ref="Q154">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6981.2663000000002</v>
      </c>
    </row>
    <row r="155" spans="4:17" ht="20.100000000000001" customHeight="1" x14ac:dyDescent="0.25">
      <c r="D155" s="73" t="str">
        <f t="shared" si="0"/>
        <v>R-504</v>
      </c>
      <c r="E155" s="73" t="str" cm="1">
        <f t="array" ref="E155">IFERROR(INDEX(TRANSPOSE(Common_InputFunctions.Utility_SplitStringIntoArray($E96, "/")), 1), "")</f>
        <v>HFC-32</v>
      </c>
      <c r="F155" s="73" t="str" cm="1">
        <f t="array" ref="F155">IFERROR(INDEX(TRANSPOSE(Common_InputFunctions.Utility_SplitStringIntoArray($E96, "/")), 2), "")</f>
        <v>CFC-115</v>
      </c>
      <c r="G155" s="73" t="str" cm="1">
        <f t="array" ref="G155">IFERROR(INDEX(TRANSPOSE(Common_InputFunctions.Utility_SplitStringIntoArray($E96, "/")), 3), "")</f>
        <v/>
      </c>
      <c r="H155" s="73" t="str" cm="1">
        <f t="array" ref="H155">IFERROR(INDEX(TRANSPOSE(Common_InputFunctions.Utility_SplitStringIntoArray($E96, "/")), 4), "")</f>
        <v/>
      </c>
      <c r="I155" s="73" cm="1">
        <f t="array" ref="I155">IFERROR(INDEX(TRANSPOSE(Common_InputFunctions.Utility_SplitStringIntoArray($F96, "/", "(", ")")), 1)*0.01, 0)</f>
        <v>0.48200000000000004</v>
      </c>
      <c r="J155" s="73" cm="1">
        <f t="array" ref="J155">IFERROR(INDEX(TRANSPOSE(Common_InputFunctions.Utility_SplitStringIntoArray($F96, "/", "(", ")")), 2)*0.01, 0)</f>
        <v>0.51800000000000002</v>
      </c>
      <c r="K155" s="73" cm="1">
        <f t="array" ref="K155">IFERROR(INDEX(TRANSPOSE(Common_InputFunctions.Utility_SplitStringIntoArray($F96, "/", "(", ")")), 3)*0.01, 0)</f>
        <v>0</v>
      </c>
      <c r="L155" s="73" cm="1">
        <f t="array" ref="L155">IFERROR(INDEX(TRANSPOSE(Common_InputFunctions.Utility_SplitStringIntoArray($F96, "/", "(", ")")), 4)*0.01, 0)</f>
        <v>0</v>
      </c>
      <c r="M155" s="73" cm="1">
        <f t="array" ref="M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N155" s="73" cm="1">
        <f t="array" ref="N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O155" s="73" cm="1">
        <f t="array" ref="O15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5" s="73" cm="1">
        <f t="array" ref="P155">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5" s="73" cm="1">
        <f t="array" ref="Q155">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2215.3284279999998</v>
      </c>
    </row>
    <row r="156" spans="4:17" ht="20.100000000000001" customHeight="1" x14ac:dyDescent="0.25">
      <c r="D156" s="73" t="str">
        <f t="shared" si="0"/>
        <v>R-505</v>
      </c>
      <c r="E156" s="73" t="str" cm="1">
        <f t="array" ref="E156">IFERROR(INDEX(TRANSPOSE(Common_InputFunctions.Utility_SplitStringIntoArray($E97, "/")), 1), "")</f>
        <v>CFC-12</v>
      </c>
      <c r="F156" s="73" t="str" cm="1">
        <f t="array" ref="F156">IFERROR(INDEX(TRANSPOSE(Common_InputFunctions.Utility_SplitStringIntoArray($E97, "/")), 2), "")</f>
        <v>HCFC-31</v>
      </c>
      <c r="G156" s="73" t="str" cm="1">
        <f t="array" ref="G156">IFERROR(INDEX(TRANSPOSE(Common_InputFunctions.Utility_SplitStringIntoArray($E97, "/")), 3), "")</f>
        <v/>
      </c>
      <c r="H156" s="73" t="str" cm="1">
        <f t="array" ref="H156">IFERROR(INDEX(TRANSPOSE(Common_InputFunctions.Utility_SplitStringIntoArray($E97, "/")), 4), "")</f>
        <v/>
      </c>
      <c r="I156" s="73" cm="1">
        <f t="array" ref="I156">IFERROR(INDEX(TRANSPOSE(Common_InputFunctions.Utility_SplitStringIntoArray($F97, "/", "(", ")")), 1)*0.01, 0)</f>
        <v>0.78</v>
      </c>
      <c r="J156" s="73" cm="1">
        <f t="array" ref="J156">IFERROR(INDEX(TRANSPOSE(Common_InputFunctions.Utility_SplitStringIntoArray($F97, "/", "(", ")")), 2)*0.01, 0)</f>
        <v>0.22</v>
      </c>
      <c r="K156" s="73" cm="1">
        <f t="array" ref="K156">IFERROR(INDEX(TRANSPOSE(Common_InputFunctions.Utility_SplitStringIntoArray($F97, "/", "(", ")")), 3)*0.01, 0)</f>
        <v>0</v>
      </c>
      <c r="L156" s="73" cm="1">
        <f t="array" ref="L156">IFERROR(INDEX(TRANSPOSE(Common_InputFunctions.Utility_SplitStringIntoArray($F97, "/", "(", ")")), 4)*0.01, 0)</f>
        <v>0</v>
      </c>
      <c r="M156" s="73" cm="1">
        <f t="array" ref="M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N156" s="73" cm="1">
        <f t="array" ref="N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O156" s="73" cm="1">
        <f t="array" ref="O156">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6" s="73" cm="1">
        <f t="array" ref="P156">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6" s="73" cm="1">
        <f t="array" ref="Q156">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6205.68</v>
      </c>
    </row>
    <row r="157" spans="4:17" ht="20.100000000000001" customHeight="1" x14ac:dyDescent="0.25">
      <c r="D157" s="73" t="str">
        <f t="shared" si="0"/>
        <v>R-506</v>
      </c>
      <c r="E157" s="73" t="str" cm="1">
        <f t="array" ref="E157">IFERROR(INDEX(TRANSPOSE(Common_InputFunctions.Utility_SplitStringIntoArray($E98, "/")), 1), "")</f>
        <v>CFC-31</v>
      </c>
      <c r="F157" s="73" t="str" cm="1">
        <f t="array" ref="F157">IFERROR(INDEX(TRANSPOSE(Common_InputFunctions.Utility_SplitStringIntoArray($E98, "/")), 2), "")</f>
        <v>CFC-114</v>
      </c>
      <c r="G157" s="73" t="str" cm="1">
        <f t="array" ref="G157">IFERROR(INDEX(TRANSPOSE(Common_InputFunctions.Utility_SplitStringIntoArray($E98, "/")), 3), "")</f>
        <v/>
      </c>
      <c r="H157" s="73" t="str" cm="1">
        <f t="array" ref="H157">IFERROR(INDEX(TRANSPOSE(Common_InputFunctions.Utility_SplitStringIntoArray($E98, "/")), 4), "")</f>
        <v/>
      </c>
      <c r="I157" s="73" cm="1">
        <f t="array" ref="I157">IFERROR(INDEX(TRANSPOSE(Common_InputFunctions.Utility_SplitStringIntoArray($F98, "/", "(", ")")), 1)*0.01, 0)</f>
        <v>0.55100000000000005</v>
      </c>
      <c r="J157" s="73" cm="1">
        <f t="array" ref="J157">IFERROR(INDEX(TRANSPOSE(Common_InputFunctions.Utility_SplitStringIntoArray($F98, "/", "(", ")")), 2)*0.01, 0)</f>
        <v>0.44900000000000001</v>
      </c>
      <c r="K157" s="73" cm="1">
        <f t="array" ref="K157">IFERROR(INDEX(TRANSPOSE(Common_InputFunctions.Utility_SplitStringIntoArray($F98, "/", "(", ")")), 3)*0.01, 0)</f>
        <v>0</v>
      </c>
      <c r="L157" s="73" cm="1">
        <f t="array" ref="L157">IFERROR(INDEX(TRANSPOSE(Common_InputFunctions.Utility_SplitStringIntoArray($F98, "/", "(", ")")), 4)*0.01, 0)</f>
        <v>0</v>
      </c>
      <c r="M157" s="73" cm="1">
        <f t="array" ref="M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N157" s="73" cm="1">
        <f t="array" ref="N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O157" s="73" cm="1">
        <f t="array" ref="O15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7" s="73" cm="1">
        <f t="array" ref="P157">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7" s="73" cm="1">
        <f t="array" ref="Q157">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1731.7525900000003</v>
      </c>
    </row>
    <row r="158" spans="4:17" ht="20.100000000000001" customHeight="1" x14ac:dyDescent="0.25">
      <c r="D158" s="73" t="str">
        <f t="shared" si="0"/>
        <v>R-507A</v>
      </c>
      <c r="E158" s="73" t="str" cm="1">
        <f t="array" ref="E158">IFERROR(INDEX(TRANSPOSE(Common_InputFunctions.Utility_SplitStringIntoArray($E99, "/")), 1), "")</f>
        <v>HFC-125</v>
      </c>
      <c r="F158" s="73" t="str" cm="1">
        <f t="array" ref="F158">IFERROR(INDEX(TRANSPOSE(Common_InputFunctions.Utility_SplitStringIntoArray($E99, "/")), 2), "")</f>
        <v>HFC-143a</v>
      </c>
      <c r="G158" s="73" t="str" cm="1">
        <f t="array" ref="G158">IFERROR(INDEX(TRANSPOSE(Common_InputFunctions.Utility_SplitStringIntoArray($E99, "/")), 3), "")</f>
        <v/>
      </c>
      <c r="H158" s="73" t="str" cm="1">
        <f t="array" ref="H158">IFERROR(INDEX(TRANSPOSE(Common_InputFunctions.Utility_SplitStringIntoArray($E99, "/")), 4), "")</f>
        <v/>
      </c>
      <c r="I158" s="73" cm="1">
        <f t="array" ref="I158">IFERROR(INDEX(TRANSPOSE(Common_InputFunctions.Utility_SplitStringIntoArray($F99, "/", "(", ")")), 1)*0.01, 0)</f>
        <v>0.5</v>
      </c>
      <c r="J158" s="73" cm="1">
        <f t="array" ref="J158">IFERROR(INDEX(TRANSPOSE(Common_InputFunctions.Utility_SplitStringIntoArray($F99, "/", "(", ")")), 2)*0.01, 0)</f>
        <v>0.5</v>
      </c>
      <c r="K158" s="73" cm="1">
        <f t="array" ref="K158">IFERROR(INDEX(TRANSPOSE(Common_InputFunctions.Utility_SplitStringIntoArray($F99, "/", "(", ")")), 3)*0.01, 0)</f>
        <v>0</v>
      </c>
      <c r="L158" s="73" cm="1">
        <f t="array" ref="L158">IFERROR(INDEX(TRANSPOSE(Common_InputFunctions.Utility_SplitStringIntoArray($F99, "/", "(", ")")), 4)*0.01, 0)</f>
        <v>0</v>
      </c>
      <c r="M158" s="73" cm="1">
        <f t="array" ref="M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N158" s="73" cm="1">
        <f t="array" ref="N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O158" s="73" cm="1">
        <f t="array" ref="O15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8" s="73" cm="1">
        <f t="array" ref="P158">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8" s="73" cm="1">
        <f t="array" ref="Q158">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1992.5</v>
      </c>
    </row>
    <row r="159" spans="4:17" ht="20.100000000000001" customHeight="1" x14ac:dyDescent="0.25">
      <c r="D159" s="73" t="str">
        <f t="shared" si="0"/>
        <v>R-508A</v>
      </c>
      <c r="E159" s="73" t="str" cm="1">
        <f t="array" ref="E159">IFERROR(INDEX(TRANSPOSE(Common_InputFunctions.Utility_SplitStringIntoArray($E100, "/")), 1), "")</f>
        <v>HFC-23</v>
      </c>
      <c r="F159" s="73" t="str" cm="1">
        <f t="array" ref="F159">IFERROR(INDEX(TRANSPOSE(Common_InputFunctions.Utility_SplitStringIntoArray($E100, "/")), 2), "")</f>
        <v>PFC-116</v>
      </c>
      <c r="G159" s="73" t="str" cm="1">
        <f t="array" ref="G159">IFERROR(INDEX(TRANSPOSE(Common_InputFunctions.Utility_SplitStringIntoArray($E100, "/")), 3), "")</f>
        <v/>
      </c>
      <c r="H159" s="73" t="str" cm="1">
        <f t="array" ref="H159">IFERROR(INDEX(TRANSPOSE(Common_InputFunctions.Utility_SplitStringIntoArray($E100, "/")), 4), "")</f>
        <v/>
      </c>
      <c r="I159" s="73" cm="1">
        <f t="array" ref="I159">IFERROR(INDEX(TRANSPOSE(Common_InputFunctions.Utility_SplitStringIntoArray($F100, "/", "(", ")")), 1)*0.01, 0)</f>
        <v>0.39</v>
      </c>
      <c r="J159" s="73" cm="1">
        <f t="array" ref="J159">IFERROR(INDEX(TRANSPOSE(Common_InputFunctions.Utility_SplitStringIntoArray($F100, "/", "(", ")")), 2)*0.01, 0)</f>
        <v>0.61</v>
      </c>
      <c r="K159" s="73" cm="1">
        <f t="array" ref="K159">IFERROR(INDEX(TRANSPOSE(Common_InputFunctions.Utility_SplitStringIntoArray($F100, "/", "(", ")")), 3)*0.01, 0)</f>
        <v>0</v>
      </c>
      <c r="L159" s="73" cm="1">
        <f t="array" ref="L159">IFERROR(INDEX(TRANSPOSE(Common_InputFunctions.Utility_SplitStringIntoArray($F100, "/", "(", ")")), 4)*0.01, 0)</f>
        <v>0</v>
      </c>
      <c r="M159" s="73" cm="1">
        <f t="array" ref="M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N159" s="73" cm="1">
        <f t="array" ref="N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O159" s="73" cm="1">
        <f t="array" ref="O15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59" s="73" cm="1">
        <f t="array" ref="P159">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59" s="73" cm="1">
        <f t="array" ref="Q159">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6016.3499999999995</v>
      </c>
    </row>
    <row r="160" spans="4:17" ht="20.100000000000001" customHeight="1" x14ac:dyDescent="0.25">
      <c r="D160" s="73" t="str">
        <f t="shared" si="0"/>
        <v>R-508B</v>
      </c>
      <c r="E160" s="73" t="str" cm="1">
        <f t="array" ref="E160">IFERROR(INDEX(TRANSPOSE(Common_InputFunctions.Utility_SplitStringIntoArray($E101, "/")), 1), "")</f>
        <v>HFC-23</v>
      </c>
      <c r="F160" s="73" t="str" cm="1">
        <f t="array" ref="F160">IFERROR(INDEX(TRANSPOSE(Common_InputFunctions.Utility_SplitStringIntoArray($E101, "/")), 2), "")</f>
        <v>PFC-116</v>
      </c>
      <c r="G160" s="73" t="str" cm="1">
        <f t="array" ref="G160">IFERROR(INDEX(TRANSPOSE(Common_InputFunctions.Utility_SplitStringIntoArray($E101, "/")), 3), "")</f>
        <v/>
      </c>
      <c r="H160" s="73" t="str" cm="1">
        <f t="array" ref="H160">IFERROR(INDEX(TRANSPOSE(Common_InputFunctions.Utility_SplitStringIntoArray($E101, "/")), 4), "")</f>
        <v/>
      </c>
      <c r="I160" s="73" cm="1">
        <f t="array" ref="I160">IFERROR(INDEX(TRANSPOSE(Common_InputFunctions.Utility_SplitStringIntoArray($F101, "/", "(", ")")), 1)*0.01, 0)</f>
        <v>0.46</v>
      </c>
      <c r="J160" s="73" cm="1">
        <f t="array" ref="J160">IFERROR(INDEX(TRANSPOSE(Common_InputFunctions.Utility_SplitStringIntoArray($F101, "/", "(", ")")), 2)*0.01, 0)</f>
        <v>0.54</v>
      </c>
      <c r="K160" s="73" cm="1">
        <f t="array" ref="K160">IFERROR(INDEX(TRANSPOSE(Common_InputFunctions.Utility_SplitStringIntoArray($F101, "/", "(", ")")), 3)*0.01, 0)</f>
        <v>0</v>
      </c>
      <c r="L160" s="73" cm="1">
        <f t="array" ref="L160">IFERROR(INDEX(TRANSPOSE(Common_InputFunctions.Utility_SplitStringIntoArray($F101, "/", "(", ")")), 4)*0.01, 0)</f>
        <v>0</v>
      </c>
      <c r="M160" s="73" cm="1">
        <f t="array" ref="M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N160" s="73" cm="1">
        <f t="array" ref="N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O160" s="73" cm="1">
        <f t="array" ref="O16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0" s="73" cm="1">
        <f t="array" ref="P160">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0" s="73" cm="1">
        <f t="array" ref="Q160">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5860.6</v>
      </c>
    </row>
    <row r="161" spans="4:17" ht="20.100000000000001" customHeight="1" x14ac:dyDescent="0.25">
      <c r="D161" s="73" t="str">
        <f t="shared" si="0"/>
        <v>R-509A</v>
      </c>
      <c r="E161" s="73" t="str" cm="1">
        <f t="array" ref="E161">IFERROR(INDEX(TRANSPOSE(Common_InputFunctions.Utility_SplitStringIntoArray($E102, "/")), 1), "")</f>
        <v>HCFC-22</v>
      </c>
      <c r="F161" s="73" t="str" cm="1">
        <f t="array" ref="F161">IFERROR(INDEX(TRANSPOSE(Common_InputFunctions.Utility_SplitStringIntoArray($E102, "/")), 2), "")</f>
        <v>PFC-218</v>
      </c>
      <c r="G161" s="73" t="str" cm="1">
        <f t="array" ref="G161">IFERROR(INDEX(TRANSPOSE(Common_InputFunctions.Utility_SplitStringIntoArray($E102, "/")), 3), "")</f>
        <v/>
      </c>
      <c r="H161" s="73" t="str" cm="1">
        <f t="array" ref="H161">IFERROR(INDEX(TRANSPOSE(Common_InputFunctions.Utility_SplitStringIntoArray($E102, "/")), 4), "")</f>
        <v/>
      </c>
      <c r="I161" s="73" cm="1">
        <f t="array" ref="I161">IFERROR(INDEX(TRANSPOSE(Common_InputFunctions.Utility_SplitStringIntoArray($F102, "/", "(", ")")), 1)*0.01, 0)</f>
        <v>0.44</v>
      </c>
      <c r="J161" s="73" cm="1">
        <f t="array" ref="J161">IFERROR(INDEX(TRANSPOSE(Common_InputFunctions.Utility_SplitStringIntoArray($F102, "/", "(", ")")), 2)*0.01, 0)</f>
        <v>0.56000000000000005</v>
      </c>
      <c r="K161" s="73" cm="1">
        <f t="array" ref="K161">IFERROR(INDEX(TRANSPOSE(Common_InputFunctions.Utility_SplitStringIntoArray($F102, "/", "(", ")")), 3)*0.01, 0)</f>
        <v>0</v>
      </c>
      <c r="L161" s="73" cm="1">
        <f t="array" ref="L161">IFERROR(INDEX(TRANSPOSE(Common_InputFunctions.Utility_SplitStringIntoArray($F102, "/", "(", ")")), 4)*0.01, 0)</f>
        <v>0</v>
      </c>
      <c r="M161" s="73" cm="1">
        <f t="array" ref="M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N161" s="73" cm="1">
        <f t="array" ref="N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O161" s="73" cm="1">
        <f t="array" ref="O161">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P161" s="73" cm="1">
        <f t="array" ref="P161">IFERROR(Table_RefrigerantBlends_Cleaned[[#This Row],[Constituent 4 fraction]]*Common_InputFunctions.Utility_LookupValueInTableNumber(Table_RefrigerantBlends_Cleaned[[#This Row],[Constituent 4]], Table_RefrigerantChemicalGWP[Gas - FC name], Table_RefrigerantChemicalGWP[Global warming potential (AR5)]), "")</f>
        <v>0</v>
      </c>
      <c r="Q161" s="73" cm="1">
        <f t="array" ref="Q161">Refrigerants_InputFunctions.Refrigerants_CalculateBlendGWP(Table_RefrigerantBlends_Cleaned[[#This Row],[Constituent 1 fraction]],Table_RefrigerantBlends_Cleaned[[#This Row],[Constituent 1 GWP]],Table_RefrigerantBlends_Cleaned[[#This Row],[Constituent 2 fraction]],Table_RefrigerantBlends_Cleaned[[#This Row],[Constituent 2 GWP]],Table_RefrigerantBlends_Cleaned[[#This Row],[Constituent 3 fraction]],Table_RefrigerantBlends_Cleaned[[#This Row],[Constituent 3 GWP]],Table_RefrigerantBlends_Cleaned[[#This Row],[Constituent 4 fraction]],Table_RefrigerantBlends_Cleaned[[#This Row],[Constituent 4 GWP]])</f>
        <v>3131.7760000000007</v>
      </c>
    </row>
    <row r="162" spans="4:17" ht="20.100000000000001" customHeight="1" x14ac:dyDescent="0.25">
      <c r="D162" s="71"/>
      <c r="E162" s="71"/>
      <c r="F162" s="71"/>
      <c r="G162" s="71"/>
      <c r="H162" s="71"/>
      <c r="I162" s="71"/>
      <c r="J162" s="71"/>
      <c r="K162" s="71"/>
      <c r="L162" s="71"/>
      <c r="M162" s="71"/>
      <c r="N162" s="71"/>
      <c r="O162" s="71"/>
      <c r="P162" s="71"/>
      <c r="Q162" s="71"/>
    </row>
    <row r="163" spans="4:17" ht="20.100000000000001" customHeight="1" x14ac:dyDescent="0.25">
      <c r="D163" s="75"/>
      <c r="E163" s="75"/>
      <c r="F163" s="75"/>
      <c r="G163" s="75"/>
      <c r="H163" s="75"/>
      <c r="I163" s="75"/>
      <c r="J163" s="75"/>
      <c r="K163" s="75"/>
      <c r="L163" s="75"/>
      <c r="M163" s="75"/>
      <c r="N163" s="75"/>
      <c r="O163" s="75"/>
      <c r="P163" s="75"/>
      <c r="Q163" s="75"/>
    </row>
    <row r="164" spans="4:17" ht="20.100000000000001" customHeight="1" x14ac:dyDescent="0.25">
      <c r="D164" s="5" t="s">
        <v>417</v>
      </c>
      <c r="E164" s="71"/>
      <c r="F164" s="71"/>
      <c r="G164" s="71"/>
      <c r="H164" s="71"/>
      <c r="I164" s="71"/>
      <c r="J164" s="71"/>
      <c r="K164" s="71"/>
      <c r="L164" s="71"/>
      <c r="M164" s="71"/>
      <c r="N164" s="71"/>
      <c r="O164" s="71"/>
      <c r="P164" s="71"/>
      <c r="Q164" s="71"/>
    </row>
    <row r="165" spans="4:17" ht="20.100000000000001" customHeight="1" x14ac:dyDescent="0.25">
      <c r="D165" s="4" t="s">
        <v>418</v>
      </c>
      <c r="E165" s="71"/>
      <c r="F165" s="71"/>
      <c r="G165" s="71"/>
      <c r="H165" s="71"/>
      <c r="I165" s="71"/>
      <c r="J165" s="71"/>
      <c r="K165" s="71"/>
      <c r="L165" s="71"/>
      <c r="M165" s="71"/>
      <c r="N165" s="71"/>
      <c r="O165" s="71"/>
      <c r="P165" s="71"/>
      <c r="Q165" s="71"/>
    </row>
    <row r="166" spans="4:17" x14ac:dyDescent="0.25">
      <c r="D166" s="71"/>
      <c r="E166" s="71"/>
      <c r="F166" s="71"/>
      <c r="G166" s="71"/>
      <c r="H166" s="71"/>
      <c r="I166" s="71"/>
      <c r="J166" s="71"/>
      <c r="K166" s="71"/>
      <c r="L166" s="71"/>
      <c r="M166" s="71"/>
      <c r="N166" s="71"/>
      <c r="O166" s="71"/>
      <c r="P166" s="71"/>
      <c r="Q166" s="71"/>
    </row>
    <row r="167" spans="4:17" x14ac:dyDescent="0.25">
      <c r="D167" s="73" t="s">
        <v>121</v>
      </c>
      <c r="E167" s="72" t="s">
        <v>122</v>
      </c>
      <c r="F167" s="71"/>
      <c r="G167" s="71"/>
      <c r="H167" s="71"/>
      <c r="I167" s="71"/>
      <c r="J167" s="71"/>
      <c r="K167" s="71"/>
      <c r="L167" s="71"/>
      <c r="M167" s="71"/>
      <c r="N167" s="71"/>
      <c r="O167" s="71"/>
      <c r="P167" s="71"/>
      <c r="Q167" s="71"/>
    </row>
    <row r="168" spans="4:17" x14ac:dyDescent="0.25">
      <c r="D168" s="73" t="s">
        <v>94</v>
      </c>
      <c r="E168" s="73">
        <v>1.7</v>
      </c>
      <c r="F168" s="71"/>
      <c r="G168" s="71"/>
      <c r="H168" s="71"/>
      <c r="I168" s="71"/>
      <c r="J168" s="71"/>
      <c r="K168" s="71"/>
      <c r="L168" s="71"/>
      <c r="M168" s="71"/>
      <c r="N168" s="71"/>
      <c r="O168" s="71"/>
      <c r="P168" s="71"/>
      <c r="Q168" s="71"/>
    </row>
    <row r="169" spans="4:17" x14ac:dyDescent="0.25">
      <c r="D169" s="73" t="s">
        <v>136</v>
      </c>
      <c r="E169" s="73">
        <v>15.7</v>
      </c>
      <c r="F169" s="71"/>
      <c r="G169" s="71"/>
      <c r="H169" s="71"/>
      <c r="I169" s="71"/>
      <c r="J169" s="71"/>
      <c r="K169" s="71"/>
      <c r="L169" s="71"/>
      <c r="M169" s="71"/>
      <c r="N169" s="71"/>
      <c r="O169" s="71"/>
      <c r="P169" s="71"/>
      <c r="Q169" s="71"/>
    </row>
    <row r="170" spans="4:17" x14ac:dyDescent="0.25">
      <c r="D170" s="73" t="s">
        <v>419</v>
      </c>
      <c r="E170" s="73">
        <v>2.5</v>
      </c>
      <c r="F170" s="71"/>
      <c r="G170" s="71"/>
      <c r="H170" s="71"/>
      <c r="I170" s="71"/>
      <c r="J170" s="71"/>
      <c r="K170" s="71"/>
      <c r="L170" s="71"/>
      <c r="M170" s="71"/>
      <c r="N170" s="71"/>
      <c r="O170" s="71"/>
      <c r="P170" s="71"/>
      <c r="Q170" s="71"/>
    </row>
    <row r="171" spans="4:17" x14ac:dyDescent="0.25">
      <c r="D171" s="73" t="s">
        <v>131</v>
      </c>
      <c r="E171" s="73">
        <v>3.5</v>
      </c>
      <c r="F171" s="71"/>
      <c r="G171" s="71"/>
      <c r="H171" s="71"/>
      <c r="I171" s="71"/>
      <c r="J171" s="71"/>
      <c r="K171" s="71"/>
      <c r="L171" s="71"/>
      <c r="M171" s="71"/>
      <c r="N171" s="71"/>
      <c r="O171" s="71"/>
      <c r="P171" s="71"/>
      <c r="Q171" s="71"/>
    </row>
    <row r="172" spans="4:17" x14ac:dyDescent="0.25">
      <c r="D172" s="73" t="s">
        <v>420</v>
      </c>
      <c r="E172" s="73">
        <v>2.5</v>
      </c>
      <c r="F172" s="71"/>
      <c r="G172" s="71"/>
      <c r="H172" s="71"/>
      <c r="I172" s="71"/>
      <c r="J172" s="71"/>
      <c r="K172" s="71"/>
      <c r="L172" s="71"/>
      <c r="M172" s="71"/>
      <c r="N172" s="71"/>
      <c r="O172" s="71"/>
      <c r="P172" s="71"/>
      <c r="Q172" s="71"/>
    </row>
    <row r="173" spans="4:17" x14ac:dyDescent="0.25">
      <c r="D173" s="73" t="s">
        <v>98</v>
      </c>
      <c r="E173" s="73">
        <v>6.7</v>
      </c>
      <c r="F173" s="71"/>
      <c r="G173" s="71"/>
      <c r="H173" s="71"/>
      <c r="I173" s="71"/>
      <c r="J173" s="71"/>
      <c r="K173" s="71"/>
      <c r="L173" s="71"/>
      <c r="M173" s="71"/>
      <c r="N173" s="71"/>
      <c r="O173" s="71"/>
      <c r="P173" s="71"/>
      <c r="Q173" s="71"/>
    </row>
    <row r="174" spans="4:17" x14ac:dyDescent="0.25">
      <c r="D174" s="73" t="s">
        <v>421</v>
      </c>
      <c r="E174" s="73">
        <v>10.8</v>
      </c>
      <c r="F174" s="71"/>
      <c r="G174" s="71"/>
      <c r="H174" s="71"/>
      <c r="I174" s="71"/>
      <c r="J174" s="71"/>
      <c r="K174" s="71"/>
      <c r="L174" s="71"/>
      <c r="M174" s="71"/>
      <c r="N174" s="71"/>
      <c r="O174" s="71"/>
      <c r="P174" s="71"/>
      <c r="Q174" s="71"/>
    </row>
    <row r="175" spans="4:17" x14ac:dyDescent="0.25">
      <c r="D175" s="71"/>
      <c r="E175" s="71"/>
      <c r="F175" s="71"/>
      <c r="G175" s="71"/>
      <c r="H175" s="71"/>
      <c r="I175" s="71"/>
      <c r="J175" s="71"/>
      <c r="K175" s="71"/>
      <c r="L175" s="71"/>
      <c r="M175" s="71"/>
      <c r="N175" s="71"/>
      <c r="O175" s="71"/>
      <c r="P175" s="71"/>
      <c r="Q175" s="71"/>
    </row>
    <row r="176" spans="4:17" x14ac:dyDescent="0.25">
      <c r="D176" s="71"/>
      <c r="E176" s="71"/>
      <c r="F176" s="71"/>
      <c r="G176" s="71"/>
      <c r="H176" s="71"/>
      <c r="I176" s="71"/>
      <c r="J176" s="71"/>
      <c r="K176" s="71"/>
      <c r="L176" s="71"/>
      <c r="M176" s="71"/>
      <c r="N176" s="71"/>
      <c r="O176" s="71"/>
      <c r="P176" s="71"/>
      <c r="Q176" s="71"/>
    </row>
    <row r="177" spans="4:17" x14ac:dyDescent="0.25">
      <c r="D177" s="71"/>
      <c r="E177" s="71"/>
      <c r="F177" s="71"/>
      <c r="G177" s="71"/>
      <c r="H177" s="71"/>
      <c r="I177" s="71"/>
      <c r="J177" s="71"/>
      <c r="K177" s="71"/>
      <c r="L177" s="71"/>
      <c r="M177" s="71"/>
      <c r="N177" s="71"/>
      <c r="O177" s="71"/>
      <c r="P177" s="71"/>
      <c r="Q177" s="71"/>
    </row>
    <row r="178" spans="4:17" x14ac:dyDescent="0.25">
      <c r="D178" s="71"/>
      <c r="E178" s="71"/>
      <c r="F178" s="71"/>
      <c r="G178" s="71"/>
      <c r="H178" s="71"/>
      <c r="I178" s="71"/>
      <c r="J178" s="71"/>
      <c r="K178" s="71"/>
      <c r="L178" s="71"/>
      <c r="M178" s="71"/>
      <c r="N178" s="71"/>
      <c r="O178" s="71"/>
      <c r="P178" s="71"/>
      <c r="Q178" s="71"/>
    </row>
    <row r="179" spans="4:17" x14ac:dyDescent="0.25">
      <c r="D179" s="71"/>
      <c r="E179" s="71"/>
      <c r="F179" s="71"/>
      <c r="G179" s="71"/>
      <c r="H179" s="71"/>
      <c r="I179" s="71"/>
      <c r="J179" s="71"/>
      <c r="K179" s="71"/>
      <c r="L179" s="71"/>
      <c r="M179" s="71"/>
      <c r="N179" s="71"/>
      <c r="O179" s="71"/>
      <c r="P179" s="71"/>
      <c r="Q179" s="71"/>
    </row>
    <row r="180" spans="4:17" x14ac:dyDescent="0.25">
      <c r="D180" s="71"/>
      <c r="E180" s="71"/>
      <c r="F180" s="71"/>
      <c r="G180" s="71"/>
      <c r="H180" s="71"/>
      <c r="I180" s="71"/>
      <c r="J180" s="71"/>
      <c r="K180" s="71"/>
      <c r="L180" s="71"/>
      <c r="M180" s="71"/>
      <c r="N180" s="71"/>
      <c r="O180" s="71"/>
      <c r="P180" s="71"/>
      <c r="Q180" s="71"/>
    </row>
  </sheetData>
  <phoneticPr fontId="21" type="noConversion"/>
  <pageMargins left="0.7" right="0.7" top="0.75" bottom="0.75" header="0.3" footer="0.3"/>
  <tableParts count="4">
    <tablePart r:id="rId1"/>
    <tablePart r:id="rId2"/>
    <tablePart r:id="rId3"/>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54E-9905-434A-883A-4B73532B3F1C}">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
        <v>422</v>
      </c>
      <c r="BM5" s="2"/>
    </row>
    <row r="6" spans="1:65" ht="20.100000000000001" customHeight="1" x14ac:dyDescent="0.25">
      <c r="A6"/>
      <c r="D6" s="26" t="s">
        <v>6</v>
      </c>
      <c r="E6" s="26" t="s">
        <v>7</v>
      </c>
      <c r="F6" s="26" t="s">
        <v>8</v>
      </c>
    </row>
    <row r="7" spans="1:65" ht="20.100000000000001" customHeight="1" x14ac:dyDescent="0.25">
      <c r="A7"/>
      <c r="D7" s="26" t="s">
        <v>423</v>
      </c>
      <c r="E7" s="26" t="s">
        <v>423</v>
      </c>
      <c r="F7" s="26" t="s">
        <v>424</v>
      </c>
    </row>
    <row r="8" spans="1:65" ht="20.100000000000001" customHeight="1" x14ac:dyDescent="0.25">
      <c r="A8"/>
      <c r="D8" s="26" t="s">
        <v>425</v>
      </c>
      <c r="E8" s="26" t="s">
        <v>426</v>
      </c>
      <c r="F8" s="26" t="s">
        <v>426</v>
      </c>
    </row>
    <row r="9" spans="1:65" ht="20.100000000000001" customHeight="1" x14ac:dyDescent="0.25">
      <c r="A9"/>
      <c r="D9" s="26" t="s">
        <v>427</v>
      </c>
      <c r="E9" s="26" t="s">
        <v>427</v>
      </c>
      <c r="F9" s="26" t="s">
        <v>428</v>
      </c>
    </row>
    <row r="10" spans="1:65" ht="20.100000000000001" customHeight="1" x14ac:dyDescent="0.25">
      <c r="A10"/>
      <c r="D10" s="26" t="s">
        <v>429</v>
      </c>
      <c r="E10" s="26" t="s">
        <v>429</v>
      </c>
      <c r="F10" s="26" t="s">
        <v>430</v>
      </c>
    </row>
    <row r="11" spans="1:65" ht="20.100000000000001" customHeight="1" x14ac:dyDescent="0.25">
      <c r="A11"/>
      <c r="D11" s="26" t="s">
        <v>431</v>
      </c>
      <c r="E11" s="26" t="s">
        <v>431</v>
      </c>
      <c r="F11" s="26" t="s">
        <v>432</v>
      </c>
      <c r="BM11" s="2"/>
    </row>
    <row r="12" spans="1:65" ht="20.100000000000001" customHeight="1" x14ac:dyDescent="0.25">
      <c r="A12"/>
      <c r="D12" s="26" t="s">
        <v>433</v>
      </c>
      <c r="E12" s="26" t="s">
        <v>433</v>
      </c>
      <c r="F12" s="26" t="s">
        <v>434</v>
      </c>
      <c r="BM12" s="2"/>
    </row>
    <row r="13" spans="1:65" ht="20.100000000000001" customHeight="1" x14ac:dyDescent="0.25">
      <c r="A13"/>
      <c r="D13" s="26" t="s">
        <v>435</v>
      </c>
      <c r="E13" s="26" t="s">
        <v>435</v>
      </c>
      <c r="F13" s="26" t="s">
        <v>436</v>
      </c>
    </row>
    <row r="14" spans="1:65" ht="20.100000000000001" customHeight="1" x14ac:dyDescent="0.25">
      <c r="A14"/>
      <c r="D14" s="26" t="s">
        <v>437</v>
      </c>
      <c r="E14" s="26" t="s">
        <v>437</v>
      </c>
      <c r="F14" s="26" t="s">
        <v>438</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
        <v>439</v>
      </c>
    </row>
    <row r="19" spans="1:4" ht="20.100000000000001" customHeight="1" x14ac:dyDescent="0.25">
      <c r="A19"/>
      <c r="D19" s="4" t="s">
        <v>440</v>
      </c>
    </row>
    <row r="20" spans="1:4" ht="20.100000000000001" customHeight="1" x14ac:dyDescent="0.25">
      <c r="A20"/>
      <c r="D20" s="26" t="s">
        <v>9</v>
      </c>
    </row>
    <row r="21" spans="1:4" ht="20.100000000000001" customHeight="1" x14ac:dyDescent="0.25">
      <c r="A21"/>
      <c r="D21" s="26" t="s">
        <v>441</v>
      </c>
    </row>
    <row r="22" spans="1:4" ht="20.100000000000001" customHeight="1" x14ac:dyDescent="0.25">
      <c r="A22"/>
      <c r="D22" s="26" t="s">
        <v>442</v>
      </c>
    </row>
    <row r="23" spans="1:4" ht="20.100000000000001" customHeight="1" x14ac:dyDescent="0.25">
      <c r="A23"/>
      <c r="D23" s="26" t="s">
        <v>443</v>
      </c>
    </row>
    <row r="24" spans="1:4" ht="20.100000000000001" customHeight="1" x14ac:dyDescent="0.25">
      <c r="A24"/>
      <c r="D24" s="26" t="s">
        <v>444</v>
      </c>
    </row>
    <row r="25" spans="1:4" ht="20.100000000000001" customHeight="1" x14ac:dyDescent="0.25">
      <c r="A25"/>
      <c r="D25" s="26" t="s">
        <v>445</v>
      </c>
    </row>
    <row r="26" spans="1:4" ht="20.100000000000001" customHeight="1" x14ac:dyDescent="0.25">
      <c r="A26"/>
      <c r="D26" s="26" t="s">
        <v>446</v>
      </c>
    </row>
    <row r="27" spans="1:4" ht="20.100000000000001" customHeight="1" x14ac:dyDescent="0.25">
      <c r="A27"/>
      <c r="D27" s="26" t="s">
        <v>447</v>
      </c>
    </row>
    <row r="28" spans="1:4" ht="20.100000000000001" customHeight="1" x14ac:dyDescent="0.25">
      <c r="A28"/>
      <c r="D28" s="26" t="s">
        <v>448</v>
      </c>
    </row>
    <row r="29" spans="1:4" ht="20.100000000000001" customHeight="1" x14ac:dyDescent="0.25">
      <c r="A29"/>
      <c r="D29" s="26" t="s">
        <v>449</v>
      </c>
    </row>
    <row r="30" spans="1:4" ht="20.100000000000001" customHeight="1" x14ac:dyDescent="0.25">
      <c r="A30"/>
      <c r="D30" s="26" t="s">
        <v>450</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
        <v>451</v>
      </c>
    </row>
    <row r="35" spans="1:8" ht="20.100000000000001" customHeight="1" x14ac:dyDescent="0.25">
      <c r="A35"/>
      <c r="D35" s="4" t="s">
        <v>452</v>
      </c>
    </row>
    <row r="36" spans="1:8" ht="20.100000000000001" customHeight="1" x14ac:dyDescent="0.25">
      <c r="A36"/>
      <c r="D36" s="26" t="s">
        <v>10</v>
      </c>
      <c r="E36" s="26" t="s">
        <v>11</v>
      </c>
    </row>
    <row r="37" spans="1:8" ht="20.100000000000001" customHeight="1" x14ac:dyDescent="0.25">
      <c r="A37"/>
      <c r="D37" s="26" t="s">
        <v>180</v>
      </c>
      <c r="E37" s="26">
        <v>1</v>
      </c>
    </row>
    <row r="38" spans="1:8" ht="20.100000000000001" customHeight="1" x14ac:dyDescent="0.25">
      <c r="A38"/>
      <c r="D38" s="26" t="s">
        <v>182</v>
      </c>
      <c r="E38" s="26">
        <v>28</v>
      </c>
    </row>
    <row r="39" spans="1:8" ht="20.100000000000001" customHeight="1" x14ac:dyDescent="0.25">
      <c r="A39"/>
      <c r="D39" s="26" t="s">
        <v>184</v>
      </c>
      <c r="E39" s="26">
        <v>265</v>
      </c>
    </row>
    <row r="40" spans="1:8" ht="20.100000000000001" customHeight="1" x14ac:dyDescent="0.25">
      <c r="A40"/>
      <c r="D40" s="26" t="s">
        <v>254</v>
      </c>
      <c r="E40" s="26">
        <v>6630</v>
      </c>
    </row>
    <row r="41" spans="1:8" ht="20.100000000000001" customHeight="1" x14ac:dyDescent="0.25">
      <c r="A41"/>
      <c r="D41" s="26" t="s">
        <v>257</v>
      </c>
      <c r="E41" s="26">
        <v>12200</v>
      </c>
    </row>
    <row r="42" spans="1:8" ht="20.100000000000001" customHeight="1" x14ac:dyDescent="0.25">
      <c r="D42" s="26" t="s">
        <v>186</v>
      </c>
      <c r="E42" s="26">
        <v>22800</v>
      </c>
    </row>
    <row r="43" spans="1:8" ht="20.100000000000001" customHeight="1" x14ac:dyDescent="0.25">
      <c r="D43" s="26" t="s">
        <v>453</v>
      </c>
      <c r="E43" s="26">
        <v>17200</v>
      </c>
    </row>
    <row r="44" spans="1:8" ht="20.100000000000001" customHeight="1" x14ac:dyDescent="0.25"/>
    <row r="45" spans="1:8" ht="20.100000000000001" customHeight="1" x14ac:dyDescent="0.25">
      <c r="D45" s="5" t="s">
        <v>454</v>
      </c>
    </row>
    <row r="46" spans="1:8" ht="20.100000000000001" customHeight="1" x14ac:dyDescent="0.25">
      <c r="D46" s="4" t="s">
        <v>452</v>
      </c>
    </row>
    <row r="47" spans="1:8" ht="20.100000000000001" customHeight="1" x14ac:dyDescent="0.25">
      <c r="D47" s="26" t="s">
        <v>10</v>
      </c>
      <c r="E47" s="26" t="s">
        <v>13</v>
      </c>
      <c r="F47" s="26" t="s">
        <v>14</v>
      </c>
      <c r="G47" s="26" t="s">
        <v>15</v>
      </c>
      <c r="H47" s="26" t="s">
        <v>16</v>
      </c>
    </row>
    <row r="48" spans="1:8" ht="20.100000000000001" customHeight="1" x14ac:dyDescent="0.25">
      <c r="D48" s="26" t="s">
        <v>180</v>
      </c>
      <c r="E48" s="26" t="s">
        <v>455</v>
      </c>
      <c r="F48" s="26">
        <v>44</v>
      </c>
      <c r="G48" s="26">
        <v>12</v>
      </c>
      <c r="H48" s="26">
        <f>Table_GasToMolecularConversionFactor[[#This Row],[Conversion factor 1]]/Table_GasToMolecularConversionFactor[[#This Row],[Conversion factor 2]]</f>
        <v>3.6666666666666665</v>
      </c>
    </row>
    <row r="49" spans="4:8" ht="20.100000000000001" customHeight="1" x14ac:dyDescent="0.25">
      <c r="D49" s="26" t="s">
        <v>182</v>
      </c>
      <c r="E49" s="26" t="s">
        <v>456</v>
      </c>
      <c r="F49" s="26">
        <v>16</v>
      </c>
      <c r="G49" s="26">
        <v>12</v>
      </c>
      <c r="H49" s="26">
        <f>Table_GasToMolecularConversionFactor[[#This Row],[Conversion factor 1]]/Table_GasToMolecularConversionFactor[[#This Row],[Conversion factor 2]]</f>
        <v>1.3333333333333333</v>
      </c>
    </row>
    <row r="50" spans="4:8" ht="20.100000000000001" customHeight="1" x14ac:dyDescent="0.25">
      <c r="D50" s="26" t="s">
        <v>184</v>
      </c>
      <c r="E50" s="26" t="s">
        <v>457</v>
      </c>
      <c r="F50" s="26">
        <v>44</v>
      </c>
      <c r="G50" s="26">
        <v>28</v>
      </c>
      <c r="H50" s="26">
        <f>Table_GasToMolecularConversionFactor[[#This Row],[Conversion factor 1]]/Table_GasToMolecularConversionFactor[[#This Row],[Conversion factor 2]]</f>
        <v>1.5714285714285714</v>
      </c>
    </row>
    <row r="51" spans="4:8" ht="20.100000000000001" customHeight="1" x14ac:dyDescent="0.25">
      <c r="D51" s="26" t="s">
        <v>458</v>
      </c>
      <c r="E51" s="26" t="s">
        <v>459</v>
      </c>
      <c r="F51" s="26">
        <v>46</v>
      </c>
      <c r="G51" s="26">
        <v>14</v>
      </c>
      <c r="H51" s="26">
        <f>Table_GasToMolecularConversionFactor[[#This Row],[Conversion factor 1]]/Table_GasToMolecularConversionFactor[[#This Row],[Conversion factor 2]]</f>
        <v>3.2857142857142856</v>
      </c>
    </row>
    <row r="52" spans="4:8" ht="20.100000000000001" customHeight="1" x14ac:dyDescent="0.25">
      <c r="D52" s="26" t="s">
        <v>460</v>
      </c>
      <c r="E52" s="26" t="s">
        <v>461</v>
      </c>
      <c r="F52" s="26">
        <v>28</v>
      </c>
      <c r="G52" s="26">
        <v>12</v>
      </c>
      <c r="H52" s="26">
        <f>Table_GasToMolecularConversionFactor[[#This Row],[Conversion factor 1]]/Table_GasToMolecularConversionFactor[[#This Row],[Conversion factor 2]]</f>
        <v>2.3333333333333335</v>
      </c>
    </row>
    <row r="53" spans="4:8" ht="20.100000000000001" customHeight="1" x14ac:dyDescent="0.25">
      <c r="D53" s="26" t="s">
        <v>462</v>
      </c>
      <c r="E53" s="26" t="s">
        <v>455</v>
      </c>
      <c r="F53" s="26">
        <v>44</v>
      </c>
      <c r="G53" s="26">
        <v>12</v>
      </c>
      <c r="H53" s="26">
        <f>Table_GasToMolecularConversionFactor[[#This Row],[Conversion factor 1]]/Table_GasToMolecularConversionFactor[[#This Row],[Conversion factor 2]]</f>
        <v>3.6666666666666665</v>
      </c>
    </row>
    <row r="54" spans="4:8" ht="20.100000000000001" customHeight="1" x14ac:dyDescent="0.25">
      <c r="D54" s="26" t="s">
        <v>463</v>
      </c>
      <c r="E54" s="26" t="s">
        <v>464</v>
      </c>
      <c r="F54" s="26">
        <v>14</v>
      </c>
      <c r="G54" s="26">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
        <v>465</v>
      </c>
    </row>
    <row r="58" spans="4:8" ht="20.100000000000001" customHeight="1" x14ac:dyDescent="0.25">
      <c r="D58" s="4" t="s">
        <v>466</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30</v>
      </c>
    </row>
    <row r="64" spans="4:8" ht="20.100000000000001" customHeight="1" x14ac:dyDescent="0.25">
      <c r="D64" s="26" t="s">
        <v>467</v>
      </c>
      <c r="E64" s="26" t="s">
        <v>468</v>
      </c>
    </row>
    <row r="65" spans="4:5" ht="20.100000000000001" customHeight="1" x14ac:dyDescent="0.25">
      <c r="D65" s="26" t="s">
        <v>469</v>
      </c>
      <c r="E65" s="26" t="s">
        <v>468</v>
      </c>
    </row>
    <row r="66" spans="4:5" ht="20.100000000000001" customHeight="1" x14ac:dyDescent="0.25">
      <c r="D66" s="26" t="s">
        <v>470</v>
      </c>
      <c r="E66" s="26" t="s">
        <v>468</v>
      </c>
    </row>
    <row r="67" spans="4:5" ht="20.100000000000001" customHeight="1" x14ac:dyDescent="0.25">
      <c r="D67" s="26" t="s">
        <v>471</v>
      </c>
      <c r="E67" s="26" t="s">
        <v>472</v>
      </c>
    </row>
    <row r="68" spans="4:5" ht="20.100000000000001" customHeight="1" x14ac:dyDescent="0.25">
      <c r="D68" s="26" t="s">
        <v>473</v>
      </c>
      <c r="E68" s="26" t="s">
        <v>468</v>
      </c>
    </row>
    <row r="69" spans="4:5" ht="20.100000000000001" customHeight="1" x14ac:dyDescent="0.25">
      <c r="D69" s="26" t="s">
        <v>474</v>
      </c>
      <c r="E69" s="26" t="s">
        <v>472</v>
      </c>
    </row>
    <row r="70" spans="4:5" ht="20.100000000000001" customHeight="1" x14ac:dyDescent="0.25">
      <c r="D70" s="26" t="s">
        <v>475</v>
      </c>
      <c r="E70" s="26" t="s">
        <v>468</v>
      </c>
    </row>
    <row r="71" spans="4:5" ht="20.100000000000001" customHeight="1" x14ac:dyDescent="0.25">
      <c r="D71" s="26" t="s">
        <v>476</v>
      </c>
      <c r="E71" s="26" t="s">
        <v>472</v>
      </c>
    </row>
    <row r="72" spans="4:5" ht="20.100000000000001" customHeight="1" x14ac:dyDescent="0.25">
      <c r="D72" s="26" t="s">
        <v>477</v>
      </c>
      <c r="E72" s="26" t="s">
        <v>468</v>
      </c>
    </row>
    <row r="73" spans="4:5" ht="20.100000000000001" customHeight="1" x14ac:dyDescent="0.25">
      <c r="D73" s="26" t="s">
        <v>478</v>
      </c>
      <c r="E73" s="26" t="s">
        <v>472</v>
      </c>
    </row>
    <row r="74" spans="4:5" ht="20.100000000000001" customHeight="1" x14ac:dyDescent="0.25">
      <c r="D74" s="26" t="s">
        <v>479</v>
      </c>
      <c r="E74" s="26" t="s">
        <v>468</v>
      </c>
    </row>
    <row r="75" spans="4:5" ht="20.100000000000001" customHeight="1" x14ac:dyDescent="0.25">
      <c r="D75" s="26" t="s">
        <v>480</v>
      </c>
      <c r="E75" s="26" t="s">
        <v>472</v>
      </c>
    </row>
    <row r="76" spans="4:5" ht="20.100000000000001" customHeight="1" x14ac:dyDescent="0.25">
      <c r="D76" s="26" t="s">
        <v>481</v>
      </c>
      <c r="E76" s="26" t="s">
        <v>468</v>
      </c>
    </row>
    <row r="77" spans="4:5" ht="20.100000000000001" customHeight="1" x14ac:dyDescent="0.25">
      <c r="D77" s="26" t="s">
        <v>482</v>
      </c>
      <c r="E77" s="26" t="s">
        <v>472</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
        <v>483</v>
      </c>
    </row>
    <row r="82" spans="4:20" ht="20.100000000000001" customHeight="1" x14ac:dyDescent="0.25">
      <c r="D82" s="4" t="s">
        <v>484</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18</v>
      </c>
      <c r="F89" s="26" t="s">
        <v>19</v>
      </c>
      <c r="G89" s="26" t="s">
        <v>20</v>
      </c>
      <c r="H89" s="26" t="s">
        <v>21</v>
      </c>
      <c r="I89" s="26" t="s">
        <v>22</v>
      </c>
      <c r="J89" s="26" t="s">
        <v>23</v>
      </c>
      <c r="K89" s="26" t="s">
        <v>24</v>
      </c>
      <c r="L89" s="26" t="s">
        <v>25</v>
      </c>
      <c r="M89" s="26" t="s">
        <v>26</v>
      </c>
      <c r="N89" s="26" t="s">
        <v>27</v>
      </c>
      <c r="O89" s="26" t="s">
        <v>31</v>
      </c>
      <c r="P89" s="26" t="s">
        <v>28</v>
      </c>
      <c r="Q89" s="26" t="s">
        <v>32</v>
      </c>
      <c r="R89" s="26" t="s">
        <v>29</v>
      </c>
      <c r="S89" s="26" t="s">
        <v>33</v>
      </c>
      <c r="T89" s="26"/>
    </row>
    <row r="90" spans="4:20" ht="20.100000000000001" customHeight="1" x14ac:dyDescent="0.25">
      <c r="D90" s="26" t="s">
        <v>467</v>
      </c>
      <c r="E90" s="26" t="s">
        <v>485</v>
      </c>
      <c r="F90" s="26" t="s">
        <v>486</v>
      </c>
      <c r="G90" s="26" t="s">
        <v>487</v>
      </c>
      <c r="H90" s="26" t="s">
        <v>488</v>
      </c>
      <c r="I90" s="26" t="s">
        <v>486</v>
      </c>
      <c r="J90" s="26">
        <v>18.001000000000001</v>
      </c>
      <c r="K90" s="26">
        <v>999999</v>
      </c>
      <c r="L90" s="26">
        <v>-999999</v>
      </c>
      <c r="M90" s="26">
        <v>999999</v>
      </c>
      <c r="N90" s="26">
        <v>-999999</v>
      </c>
      <c r="O90" s="26">
        <v>7</v>
      </c>
      <c r="P90" s="26">
        <v>1000</v>
      </c>
      <c r="Q90" s="26">
        <v>999999</v>
      </c>
      <c r="R90" s="26">
        <v>-999999</v>
      </c>
      <c r="S90" s="26">
        <v>999999</v>
      </c>
      <c r="T90" s="26"/>
    </row>
    <row r="91" spans="4:20" ht="20.100000000000001" customHeight="1" x14ac:dyDescent="0.25">
      <c r="D91" s="26" t="s">
        <v>469</v>
      </c>
      <c r="E91" s="26" t="s">
        <v>485</v>
      </c>
      <c r="F91" s="26" t="s">
        <v>489</v>
      </c>
      <c r="G91" s="26" t="s">
        <v>487</v>
      </c>
      <c r="H91" s="26" t="s">
        <v>490</v>
      </c>
      <c r="I91" s="26" t="s">
        <v>486</v>
      </c>
      <c r="J91" s="26">
        <v>18.001000000000001</v>
      </c>
      <c r="K91" s="26">
        <v>999999</v>
      </c>
      <c r="L91" s="26">
        <v>2000.001</v>
      </c>
      <c r="M91" s="26">
        <v>999999</v>
      </c>
      <c r="N91" s="26">
        <v>-999999</v>
      </c>
      <c r="O91" s="26">
        <v>7</v>
      </c>
      <c r="P91" s="26">
        <v>-999999</v>
      </c>
      <c r="Q91" s="26">
        <v>999.99900000000002</v>
      </c>
      <c r="R91" s="26">
        <v>-999999</v>
      </c>
      <c r="S91" s="26">
        <v>999999</v>
      </c>
      <c r="T91" s="26"/>
    </row>
    <row r="92" spans="4:20" ht="20.100000000000001" customHeight="1" x14ac:dyDescent="0.25">
      <c r="D92" s="26" t="s">
        <v>470</v>
      </c>
      <c r="E92" s="26" t="s">
        <v>485</v>
      </c>
      <c r="F92" s="26" t="s">
        <v>491</v>
      </c>
      <c r="G92" s="26" t="s">
        <v>487</v>
      </c>
      <c r="H92" s="26" t="s">
        <v>490</v>
      </c>
      <c r="I92" s="26" t="s">
        <v>486</v>
      </c>
      <c r="J92" s="26">
        <v>18.001000000000001</v>
      </c>
      <c r="K92" s="26">
        <v>999999</v>
      </c>
      <c r="L92" s="26">
        <v>1000.001</v>
      </c>
      <c r="M92" s="26">
        <v>2000</v>
      </c>
      <c r="N92" s="26">
        <v>-999999</v>
      </c>
      <c r="O92" s="26">
        <v>7</v>
      </c>
      <c r="P92" s="26">
        <v>-999999</v>
      </c>
      <c r="Q92" s="26">
        <v>999.99900000000002</v>
      </c>
      <c r="R92" s="26">
        <v>-999999</v>
      </c>
      <c r="S92" s="26">
        <v>999999</v>
      </c>
      <c r="T92" s="26"/>
    </row>
    <row r="93" spans="4:20" ht="20.100000000000001" customHeight="1" x14ac:dyDescent="0.25">
      <c r="D93" s="26" t="s">
        <v>471</v>
      </c>
      <c r="E93" s="26" t="s">
        <v>485</v>
      </c>
      <c r="F93" s="26" t="s">
        <v>492</v>
      </c>
      <c r="G93" s="26" t="s">
        <v>487</v>
      </c>
      <c r="H93" s="26" t="s">
        <v>490</v>
      </c>
      <c r="I93" s="26" t="s">
        <v>486</v>
      </c>
      <c r="J93" s="26">
        <v>18.001000000000001</v>
      </c>
      <c r="K93" s="26">
        <v>999999</v>
      </c>
      <c r="L93" s="26">
        <v>-999999</v>
      </c>
      <c r="M93" s="26">
        <v>1000</v>
      </c>
      <c r="N93" s="26">
        <v>-999999</v>
      </c>
      <c r="O93" s="26">
        <v>7</v>
      </c>
      <c r="P93" s="26">
        <v>-999999</v>
      </c>
      <c r="Q93" s="26">
        <v>999.99900000000002</v>
      </c>
      <c r="R93" s="26">
        <v>-999999</v>
      </c>
      <c r="S93" s="26">
        <v>999999</v>
      </c>
      <c r="T93" s="26"/>
    </row>
    <row r="94" spans="4:20" ht="20.100000000000001" customHeight="1" x14ac:dyDescent="0.25">
      <c r="D94" s="26" t="s">
        <v>473</v>
      </c>
      <c r="E94" s="26" t="s">
        <v>493</v>
      </c>
      <c r="F94" s="26" t="s">
        <v>486</v>
      </c>
      <c r="G94" s="26" t="s">
        <v>486</v>
      </c>
      <c r="H94" s="26" t="s">
        <v>486</v>
      </c>
      <c r="I94" s="26" t="s">
        <v>494</v>
      </c>
      <c r="J94" s="26">
        <v>10.000999999999999</v>
      </c>
      <c r="K94" s="26">
        <v>999999</v>
      </c>
      <c r="L94" s="26">
        <v>-999999</v>
      </c>
      <c r="M94" s="26">
        <v>999999</v>
      </c>
      <c r="N94" s="26">
        <v>-999999</v>
      </c>
      <c r="O94" s="26">
        <v>999999</v>
      </c>
      <c r="P94" s="26">
        <v>-999999</v>
      </c>
      <c r="Q94" s="26">
        <v>999999</v>
      </c>
      <c r="R94" s="26">
        <v>1.0009999999999999</v>
      </c>
      <c r="S94" s="26">
        <v>999999</v>
      </c>
      <c r="T94" s="26"/>
    </row>
    <row r="95" spans="4:20" ht="20.100000000000001" customHeight="1" x14ac:dyDescent="0.25">
      <c r="D95" s="26" t="s">
        <v>474</v>
      </c>
      <c r="E95" s="26" t="s">
        <v>493</v>
      </c>
      <c r="F95" s="26" t="s">
        <v>486</v>
      </c>
      <c r="G95" s="26" t="s">
        <v>486</v>
      </c>
      <c r="H95" s="26" t="s">
        <v>486</v>
      </c>
      <c r="I95" s="26" t="s">
        <v>495</v>
      </c>
      <c r="J95" s="26">
        <v>10.000999999999999</v>
      </c>
      <c r="K95" s="26">
        <v>999999</v>
      </c>
      <c r="L95" s="26">
        <v>-999999</v>
      </c>
      <c r="M95" s="26">
        <v>999999</v>
      </c>
      <c r="N95" s="26">
        <v>-999999</v>
      </c>
      <c r="O95" s="26">
        <v>999999</v>
      </c>
      <c r="P95" s="26">
        <v>-999999</v>
      </c>
      <c r="Q95" s="26">
        <v>999999</v>
      </c>
      <c r="R95" s="26">
        <v>-999999</v>
      </c>
      <c r="S95" s="26">
        <v>1</v>
      </c>
      <c r="T95" s="26"/>
    </row>
    <row r="96" spans="4:20" ht="20.100000000000001" customHeight="1" x14ac:dyDescent="0.25">
      <c r="D96" s="26" t="s">
        <v>475</v>
      </c>
      <c r="E96" s="26" t="s">
        <v>496</v>
      </c>
      <c r="F96" s="26" t="s">
        <v>486</v>
      </c>
      <c r="G96" s="26" t="s">
        <v>486</v>
      </c>
      <c r="H96" s="26" t="s">
        <v>486</v>
      </c>
      <c r="I96" s="26" t="s">
        <v>494</v>
      </c>
      <c r="J96" s="26">
        <v>-999999</v>
      </c>
      <c r="K96" s="26">
        <v>10</v>
      </c>
      <c r="L96" s="26">
        <v>-999999</v>
      </c>
      <c r="M96" s="26">
        <v>999999</v>
      </c>
      <c r="N96" s="26">
        <v>-999999</v>
      </c>
      <c r="O96" s="26">
        <v>999999</v>
      </c>
      <c r="P96" s="26">
        <v>-999999</v>
      </c>
      <c r="Q96" s="26">
        <v>999999</v>
      </c>
      <c r="R96" s="26">
        <v>1.0009999999999999</v>
      </c>
      <c r="S96" s="26">
        <v>999999</v>
      </c>
      <c r="T96" s="26"/>
    </row>
    <row r="97" spans="4:20" ht="20.100000000000001" customHeight="1" x14ac:dyDescent="0.25">
      <c r="D97" s="26" t="s">
        <v>476</v>
      </c>
      <c r="E97" s="26" t="s">
        <v>496</v>
      </c>
      <c r="F97" s="26" t="s">
        <v>486</v>
      </c>
      <c r="G97" s="26" t="s">
        <v>486</v>
      </c>
      <c r="H97" s="26" t="s">
        <v>486</v>
      </c>
      <c r="I97" s="26" t="s">
        <v>495</v>
      </c>
      <c r="J97" s="26">
        <v>-999999</v>
      </c>
      <c r="K97" s="26">
        <v>10</v>
      </c>
      <c r="L97" s="26">
        <v>-999999</v>
      </c>
      <c r="M97" s="26">
        <v>999999</v>
      </c>
      <c r="N97" s="26">
        <v>-999999</v>
      </c>
      <c r="O97" s="26">
        <v>999999</v>
      </c>
      <c r="P97" s="26">
        <v>-999999</v>
      </c>
      <c r="Q97" s="26">
        <v>999999</v>
      </c>
      <c r="R97" s="26">
        <v>-999999</v>
      </c>
      <c r="S97" s="26">
        <v>1</v>
      </c>
      <c r="T97" s="26"/>
    </row>
    <row r="98" spans="4:20" ht="20.100000000000001" customHeight="1" x14ac:dyDescent="0.25"/>
    <row r="99" spans="4:20" ht="20.100000000000001" customHeight="1" x14ac:dyDescent="0.25">
      <c r="D99" s="30" t="s">
        <v>497</v>
      </c>
    </row>
    <row r="100" spans="4:20" ht="20.100000000000001" customHeight="1" x14ac:dyDescent="0.25">
      <c r="D100" s="30" t="s">
        <v>498</v>
      </c>
    </row>
    <row r="101" spans="4:20" ht="20.100000000000001" customHeight="1" x14ac:dyDescent="0.25">
      <c r="D101" s="30" t="s">
        <v>499</v>
      </c>
    </row>
    <row r="102" spans="4:20" ht="20.100000000000001" customHeight="1" x14ac:dyDescent="0.25">
      <c r="D102" s="30" t="s">
        <v>500</v>
      </c>
    </row>
    <row r="103" spans="4:20" ht="20.100000000000001" customHeight="1" x14ac:dyDescent="0.25">
      <c r="D103" s="30"/>
    </row>
    <row r="104" spans="4:20" ht="20.100000000000001" customHeight="1" x14ac:dyDescent="0.25"/>
    <row r="105" spans="4:20" ht="20.100000000000001" customHeight="1" x14ac:dyDescent="0.25">
      <c r="D105" s="5" t="s">
        <v>501</v>
      </c>
    </row>
    <row r="106" spans="4:20" ht="20.100000000000001" customHeight="1" x14ac:dyDescent="0.25">
      <c r="D106" s="4" t="s">
        <v>484</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35</v>
      </c>
      <c r="E109" s="26" t="s">
        <v>18</v>
      </c>
      <c r="F109" s="26" t="s">
        <v>36</v>
      </c>
      <c r="G109" s="26" t="s">
        <v>37</v>
      </c>
    </row>
    <row r="110" spans="4:20" ht="20.100000000000001" customHeight="1" x14ac:dyDescent="0.25">
      <c r="D110" s="26" t="s">
        <v>502</v>
      </c>
      <c r="E110" s="26" t="s">
        <v>503</v>
      </c>
      <c r="F110" s="26">
        <v>26</v>
      </c>
      <c r="G110" s="26">
        <v>999999</v>
      </c>
    </row>
    <row r="111" spans="4:20" ht="20.100000000000001" customHeight="1" x14ac:dyDescent="0.25">
      <c r="D111" s="26" t="s">
        <v>504</v>
      </c>
      <c r="E111" s="26" t="s">
        <v>505</v>
      </c>
      <c r="F111" s="26">
        <v>15</v>
      </c>
      <c r="G111" s="26">
        <v>25.998999999999999</v>
      </c>
    </row>
    <row r="112" spans="4:20" ht="20.100000000000001" customHeight="1" x14ac:dyDescent="0.25">
      <c r="D112" s="26" t="s">
        <v>506</v>
      </c>
      <c r="E112" s="26" t="s">
        <v>507</v>
      </c>
      <c r="F112" s="26">
        <v>-999999</v>
      </c>
      <c r="G112" s="26">
        <v>14.999000000000001</v>
      </c>
    </row>
    <row r="113" spans="4:66" ht="20.100000000000001" customHeight="1" x14ac:dyDescent="0.25"/>
    <row r="114" spans="4:66" ht="20.100000000000001" customHeight="1" x14ac:dyDescent="0.25"/>
    <row r="115" spans="4:66" ht="20.100000000000001" customHeight="1" x14ac:dyDescent="0.25">
      <c r="D115" s="5" t="s">
        <v>508</v>
      </c>
      <c r="BN115" s="6"/>
    </row>
    <row r="116" spans="4:66" ht="20.100000000000001" customHeight="1" x14ac:dyDescent="0.25">
      <c r="D116" s="4" t="s">
        <v>484</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38</v>
      </c>
      <c r="E119" s="26" t="s">
        <v>39</v>
      </c>
      <c r="F119" s="26" t="s">
        <v>25</v>
      </c>
      <c r="G119" s="26" t="s">
        <v>26</v>
      </c>
      <c r="BN119" s="6"/>
    </row>
    <row r="120" spans="4:66" ht="20.100000000000001" customHeight="1" x14ac:dyDescent="0.25">
      <c r="D120" s="26" t="s">
        <v>509</v>
      </c>
      <c r="E120" s="26" t="s">
        <v>510</v>
      </c>
      <c r="F120" s="26">
        <v>600.00099999999998</v>
      </c>
      <c r="G120" s="26">
        <v>999999</v>
      </c>
      <c r="BN120" s="6"/>
    </row>
    <row r="121" spans="4:66" ht="20.100000000000001" customHeight="1" x14ac:dyDescent="0.25">
      <c r="D121" s="26" t="s">
        <v>511</v>
      </c>
      <c r="E121" s="26" t="s">
        <v>512</v>
      </c>
      <c r="F121" s="26">
        <v>-999999</v>
      </c>
      <c r="G121" s="26">
        <v>600</v>
      </c>
      <c r="BN121" s="6"/>
    </row>
    <row r="122" spans="4:66" ht="20.100000000000001" customHeight="1" x14ac:dyDescent="0.25">
      <c r="BN122" s="6"/>
    </row>
    <row r="123" spans="4:66" ht="20.100000000000001" customHeight="1" x14ac:dyDescent="0.25"/>
    <row r="124" spans="4:66" ht="20.100000000000001" customHeight="1" x14ac:dyDescent="0.25">
      <c r="D124" s="5" t="s">
        <v>513</v>
      </c>
    </row>
    <row r="125" spans="4:66" ht="20.100000000000001" customHeight="1" x14ac:dyDescent="0.25">
      <c r="D125" s="4" t="s">
        <v>484</v>
      </c>
    </row>
    <row r="126" spans="4:66" ht="20.100000000000001" customHeight="1" x14ac:dyDescent="0.25"/>
    <row r="127" spans="4:66" ht="20.100000000000001" customHeight="1" x14ac:dyDescent="0.25">
      <c r="D127" s="26" t="s">
        <v>40</v>
      </c>
      <c r="E127" s="26" t="s">
        <v>41</v>
      </c>
    </row>
    <row r="128" spans="4:66" ht="20.100000000000001" customHeight="1" x14ac:dyDescent="0.25">
      <c r="D128" s="26" t="s">
        <v>514</v>
      </c>
      <c r="E128" s="26" t="s">
        <v>515</v>
      </c>
    </row>
    <row r="129" spans="4:77" ht="20.100000000000001" customHeight="1" x14ac:dyDescent="0.25">
      <c r="D129" s="26" t="s">
        <v>516</v>
      </c>
      <c r="E129" s="26" t="s">
        <v>517</v>
      </c>
    </row>
    <row r="130" spans="4:77" ht="20.100000000000001" customHeight="1" x14ac:dyDescent="0.25"/>
    <row r="131" spans="4:77" ht="20.100000000000001" customHeight="1" x14ac:dyDescent="0.25"/>
    <row r="132" spans="4:77" ht="20.100000000000001" customHeight="1" x14ac:dyDescent="0.25">
      <c r="D132" s="5" t="s">
        <v>518</v>
      </c>
      <c r="E132" s="17"/>
    </row>
    <row r="133" spans="4:77" ht="20.100000000000001" customHeight="1" x14ac:dyDescent="0.25">
      <c r="D133" s="4" t="s">
        <v>519</v>
      </c>
      <c r="E133" s="17"/>
    </row>
    <row r="134" spans="4:77" ht="20.100000000000001" customHeight="1" x14ac:dyDescent="0.25">
      <c r="D134" t="s">
        <v>46</v>
      </c>
      <c r="E134" t="s">
        <v>47</v>
      </c>
    </row>
    <row r="135" spans="4:77" ht="20.100000000000001" customHeight="1" x14ac:dyDescent="0.25">
      <c r="D135" t="s">
        <v>520</v>
      </c>
      <c r="E135">
        <v>1</v>
      </c>
    </row>
    <row r="136" spans="4:77" ht="20.100000000000001" customHeight="1" x14ac:dyDescent="0.25">
      <c r="D136" s="1" t="s">
        <v>521</v>
      </c>
      <c r="E136" s="26">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
        <v>522</v>
      </c>
      <c r="BN139" s="6"/>
      <c r="BO139" s="6"/>
      <c r="BP139" s="6"/>
      <c r="BQ139" s="6"/>
      <c r="BR139" s="6"/>
      <c r="BS139" s="6"/>
      <c r="BT139" s="6"/>
      <c r="BU139" s="6"/>
      <c r="BV139" s="6"/>
      <c r="BW139" s="6"/>
      <c r="BX139" s="6"/>
      <c r="BY139" s="6"/>
    </row>
    <row r="140" spans="4:77" ht="20.100000000000001" customHeight="1" x14ac:dyDescent="0.25">
      <c r="D140" s="4" t="s">
        <v>523</v>
      </c>
      <c r="BN140" s="6"/>
      <c r="BO140" s="6"/>
      <c r="BP140" s="6"/>
      <c r="BQ140" s="6"/>
      <c r="BR140" s="6"/>
      <c r="BS140" s="6"/>
      <c r="BT140" s="6"/>
      <c r="BU140" s="6"/>
      <c r="BV140" s="6"/>
      <c r="BW140" s="6"/>
      <c r="BX140" s="6"/>
      <c r="BY140" s="6"/>
    </row>
    <row r="141" spans="4:77" ht="20.100000000000001" customHeight="1" x14ac:dyDescent="0.25">
      <c r="D141" s="31" t="s">
        <v>524</v>
      </c>
      <c r="BN141" s="6"/>
    </row>
    <row r="142" spans="4:77" ht="20.100000000000001" customHeight="1" x14ac:dyDescent="0.25">
      <c r="D142" s="26" t="s">
        <v>57</v>
      </c>
      <c r="E142" s="26" t="s">
        <v>47</v>
      </c>
      <c r="BN142" s="6"/>
    </row>
    <row r="143" spans="4:77" ht="20.100000000000001" customHeight="1" x14ac:dyDescent="0.25">
      <c r="D143" s="26" t="s">
        <v>525</v>
      </c>
      <c r="E143" s="26">
        <v>0</v>
      </c>
      <c r="BN143" s="6"/>
    </row>
    <row r="144" spans="4:77" ht="20.100000000000001" customHeight="1" x14ac:dyDescent="0.25">
      <c r="D144" s="1" t="s">
        <v>526</v>
      </c>
      <c r="E144" s="26">
        <v>0</v>
      </c>
      <c r="BN144" s="6"/>
    </row>
    <row r="145" spans="4:66" ht="20.100000000000001" customHeight="1" x14ac:dyDescent="0.25">
      <c r="D145" s="1" t="s">
        <v>527</v>
      </c>
      <c r="E145" s="26">
        <v>1</v>
      </c>
      <c r="BN145" s="6"/>
    </row>
    <row r="146" spans="4:66" ht="20.100000000000001" customHeight="1" x14ac:dyDescent="0.25">
      <c r="D146" s="1" t="s">
        <v>528</v>
      </c>
      <c r="E146" s="26">
        <v>1</v>
      </c>
      <c r="BN146" s="6"/>
    </row>
    <row r="147" spans="4:66" ht="20.100000000000001" customHeight="1" x14ac:dyDescent="0.25">
      <c r="D147" s="1" t="s">
        <v>529</v>
      </c>
      <c r="E147" s="26">
        <v>1</v>
      </c>
      <c r="BN147" s="6"/>
    </row>
    <row r="148" spans="4:66" ht="20.100000000000001" customHeight="1" x14ac:dyDescent="0.25">
      <c r="BN148" s="6"/>
    </row>
    <row r="149" spans="4:66" ht="20.100000000000001" customHeight="1" x14ac:dyDescent="0.25">
      <c r="BN149" s="6"/>
    </row>
    <row r="150" spans="4:66" ht="20.100000000000001" customHeight="1" x14ac:dyDescent="0.25">
      <c r="D150" s="5" t="s">
        <v>530</v>
      </c>
      <c r="BN150" s="6"/>
    </row>
    <row r="151" spans="4:66" ht="20.100000000000001" customHeight="1" x14ac:dyDescent="0.25">
      <c r="D151" s="4" t="s">
        <v>531</v>
      </c>
      <c r="BN151" s="6"/>
    </row>
    <row r="152" spans="4:66" ht="20.100000000000001" customHeight="1" x14ac:dyDescent="0.25">
      <c r="BN152" s="6"/>
    </row>
    <row r="153" spans="4:66" ht="20.100000000000001" customHeight="1" x14ac:dyDescent="0.25">
      <c r="D153" s="26" t="s">
        <v>42</v>
      </c>
      <c r="E153" s="26" t="s">
        <v>43</v>
      </c>
      <c r="BC153" s="2"/>
      <c r="BD153" s="2"/>
      <c r="BE153" s="2"/>
      <c r="BF153" s="2"/>
      <c r="BG153" s="2"/>
      <c r="BH153" s="2"/>
      <c r="BI153" s="2"/>
      <c r="BJ153" s="2"/>
      <c r="BK153" s="2"/>
      <c r="BL153" s="2"/>
      <c r="BM153" s="2"/>
    </row>
    <row r="154" spans="4:66" ht="20.100000000000001" customHeight="1" x14ac:dyDescent="0.25">
      <c r="D154" s="26" t="s">
        <v>532</v>
      </c>
      <c r="E154" s="26">
        <v>1</v>
      </c>
      <c r="BC154" s="2"/>
      <c r="BD154" s="2"/>
      <c r="BE154" s="2"/>
      <c r="BF154" s="2"/>
      <c r="BG154" s="2"/>
      <c r="BH154" s="2"/>
      <c r="BI154" s="2"/>
      <c r="BJ154" s="2"/>
      <c r="BK154" s="2"/>
      <c r="BL154" s="2"/>
      <c r="BM154" s="2"/>
    </row>
    <row r="155" spans="4:66" ht="20.100000000000001" customHeight="1" x14ac:dyDescent="0.25">
      <c r="D155" s="26" t="s">
        <v>533</v>
      </c>
      <c r="E155" s="26">
        <v>2</v>
      </c>
      <c r="BC155" s="2"/>
      <c r="BD155" s="2"/>
      <c r="BE155" s="2"/>
      <c r="BF155" s="2"/>
      <c r="BG155" s="2"/>
      <c r="BH155" s="2"/>
      <c r="BI155" s="2"/>
      <c r="BJ155" s="2"/>
      <c r="BK155" s="2"/>
      <c r="BL155" s="2"/>
      <c r="BM155" s="2"/>
    </row>
    <row r="156" spans="4:66" ht="20.100000000000001" customHeight="1" x14ac:dyDescent="0.25">
      <c r="D156" s="26" t="s">
        <v>534</v>
      </c>
      <c r="E156" s="26">
        <v>3</v>
      </c>
    </row>
    <row r="157" spans="4:66" ht="20.100000000000001" customHeight="1" x14ac:dyDescent="0.25">
      <c r="D157" s="26" t="s">
        <v>535</v>
      </c>
      <c r="E157" s="26">
        <v>4</v>
      </c>
    </row>
    <row r="158" spans="4:66" ht="20.100000000000001" customHeight="1" x14ac:dyDescent="0.25">
      <c r="D158" s="26" t="s">
        <v>536</v>
      </c>
      <c r="E158" s="26">
        <v>5</v>
      </c>
    </row>
    <row r="159" spans="4:66" ht="20.100000000000001" customHeight="1" x14ac:dyDescent="0.25"/>
    <row r="160" spans="4:66" ht="20.100000000000001" customHeight="1" x14ac:dyDescent="0.25"/>
    <row r="161" spans="4:68" ht="20.100000000000001" customHeight="1" x14ac:dyDescent="0.25">
      <c r="D161" s="5" t="s">
        <v>518</v>
      </c>
      <c r="E161" s="17"/>
    </row>
    <row r="162" spans="4:68" ht="20.100000000000001" customHeight="1" x14ac:dyDescent="0.25">
      <c r="D162" s="4" t="s">
        <v>519</v>
      </c>
      <c r="E162" s="17"/>
    </row>
    <row r="163" spans="4:68" ht="20.100000000000001" customHeight="1" x14ac:dyDescent="0.25">
      <c r="D163" s="4" t="s">
        <v>537</v>
      </c>
      <c r="E163" s="17"/>
    </row>
    <row r="164" spans="4:68" ht="20.100000000000001" customHeight="1" x14ac:dyDescent="0.25">
      <c r="D164" s="17" t="s">
        <v>538</v>
      </c>
      <c r="E164" s="17"/>
    </row>
    <row r="165" spans="4:68" ht="20.100000000000001" customHeight="1" x14ac:dyDescent="0.25">
      <c r="D165" s="1">
        <v>0.24</v>
      </c>
      <c r="BN165" s="6"/>
      <c r="BO165" s="6"/>
      <c r="BP165" s="6"/>
    </row>
    <row r="166" spans="4:68" ht="20.100000000000001" customHeight="1" x14ac:dyDescent="0.25">
      <c r="BN166" s="6"/>
      <c r="BO166" s="6"/>
      <c r="BP166" s="6"/>
    </row>
    <row r="167" spans="4:68" ht="20.100000000000001" customHeight="1" x14ac:dyDescent="0.25">
      <c r="D167" s="5" t="s">
        <v>539</v>
      </c>
      <c r="BN167" s="6"/>
      <c r="BO167" s="6"/>
      <c r="BP167" s="6"/>
    </row>
    <row r="168" spans="4:68" ht="20.100000000000001" customHeight="1" x14ac:dyDescent="0.25">
      <c r="D168" s="4" t="s">
        <v>519</v>
      </c>
      <c r="BN168" s="6"/>
      <c r="BO168" s="6"/>
      <c r="BP168" s="6"/>
    </row>
    <row r="169" spans="4:68" ht="20.100000000000001" customHeight="1" x14ac:dyDescent="0.25">
      <c r="D169" s="4" t="s">
        <v>540</v>
      </c>
      <c r="BN169" s="6"/>
      <c r="BO169" s="6"/>
      <c r="BP169" s="6"/>
    </row>
    <row r="170" spans="4:68" ht="20.100000000000001" customHeight="1" x14ac:dyDescent="0.25">
      <c r="D170" s="1" t="s">
        <v>541</v>
      </c>
      <c r="BN170" s="6"/>
      <c r="BO170" s="6"/>
      <c r="BP170" s="6"/>
    </row>
    <row r="171" spans="4:68" ht="20.100000000000001" customHeight="1" x14ac:dyDescent="0.25">
      <c r="D171" s="1">
        <v>1.0999999999999999E-2</v>
      </c>
      <c r="BN171" s="6"/>
      <c r="BO171" s="6"/>
      <c r="BP171" s="6"/>
    </row>
    <row r="172" spans="4:68" ht="20.100000000000001" customHeight="1" x14ac:dyDescent="0.25">
      <c r="BN172" s="6"/>
      <c r="BO172" s="6"/>
      <c r="BP172" s="6"/>
    </row>
    <row r="173" spans="4:68" ht="20.100000000000001" customHeight="1" x14ac:dyDescent="0.25">
      <c r="D173" s="5" t="s">
        <v>542</v>
      </c>
      <c r="BN173" s="6"/>
      <c r="BO173" s="6"/>
      <c r="BP173" s="6"/>
    </row>
    <row r="174" spans="4:68" ht="20.100000000000001" customHeight="1" x14ac:dyDescent="0.25">
      <c r="D174" s="4" t="s">
        <v>543</v>
      </c>
      <c r="BN174" s="6"/>
      <c r="BO174" s="6"/>
      <c r="BP174" s="6"/>
    </row>
    <row r="175" spans="4:68" ht="20.100000000000001" customHeight="1" x14ac:dyDescent="0.25">
      <c r="D175" s="1">
        <v>0.6784</v>
      </c>
      <c r="E175" s="30" t="s">
        <v>544</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
        <v>545</v>
      </c>
      <c r="BN178" s="6"/>
      <c r="BO178" s="6"/>
      <c r="BP178" s="6"/>
    </row>
    <row r="179" spans="4:68" ht="20.100000000000001" customHeight="1" x14ac:dyDescent="0.25">
      <c r="D179" s="4" t="s">
        <v>546</v>
      </c>
      <c r="BN179" s="6"/>
      <c r="BO179" s="6"/>
      <c r="BP179" s="6"/>
    </row>
    <row r="180" spans="4:68" ht="20.100000000000001" customHeight="1" x14ac:dyDescent="0.25">
      <c r="D180" s="30" t="s">
        <v>547</v>
      </c>
    </row>
    <row r="181" spans="4:68" ht="20.100000000000001" customHeight="1" x14ac:dyDescent="0.25">
      <c r="D181" s="31" t="s">
        <v>548</v>
      </c>
    </row>
    <row r="182" spans="4:68" ht="20.100000000000001" customHeight="1" x14ac:dyDescent="0.25">
      <c r="D182" s="31" t="s">
        <v>549</v>
      </c>
    </row>
    <row r="183" spans="4:68" ht="20.100000000000001" customHeight="1" x14ac:dyDescent="0.25">
      <c r="D183" s="31" t="s">
        <v>550</v>
      </c>
    </row>
    <row r="184" spans="4:68" ht="20.100000000000001" customHeight="1" x14ac:dyDescent="0.25">
      <c r="D184" s="31" t="s">
        <v>551</v>
      </c>
    </row>
    <row r="185" spans="4:68" ht="20.100000000000001" customHeight="1" x14ac:dyDescent="0.25">
      <c r="D185" s="31" t="s">
        <v>552</v>
      </c>
    </row>
    <row r="186" spans="4:68" ht="20.100000000000001" customHeight="1" x14ac:dyDescent="0.25">
      <c r="D186" s="26" t="s">
        <v>50</v>
      </c>
      <c r="E186" s="26" t="s">
        <v>51</v>
      </c>
      <c r="F186" s="26" t="s">
        <v>52</v>
      </c>
      <c r="G186" s="26" t="s">
        <v>53</v>
      </c>
      <c r="H186" s="26" t="s">
        <v>17</v>
      </c>
    </row>
    <row r="187" spans="4:68" ht="20.100000000000001" customHeight="1" x14ac:dyDescent="0.25">
      <c r="D187" s="26" t="s">
        <v>553</v>
      </c>
      <c r="E187" s="26">
        <v>5.8999999999999999E-3</v>
      </c>
      <c r="F187" s="26" t="s">
        <v>554</v>
      </c>
      <c r="G187" s="26" t="s">
        <v>486</v>
      </c>
      <c r="H187" s="26" t="s">
        <v>486</v>
      </c>
    </row>
    <row r="188" spans="4:68" ht="20.100000000000001" customHeight="1" x14ac:dyDescent="0.25">
      <c r="D188" s="26" t="s">
        <v>555</v>
      </c>
      <c r="E188" s="26">
        <v>7.0000000000000001E-3</v>
      </c>
      <c r="F188" s="26" t="s">
        <v>556</v>
      </c>
      <c r="G188" s="26" t="s">
        <v>486</v>
      </c>
      <c r="H188" s="26" t="s">
        <v>486</v>
      </c>
    </row>
    <row r="189" spans="4:68" ht="20.100000000000001" customHeight="1" x14ac:dyDescent="0.25">
      <c r="D189" s="26" t="s">
        <v>557</v>
      </c>
      <c r="E189" s="26">
        <v>1.8E-3</v>
      </c>
      <c r="F189" s="26" t="s">
        <v>554</v>
      </c>
      <c r="G189" s="26" t="s">
        <v>525</v>
      </c>
      <c r="H189" s="26" t="s">
        <v>511</v>
      </c>
    </row>
    <row r="190" spans="4:68" ht="20.100000000000001" customHeight="1" x14ac:dyDescent="0.25">
      <c r="D190" s="26" t="s">
        <v>557</v>
      </c>
      <c r="E190" s="26">
        <v>1.8E-3</v>
      </c>
      <c r="F190" s="26" t="s">
        <v>554</v>
      </c>
      <c r="G190" s="26" t="s">
        <v>525</v>
      </c>
      <c r="H190" s="26" t="s">
        <v>509</v>
      </c>
    </row>
    <row r="191" spans="4:68" ht="20.100000000000001" customHeight="1" x14ac:dyDescent="0.25">
      <c r="D191" s="26" t="s">
        <v>558</v>
      </c>
      <c r="E191" s="26">
        <v>2.8999999999999998E-3</v>
      </c>
      <c r="F191" s="26" t="s">
        <v>556</v>
      </c>
      <c r="G191" s="26" t="s">
        <v>525</v>
      </c>
      <c r="H191" s="26" t="s">
        <v>511</v>
      </c>
    </row>
    <row r="192" spans="4:68" ht="20.100000000000001" customHeight="1" x14ac:dyDescent="0.25">
      <c r="D192" s="26" t="s">
        <v>559</v>
      </c>
      <c r="E192" s="26">
        <v>8.0000000000000002E-3</v>
      </c>
      <c r="F192" s="26" t="s">
        <v>556</v>
      </c>
      <c r="G192" s="26" t="s">
        <v>525</v>
      </c>
      <c r="H192" s="26" t="s">
        <v>509</v>
      </c>
    </row>
    <row r="193" spans="4:8" ht="20.100000000000001" customHeight="1" x14ac:dyDescent="0.25">
      <c r="D193" s="26" t="s">
        <v>560</v>
      </c>
      <c r="E193" s="26">
        <v>1.9900000000000001E-2</v>
      </c>
      <c r="F193" s="26" t="s">
        <v>560</v>
      </c>
      <c r="G193" s="26" t="s">
        <v>486</v>
      </c>
      <c r="H193" s="26" t="s">
        <v>486</v>
      </c>
    </row>
    <row r="194" spans="4:8" ht="20.100000000000001" customHeight="1" x14ac:dyDescent="0.25">
      <c r="D194" s="26" t="s">
        <v>561</v>
      </c>
      <c r="E194" s="26">
        <v>5.3E-3</v>
      </c>
      <c r="F194" s="26" t="s">
        <v>561</v>
      </c>
      <c r="G194" s="26" t="s">
        <v>486</v>
      </c>
      <c r="H194" s="26" t="s">
        <v>486</v>
      </c>
    </row>
    <row r="195" spans="4:8" ht="20.100000000000001" customHeight="1" x14ac:dyDescent="0.25">
      <c r="D195" s="26" t="s">
        <v>562</v>
      </c>
      <c r="E195" s="26">
        <v>6.4000000000000003E-3</v>
      </c>
      <c r="F195" s="26" t="s">
        <v>562</v>
      </c>
      <c r="G195" s="26" t="s">
        <v>486</v>
      </c>
      <c r="H195" s="26" t="s">
        <v>486</v>
      </c>
    </row>
    <row r="196" spans="4:8" ht="20.100000000000001" customHeight="1" x14ac:dyDescent="0.25">
      <c r="D196" s="26" t="s">
        <v>563</v>
      </c>
      <c r="E196" s="26">
        <v>3.0000000000000001E-3</v>
      </c>
      <c r="F196" s="26" t="s">
        <v>564</v>
      </c>
      <c r="G196" s="26" t="s">
        <v>565</v>
      </c>
      <c r="H196" s="26" t="s">
        <v>486</v>
      </c>
    </row>
    <row r="197" spans="4:8" x14ac:dyDescent="0.25">
      <c r="D197" s="26" t="s">
        <v>566</v>
      </c>
      <c r="E197" s="26">
        <v>5.0000000000000001E-3</v>
      </c>
      <c r="F197" s="26" t="s">
        <v>564</v>
      </c>
      <c r="G197" s="26" t="s">
        <v>567</v>
      </c>
      <c r="H197" s="26" t="s">
        <v>486</v>
      </c>
    </row>
    <row r="198" spans="4:8" x14ac:dyDescent="0.25">
      <c r="D198" s="26" t="s">
        <v>568</v>
      </c>
      <c r="E198" s="26">
        <v>2.5999999999999999E-3</v>
      </c>
      <c r="F198" s="26" t="s">
        <v>568</v>
      </c>
      <c r="G198" s="26" t="s">
        <v>486</v>
      </c>
      <c r="H198" s="26" t="s">
        <v>486</v>
      </c>
    </row>
    <row r="199" spans="4:8" x14ac:dyDescent="0.25">
      <c r="D199" s="26" t="s">
        <v>569</v>
      </c>
      <c r="E199" s="26">
        <v>1.8E-3</v>
      </c>
      <c r="F199" s="26" t="s">
        <v>569</v>
      </c>
      <c r="G199" s="26" t="s">
        <v>486</v>
      </c>
      <c r="H199" s="26" t="s">
        <v>486</v>
      </c>
    </row>
    <row r="202" spans="4:8" ht="23.25" x14ac:dyDescent="0.25">
      <c r="D202" s="5" t="s">
        <v>570</v>
      </c>
    </row>
    <row r="203" spans="4:8" x14ac:dyDescent="0.25">
      <c r="D203" s="4" t="s">
        <v>571</v>
      </c>
    </row>
    <row r="204" spans="4:8" x14ac:dyDescent="0.25">
      <c r="D204" s="31" t="s">
        <v>572</v>
      </c>
    </row>
    <row r="205" spans="4:8" x14ac:dyDescent="0.25">
      <c r="D205" s="30" t="s">
        <v>573</v>
      </c>
    </row>
    <row r="206" spans="4:8" x14ac:dyDescent="0.25">
      <c r="D206" s="26" t="s">
        <v>4</v>
      </c>
      <c r="E206" s="26" t="s">
        <v>59</v>
      </c>
    </row>
    <row r="207" spans="4:8" x14ac:dyDescent="0.25">
      <c r="D207" s="26" t="s">
        <v>468</v>
      </c>
      <c r="E207" s="26">
        <v>6.0000000000000001E-3</v>
      </c>
    </row>
    <row r="208" spans="4:8" x14ac:dyDescent="0.25">
      <c r="D208" s="1" t="s">
        <v>472</v>
      </c>
      <c r="E208" s="26">
        <v>2E-3</v>
      </c>
    </row>
    <row r="211" spans="4:5" x14ac:dyDescent="0.25">
      <c r="D211" s="1" t="s">
        <v>574</v>
      </c>
    </row>
    <row r="212" spans="4:5" x14ac:dyDescent="0.25">
      <c r="D212" s="26" t="s">
        <v>56</v>
      </c>
      <c r="E212" s="26" t="s">
        <v>62</v>
      </c>
    </row>
    <row r="213" spans="4:5" x14ac:dyDescent="0.25">
      <c r="D213" s="26" t="s">
        <v>575</v>
      </c>
      <c r="E213" s="26" t="s">
        <v>576</v>
      </c>
    </row>
    <row r="214" spans="4:5" x14ac:dyDescent="0.25">
      <c r="D214" s="1" t="s">
        <v>577</v>
      </c>
      <c r="E214" s="26" t="s">
        <v>576</v>
      </c>
    </row>
    <row r="215" spans="4:5" x14ac:dyDescent="0.25">
      <c r="D215" s="1" t="s">
        <v>578</v>
      </c>
      <c r="E215" s="26" t="s">
        <v>579</v>
      </c>
    </row>
    <row r="216" spans="4:5" x14ac:dyDescent="0.25">
      <c r="D216" s="1" t="s">
        <v>580</v>
      </c>
      <c r="E216" s="26" t="s">
        <v>579</v>
      </c>
    </row>
    <row r="217" spans="4:5" x14ac:dyDescent="0.25">
      <c r="D217" s="1" t="s">
        <v>581</v>
      </c>
      <c r="E217" s="26" t="s">
        <v>579</v>
      </c>
    </row>
    <row r="218" spans="4:5" x14ac:dyDescent="0.25">
      <c r="D218" s="1" t="s">
        <v>582</v>
      </c>
      <c r="E218" s="26" t="s">
        <v>583</v>
      </c>
    </row>
    <row r="219" spans="4:5" x14ac:dyDescent="0.25">
      <c r="D219" s="1" t="s">
        <v>584</v>
      </c>
      <c r="E219" s="26" t="s">
        <v>583</v>
      </c>
    </row>
    <row r="220" spans="4:5" x14ac:dyDescent="0.25">
      <c r="D220" s="1" t="s">
        <v>585</v>
      </c>
      <c r="E220" s="26" t="s">
        <v>583</v>
      </c>
    </row>
    <row r="221" spans="4:5" x14ac:dyDescent="0.25">
      <c r="D221" s="1" t="s">
        <v>586</v>
      </c>
      <c r="E221" s="26" t="s">
        <v>587</v>
      </c>
    </row>
    <row r="222" spans="4:5" x14ac:dyDescent="0.25">
      <c r="D222" s="1" t="s">
        <v>588</v>
      </c>
      <c r="E222" s="26" t="s">
        <v>587</v>
      </c>
    </row>
    <row r="223" spans="4:5" x14ac:dyDescent="0.25">
      <c r="D223" s="1" t="s">
        <v>589</v>
      </c>
      <c r="E223" s="26" t="s">
        <v>587</v>
      </c>
    </row>
    <row r="224" spans="4:5" x14ac:dyDescent="0.25">
      <c r="D224" s="1" t="s">
        <v>590</v>
      </c>
      <c r="E224" s="26" t="s">
        <v>576</v>
      </c>
    </row>
    <row r="227" spans="4:19" ht="23.25" x14ac:dyDescent="0.25">
      <c r="D227" s="5" t="s">
        <v>591</v>
      </c>
    </row>
    <row r="228" spans="4:19" x14ac:dyDescent="0.25">
      <c r="D228" s="4" t="s">
        <v>592</v>
      </c>
    </row>
    <row r="229" spans="4:19" x14ac:dyDescent="0.25">
      <c r="D229" s="31" t="s">
        <v>593</v>
      </c>
    </row>
    <row r="231" spans="4:19" x14ac:dyDescent="0.25">
      <c r="D231" s="26" t="s">
        <v>34</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
        <v>506</v>
      </c>
      <c r="E232" s="26" t="s">
        <v>594</v>
      </c>
      <c r="F232" s="26">
        <v>0.66</v>
      </c>
      <c r="G232" s="26">
        <v>0.1</v>
      </c>
      <c r="H232" s="26">
        <v>0.1</v>
      </c>
      <c r="I232" s="26">
        <v>1E-3</v>
      </c>
      <c r="J232" s="26">
        <v>5.0000000000000001E-3</v>
      </c>
      <c r="K232" s="26">
        <v>0.02</v>
      </c>
      <c r="L232" s="26">
        <v>0.03</v>
      </c>
      <c r="M232" s="26">
        <v>0.04</v>
      </c>
      <c r="N232" s="26">
        <v>1.4999999999999999E-2</v>
      </c>
      <c r="O232" s="26">
        <v>1.4999999999999999E-2</v>
      </c>
      <c r="P232" s="26">
        <v>0</v>
      </c>
      <c r="Q232" s="26">
        <v>0</v>
      </c>
      <c r="R232" s="26">
        <v>4.7000000000000002E-3</v>
      </c>
      <c r="S232" s="26">
        <v>10</v>
      </c>
    </row>
    <row r="233" spans="4:19" x14ac:dyDescent="0.25">
      <c r="D233" s="1" t="s">
        <v>506</v>
      </c>
      <c r="E233" s="26">
        <v>11</v>
      </c>
      <c r="F233" s="26">
        <v>0.68</v>
      </c>
      <c r="G233" s="26">
        <v>0.1</v>
      </c>
      <c r="H233" s="26">
        <v>0.11</v>
      </c>
      <c r="I233" s="26">
        <v>1E-3</v>
      </c>
      <c r="J233" s="26">
        <v>5.0000000000000001E-3</v>
      </c>
      <c r="K233" s="26">
        <v>0.02</v>
      </c>
      <c r="L233" s="26">
        <v>0.03</v>
      </c>
      <c r="M233" s="26">
        <v>0.04</v>
      </c>
      <c r="N233" s="26">
        <v>1.4999999999999999E-2</v>
      </c>
      <c r="O233" s="26">
        <v>1.4999999999999999E-2</v>
      </c>
      <c r="P233" s="26">
        <v>0</v>
      </c>
      <c r="Q233" s="26">
        <v>0</v>
      </c>
      <c r="R233" s="26">
        <v>4.7000000000000002E-3</v>
      </c>
      <c r="S233" s="26">
        <v>11</v>
      </c>
    </row>
    <row r="234" spans="4:19" x14ac:dyDescent="0.25">
      <c r="D234" s="1" t="s">
        <v>506</v>
      </c>
      <c r="E234" s="26">
        <v>12</v>
      </c>
      <c r="F234" s="26">
        <v>0.7</v>
      </c>
      <c r="G234" s="26">
        <v>0.1</v>
      </c>
      <c r="H234" s="26">
        <v>0.13</v>
      </c>
      <c r="I234" s="26">
        <v>1E-3</v>
      </c>
      <c r="J234" s="26">
        <v>5.0000000000000001E-3</v>
      </c>
      <c r="K234" s="26">
        <v>0.02</v>
      </c>
      <c r="L234" s="26">
        <v>0.03</v>
      </c>
      <c r="M234" s="26">
        <v>0.04</v>
      </c>
      <c r="N234" s="26">
        <v>1.4999999999999999E-2</v>
      </c>
      <c r="O234" s="26">
        <v>1.4999999999999999E-2</v>
      </c>
      <c r="P234" s="26">
        <v>0</v>
      </c>
      <c r="Q234" s="26">
        <v>0</v>
      </c>
      <c r="R234" s="26">
        <v>4.7000000000000002E-3</v>
      </c>
      <c r="S234" s="26">
        <v>12</v>
      </c>
    </row>
    <row r="235" spans="4:19" x14ac:dyDescent="0.25">
      <c r="D235" s="1" t="s">
        <v>506</v>
      </c>
      <c r="E235" s="26">
        <v>13</v>
      </c>
      <c r="F235" s="26">
        <v>0.71</v>
      </c>
      <c r="G235" s="26">
        <v>0.1</v>
      </c>
      <c r="H235" s="26">
        <v>0.14000000000000001</v>
      </c>
      <c r="I235" s="26">
        <v>1E-3</v>
      </c>
      <c r="J235" s="26">
        <v>5.0000000000000001E-3</v>
      </c>
      <c r="K235" s="26">
        <v>0.02</v>
      </c>
      <c r="L235" s="26">
        <v>0.03</v>
      </c>
      <c r="M235" s="26">
        <v>0.04</v>
      </c>
      <c r="N235" s="26">
        <v>1.4999999999999999E-2</v>
      </c>
      <c r="O235" s="26">
        <v>1.4999999999999999E-2</v>
      </c>
      <c r="P235" s="26">
        <v>0</v>
      </c>
      <c r="Q235" s="26">
        <v>0</v>
      </c>
      <c r="R235" s="26">
        <v>4.7000000000000002E-3</v>
      </c>
      <c r="S235" s="26">
        <v>13</v>
      </c>
    </row>
    <row r="236" spans="4:19" x14ac:dyDescent="0.25">
      <c r="D236" s="1" t="s">
        <v>506</v>
      </c>
      <c r="E236" s="26">
        <v>14</v>
      </c>
      <c r="F236" s="26">
        <v>0.73</v>
      </c>
      <c r="G236" s="26">
        <v>0.1</v>
      </c>
      <c r="H236" s="26">
        <v>0.15</v>
      </c>
      <c r="I236" s="26">
        <v>1E-3</v>
      </c>
      <c r="J236" s="26">
        <v>5.0000000000000001E-3</v>
      </c>
      <c r="K236" s="26">
        <v>0.02</v>
      </c>
      <c r="L236" s="26">
        <v>0.03</v>
      </c>
      <c r="M236" s="26">
        <v>0.04</v>
      </c>
      <c r="N236" s="26">
        <v>1.4999999999999999E-2</v>
      </c>
      <c r="O236" s="26">
        <v>1.4999999999999999E-2</v>
      </c>
      <c r="P236" s="26">
        <v>0</v>
      </c>
      <c r="Q236" s="26">
        <v>0</v>
      </c>
      <c r="R236" s="26">
        <v>4.7000000000000002E-3</v>
      </c>
      <c r="S236" s="26">
        <v>14</v>
      </c>
    </row>
    <row r="237" spans="4:19" x14ac:dyDescent="0.25">
      <c r="D237" s="1" t="s">
        <v>504</v>
      </c>
      <c r="E237" s="26">
        <v>15</v>
      </c>
      <c r="F237" s="26">
        <v>0.74</v>
      </c>
      <c r="G237" s="26">
        <v>0.1</v>
      </c>
      <c r="H237" s="26">
        <v>0.17</v>
      </c>
      <c r="I237" s="26">
        <v>5.0000000000000001E-3</v>
      </c>
      <c r="J237" s="26">
        <v>0.01</v>
      </c>
      <c r="K237" s="26">
        <v>0.02</v>
      </c>
      <c r="L237" s="26">
        <v>0.03</v>
      </c>
      <c r="M237" s="26">
        <v>0.04</v>
      </c>
      <c r="N237" s="26">
        <v>1.4999999999999999E-2</v>
      </c>
      <c r="O237" s="26">
        <v>1.4999999999999999E-2</v>
      </c>
      <c r="P237" s="26">
        <v>0</v>
      </c>
      <c r="Q237" s="26">
        <v>0</v>
      </c>
      <c r="R237" s="26">
        <v>4.7000000000000002E-3</v>
      </c>
      <c r="S237" s="26">
        <v>15</v>
      </c>
    </row>
    <row r="238" spans="4:19" x14ac:dyDescent="0.25">
      <c r="D238" s="1" t="s">
        <v>504</v>
      </c>
      <c r="E238" s="26">
        <v>16</v>
      </c>
      <c r="F238" s="26">
        <v>0.75</v>
      </c>
      <c r="G238" s="26">
        <v>0.1</v>
      </c>
      <c r="H238" s="26">
        <v>0.18</v>
      </c>
      <c r="I238" s="26">
        <v>5.0000000000000001E-3</v>
      </c>
      <c r="J238" s="26">
        <v>0.01</v>
      </c>
      <c r="K238" s="26">
        <v>0.02</v>
      </c>
      <c r="L238" s="26">
        <v>0.03</v>
      </c>
      <c r="M238" s="26">
        <v>0.04</v>
      </c>
      <c r="N238" s="26">
        <v>1.4999999999999999E-2</v>
      </c>
      <c r="O238" s="26">
        <v>1.4999999999999999E-2</v>
      </c>
      <c r="P238" s="26">
        <v>0</v>
      </c>
      <c r="Q238" s="26">
        <v>0</v>
      </c>
      <c r="R238" s="26">
        <v>4.7000000000000002E-3</v>
      </c>
      <c r="S238" s="26">
        <v>16</v>
      </c>
    </row>
    <row r="239" spans="4:19" x14ac:dyDescent="0.25">
      <c r="D239" s="1" t="s">
        <v>504</v>
      </c>
      <c r="E239" s="26">
        <v>17</v>
      </c>
      <c r="F239" s="26">
        <v>0.76</v>
      </c>
      <c r="G239" s="26">
        <v>0.1</v>
      </c>
      <c r="H239" s="26">
        <v>0.2</v>
      </c>
      <c r="I239" s="26">
        <v>5.0000000000000001E-3</v>
      </c>
      <c r="J239" s="26">
        <v>0.01</v>
      </c>
      <c r="K239" s="26">
        <v>0.02</v>
      </c>
      <c r="L239" s="26">
        <v>0.03</v>
      </c>
      <c r="M239" s="26">
        <v>0.04</v>
      </c>
      <c r="N239" s="26">
        <v>1.4999999999999999E-2</v>
      </c>
      <c r="O239" s="26">
        <v>1.4999999999999999E-2</v>
      </c>
      <c r="P239" s="26">
        <v>0</v>
      </c>
      <c r="Q239" s="26">
        <v>0</v>
      </c>
      <c r="R239" s="26">
        <v>4.7000000000000002E-3</v>
      </c>
      <c r="S239" s="26">
        <v>17</v>
      </c>
    </row>
    <row r="240" spans="4:19" x14ac:dyDescent="0.25">
      <c r="D240" s="1" t="s">
        <v>504</v>
      </c>
      <c r="E240" s="26">
        <v>18</v>
      </c>
      <c r="F240" s="26">
        <v>0.77</v>
      </c>
      <c r="G240" s="26">
        <v>0.1</v>
      </c>
      <c r="H240" s="26">
        <v>0.22</v>
      </c>
      <c r="I240" s="26">
        <v>5.0000000000000001E-3</v>
      </c>
      <c r="J240" s="26">
        <v>0.01</v>
      </c>
      <c r="K240" s="26">
        <v>0.02</v>
      </c>
      <c r="L240" s="26">
        <v>0.03</v>
      </c>
      <c r="M240" s="26">
        <v>0.04</v>
      </c>
      <c r="N240" s="26">
        <v>1.4999999999999999E-2</v>
      </c>
      <c r="O240" s="26">
        <v>1.4999999999999999E-2</v>
      </c>
      <c r="P240" s="26">
        <v>0</v>
      </c>
      <c r="Q240" s="26">
        <v>0</v>
      </c>
      <c r="R240" s="26">
        <v>4.7000000000000002E-3</v>
      </c>
      <c r="S240" s="26">
        <v>18</v>
      </c>
    </row>
    <row r="241" spans="4:19" x14ac:dyDescent="0.25">
      <c r="D241" s="1" t="s">
        <v>504</v>
      </c>
      <c r="E241" s="26">
        <v>19</v>
      </c>
      <c r="F241" s="26">
        <v>0.77</v>
      </c>
      <c r="G241" s="26">
        <v>0.1</v>
      </c>
      <c r="H241" s="26">
        <v>0.24</v>
      </c>
      <c r="I241" s="26">
        <v>5.0000000000000001E-3</v>
      </c>
      <c r="J241" s="26">
        <v>0.01</v>
      </c>
      <c r="K241" s="26">
        <v>0.02</v>
      </c>
      <c r="L241" s="26">
        <v>0.03</v>
      </c>
      <c r="M241" s="26">
        <v>0.04</v>
      </c>
      <c r="N241" s="26">
        <v>1.4999999999999999E-2</v>
      </c>
      <c r="O241" s="26">
        <v>1.4999999999999999E-2</v>
      </c>
      <c r="P241" s="26">
        <v>0</v>
      </c>
      <c r="Q241" s="26">
        <v>0</v>
      </c>
      <c r="R241" s="26">
        <v>4.7000000000000002E-3</v>
      </c>
      <c r="S241" s="26">
        <v>19</v>
      </c>
    </row>
    <row r="242" spans="4:19" x14ac:dyDescent="0.25">
      <c r="D242" s="1" t="s">
        <v>504</v>
      </c>
      <c r="E242" s="26">
        <v>20</v>
      </c>
      <c r="F242" s="26">
        <v>0.78</v>
      </c>
      <c r="G242" s="26">
        <v>0.1</v>
      </c>
      <c r="H242" s="26">
        <v>0.26</v>
      </c>
      <c r="I242" s="26">
        <v>5.0000000000000001E-3</v>
      </c>
      <c r="J242" s="26">
        <v>0.01</v>
      </c>
      <c r="K242" s="26">
        <v>0.02</v>
      </c>
      <c r="L242" s="26">
        <v>0.03</v>
      </c>
      <c r="M242" s="26">
        <v>0.04</v>
      </c>
      <c r="N242" s="26">
        <v>1.4999999999999999E-2</v>
      </c>
      <c r="O242" s="26">
        <v>1.4999999999999999E-2</v>
      </c>
      <c r="P242" s="26">
        <v>0</v>
      </c>
      <c r="Q242" s="26">
        <v>0</v>
      </c>
      <c r="R242" s="26">
        <v>4.7000000000000002E-3</v>
      </c>
      <c r="S242" s="26">
        <v>20</v>
      </c>
    </row>
    <row r="243" spans="4:19" x14ac:dyDescent="0.25">
      <c r="D243" s="1" t="s">
        <v>504</v>
      </c>
      <c r="E243" s="26">
        <v>21</v>
      </c>
      <c r="F243" s="26">
        <v>0.78</v>
      </c>
      <c r="G243" s="26">
        <v>0.1</v>
      </c>
      <c r="H243" s="26">
        <v>0.28999999999999998</v>
      </c>
      <c r="I243" s="26">
        <v>5.0000000000000001E-3</v>
      </c>
      <c r="J243" s="26">
        <v>0.01</v>
      </c>
      <c r="K243" s="26">
        <v>0.02</v>
      </c>
      <c r="L243" s="26">
        <v>0.03</v>
      </c>
      <c r="M243" s="26">
        <v>0.04</v>
      </c>
      <c r="N243" s="26">
        <v>1.4999999999999999E-2</v>
      </c>
      <c r="O243" s="26">
        <v>1.4999999999999999E-2</v>
      </c>
      <c r="P243" s="26">
        <v>0</v>
      </c>
      <c r="Q243" s="26">
        <v>0</v>
      </c>
      <c r="R243" s="26">
        <v>4.7000000000000002E-3</v>
      </c>
      <c r="S243" s="26">
        <v>21</v>
      </c>
    </row>
    <row r="244" spans="4:19" x14ac:dyDescent="0.25">
      <c r="D244" s="1" t="s">
        <v>504</v>
      </c>
      <c r="E244" s="26">
        <v>22</v>
      </c>
      <c r="F244" s="26">
        <v>0.78</v>
      </c>
      <c r="G244" s="26">
        <v>0.1</v>
      </c>
      <c r="H244" s="26">
        <v>0.31</v>
      </c>
      <c r="I244" s="26">
        <v>5.0000000000000001E-3</v>
      </c>
      <c r="J244" s="26">
        <v>0.01</v>
      </c>
      <c r="K244" s="26">
        <v>0.02</v>
      </c>
      <c r="L244" s="26">
        <v>0.03</v>
      </c>
      <c r="M244" s="26">
        <v>0.04</v>
      </c>
      <c r="N244" s="26">
        <v>1.4999999999999999E-2</v>
      </c>
      <c r="O244" s="26">
        <v>1.4999999999999999E-2</v>
      </c>
      <c r="P244" s="26">
        <v>0</v>
      </c>
      <c r="Q244" s="26">
        <v>0</v>
      </c>
      <c r="R244" s="26">
        <v>4.7000000000000002E-3</v>
      </c>
      <c r="S244" s="26">
        <v>22</v>
      </c>
    </row>
    <row r="245" spans="4:19" x14ac:dyDescent="0.25">
      <c r="D245" s="1" t="s">
        <v>504</v>
      </c>
      <c r="E245" s="26">
        <v>23</v>
      </c>
      <c r="F245" s="26">
        <v>0.79</v>
      </c>
      <c r="G245" s="26">
        <v>0.1</v>
      </c>
      <c r="H245" s="26">
        <v>0.34</v>
      </c>
      <c r="I245" s="26">
        <v>5.0000000000000001E-3</v>
      </c>
      <c r="J245" s="26">
        <v>0.01</v>
      </c>
      <c r="K245" s="26">
        <v>0.02</v>
      </c>
      <c r="L245" s="26">
        <v>0.03</v>
      </c>
      <c r="M245" s="26">
        <v>0.04</v>
      </c>
      <c r="N245" s="26">
        <v>1.4999999999999999E-2</v>
      </c>
      <c r="O245" s="26">
        <v>1.4999999999999999E-2</v>
      </c>
      <c r="P245" s="26">
        <v>0</v>
      </c>
      <c r="Q245" s="26">
        <v>0</v>
      </c>
      <c r="R245" s="26">
        <v>4.7000000000000002E-3</v>
      </c>
      <c r="S245" s="26">
        <v>23</v>
      </c>
    </row>
    <row r="246" spans="4:19" x14ac:dyDescent="0.25">
      <c r="D246" s="1" t="s">
        <v>504</v>
      </c>
      <c r="E246" s="26">
        <v>24</v>
      </c>
      <c r="F246" s="26">
        <v>0.79</v>
      </c>
      <c r="G246" s="26">
        <v>0.1</v>
      </c>
      <c r="H246" s="26">
        <v>0.37</v>
      </c>
      <c r="I246" s="26">
        <v>5.0000000000000001E-3</v>
      </c>
      <c r="J246" s="26">
        <v>0.01</v>
      </c>
      <c r="K246" s="26">
        <v>0.02</v>
      </c>
      <c r="L246" s="26">
        <v>0.03</v>
      </c>
      <c r="M246" s="26">
        <v>0.04</v>
      </c>
      <c r="N246" s="26">
        <v>1.4999999999999999E-2</v>
      </c>
      <c r="O246" s="26">
        <v>1.4999999999999999E-2</v>
      </c>
      <c r="P246" s="26">
        <v>0</v>
      </c>
      <c r="Q246" s="26">
        <v>0</v>
      </c>
      <c r="R246" s="26">
        <v>4.7000000000000002E-3</v>
      </c>
      <c r="S246" s="26">
        <v>24</v>
      </c>
    </row>
    <row r="247" spans="4:19" x14ac:dyDescent="0.25">
      <c r="D247" s="1" t="s">
        <v>504</v>
      </c>
      <c r="E247" s="26">
        <v>25</v>
      </c>
      <c r="F247" s="26">
        <v>0.79</v>
      </c>
      <c r="G247" s="26">
        <v>0.1</v>
      </c>
      <c r="H247" s="26">
        <v>0.41</v>
      </c>
      <c r="I247" s="26">
        <v>5.0000000000000001E-3</v>
      </c>
      <c r="J247" s="26">
        <v>0.01</v>
      </c>
      <c r="K247" s="26">
        <v>0.02</v>
      </c>
      <c r="L247" s="26">
        <v>0.03</v>
      </c>
      <c r="M247" s="26">
        <v>0.04</v>
      </c>
      <c r="N247" s="26">
        <v>1.4999999999999999E-2</v>
      </c>
      <c r="O247" s="26">
        <v>1.4999999999999999E-2</v>
      </c>
      <c r="P247" s="26">
        <v>0</v>
      </c>
      <c r="Q247" s="26">
        <v>0</v>
      </c>
      <c r="R247" s="26">
        <v>4.7000000000000002E-3</v>
      </c>
      <c r="S247" s="26">
        <v>25</v>
      </c>
    </row>
    <row r="248" spans="4:19" x14ac:dyDescent="0.25">
      <c r="D248" s="1" t="s">
        <v>502</v>
      </c>
      <c r="E248" s="26">
        <v>26</v>
      </c>
      <c r="F248" s="26">
        <v>0.79</v>
      </c>
      <c r="G248" s="26">
        <v>0.1</v>
      </c>
      <c r="H248" s="26">
        <v>0.44</v>
      </c>
      <c r="I248" s="26">
        <v>0.01</v>
      </c>
      <c r="J248" s="26">
        <v>1.4999999999999999E-2</v>
      </c>
      <c r="K248" s="26">
        <v>0.02</v>
      </c>
      <c r="L248" s="26">
        <v>0.03</v>
      </c>
      <c r="M248" s="26">
        <v>0.04</v>
      </c>
      <c r="N248" s="26">
        <v>1.4999999999999999E-2</v>
      </c>
      <c r="O248" s="26">
        <v>1.4999999999999999E-2</v>
      </c>
      <c r="P248" s="26">
        <v>0</v>
      </c>
      <c r="Q248" s="26">
        <v>0</v>
      </c>
      <c r="R248" s="26">
        <v>4.7000000000000002E-3</v>
      </c>
      <c r="S248" s="26">
        <v>26</v>
      </c>
    </row>
    <row r="249" spans="4:19" x14ac:dyDescent="0.25">
      <c r="D249" s="1" t="s">
        <v>502</v>
      </c>
      <c r="E249" s="26">
        <v>27</v>
      </c>
      <c r="F249" s="26">
        <v>0.8</v>
      </c>
      <c r="G249" s="26">
        <v>0.1</v>
      </c>
      <c r="H249" s="26">
        <v>0.48</v>
      </c>
      <c r="I249" s="26">
        <v>0.01</v>
      </c>
      <c r="J249" s="26">
        <v>1.4999999999999999E-2</v>
      </c>
      <c r="K249" s="26">
        <v>0.02</v>
      </c>
      <c r="L249" s="26">
        <v>0.03</v>
      </c>
      <c r="M249" s="26">
        <v>0.04</v>
      </c>
      <c r="N249" s="26">
        <v>1.4999999999999999E-2</v>
      </c>
      <c r="O249" s="26">
        <v>1.4999999999999999E-2</v>
      </c>
      <c r="P249" s="26">
        <v>0</v>
      </c>
      <c r="Q249" s="26">
        <v>0</v>
      </c>
      <c r="R249" s="26">
        <v>4.7000000000000002E-3</v>
      </c>
      <c r="S249" s="26">
        <v>27</v>
      </c>
    </row>
    <row r="250" spans="4:19" x14ac:dyDescent="0.25">
      <c r="D250" s="1" t="s">
        <v>502</v>
      </c>
      <c r="E250" s="26" t="s">
        <v>595</v>
      </c>
      <c r="F250" s="26">
        <v>0.8</v>
      </c>
      <c r="G250" s="26">
        <v>0.1</v>
      </c>
      <c r="H250" s="26">
        <v>0.5</v>
      </c>
      <c r="I250" s="26">
        <v>0.01</v>
      </c>
      <c r="J250" s="26">
        <v>1.4999999999999999E-2</v>
      </c>
      <c r="K250" s="26">
        <v>0.02</v>
      </c>
      <c r="L250" s="26">
        <v>0.03</v>
      </c>
      <c r="M250" s="26">
        <v>0.04</v>
      </c>
      <c r="N250" s="26">
        <v>1.4999999999999999E-2</v>
      </c>
      <c r="O250" s="26">
        <v>1.4999999999999999E-2</v>
      </c>
      <c r="P250" s="26">
        <v>0</v>
      </c>
      <c r="Q250" s="26">
        <v>0</v>
      </c>
      <c r="R250" s="26">
        <v>4.7000000000000002E-3</v>
      </c>
      <c r="S250" s="26">
        <v>28</v>
      </c>
    </row>
    <row r="253" spans="4:19" ht="23.25" x14ac:dyDescent="0.25">
      <c r="D253" s="5" t="s">
        <v>596</v>
      </c>
    </row>
    <row r="254" spans="4:19" x14ac:dyDescent="0.25">
      <c r="D254" s="4" t="s">
        <v>597</v>
      </c>
    </row>
    <row r="255" spans="4:19" x14ac:dyDescent="0.25">
      <c r="D255" s="1" t="s">
        <v>79</v>
      </c>
    </row>
    <row r="256" spans="4:19" x14ac:dyDescent="0.25">
      <c r="D256" s="30" t="s">
        <v>573</v>
      </c>
    </row>
    <row r="257" spans="4:5" x14ac:dyDescent="0.25">
      <c r="D257" s="26" t="s">
        <v>78</v>
      </c>
      <c r="E257" s="26" t="s">
        <v>79</v>
      </c>
    </row>
    <row r="258" spans="4:5" x14ac:dyDescent="0.25">
      <c r="D258" s="26" t="s">
        <v>468</v>
      </c>
      <c r="E258" s="26">
        <v>6.0000000000000001E-3</v>
      </c>
    </row>
    <row r="259" spans="4:5" x14ac:dyDescent="0.25">
      <c r="D259" s="1" t="s">
        <v>472</v>
      </c>
      <c r="E259" s="26">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UgBlAGYAcgBpAGcAZQByAGEAbgB0AHMAXwBFAHEAdQBhAHQAaQBvAG4AcwAiACwAIgB0AGUAeAB0ACIAOgAiAC8AKgBcAG4APQA9AD0APQA9AD0APQA9AD0APQA9AD0APQA9AD0APQA9AD0APQA9AD0APQA9AD0APQA9AD0APQA9AD0APQA9AD0APQA9AD0APQA9AFwAbgA5ADoAIABSAGUAZgByAGkAZwBlAHIAYQBuAHQAIABVAHMAZQBcAG4APQA9AD0APQA9AD0APQA9AD0APQA9AD0APQA9AD0APQA9AD0APQA9AD0APQA9AD0APQA9AD0APQA9AD0APQA9AD0APQA9AD0APQA9AFwAbgA5AC4AMQAgAFIAZQBmAHIAaQBnAGUAcgBhAG4AdAAgAFUAcwBlAFwAbgA9AD0APQA9AD0APQA9AD0APQA9AD0APQA9AD0APQA9AD0APQA9AD0APQA9AD0APQA9AD0APQA9AD0APQA9AD0APQA9AD0APQA9AD0AXABuACoALwBcAG4AXABuAC8AKgAgAFwAbgAtAC0ALQAtAC0ALQAtAC0ALQAtAC0ALQAtAC0ALQAtAC0ALQAtAC0ALQAtAC0ALQAtAC0ALQAtAC0ALQAtAC0ALQAtAC0ALQAtAC0AXABuAFYARQBFAFIARwBfADkAXwAxAF8AMQBfAF8AMQBfAFIAZQBmAHIAaQBnAGUAcgBhAG4AdABMAGUAYQBrAGkAbgBnAFwAbgBUAGgAZQAgAHQAbwB0AGEAbAAgAGUAbQBpAHMAcwBpAG8AbgBzACAAbwBmACAAcgBlAGYAcgBpAGcAZQByAGEAbgB0ACAAbABlAGEAawBpAG4AZwAgAGQAdQByAGkAbgBnACAAbwBwAGUAcgBhAHQAaQBvAG4AIAAoAG4AbwB0ACAAZAB1AHIAaQBuAGcAIABpAG4AcwB0AGEAbABsAGEAdABpAG8AbgAgAG8AcgAgAGQAaQBzAHAAbwBzAGEAbAApAFwAbgBHAFcAUABSACAAOgAgAEcAbABvAGIAYQBsACAAdwBhAHIAbQBpAG4AZwAgAHAAbwB0AGUAbgB0AGkAYQBsACAAbwBmACAAcgBlAGYAcgBpAGcAZQByAGEAbgB0ACAAUgAgADoAIABEAGkAbQBlAG4AcwBpAG8AbgBsAGUAcwBzAFwAbgBjAGgAYQByAGcAZQBfAFIAYQAgADoAIABBAG0AbwB1AG4AdAAgAG8AZgAgAHIAZQBmAHIAaQBnAGUAcgBhAG4AdAAgAFIAIABjAG8AbgB0AGEAaQBuAGUAZAAgAGkAbgAgAGEAcABwAGwAaQBhAG4AYwBlACAAYQAgADoAIABrAGcAXABuAGwAZQBhAGsAYQBnAGUAcgBhAHQAZQBfAGEAIAA6ACAAUAByAGMAZQBuAHQAYQBnAGUAIABvAGYAIAB0AG8AdABhAGwAIABjAGgAYQByAGcAZQAgAGwAZQBhAGsAZQBkACAAZgByAG8AbQAgAGEAcABwAGwAaQBhAG4AYwBlACAAYQAgAGUAYQBjAGgAIAB5AGUAYQByACAAOgAgAFAAZQByAGMAZQBuAHQAXABuAC0ALQAtAC0ALQAtAC0ALQAtAC0ALQAtAC0ALQAtAC0ALQAtAC0ALQAtAC0ALQAtAC0ALQAtAC0ALQAtAC0ALQAtAC0ALQAtAC0ALQBcAG4AKgAvAFwAbgBcAG4AXABuAFYARQBFAFIARwBfADkAXwAxAF8AMQBfAF8AMQBfAFIAZQBmAHIAaQBnAGUAcgBhAG4AdABMAGUAYQBrAGkAbgBnAFwAbgAgACAAPQBMAEEATQBCAEQAQQAoAFwAbgAgACAAIAAgAGMAaABhAHIAZwBlAF8AUgBhACwAIABsAGUAYQBrAGEAZwBlAHIAYQB0AGUAXwBhACwAXABuACAAIAAgACAAKABjAGgAYQByAGcAZQBfAFIAYQAgACoAIAAoAGwAZQBhAGsAYQBnAGUAcgBhAHQAZQBfAGEALwAxADAAMAApACkAIAAqACAAMQAwACAAXgAgAC0AIAAzAFwAbgAgACAAKQA7AFwAbgBcAG4AVgBFAEUAUgBHAF8AOQBfADEAXwAxAF8AXwAxAF8AUgBlAGYAcgBpAGcAZQByAGEAbgB0AEwAZQBhAGsAaQBuAGcARwBXAFAAXABuACAAIAA9AEwAQQBNAEIARABBACgAXABuACAAIAAgACAARQBfAFIALAAgAEcAVwBQAF8AUgAsAFwAbgAgACAAIAAgACgAKABFAF8AUgAgACoAIAAxADAAXgAzACkAIAAqACAARwBXAFAAXwBSACkAIAAqACAAMQAwAF4ALQAzAFwAbgAgACAAKQA7AFwAbgBcAG4AVgBFAEUAUgBHAF8AOQBfADEAXwAxAF8AXwAxAF8AUgBlAGYAcgBpAGcAZQByAGEAbgB0AEwAZQBhAGsAaQBuAGcAXwBUAGkAdABsAGUAXABuACAAIAA9AEwAQQBNAEIARABBACgAXAAiAFQAaABlACAAdABvAHQAYQBsACAAZQBtAGkAcwBzAGkAbwBuAHMAIABvAGYAIAByAGUAZgByAGkAZwBlAHIAYQBuAHQAIABsAGUAYQBrAGkAbgBnACAAZAB1AHIAaQBuAGcAIABvAHAAZQByAGEAdABpAG8AbgAgACgAbgBvAHQAIABkAHUAcgBpAG4AZwAgAGkAbgBzAHQAYQBsAGwAYQB0AGkAbwBuACAAbwByACAAZABpAHMAcABvAHMAYQBsACkAXAAiACkAOwBcAG4AXABuAFYARQBFAFIARwBfADkAXwAxAF8AMQBfAF8AMQBfAFIAZQBmAHIAaQBnAGUAcgBhAG4AdABMAGUAYQBrAGkAbgBnAEcAVwBQAF8AVABpAHQAbABlAFwAbgAgACAAPQBMAEEATQBCAEQAQQAoAFwAIgBSAGUAZgByAGkAZwBlAHIAYQBuAHQAIABsAGUAYQBrAGEAZwBlACAAZQBtAGkAcwBzAGkAbwBuAHMAIABjAG8AbgB2AGUAcgB0AGUAZAAgAHQAbwAgAEMATwAyAC0AZQBcACIAKQA7AFwAbgBcAG4AVgBFAEUAUgBHAF8AOQBfADEAXwAxAF8AXwAxAF8AUgBlAGYAcgBpAGcAZQByAGEAbgB0AEwAZQBhAGsAaQBuAGcAXwBWAGEAcgBpAGEAYgBsAGUAXABuACAAIAA9AEwAQQBNAEIARABBACgAXAAiAEUAXwBSAFwAIgApADsAXABuAFwAbgBWAEUARQBSAEcAXwA5AF8AMQBfADEAXwBfADEAXwBSAGUAZgByAGkAZwBlAHIAYQBuAHQATABlAGEAawBpAG4AZwBHAFcAUABfAFYAYQByAGkAYQBiAGwAZQBcAG4AIAAgAD0ATABBAE0AQgBEAEEAKABcACIARQBfAEMATwAyAGUAXAAiACkAOwBcAG4AXABuAFYARQBFAFIARwBfADkAXwAxAF8AMQBfAF8AMQBfAFIAZQBmAHIAaQBnAGUAcgBhAG4AdABMAGUAYQBrAGkAbgBnAF8AVQBuAGkAdABcAG4AIAAgAD0ATABBAE0AQgBEAEEAKABcACIAdAAgAHIAZQBmAHIAaQBnAGUAcgBhAG4AdAAgAGcAYQBzAFwAIgApADsAXABuAFwAbgBWAEUARQBSAEcAXwA5AF8AMQBfADEAXwBfADEAXwBSAGUAZgByAGkAZwBlAHIAYQBuAHQATABlAGEAawBpAG4AZwBHAFcAUABfAFUAbgBpAHQAXABuACAAIAA9AEwAQQBNAEIARABBACgAXAAiAHQAIABDAE8AMgAtAGUAXAAiACkAOwBcAG4AXABuAFYARQBFAFIARwBfADkAXwAxAF8AMQBfAF8AMQBfAFIAZQBmAHIAaQBnAGUAcgBhAG4AdABMAGUAYQBrAGkAbgBnAF8AUwBvAHUAcgBjAGUAXABuACAAIAA9AEwAQQBNAEIARABBACgAXAAiAFYARQBFAFIARwAgADIAMAAyADYAOgAgADkALgAxAC4AMQAsACAARQBxAHUAYQB0AGkAbwBuACAAKAAxACkAXAAiACkAOwBcAG4AXABuAFYARQBFAFIARwBfADkAXwAxAF8AMQBfAF8AMQBfAFIAZQBmAHIAaQBnAGUAcgBhAG4AdABMAGUAYQBrAGkAbgBnAEcAVwBQAF8AUwBvAHUAcgBjAGUAXABuACAAIAA9AEwAQQBNAEIARABBACgAXAAiAEEAdQBzAHQAcgBhAGwAaQBhAG4AIABOAGEAdABpAG8AbgBhAGwAIABHAHIAZQBlAG4AaABvAHUAcwBlACAAQQBjAGMAbwB1AG4AdABzACAARgBhAGMAdABvAHIAcwAgADIAMAAyADUAIAAtACAAMwAuADEAIABFAHMAdABpAG0AYQB0AGkAbgBnACAAaQBuAGQAdQBzAHQAcgBpAGEAbAAgAHAAcgBvAGMAZQBzAHMAZQBzACAAZQBtAGkAcwBzAGkAbwBuAHMAIAAtACAAUgBlAGYAcgBpAGcAZQByAGEAbgB0ACAAbABlAGEAawBhAGcAZQBcACIAKQA7AFwAbgBcAG4AVgBFAEUAUgBHAF8AOQBfADEAXwAxAF8AXwAxAF8AUgBlAGYAcgBpAGcAZQByAGEAbgB0AEwAZQBhAGsAaQBuAGcAXwBSAGUAYQBkAGEAYgBsAGUARQBxAHUAYQB0AGkAbwBuAFwAbgAgACAAPQBMAEEATQBCAEQAQQAoAFwAIgBjAGgAYQByAGcAZQBfAFIAYQAgACoAIAAoAGwAZQBhAGsAYQBnAGUAcgBhAHQAZQBfAGEALwAxADAAMAApACAAKgAgADEAMAAgAF4AIAAtACAAMwBcACIAKQA7AFwAbgBcAG4AVgBFAEUAUgBHAF8AOQBfADEAXwAxAF8AXwAxAF8AUgBlAGYAcgBpAGcAZQByAGEAbgB0AEwAZQBhAGsAaQBuAGcAXwBMAGEAdABlAHgARQBxAHUAYQB0AGkAbwBuAFwAbgAgACAAPQBMAEEATQBCAEQAQQAoAFwAIgBFAF8AUgAgAD0AIABcAFwAcwB1AG0AXABcAG4AbwBsAGkAbQBpAHQAcwBfAGEAIABcAFwAbABlAGYAdAAoACAAYwBoAGEAcgBnAGUAXwB7AFIAYQB9ACAAXABcAHQAaQBtAGUAcwAgAFwAXABmAHIAYQBjAHsAbABlAGEAawBhAGcAZQBcAFwALAByAGEAdABlAF8AYQB9AHsAMQAwADAAfQAgAFwAXAByAGkAZwBoAHQAKQAgAFwAXAB0AGkAbQBlAHMAIAAxADAAXgB7AC0AMwB9AFwAIgApADsAXABuAFwAbgBWAEUARQBSAEcAXwA5AF8AMQBfADEAXwBfADEAXwBSAGUAZgByAGkAZwBlAHIAYQBuAHQATABlAGEAawBpAG4AZwBHAFcAUABfAEwAYQB0AGUAeABFAHEAdQBhAHQAaQBvAG4AXABuACAAIAA9AEwAQQBNAEIARABBACgAXAAiAEUAXwBDAE8AMgBlACAAPQAgAFwAXABsAGUAZgB0ACgARQBfAFIAIABcAFwAdABpAG0AZQBzACAAMQAwAF4AewAzAH0AIABcAFwAcgBpAGcAaAB0ACkAIABcAFwAdABpAG0AZQBzACAARwBXAFAAXwBSACAAXABcAHQAaQBtAGUAcwAgADEAMABeAHsALQAzAH0AXAAiACkAOwBcAG4AXABuAFYARQBFAFIARwBfADkAXwAxAF8AMQBfAF8AMQBfAFIAZQBmAHIAaQBnAGUAcgBhAG4AdABMAGUAYQBrAGkAbgBnAF8AQQByAGcAdQBtAGUAbgB0AHMAXABuACAAIAA9AEwAQQBNAEIARABBACgAXABuACAAIAAgACAATQBBAEsARQBBAFIAUgBBAFkAKAA0ACwAIAA0ACwAIABcAG4AIAAgACAAIAAgACAATABBAE0AQgBEAEEAKAByACwAYwAsACAAXABuACAAIAAgACAAIAAgACAAIABJAE4ARABFAFgAKAB7AFwAbgAgACAAIAAgACAAIAAgACAAIAAgAFwAIgBjAGgAYQByAGcAZQBfAFIAYQBcACIALAAgAFwAIgBBAG0AbwB1AG4AdAAgAG8AZgAgAHIAZQBmAHIAaQBnAGUAcgBhAG4AdAAgAFIAIABjAG8AbgB0AGEAaQBuAGUAZAAgAGkAbgAgAGEAcABwAGwAaQBhAG4AYwBlACAAYQBcACIALAAgAFwAIgBrAGcAXAAiACwAIABcACIASQBuAHAAdQB0AFwAIgA7AFwAbgAgACAAIAAgACAAIAAgACAAIAAgAFwAIgBsAGUAYQBrAGEAZwBlAHIAYQB0AGUAXwBhAFwAIgAsACAAXAAiAFAAcgBjAGUAbgB0AGEAZwBlACAAbwBmACAAdABvAHQAYQBsACAAYwBoAGEAcgBnAGUAIABsAGUAYQBrAGUAZAAgAGYAcgBvAG0AIABhAHAAcABsAGkAYQBuAGMAZQAgAGEAIABlAGEAYwBoACAAeQBlAGEAcgBcACIALAAgAFwAIgBQAGUAcgBjAGUAbgB0AFwAIgAsACAAXAAiAEMAbwBuAHMAdABhAG4AdABcACIAOwBcAG4AIAAgACAAIAAgACAAIAAgACAAIABcACIAYQBcACIALAAgAFwAIgBBAHAAcABsAGkAYQBuAGMAZQAgAHQAeQBwAGUAXAAiACwAIABcACIAXAAiACwAIABcACIASQBuAHAAdQB0AFwAIgA7AFwAbgAgACAAIAAgACAAIAAgACAAIAAgAFwAIgBSAFwAIgAsACAAXAAiAFIAZQBmAHIAaQBnAGUAcgBhAG4AdABcACIALAAgAFwAIgBcACIALAAgAFwAIgBJAG4AcAB1AHQAXAAiAFwAbgAgACAAIAAgACAAIAAgACAAfQAsACAAcgAsACAAYwApAFwAbgAgACAAIAAgACAAIAApAFwAbgAgACAAIAAgACkAXABuACAAIAApADsAXABuAFwAbgBWAEUARQBSAEcAXwA5AF8AMQBfADEAXwBfADEAXwBSAGUAZgByAGkAZwBlAHIAYQBuAHQATABlAGEAawBpAG4AZwBHAFcAUABfAEEAcgBnAHUAbQBlAG4AdABzAFwAbgAgACAAPQBMAEEATQBCAEQAQQAoAFwAbgAgACAAIAAgAE0AQQBLAEUAQQBSAFIAQQBZACgAMgAsACAANAAsACAAXABuACAAIAAgACAAIAAgAEwAQQBNAEIARABBACgAcgAsAGMALAAgAFwAbgAgACAAIAAgACAAIAAgACAASQBOAEQARQBYACgAewBcAG4AIAAgACAAIAAgACAAIAAgACAAIABcACIARQBfAFIAXAAiACwAIABcACIAVABvAHQAYQBsACAAZQBtAGkAcwBzAGkAbwBuAHMAIABvAGYAIAByAGUAZgByAGkAZwBlAHIAYQBuAHQAIABSAFwAIgAsACAAXAAiAHQAIAByAGUAZgByAGkAZwBlAHIAYQBuAHQAIABnAGEAcwBcACIALAAgAFwAIgBDAGEAbABjAHUAbABhAHQAZQBkACAAZgByAG8AbQAgADkALgAxAC4AMQAgACgAMQApAFwAIgA7AFwAbgAgACAAIAAgACAAIAAgACAAIAAgAFwAIgBHAFcAUABfAFIAXAAiACwAIABcACIARwBsAG8AYgBhAGwAIAB3AGEAcgBtAGkAbgBnACAAcABvAHQAZQBuAHQAaQBhAGwAIABvAGYAIAByAGUAZgByAGkAZwBlAHIAYQBuAHQAIABSAFwAIgAsACAAXAAiAEQAaQBtAGUAbgBzAGkAbwBuAGwAZQBzAHMAXAAiACwAIABcACIAQwBvAG4AcwB0AGEAbgB0AFwAIgBcAG4AIAAgACAAIAAgACAAIAAgAH0ALAAgAHIALAAgAGMAKQBcAG4AIAAgACAAIAAgACAAKQBcAG4AIAAgACAAIAApAFwAbgAgACAAKQA7AFwAbgBcAG4AVgBFAEUAUgBHAF8AOQBfADEAXwAxAF8AXwAxAF8AUgBlAGYAcgBpAGcAZQByAGEAbgB0AEwAZQBhAGsAaQBuAGcAXwBWAGEAcgBpAGEAdABpAG8AbgBcAG4AIAAgAD0ATABBAE0AQgBEAEEAKABcACIAVgBBAFIASQBBAFQASQBPAE4AIABPAE4AIABTAE8AVQBSAEMARQA6ACAAQQBkAGQAZQBkACAAZQBxAHUAYQB0AGkAbwBuACAAdABvACAAYwBvAG4AdgBlAHIAdAAgAHIAZQBmAHIAaQBnAGUAcgBhAG4AdAAgAFIAIAB0AG8AIABDAE8AMgAtAGUAIAB1AHMAaQBuAGcAIAB0AGgAZQAgAHIAZQBmAHIAaQBnAGUAcgBhAG4AdABcAHUAMAAwADIANwBzACAAZwBsAG8AYgBhAGwAIAB3AGEAcgBtAGkAbgBnACAAcABvAHQAZQBuAHQAaQBhAGwAIAAoAEcAVwBQACkALgBcACIAKQA7ACIAfQAsAHsAIgBwAGEAdABoACIAOgAiAC8AcAByAG8AagBlAGMAdABzAC8AUgBlAGYAcgBpAGcAZQByAGEAbgB0AHMAXwBTAG8AdQByAGMAZQBEAGEAdABhACIALAAiAHQAZQB4AHQAIgA6ACI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VABhAGIAbABlACAAMgAzACAARwBsAG8AYgBhAGwAIABXAGEAcgBtAGkAbgBnACAAUABvAHQAZQBuAHQAaQBhAGw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RwBXAFAAXwBUAGkAdABsAGUAXABuAD0ATABBAE0AQgBEAEEAKAAoAFwAIgBHAGwAbwBiAGEAbAAgAFcAYQByAG0AaQBuAGcAIABQAG8AdABlAG4AdABpAGEAbABzAFwAIgApACkAOwBcAG4AXABuAFIAZQBmAHIAaQBnAGUAcgBhAG4AdABzAF8AQwBoAGUAbQBpAGMAYQBsAEcAVwBQAF8ARABlAHMAYwByAGkAcAB0AGkAbwBuAFwAbgA9AEwAQQBNAEIARABBACgAKABcACIAXAAiACkAKQA7AFwAbgBcAG4AUgBlAGYAcgBpAGcAZQByAGEAbgB0AHMAXwBDAGgAZQBtAGkAYwBhAGwARwBXAFAAXwBTAG8AdQByAGMAZQBcAG4APQBMAEEATQBCAEQAQQAoACgAXAAiAEEAdQBzAHQAcgBhAGwAaQBhAG4AIABOAGEAdABpAG8AbgBhAGwAIABHAHIAZQBlAG4AaABvAHUAcwBlACAAQQBjAGMAbwB1AG4AdABzACAARgBhAGMAdABvAHIAcwAgADIAMAAyADUAIAAtACAAQQBwAHAAZQBuAGQAaQB4ACAAMgAgAC0AIABUAGEAYgBsAGUAIAAyADMAXAAiACkAKQA7AFwAbgBcAG4AUgBlAGYAcgBpAGcAZQByAGEAbgB0AHMAXwBDAGgAZQBtAGkAYwBhAGwARwBXAFAAXwBEAGEAdABhAFwAbgA9AEwAQQBNAEIARABBACgAXABuACAAIABNAEEASwBFAEEAUgBSAEEAWQAoADMAOQAsACAANQAsAFwAbgAgACAAIAAgAEwAQQBNAEIARABBACgAcgAsAGMALABcAG4AIAAgACAAIAAgACAASQBOAEQARQBYACgAewBcAG4AIAAgACAAIAAgACAAIAAgAFwAIgBHAGEAcwBcACIALAAgAFwAIgBDAGgAZQBtAGkAYwBhAGwAIABmAG8AcgBtAHUAbABhAFwAIgAsACAAXAAiAEcAbABvAGIAYQBsACAAVwBhAHIAbQBpAG4AZwAgAFAAbwB0AGUAbgB0AGkAYQBsACAAKABBAFIANQApAFwAIgAsACAAXAAiAEcAYQBzACAALQAgAEYAQwAgAG4AYQBtAGUAXAAiACwAIABcACIAQQBkAGkAdABpAG8AbgBhAGwAIABkAGEAdABhACAAcwBvAHUAcgBjAGUAXAAiADsAXABuACAAIAAgACAAIAAgACAAIABcACIAQwBhAHIAYgBvAG4AIABkAGkAbwB4AGkAZABlAFwAIgAsACAAXAAiAEMATwAyAFwAIgAsACAAMQAsACAAXAAiAEMATwAyAFwAIgAsACAAXAAiAFwAIgA7AFwAbgAgACAAIAAgACAAIAAgACAAXAAiAE0AZQB0AGgAYQBuAGUAXAAiACwAIABcACIAQwBIADQAXAAiACwAIAAyADgALAAgAFwAIgBDAEgANABcACIALAAgAFwAIgBcACIAOwBcAG4AIAAgACAAIAAgACAAIAAgAFwAIgBOAGkAdAByAG8AdQBzACAAbwB4AGkAZABlAFwAIgAsACAAXAAiAE4AMgBPAFwAIgAsACAAMgA2ADUALAAgAFwAIgBOADIATwBcACIALAAgAFwAIgBcACIAOwBcAG4AIAAgACAAIAAgACAAIAAgAFwAIgBTAHUAbABwAGgAdQByACAAaABlAHgAYQBmAGwAdQBvAHIAaQBkAGUAXAAiACwAIABcACIAUwBGADYAXAAiACwAIAAyADMANQAwADAALAAgAFwAIgBTAEYANgBcACIALAAgAFwAIgBcACIAOwBcAG4AIAAgACAAIAAgACAAIAAgAFwAIgBIAEYAQwAtADIAMwAgACgAUgAtADIAMwApAFwAIgAsACAAXAAiAEMASABGADMAXAAiACwAIAAgADEAMgA0ADAAMAAsACAAXAAiAEgARgBDAC0AMgAzAFwAIgAsACAAXAAiAFwAIgA7AFwAbgAgACAAIAAgACAAIAAgACAAXAAiAEgARgBDAC0AMwAyACAAKABSAC0AMwAyACkAXAAiACwAIABcACIAQwBIADIARgAyAFwAIgAsACAANgA3ADcALAAgAFwAIgBIAEYAQwAtADMAMgBcACIALAAgAFwAIgBcACIAOwBcAG4AIAAgACAAIAAgACAAIAAgAFwAIgBIAEYAQwAtADQAMQAgACgAUgAtADQAMQApAFwAIgAsACAAXAAiAEMASAAzAEYAXAAiACwAIAAgADEAMQA2ACwAIABcACIASABGAEMALQA0ADEAXAAiACwAIABcACIAXAAiADsAXABuACAAIAAgACAAIAAgACAAIABcACIASABGAEMALQA0ADMALQAxADAAbQBlAGUAIAAoAFIALQA0ADMAMQAwAG0AZQBlACkAXAAiACwAIABcACIAQwA1AEgAMgBGADEAMABcACIALAAgADEANgA1ADAALAAgAFwAIgBIAEYAQwAtADQAMwAtADEAMABtAGUAZQBcACIALAAgAFwAIgBcACIAOwBcAG4AIAAgACAAIAAgACAAIAAgAFwAIgBIAEYAQwAtADEAMgA1ACAAKABSAC0AMQAyADUAKQBcACIALAAgAFwAIgBDADIASABGADUAXAAiACwAIAAgADMAMQA3ADAALAAgAFwAIgBIAEYAQwAtADEAMgA1AFwAIgAsACAAXAAiAFwAIgA7AFwAbgAgACAAIAAgACAAIAAgACAAXAAiAEgARgBDAC0AMQAzADQAIAAoAFIALQAxADMANAApAFwAIgAsACAAXAAiAEMAMgBIADIARgA0ACAAKABDAEgARgAyAEMASABGADIAKQBcACIALAAgACAAMQAxADIAMAAsACAAXAAiAEgARgBDAC0AMQAzADQAXAAiACwAIABcACIAXAAiADsAXABuACAAIAAgACAAIAAgACAAIABcACIASABGAEMALQAxADMANABhACAAKABSAC0AMQAzADQAYQApAFwAIgAsACAAXAAiAEMAMgBIADIARgA0ACAAKABDAEgAMgBGAEMARgAzACkAXAAiACwAIAAxADMAMAAwACwAIABcACIASABGAEMALQAxADMANABhAFwAIgAsACAAXAAiAFwAIgA7AFwAbgAgACAAIAAgACAAIAAgACAAXAAiAEgARgBDAC0AMQA0ADMAIAAoAFIALQAxADQAMwApAFwAIgAsACAAXAAiAEMAMgBIADMARgAzACAAKABDAEgARgAyAEMASAAyAEYAKQBcACIALAAgADMAMgA4ACwAIABcACIASABGAEMALQAxADQAMwBcACIALAAgAFwAIgBcACIAOwBcAG4AIAAgACAAIAAgACAAIAAgAFwAIgBIAEYAQwAtADEANAAzAGEAIAAoAFIALQAxADQAMwBhACkAXAAiACwAIABcACIAQwAyAEgAMwBGADMAIAAoAEMARgAzAEMASAAzACkAXAAiACwAIAA0ADgAMAAwACwAIABcACIASABGAEMALQAxADQAMwBhAFwAIgAsACAAXAAiAFwAIgA7AFwAbgAgACAAIAAgACAAIAAgACAAXAAiAEgARgBDAC0AMQA1ADIAYQAgACgAUgAtADEANQAyAGEAKQBcACIALAAgAFwAIgBDADIASAA0AEYAMgAgACgAQwBIADMAQwBIAEYAMgApAFwAIgAsACAAMQAzADgALAAgAFwAIgBIAEYAQwAtADEANQAyAGEAXAAiACwAIABcACIAXAAiADsAXABuACAAIAAgACAAIAAgACAAIABcACIASABGAEMALQAyADIANwBlAGEAIAAoAFIALQAyADIANwBlAGEAKQBcACIALAAgAFwAIgBDADMASABGADcAXAAiACwAIAAzADMANQAwACwAIABcACIASABGAEMALQAyADIANwBlAGEAXAAiACwAIABcACIAXAAiADsAXABuACAAIAAgACAAIAAgACAAIABcACIASABGAEMALQAyADMANgBmAGEAIAAoAFIALQAyADMANgBmAGEAKQBcACIALAAgAFwAIgBDADMASAAyAEYANgBcACIALAAgADgAMAA2ADAALAAgAFwAIgBIAEYAQwAtADIAMwA2AGYAYQBcACIALAAgAFwAIgBcACIAOwBcAG4AIAAgACAAIAAgACAAIAAgAFwAIgBIAEYAQwAtADIANAA1AGMAYQAgACgAUgAtADIANAA1AGMAYQApAFwAIgAsACAAXAAiAEMAMwBIADMARgA1AFwAIgAsACAANwAxADYALAAgAFwAIgBIAEYAQwAtADIANAA1AGMAYQBcACIALAAgAFwAIgBcACIAOwBcAG4AIAAgACAAIAAgACAAIAAgAFwAIgBIAEYAQwAtADIANAA1AGYAYQAgACgAUgAtADIANAA1AGYAYQApAFwAIgAsACAAXAAiAEMASABGADIAQwBIADIAQwBGADMAXAAiACwAIAA4ADUAOAAsACAAXAAiAEgARgBDAC0AMgA0ADUAZgBhAFwAIgAsACAAXAAiAFwAIgA7AFwAbgAgACAAIAAgACAAIAAgACAAXAAiAEgARgBDAC0AMwA2ADUAbQBmAGMAIAAoAFIALQAzADYANQBtAGYAYwApAFwAIgAsACAAXAAiAEMASAAzAEMARgAyAEMASAAyAEMARgAzAFwAIgAsACAAOAAwADQALAAgAFwAIgBIAEYAQwAtADMANgA1AG0AZgBjAFwAIgAsACAAXAAiAFwAIgA7AFwAbgAgACAAIAAgACAAIAAgACAAXAAiAEgAQwBGAEMALQAyADIAIAAoAFIALQAyADIAKQBcACIALAAgAFwAIgBDAEgAQwBsAEYAMgBcACIALAAgADEANwA2ADAALAAgAFwAIgBIAEMARgBDAC0AMgAyAFwAIgAsACAAXAAiAFwAIgA7AFwAbgAgACAAIAAgACAAIAAgACAAXAAiAEgAQwBGAEMALQAxADIAMwAgACgAUgAtADEAMgAzACkAXAAiACwAIABcACIAQwBIAEMAbAAyADIAQwBGADMAXAAiACwAIAA3ADkALAAgAFwAIgBIAEMARgBDAC0AMQAyADMAXAAiACwAIABcACIAXAAiADsAXABuACAAIAAgACAAIAAgACAAIABcACIASABDAEYAQwAtADEAMgA0ACAAKABSAC0AMQAyADQAKQBcACIALAAgAFwAIgBDAEgAQwBsAEYAQwBGADMAXAAiACwAIAA1ADIANwAsACAAXAAiAEgAQwBGAEMALQAxADIANABcACIALAAgAFwAIgBcACIAOwBcAG4AIAAgACAAIAAgACAAIAAgAFwAIgBIAEMARgBDAC0AMQA0ADEAYgAgACgAUgAtADEANAAxAGIAKQBcACIALAAgAFwAIgBDAEgAMwBDAEMAbAAyAEYAXAAiACwAIAA3ADgAMgAsACAAXAAiAEgAQwBGAEMALQAxADQAMQBiAFwAIgAsACAAXAAiAFwAIgA7AFwAbgAgACAAIAAgACAAIAAgACAAXAAiAEgAQwBGAEMALQAxADQAMgBiACAAKABSAC0AMQA0ADIAYgApAFwAIgAsACAAXAAiAEMASAAyAEMAQwBsAEYAMgBcACIALAAgADEAOQA4ADAALAAgAFwAIgBIAEMARgBDAC0AMQA0ADIAYgBcACIALAAgAFwAIgBcACIAOwBcAG4AIAAgACAAIAAgACAAIAAgAFwAIgBIAEMARgBDAC0AMgAyADUAYwBhACAAKABSAC0AMgAyADUAYwBhACkAXAAiACwAIABcACIAQwBIAEMAbAAyAEMARgAyAEMARgAzAFwAIgAsACAAMQAyADcALAAgAFwAIgBIAEMARgBDAC0AMgAyADUAYwBhAFwAIgAsACAAXAAiAFwAIgA7AFwAbgAgACAAIAAgACAAIAAgACAAXAAiAEgAQwBGAEMALQAyADIANQBjAGIAIAAoAFIALQAyADIANQBjAGIAKQBcACIALAAgAFwAIgBDAEgAQwBsAEYAQwBGADIAQwBDAEkARgAyAFwAIgAsACAANQAyADUALAAgAFwAIgBIAEMARgBDAC0AMgAyADUAYwBiAFwAIgAsACAAXAAiAFwAIgA7AFwAbgAgACAAIAAgACAAIAAgACAAXAAiAFAARgBDAC0AMQA0ACAAUABlAHIAZgBsAHUAbwByAG8AbQBlAHQAaABhAG4AZQAgACgAdABlAHQAcgBhAGYAbAB1AG8AcgBvAG0AZQB0AGgAYQBuAGUAKQBcACIALAAgAFwAIgBDAEYANABcACIALAAgADYANgAzADAALAAgAFwAIgBQAEYAQwAtADEANABcACIALAAgAFwAIgBcACIAOwBcAG4AIAAgACAAIAAgACAAIAAgAFwAIgBQAEYAQwAtADEAMQA2ACAAUABlAHIAZgBsAHUAbwByAG8AZQB0AGgAYQBuAGUAIAAoAGgAZQB4AGEAZgBsAHUAbwByAG8AZQB0AGgAYQBuAGUAKQBcACIALAAgAFwAIgBDADIARgA2AFwAIgAsACAAMQAxADEAMAAwACwAIABcACIAUABGAEMALQAxADEANgBcACIALAAgAFwAIgBcACIAOwBcAG4AIAAgACAAIAAgACAAIAAgAFwAIgBQAEYAQwAtADIAMQA4ACAAUABlAHIAZgBsAHUAbwByAG8AcAByAG8AcABhAG4AZQBcACIALAAgAFwAIgBDADMARgA4AFwAIgAsACAAOAA5ADAAMAAsACAAXAAiAFAARgBDAC0AMgAxADgAXAAiACwAIABcACIAXAAiADsAXABuACAAIAAgACAAIAAgACAAIABcACIAUABGAEMALQAzADEALQAxADAAIABQAGUAcgBmAGwAdQBvAHIAbwBiAHUAdABhAG4AZQBcACIALAAgAFwAIgBDADQARgAxADAAXAAiACwAIAA5ADIAMAAwACwAIABcACIAUABGAEMALQAzADEALQAxADAAXAAiACwAIABcACIAXAAiADsAXABuACAAIAAgACAAIAAgACAAIABcACIAUABGAEMALQAzADEAOAAgAFAAZQByAGYAbAB1AG8AcgBvAGMAeQBjAGwAbwBiAHUAdABhAG4AZQBcACIALAAgAFwAIgBjAC0AQwA0AEYAOABcACIALAAgADkANQA0ADAALAAgAFwAIgBQAEYAQwAtADMAMQA4AFwAIgAsACAAXAAiAFwAIgA7AFwAbgAgACAAIAAgACAAIAAgACAAXAAiAFAARgBDAC0ANAAxAC0AMQAyACAAUABlAHIAZgBsAHUAbwByAG8AcABlAG4AdABhAG4AZQBcACIALAAgAFwAIgBDADUARgAxADIAXAAiACwAIAA4ADUANQAwACwAIABcACIAUABGAEMALQA0ADEALQAxADIAXAAiACwAIABcACIAXAAiADsAXABuACAAIAAgACAAIAAgACAAIABcACIAUABGAEMALQA1ADEALQAxADQAIABQAGUAcgBmAGwAdQBvAHIAbwBoAGUAeABhAG4AZQBcACIALAAgAFwAIgBDADYARgAxADQAXAAiACwAIAA3ADkAMQAwACwAIABcACIAUABGAEMALQA1ADEALQAxADQAXAAiACwAIABcACIAXAAiADsAXABuACAAIAAgACAAIAAgACAAIABcACIAUABGAEMALQA5ADEALQAxADgAIABQAGUAcgBmAGwAdQBuAGEAZgBlAG4AZQBcACIALAAgAFwAIgBDADEAMABGADEAOABcACIALAAgADcAMQA5ADAALAAgAFwAIgBQAEYAQwAtADkAMQAtADEAOABcACIALAAgAFwAIgBcACIAOwBcAG4AIAAgACAAIAAgACAAIAAgAFwAIgBDAEYAQwAtADEAMgBcACIALAAgAFwAIgBDAEMAbAAyAEYAMgBcACIALAAgADEAMAAyADAAMAAsACAAXAAiAEMARgBDAC0AMQAyAFwAIgAsACAAXAAiAEkAUABDAEMAIABHAGwAbwBiAGEAbAAgAFcAYQByAG0AaQBuAGcAIABQAG8AdABlAG4AdABpAGEAbAAgAFYAYQBsAHUAZQBzACAAdgAyAC4AMAAgAC0AIAAoAEEAUgA1ACkAXAAiADsAXABuACAAIAAgACAAIAAgACAAIABcACIAQwBGAEMALQAxADMAXAAiACwAIABcACIAQwBDAGwARgAzAFwAIgAsACAAMQAzADkAMAAwACwAIABcACIAQwBGAEMALQAxADMAXAAiACwAIABcACIASQBQAEMAQwAgAEcAbABvAGIAYQBsACAAVwBhAHIAbQBpAG4AZwAgAFAAbwB0AGUAbgB0AGkAYQBsACAAVgBhAGwAdQBlAHMAIAB2ADIALgAwACAALQAgACgAQQBSADUAKQBcACIAOwBcAG4AIAAgACAAIAAgACAAIAAgAFwAIgBDAEYAQwAtADEAMQA0AFwAIgAsACAAXAAiAEMAQwBsAEYAMgBDAEMAbABGADIAXAAiACwAIAA4ADUAOQAwACwAIABcACIAQwBGAEMALQAxADEANABcACIALAAgAFwAIgBJAFAAQwBDACAARwBsAG8AYgBhAGwAIABXAGEAcgBtAGkAbgBnACAAUABvAHQAZQBuAHQAaQBhAGwAIABWAGEAbAB1AGUAcwAgAHYAMgAuADAAIAAtACAAKABBAFIANQApAFwAIgA7AFwAbgAgACAAIAAgACAAIAAgACAAXAAiAEMARgBDAC0AMQAxADUAXAAiACwAIABcACIAQwBDAGwARgAyAEMARgAzAFwAIgAsACAANwA2ADcAMAAsACAAXAAiAEMARgBDAC0AMQAxADUAXAAiACwAIABcACIASQBQAEMAQwAgAEcAbABvAGIAYQBsACAAVwBhAHIAbQBpAG4AZwAgAFAAbwB0AGUAbgB0AGkAYQBsACAAVgBhAGwAdQBlAHMAIAB2ADIALgAwACAALQAgACgAQQBSADUAKQBcACIAXABuACAAIAAgACAAIAAgAH0ALAAgAHIALAAgAGMAKQBcAG4AKQApACkAOwBcAG4AXABuAFIAZQBmAHIAaQBnAGUAcgBhAG4AdABzAF8AQwBoAGUAbQBpAGMAYQBsAEcAVwBQAF8AVgBhAHIAaQBhAHQAaQBvAG4AXABuAD0ATABBAE0AQgBEAEEAKAAoAFwAIgBWAEEAUgBJAEEAVABJAE8ATgAgAE8ARgAgAFMATwBVAFIAQwBFACAARABBAFQAQQA6ACAAQQBkAGQAZQBkACAAXAB1ADAAMAAyADcARwBBAFMAIAAtACAARgBDACAAbgBhAG0AZQBcAHUAMAAwADIANwAgAGMAbwBsAHUAbQBuACAAdwBpAHQAaAAgAHQAcgB1AG4AYwBhAHQAZQBkACAAZwBhAHMAIABuAGEAbQBlACAAdABvACAAYQBsAGwAbwB3ACAAbQBhAHQAYwBoAGkAbgBnACAAdwBpAHQAaAAgAG8AdABoAGUAcgAgAHQAYQBiAGwAZQBzAC4AIABBAGQAZABlAGQAIABlAHgAdAByAGEAIABnAGEAcwBlAHMAIABmAHIAbwBtACAASQBQAEMAQwAgAEcAbABvAGIAYQBsACAAVwBhAHIAbQBpAG4AZwAgAFAAbwB0AGUAbgB0AGkAYQBsACAAVgBhAGwAdQBlAHMAIAB2ADIALgAwACAALQAgACgAQQBSADUAKQAuACAAQQBkAGQAZQBkACAAXAB1ADAAMAAyADcAQQBkAGQAaQB0AGkAbwBuAGEAbAAgAGQAYQB0AGEAIABzAG8AdQByAGMAZQBcAHUAMAAwADIANwAgAGMAbwBsAHUAbQBuAC4AXAAiACkAKQA7AFwAbgBcAG4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QgBsAGUAbgBkAGUAZAAgAHIAZQBmAHIAaQBnAGUAcgBhAG4AdABzAFwAbgA9AD0APQA9AD0APQA9AD0APQA9AD0APQA9AD0APQA9AD0APQA9AD0APQA9AD0APQA9AD0APQA9AD0APQA9AD0APQA9AD0APQA9AD0APQA9AD0APQA9AD0APQA9AD0APQA9AD0APQA9AD0APQA9AD0APQA9AD0APQA9AD0APQA9AD0APQA9AD0APQA9AD0APQA9AD0APQA9AFwAbgAqAC8AXABuAFwAbgBSAGUAZgByAGkAZwBlAHIAYQBuAHQAcwBfAEMAaABlAG0AaQBjAGEAbABCAGwAZQBuAGQAcwBfAFQAaQB0AGwAZQBcAG4APQBMAEEATQBCAEQAQQAoACgAXAAiAEIAbABlAG4AZABlAGQAIAByAGUAZgByAGkAZwBlAHIAYQBuAHQAcwAgACgAbQBhAG4AeQAgAGMAbwBuAHQAYQBpAG4AaQBuAGcAIABIAEYAQwBTACAAYQBuAGQALwBvAHIAIABQAEYAQwBTACkAXAAiACkAKQA7AFwAbgBcAG4AUgBlAGYAcgBpAGcAZQByAGEAbgB0AHMAXwBDAGgAZQBtAGkAYwBhAGwAQgBsAGUAbgBkAHMAXwBEAGUAcwBjAHIAaQBwAHQAaQBvAG4AXABuAD0ATABBAE0AQgBEAEEAKAAoAFwAIgBcACIAKQApADsAXABuAFwAbgBSAGUAZgByAGkAZwBlAHIAYQBuAHQAcwBfAEMAaABlAG0AaQBjAGEAbABCAGwAZQBuAGQAcwBfAFMAbwB1AHIAYwBlAFwAbgA9AEwAQQBNAEIARABBACgAKABcACIAQQB1AHMAdAByAGEAbABpAGEAbgAgAE4AYQB0AGkAbwBuAGEAbAAgAEcAcgBlAGUAbgBoAG8AdQBzAGUAIABBAGMAYwBvAHUAbgB0AHMAIABGAGEAYwB0AG8AcgBzACAAMgAwADIANQAgAC0AIABBAHAAcABlAG4AZABpAHgAIAAyACAALQAgAFQAYQBiAGwAZQAgADIANABcACIAKQApADsAXABuAFwAbgBSAGUAZgByAGkAZwBlAHIAYQBuAHQAcwBfAEMAaABlAG0AaQBjAGEAbABCAGwAZQBuAGQAcwBfAEQAYQB0AGEAXABuAD0ATABBAE0AQgBEAEEAKABcAG4AIAAgAE0AQQBLAEUAQQBSAFIAQQBZACgANQAxACwAIAAzACwAXABuACAAIAAgACAATABBAE0AQgBEAEEAKAByACwAYwAsAFwAbgAgACAAIAAgACAAIABJAE4ARABFAFgAKAB7AFwAbgAgACAAIAAgACAAIAAgACAAXAAiAEIAbABlAG4AZABcACIALAAgAFwAIgBDAG8AbgBzAHQAaQB0AHUAZQBuAHQAcwBcACIALAAgAFwAIgBDAG8AbQBwAG8AcwBpAHQAaQBvAG4AIAAoACUAKQBcACIAOwBcAG4AIAAgACAAIAAgACAAIAAgAFwAIgBSAC0ANAAwADAAXAAiACwAIABcACIAQwBGAEMALQAxADIALwBDAEYAQwAtADEAMQA0AFwAIgAsACAAXAAiAFIALQA0ADAAMAAgAGMAYQBuACAAaABhAHYAZQAgAHYAYQByAGkAbwB1AHMAIABwAHIAbwBwAG8AcgB0AGkAbwBuAHMAIABvAGYAIABDAEYAQwAtADEAMgAgAGEAbgBkACAAQwBGAEMALQAxADEANAAuACAAVABoAGUAIABlAHgAYQBjAHQAIABjAG8AbQBwAG8AcwBpAHQAaQBvAG4AIABuAGUAZQBkAHMAIAB0AG8AIABiAGUAIABzAHAAZQBjAGkAZgBpAGUAZAAsACAAZQAuAGcALgAsACAAUgAtADQAMAAwACAAKAA2ADAALwA0ADAAKQAuAFwAIgA7AFwAbgAgACAAIAAgACAAIAAgACAAXAAiAFIALQA0ADAAMQBBAFwAIgAsACAAXAAiAEgAQwBGAEMALQAyADIALwBIAEYAQwAtADEANQAyAGEALwBIAEMARgBDAC0AMQAyADQAXAAiACwAIABcACIAKAA1ADMALgAwAC8AMQAzAC4AMAAvADMANAAuADAAKQBcACIAOwBcAG4AIAAgACAAIAAgACAAIAAgAFwAIgBSAC0ANAAwADEAQgBcACIALAAgAFwAIgBIAEMARgBDAC0AMgAyAC8ASABGAEMALQAxADUAMgBhAC8ASABDAEYAQwAtADEAMgA0AFwAIgAsACAAXAAiACgANgAxAC4AMAAvADEAMQAuADAALwAyADgALgAwACkAXAAiADsAXABuACAAIAAgACAAIAAgACAAIABcACIAUgAtADQAMAAxAEMAXAAiACwAIABcACIASABDAEYAQwAtADIAMgAvAEgARgBDAC0AMQA1ADIAYQAvAEgAQwBGAEMALQAxADIANABcACIALAAgAFwAIgAoADMAMwAuADAALwAxADUALgAwAC8ANQAyAC4AMAApAFwAIgA7AFwAbgAgACAAIAAgACAAIAAgACAAXAAiAFIALQA0ADAAMgBBAFwAIgAsACAAXAAiAEgARgBDAC0AMQAyADUALwBIAEMALQAyADkAMAAvAEgAQwBGAEMALQAyADIAXAAiACwAIABcACIAKAA2ADAALgAwAC8AMgAuADAALwAzADgALgAwACkAXAAiADsAXABuACAAIAAgACAAIAAgACAAIABcACIAUgAtADQAMAAyAEIAXAAiACwAIABcACIASABGAEMALQAxADIANQAvAEgAQwAtADIAOQAwAC8ASABDAEYAQwAtADIAMgBcACIALAAgAFwAIgAoADMAOAAuADAALwAyAC4AMAAvADYAMAAuADAAKQBcACIAOwBcAG4AIAAgACAAIAAgACAAIAAgAFwAIgBSAC0ANAAwADMAQQBcACIALAAgAFwAIgBIAEMALQAyADkAMAAvAEgAQwBGAEMALQAyADIALwBQAEYAQwAtADIAMQA4AFwAIgAsACAAXAAiACgANQAuADAALwA3ADUALgAwAC8AMgAwAC4AMAApAFwAIgA7AFwAbgAgACAAIAAgACAAIAAgACAAXAAiAFIALQA0ADAAMwBCAFwAIgAsACAAXAAiAEgAQwAtADIAOQAwAC8ASABDAEYAQwAtADIAMgAvAFAARgBDAC0AMgAxADgAXAAiACwAIABcACIAKAA1AC4AMAAvADUANgAuADAALwAzADkALgAwACkAXAAiADsAXABuACAAIAAgACAAIAAgACAAIABcACIAUgAtADQAMAA0AEEAXAAiACwAIABcACIASABGAEMALQAxADIANQAvAEgARgBDAC0AMQA0ADMAYQAvAEgARgBDAC0AMQAzADQAYQBcACIALAAgAFwAIgAoADQANAAuADAALwA1ADIALgAwAC8ANAAuADAAKQBcACIAOwBcAG4AIAAgACAAIAAgACAAIAAgAFwAIgBSAC0ANAAwADUAQQBcACIALAAgAFwAIgBIAEMARgBDAC0AMgAyAC8AIABIAEYAQwAtADEANQAyAGEALwBIAEMARgBDAC0AMQA0ADIAYgAvAFAARgBDAC0AMwAxADgAXAAiACwAIABcACIAKAA0ADUALgAwAC8ANwAuADAALwA1AC4ANQAvADQAMgAuADUAKQBcACIAOwBcAG4AIAAgACAAIAAgACAAIAAgAFwAIgBSAC0ANAAwADYAQQBcACIALAAgAFwAIgBIAEMARgBDAC0AMgAyAC8ASABDAC0ANgAwADAAYQAvAEgAQwBGAEMALQAxADQAMgBiAFwAIgAsACAAXAAiACgANQA1AC4AMAAvADEANAAuADAALwA0ADEALgAwACkAXAAiADsAXABuACAAIAAgACAAIAAgACAAIABcACIAUgAtADQAMAA3AEEAXAAiACwAIABcACIASABGAEMALQAzADIALwBIAEYAQwAtADEAMgA1AC8ASABGAEMALQAxADMANABhAFwAIgAsACAAXAAiACgAMgAwAC4AMAAvADQAMAAuADAALwA0ADAALgAwACkAXAAiADsAXABuACAAIAAgACAAIAAgACAAIABcACIAUgAtADQAMAA3AEIAXAAiACwAIABcACIASABGAEMALQAzADIALwBIAEYAQwAtADEAMgA1AC8ASABGAEMALQAxADMANABhAFwAIgAsACAAXAAiACgAMQAwAC4AMAAvADcAMAAuADAALwAyADAALgAwACkAXAAiADsAXABuACAAIAAgACAAIAAgACAAIABcACIAUgAtADQAMAA3AEMAXAAiACwAIABcACIASABGAEMALQAzADIALwBIAEYAQwAtADEAMgA1AC8ASABGAEMALQAxADMANABhAFwAIgAsACAAXAAiACgAMgAzAC4AMAAvADIANQAuADAALwA1ADIALgAwACkAXAAiADsAXABuACAAIAAgACAAIAAgACAAIABcACIAUgAtADQAMAA3AEQAXAAiACwAIABcACIASABGAEMALQAzADIALwBIAEYAQwAtADEAMgA1AC8ASABGAEMALQAxADMANABhAFwAIgAsACAAXAAiACgAMQA1AC4AMAAvADEANQAuADAALwA3ADAALgAwACkAXAAiADsAXABuACAAIAAgACAAIAAgACAAIABcACIAUgAtADQAMAA3AEUAXAAiACwAIABcACIASABGAEMALQAzADIALwBIAEYAQwAtADEAMgA1AC8ASABGAEMALQAxADMANABhAFwAIgAsACAAXAAiACgAMgA1AC4AMAAvADEANQAuADAALwA2ADAALgAwACkAXAAiADsAXABuACAAIAAgACAAIAAgACAAIABcACIAUgAtADQAMAA4AEEAXAAiACwAIABcACIASABGAEMALQAxADIANQAvAEgARgBDAC0AMQA0ADMAYQAvAEgAQwBGAEMALQAyADIAXAAiACwAIABcACIAKAA3AC4AMAAvADQANgAuADAALwA0ADcALgAwACkAXAAiADsAXABuACAAIAAgACAAIAAgACAAIABcACIAUgAtADQAMAA5AEEAXAAiACwAIABcACIASABDAEYAQwAtADIAMgAvAEgAQwBGAEMALQAxADIANAAvAEgAQwBGAEMALQAxADQAMgBiAFwAIgAsACAAXAAiACgANgAwAC4AMAAvADIANQAuADAALwAxADUALgAwACkAXAAiADsAXABuACAAIAAgACAAIAAgACAAIABcACIAUgAtADQAMAA5AEIAXAAiACwAIABcACIASABDAEYAQwAtADIAMgAvAEgAQwBGAEMALQAxADIANAAvAEgAQwBGAEMALQAxADQAMgBiAFwAIgAsACAAXAAiACgANgA1AC4AMAAvADIANQAuADAALwAxADAALgAwACkAXAAiADsAXABuACAAIAAgACAAIAAgACAAIABcACIAUgAtADQAMQAwAEEAXAAiACwAIABcACIASABGAEMALQAzADIALwBIAEYAQwAtADEAMgA1AFwAIgAsACAAXAAiACgANQAwAC4AMAAvADUAMAAuADAAKQBcACIAOwBcAG4AIAAgACAAIAAgACAAIAAgAFwAIgBSAC0ANAAxADAAQgBcACIALAAgAFwAIgBIAEYAQwAtADMAMgAvAEgARgBDAC0AMQAyADUAXAAiACwAIABcACIAKAA0ADUALgAwAC8ANQA1AC4AMAApAFwAIgA7AFwAbgAgACAAIAAgACAAIAAgACAAXAAiAFIALQA0ADEAMQBBAFwAIgAsACAAXAAiAEgAQwAtADEAMgA3ADAALwBIAEMARgBDAC0AMgAyAC8ASABGAEMALQAxADUAMgBhAFwAIgAsACAAXAAiACgAMQAuADUALwA4ADcALgA1AC8AMQAxAC4AMAApAFwAIgA7AFwAbgAgACAAIAAgACAAIAAgACAAXAAiAFIALQA0ADEAMQBCAFwAIgAsACAAXAAiAEgAQwAtADEAMgA3ADAALwBIAEMARgBDAC0AMgAyAC8ASABGAEMALQAxADUAMgBhAFwAIgAsACAAXAAiACgAMwAuADAALwA5ADQALgAwAC8AMwAuADAAKQBcACIAOwBcAG4AIAAgACAAIAAgACAAIAAgAFwAIgBSAC0ANAAxADEAQwBcACIALAAgAFwAIgBIAEMALQAxADIANwAwAC8ASABDAEYAQwAtADIAMgAvAEgARgBDAC0AMQA1ADIAYQBcACIALAAgAFwAIgAoADMALgAwAC8AOQA1AC4ANQAvADEALgA1ACkAXAAiADsAXABuACAAIAAgACAAIAAgACAAIABcACIAUgAtADQAMQAyAEEAXAAiACwAIABcACIASABDAEYAQwAtADIAMgAvAFAARgBDAC0AMgAxADgALwBIAEMARgBDAC0AMQA0ADIAYgBcACIALAAgAFwAIgAoADcAMAAuADAALwA1AC4AMAAvADIANQAuADAAKQBcACIAOwBcAG4AIAAgACAAIAAgACAAIAAgAFwAIgBSAC0ANAAxADMAQQBcACIALAAgAFwAIgBQAEYAQwAtADIAMQA4AC8ASABGAEMALQAxADMANABhAC8ASABDAC0ANgAwADAAYQBcACIALAAgAFwAIgAoADkALgAwAC8AOAA4AC4AMAAvADMALgAwACkAXAAiADsAXABuACAAIAAgACAAIAAgACAAIABcACIAUgAtADQAMQA0AEEAXAAiACwAIABcACIASABDAEYAQwAtADIAMgAvAEgAQwBGAEMALQAxADIANAAvAEgAQwAtADYAMAAwAGEALwBIAEMARgBDAC0AMQA0ADIAYgBcACIALAAgAFwAIgAoADUAMQAuADAALwAyADgALgA1AC8ANAAuADAALwAxADYALgA1ACkAXAAiADsAXABuACAAIAAgACAAIAAgACAAIABcACIAUgAtADQAMQA0AEIAXAAiACwAIABcACIASABDAEYAQwAtADIAMgAvAEgAQwBGAEMALQAxADIANAAvAEgAQwAtADYAMAAwAGEALwBIAEMARgBDAC0AMQA0ADIAYgBcACIALAAgAFwAIgAoADUAMAAuADAALwAzADkALgAwAC8AMQAuADUALwA5AC4ANQApAFwAIgA7AFwAbgAgACAAIAAgACAAIAAgACAAXAAiAFIALQA0ADEANQBBAFwAIgAsACAAXAAiAEgAQwBGAEMALQAyADIALwBIAEYAQwAtADEANQAyAGEAXAAiACwAIABcACIAKAA4ADIALgAwAC8AMQA4AC4AMAApAFwAIgA7AFwAbgAgACAAIAAgACAAIAAgACAAXAAiAFIALQA0ADEANQBCAFwAIgAsACAAXAAiAEgAQwBGAEMALQAyADIALwBIAEYAQwAtADEANQAyAGEAXAAiACwAIABcACIAKAAyADUALgAwAC8ANwA1AC4AMAApAFwAIgA7AFwAbgAgACAAIAAgACAAIAAgACAAXAAiAFIALQA0ADEANgBBAFwAIgAsACAAXAAiAEgARgBDAC0AMQAzADQAYQAvAEgAQwBGAEMALQAxADIANAAvAEgAQwAtADYAMAAwAFwAIgAsACAAXAAiACgANQA5AC4AMAAvADMAOQAuADUALwAxAC4ANQApAFwAIgA7AFwAbgAgACAAIAAgACAAIAAgACAAXAAiAFIALQA0ADEANwBBAFwAIgAsACAAXAAiAEgARgBDAC0AMQAyADUALwBIAEYAQwAtADEAMwA0AGEALwBIAEMALQA2ADAAMABcACIALAAgAFwAIgAoADQANgAuADYALwA1ADAALgAwAC8AMwAuADQAKQBcACIAOwBcAG4AIAAgACAAIAAgACAAIAAgAFwAIgBSAC0ANAAxADgAQQBcACIALAAgAFwAIgBIAEMALQAyADkAMAAvAEgAQwBGAEMALQAyADIALwBIAEYAQwAtADEANQAyAGEAXAAiACwAIABcACIAKAAxAC4ANQAvADkANgAuADAALwAyAC4ANQApAFwAIgA7AFwAbgAgACAAIAAgACAAIAAgACAAXAAiAFIALQA0ADEAOQBBAFwAIgAsACAAXAAiAEgARgBDAC0AMQAyADUALwBIAEYAQwAtADEAMwA0AGEALwBIAEUALQBFADEANwAwAFwAIgAsACAAXAAiACgANwA3AC4AMAAvADEAOQAuADAALwA0AC4AMAApAFwAIgA7AFwAbgAgACAAIAAgACAAIAAgACAAXAAiAFIALQA0ADIAMABBAFwAIgAsACAAXAAiAEgARgBDAC0AMQAzADQAYQAvAEgAQwBGAEMALQAxADQAMgBiAFwAIgAsACAAXAAiACgAOAA4AC4AMAAvADEAMgAuADAAKQBcACIAOwBcAG4AIAAgACAAIAAgACAAIAAgAFwAIgBSAC0ANAAyADEAQQBcACIALAAgAFwAIgBIAEYAQwAtADEAMgA1AC8ASABGAEMALQAxADMANABhAFwAIgAsACAAXAAiACgANQA4AC4AMAAvADQAMgAuADAAKQBcACIAOwBcAG4AIAAgACAAIAAgACAAIAAgAFwAIgBSAC0ANAAyADIAQQBcACIALAAgAFwAIgBIAEYAQwAtADEAMgA1AC8ASABGAEMALQAxADMANABhAC8ASABDAC0ANgAwADAAYQBcACIALAAgAFwAIgAoADgANQAuADEALwAxADEALgA1AC8AMwAuADQAKQBcACIAOwBcAG4AIAAgACAAIAAgACAAIAAgAFwAIgBSAC0ANAAyADIAQgBcACIALAAgAFwAIgBIAEYAQwAtADEAMgA1AC8ASABGAEMALQAxADMANABhAC8ASABDAC0ANgAwADAAYQBcACIALAAgAFwAIgAoADUANQAuADAALwA0ADIALgAwAC8AMwAuADAAKQBcACIAOwBcAG4AIAAgACAAIAAgACAAIAAgAFwAIgBSAC0ANAAyADIAQwBcACIALAAgAFwAIgBIAEYAQwAtADEAMgA1AC8ASABGAEMALQAxADMANABhAC8ASABDAC0ANgAwADAAYQBcACIALAAgAFwAIgAoADgAMgAuADAALwAxADUALgAwAC8AMwAuADAAKQBcACIAOwBcAG4AIAAgACAAIAAgACAAIAAgAFwAIgBSAC0ANQAwADAAXAAiACwAIABcACIAQwBGAEMALQAxADIALwBIAEYAQwAtADEANQAyAGEAXAAiACwAIABcACIAKAA3ADMALgA4AC8AMgA2AC4AMgApAFwAIgA7AFwAbgAgACAAIAAgACAAIAAgACAAXAAiAFIALQA1ADAAMQBcACIALAAgAFwAIgBIAEMARgBDAC0AMgAyAC8AQwBGAEMALQAxADIAXAAiACwAIABcACIAKAA3ADUALgAwAC8AMgA1AC4AMAApAFwAIgA7AFwAbgAgACAAIAAgACAAIAAgACAAXAAiAFIALQA1ADAAMgBcACIALAAgAFwAIgBIAEMARgBDAC0AMgAyAC8AQwBGAEMALQAxADEANQBcACIALAAgAFwAIgAoADQAOAAuADgALwA1ADEALgAyACkAXAAiADsAXABuACAAIAAgACAAIAAgACAAIABcACIAUgAtADUAMAAzAFwAIgAsACAAXAAiAEgARgBDAC0AMgAzAC8AQwBGAEMALQAxADMAXAAiACwAIABcACIAKAA0ADAALgAxAC8ANQA5AC4AOQApAFwAIgA7AFwAbgAgACAAIAAgACAAIAAgACAAXAAiAFIALQA1ADAANABcACIALAAgAFwAIgBIAEYAQwAtADMAMgAvAEMARgBDAC0AMQAxADUAXAAiACwAIABcACIAKAA0ADgALgAyAC8ANQAxAC4AOAApAFwAIgA7AFwAbgAgACAAIAAgACAAIAAgACAAXAAiAFIALQA1ADAANQBcACIALAAgAFwAIgBDAEYAQwAtADEAMgAvAEgAQwBGAEMALQAzADEAXAAiACwAIABcACIAKAA3ADgALgAwAC8AMgAyAC4AMAApAFwAIgA7AFwAbgAgACAAIAAgACAAIAAgACAAXAAiAFIALQA1ADAANgBcACIALAAgAFwAIgBDAEYAQwAtADMAMQAvAEMARgBDAC0AMQAxADQAXAAiACwAIABcACIAKAA1ADUALgAxAC8ANAA0AC4AOQApAFwAIgA7AFwAbgAgACAAIAAgACAAIAAgACAAXAAiAFIALQA1ADAANwBBAFwAIgAsACAAXAAiAEgARgBDAC0AMQAyADUALwBIAEYAQwAtADEANAAzAGEAXAAiACwAIABcACIAKAA1ADAALgAwAC8ANQAwAC4AMAApAFwAIgA7AFwAbgAgACAAIAAgACAAIAAgACAAXAAiAFIALQA1ADAAOABBAFwAIgAsACAAXAAiAEgARgBDAC0AMgAzAC8AUABGAEMALQAxADEANgBcACIALAAgAFwAIgAoADMAOQAuADAALwA2ADEALgAwACkAXAAiADsAXABuACAAIAAgACAAIAAgACAAIABcACIAUgAtADUAMAA4AEIAXAAiACwAIABcACIASABGAEMALQAyADMALwBQAEYAQwAtADEAMQA2AFwAIgAsACAAXAAiACgANAA2AC4AMAAvADUANAAuADAAKQBcACIAOwBcAG4AIAAgACAAIAAgACAAIAAgAFwAIgBSAC0ANQAwADkAQQBcACIALAAgAFwAIgBIAEMARgBDAC0AMgAyAC8AUABGAEMALQAyADEAOABcACIALAAgAFwAIgAoADQANAAuADAALwA1ADYALgAwACkAXAAiAFwAbgAgACAAIAAgACAAIAB9ACwAIAByACwAIABjACkAXABuACkAKQApADsAXABuAFwAbgBSAGUAZgByAGkAZwBlAHIAYQBuAHQAcwBfAEMAaABlAG0AaQBjAGEAbABCAGwAZQBuAGQAcwBfAFYAYQByAGkAYQB0AGkAbwBuAFwAbgA9AEwAQQBNAEIARABBACgAKABcACIAVgBBAFIASQBBAFQASQBPAE4AIABPAEYAIABTAE8AVQBSAEMARQAgAEQAQQBUAEEAOgAgAEYAaQB4AGUAZAAgAHQAeQBwAG8AIAAtACAAYwBoAGEAbgBnAGUAZAAgAEgAQwA2ADAAMABhACAAdABvACAASABDAC0ANgAwADAAYQAgAGYAbwByACAAYgBsAGUAbgBkACAAUgAtADQAMQA0AEIALgAgAEYAaQB4AGUAZAAgAHQAeQBwAG8AIABmAG8AcgAgAGIAbABlAG4AZAAgAFIALQA0ADAANQBBACAALQAgAEMAaABhAG4AZwBlAGQAIABIAEMARgBDADEANAAyAGIAIAB0AG8AIABIAEMARgBDAC0AMQA0ADIAYgAuAFwAIgApACkAOwBcAG4AXABuAFwAbgAvACoAXABuAD0APQA9AD0APQA9AD0APQA9AD0APQA9AD0APQA9AD0APQA9AD0APQA9AD0APQA9AD0APQA9AD0APQA9AD0APQA9AD0APQA9AD0APQA9AD0APQA9AD0APQA9AD0APQA9AD0APQA9AD0APQA9AD0APQA9AD0APQA9AD0APQA9AD0APQA9AD0APQA9AD0APQA9AD0APQA9AD0AXABuAEwAZQBhAGsAYQBnAGUAIAByAGEAdABlAHMAIABmAG8AcgAgAGMAbwBtAG0AbwBuACAAcgBlAGYAcgBpAGcAZQByAGEAdABpAG8AbgAgAGEAbgBkACAAYQBpAHIAXABuAD0APQA9AD0APQA9AD0APQA9AD0APQA9AD0APQA9AD0APQA9AD0APQA9AD0APQA9AD0APQA9AD0APQA9AD0APQA9AD0APQA9AD0APQA9AD0APQA9AD0APQA9AD0APQA9AD0APQA9AD0APQA9AD0APQA9AD0APQA9AD0APQA9AD0APQA9AD0APQA9AD0APQA9AD0APQA9AD0AXABuACoALwBcAG4AXABuAFIAZQBmAHIAaQBnAGUAcgBhAG4AdABzAF8ATABlAGEAawBhAGcAZQBSAGEAdABlAHMAXwBUAGkAdABsAGUAXABuAD0ATABBAE0AQgBEAEEAKAAoAFwAIgBJAG4AZABpAGMAYQB0AGkAdgBlACAAbABlAGEAawBhAGcAZQAgAHIAYQB0AGUAcwAgAGYAbwByACAAYwBvAG0AbQBvAG4AIAByAGUAZgByAGkAZwBlAHIAYQB0AGkAbwBuACAAYQBuAGQAIABhAGkAcgAgAC0AIABjAG8AbgBkAGkAdABpAG8AbgBpAG4AZwAgAGUAcQB1AGkAcABtAGUAbgB0AFwAIgApACkAOwBcAG4AXABuAFIAZQBmAHIAaQBnAGUAcgBhAG4AdABzAF8ATABlAGEAawBhAGcAZQBSAGEAdABlAHMAXwBEAGUAcwBjAHIAaQBwAHQAaQBvAG4AXABuAD0ATABBAE0AQgBEAEEAKAAoAFwAIgBcACIAKQApADsAXABuAFwAbgBSAGUAZgByAGkAZwBlAHIAYQBuAHQAcwBfAEwAZQBhAGsAYQBnAGUAUgBhAHQAZQBzAF8AUwBvAHUAcgBjAGUAXABuAD0ATABBAE0AQgBEAEEAKAAoAFwAIgBBAHUAcwB0AHIAYQBsAGkAYQBuACAATgBhAHQAaQBvAG4AYQBsACAARwByAGUAZQBuAGgAbwB1AHMAZQAgAEEAYwBjAG8AdQBuAHQAcwAgAEYAYQBjAHQAbwByAHMAIAAyADAAMgA1ACAALQAgAFQAYQBiAGwAZQAgADEAMABcACIAKQApADsAXABuAFwAbgBSAGUAZgByAGkAZwBlAHIAYQBuAHQAcwBfAEwAZQBhAGsAYQBnAGUAUgBhAHQAZQBzAF8ARABhAHQAYQBcAG4APQBMAEEATQBCAEQAQQAoAFwAbgAgACAATQBBAEsARQBBAFIAUgBBAFkAKAA4ADEALAAgADIALABcAG4AIAAgACAAIABMAEEATQBCAEQAQQAoAHIALABjACwAXABuACAAIAAgACAAIAAgAEkATgBEAEUAWAAoAHsAXABuACAAIAAgACAAIAAgACAAIABcACIAUAByAG8AZAB1AGMAdABcACIALAAgAFwAIgBBAG4AbgB1AGEAbAAgAGwAZQBhAGsAYQBnAGUAIAByAGEAdABlACAAKAAlACkAXAAiADsAXABuACAAIAAgACAAIAAgACAAIABcACIARABvAG0AZQBzAHQAaQBjACAAcgBlAGYAcgBpAGcAZQByAGEAdABvAHIAcwBcACIALAAgADEALgA3ADsAXABuACAAIAAgACAAIAAgACAAIABcACIAVAByAGEAbgBzAHAAbwByAHQAIAByAGUAZgByAGkAZwBlAHIAYQB0AGkAbwBuAFwAIgAsACAAMQA1AC4ANwA7AFwAbgAgACAAIAAgACAAIAAgACAAXAAiAEQAbwBtAGUAcwB0AGkAYwAgAEEALwBDACAAcABvAHIAdABhAGIAbABlAFwAIgAsACAAMgAuADUAOwBcAG4AIAAgACAAIAAgACAAIAAgAFwAIgBEAG8AbQBlAHMAdABpAGMAIABBAC8AQwAgAHMAcABsAGkAdABcACIALAAgADMALgA1ADsAXABuACAAIAAgACAAIAAgACAAIABcACIARABvAG0AZQBzAHQAaQBjACAAQQAvAEMAIABwAGEAYwBrAGEAZwBlAGQAXAAiACwAIAAyAC4ANQA7AFwAbgAgACAAIAAgACAAIAAgACAAXAAiAEwAaQBnAGgAdAAgAHYAZQBoAGkAYwBsAGUAIABBAC8AQwBcACIALAAgADYALgA3ADsAXABuACAAIAAgACAAIAAgACAAIABcACIASABlAGEAdgB5ACAAdgBlAGgAaQBjAGwAZQAgAEEALwBDAFwAIgAsACAAMQAwAC4AOABcAG4AIAAgACAAIAAgACAAfQAsACAAcgAsACAAYwApAFwAbgApACkAKQA7AFwAbgBcAG4AUgBlAGYAcgBpAGcAZQByAGEAbgB0AHMAXwBMAGUAYQBrAGEAZwBlAFIAYQB0AGUAcwBfAFYAYQByAGkAYQB0AGkAbwBuAFwAbgA9AEwAQQBNAEIARABBACgAKABcACIAXAAiACkAKQA7AFwAbgBcAG4AIgB9ACwAewAiAHAAYQB0AGgAIgA6ACIALwBwAHIAbwBqAGUAYwB0AHMALwBSAGUAZgByAGkAZwBlAHIAYQBuAHQAcwBfAEkAbgBwAHUAdABGAHUAbgBjAHQAaQBvAG4AcwAiACwAIgB0AGUAeAB0ACIAOgAiAFIAZQBmAHIAaQBnAGUAcgBhAG4AdABzAF8AQwBhAGwAYwB1AGwAYQB0AGUAQgBsAGUAbgBkAEcAVwBQAFwAbgA9AEwAQQBNAEIARABBACgAXABuACAAIABDAG8AbgBzAHQAaQB0AHUAZQBuAHQARgBhAGMAdABpAG8AbgAxACwAIABDAG8AbgBzAHQAaQB0AHUAZQBuAHQARwBXAFAAMQAsACAAXABuACAAIABDAG8AbgBzAHQAaQB0AHUAZQBuAHQARgBhAGMAdABpAG8AbgAyACwAIABDAG8AbgBzAHQAaQB0AHUAZQBuAHQARwBXAFAAMgAsACAAXABuACAAIABDAG8AbgBzAHQAaQB0AHUAZQBuAHQARgBhAGMAdABpAG8AbgAzACwAIABDAG8AbgBzAHQAaQB0AHUAZQBuAHQARwBXAFAAMwAsACAAXABuACAAIABDAG8AbgBzAHQAaQB0AHUAZQBuAHQARgBhAGMAdABpAG8AbgA0ACwAIABDAG8AbgBzAHQAaQB0AHUAZQBuAHQARwBXAFAANAAsAFwAbgAgACAAKABDAG8AbgBzAHQAaQB0AHUAZQBuAHQARgBhAGMAdABpAG8AbgAxACAAKgAgAEMAbwBuAHMAdABpAHQAdQBlAG4AdABHAFcAUAAxACkAIAArAFwAbgAgACAAKABDAG8AbgBzAHQAaQB0AHUAZQBuAHQARgBhAGMAdABpAG8AbgAyACAAKgAgAEMAbwBuAHMAdABpAHQAdQBlAG4AdABHAFcAUAAyACkAIAArAFwAbgAgACAAKABDAG8AbgBzAHQAaQB0AHUAZQBuAHQARgBhAGMAdABpAG8AbgAzACAAKgAgAEMAbwBuAHMAdABpAHQAdQBlAG4AdABHAFcAUAAzACkAIAArAFwAbgAgACAAKABDAG8AbgBzAHQAaQB0AHUAZQBuAHQARgBhAGMAdABpAG8AbgA0ACAAKgAgAEMAbwBuAHMAdABpAHQAdQBlAG4AdABHAFcAUAA0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GAHUAZQBsAF8ASQBuAHAAdQB0AEYAdQBuAGMAdABpAG8AbgBzAC4ARgB1AGUAbABfAEcAZQB0AFQAcgBhAG4AcwBwAG8AcgB0AEYAdQBlAGwAUwB0AHIAaQBuAGcAIgAsACIARgB1AGUAbABfAEkAbgBwAHUAdABGAHUAbgBjAHQAaQBvAG4AcwAuAEYAdQBlAGwAXwBHAGUAdABTAHQAYQB0AGkAbwBuAGEAcgB5AEYAdQBlAGwAUwB0AHIAaQBuAGcAIgAsACIARgB1AGUAbABfAEkAbgBwAHUAdABGAHUAbgBjAHQAaQBvAG4AcwAuAEYAdQBlAGwAXwBUAG8AdABhAGwAQwBvAG4AcwB1AG0AcA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dQBlAGwAXwBFAHEAdQBhAHQAaQBvAG4AcwAuAFYARQBFAFIARwBfADgAXwBYAF8ARgB1AGUAbABDAG8AbQBiAHUAcwB0AGkAbwBuAEcAZQBuAGUAcgBpAGMAIgAsACIARgB1AGUAbABfAEUAcQB1AGEAdABpAG8AbgBzAC4AVgBFAEUAUgBHAF8AOABfAFgAXwBGAHUAZQBsAEMAbwBtAGIAdQBzAHQAaQBvAG4ARwBlAG4AZQByAGkAYwBfAFQAaQB0AGwAZQAiACwAIgBGAHUAZQBsAF8ARQBxAHUAYQB0AGkAbwBuAHMALgBWAEUARQBSAEcAXwA4AF8AWABfAEYAdQBlAGwAQwBvAG0AYgB1AHMAdABpAG8AbgBHAGUAbgBlAHIAaQBjAF8AVgBhAHIAaQBhAGIAbABlACIALAAiAEYAdQBlAGwAXwBFAHEAdQBhAHQAaQBvAG4AcwAuAFYARQBFAFIARwBfADgAXwBYAF8ARgB1AGUAbABDAG8AbQBiAHUAcwB0AGkAbwBuAEcAZQBuAGUAcgBpAGMAXwBVAG4AaQB0ACIALAAiAEYAdQBlAGwAXwBFAHEAdQBhAHQAaQBvAG4AcwAuAFYARQBFAFIARwBfADgAXwBYAF8ARgB1AGUAbABDAG8AbQBiAHUAcwB0AGkAbwBuAEcAZQBuAGUAcgBpAGMAXwBTAG8AdQByAGMAZQAiACwAIgBGAHUAZQBsAF8ARQBxAHUAYQB0AGkAbwBuAHMALgBWAEUARQBSAEcAXwA4AF8AWABfAEYAdQBlAGwAQwBvAG0AYgB1AHMAdABpAG8AbgBHAGUAbgBlAHIAaQBjAF8ATgBJAFIAUgBlAGYAZQByAGUAbgBjAGUAIgAsACIARgB1AGUAbABfAEUAcQB1AGEAdABpAG8AbgBzAC4AVgBFAEUAUgBHAF8AOABfAFgAXwBGAHUAZQBsAEMAbwBtAGIAdQBzAHQAaQBvAG4ARwBlAG4AZQByAGkAYwBfAEwAYQB0AGUAeABFAHEAdQBhAHQAaQBvAG4AIgAsACIARgB1AGUAbABfAEUAcQB1AGEAdABpAG8AbgBzAC4AVgBFAEUAUgBHAF8AOABfAFgAXwBGAHUAZQBsAEMAbwBtAGIAdQBzAHQAaQBvAG4ARwBlAG4AZQByAGkAYwBfAEEAcgBnAHUAbQBlAG4AdABzACIALAAiAEYAdQBlAGwAXwBFAHEAdQBhAHQAaQBvAG4AcwAuAFYARQBFAFIARwBfADgAXwBYAF8ARgB1AGUAbABDAG8AbQBiAHUAcwB0AGkAbwBuAEcAZQBuAGUAcgBpAGMAXwBWAGEAcgBpAGEAdABpAG8AbgAiACwAIgBSAGUAZgByAGkAZwBlAHIAYQBuAHQAcwBfAEUAcQB1AGEAdABpAG8AbgBzAC4AVgBFAEUAUgBHAF8AOQBfADEAXwAxAF8AXwAxAF8AUgBlAGYAcgBpAGcAZQByAGEAbgB0AEwAZQBhAGsAaQBuAGcAIgAsACIAUgBlAGYAcgBpAGcAZQByAGEAbgB0AHMAXwBFAHEAdQBhAHQAaQBvAG4AcwAuAFYARQBFAFIARwBfADkAXwAxAF8AMQBfAF8AMQBfAFIAZQBmAHIAaQBnAGUAcgBhAG4AdABMAGUAYQBrAGkAbgBnAEcAVwBQACIALAAiAFIAZQBmAHIAaQBnAGUAcgBhAG4AdABzAF8ARQBxAHUAYQB0AGkAbwBuAHMALgBWAEUARQBSAEcAXwA5AF8AMQBfADEAXwBfADEAXwBSAGUAZgByAGkAZwBlAHIAYQBuAHQATABlAGEAawBpAG4AZwBfAFQAaQB0AGwAZQAiACwAIgBSAGUAZgByAGkAZwBlAHIAYQBuAHQAcwBfAEUAcQB1AGEAdABpAG8AbgBzAC4AVgBFAEUAUgBHAF8AOQBfADEAXwAxAF8AXwAxAF8AUgBlAGYAcgBpAGcAZQByAGEAbgB0AEwAZQBhAGsAaQBuAGcARwBXAFAAXwBUAGkAdABsAGUAIgAsACIAUgBlAGYAcgBpAGcAZQByAGEAbgB0AHMAXwBFAHEAdQBhAHQAaQBvAG4AcwAuAFYARQBFAFIARwBfADkAXwAxAF8AMQBfAF8AMQBfAFIAZQBmAHIAaQBnAGUAcgBhAG4AdABMAGUAYQBrAGkAbgBnAF8AVgBhAHIAaQBhAGIAbABlACIALAAiAFIAZQBmAHIAaQBnAGUAcgBhAG4AdABzAF8ARQBxAHUAYQB0AGkAbwBuAHMALgBWAEUARQBSAEcAXwA5AF8AMQBfADEAXwBfADEAXwBSAGUAZgByAGkAZwBlAHIAYQBuAHQATABlAGEAawBpAG4AZwBHAFcAUABfAFYAYQByAGkAYQBiAGwAZQAiACwAIgBSAGUAZgByAGkAZwBlAHIAYQBuAHQAcwBfAEUAcQB1AGEAdABpAG8AbgBzAC4AVgBFAEUAUgBHAF8AOQBfADEAXwAxAF8AXwAxAF8AUgBlAGYAcgBpAGcAZQByAGEAbgB0AEwAZQBhAGsAaQBuAGcAXwBVAG4AaQB0ACIALAAiAFIAZQBmAHIAaQBnAGUAcgBhAG4AdABzAF8ARQBxAHUAYQB0AGkAbwBuAHMALgBWAEUARQBSAEcAXwA5AF8AMQBfADEAXwBfADEAXwBSAGUAZgByAGkAZwBlAHIAYQBuAHQATABlAGEAawBpAG4AZwBHAFcAUABfAFUAbgBpAHQAIgAsACIAUgBlAGYAcgBpAGcAZQByAGEAbgB0AHMAXwBFAHEAdQBhAHQAaQBvAG4AcwAuAFYARQBFAFIARwBfADkAXwAxAF8AMQBfAF8AMQBfAFIAZQBmAHIAaQBnAGUAcgBhAG4AdABMAGUAYQBrAGkAbgBnAF8AUwBvAHUAcgBjAGUAIgAsACIAUgBlAGYAcgBpAGcAZQByAGEAbgB0AHMAXwBFAHEAdQBhAHQAaQBvAG4AcwAuAFYARQBFAFIARwBfADkAXwAxAF8AMQBfAF8AMQBfAFIAZQBmAHIAaQBnAGUAcgBhAG4AdABMAGUAYQBrAGkAbgBnAEcAVwBQAF8AUwBvAHUAcgBjAGUAIgAsACIAUgBlAGYAcgBpAGcAZQByAGEAbgB0AHMAXwBFAHEAdQBhAHQAaQBvAG4AcwAuAFYARQBFAFIARwBfADkAXwAxAF8AMQBfAF8AMQBfAFIAZQBmAHIAaQBnAGUAcgBhAG4AdABMAGUAYQBrAGkAbgBnAF8AUgBlAGEAZABhAGIAbABlAEUAcQB1AGEAdABpAG8AbgAiACwAIgBSAGUAZgByAGkAZwBlAHIAYQBuAHQAcwBfAEUAcQB1AGEAdABpAG8AbgBzAC4AVgBFAEUAUgBHAF8AOQBfADEAXwAxAF8AXwAxAF8AUgBlAGYAcgBpAGcAZQByAGEAbgB0AEwAZQBhAGsAaQBuAGcAXwBMAGEAdABlAHgARQBxAHUAYQB0AGkAbwBuACIALAAiAFIAZQBmAHIAaQBnAGUAcgBhAG4AdABzAF8ARQBxAHUAYQB0AGkAbwBuAHMALgBWAEUARQBSAEcAXwA5AF8AMQBfADEAXwBfADEAXwBSAGUAZgByAGkAZwBlAHIAYQBuAHQATABlAGEAawBpAG4AZwBHAFcAUABfAEwAYQB0AGUAeABFAHEAdQBhAHQAaQBvAG4AIgAsACIAUgBlAGYAcgBpAGcAZQByAGEAbgB0AHMAXwBFAHEAdQBhAHQAaQBvAG4AcwAuAFYARQBFAFIARwBfADkAXwAxAF8AMQBfAF8AMQBfAFIAZQBmAHIAaQBnAGUAcgBhAG4AdABMAGUAYQBrAGkAbgBnAF8AQQByAGcAdQBtAGUAbgB0AHMAIgAsACIAUgBlAGYAcgBpAGcAZQByAGEAbgB0AHMAXwBFAHEAdQBhAHQAaQBvAG4AcwAuAFYARQBFAFIARwBfADkAXwAxAF8AMQBfAF8AMQBfAFIAZQBmAHIAaQBnAGUAcgBhAG4AdABMAGUAYQBrAGkAbgBnAEcAVwBQAF8AQQByAGcAdQBtAGUAbgB0AHMAIgAsACIAUgBlAGYAcgBpAGcAZQByAGEAbgB0AHMAXwBFAHEAdQBhAHQAaQBvAG4AcwAuAFYARQBFAFIARwBfADkAXwAxAF8AMQBfAF8AMQBfAFIAZQBmAHIAaQBnAGUAcgBhAG4AdABMAGUAYQBrAGkAbgBnAF8AVgBhAHIAaQBhAHQAaQBvAG4AIgAsACIAUgBlAGYAcgBpAGcAZQByAGEAbgB0AHMAXwBTAG8AdQByAGMAZQBEAGEAdABhAC4AUgBlAGYAcgBpAGcAZQByAGEAbgB0AHMAXwBDAGgAZQBtAGkAYwBhAGwARwBXAFAAXwBUAGkAdABsAGUAIgAsACIAUgBlAGYAcgBpAGcAZQByAGEAbgB0AHMAXwBTAG8AdQByAGMAZQBEAGEAdABhAC4AUgBlAGYAcgBpAGcAZQByAGEAbgB0AHMAXwBDAGgAZQBtAGkAYwBhAGwARwBXAFAAXwBEAGUAcwBjAHIAaQBwAHQAaQBvAG4AIgAsACIAUgBlAGYAcgBpAGcAZQByAGEAbgB0AHMAXwBTAG8AdQByAGMAZQBEAGEAdABhAC4AUgBlAGYAcgBpAGcAZQByAGEAbgB0AHMAXwBDAGgAZQBtAGkAYwBhAGwARwBXAFAAXwBTAG8AdQByAGMAZQAiACwAIgBSAGUAZgByAGkAZwBlAHIAYQBuAHQAcwBfAFMAbwB1AHIAYwBlAEQAYQB0AGEALgBSAGUAZgByAGkAZwBlAHIAYQBuAHQAcwBfAEMAaABlAG0AaQBjAGEAbABHAFcAUABfAEQAYQB0AGEAIgAsACIAUgBlAGYAcgBpAGcAZQByAGEAbgB0AHMAXwBTAG8AdQByAGMAZQBEAGEAdABhAC4AUgBlAGYAcgBpAGcAZQByAGEAbgB0AHMAXwBDAGgAZQBtAGkAYwBhAGwARwBXAFAAXwBWAGEAcgBpAGEAdABpAG8AbgAiACwAIgBSAGUAZgByAGkAZwBlAHIAYQBuAHQAcwBfAFMAbwB1AHIAYwBlAEQAYQB0AGEALgBSAGUAZgByAGkAZwBlAHIAYQBuAHQAcwBfAEMAaABlAG0AaQBjAGEAbABCAGwAZQBuAGQAcwBfAFQAaQB0AGwAZQAiACwAIgBSAGUAZgByAGkAZwBlAHIAYQBuAHQAcwBfAFMAbwB1AHIAYwBlAEQAYQB0AGEALgBSAGUAZgByAGkAZwBlAHIAYQBuAHQAcwBfAEMAaABlAG0AaQBjAGEAbABCAGwAZQBuAGQAcwBfAEQAZQBzAGMAcgBpAHAAdABpAG8AbgAiACwAIgBSAGUAZgByAGkAZwBlAHIAYQBuAHQAcwBfAFMAbwB1AHIAYwBlAEQAYQB0AGEALgBSAGUAZgByAGkAZwBlAHIAYQBuAHQAcwBfAEMAaABlAG0AaQBjAGEAbABCAGwAZQBuAGQAcwBfAFMAbwB1AHIAYwBlACIALAAiAFIAZQBmAHIAaQBnAGUAcgBhAG4AdABzAF8AUwBvAHUAcgBjAGUARABhAHQAYQAuAFIAZQBmAHIAaQBnAGUAcgBhAG4AdABzAF8AQwBoAGUAbQBpAGMAYQBsAEIAbABlAG4AZABzAF8ARABhAHQAYQAiACwAIgBSAGUAZgByAGkAZwBlAHIAYQBuAHQAcwBfAFMAbwB1AHIAYwBlAEQAYQB0AGEALgBSAGUAZgByAGkAZwBlAHIAYQBuAHQAcwBfAEMAaABlAG0AaQBjAGEAbABCAGwAZQBuAGQAcwBfAFYAYQByAGkAYQB0AGkAbwBuACIALAAiAFIAZQBmAHIAaQBnAGUAcgBhAG4AdABzAF8AUwBvAHUAcgBjAGUARABhAHQAYQAuAFIAZQBmAHIAaQBnAGUAcgBhAG4AdABzAF8ATABlAGEAawBhAGcAZQBSAGEAdABlAHMAXwBUAGkAdABsAGUAIgAsACIAUgBlAGYAcgBpAGcAZQByAGEAbgB0AHMAXwBTAG8AdQByAGMAZQBEAGEAdABhAC4AUgBlAGYAcgBpAGcAZQByAGEAbgB0AHMAXwBMAGUAYQBrAGEAZwBlAFIAYQB0AGUAcwBfAEQAZQBzAGMAcgBpAHAAdABpAG8AbgAiACwAIgBSAGUAZgByAGkAZwBlAHIAYQBuAHQAcwBfAFMAbwB1AHIAYwBlAEQAYQB0AGEALgBSAGUAZgByAGkAZwBlAHIAYQBuAHQAcwBfAEwAZQBhAGsAYQBnAGUAUgBhAHQAZQBzAF8AUwBvAHUAcgBjAGUAIgAsACIAUgBlAGYAcgBpAGcAZQByAGEAbgB0AHMAXwBTAG8AdQByAGMAZQBEAGEAdABhAC4AUgBlAGYAcgBpAGcAZQByAGEAbgB0AHMAXwBMAGUAYQBrAGEAZwBlAFIAYQB0AGUAcwBfAEQAYQB0AGEAIgAsACIAUgBlAGYAcgBpAGcAZQByAGEAbgB0AHMAXwBTAG8AdQByAGMAZQBEAGEAdABhAC4AUgBlAGYAcgBpAGcAZQByAGEAbgB0AHMAXwBMAGUAYQBrAGEAZwBlAFIAYQB0AGUAcwBfAFYAYQByAGkAYQB0AGkAbwBuACIALAAiAFIAZQBmAHIAaQBnAGUAcgBhAG4AdABzAF8ASQBuAHAAdQB0AEYAdQBuAGMAdABpAG8AbgBzAC4AUgBlAGYAcgBpAGcAZQByAGEAbgB0AHMAXwBDAGEAbABjAHUAbABhAHQAZQBCAGwAZQBuAGQARwBXAFA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Overview</vt:lpstr>
      <vt:lpstr>Results</vt:lpstr>
      <vt:lpstr>Input - Refrigerants</vt:lpstr>
      <vt:lpstr>9.1.1.1-2 Refrigerant use</vt:lpstr>
      <vt:lpstr>Constants - Refrigerants</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