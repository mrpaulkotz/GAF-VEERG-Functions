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4970BEB-D820-4307-B53A-9B6E78F028DD}"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Other Livestock" sheetId="70" r:id="rId5"/>
    <sheet name="3.6.1.1-2 Enteric Methane" sheetId="69" r:id="rId6"/>
    <sheet name="Constants - Other Livestock" sheetId="79" r:id="rId7"/>
    <sheet name="Constants - Common" sheetId="102" r:id="rId8"/>
    <sheet name="Acknowledgements" sheetId="72" r:id="rId9"/>
    <sheet name="Tab template" sheetId="74" r:id="rId10"/>
  </sheets>
  <externalReferences>
    <externalReference r:id="rId11"/>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icMethane_OtherLivestock_Equations.VEERG_3_6_1_1__1_TotalAnnualMethaneFromEntericFermentationOtherLivestock">_xlfn.LAMBDA(_xlpm.N_j,_xlpm.M_j, SUM(_xlpm.N_j * _xlpm.M_j) * 10 ^ -3)</definedName>
    <definedName name="EntericMethane_OtherLivestock_Equations.VEERG_3_6_1_1__1_TotalAnnualMethaneFromEntericFermentationOtherLivestock_Arguments">_xlfn.LAMBDA(_xlfn.MAKEARRAY(3, 4, _xlfn.LAMBDA(_xlpm.r,_xlpm.c, INDEX({"N_j","number of livestock of each livestock type j","head","Input";"M_j","enteric fermentation emission factor","kg CH4/head/year","Constant";"j","livestock type","","Input"}, _xlpm.r, _xlpm.c))))</definedName>
    <definedName name="EntericMethane_OtherLivestock_Equations.VEERG_3_6_1_1__1_TotalAnnualMethaneFromEntericFermentationOtherLivestock_LatexEquation">_xlfn.LAMBDA("E_{enteric}=\sum_j(N_j\times M_j)\times 10^{-3}")</definedName>
    <definedName name="EntericMethane_OtherLivestock_Equations.VEERG_3_6_1_1__1_TotalAnnualMethaneFromEntericFermentationOtherLivestock_NIRReference">_xlfn.LAMBDA("")</definedName>
    <definedName name="EntericMethane_OtherLivestock_Equations.VEERG_3_6_1_1__1_TotalAnnualMethaneFromEntericFermentationOtherLivestock_Source">_xlfn.LAMBDA("VEERG 2026: 3.6.1.1, Equation (1)")</definedName>
    <definedName name="EntericMethane_OtherLivestock_Equations.VEERG_3_6_1_1__1_TotalAnnualMethaneFromEntericFermentationOtherLivestock_Title">_xlfn.LAMBDA("Total annual methane production from enteric fermentation in other livestock")</definedName>
    <definedName name="EntericMethane_OtherLivestock_Equations.VEERG_3_6_1_1__1_TotalAnnualMethaneFromEntericFermentationOtherLivestock_Unit">_xlfn.LAMBDA("t CH4")</definedName>
    <definedName name="EntericMethane_OtherLivestock_Equations.VEERG_3_6_1_1__1_TotalAnnualMethaneFromEntericFermentationOtherLivestock_Variable">_xlfn.LAMBDA("E_enteric")</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_xlfn.LAMBDA(_xlfn.MAKEARRAY(9, 3, _xlfn.LAMBDA(_xlpm.r,_xlpm.c, INDEX({"State","Pasture range and paddock","Uncovered Anaerobic lagoon";"ACT",0.0047,0.71;"NSW",0.0047,0.75;"NT",0.0047,0.8;"QLD",0.0047,0.78;"SA",0.0047,0.74;"TAS",0.0047,0.7;"VIC",0.0047,0.74;"WA",0.0047,0.76}, _xlpm.r, _xlpm.c))))</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NitrogenExcreted_Data">_xlfn.LAMBDA(_xlfn.MAKEARRAY(9, 2, _xlfn.LAMBDA(_xlpm.r,_xlpm.c, INDEX({"Other Livestock Type","NEj";"Buffalo",39.5;"Goats",7;"Deer",13.2;"Camels",39.5;"Alpacas",7;"Horses",39.5;"Mules/asses",13.2;"Emus/ostriches",7}, _xlpm.r, _xlpm.c))))</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69" l="1"/>
  <c r="D117" i="102"/>
  <c r="D117" i="102" a="1"/>
  <c r="D107" i="102" a="1"/>
  <c r="D107" i="102" s="1"/>
  <c r="D83" i="102" a="1"/>
  <c r="D83" i="102" s="1"/>
  <c r="D59" i="102" a="1"/>
  <c r="D59" i="102" s="1"/>
  <c r="F33" i="69" a="1"/>
  <c r="F33" i="69" s="1"/>
  <c r="D30" i="69" a="1"/>
  <c r="D30" i="69" s="1"/>
  <c r="A17" i="79"/>
  <c r="A16" i="79"/>
  <c r="A15" i="79"/>
  <c r="A12" i="79"/>
  <c r="A9" i="79"/>
  <c r="A8" i="79"/>
  <c r="A5" i="79"/>
  <c r="A4" i="79"/>
  <c r="A3" i="79"/>
  <c r="A17" i="70"/>
  <c r="A16" i="70"/>
  <c r="A15" i="70"/>
  <c r="A12" i="70"/>
  <c r="A9" i="70"/>
  <c r="A8" i="70"/>
  <c r="A5" i="70"/>
  <c r="A4" i="70"/>
  <c r="A3" i="70"/>
  <c r="A17" i="15"/>
  <c r="A16" i="15"/>
  <c r="A15" i="15"/>
  <c r="A12" i="15"/>
  <c r="A9" i="15"/>
  <c r="A8" i="15"/>
  <c r="A5" i="15"/>
  <c r="A4" i="15"/>
  <c r="A3" i="15"/>
  <c r="A17" i="13"/>
  <c r="A16" i="13"/>
  <c r="A15" i="13"/>
  <c r="A12" i="13"/>
  <c r="A9" i="13"/>
  <c r="A8" i="13"/>
  <c r="A5" i="13"/>
  <c r="A4" i="13"/>
  <c r="A3" i="13"/>
  <c r="A17" i="100"/>
  <c r="A16" i="100"/>
  <c r="A15" i="100"/>
  <c r="A12" i="100"/>
  <c r="A9" i="100"/>
  <c r="A8" i="100"/>
  <c r="A5" i="100"/>
  <c r="A4" i="100"/>
  <c r="A3" i="100"/>
  <c r="A9" i="69"/>
  <c r="A12" i="69"/>
  <c r="A15" i="69"/>
  <c r="E26" i="69"/>
  <c r="E25" i="69"/>
  <c r="E24" i="69"/>
  <c r="E23" i="69"/>
  <c r="E22" i="69"/>
  <c r="E21" i="69"/>
  <c r="E20" i="69"/>
  <c r="E19" i="69"/>
  <c r="D26" i="70"/>
  <c r="D20" i="70"/>
  <c r="D14" i="70"/>
  <c r="H30" i="69"/>
  <c r="H53" i="102" l="1"/>
  <c r="H52" i="102"/>
  <c r="H50" i="102"/>
  <c r="H54" i="102"/>
  <c r="H19" i="69"/>
  <c r="F28" i="69"/>
  <c r="H51" i="102"/>
  <c r="H49" i="102"/>
  <c r="H48" i="102"/>
  <c r="D26" i="69"/>
  <c r="D25" i="69"/>
  <c r="D24" i="69"/>
  <c r="D23" i="69"/>
  <c r="D22" i="69"/>
  <c r="D21" i="69"/>
  <c r="D20" i="69"/>
  <c r="D19" i="69"/>
  <c r="A17" i="69"/>
  <c r="A16" i="69"/>
  <c r="A8" i="69"/>
  <c r="A5" i="69"/>
  <c r="A4" i="69"/>
  <c r="A3" i="69"/>
  <c r="F26" i="69" l="1" a="1"/>
  <c r="F26" i="69" s="1"/>
  <c r="G26" i="69" s="1"/>
  <c r="F25" i="69" a="1"/>
  <c r="F25" i="69" s="1"/>
  <c r="G25" i="69" s="1"/>
  <c r="F20" i="69" a="1"/>
  <c r="F20" i="69" s="1"/>
  <c r="G20" i="69" s="1"/>
  <c r="F23" i="69" a="1"/>
  <c r="F23" i="69" s="1"/>
  <c r="G23" i="69" s="1"/>
  <c r="F19" i="69" a="1"/>
  <c r="F19" i="69" s="1"/>
  <c r="G19" i="69" s="1"/>
  <c r="F21" i="69" a="1"/>
  <c r="F21" i="69" s="1"/>
  <c r="G21" i="69" s="1"/>
  <c r="F22" i="69" a="1"/>
  <c r="F22" i="69" s="1"/>
  <c r="G22" i="69" s="1"/>
  <c r="F24" i="69" a="1"/>
  <c r="F24" i="69" s="1"/>
  <c r="G24" i="69" s="1"/>
  <c r="E28" i="69" l="1"/>
  <c r="E7" i="13" l="1"/>
  <c r="F7" i="13" s="1"/>
  <c r="G30" i="69"/>
  <c r="E33" i="69" s="1" a="1"/>
  <c r="E33" i="69" s="1"/>
  <c r="H7" i="13" s="1"/>
  <c r="I7" i="13" s="1"/>
  <c r="A39" i="74"/>
  <c r="A38" i="74"/>
  <c r="A37" i="74"/>
  <c r="A36" i="74"/>
  <c r="A33" i="74"/>
  <c r="A30" i="74"/>
  <c r="A29" i="74"/>
  <c r="A28" i="74"/>
  <c r="A27" i="74"/>
  <c r="A26" i="74"/>
  <c r="A25" i="74"/>
  <c r="A24" i="74"/>
  <c r="A19" i="74"/>
  <c r="A18" i="74"/>
  <c r="A15" i="74"/>
  <c r="A14" i="74"/>
  <c r="A13" i="74"/>
  <c r="A12" i="74"/>
  <c r="A11" i="74"/>
  <c r="A10" i="74"/>
  <c r="A9" i="74"/>
  <c r="A8" i="74"/>
  <c r="A7" i="74"/>
  <c r="A4" i="74"/>
  <c r="D8" i="70" l="1"/>
  <c r="H8" i="13" l="1"/>
  <c r="I8" i="13"/>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<sst xmlns="http://schemas.openxmlformats.org/spreadsheetml/2006/main" count="599" uniqueCount="366">
  <si>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</si>
  <si>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</si>
  <si>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</si>
  <si>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</si>
  <si>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</si>
  <si>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</si>
  <si>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</si>
  <si>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</si>
  <si>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</si>
  <si>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</si>
  <si>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</si>
  <si>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</si>
  <si>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</si>
  <si>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</si>
  <si>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</si>
  <si>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</si>
  <si>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</si>
  <si>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</si>
  <si>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</si>
  <si>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</si>
  <si>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</si>
  <si>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</si>
  <si>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</si>
  <si>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</si>
  <si>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</si>
  <si>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</si>
  <si>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</si>
  <si>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</si>
  <si>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</si>
  <si>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</si>
  <si>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</si>
  <si>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</si>
  <si>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</si>
  <si>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</si>
  <si>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</si>
  <si>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</si>
  <si>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</si>
  <si>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</si>
  <si>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</si>
  <si>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</si>
  <si>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</si>
  <si>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</si>
  <si>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</si>
  <si>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</si>
  <si>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</si>
  <si>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</si>
  <si>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</si>
  <si>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</si>
  <si>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</si>
  <si>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</si>
  <si>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</si>
  <si>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</si>
  <si>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</si>
  <si>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</si>
  <si>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</si>
  <si>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</si>
  <si>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</si>
  <si>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</si>
  <si>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</si>
  <si>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</si>
  <si>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</si>
  <si>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</si>
  <si>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</si>
  <si>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</si>
  <si>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head</t>
  </si>
  <si>
    <t>Method 1</t>
  </si>
  <si>
    <t>Method 2</t>
  </si>
  <si>
    <t>Scope 1 source</t>
  </si>
  <si>
    <t>Production system j</t>
  </si>
  <si>
    <t>EFN2O</t>
  </si>
  <si>
    <t>Production system only</t>
  </si>
  <si>
    <t>Irrigation method</t>
  </si>
  <si>
    <t>Total</t>
  </si>
  <si>
    <t>GHG Unit</t>
  </si>
  <si>
    <t>CO2-e unit</t>
  </si>
  <si>
    <t>Irrigation type i</t>
  </si>
  <si>
    <t>EFPRP</t>
  </si>
  <si>
    <t>Month</t>
  </si>
  <si>
    <t>Season</t>
  </si>
  <si>
    <t>Acknowledgements</t>
  </si>
  <si>
    <t>GHG emissions method 1</t>
  </si>
  <si>
    <t>GHG emissions method 2</t>
  </si>
  <si>
    <t>CO2-e emissions method 1</t>
  </si>
  <si>
    <t>t CO2e</t>
  </si>
  <si>
    <t>CO2-e emissions method 2</t>
  </si>
  <si>
    <t>Direct application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</si>
  <si>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</si>
  <si>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</si>
  <si>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</si>
  <si>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</si>
  <si>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</si>
  <si>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</si>
  <si>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</si>
  <si>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</si>
  <si>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</si>
  <si>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</si>
  <si>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</si>
  <si>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</si>
  <si>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</si>
  <si>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</si>
  <si>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</si>
  <si>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</si>
  <si>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 Below is a diagram that maps the equations used to calculate emissions and how they interact with each other.</t>
  </si>
  <si>
    <t>Source Data - Other Livestock</t>
  </si>
  <si>
    <t>Other livestock type</t>
  </si>
  <si>
    <t>Mj</t>
  </si>
  <si>
    <t>NEj</t>
  </si>
  <si>
    <t>VSj</t>
  </si>
  <si>
    <t>Wco</t>
  </si>
  <si>
    <t>Wco2</t>
  </si>
  <si>
    <t>Uncovered anaerobic lagoon</t>
  </si>
  <si>
    <t>3.6.1.1-2 Manure Methane</t>
  </si>
  <si>
    <t>Input - Other Livestock</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</si>
  <si>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</si>
  <si>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</si>
  <si>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</si>
  <si>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</si>
  <si>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</si>
  <si>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</si>
  <si>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</si>
  <si>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</si>
  <si>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</si>
  <si>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</si>
  <si>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</si>
  <si>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</si>
  <si>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</si>
  <si>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</si>
  <si>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</si>
  <si>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</si>
  <si>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</si>
  <si>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</si>
  <si>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</si>
  <si>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</si>
  <si>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</si>
  <si>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</si>
  <si>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</si>
  <si>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Livestock type</t>
  </si>
  <si>
    <t>Nj</t>
  </si>
  <si>
    <t>Eenteric</t>
  </si>
  <si>
    <t>3.6 Enteric Methane: Other Livestock: Results</t>
  </si>
  <si>
    <t>3.6: Enteric Methane: Other Livestock: Overview</t>
  </si>
  <si>
    <r>
      <t>E</t>
    </r>
    <r>
      <rPr>
        <vertAlign val="subscript"/>
        <sz val="12"/>
        <color theme="1" tint="0.24994659260841701"/>
        <rFont val="Times New Roman"/>
        <family val="1"/>
      </rPr>
      <t>CO2e</t>
    </r>
    <r>
      <rPr>
        <sz val="12"/>
        <color theme="1" tint="0.24994659260841701"/>
        <rFont val="Times New Roman"/>
        <family val="1"/>
      </rPr>
      <t xml:space="preserve"> (Method 1)</t>
    </r>
  </si>
  <si>
    <t>t CH4</t>
  </si>
  <si>
    <t>Climate Zone</t>
  </si>
  <si>
    <t>EFNi &amp; EFN2Oi</t>
  </si>
  <si>
    <t>Total annual methane production from enteric fermentation in other livestock</t>
  </si>
  <si>
    <t>VEERG 2026: 3.6.1.1, Equation (1)</t>
  </si>
  <si>
    <t>E_enteric</t>
  </si>
  <si>
    <t>N_j</t>
  </si>
  <si>
    <t>number of livestock of each livestock type j</t>
  </si>
  <si>
    <t>M_j</t>
  </si>
  <si>
    <t>enteric fermentation emission factor</t>
  </si>
  <si>
    <t>j</t>
  </si>
  <si>
    <t>livestock type</t>
  </si>
  <si>
    <t>Input</t>
  </si>
  <si>
    <t>kg CH4/head/year</t>
  </si>
  <si>
    <t>Constant</t>
  </si>
  <si>
    <t>Other Livestock - Enteric fermentation emission factor for each other livestock type</t>
  </si>
  <si>
    <t>VEERG 2026: Table A.1.5.1</t>
  </si>
  <si>
    <t>kg CH4 / head / year</t>
  </si>
  <si>
    <t>Mules/asses</t>
  </si>
  <si>
    <t>Emus/ostriches</t>
  </si>
  <si>
    <t>Other Livestock - Volatile solids produced by each other livestock type</t>
  </si>
  <si>
    <t>VEERG 2026: Table A.1.5.2</t>
  </si>
  <si>
    <t>kg VS / head / day</t>
  </si>
  <si>
    <t>Other Livestock - Nitrogen excreted per livestock type</t>
  </si>
  <si>
    <t>VEERG 2026: Table A.1.5.3</t>
  </si>
  <si>
    <t>kg N2O / head / year</t>
  </si>
  <si>
    <t>Other Livestock - Average Liveweights</t>
  </si>
  <si>
    <t>VEERG 2026: Table A.1.5.4</t>
  </si>
  <si>
    <t>kg</t>
  </si>
  <si>
    <t>-</t>
  </si>
  <si>
    <t>28kg - low productivity systems</t>
  </si>
  <si>
    <t>50kg - high productivity systems</t>
  </si>
  <si>
    <t>Reference</t>
  </si>
  <si>
    <t>IPCC 2019 Table 10A.5 [2]</t>
  </si>
  <si>
    <t>IPCC 2019 Table 10.10 [2]</t>
  </si>
  <si>
    <t>Other Livestock - Fraction of waste in each manure management system</t>
  </si>
  <si>
    <t>VEERG 2026: Table A.1.5.5</t>
  </si>
  <si>
    <t>MMSm</t>
  </si>
  <si>
    <t>fraction</t>
  </si>
  <si>
    <t>ACT</t>
  </si>
  <si>
    <t>NSW</t>
  </si>
  <si>
    <t>NT</t>
  </si>
  <si>
    <t>QLD</t>
  </si>
  <si>
    <t>SA</t>
  </si>
  <si>
    <t>TAS</t>
  </si>
  <si>
    <t>VIC</t>
  </si>
  <si>
    <t>WA</t>
  </si>
  <si>
    <t>Other Livestock - Methane conversion factor per region</t>
  </si>
  <si>
    <t>VEERG 2026: Table A.1.5.6</t>
  </si>
  <si>
    <t>MCFim</t>
  </si>
  <si>
    <t>Australian states and territories</t>
  </si>
  <si>
    <t>New South Wales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</si>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</sst>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59"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
      <vertAlign val="subscript"/>
      <sz val="12"/>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style="thin">
        <color theme="0" tint="-0.34998626667073579"/>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1"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2" fillId="4" borderId="0">
      <alignment horizontal="left" vertical="center"/>
    </xf>
    <xf numFmtId="0" fontId="45" fillId="11" borderId="0">
      <alignment horizontal="center" vertical="center"/>
    </xf>
    <xf numFmtId="0" fontId="22" fillId="11" borderId="0">
      <alignment horizontal="left" vertical="center" indent="1"/>
    </xf>
    <xf numFmtId="0" fontId="54" fillId="14" borderId="2">
      <alignment horizontal="center" vertical="center"/>
    </xf>
    <xf numFmtId="0" fontId="55" fillId="15" borderId="2">
      <alignment horizontal="center" vertical="center"/>
    </xf>
    <xf numFmtId="0" fontId="33" fillId="4" borderId="2">
      <alignment horizontal="left" vertical="center"/>
    </xf>
    <xf numFmtId="0" fontId="56" fillId="4" borderId="2">
      <alignment horizontal="left" vertical="center"/>
    </xf>
  </cellStyleXfs>
  <cellXfs count="107">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3" fontId="2" fillId="0" borderId="2" xfId="18">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6" fillId="4" borderId="1" xfId="55" applyBorder="1">
      <alignment horizontal="left" vertical="center"/>
    </xf>
    <xf numFmtId="0" fontId="52" fillId="4" borderId="0" xfId="6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53" fillId="0" borderId="0" xfId="2" applyFont="1"/>
    <xf numFmtId="0" fontId="54" fillId="14" borderId="2" xfId="64">
      <alignment horizontal="center" vertical="center"/>
    </xf>
    <xf numFmtId="0" fontId="55" fillId="15" borderId="2" xfId="65">
      <alignment horizontal="center" vertical="center"/>
    </xf>
    <xf numFmtId="0" fontId="33" fillId="4" borderId="2" xfId="66">
      <alignment horizontal="left" vertical="center"/>
    </xf>
    <xf numFmtId="0" fontId="33" fillId="4" borderId="6" xfId="66" applyBorder="1">
      <alignment horizontal="left" vertical="center"/>
    </xf>
    <xf numFmtId="0" fontId="33" fillId="4" borderId="7" xfId="66" applyBorder="1">
      <alignment horizontal="left" vertical="center"/>
    </xf>
    <xf numFmtId="0" fontId="57" fillId="9" borderId="0" xfId="32" applyFont="1" applyFill="1"/>
    <xf numFmtId="0" fontId="38" fillId="9" borderId="0" xfId="8" applyFill="1">
      <alignment horizontal="left" vertical="center"/>
    </xf>
    <xf numFmtId="0" fontId="17" fillId="11" borderId="0" xfId="31" applyFill="1">
      <alignment vertical="center"/>
    </xf>
    <xf numFmtId="0" fontId="43" fillId="13" borderId="19" xfId="40" applyBorder="1">
      <alignment horizontal="left" vertical="center"/>
    </xf>
    <xf numFmtId="0" fontId="44" fillId="13" borderId="20" xfId="40" applyFont="1" applyBorder="1">
      <alignment horizontal="left" vertical="center"/>
    </xf>
    <xf numFmtId="0" fontId="43" fillId="13" borderId="20" xfId="40" applyBorder="1">
      <alignment horizontal="left" vertical="center"/>
    </xf>
    <xf numFmtId="0" fontId="50" fillId="4" borderId="1" xfId="12" applyFont="1" applyBorder="1">
      <alignment horizontal="left" vertical="center" indent="1"/>
    </xf>
    <xf numFmtId="0" fontId="22" fillId="8" borderId="0" xfId="38">
      <alignment horizontal="left" vertical="center" indent="1"/>
    </xf>
    <xf numFmtId="0" fontId="22" fillId="5" borderId="0" xfId="37">
      <alignment horizontal="left" vertical="center" indent="1"/>
    </xf>
    <xf numFmtId="0" fontId="22" fillId="11" borderId="0" xfId="63">
      <alignment horizontal="left" vertical="center" indent="1"/>
    </xf>
    <xf numFmtId="0" fontId="33" fillId="4" borderId="2" xfId="54" applyAlignment="1">
      <alignment horizontal="left" vertical="center"/>
    </xf>
    <xf numFmtId="0" fontId="33" fillId="4" borderId="7" xfId="54" applyBorder="1" applyAlignment="1">
      <alignment horizontal="left" vertical="center"/>
    </xf>
    <xf numFmtId="0" fontId="33" fillId="4" borderId="21" xfId="54" applyBorder="1">
      <alignment horizontal="center"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6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6"/>
      <tableStyleElement type="headerRow" dxfId="65"/>
      <tableStyleElement type="totalRow" dxfId="64"/>
      <tableStyleElement type="firstColumn" dxfId="63"/>
      <tableStyleElement type="firstRowStripe" dxfId="62"/>
      <tableStyleElement type="secondRowStripe" dxfId="61"/>
    </tableStyle>
    <tableStyle name="Equation table" pivot="0" count="6" xr9:uid="{B247698E-E41D-4CCD-AA0A-C14817E9DE65}">
      <tableStyleElement type="wholeTable" dxfId="60"/>
      <tableStyleElement type="headerRow" dxfId="59"/>
      <tableStyleElement type="totalRow" dxfId="58"/>
      <tableStyleElement type="firstColumn" dxfId="57"/>
      <tableStyleElement type="firstRowStripe" dxfId="56"/>
      <tableStyleElement type="secondRowStripe" dxfId="55"/>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3.6.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3.6.1.1-2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6.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Total annual methane production from enteric fermentation in other livestock</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38100</xdr:rowOff>
    </xdr:from>
    <xdr:ext cx="190616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6AD7154-B3B2-1B2E-CD59-54B89FE69FDA}"/>
                </a:ext>
              </a:extLst>
            </xdr:cNvPr>
            <xdr:cNvSpPr txBox="1"/>
          </xdr:nvSpPr>
          <xdr:spPr>
            <a:xfrm>
              <a:off x="2690812" y="1905000"/>
              <a:ext cx="190616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𝐸_𝑒𝑛𝑡𝑒𝑟𝑖𝑐=∑8_𝑗▒(𝑁_𝑗×𝑀_𝑗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4_7_ManureManagement_OtherLivestock_WIP_v01.xlsx" TargetMode="External"/><Relationship Id="rId1" Type="http://schemas.openxmlformats.org/officeDocument/2006/relationships/externalLinkPath" Target="4_7_ManureManagement_OtherLivestock_WIP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ite"/>
      <sheetName val="Input - Feedlot"/>
      <sheetName val="4.6.1.1-2 Manure Methane"/>
      <sheetName val="Constants - Other Livestock"/>
      <sheetName val="Constants - Common"/>
      <sheetName val="Constants - Livestock"/>
      <sheetName val="Acknowledgements"/>
      <sheetName val="4_7_ManureManagement_OtherLives"/>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024E4-8969-4519-9E31-15AF99CB48B1}" name="Table_SourceData_OtherLivestock_EntericEF" displayName="Table_SourceData_OtherLivestock_EntericEF" ref="D9:E17" totalsRowShown="0">
  <autoFilter ref="D9:E17" xr:uid="{3DC024E4-8969-4519-9E31-15AF99CB48B1}">
    <filterColumn colId="0" hiddenButton="1"/>
    <filterColumn colId="1" hiddenButton="1"/>
  </autoFilter>
  <tableColumns count="2">
    <tableColumn id="1" xr3:uid="{D57CB9BE-4423-4B3C-8812-0053460E9FD4}"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76CA99E-B6FF-4452-AA90-21B8618FF161}" name="Mj" dataDxfId="18"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649617-63F2-4A80-A5EB-06A3280A3C57}" name="Table_SourceData_OtherLivestock_VolatileSolids" displayName="Table_SourceData_OtherLivestock_VolatileSolids" ref="D24:E32" totalsRowShown="0" dataDxfId="17" dataCellStyle="Content normal">
  <autoFilter ref="D24:E32" xr:uid="{75649617-63F2-4A80-A5EB-06A3280A3C57}">
    <filterColumn colId="0" hiddenButton="1"/>
    <filterColumn colId="1" hiddenButton="1"/>
  </autoFilter>
  <tableColumns count="2">
    <tableColumn id="1" xr3:uid="{3E3B834E-0F7A-47D3-954A-A57B2234370A}" name="Other livestock type" dataDxfId="16"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0BCFF128-A246-43C6-BB57-DC9448A80579}" name="VSj" dataDxfId="15"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C94C8-449D-4574-AF4D-39C274C53A6F}" name="Table_SourceData_OtherLivestock_NitrogenExcreted" displayName="Table_SourceData_OtherLivestock_NitrogenExcreted" ref="D39:E47" totalsRowShown="0" dataDxfId="14" dataCellStyle="Content normal">
  <autoFilter ref="D39:E47" xr:uid="{522C94C8-449D-4574-AF4D-39C274C53A6F}">
    <filterColumn colId="0" hiddenButton="1"/>
    <filterColumn colId="1" hiddenButton="1"/>
  </autoFilter>
  <tableColumns count="2">
    <tableColumn id="1" xr3:uid="{92CD5559-01AC-4144-B6DC-7F856864840C}" name="Other livestock type" dataDxfId="13"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A4955FC2-927B-4DF6-B94C-068E74A6FF39}" name="NEj" dataDxfId="12"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C66B47-C28A-4E61-BD61-AB59792A938B}" name="Table_SourceData_OtherLivestock_AverageLiveweight" displayName="Table_SourceData_OtherLivestock_AverageLiveweight" ref="D54:F64" totalsRowShown="0" dataDxfId="11" dataCellStyle="Content normal">
  <autoFilter ref="D54:F64" xr:uid="{08C66B47-C28A-4E61-BD61-AB59792A938B}">
    <filterColumn colId="0" hiddenButton="1"/>
    <filterColumn colId="1" hiddenButton="1"/>
    <filterColumn colId="2" hiddenButton="1"/>
  </autoFilter>
  <tableColumns count="3">
    <tableColumn id="1" xr3:uid="{92B26601-57E2-4637-B097-133483C8744F}" name="Other livestock type" dataDxfId="10"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6D10B565-469B-4476-91DD-3E192D501AEC}" name="Wco" dataDxfId="9"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4285ACF1-A507-45A9-B06F-3C8A119CF7C4}" name="Wco2" dataDxfId="8"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7E53D2-4463-4A85-80B5-5691AD7D98C8}" name="Table_SourceData_OtherLivestock_FractionWasteInMMS" displayName="Table_SourceData_OtherLivestock_FractionWasteInMMS" ref="D71:F79" totalsRowShown="0" dataDxfId="7" dataCellStyle="Content normal">
  <autoFilter ref="D71:F79" xr:uid="{717E53D2-4463-4A85-80B5-5691AD7D98C8}">
    <filterColumn colId="0" hiddenButton="1"/>
    <filterColumn colId="1" hiddenButton="1"/>
    <filterColumn colId="2" hiddenButton="1"/>
  </autoFilter>
  <tableColumns count="3">
    <tableColumn id="1" xr3:uid="{3C1197CD-1D52-441D-BBC2-CD949C23252D}" name="Other livestock type" dataDxfId="6"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073D8FF-B3DA-4F6A-932F-294E074768D7}" name="Pasture range and paddock" dataDxfId="5"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BE446918-69F7-4B13-8457-24AF8D4D48BC}" name="Uncovered anaerobic lagoon" dataDxfId="4"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A04BB4-DA20-428E-BF28-5455856D0A35}" name="Table_SourceData_OtherLivestock_MCF" displayName="Table_SourceData_OtherLivestock_MCF" ref="D86:F94" totalsRowShown="0" dataDxfId="3" dataCellStyle="Content normal">
  <autoFilter ref="D86:F94" xr:uid="{AFA04BB4-DA20-428E-BF28-5455856D0A35}">
    <filterColumn colId="0" hiddenButton="1"/>
    <filterColumn colId="1" hiddenButton="1"/>
    <filterColumn colId="2" hiddenButton="1"/>
  </autoFilter>
  <tableColumns count="3">
    <tableColumn id="1" xr3:uid="{378D0529-B2BA-4B26-B22D-9D5AE994C705}" name="Other livestock type" dataDxfId="2"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614FC5E3-9067-4D7A-9048-5C785284F6FC}" name="Pasture range and paddock" dataDxfId="1"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9125F130-A695-42FD-984B-66D9A47F338B}" name="Uncovered anaerobic lagoon" dataDxfId="0"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E089AD-2CC8-4A13-B28C-D1C37F1413F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C8F314E-448B-4DFB-9FB6-24EB1C068822}" name="State/Territory">
      <calculatedColumnFormula array="1">Common_InputFunctions.Utility_DisplayArrayInTable(Common_SourceData.Common_SourceData_AustralianStatesTerritories_Data(),Table_AustralianStates[[#Headers],[State/Territory]],0)</calculatedColumnFormula>
    </tableColumn>
    <tableColumn id="2" xr3:uid="{0CDE5FB6-156E-4C8F-BE5E-AE847E4623E5}" name="Common Name">
      <calculatedColumnFormula array="1">Common_InputFunctions.Utility_DisplayArrayInTable(Common_SourceData.Common_SourceData_AustralianStatesTerritories_Data(),Table_AustralianStates[[#Headers],[State/Territory]],0)</calculatedColumnFormula>
    </tableColumn>
    <tableColumn id="3" xr3:uid="{48462493-A4EA-444E-992B-54CD236800A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77630A7-A8D1-4F5F-B575-BC9FABFD34E8}" name="Table_WASA4Areas" displayName="Table_WASA4Areas" ref="D20:D30" totalsRowShown="0">
  <autoFilter ref="D20:D30" xr:uid="{5FA81339-C6C8-4D36-BEEA-6C4AEDD9E676}">
    <filterColumn colId="0" hiddenButton="1"/>
  </autoFilter>
  <tableColumns count="1">
    <tableColumn id="1" xr3:uid="{D18F34C1-11FB-4248-811F-713D855F694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11C6061-9DBF-4C48-A0C9-EF5912EE11FB}" name="Table_GWPData" displayName="Table_GWPData" ref="D36:E43" totalsRowShown="0">
  <autoFilter ref="D36:E43" xr:uid="{B8E87A66-3E41-4AD3-925D-01EE21B43D7A}">
    <filterColumn colId="0" hiddenButton="1"/>
    <filterColumn colId="1" hiddenButton="1"/>
  </autoFilter>
  <tableColumns count="2">
    <tableColumn id="1" xr3:uid="{D1260DFE-7F08-4477-ADE7-CA810E99F721}" name="Gas">
      <calculatedColumnFormula array="1">Common_InputFunctions.Utility_DisplayArrayInTable(Common_SourceData.Common_SourceData_GWP_Data(), Table_GWPData[[#Headers],[Gas]], 0)</calculatedColumnFormula>
    </tableColumn>
    <tableColumn id="2" xr3:uid="{E52C9195-EBCB-4DA9-9E83-AFF26E2BF1B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71AF780-EF58-40FF-A830-4A54D473212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2AB5E5-72DD-48EA-A441-7826E274BEFA}" name="Gas">
      <calculatedColumnFormula array="1">Common_InputFunctions.Utility_DisplayArrayInTable(Common_SourceData.Common_SourceData_ConvertGasElementalToMolecular_Data(),Table_GasToMolecularConversionFactor[[#Headers],[Gas]], 0)</calculatedColumnFormula>
    </tableColumn>
    <tableColumn id="5" xr3:uid="{C069A4B0-ECBC-487A-9D3E-D40BCB3AFE2D}" name="Conversion factor">
      <calculatedColumnFormula array="1">Common_InputFunctions.Utility_DisplayArrayInTable(Common_SourceData.Common_SourceData_ConvertGasElementalToMolecular_Data(),Table_GasToMolecularConversionFactor[[#Headers],[Gas]], 0)</calculatedColumnFormula>
    </tableColumn>
    <tableColumn id="2" xr3:uid="{6F9E09B3-0380-428A-9CB8-C5355F18AB24}"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99DCAD2-B15F-455D-A39D-C0CB7872FAC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79D1385-10B4-4C3D-812C-B3ADC8B6446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571E06B-2FB6-4DCB-9306-6E8B7E50DF1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1368F08-D067-4EEC-B0CC-D2E1F6D9327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73305BF-D908-4C35-A934-C13BC9D3D8FF}" name="MA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3" xr3:uid="{DF05DA85-723A-420A-AA03-0A716BECCE22}" name="MA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4" xr3:uid="{8B8F9D2B-3A8F-44F1-9417-280165AE86AB}" name="Frost days per year"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5" xr3:uid="{31B1CBF8-C757-4A17-AD4E-3FED04A08D97}" name="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6" xr3:uid="{9F5D51C1-ECC4-49B6-A4BE-AE3B3C663E64}" name="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7" xr3:uid="{874F3D25-0748-4359-BEF3-58E34D4DFAA6}" name="Min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8" xr3:uid="{79652299-3198-47E6-B342-A54F0A0B3674}" name="Max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9" xr3:uid="{A0139A89-1186-4484-B833-03C424C4D2C4}" name="Min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0" xr3:uid="{BD7A797C-3EEA-481F-9533-984ECCA62AC3}" name="Max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1" xr3:uid="{29123C0E-9E60-43AB-8679-2AC0908200D0}" name="Min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5" xr3:uid="{04AF6D35-FBEF-4E38-B28D-0C23F8EDC5F6}" name="Max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2" xr3:uid="{475991F7-F3B5-4EEA-966A-7AA8BC301814}" name="Min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6" xr3:uid="{767BBD4C-C554-4460-AAD8-ECADA490C9C0}" name="Max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3" xr3:uid="{65D9D85B-649F-4683-B866-BF022CDF3E13}" name="Min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7" xr3:uid="{969B2D30-E5CD-48F6-AF2A-DAC6295F1FF1}" name="Max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DDF37ED-9327-4273-B740-938A121443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6F7317C-9F68-4F62-B737-D7ABF2DFF38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29B1B14-5629-4B1C-9602-463A80BF745E}" name="Wet or Dry Zone" totalsRowDxfId="3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90E8CDE-696F-471D-B4F7-D0F3BE6AD6E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767FA53-E454-4115-A4B3-DED062EED278}" name="Temperature Zone">
      <calculatedColumnFormula array="1">Common_InputFunctions.Utility_DisplayArrayInTable(Common_SourceData.Common_SourceData_TemperatureZones_Data(),Table_SourceData_TemperatureZones[[#Headers],[Temperature Zone]],0)</calculatedColumnFormula>
    </tableColumn>
    <tableColumn id="2" xr3:uid="{28532D1E-227F-4FEB-818C-7F2BC92126D0}" name="MAT">
      <calculatedColumnFormula array="1">Common_InputFunctions.Utility_DisplayArrayInTable(Common_SourceData.Common_SourceData_TemperatureZones_Data(),Table_SourceData_TemperatureZones[[#Headers],[Temperature Zone]],0)</calculatedColumnFormula>
    </tableColumn>
    <tableColumn id="3" xr3:uid="{45E163CE-3902-4B82-B9CC-59620B4E4ED4}" name="Min MAT">
      <calculatedColumnFormula array="1">Common_InputFunctions.Utility_DisplayArrayInTable(Common_SourceData.Common_SourceData_TemperatureZones_Data(),Table_SourceData_TemperatureZones[[#Headers],[Temperature Zone]],0)</calculatedColumnFormula>
    </tableColumn>
    <tableColumn id="4" xr3:uid="{96F2EA78-ED18-493D-8A43-55427191118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8354839-706C-4F2B-BF62-2EF4D3DA4D6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87CE355-CB72-4F48-96ED-6DC9E1A54DA9}" name="Rainfall Zone">
      <calculatedColumnFormula array="1">Common_InputFunctions.Utility_DisplayArrayInTable(Common_SourceData.Common_SourceData_RainfallZones_Data(),Table_SourceData_RainfallZones[[#Headers],[Rainfall Zone]],0)</calculatedColumnFormula>
    </tableColumn>
    <tableColumn id="2" xr3:uid="{CF57602B-CA70-4AA7-94E6-9CE1D9C8C294}" name="Annual rainfall">
      <calculatedColumnFormula array="1">Common_InputFunctions.Utility_DisplayArrayInTable(Common_SourceData.Common_SourceData_RainfallZones_Data(),Table_SourceData_RainfallZones[[#Headers],[Rainfall Zone]],0)</calculatedColumnFormula>
    </tableColumn>
    <tableColumn id="3" xr3:uid="{6165D635-272A-4C24-B337-38B8A33057DA}" name="Min rainfall">
      <calculatedColumnFormula array="1">Common_InputFunctions.Utility_DisplayArrayInTable(Common_SourceData.Common_SourceData_RainfallZones_Data(),Table_SourceData_RainfallZones[[#Headers],[Rainfall Zone]],0)</calculatedColumnFormula>
    </tableColumn>
    <tableColumn id="4" xr3:uid="{02DC014A-F442-41A1-82FF-EFC4545791D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8538017-FC63-4011-82EC-704266C8D2C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FAA5237-AAFB-4DF9-9DA3-DCD93FAB1DC5}" name="Leaching Zone">
      <calculatedColumnFormula array="1">Common_InputFunctions.Utility_DisplayArrayInTable(Common_SourceData.Common_SourceData_LeachingZones_Data(), Table_SourceData_LeachingZones[[#Headers],[Leaching Zone]], 0)</calculatedColumnFormula>
    </tableColumn>
    <tableColumn id="2" xr3:uid="{A09764E1-6E11-4B1C-B1F1-FEBC49B8E8D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853BA63-FF03-4462-8DF7-1B181A1E988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2863E7D-F37C-4BA5-9E68-29F1E38F6FDA}" name="Data source">
      <calculatedColumnFormula array="1">Common_InputFunctions.Utility_DisplayArrayInTable(Common_SourceData.Common_SourceData_DataScores_Scope3_Data(), Table_SourceData_DataScores_Scope3[[#Headers],[Data source]], 0)</calculatedColumnFormula>
    </tableColumn>
    <tableColumn id="2" xr3:uid="{4991511C-C30A-414A-A986-F9F2B5CC50F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3AEE5E4-934C-4F38-B902-F08C65D152AC}" name="Table_SourceData_FracWET" displayName="Table_SourceData_FracWET" ref="D134:E136" totalsRowShown="0">
  <autoFilter ref="D134:E136" xr:uid="{308E99BE-FE1F-47A4-B2CA-97217277C4E9}">
    <filterColumn colId="0" hiddenButton="1"/>
    <filterColumn colId="1" hiddenButton="1"/>
  </autoFilter>
  <tableColumns count="2">
    <tableColumn id="1" xr3:uid="{C06588B3-DEB9-485D-8845-44DC96AA1C03}" name="Is in leaching zone">
      <calculatedColumnFormula array="1">Common_InputFunctions.Utility_DisplayArrayInTable(Common_SourceData.Common_SourceData_FracWET_Data(),Table_SourceData_FracWET[[#Headers],[Is in leaching zone]],0)</calculatedColumnFormula>
    </tableColumn>
    <tableColumn id="2" xr3:uid="{0CB971CE-8314-492D-B32B-05442AFAE65D}" name="FracWET" dataDxfId="3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204499-D622-48C9-BC09-4C59BFEF7A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E9A6402-9F17-45D6-81C9-B41AC3C7954F}" name="Production system j">
      <calculatedColumnFormula array="1">Common_InputFunctions.Utility_DisplayArrayInTable(Common_SourceData.Common_SourceData_EFN2O_Data(), Table_SourceData_Common_EFN2O[[#Headers],[Production system j]], 0)</calculatedColumnFormula>
    </tableColumn>
    <tableColumn id="2" xr3:uid="{7CE8B532-E797-4359-A943-59732EBA406D}" name="EFN2O">
      <calculatedColumnFormula array="1">Common_InputFunctions.Utility_DisplayArrayInTable(Common_SourceData.Common_SourceData_EFN2O_Data(), Table_SourceData_Common_EFN2O[[#Headers],[Production system j]], 0)</calculatedColumnFormula>
    </tableColumn>
    <tableColumn id="3" xr3:uid="{A318BF51-4D2E-48DE-BE88-1E4A8ED19B82}" name="Production system only">
      <calculatedColumnFormula array="1">Common_InputFunctions.Utility_DisplayArrayInTable(Common_SourceData.Common_SourceData_EFN2O_Data(), Table_SourceData_Common_EFN2O[[#Headers],[Production system j]], 0)</calculatedColumnFormula>
    </tableColumn>
    <tableColumn id="4" xr3:uid="{2C6FADCF-C3FB-4DD1-9001-F40AFA0E89CC}" name="Irrigation method">
      <calculatedColumnFormula array="1">Common_InputFunctions.Utility_DisplayArrayInTable(Common_SourceData.Common_SourceData_EFN2O_Data(), Table_SourceData_Common_EFN2O[[#Headers],[Production system j]], 0)</calculatedColumnFormula>
    </tableColumn>
    <tableColumn id="5" xr3:uid="{8487FBC9-6B3C-4956-B063-649C33304B0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1ECE1AA-22EA-44EA-9C2E-4882AFCB4FA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69E76C7-3ABC-4D33-A248-F4FD8C78DC75}" name="Irrigation type i">
      <calculatedColumnFormula array="1">Common_InputFunctions.Utility_DisplayArrayInTable(Common_SourceData.Common_SourceData_FracWETIrrigation_Data(), Table_SourceData_FracWETIrrigation[[#Headers],[Irrigation type i]], 0)</calculatedColumnFormula>
    </tableColumn>
    <tableColumn id="2" xr3:uid="{30062886-D624-44B9-A4D6-8172FDB32ACC}" name="FracWET" dataDxfId="3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C67BE23-86D2-4A05-B2BC-EE396C2C0C0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236BDD8-AEEC-4D8A-AEFB-ED9356DF3DD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6888293-D606-47A6-8932-E2CD434BD8A5}" name="EFPRP" dataDxfId="3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FCD272F-7568-43A4-AF7A-23066986692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82A87F0-D13A-4480-8492-F3D2503C41E2}" name="Month">
      <calculatedColumnFormula array="1">Common_InputFunctions.Utility_DisplayArrayInTable(Common_SourceData.Common_SourceData_MonthsToSeasons_Data(), Table_SourceData_Common_MonthToSeason[[#Headers],[Month]], 0)</calculatedColumnFormula>
    </tableColumn>
    <tableColumn id="2" xr3:uid="{3A38DFCE-8BC1-411E-9649-BA3B242C5C67}" name="Season" dataDxfId="3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9D87315-F27A-46A3-A327-DB14F89DB92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4BFEBA4-3487-4BE5-88B9-85DB7D433F7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E7A79F3-7EC2-470C-8060-08333EAEE5D6}" name="MAT (ºC)"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41F6A9-5353-48F8-BBE2-FDDAFFCEC3DF}" name="Anaerobic lago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BC84F5-D586-4491-8920-08D8E8254F8B}" name="Digester / covered lagoon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48357028-DF7D-43C1-8693-BE3CCAEDC19B}" name="Liquid system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6A64015-6571-40C8-8B97-9ACD24D0FDFF}" name="Daily spread"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E8A0DB7-DA22-4D11-8D6E-5B03E95383E1}" name="Composting (passive windro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E9FF3D7-C170-4D01-8CAA-D667E3762352}" name="Solid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E8195E9-7EB7-4255-B88A-1A7D661007AC}" name="Pit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8290DA2-F81B-417D-8DFF-811E04AE5CD6}" name="Deep litter"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556C44B-D53C-43B5-AFA8-775CF9A97C5A}" name="Poultry manure with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D7005A7-1332-4775-A075-04932CE4CB0C}" name="Poultry manure without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D24F3C7-0171-4241-9095-F217ACFB21FD}" name="Direct process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9A1E1BC-6DAC-4A86-933B-0394729DEF0D}" name="Direct applicati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37545E7-3A7F-4E1D-9175-AF768DF5CDBB}" name="Pasture range and paddock"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1BDA555-814C-4F57-A554-B9E8D1197D3B}" name="MAT raw"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18D91AC-F0D7-45AF-888F-8CCD5245EE6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D1030A0-8423-4F54-A208-B8E2F9F2CCA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D7849B7-3122-4868-94E6-53DB0ADF4E31}" name="EFNi &amp; EFN2Oi" dataDxfId="1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18" Type="http://schemas.openxmlformats.org/officeDocument/2006/relationships/table" Target="../tables/table23.xml"/><Relationship Id="rId3" Type="http://schemas.openxmlformats.org/officeDocument/2006/relationships/table" Target="../tables/table8.xml"/><Relationship Id="rId7" Type="http://schemas.openxmlformats.org/officeDocument/2006/relationships/table" Target="../tables/table12.xml"/><Relationship Id="rId12" Type="http://schemas.openxmlformats.org/officeDocument/2006/relationships/table" Target="../tables/table17.xml"/><Relationship Id="rId17" Type="http://schemas.openxmlformats.org/officeDocument/2006/relationships/table" Target="../tables/table22.xml"/><Relationship Id="rId2" Type="http://schemas.openxmlformats.org/officeDocument/2006/relationships/table" Target="../tables/table7.xml"/><Relationship Id="rId16"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57" t="e" vm="1">
        <v>#VALUE!</v>
      </c>
      <c r="C1" s="94" t="s">
        <v>140</v>
      </c>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row>
    <row r="2" spans="1:64" ht="20.100000000000001" customHeight="1" x14ac:dyDescent="0.25">
      <c r="A2" s="9"/>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row>
    <row r="3" spans="1:64" ht="20.100000000000001" customHeight="1" x14ac:dyDescent="0.25">
      <c r="A3" s="17" t="str">
        <f>HYPERLINK("#'Home'!A1", "Home")</f>
        <v>Home</v>
      </c>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row>
    <row r="4" spans="1:64" ht="20.100000000000001" customHeight="1" x14ac:dyDescent="0.25">
      <c r="A4" s="10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97" t="s">
        <v>102</v>
      </c>
      <c r="E5" s="97"/>
      <c r="F5" s="97"/>
      <c r="G5" s="97"/>
      <c r="H5" s="97"/>
      <c r="I5" s="83"/>
      <c r="J5" s="73"/>
      <c r="K5" s="73"/>
      <c r="L5" s="73"/>
      <c r="M5" s="73"/>
      <c r="N5" s="73"/>
      <c r="O5" s="69"/>
      <c r="P5" s="1"/>
      <c r="Q5" s="1"/>
      <c r="R5" s="1"/>
      <c r="S5" s="1"/>
      <c r="T5" s="1"/>
      <c r="U5" s="1"/>
      <c r="V5" s="1"/>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98" t="s">
        <v>100</v>
      </c>
      <c r="E6" s="99"/>
      <c r="F6" s="99"/>
      <c r="G6" s="99"/>
      <c r="H6" s="99"/>
      <c r="I6" s="75"/>
      <c r="J6" s="72"/>
      <c r="K6" s="72"/>
      <c r="L6" s="72"/>
      <c r="M6" s="72"/>
      <c r="N6" s="72"/>
      <c r="O6" s="70"/>
      <c r="P6" s="1"/>
      <c r="Q6" s="1"/>
      <c r="R6" s="1"/>
      <c r="S6" s="1"/>
      <c r="T6" s="1"/>
      <c r="U6" s="1"/>
      <c r="V6" s="1"/>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Other Livestock'!A1", "Other Livestock")</f>
        <v>Other Livestock</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55</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HYPERLINK("#'3.6.1.1-2 Enteric Methane'!A1", "3.6.1.1-2 Enteric Methane")</f>
        <v>3.6.1.1-2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HYPERLINK("#'Constants - Other Livestock'!A1", "Constants - Other Livestock")</f>
        <v>Constants - Other Livestock</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HYPERLINK("#'Constants - Common'!A1", "Constants - Common")</f>
        <v>Constants - Common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HYPERLINK("#'Acknowledgements'!A1", "Acknowledgements")</f>
        <v>Acknowledgements</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H16" sqref="H16"/>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57" t="e" vm="1">
        <v>#VALUE!</v>
      </c>
      <c r="C1" s="88" t="s">
        <v>139</v>
      </c>
    </row>
    <row r="2" spans="1:12" ht="20.100000000000001" customHeight="1" x14ac:dyDescent="0.25">
      <c r="A2" s="9"/>
      <c r="C2" s="9"/>
    </row>
    <row r="3" spans="1:12" ht="20.100000000000001" customHeight="1" x14ac:dyDescent="0.25">
      <c r="A3" s="17" t="str">
        <f>HYPERLINK("#'Home'!A1", "Home")</f>
        <v>Home</v>
      </c>
      <c r="C3" s="22"/>
      <c r="D3" s="22"/>
      <c r="E3" s="22"/>
      <c r="F3" s="22"/>
      <c r="G3" s="22"/>
      <c r="H3" s="22"/>
      <c r="I3" s="22"/>
      <c r="J3" s="22"/>
      <c r="K3" s="22"/>
      <c r="L3" s="22"/>
    </row>
    <row r="4" spans="1:12" ht="20.100000000000001" customHeight="1" x14ac:dyDescent="0.25">
      <c r="A4" s="17" t="str">
        <f>HYPERLINK("#'Overview'!A1", "Overview")</f>
        <v>Overview</v>
      </c>
      <c r="C4" s="22"/>
      <c r="D4" s="6" t="s">
        <v>5</v>
      </c>
      <c r="E4" s="24"/>
      <c r="F4" s="24"/>
      <c r="G4" s="24"/>
      <c r="H4" s="6"/>
      <c r="I4" s="6"/>
      <c r="J4" s="6"/>
      <c r="K4" s="6"/>
      <c r="L4" s="25"/>
    </row>
    <row r="5" spans="1:12" ht="20.100000000000001" customHeight="1" x14ac:dyDescent="0.3">
      <c r="A5" s="103" t="str">
        <f>HYPERLINK("#'Results'!A1", "Results")</f>
        <v>Results</v>
      </c>
      <c r="C5" s="22"/>
      <c r="D5" s="26"/>
      <c r="E5" s="27"/>
      <c r="F5" s="27"/>
      <c r="G5" s="27"/>
      <c r="H5" s="24"/>
      <c r="I5" s="22"/>
      <c r="J5" s="22"/>
      <c r="K5" s="22"/>
      <c r="L5" s="22"/>
    </row>
    <row r="6" spans="1:12" ht="20.100000000000001" customHeight="1" x14ac:dyDescent="0.25">
      <c r="A6" s="16"/>
      <c r="C6" s="22"/>
      <c r="D6" s="87" t="s">
        <v>67</v>
      </c>
      <c r="E6" s="87" t="s">
        <v>80</v>
      </c>
      <c r="F6" s="87" t="s">
        <v>81</v>
      </c>
      <c r="G6" s="87" t="s">
        <v>73</v>
      </c>
      <c r="H6" s="87" t="s">
        <v>82</v>
      </c>
      <c r="I6" s="87" t="s">
        <v>84</v>
      </c>
      <c r="J6" s="87" t="s">
        <v>74</v>
      </c>
      <c r="K6" s="22"/>
      <c r="L6" s="22"/>
    </row>
    <row r="7" spans="1:12" ht="20.100000000000001" customHeight="1" x14ac:dyDescent="0.25">
      <c r="A7" s="20" t="s">
        <v>3</v>
      </c>
      <c r="C7" s="22"/>
      <c r="D7" s="1" t="s">
        <v>101</v>
      </c>
      <c r="E7" s="85">
        <f>'3.6.1.1-2 Enteric Methane'!E28</f>
        <v>630.69999999999993</v>
      </c>
      <c r="F7" s="85">
        <f>E7</f>
        <v>630.69999999999993</v>
      </c>
      <c r="G7" s="50" t="s">
        <v>142</v>
      </c>
      <c r="H7" s="85">
        <f>'3.6.1.1-2 Enteric Methane'!E33</f>
        <v>0</v>
      </c>
      <c r="I7" s="85">
        <f>H7</f>
        <v>0</v>
      </c>
      <c r="J7" s="50" t="s">
        <v>83</v>
      </c>
      <c r="K7" s="22"/>
      <c r="L7" s="22"/>
    </row>
    <row r="8" spans="1:12" ht="20.100000000000001" customHeight="1" x14ac:dyDescent="0.3">
      <c r="A8" s="17" t="str">
        <f>HYPERLINK("#'Input - Site'!A1", "Site")</f>
        <v>Site</v>
      </c>
      <c r="C8" s="22"/>
      <c r="D8" s="29" t="s">
        <v>72</v>
      </c>
      <c r="E8" s="23"/>
      <c r="F8" s="29"/>
      <c r="G8" s="29"/>
      <c r="H8" s="86">
        <f>SUM(H7:H7)</f>
        <v>0</v>
      </c>
      <c r="I8" s="86">
        <f>SUM(I7:I7)</f>
        <v>0</v>
      </c>
      <c r="J8" s="81" t="s">
        <v>83</v>
      </c>
      <c r="K8" s="22"/>
      <c r="L8" s="22"/>
    </row>
    <row r="9" spans="1:12" ht="20.100000000000001" customHeight="1" x14ac:dyDescent="0.25">
      <c r="A9" s="17" t="str">
        <f>HYPERLINK("#'Input - Other Livestock'!A1", "Other Livestock")</f>
        <v>Other Livestock</v>
      </c>
      <c r="C9" s="22"/>
      <c r="D9" s="1"/>
      <c r="E9" s="1"/>
      <c r="F9" s="1"/>
      <c r="G9" s="24"/>
      <c r="H9" s="22"/>
      <c r="I9" s="1"/>
      <c r="J9" s="1"/>
      <c r="K9" s="22"/>
      <c r="L9" s="22"/>
    </row>
    <row r="10" spans="1:12" ht="20.100000000000001" customHeight="1" x14ac:dyDescent="0.25">
      <c r="A10" s="17"/>
      <c r="C10" s="22"/>
      <c r="D10" s="1"/>
      <c r="E10" s="1"/>
      <c r="F10" s="1"/>
      <c r="G10" s="1"/>
      <c r="H10" s="1"/>
      <c r="I10" s="1"/>
      <c r="J10" s="1"/>
      <c r="K10" s="22"/>
      <c r="L10" s="22"/>
    </row>
    <row r="11" spans="1:12" ht="20.100000000000001" customHeight="1" x14ac:dyDescent="0.25">
      <c r="A11" s="19" t="s">
        <v>55</v>
      </c>
      <c r="C11" s="22"/>
      <c r="D11" s="1"/>
      <c r="E11" s="1"/>
      <c r="F11" s="1"/>
      <c r="G11" s="1"/>
      <c r="H11" s="1"/>
      <c r="I11" s="1"/>
      <c r="J11" s="1"/>
      <c r="K11" s="22"/>
      <c r="L11" s="22"/>
    </row>
    <row r="12" spans="1:12" ht="20.100000000000001" customHeight="1" x14ac:dyDescent="0.25">
      <c r="A12" s="17" t="str">
        <f>HYPERLINK("#'3.6.1.1-2 Enteric Methane'!A1", "3.6.1.1-2 Enteric Methane")</f>
        <v>3.6.1.1-2 Enteric Methane</v>
      </c>
      <c r="C12" s="22"/>
      <c r="D12" s="1"/>
      <c r="E12" s="1"/>
      <c r="F12" s="1"/>
      <c r="G12" s="1"/>
      <c r="H12" s="1"/>
      <c r="I12" s="1"/>
      <c r="J12" s="1"/>
      <c r="K12" s="22"/>
      <c r="L12" s="22"/>
    </row>
    <row r="13" spans="1:12" ht="20.100000000000001" customHeight="1" x14ac:dyDescent="0.25">
      <c r="C13" s="22"/>
      <c r="D13" s="1"/>
      <c r="E13" s="1"/>
      <c r="F13" s="1"/>
      <c r="G13" s="1"/>
      <c r="H13" s="1"/>
      <c r="I13" s="1"/>
      <c r="J13" s="1"/>
      <c r="K13" s="22"/>
      <c r="L13" s="22"/>
    </row>
    <row r="14" spans="1:12" ht="20.100000000000001" customHeight="1" x14ac:dyDescent="0.25">
      <c r="A14" s="18" t="s">
        <v>4</v>
      </c>
      <c r="C14" s="22"/>
      <c r="D14" s="1"/>
      <c r="E14" s="1"/>
      <c r="F14" s="1"/>
      <c r="G14" s="1"/>
      <c r="H14" s="1"/>
      <c r="I14" s="1"/>
      <c r="J14" s="1"/>
      <c r="K14" s="22"/>
      <c r="L14" s="22"/>
    </row>
    <row r="15" spans="1:12" ht="20.100000000000001" customHeight="1" x14ac:dyDescent="0.25">
      <c r="A15" s="17" t="str">
        <f>HYPERLINK("#'Constants - Other Livestock'!A1", "Constants - Other Livestock")</f>
        <v>Constants - Other Livestock</v>
      </c>
      <c r="C15" s="22"/>
      <c r="D15" s="1"/>
      <c r="E15" s="1"/>
      <c r="F15" s="1"/>
      <c r="G15" s="1"/>
      <c r="H15" s="1"/>
      <c r="I15" s="1"/>
      <c r="J15" s="1"/>
      <c r="K15" s="22"/>
      <c r="L15" s="22"/>
    </row>
    <row r="16" spans="1:12" ht="20.100000000000001" customHeight="1" x14ac:dyDescent="0.25">
      <c r="A16" s="17" t="str">
        <f>HYPERLINK("#'Constants - Common'!A1", "Constants - Common")</f>
        <v>Constants - Common</v>
      </c>
      <c r="C16" s="22"/>
      <c r="D16" s="1"/>
      <c r="E16" s="1"/>
      <c r="F16" s="1"/>
      <c r="G16" s="1"/>
      <c r="H16" s="1"/>
      <c r="I16" s="1"/>
      <c r="J16" s="1"/>
      <c r="K16" s="22"/>
      <c r="L16" s="22"/>
    </row>
    <row r="17" spans="1:12" ht="20.100000000000001" customHeight="1" x14ac:dyDescent="0.25">
      <c r="A17" s="17" t="str">
        <f>HYPERLINK("#'Acknowledgements'!A1", "Acknowledgements")</f>
        <v>Acknowledgements</v>
      </c>
      <c r="C17" s="22"/>
      <c r="D17" s="1"/>
      <c r="E17" s="1"/>
      <c r="F17" s="1"/>
      <c r="G17" s="1"/>
      <c r="H17" s="1"/>
      <c r="I17" s="1"/>
      <c r="J17" s="1"/>
      <c r="K17" s="22"/>
      <c r="L17" s="22"/>
    </row>
    <row r="18" spans="1:12" ht="20.100000000000001" customHeight="1" x14ac:dyDescent="0.25">
      <c r="C18" s="22"/>
      <c r="D18" s="1"/>
      <c r="E18" s="1"/>
      <c r="F18" s="1"/>
      <c r="G18" s="1"/>
      <c r="H18" s="1"/>
      <c r="I18" s="1"/>
      <c r="J18" s="1"/>
      <c r="K18" s="22"/>
      <c r="L18" s="22"/>
    </row>
    <row r="19" spans="1:12" ht="20.100000000000001" customHeight="1" x14ac:dyDescent="0.25">
      <c r="C19" s="22"/>
      <c r="D19" s="1"/>
      <c r="E19" s="1"/>
      <c r="F19" s="1"/>
      <c r="G19" s="1"/>
      <c r="H19" s="1"/>
      <c r="I19" s="1"/>
      <c r="J19" s="1"/>
      <c r="K19" s="22"/>
      <c r="L19" s="22"/>
    </row>
    <row r="20" spans="1:12" ht="20.100000000000001" customHeight="1" x14ac:dyDescent="0.25">
      <c r="C20" s="22"/>
      <c r="D20" s="1"/>
      <c r="E20" s="1"/>
      <c r="F20" s="1"/>
      <c r="G20" s="1"/>
      <c r="H20" s="1"/>
      <c r="I20" s="1"/>
      <c r="J20" s="1"/>
      <c r="K20" s="22"/>
      <c r="L20" s="22"/>
    </row>
    <row r="21" spans="1:12" ht="20.100000000000001" customHeight="1" x14ac:dyDescent="0.25">
      <c r="A21" s="17"/>
      <c r="C21" s="22"/>
      <c r="D21" s="1"/>
      <c r="E21" s="1"/>
      <c r="F21" s="1"/>
      <c r="G21" s="1"/>
      <c r="H21" s="1"/>
      <c r="I21" s="1"/>
      <c r="J21" s="1"/>
      <c r="K21" s="22"/>
      <c r="L21" s="22"/>
    </row>
    <row r="22" spans="1:12" ht="20.100000000000001" customHeight="1" x14ac:dyDescent="0.25">
      <c r="C22" s="22"/>
      <c r="D22" s="1"/>
      <c r="E22" s="1"/>
      <c r="F22" s="1"/>
      <c r="G22" s="1"/>
      <c r="H22" s="1"/>
      <c r="I22" s="1"/>
      <c r="J22" s="1"/>
      <c r="K22" s="22"/>
      <c r="L22" s="22"/>
    </row>
    <row r="23" spans="1:12" ht="20.100000000000001" customHeight="1" x14ac:dyDescent="0.25">
      <c r="C23" s="22"/>
      <c r="D23" s="1"/>
      <c r="E23" s="1"/>
      <c r="F23" s="1"/>
      <c r="G23" s="1"/>
      <c r="H23" s="1"/>
      <c r="I23" s="1"/>
      <c r="J23" s="1"/>
      <c r="K23" s="22"/>
      <c r="L23" s="22"/>
    </row>
    <row r="24" spans="1:12" ht="20.100000000000001" customHeight="1" x14ac:dyDescent="0.25">
      <c r="A24" s="17"/>
      <c r="C24" s="22"/>
      <c r="D24" s="1"/>
      <c r="E24" s="1"/>
      <c r="F24" s="1"/>
      <c r="G24" s="1"/>
      <c r="H24" s="1"/>
      <c r="I24" s="1"/>
      <c r="J24" s="1"/>
      <c r="K24" s="22"/>
      <c r="L24" s="22"/>
    </row>
    <row r="25" spans="1:12" ht="20.100000000000001" customHeight="1" x14ac:dyDescent="0.25">
      <c r="A25" s="17"/>
      <c r="C25" s="22"/>
      <c r="D25" s="1"/>
      <c r="E25" s="1"/>
      <c r="F25" s="1"/>
      <c r="G25" s="1"/>
      <c r="H25" s="1"/>
      <c r="I25" s="1"/>
      <c r="J25" s="1"/>
      <c r="K25" s="22"/>
      <c r="L25" s="22"/>
    </row>
    <row r="26" spans="1:12" ht="20.100000000000001" customHeight="1" x14ac:dyDescent="0.25">
      <c r="C26" s="22"/>
      <c r="D26" s="1"/>
      <c r="E26" s="1"/>
      <c r="F26" s="1"/>
      <c r="G26" s="1"/>
      <c r="H26" s="1"/>
      <c r="I26" s="1"/>
      <c r="J26" s="1"/>
      <c r="K26" s="22"/>
      <c r="L26" s="22"/>
    </row>
    <row r="27" spans="1:12" ht="20.100000000000001" customHeight="1" x14ac:dyDescent="0.25">
      <c r="C27" s="22"/>
      <c r="D27" s="1"/>
      <c r="E27" s="1"/>
      <c r="F27" s="1"/>
      <c r="G27" s="1"/>
      <c r="H27" s="1"/>
      <c r="I27" s="1"/>
      <c r="J27" s="1"/>
      <c r="K27" s="22"/>
      <c r="L27" s="22"/>
    </row>
    <row r="28" spans="1:12" ht="20.100000000000001" customHeight="1" x14ac:dyDescent="0.25">
      <c r="C28" s="22"/>
      <c r="D28" s="1"/>
      <c r="E28" s="1"/>
      <c r="F28" s="1"/>
      <c r="G28" s="1"/>
      <c r="H28" s="1"/>
      <c r="I28" s="1"/>
      <c r="J28" s="1"/>
      <c r="K28" s="22"/>
      <c r="L28" s="22"/>
    </row>
    <row r="29" spans="1:12" ht="20.100000000000001" customHeight="1" x14ac:dyDescent="0.25">
      <c r="C29" s="22"/>
      <c r="D29" s="1"/>
      <c r="E29" s="1"/>
      <c r="F29" s="1"/>
      <c r="G29" s="1"/>
      <c r="H29" s="22"/>
      <c r="I29" s="22"/>
      <c r="J29" s="22"/>
      <c r="K29" s="22"/>
      <c r="L29" s="22"/>
    </row>
    <row r="30" spans="1:12" ht="20.100000000000001" customHeight="1" x14ac:dyDescent="0.25">
      <c r="C30" s="22"/>
      <c r="D30" s="1"/>
      <c r="E30" s="1"/>
      <c r="F30" s="1"/>
      <c r="G30" s="1"/>
      <c r="H30" s="22"/>
      <c r="I30" s="22"/>
      <c r="J30" s="22"/>
      <c r="K30" s="22"/>
      <c r="L30" s="22"/>
    </row>
    <row r="31" spans="1:12" ht="20.100000000000001" customHeight="1" x14ac:dyDescent="0.25">
      <c r="C31" s="22"/>
      <c r="D31" s="1"/>
      <c r="E31" s="1"/>
      <c r="F31" s="1"/>
      <c r="G31" s="1"/>
      <c r="H31" s="22"/>
      <c r="I31" s="22"/>
      <c r="J31" s="22"/>
      <c r="K31" s="22"/>
      <c r="L31" s="22"/>
    </row>
    <row r="32" spans="1:12" ht="20.100000000000001" customHeight="1" x14ac:dyDescent="0.25">
      <c r="C32" s="22"/>
      <c r="D32" s="1"/>
      <c r="E32" s="1"/>
      <c r="F32" s="1"/>
      <c r="G32" s="1"/>
      <c r="H32" s="24"/>
      <c r="I32" s="22"/>
      <c r="J32" s="22"/>
      <c r="K32" s="22"/>
      <c r="L32" s="22"/>
    </row>
    <row r="33" spans="3:12" ht="20.100000000000001" customHeight="1" x14ac:dyDescent="0.3">
      <c r="C33" s="22"/>
      <c r="D33" s="1"/>
      <c r="E33" s="1"/>
      <c r="F33" s="1"/>
      <c r="G33" s="1"/>
      <c r="H33" s="27"/>
      <c r="I33" s="22"/>
      <c r="J33" s="22"/>
      <c r="K33" s="22"/>
      <c r="L33" s="22"/>
    </row>
    <row r="34" spans="3:12" ht="20.100000000000001" customHeight="1" x14ac:dyDescent="0.25">
      <c r="C34" s="22"/>
      <c r="D34" s="1"/>
      <c r="E34" s="1"/>
      <c r="F34" s="1"/>
      <c r="G34" s="1"/>
      <c r="H34" s="1"/>
      <c r="I34" s="22"/>
      <c r="J34" s="22"/>
      <c r="K34" s="22"/>
      <c r="L34" s="22"/>
    </row>
    <row r="35" spans="3:12" ht="20.100000000000001" customHeight="1" x14ac:dyDescent="0.25">
      <c r="C35" s="22"/>
      <c r="D35" s="1"/>
      <c r="E35" s="1"/>
      <c r="F35" s="1"/>
      <c r="G35" s="1"/>
      <c r="H35" s="1"/>
      <c r="I35" s="22"/>
      <c r="J35" s="22"/>
      <c r="K35" s="22"/>
      <c r="L35" s="22"/>
    </row>
    <row r="36" spans="3:12" ht="20.100000000000001" customHeight="1" x14ac:dyDescent="0.25">
      <c r="C36" s="22"/>
      <c r="D36" s="1"/>
      <c r="E36" s="1"/>
      <c r="F36" s="1"/>
      <c r="G36" s="1"/>
      <c r="H36" s="1"/>
      <c r="I36" s="22"/>
      <c r="J36" s="22"/>
      <c r="K36" s="22"/>
      <c r="L36" s="22"/>
    </row>
    <row r="37" spans="3:12" ht="20.100000000000001" customHeight="1" x14ac:dyDescent="0.25">
      <c r="C37" s="22"/>
      <c r="D37" s="1"/>
      <c r="E37" s="1"/>
      <c r="F37" s="1"/>
      <c r="G37" s="1"/>
      <c r="H37" s="1"/>
      <c r="I37" s="22"/>
      <c r="J37" s="22"/>
      <c r="K37" s="22"/>
      <c r="L37" s="22"/>
    </row>
    <row r="38" spans="3:12" ht="20.100000000000001" customHeight="1" x14ac:dyDescent="0.25">
      <c r="C38" s="22"/>
      <c r="D38" s="1"/>
      <c r="E38" s="1"/>
      <c r="F38" s="1"/>
      <c r="G38" s="1"/>
      <c r="H38" s="1"/>
      <c r="I38" s="84"/>
      <c r="J38" s="84"/>
      <c r="K38" s="84"/>
      <c r="L38" s="22"/>
    </row>
    <row r="39" spans="3:12" ht="20.100000000000001" customHeight="1" x14ac:dyDescent="0.25">
      <c r="C39" s="22"/>
      <c r="D39" s="1"/>
      <c r="E39" s="1"/>
      <c r="F39" s="1"/>
      <c r="G39" s="1"/>
      <c r="H39" s="1"/>
      <c r="I39" s="84"/>
      <c r="J39" s="84"/>
      <c r="K39" s="84"/>
      <c r="L39" s="22"/>
    </row>
    <row r="40" spans="3:12" ht="20.100000000000001" customHeight="1" x14ac:dyDescent="0.25">
      <c r="C40" s="22"/>
      <c r="D40" s="1"/>
      <c r="E40" s="1"/>
      <c r="F40" s="1"/>
      <c r="G40" s="1"/>
      <c r="H40" s="1"/>
      <c r="I40" s="84"/>
      <c r="J40" s="84"/>
      <c r="K40" s="84"/>
      <c r="L40" s="22"/>
    </row>
    <row r="41" spans="3:12" ht="20.100000000000001" customHeight="1" x14ac:dyDescent="0.25">
      <c r="C41" s="22"/>
      <c r="D41" s="1"/>
      <c r="E41" s="1"/>
      <c r="F41" s="1"/>
      <c r="G41" s="1"/>
      <c r="H41" s="1"/>
      <c r="I41" s="84"/>
      <c r="J41" s="84"/>
      <c r="K41" s="84"/>
      <c r="L41" s="22"/>
    </row>
    <row r="42" spans="3:12" ht="20.100000000000001" customHeight="1" x14ac:dyDescent="0.25">
      <c r="C42" s="22"/>
      <c r="D42" s="1"/>
      <c r="E42" s="1"/>
      <c r="F42" s="1"/>
      <c r="G42" s="1"/>
      <c r="H42" s="1"/>
      <c r="I42" s="84"/>
      <c r="J42" s="84"/>
      <c r="K42" s="84"/>
      <c r="L42" s="22"/>
    </row>
    <row r="43" spans="3:12" ht="20.100000000000001" customHeight="1" x14ac:dyDescent="0.25">
      <c r="C43" s="22"/>
      <c r="D43" s="1"/>
      <c r="E43" s="1"/>
      <c r="F43" s="1"/>
      <c r="G43" s="1"/>
      <c r="H43" s="1"/>
      <c r="I43" s="84"/>
      <c r="J43" s="84"/>
      <c r="K43" s="84"/>
      <c r="L43" s="22"/>
    </row>
    <row r="44" spans="3:12" ht="20.100000000000001" customHeight="1" x14ac:dyDescent="0.25">
      <c r="C44" s="22"/>
      <c r="D44" s="1"/>
      <c r="E44" s="1"/>
      <c r="F44" s="1"/>
      <c r="G44" s="1"/>
      <c r="H44" s="1"/>
      <c r="I44" s="84"/>
      <c r="J44" s="84"/>
      <c r="K44" s="84"/>
      <c r="L44" s="22"/>
    </row>
    <row r="45" spans="3:12" ht="20.100000000000001" customHeight="1" x14ac:dyDescent="0.25">
      <c r="C45" s="22"/>
      <c r="D45" s="1"/>
      <c r="E45" s="1"/>
      <c r="F45" s="1"/>
      <c r="G45" s="1"/>
      <c r="H45" s="1"/>
      <c r="I45" s="84"/>
      <c r="J45" s="84"/>
      <c r="K45" s="84"/>
      <c r="L45" s="22"/>
    </row>
    <row r="46" spans="3:12" ht="20.100000000000001" customHeight="1" x14ac:dyDescent="0.25">
      <c r="C46" s="22"/>
      <c r="D46" s="1"/>
      <c r="E46" s="1"/>
      <c r="F46" s="1"/>
      <c r="G46" s="1"/>
      <c r="H46" s="1"/>
      <c r="I46" s="84"/>
      <c r="J46" s="84"/>
      <c r="K46" s="84"/>
      <c r="L46" s="22"/>
    </row>
    <row r="47" spans="3:12" ht="20.100000000000001" customHeight="1" x14ac:dyDescent="0.25">
      <c r="C47" s="22"/>
      <c r="D47" s="1"/>
      <c r="E47" s="1"/>
      <c r="F47" s="1"/>
      <c r="G47" s="1"/>
      <c r="H47" s="1"/>
      <c r="I47" s="84"/>
      <c r="J47" s="84"/>
      <c r="K47" s="84"/>
      <c r="L47" s="22"/>
    </row>
    <row r="48" spans="3:12" ht="20.100000000000001" customHeight="1" x14ac:dyDescent="0.25">
      <c r="C48" s="22"/>
      <c r="D48" s="1"/>
      <c r="E48" s="1"/>
      <c r="F48" s="1"/>
      <c r="G48" s="1"/>
      <c r="H48" s="1"/>
      <c r="I48" s="84"/>
      <c r="J48" s="84"/>
      <c r="K48" s="84"/>
      <c r="L48" s="22"/>
    </row>
    <row r="49" spans="3:12" ht="20.100000000000001" customHeight="1" x14ac:dyDescent="0.25">
      <c r="C49" s="22"/>
      <c r="D49" s="1"/>
      <c r="E49" s="1"/>
      <c r="F49" s="1"/>
      <c r="G49" s="1"/>
      <c r="H49" s="84"/>
      <c r="I49" s="84"/>
      <c r="J49" s="84"/>
      <c r="K49" s="84"/>
      <c r="L49" s="22"/>
    </row>
    <row r="50" spans="3:12" ht="20.100000000000001" customHeight="1" x14ac:dyDescent="0.25">
      <c r="C50" s="22"/>
      <c r="D50" s="1"/>
      <c r="E50" s="1"/>
      <c r="F50" s="1"/>
      <c r="G50" s="1"/>
      <c r="H50" s="84"/>
      <c r="I50" s="84"/>
      <c r="J50" s="84"/>
      <c r="K50" s="84"/>
      <c r="L50" s="22"/>
    </row>
    <row r="51" spans="3:12" ht="20.100000000000001" customHeight="1" x14ac:dyDescent="0.25">
      <c r="C51" s="22"/>
      <c r="D51" s="1"/>
      <c r="E51" s="1"/>
      <c r="F51" s="1"/>
      <c r="G51" s="1"/>
      <c r="H51" s="84"/>
      <c r="I51" s="84"/>
      <c r="J51" s="84"/>
      <c r="K51" s="84"/>
      <c r="L51" s="22"/>
    </row>
    <row r="52" spans="3:12" ht="20.100000000000001" customHeight="1" x14ac:dyDescent="0.25">
      <c r="C52" s="22"/>
      <c r="D52" s="1"/>
      <c r="E52" s="1"/>
      <c r="F52" s="1"/>
      <c r="G52" s="1"/>
      <c r="H52" s="84"/>
      <c r="I52" s="84"/>
      <c r="J52" s="84"/>
      <c r="K52" s="84"/>
      <c r="L52" s="22"/>
    </row>
    <row r="53" spans="3:12" ht="20.100000000000001" customHeight="1" x14ac:dyDescent="0.25">
      <c r="C53" s="22"/>
      <c r="D53" s="1"/>
      <c r="E53" s="1"/>
      <c r="F53" s="1"/>
      <c r="G53" s="1"/>
      <c r="H53" s="84"/>
      <c r="I53" s="84"/>
      <c r="J53" s="84"/>
      <c r="K53" s="84"/>
      <c r="L53" s="22"/>
    </row>
    <row r="54" spans="3:12" ht="20.100000000000001" customHeight="1" x14ac:dyDescent="0.25">
      <c r="C54" s="22"/>
      <c r="D54" s="1"/>
      <c r="E54" s="1"/>
      <c r="F54" s="1"/>
      <c r="G54" s="1"/>
      <c r="H54" s="22"/>
      <c r="I54" s="22"/>
      <c r="J54" s="22"/>
      <c r="K54" s="22"/>
      <c r="L54" s="22"/>
    </row>
    <row r="55" spans="3:12" ht="20.100000000000001" customHeight="1" x14ac:dyDescent="0.25">
      <c r="C55" s="22"/>
      <c r="D55" s="1"/>
      <c r="E55" s="1"/>
      <c r="F55" s="1"/>
      <c r="G55" s="1"/>
      <c r="H55" s="22"/>
      <c r="I55" s="22"/>
      <c r="J55" s="22"/>
      <c r="K55" s="22"/>
      <c r="L55" s="22"/>
    </row>
    <row r="56" spans="3:12" ht="20.100000000000001" customHeight="1" x14ac:dyDescent="0.25">
      <c r="C56" s="22"/>
      <c r="D56" s="1"/>
      <c r="E56" s="1"/>
      <c r="F56" s="1"/>
      <c r="G56" s="1"/>
      <c r="H56" s="22"/>
      <c r="I56" s="22"/>
      <c r="J56" s="22"/>
      <c r="K56" s="22"/>
      <c r="L56" s="22"/>
    </row>
    <row r="57" spans="3:12" ht="20.100000000000001" customHeight="1" x14ac:dyDescent="0.25">
      <c r="C57" s="22"/>
      <c r="D57" s="1"/>
      <c r="E57" s="1"/>
      <c r="F57" s="1"/>
      <c r="G57" s="1"/>
      <c r="H57" s="22"/>
      <c r="I57" s="22"/>
      <c r="J57" s="22"/>
      <c r="K57" s="22"/>
      <c r="L57" s="22"/>
    </row>
    <row r="58" spans="3:12" ht="20.100000000000001" customHeight="1" x14ac:dyDescent="0.25">
      <c r="C58" s="22"/>
      <c r="D58" s="1"/>
      <c r="E58" s="30"/>
      <c r="F58" s="28"/>
      <c r="G58" s="22"/>
      <c r="H58" s="22"/>
      <c r="I58" s="22"/>
      <c r="J58" s="22"/>
      <c r="K58" s="22"/>
      <c r="L58" s="22"/>
    </row>
    <row r="59" spans="3:12" ht="20.100000000000001" customHeight="1" x14ac:dyDescent="0.25">
      <c r="C59" s="22"/>
      <c r="D59" s="1"/>
      <c r="E59" s="1"/>
      <c r="F59" s="1"/>
      <c r="G59" s="1"/>
      <c r="H59" s="1"/>
      <c r="I59" s="1"/>
      <c r="J59" s="1"/>
      <c r="K59" s="1"/>
      <c r="L59" s="22"/>
    </row>
    <row r="60" spans="3:12" ht="20.100000000000001" customHeight="1" x14ac:dyDescent="0.25">
      <c r="C60" s="22"/>
      <c r="D60" s="1"/>
      <c r="E60" s="1"/>
      <c r="F60" s="1"/>
      <c r="G60" s="1"/>
      <c r="H60" s="1"/>
      <c r="I60" s="1"/>
      <c r="J60" s="1"/>
      <c r="K60" s="1"/>
      <c r="L60" s="22"/>
    </row>
    <row r="61" spans="3:12" ht="20.100000000000001" customHeight="1" x14ac:dyDescent="0.25">
      <c r="C61" s="22"/>
      <c r="D61" s="1"/>
      <c r="E61" s="1"/>
      <c r="F61" s="1"/>
      <c r="G61" s="1"/>
      <c r="H61" s="1"/>
      <c r="I61" s="1"/>
      <c r="J61" s="1"/>
      <c r="K61" s="1"/>
      <c r="L61" s="22"/>
    </row>
    <row r="62" spans="3:12" ht="20.100000000000001" customHeight="1" x14ac:dyDescent="0.25">
      <c r="C62" s="22"/>
      <c r="D62" s="1"/>
      <c r="E62" s="1"/>
      <c r="F62" s="1"/>
      <c r="G62" s="1"/>
      <c r="H62" s="1"/>
      <c r="I62" s="1"/>
      <c r="J62" s="1"/>
      <c r="K62" s="1"/>
      <c r="L62" s="22"/>
    </row>
    <row r="63" spans="3:12" ht="20.100000000000001" customHeight="1" x14ac:dyDescent="0.25">
      <c r="C63" s="22"/>
      <c r="D63" s="1"/>
      <c r="E63" s="1"/>
      <c r="F63" s="1"/>
      <c r="G63" s="1"/>
      <c r="H63" s="1"/>
      <c r="I63" s="1"/>
      <c r="J63" s="1"/>
      <c r="K63" s="1"/>
      <c r="L63" s="22"/>
    </row>
    <row r="64" spans="3:12" ht="20.100000000000001" customHeight="1" x14ac:dyDescent="0.25">
      <c r="C64" s="22"/>
      <c r="D64" s="1"/>
      <c r="E64" s="1"/>
      <c r="F64" s="1"/>
      <c r="G64" s="1"/>
      <c r="H64" s="1"/>
      <c r="I64" s="1"/>
      <c r="J64" s="1"/>
      <c r="K64" s="1"/>
      <c r="L64" s="22"/>
    </row>
    <row r="65" spans="3:12" ht="20.100000000000001" customHeight="1" x14ac:dyDescent="0.25">
      <c r="C65" s="22"/>
      <c r="D65" s="1"/>
      <c r="E65" s="1"/>
      <c r="F65" s="1"/>
      <c r="G65" s="1"/>
      <c r="H65" s="1"/>
      <c r="I65" s="1"/>
      <c r="J65" s="1"/>
      <c r="K65" s="1"/>
      <c r="L65" s="22"/>
    </row>
    <row r="66" spans="3:12" ht="20.100000000000001" customHeight="1" x14ac:dyDescent="0.25">
      <c r="C66" s="22"/>
      <c r="D66" s="1"/>
      <c r="E66" s="1"/>
      <c r="F66" s="1"/>
      <c r="G66" s="1"/>
      <c r="H66" s="1"/>
      <c r="I66" s="1"/>
      <c r="J66" s="1"/>
      <c r="K66" s="1"/>
      <c r="L66" s="22"/>
    </row>
    <row r="67" spans="3:12" ht="20.100000000000001" customHeight="1" x14ac:dyDescent="0.25">
      <c r="C67" s="22"/>
      <c r="D67" s="1"/>
      <c r="E67" s="1"/>
      <c r="F67" s="1"/>
      <c r="G67" s="1"/>
      <c r="H67" s="1"/>
      <c r="I67" s="1"/>
      <c r="J67" s="1"/>
      <c r="K67" s="1"/>
      <c r="L67" s="22"/>
    </row>
    <row r="68" spans="3:12" ht="20.100000000000001" customHeight="1" x14ac:dyDescent="0.25">
      <c r="C68" s="22"/>
      <c r="D68" s="1"/>
      <c r="E68" s="1"/>
      <c r="F68" s="1"/>
      <c r="G68" s="1"/>
      <c r="H68" s="1"/>
      <c r="I68" s="1"/>
      <c r="J68" s="1"/>
      <c r="K68" s="1"/>
      <c r="L68" s="22"/>
    </row>
    <row r="69" spans="3:12" ht="20.100000000000001" customHeight="1" x14ac:dyDescent="0.25">
      <c r="C69" s="22"/>
      <c r="D69" s="1"/>
      <c r="E69" s="1"/>
      <c r="F69" s="1"/>
      <c r="G69" s="1"/>
      <c r="H69" s="1"/>
      <c r="I69" s="1"/>
      <c r="J69" s="1"/>
      <c r="K69" s="1"/>
      <c r="L69" s="22"/>
    </row>
    <row r="70" spans="3:12" ht="20.100000000000001" customHeight="1" x14ac:dyDescent="0.25">
      <c r="C70" s="22"/>
      <c r="D70" s="1"/>
      <c r="E70" s="1"/>
      <c r="F70" s="1"/>
      <c r="G70" s="1"/>
      <c r="H70" s="1"/>
      <c r="I70" s="1"/>
      <c r="J70" s="1"/>
      <c r="K70" s="1"/>
      <c r="L70" s="22"/>
    </row>
    <row r="71" spans="3:12" ht="20.100000000000001" customHeight="1" x14ac:dyDescent="0.25">
      <c r="C71" s="22"/>
      <c r="D71" s="1"/>
      <c r="E71" s="1"/>
      <c r="F71" s="1"/>
      <c r="G71" s="1"/>
      <c r="H71" s="1"/>
      <c r="I71" s="1"/>
      <c r="J71" s="1"/>
      <c r="K71" s="1"/>
      <c r="L71" s="22"/>
    </row>
    <row r="72" spans="3:12" ht="20.100000000000001" customHeight="1" x14ac:dyDescent="0.25">
      <c r="C72" s="22"/>
      <c r="D72" s="1"/>
      <c r="E72" s="1"/>
      <c r="F72" s="1"/>
      <c r="G72" s="1"/>
      <c r="H72" s="1"/>
      <c r="I72" s="1"/>
      <c r="J72" s="1"/>
      <c r="K72" s="1"/>
      <c r="L72" s="22"/>
    </row>
    <row r="73" spans="3:12" ht="20.100000000000001" customHeight="1" x14ac:dyDescent="0.25">
      <c r="C73" s="22"/>
      <c r="D73" s="1"/>
      <c r="E73" s="1"/>
      <c r="F73" s="1"/>
      <c r="G73" s="1"/>
      <c r="H73" s="1"/>
      <c r="I73" s="1"/>
      <c r="J73" s="1"/>
      <c r="K73" s="1"/>
      <c r="L73" s="22"/>
    </row>
    <row r="74" spans="3:12" ht="20.100000000000001" customHeight="1" x14ac:dyDescent="0.25">
      <c r="C74" s="22"/>
      <c r="D74" s="1"/>
      <c r="E74" s="1"/>
      <c r="F74" s="1"/>
      <c r="G74" s="1"/>
      <c r="H74" s="1"/>
      <c r="I74" s="1"/>
      <c r="J74" s="1"/>
      <c r="K74" s="1"/>
      <c r="L74" s="22"/>
    </row>
    <row r="75" spans="3:12" ht="20.100000000000001" customHeight="1" x14ac:dyDescent="0.25">
      <c r="C75" s="22"/>
      <c r="D75" s="1"/>
      <c r="E75" s="1"/>
      <c r="F75" s="1"/>
      <c r="G75" s="1"/>
      <c r="H75" s="1"/>
      <c r="I75" s="1"/>
      <c r="J75" s="1"/>
      <c r="K75" s="1"/>
      <c r="L75" s="22"/>
    </row>
    <row r="76" spans="3:12" ht="15.75" x14ac:dyDescent="0.25">
      <c r="C76" s="22"/>
      <c r="D76" s="1"/>
      <c r="E76" s="1"/>
      <c r="F76" s="1"/>
      <c r="G76" s="1"/>
      <c r="H76" s="1"/>
      <c r="I76" s="1"/>
      <c r="J76" s="1"/>
      <c r="K76" s="1"/>
      <c r="L76" s="22"/>
    </row>
    <row r="77" spans="3:12" ht="15.75" x14ac:dyDescent="0.25">
      <c r="C77" s="22"/>
      <c r="D77" s="1"/>
      <c r="E77" s="1"/>
      <c r="F77" s="1"/>
      <c r="G77" s="1"/>
      <c r="H77" s="1"/>
      <c r="I77" s="1"/>
      <c r="J77" s="1"/>
      <c r="K77" s="1"/>
      <c r="L77" s="22"/>
    </row>
    <row r="78" spans="3:12" ht="15.75" x14ac:dyDescent="0.25">
      <c r="C78" s="22"/>
      <c r="D78" s="1"/>
      <c r="E78" s="1"/>
      <c r="F78" s="1"/>
      <c r="G78" s="1"/>
      <c r="H78" s="1"/>
      <c r="I78" s="1"/>
      <c r="J78" s="1"/>
      <c r="K78" s="1"/>
      <c r="L78" s="22"/>
    </row>
    <row r="79" spans="3:12" ht="15.75" x14ac:dyDescent="0.25">
      <c r="C79" s="22"/>
      <c r="D79" s="1"/>
      <c r="E79" s="1"/>
      <c r="F79" s="1"/>
      <c r="G79" s="1"/>
      <c r="H79" s="1"/>
      <c r="I79" s="1"/>
      <c r="J79" s="1"/>
      <c r="K79" s="1"/>
      <c r="L79" s="22"/>
    </row>
    <row r="80" spans="3:12" ht="15.75" x14ac:dyDescent="0.25">
      <c r="C80" s="22"/>
      <c r="D80" s="1"/>
      <c r="E80" s="1"/>
      <c r="F80" s="1"/>
      <c r="G80" s="1"/>
      <c r="H80" s="1"/>
      <c r="I80" s="1"/>
      <c r="J80" s="1"/>
      <c r="K80" s="1"/>
      <c r="L80" s="22"/>
    </row>
    <row r="81" spans="3:12" ht="15.75" x14ac:dyDescent="0.25">
      <c r="C81" s="22"/>
      <c r="D81" s="1"/>
      <c r="E81" s="1"/>
      <c r="F81" s="1"/>
      <c r="G81" s="1"/>
      <c r="H81" s="1"/>
      <c r="I81" s="1"/>
      <c r="J81" s="1"/>
      <c r="K81" s="1"/>
      <c r="L81" s="22"/>
    </row>
    <row r="82" spans="3:12" ht="15.75" x14ac:dyDescent="0.25">
      <c r="C82" s="22"/>
      <c r="D82" s="1"/>
      <c r="E82" s="1"/>
      <c r="F82" s="1"/>
      <c r="G82" s="1"/>
      <c r="H82" s="1"/>
      <c r="I82" s="1"/>
      <c r="J82" s="1"/>
      <c r="K82" s="1"/>
      <c r="L82" s="22"/>
    </row>
    <row r="83" spans="3:12" ht="15.75" x14ac:dyDescent="0.25">
      <c r="C83" s="22"/>
      <c r="D83" s="1"/>
      <c r="E83" s="1"/>
      <c r="F83" s="1"/>
      <c r="G83" s="1"/>
      <c r="H83" s="1"/>
      <c r="I83" s="1"/>
      <c r="J83" s="1"/>
      <c r="K83" s="1"/>
      <c r="L83" s="22"/>
    </row>
    <row r="84" spans="3:12" ht="15.75" x14ac:dyDescent="0.25">
      <c r="C84" s="22"/>
      <c r="D84" s="1"/>
      <c r="E84" s="1"/>
      <c r="F84" s="1"/>
      <c r="G84" s="1"/>
      <c r="H84" s="1"/>
      <c r="I84" s="1"/>
      <c r="J84" s="1"/>
      <c r="K84" s="1"/>
      <c r="L84" s="22"/>
    </row>
    <row r="85" spans="3:12" ht="15.75" x14ac:dyDescent="0.25">
      <c r="C85" s="22"/>
      <c r="D85" s="1"/>
      <c r="E85" s="1"/>
      <c r="F85" s="1"/>
      <c r="G85" s="1"/>
      <c r="H85" s="1"/>
      <c r="I85" s="1"/>
      <c r="J85" s="1"/>
      <c r="K85" s="1"/>
      <c r="L85" s="22"/>
    </row>
    <row r="86" spans="3:12" x14ac:dyDescent="0.25">
      <c r="C86" s="22"/>
      <c r="D86" s="22"/>
      <c r="E86" s="22"/>
      <c r="F86" s="22"/>
      <c r="G86" s="22"/>
      <c r="H86" s="22"/>
      <c r="I86" s="22"/>
      <c r="J86" s="22"/>
      <c r="K86" s="22"/>
      <c r="L86" s="22"/>
    </row>
    <row r="87" spans="3:12" x14ac:dyDescent="0.25">
      <c r="C87" s="22"/>
      <c r="D87" s="22"/>
      <c r="E87" s="22"/>
      <c r="F87" s="22"/>
      <c r="G87" s="22"/>
      <c r="H87" s="22"/>
      <c r="I87" s="22"/>
      <c r="J87" s="22"/>
      <c r="K87" s="22"/>
      <c r="L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7" t="e" vm="1">
        <v>#VALUE!</v>
      </c>
      <c r="C1" s="12" t="s">
        <v>59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9</v>
      </c>
      <c r="N5" s="38"/>
    </row>
    <row r="6" spans="1:24" ht="20.100000000000001" customHeight="1" x14ac:dyDescent="0.25">
      <c r="D6" s="14"/>
      <c r="N6" s="39"/>
    </row>
    <row r="7" spans="1:24" ht="20.100000000000001" customHeight="1" x14ac:dyDescent="0.25">
      <c r="A7" s="20" t="s">
        <v>3</v>
      </c>
      <c r="D7" s="1" t="s">
        <v>7</v>
      </c>
      <c r="E7" s="31" t="s">
        <v>6</v>
      </c>
      <c r="F7" s="2"/>
    </row>
    <row r="8" spans="1:24" ht="20.100000000000001" customHeight="1" x14ac:dyDescent="0.25">
      <c r="A8" s="102" t="str">
        <f>HYPERLINK("#'Input - Site'!A1", "Site")</f>
        <v>Site</v>
      </c>
      <c r="D8" s="10" t="s">
        <v>51</v>
      </c>
      <c r="E8" s="31" t="s">
        <v>52</v>
      </c>
    </row>
    <row r="9" spans="1:24" ht="20.100000000000001" customHeight="1" x14ac:dyDescent="0.25">
      <c r="A9" s="17" t="str">
        <f>HYPERLINK("#'Input - Other Livestock'!A1", "Other Livestock")</f>
        <v>Other Livestock</v>
      </c>
      <c r="N9" s="40"/>
    </row>
    <row r="10" spans="1:24" ht="20.100000000000001" customHeight="1" x14ac:dyDescent="0.25">
      <c r="A10" s="17"/>
      <c r="D10" s="76" t="s">
        <v>58</v>
      </c>
      <c r="E10" s="74"/>
      <c r="F10" s="77"/>
      <c r="G10" s="71"/>
      <c r="N10" s="40"/>
    </row>
    <row r="11" spans="1:24" ht="20.100000000000001" customHeight="1" x14ac:dyDescent="0.25">
      <c r="A11" s="19" t="s">
        <v>55</v>
      </c>
      <c r="N11" s="41"/>
    </row>
    <row r="12" spans="1:24" ht="20.100000000000001" customHeight="1" x14ac:dyDescent="0.25">
      <c r="A12" s="17" t="str">
        <f>HYPERLINK("#'3.6.1.1-2 Enteric Methane'!A1", "3.6.1.1-2 Enteric Methane")</f>
        <v>3.6.1.1-2 Enteric Methane</v>
      </c>
      <c r="D12" s="10" t="s">
        <v>62</v>
      </c>
      <c r="E12" s="55">
        <v>45292</v>
      </c>
      <c r="F12" s="2" t="s">
        <v>50</v>
      </c>
    </row>
    <row r="13" spans="1:24" ht="20.100000000000001" customHeight="1" x14ac:dyDescent="0.25">
      <c r="A13"/>
      <c r="D13" s="10" t="s">
        <v>63</v>
      </c>
      <c r="E13" s="60">
        <f>DATE(YEAR(E12)+1,MONTH(E12),DAY(E12))-1</f>
        <v>45657</v>
      </c>
      <c r="F13" s="2" t="s">
        <v>10</v>
      </c>
      <c r="N13" s="36"/>
      <c r="O13" s="36"/>
    </row>
    <row r="14" spans="1:24" ht="20.100000000000001" customHeight="1" x14ac:dyDescent="0.25">
      <c r="A14" s="18" t="s">
        <v>4</v>
      </c>
      <c r="N14" s="36"/>
      <c r="O14" s="36"/>
    </row>
    <row r="15" spans="1:24" ht="20.100000000000001" customHeight="1" x14ac:dyDescent="0.25">
      <c r="A15" s="17" t="str">
        <f>HYPERLINK("#'Constants - Other Livestock'!A1", "Constants - Other Livestock")</f>
        <v>Constants - Other Livestock</v>
      </c>
      <c r="D15" s="32"/>
      <c r="E15" s="32"/>
      <c r="F15" s="32"/>
      <c r="G15" s="32"/>
      <c r="H15" s="32"/>
      <c r="I15" s="32"/>
      <c r="J15" s="32"/>
      <c r="K15" s="32"/>
      <c r="N15" s="36"/>
      <c r="O15" s="36"/>
    </row>
    <row r="16" spans="1:24" ht="20.100000000000001" customHeight="1" x14ac:dyDescent="0.25">
      <c r="A16" s="17" t="str">
        <f>HYPERLINK("#'Constants - Common'!A1", "Constants - Common")</f>
        <v>Constants - Common</v>
      </c>
      <c r="D16" s="32"/>
      <c r="E16" s="32"/>
      <c r="F16" s="32"/>
      <c r="G16" s="32"/>
      <c r="H16" s="32"/>
      <c r="I16" s="32"/>
      <c r="J16" s="32"/>
      <c r="K16" s="32"/>
      <c r="N16" s="36"/>
      <c r="O16" s="36"/>
    </row>
    <row r="17" spans="1:25" ht="20.100000000000001" customHeight="1" x14ac:dyDescent="0.25">
      <c r="A17" s="17" t="str">
        <f>HYPERLINK("#'Acknowledgements'!A1", "Acknowledgements")</f>
        <v>Acknowledgements</v>
      </c>
      <c r="D17" s="32"/>
      <c r="E17" s="32"/>
      <c r="F17" s="32"/>
      <c r="G17" s="32"/>
      <c r="H17" s="32"/>
      <c r="I17" s="32"/>
      <c r="J17" s="32"/>
      <c r="K17" s="32"/>
    </row>
    <row r="18" spans="1:25" ht="20.100000000000001" customHeight="1" x14ac:dyDescent="0.25">
      <c r="A18"/>
      <c r="D18" s="32"/>
      <c r="E18" s="32"/>
      <c r="F18" s="32"/>
      <c r="G18" s="32"/>
      <c r="H18" s="32"/>
      <c r="I18" s="32"/>
      <c r="J18" s="32"/>
      <c r="K18" s="32"/>
    </row>
    <row r="19" spans="1:25" ht="20.100000000000001" customHeight="1" x14ac:dyDescent="0.25">
      <c r="A19"/>
      <c r="D19" s="32"/>
      <c r="E19" s="32"/>
      <c r="F19" s="32"/>
      <c r="G19" s="32"/>
      <c r="H19" s="32"/>
      <c r="I19" s="32"/>
      <c r="J19" s="32"/>
      <c r="K19" s="32"/>
      <c r="N19" s="38"/>
    </row>
    <row r="20" spans="1:25" ht="20.100000000000001" customHeight="1" x14ac:dyDescent="0.25">
      <c r="A20"/>
      <c r="D20" s="32"/>
      <c r="E20" s="32"/>
      <c r="F20" s="32"/>
      <c r="G20" s="32"/>
      <c r="H20" s="32"/>
      <c r="I20" s="32"/>
      <c r="J20" s="32"/>
      <c r="K20" s="32"/>
      <c r="N20" s="39"/>
    </row>
    <row r="21" spans="1:25" ht="20.100000000000001" customHeight="1" x14ac:dyDescent="0.25">
      <c r="A21" s="17"/>
      <c r="D21" s="32"/>
      <c r="E21" s="32"/>
      <c r="F21" s="32"/>
      <c r="G21" s="32"/>
      <c r="H21" s="32"/>
      <c r="I21" s="32"/>
      <c r="J21" s="32"/>
      <c r="K21" s="32"/>
    </row>
    <row r="22" spans="1:25" ht="20.100000000000001" customHeight="1" x14ac:dyDescent="0.25">
      <c r="A22"/>
      <c r="D22" s="32"/>
      <c r="E22" s="32"/>
      <c r="F22" s="32"/>
      <c r="G22" s="32"/>
      <c r="H22" s="32"/>
      <c r="I22" s="32"/>
      <c r="J22" s="32"/>
      <c r="K22" s="32"/>
    </row>
    <row r="23" spans="1:25" ht="20.100000000000001" customHeight="1" x14ac:dyDescent="0.25">
      <c r="A23"/>
      <c r="D23" s="32"/>
      <c r="E23" s="32"/>
      <c r="F23" s="32"/>
      <c r="G23" s="32"/>
      <c r="H23" s="32"/>
      <c r="I23" s="32"/>
      <c r="J23" s="32"/>
      <c r="K23" s="32"/>
    </row>
    <row r="24" spans="1:25" ht="20.100000000000001" customHeight="1" x14ac:dyDescent="0.25">
      <c r="A24"/>
      <c r="D24" s="32"/>
      <c r="E24" s="32"/>
      <c r="F24" s="32"/>
      <c r="G24" s="32"/>
      <c r="H24" s="32"/>
      <c r="I24" s="32"/>
      <c r="J24" s="32"/>
      <c r="K24" s="32"/>
    </row>
    <row r="25" spans="1:25" ht="20.100000000000001" customHeight="1" x14ac:dyDescent="0.25">
      <c r="A25"/>
      <c r="D25" s="32"/>
      <c r="E25" s="32"/>
      <c r="F25" s="32"/>
      <c r="G25" s="32"/>
      <c r="H25" s="32"/>
      <c r="I25" s="32"/>
      <c r="J25" s="32"/>
      <c r="K25" s="32"/>
      <c r="N25" s="39"/>
    </row>
    <row r="26" spans="1:25" ht="20.100000000000001" customHeight="1" x14ac:dyDescent="0.25">
      <c r="A26"/>
      <c r="D26" s="32"/>
      <c r="E26" s="32"/>
      <c r="F26" s="32"/>
      <c r="G26" s="32"/>
      <c r="H26" s="32"/>
      <c r="I26" s="32"/>
      <c r="J26" s="32"/>
      <c r="K26" s="32"/>
    </row>
    <row r="27" spans="1:25" ht="20.100000000000001" customHeight="1" x14ac:dyDescent="0.25">
      <c r="A27"/>
      <c r="D27" s="32"/>
      <c r="E27" s="32"/>
      <c r="F27" s="32"/>
      <c r="G27" s="32"/>
      <c r="H27" s="32"/>
      <c r="I27" s="32"/>
      <c r="J27" s="32"/>
      <c r="K27" s="32"/>
    </row>
    <row r="28" spans="1:25" ht="20.100000000000001" customHeight="1" x14ac:dyDescent="0.25">
      <c r="A28"/>
      <c r="D28" s="32"/>
      <c r="E28" s="32"/>
      <c r="F28" s="32"/>
      <c r="G28" s="32"/>
      <c r="H28" s="32"/>
      <c r="I28" s="32"/>
      <c r="J28" s="32"/>
      <c r="K28" s="32"/>
    </row>
    <row r="29" spans="1:25" ht="20.100000000000001" customHeight="1" x14ac:dyDescent="0.25">
      <c r="A29"/>
      <c r="D29" s="32"/>
      <c r="E29" s="32"/>
      <c r="F29" s="32"/>
      <c r="G29" s="32"/>
      <c r="H29" s="32"/>
      <c r="I29" s="32"/>
      <c r="J29" s="32"/>
      <c r="K29" s="32"/>
    </row>
    <row r="30" spans="1:25" ht="20.100000000000001" customHeight="1" x14ac:dyDescent="0.25">
      <c r="A30"/>
      <c r="D30" s="32"/>
      <c r="E30" s="32"/>
      <c r="F30" s="32"/>
      <c r="G30" s="32"/>
      <c r="H30" s="32"/>
      <c r="I30" s="32"/>
      <c r="J30" s="32"/>
      <c r="K30" s="32"/>
      <c r="L30" s="45"/>
      <c r="M30" s="45"/>
      <c r="N30" s="45"/>
      <c r="O30" s="45"/>
      <c r="P30" s="45"/>
      <c r="Q30" s="45"/>
      <c r="R30" s="45"/>
      <c r="S30" s="45"/>
      <c r="T30" s="45"/>
      <c r="U30" s="45"/>
      <c r="V30" s="45"/>
      <c r="W30" s="45"/>
      <c r="X30" s="45"/>
      <c r="Y30" s="45"/>
    </row>
    <row r="31" spans="1:25" ht="20.100000000000001" customHeight="1" x14ac:dyDescent="0.25">
      <c r="A31"/>
      <c r="D31" s="32"/>
      <c r="E31" s="32"/>
      <c r="F31" s="32"/>
      <c r="G31" s="32"/>
      <c r="H31" s="32"/>
      <c r="I31" s="32"/>
      <c r="J31" s="32"/>
      <c r="K31" s="32"/>
      <c r="L31" s="44"/>
      <c r="M31" s="44"/>
      <c r="N31" s="44"/>
      <c r="O31" s="44"/>
      <c r="P31" s="44"/>
      <c r="Q31" s="44"/>
      <c r="R31" s="44"/>
      <c r="S31" s="44"/>
      <c r="T31" s="44"/>
      <c r="U31" s="44"/>
      <c r="V31" s="44"/>
      <c r="W31" s="44"/>
      <c r="X31" s="44"/>
      <c r="Y31" s="44"/>
    </row>
    <row r="32" spans="1:25" ht="20.100000000000001" customHeight="1" x14ac:dyDescent="0.25">
      <c r="A32"/>
      <c r="D32" s="32"/>
      <c r="E32" s="32"/>
      <c r="F32" s="32"/>
      <c r="G32" s="32"/>
      <c r="H32" s="32"/>
      <c r="I32" s="32"/>
      <c r="J32" s="32"/>
      <c r="K32" s="32"/>
      <c r="L32" s="44"/>
      <c r="M32" s="44"/>
      <c r="N32" s="44"/>
      <c r="O32" s="44"/>
      <c r="P32" s="44"/>
      <c r="Q32" s="44"/>
      <c r="R32" s="44"/>
      <c r="S32" s="44"/>
      <c r="T32" s="44"/>
      <c r="U32" s="44"/>
      <c r="V32" s="44"/>
      <c r="W32" s="44"/>
      <c r="X32" s="44"/>
      <c r="Y32" s="44"/>
    </row>
    <row r="33" spans="1:25" ht="20.100000000000001" customHeight="1" x14ac:dyDescent="0.25">
      <c r="A33"/>
      <c r="D33" s="32"/>
      <c r="E33" s="32"/>
      <c r="F33" s="32"/>
      <c r="G33" s="32"/>
      <c r="H33" s="32"/>
      <c r="I33" s="32"/>
      <c r="J33" s="32"/>
      <c r="K33" s="32"/>
      <c r="L33" s="44"/>
      <c r="M33" s="44"/>
      <c r="N33" s="44"/>
      <c r="O33" s="44"/>
      <c r="P33" s="44"/>
      <c r="Q33" s="44"/>
      <c r="R33" s="44"/>
      <c r="S33" s="44"/>
      <c r="T33" s="44"/>
      <c r="U33" s="44"/>
      <c r="V33" s="44"/>
      <c r="W33" s="44"/>
      <c r="X33" s="44"/>
      <c r="Y33" s="44"/>
    </row>
    <row r="34" spans="1:25" ht="20.100000000000001" customHeight="1" x14ac:dyDescent="0.25">
      <c r="A34"/>
      <c r="D34" s="32"/>
      <c r="E34" s="32"/>
      <c r="F34" s="32"/>
      <c r="G34" s="32"/>
      <c r="H34" s="32"/>
      <c r="I34" s="32"/>
      <c r="J34" s="32"/>
      <c r="K34" s="32"/>
      <c r="L34" s="44"/>
      <c r="M34" s="44"/>
      <c r="N34" s="44"/>
      <c r="O34" s="44"/>
      <c r="P34" s="44"/>
      <c r="Q34" s="44"/>
      <c r="R34" s="44"/>
      <c r="S34" s="44"/>
      <c r="T34" s="44"/>
      <c r="U34" s="44"/>
      <c r="V34" s="44"/>
      <c r="W34" s="44"/>
      <c r="X34" s="44"/>
      <c r="Y34" s="44"/>
    </row>
    <row r="35" spans="1:25" ht="20.100000000000001" customHeight="1" x14ac:dyDescent="0.25">
      <c r="A35"/>
      <c r="D35" s="32"/>
      <c r="E35" s="32"/>
      <c r="F35" s="32"/>
      <c r="G35" s="32"/>
      <c r="H35" s="32"/>
      <c r="I35" s="32"/>
      <c r="J35" s="32"/>
      <c r="K35" s="32"/>
      <c r="L35" s="44"/>
      <c r="M35" s="44"/>
      <c r="N35" s="44"/>
      <c r="O35" s="44"/>
      <c r="P35" s="44"/>
      <c r="Q35" s="44"/>
      <c r="R35" s="44"/>
      <c r="S35" s="44"/>
      <c r="T35" s="44"/>
      <c r="U35" s="44"/>
      <c r="V35" s="44"/>
      <c r="W35" s="44"/>
      <c r="X35" s="44"/>
      <c r="Y35" s="44"/>
    </row>
    <row r="36" spans="1:25" ht="20.100000000000001" customHeight="1" x14ac:dyDescent="0.25">
      <c r="A36"/>
      <c r="D36" s="32"/>
      <c r="E36" s="32"/>
      <c r="F36" s="32"/>
      <c r="G36" s="32"/>
      <c r="H36" s="32"/>
      <c r="I36" s="32"/>
      <c r="J36" s="32"/>
      <c r="K36" s="32"/>
      <c r="L36" s="44"/>
      <c r="M36" s="44"/>
      <c r="N36" s="44"/>
      <c r="O36" s="44"/>
      <c r="P36" s="44"/>
      <c r="Q36" s="44"/>
      <c r="R36" s="44"/>
      <c r="S36" s="44"/>
      <c r="T36" s="44"/>
      <c r="U36" s="44"/>
      <c r="V36" s="44"/>
      <c r="W36" s="44"/>
      <c r="X36" s="44"/>
      <c r="Y36" s="44"/>
    </row>
    <row r="37" spans="1:25" ht="20.100000000000001" customHeight="1" x14ac:dyDescent="0.25">
      <c r="A37"/>
      <c r="D37" s="32"/>
      <c r="E37" s="32"/>
      <c r="F37" s="32"/>
      <c r="G37" s="32"/>
      <c r="H37" s="32"/>
      <c r="I37" s="32"/>
      <c r="J37" s="32"/>
      <c r="K37" s="32"/>
      <c r="L37" s="44"/>
      <c r="M37" s="44"/>
      <c r="N37" s="44"/>
      <c r="O37" s="44"/>
      <c r="P37" s="44"/>
      <c r="Q37" s="44"/>
      <c r="R37" s="44"/>
      <c r="S37" s="44"/>
      <c r="T37" s="44"/>
      <c r="U37" s="44"/>
      <c r="V37" s="44"/>
      <c r="W37" s="44"/>
      <c r="X37" s="44"/>
      <c r="Y37" s="44"/>
    </row>
    <row r="38" spans="1:25" ht="20.100000000000001" customHeight="1" x14ac:dyDescent="0.25">
      <c r="A38"/>
      <c r="D38" s="32"/>
      <c r="E38" s="32"/>
      <c r="F38" s="32"/>
      <c r="G38" s="32"/>
      <c r="H38" s="32"/>
      <c r="I38" s="32"/>
      <c r="J38" s="32"/>
      <c r="K38" s="32"/>
      <c r="L38" s="44"/>
      <c r="M38" s="44"/>
      <c r="N38" s="44"/>
      <c r="O38" s="44"/>
      <c r="P38" s="44"/>
      <c r="Q38" s="44"/>
      <c r="R38" s="44"/>
      <c r="S38" s="44"/>
      <c r="T38" s="44"/>
      <c r="U38" s="44"/>
      <c r="V38" s="44"/>
      <c r="W38" s="44"/>
      <c r="X38" s="44"/>
      <c r="Y38" s="44"/>
    </row>
    <row r="39" spans="1:25" ht="20.100000000000001" customHeight="1" x14ac:dyDescent="0.25">
      <c r="A39"/>
      <c r="D39" s="32"/>
      <c r="E39" s="32"/>
      <c r="F39" s="32"/>
      <c r="G39" s="32"/>
      <c r="H39" s="32"/>
      <c r="I39" s="32"/>
      <c r="J39" s="32"/>
      <c r="K39" s="32"/>
      <c r="L39" s="44"/>
      <c r="M39" s="44"/>
      <c r="N39" s="44"/>
      <c r="O39" s="44"/>
      <c r="P39" s="44"/>
      <c r="Q39" s="44"/>
      <c r="R39" s="44"/>
      <c r="S39" s="44"/>
      <c r="T39" s="44"/>
      <c r="U39" s="44"/>
      <c r="V39" s="44"/>
      <c r="W39" s="44"/>
      <c r="X39" s="44"/>
      <c r="Y39" s="44"/>
    </row>
    <row r="40" spans="1:25" ht="20.100000000000001" customHeight="1" x14ac:dyDescent="0.25">
      <c r="A40"/>
      <c r="D40" s="32"/>
      <c r="E40" s="32"/>
      <c r="F40" s="32"/>
      <c r="G40" s="32"/>
      <c r="H40" s="32"/>
      <c r="I40" s="32"/>
      <c r="J40" s="32"/>
      <c r="K40" s="32"/>
      <c r="L40" s="46"/>
      <c r="M40" s="46"/>
      <c r="N40" s="46"/>
      <c r="O40" s="46"/>
      <c r="P40" s="46"/>
      <c r="Q40" s="46"/>
      <c r="R40" s="46"/>
      <c r="S40" s="46"/>
      <c r="T40" s="46"/>
      <c r="U40" s="46"/>
      <c r="V40" s="46"/>
      <c r="W40" s="46"/>
      <c r="X40" s="46"/>
      <c r="Y40" s="46"/>
    </row>
    <row r="41" spans="1:25" ht="20.100000000000001" customHeight="1" x14ac:dyDescent="0.25">
      <c r="A41"/>
      <c r="D41" s="32"/>
      <c r="E41" s="32"/>
      <c r="F41" s="32"/>
      <c r="G41" s="32"/>
      <c r="H41" s="32"/>
      <c r="I41" s="32"/>
      <c r="J41" s="32"/>
      <c r="K41" s="32"/>
    </row>
    <row r="42" spans="1:25" ht="20.100000000000001" customHeight="1" x14ac:dyDescent="0.25">
      <c r="A42"/>
      <c r="D42" s="32"/>
      <c r="E42" s="32"/>
      <c r="F42" s="32"/>
      <c r="G42" s="32"/>
      <c r="H42" s="32"/>
      <c r="I42" s="32"/>
      <c r="J42" s="32"/>
      <c r="K42" s="32"/>
    </row>
    <row r="43" spans="1:25" ht="20.100000000000001" customHeight="1" x14ac:dyDescent="0.25">
      <c r="A43"/>
      <c r="D43" s="32"/>
      <c r="E43" s="32"/>
      <c r="F43" s="32"/>
      <c r="G43" s="32"/>
      <c r="H43" s="32"/>
      <c r="I43" s="32"/>
      <c r="J43" s="32"/>
      <c r="K43" s="32"/>
    </row>
    <row r="44" spans="1:25" ht="20.100000000000001" customHeight="1" x14ac:dyDescent="0.25">
      <c r="D44" s="32"/>
      <c r="E44" s="32"/>
      <c r="F44" s="32"/>
      <c r="G44" s="32"/>
      <c r="H44" s="32"/>
      <c r="I44" s="32"/>
      <c r="J44" s="32"/>
      <c r="K44" s="32"/>
    </row>
    <row r="45" spans="1:25" ht="20.100000000000001" customHeight="1" x14ac:dyDescent="0.25">
      <c r="D45" s="32"/>
      <c r="E45" s="32"/>
      <c r="F45" s="32"/>
      <c r="G45" s="32"/>
      <c r="H45" s="32"/>
      <c r="I45" s="32"/>
      <c r="J45" s="32"/>
      <c r="K45" s="32"/>
    </row>
    <row r="46" spans="1:25" ht="20.100000000000001" customHeight="1" x14ac:dyDescent="0.25">
      <c r="D46" s="32"/>
      <c r="E46" s="32"/>
      <c r="F46" s="32"/>
      <c r="G46" s="32"/>
      <c r="H46" s="32"/>
      <c r="I46" s="32"/>
      <c r="J46" s="32"/>
      <c r="K46" s="32"/>
    </row>
    <row r="47" spans="1:25" ht="20.100000000000001" customHeight="1" x14ac:dyDescent="0.25">
      <c r="D47" s="32"/>
      <c r="E47" s="32"/>
      <c r="F47" s="32"/>
      <c r="G47" s="32"/>
      <c r="H47" s="32"/>
      <c r="I47" s="32"/>
      <c r="J47" s="32"/>
      <c r="K47" s="32"/>
    </row>
    <row r="48" spans="1:25" ht="20.100000000000001" customHeight="1" x14ac:dyDescent="0.25">
      <c r="D48" s="32"/>
      <c r="E48" s="32"/>
      <c r="F48" s="32"/>
      <c r="G48" s="32"/>
      <c r="H48" s="32"/>
      <c r="I48" s="32"/>
      <c r="J48" s="32"/>
      <c r="K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1"/>
      <c r="E51" s="62"/>
      <c r="F51" s="62"/>
      <c r="G51" s="62"/>
      <c r="H51" s="63"/>
    </row>
    <row r="52" spans="4:8" ht="20.100000000000001" customHeight="1" x14ac:dyDescent="0.25"/>
    <row r="53" spans="4:8" ht="20.100000000000001" customHeight="1" x14ac:dyDescent="0.25"/>
    <row r="54" spans="4:8" ht="20.100000000000001" customHeight="1" x14ac:dyDescent="0.25">
      <c r="G54" s="64"/>
    </row>
    <row r="55" spans="4:8" ht="20.100000000000001" customHeight="1" x14ac:dyDescent="0.25">
      <c r="D55" s="6"/>
    </row>
    <row r="56" spans="4:8" ht="20.100000000000001" customHeight="1" x14ac:dyDescent="0.25"/>
    <row r="57" spans="4:8" ht="20.100000000000001" customHeight="1" x14ac:dyDescent="0.25">
      <c r="D57" s="21"/>
      <c r="F57" s="65"/>
    </row>
    <row r="58" spans="4:8" ht="20.100000000000001" customHeight="1" x14ac:dyDescent="0.25">
      <c r="D58" s="1"/>
      <c r="E58" s="66"/>
    </row>
    <row r="59" spans="4:8" ht="20.100000000000001" customHeight="1" x14ac:dyDescent="0.25">
      <c r="D59" s="1"/>
      <c r="E59" s="66"/>
    </row>
    <row r="60" spans="4:8" ht="20.100000000000001" customHeight="1" x14ac:dyDescent="0.25">
      <c r="D60" s="1"/>
      <c r="E60" s="67"/>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66"/>
    </row>
    <row r="65" spans="4:9" ht="20.100000000000001" customHeight="1" x14ac:dyDescent="0.25">
      <c r="D65" s="1"/>
      <c r="E65" s="66"/>
    </row>
    <row r="66" spans="4:9" ht="20.100000000000001" customHeight="1" x14ac:dyDescent="0.25">
      <c r="D66" s="1"/>
      <c r="E66" s="67"/>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68"/>
    </row>
    <row r="79" spans="4:9" ht="20.100000000000001" customHeight="1" x14ac:dyDescent="0.25">
      <c r="D79" s="68"/>
    </row>
    <row r="80" spans="4:9" ht="20.100000000000001" customHeight="1" x14ac:dyDescent="0.25">
      <c r="D80" s="68"/>
    </row>
    <row r="81" spans="4:4" ht="20.100000000000001" customHeight="1" x14ac:dyDescent="0.25">
      <c r="D81" s="68"/>
    </row>
    <row r="82" spans="4:4" ht="20.100000000000001" customHeight="1" x14ac:dyDescent="0.25">
      <c r="D82" s="6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62.5703125" style="1" customWidth="1"/>
    <col min="5" max="11" width="30.7109375" style="1" customWidth="1"/>
    <col min="12" max="12" width="4.7109375" style="1" customWidth="1"/>
    <col min="13" max="13" width="4.7109375" customWidth="1"/>
    <col min="14" max="14" width="4.7109375" style="52" customWidth="1"/>
    <col min="15" max="20" width="30.7109375" style="52" customWidth="1"/>
    <col min="21" max="21" width="4.7109375" style="52" customWidth="1"/>
  </cols>
  <sheetData>
    <row r="1" spans="1:21" s="57" customFormat="1" ht="30" customHeight="1" x14ac:dyDescent="0.35">
      <c r="A1" s="57" t="e" vm="1">
        <v>#VALUE!</v>
      </c>
      <c r="C1" s="57" t="s">
        <v>112</v>
      </c>
      <c r="N1" s="52"/>
      <c r="O1" s="52"/>
      <c r="P1" s="52"/>
      <c r="Q1" s="52"/>
      <c r="R1" s="52"/>
      <c r="S1" s="52"/>
      <c r="T1" s="52"/>
      <c r="U1" s="52"/>
    </row>
    <row r="2" spans="1:21" s="9" customFormat="1" ht="20.100000000000001" customHeight="1" x14ac:dyDescent="0.25">
      <c r="N2" s="52"/>
      <c r="O2" s="52"/>
      <c r="P2" s="52"/>
      <c r="Q2" s="52"/>
      <c r="R2" s="52"/>
      <c r="S2" s="52"/>
      <c r="T2" s="52"/>
      <c r="U2" s="52"/>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113</v>
      </c>
    </row>
    <row r="6" spans="1:21" ht="20.100000000000001" customHeight="1" x14ac:dyDescent="0.25">
      <c r="A6" s="16"/>
    </row>
    <row r="7" spans="1:21" ht="20.100000000000001" customHeight="1" x14ac:dyDescent="0.25">
      <c r="A7" s="20" t="s">
        <v>3</v>
      </c>
      <c r="D7" s="54"/>
      <c r="E7" s="37" t="s">
        <v>114</v>
      </c>
      <c r="F7" s="37" t="s">
        <v>115</v>
      </c>
      <c r="G7" s="37" t="s">
        <v>116</v>
      </c>
      <c r="H7" s="37" t="s">
        <v>117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78">
        <v>4300</v>
      </c>
      <c r="F8" s="78">
        <v>100</v>
      </c>
      <c r="G8" s="78">
        <v>100</v>
      </c>
      <c r="H8" s="78">
        <v>100</v>
      </c>
      <c r="I8" s="2" t="s">
        <v>64</v>
      </c>
      <c r="J8" s="2"/>
      <c r="K8" s="2"/>
    </row>
    <row r="9" spans="1:21" ht="20.100000000000001" customHeight="1" x14ac:dyDescent="0.25">
      <c r="A9" s="102" t="str">
        <f>HYPERLINK("#'Input - Other Livestock'!A1", "Other Livestock")</f>
        <v>Other Livestock</v>
      </c>
      <c r="J9" s="2"/>
      <c r="K9" s="2"/>
    </row>
    <row r="10" spans="1:21" ht="20.100000000000001" customHeight="1" x14ac:dyDescent="0.25">
      <c r="A10" s="17"/>
    </row>
    <row r="11" spans="1:21" ht="20.100000000000001" customHeight="1" x14ac:dyDescent="0.25">
      <c r="A11" s="19" t="s">
        <v>55</v>
      </c>
      <c r="D11" s="6" t="s">
        <v>118</v>
      </c>
    </row>
    <row r="12" spans="1:21" ht="20.100000000000001" customHeight="1" x14ac:dyDescent="0.25">
      <c r="A12" s="17" t="str">
        <f>HYPERLINK("#'3.6.1.1-2 Enteric Methane'!A1", "3.6.1.1-2 Enteric Methane")</f>
        <v>3.6.1.1-2 Enteric Methane</v>
      </c>
    </row>
    <row r="13" spans="1:21" ht="20.100000000000001" customHeight="1" x14ac:dyDescent="0.25">
      <c r="D13" s="54"/>
      <c r="E13" s="37" t="s">
        <v>119</v>
      </c>
      <c r="F13" s="37" t="s">
        <v>120</v>
      </c>
      <c r="G13" s="37" t="s">
        <v>121</v>
      </c>
      <c r="H13" s="37" t="s">
        <v>122</v>
      </c>
      <c r="I13" s="37" t="s">
        <v>123</v>
      </c>
      <c r="J13" s="37" t="s">
        <v>124</v>
      </c>
    </row>
    <row r="14" spans="1:21" ht="20.100000000000001" customHeight="1" x14ac:dyDescent="0.25">
      <c r="A14" s="18" t="s">
        <v>4</v>
      </c>
      <c r="D14" s="1" t="str">
        <f>"Average number of head between " &amp; TEXT('Input - Site'!$E$12, "dd mmm yy") &amp; " and " &amp; TEXT('Input - Site'!$E$13, "dd mmm yy")</f>
        <v>Average number of head between 01 Jan 24 and 31 Dec 24</v>
      </c>
      <c r="E14" s="78">
        <v>4300</v>
      </c>
      <c r="F14" s="78">
        <v>100</v>
      </c>
      <c r="G14" s="78">
        <v>100</v>
      </c>
      <c r="H14" s="78">
        <v>100</v>
      </c>
      <c r="I14" s="78">
        <v>100</v>
      </c>
      <c r="J14" s="78">
        <v>100</v>
      </c>
      <c r="K14" s="2" t="s">
        <v>64</v>
      </c>
    </row>
    <row r="15" spans="1:21" ht="20.100000000000001" customHeight="1" x14ac:dyDescent="0.25">
      <c r="A15" s="17" t="str">
        <f>HYPERLINK("#'Constants - Other Livestock'!A1", "Constants - Other Livestock")</f>
        <v>Constants - Other Livestock</v>
      </c>
      <c r="J15" s="2"/>
      <c r="K15" s="2"/>
    </row>
    <row r="16" spans="1:21" ht="20.100000000000001" customHeight="1" x14ac:dyDescent="0.25">
      <c r="A16" s="17" t="str">
        <f>HYPERLINK("#'Constants - Common'!A1", "Constants - Common")</f>
        <v>Constants - Common</v>
      </c>
      <c r="J16" s="2"/>
      <c r="K16" s="2"/>
    </row>
    <row r="17" spans="1:11" ht="20.100000000000001" customHeight="1" x14ac:dyDescent="0.25">
      <c r="A17" s="17" t="str">
        <f>HYPERLINK("#'Acknowledgements'!A1", "Acknowledgements")</f>
        <v>Acknowledgements</v>
      </c>
      <c r="D17" s="6" t="s">
        <v>125</v>
      </c>
      <c r="J17" s="2"/>
      <c r="K17" s="2"/>
    </row>
    <row r="18" spans="1:11" ht="20.100000000000001" customHeight="1" x14ac:dyDescent="0.25"/>
    <row r="19" spans="1:11" ht="20.100000000000001" customHeight="1" x14ac:dyDescent="0.25">
      <c r="D19" s="54"/>
      <c r="E19" s="37" t="s">
        <v>126</v>
      </c>
      <c r="F19" s="37" t="s">
        <v>127</v>
      </c>
      <c r="G19" s="37" t="s">
        <v>128</v>
      </c>
      <c r="H19" s="37" t="s">
        <v>129</v>
      </c>
    </row>
    <row r="20" spans="1:11" ht="20.100000000000001" customHeight="1" x14ac:dyDescent="0.25">
      <c r="D20" s="1" t="str">
        <f>"Average number of head between " &amp; TEXT('Input - Site'!$E$12, "dd mmm yy") &amp; " and " &amp; TEXT('Input - Site'!$E$13, "dd mmm yy")</f>
        <v>Average number of head between 01 Jan 24 and 31 Dec 24</v>
      </c>
      <c r="E20" s="78">
        <v>4300</v>
      </c>
      <c r="F20" s="78">
        <v>100</v>
      </c>
      <c r="G20" s="78">
        <v>100</v>
      </c>
      <c r="H20" s="78">
        <v>100</v>
      </c>
      <c r="I20" s="2" t="s">
        <v>64</v>
      </c>
      <c r="J20" s="2"/>
      <c r="K20" s="2"/>
    </row>
    <row r="21" spans="1:11" ht="20.100000000000001" customHeight="1" x14ac:dyDescent="0.25">
      <c r="A21" s="17"/>
      <c r="J21" s="2"/>
      <c r="K21" s="2"/>
    </row>
    <row r="22" spans="1:11" ht="20.100000000000001" customHeight="1" x14ac:dyDescent="0.25">
      <c r="J22" s="2"/>
      <c r="K22" s="2"/>
    </row>
    <row r="23" spans="1:11" ht="20.100000000000001" customHeight="1" x14ac:dyDescent="0.25">
      <c r="D23" s="6" t="s">
        <v>130</v>
      </c>
      <c r="J23" s="2"/>
      <c r="K23" s="2"/>
    </row>
    <row r="24" spans="1:11" ht="20.100000000000001" customHeight="1" x14ac:dyDescent="0.25"/>
    <row r="25" spans="1:11" ht="20.100000000000001" customHeight="1" x14ac:dyDescent="0.25">
      <c r="A25" s="17"/>
      <c r="D25" s="54"/>
      <c r="E25" s="37" t="s">
        <v>131</v>
      </c>
      <c r="F25" s="37" t="s">
        <v>132</v>
      </c>
      <c r="G25" s="37" t="s">
        <v>133</v>
      </c>
      <c r="H25" s="37" t="s">
        <v>134</v>
      </c>
      <c r="I25" s="37" t="s">
        <v>135</v>
      </c>
    </row>
    <row r="26" spans="1:11" ht="20.100000000000001" customHeight="1" x14ac:dyDescent="0.25">
      <c r="A26" s="17"/>
      <c r="D26" s="1" t="str">
        <f>"Average number of head between " &amp; TEXT('Input - Site'!$E$12, "dd mmm yy") &amp; " and " &amp; TEXT('Input - Site'!$E$13, "dd mmm yy")</f>
        <v>Average number of head between 01 Jan 24 and 31 Dec 24</v>
      </c>
      <c r="E26" s="78">
        <v>4300</v>
      </c>
      <c r="F26" s="78">
        <v>100</v>
      </c>
      <c r="G26" s="78">
        <v>100</v>
      </c>
      <c r="H26" s="78">
        <v>100</v>
      </c>
      <c r="I26" s="78">
        <v>100</v>
      </c>
      <c r="J26" s="2" t="s">
        <v>64</v>
      </c>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56"/>
    </row>
    <row r="32" spans="1:11" ht="20.100000000000001" customHeight="1" x14ac:dyDescent="0.25">
      <c r="A32" s="56"/>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2"/>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82"/>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E32" sqref="E3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57" t="e" vm="1">
        <v>#VALUE!</v>
      </c>
      <c r="C1" s="8" t="s">
        <v>111</v>
      </c>
      <c r="K1"/>
    </row>
    <row r="2" spans="1:19" s="9" customFormat="1" ht="20.100000000000001" customHeight="1" x14ac:dyDescent="0.25">
      <c r="K2"/>
    </row>
    <row r="3" spans="1:19" ht="20.100000000000001" customHeight="1" x14ac:dyDescent="0.25">
      <c r="A3" s="17" t="str">
        <f>HYPERLINK("#'Home'!A1", "Home")</f>
        <v>Home</v>
      </c>
      <c r="C3" s="4"/>
      <c r="D3" s="4" t="s">
        <v>65</v>
      </c>
      <c r="E3" s="4"/>
      <c r="F3" s="4"/>
      <c r="G3" s="4"/>
      <c r="H3" s="4"/>
      <c r="I3" s="4"/>
      <c r="J3" s="4"/>
      <c r="L3" s="4"/>
      <c r="M3" s="4" t="s">
        <v>66</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145</v>
      </c>
    </row>
    <row r="6" spans="1:19" ht="20.100000000000001" customHeight="1" x14ac:dyDescent="0.25">
      <c r="A6" s="16"/>
      <c r="D6" s="5" t="s">
        <v>146</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Other Livestock'!A1", "Other Livestock")</f>
        <v>Other Livestock</v>
      </c>
    </row>
    <row r="10" spans="1:19" ht="20.100000000000001" customHeight="1" x14ac:dyDescent="0.25">
      <c r="A10" s="17"/>
      <c r="D10" s="49" t="s">
        <v>18</v>
      </c>
      <c r="E10" s="1" t="s">
        <v>147</v>
      </c>
    </row>
    <row r="11" spans="1:19" ht="20.100000000000001" customHeight="1" x14ac:dyDescent="0.25">
      <c r="A11" s="19" t="s">
        <v>55</v>
      </c>
      <c r="D11" s="49" t="s">
        <v>11</v>
      </c>
      <c r="E11" s="50" t="s">
        <v>142</v>
      </c>
    </row>
    <row r="12" spans="1:19" ht="20.100000000000001" customHeight="1" x14ac:dyDescent="0.25">
      <c r="A12" s="101" t="str">
        <f>HYPERLINK("#'3.6.1.1-2 Enteric Methane'!A1", "3.6.1.1-2 Enteric Methane")</f>
        <v>3.6.1.1-2 Enteric Methane</v>
      </c>
    </row>
    <row r="13" spans="1:19" ht="20.100000000000001" customHeight="1" x14ac:dyDescent="0.25">
      <c r="D13" s="91" t="s">
        <v>148</v>
      </c>
      <c r="E13" s="93" t="s">
        <v>149</v>
      </c>
      <c r="F13" s="92"/>
      <c r="G13" s="91" t="s">
        <v>64</v>
      </c>
      <c r="H13" s="89" t="s">
        <v>154</v>
      </c>
    </row>
    <row r="14" spans="1:19" ht="20.100000000000001" customHeight="1" x14ac:dyDescent="0.25">
      <c r="A14" s="18" t="s">
        <v>4</v>
      </c>
      <c r="D14" s="91" t="s">
        <v>150</v>
      </c>
      <c r="E14" s="93" t="s">
        <v>151</v>
      </c>
      <c r="F14" s="92"/>
      <c r="G14" s="91" t="s">
        <v>155</v>
      </c>
      <c r="H14" s="90" t="s">
        <v>156</v>
      </c>
    </row>
    <row r="15" spans="1:19" ht="20.100000000000001" customHeight="1" x14ac:dyDescent="0.25">
      <c r="A15" s="17" t="str">
        <f>HYPERLINK("#'Constants - Other Livestock'!A1", "Constants - Other Livestock")</f>
        <v>Constants - Other Livestock</v>
      </c>
      <c r="D15" s="91" t="s">
        <v>152</v>
      </c>
      <c r="E15" s="93" t="s">
        <v>153</v>
      </c>
      <c r="F15" s="92"/>
      <c r="G15" s="91"/>
      <c r="H15" s="89" t="s">
        <v>154</v>
      </c>
    </row>
    <row r="16" spans="1:19" ht="20.100000000000001" customHeight="1" x14ac:dyDescent="0.25">
      <c r="A16" s="17" t="str">
        <f>HYPERLINK("#'Constants - Common'!A1", "Constants - Common")</f>
        <v>Constants - Common</v>
      </c>
    </row>
    <row r="17" spans="1:8" ht="20.100000000000001" customHeight="1" x14ac:dyDescent="0.25">
      <c r="A17" s="17" t="str">
        <f>HYPERLINK("#'Acknowledgements'!A1", "Acknowledgements")</f>
        <v>Acknowledgements</v>
      </c>
    </row>
    <row r="18" spans="1:8" ht="20.100000000000001" customHeight="1" x14ac:dyDescent="0.25">
      <c r="D18" s="37" t="s">
        <v>136</v>
      </c>
      <c r="E18" s="37" t="s">
        <v>137</v>
      </c>
      <c r="F18" s="47" t="s">
        <v>105</v>
      </c>
      <c r="G18" s="47" t="s">
        <v>138</v>
      </c>
    </row>
    <row r="19" spans="1:8" ht="20.100000000000001" customHeight="1" x14ac:dyDescent="0.25">
      <c r="D19" s="48" t="str">
        <f>'Constants - Other Livestock'!D10</f>
        <v>Buffalo</v>
      </c>
      <c r="E19" s="48">
        <f>SUM('Input - Other Livestock'!E8:H8)</f>
        <v>4600</v>
      </c>
      <c r="F19" s="48" cm="1">
        <f t="array" ref="F19">Common_InputFunctions.Utility_LookupValueInTableNumber(D19, Table_SourceData_OtherLivestock_EntericEF[Other livestock type],Table_SourceData_OtherLivestock_EntericEF[Mj])</f>
        <v>68</v>
      </c>
      <c r="G19" s="48">
        <f>(SUM(E19 * F19) * 10 ^ -3)</f>
        <v>312.8</v>
      </c>
      <c r="H19" s="2" t="str">
        <f>$E$11</f>
        <v>t CH4</v>
      </c>
    </row>
    <row r="20" spans="1:8" ht="20.100000000000001" customHeight="1" x14ac:dyDescent="0.25">
      <c r="D20" s="48" t="str">
        <f>'Constants - Other Livestock'!D11</f>
        <v>Goats</v>
      </c>
      <c r="E20" s="48">
        <f>SUM('Input - Other Livestock'!E14:J14)</f>
        <v>4800</v>
      </c>
      <c r="F20" s="48" cm="1">
        <f t="array" ref="F20">Common_InputFunctions.Utility_LookupValueInTableNumber(D20, Table_SourceData_OtherLivestock_EntericEF[Other livestock type],Table_SourceData_OtherLivestock_EntericEF[Mj])</f>
        <v>5</v>
      </c>
      <c r="G20" s="48">
        <f>(SUM(E20 * F20) * 10 ^ -3)</f>
        <v>24</v>
      </c>
    </row>
    <row r="21" spans="1:8" ht="20.100000000000001" customHeight="1" x14ac:dyDescent="0.25">
      <c r="A21" s="17"/>
      <c r="D21" s="48" t="str">
        <f>'Constants - Other Livestock'!D12</f>
        <v>Deer</v>
      </c>
      <c r="E21" s="48">
        <f>SUM('Input - Other Livestock'!E20:H20)</f>
        <v>4600</v>
      </c>
      <c r="F21" s="48" cm="1">
        <f t="array" ref="F21">Common_InputFunctions.Utility_LookupValueInTableNumber(D21, Table_SourceData_OtherLivestock_EntericEF[Other livestock type],Table_SourceData_OtherLivestock_EntericEF[Mj])</f>
        <v>20</v>
      </c>
      <c r="G21" s="48">
        <f>(SUM(E21 * F21) * 10 ^ -3)</f>
        <v>92</v>
      </c>
    </row>
    <row r="22" spans="1:8" ht="20.100000000000001" customHeight="1" x14ac:dyDescent="0.25">
      <c r="D22" s="48" t="str">
        <f>'Constants - Other Livestock'!D13</f>
        <v>Camels</v>
      </c>
      <c r="E22" s="48">
        <f>'Input - Other Livestock'!E26</f>
        <v>4300</v>
      </c>
      <c r="F22" s="48" cm="1">
        <f t="array" ref="F22">Common_InputFunctions.Utility_LookupValueInTableNumber(D22, Table_SourceData_OtherLivestock_EntericEF[Other livestock type],Table_SourceData_OtherLivestock_EntericEF[Mj])</f>
        <v>46</v>
      </c>
      <c r="G22" s="48">
        <f>(SUM(E22 * F22) * 10 ^ -3)</f>
        <v>197.8</v>
      </c>
    </row>
    <row r="23" spans="1:8" ht="20.100000000000001" customHeight="1" x14ac:dyDescent="0.25">
      <c r="D23" s="48" t="str">
        <f>'Constants - Other Livestock'!D14</f>
        <v>Alpacas</v>
      </c>
      <c r="E23" s="48">
        <f>'Input - Other Livestock'!F26</f>
        <v>100</v>
      </c>
      <c r="F23" s="48" cm="1">
        <f t="array" ref="F23">Common_InputFunctions.Utility_LookupValueInTableNumber(D23, Table_SourceData_OtherLivestock_EntericEF[Other livestock type],Table_SourceData_OtherLivestock_EntericEF[Mj])</f>
        <v>8</v>
      </c>
      <c r="G23" s="48">
        <f>(SUM(E23 * F23) * 10 ^ -3)</f>
        <v>0.8</v>
      </c>
    </row>
    <row r="24" spans="1:8" ht="20.100000000000001" customHeight="1" x14ac:dyDescent="0.25">
      <c r="D24" s="48" t="str">
        <f>'Constants - Other Livestock'!D15</f>
        <v>Horses</v>
      </c>
      <c r="E24" s="48">
        <f>'Input - Other Livestock'!G26</f>
        <v>100</v>
      </c>
      <c r="F24" s="48" cm="1">
        <f t="array" ref="F24">Common_InputFunctions.Utility_LookupValueInTableNumber(D24, Table_SourceData_OtherLivestock_EntericEF[Other livestock type],Table_SourceData_OtherLivestock_EntericEF[Mj])</f>
        <v>18</v>
      </c>
      <c r="G24" s="48">
        <f>(SUM(E24 * F24) * 10 ^ -3)</f>
        <v>1.8</v>
      </c>
    </row>
    <row r="25" spans="1:8" ht="20.100000000000001" customHeight="1" x14ac:dyDescent="0.25">
      <c r="A25" s="17"/>
      <c r="D25" s="48" t="str">
        <f>'Constants - Other Livestock'!D16</f>
        <v>Mules/asses</v>
      </c>
      <c r="E25" s="48">
        <f>'Input - Other Livestock'!H26</f>
        <v>100</v>
      </c>
      <c r="F25" s="48" cm="1">
        <f t="array" ref="F25">Common_InputFunctions.Utility_LookupValueInTableNumber(D25, Table_SourceData_OtherLivestock_EntericEF[Other livestock type],Table_SourceData_OtherLivestock_EntericEF[Mj])</f>
        <v>10</v>
      </c>
      <c r="G25" s="48">
        <f>(SUM(E25 * F25) * 10 ^ -3)</f>
        <v>1</v>
      </c>
    </row>
    <row r="26" spans="1:8" ht="20.100000000000001" customHeight="1" x14ac:dyDescent="0.25">
      <c r="D26" s="48" t="str">
        <f>'Constants - Other Livestock'!D17</f>
        <v>Emus/ostriches</v>
      </c>
      <c r="E26" s="48">
        <f>'Input - Other Livestock'!I26</f>
        <v>100</v>
      </c>
      <c r="F26" s="48" cm="1">
        <f t="array" ref="F26">Common_InputFunctions.Utility_LookupValueInTableNumber(D26, Table_SourceData_OtherLivestock_EntericEF[Other livestock type],Table_SourceData_OtherLivestock_EntericEF[Mj])</f>
        <v>5</v>
      </c>
      <c r="G26" s="48">
        <f>(SUM(E26 * F26) * 10 ^ -3)</f>
        <v>0.5</v>
      </c>
    </row>
    <row r="27" spans="1:8" ht="20.100000000000001" customHeight="1" x14ac:dyDescent="0.25"/>
    <row r="28" spans="1:8" ht="20.100000000000001" customHeight="1" x14ac:dyDescent="0.25">
      <c r="D28" s="79" t="s">
        <v>138</v>
      </c>
      <c r="E28" s="80">
        <f>SUM(G19:G26)</f>
        <v>630.69999999999993</v>
      </c>
      <c r="F28" s="100" t="str">
        <f>$E$11</f>
        <v>t CH4</v>
      </c>
      <c r="G28" s="43"/>
    </row>
    <row r="29" spans="1:8" ht="20.100000000000001" customHeight="1" x14ac:dyDescent="0.25"/>
    <row r="30" spans="1:8" ht="20.100000000000001" customHeight="1" x14ac:dyDescent="0.25">
      <c r="D30" s="104" t="str" cm="1">
        <f t="array" ref="D30:E31">Common_Equations.Common_ConvertCH4ToCO2e_Arguments()</f>
        <v>ECH4</v>
      </c>
      <c r="E30" s="105" t="str">
        <v>Methane emissions (t CH4)</v>
      </c>
      <c r="F30" s="106"/>
      <c r="G30" s="48">
        <f>E28</f>
        <v>630.69999999999993</v>
      </c>
      <c r="H30" s="2" t="str">
        <f>E11</f>
        <v>t CH4</v>
      </c>
    </row>
    <row r="31" spans="1:8" ht="20.100000000000001" customHeight="1" x14ac:dyDescent="0.25">
      <c r="D31" s="104" t="str">
        <v>GWPCH4</v>
      </c>
      <c r="E31" s="105" t="str">
        <v>Global warming potential for methane (t CO2-e / t CH4)</v>
      </c>
      <c r="F31" s="106"/>
      <c r="G31" s="48">
        <f>Common_InputFunctions.Utility_LookupValueInTableNumber("CH4",[1]!Table_GWPData1412[Gas],[1]!Table_GWPData1412[CO2-e factor])</f>
        <v>0</v>
      </c>
    </row>
    <row r="32" spans="1:8" ht="20.100000000000001" customHeight="1" x14ac:dyDescent="0.25"/>
    <row r="33" spans="4:6" ht="20.100000000000001" customHeight="1" x14ac:dyDescent="0.25">
      <c r="D33" s="43" t="s">
        <v>141</v>
      </c>
      <c r="E33" s="43" cm="1">
        <f t="array" ref="E33">Common_Equations.Common_ConvertCH4ToCO2e(G30,G31)</f>
        <v>0</v>
      </c>
      <c r="F33" s="81" t="str" cm="1">
        <f t="array" ref="F33">Common_Equations.Common_ConvertN2OToCO2e_Unit()</f>
        <v>t CO2e</v>
      </c>
    </row>
    <row r="34" spans="4:6" ht="20.100000000000001" customHeight="1" x14ac:dyDescent="0.25"/>
    <row r="35" spans="4:6" ht="20.100000000000001" customHeight="1" x14ac:dyDescent="0.25"/>
    <row r="36" spans="4:6" ht="20.100000000000001" customHeight="1" x14ac:dyDescent="0.25"/>
    <row r="37" spans="4:6" ht="20.100000000000001" customHeight="1" x14ac:dyDescent="0.25"/>
    <row r="38" spans="4:6" ht="20.100000000000001" customHeight="1" x14ac:dyDescent="0.25"/>
    <row r="39" spans="4:6" ht="20.100000000000001" customHeight="1" x14ac:dyDescent="0.25"/>
    <row r="40" spans="4:6" ht="20.100000000000001" customHeight="1" x14ac:dyDescent="0.25"/>
    <row r="41" spans="4:6" ht="20.100000000000001" customHeight="1" x14ac:dyDescent="0.25"/>
    <row r="42" spans="4:6" ht="20.100000000000001" customHeight="1" x14ac:dyDescent="0.25"/>
    <row r="43" spans="4:6" ht="20.100000000000001" customHeight="1" x14ac:dyDescent="0.25"/>
    <row r="44" spans="4:6" ht="20.100000000000001" customHeight="1" x14ac:dyDescent="0.25"/>
    <row r="45" spans="4:6" ht="20.100000000000001" customHeight="1" x14ac:dyDescent="0.25"/>
    <row r="46" spans="4:6" ht="20.100000000000001" customHeight="1" x14ac:dyDescent="0.25"/>
    <row r="47" spans="4:6" ht="20.100000000000001" customHeight="1" x14ac:dyDescent="0.25"/>
    <row r="48" spans="4: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103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
        <v>157</v>
      </c>
      <c r="M5" s="1"/>
    </row>
    <row r="6" spans="1:21" ht="20.100000000000001" customHeight="1" x14ac:dyDescent="0.25">
      <c r="A6" s="16"/>
      <c r="D6" s="5" t="s">
        <v>158</v>
      </c>
      <c r="M6" s="1"/>
    </row>
    <row r="7" spans="1:21" ht="20.100000000000001" customHeight="1" x14ac:dyDescent="0.25">
      <c r="A7" s="20" t="s">
        <v>3</v>
      </c>
      <c r="D7" s="1" t="s">
        <v>105</v>
      </c>
      <c r="M7" s="1"/>
    </row>
    <row r="8" spans="1:21" ht="20.100000000000001" customHeight="1" x14ac:dyDescent="0.25">
      <c r="A8" s="17" t="str">
        <f>HYPERLINK("#'Input - Site'!A1", "Site")</f>
        <v>Site</v>
      </c>
      <c r="D8" s="50" t="s">
        <v>159</v>
      </c>
      <c r="M8" s="1"/>
    </row>
    <row r="9" spans="1:21" ht="20.100000000000001" customHeight="1" x14ac:dyDescent="0.25">
      <c r="A9" s="17" t="str">
        <f>HYPERLINK("#'Input - Other Livestock'!A1", "Other Livestock")</f>
        <v>Other Livestock</v>
      </c>
      <c r="D9" s="35" t="s">
        <v>104</v>
      </c>
      <c r="E9" s="35" t="s">
        <v>105</v>
      </c>
      <c r="M9" s="1"/>
    </row>
    <row r="10" spans="1:21" ht="20.100000000000001" customHeight="1" x14ac:dyDescent="0.25">
      <c r="A10" s="17"/>
      <c r="D10" s="35" t="s">
        <v>113</v>
      </c>
      <c r="E10" s="35">
        <v>68</v>
      </c>
      <c r="M10" s="1"/>
    </row>
    <row r="11" spans="1:21" ht="20.100000000000001" customHeight="1" x14ac:dyDescent="0.25">
      <c r="A11" s="19" t="s">
        <v>55</v>
      </c>
      <c r="D11" s="1" t="s">
        <v>118</v>
      </c>
      <c r="E11" s="35">
        <v>5</v>
      </c>
      <c r="M11" s="1"/>
    </row>
    <row r="12" spans="1:21" ht="20.100000000000001" customHeight="1" x14ac:dyDescent="0.25">
      <c r="A12" s="17" t="str">
        <f>HYPERLINK("#'3.6.1.1-2 Enteric Methane'!A1", "3.6.1.1-2 Enteric Methane")</f>
        <v>3.6.1.1-2 Enteric Methane</v>
      </c>
      <c r="D12" s="1" t="s">
        <v>125</v>
      </c>
      <c r="E12" s="35">
        <v>20</v>
      </c>
      <c r="M12" s="1"/>
    </row>
    <row r="13" spans="1:21" ht="20.100000000000001" customHeight="1" x14ac:dyDescent="0.25">
      <c r="D13" s="1" t="s">
        <v>131</v>
      </c>
      <c r="E13" s="35">
        <v>46</v>
      </c>
      <c r="M13" s="1"/>
    </row>
    <row r="14" spans="1:21" ht="20.100000000000001" customHeight="1" x14ac:dyDescent="0.25">
      <c r="A14" s="18" t="s">
        <v>4</v>
      </c>
      <c r="D14" s="1" t="s">
        <v>132</v>
      </c>
      <c r="E14" s="35">
        <v>8</v>
      </c>
      <c r="M14" s="1"/>
    </row>
    <row r="15" spans="1:21" ht="20.100000000000001" customHeight="1" x14ac:dyDescent="0.25">
      <c r="A15" s="58" t="str">
        <f>HYPERLINK("#'Constants - Other Livestock'!A1", "Constants - Other Livestock")</f>
        <v>Constants - Other Livestock</v>
      </c>
      <c r="D15" s="1" t="s">
        <v>133</v>
      </c>
      <c r="E15" s="35">
        <v>18</v>
      </c>
      <c r="M15" s="1"/>
    </row>
    <row r="16" spans="1:21" ht="20.100000000000001" customHeight="1" x14ac:dyDescent="0.25">
      <c r="A16" s="17" t="str">
        <f>HYPERLINK("#'Constants - Common'!A1", "Constants - Common")</f>
        <v>Constants - Common</v>
      </c>
      <c r="D16" s="1" t="s">
        <v>160</v>
      </c>
      <c r="E16" s="35">
        <v>10</v>
      </c>
      <c r="M16" s="1"/>
    </row>
    <row r="17" spans="1:13" ht="20.100000000000001" customHeight="1" x14ac:dyDescent="0.25">
      <c r="A17" s="17" t="str">
        <f>HYPERLINK("#'Acknowledgements'!A1", "Acknowledgements")</f>
        <v>Acknowledgements</v>
      </c>
      <c r="D17" s="1" t="s">
        <v>161</v>
      </c>
      <c r="E17" s="35">
        <v>5</v>
      </c>
      <c r="M17" s="1"/>
    </row>
    <row r="18" spans="1:13" ht="20.100000000000001" customHeight="1" x14ac:dyDescent="0.25">
      <c r="M18" s="1"/>
    </row>
    <row r="19" spans="1:13" ht="20.100000000000001" customHeight="1" x14ac:dyDescent="0.25">
      <c r="M19" s="1"/>
    </row>
    <row r="20" spans="1:13" ht="20.100000000000001" customHeight="1" x14ac:dyDescent="0.25">
      <c r="D20" s="6" t="s">
        <v>162</v>
      </c>
      <c r="M20" s="1"/>
    </row>
    <row r="21" spans="1:13" ht="20.100000000000001" customHeight="1" x14ac:dyDescent="0.25">
      <c r="A21" s="17"/>
      <c r="D21" s="5" t="s">
        <v>163</v>
      </c>
      <c r="M21" s="1"/>
    </row>
    <row r="22" spans="1:13" ht="20.100000000000001" customHeight="1" x14ac:dyDescent="0.25">
      <c r="D22" s="1" t="s">
        <v>107</v>
      </c>
      <c r="M22" s="1"/>
    </row>
    <row r="23" spans="1:13" ht="20.100000000000001" customHeight="1" x14ac:dyDescent="0.25">
      <c r="D23" s="50" t="s">
        <v>164</v>
      </c>
      <c r="M23" s="1"/>
    </row>
    <row r="24" spans="1:13" ht="20.100000000000001" customHeight="1" x14ac:dyDescent="0.25">
      <c r="D24" s="35" t="s">
        <v>104</v>
      </c>
      <c r="E24" s="35" t="s">
        <v>107</v>
      </c>
      <c r="M24" s="1"/>
    </row>
    <row r="25" spans="1:13" ht="20.100000000000001" customHeight="1" x14ac:dyDescent="0.25">
      <c r="A25" s="17"/>
      <c r="D25" s="35" t="s">
        <v>113</v>
      </c>
      <c r="E25" s="35">
        <v>2.73</v>
      </c>
      <c r="M25" s="1"/>
    </row>
    <row r="26" spans="1:13" ht="20.100000000000001" customHeight="1" x14ac:dyDescent="0.25">
      <c r="D26" s="35" t="s">
        <v>118</v>
      </c>
      <c r="E26" s="35">
        <v>0.34</v>
      </c>
      <c r="M26" s="1"/>
    </row>
    <row r="27" spans="1:13" ht="20.100000000000001" customHeight="1" x14ac:dyDescent="0.25">
      <c r="D27" s="35" t="s">
        <v>125</v>
      </c>
      <c r="E27" s="35">
        <v>0.91</v>
      </c>
      <c r="M27" s="1"/>
    </row>
    <row r="28" spans="1:13" ht="20.100000000000001" customHeight="1" x14ac:dyDescent="0.25">
      <c r="D28" s="35" t="s">
        <v>131</v>
      </c>
      <c r="E28" s="35">
        <v>2.73</v>
      </c>
      <c r="M28" s="1"/>
    </row>
    <row r="29" spans="1:13" ht="20.100000000000001" customHeight="1" x14ac:dyDescent="0.25">
      <c r="D29" s="35" t="s">
        <v>132</v>
      </c>
      <c r="E29" s="35">
        <v>0.34</v>
      </c>
      <c r="M29" s="1"/>
    </row>
    <row r="30" spans="1:13" ht="20.100000000000001" customHeight="1" x14ac:dyDescent="0.25">
      <c r="D30" s="35" t="s">
        <v>133</v>
      </c>
      <c r="E30" s="35">
        <v>2.73</v>
      </c>
      <c r="M30" s="1"/>
    </row>
    <row r="31" spans="1:13" ht="20.100000000000001" customHeight="1" x14ac:dyDescent="0.25">
      <c r="D31" s="35" t="s">
        <v>160</v>
      </c>
      <c r="E31" s="35">
        <v>0.91</v>
      </c>
      <c r="M31" s="1"/>
    </row>
    <row r="32" spans="1:13" ht="20.100000000000001" customHeight="1" x14ac:dyDescent="0.25">
      <c r="D32" s="35" t="s">
        <v>161</v>
      </c>
      <c r="E32" s="35">
        <v>0.34</v>
      </c>
      <c r="M32" s="1"/>
    </row>
    <row r="33" spans="4:13" ht="20.100000000000001" customHeight="1" x14ac:dyDescent="0.25">
      <c r="M33" s="1"/>
    </row>
    <row r="34" spans="4:13" ht="20.100000000000001" customHeight="1" x14ac:dyDescent="0.25">
      <c r="M34" s="1"/>
    </row>
    <row r="35" spans="4:13" ht="20.100000000000001" customHeight="1" x14ac:dyDescent="0.25">
      <c r="D35" s="6" t="s">
        <v>165</v>
      </c>
      <c r="M35" s="1"/>
    </row>
    <row r="36" spans="4:13" ht="20.100000000000001" customHeight="1" x14ac:dyDescent="0.25">
      <c r="D36" s="5" t="s">
        <v>166</v>
      </c>
      <c r="M36" s="1"/>
    </row>
    <row r="37" spans="4:13" ht="20.100000000000001" customHeight="1" x14ac:dyDescent="0.25">
      <c r="D37" s="1" t="s">
        <v>106</v>
      </c>
      <c r="M37" s="1"/>
    </row>
    <row r="38" spans="4:13" ht="20.100000000000001" customHeight="1" x14ac:dyDescent="0.25">
      <c r="D38" s="50" t="s">
        <v>167</v>
      </c>
      <c r="M38" s="1"/>
    </row>
    <row r="39" spans="4:13" ht="20.100000000000001" customHeight="1" x14ac:dyDescent="0.25">
      <c r="D39" s="35" t="s">
        <v>104</v>
      </c>
      <c r="E39" s="35" t="s">
        <v>106</v>
      </c>
      <c r="M39" s="1"/>
    </row>
    <row r="40" spans="4:13" ht="20.100000000000001" customHeight="1" x14ac:dyDescent="0.25">
      <c r="D40" s="35" t="s">
        <v>113</v>
      </c>
      <c r="E40" s="35">
        <v>39.5</v>
      </c>
      <c r="M40" s="1"/>
    </row>
    <row r="41" spans="4:13" ht="20.100000000000001" customHeight="1" x14ac:dyDescent="0.25">
      <c r="D41" s="35" t="s">
        <v>118</v>
      </c>
      <c r="E41" s="35">
        <v>7</v>
      </c>
      <c r="M41" s="1"/>
    </row>
    <row r="42" spans="4:13" ht="20.100000000000001" customHeight="1" x14ac:dyDescent="0.25">
      <c r="D42" s="35" t="s">
        <v>125</v>
      </c>
      <c r="E42" s="35">
        <v>13.2</v>
      </c>
      <c r="M42" s="1"/>
    </row>
    <row r="43" spans="4:13" ht="20.100000000000001" customHeight="1" x14ac:dyDescent="0.25">
      <c r="D43" s="35" t="s">
        <v>131</v>
      </c>
      <c r="E43" s="35">
        <v>39.5</v>
      </c>
      <c r="M43" s="1"/>
    </row>
    <row r="44" spans="4:13" ht="20.100000000000001" customHeight="1" x14ac:dyDescent="0.25">
      <c r="D44" s="35" t="s">
        <v>132</v>
      </c>
      <c r="E44" s="35">
        <v>7</v>
      </c>
      <c r="M44" s="1"/>
    </row>
    <row r="45" spans="4:13" ht="20.100000000000001" customHeight="1" x14ac:dyDescent="0.25">
      <c r="D45" s="35" t="s">
        <v>133</v>
      </c>
      <c r="E45" s="35">
        <v>39.5</v>
      </c>
      <c r="M45" s="1"/>
    </row>
    <row r="46" spans="4:13" ht="20.100000000000001" customHeight="1" x14ac:dyDescent="0.25">
      <c r="D46" s="35" t="s">
        <v>160</v>
      </c>
      <c r="E46" s="35">
        <v>13.2</v>
      </c>
      <c r="M46" s="1"/>
    </row>
    <row r="47" spans="4:13" ht="20.100000000000001" customHeight="1" x14ac:dyDescent="0.25">
      <c r="D47" s="35" t="s">
        <v>161</v>
      </c>
      <c r="E47" s="35">
        <v>7</v>
      </c>
      <c r="M47" s="1"/>
    </row>
    <row r="48" spans="4:13" ht="20.100000000000001" customHeight="1" x14ac:dyDescent="0.25">
      <c r="M48" s="1"/>
    </row>
    <row r="49" spans="4:13" ht="20.100000000000001" customHeight="1" x14ac:dyDescent="0.25">
      <c r="M49" s="1"/>
    </row>
    <row r="50" spans="4:13" ht="20.100000000000001" customHeight="1" x14ac:dyDescent="0.25">
      <c r="D50" s="6" t="s">
        <v>168</v>
      </c>
      <c r="M50" s="1"/>
    </row>
    <row r="51" spans="4:13" ht="20.100000000000001" customHeight="1" x14ac:dyDescent="0.25">
      <c r="D51" s="5" t="s">
        <v>169</v>
      </c>
      <c r="M51" s="1"/>
    </row>
    <row r="52" spans="4:13" ht="20.100000000000001" customHeight="1" x14ac:dyDescent="0.25">
      <c r="D52" s="1" t="s">
        <v>108</v>
      </c>
      <c r="M52" s="1"/>
    </row>
    <row r="53" spans="4:13" ht="20.100000000000001" customHeight="1" x14ac:dyDescent="0.25">
      <c r="D53" s="50" t="s">
        <v>170</v>
      </c>
      <c r="M53" s="1"/>
    </row>
    <row r="54" spans="4:13" ht="20.100000000000001" customHeight="1" x14ac:dyDescent="0.25">
      <c r="D54" s="35" t="s">
        <v>104</v>
      </c>
      <c r="E54" s="35" t="s">
        <v>108</v>
      </c>
      <c r="F54" s="35" t="s">
        <v>109</v>
      </c>
      <c r="M54" s="1"/>
    </row>
    <row r="55" spans="4:13" ht="20.100000000000001" customHeight="1" x14ac:dyDescent="0.25">
      <c r="D55" s="35" t="s">
        <v>113</v>
      </c>
      <c r="E55" s="35">
        <v>336</v>
      </c>
      <c r="F55" s="35" t="s">
        <v>171</v>
      </c>
      <c r="M55" s="1"/>
    </row>
    <row r="56" spans="4:13" ht="20.100000000000001" customHeight="1" x14ac:dyDescent="0.25">
      <c r="D56" s="35" t="s">
        <v>118</v>
      </c>
      <c r="E56" s="35">
        <v>33</v>
      </c>
      <c r="F56" s="35" t="s">
        <v>172</v>
      </c>
      <c r="M56" s="1"/>
    </row>
    <row r="57" spans="4:13" ht="20.100000000000001" customHeight="1" x14ac:dyDescent="0.25">
      <c r="D57" s="35" t="s">
        <v>118</v>
      </c>
      <c r="E57" s="35">
        <v>33</v>
      </c>
      <c r="F57" s="35" t="s">
        <v>173</v>
      </c>
      <c r="M57" s="1"/>
    </row>
    <row r="58" spans="4:13" ht="20.100000000000001" customHeight="1" x14ac:dyDescent="0.25">
      <c r="D58" s="35" t="s">
        <v>125</v>
      </c>
      <c r="E58" s="35">
        <v>120</v>
      </c>
      <c r="F58" s="35">
        <v>120</v>
      </c>
      <c r="M58" s="1"/>
    </row>
    <row r="59" spans="4:13" ht="20.100000000000001" customHeight="1" x14ac:dyDescent="0.25">
      <c r="D59" s="35" t="s">
        <v>131</v>
      </c>
      <c r="E59" s="35">
        <v>217</v>
      </c>
      <c r="F59" s="35">
        <v>570</v>
      </c>
      <c r="M59" s="1"/>
    </row>
    <row r="60" spans="4:13" ht="20.100000000000001" customHeight="1" x14ac:dyDescent="0.25">
      <c r="D60" s="35" t="s">
        <v>132</v>
      </c>
      <c r="E60" s="35" t="s">
        <v>171</v>
      </c>
      <c r="F60" s="35">
        <v>65</v>
      </c>
      <c r="M60" s="1"/>
    </row>
    <row r="61" spans="4:13" ht="20.100000000000001" customHeight="1" x14ac:dyDescent="0.25">
      <c r="D61" s="35" t="s">
        <v>133</v>
      </c>
      <c r="E61" s="35">
        <v>377</v>
      </c>
      <c r="F61" s="35">
        <v>550</v>
      </c>
      <c r="M61" s="1"/>
    </row>
    <row r="62" spans="4:13" ht="20.100000000000001" customHeight="1" x14ac:dyDescent="0.25">
      <c r="D62" s="35" t="s">
        <v>160</v>
      </c>
      <c r="E62" s="35">
        <v>130</v>
      </c>
      <c r="F62" s="35">
        <v>245</v>
      </c>
      <c r="M62" s="1"/>
    </row>
    <row r="63" spans="4:13" ht="20.100000000000001" customHeight="1" x14ac:dyDescent="0.25">
      <c r="D63" s="35" t="s">
        <v>161</v>
      </c>
      <c r="E63" s="35">
        <v>120</v>
      </c>
      <c r="F63" s="35">
        <v>120</v>
      </c>
      <c r="M63" s="1"/>
    </row>
    <row r="64" spans="4:13" ht="20.100000000000001" customHeight="1" x14ac:dyDescent="0.25">
      <c r="D64" s="35" t="s">
        <v>174</v>
      </c>
      <c r="E64" s="35" t="s">
        <v>175</v>
      </c>
      <c r="F64" s="35" t="s">
        <v>176</v>
      </c>
      <c r="M64" s="1"/>
    </row>
    <row r="65" spans="4:13" ht="20.100000000000001" customHeight="1" x14ac:dyDescent="0.25">
      <c r="M65" s="1"/>
    </row>
    <row r="66" spans="4:13" ht="20.100000000000001" customHeight="1" x14ac:dyDescent="0.25">
      <c r="M66" s="1"/>
    </row>
    <row r="67" spans="4:13" ht="20.100000000000001" customHeight="1" x14ac:dyDescent="0.25">
      <c r="D67" s="6" t="s">
        <v>177</v>
      </c>
      <c r="M67" s="1"/>
    </row>
    <row r="68" spans="4:13" ht="20.100000000000001" customHeight="1" x14ac:dyDescent="0.25">
      <c r="D68" s="5" t="s">
        <v>178</v>
      </c>
      <c r="M68" s="1"/>
    </row>
    <row r="69" spans="4:13" ht="20.100000000000001" customHeight="1" x14ac:dyDescent="0.25">
      <c r="D69" s="1" t="s">
        <v>179</v>
      </c>
      <c r="M69" s="1"/>
    </row>
    <row r="70" spans="4:13" ht="20.100000000000001" customHeight="1" x14ac:dyDescent="0.25">
      <c r="D70" s="50" t="s">
        <v>180</v>
      </c>
      <c r="M70" s="1"/>
    </row>
    <row r="71" spans="4:13" ht="20.100000000000001" customHeight="1" x14ac:dyDescent="0.25">
      <c r="D71" s="35" t="s">
        <v>104</v>
      </c>
      <c r="E71" s="35" t="s">
        <v>98</v>
      </c>
      <c r="F71" s="47" t="s">
        <v>110</v>
      </c>
      <c r="M71" s="1"/>
    </row>
    <row r="72" spans="4:13" ht="20.100000000000001" customHeight="1" x14ac:dyDescent="0.25">
      <c r="D72" s="35" t="s">
        <v>181</v>
      </c>
      <c r="E72" s="35">
        <v>99.66</v>
      </c>
      <c r="F72" s="35">
        <v>0.34</v>
      </c>
      <c r="M72" s="1"/>
    </row>
    <row r="73" spans="4:13" ht="20.100000000000001" customHeight="1" x14ac:dyDescent="0.25">
      <c r="D73" s="35" t="s">
        <v>182</v>
      </c>
      <c r="E73" s="35">
        <v>99.66</v>
      </c>
      <c r="F73" s="35">
        <v>0.34</v>
      </c>
      <c r="M73" s="1"/>
    </row>
    <row r="74" spans="4:13" ht="20.100000000000001" customHeight="1" x14ac:dyDescent="0.25">
      <c r="D74" s="35" t="s">
        <v>183</v>
      </c>
      <c r="E74" s="35">
        <v>99.66</v>
      </c>
      <c r="F74" s="35">
        <v>0.34</v>
      </c>
      <c r="M74" s="1"/>
    </row>
    <row r="75" spans="4:13" ht="20.100000000000001" customHeight="1" x14ac:dyDescent="0.25">
      <c r="D75" s="35" t="s">
        <v>184</v>
      </c>
      <c r="E75" s="35">
        <v>99.66</v>
      </c>
      <c r="F75" s="35">
        <v>0.34</v>
      </c>
      <c r="M75" s="1"/>
    </row>
    <row r="76" spans="4:13" ht="20.100000000000001" customHeight="1" x14ac:dyDescent="0.25">
      <c r="D76" s="35" t="s">
        <v>185</v>
      </c>
      <c r="E76" s="35">
        <v>99.66</v>
      </c>
      <c r="F76" s="35">
        <v>0.34</v>
      </c>
      <c r="M76" s="1"/>
    </row>
    <row r="77" spans="4:13" ht="20.100000000000001" customHeight="1" x14ac:dyDescent="0.25">
      <c r="D77" s="35" t="s">
        <v>186</v>
      </c>
      <c r="E77" s="35">
        <v>99.66</v>
      </c>
      <c r="F77" s="35">
        <v>0.34</v>
      </c>
      <c r="M77" s="1"/>
    </row>
    <row r="78" spans="4:13" ht="20.100000000000001" customHeight="1" x14ac:dyDescent="0.25">
      <c r="D78" s="35" t="s">
        <v>187</v>
      </c>
      <c r="E78" s="35">
        <v>99.66</v>
      </c>
      <c r="F78" s="35">
        <v>0.34</v>
      </c>
      <c r="M78" s="1"/>
    </row>
    <row r="79" spans="4:13" ht="20.100000000000001" customHeight="1" x14ac:dyDescent="0.25">
      <c r="D79" s="35" t="s">
        <v>188</v>
      </c>
      <c r="E79" s="35">
        <v>99.66</v>
      </c>
      <c r="F79" s="35">
        <v>0.34</v>
      </c>
      <c r="M79" s="1"/>
    </row>
    <row r="80" spans="4:13" ht="20.100000000000001" customHeight="1" x14ac:dyDescent="0.25">
      <c r="M80" s="1"/>
    </row>
    <row r="81" spans="4:13" ht="20.100000000000001" customHeight="1" x14ac:dyDescent="0.25">
      <c r="M81" s="1"/>
    </row>
    <row r="82" spans="4:13" ht="20.100000000000001" customHeight="1" x14ac:dyDescent="0.25">
      <c r="D82" s="6" t="s">
        <v>189</v>
      </c>
      <c r="M82" s="1"/>
    </row>
    <row r="83" spans="4:13" ht="20.100000000000001" customHeight="1" x14ac:dyDescent="0.25">
      <c r="D83" s="5" t="s">
        <v>190</v>
      </c>
      <c r="M83" s="1"/>
    </row>
    <row r="84" spans="4:13" ht="20.100000000000001" customHeight="1" x14ac:dyDescent="0.25">
      <c r="D84" s="1" t="s">
        <v>191</v>
      </c>
      <c r="M84" s="1"/>
    </row>
    <row r="85" spans="4:13" ht="20.100000000000001" customHeight="1" x14ac:dyDescent="0.25">
      <c r="D85" s="50" t="s">
        <v>180</v>
      </c>
      <c r="M85" s="1"/>
    </row>
    <row r="86" spans="4:13" ht="20.100000000000001" customHeight="1" x14ac:dyDescent="0.25">
      <c r="D86" s="35" t="s">
        <v>104</v>
      </c>
      <c r="E86" s="35" t="s">
        <v>98</v>
      </c>
      <c r="F86" s="47" t="s">
        <v>110</v>
      </c>
      <c r="M86" s="1"/>
    </row>
    <row r="87" spans="4:13" ht="20.100000000000001" customHeight="1" x14ac:dyDescent="0.25">
      <c r="D87" s="35" t="s">
        <v>181</v>
      </c>
      <c r="E87" s="35">
        <v>4.7000000000000002E-3</v>
      </c>
      <c r="F87" s="35">
        <v>0.71</v>
      </c>
      <c r="M87" s="1"/>
    </row>
    <row r="88" spans="4:13" ht="20.100000000000001" customHeight="1" x14ac:dyDescent="0.25">
      <c r="D88" s="35" t="s">
        <v>182</v>
      </c>
      <c r="E88" s="35">
        <v>4.7000000000000002E-3</v>
      </c>
      <c r="F88" s="35">
        <v>0.75</v>
      </c>
      <c r="M88" s="1"/>
    </row>
    <row r="89" spans="4:13" ht="20.100000000000001" customHeight="1" x14ac:dyDescent="0.25">
      <c r="D89" s="35" t="s">
        <v>183</v>
      </c>
      <c r="E89" s="35">
        <v>4.7000000000000002E-3</v>
      </c>
      <c r="F89" s="35">
        <v>0.8</v>
      </c>
      <c r="M89" s="1"/>
    </row>
    <row r="90" spans="4:13" ht="20.100000000000001" customHeight="1" x14ac:dyDescent="0.25">
      <c r="D90" s="35" t="s">
        <v>184</v>
      </c>
      <c r="E90" s="35">
        <v>4.7000000000000002E-3</v>
      </c>
      <c r="F90" s="35">
        <v>0.78</v>
      </c>
      <c r="M90" s="1"/>
    </row>
    <row r="91" spans="4:13" ht="20.100000000000001" customHeight="1" x14ac:dyDescent="0.25">
      <c r="D91" s="35" t="s">
        <v>185</v>
      </c>
      <c r="E91" s="35">
        <v>4.7000000000000002E-3</v>
      </c>
      <c r="F91" s="35">
        <v>0.74</v>
      </c>
      <c r="M91" s="1"/>
    </row>
    <row r="92" spans="4:13" ht="20.100000000000001" customHeight="1" x14ac:dyDescent="0.25">
      <c r="D92" s="35" t="s">
        <v>186</v>
      </c>
      <c r="E92" s="35">
        <v>4.7000000000000002E-3</v>
      </c>
      <c r="F92" s="35">
        <v>0.7</v>
      </c>
      <c r="M92" s="1"/>
    </row>
    <row r="93" spans="4:13" ht="20.100000000000001" customHeight="1" x14ac:dyDescent="0.25">
      <c r="D93" s="35" t="s">
        <v>187</v>
      </c>
      <c r="E93" s="35">
        <v>4.7000000000000002E-3</v>
      </c>
      <c r="F93" s="35">
        <v>0.74</v>
      </c>
      <c r="M93" s="1"/>
    </row>
    <row r="94" spans="4:13" ht="20.100000000000001" customHeight="1" x14ac:dyDescent="0.25">
      <c r="D94" s="35" t="s">
        <v>188</v>
      </c>
      <c r="E94" s="35">
        <v>4.7000000000000002E-3</v>
      </c>
      <c r="F94" s="35">
        <v>0.76</v>
      </c>
      <c r="M94" s="1"/>
    </row>
    <row r="95" spans="4:13" ht="20.100000000000001" customHeight="1" x14ac:dyDescent="0.25">
      <c r="M95" s="1"/>
    </row>
    <row r="96" spans="4:13" ht="20.100000000000001" customHeight="1" x14ac:dyDescent="0.25">
      <c r="M96" s="1"/>
    </row>
    <row r="97" spans="13:13" ht="20.100000000000001" customHeight="1" x14ac:dyDescent="0.25">
      <c r="M97" s="1"/>
    </row>
    <row r="98" spans="13:13" ht="20.100000000000001" customHeight="1" x14ac:dyDescent="0.25">
      <c r="M98" s="1"/>
    </row>
    <row r="99" spans="13:13" ht="20.100000000000001" customHeight="1" x14ac:dyDescent="0.25">
      <c r="M99" s="1"/>
    </row>
    <row r="100" spans="13:13" ht="20.100000000000001" customHeight="1" x14ac:dyDescent="0.25">
      <c r="M100" s="1"/>
    </row>
    <row r="101" spans="13:13" ht="20.100000000000001" customHeight="1" x14ac:dyDescent="0.25">
      <c r="M101" s="1"/>
    </row>
    <row r="102" spans="13:13" ht="20.100000000000001" customHeight="1" x14ac:dyDescent="0.25">
      <c r="M102" s="1"/>
    </row>
    <row r="103" spans="13:13" ht="20.100000000000001" customHeight="1" x14ac:dyDescent="0.25">
      <c r="M103" s="1"/>
    </row>
    <row r="104" spans="13:13" ht="20.100000000000001" customHeight="1" x14ac:dyDescent="0.25">
      <c r="M104" s="1"/>
    </row>
    <row r="105" spans="13:13" ht="20.100000000000001" customHeight="1" x14ac:dyDescent="0.25">
      <c r="M105" s="1"/>
    </row>
    <row r="106" spans="13:13" ht="20.100000000000001" customHeight="1" x14ac:dyDescent="0.25">
      <c r="M106" s="1"/>
    </row>
    <row r="107" spans="13:13" ht="20.100000000000001" customHeight="1" x14ac:dyDescent="0.25">
      <c r="M107" s="1"/>
    </row>
    <row r="108" spans="13:13" ht="20.100000000000001" customHeight="1" x14ac:dyDescent="0.25">
      <c r="M108" s="1"/>
    </row>
    <row r="109" spans="13:13" ht="20.100000000000001" customHeight="1" x14ac:dyDescent="0.25">
      <c r="M109" s="1"/>
    </row>
    <row r="110" spans="13:13" ht="20.100000000000001" customHeight="1" x14ac:dyDescent="0.25">
      <c r="M110" s="1"/>
    </row>
    <row r="111" spans="13:13" ht="20.100000000000001" customHeight="1" x14ac:dyDescent="0.25">
      <c r="M111" s="1"/>
    </row>
    <row r="112" spans="13:13" ht="20.100000000000001" customHeight="1" x14ac:dyDescent="0.25">
      <c r="M112" s="1"/>
    </row>
    <row r="113" spans="13:22" ht="20.100000000000001" customHeight="1" x14ac:dyDescent="0.25">
      <c r="M113" s="1"/>
    </row>
    <row r="114" spans="13:22" ht="20.100000000000001" customHeight="1" x14ac:dyDescent="0.25">
      <c r="M114" s="1"/>
    </row>
    <row r="115" spans="13:22" ht="20.100000000000001" customHeight="1" x14ac:dyDescent="0.25">
      <c r="M115" s="1"/>
      <c r="V115" s="1"/>
    </row>
    <row r="116" spans="13:22" ht="20.100000000000001" customHeight="1" x14ac:dyDescent="0.25">
      <c r="M116" s="1"/>
      <c r="V116" s="1"/>
    </row>
    <row r="117" spans="13:22" ht="20.100000000000001" customHeight="1" x14ac:dyDescent="0.25">
      <c r="M117" s="1"/>
      <c r="V117" s="1"/>
    </row>
    <row r="118" spans="13:22" ht="20.100000000000001" customHeight="1" x14ac:dyDescent="0.25">
      <c r="M118" s="1"/>
    </row>
    <row r="119" spans="13:22" ht="20.100000000000001" customHeight="1" x14ac:dyDescent="0.25">
      <c r="M119" s="1"/>
    </row>
    <row r="120" spans="13:22" ht="20.100000000000001" customHeight="1" x14ac:dyDescent="0.25">
      <c r="M120" s="1"/>
    </row>
    <row r="121" spans="13:22" ht="20.100000000000001" customHeight="1" x14ac:dyDescent="0.25">
      <c r="M121" s="1"/>
    </row>
    <row r="122" spans="13:22" ht="20.100000000000001" customHeight="1" x14ac:dyDescent="0.25">
      <c r="M122" s="1"/>
    </row>
    <row r="123" spans="13:22" ht="20.100000000000001" customHeight="1" x14ac:dyDescent="0.25">
      <c r="M123" s="1"/>
    </row>
    <row r="124" spans="13:22" ht="20.100000000000001" customHeight="1" x14ac:dyDescent="0.25">
      <c r="M124" s="22"/>
    </row>
    <row r="125" spans="13:22" ht="20.100000000000001" customHeight="1" x14ac:dyDescent="0.25">
      <c r="M125" s="22"/>
    </row>
    <row r="126" spans="13:22" ht="20.100000000000001" customHeight="1" x14ac:dyDescent="0.25">
      <c r="M126" s="22"/>
    </row>
    <row r="127" spans="13:22" ht="20.100000000000001" customHeight="1" x14ac:dyDescent="0.25">
      <c r="M127" s="22"/>
    </row>
    <row r="128" spans="13:22" ht="20.100000000000001" customHeight="1" x14ac:dyDescent="0.25">
      <c r="M128" s="22"/>
    </row>
    <row r="129" spans="13:13" ht="20.100000000000001" customHeight="1" x14ac:dyDescent="0.25">
      <c r="M129" s="22"/>
    </row>
    <row r="130" spans="13:13" ht="20.100000000000001" customHeight="1" x14ac:dyDescent="0.25">
      <c r="M130" s="22"/>
    </row>
    <row r="131" spans="13:13" ht="20.100000000000001" customHeight="1" x14ac:dyDescent="0.25">
      <c r="M131" s="22"/>
    </row>
    <row r="132" spans="13:13" ht="20.100000000000001" customHeight="1" x14ac:dyDescent="0.25">
      <c r="M132" s="22"/>
    </row>
    <row r="133" spans="13:13" ht="20.100000000000001" customHeight="1" x14ac:dyDescent="0.25">
      <c r="M133" s="22"/>
    </row>
    <row r="134" spans="13:13" ht="20.100000000000001" customHeight="1" x14ac:dyDescent="0.25">
      <c r="M134" s="22"/>
    </row>
    <row r="135" spans="13:13" ht="20.100000000000001" customHeight="1" x14ac:dyDescent="0.25">
      <c r="M135" s="22"/>
    </row>
    <row r="136" spans="13:13" ht="20.100000000000001" customHeight="1" x14ac:dyDescent="0.25">
      <c r="M136" s="22"/>
    </row>
    <row r="137" spans="13:13" ht="20.100000000000001" customHeight="1" x14ac:dyDescent="0.25">
      <c r="M137" s="22"/>
    </row>
    <row r="138" spans="13:13" ht="20.100000000000001" customHeight="1" x14ac:dyDescent="0.25">
      <c r="M138" s="22"/>
    </row>
    <row r="139" spans="13:13" ht="20.100000000000001" customHeight="1" x14ac:dyDescent="0.25">
      <c r="M139" s="22"/>
    </row>
    <row r="140" spans="13:13" ht="20.100000000000001" customHeight="1" x14ac:dyDescent="0.25">
      <c r="M140" s="22"/>
    </row>
    <row r="141" spans="13:13" ht="20.100000000000001" customHeight="1" x14ac:dyDescent="0.25">
      <c r="M141" s="22"/>
    </row>
    <row r="142" spans="13:13" ht="20.100000000000001" customHeight="1" x14ac:dyDescent="0.25">
      <c r="M142" s="22"/>
    </row>
    <row r="143" spans="13:13" ht="20.100000000000001" customHeight="1" x14ac:dyDescent="0.25">
      <c r="M143" s="22"/>
    </row>
    <row r="144" spans="13:13" ht="20.100000000000001" customHeight="1" x14ac:dyDescent="0.25">
      <c r="M144" s="22"/>
    </row>
    <row r="145" spans="13:13" ht="20.100000000000001" customHeight="1" x14ac:dyDescent="0.25">
      <c r="M145" s="22"/>
    </row>
    <row r="146" spans="13:13" ht="20.100000000000001" customHeight="1" x14ac:dyDescent="0.25">
      <c r="M146" s="22"/>
    </row>
    <row r="147" spans="13:13" ht="20.100000000000001" customHeight="1" x14ac:dyDescent="0.25">
      <c r="M147" s="22"/>
    </row>
    <row r="148" spans="13:13" ht="20.100000000000001" customHeight="1" x14ac:dyDescent="0.25">
      <c r="M148" s="22"/>
    </row>
    <row r="149" spans="13:13" ht="20.100000000000001" customHeight="1" x14ac:dyDescent="0.25">
      <c r="M149" s="22"/>
    </row>
    <row r="150" spans="13:13" ht="20.100000000000001" customHeight="1" x14ac:dyDescent="0.25">
      <c r="M150" s="22"/>
    </row>
    <row r="151" spans="13:13" ht="20.100000000000001" customHeight="1" x14ac:dyDescent="0.25">
      <c r="M151" s="22"/>
    </row>
    <row r="152" spans="13:13" ht="20.100000000000001" customHeight="1" x14ac:dyDescent="0.25">
      <c r="M152" s="22"/>
    </row>
    <row r="153" spans="13:13" ht="20.100000000000001" customHeight="1" x14ac:dyDescent="0.25">
      <c r="M153" s="22"/>
    </row>
    <row r="154" spans="13:13" ht="20.100000000000001" customHeight="1" x14ac:dyDescent="0.25">
      <c r="M154" s="22"/>
    </row>
    <row r="155" spans="13:13" ht="20.100000000000001" customHeight="1" x14ac:dyDescent="0.25">
      <c r="M155" s="22"/>
    </row>
    <row r="156" spans="13:13" ht="20.100000000000001" customHeight="1" x14ac:dyDescent="0.25">
      <c r="M156" s="22"/>
    </row>
    <row r="157" spans="13:13" ht="20.100000000000001" customHeight="1" x14ac:dyDescent="0.25">
      <c r="M157" s="22"/>
    </row>
    <row r="158" spans="13:13" ht="20.100000000000001" customHeight="1" x14ac:dyDescent="0.25">
      <c r="M158" s="22"/>
    </row>
    <row r="159" spans="13:13" ht="20.100000000000001" customHeight="1" x14ac:dyDescent="0.25">
      <c r="M159" s="22"/>
    </row>
    <row r="160" spans="13:13" ht="20.100000000000001" customHeight="1" x14ac:dyDescent="0.25">
      <c r="M160" s="22"/>
    </row>
    <row r="161" spans="13:13" ht="20.100000000000001" customHeight="1" x14ac:dyDescent="0.25">
      <c r="M161" s="22"/>
    </row>
    <row r="162" spans="13:13" ht="20.100000000000001" customHeight="1" x14ac:dyDescent="0.25">
      <c r="M162" s="22"/>
    </row>
    <row r="163" spans="13:13" ht="20.100000000000001" customHeight="1" x14ac:dyDescent="0.25">
      <c r="M163" s="22"/>
    </row>
    <row r="164" spans="13:13" ht="20.100000000000001" customHeight="1" x14ac:dyDescent="0.25">
      <c r="M164" s="22"/>
    </row>
    <row r="165" spans="13:13" ht="20.100000000000001" customHeight="1" x14ac:dyDescent="0.25">
      <c r="M165" s="22"/>
    </row>
    <row r="166" spans="13:13" x14ac:dyDescent="0.25">
      <c r="M166" s="22"/>
    </row>
    <row r="167" spans="13:13" x14ac:dyDescent="0.25">
      <c r="M167" s="22"/>
    </row>
    <row r="168" spans="13:13" x14ac:dyDescent="0.25">
      <c r="M168" s="22"/>
    </row>
    <row r="169" spans="13:13" x14ac:dyDescent="0.25">
      <c r="M169" s="22"/>
    </row>
    <row r="170" spans="13:13" x14ac:dyDescent="0.25">
      <c r="M170" s="22"/>
    </row>
    <row r="171" spans="13:13" x14ac:dyDescent="0.25">
      <c r="M171" s="22"/>
    </row>
    <row r="172" spans="13:13" x14ac:dyDescent="0.25">
      <c r="M172" s="22"/>
    </row>
    <row r="173" spans="13:13" x14ac:dyDescent="0.25">
      <c r="M173" s="22"/>
    </row>
    <row r="174" spans="13:13" x14ac:dyDescent="0.25">
      <c r="M174" s="22"/>
    </row>
    <row r="175" spans="13:13" x14ac:dyDescent="0.25">
      <c r="M175" s="22"/>
    </row>
    <row r="176" spans="13:13" x14ac:dyDescent="0.25">
      <c r="M176" s="22"/>
    </row>
    <row r="177" spans="13:13" x14ac:dyDescent="0.25">
      <c r="M177" s="22"/>
    </row>
    <row r="178" spans="13:13" x14ac:dyDescent="0.25">
      <c r="M178" s="22"/>
    </row>
    <row r="179" spans="13:13" x14ac:dyDescent="0.25">
      <c r="M179" s="22"/>
    </row>
    <row r="180" spans="13:13" x14ac:dyDescent="0.25">
      <c r="M180" s="22"/>
    </row>
    <row r="181" spans="13:13" x14ac:dyDescent="0.25">
      <c r="M181" s="22"/>
    </row>
    <row r="182" spans="13:13" x14ac:dyDescent="0.25">
      <c r="M182" s="22"/>
    </row>
    <row r="183" spans="13:13" x14ac:dyDescent="0.25">
      <c r="M183" s="22"/>
    </row>
    <row r="184" spans="13:13" x14ac:dyDescent="0.25">
      <c r="M184" s="22"/>
    </row>
    <row r="185" spans="13:13" x14ac:dyDescent="0.25">
      <c r="M185" s="22"/>
    </row>
    <row r="186" spans="13:13" x14ac:dyDescent="0.25">
      <c r="M186" s="22"/>
    </row>
    <row r="187" spans="13:13" x14ac:dyDescent="0.25">
      <c r="M187" s="22"/>
    </row>
    <row r="188" spans="13:13" x14ac:dyDescent="0.25">
      <c r="M188" s="22"/>
    </row>
    <row r="189" spans="13:13" x14ac:dyDescent="0.25">
      <c r="M189" s="22"/>
    </row>
    <row r="190" spans="13:13" x14ac:dyDescent="0.25">
      <c r="M190" s="22"/>
    </row>
    <row r="191" spans="13:13" x14ac:dyDescent="0.25">
      <c r="M191" s="22"/>
    </row>
    <row r="192" spans="13:13" x14ac:dyDescent="0.25">
      <c r="M192" s="22"/>
    </row>
    <row r="193" spans="13:13" x14ac:dyDescent="0.25">
      <c r="M193" s="22"/>
    </row>
    <row r="194" spans="13:13" x14ac:dyDescent="0.25">
      <c r="M194" s="22"/>
    </row>
    <row r="195" spans="13:13" x14ac:dyDescent="0.25">
      <c r="M195" s="22"/>
    </row>
    <row r="196" spans="13:13" x14ac:dyDescent="0.25">
      <c r="M196" s="22"/>
    </row>
    <row r="197" spans="13:13" x14ac:dyDescent="0.25">
      <c r="M197" s="22"/>
    </row>
    <row r="198" spans="13:13" x14ac:dyDescent="0.25">
      <c r="M198" s="22"/>
    </row>
    <row r="199" spans="13:13" x14ac:dyDescent="0.25">
      <c r="M199" s="22"/>
    </row>
    <row r="200" spans="13:13" x14ac:dyDescent="0.25">
      <c r="M200" s="22"/>
    </row>
    <row r="201" spans="13:13" x14ac:dyDescent="0.25">
      <c r="M201" s="22"/>
    </row>
    <row r="202" spans="13:13" x14ac:dyDescent="0.25">
      <c r="M202" s="22"/>
    </row>
    <row r="203" spans="13:13" x14ac:dyDescent="0.25">
      <c r="M203" s="22"/>
    </row>
    <row r="204" spans="13:13" x14ac:dyDescent="0.25">
      <c r="M204" s="22"/>
    </row>
    <row r="205" spans="13:13" x14ac:dyDescent="0.25">
      <c r="M205" s="22"/>
    </row>
    <row r="206" spans="13:13" x14ac:dyDescent="0.25">
      <c r="M206" s="22"/>
    </row>
    <row r="207" spans="13:13" x14ac:dyDescent="0.25">
      <c r="M207" s="22"/>
    </row>
    <row r="208" spans="13:13" x14ac:dyDescent="0.25">
      <c r="M208" s="22"/>
    </row>
    <row r="209" spans="13:13" x14ac:dyDescent="0.25">
      <c r="M209" s="22"/>
    </row>
    <row r="210" spans="13:13" x14ac:dyDescent="0.25">
      <c r="M210" s="22"/>
    </row>
    <row r="211" spans="13:13" x14ac:dyDescent="0.25">
      <c r="M211" s="22"/>
    </row>
    <row r="212" spans="13:13" x14ac:dyDescent="0.25">
      <c r="M212" s="22"/>
    </row>
    <row r="213" spans="13:13" x14ac:dyDescent="0.25">
      <c r="M213" s="22"/>
    </row>
    <row r="214" spans="13:13" x14ac:dyDescent="0.25">
      <c r="M214" s="22"/>
    </row>
    <row r="215" spans="13:13" x14ac:dyDescent="0.25">
      <c r="M215" s="22"/>
    </row>
    <row r="216" spans="13:13" x14ac:dyDescent="0.25">
      <c r="M216" s="22"/>
    </row>
    <row r="217" spans="13:13" x14ac:dyDescent="0.25">
      <c r="M217" s="22"/>
    </row>
    <row r="218" spans="13:13" x14ac:dyDescent="0.25">
      <c r="M218" s="22"/>
    </row>
    <row r="219" spans="13:13" x14ac:dyDescent="0.25">
      <c r="M219" s="22"/>
    </row>
    <row r="220" spans="13:13" x14ac:dyDescent="0.25">
      <c r="M220" s="22"/>
    </row>
    <row r="221" spans="13:13" x14ac:dyDescent="0.25">
      <c r="M221" s="22"/>
    </row>
    <row r="222" spans="13:13" x14ac:dyDescent="0.25">
      <c r="M222" s="22"/>
    </row>
    <row r="223" spans="13:13" x14ac:dyDescent="0.25">
      <c r="M223" s="22"/>
    </row>
    <row r="224" spans="13:13" x14ac:dyDescent="0.25">
      <c r="M224" s="22"/>
    </row>
    <row r="225" spans="13:13" x14ac:dyDescent="0.25">
      <c r="M225" s="22"/>
    </row>
    <row r="226" spans="13:13" x14ac:dyDescent="0.25">
      <c r="M226" s="22"/>
    </row>
    <row r="227" spans="13:13" x14ac:dyDescent="0.25">
      <c r="M227" s="22"/>
    </row>
    <row r="228" spans="13:13" x14ac:dyDescent="0.25">
      <c r="M228" s="22"/>
    </row>
    <row r="229" spans="13:13" x14ac:dyDescent="0.25">
      <c r="M229" s="22"/>
    </row>
    <row r="230" spans="13:13" x14ac:dyDescent="0.25">
      <c r="M230" s="22"/>
    </row>
    <row r="231" spans="13:13" x14ac:dyDescent="0.25">
      <c r="M231" s="22"/>
    </row>
    <row r="232" spans="13:13" x14ac:dyDescent="0.25">
      <c r="M232" s="22"/>
    </row>
    <row r="233" spans="13:13" x14ac:dyDescent="0.25">
      <c r="M233" s="22"/>
    </row>
    <row r="234" spans="13:13" x14ac:dyDescent="0.25">
      <c r="M234" s="22"/>
    </row>
    <row r="235" spans="13:13" x14ac:dyDescent="0.25">
      <c r="M235" s="22"/>
    </row>
    <row r="236" spans="13:13" x14ac:dyDescent="0.25">
      <c r="M236" s="22"/>
    </row>
    <row r="237" spans="13:13" x14ac:dyDescent="0.25">
      <c r="M237" s="22"/>
    </row>
    <row r="238" spans="13:13" x14ac:dyDescent="0.25">
      <c r="M238" s="22"/>
    </row>
    <row r="239" spans="13:13" x14ac:dyDescent="0.25">
      <c r="M239" s="22"/>
    </row>
    <row r="240" spans="13:13" x14ac:dyDescent="0.25">
      <c r="M240" s="22"/>
    </row>
    <row r="241" spans="13:13" x14ac:dyDescent="0.25">
      <c r="M241" s="22"/>
    </row>
    <row r="242" spans="13:13" x14ac:dyDescent="0.25">
      <c r="M242" s="22"/>
    </row>
    <row r="243" spans="13:13" x14ac:dyDescent="0.25">
      <c r="M243" s="22"/>
    </row>
    <row r="244" spans="13:13" x14ac:dyDescent="0.25">
      <c r="M244" s="22"/>
    </row>
    <row r="245" spans="13:13" x14ac:dyDescent="0.25">
      <c r="M245" s="22"/>
    </row>
    <row r="246" spans="13:13" x14ac:dyDescent="0.25">
      <c r="M246" s="22"/>
    </row>
    <row r="247" spans="13:13" x14ac:dyDescent="0.25">
      <c r="M247" s="22"/>
    </row>
    <row r="248" spans="13:13" x14ac:dyDescent="0.25">
      <c r="M248" s="22"/>
    </row>
    <row r="249" spans="13:13" x14ac:dyDescent="0.25">
      <c r="M249" s="22"/>
    </row>
    <row r="250" spans="13:13" x14ac:dyDescent="0.25">
      <c r="M250" s="22"/>
    </row>
    <row r="251" spans="13:13" x14ac:dyDescent="0.25">
      <c r="M251" s="22"/>
    </row>
    <row r="252" spans="13:13" x14ac:dyDescent="0.25">
      <c r="M252" s="22"/>
    </row>
    <row r="253" spans="13:13" x14ac:dyDescent="0.25">
      <c r="M253" s="22"/>
    </row>
    <row r="254" spans="13:13" x14ac:dyDescent="0.25">
      <c r="M254" s="22"/>
    </row>
    <row r="255" spans="13:13" x14ac:dyDescent="0.25">
      <c r="M255" s="22"/>
    </row>
    <row r="256" spans="13:13" x14ac:dyDescent="0.25">
      <c r="M256" s="22"/>
    </row>
    <row r="257" spans="13:13" x14ac:dyDescent="0.25">
      <c r="M257" s="22"/>
    </row>
    <row r="258" spans="13:13" x14ac:dyDescent="0.25">
      <c r="M258" s="22"/>
    </row>
    <row r="259" spans="13:13" x14ac:dyDescent="0.25">
      <c r="M259" s="22"/>
    </row>
    <row r="260" spans="13:13" x14ac:dyDescent="0.25">
      <c r="M260" s="22"/>
    </row>
    <row r="261" spans="13:13" x14ac:dyDescent="0.25">
      <c r="M261" s="22"/>
    </row>
    <row r="262" spans="13:13" x14ac:dyDescent="0.25">
      <c r="M262" s="22"/>
    </row>
    <row r="263" spans="13:13" x14ac:dyDescent="0.25">
      <c r="M263" s="22"/>
    </row>
    <row r="264" spans="13:13" x14ac:dyDescent="0.25">
      <c r="M264" s="22"/>
    </row>
    <row r="265" spans="13:13" x14ac:dyDescent="0.25">
      <c r="M265" s="22"/>
    </row>
    <row r="266" spans="13:13" x14ac:dyDescent="0.25">
      <c r="M266" s="22"/>
    </row>
    <row r="267" spans="13:13" x14ac:dyDescent="0.25">
      <c r="M267" s="22"/>
    </row>
    <row r="268" spans="13:13" x14ac:dyDescent="0.25">
      <c r="M268" s="22"/>
    </row>
    <row r="269" spans="13:13" x14ac:dyDescent="0.25">
      <c r="M269" s="22"/>
    </row>
    <row r="270" spans="13:13" x14ac:dyDescent="0.25">
      <c r="M270" s="22"/>
    </row>
    <row r="271" spans="13:13" x14ac:dyDescent="0.25">
      <c r="M271" s="22"/>
    </row>
    <row r="272" spans="13:13" x14ac:dyDescent="0.25">
      <c r="M272" s="22"/>
    </row>
    <row r="273" spans="13:13" x14ac:dyDescent="0.25">
      <c r="M273" s="22"/>
    </row>
    <row r="274" spans="13:13" x14ac:dyDescent="0.25">
      <c r="M274" s="22"/>
    </row>
    <row r="275" spans="13:13" x14ac:dyDescent="0.25">
      <c r="M275" s="22"/>
    </row>
    <row r="276" spans="13:13" x14ac:dyDescent="0.25">
      <c r="M276" s="22"/>
    </row>
    <row r="277" spans="13:13" x14ac:dyDescent="0.25">
      <c r="M277" s="22"/>
    </row>
    <row r="278" spans="13:13" x14ac:dyDescent="0.25">
      <c r="M278" s="22"/>
    </row>
    <row r="279" spans="13:13" x14ac:dyDescent="0.25">
      <c r="M279" s="22"/>
    </row>
    <row r="280" spans="13:13" x14ac:dyDescent="0.25">
      <c r="M280" s="22"/>
    </row>
    <row r="281" spans="13:13" x14ac:dyDescent="0.25">
      <c r="M281" s="22"/>
    </row>
    <row r="282" spans="13:13" x14ac:dyDescent="0.25">
      <c r="M282" s="22"/>
    </row>
    <row r="283" spans="13:13" x14ac:dyDescent="0.25">
      <c r="M283" s="22"/>
    </row>
    <row r="284" spans="13:13" x14ac:dyDescent="0.25">
      <c r="M284" s="22"/>
    </row>
    <row r="285" spans="13:13" x14ac:dyDescent="0.25">
      <c r="M285" s="22"/>
    </row>
    <row r="286" spans="13:13" x14ac:dyDescent="0.25">
      <c r="M286" s="22"/>
    </row>
    <row r="287" spans="13:13" x14ac:dyDescent="0.25">
      <c r="M287" s="22"/>
    </row>
    <row r="288" spans="13:13" x14ac:dyDescent="0.25">
      <c r="M288" s="22"/>
    </row>
  </sheetData>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8245-077D-4620-A68F-E98BAE61B1C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192</v>
      </c>
      <c r="BM5" s="3"/>
    </row>
    <row r="6" spans="1:65" ht="20.100000000000001" customHeight="1" x14ac:dyDescent="0.25">
      <c r="A6"/>
      <c r="D6" s="35" t="s">
        <v>12</v>
      </c>
      <c r="E6" s="35" t="s">
        <v>13</v>
      </c>
      <c r="F6" s="35" t="s">
        <v>14</v>
      </c>
    </row>
    <row r="7" spans="1:65" ht="20.100000000000001" customHeight="1" x14ac:dyDescent="0.25">
      <c r="A7"/>
      <c r="D7" s="35" t="s">
        <v>193</v>
      </c>
      <c r="E7" s="35" t="s">
        <v>193</v>
      </c>
      <c r="F7" s="35" t="s">
        <v>182</v>
      </c>
    </row>
    <row r="8" spans="1:65" ht="20.100000000000001" customHeight="1" x14ac:dyDescent="0.25">
      <c r="A8"/>
      <c r="D8" s="35" t="s">
        <v>194</v>
      </c>
      <c r="E8" s="35" t="s">
        <v>181</v>
      </c>
      <c r="F8" s="35" t="s">
        <v>181</v>
      </c>
    </row>
    <row r="9" spans="1:65" ht="20.100000000000001" customHeight="1" x14ac:dyDescent="0.25">
      <c r="A9"/>
      <c r="D9" s="35" t="s">
        <v>195</v>
      </c>
      <c r="E9" s="35" t="s">
        <v>195</v>
      </c>
      <c r="F9" s="35" t="s">
        <v>187</v>
      </c>
    </row>
    <row r="10" spans="1:65" ht="20.100000000000001" customHeight="1" x14ac:dyDescent="0.25">
      <c r="A10"/>
      <c r="D10" s="35" t="s">
        <v>196</v>
      </c>
      <c r="E10" s="35" t="s">
        <v>196</v>
      </c>
      <c r="F10" s="35" t="s">
        <v>184</v>
      </c>
    </row>
    <row r="11" spans="1:65" ht="20.100000000000001" customHeight="1" x14ac:dyDescent="0.25">
      <c r="A11"/>
      <c r="D11" s="35" t="s">
        <v>197</v>
      </c>
      <c r="E11" s="35" t="s">
        <v>197</v>
      </c>
      <c r="F11" s="35" t="s">
        <v>185</v>
      </c>
      <c r="BM11" s="3"/>
    </row>
    <row r="12" spans="1:65" ht="20.100000000000001" customHeight="1" x14ac:dyDescent="0.25">
      <c r="A12"/>
      <c r="D12" s="35" t="s">
        <v>198</v>
      </c>
      <c r="E12" s="35" t="s">
        <v>198</v>
      </c>
      <c r="F12" s="35" t="s">
        <v>188</v>
      </c>
      <c r="BM12" s="3"/>
    </row>
    <row r="13" spans="1:65" ht="20.100000000000001" customHeight="1" x14ac:dyDescent="0.25">
      <c r="A13"/>
      <c r="D13" s="35" t="s">
        <v>199</v>
      </c>
      <c r="E13" s="35" t="s">
        <v>199</v>
      </c>
      <c r="F13" s="35" t="s">
        <v>186</v>
      </c>
    </row>
    <row r="14" spans="1:65" ht="20.100000000000001" customHeight="1" x14ac:dyDescent="0.25">
      <c r="A14"/>
      <c r="D14" s="35" t="s">
        <v>200</v>
      </c>
      <c r="E14" s="35" t="s">
        <v>200</v>
      </c>
      <c r="F14" s="35" t="s">
        <v>183</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201</v>
      </c>
    </row>
    <row r="19" spans="1:4" ht="20.100000000000001" customHeight="1" x14ac:dyDescent="0.25">
      <c r="A19"/>
      <c r="D19" s="5" t="s">
        <v>202</v>
      </c>
    </row>
    <row r="20" spans="1:4" ht="20.100000000000001" customHeight="1" x14ac:dyDescent="0.25">
      <c r="A20"/>
      <c r="D20" s="35" t="s">
        <v>15</v>
      </c>
    </row>
    <row r="21" spans="1:4" ht="20.100000000000001" customHeight="1" x14ac:dyDescent="0.25">
      <c r="A21"/>
      <c r="D21" s="35" t="s">
        <v>203</v>
      </c>
    </row>
    <row r="22" spans="1:4" ht="20.100000000000001" customHeight="1" x14ac:dyDescent="0.25">
      <c r="A22"/>
      <c r="D22" s="35" t="s">
        <v>204</v>
      </c>
    </row>
    <row r="23" spans="1:4" ht="20.100000000000001" customHeight="1" x14ac:dyDescent="0.25">
      <c r="A23"/>
      <c r="D23" s="35" t="s">
        <v>205</v>
      </c>
    </row>
    <row r="24" spans="1:4" ht="20.100000000000001" customHeight="1" x14ac:dyDescent="0.25">
      <c r="A24"/>
      <c r="D24" s="35" t="s">
        <v>206</v>
      </c>
    </row>
    <row r="25" spans="1:4" ht="20.100000000000001" customHeight="1" x14ac:dyDescent="0.25">
      <c r="A25"/>
      <c r="D25" s="35" t="s">
        <v>207</v>
      </c>
    </row>
    <row r="26" spans="1:4" ht="20.100000000000001" customHeight="1" x14ac:dyDescent="0.25">
      <c r="A26"/>
      <c r="D26" s="35" t="s">
        <v>208</v>
      </c>
    </row>
    <row r="27" spans="1:4" ht="20.100000000000001" customHeight="1" x14ac:dyDescent="0.25">
      <c r="A27"/>
      <c r="D27" s="35" t="s">
        <v>209</v>
      </c>
    </row>
    <row r="28" spans="1:4" ht="20.100000000000001" customHeight="1" x14ac:dyDescent="0.25">
      <c r="A28"/>
      <c r="D28" s="35" t="s">
        <v>210</v>
      </c>
    </row>
    <row r="29" spans="1:4" ht="20.100000000000001" customHeight="1" x14ac:dyDescent="0.25">
      <c r="A29"/>
      <c r="D29" s="35" t="s">
        <v>211</v>
      </c>
    </row>
    <row r="30" spans="1:4" ht="20.100000000000001" customHeight="1" x14ac:dyDescent="0.25">
      <c r="A30"/>
      <c r="D30" s="35" t="s">
        <v>212</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213</v>
      </c>
    </row>
    <row r="35" spans="1:8" ht="20.100000000000001" customHeight="1" x14ac:dyDescent="0.25">
      <c r="A35"/>
      <c r="D35" s="5" t="s">
        <v>214</v>
      </c>
    </row>
    <row r="36" spans="1:8" ht="20.100000000000001" customHeight="1" x14ac:dyDescent="0.25">
      <c r="A36"/>
      <c r="D36" s="35" t="s">
        <v>16</v>
      </c>
      <c r="E36" s="35" t="s">
        <v>17</v>
      </c>
    </row>
    <row r="37" spans="1:8" ht="20.100000000000001" customHeight="1" x14ac:dyDescent="0.25">
      <c r="A37"/>
      <c r="D37" s="35" t="s">
        <v>215</v>
      </c>
      <c r="E37" s="35">
        <v>1</v>
      </c>
    </row>
    <row r="38" spans="1:8" ht="20.100000000000001" customHeight="1" x14ac:dyDescent="0.25">
      <c r="A38"/>
      <c r="D38" s="35" t="s">
        <v>216</v>
      </c>
      <c r="E38" s="35">
        <v>28</v>
      </c>
    </row>
    <row r="39" spans="1:8" ht="20.100000000000001" customHeight="1" x14ac:dyDescent="0.25">
      <c r="A39"/>
      <c r="D39" s="35" t="s">
        <v>217</v>
      </c>
      <c r="E39" s="35">
        <v>265</v>
      </c>
    </row>
    <row r="40" spans="1:8" ht="20.100000000000001" customHeight="1" x14ac:dyDescent="0.25">
      <c r="A40"/>
      <c r="D40" s="35" t="s">
        <v>218</v>
      </c>
      <c r="E40" s="35">
        <v>6630</v>
      </c>
    </row>
    <row r="41" spans="1:8" ht="20.100000000000001" customHeight="1" x14ac:dyDescent="0.25">
      <c r="A41"/>
      <c r="D41" s="35" t="s">
        <v>219</v>
      </c>
      <c r="E41" s="35">
        <v>12200</v>
      </c>
    </row>
    <row r="42" spans="1:8" ht="20.100000000000001" customHeight="1" x14ac:dyDescent="0.25">
      <c r="D42" s="35" t="s">
        <v>220</v>
      </c>
      <c r="E42" s="35">
        <v>22800</v>
      </c>
    </row>
    <row r="43" spans="1:8" ht="20.100000000000001" customHeight="1" x14ac:dyDescent="0.25">
      <c r="D43" s="35" t="s">
        <v>221</v>
      </c>
      <c r="E43" s="35">
        <v>17200</v>
      </c>
    </row>
    <row r="44" spans="1:8" ht="20.100000000000001" customHeight="1" x14ac:dyDescent="0.25"/>
    <row r="45" spans="1:8" ht="20.100000000000001" customHeight="1" x14ac:dyDescent="0.25">
      <c r="D45" s="6" t="s">
        <v>222</v>
      </c>
    </row>
    <row r="46" spans="1:8" ht="20.100000000000001" customHeight="1" x14ac:dyDescent="0.25">
      <c r="D46" s="5" t="s">
        <v>214</v>
      </c>
    </row>
    <row r="47" spans="1:8" ht="20.100000000000001" customHeight="1" x14ac:dyDescent="0.25">
      <c r="D47" s="35" t="s">
        <v>16</v>
      </c>
      <c r="E47" s="35" t="s">
        <v>19</v>
      </c>
      <c r="F47" s="35" t="s">
        <v>20</v>
      </c>
      <c r="G47" s="35" t="s">
        <v>21</v>
      </c>
      <c r="H47" s="35" t="s">
        <v>22</v>
      </c>
    </row>
    <row r="48" spans="1:8" ht="20.100000000000001" customHeight="1" x14ac:dyDescent="0.25">
      <c r="D48" s="35" t="s">
        <v>215</v>
      </c>
      <c r="E48" s="35" t="s">
        <v>223</v>
      </c>
      <c r="F48" s="35">
        <v>44</v>
      </c>
      <c r="G48" s="35">
        <v>12</v>
      </c>
      <c r="H48" s="35">
        <f>Table_GasToMolecularConversionFactor[[#This Row],[Conversion factor 1]]/Table_GasToMolecularConversionFactor[[#This Row],[Conversion factor 2]]</f>
        <v>3.6666666666666665</v>
      </c>
    </row>
    <row r="49" spans="4:8" ht="20.100000000000001" customHeight="1" x14ac:dyDescent="0.25">
      <c r="D49" s="35" t="s">
        <v>216</v>
      </c>
      <c r="E49" s="35" t="s">
        <v>224</v>
      </c>
      <c r="F49" s="35">
        <v>16</v>
      </c>
      <c r="G49" s="35">
        <v>12</v>
      </c>
      <c r="H49" s="35">
        <f>Table_GasToMolecularConversionFactor[[#This Row],[Conversion factor 1]]/Table_GasToMolecularConversionFactor[[#This Row],[Conversion factor 2]]</f>
        <v>1.3333333333333333</v>
      </c>
    </row>
    <row r="50" spans="4:8" ht="20.100000000000001" customHeight="1" x14ac:dyDescent="0.25">
      <c r="D50" s="35" t="s">
        <v>217</v>
      </c>
      <c r="E50" s="35" t="s">
        <v>225</v>
      </c>
      <c r="F50" s="35">
        <v>44</v>
      </c>
      <c r="G50" s="35">
        <v>28</v>
      </c>
      <c r="H50" s="35">
        <f>Table_GasToMolecularConversionFactor[[#This Row],[Conversion factor 1]]/Table_GasToMolecularConversionFactor[[#This Row],[Conversion factor 2]]</f>
        <v>1.5714285714285714</v>
      </c>
    </row>
    <row r="51" spans="4:8" ht="20.100000000000001" customHeight="1" x14ac:dyDescent="0.25">
      <c r="D51" s="35" t="s">
        <v>226</v>
      </c>
      <c r="E51" s="35" t="s">
        <v>227</v>
      </c>
      <c r="F51" s="35">
        <v>46</v>
      </c>
      <c r="G51" s="35">
        <v>14</v>
      </c>
      <c r="H51" s="35">
        <f>Table_GasToMolecularConversionFactor[[#This Row],[Conversion factor 1]]/Table_GasToMolecularConversionFactor[[#This Row],[Conversion factor 2]]</f>
        <v>3.2857142857142856</v>
      </c>
    </row>
    <row r="52" spans="4:8" ht="20.100000000000001" customHeight="1" x14ac:dyDescent="0.25">
      <c r="D52" s="35" t="s">
        <v>228</v>
      </c>
      <c r="E52" s="35" t="s">
        <v>229</v>
      </c>
      <c r="F52" s="35">
        <v>28</v>
      </c>
      <c r="G52" s="35">
        <v>12</v>
      </c>
      <c r="H52" s="35">
        <f>Table_GasToMolecularConversionFactor[[#This Row],[Conversion factor 1]]/Table_GasToMolecularConversionFactor[[#This Row],[Conversion factor 2]]</f>
        <v>2.3333333333333335</v>
      </c>
    </row>
    <row r="53" spans="4:8" ht="20.100000000000001" customHeight="1" x14ac:dyDescent="0.25">
      <c r="D53" s="35" t="s">
        <v>230</v>
      </c>
      <c r="E53" s="35" t="s">
        <v>223</v>
      </c>
      <c r="F53" s="35">
        <v>44</v>
      </c>
      <c r="G53" s="35">
        <v>12</v>
      </c>
      <c r="H53" s="35">
        <f>Table_GasToMolecularConversionFactor[[#This Row],[Conversion factor 1]]/Table_GasToMolecularConversionFactor[[#This Row],[Conversion factor 2]]</f>
        <v>3.6666666666666665</v>
      </c>
    </row>
    <row r="54" spans="4:8" ht="20.100000000000001" customHeight="1" x14ac:dyDescent="0.25">
      <c r="D54" s="35" t="s">
        <v>231</v>
      </c>
      <c r="E54" s="35" t="s">
        <v>232</v>
      </c>
      <c r="F54" s="35">
        <v>14</v>
      </c>
      <c r="G54" s="35">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233</v>
      </c>
    </row>
    <row r="58" spans="4:8" ht="20.100000000000001" customHeight="1" x14ac:dyDescent="0.25">
      <c r="D58" s="5" t="s">
        <v>234</v>
      </c>
    </row>
    <row r="59" spans="4:8" ht="20.100000000000001" customHeight="1" x14ac:dyDescent="0.25">
      <c r="D59" s="51" t="str" cm="1">
        <f t="array" ref="D59:D61">"⚠️" &amp; Common_SourceData.Common_SourceData_WetAndDryZones_Variation()</f>
        <v>⚠️VARIATION OF SOURCE DATA:</v>
      </c>
    </row>
    <row r="60" spans="4:8" ht="20.100000000000001" customHeight="1" x14ac:dyDescent="0.25">
      <c r="D60" s="51" t="str">
        <v>⚠️Added warm / cool temperate moist / dry - low frost and high temp classes to accommodate climate scenarios excluded by VEERG criteria.</v>
      </c>
    </row>
    <row r="61" spans="4:8" ht="20.100000000000001" customHeight="1" x14ac:dyDescent="0.25">
      <c r="D61" s="51" t="str">
        <v>⚠️Fixed typo - Changed 'Fry' to 'Dry'.</v>
      </c>
    </row>
    <row r="62" spans="4:8" ht="20.100000000000001" customHeight="1" x14ac:dyDescent="0.25"/>
    <row r="63" spans="4:8" ht="20.100000000000001" customHeight="1" x14ac:dyDescent="0.25">
      <c r="D63" s="35" t="s">
        <v>8</v>
      </c>
      <c r="E63" s="35" t="s">
        <v>36</v>
      </c>
    </row>
    <row r="64" spans="4:8" ht="20.100000000000001" customHeight="1" x14ac:dyDescent="0.25">
      <c r="D64" s="35" t="s">
        <v>235</v>
      </c>
      <c r="E64" s="35" t="s">
        <v>236</v>
      </c>
    </row>
    <row r="65" spans="4:5" ht="20.100000000000001" customHeight="1" x14ac:dyDescent="0.25">
      <c r="D65" s="35" t="s">
        <v>237</v>
      </c>
      <c r="E65" s="35" t="s">
        <v>236</v>
      </c>
    </row>
    <row r="66" spans="4:5" ht="20.100000000000001" customHeight="1" x14ac:dyDescent="0.25">
      <c r="D66" s="35" t="s">
        <v>238</v>
      </c>
      <c r="E66" s="35" t="s">
        <v>236</v>
      </c>
    </row>
    <row r="67" spans="4:5" ht="20.100000000000001" customHeight="1" x14ac:dyDescent="0.25">
      <c r="D67" s="35" t="s">
        <v>239</v>
      </c>
      <c r="E67" s="35" t="s">
        <v>240</v>
      </c>
    </row>
    <row r="68" spans="4:5" ht="20.100000000000001" customHeight="1" x14ac:dyDescent="0.25">
      <c r="D68" s="35" t="s">
        <v>241</v>
      </c>
      <c r="E68" s="35" t="s">
        <v>236</v>
      </c>
    </row>
    <row r="69" spans="4:5" ht="20.100000000000001" customHeight="1" x14ac:dyDescent="0.25">
      <c r="D69" s="35" t="s">
        <v>242</v>
      </c>
      <c r="E69" s="35" t="s">
        <v>240</v>
      </c>
    </row>
    <row r="70" spans="4:5" ht="20.100000000000001" customHeight="1" x14ac:dyDescent="0.25">
      <c r="D70" s="35" t="s">
        <v>243</v>
      </c>
      <c r="E70" s="35" t="s">
        <v>236</v>
      </c>
    </row>
    <row r="71" spans="4:5" ht="20.100000000000001" customHeight="1" x14ac:dyDescent="0.25">
      <c r="D71" s="35" t="s">
        <v>244</v>
      </c>
      <c r="E71" s="35" t="s">
        <v>240</v>
      </c>
    </row>
    <row r="72" spans="4:5" ht="20.100000000000001" customHeight="1" x14ac:dyDescent="0.25">
      <c r="D72" s="35" t="s">
        <v>245</v>
      </c>
      <c r="E72" s="35" t="s">
        <v>236</v>
      </c>
    </row>
    <row r="73" spans="4:5" ht="20.100000000000001" customHeight="1" x14ac:dyDescent="0.25">
      <c r="D73" s="35" t="s">
        <v>246</v>
      </c>
      <c r="E73" s="35" t="s">
        <v>240</v>
      </c>
    </row>
    <row r="74" spans="4:5" ht="20.100000000000001" customHeight="1" x14ac:dyDescent="0.25">
      <c r="D74" s="35" t="s">
        <v>247</v>
      </c>
      <c r="E74" s="35" t="s">
        <v>236</v>
      </c>
    </row>
    <row r="75" spans="4:5" ht="20.100000000000001" customHeight="1" x14ac:dyDescent="0.25">
      <c r="D75" s="35" t="s">
        <v>248</v>
      </c>
      <c r="E75" s="35" t="s">
        <v>240</v>
      </c>
    </row>
    <row r="76" spans="4:5" ht="20.100000000000001" customHeight="1" x14ac:dyDescent="0.25">
      <c r="D76" s="35" t="s">
        <v>249</v>
      </c>
      <c r="E76" s="35" t="s">
        <v>236</v>
      </c>
    </row>
    <row r="77" spans="4:5" ht="20.100000000000001" customHeight="1" x14ac:dyDescent="0.25">
      <c r="D77" s="35" t="s">
        <v>250</v>
      </c>
      <c r="E77" s="35" t="s">
        <v>240</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251</v>
      </c>
    </row>
    <row r="82" spans="4:20" ht="20.100000000000001" customHeight="1" x14ac:dyDescent="0.25">
      <c r="D82" s="5" t="s">
        <v>252</v>
      </c>
    </row>
    <row r="83" spans="4:20" ht="20.100000000000001" customHeight="1" x14ac:dyDescent="0.25">
      <c r="D83" s="51" t="str" cm="1">
        <f t="array" ref="D83:D87">"⚠️" &amp; Common_SourceData.Common_SourceData_ClimateZones_Variation()</f>
        <v>⚠️VARIATION OF SOURCE DATA:</v>
      </c>
    </row>
    <row r="84" spans="4:20" ht="20.100000000000001" customHeight="1" x14ac:dyDescent="0.25">
      <c r="D84" s="51" t="str">
        <v>⚠️Added warm / cool temperate moist / dry - low frost and high temp classes to accommodate climate scenarios excluded by VEERG criteria.</v>
      </c>
    </row>
    <row r="85" spans="4:20" ht="20.100000000000001" customHeight="1" x14ac:dyDescent="0.25">
      <c r="D85" s="51" t="str">
        <v>⚠️Fixed typo in MAT value for warm temperate dry - changed 10 to 11.</v>
      </c>
    </row>
    <row r="86" spans="4:20" ht="20.100000000000001" customHeight="1" x14ac:dyDescent="0.25">
      <c r="D86" s="51" t="str">
        <v>⚠️Added min and max columns for MAT, MAP, frost days per year, elevation, MAP:PET to calculate zones from real climate data.</v>
      </c>
    </row>
    <row r="87" spans="4:20" ht="20.100000000000001" customHeight="1" x14ac:dyDescent="0.25">
      <c r="D87" s="51" t="str">
        <v>⚠️GAF accepts rainfall as a proxy for precipitation.</v>
      </c>
    </row>
    <row r="88" spans="4:20" ht="20.100000000000001" customHeight="1" x14ac:dyDescent="0.25"/>
    <row r="89" spans="4:20" ht="20.100000000000001" customHeight="1" x14ac:dyDescent="0.25">
      <c r="D89" s="35" t="s">
        <v>8</v>
      </c>
      <c r="E89" s="35" t="s">
        <v>24</v>
      </c>
      <c r="F89" s="35" t="s">
        <v>25</v>
      </c>
      <c r="G89" s="35" t="s">
        <v>26</v>
      </c>
      <c r="H89" s="35" t="s">
        <v>27</v>
      </c>
      <c r="I89" s="35" t="s">
        <v>28</v>
      </c>
      <c r="J89" s="35" t="s">
        <v>29</v>
      </c>
      <c r="K89" s="35" t="s">
        <v>30</v>
      </c>
      <c r="L89" s="35" t="s">
        <v>31</v>
      </c>
      <c r="M89" s="35" t="s">
        <v>32</v>
      </c>
      <c r="N89" s="35" t="s">
        <v>33</v>
      </c>
      <c r="O89" s="35" t="s">
        <v>37</v>
      </c>
      <c r="P89" s="35" t="s">
        <v>34</v>
      </c>
      <c r="Q89" s="35" t="s">
        <v>38</v>
      </c>
      <c r="R89" s="35" t="s">
        <v>35</v>
      </c>
      <c r="S89" s="35" t="s">
        <v>39</v>
      </c>
      <c r="T89" s="35"/>
    </row>
    <row r="90" spans="4:20" ht="20.100000000000001" customHeight="1" x14ac:dyDescent="0.25">
      <c r="D90" s="35" t="s">
        <v>235</v>
      </c>
      <c r="E90" s="35" t="s">
        <v>253</v>
      </c>
      <c r="F90" s="35" t="s">
        <v>254</v>
      </c>
      <c r="G90" s="35" t="s">
        <v>255</v>
      </c>
      <c r="H90" s="35" t="s">
        <v>256</v>
      </c>
      <c r="I90" s="35" t="s">
        <v>254</v>
      </c>
      <c r="J90" s="35">
        <v>18.001000000000001</v>
      </c>
      <c r="K90" s="35">
        <v>999999</v>
      </c>
      <c r="L90" s="35">
        <v>-999999</v>
      </c>
      <c r="M90" s="35">
        <v>999999</v>
      </c>
      <c r="N90" s="35">
        <v>-999999</v>
      </c>
      <c r="O90" s="35">
        <v>7</v>
      </c>
      <c r="P90" s="35">
        <v>1000</v>
      </c>
      <c r="Q90" s="35">
        <v>999999</v>
      </c>
      <c r="R90" s="35">
        <v>-999999</v>
      </c>
      <c r="S90" s="35">
        <v>999999</v>
      </c>
      <c r="T90" s="35"/>
    </row>
    <row r="91" spans="4:20" ht="20.100000000000001" customHeight="1" x14ac:dyDescent="0.25">
      <c r="D91" s="35" t="s">
        <v>237</v>
      </c>
      <c r="E91" s="35" t="s">
        <v>253</v>
      </c>
      <c r="F91" s="35" t="s">
        <v>257</v>
      </c>
      <c r="G91" s="35" t="s">
        <v>255</v>
      </c>
      <c r="H91" s="35" t="s">
        <v>258</v>
      </c>
      <c r="I91" s="35" t="s">
        <v>254</v>
      </c>
      <c r="J91" s="35">
        <v>18.001000000000001</v>
      </c>
      <c r="K91" s="35">
        <v>999999</v>
      </c>
      <c r="L91" s="35">
        <v>2000.001</v>
      </c>
      <c r="M91" s="35">
        <v>999999</v>
      </c>
      <c r="N91" s="35">
        <v>-999999</v>
      </c>
      <c r="O91" s="35">
        <v>7</v>
      </c>
      <c r="P91" s="35">
        <v>-999999</v>
      </c>
      <c r="Q91" s="35">
        <v>999.99900000000002</v>
      </c>
      <c r="R91" s="35">
        <v>-999999</v>
      </c>
      <c r="S91" s="35">
        <v>999999</v>
      </c>
      <c r="T91" s="35"/>
    </row>
    <row r="92" spans="4:20" ht="20.100000000000001" customHeight="1" x14ac:dyDescent="0.25">
      <c r="D92" s="35" t="s">
        <v>238</v>
      </c>
      <c r="E92" s="35" t="s">
        <v>253</v>
      </c>
      <c r="F92" s="35" t="s">
        <v>259</v>
      </c>
      <c r="G92" s="35" t="s">
        <v>255</v>
      </c>
      <c r="H92" s="35" t="s">
        <v>258</v>
      </c>
      <c r="I92" s="35" t="s">
        <v>254</v>
      </c>
      <c r="J92" s="35">
        <v>18.001000000000001</v>
      </c>
      <c r="K92" s="35">
        <v>999999</v>
      </c>
      <c r="L92" s="35">
        <v>1000.001</v>
      </c>
      <c r="M92" s="35">
        <v>2000</v>
      </c>
      <c r="N92" s="35">
        <v>-999999</v>
      </c>
      <c r="O92" s="35">
        <v>7</v>
      </c>
      <c r="P92" s="35">
        <v>-999999</v>
      </c>
      <c r="Q92" s="35">
        <v>999.99900000000002</v>
      </c>
      <c r="R92" s="35">
        <v>-999999</v>
      </c>
      <c r="S92" s="35">
        <v>999999</v>
      </c>
      <c r="T92" s="35"/>
    </row>
    <row r="93" spans="4:20" ht="20.100000000000001" customHeight="1" x14ac:dyDescent="0.25">
      <c r="D93" s="35" t="s">
        <v>239</v>
      </c>
      <c r="E93" s="35" t="s">
        <v>253</v>
      </c>
      <c r="F93" s="35" t="s">
        <v>260</v>
      </c>
      <c r="G93" s="35" t="s">
        <v>255</v>
      </c>
      <c r="H93" s="35" t="s">
        <v>258</v>
      </c>
      <c r="I93" s="35" t="s">
        <v>254</v>
      </c>
      <c r="J93" s="35">
        <v>18.001000000000001</v>
      </c>
      <c r="K93" s="35">
        <v>999999</v>
      </c>
      <c r="L93" s="35">
        <v>-999999</v>
      </c>
      <c r="M93" s="35">
        <v>1000</v>
      </c>
      <c r="N93" s="35">
        <v>-999999</v>
      </c>
      <c r="O93" s="35">
        <v>7</v>
      </c>
      <c r="P93" s="35">
        <v>-999999</v>
      </c>
      <c r="Q93" s="35">
        <v>999.99900000000002</v>
      </c>
      <c r="R93" s="35">
        <v>-999999</v>
      </c>
      <c r="S93" s="35">
        <v>999999</v>
      </c>
      <c r="T93" s="35"/>
    </row>
    <row r="94" spans="4:20" ht="20.100000000000001" customHeight="1" x14ac:dyDescent="0.25">
      <c r="D94" s="35" t="s">
        <v>241</v>
      </c>
      <c r="E94" s="35" t="s">
        <v>261</v>
      </c>
      <c r="F94" s="35" t="s">
        <v>254</v>
      </c>
      <c r="G94" s="35" t="s">
        <v>254</v>
      </c>
      <c r="H94" s="35" t="s">
        <v>254</v>
      </c>
      <c r="I94" s="35" t="s">
        <v>262</v>
      </c>
      <c r="J94" s="35">
        <v>10.000999999999999</v>
      </c>
      <c r="K94" s="35">
        <v>999999</v>
      </c>
      <c r="L94" s="35">
        <v>-999999</v>
      </c>
      <c r="M94" s="35">
        <v>999999</v>
      </c>
      <c r="N94" s="35">
        <v>-999999</v>
      </c>
      <c r="O94" s="35">
        <v>999999</v>
      </c>
      <c r="P94" s="35">
        <v>-999999</v>
      </c>
      <c r="Q94" s="35">
        <v>999999</v>
      </c>
      <c r="R94" s="35">
        <v>1.0009999999999999</v>
      </c>
      <c r="S94" s="35">
        <v>999999</v>
      </c>
      <c r="T94" s="35"/>
    </row>
    <row r="95" spans="4:20" ht="20.100000000000001" customHeight="1" x14ac:dyDescent="0.25">
      <c r="D95" s="35" t="s">
        <v>242</v>
      </c>
      <c r="E95" s="35" t="s">
        <v>261</v>
      </c>
      <c r="F95" s="35" t="s">
        <v>254</v>
      </c>
      <c r="G95" s="35" t="s">
        <v>254</v>
      </c>
      <c r="H95" s="35" t="s">
        <v>254</v>
      </c>
      <c r="I95" s="35" t="s">
        <v>263</v>
      </c>
      <c r="J95" s="35">
        <v>10.000999999999999</v>
      </c>
      <c r="K95" s="35">
        <v>999999</v>
      </c>
      <c r="L95" s="35">
        <v>-999999</v>
      </c>
      <c r="M95" s="35">
        <v>999999</v>
      </c>
      <c r="N95" s="35">
        <v>-999999</v>
      </c>
      <c r="O95" s="35">
        <v>999999</v>
      </c>
      <c r="P95" s="35">
        <v>-999999</v>
      </c>
      <c r="Q95" s="35">
        <v>999999</v>
      </c>
      <c r="R95" s="35">
        <v>-999999</v>
      </c>
      <c r="S95" s="35">
        <v>1</v>
      </c>
      <c r="T95" s="35"/>
    </row>
    <row r="96" spans="4:20" ht="20.100000000000001" customHeight="1" x14ac:dyDescent="0.25">
      <c r="D96" s="35" t="s">
        <v>243</v>
      </c>
      <c r="E96" s="35" t="s">
        <v>264</v>
      </c>
      <c r="F96" s="35" t="s">
        <v>254</v>
      </c>
      <c r="G96" s="35" t="s">
        <v>254</v>
      </c>
      <c r="H96" s="35" t="s">
        <v>254</v>
      </c>
      <c r="I96" s="35" t="s">
        <v>262</v>
      </c>
      <c r="J96" s="35">
        <v>-999999</v>
      </c>
      <c r="K96" s="35">
        <v>10</v>
      </c>
      <c r="L96" s="35">
        <v>-999999</v>
      </c>
      <c r="M96" s="35">
        <v>999999</v>
      </c>
      <c r="N96" s="35">
        <v>-999999</v>
      </c>
      <c r="O96" s="35">
        <v>999999</v>
      </c>
      <c r="P96" s="35">
        <v>-999999</v>
      </c>
      <c r="Q96" s="35">
        <v>999999</v>
      </c>
      <c r="R96" s="35">
        <v>1.0009999999999999</v>
      </c>
      <c r="S96" s="35">
        <v>999999</v>
      </c>
      <c r="T96" s="35"/>
    </row>
    <row r="97" spans="4:20" ht="20.100000000000001" customHeight="1" x14ac:dyDescent="0.25">
      <c r="D97" s="35" t="s">
        <v>244</v>
      </c>
      <c r="E97" s="35" t="s">
        <v>264</v>
      </c>
      <c r="F97" s="35" t="s">
        <v>254</v>
      </c>
      <c r="G97" s="35" t="s">
        <v>254</v>
      </c>
      <c r="H97" s="35" t="s">
        <v>254</v>
      </c>
      <c r="I97" s="35" t="s">
        <v>263</v>
      </c>
      <c r="J97" s="35">
        <v>-999999</v>
      </c>
      <c r="K97" s="35">
        <v>10</v>
      </c>
      <c r="L97" s="35">
        <v>-999999</v>
      </c>
      <c r="M97" s="35">
        <v>999999</v>
      </c>
      <c r="N97" s="35">
        <v>-999999</v>
      </c>
      <c r="O97" s="35">
        <v>999999</v>
      </c>
      <c r="P97" s="35">
        <v>-999999</v>
      </c>
      <c r="Q97" s="35">
        <v>999999</v>
      </c>
      <c r="R97" s="35">
        <v>-999999</v>
      </c>
      <c r="S97" s="35">
        <v>1</v>
      </c>
      <c r="T97" s="35"/>
    </row>
    <row r="98" spans="4:20" ht="20.100000000000001" customHeight="1" x14ac:dyDescent="0.25"/>
    <row r="99" spans="4:20" ht="20.100000000000001" customHeight="1" x14ac:dyDescent="0.25">
      <c r="D99" s="50" t="s">
        <v>265</v>
      </c>
    </row>
    <row r="100" spans="4:20" ht="20.100000000000001" customHeight="1" x14ac:dyDescent="0.25">
      <c r="D100" s="50" t="s">
        <v>266</v>
      </c>
    </row>
    <row r="101" spans="4:20" ht="20.100000000000001" customHeight="1" x14ac:dyDescent="0.25">
      <c r="D101" s="50" t="s">
        <v>267</v>
      </c>
    </row>
    <row r="102" spans="4:20" ht="20.100000000000001" customHeight="1" x14ac:dyDescent="0.25">
      <c r="D102" s="50" t="s">
        <v>268</v>
      </c>
    </row>
    <row r="103" spans="4:20" ht="20.100000000000001" customHeight="1" x14ac:dyDescent="0.25">
      <c r="D103" s="50"/>
    </row>
    <row r="104" spans="4:20" ht="20.100000000000001" customHeight="1" x14ac:dyDescent="0.25"/>
    <row r="105" spans="4:20" ht="20.100000000000001" customHeight="1" x14ac:dyDescent="0.25">
      <c r="D105" s="6" t="s">
        <v>269</v>
      </c>
    </row>
    <row r="106" spans="4:20" ht="20.100000000000001" customHeight="1" x14ac:dyDescent="0.25">
      <c r="D106" s="5" t="s">
        <v>252</v>
      </c>
    </row>
    <row r="107" spans="4:20" ht="20.100000000000001" customHeight="1" x14ac:dyDescent="0.25">
      <c r="D107" s="5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41</v>
      </c>
      <c r="E109" s="35" t="s">
        <v>24</v>
      </c>
      <c r="F109" s="35" t="s">
        <v>42</v>
      </c>
      <c r="G109" s="35" t="s">
        <v>43</v>
      </c>
    </row>
    <row r="110" spans="4:20" ht="20.100000000000001" customHeight="1" x14ac:dyDescent="0.25">
      <c r="D110" s="35" t="s">
        <v>270</v>
      </c>
      <c r="E110" s="35" t="s">
        <v>271</v>
      </c>
      <c r="F110" s="35">
        <v>26</v>
      </c>
      <c r="G110" s="35">
        <v>999999</v>
      </c>
    </row>
    <row r="111" spans="4:20" ht="20.100000000000001" customHeight="1" x14ac:dyDescent="0.25">
      <c r="D111" s="35" t="s">
        <v>272</v>
      </c>
      <c r="E111" s="35" t="s">
        <v>273</v>
      </c>
      <c r="F111" s="35">
        <v>15</v>
      </c>
      <c r="G111" s="35">
        <v>25.998999999999999</v>
      </c>
    </row>
    <row r="112" spans="4:20" ht="20.100000000000001" customHeight="1" x14ac:dyDescent="0.25">
      <c r="D112" s="35" t="s">
        <v>274</v>
      </c>
      <c r="E112" s="35" t="s">
        <v>275</v>
      </c>
      <c r="F112" s="35">
        <v>-999999</v>
      </c>
      <c r="G112" s="35">
        <v>14.999000000000001</v>
      </c>
    </row>
    <row r="113" spans="4:66" ht="20.100000000000001" customHeight="1" x14ac:dyDescent="0.25"/>
    <row r="114" spans="4:66" ht="20.100000000000001" customHeight="1" x14ac:dyDescent="0.25"/>
    <row r="115" spans="4:66" ht="20.100000000000001" customHeight="1" x14ac:dyDescent="0.25">
      <c r="D115" s="6" t="s">
        <v>276</v>
      </c>
      <c r="BN115" s="7"/>
    </row>
    <row r="116" spans="4:66" ht="20.100000000000001" customHeight="1" x14ac:dyDescent="0.25">
      <c r="D116" s="5" t="s">
        <v>252</v>
      </c>
      <c r="BN116" s="7"/>
    </row>
    <row r="117" spans="4:66" ht="20.100000000000001" customHeight="1" x14ac:dyDescent="0.25">
      <c r="D117" s="51"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44</v>
      </c>
      <c r="E119" s="35" t="s">
        <v>45</v>
      </c>
      <c r="F119" s="35" t="s">
        <v>31</v>
      </c>
      <c r="G119" s="35" t="s">
        <v>32</v>
      </c>
      <c r="BN119" s="7"/>
    </row>
    <row r="120" spans="4:66" ht="20.100000000000001" customHeight="1" x14ac:dyDescent="0.25">
      <c r="D120" s="35" t="s">
        <v>277</v>
      </c>
      <c r="E120" s="35" t="s">
        <v>278</v>
      </c>
      <c r="F120" s="35">
        <v>600.00099999999998</v>
      </c>
      <c r="G120" s="35">
        <v>999999</v>
      </c>
      <c r="BN120" s="7"/>
    </row>
    <row r="121" spans="4:66" ht="20.100000000000001" customHeight="1" x14ac:dyDescent="0.25">
      <c r="D121" s="35" t="s">
        <v>279</v>
      </c>
      <c r="E121" s="35" t="s">
        <v>280</v>
      </c>
      <c r="F121" s="35">
        <v>-999999</v>
      </c>
      <c r="G121" s="35">
        <v>600</v>
      </c>
      <c r="BN121" s="7"/>
    </row>
    <row r="122" spans="4:66" ht="20.100000000000001" customHeight="1" x14ac:dyDescent="0.25">
      <c r="BN122" s="7"/>
    </row>
    <row r="123" spans="4:66" ht="20.100000000000001" customHeight="1" x14ac:dyDescent="0.25"/>
    <row r="124" spans="4:66" ht="20.100000000000001" customHeight="1" x14ac:dyDescent="0.25">
      <c r="D124" s="6" t="s">
        <v>281</v>
      </c>
    </row>
    <row r="125" spans="4:66" ht="20.100000000000001" customHeight="1" x14ac:dyDescent="0.25">
      <c r="D125" s="5" t="s">
        <v>252</v>
      </c>
    </row>
    <row r="126" spans="4:66" ht="20.100000000000001" customHeight="1" x14ac:dyDescent="0.25"/>
    <row r="127" spans="4:66" ht="20.100000000000001" customHeight="1" x14ac:dyDescent="0.25">
      <c r="D127" s="35" t="s">
        <v>46</v>
      </c>
      <c r="E127" s="35" t="s">
        <v>47</v>
      </c>
    </row>
    <row r="128" spans="4:66" ht="20.100000000000001" customHeight="1" x14ac:dyDescent="0.25">
      <c r="D128" s="35" t="s">
        <v>282</v>
      </c>
      <c r="E128" s="35" t="s">
        <v>283</v>
      </c>
    </row>
    <row r="129" spans="4:77" ht="20.100000000000001" customHeight="1" x14ac:dyDescent="0.25">
      <c r="D129" s="35" t="s">
        <v>284</v>
      </c>
      <c r="E129" s="35" t="s">
        <v>285</v>
      </c>
    </row>
    <row r="130" spans="4:77" ht="20.100000000000001" customHeight="1" x14ac:dyDescent="0.25"/>
    <row r="131" spans="4:77" ht="20.100000000000001" customHeight="1" x14ac:dyDescent="0.25"/>
    <row r="132" spans="4:77" ht="20.100000000000001" customHeight="1" x14ac:dyDescent="0.25">
      <c r="D132" s="6" t="s">
        <v>286</v>
      </c>
      <c r="E132" s="22"/>
    </row>
    <row r="133" spans="4:77" ht="20.100000000000001" customHeight="1" x14ac:dyDescent="0.25">
      <c r="D133" s="5" t="s">
        <v>287</v>
      </c>
      <c r="E133" s="22"/>
    </row>
    <row r="134" spans="4:77" ht="20.100000000000001" customHeight="1" x14ac:dyDescent="0.25">
      <c r="D134" t="s">
        <v>60</v>
      </c>
      <c r="E134" t="s">
        <v>61</v>
      </c>
    </row>
    <row r="135" spans="4:77" ht="20.100000000000001" customHeight="1" x14ac:dyDescent="0.25">
      <c r="D135" t="s">
        <v>288</v>
      </c>
      <c r="E135">
        <v>1</v>
      </c>
    </row>
    <row r="136" spans="4:77" ht="20.100000000000001" customHeight="1" x14ac:dyDescent="0.25">
      <c r="D136" s="1" t="s">
        <v>289</v>
      </c>
      <c r="E136" s="35">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290</v>
      </c>
      <c r="BN139" s="7"/>
      <c r="BO139" s="7"/>
      <c r="BP139" s="7"/>
      <c r="BQ139" s="7"/>
      <c r="BR139" s="7"/>
      <c r="BS139" s="7"/>
      <c r="BT139" s="7"/>
      <c r="BU139" s="7"/>
      <c r="BV139" s="7"/>
      <c r="BW139" s="7"/>
      <c r="BX139" s="7"/>
      <c r="BY139" s="7"/>
    </row>
    <row r="140" spans="4:77" ht="20.100000000000001" customHeight="1" x14ac:dyDescent="0.25">
      <c r="D140" s="5" t="s">
        <v>291</v>
      </c>
      <c r="BN140" s="7"/>
      <c r="BO140" s="7"/>
      <c r="BP140" s="7"/>
      <c r="BQ140" s="7"/>
      <c r="BR140" s="7"/>
      <c r="BS140" s="7"/>
      <c r="BT140" s="7"/>
      <c r="BU140" s="7"/>
      <c r="BV140" s="7"/>
      <c r="BW140" s="7"/>
      <c r="BX140" s="7"/>
      <c r="BY140" s="7"/>
    </row>
    <row r="141" spans="4:77" ht="20.100000000000001" customHeight="1" x14ac:dyDescent="0.25">
      <c r="D141" s="51" t="s">
        <v>292</v>
      </c>
      <c r="BN141" s="7"/>
    </row>
    <row r="142" spans="4:77" ht="20.100000000000001" customHeight="1" x14ac:dyDescent="0.25">
      <c r="D142" s="35" t="s">
        <v>75</v>
      </c>
      <c r="E142" s="35" t="s">
        <v>61</v>
      </c>
      <c r="BN142" s="7"/>
    </row>
    <row r="143" spans="4:77" ht="20.100000000000001" customHeight="1" x14ac:dyDescent="0.25">
      <c r="D143" s="35" t="s">
        <v>293</v>
      </c>
      <c r="E143" s="35">
        <v>0</v>
      </c>
      <c r="BN143" s="7"/>
    </row>
    <row r="144" spans="4:77" ht="20.100000000000001" customHeight="1" x14ac:dyDescent="0.25">
      <c r="D144" s="1" t="s">
        <v>294</v>
      </c>
      <c r="E144" s="35">
        <v>0</v>
      </c>
      <c r="BN144" s="7"/>
    </row>
    <row r="145" spans="4:66" ht="20.100000000000001" customHeight="1" x14ac:dyDescent="0.25">
      <c r="D145" s="1" t="s">
        <v>295</v>
      </c>
      <c r="E145" s="35">
        <v>1</v>
      </c>
      <c r="BN145" s="7"/>
    </row>
    <row r="146" spans="4:66" ht="20.100000000000001" customHeight="1" x14ac:dyDescent="0.25">
      <c r="D146" s="1" t="s">
        <v>296</v>
      </c>
      <c r="E146" s="35">
        <v>1</v>
      </c>
      <c r="BN146" s="7"/>
    </row>
    <row r="147" spans="4:66" ht="20.100000000000001" customHeight="1" x14ac:dyDescent="0.25">
      <c r="D147" s="1" t="s">
        <v>297</v>
      </c>
      <c r="E147" s="35">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298</v>
      </c>
      <c r="BN150" s="7"/>
    </row>
    <row r="151" spans="4:66" ht="20.100000000000001" customHeight="1" x14ac:dyDescent="0.25">
      <c r="D151" s="5" t="s">
        <v>299</v>
      </c>
      <c r="BN151" s="7"/>
    </row>
    <row r="152" spans="4:66" ht="20.100000000000001" customHeight="1" x14ac:dyDescent="0.25">
      <c r="BN152" s="7"/>
    </row>
    <row r="153" spans="4:66" ht="20.100000000000001" customHeight="1" x14ac:dyDescent="0.25">
      <c r="D153" s="35" t="s">
        <v>48</v>
      </c>
      <c r="E153" s="35" t="s">
        <v>49</v>
      </c>
      <c r="BC153" s="3"/>
      <c r="BD153" s="3"/>
      <c r="BE153" s="3"/>
      <c r="BF153" s="3"/>
      <c r="BG153" s="3"/>
      <c r="BH153" s="3"/>
      <c r="BI153" s="3"/>
      <c r="BJ153" s="3"/>
      <c r="BK153" s="3"/>
      <c r="BL153" s="3"/>
      <c r="BM153" s="3"/>
    </row>
    <row r="154" spans="4:66" ht="20.100000000000001" customHeight="1" x14ac:dyDescent="0.25">
      <c r="D154" s="35" t="s">
        <v>300</v>
      </c>
      <c r="E154" s="35">
        <v>1</v>
      </c>
      <c r="BC154" s="3"/>
      <c r="BD154" s="3"/>
      <c r="BE154" s="3"/>
      <c r="BF154" s="3"/>
      <c r="BG154" s="3"/>
      <c r="BH154" s="3"/>
      <c r="BI154" s="3"/>
      <c r="BJ154" s="3"/>
      <c r="BK154" s="3"/>
      <c r="BL154" s="3"/>
      <c r="BM154" s="3"/>
    </row>
    <row r="155" spans="4:66" ht="20.100000000000001" customHeight="1" x14ac:dyDescent="0.25">
      <c r="D155" s="35" t="s">
        <v>301</v>
      </c>
      <c r="E155" s="35">
        <v>2</v>
      </c>
      <c r="BC155" s="3"/>
      <c r="BD155" s="3"/>
      <c r="BE155" s="3"/>
      <c r="BF155" s="3"/>
      <c r="BG155" s="3"/>
      <c r="BH155" s="3"/>
      <c r="BI155" s="3"/>
      <c r="BJ155" s="3"/>
      <c r="BK155" s="3"/>
      <c r="BL155" s="3"/>
      <c r="BM155" s="3"/>
    </row>
    <row r="156" spans="4:66" ht="20.100000000000001" customHeight="1" x14ac:dyDescent="0.25">
      <c r="D156" s="35" t="s">
        <v>302</v>
      </c>
      <c r="E156" s="35">
        <v>3</v>
      </c>
    </row>
    <row r="157" spans="4:66" ht="20.100000000000001" customHeight="1" x14ac:dyDescent="0.25">
      <c r="D157" s="35" t="s">
        <v>303</v>
      </c>
      <c r="E157" s="35">
        <v>4</v>
      </c>
    </row>
    <row r="158" spans="4:66" ht="20.100000000000001" customHeight="1" x14ac:dyDescent="0.25">
      <c r="D158" s="35" t="s">
        <v>304</v>
      </c>
      <c r="E158" s="35">
        <v>5</v>
      </c>
    </row>
    <row r="159" spans="4:66" ht="20.100000000000001" customHeight="1" x14ac:dyDescent="0.25"/>
    <row r="160" spans="4:66" ht="20.100000000000001" customHeight="1" x14ac:dyDescent="0.25"/>
    <row r="161" spans="4:68" ht="20.100000000000001" customHeight="1" x14ac:dyDescent="0.25">
      <c r="D161" s="6" t="s">
        <v>286</v>
      </c>
      <c r="E161" s="22"/>
    </row>
    <row r="162" spans="4:68" ht="20.100000000000001" customHeight="1" x14ac:dyDescent="0.25">
      <c r="D162" s="5" t="s">
        <v>287</v>
      </c>
      <c r="E162" s="22"/>
    </row>
    <row r="163" spans="4:68" ht="20.100000000000001" customHeight="1" x14ac:dyDescent="0.25">
      <c r="D163" s="5" t="s">
        <v>305</v>
      </c>
      <c r="E163" s="22"/>
    </row>
    <row r="164" spans="4:68" ht="20.100000000000001" customHeight="1" x14ac:dyDescent="0.25">
      <c r="D164" s="22" t="s">
        <v>306</v>
      </c>
      <c r="E164" s="22"/>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307</v>
      </c>
      <c r="BN167" s="7"/>
      <c r="BO167" s="7"/>
      <c r="BP167" s="7"/>
    </row>
    <row r="168" spans="4:68" ht="20.100000000000001" customHeight="1" x14ac:dyDescent="0.25">
      <c r="D168" s="5" t="s">
        <v>287</v>
      </c>
      <c r="BN168" s="7"/>
      <c r="BO168" s="7"/>
      <c r="BP168" s="7"/>
    </row>
    <row r="169" spans="4:68" ht="20.100000000000001" customHeight="1" x14ac:dyDescent="0.25">
      <c r="D169" s="5" t="s">
        <v>308</v>
      </c>
      <c r="BN169" s="7"/>
      <c r="BO169" s="7"/>
      <c r="BP169" s="7"/>
    </row>
    <row r="170" spans="4:68" ht="20.100000000000001" customHeight="1" x14ac:dyDescent="0.25">
      <c r="D170" s="1" t="s">
        <v>309</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310</v>
      </c>
      <c r="BN173" s="7"/>
      <c r="BO173" s="7"/>
      <c r="BP173" s="7"/>
    </row>
    <row r="174" spans="4:68" ht="20.100000000000001" customHeight="1" x14ac:dyDescent="0.25">
      <c r="D174" s="5" t="s">
        <v>311</v>
      </c>
      <c r="BN174" s="7"/>
      <c r="BO174" s="7"/>
      <c r="BP174" s="7"/>
    </row>
    <row r="175" spans="4:68" ht="20.100000000000001" customHeight="1" x14ac:dyDescent="0.25">
      <c r="D175" s="1">
        <v>0.6784</v>
      </c>
      <c r="E175" s="50" t="s">
        <v>312</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313</v>
      </c>
      <c r="BN178" s="7"/>
      <c r="BO178" s="7"/>
      <c r="BP178" s="7"/>
    </row>
    <row r="179" spans="4:68" ht="20.100000000000001" customHeight="1" x14ac:dyDescent="0.25">
      <c r="D179" s="5" t="s">
        <v>314</v>
      </c>
      <c r="BN179" s="7"/>
      <c r="BO179" s="7"/>
      <c r="BP179" s="7"/>
    </row>
    <row r="180" spans="4:68" ht="20.100000000000001" customHeight="1" x14ac:dyDescent="0.25">
      <c r="D180" s="50" t="s">
        <v>315</v>
      </c>
    </row>
    <row r="181" spans="4:68" ht="20.100000000000001" customHeight="1" x14ac:dyDescent="0.25">
      <c r="D181" s="51" t="s">
        <v>316</v>
      </c>
    </row>
    <row r="182" spans="4:68" ht="20.100000000000001" customHeight="1" x14ac:dyDescent="0.25">
      <c r="D182" s="51" t="s">
        <v>317</v>
      </c>
    </row>
    <row r="183" spans="4:68" ht="20.100000000000001" customHeight="1" x14ac:dyDescent="0.25">
      <c r="D183" s="51" t="s">
        <v>318</v>
      </c>
    </row>
    <row r="184" spans="4:68" ht="20.100000000000001" customHeight="1" x14ac:dyDescent="0.25">
      <c r="D184" s="51" t="s">
        <v>319</v>
      </c>
    </row>
    <row r="185" spans="4:68" ht="20.100000000000001" customHeight="1" x14ac:dyDescent="0.25">
      <c r="D185" s="51" t="s">
        <v>320</v>
      </c>
    </row>
    <row r="186" spans="4:68" ht="20.100000000000001" customHeight="1" x14ac:dyDescent="0.25">
      <c r="D186" s="35" t="s">
        <v>68</v>
      </c>
      <c r="E186" s="35" t="s">
        <v>69</v>
      </c>
      <c r="F186" s="35" t="s">
        <v>70</v>
      </c>
      <c r="G186" s="35" t="s">
        <v>71</v>
      </c>
      <c r="H186" s="35" t="s">
        <v>23</v>
      </c>
    </row>
    <row r="187" spans="4:68" ht="20.100000000000001" customHeight="1" x14ac:dyDescent="0.25">
      <c r="D187" s="35" t="s">
        <v>321</v>
      </c>
      <c r="E187" s="35">
        <v>5.8999999999999999E-3</v>
      </c>
      <c r="F187" s="35" t="s">
        <v>322</v>
      </c>
      <c r="G187" s="35" t="s">
        <v>254</v>
      </c>
      <c r="H187" s="35" t="s">
        <v>254</v>
      </c>
    </row>
    <row r="188" spans="4:68" ht="20.100000000000001" customHeight="1" x14ac:dyDescent="0.25">
      <c r="D188" s="35" t="s">
        <v>323</v>
      </c>
      <c r="E188" s="35">
        <v>7.0000000000000001E-3</v>
      </c>
      <c r="F188" s="35" t="s">
        <v>324</v>
      </c>
      <c r="G188" s="35" t="s">
        <v>254</v>
      </c>
      <c r="H188" s="35" t="s">
        <v>254</v>
      </c>
    </row>
    <row r="189" spans="4:68" ht="20.100000000000001" customHeight="1" x14ac:dyDescent="0.25">
      <c r="D189" s="35" t="s">
        <v>325</v>
      </c>
      <c r="E189" s="35">
        <v>1.8E-3</v>
      </c>
      <c r="F189" s="35" t="s">
        <v>322</v>
      </c>
      <c r="G189" s="35" t="s">
        <v>293</v>
      </c>
      <c r="H189" s="35" t="s">
        <v>279</v>
      </c>
    </row>
    <row r="190" spans="4:68" ht="20.100000000000001" customHeight="1" x14ac:dyDescent="0.25">
      <c r="D190" s="35" t="s">
        <v>325</v>
      </c>
      <c r="E190" s="35">
        <v>1.8E-3</v>
      </c>
      <c r="F190" s="35" t="s">
        <v>322</v>
      </c>
      <c r="G190" s="35" t="s">
        <v>293</v>
      </c>
      <c r="H190" s="35" t="s">
        <v>277</v>
      </c>
    </row>
    <row r="191" spans="4:68" ht="20.100000000000001" customHeight="1" x14ac:dyDescent="0.25">
      <c r="D191" s="35" t="s">
        <v>326</v>
      </c>
      <c r="E191" s="35">
        <v>2.8999999999999998E-3</v>
      </c>
      <c r="F191" s="35" t="s">
        <v>324</v>
      </c>
      <c r="G191" s="35" t="s">
        <v>293</v>
      </c>
      <c r="H191" s="35" t="s">
        <v>279</v>
      </c>
    </row>
    <row r="192" spans="4:68" ht="20.100000000000001" customHeight="1" x14ac:dyDescent="0.25">
      <c r="D192" s="35" t="s">
        <v>327</v>
      </c>
      <c r="E192" s="35">
        <v>8.0000000000000002E-3</v>
      </c>
      <c r="F192" s="35" t="s">
        <v>324</v>
      </c>
      <c r="G192" s="35" t="s">
        <v>293</v>
      </c>
      <c r="H192" s="35" t="s">
        <v>277</v>
      </c>
    </row>
    <row r="193" spans="4:8" ht="20.100000000000001" customHeight="1" x14ac:dyDescent="0.25">
      <c r="D193" s="35" t="s">
        <v>328</v>
      </c>
      <c r="E193" s="35">
        <v>1.9900000000000001E-2</v>
      </c>
      <c r="F193" s="35" t="s">
        <v>328</v>
      </c>
      <c r="G193" s="35" t="s">
        <v>254</v>
      </c>
      <c r="H193" s="35" t="s">
        <v>254</v>
      </c>
    </row>
    <row r="194" spans="4:8" ht="20.100000000000001" customHeight="1" x14ac:dyDescent="0.25">
      <c r="D194" s="35" t="s">
        <v>329</v>
      </c>
      <c r="E194" s="35">
        <v>5.3E-3</v>
      </c>
      <c r="F194" s="35" t="s">
        <v>329</v>
      </c>
      <c r="G194" s="35" t="s">
        <v>254</v>
      </c>
      <c r="H194" s="35" t="s">
        <v>254</v>
      </c>
    </row>
    <row r="195" spans="4:8" ht="20.100000000000001" customHeight="1" x14ac:dyDescent="0.25">
      <c r="D195" s="35" t="s">
        <v>330</v>
      </c>
      <c r="E195" s="35">
        <v>6.4000000000000003E-3</v>
      </c>
      <c r="F195" s="35" t="s">
        <v>330</v>
      </c>
      <c r="G195" s="35" t="s">
        <v>254</v>
      </c>
      <c r="H195" s="35" t="s">
        <v>254</v>
      </c>
    </row>
    <row r="196" spans="4:8" ht="20.100000000000001" customHeight="1" x14ac:dyDescent="0.25">
      <c r="D196" s="35" t="s">
        <v>331</v>
      </c>
      <c r="E196" s="35">
        <v>3.0000000000000001E-3</v>
      </c>
      <c r="F196" s="35" t="s">
        <v>332</v>
      </c>
      <c r="G196" s="35" t="s">
        <v>333</v>
      </c>
      <c r="H196" s="35" t="s">
        <v>254</v>
      </c>
    </row>
    <row r="197" spans="4:8" x14ac:dyDescent="0.25">
      <c r="D197" s="35" t="s">
        <v>334</v>
      </c>
      <c r="E197" s="35">
        <v>5.0000000000000001E-3</v>
      </c>
      <c r="F197" s="35" t="s">
        <v>332</v>
      </c>
      <c r="G197" s="35" t="s">
        <v>335</v>
      </c>
      <c r="H197" s="35" t="s">
        <v>254</v>
      </c>
    </row>
    <row r="198" spans="4:8" x14ac:dyDescent="0.25">
      <c r="D198" s="35" t="s">
        <v>336</v>
      </c>
      <c r="E198" s="35">
        <v>2.5999999999999999E-3</v>
      </c>
      <c r="F198" s="35" t="s">
        <v>336</v>
      </c>
      <c r="G198" s="35" t="s">
        <v>254</v>
      </c>
      <c r="H198" s="35" t="s">
        <v>254</v>
      </c>
    </row>
    <row r="199" spans="4:8" x14ac:dyDescent="0.25">
      <c r="D199" s="35" t="s">
        <v>337</v>
      </c>
      <c r="E199" s="35">
        <v>1.8E-3</v>
      </c>
      <c r="F199" s="35" t="s">
        <v>337</v>
      </c>
      <c r="G199" s="35" t="s">
        <v>254</v>
      </c>
      <c r="H199" s="35" t="s">
        <v>254</v>
      </c>
    </row>
    <row r="202" spans="4:8" ht="23.25" x14ac:dyDescent="0.25">
      <c r="D202" s="6" t="s">
        <v>338</v>
      </c>
    </row>
    <row r="203" spans="4:8" x14ac:dyDescent="0.25">
      <c r="D203" s="5" t="s">
        <v>339</v>
      </c>
    </row>
    <row r="204" spans="4:8" x14ac:dyDescent="0.25">
      <c r="D204" s="51" t="s">
        <v>340</v>
      </c>
    </row>
    <row r="205" spans="4:8" x14ac:dyDescent="0.25">
      <c r="D205" s="50" t="s">
        <v>341</v>
      </c>
    </row>
    <row r="206" spans="4:8" x14ac:dyDescent="0.25">
      <c r="D206" s="35" t="s">
        <v>8</v>
      </c>
      <c r="E206" s="35" t="s">
        <v>76</v>
      </c>
    </row>
    <row r="207" spans="4:8" x14ac:dyDescent="0.25">
      <c r="D207" s="35" t="s">
        <v>236</v>
      </c>
      <c r="E207" s="35">
        <v>6.0000000000000001E-3</v>
      </c>
    </row>
    <row r="208" spans="4:8" x14ac:dyDescent="0.25">
      <c r="D208" s="1" t="s">
        <v>240</v>
      </c>
      <c r="E208" s="35">
        <v>2E-3</v>
      </c>
    </row>
    <row r="211" spans="4:5" x14ac:dyDescent="0.25">
      <c r="D211" s="1" t="s">
        <v>342</v>
      </c>
    </row>
    <row r="212" spans="4:5" x14ac:dyDescent="0.25">
      <c r="D212" s="35" t="s">
        <v>77</v>
      </c>
      <c r="E212" s="35" t="s">
        <v>78</v>
      </c>
    </row>
    <row r="213" spans="4:5" x14ac:dyDescent="0.25">
      <c r="D213" s="35" t="s">
        <v>343</v>
      </c>
      <c r="E213" s="35" t="s">
        <v>344</v>
      </c>
    </row>
    <row r="214" spans="4:5" x14ac:dyDescent="0.25">
      <c r="D214" s="1" t="s">
        <v>345</v>
      </c>
      <c r="E214" s="35" t="s">
        <v>344</v>
      </c>
    </row>
    <row r="215" spans="4:5" x14ac:dyDescent="0.25">
      <c r="D215" s="1" t="s">
        <v>346</v>
      </c>
      <c r="E215" s="35" t="s">
        <v>347</v>
      </c>
    </row>
    <row r="216" spans="4:5" x14ac:dyDescent="0.25">
      <c r="D216" s="1" t="s">
        <v>348</v>
      </c>
      <c r="E216" s="35" t="s">
        <v>347</v>
      </c>
    </row>
    <row r="217" spans="4:5" x14ac:dyDescent="0.25">
      <c r="D217" s="1" t="s">
        <v>349</v>
      </c>
      <c r="E217" s="35" t="s">
        <v>347</v>
      </c>
    </row>
    <row r="218" spans="4:5" x14ac:dyDescent="0.25">
      <c r="D218" s="1" t="s">
        <v>350</v>
      </c>
      <c r="E218" s="35" t="s">
        <v>351</v>
      </c>
    </row>
    <row r="219" spans="4:5" x14ac:dyDescent="0.25">
      <c r="D219" s="1" t="s">
        <v>352</v>
      </c>
      <c r="E219" s="35" t="s">
        <v>351</v>
      </c>
    </row>
    <row r="220" spans="4:5" x14ac:dyDescent="0.25">
      <c r="D220" s="1" t="s">
        <v>353</v>
      </c>
      <c r="E220" s="35" t="s">
        <v>351</v>
      </c>
    </row>
    <row r="221" spans="4:5" x14ac:dyDescent="0.25">
      <c r="D221" s="1" t="s">
        <v>354</v>
      </c>
      <c r="E221" s="35" t="s">
        <v>355</v>
      </c>
    </row>
    <row r="222" spans="4:5" x14ac:dyDescent="0.25">
      <c r="D222" s="1" t="s">
        <v>356</v>
      </c>
      <c r="E222" s="35" t="s">
        <v>355</v>
      </c>
    </row>
    <row r="223" spans="4:5" x14ac:dyDescent="0.25">
      <c r="D223" s="1" t="s">
        <v>357</v>
      </c>
      <c r="E223" s="35" t="s">
        <v>355</v>
      </c>
    </row>
    <row r="224" spans="4:5" x14ac:dyDescent="0.25">
      <c r="D224" s="1" t="s">
        <v>358</v>
      </c>
      <c r="E224" s="35" t="s">
        <v>344</v>
      </c>
    </row>
    <row r="227" spans="4:19" ht="23.25" x14ac:dyDescent="0.25">
      <c r="D227" s="6" t="s">
        <v>359</v>
      </c>
    </row>
    <row r="228" spans="4:19" x14ac:dyDescent="0.25">
      <c r="D228" s="5" t="s">
        <v>360</v>
      </c>
    </row>
    <row r="229" spans="4:19" x14ac:dyDescent="0.25">
      <c r="D229" s="51" t="s">
        <v>361</v>
      </c>
    </row>
    <row r="231" spans="4:19" x14ac:dyDescent="0.25">
      <c r="D231" s="35" t="s">
        <v>40</v>
      </c>
      <c r="E231" s="35" t="s">
        <v>86</v>
      </c>
      <c r="F231" s="34" t="s">
        <v>87</v>
      </c>
      <c r="G231" s="35" t="s">
        <v>88</v>
      </c>
      <c r="H231" s="35" t="s">
        <v>89</v>
      </c>
      <c r="I231" s="35" t="s">
        <v>90</v>
      </c>
      <c r="J231" s="35" t="s">
        <v>91</v>
      </c>
      <c r="K231" s="35" t="s">
        <v>92</v>
      </c>
      <c r="L231" s="35" t="s">
        <v>93</v>
      </c>
      <c r="M231" s="35" t="s">
        <v>94</v>
      </c>
      <c r="N231" s="35" t="s">
        <v>95</v>
      </c>
      <c r="O231" s="35" t="s">
        <v>96</v>
      </c>
      <c r="P231" s="35" t="s">
        <v>97</v>
      </c>
      <c r="Q231" s="35" t="s">
        <v>85</v>
      </c>
      <c r="R231" s="35" t="s">
        <v>98</v>
      </c>
      <c r="S231" s="35" t="s">
        <v>99</v>
      </c>
    </row>
    <row r="232" spans="4:19" x14ac:dyDescent="0.25">
      <c r="D232" s="35" t="s">
        <v>274</v>
      </c>
      <c r="E232" s="35" t="s">
        <v>362</v>
      </c>
      <c r="F232" s="35">
        <v>0.66</v>
      </c>
      <c r="G232" s="35">
        <v>0.1</v>
      </c>
      <c r="H232" s="35">
        <v>0.1</v>
      </c>
      <c r="I232" s="35">
        <v>1E-3</v>
      </c>
      <c r="J232" s="35">
        <v>5.0000000000000001E-3</v>
      </c>
      <c r="K232" s="35">
        <v>0.02</v>
      </c>
      <c r="L232" s="35">
        <v>0.03</v>
      </c>
      <c r="M232" s="35">
        <v>0.04</v>
      </c>
      <c r="N232" s="35">
        <v>1.4999999999999999E-2</v>
      </c>
      <c r="O232" s="35">
        <v>1.4999999999999999E-2</v>
      </c>
      <c r="P232" s="35">
        <v>0</v>
      </c>
      <c r="Q232" s="35">
        <v>0</v>
      </c>
      <c r="R232" s="35">
        <v>4.7000000000000002E-3</v>
      </c>
      <c r="S232" s="35">
        <v>10</v>
      </c>
    </row>
    <row r="233" spans="4:19" x14ac:dyDescent="0.25">
      <c r="D233" s="1" t="s">
        <v>274</v>
      </c>
      <c r="E233" s="35">
        <v>11</v>
      </c>
      <c r="F233" s="35">
        <v>0.68</v>
      </c>
      <c r="G233" s="35">
        <v>0.1</v>
      </c>
      <c r="H233" s="35">
        <v>0.11</v>
      </c>
      <c r="I233" s="35">
        <v>1E-3</v>
      </c>
      <c r="J233" s="35">
        <v>5.0000000000000001E-3</v>
      </c>
      <c r="K233" s="35">
        <v>0.02</v>
      </c>
      <c r="L233" s="35">
        <v>0.03</v>
      </c>
      <c r="M233" s="35">
        <v>0.04</v>
      </c>
      <c r="N233" s="35">
        <v>1.4999999999999999E-2</v>
      </c>
      <c r="O233" s="35">
        <v>1.4999999999999999E-2</v>
      </c>
      <c r="P233" s="35">
        <v>0</v>
      </c>
      <c r="Q233" s="35">
        <v>0</v>
      </c>
      <c r="R233" s="35">
        <v>4.7000000000000002E-3</v>
      </c>
      <c r="S233" s="35">
        <v>11</v>
      </c>
    </row>
    <row r="234" spans="4:19" x14ac:dyDescent="0.25">
      <c r="D234" s="1" t="s">
        <v>274</v>
      </c>
      <c r="E234" s="35">
        <v>12</v>
      </c>
      <c r="F234" s="35">
        <v>0.7</v>
      </c>
      <c r="G234" s="35">
        <v>0.1</v>
      </c>
      <c r="H234" s="35">
        <v>0.13</v>
      </c>
      <c r="I234" s="35">
        <v>1E-3</v>
      </c>
      <c r="J234" s="35">
        <v>5.0000000000000001E-3</v>
      </c>
      <c r="K234" s="35">
        <v>0.02</v>
      </c>
      <c r="L234" s="35">
        <v>0.03</v>
      </c>
      <c r="M234" s="35">
        <v>0.04</v>
      </c>
      <c r="N234" s="35">
        <v>1.4999999999999999E-2</v>
      </c>
      <c r="O234" s="35">
        <v>1.4999999999999999E-2</v>
      </c>
      <c r="P234" s="35">
        <v>0</v>
      </c>
      <c r="Q234" s="35">
        <v>0</v>
      </c>
      <c r="R234" s="35">
        <v>4.7000000000000002E-3</v>
      </c>
      <c r="S234" s="35">
        <v>12</v>
      </c>
    </row>
    <row r="235" spans="4:19" x14ac:dyDescent="0.25">
      <c r="D235" s="1" t="s">
        <v>274</v>
      </c>
      <c r="E235" s="35">
        <v>13</v>
      </c>
      <c r="F235" s="35">
        <v>0.71</v>
      </c>
      <c r="G235" s="35">
        <v>0.1</v>
      </c>
      <c r="H235" s="35">
        <v>0.14000000000000001</v>
      </c>
      <c r="I235" s="35">
        <v>1E-3</v>
      </c>
      <c r="J235" s="35">
        <v>5.0000000000000001E-3</v>
      </c>
      <c r="K235" s="35">
        <v>0.02</v>
      </c>
      <c r="L235" s="35">
        <v>0.03</v>
      </c>
      <c r="M235" s="35">
        <v>0.04</v>
      </c>
      <c r="N235" s="35">
        <v>1.4999999999999999E-2</v>
      </c>
      <c r="O235" s="35">
        <v>1.4999999999999999E-2</v>
      </c>
      <c r="P235" s="35">
        <v>0</v>
      </c>
      <c r="Q235" s="35">
        <v>0</v>
      </c>
      <c r="R235" s="35">
        <v>4.7000000000000002E-3</v>
      </c>
      <c r="S235" s="35">
        <v>13</v>
      </c>
    </row>
    <row r="236" spans="4:19" x14ac:dyDescent="0.25">
      <c r="D236" s="1" t="s">
        <v>274</v>
      </c>
      <c r="E236" s="35">
        <v>14</v>
      </c>
      <c r="F236" s="35">
        <v>0.73</v>
      </c>
      <c r="G236" s="35">
        <v>0.1</v>
      </c>
      <c r="H236" s="35">
        <v>0.15</v>
      </c>
      <c r="I236" s="35">
        <v>1E-3</v>
      </c>
      <c r="J236" s="35">
        <v>5.0000000000000001E-3</v>
      </c>
      <c r="K236" s="35">
        <v>0.02</v>
      </c>
      <c r="L236" s="35">
        <v>0.03</v>
      </c>
      <c r="M236" s="35">
        <v>0.04</v>
      </c>
      <c r="N236" s="35">
        <v>1.4999999999999999E-2</v>
      </c>
      <c r="O236" s="35">
        <v>1.4999999999999999E-2</v>
      </c>
      <c r="P236" s="35">
        <v>0</v>
      </c>
      <c r="Q236" s="35">
        <v>0</v>
      </c>
      <c r="R236" s="35">
        <v>4.7000000000000002E-3</v>
      </c>
      <c r="S236" s="35">
        <v>14</v>
      </c>
    </row>
    <row r="237" spans="4:19" x14ac:dyDescent="0.25">
      <c r="D237" s="1" t="s">
        <v>272</v>
      </c>
      <c r="E237" s="35">
        <v>15</v>
      </c>
      <c r="F237" s="35">
        <v>0.74</v>
      </c>
      <c r="G237" s="35">
        <v>0.1</v>
      </c>
      <c r="H237" s="35">
        <v>0.17</v>
      </c>
      <c r="I237" s="35">
        <v>5.0000000000000001E-3</v>
      </c>
      <c r="J237" s="35">
        <v>0.01</v>
      </c>
      <c r="K237" s="35">
        <v>0.02</v>
      </c>
      <c r="L237" s="35">
        <v>0.03</v>
      </c>
      <c r="M237" s="35">
        <v>0.04</v>
      </c>
      <c r="N237" s="35">
        <v>1.4999999999999999E-2</v>
      </c>
      <c r="O237" s="35">
        <v>1.4999999999999999E-2</v>
      </c>
      <c r="P237" s="35">
        <v>0</v>
      </c>
      <c r="Q237" s="35">
        <v>0</v>
      </c>
      <c r="R237" s="35">
        <v>4.7000000000000002E-3</v>
      </c>
      <c r="S237" s="35">
        <v>15</v>
      </c>
    </row>
    <row r="238" spans="4:19" x14ac:dyDescent="0.25">
      <c r="D238" s="1" t="s">
        <v>272</v>
      </c>
      <c r="E238" s="35">
        <v>16</v>
      </c>
      <c r="F238" s="35">
        <v>0.75</v>
      </c>
      <c r="G238" s="35">
        <v>0.1</v>
      </c>
      <c r="H238" s="35">
        <v>0.18</v>
      </c>
      <c r="I238" s="35">
        <v>5.0000000000000001E-3</v>
      </c>
      <c r="J238" s="35">
        <v>0.01</v>
      </c>
      <c r="K238" s="35">
        <v>0.02</v>
      </c>
      <c r="L238" s="35">
        <v>0.03</v>
      </c>
      <c r="M238" s="35">
        <v>0.04</v>
      </c>
      <c r="N238" s="35">
        <v>1.4999999999999999E-2</v>
      </c>
      <c r="O238" s="35">
        <v>1.4999999999999999E-2</v>
      </c>
      <c r="P238" s="35">
        <v>0</v>
      </c>
      <c r="Q238" s="35">
        <v>0</v>
      </c>
      <c r="R238" s="35">
        <v>4.7000000000000002E-3</v>
      </c>
      <c r="S238" s="35">
        <v>16</v>
      </c>
    </row>
    <row r="239" spans="4:19" x14ac:dyDescent="0.25">
      <c r="D239" s="1" t="s">
        <v>272</v>
      </c>
      <c r="E239" s="35">
        <v>17</v>
      </c>
      <c r="F239" s="35">
        <v>0.76</v>
      </c>
      <c r="G239" s="35">
        <v>0.1</v>
      </c>
      <c r="H239" s="35">
        <v>0.2</v>
      </c>
      <c r="I239" s="35">
        <v>5.0000000000000001E-3</v>
      </c>
      <c r="J239" s="35">
        <v>0.01</v>
      </c>
      <c r="K239" s="35">
        <v>0.02</v>
      </c>
      <c r="L239" s="35">
        <v>0.03</v>
      </c>
      <c r="M239" s="35">
        <v>0.04</v>
      </c>
      <c r="N239" s="35">
        <v>1.4999999999999999E-2</v>
      </c>
      <c r="O239" s="35">
        <v>1.4999999999999999E-2</v>
      </c>
      <c r="P239" s="35">
        <v>0</v>
      </c>
      <c r="Q239" s="35">
        <v>0</v>
      </c>
      <c r="R239" s="35">
        <v>4.7000000000000002E-3</v>
      </c>
      <c r="S239" s="35">
        <v>17</v>
      </c>
    </row>
    <row r="240" spans="4:19" x14ac:dyDescent="0.25">
      <c r="D240" s="1" t="s">
        <v>272</v>
      </c>
      <c r="E240" s="35">
        <v>18</v>
      </c>
      <c r="F240" s="35">
        <v>0.77</v>
      </c>
      <c r="G240" s="35">
        <v>0.1</v>
      </c>
      <c r="H240" s="35">
        <v>0.22</v>
      </c>
      <c r="I240" s="35">
        <v>5.0000000000000001E-3</v>
      </c>
      <c r="J240" s="35">
        <v>0.01</v>
      </c>
      <c r="K240" s="35">
        <v>0.02</v>
      </c>
      <c r="L240" s="35">
        <v>0.03</v>
      </c>
      <c r="M240" s="35">
        <v>0.04</v>
      </c>
      <c r="N240" s="35">
        <v>1.4999999999999999E-2</v>
      </c>
      <c r="O240" s="35">
        <v>1.4999999999999999E-2</v>
      </c>
      <c r="P240" s="35">
        <v>0</v>
      </c>
      <c r="Q240" s="35">
        <v>0</v>
      </c>
      <c r="R240" s="35">
        <v>4.7000000000000002E-3</v>
      </c>
      <c r="S240" s="35">
        <v>18</v>
      </c>
    </row>
    <row r="241" spans="4:19" x14ac:dyDescent="0.25">
      <c r="D241" s="1" t="s">
        <v>272</v>
      </c>
      <c r="E241" s="35">
        <v>19</v>
      </c>
      <c r="F241" s="35">
        <v>0.77</v>
      </c>
      <c r="G241" s="35">
        <v>0.1</v>
      </c>
      <c r="H241" s="35">
        <v>0.24</v>
      </c>
      <c r="I241" s="35">
        <v>5.0000000000000001E-3</v>
      </c>
      <c r="J241" s="35">
        <v>0.01</v>
      </c>
      <c r="K241" s="35">
        <v>0.02</v>
      </c>
      <c r="L241" s="35">
        <v>0.03</v>
      </c>
      <c r="M241" s="35">
        <v>0.04</v>
      </c>
      <c r="N241" s="35">
        <v>1.4999999999999999E-2</v>
      </c>
      <c r="O241" s="35">
        <v>1.4999999999999999E-2</v>
      </c>
      <c r="P241" s="35">
        <v>0</v>
      </c>
      <c r="Q241" s="35">
        <v>0</v>
      </c>
      <c r="R241" s="35">
        <v>4.7000000000000002E-3</v>
      </c>
      <c r="S241" s="35">
        <v>19</v>
      </c>
    </row>
    <row r="242" spans="4:19" x14ac:dyDescent="0.25">
      <c r="D242" s="1" t="s">
        <v>272</v>
      </c>
      <c r="E242" s="35">
        <v>20</v>
      </c>
      <c r="F242" s="35">
        <v>0.78</v>
      </c>
      <c r="G242" s="35">
        <v>0.1</v>
      </c>
      <c r="H242" s="35">
        <v>0.26</v>
      </c>
      <c r="I242" s="35">
        <v>5.0000000000000001E-3</v>
      </c>
      <c r="J242" s="35">
        <v>0.01</v>
      </c>
      <c r="K242" s="35">
        <v>0.02</v>
      </c>
      <c r="L242" s="35">
        <v>0.03</v>
      </c>
      <c r="M242" s="35">
        <v>0.04</v>
      </c>
      <c r="N242" s="35">
        <v>1.4999999999999999E-2</v>
      </c>
      <c r="O242" s="35">
        <v>1.4999999999999999E-2</v>
      </c>
      <c r="P242" s="35">
        <v>0</v>
      </c>
      <c r="Q242" s="35">
        <v>0</v>
      </c>
      <c r="R242" s="35">
        <v>4.7000000000000002E-3</v>
      </c>
      <c r="S242" s="35">
        <v>20</v>
      </c>
    </row>
    <row r="243" spans="4:19" x14ac:dyDescent="0.25">
      <c r="D243" s="1" t="s">
        <v>272</v>
      </c>
      <c r="E243" s="35">
        <v>21</v>
      </c>
      <c r="F243" s="35">
        <v>0.78</v>
      </c>
      <c r="G243" s="35">
        <v>0.1</v>
      </c>
      <c r="H243" s="35">
        <v>0.28999999999999998</v>
      </c>
      <c r="I243" s="35">
        <v>5.0000000000000001E-3</v>
      </c>
      <c r="J243" s="35">
        <v>0.01</v>
      </c>
      <c r="K243" s="35">
        <v>0.02</v>
      </c>
      <c r="L243" s="35">
        <v>0.03</v>
      </c>
      <c r="M243" s="35">
        <v>0.04</v>
      </c>
      <c r="N243" s="35">
        <v>1.4999999999999999E-2</v>
      </c>
      <c r="O243" s="35">
        <v>1.4999999999999999E-2</v>
      </c>
      <c r="P243" s="35">
        <v>0</v>
      </c>
      <c r="Q243" s="35">
        <v>0</v>
      </c>
      <c r="R243" s="35">
        <v>4.7000000000000002E-3</v>
      </c>
      <c r="S243" s="35">
        <v>21</v>
      </c>
    </row>
    <row r="244" spans="4:19" x14ac:dyDescent="0.25">
      <c r="D244" s="1" t="s">
        <v>272</v>
      </c>
      <c r="E244" s="35">
        <v>22</v>
      </c>
      <c r="F244" s="35">
        <v>0.78</v>
      </c>
      <c r="G244" s="35">
        <v>0.1</v>
      </c>
      <c r="H244" s="35">
        <v>0.31</v>
      </c>
      <c r="I244" s="35">
        <v>5.0000000000000001E-3</v>
      </c>
      <c r="J244" s="35">
        <v>0.01</v>
      </c>
      <c r="K244" s="35">
        <v>0.02</v>
      </c>
      <c r="L244" s="35">
        <v>0.03</v>
      </c>
      <c r="M244" s="35">
        <v>0.04</v>
      </c>
      <c r="N244" s="35">
        <v>1.4999999999999999E-2</v>
      </c>
      <c r="O244" s="35">
        <v>1.4999999999999999E-2</v>
      </c>
      <c r="P244" s="35">
        <v>0</v>
      </c>
      <c r="Q244" s="35">
        <v>0</v>
      </c>
      <c r="R244" s="35">
        <v>4.7000000000000002E-3</v>
      </c>
      <c r="S244" s="35">
        <v>22</v>
      </c>
    </row>
    <row r="245" spans="4:19" x14ac:dyDescent="0.25">
      <c r="D245" s="1" t="s">
        <v>272</v>
      </c>
      <c r="E245" s="35">
        <v>23</v>
      </c>
      <c r="F245" s="35">
        <v>0.79</v>
      </c>
      <c r="G245" s="35">
        <v>0.1</v>
      </c>
      <c r="H245" s="35">
        <v>0.34</v>
      </c>
      <c r="I245" s="35">
        <v>5.0000000000000001E-3</v>
      </c>
      <c r="J245" s="35">
        <v>0.01</v>
      </c>
      <c r="K245" s="35">
        <v>0.02</v>
      </c>
      <c r="L245" s="35">
        <v>0.03</v>
      </c>
      <c r="M245" s="35">
        <v>0.04</v>
      </c>
      <c r="N245" s="35">
        <v>1.4999999999999999E-2</v>
      </c>
      <c r="O245" s="35">
        <v>1.4999999999999999E-2</v>
      </c>
      <c r="P245" s="35">
        <v>0</v>
      </c>
      <c r="Q245" s="35">
        <v>0</v>
      </c>
      <c r="R245" s="35">
        <v>4.7000000000000002E-3</v>
      </c>
      <c r="S245" s="35">
        <v>23</v>
      </c>
    </row>
    <row r="246" spans="4:19" x14ac:dyDescent="0.25">
      <c r="D246" s="1" t="s">
        <v>272</v>
      </c>
      <c r="E246" s="35">
        <v>24</v>
      </c>
      <c r="F246" s="35">
        <v>0.79</v>
      </c>
      <c r="G246" s="35">
        <v>0.1</v>
      </c>
      <c r="H246" s="35">
        <v>0.37</v>
      </c>
      <c r="I246" s="35">
        <v>5.0000000000000001E-3</v>
      </c>
      <c r="J246" s="35">
        <v>0.01</v>
      </c>
      <c r="K246" s="35">
        <v>0.02</v>
      </c>
      <c r="L246" s="35">
        <v>0.03</v>
      </c>
      <c r="M246" s="35">
        <v>0.04</v>
      </c>
      <c r="N246" s="35">
        <v>1.4999999999999999E-2</v>
      </c>
      <c r="O246" s="35">
        <v>1.4999999999999999E-2</v>
      </c>
      <c r="P246" s="35">
        <v>0</v>
      </c>
      <c r="Q246" s="35">
        <v>0</v>
      </c>
      <c r="R246" s="35">
        <v>4.7000000000000002E-3</v>
      </c>
      <c r="S246" s="35">
        <v>24</v>
      </c>
    </row>
    <row r="247" spans="4:19" x14ac:dyDescent="0.25">
      <c r="D247" s="1" t="s">
        <v>272</v>
      </c>
      <c r="E247" s="35">
        <v>25</v>
      </c>
      <c r="F247" s="35">
        <v>0.79</v>
      </c>
      <c r="G247" s="35">
        <v>0.1</v>
      </c>
      <c r="H247" s="35">
        <v>0.41</v>
      </c>
      <c r="I247" s="35">
        <v>5.0000000000000001E-3</v>
      </c>
      <c r="J247" s="35">
        <v>0.01</v>
      </c>
      <c r="K247" s="35">
        <v>0.02</v>
      </c>
      <c r="L247" s="35">
        <v>0.03</v>
      </c>
      <c r="M247" s="35">
        <v>0.04</v>
      </c>
      <c r="N247" s="35">
        <v>1.4999999999999999E-2</v>
      </c>
      <c r="O247" s="35">
        <v>1.4999999999999999E-2</v>
      </c>
      <c r="P247" s="35">
        <v>0</v>
      </c>
      <c r="Q247" s="35">
        <v>0</v>
      </c>
      <c r="R247" s="35">
        <v>4.7000000000000002E-3</v>
      </c>
      <c r="S247" s="35">
        <v>25</v>
      </c>
    </row>
    <row r="248" spans="4:19" x14ac:dyDescent="0.25">
      <c r="D248" s="1" t="s">
        <v>270</v>
      </c>
      <c r="E248" s="35">
        <v>26</v>
      </c>
      <c r="F248" s="35">
        <v>0.79</v>
      </c>
      <c r="G248" s="35">
        <v>0.1</v>
      </c>
      <c r="H248" s="35">
        <v>0.44</v>
      </c>
      <c r="I248" s="35">
        <v>0.01</v>
      </c>
      <c r="J248" s="35">
        <v>1.4999999999999999E-2</v>
      </c>
      <c r="K248" s="35">
        <v>0.02</v>
      </c>
      <c r="L248" s="35">
        <v>0.03</v>
      </c>
      <c r="M248" s="35">
        <v>0.04</v>
      </c>
      <c r="N248" s="35">
        <v>1.4999999999999999E-2</v>
      </c>
      <c r="O248" s="35">
        <v>1.4999999999999999E-2</v>
      </c>
      <c r="P248" s="35">
        <v>0</v>
      </c>
      <c r="Q248" s="35">
        <v>0</v>
      </c>
      <c r="R248" s="35">
        <v>4.7000000000000002E-3</v>
      </c>
      <c r="S248" s="35">
        <v>26</v>
      </c>
    </row>
    <row r="249" spans="4:19" x14ac:dyDescent="0.25">
      <c r="D249" s="1" t="s">
        <v>270</v>
      </c>
      <c r="E249" s="35">
        <v>27</v>
      </c>
      <c r="F249" s="35">
        <v>0.8</v>
      </c>
      <c r="G249" s="35">
        <v>0.1</v>
      </c>
      <c r="H249" s="35">
        <v>0.48</v>
      </c>
      <c r="I249" s="35">
        <v>0.01</v>
      </c>
      <c r="J249" s="35">
        <v>1.4999999999999999E-2</v>
      </c>
      <c r="K249" s="35">
        <v>0.02</v>
      </c>
      <c r="L249" s="35">
        <v>0.03</v>
      </c>
      <c r="M249" s="35">
        <v>0.04</v>
      </c>
      <c r="N249" s="35">
        <v>1.4999999999999999E-2</v>
      </c>
      <c r="O249" s="35">
        <v>1.4999999999999999E-2</v>
      </c>
      <c r="P249" s="35">
        <v>0</v>
      </c>
      <c r="Q249" s="35">
        <v>0</v>
      </c>
      <c r="R249" s="35">
        <v>4.7000000000000002E-3</v>
      </c>
      <c r="S249" s="35">
        <v>27</v>
      </c>
    </row>
    <row r="250" spans="4:19" x14ac:dyDescent="0.25">
      <c r="D250" s="1" t="s">
        <v>270</v>
      </c>
      <c r="E250" s="35" t="s">
        <v>363</v>
      </c>
      <c r="F250" s="35">
        <v>0.8</v>
      </c>
      <c r="G250" s="35">
        <v>0.1</v>
      </c>
      <c r="H250" s="35">
        <v>0.5</v>
      </c>
      <c r="I250" s="35">
        <v>0.01</v>
      </c>
      <c r="J250" s="35">
        <v>1.4999999999999999E-2</v>
      </c>
      <c r="K250" s="35">
        <v>0.02</v>
      </c>
      <c r="L250" s="35">
        <v>0.03</v>
      </c>
      <c r="M250" s="35">
        <v>0.04</v>
      </c>
      <c r="N250" s="35">
        <v>1.4999999999999999E-2</v>
      </c>
      <c r="O250" s="35">
        <v>1.4999999999999999E-2</v>
      </c>
      <c r="P250" s="35">
        <v>0</v>
      </c>
      <c r="Q250" s="35">
        <v>0</v>
      </c>
      <c r="R250" s="35">
        <v>4.7000000000000002E-3</v>
      </c>
      <c r="S250" s="35">
        <v>28</v>
      </c>
    </row>
    <row r="253" spans="4:19" ht="23.25" x14ac:dyDescent="0.25">
      <c r="D253" s="6" t="s">
        <v>364</v>
      </c>
    </row>
    <row r="254" spans="4:19" x14ac:dyDescent="0.25">
      <c r="D254" s="5" t="s">
        <v>365</v>
      </c>
    </row>
    <row r="255" spans="4:19" x14ac:dyDescent="0.25">
      <c r="D255" s="1" t="s">
        <v>144</v>
      </c>
    </row>
    <row r="256" spans="4:19" x14ac:dyDescent="0.25">
      <c r="D256" s="50" t="s">
        <v>341</v>
      </c>
    </row>
    <row r="257" spans="4:5" x14ac:dyDescent="0.25">
      <c r="D257" s="35" t="s">
        <v>143</v>
      </c>
      <c r="E257" s="35" t="s">
        <v>144</v>
      </c>
    </row>
    <row r="258" spans="4:5" x14ac:dyDescent="0.25">
      <c r="D258" s="35" t="s">
        <v>236</v>
      </c>
      <c r="E258" s="35">
        <v>6.0000000000000001E-3</v>
      </c>
    </row>
    <row r="259" spans="4:5" x14ac:dyDescent="0.25">
      <c r="D259" s="1" t="s">
        <v>240</v>
      </c>
      <c r="E259" s="35">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election activeCell="L45" sqref="L45"/>
    </sheetView>
  </sheetViews>
  <sheetFormatPr defaultRowHeight="15" x14ac:dyDescent="0.25"/>
  <sheetData>
    <row r="1" spans="1:1" x14ac:dyDescent="0.25">
      <c r="A1" t="s">
        <v>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56" t="s">
        <v>57</v>
      </c>
    </row>
    <row r="17" spans="1:1" ht="20.100000000000001" customHeight="1" x14ac:dyDescent="0.25">
      <c r="A17" s="56" t="s">
        <v>53</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55</v>
      </c>
    </row>
    <row r="22" spans="1:1" ht="20.100000000000001" customHeight="1" x14ac:dyDescent="0.25">
      <c r="A22" s="56" t="s">
        <v>1</v>
      </c>
    </row>
    <row r="23" spans="1:1" ht="20.100000000000001" customHeight="1" x14ac:dyDescent="0.25">
      <c r="A23" s="56" t="s">
        <v>54</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56" t="s">
        <v>57</v>
      </c>
    </row>
    <row r="32" spans="1:1" ht="20.100000000000001" customHeight="1" x14ac:dyDescent="0.25">
      <c r="A32" s="56" t="s">
        <v>53</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56" t="s">
        <v>2</v>
      </c>
    </row>
    <row r="41" spans="1:1" ht="20.100000000000001" customHeight="1" x14ac:dyDescent="0.25">
      <c r="A41" s="42"/>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wBvAHUAcgBjAGUARABhAHQAYQBfAE8AdABoAGUAcgBMAGkAdgBlAHMAdABvAGMAawAiACwAIgB0AGUAeAB0ACIAOgAiAFwAbgAvACoAIABcAG4ALQAtAC0ALQAtAC0ALQAtAC0ALQAtAC0ALQAtAC0ALQAtAC0ALQAtAC0ALQAtAC0ALQAtAC0ALQAtAC0ALQAtAC0ALQAtAC0ALQAtAFwAbgBTAG8AdQByAGMAZQBEAGEAdABhAF8ATwB0AGgAZQByAEwAaQB2AGUAcwB0AG8AYwBrAF8ARQBuAHQAZQByAGkAYwBGAGUAcgBtAGUAbgB0AGEAdABpAG8AbgBFAG0AaQBzAHMAaQBvAG4ARgBhAGMAdABvAHIAXABuAFQAYQBiAGwAZQAgAEEALgAxAC4ANQAuADEAOgAgAE8AdABoAGUAcgAgAEwAaQB2AGUAcwB0AG8AYwBrACAALQAgAEUAbgB0AGUAcgBpAGMAIABmAGUAcgBtAGUAbgB0AGEAdABpAG8AbgAgAGUAbQBpAHMAcwBpAG8AbgAgAGYAYQBjAHQAbwByACAAZgBvAHIAIABlAGEAYwBoACAAbwB0AGgAZQByACAAbABpAHYAZQBzAHQAbwBjAGsAIAB0AHkAcABlACAAKABrAGcAIABDAEgANAAvAGgAZQBhAGQALwB5AGUAYQByACkAIAAoAE0AagApAFwAbgAtAC0ALQAtAC0ALQAtAC0ALQAtAC0ALQAtAC0ALQAtAC0ALQAtAC0ALQAtAC0ALQAtAC0ALQAtAC0ALQAtAC0ALQAtAC0ALQAtAC0AXABuACoALwBcAG4AXABuAFMAbwB1AHIAYwBlAEQAYQB0AGEAXwBPAHQAaABlAHIATABpAHYAZQBzAHQAbwBjAGsAXwBFAG4AdABlAHIAaQBjAEYAZQByAG0AZQBuAHQAYQB0AGkAbwBuAEUAbQBpAHMAcwBpAG8AbgBGAGEAYwB0AG8AcgBfAFQAaQB0AGwAZQBcAG4AIAAgAD0ATABBAE0AQgBEAEEAKABcACIATwB0AGgAZQByACAATABpAHYAZQBzAHQAbwBjAGsAIAAtACAARQBuAHQAZQByAGkAYwAgAGYAZQByAG0AZQBuAHQAYQB0AGkAbwBuACAAZQBtAGkAcwBzAGkAbwBuACAAZgBhAGMAdABvAHIAIABmAG8AcgAgAGUAYQBjAGgAIABvAHQAaABlAHIAIABsAGkAdgBlAHMAdABvAGMAawAgAHQAeQBwAGUAXAAiACkAOwBcAG4AXABuAFMAbwB1AHIAYwBlAEQAYQB0AGEAXwBPAHQAaABlAHIATABpAHYAZQBzAHQAbwBjAGsAXwBFAG4AdABlAHIAaQBjAEYAZQByAG0AZQBuAHQAYQB0AGkAbwBuAEUAbQBpAHMAcwBpAG8AbgBGAGEAYwB0AG8AcgBfAFYAYQByAGkAYQBiAGwAZQBcAG4AIAAgAD0ATABBAE0AQgBEAEEAKABcACIATQBqAFwAIgApADsAXABuAFwAbgBTAG8AdQByAGMAZQBEAGEAdABhAF8ATwB0AGgAZQByAEwAaQB2AGUAcwB0AG8AYwBrAF8ARQBuAHQAZQByAGkAYwBGAGUAcgBtAGUAbgB0AGEAdABpAG8AbgBFAG0AaQBzAHMAaQBvAG4ARgBhAGMAdABvAHIAXwBVAG4AaQB0AFwAbgAgACAAPQBMAEEATQBCAEQAQQAoAFwAIgBrAGcAIABDAEgANAAgAC8AIABoAGUAYQBkACAALwAgAHkAZQBhAHIAXAAiACkAOwBcAG4AXABuAFMAbwB1AHIAYwBlAEQAYQB0AGEAXwBPAHQAaABlAHIATABpAHYAZQBzAHQAbwBjAGsAXwBFAG4AdABlAHIAaQBjAEYAZQByAG0AZQBuAHQAYQB0AGkAbwBuAEUAbQBpAHMAcwBpAG8AbgBGAGEAYwB0AG8AcgBfAFMAbwB1AHIAYwBlAFwAbgAgACAAPQBMAEEATQBCAEQAQQAoAFwAIgBWAEUARQBSAEcAIAAyADAAMgA2ADoAIABUAGEAYgBsAGUAIABBAC4AMQAuADUALgAxAFwAIgApADsAXABuAFwAbgBTAG8AdQByAGMAZQBEAGEAdABhAF8ATwB0AGgAZQByAEwAaQB2AGUAcwB0AG8AYwBrAF8ARQBuAHQAZQByAGkAYwBGAGUAcgBtAGUAbgB0AGEAdABpAG8AbgBFAG0AaQBzAHMAaQBvAG4ARgBhAGMAdABvAHIAXwBWAGEAcgBpAGEAdABpAG8AbgBcAG4AIAAgAD0ATABBAE0AQgBEAEEAKABcACIAXAAiACkAOwBcAG4AXABuAFMAbwB1AHIAYwBlAEQAYQB0AGEAXwBPAHQAaABlAHIATABpAHYAZQBzAHQAbwBjAGsAXwBFAG4AdABlAHIAaQBjAEYAZQByAG0AZQBuAHQAYQB0AGkAbwBuAEUAbQBpAHMAcwBpAG8AbgBGAGEAYwB0AG8Acg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NAGoAXAAiADsAXABuACAAIAAgACAAIAAgACAAIAAgACAAXAAiAEIAdQBmAGYAYQBsAG8AXAAiACwAIAA2ADgAOwBcAG4AIAAgACAAIAAgACAAIAAgACAAIABcACIARwBvAGEAdABzAFwAIgAsACAANQA7AFwAbgAgACAAIAAgACAAIAAgACAAIAAgAFwAIgBEAGUAZQByAFwAIgAsACAAMgAwADsAXABuACAAIAAgACAAIAAgACAAIAAgACAAXAAiAEMAYQBtAGUAbABzAFwAIgAsACAANAA2ADsAXABuACAAIAAgACAAIAAgACAAIAAgACAAXAAiAEEAbABwAGEAYwBhAHMAXAAiACwAIAA4ADsAXABuACAAIAAgACAAIAAgACAAIAAgACAAXAAiAEgAbwByAHMAZQBzAFwAIgAsACAAMQA4ADsAXABuACAAIAAgACAAIAAgACAAIAAgACAAXAAiAE0AdQBsAGUAcwAvAGEAcwBzAGUAcwBcACIALAAgADEAMAA7AFwAbgAgACAAIAAgACAAIAAgACAAIAAgAFwAIgBFAG0AdQBzAC8AbwBzAHQAcgBpAGMAaABlAHMAXAAiACwAIAA1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FYAbwBsAGEAdABpAGwAZQBTAG8AbABpAGQAcwBQAHIAbwBkAHUAYwBlAGQAXABuAFQAYQBiAGwAZQAgAEEALgAxAC4ANQAuADIAOgAgAE8AdABoAGUAcgAgAEwAaQB2AGUAcwB0AG8AYwBrACAALQAgAFYAbwBsAGEAdABpAGwAZQAgAHMAbwBsAGkAZABzACAAcAByAG8AZAB1AGMAZQBkACAAYgB5ACAAZQBhAGMAaAAgAG8AdABoAGUAcgAgAGwAaQB2AGUAcwB0AG8AYwBrACAAdAB5AHAAZQAgACgAawBnACAAVgBTAC8AaABlAGEAZAAvAGQAYQB5ACkAIAAoAFYAUwBqACkAXABuAC0ALQAtAC0ALQAtAC0ALQAtAC0ALQAtAC0ALQAtAC0ALQAtAC0ALQAtAC0ALQAtAC0ALQAtAC0ALQAtAC0ALQAtAC0ALQAtAC0ALQBcAG4AKgAvAFwAbgBcAG4AUwBvAHUAcgBjAGUARABhAHQAYQBfAE8AdABoAGUAcgBMAGkAdgBlAHMAdABvAGMAawBfAFYAbwBsAGEAdABpAGwAZQBTAG8AbABpAGQAcwBQAHIAbwBkAHUAYwBlAGQAXwBUAGkAdABsAGUAXABuACAAIAA9AEwAQQBNAEIARABBACgAXAAiAE8AdABoAGUAcgAgAEwAaQB2AGUAcwB0AG8AYwBrACAALQAgAFYAbwBsAGEAdABpAGwAZQAgAHMAbwBsAGkAZABzACAAcAByAG8AZAB1AGMAZQBkACAAYgB5ACAAZQBhAGMAaAAgAG8AdABoAGUAcgAgAGwAaQB2AGUAcwB0AG8AYwBrACAAdAB5AHAAZQBcACIAKQA7AFwAbgBcAG4AUwBvAHUAcgBjAGUARABhAHQAYQBfAE8AdABoAGUAcgBMAGkAdgBlAHMAdABvAGMAawBfAFYAbwBsAGEAdABpAGwAZQBTAG8AbABpAGQAcwBQAHIAbwBkAHUAYwBlAGQAXwBWAGEAcgBpAGEAYgBsAGUAXABuACAAIAA9AEwAQQBNAEIARABBACgAXAAiAFYAUwBqAFwAIgApADsAXABuAFwAbgBTAG8AdQByAGMAZQBEAGEAdABhAF8ATwB0AGgAZQByAEwAaQB2AGUAcwB0AG8AYwBrAF8AVgBvAGwAYQB0AGkAbABlAFMAbwBsAGkAZABzAFAAcgBvAGQAdQBjAGUAZABfAFUAbgBpAHQAXABuACAAIAA9AEwAQQBNAEIARABBACgAXAAiAGsAZwAgAFYAUwAgAC8AIABoAGUAYQBkACAALwAgAGQAYQB5AFwAIgApADsAXABuAFwAbgBTAG8AdQByAGMAZQBEAGEAdABhAF8ATwB0AGgAZQByAEwAaQB2AGUAcwB0AG8AYwBrAF8AVgBvAGwAYQB0AGkAbABlAFMAbwBsAGkAZABzAFAAcgBvAGQAdQBjAGUAZABfAFMAbwB1AHIAYwBlAFwAbgAgACAAPQBMAEEATQBCAEQAQQAoAFwAIgBWAEUARQBSAEcAIAAyADAAMgA2ADoAIABUAGEAYgBsAGUAIABBAC4AMQAuADUALgAyAFwAIgApADsAXABuAFwAbgBTAG8AdQByAGMAZQBEAGEAdABhAF8ATwB0AGgAZQByAEwAaQB2AGUAcwB0AG8AYwBrAF8AVgBvAGwAYQB0AGkAbABlAFMAbwBsAGkAZABzAFAAcgBvAGQAdQBjAGUAZABfAFYAYQByAGkAYQB0AGkAbwBuAFwAbgAgACAAPQBMAEEATQBCAEQAQQAoAFwAIgBcACIAKQA7AFwAbgBcAG4AUwBvAHUAcgBjAGUARABhAHQAYQBfAE8AdABoAGUAcgBMAGkAdgBlAHMAdABvAGMAawBfAFYAbwBsAGEAdABpAGwAZQBTAG8AbABpAGQAcwBQAHIAbwBkAHUAYw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VgBTAGoAXAAiADsAXABuACAAIAAgACAAIAAgACAAIAAgACAAXAAiAEIAdQBmAGYAYQBsAG8AXAAiACwAIAAyAC4ANwAzADsAXABuACAAIAAgACAAIAAgACAAIAAgACAAXAAiAEcAbwBhAHQAcwBcACIALAAgADAALgAzADQAOwBcAG4AIAAgACAAIAAgACAAIAAgACAAIABcACIARABlAGUAcgBcACIALAAgADAALgA5ADEAOwBcAG4AIAAgACAAIAAgACAAIAAgACAAIABcACIAQwBhAG0AZQBsAHMAXAAiACwAIAAyAC4ANwAzADsAXABuACAAIAAgACAAIAAgACAAIAAgACAAXAAiAEEAbABwAGEAYwBhAHMAXAAiACwAIAAwAC4AMwA0ADsAXABuACAAIAAgACAAIAAgACAAIAAgACAAXAAiAEgAbwByAHMAZQBzAFwAIgAsACAAMgAuADcAMwA7AFwAbgAgACAAIAAgACAAIAAgACAAIAAgAFwAIgBNAHUAbABlAHMALwBhAHMAcwBlAHMAXAAiACwAIAAwAC4AOQAxADsAXABuACAAIAAgACAAIAAgACAAIAAgACAAXAAiAEUAbQB1AHMALwBvAHMAdAByAGkAYwBoAGUAcwBcACIAL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gBpAHQAcgBvAGcAZQBuAEUAeABjAHIAZQB0AGUAZABcAG4AVABhAGIAbABlACAAQQAuADEALgA1AC4AMwA6ACAATwB0AGgAZQByACAATABpAHYAZQBzAHQAbwBjAGsAIAAtACAATgBpAHQAcgBvAGcAZQBuACAAZQB4AGMAcgBlAHQAZQBkACAAcABlAHIAIABsAGkAdgBlAHMAdABvAGMAawAgAHQAeQBwAGUAIAAoAGsAZwAgAE4AMgBPAC8AaABlAGEAZAAvAHkAZQBhAHIAKQAgACgATgBFAGoAKQBcAG4ALQAtAC0ALQAtAC0ALQAtAC0ALQAtAC0ALQAtAC0ALQAtAC0ALQAtAC0ALQAtAC0ALQAtAC0ALQAtAC0ALQAtAC0ALQAtAC0ALQAtAFwAbgAqAC8AXABuAFwAbgBTAG8AdQByAGMAZQBEAGEAdABhAF8ATwB0AGgAZQByAEwAaQB2AGUAcwB0AG8AYwBrAF8ATgBpAHQAcgBvAGcAZQBuAEUAeABjAHIAZQB0AGUAZABfAFQAaQB0AGwAZQBcAG4AIAAgAD0ATABBAE0AQgBEAEEAKABcACIATwB0AGgAZQByACAATABpAHYAZQBzAHQAbwBjAGsAIAAtACAATgBpAHQAcgBvAGcAZQBuACAAZQB4AGMAcgBlAHQAZQBkACAAcABlAHIAIABsAGkAdgBlAHMAdABvAGMAawAgAHQAeQBwAGUAXAAiACkAOwBcAG4AXABuAFMAbwB1AHIAYwBlAEQAYQB0AGEAXwBPAHQAaABlAHIATABpAHYAZQBzAHQAbwBjAGsAXwBOAGkAdAByAG8AZwBlAG4ARQB4AGMAcgBlAHQAZQBkAF8AVgBhAHIAaQBhAGIAbABlAFwAbgAgACAAPQBMAEEATQBCAEQAQQAoAFwAIgBOAEUAagBcACIAKQA7AFwAbgBcAG4AUwBvAHUAcgBjAGUARABhAHQAYQBfAE8AdABoAGUAcgBMAGkAdgBlAHMAdABvAGMAawBfAE4AaQB0AHIAbwBnAGUAbgBFAHgAYwByAGUAdABlAGQAXwBVAG4AaQB0AFwAbgAgACAAPQBMAEEATQBCAEQAQQAoAFwAIgBrAGcAIABOADIATwAgAC8AIABoAGUAYQBkACAALwAgAHkAZQBhAHIAXAAiACkAOwBcAG4AXABuAFMAbwB1AHIAYwBlAEQAYQB0AGEAXwBPAHQAaABlAHIATABpAHYAZQBzAHQAbwBjAGsAXwBOAGkAdAByAG8AZwBlAG4ARQB4AGMAcgBlAHQAZQBkAF8AUwBvAHUAcgBjAGUAXABuACAAIAA9AEwAQQBNAEIARABBACgAXAAiAFYARQBFAFIARwAgADIAMAAyADYAOgAgAFQAYQBiAGwAZQAgAEEALgAxAC4ANQAuADMAXAAiACkAOwBcAG4AXABuAFMAbwB1AHIAYwBlAEQAYQB0AGEAXwBPAHQAaABlAHIATABpAHYAZQBzAHQAbwBjAGsAXwBOAGkAdAByAG8AZwBlAG4ARQB4AGMAcgBlAHQAZQBkAF8AVgBhAHIAaQBhAHQAaQBvAG4AXABuACAAIAA9AEwAQQBNAEIARABBACgAXAAiAFwAIgApADsAXABuAFwAbgBTAG8AdQByAGMAZQBEAGEAdABhAF8ATwB0AGgAZQByAEwAaQB2AGUAcwB0AG8AYwBrAF8ATgBpAHQAcgBvAGcAZQBuAEUAeABjAHIAZQB0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OAEUAagBcACIAOwBcAG4AIAAgACAAIAAgACAAIAAgACAAIABcACIAQgB1AGYAZgBhAGwAbwBcACIALAAgADMAOQAuADUAOwBcAG4AIAAgACAAIAAgACAAIAAgACAAIABcACIARwBvAGEAdABzAFwAIgAsACAANwAuADAAOwBcAG4AIAAgACAAIAAgACAAIAAgACAAIABcACIARABlAGUAcgBcACIALAAgADEAMwAuADIAOwBcAG4AIAAgACAAIAAgACAAIAAgACAAIABcACIAQwBhAG0AZQBsAHMAXAAiACwAIAAzADkALgA1ADsAXABuACAAIAAgACAAIAAgACAAIAAgACAAXAAiAEEAbABwAGEAYwBhAHMAXAAiACwAIAA3AC4AMAA7AFwAbgAgACAAIAAgACAAIAAgACAAIAAgAFwAIgBIAG8AcgBzAGUAcwBcACIALAAgADMAOQAuADUAOwBcAG4AIAAgACAAIAAgACAAIAAgACAAIABcACIATQB1AGwAZQBzAC8AYQBzAHMAZQBzAFwAIgAsACAAMQAzAC4AMgA7AFwAbgAgACAAIAAgACAAIAAgACAAIAAgAFwAIgBFAG0AdQBzAC8AbwBzAHQAcgBpAGMAaABlAHMAXAAiACwAIAA3AC4AM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BAHYAZQByAGEAZwBlAEwAaQB2AGUAdwBlAGkAZwBoAHQAXABuAFQAYQBiAGwAZQAgAEEALgAxAC4ANQAuADQAOgAgAE8AdABoAGUAcgAgAEwAaQB2AGUAcwB0AG8AYwBrACAALQAgAEEAdgBlAHIAYQBnAGUAIABMAGkAdgBlAHcAZQBpAGcAaAB0AHMAIAAoAFcAYwBvACkAIAAoAGsAZwApACAAXABuAC0ALQAtAC0ALQAtAC0ALQAtAC0ALQAtAC0ALQAtAC0ALQAtAC0ALQAtAC0ALQAtAC0ALQAtAC0ALQAtAC0ALQAtAC0ALQAtAC0ALQBcAG4AKgAvAFwAbgBcAG4AUwBvAHUAcgBjAGUARABhAHQAYQBfAE8AdABoAGUAcgBMAGkAdgBlAHMAdABvAGMAawBfAEEAdgBlAHIAYQBnAGUATABpAHYAZQB3AGUAaQBnAGgAdABfAFQAaQB0AGwAZQBcAG4AIAAgAD0ATABBAE0AQgBEAEEAKABcACIATwB0AGgAZQByACAATABpAHYAZQBzAHQAbwBjAGsAIAAtACAAQQB2AGUAcgBhAGcAZQAgAEwAaQB2AGUAdwBlAGkAZwBoAHQAcwBcACIAKQA7AFwAbgBcAG4AUwBvAHUAcgBjAGUARABhAHQAYQBfAE8AdABoAGUAcgBMAGkAdgBlAHMAdABvAGMAawBfAEEAdgBlAHIAYQBnAGUATABpAHYAZQB3AGUAaQBnAGgAdABfAFYAYQByAGkAYQBiAGwAZQBcAG4AIAAgAD0ATABBAE0AQgBEAEEAKABcACIAVwBjAG8AXAAiACkAOwBcAG4AXABuAFMAbwB1AHIAYwBlAEQAYQB0AGEAXwBPAHQAaABlAHIATABpAHYAZQBzAHQAbwBjAGsAXwBBAHYAZQByAGEAZwBlAEwAaQB2AGUAdwBlAGkAZwBoAHQAXwBVAG4AaQB0AFwAbgAgACAAPQBMAEEATQBCAEQAQQAoAFwAIgBrAGcAXAAiACkAOwBcAG4AXABuAFMAbwB1AHIAYwBlAEQAYQB0AGEAXwBPAHQAaABlAHIATABpAHYAZQBzAHQAbwBjAGsAXwBBAHYAZQByAGEAZwBlAEwAaQB2AGUAdwBlAGkAZwBoAHQAXwBTAG8AdQByAGMAZQBcAG4AIAAgAD0ATABBAE0AQgBEAEEAKABcACIAVgBFAEUAUgBHACAAMgAwADIANgA6ACAAVABhAGIAbABlACAAQQAuADEALgA1AC4ANABcACIAKQA7AFwAbgBcAG4AUwBvAHUAcgBjAGUARABhAHQAYQBfAE8AdABoAGUAcgBMAGkAdgBlAHMAdABvAGMAawBfAEEAdgBlAHIAYQBnAGUATABpAHYAZQB3AGUAaQBnAGgAdABfAFYAYQByAGkAYQB0AGkAbwBuAFwAbgAgACAAPQBMAEEATQBCAEQAQQAoAFwAIgBcACIAKQA7AFwAbgBcAG4AUwBvAHUAcgBjAGUARABhAHQAYQBfAE8AdABoAGUAcgBMAGkAdgBlAHMAdABvAGMAawBfAEEAdgBlAHIAYQBnAGUATABpAHYAZQB3AGUAaQBnAGgAdABfAEQAYQB0AGEAXABuACAAIAA9AEwAQQBNAEIARABBACgAXABuACAAIAAgACAATQBBAEsARQBBAFIAUgBBAFkAKAAxADEALAAgADMALABcAG4AIAAgACAAIAAgACAATABBAE0AQgBEAEEAKAByACwAYwAsAFwAbgAgACAAIAAgACAAIAAgACAASQBOAEQARQBYACgAewBcAG4AIAAgACAAIAAgACAAIAAgACAAIABcACIATwB0AGgAZQByACAATABpAHYAZQBzAHQAbwBjAGsAIABUAHkAcABlACAAagBcACIALAAgAFwAIgBBAHYAZQByAGEAZwBlACAATABpAHYAZQB3AGUAaQBnAGgAdABcACIALAAgAFwAIgBBAHYAZQByAGEAZwBlACAATABpAHYAZQB3AGUAaQBnAGgAdABcACIAOwBcAG4AIAAgACAAIAAgACAAIAAgACAAIABcACIAQgB1AGYAZgBhAGwAbwBcACIALAAgADMAMwA2ACwAIABcACIALQBcACIAOwBcAG4AIAAgACAAIAAgACAAIAAgACAAIABcACIARwBvAGEAdABzAFwAIgAsACAAMwAzACwAIABcACIAMgA4AGsAZwAgAC0AIABsAG8AdwAgAHAAcgBvAGQAdQBjAHQAaQB2AGkAdAB5ACAAcwB5AHMAdABlAG0AcwBcACIAOwBcAG4AIAAgACAAIAAgACAAIAAgACAAIABcACIARwBvAGEAdABzAFwAIgAsACAAMwAzACwAIABcACIANQAwAGsAZwAgAC0AIABoAGkAZwBoACAAcAByAG8AZAB1AGMAdABpAHYAaQB0AHkAIABzAHkAcwB0AGUAbQBzAFwAIgA7AFwAbgAgACAAIAAgACAAIAAgACAAIAAgAFwAIgBEAGUAZQByAFwAIgAsACAAMQAyADAALAAgADEAMgAwADsAXABuACAAIAAgACAAIAAgACAAIAAgACAAXAAiAEMAYQBtAGUAbABzAFwAIgAsACAAMgAxADcALAAgADUANwAwADsAXABuACAAIAAgACAAIAAgACAAIAAgACAAXAAiAEEAbABwAGEAYwBhAHMAXAAiACwAIABcACIALQBcACIALAAgADYANQA7AFwAbgAgACAAIAAgACAAIAAgACAAIAAgAFwAIgBIAG8AcgBzAGUAcwBcACIALAAgADMANwA3ACwAIAA1ADUAMAA7AFwAbgAgACAAIAAgACAAIAAgACAAIAAgAFwAIgBNAHUAbABlAHMALwBhAHMAcwBlAHMAXAAiACwAIAAxADMAMAAsACAAMgA0ADUAOwBcAG4AIAAgACAAIAAgACAAIAAgACAAIABcACIARQBtAHUAcwAvAG8AcwB0AHIAaQBjAGgAZQBzAFwAIgAsACAAMQAyADAALAAgADEAMgAwADsAXABuACAAIAAgACAAIAAgACAAIAAgACAAXAAiAFIAZQBmAGUAcgBlAG4AYwBlAFwAIgAsACAAXAAiAEkAUABDAEMAIAAyADAAMQA5ACAAVABhAGIAbABlACAAMQAwAEEALgA1ACAAWwAyAF0AXAAiACwAIABcACIASQBQAEMAQwAgADIAMAAxADkAIABUAGEAYgBsAGUAIAAxADAALgAxADAAIABbADIAX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0AGkAbwBuAFcAYQBzAHQAZQBJAG4ATQBNAFMAXABuAFQAYQBiAGwAZQAgAEEALgAxAC4ANQAuADUAOgAgAE8AdABoAGUAcgAgAEwAaQB2AGUAcwB0AG8AYwBrACAALQAgAEYAcgBhAGMAdABpAG8AbgAgAG8AZgAgAHcAYQBzAHQAZQAgAGkAbg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TwB0AGgAZQByAEwAaQB2AGUAcwB0AG8AYwBrAF8ARgByAGEAYwB0AGkAbwBuAFcAYQBzAHQAZQBJAG4ATQBNAFMAXwBUAGkAdABsAGUAXABuACAAIAA9AEwAQQBNAEIARABBACgAXAAiAE8AdABoAGUAcgAgAEwAaQB2AGUAcwB0AG8AYwBrACAALQAgAEYAcgBhAGMAdABpAG8AbgAgAG8AZgAgAHcAYQBzAHQAZQAgAGkAbgAgAGUAYQBjAGgAIABtAGEAbgB1AHIAZQAgAG0AYQBuAGEAZwBlAG0AZQBuAHQAIABzAHkAcwB0AGUAbQBcACIAKQA7AFwAbgBcAG4AUwBvAHUAcgBjAGUARABhAHQAYQBfAE8AdABoAGUAcgBMAGkAdgBlAHMAdABvAGMAawBfAEYAcgBhAGMAdABpAG8AbgBXAGEAcwB0AGUASQBuAE0ATQBTAF8AVgBhAHIAaQBhAGIAbABlAFwAbgAgACAAPQBMAEEATQBCAEQAQQAoAFwAIgBNAE0AUwBtAFwAIgApADsAXABuAFwAbgBTAG8AdQByAGMAZQBEAGEAdABhAF8ATwB0AGgAZQByAEwAaQB2AGUAcwB0AG8AYwBrAF8ARgByAGEAYwB0AGkAbwBuAFcAYQBzAHQAZQBJAG4ATQBNAFMAXwBVAG4AaQB0AFwAbgAgACAAPQBMAEEATQBCAEQAQQAoAFwAIgBmAHIAYQBjAHQAaQBvAG4AXAAiACkAOwBcAG4AXABuAFMAbwB1AHIAYwBlAEQAYQB0AGEAXwBPAHQAaABlAHIATABpAHYAZQBzAHQAbwBjAGsAXwBGAHIAYQBjAHQAaQBvAG4AVwBhAHMAdABlAEkAbgBNAE0AUwBfAFMAbwB1AHIAYwBlAFwAbgAgACAAPQBMAEEATQBCAEQAQQAoAFwAIgBWAEUARQBSAEcAIAAyADAAMgA2ADoAIABUAGEAYgBsAGUAIABBAC4AMQAuADUALgA1AFwAIgApADsAXABuAFwAbgBTAG8AdQByAGMAZQBEAGEAdABhAF8ATwB0AGgAZQByAEwAaQB2AGUAcwB0AG8AYwBrAF8ARgByAGEAYwB0AGkAbwBuAFcAYQBzAHQAZQBJAG4ATQBNAFMAXwBWAGEAcgBpAGEAdABpAG8AbgBcAG4AIAAgAD0ATABBAE0AQgBEAEEAKABcACIAXAAiACkAOwBcAG4AXABuAFMAbwB1AHIAYwBlAEQAYQB0AGEAXwBPAHQAaABlAHIATABpAHYAZQBzAHQAbwBjAGsAXwBGAHIAYQBjAHQAaQBvAG4AVwBhAHMAdABlAEkAbgBNAE0AUw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kAOQAuADYANgAsACAAIAAwAC4AMwA0ADsAXABuACAAIAAgACAAIAAgACAAIAAgACAAXAAiAE4AUwBXAFwAIgAsACAAIAA5ADkALgA2ADYALAAgACAAMAAuADMANAA7AFwAbgAgACAAIAAgACAAIAAgACAAIAAgAFwAIgBOAFQAXAAiACwAIAAgADkAOQAuADYANgAsACAAIAAwAC4AMwA0ADsAXABuACAAIAAgACAAIAAgACAAIAAgACAAXAAiAFEATABEAFwAIgAsACAAIAA5ADkALgA2ADYALAAgACAAMAAuADMANAA7AFwAbgAgACAAIAAgACAAIAAgACAAIAAgAFwAIgBTAEEAXAAiACwAIAAgADkAOQAuADYANgAsACAAIAAwAC4AMwA0ADsAXABuACAAIAAgACAAIAAgACAAIAAgACAAXAAiAFQAQQBTAFwAIgAsACAAIAA5ADkALgA2ADYALAAgACAAMAAuADMANAA7AFwAbgAgACAAIAAgACAAIAAgACAAIAAgAFwAIgBWAEkAQwBcACIALAAgACAAOQA5AC4ANgA2ACwAIAAgADAALgAzADQAOwBcAG4AIAAgACAAIAAgACAAIAAgACAAIABcACIAVwBBAFwAIgAsACAAIAA5ADkALgA2ADYALAAg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MAbwBuAHYAZQByAHMAaQBvAG4ARgBhAGMAdABvAHIAXABuAFQAYQBiAGwAZQAgAEEALgAxAC4ANQAuADYAOgAgAE8AdABoAGUAcgAgAEwAaQB2AGUAcwB0AG8AYwBr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E8AdABoAGUAcgBMAGkAdgBlAHMAdABvAGMAawBfAE0AZQB0AGgAYQBuAGUAQwBvAG4AdgBlAHIAcwBpAG8AbgBGAGEAYwB0AG8AcgBfAFQAaQB0AGwAZQBcAG4AIAAgAD0ATABBAE0AQgBEAEEAKABcACIATwB0AGgAZQByACAATABpAHYAZQBzAHQAbwBjAGsAIAAtACAATQBlAHQAaABhAG4AZQAgAGMAbwBuAHYAZQByAHMAaQBvAG4AIABmAGEAYwB0AG8AcgAgAHAAZQByACAAcgBlAGcAaQBvAG4AXAAiACkAOwBcAG4AXABuAFMAbwB1AHIAYwBlAEQAYQB0AGEAXwBPAHQAaABlAHIATABpAHYAZQBzAHQAbwBjAGsAXwBNAGUAdABoAGEAbgBlAEMAbwBuAHYAZQByAHMAaQBvAG4ARgBhAGMAdABvAHIAXwBWAGEAcgBpAGEAYgBsAGUAXABuACAAIAA9AEwAQQBNAEIARABBACgAXAAiAE0AQwBGAGkAbQBcACIAKQA7AFwAbgBcAG4AUwBvAHUAcgBjAGUARABhAHQAYQBfAE8AdABoAGUAcgBMAGkAdgBlAHMAdABvAGMAawBfAE0AZQB0AGgAYQBuAGUAQwBvAG4AdgBlAHIAcwBpAG8AbgBGAGEAYwB0AG8AcgBfAFUAbgBpAHQAXABuACAAIAA9AEwAQQBNAEIARABBACgAXAAiAGYAcgBhAGMAdABpAG8AbgBcACIAKQA7AFwAbgBcAG4AUwBvAHUAcgBjAGUARABhAHQAYQBfAE8AdABoAGUAcgBMAGkAdgBlAHMAdABvAGMAawBfAE0AZQB0AGgAYQBuAGUAQwBvAG4AdgBlAHIAcwBpAG8AbgBGAGEAYwB0AG8AcgBfAFMAbwB1AHIAYwBlAFwAbgAgACAAPQBMAEEATQBCAEQAQQAoAFwAIgBWAEUARQBSAEcAIAAyADAAMgA2ADoAIABUAGEAYgBsAGUAIABBAC4AMQAuADUALgA2AFwAIgApADsAXABuAFwAbgBTAG8AdQByAGMAZQBEAGEAdABhAF8ATwB0AGgAZQByAEwAaQB2AGUAcwB0AG8AYwBrAF8ATQBlAHQAaABhAG4AZQBDAG8AbgB2AGUAcgBzAGkAbwBuAEYAYQBjAHQAbwByAF8AVgBhAHIAaQBhAHQAaQBvAG4AXABuACAAIAA9AEwAQQBNAEIARABBACgAXAAiAFwAIgApADsAXABuAFwAbgBTAG8AdQByAGMAZQBEAGEAdABhAF8ATwB0AGgAZQByAEwAaQB2AGUAcwB0AG8AYwBrAF8ATQBlAHQAaABhAG4AZQBDAG8AbgB2AGUAcgBzAGkAbwBuAEYAYQBjAHQAbwBy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MAAuADAAMAA0ADcALAAgACAAMAAuADcAMQA7AFwAbgAgACAAIAAgACAAIAAgACAAIAAgAFwAIgBOAFMAVwBcACIALAAgACAAMAAuADAAMAA0ADcALAAgACAAMAAuADcANQA7AFwAbgAgACAAIAAgACAAIAAgACAAIAAgAFwAIgBOAFQAXAAiACwAIAAgADAALgAwADAANAA3ACwAIAAgADAALgA4ADAAOwBcAG4AIAAgACAAIAAgACAAIAAgACAAIABcACIAUQBMAEQAXAAiACwAIAAgADAALgAwADAANAA3ACwAIAAgADAALgA3ADgAOwBcAG4AIAAgACAAIAAgACAAIAAgACAAIABcACIAUwBBAFwAIgAsACAAIAAwAC4AMAAwADQANwAsACAAIAAwAC4ANwA0ADsAXABuACAAIAAgACAAIAAgACAAIAAgACAAXAAiAFQAQQBTAFwAIgAsACAAIAAwAC4AMAAwADQANwAsACAAIAAwAC4ANwAwADsAXABuACAAIAAgACAAIAAgACAAIAAgACAAXAAiAFYASQBDAFwAIgAsACAAIAAwAC4AMAAwADQANwAsACAAIAAwAC4ANwA0ADsAXABuACAAIAAgACAAIAAgACAAIAAgACAAXAAiAFcAQQBcACIALAAgACAAMAAuADAAMAA0ADcALAAgACAAMAAuADcAN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UAbQBpAHMAcwBpAG8AbgBzAFAAbwB0AGUAbgB0AGkAYQBsAFwAbgBUAGEAYgBsAGUAIABBAC4AMQAuADUALgBYADoAIABPAHQAaABlAHIAIABMAGkAdgBlAHMAdABvAGMAawAgAC0AIABNAGUAdABoAGEAbgBlACAAZQBtAGkAcwBzAGkAbwBuAHMAIABwAG8AdABlAG4AdABpAGEAbAAgACgAbQAzACAAQwBIADQAIAAvACAAawBnACAAVgBTACkAIAAoAEIATwApAFwAbgAtAC0ALQAtAC0ALQAtAC0ALQAtAC0ALQAtAC0ALQAtAC0ALQAtAC0ALQAtAC0ALQAtAC0ALQAtAC0ALQAtAC0ALQAtAC0ALQAtAC0AXABuACoALwBcAG4AXABuAFMAbwB1AHIAYwBlAEQAYQB0AGEAXwBPAHQAaABlAHIATABpAHYAZQBzAHQAbwBjAGsAXwBNAGUAdABoAGEAbgBlAEUAbQBpAHMAcwBpAG8AbgBzAFAAbwB0AGUAbgB0AGkAYQBsAF8AVABpAHQAbABlAFwAbgAgACAAPQBMAEEATQBCAEQAQQAoAFwAIgBPAHQAaABlAHIAIABMAGkAdgBlAHMAdABvAGMAawAgAC0AIABNAGUAdABoAGEAbgBlACAAZQBtAGkAcwBzAGkAbwBuAHMAIABwAG8AdABlAG4AdABpAGEAbABcACIAKQA7AFwAbgBcAG4AUwBvAHUAcgBjAGUARABhAHQAYQBfAE8AdABoAGUAcgBMAGkAdgBlAHMAdABvAGMAawBfAE0AZQB0AGgAYQBuAGUARQBtAGkAcwBzAGkAbwBuAHMAUABvAHQAZQBuAHQAaQBhAGwAXwBWAGEAcgBpAGEAYgBsAGUAXABuACAAIAA9AEwAQQBNAEIARABBACgAXAAiAEIATwBcACIAKQA7AFwAbgBcAG4AUwBvAHUAcgBjAGUARABhAHQAYQBfAE8AdABoAGUAcgBMAGkAdgBlAHMAdABvAGMAawBfAE0AZQB0AGgAYQBuAGUARQBtAGkAcwBzAGkAbwBuAHMAUABvAHQAZQBuAHQAaQBhAGwAXwBVAG4AaQB0AFwAbgAgACAAPQBMAEEATQBCAEQAQQAoAFwAIgBtADMAIABDAEgANAAgAC8AIABrAGcAIABWAFMAXAAiACkAOwBcAG4AXABuAFMAbwB1AHIAYwBlAEQAYQB0AGEAXwBPAHQAaABlAHIATABpAHYAZQBzAHQAbwBjAGsAXwBNAGUAdABoAGEAbgBlAEUAbQBpAHMAcwBpAG8AbgBzAFAAbwB0AGUAbgB0AGkAYQBsAF8AUwBvAHUAcgBjAGUAXABuACAAIAA9AEwAQQBNAEIARABBACgAXAAiAFYARQBFAFIARwAgADIAMAAyADYAOgAgAFQAYQBiAGwAZQAgAEEALgAxAC4ANQAuAFgAXAAiACkAOwBcAG4AXABuAFMAbwB1AHIAYwBlAEQAYQB0AGEAXwBPAHQAaABlAHIATABpAHYAZQBzAHQAbwBjAGsAXwBNAGUAdABoAGEAbgBlAEUAbQBpAHMAcwBpAG8AbgBzAFAAbwB0AGUAbgB0AGkAYQBsAF8AVgBhAHIAaQBhAHQAaQBvAG4AXABuACAAIAA9AEwAQQBNAEIARABBACgAXAAiAFYAQQBSAEkAQQBUAEkATwBOACAATwBOACAAUwBPAFUAUgBDAEUAOgAgAFQAaABlAHIAZQAgAHcAZQByAGUAIABuAG8AIAB2AGEAbAB1AGUAcwAgAGkAbgAgAFYARQBFAFIARwAgAHMAbwAgAHQAaABpAHMAIABkAGEAdABhACAAaABhAHMAIABiAGUAZQBuACAAZwBlAG4AZQByAGEAdABlAGQAIABiAHkAIAB1AHMAaQBuAGcAIABkAG8AYwB1AG0AZQBuAHQAZQBkACAAQgBPACAAdgBhAGwAdQBlAHMAIABmAHIAbwBtACAAbwB0AGgAZQByACAAbABpAHYAZQBzAHQAbwBjAGsAXAAiACkAOwBcAG4AXABuAFMAbwB1AHIAYwBlAEQAYQB0AGEAXwBPAHQAaABlAHIATABpAHYAZQBzAHQAbwBjAGsAXwBNAGUAdABoAGEAbgBlAEUAbQBpAHMAcwBpAG8AbgBzAFAAbwB0AGUAbgB0AGkAYQBsAF8ARABhAHQAYQBcAG4AIAAgAD0ATABBAE0AQgBEAEEAKABcAG4AIAAgACAAIABNAEEASwBFAEEAUgBSAEEAWQAoADkALAAgADMALABcAG4AIAAgACAAIAAgACAATABBAE0AQgBEAEEAKAByACwAYwAsAFwAbgAgACAAIAAgACAAIAAgACAASQBOAEQARQBYACgAewBcAG4AIAAgACAAIAAgACAAIAAgACAAIABcACIATwB0AGgAZQByACAATABpAHYAZQBzAHQAbwBjAGsAIABUAHkAcABlAFwAIgAsACAAXAAiAEIATwBcACIALAAgAFwAIgBUAGEAawBlAG4AIABmAHIAbwBtAFwAIgA7AFwAbgAgACAAIAAgACAAIAAgACAAIAAgAFwAIgBCAHUAZgBmAGEAbABvAFwAIgAsACAAMAAuADEAOQAsACAAXAAiAEYAZQBlAGQAbABvAHQALAAgAFAAYQBzAHQAdQByAGUAIABiAGUAZQBmAFwAIgA7AFwAbgAgACAAIAAgACAAIAAgACAAIAAgAFwAIgBHAG8AYQB0AHMAXAAiACwAIAAwAC4AMgA0ACwAIABcACIAUwBoAGUAZQBwAFwAIgA7AFwAbgAgACAAIAAgACAAIAAgACAAIAAgAFwAIgBEAGUAZQByAFwAIgAsACAAMAAuADIANAAsACAAXAAiAFMAaABlAGUAcABcACIAOwBcAG4AIAAgACAAIAAgACAAIAAgACAAIABcACIAQwBhAG0AZQBsAHMAXAAiACwAIAAwAC4AMgA0ACwAIABcACIAUwBoAGUAZQBwAFwAIgA7AFwAbgAgACAAIAAgACAAIAAgACAAIAAgAFwAIgBBAGwAcABhAGMAYQBzAFwAIgAsACAAMAAuADIANAAsACAAXAAiAFMAaABlAGUAcABcACIAOwBcAG4AIAAgACAAIAAgACAAIAAgACAAIABcACIASABvAHIAcwBlAHMAXAAiACwAIAAwAC4AMQA5ACwAIABcACIARgBlAGUAZABsAG8AdAAsACAAUABhAHMAdAB1AHIAZQAgAGIAZQBlAGYAXAAiADsAXABuACAAIAAgACAAIAAgACAAIAAgACAAXAAiAE0AdQBsAGUAcwAvAGEAcwBzAGUAcwBcACIALAAgADAALgAyADQALAAgAFwAIgBTAGgAZQBlAHAAXAAiADsAXABuACAAIAAgACAAIAAgACAAIAAgACAAXAAiAEUAbQB1AHMALwBvAHMAdAByAGkAYwBoAGUAcwBcACIALAAgADAALgAzADYALAAgAFwAIgBQAG8AdQBsAHQAcgB5ACAALQAgAG0AZQBhAHQAIABjAGgAaQBjAGsAZQ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TwB0AGgAZQByAEwAaQB2AGUAcwB0AG8AYwBr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TwB0AGgAZQByAEwAaQB2AGUAcwB0AG8AYwBrAF8ARgByAGEAYwBHAEEAUwBNAFMAbwBpAGwAXwBWAGEAcgBpAGEAYgBsAGUAXABuACAAIAA9AEwAQQBNAEIARABBACgAXAAiAEYAcgBhAGMARwBBAFMATQBzAG8AaQBsAFwAIgApADsAXABuAFwAbgBTAG8AdQByAGMAZQBEAGEAdABhAF8ATwB0AGgAZQByAEwAaQB2AGUAcwB0AG8AYwBrAF8ARgByAGEAYwBHAEEAUwBNAFMAbwBpAGwAXwBVAG4AaQB0AFwAbgAgACAAPQBMAEEATQBCAEQAQQAoAFwAIgAoAGsAZwAgAE4ASAAzAC0ATgAgACsAIABOAE8AeAAtAE4AKQAvAGsAZwAgAE4AXAAiACkAOwBcAG4AXABuAFMAbwB1AHIAYwBlAEQAYQB0AGEAXwBPAHQAaABlAHIATABpAHYAZQBzAHQAbwBjAGsAXwBGAHIAYQBjAEcAQQBTAE0AUwBvAGkAbABfAFMAbwB1AHIAYwBlAFwAbgAgACAAPQBMAEEATQBCAEQAQQAoAFwAIgBWAEUARQBSAEcAIAAyADAAMgA2ADoAIAA0AC4ANwAuADIALgAzACAAQwBPAE4AUwBUAEEATgBUAFMAXAAiACkAOwBcAG4AXABuAFMAbwB1AHIAYwBlAEQAYQB0AGEAXwBPAHQAaABlAHIATABpAHYAZQBzAHQAbwBjAGsAXwBGAHIAYQBjAEcAQQBTAE0AUwBvAGkAbABfAFYAYQByAGkAYQB0AGkAbwBuAFwAbgAgACAAPQBMAEEATQBCAEQAQQAoAFwAIgBcACIAKQA7AFwAbgBcAG4AUwBvAHUAcgBjAGUARABhAHQAYQBfAE8AdABoAGUAcgBMAGkAdgBlAHMAdABvAGMAawBfAEYAcgBhAGMARwBBAFMATQBTAG8AaQBsAF8ARABhAHQAYQBcAG4AIAAgAD0ATABBAE0AQgBEAEEAKAAwAC4AMgAxACkAOwBcAG4AXABuACIAfQAsAHsAIgBwAGEAdABoACIAOgAiAC8AcAByAG8AagBlAGMAdABzAC8ARQBuAHQAZQByAGkAYwBNAGUAdABoAGEAbgBlAF8ATwB0AGgAZQByAEwAaQB2AGUAcwB0AG8AYwBrAF8ARQBxAHUAYQB0AGkAbwBuAHMAIgAsACIAdABlAHgAdAAiADoAIgAvACoAXABuAD0APQA9AD0APQA9AD0APQA9AD0APQA9AD0APQA9AD0APQA9AD0APQA9AD0APQA9AD0APQA9AD0APQA9AD0APQA9AD0APQA9AD0APQA9AD0APQA9AD0APQA9AD0APQA9AD0APQA9AD0APQA9AD0APQA9AD0APQA9AD0APQA9AD0APQA9AD0APQA9AD0APQA9AD0APQA9AD0AXABuADMALgA2ADoAIABFAG4AdABlAHIAaQBjACAATQBlAHQAaABhAG4AZQAgAC0AIABPAHQAaABlAHIAIABMAGkAdgBlAHMAdABvAGMAawBcAG4APQA9AD0APQA9AD0APQA9AD0APQA9AD0APQA9AD0APQA9AD0APQA9AD0APQA9AD0APQA9AD0APQA9AD0APQA9AD0APQA9AD0APQA9AD0APQA9AD0APQA9AD0APQA9AD0APQA9AD0APQA9AD0APQA9AD0APQA9AD0APQA9AD0APQA9AD0APQA9AD0APQA9AD0APQA9AD0APQBcAG4AMwAuADYALgAxAC4AMQAgAE0AZQB0AGgAbwBkACAAMQAgAC0AIABFAG4AdABlAHIAaQBj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gBfADEAXwAxAF8AXwAxAF8AVABvAHQAYQBsAEEAbgBuAHUAYQBsAE0AZQB0AGgAYQBuAGUARgByAG8AbQBFAG4AdABlAHIAaQBjAEYAZQByAG0AZQBuAHQAYQB0AGkAbwBuAE8AdABoAGUAcgBMAGkAdgBlAHMAdABvAGMAawBcAG4AVABvAHQAYQBsACAAYQBuAG4AdQBhAGwAIABtAGUAdABoAGEAbgBlACAAcAByAG8AZAB1AGMAdABpAG8AbgAgAGYAcgBvAG0AIABlAG4AdABlAHIAaQBjACAAZgBlAHIAbQBlAG4AdABhAHQAaQBvAG4AIABpAG4AIABvAHQAaABlAHIAIABsAGkAdgBlAHMAdABvAGMAawBcAG4ARQBfAGUAbgB0AGUAcgBpAGMAXABuAHQAIABDAEgANABcAG4ARQBfAHsAZQBuAHQAZQByAGkAYwB9AD0AXABcAHMAdQBtAF8AagAoAE4AXwBqAFwAXAB0AGkAbQBlAHMAIABNAF8AagApAFwAXAB0AGkAbQBlAHMAIAAxADAAXgB7AC0AMwB9AFwAbgBOAF8AagAgAD0AIABuAHUAbQBiAGUAcgAgAG8AZgAgAGwAaQB2AGUAcwB0AG8AYwBrACAAbwBmACAAZQBhAGMAaAAgAGwAaQB2AGUAcwB0AG8AYwBrACAAdAB5AHAAZQAgAGoAIAAoAGgAZQBhAGQAKQBcAG4ATQBfAGoAIAA9ACAAZQBuAHQAZQByAGkAYwAgAGYAZQByAG0AZQBuAHQAYQB0AGkAbwBuACAAZQBtAGkAcwBzAGkAbwBuACAAZgBhAGMAdABvAHIAIAAoAGsAZwAgAEMASAA0AC8AaABlAGEAZAAvAHkAZQBhAHIAKQBcAG4ALQAtAC0ALQAtAC0ALQAtAC0ALQAtAC0ALQAtAC0ALQAtAC0ALQAtAC0ALQAtAC0ALQAtAC0ALQAtAC0ALQAtAC0ALQAtAC0ALQAtAFwAbgAqAC8AXABuAFwAbgBWAEUARQBSAEcAXwAzAF8ANgBfADEAXwAxAF8AXwAxAF8AVABvAHQAYQBsAEEAbgBuAHUAYQBsAE0AZQB0AGgAYQBuAGUARgByAG8AbQBFAG4AdABlAHIAaQBjAEYAZQByAG0AZQBuAHQAYQB0AGkAbwBuAE8AdABoAGUAcgBMAGkAdgBlAHMAdABvAGMAawBcAG4AIAAgAD0ATABBAE0AQgBEAEEAKABcAG4AIAAgACAAIABOAF8AagAsACAATQBfAGoALABcAG4AIAAgACAAIABTAFUATQAoAE4AXwBqACAAKgAgAE0AXwBqACkAIAAqACAAMQAwACAAXgAgAC0AMwBcAG4AIAAgACkAOwBcAG4AXABuAFYARQBFAFIARwBfADMAXwA2AF8AMQBfADEAXwBfADEAXwBUAG8AdABhAGwAQQBuAG4AdQBhAGwATQBlAHQAaABhAG4AZQBGAHIAbwBtAEUAbgB0AGUAcgBpAGMARgBlAHIAbQBlAG4AdABhAHQAaQBvAG4ATwB0AGgAZQByAEwAaQB2AGUAcwB0AG8AYwBrAF8AVABpAHQAbABlAFwAbgAgACAAPQBMAEEATQBCAEQAQQAoAFwAIgBUAG8AdABhAGwAIABhAG4AbgB1AGEAbAAgAG0AZQB0AGgAYQBuAGUAIABwAHIAbwBkAHUAYwB0AGkAbwBuACAAZgByAG8AbQAgAGUAbgB0AGUAcgBpAGMAIABmAGUAcgBtAGUAbgB0AGEAdABpAG8AbgAgAGkAbgAgAG8AdABoAGUAcgAgAGwAaQB2AGUAcwB0AG8AYwBrAFwAIgApADsAXABuAFwAbgBWAEUARQBSAEcAXwAzAF8ANgBfADEAXwAxAF8AXwAxAF8AVABvAHQAYQBsAEEAbgBuAHUAYQBsAE0AZQB0AGgAYQBuAGUARgByAG8AbQBFAG4AdABlAHIAaQBjAEYAZQByAG0AZQBuAHQAYQB0AGkAbwBuAE8AdABoAGUAcgBMAGkAdgBlAHMAdABvAGMAawBfAFYAYQByAGkAYQBiAGwAZQBcAG4AIAAgAD0ATABBAE0AQgBEAEEAKABcACIARQBfAGUAbgB0AGUAcgBpAGMAXAAiACkAOwBcAG4AXABuAFYARQBFAFIARwBfADMAXwA2AF8AMQBfADEAXwBfADEAXwBUAG8AdABhAGwAQQBuAG4AdQBhAGwATQBlAHQAaABhAG4AZQBGAHIAbwBtAEUAbgB0AGUAcgBpAGMARgBlAHIAbQBlAG4AdABhAHQAaQBvAG4ATwB0AGgAZQByAEwAaQB2AGUAcwB0AG8AYwBrAF8AVQBuAGkAdABcAG4AIAAgAD0ATABBAE0AQgBEAEEAKABcACIAdAAgAEMASAA0AFwAIgApADsAXABuAFwAbgBWAEUARQBSAEcAXwAzAF8ANgBfADEAXwAxAF8AXwAxAF8AVABvAHQAYQBsAEEAbgBuAHUAYQBsAE0AZQB0AGgAYQBuAGUARgByAG8AbQBFAG4AdABlAHIAaQBjAEYAZQByAG0AZQBuAHQAYQB0AGkAbwBuAE8AdABoAGUAcgBMAGkAdgBlAHMAdABvAGMAawBfAFMAbwB1AHIAYwBlAFwAbgAgACAAPQBMAEEATQBCAEQAQQAoAFwAIgBWAEUARQBSAEcAIAAyADAAMgA2ADoAIAAzAC4ANgAuADEALgAxACwAIABFAHEAdQBhAHQAaQBvAG4AIAAoADEAKQBcACIAKQA7AFwAbgBcAG4AVgBFAEUAUgBHAF8AMwBfADYAXwAxAF8AMQBfAF8AMQBfAFQAbwB0AGEAbABBAG4AbgB1AGEAbABNAGUAdABoAGEAbgBlAEYAcgBvAG0ARQBuAHQAZQByAGkAYwBGAGUAcgBtAGUAbgB0AGEAdABpAG8AbgBPAHQAaABlAHIATABpAHYAZQBzAHQAbwBjAGsAXwBOAEkAUgBSAGUAZgBlAHIAZQBuAGMAZQBcAG4AIAAgAD0ATABBAE0AQgBEAEEAKABcACIAXAAiACkAOwBcAG4AXABuAFYARQBFAFIARwBfADMAXwA2AF8AMQBfADEAXwBfADEAXwBUAG8AdABhAGwAQQBuAG4AdQBhAGwATQBlAHQAaABhAG4AZQBGAHIAbwBtAEUAbgB0AGUAcgBpAGMARgBlAHIAbQBlAG4AdABhAHQAaQBvAG4ATwB0AGgAZQByAEwAaQB2AGUAcwB0AG8AYwBrAF8ATABhAHQAZQB4AEUAcQB1AGEAdABpAG8AbgBcAG4AIAAgAD0ATABBAE0AQgBEAEEAKABcACIARQBfAHsAZQBuAHQAZQByAGkAYwB9AD0AXABcAHMAdQBtAF8AagAoAE4AXwBqAFwAXAB0AGkAbQBlAHMAIABNAF8AagApAFwAXAB0AGkAbQBlAHMAIAAxADAAXgB7AC0AMwB9AFwAIgApADsAXABuAFwAbgBWAEUARQBSAEcAXwAzAF8ANgBfADEAXwAxAF8AXwAxAF8AVABvAHQAYQBsAEEAbgBuAHUAYQBsAE0AZQB0AGgAYQBuAGUARgByAG8AbQBFAG4AdABlAHIAaQBjAEYAZQByAG0AZQBuAHQAYQB0AGkAbwBuAE8AdABoAGUAcgBMAGkAdgBlAHMAdABvAGMAaw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GwAaQB2AGUAcwB0AG8AYwBrACAAbwBmACAAZQBhAGMAaAAgAGwAaQB2AGUAcwB0AG8AYwBrACAAdAB5AHAAZQAgAGoAXAAiACwAIABcACIAaABlAGEAZABcACIALAAgAFwAIgBJAG4AcAB1AHQAXAAiADsAXABuACAAIAAgACAAIAAgACAAIAAgACAAXAAiAE0AXwBqAFwAIgAsACAAXAAiAGUAbgB0AGUAcgBpAGMAIABmAGUAcgBtAGUAbgB0AGEAdABpAG8AbgAgAGUAbQBpAHMAcwBpAG8AbgAgAGYAYQBjAHQAbwByAFwAIgAsACAAXAAiAGsAZwAgAEMASAA0AC8AaABlAGEAZAAvAHkAZQBhAHIAXAAiACwAIABcACIAQwBvAG4AcwB0AGEAbgB0AFwAIgA7AFwAbgAgACAAIAAgACAAIAAgACAAIAAgAFwAIgBqAFwAIgAsACAAXAAiAGwAaQB2AGUAcwB0AG8AYwBrACAAdAB5AHAAZQ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TwB0AGgAZQByAEwAaQB2AGUAcwB0AG8AYwBrAC4AUwBvAHUAcgBjAGUARABhAHQAYQBfAE8AdABoAGUAcgBMAGkAdgBlAHMAdABvAGMAawBfAEUAbgB0AGUAcgBpAGMARgBlAHIAbQBlAG4AdABhAHQAaQBvAG4ARQBtAGkAcwBzAGkAbwBuAEYAYQBjAHQAbwByAF8AVABpAHQAbABlACIALAAiAFMAbwB1AHIAYwBlAEQAYQB0AGEAXwBPAHQAaABlAHIATABpAHYAZQBzAHQAbwBjAGsALgBTAG8AdQByAGMAZQBEAGEAdABhAF8ATwB0AGgAZQByAEwAaQB2AGUAcwB0AG8AYwBrAF8ARQBuAHQAZQByAGkAYwBGAGUAcgBtAGUAbgB0AGEAdABpAG8AbgBFAG0AaQBzAHMAaQBvAG4ARgBhAGMAdABvAHIAXwBWAGEAcgBpAGEAYgBsAGUAIgAsACIAUwBvAHUAcgBjAGUARABhAHQAYQBfAE8AdABoAGUAcgBMAGkAdgBlAHMAdABvAGMAawAuAFMAbwB1AHIAYwBlAEQAYQB0AGEAXwBPAHQAaABlAHIATABpAHYAZQBzAHQAbwBjAGsAXwBFAG4AdABlAHIAaQBjAEYAZQByAG0AZQBuAHQAYQB0AGkAbwBuAEUAbQBpAHMAcwBpAG8AbgBGAGEAYwB0AG8AcgBfAFUAbgBpAHQAIgAsACIAUwBvAHUAcgBjAGUARABhAHQAYQBfAE8AdABoAGUAcgBMAGkAdgBlAHMAdABvAGMAawAuAFMAbwB1AHIAYwBlAEQAYQB0AGEAXwBPAHQAaABlAHIATABpAHYAZQBzAHQAbwBjAGsAXwBFAG4AdABlAHIAaQBjAEYAZQByAG0AZQBuAHQAYQB0AGkAbwBuAEUAbQBpAHMAcwBpAG8AbgBGAGEAYwB0AG8AcgBfAFMAbwB1AHIAYwBlACIALAAiAFMAbwB1AHIAYwBlAEQAYQB0AGEAXwBPAHQAaABlAHIATABpAHYAZQBzAHQAbwBjAGsALgBTAG8AdQByAGMAZQBEAGEAdABhAF8ATwB0AGgAZQByAEwAaQB2AGUAcwB0AG8AYwBrAF8ARQBuAHQAZQByAGkAYwBGAGUAcgBtAGUAbgB0AGEAdABpAG8AbgBFAG0AaQBzAHMAaQBvAG4ARgBhAGMAdABvAHIAXwBWAGEAcgBpAGEAdABpAG8AbgAiACwAIgBTAG8AdQByAGMAZQBEAGEAdABhAF8ATwB0AGgAZQByAEwAaQB2AGUAcwB0AG8AYwBrAC4AUwBvAHUAcgBjAGUARABhAHQAYQBfAE8AdABoAGUAcgBMAGkAdgBlAHMAdABvAGMAawBfAEUAbgB0AGUAcgBpAGMARgBlAHIAbQBlAG4AdABhAHQAaQBvAG4ARQBtAGkAcwBzAGkAbwBuAEYAYQBjAHQAbwByAF8ARABhAHQAYQAiACwAIgBTAG8AdQByAGMAZQBEAGEAdABhAF8ATwB0AGgAZQByAEwAaQB2AGUAcwB0AG8AYwBrAC4AUwBvAHUAcgBjAGUARABhAHQAYQBfAE8AdABoAGUAcgBMAGkAdgBlAHMAdABvAGMAawBfAFYAbwBsAGEAdABpAGwAZQBTAG8AbABpAGQAcwBQAHIAbwBkAHUAYwBlAGQAXwBUAGkAdABsAGUAIgAsACIAUwBvAHUAcgBjAGUARABhAHQAYQBfAE8AdABoAGUAcgBMAGkAdgBlAHMAdABvAGMAawAuAFMAbwB1AHIAYwBlAEQAYQB0AGEAXwBPAHQAaABlAHIATABpAHYAZQBzAHQAbwBjAGsAXwBWAG8AbABhAHQAaQBsAGUAUwBvAGwAaQBkAHMAUAByAG8AZAB1AGMAZQBkAF8AVgBhAHIAaQBhAGIAbABlACIALAAiAFMAbwB1AHIAYwBlAEQAYQB0AGEAXwBPAHQAaABlAHIATABpAHYAZQBzAHQAbwBjAGsALgBTAG8AdQByAGMAZQBEAGEAdABhAF8ATwB0AGgAZQByAEwAaQB2AGUAcwB0AG8AYwBrAF8AVgBvAGwAYQB0AGkAbABlAFMAbwBsAGkAZABzAFAAcgBvAGQAdQBjAGUAZABfAFUAbgBpAHQAIgAsACIAUwBvAHUAcgBjAGUARABhAHQAYQBfAE8AdABoAGUAcgBMAGkAdgBlAHMAdABvAGMAawAuAFMAbwB1AHIAYwBlAEQAYQB0AGEAXwBPAHQAaABlAHIATABpAHYAZQBzAHQAbwBjAGsAXwBWAG8AbABhAHQAaQBsAGUAUwBvAGwAaQBkAHMAUAByAG8AZAB1AGMAZQBkAF8AUwBvAHUAcgBjAGUAIgAsACIAUwBvAHUAcgBjAGUARABhAHQAYQBfAE8AdABoAGUAcgBMAGkAdgBlAHMAdABvAGMAawAuAFMAbwB1AHIAYwBlAEQAYQB0AGEAXwBPAHQAaABlAHIATABpAHYAZQBzAHQAbwBjAGsAXwBWAG8AbABhAHQAaQBsAGUAUwBvAGwAaQBkAHMAUAByAG8AZAB1AGMAZQBkAF8AVgBhAHIAaQBhAHQAaQBvAG4AIgAsACIAUwBvAHUAcgBjAGUARABhAHQAYQBfAE8AdABoAGUAcgBMAGkAdgBlAHMAdABvAGMAawAuAFMAbwB1AHIAYwBlAEQAYQB0AGEAXwBPAHQAaABlAHIATABpAHYAZQBzAHQAbwBjAGsAXwBWAG8AbABhAHQAaQBsAGUAUwBvAGwAaQBkAHMAUAByAG8AZAB1AGMAZQBkAF8ARABhAHQAYQAiACwAIgBTAG8AdQByAGMAZQBEAGEAdABhAF8ATwB0AGgAZQByAEwAaQB2AGUAcwB0AG8AYwBrAC4AUwBvAHUAcgBjAGUARABhAHQAYQBfAE8AdABoAGUAcgBMAGkAdgBlAHMAdABvAGMAawBfAE4AaQB0AHIAbwBnAGUAbgBFAHgAYwByAGUAdABlAGQAXwBUAGkAdABsAGUAIgAsACIAUwBvAHUAcgBjAGUARABhAHQAYQBfAE8AdABoAGUAcgBMAGkAdgBlAHMAdABvAGMAawAuAFMAbwB1AHIAYwBlAEQAYQB0AGEAXwBPAHQAaABlAHIATABpAHYAZQBzAHQAbwBjAGsAXwBOAGkAdAByAG8AZwBlAG4ARQB4AGMAcgBlAHQAZQBkAF8AVgBhAHIAaQBhAGIAbABlACIALAAiAFMAbwB1AHIAYwBlAEQAYQB0AGEAXwBPAHQAaABlAHIATABpAHYAZQBzAHQAbwBjAGsALgBTAG8AdQByAGMAZQBEAGEAdABhAF8ATwB0AGgAZQByAEwAaQB2AGUAcwB0AG8AYwBrAF8ATgBpAHQAcgBvAGcAZQBuAEUAeABjAHIAZQB0AGUAZABfAFUAbgBpAHQAIgAsACIAUwBvAHUAcgBjAGUARABhAHQAYQBfAE8AdABoAGUAcgBMAGkAdgBlAHMAdABvAGMAawAuAFMAbwB1AHIAYwBlAEQAYQB0AGEAXwBPAHQAaABlAHIATABpAHYAZQBzAHQAbwBjAGsAXwBOAGkAdAByAG8AZwBlAG4ARQB4AGMAcgBlAHQAZQBkAF8AUwBvAHUAcgBjAGUAIgAsACIAUwBvAHUAcgBjAGUARABhAHQAYQBfAE8AdABoAGUAcgBMAGkAdgBlAHMAdABvAGMAawAuAFMAbwB1AHIAYwBlAEQAYQB0AGEAXwBPAHQAaABlAHIATABpAHYAZQBzAHQAbwBjAGsAXwBOAGkAdAByAG8AZwBlAG4ARQB4AGMAcgBlAHQAZQBkAF8AVgBhAHIAaQBhAHQAaQBvAG4AIgAsACIAUwBvAHUAcgBjAGUARABhAHQAYQBfAE8AdABoAGUAcgBMAGkAdgBlAHMAdABvAGMAawAuAFMAbwB1AHIAYwBlAEQAYQB0AGEAXwBPAHQAaABlAHIATABpAHYAZQBzAHQAbwBjAGsAXwBOAGkAdAByAG8AZwBlAG4ARQB4AGMAcgBlAHQAZQBkAF8ARABhAHQAYQAiACwAIgBTAG8AdQByAGMAZQBEAGEAdABhAF8ATwB0AGgAZQByAEwAaQB2AGUAcwB0AG8AYwBrAC4AUwBvAHUAcgBjAGUARABhAHQAYQBfAE8AdABoAGUAcgBMAGkAdgBlAHMAdABvAGMAawBfAEEAdgBlAHIAYQBnAGUATABpAHYAZQB3AGUAaQBnAGgAdABfAFQAaQB0AGwAZQAiACwAIgBTAG8AdQByAGMAZQBEAGEAdABhAF8ATwB0AGgAZQByAEwAaQB2AGUAcwB0AG8AYwBrAC4AUwBvAHUAcgBjAGUARABhAHQAYQBfAE8AdABoAGUAcgBMAGkAdgBlAHMAdABvAGMAawBfAEEAdgBlAHIAYQBnAGUATABpAHYAZQB3AGUAaQBnAGgAdABfAFYAYQByAGkAYQBiAGwAZQAiACwAIgBTAG8AdQByAGMAZQBEAGEAdABhAF8ATwB0AGgAZQByAEwAaQB2AGUAcwB0AG8AYwBrAC4AUwBvAHUAcgBjAGUARABhAHQAYQBfAE8AdABoAGUAcgBMAGkAdgBlAHMAdABvAGMAawBfAEEAdgBlAHIAYQBnAGUATABpAHYAZQB3AGUAaQBnAGgAdABfAFUAbgBpAHQAIgAsACIAUwBvAHUAcgBjAGUARABhAHQAYQBfAE8AdABoAGUAcgBMAGkAdgBlAHMAdABvAGMAawAuAFMAbwB1AHIAYwBlAEQAYQB0AGEAXwBPAHQAaABlAHIATABpAHYAZQBzAHQAbwBjAGsAXwBBAHYAZQByAGEAZwBlAEwAaQB2AGUAdwBlAGkAZwBoAHQAXwBTAG8AdQByAGMAZQAiACwAIgBTAG8AdQByAGMAZQBEAGEAdABhAF8ATwB0AGgAZQByAEwAaQB2AGUAcwB0AG8AYwBrAC4AUwBvAHUAcgBjAGUARABhAHQAYQBfAE8AdABoAGUAcgBMAGkAdgBlAHMAdABvAGMAawBfAEEAdgBlAHIAYQBnAGUATABpAHYAZQB3AGUAaQBnAGgAdABfAFYAYQByAGkAYQB0AGkAbwBuACIALAAiAFMAbwB1AHIAYwBlAEQAYQB0AGEAXwBPAHQAaABlAHIATABpAHYAZQBzAHQAbwBjAGsALgBTAG8AdQByAGMAZQBEAGEAdABhAF8ATwB0AGgAZQByAEwAaQB2AGUAcwB0AG8AYwBrAF8AQQB2AGUAcgBhAGcAZQBMAGkAdgBlAHcAZQBpAGcAaAB0AF8ARABhAHQAYQAiACwAIgBTAG8AdQByAGMAZQBEAGEAdABhAF8ATwB0AGgAZQByAEwAaQB2AGUAcwB0AG8AYwBrAC4AUwBvAHUAcgBjAGUARABhAHQAYQBfAE8AdABoAGUAcgBMAGkAdgBlAHMAdABvAGMAawBfAEYAcgBhAGMAdABpAG8AbgBXAGEAcwB0AGUASQBuAE0ATQBTAF8AVABpAHQAbABlACIALAAiAFMAbwB1AHIAYwBlAEQAYQB0AGEAXwBPAHQAaABlAHIATABpAHYAZQBzAHQAbwBjAGsALgBTAG8AdQByAGMAZQBEAGEAdABhAF8ATwB0AGgAZQByAEwAaQB2AGUAcwB0AG8AYwBrAF8ARgByAGEAYwB0AGkAbwBuAFcAYQBzAHQAZQBJAG4ATQBNAFMAXwBWAGEAcgBpAGEAYgBsAGUAIgAsACIAUwBvAHUAcgBjAGUARABhAHQAYQBfAE8AdABoAGUAcgBMAGkAdgBlAHMAdABvAGMAawAuAFMAbwB1AHIAYwBlAEQAYQB0AGEAXwBPAHQAaABlAHIATABpAHYAZQBzAHQAbwBjAGsAXwBGAHIAYQBjAHQAaQBvAG4AVwBhAHMAdABlAEkAbgBNAE0AUwBfAFUAbgBpAHQAIgAsACIAUwBvAHUAcgBjAGUARABhAHQAYQBfAE8AdABoAGUAcgBMAGkAdgBlAHMAdABvAGMAawAuAFMAbwB1AHIAYwBlAEQAYQB0AGEAXwBPAHQAaABlAHIATABpAHYAZQBzAHQAbwBjAGsAXwBGAHIAYQBjAHQAaQBvAG4AVwBhAHMAdABlAEkAbgBNAE0AUwBfAFMAbwB1AHIAYwBlACIALAAiAFMAbwB1AHIAYwBlAEQAYQB0AGEAXwBPAHQAaABlAHIATABpAHYAZQBzAHQAbwBjAGsALgBTAG8AdQByAGMAZQBEAGEAdABhAF8ATwB0AGgAZQByAEwAaQB2AGUAcwB0AG8AYwBrAF8ARgByAGEAYwB0AGkAbwBuAFcAYQBzAHQAZQBJAG4ATQBNAFMAXwBWAGEAcgBpAGEAdABpAG8AbgAiACwAIgBTAG8AdQByAGMAZQBEAGEAdABhAF8ATwB0AGgAZQByAEwAaQB2AGUAcwB0AG8AYwBrAC4AUwBvAHUAcgBjAGUARABhAHQAYQBfAE8AdABoAGUAcgBMAGkAdgBlAHMAdABvAGMAawBfAEYAcgBhAGMAdABpAG8AbgBXAGEAcwB0AGUASQBuAE0ATQBTAF8ARABhAHQAYQAiACwAIgBTAG8AdQByAGMAZQBEAGEAdABhAF8ATwB0AGgAZQByAEwAaQB2AGUAcwB0AG8AYwBrAC4AUwBvAHUAcgBjAGUARABhAHQAYQBfAE8AdABoAGUAcgBMAGkAdgBlAHMAdABvAGMAawBfAE0AZQB0AGgAYQBuAGUAQwBvAG4AdgBlAHIAcwBpAG8AbgBGAGEAYwB0AG8AcgBfAFQAaQB0AGwAZQAiACwAIgBTAG8AdQByAGMAZQBEAGEAdABhAF8ATwB0AGgAZQByAEwAaQB2AGUAcwB0AG8AYwBrAC4AUwBvAHUAcgBjAGUARABhAHQAYQBfAE8AdABoAGUAcgBMAGkAdgBlAHMAdABvAGMAawBfAE0AZQB0AGgAYQBuAGUAQwBvAG4AdgBlAHIAcwBpAG8AbgBGAGEAYwB0AG8AcgBfAFYAYQByAGkAYQBiAGwAZQAiACwAIgBTAG8AdQByAGMAZQBEAGEAdABhAF8ATwB0AGgAZQByAEwAaQB2AGUAcwB0AG8AYwBrAC4AUwBvAHUAcgBjAGUARABhAHQAYQBfAE8AdABoAGUAcgBMAGkAdgBlAHMAdABvAGMAawBfAE0AZQB0AGgAYQBuAGUAQwBvAG4AdgBlAHIAcwBpAG8AbgBGAGEAYwB0AG8AcgBfAFUAbgBpAHQAIgAsACIAUwBvAHUAcgBjAGUARABhAHQAYQBfAE8AdABoAGUAcgBMAGkAdgBlAHMAdABvAGMAawAuAFMAbwB1AHIAYwBlAEQAYQB0AGEAXwBPAHQAaABlAHIATABpAHYAZQBzAHQAbwBjAGsAXwBNAGUAdABoAGEAbgBlAEMAbwBuAHYAZQByAHMAaQBvAG4ARgBhAGMAdABvAHIAXwBTAG8AdQByAGMAZQAiACwAIgBTAG8AdQByAGMAZQBEAGEAdABhAF8ATwB0AGgAZQByAEwAaQB2AGUAcwB0AG8AYwBrAC4AUwBvAHUAcgBjAGUARABhAHQAYQBfAE8AdABoAGUAcgBMAGkAdgBlAHMAdABvAGMAawBfAE0AZQB0AGgAYQBuAGUAQwBvAG4AdgBlAHIAcwBpAG8AbgBGAGEAYwB0AG8AcgBfAFYAYQByAGkAYQB0AGkAbwBuACIALAAiAFMAbwB1AHIAYwBlAEQAYQB0AGEAXwBPAHQAaABlAHIATABpAHYAZQBzAHQAbwBjAGsALgBTAG8AdQByAGMAZQBEAGEAdABhAF8ATwB0AGgAZQByAEwAaQB2AGUAcwB0AG8AYwBrAF8ATQBlAHQAaABhAG4AZQBDAG8AbgB2AGUAcgBzAGkAbwBuAEYAYQBjAHQAbwByAF8ARABhAHQAY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UAGkAdABsAGU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FYAYQByAGkAYQBiAGwAZQ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VQBuAGkAdAAiACwAIgBFAG4AdABlAHIAaQBjAE0AZQB0AGgAYQBuAGUAXwBPAHQAaABlAHIATABpAHYAZQBzAHQAbwBjAGsAXwBFAHEAdQBhAHQAaQBvAG4AcwAuAFYARQBFAFIARwBfADMAXwA2AF8AMQBfADEAXwBfADEAXwBUAG8AdABhAGwAQQBuAG4AdQBhAGwATQBlAHQAaABhAG4AZQBGAHIAbwBtAEUAbgB0AGUAcgBpAGMARgBlAHIAbQBlAG4AdABhAHQAaQBvAG4ATwB0AGgAZQByAEwAaQB2AGUAcwB0AG8AYwBrAF8AUwBvAHUAcgBjAGUAIgAsACIARQBuAHQAZQByAGkAYwBNAGUAdABoAGEAbgBlAF8ATwB0AGgAZQByAEwAaQB2AGUAcwB0AG8AYwBrAF8ARQBxAHUAYQB0AGkAbwBuAHMALgBWAEUARQBSAEcAXwAzAF8ANgBfADEAXwAxAF8AXwAxAF8AVABvAHQAYQBsAEEAbgBuAHUAYQBsAE0AZQB0AGgAYQBuAGUARgByAG8AbQBFAG4AdABlAHIAaQBjAEYAZQByAG0AZQBuAHQAYQB0AGkAbwBuAE8AdABoAGUAcgBMAGkAdgBlAHMAdABvAGMAawBfAE4ASQBSAFIAZQBmAGUAcgBlAG4AYwBl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MAGEAdABlAHgARQBxAHUAYQB0AGkAbwBuACIALAAiAEUAbgB0AGUAcgBpAGMATQBlAHQAaABhAG4AZQBfAE8AdABoAGUAcgBMAGkAdgBlAHMAdABvAGMAawBfAEUAcQB1AGEAdABpAG8AbgBzAC4AVgBFAEUAUgBHAF8AMwBfADYAXwAxAF8AMQBfAF8AMQBfAFQAbwB0AGEAbABBAG4AbgB1AGEAbABNAGUAdABoAGEAbgBlAEYAcgBvAG0ARQBuAHQAZQByAGkAYwBGAGUAcgBtAGUAbgB0AGEAdABpAG8AbgBPAHQAaABlAHIATABpAHYAZQBzAHQAbwBjAGs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Other Livestock</vt:lpstr>
      <vt:lpstr>3.6.1.1-2 Enteric Methane</vt:lpstr>
      <vt:lpstr>Constants - Other Livestock</vt:lpstr>
      <vt:lpstr>Constants - Common</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