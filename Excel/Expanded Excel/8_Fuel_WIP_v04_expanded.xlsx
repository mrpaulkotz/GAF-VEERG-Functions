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71978E3-1D9F-47DB-A6E0-DF215226E4E4}" xr6:coauthVersionLast="47" xr6:coauthVersionMax="47" xr10:uidLastSave="{00000000-0000-0000-0000-000000000000}"/>
  <bookViews>
    <workbookView xWindow="4680" yWindow="4680" windowWidth="28800" windowHeight="15345" firstSheet="8" activeTab="8" xr2:uid="{992023F3-CAB7-4E5B-A348-08D563A0EF40}"/>
  </bookViews>
  <sheets>
    <sheet name="Home" sheetId="71" r:id="rId1"/>
    <sheet name="Overview" sheetId="118" r:id="rId2"/>
    <sheet name="Results" sheetId="13" r:id="rId3"/>
    <sheet name="Input - Site" sheetId="122" r:id="rId4"/>
    <sheet name="Input - Fuel" sheetId="70" r:id="rId5"/>
    <sheet name="8.1.1.1-2 Transport fuel" sheetId="69" r:id="rId6"/>
    <sheet name="8.2.1.1-2 Stationary fuel" sheetId="74" r:id="rId7"/>
    <sheet name="Constants - Fuel" sheetId="110" r:id="rId8"/>
    <sheet name="Constants - Common" sheetId="123"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 - 1))</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LatexEquation">_xlfn.LAMBDA("E_{3,elec}=\left[Q_{elec}\times\left(1-(RPP+JRPP)\right)-\left(REC_{surrendered}-REC_{onsite}\right)\times 10^{-3}\right]\times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7" i="123" l="1" a="1"/>
  <c r="D117" i="123" s="1"/>
  <c r="D107" i="123" a="1"/>
  <c r="D107" i="123" s="1"/>
  <c r="D83" i="123" a="1"/>
  <c r="D83" i="123" s="1"/>
  <c r="D59" i="123" a="1"/>
  <c r="D59" i="123" s="1"/>
  <c r="H53" i="123"/>
  <c r="H49" i="123"/>
  <c r="D39" i="69"/>
  <c r="D38" i="69"/>
  <c r="D40" i="74"/>
  <c r="D39" i="74"/>
  <c r="P18" i="74"/>
  <c r="P17" i="74"/>
  <c r="A15" i="122"/>
  <c r="A14" i="122"/>
  <c r="E13" i="122"/>
  <c r="A11" i="122"/>
  <c r="A8" i="122"/>
  <c r="A5" i="122"/>
  <c r="A4" i="122"/>
  <c r="A3" i="122"/>
  <c r="H50" i="123" l="1"/>
  <c r="H51" i="123"/>
  <c r="H48" i="123"/>
  <c r="H52" i="123"/>
  <c r="H54" i="123"/>
  <c r="P16" i="74" a="1"/>
  <c r="P16" i="74" s="1"/>
  <c r="P15" i="74" a="1"/>
  <c r="P15" i="74" s="1"/>
  <c r="P14" i="74" a="1"/>
  <c r="P14" i="74" s="1"/>
  <c r="P16" i="69" a="1"/>
  <c r="P16" i="69" s="1"/>
  <c r="P15" i="69" a="1"/>
  <c r="P15" i="69" s="1"/>
  <c r="P14" i="69" a="1"/>
  <c r="P14" i="69" s="1"/>
  <c r="I17" i="70" l="1"/>
  <c r="H17" i="70"/>
  <c r="G17" i="70" a="1"/>
  <c r="G17" i="70" s="1"/>
  <c r="A17" i="110" l="1"/>
  <c r="A16" i="110"/>
  <c r="A13" i="110"/>
  <c r="A12" i="110"/>
  <c r="A11" i="110"/>
  <c r="A8" i="110"/>
  <c r="A5" i="110"/>
  <c r="A4" i="110"/>
  <c r="A3" i="110"/>
  <c r="A17" i="74"/>
  <c r="A16" i="74"/>
  <c r="A13" i="74"/>
  <c r="A12" i="74"/>
  <c r="A11" i="74"/>
  <c r="A8" i="74"/>
  <c r="A5" i="74"/>
  <c r="A4" i="74"/>
  <c r="A3" i="74"/>
  <c r="A17" i="69"/>
  <c r="A16" i="69"/>
  <c r="A13" i="69"/>
  <c r="A12" i="69"/>
  <c r="A11" i="69"/>
  <c r="A8" i="69"/>
  <c r="A5" i="69"/>
  <c r="A4" i="69"/>
  <c r="A3" i="69"/>
  <c r="A17" i="70"/>
  <c r="A16" i="70"/>
  <c r="A13" i="70"/>
  <c r="A12" i="70"/>
  <c r="A11" i="70"/>
  <c r="A8" i="70"/>
  <c r="A5" i="70"/>
  <c r="A4" i="70"/>
  <c r="A3" i="70"/>
  <c r="A17" i="13"/>
  <c r="A16" i="13"/>
  <c r="A13" i="13"/>
  <c r="A12" i="13"/>
  <c r="A11" i="13"/>
  <c r="A8" i="13"/>
  <c r="A5" i="13"/>
  <c r="A4" i="13"/>
  <c r="A3" i="13"/>
  <c r="A8" i="118"/>
  <c r="A13" i="118"/>
  <c r="A12" i="118"/>
  <c r="A11" i="118"/>
  <c r="A16" i="118"/>
  <c r="D48" i="74"/>
  <c r="F40" i="74"/>
  <c r="L40" i="74" s="1" a="1"/>
  <c r="L40" i="74" s="1"/>
  <c r="F39" i="74"/>
  <c r="L39" i="74" s="1" a="1"/>
  <c r="L39" i="74" s="1"/>
  <c r="F38" i="74"/>
  <c r="F37" i="74"/>
  <c r="F36" i="74"/>
  <c r="F35" i="74"/>
  <c r="M35" i="74" s="1" a="1"/>
  <c r="M35" i="74" s="1"/>
  <c r="F34" i="74"/>
  <c r="M34" i="74" s="1" a="1"/>
  <c r="M34" i="74" s="1"/>
  <c r="F33" i="74"/>
  <c r="M33" i="74" s="1" a="1"/>
  <c r="M33" i="74" s="1"/>
  <c r="F32" i="74"/>
  <c r="M32" i="74" s="1" a="1"/>
  <c r="M32" i="74" s="1"/>
  <c r="D32" i="74"/>
  <c r="D38" i="74" s="1"/>
  <c r="D34" i="74"/>
  <c r="F31" i="74"/>
  <c r="M31" i="74" s="1" a="1"/>
  <c r="M31" i="74" s="1"/>
  <c r="F30" i="74"/>
  <c r="M30" i="74" s="1" a="1"/>
  <c r="M30" i="74" s="1"/>
  <c r="F29" i="74"/>
  <c r="M29" i="74" s="1" a="1"/>
  <c r="M29" i="74" s="1"/>
  <c r="F28" i="74"/>
  <c r="M28" i="74" s="1" a="1"/>
  <c r="M28" i="74" s="1"/>
  <c r="F27" i="74"/>
  <c r="M27" i="74" s="1" a="1"/>
  <c r="M27" i="74" s="1"/>
  <c r="F26" i="74"/>
  <c r="M26" i="74" s="1" a="1"/>
  <c r="M26" i="74" s="1"/>
  <c r="F25" i="74"/>
  <c r="D25" i="74"/>
  <c r="M38" i="74" a="1"/>
  <c r="M38" i="74" s="1"/>
  <c r="M37" i="74" a="1"/>
  <c r="M37" i="74" s="1"/>
  <c r="M25" i="74" a="1"/>
  <c r="M25" i="74" s="1"/>
  <c r="L25" i="74" a="1"/>
  <c r="L25" i="74" s="1"/>
  <c r="D42" i="74"/>
  <c r="I16" i="74" a="1"/>
  <c r="I16" i="74" s="1"/>
  <c r="I15" i="74" a="1"/>
  <c r="I15" i="74" s="1"/>
  <c r="I14" i="74" a="1"/>
  <c r="I14" i="74" s="1"/>
  <c r="A69" i="69"/>
  <c r="I16" i="69" a="1"/>
  <c r="I16" i="69" s="1"/>
  <c r="I15" i="69" a="1"/>
  <c r="I15" i="69" s="1"/>
  <c r="I14" i="69" a="1"/>
  <c r="I14" i="69" s="1"/>
  <c r="F49" i="69" l="1"/>
  <c r="F58" i="69"/>
  <c r="F52" i="69"/>
  <c r="F46" i="69"/>
  <c r="F70" i="69"/>
  <c r="F64" i="69"/>
  <c r="F57" i="74"/>
  <c r="F58" i="74"/>
  <c r="F46" i="74"/>
  <c r="F52" i="74"/>
  <c r="M39" i="74" a="1"/>
  <c r="M39" i="74" s="1"/>
  <c r="M40" i="74" a="1"/>
  <c r="M40" i="74" s="1"/>
  <c r="F56" i="74"/>
  <c r="F55" i="74"/>
  <c r="D33" i="74"/>
  <c r="L33" i="74" s="1" a="1"/>
  <c r="L33" i="74" s="1"/>
  <c r="D35" i="74"/>
  <c r="L35" i="74" s="1" a="1"/>
  <c r="L35" i="74" s="1"/>
  <c r="D36" i="74"/>
  <c r="L36" i="74" s="1" a="1"/>
  <c r="L36" i="74" s="1"/>
  <c r="D37" i="74"/>
  <c r="L37" i="74" s="1" a="1"/>
  <c r="L37" i="74" s="1"/>
  <c r="M36" i="74" a="1"/>
  <c r="M36" i="74" s="1"/>
  <c r="L32" i="74" a="1"/>
  <c r="L32" i="74" s="1"/>
  <c r="F44" i="74"/>
  <c r="F43" i="74"/>
  <c r="F51" i="74"/>
  <c r="F50" i="74"/>
  <c r="F49" i="74"/>
  <c r="F45" i="74"/>
  <c r="D27" i="74"/>
  <c r="L27" i="74" s="1" a="1"/>
  <c r="L27" i="74" s="1"/>
  <c r="D29" i="74"/>
  <c r="L29" i="74" s="1" a="1"/>
  <c r="L29" i="74" s="1"/>
  <c r="D31" i="74"/>
  <c r="L31" i="74" s="1" a="1"/>
  <c r="L31" i="74" s="1"/>
  <c r="L34" i="74" a="1"/>
  <c r="L34" i="74" s="1"/>
  <c r="L38" i="74" a="1"/>
  <c r="L38" i="74" s="1"/>
  <c r="D26" i="74"/>
  <c r="L26" i="74" s="1" a="1"/>
  <c r="L26" i="74" s="1"/>
  <c r="D28" i="74"/>
  <c r="L28" i="74" s="1" a="1"/>
  <c r="L28" i="74" s="1"/>
  <c r="D30" i="74"/>
  <c r="L30" i="74" s="1" a="1"/>
  <c r="L30" i="74" s="1"/>
  <c r="F61" i="69"/>
  <c r="F50" i="69"/>
  <c r="F51" i="69"/>
  <c r="F55" i="69"/>
  <c r="F56" i="69"/>
  <c r="F57" i="69"/>
  <c r="F62" i="69"/>
  <c r="F63" i="69"/>
  <c r="F67" i="69"/>
  <c r="F68" i="69"/>
  <c r="F69" i="69"/>
  <c r="F44" i="69"/>
  <c r="F43" i="69"/>
  <c r="F45" i="69"/>
  <c r="E39" i="69" l="1"/>
  <c r="F39" i="69"/>
  <c r="F38" i="69"/>
  <c r="F37" i="69"/>
  <c r="F36" i="69"/>
  <c r="F35" i="69"/>
  <c r="F34" i="69"/>
  <c r="M34" i="69" s="1" a="1"/>
  <c r="M34" i="69" s="1"/>
  <c r="F33" i="69"/>
  <c r="M33" i="69" s="1" a="1"/>
  <c r="M33" i="69" s="1"/>
  <c r="D37" i="69"/>
  <c r="D60" i="69" s="1"/>
  <c r="D34" i="69"/>
  <c r="D25" i="69"/>
  <c r="D27" i="69" s="1"/>
  <c r="D33" i="69"/>
  <c r="D48" i="69" s="1"/>
  <c r="F32" i="69"/>
  <c r="M32" i="69" s="1" a="1"/>
  <c r="M32" i="69" s="1"/>
  <c r="F29" i="69"/>
  <c r="M29" i="69" s="1" a="1"/>
  <c r="M29" i="69" s="1"/>
  <c r="F27" i="69"/>
  <c r="F26" i="69"/>
  <c r="M26" i="69" s="1" a="1"/>
  <c r="M26" i="69" s="1"/>
  <c r="H131" i="110"/>
  <c r="I132" i="110"/>
  <c r="I131" i="110"/>
  <c r="J139" i="110"/>
  <c r="J138" i="110"/>
  <c r="J137" i="110"/>
  <c r="J136" i="110"/>
  <c r="J135" i="110"/>
  <c r="J134" i="110"/>
  <c r="J133" i="110"/>
  <c r="J132" i="110"/>
  <c r="J131" i="110"/>
  <c r="G138" i="110"/>
  <c r="G137" i="110"/>
  <c r="F31" i="69" s="1"/>
  <c r="F30" i="69"/>
  <c r="F28" i="69"/>
  <c r="F25" i="69"/>
  <c r="F133" i="110"/>
  <c r="F132" i="110"/>
  <c r="F131" i="110"/>
  <c r="E139" i="110"/>
  <c r="E138" i="110"/>
  <c r="E137" i="110"/>
  <c r="E136" i="110"/>
  <c r="E135" i="110"/>
  <c r="E134" i="110"/>
  <c r="E133" i="110"/>
  <c r="E132" i="110"/>
  <c r="E131" i="110"/>
  <c r="D137" i="110"/>
  <c r="D136" i="110"/>
  <c r="D135" i="110"/>
  <c r="D134" i="110"/>
  <c r="D133" i="110"/>
  <c r="D132" i="110"/>
  <c r="D131" i="110"/>
  <c r="D110" i="110" a="1"/>
  <c r="D110" i="110" s="1"/>
  <c r="D84" i="110" a="1"/>
  <c r="D84" i="110" s="1"/>
  <c r="D52" i="110" a="1"/>
  <c r="D52" i="110" s="1"/>
  <c r="E36" i="69"/>
  <c r="E35" i="69"/>
  <c r="E34" i="69"/>
  <c r="E28" i="69"/>
  <c r="D8" i="110" a="1"/>
  <c r="D8" i="110" s="1"/>
  <c r="K39" i="74" l="1" a="1"/>
  <c r="K39" i="74" s="1"/>
  <c r="K40" i="74" a="1"/>
  <c r="K40" i="74" s="1"/>
  <c r="E29" i="69"/>
  <c r="K29" i="69" s="1" a="1"/>
  <c r="K29" i="69" s="1"/>
  <c r="E38" i="69"/>
  <c r="J38" i="69" s="1" a="1"/>
  <c r="J38" i="69" s="1"/>
  <c r="E32" i="69"/>
  <c r="K32" i="69" s="1" a="1"/>
  <c r="K32" i="69" s="1"/>
  <c r="E31" i="69"/>
  <c r="G31" i="69" s="1" a="1"/>
  <c r="G31" i="69" s="1"/>
  <c r="E37" i="69"/>
  <c r="H37" i="69" s="1" a="1"/>
  <c r="H37" i="69" s="1"/>
  <c r="K35" i="69" a="1"/>
  <c r="K35" i="69" s="1"/>
  <c r="K36" i="69" a="1"/>
  <c r="K36" i="69" s="1"/>
  <c r="K34" i="69" a="1"/>
  <c r="K34" i="69" s="1"/>
  <c r="K39" i="69" a="1"/>
  <c r="K39" i="69" s="1"/>
  <c r="K28" i="69" a="1"/>
  <c r="K28" i="69" s="1"/>
  <c r="E30" i="69"/>
  <c r="J30" i="69" s="1" a="1"/>
  <c r="J30" i="69" s="1"/>
  <c r="E27" i="69"/>
  <c r="K27" i="69" s="1" a="1"/>
  <c r="K27" i="69" s="1"/>
  <c r="L27" i="69" a="1"/>
  <c r="L27" i="69" s="1"/>
  <c r="D35" i="69"/>
  <c r="D54" i="69"/>
  <c r="E40" i="74"/>
  <c r="E29" i="74"/>
  <c r="K29" i="74" s="1"/>
  <c r="E36" i="74"/>
  <c r="K36" i="74" s="1"/>
  <c r="E28" i="74"/>
  <c r="K28" i="74" s="1"/>
  <c r="E35" i="74"/>
  <c r="K35" i="74" s="1"/>
  <c r="E30" i="74"/>
  <c r="K30" i="74" s="1"/>
  <c r="E37" i="74"/>
  <c r="K37" i="74" s="1"/>
  <c r="E39" i="74"/>
  <c r="E27" i="74"/>
  <c r="K27" i="74" s="1"/>
  <c r="E34" i="74"/>
  <c r="K34" i="74" s="1"/>
  <c r="E26" i="74"/>
  <c r="K26" i="74" s="1"/>
  <c r="E33" i="74"/>
  <c r="K33" i="74" s="1"/>
  <c r="E38" i="74"/>
  <c r="K38" i="74" s="1"/>
  <c r="E31" i="74"/>
  <c r="K31" i="74" s="1"/>
  <c r="E25" i="74"/>
  <c r="K25" i="74" s="1"/>
  <c r="E32" i="74"/>
  <c r="K32" i="74" s="1"/>
  <c r="L35" i="69" a="1"/>
  <c r="L35" i="69" s="1"/>
  <c r="D26" i="69"/>
  <c r="L26" i="69" s="1" a="1"/>
  <c r="L26" i="69" s="1"/>
  <c r="D31" i="69"/>
  <c r="L31" i="69" s="1" a="1"/>
  <c r="L31" i="69" s="1"/>
  <c r="L37" i="69" a="1"/>
  <c r="L37" i="69" s="1"/>
  <c r="M27" i="69" a="1"/>
  <c r="M27" i="69" s="1"/>
  <c r="L34" i="69" a="1"/>
  <c r="L34" i="69" s="1"/>
  <c r="H36" i="69" a="1"/>
  <c r="H36" i="69" s="1"/>
  <c r="J28" i="69" a="1"/>
  <c r="J28" i="69" s="1"/>
  <c r="J39" i="69" a="1"/>
  <c r="J39" i="69" s="1"/>
  <c r="I39" i="69" a="1"/>
  <c r="I39" i="69" s="1"/>
  <c r="H39" i="69" a="1"/>
  <c r="H39" i="69" s="1"/>
  <c r="J32" i="69" a="1"/>
  <c r="J32" i="69" s="1"/>
  <c r="I29" i="69" a="1"/>
  <c r="I29" i="69" s="1"/>
  <c r="M28" i="69" a="1"/>
  <c r="M28" i="69" s="1"/>
  <c r="M30" i="69" a="1"/>
  <c r="M30" i="69" s="1"/>
  <c r="M25" i="69" a="1"/>
  <c r="M25" i="69" s="1"/>
  <c r="L25" i="69" a="1"/>
  <c r="L25" i="69" s="1"/>
  <c r="M31" i="69" a="1"/>
  <c r="M31" i="69" s="1"/>
  <c r="G36" i="69" a="1"/>
  <c r="G36" i="69" s="1"/>
  <c r="G29" i="69" a="1"/>
  <c r="G29" i="69" s="1"/>
  <c r="I36" i="69" a="1"/>
  <c r="I36" i="69" s="1"/>
  <c r="H28" i="69" a="1"/>
  <c r="H28" i="69" s="1"/>
  <c r="M35" i="69" a="1"/>
  <c r="M35" i="69" s="1"/>
  <c r="J36" i="69" a="1"/>
  <c r="J36" i="69" s="1"/>
  <c r="I28" i="69" a="1"/>
  <c r="I28" i="69" s="1"/>
  <c r="M36" i="69" a="1"/>
  <c r="M36" i="69" s="1"/>
  <c r="G34" i="69" a="1"/>
  <c r="G34" i="69" s="1"/>
  <c r="H29" i="69" a="1"/>
  <c r="H29" i="69" s="1"/>
  <c r="M37" i="69" a="1"/>
  <c r="M37" i="69" s="1"/>
  <c r="H34" i="69" a="1"/>
  <c r="H34" i="69" s="1"/>
  <c r="M38" i="69" a="1"/>
  <c r="M38" i="69" s="1"/>
  <c r="I34" i="69" a="1"/>
  <c r="I34" i="69" s="1"/>
  <c r="M39" i="69" a="1"/>
  <c r="M39" i="69" s="1"/>
  <c r="J34" i="69" a="1"/>
  <c r="J34" i="69" s="1"/>
  <c r="J29" i="69" a="1"/>
  <c r="J29" i="69" s="1"/>
  <c r="L38" i="69" a="1"/>
  <c r="L38" i="69" s="1"/>
  <c r="G39" i="69" a="1"/>
  <c r="G39" i="69" s="1"/>
  <c r="G35" i="69" a="1"/>
  <c r="G35" i="69" s="1"/>
  <c r="L39" i="69" a="1"/>
  <c r="L39" i="69" s="1"/>
  <c r="H35" i="69" a="1"/>
  <c r="H35" i="69" s="1"/>
  <c r="L33" i="69" a="1"/>
  <c r="L33" i="69" s="1"/>
  <c r="I35" i="69" a="1"/>
  <c r="I35" i="69" s="1"/>
  <c r="G28" i="69" a="1"/>
  <c r="G28" i="69" s="1"/>
  <c r="J35" i="69" a="1"/>
  <c r="J35" i="69" s="1"/>
  <c r="E33" i="69"/>
  <c r="G33" i="69" s="1" a="1"/>
  <c r="G33" i="69" s="1"/>
  <c r="E25" i="69"/>
  <c r="K25" i="69" s="1" a="1"/>
  <c r="K25" i="69" s="1"/>
  <c r="E26" i="69"/>
  <c r="H26" i="69" s="1" a="1"/>
  <c r="H26" i="69" s="1"/>
  <c r="D30" i="69"/>
  <c r="L30" i="69" s="1" a="1"/>
  <c r="L30" i="69" s="1"/>
  <c r="D42" i="69"/>
  <c r="D29" i="69"/>
  <c r="L29" i="69" s="1" a="1"/>
  <c r="L29" i="69" s="1"/>
  <c r="D28" i="69"/>
  <c r="L28" i="69" s="1" a="1"/>
  <c r="L28" i="69" s="1"/>
  <c r="D36" i="69"/>
  <c r="L36" i="69" s="1" a="1"/>
  <c r="L36" i="69" s="1"/>
  <c r="D32" i="69"/>
  <c r="L32" i="69" s="1" a="1"/>
  <c r="L32" i="69" s="1"/>
  <c r="I30" i="69" l="1" a="1"/>
  <c r="I30" i="69" s="1"/>
  <c r="H30" i="69" a="1"/>
  <c r="H30" i="69" s="1"/>
  <c r="G37" i="69" a="1"/>
  <c r="G37" i="69" s="1"/>
  <c r="N37" i="69" s="1"/>
  <c r="K37" i="69" a="1"/>
  <c r="K37" i="69" s="1"/>
  <c r="P29" i="69"/>
  <c r="O29" i="69"/>
  <c r="N29" i="69"/>
  <c r="Q29" i="69"/>
  <c r="P36" i="69"/>
  <c r="O36" i="69"/>
  <c r="N36" i="69"/>
  <c r="Q36" i="69"/>
  <c r="Q28" i="69"/>
  <c r="P28" i="69"/>
  <c r="O28" i="69"/>
  <c r="N28" i="69"/>
  <c r="Q34" i="69"/>
  <c r="O34" i="69"/>
  <c r="N34" i="69"/>
  <c r="P34" i="69"/>
  <c r="Q35" i="69"/>
  <c r="P35" i="69"/>
  <c r="O35" i="69"/>
  <c r="N35" i="69"/>
  <c r="Q39" i="69"/>
  <c r="P39" i="69"/>
  <c r="O39" i="69"/>
  <c r="N39" i="69"/>
  <c r="J37" i="69" a="1"/>
  <c r="J37" i="69" s="1"/>
  <c r="I37" i="69" a="1"/>
  <c r="I37" i="69" s="1"/>
  <c r="H31" i="69" a="1"/>
  <c r="H31" i="69" s="1"/>
  <c r="N31" i="69" s="1"/>
  <c r="I32" i="69" a="1"/>
  <c r="I32" i="69" s="1"/>
  <c r="I38" i="69" a="1"/>
  <c r="I38" i="69" s="1"/>
  <c r="H38" i="69" a="1"/>
  <c r="H38" i="69" s="1"/>
  <c r="H32" i="69" a="1"/>
  <c r="H32" i="69" s="1"/>
  <c r="I31" i="69" a="1"/>
  <c r="I31" i="69" s="1"/>
  <c r="O31" i="69" s="1"/>
  <c r="G32" i="69" a="1"/>
  <c r="G32" i="69" s="1"/>
  <c r="I27" i="69" a="1"/>
  <c r="I27" i="69" s="1"/>
  <c r="G30" i="69" a="1"/>
  <c r="G30" i="69" s="1"/>
  <c r="K26" i="69" a="1"/>
  <c r="K26" i="69" s="1"/>
  <c r="J27" i="69" a="1"/>
  <c r="J27" i="69" s="1"/>
  <c r="G27" i="69" a="1"/>
  <c r="G27" i="69" s="1"/>
  <c r="K38" i="69" a="1"/>
  <c r="K38" i="69" s="1"/>
  <c r="J31" i="69" a="1"/>
  <c r="J31" i="69" s="1"/>
  <c r="P31" i="69" s="1"/>
  <c r="K30" i="69" a="1"/>
  <c r="K30" i="69" s="1"/>
  <c r="G38" i="69" a="1"/>
  <c r="G38" i="69" s="1"/>
  <c r="K31" i="69" a="1"/>
  <c r="K31" i="69" s="1"/>
  <c r="Q31" i="69" s="1"/>
  <c r="H27" i="69" a="1"/>
  <c r="H27" i="69" s="1"/>
  <c r="K33" i="69" a="1"/>
  <c r="K33" i="69" s="1"/>
  <c r="Q33" i="69" s="1"/>
  <c r="J38" i="74"/>
  <c r="I38" i="74"/>
  <c r="H38" i="74"/>
  <c r="G38" i="74"/>
  <c r="I30" i="74"/>
  <c r="G30" i="74"/>
  <c r="J30" i="74"/>
  <c r="H30" i="74"/>
  <c r="G33" i="74"/>
  <c r="H33" i="74"/>
  <c r="I33" i="74"/>
  <c r="J33" i="74"/>
  <c r="J26" i="74"/>
  <c r="H26" i="74"/>
  <c r="I26" i="74"/>
  <c r="G26" i="74"/>
  <c r="J28" i="74"/>
  <c r="H28" i="74"/>
  <c r="I28" i="74"/>
  <c r="G28" i="74"/>
  <c r="G37" i="74"/>
  <c r="J37" i="74"/>
  <c r="I37" i="74"/>
  <c r="H37" i="74"/>
  <c r="J35" i="74"/>
  <c r="I35" i="74"/>
  <c r="H35" i="74"/>
  <c r="G35" i="74"/>
  <c r="J34" i="74"/>
  <c r="I34" i="74"/>
  <c r="H34" i="74"/>
  <c r="G34" i="74"/>
  <c r="I36" i="74"/>
  <c r="H36" i="74"/>
  <c r="G36" i="74"/>
  <c r="J36" i="74"/>
  <c r="I31" i="74"/>
  <c r="G31" i="74"/>
  <c r="H31" i="74"/>
  <c r="J31" i="74"/>
  <c r="J27" i="74"/>
  <c r="H27" i="74"/>
  <c r="I27" i="74"/>
  <c r="G27" i="74"/>
  <c r="J29" i="74"/>
  <c r="H29" i="74"/>
  <c r="I29" i="74"/>
  <c r="G29" i="74"/>
  <c r="J32" i="74"/>
  <c r="I32" i="74"/>
  <c r="H32" i="74"/>
  <c r="G32" i="74"/>
  <c r="G25" i="74"/>
  <c r="J25" i="74"/>
  <c r="H25" i="74"/>
  <c r="I25" i="74"/>
  <c r="J39" i="74"/>
  <c r="I39" i="74"/>
  <c r="H39" i="74"/>
  <c r="G39" i="74"/>
  <c r="G40" i="74"/>
  <c r="J40" i="74"/>
  <c r="I40" i="74"/>
  <c r="H40" i="74"/>
  <c r="I26" i="69" a="1"/>
  <c r="I26" i="69" s="1"/>
  <c r="G25" i="69" a="1"/>
  <c r="G25" i="69" s="1"/>
  <c r="H25" i="69" a="1"/>
  <c r="H25" i="69" s="1"/>
  <c r="I25" i="69" a="1"/>
  <c r="I25" i="69" s="1"/>
  <c r="H33" i="69" a="1"/>
  <c r="H33" i="69" s="1"/>
  <c r="N33" i="69" s="1"/>
  <c r="I33" i="69" a="1"/>
  <c r="I33" i="69" s="1"/>
  <c r="O33" i="69" s="1"/>
  <c r="J33" i="69" a="1"/>
  <c r="J33" i="69" s="1"/>
  <c r="P33" i="69" s="1"/>
  <c r="J25" i="69" a="1"/>
  <c r="J25" i="69" s="1"/>
  <c r="G26" i="69" a="1"/>
  <c r="G26" i="69" s="1"/>
  <c r="J26" i="69" a="1"/>
  <c r="J26" i="69" s="1"/>
  <c r="Q40" i="74" l="1"/>
  <c r="P40" i="74"/>
  <c r="O40" i="74"/>
  <c r="N40" i="74"/>
  <c r="Q39" i="74"/>
  <c r="P39" i="74"/>
  <c r="O39" i="74"/>
  <c r="N39" i="74"/>
  <c r="O37" i="74"/>
  <c r="N37" i="74"/>
  <c r="Q37" i="74"/>
  <c r="P37" i="74"/>
  <c r="Q29" i="74"/>
  <c r="P29" i="74"/>
  <c r="O29" i="74"/>
  <c r="N29" i="74"/>
  <c r="O30" i="74"/>
  <c r="N30" i="74"/>
  <c r="Q30" i="74"/>
  <c r="P30" i="74"/>
  <c r="P38" i="74"/>
  <c r="Q38" i="74"/>
  <c r="O38" i="74"/>
  <c r="N38" i="74"/>
  <c r="O25" i="74"/>
  <c r="N25" i="74"/>
  <c r="Q25" i="74"/>
  <c r="P25" i="74"/>
  <c r="Q26" i="74"/>
  <c r="P26" i="74"/>
  <c r="O26" i="74"/>
  <c r="N26" i="74"/>
  <c r="N35" i="74"/>
  <c r="O35" i="74"/>
  <c r="Q35" i="74"/>
  <c r="P35" i="74"/>
  <c r="P28" i="74"/>
  <c r="O28" i="74"/>
  <c r="Q28" i="74"/>
  <c r="N28" i="74"/>
  <c r="P31" i="74"/>
  <c r="Q31" i="74"/>
  <c r="O31" i="74"/>
  <c r="N31" i="74"/>
  <c r="Q33" i="74"/>
  <c r="P33" i="74"/>
  <c r="O33" i="74"/>
  <c r="N33" i="74"/>
  <c r="Q36" i="74"/>
  <c r="P36" i="74"/>
  <c r="O36" i="74"/>
  <c r="N36" i="74"/>
  <c r="Q34" i="74"/>
  <c r="P34" i="74"/>
  <c r="O34" i="74"/>
  <c r="N34" i="74"/>
  <c r="P27" i="74"/>
  <c r="O27" i="74"/>
  <c r="N27" i="74"/>
  <c r="Q27" i="74"/>
  <c r="O32" i="74"/>
  <c r="N32" i="74"/>
  <c r="Q32" i="74"/>
  <c r="P32" i="74"/>
  <c r="O37" i="69"/>
  <c r="P37" i="69"/>
  <c r="Q37" i="69"/>
  <c r="O38" i="69"/>
  <c r="N38" i="69"/>
  <c r="Q38" i="69"/>
  <c r="P38" i="69"/>
  <c r="Q27" i="69"/>
  <c r="N27" i="69"/>
  <c r="P27" i="69"/>
  <c r="O27" i="69"/>
  <c r="Q30" i="69"/>
  <c r="O30" i="69"/>
  <c r="P30" i="69"/>
  <c r="N30" i="69"/>
  <c r="Q25" i="69"/>
  <c r="P25" i="69"/>
  <c r="O25" i="69"/>
  <c r="N25" i="69"/>
  <c r="P26" i="69"/>
  <c r="O26" i="69"/>
  <c r="N26" i="69"/>
  <c r="Q26" i="69"/>
  <c r="Q32" i="69"/>
  <c r="P32" i="69"/>
  <c r="O32" i="69"/>
  <c r="N32" i="69"/>
  <c r="E52" i="69"/>
  <c r="E58" i="69"/>
  <c r="E50" i="69"/>
  <c r="E51" i="69"/>
  <c r="E56" i="69"/>
  <c r="E57" i="69"/>
  <c r="E55" i="69"/>
  <c r="E49" i="69"/>
  <c r="E52" i="74" l="1"/>
  <c r="E46" i="74"/>
  <c r="E63" i="69"/>
  <c r="E62" i="69"/>
  <c r="E64" i="69"/>
  <c r="E46" i="69"/>
  <c r="E61" i="69"/>
  <c r="E44" i="69"/>
  <c r="E45" i="69"/>
  <c r="E45" i="74"/>
  <c r="E43" i="74"/>
  <c r="E44" i="74"/>
  <c r="E50" i="74"/>
  <c r="E51" i="74"/>
  <c r="E49" i="74"/>
  <c r="E43" i="69"/>
  <c r="E58" i="74" l="1"/>
  <c r="E69" i="69"/>
  <c r="E11" i="13" s="1"/>
  <c r="F11" i="13" s="1"/>
  <c r="E68" i="69"/>
  <c r="E10" i="13" s="1"/>
  <c r="F10" i="13" s="1"/>
  <c r="E70" i="69"/>
  <c r="E67" i="69"/>
  <c r="E9" i="13" s="1"/>
  <c r="F9" i="13" s="1"/>
  <c r="E56" i="74"/>
  <c r="E13" i="13" s="1"/>
  <c r="F13" i="13" s="1"/>
  <c r="E55" i="74"/>
  <c r="E12" i="13" s="1"/>
  <c r="F12" i="13" s="1"/>
  <c r="E57" i="74"/>
  <c r="E14" i="13" s="1"/>
  <c r="F14" i="13" s="1"/>
  <c r="F15" i="13" l="1"/>
  <c r="E15" i="13"/>
  <c r="A17" i="118"/>
  <c r="A5" i="118"/>
  <c r="A4" i="118"/>
  <c r="A3" i="118"/>
  <c r="A37" i="69" l="1"/>
  <c r="A83" i="69"/>
  <c r="A76" i="74"/>
  <c r="A38" i="7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<sst xmlns="http://schemas.openxmlformats.org/spreadsheetml/2006/main" count="956" uniqueCount="521">
  <si>
    <t>Home</t>
  </si>
  <si>
    <t>INPUTS</t>
  </si>
  <si>
    <t>APPENDICES</t>
  </si>
  <si>
    <t>Emissions breakdown</t>
  </si>
  <si>
    <t>Climate zone</t>
  </si>
  <si>
    <t>Unit</t>
  </si>
  <si>
    <t>State/Territory</t>
  </si>
  <si>
    <t>Common Name</t>
  </si>
  <si>
    <t>Abbreviation</t>
  </si>
  <si>
    <t>SA 4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</si>
  <si>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</si>
  <si>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</si>
  <si>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</si>
  <si>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</si>
  <si>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</si>
  <si>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</si>
  <si>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</si>
  <si>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</si>
  <si>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</si>
  <si>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</si>
  <si>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</si>
  <si>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</si>
  <si>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</si>
  <si>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</si>
  <si>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</si>
  <si>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</si>
  <si>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</si>
  <si>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</si>
  <si>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</si>
  <si>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</si>
  <si>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</si>
  <si>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</si>
  <si>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</si>
  <si>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</si>
  <si>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</si>
  <si>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</si>
  <si>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</si>
  <si>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</si>
  <si>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</si>
  <si>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</si>
  <si>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</si>
  <si>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</si>
  <si>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</si>
  <si>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</si>
  <si>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</si>
  <si>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</si>
  <si>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</si>
  <si>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</si>
  <si>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</si>
  <si>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</si>
  <si>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</si>
  <si>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</si>
  <si>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</si>
  <si>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</si>
  <si>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</si>
  <si>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</si>
  <si>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</si>
  <si>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</si>
  <si>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</si>
  <si>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</si>
  <si>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</si>
  <si>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</si>
  <si>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</si>
  <si>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</si>
  <si>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</si>
  <si>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</si>
  <si>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</si>
  <si>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</si>
  <si>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</si>
  <si>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</si>
  <si>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</si>
  <si>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</si>
  <si>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</si>
  <si>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</si>
  <si>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</si>
  <si>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</si>
  <si>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</si>
  <si>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</si>
  <si>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</si>
  <si>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</si>
  <si>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</si>
  <si>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</si>
  <si>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</si>
  <si>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</si>
  <si>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</si>
  <si>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Input - Fuel</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</si>
  <si>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</si>
  <si>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</si>
  <si>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</si>
  <si>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</si>
  <si>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</si>
  <si>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</si>
  <si>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</si>
  <si>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</si>
  <si>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Power standalone machinery or heating</t>
  </si>
  <si>
    <t>Ethanol</t>
  </si>
  <si>
    <t>Generators</t>
  </si>
  <si>
    <t>Petrol</t>
  </si>
  <si>
    <t>Natural gas (via pipeline) in GJ</t>
  </si>
  <si>
    <t>Aviation</t>
  </si>
  <si>
    <t>Jet A1, Jet B</t>
  </si>
  <si>
    <t>Liquified natural gas (LNG)</t>
  </si>
  <si>
    <t>Diesel - Euro iv or higher</t>
  </si>
  <si>
    <t>Cars and light commercial vehicles</t>
  </si>
  <si>
    <t>Diesel</t>
  </si>
  <si>
    <t>Liquefied petroleum gas (LPG)</t>
  </si>
  <si>
    <t>Town gas in GJ</t>
  </si>
  <si>
    <t>Fuel purchases and consumption</t>
  </si>
  <si>
    <t>8.1.1.1-2 Transport fuel combustion</t>
  </si>
  <si>
    <t>8.2.1.1-2 Stationary fuel combustion</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</si>
  <si>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</si>
  <si>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</si>
  <si>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</si>
  <si>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</si>
  <si>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</si>
  <si>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</si>
  <si>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</si>
  <si>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</si>
  <si>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</si>
  <si>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</si>
  <si>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State or territory</t>
  </si>
  <si>
    <t>Appendices</t>
  </si>
  <si>
    <t>Fuel type</t>
  </si>
  <si>
    <t>kL</t>
  </si>
  <si>
    <t>Biodiesel</t>
  </si>
  <si>
    <t>Other biofuels</t>
  </si>
  <si>
    <t>Renewable diesel</t>
  </si>
  <si>
    <t>Avgas</t>
  </si>
  <si>
    <t>Renewable aviation kerosene</t>
  </si>
  <si>
    <t>Diesel - Euro iii</t>
  </si>
  <si>
    <t>Diesel - Euro i</t>
  </si>
  <si>
    <t>Renewable diesel – Euro iv or higher</t>
  </si>
  <si>
    <t>Renewable diesel – Euro iii</t>
  </si>
  <si>
    <t>Renewable diesel – Euro i</t>
  </si>
  <si>
    <t>Fuel oil</t>
  </si>
  <si>
    <t>GJ</t>
  </si>
  <si>
    <t>Transport type t</t>
  </si>
  <si>
    <t>Fuel type q</t>
  </si>
  <si>
    <t>ECTrans,q (GJ/kL)</t>
  </si>
  <si>
    <t>Scope 1 CO2 EFTran,1,tqg (kg CO2-e/GJ)</t>
  </si>
  <si>
    <t>Scope 1 CH4 EFTran,1,tgg (kg CO2-e/GJ)</t>
  </si>
  <si>
    <t>Scope 1 N2O EFTran,1,tgg (kg CO2-e/GJ)</t>
  </si>
  <si>
    <t>Scope 3 EFTrans,3,q (kg CO2-e/GJ)</t>
  </si>
  <si>
    <t>General use</t>
  </si>
  <si>
    <t>Off-road Agriculture and forestry equipment</t>
  </si>
  <si>
    <t>Vessels</t>
  </si>
  <si>
    <t>Fuel use</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</si>
  <si>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</si>
  <si>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</si>
  <si>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</si>
  <si>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</si>
  <si>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</si>
  <si>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</si>
  <si>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</si>
  <si>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</si>
  <si>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</si>
  <si>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t>CO2</t>
  </si>
  <si>
    <t>CH4</t>
  </si>
  <si>
    <t>N2O</t>
  </si>
  <si>
    <t>Fuel type (NGAF terminology)</t>
  </si>
  <si>
    <t>Table_E_g</t>
  </si>
  <si>
    <t>Emissions for transport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</si>
  <si>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</si>
  <si>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</si>
  <si>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</si>
  <si>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</si>
  <si>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</si>
  <si>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Q</t>
    </r>
    <r>
      <rPr>
        <b/>
        <vertAlign val="subscript"/>
        <sz val="11"/>
        <color rgb="FF533001"/>
        <rFont val="Times New Roman"/>
        <family val="1"/>
      </rPr>
      <t>SC,q</t>
    </r>
  </si>
  <si>
    <r>
      <t>Q</t>
    </r>
    <r>
      <rPr>
        <b/>
        <vertAlign val="subscript"/>
        <sz val="11"/>
        <color rgb="FF533001"/>
        <rFont val="Times New Roman"/>
        <family val="1"/>
      </rPr>
      <t>Trans,q</t>
    </r>
  </si>
  <si>
    <t>8.1.1.1-2 Transport fuel: CO2</t>
  </si>
  <si>
    <t>8.1.1.1-2 Transport fuel: CH4</t>
  </si>
  <si>
    <t>8.1.1.1-2 Transport fuel: N2O</t>
  </si>
  <si>
    <t>8.2.1.1-2 Stationary fuel: CO2</t>
  </si>
  <si>
    <t>8.2.1.1-2 Stationary fuel: CH4</t>
  </si>
  <si>
    <t>8.2.1.1-2 Stationary fuel: N2O</t>
  </si>
  <si>
    <t>Total scope 1 - All stationary fuel use</t>
  </si>
  <si>
    <t>Total sope 1 - All transport fuel combustion</t>
  </si>
  <si>
    <t>8: Fuel use: Overview</t>
  </si>
  <si>
    <t>8: Fuel use: Results</t>
  </si>
  <si>
    <t xml:space="preserve"> </t>
  </si>
  <si>
    <r>
      <t>EF</t>
    </r>
    <r>
      <rPr>
        <b/>
        <vertAlign val="subscript"/>
        <sz val="11"/>
        <color rgb="FF183C1B"/>
        <rFont val="Times New Roman"/>
        <family val="1"/>
      </rPr>
      <t>Trans,3,q</t>
    </r>
  </si>
  <si>
    <t>Scope 3</t>
  </si>
  <si>
    <r>
      <t>E</t>
    </r>
    <r>
      <rPr>
        <b/>
        <vertAlign val="subscript"/>
        <sz val="11"/>
        <color rgb="FF183C1B"/>
        <rFont val="Times New Roman"/>
        <family val="1"/>
      </rPr>
      <t>3WTT,trans,q</t>
    </r>
  </si>
  <si>
    <r>
      <t>EF</t>
    </r>
    <r>
      <rPr>
        <b/>
        <vertAlign val="subscript"/>
        <sz val="11"/>
        <color rgb="FF183C1B"/>
        <rFont val="Times New Roman"/>
        <family val="1"/>
      </rPr>
      <t>SC,3,q</t>
    </r>
  </si>
  <si>
    <r>
      <t>E</t>
    </r>
    <r>
      <rPr>
        <b/>
        <vertAlign val="subscript"/>
        <sz val="11"/>
        <color rgb="FF183C1B"/>
        <rFont val="Times New Roman"/>
        <family val="1"/>
      </rPr>
      <t>WTT,SC,q=N20</t>
    </r>
  </si>
  <si>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</si>
  <si>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</si>
  <si>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</si>
  <si>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</si>
  <si>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</si>
  <si>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</si>
  <si>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</si>
  <si>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</si>
  <si>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</si>
  <si>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</si>
  <si>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</si>
  <si>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</si>
  <si>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</si>
  <si>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</si>
  <si>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</si>
  <si>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</si>
  <si>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</si>
  <si>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</si>
  <si>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</si>
  <si>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 On or east of the dividing range in NSW (including Canberra and Queanbeyan)</t>
  </si>
  <si>
    <t>A 'Metropolitan' location is:</t>
  </si>
  <si>
    <t>● In Melbourne, Brisbane, Adelaide or Perth</t>
  </si>
  <si>
    <t>Is the property in a Metropolitan location?</t>
  </si>
  <si>
    <t>Metro</t>
  </si>
  <si>
    <t>Non-metro</t>
  </si>
  <si>
    <t>Emissions for each GHG from the combustion of fuels for transport energy purposes</t>
  </si>
  <si>
    <t>VEERG 2026: 8.1.1.1, Equation (1)</t>
  </si>
  <si>
    <t>Upstream emissions from scope 1 fuel use for transport purposes</t>
  </si>
  <si>
    <t>VEERG 2026: 15.11.1.1, Equation (2)</t>
  </si>
  <si>
    <t>E_g</t>
  </si>
  <si>
    <t>t CO2-e</t>
  </si>
  <si>
    <t>E_WTTtransq</t>
  </si>
  <si>
    <t>Q_Transtq</t>
  </si>
  <si>
    <t>Amount of fuel type q combusted for transport energy purposes</t>
  </si>
  <si>
    <t>EC_Transq</t>
  </si>
  <si>
    <t>Energy content factor for transport energy purposes</t>
  </si>
  <si>
    <t>EF_Trans1tqg</t>
  </si>
  <si>
    <t>Scope 1 emission factor for transport energy purposes for each greenhouse gas</t>
  </si>
  <si>
    <t>q</t>
  </si>
  <si>
    <t>Trans</t>
  </si>
  <si>
    <t>Transport combustion</t>
  </si>
  <si>
    <t>g</t>
  </si>
  <si>
    <t>Greenhouse gas</t>
  </si>
  <si>
    <t>Scope 1</t>
  </si>
  <si>
    <t>Varies based on fuel type: kL, m3, GJ</t>
  </si>
  <si>
    <t>Input</t>
  </si>
  <si>
    <t>GJ / unit of fuel</t>
  </si>
  <si>
    <t>Constant</t>
  </si>
  <si>
    <t>kg CO2e / GJ</t>
  </si>
  <si>
    <t>Q_Transq</t>
  </si>
  <si>
    <t>amount of fuel q combusted for transport energy purposes</t>
  </si>
  <si>
    <t>energy content factor for transport energy purposes</t>
  </si>
  <si>
    <t>EF_Trans3q</t>
  </si>
  <si>
    <t>scope 3 emission factor for transport energy purposes</t>
  </si>
  <si>
    <t>GJ/kL or GJ/m3</t>
  </si>
  <si>
    <t>kg CO2e/GJ</t>
  </si>
  <si>
    <t>Emissions for each GHG from the stationary combustion of fuels</t>
  </si>
  <si>
    <t>VEERG 2026: 8.2.1.1, Equation (1)</t>
  </si>
  <si>
    <t>Upstream emissions from scope 1 stationary combustion fuel use</t>
  </si>
  <si>
    <t>VEERG 2026: 15.11.1.1, Equation (3)</t>
  </si>
  <si>
    <t>VARIATION ON SOURCE: Added 'state' and 'metro/non-metro' arguments as gaseous scope 3 EFs are state and metro/non-metro location-based.</t>
  </si>
  <si>
    <t>E_WTTSCq</t>
  </si>
  <si>
    <t>Q_SCq</t>
  </si>
  <si>
    <t>Amount of fuel type q used for stationary combustion operations</t>
  </si>
  <si>
    <t>EC_SCq</t>
  </si>
  <si>
    <t>Energy content factor for stationary combustion operations</t>
  </si>
  <si>
    <t>EF_SC1qg</t>
  </si>
  <si>
    <t>Scope 1 emission factor for stationary combustion for each greenhouse gas</t>
  </si>
  <si>
    <t>SC</t>
  </si>
  <si>
    <t>Stationary combustion</t>
  </si>
  <si>
    <t>amount of fuel q used for stationary combustion operations</t>
  </si>
  <si>
    <t>energy content factor for stationary combustion operations</t>
  </si>
  <si>
    <t>EF_SC3q</t>
  </si>
  <si>
    <t>scope 3 emission factor for stationary combustion operations</t>
  </si>
  <si>
    <t>i</t>
  </si>
  <si>
    <t>state</t>
  </si>
  <si>
    <t>m</t>
  </si>
  <si>
    <t>metropolitan/non-metropolitan location</t>
  </si>
  <si>
    <t>GJ/kL</t>
  </si>
  <si>
    <t>Fuel scope 1 and 3 emission factors - Transport</t>
  </si>
  <si>
    <t>Direct (scope 1) and indirect (scope 3) emission factors for the consumption of transport fuels in different transport equipment</t>
  </si>
  <si>
    <t>Australian National Greenhouse Accounts Factors 2025 - Table 9</t>
  </si>
  <si>
    <t>Gasoline</t>
  </si>
  <si>
    <t>kl</t>
  </si>
  <si>
    <t>Diesel oil</t>
  </si>
  <si>
    <t>NE</t>
  </si>
  <si>
    <t>Light duty vehicles</t>
  </si>
  <si>
    <t>Compressed natural gas</t>
  </si>
  <si>
    <t>m3</t>
  </si>
  <si>
    <t>Liquefied natural gas</t>
  </si>
  <si>
    <t>Heavy duty vehicles</t>
  </si>
  <si>
    <t>Diesel oil - Euro iv or higher</t>
  </si>
  <si>
    <t>Diesel oil - Euro iii</t>
  </si>
  <si>
    <t>Diesel oil - Euro i</t>
  </si>
  <si>
    <t>Gasoline for use as fuel in an aircraft</t>
  </si>
  <si>
    <t>Kerosene for use as fuel in an aircraft</t>
  </si>
  <si>
    <t>Fuel Oil</t>
  </si>
  <si>
    <t>Fuel scope 1 and 3 emission factors - Off-road equipment and vessels</t>
  </si>
  <si>
    <t>VEERG 2026: Table A.4.2.1</t>
  </si>
  <si>
    <t>Vessel</t>
  </si>
  <si>
    <t>Fuel scope 1 and 3 emission factors - Stationary liquid fuels</t>
  </si>
  <si>
    <t>Direct (Scope 1) and indirect (scope 3) emission factors for the consumption of liquid fuels, including certain petroleum based products for stationary energy purposes.</t>
  </si>
  <si>
    <t>Australian National Greenhouse Accounts Factors 2025 - Table 8</t>
  </si>
  <si>
    <t>Petroleum based oils (other than petroleum based oil used as fuel), e.g. lubricants</t>
  </si>
  <si>
    <t>Petroleum based greases</t>
  </si>
  <si>
    <t>Crude oil including crude oil condensates</t>
  </si>
  <si>
    <t>t</t>
  </si>
  <si>
    <t>Other natural gas liquids</t>
  </si>
  <si>
    <t>Automotive gasoline / petrol (other than for use as fuel in an aircraft)</t>
  </si>
  <si>
    <t>Aviation gasoline</t>
  </si>
  <si>
    <t>Kerosene (other than for use as fuel in an aircraft)</t>
  </si>
  <si>
    <t>Aviation turbine fuel / kerosene</t>
  </si>
  <si>
    <t>Heating oil</t>
  </si>
  <si>
    <t>Liquefied aromatic hydrocarbons</t>
  </si>
  <si>
    <t>Solvents: mineral turpentine or white spirits</t>
  </si>
  <si>
    <t>Naphtha</t>
  </si>
  <si>
    <t>Petroleum coke</t>
  </si>
  <si>
    <t>Refinery gas and liquids</t>
  </si>
  <si>
    <t>Refinery coke</t>
  </si>
  <si>
    <t>Petroleum based products other than mentioned in the items above</t>
  </si>
  <si>
    <t>Ethanol for use as a fuel in an internal combustion engine</t>
  </si>
  <si>
    <t>Biofuels other than those mentioned in the items above and below</t>
  </si>
  <si>
    <t>Fuel scope 1 emission factors - Stationary gaseous fuels</t>
  </si>
  <si>
    <t xml:space="preserve">Direct (Scope 1) emission factors for the consumption of gaseous fuels including liquefied natural gas  </t>
  </si>
  <si>
    <t>Australian National Greenhouse Accounts Factors 2025 - Table 5</t>
  </si>
  <si>
    <t>Natural gas distributed in a pipeline</t>
  </si>
  <si>
    <t>Coal seam methane that is captured for combustion</t>
  </si>
  <si>
    <t>Coal mine waste gas that is captured for combustion</t>
  </si>
  <si>
    <t>Compressed natural gas(reverting to standard conditions)</t>
  </si>
  <si>
    <t>Unprocessed natural gas</t>
  </si>
  <si>
    <t>Ethane</t>
  </si>
  <si>
    <t>Coke oven gas</t>
  </si>
  <si>
    <t>Blast furnace gas</t>
  </si>
  <si>
    <t>Town gas</t>
  </si>
  <si>
    <t>Gaseous fossil fuels other than those mentioned in the items above</t>
  </si>
  <si>
    <t>Landfill biogas that is captured for combustion (methane only)</t>
  </si>
  <si>
    <t>Sludge biogas that is captured for combustion (methane only)</t>
  </si>
  <si>
    <t>A biogas that is captured for combustion, other than those mentioned in the items above</t>
  </si>
  <si>
    <t>Biomethane</t>
  </si>
  <si>
    <t>Hydrogen</t>
  </si>
  <si>
    <t>Natural gas distributed in a pipeline - Gigajoules</t>
  </si>
  <si>
    <t>Town gas - Gigajoules</t>
  </si>
  <si>
    <t>Fuel scope 3 emission factors - Stationary gaseous fuels</t>
  </si>
  <si>
    <t>Indirect (Scope 3) emission factors for the consumption of natural gas.</t>
  </si>
  <si>
    <t>Australian National Greenhouse Accounts Factors 2025 - Table 6</t>
  </si>
  <si>
    <t>New South Wales</t>
  </si>
  <si>
    <t>-</t>
  </si>
  <si>
    <t>Column1</t>
  </si>
  <si>
    <t>As Scope 3 factors are calculated at the point where natural gas is delivered to end users, it is necessary to calculate consumption at each of the load centres.</t>
  </si>
  <si>
    <t>Gas reaches end users either from the metro distribution networks or direct from the high - pressure distribution pipelines.</t>
  </si>
  <si>
    <t>Households and commercial users tend to be served by the former, and electricity generators and large industrial plants from the latter.</t>
  </si>
  <si>
    <t>Metro is defined as located on or east of the dividing range in NSW, including Canberra and Queanbeyan, Melbourne, Brisbane, Adelaide or Perth.</t>
  </si>
  <si>
    <t>Otherwise, the non - metro factor should be used.</t>
  </si>
  <si>
    <t>Factors are calculated for all natural gas distributed in a pipeline which may include coal seam methane.</t>
  </si>
  <si>
    <t>Table 6 is not applicable to ethane. See Table 7 Indirect (Scope 3) emissions from the consumption of ethane.</t>
  </si>
  <si>
    <t>C = Confidential. Scope 3 emission factors for Tasmania and the Northern Territory are not available due to confidentiality constraints that arise</t>
  </si>
  <si>
    <t>from the use of a limited number of NGER data inputs. It is suggested that for Tasmania the use of the Victorian emission factors is appropriate,</t>
  </si>
  <si>
    <t>while for Northern Territory the use of the Western Australian emission factors is appropriate.</t>
  </si>
  <si>
    <t>Scope 3 emission factors do not include fugitive emission leakage from low pressure natural gas distribution pipeline networks while those from high pressure</t>
  </si>
  <si>
    <t>gas networks are considered negligible.</t>
  </si>
  <si>
    <t>ACT</t>
  </si>
  <si>
    <t>Victoria</t>
  </si>
  <si>
    <t>Queensland</t>
  </si>
  <si>
    <t>South Australia</t>
  </si>
  <si>
    <t>Tasmania</t>
  </si>
  <si>
    <t>Northern Territory</t>
  </si>
  <si>
    <t>Australian states and territories</t>
  </si>
  <si>
    <t>NSW</t>
  </si>
  <si>
    <t>Australian Capital Territory</t>
  </si>
  <si>
    <t>VIC</t>
  </si>
  <si>
    <t>QLD</t>
  </si>
  <si>
    <t>SA</t>
  </si>
  <si>
    <t>WA</t>
  </si>
  <si>
    <t>TAS</t>
  </si>
  <si>
    <t>NT</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</si>
  <si>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</si>
  <si>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</si>
  <si>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</si>
  <si>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</si>
  <si>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</si>
  <si>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</si>
  <si>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</si>
  <si>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</si>
  <si>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</si>
  <si>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</si>
  <si>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</si>
  <si>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</si>
  <si>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</si>
  <si>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</si>
  <si>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</si>
  <si>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</si>
  <si>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</si>
  <si>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</si>
  <si>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</si>
  <si>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</si>
  <si>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</si>
  <si>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</si>
  <si>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</si>
  <si>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</si>
  <si>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</si>
  <si>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</si>
  <si>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</si>
  <si>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</si>
  <si>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</si>
  <si>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</si>
  <si>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</si>
  <si>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</si>
  <si>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</si>
  <si>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</si>
  <si>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</si>
  <si>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</si>
  <si>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</si>
  <si>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</si>
  <si>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</si>
  <si>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</si>
  <si>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</si>
  <si>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</si>
  <si>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</si>
  <si>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</si>
  <si>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</si>
  <si>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</si>
  <si>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</si>
  <si>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</si>
  <si>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</si>
  <si>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</si>
  <si>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</si>
  <si>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</si>
  <si>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</si>
  <si>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</si>
  <si>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</si>
  <si>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</si>
  <si>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</si>
  <si>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</si>
  <si>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</si>
  <si>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</si>
  <si>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</si>
  <si>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</si>
  <si>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</si>
  <si>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</si>
  <si>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</si>
  <si>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</si>
  <si>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</si>
  <si>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</si>
  <si>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</si>
  <si>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</si>
  <si>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</si>
  <si>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</si>
  <si>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</si>
  <si>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</si>
  <si>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</si>
  <si>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</si>
  <si>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</si>
  <si>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</si>
  <si>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</si>
  <si>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</si>
  <si>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</si>
  <si>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</si>
  <si>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</si>
  <si>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</si>
  <si>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</si>
  <si>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</si>
  <si>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</si>
  <si>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</si>
  <si>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Not irrigated</t>
  </si>
  <si>
    <t>Drip irrigation</t>
  </si>
  <si>
    <t>Sprinkler irrigation</t>
  </si>
  <si>
    <t>Surface irrigation</t>
  </si>
  <si>
    <t>Other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</si>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</sst>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0.00000"/>
    <numFmt numFmtId="171" formatCode="_-* #,##0_-;\-* #,##0_-;_-* &quot;-&quot;??_-;_-@_-"/>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sz val="10"/>
      <color theme="1"/>
      <name val="Times New Roman"/>
      <family val="2"/>
      <scheme val="minor"/>
    </font>
    <font>
      <b/>
      <sz val="9"/>
      <name val="Times New Roman"/>
      <family val="1"/>
    </font>
    <font>
      <b/>
      <sz val="10"/>
      <color theme="1" tint="0.34998626667073579"/>
      <name val="Times New Roman"/>
      <family val="1"/>
    </font>
    <font>
      <sz val="16"/>
      <name val="Times New Roman"/>
      <family val="1"/>
    </font>
    <font>
      <u/>
      <sz val="11"/>
      <color theme="10"/>
      <name val="Times New Roman"/>
      <family val="2"/>
      <scheme val="minor"/>
    </font>
    <font>
      <i/>
      <sz val="10"/>
      <color theme="1" tint="0.34998626667073579"/>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4">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7" fillId="4" borderId="2">
      <alignment horizontal="left" vertical="center"/>
    </xf>
    <xf numFmtId="0" fontId="26" fillId="4" borderId="2">
      <alignment horizontal="left" vertical="center"/>
    </xf>
    <xf numFmtId="0" fontId="48" fillId="0" borderId="0"/>
    <xf numFmtId="0" fontId="55"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57">
    <xf numFmtId="0" fontId="0" fillId="0" borderId="0" xfId="0"/>
    <xf numFmtId="0" fontId="31"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5" fillId="2" borderId="0" xfId="9">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36" fillId="13" borderId="10" xfId="39" applyBorder="1">
      <alignment horizontal="left" vertical="center"/>
    </xf>
    <xf numFmtId="0" fontId="40" fillId="4" borderId="0" xfId="58">
      <alignment horizontal="left" vertical="center"/>
    </xf>
    <xf numFmtId="0" fontId="39" fillId="4" borderId="0" xfId="57">
      <alignment horizontal="left" vertical="center"/>
    </xf>
    <xf numFmtId="0" fontId="6" fillId="4" borderId="1" xfId="53" applyBorder="1">
      <alignment horizontal="left" vertical="center"/>
    </xf>
    <xf numFmtId="0" fontId="42" fillId="4" borderId="0" xfId="59">
      <alignment horizontal="left" vertical="center"/>
    </xf>
    <xf numFmtId="2" fontId="24" fillId="4" borderId="1" xfId="0" applyNumberFormat="1" applyFont="1" applyFill="1" applyBorder="1" applyAlignment="1">
      <alignment horizont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47" fillId="4" borderId="2" xfId="64">
      <alignment horizontal="left" vertical="center"/>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8" fillId="0" borderId="0" xfId="66"/>
    <xf numFmtId="4" fontId="26" fillId="4" borderId="2" xfId="46">
      <alignment horizontal="center" vertical="center"/>
    </xf>
    <xf numFmtId="169" fontId="8" fillId="4" borderId="0" xfId="10" applyNumberFormat="1">
      <alignment horizontal="center" vertical="center"/>
    </xf>
    <xf numFmtId="0" fontId="49"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8" borderId="0" xfId="37">
      <alignment horizontal="left" vertical="center" indent="1"/>
    </xf>
    <xf numFmtId="0" fontId="20" fillId="10" borderId="0" xfId="35">
      <alignment horizontal="left" vertical="center" indent="1"/>
    </xf>
    <xf numFmtId="0" fontId="0" fillId="0" borderId="0" xfId="7" applyFont="1" applyFill="1" applyAlignment="1">
      <alignment horizontal="center" vertical="center"/>
    </xf>
    <xf numFmtId="9" fontId="0" fillId="0" borderId="0" xfId="16" applyFont="1" applyBorder="1">
      <alignment horizontal="center" vertical="center"/>
    </xf>
    <xf numFmtId="0" fontId="50" fillId="0" borderId="0" xfId="0" applyFont="1" applyAlignment="1">
      <alignment vertical="center" wrapText="1"/>
    </xf>
    <xf numFmtId="0" fontId="51" fillId="0" borderId="0" xfId="0" applyFont="1" applyAlignment="1">
      <alignment horizontal="left" vertical="center"/>
    </xf>
    <xf numFmtId="0" fontId="50" fillId="0" borderId="0" xfId="0" applyFont="1" applyAlignment="1">
      <alignment vertical="center"/>
    </xf>
    <xf numFmtId="0" fontId="50" fillId="0" borderId="0" xfId="0" applyFont="1" applyAlignment="1">
      <alignment horizontal="left" vertical="center"/>
    </xf>
    <xf numFmtId="0" fontId="50" fillId="4" borderId="0" xfId="0" applyFont="1" applyFill="1" applyAlignment="1">
      <alignment horizontal="left" vertical="center"/>
    </xf>
    <xf numFmtId="0" fontId="0" fillId="0" borderId="0" xfId="0" applyAlignment="1">
      <alignment horizontal="left" vertical="center"/>
    </xf>
    <xf numFmtId="0" fontId="32" fillId="4" borderId="0" xfId="8" applyFont="1" applyAlignment="1">
      <alignment horizontal="right" vertical="center"/>
    </xf>
    <xf numFmtId="0" fontId="52" fillId="4" borderId="0" xfId="0" applyFont="1" applyFill="1"/>
    <xf numFmtId="0" fontId="50" fillId="0" borderId="0" xfId="0" applyFont="1"/>
    <xf numFmtId="0" fontId="50" fillId="0" borderId="0" xfId="7" applyFont="1" applyFill="1">
      <alignment horizontal="left" vertical="center"/>
    </xf>
    <xf numFmtId="0" fontId="50" fillId="4" borderId="0" xfId="0" applyFont="1" applyFill="1"/>
    <xf numFmtId="0" fontId="50" fillId="4" borderId="0" xfId="7" applyFont="1">
      <alignment horizontal="left" vertical="center"/>
    </xf>
    <xf numFmtId="0" fontId="30" fillId="4" borderId="0" xfId="48" applyAlignment="1">
      <alignment horizontal="left" vertical="center"/>
    </xf>
    <xf numFmtId="0" fontId="25" fillId="4" borderId="0" xfId="50">
      <alignment horizontal="left" vertical="center"/>
    </xf>
    <xf numFmtId="4" fontId="26" fillId="4" borderId="15" xfId="46" applyBorder="1">
      <alignment horizontal="center" vertical="center"/>
    </xf>
    <xf numFmtId="0" fontId="3" fillId="4" borderId="1" xfId="7" applyBorder="1">
      <alignment horizontal="left" vertical="center"/>
    </xf>
    <xf numFmtId="0" fontId="30" fillId="4" borderId="1" xfId="48" applyBorder="1" applyAlignment="1">
      <alignment horizontal="left" vertical="center"/>
    </xf>
    <xf numFmtId="4" fontId="26" fillId="4" borderId="16" xfId="46" applyBorder="1">
      <alignment horizontal="center" vertical="center"/>
    </xf>
    <xf numFmtId="0" fontId="53" fillId="4" borderId="16" xfId="52" applyFont="1" applyBorder="1">
      <alignment horizontal="center" vertical="center"/>
    </xf>
    <xf numFmtId="0" fontId="3" fillId="4" borderId="14" xfId="7" applyBorder="1">
      <alignment horizontal="left" vertical="center"/>
    </xf>
    <xf numFmtId="165" fontId="28" fillId="4" borderId="14" xfId="0" applyNumberFormat="1" applyFont="1" applyFill="1" applyBorder="1"/>
    <xf numFmtId="0" fontId="6" fillId="4" borderId="14" xfId="12" applyBorder="1">
      <alignment horizontal="left" vertical="center" indent="1"/>
    </xf>
    <xf numFmtId="165" fontId="28" fillId="4" borderId="14" xfId="0" applyNumberFormat="1" applyFont="1" applyFill="1" applyBorder="1" applyAlignment="1">
      <alignment vertical="center"/>
    </xf>
    <xf numFmtId="0" fontId="28" fillId="4" borderId="0" xfId="0" applyFont="1" applyFill="1" applyAlignment="1">
      <alignment vertical="center"/>
    </xf>
    <xf numFmtId="165" fontId="54" fillId="4" borderId="14" xfId="0" applyNumberFormat="1" applyFont="1" applyFill="1" applyBorder="1" applyAlignment="1">
      <alignment vertical="center"/>
    </xf>
    <xf numFmtId="0" fontId="51" fillId="0" borderId="0" xfId="8" applyFont="1" applyFill="1">
      <alignment horizontal="left" vertical="center"/>
    </xf>
    <xf numFmtId="0" fontId="26" fillId="4" borderId="15" xfId="52" applyBorder="1">
      <alignment horizontal="center" vertical="center"/>
    </xf>
    <xf numFmtId="0" fontId="26" fillId="4" borderId="17" xfId="52" applyBorder="1">
      <alignment horizontal="center" vertical="center"/>
    </xf>
    <xf numFmtId="0" fontId="26" fillId="4" borderId="16" xfId="52" applyBorder="1">
      <alignment horizontal="center" vertical="center"/>
    </xf>
    <xf numFmtId="4" fontId="26" fillId="4" borderId="17" xfId="46" applyBorder="1">
      <alignment horizontal="center" vertical="center"/>
    </xf>
    <xf numFmtId="168" fontId="28" fillId="4" borderId="0" xfId="0" applyNumberFormat="1" applyFont="1" applyFill="1" applyAlignment="1">
      <alignment vertical="center"/>
    </xf>
    <xf numFmtId="170" fontId="53" fillId="4" borderId="2" xfId="52" applyNumberFormat="1" applyFont="1">
      <alignment horizontal="center" vertical="center"/>
    </xf>
    <xf numFmtId="170" fontId="53" fillId="4" borderId="15" xfId="52" applyNumberFormat="1" applyFont="1" applyBorder="1">
      <alignment horizontal="center" vertical="center"/>
    </xf>
    <xf numFmtId="170" fontId="53" fillId="4" borderId="16" xfId="52" applyNumberFormat="1" applyFont="1" applyBorder="1">
      <alignment horizontal="center" vertical="center"/>
    </xf>
    <xf numFmtId="168" fontId="53" fillId="4" borderId="2" xfId="46" applyNumberFormat="1" applyFont="1">
      <alignment horizontal="center" vertical="center"/>
    </xf>
    <xf numFmtId="168" fontId="53" fillId="4" borderId="15" xfId="46" applyNumberFormat="1" applyFont="1" applyBorder="1">
      <alignment horizontal="center" vertical="center"/>
    </xf>
    <xf numFmtId="168" fontId="53" fillId="4" borderId="16" xfId="46" applyNumberFormat="1" applyFont="1" applyBorder="1">
      <alignment horizontal="center" vertical="center"/>
    </xf>
    <xf numFmtId="0" fontId="26" fillId="4" borderId="18" xfId="52" applyBorder="1">
      <alignment horizontal="center" vertical="center"/>
    </xf>
    <xf numFmtId="170" fontId="53" fillId="4" borderId="17" xfId="52" applyNumberFormat="1" applyFont="1" applyBorder="1">
      <alignment horizontal="center" vertical="center"/>
    </xf>
    <xf numFmtId="0" fontId="10" fillId="0" borderId="0" xfId="2" applyFont="1"/>
    <xf numFmtId="0" fontId="3" fillId="4" borderId="19" xfId="7" applyBorder="1">
      <alignment horizontal="left" vertical="center"/>
    </xf>
    <xf numFmtId="0" fontId="29" fillId="0" borderId="0" xfId="5" applyFill="1">
      <alignment horizontal="left" vertical="center"/>
    </xf>
    <xf numFmtId="0" fontId="11" fillId="4" borderId="0" xfId="30">
      <alignment vertical="center"/>
    </xf>
    <xf numFmtId="0" fontId="34" fillId="0" borderId="0" xfId="6" applyFill="1">
      <alignment vertical="center"/>
    </xf>
    <xf numFmtId="0" fontId="2" fillId="0" borderId="2" xfId="14">
      <alignment horizontal="center" vertical="center"/>
    </xf>
    <xf numFmtId="0" fontId="2" fillId="4" borderId="0" xfId="7" applyFont="1">
      <alignment horizontal="left" vertical="center"/>
    </xf>
    <xf numFmtId="0" fontId="31" fillId="0" borderId="0" xfId="8" applyFill="1">
      <alignment horizontal="left" vertical="center"/>
    </xf>
    <xf numFmtId="0" fontId="36" fillId="13" borderId="20" xfId="39" applyBorder="1">
      <alignment horizontal="left" vertical="center"/>
    </xf>
    <xf numFmtId="0" fontId="36" fillId="13" borderId="21" xfId="39" applyBorder="1">
      <alignment horizontal="left" vertical="center"/>
    </xf>
    <xf numFmtId="0" fontId="36" fillId="13" borderId="22" xfId="39" applyBorder="1">
      <alignment horizontal="left" vertical="center"/>
    </xf>
    <xf numFmtId="0" fontId="36" fillId="13" borderId="23" xfId="39" applyBorder="1">
      <alignment horizontal="left" vertical="center"/>
    </xf>
    <xf numFmtId="0" fontId="56"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7"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57" fillId="0" borderId="0" xfId="0" applyFont="1" applyAlignment="1" applyProtection="1">
      <alignment horizontal="center" vertical="center"/>
      <protection locked="0"/>
    </xf>
    <xf numFmtId="4" fontId="58" fillId="0" borderId="0" xfId="17" applyFont="1" applyBorder="1">
      <alignment horizontal="center" vertical="center"/>
    </xf>
    <xf numFmtId="164" fontId="8" fillId="4" borderId="0" xfId="26" applyBorder="1">
      <alignment horizontal="center" vertical="center"/>
    </xf>
    <xf numFmtId="4" fontId="58" fillId="4" borderId="0" xfId="17" applyFont="1" applyFill="1" applyBorder="1">
      <alignment horizontal="center" vertical="center"/>
    </xf>
    <xf numFmtId="0" fontId="58" fillId="4" borderId="0" xfId="12" applyFont="1" applyAlignment="1">
      <alignment horizontal="center" vertical="center"/>
    </xf>
    <xf numFmtId="0" fontId="58" fillId="4" borderId="0" xfId="8" applyFont="1" applyAlignment="1">
      <alignment horizontal="center" vertical="center"/>
    </xf>
    <xf numFmtId="166" fontId="58" fillId="4" borderId="0" xfId="8" applyNumberFormat="1" applyFont="1" applyAlignment="1">
      <alignment horizontal="center" vertical="center"/>
    </xf>
    <xf numFmtId="9" fontId="58" fillId="4" borderId="0" xfId="69" applyFont="1" applyFill="1" applyBorder="1" applyAlignment="1">
      <alignment horizontal="center" vertical="center"/>
    </xf>
    <xf numFmtId="0" fontId="59" fillId="4" borderId="0" xfId="0" applyFont="1" applyFill="1" applyAlignment="1">
      <alignment horizontal="center" vertical="center"/>
    </xf>
    <xf numFmtId="0" fontId="59" fillId="4" borderId="0" xfId="0" applyFont="1" applyFill="1"/>
    <xf numFmtId="0" fontId="58" fillId="4" borderId="0" xfId="0" applyFont="1" applyFill="1"/>
    <xf numFmtId="0" fontId="58" fillId="0" borderId="0" xfId="0" applyFont="1"/>
    <xf numFmtId="0" fontId="60" fillId="4" borderId="0" xfId="7" applyFont="1" applyAlignment="1">
      <alignment horizontal="center" vertical="center"/>
    </xf>
    <xf numFmtId="0" fontId="61" fillId="4" borderId="0" xfId="7" applyFont="1" applyAlignment="1">
      <alignment horizontal="center" vertical="center"/>
    </xf>
    <xf numFmtId="166" fontId="61" fillId="4" borderId="0" xfId="7" applyNumberFormat="1" applyFont="1" applyAlignment="1">
      <alignment horizontal="center" vertical="center"/>
    </xf>
    <xf numFmtId="0" fontId="61" fillId="4" borderId="0" xfId="0" applyFont="1" applyFill="1" applyAlignment="1">
      <alignment horizontal="center" vertical="center"/>
    </xf>
    <xf numFmtId="0" fontId="62" fillId="4" borderId="0" xfId="0" applyFont="1" applyFill="1" applyAlignment="1">
      <alignment horizontal="center" vertical="center"/>
    </xf>
    <xf numFmtId="0" fontId="62" fillId="4" borderId="0" xfId="0" applyFont="1" applyFill="1" applyAlignment="1">
      <alignment horizontal="left" vertical="center"/>
    </xf>
    <xf numFmtId="14" fontId="3" fillId="4" borderId="0" xfId="7" applyNumberFormat="1">
      <alignment horizontal="left" vertical="center"/>
    </xf>
    <xf numFmtId="0" fontId="55" fillId="4" borderId="0" xfId="67" applyFill="1" applyBorder="1"/>
    <xf numFmtId="166" fontId="2" fillId="4" borderId="0" xfId="18" applyNumberFormat="1" applyFill="1" applyBorder="1">
      <alignment horizontal="center" vertical="center"/>
    </xf>
    <xf numFmtId="171" fontId="3" fillId="4" borderId="0" xfId="68" applyNumberFormat="1" applyFont="1" applyFill="1" applyBorder="1" applyAlignment="1">
      <alignment horizontal="center" vertical="center"/>
    </xf>
    <xf numFmtId="0" fontId="0" fillId="4" borderId="0" xfId="7" applyFont="1">
      <alignment horizontal="left" vertical="center"/>
    </xf>
    <xf numFmtId="0" fontId="63" fillId="4" borderId="0" xfId="0" applyFont="1" applyFill="1"/>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124">
    <dxf>
      <alignment horizontal="right" vertical="center" textRotation="0" wrapText="0" indent="0" justifyLastLine="0" shrinkToFit="0" readingOrder="0"/>
    </dxf>
    <dxf>
      <fill>
        <patternFill>
          <fgColor indexed="64"/>
          <bgColor theme="0" tint="-4.9989318521683403E-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23"/>
      <tableStyleElement type="headerRow" dxfId="122"/>
      <tableStyleElement type="totalRow" dxfId="121"/>
      <tableStyleElement type="firstColumn" dxfId="120"/>
      <tableStyleElement type="firstRowStripe" dxfId="119"/>
      <tableStyleElement type="secondRowStripe" dxfId="118"/>
    </tableStyle>
    <tableStyle name="Equation table" pivot="0" count="6" xr9:uid="{B247698E-E41D-4CCD-AA0A-C14817E9DE65}">
      <tableStyleElement type="wholeTable" dxfId="117"/>
      <tableStyleElement type="headerRow" dxfId="116"/>
      <tableStyleElement type="totalRow" dxfId="115"/>
      <tableStyleElement type="firstColumn" dxfId="114"/>
      <tableStyleElement type="firstRowStripe" dxfId="113"/>
      <tableStyleElement type="secondRowStripe" dxfId="112"/>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hyperlink" Target="#'8.2.1.1-2 Stationary fuel'!D5"/><Relationship Id="rId1" Type="http://schemas.openxmlformats.org/officeDocument/2006/relationships/hyperlink" Target="#'8.1.1.1-2 Transport fuel'!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8.1.1.1-2 Transport</a:t>
          </a:r>
          <a:r>
            <a:rPr lang="en-AU" sz="1400" b="0" baseline="0">
              <a:solidFill>
                <a:srgbClr val="0C769E"/>
              </a:solidFill>
            </a:rPr>
            <a:t> </a:t>
          </a:r>
          <a:br>
            <a:rPr lang="en-AU" sz="1400" b="0" baseline="0">
              <a:solidFill>
                <a:srgbClr val="0C769E"/>
              </a:solidFill>
            </a:rPr>
          </a:br>
          <a:r>
            <a:rPr lang="en-AU" sz="1400" b="0" baseline="0">
              <a:solidFill>
                <a:srgbClr val="0C769E"/>
              </a:solidFill>
            </a:rPr>
            <a:t>fuel use</a:t>
          </a:r>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8.1.1.1-2 Transport fuel'!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Emissions for each GHG from the combustion of fuels for transport energy purposes</a:t>
          </a:fld>
          <a:endParaRPr lang="en-AU" sz="1000">
            <a:solidFill>
              <a:srgbClr val="0C769E"/>
            </a:solidFill>
          </a:endParaRPr>
        </a:p>
      </xdr:txBody>
    </xdr:sp>
    <xdr:clientData/>
  </xdr:twoCellAnchor>
  <xdr:oneCellAnchor>
    <xdr:from>
      <xdr:col>7</xdr:col>
      <xdr:colOff>16012</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8.2.1.1-2 Stationary </a:t>
          </a:r>
          <a:br>
            <a:rPr lang="en-AU" sz="1400" b="0">
              <a:solidFill>
                <a:schemeClr val="accent5">
                  <a:lumMod val="75000"/>
                </a:schemeClr>
              </a:solidFill>
            </a:rPr>
          </a:br>
          <a:r>
            <a:rPr lang="en-AU" sz="1400" b="0">
              <a:solidFill>
                <a:schemeClr val="accent5">
                  <a:lumMod val="75000"/>
                </a:schemeClr>
              </a:solidFill>
            </a:rPr>
            <a:t>fuel use</a:t>
          </a:r>
        </a:p>
      </xdr:txBody>
    </xdr:sp>
    <xdr:clientData/>
  </xdr:oneCellAnchor>
  <xdr:twoCellAnchor>
    <xdr:from>
      <xdr:col>7</xdr:col>
      <xdr:colOff>175780</xdr:colOff>
      <xdr:row>9</xdr:row>
      <xdr:rowOff>122958</xdr:rowOff>
    </xdr:from>
    <xdr:to>
      <xdr:col>9</xdr:col>
      <xdr:colOff>468580</xdr:colOff>
      <xdr:row>12</xdr:row>
      <xdr:rowOff>100008</xdr:rowOff>
    </xdr:to>
    <xdr:sp macro="" textlink="'8.2.1.1-2 Stationary fuel'!D5">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290705"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D8C0AE-4801-4D03-B451-13BA8A29CF8D}" type="TxLink">
            <a:rPr lang="en-US" sz="1000" b="0" i="0" u="none" strike="noStrike">
              <a:solidFill>
                <a:srgbClr val="002060"/>
              </a:solidFill>
              <a:latin typeface="Times New Roman"/>
              <a:cs typeface="Times New Roman"/>
            </a:rPr>
            <a:pPr algn="ctr"/>
            <a:t>Emissions for each GHG from the stationary combustion of fuels</a:t>
          </a:fld>
          <a:endParaRPr lang="en-AU" sz="1000">
            <a:solidFill>
              <a:srgbClr val="002060"/>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𝐸_𝑔=∑10_𝑡▒∑10_𝑞▒(𝑄_(𝑆𝐶,𝑞)×𝐸𝐶_(𝑆𝐶,𝑞)×𝐸𝐹_(𝑆𝐶,1,𝑞𝑔)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Fuel" displayName="Table_Input_Fuel" ref="D16:I17" totalsRowDxfId="75" headerRowCellStyle="Input table column header">
  <autoFilter ref="D16:I17"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9540E705-999C-466B-A6B4-24C60E9153AE}" name="Fuel use (select)" totalsRowFunction="average" totalsRowDxfId="74" dataCellStyle="Input select" totalsRowCellStyle="Input select"/>
    <tableColumn id="3" xr3:uid="{30909C53-73F3-46FE-93B7-F60E126CD84F}" name="Fuel type (select)" totalsRowDxfId="73" dataCellStyle="Input select" totalsRowCellStyle="Input select"/>
    <tableColumn id="4" xr3:uid="{9DFFE0DC-C289-47FB-8F0C-2D2F480EEE4C}" name="Amount purchased" totalsRowDxfId="72" totalsRowCellStyle="Content bold"/>
    <tableColumn id="6" xr3:uid="{29AE264C-132E-48F6-8BA3-262EAF9E4687}" name="Amount unit" totalsRowDxfId="71" dataCellStyle="Input number general calculated" totalsRowCellStyle="Input text calculated">
      <calculatedColumnFormula array="1">Common_InputFunctions.Utility_LookupValueInTable(Table_Input_Fuel[[#This Row],[Fuel type (select)]],Table_FuelTypes_Units[Fuel type], Table_FuelTypes_Units[Unit])</calculatedColumnFormula>
    </tableColumn>
    <tableColumn id="5" xr3:uid="{B9F0EEB0-BF4E-4AB9-8B4B-25BBC232DE33}" name="Percent consumed" totalsRowDxfId="70" totalsRowCellStyle="Input percent">
      <calculatedColumnFormula>1</calculatedColumnFormula>
    </tableColumn>
    <tableColumn id="1" xr3:uid="{AE1D2D8C-400E-46F5-850E-2BBEDF1657F8}" name="Amount consumed" totalsRowFunction="custom" totalsRowDxfId="69" dataCellStyle="Input number general calculated" totalsRowCellStyle="Input number 3 decimal places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81308E-D97C-445B-A805-DE74F822CC4F}" name="Table_Fuel_EFs_StationaryLiquid" displayName="Table_Fuel_EFs_StationaryLiquid" ref="D53:K77" totalsRowShown="0" headerRowDxfId="68" dataDxfId="67">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16B9F07-FAFA-45B6-8BAF-D037C420E4F7}" name="Fuel combusted" dataDxfId="66">
      <calculatedColumnFormula array="1">Common_InputFunctions.Utility_DisplayArrayInTable(Fuel_SourceData.Fuel_Scope1Scope3EmissionFactorsStationaryLiquid_Data(), Table_Fuel_EFs_StationaryLiquid[[#Headers],[Fuel combusted]],0)</calculatedColumnFormula>
    </tableColumn>
    <tableColumn id="2" xr3:uid="{A9A16324-59CF-4AFF-A845-5DBEFF96AF36}" name="Energy Content Factor (GJ per unit of fuel)" dataDxfId="65">
      <calculatedColumnFormula array="1">Common_InputFunctions.Utility_DisplayArrayInTable(Fuel_SourceData.Fuel_Scope1Scope3EmissionFactorsStationaryLiquid_Data(), Table_Fuel_EFs_StationaryLiquid[[#Headers],[Fuel combusted]],0)</calculatedColumnFormula>
    </tableColumn>
    <tableColumn id="3" xr3:uid="{D90C1066-FE05-40B0-93E8-B444B2515AC4}" name="Fuel unit" dataDxfId="64">
      <calculatedColumnFormula array="1">Common_InputFunctions.Utility_DisplayArrayInTable(Fuel_SourceData.Fuel_Scope1Scope3EmissionFactorsStationaryLiquid_Data(), Table_Fuel_EFs_StationaryLiquid[[#Headers],[Fuel combusted]],0)</calculatedColumnFormula>
    </tableColumn>
    <tableColumn id="4" xr3:uid="{6C9BACBD-72E6-4C6C-8E91-9FC2EE427A52}" name="Scope 1 Emission Factor (kg CO2 - e / GJ) CO2" dataDxfId="63">
      <calculatedColumnFormula array="1">Common_InputFunctions.Utility_DisplayArrayInTable(Fuel_SourceData.Fuel_Scope1Scope3EmissionFactorsStationaryLiquid_Data(), Table_Fuel_EFs_StationaryLiquid[[#Headers],[Fuel combusted]],0)</calculatedColumnFormula>
    </tableColumn>
    <tableColumn id="5" xr3:uid="{9C1D1D67-0EE2-4865-BD1D-E11FDD50B838}" name="Scope 1 Emission Factor (kg CO2 - e / GJ) CH4" dataDxfId="62">
      <calculatedColumnFormula array="1">Common_InputFunctions.Utility_DisplayArrayInTable(Fuel_SourceData.Fuel_Scope1Scope3EmissionFactorsStationaryLiquid_Data(), Table_Fuel_EFs_StationaryLiquid[[#Headers],[Fuel combusted]],0)</calculatedColumnFormula>
    </tableColumn>
    <tableColumn id="6" xr3:uid="{422B50D3-73D6-4895-B780-E80D65DEA437}" name="Scope 1 Emission Factor (kg CO2 - e / GJ) N2O" dataDxfId="61">
      <calculatedColumnFormula array="1">Common_InputFunctions.Utility_DisplayArrayInTable(Fuel_SourceData.Fuel_Scope1Scope3EmissionFactorsStationaryLiquid_Data(), Table_Fuel_EFs_StationaryLiquid[[#Headers],[Fuel combusted]],0)</calculatedColumnFormula>
    </tableColumn>
    <tableColumn id="7" xr3:uid="{3D29A47C-AFAA-45B9-B05D-9137798FA43D}" name="Scope 1 Emission Factor (kg CO2 - e / GJ) Combined gases" dataDxfId="60">
      <calculatedColumnFormula array="1">Common_InputFunctions.Utility_DisplayArrayInTable(Fuel_SourceData.Fuel_Scope1Scope3EmissionFactorsStationaryLiquid_Data(), Table_Fuel_EFs_StationaryLiquid[[#Headers],[Fuel combusted]],0)</calculatedColumnFormula>
    </tableColumn>
    <tableColumn id="8" xr3:uid="{BA6033AB-70D7-4E8F-B8F8-2A659A19966B}" name="Scope 3 Emission Factor (kg CO2 - e / GJ)" dataDxfId="59">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2589EE1-5F69-4B49-BF30-7629445C4436}" name="Table_Fuel_EFs_Transport" displayName="Table_Fuel_EFs_Transport" ref="D9:L34" totalsRowShown="0" headerRowDxfId="58" dataDxfId="57">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D6C44B0-0762-4110-AC2D-7FEE6A4ACB70}" name="Transport type" dataDxfId="56">
      <calculatedColumnFormula array="1">Common_InputFunctions.Utility_DisplayArrayInTable(Fuel_SourceData.Fuel_Scope1Scope3EmissionFactorsTransport_Data(), Table_Fuel_EFs_Transport[[#Headers],[Transport type]], 0)</calculatedColumnFormula>
    </tableColumn>
    <tableColumn id="2" xr3:uid="{3A6969F6-FF37-4AA5-AE1C-FE6AA1A0B2B2}" name="Fuel combusted" dataDxfId="55">
      <calculatedColumnFormula array="1">Common_InputFunctions.Utility_DisplayArrayInTable(Fuel_SourceData.Fuel_Scope1Scope3EmissionFactorsTransport_Data(), Table_Fuel_EFs_Transport[[#Headers],[Transport type]], 0)</calculatedColumnFormula>
    </tableColumn>
    <tableColumn id="3" xr3:uid="{432B61FE-9A6D-43B7-8616-F6CFE6FB153A}" name="Energy Content Factor (GJ per unit of fuel)" dataDxfId="54">
      <calculatedColumnFormula array="1">Common_InputFunctions.Utility_DisplayArrayInTable(Fuel_SourceData.Fuel_Scope1Scope3EmissionFactorsTransport_Data(), Table_Fuel_EFs_Transport[[#Headers],[Transport type]], 0)</calculatedColumnFormula>
    </tableColumn>
    <tableColumn id="4" xr3:uid="{71D7F858-6D97-44C6-8413-957075191C0B}" name="Fuel unit" dataDxfId="53">
      <calculatedColumnFormula array="1">Common_InputFunctions.Utility_DisplayArrayInTable(Fuel_SourceData.Fuel_Scope1Scope3EmissionFactorsTransport_Data(), Table_Fuel_EFs_Transport[[#Headers],[Transport type]], 0)</calculatedColumnFormula>
    </tableColumn>
    <tableColumn id="8" xr3:uid="{C388B4A9-A36E-4EC9-B5CE-2EA624A56083}" name="Scope 1 Emission Factor (kg CO2 - e / GJ) CO2" dataDxfId="52">
      <calculatedColumnFormula array="1">Common_InputFunctions.Utility_DisplayArrayInTable(Fuel_SourceData.Fuel_Scope1Scope3EmissionFactorsTransport_Data(), Table_Fuel_EFs_Transport[[#Headers],[Transport type]], 0)</calculatedColumnFormula>
    </tableColumn>
    <tableColumn id="9" xr3:uid="{4E84DFC1-37C7-4930-B71E-DB7CDCBDD458}" name="Scope 1 Emission Factor (kg CO2 - e / GJ) CH4" dataDxfId="51">
      <calculatedColumnFormula array="1">Common_InputFunctions.Utility_DisplayArrayInTable(Fuel_SourceData.Fuel_Scope1Scope3EmissionFactorsTransport_Data(), Table_Fuel_EFs_Transport[[#Headers],[Transport type]], 0)</calculatedColumnFormula>
    </tableColumn>
    <tableColumn id="10" xr3:uid="{BA43FF41-AF40-4D8F-8B75-A6223466550A}" name="Scope 1 Emission Factor (kg CO2 - e / GJ) N2O" dataDxfId="50">
      <calculatedColumnFormula array="1">Common_InputFunctions.Utility_DisplayArrayInTable(Fuel_SourceData.Fuel_Scope1Scope3EmissionFactorsTransport_Data(), Table_Fuel_EFs_Transport[[#Headers],[Transport type]], 0)</calculatedColumnFormula>
    </tableColumn>
    <tableColumn id="11" xr3:uid="{FBCCF4E4-B3CA-463F-B53D-380ECF4BF688}" name="Scope 1 Emission Factor (kg CO2 - e / GJ) Combined gases" dataDxfId="49">
      <calculatedColumnFormula array="1">Common_InputFunctions.Utility_DisplayArrayInTable(Fuel_SourceData.Fuel_Scope1Scope3EmissionFactorsTransport_Data(), Table_Fuel_EFs_Transport[[#Headers],[Transport type]], 0)</calculatedColumnFormula>
    </tableColumn>
    <tableColumn id="12" xr3:uid="{E2A89F98-94A5-4737-A469-DEAA99554138}" name="Scope 3 Emission Factor (kg CO2 - e / GJ)" dataDxfId="48">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E27F6B-DBAC-48D7-85B3-77E92E77D6C0}" name="Table_FuelTypesPerUse" displayName="Table_FuelTypesPerUse" ref="D130:J139" totalsRowShown="0" headerRowDxfId="47" dataDxfId="46">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32D4BA3-A3CE-460F-A250-E2A6690A9C59}" name="Generators" dataDxfId="45"/>
    <tableColumn id="2" xr3:uid="{6E069153-6950-4C63-9ADE-F4A2F0DF67AF}" name="Power standalone machinery or heating" dataDxfId="44"/>
    <tableColumn id="3" xr3:uid="{3917BF44-833D-42F1-B3B3-C62FEF76A321}" name="Aviation" dataDxfId="43"/>
    <tableColumn id="5" xr3:uid="{4F35E2A0-90CD-4AC1-B52F-870485779A73}" name="from the use of a limited number of NGER data inputs. It is suggested that for Tasmania the use of the Victorian emission factors is appropriate," dataDxfId="42"/>
    <tableColumn id="7" xr3:uid="{1651A844-7E2B-435C-A7B4-4B0FFD5577CE}" name="Off-road Agriculture and forestry equipment" dataDxfId="41" dataCellStyle="Content bold"/>
    <tableColumn id="8" xr3:uid="{FCED622E-3FDD-4E8D-B2D1-E4C99EF7323A}" name="Vessels" dataDxfId="40" dataCellStyle="Content bold"/>
    <tableColumn id="6" xr3:uid="{1E441AA6-3AB5-4373-8C13-AD2F41D6BA71}" name="General use" dataDxfId="39"/>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FA7F9E-607A-4EC9-89A5-ADF4BF63C858}" name="Table_Fuel_EFs_StationaryGaseous" displayName="Table_Fuel_EFs_StationaryGaseous" ref="D86:J104" totalsRowShown="0" headerRowDxfId="38" dataDxfId="37">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76104C6-5F3C-42C2-96A5-3F8A6D95B719}" name="Fuel combusted" dataDxfId="36">
      <calculatedColumnFormula array="1">Common_InputFunctions.Utility_DisplayArrayInTable(Fuel_SourceData.Fuel_Scope1EmissionFactorsStationaryGaseous_Data(), Table_Fuel_EFs_StationaryGaseous[[#Headers],[Fuel combusted]],0)</calculatedColumnFormula>
    </tableColumn>
    <tableColumn id="2" xr3:uid="{249B0D76-8ABD-4FA7-AE7E-9500D03E43DD}" name="Energy Content Factor (GJ per unit of fuel)" dataDxfId="35">
      <calculatedColumnFormula array="1">Common_InputFunctions.Utility_DisplayArrayInTable(Fuel_SourceData.Fuel_Scope1EmissionFactorsStationaryGaseous_Data(), Table_Fuel_EFs_StationaryGaseous[[#Headers],[Fuel combusted]],0)</calculatedColumnFormula>
    </tableColumn>
    <tableColumn id="3" xr3:uid="{C67F3A46-C70C-439C-A78F-80B7E5662B6A}" name="Fuel unit" dataDxfId="34">
      <calculatedColumnFormula array="1">Common_InputFunctions.Utility_DisplayArrayInTable(Fuel_SourceData.Fuel_Scope1EmissionFactorsStationaryGaseous_Data(), Table_Fuel_EFs_StationaryGaseous[[#Headers],[Fuel combusted]],0)</calculatedColumnFormula>
    </tableColumn>
    <tableColumn id="4" xr3:uid="{B9C45459-33F6-4505-BE9E-03D5C5B7CF41}" name="Scope 1 Emission Factor (kg CO2 - e / GJ) CO2" dataDxfId="33">
      <calculatedColumnFormula array="1">Common_InputFunctions.Utility_DisplayArrayInTable(Fuel_SourceData.Fuel_Scope1EmissionFactorsStationaryGaseous_Data(), Table_Fuel_EFs_StationaryGaseous[[#Headers],[Fuel combusted]],0)</calculatedColumnFormula>
    </tableColumn>
    <tableColumn id="5" xr3:uid="{484A6982-10DC-4FC8-9C4C-E978774599C6}" name="Scope 1 Emission Factor (kg CO2 - e / GJ) CH4" dataDxfId="32">
      <calculatedColumnFormula array="1">Common_InputFunctions.Utility_DisplayArrayInTable(Fuel_SourceData.Fuel_Scope1EmissionFactorsStationaryGaseous_Data(), Table_Fuel_EFs_StationaryGaseous[[#Headers],[Fuel combusted]],0)</calculatedColumnFormula>
    </tableColumn>
    <tableColumn id="6" xr3:uid="{AEE83219-7CD0-494F-84B0-A8CB1BD0A5FA}" name="Scope 1 Emission Factor (kg CO2 - e / GJ) N2O" dataDxfId="31">
      <calculatedColumnFormula array="1">Common_InputFunctions.Utility_DisplayArrayInTable(Fuel_SourceData.Fuel_Scope1EmissionFactorsStationaryGaseous_Data(), Table_Fuel_EFs_StationaryGaseous[[#Headers],[Fuel combusted]],0)</calculatedColumnFormula>
    </tableColumn>
    <tableColumn id="7" xr3:uid="{3B70B10C-4767-4B84-90B0-F26D20C968BC}" name="Scope 1 Emission Factor (kg CO2 - e / GJ) Combined gases" dataDxfId="30">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6CE29D-2354-4FAC-9965-9A66FFA42416}" name="Table_Fuel_EFs_StationaryGaseous34" displayName="Table_Fuel_EFs_StationaryGaseous34" ref="D112:G120" headerRowDxfId="29" totalsRowDxfId="28">
  <autoFilter ref="D112:G120" xr:uid="{7D6CE29D-2354-4FAC-9965-9A66FFA42416}">
    <filterColumn colId="0" hiddenButton="1"/>
    <filterColumn colId="1" hiddenButton="1"/>
    <filterColumn colId="2" hiddenButton="1"/>
    <filterColumn colId="3" hiddenButton="1"/>
  </autoFilter>
  <tableColumns count="4">
    <tableColumn id="1" xr3:uid="{ECC6D32E-EE87-4C56-B924-DE2296D3A17A}" name="State or territory" totalsRowDxfId="27">
      <calculatedColumnFormula array="1">Common_InputFunctions.Utility_DisplayArrayInTable(Fuel_SourceData.Fuel_Scope3EmissionFactorsStationaryGaseous_Data(), Table_Fuel_EFs_StationaryGaseous34[[#Headers],[State or territory]],0)</calculatedColumnFormula>
    </tableColumn>
    <tableColumn id="2" xr3:uid="{0BD20FE8-E5F8-4C9A-BA5E-E08126295979}" name="Metro" totalsRowDxfId="26">
      <calculatedColumnFormula array="1">Common_InputFunctions.Utility_DisplayArrayInTable(Fuel_SourceData.Fuel_Scope3EmissionFactorsStationaryGaseous_Data(), Table_Fuel_EFs_StationaryGaseous34[[#Headers],[State or territory]],0)</calculatedColumnFormula>
    </tableColumn>
    <tableColumn id="3" xr3:uid="{25FB53B2-D2E0-4CEA-8D3F-87F6DBB9EB6B}" name="Non-metro" totalsRowDxfId="25">
      <calculatedColumnFormula array="1">Common_InputFunctions.Utility_DisplayArrayInTable(Fuel_SourceData.Fuel_Scope3EmissionFactorsStationaryGaseous_Data(), Table_Fuel_EFs_StationaryGaseous34[[#Headers],[State or territory]],0)</calculatedColumnFormula>
    </tableColumn>
    <tableColumn id="4" xr3:uid="{F161EEA5-AF30-4842-AABB-3D504729FF6F}" name="Column1" dataDxfId="0" totalsRowDxfId="1"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4386805-E5CF-44F9-982C-CBCADB323E30}" name="Table_FuelTypes_Units" displayName="Table_FuelTypes_Units" ref="D142:E162" totalsRowShown="0">
  <autoFilter ref="D142:E162" xr:uid="{74386805-E5CF-44F9-982C-CBCADB323E30}">
    <filterColumn colId="0" hiddenButton="1"/>
    <filterColumn colId="1" hiddenButton="1"/>
  </autoFilter>
  <tableColumns count="2">
    <tableColumn id="1" xr3:uid="{792636F9-F5FE-469C-B560-C7E663FA77BA}" name="Fuel type"/>
    <tableColumn id="2" xr3:uid="{529B0AD7-20FC-4E42-A872-AF12092332B1}" name="Unit"/>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56A2798-6FBD-4412-969A-03F7173DF55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C846971-D1AE-40B6-93C3-4B2219305A91}"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82F6DC4A-0F92-4452-8487-4E43D14ADFD1}" name="Fuel type q" dataDxfId="2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3C4A929E-9ED1-4901-B86F-83D8164C35AA}" name="ECTrans,q (GJ/kL)" dataDxfId="2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CC9C9248-897D-415C-976A-2C740F057EB1}" name="Scope 1 CO2 EFTran,1,tqg (kg CO2-e/GJ)" dataDxfId="2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786BC3D5-A6A8-43D0-B256-FFFC5437A688}" name="Scope 1 CH4 EFTran,1,tgg (kg CO2-e/GJ)" dataDxfId="2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6D5BCB7A-89DA-40E3-B7CA-1C29764B596B}" name="Scope 1 N2O EFTran,1,tgg (kg CO2-e/GJ)" dataDxfId="2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7E1DA076-D5F8-4B6F-B281-1DB030412A87}" name="Scope 3 EFTrans,3,q (kg CO2-e/GJ)" dataDxfId="1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6868FF-DEFE-4F2A-BBC2-8CFB583605B1}"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888B033-D4C3-4F54-AD13-F79A64C033D8}" name="State/Territory">
      <calculatedColumnFormula array="1">Common_InputFunctions.Utility_DisplayArrayInTable(Common_SourceData.Common_SourceData_AustralianStatesTerritories_Data(),Table_AustralianStates[[#Headers],[State/Territory]],0)</calculatedColumnFormula>
    </tableColumn>
    <tableColumn id="2" xr3:uid="{E18DD9BA-DB99-40DA-BCF4-0820EF8686E9}" name="Common Name">
      <calculatedColumnFormula array="1">Common_InputFunctions.Utility_DisplayArrayInTable(Common_SourceData.Common_SourceData_AustralianStatesTerritories_Data(),Table_AustralianStates[[#Headers],[State/Territory]],0)</calculatedColumnFormula>
    </tableColumn>
    <tableColumn id="3" xr3:uid="{0974923D-DF7A-4763-86CF-35CCBEC9D948}"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1C654A-204B-46EF-884D-107B750FE1C8}" name="Table_WASA4Areas" displayName="Table_WASA4Areas" ref="D20:D30" totalsRowShown="0">
  <autoFilter ref="D20:D30" xr:uid="{5FA81339-C6C8-4D36-BEEA-6C4AEDD9E676}">
    <filterColumn colId="0" hiddenButton="1"/>
  </autoFilter>
  <tableColumns count="1">
    <tableColumn id="1" xr3:uid="{18FCB515-E2BD-49D8-AB87-CF42BF6D3EC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E5A8BF-2469-430F-A289-FC17EEA0797E}" name="Table_GWPData" displayName="Table_GWPData" ref="D36:E43" totalsRowShown="0">
  <autoFilter ref="D36:E43" xr:uid="{B8E87A66-3E41-4AD3-925D-01EE21B43D7A}">
    <filterColumn colId="0" hiddenButton="1"/>
    <filterColumn colId="1" hiddenButton="1"/>
  </autoFilter>
  <tableColumns count="2">
    <tableColumn id="1" xr3:uid="{65AE068D-B090-4795-9000-82AFF06C29BA}" name="Gas">
      <calculatedColumnFormula array="1">Common_InputFunctions.Utility_DisplayArrayInTable(Common_SourceData.Common_SourceData_GWP_Data(), Table_GWPData[[#Headers],[Gas]], 0)</calculatedColumnFormula>
    </tableColumn>
    <tableColumn id="2" xr3:uid="{89B38382-646A-4BE2-B0ED-9CD3FA338D3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C7F7206-F6DC-4977-8BA6-5B66E729F05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59113C9-3F34-4871-974E-A6CA1AE1B53D}" name="Gas">
      <calculatedColumnFormula array="1">Common_InputFunctions.Utility_DisplayArrayInTable(Common_SourceData.Common_SourceData_ConvertGasElementalToMolecular_Data(),Table_GasToMolecularConversionFactor[[#Headers],[Gas]], 0)</calculatedColumnFormula>
    </tableColumn>
    <tableColumn id="5" xr3:uid="{8A9A2E95-9422-4A2E-A829-CAB937EA66EA}" name="Conversion factor">
      <calculatedColumnFormula array="1">Common_InputFunctions.Utility_DisplayArrayInTable(Common_SourceData.Common_SourceData_ConvertGasElementalToMolecular_Data(),Table_GasToMolecularConversionFactor[[#Headers],[Gas]], 0)</calculatedColumnFormula>
    </tableColumn>
    <tableColumn id="2" xr3:uid="{6925339E-FC73-4750-89B5-E376C2FF4EE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0C2C2843-AAD7-4110-9425-B9A58D67B73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CA1F198-06FC-4A8C-A1C9-742052F2D9D4}"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D54C8D8-81BC-405E-A5EB-33320553524B}"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323B435-CB20-421F-925A-5C9C0166AD4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EA7F381-8B0C-4FE2-AEC8-30DBAB357FFE}" name="MAT" totalsRowDxfId="111" totalsRowCellStyle="Content bold">
      <calculatedColumnFormula array="1">Common_InputFunctions.Utility_DisplayArrayInTable(Common_SourceData.Common_SourceData_ClimateZones_Data(), Table_SourceData_ClimateZones[[#Headers],[Climate zone]], 0)</calculatedColumnFormula>
    </tableColumn>
    <tableColumn id="3" xr3:uid="{D1DFDBA4-BF37-41DE-944A-29EAFC7C92FA}" name="MAP" totalsRowDxfId="110" totalsRowCellStyle="Content bold">
      <calculatedColumnFormula array="1">Common_InputFunctions.Utility_DisplayArrayInTable(Common_SourceData.Common_SourceData_ClimateZones_Data(), Table_SourceData_ClimateZones[[#Headers],[Climate zone]], 0)</calculatedColumnFormula>
    </tableColumn>
    <tableColumn id="4" xr3:uid="{8BFB4055-A48F-4099-9DAD-2B89CFA85D17}" name="Frost days per year" totalsRowDxfId="109" totalsRowCellStyle="Content bold">
      <calculatedColumnFormula array="1">Common_InputFunctions.Utility_DisplayArrayInTable(Common_SourceData.Common_SourceData_ClimateZones_Data(), Table_SourceData_ClimateZones[[#Headers],[Climate zone]], 0)</calculatedColumnFormula>
    </tableColumn>
    <tableColumn id="5" xr3:uid="{11B297D0-03A2-419E-94CC-954A849DF0A3}" name="Elevation" totalsRowDxfId="108" totalsRowCellStyle="Content bold">
      <calculatedColumnFormula array="1">Common_InputFunctions.Utility_DisplayArrayInTable(Common_SourceData.Common_SourceData_ClimateZones_Data(), Table_SourceData_ClimateZones[[#Headers],[Climate zone]], 0)</calculatedColumnFormula>
    </tableColumn>
    <tableColumn id="6" xr3:uid="{D2D67B8F-C337-4828-A293-DF4D210DA8E9}" name="MAP:PET" totalsRowDxfId="107" totalsRowCellStyle="Content bold">
      <calculatedColumnFormula array="1">Common_InputFunctions.Utility_DisplayArrayInTable(Common_SourceData.Common_SourceData_ClimateZones_Data(), Table_SourceData_ClimateZones[[#Headers],[Climate zone]], 0)</calculatedColumnFormula>
    </tableColumn>
    <tableColumn id="7" xr3:uid="{4F7D264F-6F68-4BE9-ABBF-BE097D0D650A}" name="Min temp" totalsRowDxfId="106" totalsRowCellStyle="Content bold">
      <calculatedColumnFormula array="1">Common_InputFunctions.Utility_DisplayArrayInTable(Common_SourceData.Common_SourceData_ClimateZones_Data(), Table_SourceData_ClimateZones[[#Headers],[Climate zone]], 0)</calculatedColumnFormula>
    </tableColumn>
    <tableColumn id="8" xr3:uid="{BA331108-B37D-41FA-8849-AB10B05EDB97}" name="Max temp" totalsRowDxfId="105" totalsRowCellStyle="Content bold">
      <calculatedColumnFormula array="1">Common_InputFunctions.Utility_DisplayArrayInTable(Common_SourceData.Common_SourceData_ClimateZones_Data(), Table_SourceData_ClimateZones[[#Headers],[Climate zone]], 0)</calculatedColumnFormula>
    </tableColumn>
    <tableColumn id="9" xr3:uid="{3A165571-B323-407F-8027-6CEB0101A9BA}" name="Min rainfall" totalsRowDxfId="104" totalsRowCellStyle="Content bold">
      <calculatedColumnFormula array="1">Common_InputFunctions.Utility_DisplayArrayInTable(Common_SourceData.Common_SourceData_ClimateZones_Data(), Table_SourceData_ClimateZones[[#Headers],[Climate zone]], 0)</calculatedColumnFormula>
    </tableColumn>
    <tableColumn id="10" xr3:uid="{53DD25D2-17AD-4F79-8A01-6F22E9818AA2}" name="Max rainfall" totalsRowDxfId="103" totalsRowCellStyle="Content bold">
      <calculatedColumnFormula array="1">Common_InputFunctions.Utility_DisplayArrayInTable(Common_SourceData.Common_SourceData_ClimateZones_Data(), Table_SourceData_ClimateZones[[#Headers],[Climate zone]], 0)</calculatedColumnFormula>
    </tableColumn>
    <tableColumn id="11" xr3:uid="{D1DC7A68-991C-476A-9A7A-012CF00FBB12}" name="Min frost days" totalsRowDxfId="102" totalsRowCellStyle="Content bold">
      <calculatedColumnFormula array="1">Common_InputFunctions.Utility_DisplayArrayInTable(Common_SourceData.Common_SourceData_ClimateZones_Data(), Table_SourceData_ClimateZones[[#Headers],[Climate zone]], 0)</calculatedColumnFormula>
    </tableColumn>
    <tableColumn id="15" xr3:uid="{8B2817D9-F13A-4EBF-87AA-C38A9412AF12}" name="Max frost days" totalsRowDxfId="101" totalsRowCellStyle="Content bold">
      <calculatedColumnFormula array="1">Common_InputFunctions.Utility_DisplayArrayInTable(Common_SourceData.Common_SourceData_ClimateZones_Data(), Table_SourceData_ClimateZones[[#Headers],[Climate zone]], 0)</calculatedColumnFormula>
    </tableColumn>
    <tableColumn id="12" xr3:uid="{13C2F614-A341-4EC9-9C71-3EFC05D1EDDB}" name="Min elevation" totalsRowDxfId="100" totalsRowCellStyle="Content bold">
      <calculatedColumnFormula array="1">Common_InputFunctions.Utility_DisplayArrayInTable(Common_SourceData.Common_SourceData_ClimateZones_Data(), Table_SourceData_ClimateZones[[#Headers],[Climate zone]], 0)</calculatedColumnFormula>
    </tableColumn>
    <tableColumn id="16" xr3:uid="{40102B61-423D-42CC-B871-28E9C2F94887}" name="Max elevation" totalsRowDxfId="99" totalsRowCellStyle="Content bold">
      <calculatedColumnFormula array="1">Common_InputFunctions.Utility_DisplayArrayInTable(Common_SourceData.Common_SourceData_ClimateZones_Data(), Table_SourceData_ClimateZones[[#Headers],[Climate zone]], 0)</calculatedColumnFormula>
    </tableColumn>
    <tableColumn id="13" xr3:uid="{48651D3F-34AE-4FA6-8589-CAD0DF5C9CCC}" name="Min MAP:PET" totalsRowDxfId="98" totalsRowCellStyle="Content bold">
      <calculatedColumnFormula array="1">Common_InputFunctions.Utility_DisplayArrayInTable(Common_SourceData.Common_SourceData_ClimateZones_Data(), Table_SourceData_ClimateZones[[#Headers],[Climate zone]], 0)</calculatedColumnFormula>
    </tableColumn>
    <tableColumn id="17" xr3:uid="{FF8F39A2-33DF-4331-96AE-5DC7BBA54DD0}" name="Max MAP:PET" totalsRowDxfId="9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C3177F8-5CEE-4447-AB6A-52F19E3BC38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80B116B5-85BD-4DEA-AC49-EAACB134EF6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DC91B39-498A-4099-B2B2-0A2938BF01DE}" name="Wet or Dry Zone" totalsRowDxfId="9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9E9786A-7B44-4964-805E-BC87E333ECF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154A0A0-F5C0-4F29-8725-0167CC3E02F2}" name="Temperature Zone">
      <calculatedColumnFormula array="1">Common_InputFunctions.Utility_DisplayArrayInTable(Common_SourceData.Common_SourceData_TemperatureZones_Data(),Table_SourceData_TemperatureZones[[#Headers],[Temperature Zone]],0)</calculatedColumnFormula>
    </tableColumn>
    <tableColumn id="2" xr3:uid="{349BD877-16FE-4478-A326-64617DF34C8D}" name="MAT">
      <calculatedColumnFormula array="1">Common_InputFunctions.Utility_DisplayArrayInTable(Common_SourceData.Common_SourceData_TemperatureZones_Data(),Table_SourceData_TemperatureZones[[#Headers],[Temperature Zone]],0)</calculatedColumnFormula>
    </tableColumn>
    <tableColumn id="3" xr3:uid="{F29B2C1E-3149-49A4-9147-00678EF218EE}" name="Min MAT">
      <calculatedColumnFormula array="1">Common_InputFunctions.Utility_DisplayArrayInTable(Common_SourceData.Common_SourceData_TemperatureZones_Data(),Table_SourceData_TemperatureZones[[#Headers],[Temperature Zone]],0)</calculatedColumnFormula>
    </tableColumn>
    <tableColumn id="4" xr3:uid="{36B82F82-E3CE-448E-A4B0-A3A38D261D02}"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639789D-4975-49C1-9E23-6338AD8C1CC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9D8DA76-97FE-4CEC-9819-D9409622EB0D}" name="Rainfall Zone">
      <calculatedColumnFormula array="1">Common_InputFunctions.Utility_DisplayArrayInTable(Common_SourceData.Common_SourceData_RainfallZones_Data(),Table_SourceData_RainfallZones[[#Headers],[Rainfall Zone]],0)</calculatedColumnFormula>
    </tableColumn>
    <tableColumn id="2" xr3:uid="{3428040F-5055-46C1-8B55-2B36B5033E86}" name="Annual rainfall">
      <calculatedColumnFormula array="1">Common_InputFunctions.Utility_DisplayArrayInTable(Common_SourceData.Common_SourceData_RainfallZones_Data(),Table_SourceData_RainfallZones[[#Headers],[Rainfall Zone]],0)</calculatedColumnFormula>
    </tableColumn>
    <tableColumn id="3" xr3:uid="{FB0DCEE7-6054-45E7-89BE-354B397F6250}" name="Min rainfall">
      <calculatedColumnFormula array="1">Common_InputFunctions.Utility_DisplayArrayInTable(Common_SourceData.Common_SourceData_RainfallZones_Data(),Table_SourceData_RainfallZones[[#Headers],[Rainfall Zone]],0)</calculatedColumnFormula>
    </tableColumn>
    <tableColumn id="4" xr3:uid="{CDB75634-5F8A-4CD7-84D7-45D71CFA5933}"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FC0537B-4065-417C-BCFA-73F3A8D597A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FAF9520-9889-4AE9-B6CC-FDE2E10EAD98}" name="Leaching Zone">
      <calculatedColumnFormula array="1">Common_InputFunctions.Utility_DisplayArrayInTable(Common_SourceData.Common_SourceData_LeachingZones_Data(), Table_SourceData_LeachingZones[[#Headers],[Leaching Zone]], 0)</calculatedColumnFormula>
    </tableColumn>
    <tableColumn id="2" xr3:uid="{6C96956C-286E-4803-93B5-8D7A561FBE4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8FF86DD-0885-4976-BEEB-94AB1DD5314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B321226-8AD9-4746-AAFF-4041954CA60D}" name="Data source">
      <calculatedColumnFormula array="1">Common_InputFunctions.Utility_DisplayArrayInTable(Common_SourceData.Common_SourceData_DataScores_Scope3_Data(), Table_SourceData_DataScores_Scope3[[#Headers],[Data source]], 0)</calculatedColumnFormula>
    </tableColumn>
    <tableColumn id="2" xr3:uid="{1CC291CD-853F-4B67-B09F-804F187D6F9B}"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02C1423-B5DE-4FA6-A257-8CDE4D4D2BBB}" name="Table_SourceData_FracWET" displayName="Table_SourceData_FracWET" ref="D134:E136" totalsRowShown="0">
  <autoFilter ref="D134:E136" xr:uid="{308E99BE-FE1F-47A4-B2CA-97217277C4E9}">
    <filterColumn colId="0" hiddenButton="1"/>
    <filterColumn colId="1" hiddenButton="1"/>
  </autoFilter>
  <tableColumns count="2">
    <tableColumn id="1" xr3:uid="{CB763BC9-0431-4076-9924-BEA84AD15106}" name="Is in leaching zone">
      <calculatedColumnFormula array="1">Common_InputFunctions.Utility_DisplayArrayInTable(Common_SourceData.Common_SourceData_FracWET_Data(),Table_SourceData_FracWET[[#Headers],[Is in leaching zone]],0)</calculatedColumnFormula>
    </tableColumn>
    <tableColumn id="2" xr3:uid="{00CA7AD8-9B48-4522-8A26-31B6312F3F99}" name="FracWET" dataDxfId="9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7AB5B1C-4113-45A9-B01E-845F3ABDF20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130E37A-5BE6-4352-8D8A-6A7D25A0FB7C}" name="Production system j">
      <calculatedColumnFormula array="1">Common_InputFunctions.Utility_DisplayArrayInTable(Common_SourceData.Common_SourceData_EFN2O_Data(), Table_SourceData_Common_EFN2O[[#Headers],[Production system j]], 0)</calculatedColumnFormula>
    </tableColumn>
    <tableColumn id="2" xr3:uid="{195770B7-FB42-4A96-BE05-896F123743B8}" name="EFN2O">
      <calculatedColumnFormula array="1">Common_InputFunctions.Utility_DisplayArrayInTable(Common_SourceData.Common_SourceData_EFN2O_Data(), Table_SourceData_Common_EFN2O[[#Headers],[Production system j]], 0)</calculatedColumnFormula>
    </tableColumn>
    <tableColumn id="3" xr3:uid="{59A910CC-53C7-4A58-BFD2-69858B6F92EA}" name="Production system only">
      <calculatedColumnFormula array="1">Common_InputFunctions.Utility_DisplayArrayInTable(Common_SourceData.Common_SourceData_EFN2O_Data(), Table_SourceData_Common_EFN2O[[#Headers],[Production system j]], 0)</calculatedColumnFormula>
    </tableColumn>
    <tableColumn id="4" xr3:uid="{5B5A42F2-1784-4DB3-BD73-6BB0D099DF09}" name="Irrigation method">
      <calculatedColumnFormula array="1">Common_InputFunctions.Utility_DisplayArrayInTable(Common_SourceData.Common_SourceData_EFN2O_Data(), Table_SourceData_Common_EFN2O[[#Headers],[Production system j]], 0)</calculatedColumnFormula>
    </tableColumn>
    <tableColumn id="5" xr3:uid="{18E56A98-FD2A-4EF9-9A00-D2E0006C644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B128EAEF-C928-42FE-A611-01FE8E5BA56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7857C03-4A58-4397-80F2-B0BB055FF49E}" name="Irrigation type i">
      <calculatedColumnFormula array="1">Common_InputFunctions.Utility_DisplayArrayInTable(Common_SourceData.Common_SourceData_FracWETIrrigation_Data(), Table_SourceData_FracWETIrrigation[[#Headers],[Irrigation type i]], 0)</calculatedColumnFormula>
    </tableColumn>
    <tableColumn id="2" xr3:uid="{FEAAE811-F1F7-4D6F-AA27-D390271B59DC}" name="FracWET" dataDxfId="9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921A5F8-968C-4D9D-BDB3-7979D09CA4E0}"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8656D55F-442D-402C-B490-2EB44EDBB42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1BC5256-FAEA-4E28-9E5B-1655327AD263}" name="EFPRP" dataDxfId="9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CE86F09-A7F7-4E4C-A84F-59B18397FB1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3342927-0035-4306-A62A-19C77A5CD2DF}" name="Month">
      <calculatedColumnFormula array="1">Common_InputFunctions.Utility_DisplayArrayInTable(Common_SourceData.Common_SourceData_MonthsToSeasons_Data(), Table_SourceData_Common_MonthToSeason[[#Headers],[Month]], 0)</calculatedColumnFormula>
    </tableColumn>
    <tableColumn id="2" xr3:uid="{3F5D2D37-7B1B-4CB5-BD4E-1C38384F3D09}" name="Season" dataDxfId="9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26B35D2-B93A-4EAC-BC99-CB91AB9C214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D0F3F82-0CD5-4AFA-A517-A0B150A11F0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4B8A111-9105-4D19-A179-50E19F585832}" name="MAT (ºC)" dataDxfId="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8B0319C-9CD7-4BB4-B498-66F0701E8ADC}" name="Anaerobic lagoon"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A421C61-4FA8-4172-B1F4-AC66552F1813}" name="Digester / covered lagoons" dataDxfId="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49451B4-B1FF-44F4-99B7-13FC79B56A94}" name="Liquid systems" dataDxfId="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25962E4-158F-4FB4-BBFC-FE1275CA56C5}" name="Daily spread" dataDxfId="8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C393134-A5CC-4085-842B-802B5081B2CC}" name="Composting (passive windrow)" dataDxfId="8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58A8699-29E9-46D3-8601-7CFAC2747B78}" name="Solid storage" dataDxfId="8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3152892-1F11-4FA3-B66E-5153616432AC}" name="Pit storage" dataDxfId="8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5F36153-D69E-4C94-B868-BB3EB0BF82B9}" name="Deep litter" dataDxfId="8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24A5CC0F-177F-4A5D-9140-031C83C88617}" name="Poultry manure with bedding" dataDxfId="8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7658789-4A27-4160-9F7D-D89007434764}" name="Poultry manure without bedding" dataDxfId="8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4A74F03E-495F-470A-BA72-FD65D2C513E7}" name="Direct processing" dataDxfId="8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01A5436F-F31A-4FAF-AC6D-9167C126F2AA}" name="Direct application" dataDxfId="7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3D669E2-7FDF-4EC4-956A-3F47E391595C}" name="Pasture range and paddock" dataDxfId="7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22C3877-73F4-460E-B3F4-3EFEB52CA427}" name="MAT raw" dataDxfId="7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86AF18F-C170-4EB8-81EF-1F6E61AFC8A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3603888-B9CA-4327-ADAA-1B89202E4FA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8E44BA1-BA32-4A72-938A-595C28A02C87}" name="EFNi &amp; EFN2Oi" dataDxfId="7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2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3.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election activeCell="K16" sqref="K16"/>
    </sheetView>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6" t="e" vm="1">
        <v>#VALUE!</v>
      </c>
      <c r="C1" s="66" t="s">
        <v>177</v>
      </c>
      <c r="D1" s="67"/>
      <c r="E1" s="67"/>
      <c r="F1" s="67"/>
      <c r="G1" s="67"/>
      <c r="H1" s="67"/>
      <c r="I1" s="67"/>
      <c r="J1" s="67"/>
      <c r="K1" s="67"/>
      <c r="L1" s="67"/>
      <c r="M1" s="67"/>
      <c r="N1" s="67"/>
      <c r="O1" s="67"/>
      <c r="P1" s="67"/>
    </row>
    <row r="2" spans="1:17" ht="20.100000000000001" customHeight="1" x14ac:dyDescent="0.25">
      <c r="A2" s="9"/>
      <c r="C2" s="67"/>
      <c r="D2" s="67"/>
      <c r="E2" s="67"/>
      <c r="F2" s="67"/>
      <c r="G2" s="67"/>
      <c r="H2" s="67"/>
      <c r="I2" s="67"/>
      <c r="J2" s="67"/>
      <c r="K2" s="67"/>
      <c r="L2" s="67"/>
      <c r="M2" s="67"/>
      <c r="N2" s="67"/>
      <c r="O2" s="67"/>
      <c r="P2" s="67"/>
      <c r="Q2" s="68"/>
    </row>
    <row r="3" spans="1:17" ht="20.100000000000001" customHeight="1" x14ac:dyDescent="0.25">
      <c r="A3" s="14" t="str">
        <f>HYPERLINK("#'Home'!A1", "Home")</f>
        <v>Home</v>
      </c>
      <c r="C3" s="69"/>
      <c r="D3" s="69"/>
      <c r="E3" s="69"/>
      <c r="F3" s="69"/>
      <c r="G3" s="69"/>
      <c r="H3" s="69"/>
      <c r="I3" s="69"/>
      <c r="J3" s="69"/>
      <c r="K3" s="69"/>
      <c r="L3" s="69"/>
      <c r="M3" s="69"/>
      <c r="N3" s="69"/>
      <c r="O3" s="69"/>
      <c r="P3" s="69"/>
    </row>
    <row r="4" spans="1:17" ht="20.100000000000001" customHeight="1" x14ac:dyDescent="0.25">
      <c r="A4" s="51" t="str">
        <f>HYPERLINK("#'Overview'!A1", "Overview")</f>
        <v>Overview</v>
      </c>
    </row>
    <row r="5" spans="1:17" ht="20.100000000000001" customHeight="1" x14ac:dyDescent="0.25">
      <c r="A5" s="14" t="str">
        <f>HYPERLINK("#'Results'!A1", "Results")</f>
        <v>Results</v>
      </c>
      <c r="D5" s="49" t="s">
        <v>83</v>
      </c>
      <c r="E5" s="40"/>
      <c r="F5" s="40"/>
      <c r="G5" s="40"/>
      <c r="H5" s="40"/>
      <c r="I5" s="40"/>
      <c r="J5" s="40"/>
      <c r="K5" s="40"/>
      <c r="L5" s="40"/>
      <c r="M5" s="40"/>
      <c r="N5" s="40"/>
      <c r="O5" s="37"/>
    </row>
    <row r="6" spans="1:17" ht="20.100000000000001" customHeight="1" x14ac:dyDescent="0.25">
      <c r="A6" s="13"/>
      <c r="D6" s="70" t="s">
        <v>84</v>
      </c>
      <c r="E6" s="39"/>
      <c r="F6" s="39"/>
      <c r="G6" s="39"/>
      <c r="H6" s="39"/>
      <c r="I6" s="39"/>
      <c r="J6" s="39"/>
      <c r="K6" s="39"/>
      <c r="L6" s="39"/>
      <c r="M6" s="39"/>
      <c r="N6" s="39"/>
      <c r="O6" s="38"/>
    </row>
    <row r="7" spans="1:17" ht="20.100000000000001" customHeight="1" x14ac:dyDescent="0.25">
      <c r="A7" s="17" t="s">
        <v>1</v>
      </c>
    </row>
    <row r="8" spans="1:17" ht="20.100000000000001" customHeight="1" x14ac:dyDescent="0.25">
      <c r="A8" s="14" t="str">
        <f>HYPERLINK("#'Input - Fuel'!A1", "Fuel")</f>
        <v>Fuel</v>
      </c>
    </row>
    <row r="9" spans="1:17" ht="20.100000000000001" customHeight="1" x14ac:dyDescent="0.25">
      <c r="A9" s="14"/>
    </row>
    <row r="10" spans="1:17" ht="20.100000000000001" customHeight="1" x14ac:dyDescent="0.25">
      <c r="A10" s="16" t="s">
        <v>44</v>
      </c>
    </row>
    <row r="11" spans="1:17" ht="20.100000000000001" customHeight="1" x14ac:dyDescent="0.25">
      <c r="A11" s="14" t="str">
        <f>HYPERLINK("#'8.1.1.1-2 Transport fuel'!A1", "8.1.1.1-2 Transport fuel")</f>
        <v>8.1.1.1-2 Transport fuel</v>
      </c>
    </row>
    <row r="12" spans="1:17" ht="20.100000000000001" customHeight="1" x14ac:dyDescent="0.25">
      <c r="A12" s="14" t="str">
        <f>HYPERLINK("#'8.2.1.1-2 Stationary fuel'!A1", "8.2.1.1-2 Stationary fuel")</f>
        <v>8.2.1.1-2 Stationary fuel</v>
      </c>
    </row>
    <row r="13" spans="1:17" ht="20.100000000000001" customHeight="1" x14ac:dyDescent="0.25">
      <c r="A13" s="14" t="str">
        <f>HYPERLINK("#'8.X.1.1-2 General use fuel'!A1", "8.X.1.1-2 General use fuel")</f>
        <v>8.X.1.1-2 General use fuel</v>
      </c>
    </row>
    <row r="14" spans="1:17" ht="20.100000000000001" customHeight="1" x14ac:dyDescent="0.25">
      <c r="A14" s="14"/>
      <c r="O14" s="1" t="s">
        <v>179</v>
      </c>
    </row>
    <row r="15" spans="1:17" ht="20.100000000000001" customHeight="1" x14ac:dyDescent="0.25">
      <c r="A15" s="15" t="s">
        <v>2</v>
      </c>
    </row>
    <row r="16" spans="1:17" ht="20.100000000000001" customHeight="1" x14ac:dyDescent="0.25">
      <c r="A16" s="14" t="str">
        <f>HYPERLINK("#'Constants - Fuel'!A1", "Constants - Fuel")</f>
        <v>Constants - Fuel</v>
      </c>
    </row>
    <row r="17" spans="1:1" ht="20.100000000000001" customHeight="1" x14ac:dyDescent="0.25">
      <c r="A17" s="14"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4"/>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F23" sqref="F23"/>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6" t="e" vm="1">
        <v>#VALUE!</v>
      </c>
      <c r="C1" s="66" t="s">
        <v>178</v>
      </c>
    </row>
    <row r="2" spans="1:8" ht="20.100000000000001" customHeight="1" x14ac:dyDescent="0.25">
      <c r="A2" s="9"/>
      <c r="C2" s="9"/>
    </row>
    <row r="3" spans="1:8" ht="20.100000000000001" customHeight="1" x14ac:dyDescent="0.25">
      <c r="A3" s="14" t="str">
        <f>HYPERLINK("#'Home'!A1", "Home")</f>
        <v>Home</v>
      </c>
      <c r="C3" s="19"/>
      <c r="D3" s="19"/>
      <c r="E3" s="19"/>
      <c r="F3" s="19"/>
      <c r="G3" s="19"/>
      <c r="H3" s="19"/>
    </row>
    <row r="4" spans="1:8" ht="20.100000000000001" customHeight="1" x14ac:dyDescent="0.25">
      <c r="A4" s="14" t="str">
        <f>HYPERLINK("#'Overview'!A1", "Overview")</f>
        <v>Overview</v>
      </c>
      <c r="C4" s="19"/>
      <c r="D4" s="6" t="s">
        <v>3</v>
      </c>
      <c r="E4" s="20"/>
      <c r="F4" s="20"/>
      <c r="G4" s="20"/>
      <c r="H4" s="21"/>
    </row>
    <row r="5" spans="1:8" ht="20.100000000000001" customHeight="1" x14ac:dyDescent="0.3">
      <c r="A5" s="51" t="str">
        <f>HYPERLINK("#'Results'!A1", "Results")</f>
        <v>Results</v>
      </c>
      <c r="C5" s="19"/>
      <c r="D5" s="22"/>
      <c r="E5" s="23"/>
      <c r="F5" s="23"/>
      <c r="G5" s="23"/>
      <c r="H5" s="19"/>
    </row>
    <row r="6" spans="1:8" ht="20.100000000000001" customHeight="1" x14ac:dyDescent="0.25">
      <c r="A6" s="13"/>
      <c r="C6" s="19"/>
      <c r="D6" s="18" t="s">
        <v>80</v>
      </c>
      <c r="E6" s="19"/>
      <c r="F6" s="19"/>
      <c r="G6" s="19"/>
      <c r="H6" s="19"/>
    </row>
    <row r="7" spans="1:8" ht="20.100000000000001" customHeight="1" x14ac:dyDescent="0.25">
      <c r="A7" s="17" t="s">
        <v>1</v>
      </c>
      <c r="C7" s="19"/>
      <c r="D7" s="19"/>
      <c r="E7" s="19"/>
      <c r="F7" s="19"/>
      <c r="G7" s="19"/>
      <c r="H7" s="19"/>
    </row>
    <row r="8" spans="1:8" ht="20.100000000000001" customHeight="1" x14ac:dyDescent="0.25">
      <c r="A8" s="14" t="str">
        <f>HYPERLINK("#'Input - Fuel'!A1", "Fuel")</f>
        <v>Fuel</v>
      </c>
      <c r="C8" s="19"/>
      <c r="D8" s="47" t="s">
        <v>49</v>
      </c>
      <c r="E8" s="47" t="s">
        <v>60</v>
      </c>
      <c r="F8" s="47" t="s">
        <v>61</v>
      </c>
      <c r="G8" s="47" t="s">
        <v>55</v>
      </c>
      <c r="H8" s="19"/>
    </row>
    <row r="9" spans="1:8" ht="20.100000000000001" customHeight="1" x14ac:dyDescent="0.25">
      <c r="A9" s="14"/>
      <c r="C9" s="19"/>
      <c r="D9" s="1" t="s">
        <v>169</v>
      </c>
      <c r="E9" s="65">
        <f>'8.1.1.1-2 Transport fuel'!E67</f>
        <v>0</v>
      </c>
      <c r="F9" s="65">
        <f>E9</f>
        <v>0</v>
      </c>
      <c r="G9" s="33" t="s">
        <v>58</v>
      </c>
      <c r="H9" s="19"/>
    </row>
    <row r="10" spans="1:8" ht="20.100000000000001" customHeight="1" x14ac:dyDescent="0.25">
      <c r="A10" s="16" t="s">
        <v>44</v>
      </c>
      <c r="C10" s="19"/>
      <c r="D10" s="1" t="s">
        <v>170</v>
      </c>
      <c r="E10" s="65">
        <f>'8.1.1.1-2 Transport fuel'!E68</f>
        <v>0</v>
      </c>
      <c r="F10" s="65">
        <f t="shared" ref="F10:F14" si="0">E10</f>
        <v>0</v>
      </c>
      <c r="G10" s="33" t="s">
        <v>58</v>
      </c>
      <c r="H10" s="19"/>
    </row>
    <row r="11" spans="1:8" ht="20.100000000000001" customHeight="1" x14ac:dyDescent="0.25">
      <c r="A11" s="14" t="str">
        <f>HYPERLINK("#'8.1.1.1-2 Transport fuel'!A1", "8.1.1.1-2 Transport fuel")</f>
        <v>8.1.1.1-2 Transport fuel</v>
      </c>
      <c r="C11" s="19"/>
      <c r="D11" s="1" t="s">
        <v>171</v>
      </c>
      <c r="E11" s="65">
        <f>'8.1.1.1-2 Transport fuel'!E69</f>
        <v>0</v>
      </c>
      <c r="F11" s="65">
        <f t="shared" si="0"/>
        <v>0</v>
      </c>
      <c r="G11" s="33" t="s">
        <v>58</v>
      </c>
      <c r="H11" s="19"/>
    </row>
    <row r="12" spans="1:8" ht="20.100000000000001" customHeight="1" x14ac:dyDescent="0.25">
      <c r="A12" s="14" t="str">
        <f>HYPERLINK("#'8.2.1.1-2 Stationary fuel'!A1", "8.2.1.1-2 Stationary fuel")</f>
        <v>8.2.1.1-2 Stationary fuel</v>
      </c>
      <c r="C12" s="19"/>
      <c r="D12" s="1" t="s">
        <v>172</v>
      </c>
      <c r="E12" s="65">
        <f>'8.2.1.1-2 Stationary fuel'!E55</f>
        <v>6.0200000000000002E-3</v>
      </c>
      <c r="F12" s="65">
        <f t="shared" si="0"/>
        <v>6.0200000000000002E-3</v>
      </c>
      <c r="G12" s="33" t="s">
        <v>58</v>
      </c>
      <c r="H12" s="19"/>
    </row>
    <row r="13" spans="1:8" ht="20.100000000000001" customHeight="1" x14ac:dyDescent="0.25">
      <c r="A13" s="14" t="str">
        <f>HYPERLINK("#'8.X.1.1-2 General use fuel'!A1", "8.X.1.1-2 General use fuel")</f>
        <v>8.X.1.1-2 General use fuel</v>
      </c>
      <c r="C13" s="19"/>
      <c r="D13" s="1" t="s">
        <v>173</v>
      </c>
      <c r="E13" s="65">
        <f>'8.2.1.1-2 Stationary fuel'!E56</f>
        <v>3.9999999999999998E-6</v>
      </c>
      <c r="F13" s="65">
        <f t="shared" si="0"/>
        <v>3.9999999999999998E-6</v>
      </c>
      <c r="G13" s="33" t="s">
        <v>58</v>
      </c>
      <c r="H13" s="19"/>
    </row>
    <row r="14" spans="1:8" ht="20.100000000000001" customHeight="1" x14ac:dyDescent="0.25">
      <c r="A14" s="14"/>
      <c r="C14" s="19"/>
      <c r="D14" s="1" t="s">
        <v>174</v>
      </c>
      <c r="E14" s="65">
        <f>'8.2.1.1-2 Stationary fuel'!E57</f>
        <v>3.0000000000000001E-6</v>
      </c>
      <c r="F14" s="65">
        <f t="shared" si="0"/>
        <v>3.0000000000000001E-6</v>
      </c>
      <c r="G14" s="33" t="s">
        <v>58</v>
      </c>
      <c r="H14" s="19"/>
    </row>
    <row r="15" spans="1:8" ht="20.100000000000001" customHeight="1" x14ac:dyDescent="0.3">
      <c r="A15" s="15" t="s">
        <v>2</v>
      </c>
      <c r="C15" s="19"/>
      <c r="D15" s="25" t="s">
        <v>54</v>
      </c>
      <c r="E15" s="46">
        <f>SUM(E9:E14)</f>
        <v>6.0270000000000002E-3</v>
      </c>
      <c r="F15" s="46">
        <f>SUM(F9:F14)</f>
        <v>6.0270000000000002E-3</v>
      </c>
      <c r="G15" s="44" t="s">
        <v>58</v>
      </c>
      <c r="H15" s="19"/>
    </row>
    <row r="16" spans="1:8" ht="20.100000000000001" customHeight="1" x14ac:dyDescent="0.25">
      <c r="A16" s="14" t="str">
        <f>HYPERLINK("#'Constants - Fuel'!A1", "Constants - Fuel")</f>
        <v>Constants - Fuel</v>
      </c>
      <c r="C16" s="19"/>
      <c r="D16" s="1"/>
      <c r="E16" s="65"/>
      <c r="F16" s="65"/>
      <c r="G16" s="33"/>
      <c r="H16" s="19"/>
    </row>
    <row r="17" spans="1:8" ht="20.100000000000001" customHeight="1" x14ac:dyDescent="0.25">
      <c r="A17" s="14" t="str">
        <f>HYPERLINK("#'Constants - Common'!A1", "Constants - Common")</f>
        <v>Constants - Common</v>
      </c>
      <c r="C17" s="19"/>
      <c r="D17" s="1"/>
      <c r="E17" s="65"/>
      <c r="F17" s="65"/>
      <c r="G17" s="33"/>
      <c r="H17" s="19"/>
    </row>
    <row r="18" spans="1:8" ht="20.100000000000001" customHeight="1" x14ac:dyDescent="0.25">
      <c r="C18" s="19"/>
      <c r="D18" s="1"/>
      <c r="E18" s="1"/>
      <c r="F18" s="1"/>
      <c r="G18" s="1"/>
      <c r="H18" s="19"/>
    </row>
    <row r="19" spans="1:8" ht="20.100000000000001" customHeight="1" x14ac:dyDescent="0.25">
      <c r="C19" s="19"/>
      <c r="D19" s="1"/>
      <c r="E19" s="1"/>
      <c r="F19" s="1"/>
      <c r="G19" s="1"/>
      <c r="H19" s="19"/>
    </row>
    <row r="20" spans="1:8" ht="20.100000000000001" customHeight="1" x14ac:dyDescent="0.25">
      <c r="A20" s="14"/>
      <c r="C20" s="19"/>
      <c r="D20" s="1"/>
      <c r="E20" s="1"/>
      <c r="F20" s="1"/>
      <c r="G20" s="1"/>
      <c r="H20" s="19"/>
    </row>
    <row r="21" spans="1:8" ht="20.100000000000001" customHeight="1" x14ac:dyDescent="0.25">
      <c r="A21" s="14"/>
      <c r="C21" s="19"/>
      <c r="D21" s="1"/>
      <c r="E21" s="48"/>
      <c r="F21" s="33"/>
      <c r="G21" s="1"/>
      <c r="H21" s="19"/>
    </row>
    <row r="22" spans="1:8" ht="20.100000000000001" customHeight="1" x14ac:dyDescent="0.25">
      <c r="C22" s="19"/>
      <c r="D22" s="1"/>
      <c r="E22" s="48"/>
      <c r="F22" s="33"/>
      <c r="G22" s="1"/>
      <c r="H22" s="19"/>
    </row>
    <row r="23" spans="1:8" ht="20.100000000000001" customHeight="1" x14ac:dyDescent="0.25">
      <c r="A23" s="14"/>
      <c r="C23" s="19"/>
      <c r="D23" s="1"/>
      <c r="E23" s="1"/>
      <c r="F23" s="1"/>
      <c r="G23" s="1"/>
      <c r="H23" s="19"/>
    </row>
    <row r="24" spans="1:8" ht="20.100000000000001" customHeight="1" x14ac:dyDescent="0.25">
      <c r="C24" s="19"/>
      <c r="D24" s="1"/>
      <c r="E24" s="1"/>
      <c r="F24" s="1"/>
      <c r="G24" s="1"/>
      <c r="H24" s="19"/>
    </row>
    <row r="25" spans="1:8" ht="20.100000000000001" customHeight="1" x14ac:dyDescent="0.25">
      <c r="C25" s="19"/>
      <c r="D25" s="1"/>
      <c r="E25" s="1"/>
      <c r="F25" s="1"/>
      <c r="G25" s="1"/>
      <c r="H25" s="19"/>
    </row>
    <row r="26" spans="1:8" ht="20.100000000000001" customHeight="1" x14ac:dyDescent="0.25">
      <c r="C26" s="19"/>
      <c r="D26" s="1"/>
      <c r="E26" s="1"/>
      <c r="F26" s="1"/>
      <c r="G26" s="1"/>
      <c r="H26" s="19"/>
    </row>
    <row r="27" spans="1:8" ht="20.100000000000001" customHeight="1" x14ac:dyDescent="0.25">
      <c r="C27" s="19"/>
      <c r="D27" s="1"/>
      <c r="E27" s="1"/>
      <c r="F27" s="1"/>
      <c r="G27" s="1"/>
      <c r="H27" s="19"/>
    </row>
    <row r="28" spans="1:8" ht="20.100000000000001" customHeight="1" x14ac:dyDescent="0.25">
      <c r="C28" s="19"/>
      <c r="D28" s="1"/>
      <c r="E28" s="1"/>
      <c r="F28" s="1"/>
      <c r="G28" s="1"/>
      <c r="H28" s="19"/>
    </row>
    <row r="29" spans="1:8" ht="20.100000000000001" customHeight="1" x14ac:dyDescent="0.25">
      <c r="C29" s="19"/>
      <c r="D29" s="1"/>
      <c r="E29" s="1"/>
      <c r="F29" s="1"/>
      <c r="G29" s="1"/>
      <c r="H29" s="19"/>
    </row>
    <row r="30" spans="1:8" ht="20.100000000000001" customHeight="1" x14ac:dyDescent="0.25">
      <c r="C30" s="19"/>
      <c r="D30" s="1"/>
      <c r="E30" s="1"/>
      <c r="F30" s="1"/>
      <c r="G30" s="1"/>
      <c r="H30" s="19"/>
    </row>
    <row r="31" spans="1:8" ht="20.100000000000001" customHeight="1" x14ac:dyDescent="0.25">
      <c r="C31" s="19"/>
      <c r="D31" s="1"/>
      <c r="E31" s="1"/>
      <c r="F31" s="1"/>
      <c r="G31" s="1"/>
      <c r="H31" s="19"/>
    </row>
    <row r="32" spans="1:8" ht="20.100000000000001" customHeight="1" x14ac:dyDescent="0.25">
      <c r="C32" s="19"/>
      <c r="D32" s="1"/>
      <c r="E32" s="1"/>
      <c r="F32" s="1"/>
      <c r="G32" s="1"/>
      <c r="H32" s="19"/>
    </row>
    <row r="33" spans="3:8" ht="20.100000000000001" customHeight="1" x14ac:dyDescent="0.25">
      <c r="C33" s="19"/>
      <c r="D33" s="1"/>
      <c r="E33" s="1"/>
      <c r="F33" s="1"/>
      <c r="G33" s="1"/>
      <c r="H33" s="19"/>
    </row>
    <row r="34" spans="3:8" ht="20.100000000000001" customHeight="1" x14ac:dyDescent="0.25">
      <c r="C34" s="19"/>
      <c r="D34" s="1"/>
      <c r="E34" s="1"/>
      <c r="F34" s="1"/>
      <c r="G34" s="1"/>
      <c r="H34" s="19"/>
    </row>
    <row r="35" spans="3:8" ht="20.100000000000001" customHeight="1" x14ac:dyDescent="0.25">
      <c r="C35" s="19"/>
      <c r="D35" s="1"/>
      <c r="E35" s="1"/>
      <c r="F35" s="1"/>
      <c r="G35" s="1"/>
      <c r="H35" s="19"/>
    </row>
    <row r="36" spans="3:8" ht="20.100000000000001" customHeight="1" x14ac:dyDescent="0.25">
      <c r="C36" s="19"/>
      <c r="D36" s="1"/>
      <c r="E36" s="1"/>
      <c r="F36" s="1"/>
      <c r="G36" s="1"/>
      <c r="H36" s="19"/>
    </row>
    <row r="37" spans="3:8" ht="20.100000000000001" customHeight="1" x14ac:dyDescent="0.25">
      <c r="C37" s="19"/>
      <c r="D37" s="1"/>
      <c r="E37" s="1"/>
      <c r="F37" s="1"/>
      <c r="G37" s="1"/>
      <c r="H37" s="19"/>
    </row>
    <row r="38" spans="3:8" ht="20.100000000000001" customHeight="1" x14ac:dyDescent="0.25">
      <c r="C38" s="19"/>
      <c r="D38" s="1"/>
      <c r="E38" s="1"/>
      <c r="F38" s="1"/>
      <c r="G38" s="1"/>
      <c r="H38" s="19"/>
    </row>
    <row r="39" spans="3:8" ht="20.100000000000001" customHeight="1" x14ac:dyDescent="0.25">
      <c r="C39" s="19"/>
      <c r="D39" s="1"/>
      <c r="E39" s="1"/>
      <c r="F39" s="1"/>
      <c r="G39" s="1"/>
      <c r="H39" s="19"/>
    </row>
    <row r="40" spans="3:8" ht="20.100000000000001" customHeight="1" x14ac:dyDescent="0.25">
      <c r="C40" s="19"/>
      <c r="D40" s="1"/>
      <c r="E40" s="1"/>
      <c r="F40" s="1"/>
      <c r="G40" s="1"/>
      <c r="H40" s="19"/>
    </row>
    <row r="41" spans="3:8" ht="20.100000000000001" customHeight="1" x14ac:dyDescent="0.25">
      <c r="C41" s="19"/>
      <c r="D41" s="1"/>
      <c r="E41" s="1"/>
      <c r="F41" s="1"/>
      <c r="G41" s="1"/>
      <c r="H41" s="19"/>
    </row>
    <row r="42" spans="3:8" ht="20.100000000000001" customHeight="1" x14ac:dyDescent="0.25">
      <c r="C42" s="19"/>
      <c r="D42" s="1"/>
      <c r="E42" s="1"/>
      <c r="F42" s="1"/>
      <c r="G42" s="1"/>
      <c r="H42" s="19"/>
    </row>
    <row r="43" spans="3:8" ht="20.100000000000001" customHeight="1" x14ac:dyDescent="0.25">
      <c r="C43" s="19"/>
      <c r="D43" s="1"/>
      <c r="E43" s="1"/>
      <c r="F43" s="1"/>
      <c r="G43" s="1"/>
      <c r="H43" s="19"/>
    </row>
    <row r="44" spans="3:8" ht="20.100000000000001" customHeight="1" x14ac:dyDescent="0.25">
      <c r="C44" s="19"/>
      <c r="D44" s="1"/>
      <c r="E44" s="1"/>
      <c r="F44" s="1"/>
      <c r="G44" s="1"/>
      <c r="H44" s="19"/>
    </row>
    <row r="45" spans="3:8" ht="20.100000000000001" customHeight="1" x14ac:dyDescent="0.25">
      <c r="C45" s="19"/>
      <c r="D45" s="1"/>
      <c r="E45" s="1"/>
      <c r="F45" s="1"/>
      <c r="G45" s="1"/>
      <c r="H45" s="19"/>
    </row>
    <row r="46" spans="3:8" ht="20.100000000000001" customHeight="1" x14ac:dyDescent="0.25">
      <c r="C46" s="19"/>
      <c r="D46" s="1"/>
      <c r="E46" s="1"/>
      <c r="F46" s="1"/>
      <c r="G46" s="1"/>
      <c r="H46" s="19"/>
    </row>
    <row r="47" spans="3:8" ht="20.100000000000001" customHeight="1" x14ac:dyDescent="0.25">
      <c r="C47" s="19"/>
      <c r="D47" s="1"/>
      <c r="E47" s="1"/>
      <c r="F47" s="1"/>
      <c r="G47" s="1"/>
      <c r="H47" s="19"/>
    </row>
    <row r="48" spans="3:8" ht="20.100000000000001" customHeight="1" x14ac:dyDescent="0.25">
      <c r="C48" s="19"/>
      <c r="D48" s="1"/>
      <c r="E48" s="1"/>
      <c r="F48" s="1"/>
      <c r="G48" s="1"/>
      <c r="H48" s="19"/>
    </row>
    <row r="49" spans="3:8" ht="20.100000000000001" customHeight="1" x14ac:dyDescent="0.25">
      <c r="C49" s="19"/>
      <c r="D49" s="1"/>
      <c r="E49" s="1"/>
      <c r="F49" s="1"/>
      <c r="G49" s="1"/>
      <c r="H49" s="19"/>
    </row>
    <row r="50" spans="3:8" ht="20.100000000000001" customHeight="1" x14ac:dyDescent="0.25">
      <c r="C50" s="19"/>
      <c r="D50" s="1"/>
      <c r="E50" s="1"/>
      <c r="F50" s="1"/>
      <c r="G50" s="1"/>
      <c r="H50" s="19"/>
    </row>
    <row r="51" spans="3:8" ht="20.100000000000001" customHeight="1" x14ac:dyDescent="0.25">
      <c r="C51" s="19"/>
      <c r="D51" s="1"/>
      <c r="E51" s="1"/>
      <c r="F51" s="1"/>
      <c r="G51" s="1"/>
      <c r="H51" s="19"/>
    </row>
    <row r="52" spans="3:8" ht="20.100000000000001" customHeight="1" x14ac:dyDescent="0.25">
      <c r="C52" s="19"/>
      <c r="D52" s="1"/>
      <c r="E52" s="1"/>
      <c r="F52" s="1"/>
      <c r="G52" s="1"/>
      <c r="H52" s="19"/>
    </row>
    <row r="53" spans="3:8" ht="20.100000000000001" customHeight="1" x14ac:dyDescent="0.25">
      <c r="C53" s="19"/>
      <c r="D53" s="1"/>
      <c r="E53" s="1"/>
      <c r="F53" s="1"/>
      <c r="G53" s="1"/>
      <c r="H53" s="19"/>
    </row>
    <row r="54" spans="3:8" ht="20.100000000000001" customHeight="1" x14ac:dyDescent="0.25">
      <c r="C54" s="19"/>
      <c r="D54" s="1"/>
      <c r="E54" s="1"/>
      <c r="F54" s="1"/>
      <c r="G54" s="1"/>
      <c r="H54" s="19"/>
    </row>
    <row r="55" spans="3:8" ht="20.100000000000001" customHeight="1" x14ac:dyDescent="0.25">
      <c r="C55" s="19"/>
      <c r="D55" s="1"/>
      <c r="E55" s="1"/>
      <c r="F55" s="1"/>
      <c r="G55" s="1"/>
      <c r="H55" s="19"/>
    </row>
    <row r="56" spans="3:8" ht="20.100000000000001" customHeight="1" x14ac:dyDescent="0.25">
      <c r="C56" s="19"/>
      <c r="D56" s="1"/>
      <c r="E56" s="1"/>
      <c r="F56" s="1"/>
      <c r="G56" s="1"/>
      <c r="H56" s="19"/>
    </row>
    <row r="57" spans="3:8" ht="20.100000000000001" customHeight="1" x14ac:dyDescent="0.25">
      <c r="C57" s="19"/>
      <c r="D57" s="1"/>
      <c r="E57" s="1"/>
      <c r="F57" s="1"/>
      <c r="G57" s="1"/>
      <c r="H57" s="19"/>
    </row>
    <row r="58" spans="3:8" ht="20.100000000000001" customHeight="1" x14ac:dyDescent="0.25">
      <c r="C58" s="19"/>
      <c r="D58" s="1"/>
      <c r="E58" s="26"/>
      <c r="F58" s="24"/>
      <c r="G58" s="19"/>
      <c r="H58" s="19"/>
    </row>
    <row r="59" spans="3:8" ht="20.100000000000001" customHeight="1" x14ac:dyDescent="0.25">
      <c r="C59" s="19"/>
      <c r="D59" s="1"/>
      <c r="E59" s="1"/>
      <c r="F59" s="1"/>
      <c r="G59" s="1"/>
      <c r="H59" s="19"/>
    </row>
    <row r="60" spans="3:8" ht="20.100000000000001" customHeight="1" x14ac:dyDescent="0.25">
      <c r="C60" s="19"/>
      <c r="D60" s="1"/>
      <c r="E60" s="1"/>
      <c r="F60" s="1"/>
      <c r="G60" s="1"/>
      <c r="H60" s="19"/>
    </row>
    <row r="61" spans="3:8" ht="20.100000000000001" customHeight="1" x14ac:dyDescent="0.25">
      <c r="C61" s="19"/>
      <c r="D61" s="1"/>
      <c r="E61" s="1"/>
      <c r="F61" s="1"/>
      <c r="G61" s="1"/>
      <c r="H61" s="19"/>
    </row>
    <row r="62" spans="3:8" ht="20.100000000000001" customHeight="1" x14ac:dyDescent="0.25">
      <c r="C62" s="19"/>
      <c r="D62" s="1"/>
      <c r="E62" s="1"/>
      <c r="F62" s="1"/>
      <c r="G62" s="1"/>
      <c r="H62" s="19"/>
    </row>
    <row r="63" spans="3:8" ht="20.100000000000001" customHeight="1" x14ac:dyDescent="0.25">
      <c r="C63" s="19"/>
      <c r="D63" s="1"/>
      <c r="E63" s="1"/>
      <c r="F63" s="1"/>
      <c r="G63" s="1"/>
      <c r="H63" s="19"/>
    </row>
    <row r="64" spans="3:8" ht="20.100000000000001" customHeight="1" x14ac:dyDescent="0.25">
      <c r="C64" s="19"/>
      <c r="D64" s="1"/>
      <c r="E64" s="1"/>
      <c r="F64" s="1"/>
      <c r="G64" s="1"/>
      <c r="H64" s="19"/>
    </row>
    <row r="65" spans="3:8" ht="20.100000000000001" customHeight="1" x14ac:dyDescent="0.25">
      <c r="C65" s="19"/>
      <c r="D65" s="1"/>
      <c r="E65" s="1"/>
      <c r="F65" s="1"/>
      <c r="G65" s="1"/>
      <c r="H65" s="19"/>
    </row>
    <row r="66" spans="3:8" ht="20.100000000000001" customHeight="1" x14ac:dyDescent="0.25">
      <c r="C66" s="19"/>
      <c r="D66" s="1"/>
      <c r="E66" s="1"/>
      <c r="F66" s="1"/>
      <c r="G66" s="1"/>
      <c r="H66" s="19"/>
    </row>
    <row r="67" spans="3:8" ht="20.100000000000001" customHeight="1" x14ac:dyDescent="0.25">
      <c r="C67" s="19"/>
      <c r="D67" s="1"/>
      <c r="E67" s="1"/>
      <c r="F67" s="1"/>
      <c r="G67" s="1"/>
      <c r="H67" s="19"/>
    </row>
    <row r="68" spans="3:8" ht="20.100000000000001" customHeight="1" x14ac:dyDescent="0.25">
      <c r="C68" s="19"/>
      <c r="D68" s="1"/>
      <c r="E68" s="1"/>
      <c r="F68" s="1"/>
      <c r="G68" s="1"/>
      <c r="H68" s="19"/>
    </row>
    <row r="69" spans="3:8" ht="20.100000000000001" customHeight="1" x14ac:dyDescent="0.25">
      <c r="C69" s="19"/>
      <c r="D69" s="1"/>
      <c r="E69" s="1"/>
      <c r="F69" s="1"/>
      <c r="G69" s="1"/>
      <c r="H69" s="19"/>
    </row>
    <row r="70" spans="3:8" ht="20.100000000000001" customHeight="1" x14ac:dyDescent="0.25">
      <c r="C70" s="19"/>
      <c r="D70" s="1"/>
      <c r="E70" s="1"/>
      <c r="F70" s="1"/>
      <c r="G70" s="1"/>
      <c r="H70" s="19"/>
    </row>
    <row r="71" spans="3:8" ht="20.100000000000001" customHeight="1" x14ac:dyDescent="0.25">
      <c r="C71" s="19"/>
      <c r="D71" s="1"/>
      <c r="E71" s="1"/>
      <c r="F71" s="1"/>
      <c r="G71" s="1"/>
      <c r="H71" s="19"/>
    </row>
    <row r="72" spans="3:8" ht="20.100000000000001" customHeight="1" x14ac:dyDescent="0.25">
      <c r="C72" s="19"/>
      <c r="D72" s="1"/>
      <c r="E72" s="1"/>
      <c r="F72" s="1"/>
      <c r="G72" s="1"/>
      <c r="H72" s="19"/>
    </row>
    <row r="73" spans="3:8" ht="20.100000000000001" customHeight="1" x14ac:dyDescent="0.25">
      <c r="C73" s="19"/>
      <c r="D73" s="1"/>
      <c r="E73" s="1"/>
      <c r="F73" s="1"/>
      <c r="G73" s="1"/>
      <c r="H73" s="19"/>
    </row>
    <row r="74" spans="3:8" ht="20.100000000000001" customHeight="1" x14ac:dyDescent="0.25">
      <c r="C74" s="19"/>
      <c r="D74" s="1"/>
      <c r="E74" s="1"/>
      <c r="F74" s="1"/>
      <c r="G74" s="1"/>
      <c r="H74" s="19"/>
    </row>
    <row r="75" spans="3:8" ht="20.100000000000001" customHeight="1" x14ac:dyDescent="0.25">
      <c r="C75" s="19"/>
      <c r="D75" s="1"/>
      <c r="E75" s="1"/>
      <c r="F75" s="1"/>
      <c r="G75" s="1"/>
      <c r="H75" s="19"/>
    </row>
    <row r="76" spans="3:8" ht="15.75" x14ac:dyDescent="0.25">
      <c r="C76" s="19"/>
      <c r="D76" s="1"/>
      <c r="E76" s="1"/>
      <c r="F76" s="1"/>
      <c r="G76" s="1"/>
      <c r="H76" s="19"/>
    </row>
    <row r="77" spans="3:8" ht="15.75" x14ac:dyDescent="0.25">
      <c r="C77" s="19"/>
      <c r="D77" s="1"/>
      <c r="E77" s="1"/>
      <c r="F77" s="1"/>
      <c r="G77" s="1"/>
      <c r="H77" s="19"/>
    </row>
    <row r="78" spans="3:8" ht="15.75" x14ac:dyDescent="0.25">
      <c r="C78" s="19"/>
      <c r="D78" s="1"/>
      <c r="E78" s="1"/>
      <c r="F78" s="1"/>
      <c r="G78" s="1"/>
      <c r="H78" s="19"/>
    </row>
    <row r="79" spans="3:8" ht="15.75" x14ac:dyDescent="0.25">
      <c r="C79" s="19"/>
      <c r="D79" s="1"/>
      <c r="E79" s="1"/>
      <c r="F79" s="1"/>
      <c r="G79" s="1"/>
      <c r="H79" s="19"/>
    </row>
    <row r="80" spans="3:8" ht="15.75" x14ac:dyDescent="0.25">
      <c r="C80" s="19"/>
      <c r="D80" s="1"/>
      <c r="E80" s="1"/>
      <c r="F80" s="1"/>
      <c r="G80" s="1"/>
      <c r="H80" s="19"/>
    </row>
    <row r="81" spans="3:8" ht="15.75" x14ac:dyDescent="0.25">
      <c r="C81" s="19"/>
      <c r="D81" s="1"/>
      <c r="E81" s="1"/>
      <c r="F81" s="1"/>
      <c r="G81" s="1"/>
      <c r="H81" s="19"/>
    </row>
    <row r="82" spans="3:8" ht="15.75" x14ac:dyDescent="0.25">
      <c r="C82" s="19"/>
      <c r="D82" s="1"/>
      <c r="E82" s="1"/>
      <c r="F82" s="1"/>
      <c r="G82" s="1"/>
      <c r="H82" s="19"/>
    </row>
    <row r="83" spans="3:8" ht="15.75" x14ac:dyDescent="0.25">
      <c r="C83" s="19"/>
      <c r="D83" s="1"/>
      <c r="E83" s="1"/>
      <c r="F83" s="1"/>
      <c r="G83" s="1"/>
      <c r="H83" s="19"/>
    </row>
    <row r="84" spans="3:8" ht="15.75" x14ac:dyDescent="0.25">
      <c r="C84" s="19"/>
      <c r="D84" s="1"/>
      <c r="E84" s="1"/>
      <c r="F84" s="1"/>
      <c r="G84" s="1"/>
      <c r="H84" s="19"/>
    </row>
    <row r="85" spans="3:8" ht="15.75" x14ac:dyDescent="0.25">
      <c r="C85" s="19"/>
      <c r="D85" s="1"/>
      <c r="E85" s="1"/>
      <c r="F85" s="1"/>
      <c r="G85" s="1"/>
      <c r="H85" s="19"/>
    </row>
    <row r="86" spans="3:8" x14ac:dyDescent="0.25">
      <c r="C86" s="19"/>
      <c r="D86" s="19"/>
      <c r="E86" s="19"/>
      <c r="F86" s="19"/>
      <c r="G86" s="19"/>
      <c r="H86" s="19"/>
    </row>
    <row r="87" spans="3:8" x14ac:dyDescent="0.25">
      <c r="C87" s="19"/>
      <c r="D87" s="19"/>
      <c r="E87" s="19"/>
      <c r="F87" s="19"/>
      <c r="G87" s="19"/>
      <c r="H8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8B325-9C89-47B2-A88E-F758E5EF40B4}">
  <dimension ref="A1:AA115"/>
  <sheetViews>
    <sheetView showGridLines="0" topLeftCell="A5" workbookViewId="0">
      <selection activeCell="E21" sqref="E21"/>
    </sheetView>
  </sheetViews>
  <sheetFormatPr defaultColWidth="9.140625" defaultRowHeight="15.75" x14ac:dyDescent="0.25"/>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6" t="e" vm="1">
        <v>#VALUE!</v>
      </c>
      <c r="C1" s="114" t="s">
        <v>185</v>
      </c>
    </row>
    <row r="2" spans="1:24" s="7" customFormat="1" ht="20.100000000000001" customHeight="1" x14ac:dyDescent="0.25">
      <c r="A2" s="9"/>
      <c r="C2" s="9"/>
      <c r="D2" s="9"/>
      <c r="E2" s="9"/>
      <c r="F2" s="9"/>
      <c r="G2" s="9"/>
      <c r="H2" s="9"/>
      <c r="I2" s="9"/>
      <c r="J2" s="9"/>
    </row>
    <row r="3" spans="1:24" ht="20.100000000000001"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100000000000001" customHeight="1" x14ac:dyDescent="0.25">
      <c r="A4" s="14" t="str">
        <f>HYPERLINK("#'Overview'!A1", "Overview")</f>
        <v>Overview</v>
      </c>
      <c r="C4" s="115"/>
      <c r="D4" s="115"/>
      <c r="E4" s="115"/>
      <c r="F4" s="115"/>
      <c r="G4" s="115"/>
      <c r="H4" s="115"/>
      <c r="I4" s="115"/>
      <c r="J4" s="115"/>
      <c r="K4" s="115"/>
    </row>
    <row r="5" spans="1:24" ht="20.100000000000001" customHeight="1" x14ac:dyDescent="0.25">
      <c r="A5" s="14" t="str">
        <f>HYPERLINK("#'Results'!A1", "Results")</f>
        <v>Results</v>
      </c>
      <c r="D5" s="6" t="s">
        <v>186</v>
      </c>
      <c r="N5" s="116"/>
    </row>
    <row r="6" spans="1:24" ht="20.100000000000001" customHeight="1" x14ac:dyDescent="0.25">
      <c r="D6" s="117"/>
      <c r="N6" s="118"/>
    </row>
    <row r="7" spans="1:24" ht="20.100000000000001" customHeight="1" x14ac:dyDescent="0.25">
      <c r="A7" s="17" t="s">
        <v>1</v>
      </c>
      <c r="D7" s="1" t="s">
        <v>187</v>
      </c>
      <c r="E7" s="119" t="s">
        <v>188</v>
      </c>
      <c r="F7" s="2"/>
    </row>
    <row r="8" spans="1:24" ht="20.100000000000001" customHeight="1" x14ac:dyDescent="0.25">
      <c r="A8" s="14" t="str">
        <f>HYPERLINK("#'Input - Electricity'!A1", "Electricity")</f>
        <v>Electricity</v>
      </c>
      <c r="D8" s="120" t="s">
        <v>189</v>
      </c>
      <c r="E8" s="119" t="s">
        <v>190</v>
      </c>
    </row>
    <row r="9" spans="1:24" ht="20.100000000000001" customHeight="1" x14ac:dyDescent="0.25">
      <c r="A9" s="14"/>
      <c r="N9" s="121"/>
    </row>
    <row r="10" spans="1:24" ht="20.100000000000001" customHeight="1" x14ac:dyDescent="0.25">
      <c r="A10" s="16" t="s">
        <v>44</v>
      </c>
      <c r="D10" s="122" t="s">
        <v>191</v>
      </c>
      <c r="E10" s="123"/>
      <c r="F10" s="124"/>
      <c r="G10" s="125"/>
      <c r="N10" s="121"/>
    </row>
    <row r="11" spans="1:24" ht="20.100000000000001" customHeight="1" x14ac:dyDescent="0.25">
      <c r="A11" s="14" t="str">
        <f>HYPERLINK("#'14.1.1-2 Purchased electricity'!A1", "14.1.1-2 Purchased electricity")</f>
        <v>14.1.1-2 Purchased electricity</v>
      </c>
      <c r="N11" s="126"/>
    </row>
    <row r="12" spans="1:24" ht="20.100000000000001" customHeight="1" x14ac:dyDescent="0.25">
      <c r="A12" s="14"/>
      <c r="D12" s="120" t="s">
        <v>192</v>
      </c>
      <c r="E12" s="127">
        <v>45292</v>
      </c>
      <c r="F12" s="2" t="s">
        <v>193</v>
      </c>
    </row>
    <row r="13" spans="1:24" ht="20.100000000000001" customHeight="1" x14ac:dyDescent="0.25">
      <c r="A13" s="15" t="s">
        <v>2</v>
      </c>
      <c r="D13" s="120" t="s">
        <v>194</v>
      </c>
      <c r="E13" s="128">
        <f>DATE(YEAR(E12)+1,MONTH(E12),DAY(E12))-1</f>
        <v>45657</v>
      </c>
      <c r="F13" s="2" t="s">
        <v>195</v>
      </c>
      <c r="N13" s="129"/>
      <c r="O13" s="129"/>
    </row>
    <row r="14" spans="1:24" ht="20.100000000000001" customHeight="1" x14ac:dyDescent="0.25">
      <c r="A14" s="14" t="str">
        <f>HYPERLINK("#'Constants - Electricity'!A1", "Constants - Electricity")</f>
        <v>Constants - Electricity</v>
      </c>
      <c r="N14" s="129"/>
      <c r="O14" s="129"/>
    </row>
    <row r="15" spans="1:24" ht="20.100000000000001" customHeight="1" x14ac:dyDescent="0.25">
      <c r="A15" s="14" t="str">
        <f>HYPERLINK("#'Constants - Common'!A1", "Constants - Common")</f>
        <v>Constants - Common</v>
      </c>
      <c r="N15" s="129"/>
      <c r="O15" s="129"/>
    </row>
    <row r="16" spans="1:24" ht="20.100000000000001" customHeight="1" x14ac:dyDescent="0.25">
      <c r="A16"/>
      <c r="D16" s="6" t="s">
        <v>196</v>
      </c>
      <c r="N16" s="129"/>
      <c r="O16" s="129"/>
    </row>
    <row r="17" spans="1:25" ht="20.100000000000001" customHeight="1" x14ac:dyDescent="0.25">
      <c r="A17"/>
    </row>
    <row r="18" spans="1:25" ht="20.100000000000001" customHeight="1" x14ac:dyDescent="0.25">
      <c r="A18"/>
      <c r="D18" s="130" t="s">
        <v>197</v>
      </c>
      <c r="E18" s="40"/>
      <c r="F18" s="40"/>
      <c r="G18" s="37"/>
    </row>
    <row r="19" spans="1:25" ht="20.100000000000001" customHeight="1" x14ac:dyDescent="0.25">
      <c r="A19"/>
      <c r="D19" s="41" t="s">
        <v>198</v>
      </c>
      <c r="E19" s="39"/>
      <c r="F19" s="39"/>
      <c r="G19" s="38"/>
      <c r="N19" s="116"/>
    </row>
    <row r="20" spans="1:25" ht="20.100000000000001" customHeight="1" x14ac:dyDescent="0.25">
      <c r="A20"/>
      <c r="D20" s="1"/>
      <c r="E20" s="131"/>
      <c r="F20" s="2"/>
      <c r="N20" s="118"/>
    </row>
    <row r="21" spans="1:25" ht="20.100000000000001" customHeight="1" x14ac:dyDescent="0.25">
      <c r="A21"/>
      <c r="D21" s="1" t="s">
        <v>199</v>
      </c>
      <c r="E21" s="29" t="s">
        <v>200</v>
      </c>
      <c r="F21" s="2" t="s">
        <v>201</v>
      </c>
    </row>
    <row r="22" spans="1:25" ht="20.100000000000001" customHeight="1" x14ac:dyDescent="0.25">
      <c r="A22"/>
      <c r="D22" s="1" t="s">
        <v>202</v>
      </c>
      <c r="E22" s="29" t="s">
        <v>203</v>
      </c>
      <c r="F22" s="2" t="s">
        <v>201</v>
      </c>
      <c r="G22" s="1"/>
    </row>
    <row r="23" spans="1:25" ht="20.100000000000001" customHeight="1" x14ac:dyDescent="0.25">
      <c r="A23"/>
    </row>
    <row r="24" spans="1:25" ht="20.100000000000001" customHeight="1" x14ac:dyDescent="0.25">
      <c r="A24"/>
    </row>
    <row r="25" spans="1:25" ht="20.100000000000001" customHeight="1" x14ac:dyDescent="0.25">
      <c r="A25"/>
      <c r="N25" s="118"/>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G30" s="132"/>
      <c r="L30" s="133"/>
      <c r="M30" s="133"/>
      <c r="N30" s="133"/>
      <c r="O30" s="133"/>
      <c r="P30" s="133"/>
      <c r="Q30" s="133"/>
      <c r="R30" s="133"/>
      <c r="S30" s="133"/>
      <c r="T30" s="133"/>
      <c r="U30" s="133"/>
      <c r="V30" s="133"/>
      <c r="W30" s="133"/>
      <c r="X30" s="133"/>
      <c r="Y30" s="133"/>
    </row>
    <row r="31" spans="1:25" ht="20.100000000000001" customHeight="1" x14ac:dyDescent="0.25">
      <c r="A31"/>
      <c r="G31" s="131"/>
      <c r="L31" s="134"/>
      <c r="M31" s="134"/>
      <c r="N31" s="134"/>
      <c r="O31" s="134"/>
      <c r="P31" s="134"/>
      <c r="Q31" s="134"/>
      <c r="R31" s="134"/>
      <c r="S31" s="134"/>
      <c r="T31" s="134"/>
      <c r="U31" s="134"/>
      <c r="V31" s="134"/>
      <c r="W31" s="134"/>
      <c r="X31" s="134"/>
      <c r="Y31" s="134"/>
    </row>
    <row r="32" spans="1:25" ht="20.100000000000001" customHeight="1" x14ac:dyDescent="0.25">
      <c r="A32"/>
      <c r="G32" s="131"/>
      <c r="L32" s="134"/>
      <c r="M32" s="134"/>
      <c r="N32" s="134"/>
      <c r="O32" s="134"/>
      <c r="P32" s="134"/>
      <c r="Q32" s="134"/>
      <c r="R32" s="134"/>
      <c r="S32" s="134"/>
      <c r="T32" s="134"/>
      <c r="U32" s="134"/>
      <c r="V32" s="134"/>
      <c r="W32" s="134"/>
      <c r="X32" s="134"/>
      <c r="Y32" s="134"/>
    </row>
    <row r="33" spans="1:25" ht="20.100000000000001" customHeight="1" x14ac:dyDescent="0.25">
      <c r="A33"/>
      <c r="G33" s="135"/>
      <c r="L33" s="134"/>
      <c r="M33" s="134"/>
      <c r="N33" s="134"/>
      <c r="O33" s="134"/>
      <c r="P33" s="134"/>
      <c r="Q33" s="134"/>
      <c r="R33" s="134"/>
      <c r="S33" s="134"/>
      <c r="T33" s="134"/>
      <c r="U33" s="134"/>
      <c r="V33" s="134"/>
      <c r="W33" s="134"/>
      <c r="X33" s="134"/>
      <c r="Y33" s="134"/>
    </row>
    <row r="34" spans="1:25" ht="20.100000000000001" customHeight="1" x14ac:dyDescent="0.25">
      <c r="A34"/>
      <c r="J34" s="136"/>
      <c r="K34" s="137"/>
      <c r="L34" s="134"/>
      <c r="M34" s="134"/>
      <c r="N34" s="134"/>
      <c r="O34" s="134"/>
      <c r="P34" s="134"/>
      <c r="Q34" s="134"/>
      <c r="R34" s="134"/>
      <c r="S34" s="134"/>
      <c r="T34" s="134"/>
      <c r="U34" s="134"/>
      <c r="V34" s="134"/>
      <c r="W34" s="134"/>
      <c r="X34" s="134"/>
      <c r="Y34" s="134"/>
    </row>
    <row r="35" spans="1:25" ht="20.100000000000001" customHeight="1" x14ac:dyDescent="0.25">
      <c r="A35"/>
      <c r="J35" s="136"/>
      <c r="K35" s="137"/>
      <c r="L35" s="134"/>
      <c r="M35" s="134"/>
      <c r="N35" s="134"/>
      <c r="O35" s="134"/>
      <c r="P35" s="134"/>
      <c r="Q35" s="134"/>
      <c r="R35" s="134"/>
      <c r="S35" s="134"/>
      <c r="T35" s="134"/>
      <c r="U35" s="134"/>
      <c r="V35" s="134"/>
      <c r="W35" s="134"/>
      <c r="X35" s="134"/>
      <c r="Y35" s="134"/>
    </row>
    <row r="36" spans="1:25" ht="20.100000000000001" customHeight="1" x14ac:dyDescent="0.25">
      <c r="A36"/>
      <c r="D36" s="138"/>
      <c r="E36" s="138"/>
      <c r="F36" s="139"/>
      <c r="G36" s="136"/>
      <c r="H36" s="136"/>
      <c r="I36" s="140"/>
      <c r="J36" s="136"/>
      <c r="K36" s="137"/>
      <c r="L36" s="134"/>
      <c r="M36" s="134"/>
      <c r="N36" s="134"/>
      <c r="O36" s="134"/>
      <c r="P36" s="134"/>
      <c r="Q36" s="134"/>
      <c r="R36" s="134"/>
      <c r="S36" s="134"/>
      <c r="T36" s="134"/>
      <c r="U36" s="134"/>
      <c r="V36" s="134"/>
      <c r="W36" s="134"/>
      <c r="X36" s="134"/>
      <c r="Y36" s="134"/>
    </row>
    <row r="37" spans="1:25" ht="20.100000000000001" customHeight="1" x14ac:dyDescent="0.25">
      <c r="A37"/>
      <c r="D37" s="138"/>
      <c r="E37" s="138"/>
      <c r="F37" s="139"/>
      <c r="G37" s="136"/>
      <c r="H37" s="136"/>
      <c r="I37" s="140"/>
      <c r="J37" s="136"/>
      <c r="K37" s="137"/>
      <c r="L37" s="134"/>
      <c r="M37" s="134"/>
      <c r="N37" s="134"/>
      <c r="O37" s="134"/>
      <c r="P37" s="134"/>
      <c r="Q37" s="134"/>
      <c r="R37" s="134"/>
      <c r="S37" s="134"/>
      <c r="T37" s="134"/>
      <c r="U37" s="134"/>
      <c r="V37" s="134"/>
      <c r="W37" s="134"/>
      <c r="X37" s="134"/>
      <c r="Y37" s="134"/>
    </row>
    <row r="38" spans="1:25" ht="20.100000000000001" customHeight="1" x14ac:dyDescent="0.25">
      <c r="A38"/>
      <c r="D38" s="138"/>
      <c r="E38" s="138"/>
      <c r="F38" s="139"/>
      <c r="G38" s="136"/>
      <c r="H38" s="136"/>
      <c r="I38" s="140"/>
      <c r="J38" s="136"/>
      <c r="K38" s="137"/>
      <c r="L38" s="134"/>
      <c r="M38" s="134"/>
      <c r="N38" s="134"/>
      <c r="O38" s="134"/>
      <c r="P38" s="134"/>
      <c r="Q38" s="134"/>
      <c r="R38" s="134"/>
      <c r="S38" s="134"/>
      <c r="T38" s="134"/>
      <c r="U38" s="134"/>
      <c r="V38" s="134"/>
      <c r="W38" s="134"/>
      <c r="X38" s="134"/>
      <c r="Y38" s="134"/>
    </row>
    <row r="39" spans="1:25" ht="20.100000000000001" customHeight="1" x14ac:dyDescent="0.25">
      <c r="A39"/>
      <c r="D39" s="138"/>
      <c r="E39" s="138"/>
      <c r="F39" s="139"/>
      <c r="G39" s="136"/>
      <c r="H39" s="136"/>
      <c r="I39" s="140"/>
      <c r="J39" s="136"/>
      <c r="K39" s="137"/>
      <c r="L39" s="134"/>
      <c r="M39" s="134"/>
      <c r="N39" s="134"/>
      <c r="O39" s="134"/>
      <c r="P39" s="134"/>
      <c r="Q39" s="134"/>
      <c r="R39" s="134"/>
      <c r="S39" s="134"/>
      <c r="T39" s="134"/>
      <c r="U39" s="134"/>
      <c r="V39" s="134"/>
      <c r="W39" s="134"/>
      <c r="X39" s="134"/>
      <c r="Y39" s="134"/>
    </row>
    <row r="40" spans="1:25" ht="20.100000000000001" customHeight="1" x14ac:dyDescent="0.25">
      <c r="A40"/>
      <c r="D40" s="141"/>
      <c r="E40" s="141"/>
      <c r="F40" s="141"/>
      <c r="G40" s="142"/>
      <c r="H40" s="143"/>
      <c r="I40" s="143"/>
      <c r="J40" s="143"/>
      <c r="K40" s="143"/>
      <c r="L40" s="144"/>
      <c r="M40" s="144"/>
      <c r="N40" s="144"/>
      <c r="O40" s="144"/>
      <c r="P40" s="144"/>
      <c r="Q40" s="144"/>
      <c r="R40" s="144"/>
      <c r="S40" s="144"/>
      <c r="T40" s="144"/>
      <c r="U40" s="144"/>
      <c r="V40" s="144"/>
      <c r="W40" s="144"/>
      <c r="X40" s="144"/>
      <c r="Y40" s="144"/>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145"/>
      <c r="E47" s="145"/>
      <c r="F47" s="145"/>
      <c r="G47" s="145"/>
      <c r="H47" s="145"/>
    </row>
    <row r="48" spans="1:25" ht="20.100000000000001" customHeight="1" x14ac:dyDescent="0.25">
      <c r="D48" s="146"/>
      <c r="E48" s="146"/>
      <c r="F48" s="147"/>
      <c r="G48" s="147"/>
      <c r="H48" s="146"/>
    </row>
    <row r="49" spans="4:8" ht="20.100000000000001" customHeight="1" x14ac:dyDescent="0.25">
      <c r="D49" s="146"/>
      <c r="E49" s="146"/>
      <c r="F49" s="147"/>
      <c r="G49" s="147"/>
      <c r="H49" s="146"/>
    </row>
    <row r="50" spans="4:8" ht="20.100000000000001" customHeight="1" x14ac:dyDescent="0.25">
      <c r="D50" s="146"/>
      <c r="E50" s="146"/>
      <c r="F50" s="147"/>
      <c r="G50" s="147"/>
      <c r="H50" s="146"/>
    </row>
    <row r="51" spans="4:8" ht="20.100000000000001" customHeight="1" x14ac:dyDescent="0.25">
      <c r="D51" s="148"/>
      <c r="E51" s="149"/>
      <c r="F51" s="149"/>
      <c r="G51" s="149"/>
      <c r="H51" s="150"/>
    </row>
    <row r="52" spans="4:8" ht="20.100000000000001" customHeight="1" x14ac:dyDescent="0.25"/>
    <row r="53" spans="4:8" ht="20.100000000000001" customHeight="1" x14ac:dyDescent="0.25"/>
    <row r="54" spans="4:8" ht="20.100000000000001" customHeight="1" x14ac:dyDescent="0.25">
      <c r="G54" s="151"/>
    </row>
    <row r="55" spans="4:8" ht="20.100000000000001" customHeight="1" x14ac:dyDescent="0.25">
      <c r="D55" s="6"/>
    </row>
    <row r="56" spans="4:8" ht="20.100000000000001" customHeight="1" x14ac:dyDescent="0.25"/>
    <row r="57" spans="4:8" ht="20.100000000000001" customHeight="1" x14ac:dyDescent="0.25">
      <c r="D57" s="18"/>
      <c r="F57" s="152"/>
    </row>
    <row r="58" spans="4:8" ht="20.100000000000001" customHeight="1" x14ac:dyDescent="0.25">
      <c r="D58" s="1"/>
      <c r="E58" s="153"/>
    </row>
    <row r="59" spans="4:8" ht="20.100000000000001" customHeight="1" x14ac:dyDescent="0.25">
      <c r="D59" s="1"/>
      <c r="E59" s="153"/>
    </row>
    <row r="60" spans="4:8" ht="20.100000000000001" customHeight="1" x14ac:dyDescent="0.25">
      <c r="D60" s="1"/>
      <c r="E60" s="154"/>
    </row>
    <row r="61" spans="4:8" ht="20.100000000000001" customHeight="1" x14ac:dyDescent="0.25">
      <c r="D61" s="1"/>
    </row>
    <row r="62" spans="4:8" ht="20.100000000000001" customHeight="1" x14ac:dyDescent="0.25"/>
    <row r="63" spans="4:8" ht="20.100000000000001" customHeight="1" x14ac:dyDescent="0.25">
      <c r="D63" s="18"/>
    </row>
    <row r="64" spans="4:8" ht="20.100000000000001" customHeight="1" x14ac:dyDescent="0.25">
      <c r="D64" s="1"/>
      <c r="E64" s="153"/>
    </row>
    <row r="65" spans="4:9" ht="20.100000000000001" customHeight="1" x14ac:dyDescent="0.25">
      <c r="D65" s="1"/>
      <c r="E65" s="153"/>
    </row>
    <row r="66" spans="4:9" ht="20.100000000000001" customHeight="1" x14ac:dyDescent="0.25">
      <c r="D66" s="1"/>
      <c r="E66" s="154"/>
    </row>
    <row r="67" spans="4:9" ht="20.100000000000001" customHeight="1" x14ac:dyDescent="0.25"/>
    <row r="68" spans="4:9" ht="20.100000000000001" customHeight="1" x14ac:dyDescent="0.25"/>
    <row r="69" spans="4:9" ht="20.100000000000001" customHeight="1" x14ac:dyDescent="0.25">
      <c r="D69" s="155"/>
      <c r="E69" s="155"/>
      <c r="F69" s="155"/>
      <c r="G69" s="155"/>
      <c r="H69" s="155"/>
      <c r="I69" s="155"/>
    </row>
    <row r="70" spans="4:9" ht="20.100000000000001" customHeight="1" x14ac:dyDescent="0.25">
      <c r="D70" s="155"/>
      <c r="E70" s="155"/>
      <c r="F70" s="155"/>
      <c r="G70" s="155"/>
      <c r="H70" s="155"/>
      <c r="I70" s="155"/>
    </row>
    <row r="71" spans="4:9" ht="20.100000000000001" customHeight="1" x14ac:dyDescent="0.25">
      <c r="D71" s="155"/>
      <c r="E71" s="155"/>
      <c r="F71" s="155"/>
      <c r="G71" s="155"/>
      <c r="H71" s="155"/>
      <c r="I71" s="155"/>
    </row>
    <row r="72" spans="4:9" ht="20.100000000000001" customHeight="1" x14ac:dyDescent="0.25">
      <c r="D72" s="155"/>
      <c r="E72" s="155"/>
      <c r="F72" s="155"/>
      <c r="G72" s="155"/>
      <c r="H72" s="155"/>
      <c r="I72" s="15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56"/>
    </row>
    <row r="79" spans="4:9" ht="20.100000000000001" customHeight="1" x14ac:dyDescent="0.25">
      <c r="D79" s="156"/>
    </row>
    <row r="80" spans="4:9" ht="20.100000000000001" customHeight="1" x14ac:dyDescent="0.25">
      <c r="D80" s="156"/>
    </row>
    <row r="81" spans="4:4" ht="20.100000000000001" customHeight="1" x14ac:dyDescent="0.25">
      <c r="D81" s="156"/>
    </row>
    <row r="82" spans="4:4" ht="20.100000000000001" customHeight="1" x14ac:dyDescent="0.25">
      <c r="D82" s="15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E21" xr:uid="{9C2AA51D-31E7-4F0F-B175-43DE249A9B0B}">
      <formula1>INDIRECT("Table_AustralianStates[Common Name]")</formula1>
    </dataValidation>
    <dataValidation type="list" allowBlank="1" showInputMessage="1" showErrorMessage="1" sqref="E22" xr:uid="{E92364C7-3A92-41CC-8323-56489308B2CA}">
      <formula1>INDIRECT("Table_WASA4Areas[SA 4 Name]")</formula1>
    </dataValidation>
    <dataValidation type="list" allowBlank="1" showInputMessage="1" showErrorMessage="1" sqref="G36:G39" xr:uid="{D2825DC5-7A2F-447C-9FD1-088347E5D5C0}">
      <formula1>$D$41:$D$43</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J350"/>
  <sheetViews>
    <sheetView showGridLines="0" zoomScale="85" zoomScaleNormal="85" workbookViewId="0">
      <selection activeCell="E30" sqref="E30"/>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9" width="24.85546875" style="1" customWidth="1"/>
    <col min="10" max="10" width="4.7109375" style="1" customWidth="1"/>
    <col min="11" max="11" width="4.7109375" customWidth="1"/>
  </cols>
  <sheetData>
    <row r="1" spans="1:10" s="36" customFormat="1" ht="30" customHeight="1" x14ac:dyDescent="0.35">
      <c r="A1" s="36" t="e" vm="1">
        <v>#VALUE!</v>
      </c>
      <c r="C1" s="36" t="s">
        <v>85</v>
      </c>
    </row>
    <row r="2" spans="1:10" s="9" customFormat="1" ht="20.100000000000001" customHeight="1" x14ac:dyDescent="0.25"/>
    <row r="3" spans="1:10" ht="20.100000000000001" customHeight="1" x14ac:dyDescent="0.25">
      <c r="A3" s="14" t="str">
        <f>HYPERLINK("#'Home'!A1", "Home")</f>
        <v>Home</v>
      </c>
      <c r="C3" s="12"/>
      <c r="D3" s="12"/>
      <c r="E3" s="12"/>
      <c r="F3" s="12"/>
      <c r="G3" s="12"/>
      <c r="H3" s="12"/>
      <c r="I3" s="12"/>
      <c r="J3" s="12"/>
    </row>
    <row r="4" spans="1:10" ht="20.100000000000001" customHeight="1" x14ac:dyDescent="0.25">
      <c r="A4" s="14" t="str">
        <f>HYPERLINK("#'Overview'!A1", "Overview")</f>
        <v>Overview</v>
      </c>
    </row>
    <row r="5" spans="1:10" ht="20.100000000000001" customHeight="1" x14ac:dyDescent="0.25">
      <c r="A5" s="14" t="str">
        <f>HYPERLINK("#'Results'!A1", "Results")</f>
        <v>Results</v>
      </c>
      <c r="D5" s="6" t="s">
        <v>107</v>
      </c>
      <c r="E5" s="3"/>
      <c r="F5" s="3"/>
      <c r="G5" s="3"/>
      <c r="H5" s="3"/>
    </row>
    <row r="6" spans="1:10" ht="20.100000000000001" customHeight="1" x14ac:dyDescent="0.25">
      <c r="A6" s="13"/>
      <c r="D6" s="19"/>
      <c r="E6" s="19"/>
      <c r="F6" s="19"/>
      <c r="G6" s="19"/>
      <c r="H6" s="19"/>
      <c r="I6" s="19"/>
    </row>
    <row r="7" spans="1:10" ht="20.100000000000001" customHeight="1" x14ac:dyDescent="0.25">
      <c r="A7" s="17" t="s">
        <v>1</v>
      </c>
      <c r="D7" s="1" t="s">
        <v>205</v>
      </c>
    </row>
    <row r="8" spans="1:10" ht="20.100000000000001" customHeight="1" x14ac:dyDescent="0.25">
      <c r="A8" s="50" t="str">
        <f>HYPERLINK("#'Input - Fuel'!A1", "Fuel")</f>
        <v>Fuel</v>
      </c>
      <c r="D8" s="1" t="s">
        <v>204</v>
      </c>
    </row>
    <row r="9" spans="1:10" ht="20.100000000000001" customHeight="1" x14ac:dyDescent="0.25">
      <c r="A9" s="14"/>
      <c r="D9" s="1" t="s">
        <v>206</v>
      </c>
    </row>
    <row r="10" spans="1:10" ht="20.100000000000001" customHeight="1" x14ac:dyDescent="0.25">
      <c r="A10" s="16" t="s">
        <v>44</v>
      </c>
    </row>
    <row r="11" spans="1:10" ht="20.100000000000001" customHeight="1" x14ac:dyDescent="0.25">
      <c r="A11" s="14" t="str">
        <f>HYPERLINK("#'8.1.1.1-2 Transport fuel'!A1", "8.1.1.1-2 Transport fuel")</f>
        <v>8.1.1.1-2 Transport fuel</v>
      </c>
      <c r="D11" s="1" t="s">
        <v>207</v>
      </c>
      <c r="E11" s="29" t="s">
        <v>208</v>
      </c>
      <c r="F11" s="2" t="s">
        <v>201</v>
      </c>
    </row>
    <row r="12" spans="1:10" ht="20.100000000000001" customHeight="1" x14ac:dyDescent="0.25">
      <c r="A12" s="14" t="str">
        <f>HYPERLINK("#'8.2.1.1-2 Stationary fuel'!A1", "8.2.1.1-2 Stationary fuel")</f>
        <v>8.2.1.1-2 Stationary fuel</v>
      </c>
    </row>
    <row r="13" spans="1:10" ht="20.100000000000001" customHeight="1" x14ac:dyDescent="0.25">
      <c r="A13" s="14" t="str">
        <f>HYPERLINK("#'8.X.1.1-2 General use fuel'!A1", "8.X.1.1-2 General use fuel")</f>
        <v>8.X.1.1-2 General use fuel</v>
      </c>
      <c r="D13" s="49" t="s">
        <v>86</v>
      </c>
      <c r="E13" s="40"/>
      <c r="F13" s="40"/>
      <c r="G13" s="40"/>
      <c r="H13" s="37"/>
    </row>
    <row r="14" spans="1:10" ht="20.100000000000001" customHeight="1" x14ac:dyDescent="0.25">
      <c r="A14" s="14"/>
      <c r="D14" s="41" t="s">
        <v>87</v>
      </c>
      <c r="E14" s="39"/>
      <c r="F14" s="39"/>
      <c r="G14" s="39"/>
      <c r="H14" s="38"/>
    </row>
    <row r="15" spans="1:10" ht="20.100000000000001" customHeight="1" x14ac:dyDescent="0.25">
      <c r="A15" s="15" t="s">
        <v>2</v>
      </c>
      <c r="D15" s="19"/>
      <c r="E15" s="19"/>
      <c r="F15" s="19"/>
      <c r="G15" s="19"/>
      <c r="H15" s="19"/>
      <c r="I15" s="19"/>
    </row>
    <row r="16" spans="1:10" ht="20.100000000000001" customHeight="1" x14ac:dyDescent="0.25">
      <c r="A16" s="14" t="str">
        <f>HYPERLINK("#'Constants - Fuel'!A1", "Constants - Fuel")</f>
        <v>Constants - Fuel</v>
      </c>
      <c r="D16" s="53" t="s">
        <v>88</v>
      </c>
      <c r="E16" s="53" t="s">
        <v>89</v>
      </c>
      <c r="F16" s="53" t="s">
        <v>90</v>
      </c>
      <c r="G16" s="53" t="s">
        <v>91</v>
      </c>
      <c r="H16" s="53" t="s">
        <v>92</v>
      </c>
      <c r="I16" s="53" t="s">
        <v>93</v>
      </c>
    </row>
    <row r="17" spans="1:9" ht="20.100000000000001" customHeight="1" x14ac:dyDescent="0.25">
      <c r="A17" s="14" t="str">
        <f>HYPERLINK("#'Constants - Common'!A1", "Constants - Common")</f>
        <v>Constants - Common</v>
      </c>
      <c r="D17" s="29" t="s">
        <v>94</v>
      </c>
      <c r="E17" s="29" t="s">
        <v>106</v>
      </c>
      <c r="F17" s="73">
        <v>100</v>
      </c>
      <c r="G17" s="31" t="str" cm="1">
        <f t="array" ref="G17">Common_InputFunctions.Utility_LookupValueInTable(Table_Input_Fuel[[#This Row],[Fuel type (select)]],Table_FuelTypes_Units[Fuel type], Table_FuelTypes_Units[Unit])</f>
        <v>GJ</v>
      </c>
      <c r="H17" s="74">
        <f>1</f>
        <v>1</v>
      </c>
      <c r="I17" s="31">
        <f>Table_Input_Fuel[[#This Row],[Amount purchased]]*Table_Input_Fuel[[#This Row],[Percent consumed]]*10^-3</f>
        <v>0.1</v>
      </c>
    </row>
    <row r="18" spans="1:9" ht="20.100000000000001" customHeight="1" x14ac:dyDescent="0.25"/>
    <row r="19" spans="1:9" ht="20.100000000000001" customHeight="1" x14ac:dyDescent="0.25"/>
    <row r="20" spans="1:9" ht="20.100000000000001" customHeight="1" x14ac:dyDescent="0.25">
      <c r="A20" s="14"/>
    </row>
    <row r="21" spans="1:9" ht="20.100000000000001" customHeight="1" x14ac:dyDescent="0.25">
      <c r="A21" s="14"/>
    </row>
    <row r="22" spans="1:9" ht="20.100000000000001" customHeight="1" x14ac:dyDescent="0.25"/>
    <row r="23" spans="1:9" ht="20.100000000000001" customHeight="1" x14ac:dyDescent="0.25">
      <c r="A23" s="14"/>
    </row>
    <row r="24" spans="1:9" ht="20.100000000000001" customHeight="1" x14ac:dyDescent="0.25"/>
    <row r="25" spans="1:9" ht="20.100000000000001" customHeight="1" x14ac:dyDescent="0.25"/>
    <row r="26" spans="1:9" ht="20.100000000000001" customHeight="1" x14ac:dyDescent="0.25"/>
    <row r="27" spans="1:9" ht="20.100000000000001" customHeight="1" x14ac:dyDescent="0.25"/>
    <row r="28" spans="1:9" ht="20.100000000000001" customHeight="1" x14ac:dyDescent="0.25"/>
    <row r="29" spans="1:9" ht="20.100000000000001" customHeight="1" x14ac:dyDescent="0.25">
      <c r="A29" s="14"/>
    </row>
    <row r="30" spans="1:9" ht="20.100000000000001" customHeight="1" x14ac:dyDescent="0.25">
      <c r="A30" s="14"/>
    </row>
    <row r="31" spans="1:9" ht="20.100000000000001" customHeight="1" x14ac:dyDescent="0.25">
      <c r="A31" s="35"/>
    </row>
    <row r="32" spans="1:9" ht="20.100000000000001" customHeight="1" x14ac:dyDescent="0.25">
      <c r="A32" s="35"/>
    </row>
    <row r="33" spans="1:10" ht="20.100000000000001" customHeight="1" x14ac:dyDescent="0.25">
      <c r="A33" s="14"/>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56"/>
      <c r="J38" s="56"/>
    </row>
    <row r="39" spans="1:10" ht="20.100000000000001" customHeight="1" x14ac:dyDescent="0.25">
      <c r="A39" s="14"/>
      <c r="C39" s="56"/>
      <c r="J39" s="56"/>
    </row>
    <row r="40" spans="1:10" s="57" customFormat="1" ht="20.100000000000001" customHeight="1" x14ac:dyDescent="0.25">
      <c r="C40" s="1"/>
      <c r="D40" s="1"/>
      <c r="E40" s="1"/>
      <c r="F40" s="1"/>
      <c r="G40" s="1"/>
      <c r="H40" s="1"/>
      <c r="I40" s="1"/>
      <c r="J40" s="1"/>
    </row>
    <row r="41" spans="1:10" s="57" customFormat="1" ht="20.100000000000001" customHeight="1" x14ac:dyDescent="0.25">
      <c r="A41" s="58"/>
      <c r="C41" s="1"/>
      <c r="D41" s="1"/>
      <c r="E41" s="1"/>
      <c r="F41" s="1"/>
      <c r="G41" s="1"/>
      <c r="H41" s="1"/>
      <c r="I41" s="1"/>
      <c r="J41" s="1"/>
    </row>
    <row r="42" spans="1:10" ht="20.100000000000001" customHeight="1" x14ac:dyDescent="0.25"/>
    <row r="43" spans="1:10" ht="20.100000000000001" customHeight="1" x14ac:dyDescent="0.25"/>
    <row r="44" spans="1:10" ht="20.100000000000001" customHeight="1" x14ac:dyDescent="0.25">
      <c r="A44" s="63"/>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0" spans="4:4" x14ac:dyDescent="0.25">
      <c r="D350" s="45"/>
    </row>
  </sheetData>
  <conditionalFormatting sqref="F36">
    <cfRule type="cellIs" dxfId="18" priority="62" operator="lessThan">
      <formula>0</formula>
    </cfRule>
  </conditionalFormatting>
  <conditionalFormatting sqref="F115:F116">
    <cfRule type="cellIs" dxfId="17" priority="21" operator="lessThan">
      <formula>0</formula>
    </cfRule>
  </conditionalFormatting>
  <conditionalFormatting sqref="F127:F128">
    <cfRule type="cellIs" dxfId="16" priority="20" operator="lessThan">
      <formula>0</formula>
    </cfRule>
  </conditionalFormatting>
  <conditionalFormatting sqref="F139:F140">
    <cfRule type="cellIs" dxfId="15" priority="19" operator="lessThan">
      <formula>0</formula>
    </cfRule>
  </conditionalFormatting>
  <conditionalFormatting sqref="F151:F152">
    <cfRule type="cellIs" dxfId="14" priority="18" operator="lessThan">
      <formula>0</formula>
    </cfRule>
  </conditionalFormatting>
  <conditionalFormatting sqref="F239:F240">
    <cfRule type="cellIs" dxfId="13" priority="93" operator="lessThan">
      <formula>0</formula>
    </cfRule>
  </conditionalFormatting>
  <conditionalFormatting sqref="F244:F245">
    <cfRule type="cellIs" dxfId="12" priority="92" operator="lessThan">
      <formula>0</formula>
    </cfRule>
  </conditionalFormatting>
  <conditionalFormatting sqref="F249:F250">
    <cfRule type="cellIs" dxfId="11" priority="91" operator="lessThan">
      <formula>0</formula>
    </cfRule>
  </conditionalFormatting>
  <conditionalFormatting sqref="F273:F274">
    <cfRule type="cellIs" dxfId="10" priority="85" operator="lessThan">
      <formula>0</formula>
    </cfRule>
  </conditionalFormatting>
  <conditionalFormatting sqref="F278:F279">
    <cfRule type="cellIs" dxfId="9" priority="84" operator="lessThan">
      <formula>0</formula>
    </cfRule>
  </conditionalFormatting>
  <conditionalFormatting sqref="F283:F284">
    <cfRule type="cellIs" dxfId="8" priority="83" operator="lessThan">
      <formula>0</formula>
    </cfRule>
  </conditionalFormatting>
  <conditionalFormatting sqref="I20 I22:I26 I30:I31 H32:H34 I35 I37:I39 I41:I42 I193 E199:G199 I199">
    <cfRule type="cellIs" dxfId="7" priority="79" operator="lessThan">
      <formula>0</formula>
    </cfRule>
  </conditionalFormatting>
  <conditionalFormatting sqref="I46:I50">
    <cfRule type="cellIs" dxfId="6" priority="5" operator="lessThan">
      <formula>0</formula>
    </cfRule>
  </conditionalFormatting>
  <conditionalFormatting sqref="I54 I113">
    <cfRule type="cellIs" dxfId="5" priority="74" operator="lessThan">
      <formula>0</formula>
    </cfRule>
  </conditionalFormatting>
  <conditionalFormatting sqref="I65:I67">
    <cfRule type="cellIs" dxfId="4" priority="4" operator="lessThan">
      <formula>0</formula>
    </cfRule>
  </conditionalFormatting>
  <conditionalFormatting sqref="I71:I74">
    <cfRule type="cellIs" dxfId="3" priority="3" operator="lessThan">
      <formula>0</formula>
    </cfRule>
  </conditionalFormatting>
  <conditionalFormatting sqref="I78:I82">
    <cfRule type="cellIs" dxfId="2" priority="1" operator="lessThan">
      <formula>0</formula>
    </cfRule>
  </conditionalFormatting>
  <dataValidations disablePrompts="1" count="9">
    <dataValidation type="list" allowBlank="1" showInputMessage="1" showErrorMessage="1" sqref="D266" xr:uid="{4E913AB3-F90B-4C35-BCE1-5DBB8FC05107}">
      <formula1>INDIRECT("Table_SourceData_PoultryMMSStage1[MMS]")</formula1>
    </dataValidation>
    <dataValidation type="list" allowBlank="1" showInputMessage="1" showErrorMessage="1" sqref="E214" xr:uid="{9FB53635-991F-44AA-A123-E8ABEF9EE0A6}">
      <formula1>INDIRECT("Table_SourceData_Dairy_ProductionSystemTemplates[Area]")</formula1>
    </dataValidation>
    <dataValidation type="list" allowBlank="1" showInputMessage="1" showErrorMessage="1" sqref="E238 E243 E248 E282 E277 E272 E150 E138 E114 E126" xr:uid="{00A4EA4C-90D3-4150-979D-4D71C7F37A31}">
      <formula1>"Yes, No"</formula1>
    </dataValidation>
    <dataValidation type="list" allowBlank="1" showInputMessage="1" showErrorMessage="1" sqref="E54" xr:uid="{DBA884B0-B52E-420E-8FD2-21B082EB75E2}">
      <formula1>INDIRECT("Table_SourceData_Swine_IrrigationMethods[Irrigation method]")</formula1>
    </dataValidation>
    <dataValidation type="list" allowBlank="1" showInputMessage="1" showErrorMessage="1" sqref="E53" xr:uid="{B95E29DC-96D0-4475-A29E-3F3A3B60CEA1}">
      <formula1>INDIRECT("Table_SourceData_Swine_CropProdSystems[Production system]")</formula1>
    </dataValidation>
    <dataValidation type="list" allowBlank="1" showInputMessage="1" showErrorMessage="1" sqref="D33:D34" xr:uid="{23F8C720-A764-46DD-9B01-B7EA3D86E5AB}">
      <formula1>INDIRECT("Table_SourceData_OrganicFertiliserTypes[Organic fertiliser type]")</formula1>
    </dataValidation>
    <dataValidation type="list" allowBlank="1" showInputMessage="1" showErrorMessage="1" sqref="D17" xr:uid="{44BCE1B2-993E-4D7C-8172-C366FD07D726}">
      <formula1>INDIRECT("Table_FuelTypesPerUse[#Headers]")</formula1>
    </dataValidation>
    <dataValidation type="list" allowBlank="1" showInputMessage="1" showErrorMessage="1" sqref="E17" xr:uid="{76773934-728A-4512-A789-D38AF73B28FA}">
      <formula1>_xlfn.TRIMRANGE(INDIRECT("Table_FuelTypesPerUse["&amp;D17&amp;"]"))</formula1>
    </dataValidation>
    <dataValidation type="list" allowBlank="1" showInputMessage="1" showErrorMessage="1" sqref="E11" xr:uid="{36899568-0C60-419A-AB19-4AFC3F1063EA}">
      <formula1>"Metro, Non-metro"</formula1>
    </dataValidation>
  </dataValidation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R342"/>
  <sheetViews>
    <sheetView showGridLines="0" topLeftCell="A5" zoomScale="85" zoomScaleNormal="85" workbookViewId="0">
      <selection activeCell="D5" sqref="D5"/>
    </sheetView>
  </sheetViews>
  <sheetFormatPr defaultRowHeight="15.75" x14ac:dyDescent="0.25"/>
  <cols>
    <col min="1" max="1" width="30.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8" customFormat="1" ht="30" customHeight="1" x14ac:dyDescent="0.35">
      <c r="A1" s="36" t="e" vm="1">
        <v>#VALUE!</v>
      </c>
      <c r="C1" s="8" t="s">
        <v>108</v>
      </c>
    </row>
    <row r="2" spans="1:18" s="9" customFormat="1" ht="20.100000000000001" customHeight="1" x14ac:dyDescent="0.25"/>
    <row r="3" spans="1:18" ht="20.100000000000001" customHeight="1" x14ac:dyDescent="0.25">
      <c r="A3" s="14" t="str">
        <f>HYPERLINK("#'Home'!A1", "Home")</f>
        <v>Home</v>
      </c>
      <c r="C3" s="4"/>
      <c r="D3" s="4" t="s">
        <v>48</v>
      </c>
      <c r="E3" s="4"/>
      <c r="F3" s="4"/>
      <c r="G3" s="4"/>
      <c r="H3" s="4"/>
      <c r="I3" s="4"/>
      <c r="J3" s="4"/>
      <c r="K3" s="4"/>
      <c r="L3" s="4"/>
      <c r="M3" s="4"/>
      <c r="N3" s="4"/>
      <c r="O3" s="4"/>
      <c r="P3" s="4"/>
      <c r="Q3" s="4"/>
      <c r="R3" s="4"/>
    </row>
    <row r="4" spans="1:18" ht="20.100000000000001" customHeight="1" x14ac:dyDescent="0.25">
      <c r="A4" s="14" t="str">
        <f>HYPERLINK("#'Overview'!A1", "Overview")</f>
        <v>Overview</v>
      </c>
    </row>
    <row r="5" spans="1:18" ht="20.100000000000001" customHeight="1" x14ac:dyDescent="0.25">
      <c r="A5" s="14" t="str">
        <f>HYPERLINK("#'Results'!A1", "Results")</f>
        <v>Results</v>
      </c>
      <c r="D5" s="6" t="s">
        <v>210</v>
      </c>
      <c r="K5" s="6" t="s">
        <v>212</v>
      </c>
      <c r="O5" s="52"/>
      <c r="P5" s="52"/>
      <c r="Q5" s="52"/>
    </row>
    <row r="6" spans="1:18" ht="20.100000000000001" customHeight="1" x14ac:dyDescent="0.25">
      <c r="A6" s="13"/>
      <c r="D6" s="5" t="s">
        <v>211</v>
      </c>
      <c r="K6" s="5" t="s">
        <v>213</v>
      </c>
      <c r="O6" s="52"/>
      <c r="P6" s="52"/>
      <c r="Q6" s="52"/>
    </row>
    <row r="7" spans="1:18" ht="20.100000000000001" customHeight="1" x14ac:dyDescent="0.25">
      <c r="A7" s="17" t="s">
        <v>1</v>
      </c>
      <c r="D7" s="11"/>
      <c r="E7" s="11"/>
      <c r="K7" s="11"/>
      <c r="L7" s="11"/>
      <c r="O7" s="52"/>
      <c r="P7" s="52"/>
      <c r="Q7" s="52"/>
    </row>
    <row r="8" spans="1:18" ht="20.100000000000001" customHeight="1" x14ac:dyDescent="0.25">
      <c r="A8" s="14" t="str">
        <f>HYPERLINK("#'Input - Fuel'!A1", "Fuel")</f>
        <v>Fuel</v>
      </c>
      <c r="E8" s="11"/>
      <c r="L8" s="11"/>
      <c r="O8" s="52"/>
      <c r="P8" s="52"/>
      <c r="Q8" s="52"/>
    </row>
    <row r="9" spans="1:18" ht="20.100000000000001" customHeight="1" x14ac:dyDescent="0.25">
      <c r="A9" s="14"/>
      <c r="G9" s="5"/>
      <c r="O9" s="52"/>
      <c r="P9" s="52"/>
      <c r="Q9" s="52"/>
    </row>
    <row r="10" spans="1:18" ht="20.100000000000001" customHeight="1" x14ac:dyDescent="0.25">
      <c r="A10" s="16" t="s">
        <v>44</v>
      </c>
      <c r="O10" s="52"/>
      <c r="P10" s="52"/>
      <c r="Q10" s="52"/>
    </row>
    <row r="11" spans="1:18" ht="20.100000000000001" customHeight="1" x14ac:dyDescent="0.25">
      <c r="A11" s="71" t="str">
        <f>HYPERLINK("#'8.1.1.1-2 Transport fuel'!A1", "8.1.1.1-2 Transport fuel")</f>
        <v>8.1.1.1-2 Transport fuel</v>
      </c>
      <c r="D11" s="32" t="s">
        <v>12</v>
      </c>
      <c r="E11" s="1" t="s">
        <v>214</v>
      </c>
      <c r="K11" s="32" t="s">
        <v>12</v>
      </c>
      <c r="L11" s="1" t="s">
        <v>216</v>
      </c>
      <c r="O11" s="52"/>
      <c r="P11" s="52"/>
      <c r="Q11" s="52"/>
    </row>
    <row r="12" spans="1:18" ht="20.100000000000001" customHeight="1" x14ac:dyDescent="0.25">
      <c r="A12" s="14" t="str">
        <f>HYPERLINK("#'8.2.1.1-2 Stationary fuel'!A1", "8.2.1.1-2 Stationary fuel")</f>
        <v>8.2.1.1-2 Stationary fuel</v>
      </c>
      <c r="D12" s="32" t="s">
        <v>5</v>
      </c>
      <c r="E12" s="33" t="s">
        <v>215</v>
      </c>
      <c r="K12" s="32" t="s">
        <v>5</v>
      </c>
      <c r="L12" s="33" t="s">
        <v>58</v>
      </c>
    </row>
    <row r="13" spans="1:18" ht="20.100000000000001" customHeight="1" x14ac:dyDescent="0.25">
      <c r="A13" s="14" t="str">
        <f>HYPERLINK("#'8.X.1.1-2 General use fuel'!A1", "8.X.1.1-2 General use fuel")</f>
        <v>8.X.1.1-2 General use fuel</v>
      </c>
    </row>
    <row r="14" spans="1:18" ht="20.100000000000001" customHeight="1" x14ac:dyDescent="0.25">
      <c r="A14" s="14"/>
      <c r="D14" s="60" t="s">
        <v>217</v>
      </c>
      <c r="E14" s="62" t="s">
        <v>218</v>
      </c>
      <c r="F14" s="61"/>
      <c r="G14" s="60" t="s">
        <v>229</v>
      </c>
      <c r="H14" s="55" t="s">
        <v>230</v>
      </c>
      <c r="I14" s="59" t="str" cm="1">
        <f t="array" aca="1" ref="I14" ca="1">HYPERLINK(Common_InputFunctions.Utility_SourceHyperlink($D$22), $D$22)</f>
        <v>Table_E_g</v>
      </c>
      <c r="K14" s="60" t="s">
        <v>234</v>
      </c>
      <c r="L14" s="60" t="s">
        <v>235</v>
      </c>
      <c r="M14" s="60"/>
      <c r="N14" s="60" t="s">
        <v>123</v>
      </c>
      <c r="O14" s="55" t="s">
        <v>230</v>
      </c>
      <c r="P14" s="59" t="str" cm="1">
        <f t="array" aca="1" ref="P14" ca="1">HYPERLINK(Common_InputFunctions.Utility_SourceHyperlink($D$22), $D$22)</f>
        <v>Table_E_g</v>
      </c>
      <c r="Q14" s="52"/>
    </row>
    <row r="15" spans="1:18" ht="20.100000000000001" customHeight="1" x14ac:dyDescent="0.25">
      <c r="A15" s="15" t="s">
        <v>2</v>
      </c>
      <c r="D15" s="60" t="s">
        <v>219</v>
      </c>
      <c r="E15" s="62" t="s">
        <v>220</v>
      </c>
      <c r="F15" s="61"/>
      <c r="G15" s="60" t="s">
        <v>231</v>
      </c>
      <c r="H15" s="54" t="s">
        <v>232</v>
      </c>
      <c r="I15" s="59" t="str" cm="1">
        <f t="array" aca="1" ref="I15" ca="1">HYPERLINK(Common_InputFunctions.Utility_SourceHyperlink($D$22), $D$22)</f>
        <v>Table_E_g</v>
      </c>
      <c r="K15" s="60" t="s">
        <v>219</v>
      </c>
      <c r="L15" s="60" t="s">
        <v>236</v>
      </c>
      <c r="M15" s="60"/>
      <c r="N15" s="60" t="s">
        <v>239</v>
      </c>
      <c r="O15" s="54" t="s">
        <v>232</v>
      </c>
      <c r="P15" s="59" t="str" cm="1">
        <f t="array" aca="1" ref="P15" ca="1">HYPERLINK(Common_InputFunctions.Utility_SourceHyperlink($D$22), $D$22)</f>
        <v>Table_E_g</v>
      </c>
      <c r="Q15" s="52"/>
    </row>
    <row r="16" spans="1:18" ht="20.100000000000001" customHeight="1" x14ac:dyDescent="0.25">
      <c r="A16" s="14" t="str">
        <f>HYPERLINK("#'Constants - Fuel'!A1", "Constants - Fuel")</f>
        <v>Constants - Fuel</v>
      </c>
      <c r="D16" s="60" t="s">
        <v>221</v>
      </c>
      <c r="E16" s="62" t="s">
        <v>222</v>
      </c>
      <c r="F16" s="61"/>
      <c r="G16" s="60" t="s">
        <v>233</v>
      </c>
      <c r="H16" s="54" t="s">
        <v>232</v>
      </c>
      <c r="I16" s="59" t="str" cm="1">
        <f t="array" aca="1" ref="I16" ca="1">HYPERLINK(Common_InputFunctions.Utility_SourceHyperlink($D$22), $D$22)</f>
        <v>Table_E_g</v>
      </c>
      <c r="K16" s="60" t="s">
        <v>237</v>
      </c>
      <c r="L16" s="60" t="s">
        <v>238</v>
      </c>
      <c r="M16" s="60"/>
      <c r="N16" s="60" t="s">
        <v>240</v>
      </c>
      <c r="O16" s="54" t="s">
        <v>232</v>
      </c>
      <c r="P16" s="59" t="str" cm="1">
        <f t="array" aca="1" ref="P16" ca="1">HYPERLINK(Common_InputFunctions.Utility_SourceHyperlink($D$22), $D$22)</f>
        <v>Table_E_g</v>
      </c>
      <c r="Q16" s="52"/>
    </row>
    <row r="17" spans="1:17" ht="20.100000000000001" customHeight="1" x14ac:dyDescent="0.25">
      <c r="A17" s="14" t="str">
        <f>HYPERLINK("#'Constants - Common'!A1", "Constants - Common")</f>
        <v>Constants - Common</v>
      </c>
      <c r="D17" s="60" t="s">
        <v>223</v>
      </c>
      <c r="E17" s="62" t="s">
        <v>122</v>
      </c>
      <c r="F17" s="61"/>
      <c r="G17" s="60"/>
      <c r="H17" s="54" t="s">
        <v>232</v>
      </c>
      <c r="I17" s="59"/>
      <c r="J17" s="52"/>
      <c r="P17" s="52"/>
      <c r="Q17" s="52"/>
    </row>
    <row r="18" spans="1:17" ht="20.100000000000001" customHeight="1" x14ac:dyDescent="0.25">
      <c r="D18" s="60" t="s">
        <v>224</v>
      </c>
      <c r="E18" s="62" t="s">
        <v>225</v>
      </c>
      <c r="F18" s="61"/>
      <c r="G18" s="60"/>
      <c r="H18" s="54" t="s">
        <v>232</v>
      </c>
      <c r="I18" s="59"/>
      <c r="J18" s="52"/>
      <c r="L18" s="52"/>
      <c r="M18" s="52"/>
      <c r="N18" s="52"/>
      <c r="O18" s="52"/>
      <c r="P18" s="52"/>
      <c r="Q18" s="52"/>
    </row>
    <row r="19" spans="1:17" ht="20.100000000000001" customHeight="1" x14ac:dyDescent="0.25">
      <c r="D19" s="60" t="s">
        <v>226</v>
      </c>
      <c r="E19" s="62" t="s">
        <v>227</v>
      </c>
      <c r="F19" s="61"/>
      <c r="G19" s="60"/>
      <c r="H19" s="54" t="s">
        <v>232</v>
      </c>
      <c r="I19" s="59"/>
      <c r="J19" s="52"/>
      <c r="L19" s="52"/>
      <c r="M19" s="52"/>
      <c r="N19" s="52"/>
      <c r="O19" s="52"/>
      <c r="P19" s="52"/>
      <c r="Q19" s="52"/>
    </row>
    <row r="20" spans="1:17" ht="20.100000000000001" customHeight="1" x14ac:dyDescent="0.25">
      <c r="A20" s="14"/>
      <c r="D20" s="60">
        <v>1</v>
      </c>
      <c r="E20" s="62" t="s">
        <v>228</v>
      </c>
      <c r="F20" s="61"/>
      <c r="G20" s="60"/>
      <c r="H20" s="54" t="s">
        <v>232</v>
      </c>
      <c r="I20" s="59"/>
      <c r="J20" s="52"/>
      <c r="L20" s="52"/>
      <c r="M20" s="52"/>
      <c r="N20" s="52"/>
      <c r="O20" s="52"/>
      <c r="P20" s="52"/>
      <c r="Q20" s="52"/>
    </row>
    <row r="21" spans="1:17" ht="20.100000000000001" customHeight="1" x14ac:dyDescent="0.25">
      <c r="A21" s="14"/>
      <c r="O21" s="52"/>
      <c r="P21" s="52"/>
      <c r="Q21" s="52"/>
    </row>
    <row r="22" spans="1:17" ht="20.100000000000001" customHeight="1" x14ac:dyDescent="0.25">
      <c r="D22" s="43" t="s">
        <v>160</v>
      </c>
    </row>
    <row r="23" spans="1:17" ht="20.100000000000001" customHeight="1" x14ac:dyDescent="0.25">
      <c r="A23" s="14"/>
      <c r="D23" s="42" t="s">
        <v>161</v>
      </c>
    </row>
    <row r="24" spans="1:17" ht="20.100000000000001" customHeight="1" x14ac:dyDescent="0.25">
      <c r="D24" s="30" t="s">
        <v>146</v>
      </c>
      <c r="E24" s="30" t="s">
        <v>159</v>
      </c>
      <c r="F24" s="30" t="s">
        <v>147</v>
      </c>
      <c r="G24" s="30" t="s">
        <v>148</v>
      </c>
      <c r="H24" s="30" t="s">
        <v>149</v>
      </c>
      <c r="I24" s="30" t="s">
        <v>150</v>
      </c>
      <c r="J24" s="30" t="s">
        <v>151</v>
      </c>
      <c r="K24" s="30" t="s">
        <v>180</v>
      </c>
      <c r="L24" s="53" t="s">
        <v>168</v>
      </c>
      <c r="M24" s="30" t="s">
        <v>152</v>
      </c>
      <c r="N24" s="30" t="s">
        <v>153</v>
      </c>
      <c r="O24" s="30" t="s">
        <v>154</v>
      </c>
      <c r="P24" s="30" t="s">
        <v>155</v>
      </c>
      <c r="Q24" s="30" t="s">
        <v>182</v>
      </c>
    </row>
    <row r="25" spans="1:17" ht="20.100000000000001" customHeight="1" x14ac:dyDescent="0.25">
      <c r="D25" s="3" t="str">
        <f>Table_FuelTypesPerUse[[#Headers],[from the use of a limited number of NGER data inputs. It is suggested that for Tasmania the use of the Victorian emission factors is appropriate,]]</f>
        <v>from the use of a limited number of NGER data inputs. It is suggested that for Tasmania the use of the Victorian emission factors is appropriate,</v>
      </c>
      <c r="E25" s="87" t="str">
        <f>'Constants - Fuel'!$E$10</f>
        <v>Gasoline</v>
      </c>
      <c r="F25" s="87">
        <f>'Constants - Fuel'!G131</f>
        <v>0</v>
      </c>
      <c r="G25" s="31" cm="1">
        <f t="array" ref="G25">IFERROR(_xlfn.XLOOKUP(1, (Table_Fuel_EFs_Transport[Fuel combusted]=$E25)*(Table_Fuel_EFs_Transport[Transport type]=$D$25), Table_Fuel_EFs_Transport[Energy Content Factor (GJ per unit of fuel)]), 0)</f>
        <v>0</v>
      </c>
      <c r="H25" s="31" cm="1">
        <f t="array" ref="H25">IFERROR(_xlfn.XLOOKUP(1, (Table_Fuel_EFs_Transport[Fuel combusted]=$E25)*(Table_Fuel_EFs_Transport[Transport type]=$D$25), Table_Fuel_EFs_Transport[Scope 1 Emission Factor (kg CO2 - e / GJ) CO2]), 0)</f>
        <v>0</v>
      </c>
      <c r="I25" s="31" cm="1">
        <f t="array" ref="I25">IFERROR(_xlfn.XLOOKUP(1, (Table_Fuel_EFs_Transport[Fuel combusted]=$E25)*(Table_Fuel_EFs_Transport[Transport type]=$D$25), Table_Fuel_EFs_Transport[Scope 1 Emission Factor (kg CO2 - e / GJ) CH4]), 0)</f>
        <v>0</v>
      </c>
      <c r="J25" s="31" cm="1">
        <f t="array" ref="J25">IFERROR(_xlfn.XLOOKUP(1, (Table_Fuel_EFs_Transport[Fuel combusted]=$E25)*(Table_Fuel_EFs_Transport[Transport type]=$D$25), Table_Fuel_EFs_Transport[Scope 1 Emission Factor (kg CO2 - e / GJ) N2O]), 0)</f>
        <v>0</v>
      </c>
      <c r="K25" s="31" cm="1">
        <f t="array" ref="K25">IFERROR(_xlfn.XLOOKUP(1, (Table_Fuel_EFs_Transport[Fuel combusted]=$E25)*(Table_Fuel_EFs_Transport[Transport type]=$D$25), Table_Fuel_EFs_Transport[Scope 3 Emission Factor (kg CO2 - e / GJ)]), 0)</f>
        <v>0</v>
      </c>
      <c r="L25" s="64" cm="1">
        <f t="array" ref="L25">Fuel_InputFunctions.Fuel_TotalConsumption(Table_Input_Fuel[Amount consumed], Table_Input_Fuel[Fuel use (select)], D25, Table_Input_Fuel[Fuel type (select)],F25)</f>
        <v>0</v>
      </c>
      <c r="M25" s="64" t="str" cm="1">
        <f t="array" ref="M25">Common_InputFunctions.Utility_LookupValueInTable(F25,Table_FuelTypes_Units[Fuel type],Table_FuelTypes_Units[Unit])</f>
        <v/>
      </c>
      <c r="N25" s="106">
        <f>((($L25 * $G25 * $H25) * 10 ^ -3))</f>
        <v>0</v>
      </c>
      <c r="O25" s="106">
        <f>((($L25 * $G25 * $I25) * 10 ^ -3))</f>
        <v>0</v>
      </c>
      <c r="P25" s="106">
        <f>((($L25 * $G25 * $J25) * 10 ^ -3))</f>
        <v>0</v>
      </c>
      <c r="Q25" s="106">
        <f>((L25 * G25 * K25) * 10 ^ -3)</f>
        <v>0</v>
      </c>
    </row>
    <row r="26" spans="1:17" ht="20.100000000000001" customHeight="1" x14ac:dyDescent="0.25">
      <c r="D26" s="88" t="str">
        <f t="shared" ref="D26:D32" si="0">$D$25</f>
        <v>from the use of a limited number of NGER data inputs. It is suggested that for Tasmania the use of the Victorian emission factors is appropriate,</v>
      </c>
      <c r="E26" s="87" t="str">
        <f>'Constants - Fuel'!$E$11</f>
        <v>Diesel oil</v>
      </c>
      <c r="F26" s="87" t="str">
        <f>'Constants - Fuel'!G132</f>
        <v>while for Northern Territory the use of the Western Australian emission factors is appropriate.</v>
      </c>
      <c r="G26" s="31" cm="1">
        <f t="array" ref="G26">IFERROR(_xlfn.XLOOKUP(1, (Table_Fuel_EFs_Transport[Fuel combusted]=$E26)*(Table_Fuel_EFs_Transport[Transport type]=$D$25), Table_Fuel_EFs_Transport[Energy Content Factor (GJ per unit of fuel)]), 0)</f>
        <v>0</v>
      </c>
      <c r="H26" s="31" cm="1">
        <f t="array" ref="H26">IFERROR(_xlfn.XLOOKUP(1, (Table_Fuel_EFs_Transport[Fuel combusted]=$E26)*(Table_Fuel_EFs_Transport[Transport type]=$D$25), Table_Fuel_EFs_Transport[Scope 1 Emission Factor (kg CO2 - e / GJ) CO2]), 0)</f>
        <v>0</v>
      </c>
      <c r="I26" s="31" cm="1">
        <f t="array" ref="I26">IFERROR(_xlfn.XLOOKUP(1, (Table_Fuel_EFs_Transport[Fuel combusted]=$E26)*(Table_Fuel_EFs_Transport[Transport type]=$D$25), Table_Fuel_EFs_Transport[Scope 1 Emission Factor (kg CO2 - e / GJ) CH4]), 0)</f>
        <v>0</v>
      </c>
      <c r="J26" s="31" cm="1">
        <f t="array" ref="J26">IFERROR(_xlfn.XLOOKUP(1, (Table_Fuel_EFs_Transport[Fuel combusted]=$E26)*(Table_Fuel_EFs_Transport[Transport type]=$D$25), Table_Fuel_EFs_Transport[Scope 1 Emission Factor (kg CO2 - e / GJ) N2O]), 0)</f>
        <v>0</v>
      </c>
      <c r="K26" s="31" cm="1">
        <f t="array" ref="K26">IFERROR(_xlfn.XLOOKUP(1, (Table_Fuel_EFs_Transport[Fuel combusted]=$E26)*(Table_Fuel_EFs_Transport[Transport type]=$D$25), Table_Fuel_EFs_Transport[Scope 3 Emission Factor (kg CO2 - e / GJ)]), 0)</f>
        <v>0</v>
      </c>
      <c r="L26" s="64" cm="1">
        <f t="array" ref="L26">Fuel_InputFunctions.Fuel_TotalConsumption(Table_Input_Fuel[Amount consumed], Table_Input_Fuel[Fuel use (select)], D26, Table_Input_Fuel[Fuel type (select)],F26)</f>
        <v>0</v>
      </c>
      <c r="M26" s="64" t="str" cm="1">
        <f t="array" ref="M26">Common_InputFunctions.Utility_LookupValueInTable(F26,Table_FuelTypes_Units[Fuel type],Table_FuelTypes_Units[Unit])</f>
        <v/>
      </c>
      <c r="N26" s="106">
        <f>((($L26 * $G26 * $H26) * 10 ^ -3))</f>
        <v>0</v>
      </c>
      <c r="O26" s="106">
        <f>((($L26 * $G26 * $I26) * 10 ^ -3))</f>
        <v>0</v>
      </c>
      <c r="P26" s="106">
        <f>((($L26 * $G26 * $J26) * 10 ^ -3))</f>
        <v>0</v>
      </c>
      <c r="Q26" s="106">
        <f>((L26 * G26 * K26) * 10 ^ -3)</f>
        <v>0</v>
      </c>
    </row>
    <row r="27" spans="1:17" ht="20.100000000000001" customHeight="1" x14ac:dyDescent="0.25">
      <c r="D27" s="88" t="str">
        <f t="shared" si="0"/>
        <v>from the use of a limited number of NGER data inputs. It is suggested that for Tasmania the use of the Victorian emission factors is appropriate,</v>
      </c>
      <c r="E27" s="87" t="str">
        <f>'Constants - Fuel'!$E$12</f>
        <v>Liquefied petroleum gas (LPG)</v>
      </c>
      <c r="F27" s="87" t="str">
        <f>'Constants - Fuel'!G133</f>
        <v>-</v>
      </c>
      <c r="G27" s="31" cm="1">
        <f t="array" ref="G27">IFERROR(_xlfn.XLOOKUP(1, (Table_Fuel_EFs_Transport[Fuel combusted]=$E27)*(Table_Fuel_EFs_Transport[Transport type]=$D$25), Table_Fuel_EFs_Transport[Energy Content Factor (GJ per unit of fuel)]), 0)</f>
        <v>0</v>
      </c>
      <c r="H27" s="31" cm="1">
        <f t="array" ref="H27">IFERROR(_xlfn.XLOOKUP(1, (Table_Fuel_EFs_Transport[Fuel combusted]=$E27)*(Table_Fuel_EFs_Transport[Transport type]=$D$25), Table_Fuel_EFs_Transport[Scope 1 Emission Factor (kg CO2 - e / GJ) CO2]), 0)</f>
        <v>0</v>
      </c>
      <c r="I27" s="31" cm="1">
        <f t="array" ref="I27">IFERROR(_xlfn.XLOOKUP(1, (Table_Fuel_EFs_Transport[Fuel combusted]=$E27)*(Table_Fuel_EFs_Transport[Transport type]=$D$25), Table_Fuel_EFs_Transport[Scope 1 Emission Factor (kg CO2 - e / GJ) CH4]), 0)</f>
        <v>0</v>
      </c>
      <c r="J27" s="31" cm="1">
        <f t="array" ref="J27">IFERROR(_xlfn.XLOOKUP(1, (Table_Fuel_EFs_Transport[Fuel combusted]=$E27)*(Table_Fuel_EFs_Transport[Transport type]=$D$25), Table_Fuel_EFs_Transport[Scope 1 Emission Factor (kg CO2 - e / GJ) N2O]), 0)</f>
        <v>0</v>
      </c>
      <c r="K27" s="31" cm="1">
        <f t="array" ref="K27">IFERROR(_xlfn.XLOOKUP(1, (Table_Fuel_EFs_Transport[Fuel combusted]=$E27)*(Table_Fuel_EFs_Transport[Transport type]=$D$25), Table_Fuel_EFs_Transport[Scope 3 Emission Factor (kg CO2 - e / GJ)]), 0)</f>
        <v>0</v>
      </c>
      <c r="L27" s="64" cm="1">
        <f t="array" ref="L27">Fuel_InputFunctions.Fuel_TotalConsumption(Table_Input_Fuel[Amount consumed], Table_Input_Fuel[Fuel use (select)], D27, Table_Input_Fuel[Fuel type (select)],F27)</f>
        <v>0</v>
      </c>
      <c r="M27" s="64" t="str" cm="1">
        <f t="array" ref="M27">Common_InputFunctions.Utility_LookupValueInTable(F27,Table_FuelTypes_Units[Fuel type],Table_FuelTypes_Units[Unit])</f>
        <v/>
      </c>
      <c r="N27" s="106">
        <f>((($L27 * $G27 * $H27) * 10 ^ -3))</f>
        <v>0</v>
      </c>
      <c r="O27" s="106">
        <f>((($L27 * $G27 * $I27) * 10 ^ -3))</f>
        <v>0</v>
      </c>
      <c r="P27" s="106">
        <f>((($L27 * $G27 * $J27) * 10 ^ -3))</f>
        <v>0</v>
      </c>
      <c r="Q27" s="106">
        <f>((L27 * G27 * K27) * 10 ^ -3)</f>
        <v>0</v>
      </c>
    </row>
    <row r="28" spans="1:17" ht="20.100000000000001" customHeight="1" x14ac:dyDescent="0.25">
      <c r="D28" s="88" t="str">
        <f t="shared" si="0"/>
        <v>from the use of a limited number of NGER data inputs. It is suggested that for Tasmania the use of the Victorian emission factors is appropriate,</v>
      </c>
      <c r="E28" s="87" t="str">
        <f>'Constants - Fuel'!$E$13</f>
        <v>Fuel oil</v>
      </c>
      <c r="F28" s="87" t="str">
        <f>'Constants - Fuel'!G134</f>
        <v>Scope 3 emission factors do not include fugitive emission leakage from low pressure natural gas distribution pipeline networks while those from high pressure</v>
      </c>
      <c r="G28" s="31" cm="1">
        <f t="array" ref="G28">IFERROR(_xlfn.XLOOKUP(1, (Table_Fuel_EFs_Transport[Fuel combusted]=$E28)*(Table_Fuel_EFs_Transport[Transport type]=$D$25), Table_Fuel_EFs_Transport[Energy Content Factor (GJ per unit of fuel)]), 0)</f>
        <v>0</v>
      </c>
      <c r="H28" s="31" cm="1">
        <f t="array" ref="H28">IFERROR(_xlfn.XLOOKUP(1, (Table_Fuel_EFs_Transport[Fuel combusted]=$E28)*(Table_Fuel_EFs_Transport[Transport type]=$D$25), Table_Fuel_EFs_Transport[Scope 1 Emission Factor (kg CO2 - e / GJ) CO2]), 0)</f>
        <v>0</v>
      </c>
      <c r="I28" s="31" cm="1">
        <f t="array" ref="I28">IFERROR(_xlfn.XLOOKUP(1, (Table_Fuel_EFs_Transport[Fuel combusted]=$E28)*(Table_Fuel_EFs_Transport[Transport type]=$D$25), Table_Fuel_EFs_Transport[Scope 1 Emission Factor (kg CO2 - e / GJ) CH4]), 0)</f>
        <v>0</v>
      </c>
      <c r="J28" s="31" cm="1">
        <f t="array" ref="J28">IFERROR(_xlfn.XLOOKUP(1, (Table_Fuel_EFs_Transport[Fuel combusted]=$E28)*(Table_Fuel_EFs_Transport[Transport type]=$D$25), Table_Fuel_EFs_Transport[Scope 1 Emission Factor (kg CO2 - e / GJ) N2O]), 0)</f>
        <v>0</v>
      </c>
      <c r="K28" s="31" cm="1">
        <f t="array" ref="K28">IFERROR(_xlfn.XLOOKUP(1, (Table_Fuel_EFs_Transport[Fuel combusted]=$E28)*(Table_Fuel_EFs_Transport[Transport type]=$D$25), Table_Fuel_EFs_Transport[Scope 3 Emission Factor (kg CO2 - e / GJ)]), 0)</f>
        <v>0</v>
      </c>
      <c r="L28" s="64" cm="1">
        <f t="array" ref="L28">Fuel_InputFunctions.Fuel_TotalConsumption(Table_Input_Fuel[Amount consumed], Table_Input_Fuel[Fuel use (select)], D28, Table_Input_Fuel[Fuel type (select)],F28)</f>
        <v>0</v>
      </c>
      <c r="M28" s="64" t="str" cm="1">
        <f t="array" ref="M28">Common_InputFunctions.Utility_LookupValueInTable(F28,Table_FuelTypes_Units[Fuel type],Table_FuelTypes_Units[Unit])</f>
        <v/>
      </c>
      <c r="N28" s="106">
        <f>((($L28 * $G28 * $H28) * 10 ^ -3))</f>
        <v>0</v>
      </c>
      <c r="O28" s="106">
        <f>((($L28 * $G28 * $I28) * 10 ^ -3))</f>
        <v>0</v>
      </c>
      <c r="P28" s="106">
        <f>((($L28 * $G28 * $J28) * 10 ^ -3))</f>
        <v>0</v>
      </c>
      <c r="Q28" s="106">
        <f>((L28 * G28 * K28) * 10 ^ -3)</f>
        <v>0</v>
      </c>
    </row>
    <row r="29" spans="1:17" ht="20.100000000000001" customHeight="1" x14ac:dyDescent="0.25">
      <c r="D29" s="88" t="str">
        <f t="shared" si="0"/>
        <v>from the use of a limited number of NGER data inputs. It is suggested that for Tasmania the use of the Victorian emission factors is appropriate,</v>
      </c>
      <c r="E29" s="87" t="str">
        <f>'Constants - Fuel'!$E$14</f>
        <v>Ethanol</v>
      </c>
      <c r="F29" s="87">
        <f>'Constants - Fuel'!G135</f>
        <v>0</v>
      </c>
      <c r="G29" s="31" cm="1">
        <f t="array" ref="G29">IFERROR(_xlfn.XLOOKUP(1, (Table_Fuel_EFs_Transport[Fuel combusted]=$E29)*(Table_Fuel_EFs_Transport[Transport type]=$D$25), Table_Fuel_EFs_Transport[Energy Content Factor (GJ per unit of fuel)]), 0)</f>
        <v>0</v>
      </c>
      <c r="H29" s="31" cm="1">
        <f t="array" ref="H29">IFERROR(_xlfn.XLOOKUP(1, (Table_Fuel_EFs_Transport[Fuel combusted]=$E29)*(Table_Fuel_EFs_Transport[Transport type]=$D$25), Table_Fuel_EFs_Transport[Scope 1 Emission Factor (kg CO2 - e / GJ) CO2]), 0)</f>
        <v>0</v>
      </c>
      <c r="I29" s="31" cm="1">
        <f t="array" ref="I29">IFERROR(_xlfn.XLOOKUP(1, (Table_Fuel_EFs_Transport[Fuel combusted]=$E29)*(Table_Fuel_EFs_Transport[Transport type]=$D$25), Table_Fuel_EFs_Transport[Scope 1 Emission Factor (kg CO2 - e / GJ) CH4]), 0)</f>
        <v>0</v>
      </c>
      <c r="J29" s="31" cm="1">
        <f t="array" ref="J29">IFERROR(_xlfn.XLOOKUP(1, (Table_Fuel_EFs_Transport[Fuel combusted]=$E29)*(Table_Fuel_EFs_Transport[Transport type]=$D$25), Table_Fuel_EFs_Transport[Scope 1 Emission Factor (kg CO2 - e / GJ) N2O]), 0)</f>
        <v>0</v>
      </c>
      <c r="K29" s="31" cm="1">
        <f t="array" ref="K29">IFERROR(_xlfn.XLOOKUP(1, (Table_Fuel_EFs_Transport[Fuel combusted]=$E29)*(Table_Fuel_EFs_Transport[Transport type]=$D$25), Table_Fuel_EFs_Transport[Scope 3 Emission Factor (kg CO2 - e / GJ)]), 0)</f>
        <v>0</v>
      </c>
      <c r="L29" s="64" cm="1">
        <f t="array" ref="L29">Fuel_InputFunctions.Fuel_TotalConsumption(Table_Input_Fuel[Amount consumed], Table_Input_Fuel[Fuel use (select)], D29, Table_Input_Fuel[Fuel type (select)],F29)</f>
        <v>0</v>
      </c>
      <c r="M29" s="64" t="str" cm="1">
        <f t="array" ref="M29">Common_InputFunctions.Utility_LookupValueInTable(F29,Table_FuelTypes_Units[Fuel type],Table_FuelTypes_Units[Unit])</f>
        <v/>
      </c>
      <c r="N29" s="106">
        <f>((($L29 * $G29 * $H29) * 10 ^ -3))</f>
        <v>0</v>
      </c>
      <c r="O29" s="106">
        <f>((($L29 * $G29 * $I29) * 10 ^ -3))</f>
        <v>0</v>
      </c>
      <c r="P29" s="106">
        <f>((($L29 * $G29 * $J29) * 10 ^ -3))</f>
        <v>0</v>
      </c>
      <c r="Q29" s="106">
        <f>((L29 * G29 * (IF(ISNUMBER(K29),K29,0))) * 10 ^ -3)</f>
        <v>0</v>
      </c>
    </row>
    <row r="30" spans="1:17" ht="20.100000000000001" customHeight="1" x14ac:dyDescent="0.25">
      <c r="D30" s="88" t="str">
        <f t="shared" si="0"/>
        <v>from the use of a limited number of NGER data inputs. It is suggested that for Tasmania the use of the Victorian emission factors is appropriate,</v>
      </c>
      <c r="E30" s="87" t="str">
        <f>'Constants - Fuel'!$E$15</f>
        <v>Biodiesel</v>
      </c>
      <c r="F30" s="87" t="str">
        <f>'Constants - Fuel'!G136</f>
        <v>gas networks are considered negligible.</v>
      </c>
      <c r="G30" s="31" cm="1">
        <f t="array" ref="G30">IFERROR(_xlfn.XLOOKUP(1, (Table_Fuel_EFs_Transport[Fuel combusted]=$E30)*(Table_Fuel_EFs_Transport[Transport type]=$D$25), Table_Fuel_EFs_Transport[Energy Content Factor (GJ per unit of fuel)]), 0)</f>
        <v>0</v>
      </c>
      <c r="H30" s="31" cm="1">
        <f t="array" ref="H30">IFERROR(_xlfn.XLOOKUP(1, (Table_Fuel_EFs_Transport[Fuel combusted]=$E30)*(Table_Fuel_EFs_Transport[Transport type]=$D$25), Table_Fuel_EFs_Transport[Scope 1 Emission Factor (kg CO2 - e / GJ) CO2]), 0)</f>
        <v>0</v>
      </c>
      <c r="I30" s="31" cm="1">
        <f t="array" ref="I30">IFERROR(_xlfn.XLOOKUP(1, (Table_Fuel_EFs_Transport[Fuel combusted]=$E30)*(Table_Fuel_EFs_Transport[Transport type]=$D$25), Table_Fuel_EFs_Transport[Scope 1 Emission Factor (kg CO2 - e / GJ) CH4]), 0)</f>
        <v>0</v>
      </c>
      <c r="J30" s="31" cm="1">
        <f t="array" ref="J30">IFERROR(_xlfn.XLOOKUP(1, (Table_Fuel_EFs_Transport[Fuel combusted]=$E30)*(Table_Fuel_EFs_Transport[Transport type]=$D$25), Table_Fuel_EFs_Transport[Scope 1 Emission Factor (kg CO2 - e / GJ) N2O]), 0)</f>
        <v>0</v>
      </c>
      <c r="K30" s="31" cm="1">
        <f t="array" ref="K30">IFERROR(_xlfn.XLOOKUP(1, (Table_Fuel_EFs_Transport[Fuel combusted]=$E30)*(Table_Fuel_EFs_Transport[Transport type]=$D$25), Table_Fuel_EFs_Transport[Scope 3 Emission Factor (kg CO2 - e / GJ)]), 0)</f>
        <v>0</v>
      </c>
      <c r="L30" s="64" cm="1">
        <f t="array" ref="L30">Fuel_InputFunctions.Fuel_TotalConsumption(Table_Input_Fuel[Amount consumed], Table_Input_Fuel[Fuel use (select)], D30, Table_Input_Fuel[Fuel type (select)],F30)</f>
        <v>0</v>
      </c>
      <c r="M30" s="64" t="str" cm="1">
        <f t="array" ref="M30">Common_InputFunctions.Utility_LookupValueInTable(F30,Table_FuelTypes_Units[Fuel type],Table_FuelTypes_Units[Unit])</f>
        <v/>
      </c>
      <c r="N30" s="106">
        <f>((($L30 * $G30 * $H30) * 10 ^ -3))</f>
        <v>0</v>
      </c>
      <c r="O30" s="106">
        <f>((($L30 * $G30 * $I30) * 10 ^ -3))</f>
        <v>0</v>
      </c>
      <c r="P30" s="106">
        <f>((($L30 * $G30 * $J30) * 10 ^ -3))</f>
        <v>0</v>
      </c>
      <c r="Q30" s="106">
        <f>((L30 * G30 * (IF(ISNUMBER(K30),K30,0))) * 10 ^ -3)</f>
        <v>0</v>
      </c>
    </row>
    <row r="31" spans="1:17" ht="20.100000000000001" customHeight="1" x14ac:dyDescent="0.25">
      <c r="D31" s="88" t="str">
        <f t="shared" si="0"/>
        <v>from the use of a limited number of NGER data inputs. It is suggested that for Tasmania the use of the Victorian emission factors is appropriate,</v>
      </c>
      <c r="E31" s="87" t="str">
        <f>'Constants - Fuel'!$E$16</f>
        <v>Renewable diesel</v>
      </c>
      <c r="F31" s="87" t="str">
        <f>'Constants - Fuel'!G137</f>
        <v>Renewable diesel</v>
      </c>
      <c r="G31" s="31" cm="1">
        <f t="array" ref="G31">IFERROR(_xlfn.XLOOKUP(1, (Table_Fuel_EFs_Transport[Fuel combusted]=$E31)*(Table_Fuel_EFs_Transport[Transport type]=$D$25), Table_Fuel_EFs_Transport[Energy Content Factor (GJ per unit of fuel)]), 0)</f>
        <v>0</v>
      </c>
      <c r="H31" s="31" cm="1">
        <f t="array" ref="H31">IFERROR(_xlfn.XLOOKUP(1, (Table_Fuel_EFs_Transport[Fuel combusted]=$E31)*(Table_Fuel_EFs_Transport[Transport type]=$D$25), Table_Fuel_EFs_Transport[Scope 1 Emission Factor (kg CO2 - e / GJ) CO2]), 0)</f>
        <v>0</v>
      </c>
      <c r="I31" s="31" cm="1">
        <f t="array" ref="I31">IFERROR(_xlfn.XLOOKUP(1, (Table_Fuel_EFs_Transport[Fuel combusted]=$E31)*(Table_Fuel_EFs_Transport[Transport type]=$D$25), Table_Fuel_EFs_Transport[Scope 1 Emission Factor (kg CO2 - e / GJ) CH4]), 0)</f>
        <v>0</v>
      </c>
      <c r="J31" s="31" cm="1">
        <f t="array" ref="J31">IFERROR(_xlfn.XLOOKUP(1, (Table_Fuel_EFs_Transport[Fuel combusted]=$E31)*(Table_Fuel_EFs_Transport[Transport type]=$D$25), Table_Fuel_EFs_Transport[Scope 1 Emission Factor (kg CO2 - e / GJ) N2O]), 0)</f>
        <v>0</v>
      </c>
      <c r="K31" s="31" cm="1">
        <f t="array" ref="K31">IFERROR(_xlfn.XLOOKUP(1, (Table_Fuel_EFs_Transport[Fuel combusted]=$E31)*(Table_Fuel_EFs_Transport[Transport type]=$D$25), Table_Fuel_EFs_Transport[Scope 3 Emission Factor (kg CO2 - e / GJ)]), 0)</f>
        <v>0</v>
      </c>
      <c r="L31" s="64" cm="1">
        <f t="array" ref="L31">Fuel_InputFunctions.Fuel_TotalConsumption(Table_Input_Fuel[Amount consumed], Table_Input_Fuel[Fuel use (select)], D31, Table_Input_Fuel[Fuel type (select)],F31)</f>
        <v>0</v>
      </c>
      <c r="M31" s="64" t="str" cm="1">
        <f t="array" ref="M31">Common_InputFunctions.Utility_LookupValueInTable(F31,Table_FuelTypes_Units[Fuel type],Table_FuelTypes_Units[Unit])</f>
        <v>kL</v>
      </c>
      <c r="N31" s="106">
        <f>((($L31 * $G31 * $H31) * 10 ^ -3))</f>
        <v>0</v>
      </c>
      <c r="O31" s="106">
        <f>((($L31 * $G31 * $I31) * 10 ^ -3))</f>
        <v>0</v>
      </c>
      <c r="P31" s="106">
        <f>((($L31 * $G31 * $J31) * 10 ^ -3))</f>
        <v>0</v>
      </c>
      <c r="Q31" s="106">
        <f>((L31 * G31 * (IF(ISNUMBER(K31),K31,0))) * 10 ^ -3)</f>
        <v>0</v>
      </c>
    </row>
    <row r="32" spans="1:17" ht="20.100000000000001" customHeight="1" x14ac:dyDescent="0.25">
      <c r="D32" s="88" t="str">
        <f t="shared" si="0"/>
        <v>from the use of a limited number of NGER data inputs. It is suggested that for Tasmania the use of the Victorian emission factors is appropriate,</v>
      </c>
      <c r="E32" s="87" t="str">
        <f>'Constants - Fuel'!$E$17</f>
        <v>Other biofuels</v>
      </c>
      <c r="F32" s="87" t="str">
        <f>'Constants - Fuel'!G138</f>
        <v>Other biofuels</v>
      </c>
      <c r="G32" s="31" cm="1">
        <f t="array" ref="G32">IFERROR(_xlfn.XLOOKUP(1, (Table_Fuel_EFs_Transport[Fuel combusted]=$E32)*(Table_Fuel_EFs_Transport[Transport type]=$D$25), Table_Fuel_EFs_Transport[Energy Content Factor (GJ per unit of fuel)]), 0)</f>
        <v>0</v>
      </c>
      <c r="H32" s="31" cm="1">
        <f t="array" ref="H32">IFERROR(_xlfn.XLOOKUP(1, (Table_Fuel_EFs_Transport[Fuel combusted]=$E32)*(Table_Fuel_EFs_Transport[Transport type]=$D$25), Table_Fuel_EFs_Transport[Scope 1 Emission Factor (kg CO2 - e / GJ) CO2]), 0)</f>
        <v>0</v>
      </c>
      <c r="I32" s="31" cm="1">
        <f t="array" ref="I32">IFERROR(_xlfn.XLOOKUP(1, (Table_Fuel_EFs_Transport[Fuel combusted]=$E32)*(Table_Fuel_EFs_Transport[Transport type]=$D$25), Table_Fuel_EFs_Transport[Scope 1 Emission Factor (kg CO2 - e / GJ) CH4]), 0)</f>
        <v>0</v>
      </c>
      <c r="J32" s="31" cm="1">
        <f t="array" ref="J32">IFERROR(_xlfn.XLOOKUP(1, (Table_Fuel_EFs_Transport[Fuel combusted]=$E32)*(Table_Fuel_EFs_Transport[Transport type]=$D$25), Table_Fuel_EFs_Transport[Scope 1 Emission Factor (kg CO2 - e / GJ) N2O]), 0)</f>
        <v>0</v>
      </c>
      <c r="K32" s="101" cm="1">
        <f t="array" ref="K32">IFERROR(_xlfn.XLOOKUP(1, (Table_Fuel_EFs_Transport[Fuel combusted]=$E32)*(Table_Fuel_EFs_Transport[Transport type]=$D$25), Table_Fuel_EFs_Transport[Scope 3 Emission Factor (kg CO2 - e / GJ)]), 0)</f>
        <v>0</v>
      </c>
      <c r="L32" s="89" cm="1">
        <f t="array" ref="L32">Fuel_InputFunctions.Fuel_TotalConsumption(Table_Input_Fuel[Amount consumed], Table_Input_Fuel[Fuel use (select)], D32, Table_Input_Fuel[Fuel type (select)],F32)</f>
        <v>0</v>
      </c>
      <c r="M32" s="64" t="str" cm="1">
        <f t="array" ref="M32">Common_InputFunctions.Utility_LookupValueInTable(F32,Table_FuelTypes_Units[Fuel type],Table_FuelTypes_Units[Unit])</f>
        <v>kL</v>
      </c>
      <c r="N32" s="107">
        <f>((($L32 * $G32 * $H32) * 10 ^ -3))</f>
        <v>0</v>
      </c>
      <c r="O32" s="107">
        <f>((($L32 * $G32 * $I32) * 10 ^ -3))</f>
        <v>0</v>
      </c>
      <c r="P32" s="107">
        <f>((($L32 * $G32 * $J32) * 10 ^ -3))</f>
        <v>0</v>
      </c>
      <c r="Q32" s="106">
        <f>((L32 * G32 * (IF(ISNUMBER(K32),K32,0))) * 10 ^ -3)</f>
        <v>0</v>
      </c>
    </row>
    <row r="33" spans="1:17" ht="20.100000000000001" customHeight="1" x14ac:dyDescent="0.25">
      <c r="D33" s="90" t="str">
        <f>Table_FuelTypesPerUse[[#Headers],[Off-road Agriculture and forestry equipment]]</f>
        <v>Off-road Agriculture and forestry equipment</v>
      </c>
      <c r="E33" s="91" t="str">
        <f>'Constants - Fuel'!$E$11</f>
        <v>Diesel oil</v>
      </c>
      <c r="F33" s="91" t="str">
        <f>'Constants - Fuel'!H131</f>
        <v>Diesel</v>
      </c>
      <c r="G33" s="102" cm="1">
        <f t="array" ref="G33">IFERROR(_xlfn.XLOOKUP(1, (Table_Fuel_EFs_Transport[Fuel combusted]=$E33)*(Table_Fuel_EFs_Transport[Transport type]=$D$33), Table_Fuel_EFs_Transport[Energy Content Factor (GJ per unit of fuel)]), 0)</f>
        <v>38.6</v>
      </c>
      <c r="H33" s="102" cm="1">
        <f t="array" ref="H33">IFERROR(_xlfn.XLOOKUP(1, (Table_Fuel_EFs_Transport[Fuel combusted]=$E33)*(Table_Fuel_EFs_Transport[Transport type]=$D$33), Table_Fuel_EFs_Transport[Scope 1 Emission Factor (kg CO2 - e / GJ) CO2]), 0)</f>
        <v>69.900000000000006</v>
      </c>
      <c r="I33" s="102" cm="1">
        <f t="array" ref="I33">IFERROR(_xlfn.XLOOKUP(1, (Table_Fuel_EFs_Transport[Fuel combusted]=$E33)*(Table_Fuel_EFs_Transport[Transport type]=$D$33), Table_Fuel_EFs_Transport[Scope 1 Emission Factor (kg CO2 - e / GJ) CH4]), 0)</f>
        <v>0.3</v>
      </c>
      <c r="J33" s="102" cm="1">
        <f t="array" ref="J33">IFERROR(_xlfn.XLOOKUP(1, (Table_Fuel_EFs_Transport[Fuel combusted]=$E33)*(Table_Fuel_EFs_Transport[Transport type]=$D$33), Table_Fuel_EFs_Transport[Scope 1 Emission Factor (kg CO2 - e / GJ) N2O]), 0)</f>
        <v>0.5</v>
      </c>
      <c r="K33" s="112" cm="1">
        <f t="array" ref="K33">IFERROR(_xlfn.XLOOKUP(1, (Table_Fuel_EFs_Transport[Fuel combusted]=$E33)*(Table_Fuel_EFs_Transport[Transport type]=$D$25), Table_Fuel_EFs_Transport[Scope 3 Emission Factor (kg CO2 - e / GJ)]), 0)</f>
        <v>0</v>
      </c>
      <c r="L33" s="104" cm="1">
        <f t="array" ref="L33">Fuel_InputFunctions.Fuel_TotalConsumption(Table_Input_Fuel[Amount consumed], Table_Input_Fuel[Fuel use (select)], D33, Table_Input_Fuel[Fuel type (select)],F33)</f>
        <v>0</v>
      </c>
      <c r="M33" s="92" t="str" cm="1">
        <f t="array" ref="M33">Common_InputFunctions.Utility_LookupValueInTable(F33,Table_FuelTypes_Units[Fuel type],Table_FuelTypes_Units[Unit])</f>
        <v>kL</v>
      </c>
      <c r="N33" s="108">
        <f>((($L33 * $G33 * $H33) * 10 ^ -3))</f>
        <v>0</v>
      </c>
      <c r="O33" s="108">
        <f>((($L33 * $G33 * $I33) * 10 ^ -3))</f>
        <v>0</v>
      </c>
      <c r="P33" s="108">
        <f>((($L33 * $G33 * $J33) * 10 ^ -3))</f>
        <v>0</v>
      </c>
      <c r="Q33" s="113">
        <f>((L33 * G33 * K33) * 10 ^ -3)</f>
        <v>0</v>
      </c>
    </row>
    <row r="34" spans="1:17" ht="20.100000000000001" customHeight="1" x14ac:dyDescent="0.25">
      <c r="D34" s="90" t="str">
        <f>Table_FuelTypesPerUse[[#Headers],[Aviation]]</f>
        <v>Aviation</v>
      </c>
      <c r="E34" s="91" t="str">
        <f>'Constants - Fuel'!$E$28</f>
        <v>Gasoline for use as fuel in an aircraft</v>
      </c>
      <c r="F34" s="91" t="str">
        <f>'Constants - Fuel'!$F$131</f>
        <v>Avgas</v>
      </c>
      <c r="G34" s="103" cm="1">
        <f t="array" ref="G34">IFERROR(_xlfn.XLOOKUP(1, (Table_Fuel_EFs_Transport[Fuel combusted]=$E34)*(Table_Fuel_EFs_Transport[Transport type]=$D$34), Table_Fuel_EFs_Transport[Energy Content Factor (GJ per unit of fuel)]), 0)</f>
        <v>33.1</v>
      </c>
      <c r="H34" s="103" cm="1">
        <f t="array" ref="H34">IFERROR(_xlfn.XLOOKUP(1, (Table_Fuel_EFs_Transport[Fuel combusted]=$E34)*(Table_Fuel_EFs_Transport[Transport type]=$D$34), Table_Fuel_EFs_Transport[Scope 1 Emission Factor (kg CO2 - e / GJ) CO2]), 0)</f>
        <v>67</v>
      </c>
      <c r="I34" s="103" cm="1">
        <f t="array" ref="I34">IFERROR(_xlfn.XLOOKUP(1, (Table_Fuel_EFs_Transport[Fuel combusted]=$E34)*(Table_Fuel_EFs_Transport[Transport type]=$D$34), Table_Fuel_EFs_Transport[Scope 1 Emission Factor (kg CO2 - e / GJ) CH4]), 0)</f>
        <v>0.06</v>
      </c>
      <c r="J34" s="103" cm="1">
        <f t="array" ref="J34">IFERROR(_xlfn.XLOOKUP(1, (Table_Fuel_EFs_Transport[Fuel combusted]=$E34)*(Table_Fuel_EFs_Transport[Transport type]=$D$34), Table_Fuel_EFs_Transport[Scope 1 Emission Factor (kg CO2 - e / GJ) N2O]), 0)</f>
        <v>0.6</v>
      </c>
      <c r="K34" s="103" cm="1">
        <f t="array" ref="K34">IFERROR(_xlfn.XLOOKUP(1, (Table_Fuel_EFs_Transport[Fuel combusted]=$E34)*(Table_Fuel_EFs_Transport[Transport type]=$D$25), Table_Fuel_EFs_Transport[Scope 3 Emission Factor (kg CO2 - e / GJ)]), 0)</f>
        <v>0</v>
      </c>
      <c r="L34" s="92" cm="1">
        <f t="array" ref="L34">Fuel_InputFunctions.Fuel_TotalConsumption(Table_Input_Fuel[Amount consumed], Table_Input_Fuel[Fuel use (select)], D34, Table_Input_Fuel[Fuel type (select)],F34)</f>
        <v>0</v>
      </c>
      <c r="M34" s="92" t="str" cm="1">
        <f t="array" ref="M34">Common_InputFunctions.Utility_LookupValueInTable(F34,Table_FuelTypes_Units[Fuel type],Table_FuelTypes_Units[Unit])</f>
        <v>kL</v>
      </c>
      <c r="N34" s="108">
        <f>((($L34 * $G34 * $H34) * 10 ^ -3))</f>
        <v>0</v>
      </c>
      <c r="O34" s="108">
        <f>((($L34 * $G34 * $I34) * 10 ^ -3))</f>
        <v>0</v>
      </c>
      <c r="P34" s="108">
        <f>((($L34 * $G34 * $J34) * 10 ^ -3))</f>
        <v>0</v>
      </c>
      <c r="Q34" s="108">
        <f>((L34 * G34 * K34) * 10 ^ -3)</f>
        <v>0</v>
      </c>
    </row>
    <row r="35" spans="1:17" ht="20.100000000000001" customHeight="1" x14ac:dyDescent="0.25">
      <c r="D35" s="88" t="str">
        <f>$D$34</f>
        <v>Aviation</v>
      </c>
      <c r="E35" s="87" t="str">
        <f>'Constants - Fuel'!$E$29</f>
        <v>Kerosene for use as fuel in an aircraft</v>
      </c>
      <c r="F35" s="87" t="str">
        <f>'Constants - Fuel'!$F$132</f>
        <v>Jet A1, Jet B</v>
      </c>
      <c r="G35" s="31" cm="1">
        <f t="array" ref="G35">IFERROR(_xlfn.XLOOKUP(1, (Table_Fuel_EFs_Transport[Fuel combusted]=$E35)*(Table_Fuel_EFs_Transport[Transport type]=$D$34), Table_Fuel_EFs_Transport[Energy Content Factor (GJ per unit of fuel)]), 0)</f>
        <v>36.799999999999997</v>
      </c>
      <c r="H35" s="31" cm="1">
        <f t="array" ref="H35">IFERROR(_xlfn.XLOOKUP(1, (Table_Fuel_EFs_Transport[Fuel combusted]=$E35)*(Table_Fuel_EFs_Transport[Transport type]=$D$34), Table_Fuel_EFs_Transport[Scope 1 Emission Factor (kg CO2 - e / GJ) CO2]), 0)</f>
        <v>69.599999999999994</v>
      </c>
      <c r="I35" s="31" cm="1">
        <f t="array" ref="I35">IFERROR(_xlfn.XLOOKUP(1, (Table_Fuel_EFs_Transport[Fuel combusted]=$E35)*(Table_Fuel_EFs_Transport[Transport type]=$D$34), Table_Fuel_EFs_Transport[Scope 1 Emission Factor (kg CO2 - e / GJ) CH4]), 0)</f>
        <v>0.01</v>
      </c>
      <c r="J35" s="31" cm="1">
        <f t="array" ref="J35">IFERROR(_xlfn.XLOOKUP(1, (Table_Fuel_EFs_Transport[Fuel combusted]=$E35)*(Table_Fuel_EFs_Transport[Transport type]=$D$34), Table_Fuel_EFs_Transport[Scope 1 Emission Factor (kg CO2 - e / GJ) N2O]), 0)</f>
        <v>0.6</v>
      </c>
      <c r="K35" s="31" cm="1">
        <f t="array" ref="K35">IFERROR(_xlfn.XLOOKUP(1, (Table_Fuel_EFs_Transport[Fuel combusted]=$E35)*(Table_Fuel_EFs_Transport[Transport type]=$D$25), Table_Fuel_EFs_Transport[Scope 3 Emission Factor (kg CO2 - e / GJ)]), 0)</f>
        <v>0</v>
      </c>
      <c r="L35" s="64" cm="1">
        <f t="array" ref="L35">Fuel_InputFunctions.Fuel_TotalConsumption(Table_Input_Fuel[Amount consumed], Table_Input_Fuel[Fuel use (select)], D35, Table_Input_Fuel[Fuel type (select)],F35)</f>
        <v>0</v>
      </c>
      <c r="M35" s="64" t="str" cm="1">
        <f t="array" ref="M35">Common_InputFunctions.Utility_LookupValueInTable(F35,Table_FuelTypes_Units[Fuel type],Table_FuelTypes_Units[Unit])</f>
        <v>kL</v>
      </c>
      <c r="N35" s="106">
        <f>((($L35 * $G35 * $H35) * 10 ^ -3))</f>
        <v>0</v>
      </c>
      <c r="O35" s="106">
        <f>((($L35 * $G35 * $I35) * 10 ^ -3))</f>
        <v>0</v>
      </c>
      <c r="P35" s="106">
        <f>((($L35 * $G35 * $J35) * 10 ^ -3))</f>
        <v>0</v>
      </c>
      <c r="Q35" s="106">
        <f>((L35 * G35 * K35) * 10 ^ -3)</f>
        <v>0</v>
      </c>
    </row>
    <row r="36" spans="1:17" ht="20.100000000000001" customHeight="1" x14ac:dyDescent="0.25">
      <c r="D36" s="88" t="str">
        <f>$D$34</f>
        <v>Aviation</v>
      </c>
      <c r="E36" s="87" t="str">
        <f>'Constants - Fuel'!$E$30</f>
        <v>Renewable aviation kerosene</v>
      </c>
      <c r="F36" s="87" t="str">
        <f>'Constants - Fuel'!$F$133</f>
        <v>Renewable aviation kerosene</v>
      </c>
      <c r="G36" s="101" cm="1">
        <f t="array" ref="G36">IFERROR(_xlfn.XLOOKUP(1, (Table_Fuel_EFs_Transport[Fuel combusted]=$E36)*(Table_Fuel_EFs_Transport[Transport type]=$D$34), Table_Fuel_EFs_Transport[Energy Content Factor (GJ per unit of fuel)]), 0)</f>
        <v>36.799999999999997</v>
      </c>
      <c r="H36" s="101" cm="1">
        <f t="array" ref="H36">IFERROR(_xlfn.XLOOKUP(1, (Table_Fuel_EFs_Transport[Fuel combusted]=$E36)*(Table_Fuel_EFs_Transport[Transport type]=$D$34), Table_Fuel_EFs_Transport[Scope 1 Emission Factor (kg CO2 - e / GJ) CO2]), 0)</f>
        <v>0</v>
      </c>
      <c r="I36" s="101" cm="1">
        <f t="array" ref="I36">IFERROR(_xlfn.XLOOKUP(1, (Table_Fuel_EFs_Transport[Fuel combusted]=$E36)*(Table_Fuel_EFs_Transport[Transport type]=$D$34), Table_Fuel_EFs_Transport[Scope 1 Emission Factor (kg CO2 - e / GJ) CH4]), 0)</f>
        <v>0.01</v>
      </c>
      <c r="J36" s="101" cm="1">
        <f t="array" ref="J36">IFERROR(_xlfn.XLOOKUP(1, (Table_Fuel_EFs_Transport[Fuel combusted]=$E36)*(Table_Fuel_EFs_Transport[Transport type]=$D$34), Table_Fuel_EFs_Transport[Scope 1 Emission Factor (kg CO2 - e / GJ) N2O]), 0)</f>
        <v>0.6</v>
      </c>
      <c r="K36" s="101" cm="1">
        <f t="array" ref="K36">IFERROR(_xlfn.XLOOKUP(1, (Table_Fuel_EFs_Transport[Fuel combusted]=$E36)*(Table_Fuel_EFs_Transport[Transport type]=$D$25), Table_Fuel_EFs_Transport[Scope 3 Emission Factor (kg CO2 - e / GJ)]), 0)</f>
        <v>0</v>
      </c>
      <c r="L36" s="89" cm="1">
        <f t="array" ref="L36">Fuel_InputFunctions.Fuel_TotalConsumption(Table_Input_Fuel[Amount consumed], Table_Input_Fuel[Fuel use (select)], D36, Table_Input_Fuel[Fuel type (select)],F36)</f>
        <v>0</v>
      </c>
      <c r="M36" s="64" t="str" cm="1">
        <f t="array" ref="M36">Common_InputFunctions.Utility_LookupValueInTable(F36,Table_FuelTypes_Units[Fuel type],Table_FuelTypes_Units[Unit])</f>
        <v>kL</v>
      </c>
      <c r="N36" s="106">
        <f>((($L36 * $G36 * $H36) * 10 ^ -3))</f>
        <v>0</v>
      </c>
      <c r="O36" s="106">
        <f>((($L36 * $G36 * $I36) * 10 ^ -3))</f>
        <v>0</v>
      </c>
      <c r="P36" s="106">
        <f>((($L36 * $G36 * $J36) * 10 ^ -3))</f>
        <v>0</v>
      </c>
      <c r="Q36" s="107">
        <f>((L36 * G36 * K36) * 10 ^ -3)</f>
        <v>0</v>
      </c>
    </row>
    <row r="37" spans="1:17" ht="20.100000000000001" customHeight="1" x14ac:dyDescent="0.25">
      <c r="A37" s="63" t="str">
        <f>HYPERLINK("#A1", "▲ Back to top")</f>
        <v>▲ Back to top</v>
      </c>
      <c r="D37" s="90" t="str">
        <f>Table_FuelTypesPerUse[[#Headers],[Vessels]]</f>
        <v>Vessels</v>
      </c>
      <c r="E37" s="91" t="str">
        <f>'Constants - Fuel'!$E$10</f>
        <v>Gasoline</v>
      </c>
      <c r="F37" s="91" t="str">
        <f>'Constants - Fuel'!$I$131</f>
        <v>Petrol</v>
      </c>
      <c r="G37" s="103" cm="1">
        <f t="array" ref="G37">IFERROR(_xlfn.XLOOKUP(1, (Table_Fuel_EFs_Transport[Fuel combusted]=$E37)*(Table_Fuel_EFs_Transport[Transport type]=$D$37), Table_Fuel_EFs_Transport[Energy Content Factor (GJ per unit of fuel)]), 0)</f>
        <v>34.200000000000003</v>
      </c>
      <c r="H37" s="103" cm="1">
        <f t="array" ref="H37">IFERROR(_xlfn.XLOOKUP(1, (Table_Fuel_EFs_Transport[Fuel combusted]=$E37)*(Table_Fuel_EFs_Transport[Transport type]=$D$37), Table_Fuel_EFs_Transport[Scope 1 Emission Factor (kg CO2 - e / GJ) CO2]), 0)</f>
        <v>67.400000000000006</v>
      </c>
      <c r="I37" s="103" cm="1">
        <f t="array" ref="I37">IFERROR(_xlfn.XLOOKUP(1, (Table_Fuel_EFs_Transport[Fuel combusted]=$E37)*(Table_Fuel_EFs_Transport[Transport type]=$D$37), Table_Fuel_EFs_Transport[Scope 1 Emission Factor (kg CO2 - e / GJ) CH4]), 0)</f>
        <v>10.1</v>
      </c>
      <c r="J37" s="103" cm="1">
        <f t="array" ref="J37">IFERROR(_xlfn.XLOOKUP(1, (Table_Fuel_EFs_Transport[Fuel combusted]=$E37)*(Table_Fuel_EFs_Transport[Transport type]=$D$37), Table_Fuel_EFs_Transport[Scope 1 Emission Factor (kg CO2 - e / GJ) N2O]), 0)</f>
        <v>0.3</v>
      </c>
      <c r="K37" s="103" cm="1">
        <f t="array" ref="K37">IFERROR(_xlfn.XLOOKUP(1, (Table_Fuel_EFs_Transport[Fuel combusted]=$E37)*(Table_Fuel_EFs_Transport[Transport type]=$D$25), Table_Fuel_EFs_Transport[Scope 3 Emission Factor (kg CO2 - e / GJ)]), 0)</f>
        <v>0</v>
      </c>
      <c r="L37" s="92" cm="1">
        <f t="array" ref="L37">Fuel_InputFunctions.Fuel_TotalConsumption(Table_Input_Fuel[Amount consumed], Table_Input_Fuel[Fuel use (select)], D37, Table_Input_Fuel[Fuel type (select)],F37)</f>
        <v>0</v>
      </c>
      <c r="M37" s="93" t="str" cm="1">
        <f t="array" ref="M37">Common_InputFunctions.Utility_LookupValueInTable(F37,Table_FuelTypes_Units[Fuel type],Table_FuelTypes_Units[Unit])</f>
        <v>kL</v>
      </c>
      <c r="N37" s="108">
        <f>((($L37 * $G37 * $H37) * 10 ^ -3))</f>
        <v>0</v>
      </c>
      <c r="O37" s="108">
        <f>((($L37 * $G37 * $I37) * 10 ^ -3))</f>
        <v>0</v>
      </c>
      <c r="P37" s="108">
        <f>((($L37 * $G37 * $J37) * 10 ^ -3))</f>
        <v>0</v>
      </c>
      <c r="Q37" s="108">
        <f>((L37 * G37 * K37) * 10 ^ -3)</f>
        <v>0</v>
      </c>
    </row>
    <row r="38" spans="1:17" ht="20.100000000000001" customHeight="1" x14ac:dyDescent="0.25">
      <c r="D38" s="88" t="str">
        <f>$D$37</f>
        <v>Vessels</v>
      </c>
      <c r="E38" s="87" t="str">
        <f>'Constants - Fuel'!$E$11</f>
        <v>Diesel oil</v>
      </c>
      <c r="F38" s="87" t="str">
        <f>'Constants - Fuel'!$I$132</f>
        <v>Diesel</v>
      </c>
      <c r="G38" s="31" cm="1">
        <f t="array" ref="G38">IFERROR(_xlfn.XLOOKUP(1, (Table_Fuel_EFs_Transport[Fuel combusted]=$E38)*(Table_Fuel_EFs_Transport[Transport type]=$D$37), Table_Fuel_EFs_Transport[Energy Content Factor (GJ per unit of fuel)]), 0)</f>
        <v>38.6</v>
      </c>
      <c r="H38" s="31" cm="1">
        <f t="array" ref="H38">IFERROR(_xlfn.XLOOKUP(1, (Table_Fuel_EFs_Transport[Fuel combusted]=$E38)*(Table_Fuel_EFs_Transport[Transport type]=$D$37), Table_Fuel_EFs_Transport[Scope 1 Emission Factor (kg CO2 - e / GJ) CO2]), 0)</f>
        <v>69.900000000000006</v>
      </c>
      <c r="I38" s="31" cm="1">
        <f t="array" ref="I38">IFERROR(_xlfn.XLOOKUP(1, (Table_Fuel_EFs_Transport[Fuel combusted]=$E38)*(Table_Fuel_EFs_Transport[Transport type]=$D$37), Table_Fuel_EFs_Transport[Scope 1 Emission Factor (kg CO2 - e / GJ) CH4]), 0)</f>
        <v>0.2</v>
      </c>
      <c r="J38" s="31" cm="1">
        <f t="array" ref="J38">IFERROR(_xlfn.XLOOKUP(1, (Table_Fuel_EFs_Transport[Fuel combusted]=$E38)*(Table_Fuel_EFs_Transport[Transport type]=$D$37), Table_Fuel_EFs_Transport[Scope 1 Emission Factor (kg CO2 - e / GJ) N2O]), 0)</f>
        <v>0.5</v>
      </c>
      <c r="K38" s="31" cm="1">
        <f t="array" ref="K38">IFERROR(_xlfn.XLOOKUP(1, (Table_Fuel_EFs_Transport[Fuel combusted]=$E38)*(Table_Fuel_EFs_Transport[Transport type]=$D$25), Table_Fuel_EFs_Transport[Scope 3 Emission Factor (kg CO2 - e / GJ)]), 0)</f>
        <v>0</v>
      </c>
      <c r="L38" s="64" cm="1">
        <f t="array" ref="L38">Fuel_InputFunctions.Fuel_TotalConsumption(Table_Input_Fuel[Amount consumed], Table_Input_Fuel[Fuel use (select)], D38, Table_Input_Fuel[Fuel type (select)],F38)</f>
        <v>0</v>
      </c>
      <c r="M38" s="64" t="str" cm="1">
        <f t="array" ref="M38">Common_InputFunctions.Utility_LookupValueInTable(F38,Table_FuelTypes_Units[Fuel type],Table_FuelTypes_Units[Unit])</f>
        <v>kL</v>
      </c>
      <c r="N38" s="106">
        <f>((($L38 * $G38 * $H38) * 10 ^ -3))</f>
        <v>0</v>
      </c>
      <c r="O38" s="106">
        <f>((($L38 * $G38 * $I38) * 10 ^ -3))</f>
        <v>0</v>
      </c>
      <c r="P38" s="106">
        <f>((($L38 * $G38 * $J38) * 10 ^ -3))</f>
        <v>0</v>
      </c>
      <c r="Q38" s="106">
        <f>((L38 * G38 * K38) * 10 ^ -3)</f>
        <v>0</v>
      </c>
    </row>
    <row r="39" spans="1:17" ht="20.100000000000001" customHeight="1" x14ac:dyDescent="0.25">
      <c r="D39" s="88" t="str">
        <f>$D$37</f>
        <v>Vessels</v>
      </c>
      <c r="E39" s="87" t="str">
        <f>'Constants - Fuel'!E33</f>
        <v>Fuel Oil</v>
      </c>
      <c r="F39" s="87" t="str">
        <f>'Constants - Fuel'!$I$133</f>
        <v>Fuel oil</v>
      </c>
      <c r="G39" s="31" cm="1">
        <f t="array" ref="G39">IFERROR(_xlfn.XLOOKUP(1, (Table_Fuel_EFs_Transport[Fuel combusted]=$E39)*(Table_Fuel_EFs_Transport[Transport type]=$D$37), Table_Fuel_EFs_Transport[Energy Content Factor (GJ per unit of fuel)]), 0)</f>
        <v>39.700000000000003</v>
      </c>
      <c r="H39" s="31" cm="1">
        <f t="array" ref="H39">IFERROR(_xlfn.XLOOKUP(1, (Table_Fuel_EFs_Transport[Fuel combusted]=$E39)*(Table_Fuel_EFs_Transport[Transport type]=$D$37), Table_Fuel_EFs_Transport[Scope 1 Emission Factor (kg CO2 - e / GJ) CO2]), 0)</f>
        <v>73.599999999999994</v>
      </c>
      <c r="I39" s="31" cm="1">
        <f t="array" ref="I39">IFERROR(_xlfn.XLOOKUP(1, (Table_Fuel_EFs_Transport[Fuel combusted]=$E39)*(Table_Fuel_EFs_Transport[Transport type]=$D$37), Table_Fuel_EFs_Transport[Scope 1 Emission Factor (kg CO2 - e / GJ) CH4]), 0)</f>
        <v>0.2</v>
      </c>
      <c r="J39" s="31" cm="1">
        <f t="array" ref="J39">IFERROR(_xlfn.XLOOKUP(1, (Table_Fuel_EFs_Transport[Fuel combusted]=$E39)*(Table_Fuel_EFs_Transport[Transport type]=$D$37), Table_Fuel_EFs_Transport[Scope 1 Emission Factor (kg CO2 - e / GJ) N2O]), 0)</f>
        <v>0.5</v>
      </c>
      <c r="K39" s="31" cm="1">
        <f t="array" ref="K39">IFERROR(_xlfn.XLOOKUP(1, (Table_Fuel_EFs_Transport[Fuel combusted]=$E39)*(Table_Fuel_EFs_Transport[Transport type]=$D$25), Table_Fuel_EFs_Transport[Scope 3 Emission Factor (kg CO2 - e / GJ)]), 0)</f>
        <v>0</v>
      </c>
      <c r="L39" s="64" cm="1">
        <f t="array" ref="L39">Fuel_InputFunctions.Fuel_TotalConsumption(Table_Input_Fuel[Amount consumed], Table_Input_Fuel[Fuel use (select)], D39, Table_Input_Fuel[Fuel type (select)],F39)</f>
        <v>0</v>
      </c>
      <c r="M39" s="64" t="str" cm="1">
        <f t="array" ref="M39">Common_InputFunctions.Utility_LookupValueInTable(F39,Table_FuelTypes_Units[Fuel type],Table_FuelTypes_Units[Unit])</f>
        <v>kL</v>
      </c>
      <c r="N39" s="106">
        <f>((($L39 * $G39 * $H39) * 10 ^ -3))</f>
        <v>0</v>
      </c>
      <c r="O39" s="106">
        <f>((($L39 * $G39 * $I39) * 10 ^ -3))</f>
        <v>0</v>
      </c>
      <c r="P39" s="106">
        <f>((($L39 * $G39 * $J39) * 10 ^ -3))</f>
        <v>0</v>
      </c>
      <c r="Q39" s="106">
        <f>((L39 * G39 * K39) * 10 ^ -3)</f>
        <v>0</v>
      </c>
    </row>
    <row r="40" spans="1:17" ht="20.100000000000001" customHeight="1" x14ac:dyDescent="0.25">
      <c r="H40" s="52"/>
      <c r="I40" s="52"/>
      <c r="J40" s="52"/>
      <c r="L40" s="52"/>
      <c r="M40" s="52"/>
      <c r="N40" s="52"/>
      <c r="O40" s="52"/>
      <c r="P40" s="52"/>
      <c r="Q40" s="52"/>
    </row>
    <row r="41" spans="1:17" ht="20.100000000000001" customHeight="1" x14ac:dyDescent="0.25">
      <c r="H41" s="52"/>
      <c r="I41" s="52"/>
      <c r="J41" s="52"/>
      <c r="L41" s="52"/>
      <c r="M41" s="52"/>
      <c r="N41" s="52"/>
      <c r="O41" s="52"/>
      <c r="P41" s="52"/>
      <c r="Q41" s="52"/>
    </row>
    <row r="42" spans="1:17" ht="20.100000000000001" customHeight="1" x14ac:dyDescent="0.25">
      <c r="D42" s="94" t="str">
        <f>"Total scope 1 - " &amp; D25</f>
        <v>Total scope 1 - from the use of a limited number of NGER data inputs. It is suggested that for Tasmania the use of the Victorian emission factors is appropriate,</v>
      </c>
      <c r="E42" s="95"/>
      <c r="F42" s="96"/>
    </row>
    <row r="43" spans="1:17" ht="20.100000000000001" customHeight="1" x14ac:dyDescent="0.25">
      <c r="D43" s="3" t="s">
        <v>156</v>
      </c>
      <c r="E43" s="105">
        <f>SUM(N25:N32)</f>
        <v>0</v>
      </c>
      <c r="F43" s="2" t="str">
        <f>$E$12</f>
        <v>t CO2-e</v>
      </c>
    </row>
    <row r="44" spans="1:17" ht="20.100000000000001" customHeight="1" x14ac:dyDescent="0.25">
      <c r="D44" s="3" t="s">
        <v>157</v>
      </c>
      <c r="E44" s="105">
        <f>SUM(O25:O32)</f>
        <v>0</v>
      </c>
      <c r="F44" s="2" t="str">
        <f t="shared" ref="F44:F46" si="1">$E$12</f>
        <v>t CO2-e</v>
      </c>
    </row>
    <row r="45" spans="1:17" ht="20.100000000000001" customHeight="1" x14ac:dyDescent="0.25">
      <c r="D45" s="3" t="s">
        <v>158</v>
      </c>
      <c r="E45" s="105">
        <f>SUM(P25:P32)</f>
        <v>0</v>
      </c>
      <c r="F45" s="2" t="str">
        <f t="shared" si="1"/>
        <v>t CO2-e</v>
      </c>
    </row>
    <row r="46" spans="1:17" ht="20.100000000000001" customHeight="1" x14ac:dyDescent="0.25">
      <c r="D46" s="3" t="s">
        <v>181</v>
      </c>
      <c r="E46" s="105">
        <f>SUM(Q25:Q32)</f>
        <v>0</v>
      </c>
      <c r="F46" s="2" t="str">
        <f t="shared" si="1"/>
        <v>t CO2-e</v>
      </c>
    </row>
    <row r="47" spans="1:17" ht="20.100000000000001" customHeight="1" x14ac:dyDescent="0.25">
      <c r="D47" s="52"/>
      <c r="E47" s="52"/>
      <c r="F47" s="52"/>
    </row>
    <row r="48" spans="1:17" ht="20.100000000000001" customHeight="1" x14ac:dyDescent="0.25">
      <c r="D48" s="94" t="str">
        <f>"Total scope 1 - " &amp; D33</f>
        <v>Total scope 1 - Off-road Agriculture and forestry equipment</v>
      </c>
      <c r="E48" s="97"/>
      <c r="F48" s="96"/>
      <c r="H48" s="52"/>
      <c r="I48" s="52"/>
      <c r="J48" s="52"/>
      <c r="L48" s="52"/>
      <c r="M48" s="52"/>
      <c r="N48" s="52"/>
      <c r="O48" s="52"/>
      <c r="P48" s="52"/>
      <c r="Q48" s="52"/>
    </row>
    <row r="49" spans="4:17" ht="20.100000000000001" customHeight="1" x14ac:dyDescent="0.25">
      <c r="D49" s="3" t="s">
        <v>156</v>
      </c>
      <c r="E49" s="105">
        <f>SUM(N33:N33)</f>
        <v>0</v>
      </c>
      <c r="F49" s="2" t="str">
        <f t="shared" ref="F49:F52" si="2">$E$12</f>
        <v>t CO2-e</v>
      </c>
      <c r="H49" s="52"/>
      <c r="I49" s="52"/>
      <c r="J49" s="52"/>
      <c r="L49" s="52"/>
      <c r="M49" s="52"/>
      <c r="N49" s="52"/>
      <c r="O49" s="52"/>
      <c r="P49" s="52"/>
      <c r="Q49" s="52"/>
    </row>
    <row r="50" spans="4:17" ht="20.100000000000001" customHeight="1" x14ac:dyDescent="0.25">
      <c r="D50" s="3" t="s">
        <v>157</v>
      </c>
      <c r="E50" s="105">
        <f>SUM(O33:O33)</f>
        <v>0</v>
      </c>
      <c r="F50" s="2" t="str">
        <f t="shared" si="2"/>
        <v>t CO2-e</v>
      </c>
      <c r="H50" s="52"/>
      <c r="I50" s="52"/>
      <c r="J50" s="52"/>
      <c r="L50" s="52"/>
      <c r="M50" s="52"/>
      <c r="N50" s="52"/>
      <c r="O50" s="52"/>
      <c r="P50" s="52"/>
      <c r="Q50" s="52"/>
    </row>
    <row r="51" spans="4:17" ht="20.100000000000001" customHeight="1" x14ac:dyDescent="0.25">
      <c r="D51" s="3" t="s">
        <v>158</v>
      </c>
      <c r="E51" s="105">
        <f>SUM(P33:P33)</f>
        <v>0</v>
      </c>
      <c r="F51" s="2" t="str">
        <f t="shared" si="2"/>
        <v>t CO2-e</v>
      </c>
      <c r="H51" s="52"/>
      <c r="I51" s="52"/>
      <c r="J51" s="52"/>
      <c r="L51" s="52"/>
      <c r="M51" s="52"/>
      <c r="N51" s="52"/>
      <c r="O51" s="52"/>
      <c r="P51" s="52"/>
      <c r="Q51" s="52"/>
    </row>
    <row r="52" spans="4:17" ht="20.100000000000001" customHeight="1" x14ac:dyDescent="0.25">
      <c r="D52" s="3" t="s">
        <v>181</v>
      </c>
      <c r="E52" s="105">
        <f>SUM(Q33)</f>
        <v>0</v>
      </c>
      <c r="F52" s="2" t="str">
        <f t="shared" si="2"/>
        <v>t CO2-e</v>
      </c>
      <c r="H52" s="52"/>
      <c r="I52" s="52"/>
      <c r="J52" s="52"/>
      <c r="L52" s="52"/>
      <c r="M52" s="52"/>
      <c r="N52" s="52"/>
      <c r="O52" s="52"/>
      <c r="P52" s="52"/>
      <c r="Q52" s="52"/>
    </row>
    <row r="53" spans="4:17" ht="20.100000000000001" customHeight="1" x14ac:dyDescent="0.25">
      <c r="D53" s="52"/>
      <c r="E53" s="98"/>
      <c r="F53" s="52"/>
      <c r="G53" s="52"/>
      <c r="H53" s="52"/>
      <c r="I53" s="52"/>
      <c r="J53" s="52"/>
      <c r="L53" s="52"/>
      <c r="M53" s="52"/>
      <c r="N53" s="52"/>
      <c r="O53" s="52"/>
      <c r="P53" s="52"/>
      <c r="Q53" s="52"/>
    </row>
    <row r="54" spans="4:17" ht="20.100000000000001" customHeight="1" x14ac:dyDescent="0.25">
      <c r="D54" s="94" t="str">
        <f>"Total scope 1 - " &amp; D34</f>
        <v>Total scope 1 - Aviation</v>
      </c>
      <c r="E54" s="97"/>
      <c r="F54" s="96"/>
      <c r="G54" s="52"/>
      <c r="H54" s="52"/>
      <c r="I54" s="52"/>
      <c r="J54" s="52"/>
      <c r="L54" s="52"/>
      <c r="M54" s="52"/>
      <c r="N54" s="52"/>
      <c r="O54" s="52"/>
      <c r="P54" s="52"/>
      <c r="Q54" s="52"/>
    </row>
    <row r="55" spans="4:17" ht="20.100000000000001" customHeight="1" x14ac:dyDescent="0.25">
      <c r="D55" s="3" t="s">
        <v>156</v>
      </c>
      <c r="E55" s="105">
        <f>SUM(N34:N36)</f>
        <v>0</v>
      </c>
      <c r="F55" s="2" t="str">
        <f t="shared" ref="F55:F58" si="3">$E$12</f>
        <v>t CO2-e</v>
      </c>
      <c r="G55" s="52"/>
      <c r="H55" s="52"/>
      <c r="I55" s="52"/>
      <c r="J55" s="52"/>
      <c r="L55" s="52"/>
      <c r="M55" s="52"/>
      <c r="N55" s="52"/>
      <c r="O55" s="52"/>
      <c r="P55" s="52"/>
      <c r="Q55" s="52"/>
    </row>
    <row r="56" spans="4:17" ht="20.100000000000001" customHeight="1" x14ac:dyDescent="0.25">
      <c r="D56" s="3" t="s">
        <v>157</v>
      </c>
      <c r="E56" s="105">
        <f>SUM(O34:O36)</f>
        <v>0</v>
      </c>
      <c r="F56" s="2" t="str">
        <f t="shared" si="3"/>
        <v>t CO2-e</v>
      </c>
      <c r="G56" s="52"/>
      <c r="H56" s="52"/>
      <c r="I56" s="52"/>
      <c r="J56" s="52"/>
      <c r="L56" s="52"/>
      <c r="M56" s="52"/>
      <c r="N56" s="52"/>
      <c r="O56" s="52"/>
      <c r="P56" s="52"/>
      <c r="Q56" s="52"/>
    </row>
    <row r="57" spans="4:17" ht="20.100000000000001" customHeight="1" x14ac:dyDescent="0.25">
      <c r="D57" s="3" t="s">
        <v>158</v>
      </c>
      <c r="E57" s="105">
        <f>SUM(P34:P36)</f>
        <v>0</v>
      </c>
      <c r="F57" s="2" t="str">
        <f t="shared" si="3"/>
        <v>t CO2-e</v>
      </c>
      <c r="G57" s="52"/>
      <c r="H57" s="52"/>
      <c r="I57" s="52"/>
      <c r="J57" s="52"/>
      <c r="L57" s="52"/>
      <c r="M57" s="52"/>
      <c r="N57" s="52"/>
      <c r="O57" s="52"/>
      <c r="P57" s="52"/>
      <c r="Q57" s="52"/>
    </row>
    <row r="58" spans="4:17" ht="20.100000000000001" customHeight="1" x14ac:dyDescent="0.25">
      <c r="D58" s="3" t="s">
        <v>181</v>
      </c>
      <c r="E58" s="105">
        <f>SUM(Q34:Q36)</f>
        <v>0</v>
      </c>
      <c r="F58" s="2" t="str">
        <f t="shared" si="3"/>
        <v>t CO2-e</v>
      </c>
      <c r="G58" s="52"/>
      <c r="H58" s="52"/>
      <c r="I58" s="52"/>
      <c r="J58" s="52"/>
      <c r="L58" s="52"/>
      <c r="M58" s="52"/>
      <c r="N58" s="52"/>
      <c r="O58" s="52"/>
      <c r="P58" s="52"/>
      <c r="Q58" s="52"/>
    </row>
    <row r="59" spans="4:17" ht="20.100000000000001" customHeight="1" x14ac:dyDescent="0.25">
      <c r="D59" s="52"/>
      <c r="E59" s="98"/>
      <c r="F59" s="52"/>
      <c r="G59" s="52"/>
      <c r="H59" s="52"/>
      <c r="I59" s="52"/>
      <c r="J59" s="52"/>
      <c r="L59" s="52"/>
      <c r="M59" s="52"/>
      <c r="N59" s="52"/>
      <c r="O59" s="52"/>
      <c r="P59" s="52"/>
      <c r="Q59" s="52"/>
    </row>
    <row r="60" spans="4:17" ht="20.100000000000001" customHeight="1" x14ac:dyDescent="0.25">
      <c r="D60" s="94" t="str">
        <f>"Total scope 1 - " &amp; D37</f>
        <v>Total scope 1 - Vessels</v>
      </c>
      <c r="E60" s="97"/>
      <c r="F60" s="96"/>
      <c r="G60" s="52"/>
      <c r="H60" s="52"/>
      <c r="I60" s="52"/>
      <c r="J60" s="52"/>
      <c r="L60" s="52"/>
      <c r="M60" s="52"/>
      <c r="N60" s="52"/>
      <c r="O60" s="52"/>
      <c r="P60" s="52"/>
      <c r="Q60" s="52"/>
    </row>
    <row r="61" spans="4:17" ht="20.100000000000001" customHeight="1" x14ac:dyDescent="0.25">
      <c r="D61" s="3" t="s">
        <v>156</v>
      </c>
      <c r="E61" s="105">
        <f>SUM(N37:N39)</f>
        <v>0</v>
      </c>
      <c r="F61" s="2" t="str">
        <f t="shared" ref="F61:F64" si="4">$E$12</f>
        <v>t CO2-e</v>
      </c>
      <c r="G61" s="52"/>
      <c r="H61" s="52"/>
      <c r="I61" s="52"/>
      <c r="J61" s="52"/>
      <c r="L61" s="52"/>
      <c r="M61" s="52"/>
      <c r="N61" s="52"/>
      <c r="O61" s="52"/>
      <c r="P61" s="52"/>
      <c r="Q61" s="52"/>
    </row>
    <row r="62" spans="4:17" ht="20.100000000000001" customHeight="1" x14ac:dyDescent="0.25">
      <c r="D62" s="3" t="s">
        <v>157</v>
      </c>
      <c r="E62" s="105">
        <f>SUM(O37:O39)</f>
        <v>0</v>
      </c>
      <c r="F62" s="2" t="str">
        <f t="shared" si="4"/>
        <v>t CO2-e</v>
      </c>
      <c r="G62" s="52"/>
      <c r="H62" s="52"/>
      <c r="I62" s="52"/>
      <c r="J62" s="52"/>
      <c r="L62" s="52"/>
      <c r="M62" s="52"/>
      <c r="N62" s="52"/>
      <c r="O62" s="52"/>
      <c r="P62" s="52"/>
      <c r="Q62" s="52"/>
    </row>
    <row r="63" spans="4:17" ht="20.100000000000001" customHeight="1" x14ac:dyDescent="0.25">
      <c r="D63" s="3" t="s">
        <v>158</v>
      </c>
      <c r="E63" s="105">
        <f>SUM(P37:P39)</f>
        <v>0</v>
      </c>
      <c r="F63" s="2" t="str">
        <f t="shared" si="4"/>
        <v>t CO2-e</v>
      </c>
      <c r="G63" s="52"/>
      <c r="H63" s="52"/>
      <c r="I63" s="52"/>
      <c r="J63" s="52"/>
      <c r="L63" s="52"/>
      <c r="M63" s="52"/>
      <c r="N63" s="52"/>
      <c r="O63" s="52"/>
      <c r="P63" s="52"/>
      <c r="Q63" s="52"/>
    </row>
    <row r="64" spans="4:17" ht="20.100000000000001" customHeight="1" x14ac:dyDescent="0.25">
      <c r="D64" s="3" t="s">
        <v>181</v>
      </c>
      <c r="E64" s="105">
        <f>SUM(Q37:Q39)</f>
        <v>0</v>
      </c>
      <c r="F64" s="2" t="str">
        <f t="shared" si="4"/>
        <v>t CO2-e</v>
      </c>
      <c r="G64" s="52"/>
      <c r="H64" s="52"/>
      <c r="I64" s="52"/>
      <c r="J64" s="52"/>
      <c r="L64" s="52"/>
      <c r="M64" s="52"/>
      <c r="N64" s="52"/>
      <c r="O64" s="52"/>
      <c r="P64" s="52"/>
      <c r="Q64" s="52"/>
    </row>
    <row r="65" spans="1:17" ht="20.100000000000001" customHeight="1" x14ac:dyDescent="0.25">
      <c r="G65" s="52"/>
      <c r="H65" s="52"/>
      <c r="I65" s="52"/>
      <c r="J65" s="52"/>
      <c r="L65" s="52"/>
      <c r="M65" s="52"/>
      <c r="N65" s="52"/>
      <c r="O65" s="52"/>
      <c r="P65" s="52"/>
      <c r="Q65" s="52"/>
    </row>
    <row r="66" spans="1:17" ht="20.100000000000001" customHeight="1" x14ac:dyDescent="0.25">
      <c r="D66" s="94" t="s">
        <v>176</v>
      </c>
      <c r="E66" s="99"/>
      <c r="F66" s="96"/>
      <c r="G66" s="52"/>
      <c r="H66" s="52"/>
      <c r="I66" s="52"/>
      <c r="J66" s="52"/>
      <c r="L66" s="52"/>
      <c r="M66" s="52"/>
      <c r="N66" s="52"/>
      <c r="O66" s="52"/>
      <c r="P66" s="52"/>
      <c r="Q66" s="52"/>
    </row>
    <row r="67" spans="1:17" ht="20.100000000000001" customHeight="1" x14ac:dyDescent="0.25">
      <c r="D67" s="3" t="s">
        <v>156</v>
      </c>
      <c r="E67" s="105">
        <f>E43+E49+E55+E61</f>
        <v>0</v>
      </c>
      <c r="F67" s="2" t="str">
        <f t="shared" ref="F67:F70" si="5">$E$12</f>
        <v>t CO2-e</v>
      </c>
      <c r="G67" s="52"/>
    </row>
    <row r="68" spans="1:17" ht="20.100000000000001" customHeight="1" x14ac:dyDescent="0.25">
      <c r="D68" s="3" t="s">
        <v>157</v>
      </c>
      <c r="E68" s="105">
        <f t="shared" ref="E68:E70" si="6">E44+E50+E56+E62</f>
        <v>0</v>
      </c>
      <c r="F68" s="2" t="str">
        <f t="shared" si="5"/>
        <v>t CO2-e</v>
      </c>
      <c r="G68" s="52"/>
    </row>
    <row r="69" spans="1:17" ht="20.100000000000001" customHeight="1" x14ac:dyDescent="0.25">
      <c r="A69" s="63" t="str">
        <f>HYPERLINK("#A1", "▲ Back to top")</f>
        <v>▲ Back to top</v>
      </c>
      <c r="D69" s="3" t="s">
        <v>158</v>
      </c>
      <c r="E69" s="105">
        <f t="shared" si="6"/>
        <v>0</v>
      </c>
      <c r="F69" s="2" t="str">
        <f t="shared" si="5"/>
        <v>t CO2-e</v>
      </c>
      <c r="G69" s="52"/>
    </row>
    <row r="70" spans="1:17" ht="20.100000000000001" customHeight="1" x14ac:dyDescent="0.25">
      <c r="D70" s="3" t="s">
        <v>181</v>
      </c>
      <c r="E70" s="105">
        <f t="shared" si="6"/>
        <v>0</v>
      </c>
      <c r="F70" s="2" t="str">
        <f t="shared" si="5"/>
        <v>t CO2-e</v>
      </c>
      <c r="G70" s="52"/>
    </row>
    <row r="71" spans="1:17" ht="20.100000000000001" customHeight="1" x14ac:dyDescent="0.25">
      <c r="G71" s="52"/>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spans="1:1" ht="20.100000000000001" customHeight="1" x14ac:dyDescent="0.25"/>
    <row r="82" spans="1:1" ht="20.100000000000001" customHeight="1" x14ac:dyDescent="0.25"/>
    <row r="83" spans="1:1" ht="20.100000000000001" customHeight="1" x14ac:dyDescent="0.25">
      <c r="A83" s="63"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9"/>
    </row>
    <row r="342" spans="8:8" x14ac:dyDescent="0.25">
      <c r="H342" s="19"/>
    </row>
  </sheetData>
  <dataValidations disablePrompts="1" count="1">
    <dataValidation operator="equal" allowBlank="1" showInputMessage="1" showErrorMessage="1" sqref="N172:Q172 O150:Q150 E269 N166:Q166 O143:Q144 E228 O167:Q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R165"/>
  <sheetViews>
    <sheetView showGridLines="0" topLeftCell="D5" zoomScaleNormal="100" workbookViewId="0">
      <selection activeCell="D5" sqref="D5"/>
    </sheetView>
  </sheetViews>
  <sheetFormatPr defaultRowHeight="15.75" x14ac:dyDescent="0.25"/>
  <cols>
    <col min="1" max="1" width="30.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8" customFormat="1" ht="30" customHeight="1" x14ac:dyDescent="0.35">
      <c r="A1" s="8" t="e" vm="1">
        <v>#VALUE!</v>
      </c>
      <c r="C1" s="8" t="s">
        <v>109</v>
      </c>
    </row>
    <row r="2" spans="1:18" s="9" customFormat="1" ht="20.100000000000001" customHeight="1" x14ac:dyDescent="0.25">
      <c r="A2"/>
    </row>
    <row r="3" spans="1:18" ht="20.100000000000001" customHeight="1" x14ac:dyDescent="0.25">
      <c r="A3" s="14" t="str">
        <f>HYPERLINK("#'Home'!A1", "Home")</f>
        <v>Home</v>
      </c>
      <c r="C3" s="4"/>
      <c r="D3" s="4" t="s">
        <v>48</v>
      </c>
      <c r="E3" s="4"/>
      <c r="F3" s="4"/>
      <c r="G3" s="4"/>
      <c r="H3" s="4"/>
      <c r="I3" s="4"/>
      <c r="J3" s="4"/>
      <c r="K3" s="4"/>
      <c r="L3" s="4"/>
      <c r="M3" s="4"/>
      <c r="N3" s="4"/>
      <c r="O3" s="4"/>
      <c r="P3" s="4"/>
      <c r="Q3" s="4"/>
      <c r="R3" s="4"/>
    </row>
    <row r="4" spans="1:18" ht="20.100000000000001" customHeight="1" x14ac:dyDescent="0.25">
      <c r="A4" s="14" t="str">
        <f>HYPERLINK("#'Overview'!A1", "Overview")</f>
        <v>Overview</v>
      </c>
    </row>
    <row r="5" spans="1:18" ht="20.100000000000001" customHeight="1" x14ac:dyDescent="0.25">
      <c r="A5" s="14" t="str">
        <f>HYPERLINK("#'Results'!A1", "Results")</f>
        <v>Results</v>
      </c>
      <c r="D5" s="6" t="s">
        <v>241</v>
      </c>
      <c r="K5" s="6" t="s">
        <v>243</v>
      </c>
      <c r="O5" s="52"/>
      <c r="P5" s="52"/>
      <c r="Q5" s="52"/>
      <c r="R5" s="52"/>
    </row>
    <row r="6" spans="1:18" ht="20.100000000000001" customHeight="1" x14ac:dyDescent="0.25">
      <c r="A6" s="13"/>
      <c r="D6" s="5" t="s">
        <v>242</v>
      </c>
      <c r="K6" s="5" t="s">
        <v>244</v>
      </c>
      <c r="O6" s="52"/>
      <c r="P6" s="52"/>
      <c r="Q6" s="52"/>
      <c r="R6" s="52"/>
    </row>
    <row r="7" spans="1:18" ht="20.100000000000001" customHeight="1" x14ac:dyDescent="0.25">
      <c r="A7" s="17" t="s">
        <v>1</v>
      </c>
      <c r="D7" s="11"/>
      <c r="E7" s="11"/>
      <c r="K7" s="34" t="s">
        <v>245</v>
      </c>
      <c r="O7" s="52"/>
      <c r="P7" s="52"/>
      <c r="Q7" s="52"/>
      <c r="R7" s="52"/>
    </row>
    <row r="8" spans="1:18" ht="20.100000000000001" customHeight="1" x14ac:dyDescent="0.25">
      <c r="A8" s="14" t="str">
        <f>HYPERLINK("#'Input - Fuel'!A1", "Fuel")</f>
        <v>Fuel</v>
      </c>
      <c r="K8" s="11"/>
      <c r="L8" s="11"/>
      <c r="O8" s="52"/>
      <c r="P8" s="52"/>
      <c r="Q8" s="52"/>
      <c r="R8" s="52"/>
    </row>
    <row r="9" spans="1:18" ht="20.100000000000001" customHeight="1" x14ac:dyDescent="0.25">
      <c r="A9" s="14"/>
      <c r="G9" s="5"/>
      <c r="O9" s="52"/>
      <c r="P9" s="52"/>
      <c r="Q9" s="52"/>
      <c r="R9" s="52"/>
    </row>
    <row r="10" spans="1:18" ht="20.100000000000001" customHeight="1" x14ac:dyDescent="0.25">
      <c r="A10" s="16" t="s">
        <v>44</v>
      </c>
      <c r="O10" s="52"/>
      <c r="P10" s="52"/>
      <c r="Q10" s="52"/>
      <c r="R10" s="52"/>
    </row>
    <row r="11" spans="1:18" ht="20.100000000000001" customHeight="1" x14ac:dyDescent="0.25">
      <c r="A11" s="14" t="str">
        <f>HYPERLINK("#'8.1.1.1-2 Transport fuel'!A1", "8.1.1.1-2 Transport fuel")</f>
        <v>8.1.1.1-2 Transport fuel</v>
      </c>
      <c r="D11" s="32" t="s">
        <v>12</v>
      </c>
      <c r="E11" s="1" t="s">
        <v>214</v>
      </c>
      <c r="K11" s="32" t="s">
        <v>12</v>
      </c>
      <c r="L11" s="1" t="s">
        <v>246</v>
      </c>
      <c r="O11" s="52"/>
      <c r="P11" s="52"/>
      <c r="Q11" s="52"/>
      <c r="R11" s="52"/>
    </row>
    <row r="12" spans="1:18" ht="20.100000000000001" customHeight="1" x14ac:dyDescent="0.25">
      <c r="A12" s="71" t="str">
        <f>HYPERLINK("#'8.2.1.1-2 Stationary fuel'!A1", "8.2.1.1-2 Stationary fuel")</f>
        <v>8.2.1.1-2 Stationary fuel</v>
      </c>
      <c r="D12" s="32" t="s">
        <v>5</v>
      </c>
      <c r="E12" s="33" t="s">
        <v>215</v>
      </c>
      <c r="K12" s="32" t="s">
        <v>5</v>
      </c>
      <c r="L12" s="33" t="s">
        <v>58</v>
      </c>
    </row>
    <row r="13" spans="1:18" ht="20.100000000000001" customHeight="1" x14ac:dyDescent="0.25">
      <c r="A13" s="14" t="str">
        <f>HYPERLINK("#'8.X.1.1-2 General use fuel'!A1", "8.X.1.1-2 General use fuel")</f>
        <v>8.X.1.1-2 General use fuel</v>
      </c>
    </row>
    <row r="14" spans="1:18" ht="20.100000000000001" customHeight="1" x14ac:dyDescent="0.25">
      <c r="A14" s="14"/>
      <c r="D14" s="60" t="s">
        <v>247</v>
      </c>
      <c r="E14" s="62" t="s">
        <v>248</v>
      </c>
      <c r="F14" s="61"/>
      <c r="G14" s="60" t="s">
        <v>229</v>
      </c>
      <c r="H14" s="55" t="s">
        <v>230</v>
      </c>
      <c r="I14" s="59" t="str" cm="1">
        <f t="array" aca="1" ref="I14" ca="1">HYPERLINK(Common_InputFunctions.Utility_SourceHyperlink($D$22), $D$22)</f>
        <v>Table_E_g</v>
      </c>
      <c r="K14" s="60" t="s">
        <v>247</v>
      </c>
      <c r="L14" s="60" t="s">
        <v>255</v>
      </c>
      <c r="M14" s="60"/>
      <c r="N14" s="60" t="s">
        <v>123</v>
      </c>
      <c r="O14" s="55" t="s">
        <v>230</v>
      </c>
      <c r="P14" s="59" t="str" cm="1">
        <f t="array" aca="1" ref="P14" ca="1">HYPERLINK(Common_InputFunctions.Utility_SourceHyperlink($D$22), $D$22)</f>
        <v>Table_E_g</v>
      </c>
      <c r="Q14" s="52"/>
    </row>
    <row r="15" spans="1:18" ht="20.100000000000001" customHeight="1" x14ac:dyDescent="0.25">
      <c r="A15" s="15" t="s">
        <v>2</v>
      </c>
      <c r="D15" s="60" t="s">
        <v>249</v>
      </c>
      <c r="E15" s="62" t="s">
        <v>250</v>
      </c>
      <c r="F15" s="61"/>
      <c r="G15" s="60" t="s">
        <v>231</v>
      </c>
      <c r="H15" s="54" t="s">
        <v>232</v>
      </c>
      <c r="I15" s="59" t="str" cm="1">
        <f t="array" aca="1" ref="I15" ca="1">HYPERLINK(Common_InputFunctions.Utility_SourceHyperlink($D$22), $D$22)</f>
        <v>Table_E_g</v>
      </c>
      <c r="K15" s="60" t="s">
        <v>249</v>
      </c>
      <c r="L15" s="60" t="s">
        <v>256</v>
      </c>
      <c r="M15" s="60"/>
      <c r="N15" s="60" t="s">
        <v>263</v>
      </c>
      <c r="O15" s="54" t="s">
        <v>232</v>
      </c>
      <c r="P15" s="59" t="str" cm="1">
        <f t="array" aca="1" ref="P15" ca="1">HYPERLINK(Common_InputFunctions.Utility_SourceHyperlink($D$22), $D$22)</f>
        <v>Table_E_g</v>
      </c>
      <c r="Q15" s="52"/>
    </row>
    <row r="16" spans="1:18" ht="20.100000000000001" customHeight="1" x14ac:dyDescent="0.25">
      <c r="A16" s="14" t="str">
        <f>HYPERLINK("#'Constants - Fuel'!A1", "Constants - Fuel")</f>
        <v>Constants - Fuel</v>
      </c>
      <c r="D16" s="60" t="s">
        <v>251</v>
      </c>
      <c r="E16" s="62" t="s">
        <v>252</v>
      </c>
      <c r="F16" s="61"/>
      <c r="G16" s="60" t="s">
        <v>233</v>
      </c>
      <c r="H16" s="54" t="s">
        <v>232</v>
      </c>
      <c r="I16" s="59" t="str" cm="1">
        <f t="array" aca="1" ref="I16" ca="1">HYPERLINK(Common_InputFunctions.Utility_SourceHyperlink($D$22), $D$22)</f>
        <v>Table_E_g</v>
      </c>
      <c r="K16" s="60" t="s">
        <v>257</v>
      </c>
      <c r="L16" s="60" t="s">
        <v>258</v>
      </c>
      <c r="M16" s="60"/>
      <c r="N16" s="60" t="s">
        <v>240</v>
      </c>
      <c r="O16" s="54" t="s">
        <v>232</v>
      </c>
      <c r="P16" s="59" t="str" cm="1">
        <f t="array" aca="1" ref="P16" ca="1">HYPERLINK(Common_InputFunctions.Utility_SourceHyperlink($D$22), $D$22)</f>
        <v>Table_E_g</v>
      </c>
      <c r="Q16" s="52"/>
    </row>
    <row r="17" spans="1:17" ht="20.100000000000001" customHeight="1" x14ac:dyDescent="0.25">
      <c r="A17" s="14" t="str">
        <f>HYPERLINK("#'Constants - Common'!A1", "Constants - Common")</f>
        <v>Constants - Common</v>
      </c>
      <c r="D17" s="60" t="s">
        <v>223</v>
      </c>
      <c r="E17" s="62" t="s">
        <v>122</v>
      </c>
      <c r="F17" s="61"/>
      <c r="G17" s="60"/>
      <c r="H17" s="54" t="s">
        <v>232</v>
      </c>
      <c r="I17" s="59"/>
      <c r="J17" s="52"/>
      <c r="K17" s="60" t="s">
        <v>259</v>
      </c>
      <c r="L17" s="62" t="s">
        <v>260</v>
      </c>
      <c r="M17" s="61"/>
      <c r="N17" s="60"/>
      <c r="O17" s="55" t="s">
        <v>230</v>
      </c>
      <c r="P17" s="60" t="str">
        <f>'Input - Site'!$E$21</f>
        <v>Western Australia</v>
      </c>
      <c r="Q17" s="52"/>
    </row>
    <row r="18" spans="1:17" ht="20.100000000000001" customHeight="1" x14ac:dyDescent="0.25">
      <c r="D18" s="60" t="s">
        <v>253</v>
      </c>
      <c r="E18" s="62" t="s">
        <v>254</v>
      </c>
      <c r="F18" s="61"/>
      <c r="G18" s="60"/>
      <c r="H18" s="54" t="s">
        <v>232</v>
      </c>
      <c r="I18" s="59"/>
      <c r="J18" s="52"/>
      <c r="K18" s="60" t="s">
        <v>261</v>
      </c>
      <c r="L18" s="62" t="s">
        <v>262</v>
      </c>
      <c r="M18" s="61"/>
      <c r="N18" s="60"/>
      <c r="O18" s="55" t="s">
        <v>230</v>
      </c>
      <c r="P18" s="60" t="str">
        <f>'Input - Fuel'!E11</f>
        <v>Metro</v>
      </c>
      <c r="Q18" s="52"/>
    </row>
    <row r="19" spans="1:17" ht="20.100000000000001" customHeight="1" x14ac:dyDescent="0.25">
      <c r="D19" s="60" t="s">
        <v>226</v>
      </c>
      <c r="E19" s="62" t="s">
        <v>227</v>
      </c>
      <c r="F19" s="61"/>
      <c r="G19" s="60"/>
      <c r="H19" s="54" t="s">
        <v>232</v>
      </c>
      <c r="I19" s="59"/>
      <c r="J19" s="52"/>
      <c r="L19" s="52"/>
      <c r="N19" s="52"/>
      <c r="O19" s="52"/>
      <c r="P19" s="52"/>
      <c r="Q19" s="52"/>
    </row>
    <row r="20" spans="1:17" ht="20.100000000000001" customHeight="1" x14ac:dyDescent="0.25">
      <c r="A20" s="14"/>
      <c r="D20" s="60">
        <v>1</v>
      </c>
      <c r="E20" s="62" t="s">
        <v>228</v>
      </c>
      <c r="F20" s="61"/>
      <c r="G20" s="60"/>
      <c r="H20" s="54" t="s">
        <v>232</v>
      </c>
      <c r="I20" s="59"/>
      <c r="J20" s="52"/>
      <c r="L20" s="52"/>
      <c r="N20" s="52"/>
      <c r="O20" s="52"/>
      <c r="P20" s="52"/>
      <c r="Q20" s="52"/>
    </row>
    <row r="21" spans="1:17" ht="20.100000000000001" customHeight="1" x14ac:dyDescent="0.25">
      <c r="A21" s="14"/>
      <c r="O21" s="52"/>
      <c r="P21" s="52"/>
      <c r="Q21" s="52"/>
    </row>
    <row r="22" spans="1:17" ht="20.100000000000001" customHeight="1" x14ac:dyDescent="0.25">
      <c r="D22" s="43" t="s">
        <v>160</v>
      </c>
    </row>
    <row r="23" spans="1:17" ht="20.100000000000001" customHeight="1" x14ac:dyDescent="0.25">
      <c r="A23" s="14"/>
      <c r="D23" s="42" t="s">
        <v>162</v>
      </c>
    </row>
    <row r="24" spans="1:17" ht="20.100000000000001" customHeight="1" x14ac:dyDescent="0.25">
      <c r="D24" s="30" t="s">
        <v>146</v>
      </c>
      <c r="E24" s="30" t="s">
        <v>159</v>
      </c>
      <c r="F24" s="30" t="s">
        <v>147</v>
      </c>
      <c r="G24" s="30" t="s">
        <v>163</v>
      </c>
      <c r="H24" s="30" t="s">
        <v>164</v>
      </c>
      <c r="I24" s="30" t="s">
        <v>165</v>
      </c>
      <c r="J24" s="30" t="s">
        <v>166</v>
      </c>
      <c r="K24" s="30" t="s">
        <v>183</v>
      </c>
      <c r="L24" s="53" t="s">
        <v>167</v>
      </c>
      <c r="M24" s="30" t="s">
        <v>152</v>
      </c>
      <c r="N24" s="30" t="s">
        <v>153</v>
      </c>
      <c r="O24" s="30" t="s">
        <v>154</v>
      </c>
      <c r="P24" s="30" t="s">
        <v>155</v>
      </c>
      <c r="Q24" s="30" t="s">
        <v>184</v>
      </c>
    </row>
    <row r="25" spans="1:17" ht="20.100000000000001" customHeight="1" x14ac:dyDescent="0.25">
      <c r="D25" s="3" t="str">
        <f>Table_FuelTypesPerUse[[#Headers],[Generators]]</f>
        <v>Generators</v>
      </c>
      <c r="E25" s="87" t="str">
        <f>'Constants - Fuel'!$D$58</f>
        <v>Automotive gasoline / petrol (other than for use as fuel in an aircraft)</v>
      </c>
      <c r="F25" s="87" t="str">
        <f>'Constants - Fuel'!D131</f>
        <v>Petrol</v>
      </c>
      <c r="G25" s="31">
        <f>IFERROR(_xlfn.XLOOKUP($E25, Table_Fuel_EFs_StationaryLiquid[Fuel combusted], Table_Fuel_EFs_StationaryLiquid[Energy Content Factor (GJ per unit of fuel)]),0)</f>
        <v>34.200000000000003</v>
      </c>
      <c r="H25" s="31">
        <f>IFERROR(_xlfn.XLOOKUP($E25, Table_Fuel_EFs_StationaryLiquid[Fuel combusted], Table_Fuel_EFs_StationaryLiquid[Scope 1 Emission Factor (kg CO2 - e / GJ) CO2]),0)</f>
        <v>67.400000000000006</v>
      </c>
      <c r="I25" s="31">
        <f>IFERROR(_xlfn.XLOOKUP($E25, Table_Fuel_EFs_StationaryLiquid[Fuel combusted], Table_Fuel_EFs_StationaryLiquid[Scope 1 Emission Factor (kg CO2 - e / GJ) CH4]),0)</f>
        <v>0.2</v>
      </c>
      <c r="J25" s="31">
        <f>IFERROR(_xlfn.XLOOKUP($E25, Table_Fuel_EFs_StationaryLiquid[Fuel combusted], Table_Fuel_EFs_StationaryLiquid[Scope 1 Emission Factor (kg CO2 - e / GJ) N2O]),0)</f>
        <v>0.2</v>
      </c>
      <c r="K25" s="31">
        <f>IFERROR(_xlfn.XLOOKUP($E25, Table_Fuel_EFs_StationaryLiquid[Fuel combusted], Table_Fuel_EFs_StationaryLiquid[Scope 3 Emission Factor (kg CO2 - e / GJ)]),0)</f>
        <v>17.2</v>
      </c>
      <c r="L25" s="64" cm="1">
        <f t="array" ref="L25">Fuel_InputFunctions.Fuel_TotalConsumption(Table_Input_Fuel[Amount consumed], Table_Input_Fuel[Fuel use (select)], D25, Table_Input_Fuel[Fuel type (select)],F25)</f>
        <v>0</v>
      </c>
      <c r="M25" s="64" t="str" cm="1">
        <f t="array" ref="M25">Common_InputFunctions.Utility_LookupValueInTable(F25,Table_FuelTypes_Units[Fuel type],Table_FuelTypes_Units[Unit])</f>
        <v>kL</v>
      </c>
      <c r="N25" s="109">
        <f>((($L25 * $G25 * H25) * 10 ^ -3))</f>
        <v>0</v>
      </c>
      <c r="O25" s="109">
        <f>((($L25 * $G25 * I25) * 10 ^ -3))</f>
        <v>0</v>
      </c>
      <c r="P25" s="109">
        <f>((($L25 * $G25 * J25) * 10 ^ -3))</f>
        <v>0</v>
      </c>
      <c r="Q25" s="109">
        <f>((($L25 * $G25 * ((IF(ISNUMBER(K25), K25, 0)))) * 10 ^ -3))</f>
        <v>0</v>
      </c>
    </row>
    <row r="26" spans="1:17" ht="20.100000000000001" customHeight="1" x14ac:dyDescent="0.25">
      <c r="D26" s="88" t="str">
        <f t="shared" ref="D26:D31" si="0">$D$25</f>
        <v>Generators</v>
      </c>
      <c r="E26" s="87" t="str">
        <f>'Constants - Fuel'!$D$63</f>
        <v>Diesel oil</v>
      </c>
      <c r="F26" s="87" t="str">
        <f>'Constants - Fuel'!D132</f>
        <v>Diesel</v>
      </c>
      <c r="G26" s="31">
        <f>IFERROR(_xlfn.XLOOKUP($E26, Table_Fuel_EFs_StationaryLiquid[Fuel combusted], Table_Fuel_EFs_StationaryLiquid[Energy Content Factor (GJ per unit of fuel)]),0)</f>
        <v>38.6</v>
      </c>
      <c r="H26" s="31">
        <f>IFERROR(_xlfn.XLOOKUP($E26, Table_Fuel_EFs_StationaryLiquid[Fuel combusted], Table_Fuel_EFs_StationaryLiquid[Scope 1 Emission Factor (kg CO2 - e / GJ) CO2]),0)</f>
        <v>69.900000000000006</v>
      </c>
      <c r="I26" s="31">
        <f>IFERROR(_xlfn.XLOOKUP($E26, Table_Fuel_EFs_StationaryLiquid[Fuel combusted], Table_Fuel_EFs_StationaryLiquid[Scope 1 Emission Factor (kg CO2 - e / GJ) CH4]),0)</f>
        <v>0.1</v>
      </c>
      <c r="J26" s="31">
        <f>IFERROR(_xlfn.XLOOKUP($E26, Table_Fuel_EFs_StationaryLiquid[Fuel combusted], Table_Fuel_EFs_StationaryLiquid[Scope 1 Emission Factor (kg CO2 - e / GJ) N2O]),0)</f>
        <v>0.2</v>
      </c>
      <c r="K26" s="31">
        <f>IFERROR(_xlfn.XLOOKUP($E26, Table_Fuel_EFs_StationaryLiquid[Fuel combusted], Table_Fuel_EFs_StationaryLiquid[Scope 3 Emission Factor (kg CO2 - e / GJ)]),0)</f>
        <v>17.3</v>
      </c>
      <c r="L26" s="64" cm="1">
        <f t="array" ref="L26">Fuel_InputFunctions.Fuel_TotalConsumption(Table_Input_Fuel[Amount consumed], Table_Input_Fuel[Fuel use (select)], D26, Table_Input_Fuel[Fuel type (select)],F26)</f>
        <v>0</v>
      </c>
      <c r="M26" s="64" t="str" cm="1">
        <f t="array" ref="M26">Common_InputFunctions.Utility_LookupValueInTable(F26,Table_FuelTypes_Units[Fuel type],Table_FuelTypes_Units[Unit])</f>
        <v>kL</v>
      </c>
      <c r="N26" s="109">
        <f>((($L26 * $G26 * H26) * 10 ^ -3))</f>
        <v>0</v>
      </c>
      <c r="O26" s="109">
        <f>((($L26 * $G26 * I26) * 10 ^ -3))</f>
        <v>0</v>
      </c>
      <c r="P26" s="109">
        <f>((($L26 * $G26 * J26) * 10 ^ -3))</f>
        <v>0</v>
      </c>
      <c r="Q26" s="109">
        <f>((($L26 * $G26 * ((IF(ISNUMBER(K26), K26, 0)))) * 10 ^ -3))</f>
        <v>0</v>
      </c>
    </row>
    <row r="27" spans="1:17" ht="20.100000000000001" customHeight="1" x14ac:dyDescent="0.25">
      <c r="D27" s="88" t="str">
        <f t="shared" si="0"/>
        <v>Generators</v>
      </c>
      <c r="E27" s="87" t="str">
        <f>'Constants - Fuel'!$D$67</f>
        <v>Liquefied petroleum gas (LPG)</v>
      </c>
      <c r="F27" s="87" t="str">
        <f>'Constants - Fuel'!D133</f>
        <v>Liquefied petroleum gas (LPG)</v>
      </c>
      <c r="G27" s="31">
        <f>IFERROR(_xlfn.XLOOKUP($E27, Table_Fuel_EFs_StationaryLiquid[Fuel combusted], Table_Fuel_EFs_StationaryLiquid[Energy Content Factor (GJ per unit of fuel)]),0)</f>
        <v>25.7</v>
      </c>
      <c r="H27" s="31">
        <f>IFERROR(_xlfn.XLOOKUP($E27, Table_Fuel_EFs_StationaryLiquid[Fuel combusted], Table_Fuel_EFs_StationaryLiquid[Scope 1 Emission Factor (kg CO2 - e / GJ) CO2]),0)</f>
        <v>60.2</v>
      </c>
      <c r="I27" s="31">
        <f>IFERROR(_xlfn.XLOOKUP($E27, Table_Fuel_EFs_StationaryLiquid[Fuel combusted], Table_Fuel_EFs_StationaryLiquid[Scope 1 Emission Factor (kg CO2 - e / GJ) CH4]),0)</f>
        <v>0.2</v>
      </c>
      <c r="J27" s="31">
        <f>IFERROR(_xlfn.XLOOKUP($E27, Table_Fuel_EFs_StationaryLiquid[Fuel combusted], Table_Fuel_EFs_StationaryLiquid[Scope 1 Emission Factor (kg CO2 - e / GJ) N2O]),0)</f>
        <v>0.2</v>
      </c>
      <c r="K27" s="31">
        <f>IFERROR(_xlfn.XLOOKUP($E27, Table_Fuel_EFs_StationaryLiquid[Fuel combusted], Table_Fuel_EFs_StationaryLiquid[Scope 3 Emission Factor (kg CO2 - e / GJ)]),0)</f>
        <v>20.2</v>
      </c>
      <c r="L27" s="64" cm="1">
        <f t="array" ref="L27">Fuel_InputFunctions.Fuel_TotalConsumption(Table_Input_Fuel[Amount consumed], Table_Input_Fuel[Fuel use (select)], D27, Table_Input_Fuel[Fuel type (select)],F27)</f>
        <v>0</v>
      </c>
      <c r="M27" s="64" t="str" cm="1">
        <f t="array" ref="M27">Common_InputFunctions.Utility_LookupValueInTable(F27,Table_FuelTypes_Units[Fuel type],Table_FuelTypes_Units[Unit])</f>
        <v>kL</v>
      </c>
      <c r="N27" s="109">
        <f>((($L27 * $G27 * H27) * 10 ^ -3))</f>
        <v>0</v>
      </c>
      <c r="O27" s="109">
        <f>((($L27 * $G27 * I27) * 10 ^ -3))</f>
        <v>0</v>
      </c>
      <c r="P27" s="109">
        <f>((($L27 * $G27 * J27) * 10 ^ -3))</f>
        <v>0</v>
      </c>
      <c r="Q27" s="109">
        <f>((($L27 * $G27 * ((IF(ISNUMBER(K27), K27, 0)))) * 10 ^ -3))</f>
        <v>0</v>
      </c>
    </row>
    <row r="28" spans="1:17" ht="20.100000000000001" customHeight="1" x14ac:dyDescent="0.25">
      <c r="D28" s="88" t="str">
        <f t="shared" si="0"/>
        <v>Generators</v>
      </c>
      <c r="E28" s="87" t="str">
        <f>'Constants - Fuel'!$D$73</f>
        <v>Biodiesel</v>
      </c>
      <c r="F28" s="87" t="str">
        <f>'Constants - Fuel'!D134</f>
        <v>Biodiesel</v>
      </c>
      <c r="G28" s="31">
        <f>IFERROR(_xlfn.XLOOKUP($E28, Table_Fuel_EFs_StationaryLiquid[Fuel combusted], Table_Fuel_EFs_StationaryLiquid[Energy Content Factor (GJ per unit of fuel)]),0)</f>
        <v>34.6</v>
      </c>
      <c r="H28" s="31">
        <f>IFERROR(_xlfn.XLOOKUP($E28, Table_Fuel_EFs_StationaryLiquid[Fuel combusted], Table_Fuel_EFs_StationaryLiquid[Scope 1 Emission Factor (kg CO2 - e / GJ) CO2]),0)</f>
        <v>0</v>
      </c>
      <c r="I28" s="31">
        <f>IFERROR(_xlfn.XLOOKUP($E28, Table_Fuel_EFs_StationaryLiquid[Fuel combusted], Table_Fuel_EFs_StationaryLiquid[Scope 1 Emission Factor (kg CO2 - e / GJ) CH4]),0)</f>
        <v>0.08</v>
      </c>
      <c r="J28" s="31">
        <f>IFERROR(_xlfn.XLOOKUP($E28, Table_Fuel_EFs_StationaryLiquid[Fuel combusted], Table_Fuel_EFs_StationaryLiquid[Scope 1 Emission Factor (kg CO2 - e / GJ) N2O]),0)</f>
        <v>0.2</v>
      </c>
      <c r="K28" s="31" t="str">
        <f>IFERROR(_xlfn.XLOOKUP($E28, Table_Fuel_EFs_StationaryLiquid[Fuel combusted], Table_Fuel_EFs_StationaryLiquid[Scope 3 Emission Factor (kg CO2 - e / GJ)]),0)</f>
        <v>NE</v>
      </c>
      <c r="L28" s="64" cm="1">
        <f t="array" ref="L28">Fuel_InputFunctions.Fuel_TotalConsumption(Table_Input_Fuel[Amount consumed], Table_Input_Fuel[Fuel use (select)], D28, Table_Input_Fuel[Fuel type (select)],F28)</f>
        <v>0</v>
      </c>
      <c r="M28" s="64" t="str" cm="1">
        <f t="array" ref="M28">Common_InputFunctions.Utility_LookupValueInTable(F28,Table_FuelTypes_Units[Fuel type],Table_FuelTypes_Units[Unit])</f>
        <v>kL</v>
      </c>
      <c r="N28" s="109">
        <f>((($L28 * $G28 * H28) * 10 ^ -3))</f>
        <v>0</v>
      </c>
      <c r="O28" s="109">
        <f>((($L28 * $G28 * I28) * 10 ^ -3))</f>
        <v>0</v>
      </c>
      <c r="P28" s="109">
        <f>((($L28 * $G28 * J28) * 10 ^ -3))</f>
        <v>0</v>
      </c>
      <c r="Q28" s="109">
        <f>((($L28 * $G28 * ((IF(ISNUMBER(K28), K28, 0)))) * 10 ^ -3))</f>
        <v>0</v>
      </c>
    </row>
    <row r="29" spans="1:17" ht="20.100000000000001" customHeight="1" x14ac:dyDescent="0.25">
      <c r="D29" s="88" t="str">
        <f t="shared" si="0"/>
        <v>Generators</v>
      </c>
      <c r="E29" s="87" t="str">
        <f>'Constants - Fuel'!$D$74</f>
        <v>Ethanol for use as a fuel in an internal combustion engine</v>
      </c>
      <c r="F29" s="87" t="str">
        <f>'Constants - Fuel'!D135</f>
        <v>Ethanol</v>
      </c>
      <c r="G29" s="31">
        <f>IFERROR(_xlfn.XLOOKUP($E29, Table_Fuel_EFs_StationaryLiquid[Fuel combusted], Table_Fuel_EFs_StationaryLiquid[Energy Content Factor (GJ per unit of fuel)]),0)</f>
        <v>23.4</v>
      </c>
      <c r="H29" s="31">
        <f>IFERROR(_xlfn.XLOOKUP($E29, Table_Fuel_EFs_StationaryLiquid[Fuel combusted], Table_Fuel_EFs_StationaryLiquid[Scope 1 Emission Factor (kg CO2 - e / GJ) CO2]),0)</f>
        <v>0</v>
      </c>
      <c r="I29" s="31">
        <f>IFERROR(_xlfn.XLOOKUP($E29, Table_Fuel_EFs_StationaryLiquid[Fuel combusted], Table_Fuel_EFs_StationaryLiquid[Scope 1 Emission Factor (kg CO2 - e / GJ) CH4]),0)</f>
        <v>0.08</v>
      </c>
      <c r="J29" s="31">
        <f>IFERROR(_xlfn.XLOOKUP($E29, Table_Fuel_EFs_StationaryLiquid[Fuel combusted], Table_Fuel_EFs_StationaryLiquid[Scope 1 Emission Factor (kg CO2 - e / GJ) N2O]),0)</f>
        <v>0.2</v>
      </c>
      <c r="K29" s="31" t="str">
        <f>IFERROR(_xlfn.XLOOKUP($E29, Table_Fuel_EFs_StationaryLiquid[Fuel combusted], Table_Fuel_EFs_StationaryLiquid[Scope 3 Emission Factor (kg CO2 - e / GJ)]),0)</f>
        <v>NE</v>
      </c>
      <c r="L29" s="64" cm="1">
        <f t="array" ref="L29">Fuel_InputFunctions.Fuel_TotalConsumption(Table_Input_Fuel[Amount consumed], Table_Input_Fuel[Fuel use (select)], D29, Table_Input_Fuel[Fuel type (select)],F29)</f>
        <v>0</v>
      </c>
      <c r="M29" s="64" t="str" cm="1">
        <f t="array" ref="M29">Common_InputFunctions.Utility_LookupValueInTable(F29,Table_FuelTypes_Units[Fuel type],Table_FuelTypes_Units[Unit])</f>
        <v>kL</v>
      </c>
      <c r="N29" s="109">
        <f>((($L29 * $G29 * H29) * 10 ^ -3))</f>
        <v>0</v>
      </c>
      <c r="O29" s="109">
        <f>((($L29 * $G29 * I29) * 10 ^ -3))</f>
        <v>0</v>
      </c>
      <c r="P29" s="109">
        <f>((($L29 * $G29 * J29) * 10 ^ -3))</f>
        <v>0</v>
      </c>
      <c r="Q29" s="109">
        <f>((($L29 * $G29 * ((IF(ISNUMBER(K29), K29, 0)))) * 10 ^ -3))</f>
        <v>0</v>
      </c>
    </row>
    <row r="30" spans="1:17" ht="20.100000000000001" customHeight="1" x14ac:dyDescent="0.25">
      <c r="D30" s="88" t="str">
        <f t="shared" si="0"/>
        <v>Generators</v>
      </c>
      <c r="E30" s="87" t="str">
        <f>'Constants - Fuel'!$D$75</f>
        <v>Biofuels other than those mentioned in the items above and below</v>
      </c>
      <c r="F30" s="87" t="str">
        <f>'Constants - Fuel'!D136</f>
        <v>Other biofuels</v>
      </c>
      <c r="G30" s="31">
        <f>IFERROR(_xlfn.XLOOKUP($E30, Table_Fuel_EFs_StationaryLiquid[Fuel combusted], Table_Fuel_EFs_StationaryLiquid[Energy Content Factor (GJ per unit of fuel)]),0)</f>
        <v>23.4</v>
      </c>
      <c r="H30" s="31">
        <f>IFERROR(_xlfn.XLOOKUP($E30, Table_Fuel_EFs_StationaryLiquid[Fuel combusted], Table_Fuel_EFs_StationaryLiquid[Scope 1 Emission Factor (kg CO2 - e / GJ) CO2]),0)</f>
        <v>0</v>
      </c>
      <c r="I30" s="31">
        <f>IFERROR(_xlfn.XLOOKUP($E30, Table_Fuel_EFs_StationaryLiquid[Fuel combusted], Table_Fuel_EFs_StationaryLiquid[Scope 1 Emission Factor (kg CO2 - e / GJ) CH4]),0)</f>
        <v>0.08</v>
      </c>
      <c r="J30" s="31">
        <f>IFERROR(_xlfn.XLOOKUP($E30, Table_Fuel_EFs_StationaryLiquid[Fuel combusted], Table_Fuel_EFs_StationaryLiquid[Scope 1 Emission Factor (kg CO2 - e / GJ) N2O]),0)</f>
        <v>0.2</v>
      </c>
      <c r="K30" s="31" t="str">
        <f>IFERROR(_xlfn.XLOOKUP($E30, Table_Fuel_EFs_StationaryLiquid[Fuel combusted], Table_Fuel_EFs_StationaryLiquid[Scope 3 Emission Factor (kg CO2 - e / GJ)]),0)</f>
        <v>NE</v>
      </c>
      <c r="L30" s="64" cm="1">
        <f t="array" ref="L30">Fuel_InputFunctions.Fuel_TotalConsumption(Table_Input_Fuel[Amount consumed], Table_Input_Fuel[Fuel use (select)], D30, Table_Input_Fuel[Fuel type (select)],F30)</f>
        <v>0</v>
      </c>
      <c r="M30" s="64" t="str" cm="1">
        <f t="array" ref="M30">Common_InputFunctions.Utility_LookupValueInTable(F30,Table_FuelTypes_Units[Fuel type],Table_FuelTypes_Units[Unit])</f>
        <v>kL</v>
      </c>
      <c r="N30" s="109">
        <f>((($L30 * $G30 * H30) * 10 ^ -3))</f>
        <v>0</v>
      </c>
      <c r="O30" s="109">
        <f>((($L30 * $G30 * I30) * 10 ^ -3))</f>
        <v>0</v>
      </c>
      <c r="P30" s="109">
        <f>((($L30 * $G30 * J30) * 10 ^ -3))</f>
        <v>0</v>
      </c>
      <c r="Q30" s="109">
        <f>((($L30 * $G30 * ((IF(ISNUMBER(K30), K30, 0)))) * 10 ^ -3))</f>
        <v>0</v>
      </c>
    </row>
    <row r="31" spans="1:17" ht="20.100000000000001" customHeight="1" x14ac:dyDescent="0.25">
      <c r="D31" s="88" t="str">
        <f t="shared" si="0"/>
        <v>Generators</v>
      </c>
      <c r="E31" s="87" t="str">
        <f>'Constants - Fuel'!$D$77</f>
        <v>Renewable diesel</v>
      </c>
      <c r="F31" s="87" t="str">
        <f>'Constants - Fuel'!D137</f>
        <v>Renewable diesel</v>
      </c>
      <c r="G31" s="101">
        <f>IFERROR(_xlfn.XLOOKUP($E31, Table_Fuel_EFs_StationaryLiquid[Fuel combusted], Table_Fuel_EFs_StationaryLiquid[Energy Content Factor (GJ per unit of fuel)]),0)</f>
        <v>38.6</v>
      </c>
      <c r="H31" s="101">
        <f>IFERROR(_xlfn.XLOOKUP($E31, Table_Fuel_EFs_StationaryLiquid[Fuel combusted], Table_Fuel_EFs_StationaryLiquid[Scope 1 Emission Factor (kg CO2 - e / GJ) CO2]),0)</f>
        <v>0</v>
      </c>
      <c r="I31" s="101">
        <f>IFERROR(_xlfn.XLOOKUP($E31, Table_Fuel_EFs_StationaryLiquid[Fuel combusted], Table_Fuel_EFs_StationaryLiquid[Scope 1 Emission Factor (kg CO2 - e / GJ) CH4]),0)</f>
        <v>0.1</v>
      </c>
      <c r="J31" s="101">
        <f>IFERROR(_xlfn.XLOOKUP($E31, Table_Fuel_EFs_StationaryLiquid[Fuel combusted], Table_Fuel_EFs_StationaryLiquid[Scope 1 Emission Factor (kg CO2 - e / GJ) N2O]),0)</f>
        <v>0.2</v>
      </c>
      <c r="K31" s="101" t="str">
        <f>IFERROR(_xlfn.XLOOKUP($E31, Table_Fuel_EFs_StationaryLiquid[Fuel combusted], Table_Fuel_EFs_StationaryLiquid[Scope 3 Emission Factor (kg CO2 - e / GJ)]),0)</f>
        <v>NE</v>
      </c>
      <c r="L31" s="89" cm="1">
        <f t="array" ref="L31">Fuel_InputFunctions.Fuel_TotalConsumption(Table_Input_Fuel[Amount consumed], Table_Input_Fuel[Fuel use (select)], D31, Table_Input_Fuel[Fuel type (select)],F31)</f>
        <v>0</v>
      </c>
      <c r="M31" s="89" t="str" cm="1">
        <f t="array" ref="M31">Common_InputFunctions.Utility_LookupValueInTable(F31,Table_FuelTypes_Units[Fuel type],Table_FuelTypes_Units[Unit])</f>
        <v>kL</v>
      </c>
      <c r="N31" s="110">
        <f>((($L31 * $G31 * H31) * 10 ^ -3))</f>
        <v>0</v>
      </c>
      <c r="O31" s="110">
        <f>((($L31 * $G31 * I31) * 10 ^ -3))</f>
        <v>0</v>
      </c>
      <c r="P31" s="110">
        <f>((($L31 * $G31 * J31) * 10 ^ -3))</f>
        <v>0</v>
      </c>
      <c r="Q31" s="110">
        <f>((($L31 * $G31 * ((IF(ISNUMBER(K31), K31, 0)))) * 10 ^ -3))</f>
        <v>0</v>
      </c>
    </row>
    <row r="32" spans="1:17" ht="20.100000000000001" customHeight="1" x14ac:dyDescent="0.25">
      <c r="D32" s="90" t="str">
        <f>Table_FuelTypesPerUse[[#Headers],[Power standalone machinery or heating]]</f>
        <v>Power standalone machinery or heating</v>
      </c>
      <c r="E32" s="91" t="str">
        <f>'Constants - Fuel'!$D$58</f>
        <v>Automotive gasoline / petrol (other than for use as fuel in an aircraft)</v>
      </c>
      <c r="F32" s="91" t="str">
        <f>'Constants - Fuel'!E131</f>
        <v>Petrol</v>
      </c>
      <c r="G32" s="103">
        <f>IFERROR(_xlfn.XLOOKUP($E32, Table_Fuel_EFs_StationaryLiquid[Fuel combusted], Table_Fuel_EFs_StationaryLiquid[Energy Content Factor (GJ per unit of fuel)]),0)</f>
        <v>34.200000000000003</v>
      </c>
      <c r="H32" s="103">
        <f>IFERROR(_xlfn.XLOOKUP($E32, Table_Fuel_EFs_StationaryLiquid[Fuel combusted], Table_Fuel_EFs_StationaryLiquid[Scope 1 Emission Factor (kg CO2 - e / GJ) CO2]),0)</f>
        <v>67.400000000000006</v>
      </c>
      <c r="I32" s="103">
        <f>IFERROR(_xlfn.XLOOKUP($E32, Table_Fuel_EFs_StationaryLiquid[Fuel combusted], Table_Fuel_EFs_StationaryLiquid[Scope 1 Emission Factor (kg CO2 - e / GJ) CH4]),0)</f>
        <v>0.2</v>
      </c>
      <c r="J32" s="103">
        <f>IFERROR(_xlfn.XLOOKUP($E32, Table_Fuel_EFs_StationaryLiquid[Fuel combusted], Table_Fuel_EFs_StationaryLiquid[Scope 1 Emission Factor (kg CO2 - e / GJ) N2O]),0)</f>
        <v>0.2</v>
      </c>
      <c r="K32" s="103">
        <f>IFERROR(_xlfn.XLOOKUP($E32, Table_Fuel_EFs_StationaryLiquid[Fuel combusted], Table_Fuel_EFs_StationaryLiquid[Scope 3 Emission Factor (kg CO2 - e / GJ)]),0)</f>
        <v>17.2</v>
      </c>
      <c r="L32" s="104" cm="1">
        <f t="array" ref="L32">Fuel_InputFunctions.Fuel_TotalConsumption(Table_Input_Fuel[Amount consumed], Table_Input_Fuel[Fuel use (select)], D32, Table_Input_Fuel[Fuel type (select)],F32)</f>
        <v>0</v>
      </c>
      <c r="M32" s="92" t="str" cm="1">
        <f t="array" ref="M32">Common_InputFunctions.Utility_LookupValueInTable(F32,Table_FuelTypes_Units[Fuel type],Table_FuelTypes_Units[Unit])</f>
        <v>kL</v>
      </c>
      <c r="N32" s="111">
        <f>((($L32 * $G32 * H32) * 10 ^ -3))</f>
        <v>0</v>
      </c>
      <c r="O32" s="111">
        <f>((($L32 * $G32 * I32) * 10 ^ -3))</f>
        <v>0</v>
      </c>
      <c r="P32" s="111">
        <f>((($L32 * $G32 * J32) * 10 ^ -3))</f>
        <v>0</v>
      </c>
      <c r="Q32" s="111">
        <f>((($L32 * $G32 * ((IF(ISNUMBER(K32), K32, 0)))) * 10 ^ -3))</f>
        <v>0</v>
      </c>
    </row>
    <row r="33" spans="1:17" ht="20.100000000000001" customHeight="1" x14ac:dyDescent="0.25">
      <c r="D33" s="88" t="str">
        <f t="shared" ref="D33:D40" si="1">$D$32</f>
        <v>Power standalone machinery or heating</v>
      </c>
      <c r="E33" s="87" t="str">
        <f>'Constants - Fuel'!$D$63</f>
        <v>Diesel oil</v>
      </c>
      <c r="F33" s="87" t="str">
        <f>'Constants - Fuel'!E132</f>
        <v>Diesel</v>
      </c>
      <c r="G33" s="31">
        <f>IFERROR(_xlfn.XLOOKUP($E33, Table_Fuel_EFs_StationaryLiquid[Fuel combusted], Table_Fuel_EFs_StationaryLiquid[Energy Content Factor (GJ per unit of fuel)]),0)</f>
        <v>38.6</v>
      </c>
      <c r="H33" s="31">
        <f>IFERROR(_xlfn.XLOOKUP($E33, Table_Fuel_EFs_StationaryLiquid[Fuel combusted], Table_Fuel_EFs_StationaryLiquid[Scope 1 Emission Factor (kg CO2 - e / GJ) CO2]),0)</f>
        <v>69.900000000000006</v>
      </c>
      <c r="I33" s="31">
        <f>IFERROR(_xlfn.XLOOKUP($E33, Table_Fuel_EFs_StationaryLiquid[Fuel combusted], Table_Fuel_EFs_StationaryLiquid[Scope 1 Emission Factor (kg CO2 - e / GJ) CH4]),0)</f>
        <v>0.1</v>
      </c>
      <c r="J33" s="31">
        <f>IFERROR(_xlfn.XLOOKUP($E33, Table_Fuel_EFs_StationaryLiquid[Fuel combusted], Table_Fuel_EFs_StationaryLiquid[Scope 1 Emission Factor (kg CO2 - e / GJ) N2O]),0)</f>
        <v>0.2</v>
      </c>
      <c r="K33" s="31">
        <f>IFERROR(_xlfn.XLOOKUP($E33, Table_Fuel_EFs_StationaryLiquid[Fuel combusted], Table_Fuel_EFs_StationaryLiquid[Scope 3 Emission Factor (kg CO2 - e / GJ)]),0)</f>
        <v>17.3</v>
      </c>
      <c r="L33" s="31" cm="1">
        <f t="array" ref="L33">Fuel_InputFunctions.Fuel_TotalConsumption(Table_Input_Fuel[Amount consumed], Table_Input_Fuel[Fuel use (select)], D33, Table_Input_Fuel[Fuel type (select)],F33)</f>
        <v>0</v>
      </c>
      <c r="M33" s="31" t="str" cm="1">
        <f t="array" ref="M33">Common_InputFunctions.Utility_LookupValueInTable(F33,Table_FuelTypes_Units[Fuel type],Table_FuelTypes_Units[Unit])</f>
        <v>kL</v>
      </c>
      <c r="N33" s="109">
        <f>((($L33 * $G33 * H33) * 10 ^ -3))</f>
        <v>0</v>
      </c>
      <c r="O33" s="109">
        <f>((($L33 * $G33 * I33) * 10 ^ -3))</f>
        <v>0</v>
      </c>
      <c r="P33" s="109">
        <f>((($L33 * $G33 * J33) * 10 ^ -3))</f>
        <v>0</v>
      </c>
      <c r="Q33" s="109">
        <f>((($L33 * $G33 * ((IF(ISNUMBER(K33), K33, 0)))) * 10 ^ -3))</f>
        <v>0</v>
      </c>
    </row>
    <row r="34" spans="1:17" ht="20.100000000000001" customHeight="1" x14ac:dyDescent="0.25">
      <c r="D34" s="88" t="str">
        <f t="shared" si="1"/>
        <v>Power standalone machinery or heating</v>
      </c>
      <c r="E34" s="87" t="str">
        <f>'Constants - Fuel'!$D$67</f>
        <v>Liquefied petroleum gas (LPG)</v>
      </c>
      <c r="F34" s="87" t="str">
        <f>'Constants - Fuel'!E133</f>
        <v>Liquefied petroleum gas (LPG)</v>
      </c>
      <c r="G34" s="31">
        <f>IFERROR(_xlfn.XLOOKUP($E34, Table_Fuel_EFs_StationaryLiquid[Fuel combusted], Table_Fuel_EFs_StationaryLiquid[Energy Content Factor (GJ per unit of fuel)]),0)</f>
        <v>25.7</v>
      </c>
      <c r="H34" s="31">
        <f>IFERROR(_xlfn.XLOOKUP($E34, Table_Fuel_EFs_StationaryLiquid[Fuel combusted], Table_Fuel_EFs_StationaryLiquid[Scope 1 Emission Factor (kg CO2 - e / GJ) CO2]),0)</f>
        <v>60.2</v>
      </c>
      <c r="I34" s="31">
        <f>IFERROR(_xlfn.XLOOKUP($E34, Table_Fuel_EFs_StationaryLiquid[Fuel combusted], Table_Fuel_EFs_StationaryLiquid[Scope 1 Emission Factor (kg CO2 - e / GJ) CH4]),0)</f>
        <v>0.2</v>
      </c>
      <c r="J34" s="31">
        <f>IFERROR(_xlfn.XLOOKUP($E34, Table_Fuel_EFs_StationaryLiquid[Fuel combusted], Table_Fuel_EFs_StationaryLiquid[Scope 1 Emission Factor (kg CO2 - e / GJ) N2O]),0)</f>
        <v>0.2</v>
      </c>
      <c r="K34" s="31">
        <f>IFERROR(_xlfn.XLOOKUP($E34, Table_Fuel_EFs_StationaryLiquid[Fuel combusted], Table_Fuel_EFs_StationaryLiquid[Scope 3 Emission Factor (kg CO2 - e / GJ)]),0)</f>
        <v>20.2</v>
      </c>
      <c r="L34" s="31" cm="1">
        <f t="array" ref="L34">Fuel_InputFunctions.Fuel_TotalConsumption(Table_Input_Fuel[Amount consumed], Table_Input_Fuel[Fuel use (select)], D34, Table_Input_Fuel[Fuel type (select)],F34)</f>
        <v>0</v>
      </c>
      <c r="M34" s="31" t="str" cm="1">
        <f t="array" ref="M34">Common_InputFunctions.Utility_LookupValueInTable(F34,Table_FuelTypes_Units[Fuel type],Table_FuelTypes_Units[Unit])</f>
        <v>kL</v>
      </c>
      <c r="N34" s="109">
        <f>((($L34 * $G34 * H34) * 10 ^ -3))</f>
        <v>0</v>
      </c>
      <c r="O34" s="109">
        <f>((($L34 * $G34 * I34) * 10 ^ -3))</f>
        <v>0</v>
      </c>
      <c r="P34" s="109">
        <f>((($L34 * $G34 * J34) * 10 ^ -3))</f>
        <v>0</v>
      </c>
      <c r="Q34" s="109">
        <f>((($L34 * $G34 * ((IF(ISNUMBER(K34), K34, 0)))) * 10 ^ -3))</f>
        <v>0</v>
      </c>
    </row>
    <row r="35" spans="1:17" ht="20.100000000000001" customHeight="1" x14ac:dyDescent="0.25">
      <c r="D35" s="88" t="str">
        <f t="shared" si="1"/>
        <v>Power standalone machinery or heating</v>
      </c>
      <c r="E35" s="87" t="str">
        <f>'Constants - Fuel'!$D$73</f>
        <v>Biodiesel</v>
      </c>
      <c r="F35" s="87" t="str">
        <f>'Constants - Fuel'!E134</f>
        <v>Biodiesel</v>
      </c>
      <c r="G35" s="31">
        <f>IFERROR(_xlfn.XLOOKUP($E35, Table_Fuel_EFs_StationaryLiquid[Fuel combusted], Table_Fuel_EFs_StationaryLiquid[Energy Content Factor (GJ per unit of fuel)]),0)</f>
        <v>34.6</v>
      </c>
      <c r="H35" s="31">
        <f>IFERROR(_xlfn.XLOOKUP($E35, Table_Fuel_EFs_StationaryLiquid[Fuel combusted], Table_Fuel_EFs_StationaryLiquid[Scope 1 Emission Factor (kg CO2 - e / GJ) CO2]),0)</f>
        <v>0</v>
      </c>
      <c r="I35" s="31">
        <f>IFERROR(_xlfn.XLOOKUP($E35, Table_Fuel_EFs_StationaryLiquid[Fuel combusted], Table_Fuel_EFs_StationaryLiquid[Scope 1 Emission Factor (kg CO2 - e / GJ) CH4]),0)</f>
        <v>0.08</v>
      </c>
      <c r="J35" s="31">
        <f>IFERROR(_xlfn.XLOOKUP($E35, Table_Fuel_EFs_StationaryLiquid[Fuel combusted], Table_Fuel_EFs_StationaryLiquid[Scope 1 Emission Factor (kg CO2 - e / GJ) N2O]),0)</f>
        <v>0.2</v>
      </c>
      <c r="K35" s="31" t="str">
        <f>IFERROR(_xlfn.XLOOKUP($E35, Table_Fuel_EFs_StationaryLiquid[Fuel combusted], Table_Fuel_EFs_StationaryLiquid[Scope 3 Emission Factor (kg CO2 - e / GJ)]),0)</f>
        <v>NE</v>
      </c>
      <c r="L35" s="31" cm="1">
        <f t="array" ref="L35">Fuel_InputFunctions.Fuel_TotalConsumption(Table_Input_Fuel[Amount consumed], Table_Input_Fuel[Fuel use (select)], D35, Table_Input_Fuel[Fuel type (select)],F35)</f>
        <v>0</v>
      </c>
      <c r="M35" s="31" t="str" cm="1">
        <f t="array" ref="M35">Common_InputFunctions.Utility_LookupValueInTable(F35,Table_FuelTypes_Units[Fuel type],Table_FuelTypes_Units[Unit])</f>
        <v>kL</v>
      </c>
      <c r="N35" s="109">
        <f>((($L35 * $G35 * H35) * 10 ^ -3))</f>
        <v>0</v>
      </c>
      <c r="O35" s="109">
        <f>((($L35 * $G35 * I35) * 10 ^ -3))</f>
        <v>0</v>
      </c>
      <c r="P35" s="109">
        <f>((($L35 * $G35 * J35) * 10 ^ -3))</f>
        <v>0</v>
      </c>
      <c r="Q35" s="109">
        <f>((($L35 * $G35 * ((IF(ISNUMBER(K35), K35, 0)))) * 10 ^ -3))</f>
        <v>0</v>
      </c>
    </row>
    <row r="36" spans="1:17" ht="20.100000000000001" customHeight="1" x14ac:dyDescent="0.25">
      <c r="D36" s="88" t="str">
        <f t="shared" si="1"/>
        <v>Power standalone machinery or heating</v>
      </c>
      <c r="E36" s="87" t="str">
        <f>'Constants - Fuel'!$D$74</f>
        <v>Ethanol for use as a fuel in an internal combustion engine</v>
      </c>
      <c r="F36" s="87" t="str">
        <f>'Constants - Fuel'!E135</f>
        <v>Ethanol</v>
      </c>
      <c r="G36" s="31">
        <f>IFERROR(_xlfn.XLOOKUP($E36, Table_Fuel_EFs_StationaryLiquid[Fuel combusted], Table_Fuel_EFs_StationaryLiquid[Energy Content Factor (GJ per unit of fuel)]),0)</f>
        <v>23.4</v>
      </c>
      <c r="H36" s="31">
        <f>IFERROR(_xlfn.XLOOKUP($E36, Table_Fuel_EFs_StationaryLiquid[Fuel combusted], Table_Fuel_EFs_StationaryLiquid[Scope 1 Emission Factor (kg CO2 - e / GJ) CO2]),0)</f>
        <v>0</v>
      </c>
      <c r="I36" s="31">
        <f>IFERROR(_xlfn.XLOOKUP($E36, Table_Fuel_EFs_StationaryLiquid[Fuel combusted], Table_Fuel_EFs_StationaryLiquid[Scope 1 Emission Factor (kg CO2 - e / GJ) CH4]),0)</f>
        <v>0.08</v>
      </c>
      <c r="J36" s="31">
        <f>IFERROR(_xlfn.XLOOKUP($E36, Table_Fuel_EFs_StationaryLiquid[Fuel combusted], Table_Fuel_EFs_StationaryLiquid[Scope 1 Emission Factor (kg CO2 - e / GJ) N2O]),0)</f>
        <v>0.2</v>
      </c>
      <c r="K36" s="31" t="str">
        <f>IFERROR(_xlfn.XLOOKUP($E36, Table_Fuel_EFs_StationaryLiquid[Fuel combusted], Table_Fuel_EFs_StationaryLiquid[Scope 3 Emission Factor (kg CO2 - e / GJ)]),0)</f>
        <v>NE</v>
      </c>
      <c r="L36" s="31" cm="1">
        <f t="array" ref="L36">Fuel_InputFunctions.Fuel_TotalConsumption(Table_Input_Fuel[Amount consumed], Table_Input_Fuel[Fuel use (select)], D36, Table_Input_Fuel[Fuel type (select)],F36)</f>
        <v>0</v>
      </c>
      <c r="M36" s="31" t="str" cm="1">
        <f t="array" ref="M36">Common_InputFunctions.Utility_LookupValueInTable(F36,Table_FuelTypes_Units[Fuel type],Table_FuelTypes_Units[Unit])</f>
        <v>kL</v>
      </c>
      <c r="N36" s="109">
        <f>((($L36 * $G36 * H36) * 10 ^ -3))</f>
        <v>0</v>
      </c>
      <c r="O36" s="109">
        <f>((($L36 * $G36 * I36) * 10 ^ -3))</f>
        <v>0</v>
      </c>
      <c r="P36" s="109">
        <f>((($L36 * $G36 * J36) * 10 ^ -3))</f>
        <v>0</v>
      </c>
      <c r="Q36" s="109">
        <f>((($L36 * $G36 * ((IF(ISNUMBER(K36), K36, 0)))) * 10 ^ -3))</f>
        <v>0</v>
      </c>
    </row>
    <row r="37" spans="1:17" ht="20.100000000000001" customHeight="1" x14ac:dyDescent="0.25">
      <c r="D37" s="88" t="str">
        <f t="shared" si="1"/>
        <v>Power standalone machinery or heating</v>
      </c>
      <c r="E37" s="87" t="str">
        <f>'Constants - Fuel'!$D$75</f>
        <v>Biofuels other than those mentioned in the items above and below</v>
      </c>
      <c r="F37" s="87" t="str">
        <f>'Constants - Fuel'!E136</f>
        <v>Other biofuels</v>
      </c>
      <c r="G37" s="31">
        <f>IFERROR(_xlfn.XLOOKUP($E37, Table_Fuel_EFs_StationaryLiquid[Fuel combusted], Table_Fuel_EFs_StationaryLiquid[Energy Content Factor (GJ per unit of fuel)]),0)</f>
        <v>23.4</v>
      </c>
      <c r="H37" s="31">
        <f>IFERROR(_xlfn.XLOOKUP($E37, Table_Fuel_EFs_StationaryLiquid[Fuel combusted], Table_Fuel_EFs_StationaryLiquid[Scope 1 Emission Factor (kg CO2 - e / GJ) CO2]),0)</f>
        <v>0</v>
      </c>
      <c r="I37" s="31">
        <f>IFERROR(_xlfn.XLOOKUP($E37, Table_Fuel_EFs_StationaryLiquid[Fuel combusted], Table_Fuel_EFs_StationaryLiquid[Scope 1 Emission Factor (kg CO2 - e / GJ) CH4]),0)</f>
        <v>0.08</v>
      </c>
      <c r="J37" s="31">
        <f>IFERROR(_xlfn.XLOOKUP($E37, Table_Fuel_EFs_StationaryLiquid[Fuel combusted], Table_Fuel_EFs_StationaryLiquid[Scope 1 Emission Factor (kg CO2 - e / GJ) N2O]),0)</f>
        <v>0.2</v>
      </c>
      <c r="K37" s="31" t="str">
        <f>IFERROR(_xlfn.XLOOKUP($E37, Table_Fuel_EFs_StationaryLiquid[Fuel combusted], Table_Fuel_EFs_StationaryLiquid[Scope 3 Emission Factor (kg CO2 - e / GJ)]),0)</f>
        <v>NE</v>
      </c>
      <c r="L37" s="31" cm="1">
        <f t="array" ref="L37">Fuel_InputFunctions.Fuel_TotalConsumption(Table_Input_Fuel[Amount consumed], Table_Input_Fuel[Fuel use (select)], D37, Table_Input_Fuel[Fuel type (select)],F37)</f>
        <v>0</v>
      </c>
      <c r="M37" s="31" t="str" cm="1">
        <f t="array" ref="M37">Common_InputFunctions.Utility_LookupValueInTable(F37,Table_FuelTypes_Units[Fuel type],Table_FuelTypes_Units[Unit])</f>
        <v>kL</v>
      </c>
      <c r="N37" s="109">
        <f>((($L37 * $G37 * H37) * 10 ^ -3))</f>
        <v>0</v>
      </c>
      <c r="O37" s="109">
        <f>((($L37 * $G37 * I37) * 10 ^ -3))</f>
        <v>0</v>
      </c>
      <c r="P37" s="109">
        <f>((($L37 * $G37 * J37) * 10 ^ -3))</f>
        <v>0</v>
      </c>
      <c r="Q37" s="109">
        <f>((($L37 * $G37 * ((IF(ISNUMBER(K37), K37, 0)))) * 10 ^ -3))</f>
        <v>0</v>
      </c>
    </row>
    <row r="38" spans="1:17" ht="20.100000000000001" customHeight="1" x14ac:dyDescent="0.25">
      <c r="A38" s="63" t="str">
        <f>HYPERLINK("#A1", "▲ Back to top")</f>
        <v>▲ Back to top</v>
      </c>
      <c r="D38" s="88" t="str">
        <f t="shared" si="1"/>
        <v>Power standalone machinery or heating</v>
      </c>
      <c r="E38" s="87" t="str">
        <f>'Constants - Fuel'!$D$77</f>
        <v>Renewable diesel</v>
      </c>
      <c r="F38" s="87" t="str">
        <f>'Constants - Fuel'!E137</f>
        <v>Renewable diesel</v>
      </c>
      <c r="G38" s="31">
        <f>IFERROR(_xlfn.XLOOKUP($E38, Table_Fuel_EFs_StationaryLiquid[Fuel combusted], Table_Fuel_EFs_StationaryLiquid[Energy Content Factor (GJ per unit of fuel)]),0)</f>
        <v>38.6</v>
      </c>
      <c r="H38" s="31">
        <f>IFERROR(_xlfn.XLOOKUP($E38, Table_Fuel_EFs_StationaryLiquid[Fuel combusted], Table_Fuel_EFs_StationaryLiquid[Scope 1 Emission Factor (kg CO2 - e / GJ) CO2]),0)</f>
        <v>0</v>
      </c>
      <c r="I38" s="31">
        <f>IFERROR(_xlfn.XLOOKUP($E38, Table_Fuel_EFs_StationaryLiquid[Fuel combusted], Table_Fuel_EFs_StationaryLiquid[Scope 1 Emission Factor (kg CO2 - e / GJ) CH4]),0)</f>
        <v>0.1</v>
      </c>
      <c r="J38" s="31">
        <f>IFERROR(_xlfn.XLOOKUP($E38, Table_Fuel_EFs_StationaryLiquid[Fuel combusted], Table_Fuel_EFs_StationaryLiquid[Scope 1 Emission Factor (kg CO2 - e / GJ) N2O]),0)</f>
        <v>0.2</v>
      </c>
      <c r="K38" s="31" t="str">
        <f>IFERROR(_xlfn.XLOOKUP($E38, Table_Fuel_EFs_StationaryLiquid[Fuel combusted], Table_Fuel_EFs_StationaryLiquid[Scope 3 Emission Factor (kg CO2 - e / GJ)]),0)</f>
        <v>NE</v>
      </c>
      <c r="L38" s="31" cm="1">
        <f t="array" ref="L38">Fuel_InputFunctions.Fuel_TotalConsumption(Table_Input_Fuel[Amount consumed], Table_Input_Fuel[Fuel use (select)], D38, Table_Input_Fuel[Fuel type (select)],F38)</f>
        <v>0</v>
      </c>
      <c r="M38" s="31" t="str" cm="1">
        <f t="array" ref="M38">Common_InputFunctions.Utility_LookupValueInTable(F38,Table_FuelTypes_Units[Fuel type],Table_FuelTypes_Units[Unit])</f>
        <v>kL</v>
      </c>
      <c r="N38" s="109">
        <f>((($L38 * $G38 * H38) * 10 ^ -3))</f>
        <v>0</v>
      </c>
      <c r="O38" s="109">
        <f>((($L38 * $G38 * I38) * 10 ^ -3))</f>
        <v>0</v>
      </c>
      <c r="P38" s="109">
        <f>((($L38 * $G38 * J38) * 10 ^ -3))</f>
        <v>0</v>
      </c>
      <c r="Q38" s="109">
        <f>((($L38 * $G38 * ((IF(ISNUMBER(K38), K38, 0)))) * 10 ^ -3))</f>
        <v>0</v>
      </c>
    </row>
    <row r="39" spans="1:17" ht="20.100000000000001" customHeight="1" x14ac:dyDescent="0.25">
      <c r="D39" s="88" t="str">
        <f t="shared" si="1"/>
        <v>Power standalone machinery or heating</v>
      </c>
      <c r="E39" s="87" t="str">
        <f>'Constants - Fuel'!$D$103</f>
        <v>Natural gas distributed in a pipeline - Gigajoules</v>
      </c>
      <c r="F39" s="87" t="str">
        <f>'Constants - Fuel'!E138</f>
        <v>Natural gas (via pipeline) in GJ</v>
      </c>
      <c r="G39" s="31">
        <f>IFERROR(_xlfn.XLOOKUP($E39, Table_Fuel_EFs_StationaryGaseous[Fuel combusted], Table_Fuel_EFs_StationaryGaseous[Energy Content Factor (GJ per unit of fuel)]),0)</f>
        <v>1</v>
      </c>
      <c r="H39" s="31">
        <f>IFERROR(_xlfn.XLOOKUP($E39, Table_Fuel_EFs_StationaryGaseous[Fuel combusted], Table_Fuel_EFs_StationaryGaseous[Scope 1 Emission Factor (kg CO2 - e / GJ) CO2]),0)</f>
        <v>51.4</v>
      </c>
      <c r="I39" s="31">
        <f>IFERROR(_xlfn.XLOOKUP($E39, Table_Fuel_EFs_StationaryGaseous[Fuel combusted], Table_Fuel_EFs_StationaryGaseous[Scope 1 Emission Factor (kg CO2 - e / GJ) CH4]),0)</f>
        <v>0.1</v>
      </c>
      <c r="J39" s="31">
        <f>IFERROR(_xlfn.XLOOKUP($E39, Table_Fuel_EFs_StationaryGaseous[Fuel combusted], Table_Fuel_EFs_StationaryGaseous[Scope 1 Emission Factor (kg CO2 - e / GJ) N2O]),0)</f>
        <v>0.03</v>
      </c>
      <c r="K39" s="31" cm="1">
        <f t="array" ref="K39">IFERROR(Common_InputFunctions.Utility_LookupValueInTableOneColumnAndHeader($P$17,$P$18,Table_Fuel_EFs_StationaryGaseous34[State or territory],Table_Fuel_EFs_StationaryGaseous34[#Headers],Table_Fuel_EFs_StationaryGaseous34[]),0)</f>
        <v>4.0999999999999996</v>
      </c>
      <c r="L39" s="64" cm="1">
        <f t="array" ref="L39">Fuel_InputFunctions.Fuel_TotalConsumption(Table_Input_Fuel[Amount consumed], Table_Input_Fuel[Fuel use (select)], D39, Table_Input_Fuel[Fuel type (select)],F39)</f>
        <v>0</v>
      </c>
      <c r="M39" s="64" t="str" cm="1">
        <f t="array" ref="M39">Common_InputFunctions.Utility_LookupValueInTable(F39,Table_FuelTypes_Units[Fuel type],Table_FuelTypes_Units[Unit])</f>
        <v>GJ</v>
      </c>
      <c r="N39" s="109">
        <f>((($L39 * $G39 * H39) * 10 ^ -3))</f>
        <v>0</v>
      </c>
      <c r="O39" s="109">
        <f>((($L39 * $G39 * I39) * 10 ^ -3))</f>
        <v>0</v>
      </c>
      <c r="P39" s="109">
        <f>((($L39 * $G39 * J39) * 10 ^ -3))</f>
        <v>0</v>
      </c>
      <c r="Q39" s="109">
        <f>((($L39 * $G39 * ((IF(ISNUMBER(K39), K39, 0)))) * 10 ^ -3))</f>
        <v>0</v>
      </c>
    </row>
    <row r="40" spans="1:17" ht="20.100000000000001" customHeight="1" x14ac:dyDescent="0.25">
      <c r="D40" s="88" t="str">
        <f t="shared" si="1"/>
        <v>Power standalone machinery or heating</v>
      </c>
      <c r="E40" s="87" t="str">
        <f>'Constants - Fuel'!$D$104</f>
        <v>Town gas - Gigajoules</v>
      </c>
      <c r="F40" s="87" t="str">
        <f>'Constants - Fuel'!E139</f>
        <v>Town gas in GJ</v>
      </c>
      <c r="G40" s="31">
        <f>IFERROR(_xlfn.XLOOKUP($E40, Table_Fuel_EFs_StationaryGaseous[Fuel combusted], Table_Fuel_EFs_StationaryGaseous[Energy Content Factor (GJ per unit of fuel)]),0)</f>
        <v>1</v>
      </c>
      <c r="H40" s="31">
        <f>IFERROR(_xlfn.XLOOKUP($E40, Table_Fuel_EFs_StationaryGaseous[Fuel combusted], Table_Fuel_EFs_StationaryGaseous[Scope 1 Emission Factor (kg CO2 - e / GJ) CO2]),0)</f>
        <v>60.2</v>
      </c>
      <c r="I40" s="31">
        <f>IFERROR(_xlfn.XLOOKUP($E40, Table_Fuel_EFs_StationaryGaseous[Fuel combusted], Table_Fuel_EFs_StationaryGaseous[Scope 1 Emission Factor (kg CO2 - e / GJ) CH4]),0)</f>
        <v>0.04</v>
      </c>
      <c r="J40" s="31">
        <f>IFERROR(_xlfn.XLOOKUP($E40, Table_Fuel_EFs_StationaryGaseous[Fuel combusted], Table_Fuel_EFs_StationaryGaseous[Scope 1 Emission Factor (kg CO2 - e / GJ) N2O]),0)</f>
        <v>0.03</v>
      </c>
      <c r="K40" s="31" cm="1">
        <f t="array" ref="K40">IFERROR(Common_InputFunctions.Utility_LookupValueInTableOneColumnAndHeader($P$17,$P$18,Table_Fuel_EFs_StationaryGaseous34[State or territory],Table_Fuel_EFs_StationaryGaseous34[#Headers],Table_Fuel_EFs_StationaryGaseous34[]),0)</f>
        <v>4.0999999999999996</v>
      </c>
      <c r="L40" s="64" cm="1">
        <f t="array" ref="L40">Fuel_InputFunctions.Fuel_TotalConsumption(Table_Input_Fuel[Amount consumed], Table_Input_Fuel[Fuel use (select)], D40, Table_Input_Fuel[Fuel type (select)],F40)</f>
        <v>0.1</v>
      </c>
      <c r="M40" s="64" t="str" cm="1">
        <f t="array" ref="M40">Common_InputFunctions.Utility_LookupValueInTable(F40,Table_FuelTypes_Units[Fuel type],Table_FuelTypes_Units[Unit])</f>
        <v>GJ</v>
      </c>
      <c r="N40" s="109">
        <f>((($L40 * $G40 * H40) * 10 ^ -3))</f>
        <v>6.0200000000000002E-3</v>
      </c>
      <c r="O40" s="109">
        <f>((($L40 * $G40 * I40) * 10 ^ -3))</f>
        <v>3.9999999999999998E-6</v>
      </c>
      <c r="P40" s="109">
        <f>((($L40 * $G40 * J40) * 10 ^ -3))</f>
        <v>3.0000000000000001E-6</v>
      </c>
      <c r="Q40" s="109">
        <f>((($L40 * $G40 * ((IF(ISNUMBER(K40), K40, 0)))) * 10 ^ -3))</f>
        <v>4.0999999999999999E-4</v>
      </c>
    </row>
    <row r="41" spans="1:17" ht="20.100000000000001" customHeight="1" x14ac:dyDescent="0.25"/>
    <row r="42" spans="1:17" ht="20.100000000000001" customHeight="1" x14ac:dyDescent="0.25">
      <c r="D42" s="94" t="str">
        <f>"Total scope 1 - " &amp; D25</f>
        <v>Total scope 1 - Generators</v>
      </c>
      <c r="E42" s="95"/>
      <c r="F42" s="96"/>
    </row>
    <row r="43" spans="1:17" ht="20.100000000000001" customHeight="1" x14ac:dyDescent="0.25">
      <c r="D43" s="3" t="s">
        <v>156</v>
      </c>
      <c r="E43" s="105">
        <f>SUM(N25:N31)</f>
        <v>0</v>
      </c>
      <c r="F43" s="2" t="str">
        <f>$E$12</f>
        <v>t CO2-e</v>
      </c>
    </row>
    <row r="44" spans="1:17" ht="20.100000000000001" customHeight="1" x14ac:dyDescent="0.25">
      <c r="D44" s="3" t="s">
        <v>157</v>
      </c>
      <c r="E44" s="105">
        <f>SUM(O25:O31)</f>
        <v>0</v>
      </c>
      <c r="F44" s="2" t="str">
        <f t="shared" ref="F44:F46" si="2">$E$12</f>
        <v>t CO2-e</v>
      </c>
    </row>
    <row r="45" spans="1:17" ht="20.100000000000001" customHeight="1" x14ac:dyDescent="0.25">
      <c r="D45" s="3" t="s">
        <v>158</v>
      </c>
      <c r="E45" s="105">
        <f>SUM(P25:P31)</f>
        <v>0</v>
      </c>
      <c r="F45" s="2" t="str">
        <f t="shared" si="2"/>
        <v>t CO2-e</v>
      </c>
    </row>
    <row r="46" spans="1:17" ht="20.100000000000001" customHeight="1" x14ac:dyDescent="0.25">
      <c r="D46" s="3" t="s">
        <v>181</v>
      </c>
      <c r="E46" s="105">
        <f>SUM(Q25:Q31)</f>
        <v>0</v>
      </c>
      <c r="F46" s="2" t="str">
        <f t="shared" si="2"/>
        <v>t CO2-e</v>
      </c>
    </row>
    <row r="47" spans="1:17" ht="20.100000000000001" customHeight="1" x14ac:dyDescent="0.25">
      <c r="H47" s="52"/>
      <c r="I47" s="52"/>
      <c r="J47" s="52"/>
      <c r="L47" s="52"/>
      <c r="N47" s="52"/>
      <c r="O47" s="52"/>
      <c r="P47" s="52"/>
      <c r="Q47" s="52"/>
    </row>
    <row r="48" spans="1:17" ht="20.100000000000001" customHeight="1" x14ac:dyDescent="0.25">
      <c r="D48" s="94" t="str">
        <f>"Total scope 1 - " &amp; D32</f>
        <v>Total scope 1 - Power standalone machinery or heating</v>
      </c>
      <c r="E48" s="97"/>
      <c r="F48" s="96"/>
      <c r="H48" s="52"/>
      <c r="I48" s="52"/>
      <c r="J48" s="52"/>
      <c r="L48" s="52"/>
      <c r="N48" s="52"/>
      <c r="O48" s="52"/>
      <c r="P48" s="52"/>
      <c r="Q48" s="52"/>
    </row>
    <row r="49" spans="4:17" ht="20.100000000000001" customHeight="1" x14ac:dyDescent="0.25">
      <c r="D49" s="3" t="s">
        <v>156</v>
      </c>
      <c r="E49" s="105">
        <f>SUM(N32:N40)</f>
        <v>6.0200000000000002E-3</v>
      </c>
      <c r="F49" s="2" t="str">
        <f t="shared" ref="F49:F52" si="3">$E$12</f>
        <v>t CO2-e</v>
      </c>
      <c r="H49" s="52"/>
      <c r="I49" s="52"/>
      <c r="J49" s="52"/>
      <c r="L49" s="52"/>
      <c r="N49" s="52"/>
      <c r="O49" s="52"/>
      <c r="P49" s="52"/>
      <c r="Q49" s="52"/>
    </row>
    <row r="50" spans="4:17" ht="20.100000000000001" customHeight="1" x14ac:dyDescent="0.25">
      <c r="D50" s="3" t="s">
        <v>157</v>
      </c>
      <c r="E50" s="105">
        <f>SUM(O32:O40)</f>
        <v>3.9999999999999998E-6</v>
      </c>
      <c r="F50" s="2" t="str">
        <f t="shared" si="3"/>
        <v>t CO2-e</v>
      </c>
      <c r="H50" s="52"/>
      <c r="I50" s="52"/>
      <c r="J50" s="52"/>
      <c r="L50" s="52"/>
      <c r="N50" s="52"/>
      <c r="O50" s="52"/>
      <c r="P50" s="52"/>
      <c r="Q50" s="52"/>
    </row>
    <row r="51" spans="4:17" ht="20.100000000000001" customHeight="1" x14ac:dyDescent="0.25">
      <c r="D51" s="3" t="s">
        <v>158</v>
      </c>
      <c r="E51" s="105">
        <f>SUM(P32:P40)</f>
        <v>3.0000000000000001E-6</v>
      </c>
      <c r="F51" s="2" t="str">
        <f t="shared" si="3"/>
        <v>t CO2-e</v>
      </c>
      <c r="H51" s="52"/>
      <c r="I51" s="52"/>
      <c r="J51" s="52"/>
      <c r="L51" s="52"/>
      <c r="N51" s="52"/>
      <c r="O51" s="52"/>
      <c r="P51" s="52"/>
      <c r="Q51" s="52"/>
    </row>
    <row r="52" spans="4:17" ht="20.100000000000001" customHeight="1" x14ac:dyDescent="0.25">
      <c r="D52" s="3" t="s">
        <v>181</v>
      </c>
      <c r="E52" s="105">
        <f>SUM(Q32:Q40)</f>
        <v>4.0999999999999999E-4</v>
      </c>
      <c r="F52" s="2" t="str">
        <f t="shared" si="3"/>
        <v>t CO2-e</v>
      </c>
      <c r="G52" s="52"/>
      <c r="H52" s="52"/>
      <c r="I52" s="52"/>
      <c r="J52" s="52"/>
      <c r="L52" s="52"/>
      <c r="N52" s="52"/>
      <c r="O52" s="52"/>
      <c r="P52" s="52"/>
      <c r="Q52" s="52"/>
    </row>
    <row r="53" spans="4:17" ht="20.100000000000001" customHeight="1" x14ac:dyDescent="0.25">
      <c r="G53" s="52"/>
      <c r="H53" s="52"/>
      <c r="I53" s="52"/>
      <c r="J53" s="52"/>
      <c r="L53" s="52"/>
      <c r="N53" s="52"/>
      <c r="O53" s="52"/>
      <c r="P53" s="52"/>
      <c r="Q53" s="52"/>
    </row>
    <row r="54" spans="4:17" ht="20.100000000000001" customHeight="1" x14ac:dyDescent="0.25">
      <c r="D54" s="94" t="s">
        <v>175</v>
      </c>
      <c r="E54" s="97"/>
      <c r="F54" s="96"/>
      <c r="G54" s="52"/>
      <c r="H54" s="52"/>
      <c r="I54" s="52"/>
      <c r="J54" s="52"/>
      <c r="L54" s="52"/>
      <c r="N54" s="52"/>
      <c r="O54" s="52"/>
      <c r="P54" s="52"/>
      <c r="Q54" s="52"/>
    </row>
    <row r="55" spans="4:17" ht="20.100000000000001" customHeight="1" x14ac:dyDescent="0.25">
      <c r="D55" s="3" t="s">
        <v>156</v>
      </c>
      <c r="E55" s="105">
        <f>E43+E49</f>
        <v>6.0200000000000002E-3</v>
      </c>
      <c r="F55" s="2" t="str">
        <f t="shared" ref="F55:F58" si="4">$E$12</f>
        <v>t CO2-e</v>
      </c>
      <c r="G55" s="52"/>
      <c r="H55" s="52"/>
      <c r="I55" s="52"/>
      <c r="J55" s="52"/>
      <c r="L55" s="52"/>
      <c r="N55" s="52"/>
      <c r="O55" s="52"/>
      <c r="P55" s="52"/>
      <c r="Q55" s="52"/>
    </row>
    <row r="56" spans="4:17" ht="20.100000000000001" customHeight="1" x14ac:dyDescent="0.25">
      <c r="D56" s="3" t="s">
        <v>157</v>
      </c>
      <c r="E56" s="105">
        <f>E44+E50</f>
        <v>3.9999999999999998E-6</v>
      </c>
      <c r="F56" s="2" t="str">
        <f t="shared" si="4"/>
        <v>t CO2-e</v>
      </c>
    </row>
    <row r="57" spans="4:17" ht="20.100000000000001" customHeight="1" x14ac:dyDescent="0.25">
      <c r="D57" s="3" t="s">
        <v>158</v>
      </c>
      <c r="E57" s="105">
        <f>E45+E51</f>
        <v>3.0000000000000001E-6</v>
      </c>
      <c r="F57" s="2" t="str">
        <f t="shared" si="4"/>
        <v>t CO2-e</v>
      </c>
      <c r="G57" s="52"/>
      <c r="H57" s="52"/>
      <c r="I57" s="52"/>
      <c r="J57" s="52"/>
      <c r="L57" s="52"/>
      <c r="N57" s="52"/>
      <c r="O57" s="52"/>
      <c r="P57" s="52"/>
      <c r="Q57" s="52"/>
    </row>
    <row r="58" spans="4:17" ht="20.100000000000001" customHeight="1" x14ac:dyDescent="0.25">
      <c r="D58" s="3" t="s">
        <v>181</v>
      </c>
      <c r="E58" s="105">
        <f>E46+E52</f>
        <v>4.0999999999999999E-4</v>
      </c>
      <c r="F58" s="2" t="str">
        <f t="shared" si="4"/>
        <v>t CO2-e</v>
      </c>
      <c r="G58" s="52"/>
      <c r="H58" s="52"/>
      <c r="I58" s="52"/>
      <c r="J58" s="52"/>
      <c r="L58" s="52"/>
      <c r="N58" s="52"/>
      <c r="O58" s="52"/>
      <c r="P58" s="52"/>
      <c r="Q58" s="52"/>
    </row>
    <row r="59" spans="4:17" ht="20.100000000000001" customHeight="1" x14ac:dyDescent="0.25">
      <c r="G59" s="52"/>
      <c r="H59" s="52"/>
      <c r="I59" s="52"/>
      <c r="J59" s="52"/>
      <c r="L59" s="52"/>
      <c r="N59" s="52"/>
      <c r="O59" s="52"/>
      <c r="P59" s="52"/>
      <c r="Q59" s="52"/>
    </row>
    <row r="60" spans="4:17" ht="20.100000000000001" customHeight="1" x14ac:dyDescent="0.25">
      <c r="G60" s="52"/>
      <c r="H60" s="52"/>
      <c r="I60" s="52"/>
      <c r="J60" s="52"/>
      <c r="L60" s="52"/>
      <c r="N60" s="52"/>
      <c r="O60" s="52"/>
      <c r="P60" s="52"/>
      <c r="Q60" s="52"/>
    </row>
    <row r="61" spans="4:17" ht="20.100000000000001" customHeight="1" x14ac:dyDescent="0.25">
      <c r="G61" s="52"/>
      <c r="H61" s="52"/>
      <c r="I61" s="52"/>
      <c r="J61" s="52"/>
      <c r="L61" s="52"/>
      <c r="N61" s="52"/>
      <c r="O61" s="52"/>
      <c r="P61" s="52"/>
      <c r="Q61" s="52"/>
    </row>
    <row r="62" spans="4:17" ht="20.100000000000001" customHeight="1" x14ac:dyDescent="0.25">
      <c r="G62" s="52"/>
      <c r="H62" s="52"/>
      <c r="I62" s="52"/>
      <c r="J62" s="52"/>
      <c r="L62" s="52"/>
      <c r="N62" s="52"/>
      <c r="O62" s="52"/>
      <c r="P62" s="52"/>
      <c r="Q62" s="52"/>
    </row>
    <row r="63" spans="4:17" ht="20.100000000000001" customHeight="1" x14ac:dyDescent="0.25">
      <c r="G63" s="52"/>
      <c r="H63" s="52"/>
      <c r="I63" s="52"/>
      <c r="J63" s="52"/>
      <c r="L63" s="52"/>
      <c r="N63" s="52"/>
      <c r="O63" s="52"/>
      <c r="P63" s="52"/>
      <c r="Q63" s="52"/>
    </row>
    <row r="64" spans="4:17" ht="20.100000000000001" customHeight="1" x14ac:dyDescent="0.25">
      <c r="G64" s="52"/>
      <c r="H64" s="52"/>
      <c r="I64" s="52"/>
      <c r="J64" s="52"/>
      <c r="L64" s="52"/>
      <c r="N64" s="52"/>
      <c r="O64" s="52"/>
      <c r="P64" s="52"/>
      <c r="Q64" s="52"/>
    </row>
    <row r="65" spans="1:17" ht="20.100000000000001" customHeight="1" x14ac:dyDescent="0.25">
      <c r="G65" s="52"/>
      <c r="H65" s="52"/>
      <c r="I65" s="52"/>
      <c r="J65" s="52"/>
      <c r="L65" s="52"/>
      <c r="N65" s="52"/>
      <c r="O65" s="52"/>
      <c r="P65" s="52"/>
      <c r="Q65" s="52"/>
    </row>
    <row r="66" spans="1:17" ht="20.100000000000001" customHeight="1" x14ac:dyDescent="0.25">
      <c r="G66" s="52"/>
      <c r="H66" s="52"/>
      <c r="I66" s="52"/>
      <c r="J66" s="52"/>
      <c r="L66" s="52"/>
      <c r="N66" s="52"/>
      <c r="O66" s="52"/>
      <c r="P66" s="52"/>
      <c r="Q66" s="52"/>
    </row>
    <row r="67" spans="1:17" ht="20.100000000000001" customHeight="1" x14ac:dyDescent="0.25">
      <c r="G67" s="52"/>
    </row>
    <row r="68" spans="1:17" ht="20.100000000000001" customHeight="1" x14ac:dyDescent="0.25">
      <c r="G68" s="52"/>
    </row>
    <row r="69" spans="1:17" ht="20.100000000000001" customHeight="1" x14ac:dyDescent="0.25">
      <c r="G69" s="52"/>
    </row>
    <row r="70" spans="1:17" ht="20.100000000000001" customHeight="1" x14ac:dyDescent="0.25">
      <c r="G70" s="52"/>
    </row>
    <row r="71" spans="1:17" ht="20.100000000000001" customHeight="1" x14ac:dyDescent="0.25">
      <c r="G71" s="52"/>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c r="A76" s="63" t="str">
        <f>HYPERLINK("#A1", "▲ Back to top")</f>
        <v>▲ Back to top</v>
      </c>
    </row>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09" zoomScaleNormal="100" workbookViewId="0">
      <selection activeCell="E30" sqref="E30"/>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8" t="e" vm="1">
        <v>#VALUE!</v>
      </c>
      <c r="C1" s="8" t="s">
        <v>110</v>
      </c>
      <c r="AG1"/>
      <c r="AH1"/>
      <c r="AI1"/>
    </row>
    <row r="2" spans="1:35" s="9" customFormat="1" ht="20.100000000000001" customHeight="1" x14ac:dyDescent="0.25">
      <c r="A2"/>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
        <v>264</v>
      </c>
      <c r="E5" s="52"/>
      <c r="F5" s="52"/>
      <c r="G5" s="52"/>
      <c r="H5" s="52"/>
      <c r="I5" s="52"/>
      <c r="J5" s="52"/>
      <c r="K5" s="52"/>
      <c r="L5" s="52"/>
    </row>
    <row r="6" spans="1:35" ht="20.100000000000001" customHeight="1" x14ac:dyDescent="0.25">
      <c r="A6" s="13"/>
      <c r="D6" s="1" t="s">
        <v>265</v>
      </c>
      <c r="E6" s="52"/>
      <c r="F6" s="52"/>
      <c r="G6" s="52"/>
      <c r="H6" s="52"/>
      <c r="I6" s="52"/>
      <c r="J6" s="52"/>
      <c r="K6" s="52"/>
      <c r="L6" s="52"/>
    </row>
    <row r="7" spans="1:35" ht="20.100000000000001" customHeight="1" x14ac:dyDescent="0.25">
      <c r="A7" s="17" t="s">
        <v>1</v>
      </c>
      <c r="D7" s="5" t="s">
        <v>266</v>
      </c>
      <c r="E7" s="52"/>
      <c r="F7" s="52"/>
      <c r="G7" s="52"/>
      <c r="H7" s="52"/>
      <c r="I7" s="52"/>
      <c r="J7" s="52"/>
      <c r="K7" s="52"/>
      <c r="L7" s="52"/>
    </row>
    <row r="8" spans="1:35" ht="20.100000000000001" customHeight="1" x14ac:dyDescent="0.25">
      <c r="A8" s="14" t="str">
        <f>HYPERLINK("#'Input - Fuel'!A1", "Fuel")</f>
        <v>Fuel</v>
      </c>
      <c r="D8" s="34" t="str" cm="1">
        <f t="array" ref="D8">"⚠️" &amp; Fuel_SourceData.Fuel_Scope1Scope3EmissionFactorsTransport_Variation()</f>
        <v>⚠️VARIATION OF SOURCE DATA: 'NE' values returned as zero for calculations.</v>
      </c>
      <c r="E8" s="52"/>
      <c r="F8" s="52"/>
      <c r="G8" s="52"/>
      <c r="H8" s="52"/>
      <c r="I8" s="52"/>
      <c r="J8" s="52"/>
      <c r="K8" s="52"/>
      <c r="L8" s="52"/>
    </row>
    <row r="9" spans="1:35" ht="20.100000000000001" customHeight="1" x14ac:dyDescent="0.25">
      <c r="A9" s="14"/>
      <c r="D9" s="75" t="s">
        <v>111</v>
      </c>
      <c r="E9" s="75" t="s">
        <v>112</v>
      </c>
      <c r="F9" s="75" t="s">
        <v>113</v>
      </c>
      <c r="G9" s="75" t="s">
        <v>114</v>
      </c>
      <c r="H9" s="75" t="s">
        <v>115</v>
      </c>
      <c r="I9" s="75" t="s">
        <v>116</v>
      </c>
      <c r="J9" s="75" t="s">
        <v>117</v>
      </c>
      <c r="K9" s="75" t="s">
        <v>118</v>
      </c>
      <c r="L9" s="75" t="s">
        <v>119</v>
      </c>
    </row>
    <row r="10" spans="1:35" ht="20.100000000000001" customHeight="1" x14ac:dyDescent="0.25">
      <c r="A10" s="16" t="s">
        <v>44</v>
      </c>
      <c r="D10" s="76" t="s">
        <v>103</v>
      </c>
      <c r="E10" s="76" t="s">
        <v>267</v>
      </c>
      <c r="F10" s="76">
        <v>34.200000000000003</v>
      </c>
      <c r="G10" s="76" t="s">
        <v>268</v>
      </c>
      <c r="H10" s="76">
        <v>67.400000000000006</v>
      </c>
      <c r="I10" s="76">
        <v>0.02</v>
      </c>
      <c r="J10" s="76">
        <v>0.2</v>
      </c>
      <c r="K10" s="76">
        <v>67.62</v>
      </c>
      <c r="L10" s="76">
        <v>17.2</v>
      </c>
    </row>
    <row r="11" spans="1:35" ht="20.100000000000001" customHeight="1" x14ac:dyDescent="0.25">
      <c r="A11" s="14" t="str">
        <f>HYPERLINK("#'8.1.1.1-2 Transport fuel'!A1", "8.1.1.1-2 Transport fuel")</f>
        <v>8.1.1.1-2 Transport fuel</v>
      </c>
      <c r="D11" s="76" t="s">
        <v>103</v>
      </c>
      <c r="E11" s="76" t="s">
        <v>269</v>
      </c>
      <c r="F11" s="76">
        <v>38.6</v>
      </c>
      <c r="G11" s="76" t="s">
        <v>268</v>
      </c>
      <c r="H11" s="76">
        <v>69.900000000000006</v>
      </c>
      <c r="I11" s="76">
        <v>0.01</v>
      </c>
      <c r="J11" s="76">
        <v>0.5</v>
      </c>
      <c r="K11" s="76">
        <v>70.41</v>
      </c>
      <c r="L11" s="76">
        <v>17.3</v>
      </c>
    </row>
    <row r="12" spans="1:35" ht="20.100000000000001" customHeight="1" x14ac:dyDescent="0.25">
      <c r="A12" s="14" t="str">
        <f>HYPERLINK("#'8.2.1.1-2 Stationary fuel'!A1", "8.2.1.1-2 Stationary fuel")</f>
        <v>8.2.1.1-2 Stationary fuel</v>
      </c>
      <c r="D12" s="76" t="s">
        <v>103</v>
      </c>
      <c r="E12" s="76" t="s">
        <v>105</v>
      </c>
      <c r="F12" s="76">
        <v>26.2</v>
      </c>
      <c r="G12" s="76" t="s">
        <v>268</v>
      </c>
      <c r="H12" s="76">
        <v>60.2</v>
      </c>
      <c r="I12" s="76">
        <v>0.5</v>
      </c>
      <c r="J12" s="76">
        <v>0.3</v>
      </c>
      <c r="K12" s="76">
        <v>61</v>
      </c>
      <c r="L12" s="76">
        <v>20.2</v>
      </c>
    </row>
    <row r="13" spans="1:35" ht="20.100000000000001" customHeight="1" x14ac:dyDescent="0.25">
      <c r="A13" s="14" t="str">
        <f>HYPERLINK("#'8.X.1.1-2 General use fuel'!A1", "8.X.1.1-2 General use fuel")</f>
        <v>8.X.1.1-2 General use fuel</v>
      </c>
      <c r="D13" s="76" t="s">
        <v>103</v>
      </c>
      <c r="E13" s="76" t="s">
        <v>134</v>
      </c>
      <c r="F13" s="76">
        <v>39.700000000000003</v>
      </c>
      <c r="G13" s="76" t="s">
        <v>268</v>
      </c>
      <c r="H13" s="76">
        <v>73.599999999999994</v>
      </c>
      <c r="I13" s="76">
        <v>0.08</v>
      </c>
      <c r="J13" s="76">
        <v>0.5</v>
      </c>
      <c r="K13" s="76">
        <v>74.180000000000007</v>
      </c>
      <c r="L13" s="76">
        <v>18</v>
      </c>
    </row>
    <row r="14" spans="1:35" ht="20.100000000000001" customHeight="1" x14ac:dyDescent="0.25">
      <c r="A14" s="14"/>
      <c r="D14" s="76" t="s">
        <v>103</v>
      </c>
      <c r="E14" s="76" t="s">
        <v>95</v>
      </c>
      <c r="F14" s="76">
        <v>23.4</v>
      </c>
      <c r="G14" s="76" t="s">
        <v>268</v>
      </c>
      <c r="H14" s="76">
        <v>0</v>
      </c>
      <c r="I14" s="76">
        <v>0.2</v>
      </c>
      <c r="J14" s="76">
        <v>0.2</v>
      </c>
      <c r="K14" s="76">
        <v>0.4</v>
      </c>
      <c r="L14" s="76" t="s">
        <v>270</v>
      </c>
    </row>
    <row r="15" spans="1:35" ht="20.100000000000001" customHeight="1" x14ac:dyDescent="0.25">
      <c r="A15" s="15" t="s">
        <v>2</v>
      </c>
      <c r="D15" s="76" t="s">
        <v>103</v>
      </c>
      <c r="E15" s="76" t="s">
        <v>124</v>
      </c>
      <c r="F15" s="76">
        <v>34.6</v>
      </c>
      <c r="G15" s="76" t="s">
        <v>268</v>
      </c>
      <c r="H15" s="76">
        <v>0</v>
      </c>
      <c r="I15" s="76">
        <v>0.8</v>
      </c>
      <c r="J15" s="76">
        <v>1.7</v>
      </c>
      <c r="K15" s="76">
        <v>2.5</v>
      </c>
      <c r="L15" s="76" t="s">
        <v>270</v>
      </c>
    </row>
    <row r="16" spans="1:35" ht="20.100000000000001" customHeight="1" x14ac:dyDescent="0.25">
      <c r="A16" s="72" t="str">
        <f>HYPERLINK("#'Constants - Fuel'!A1", "Constants - Fuel")</f>
        <v>Constants - Fuel</v>
      </c>
      <c r="D16" s="76" t="s">
        <v>103</v>
      </c>
      <c r="E16" s="76" t="s">
        <v>126</v>
      </c>
      <c r="F16" s="76">
        <v>38.6</v>
      </c>
      <c r="G16" s="76" t="s">
        <v>268</v>
      </c>
      <c r="H16" s="76">
        <v>0</v>
      </c>
      <c r="I16" s="76">
        <v>0.01</v>
      </c>
      <c r="J16" s="76">
        <v>0.5</v>
      </c>
      <c r="K16" s="76">
        <v>0.51</v>
      </c>
      <c r="L16" s="76" t="s">
        <v>270</v>
      </c>
    </row>
    <row r="17" spans="1:12" ht="20.100000000000001" customHeight="1" x14ac:dyDescent="0.25">
      <c r="A17" s="14" t="str">
        <f>HYPERLINK("#'Constants - Common'!A1", "Constants - Common")</f>
        <v>Constants - Common</v>
      </c>
      <c r="D17" s="76" t="s">
        <v>103</v>
      </c>
      <c r="E17" s="76" t="s">
        <v>125</v>
      </c>
      <c r="F17" s="76">
        <v>23.4</v>
      </c>
      <c r="G17" s="76" t="s">
        <v>268</v>
      </c>
      <c r="H17" s="76">
        <v>0</v>
      </c>
      <c r="I17" s="76">
        <v>0.8</v>
      </c>
      <c r="J17" s="76">
        <v>1.7</v>
      </c>
      <c r="K17" s="76">
        <v>2.5</v>
      </c>
      <c r="L17" s="76" t="s">
        <v>270</v>
      </c>
    </row>
    <row r="18" spans="1:12" ht="20.100000000000001" customHeight="1" x14ac:dyDescent="0.25">
      <c r="D18" s="76" t="s">
        <v>271</v>
      </c>
      <c r="E18" s="76" t="s">
        <v>272</v>
      </c>
      <c r="F18" s="76">
        <v>3.9300000000000002E-2</v>
      </c>
      <c r="G18" s="76" t="s">
        <v>273</v>
      </c>
      <c r="H18" s="76">
        <v>51.4</v>
      </c>
      <c r="I18" s="76">
        <v>7.3</v>
      </c>
      <c r="J18" s="76">
        <v>0.3</v>
      </c>
      <c r="K18" s="76">
        <v>59</v>
      </c>
      <c r="L18" s="76">
        <v>18</v>
      </c>
    </row>
    <row r="19" spans="1:12" ht="20.100000000000001" customHeight="1" x14ac:dyDescent="0.25">
      <c r="D19" s="76" t="s">
        <v>271</v>
      </c>
      <c r="E19" s="76" t="s">
        <v>274</v>
      </c>
      <c r="F19" s="76">
        <v>25.3</v>
      </c>
      <c r="G19" s="76" t="s">
        <v>268</v>
      </c>
      <c r="H19" s="76">
        <v>51.4</v>
      </c>
      <c r="I19" s="76">
        <v>7.3</v>
      </c>
      <c r="J19" s="76">
        <v>0.3</v>
      </c>
      <c r="K19" s="76">
        <v>59</v>
      </c>
      <c r="L19" s="76">
        <v>18</v>
      </c>
    </row>
    <row r="20" spans="1:12" ht="20.100000000000001" customHeight="1" x14ac:dyDescent="0.25">
      <c r="A20" s="14"/>
      <c r="D20" s="76" t="s">
        <v>275</v>
      </c>
      <c r="E20" s="76" t="s">
        <v>272</v>
      </c>
      <c r="F20" s="76">
        <v>3.9300000000000002E-2</v>
      </c>
      <c r="G20" s="76" t="s">
        <v>273</v>
      </c>
      <c r="H20" s="76">
        <v>51.4</v>
      </c>
      <c r="I20" s="76">
        <v>2.8</v>
      </c>
      <c r="J20" s="76">
        <v>0.3</v>
      </c>
      <c r="K20" s="76">
        <v>54.5</v>
      </c>
      <c r="L20" s="76">
        <v>18</v>
      </c>
    </row>
    <row r="21" spans="1:12" ht="20.100000000000001" customHeight="1" x14ac:dyDescent="0.25">
      <c r="A21" s="14"/>
      <c r="D21" s="76" t="s">
        <v>275</v>
      </c>
      <c r="E21" s="76" t="s">
        <v>274</v>
      </c>
      <c r="F21" s="76">
        <v>25.3</v>
      </c>
      <c r="G21" s="76" t="s">
        <v>268</v>
      </c>
      <c r="H21" s="76">
        <v>51.4</v>
      </c>
      <c r="I21" s="76">
        <v>2.8</v>
      </c>
      <c r="J21" s="76">
        <v>0.3</v>
      </c>
      <c r="K21" s="76">
        <v>54.5</v>
      </c>
      <c r="L21" s="76">
        <v>18</v>
      </c>
    </row>
    <row r="22" spans="1:12" ht="20.100000000000001" customHeight="1" x14ac:dyDescent="0.25">
      <c r="D22" s="76" t="s">
        <v>275</v>
      </c>
      <c r="E22" s="76" t="s">
        <v>276</v>
      </c>
      <c r="F22" s="76">
        <v>38.6</v>
      </c>
      <c r="G22" s="76" t="s">
        <v>268</v>
      </c>
      <c r="H22" s="76">
        <v>69.900000000000006</v>
      </c>
      <c r="I22" s="76">
        <v>7.0000000000000007E-2</v>
      </c>
      <c r="J22" s="76">
        <v>0.4</v>
      </c>
      <c r="K22" s="76">
        <v>70.37</v>
      </c>
      <c r="L22" s="76">
        <v>17.3</v>
      </c>
    </row>
    <row r="23" spans="1:12" ht="20.100000000000001" customHeight="1" x14ac:dyDescent="0.25">
      <c r="A23" s="14"/>
      <c r="D23" s="76" t="s">
        <v>275</v>
      </c>
      <c r="E23" s="76" t="s">
        <v>277</v>
      </c>
      <c r="F23" s="76">
        <v>38.6</v>
      </c>
      <c r="G23" s="76" t="s">
        <v>268</v>
      </c>
      <c r="H23" s="76">
        <v>69.900000000000006</v>
      </c>
      <c r="I23" s="76">
        <v>0.1</v>
      </c>
      <c r="J23" s="76">
        <v>0.4</v>
      </c>
      <c r="K23" s="76">
        <v>70.400000000000006</v>
      </c>
      <c r="L23" s="76">
        <v>17.3</v>
      </c>
    </row>
    <row r="24" spans="1:12" ht="20.100000000000001" customHeight="1" x14ac:dyDescent="0.25">
      <c r="D24" s="76" t="s">
        <v>275</v>
      </c>
      <c r="E24" s="76" t="s">
        <v>278</v>
      </c>
      <c r="F24" s="76">
        <v>38.6</v>
      </c>
      <c r="G24" s="76" t="s">
        <v>268</v>
      </c>
      <c r="H24" s="76">
        <v>69.900000000000006</v>
      </c>
      <c r="I24" s="76">
        <v>0.2</v>
      </c>
      <c r="J24" s="76">
        <v>0.4</v>
      </c>
      <c r="K24" s="76">
        <v>70.5</v>
      </c>
      <c r="L24" s="76">
        <v>17.3</v>
      </c>
    </row>
    <row r="25" spans="1:12" ht="20.100000000000001" customHeight="1" x14ac:dyDescent="0.25">
      <c r="D25" s="76" t="s">
        <v>275</v>
      </c>
      <c r="E25" s="76" t="s">
        <v>131</v>
      </c>
      <c r="F25" s="76">
        <v>38.6</v>
      </c>
      <c r="G25" s="76" t="s">
        <v>268</v>
      </c>
      <c r="H25" s="76">
        <v>0</v>
      </c>
      <c r="I25" s="76">
        <v>7.0000000000000007E-2</v>
      </c>
      <c r="J25" s="76">
        <v>0.4</v>
      </c>
      <c r="K25" s="76">
        <v>0.47</v>
      </c>
      <c r="L25" s="76" t="s">
        <v>270</v>
      </c>
    </row>
    <row r="26" spans="1:12" ht="20.100000000000001" customHeight="1" x14ac:dyDescent="0.25">
      <c r="D26" s="76" t="s">
        <v>275</v>
      </c>
      <c r="E26" s="76" t="s">
        <v>132</v>
      </c>
      <c r="F26" s="76">
        <v>38.6</v>
      </c>
      <c r="G26" s="76" t="s">
        <v>268</v>
      </c>
      <c r="H26" s="76">
        <v>0</v>
      </c>
      <c r="I26" s="76">
        <v>0.1</v>
      </c>
      <c r="J26" s="76">
        <v>0.4</v>
      </c>
      <c r="K26" s="76">
        <v>0.5</v>
      </c>
      <c r="L26" s="76" t="s">
        <v>270</v>
      </c>
    </row>
    <row r="27" spans="1:12" ht="20.100000000000001" customHeight="1" x14ac:dyDescent="0.25">
      <c r="D27" s="76" t="s">
        <v>275</v>
      </c>
      <c r="E27" s="76" t="s">
        <v>133</v>
      </c>
      <c r="F27" s="76">
        <v>38.6</v>
      </c>
      <c r="G27" s="76" t="s">
        <v>268</v>
      </c>
      <c r="H27" s="76">
        <v>0</v>
      </c>
      <c r="I27" s="76">
        <v>0.2</v>
      </c>
      <c r="J27" s="76">
        <v>0.4</v>
      </c>
      <c r="K27" s="76">
        <v>0.6</v>
      </c>
      <c r="L27" s="76" t="s">
        <v>270</v>
      </c>
    </row>
    <row r="28" spans="1:12" ht="20.100000000000001" customHeight="1" x14ac:dyDescent="0.25">
      <c r="D28" s="76" t="s">
        <v>99</v>
      </c>
      <c r="E28" s="76" t="s">
        <v>279</v>
      </c>
      <c r="F28" s="76">
        <v>33.1</v>
      </c>
      <c r="G28" s="76" t="s">
        <v>268</v>
      </c>
      <c r="H28" s="76">
        <v>67</v>
      </c>
      <c r="I28" s="76">
        <v>0.06</v>
      </c>
      <c r="J28" s="76">
        <v>0.6</v>
      </c>
      <c r="K28" s="76">
        <v>67.66</v>
      </c>
      <c r="L28" s="76">
        <v>18</v>
      </c>
    </row>
    <row r="29" spans="1:12" ht="20.100000000000001" customHeight="1" x14ac:dyDescent="0.25">
      <c r="D29" s="76" t="s">
        <v>99</v>
      </c>
      <c r="E29" s="76" t="s">
        <v>280</v>
      </c>
      <c r="F29" s="76">
        <v>36.799999999999997</v>
      </c>
      <c r="G29" s="76" t="s">
        <v>268</v>
      </c>
      <c r="H29" s="76">
        <v>69.599999999999994</v>
      </c>
      <c r="I29" s="76">
        <v>0.01</v>
      </c>
      <c r="J29" s="76">
        <v>0.6</v>
      </c>
      <c r="K29" s="76">
        <v>70.209999999999994</v>
      </c>
      <c r="L29" s="76">
        <v>18</v>
      </c>
    </row>
    <row r="30" spans="1:12" ht="20.100000000000001" customHeight="1" x14ac:dyDescent="0.25">
      <c r="D30" s="76" t="s">
        <v>99</v>
      </c>
      <c r="E30" s="76" t="s">
        <v>128</v>
      </c>
      <c r="F30" s="76">
        <v>36.799999999999997</v>
      </c>
      <c r="G30" s="76" t="s">
        <v>268</v>
      </c>
      <c r="H30" s="76">
        <v>0</v>
      </c>
      <c r="I30" s="76">
        <v>0.01</v>
      </c>
      <c r="J30" s="76">
        <v>0.6</v>
      </c>
      <c r="K30" s="76">
        <v>0.61</v>
      </c>
      <c r="L30" s="76" t="s">
        <v>270</v>
      </c>
    </row>
    <row r="31" spans="1:12" ht="20.100000000000001" customHeight="1" x14ac:dyDescent="0.25">
      <c r="D31" s="76" t="s">
        <v>145</v>
      </c>
      <c r="E31" s="76" t="s">
        <v>267</v>
      </c>
      <c r="F31" s="76">
        <v>34.200000000000003</v>
      </c>
      <c r="G31" s="76" t="s">
        <v>123</v>
      </c>
      <c r="H31" s="76">
        <v>67.400000000000006</v>
      </c>
      <c r="I31" s="76">
        <v>10.1</v>
      </c>
      <c r="J31" s="76">
        <v>0.3</v>
      </c>
      <c r="K31" s="76"/>
      <c r="L31" s="76">
        <v>17.2</v>
      </c>
    </row>
    <row r="32" spans="1:12" ht="20.100000000000001" customHeight="1" x14ac:dyDescent="0.25">
      <c r="D32" s="100" t="s">
        <v>145</v>
      </c>
      <c r="E32" s="100" t="s">
        <v>269</v>
      </c>
      <c r="F32" s="100">
        <v>38.6</v>
      </c>
      <c r="G32" s="100" t="s">
        <v>123</v>
      </c>
      <c r="H32" s="100">
        <v>69.900000000000006</v>
      </c>
      <c r="I32" s="100">
        <v>0.2</v>
      </c>
      <c r="J32" s="100">
        <v>0.5</v>
      </c>
      <c r="K32" s="100"/>
      <c r="L32" s="100">
        <v>17.3</v>
      </c>
    </row>
    <row r="33" spans="4:12" ht="20.100000000000001" customHeight="1" x14ac:dyDescent="0.25">
      <c r="D33" s="100" t="s">
        <v>145</v>
      </c>
      <c r="E33" s="100" t="s">
        <v>281</v>
      </c>
      <c r="F33" s="100">
        <v>39.700000000000003</v>
      </c>
      <c r="G33" s="100" t="s">
        <v>123</v>
      </c>
      <c r="H33" s="100">
        <v>73.599999999999994</v>
      </c>
      <c r="I33" s="100">
        <v>0.2</v>
      </c>
      <c r="J33" s="100">
        <v>0.5</v>
      </c>
      <c r="K33" s="100"/>
      <c r="L33" s="100">
        <v>18</v>
      </c>
    </row>
    <row r="34" spans="4:12" ht="20.100000000000001" customHeight="1" x14ac:dyDescent="0.25">
      <c r="D34" s="100" t="s">
        <v>144</v>
      </c>
      <c r="E34" s="100" t="s">
        <v>269</v>
      </c>
      <c r="F34" s="100">
        <v>38.6</v>
      </c>
      <c r="G34" s="100" t="s">
        <v>123</v>
      </c>
      <c r="H34" s="100">
        <v>69.900000000000006</v>
      </c>
      <c r="I34" s="100">
        <v>0.3</v>
      </c>
      <c r="J34" s="100">
        <v>0.5</v>
      </c>
      <c r="K34" s="100"/>
      <c r="L34" s="100">
        <v>17.3</v>
      </c>
    </row>
    <row r="35" spans="4:12" ht="20.100000000000001" customHeight="1" x14ac:dyDescent="0.25"/>
    <row r="36" spans="4:12" ht="20.100000000000001" customHeight="1" x14ac:dyDescent="0.25"/>
    <row r="37" spans="4:12" ht="20.100000000000001" customHeight="1" x14ac:dyDescent="0.25">
      <c r="D37" s="6" t="s">
        <v>282</v>
      </c>
    </row>
    <row r="38" spans="4:12" ht="20.100000000000001" customHeight="1" x14ac:dyDescent="0.25">
      <c r="D38" s="5" t="s">
        <v>283</v>
      </c>
    </row>
    <row r="39" spans="4:12" ht="20.100000000000001" customHeight="1" x14ac:dyDescent="0.25">
      <c r="D39" s="28" t="s">
        <v>136</v>
      </c>
      <c r="E39" s="28" t="s">
        <v>137</v>
      </c>
      <c r="F39" s="28" t="s">
        <v>138</v>
      </c>
      <c r="G39" s="28" t="s">
        <v>139</v>
      </c>
      <c r="H39" s="28" t="s">
        <v>140</v>
      </c>
      <c r="I39" s="28" t="s">
        <v>141</v>
      </c>
      <c r="J39" s="28" t="s">
        <v>142</v>
      </c>
    </row>
    <row r="40" spans="4:12" ht="20.100000000000001" customHeight="1" x14ac:dyDescent="0.25">
      <c r="D40" s="28" t="s">
        <v>284</v>
      </c>
      <c r="E40" s="28" t="s">
        <v>97</v>
      </c>
      <c r="F40" s="28">
        <v>34.200000000000003</v>
      </c>
      <c r="G40" s="28">
        <v>67.400000000000006</v>
      </c>
      <c r="H40" s="28">
        <v>10.1</v>
      </c>
      <c r="I40" s="28">
        <v>0.3</v>
      </c>
      <c r="J40" s="28">
        <v>17.2</v>
      </c>
    </row>
    <row r="41" spans="4:12" ht="20.100000000000001" customHeight="1" x14ac:dyDescent="0.25">
      <c r="D41" s="1" t="s">
        <v>284</v>
      </c>
      <c r="E41" s="28" t="s">
        <v>104</v>
      </c>
      <c r="F41" s="28">
        <v>38.6</v>
      </c>
      <c r="G41" s="28">
        <v>69.900000000000006</v>
      </c>
      <c r="H41" s="28">
        <v>0.2</v>
      </c>
      <c r="I41" s="28">
        <v>0.5</v>
      </c>
      <c r="J41" s="28">
        <v>17.3</v>
      </c>
    </row>
    <row r="42" spans="4:12" ht="20.100000000000001" customHeight="1" x14ac:dyDescent="0.25">
      <c r="D42" s="1" t="s">
        <v>284</v>
      </c>
      <c r="E42" s="28" t="s">
        <v>281</v>
      </c>
      <c r="F42" s="28">
        <v>39.700000000000003</v>
      </c>
      <c r="G42" s="28">
        <v>73.599999999999994</v>
      </c>
      <c r="H42" s="28">
        <v>0.2</v>
      </c>
      <c r="I42" s="28">
        <v>0.5</v>
      </c>
      <c r="J42" s="28">
        <v>18</v>
      </c>
    </row>
    <row r="43" spans="4:12" ht="20.100000000000001" customHeight="1" x14ac:dyDescent="0.25">
      <c r="D43" s="1" t="s">
        <v>144</v>
      </c>
      <c r="E43" s="28" t="s">
        <v>104</v>
      </c>
      <c r="F43" s="28">
        <v>38.6</v>
      </c>
      <c r="G43" s="28">
        <v>69.900000000000006</v>
      </c>
      <c r="H43" s="28">
        <v>0.3</v>
      </c>
      <c r="I43" s="28">
        <v>0.5</v>
      </c>
      <c r="J43" s="28">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6" t="s">
        <v>285</v>
      </c>
      <c r="E49" s="52"/>
      <c r="F49" s="52"/>
      <c r="G49" s="52"/>
      <c r="H49" s="52"/>
      <c r="I49" s="52"/>
      <c r="J49" s="52"/>
      <c r="K49" s="52"/>
      <c r="L49" s="52"/>
    </row>
    <row r="50" spans="4:12" ht="20.100000000000001" customHeight="1" x14ac:dyDescent="0.25">
      <c r="D50" s="1" t="s">
        <v>286</v>
      </c>
      <c r="E50" s="52"/>
      <c r="F50" s="52"/>
      <c r="G50" s="52"/>
      <c r="H50" s="52"/>
      <c r="I50" s="52"/>
      <c r="J50" s="52"/>
      <c r="K50" s="52"/>
      <c r="L50" s="52"/>
    </row>
    <row r="51" spans="4:12" ht="20.100000000000001" customHeight="1" x14ac:dyDescent="0.25">
      <c r="D51" s="5" t="s">
        <v>287</v>
      </c>
      <c r="E51" s="52"/>
      <c r="F51" s="52"/>
      <c r="G51" s="52"/>
      <c r="H51" s="52"/>
      <c r="I51" s="52"/>
      <c r="J51" s="52"/>
      <c r="K51" s="52"/>
      <c r="L51" s="52"/>
    </row>
    <row r="52" spans="4:12" ht="20.100000000000001" customHeight="1" x14ac:dyDescent="0.25">
      <c r="D52" s="34" t="str" cm="1">
        <f t="array" ref="D52">"⚠️" &amp; Fuel_SourceData.Fuel_Scope1Scope3EmissionFactorsStationaryLiquid_Variation()</f>
        <v>⚠️VARIATION OF SOURCE DATA: 'NE' values returned as zero for calculations.</v>
      </c>
      <c r="E52" s="52"/>
      <c r="F52" s="52"/>
      <c r="G52" s="52"/>
      <c r="H52" s="52"/>
      <c r="I52" s="52"/>
      <c r="J52" s="52"/>
      <c r="K52" s="52"/>
      <c r="L52" s="52"/>
    </row>
    <row r="53" spans="4:12" ht="20.100000000000001" customHeight="1" x14ac:dyDescent="0.25">
      <c r="D53" s="77" t="s">
        <v>112</v>
      </c>
      <c r="E53" s="75" t="s">
        <v>113</v>
      </c>
      <c r="F53" s="77" t="s">
        <v>114</v>
      </c>
      <c r="G53" s="75" t="s">
        <v>115</v>
      </c>
      <c r="H53" s="75" t="s">
        <v>116</v>
      </c>
      <c r="I53" s="75" t="s">
        <v>117</v>
      </c>
      <c r="J53" s="75" t="s">
        <v>118</v>
      </c>
      <c r="K53" s="75" t="s">
        <v>119</v>
      </c>
      <c r="L53" s="52"/>
    </row>
    <row r="54" spans="4:12" ht="20.100000000000001" customHeight="1" x14ac:dyDescent="0.25">
      <c r="D54" s="78" t="s">
        <v>288</v>
      </c>
      <c r="E54" s="78">
        <v>38.799999999999997</v>
      </c>
      <c r="F54" s="78" t="s">
        <v>268</v>
      </c>
      <c r="G54" s="78">
        <v>13.9</v>
      </c>
      <c r="H54" s="78">
        <v>0</v>
      </c>
      <c r="I54" s="78">
        <v>0</v>
      </c>
      <c r="J54" s="78">
        <v>13.9</v>
      </c>
      <c r="K54" s="78">
        <v>18</v>
      </c>
      <c r="L54" s="52"/>
    </row>
    <row r="55" spans="4:12" ht="20.100000000000001" customHeight="1" x14ac:dyDescent="0.25">
      <c r="D55" s="78" t="s">
        <v>289</v>
      </c>
      <c r="E55" s="78">
        <v>38.799999999999997</v>
      </c>
      <c r="F55" s="78" t="s">
        <v>268</v>
      </c>
      <c r="G55" s="78">
        <v>3.5</v>
      </c>
      <c r="H55" s="78">
        <v>0</v>
      </c>
      <c r="I55" s="78">
        <v>0</v>
      </c>
      <c r="J55" s="78">
        <v>3.5</v>
      </c>
      <c r="K55" s="78">
        <v>18</v>
      </c>
      <c r="L55" s="52"/>
    </row>
    <row r="56" spans="4:12" ht="20.100000000000001" customHeight="1" x14ac:dyDescent="0.25">
      <c r="D56" s="78" t="s">
        <v>290</v>
      </c>
      <c r="E56" s="78">
        <v>45.3</v>
      </c>
      <c r="F56" s="78" t="s">
        <v>291</v>
      </c>
      <c r="G56" s="78">
        <v>69.599999999999994</v>
      </c>
      <c r="H56" s="78">
        <v>0.08</v>
      </c>
      <c r="I56" s="78">
        <v>0.2</v>
      </c>
      <c r="J56" s="78">
        <v>69.88</v>
      </c>
      <c r="K56" s="78" t="s">
        <v>270</v>
      </c>
      <c r="L56" s="52"/>
    </row>
    <row r="57" spans="4:12" ht="20.100000000000001" customHeight="1" x14ac:dyDescent="0.25">
      <c r="D57" s="78" t="s">
        <v>292</v>
      </c>
      <c r="E57" s="78">
        <v>46.5</v>
      </c>
      <c r="F57" s="78" t="s">
        <v>291</v>
      </c>
      <c r="G57" s="78">
        <v>61</v>
      </c>
      <c r="H57" s="78">
        <v>0.08</v>
      </c>
      <c r="I57" s="78">
        <v>0.2</v>
      </c>
      <c r="J57" s="78">
        <v>61.28</v>
      </c>
      <c r="K57" s="78" t="s">
        <v>270</v>
      </c>
      <c r="L57" s="52"/>
    </row>
    <row r="58" spans="4:12" ht="20.100000000000001" customHeight="1" x14ac:dyDescent="0.25">
      <c r="D58" s="78" t="s">
        <v>293</v>
      </c>
      <c r="E58" s="78">
        <v>34.200000000000003</v>
      </c>
      <c r="F58" s="78" t="s">
        <v>123</v>
      </c>
      <c r="G58" s="78">
        <v>67.400000000000006</v>
      </c>
      <c r="H58" s="78">
        <v>0.2</v>
      </c>
      <c r="I58" s="78">
        <v>0.2</v>
      </c>
      <c r="J58" s="78">
        <v>67.8</v>
      </c>
      <c r="K58" s="78">
        <v>17.2</v>
      </c>
      <c r="L58" s="52"/>
    </row>
    <row r="59" spans="4:12" ht="20.100000000000001" customHeight="1" x14ac:dyDescent="0.25">
      <c r="D59" s="78" t="s">
        <v>294</v>
      </c>
      <c r="E59" s="78">
        <v>33.1</v>
      </c>
      <c r="F59" s="78" t="s">
        <v>123</v>
      </c>
      <c r="G59" s="78">
        <v>67</v>
      </c>
      <c r="H59" s="78">
        <v>0.2</v>
      </c>
      <c r="I59" s="78">
        <v>0.2</v>
      </c>
      <c r="J59" s="78">
        <v>67.400000000000006</v>
      </c>
      <c r="K59" s="78">
        <v>18</v>
      </c>
      <c r="L59" s="52"/>
    </row>
    <row r="60" spans="4:12" ht="20.100000000000001" customHeight="1" x14ac:dyDescent="0.25">
      <c r="D60" s="78" t="s">
        <v>295</v>
      </c>
      <c r="E60" s="78">
        <v>37.5</v>
      </c>
      <c r="F60" s="78" t="s">
        <v>123</v>
      </c>
      <c r="G60" s="78">
        <v>68.900000000000006</v>
      </c>
      <c r="H60" s="78">
        <v>0.01</v>
      </c>
      <c r="I60" s="78">
        <v>0.2</v>
      </c>
      <c r="J60" s="78">
        <v>69.11</v>
      </c>
      <c r="K60" s="78">
        <v>18</v>
      </c>
      <c r="L60" s="52"/>
    </row>
    <row r="61" spans="4:12" ht="20.100000000000001" customHeight="1" x14ac:dyDescent="0.25">
      <c r="D61" s="78" t="s">
        <v>296</v>
      </c>
      <c r="E61" s="78">
        <v>36.799999999999997</v>
      </c>
      <c r="F61" s="78" t="s">
        <v>123</v>
      </c>
      <c r="G61" s="78">
        <v>69.599999999999994</v>
      </c>
      <c r="H61" s="78">
        <v>0.02</v>
      </c>
      <c r="I61" s="78">
        <v>0.2</v>
      </c>
      <c r="J61" s="78">
        <v>69.819999999999993</v>
      </c>
      <c r="K61" s="78">
        <v>18</v>
      </c>
      <c r="L61" s="52"/>
    </row>
    <row r="62" spans="4:12" ht="20.100000000000001" customHeight="1" x14ac:dyDescent="0.25">
      <c r="D62" s="78" t="s">
        <v>297</v>
      </c>
      <c r="E62" s="78">
        <v>37.299999999999997</v>
      </c>
      <c r="F62" s="78" t="s">
        <v>123</v>
      </c>
      <c r="G62" s="78">
        <v>69.5</v>
      </c>
      <c r="H62" s="78">
        <v>0.03</v>
      </c>
      <c r="I62" s="78">
        <v>0.2</v>
      </c>
      <c r="J62" s="78">
        <v>69.73</v>
      </c>
      <c r="K62" s="78">
        <v>18</v>
      </c>
      <c r="L62" s="52"/>
    </row>
    <row r="63" spans="4:12" ht="20.100000000000001" customHeight="1" x14ac:dyDescent="0.25">
      <c r="D63" s="78" t="s">
        <v>269</v>
      </c>
      <c r="E63" s="78">
        <v>38.6</v>
      </c>
      <c r="F63" s="78" t="s">
        <v>123</v>
      </c>
      <c r="G63" s="78">
        <v>69.900000000000006</v>
      </c>
      <c r="H63" s="78">
        <v>0.1</v>
      </c>
      <c r="I63" s="78">
        <v>0.2</v>
      </c>
      <c r="J63" s="78">
        <v>70.2</v>
      </c>
      <c r="K63" s="78">
        <v>17.3</v>
      </c>
      <c r="L63" s="52"/>
    </row>
    <row r="64" spans="4:12" ht="20.100000000000001" customHeight="1" x14ac:dyDescent="0.25">
      <c r="D64" s="78" t="s">
        <v>134</v>
      </c>
      <c r="E64" s="78">
        <v>39.700000000000003</v>
      </c>
      <c r="F64" s="78" t="s">
        <v>123</v>
      </c>
      <c r="G64" s="78">
        <v>73.599999999999994</v>
      </c>
      <c r="H64" s="78">
        <v>0.04</v>
      </c>
      <c r="I64" s="78">
        <v>0.2</v>
      </c>
      <c r="J64" s="78">
        <v>73.84</v>
      </c>
      <c r="K64" s="78">
        <v>18</v>
      </c>
      <c r="L64" s="52"/>
    </row>
    <row r="65" spans="4:13" ht="20.100000000000001" customHeight="1" x14ac:dyDescent="0.25">
      <c r="D65" s="78" t="s">
        <v>298</v>
      </c>
      <c r="E65" s="78">
        <v>34.4</v>
      </c>
      <c r="F65" s="78" t="s">
        <v>123</v>
      </c>
      <c r="G65" s="78">
        <v>69.7</v>
      </c>
      <c r="H65" s="78">
        <v>0.03</v>
      </c>
      <c r="I65" s="78">
        <v>0.2</v>
      </c>
      <c r="J65" s="78">
        <v>69.930000000000007</v>
      </c>
      <c r="K65" s="78">
        <v>18</v>
      </c>
      <c r="L65" s="52"/>
    </row>
    <row r="66" spans="4:13" ht="20.100000000000001" customHeight="1" x14ac:dyDescent="0.25">
      <c r="D66" s="78" t="s">
        <v>299</v>
      </c>
      <c r="E66" s="78">
        <v>34.4</v>
      </c>
      <c r="F66" s="78" t="s">
        <v>123</v>
      </c>
      <c r="G66" s="78">
        <v>69.7</v>
      </c>
      <c r="H66" s="78">
        <v>0.03</v>
      </c>
      <c r="I66" s="78">
        <v>0.2</v>
      </c>
      <c r="J66" s="78">
        <v>69.930000000000007</v>
      </c>
      <c r="K66" s="78">
        <v>18</v>
      </c>
      <c r="L66" s="52"/>
    </row>
    <row r="67" spans="4:13" ht="20.100000000000001" customHeight="1" x14ac:dyDescent="0.25">
      <c r="D67" s="78" t="s">
        <v>105</v>
      </c>
      <c r="E67" s="78">
        <v>25.7</v>
      </c>
      <c r="F67" s="78" t="s">
        <v>123</v>
      </c>
      <c r="G67" s="78">
        <v>60.2</v>
      </c>
      <c r="H67" s="78">
        <v>0.2</v>
      </c>
      <c r="I67" s="78">
        <v>0.2</v>
      </c>
      <c r="J67" s="78">
        <v>60.6</v>
      </c>
      <c r="K67" s="78">
        <v>20.2</v>
      </c>
      <c r="L67" s="52"/>
    </row>
    <row r="68" spans="4:13" ht="20.100000000000001" customHeight="1" x14ac:dyDescent="0.25">
      <c r="D68" s="78" t="s">
        <v>300</v>
      </c>
      <c r="E68" s="78">
        <v>31.4</v>
      </c>
      <c r="F68" s="78" t="s">
        <v>123</v>
      </c>
      <c r="G68" s="78">
        <v>69.8</v>
      </c>
      <c r="H68" s="78">
        <v>0.01</v>
      </c>
      <c r="I68" s="78">
        <v>0.01</v>
      </c>
      <c r="J68" s="78">
        <v>69.819999999999993</v>
      </c>
      <c r="K68" s="78">
        <v>18</v>
      </c>
      <c r="L68" s="52"/>
    </row>
    <row r="69" spans="4:13" ht="20.100000000000001" customHeight="1" x14ac:dyDescent="0.25">
      <c r="D69" s="78" t="s">
        <v>301</v>
      </c>
      <c r="E69" s="78">
        <v>34.200000000000003</v>
      </c>
      <c r="F69" s="78" t="s">
        <v>291</v>
      </c>
      <c r="G69" s="78">
        <v>92.6</v>
      </c>
      <c r="H69" s="78">
        <v>0.08</v>
      </c>
      <c r="I69" s="78">
        <v>0.2</v>
      </c>
      <c r="J69" s="78">
        <v>92.88</v>
      </c>
      <c r="K69" s="78">
        <v>18</v>
      </c>
      <c r="L69" s="52"/>
    </row>
    <row r="70" spans="4:13" ht="20.100000000000001" customHeight="1" x14ac:dyDescent="0.25">
      <c r="D70" s="78" t="s">
        <v>302</v>
      </c>
      <c r="E70" s="78">
        <v>42.9</v>
      </c>
      <c r="F70" s="78" t="s">
        <v>291</v>
      </c>
      <c r="G70" s="78">
        <v>54.7</v>
      </c>
      <c r="H70" s="78">
        <v>0.03</v>
      </c>
      <c r="I70" s="78">
        <v>0.03</v>
      </c>
      <c r="J70" s="78">
        <v>54.76</v>
      </c>
      <c r="K70" s="78">
        <v>18</v>
      </c>
      <c r="L70" s="52"/>
    </row>
    <row r="71" spans="4:13" ht="20.100000000000001" customHeight="1" x14ac:dyDescent="0.25">
      <c r="D71" s="78" t="s">
        <v>303</v>
      </c>
      <c r="E71" s="78">
        <v>34.200000000000003</v>
      </c>
      <c r="F71" s="78" t="s">
        <v>291</v>
      </c>
      <c r="G71" s="78">
        <v>92.6</v>
      </c>
      <c r="H71" s="78">
        <v>0.08</v>
      </c>
      <c r="I71" s="78">
        <v>0.2</v>
      </c>
      <c r="J71" s="78">
        <v>92.88</v>
      </c>
      <c r="K71" s="78">
        <v>18</v>
      </c>
      <c r="L71" s="52"/>
    </row>
    <row r="72" spans="4:13" ht="20.100000000000001" customHeight="1" x14ac:dyDescent="0.25">
      <c r="D72" s="78" t="s">
        <v>304</v>
      </c>
      <c r="E72" s="78">
        <v>34.4</v>
      </c>
      <c r="F72" s="78" t="s">
        <v>123</v>
      </c>
      <c r="G72" s="78">
        <v>69.8</v>
      </c>
      <c r="H72" s="78">
        <v>0.02</v>
      </c>
      <c r="I72" s="78">
        <v>0.1</v>
      </c>
      <c r="J72" s="78">
        <v>69.92</v>
      </c>
      <c r="K72" s="78">
        <v>18</v>
      </c>
      <c r="L72" s="52"/>
    </row>
    <row r="73" spans="4:13" ht="20.100000000000001" customHeight="1" x14ac:dyDescent="0.25">
      <c r="D73" s="78" t="s">
        <v>124</v>
      </c>
      <c r="E73" s="78">
        <v>34.6</v>
      </c>
      <c r="F73" s="78" t="s">
        <v>123</v>
      </c>
      <c r="G73" s="78">
        <v>0</v>
      </c>
      <c r="H73" s="78">
        <v>0.08</v>
      </c>
      <c r="I73" s="78">
        <v>0.2</v>
      </c>
      <c r="J73" s="78">
        <v>0.28000000000000003</v>
      </c>
      <c r="K73" s="78" t="s">
        <v>270</v>
      </c>
      <c r="L73" s="52"/>
    </row>
    <row r="74" spans="4:13" ht="20.100000000000001" customHeight="1" x14ac:dyDescent="0.25">
      <c r="D74" s="78" t="s">
        <v>305</v>
      </c>
      <c r="E74" s="78">
        <v>23.4</v>
      </c>
      <c r="F74" s="78" t="s">
        <v>123</v>
      </c>
      <c r="G74" s="78">
        <v>0</v>
      </c>
      <c r="H74" s="78">
        <v>0.08</v>
      </c>
      <c r="I74" s="78">
        <v>0.2</v>
      </c>
      <c r="J74" s="78">
        <v>0.28000000000000003</v>
      </c>
      <c r="K74" s="78" t="s">
        <v>270</v>
      </c>
      <c r="L74" s="52"/>
    </row>
    <row r="75" spans="4:13" ht="20.100000000000001" customHeight="1" x14ac:dyDescent="0.25">
      <c r="D75" s="78" t="s">
        <v>306</v>
      </c>
      <c r="E75" s="78">
        <v>23.4</v>
      </c>
      <c r="F75" s="78" t="s">
        <v>123</v>
      </c>
      <c r="G75" s="78">
        <v>0</v>
      </c>
      <c r="H75" s="78">
        <v>0.08</v>
      </c>
      <c r="I75" s="78">
        <v>0.2</v>
      </c>
      <c r="J75" s="78">
        <v>0.28000000000000003</v>
      </c>
      <c r="K75" s="78" t="s">
        <v>270</v>
      </c>
      <c r="L75" s="52"/>
    </row>
    <row r="76" spans="4:13" ht="20.100000000000001" customHeight="1" x14ac:dyDescent="0.25">
      <c r="D76" s="78" t="s">
        <v>128</v>
      </c>
      <c r="E76" s="78">
        <v>36.799999999999997</v>
      </c>
      <c r="F76" s="78" t="s">
        <v>123</v>
      </c>
      <c r="G76" s="78">
        <v>0</v>
      </c>
      <c r="H76" s="78">
        <v>0.02</v>
      </c>
      <c r="I76" s="78">
        <v>0.2</v>
      </c>
      <c r="J76" s="78">
        <v>0.22</v>
      </c>
      <c r="K76" s="78" t="s">
        <v>270</v>
      </c>
      <c r="L76" s="52"/>
    </row>
    <row r="77" spans="4:13" ht="20.100000000000001" customHeight="1" x14ac:dyDescent="0.25">
      <c r="D77" s="78" t="s">
        <v>126</v>
      </c>
      <c r="E77" s="78">
        <v>38.6</v>
      </c>
      <c r="F77" s="78" t="s">
        <v>123</v>
      </c>
      <c r="G77" s="78">
        <v>0</v>
      </c>
      <c r="H77" s="78">
        <v>0.1</v>
      </c>
      <c r="I77" s="78">
        <v>0.2</v>
      </c>
      <c r="J77" s="78">
        <v>0.3</v>
      </c>
      <c r="K77" s="78" t="s">
        <v>270</v>
      </c>
      <c r="L77" s="52"/>
    </row>
    <row r="78" spans="4:13" ht="20.100000000000001" customHeight="1" x14ac:dyDescent="0.25">
      <c r="D78" s="52"/>
      <c r="E78" s="52"/>
      <c r="F78" s="52"/>
      <c r="G78" s="52"/>
      <c r="H78" s="52"/>
      <c r="I78" s="52"/>
      <c r="J78" s="52"/>
      <c r="K78" s="52"/>
      <c r="L78" s="52"/>
    </row>
    <row r="79" spans="4:13" ht="20.100000000000001" customHeight="1" x14ac:dyDescent="0.25">
      <c r="D79" s="52"/>
      <c r="E79" s="52"/>
      <c r="F79" s="52"/>
      <c r="G79" s="52"/>
      <c r="H79" s="52"/>
      <c r="I79" s="52"/>
      <c r="J79" s="52"/>
      <c r="K79" s="52"/>
      <c r="L79" s="52"/>
      <c r="M79" s="52"/>
    </row>
    <row r="80" spans="4:13" ht="20.100000000000001" customHeight="1" x14ac:dyDescent="0.25">
      <c r="D80" s="52"/>
      <c r="E80" s="52"/>
      <c r="F80" s="52"/>
      <c r="G80" s="52"/>
      <c r="H80" s="52"/>
      <c r="I80" s="52"/>
      <c r="J80" s="52"/>
      <c r="K80" s="52"/>
      <c r="L80" s="52"/>
      <c r="M80" s="52"/>
    </row>
    <row r="81" spans="4:12" ht="20.100000000000001" customHeight="1" x14ac:dyDescent="0.25">
      <c r="D81" s="6" t="s">
        <v>307</v>
      </c>
      <c r="E81" s="52"/>
      <c r="F81" s="52"/>
      <c r="G81" s="52"/>
      <c r="H81" s="52"/>
      <c r="I81" s="52"/>
      <c r="J81" s="52"/>
      <c r="K81" s="52"/>
      <c r="L81" s="52"/>
    </row>
    <row r="82" spans="4:12" ht="20.100000000000001" customHeight="1" x14ac:dyDescent="0.25">
      <c r="D82" s="1" t="s">
        <v>308</v>
      </c>
      <c r="E82" s="52"/>
      <c r="F82" s="52"/>
      <c r="G82" s="52"/>
      <c r="H82" s="52"/>
      <c r="I82" s="52"/>
      <c r="J82" s="52"/>
      <c r="K82" s="52"/>
      <c r="L82" s="52"/>
    </row>
    <row r="83" spans="4:12" ht="20.100000000000001" customHeight="1" x14ac:dyDescent="0.25">
      <c r="D83" s="5" t="s">
        <v>309</v>
      </c>
      <c r="E83" s="52"/>
      <c r="F83" s="52"/>
      <c r="G83" s="52"/>
      <c r="H83" s="52"/>
      <c r="I83" s="52"/>
      <c r="J83" s="52"/>
      <c r="K83" s="52"/>
      <c r="L83" s="52"/>
    </row>
    <row r="84" spans="4:12" ht="20.100000000000001" customHeight="1" x14ac:dyDescent="0.25">
      <c r="D84" s="34"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52"/>
      <c r="F84" s="52"/>
      <c r="G84" s="52"/>
      <c r="H84" s="52"/>
      <c r="I84" s="52"/>
      <c r="J84" s="52"/>
      <c r="K84" s="52"/>
      <c r="L84" s="52"/>
    </row>
    <row r="85" spans="4:12" ht="20.100000000000001" customHeight="1" x14ac:dyDescent="0.25">
      <c r="D85" s="52"/>
      <c r="E85" s="52"/>
      <c r="F85" s="52"/>
      <c r="G85" s="52"/>
      <c r="H85" s="52"/>
      <c r="I85" s="52"/>
      <c r="J85" s="52"/>
      <c r="K85" s="52"/>
      <c r="L85" s="52"/>
    </row>
    <row r="86" spans="4:12" ht="20.100000000000001" customHeight="1" x14ac:dyDescent="0.25">
      <c r="D86" s="77" t="s">
        <v>112</v>
      </c>
      <c r="E86" s="75" t="s">
        <v>113</v>
      </c>
      <c r="F86" s="77" t="s">
        <v>114</v>
      </c>
      <c r="G86" s="75" t="s">
        <v>115</v>
      </c>
      <c r="H86" s="75" t="s">
        <v>116</v>
      </c>
      <c r="I86" s="75" t="s">
        <v>117</v>
      </c>
      <c r="J86" s="75" t="s">
        <v>118</v>
      </c>
      <c r="K86" s="52"/>
      <c r="L86" s="52"/>
    </row>
    <row r="87" spans="4:12" ht="20.100000000000001" customHeight="1" x14ac:dyDescent="0.25">
      <c r="D87" s="78" t="s">
        <v>310</v>
      </c>
      <c r="E87" s="78">
        <v>3.9300000000000002E-2</v>
      </c>
      <c r="F87" s="78" t="s">
        <v>273</v>
      </c>
      <c r="G87" s="78">
        <v>51.4</v>
      </c>
      <c r="H87" s="78">
        <v>0.1</v>
      </c>
      <c r="I87" s="78">
        <v>0.03</v>
      </c>
      <c r="J87" s="78">
        <v>51.53</v>
      </c>
      <c r="K87" s="52"/>
      <c r="L87" s="52"/>
    </row>
    <row r="88" spans="4:12" ht="20.100000000000001" customHeight="1" x14ac:dyDescent="0.25">
      <c r="D88" s="78" t="s">
        <v>311</v>
      </c>
      <c r="E88" s="78">
        <v>3.7699999999999997E-2</v>
      </c>
      <c r="F88" s="78" t="s">
        <v>273</v>
      </c>
      <c r="G88" s="78">
        <v>51.4</v>
      </c>
      <c r="H88" s="78">
        <v>0.2</v>
      </c>
      <c r="I88" s="78">
        <v>0.03</v>
      </c>
      <c r="J88" s="78">
        <v>51.63</v>
      </c>
      <c r="K88" s="52"/>
      <c r="L88" s="52"/>
    </row>
    <row r="89" spans="4:12" ht="20.100000000000001" customHeight="1" x14ac:dyDescent="0.25">
      <c r="D89" s="78" t="s">
        <v>312</v>
      </c>
      <c r="E89" s="78">
        <v>3.7699999999999997E-2</v>
      </c>
      <c r="F89" s="78" t="s">
        <v>273</v>
      </c>
      <c r="G89" s="78">
        <v>51.9</v>
      </c>
      <c r="H89" s="78">
        <v>4.5999999999999996</v>
      </c>
      <c r="I89" s="78">
        <v>0.3</v>
      </c>
      <c r="J89" s="78">
        <v>56.8</v>
      </c>
      <c r="K89" s="52"/>
      <c r="L89" s="52"/>
    </row>
    <row r="90" spans="4:12" ht="20.100000000000001" customHeight="1" x14ac:dyDescent="0.25">
      <c r="D90" s="78" t="s">
        <v>313</v>
      </c>
      <c r="E90" s="78">
        <v>3.9300000000000002E-2</v>
      </c>
      <c r="F90" s="78" t="s">
        <v>273</v>
      </c>
      <c r="G90" s="78">
        <v>51.4</v>
      </c>
      <c r="H90" s="78">
        <v>0.1</v>
      </c>
      <c r="I90" s="78">
        <v>0.03</v>
      </c>
      <c r="J90" s="78">
        <v>51.53</v>
      </c>
      <c r="K90" s="52"/>
      <c r="L90" s="52"/>
    </row>
    <row r="91" spans="4:12" ht="20.100000000000001" customHeight="1" x14ac:dyDescent="0.25">
      <c r="D91" s="78" t="s">
        <v>314</v>
      </c>
      <c r="E91" s="78">
        <v>3.9300000000000002E-2</v>
      </c>
      <c r="F91" s="78" t="s">
        <v>273</v>
      </c>
      <c r="G91" s="78">
        <v>51.4</v>
      </c>
      <c r="H91" s="78">
        <v>0.1</v>
      </c>
      <c r="I91" s="78">
        <v>0.03</v>
      </c>
      <c r="J91" s="78">
        <v>51.53</v>
      </c>
      <c r="K91" s="52"/>
      <c r="L91" s="52"/>
    </row>
    <row r="92" spans="4:12" ht="20.100000000000001" customHeight="1" x14ac:dyDescent="0.25">
      <c r="D92" s="78" t="s">
        <v>315</v>
      </c>
      <c r="E92" s="78">
        <v>6.2899999999999998E-2</v>
      </c>
      <c r="F92" s="78" t="s">
        <v>273</v>
      </c>
      <c r="G92" s="78">
        <v>56.5</v>
      </c>
      <c r="H92" s="78">
        <v>0.03</v>
      </c>
      <c r="I92" s="78">
        <v>0.03</v>
      </c>
      <c r="J92" s="78">
        <v>56.56</v>
      </c>
      <c r="K92" s="52"/>
      <c r="L92" s="52"/>
    </row>
    <row r="93" spans="4:12" ht="20.100000000000001" customHeight="1" x14ac:dyDescent="0.25">
      <c r="D93" s="78" t="s">
        <v>316</v>
      </c>
      <c r="E93" s="78">
        <v>1.8100000000000002E-2</v>
      </c>
      <c r="F93" s="78" t="s">
        <v>273</v>
      </c>
      <c r="G93" s="78">
        <v>37</v>
      </c>
      <c r="H93" s="78">
        <v>0.03</v>
      </c>
      <c r="I93" s="78">
        <v>0.05</v>
      </c>
      <c r="J93" s="78">
        <v>37.08</v>
      </c>
      <c r="K93" s="52"/>
      <c r="L93" s="52"/>
    </row>
    <row r="94" spans="4:12" ht="20.100000000000001" customHeight="1" x14ac:dyDescent="0.25">
      <c r="D94" s="78" t="s">
        <v>317</v>
      </c>
      <c r="E94" s="78">
        <v>4.0000000000000001E-3</v>
      </c>
      <c r="F94" s="78" t="s">
        <v>273</v>
      </c>
      <c r="G94" s="78">
        <v>234</v>
      </c>
      <c r="H94" s="78">
        <v>0.03</v>
      </c>
      <c r="I94" s="78">
        <v>0.02</v>
      </c>
      <c r="J94" s="78">
        <v>234.05</v>
      </c>
      <c r="K94" s="52"/>
      <c r="L94" s="52"/>
    </row>
    <row r="95" spans="4:12" ht="20.100000000000001" customHeight="1" x14ac:dyDescent="0.25">
      <c r="D95" s="78" t="s">
        <v>318</v>
      </c>
      <c r="E95" s="78">
        <v>3.9E-2</v>
      </c>
      <c r="F95" s="78" t="s">
        <v>273</v>
      </c>
      <c r="G95" s="78">
        <v>60.2</v>
      </c>
      <c r="H95" s="78">
        <v>0.04</v>
      </c>
      <c r="I95" s="78">
        <v>0.03</v>
      </c>
      <c r="J95" s="78">
        <v>60.27</v>
      </c>
      <c r="K95" s="52"/>
      <c r="L95" s="52"/>
    </row>
    <row r="96" spans="4:12" ht="20.100000000000001" customHeight="1" x14ac:dyDescent="0.25">
      <c r="D96" s="78" t="s">
        <v>274</v>
      </c>
      <c r="E96" s="78">
        <v>25.3</v>
      </c>
      <c r="F96" s="78" t="s">
        <v>123</v>
      </c>
      <c r="G96" s="78">
        <v>51.4</v>
      </c>
      <c r="H96" s="78">
        <v>0.1</v>
      </c>
      <c r="I96" s="78">
        <v>0.03</v>
      </c>
      <c r="J96" s="78">
        <v>51.53</v>
      </c>
      <c r="K96" s="52"/>
      <c r="L96" s="52"/>
    </row>
    <row r="97" spans="4:13" ht="20.100000000000001" customHeight="1" x14ac:dyDescent="0.25">
      <c r="D97" s="78" t="s">
        <v>319</v>
      </c>
      <c r="E97" s="78">
        <v>3.9E-2</v>
      </c>
      <c r="F97" s="78" t="s">
        <v>273</v>
      </c>
      <c r="G97" s="78">
        <v>51.4</v>
      </c>
      <c r="H97" s="78">
        <v>0.1</v>
      </c>
      <c r="I97" s="78">
        <v>0.03</v>
      </c>
      <c r="J97" s="78">
        <v>51.53</v>
      </c>
      <c r="K97" s="52"/>
      <c r="L97" s="52"/>
    </row>
    <row r="98" spans="4:13" ht="20.100000000000001" customHeight="1" x14ac:dyDescent="0.25">
      <c r="D98" s="78" t="s">
        <v>320</v>
      </c>
      <c r="E98" s="78">
        <v>3.7699999999999997E-2</v>
      </c>
      <c r="F98" s="78" t="s">
        <v>273</v>
      </c>
      <c r="G98" s="78">
        <v>0</v>
      </c>
      <c r="H98" s="78">
        <v>6.4</v>
      </c>
      <c r="I98" s="78">
        <v>0.03</v>
      </c>
      <c r="J98" s="78">
        <v>6.43</v>
      </c>
      <c r="K98" s="52"/>
      <c r="L98" s="52"/>
    </row>
    <row r="99" spans="4:13" ht="20.100000000000001" customHeight="1" x14ac:dyDescent="0.25">
      <c r="D99" s="78" t="s">
        <v>321</v>
      </c>
      <c r="E99" s="78">
        <v>3.7699999999999997E-2</v>
      </c>
      <c r="F99" s="78" t="s">
        <v>273</v>
      </c>
      <c r="G99" s="78">
        <v>0</v>
      </c>
      <c r="H99" s="78">
        <v>6.4</v>
      </c>
      <c r="I99" s="78">
        <v>0.03</v>
      </c>
      <c r="J99" s="78">
        <v>6.43</v>
      </c>
      <c r="K99" s="52"/>
      <c r="L99" s="52"/>
    </row>
    <row r="100" spans="4:13" ht="20.100000000000001" customHeight="1" x14ac:dyDescent="0.25">
      <c r="D100" s="78" t="s">
        <v>322</v>
      </c>
      <c r="E100" s="78">
        <v>3.6999999999999998E-2</v>
      </c>
      <c r="F100" s="78" t="s">
        <v>273</v>
      </c>
      <c r="G100" s="78">
        <v>0</v>
      </c>
      <c r="H100" s="78">
        <v>6.4</v>
      </c>
      <c r="I100" s="78">
        <v>0.03</v>
      </c>
      <c r="J100" s="78">
        <v>6.43</v>
      </c>
      <c r="K100" s="52"/>
      <c r="L100" s="52"/>
    </row>
    <row r="101" spans="4:13" ht="20.100000000000001" customHeight="1" x14ac:dyDescent="0.25">
      <c r="D101" s="78" t="s">
        <v>323</v>
      </c>
      <c r="E101" s="78">
        <v>3.9300000000000002E-2</v>
      </c>
      <c r="F101" s="78" t="s">
        <v>273</v>
      </c>
      <c r="G101" s="78">
        <v>0</v>
      </c>
      <c r="H101" s="78">
        <v>0.1</v>
      </c>
      <c r="I101" s="78">
        <v>0.03</v>
      </c>
      <c r="J101" s="78">
        <v>0.13</v>
      </c>
      <c r="K101" s="52"/>
      <c r="L101" s="52"/>
    </row>
    <row r="102" spans="4:13" ht="20.100000000000001" customHeight="1" x14ac:dyDescent="0.25">
      <c r="D102" s="78" t="s">
        <v>324</v>
      </c>
      <c r="E102" s="78">
        <v>1.2200000000000001E-2</v>
      </c>
      <c r="F102" s="78" t="s">
        <v>273</v>
      </c>
      <c r="G102" s="78">
        <v>0</v>
      </c>
      <c r="H102" s="78">
        <v>0</v>
      </c>
      <c r="I102" s="78">
        <v>0.5</v>
      </c>
      <c r="J102" s="78">
        <v>0.5</v>
      </c>
      <c r="K102" s="52"/>
      <c r="L102" s="52"/>
    </row>
    <row r="103" spans="4:13" ht="20.100000000000001" customHeight="1" x14ac:dyDescent="0.25">
      <c r="D103" s="78" t="s">
        <v>325</v>
      </c>
      <c r="E103" s="78">
        <v>1</v>
      </c>
      <c r="F103" s="78" t="s">
        <v>135</v>
      </c>
      <c r="G103" s="78">
        <v>51.4</v>
      </c>
      <c r="H103" s="78">
        <v>0.1</v>
      </c>
      <c r="I103" s="78">
        <v>0.03</v>
      </c>
      <c r="J103" s="78">
        <v>51.53</v>
      </c>
      <c r="K103" s="52"/>
      <c r="L103" s="52"/>
    </row>
    <row r="104" spans="4:13" ht="20.100000000000001" customHeight="1" x14ac:dyDescent="0.25">
      <c r="D104" s="78" t="s">
        <v>326</v>
      </c>
      <c r="E104" s="78">
        <v>1</v>
      </c>
      <c r="F104" s="78" t="s">
        <v>135</v>
      </c>
      <c r="G104" s="78">
        <v>60.2</v>
      </c>
      <c r="H104" s="78">
        <v>0.04</v>
      </c>
      <c r="I104" s="78">
        <v>0.03</v>
      </c>
      <c r="J104" s="78">
        <v>60.27</v>
      </c>
      <c r="K104" s="52"/>
      <c r="L104" s="52"/>
    </row>
    <row r="105" spans="4:13" ht="20.100000000000001" customHeight="1" x14ac:dyDescent="0.25">
      <c r="D105" s="52"/>
      <c r="E105" s="52"/>
      <c r="F105" s="52"/>
      <c r="G105" s="52"/>
      <c r="H105" s="52"/>
      <c r="I105" s="52"/>
      <c r="J105" s="52"/>
      <c r="K105" s="52"/>
      <c r="L105" s="52"/>
      <c r="M105" s="52"/>
    </row>
    <row r="106" spans="4:13" ht="20.100000000000001" customHeight="1" x14ac:dyDescent="0.25">
      <c r="D106" s="52"/>
      <c r="E106" s="52"/>
      <c r="F106" s="52"/>
      <c r="G106" s="52"/>
      <c r="H106" s="52"/>
      <c r="I106" s="52"/>
      <c r="J106" s="52"/>
      <c r="K106" s="52"/>
      <c r="L106" s="52"/>
      <c r="M106" s="52"/>
    </row>
    <row r="107" spans="4:13" ht="20.100000000000001" customHeight="1" x14ac:dyDescent="0.25">
      <c r="D107" s="6" t="s">
        <v>327</v>
      </c>
      <c r="E107" s="52"/>
      <c r="F107" s="52"/>
      <c r="G107" s="52"/>
      <c r="H107" s="52"/>
      <c r="I107" s="52"/>
      <c r="J107" s="52"/>
      <c r="K107" s="52"/>
      <c r="L107" s="52"/>
    </row>
    <row r="108" spans="4:13" ht="20.100000000000001" customHeight="1" x14ac:dyDescent="0.25">
      <c r="D108" s="1" t="s">
        <v>328</v>
      </c>
      <c r="E108" s="52"/>
      <c r="F108" s="52"/>
      <c r="G108" s="52"/>
      <c r="H108" s="52"/>
      <c r="I108" s="52"/>
      <c r="J108" s="52"/>
      <c r="K108" s="52"/>
      <c r="L108" s="52"/>
    </row>
    <row r="109" spans="4:13" ht="20.100000000000001" customHeight="1" x14ac:dyDescent="0.25">
      <c r="D109" s="5" t="s">
        <v>329</v>
      </c>
      <c r="E109" s="52"/>
      <c r="F109" s="52"/>
      <c r="G109" s="52"/>
      <c r="H109" s="52"/>
      <c r="I109" s="52"/>
      <c r="J109" s="52"/>
      <c r="K109" s="52"/>
      <c r="L109" s="52"/>
    </row>
    <row r="110" spans="4:13" ht="20.100000000000001" customHeight="1" x14ac:dyDescent="0.25">
      <c r="D110" s="34"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52"/>
      <c r="F110" s="52"/>
      <c r="G110" s="52"/>
      <c r="H110" s="52"/>
      <c r="I110" s="52"/>
      <c r="J110" s="52"/>
      <c r="K110" s="52"/>
      <c r="L110" s="52"/>
    </row>
    <row r="111" spans="4:13" ht="20.100000000000001" customHeight="1" x14ac:dyDescent="0.25">
      <c r="D111" s="52"/>
      <c r="E111" s="52"/>
      <c r="F111" s="52"/>
      <c r="G111" s="52"/>
      <c r="H111" s="52"/>
      <c r="I111" s="52"/>
      <c r="J111" s="52"/>
      <c r="K111" s="52"/>
      <c r="L111" s="52"/>
    </row>
    <row r="112" spans="4:13" ht="20.100000000000001" customHeight="1" x14ac:dyDescent="0.25">
      <c r="D112" s="77" t="s">
        <v>120</v>
      </c>
      <c r="E112" s="75" t="s">
        <v>208</v>
      </c>
      <c r="F112" s="75" t="s">
        <v>209</v>
      </c>
      <c r="G112" s="85" t="s">
        <v>332</v>
      </c>
      <c r="H112" s="32" t="s">
        <v>121</v>
      </c>
      <c r="I112" s="52"/>
      <c r="J112" s="52"/>
      <c r="K112" s="52"/>
      <c r="L112" s="52"/>
    </row>
    <row r="113" spans="4:13" ht="20.100000000000001" customHeight="1" x14ac:dyDescent="0.25">
      <c r="D113" s="80" t="s">
        <v>330</v>
      </c>
      <c r="E113" s="80">
        <v>13.1</v>
      </c>
      <c r="F113" s="80">
        <v>14</v>
      </c>
      <c r="G113" s="26" t="s">
        <v>331</v>
      </c>
      <c r="I113" s="52"/>
      <c r="J113" s="52"/>
      <c r="K113" s="52"/>
      <c r="L113" s="52"/>
    </row>
    <row r="114" spans="4:13" ht="20.100000000000001" customHeight="1" x14ac:dyDescent="0.25">
      <c r="D114" s="80" t="s">
        <v>345</v>
      </c>
      <c r="E114" s="80">
        <v>13.1</v>
      </c>
      <c r="F114" s="80">
        <v>14</v>
      </c>
      <c r="G114" s="26" t="s">
        <v>333</v>
      </c>
      <c r="I114" s="52"/>
      <c r="J114" s="52"/>
      <c r="K114" s="52"/>
      <c r="L114" s="52"/>
    </row>
    <row r="115" spans="4:13" ht="20.100000000000001" customHeight="1" x14ac:dyDescent="0.25">
      <c r="D115" s="80" t="s">
        <v>346</v>
      </c>
      <c r="E115" s="80">
        <v>4</v>
      </c>
      <c r="F115" s="80">
        <v>4</v>
      </c>
      <c r="G115" s="26"/>
      <c r="I115" s="52"/>
      <c r="J115" s="52"/>
      <c r="K115" s="52"/>
      <c r="L115" s="52"/>
    </row>
    <row r="116" spans="4:13" ht="20.100000000000001" customHeight="1" x14ac:dyDescent="0.25">
      <c r="D116" s="80" t="s">
        <v>347</v>
      </c>
      <c r="E116" s="80">
        <v>8.8000000000000007</v>
      </c>
      <c r="F116" s="80">
        <v>7.9</v>
      </c>
      <c r="G116" s="26" t="s">
        <v>334</v>
      </c>
      <c r="I116" s="52"/>
      <c r="J116" s="52"/>
      <c r="K116" s="52"/>
      <c r="L116" s="52"/>
    </row>
    <row r="117" spans="4:13" ht="20.100000000000001" customHeight="1" x14ac:dyDescent="0.25">
      <c r="D117" s="80" t="s">
        <v>348</v>
      </c>
      <c r="E117" s="80">
        <v>10.7</v>
      </c>
      <c r="F117" s="80">
        <v>10.6</v>
      </c>
      <c r="G117" s="26"/>
      <c r="I117" s="52"/>
      <c r="J117" s="52"/>
      <c r="K117" s="52"/>
      <c r="L117" s="52"/>
    </row>
    <row r="118" spans="4:13" ht="20.100000000000001" customHeight="1" x14ac:dyDescent="0.25">
      <c r="D118" s="80" t="s">
        <v>200</v>
      </c>
      <c r="E118" s="80">
        <v>4.0999999999999996</v>
      </c>
      <c r="F118" s="80">
        <v>4</v>
      </c>
      <c r="G118" s="26" t="s">
        <v>335</v>
      </c>
      <c r="I118" s="52"/>
      <c r="J118" s="52"/>
      <c r="K118" s="52"/>
      <c r="L118" s="52"/>
    </row>
    <row r="119" spans="4:13" ht="20.100000000000001" customHeight="1" x14ac:dyDescent="0.25">
      <c r="D119" s="80" t="s">
        <v>349</v>
      </c>
      <c r="E119" s="80">
        <v>4</v>
      </c>
      <c r="F119" s="80">
        <v>4</v>
      </c>
      <c r="G119" s="26" t="s">
        <v>331</v>
      </c>
      <c r="I119" s="52"/>
      <c r="J119" s="52"/>
      <c r="K119" s="52"/>
      <c r="L119" s="52"/>
    </row>
    <row r="120" spans="4:13" ht="20.100000000000001" customHeight="1" x14ac:dyDescent="0.25">
      <c r="D120" s="80" t="s">
        <v>350</v>
      </c>
      <c r="E120" s="80">
        <v>4.0999999999999996</v>
      </c>
      <c r="F120" s="80">
        <v>4</v>
      </c>
      <c r="G120" s="26" t="s">
        <v>336</v>
      </c>
      <c r="I120" s="52"/>
      <c r="J120" s="52"/>
      <c r="K120" s="52"/>
      <c r="L120" s="52"/>
    </row>
    <row r="121" spans="4:13" ht="20.100000000000001" customHeight="1" x14ac:dyDescent="0.25">
      <c r="D121" s="19"/>
      <c r="E121" s="19"/>
      <c r="F121" s="19"/>
      <c r="G121" s="26"/>
      <c r="I121" s="52"/>
      <c r="J121" s="52"/>
      <c r="K121" s="52"/>
      <c r="L121" s="52"/>
    </row>
    <row r="122" spans="4:13" ht="20.100000000000001" customHeight="1" x14ac:dyDescent="0.25">
      <c r="D122" s="52"/>
      <c r="F122" s="79"/>
      <c r="G122" s="26" t="s">
        <v>337</v>
      </c>
      <c r="I122" s="52"/>
      <c r="J122" s="52"/>
      <c r="K122" s="52"/>
      <c r="L122" s="52"/>
    </row>
    <row r="123" spans="4:13" ht="20.100000000000001" customHeight="1" x14ac:dyDescent="0.25">
      <c r="D123" s="81"/>
      <c r="F123" s="79"/>
      <c r="G123" s="26" t="s">
        <v>331</v>
      </c>
      <c r="I123" s="52"/>
      <c r="J123" s="52"/>
      <c r="K123" s="52"/>
      <c r="L123" s="52"/>
    </row>
    <row r="124" spans="4:13" ht="20.100000000000001" customHeight="1" x14ac:dyDescent="0.25">
      <c r="D124" s="81"/>
      <c r="F124" s="79"/>
      <c r="G124" s="52" t="s">
        <v>338</v>
      </c>
      <c r="I124" s="52"/>
      <c r="J124" s="52"/>
      <c r="K124" s="52"/>
      <c r="L124" s="52"/>
    </row>
    <row r="125" spans="4:13" ht="20.100000000000001" customHeight="1" x14ac:dyDescent="0.25">
      <c r="D125" s="81"/>
      <c r="F125" s="79"/>
      <c r="G125" s="52" t="s">
        <v>331</v>
      </c>
      <c r="H125" s="52"/>
      <c r="I125" s="52"/>
      <c r="J125" s="52"/>
      <c r="K125" s="52"/>
      <c r="L125" s="52"/>
    </row>
    <row r="126" spans="4:13" ht="20.100000000000001" customHeight="1" x14ac:dyDescent="0.25">
      <c r="D126" s="52"/>
      <c r="E126" s="52"/>
      <c r="F126" s="52"/>
      <c r="G126" s="52" t="s">
        <v>339</v>
      </c>
      <c r="H126" s="52"/>
      <c r="I126" s="52"/>
      <c r="J126" s="52"/>
      <c r="K126" s="52"/>
      <c r="L126" s="52"/>
      <c r="M126" s="52"/>
    </row>
    <row r="127" spans="4:13" ht="20.100000000000001" customHeight="1" x14ac:dyDescent="0.25">
      <c r="D127" s="52"/>
      <c r="E127" s="52"/>
      <c r="F127" s="52"/>
      <c r="G127" s="52" t="s">
        <v>331</v>
      </c>
      <c r="H127" s="52"/>
      <c r="I127" s="52"/>
      <c r="J127" s="52"/>
      <c r="K127" s="52"/>
      <c r="L127" s="52"/>
      <c r="M127" s="52"/>
    </row>
    <row r="128" spans="4:13" ht="20.100000000000001" customHeight="1" x14ac:dyDescent="0.25">
      <c r="D128" s="52"/>
      <c r="E128" s="52"/>
      <c r="F128" s="52"/>
      <c r="G128" s="52" t="s">
        <v>340</v>
      </c>
      <c r="H128" s="52"/>
      <c r="I128" s="52"/>
      <c r="J128" s="52"/>
      <c r="K128" s="52"/>
      <c r="L128" s="52"/>
      <c r="M128" s="52"/>
    </row>
    <row r="129" spans="4:33" ht="20.100000000000001" customHeight="1" x14ac:dyDescent="0.25">
      <c r="D129" s="82"/>
      <c r="E129" s="52"/>
      <c r="F129" s="52"/>
      <c r="G129" s="52"/>
      <c r="H129" s="52"/>
      <c r="I129" s="52"/>
      <c r="J129" s="52"/>
      <c r="K129" s="52"/>
      <c r="L129" s="52"/>
    </row>
    <row r="130" spans="4:33" ht="20.100000000000001" customHeight="1" x14ac:dyDescent="0.25">
      <c r="D130" s="83" t="s">
        <v>96</v>
      </c>
      <c r="E130" s="83" t="s">
        <v>94</v>
      </c>
      <c r="F130" s="83" t="s">
        <v>99</v>
      </c>
      <c r="G130" s="83" t="s">
        <v>341</v>
      </c>
      <c r="H130" s="83" t="s">
        <v>144</v>
      </c>
      <c r="I130" s="83" t="s">
        <v>145</v>
      </c>
      <c r="J130" s="83" t="s">
        <v>143</v>
      </c>
      <c r="K130" s="52"/>
      <c r="L130" s="52"/>
      <c r="M130" s="52"/>
      <c r="AG130" s="1"/>
    </row>
    <row r="131" spans="4:33" ht="20.100000000000001" customHeight="1" x14ac:dyDescent="0.25">
      <c r="D131" s="84" t="str">
        <f>$D$143</f>
        <v>Petrol</v>
      </c>
      <c r="E131" s="84" t="str">
        <f>$D$143</f>
        <v>Petrol</v>
      </c>
      <c r="F131" s="84" t="str">
        <f>$D$150</f>
        <v>Avgas</v>
      </c>
      <c r="G131" s="84"/>
      <c r="H131" s="84" t="str">
        <f>$D$144</f>
        <v>Diesel</v>
      </c>
      <c r="I131" s="84" t="str">
        <f>$D$143</f>
        <v>Petrol</v>
      </c>
      <c r="J131" s="84" t="str">
        <f>$D$143</f>
        <v>Petrol</v>
      </c>
      <c r="K131" s="52"/>
      <c r="L131" s="52"/>
      <c r="M131" s="52"/>
      <c r="AG131" s="1"/>
    </row>
    <row r="132" spans="4:33" ht="20.100000000000001" customHeight="1" x14ac:dyDescent="0.25">
      <c r="D132" s="84" t="str">
        <f>$D$144</f>
        <v>Diesel</v>
      </c>
      <c r="E132" s="84" t="str">
        <f>$D$144</f>
        <v>Diesel</v>
      </c>
      <c r="F132" s="84" t="str">
        <f>$D$151</f>
        <v>Jet A1, Jet B</v>
      </c>
      <c r="G132" s="84" t="s">
        <v>342</v>
      </c>
      <c r="H132" s="84"/>
      <c r="I132" s="84" t="str">
        <f>$D$144</f>
        <v>Diesel</v>
      </c>
      <c r="J132" s="84" t="str">
        <f>$D$144</f>
        <v>Diesel</v>
      </c>
      <c r="K132" s="52"/>
      <c r="L132" s="52"/>
      <c r="M132" s="52"/>
      <c r="AG132" s="1"/>
    </row>
    <row r="133" spans="4:33" ht="20.100000000000001" customHeight="1" x14ac:dyDescent="0.25">
      <c r="D133" s="84" t="str">
        <f>$D$145</f>
        <v>Liquefied petroleum gas (LPG)</v>
      </c>
      <c r="E133" s="84" t="str">
        <f>$D$145</f>
        <v>Liquefied petroleum gas (LPG)</v>
      </c>
      <c r="F133" s="84" t="str">
        <f>$D$152</f>
        <v>Renewable aviation kerosene</v>
      </c>
      <c r="G133" s="84" t="s">
        <v>331</v>
      </c>
      <c r="H133" s="84"/>
      <c r="I133" s="84" t="s">
        <v>134</v>
      </c>
      <c r="J133" s="84" t="str">
        <f>$D$145</f>
        <v>Liquefied petroleum gas (LPG)</v>
      </c>
      <c r="K133" s="52"/>
      <c r="L133" s="52"/>
      <c r="M133" s="52"/>
      <c r="AG133" s="1"/>
    </row>
    <row r="134" spans="4:33" ht="20.100000000000001" customHeight="1" x14ac:dyDescent="0.25">
      <c r="D134" s="84" t="str">
        <f>$D$146</f>
        <v>Biodiesel</v>
      </c>
      <c r="E134" s="84" t="str">
        <f>$D$146</f>
        <v>Biodiesel</v>
      </c>
      <c r="F134" s="83"/>
      <c r="G134" s="84" t="s">
        <v>343</v>
      </c>
      <c r="H134" s="84"/>
      <c r="I134" s="84"/>
      <c r="J134" s="84" t="str">
        <f>$D$146</f>
        <v>Biodiesel</v>
      </c>
      <c r="K134" s="52"/>
      <c r="L134" s="52"/>
      <c r="M134" s="52"/>
      <c r="AG134" s="1"/>
    </row>
    <row r="135" spans="4:33" ht="20.100000000000001" customHeight="1" x14ac:dyDescent="0.25">
      <c r="D135" s="84" t="str">
        <f>$D$147</f>
        <v>Ethanol</v>
      </c>
      <c r="E135" s="84" t="str">
        <f>$D$147</f>
        <v>Ethanol</v>
      </c>
      <c r="F135" s="83"/>
      <c r="G135" s="84"/>
      <c r="H135" s="84"/>
      <c r="I135" s="84"/>
      <c r="J135" s="84" t="str">
        <f>$D$147</f>
        <v>Ethanol</v>
      </c>
      <c r="K135" s="52"/>
      <c r="L135" s="52"/>
      <c r="M135" s="52"/>
      <c r="AG135" s="1"/>
    </row>
    <row r="136" spans="4:33" ht="20.100000000000001" customHeight="1" x14ac:dyDescent="0.25">
      <c r="D136" s="84" t="str">
        <f>$D$148</f>
        <v>Other biofuels</v>
      </c>
      <c r="E136" s="84" t="str">
        <f>$D$148</f>
        <v>Other biofuels</v>
      </c>
      <c r="F136" s="83"/>
      <c r="G136" s="84" t="s">
        <v>344</v>
      </c>
      <c r="H136" s="84"/>
      <c r="I136" s="84"/>
      <c r="J136" s="84" t="str">
        <f>$D$148</f>
        <v>Other biofuels</v>
      </c>
      <c r="K136" s="52"/>
      <c r="L136" s="52"/>
      <c r="M136" s="52"/>
      <c r="AG136" s="1"/>
    </row>
    <row r="137" spans="4:33" ht="20.100000000000001" customHeight="1" x14ac:dyDescent="0.25">
      <c r="D137" s="84" t="str">
        <f>$D$149</f>
        <v>Renewable diesel</v>
      </c>
      <c r="E137" s="84" t="str">
        <f>$D$149</f>
        <v>Renewable diesel</v>
      </c>
      <c r="F137" s="83"/>
      <c r="G137" s="84" t="str">
        <f>$D$149</f>
        <v>Renewable diesel</v>
      </c>
      <c r="H137" s="84"/>
      <c r="I137" s="84"/>
      <c r="J137" s="84" t="str">
        <f>$D$149</f>
        <v>Renewable diesel</v>
      </c>
      <c r="K137" s="52"/>
      <c r="L137" s="52"/>
      <c r="M137" s="52"/>
      <c r="AG137" s="1"/>
    </row>
    <row r="138" spans="4:33" ht="20.100000000000001" customHeight="1" x14ac:dyDescent="0.25">
      <c r="D138" s="83"/>
      <c r="E138" s="85" t="str">
        <f>$D$161</f>
        <v>Natural gas (via pipeline) in GJ</v>
      </c>
      <c r="F138" s="85"/>
      <c r="G138" s="84" t="str">
        <f>$D$148</f>
        <v>Other biofuels</v>
      </c>
      <c r="H138" s="84"/>
      <c r="I138" s="84"/>
      <c r="J138" s="85" t="str">
        <f>$D$161</f>
        <v>Natural gas (via pipeline) in GJ</v>
      </c>
      <c r="K138" s="52"/>
      <c r="L138" s="52"/>
      <c r="M138" s="52"/>
      <c r="AG138" s="1"/>
    </row>
    <row r="139" spans="4:33" ht="20.100000000000001" customHeight="1" x14ac:dyDescent="0.25">
      <c r="D139" s="85"/>
      <c r="E139" s="85" t="str">
        <f>$D$162</f>
        <v>Town gas in GJ</v>
      </c>
      <c r="F139" s="85"/>
      <c r="G139" s="85"/>
      <c r="H139" s="85"/>
      <c r="I139" s="85"/>
      <c r="J139" s="85" t="str">
        <f>$D$162</f>
        <v>Town gas in GJ</v>
      </c>
      <c r="K139" s="52"/>
      <c r="L139" s="52"/>
      <c r="M139" s="52"/>
      <c r="AG139" s="1"/>
    </row>
    <row r="140" spans="4:33" ht="20.100000000000001" customHeight="1" x14ac:dyDescent="0.25">
      <c r="D140" s="52"/>
      <c r="E140" s="52"/>
      <c r="F140" s="52"/>
      <c r="G140" s="52"/>
      <c r="H140" s="52"/>
      <c r="I140" s="52"/>
      <c r="J140" s="52"/>
      <c r="K140" s="52"/>
      <c r="L140" s="52"/>
    </row>
    <row r="141" spans="4:33" ht="20.100000000000001" customHeight="1" x14ac:dyDescent="0.25">
      <c r="D141" s="52"/>
      <c r="E141" s="52"/>
      <c r="F141" s="52"/>
      <c r="G141" s="52"/>
      <c r="H141" s="52"/>
      <c r="I141" s="52"/>
      <c r="J141" s="52"/>
      <c r="K141" s="52"/>
      <c r="L141" s="52"/>
    </row>
    <row r="142" spans="4:33" ht="20.100000000000001" customHeight="1" x14ac:dyDescent="0.25">
      <c r="D142" t="s">
        <v>122</v>
      </c>
      <c r="E142" t="s">
        <v>5</v>
      </c>
      <c r="F142" s="52"/>
      <c r="G142" s="52"/>
      <c r="H142" s="52"/>
      <c r="I142" s="52"/>
      <c r="J142" s="52"/>
      <c r="K142" s="52"/>
      <c r="L142" s="52"/>
    </row>
    <row r="143" spans="4:33" ht="20.100000000000001" customHeight="1" x14ac:dyDescent="0.25">
      <c r="D143" s="84" t="s">
        <v>97</v>
      </c>
      <c r="E143" t="s">
        <v>123</v>
      </c>
      <c r="F143" s="52"/>
      <c r="G143" s="52"/>
      <c r="H143" s="52"/>
      <c r="I143" s="52"/>
      <c r="J143" s="52"/>
      <c r="K143" s="52"/>
      <c r="L143" s="52"/>
    </row>
    <row r="144" spans="4:33" ht="20.100000000000001" customHeight="1" x14ac:dyDescent="0.25">
      <c r="D144" s="84" t="s">
        <v>104</v>
      </c>
      <c r="E144" t="s">
        <v>123</v>
      </c>
      <c r="F144" s="52"/>
      <c r="G144" s="52"/>
      <c r="H144" s="52"/>
      <c r="I144" s="52"/>
      <c r="J144" s="52"/>
      <c r="K144" s="52"/>
      <c r="L144" s="52"/>
    </row>
    <row r="145" spans="4:12" ht="20.100000000000001" customHeight="1" x14ac:dyDescent="0.25">
      <c r="D145" s="84" t="s">
        <v>105</v>
      </c>
      <c r="E145" t="s">
        <v>123</v>
      </c>
      <c r="F145" s="52"/>
      <c r="G145" s="52"/>
      <c r="H145" s="52"/>
      <c r="I145" s="52"/>
      <c r="J145" s="52"/>
      <c r="K145" s="52"/>
      <c r="L145" s="52"/>
    </row>
    <row r="146" spans="4:12" ht="20.100000000000001" customHeight="1" x14ac:dyDescent="0.25">
      <c r="D146" s="84" t="s">
        <v>124</v>
      </c>
      <c r="E146" t="s">
        <v>123</v>
      </c>
      <c r="F146" s="52"/>
      <c r="G146" s="52"/>
      <c r="H146" s="52"/>
      <c r="I146" s="52"/>
      <c r="J146" s="52"/>
      <c r="K146" s="52"/>
      <c r="L146" s="52"/>
    </row>
    <row r="147" spans="4:12" ht="20.100000000000001" customHeight="1" x14ac:dyDescent="0.25">
      <c r="D147" s="84" t="s">
        <v>95</v>
      </c>
      <c r="E147" t="s">
        <v>123</v>
      </c>
      <c r="F147" s="52"/>
      <c r="G147" s="52"/>
      <c r="H147" s="52"/>
      <c r="I147" s="52"/>
      <c r="J147" s="52"/>
      <c r="K147" s="52"/>
      <c r="L147" s="52"/>
    </row>
    <row r="148" spans="4:12" ht="20.100000000000001" customHeight="1" x14ac:dyDescent="0.25">
      <c r="D148" s="84" t="s">
        <v>125</v>
      </c>
      <c r="E148" t="s">
        <v>123</v>
      </c>
      <c r="F148" s="52"/>
      <c r="G148" s="52"/>
      <c r="H148" s="52"/>
      <c r="I148" s="52"/>
      <c r="J148" s="52"/>
      <c r="K148" s="52"/>
      <c r="L148" s="52"/>
    </row>
    <row r="149" spans="4:12" ht="20.100000000000001" customHeight="1" x14ac:dyDescent="0.25">
      <c r="D149" s="84" t="s">
        <v>126</v>
      </c>
      <c r="E149" t="s">
        <v>123</v>
      </c>
      <c r="F149" s="52"/>
      <c r="G149" s="52"/>
      <c r="H149" s="52"/>
      <c r="I149" s="52"/>
      <c r="J149" s="52"/>
      <c r="K149" s="52"/>
      <c r="L149" s="52"/>
    </row>
    <row r="150" spans="4:12" ht="20.100000000000001" customHeight="1" x14ac:dyDescent="0.25">
      <c r="D150" s="84" t="s">
        <v>127</v>
      </c>
      <c r="E150" t="s">
        <v>123</v>
      </c>
      <c r="F150" s="52"/>
      <c r="G150" s="52"/>
      <c r="H150" s="52"/>
      <c r="I150" s="52"/>
      <c r="J150" s="52"/>
      <c r="K150" s="52"/>
      <c r="L150" s="52"/>
    </row>
    <row r="151" spans="4:12" ht="20.100000000000001" customHeight="1" x14ac:dyDescent="0.25">
      <c r="D151" s="84" t="s">
        <v>100</v>
      </c>
      <c r="E151" t="s">
        <v>123</v>
      </c>
      <c r="F151" s="52"/>
      <c r="G151" s="52"/>
      <c r="H151" s="52"/>
      <c r="I151" s="52"/>
      <c r="J151" s="52"/>
      <c r="K151" s="52"/>
      <c r="L151" s="52"/>
    </row>
    <row r="152" spans="4:12" ht="20.100000000000001" customHeight="1" x14ac:dyDescent="0.25">
      <c r="D152" s="86" t="s">
        <v>128</v>
      </c>
      <c r="E152" s="19" t="s">
        <v>123</v>
      </c>
      <c r="F152" s="52"/>
      <c r="G152" s="52"/>
      <c r="H152" s="52"/>
      <c r="I152" s="52"/>
      <c r="J152" s="52"/>
      <c r="K152" s="52"/>
      <c r="L152" s="52"/>
    </row>
    <row r="153" spans="4:12" ht="20.100000000000001" customHeight="1" x14ac:dyDescent="0.25">
      <c r="D153" s="86" t="s">
        <v>101</v>
      </c>
      <c r="E153" s="19" t="s">
        <v>123</v>
      </c>
      <c r="F153" s="52"/>
      <c r="G153" s="52"/>
      <c r="H153" s="52"/>
      <c r="I153" s="52"/>
      <c r="J153" s="52"/>
      <c r="K153" s="52"/>
      <c r="L153" s="52"/>
    </row>
    <row r="154" spans="4:12" ht="20.100000000000001" customHeight="1" x14ac:dyDescent="0.25">
      <c r="D154" s="86" t="s">
        <v>102</v>
      </c>
      <c r="E154" s="19" t="s">
        <v>123</v>
      </c>
      <c r="F154" s="52"/>
      <c r="G154" s="52"/>
      <c r="H154" s="52"/>
      <c r="I154" s="52"/>
      <c r="J154" s="52"/>
      <c r="K154" s="52"/>
      <c r="L154" s="52"/>
    </row>
    <row r="155" spans="4:12" ht="20.100000000000001" customHeight="1" x14ac:dyDescent="0.25">
      <c r="D155" s="86" t="s">
        <v>129</v>
      </c>
      <c r="E155" s="19" t="s">
        <v>123</v>
      </c>
      <c r="F155" s="52"/>
      <c r="G155" s="52"/>
      <c r="H155" s="52"/>
      <c r="I155" s="52"/>
      <c r="J155" s="52"/>
      <c r="K155" s="52"/>
      <c r="L155" s="52"/>
    </row>
    <row r="156" spans="4:12" ht="20.100000000000001" customHeight="1" x14ac:dyDescent="0.25">
      <c r="D156" s="86" t="s">
        <v>130</v>
      </c>
      <c r="E156" s="19" t="s">
        <v>123</v>
      </c>
      <c r="F156" s="52"/>
      <c r="G156" s="52"/>
      <c r="H156" s="52"/>
      <c r="I156" s="52"/>
      <c r="J156" s="52"/>
      <c r="K156" s="52"/>
      <c r="L156" s="52"/>
    </row>
    <row r="157" spans="4:12" ht="20.100000000000001" customHeight="1" x14ac:dyDescent="0.25">
      <c r="D157" s="86" t="s">
        <v>131</v>
      </c>
      <c r="E157" s="19" t="s">
        <v>123</v>
      </c>
      <c r="F157" s="52"/>
      <c r="G157" s="52"/>
      <c r="H157" s="52"/>
      <c r="I157" s="52"/>
      <c r="J157" s="52"/>
      <c r="K157" s="52"/>
      <c r="L157" s="52"/>
    </row>
    <row r="158" spans="4:12" ht="20.100000000000001" customHeight="1" x14ac:dyDescent="0.25">
      <c r="D158" s="86" t="s">
        <v>132</v>
      </c>
      <c r="E158" s="19" t="s">
        <v>123</v>
      </c>
      <c r="F158" s="52"/>
      <c r="G158" s="52"/>
      <c r="H158" s="52"/>
      <c r="I158" s="52"/>
      <c r="J158" s="52"/>
      <c r="K158" s="52"/>
      <c r="L158" s="52"/>
    </row>
    <row r="159" spans="4:12" ht="20.100000000000001" customHeight="1" x14ac:dyDescent="0.25">
      <c r="D159" s="86" t="s">
        <v>133</v>
      </c>
      <c r="E159" s="19" t="s">
        <v>123</v>
      </c>
      <c r="F159" s="52"/>
      <c r="G159" s="52"/>
      <c r="H159" s="52"/>
      <c r="I159" s="52"/>
      <c r="J159" s="52"/>
      <c r="K159" s="52"/>
      <c r="L159" s="52"/>
    </row>
    <row r="160" spans="4:12" ht="20.100000000000001" customHeight="1" x14ac:dyDescent="0.25">
      <c r="D160" s="86" t="s">
        <v>134</v>
      </c>
      <c r="E160" s="19" t="s">
        <v>123</v>
      </c>
      <c r="F160" s="52"/>
      <c r="G160" s="52"/>
      <c r="H160" s="52"/>
      <c r="I160" s="52"/>
      <c r="J160" s="52"/>
      <c r="K160" s="52"/>
      <c r="L160" s="52"/>
    </row>
    <row r="161" spans="4:12" ht="20.100000000000001" customHeight="1" x14ac:dyDescent="0.25">
      <c r="D161" s="85" t="s">
        <v>98</v>
      </c>
      <c r="E161" s="52" t="s">
        <v>135</v>
      </c>
      <c r="F161" s="52"/>
      <c r="G161" s="52"/>
      <c r="H161" s="52"/>
      <c r="I161" s="52"/>
      <c r="J161" s="52"/>
      <c r="K161" s="52"/>
      <c r="L161" s="52"/>
    </row>
    <row r="162" spans="4:12" ht="20.100000000000001" customHeight="1" x14ac:dyDescent="0.25">
      <c r="D162" s="52" t="s">
        <v>106</v>
      </c>
      <c r="E162" s="52" t="s">
        <v>135</v>
      </c>
      <c r="F162" s="52"/>
      <c r="G162" s="52"/>
      <c r="H162" s="52"/>
      <c r="I162" s="52"/>
      <c r="J162" s="52"/>
      <c r="K162" s="52"/>
      <c r="L162" s="52"/>
    </row>
    <row r="163" spans="4:12" ht="20.100000000000001" customHeight="1" x14ac:dyDescent="0.25"/>
    <row r="164" spans="4:12" ht="20.100000000000001" customHeight="1" x14ac:dyDescent="0.25"/>
    <row r="165" spans="4:12" ht="20.100000000000001" customHeight="1" x14ac:dyDescent="0.25"/>
  </sheetData>
  <phoneticPr fontId="21" type="noConversion"/>
  <pageMargins left="0.7" right="0.7" top="0.75" bottom="0.75" header="0.3" footer="0.3"/>
  <ignoredErrors>
    <ignoredError sqref="H131" formula="1"/>
  </ignoredErrors>
  <tableParts count="7">
    <tablePart r:id="rId1"/>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A7FC7-4EBC-403C-963C-03C31DE9D523}">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45</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0"/>
      <c r="W3" s="10"/>
    </row>
    <row r="4" spans="1:65" ht="20.100000000000001" customHeight="1" x14ac:dyDescent="0.25">
      <c r="A4"/>
      <c r="BM4" s="3"/>
    </row>
    <row r="5" spans="1:65" ht="20.100000000000001" customHeight="1" x14ac:dyDescent="0.25">
      <c r="A5"/>
      <c r="D5" s="6" t="s">
        <v>351</v>
      </c>
      <c r="BM5" s="3"/>
    </row>
    <row r="6" spans="1:65" ht="20.100000000000001" customHeight="1" x14ac:dyDescent="0.25">
      <c r="A6"/>
      <c r="D6" s="28" t="s">
        <v>6</v>
      </c>
      <c r="E6" s="28" t="s">
        <v>7</v>
      </c>
      <c r="F6" s="28" t="s">
        <v>8</v>
      </c>
    </row>
    <row r="7" spans="1:65" ht="20.100000000000001" customHeight="1" x14ac:dyDescent="0.25">
      <c r="A7"/>
      <c r="D7" s="28" t="s">
        <v>330</v>
      </c>
      <c r="E7" s="28" t="s">
        <v>330</v>
      </c>
      <c r="F7" s="28" t="s">
        <v>352</v>
      </c>
    </row>
    <row r="8" spans="1:65" ht="20.100000000000001" customHeight="1" x14ac:dyDescent="0.25">
      <c r="A8"/>
      <c r="D8" s="28" t="s">
        <v>353</v>
      </c>
      <c r="E8" s="28" t="s">
        <v>345</v>
      </c>
      <c r="F8" s="28" t="s">
        <v>345</v>
      </c>
    </row>
    <row r="9" spans="1:65" ht="20.100000000000001" customHeight="1" x14ac:dyDescent="0.25">
      <c r="A9"/>
      <c r="D9" s="28" t="s">
        <v>346</v>
      </c>
      <c r="E9" s="28" t="s">
        <v>346</v>
      </c>
      <c r="F9" s="28" t="s">
        <v>354</v>
      </c>
    </row>
    <row r="10" spans="1:65" ht="20.100000000000001" customHeight="1" x14ac:dyDescent="0.25">
      <c r="A10"/>
      <c r="D10" s="28" t="s">
        <v>347</v>
      </c>
      <c r="E10" s="28" t="s">
        <v>347</v>
      </c>
      <c r="F10" s="28" t="s">
        <v>355</v>
      </c>
    </row>
    <row r="11" spans="1:65" ht="20.100000000000001" customHeight="1" x14ac:dyDescent="0.25">
      <c r="A11"/>
      <c r="D11" s="28" t="s">
        <v>348</v>
      </c>
      <c r="E11" s="28" t="s">
        <v>348</v>
      </c>
      <c r="F11" s="28" t="s">
        <v>356</v>
      </c>
      <c r="BM11" s="3"/>
    </row>
    <row r="12" spans="1:65" ht="20.100000000000001" customHeight="1" x14ac:dyDescent="0.25">
      <c r="A12"/>
      <c r="D12" s="28" t="s">
        <v>200</v>
      </c>
      <c r="E12" s="28" t="s">
        <v>200</v>
      </c>
      <c r="F12" s="28" t="s">
        <v>357</v>
      </c>
      <c r="BM12" s="3"/>
    </row>
    <row r="13" spans="1:65" ht="20.100000000000001" customHeight="1" x14ac:dyDescent="0.25">
      <c r="A13"/>
      <c r="D13" s="28" t="s">
        <v>349</v>
      </c>
      <c r="E13" s="28" t="s">
        <v>349</v>
      </c>
      <c r="F13" s="28" t="s">
        <v>358</v>
      </c>
    </row>
    <row r="14" spans="1:65" ht="20.100000000000001" customHeight="1" x14ac:dyDescent="0.25">
      <c r="A14"/>
      <c r="D14" s="28" t="s">
        <v>350</v>
      </c>
      <c r="E14" s="28" t="s">
        <v>350</v>
      </c>
      <c r="F14" s="28" t="s">
        <v>359</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360</v>
      </c>
    </row>
    <row r="19" spans="1:4" ht="20.100000000000001" customHeight="1" x14ac:dyDescent="0.25">
      <c r="A19"/>
      <c r="D19" s="5" t="s">
        <v>361</v>
      </c>
    </row>
    <row r="20" spans="1:4" ht="20.100000000000001" customHeight="1" x14ac:dyDescent="0.25">
      <c r="A20"/>
      <c r="D20" s="28" t="s">
        <v>9</v>
      </c>
    </row>
    <row r="21" spans="1:4" ht="20.100000000000001" customHeight="1" x14ac:dyDescent="0.25">
      <c r="A21"/>
      <c r="D21" s="28" t="s">
        <v>362</v>
      </c>
    </row>
    <row r="22" spans="1:4" ht="20.100000000000001" customHeight="1" x14ac:dyDescent="0.25">
      <c r="A22"/>
      <c r="D22" s="28" t="s">
        <v>363</v>
      </c>
    </row>
    <row r="23" spans="1:4" ht="20.100000000000001" customHeight="1" x14ac:dyDescent="0.25">
      <c r="A23"/>
      <c r="D23" s="28" t="s">
        <v>364</v>
      </c>
    </row>
    <row r="24" spans="1:4" ht="20.100000000000001" customHeight="1" x14ac:dyDescent="0.25">
      <c r="A24"/>
      <c r="D24" s="28" t="s">
        <v>365</v>
      </c>
    </row>
    <row r="25" spans="1:4" ht="20.100000000000001" customHeight="1" x14ac:dyDescent="0.25">
      <c r="A25"/>
      <c r="D25" s="28" t="s">
        <v>366</v>
      </c>
    </row>
    <row r="26" spans="1:4" ht="20.100000000000001" customHeight="1" x14ac:dyDescent="0.25">
      <c r="A26"/>
      <c r="D26" s="28" t="s">
        <v>367</v>
      </c>
    </row>
    <row r="27" spans="1:4" ht="20.100000000000001" customHeight="1" x14ac:dyDescent="0.25">
      <c r="A27"/>
      <c r="D27" s="28" t="s">
        <v>368</v>
      </c>
    </row>
    <row r="28" spans="1:4" ht="20.100000000000001" customHeight="1" x14ac:dyDescent="0.25">
      <c r="A28"/>
      <c r="D28" s="28" t="s">
        <v>369</v>
      </c>
    </row>
    <row r="29" spans="1:4" ht="20.100000000000001" customHeight="1" x14ac:dyDescent="0.25">
      <c r="A29"/>
      <c r="D29" s="28" t="s">
        <v>370</v>
      </c>
    </row>
    <row r="30" spans="1:4" ht="20.100000000000001" customHeight="1" x14ac:dyDescent="0.25">
      <c r="A30"/>
      <c r="D30" s="28" t="s">
        <v>203</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371</v>
      </c>
    </row>
    <row r="35" spans="1:8" ht="20.100000000000001" customHeight="1" x14ac:dyDescent="0.25">
      <c r="A35"/>
      <c r="D35" s="5" t="s">
        <v>372</v>
      </c>
    </row>
    <row r="36" spans="1:8" ht="20.100000000000001" customHeight="1" x14ac:dyDescent="0.25">
      <c r="A36"/>
      <c r="D36" s="28" t="s">
        <v>10</v>
      </c>
      <c r="E36" s="28" t="s">
        <v>11</v>
      </c>
    </row>
    <row r="37" spans="1:8" ht="20.100000000000001" customHeight="1" x14ac:dyDescent="0.25">
      <c r="A37"/>
      <c r="D37" s="28" t="s">
        <v>156</v>
      </c>
      <c r="E37" s="28">
        <v>1</v>
      </c>
    </row>
    <row r="38" spans="1:8" ht="20.100000000000001" customHeight="1" x14ac:dyDescent="0.25">
      <c r="A38"/>
      <c r="D38" s="28" t="s">
        <v>157</v>
      </c>
      <c r="E38" s="28">
        <v>28</v>
      </c>
    </row>
    <row r="39" spans="1:8" ht="20.100000000000001" customHeight="1" x14ac:dyDescent="0.25">
      <c r="A39"/>
      <c r="D39" s="28" t="s">
        <v>158</v>
      </c>
      <c r="E39" s="28">
        <v>265</v>
      </c>
    </row>
    <row r="40" spans="1:8" ht="20.100000000000001" customHeight="1" x14ac:dyDescent="0.25">
      <c r="A40"/>
      <c r="D40" s="28" t="s">
        <v>373</v>
      </c>
      <c r="E40" s="28">
        <v>6630</v>
      </c>
    </row>
    <row r="41" spans="1:8" ht="20.100000000000001" customHeight="1" x14ac:dyDescent="0.25">
      <c r="A41"/>
      <c r="D41" s="28" t="s">
        <v>374</v>
      </c>
      <c r="E41" s="28">
        <v>12200</v>
      </c>
    </row>
    <row r="42" spans="1:8" ht="20.100000000000001" customHeight="1" x14ac:dyDescent="0.25">
      <c r="D42" s="28" t="s">
        <v>375</v>
      </c>
      <c r="E42" s="28">
        <v>22800</v>
      </c>
    </row>
    <row r="43" spans="1:8" ht="20.100000000000001" customHeight="1" x14ac:dyDescent="0.25">
      <c r="D43" s="28" t="s">
        <v>376</v>
      </c>
      <c r="E43" s="28">
        <v>17200</v>
      </c>
    </row>
    <row r="44" spans="1:8" ht="20.100000000000001" customHeight="1" x14ac:dyDescent="0.25"/>
    <row r="45" spans="1:8" ht="20.100000000000001" customHeight="1" x14ac:dyDescent="0.25">
      <c r="D45" s="6" t="s">
        <v>377</v>
      </c>
    </row>
    <row r="46" spans="1:8" ht="20.100000000000001" customHeight="1" x14ac:dyDescent="0.25">
      <c r="D46" s="5" t="s">
        <v>372</v>
      </c>
    </row>
    <row r="47" spans="1:8" ht="20.100000000000001" customHeight="1" x14ac:dyDescent="0.25">
      <c r="D47" s="28" t="s">
        <v>10</v>
      </c>
      <c r="E47" s="28" t="s">
        <v>13</v>
      </c>
      <c r="F47" s="28" t="s">
        <v>14</v>
      </c>
      <c r="G47" s="28" t="s">
        <v>15</v>
      </c>
      <c r="H47" s="28" t="s">
        <v>16</v>
      </c>
    </row>
    <row r="48" spans="1:8" ht="20.100000000000001" customHeight="1" x14ac:dyDescent="0.25">
      <c r="D48" s="28" t="s">
        <v>156</v>
      </c>
      <c r="E48" s="28" t="s">
        <v>378</v>
      </c>
      <c r="F48" s="28">
        <v>44</v>
      </c>
      <c r="G48" s="28">
        <v>12</v>
      </c>
      <c r="H48" s="28">
        <f>Table_GasToMolecularConversionFactor[[#This Row],[Conversion factor 1]]/Table_GasToMolecularConversionFactor[[#This Row],[Conversion factor 2]]</f>
        <v>3.6666666666666665</v>
      </c>
    </row>
    <row r="49" spans="4:8" ht="20.100000000000001" customHeight="1" x14ac:dyDescent="0.25">
      <c r="D49" s="28" t="s">
        <v>157</v>
      </c>
      <c r="E49" s="28" t="s">
        <v>379</v>
      </c>
      <c r="F49" s="28">
        <v>16</v>
      </c>
      <c r="G49" s="28">
        <v>12</v>
      </c>
      <c r="H49" s="28">
        <f>Table_GasToMolecularConversionFactor[[#This Row],[Conversion factor 1]]/Table_GasToMolecularConversionFactor[[#This Row],[Conversion factor 2]]</f>
        <v>1.3333333333333333</v>
      </c>
    </row>
    <row r="50" spans="4:8" ht="20.100000000000001" customHeight="1" x14ac:dyDescent="0.25">
      <c r="D50" s="28" t="s">
        <v>158</v>
      </c>
      <c r="E50" s="28" t="s">
        <v>380</v>
      </c>
      <c r="F50" s="28">
        <v>44</v>
      </c>
      <c r="G50" s="28">
        <v>28</v>
      </c>
      <c r="H50" s="28">
        <f>Table_GasToMolecularConversionFactor[[#This Row],[Conversion factor 1]]/Table_GasToMolecularConversionFactor[[#This Row],[Conversion factor 2]]</f>
        <v>1.5714285714285714</v>
      </c>
    </row>
    <row r="51" spans="4:8" ht="20.100000000000001" customHeight="1" x14ac:dyDescent="0.25">
      <c r="D51" s="28" t="s">
        <v>381</v>
      </c>
      <c r="E51" s="28" t="s">
        <v>382</v>
      </c>
      <c r="F51" s="28">
        <v>46</v>
      </c>
      <c r="G51" s="28">
        <v>14</v>
      </c>
      <c r="H51" s="28">
        <f>Table_GasToMolecularConversionFactor[[#This Row],[Conversion factor 1]]/Table_GasToMolecularConversionFactor[[#This Row],[Conversion factor 2]]</f>
        <v>3.2857142857142856</v>
      </c>
    </row>
    <row r="52" spans="4:8" ht="20.100000000000001" customHeight="1" x14ac:dyDescent="0.25">
      <c r="D52" s="28" t="s">
        <v>383</v>
      </c>
      <c r="E52" s="28" t="s">
        <v>384</v>
      </c>
      <c r="F52" s="28">
        <v>28</v>
      </c>
      <c r="G52" s="28">
        <v>12</v>
      </c>
      <c r="H52" s="28">
        <f>Table_GasToMolecularConversionFactor[[#This Row],[Conversion factor 1]]/Table_GasToMolecularConversionFactor[[#This Row],[Conversion factor 2]]</f>
        <v>2.3333333333333335</v>
      </c>
    </row>
    <row r="53" spans="4:8" ht="20.100000000000001" customHeight="1" x14ac:dyDescent="0.25">
      <c r="D53" s="28" t="s">
        <v>385</v>
      </c>
      <c r="E53" s="28" t="s">
        <v>378</v>
      </c>
      <c r="F53" s="28">
        <v>44</v>
      </c>
      <c r="G53" s="28">
        <v>12</v>
      </c>
      <c r="H53" s="28">
        <f>Table_GasToMolecularConversionFactor[[#This Row],[Conversion factor 1]]/Table_GasToMolecularConversionFactor[[#This Row],[Conversion factor 2]]</f>
        <v>3.6666666666666665</v>
      </c>
    </row>
    <row r="54" spans="4:8" ht="20.100000000000001" customHeight="1" x14ac:dyDescent="0.25">
      <c r="D54" s="28" t="s">
        <v>386</v>
      </c>
      <c r="E54" s="28" t="s">
        <v>387</v>
      </c>
      <c r="F54" s="28">
        <v>14</v>
      </c>
      <c r="G54" s="28">
        <v>12</v>
      </c>
      <c r="H54" s="28">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388</v>
      </c>
    </row>
    <row r="58" spans="4:8" ht="20.100000000000001" customHeight="1" x14ac:dyDescent="0.25">
      <c r="D58" s="5" t="s">
        <v>389</v>
      </c>
    </row>
    <row r="59" spans="4:8" ht="20.100000000000001" customHeight="1" x14ac:dyDescent="0.25">
      <c r="D59" s="34" t="str" cm="1">
        <f t="array" ref="D59:D61">"⚠️" &amp; Common_SourceData.Common_SourceData_WetAndDryZones_Variation()</f>
        <v>⚠️VARIATION OF SOURCE DATA:</v>
      </c>
    </row>
    <row r="60" spans="4:8" ht="20.100000000000001" customHeight="1" x14ac:dyDescent="0.25">
      <c r="D60" s="34" t="str">
        <v>⚠️Added warm / cool temperate moist / dry - low frost and high temp classes to accommodate climate scenarios excluded by VEERG criteria.</v>
      </c>
    </row>
    <row r="61" spans="4:8" ht="20.100000000000001" customHeight="1" x14ac:dyDescent="0.25">
      <c r="D61" s="34" t="str">
        <v>⚠️Fixed typo - Changed 'Fry' to 'Dry'.</v>
      </c>
    </row>
    <row r="62" spans="4:8" ht="20.100000000000001" customHeight="1" x14ac:dyDescent="0.25"/>
    <row r="63" spans="4:8" ht="20.100000000000001" customHeight="1" x14ac:dyDescent="0.25">
      <c r="D63" s="28" t="s">
        <v>4</v>
      </c>
      <c r="E63" s="28" t="s">
        <v>30</v>
      </c>
    </row>
    <row r="64" spans="4:8" ht="20.100000000000001" customHeight="1" x14ac:dyDescent="0.25">
      <c r="D64" s="28" t="s">
        <v>390</v>
      </c>
      <c r="E64" s="28" t="s">
        <v>391</v>
      </c>
    </row>
    <row r="65" spans="4:5" ht="20.100000000000001" customHeight="1" x14ac:dyDescent="0.25">
      <c r="D65" s="28" t="s">
        <v>392</v>
      </c>
      <c r="E65" s="28" t="s">
        <v>391</v>
      </c>
    </row>
    <row r="66" spans="4:5" ht="20.100000000000001" customHeight="1" x14ac:dyDescent="0.25">
      <c r="D66" s="28" t="s">
        <v>393</v>
      </c>
      <c r="E66" s="28" t="s">
        <v>391</v>
      </c>
    </row>
    <row r="67" spans="4:5" ht="20.100000000000001" customHeight="1" x14ac:dyDescent="0.25">
      <c r="D67" s="28" t="s">
        <v>394</v>
      </c>
      <c r="E67" s="28" t="s">
        <v>395</v>
      </c>
    </row>
    <row r="68" spans="4:5" ht="20.100000000000001" customHeight="1" x14ac:dyDescent="0.25">
      <c r="D68" s="28" t="s">
        <v>396</v>
      </c>
      <c r="E68" s="28" t="s">
        <v>391</v>
      </c>
    </row>
    <row r="69" spans="4:5" ht="20.100000000000001" customHeight="1" x14ac:dyDescent="0.25">
      <c r="D69" s="28" t="s">
        <v>397</v>
      </c>
      <c r="E69" s="28" t="s">
        <v>395</v>
      </c>
    </row>
    <row r="70" spans="4:5" ht="20.100000000000001" customHeight="1" x14ac:dyDescent="0.25">
      <c r="D70" s="28" t="s">
        <v>398</v>
      </c>
      <c r="E70" s="28" t="s">
        <v>391</v>
      </c>
    </row>
    <row r="71" spans="4:5" ht="20.100000000000001" customHeight="1" x14ac:dyDescent="0.25">
      <c r="D71" s="28" t="s">
        <v>399</v>
      </c>
      <c r="E71" s="28" t="s">
        <v>395</v>
      </c>
    </row>
    <row r="72" spans="4:5" ht="20.100000000000001" customHeight="1" x14ac:dyDescent="0.25">
      <c r="D72" s="28" t="s">
        <v>400</v>
      </c>
      <c r="E72" s="28" t="s">
        <v>391</v>
      </c>
    </row>
    <row r="73" spans="4:5" ht="20.100000000000001" customHeight="1" x14ac:dyDescent="0.25">
      <c r="D73" s="28" t="s">
        <v>401</v>
      </c>
      <c r="E73" s="28" t="s">
        <v>395</v>
      </c>
    </row>
    <row r="74" spans="4:5" ht="20.100000000000001" customHeight="1" x14ac:dyDescent="0.25">
      <c r="D74" s="28" t="s">
        <v>402</v>
      </c>
      <c r="E74" s="28" t="s">
        <v>391</v>
      </c>
    </row>
    <row r="75" spans="4:5" ht="20.100000000000001" customHeight="1" x14ac:dyDescent="0.25">
      <c r="D75" s="28" t="s">
        <v>403</v>
      </c>
      <c r="E75" s="28" t="s">
        <v>395</v>
      </c>
    </row>
    <row r="76" spans="4:5" ht="20.100000000000001" customHeight="1" x14ac:dyDescent="0.25">
      <c r="D76" s="28" t="s">
        <v>404</v>
      </c>
      <c r="E76" s="28" t="s">
        <v>391</v>
      </c>
    </row>
    <row r="77" spans="4:5" ht="20.100000000000001" customHeight="1" x14ac:dyDescent="0.25">
      <c r="D77" s="28" t="s">
        <v>405</v>
      </c>
      <c r="E77" s="28" t="s">
        <v>395</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406</v>
      </c>
    </row>
    <row r="82" spans="4:20" ht="20.100000000000001" customHeight="1" x14ac:dyDescent="0.25">
      <c r="D82" s="5" t="s">
        <v>407</v>
      </c>
    </row>
    <row r="83" spans="4:20" ht="20.100000000000001" customHeight="1" x14ac:dyDescent="0.25">
      <c r="D83" s="34" t="str" cm="1">
        <f t="array" ref="D83:D87">"⚠️" &amp; Common_SourceData.Common_SourceData_ClimateZones_Variation()</f>
        <v>⚠️VARIATION OF SOURCE DATA:</v>
      </c>
    </row>
    <row r="84" spans="4:20" ht="20.100000000000001" customHeight="1" x14ac:dyDescent="0.25">
      <c r="D84" s="34" t="str">
        <v>⚠️Added warm / cool temperate moist / dry - low frost and high temp classes to accommodate climate scenarios excluded by VEERG criteria.</v>
      </c>
    </row>
    <row r="85" spans="4:20" ht="20.100000000000001" customHeight="1" x14ac:dyDescent="0.25">
      <c r="D85" s="34" t="str">
        <v>⚠️Fixed typo in MAT value for warm temperate dry - changed 10 to 11.</v>
      </c>
    </row>
    <row r="86" spans="4:20" ht="20.100000000000001" customHeight="1" x14ac:dyDescent="0.25">
      <c r="D86" s="34" t="str">
        <v>⚠️Added min and max columns for MAT, MAP, frost days per year, elevation, MAP:PET to calculate zones from real climate data.</v>
      </c>
    </row>
    <row r="87" spans="4:20" ht="20.100000000000001" customHeight="1" x14ac:dyDescent="0.25">
      <c r="D87" s="34" t="str">
        <v>⚠️GAF accepts rainfall as a proxy for precipitation.</v>
      </c>
    </row>
    <row r="88" spans="4:20" ht="20.100000000000001" customHeight="1" x14ac:dyDescent="0.25"/>
    <row r="89" spans="4:20" ht="20.100000000000001" customHeight="1" x14ac:dyDescent="0.25">
      <c r="D89" s="28" t="s">
        <v>4</v>
      </c>
      <c r="E89" s="28" t="s">
        <v>18</v>
      </c>
      <c r="F89" s="28" t="s">
        <v>19</v>
      </c>
      <c r="G89" s="28" t="s">
        <v>20</v>
      </c>
      <c r="H89" s="28" t="s">
        <v>21</v>
      </c>
      <c r="I89" s="28" t="s">
        <v>22</v>
      </c>
      <c r="J89" s="28" t="s">
        <v>23</v>
      </c>
      <c r="K89" s="28" t="s">
        <v>24</v>
      </c>
      <c r="L89" s="28" t="s">
        <v>25</v>
      </c>
      <c r="M89" s="28" t="s">
        <v>26</v>
      </c>
      <c r="N89" s="28" t="s">
        <v>27</v>
      </c>
      <c r="O89" s="28" t="s">
        <v>31</v>
      </c>
      <c r="P89" s="28" t="s">
        <v>28</v>
      </c>
      <c r="Q89" s="28" t="s">
        <v>32</v>
      </c>
      <c r="R89" s="28" t="s">
        <v>29</v>
      </c>
      <c r="S89" s="28" t="s">
        <v>33</v>
      </c>
      <c r="T89" s="28"/>
    </row>
    <row r="90" spans="4:20" ht="20.100000000000001" customHeight="1" x14ac:dyDescent="0.25">
      <c r="D90" s="28" t="s">
        <v>390</v>
      </c>
      <c r="E90" s="28" t="s">
        <v>408</v>
      </c>
      <c r="F90" s="28" t="s">
        <v>409</v>
      </c>
      <c r="G90" s="28" t="s">
        <v>410</v>
      </c>
      <c r="H90" s="28" t="s">
        <v>411</v>
      </c>
      <c r="I90" s="28" t="s">
        <v>409</v>
      </c>
      <c r="J90" s="28">
        <v>18.001000000000001</v>
      </c>
      <c r="K90" s="28">
        <v>999999</v>
      </c>
      <c r="L90" s="28">
        <v>-999999</v>
      </c>
      <c r="M90" s="28">
        <v>999999</v>
      </c>
      <c r="N90" s="28">
        <v>-999999</v>
      </c>
      <c r="O90" s="28">
        <v>7</v>
      </c>
      <c r="P90" s="28">
        <v>1000</v>
      </c>
      <c r="Q90" s="28">
        <v>999999</v>
      </c>
      <c r="R90" s="28">
        <v>-999999</v>
      </c>
      <c r="S90" s="28">
        <v>999999</v>
      </c>
      <c r="T90" s="28"/>
    </row>
    <row r="91" spans="4:20" ht="20.100000000000001" customHeight="1" x14ac:dyDescent="0.25">
      <c r="D91" s="28" t="s">
        <v>392</v>
      </c>
      <c r="E91" s="28" t="s">
        <v>408</v>
      </c>
      <c r="F91" s="28" t="s">
        <v>412</v>
      </c>
      <c r="G91" s="28" t="s">
        <v>410</v>
      </c>
      <c r="H91" s="28" t="s">
        <v>413</v>
      </c>
      <c r="I91" s="28" t="s">
        <v>409</v>
      </c>
      <c r="J91" s="28">
        <v>18.001000000000001</v>
      </c>
      <c r="K91" s="28">
        <v>999999</v>
      </c>
      <c r="L91" s="28">
        <v>2000.001</v>
      </c>
      <c r="M91" s="28">
        <v>999999</v>
      </c>
      <c r="N91" s="28">
        <v>-999999</v>
      </c>
      <c r="O91" s="28">
        <v>7</v>
      </c>
      <c r="P91" s="28">
        <v>-999999</v>
      </c>
      <c r="Q91" s="28">
        <v>999.99900000000002</v>
      </c>
      <c r="R91" s="28">
        <v>-999999</v>
      </c>
      <c r="S91" s="28">
        <v>999999</v>
      </c>
      <c r="T91" s="28"/>
    </row>
    <row r="92" spans="4:20" ht="20.100000000000001" customHeight="1" x14ac:dyDescent="0.25">
      <c r="D92" s="28" t="s">
        <v>393</v>
      </c>
      <c r="E92" s="28" t="s">
        <v>408</v>
      </c>
      <c r="F92" s="28" t="s">
        <v>414</v>
      </c>
      <c r="G92" s="28" t="s">
        <v>410</v>
      </c>
      <c r="H92" s="28" t="s">
        <v>413</v>
      </c>
      <c r="I92" s="28" t="s">
        <v>409</v>
      </c>
      <c r="J92" s="28">
        <v>18.001000000000001</v>
      </c>
      <c r="K92" s="28">
        <v>999999</v>
      </c>
      <c r="L92" s="28">
        <v>1000.001</v>
      </c>
      <c r="M92" s="28">
        <v>2000</v>
      </c>
      <c r="N92" s="28">
        <v>-999999</v>
      </c>
      <c r="O92" s="28">
        <v>7</v>
      </c>
      <c r="P92" s="28">
        <v>-999999</v>
      </c>
      <c r="Q92" s="28">
        <v>999.99900000000002</v>
      </c>
      <c r="R92" s="28">
        <v>-999999</v>
      </c>
      <c r="S92" s="28">
        <v>999999</v>
      </c>
      <c r="T92" s="28"/>
    </row>
    <row r="93" spans="4:20" ht="20.100000000000001" customHeight="1" x14ac:dyDescent="0.25">
      <c r="D93" s="28" t="s">
        <v>394</v>
      </c>
      <c r="E93" s="28" t="s">
        <v>408</v>
      </c>
      <c r="F93" s="28" t="s">
        <v>415</v>
      </c>
      <c r="G93" s="28" t="s">
        <v>410</v>
      </c>
      <c r="H93" s="28" t="s">
        <v>413</v>
      </c>
      <c r="I93" s="28" t="s">
        <v>409</v>
      </c>
      <c r="J93" s="28">
        <v>18.001000000000001</v>
      </c>
      <c r="K93" s="28">
        <v>999999</v>
      </c>
      <c r="L93" s="28">
        <v>-999999</v>
      </c>
      <c r="M93" s="28">
        <v>1000</v>
      </c>
      <c r="N93" s="28">
        <v>-999999</v>
      </c>
      <c r="O93" s="28">
        <v>7</v>
      </c>
      <c r="P93" s="28">
        <v>-999999</v>
      </c>
      <c r="Q93" s="28">
        <v>999.99900000000002</v>
      </c>
      <c r="R93" s="28">
        <v>-999999</v>
      </c>
      <c r="S93" s="28">
        <v>999999</v>
      </c>
      <c r="T93" s="28"/>
    </row>
    <row r="94" spans="4:20" ht="20.100000000000001" customHeight="1" x14ac:dyDescent="0.25">
      <c r="D94" s="28" t="s">
        <v>396</v>
      </c>
      <c r="E94" s="28" t="s">
        <v>416</v>
      </c>
      <c r="F94" s="28" t="s">
        <v>409</v>
      </c>
      <c r="G94" s="28" t="s">
        <v>409</v>
      </c>
      <c r="H94" s="28" t="s">
        <v>409</v>
      </c>
      <c r="I94" s="28" t="s">
        <v>417</v>
      </c>
      <c r="J94" s="28">
        <v>10.000999999999999</v>
      </c>
      <c r="K94" s="28">
        <v>999999</v>
      </c>
      <c r="L94" s="28">
        <v>-999999</v>
      </c>
      <c r="M94" s="28">
        <v>999999</v>
      </c>
      <c r="N94" s="28">
        <v>-999999</v>
      </c>
      <c r="O94" s="28">
        <v>999999</v>
      </c>
      <c r="P94" s="28">
        <v>-999999</v>
      </c>
      <c r="Q94" s="28">
        <v>999999</v>
      </c>
      <c r="R94" s="28">
        <v>1.0009999999999999</v>
      </c>
      <c r="S94" s="28">
        <v>999999</v>
      </c>
      <c r="T94" s="28"/>
    </row>
    <row r="95" spans="4:20" ht="20.100000000000001" customHeight="1" x14ac:dyDescent="0.25">
      <c r="D95" s="28" t="s">
        <v>397</v>
      </c>
      <c r="E95" s="28" t="s">
        <v>416</v>
      </c>
      <c r="F95" s="28" t="s">
        <v>409</v>
      </c>
      <c r="G95" s="28" t="s">
        <v>409</v>
      </c>
      <c r="H95" s="28" t="s">
        <v>409</v>
      </c>
      <c r="I95" s="28" t="s">
        <v>418</v>
      </c>
      <c r="J95" s="28">
        <v>10.000999999999999</v>
      </c>
      <c r="K95" s="28">
        <v>999999</v>
      </c>
      <c r="L95" s="28">
        <v>-999999</v>
      </c>
      <c r="M95" s="28">
        <v>999999</v>
      </c>
      <c r="N95" s="28">
        <v>-999999</v>
      </c>
      <c r="O95" s="28">
        <v>999999</v>
      </c>
      <c r="P95" s="28">
        <v>-999999</v>
      </c>
      <c r="Q95" s="28">
        <v>999999</v>
      </c>
      <c r="R95" s="28">
        <v>-999999</v>
      </c>
      <c r="S95" s="28">
        <v>1</v>
      </c>
      <c r="T95" s="28"/>
    </row>
    <row r="96" spans="4:20" ht="20.100000000000001" customHeight="1" x14ac:dyDescent="0.25">
      <c r="D96" s="28" t="s">
        <v>398</v>
      </c>
      <c r="E96" s="28" t="s">
        <v>419</v>
      </c>
      <c r="F96" s="28" t="s">
        <v>409</v>
      </c>
      <c r="G96" s="28" t="s">
        <v>409</v>
      </c>
      <c r="H96" s="28" t="s">
        <v>409</v>
      </c>
      <c r="I96" s="28" t="s">
        <v>417</v>
      </c>
      <c r="J96" s="28">
        <v>-999999</v>
      </c>
      <c r="K96" s="28">
        <v>10</v>
      </c>
      <c r="L96" s="28">
        <v>-999999</v>
      </c>
      <c r="M96" s="28">
        <v>999999</v>
      </c>
      <c r="N96" s="28">
        <v>-999999</v>
      </c>
      <c r="O96" s="28">
        <v>999999</v>
      </c>
      <c r="P96" s="28">
        <v>-999999</v>
      </c>
      <c r="Q96" s="28">
        <v>999999</v>
      </c>
      <c r="R96" s="28">
        <v>1.0009999999999999</v>
      </c>
      <c r="S96" s="28">
        <v>999999</v>
      </c>
      <c r="T96" s="28"/>
    </row>
    <row r="97" spans="4:20" ht="20.100000000000001" customHeight="1" x14ac:dyDescent="0.25">
      <c r="D97" s="28" t="s">
        <v>399</v>
      </c>
      <c r="E97" s="28" t="s">
        <v>419</v>
      </c>
      <c r="F97" s="28" t="s">
        <v>409</v>
      </c>
      <c r="G97" s="28" t="s">
        <v>409</v>
      </c>
      <c r="H97" s="28" t="s">
        <v>409</v>
      </c>
      <c r="I97" s="28" t="s">
        <v>418</v>
      </c>
      <c r="J97" s="28">
        <v>-999999</v>
      </c>
      <c r="K97" s="28">
        <v>10</v>
      </c>
      <c r="L97" s="28">
        <v>-999999</v>
      </c>
      <c r="M97" s="28">
        <v>999999</v>
      </c>
      <c r="N97" s="28">
        <v>-999999</v>
      </c>
      <c r="O97" s="28">
        <v>999999</v>
      </c>
      <c r="P97" s="28">
        <v>-999999</v>
      </c>
      <c r="Q97" s="28">
        <v>999999</v>
      </c>
      <c r="R97" s="28">
        <v>-999999</v>
      </c>
      <c r="S97" s="28">
        <v>1</v>
      </c>
      <c r="T97" s="28"/>
    </row>
    <row r="98" spans="4:20" ht="20.100000000000001" customHeight="1" x14ac:dyDescent="0.25"/>
    <row r="99" spans="4:20" ht="20.100000000000001" customHeight="1" x14ac:dyDescent="0.25">
      <c r="D99" s="33" t="s">
        <v>420</v>
      </c>
    </row>
    <row r="100" spans="4:20" ht="20.100000000000001" customHeight="1" x14ac:dyDescent="0.25">
      <c r="D100" s="33" t="s">
        <v>421</v>
      </c>
    </row>
    <row r="101" spans="4:20" ht="20.100000000000001" customHeight="1" x14ac:dyDescent="0.25">
      <c r="D101" s="33" t="s">
        <v>422</v>
      </c>
    </row>
    <row r="102" spans="4:20" ht="20.100000000000001" customHeight="1" x14ac:dyDescent="0.25">
      <c r="D102" s="33" t="s">
        <v>423</v>
      </c>
    </row>
    <row r="103" spans="4:20" ht="20.100000000000001" customHeight="1" x14ac:dyDescent="0.25">
      <c r="D103" s="33"/>
    </row>
    <row r="104" spans="4:20" ht="20.100000000000001" customHeight="1" x14ac:dyDescent="0.25"/>
    <row r="105" spans="4:20" ht="20.100000000000001" customHeight="1" x14ac:dyDescent="0.25">
      <c r="D105" s="6" t="s">
        <v>424</v>
      </c>
    </row>
    <row r="106" spans="4:20" ht="20.100000000000001" customHeight="1" x14ac:dyDescent="0.25">
      <c r="D106" s="5" t="s">
        <v>407</v>
      </c>
    </row>
    <row r="107" spans="4:20" ht="20.100000000000001" customHeight="1" x14ac:dyDescent="0.25">
      <c r="D107" s="3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8" t="s">
        <v>35</v>
      </c>
      <c r="E109" s="28" t="s">
        <v>18</v>
      </c>
      <c r="F109" s="28" t="s">
        <v>36</v>
      </c>
      <c r="G109" s="28" t="s">
        <v>37</v>
      </c>
    </row>
    <row r="110" spans="4:20" ht="20.100000000000001" customHeight="1" x14ac:dyDescent="0.25">
      <c r="D110" s="28" t="s">
        <v>425</v>
      </c>
      <c r="E110" s="28" t="s">
        <v>426</v>
      </c>
      <c r="F110" s="28">
        <v>26</v>
      </c>
      <c r="G110" s="28">
        <v>999999</v>
      </c>
    </row>
    <row r="111" spans="4:20" ht="20.100000000000001" customHeight="1" x14ac:dyDescent="0.25">
      <c r="D111" s="28" t="s">
        <v>427</v>
      </c>
      <c r="E111" s="28" t="s">
        <v>428</v>
      </c>
      <c r="F111" s="28">
        <v>15</v>
      </c>
      <c r="G111" s="28">
        <v>25.998999999999999</v>
      </c>
    </row>
    <row r="112" spans="4:20" ht="20.100000000000001" customHeight="1" x14ac:dyDescent="0.25">
      <c r="D112" s="28" t="s">
        <v>429</v>
      </c>
      <c r="E112" s="28" t="s">
        <v>430</v>
      </c>
      <c r="F112" s="28">
        <v>-999999</v>
      </c>
      <c r="G112" s="28">
        <v>14.999000000000001</v>
      </c>
    </row>
    <row r="113" spans="4:66" ht="20.100000000000001" customHeight="1" x14ac:dyDescent="0.25"/>
    <row r="114" spans="4:66" ht="20.100000000000001" customHeight="1" x14ac:dyDescent="0.25"/>
    <row r="115" spans="4:66" ht="20.100000000000001" customHeight="1" x14ac:dyDescent="0.25">
      <c r="D115" s="6" t="s">
        <v>431</v>
      </c>
      <c r="BN115" s="7"/>
    </row>
    <row r="116" spans="4:66" ht="20.100000000000001" customHeight="1" x14ac:dyDescent="0.25">
      <c r="D116" s="5" t="s">
        <v>407</v>
      </c>
      <c r="BN116" s="7"/>
    </row>
    <row r="117" spans="4:66" ht="20.100000000000001" customHeight="1" x14ac:dyDescent="0.25">
      <c r="D117" s="3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28" t="s">
        <v>38</v>
      </c>
      <c r="E119" s="28" t="s">
        <v>39</v>
      </c>
      <c r="F119" s="28" t="s">
        <v>25</v>
      </c>
      <c r="G119" s="28" t="s">
        <v>26</v>
      </c>
      <c r="BN119" s="7"/>
    </row>
    <row r="120" spans="4:66" ht="20.100000000000001" customHeight="1" x14ac:dyDescent="0.25">
      <c r="D120" s="28" t="s">
        <v>432</v>
      </c>
      <c r="E120" s="28" t="s">
        <v>433</v>
      </c>
      <c r="F120" s="28">
        <v>600.00099999999998</v>
      </c>
      <c r="G120" s="28">
        <v>999999</v>
      </c>
      <c r="BN120" s="7"/>
    </row>
    <row r="121" spans="4:66" ht="20.100000000000001" customHeight="1" x14ac:dyDescent="0.25">
      <c r="D121" s="28" t="s">
        <v>434</v>
      </c>
      <c r="E121" s="28" t="s">
        <v>435</v>
      </c>
      <c r="F121" s="28">
        <v>-999999</v>
      </c>
      <c r="G121" s="28">
        <v>600</v>
      </c>
      <c r="BN121" s="7"/>
    </row>
    <row r="122" spans="4:66" ht="20.100000000000001" customHeight="1" x14ac:dyDescent="0.25">
      <c r="BN122" s="7"/>
    </row>
    <row r="123" spans="4:66" ht="20.100000000000001" customHeight="1" x14ac:dyDescent="0.25"/>
    <row r="124" spans="4:66" ht="20.100000000000001" customHeight="1" x14ac:dyDescent="0.25">
      <c r="D124" s="6" t="s">
        <v>436</v>
      </c>
    </row>
    <row r="125" spans="4:66" ht="20.100000000000001" customHeight="1" x14ac:dyDescent="0.25">
      <c r="D125" s="5" t="s">
        <v>407</v>
      </c>
    </row>
    <row r="126" spans="4:66" ht="20.100000000000001" customHeight="1" x14ac:dyDescent="0.25"/>
    <row r="127" spans="4:66" ht="20.100000000000001" customHeight="1" x14ac:dyDescent="0.25">
      <c r="D127" s="28" t="s">
        <v>40</v>
      </c>
      <c r="E127" s="28" t="s">
        <v>41</v>
      </c>
    </row>
    <row r="128" spans="4:66" ht="20.100000000000001" customHeight="1" x14ac:dyDescent="0.25">
      <c r="D128" s="28" t="s">
        <v>437</v>
      </c>
      <c r="E128" s="28" t="s">
        <v>438</v>
      </c>
    </row>
    <row r="129" spans="4:77" ht="20.100000000000001" customHeight="1" x14ac:dyDescent="0.25">
      <c r="D129" s="28" t="s">
        <v>439</v>
      </c>
      <c r="E129" s="28" t="s">
        <v>440</v>
      </c>
    </row>
    <row r="130" spans="4:77" ht="20.100000000000001" customHeight="1" x14ac:dyDescent="0.25"/>
    <row r="131" spans="4:77" ht="20.100000000000001" customHeight="1" x14ac:dyDescent="0.25"/>
    <row r="132" spans="4:77" ht="20.100000000000001" customHeight="1" x14ac:dyDescent="0.25">
      <c r="D132" s="6" t="s">
        <v>441</v>
      </c>
      <c r="E132" s="19"/>
    </row>
    <row r="133" spans="4:77" ht="20.100000000000001" customHeight="1" x14ac:dyDescent="0.25">
      <c r="D133" s="5" t="s">
        <v>442</v>
      </c>
      <c r="E133" s="19"/>
    </row>
    <row r="134" spans="4:77" ht="20.100000000000001" customHeight="1" x14ac:dyDescent="0.25">
      <c r="D134" t="s">
        <v>46</v>
      </c>
      <c r="E134" t="s">
        <v>47</v>
      </c>
    </row>
    <row r="135" spans="4:77" ht="20.100000000000001" customHeight="1" x14ac:dyDescent="0.25">
      <c r="D135" t="s">
        <v>443</v>
      </c>
      <c r="E135">
        <v>1</v>
      </c>
    </row>
    <row r="136" spans="4:77" ht="20.100000000000001" customHeight="1" x14ac:dyDescent="0.25">
      <c r="D136" s="1" t="s">
        <v>444</v>
      </c>
      <c r="E136" s="28">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445</v>
      </c>
      <c r="BN139" s="7"/>
      <c r="BO139" s="7"/>
      <c r="BP139" s="7"/>
      <c r="BQ139" s="7"/>
      <c r="BR139" s="7"/>
      <c r="BS139" s="7"/>
      <c r="BT139" s="7"/>
      <c r="BU139" s="7"/>
      <c r="BV139" s="7"/>
      <c r="BW139" s="7"/>
      <c r="BX139" s="7"/>
      <c r="BY139" s="7"/>
    </row>
    <row r="140" spans="4:77" ht="20.100000000000001" customHeight="1" x14ac:dyDescent="0.25">
      <c r="D140" s="5" t="s">
        <v>446</v>
      </c>
      <c r="BN140" s="7"/>
      <c r="BO140" s="7"/>
      <c r="BP140" s="7"/>
      <c r="BQ140" s="7"/>
      <c r="BR140" s="7"/>
      <c r="BS140" s="7"/>
      <c r="BT140" s="7"/>
      <c r="BU140" s="7"/>
      <c r="BV140" s="7"/>
      <c r="BW140" s="7"/>
      <c r="BX140" s="7"/>
      <c r="BY140" s="7"/>
    </row>
    <row r="141" spans="4:77" ht="20.100000000000001" customHeight="1" x14ac:dyDescent="0.25">
      <c r="D141" s="34" t="s">
        <v>447</v>
      </c>
      <c r="BN141" s="7"/>
    </row>
    <row r="142" spans="4:77" ht="20.100000000000001" customHeight="1" x14ac:dyDescent="0.25">
      <c r="D142" s="28" t="s">
        <v>57</v>
      </c>
      <c r="E142" s="28" t="s">
        <v>47</v>
      </c>
      <c r="BN142" s="7"/>
    </row>
    <row r="143" spans="4:77" ht="20.100000000000001" customHeight="1" x14ac:dyDescent="0.25">
      <c r="D143" s="28" t="s">
        <v>448</v>
      </c>
      <c r="E143" s="28">
        <v>0</v>
      </c>
      <c r="BN143" s="7"/>
    </row>
    <row r="144" spans="4:77" ht="20.100000000000001" customHeight="1" x14ac:dyDescent="0.25">
      <c r="D144" s="1" t="s">
        <v>449</v>
      </c>
      <c r="E144" s="28">
        <v>0</v>
      </c>
      <c r="BN144" s="7"/>
    </row>
    <row r="145" spans="4:66" ht="20.100000000000001" customHeight="1" x14ac:dyDescent="0.25">
      <c r="D145" s="1" t="s">
        <v>450</v>
      </c>
      <c r="E145" s="28">
        <v>1</v>
      </c>
      <c r="BN145" s="7"/>
    </row>
    <row r="146" spans="4:66" ht="20.100000000000001" customHeight="1" x14ac:dyDescent="0.25">
      <c r="D146" s="1" t="s">
        <v>451</v>
      </c>
      <c r="E146" s="28">
        <v>1</v>
      </c>
      <c r="BN146" s="7"/>
    </row>
    <row r="147" spans="4:66" ht="20.100000000000001" customHeight="1" x14ac:dyDescent="0.25">
      <c r="D147" s="1" t="s">
        <v>452</v>
      </c>
      <c r="E147" s="28">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453</v>
      </c>
      <c r="BN150" s="7"/>
    </row>
    <row r="151" spans="4:66" ht="20.100000000000001" customHeight="1" x14ac:dyDescent="0.25">
      <c r="D151" s="5" t="s">
        <v>454</v>
      </c>
      <c r="BN151" s="7"/>
    </row>
    <row r="152" spans="4:66" ht="20.100000000000001" customHeight="1" x14ac:dyDescent="0.25">
      <c r="BN152" s="7"/>
    </row>
    <row r="153" spans="4:66" ht="20.100000000000001" customHeight="1" x14ac:dyDescent="0.25">
      <c r="D153" s="28" t="s">
        <v>42</v>
      </c>
      <c r="E153" s="28" t="s">
        <v>43</v>
      </c>
      <c r="BC153" s="3"/>
      <c r="BD153" s="3"/>
      <c r="BE153" s="3"/>
      <c r="BF153" s="3"/>
      <c r="BG153" s="3"/>
      <c r="BH153" s="3"/>
      <c r="BI153" s="3"/>
      <c r="BJ153" s="3"/>
      <c r="BK153" s="3"/>
      <c r="BL153" s="3"/>
      <c r="BM153" s="3"/>
    </row>
    <row r="154" spans="4:66" ht="20.100000000000001" customHeight="1" x14ac:dyDescent="0.25">
      <c r="D154" s="28" t="s">
        <v>455</v>
      </c>
      <c r="E154" s="28">
        <v>1</v>
      </c>
      <c r="BC154" s="3"/>
      <c r="BD154" s="3"/>
      <c r="BE154" s="3"/>
      <c r="BF154" s="3"/>
      <c r="BG154" s="3"/>
      <c r="BH154" s="3"/>
      <c r="BI154" s="3"/>
      <c r="BJ154" s="3"/>
      <c r="BK154" s="3"/>
      <c r="BL154" s="3"/>
      <c r="BM154" s="3"/>
    </row>
    <row r="155" spans="4:66" ht="20.100000000000001" customHeight="1" x14ac:dyDescent="0.25">
      <c r="D155" s="28" t="s">
        <v>456</v>
      </c>
      <c r="E155" s="28">
        <v>2</v>
      </c>
      <c r="BC155" s="3"/>
      <c r="BD155" s="3"/>
      <c r="BE155" s="3"/>
      <c r="BF155" s="3"/>
      <c r="BG155" s="3"/>
      <c r="BH155" s="3"/>
      <c r="BI155" s="3"/>
      <c r="BJ155" s="3"/>
      <c r="BK155" s="3"/>
      <c r="BL155" s="3"/>
      <c r="BM155" s="3"/>
    </row>
    <row r="156" spans="4:66" ht="20.100000000000001" customHeight="1" x14ac:dyDescent="0.25">
      <c r="D156" s="28" t="s">
        <v>457</v>
      </c>
      <c r="E156" s="28">
        <v>3</v>
      </c>
    </row>
    <row r="157" spans="4:66" ht="20.100000000000001" customHeight="1" x14ac:dyDescent="0.25">
      <c r="D157" s="28" t="s">
        <v>458</v>
      </c>
      <c r="E157" s="28">
        <v>4</v>
      </c>
    </row>
    <row r="158" spans="4:66" ht="20.100000000000001" customHeight="1" x14ac:dyDescent="0.25">
      <c r="D158" s="28" t="s">
        <v>459</v>
      </c>
      <c r="E158" s="28">
        <v>5</v>
      </c>
    </row>
    <row r="159" spans="4:66" ht="20.100000000000001" customHeight="1" x14ac:dyDescent="0.25"/>
    <row r="160" spans="4:66" ht="20.100000000000001" customHeight="1" x14ac:dyDescent="0.25"/>
    <row r="161" spans="4:68" ht="20.100000000000001" customHeight="1" x14ac:dyDescent="0.25">
      <c r="D161" s="6" t="s">
        <v>441</v>
      </c>
      <c r="E161" s="19"/>
    </row>
    <row r="162" spans="4:68" ht="20.100000000000001" customHeight="1" x14ac:dyDescent="0.25">
      <c r="D162" s="5" t="s">
        <v>442</v>
      </c>
      <c r="E162" s="19"/>
    </row>
    <row r="163" spans="4:68" ht="20.100000000000001" customHeight="1" x14ac:dyDescent="0.25">
      <c r="D163" s="5" t="s">
        <v>460</v>
      </c>
      <c r="E163" s="19"/>
    </row>
    <row r="164" spans="4:68" ht="20.100000000000001" customHeight="1" x14ac:dyDescent="0.25">
      <c r="D164" s="19" t="s">
        <v>461</v>
      </c>
      <c r="E164" s="19"/>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462</v>
      </c>
      <c r="BN167" s="7"/>
      <c r="BO167" s="7"/>
      <c r="BP167" s="7"/>
    </row>
    <row r="168" spans="4:68" ht="20.100000000000001" customHeight="1" x14ac:dyDescent="0.25">
      <c r="D168" s="5" t="s">
        <v>442</v>
      </c>
      <c r="BN168" s="7"/>
      <c r="BO168" s="7"/>
      <c r="BP168" s="7"/>
    </row>
    <row r="169" spans="4:68" ht="20.100000000000001" customHeight="1" x14ac:dyDescent="0.25">
      <c r="D169" s="5" t="s">
        <v>463</v>
      </c>
      <c r="BN169" s="7"/>
      <c r="BO169" s="7"/>
      <c r="BP169" s="7"/>
    </row>
    <row r="170" spans="4:68" ht="20.100000000000001" customHeight="1" x14ac:dyDescent="0.25">
      <c r="D170" s="1" t="s">
        <v>464</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465</v>
      </c>
      <c r="BN173" s="7"/>
      <c r="BO173" s="7"/>
      <c r="BP173" s="7"/>
    </row>
    <row r="174" spans="4:68" ht="20.100000000000001" customHeight="1" x14ac:dyDescent="0.25">
      <c r="D174" s="5" t="s">
        <v>466</v>
      </c>
      <c r="BN174" s="7"/>
      <c r="BO174" s="7"/>
      <c r="BP174" s="7"/>
    </row>
    <row r="175" spans="4:68" ht="20.100000000000001" customHeight="1" x14ac:dyDescent="0.25">
      <c r="D175" s="1">
        <v>0.6784</v>
      </c>
      <c r="E175" s="33" t="s">
        <v>467</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468</v>
      </c>
      <c r="BN178" s="7"/>
      <c r="BO178" s="7"/>
      <c r="BP178" s="7"/>
    </row>
    <row r="179" spans="4:68" ht="20.100000000000001" customHeight="1" x14ac:dyDescent="0.25">
      <c r="D179" s="5" t="s">
        <v>469</v>
      </c>
      <c r="BN179" s="7"/>
      <c r="BO179" s="7"/>
      <c r="BP179" s="7"/>
    </row>
    <row r="180" spans="4:68" ht="20.100000000000001" customHeight="1" x14ac:dyDescent="0.25">
      <c r="D180" s="33" t="s">
        <v>470</v>
      </c>
    </row>
    <row r="181" spans="4:68" ht="20.100000000000001" customHeight="1" x14ac:dyDescent="0.25">
      <c r="D181" s="34" t="s">
        <v>471</v>
      </c>
    </row>
    <row r="182" spans="4:68" ht="20.100000000000001" customHeight="1" x14ac:dyDescent="0.25">
      <c r="D182" s="34" t="s">
        <v>472</v>
      </c>
    </row>
    <row r="183" spans="4:68" ht="20.100000000000001" customHeight="1" x14ac:dyDescent="0.25">
      <c r="D183" s="34" t="s">
        <v>473</v>
      </c>
    </row>
    <row r="184" spans="4:68" ht="20.100000000000001" customHeight="1" x14ac:dyDescent="0.25">
      <c r="D184" s="34" t="s">
        <v>474</v>
      </c>
    </row>
    <row r="185" spans="4:68" ht="20.100000000000001" customHeight="1" x14ac:dyDescent="0.25">
      <c r="D185" s="34" t="s">
        <v>475</v>
      </c>
    </row>
    <row r="186" spans="4:68" ht="20.100000000000001" customHeight="1" x14ac:dyDescent="0.25">
      <c r="D186" s="28" t="s">
        <v>50</v>
      </c>
      <c r="E186" s="28" t="s">
        <v>51</v>
      </c>
      <c r="F186" s="28" t="s">
        <v>52</v>
      </c>
      <c r="G186" s="28" t="s">
        <v>53</v>
      </c>
      <c r="H186" s="28" t="s">
        <v>17</v>
      </c>
    </row>
    <row r="187" spans="4:68" ht="20.100000000000001" customHeight="1" x14ac:dyDescent="0.25">
      <c r="D187" s="28" t="s">
        <v>476</v>
      </c>
      <c r="E187" s="28">
        <v>5.8999999999999999E-3</v>
      </c>
      <c r="F187" s="28" t="s">
        <v>477</v>
      </c>
      <c r="G187" s="28" t="s">
        <v>409</v>
      </c>
      <c r="H187" s="28" t="s">
        <v>409</v>
      </c>
    </row>
    <row r="188" spans="4:68" ht="20.100000000000001" customHeight="1" x14ac:dyDescent="0.25">
      <c r="D188" s="28" t="s">
        <v>478</v>
      </c>
      <c r="E188" s="28">
        <v>7.0000000000000001E-3</v>
      </c>
      <c r="F188" s="28" t="s">
        <v>479</v>
      </c>
      <c r="G188" s="28" t="s">
        <v>409</v>
      </c>
      <c r="H188" s="28" t="s">
        <v>409</v>
      </c>
    </row>
    <row r="189" spans="4:68" ht="20.100000000000001" customHeight="1" x14ac:dyDescent="0.25">
      <c r="D189" s="28" t="s">
        <v>480</v>
      </c>
      <c r="E189" s="28">
        <v>1.8E-3</v>
      </c>
      <c r="F189" s="28" t="s">
        <v>477</v>
      </c>
      <c r="G189" s="28" t="s">
        <v>448</v>
      </c>
      <c r="H189" s="28" t="s">
        <v>434</v>
      </c>
    </row>
    <row r="190" spans="4:68" ht="20.100000000000001" customHeight="1" x14ac:dyDescent="0.25">
      <c r="D190" s="28" t="s">
        <v>480</v>
      </c>
      <c r="E190" s="28">
        <v>1.8E-3</v>
      </c>
      <c r="F190" s="28" t="s">
        <v>477</v>
      </c>
      <c r="G190" s="28" t="s">
        <v>448</v>
      </c>
      <c r="H190" s="28" t="s">
        <v>432</v>
      </c>
    </row>
    <row r="191" spans="4:68" ht="20.100000000000001" customHeight="1" x14ac:dyDescent="0.25">
      <c r="D191" s="28" t="s">
        <v>481</v>
      </c>
      <c r="E191" s="28">
        <v>2.8999999999999998E-3</v>
      </c>
      <c r="F191" s="28" t="s">
        <v>479</v>
      </c>
      <c r="G191" s="28" t="s">
        <v>448</v>
      </c>
      <c r="H191" s="28" t="s">
        <v>434</v>
      </c>
    </row>
    <row r="192" spans="4:68" ht="20.100000000000001" customHeight="1" x14ac:dyDescent="0.25">
      <c r="D192" s="28" t="s">
        <v>482</v>
      </c>
      <c r="E192" s="28">
        <v>8.0000000000000002E-3</v>
      </c>
      <c r="F192" s="28" t="s">
        <v>479</v>
      </c>
      <c r="G192" s="28" t="s">
        <v>448</v>
      </c>
      <c r="H192" s="28" t="s">
        <v>432</v>
      </c>
    </row>
    <row r="193" spans="4:8" ht="20.100000000000001" customHeight="1" x14ac:dyDescent="0.25">
      <c r="D193" s="28" t="s">
        <v>483</v>
      </c>
      <c r="E193" s="28">
        <v>1.9900000000000001E-2</v>
      </c>
      <c r="F193" s="28" t="s">
        <v>483</v>
      </c>
      <c r="G193" s="28" t="s">
        <v>409</v>
      </c>
      <c r="H193" s="28" t="s">
        <v>409</v>
      </c>
    </row>
    <row r="194" spans="4:8" ht="20.100000000000001" customHeight="1" x14ac:dyDescent="0.25">
      <c r="D194" s="28" t="s">
        <v>484</v>
      </c>
      <c r="E194" s="28">
        <v>5.3E-3</v>
      </c>
      <c r="F194" s="28" t="s">
        <v>484</v>
      </c>
      <c r="G194" s="28" t="s">
        <v>409</v>
      </c>
      <c r="H194" s="28" t="s">
        <v>409</v>
      </c>
    </row>
    <row r="195" spans="4:8" ht="20.100000000000001" customHeight="1" x14ac:dyDescent="0.25">
      <c r="D195" s="28" t="s">
        <v>485</v>
      </c>
      <c r="E195" s="28">
        <v>6.4000000000000003E-3</v>
      </c>
      <c r="F195" s="28" t="s">
        <v>485</v>
      </c>
      <c r="G195" s="28" t="s">
        <v>409</v>
      </c>
      <c r="H195" s="28" t="s">
        <v>409</v>
      </c>
    </row>
    <row r="196" spans="4:8" ht="20.100000000000001" customHeight="1" x14ac:dyDescent="0.25">
      <c r="D196" s="28" t="s">
        <v>486</v>
      </c>
      <c r="E196" s="28">
        <v>3.0000000000000001E-3</v>
      </c>
      <c r="F196" s="28" t="s">
        <v>487</v>
      </c>
      <c r="G196" s="28" t="s">
        <v>488</v>
      </c>
      <c r="H196" s="28" t="s">
        <v>409</v>
      </c>
    </row>
    <row r="197" spans="4:8" x14ac:dyDescent="0.25">
      <c r="D197" s="28" t="s">
        <v>489</v>
      </c>
      <c r="E197" s="28">
        <v>5.0000000000000001E-3</v>
      </c>
      <c r="F197" s="28" t="s">
        <v>487</v>
      </c>
      <c r="G197" s="28" t="s">
        <v>490</v>
      </c>
      <c r="H197" s="28" t="s">
        <v>409</v>
      </c>
    </row>
    <row r="198" spans="4:8" x14ac:dyDescent="0.25">
      <c r="D198" s="28" t="s">
        <v>491</v>
      </c>
      <c r="E198" s="28">
        <v>2.5999999999999999E-3</v>
      </c>
      <c r="F198" s="28" t="s">
        <v>491</v>
      </c>
      <c r="G198" s="28" t="s">
        <v>409</v>
      </c>
      <c r="H198" s="28" t="s">
        <v>409</v>
      </c>
    </row>
    <row r="199" spans="4:8" x14ac:dyDescent="0.25">
      <c r="D199" s="28" t="s">
        <v>492</v>
      </c>
      <c r="E199" s="28">
        <v>1.8E-3</v>
      </c>
      <c r="F199" s="28" t="s">
        <v>492</v>
      </c>
      <c r="G199" s="28" t="s">
        <v>409</v>
      </c>
      <c r="H199" s="28" t="s">
        <v>409</v>
      </c>
    </row>
    <row r="202" spans="4:8" ht="23.25" x14ac:dyDescent="0.25">
      <c r="D202" s="6" t="s">
        <v>493</v>
      </c>
    </row>
    <row r="203" spans="4:8" x14ac:dyDescent="0.25">
      <c r="D203" s="5" t="s">
        <v>494</v>
      </c>
    </row>
    <row r="204" spans="4:8" x14ac:dyDescent="0.25">
      <c r="D204" s="34" t="s">
        <v>495</v>
      </c>
    </row>
    <row r="205" spans="4:8" x14ac:dyDescent="0.25">
      <c r="D205" s="33" t="s">
        <v>496</v>
      </c>
    </row>
    <row r="206" spans="4:8" x14ac:dyDescent="0.25">
      <c r="D206" s="28" t="s">
        <v>4</v>
      </c>
      <c r="E206" s="28" t="s">
        <v>59</v>
      </c>
    </row>
    <row r="207" spans="4:8" x14ac:dyDescent="0.25">
      <c r="D207" s="28" t="s">
        <v>391</v>
      </c>
      <c r="E207" s="28">
        <v>6.0000000000000001E-3</v>
      </c>
    </row>
    <row r="208" spans="4:8" x14ac:dyDescent="0.25">
      <c r="D208" s="1" t="s">
        <v>395</v>
      </c>
      <c r="E208" s="28">
        <v>2E-3</v>
      </c>
    </row>
    <row r="211" spans="4:5" x14ac:dyDescent="0.25">
      <c r="D211" s="1" t="s">
        <v>497</v>
      </c>
    </row>
    <row r="212" spans="4:5" x14ac:dyDescent="0.25">
      <c r="D212" s="28" t="s">
        <v>56</v>
      </c>
      <c r="E212" s="28" t="s">
        <v>62</v>
      </c>
    </row>
    <row r="213" spans="4:5" x14ac:dyDescent="0.25">
      <c r="D213" s="28" t="s">
        <v>498</v>
      </c>
      <c r="E213" s="28" t="s">
        <v>499</v>
      </c>
    </row>
    <row r="214" spans="4:5" x14ac:dyDescent="0.25">
      <c r="D214" s="1" t="s">
        <v>500</v>
      </c>
      <c r="E214" s="28" t="s">
        <v>499</v>
      </c>
    </row>
    <row r="215" spans="4:5" x14ac:dyDescent="0.25">
      <c r="D215" s="1" t="s">
        <v>501</v>
      </c>
      <c r="E215" s="28" t="s">
        <v>502</v>
      </c>
    </row>
    <row r="216" spans="4:5" x14ac:dyDescent="0.25">
      <c r="D216" s="1" t="s">
        <v>503</v>
      </c>
      <c r="E216" s="28" t="s">
        <v>502</v>
      </c>
    </row>
    <row r="217" spans="4:5" x14ac:dyDescent="0.25">
      <c r="D217" s="1" t="s">
        <v>504</v>
      </c>
      <c r="E217" s="28" t="s">
        <v>502</v>
      </c>
    </row>
    <row r="218" spans="4:5" x14ac:dyDescent="0.25">
      <c r="D218" s="1" t="s">
        <v>505</v>
      </c>
      <c r="E218" s="28" t="s">
        <v>506</v>
      </c>
    </row>
    <row r="219" spans="4:5" x14ac:dyDescent="0.25">
      <c r="D219" s="1" t="s">
        <v>507</v>
      </c>
      <c r="E219" s="28" t="s">
        <v>506</v>
      </c>
    </row>
    <row r="220" spans="4:5" x14ac:dyDescent="0.25">
      <c r="D220" s="1" t="s">
        <v>508</v>
      </c>
      <c r="E220" s="28" t="s">
        <v>506</v>
      </c>
    </row>
    <row r="221" spans="4:5" x14ac:dyDescent="0.25">
      <c r="D221" s="1" t="s">
        <v>509</v>
      </c>
      <c r="E221" s="28" t="s">
        <v>510</v>
      </c>
    </row>
    <row r="222" spans="4:5" x14ac:dyDescent="0.25">
      <c r="D222" s="1" t="s">
        <v>511</v>
      </c>
      <c r="E222" s="28" t="s">
        <v>510</v>
      </c>
    </row>
    <row r="223" spans="4:5" x14ac:dyDescent="0.25">
      <c r="D223" s="1" t="s">
        <v>512</v>
      </c>
      <c r="E223" s="28" t="s">
        <v>510</v>
      </c>
    </row>
    <row r="224" spans="4:5" x14ac:dyDescent="0.25">
      <c r="D224" s="1" t="s">
        <v>513</v>
      </c>
      <c r="E224" s="28" t="s">
        <v>499</v>
      </c>
    </row>
    <row r="227" spans="4:19" ht="23.25" x14ac:dyDescent="0.25">
      <c r="D227" s="6" t="s">
        <v>514</v>
      </c>
    </row>
    <row r="228" spans="4:19" x14ac:dyDescent="0.25">
      <c r="D228" s="5" t="s">
        <v>515</v>
      </c>
    </row>
    <row r="229" spans="4:19" x14ac:dyDescent="0.25">
      <c r="D229" s="34" t="s">
        <v>516</v>
      </c>
    </row>
    <row r="231" spans="4:19" x14ac:dyDescent="0.25">
      <c r="D231" s="28" t="s">
        <v>34</v>
      </c>
      <c r="E231" s="28" t="s">
        <v>70</v>
      </c>
      <c r="F231" s="27" t="s">
        <v>71</v>
      </c>
      <c r="G231" s="28" t="s">
        <v>66</v>
      </c>
      <c r="H231" s="28" t="s">
        <v>72</v>
      </c>
      <c r="I231" s="28" t="s">
        <v>73</v>
      </c>
      <c r="J231" s="28" t="s">
        <v>65</v>
      </c>
      <c r="K231" s="28" t="s">
        <v>64</v>
      </c>
      <c r="L231" s="28" t="s">
        <v>74</v>
      </c>
      <c r="M231" s="28" t="s">
        <v>75</v>
      </c>
      <c r="N231" s="28" t="s">
        <v>63</v>
      </c>
      <c r="O231" s="28" t="s">
        <v>76</v>
      </c>
      <c r="P231" s="28" t="s">
        <v>68</v>
      </c>
      <c r="Q231" s="28" t="s">
        <v>69</v>
      </c>
      <c r="R231" s="28" t="s">
        <v>67</v>
      </c>
      <c r="S231" s="28" t="s">
        <v>77</v>
      </c>
    </row>
    <row r="232" spans="4:19" x14ac:dyDescent="0.25">
      <c r="D232" s="28" t="s">
        <v>429</v>
      </c>
      <c r="E232" s="28" t="s">
        <v>517</v>
      </c>
      <c r="F232" s="28">
        <v>0.66</v>
      </c>
      <c r="G232" s="28">
        <v>0.1</v>
      </c>
      <c r="H232" s="28">
        <v>0.1</v>
      </c>
      <c r="I232" s="28">
        <v>1E-3</v>
      </c>
      <c r="J232" s="28">
        <v>5.0000000000000001E-3</v>
      </c>
      <c r="K232" s="28">
        <v>0.02</v>
      </c>
      <c r="L232" s="28">
        <v>0.03</v>
      </c>
      <c r="M232" s="28">
        <v>0.04</v>
      </c>
      <c r="N232" s="28">
        <v>1.4999999999999999E-2</v>
      </c>
      <c r="O232" s="28">
        <v>1.4999999999999999E-2</v>
      </c>
      <c r="P232" s="28">
        <v>0</v>
      </c>
      <c r="Q232" s="28">
        <v>0</v>
      </c>
      <c r="R232" s="28">
        <v>4.7000000000000002E-3</v>
      </c>
      <c r="S232" s="28">
        <v>10</v>
      </c>
    </row>
    <row r="233" spans="4:19" x14ac:dyDescent="0.25">
      <c r="D233" s="1" t="s">
        <v>429</v>
      </c>
      <c r="E233" s="28">
        <v>11</v>
      </c>
      <c r="F233" s="28">
        <v>0.68</v>
      </c>
      <c r="G233" s="28">
        <v>0.1</v>
      </c>
      <c r="H233" s="28">
        <v>0.11</v>
      </c>
      <c r="I233" s="28">
        <v>1E-3</v>
      </c>
      <c r="J233" s="28">
        <v>5.0000000000000001E-3</v>
      </c>
      <c r="K233" s="28">
        <v>0.02</v>
      </c>
      <c r="L233" s="28">
        <v>0.03</v>
      </c>
      <c r="M233" s="28">
        <v>0.04</v>
      </c>
      <c r="N233" s="28">
        <v>1.4999999999999999E-2</v>
      </c>
      <c r="O233" s="28">
        <v>1.4999999999999999E-2</v>
      </c>
      <c r="P233" s="28">
        <v>0</v>
      </c>
      <c r="Q233" s="28">
        <v>0</v>
      </c>
      <c r="R233" s="28">
        <v>4.7000000000000002E-3</v>
      </c>
      <c r="S233" s="28">
        <v>11</v>
      </c>
    </row>
    <row r="234" spans="4:19" x14ac:dyDescent="0.25">
      <c r="D234" s="1" t="s">
        <v>429</v>
      </c>
      <c r="E234" s="28">
        <v>12</v>
      </c>
      <c r="F234" s="28">
        <v>0.7</v>
      </c>
      <c r="G234" s="28">
        <v>0.1</v>
      </c>
      <c r="H234" s="28">
        <v>0.13</v>
      </c>
      <c r="I234" s="28">
        <v>1E-3</v>
      </c>
      <c r="J234" s="28">
        <v>5.0000000000000001E-3</v>
      </c>
      <c r="K234" s="28">
        <v>0.02</v>
      </c>
      <c r="L234" s="28">
        <v>0.03</v>
      </c>
      <c r="M234" s="28">
        <v>0.04</v>
      </c>
      <c r="N234" s="28">
        <v>1.4999999999999999E-2</v>
      </c>
      <c r="O234" s="28">
        <v>1.4999999999999999E-2</v>
      </c>
      <c r="P234" s="28">
        <v>0</v>
      </c>
      <c r="Q234" s="28">
        <v>0</v>
      </c>
      <c r="R234" s="28">
        <v>4.7000000000000002E-3</v>
      </c>
      <c r="S234" s="28">
        <v>12</v>
      </c>
    </row>
    <row r="235" spans="4:19" x14ac:dyDescent="0.25">
      <c r="D235" s="1" t="s">
        <v>429</v>
      </c>
      <c r="E235" s="28">
        <v>13</v>
      </c>
      <c r="F235" s="28">
        <v>0.71</v>
      </c>
      <c r="G235" s="28">
        <v>0.1</v>
      </c>
      <c r="H235" s="28">
        <v>0.14000000000000001</v>
      </c>
      <c r="I235" s="28">
        <v>1E-3</v>
      </c>
      <c r="J235" s="28">
        <v>5.0000000000000001E-3</v>
      </c>
      <c r="K235" s="28">
        <v>0.02</v>
      </c>
      <c r="L235" s="28">
        <v>0.03</v>
      </c>
      <c r="M235" s="28">
        <v>0.04</v>
      </c>
      <c r="N235" s="28">
        <v>1.4999999999999999E-2</v>
      </c>
      <c r="O235" s="28">
        <v>1.4999999999999999E-2</v>
      </c>
      <c r="P235" s="28">
        <v>0</v>
      </c>
      <c r="Q235" s="28">
        <v>0</v>
      </c>
      <c r="R235" s="28">
        <v>4.7000000000000002E-3</v>
      </c>
      <c r="S235" s="28">
        <v>13</v>
      </c>
    </row>
    <row r="236" spans="4:19" x14ac:dyDescent="0.25">
      <c r="D236" s="1" t="s">
        <v>429</v>
      </c>
      <c r="E236" s="28">
        <v>14</v>
      </c>
      <c r="F236" s="28">
        <v>0.73</v>
      </c>
      <c r="G236" s="28">
        <v>0.1</v>
      </c>
      <c r="H236" s="28">
        <v>0.15</v>
      </c>
      <c r="I236" s="28">
        <v>1E-3</v>
      </c>
      <c r="J236" s="28">
        <v>5.0000000000000001E-3</v>
      </c>
      <c r="K236" s="28">
        <v>0.02</v>
      </c>
      <c r="L236" s="28">
        <v>0.03</v>
      </c>
      <c r="M236" s="28">
        <v>0.04</v>
      </c>
      <c r="N236" s="28">
        <v>1.4999999999999999E-2</v>
      </c>
      <c r="O236" s="28">
        <v>1.4999999999999999E-2</v>
      </c>
      <c r="P236" s="28">
        <v>0</v>
      </c>
      <c r="Q236" s="28">
        <v>0</v>
      </c>
      <c r="R236" s="28">
        <v>4.7000000000000002E-3</v>
      </c>
      <c r="S236" s="28">
        <v>14</v>
      </c>
    </row>
    <row r="237" spans="4:19" x14ac:dyDescent="0.25">
      <c r="D237" s="1" t="s">
        <v>427</v>
      </c>
      <c r="E237" s="28">
        <v>15</v>
      </c>
      <c r="F237" s="28">
        <v>0.74</v>
      </c>
      <c r="G237" s="28">
        <v>0.1</v>
      </c>
      <c r="H237" s="28">
        <v>0.17</v>
      </c>
      <c r="I237" s="28">
        <v>5.0000000000000001E-3</v>
      </c>
      <c r="J237" s="28">
        <v>0.01</v>
      </c>
      <c r="K237" s="28">
        <v>0.02</v>
      </c>
      <c r="L237" s="28">
        <v>0.03</v>
      </c>
      <c r="M237" s="28">
        <v>0.04</v>
      </c>
      <c r="N237" s="28">
        <v>1.4999999999999999E-2</v>
      </c>
      <c r="O237" s="28">
        <v>1.4999999999999999E-2</v>
      </c>
      <c r="P237" s="28">
        <v>0</v>
      </c>
      <c r="Q237" s="28">
        <v>0</v>
      </c>
      <c r="R237" s="28">
        <v>4.7000000000000002E-3</v>
      </c>
      <c r="S237" s="28">
        <v>15</v>
      </c>
    </row>
    <row r="238" spans="4:19" x14ac:dyDescent="0.25">
      <c r="D238" s="1" t="s">
        <v>427</v>
      </c>
      <c r="E238" s="28">
        <v>16</v>
      </c>
      <c r="F238" s="28">
        <v>0.75</v>
      </c>
      <c r="G238" s="28">
        <v>0.1</v>
      </c>
      <c r="H238" s="28">
        <v>0.18</v>
      </c>
      <c r="I238" s="28">
        <v>5.0000000000000001E-3</v>
      </c>
      <c r="J238" s="28">
        <v>0.01</v>
      </c>
      <c r="K238" s="28">
        <v>0.02</v>
      </c>
      <c r="L238" s="28">
        <v>0.03</v>
      </c>
      <c r="M238" s="28">
        <v>0.04</v>
      </c>
      <c r="N238" s="28">
        <v>1.4999999999999999E-2</v>
      </c>
      <c r="O238" s="28">
        <v>1.4999999999999999E-2</v>
      </c>
      <c r="P238" s="28">
        <v>0</v>
      </c>
      <c r="Q238" s="28">
        <v>0</v>
      </c>
      <c r="R238" s="28">
        <v>4.7000000000000002E-3</v>
      </c>
      <c r="S238" s="28">
        <v>16</v>
      </c>
    </row>
    <row r="239" spans="4:19" x14ac:dyDescent="0.25">
      <c r="D239" s="1" t="s">
        <v>427</v>
      </c>
      <c r="E239" s="28">
        <v>17</v>
      </c>
      <c r="F239" s="28">
        <v>0.76</v>
      </c>
      <c r="G239" s="28">
        <v>0.1</v>
      </c>
      <c r="H239" s="28">
        <v>0.2</v>
      </c>
      <c r="I239" s="28">
        <v>5.0000000000000001E-3</v>
      </c>
      <c r="J239" s="28">
        <v>0.01</v>
      </c>
      <c r="K239" s="28">
        <v>0.02</v>
      </c>
      <c r="L239" s="28">
        <v>0.03</v>
      </c>
      <c r="M239" s="28">
        <v>0.04</v>
      </c>
      <c r="N239" s="28">
        <v>1.4999999999999999E-2</v>
      </c>
      <c r="O239" s="28">
        <v>1.4999999999999999E-2</v>
      </c>
      <c r="P239" s="28">
        <v>0</v>
      </c>
      <c r="Q239" s="28">
        <v>0</v>
      </c>
      <c r="R239" s="28">
        <v>4.7000000000000002E-3</v>
      </c>
      <c r="S239" s="28">
        <v>17</v>
      </c>
    </row>
    <row r="240" spans="4:19" x14ac:dyDescent="0.25">
      <c r="D240" s="1" t="s">
        <v>427</v>
      </c>
      <c r="E240" s="28">
        <v>18</v>
      </c>
      <c r="F240" s="28">
        <v>0.77</v>
      </c>
      <c r="G240" s="28">
        <v>0.1</v>
      </c>
      <c r="H240" s="28">
        <v>0.22</v>
      </c>
      <c r="I240" s="28">
        <v>5.0000000000000001E-3</v>
      </c>
      <c r="J240" s="28">
        <v>0.01</v>
      </c>
      <c r="K240" s="28">
        <v>0.02</v>
      </c>
      <c r="L240" s="28">
        <v>0.03</v>
      </c>
      <c r="M240" s="28">
        <v>0.04</v>
      </c>
      <c r="N240" s="28">
        <v>1.4999999999999999E-2</v>
      </c>
      <c r="O240" s="28">
        <v>1.4999999999999999E-2</v>
      </c>
      <c r="P240" s="28">
        <v>0</v>
      </c>
      <c r="Q240" s="28">
        <v>0</v>
      </c>
      <c r="R240" s="28">
        <v>4.7000000000000002E-3</v>
      </c>
      <c r="S240" s="28">
        <v>18</v>
      </c>
    </row>
    <row r="241" spans="4:19" x14ac:dyDescent="0.25">
      <c r="D241" s="1" t="s">
        <v>427</v>
      </c>
      <c r="E241" s="28">
        <v>19</v>
      </c>
      <c r="F241" s="28">
        <v>0.77</v>
      </c>
      <c r="G241" s="28">
        <v>0.1</v>
      </c>
      <c r="H241" s="28">
        <v>0.24</v>
      </c>
      <c r="I241" s="28">
        <v>5.0000000000000001E-3</v>
      </c>
      <c r="J241" s="28">
        <v>0.01</v>
      </c>
      <c r="K241" s="28">
        <v>0.02</v>
      </c>
      <c r="L241" s="28">
        <v>0.03</v>
      </c>
      <c r="M241" s="28">
        <v>0.04</v>
      </c>
      <c r="N241" s="28">
        <v>1.4999999999999999E-2</v>
      </c>
      <c r="O241" s="28">
        <v>1.4999999999999999E-2</v>
      </c>
      <c r="P241" s="28">
        <v>0</v>
      </c>
      <c r="Q241" s="28">
        <v>0</v>
      </c>
      <c r="R241" s="28">
        <v>4.7000000000000002E-3</v>
      </c>
      <c r="S241" s="28">
        <v>19</v>
      </c>
    </row>
    <row r="242" spans="4:19" x14ac:dyDescent="0.25">
      <c r="D242" s="1" t="s">
        <v>427</v>
      </c>
      <c r="E242" s="28">
        <v>20</v>
      </c>
      <c r="F242" s="28">
        <v>0.78</v>
      </c>
      <c r="G242" s="28">
        <v>0.1</v>
      </c>
      <c r="H242" s="28">
        <v>0.26</v>
      </c>
      <c r="I242" s="28">
        <v>5.0000000000000001E-3</v>
      </c>
      <c r="J242" s="28">
        <v>0.01</v>
      </c>
      <c r="K242" s="28">
        <v>0.02</v>
      </c>
      <c r="L242" s="28">
        <v>0.03</v>
      </c>
      <c r="M242" s="28">
        <v>0.04</v>
      </c>
      <c r="N242" s="28">
        <v>1.4999999999999999E-2</v>
      </c>
      <c r="O242" s="28">
        <v>1.4999999999999999E-2</v>
      </c>
      <c r="P242" s="28">
        <v>0</v>
      </c>
      <c r="Q242" s="28">
        <v>0</v>
      </c>
      <c r="R242" s="28">
        <v>4.7000000000000002E-3</v>
      </c>
      <c r="S242" s="28">
        <v>20</v>
      </c>
    </row>
    <row r="243" spans="4:19" x14ac:dyDescent="0.25">
      <c r="D243" s="1" t="s">
        <v>427</v>
      </c>
      <c r="E243" s="28">
        <v>21</v>
      </c>
      <c r="F243" s="28">
        <v>0.78</v>
      </c>
      <c r="G243" s="28">
        <v>0.1</v>
      </c>
      <c r="H243" s="28">
        <v>0.28999999999999998</v>
      </c>
      <c r="I243" s="28">
        <v>5.0000000000000001E-3</v>
      </c>
      <c r="J243" s="28">
        <v>0.01</v>
      </c>
      <c r="K243" s="28">
        <v>0.02</v>
      </c>
      <c r="L243" s="28">
        <v>0.03</v>
      </c>
      <c r="M243" s="28">
        <v>0.04</v>
      </c>
      <c r="N243" s="28">
        <v>1.4999999999999999E-2</v>
      </c>
      <c r="O243" s="28">
        <v>1.4999999999999999E-2</v>
      </c>
      <c r="P243" s="28">
        <v>0</v>
      </c>
      <c r="Q243" s="28">
        <v>0</v>
      </c>
      <c r="R243" s="28">
        <v>4.7000000000000002E-3</v>
      </c>
      <c r="S243" s="28">
        <v>21</v>
      </c>
    </row>
    <row r="244" spans="4:19" x14ac:dyDescent="0.25">
      <c r="D244" s="1" t="s">
        <v>427</v>
      </c>
      <c r="E244" s="28">
        <v>22</v>
      </c>
      <c r="F244" s="28">
        <v>0.78</v>
      </c>
      <c r="G244" s="28">
        <v>0.1</v>
      </c>
      <c r="H244" s="28">
        <v>0.31</v>
      </c>
      <c r="I244" s="28">
        <v>5.0000000000000001E-3</v>
      </c>
      <c r="J244" s="28">
        <v>0.01</v>
      </c>
      <c r="K244" s="28">
        <v>0.02</v>
      </c>
      <c r="L244" s="28">
        <v>0.03</v>
      </c>
      <c r="M244" s="28">
        <v>0.04</v>
      </c>
      <c r="N244" s="28">
        <v>1.4999999999999999E-2</v>
      </c>
      <c r="O244" s="28">
        <v>1.4999999999999999E-2</v>
      </c>
      <c r="P244" s="28">
        <v>0</v>
      </c>
      <c r="Q244" s="28">
        <v>0</v>
      </c>
      <c r="R244" s="28">
        <v>4.7000000000000002E-3</v>
      </c>
      <c r="S244" s="28">
        <v>22</v>
      </c>
    </row>
    <row r="245" spans="4:19" x14ac:dyDescent="0.25">
      <c r="D245" s="1" t="s">
        <v>427</v>
      </c>
      <c r="E245" s="28">
        <v>23</v>
      </c>
      <c r="F245" s="28">
        <v>0.79</v>
      </c>
      <c r="G245" s="28">
        <v>0.1</v>
      </c>
      <c r="H245" s="28">
        <v>0.34</v>
      </c>
      <c r="I245" s="28">
        <v>5.0000000000000001E-3</v>
      </c>
      <c r="J245" s="28">
        <v>0.01</v>
      </c>
      <c r="K245" s="28">
        <v>0.02</v>
      </c>
      <c r="L245" s="28">
        <v>0.03</v>
      </c>
      <c r="M245" s="28">
        <v>0.04</v>
      </c>
      <c r="N245" s="28">
        <v>1.4999999999999999E-2</v>
      </c>
      <c r="O245" s="28">
        <v>1.4999999999999999E-2</v>
      </c>
      <c r="P245" s="28">
        <v>0</v>
      </c>
      <c r="Q245" s="28">
        <v>0</v>
      </c>
      <c r="R245" s="28">
        <v>4.7000000000000002E-3</v>
      </c>
      <c r="S245" s="28">
        <v>23</v>
      </c>
    </row>
    <row r="246" spans="4:19" x14ac:dyDescent="0.25">
      <c r="D246" s="1" t="s">
        <v>427</v>
      </c>
      <c r="E246" s="28">
        <v>24</v>
      </c>
      <c r="F246" s="28">
        <v>0.79</v>
      </c>
      <c r="G246" s="28">
        <v>0.1</v>
      </c>
      <c r="H246" s="28">
        <v>0.37</v>
      </c>
      <c r="I246" s="28">
        <v>5.0000000000000001E-3</v>
      </c>
      <c r="J246" s="28">
        <v>0.01</v>
      </c>
      <c r="K246" s="28">
        <v>0.02</v>
      </c>
      <c r="L246" s="28">
        <v>0.03</v>
      </c>
      <c r="M246" s="28">
        <v>0.04</v>
      </c>
      <c r="N246" s="28">
        <v>1.4999999999999999E-2</v>
      </c>
      <c r="O246" s="28">
        <v>1.4999999999999999E-2</v>
      </c>
      <c r="P246" s="28">
        <v>0</v>
      </c>
      <c r="Q246" s="28">
        <v>0</v>
      </c>
      <c r="R246" s="28">
        <v>4.7000000000000002E-3</v>
      </c>
      <c r="S246" s="28">
        <v>24</v>
      </c>
    </row>
    <row r="247" spans="4:19" x14ac:dyDescent="0.25">
      <c r="D247" s="1" t="s">
        <v>427</v>
      </c>
      <c r="E247" s="28">
        <v>25</v>
      </c>
      <c r="F247" s="28">
        <v>0.79</v>
      </c>
      <c r="G247" s="28">
        <v>0.1</v>
      </c>
      <c r="H247" s="28">
        <v>0.41</v>
      </c>
      <c r="I247" s="28">
        <v>5.0000000000000001E-3</v>
      </c>
      <c r="J247" s="28">
        <v>0.01</v>
      </c>
      <c r="K247" s="28">
        <v>0.02</v>
      </c>
      <c r="L247" s="28">
        <v>0.03</v>
      </c>
      <c r="M247" s="28">
        <v>0.04</v>
      </c>
      <c r="N247" s="28">
        <v>1.4999999999999999E-2</v>
      </c>
      <c r="O247" s="28">
        <v>1.4999999999999999E-2</v>
      </c>
      <c r="P247" s="28">
        <v>0</v>
      </c>
      <c r="Q247" s="28">
        <v>0</v>
      </c>
      <c r="R247" s="28">
        <v>4.7000000000000002E-3</v>
      </c>
      <c r="S247" s="28">
        <v>25</v>
      </c>
    </row>
    <row r="248" spans="4:19" x14ac:dyDescent="0.25">
      <c r="D248" s="1" t="s">
        <v>425</v>
      </c>
      <c r="E248" s="28">
        <v>26</v>
      </c>
      <c r="F248" s="28">
        <v>0.79</v>
      </c>
      <c r="G248" s="28">
        <v>0.1</v>
      </c>
      <c r="H248" s="28">
        <v>0.44</v>
      </c>
      <c r="I248" s="28">
        <v>0.01</v>
      </c>
      <c r="J248" s="28">
        <v>1.4999999999999999E-2</v>
      </c>
      <c r="K248" s="28">
        <v>0.02</v>
      </c>
      <c r="L248" s="28">
        <v>0.03</v>
      </c>
      <c r="M248" s="28">
        <v>0.04</v>
      </c>
      <c r="N248" s="28">
        <v>1.4999999999999999E-2</v>
      </c>
      <c r="O248" s="28">
        <v>1.4999999999999999E-2</v>
      </c>
      <c r="P248" s="28">
        <v>0</v>
      </c>
      <c r="Q248" s="28">
        <v>0</v>
      </c>
      <c r="R248" s="28">
        <v>4.7000000000000002E-3</v>
      </c>
      <c r="S248" s="28">
        <v>26</v>
      </c>
    </row>
    <row r="249" spans="4:19" x14ac:dyDescent="0.25">
      <c r="D249" s="1" t="s">
        <v>425</v>
      </c>
      <c r="E249" s="28">
        <v>27</v>
      </c>
      <c r="F249" s="28">
        <v>0.8</v>
      </c>
      <c r="G249" s="28">
        <v>0.1</v>
      </c>
      <c r="H249" s="28">
        <v>0.48</v>
      </c>
      <c r="I249" s="28">
        <v>0.01</v>
      </c>
      <c r="J249" s="28">
        <v>1.4999999999999999E-2</v>
      </c>
      <c r="K249" s="28">
        <v>0.02</v>
      </c>
      <c r="L249" s="28">
        <v>0.03</v>
      </c>
      <c r="M249" s="28">
        <v>0.04</v>
      </c>
      <c r="N249" s="28">
        <v>1.4999999999999999E-2</v>
      </c>
      <c r="O249" s="28">
        <v>1.4999999999999999E-2</v>
      </c>
      <c r="P249" s="28">
        <v>0</v>
      </c>
      <c r="Q249" s="28">
        <v>0</v>
      </c>
      <c r="R249" s="28">
        <v>4.7000000000000002E-3</v>
      </c>
      <c r="S249" s="28">
        <v>27</v>
      </c>
    </row>
    <row r="250" spans="4:19" x14ac:dyDescent="0.25">
      <c r="D250" s="1" t="s">
        <v>425</v>
      </c>
      <c r="E250" s="28" t="s">
        <v>518</v>
      </c>
      <c r="F250" s="28">
        <v>0.8</v>
      </c>
      <c r="G250" s="28">
        <v>0.1</v>
      </c>
      <c r="H250" s="28">
        <v>0.5</v>
      </c>
      <c r="I250" s="28">
        <v>0.01</v>
      </c>
      <c r="J250" s="28">
        <v>1.4999999999999999E-2</v>
      </c>
      <c r="K250" s="28">
        <v>0.02</v>
      </c>
      <c r="L250" s="28">
        <v>0.03</v>
      </c>
      <c r="M250" s="28">
        <v>0.04</v>
      </c>
      <c r="N250" s="28">
        <v>1.4999999999999999E-2</v>
      </c>
      <c r="O250" s="28">
        <v>1.4999999999999999E-2</v>
      </c>
      <c r="P250" s="28">
        <v>0</v>
      </c>
      <c r="Q250" s="28">
        <v>0</v>
      </c>
      <c r="R250" s="28">
        <v>4.7000000000000002E-3</v>
      </c>
      <c r="S250" s="28">
        <v>28</v>
      </c>
    </row>
    <row r="253" spans="4:19" ht="23.25" x14ac:dyDescent="0.25">
      <c r="D253" s="6" t="s">
        <v>519</v>
      </c>
    </row>
    <row r="254" spans="4:19" x14ac:dyDescent="0.25">
      <c r="D254" s="5" t="s">
        <v>520</v>
      </c>
    </row>
    <row r="255" spans="4:19" x14ac:dyDescent="0.25">
      <c r="D255" s="1" t="s">
        <v>79</v>
      </c>
    </row>
    <row r="256" spans="4:19" x14ac:dyDescent="0.25">
      <c r="D256" s="33" t="s">
        <v>496</v>
      </c>
    </row>
    <row r="257" spans="4:5" x14ac:dyDescent="0.25">
      <c r="D257" s="28" t="s">
        <v>78</v>
      </c>
      <c r="E257" s="28" t="s">
        <v>79</v>
      </c>
    </row>
    <row r="258" spans="4:5" x14ac:dyDescent="0.25">
      <c r="D258" s="28" t="s">
        <v>391</v>
      </c>
      <c r="E258" s="28">
        <v>6.0000000000000001E-3</v>
      </c>
    </row>
    <row r="259" spans="4:5" x14ac:dyDescent="0.25">
      <c r="D259" s="1" t="s">
        <v>395</v>
      </c>
      <c r="E259" s="28">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BcAHUAMAAwADIANwBOAGEAdAB1AHIAYQBsACAAZwBhAHMAIABkAGkAcwB0AHIAaQBiAHUAdABlAGQAIABpAG4AIABhACAAcABpAHAAZQBsAGkAbgBlACAALQAgAEcAaQBnAGEAagBvAHUAbABlAHMAXAB1ADAAMAAyADcAIABhAG4AZAAgAFwAdQAwADAAMgA3AFQAbwB3AG4AIABnAGEAcwAgAC0AIABHAGkAZwBhAGoAbwB1AGwAZQBzAFwAdQAwADAAMgA3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XAB1ADAAMAAyADcAQwBcAHUAMAAwADIAN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UwBjAG8AcABlADMAXwBFAHEAdQBhAHQAaQBvAG4AcwAiACwAIgB0AGUAeAB0ACIAOgAiAC8AKgBcAG4APQA9AD0APQA9AD0APQA9AD0APQA9AD0APQA9AD0APQA9AD0APQA9AD0APQA9AD0APQA9AD0APQA9AD0APQA9AD0APQA9AD0APQA9AD0APQA9AD0APQA9AD0APQA9AD0APQA9AD0APQA9AD0APQA9AD0APQA9AD0APQA9AD0APQA9AD0APQA9AD0APQA9AD0APQA9AD0APQBcAG4AMQA1ADoAIABTAGMAbwBwAGUAIAAzACAARQBtAGkAcwBzAGkAbwBu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UAXwAxAF8AMQBfADEAXwBfADEAXwBFAG0AaQBzAHMAaQBvAG4AcwBGAHIAbwBtAFAAdQByAGMAaABhAHMAZQBkAEwAaQB2AGUAcwB0AG8AYwBrAFwAbgBUAG8AdABhAGwAIABlAG0AaQBzAHMAaQBvAG4AcwAgAGYAcgBvAG0AIABwAHUAcgBjAGgAYQBzAGUAZAAgAGwAaQB2AGUAcwB0AG8AYwBrAFwAbgBFAFwAbgB0ACAAQwBPADIAZQBcAG4ARQA9AFwAXABzAHUAbQBcAFwAbgBvAGwAaQBtAGkAdABzAF8AYwBcAFwAcwB1AG0AXABcAG4AbwBsAGkAbQBpAHQAcwBfAG8AXABcAGwAZQBmAHQAKABOAF8AewBjAG8AfQBcAFwAdABpAG0AZQBzACAAVwBfAHsAYwBvAH0AXABcAHQAaQBtAGUAcwAgAEUARgBfAHsAYwBvAH0AXABcAHIAaQBnAGgAdAApAFwAXAB0AGkAbQBlAHMAIAAxADAAXgB7AC0AMwB9AFwAbgBOAF8AYwBvACAAPQAgAG4AdQBtAGIAZQByACAAbwBmACAAYQBuAGkAbQBhAGwAcwAgAHAAdQByAGMAaABhAHMAZQBkACAAaQBuACAAbABpAHYAZQBzAHQAbwBjAGsAIAB0AHkAcABlACAAYwAgAGYAcgBvAG0AIABvAHIAaQBnAGkAbgAgAG8AXABuAFcAXwBjAG8AIAA9ACAAYQB2AGUAcgBhAGcAZQAgAGwAaQB2AGUAdwBlAGkAZwBoAHQAIABvAGYAIABwAHUAcgBjAGgAYQBzAGUAZAAgAGwAaQB2AGUAcwB0AG8AYwBrACAAYQB0ACAAcABvAGkAbgB0ACAAbwBmACAAcAB1AHIAYwBoAGEAcwBlAFwAbgBFAEYAXwBjAG8AIAA9ACAAZQBtAGkAcwBzAGkAbwBuACAAZgBhAGMAdABvAHIAIABwAGUAcgAgAGwAaQB2AGUAcwB0AG8AYwBrACAAdAB5AHAAZQAgAGEAbgBkACAAbwByAGkAZwBpAG4AXABuAC0ALQAtAC0ALQAtAC0ALQAtAC0ALQAtAC0ALQAtAC0ALQAtAC0ALQAtAC0ALQAtAC0ALQAtAC0ALQAtAC0ALQAtAC0ALQAtAC0ALQBcAG4AKgAvAFwAbgBcAG4AVgBFAEUAUgBHAF8AMQA1AF8AMQBfADEAXwAxAF8AXwAxAF8ARQBtAGkAcwBzAGkAbwBuAHMARgByAG8AbQBQAHUAcgBjAGgAYQBzAGUAZABMAGkAdgBlAHMAdABvAGMAawBcAG4AIAAgAD0ATABBAE0AQgBEAEEAKABcAG4AIAAgACAAIABOAF8AYwBvACwAIABXAF8AYwBvACwAIABFAEYAXwBjAG8ALABcAG4AIAAgACAAIAAoAE4AXwBjAG8AIAAqACAAVwBfAGMAbwAgACoAIABFAEYAXwBjAG8AKQAgACoAIAAxADAAIABeACAALQAzAFwAbgAgACAAKQA7AFwAbgBcAG4AVgBFAEUAUgBHAF8AMQA1AF8AMQBfADEAXwAxAF8AXwAxAF8ARQBtAGkAcwBzAGkAbwBuAHMARgByAG8AbQBQAHUAcgBjAGgAYQBzAGUAZABMAGkAdgBlAHMAdABvAGMAawBfAFQAaQB0AGwAZQBcAG4AIAAgAD0ATABBAE0AQgBEAEEAKABcACIAVABvAHQAYQBsACAAZQBtAGkAcwBzAGkAbwBuAHMAIABmAHIAbwBtACAAcAB1AHIAYwBoAGEAcwBlAGQAIABsAGkAdgBlAHMAdABvAGMAawBcACIAKQA7AFwAbgBcAG4AVgBFAEUAUgBHAF8AMQA1AF8AMQBfADEAXwAxAF8AXwAxAF8ARQBtAGkAcwBzAGkAbwBuAHMARgByAG8AbQBQAHUAcgBjAGgAYQBzAGUAZABMAGkAdgBlAHMAdABvAGMAawBfAFYAYQByAGkAYQBiAGwAZQBcAG4AIAAgAD0ATABBAE0AQgBEAEEAKABcACIARQBcACIAKQA7AFwAbgBcAG4AVgBFAEUAUgBHAF8AMQA1AF8AMQBfADEAXwAxAF8AXwAxAF8ARQBtAGkAcwBzAGkAbwBuAHMARgByAG8AbQBQAHUAcgBjAGgAYQBzAGUAZABMAGkAdgBlAHMAdABvAGMAawBfAFUAbgBpAHQAXABuACAAIAA9AEwAQQBNAEIARABBACgAXAAiAHQAIABDAE8AMgBlAFwAIgApADsAXABuAFwAbgBWAEUARQBSAEcAXwAxADUAXwAxAF8AMQBfADEAXwBfADEAXwBFAG0AaQBzAHMAaQBvAG4AcwBGAHIAbwBtAFAAdQByAGMAaABhAHMAZQBkAEwAaQB2AGUAcwB0AG8AYwBrAF8AUwBvAHUAcgBjAGUAXABuACAAIAA9AEwAQQBNAEIARABBACgAXAAiAFYARQBFAFIARwAgADIAMAAyADYAOgAgADEANQAuADEALgAxAC4AMQAsACAARQBxAHUAYQB0AGkAbwBuACAAKAAxACkAXAAiACkAOwBcAG4AXABuAFYARQBFAFIARwBfADEANQBfADEAXwAxAF8AMQBfAF8AMQBfAEUAbQBpAHMAcwBpAG8AbgBzAEYAcgBvAG0AUAB1AHIAYwBoAGEAcwBlAGQATABpAHYAZQBzAHQAbwBjAGsAXwBOAEkAUgBSAGUAZgBlAHIAZQBuAGMAZQBcAG4AIAAgAD0ATABBAE0AQgBEAEEAKABcACIAXAAiACkAOwBcAG4AXABuAFYARQBFAFIARwBfADEANQBfADEAXwAxAF8AMQBfAF8AMQBfAEUAbQBpAHMAcwBpAG8AbgBzAEYAcgBvAG0AUAB1AHIAYwBoAGEAcwBlAGQATABpAHYAZQBzAHQAbwBjAGsAXwBMAGEAdABlAHgARQBxAHUAYQB0AGkAbwBuAFwAbgAgACAAPQBMAEEATQBCAEQAQQAoAFwAIgBFAD0AXABcAHMAdQBtAFwAXABuAG8AbABpAG0AaQB0AHMAXwBjAFwAXABzAHUAbQBcAFwAbgBvAGwAaQBtAGkAdABzAF8AbwBcAFwAbABlAGYAdAAoAE4AXwB7AGMAbwB9AFwAXAB0AGkAbQBlAHMAIABXAF8AewBjAG8AfQBcAFwAdABpAG0AZQBzACAARQBGAF8AewBjAG8AfQBcAFwAcgBpAGcAaAB0ACkAXABcAHQAaQBtAGUAcwAgADEAMABeAHsALQAzAH0AXAAiACkAOwBcAG4AXABuAFYARQBFAFIARwBfADEANQBfADEAXwAxAF8AMQBfAF8AMQBfAEUAbQBpAHMAcwBpAG8AbgBzAEYAcgBvAG0AUAB1AHIAYwBoAGEAcwBlAGQATABpAHYAZQBzAHQAbwBjAGsAXwBBAHIAZwB1AG0AZQBuAHQAcwBcAG4AIAAgAD0ATABBAE0AQgBEAEEAKABcAG4AIAAgACAAIABNAEEASwBFAEEAUgBSAEEAWQAoADUALAAgADQALABcAG4AIAAgACAAIAAgACAATABBAE0AQgBEAEEAKAByACwAYwAsAFwAbgAgACAAIAAgACAAIAAgACAASQBOAEQARQBYACgAewBcAG4AIAAgACAAIAAgACAAIAAgACAAIABcACIATgBfAGMAbwBcACIALAAgAFwAIgBuAHUAbQBiAGUAcgAgAG8AZgAgAGEAbgBpAG0AYQBsAHMAIABwAHUAcgBjAGgAYQBzAGUAZAAgAGkAbgAgAGwAaQB2AGUAcwB0AG8AYwBrACAAdAB5AHAAZQAgAGMAIABmAHIAbwBtACAAbwByAGkAZwBpAG4AIABvAFwAIgAsACAAXAAiAGgAZQBhAGQAXAAiACwAIABcACIASQBuAHAAdQB0AFwAIgA7AFwAbgAgACAAIAAgACAAIAAgACAAIAAgAFwAIgBXAF8AYwBvAFwAIgAsACAAXAAiAGEAdgBlAHIAYQBnAGUAIABsAGkAdgBlAHcAZQBpAGcAaAB0ACAAbwBmACAAcAB1AHIAYwBoAGEAcwBlAGQAIABsAGkAdgBlAHMAdABvAGMAawAgAGEAdAAgAHAAbwBpAG4AdAAgAG8AZgAgAHAAdQByAGMAaABhAHMAZQBcACIALAAgAFwAIgBrAGcALwBoAGUAYQBkAFwAIgAsACAAXAAiAEkAbgBwAHUAdABcACIAOwBcAG4AIAAgACAAIAAgACAAIAAgACAAIABcACIARQBGAF8AYwBvAFwAIgAsACAAXAAiAGUAbQBpAHMAcwBpAG8AbgAgAGYAYQBjAHQAbwByACAAcABlAHIAIABsAGkAdgBlAHMAdABvAGMAawAgAHQAeQBwAGUAIABhAG4AZAAgAG8AcgBpAGcAaQBuAFwAIgAsACAAXAAiAGsAZwAgAEMATwAyAGUALwBrAGcAXAAiACwAIABcACIAQwBvAG4AcwB0AGEAbgB0AFwAIgA7AFwAbgAgACAAIAAgACAAIAAgACAAIAAgAFwAIgBjAFwAIgAsACAAXAAiAGwAaQB2AGUAcwB0AG8AYwBrACAAdAB5AHAAZQBcACIALAAgAFwAIgBcACIALAAgAFwAIgBJAG4AcAB1AHQAXAAiADsAXABuACAAIAAgACAAIAAgACAAIAAgACAAXAAiAG8AXAAiACwAIABcACIAbwByAGkAZwBp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IAXwAxAF8AMQBfAF8AMQBfAEUAbQBpAHMAcwBpAG8AbgBzAEYAcgBvAG0AUAB1AHIAYwBoAGEAcwBlAGQARgBlAGUAZABcAG4ARQBtAGkAcwBzAGkAbwBuAHMAIABmAHIAbwBtACAAcAB1AHIAYwBoAGEAcwBlAGQAIABmAGUAZQBkAFwAbgBFAFwAbgB0ACAAQwBPADIAZQBcAG4ARQA9AFwAXABzAHUAbQBcAFwAbgBvAGwAaQBtAGkAdABzAF8AagBcAFwAbABlAGYAdAAoAFEAXwBqAFwAXAB0AGkAbQBlAHMAIABFAEYAXwBqAFwAXAByAGkAZwBoAHQAKQBcAG4AUQBfAGoAIAA9ACAAcQB1AGEAbgB0AGkAdAB5ACAAbwBmACAAZgBlAGUAZAAgAHQAeQBwAGUAIABqACAAcAB1AHIAYwBoAGEAcwBlAGQAXABuAEUARgBfAGoAIAA9ACAAZQBtAGkAcwBzAGkAbwBuACAAZgBhAGMAdABvAHIAIABvAGYAIABwAHUAcgBjAGgAYQBzAGUAZAAgAGYAZQBlAGQAXABuAC0ALQAtAC0ALQAtAC0ALQAtAC0ALQAtAC0ALQAtAC0ALQAtAC0ALQAtAC0ALQAtAC0ALQAtAC0ALQAtAC0ALQAtAC0ALQAtAC0ALQBcAG4AKgAvAFwAbgBcAG4AVgBFAEUAUgBHAF8AMQA1AF8AMgBfADEAXwAxAF8AXwAxAF8ARQBtAGkAcwBzAGkAbwBuAHMARgByAG8AbQBQAHUAcgBjAGgAYQBzAGUAZABGAGUAZQBkAFwAbgAgACAAPQBMAEEATQBCAEQAQQAoAFwAbgAgACAAIAAgAFEAXwBqACwAIABFAEYAXwBqACwAXABuACAAIAAgACAAUQBfAGoAIAAqACAARQBGAF8AagBcAG4AIAAgACkAOwBcAG4AXABuAFYARQBFAFIARwBfADEANQBfADIAXwAxAF8AMQBfAF8AMQBfAEUAbQBpAHMAcwBpAG8AbgBzAEYAcgBvAG0AUAB1AHIAYwBoAGEAcwBlAGQARgBlAGUAZABfAFQAaQB0AGwAZQBcAG4AIAAgAD0ATABBAE0AQgBEAEEAKABcACIARQBtAGkAcwBzAGkAbwBuAHMAIABmAHIAbwBtACAAcAB1AHIAYwBoAGEAcwBlAGQAIABmAGUAZQBkAFwAIgApADsAXABuAFwAbgBWAEUARQBSAEcAXwAxADUAXwAyAF8AMQBfADEAXwBfADEAXwBFAG0AaQBzAHMAaQBvAG4AcwBGAHIAbwBtAFAAdQByAGMAaABhAHMAZQBkAEYAZQBlAGQAXwBWAGEAcgBpAGEAYgBsAGUAXABuACAAIAA9AEwAQQBNAEIARABBACgAXAAiAEUAXAAiACkAOwBcAG4AXABuAFYARQBFAFIARwBfADEANQBfADIAXwAxAF8AMQBfAF8AMQBfAEUAbQBpAHMAcwBpAG8AbgBzAEYAcgBvAG0AUAB1AHIAYwBoAGEAcwBlAGQARgBlAGUAZABfAFUAbgBpAHQAXABuACAAIAA9AEwAQQBNAEIARABBACgAXAAiAHQAIABDAE8AMgBlAFwAIgApADsAXABuAFwAbgBWAEUARQBSAEcAXwAxADUAXwAyAF8AMQBfADEAXwBfADEAXwBFAG0AaQBzAHMAaQBvAG4AcwBGAHIAbwBtAFAAdQByAGMAaABhAHMAZQBkAEYAZQBlAGQAXwBTAG8AdQByAGMAZQBcAG4AIAAgAD0ATABBAE0AQgBEAEEAKABcACIAVgBFAEUAUgBHACAAMgAwADIANgA6ACAAMQA1AC4AMgAuADEALgAxACwAIABFAHEAdQBhAHQAaQBvAG4AIAAoADEAKQBcACIAKQA7AFwAbgBcAG4AVgBFAEUAUgBHAF8AMQA1AF8AMgBfADEAXwAxAF8AXwAxAF8ARQBtAGkAcwBzAGkAbwBuAHMARgByAG8AbQBQAHUAcgBjAGgAYQBzAGUAZABGAGUAZQBkAF8ATgBJAFIAUgBlAGYAZQByAGUAbgBjAGUAXABuACAAIAA9AEwAQQBNAEIARABBACgAXAAiAFwAIgApADsAXABuAFwAbgBWAEUARQBSAEcAXwAxADUAXwAyAF8AMQBfADEAXwBfADEAXwBFAG0AaQBzAHMAaQBvAG4AcwBGAHIAbwBtAFAAdQByAGMAaABhAHMAZQBkAEYAZQBlAGQAXwBMAGEAdABlAHgARQBxAHUAYQB0AGkAbwBuAFwAbgAgACAAPQBMAEEATQBCAEQAQQAoAFwAIgBFAD0AXABcAHMAdQBtAFwAXABuAG8AbABpAG0AaQB0AHMAXwBqAFwAXABsAGUAZgB0ACgAUQBfAGoAXABcAHQAaQBtAGUAcwAgAEUARgBfAGoAXABcAHIAaQBnAGgAdAApAFwAIgApADsAXABuAFwAbgBWAEUARQBSAEcAXwAxADUAXwAyAF8AMQBfADEAXwBfADEAXwBFAG0AaQBzAHMAaQBvAG4AcwBGAHIAbwBtAFAAdQByAGMAaABhAHMAZQBkAEYAZQBlAGQAXwBBAHIAZwB1AG0AZQBuAHQAcwBcAG4AIAAgAD0ATABBAE0AQgBEAEEAKABcAG4AIAAgACAAIABNAEEASwBFAEEAUgBSAEEAWQAoADMALAAgADQALABcAG4AIAAgACAAIAAgACAATABBAE0AQgBEAEEAKAByACwAYwAsAFwAbgAgACAAIAAgACAAIAAgACAASQBOAEQARQBYACgAewBcAG4AIAAgACAAIAAgACAAIAAgACAAIABcACIAUQBfAGoAXAAiACwAIABcACIAcQB1AGEAbgB0AGkAdAB5ACAAbwBmACAAZgBlAGUAZAAgAHQAeQBwAGUAIABqACAAcAB1AHIAYwBoAGEAcwBlAGQAXAAiACwAIABcACIAdABcACIALAAgAFwAIgBJAG4AcAB1AHQAXAAiADsAXABuACAAIAAgACAAIAAgACAAIAAgACAAXAAiAEUARgBfAGoAXAAiACwAIABcACIAZQBtAGkAcwBzAGkAbwBuACAAZgBhAGMAdABvAHIAIABvAGYAIABwAHUAcgBjAGgAYQBzAGUAZAAgAGYAZQBlAGQAXAAiACwAIABcACIAawBnACAAQwBPADIAZQAvAGsAZwBcACIALAAgAFwAIgBDAG8AbgBzAHQAYQBuAHQAXAAiADsAXABuACAAIAAgACAAIAAgACAAIAAgACAAXAAiAGoAXAAiACwAIABcACIAZgBlAGUAZ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MAXwAxAF8AMQBfAF8AMQBfAEUAbQBpAHMAcwBpAG8AbgBzAEYAcgBvAG0AUAB1AHIAYwBoAGEAcwBlAGQATQBpAG4AZQByAGEAbABTAHUAcABwAGwAZQBtAGUAbgB0AHMAXABuAFQAbwB0AGEAbAAgAGUAbQBpAHMAcwBpAG8AbgBzACAAZgByAG8AbQAgAHAAdQByAGMAaABhAHMAZQBkACAAbQBpAG4AZQByAGEAbAAgAHMAdQBwAHAAbABlAG0AZQBuAHQAcwBcAG4ARQBcAG4AdAAgAEMATwAyAGUAXABuAEUAPQBcAFwAcwB1AG0AXABcAG4AbwBsAGkAbQBpAHQAcwBfAG0AXABcAGwAZQBmAHQAKABRAF8AbQBcAFwAdABpAG0AZQBzACAARQBGAF8AbQBcAFwAcgBpAGcAaAB0ACkAXABuAFEAXwBtACAAPQAgAHQAbwB0AGEAbAAgAHEAdQBhAG4AdABpAHQAeQAgAG8AZgAgAG0AaQBuAGUAcgBhAGwAIABzAHUAcABwAGwAZQBtAGUAbgB0ACAAdAB5AHAAZQAgAG0AIAB1AHMAZQBkAFwAbgBFAEYAXwBtACAAPQAgAGUAbQBpAHMAcwBpAG8AbgAgAGYAYQBjAHQAbwByACAAbwBmACAAcAB1AHIAYwBoAGEAcwBlAGQAIABtAGkAbgBlAHIAYQBsACAAcwB1AHAAcABsAGUAbQBlAG4AdABcAG4ALQAtAC0ALQAtAC0ALQAtAC0ALQAtAC0ALQAtAC0ALQAtAC0ALQAtAC0ALQAtAC0ALQAtAC0ALQAtAC0ALQAtAC0ALQAtAC0ALQAtAFwAbgAqAC8AXABuAFwAbgBWAEUARQBSAEcAXwAxADUAXwAzAF8AMQBfADEAXwBfADEAXwBFAG0AaQBzAHMAaQBvAG4AcwBGAHIAbwBtAFAAdQByAGMAaABhAHMAZQBkAE0AaQBuAGUAcgBhAGwAUwB1AHAAcABsAGUAbQBlAG4AdABzAFwAbgAgACAAPQBMAEEATQBCAEQAQQAoAFwAbgAgACAAIAAgAFEAXwBtACwAIABFAEYAXwBtACwAXABuACAAIAAgACAAUQBfAG0AIAAqACAARQBGAF8AbQBcAG4AIAAgACkAOwBcAG4AXABuAFYARQBFAFIARwBfADEANQBfADMAXwAxAF8AMQBfAF8AMQBfAEUAbQBpAHMAcwBpAG8AbgBzAEYAcgBvAG0AUAB1AHIAYwBoAGEAcwBlAGQATQBpAG4AZQByAGEAbABTAHUAcABwAGwAZQBtAGUAbgB0AHMAXwBUAGkAdABsAGUAXABuACAAIAA9AEwAQQBNAEIARABBACgAXAAiAFQAbwB0AGEAbAAgAGUAbQBpAHMAcwBpAG8AbgBzACAAZgByAG8AbQAgAHAAdQByAGMAaABhAHMAZQBkACAAbQBpAG4AZQByAGEAbAAgAHMAdQBwAHAAbABlAG0AZQBuAHQAcwBcACIAKQA7AFwAbgBcAG4AVgBFAEUAUgBHAF8AMQA1AF8AMwBfADEAXwAxAF8AXwAxAF8ARQBtAGkAcwBzAGkAbwBuAHMARgByAG8AbQBQAHUAcgBjAGgAYQBzAGUAZABNAGkAbgBlAHIAYQBsAFMAdQBwAHAAbABlAG0AZQBuAHQAcwBfAFYAYQByAGkAYQBiAGwAZQBcAG4AIAAgAD0ATABBAE0AQgBEAEEAKABcACIARQBcACIAKQA7AFwAbgBcAG4AVgBFAEUAUgBHAF8AMQA1AF8AMwBfADEAXwAxAF8AXwAxAF8ARQBtAGkAcwBzAGkAbwBuAHMARgByAG8AbQBQAHUAcgBjAGgAYQBzAGUAZABNAGkAbgBlAHIAYQBsAFMAdQBwAHAAbABlAG0AZQBuAHQAcwBfAFUAbgBpAHQAXABuACAAIAA9AEwAQQBNAEIARABBACgAXAAiAHQAIABDAE8AMgBlAFwAIgApADsAXABuAFwAbgBWAEUARQBSAEcAXwAxADUAXwAzAF8AMQBfADEAXwBfADEAXwBFAG0AaQBzAHMAaQBvAG4AcwBGAHIAbwBtAFAAdQByAGMAaABhAHMAZQBkAE0AaQBuAGUAcgBhAGwAUwB1AHAAcABsAGUAbQBlAG4AdABzAF8AUwBvAHUAcgBjAGUAXABuACAAIAA9AEwAQQBNAEIARABBACgAXAAiAFYARQBFAFIARwAgADIAMAAyADYAOgAgADEANQAuADMALgAxAC4AMQAsACAARQBxAHUAYQB0AGkAbwBuACAAKAAxACkAXAAiACkAOwBcAG4AXABuAFYARQBFAFIARwBfADEANQBfADMAXwAxAF8AMQBfAF8AMQBfAEUAbQBpAHMAcwBpAG8AbgBzAEYAcgBvAG0AUAB1AHIAYwBoAGEAcwBlAGQATQBpAG4AZQByAGEAbABTAHUAcABwAGwAZQBtAGUAbgB0AHMAXwBOAEkAUgBSAGUAZgBlAHIAZQBuAGMAZQBcAG4AIAAgAD0ATABBAE0AQgBEAEEAKABcACIAXAAiACkAOwBcAG4AXABuAFYARQBFAFIARwBfADEANQBfADMAXwAxAF8AMQBfAF8AMQBfAEUAbQBpAHMAcwBpAG8AbgBzAEYAcgBvAG0AUAB1AHIAYwBoAGEAcwBlAGQATQBpAG4AZQByAGEAbABTAHUAcABwAGwAZQBtAGUAbgB0AHMAXwBMAGEAdABlAHgARQBxAHUAYQB0AGkAbwBuAFwAbgAgACAAPQBMAEEATQBCAEQAQQAoAFwAIgBFAD0AXABcAHMAdQBtAFwAXABuAG8AbABpAG0AaQB0AHMAXwBtAFwAXABsAGUAZgB0ACgAUQBfAG0AXABcAHQAaQBtAGUAcwAgAEUARgBfAG0AXABcAHIAaQBnAGgAdAApAFwAIgApADsAXABuAFwAbgBWAEUARQBSAEcAXwAxADUAXwAzAF8AMQBfADEAXwBfADEAXwBFAG0AaQBzAHMAaQBvAG4AcwBGAHIAbwBtAFAAdQByAGMAaABhAHMAZQBkAE0AaQBuAGUAcgBhAGwAUwB1AHAAcABsAGUAbQBlAG4AdABzAF8AQQByAGcAdQBtAGUAbgB0AHMAXABuACAAIAA9AEwAQQBNAEIARABBACgAXABuACAAIAAgACAATQBBAEsARQBBAFIAUgBBAFkAKAAzACwAIAA0ACwAXABuACAAIAAgACAAIAAgAEwAQQBNAEIARABBACgAcgAsAGMALABcAG4AIAAgACAAIAAgACAAIAAgAEkATgBEAEUAWAAoAHsAXABuACAAIAAgACAAIAAgACAAIAAgACAAXAAiAFEAXwBtAFwAIgAsACAAXAAiAHQAbwB0AGEAbAAgAHEAdQBhAG4AdABpAHQAeQAgAG8AZgAgAG0AaQBuAGUAcgBhAGwAIABzAHUAcABwAGwAZQBtAGUAbgB0ACAAdAB5AHAAZQAgAG0AIAB1AHMAZQBkAFwAIgAsACAAXAAiAHQAXAAiACwAIABcACIASQBuAHAAdQB0AFwAIgA7AFwAbgAgACAAIAAgACAAIAAgACAAIAAgAFwAIgBFAEYAXwBtAFwAIgAsACAAXAAiAGUAbQBpAHMAcwBpAG8AbgAgAGYAYQBjAHQAbwByACAAbwBmACAAcAB1AHIAYwBoAGEAcwBlAGQAIABtAGkAbgBlAHIAYQBsACAAcwB1AHAAcABsAGUAbQBlAG4AdABcACIALAAgAFwAIgBrAGcAIABDAE8AMgBlAC8AawBnAFwAIgAsACAAXAAiAEMAbwBuAHMAdABhAG4AdABcACIAOwBcAG4AIAAgACAAIAAgACAAIAAgACAAIABcACIAbQBcACIALAAgAFwAIgBtAGkAbgBlAHIAYQBsACAAcwB1AHAAcABsAGUAbQBlAG4Ad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QBfAEUAbQBpAHMAcwBpAG8AbgBzAEYAcgBvAG0AUAB1AHIAYwBoAGEAcwBlAGQARgBlAHIAdABpAGwAaQBzAGUAcgBcAG4ARQBtAGkAcwBzAGkAbwBuAHMAIABmAHIAbwBtACAAcAB1AHIAYwBoAGEAcwBlAGQAIABmAGUAcgB0AGkAbABpAHMAZQByAFwAbgBFAFwAbgB0ACAAQwBPADIAZQBcAG4ARQA9AFwAXABzAHUAbQBcAFwAbgBvAGwAaQBtAGkAdABzAF8AZgBcAFwAcwB1AG0AXABcAG4AbwBsAGkAbQBpAHQAcwBfAGoAXABcAGwAZQBmAHQAKABUAE0AXwB7AGoAZgB9AFwAXAB0AGkAbQBlAHMAIABFAEYAXwBmAFwAXAByAGkAZwBoAHQAKQBcAFwAdABpAG0AZQBzACAAMQAwAF4AewAtADMAfQBcAG4AVABNAF8AagBmACAAPQAgAHEAdQBhAG4AdABpAHQAeQAgAG8AZgAgAGkAbgBvAHIAZwBhAG4AaQBjACAAZgBlAHIAdABpAGwAaQBzAGUAcgAgAHQAeQBwAGUAIABmACAAcAB1AHIAYwBoAGEAcwBlAGQAIABhAG4AZAAgAGEAcABwAGwAaQBlAGQAIAB0AG8AIABwAHIAbwBkAHUAYwB0AGkAbwBuACAAcwB5AHMAdABlAG0AIABqAFwAbgBFAEYAXwBmACAAPQAgAGUAbQBpAHMAcwBpAG8AbgAgAGYAYQBjAHQAbwByACAAbwBmACAAcAB1AHIAYwBoAGEAcwBlAGQAIABpAG4AbwByAGcAYQBuAGkAYwAgAGYAZQByAHQAaQBsAGkAcwBlAHIAXABuAC0ALQAtAC0ALQAtAC0ALQAtAC0ALQAtAC0ALQAtAC0ALQAtAC0ALQAtAC0ALQAtAC0ALQAtAC0ALQAtAC0ALQAtAC0ALQAtAC0ALQBcAG4AKgAvAFwAbgBcAG4AVgBFAEUAUgBHAF8AMQA1AF8ANABfADEAXwAxAF8AXwAxAF8ARQBtAGkAcwBzAGkAbwBuAHMARgByAG8AbQBQAHUAcgBjAGgAYQBzAGUAZABGAGUAcgB0AGkAbABpAHMAZQByAFwAbgAgACAAPQBMAEEATQBCAEQAQQAoAFwAbgAgACAAIAAgAFQATQBfAGoAZgAsACAARQBGAF8AZgAsAFwAbgAgACAAIAAgACgAVABNAF8AagBmACAAKgAgAEUARgBfAGYAKQAgACoAIAAxADAAIABeACAALQAzAFwAbgAgACAAKQA7AFwAbgBcAG4AVgBFAEUAUgBHAF8AMQA1AF8ANABfADEAXwAxAF8AXwAxAF8ARQBtAGkAcwBzAGkAbwBuAHMARgByAG8AbQBQAHUAcgBjAGgAYQBzAGUAZABGAGUAcgB0AGkAbABpAHMAZQByAF8AVABpAHQAbABlAFwAbgAgACAAPQBMAEEATQBCAEQAQQAoAFwAIgBFAG0AaQBzAHMAaQBvAG4AcwAgAGYAcgBvAG0AIABwAHUAcgBjAGgAYQBzAGUAZAAgAGYAZQByAHQAaQBsAGkAcwBlAHIAXAAiACkAOwBcAG4AXABuAFYARQBFAFIARwBfADEANQBfADQAXwAxAF8AMQBfAF8AMQBfAEUAbQBpAHMAcwBpAG8AbgBzAEYAcgBvAG0AUAB1AHIAYwBoAGEAcwBlAGQARgBlAHIAdABpAGwAaQBzAGUAcgBfAFYAYQByAGkAYQBiAGwAZQBcAG4AIAAgAD0ATABBAE0AQgBEAEEAKABcACIARQBcACIAKQA7AFwAbgBcAG4AVgBFAEUAUgBHAF8AMQA1AF8ANABfADEAXwAxAF8AXwAxAF8ARQBtAGkAcwBzAGkAbwBuAHMARgByAG8AbQBQAHUAcgBjAGgAYQBzAGUAZABGAGUAcgB0AGkAbABpAHMAZQByAF8AVQBuAGkAdABcAG4AIAAgAD0ATABBAE0AQgBEAEEAKABcACIAdAAgAEMATwAyAGUAXAAiACkAOwBcAG4AXABuAFYARQBFAFIARwBfADEANQBfADQAXwAxAF8AMQBfAF8AMQBfAEUAbQBpAHMAcwBpAG8AbgBzAEYAcgBvAG0AUAB1AHIAYwBoAGEAcwBlAGQARgBlAHIAdABpAGwAaQBzAGUAcgBfAFMAbwB1AHIAYwBlAFwAbgAgACAAPQBMAEEATQBCAEQAQQAoAFwAIgBWAEUARQBSAEcAIAAyADAAMgA2ADoAIAAxADUALgA0AC4AMQAuADEALAAgAEUAcQB1AGEAdABpAG8AbgAgACgAMQApAFwAIgApADsAXABuAFwAbgBWAEUARQBSAEcAXwAxADUAXwA0AF8AMQBfADEAXwBfADEAXwBFAG0AaQBzAHMAaQBvAG4AcwBGAHIAbwBtAFAAdQByAGMAaABhAHMAZQBkAEYAZQByAHQAaQBsAGkAcwBlAHIAXwBOAEkAUgBSAGUAZgBlAHIAZQBuAGMAZQBcAG4AIAAgAD0ATABBAE0AQgBEAEEAKABcACIAXAAiACkAOwBcAG4AXABuAFYARQBFAFIARwBfADEANQBfADQAXwAxAF8AMQBfAF8AMQBfAEUAbQBpAHMAcwBpAG8AbgBzAEYAcgBvAG0AUAB1AHIAYwBoAGEAcwBlAGQARgBlAHIAdABpAGwAaQBzAGUAcgBfAEwAYQB0AGUAeABFAHEAdQBhAHQAaQBvAG4AXABuACAAIAA9AEwAQQBNAEIARABBACgAXAAiAEUAPQBcAFwAcwB1AG0AXABcAG4AbwBsAGkAbQBpAHQAcwBfAGYAXABcAHMAdQBtAFwAXABuAG8AbABpAG0AaQB0AHMAXwBqAFwAXABsAGUAZgB0ACgAVABNAF8AewBqAGYAfQBcAFwAdABpAG0AZQBzACAARQBGAF8AZgBcAFwAcgBpAGcAaAB0ACkAXABcAHQAaQBtAGUAcwAgADEAMABeAHsALQAzAH0AXAAiACkAOwBcAG4AXABuAFYARQBFAFIARwBfADEANQBfADQAXwAxAF8AMQBfAF8AMQBfAEUAbQBpAHMAcwBpAG8AbgBzAEYAcgBvAG0AUAB1AHIAYwBoAGEAcwBlAGQARgBlAHIAdABpAGwAaQBzAGUAcgBfAEEAcgBnAHUAbQBlAG4AdABzAFwAbgAgACAAPQBMAEEATQBCAEQAQQAoAFwAbgAgACAAIAAgAE0AQQBLAEUAQQBSAFIAQQBZACgANAAsACAANAAsAFwAbgAgACAAIAAgACAAIABMAEEATQBCAEQAQQAoAHIALABjACwAXABuACAAIAAgACAAIAAgACAAIABJAE4ARABFAFgAKAB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ZgBcACIALAAgAFwAIgBlAG0AaQBzAHMAaQBvAG4AIABmAGEAYwB0AG8AcgAgAG8AZgAgAHAAdQByAGMAaABhAHMAZQBkACAAaQBuAG8AcgBnAGEAbgBpAGMAIABmAGUAcgB0AGkAbABpAHMAZQByAFwAIgAsACAAXAAiAGsAZwAgAEMATwAyAGUALwBrAGcAXAAiACwAIABcACIAQwBvAG4AcwB0AGEAbgB0AFwAIgA7AFwAbgAgACAAIAAgACAAIAAgACAAIAAgAFwAIgBqAFwAIgAsACAAXAAiAHAAcgBvAGQAdQBjAHQAaQBvAG4AIABzAHkAcwB0AGUAbQ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yAF8ARQBtAGkAcwBzAGkAbwBuAHMARgByAG8AbQBQAHUAcgBjAGgAYQBzAGUAZABGAGUAcgB0AGkAbABpAHMAZQByAEMAbwBtAHAAbwBuAGUAbgB0AHMAXABuAEUAbQBpAHMAcwBpAG8AbgBzACAAZgByAG8AbQAgAHAAdQByAGMAaABhAHMAZQBkACAAZgBlAHIAdABpAGwAaQBzAGUAcgAgAGMAbwBtAHAAbwBuAGUAbgB0AHMAXABuAEUAXABuAHQAIABDAE8AMgBlAFwAbgBFAD0AXABcAHMAdQBtAFwAXABuAG8AbABpAG0AaQB0AHMAXwBmAFwAXABzAHUAbQBcAFwAbgBvAGwAaQBtAGkAdABzAF8AYwBcAFwAcwB1AG0AXABcAG4AbwBsAGkAbQBpAHQAcwBfAGoAXABcAGwAZQBmAHQAKAAoAEYAXwB7AGMAZgB9AFwAXAB0AGkAbQBlAHMAIABUAE0AXwB7AGoAZgB9ACkALwAxADAAMABcAFwAdABpAG0AZQBzACAARQBGAF8AYwBcAFwAcgBpAGcAaAB0ACkAXABuAEYAXwBjAGYAIAA9ACAAZgByAGEAYwB0AGkAbwBuACAAbwBmACAAYwBvAG0AcABvAG4AZQBuAHQAIABjACAAYwBvAG4AdABhAGkAbgBlAGQAIAB3AGkAdABoAGkAbgAgAHQAaABlACAAaQBuAG8AcgBnAGEAbgBpAGMAIABmAGUAcgB0AGkAbABpAHMAZQByACAAZgBcAG4AVABNAF8AagBmACAAPQAgAHEAdQBhAG4AdABpAHQAeQAgAG8AZgAgAGkAbgBvAHIAZwBhAG4AaQBjACAAZgBlAHIAdABpAGwAaQBzAGUAcgAgAHQAeQBwAGUAIABmACAAcAB1AHIAYwBoAGEAcwBlAGQAIABhAG4AZAAgAGEAcABwAGwAaQBlAGQAIAB0AG8AIABwAHIAbwBkAHUAYwB0AGkAbwBuACAAcwB5AHMAdABlAG0AIABqAFwAbgBFAEYAXwBjACAAPQAgAGUAbQBpAHMAcwBpAG8AbgAgAGYAYQBjAHQAbwByACAAZgBvAHIAIAB0AGgAZQAgAHAAcgBvAGQAdQBjAHQAaQBvAG4AIABvAGYAIABjAG8AbQBwAG8AbgBlAG4AdAAgAGMAXABuAC0ALQAtAC0ALQAtAC0ALQAtAC0ALQAtAC0ALQAtAC0ALQAtAC0ALQAtAC0ALQAtAC0ALQAtAC0ALQAtAC0ALQAtAC0ALQAtAC0ALQBcAG4AKgAvAFwAbgBcAG4AVgBFAEUAUgBHAF8AMQA1AF8ANABfADEAXwAxAF8AXwAyAF8ARQBtAGkAcwBzAGkAbwBuAHMARgByAG8AbQBQAHUAcgBjAGgAYQBzAGUAZABGAGUAcgB0AGkAbABpAHMAZQByAEMAbwBtAHAAbwBuAGUAbgB0AHMAXABuACAAIAA9AEwAQQBNAEIARABBACgAXABuACAAIAAgACAARgBfAGMAZgAsACAAVABNAF8AagBmACwAIABFAEYAXwBjACwAXABuACAAIAAgACAAKAAoAEYAXwBjAGYAIAAqACAAVABNAF8AagBmACkAIAAvACAAMQAwADAAKQAgACoAIABFAEYAXwBjAFwAbgAgACAAKQA7AFwAbgBcAG4AVgBFAEUAUgBHAF8AMQA1AF8ANABfADEAXwAxAF8AXwAyAF8ARQBtAGkAcwBzAGkAbwBuAHMARgByAG8AbQBQAHUAcgBjAGgAYQBzAGUAZABGAGUAcgB0AGkAbABpAHMAZQByAEMAbwBtAHAAbwBuAGUAbgB0AHMAVgBhAHIAaQBhAHQAaQBvAG4AXABuACAAIAA9AEwAQQBNAEIARABBACgAXABuACAAIAAgACAARgBfAGMAZgAsACAAVABNAF8AagBmACwAIABFAEYAXwBjACwAXABuACAAIAAgACAAKABGAF8AYwBmACAAKgAgAFQATQBfAGoAZgApACAAKgAgAEUARgBfAGMAIAAqACAAMQAwAF4ALQAzAFwAbgAgACAAKQA7AFwAbgBcAG4AVgBFAEUAUgBHAF8AMQA1AF8ANABfADEAXwAxAF8AXwAyAF8ARQBtAGkAcwBzAGkAbwBuAHMARgByAG8AbQBQAHUAcgBjAGgAYQBzAGUAZABGAGUAcgB0AGkAbABpAHMAZQByAEMAbwBtAHAAbwBuAGUAbgB0AHMAXwBUAGkAdABsAGUAXABuACAAIAA9AEwAQQBNAEIARABBACgAXAAiAEUAbQBpAHMAcwBpAG8AbgBzACAAZgByAG8AbQAgAHAAdQByAGMAaABhAHMAZQBkACAAZgBlAHIAdABpAGwAaQBzAGUAcgAgAGMAbwBtAHAAbwBuAGUAbgB0AHMAXAAiACkAOwBcAG4AXABuAFYARQBFAFIARwBfADEANQBfADQAXwAxAF8AMQBfAF8AMgBfAEUAbQBpAHMAcwBpAG8AbgBzAEYAcgBvAG0AUAB1AHIAYwBoAGEAcwBlAGQARgBlAHIAdABpAGwAaQBzAGUAcgBDAG8AbQBwAG8AbgBlAG4AdABzAF8AVgBhAHIAaQBhAGIAbABlAFwAbgAgACAAPQBMAEEATQBCAEQAQQAoAFwAIgBFAFwAIgApADsAXABuAFwAbgBWAEUARQBSAEcAXwAxADUAXwA0AF8AMQBfADEAXwBfADIAXwBFAG0AaQBzAHMAaQBvAG4AcwBGAHIAbwBtAFAAdQByAGMAaABhAHMAZQBkAEYAZQByAHQAaQBsAGkAcwBlAHIAQwBvAG0AcABvAG4AZQBuAHQAcwBfAFUAbgBpAHQAXABuACAAIAA9AEwAQQBNAEIARABBACgAXAAiAHQAIABDAE8AMgBlAFwAIgApADsAXABuAFwAbgBWAEUARQBSAEcAXwAxADUAXwA0AF8AMQBfADEAXwBfADIAXwBFAG0AaQBzAHMAaQBvAG4AcwBGAHIAbwBtAFAAdQByAGMAaABhAHMAZQBkAEYAZQByAHQAaQBsAGkAcwBlAHIAQwBvAG0AcABvAG4AZQBuAHQAcwBfAFMAbwB1AHIAYwBlAFwAbgAgACAAPQBMAEEATQBCAEQAQQAoAFwAIgBWAEUARQBSAEcAIAAyADAAMgA2ADoAIAAxADUALgA0AC4AMQAuADEALAAgAEUAcQB1AGEAdABpAG8AbgAgACgAMgApAFwAIgApADsAXABuAFwAbgBWAEUARQBSAEcAXwAxADUAXwA0AF8AMQBfADEAXwBfADIAXwBFAG0AaQBzAHMAaQBvAG4AcwBGAHIAbwBtAFAAdQByAGMAaABhAHMAZQBkAEYAZQByAHQAaQBsAGkAcwBlAHIAQwBvAG0AcABvAG4AZQBuAHQAcwBfAE4ASQBSAFIAZQBmAGUAcgBlAG4AYwBlAFwAbgAgACAAPQBMAEEATQBCAEQAQQAoAFwAIgBcACIAKQA7AFwAbgBcAG4AVgBFAEUAUgBHAF8AMQA1AF8ANABfADEAXwAxAF8AXwAyAF8ARQBtAGkAcwBzAGkAbwBuAHMARgByAG8AbQBQAHUAcgBjAGgAYQBzAGUAZABGAGUAcgB0AGkAbABpAHMAZQByAEMAbwBtAHAAbwBuAGUAbgB0AHMAXwBMAGEAdABlAHgARQBxAHUAYQB0AGkAbwBuAFwAbgAgACAAPQBMAEEATQBCAEQAQQAoAFwAIgBFAD0AXABcAHMAdQBtAFwAXABuAG8AbABpAG0AaQB0AHMAXwBmAFwAXABzAHUAbQBcAFwAbgBvAGwAaQBtAGkAdABzAF8AYwBcAFwAcwB1AG0AXABcAG4AbwBsAGkAbQBpAHQAcwBfAGoAXABcAGwAZQBmAHQAKABcAFwAZgByAGEAYwB7AEYAXwB7AGMAZgB9AFwAXAB0AGkAbQBlAHMAIABUAE0AXwB7AGoAZgB9AH0AewAxADAAMAB9AFwAXAB0AGkAbQBlAHMAIABFAEYAXwBjAFwAXAByAGkAZwBoAHQAKQBcACIAKQA7AFwAbgBcAG4AVgBFAEUAUgBHAF8AMQA1AF8ANABfADEAXwAxAF8AXwAyAF8ARQBtAGkAcwBzAGkAbwBuAHMARgByAG8AbQBQAHUAcgBjAGgAYQBzAGUAZABGAGUAcgB0AGkAbABpAHMAZQByAEMAbwBtAHAAbwBuAGUAbgB0AHMAXwBMAGEAdABlAHgARQBxAHUAYQB0AGkAbwBuAFYAYQByAGkAYQB0AGkAbwBuAFwAbgAgACAAPQBMAEEATQBCAEQAQQAoAFwAIgBFAD0AXABcAHMAdQBtAFwAXABuAG8AbABpAG0AaQB0AHMAXwBmAFwAXABzAHUAbQBcAFwAbgBvAGwAaQBtAGkAdABzAF8AYwBcAFwAcwB1AG0AXABcAG4AbwBsAGkAbQBpAHQAcwBfAGoAXABcAGwAZQBmAHQAKABGAF8AewBjAGYAfQBcAFwAdABpAG0AZQBzACAAVABNAF8AewBqAGYAfQBcAFwAdABpAG0AZQBzACAARQBGAF8AYwBcAFwAcgBpAGcAaAB0ACkAXABcAHQAaQBtAGUAcwAgADEAMABeAHsALQAzAH0AXAAiACkAOwBcAG4AXABuAFYARQBFAFIARwBfADEANQBfADQAXwAxAF8AMQBfAF8AMgBfAEUAbQBpAHMAcwBpAG8AbgBzAEYAcgBvAG0AUAB1AHIAYwBoAGEAcwBlAGQARgBlAHIAdABpAGwAaQBzAGUAcgBDAG8AbQBwAG8AbgBlAG4AdABzAF8AQQByAGcAdQBtAGUAbgB0AHMAXABuACAAIAA9AEwAQQBNAEIARABBACgAXABuACAAIAAgACAATQBBAEsARQBBAFIAUgBBAFkAKAA2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A7AFwAbgAgACAAIAAgACAAIAAgACAAIAAgAFwAIgBqAFwAIgAsACAAXAAiAHAAcgBvAGQAdQBjAHQAaQBvAG4AIABzAHkAcwB0AGUAbQBcACIALAAgAFwAIgBcACIALAAgAFwAIgBJAG4AcAB1AHQAXAAiAFwAbgAgACAAIAAgACAAIAAgACAAfQAsACAAcgAsACAAYwApAFwAbgAgACAAIAAgACAAIAApAFwAbgAgACAAIAAgACkAXABuACAAIAApADsAXABuAFwAbgBWAEUARQBSAEcAXwAxADUAXwA0AF8AMQBfADEAXwBfADIAXwBFAG0AaQBzAHMAaQBvAG4AcwBGAHIAbwBtAFAAdQByAGMAaABhAHMAZQBkAEYAZQByAHQAaQBsAGkAcwBlAHIAQwBvAG0AcABvAG4AZQBuAHQAcwBfAFYAYQByAGkAYQB0AGkAbwBuAFwAbgAgACAAPQBMAEEATQBCAEQAQQAoAFwAIgBWAEEAUgBJAEEAVABJAE8ATgAgAE8ATgAgAFMATwBVAFIAQwBFADoAIAByAGUAbQBvAHYAZQBzACAAZABpAHYAaQBzAGkAbwBuACAAYgB5ACAAMQAwADAAIABmAG8AcgAgAEYAXwBjAGYALAAgAHQAcgBlAGEAdABpAG4AZwAgAEYAXwBjAGYAIABhAHMAIABmAHIAYQBjAHQAaQBvAG4AIABpAG4AcwB0AGUAYQBkACAAbwBmACAAcABlAHIAYwBlAG4AdAAgAGIAZQBjAGEAdQBzAGUAIABpAHQAIABpAHMAIABhACAAZgByAGEAYwB0AGkAbwBuACAAaQBuACAAcwBjAG8AcABlACAAMQAgAGUAcQB1AGEAdABpAG8AbgBzAC4AIABDAG8AbgB2AGUAcgB0ACAAawBnACAAdABvACAAdABvAG4AbgBlAHMAIABiAHkAIABtAHUAdABpAHAAbAB5AGkAbgBnACAAYgB5ACAAMQAwAF4ALQAzAC4AXAAiACkAOwBcAG4AXABuAFwAbgBcAG4AXABuAC8AKgBcAG4ALQAtAC0ALQAtAC0ALQAtAC0ALQAtAC0ALQAtAC0ALQAtAC0ALQAtAC0ALQAtAC0ALQAtAC0ALQAtAC0ALQAtAC0ALQAtAC0ALQAtAFwAbgBWAEUARQBSAEcAXwAxADUAXwA0AF8AMQBfADEAXwBfAFgAXwBFAG0AaQBzAHMAaQBvAG4ARgBhAGMAdABvAHIARgByAG8AbQBQAHUAcgBjAGgAYQBzAGUAZABGAGUAcgB0AGkAbABpAHMAZQByAEMAbwBtAHAAbwBuAGUAbgB0AHMAXABuAEUAbQBpAHMAcwBpAG8AbgAgAGYAYQBjAHQAbwByACAAZgBvAHIAIABmAGUAcgB0AGkAbABpAHMAZQByACAAcAByAG8AZAB1AGMAdAAgAGQAZQByAGkAdgBlAGQAIABmAHIAbwBtACAAYwBvAG0AcABvAG4AZQBuAHQAcwBcAG4ALQAtAC0ALQAtAC0ALQAtAC0ALQAtAC0ALQAtAC0ALQAtAC0ALQAtAC0ALQAtAC0ALQAtAC0ALQAtAC0ALQAtAC0ALQAtAC0ALQAtAFwAbgAqAC8AXABuAFwAbgBWAEUARQBSAEcAXwAxADUAXwA0AF8AMQBfADEAXwBfAFgAXwBFAG0AaQBzAHMAaQBvAG4ARgBhAGMAdABvAHIARgByAG8AbQBQAHUAcgBjAGgAYQBzAGUAZABGAGUAcgB0AGkAbABpAHMAZQByAEMAbwBtAHAAbwBuAGUAbgB0AHMAXABuACAAIAA9AEwAQQBNAEIARABBACgAXABuACAAIAAgACAARgBfAGMAZgAsACAARQBGAF8AYwAsAFwAbgAgACAAIAAgAEYAXwBjAGYAIAAqACAARQBGAF8AYwBcAG4AIAAgACkAOwBcAG4AXABuAFYARQBFAFIARwBfADEANQBfADQAXwAxAF8AMQBfAF8AWABfAEUAbQBpAHMAcwBpAG8AbgBGAGEAYwB0AG8AcgBGAHIAbwBtAFAAdQByAGMAaABhAHMAZQBkAEYAZQByAHQAaQBsAGkAcwBlAHIAQwBvAG0AcABvAG4AZQBuAHQAcwBfAFQAaQB0AGwAZQBcAG4AIAAgAD0ATABBAE0AQgBEAEEAKABcACIARQBtAGkAcwBzAGkAbwBuACAAZgBhAGMAdABvAHIAIABmAG8AcgAgAGYAZQByAHQAaQBsAGkAcwBlAHIAIABwAHIAbwBkAHUAYwB0ACAAZABlAHIAaQB2AGUAZAAgAGYAcgBvAG0AIABjAG8AbQBwAG8AbgBlAG4AdABzAFwAIgApADsAXABuAFwAbgBWAEUARQBSAEcAXwAxADUAXwA0AF8AMQBfADEAXwBfAFgAXwBFAG0AaQBzAHMAaQBvAG4ARgBhAGMAdABvAHIARgByAG8AbQBQAHUAcgBjAGgAYQBzAGUAZABGAGUAcgB0AGkAbABpAHMAZQByAEMAbwBtAHAAbwBuAGUAbgB0AHMAXwBWAGEAcgBpAGEAYgBsAGUAXABuACAAIAA9AEwAQQBNAEIARABBACgAXAAiAEUARgBfAGYAXAAiACkAOwBcAG4AXABuAFYARQBFAFIARwBfADEANQBfADQAXwAxAF8AMQBfAF8AWABfAEUAbQBpAHMAcwBpAG8AbgBGAGEAYwB0AG8AcgBGAHIAbwBtAFAAdQByAGMAaABhAHMAZQBkAEYAZQByAHQAaQBsAGkAcwBlAHIAQwBvAG0AcABvAG4AZQBuAHQAcwBfAFUAbgBpAHQAXABuACAAIAA9AEwAQQBNAEIARABBACgAXAAiAGsAZwAgAEMATwAyAGUALwBrAGcAIABmAGUAcgB0AGkAbABpAHMAZQByAFwAIgApADsAXABuAFwAbgBWAEUARQBSAEcAXwAxADUAXwA0AF8AMQBfADEAXwBfAFgAXwBFAG0AaQBzAHMAaQBvAG4ARgBhAGMAdABvAHIARgByAG8AbQBQAHUAcgBjAGgAYQBzAGUAZABGAGUAcgB0AGkAbABpAHMAZQByAEMAbwBtAHAAbwBuAGUAbgB0AHMAXwBTAG8AdQByAGMAZQBcAG4AIAAgAD0ATABBAE0AQgBEAEEAKABcACIARwBBAEYAXAAiACkAOwBcAG4AXABuAFYARQBFAFIARwBfADEANQBfADQAXwAxAF8AMQBfAF8AWABfAEUAbQBpAHMAcwBpAG8AbgBGAGEAYwB0AG8AcgBGAHIAbwBtAFAAdQByAGMAaABhAHMAZQBkAEYAZQByAHQAaQBsAGkAcwBlAHIAQwBvAG0AcABvAG4AZQBuAHQAcwBfAE4ASQBSAFIAZQBmAGUAcgBlAG4AYwBlAFwAbgAgACAAPQBMAEEATQBCAEQAQQAoAFwAIgBcACIAKQA7AFwAbgBcAG4AVgBFAEUAUgBHAF8AMQA1AF8ANABfADEAXwAxAF8AXwBYAF8ARQBtAGkAcwBzAGkAbwBuAEYAYQBjAHQAbwByAEYAcgBvAG0AUAB1AHIAYwBoAGEAcwBlAGQARgBlAHIAdABpAGwAaQBzAGUAcgBDAG8AbQBwAG8AbgBlAG4AdABzAF8ATABhAHQAZQB4AEUAcQB1AGEAdABpAG8AbgBcAG4AIAAgAD0ATABBAE0AQgBEAEEAKABcACIARQBGAF8AZgA9AFwAXABzAHUAbQBcAFwAbgBvAGwAaQBtAGkAdABzAF8AYwBcAFwAbABlAGYAdAAoAEYAXwB7AGMAZgB9AFwAXAB0AGkAbQBlAHMAIABFAEYAXwBjAFwAXAByAGkAZwBoAHQAKQBcACIAKQA7AFwAbgBcAG4AVgBFAEUAUgBHAF8AMQA1AF8ANABfADEAXwAxAF8AXwBYAF8ARQBtAGkAcwBzAGkAbwBuAEYAYQBjAHQAbwByAEYAcgBvAG0AUAB1AHIAYwBoAGEAcwBlAGQARgBlAHIAdABpAGwAaQBzAGUAcgBDAG8AbQBwAG8AbgBlAG4AdABzAF8AQQByAGcAdQBtAGUAbgB0AHMAXABuACAAIAA9AEwAQQBNAEIARABBACgAXABuACAAIAAgACAATQBBAEsARQBBAFIAUgBBAFkAKAA0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BWAEUARQBSAEcAXwAxADUAXwA0AF8AMQBfADEAXwBfAFgAXwBFAG0AaQBzAHMAaQBvAG4ARgBhAGMAdABvAHIARgByAG8AbQBQAHUAcgBjAGgAYQBzAGUAZABGAGUAcgB0AGkAbABpAHMAZQByAEMAbwBtAHAAbwBuAGUAbgB0AHMAXwBWAGEAcgBpAGEAdABpAG8AbgBcAG4AIAAgAD0ATABBAE0AQgBEAEEAKABcACIAVgBBAFIASQBBAFQASQBPAE4AIABPAE4AIABTAE8AVQBSAEMARQA6ACAAVABoAGkAcwAgAGUAcQB1AGEAdABpAG8AbgAgAGkAcwAgAGEAZABkAGUAZAAgAHQAbwAgAGMAYQBsAGMAdQBsAGEAdABlACAAYQBuACAARQBGACAAdgBhAGwAdQBlACAAZgByAG8AbQAgAGYAZQByAHQAaQBsAGkAcwBlAHIAIABjAG8AbQBwAG8AbgBlAG4AdABzACAAdABoAGEAdAAgAGMAYQBuACAAYgBlACAAdQBzAGUAZAAgAGkAbgAgADEANQAuADQALgAxAC4AMQAgACgAMQApAFwAIgApADsAXABuAFwAbgAvACoAXABuAC0ALQAtAC0ALQAtAC0ALQAtAC0ALQAtAC0ALQAtAC0ALQAtAC0ALQAtAC0ALQAtAC0ALQAtAC0ALQAtAC0ALQAtAC0ALQAtAC0ALQBcAG4AVgBFAEUAUgBHAF8AMQA1AF8ANQBfADEAXwAxAF8AXwAxAF8ARQBtAGkAcwBzAGkAbwBuAHMARgByAG8AbQBQAHUAcgBjAGgAYQBzAGUAZABBAGcAcgBpAGMAaABlAG0AaQBjAGEAbABzAFwAbgBUAG8AdABhAGwAIABlAG0AaQBzAHMAaQBvAG4AcwAgAGYAcgBvAG0AIABwAHUAcgBjAGgAYQBzAGUAZAAgAGEAZwByAGkAYwBoAGUAbQBpAGMAYQBsAHMAXABuAEUAXABuAHQAIABDAE8AMgBlAFwAbgBFAD0AXABcAHMAdQBtAFwAXABuAG8AbABpAG0AaQB0AHMAXwBoAFwAXABsAGUAZgB0ACgAUQBfAGgAXABcAHQAaQBtAGUAcwAgAEUARgBfAGgAXABcAHIAaQBnAGgAdAApAFwAXAB0AGkAbQBlAHMAIAAxADAAXgB7AC0AMwB9AFwAbgBRAF8AaAAgAD0AIABxAHUAYQBuAHQAaQB0AHkAIABvAGYAIABhAGMAdABpAHYAZQAgAGkAbgBnAHIAZQBkAGkAZQBuAHQAcwAgAGkAbgAgAGEAZwByAGkAYwBoAGUAbQBpAGMAYQBsACAAdAB5AHAAZQAgAGgAIABwAHUAcgBjAGgAYQBzAGUAZAAgAGEAbgBkACAAYQBwAHAAbABpAGUAZAAgAHQAbwAgAHMAbwBpAGwAcwBcAG4ARQBGAF8AaAAgAD0AIABlAG0AaQBzAHMAaQBvAG4AIABmAGEAYwB0AG8AcgAgAGYAbwByACAAcAB1AHIAYwBoAGEAcwBlAGQAIABhAGcAcgBpAGMAaABlAG0AaQBjAGEAbAAgAGEAYwB0AGkAdgBlACAAaQBuAGcAcgBlAGQAaQBlAG4AdABcAG4ALQAtAC0ALQAtAC0ALQAtAC0ALQAtAC0ALQAtAC0ALQAtAC0ALQAtAC0ALQAtAC0ALQAtAC0ALQAtAC0ALQAtAC0ALQAtAC0ALQAtAFwAbgAqAC8AXABuAFwAbgBWAEUARQBSAEcAXwAxADUAXwA1AF8AMQBfADEAXwBfADEAXwBFAG0AaQBzAHMAaQBvAG4AcwBGAHIAbwBtAFAAdQByAGMAaABhAHMAZQBkAEEAZwByAGkAYwBoAGUAbQBpAGMAYQBsAHMAXABuACAAIAA9AEwAQQBNAEIARABBACgAXABuACAAIAAgACAAUQBfAGgALAAgAEUARgBfAGgALABcAG4AIAAgACAAIAAoAFEAXwBoACAAKgAgAEUARgBfAGgAKQAgACoAIAAxADAAIABeACAALQAzAFwAbgAgACAAKQA7AFwAbgBcAG4AVgBFAEUAUgBHAF8AMQA1AF8ANQBfADEAXwAxAF8AXwAxAF8ARQBtAGkAcwBzAGkAbwBuAHMARgByAG8AbQBQAHUAcgBjAGgAYQBzAGUAZABBAGcAcgBpAGMAaABlAG0AaQBjAGEAbABzAF8AVABpAHQAbABlAFwAbgAgACAAPQBMAEEATQBCAEQAQQAoAFwAIgBUAG8AdABhAGwAIABlAG0AaQBzAHMAaQBvAG4AcwAgAGYAcgBvAG0AIABwAHUAcgBjAGgAYQBzAGUAZAAgAGEAZwByAGkAYwBoAGUAbQBpAGMAYQBsAHMAXAAiACkAOwBcAG4AXABuAFYARQBFAFIARwBfADEANQBfADUAXwAxAF8AMQBfAF8AMQBfAEUAbQBpAHMAcwBpAG8AbgBzAEYAcgBvAG0AUAB1AHIAYwBoAGEAcwBlAGQAQQBnAHIAaQBjAGgAZQBtAGkAYwBhAGwAcwBfAFYAYQByAGkAYQBiAGwAZQBcAG4AIAAgAD0ATABBAE0AQgBEAEEAKABcACIARQBcACIAKQA7AFwAbgBcAG4AVgBFAEUAUgBHAF8AMQA1AF8ANQBfADEAXwAxAF8AXwAxAF8ARQBtAGkAcwBzAGkAbwBuAHMARgByAG8AbQBQAHUAcgBjAGgAYQBzAGUAZABBAGcAcgBpAGMAaABlAG0AaQBjAGEAbABzAF8AVQBuAGkAdABcAG4AIAAgAD0ATABBAE0AQgBEAEEAKABcACIAdAAgAEMATwAyAGUAXAAiACkAOwBcAG4AXABuAFYARQBFAFIARwBfADEANQBfADUAXwAxAF8AMQBfAF8AMQBfAEUAbQBpAHMAcwBpAG8AbgBzAEYAcgBvAG0AUAB1AHIAYwBoAGEAcwBlAGQAQQBnAHIAaQBjAGgAZQBtAGkAYwBhAGwAcwBfAFMAbwB1AHIAYwBlAFwAbgAgACAAPQBMAEEATQBCAEQAQQAoAFwAIgBWAEUARQBSAEcAIAAyADAAMgA2ADoAIAAxADUALgA1AC4AMQAuADEALAAgAEUAcQB1AGEAdABpAG8AbgAgACgAMQApAFwAIgApADsAXABuAFwAbgBWAEUARQBSAEcAXwAxADUAXwA1AF8AMQBfADEAXwBfADEAXwBFAG0AaQBzAHMAaQBvAG4AcwBGAHIAbwBtAFAAdQByAGMAaABhAHMAZQBkAEEAZwByAGkAYwBoAGUAbQBpAGMAYQBsAHMAXwBOAEkAUgBSAGUAZgBlAHIAZQBuAGMAZQBcAG4AIAAgAD0ATABBAE0AQgBEAEEAKABcACIAXAAiACkAOwBcAG4AXABuAFYARQBFAFIARwBfADEANQBfADUAXwAxAF8AMQBfAF8AMQBfAEUAbQBpAHMAcwBpAG8AbgBzAEYAcgBvAG0AUAB1AHIAYwBoAGEAcwBlAGQAQQBnAHIAaQBjAGgAZQBtAGkAYwBhAGwAcwBfAEwAYQB0AGUAeABFAHEAdQBhAHQAaQBvAG4AXABuACAAIAA9AEwAQQBNAEIARABBACgAXAAiAEUAPQBcAFwAcwB1AG0AXABcAG4AbwBsAGkAbQBpAHQAcwBfAGgAXABcAGwAZQBmAHQAKABRAF8AaABcAFwAdABpAG0AZQBzACAARQBGAF8AaABcAFwAcgBpAGcAaAB0ACkAXABcAHQAaQBtAGUAcwAgADEAMABeAHsALQAzAH0AXAAiACkAOwBcAG4AXABuAFYARQBFAFIARwBfADEANQBfADUAXwAxAF8AMQBfAF8AMQBfAEUAbQBpAHMAcwBpAG8AbgBzAEYAcgBvAG0AUAB1AHIAYwBoAGEAcwBlAGQAQQBnAHIAaQBjAGgAZQBtAGkAYwBhAGwAcwBfAEEAcgBnAHUAbQBlAG4AdABzAFwAbgAgACAAPQBMAEEATQBCAEQAQQAoAFwAbgAgACAAIAAgAE0AQQBLAEUAQQBSAFIAQQBZACgAMwAsACAANAAsAFwAbgAgACAAIAAgACAAIABMAEEATQBCAEQAQQAoAHIALABjACwAXABuACAAIAAgACAAIAAgACAAIABJAE4ARABFAFgAKAB7AFwAbgAgACAAIAAgACAAIAAgACAAIAAgAFwAIgBRAF8AaABcACIALAAgAFwAIgBxAHUAYQBuAHQAaQB0AHkAIABvAGYAIABhAGMAdABpAHYAZQAgAGkAbgBnAHIAZQBkAGkAZQBuAHQAcwAgAGkAbgAgAGEAZwByAGkAYwBoAGUAbQBpAGMAYQBsACAAdAB5AHAAZQAgAGgAIABwAHUAcgBjAGgAYQBzAGUAZAAgAGEAbgBkACAAYQBwAHAAbABpAGUAZAAgAHQAbwAgAHMAbwBpAGwAcwBcACIALAAgAFwAIgBrAGcAIABhAGkAXAAiACwAIABcACIASQBuAHAAdQB0AFwAIgA7AFwAbgAgACAAIAAgACAAIAAgACAAIAAgAFwAIgBFAEYAXwBoAFwAIgAsACAAXAAiAGUAbQBpAHMAcwBpAG8AbgAgAGYAYQBjAHQAbwByACAAZgBvAHIAIABwAHUAcgBjAGgAYQBzAGUAZAAgAGEAZwByAGkAYwBoAGUAbQBpAGMAYQBsACAAYQBjAHQAaQB2AGUAIABpAG4AZwByAGUAZABpAGUAbgB0AFwAIgAsACAAXAAiAGsAZwAgAEMATwAyAGUALwBrAGcAIABhAGkAXAAiACwAIABcACIAQwBvAG4AcwB0AGEAbgB0AFwAIgA7AFwAbgAgACAAIAAgACAAIAAgACAAIAAgAFwAIgBoAFwAIgAsACAAXAAiAGEAZwByAGkAYwBoAGUAbQBpAGMAYQBs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gBfADEAXwAxAF8AXwAxAF8ARQBtAGkAcwBzAGkAbwBuAHMARgByAG8AbQBQAHUAcgBjAGgAYQBzAGUAZABMAGkAbQBlAFwAbgBFAG0AYgBlAGQAZABlAGQAIABlAG0AaQBzAHMAaQBvAG4AcwAgAGYAbwByACAAcAB1AHIAYwBoAGEAcwBlAGQAIABsAGkAbQBlAFwAbgBFAFwAbgB0ACAAQwBPADIAZQBcAG4ARQA9AE0AXwBsAGkAbQBlAFwAXAB0AGkAbQBlAHMAIABFAEYAXwBsAFwAbgBNAF8AbABpAG0AZQAgAD0AIAB0AG8AdABhAGwAIABxAHUAYQBuAHQAaQB0AHkAIABvAGYAIABsAGkAbQBlACAAYQBwAHAAbABpAGUAZAAgAHQAbwAgAHMAbwBpAGwAcwBcAG4ARQBGAF8AbAAgAD0AIABlAG0AaQBzAHMAaQBvAG4AIABmAGEAYwB0AG8AcgAgAGYAbwByACAAcAB1AHIAYwBoAGEAcwBlAGQAIABsAGkAbQBlAFwAbgAtAC0ALQAtAC0ALQAtAC0ALQAtAC0ALQAtAC0ALQAtAC0ALQAtAC0ALQAtAC0ALQAtAC0ALQAtAC0ALQAtAC0ALQAtAC0ALQAtAC0AXABuACoALwBcAG4AXABuAFYARQBFAFIARwBfADEANQBfADYAXwAxAF8AMQBfAF8AMQBfAEUAbQBpAHMAcwBpAG8AbgBzAEYAcgBvAG0AUAB1AHIAYwBoAGEAcwBlAGQATABpAG0AZQBcAG4AIAAgAD0ATABBAE0AQgBEAEEAKABcAG4AIAAgACAAIABNAF8AbABpAG0AZQAsACAARQBGAF8AbAAsAFwAbgAgACAAIAAgAE0AXwBsAGkAbQBlACAAKgAgAEUARgBfAGwAXABuACAAIAApADsAXABuAFwAbgBWAEUARQBSAEcAXwAxADUAXwA2AF8AMQBfADEAXwBfADEAXwBFAG0AaQBzAHMAaQBvAG4AcwBGAHIAbwBtAFAAdQByAGMAaABhAHMAZQBkAEwAaQBtAGUAXwBUAGkAdABsAGUAXABuACAAIAA9AEwAQQBNAEIARABBACgAXAAiAEUAbQBiAGUAZABkAGUAZAAgAGUAbQBpAHMAcwBpAG8AbgBzACAAZgBvAHIAIABwAHUAcgBjAGgAYQBzAGUAZAAgAGwAaQBtAGUAXAAiACkAOwBcAG4AXABuAFYARQBFAFIARwBfADEANQBfADYAXwAxAF8AMQBfAF8AMQBfAEUAbQBpAHMAcwBpAG8AbgBzAEYAcgBvAG0AUAB1AHIAYwBoAGEAcwBlAGQATABpAG0AZQBfAFYAYQByAGkAYQBiAGwAZQBcAG4AIAAgAD0ATABBAE0AQgBEAEEAKABcACIARQBcACIAKQA7AFwAbgBcAG4AVgBFAEUAUgBHAF8AMQA1AF8ANgBfADEAXwAxAF8AXwAxAF8ARQBtAGkAcwBzAGkAbwBuAHMARgByAG8AbQBQAHUAcgBjAGgAYQBzAGUAZABMAGkAbQBlAF8AVQBuAGkAdABcAG4AIAAgAD0ATABBAE0AQgBEAEEAKABcACIAdAAgAEMATwAyAGUAXAAiACkAOwBcAG4AXABuAFYARQBFAFIARwBfADEANQBfADYAXwAxAF8AMQBfAF8AMQBfAEUAbQBpAHMAcwBpAG8AbgBzAEYAcgBvAG0AUAB1AHIAYwBoAGEAcwBlAGQATABpAG0AZQBfAFMAbwB1AHIAYwBlAFwAbgAgACAAPQBMAEEATQBCAEQAQQAoAFwAIgBWAEUARQBSAEcAIAAyADAAMgA2ADoAIAAxADUALgA2AC4AMQAuADEALAAgAEUAcQB1AGEAdABpAG8AbgAgACgAMQApAFwAIgApADsAXABuAFwAbgBWAEUARQBSAEcAXwAxADUAXwA2AF8AMQBfADEAXwBfADEAXwBFAG0AaQBzAHMAaQBvAG4AcwBGAHIAbwBtAFAAdQByAGMAaABhAHMAZQBkAEwAaQBtAGUAXwBOAEkAUgBSAGUAZgBlAHIAZQBuAGMAZQBcAG4AIAAgAD0ATABBAE0AQgBEAEEAKABcACIAXAAiACkAOwBcAG4AXABuAFYARQBFAFIARwBfADEANQBfADYAXwAxAF8AMQBfAF8AMQBfAEUAbQBpAHMAcwBpAG8AbgBzAEYAcgBvAG0AUAB1AHIAYwBoAGEAcwBlAGQATABpAG0AZQBfAEwAYQB0AGUAeABFAHEAdQBhAHQAaQBvAG4AXABuACAAIAA9AEwAQQBNAEIARABBACgAXAAiAEUAPQBNAF8AewBsAGkAbQBlAH0AXABcAHQAaQBtAGUAcwAgAEUARgBfAGwAXAAiACkAOwBcAG4AXABuAFYARQBFAFIARwBfADEANQBfADYAXwAxAF8AMQBfAF8AMQBfAEUAbQBpAHMAcwBpAG8AbgBzAEYAcgBvAG0AUAB1AHIAYwBoAGEAcwBlAGQATABpAG0AZQBfAEEAcgBnAHUAbQBlAG4AdABzAFwAbgAgACAAPQBMAEEATQBCAEQAQQAoAFwAbgAgACAAIAAgAE0AQQBLAEUAQQBSAFIAQQBZACgAMgAsACAANAAsAFwAbgAgACAAIAAgACAAIABMAEEATQBCAEQAQQAoAHIALABjACwAXABuACAAIAAgACAAIAAgACAAIABJAE4ARABFAFgAKAB7AFwAbgAgACAAIAAgACAAIAAgACAAIAAgAFwAIgBNAF8AbABpAG0AZQBcACIALAAgAFwAIgB0AG8AdABhAGwAIABxAHUAYQBuAHQAaQB0AHkAIABvAGYAIABsAGkAbQBlACAAYQBwAHAAbABpAGUAZAAgAHQAbwAgAHMAbwBpAGwAcwBcACIALAAgAFwAIgB0AFwAIgAsACAAXAAiAEkAbgBwAHUAdABcACIAOwBcAG4AIAAgACAAIAAgACAAIAAgACAAIABcACIARQBGAF8AbABcACIALAAgAFwAIgBlAG0AaQBzAHMAaQBvAG4AIABmAGEAYwB0AG8AcgAgAGYAbwByACAAcAB1AHIAYwBoAGEAcwBlAGQAIABsAGkAbQBlAFwAIgAsACAAXAAiAHQAIABDAE8AMgBlAC8AdA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NwBfADEAXwAxAF8AXwAxAF8ARQBtAGkAcwBzAGkAbwBuAHMARgByAG8AbQBQAHUAcgBjAGgAYQBzAGUAZABTAGUAcgB2AGkAYwBlAHMAXABuAEUAbQBpAHMAcwBpAG8AbgBzACAAbwBmACAAcAB1AHIAYwBoAGEAcwBlAGQAIABzAGUAcgB2AGkAYwBlAHMAIABhAG4AZAAgAGMAbwBuAHQAcgBhAGMAdABvAHIAIABvAHAAZQByAGEAdABpAG8AbgBzAFwAbgBFAFwAbgB0ACAAQwBPADIAZQBcAG4ARQA9AFwAXABzAHUAbQBcAFwAbgBvAGwAaQBtAGkAdABzAF8AcABcAFwAbABlAGYAdAAoAEEAXwBwAFwAXAB0AGkAbQBlAHMAIABFAEYAXwBwAFwAXAByAGkAZwBoAHQAKQBcAFwAdABpAG0AZQBzACAAMQAwAF4AewAtADMAfQBcAG4AQQBfAHAAIAA9ACAAYQBjAHQAaQB2AGkAdAB5ACAAZABhAHQAYQAgAG8AZgAgAHQAaABlACAAcwBlAHIAdgBpAGMAZQAgAHQAaABhAHQAIAB3AGEAcwAgAHAAdQByAGMAaABhAHMAZQBkAFwAbgBFAEYAXwBwACAAPQAgAGwAaQBmAGUAIABjAHkAYwBsAGUAIABlAG0AaQBzAHMAaQBvAG4AIABmAGEAYwB0AG8AcgAgAGYAbwByACAAdABoAGUAIABwAHUAcgBjAGgAYQBzAGUAZAAgAHMAZQByAHYAaQBjAGUAXABuAC0ALQAtAC0ALQAtAC0ALQAtAC0ALQAtAC0ALQAtAC0ALQAtAC0ALQAtAC0ALQAtAC0ALQAtAC0ALQAtAC0ALQAtAC0ALQAtAC0ALQBcAG4AKgAvAFwAbgBcAG4AVgBFAEUAUgBHAF8AMQA1AF8ANwBfADEAXwAxAF8AXwAxAF8ARQBtAGkAcwBzAGkAbwBuAHMARgByAG8AbQBQAHUAcgBjAGgAYQBzAGUAZABTAGUAcgB2AGkAYwBlAHMAXABuACAAIAA9AEwAQQBNAEIARABBACgAXABuACAAIAAgACAAQQBfAHAALAAgAEUARgBfAHAALABcAG4AIAAgACAAIAAoAEEAXwBwACAAKgAgAEUARgBfAHAAKQAgACoAIAAxADAAIABeACAALQAzAFwAbgAgACAAKQA7AFwAbgBcAG4AVgBFAEUAUgBHAF8AMQA1AF8ANwBfADEAXwAxAF8AXwAxAF8ARQBtAGkAcwBzAGkAbwBuAHMARgByAG8AbQBQAHUAcgBjAGgAYQBzAGUAZABTAGUAcgB2AGkAYwBlAHMAXwBUAGkAdABsAGUAXABuACAAIAA9AEwAQQBNAEIARABBACgAXAAiAEUAbQBpAHMAcwBpAG8AbgBzACAAbwBmACAAcAB1AHIAYwBoAGEAcwBlAGQAIABzAGUAcgB2AGkAYwBlAHMAIABhAG4AZAAgAGMAbwBuAHQAcgBhAGMAdABvAHIAIABvAHAAZQByAGEAdABpAG8AbgBzAFwAIgApADsAXABuAFwAbgBWAEUARQBSAEcAXwAxADUAXwA3AF8AMQBfADEAXwBfADEAXwBFAG0AaQBzAHMAaQBvAG4AcwBGAHIAbwBtAFAAdQByAGMAaABhAHMAZQBkAFMAZQByAHYAaQBjAGUAcwBfAFYAYQByAGkAYQBiAGwAZQBcAG4AIAAgAD0ATABBAE0AQgBEAEEAKABcACIARQBcACIAKQA7AFwAbgBcAG4AVgBFAEUAUgBHAF8AMQA1AF8ANwBfADEAXwAxAF8AXwAxAF8ARQBtAGkAcwBzAGkAbwBuAHMARgByAG8AbQBQAHUAcgBjAGgAYQBzAGUAZABTAGUAcgB2AGkAYwBlAHMAXwBVAG4AaQB0AFwAbgAgACAAPQBMAEEATQBCAEQAQQAoAFwAIgB0ACAAQwBPADIAZQBcACIAKQA7AFwAbgBcAG4AVgBFAEUAUgBHAF8AMQA1AF8ANwBfADEAXwAxAF8AXwAxAF8ARQBtAGkAcwBzAGkAbwBuAHMARgByAG8AbQBQAHUAcgBjAGgAYQBzAGUAZABTAGUAcgB2AGkAYwBlAHMAXwBTAG8AdQByAGMAZQBcAG4AIAAgAD0ATABBAE0AQgBEAEEAKABcACIAVgBFAEUAUgBHACAAMgAwADIANgA6ACAAMQA1AC4ANwAuADEALgAxACwAIABFAHEAdQBhAHQAaQBvAG4AIAAoADEAKQBcACIAKQA7AFwAbgBcAG4AVgBFAEUAUgBHAF8AMQA1AF8ANwBfADEAXwAxAF8AXwAxAF8ARQBtAGkAcwBzAGkAbwBuAHMARgByAG8AbQBQAHUAcgBjAGgAYQBzAGUAZABTAGUAcgB2AGkAYwBlAHMAXwBOAEkAUgBSAGUAZgBlAHIAZQBuAGMAZQBcAG4AIAAgAD0ATABBAE0AQgBEAEEAKABcACIAXAAiACkAOwBcAG4AXABuAFYARQBFAFIARwBfADEANQBfADcAXwAxAF8AMQBfAF8AMQBfAEUAbQBpAHMAcwBpAG8AbgBzAEYAcgBvAG0AUAB1AHIAYwBoAGEAcwBlAGQAUwBlAHIAdgBpAGMAZQBzAF8ATABhAHQAZQB4AEUAcQB1AGEAdABpAG8AbgBcAG4AIAAgAD0ATABBAE0AQgBEAEEAKABcACIARQA9AFwAXABzAHUAbQBcAFwAbgBvAGwAaQBtAGkAdABzAF8AcABcAFwAbABlAGYAdAAoAEEAXwBwAFwAXAB0AGkAbQBlAHMAIABFAEYAXwBwAFwAXAByAGkAZwBoAHQAKQBcAFwAdABpAG0AZQBzACAAMQAwAF4AewAtADMAfQBcACIAKQA7AFwAbgBcAG4AVgBFAEUAUgBHAF8AMQA1AF8ANwBfADEAXwAxAF8AXwAxAF8ARQBtAGkAcwBzAGkAbwBuAHMARgByAG8AbQBQAHUAcgBjAGgAYQBzAGUAZABTAGUAcgB2AGkAYwBlAHMAXwBBAHIAZwB1AG0AZQBuAHQAcwBcAG4AIAAgAD0ATABBAE0AQgBEAEEAKABcAG4AIAAgACAAIABNAEEASwBFAEEAUgBSAEEAWQAoADMALAAgADQALABcAG4AIAAgACAAIAAgACAATABBAE0AQgBEAEEAKAByACwAYwAsAFwAbgAgACAAIAAgACAAIAAgACAASQBOAEQARQBYACgAewBcAG4AIAAgACAAIAAgACAAIAAgACAAIABcACIAQQBfAHAAXAAiACwAIABcACIAYQBjAHQAaQB2AGkAdAB5ACAAZABhAHQAYQAgAG8AZgAgAHQAaABlACAAcwBlAHIAdgBpAGMAZQAgAHQAaABhAHQAIAB3AGEAcwAgAHAAdQByAGMAaABhAHMAZQBkAFwAIgAsACAAXAAiAGgAYQAgAG8AcgAgAGgAXAAiACwAIABcACIASQBuAHAAdQB0AFwAIgA7AFwAbgAgACAAIAAgACAAIAAgACAAIAAgAFwAIgBFAEYAXwBwAFwAIgAsACAAXAAiAGwAaQBmAGUAIABjAHkAYwBsAGUAIABlAG0AaQBzAHMAaQBvAG4AIABmAGEAYwB0AG8AcgAgAGYAbwByACAAdABoAGUAIABwAHUAcgBjAGgAYQBzAGUAZAAgAHMAZQByAHYAaQBjAGUAXAAiACwAIABcACIAawBnACAAQwBPADIAZQAvAGgAYQAgAG8AcgAgAGsAZwAgAEMATwAyAGUALwBoAFwAIgAsACAAXAAiAEMAbwBuAHMAdABhAG4AdABcACIAOwBcAG4AIAAgACAAIAAgACAAIAAgACAAIABcACIAcABcACIALAAgAFwAIgBzAGUAcgB2AGkAYwBl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OABfADEAXwAxAF8AXwAxAF8ARQBtAGkAcwBzAGkAbwBuAHMARgByAG8AbQBQAHUAcgBjAGgAYQBzAGUAZABQAGEAYwBrAGEAZwBpAG4AZwBcAG4ARQBtAGIAZQBkAGQAZQBkACAAZQBtAGkAcwBzAGkAbwBuAHMAIABmAHIAbwBtACAAdQBzAGUAIABvAGYAIABwAGEAYwBrAGEAZwBpAG4AZwAgAG0AYQB0AGUAcgBpAGEAbABzAFwAbgBFAFwAbgB0ACAAQwBPADIAZQBcAG4ARQA9AFwAXABzAHUAbQBcAFwAbgBvAGwAaQBtAGkAdABzAF8AcABcAFwAbABlAGYAdAAoAFEAXwBwAFwAXAB0AGkAbQBlAHMAIABFAEYAXwBwAFwAXAByAGkAZwBoAHQAKQBcAFwAdABpAG0AZQBzACAAMQAwAF4AewAtADMAfQBcAG4AUQBfAHAAIAA9ACAAdQBuAGkAdABzACAAbwBmACAAcABhAGMAawBhAGcAaQBuAGcAIAB0AHkAcABlACAAcABcAG4ARQBGAF8AcAAgAD0AIABlAG0AaQBzAHMAaQBvAG4AIABmAGEAYwB0AG8AcgAgAGYAbwByACAAcABhAGMAawBhAGcAaQBuAGcAIAB0AHkAcABlACAAcABcAG4ALQAtAC0ALQAtAC0ALQAtAC0ALQAtAC0ALQAtAC0ALQAtAC0ALQAtAC0ALQAtAC0ALQAtAC0ALQAtAC0ALQAtAC0ALQAtAC0ALQAtAFwAbgAqAC8AXABuAFwAbgBWAEUARQBSAEcAXwAxADUAXwA4AF8AMQBfADEAXwBfADEAXwBFAG0AaQBzAHMAaQBvAG4AcwBGAHIAbwBtAFAAdQByAGMAaABhAHMAZQBkAFAAYQBjAGsAYQBnAGkAbgBnAFwAbgAgACAAPQBMAEEATQBCAEQAQQAoAFwAbgAgACAAIAAgAFEAXwBwACwAIABFAEYAXwBwACwAXABuACAAIAAgACAAKABRAF8AcAAgACoAIABFAEYAXwBwACkAIAAqACAAMQAwACAAXgAgAC0AMwBcAG4AIAAgACkAOwBcAG4AXABuAFYARQBFAFIARwBfADEANQBfADgAXwAxAF8AMQBfAF8AMQBfAEUAbQBpAHMAcwBpAG8AbgBzAEYAcgBvAG0AUAB1AHIAYwBoAGEAcwBlAGQAUABhAGMAawBhAGcAaQBuAGcAXwBUAGkAdABsAGUAXABuACAAIAA9AEwAQQBNAEIARABBACgAXAAiAEUAbQBiAGUAZABkAGUAZAAgAGUAbQBpAHMAcwBpAG8AbgBzACAAZgByAG8AbQAgAHUAcwBlACAAbwBmACAAcABhAGMAawBhAGcAaQBuAGcAIABtAGEAdABlAHIAaQBhAGwAcwBcACIAKQA7AFwAbgBcAG4AVgBFAEUAUgBHAF8AMQA1AF8AOABfADEAXwAxAF8AXwAxAF8ARQBtAGkAcwBzAGkAbwBuAHMARgByAG8AbQBQAHUAcgBjAGgAYQBzAGUAZABQAGEAYwBrAGEAZwBpAG4AZwBfAFYAYQByAGkAYQBiAGwAZQBcAG4AIAAgAD0ATABBAE0AQgBEAEEAKABcACIARQBcACIAKQA7AFwAbgBcAG4AVgBFAEUAUgBHAF8AMQA1AF8AOABfADEAXwAxAF8AXwAxAF8ARQBtAGkAcwBzAGkAbwBuAHMARgByAG8AbQBQAHUAcgBjAGgAYQBzAGUAZABQAGEAYwBrAGEAZwBpAG4AZwBfAFUAbgBpAHQAXABuACAAIAA9AEwAQQBNAEIARABBACgAXAAiAHQAIABDAE8AMgBlAFwAIgApADsAXABuAFwAbgBWAEUARQBSAEcAXwAxADUAXwA4AF8AMQBfADEAXwBfADEAXwBFAG0AaQBzAHMAaQBvAG4AcwBGAHIAbwBtAFAAdQByAGMAaABhAHMAZQBkAFAAYQBjAGsAYQBnAGkAbgBnAF8AUwBvAHUAcgBjAGUAXABuACAAIAA9AEwAQQBNAEIARABBACgAXAAiAFYARQBFAFIARwAgADIAMAAyADYAOgAgADEANQAuADgALgAxAC4AMQAsACAARQBxAHUAYQB0AGkAbwBuACAAKAAxACkAXAAiACkAOwBcAG4AXABuAFYARQBFAFIARwBfADEANQBfADgAXwAxAF8AMQBfAF8AMQBfAEUAbQBpAHMAcwBpAG8AbgBzAEYAcgBvAG0AUAB1AHIAYwBoAGEAcwBlAGQAUABhAGMAawBhAGcAaQBuAGcAXwBOAEkAUgBSAGUAZgBlAHIAZQBuAGMAZQBcAG4AIAAgAD0ATABBAE0AQgBEAEEAKABcACIAXAAiACkAOwBcAG4AXABuAFYARQBFAFIARwBfADEANQBfADgAXwAxAF8AMQBfAF8AMQBfAEUAbQBpAHMAcwBpAG8AbgBzAEYAcgBvAG0AUAB1AHIAYwBoAGEAcwBlAGQAUABhAGMAawBhAGcAaQBuAGcAXwBMAGEAdABlAHgARQBxAHUAYQB0AGkAbwBuAFwAbgAgACAAPQBMAEEATQBCAEQAQQAoAFwAIgBFAD0AXABcAHMAdQBtAFwAXABuAG8AbABpAG0AaQB0AHMAXwBwAFwAXABsAGUAZgB0ACgAUQBfAHAAXABcAHQAaQBtAGUAcwAgAEUARgBfAHAAXABcAHIAaQBnAGgAdAApAFwAXAB0AGkAbQBlAHMAIAAxADAAXgB7AC0AMwB9AFwAIgApADsAXABuAFwAbgBWAEUARQBSAEcAXwAxADUAXwA4AF8AMQBfADEAXwBfADEAXwBFAG0AaQBzAHMAaQBvAG4AcwBGAHIAbwBtAFAAdQByAGMAaABhAHMAZQBkAFAAYQBjAGsAYQBnAGkAbgBnAF8AQQByAGcAdQBtAGUAbgB0AHMAXABuACAAIAA9AEwAQQBNAEIARABBACgAXABuACAAIAAgACAATQBBAEsARQBBAFIAUgBBAFkAKAAzACwAIAA0ACwAXABuACAAIAAgACAAIAAgAEwAQQBNAEIARABBACgAcgAsAGMALABcAG4AIAAgACAAIAAgACAAIAAgAEkATgBEAEUAWAAoAHsAXABuACAAIAAgACAAIAAgACAAIAAgACAAXAAiAFEAXwBwAFwAIgAsACAAXAAiAHUAbgBpAHQAcwAgAG8AZgAgAHAAYQBjAGsAYQBnAGkAbgBnACAAdAB5AHAAZQAgAHAAXAAiACwAIABcACIAdQBuAGkAdABzAFwAIgAsACAAXAAiAEkAbgBwAHUAdABcACIAOwBcAG4AIAAgACAAIAAgACAAIAAgACAAIABcACIARQBGAF8AcABcACIALAAgAFwAIgBlAG0AaQBzAHMAaQBvAG4AIABmAGEAYwB0AG8AcgAgAGYAbwByACAAcABhAGMAawBhAGcAaQBuAGcAIAB0AHkAcABlACAAcABcACIALAAgAFwAIgBrAGcAIABDAE8AMgBlAC8AdQBuAGkAdABcACIALAAgAFwAIgBDAG8AbgBzAHQAYQBuAHQAXAAiADsAXABuACAAIAAgACAAIAAgACAAIAAgACAAXAAiAHAAXAAiACwAIABcACIAcABhAGMAawBhAGcAaQBuAGcAIAB0AHkAcABlAFwAIgAsACAAXAAiAFwAIgAsACAAXAAiAEkAbgBwAHUAdABcACIAXABuACAAIAAgACAAIAAgACAAIAB9ACwAIAByACwAIABjACkAXABuACAAIAAgACAAIAAgACkAXABuACAAIAAgACAAKQBcAG4AIAAgACkAOwBcAG4AXABuAFYARQBFAFIARwBfADEANQBfADgAXwAxAF8AMQBfAF8AMQBfAEUAbQBpAHMAcwBpAG8AbgBzAEYAcgBvAG0AUAB1AHIAYwBoAGEAcwBlAGQAUABhAGMAawBhAGcAaQBuAGcAXwBWAGEAcgBpAGEAdABpAG8AbgBcAG4AIAAgAD0ATABBAE0AQgBEAEEAKABcACIAVgBBAFIASQBBAFQASQBPAE4AIABPAE4AIABTAE8AVQBSAEMARQA6ACAAQwBoAGEAbgBnAGUAZAAgAHUAbgBpAHQAIABvAGYAIABRACAAZgByAG8AbQAgAFwAdQAwADAAMgA3AHUAbgBpAHQAcwBcAHUAMAAwADIANwAgAHQAbwAgAFwAdQAwADAAMgA3AGsAZwBcAHUAMAAwADIANwAgAGEAcwAgAEUARgAgAGQAYQB0AGEAIABpAHMAIABpAG4AIABrAGcALgBcACIAKQA7AFwAbgAgACAAXABuAFwAbgAvACoAXABuAC0ALQAtAC0ALQAtAC0ALQAtAC0ALQAtAC0ALQAtAC0ALQAtAC0ALQAtAC0ALQAtAC0ALQAtAC0ALQAtAC0ALQAtAC0ALQAtAC0ALQBcAG4AVgBFAEUAUgBHAF8AMQA1AF8AOQBfADEAXwAxAF8AXwAxAF8ARQBtAGkAcwBzAGkAbwBuAHMARgByAG8AbQBQAHUAcgBjAGgAYQBzAGUAZABHAHIAbwB3AE0AZQBkAGkAYQBcAG4ARQBtAGIAZQBkAGQAZQBkACAAZQBtAGkAcwBzAGkAbwBuAHMAIABmAHIAbwBtACAAdQBzAGUAIABvAGYAIABnAHIAbwB3ACAAbQBlAGQAaQBhACAAcAByAG8AZAB1AGMAdABzAFwAbgBFAFwAbgB0ACAAQwBPADIAZQBcAG4ARQA9AFwAXABzAHUAbQBcAFwAbgBvAGwAaQBtAGkAdABzAF8AZwBcAFwAbABlAGYAdAAoAFEAXwBnAFwAXAB0AGkAbQBlAHMAIABFAEYAXwBnAFwAXAByAGkAZwBoAHQAKQBcAFwAdABpAG0AZQBzACAAMQAwAF4AewAtADMAfQBcAG4AUQBfAGcAIAA9ACAAdABvAHQAYQBsACAAcQB1AGEAbgB0AGkAdAB5ACAAbwBmACAAZwByAG8AdwAgAG0AZQBkAGkAYQAgAHQAeQBwAGUAIABnAFwAbgBFAEYAXwBnACAAPQAgAGUAbQBpAHMAcwBpAG8AbgAgAGYAYQBjAHQAbwByACAAZgBvAHIAIABnAHIAbwB3ACAAbQBlAGQAaQBhACAAdAB5AHAAZQAgAGcAXABuAC0ALQAtAC0ALQAtAC0ALQAtAC0ALQAtAC0ALQAtAC0ALQAtAC0ALQAtAC0ALQAtAC0ALQAtAC0ALQAtAC0ALQAtAC0ALQAtAC0ALQBcAG4AKgAvAFwAbgBcAG4AVgBFAEUAUgBHAF8AMQA1AF8AOQBfADEAXwAxAF8AXwAxAF8ARQBtAGkAcwBzAGkAbwBuAHMARgByAG8AbQBQAHUAcgBjAGgAYQBzAGUAZABHAHIAbwB3AE0AZQBkAGkAYQBcAG4AIAAgAD0ATABBAE0AQgBEAEEAKABcAG4AIAAgACAAIABRAF8AZwAsACAARQBGAF8AZwAsAFwAbgAgACAAIAAgACgAUQBfAGcAIAAqACAARQBGAF8AZwApACAAKgAgADEAMAAgAF4AIAAtADMAXABuACAAIAApADsAXABuAFwAbgBWAEUARQBSAEcAXwAxADUAXwA5AF8AMQBfADEAXwBfADEAXwBFAG0AaQBzAHMAaQBvAG4AcwBGAHIAbwBtAFAAdQByAGMAaABhAHMAZQBkAEcAcgBvAHcATQBlAGQAaQBhAF8AVABpAHQAbABlAFwAbgAgACAAPQBMAEEATQBCAEQAQQAoAFwAIgBFAG0AYgBlAGQAZABlAGQAIABlAG0AaQBzAHMAaQBvAG4AcwAgAGYAcgBvAG0AIAB1AHMAZQAgAG8AZgAgAGcAcgBvAHcAIABtAGUAZABpAGEAIABwAHIAbwBkAHUAYwB0AHMAXAAiACkAOwBcAG4AXABuAFYARQBFAFIARwBfADEANQBfADkAXwAxAF8AMQBfAF8AMQBfAEUAbQBpAHMAcwBpAG8AbgBzAEYAcgBvAG0AUAB1AHIAYwBoAGEAcwBlAGQARwByAG8AdwBNAGUAZABpAGEAXwBWAGEAcgBpAGEAYgBsAGUAXABuACAAIAA9AEwAQQBNAEIARABBACgAXAAiAEUAXAAiACkAOwBcAG4AXABuAFYARQBFAFIARwBfADEANQBfADkAXwAxAF8AMQBfAF8AMQBfAEUAbQBpAHMAcwBpAG8AbgBzAEYAcgBvAG0AUAB1AHIAYwBoAGEAcwBlAGQARwByAG8AdwBNAGUAZABpAGEAXwBVAG4AaQB0AFwAbgAgACAAPQBMAEEATQBCAEQAQQAoAFwAIgB0ACAAQwBPADIAZQBcACIAKQA7AFwAbgBcAG4AVgBFAEUAUgBHAF8AMQA1AF8AOQBfADEAXwAxAF8AXwAxAF8ARQBtAGkAcwBzAGkAbwBuAHMARgByAG8AbQBQAHUAcgBjAGgAYQBzAGUAZABHAHIAbwB3AE0AZQBkAGkAYQBfAFMAbwB1AHIAYwBlAFwAbgAgACAAPQBMAEEATQBCAEQAQQAoAFwAIgBWAEUARQBSAEcAIAAyADAAMgA2ADoAIAAxADUALgA5AC4AMQAuADEALAAgAEUAcQB1AGEAdABpAG8AbgAgACgAMQApAFwAIgApADsAXABuAFwAbgBWAEUARQBSAEcAXwAxADUAXwA5AF8AMQBfADEAXwBfADEAXwBFAG0AaQBzAHMAaQBvAG4AcwBGAHIAbwBtAFAAdQByAGMAaABhAHMAZQBkAEcAcgBvAHcATQBlAGQAaQBhAF8ATgBJAFIAUgBlAGYAZQByAGUAbgBjAGUAXABuACAAIAA9AEwAQQBNAEIARABBACgAXAAiAFwAIgApADsAXABuAFwAbgBWAEUARQBSAEcAXwAxADUAXwA5AF8AMQBfADEAXwBfADEAXwBFAG0AaQBzAHMAaQBvAG4AcwBGAHIAbwBtAFAAdQByAGMAaABhAHMAZQBkAEcAcgBvAHcATQBlAGQAaQBhAF8ATABhAHQAZQB4AEUAcQB1AGEAdABpAG8AbgBcAG4AIAAgAD0ATABBAE0AQgBEAEEAKABcACIARQA9AFwAXABzAHUAbQBcAFwAbgBvAGwAaQBtAGkAdABzAF8AZwBcAFwAbABlAGYAdAAoAFEAXwBnAFwAXAB0AGkAbQBlAHMAIABFAEYAXwBnAFwAXAByAGkAZwBoAHQAKQBcAFwAdABpAG0AZQBzACAAMQAwAF4AewAtADMAfQBcACIAKQA7AFwAbgBcAG4AVgBFAEUAUgBHAF8AMQA1AF8AOQBfADEAXwAxAF8AXwAxAF8ARQBtAGkAcwBzAGkAbwBuAHMARgByAG8AbQBQAHUAcgBjAGgAYQBzAGUAZABHAHIAbwB3AE0AZQBkAGkAYQBfAEEAcgBnAHUAbQBlAG4AdABzAFwAbgAgACAAPQBMAEEATQBCAEQAQQAoAFwAbgAgACAAIAAgAE0AQQBLAEUAQQBSAFIAQQBZACgAMwAsACAANAAsAFwAbgAgACAAIAAgACAAIABMAEEATQBCAEQAQQAoAHIALABjACwAXABuACAAIAAgACAAIAAgACAAIABJAE4ARABFAFgAKAB7AFwAbgAgACAAIAAgACAAIAAgACAAIAAgAFwAIgBRAF8AZwBcACIALAAgAFwAIgB0AG8AdABhAGwAIABxAHUAYQBuAHQAaQB0AHkAIABvAGYAIABnAHIAbwB3ACAAbQBlAGQAaQBhACAAdAB5AHAAZQAgAGcAXAAiACwAIABcACIAawBnACAAbwByACAAbQAzAFwAIgAsACAAXAAiAEkAbgBwAHUAdABcACIAOwBcAG4AIAAgACAAIAAgACAAIAAgACAAIABcACIARQBGAF8AZwBcACIALAAgAFwAIgBlAG0AaQBzAHMAaQBvAG4AIABmAGEAYwB0AG8AcgAgAGYAbwByACAAZwByAG8AdwAgAG0AZQBkAGkAYQAgAHQAeQBwAGUAIABnAFwAIgAsACAAXAAiAGsAZwAgAEMATwAyAGUALwBrAGcAIABvAHIAIABrAGcAIABDAE8AMgBlAC8AbQAzAFwAIgAsACAAXAAiAEMAbwBuAHMAdABhAG4AdABcACIAOwBcAG4AIAAgACAAIAAgACAAIAAgACAAIABcACIAZwBcACIALAAgAFwAIgBnAHIAbwB3ACAAbQBlAGQAaQBh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wAF8AMQBfADEAXwBfADEAXwBPAHQAaABlAHIAUAB1AHIAYwBoAGEAcwBlAGQARwBvAG8AZABzAEEAbgBkAFMAZQByAHYAaQBjAGUAcwBcAG4ATwB0AGgAZQByACAAcAB1AHIAYwBoAGEAcwBlAGQAIABnAG8AbwBkAHMAIABhAG4AZAAgAHMAZQByAHYAaQBjAGUAcwAgAGcAZQBuAGUAcgBpAGMAIABlAHMAdABpAG0AYQB0AGUAXABuAGUAbQBpAHMAcwBpAG8AbgBzAFwAbgB0ACAAQwBPADIAZQBcAG4AZQBtAGkAcwBzAGkAbwBuAHMAPQBhAGMAdABpAHYAaQB0AHkAXwBkAGEAdABhAFwAXAB0AGkAbQBlAHMAIABlAG0AaQBzAHMAaQBvAG4AXwBmAGEAYwB0AG8AcgBcAG4AYQBjAHQAaQB2AGkAdAB5AF8AZABhAHQAYQAgAD0AIABtAGUAYQBzAHUAcgBlAGQAIABhAGMAdABpAHYAaQB0AHkAIABmAG8AcgAgAHQAaABlACAAcAB1AHIAYwBoAGEAcwBlAGQAIABnAG8AbwBkACAAbwByACAAcwBlAHIAdgBpAGMAZQBcAG4AZQBtAGkAcwBzAGkAbwBuAF8AZgBhAGMAdABvAHIAIAA9ACAAbABpAGYAZQBjAHkAYwBsAGUAIABlAG0AaQBzAHMAaQBvAG4AcwAgAHAAZQByACAAdQBuAGkAdAAgAG8AZgAgAGEAYwB0AGkAdgBpAHQAeQBcAG4ALQAtAC0ALQAtAC0ALQAtAC0ALQAtAC0ALQAtAC0ALQAtAC0ALQAtAC0ALQAtAC0ALQAtAC0ALQAtAC0ALQAtAC0ALQAtAC0ALQAtAFwAbgAqAC8AXABuAFwAbgBWAEUARQBSAEcAXwAxADUAXwAxADAAXwAxAF8AMQBfAF8AMQBfAE8AdABoAGUAcgBQAHUAcgBjAGgAYQBzAGUAZABHAG8AbwBkAHMAQQBuAGQAUwBlAHIAdgBpAGMAZQBzAFwAbgAgACAAPQBMAEEATQBCAEQAQQAoAFwAbgAgACAAIAAgAGEAYwB0AGkAdgBpAHQAeQBfAGQAYQB0AGEALAAgAGUAbQBpAHMAcwBpAG8AbgBfAGYAYQBjAHQAbwByACwAXABuACAAIAAgACAAYQBjAHQAaQB2AGkAdAB5AF8AZABhAHQAYQAgACoAIABlAG0AaQBzAHMAaQBvAG4AXwBmAGEAYwB0AG8AcgBcAG4AIAAgACkAOwBcAG4AXABuAFYARQBFAFIARwBfADEANQBfADEAMABfADEAXwAxAF8AXwAxAF8ATwB0AGgAZQByAFAAdQByAGMAaABhAHMAZQBkAEcAbwBvAGQAcwBBAG4AZABTAGUAcgB2AGkAYwBlAHMAXwBUAGkAdABsAGUAXABuACAAIAA9AEwAQQBNAEIARABBACgAXAAiAE8AdABoAGUAcgAgAHAAdQByAGMAaABhAHMAZQBkACAAZwBvAG8AZABzACAAYQBuAGQAIABzAGUAcgB2AGkAYwBlAHMAIABnAGUAbgBlAHIAaQBjACAAZQBzAHQAaQBtAGEAdABlAFwAIgApADsAXABuAFwAbgBWAEUARQBSAEcAXwAxADUAXwAxADAAXwAxAF8AMQBfAF8AMQBfAE8AdABoAGUAcgBQAHUAcgBjAGgAYQBzAGUAZABHAG8AbwBkAHMAQQBuAGQAUwBlAHIAdgBpAGMAZQBzAF8AVgBhAHIAaQBhAGIAbABlAFwAbgAgACAAPQBMAEEATQBCAEQAQQAoAFwAIgBlAG0AaQBzAHMAaQBvAG4AcwBcACIAKQA7AFwAbgBcAG4AVgBFAEUAUgBHAF8AMQA1AF8AMQAwAF8AMQBfADEAXwBfADEAXwBPAHQAaABlAHIAUAB1AHIAYwBoAGEAcwBlAGQARwBvAG8AZABzAEEAbgBkAFMAZQByAHYAaQBjAGUAcwBfAFUAbgBpAHQAXABuACAAIAA9AEwAQQBNAEIARABBACgAXAAiAHQAIABDAE8AMgBlAFwAIgApADsAXABuAFwAbgBWAEUARQBSAEcAXwAxADUAXwAxADAAXwAxAF8AMQBfAF8AMQBfAE8AdABoAGUAcgBQAHUAcgBjAGgAYQBzAGUAZABHAG8AbwBkAHMAQQBuAGQAUwBlAHIAdgBpAGMAZQBzAF8AUwBvAHUAcgBjAGUAXABuACAAIAA9AEwAQQBNAEIARABBACgAXAAiAFYARQBFAFIARwAgADIAMAAyADYAOgAgADEANQAuADEAMAAsACAAZwBlAG4AZQByAGkAYwAgAHAAbABhAGMAZQBoAG8AbABkAGUAcgAgAGUAcQB1AGEAdABpAG8AbgBcACIAKQA7AFwAbgBcAG4AVgBFAEUAUgBHAF8AMQA1AF8AMQAwAF8AMQBfADEAXwBfADEAXwBPAHQAaABlAHIAUAB1AHIAYwBoAGEAcwBlAGQARwBvAG8AZABzAEEAbgBkAFMAZQByAHYAaQBjAGUAcwBfAE4ASQBSAFIAZQBmAGUAcgBlAG4AYwBlAFwAbgAgACAAPQBMAEEATQBCAEQAQQAoAFwAIgBcACIAKQA7AFwAbgBcAG4AVgBFAEUAUgBHAF8AMQA1AF8AMQAwAF8AMQBfADEAXwBfADEAXwBPAHQAaABlAHIAUAB1AHIAYwBoAGEAcwBlAGQARwBvAG8AZABzAEEAbgBkAFMAZQByAHYAaQBjAGUAcwBfAEwAYQB0AGUAeABFAHEAdQBhAHQAaQBvAG4AXABuACAAIAA9AEwAQQBNAEIARABBACgAXAAiAGUAbQBpAHMAcwBpAG8AbgBzAD0AYQBjAHQAaQB2AGkAdAB5AFwAXABfAGQAYQB0AGEAXABcAHQAaQBtAGUAcwAgAGUAbQBpAHMAcwBpAG8AbgBcAFwAXwBmAGEAYwB0AG8AcgBcACIAKQA7AFwAbgBcAG4AVgBFAEUAUgBHAF8AMQA1AF8AMQAwAF8AMQBfADEAXwBfADEAXwBPAHQAaABlAHIAUAB1AHIAYwBoAGEAcwBlAGQARwBvAG8AZABzAEEAbgBkAFMAZQByAHYAaQBjAGUAcwBfAEEAcgBnAHUAbQBlAG4AdABzAFwAbgAgACAAPQBMAEEATQBCAEQAQQAoAFwAbgAgACAAIAAgAE0AQQBLAEUAQQBSAFIAQQBZACgAMgAsACAANAAsAFwAbgAgACAAIAAgACAAIABMAEEATQBCAEQAQQAoAHIALABjACwAXABuACAAIAAgACAAIAAgACAAIABJAE4ARABFAFgAKAB7AFwAbgAgACAAIAAgACAAIAAgACAAIAAgAFwAIgBhAGMAdABpAHYAaQB0AHkAXwBkAGEAdABhAFwAIgAsACAAXAAiAG0AZQBhAHMAdQByAGUAZAAgAGEAYwB0AGkAdgBpAHQAeQAgAGYAbwByACAAdABoAGUAIABwAHUAcgBjAGgAYQBzAGUAZAAgAGcAbwBvAGQAIABvAHIAIABzAGUAcgB2AGkAYwBlAFwAIgAsACAAXAAiAHYAYQByAGkAZQBzAFwAIgAsACAAXAAiAEkAbgBwAHUAdABcACIAOwBcAG4AIAAgACAAIAAgACAAIAAgACAAIABcACIAZQBtAGkAcwBzAGkAbwBuAF8AZgBhAGMAdABvAHIAXAAiACwAIABcACIAbABpAGYAZQBjAHkAYwBsAGUAIABlAG0AaQBzAHMAaQBvAG4AcwAgAHAAZQByACAAdQBuAGkAdAAgAG8AZgAgAGEAYwB0AGkAdgBpAHQAeQBcACIALAAgAFwAIgB2AGEAcgBpAGUAc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EAXwBUAG8AdABhAGwAVQBwAHMAdAByAGUAYQBtAEUAbQBpAHMAcwBpAG8AbgBzAEYAcgBvAG0ARgB1AGUAbABcAG4AVABvAHQAYQBsACAAdQBwAHMAdAByAGUAYQBtACAAZQBtAGkAcwBzAGkAbwBuAHMAIABmAHIAbwBtACAAcwBjAG8AcABlACAAMQAgAGYAdQBlAGwAIABjAG8AbgBzAHUAbQBwAHQAaQBvAG4AXABuAEUAXABuAHQAIABDAE8AMgBlAFwAbgBFAD0AXABcAHMAdQBtAFwAXABuAG8AbABpAG0AaQB0AHMAXwBxAEUAXwB7AFcAVABUACwAdAByAGEAbgBzACwAcQB9ACsAXABcAHMAdQBtAFwAXABuAG8AbABpAG0AaQB0AHMAXwBxAEUAXwB7AFcAVABUACwAUwBDACwAcQB9AFwAbgBFAF8AVwBUAFQAdAByAGEAbgBzAHEAIAA9ACAAdQBwAHMAdAByAGUAYQBtACAAZQBtAGkAcwBzAGkAbwBuAHMAIABmAHIAbwBtACAAcwBjAG8AcABlACAAMQAgAHQAcgBhAG4AcwBwAG8AcgB0ACAAZgB1AGUAbAAgAHUAcwBlAFwAbgBFAF8AVwBUAFQAUwBDAHEAIAA9ACAAdQBwAHMAdAByAGUAYQBtACAAZQBtAGkAcwBzAGkAbwBuAHMAIABmAHIAbwBtACAAcwBjAG8AcABlACAAMQAgAHMAdABhAHQAaQBvAG4AYQByAHkAIABjAG8AbQBiAHUAcwB0AGkAbwBuACAAZgB1AGUAbAAgAHUAcwBlAFwAbgAtAC0ALQAtAC0ALQAtAC0ALQAtAC0ALQAtAC0ALQAtAC0ALQAtAC0ALQAtAC0ALQAtAC0ALQAtAC0ALQAtAC0ALQAtAC0ALQAtAC0AXABuACoALwBcAG4AXABuAFYARQBFAFIARwBfADEANQBfADEAMQBfADEAXwAxAF8AXwAxAF8AVABvAHQAYQBsAFUAcABzAHQAcgBlAGEAbQBFAG0AaQBzAHMAaQBvAG4AcwBGAHIAbwBtAEYAdQBlAGwAXABuACAAIAA9AEwAQQBNAEIARABBACgAXABuACAAIAAgACAARQBfAFcAVABUAHQAcgBhAG4AcwBxACwAIABFAF8AVwBUAFQAUwBDAHEALABcAG4AIAAgACAAIABFAF8AVwBUAFQAdAByAGEAbgBzAHEAIAArACAARQBfAFcAVABUAFMAQwBxAFwAbgAgACAAKQA7AFwAbgBcAG4AVgBFAEUAUgBHAF8AMQA1AF8AMQAxAF8AMQBfADEAXwBfADEAXwBUAG8AdABhAGwAVQBwAHMAdAByAGUAYQBtAEUAbQBpAHMAcwBpAG8AbgBzAEYAcgBvAG0ARgB1AGUAbABfAFQAaQB0AGwAZQBcAG4AIAAgAD0ATABBAE0AQgBEAEEAKABcACIAVABvAHQAYQBsACAAdQBwAHMAdAByAGUAYQBtACAAZQBtAGkAcwBzAGkAbwBuAHMAIABmAHIAbwBtACAAcwBjAG8AcABlACAAMQAgAGYAdQBlAGwAIABjAG8AbgBzAHUAbQBwAHQAaQBvAG4AXAAiACkAOwBcAG4AXABuAFYARQBFAFIARwBfADEANQBfADEAMQBfADEAXwAxAF8AXwAxAF8AVABvAHQAYQBsAFUAcABzAHQAcgBlAGEAbQBFAG0AaQBzAHMAaQBvAG4AcwBGAHIAbwBtAEYAdQBlAGwAXwBWAGEAcgBpAGEAYgBsAGUAXABuACAAIAA9AEwAQQBNAEIARABBACgAXAAiAEUAXAAiACkAOwBcAG4AXABuAFYARQBFAFIARwBfADEANQBfADEAMQBfADEAXwAxAF8AXwAxAF8AVABvAHQAYQBsAFUAcABzAHQAcgBlAGEAbQBFAG0AaQBzAHMAaQBvAG4AcwBGAHIAbwBtAEYAdQBlAGwAXwBVAG4AaQB0AFwAbgAgACAAPQBMAEEATQBCAEQAQQAoAFwAIgB0ACAAQwBPADIAZQBcACIAKQA7AFwAbgBcAG4AVgBFAEUAUgBHAF8AMQA1AF8AMQAxAF8AMQBfADEAXwBfADEAXwBUAG8AdABhAGwAVQBwAHMAdAByAGUAYQBtAEUAbQBpAHMAcwBpAG8AbgBzAEYAcgBvAG0ARgB1AGUAbABfAFMAbwB1AHIAYwBlAFwAbgAgACAAPQBMAEEATQBCAEQAQQAoAFwAIgBWAEUARQBSAEcAIAAyADAAMgA2ADoAIAAxADUALgAxADEALgAxAC4AMQAsACAARQBxAHUAYQB0AGkAbwBuACAAKAAxACkAXAAiACkAOwBcAG4AXABuAFYARQBFAFIARwBfADEANQBfADEAMQBfADEAXwAxAF8AXwAxAF8AVABvAHQAYQBsAFUAcABzAHQAcgBlAGEAbQBFAG0AaQBzAHMAaQBvAG4AcwBGAHIAbwBtAEYAdQBlAGwAXwBOAEkAUgBSAGUAZgBlAHIAZQBuAGMAZQBcAG4AIAAgAD0ATABBAE0AQgBEAEEAKABcACIAXAAiACkAOwBcAG4AXABuAFYARQBFAFIARwBfADEANQBfADEAMQBfADEAXwAxAF8AXwAxAF8AVABvAHQAYQBsAFUAcABzAHQAcgBlAGEAbQBFAG0AaQBzAHMAaQBvAG4AcwBGAHIAbwBtAEYAdQBlAGwAXwBMAGEAdABlAHgARQBxAHUAYQB0AGkAbwBuAFwAbgAgACAAPQBMAEEATQBCAEQAQQAoAFwAIgBFAD0AXABcAHMAdQBtAFwAXABuAG8AbABpAG0AaQB0AHMAXwBxAEUAXwB7AFcAVABUACwAdAByAGEAbgBzACwAcQB9ACsAXABcAHMAdQBtAFwAXABuAG8AbABpAG0AaQB0AHMAXwBxAEUAXwB7AFcAVABUACwAUwBDACwAcQB9AFwAIgApADsAXABuAFwAbgBWAEUARQBSAEcAXwAxADUAXwAxADEAXwAxAF8AMQBfAF8AMQBfAFQAbwB0AGEAbABVAHAAcwB0AHIAZQBhAG0ARQBtAGkAcwBzAGkAbwBuAHMARgByAG8AbQBGAHUAZQBsAF8AQQByAGcAdQBtAGUAbgB0AHMAXABuACAAIAA9AEwAQQBNAEIARABBACgAXABuACAAIAAgACAATQBBAEsARQBBAFIAUgBBAFkAKAAyACwAIAA0ACwAXABuACAAIAAgACAAIAAgAEwAQQBNAEIARABBACgAcgAsAGMALABcAG4AIAAgACAAIAAgACAAIAAgAEkATgBEAEUAWAAoAHsAXABuACAAIAAgACAAIAAgACAAIAAgACAAXAAiAEUAXwBXAFQAVAB0AHIAYQBuAHMAcQBcACIALAAgAFwAIgB1AHAAcwB0AHIAZQBhAG0AIABlAG0AaQBzAHMAaQBvAG4AcwAgAGYAcgBvAG0AIABzAGMAbwBwAGUAIAAxACAAdAByAGEAbgBzAHAAbwByAHQAIABmAHUAZQBsACAAdQBzAGUAXAAiACwAIABcACIAdAAgAEMATwAyAGUAXAAiACwAIABcACIAQwBhAGwAYwB1AGwAYQB0AGUAZAAgAGIAeQAgADEANQAuADEAMQAuADEALgAxACAAKAAyACkAXAAiADsAXABuACAAIAAgACAAIAAgACAAIAAgACAAXAAiAEUAXwBXAFQAVABTAEMAcQBcACIALAAgAFwAIgB1AHAAcwB0AHIAZQBhAG0AIABlAG0AaQBzAHMAaQBvAG4AcwAgAGYAcgBvAG0AIABzAGMAbwBwAGUAIAAxACAAcwB0AGEAdABpAG8AbgBhAHIAeQAgAGMAbwBtAGIAdQBzAHQAaQBvAG4AIABmAHUAZQBsACAAdQBzAGUAXAAiACwAIABcACIAdAAgAEMATwAyAGUAXAAiACwAIABcACIAQwBhAGwAYwB1AGwAYQB0AGUAZAAgAGIAeQAgADEANQAuADEAMQAuADEALgAxACAAKAAzACk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IAXwBVAHAAcwB0AHIAZQBhAG0AVAByAGEAbgBzAHAAbwByAHQARgB1AGUAbABFAG0AaQBzAHMAaQBvAG4AcwBcAG4AVQBwAHMAdAByAGUAYQBtACAAZQBtAGkAcwBzAGkAbwBuAHMAIABmAHIAbwBtACAAcwBjAG8AcABlACAAMQAgAGYAdQBlAGwAIAB1AHMAZQAgAGYAbwByACAAdAByAGEAbgBzAHAAbwByAHQAIABwAHUAcgBwAG8AcwBlAHMAXABuAEUAXwBXAFQAVAB0AHIAYQBuAHMAcQBcAG4AdAAgAEMATwAyAGUAXABuAEUAXwB7AFcAVABUACwAdAByAGEAbgBzACwAcQB9AD0AUQBfAHsAVAByAGEAbgBzACwAcQB9AFwAXAB0AGkAbQBlAHMAIABFAEMAXwB7AFQAcgBhAG4AcwAsAHEAfQBcAFwAdABpAG0AZQBzACAARQBGAF8AewBUAHIAYQBuAHMALAAzACwAcQB9AFwAXAB0AGkAbQBlAHMAIAAxADAAXgB7AC0AMwB9AFwAbgBRAF8AVAByAGEAbgBzAHEAIAA9ACAAYQBtAG8AdQBuAHQAIABvAGYAIABmAHUAZQBsACAAcQAgAGMAbwBtAGIAdQBzAHQAZQBkACAAZgBvAHIAIAB0AHIAYQBuAHMAcABvAHIAdAAgAGUAbgBlAHIAZwB5ACAAcAB1AHIAcABvAHMAZQBzAFwAbgBFAEMAXwBUAHIAYQBuAHMAcQAgAD0AIABlAG4AZQByAGcAeQAgAGMAbwBuAHQAZQBuAHQAIABmAGEAYwB0AG8AcgAgAGYAbwByACAAdAByAGEAbgBzAHAAbwByAHQAIABlAG4AZQByAGcAeQAgAHAAdQByAHAAbwBzAGUAcwBcAG4ARQBGAF8AVAByAGEAbgBzADMAcQAgAD0AIABzAGMAbwBwAGUAIAAzACAAZQBtAGkAcwBzAGkAbwBuACAAZgBhAGMAdABvAHIAIABmAG8AcgAgAHQAcgBhAG4AcwBwAG8AcgB0ACAAZQBuAGUAcgBnAHkAIABwAHUAcgBwAG8AcwBlAHMAXABuAC0ALQAtAC0ALQAtAC0ALQAtAC0ALQAtAC0ALQAtAC0ALQAtAC0ALQAtAC0ALQAtAC0ALQAtAC0ALQAtAC0ALQAtAC0ALQAtAC0ALQBcAG4AKgAvAFwAbgBcAG4AVgBFAEUAUgBHAF8AMQA1AF8AMQAxAF8AMQBfADEAXwBfADIAXwBVAHAAcwB0AHIAZQBhAG0AVAByAGEAbgBzAHAAbwByAHQARgB1AGUAbABFAG0AaQBzAHMAaQBvAG4AcwBcAG4AIAAgAD0ATABBAE0AQgBEAEEAKABcAG4AIAAgACAAIABRAF8AVAByAGEAbgBzAHEALAAgAEUAQwBfAFQAcgBhAG4AcwBxACwAIABFAEYAXwBUAHIAYQBuAHMAMwBxACwAXABuACAAIAAgACAAKABRAF8AVAByAGEAbgBzAHEAIAAqACAARQBDAF8AVAByAGEAbgBzAHEAIAAqACAARQBGAF8AVAByAGEAbgBzADMAcQApACAAKgAgADEAMAAgAF4AIAAtADMAXABuACAAIAApADsAXABuAFwAbgBWAEUARQBSAEcAXwAxADUAXwAxADEAXwAxAF8AMQBfAF8AMgBfAFUAcABzAHQAcgBlAGEAbQBUAHIAYQBuAHMAcABvAHIAdABGAHUAZQBsAEUAbQBpAHMAcwBpAG8AbgBzAF8AVABpAHQAbABlAFwAbgAgACAAPQBMAEEATQBCAEQAQQAoAFwAIgBVAHAAcwB0AHIAZQBhAG0AIABlAG0AaQBzAHMAaQBvAG4AcwAgAGYAcgBvAG0AIABzAGMAbwBwAGUAIAAxACAAZgB1AGUAbAAgAHUAcwBlACAAZgBvAHIAIAB0AHIAYQBuAHMAcABvAHIAdAAgAHAAdQByAHAAbwBzAGUAcwBcACIAKQA7AFwAbgBcAG4AVgBFAEUAUgBHAF8AMQA1AF8AMQAxAF8AMQBfADEAXwBfADIAXwBVAHAAcwB0AHIAZQBhAG0AVAByAGEAbgBzAHAAbwByAHQARgB1AGUAbABFAG0AaQBzAHMAaQBvAG4AcwBfAFYAYQByAGkAYQBiAGwAZQBcAG4AIAAgAD0ATABBAE0AQgBEAEEAKABcACIARQBfAFcAVABUAHQAcgBhAG4AcwBxAFwAIgApADsAXABuAFwAbgBWAEUARQBSAEcAXwAxADUAXwAxADEAXwAxAF8AMQBfAF8AMgBfAFUAcABzAHQAcgBlAGEAbQBUAHIAYQBuAHMAcABvAHIAdABGAHUAZQBsAEUAbQBpAHMAcwBpAG8AbgBzAF8AVQBuAGkAdABcAG4AIAAgAD0ATABBAE0AQgBEAEEAKABcACIAdAAgAEMATwAyAGUAXAAiACkAOwBcAG4AXABuAFYARQBFAFIARwBfADEANQBfADEAMQBfADEAXwAxAF8AXwAyAF8AVQBwAHMAdAByAGUAYQBtAFQAcgBhAG4AcwBwAG8AcgB0AEYAdQBlAGwARQBtAGkAcwBzAGkAbwBuAHMAXwBTAG8AdQByAGMAZQBcAG4AIAAgAD0ATABBAE0AQgBEAEEAKABcACIAVgBFAEUAUgBHACAAMgAwADIANgA6ACAAMQA1AC4AMQAxAC4AMQAuADEALAAgAEUAcQB1AGEAdABpAG8AbgAgACgAMgApAFwAIgApADsAXABuAFwAbgBWAEUARQBSAEcAXwAxADUAXwAxADEAXwAxAF8AMQBfAF8AMgBfAFUAcABzAHQAcgBlAGEAbQBUAHIAYQBuAHMAcABvAHIAdABGAHUAZQBsAEUAbQBpAHMAcwBpAG8AbgBzAF8ATgBJAFIAUgBlAGYAZQByAGUAbgBjAGUAXABuACAAIAA9AEwAQQBNAEIARABBACgAXAAiAFwAIgApADsAXABuAFwAbgBWAEUARQBSAEcAXwAxADUAXwAxADEAXwAxAF8AMQBfAF8AMgBfAFUAcABzAHQAcgBlAGEAbQBUAHIAYQBuAHMAcABvAHIAdABGAHUAZQBsAEUAbQBpAHMAcwBpAG8AbgBzAF8ATABhAHQAZQB4AEUAcQB1AGEAdABpAG8AbgBcAG4AIAAgAD0ATABBAE0AQgBEAEEAKABcACIARQBfAHsAVwBUAFQALAB0AHIAYQBuAHMALABxAH0APQBRAF8AewBUAHIAYQBuAHMALABxAH0AXABcAHQAaQBtAGUAcwAgAEUAQwBfAHsAVAByAGEAbgBzACwAcQB9AFwAXAB0AGkAbQBlAHMAIABFAEYAXwB7AFQAcgBhAG4AcwAsADMALABxAH0AXABcAHQAaQBtAGUAcwAgADEAMABeAHsALQAzAH0AXAAiACkAOwBcAG4AXABuAFYARQBFAFIARwBfADEANQBfADEAMQBfADEAXwAxAF8AXwAyAF8AVQBwAHMAdAByAGUAYQBtAFQAcgBhAG4AcwBwAG8AcgB0AEYAdQBlAGwARQBtAGkAcwBzAGkAbwBuAHMAXwBBAHIAZwB1AG0AZQBuAHQAcwBcAG4AIAAgAD0ATABBAE0AQgBEAEEAKABcAG4AIAAgACAAIABNAEEASwBFAEEAUgBSAEEAWQAoADMALAAgADQALABcAG4AIAAgACAAIAAgACAATABBAE0AQgBEAEEAKAByACwAYwAsAFwAbgAgACAAIAAgACAAIAAgACAASQBOAEQARQBYACgAewBcAG4AIAAgACAAIAAgACAAIAAgACAAIABcACIAUQBfAFQAcgBhAG4AcwBxAFwAIgAsACAAXAAiAGEAbQBvAHUAbgB0ACAAbwBmACAAZgB1AGUAbAAgAHEAIABjAG8AbQBiAHUAcwB0AGUAZAAgAGYAbwByACAAdAByAGEAbgBzAHAAbwByAHQAIABlAG4AZQByAGcAeQAgAHAAdQByAHAAbwBzAGUAcwBcACIALAAgAFwAIgBrAEwAXAAiACwAIABcACIASQBuAHAAdQB0AFwAIgA7AFwAbgAgACAAIAAgACAAIAAgACAAIAAgAFwAIgBFAEMAXwBUAHIAYQBuAHMAcQBcACIALAAgAFwAIgBlAG4AZQByAGcAeQAgAGMAbwBuAHQAZQBuAHQAIABmAGEAYwB0AG8AcgAgAGYAbwByACAAdAByAGEAbgBzAHAAbwByAHQAIABlAG4AZQByAGcAeQAgAHAAdQByAHAAbwBzAGUAcwBcACIALAAgAFwAIgBHAEoALwBrAEwAIABvAHIAIABHAEoALwBtADMAXAAiACwAIABcACIAQwBvAG4AcwB0AGEAbgB0AFwAIgA7AFwAbgAgACAAIAAgACAAIAAgACAAIAAgAFwAIgBFAEYAXwBUAHIAYQBuAHMAMwBxAFwAIgAsACAAXAAiAHMAYwBvAHAAZQAgADMAIABlAG0AaQBzAHMAaQBvAG4AIABmAGEAYwB0AG8AcgAgAGYAbwByACAAdAByAGEAbgBzAHAAbwByAHQAIABlAG4AZQByAGcAeQAgAHAAdQByAHAAbwBzAGUAcwBcACIALAAgAFwAIgBrAGcAIABDAE8AMgBlAC8ARwBK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wBfAFUAcABzAHQAcgBlAGEAbQBTAHQAYQB0AGkAbwBuAGEAcgB5AEYAdQBlAGwARQBtAGkAcwBzAGkAbwBuAHMAXABuAFUAcABzAHQAcgBlAGEAbQAgAGUAbQBpAHMAcwBpAG8AbgBzACAAZgByAG8AbQAgAHMAYwBvAHAAZQAgADEAIABzAHQAYQB0AGkAbwBuAGEAcgB5ACAAYwBvAG0AYgB1AHMAdABpAG8AbgAgAGYAdQBlAGwAIAB1AHMAZQBcAG4ARQBfAFcAVABUAFMAQwBxAFwAbgB0ACAAQwBPADIAZQBcAG4ARQBfAHsAVwBUAFQALABTAEMALABxAH0APQBRAF8AewBTAEMALABxAH0AXABcAHQAaQBtAGUAcwAgAEUAQwBfAHsAUwBDACwAcQB9AFwAXAB0AGkAbQBlAHMAIABFAEYAXwB7AFMAQwAsADMALABxAH0AXABcAHQAaQBtAGUAcwAgADEAMABeAHsALQAzAH0AXABuAFEAXwBTAEMAcQAgAD0AIABhAG0AbwB1AG4AdAAgAG8AZgAgAGYAdQBlAGwAIABxACAAdQBzAGUAZAAgAGYAbwByACAAcwB0AGEAdABpAG8AbgBhAHIAeQAgAGMAbwBtAGIAdQBzAHQAaQBvAG4AIABvAHAAZQByAGEAdABpAG8AbgBzAFwAbgBFAEMAXwBTAEMAcQAgAD0AIABlAG4AZQByAGcAeQAgAGMAbwBuAHQAZQBuAHQAIABmAGEAYwB0AG8AcgAgAGYAbwByACAAcwB0AGEAdABpAG8AbgBhAHIAeQAgAGMAbwBtAGIAdQBzAHQAaQBvAG4AIABvAHAAZQByAGEAdABpAG8AbgBzAFwAbgBFAEYAXwBTAEMAMwBxACAAPQAgAHMAYwBvAHAAZQAgADMAIABlAG0AaQBzAHMAaQBvAG4AIABmAGEAYwB0AG8AcgAgAGYAbwByACAAcwB0AGEAdABpAG8AbgBhAHIAeQAgAGMAbwBtAGIAdQBzAHQAaQBvAG4AIABvAHAAZQByAGEAdABpAG8AbgBzAFwAbgAtAC0ALQAtAC0ALQAtAC0ALQAtAC0ALQAtAC0ALQAtAC0ALQAtAC0ALQAtAC0ALQAtAC0ALQAtAC0ALQAtAC0ALQAtAC0ALQAtAC0AXABuACoALwBcAG4AXABuAFYARQBFAFIARwBfADEANQBfADEAMQBfADEAXwAxAF8AXwAzAF8AVQBwAHMAdAByAGUAYQBtAFMAdABhAHQAaQBvAG4AYQByAHkARgB1AGUAbABFAG0AaQBzAHMAaQBvAG4AcwBcAG4AIAAgAD0ATABBAE0AQgBEAEEAKABcAG4AIAAgACAAIABRAF8AUwBDAHEALAAgAEUAQwBfAFMAQwBxACwAIABFAEYAXwBTAEMAMwBxACwAXABuACAAIAAgACAAKABRAF8AUwBDAHEAIAAqACAARQBDAF8AUwBDAHEAIAAqACAARQBGAF8AUwBDADMAcQApACAAKgAgADEAMAAgAF4AIAAtADMAXABuACAAIAApADsAXABuAFwAbgBWAEUARQBSAEcAXwAxADUAXwAxADEAXwAxAF8AMQBfAF8AMwBfAFUAcABzAHQAcgBlAGEAbQBTAHQAYQB0AGkAbwBuAGEAcgB5AEYAdQBlAGwARQBtAGkAcwBzAGkAbwBuAHMAXwBUAGkAdABsAGUAXABuACAAIAA9AEwAQQBNAEIARABBACgAXAAiAFUAcABzAHQAcgBlAGEAbQAgAGUAbQBpAHMAcwBpAG8AbgBzACAAZgByAG8AbQAgAHMAYwBvAHAAZQAgADEAIABzAHQAYQB0AGkAbwBuAGEAcgB5ACAAYwBvAG0AYgB1AHMAdABpAG8AbgAgAGYAdQBlAGwAIAB1AHMAZQBcACIAKQA7AFwAbgBcAG4AVgBFAEUAUgBHAF8AMQA1AF8AMQAxAF8AMQBfADEAXwBfADMAXwBVAHAAcwB0AHIAZQBhAG0AUwB0AGEAdABpAG8AbgBhAHIAeQBGAHUAZQBsAEUAbQBpAHMAcwBpAG8AbgBzAF8AVgBhAHIAaQBhAGIAbABlAFwAbgAgACAAPQBMAEEATQBCAEQAQQAoAFwAIgBFAF8AVwBUAFQAUwBDAHEAXAAiACkAOwBcAG4AXABuAFYARQBFAFIARwBfADEANQBfADEAMQBfADEAXwAxAF8AXwAzAF8AVQBwAHMAdAByAGUAYQBtAFMAdABhAHQAaQBvAG4AYQByAHkARgB1AGUAbABFAG0AaQBzAHMAaQBvAG4AcwBfAFUAbgBpAHQAXABuACAAIAA9AEwAQQBNAEIARABBACgAXAAiAHQAIABDAE8AMgBlAFwAIgApADsAXABuAFwAbgBWAEUARQBSAEcAXwAxADUAXwAxADEAXwAxAF8AMQBfAF8AMwBfAFUAcABzAHQAcgBlAGEAbQBTAHQAYQB0AGkAbwBuAGEAcgB5AEYAdQBlAGwARQBtAGkAcwBzAGkAbwBuAHMAXwBTAG8AdQByAGMAZQBcAG4AIAAgAD0ATABBAE0AQgBEAEEAKABcACIAVgBFAEUAUgBHACAAMgAwADIANgA6ACAAMQA1AC4AMQAxAC4AMQAuADEALAAgAEUAcQB1AGEAdABpAG8AbgAgACgAMwApAFwAIgApADsAXABuAFwAbgBWAEUARQBSAEcAXwAxADUAXwAxADEAXwAxAF8AMQBfAF8AMwBfAFUAcABzAHQAcgBlAGEAbQBTAHQAYQB0AGkAbwBuAGEAcgB5AEYAdQBlAGwARQBtAGkAcwBzAGkAbwBuAHMAXwBOAEkAUgBSAGUAZgBlAHIAZQBuAGMAZQBcAG4AIAAgAD0ATABBAE0AQgBEAEEAKABcACIAXAAiACkAOwBcAG4AXABuAFYARQBFAFIARwBfADEANQBfADEAMQBfADEAXwAxAF8AXwAzAF8AVQBwAHMAdAByAGUAYQBtAFMAdABhAHQAaQBvAG4AYQByAHkARgB1AGUAbABFAG0AaQBzAHMAaQBvAG4AcwBfAEwAYQB0AGUAeABFAHEAdQBhAHQAaQBvAG4AXABuACAAIAA9AEwAQQBNAEIARABBACgAXAAiAEUAXwB7AFcAVABUACwAUwBDACwAcQB9AD0AUQBfAHsAUwBDACwAcQB9AFwAXAB0AGkAbQBlAHMAIABFAEMAXwB7AFMAQwAsAHEAfQBcAFwAdABpAG0AZQBzACAARQBGAF8AewBTAEMALAAzACwAcQB9AFwAXAB0AGkAbQBlAHMAIAAxADAAXgB7AC0AMwB9AFwAIgApADsAXABuAFwAbgBWAEUARQBSAEcAXwAxADUAXwAxADEAXwAxAF8AMQBfAF8AMwBfAFUAcABzAHQAcgBlAGEAbQBTAHQAYQB0AGkAbwBuAGEAcgB5AEYAdQBlAGwARQBtAGkAcwBzAGkAbwBuAHMAXwBBAHIAZwB1AG0AZQBuAHQAcwBcAG4AIAAgAD0ATABBAE0AQgBEAEEAKABcAG4AIAAgACAAIABNAEEASwBFAEEAUgBSAEEAWQAoADUALAAgADQALABcAG4AIAAgACAAIAAgACAATABBAE0AQgBEAEEAKAByACwAYwAsAFwAbgAgACAAIAAgACAAIAAgACAASQBOAEQARQBYACgAewBcAG4AIAAgACAAIAAgACAAIAAgACAAIABcACIAUQBfAFMAQwBxAFwAIgAsACAAXAAiAGEAbQBvAHUAbgB0ACAAbwBmACAAZgB1AGUAbAAgAHEAIAB1AHMAZQBkACAAZgBvAHIAIABzAHQAYQB0AGkAbwBuAGEAcgB5ACAAYwBvAG0AYgB1AHMAdABpAG8AbgAgAG8AcABlAHIAYQB0AGkAbwBuAHMAXAAiACwAIABcACIAawBMAFwAIgAsACAAXAAiAEkAbgBwAHUAdABcACIAOwBcAG4AIAAgACAAIAAgACAAIAAgACAAIABcACIARQBDAF8AUwBDAHEAXAAiACwAIABcACIAZQBuAGUAcgBnAHkAIABjAG8AbgB0AGUAbgB0ACAAZgBhAGMAdABvAHIAIABmAG8AcgAgAHMAdABhAHQAaQBvAG4AYQByAHkAIABjAG8AbQBiAHUAcwB0AGkAbwBuACAAbwBwAGUAcgBhAHQAaQBvAG4AcwBcACIALAAgAFwAIgBHAEoALwBrAEwAXAAiACwAIABcACIAQwBvAG4AcwB0AGEAbgB0AFwAIgA7AFwAbgAgACAAIAAgACAAIAAgACAAIAAgAFwAIgBFAEYAXwBTAEMAMwBxAFwAIgAsACAAXAAiAHMAYwBvAHAAZQAgADMAIABlAG0AaQBzAHMAaQBvAG4AIABmAGEAYwB0AG8AcgAgAGYAbwByACAAcwB0AGEAdABpAG8AbgBhAHIAeQAgAGMAbwBtAGIAdQBzAHQAaQBvAG4AIABvAHAAZQByAGEAdABpAG8AbgBzAFwAIgAsACAAXAAiAGsAZwAgAEMATwAyAGUALwBHAEoAXAAiACwAIABcACIAQwBvAG4AcwB0AGEAbgB0AFwAIgA7AFwAbgAgACAAIAAgACAAIAAgACAAIAAgAFwAIgBpAFwAIgAsACAAXAAiAHMAdABhAHQAZQBcACIALAAgAFwAIgBcACIALAAgAFwAIgBJAG4AcAB1AHQAXAAiADsAXABuACAAIAAgACAAIAAgACAAIAAgACAAXAAiAG0AXAAiACwAIABcACIAbQBlAHQAcgBvAHAAbwBsAGkAdABhAG4ALwBuAG8AbgAtAG0AZQB0AHIAbwBwAG8AbABpAHQAYQBuACAAbABvAGMAYQB0AGkAbwBuAFwAIgAsACAAXAAiAFwAIgAsACAAXAAiAEkAbgBwAHUAdABcACIAXABuACAAIAAgACAAIAAgACAAIAB9ACwAIAByACwAIABjACkAXABuACAAIAAgACAAIAAgACkAXABuACAAIAAgACAAKQBcAG4AIAAgACkAOwBcAG4AXABuAFYARQBFAFIARwBfADEANQBfADEAMQBfADEAXwAxAF8AXwAzAF8AVQBwAHMAdAByAGUAYQBtAFMAdABhAHQAaQBvAG4AYQByAHkARgB1AGUAbABFAG0AaQBzAHMAaQBvAG4AcwBfAFYAYQByAGkAYQB0AGkAbwBuAFwAbgAgACAAPQBMAEEATQBCAEQAQQAoAFwAIgBWAEEAUgBJAEEAVABJAE8ATgAgAE8ATgAgAFMATwBVAFIAQwBFADoAIABBAGQAZABlAGQAIABcAHUAMAAwADIANwBzAHQAYQB0AGUAXAB1ADAAMAAyADcAIABhAG4AZAAgAFwAdQAwADAAMgA3AG0AZQB0AHIAbwAvAG4AbwBuAC0AbQBlAHQAcgBvAFwAdQAwADAAMgA3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GAHUAZQBsAF8AUwBvAHUAcgBjAGUARABhAHQAYQAuAEYAdQBlAGwAXwBTAGMAbwBwAGUAMQBFAG0AaQBzAHMAaQBvAG4ARgBhAGMAdABvAHIAcwBTAHQAYQB0AGkAbwBuAGEAcgB5AEcAYQBzAGUAbwB1AHMAXwBUAGkAdABsAGUAIgAsACIARgB1AGUAbABfAFMAbwB1AHIAYwBlAEQAYQB0AGEALgBGAHUAZQBsAF8AUwBjAG8AcABlADEARQBtAGkAcwBzAGkAbwBuAEYAYQBjAHQAbwByAHMAUwB0AGEAdABpAG8AbgBhAHIAeQBHAGEAcwBlAG8AdQBzAF8ARABlAHMAYwByAGkAcAB0AGkAbwBuACIALAAiAEYAdQBlAGwAXwBTAG8AdQByAGMAZQBEAGEAdABhAC4ARgB1AGUAbABfAFMAYwBvAHAAZQAxAEUAbQBpAHMAcwBpAG8AbgBGAGEAYwB0AG8AcgBzAFMAdABhAHQAaQBvAG4AYQByAHkARwBhAHMAZQBvAHUAcwBfAFMAbwB1AHIAYwBlACIALAAiAEYAdQBlAGwAXwBTAG8AdQByAGMAZQBEAGEAdABhAC4ARgB1AGUAbABfAFMAYwBvAHAAZQAxAEUAbQBpAHMAcwBpAG8AbgBGAGEAYwB0AG8AcgBzAFMAdABhAHQAaQBvAG4AYQByAHkARwBhAHMAZQBvAHUAcwBfAEQAYQB0AGEAIgAsACIARgB1AGUAbABfAFMAbwB1AHIAYwBlAEQAYQB0AGEALgBGAHUAZQBsAF8AUwBjAG8AcABlADE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VABpAHQAbABlACIALAAiAEYAdQBlAGwAXwBTAG8AdQByAGMAZQBEAGEAdABhAC4ARgB1AGUAbABfAFMAYwBvAHAAZQAzAEUAbQBpAHMAcwBpAG8AbgBGAGEAYwB0AG8AcgBzAFMAdABhAHQAaQBvAG4AYQByAHkARwBhAHMAZQBvAHUAcwBfAEQAZQBzAGMAcgBpAHAAdABpAG8AbgAiACwAIgBGAHUAZQBsAF8AUwBvAHUAcgBjAGUARABhAHQAYQAuAEYAdQBlAGwAXwBTAGMAbwBwAGUAMwBFAG0AaQBzAHMAaQBvAG4ARgBhAGMAdABvAHIAcwBTAHQAYQB0AGkAbwBuAGEAcgB5AEcAYQBzAGUAbwB1AHMAXwBTAG8AdQByAGMAZQAiACwAIgBGAHUAZQBsAF8AUwBvAHUAcgBjAGUARABhAHQAYQAuAEYAdQBlAGwAXwBTAGMAbwBwAGUAMwBFAG0AaQBzAHMAaQBvAG4ARgBhAGMAdABvAHIAcwBTAHQAYQB0AGkAbwBuAGEAcgB5AEcAYQBzAGUAbwB1AHMAXwBEAGEAdABhACIALAAiAEYAdQBlAGwAXwBTAG8AdQByAGMAZQBEAGEAdABhAC4ARgB1AGUAbABfAFMAYwBvAHAAZQAz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EEAcABwAGUAbgBkAGkAYwBlAHMAIgAsACIARgB1AGUAbABfAFMAbwB1AHIAYwBlAEQAYQB0AGEALgBGAHUAZQBsAF8AUwBjAG8AcABlADEAUwBjAG8AcABlADMARQBtAGkAcwBzAGkAbwBuAEYAYQBjAHQAbwByAHMAUwB0AGEAdABpAG8AbgBhAHIAeQBMAGkAcQB1AGkAZABfAFQAaQB0AGwAZQAiACwAIgBGAHUAZQBsAF8AUwBvAHUAcgBjAGUARABhAHQAYQAuAEYAdQBlAGwAXwBTAGMAbwBwAGUAMQBTAGMAbwBwAGUAMwBFAG0AaQBzAHMAaQBvAG4ARgBhAGMAdABvAHIAcwBTAHQAYQB0AGkAbwBuAGEAcgB5AEwAaQBxAHUAaQBkAF8ARABlAHMAYwByAGkAcAB0AGkAbwBuACIALAAiAEYAdQBlAGwAXwBTAG8AdQByAGMAZQBEAGEAdABhAC4ARgB1AGUAbABfAFMAYwBvAHAAZQAxAFMAYwBvAHAAZQAzAEUAbQBpAHMAcwBpAG8AbgBGAGEAYwB0AG8AcgBzAFMAdABhAHQAaQBvAG4AYQByAHkATABpAHEAdQBpAGQAXwBTAG8AdQByAGMAZQAiACwAIgBGAHUAZQBsAF8AUwBvAHUAcgBjAGUARABhAHQAYQAuAEYAdQBlAGwAXwBTAGMAbwBwAGUAMQBTAGMAbwBwAGUAMwBFAG0AaQBzAHMAaQBvAG4ARgBhAGMAdABvAHIAcwBTAHQAYQB0AGkAbwBuAGEAcgB5AEwAaQBxAHUAaQBkAF8ARABhAHQAYQAiACwAIgBGAHUAZQBsAF8AUwBvAHUAcgBjAGUARABhAHQAYQAuAEYAdQBlAGwAXwBTAGMAbwBwAGUAMQBTAGMAbwBwAGUAMwBFAG0AaQBzAHMAaQBvAG4ARgBhAGMAdABvAHIAcwBTAHQAYQB0AGkAbwBuAGEAcgB5AEwAaQBxAHUAaQBkAF8AVgBhAHIAaQBhAHQAaQBvAG4AIgAsACIARgB1AGUAbABfAFMAbwB1AHIAYwBlAEQAYQB0AGEALgBGAHUAZQBsAF8AUwBjAG8AcABlADEAUwBjAG8AcABlADMARQBtAGkAcwBzAGkAbwBuAEYAYQBjAHQAbwByAHMAVAByAGEAbgBzAHAAbwByAHQAXwBUAGkAdABsAGUAIgAsACIARgB1AGUAbABfAFMAbwB1AHIAYwBlAEQAYQB0AGEALgBGAHUAZQBsAF8AUwBjAG8AcABlADEAUwBjAG8AcABlADMARQBtAGkAcwBzAGkAbwBuAEYAYQBjAHQAbwByAHMAVAByAGEAbgBzAHAAbwByAHQAXwBEAGUAcwBjAHIAaQBwAHQAaQBvAG4AIgAsACIARgB1AGUAbABfAFMAbwB1AHIAYwBlAEQAYQB0AGEALgBGAHUAZQBsAF8AUwBjAG8AcABlADEAUwBjAG8AcABlADMARQBtAGkAcwBzAGkAbwBuAEYAYQBjAHQAbwByAHMAVAByAGEAbgBzAHAAbwByAHQAXwBTAG8AdQByAGMAZQAiACwAIgBGAHUAZQBsAF8AUwBvAHUAcgBjAGUARABhAHQAYQAuAEYAdQBlAGwAXwBTAGMAbwBwAGUAMQBTAGMAbwBwAGUAMwBFAG0AaQBzAHMAaQBvAG4ARgBhAGMAdABvAHIAcwBUAHIAYQBuAHMAcABvAHIAdABfAEQAYQB0AGEAIgAsACIARgB1AGUAbABfAFMAbwB1AHIAYwBlAEQAYQB0AGEALgBGAHUAZQBsAF8AUwBjAG8AcABlADEAUwBjAG8AcABlADMARQBtAGkAcwBzAGkAbwBuAEYAYQBjAHQAbwByAHMAVAByAGEAbgBzAHAAbwByAHQAXwBWAGEAcgBpAGEAdABpAG8AbgAiACwAIgBGAHUAZQBsAF8AUwBvAHUAcgBjAGUARABhAHQAYQAuAEYAdQBlAGwAXwBTAGMAbwBwAGUAMQBTAGMAbwBwAGUAMwBFAG0AaQBzAHMAaQBvAG4ARgBhAGMAdABvAHIAcwBUAHIAYQBuAHMAcABvAHIAdABPAGYAZgBSAG8AYQBkAF8AVABpAHQAbABlACIALAAiAEYAdQBlAGwAXwBTAG8AdQByAGMAZQBEAGEAdABhAC4ARgB1AGUAbABfAFMAYwBvAHAAZQAxAFMAYwBvAHAAZQAzAEUAbQBpAHMAcwBpAG8AbgBGAGEAYwB0AG8AcgBzAFQAcgBhAG4AcwBwAG8AcgB0AE8AZgBmAFIAbwBhAGQAXwBEAGUAcwBjAHIAaQBwAHQAaQBvAG4AIgAsACIARgB1AGUAbABfAFMAbwB1AHIAYwBlAEQAYQB0AGEALgBGAHUAZQBsAF8AUwBjAG8AcABlADEAUwBjAG8AcABlADMARQBtAGkAcwBzAGkAbwBuAEYAYQBjAHQAbwByAHMAVAByAGEAbgBzAHAAbwByAHQATwBmAGYAUgBvAGEAZABfAFMAbwB1AHIAYwBlACIALAAiAEYAdQBlAGwAXwBTAG8AdQByAGMAZQBEAGEAdABhAC4ARgB1AGUAbABfAFMAYwBvAHAAZQAxAFMAYwBvAHAAZQAzAEUAbQBpAHMAcwBpAG8AbgBGAGEAYwB0AG8AcgBzAFQAcgBhAG4AcwBwAG8AcgB0AE8AZgBmAFIAbwBhAGQAXwBEAGEAdABhACIALAAiAEYAdQBlAGwAXwBJAG4AcAB1AHQARgB1AG4AYwB0AGkAbwBuAHMALgBGAHUAZQBsAF8ARwBlAHQAVAByAGEAbgBzAHAAbwByAHQARgB1AGUAbABTAHQAcgBpAG4AZwAiACwAIgBGAHUAZQBsAF8ASQBuAHAAdQB0AEYAdQBuAGMAdABpAG8AbgBzAC4ARgB1AGUAbABfAEcAZQB0AFMAdABhAHQAaQBvAG4AYQByAHkARgB1AGUAbABTAHQAcgBpAG4AZwAiACwAIgBGAHUAZQBsAF8ASQBuAHAAdQB0AEYAdQBuAGMAdABpAG8AbgBzAC4ARgB1AGUAbABfAFQAbwB0AGEAbABDAG8AbgBzAHUAbQBwAHQAaQBvAG4AIgAsACIARgB1AGUAbABfAEUAcQB1AGEAdABpAG8AbgBzAC4AVgBFAEUAUgBHAF8AOABfAEYAdQBlAGwAQwBvAG0AYgB1AHMAdABpAG8AbgAiACwAIgBGAHUAZQBsAF8ARQBxAHUAYQB0AGkAbwBuAHMALgBWAEUARQBSAEcAXwA4AF8AMQBfADEAXwAxAF8AXwAxAF8ARgB1AGUAbABDAG8AbQBiAHUAcwB0AGkAbwBuAFQAcgBhAG4AcwBwAG8AcgB0ACIALAAiAEYAdQBlAGwAXwBFAHEAdQBhAHQAaQBvAG4AcwAuAFYARQBFAFIARwBfADgAXwAxAF8AMQBfADEAXwBfADEAXwBGAHUAZQBsAEMAbwBtAGIAdQBzAHQAaQBvAG4AVAByAGEAbgBzAHAAbwByAHQAXwBUAGkAdABsAGUAIgAsACIARgB1AGUAbABfAEUAcQB1AGEAdABpAG8AbgBzAC4AVgBFAEUAUgBHAF8AOABfADEAXwAxAF8AMQBfAF8AMQBfAEYAdQBlAGwAQwBvAG0AYgB1AHMAdABpAG8AbgBUAHIAYQBuAHMAcABvAHIAdABfAFYAYQByAGkAYQBiAGwAZQAiACwAIgBGAHUAZQBsAF8ARQBxAHUAYQB0AGkAbwBuAHMALgBWAEUARQBSAEcAXwA4AF8AMQBfADEAXwAxAF8AXwAxAF8ARgB1AGUAbABDAG8AbQBiAHUAcwB0AGkAbwBuAFQAcgBhAG4AcwBwAG8AcgB0AF8AVQBuAGkAdAAiACwAIgBGAHUAZQBsAF8ARQBxAHUAYQB0AGkAbwBuAHMALgBWAEUARQBSAEcAXwA4AF8AMQBfADEAXwAxAF8AXwAxAF8ARgB1AGUAbABDAG8AbQBiAHUAcwB0AGkAbwBuAFQAcgBhAG4AcwBwAG8AcgB0AF8AUwBvAHUAcgBjAGUAIgAsACIARgB1AGUAbABfAEUAcQB1AGEAdABpAG8AbgBzAC4AVgBFAEUAUgBHAF8AOABfADEAXwAxAF8AMQBfAF8AMQBfAEYAdQBlAGwAQwBvAG0AYgB1AHMAdABpAG8AbgBUAHIAYQBuAHMAcABvAHIAdABfAE4ASQBSAFIAZQBmAGUAcgBlAG4AYwBlACIALAAiAEYAdQBlAGwAXwBFAHEAdQBhAHQAaQBvAG4AcwAuAFYARQBFAFIARwBfADgAXwAxAF8AMQBfADEAXwBfADEAXwBGAHUAZQBsAEMAbwBtAGIAdQBzAHQAaQBvAG4AVAByAGEAbgBzAHAAbwByAHQAXwBMAGEAdABlAHgARQBxAHUAYQB0AGkAbwBuACIALAAiAEYAdQBlAGwAXwBFAHEAdQBhAHQAaQBvAG4AcwAuAFYARQBFAFIARwBfADgAXwAxAF8AMQBfADEAXwBfADEAXwBGAHUAZQBsAEMAbwBtAGIAdQBzAHQAaQBvAG4AVAByAGEAbgBzAHAAbwByAHQAXwBBAHIAZwB1AG0AZQBuAHQAcwAiACwAIgBGAHUAZQBsAF8ARQBxAHUAYQB0AGkAbwBuAHMALgBWAEUARQBSAEcAXwA4AF8AMgBfADEAXwAxAF8AXwAxAF8ARgB1AGUAbABDAG8AbQBiAHUAcwB0AGkAbwBuAFMAdABhAHQAaQBvAG4AYQByAHkAIgAsACIARgB1AGUAbABfAEUAcQB1AGEAdABpAG8AbgBzAC4AVgBFAEUAUgBHAF8AOABfADIAXwAxAF8AMQBfAF8AMQBfAEYAdQBlAGwAQwBvAG0AYgB1AHMAdABpAG8AbgBTAHQAYQB0AGkAbwBuAGEAcgB5AF8AVABpAHQAbABlACIALAAiAEYAdQBlAGwAXwBFAHEAdQBhAHQAaQBvAG4AcwAuAFYARQBFAFIARwBfADgAXwAyAF8AMQBfADEAXwBfADEAXwBGAHUAZQBsAEMAbwBtAGIAdQBzAHQAaQBvAG4AUwB0AGEAdABpAG8AbgBhAHIAeQBfAFYAYQByAGkAYQBiAGwAZQAiACwAIgBGAHUAZQBsAF8ARQBxAHUAYQB0AGkAbwBuAHMALgBWAEUARQBSAEcAXwA4AF8AMgBfADEAXwAxAF8AXwAxAF8ARgB1AGUAbABDAG8AbQBiAHUAcwB0AGkAbwBuAFMAdABhAHQAaQBvAG4AYQByAHkAXwBVAG4AaQB0ACIALAAiAEYAdQBlAGwAXwBFAHEAdQBhAHQAaQBvAG4AcwAuAFYARQBFAFIARwBfADgAXwAyAF8AMQBfADEAXwBfADEAXwBGAHUAZQBsAEMAbwBtAGIAdQBzAHQAaQBvAG4AUwB0AGEAdABpAG8AbgBhAHIAeQBfAFMAbwB1AHIAYwBlACIALAAiAEYAdQBlAGwAXwBFAHEAdQBhAHQAaQBvAG4AcwAuAFYARQBFAFIARwBfADgAXwAyAF8AMQBfADEAXwBfADEAXwBGAHUAZQBsAEMAbwBtAGIAdQBzAHQAaQBvAG4AUwB0AGEAdABpAG8AbgBhAHIAeQBfAE4ASQBSAFIAZQBmAGUAcgBlAG4AYwBlACIALAAiAEYAdQBlAGwAXwBFAHEAdQBhAHQAaQBvAG4AcwAuAFYARQBFAFIARwBfADgAXwAyAF8AMQBfADEAXwBfADEAXwBGAHUAZQBsAEMAbwBtAGIAdQBzAHQAaQBvAG4AUwB0AGEAdABpAG8AbgBhAHIAeQBfAEwAYQB0AGUAeABFAHEAdQBhAHQAaQBvAG4AIgAsACIARgB1AGUAbABfAEUAcQB1AGEAdABpAG8AbgBzAC4AVgBFAEUAUgBHAF8AOABfADIAXwAxAF8AMQBfAF8AMQBfAEYAdQBlAGwAQwBvAG0AYgB1AHMAdABpAG8AbgBTAHQAYQB0AGkAbwBuAGEAcgB5AF8AQQByAGcAdQBtAGUAbgB0AHMAIgAsACIAUwBjAG8AcABlADMAXwBFAHEAdQBhAHQAaQBvAG4AcwAuAFYARQBFAFIARwBfADEANQBfADEAXwAxAF8AMQBfAF8AMQBfAEUAbQBpAHMAcwBpAG8AbgBzAEYAcgBvAG0AUAB1AHIAYwBoAGEAcwBlAGQATABpAHYAZQBzAHQAbwBjAGsAIgAsACIAUwBjAG8AcABlADMAXwBFAHEAdQBhAHQAaQBvAG4AcwAuAFYARQBFAFIARwBfADEANQBfADEAXwAxAF8AMQBfAF8AMQBfAEUAbQBpAHMAcwBpAG8AbgBzAEYAcgBvAG0AUAB1AHIAYwBoAGEAcwBlAGQATABpAHYAZQBzAHQAbwBjAGsAXwBUAGkAdABsAGUAIgAsACIAUwBjAG8AcABlADMAXwBFAHEAdQBhAHQAaQBvAG4AcwAuAFYARQBFAFIARwBfADEANQBfADEAXwAxAF8AMQBfAF8AMQBfAEUAbQBpAHMAcwBpAG8AbgBzAEYAcgBvAG0AUAB1AHIAYwBoAGEAcwBlAGQATABpAHYAZQBzAHQAbwBjAGsAXwBWAGEAcgBpAGEAYgBsAGUAIgAsACIAUwBjAG8AcABlADMAXwBFAHEAdQBhAHQAaQBvAG4AcwAuAFYARQBFAFIARwBfADEANQBfADEAXwAxAF8AMQBfAF8AMQBfAEUAbQBpAHMAcwBpAG8AbgBzAEYAcgBvAG0AUAB1AHIAYwBoAGEAcwBlAGQATABpAHYAZQBzAHQAbwBjAGsAXwBVAG4AaQB0ACIALAAiAFMAYwBvAHAAZQAzAF8ARQBxAHUAYQB0AGkAbwBuAHMALgBWAEUARQBSAEcAXwAxADUAXwAxAF8AMQBfADEAXwBfADEAXwBFAG0AaQBzAHMAaQBvAG4AcwBGAHIAbwBtAFAAdQByAGMAaABhAHMAZQBkAEwAaQB2AGUAcwB0AG8AYwBrAF8AUwBvAHUAcgBjAGUAIgAsACIAUwBjAG8AcABlADMAXwBFAHEAdQBhAHQAaQBvAG4AcwAuAFYARQBFAFIARwBfADEANQBfADEAXwAxAF8AMQBfAF8AMQBfAEUAbQBpAHMAcwBpAG8AbgBzAEYAcgBvAG0AUAB1AHIAYwBoAGEAcwBlAGQATABpAHYAZQBzAHQAbwBjAGsAXwBOAEkAUgBSAGUAZgBlAHIAZQBuAGMAZQAiACwAIgBTAGMAbwBwAGUAMwBfAEUAcQB1AGEAdABpAG8AbgBzAC4AVgBFAEUAUgBHAF8AMQA1AF8AMQBfADEAXwAxAF8AXwAxAF8ARQBtAGkAcwBzAGkAbwBuAHMARgByAG8AbQBQAHUAcgBjAGgAYQBzAGUAZABMAGkAdgBlAHMAdABvAGMAawBfAEwAYQB0AGUAeABFAHEAdQBhAHQAaQBvAG4AIgAsACIAUwBjAG8AcABlADMAXwBFAHEAdQBhAHQAaQBvAG4AcwAuAFYARQBFAFIARwBfADEANQBfADEAXwAxAF8AMQBfAF8AMQBfAEUAbQBpAHMAcwBpAG8AbgBzAEYAcgBvAG0AUAB1AHIAYwBoAGEAcwBlAGQATABpAHYAZQBzAHQAbwBjAGsAXwBBAHIAZwB1AG0AZQBuAHQAcwAiACwAIgBTAGMAbwBwAGUAMwBfAEUAcQB1AGEAdABpAG8AbgBzAC4AVgBFAEUAUgBHAF8AMQA1AF8AMgBfADEAXwAxAF8AXwAxAF8ARQBtAGkAcwBzAGkAbwBuAHMARgByAG8AbQBQAHUAcgBjAGgAYQBzAGUAZABGAGUAZQBkACIALAAiAFMAYwBvAHAAZQAzAF8ARQBxAHUAYQB0AGkAbwBuAHMALgBWAEUARQBSAEcAXwAxADUAXwAyAF8AMQBfADEAXwBfADEAXwBFAG0AaQBzAHMAaQBvAG4AcwBGAHIAbwBtAFAAdQByAGMAaABhAHMAZQBkAEYAZQBlAGQAXwBUAGkAdABsAGUAIgAsACIAUwBjAG8AcABlADMAXwBFAHEAdQBhAHQAaQBvAG4AcwAuAFYARQBFAFIARwBfADEANQBfADIAXwAxAF8AMQBfAF8AMQBfAEUAbQBpAHMAcwBpAG8AbgBzAEYAcgBvAG0AUAB1AHIAYwBoAGEAcwBlAGQARgBlAGUAZABfAFYAYQByAGkAYQBiAGwAZQAiACwAIgBTAGMAbwBwAGUAMwBfAEUAcQB1AGEAdABpAG8AbgBzAC4AVgBFAEUAUgBHAF8AMQA1AF8AMgBfADEAXwAxAF8AXwAxAF8ARQBtAGkAcwBzAGkAbwBuAHMARgByAG8AbQBQAHUAcgBjAGgAYQBzAGUAZABGAGUAZQBkAF8AVQBuAGkAdAAiACwAIgBTAGMAbwBwAGUAMwBfAEUAcQB1AGEAdABpAG8AbgBzAC4AVgBFAEUAUgBHAF8AMQA1AF8AMgBfADEAXwAxAF8AXwAxAF8ARQBtAGkAcwBzAGkAbwBuAHMARgByAG8AbQBQAHUAcgBjAGgAYQBzAGUAZABGAGUAZQBkAF8AUwBvAHUAcgBjAGUAIgAsACIAUwBjAG8AcABlADMAXwBFAHEAdQBhAHQAaQBvAG4AcwAuAFYARQBFAFIARwBfADEANQBfADIAXwAxAF8AMQBfAF8AMQBfAEUAbQBpAHMAcwBpAG8AbgBzAEYAcgBvAG0AUAB1AHIAYwBoAGEAcwBlAGQARgBlAGUAZABfAE4ASQBSAFIAZQBmAGUAcgBlAG4AYwBlACIALAAiAFMAYwBvAHAAZQAzAF8ARQBxAHUAYQB0AGkAbwBuAHMALgBWAEUARQBSAEcAXwAxADUAXwAyAF8AMQBfADEAXwBfADEAXwBFAG0AaQBzAHMAaQBvAG4AcwBGAHIAbwBtAFAAdQByAGMAaABhAHMAZQBkAEYAZQBlAGQAXwBMAGEAdABlAHgARQBxAHUAYQB0AGkAbwBuACIALAAiAFMAYwBvAHAAZQAzAF8ARQBxAHUAYQB0AGkAbwBuAHMALgBWAEUARQBSAEcAXwAxADUAXwAyAF8AMQBfADEAXwBfADEAXwBFAG0AaQBzAHMAaQBvAG4AcwBGAHIAbwBtAFAAdQByAGMAaABhAHMAZQBkAEYAZQBlAGQAXwBBAHIAZwB1AG0AZQBuAHQAcwAiACwAIgBTAGMAbwBwAGUAMwBfAEUAcQB1AGEAdABpAG8AbgBzAC4AVgBFAEUAUgBHAF8AMQA1AF8AMwBfADEAXwAxAF8AXwAxAF8ARQBtAGkAcwBzAGkAbwBuAHMARgByAG8AbQBQAHUAcgBjAGgAYQBzAGUAZABNAGkAbgBlAHIAYQBsAFMAdQBwAHAAbABlAG0AZQBuAHQAcwAiACwAIgBTAGMAbwBwAGUAMwBfAEUAcQB1AGEAdABpAG8AbgBzAC4AVgBFAEUAUgBHAF8AMQA1AF8AMwBfADEAXwAxAF8AXwAxAF8ARQBtAGkAcwBzAGkAbwBuAHMARgByAG8AbQBQAHUAcgBjAGgAYQBzAGUAZABNAGkAbgBlAHIAYQBsAFMAdQBwAHAAbABlAG0AZQBuAHQAcwBfAFQAaQB0AGwAZQAiACwAIgBTAGMAbwBwAGUAMwBfAEUAcQB1AGEAdABpAG8AbgBzAC4AVgBFAEUAUgBHAF8AMQA1AF8AMwBfADEAXwAxAF8AXwAxAF8ARQBtAGkAcwBzAGkAbwBuAHMARgByAG8AbQBQAHUAcgBjAGgAYQBzAGUAZABNAGkAbgBlAHIAYQBsAFMAdQBwAHAAbABlAG0AZQBuAHQAcwBfAFYAYQByAGkAYQBiAGwAZQAiACwAIgBTAGMAbwBwAGUAMwBfAEUAcQB1AGEAdABpAG8AbgBzAC4AVgBFAEUAUgBHAF8AMQA1AF8AMwBfADEAXwAxAF8AXwAxAF8ARQBtAGkAcwBzAGkAbwBuAHMARgByAG8AbQBQAHUAcgBjAGgAYQBzAGUAZABNAGkAbgBlAHIAYQBsAFMAdQBwAHAAbABlAG0AZQBuAHQAcwBfAFUAbgBpAHQAIgAsACIAUwBjAG8AcABlADMAXwBFAHEAdQBhAHQAaQBvAG4AcwAuAFYARQBFAFIARwBfADEANQBfADMAXwAxAF8AMQBfAF8AMQBfAEUAbQBpAHMAcwBpAG8AbgBzAEYAcgBvAG0AUAB1AHIAYwBoAGEAcwBlAGQATQBpAG4AZQByAGEAbABTAHUAcABwAGwAZQBtAGUAbgB0AHMAXwBTAG8AdQByAGMAZQAiACwAIgBTAGMAbwBwAGUAMwBfAEUAcQB1AGEAdABpAG8AbgBzAC4AVgBFAEUAUgBHAF8AMQA1AF8AMwBfADEAXwAxAF8AXwAxAF8ARQBtAGkAcwBzAGkAbwBuAHMARgByAG8AbQBQAHUAcgBjAGgAYQBzAGUAZABNAGkAbgBlAHIAYQBsAFMAdQBwAHAAbABlAG0AZQBuAHQAcwBfAE4ASQBSAFIAZQBmAGUAcgBlAG4AYwBlACIALAAiAFMAYwBvAHAAZQAzAF8ARQBxAHUAYQB0AGkAbwBuAHMALgBWAEUARQBSAEcAXwAxADUAXwAzAF8AMQBfADEAXwBfADEAXwBFAG0AaQBzAHMAaQBvAG4AcwBGAHIAbwBtAFAAdQByAGMAaABhAHMAZQBkAE0AaQBuAGUAcgBhAGwAUwB1AHAAcABsAGUAbQBlAG4AdABzAF8ATABhAHQAZQB4AEUAcQB1AGEAdABpAG8AbgAiACwAIgBTAGMAbwBwAGUAMwBfAEUAcQB1AGEAdABpAG8AbgBzAC4AVgBFAEUAUgBHAF8AMQA1AF8AMwBfADEAXwAxAF8AXwAxAF8ARQBtAGkAcwBzAGkAbwBuAHMARgByAG8AbQBQAHUAcgBjAGgAYQBzAGUAZABNAGkAbgBlAHIAYQBsAFMAdQBwAHAAbABlAG0AZQBuAHQAcwBfAEEAcgBnAHUAbQBlAG4AdABzACIALAAiAFMAYwBvAHAAZQAzAF8ARQBxAHUAYQB0AGkAbwBuAHMALgBWAEUARQBSAEcAXwAxADUAXwA0AF8AMQBfADEAXwBfADEAXwBFAG0AaQBzAHMAaQBvAG4AcwBGAHIAbwBtAFAAdQByAGMAaABhAHMAZQBkAEYAZQByAHQAaQBsAGkAcwBlAHIAIgAsACIAUwBjAG8AcABlADMAXwBFAHEAdQBhAHQAaQBvAG4AcwAuAFYARQBFAFIARwBfADEANQBfADQAXwAxAF8AMQBfAF8AMQBfAEUAbQBpAHMAcwBpAG8AbgBzAEYAcgBvAG0AUAB1AHIAYwBoAGEAcwBlAGQARgBlAHIAdABpAGwAaQBzAGUAcgBfAFQAaQB0AGwAZQAiACwAIgBTAGMAbwBwAGUAMwBfAEUAcQB1AGEAdABpAG8AbgBzAC4AVgBFAEUAUgBHAF8AMQA1AF8ANABfADEAXwAxAF8AXwAxAF8ARQBtAGkAcwBzAGkAbwBuAHMARgByAG8AbQBQAHUAcgBjAGgAYQBzAGUAZABGAGUAcgB0AGkAbABpAHMAZQByAF8AVgBhAHIAaQBhAGIAbABlACIALAAiAFMAYwBvAHAAZQAzAF8ARQBxAHUAYQB0AGkAbwBuAHMALgBWAEUARQBSAEcAXwAxADUAXwA0AF8AMQBfADEAXwBfADEAXwBFAG0AaQBzAHMAaQBvAG4AcwBGAHIAbwBtAFAAdQByAGMAaABhAHMAZQBkAEYAZQByAHQAaQBsAGkAcwBlAHIAXwBVAG4AaQB0ACIALAAiAFMAYwBvAHAAZQAzAF8ARQBxAHUAYQB0AGkAbwBuAHMALgBWAEUARQBSAEcAXwAxADUAXwA0AF8AMQBfADEAXwBfADEAXwBFAG0AaQBzAHMAaQBvAG4AcwBGAHIAbwBtAFAAdQByAGMAaABhAHMAZQBkAEYAZQByAHQAaQBsAGkAcwBlAHIAXwBTAG8AdQByAGMAZQAiACwAIgBTAGMAbwBwAGUAMwBfAEUAcQB1AGEAdABpAG8AbgBzAC4AVgBFAEUAUgBHAF8AMQA1AF8ANABfADEAXwAxAF8AXwAxAF8ARQBtAGkAcwBzAGkAbwBuAHMARgByAG8AbQBQAHUAcgBjAGgAYQBzAGUAZABGAGUAcgB0AGkAbABpAHMAZQByAF8ATgBJAFIAUgBlAGYAZQByAGUAbgBjAGUAIgAsACIAUwBjAG8AcABlADMAXwBFAHEAdQBhAHQAaQBvAG4AcwAuAFYARQBFAFIARwBfADEANQBfADQAXwAxAF8AMQBfAF8AMQBfAEUAbQBpAHMAcwBpAG8AbgBzAEYAcgBvAG0AUAB1AHIAYwBoAGEAcwBlAGQARgBlAHIAdABpAGwAaQBzAGUAcgBfAEwAYQB0AGUAeABFAHEAdQBhAHQAaQBvAG4AIgAsACIAUwBjAG8AcABlADMAXwBFAHEAdQBhAHQAaQBvAG4AcwAuAFYARQBFAFIARwBfADEANQBfADQAXwAxAF8AMQBfAF8AMQBfAEUAbQBpAHMAcwBpAG8AbgBzAEYAcgBvAG0AUAB1AHIAYwBoAGEAcwBlAGQARgBlAHIAdABpAGwAaQBzAGUAcgBfAEEAcgBnAHUAbQBlAG4AdABzACIALAAiAFMAYwBvAHAAZQAzAF8ARQBxAHUAYQB0AGkAbwBuAHMALgBWAEUARQBSAEcAXwAxADUAXwA0AF8AMQBfADEAXwBfADIAXwBFAG0AaQBzAHMAaQBvAG4AcwBGAHIAbwBtAFAAdQByAGMAaABhAHMAZQBkAEYAZQByAHQAaQBsAGkAcwBlAHIAQwBvAG0AcABvAG4AZQBuAHQAcwAiACwAIgBTAGMAbwBwAGUAMwBfAEUAcQB1AGEAdABpAG8AbgBzAC4AVgBFAEUAUgBHAF8AMQA1AF8ANABfADEAXwAxAF8AXwAyAF8ARQBtAGkAcwBzAGkAbwBuAHMARgByAG8AbQBQAHUAcgBjAGgAYQBzAGUAZABGAGUAcgB0AGkAbABpAHMAZQByAEMAbwBtAHAAbwBuAGUAbgB0AHMAVgBhAHIAaQBhAHQAaQBvAG4AIgAsACIAUwBjAG8AcABlADMAXwBFAHEAdQBhAHQAaQBvAG4AcwAuAFYARQBFAFIARwBfADEANQBfADQAXwAxAF8AMQBfAF8AMgBfAEUAbQBpAHMAcwBpAG8AbgBzAEYAcgBvAG0AUAB1AHIAYwBoAGEAcwBlAGQARgBlAHIAdABpAGwAaQBzAGUAcgBDAG8AbQBwAG8AbgBlAG4AdABzAF8AVABpAHQAbABlACIALAAiAFMAYwBvAHAAZQAzAF8ARQBxAHUAYQB0AGkAbwBuAHMALgBWAEUARQBSAEcAXwAxADUAXwA0AF8AMQBfADEAXwBfADIAXwBFAG0AaQBzAHMAaQBvAG4AcwBGAHIAbwBtAFAAdQByAGMAaABhAHMAZQBkAEYAZQByAHQAaQBsAGkAcwBlAHIAQwBvAG0AcABvAG4AZQBuAHQAcwBfAFYAYQByAGkAYQBiAGwAZQAiACwAIgBTAGMAbwBwAGUAMwBfAEUAcQB1AGEAdABpAG8AbgBzAC4AVgBFAEUAUgBHAF8AMQA1AF8ANABfADEAXwAxAF8AXwAyAF8ARQBtAGkAcwBzAGkAbwBuAHMARgByAG8AbQBQAHUAcgBjAGgAYQBzAGUAZABGAGUAcgB0AGkAbABpAHMAZQByAEMAbwBtAHAAbwBuAGUAbgB0AHMAXwBVAG4AaQB0ACIALAAiAFMAYwBvAHAAZQAzAF8ARQBxAHUAYQB0AGkAbwBuAHMALgBWAEUARQBSAEcAXwAxADUAXwA0AF8AMQBfADEAXwBfADIAXwBFAG0AaQBzAHMAaQBvAG4AcwBGAHIAbwBtAFAAdQByAGMAaABhAHMAZQBkAEYAZQByAHQAaQBsAGkAcwBlAHIAQwBvAG0AcABvAG4AZQBuAHQAcwBfAFMAbwB1AHIAYwBlACIALAAiAFMAYwBvAHAAZQAzAF8ARQBxAHUAYQB0AGkAbwBuAHMALgBWAEUARQBSAEcAXwAxADUAXwA0AF8AMQBfADEAXwBfADIAXwBFAG0AaQBzAHMAaQBvAG4AcwBGAHIAbwBtAFAAdQByAGMAaABhAHMAZQBkAEYAZQByAHQAaQBsAGkAcwBlAHIAQwBvAG0AcABvAG4AZQBuAHQAcwBfAE4ASQBSAFIAZQBmAGUAcgBlAG4AYwBlACIALAAiAFMAYwBvAHAAZQAzAF8ARQBxAHUAYQB0AGkAbwBuAHMALgBWAEUARQBSAEcAXwAxADUAXwA0AF8AMQBfADEAXwBfADIAXwBFAG0AaQBzAHMAaQBvAG4AcwBGAHIAbwBtAFAAdQByAGMAaABhAHMAZQBkAEYAZQByAHQAaQBsAGkAcwBlAHIAQwBvAG0AcABvAG4AZQBuAHQAcwBfAEwAYQB0AGUAeABFAHEAdQBhAHQAaQBvAG4AIgAsACIAUwBjAG8AcABlADMAXwBFAHEAdQBhAHQAaQBvAG4AcwAuAFYARQBFAFIARwBfADEANQBfADQAXwAxAF8AMQBfAF8AMgBfAEUAbQBpAHMAcwBpAG8AbgBzAEYAcgBvAG0AUAB1AHIAYwBoAGEAcwBlAGQARgBlAHIAdABpAGwAaQBzAGUAcgBDAG8AbQBwAG8AbgBlAG4AdABzAF8ATABhAHQAZQB4AEUAcQB1AGEAdABpAG8AbgBWAGEAcgBpAGEAdABpAG8AbgAiACwAIgBTAGMAbwBwAGUAMwBfAEUAcQB1AGEAdABpAG8AbgBzAC4AVgBFAEUAUgBHAF8AMQA1AF8ANABfADEAXwAxAF8AXwAyAF8ARQBtAGkAcwBzAGkAbwBuAHMARgByAG8AbQBQAHUAcgBjAGgAYQBzAGUAZABGAGUAcgB0AGkAbABpAHMAZQByAEMAbwBtAHAAbwBuAGUAbgB0AHMAXwBBAHIAZwB1AG0AZQBuAHQAcwAiACwAIgBTAGMAbwBwAGUAMwBfAEUAcQB1AGEAdABpAG8AbgBzAC4AVgBFAEUAUgBHAF8AMQA1AF8ANABfADEAXwAxAF8AXwAyAF8ARQBtAGkAcwBzAGkAbwBuAHMARgByAG8AbQBQAHUAcgBjAGgAYQBzAGUAZABGAGUAcgB0AGkAbABpAHMAZQByAEMAbwBtAHAAbwBuAGUAbgB0AHMAXwBWAGEAcgBpAGEAdABpAG8AbgAiACwAIgBTAGMAbwBwAGUAMwBfAEUAcQB1AGEAdABpAG8AbgBzAC4AVgBFAEUAUgBHAF8AMQA1AF8ANABfADEAXwAxAF8AXwBYAF8ARQBtAGkAcwBzAGkAbwBuAEYAYQBjAHQAbwByAEYAcgBvAG0AUAB1AHIAYwBoAGEAcwBlAGQARgBlAHIAdABpAGwAaQBzAGUAcgBDAG8AbQBwAG8AbgBlAG4AdABzACIALAAiAFMAYwBvAHAAZQAzAF8ARQBxAHUAYQB0AGkAbwBuAHMALgBWAEUARQBSAEcAXwAxADUAXwA0AF8AMQBfADEAXwBfAFgAXwBFAG0AaQBzAHMAaQBvAG4ARgBhAGMAdABvAHIARgByAG8AbQBQAHUAcgBjAGgAYQBzAGUAZABGAGUAcgB0AGkAbABpAHMAZQByAEMAbwBtAHAAbwBuAGUAbgB0AHMAXwBUAGkAdABsAGUAIgAsACIAUwBjAG8AcABlADMAXwBFAHEAdQBhAHQAaQBvAG4AcwAuAFYARQBFAFIARwBfADEANQBfADQAXwAxAF8AMQBfAF8AWABfAEUAbQBpAHMAcwBpAG8AbgBGAGEAYwB0AG8AcgBGAHIAbwBtAFAAdQByAGMAaABhAHMAZQBkAEYAZQByAHQAaQBsAGkAcwBlAHIAQwBvAG0AcABvAG4AZQBuAHQAcwBfAFYAYQByAGkAYQBiAGwAZQAiACwAIgBTAGMAbwBwAGUAMwBfAEUAcQB1AGEAdABpAG8AbgBzAC4AVgBFAEUAUgBHAF8AMQA1AF8ANABfADEAXwAxAF8AXwBYAF8ARQBtAGkAcwBzAGkAbwBuAEYAYQBjAHQAbwByAEYAcgBvAG0AUAB1AHIAYwBoAGEAcwBlAGQARgBlAHIAdABpAGwAaQBzAGUAcgBDAG8AbQBwAG8AbgBlAG4AdABzAF8AVQBuAGkAdAAiACwAIgBTAGMAbwBwAGUAMwBfAEUAcQB1AGEAdABpAG8AbgBzAC4AVgBFAEUAUgBHAF8AMQA1AF8ANABfADEAXwAxAF8AXwBYAF8ARQBtAGkAcwBzAGkAbwBuAEYAYQBjAHQAbwByAEYAcgBvAG0AUAB1AHIAYwBoAGEAcwBlAGQARgBlAHIAdABpAGwAaQBzAGUAcgBDAG8AbQBwAG8AbgBlAG4AdABzAF8AUwBvAHUAcgBjAGUAIgAsACIAUwBjAG8AcABlADMAXwBFAHEAdQBhAHQAaQBvAG4AcwAuAFYARQBFAFIARwBfADEANQBfADQAXwAxAF8AMQBfAF8AWABfAEUAbQBpAHMAcwBpAG8AbgBGAGEAYwB0AG8AcgBGAHIAbwBtAFAAdQByAGMAaABhAHMAZQBkAEYAZQByAHQAaQBsAGkAcwBlAHIAQwBvAG0AcABvAG4AZQBuAHQAcwBfAE4ASQBSAFIAZQBmAGUAcgBlAG4AYwBlACIALAAiAFMAYwBvAHAAZQAzAF8ARQBxAHUAYQB0AGkAbwBuAHMALgBWAEUARQBSAEcAXwAxADUAXwA0AF8AMQBfADEAXwBfAFgAXwBFAG0AaQBzAHMAaQBvAG4ARgBhAGMAdABvAHIARgByAG8AbQBQAHUAcgBjAGgAYQBzAGUAZABGAGUAcgB0AGkAbABpAHMAZQByAEMAbwBtAHAAbwBuAGUAbgB0AHMAXwBMAGEAdABlAHgARQBxAHUAYQB0AGkAbwBuACIALAAiAFMAYwBvAHAAZQAzAF8ARQBxAHUAYQB0AGkAbwBuAHMALgBWAEUARQBSAEcAXwAxADUAXwA0AF8AMQBfADEAXwBfAFgAXwBFAG0AaQBzAHMAaQBvAG4ARgBhAGMAdABvAHIARgByAG8AbQBQAHUAcgBjAGgAYQBzAGUAZABGAGUAcgB0AGkAbABpAHMAZQByAEMAbwBtAHAAbwBuAGUAbgB0AHMAXwBBAHIAZwB1AG0AZQBuAHQAcwAiACwAIgBTAGMAbwBwAGUAMwBfAEUAcQB1AGEAdABpAG8AbgBzAC4AVgBFAEUAUgBHAF8AMQA1AF8ANABfADEAXwAxAF8AXwBYAF8ARQBtAGkAcwBzAGkAbwBuAEYAYQBjAHQAbwByAEYAcgBvAG0AUAB1AHIAYwBoAGEAcwBlAGQARgBlAHIAdABpAGwAaQBzAGUAcgBDAG8AbQBwAG8AbgBlAG4AdABzAF8AVgBhAHIAaQBhAHQAaQBvAG4AIgAsACIAUwBjAG8AcABlADMAXwBFAHEAdQBhAHQAaQBvAG4AcwAuAFYARQBFAFIARwBfADEANQBfADUAXwAxAF8AMQBfAF8AMQBfAEUAbQBpAHMAcwBpAG8AbgBzAEYAcgBvAG0AUAB1AHIAYwBoAGEAcwBlAGQAQQBnAHIAaQBjAGgAZQBtAGkAYwBhAGwAcwAiACwAIgBTAGMAbwBwAGUAMwBfAEUAcQB1AGEAdABpAG8AbgBzAC4AVgBFAEUAUgBHAF8AMQA1AF8ANQBfADEAXwAxAF8AXwAxAF8ARQBtAGkAcwBzAGkAbwBuAHMARgByAG8AbQBQAHUAcgBjAGgAYQBzAGUAZABBAGcAcgBpAGMAaABlAG0AaQBjAGEAbABzAF8AVABpAHQAbABlACIALAAiAFMAYwBvAHAAZQAzAF8ARQBxAHUAYQB0AGkAbwBuAHMALgBWAEUARQBSAEcAXwAxADUAXwA1AF8AMQBfADEAXwBfADEAXwBFAG0AaQBzAHMAaQBvAG4AcwBGAHIAbwBtAFAAdQByAGMAaABhAHMAZQBkAEEAZwByAGkAYwBoAGUAbQBpAGMAYQBsAHMAXwBWAGEAcgBpAGEAYgBsAGUAIgAsACIAUwBjAG8AcABlADMAXwBFAHEAdQBhAHQAaQBvAG4AcwAuAFYARQBFAFIARwBfADEANQBfADUAXwAxAF8AMQBfAF8AMQBfAEUAbQBpAHMAcwBpAG8AbgBzAEYAcgBvAG0AUAB1AHIAYwBoAGEAcwBlAGQAQQBnAHIAaQBjAGgAZQBtAGkAYwBhAGwAcwBfAFUAbgBpAHQAIgAsACIAUwBjAG8AcABlADMAXwBFAHEAdQBhAHQAaQBvAG4AcwAuAFYARQBFAFIARwBfADEANQBfADUAXwAxAF8AMQBfAF8AMQBfAEUAbQBpAHMAcwBpAG8AbgBzAEYAcgBvAG0AUAB1AHIAYwBoAGEAcwBlAGQAQQBnAHIAaQBjAGgAZQBtAGkAYwBhAGwAcwBfAFMAbwB1AHIAYwBlACIALAAiAFMAYwBvAHAAZQAzAF8ARQBxAHUAYQB0AGkAbwBuAHMALgBWAEUARQBSAEcAXwAxADUAXwA1AF8AMQBfADEAXwBfADEAXwBFAG0AaQBzAHMAaQBvAG4AcwBGAHIAbwBtAFAAdQByAGMAaABhAHMAZQBkAEEAZwByAGkAYwBoAGUAbQBpAGMAYQBsAHMAXwBOAEkAUgBSAGUAZgBlAHIAZQBuAGMAZQAiACwAIgBTAGMAbwBwAGUAMwBfAEUAcQB1AGEAdABpAG8AbgBzAC4AVgBFAEUAUgBHAF8AMQA1AF8ANQBfADEAXwAxAF8AXwAxAF8ARQBtAGkAcwBzAGkAbwBuAHMARgByAG8AbQBQAHUAcgBjAGgAYQBzAGUAZABBAGcAcgBpAGMAaABlAG0AaQBjAGEAbABzAF8ATABhAHQAZQB4AEUAcQB1AGEAdABpAG8AbgAiACwAIgBTAGMAbwBwAGUAMwBfAEUAcQB1AGEAdABpAG8AbgBzAC4AVgBFAEUAUgBHAF8AMQA1AF8ANQBfADEAXwAxAF8AXwAxAF8ARQBtAGkAcwBzAGkAbwBuAHMARgByAG8AbQBQAHUAcgBjAGgAYQBzAGUAZABBAGcAcgBpAGMAaABlAG0AaQBjAGEAbABzAF8AQQByAGcAdQBtAGUAbgB0AHMAIgAsACIAUwBjAG8AcABlADMAXwBFAHEAdQBhAHQAaQBvAG4AcwAuAFYARQBFAFIARwBfADEANQBfADYAXwAxAF8AMQBfAF8AMQBfAEUAbQBpAHMAcwBpAG8AbgBzAEYAcgBvAG0AUAB1AHIAYwBoAGEAcwBlAGQATABpAG0AZQAiACwAIgBTAGMAbwBwAGUAMwBfAEUAcQB1AGEAdABpAG8AbgBzAC4AVgBFAEUAUgBHAF8AMQA1AF8ANgBfADEAXwAxAF8AXwAxAF8ARQBtAGkAcwBzAGkAbwBuAHMARgByAG8AbQBQAHUAcgBjAGgAYQBzAGUAZABMAGkAbQBlAF8AVABpAHQAbABlACIALAAiAFMAYwBvAHAAZQAzAF8ARQBxAHUAYQB0AGkAbwBuAHMALgBWAEUARQBSAEcAXwAxADUAXwA2AF8AMQBfADEAXwBfADEAXwBFAG0AaQBzAHMAaQBvAG4AcwBGAHIAbwBtAFAAdQByAGMAaABhAHMAZQBkAEwAaQBtAGUAXwBWAGEAcgBpAGEAYgBsAGUAIgAsACIAUwBjAG8AcABlADMAXwBFAHEAdQBhAHQAaQBvAG4AcwAuAFYARQBFAFIARwBfADEANQBfADYAXwAxAF8AMQBfAF8AMQBfAEUAbQBpAHMAcwBpAG8AbgBzAEYAcgBvAG0AUAB1AHIAYwBoAGEAcwBlAGQATABpAG0AZQBfAFUAbgBpAHQAIgAsACIAUwBjAG8AcABlADMAXwBFAHEAdQBhAHQAaQBvAG4AcwAuAFYARQBFAFIARwBfADEANQBfADYAXwAxAF8AMQBfAF8AMQBfAEUAbQBpAHMAcwBpAG8AbgBzAEYAcgBvAG0AUAB1AHIAYwBoAGEAcwBlAGQATABpAG0AZQBfAFMAbwB1AHIAYwBlACIALAAiAFMAYwBvAHAAZQAzAF8ARQBxAHUAYQB0AGkAbwBuAHMALgBWAEUARQBSAEcAXwAxADUAXwA2AF8AMQBfADEAXwBfADEAXwBFAG0AaQBzAHMAaQBvAG4AcwBGAHIAbwBtAFAAdQByAGMAaABhAHMAZQBkAEwAaQBtAGUAXwBOAEkAUgBSAGUAZgBlAHIAZQBuAGMAZQAiACwAIgBTAGMAbwBwAGUAMwBfAEUAcQB1AGEAdABpAG8AbgBzAC4AVgBFAEUAUgBHAF8AMQA1AF8ANgBfADEAXwAxAF8AXwAxAF8ARQBtAGkAcwBzAGkAbwBuAHMARgByAG8AbQBQAHUAcgBjAGgAYQBzAGUAZABMAGkAbQBlAF8ATABhAHQAZQB4AEUAcQB1AGEAdABpAG8AbgAiACwAIgBTAGMAbwBwAGUAMwBfAEUAcQB1AGEAdABpAG8AbgBzAC4AVgBFAEUAUgBHAF8AMQA1AF8ANgBfADEAXwAxAF8AXwAxAF8ARQBtAGkAcwBzAGkAbwBuAHMARgByAG8AbQBQAHUAcgBjAGgAYQBzAGUAZABMAGkAbQBlAF8AQQByAGcAdQBtAGUAbgB0AHMAIgAsACIAUwBjAG8AcABlADMAXwBFAHEAdQBhAHQAaQBvAG4AcwAuAFYARQBFAFIARwBfADEANQBfADcAXwAxAF8AMQBfAF8AMQBfAEUAbQBpAHMAcwBpAG8AbgBzAEYAcgBvAG0AUAB1AHIAYwBoAGEAcwBlAGQAUwBlAHIAdgBpAGMAZQBzACIALAAiAFMAYwBvAHAAZQAzAF8ARQBxAHUAYQB0AGkAbwBuAHMALgBWAEUARQBSAEcAXwAxADUAXwA3AF8AMQBfADEAXwBfADEAXwBFAG0AaQBzAHMAaQBvAG4AcwBGAHIAbwBtAFAAdQByAGMAaABhAHMAZQBkAFMAZQByAHYAaQBjAGUAcwBfAFQAaQB0AGwAZQAiACwAIgBTAGMAbwBwAGUAMwBfAEUAcQB1AGEAdABpAG8AbgBzAC4AVgBFAEUAUgBHAF8AMQA1AF8ANwBfADEAXwAxAF8AXwAxAF8ARQBtAGkAcwBzAGkAbwBuAHMARgByAG8AbQBQAHUAcgBjAGgAYQBzAGUAZABTAGUAcgB2AGkAYwBlAHMAXwBWAGEAcgBpAGEAYgBsAGUAIgAsACIAUwBjAG8AcABlADMAXwBFAHEAdQBhAHQAaQBvAG4AcwAuAFYARQBFAFIARwBfADEANQBfADcAXwAxAF8AMQBfAF8AMQBfAEUAbQBpAHMAcwBpAG8AbgBzAEYAcgBvAG0AUAB1AHIAYwBoAGEAcwBlAGQAUwBlAHIAdgBpAGMAZQBzAF8AVQBuAGkAdAAiACwAIgBTAGMAbwBwAGUAMwBfAEUAcQB1AGEAdABpAG8AbgBzAC4AVgBFAEUAUgBHAF8AMQA1AF8ANwBfADEAXwAxAF8AXwAxAF8ARQBtAGkAcwBzAGkAbwBuAHMARgByAG8AbQBQAHUAcgBjAGgAYQBzAGUAZABTAGUAcgB2AGkAYwBlAHMAXwBTAG8AdQByAGMAZQAiACwAIgBTAGMAbwBwAGUAMwBfAEUAcQB1AGEAdABpAG8AbgBzAC4AVgBFAEUAUgBHAF8AMQA1AF8ANwBfADEAXwAxAF8AXwAxAF8ARQBtAGkAcwBzAGkAbwBuAHMARgByAG8AbQBQAHUAcgBjAGgAYQBzAGUAZABTAGUAcgB2AGkAYwBlAHMAXwBOAEkAUgBSAGUAZgBlAHIAZQBuAGMAZQAiACwAIgBTAGMAbwBwAGUAMwBfAEUAcQB1AGEAdABpAG8AbgBzAC4AVgBFAEUAUgBHAF8AMQA1AF8ANwBfADEAXwAxAF8AXwAxAF8ARQBtAGkAcwBzAGkAbwBuAHMARgByAG8AbQBQAHUAcgBjAGgAYQBzAGUAZABTAGUAcgB2AGkAYwBlAHMAXwBMAGEAdABlAHgARQBxAHUAYQB0AGkAbwBuACIALAAiAFMAYwBvAHAAZQAzAF8ARQBxAHUAYQB0AGkAbwBuAHMALgBWAEUARQBSAEcAXwAxADUAXwA3AF8AMQBfADEAXwBfADEAXwBFAG0AaQBzAHMAaQBvAG4AcwBGAHIAbwBtAFAAdQByAGMAaABhAHMAZQBkAFMAZQByAHYAaQBjAGUAcwBfAEEAcgBnAHUAbQBlAG4AdABzACIALAAiAFMAYwBvAHAAZQAzAF8ARQBxAHUAYQB0AGkAbwBuAHMALgBWAEUARQBSAEcAXwAxADUAXwA4AF8AMQBfADEAXwBfADEAXwBFAG0AaQBzAHMAaQBvAG4AcwBGAHIAbwBtAFAAdQByAGMAaABhAHMAZQBkAFAAYQBjAGsAYQBnAGkAbgBnACIALAAiAFMAYwBvAHAAZQAzAF8ARQBxAHUAYQB0AGkAbwBuAHMALgBWAEUARQBSAEcAXwAxADUAXwA4AF8AMQBfADEAXwBfADEAXwBFAG0AaQBzAHMAaQBvAG4AcwBGAHIAbwBtAFAAdQByAGMAaABhAHMAZQBkAFAAYQBjAGsAYQBnAGkAbgBnAF8AVABpAHQAbABlACIALAAiAFMAYwBvAHAAZQAzAF8ARQBxAHUAYQB0AGkAbwBuAHMALgBWAEUARQBSAEcAXwAxADUAXwA4AF8AMQBfADEAXwBfADEAXwBFAG0AaQBzAHMAaQBvAG4AcwBGAHIAbwBtAFAAdQByAGMAaABhAHMAZQBkAFAAYQBjAGsAYQBnAGkAbgBnAF8AVgBhAHIAaQBhAGIAbABlACIALAAiAFMAYwBvAHAAZQAzAF8ARQBxAHUAYQB0AGkAbwBuAHMALgBWAEUARQBSAEcAXwAxADUAXwA4AF8AMQBfADEAXwBfADEAXwBFAG0AaQBzAHMAaQBvAG4AcwBGAHIAbwBtAFAAdQByAGMAaABhAHMAZQBkAFAAYQBjAGsAYQBnAGkAbgBnAF8AVQBuAGkAdAAiACwAIgBTAGMAbwBwAGUAMwBfAEUAcQB1AGEAdABpAG8AbgBzAC4AVgBFAEUAUgBHAF8AMQA1AF8AOABfADEAXwAxAF8AXwAxAF8ARQBtAGkAcwBzAGkAbwBuAHMARgByAG8AbQBQAHUAcgBjAGgAYQBzAGUAZABQAGEAYwBrAGEAZwBpAG4AZwBfAFMAbwB1AHIAYwBlACIALAAiAFMAYwBvAHAAZQAzAF8ARQBxAHUAYQB0AGkAbwBuAHMALgBWAEUARQBSAEcAXwAxADUAXwA4AF8AMQBfADEAXwBfADEAXwBFAG0AaQBzAHMAaQBvAG4AcwBGAHIAbwBtAFAAdQByAGMAaABhAHMAZQBkAFAAYQBjAGsAYQBnAGkAbgBnAF8ATgBJAFIAUgBlAGYAZQByAGUAbgBjAGUAIgAsACIAUwBjAG8AcABlADMAXwBFAHEAdQBhAHQAaQBvAG4AcwAuAFYARQBFAFIARwBfADEANQBfADgAXwAxAF8AMQBfAF8AMQBfAEUAbQBpAHMAcwBpAG8AbgBzAEYAcgBvAG0AUAB1AHIAYwBoAGEAcwBlAGQAUABhAGMAawBhAGcAaQBuAGcAXwBMAGEAdABlAHgARQBxAHUAYQB0AGkAbwBuACIALAAiAFMAYwBvAHAAZQAzAF8ARQBxAHUAYQB0AGkAbwBuAHMALgBWAEUARQBSAEcAXwAxADUAXwA4AF8AMQBfADEAXwBfADEAXwBFAG0AaQBzAHMAaQBvAG4AcwBGAHIAbwBtAFAAdQByAGMAaABhAHMAZQBkAFAAYQBjAGsAYQBnAGkAbgBnAF8AQQByAGcAdQBtAGUAbgB0AHMAIgAsACIAUwBjAG8AcABlADMAXwBFAHEAdQBhAHQAaQBvAG4AcwAuAFYARQBFAFIARwBfADEANQBfADgAXwAxAF8AMQBfAF8AMQBfAEUAbQBpAHMAcwBpAG8AbgBzAEYAcgBvAG0AUAB1AHIAYwBoAGEAcwBlAGQAUABhAGMAawBhAGcAaQBuAGcAXwBWAGEAcgBpAGEAdABpAG8AbgAiACwAIgBTAGMAbwBwAGUAMwBfAEUAcQB1AGEAdABpAG8AbgBzAC4AVgBFAEUAUgBHAF8AMQA1AF8AOQBfADEAXwAxAF8AXwAxAF8ARQBtAGkAcwBzAGkAbwBuAHMARgByAG8AbQBQAHUAcgBjAGgAYQBzAGUAZABHAHIAbwB3AE0AZQBkAGkAYQAiACwAIgBTAGMAbwBwAGUAMwBfAEUAcQB1AGEAdABpAG8AbgBzAC4AVgBFAEUAUgBHAF8AMQA1AF8AOQBfADEAXwAxAF8AXwAxAF8ARQBtAGkAcwBzAGkAbwBuAHMARgByAG8AbQBQAHUAcgBjAGgAYQBzAGUAZABHAHIAbwB3AE0AZQBkAGkAYQBfAFQAaQB0AGwAZQAiACwAIgBTAGMAbwBwAGUAMwBfAEUAcQB1AGEAdABpAG8AbgBzAC4AVgBFAEUAUgBHAF8AMQA1AF8AOQBfADEAXwAxAF8AXwAxAF8ARQBtAGkAcwBzAGkAbwBuAHMARgByAG8AbQBQAHUAcgBjAGgAYQBzAGUAZABHAHIAbwB3AE0AZQBkAGkAYQBfAFYAYQByAGkAYQBiAGwAZQAiACwAIgBTAGMAbwBwAGUAMwBfAEUAcQB1AGEAdABpAG8AbgBzAC4AVgBFAEUAUgBHAF8AMQA1AF8AOQBfADEAXwAxAF8AXwAxAF8ARQBtAGkAcwBzAGkAbwBuAHMARgByAG8AbQBQAHUAcgBjAGgAYQBzAGUAZABHAHIAbwB3AE0AZQBkAGkAYQBfAFUAbgBpAHQAIgAsACIAUwBjAG8AcABlADMAXwBFAHEAdQBhAHQAaQBvAG4AcwAuAFYARQBFAFIARwBfADEANQBfADkAXwAxAF8AMQBfAF8AMQBfAEUAbQBpAHMAcwBpAG8AbgBzAEYAcgBvAG0AUAB1AHIAYwBoAGEAcwBlAGQARwByAG8AdwBNAGUAZABpAGEAXwBTAG8AdQByAGMAZQAiACwAIgBTAGMAbwBwAGUAMwBfAEUAcQB1AGEAdABpAG8AbgBzAC4AVgBFAEUAUgBHAF8AMQA1AF8AOQBfADEAXwAxAF8AXwAxAF8ARQBtAGkAcwBzAGkAbwBuAHMARgByAG8AbQBQAHUAcgBjAGgAYQBzAGUAZABHAHIAbwB3AE0AZQBkAGkAYQBfAE4ASQBSAFIAZQBmAGUAcgBlAG4AYwBlACIALAAiAFMAYwBvAHAAZQAzAF8ARQBxAHUAYQB0AGkAbwBuAHMALgBWAEUARQBSAEcAXwAxADUAXwA5AF8AMQBfADEAXwBfADEAXwBFAG0AaQBzAHMAaQBvAG4AcwBGAHIAbwBtAFAAdQByAGMAaABhAHMAZQBkAEcAcgBvAHcATQBlAGQAaQBhAF8ATABhAHQAZQB4AEUAcQB1AGEAdABpAG8AbgAiACwAIgBTAGMAbwBwAGUAMwBfAEUAcQB1AGEAdABpAG8AbgBzAC4AVgBFAEUAUgBHAF8AMQA1AF8AOQBfADEAXwAxAF8AXwAxAF8ARQBtAGkAcwBzAGkAbwBuAHMARgByAG8AbQBQAHUAcgBjAGgAYQBzAGUAZABHAHIAbwB3AE0AZQBkAGkAYQBfAEEAcgBnAHUAbQBlAG4AdABzACIALAAiAFMAYwBvAHAAZQAzAF8ARQBxAHUAYQB0AGkAbwBuAHMALgBWAEUARQBSAEcAXwAxADUAXwAxADAAXwAxAF8AMQBfAF8AMQBfAE8AdABoAGUAcgBQAHUAcgBjAGgAYQBzAGUAZABHAG8AbwBkAHMAQQBuAGQAUwBlAHIAdgBpAGMAZQBzACIALAAiAFMAYwBvAHAAZQAzAF8ARQBxAHUAYQB0AGkAbwBuAHMALgBWAEUARQBSAEcAXwAxADUAXwAxADAAXwAxAF8AMQBfAF8AMQBfAE8AdABoAGUAcgBQAHUAcgBjAGgAYQBzAGUAZABHAG8AbwBkAHMAQQBuAGQAUwBlAHIAdgBpAGMAZQBzAF8AVABpAHQAbABlACIALAAiAFMAYwBvAHAAZQAzAF8ARQBxAHUAYQB0AGkAbwBuAHMALgBWAEUARQBSAEcAXwAxADUAXwAxADAAXwAxAF8AMQBfAF8AMQBfAE8AdABoAGUAcgBQAHUAcgBjAGgAYQBzAGUAZABHAG8AbwBkAHMAQQBuAGQAUwBlAHIAdgBpAGMAZQBzAF8AVgBhAHIAaQBhAGIAbABlACIALAAiAFMAYwBvAHAAZQAzAF8ARQBxAHUAYQB0AGkAbwBuAHMALgBWAEUARQBSAEcAXwAxADUAXwAxADAAXwAxAF8AMQBfAF8AMQBfAE8AdABoAGUAcgBQAHUAcgBjAGgAYQBzAGUAZABHAG8AbwBkAHMAQQBuAGQAUwBlAHIAdgBpAGMAZQBzAF8AVQBuAGkAdAAiACwAIgBTAGMAbwBwAGUAMwBfAEUAcQB1AGEAdABpAG8AbgBzAC4AVgBFAEUAUgBHAF8AMQA1AF8AMQAwAF8AMQBfADEAXwBfADEAXwBPAHQAaABlAHIAUAB1AHIAYwBoAGEAcwBlAGQARwBvAG8AZABzAEEAbgBkAFMAZQByAHYAaQBjAGUAcwBfAFMAbwB1AHIAYwBlACIALAAiAFMAYwBvAHAAZQAzAF8ARQBxAHUAYQB0AGkAbwBuAHMALgBWAEUARQBSAEcAXwAxADUAXwAxADAAXwAxAF8AMQBfAF8AMQBfAE8AdABoAGUAcgBQAHUAcgBjAGgAYQBzAGUAZABHAG8AbwBkAHMAQQBuAGQAUwBlAHIAdgBpAGMAZQBzAF8ATgBJAFIAUgBlAGYAZQByAGUAbgBjAGUAIgAsACIAUwBjAG8AcABlADMAXwBFAHEAdQBhAHQAaQBvAG4AcwAuAFYARQBFAFIARwBfADEANQBfADEAMABfADEAXwAxAF8AXwAxAF8ATwB0AGgAZQByAFAAdQByAGMAaABhAHMAZQBkAEcAbwBvAGQAcwBBAG4AZABTAGUAcgB2AGkAYwBlAHMAXwBMAGEAdABlAHgARQBxAHUAYQB0AGkAbwBuACIALAAiAFMAYwBvAHAAZQAzAF8ARQBxAHUAYQB0AGkAbwBuAHMALgBWAEUARQBSAEcAXwAxADUAXwAxADAAXwAxAF8AMQBfAF8AMQBfAE8AdABoAGUAcgBQAHUAcgBjAGgAYQBzAGUAZABHAG8AbwBkAHMAQQBuAGQAUwBlAHIAdgBpAGMAZQBzAF8AQQByAGcAdQBtAGUAbgB0AHMAIgAsACIAUwBjAG8AcABlADMAXwBFAHEAdQBhAHQAaQBvAG4AcwAuAFYARQBFAFIARwBfADEANQBfADEAMQBfADEAXwAxAF8AXwAxAF8AVABvAHQAYQBsAFUAcABzAHQAcgBlAGEAbQBFAG0AaQBzAHMAaQBvAG4AcwBGAHIAbwBtAEYAdQBlAGwAIgAsACIAUwBjAG8AcABlADMAXwBFAHEAdQBhAHQAaQBvAG4AcwAuAFYARQBFAFIARwBfADEANQBfADEAMQBfADEAXwAxAF8AXwAxAF8AVABvAHQAYQBsAFUAcABzAHQAcgBlAGEAbQBFAG0AaQBzAHMAaQBvAG4AcwBGAHIAbwBtAEYAdQBlAGwAXwBUAGkAdABsAGUAIgAsACIAUwBjAG8AcABlADMAXwBFAHEAdQBhAHQAaQBvAG4AcwAuAFYARQBFAFIARwBfADEANQBfADEAMQBfADEAXwAxAF8AXwAxAF8AVABvAHQAYQBsAFUAcABzAHQAcgBlAGEAbQBFAG0AaQBzAHMAaQBvAG4AcwBGAHIAbwBtAEYAdQBlAGwAXwBWAGEAcgBpAGEAYgBsAGUAIgAsACIAUwBjAG8AcABlADMAXwBFAHEAdQBhAHQAaQBvAG4AcwAuAFYARQBFAFIARwBfADEANQBfADEAMQBfADEAXwAxAF8AXwAxAF8AVABvAHQAYQBsAFUAcABzAHQAcgBlAGEAbQBFAG0AaQBzAHMAaQBvAG4AcwBGAHIAbwBtAEYAdQBlAGwAXwBVAG4AaQB0ACIALAAiAFMAYwBvAHAAZQAzAF8ARQBxAHUAYQB0AGkAbwBuAHMALgBWAEUARQBSAEcAXwAxADUAXwAxADEAXwAxAF8AMQBfAF8AMQBfAFQAbwB0AGEAbABVAHAAcwB0AHIAZQBhAG0ARQBtAGkAcwBzAGkAbwBuAHMARgByAG8AbQBGAHUAZQBsAF8AUwBvAHUAcgBjAGUAIgAsACIAUwBjAG8AcABlADMAXwBFAHEAdQBhAHQAaQBvAG4AcwAuAFYARQBFAFIARwBfADEANQBfADEAMQBfADEAXwAxAF8AXwAxAF8AVABvAHQAYQBsAFUAcABzAHQAcgBlAGEAbQBFAG0AaQBzAHMAaQBvAG4AcwBGAHIAbwBtAEYAdQBlAGwAXwBOAEkAUgBSAGUAZgBlAHIAZQBuAGMAZQAiACwAIgBTAGMAbwBwAGUAMwBfAEUAcQB1AGEAdABpAG8AbgBzAC4AVgBFAEUAUgBHAF8AMQA1AF8AMQAxAF8AMQBfADEAXwBfADEAXwBUAG8AdABhAGwAVQBwAHMAdAByAGUAYQBtAEUAbQBpAHMAcwBpAG8AbgBzAEYAcgBvAG0ARgB1AGUAbABfAEwAYQB0AGUAeABFAHEAdQBhAHQAaQBvAG4AIgAsACIAUwBjAG8AcABlADMAXwBFAHEAdQBhAHQAaQBvAG4AcwAuAFYARQBFAFIARwBfADEANQBfADEAMQBfADEAXwAxAF8AXwAxAF8AVABvAHQAYQBsAFUAcABzAHQAcgBlAGEAbQBFAG0AaQBzAHMAaQBvAG4AcwBGAHIAbwBtAEYAdQBlAGwAXwBBAHIAZwB1AG0AZQBuAHQAcwAiACwAIgBTAGMAbwBwAGUAMwBfAEUAcQB1AGEAdABpAG8AbgBzAC4AVgBFAEUAUgBHAF8AMQA1AF8AMQAxAF8AMQBfADEAXwBfADIAXwBVAHAAcwB0AHIAZQBhAG0AVAByAGEAbgBzAHAAbwByAHQARgB1AGUAbABFAG0AaQBzAHMAaQBvAG4AcwAiACwAIgBTAGMAbwBwAGUAMwBfAEUAcQB1AGEAdABpAG8AbgBzAC4AVgBFAEUAUgBHAF8AMQA1AF8AMQAxAF8AMQBfADEAXwBfADIAXwBVAHAAcwB0AHIAZQBhAG0AVAByAGEAbgBzAHAAbwByAHQARgB1AGUAbABFAG0AaQBzAHMAaQBvAG4AcwBfAFQAaQB0AGwAZQAiACwAIgBTAGMAbwBwAGUAMwBfAEUAcQB1AGEAdABpAG8AbgBzAC4AVgBFAEUAUgBHAF8AMQA1AF8AMQAxAF8AMQBfADEAXwBfADIAXwBVAHAAcwB0AHIAZQBhAG0AVAByAGEAbgBzAHAAbwByAHQARgB1AGUAbABFAG0AaQBzAHMAaQBvAG4AcwBfAFYAYQByAGkAYQBiAGwAZQAiACwAIgBTAGMAbwBwAGUAMwBfAEUAcQB1AGEAdABpAG8AbgBzAC4AVgBFAEUAUgBHAF8AMQA1AF8AMQAxAF8AMQBfADEAXwBfADIAXwBVAHAAcwB0AHIAZQBhAG0AVAByAGEAbgBzAHAAbwByAHQARgB1AGUAbABFAG0AaQBzAHMAaQBvAG4AcwBfAFUAbgBpAHQAIgAsACIAUwBjAG8AcABlADMAXwBFAHEAdQBhAHQAaQBvAG4AcwAuAFYARQBFAFIARwBfADEANQBfADEAMQBfADEAXwAxAF8AXwAyAF8AVQBwAHMAdAByAGUAYQBtAFQAcgBhAG4AcwBwAG8AcgB0AEYAdQBlAGwARQBtAGkAcwBzAGkAbwBuAHMAXwBTAG8AdQByAGMAZQAiACwAIgBTAGMAbwBwAGUAMwBfAEUAcQB1AGEAdABpAG8AbgBzAC4AVgBFAEUAUgBHAF8AMQA1AF8AMQAxAF8AMQBfADEAXwBfADIAXwBVAHAAcwB0AHIAZQBhAG0AVAByAGEAbgBzAHAAbwByAHQARgB1AGUAbABFAG0AaQBzAHMAaQBvAG4AcwBfAE4ASQBSAFIAZQBmAGUAcgBlAG4AYwBlACIALAAiAFMAYwBvAHAAZQAzAF8ARQBxAHUAYQB0AGkAbwBuAHMALgBWAEUARQBSAEcAXwAxADUAXwAxADEAXwAxAF8AMQBfAF8AMgBfAFUAcABzAHQAcgBlAGEAbQBUAHIAYQBuAHMAcABvAHIAdABGAHUAZQBsAEUAbQBpAHMAcwBpAG8AbgBzAF8ATABhAHQAZQB4AEUAcQB1AGEAdABpAG8AbgAiACwAIgBTAGMAbwBwAGUAMwBfAEUAcQB1AGEAdABpAG8AbgBzAC4AVgBFAEUAUgBHAF8AMQA1AF8AMQAxAF8AMQBfADEAXwBfADIAXwBVAHAAcwB0AHIAZQBhAG0AVAByAGEAbgBzAHAAbwByAHQARgB1AGUAbABFAG0AaQBzAHMAaQBvAG4AcwBfAEEAcgBnAHUAbQBlAG4AdABzACIALAAiAFMAYwBvAHAAZQAzAF8ARQBxAHUAYQB0AGkAbwBuAHMALgBWAEUARQBSAEcAXwAxADUAXwAxADEAXwAxAF8AMQBfAF8AMwBfAFUAcABzAHQAcgBlAGEAbQBTAHQAYQB0AGkAbwBuAGEAcgB5AEYAdQBlAGwARQBtAGkAcwBzAGkAbwBuAHMAIgAsACIAUwBjAG8AcABlADMAXwBFAHEAdQBhAHQAaQBvAG4AcwAuAFYARQBFAFIARwBfADEANQBfADEAMQBfADEAXwAxAF8AXwAzAF8AVQBwAHMAdAByAGUAYQBtAFMAdABhAHQAaQBvAG4AYQByAHkARgB1AGUAbABFAG0AaQBzAHMAaQBvAG4AcwBfAFQAaQB0AGwAZQAiACwAIgBTAGMAbwBwAGUAMwBfAEUAcQB1AGEAdABpAG8AbgBzAC4AVgBFAEUAUgBHAF8AMQA1AF8AMQAxAF8AMQBfADEAXwBfADMAXwBVAHAAcwB0AHIAZQBhAG0AUwB0AGEAdABpAG8AbgBhAHIAeQBGAHUAZQBsAEUAbQBpAHMAcwBpAG8AbgBzAF8AVgBhAHIAaQBhAGIAbABlACIALAAiAFMAYwBvAHAAZQAzAF8ARQBxAHUAYQB0AGkAbwBuAHMALgBWAEUARQBSAEcAXwAxADUAXwAxADEAXwAxAF8AMQBfAF8AMwBfAFUAcABzAHQAcgBlAGEAbQBTAHQAYQB0AGkAbwBuAGEAcgB5AEYAdQBlAGwARQBtAGkAcwBzAGkAbwBuAHMAXwBVAG4AaQB0ACIALAAiAFMAYwBvAHAAZQAzAF8ARQBxAHUAYQB0AGkAbwBuAHMALgBWAEUARQBSAEcAXwAxADUAXwAxADEAXwAxAF8AMQBfAF8AMwBfAFUAcABzAHQAcgBlAGEAbQBTAHQAYQB0AGkAbwBuAGEAcgB5AEYAdQBlAGwARQBtAGkAcwBzAGkAbwBuAHMAXwBTAG8AdQByAGMAZQAiACwAIgBTAGMAbwBwAGUAMwBfAEUAcQB1AGEAdABpAG8AbgBzAC4AVgBFAEUAUgBHAF8AMQA1AF8AMQAxAF8AMQBfADEAXwBfADMAXwBVAHAAcwB0AHIAZQBhAG0AUwB0AGEAdABpAG8AbgBhAHIAeQBGAHUAZQBsAEUAbQBpAHMAcwBpAG8AbgBzAF8ATgBJAFIAUgBlAGYAZQByAGUAbgBjAGUAIgAsACIAUwBjAG8AcABlADMAXwBFAHEAdQBhAHQAaQBvAG4AcwAuAFYARQBFAFIARwBfADEANQBfADEAMQBfADEAXwAxAF8AXwAzAF8AVQBwAHMAdAByAGUAYQBtAFMAdABhAHQAaQBvAG4AYQByAHkARgB1AGUAbABFAG0AaQBzAHMAaQBvAG4AcwBfAEwAYQB0AGUAeABFAHEAdQBhAHQAaQBvAG4AIgAsACIAUwBjAG8AcABlADMAXwBFAHEAdQBhAHQAaQBvAG4AcwAuAFYARQBFAFIARwBfADEANQBfADEAMQBfADEAXwAxAF8AXwAzAF8AVQBwAHMAdAByAGUAYQBtAFMAdABhAHQAaQBvAG4AYQByAHkARgB1AGUAbABFAG0AaQBzAHMAaQBvAG4AcwBfAEEAcgBnAHUAbQBlAG4AdABzACIALAAiAFMAYwBvAHAAZQAzAF8ARQBxAHUAYQB0AGkAbwBuAHMALgBWAEUARQBSAEcAXwAxADUAXwAxADEAXwAxAF8AMQBfAF8AMwBfAFUAcABzAHQAcgBlAGEAbQBTAHQAYQB0AGkAbwBuAGEAcgB5AEYAdQBlAGwARQBtAGkAcwBzAGkAbwBuAHMAXwBWAGEAcgBpAGEAdABpAG8AbgAiACwAIgBTAGMAbwBwAGUAMwBfAEUAcQB1AGEAdABpAG8AbgBzAC4AVgBFAEUAUgBHAF8AMQA1AF8AMQAyAF8AMQBfADEAXwBfADEAXwBVAHAAcwB0AHIAZQBhAG0AUAB1AHIAYwBoAGEAcwBlAGQARQBsAGUAYwB0AHIAaQBjAGkAdAB5AEwAbwBjAGEAdABpAG8AbgBCAGEAcwBlAGQAIgAsACIAUwBjAG8AcABlADMAXwBFAHEAdQBhAHQAaQBvAG4AcwAuAFYARQBFAFIARwBfADEANQBfADEAMgBfADEAXwAxAF8AXwAxAF8AVQBwAHMAdAByAGUAYQBtAFAAdQByAGMAaABhAHMAZQBkAEUAbABlAGMAdAByAGkAYwBpAHQAeQBMAG8AYwBhAHQAaQBvAG4AQgBhAHMAZQBkAF8AVABpAHQAbABlACIALAAiAFMAYwBvAHAAZQAzAF8ARQBxAHUAYQB0AGkAbwBuAHMALgBWAEUARQBSAEcAXwAxADUAXwAxADIAXwAxAF8AMQBfAF8AMQBfAFUAcABzAHQAcgBlAGEAbQBQAHUAcgBjAGgAYQBzAGUAZABFAGwAZQBjAHQAcgBpAGMAaQB0AHkATABvAGMAYQB0AGkAbwBuAEIAYQBzAGUAZABfAFYAYQByAGkAYQBiAGwAZQAiACwAIgBTAGMAbwBwAGUAMwBfAEUAcQB1AGEAdABpAG8AbgBzAC4AVgBFAEUAUgBHAF8AMQA1AF8AMQAyAF8AMQBfADEAXwBfADEAXwBVAHAAcwB0AHIAZQBhAG0AUAB1AHIAYwBoAGEAcwBlAGQARQBsAGUAYwB0AHIAaQBjAGkAdAB5AEwAbwBjAGEAdABpAG8AbgBCAGEAcwBlAGQAXwBVAG4AaQB0ACIALAAiAFMAYwBvAHAAZQAzAF8ARQBxAHUAYQB0AGkAbwBuAHMALgBWAEUARQBSAEcAXwAxADUAXwAxADIAXwAxAF8AMQBfAF8AMQBfAFUAcABzAHQAcgBlAGEAbQBQAHUAcgBjAGgAYQBzAGUAZABFAGwAZQBjAHQAcgBpAGMAaQB0AHkATABvAGMAYQB0AGkAbwBuAEIAYQBzAGUAZABfAFMAbwB1AHIAYwBlACIALAAiAFMAYwBvAHAAZQAzAF8ARQBxAHUAYQB0AGkAbwBuAHMALgBWAEUARQBSAEcAXwAxADUAXwAxADIAXwAxAF8AMQBfAF8AMQBfAFUAcABzAHQAcgBlAGEAbQBQAHUAcgBjAGgAYQBzAGUAZABFAGwAZQBjAHQAcgBpAGMAaQB0AHkATABvAGMAYQB0AGkAbwBuAEIAYQBzAGUAZABfAE4ASQBSAFIAZQBmAGUAcgBlAG4AYwBlACIALAAiAFMAYwBvAHAAZQAzAF8ARQBxAHUAYQB0AGkAbwBuAHMALgBWAEUARQBSAEcAXwAxADUAXwAxADIAXwAxAF8AMQBfAF8AMQBfAFUAcABzAHQAcgBlAGEAbQBQAHUAcgBjAGgAYQBzAGUAZABFAGwAZQBjAHQAcgBpAGMAaQB0AHkATABvAGMAYQB0AGkAbwBuAEIAYQBzAGUAZABfAEwAYQB0AGUAeABFAHEAdQBhAHQAaQBvAG4AIgAsACIAUwBjAG8AcABlADMAXwBFAHEAdQBhAHQAaQBvAG4AcwAuAFYARQBFAFIARwBfADEANQBfADEAMgBfADEAXwAxAF8AXwAxAF8AVQBwAHMAdAByAGUAYQBtAFAAdQByAGMAaABhAHMAZQBkAEUAbABlAGMAdAByAGkAYwBpAHQAeQBMAG8AYwBhAHQAaQBvAG4AQgBhAHMAZQBkAF8AQQByAGcAdQBtAGUAbgB0AHMAIgAsACIAUwBjAG8AcABlADMAXwBFAHEAdQBhAHQAaQBvAG4AcwAuAFYARQBFAFIARwBfADEANQBfADEAMgBfADEAXwAyAF8AXwAxAF8AVQBwAHMAdAByAGUAYQBtAFAAdQByAGMAaABhAHMAZQBkAEUAbABlAGMAdAByAGkAYwBpAHQAeQBNAGEAcgBrAGUAdABCAGEAcwBlAGQAIgAsACIAUwBjAG8AcABlADMAXwBFAHEAdQBhAHQAaQBvAG4AcwAuAFYARQBFAFIARwBfADEANQBfADEAMgBfADEAXwAyAF8AXwAxAF8AVQBwAHMAdAByAGUAYQBtAFAAdQByAGMAaABhAHMAZQBkAEUAbABlAGMAdAByAGkAYwBpAHQAeQBNAGEAcgBrAGUAdABCAGEAcwBlAGQAXwBUAGkAdABsAGUAIgAsACIAUwBjAG8AcABlADMAXwBFAHEAdQBhAHQAaQBvAG4AcwAuAFYARQBFAFIARwBfADEANQBfADEAMgBfADEAXwAyAF8AXwAxAF8AVQBwAHMAdAByAGUAYQBtAFAAdQByAGMAaABhAHMAZQBkAEUAbABlAGMAdAByAGkAYwBpAHQAeQBNAGEAcgBrAGUAdABCAGEAcwBlAGQAXwBWAGEAcgBpAGEAYgBsAGUAIgAsACIAUwBjAG8AcABlADMAXwBFAHEAdQBhAHQAaQBvAG4AcwAuAFYARQBFAFIARwBfADEANQBfADEAMgBfADEAXwAyAF8AXwAxAF8AVQBwAHMAdAByAGUAYQBtAFAAdQByAGMAaABhAHMAZQBkAEUAbABlAGMAdAByAGkAYwBpAHQAeQBNAGEAcgBrAGUAdABCAGEAcwBlAGQAXwBVAG4AaQB0ACIALAAiAFMAYwBvAHAAZQAzAF8ARQBxAHUAYQB0AGkAbwBuAHMALgBWAEUARQBSAEcAXwAxADUAXwAxADIAXwAxAF8AMgBfAF8AMQBfAFUAcABzAHQAcgBlAGEAbQBQAHUAcgBjAGgAYQBzAGUAZABFAGwAZQBjAHQAcgBpAGMAaQB0AHkATQBhAHIAawBlAHQAQgBhAHMAZQBkAF8AUwBvAHUAcgBjAGUAIgAsACIAUwBjAG8AcABlADMAXwBFAHEAdQBhAHQAaQBvAG4AcwAuAFYARQBFAFIARwBfADEANQBfADEAMgBfADEAXwAyAF8AXwAxAF8AVQBwAHMAdAByAGUAYQBtAFAAdQByAGMAaABhAHMAZQBkAEUAbABlAGMAdAByAGkAYwBpAHQAeQBNAGEAcgBrAGUAdABCAGEAcwBlAGQAXwBOAEkAUgBSAGUAZgBlAHIAZQBuAGMAZQAiACwAIgBTAGMAbwBwAGUAMwBfAEUAcQB1AGEAdABpAG8AbgBzAC4AVgBFAEUAUgBHAF8AMQA1AF8AMQAyAF8AMQBfADIAXwBfADEAXwBVAHAAcwB0AHIAZQBhAG0AUAB1AHIAYwBoAGEAcwBlAGQARQBsAGUAYwB0AHIAaQBjAGkAdAB5AE0AYQByAGsAZQB0AEIAYQBzAGUAZABfAEwAYQB0AGUAeABFAHEAdQBhAHQAaQBvAG4AIgAsACIAUwBjAG8AcABlADMAXwBFAHEAdQBhAHQAaQBvAG4AcwAuAFYARQBFAFIARwBfADEANQBfADEAMgBfADEAXwAyAF8AXwAxAF8AVQBwAHMAdAByAGUAYQBtAFAAdQByAGMAaABhAHMAZQBkAEUAbABlAGMAdAByAGkAYwBpAHQAeQBNAGEAcgBrAGUAdABCAGEAcwBlAGQAXwBBAHIAZwB1AG0AZQBuAHQAcwAiACwAIgBTAGMAbwBwAGUAMwBfAEUAcQB1AGEAdABpAG8AbgBzAC4AVgBFAEUAUgBHAF8AMQA1AF8AMQAzAF8AMQBfADEAXwBfADEAXwBFAG0AaQBzAHMAaQBvAG4AcwBGAHIAbwBtAE0AYQBuAHUAcgBlAFMAZQBuAHQATwBmAGYAUwBpAHQAZQAiACwAIgBTAGMAbwBwAGUAMwBfAEUAcQB1AGEAdABpAG8AbgBzAC4AVgBFAEUAUgBHAF8AMQA1AF8AMQAzAF8AMQBfADEAXwBfADEAXwBFAG0AaQBzAHMAaQBvAG4AcwBGAHIAbwBtAE0AYQBuAHUAcgBlAFMAZQBuAHQATwBmAGYAUwBpAHQAZQBfAFQAaQB0AGwAZQAiACwAIgBTAGMAbwBwAGUAMwBfAEUAcQB1AGEAdABpAG8AbgBzAC4AVgBFAEUAUgBHAF8AMQA1AF8AMQAzAF8AMQBfADEAXwBfADEAXwBFAG0AaQBzAHMAaQBvAG4AcwBGAHIAbwBtAE0AYQBuAHUAcgBlAFMAZQBuAHQATwBmAGYAUwBpAHQAZQBfAFYAYQByAGkAYQBiAGwAZQAiACwAIgBTAGMAbwBwAGUAMwBfAEUAcQB1AGEAdABpAG8AbgBzAC4AVgBFAEUAUgBHAF8AMQA1AF8AMQAzAF8AMQBfADEAXwBfADEAXwBFAG0AaQBzAHMAaQBvAG4AcwBGAHIAbwBtAE0AYQBuAHUAcgBlAFMAZQBuAHQATwBmAGYAUwBpAHQAZQBfAFUAbgBpAHQAIgAsACIAUwBjAG8AcABlADMAXwBFAHEAdQBhAHQAaQBvAG4AcwAuAFYARQBFAFIARwBfADEANQBfADEAMwBfADEAXwAxAF8AXwAxAF8ARQBtAGkAcwBzAGkAbwBuAHMARgByAG8AbQBNAGEAbgB1AHIAZQBTAGUAbgB0AE8AZgBmAFMAaQB0AGUAXwBTAG8AdQByAGMAZQAiACwAIgBTAGMAbwBwAGUAMwBfAEUAcQB1AGEAdABpAG8AbgBzAC4AVgBFAEUAUgBHAF8AMQA1AF8AMQAzAF8AMQBfADEAXwBfADEAXwBFAG0AaQBzAHMAaQBvAG4AcwBGAHIAbwBtAE0AYQBuAHUAcgBlAFMAZQBuAHQATwBmAGYAUwBpAHQAZQBfAE4ASQBSAFIAZQBmAGUAcgBlAG4AYwBlACIALAAiAFMAYwBvAHAAZQAzAF8ARQBxAHUAYQB0AGkAbwBuAHMALgBWAEUARQBSAEcAXwAxADUAXwAxADMAXwAxAF8AMQBfAF8AMQBfAEUAbQBpAHMAcwBpAG8AbgBzAEYAcgBvAG0ATQBhAG4AdQByAGUAUwBlAG4AdABPAGYAZgBTAGkAdABlAF8ATABhAHQAZQB4AEUAcQB1AGEAdABpAG8AbgAiACwAIgBTAGMAbwBwAGUAMwBfAEUAcQB1AGEAdABpAG8AbgBzAC4AVgBFAEUAUgBHAF8AMQA1AF8AMQAzAF8AMQBfADEAXwBfADEAXwBFAG0AaQBzAHMAaQBvAG4AcwBGAHIAbwBtAE0AYQBuAHUAcgBlAFMAZQBuAHQATwBmAGYAUwBpAHQAZQBfAEEAcgBnAHUAbQBlAG4AdABzACIALAAiAFMAYwBvAHAAZQAzAF8ARQBxAHUAYQB0AGkAbwBuAHMALgBWAEUARQBSAEcAXwAxADUAXwAxADQAXwAxAF8AMQBfAF8AMQBfAEUAbQBiAGUAZABkAGUAZABFAG0AaQBzAHMAaQBvAG4AcwBGAHIAbwBtAFUAcABzAHQAcgBlAGEAbQBGAHIAZQBpAGcAaAB0ACIALAAiAFMAYwBvAHAAZQAzAF8ARQBxAHUAYQB0AGkAbwBuAHMALgBWAEUARQBSAEcAXwAxADUAXwAxADQAXwAxAF8AMQBfAF8AMQBfAEUAbQBiAGUAZABkAGUAZABFAG0AaQBzAHMAaQBvAG4AcwBGAHIAbwBtAFUAcABzAHQAcgBlAGEAbQBGAHIAZQBpAGcAaAB0AF8AVABpAHQAbABlACIALAAiAFMAYwBvAHAAZQAzAF8ARQBxAHUAYQB0AGkAbwBuAHMALgBWAEUARQBSAEcAXwAxADUAXwAxADQAXwAxAF8AMQBfAF8AMQBfAEUAbQBiAGUAZABkAGUAZABFAG0AaQBzAHMAaQBvAG4AcwBGAHIAbwBtAFUAcABzAHQAcgBlAGEAbQBGAHIAZQBpAGcAaAB0AF8AVgBhAHIAaQBhAGIAbABlACIALAAiAFMAYwBvAHAAZQAzAF8ARQBxAHUAYQB0AGkAbwBuAHMALgBWAEUARQBSAEcAXwAxADUAXwAxADQAXwAxAF8AMQBfAF8AMQBfAEUAbQBiAGUAZABkAGUAZABFAG0AaQBzAHMAaQBvAG4AcwBGAHIAbwBtAFUAcABzAHQAcgBlAGEAbQBGAHIAZQBpAGcAaAB0AF8AVQBuAGkAdAAiACwAIgBTAGMAbwBwAGUAMwBfAEUAcQB1AGEAdABpAG8AbgBzAC4AVgBFAEUAUgBHAF8AMQA1AF8AMQA0AF8AMQBfADEAXwBfADEAXwBFAG0AYgBlAGQAZABlAGQARQBtAGkAcwBzAGkAbwBuAHMARgByAG8AbQBVAHAAcwB0AHIAZQBhAG0ARgByAGUAaQBnAGgAdABfAFMAbwB1AHIAYwBlACIALAAiAFMAYwBvAHAAZQAzAF8ARQBxAHUAYQB0AGkAbwBuAHMALgBWAEUARQBSAEcAXwAxADUAXwAxADQAXwAxAF8AMQBfAF8AMQBfAEUAbQBiAGUAZABkAGUAZABFAG0AaQBzAHMAaQBvAG4AcwBGAHIAbwBtAFUAcABzAHQAcgBlAGEAbQBGAHIAZQBpAGcAaAB0AF8ATgBJAFIAUgBlAGYAZQByAGUAbgBjAGUAIgAsACIAUwBjAG8AcABlADMAXwBFAHEAdQBhAHQAaQBvAG4AcwAuAFYARQBFAFIARwBfADEANQBfADEANABfADEAXwAxAF8AXwAxAF8ARQBtAGIAZQBkAGQAZQBkAEUAbQBpAHMAcwBpAG8AbgBzAEYAcgBvAG0AVQBwAHMAdAByAGUAYQBtAEYAcgBlAGkAZwBoAHQAXwBMAGEAdABlAHgARQBxAHUAYQB0AGkAbwBuACIALAAiAFMAYwBvAHAAZQAzAF8ARQBxAHUAYQB0AGkAbwBuAHMALgBWAEUARQBSAEcAXwAxADUAXwAxADQAXwAxAF8AMQBfAF8AMQBfAEUAbQBiAGUAZABkAGUAZABFAG0AaQBzAHMAaQBvAG4AcwBGAHIAbwBtAFUAcABzAHQAcgBlAGEAbQBGAHIAZQBpAGcAaAB0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Home</vt:lpstr>
      <vt:lpstr>Overview</vt:lpstr>
      <vt:lpstr>Results</vt:lpstr>
      <vt:lpstr>Input - Site</vt:lpstr>
      <vt:lpstr>Input - Fuel</vt:lpstr>
      <vt:lpstr>8.1.1.1-2 Transport fuel</vt:lpstr>
      <vt:lpstr>8.2.1.1-2 Stationary fuel</vt:lpstr>
      <vt:lpstr>Constants - Fuel</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2026-06-10T02:31:35Z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