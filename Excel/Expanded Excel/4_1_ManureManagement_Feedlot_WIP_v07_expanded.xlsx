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0D5D5381-55AB-4FA4-9DBE-838646ECC2B5}" xr6:coauthVersionLast="47" xr6:coauthVersionMax="47" xr10:uidLastSave="{00000000-0000-0000-0000-000000000000}"/>
  <bookViews>
    <workbookView xWindow="4680" yWindow="4680" windowWidth="28800" windowHeight="15345" firstSheet="10" activeTab="10"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6" i="76" l="1" a="1"/>
  <c r="D66" i="76" s="1"/>
  <c r="D13" i="69" a="1"/>
  <c r="D13" i="69" s="1"/>
  <c r="G29" i="79"/>
  <c r="G28" i="79"/>
  <c r="I114" i="69"/>
  <c r="I74" i="69"/>
  <c r="R46" i="69"/>
  <c r="I46" i="69"/>
  <c r="O89" i="69"/>
  <c r="E30" i="15"/>
  <c r="E33" i="15"/>
  <c r="E31" i="15"/>
  <c r="E32" i="15" s="1"/>
  <c r="P68" i="82"/>
  <c r="G68" i="82"/>
  <c r="R215" i="76"/>
  <c r="G215" i="76"/>
  <c r="P174" i="69"/>
  <c r="G174" i="69"/>
  <c r="I115" i="69"/>
  <c r="I75" i="69"/>
  <c r="R47" i="69"/>
  <c r="I47" i="69"/>
  <c r="D117" i="102" a="1"/>
  <c r="D117" i="102" s="1"/>
  <c r="D107" i="102" a="1"/>
  <c r="D107" i="102" s="1"/>
  <c r="D83" i="102" a="1"/>
  <c r="D83" i="102" s="1"/>
  <c r="D59" i="102" a="1"/>
  <c r="D59"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45" i="69"/>
  <c r="R115" i="69"/>
  <c r="I112" i="69" a="1"/>
  <c r="I112" i="69" s="1"/>
  <c r="I110" i="69" a="1"/>
  <c r="I110" i="69" s="1"/>
  <c r="R73" i="69" a="1"/>
  <c r="R73" i="69" s="1"/>
  <c r="R75" i="69"/>
  <c r="I73" i="69" a="1"/>
  <c r="I73" i="69" s="1"/>
  <c r="I72" i="69" a="1"/>
  <c r="I72" i="69" s="1"/>
  <c r="I70" i="69" a="1"/>
  <c r="I70" i="69" s="1"/>
  <c r="N89" i="69"/>
  <c r="M89" i="69"/>
  <c r="M88" i="69"/>
  <c r="M87" i="69"/>
  <c r="I60" i="82" l="1"/>
  <c r="I190" i="76"/>
  <c r="R150" i="69"/>
  <c r="P87" i="69"/>
  <c r="G159" i="69"/>
  <c r="G87" i="69"/>
  <c r="I150" i="69"/>
  <c r="I80" i="69"/>
  <c r="H120" i="69"/>
  <c r="R44" i="69" a="1"/>
  <c r="R44" i="69" s="1"/>
  <c r="R42" i="69" a="1"/>
  <c r="R42" i="69" s="1"/>
  <c r="I44" i="69" a="1"/>
  <c r="I44" i="69" s="1"/>
  <c r="I42" i="69" a="1"/>
  <c r="I42" i="69" s="1"/>
  <c r="H14" i="69" a="1"/>
  <c r="H14" i="69" s="1"/>
  <c r="H13" i="69" a="1"/>
  <c r="H13" i="69" s="1"/>
  <c r="E89" i="69"/>
  <c r="D89" i="69"/>
  <c r="H82" i="69"/>
  <c r="G82" i="69"/>
  <c r="F82" i="69"/>
  <c r="H81" i="69"/>
  <c r="G81" i="69"/>
  <c r="F81" i="69"/>
  <c r="K188" i="76" l="1" a="1"/>
  <c r="K188" i="76" s="1"/>
  <c r="J188" i="76" a="1"/>
  <c r="J188" i="76" s="1"/>
  <c r="I188" i="76" a="1"/>
  <c r="I188" i="76" s="1"/>
  <c r="I189" i="76" a="1"/>
  <c r="I189" i="76" s="1"/>
  <c r="I162" i="76" a="1"/>
  <c r="I162" i="76" s="1"/>
  <c r="I161" i="76" a="1"/>
  <c r="I161" i="76" s="1"/>
  <c r="I141" i="76" a="1"/>
  <c r="I141" i="76" s="1"/>
  <c r="I144" i="76" a="1"/>
  <c r="I144" i="76" s="1"/>
  <c r="I119" i="76" a="1"/>
  <c r="I119" i="76" s="1"/>
  <c r="I118" i="76" a="1"/>
  <c r="I118" i="76" s="1"/>
  <c r="I96" i="76" a="1"/>
  <c r="I96" i="76" s="1"/>
  <c r="I95" i="76" a="1"/>
  <c r="I95" i="76" s="1"/>
  <c r="H68" i="76" a="1"/>
  <c r="H68" i="76" s="1"/>
  <c r="H67" i="76" a="1"/>
  <c r="H67" i="76" s="1"/>
  <c r="H66" i="76" a="1"/>
  <c r="H66" i="76" s="1"/>
  <c r="I43" i="76" a="1"/>
  <c r="I43" i="76" s="1"/>
  <c r="I44" i="76" a="1"/>
  <c r="I44" i="76" s="1"/>
  <c r="I14" i="76" a="1"/>
  <c r="I14" i="76" s="1"/>
  <c r="I13" i="76" a="1"/>
  <c r="I13" i="76" s="1"/>
  <c r="J77" i="81" a="1"/>
  <c r="J77" i="81" s="1"/>
  <c r="J76" i="81" a="1"/>
  <c r="J76" i="81" s="1"/>
  <c r="J75" i="81" a="1"/>
  <c r="J75" i="81" s="1"/>
  <c r="J74" i="81" a="1"/>
  <c r="J74" i="81" s="1"/>
  <c r="J17" i="81" a="1"/>
  <c r="J17" i="81" s="1"/>
  <c r="J16" i="81" a="1"/>
  <c r="J16" i="81" s="1"/>
  <c r="J15" i="81" a="1"/>
  <c r="J15" i="81" s="1"/>
  <c r="J14" i="81" a="1"/>
  <c r="J14" i="81" s="1"/>
  <c r="I15" i="82" a="1"/>
  <c r="I15" i="82" s="1"/>
  <c r="I14" i="82" a="1"/>
  <c r="I14" i="82" s="1"/>
  <c r="E50" i="81" l="1"/>
  <c r="K34" i="70"/>
  <c r="N108" i="81"/>
  <c r="D108" i="81"/>
  <c r="D100" i="81"/>
  <c r="N84" i="81"/>
  <c r="D84" i="81"/>
  <c r="E101" i="81"/>
  <c r="E99" i="81"/>
  <c r="E98" i="81"/>
  <c r="D42" i="81"/>
  <c r="E51" i="81"/>
  <c r="K33" i="70"/>
  <c r="E49" i="81" s="1"/>
  <c r="K32" i="70"/>
  <c r="E48" i="81" s="1"/>
  <c r="K38" i="70"/>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34" i="70"/>
  <c r="G169" i="76" s="1"/>
  <c r="F34" i="70"/>
  <c r="F169" i="76" s="1"/>
  <c r="E34" i="70"/>
  <c r="E169" i="76" s="1"/>
  <c r="F32" i="82" l="1"/>
  <c r="Q23" i="82" l="1"/>
  <c r="H23" i="82"/>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I61" i="82"/>
  <c r="I62" i="82"/>
  <c r="M40" i="82" l="1"/>
  <c r="M23" i="82"/>
  <c r="D40" i="82"/>
  <c r="D32" i="82"/>
  <c r="D23" i="82"/>
  <c r="Q40" i="82"/>
  <c r="D91" i="81"/>
  <c r="D39" i="81"/>
  <c r="D30" i="81"/>
  <c r="O176" i="69" a="1"/>
  <c r="O176" i="69" s="1"/>
  <c r="M173" i="69" a="1"/>
  <c r="M173" i="69" s="1"/>
  <c r="N164" i="69"/>
  <c r="N150" i="69"/>
  <c r="M57" i="69"/>
  <c r="Q217" i="76" a="1"/>
  <c r="Q217" i="76" s="1"/>
  <c r="O214" i="76" a="1"/>
  <c r="O214" i="76" s="1"/>
  <c r="O206" i="76"/>
  <c r="D214" i="76" a="1"/>
  <c r="D214" i="76" s="1"/>
  <c r="F217" i="76" a="1"/>
  <c r="F217" i="76" s="1"/>
  <c r="D206" i="76"/>
  <c r="D195" i="76"/>
  <c r="R84" i="81" l="1"/>
  <c r="H84" i="81"/>
  <c r="R108" i="81"/>
  <c r="H108" i="81"/>
  <c r="F46" i="82"/>
  <c r="F87" i="81"/>
  <c r="F18" i="13" s="1"/>
  <c r="H58" i="81"/>
  <c r="R58" i="81"/>
  <c r="I63" i="82"/>
  <c r="I59" i="82" s="1"/>
  <c r="O65" i="82"/>
  <c r="F65" i="82"/>
  <c r="G9" i="13" s="1"/>
  <c r="H57" i="81"/>
  <c r="H40" i="82"/>
  <c r="O46" i="82"/>
  <c r="R56" i="81"/>
  <c r="R59" i="81"/>
  <c r="P61" i="81"/>
  <c r="R107" i="81"/>
  <c r="R109" i="81"/>
  <c r="P87" i="81"/>
  <c r="H82" i="81"/>
  <c r="H85" i="81"/>
  <c r="H106" i="81"/>
  <c r="H107" i="81"/>
  <c r="H83" i="81"/>
  <c r="R82" i="81"/>
  <c r="R83" i="81"/>
  <c r="H56" i="81"/>
  <c r="H109" i="81"/>
  <c r="R106" i="81"/>
  <c r="R85" i="81"/>
  <c r="H59" i="81"/>
  <c r="R57" i="81"/>
  <c r="F111" i="81"/>
  <c r="F17" i="13" s="1"/>
  <c r="P111" i="81"/>
  <c r="F61" i="81"/>
  <c r="F16" i="13" s="1"/>
  <c r="G149" i="76" l="1"/>
  <c r="G167" i="76"/>
  <c r="F167" i="76"/>
  <c r="E167" i="76"/>
  <c r="H80" i="69"/>
  <c r="G80" i="69"/>
  <c r="F80" i="69"/>
  <c r="O106" i="76"/>
  <c r="E101" i="76"/>
  <c r="D106" i="76"/>
  <c r="G101" i="76"/>
  <c r="F101" i="76"/>
  <c r="D101" i="76"/>
  <c r="S106" i="76"/>
  <c r="F73" i="76"/>
  <c r="E73" i="76"/>
  <c r="D73" i="76"/>
  <c r="F78" i="76"/>
  <c r="E78" i="76"/>
  <c r="D78" i="76"/>
  <c r="R83" i="76"/>
  <c r="R54" i="76"/>
  <c r="I142" i="76"/>
  <c r="I143" i="76"/>
  <c r="R45" i="69"/>
  <c r="R43" i="69"/>
  <c r="R30" i="76"/>
  <c r="A39" i="74"/>
  <c r="A38" i="74"/>
  <c r="A37" i="74"/>
  <c r="A36" i="74"/>
  <c r="A33" i="74"/>
  <c r="A30" i="74"/>
  <c r="A29" i="74"/>
  <c r="A28" i="74"/>
  <c r="A27" i="74"/>
  <c r="A26" i="74"/>
  <c r="A25" i="74"/>
  <c r="A24" i="74"/>
  <c r="A19" i="74"/>
  <c r="A18" i="74"/>
  <c r="A15" i="74"/>
  <c r="A14" i="74"/>
  <c r="A13" i="74"/>
  <c r="A12" i="74"/>
  <c r="A11" i="74"/>
  <c r="A10" i="74"/>
  <c r="A9" i="74"/>
  <c r="A8" i="74"/>
  <c r="A7" i="74"/>
  <c r="A4" i="74"/>
  <c r="F89" i="69" l="1" a="1"/>
  <c r="F89" i="69" s="1"/>
  <c r="E33" i="81"/>
  <c r="E42" i="81"/>
  <c r="H129" i="76"/>
  <c r="E32" i="82"/>
  <c r="E195" i="76"/>
  <c r="E30" i="81"/>
  <c r="G17" i="70" a="1"/>
  <c r="G17" i="70" s="1"/>
  <c r="F49" i="76" s="1"/>
  <c r="E20" i="70" a="1"/>
  <c r="E20" i="70" s="1"/>
  <c r="E39" i="81"/>
  <c r="E23" i="70" a="1"/>
  <c r="E23" i="70" s="1"/>
  <c r="O49" i="76" s="1"/>
  <c r="F23" i="70" a="1"/>
  <c r="F23" i="70" s="1"/>
  <c r="P49" i="76" s="1"/>
  <c r="G23" i="70" a="1"/>
  <c r="G23" i="70" s="1"/>
  <c r="Q49" i="76" s="1"/>
  <c r="E17" i="70" a="1"/>
  <c r="E17" i="70" s="1"/>
  <c r="D49" i="76" s="1"/>
  <c r="F17" i="70" a="1"/>
  <c r="F17" i="70" s="1"/>
  <c r="E49" i="76" s="1"/>
  <c r="S175" i="76"/>
  <c r="S174" i="76"/>
  <c r="H174" i="76"/>
  <c r="H175" i="76"/>
  <c r="S129" i="76"/>
  <c r="R149" i="76"/>
  <c r="S207" i="76"/>
  <c r="Q212" i="76"/>
  <c r="S210" i="76"/>
  <c r="F212" i="76"/>
  <c r="G8" i="13" s="1"/>
  <c r="S208" i="76"/>
  <c r="H210" i="76"/>
  <c r="H208" i="76"/>
  <c r="H207" i="76"/>
  <c r="H206" i="76"/>
  <c r="S206" i="76"/>
  <c r="H106" i="76"/>
  <c r="G83" i="76"/>
  <c r="G30" i="76"/>
  <c r="G54" i="76"/>
  <c r="G14" i="70" a="1"/>
  <c r="G14" i="70" s="1"/>
  <c r="F20" i="76" s="1"/>
  <c r="E15" i="70" a="1"/>
  <c r="E15" i="70" s="1"/>
  <c r="F14" i="70" a="1"/>
  <c r="F14" i="70" s="1"/>
  <c r="E20" i="76" s="1"/>
  <c r="E14" i="70" a="1"/>
  <c r="E14" i="70" s="1"/>
  <c r="D20" i="76" s="1"/>
  <c r="G22" i="70" a="1"/>
  <c r="G22" i="70" s="1"/>
  <c r="Q25" i="76" s="1"/>
  <c r="F20" i="70" a="1"/>
  <c r="F20" i="70" s="1"/>
  <c r="G20" i="70" a="1"/>
  <c r="G20" i="70" s="1"/>
  <c r="G15" i="70" a="1"/>
  <c r="G15" i="70" s="1"/>
  <c r="E16" i="70" a="1"/>
  <c r="E16" i="70" s="1"/>
  <c r="D25" i="76" s="1"/>
  <c r="F16" i="70" a="1"/>
  <c r="F16" i="70" s="1"/>
  <c r="E25" i="76" s="1"/>
  <c r="G16" i="70" a="1"/>
  <c r="G16" i="70" s="1"/>
  <c r="F25" i="76" s="1"/>
  <c r="E21" i="70" a="1"/>
  <c r="E21" i="70" s="1"/>
  <c r="M25" i="69" s="1"/>
  <c r="E22" i="70" a="1"/>
  <c r="E22" i="70" s="1"/>
  <c r="O25" i="76" s="1"/>
  <c r="F22" i="70" a="1"/>
  <c r="F22" i="70" s="1"/>
  <c r="P25" i="76" s="1"/>
  <c r="F15" i="70" a="1"/>
  <c r="F15" i="70" s="1"/>
  <c r="F21" i="70" a="1"/>
  <c r="F21" i="70" s="1"/>
  <c r="N25" i="69" s="1"/>
  <c r="G21" i="70" a="1"/>
  <c r="G21" i="70" s="1"/>
  <c r="O25" i="69" s="1"/>
  <c r="I15" i="76"/>
  <c r="E164" i="69"/>
  <c r="D173" i="69" a="1"/>
  <c r="D173" i="69" s="1"/>
  <c r="F176" i="69" a="1"/>
  <c r="F176" i="69" s="1"/>
  <c r="D30" i="76" l="1"/>
  <c r="D54" i="76" s="1"/>
  <c r="D83" i="76" s="1"/>
  <c r="E106" i="76" s="1"/>
  <c r="E206" i="76" s="1"/>
  <c r="E30" i="76"/>
  <c r="E54" i="76" s="1"/>
  <c r="E83" i="76" s="1"/>
  <c r="F106" i="76" s="1"/>
  <c r="F206" i="76" s="1"/>
  <c r="F30" i="76"/>
  <c r="F54" i="76" s="1"/>
  <c r="F83" i="76" s="1"/>
  <c r="G106" i="76" s="1"/>
  <c r="G206" i="76" s="1"/>
  <c r="M20" i="69"/>
  <c r="O20" i="76"/>
  <c r="O30" i="76" s="1"/>
  <c r="O54" i="76" s="1"/>
  <c r="O83" i="76" s="1"/>
  <c r="P106" i="76" s="1"/>
  <c r="P206" i="76" s="1"/>
  <c r="N20" i="69"/>
  <c r="P20" i="76"/>
  <c r="P30" i="76" s="1"/>
  <c r="P54" i="76" s="1"/>
  <c r="P83" i="76" s="1"/>
  <c r="Q106" i="76" s="1"/>
  <c r="Q206" i="76" s="1"/>
  <c r="O20" i="69"/>
  <c r="Q20" i="76"/>
  <c r="Q30" i="76" s="1"/>
  <c r="Q54" i="76" s="1"/>
  <c r="Q83" i="76" s="1"/>
  <c r="R106" i="76" s="1"/>
  <c r="R206" i="76" s="1"/>
  <c r="G23" i="82" l="1"/>
  <c r="G40" i="82" s="1"/>
  <c r="F23" i="82"/>
  <c r="F40" i="82" s="1"/>
  <c r="E150" i="69"/>
  <c r="F159" i="69"/>
  <c r="E159" i="69"/>
  <c r="D159" i="69"/>
  <c r="F145" i="69"/>
  <c r="E145" i="69"/>
  <c r="D145" i="69"/>
  <c r="D8" i="70"/>
  <c r="D9" i="70"/>
  <c r="E23" i="82" l="1"/>
  <c r="E40" i="82" s="1"/>
  <c r="D88" i="69"/>
  <c r="D87" i="69"/>
  <c r="N23" i="82" l="1"/>
  <c r="N40" i="82" s="1"/>
  <c r="O23" i="82"/>
  <c r="O40" i="82" s="1"/>
  <c r="P23" i="82"/>
  <c r="P40" i="82" s="1"/>
  <c r="G30" i="69"/>
  <c r="P30" i="69"/>
  <c r="I45" i="69"/>
  <c r="R164" i="69"/>
  <c r="H173" i="69"/>
  <c r="Q173" i="69"/>
  <c r="I164" i="69"/>
  <c r="O171" i="69"/>
  <c r="F171" i="69"/>
  <c r="G7" i="13" s="1"/>
  <c r="H125" i="69"/>
  <c r="Q125" i="69"/>
  <c r="H96" i="69"/>
  <c r="Q96" i="69"/>
  <c r="H57" i="69"/>
  <c r="Q57" i="69"/>
  <c r="D81" i="69"/>
  <c r="D80" i="69"/>
  <c r="D57" i="69"/>
  <c r="G52" i="69"/>
  <c r="F52" i="69"/>
  <c r="E52" i="69"/>
  <c r="D52" i="69"/>
  <c r="F25" i="69"/>
  <c r="E25" i="69"/>
  <c r="D25" i="69"/>
  <c r="F20" i="69"/>
  <c r="E20" i="69"/>
  <c r="D20" i="69"/>
  <c r="H15" i="69"/>
  <c r="I69" i="69"/>
  <c r="M30" i="69" l="1"/>
  <c r="O30" i="69"/>
  <c r="F30" i="69"/>
  <c r="E30" i="69"/>
  <c r="N30" i="69"/>
  <c r="D30" i="69"/>
  <c r="G38" i="70"/>
  <c r="F38" i="70"/>
  <c r="E38" i="70"/>
  <c r="I43" i="69"/>
  <c r="I111" i="69"/>
  <c r="I113" i="69"/>
  <c r="I71" i="69"/>
  <c r="D58" i="69"/>
  <c r="E57" i="69" l="1"/>
  <c r="F57" i="69"/>
  <c r="G150" i="69" s="1"/>
  <c r="G164" i="69" s="1"/>
  <c r="O57" i="69"/>
  <c r="P150" i="69" s="1"/>
  <c r="P164" i="69" s="1"/>
  <c r="G57" i="69"/>
  <c r="H150" i="69" s="1"/>
  <c r="H164" i="69" s="1"/>
  <c r="P57" i="69"/>
  <c r="Q150" i="69" s="1"/>
  <c r="Q164" i="69" s="1"/>
  <c r="N57" i="69"/>
  <c r="O150" i="69" s="1"/>
  <c r="O164" i="69" s="1"/>
  <c r="E120" i="69"/>
  <c r="E124" i="76"/>
  <c r="F120" i="69"/>
  <c r="F124" i="76"/>
  <c r="G120" i="69"/>
  <c r="G124" i="76"/>
  <c r="R129" i="76" l="1"/>
  <c r="G129" i="76"/>
  <c r="G125" i="69"/>
  <c r="H154" i="69" s="1"/>
  <c r="H168" i="69" s="1"/>
  <c r="Q129" i="76"/>
  <c r="F129" i="76"/>
  <c r="F125" i="69"/>
  <c r="G154" i="69" s="1"/>
  <c r="G168" i="69" s="1"/>
  <c r="E129" i="76"/>
  <c r="P129" i="76"/>
  <c r="E125" i="69"/>
  <c r="F154" i="69" s="1"/>
  <c r="F168" i="69" s="1"/>
  <c r="F150" i="69"/>
  <c r="F164" i="69" s="1"/>
  <c r="O149" i="76" l="1"/>
  <c r="D149" i="76"/>
  <c r="E149" i="76"/>
  <c r="P149" i="76"/>
  <c r="F149" i="76"/>
  <c r="Q149" i="76"/>
  <c r="G27" i="82"/>
  <c r="F27" i="82"/>
  <c r="E27" i="82"/>
  <c r="O25" i="81"/>
  <c r="N27" i="82"/>
  <c r="Q25" i="81"/>
  <c r="P27" i="82"/>
  <c r="P25" i="81"/>
  <c r="O27" i="82"/>
  <c r="E25" i="81"/>
  <c r="F25" i="81"/>
  <c r="G25" i="81"/>
  <c r="E31" i="79"/>
  <c r="D31" i="79"/>
  <c r="E30" i="79"/>
  <c r="E28" i="79"/>
  <c r="D28" i="79"/>
  <c r="E29" i="79"/>
  <c r="E32" i="79"/>
  <c r="D32" i="79"/>
  <c r="R174" i="76" l="1"/>
  <c r="R176" i="76"/>
  <c r="Q24" i="81" s="1"/>
  <c r="R175" i="76"/>
  <c r="Q175" i="76"/>
  <c r="Q174" i="76"/>
  <c r="Q176" i="76"/>
  <c r="P24" i="81" s="1"/>
  <c r="E176" i="76"/>
  <c r="E24" i="81" s="1"/>
  <c r="E175" i="76"/>
  <c r="E174" i="76"/>
  <c r="P175" i="76"/>
  <c r="P174" i="76"/>
  <c r="P176" i="76"/>
  <c r="O24" i="81" s="1"/>
  <c r="G176" i="76"/>
  <c r="G24" i="81" s="1"/>
  <c r="G174" i="76"/>
  <c r="G175" i="76"/>
  <c r="F176" i="76"/>
  <c r="F24" i="81" s="1"/>
  <c r="F174" i="76"/>
  <c r="F175" i="76"/>
  <c r="D29" i="79"/>
  <c r="D32" i="70" s="1"/>
  <c r="N87" i="69" s="1"/>
  <c r="D30" i="79"/>
  <c r="D33" i="70" s="1"/>
  <c r="N88" i="69" s="1"/>
  <c r="O88" i="69" s="1"/>
  <c r="D38" i="70"/>
  <c r="O87" i="69" l="1"/>
  <c r="N98" i="69"/>
  <c r="O98" i="69"/>
  <c r="P98" i="69"/>
  <c r="G25" i="82"/>
  <c r="F25" i="82"/>
  <c r="E25" i="82"/>
  <c r="P84" i="81"/>
  <c r="P108" i="81"/>
  <c r="P58" i="81"/>
  <c r="G108" i="8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G58" i="81" s="1"/>
  <c r="D22" i="81"/>
  <c r="D48" i="81"/>
  <c r="D40" i="81"/>
  <c r="E40" i="81" s="1"/>
  <c r="D34" i="81"/>
  <c r="E34" i="81" s="1"/>
  <c r="D25" i="81"/>
  <c r="D51" i="81"/>
  <c r="D43" i="81"/>
  <c r="E43" i="81" s="1"/>
  <c r="G23" i="81"/>
  <c r="F23" i="81"/>
  <c r="E23" i="81"/>
  <c r="O208" i="76"/>
  <c r="O175" i="76"/>
  <c r="N152" i="69"/>
  <c r="D197" i="76"/>
  <c r="E197" i="76" s="1"/>
  <c r="Q208" i="76" s="1"/>
  <c r="M97" i="69"/>
  <c r="P97" i="69" s="1"/>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R113" i="69" s="1"/>
  <c r="D125" i="69"/>
  <c r="D120" i="69"/>
  <c r="N154" i="69"/>
  <c r="D198" i="76"/>
  <c r="E198" i="76" s="1"/>
  <c r="O129" i="76"/>
  <c r="D210" i="76"/>
  <c r="N168" i="69"/>
  <c r="D129" i="76"/>
  <c r="D124" i="76"/>
  <c r="E168" i="69"/>
  <c r="E154" i="69"/>
  <c r="N97" i="69" l="1"/>
  <c r="F108" i="81"/>
  <c r="O97" i="69"/>
  <c r="F58" i="81"/>
  <c r="Q84" i="81"/>
  <c r="F84" i="81"/>
  <c r="Q58" i="81"/>
  <c r="F98" i="69"/>
  <c r="G98" i="69"/>
  <c r="E98" i="69"/>
  <c r="Q108" i="81"/>
  <c r="O108" i="81"/>
  <c r="E84" i="81"/>
  <c r="E108" i="81"/>
  <c r="O96" i="69"/>
  <c r="N96" i="69"/>
  <c r="P96" i="69"/>
  <c r="E58" i="81"/>
  <c r="G84" i="81"/>
  <c r="O58" i="81"/>
  <c r="O84" i="81"/>
  <c r="O125" i="69"/>
  <c r="P125" i="69"/>
  <c r="N125" i="69"/>
  <c r="G41" i="82"/>
  <c r="N42" i="82"/>
  <c r="O41" i="82"/>
  <c r="E41" i="82"/>
  <c r="P41" i="82"/>
  <c r="N41" i="82"/>
  <c r="E42" i="82"/>
  <c r="F44" i="82"/>
  <c r="N44" i="82"/>
  <c r="E44" i="82"/>
  <c r="G44" i="82"/>
  <c r="O44" i="82"/>
  <c r="P44" i="82"/>
  <c r="O42" i="82"/>
  <c r="P42" i="82"/>
  <c r="F41" i="82"/>
  <c r="F42" i="82"/>
  <c r="G42" i="82"/>
  <c r="P208" i="76"/>
  <c r="R208" i="76"/>
  <c r="P210" i="76"/>
  <c r="Q210" i="76"/>
  <c r="E210" i="76"/>
  <c r="F210" i="76"/>
  <c r="R210" i="76"/>
  <c r="G210" i="76"/>
  <c r="G208" i="76"/>
  <c r="F208" i="76"/>
  <c r="E208" i="76"/>
  <c r="G109" i="81"/>
  <c r="E59" i="81"/>
  <c r="Q109" i="81"/>
  <c r="F59" i="81"/>
  <c r="F109" i="81"/>
  <c r="Q85" i="81"/>
  <c r="Q59" i="81"/>
  <c r="G59" i="81"/>
  <c r="F85" i="81"/>
  <c r="G85" i="81"/>
  <c r="E85" i="81"/>
  <c r="P109" i="81"/>
  <c r="P59" i="81"/>
  <c r="O109" i="81"/>
  <c r="O85" i="81"/>
  <c r="E109" i="81"/>
  <c r="P85" i="81"/>
  <c r="O59" i="81"/>
  <c r="F97" i="69"/>
  <c r="G152" i="69" s="1"/>
  <c r="G166" i="69" s="1"/>
  <c r="E97" i="69"/>
  <c r="F152" i="69" s="1"/>
  <c r="F166" i="69" s="1"/>
  <c r="G97" i="69"/>
  <c r="H152" i="69" s="1"/>
  <c r="H166" i="69" s="1"/>
  <c r="F83" i="81"/>
  <c r="F107" i="81"/>
  <c r="F57" i="81"/>
  <c r="O57" i="81"/>
  <c r="O83" i="81"/>
  <c r="O107" i="81"/>
  <c r="E107" i="81"/>
  <c r="E83" i="81"/>
  <c r="E57" i="81"/>
  <c r="G83" i="81"/>
  <c r="G107" i="81"/>
  <c r="G57" i="81"/>
  <c r="Q83" i="81"/>
  <c r="Q107" i="81"/>
  <c r="Q57" i="81"/>
  <c r="P83" i="81"/>
  <c r="P107" i="81"/>
  <c r="P57" i="81"/>
  <c r="F87" i="69" a="1"/>
  <c r="F87" i="69" s="1"/>
  <c r="Q152" i="69"/>
  <c r="Q166" i="69" s="1"/>
  <c r="P152" i="69"/>
  <c r="P166" i="69" s="1"/>
  <c r="O152" i="69"/>
  <c r="O166" i="69" s="1"/>
  <c r="O154" i="69"/>
  <c r="O168" i="69" s="1"/>
  <c r="P154" i="69"/>
  <c r="P168" i="69" s="1"/>
  <c r="Q154" i="69"/>
  <c r="Q168" i="69" s="1"/>
  <c r="P151" i="69"/>
  <c r="P165" i="69" s="1"/>
  <c r="O151" i="69"/>
  <c r="O165" i="69" s="1"/>
  <c r="Q151" i="69"/>
  <c r="Q165" i="69" s="1"/>
  <c r="E31" i="81"/>
  <c r="G106" i="81" s="1"/>
  <c r="E196" i="76"/>
  <c r="Q106" i="81" l="1"/>
  <c r="G82" i="81"/>
  <c r="Q56" i="81"/>
  <c r="Q82" i="81"/>
  <c r="E56" i="81"/>
  <c r="E106" i="81"/>
  <c r="P82" i="81"/>
  <c r="O56" i="81"/>
  <c r="F82" i="81"/>
  <c r="F56" i="81"/>
  <c r="R207" i="76"/>
  <c r="Q207" i="76"/>
  <c r="F207" i="76"/>
  <c r="G207" i="76"/>
  <c r="E207" i="76"/>
  <c r="P207" i="76"/>
  <c r="E82" i="81"/>
  <c r="O106" i="81"/>
  <c r="O82" i="81"/>
  <c r="P56" i="81"/>
  <c r="G56" i="81"/>
  <c r="F106" i="81"/>
  <c r="P106" i="81"/>
  <c r="G96" i="69"/>
  <c r="H151" i="69" s="1"/>
  <c r="H165" i="69" s="1"/>
  <c r="E96" i="69"/>
  <c r="F151" i="69" s="1"/>
  <c r="F165" i="69" s="1"/>
  <c r="F96" i="69"/>
  <c r="G151" i="69" s="1"/>
  <c r="G165" i="69" s="1"/>
  <c r="G153" i="69"/>
  <c r="G167" i="69" s="1"/>
  <c r="H153" i="69"/>
  <c r="H167" i="69" s="1"/>
  <c r="F153" i="69"/>
  <c r="F167" i="69" s="1"/>
  <c r="O153" i="69"/>
  <c r="O167" i="69" s="1"/>
  <c r="Q153" i="69"/>
  <c r="Q167" i="69" s="1"/>
  <c r="P153" i="69"/>
  <c r="P167" i="69" s="1"/>
  <c r="N46" i="82"/>
  <c r="R58" i="82" s="1"/>
  <c r="N65" i="82" s="1"/>
  <c r="E46" i="82"/>
  <c r="I58" i="82" s="1"/>
  <c r="E65" i="82" s="1"/>
  <c r="E29" i="15"/>
  <c r="N171" i="69" l="1"/>
  <c r="P173" i="69" s="1"/>
  <c r="N176" i="69" s="1" a="1"/>
  <c r="N176" i="69" s="1"/>
  <c r="I7" i="13" s="1"/>
  <c r="E171" i="69"/>
  <c r="G173" i="69" s="1"/>
  <c r="E176" i="69" s="1" a="1"/>
  <c r="E176" i="69" s="1"/>
  <c r="H7" i="13" s="1"/>
  <c r="E61" i="81"/>
  <c r="E16" i="13" s="1"/>
  <c r="O61" i="81"/>
  <c r="O111" i="81"/>
  <c r="E111" i="81"/>
  <c r="E17" i="13" s="1"/>
  <c r="E87" i="81"/>
  <c r="E18" i="13" s="1"/>
  <c r="O87" i="8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<sst xmlns="http://schemas.openxmlformats.org/spreadsheetml/2006/main" count="1716" uniqueCount="748">
  <si>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</si>
  <si>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</si>
  <si>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</si>
  <si>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</si>
  <si>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</si>
  <si>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</si>
  <si>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</si>
  <si>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</si>
  <si>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</si>
  <si>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</si>
  <si>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</si>
  <si>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</si>
  <si>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</si>
  <si>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</si>
  <si>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</si>
  <si>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</si>
  <si>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</si>
  <si>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</si>
  <si>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</si>
  <si>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</si>
  <si>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</si>
  <si>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</si>
  <si>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</si>
  <si>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</si>
  <si>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</si>
  <si>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</si>
  <si>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</si>
  <si>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</si>
  <si>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</si>
  <si>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</si>
  <si>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</si>
  <si>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</si>
  <si>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</si>
  <si>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</si>
  <si>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</si>
  <si>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</si>
  <si>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</si>
  <si>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</si>
  <si>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</si>
  <si>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</si>
  <si>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</si>
  <si>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</si>
  <si>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</si>
  <si>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</si>
  <si>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</si>
  <si>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</si>
  <si>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</si>
  <si>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</si>
  <si>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</si>
  <si>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</si>
  <si>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</si>
  <si>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</si>
  <si>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</si>
  <si>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</si>
  <si>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</si>
  <si>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</si>
  <si>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</si>
  <si>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</si>
  <si>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</si>
  <si>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</si>
  <si>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</si>
  <si>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</si>
  <si>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</si>
  <si>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</si>
  <si>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</si>
  <si>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</si>
  <si>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</si>
  <si>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</si>
  <si>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</si>
  <si>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</si>
  <si>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</si>
  <si>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</si>
  <si>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</si>
  <si>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</si>
  <si>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</si>
  <si>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</si>
  <si>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</si>
  <si>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</si>
  <si>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</si>
  <si>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</si>
  <si>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</si>
  <si>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</si>
  <si>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</si>
  <si>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</si>
  <si>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</si>
  <si>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</si>
  <si>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</si>
  <si>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</si>
  <si>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</si>
  <si>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</si>
  <si>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</si>
  <si>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</si>
  <si>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</si>
  <si>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</si>
  <si>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</si>
  <si>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</si>
  <si>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</si>
  <si>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</si>
  <si>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</si>
  <si>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Table_MCF_i_m</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</si>
  <si>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</si>
  <si>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</si>
  <si>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</si>
  <si>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</si>
  <si>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</si>
  <si>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</si>
  <si>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</si>
  <si>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</si>
  <si>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</si>
  <si>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</si>
  <si>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</si>
  <si>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</si>
  <si>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</si>
  <si>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</si>
  <si>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</si>
  <si>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Methane conversion factor for state and MMS</t>
  </si>
  <si>
    <t>New South Wales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</si>
  <si>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</si>
  <si>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</si>
  <si>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</si>
  <si>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</si>
  <si>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</si>
  <si>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</si>
  <si>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</si>
  <si>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</si>
  <si>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</si>
  <si>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</si>
  <si>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</si>
  <si>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</si>
  <si>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</si>
  <si>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</si>
  <si>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</si>
  <si>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</si>
  <si>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</si>
  <si>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</si>
  <si>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</si>
  <si>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</si>
  <si>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</si>
  <si>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</si>
  <si>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</si>
  <si>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</si>
  <si>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</si>
  <si>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</si>
  <si>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</si>
  <si>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</si>
  <si>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</si>
  <si>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</si>
  <si>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</si>
  <si>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</si>
  <si>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</si>
  <si>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</si>
  <si>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</si>
  <si>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</si>
  <si>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</si>
  <si>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</si>
  <si>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</si>
  <si>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</si>
  <si>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</si>
  <si>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</si>
  <si>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</si>
  <si>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</si>
  <si>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</si>
  <si>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</si>
  <si>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</si>
  <si>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</si>
  <si>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</si>
  <si>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</si>
  <si>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</si>
  <si>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</si>
  <si>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</si>
  <si>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</si>
  <si>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</si>
  <si>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</si>
  <si>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</si>
  <si>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</si>
  <si>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</si>
  <si>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</si>
  <si>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</si>
  <si>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</si>
  <si>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</si>
  <si>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</si>
  <si>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</si>
  <si>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</si>
  <si>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</si>
  <si>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</si>
  <si>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</si>
  <si>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</si>
  <si>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</si>
  <si>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</si>
  <si>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</si>
  <si>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</si>
  <si>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</si>
  <si>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</si>
  <si>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</si>
  <si>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</si>
  <si>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</si>
  <si>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</si>
  <si>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</si>
  <si>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</si>
  <si>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</si>
  <si>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</si>
  <si>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</si>
  <si>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</si>
  <si>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</si>
  <si>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</si>
  <si>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</si>
  <si>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</si>
  <si>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</si>
  <si>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</si>
  <si>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</si>
  <si>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</si>
  <si>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</si>
  <si>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</si>
  <si>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</si>
  <si>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</si>
  <si>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</si>
  <si>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</si>
  <si>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</si>
  <si>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</si>
  <si>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</si>
  <si>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</si>
  <si>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</si>
  <si>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</si>
  <si>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</si>
  <si>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</si>
  <si>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</si>
  <si>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</si>
  <si>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</si>
  <si>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</si>
  <si>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</si>
  <si>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</si>
  <si>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</si>
  <si>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</si>
  <si>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</si>
  <si>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</si>
  <si>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</si>
  <si>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</si>
  <si>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</si>
  <si>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</si>
  <si>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</si>
  <si>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</si>
  <si>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</si>
  <si>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</si>
  <si>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</si>
  <si>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</si>
  <si>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</si>
  <si>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</si>
  <si>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</si>
  <si>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</si>
  <si>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</si>
  <si>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</si>
  <si>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</si>
  <si>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</si>
  <si>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</si>
  <si>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</si>
  <si>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</si>
  <si>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</si>
  <si>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</si>
  <si>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</si>
  <si>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</si>
  <si>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</si>
  <si>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</si>
  <si>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</si>
  <si>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</si>
  <si>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</si>
  <si>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</si>
  <si>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</si>
  <si>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</si>
  <si>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</si>
  <si>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</si>
  <si>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</si>
  <si>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</si>
  <si>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</si>
  <si>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</si>
  <si>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</si>
  <si>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</si>
  <si>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</si>
  <si>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</si>
  <si>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</si>
  <si>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</si>
  <si>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</si>
  <si>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</si>
  <si>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</si>
  <si>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</si>
  <si>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</si>
  <si>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</si>
  <si>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</si>
  <si>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</si>
  <si>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</si>
  <si>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</si>
  <si>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</si>
  <si>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</si>
  <si>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</si>
  <si>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</si>
  <si>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</si>
  <si>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</si>
  <si>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</si>
  <si>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</si>
  <si>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</si>
  <si>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</si>
  <si>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</si>
  <si>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</si>
  <si>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</si>
  <si>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</si>
  <si>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</si>
  <si>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</si>
  <si>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</si>
  <si>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</si>
  <si>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</si>
  <si>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</si>
  <si>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</si>
  <si>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</si>
  <si>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</si>
  <si>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</si>
  <si>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</si>
  <si>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</si>
  <si>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</si>
  <si>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</si>
  <si>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</si>
  <si>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</si>
  <si>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</si>
  <si>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</si>
  <si>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</si>
  <si>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</si>
  <si>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</si>
  <si>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</si>
  <si>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</si>
  <si>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</si>
  <si>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</si>
  <si>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</si>
  <si>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</si>
  <si>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</si>
  <si>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</si>
  <si>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</si>
  <si>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</si>
  <si>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</si>
  <si>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</si>
  <si>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</si>
  <si>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</si>
  <si>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</si>
  <si>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</si>
  <si>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</si>
  <si>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</si>
  <si>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</si>
  <si>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</si>
  <si>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</si>
  <si>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</si>
  <si>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</si>
  <si>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</si>
  <si>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</si>
  <si>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t>Do method 2 MCF</t>
  </si>
  <si>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</si>
  <si>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</si>
  <si>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</si>
  <si>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</si>
  <si>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</si>
  <si>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</si>
  <si>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</si>
  <si>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Volatile solid production</t>
  </si>
  <si>
    <t>VEERG 2026: 4.1.1.1, Equation (5)</t>
  </si>
  <si>
    <t>VS_j</t>
  </si>
  <si>
    <t>kg/head/day</t>
  </si>
  <si>
    <t>Production of methane in treatment stage 1 MMS</t>
  </si>
  <si>
    <t>VEERG 2026: 4.1.1.1, Equation (2)</t>
  </si>
  <si>
    <t>M_jm5T1</t>
  </si>
  <si>
    <t>kg CH4/head/day</t>
  </si>
  <si>
    <t>volatile solid production from feedlot cattle in each group</t>
  </si>
  <si>
    <t>BO</t>
  </si>
  <si>
    <t>emissions potential</t>
  </si>
  <si>
    <t>MMS_m5T1</t>
  </si>
  <si>
    <t>fraction of manure in primary system drylot MMS</t>
  </si>
  <si>
    <t>MCF_im5</t>
  </si>
  <si>
    <t>methane conversion factor for state and drylot system</t>
  </si>
  <si>
    <t>rho</t>
  </si>
  <si>
    <t>density of methane</t>
  </si>
  <si>
    <t>i</t>
  </si>
  <si>
    <t>state</t>
  </si>
  <si>
    <t>Calculated from 4.1.1.1 (5)</t>
  </si>
  <si>
    <t>m3 CH4/kg VS</t>
  </si>
  <si>
    <t>Constant</t>
  </si>
  <si>
    <t>Input</t>
  </si>
  <si>
    <t>kg/m3</t>
  </si>
  <si>
    <t>Production of methane in treatment stage 2 MMS</t>
  </si>
  <si>
    <t>VEERG 2026: 4.1.1.1, Equation (3)</t>
  </si>
  <si>
    <t>M_jmT2</t>
  </si>
  <si>
    <t>VSL</t>
  </si>
  <si>
    <t>fraction of volatile solids lost during storage in the primary system</t>
  </si>
  <si>
    <t>MMS_mT2</t>
  </si>
  <si>
    <t>fraction of manure in each secondary system</t>
  </si>
  <si>
    <t>MCF_im</t>
  </si>
  <si>
    <t>methane conversion factor for state and MMS</t>
  </si>
  <si>
    <t>methane conversion factor for mean annual temperature and MMS</t>
  </si>
  <si>
    <t>Mean annual temperature</t>
  </si>
  <si>
    <t>Production of methane in treatment stage 3 MMS</t>
  </si>
  <si>
    <t>VEERG 2026: 4.1.1.1, Equation (4)</t>
  </si>
  <si>
    <t>M_jm1T3</t>
  </si>
  <si>
    <t>volatile solid production from feedlot cattle in each group j</t>
  </si>
  <si>
    <t>MMS_m1T3</t>
  </si>
  <si>
    <t>fraction of manure to tertiary anaerobic lagoon system</t>
  </si>
  <si>
    <t>MCF_im1</t>
  </si>
  <si>
    <t>methane conversion factor for state and anaerobic lagoon system</t>
  </si>
  <si>
    <t>methane conversion factor for mean annual temperature and anaerobic lagoon system</t>
  </si>
  <si>
    <t>Total annual methane emissions from manure management</t>
  </si>
  <si>
    <t>VEERG 2026: 4.1.1.1, Equation (1)</t>
  </si>
  <si>
    <t>E_CH4</t>
  </si>
  <si>
    <t>t CH4</t>
  </si>
  <si>
    <t>D_j</t>
  </si>
  <si>
    <t>length of stay of each cattle group</t>
  </si>
  <si>
    <t>M_jmT</t>
  </si>
  <si>
    <t>methane production from manure per cattle group, MMS, and treatment stage</t>
  </si>
  <si>
    <t>N_j</t>
  </si>
  <si>
    <t>numbers of beef cattle in each group</t>
  </si>
  <si>
    <t>Calculated from 4.1.1.1 (2)(3)(4)</t>
  </si>
  <si>
    <t>Nitrogen intake of feedlot cattle</t>
  </si>
  <si>
    <t>VEERG 2026: 4.1.1.3, Equation (5)</t>
  </si>
  <si>
    <t>NI_j</t>
  </si>
  <si>
    <t>kg N/head/day</t>
  </si>
  <si>
    <t>I_j</t>
  </si>
  <si>
    <t>dry matter intake</t>
  </si>
  <si>
    <t>CP_j</t>
  </si>
  <si>
    <t>crude protein content of feed</t>
  </si>
  <si>
    <t>factor for converting crude protein into nitrogen</t>
  </si>
  <si>
    <t>ratio</t>
  </si>
  <si>
    <t>Nitrogen excretion per head per day</t>
  </si>
  <si>
    <t>VEERG 2026: 4.1.1.3, Equation (4)</t>
  </si>
  <si>
    <t>NE_j</t>
  </si>
  <si>
    <t>nitrogen intake</t>
  </si>
  <si>
    <t>NR_j</t>
  </si>
  <si>
    <t>nitrogen retention expressed as a fraction of intake</t>
  </si>
  <si>
    <t>Calculated from 4.1.1.3 (5)</t>
  </si>
  <si>
    <t>Annual nitrogen excretion from each feedlot cattle group</t>
  </si>
  <si>
    <t>VEERG 2026: 4.1.1.3, Equation (3)</t>
  </si>
  <si>
    <t>AE_j</t>
  </si>
  <si>
    <t>Nitrogen in treatment stage 1 MMS</t>
  </si>
  <si>
    <t>VEERG 2026: 4.1.1.3, Equation (2)</t>
  </si>
  <si>
    <t>MN_jm5T1</t>
  </si>
  <si>
    <t>total nitrogen excreted by each cattle group</t>
  </si>
  <si>
    <t>MMS_jm5T1</t>
  </si>
  <si>
    <t>Calculated from 4.1.1.3 (3)</t>
  </si>
  <si>
    <t>Nitrogen in treatment stage 3 MMS</t>
  </si>
  <si>
    <t>VEERG 2026: 4.1.1.3, Equation (8)</t>
  </si>
  <si>
    <t>MN_jm1T3</t>
  </si>
  <si>
    <t>MMS_jm1T3</t>
  </si>
  <si>
    <t>Nitrogen transferred to treatment stage 2 MMS</t>
  </si>
  <si>
    <t>VEERG 2026: 4.1.1.3, Equation (7)</t>
  </si>
  <si>
    <t>NT_jmT2</t>
  </si>
  <si>
    <t>nitrogen in MMS treatment stage 1</t>
  </si>
  <si>
    <t>FracGASM_m5</t>
  </si>
  <si>
    <t>fraction of N volatilised from drylot MMS</t>
  </si>
  <si>
    <t>EF_m5</t>
  </si>
  <si>
    <t>nitrous oxide emission factor for drylot MMS</t>
  </si>
  <si>
    <t>MN_jmT3</t>
  </si>
  <si>
    <t>nitrogen in MMS treatment stage 3</t>
  </si>
  <si>
    <t>Calculated from 4.1.1.3 (2)</t>
  </si>
  <si>
    <t>kg N2O-N/kg N deposited</t>
  </si>
  <si>
    <t>Calculated from 4.1.1.3 (8)</t>
  </si>
  <si>
    <t>Nitrogen in treatment stage 2 MMS</t>
  </si>
  <si>
    <t>VEERG 2026: 4.1.1.3, Equation (6)</t>
  </si>
  <si>
    <t>MN_jmT2</t>
  </si>
  <si>
    <t>nitrogen transferred to secondary treatment MMS</t>
  </si>
  <si>
    <t>MMS_jmT2</t>
  </si>
  <si>
    <t>Calculated from 4.1.1.3 (7)</t>
  </si>
  <si>
    <t>Total annual direct nitrous oxide emissions from manure management systems</t>
  </si>
  <si>
    <t>VEERG 2026: 4.1.1.3, Equation (1)</t>
  </si>
  <si>
    <t>E_N2Odir</t>
  </si>
  <si>
    <t>t N2O</t>
  </si>
  <si>
    <t>MN_jmT</t>
  </si>
  <si>
    <t>nitrogen per cattle group, MMS and treatment stage</t>
  </si>
  <si>
    <t>EF_jm</t>
  </si>
  <si>
    <t>nitrous oxide emission factor for MMS</t>
  </si>
  <si>
    <t>C_N2O</t>
  </si>
  <si>
    <t>factor to convert elemental mass of nitrous oxide to molecular mass</t>
  </si>
  <si>
    <t>Calculated from 4.1.1.3 (2)(6)(8)</t>
  </si>
  <si>
    <t>kg N2O-N/kg N</t>
  </si>
  <si>
    <t>Volatilised nitrogen from manure management</t>
  </si>
  <si>
    <t>VEERG 2026: 4.1.1.5, Equation (2)</t>
  </si>
  <si>
    <t>MMS_ATMOS</t>
  </si>
  <si>
    <t>nitrogen in each treatment stage MMS (excluding MN_ijm13T2)</t>
  </si>
  <si>
    <t>FracGASM_mT</t>
  </si>
  <si>
    <t>fraction of N volatilised in each MMS</t>
  </si>
  <si>
    <t>Total annual atmospheric deposition emissions from manure management</t>
  </si>
  <si>
    <t>VEERG 2026: 4.1.1.5, Equation (1)</t>
  </si>
  <si>
    <t>E_N2Oad</t>
  </si>
  <si>
    <t>mass of N volatilised from MMS</t>
  </si>
  <si>
    <t>EF_N2O</t>
  </si>
  <si>
    <t>nitrous oxide emission factor for atmospheric deposition</t>
  </si>
  <si>
    <t>j</t>
  </si>
  <si>
    <t>production system</t>
  </si>
  <si>
    <t>irrigation method</t>
  </si>
  <si>
    <t>r</t>
  </si>
  <si>
    <t>rainfall zone</t>
  </si>
  <si>
    <t>Calculated from 4.1.1.5 (2)</t>
  </si>
  <si>
    <t>Mass of nitrogen applied to soils for scope 1 emissions</t>
  </si>
  <si>
    <t>VEERG 2026: 4.1.1.9, Equation (1)</t>
  </si>
  <si>
    <t>MNSoil_scope1</t>
  </si>
  <si>
    <t>MN_jmT23</t>
  </si>
  <si>
    <t>mass of N in secondary and tertiary treatment MMS stages as calculated for manure management</t>
  </si>
  <si>
    <t>EF_mT23</t>
  </si>
  <si>
    <t>nitrous oxide emission factor for each MMS</t>
  </si>
  <si>
    <t>FracGASM_mT23</t>
  </si>
  <si>
    <t>fraction of animal waste N volatilised in each MMS for each cattle group</t>
  </si>
  <si>
    <t>fraction of manure applied to soil within the feedlot boundary</t>
  </si>
  <si>
    <t>Calculated from 4.1.1.3 (6)(8)</t>
  </si>
  <si>
    <t>Mass of nitrogen applied to soils for scope 3 emissions</t>
  </si>
  <si>
    <t>VEERG 2026: 4.1.1.9, Equation (2)</t>
  </si>
  <si>
    <t>MNSoil_scope3</t>
  </si>
  <si>
    <t>Feedlot - Fraction of volatile solids lost during storage in the primary system</t>
  </si>
  <si>
    <t>VEERG 2026: 4.1.2.3 CONSTANTS</t>
  </si>
  <si>
    <t>Fraction</t>
  </si>
  <si>
    <t>Fraction of volatile solids to each tertiary system assumed that 2 per cent is run - off from the feed pad.</t>
  </si>
  <si>
    <t>MMSm1T3</t>
  </si>
  <si>
    <t>Ash content of manure.</t>
  </si>
  <si>
    <t>A</t>
  </si>
  <si>
    <t>Methane emissions potential.</t>
  </si>
  <si>
    <t>B0</t>
  </si>
  <si>
    <t>m3 CH4 / kg VS</t>
  </si>
  <si>
    <t>Beef feedlot cattle - Duration of stay (days)</t>
  </si>
  <si>
    <t>VEERG 2026: Table A.1.1.1: Beef feedlot cattle - Duration of stay (days)</t>
  </si>
  <si>
    <t>1-80 days</t>
  </si>
  <si>
    <t>81-200 days</t>
  </si>
  <si>
    <t>201+ days</t>
  </si>
  <si>
    <t>Beef feedlot cattle - Animal characteristics</t>
  </si>
  <si>
    <t>VEERG 2026: Table A.1.1.2: Beef feedlot cattle - Animal characteristics</t>
  </si>
  <si>
    <t>VARIATION ON SOURCE:</t>
  </si>
  <si>
    <t>Moved feedlot types to a separate column to aid lookup.</t>
  </si>
  <si>
    <t>Named 'characteristic' column - original has header 'Unit' which covers two columns)</t>
  </si>
  <si>
    <t>Days on feed</t>
  </si>
  <si>
    <t>kg DM/day</t>
  </si>
  <si>
    <t>per cent of intake</t>
  </si>
  <si>
    <t>Beef feedlot cattle - Diet properties</t>
  </si>
  <si>
    <t>VEERG 2026: Table A.1.1.3: Beef feedlot cattle - Diet properties</t>
  </si>
  <si>
    <t>Added 'Converted to fraction column and converted NDF and Ether extract values to fractions.</t>
  </si>
  <si>
    <t>NDF</t>
  </si>
  <si>
    <t>per cent</t>
  </si>
  <si>
    <t>Ether Extract</t>
  </si>
  <si>
    <t>Long-Fed</t>
  </si>
  <si>
    <t>Feedlot - MCFs</t>
  </si>
  <si>
    <t>VEERG 2026: Table A.1.1.4: Beef feedlot cattle - MCFs (fraction) (MCFimT)</t>
  </si>
  <si>
    <t>Duplicated NSW values for ACT</t>
  </si>
  <si>
    <t>Added NT column that duplicates QLD values as per advice from source data provider.</t>
  </si>
  <si>
    <t>Added TAS column that duplicates VIC values as per advice from source data provider.</t>
  </si>
  <si>
    <t>Primary</t>
  </si>
  <si>
    <t>Dry lot (Feedpad)</t>
  </si>
  <si>
    <t>Secondary</t>
  </si>
  <si>
    <t>Solid Storage (Stockpile)</t>
  </si>
  <si>
    <t>Composting (Passive Windrow)</t>
  </si>
  <si>
    <t>Direct Application to soil</t>
  </si>
  <si>
    <t>Tertiary</t>
  </si>
  <si>
    <t>Uncovered anaerobic lagoon (Effluent pond)</t>
  </si>
  <si>
    <t>Feedlot - Nitrous oxide EFs</t>
  </si>
  <si>
    <t>VEERG 2026: Table A.1.1.5: Beef feedlot cattle - Nitrous oxide EFs (EFmT)</t>
  </si>
  <si>
    <t>Added 'NIR definition' column with MMS names that match NIR definitions.</t>
  </si>
  <si>
    <t>Uncovered anaerobic lagoon (Effluent Pond)</t>
  </si>
  <si>
    <t>Feedlot - Fraction of N volatilised by MMS (FracGASMmT)</t>
  </si>
  <si>
    <t>VEERG 2026: Table A.1.1.6: Beef feedlot cattle - Fraction of N volatilised by MMS (FracGASMmT)</t>
  </si>
  <si>
    <t>Australian states and territories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</si>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</sst>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5" borderId="2">
      <alignment horizontal="center" vertical="center"/>
    </xf>
    <xf numFmtId="0" fontId="65" fillId="16" borderId="2">
      <alignment horizontal="center" vertical="center"/>
    </xf>
    <xf numFmtId="0" fontId="35" fillId="4" borderId="2">
      <alignment horizontal="left" vertical="center"/>
    </xf>
    <xf numFmtId="0" fontId="68" fillId="4" borderId="2">
      <alignment horizontal="left" vertical="center"/>
    </xf>
  </cellStyleXfs>
  <cellXfs count="150">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40" fillId="14" borderId="0" xfId="8"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5" borderId="2" xfId="65">
      <alignment horizontal="center" vertical="center"/>
    </xf>
    <xf numFmtId="0" fontId="65" fillId="16"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5.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4" t="s">
        <v>355</v>
      </c>
      <c r="D1" s="145"/>
      <c r="E1" s="145"/>
      <c r="F1" s="145"/>
      <c r="G1" s="145"/>
      <c r="H1" s="145"/>
      <c r="I1" s="145"/>
      <c r="J1" s="145"/>
      <c r="K1" s="145"/>
      <c r="L1" s="145"/>
      <c r="M1" s="145"/>
      <c r="N1" s="145"/>
      <c r="O1" s="145"/>
      <c r="P1" s="145"/>
      <c r="Q1" s="145"/>
      <c r="R1" s="145"/>
      <c r="S1" s="145"/>
      <c r="T1" s="145"/>
      <c r="U1" s="145"/>
      <c r="V1" s="145"/>
      <c r="W1" s="145"/>
      <c r="X1" s="145"/>
      <c r="Y1" s="145"/>
      <c r="Z1" s="145"/>
      <c r="AA1" s="145"/>
      <c r="AB1" s="145"/>
      <c r="AC1" s="145"/>
      <c r="AD1" s="145"/>
      <c r="AE1" s="145"/>
      <c r="AF1" s="145"/>
      <c r="AG1" s="145"/>
    </row>
    <row r="2" spans="1:64" ht="20.100000000000001" customHeight="1" x14ac:dyDescent="0.25">
      <c r="A2" s="9"/>
      <c r="C2" s="145"/>
      <c r="D2" s="145"/>
      <c r="E2" s="145"/>
      <c r="F2" s="145"/>
      <c r="G2" s="145"/>
      <c r="H2" s="145"/>
      <c r="I2" s="145"/>
      <c r="J2" s="145"/>
      <c r="K2" s="145"/>
      <c r="L2" s="145"/>
      <c r="M2" s="145"/>
      <c r="N2" s="145"/>
      <c r="O2" s="145"/>
      <c r="P2" s="145"/>
      <c r="Q2" s="145"/>
      <c r="R2" s="145"/>
      <c r="S2" s="145"/>
      <c r="T2" s="145"/>
      <c r="U2" s="145"/>
      <c r="V2" s="145"/>
      <c r="W2" s="145"/>
      <c r="X2" s="145"/>
      <c r="Y2" s="145"/>
      <c r="Z2" s="145"/>
      <c r="AA2" s="145"/>
      <c r="AB2" s="145"/>
      <c r="AC2" s="145"/>
      <c r="AD2" s="145"/>
      <c r="AE2" s="145"/>
      <c r="AF2" s="145"/>
      <c r="AG2" s="145"/>
    </row>
    <row r="3" spans="1:64" ht="20.100000000000001" customHeight="1" x14ac:dyDescent="0.25">
      <c r="A3" s="17" t="str">
        <f>HYPERLINK("#'Home'!A1", "Home")</f>
        <v>Home</v>
      </c>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146"/>
      <c r="AH3" s="146"/>
      <c r="AI3" s="146"/>
      <c r="AJ3" s="146"/>
      <c r="AK3" s="146"/>
      <c r="AL3" s="146"/>
      <c r="AM3" s="146"/>
      <c r="AN3" s="146"/>
      <c r="AO3" s="146"/>
      <c r="AP3" s="146"/>
      <c r="AQ3" s="146"/>
      <c r="AR3" s="146"/>
      <c r="AS3" s="146"/>
      <c r="AT3" s="146"/>
      <c r="AU3" s="146"/>
      <c r="AV3" s="146"/>
      <c r="AW3" s="146"/>
      <c r="AX3" s="146"/>
      <c r="AY3" s="146"/>
      <c r="AZ3" s="146"/>
      <c r="BA3" s="146"/>
      <c r="BB3" s="146"/>
      <c r="BC3" s="146"/>
      <c r="BD3" s="146"/>
      <c r="BE3" s="146"/>
      <c r="BF3" s="146"/>
      <c r="BG3" s="146"/>
      <c r="BH3" s="146"/>
      <c r="BI3" s="146"/>
      <c r="BJ3" s="146"/>
      <c r="BK3" s="146"/>
      <c r="BL3" s="146"/>
    </row>
    <row r="4" spans="1:64" ht="20.100000000000001" customHeight="1" x14ac:dyDescent="0.25">
      <c r="A4" s="128"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7" t="s">
        <v>353</v>
      </c>
      <c r="E5" s="147"/>
      <c r="F5" s="147"/>
      <c r="G5" s="147"/>
      <c r="H5" s="147"/>
      <c r="I5" s="117"/>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8" t="s">
        <v>354</v>
      </c>
      <c r="E6" s="149"/>
      <c r="F6" s="149"/>
      <c r="G6" s="149"/>
      <c r="H6" s="149"/>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75</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11" sqref="I1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9" t="s">
        <v>298</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8" t="str">
        <f>HYPERLINK("#'Results'!A1", "Results")</f>
        <v>Results</v>
      </c>
      <c r="C5" s="24"/>
      <c r="D5" s="28"/>
      <c r="E5" s="29"/>
      <c r="F5" s="29"/>
      <c r="G5" s="29"/>
      <c r="H5" s="26"/>
      <c r="I5" s="24"/>
      <c r="J5" s="24"/>
      <c r="K5" s="24"/>
      <c r="L5" s="24"/>
    </row>
    <row r="6" spans="1:12" ht="20.100000000000001" customHeight="1" x14ac:dyDescent="0.25">
      <c r="A6" s="16"/>
      <c r="C6" s="24"/>
      <c r="D6" s="127" t="s">
        <v>259</v>
      </c>
      <c r="E6" s="127" t="s">
        <v>313</v>
      </c>
      <c r="F6" s="127" t="s">
        <v>314</v>
      </c>
      <c r="G6" s="127" t="s">
        <v>285</v>
      </c>
      <c r="H6" s="127" t="s">
        <v>315</v>
      </c>
      <c r="I6" s="127" t="s">
        <v>317</v>
      </c>
      <c r="J6" s="127" t="s">
        <v>286</v>
      </c>
      <c r="K6" s="24"/>
      <c r="L6" s="24"/>
    </row>
    <row r="7" spans="1:12" ht="20.100000000000001" customHeight="1" x14ac:dyDescent="0.25">
      <c r="A7" s="20" t="s">
        <v>3</v>
      </c>
      <c r="C7" s="24"/>
      <c r="D7" s="1" t="s">
        <v>310</v>
      </c>
      <c r="E7" s="120">
        <f>'4.1.1.1-2 Methane'!E171</f>
        <v>2.5235017586687993</v>
      </c>
      <c r="F7" s="120">
        <f>'4.1.1.1-2 Methane'!N171</f>
        <v>2.5595517837926396</v>
      </c>
      <c r="G7" s="57" t="str">
        <f>'4.1.1.1-2 Methane'!F171</f>
        <v>t CH4</v>
      </c>
      <c r="H7" s="120">
        <f>'4.1.1.1-2 Methane'!E176</f>
        <v>70.658049242726378</v>
      </c>
      <c r="I7" s="120">
        <f>'4.1.1.1-2 Methane'!N176</f>
        <v>71.667449946193912</v>
      </c>
      <c r="J7" s="57" t="s">
        <v>316</v>
      </c>
      <c r="K7" s="24"/>
      <c r="L7" s="24"/>
    </row>
    <row r="8" spans="1:12" ht="20.100000000000001" customHeight="1" x14ac:dyDescent="0.25">
      <c r="A8" s="17" t="str">
        <f>HYPERLINK("#'Input - Site'!A1", "Site")</f>
        <v>Site</v>
      </c>
      <c r="C8" s="24"/>
      <c r="D8" s="1" t="s">
        <v>311</v>
      </c>
      <c r="E8" s="120">
        <f>'4.1.1.3-4 Direct N20'!E212</f>
        <v>0.79920735133264487</v>
      </c>
      <c r="F8" s="120">
        <f>'4.1.1.3-4 Direct N20'!P212</f>
        <v>0.79920735133264487</v>
      </c>
      <c r="G8" s="57" t="str">
        <f>'4.1.1.3-4 Direct N20'!F212</f>
        <v>t N2O</v>
      </c>
      <c r="H8" s="120">
        <f>'4.1.1.3-4 Direct N20'!E217</f>
        <v>211.78994810315089</v>
      </c>
      <c r="I8" s="120">
        <f>'4.1.1.3-4 Direct N20'!P217</f>
        <v>211.78994810315089</v>
      </c>
      <c r="J8" s="57" t="s">
        <v>316</v>
      </c>
      <c r="K8" s="24"/>
      <c r="L8" s="24"/>
    </row>
    <row r="9" spans="1:12" ht="20.100000000000001" customHeight="1" x14ac:dyDescent="0.25">
      <c r="A9" s="17" t="str">
        <f>HYPERLINK("#'Input - Feedlot'!A1", "Feedlot")</f>
        <v>Feedlot</v>
      </c>
      <c r="C9" s="24"/>
      <c r="D9" s="1" t="s">
        <v>312</v>
      </c>
      <c r="E9" s="120">
        <f>'4.1.1.5-6 Atmos Deposition'!$E$65</f>
        <v>0.14458898055388003</v>
      </c>
      <c r="F9" s="120">
        <f>'4.1.1.5-6 Atmos Deposition'!$N$65</f>
        <v>0.14458898055388003</v>
      </c>
      <c r="G9" s="57" t="str">
        <f>'4.1.1.5-6 Atmos Deposition'!$F$65</f>
        <v>t N2O</v>
      </c>
      <c r="H9" s="120">
        <f>'4.1.1.5-6 Atmos Deposition'!$E$70</f>
        <v>38.316079846778209</v>
      </c>
      <c r="I9" s="120">
        <f>'4.1.1.5-6 Atmos Deposition'!$N$70</f>
        <v>38.316079846778209</v>
      </c>
      <c r="J9" s="57" t="s">
        <v>316</v>
      </c>
      <c r="K9" s="24"/>
      <c r="L9" s="24"/>
    </row>
    <row r="10" spans="1:12" ht="20.100000000000001" customHeight="1" x14ac:dyDescent="0.3">
      <c r="A10" s="17"/>
      <c r="C10" s="24"/>
      <c r="D10" s="31" t="s">
        <v>283</v>
      </c>
      <c r="E10" s="25"/>
      <c r="F10" s="31"/>
      <c r="G10" s="31"/>
      <c r="H10" s="124">
        <f>SUM(H7:H9)</f>
        <v>320.76407719265552</v>
      </c>
      <c r="I10" s="124">
        <f>SUM(I7:I9)</f>
        <v>321.77347789612304</v>
      </c>
      <c r="J10" s="112" t="s">
        <v>316</v>
      </c>
      <c r="K10" s="24"/>
      <c r="L10" s="24"/>
    </row>
    <row r="11" spans="1:12" ht="20.100000000000001" customHeight="1" x14ac:dyDescent="0.25">
      <c r="A11" s="19" t="s">
        <v>75</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228</v>
      </c>
      <c r="E12" s="1"/>
      <c r="F12" s="1"/>
      <c r="G12" s="1"/>
      <c r="H12" s="26"/>
      <c r="I12" s="24"/>
      <c r="J12" s="24"/>
      <c r="K12" s="24"/>
      <c r="L12" s="24"/>
    </row>
    <row r="13" spans="1:12" ht="20.100000000000001" customHeight="1" x14ac:dyDescent="0.25">
      <c r="A13" s="17" t="str">
        <f>HYPERLINK("#'4.1.1.3-4 Direct N20'!A1", "4.1.1.3-4 Direct N2O")</f>
        <v>4.1.1.3-4 Direct N2O</v>
      </c>
      <c r="C13" s="24"/>
      <c r="D13" s="113" t="s">
        <v>291</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5" t="s">
        <v>297</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7" t="s">
        <v>292</v>
      </c>
      <c r="E15" s="127" t="s">
        <v>289</v>
      </c>
      <c r="F15" s="127" t="s">
        <v>290</v>
      </c>
      <c r="G15" s="127" t="s">
        <v>284</v>
      </c>
      <c r="H15" s="127" t="s">
        <v>296</v>
      </c>
      <c r="I15" s="1"/>
      <c r="J15" s="1"/>
      <c r="K15" s="24"/>
      <c r="L15" s="24"/>
    </row>
    <row r="16" spans="1:12" ht="20.100000000000001" customHeight="1" x14ac:dyDescent="0.25">
      <c r="C16" s="24"/>
      <c r="D16" s="1" t="s">
        <v>309</v>
      </c>
      <c r="E16" s="126">
        <f>'4.1.1.9 Manure applied to soils'!$E$61</f>
        <v>24130.039038028423</v>
      </c>
      <c r="F16" s="57" t="str">
        <f>'4.1.1.9 Manure applied to soils'!$F$61</f>
        <v>kg N</v>
      </c>
      <c r="G16" s="1" t="s">
        <v>303</v>
      </c>
      <c r="H16" s="1" t="s">
        <v>295</v>
      </c>
      <c r="I16" s="1"/>
      <c r="J16" s="1"/>
      <c r="K16" s="24"/>
      <c r="L16" s="24"/>
    </row>
    <row r="17" spans="1:12" ht="20.100000000000001" customHeight="1" x14ac:dyDescent="0.25">
      <c r="A17" s="18" t="s">
        <v>4</v>
      </c>
      <c r="C17" s="24"/>
      <c r="D17" s="1" t="s">
        <v>293</v>
      </c>
      <c r="E17" s="126">
        <f>'4.1.1.9 Manure applied to soils'!$E$111</f>
        <v>2202.6859482366731</v>
      </c>
      <c r="F17" s="57" t="str">
        <f>'4.1.1.9 Manure applied to soils'!$F$111</f>
        <v>kg N</v>
      </c>
      <c r="G17" s="1" t="s">
        <v>303</v>
      </c>
      <c r="H17" s="1" t="s">
        <v>295</v>
      </c>
      <c r="I17" s="1"/>
      <c r="J17" s="1"/>
      <c r="K17" s="24"/>
      <c r="L17" s="24"/>
    </row>
    <row r="18" spans="1:12" ht="20.100000000000001" customHeight="1" x14ac:dyDescent="0.25">
      <c r="A18" s="17" t="str">
        <f>HYPERLINK("#'Constants - Feedlot'!A1", "Constants - Feedlot")</f>
        <v>Constants - Feedlot</v>
      </c>
      <c r="C18" s="24"/>
      <c r="D18" s="1" t="s">
        <v>287</v>
      </c>
      <c r="E18" s="126">
        <f>'4.1.1.9 Manure applied to soils'!E87</f>
        <v>2202.6859482366731</v>
      </c>
      <c r="F18" s="57" t="str">
        <f>'4.1.1.9 Manure applied to soils'!F87</f>
        <v>kg N</v>
      </c>
      <c r="G18" s="1" t="s">
        <v>288</v>
      </c>
      <c r="H18" s="1" t="s">
        <v>294</v>
      </c>
      <c r="I18" s="1"/>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9"/>
      <c r="J38" s="119"/>
      <c r="K38" s="119"/>
      <c r="L38" s="24"/>
    </row>
    <row r="39" spans="3:12" ht="20.100000000000001" customHeight="1" x14ac:dyDescent="0.25">
      <c r="C39" s="24"/>
      <c r="D39" s="1"/>
      <c r="E39" s="1"/>
      <c r="F39" s="1"/>
      <c r="G39" s="1"/>
      <c r="H39" s="1"/>
      <c r="I39" s="119"/>
      <c r="J39" s="119"/>
      <c r="K39" s="119"/>
      <c r="L39" s="24"/>
    </row>
    <row r="40" spans="3:12" ht="20.100000000000001" customHeight="1" x14ac:dyDescent="0.25">
      <c r="C40" s="24"/>
      <c r="D40" s="1"/>
      <c r="E40" s="1"/>
      <c r="F40" s="1"/>
      <c r="G40" s="1"/>
      <c r="H40" s="1"/>
      <c r="I40" s="119"/>
      <c r="J40" s="119"/>
      <c r="K40" s="119"/>
      <c r="L40" s="24"/>
    </row>
    <row r="41" spans="3:12" ht="20.100000000000001" customHeight="1" x14ac:dyDescent="0.25">
      <c r="C41" s="24"/>
      <c r="D41" s="1"/>
      <c r="E41" s="1"/>
      <c r="F41" s="1"/>
      <c r="G41" s="1"/>
      <c r="H41" s="1"/>
      <c r="I41" s="119"/>
      <c r="J41" s="119"/>
      <c r="K41" s="119"/>
      <c r="L41" s="24"/>
    </row>
    <row r="42" spans="3:12" ht="20.100000000000001" customHeight="1" x14ac:dyDescent="0.25">
      <c r="C42" s="24"/>
      <c r="D42" s="1"/>
      <c r="E42" s="1"/>
      <c r="F42" s="1"/>
      <c r="G42" s="1"/>
      <c r="H42" s="1"/>
      <c r="I42" s="119"/>
      <c r="J42" s="119"/>
      <c r="K42" s="119"/>
      <c r="L42" s="24"/>
    </row>
    <row r="43" spans="3:12" ht="20.100000000000001" customHeight="1" x14ac:dyDescent="0.25">
      <c r="C43" s="24"/>
      <c r="D43" s="1"/>
      <c r="E43" s="1"/>
      <c r="F43" s="1"/>
      <c r="G43" s="1"/>
      <c r="H43" s="1"/>
      <c r="I43" s="119"/>
      <c r="J43" s="119"/>
      <c r="K43" s="119"/>
      <c r="L43" s="24"/>
    </row>
    <row r="44" spans="3:12" ht="20.100000000000001" customHeight="1" x14ac:dyDescent="0.25">
      <c r="C44" s="24"/>
      <c r="D44" s="1"/>
      <c r="E44" s="1"/>
      <c r="F44" s="1"/>
      <c r="G44" s="1"/>
      <c r="H44" s="1"/>
      <c r="I44" s="119"/>
      <c r="J44" s="119"/>
      <c r="K44" s="119"/>
      <c r="L44" s="24"/>
    </row>
    <row r="45" spans="3:12" ht="20.100000000000001" customHeight="1" x14ac:dyDescent="0.25">
      <c r="C45" s="24"/>
      <c r="D45" s="1"/>
      <c r="E45" s="1"/>
      <c r="F45" s="1"/>
      <c r="G45" s="1"/>
      <c r="H45" s="1"/>
      <c r="I45" s="119"/>
      <c r="J45" s="119"/>
      <c r="K45" s="119"/>
      <c r="L45" s="24"/>
    </row>
    <row r="46" spans="3:12" ht="20.100000000000001" customHeight="1" x14ac:dyDescent="0.25">
      <c r="C46" s="24"/>
      <c r="D46" s="1"/>
      <c r="E46" s="1"/>
      <c r="F46" s="1"/>
      <c r="G46" s="1"/>
      <c r="H46" s="1"/>
      <c r="I46" s="119"/>
      <c r="J46" s="119"/>
      <c r="K46" s="119"/>
      <c r="L46" s="24"/>
    </row>
    <row r="47" spans="3:12" ht="20.100000000000001" customHeight="1" x14ac:dyDescent="0.25">
      <c r="C47" s="24"/>
      <c r="D47" s="1"/>
      <c r="E47" s="1"/>
      <c r="F47" s="1"/>
      <c r="G47" s="1"/>
      <c r="H47" s="1"/>
      <c r="I47" s="119"/>
      <c r="J47" s="119"/>
      <c r="K47" s="119"/>
      <c r="L47" s="24"/>
    </row>
    <row r="48" spans="3:12" ht="20.100000000000001" customHeight="1" x14ac:dyDescent="0.25">
      <c r="C48" s="24"/>
      <c r="D48" s="1"/>
      <c r="E48" s="1"/>
      <c r="F48" s="1"/>
      <c r="G48" s="1"/>
      <c r="H48" s="1"/>
      <c r="I48" s="119"/>
      <c r="J48" s="119"/>
      <c r="K48" s="119"/>
      <c r="L48" s="24"/>
    </row>
    <row r="49" spans="3:12" ht="20.100000000000001" customHeight="1" x14ac:dyDescent="0.25">
      <c r="C49" s="24"/>
      <c r="D49" s="1"/>
      <c r="E49" s="1"/>
      <c r="F49" s="1"/>
      <c r="G49" s="1"/>
      <c r="H49" s="119"/>
      <c r="I49" s="119"/>
      <c r="J49" s="119"/>
      <c r="K49" s="119"/>
      <c r="L49" s="24"/>
    </row>
    <row r="50" spans="3:12" ht="20.100000000000001" customHeight="1" x14ac:dyDescent="0.25">
      <c r="C50" s="24"/>
      <c r="D50" s="1"/>
      <c r="E50" s="1"/>
      <c r="F50" s="1"/>
      <c r="G50" s="1"/>
      <c r="H50" s="119"/>
      <c r="I50" s="119"/>
      <c r="J50" s="119"/>
      <c r="K50" s="119"/>
      <c r="L50" s="24"/>
    </row>
    <row r="51" spans="3:12" ht="20.100000000000001" customHeight="1" x14ac:dyDescent="0.25">
      <c r="C51" s="24"/>
      <c r="D51" s="1"/>
      <c r="E51" s="1"/>
      <c r="F51" s="1"/>
      <c r="G51" s="1"/>
      <c r="H51" s="119"/>
      <c r="I51" s="119"/>
      <c r="J51" s="119"/>
      <c r="K51" s="119"/>
      <c r="L51" s="24"/>
    </row>
    <row r="52" spans="3:12" ht="20.100000000000001" customHeight="1" x14ac:dyDescent="0.25">
      <c r="C52" s="24"/>
      <c r="D52" s="1"/>
      <c r="E52" s="1"/>
      <c r="F52" s="1"/>
      <c r="G52" s="1"/>
      <c r="H52" s="119"/>
      <c r="I52" s="119"/>
      <c r="J52" s="119"/>
      <c r="K52" s="119"/>
      <c r="L52" s="24"/>
    </row>
    <row r="53" spans="3:12" ht="20.100000000000001" customHeight="1" x14ac:dyDescent="0.25">
      <c r="C53" s="24"/>
      <c r="D53" s="1"/>
      <c r="E53" s="1"/>
      <c r="F53" s="1"/>
      <c r="G53" s="1"/>
      <c r="H53" s="119"/>
      <c r="I53" s="119"/>
      <c r="J53" s="119"/>
      <c r="K53" s="119"/>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90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71</v>
      </c>
      <c r="E8" s="35" t="s">
        <v>72</v>
      </c>
    </row>
    <row r="9" spans="1:24" ht="20.100000000000001" customHeight="1" x14ac:dyDescent="0.25">
      <c r="A9" s="17" t="str">
        <f>HYPERLINK("#'Input - Feedlot'!A1", "Feedlot")</f>
        <v>Feedlot</v>
      </c>
      <c r="N9" s="45"/>
    </row>
    <row r="10" spans="1:24" ht="20.100000000000001" customHeight="1" x14ac:dyDescent="0.25">
      <c r="A10" s="17"/>
      <c r="D10" s="97" t="s">
        <v>89</v>
      </c>
      <c r="E10" s="95"/>
      <c r="F10" s="98"/>
      <c r="G10" s="92"/>
      <c r="N10" s="45"/>
    </row>
    <row r="11" spans="1:24" ht="20.100000000000001" customHeight="1" x14ac:dyDescent="0.25">
      <c r="A11" s="19" t="s">
        <v>75</v>
      </c>
      <c r="N11" s="46"/>
    </row>
    <row r="12" spans="1:24" ht="20.100000000000001" customHeight="1" x14ac:dyDescent="0.25">
      <c r="A12" s="17" t="str">
        <f>HYPERLINK("#'4.1.1.1-2 Methane'!A1", "4.1.1.1-2 Methane")</f>
        <v>4.1.1.1-2 Methane</v>
      </c>
      <c r="D12" s="10" t="s">
        <v>95</v>
      </c>
      <c r="E12" s="66">
        <v>45292</v>
      </c>
      <c r="F12" s="2" t="s">
        <v>69</v>
      </c>
    </row>
    <row r="13" spans="1:24" ht="20.100000000000001" customHeight="1" x14ac:dyDescent="0.25">
      <c r="A13" s="17" t="str">
        <f>HYPERLINK("#'4.1.1.3-4 Direct N20'!A1", "4.1.1.3-4 Direct N2O")</f>
        <v>4.1.1.3-4 Direct N2O</v>
      </c>
      <c r="D13" s="10" t="s">
        <v>96</v>
      </c>
      <c r="E13" s="73">
        <f>DATE(YEAR(E12)+1,MONTH(E12),DAY(E12))-1</f>
        <v>45657</v>
      </c>
      <c r="F13" s="2" t="s">
        <v>17</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14</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16</v>
      </c>
      <c r="E18" s="94"/>
      <c r="F18" s="94"/>
      <c r="G18" s="90"/>
    </row>
    <row r="19" spans="1:25" ht="20.100000000000001" customHeight="1" x14ac:dyDescent="0.25">
      <c r="A19" s="17" t="str">
        <f>HYPERLINK("#'Constants - Livestock'!A1", "Constants - Livestock")</f>
        <v>Constants - Livestock</v>
      </c>
      <c r="D19" s="96" t="s">
        <v>70</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8</v>
      </c>
      <c r="E21" s="42" t="s">
        <v>116</v>
      </c>
      <c r="F21" s="2" t="s">
        <v>11</v>
      </c>
    </row>
    <row r="22" spans="1:25" ht="20.100000000000001" customHeight="1" x14ac:dyDescent="0.25">
      <c r="A22"/>
      <c r="D22" s="1" t="s">
        <v>25</v>
      </c>
      <c r="E22" s="42" t="s">
        <v>33</v>
      </c>
      <c r="F22" s="2" t="s">
        <v>11</v>
      </c>
      <c r="G22" s="1"/>
    </row>
    <row r="23" spans="1:25" ht="20.100000000000001" customHeight="1" x14ac:dyDescent="0.25">
      <c r="A23"/>
      <c r="D23" s="1" t="s">
        <v>9</v>
      </c>
      <c r="E23" s="42" t="s">
        <v>94</v>
      </c>
      <c r="F23" s="2" t="s">
        <v>11</v>
      </c>
    </row>
    <row r="24" spans="1:25" ht="20.100000000000001" customHeight="1" x14ac:dyDescent="0.25">
      <c r="A24"/>
      <c r="D24" s="1" t="s">
        <v>38</v>
      </c>
      <c r="E24" s="35">
        <v>307.7</v>
      </c>
      <c r="F24" s="2" t="s">
        <v>52</v>
      </c>
    </row>
    <row r="25" spans="1:25" ht="20.100000000000001" customHeight="1" x14ac:dyDescent="0.25">
      <c r="A25"/>
      <c r="D25" s="1" t="s">
        <v>60</v>
      </c>
      <c r="E25" s="35">
        <v>18</v>
      </c>
      <c r="F25" s="2" t="s">
        <v>12</v>
      </c>
      <c r="N25" s="44"/>
    </row>
    <row r="26" spans="1:25" ht="20.100000000000001" customHeight="1" x14ac:dyDescent="0.25">
      <c r="A26"/>
      <c r="D26" s="1" t="s">
        <v>61</v>
      </c>
      <c r="E26" s="35">
        <v>601</v>
      </c>
      <c r="F26" s="2" t="s">
        <v>13</v>
      </c>
    </row>
    <row r="27" spans="1:25" ht="20.100000000000001" customHeight="1" x14ac:dyDescent="0.25">
      <c r="A27"/>
      <c r="D27" s="10" t="s">
        <v>62</v>
      </c>
      <c r="E27" s="35">
        <v>1326</v>
      </c>
      <c r="F27" s="2" t="s">
        <v>13</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91</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106</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120</v>
      </c>
    </row>
    <row r="6" spans="1:21" ht="20.100000000000001" customHeight="1" x14ac:dyDescent="0.25">
      <c r="A6" s="16"/>
    </row>
    <row r="7" spans="1:21" ht="20.100000000000001" customHeight="1" x14ac:dyDescent="0.25">
      <c r="A7" s="20" t="s">
        <v>3</v>
      </c>
      <c r="D7" s="65"/>
      <c r="E7" s="41" t="s">
        <v>139</v>
      </c>
      <c r="F7" s="41" t="s">
        <v>140</v>
      </c>
      <c r="G7" s="41" t="s">
        <v>141</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106">
        <v>4300</v>
      </c>
      <c r="F8" s="106">
        <v>100</v>
      </c>
      <c r="G8" s="106">
        <v>100</v>
      </c>
      <c r="H8" s="2" t="s">
        <v>122</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106">
        <v>90</v>
      </c>
      <c r="F9" s="106">
        <v>140</v>
      </c>
      <c r="G9" s="106">
        <v>250</v>
      </c>
      <c r="H9" s="2" t="s">
        <v>326</v>
      </c>
      <c r="I9" s="2"/>
      <c r="J9" s="2"/>
      <c r="K9" s="2"/>
    </row>
    <row r="10" spans="1:21" ht="20.100000000000001" customHeight="1" x14ac:dyDescent="0.25">
      <c r="A10" s="17"/>
    </row>
    <row r="11" spans="1:21" ht="20.100000000000001" customHeight="1" x14ac:dyDescent="0.25">
      <c r="A11" s="19" t="s">
        <v>75</v>
      </c>
      <c r="D11" s="6" t="s">
        <v>102</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299</v>
      </c>
      <c r="E13" s="41" t="s">
        <v>139</v>
      </c>
      <c r="F13" s="41" t="s">
        <v>140</v>
      </c>
      <c r="G13" s="41" t="s">
        <v>141</v>
      </c>
    </row>
    <row r="14" spans="1:21" ht="20.100000000000001" customHeight="1" x14ac:dyDescent="0.25">
      <c r="A14" s="17" t="str">
        <f>HYPERLINK("#'4.1.1.5-6 Atmos Deposition'!A1", "4.1.1.5-6 Atmospheric deposition")</f>
        <v>4.1.1.5-6 Atmospheric deposition</v>
      </c>
      <c r="D14" s="1" t="s">
        <v>145</v>
      </c>
      <c r="E14" s="55" cm="1">
        <f t="array" ref="E14">_xlfn.XLOOKUP(1, (Table_SourceData_Feedlot_AnimalCharacteristics[Feedlot type] = E$13) * (Table_SourceData_Feedlot_AnimalCharacteristics[Characteristic] = $D$14), Table_SourceData_Feedlot_AnimalCharacteristics[2020-2023], "Not Found")</f>
        <v>10.4</v>
      </c>
      <c r="F14" s="55" cm="1">
        <f t="array" ref="F14">_xlfn.XLOOKUP(1, (Table_SourceData_Feedlot_AnimalCharacteristics[Feedlot type] = F$13) * (Table_SourceData_Feedlot_AnimalCharacteristics[Characteristic] = $D$14), Table_SourceData_Feedlot_AnimalCharacteristics[2020-2023], "Not Found")</f>
        <v>10.8</v>
      </c>
      <c r="G14" s="55" cm="1">
        <f t="array" ref="G14">_xlfn.XLOOKUP(1, (Table_SourceData_Feedlot_AnimalCharacteristics[Feedlot type] = G$13) * (Table_SourceData_Feedlot_AnimalCharacteristics[Characteristic] = $D$14), Table_SourceData_Feedlot_AnimalCharacteristics[2020-2023], "Not Found")</f>
        <v>8.1999999999999993</v>
      </c>
      <c r="H14" s="2" t="s">
        <v>107</v>
      </c>
      <c r="I14" s="2"/>
      <c r="J14" s="2"/>
      <c r="K14" s="2"/>
    </row>
    <row r="15" spans="1:21" ht="20.100000000000001" customHeight="1" x14ac:dyDescent="0.25">
      <c r="A15" s="17" t="str">
        <f>HYPERLINK("#'4.1.1.9 Manure applied to soils'!A1", "4.1.1.9 Manure applied to soils")</f>
        <v>4.1.1.9 Manure applied to soils</v>
      </c>
      <c r="D15" s="1" t="s">
        <v>18</v>
      </c>
      <c r="E15" s="55" cm="1">
        <f t="array" ref="E15">_xlfn.XLOOKUP(1, (Table_SourceData_Feedlot_DietProperties[Feedlot type] = E$13) * (Table_SourceData_Feedlot_DietProperties[Nutrient analysis] = $D$15), Table_SourceData_Feedlot_DietProperties[2020-2023 Converted to fraction], "Not Found")</f>
        <v>0.81</v>
      </c>
      <c r="F15" s="55" cm="1">
        <f t="array" ref="F15">_xlfn.XLOOKUP(1, (Table_SourceData_Feedlot_DietProperties[Feedlot type] = F$13) * (Table_SourceData_Feedlot_DietProperties[Nutrient analysis] = $D$15), Table_SourceData_Feedlot_DietProperties[2020-2023 Converted to fraction], "Not Found")</f>
        <v>0.81</v>
      </c>
      <c r="G15" s="55" cm="1">
        <f t="array" ref="G15">_xlfn.XLOOKUP(1, (Table_SourceData_Feedlot_DietProperties[Feedlot type] = G$13) * (Table_SourceData_Feedlot_DietProperties[Nutrient analysis] = $D$15), Table_SourceData_Feedlot_DietProperties[2020-2023 Converted to fraction], "Not Found")</f>
        <v>0.81</v>
      </c>
      <c r="H15" s="2" t="s">
        <v>327</v>
      </c>
      <c r="I15" s="2"/>
      <c r="J15" s="2"/>
      <c r="K15" s="2"/>
    </row>
    <row r="16" spans="1:21" ht="20.100000000000001" customHeight="1" x14ac:dyDescent="0.25">
      <c r="D16" s="1" t="s">
        <v>132</v>
      </c>
      <c r="E16" s="55" cm="1">
        <f t="array" ref="E16">_xlfn.XLOOKUP(1, (Table_SourceData_Feedlot_DietProperties[Feedlot type] = E$13) * (Table_SourceData_Feedlot_DietProperties[Nutrient analysis] = $D$16), Table_SourceData_Feedlot_DietProperties[2020-2023 Converted to fraction], "Not Found")</f>
        <v>0.14000000000000001</v>
      </c>
      <c r="F16" s="55" cm="1">
        <f t="array" ref="F16">_xlfn.XLOOKUP(1, (Table_SourceData_Feedlot_DietProperties[Feedlot type] = F$13) * (Table_SourceData_Feedlot_DietProperties[Nutrient analysis] = $D$16), Table_SourceData_Feedlot_DietProperties[2020-2023 Converted to fraction], "Not Found")</f>
        <v>0.12</v>
      </c>
      <c r="G16" s="55" cm="1">
        <f t="array" ref="G16">_xlfn.XLOOKUP(1, (Table_SourceData_Feedlot_DietProperties[Feedlot type] = G$13) * (Table_SourceData_Feedlot_DietProperties[Nutrient analysis] = $D$16), Table_SourceData_Feedlot_DietProperties[2020-2023 Converted to fraction], "Not Found")</f>
        <v>0.12</v>
      </c>
      <c r="H16" s="2" t="s">
        <v>327</v>
      </c>
      <c r="I16" s="2"/>
      <c r="J16" s="2"/>
      <c r="K16" s="2"/>
    </row>
    <row r="17" spans="1:11" ht="20.100000000000001" customHeight="1" x14ac:dyDescent="0.25">
      <c r="A17" s="18" t="s">
        <v>4</v>
      </c>
      <c r="D17" s="1" t="s">
        <v>149</v>
      </c>
      <c r="E17" s="55" cm="1">
        <f t="array" ref="E17">_xlfn.XLOOKUP(1, (Table_SourceData_Feedlot_AnimalCharacteristics[Feedlot type] = E$13) * (Table_SourceData_Feedlot_AnimalCharacteristics[Characteristic] = $D$17), Table_SourceData_Feedlot_AnimalCharacteristics[2020-2023], "Not Found")</f>
        <v>20.399999999999999</v>
      </c>
      <c r="F17" s="55" cm="1">
        <f t="array" ref="F17">_xlfn.XLOOKUP(1, (Table_SourceData_Feedlot_AnimalCharacteristics[Feedlot type] = F$13) * (Table_SourceData_Feedlot_AnimalCharacteristics[Characteristic] = $D$17), Table_SourceData_Feedlot_AnimalCharacteristics[2020-2023], "Not Found")</f>
        <v>12.7</v>
      </c>
      <c r="G17" s="55" cm="1">
        <f t="array" ref="G17">_xlfn.XLOOKUP(1, (Table_SourceData_Feedlot_AnimalCharacteristics[Feedlot type] = G$13) * (Table_SourceData_Feedlot_AnimalCharacteristics[Characteristic] = $D$17), Table_SourceData_Feedlot_AnimalCharacteristics[2020-2023], "Not Found")</f>
        <v>7</v>
      </c>
      <c r="H17" s="2" t="s">
        <v>329</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300</v>
      </c>
      <c r="E19" s="41" t="s">
        <v>139</v>
      </c>
      <c r="F19" s="41" t="s">
        <v>140</v>
      </c>
      <c r="G19" s="41" t="s">
        <v>141</v>
      </c>
    </row>
    <row r="20" spans="1:11" ht="20.100000000000001" customHeight="1" x14ac:dyDescent="0.25">
      <c r="A20" s="17" t="str">
        <f>HYPERLINK("#'Constants - Common'!A1", "Constants - Common")</f>
        <v>Constants - Common</v>
      </c>
      <c r="D20" s="1" t="s">
        <v>145</v>
      </c>
      <c r="E20" s="68" cm="1">
        <f t="array" ref="E20">_xlfn.XLOOKUP(1, (Table_SourceData_Feedlot_AnimalCharacteristics[Feedlot type] = E$19) * (Table_SourceData_Feedlot_AnimalCharacteristics[Characteristic] = $D$20), Table_SourceData_Feedlot_AnimalCharacteristics[2020-2023], "Not Found")</f>
        <v>10.4</v>
      </c>
      <c r="F20" s="68" cm="1">
        <f t="array" ref="F20">_xlfn.XLOOKUP(1, (Table_SourceData_Feedlot_AnimalCharacteristics[Feedlot type] = F$19) * (Table_SourceData_Feedlot_AnimalCharacteristics[Characteristic] = $D$20), Table_SourceData_Feedlot_AnimalCharacteristics[2020-2023], "Not Found")</f>
        <v>10.8</v>
      </c>
      <c r="G20" s="68" cm="1">
        <f t="array" ref="G20">_xlfn.XLOOKUP(1, (Table_SourceData_Feedlot_AnimalCharacteristics[Feedlot type] = G$19) * (Table_SourceData_Feedlot_AnimalCharacteristics[Characteristic] = $D$20), Table_SourceData_Feedlot_AnimalCharacteristics[2020-2023], "Not Found")</f>
        <v>8.1999999999999993</v>
      </c>
      <c r="H20" s="2" t="s">
        <v>107</v>
      </c>
      <c r="I20" s="2"/>
      <c r="J20" s="2"/>
      <c r="K20" s="2"/>
    </row>
    <row r="21" spans="1:11" ht="20.100000000000001" customHeight="1" x14ac:dyDescent="0.25">
      <c r="A21" s="17" t="str">
        <f>HYPERLINK("#'Acknowledgements'!A1", "Acknowledgements")</f>
        <v>Acknowledgements</v>
      </c>
      <c r="D21" s="1" t="s">
        <v>18</v>
      </c>
      <c r="E21" s="68" cm="1">
        <f t="array" ref="E21">_xlfn.XLOOKUP(1, (Table_SourceData_Feedlot_DietProperties[Feedlot type] = E$19) * (Table_SourceData_Feedlot_DietProperties[Nutrient analysis] = $D$21), Table_SourceData_Feedlot_DietProperties[2020-2023 Converted to fraction], "Not Found")</f>
        <v>0.81</v>
      </c>
      <c r="F21" s="68" cm="1">
        <f t="array" ref="F21">_xlfn.XLOOKUP(1, (Table_SourceData_Feedlot_DietProperties[Feedlot type] = F$19) * (Table_SourceData_Feedlot_DietProperties[Nutrient analysis] = $D$21), Table_SourceData_Feedlot_DietProperties[2020-2023 Converted to fraction], "Not Found")</f>
        <v>0.81</v>
      </c>
      <c r="G21" s="68" cm="1">
        <f t="array" ref="G21">_xlfn.XLOOKUP(1, (Table_SourceData_Feedlot_DietProperties[Feedlot type] = G$19) * (Table_SourceData_Feedlot_DietProperties[Nutrient analysis] = $D$21), Table_SourceData_Feedlot_DietProperties[2020-2023 Converted to fraction], "Not Found")</f>
        <v>0.81</v>
      </c>
      <c r="H21" s="2" t="s">
        <v>327</v>
      </c>
      <c r="I21" s="2"/>
      <c r="J21" s="2"/>
      <c r="K21" s="2"/>
    </row>
    <row r="22" spans="1:11" ht="20.100000000000001" customHeight="1" x14ac:dyDescent="0.25">
      <c r="D22" s="1" t="s">
        <v>132</v>
      </c>
      <c r="E22" s="68" cm="1">
        <f t="array" ref="E22">_xlfn.XLOOKUP(1, (Table_SourceData_Feedlot_DietProperties[Feedlot type] = E$19) * (Table_SourceData_Feedlot_DietProperties[Nutrient analysis] = $D$22), Table_SourceData_Feedlot_DietProperties[2020-2023 Converted to fraction], "Not Found")</f>
        <v>0.14000000000000001</v>
      </c>
      <c r="F22" s="68" cm="1">
        <f t="array" ref="F22">_xlfn.XLOOKUP(1, (Table_SourceData_Feedlot_DietProperties[Feedlot type] = F$19) * (Table_SourceData_Feedlot_DietProperties[Nutrient analysis] = $D$22), Table_SourceData_Feedlot_DietProperties[2020-2023 Converted to fraction], "Not Found")</f>
        <v>0.12</v>
      </c>
      <c r="G22" s="68" cm="1">
        <f t="array" ref="G22">_xlfn.XLOOKUP(1, (Table_SourceData_Feedlot_DietProperties[Feedlot type] = G$19) * (Table_SourceData_Feedlot_DietProperties[Nutrient analysis] = $D$22), Table_SourceData_Feedlot_DietProperties[2020-2023 Converted to fraction], "Not Found")</f>
        <v>0.12</v>
      </c>
      <c r="H22" s="2" t="s">
        <v>327</v>
      </c>
      <c r="I22" s="2"/>
      <c r="J22" s="2"/>
      <c r="K22" s="2"/>
    </row>
    <row r="23" spans="1:11" ht="20.100000000000001" customHeight="1" x14ac:dyDescent="0.25">
      <c r="D23" s="1" t="s">
        <v>149</v>
      </c>
      <c r="E23" s="68" cm="1">
        <f t="array" ref="E23">_xlfn.XLOOKUP(1, (Table_SourceData_Feedlot_AnimalCharacteristics[Feedlot type] = E$19) * (Table_SourceData_Feedlot_AnimalCharacteristics[Characteristic] = $D$23), Table_SourceData_Feedlot_AnimalCharacteristics[2020-2023], "Not Found")</f>
        <v>20.399999999999999</v>
      </c>
      <c r="F23" s="68" cm="1">
        <f t="array" ref="F23">_xlfn.XLOOKUP(1, (Table_SourceData_Feedlot_AnimalCharacteristics[Feedlot type] = F$19) * (Table_SourceData_Feedlot_AnimalCharacteristics[Characteristic] = $D$23), Table_SourceData_Feedlot_AnimalCharacteristics[2020-2023], "Not Found")</f>
        <v>12.7</v>
      </c>
      <c r="G23" s="68" cm="1">
        <f t="array" ref="G23">_xlfn.XLOOKUP(1, (Table_SourceData_Feedlot_AnimalCharacteristics[Feedlot type] = G$19) * (Table_SourceData_Feedlot_AnimalCharacteristics[Characteristic] = $D$23), Table_SourceData_Feedlot_AnimalCharacteristics[2020-2023], "Not Found")</f>
        <v>7</v>
      </c>
      <c r="H23" s="2" t="s">
        <v>329</v>
      </c>
      <c r="I23" s="2"/>
      <c r="J23" s="2"/>
      <c r="K23" s="2"/>
    </row>
    <row r="24" spans="1:11" ht="20.100000000000001" customHeight="1" x14ac:dyDescent="0.25"/>
    <row r="25" spans="1:11" ht="20.100000000000001" customHeight="1" x14ac:dyDescent="0.25">
      <c r="A25" s="17"/>
      <c r="D25" s="6" t="s">
        <v>111</v>
      </c>
    </row>
    <row r="26" spans="1:11" ht="20.100000000000001" customHeight="1" x14ac:dyDescent="0.25">
      <c r="A26" s="17"/>
    </row>
    <row r="27" spans="1:11" ht="20.100000000000001" customHeight="1" x14ac:dyDescent="0.25">
      <c r="A27" s="17"/>
      <c r="D27" s="65" t="s">
        <v>105</v>
      </c>
      <c r="E27" s="100" t="s">
        <v>139</v>
      </c>
      <c r="F27" s="100" t="s">
        <v>140</v>
      </c>
      <c r="G27" s="100" t="s">
        <v>141</v>
      </c>
    </row>
    <row r="28" spans="1:11" ht="20.100000000000001" customHeight="1" x14ac:dyDescent="0.25">
      <c r="A28" s="17"/>
      <c r="D28" s="135" t="s">
        <v>100</v>
      </c>
      <c r="E28" s="101">
        <v>1</v>
      </c>
      <c r="F28" s="101">
        <v>1</v>
      </c>
      <c r="G28" s="101">
        <v>1</v>
      </c>
      <c r="H28" s="2" t="s">
        <v>328</v>
      </c>
      <c r="I28" s="2"/>
      <c r="J28" s="2"/>
      <c r="K28" s="2"/>
    </row>
    <row r="29" spans="1:11" ht="20.100000000000001" customHeight="1" x14ac:dyDescent="0.25">
      <c r="A29" s="17"/>
      <c r="D29" s="132" t="s">
        <v>320</v>
      </c>
    </row>
    <row r="30" spans="1:11" ht="20.100000000000001" customHeight="1" x14ac:dyDescent="0.25">
      <c r="A30" s="17"/>
      <c r="D30" s="133" t="s">
        <v>101</v>
      </c>
      <c r="E30" s="100" t="s">
        <v>139</v>
      </c>
      <c r="F30" s="100" t="s">
        <v>140</v>
      </c>
      <c r="G30" s="100" t="s">
        <v>141</v>
      </c>
      <c r="H30" s="138" t="s">
        <v>324</v>
      </c>
      <c r="I30" s="65" t="s">
        <v>331</v>
      </c>
      <c r="J30" s="65"/>
      <c r="K30" s="65"/>
    </row>
    <row r="31" spans="1:11" ht="20.100000000000001" customHeight="1" x14ac:dyDescent="0.25">
      <c r="A31" s="69"/>
      <c r="D31" s="136" t="str">
        <f>"From Stage 1: " &amp; $D$28 &amp; " to:"</f>
        <v>From Stage 1: Drylot (feed pad) to:</v>
      </c>
      <c r="E31" s="58"/>
      <c r="I31" s="126" t="s">
        <v>321</v>
      </c>
      <c r="J31" s="126" t="s">
        <v>322</v>
      </c>
      <c r="K31" s="126" t="s">
        <v>323</v>
      </c>
    </row>
    <row r="32" spans="1:11" ht="20.100000000000001" customHeight="1" x14ac:dyDescent="0.25">
      <c r="A32" s="69"/>
      <c r="D32" s="137" t="str">
        <f>'Constants - Feedlot'!D29</f>
        <v>Solid storage</v>
      </c>
      <c r="E32" s="49">
        <v>0.2</v>
      </c>
      <c r="F32" s="49">
        <v>0.2</v>
      </c>
      <c r="G32" s="49">
        <v>0.2</v>
      </c>
      <c r="H32" s="2" t="s">
        <v>328</v>
      </c>
      <c r="I32" s="49">
        <v>0.25</v>
      </c>
      <c r="J32" s="49">
        <v>0.25</v>
      </c>
      <c r="K32" s="101">
        <f t="shared" ref="K32:K34" si="0">1-SUM(I32:J32)</f>
        <v>0.5</v>
      </c>
    </row>
    <row r="33" spans="1:11" ht="20.100000000000001" customHeight="1" x14ac:dyDescent="0.25">
      <c r="A33" s="17"/>
      <c r="D33" s="137" t="str">
        <f>'Constants - Feedlot'!D30</f>
        <v>Composting (passive windrow)</v>
      </c>
      <c r="E33" s="49">
        <v>0.2</v>
      </c>
      <c r="F33" s="49">
        <v>0.2</v>
      </c>
      <c r="G33" s="49">
        <v>0.2</v>
      </c>
      <c r="H33" s="2" t="s">
        <v>328</v>
      </c>
      <c r="I33" s="49">
        <v>0.25</v>
      </c>
      <c r="J33" s="49">
        <v>0.25</v>
      </c>
      <c r="K33" s="101">
        <f t="shared" si="0"/>
        <v>0.5</v>
      </c>
    </row>
    <row r="34" spans="1:11" ht="20.100000000000001" customHeight="1" x14ac:dyDescent="0.25">
      <c r="D34" s="137" t="s">
        <v>319</v>
      </c>
      <c r="E34" s="101">
        <f>1-SUM(E32, E33)</f>
        <v>0.6</v>
      </c>
      <c r="F34" s="101">
        <f t="shared" ref="F34:G34" si="1">1-SUM(F32, F33)</f>
        <v>0.6</v>
      </c>
      <c r="G34" s="101">
        <f t="shared" si="1"/>
        <v>0.6</v>
      </c>
      <c r="H34" s="2" t="s">
        <v>328</v>
      </c>
      <c r="I34" s="101">
        <v>0</v>
      </c>
      <c r="J34" s="101">
        <v>0</v>
      </c>
      <c r="K34" s="101">
        <f t="shared" si="0"/>
        <v>1</v>
      </c>
    </row>
    <row r="35" spans="1:11" ht="20.100000000000001" customHeight="1" x14ac:dyDescent="0.25"/>
    <row r="36" spans="1:11" ht="20.100000000000001" customHeight="1" x14ac:dyDescent="0.25">
      <c r="D36" s="134" t="s">
        <v>118</v>
      </c>
      <c r="E36" s="100" t="s">
        <v>139</v>
      </c>
      <c r="F36" s="100" t="s">
        <v>140</v>
      </c>
      <c r="G36" s="100" t="s">
        <v>141</v>
      </c>
      <c r="H36" s="138" t="s">
        <v>324</v>
      </c>
      <c r="I36" s="65" t="s">
        <v>330</v>
      </c>
      <c r="J36" s="65"/>
      <c r="K36" s="65"/>
    </row>
    <row r="37" spans="1:11" ht="20.100000000000001" customHeight="1" x14ac:dyDescent="0.25">
      <c r="D37" s="136" t="str">
        <f>"From Stage 1: " &amp; $D$28 &amp; " to:"</f>
        <v>From Stage 1: Drylot (feed pad) to:</v>
      </c>
      <c r="I37" s="126" t="s">
        <v>321</v>
      </c>
      <c r="J37" s="126" t="s">
        <v>322</v>
      </c>
      <c r="K37" s="126" t="s">
        <v>323</v>
      </c>
    </row>
    <row r="38" spans="1:11" ht="20.100000000000001" customHeight="1" x14ac:dyDescent="0.25">
      <c r="D38" s="137" t="str">
        <f>'Constants - Feedlot'!$D$32</f>
        <v>Anaerobic lagoon</v>
      </c>
      <c r="E38" s="101">
        <f>'Constants - Feedlot'!$E$12</f>
        <v>0.02</v>
      </c>
      <c r="F38" s="101">
        <f>'Constants - Feedlot'!$E$12</f>
        <v>0.02</v>
      </c>
      <c r="G38" s="101">
        <f>'Constants - Feedlot'!$E$12</f>
        <v>0.02</v>
      </c>
      <c r="H38" s="2" t="s">
        <v>328</v>
      </c>
      <c r="I38" s="49">
        <v>0.25</v>
      </c>
      <c r="J38" s="49">
        <v>0.25</v>
      </c>
      <c r="K38" s="101">
        <f>1-SUM(I38:J38)</f>
        <v>0.5</v>
      </c>
    </row>
    <row r="39" spans="1:11" ht="20.100000000000001" customHeight="1" x14ac:dyDescent="0.25">
      <c r="A39" s="17"/>
    </row>
    <row r="40" spans="1:11" ht="20.100000000000001" customHeight="1" x14ac:dyDescent="0.25"/>
    <row r="41" spans="1:11" ht="20.100000000000001" customHeight="1" x14ac:dyDescent="0.25">
      <c r="A41" s="47"/>
      <c r="D41" s="1" t="s">
        <v>307</v>
      </c>
      <c r="E41" s="42" t="s">
        <v>273</v>
      </c>
      <c r="F41" s="2" t="s">
        <v>11</v>
      </c>
    </row>
    <row r="42" spans="1:11" ht="20.100000000000001" customHeight="1" x14ac:dyDescent="0.25">
      <c r="E42" s="42" t="s">
        <v>277</v>
      </c>
      <c r="F42" s="2" t="s">
        <v>11</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9" sqref="A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260</v>
      </c>
    </row>
    <row r="2" spans="1:19" s="9" customFormat="1" ht="20.100000000000001" customHeight="1" x14ac:dyDescent="0.25"/>
    <row r="3" spans="1:19" ht="20.100000000000001" customHeight="1" x14ac:dyDescent="0.25">
      <c r="A3" s="17" t="str">
        <f>HYPERLINK("#'Home'!A1", "Home")</f>
        <v>Home</v>
      </c>
      <c r="C3" s="4"/>
      <c r="D3" s="4" t="s">
        <v>160</v>
      </c>
      <c r="E3" s="4"/>
      <c r="F3" s="4"/>
      <c r="G3" s="4"/>
      <c r="H3" s="4"/>
      <c r="I3" s="4"/>
      <c r="J3" s="4"/>
      <c r="L3" s="4"/>
      <c r="M3" s="4" t="s">
        <v>161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358</v>
      </c>
    </row>
    <row r="6" spans="1:19" ht="20.100000000000001" customHeight="1" x14ac:dyDescent="0.25">
      <c r="A6" s="16"/>
      <c r="D6" s="5" t="s">
        <v>359</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28</v>
      </c>
      <c r="E10" s="1" t="s">
        <v>360</v>
      </c>
    </row>
    <row r="11" spans="1:19" ht="20.100000000000001" customHeight="1" x14ac:dyDescent="0.25">
      <c r="A11" s="19" t="s">
        <v>75</v>
      </c>
      <c r="D11" s="56" t="s">
        <v>19</v>
      </c>
      <c r="E11" s="57" t="s">
        <v>361</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9" t="str" cm="1">
        <f t="array" ref="D13:G15">(_xlfn.MAKEARRAY(3, 4, _xlfn.LAMBDA(_xlpm.r,_xlpm.c, INDEX({"I_j","dry matter intake for each group j","kg DM/head/day","Input";"DMD_j","dry matter digestibility for each group j","fraction","Input";"A","ash content of manure","fraction","Constant"}, _xlpm.r, _xlpm.c))))</f>
        <v>I_j</v>
      </c>
      <c r="E13" s="139" t="str">
        <v>dry matter intake for each group j</v>
      </c>
      <c r="F13" s="139" t="str">
        <v>kg DM/head/day</v>
      </c>
      <c r="G13" s="130" t="str">
        <v>Input</v>
      </c>
      <c r="H13" s="140"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9" t="str">
        <v>DMD_j</v>
      </c>
      <c r="E14" s="139" t="str">
        <v>dry matter digestibility for each group j</v>
      </c>
      <c r="F14" s="139" t="str">
        <v>fraction</v>
      </c>
      <c r="G14" s="130" t="str">
        <v>Input</v>
      </c>
      <c r="H14" s="140"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9" t="str">
        <v>A</v>
      </c>
      <c r="E15" s="139" t="str">
        <v>ash content of manure</v>
      </c>
      <c r="F15" s="139" t="str">
        <v>fraction</v>
      </c>
      <c r="G15" s="131" t="str">
        <v>Constant</v>
      </c>
      <c r="H15" s="139">
        <f>'Constants - Feedlot'!$E$17</f>
        <v>0.16</v>
      </c>
    </row>
    <row r="16" spans="1:19" ht="20.100000000000001" customHeight="1" x14ac:dyDescent="0.25"/>
    <row r="17" spans="1:16" ht="20.100000000000001" customHeight="1" x14ac:dyDescent="0.25">
      <c r="A17" s="18" t="s">
        <v>4</v>
      </c>
      <c r="D17" s="104" t="s">
        <v>150</v>
      </c>
      <c r="M17" s="104" t="s">
        <v>153</v>
      </c>
    </row>
    <row r="18" spans="1:16" ht="20.100000000000001" customHeight="1" x14ac:dyDescent="0.25">
      <c r="A18" s="17" t="str">
        <f>HYPERLINK("#'Constants - Feedlot'!A1", "Constants - Feedlot")</f>
        <v>Constants - Feedlot</v>
      </c>
      <c r="D18" s="103" t="s">
        <v>197</v>
      </c>
      <c r="M18" s="103" t="s">
        <v>198</v>
      </c>
    </row>
    <row r="19" spans="1:16" ht="20.100000000000001" customHeight="1" x14ac:dyDescent="0.25">
      <c r="A19" s="17" t="str">
        <f>HYPERLINK("#'Constants - Livestock'!A1", "Constants - Livestock")</f>
        <v>Constants - Livestock</v>
      </c>
      <c r="D19" s="41" t="s">
        <v>139</v>
      </c>
      <c r="E19" s="41" t="s">
        <v>140</v>
      </c>
      <c r="F19" s="41" t="s">
        <v>141</v>
      </c>
      <c r="M19" s="41" t="s">
        <v>139</v>
      </c>
      <c r="N19" s="41" t="s">
        <v>140</v>
      </c>
      <c r="O19" s="41" t="s">
        <v>141</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103</v>
      </c>
      <c r="M20" s="55">
        <f>'Input - Feedlot'!$E$20</f>
        <v>10.4</v>
      </c>
      <c r="N20" s="55">
        <f>'Input - Feedlot'!$F$20</f>
        <v>10.8</v>
      </c>
      <c r="O20" s="55">
        <f>'Input - Feedlot'!$G$20</f>
        <v>8.1999999999999993</v>
      </c>
      <c r="P20" s="2" t="s">
        <v>103</v>
      </c>
    </row>
    <row r="21" spans="1:16" ht="20.100000000000001" customHeight="1" x14ac:dyDescent="0.25">
      <c r="A21" s="17" t="str">
        <f>HYPERLINK("#'Acknowledgements'!A1", "Acknowledgements")</f>
        <v>Acknowledgements</v>
      </c>
    </row>
    <row r="22" spans="1:16" ht="20.100000000000001" customHeight="1" x14ac:dyDescent="0.25">
      <c r="D22" s="104" t="s">
        <v>201</v>
      </c>
      <c r="M22" s="104" t="s">
        <v>205</v>
      </c>
    </row>
    <row r="23" spans="1:16" ht="20.100000000000001" customHeight="1" x14ac:dyDescent="0.25">
      <c r="D23" s="103" t="s">
        <v>204</v>
      </c>
      <c r="M23" s="103" t="s">
        <v>204</v>
      </c>
    </row>
    <row r="24" spans="1:16" ht="20.100000000000001" customHeight="1" x14ac:dyDescent="0.25">
      <c r="A24" s="17"/>
      <c r="D24" s="41" t="s">
        <v>139</v>
      </c>
      <c r="E24" s="41" t="s">
        <v>140</v>
      </c>
      <c r="F24" s="41" t="s">
        <v>141</v>
      </c>
      <c r="M24" s="41" t="s">
        <v>139</v>
      </c>
      <c r="N24" s="41" t="s">
        <v>140</v>
      </c>
      <c r="O24" s="41" t="s">
        <v>141</v>
      </c>
    </row>
    <row r="25" spans="1:16" ht="20.100000000000001" customHeight="1" x14ac:dyDescent="0.25">
      <c r="A25" s="17"/>
      <c r="D25" s="55">
        <f>'Input - Feedlot'!$E$15</f>
        <v>0.81</v>
      </c>
      <c r="E25" s="55">
        <f>'Input - Feedlot'!$F$15</f>
        <v>0.81</v>
      </c>
      <c r="F25" s="55">
        <f>'Input - Feedlot'!$G$15</f>
        <v>0.81</v>
      </c>
      <c r="G25" s="2" t="s">
        <v>327</v>
      </c>
      <c r="M25" s="55">
        <f>'Input - Feedlot'!$E$21</f>
        <v>0.81</v>
      </c>
      <c r="N25" s="55">
        <f>'Input - Feedlot'!$F$21</f>
        <v>0.81</v>
      </c>
      <c r="O25" s="55">
        <f>'Input - Feedlot'!$G$21</f>
        <v>0.81</v>
      </c>
      <c r="P25" s="2" t="s">
        <v>327</v>
      </c>
    </row>
    <row r="26" spans="1:16" ht="20.100000000000001" customHeight="1" x14ac:dyDescent="0.25"/>
    <row r="27" spans="1:16" ht="20.100000000000001" customHeight="1" x14ac:dyDescent="0.25">
      <c r="D27" s="104" t="s">
        <v>202</v>
      </c>
      <c r="M27" s="104" t="s">
        <v>206</v>
      </c>
    </row>
    <row r="28" spans="1:16" ht="20.100000000000001" customHeight="1" x14ac:dyDescent="0.25">
      <c r="D28" s="103" t="s">
        <v>203</v>
      </c>
      <c r="M28" s="103" t="s">
        <v>207</v>
      </c>
    </row>
    <row r="29" spans="1:16" ht="20.100000000000001" customHeight="1" x14ac:dyDescent="0.25">
      <c r="D29" s="54" t="s">
        <v>139</v>
      </c>
      <c r="E29" s="54" t="s">
        <v>140</v>
      </c>
      <c r="F29" s="54" t="s">
        <v>141</v>
      </c>
      <c r="M29" s="54" t="s">
        <v>139</v>
      </c>
      <c r="N29" s="54" t="s">
        <v>140</v>
      </c>
      <c r="O29" s="54" t="s">
        <v>141</v>
      </c>
    </row>
    <row r="30" spans="1:16" ht="20.100000000000001" customHeight="1" x14ac:dyDescent="0.25">
      <c r="D30" s="55">
        <f>(D20 * (1 - D25) * (1 - $H$15))</f>
        <v>1.6598399999999995</v>
      </c>
      <c r="E30" s="55">
        <f>(E20 * (1 - E25) * (1 - $H$15))</f>
        <v>1.7236799999999997</v>
      </c>
      <c r="F30" s="55">
        <f>(F20 * (1 - F25) * (1 - $H$15))</f>
        <v>1.3087199999999994</v>
      </c>
      <c r="G30" s="2" t="str">
        <f>$E$11</f>
        <v>kg/head/day</v>
      </c>
      <c r="M30" s="55">
        <f>(M20 * (1 - M25) * (1 - $H$15))</f>
        <v>1.6598399999999995</v>
      </c>
      <c r="N30" s="55">
        <f>(N20 * (1 - N25) * (1 - $H$15))</f>
        <v>1.7236799999999997</v>
      </c>
      <c r="O30" s="55">
        <f>(O20 * (1 - O25) * (1 - $H$15))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
        <v>362</v>
      </c>
    </row>
    <row r="35" spans="3:18" ht="20.100000000000001" customHeight="1" x14ac:dyDescent="0.25">
      <c r="D35" s="5" t="s">
        <v>363</v>
      </c>
    </row>
    <row r="36" spans="3:18" ht="20.100000000000001" customHeight="1" x14ac:dyDescent="0.25">
      <c r="D36" s="13"/>
      <c r="E36" s="13"/>
    </row>
    <row r="37" spans="3:18" ht="20.100000000000001" customHeight="1" x14ac:dyDescent="0.25"/>
    <row r="38" spans="3:18" ht="20.100000000000001" customHeight="1" x14ac:dyDescent="0.25"/>
    <row r="39" spans="3:18" ht="20.100000000000001" customHeight="1" x14ac:dyDescent="0.25">
      <c r="D39" s="56" t="s">
        <v>28</v>
      </c>
      <c r="E39" s="1" t="s">
        <v>364</v>
      </c>
    </row>
    <row r="40" spans="3:18" ht="20.100000000000001" customHeight="1" x14ac:dyDescent="0.25">
      <c r="D40" s="56" t="s">
        <v>19</v>
      </c>
      <c r="E40" s="57" t="s">
        <v>365</v>
      </c>
      <c r="M40" s="97" t="s">
        <v>352</v>
      </c>
      <c r="N40" s="92"/>
    </row>
    <row r="41" spans="3:18" ht="20.100000000000001" customHeight="1" x14ac:dyDescent="0.25"/>
    <row r="42" spans="3:18" ht="20.100000000000001" customHeight="1" x14ac:dyDescent="0.25">
      <c r="D42" s="139" t="s">
        <v>360</v>
      </c>
      <c r="E42" s="142" t="s">
        <v>366</v>
      </c>
      <c r="F42" s="141"/>
      <c r="G42" s="139" t="s">
        <v>361</v>
      </c>
      <c r="H42" s="131" t="s">
        <v>377</v>
      </c>
      <c r="I42" s="140" t="str" cm="1">
        <f t="array" aca="1" ref="I42" ca="1">HYPERLINK(Common_InputFunctions.Utility_SourceHyperlink($D$27),$D$27)</f>
        <v>M1_Table_VS_j</v>
      </c>
      <c r="M42" s="139" t="s">
        <v>360</v>
      </c>
      <c r="N42" s="142" t="s">
        <v>366</v>
      </c>
      <c r="O42" s="141"/>
      <c r="P42" s="139" t="s">
        <v>361</v>
      </c>
      <c r="Q42" s="131" t="s">
        <v>377</v>
      </c>
      <c r="R42" s="140" t="str" cm="1">
        <f t="array" aca="1" ref="R42" ca="1">HYPERLINK(Common_InputFunctions.Utility_SourceHyperlink($D$27),$D$27)</f>
        <v>M1_Table_VS_j</v>
      </c>
    </row>
    <row r="43" spans="3:18" ht="20.100000000000001" customHeight="1" x14ac:dyDescent="0.25">
      <c r="D43" s="139" t="s">
        <v>367</v>
      </c>
      <c r="E43" s="142" t="s">
        <v>368</v>
      </c>
      <c r="F43" s="141"/>
      <c r="G43" s="139" t="s">
        <v>378</v>
      </c>
      <c r="H43" s="131" t="s">
        <v>379</v>
      </c>
      <c r="I43" s="139">
        <f>'Constants - Feedlot'!$E$22</f>
        <v>0.19</v>
      </c>
      <c r="M43" s="139" t="s">
        <v>367</v>
      </c>
      <c r="N43" s="142" t="s">
        <v>368</v>
      </c>
      <c r="O43" s="141"/>
      <c r="P43" s="139" t="s">
        <v>378</v>
      </c>
      <c r="Q43" s="131" t="s">
        <v>379</v>
      </c>
      <c r="R43" s="139">
        <f>'Constants - Feedlot'!$E$22</f>
        <v>0.19</v>
      </c>
    </row>
    <row r="44" spans="3:18" ht="20.100000000000001" customHeight="1" x14ac:dyDescent="0.25">
      <c r="D44" s="139" t="s">
        <v>369</v>
      </c>
      <c r="E44" s="142" t="s">
        <v>370</v>
      </c>
      <c r="F44" s="141"/>
      <c r="G44" s="139" t="s">
        <v>327</v>
      </c>
      <c r="H44" s="130" t="s">
        <v>380</v>
      </c>
      <c r="I44" s="140" t="str" cm="1">
        <f t="array" aca="1" ref="I44" ca="1">HYPERLINK(Common_InputFunctions.Utility_SourceHyperlink($D$49),$D$49)</f>
        <v>Table_MMS_m-5_T-1</v>
      </c>
      <c r="M44" s="139" t="s">
        <v>369</v>
      </c>
      <c r="N44" s="142" t="s">
        <v>370</v>
      </c>
      <c r="O44" s="141"/>
      <c r="P44" s="139" t="s">
        <v>327</v>
      </c>
      <c r="Q44" s="130" t="s">
        <v>380</v>
      </c>
      <c r="R44" s="140" t="str" cm="1">
        <f t="array" aca="1" ref="R44" ca="1">HYPERLINK(Common_InputFunctions.Utility_SourceHyperlink($D$49),$D$49)</f>
        <v>Table_MMS_m-5_T-1</v>
      </c>
    </row>
    <row r="45" spans="3:18" ht="20.100000000000001" customHeight="1" x14ac:dyDescent="0.25">
      <c r="D45" s="139" t="s">
        <v>371</v>
      </c>
      <c r="E45" s="142" t="s">
        <v>372</v>
      </c>
      <c r="F45" s="141"/>
      <c r="G45" s="139" t="s">
        <v>327</v>
      </c>
      <c r="H45" s="131" t="s">
        <v>379</v>
      </c>
      <c r="I45" s="139">
        <f>HLOOKUP(I47, Table_SourceData_Feedlot_MCF[#All], 2, FALSE)</f>
        <v>0.01</v>
      </c>
      <c r="M45" s="139" t="s">
        <v>371</v>
      </c>
      <c r="N45" s="142" t="s">
        <v>372</v>
      </c>
      <c r="O45" s="141"/>
      <c r="P45" s="139" t="s">
        <v>327</v>
      </c>
      <c r="Q45" s="131" t="s">
        <v>379</v>
      </c>
      <c r="R45" s="139">
        <f>HLOOKUP(I47, Table_SourceData_Feedlot_MCF[#All], 2, FALSE)</f>
        <v>0.01</v>
      </c>
    </row>
    <row r="46" spans="3:18" ht="20.100000000000001" customHeight="1" x14ac:dyDescent="0.25">
      <c r="D46" s="139" t="s">
        <v>373</v>
      </c>
      <c r="E46" s="142" t="s">
        <v>374</v>
      </c>
      <c r="F46" s="141"/>
      <c r="G46" s="139" t="s">
        <v>381</v>
      </c>
      <c r="H46" s="131" t="s">
        <v>379</v>
      </c>
      <c r="I46" s="139">
        <f>'Constants - Common'!$D$175</f>
        <v>0.6784</v>
      </c>
      <c r="M46" s="139" t="s">
        <v>373</v>
      </c>
      <c r="N46" s="142" t="s">
        <v>374</v>
      </c>
      <c r="O46" s="141"/>
      <c r="P46" s="139" t="s">
        <v>381</v>
      </c>
      <c r="Q46" s="131" t="s">
        <v>379</v>
      </c>
      <c r="R46" s="139">
        <f>'Constants - Common'!$D$175</f>
        <v>0.6784</v>
      </c>
    </row>
    <row r="47" spans="3:18" ht="20.100000000000001" customHeight="1" x14ac:dyDescent="0.25">
      <c r="D47" s="139" t="s">
        <v>375</v>
      </c>
      <c r="E47" s="142" t="s">
        <v>376</v>
      </c>
      <c r="F47" s="141"/>
      <c r="G47" s="139"/>
      <c r="H47" s="130" t="s">
        <v>380</v>
      </c>
      <c r="I47" s="139" t="str">
        <f>Common_InputFunctions.Utility_LookupValueInTable('Input - Site'!$E$21,Table_AustralianStates[Common Name],Table_AustralianStates[Abbreviation])</f>
        <v>NSW</v>
      </c>
      <c r="M47" s="139" t="s">
        <v>375</v>
      </c>
      <c r="N47" s="142" t="s">
        <v>376</v>
      </c>
      <c r="O47" s="141"/>
      <c r="P47" s="139"/>
      <c r="Q47" s="130" t="s">
        <v>380</v>
      </c>
      <c r="R47" s="139" t="str">
        <f>Common_InputFunctions.Utility_LookupValueInTable('Input - Site'!$E$21,Table_AustralianStates[Common Name],Table_AustralianStates[Abbreviation])</f>
        <v>NSW</v>
      </c>
    </row>
    <row r="48" spans="3:18" ht="20.100000000000001" customHeight="1" x14ac:dyDescent="0.25"/>
    <row r="49" spans="3:18" ht="20.100000000000001" customHeight="1" x14ac:dyDescent="0.25">
      <c r="D49" s="104" t="s">
        <v>110</v>
      </c>
    </row>
    <row r="50" spans="3:18" ht="20.100000000000001" customHeight="1" x14ac:dyDescent="0.25">
      <c r="D50" s="103" t="s">
        <v>108</v>
      </c>
    </row>
    <row r="51" spans="3:18" ht="20.100000000000001" customHeight="1" x14ac:dyDescent="0.25">
      <c r="D51" s="41" t="s">
        <v>105</v>
      </c>
      <c r="E51" s="41" t="s">
        <v>139</v>
      </c>
      <c r="F51" s="41" t="s">
        <v>140</v>
      </c>
      <c r="G51" s="41" t="s">
        <v>141</v>
      </c>
    </row>
    <row r="52" spans="3:18" ht="20.100000000000001" customHeight="1" x14ac:dyDescent="0.25">
      <c r="D52" s="55" t="str">
        <f>'Input - Feedlot'!$D$28</f>
        <v>Drylot (feed pad)</v>
      </c>
      <c r="E52" s="55">
        <f>'Input - Feedlot'!$E$28</f>
        <v>1</v>
      </c>
      <c r="F52" s="55">
        <f>'Input - Feedlot'!$F$28</f>
        <v>1</v>
      </c>
      <c r="G52" s="55">
        <f>'Input - Feedlot'!$G$28</f>
        <v>1</v>
      </c>
      <c r="H52" s="2" t="s">
        <v>327</v>
      </c>
    </row>
    <row r="53" spans="3:18" ht="20.100000000000001" customHeight="1" x14ac:dyDescent="0.25"/>
    <row r="54" spans="3:18" ht="20.100000000000001" customHeight="1" x14ac:dyDescent="0.25">
      <c r="D54" s="104" t="s">
        <v>208</v>
      </c>
      <c r="M54" s="104" t="s">
        <v>210</v>
      </c>
    </row>
    <row r="55" spans="3:18" ht="20.100000000000001" customHeight="1" x14ac:dyDescent="0.25">
      <c r="D55" s="103" t="s">
        <v>209</v>
      </c>
      <c r="M55" s="103" t="s">
        <v>211</v>
      </c>
    </row>
    <row r="56" spans="3:18" ht="20.100000000000001" customHeight="1" x14ac:dyDescent="0.25">
      <c r="D56" s="54" t="s">
        <v>105</v>
      </c>
      <c r="E56" s="54" t="s">
        <v>139</v>
      </c>
      <c r="F56" s="54" t="s">
        <v>140</v>
      </c>
      <c r="G56" s="54" t="s">
        <v>141</v>
      </c>
      <c r="M56" s="54" t="s">
        <v>105</v>
      </c>
      <c r="N56" s="54" t="s">
        <v>139</v>
      </c>
      <c r="O56" s="54" t="s">
        <v>140</v>
      </c>
      <c r="P56" s="54" t="s">
        <v>141</v>
      </c>
    </row>
    <row r="57" spans="3:18" ht="20.100000000000001" customHeight="1" x14ac:dyDescent="0.25">
      <c r="D57" s="55" t="str">
        <f>'Input - Feedlot'!$D$28</f>
        <v>Drylot (feed pad)</v>
      </c>
      <c r="E57" s="55">
        <f>(_xlfn.LET(_xlpm.MCF_im5, IF(ISNUMBER($I$45), $I$45, 0), D30 * $I$43 * E52 * _xlpm.MCF_im5 * $I$46))</f>
        <v>2.1394673663999997E-3</v>
      </c>
      <c r="F57" s="55">
        <f>(_xlfn.LET(_xlpm.MCF_im5, IF(ISNUMBER($I$45), $I$45, 0), E30 * $I$43 * F52 * _xlpm.MCF_im5 * $I$46))</f>
        <v>2.2217545727999995E-3</v>
      </c>
      <c r="G57" s="55">
        <f>(_xlfn.LET(_xlpm.MCF_im5, IF(ISNUMBER($I$45), $I$45, 0), F30 * $I$43 * G52 * _xlpm.MCF_im5 * $I$46))</f>
        <v>1.6868877311999992E-3</v>
      </c>
      <c r="H57" s="2" t="str">
        <f>$E$40</f>
        <v>kg CH4/head/day</v>
      </c>
      <c r="M57" s="55" t="str">
        <f>'Input - Feedlot'!$D$28</f>
        <v>Drylot (feed pad)</v>
      </c>
      <c r="N57" s="55">
        <f>(_xlfn.LET(_xlpm.MCF_im5, IF(ISNUMBER($I$45), $I$45, 0), M30 * $I$43 * E52 * _xlpm.MCF_im5 * $I$46))</f>
        <v>2.1394673663999997E-3</v>
      </c>
      <c r="O57" s="55">
        <f>(_xlfn.LET(_xlpm.MCF_im5, IF(ISNUMBER($I$45), $I$45, 0), N30 * $I$43 * F52 * _xlpm.MCF_im5 * $I$46))</f>
        <v>2.2217545727999995E-3</v>
      </c>
      <c r="P57" s="55">
        <f>(_xlfn.LET(_xlpm.MCF_im5, IF(ISNUMBER($I$45), $I$45, 0), O30 * $I$43 * G52 * _xlpm.MCF_im5 * $I$46))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
        <v>382</v>
      </c>
    </row>
    <row r="62" spans="3:18" ht="20.100000000000001" customHeight="1" x14ac:dyDescent="0.25">
      <c r="D62" s="5" t="s">
        <v>383</v>
      </c>
    </row>
    <row r="63" spans="3:18" ht="20.100000000000001" customHeight="1" x14ac:dyDescent="0.25">
      <c r="D63" s="13"/>
      <c r="E63" s="13"/>
    </row>
    <row r="64" spans="3:18" ht="20.100000000000001" customHeight="1" x14ac:dyDescent="0.25"/>
    <row r="65" spans="4:18" ht="20.100000000000001" customHeight="1" x14ac:dyDescent="0.25">
      <c r="D65" s="6"/>
    </row>
    <row r="66" spans="4:18" ht="20.100000000000001" customHeight="1" x14ac:dyDescent="0.25">
      <c r="D66" s="56" t="s">
        <v>28</v>
      </c>
      <c r="E66" s="1" t="s">
        <v>384</v>
      </c>
    </row>
    <row r="67" spans="4:18" ht="20.100000000000001" customHeight="1" x14ac:dyDescent="0.25">
      <c r="D67" s="56" t="s">
        <v>19</v>
      </c>
      <c r="E67" s="57" t="s">
        <v>365</v>
      </c>
      <c r="M67" s="115" t="s">
        <v>350</v>
      </c>
    </row>
    <row r="68" spans="4:18" ht="20.100000000000001" customHeight="1" x14ac:dyDescent="0.25"/>
    <row r="69" spans="4:18" ht="20.100000000000001" customHeight="1" x14ac:dyDescent="0.25">
      <c r="D69" s="139" t="s">
        <v>385</v>
      </c>
      <c r="E69" s="142" t="s">
        <v>386</v>
      </c>
      <c r="F69" s="141"/>
      <c r="G69" s="139" t="s">
        <v>327</v>
      </c>
      <c r="H69" s="131" t="s">
        <v>379</v>
      </c>
      <c r="I69" s="60">
        <f>'Constants - Feedlot'!$E$7</f>
        <v>0.5</v>
      </c>
      <c r="M69" s="139" t="s">
        <v>385</v>
      </c>
      <c r="N69" s="142" t="s">
        <v>386</v>
      </c>
      <c r="O69" s="141"/>
      <c r="P69" s="139" t="s">
        <v>327</v>
      </c>
      <c r="Q69" s="131" t="s">
        <v>379</v>
      </c>
      <c r="R69" s="60"/>
    </row>
    <row r="70" spans="4:18" ht="20.100000000000001" customHeight="1" x14ac:dyDescent="0.25">
      <c r="D70" s="139" t="s">
        <v>360</v>
      </c>
      <c r="E70" s="142" t="s">
        <v>366</v>
      </c>
      <c r="F70" s="141"/>
      <c r="G70" s="139" t="s">
        <v>361</v>
      </c>
      <c r="H70" s="131" t="s">
        <v>377</v>
      </c>
      <c r="I70" s="140" t="str" cm="1">
        <f t="array" aca="1" ref="I70" ca="1">HYPERLINK(Common_InputFunctions.Utility_SourceHyperlink($D$27),$D$27)</f>
        <v>M1_Table_VS_j</v>
      </c>
      <c r="M70" s="139" t="s">
        <v>360</v>
      </c>
      <c r="N70" s="142" t="s">
        <v>366</v>
      </c>
      <c r="O70" s="141"/>
      <c r="P70" s="139" t="s">
        <v>361</v>
      </c>
      <c r="Q70" s="131" t="s">
        <v>377</v>
      </c>
      <c r="R70" s="140"/>
    </row>
    <row r="71" spans="4:18" ht="20.100000000000001" customHeight="1" x14ac:dyDescent="0.25">
      <c r="D71" s="139" t="s">
        <v>367</v>
      </c>
      <c r="E71" s="142" t="s">
        <v>368</v>
      </c>
      <c r="F71" s="141"/>
      <c r="G71" s="139" t="s">
        <v>378</v>
      </c>
      <c r="H71" s="131" t="s">
        <v>379</v>
      </c>
      <c r="I71" s="60">
        <f>'Constants - Feedlot'!$E$22</f>
        <v>0.19</v>
      </c>
      <c r="M71" s="139" t="s">
        <v>367</v>
      </c>
      <c r="N71" s="142" t="s">
        <v>368</v>
      </c>
      <c r="O71" s="141"/>
      <c r="P71" s="139" t="s">
        <v>378</v>
      </c>
      <c r="Q71" s="131" t="s">
        <v>379</v>
      </c>
      <c r="R71" s="60"/>
    </row>
    <row r="72" spans="4:18" ht="20.100000000000001" customHeight="1" x14ac:dyDescent="0.25">
      <c r="D72" s="139" t="s">
        <v>387</v>
      </c>
      <c r="E72" s="142" t="s">
        <v>388</v>
      </c>
      <c r="F72" s="141"/>
      <c r="G72" s="139" t="s">
        <v>327</v>
      </c>
      <c r="H72" s="130" t="s">
        <v>380</v>
      </c>
      <c r="I72" s="140" t="str" cm="1">
        <f t="array" aca="1" ref="I72" ca="1">HYPERLINK(Common_InputFunctions.Utility_SourceHyperlink($D$77),$D$77)</f>
        <v>Table_MMS_m_T-2</v>
      </c>
      <c r="M72" s="139" t="s">
        <v>387</v>
      </c>
      <c r="N72" s="142" t="s">
        <v>388</v>
      </c>
      <c r="O72" s="141"/>
      <c r="P72" s="139" t="s">
        <v>327</v>
      </c>
      <c r="Q72" s="130" t="s">
        <v>380</v>
      </c>
      <c r="R72" s="140"/>
    </row>
    <row r="73" spans="4:18" ht="20.100000000000001" customHeight="1" x14ac:dyDescent="0.25">
      <c r="D73" s="139" t="s">
        <v>389</v>
      </c>
      <c r="E73" s="142" t="s">
        <v>390</v>
      </c>
      <c r="F73" s="141"/>
      <c r="G73" s="139" t="s">
        <v>327</v>
      </c>
      <c r="H73" s="131" t="s">
        <v>379</v>
      </c>
      <c r="I73" s="140" t="str" cm="1">
        <f t="array" aca="1" ref="I73" ca="1">HYPERLINK(Common_InputFunctions.Utility_SourceHyperlink($D$84),$D$84)</f>
        <v>Table_MCF_i_m</v>
      </c>
      <c r="M73" s="139" t="s">
        <v>389</v>
      </c>
      <c r="N73" s="142" t="s">
        <v>391</v>
      </c>
      <c r="O73" s="141"/>
      <c r="P73" s="139" t="s">
        <v>327</v>
      </c>
      <c r="Q73" s="131" t="s">
        <v>379</v>
      </c>
      <c r="R73" s="140" t="str" cm="1">
        <f t="array" aca="1" ref="R73" ca="1">HYPERLINK(Common_InputFunctions.Utility_SourceHyperlink($M$84),$M$84)</f>
        <v>Table_MCF_i_m</v>
      </c>
    </row>
    <row r="74" spans="4:18" ht="20.100000000000001" customHeight="1" x14ac:dyDescent="0.25">
      <c r="D74" s="139" t="s">
        <v>373</v>
      </c>
      <c r="E74" s="142" t="s">
        <v>374</v>
      </c>
      <c r="F74" s="141"/>
      <c r="G74" s="139" t="s">
        <v>381</v>
      </c>
      <c r="H74" s="131" t="s">
        <v>379</v>
      </c>
      <c r="I74" s="60">
        <f>'Constants - Common'!$D$175</f>
        <v>0.6784</v>
      </c>
      <c r="M74" s="139" t="s">
        <v>373</v>
      </c>
      <c r="N74" s="142" t="s">
        <v>374</v>
      </c>
      <c r="O74" s="141"/>
      <c r="P74" s="139" t="s">
        <v>381</v>
      </c>
      <c r="Q74" s="131" t="s">
        <v>379</v>
      </c>
      <c r="R74" s="60"/>
    </row>
    <row r="75" spans="4:18" ht="20.100000000000001" customHeight="1" x14ac:dyDescent="0.25">
      <c r="D75" s="139" t="s">
        <v>375</v>
      </c>
      <c r="E75" s="142" t="s">
        <v>376</v>
      </c>
      <c r="F75" s="141"/>
      <c r="G75" s="139"/>
      <c r="H75" s="130" t="s">
        <v>380</v>
      </c>
      <c r="I75" s="60" t="str">
        <f>Common_InputFunctions.Utility_LookupValueInTable('Input - Site'!$E$21,Table_AustralianStates[Common Name],Table_AustralianStates[Abbreviation])</f>
        <v>NSW</v>
      </c>
      <c r="M75" s="139" t="s">
        <v>375</v>
      </c>
      <c r="N75" s="142" t="s">
        <v>392</v>
      </c>
      <c r="O75" s="141"/>
      <c r="P75" s="139"/>
      <c r="Q75" s="130" t="s">
        <v>380</v>
      </c>
      <c r="R75" s="60">
        <f>'Input - Site'!$E$25</f>
        <v>18</v>
      </c>
    </row>
    <row r="76" spans="4:18" ht="20.100000000000001" customHeight="1" x14ac:dyDescent="0.25"/>
    <row r="77" spans="4:18" ht="20.100000000000001" customHeight="1" x14ac:dyDescent="0.25">
      <c r="D77" s="104" t="s">
        <v>112</v>
      </c>
    </row>
    <row r="78" spans="4:18" ht="20.100000000000001" customHeight="1" x14ac:dyDescent="0.25">
      <c r="D78" s="103" t="s">
        <v>113</v>
      </c>
    </row>
    <row r="79" spans="4:18" ht="20.100000000000001" customHeight="1" x14ac:dyDescent="0.25">
      <c r="D79" s="41" t="s">
        <v>105</v>
      </c>
      <c r="E79" s="41" t="s">
        <v>101</v>
      </c>
      <c r="F79" s="41" t="s">
        <v>139</v>
      </c>
      <c r="G79" s="41" t="s">
        <v>140</v>
      </c>
      <c r="H79" s="41" t="s">
        <v>141</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99</v>
      </c>
      <c r="M84" s="104" t="s">
        <v>99</v>
      </c>
    </row>
    <row r="85" spans="4:17" ht="20.100000000000001" customHeight="1" x14ac:dyDescent="0.25">
      <c r="D85" s="103" t="s">
        <v>115</v>
      </c>
      <c r="M85" s="103" t="s">
        <v>115</v>
      </c>
    </row>
    <row r="86" spans="4:17" ht="20.100000000000001" customHeight="1" x14ac:dyDescent="0.25">
      <c r="D86" s="54" t="s">
        <v>105</v>
      </c>
      <c r="E86" s="54" t="s">
        <v>101</v>
      </c>
      <c r="F86" s="54" t="s">
        <v>97</v>
      </c>
      <c r="M86" s="54" t="s">
        <v>105</v>
      </c>
      <c r="N86" s="54" t="s">
        <v>101</v>
      </c>
      <c r="O86" s="54" t="s">
        <v>97</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Common_InputFunctions.Common_GetMCFTemperatureZone(R76,N88,Table_SourceData_Common_MCFTemperatureZone[MAT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Common_InputFunctions.Common_GetMCFTemperatureZone(R77,N89,Table_SourceData_Common_MCFTemperatureZone[MAT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351</v>
      </c>
      <c r="E91" s="98"/>
      <c r="F91" s="98"/>
      <c r="G91" s="98"/>
      <c r="H91" s="92"/>
    </row>
    <row r="92" spans="4:17" ht="20.100000000000001" customHeight="1" x14ac:dyDescent="0.25"/>
    <row r="93" spans="4:17" ht="20.100000000000001" customHeight="1" x14ac:dyDescent="0.25">
      <c r="D93" s="104" t="s">
        <v>212</v>
      </c>
      <c r="M93" s="104" t="s">
        <v>214</v>
      </c>
    </row>
    <row r="94" spans="4:17" ht="20.100000000000001" customHeight="1" x14ac:dyDescent="0.25">
      <c r="D94" s="103" t="s">
        <v>213</v>
      </c>
      <c r="M94" s="103" t="s">
        <v>215</v>
      </c>
    </row>
    <row r="95" spans="4:17" ht="20.100000000000001" customHeight="1" x14ac:dyDescent="0.25">
      <c r="D95" s="54" t="s">
        <v>101</v>
      </c>
      <c r="E95" s="54" t="s">
        <v>139</v>
      </c>
      <c r="F95" s="54" t="s">
        <v>140</v>
      </c>
      <c r="G95" s="54" t="s">
        <v>141</v>
      </c>
      <c r="M95" s="54" t="s">
        <v>101</v>
      </c>
      <c r="N95" s="54" t="s">
        <v>139</v>
      </c>
      <c r="O95" s="54" t="s">
        <v>140</v>
      </c>
      <c r="P95" s="54" t="s">
        <v>141</v>
      </c>
    </row>
    <row r="96" spans="4:17" ht="20.100000000000001" customHeight="1" x14ac:dyDescent="0.25">
      <c r="D96" s="55" t="str">
        <f>'Input - Feedlot'!$D$32</f>
        <v>Solid storage</v>
      </c>
      <c r="E96" s="55">
        <f>((1 - $I$69) * D$30 * $I$71 * F80 * (_xlfn.XLOOKUP($D96,$E$87:$E$89,$F$87:$F$89)) * $I$74)</f>
        <v>4.2789347327999993E-4</v>
      </c>
      <c r="F96" s="55">
        <f>((1 - $I$69) * E$30 * $I$71 * G80 * (_xlfn.XLOOKUP($D96,$E$87:$E$89,$F$87:$F$89)) * $I$74)</f>
        <v>4.4435091455999993E-4</v>
      </c>
      <c r="G96" s="55">
        <f>((1 - $I$69) * F$30 * $I$71 * H80 * (_xlfn.XLOOKUP($D96,$E$87:$E$89,$F$87:$F$89)) * $I$74)</f>
        <v>3.3737754623999993E-4</v>
      </c>
      <c r="H96" s="2" t="str">
        <f>$E$67</f>
        <v>kg CH4/head/day</v>
      </c>
      <c r="M96" s="55" t="str">
        <f>'Input - Feedlot'!$D$32</f>
        <v>Solid storage</v>
      </c>
      <c r="N96" s="55">
        <f>((1 - $I$69) * M$30 * $I$71 * F80 * (_xlfn.XLOOKUP($M96,$N$87:$N$89,$O$87:$O$89)) * $I$74)</f>
        <v>4.2789347327999993E-4</v>
      </c>
      <c r="O96" s="55">
        <f>((1 - $I$69) * N$30 * $I$71 * G80 * (_xlfn.XLOOKUP($M96,$N$87:$N$89,$O$87:$O$89)) * $I$74)</f>
        <v>4.4435091455999993E-4</v>
      </c>
      <c r="P96" s="55">
        <f>((1 - $I$69) * O$30 * $I$71 * H80 * (_xlfn.XLOOKUP($M96,$N$87:$N$89,$O$87:$O$89)) * $I$74)</f>
        <v>3.3737754623999993E-4</v>
      </c>
      <c r="Q96" s="2" t="str">
        <f>$E$67</f>
        <v>kg CH4/head/day</v>
      </c>
    </row>
    <row r="97" spans="3:18" ht="20.100000000000001" customHeight="1" x14ac:dyDescent="0.25">
      <c r="D97" s="55" t="str">
        <f>'Input - Feedlot'!$D$33</f>
        <v>Composting (passive windrow)</v>
      </c>
      <c r="E97" s="55">
        <f>((1 - $I$69) * D$30 * $I$71 * F81 * (_xlfn.XLOOKUP($D97,$E$87:$E$89,$F$87:$F$89)) * $I$74)</f>
        <v>2.1394673663999996E-4</v>
      </c>
      <c r="F97" s="55">
        <f>((1 - $I$69) * E$30 * $I$71 * G81 * (_xlfn.XLOOKUP($D97,$E$87:$E$89,$F$87:$F$89)) * $I$74)</f>
        <v>2.2217545727999996E-4</v>
      </c>
      <c r="G97" s="55">
        <f>((1 - $I$69) * F$30 * $I$71 * H81 * (_xlfn.XLOOKUP($D97,$E$87:$E$89,$F$87:$F$89)) * $I$74)</f>
        <v>1.6868877311999997E-4</v>
      </c>
      <c r="H97" s="2"/>
      <c r="M97" s="55" t="str">
        <f>'Input - Feedlot'!$D$33</f>
        <v>Composting (passive windrow)</v>
      </c>
      <c r="N97" s="55">
        <f>((1 - $I$69) * M$30 * $I$71 * F81 * (_xlfn.XLOOKUP($M97,$N$87:$N$89,$O$87:$O$89)) * $I$74)</f>
        <v>2.1394673663999996E-4</v>
      </c>
      <c r="O97" s="55">
        <f>((1 - $I$69) * N$30 * $I$71 * G81 * (_xlfn.XLOOKUP($M97,$N$87:$N$89,$O$87:$O$89)) * $I$74)</f>
        <v>2.2217545727999996E-4</v>
      </c>
      <c r="P97" s="55">
        <f>((1 - $I$69) * O$30 * $I$71 * H81 * (_xlfn.XLOOKUP($M97,$N$87:$N$89,$O$87:$O$89)) * $I$74)</f>
        <v>1.6868877311999997E-4</v>
      </c>
      <c r="Q97" s="2"/>
    </row>
    <row r="98" spans="3:18" ht="20.100000000000001" customHeight="1" x14ac:dyDescent="0.25">
      <c r="D98" s="55" t="str">
        <f>'Input - Feedlot'!$D$34</f>
        <v>Direct application</v>
      </c>
      <c r="E98" s="55">
        <f>((1 - $I$69) * D$30 * $I$71 * F82 * (_xlfn.XLOOKUP($D98,$E$87:$E$89,$F$87:$F$89)) * $I$74)</f>
        <v>0</v>
      </c>
      <c r="F98" s="55">
        <f>((1 - $I$69) * E$30 * $I$71 * G82 * (_xlfn.XLOOKUP($D98,$E$87:$E$89,$F$87:$F$89)) * $I$74)</f>
        <v>0</v>
      </c>
      <c r="G98" s="55">
        <f>((1 - $I$69) * F$30 * $I$71 * H82 * (_xlfn.XLOOKUP($D98,$E$87:$E$89,$F$87:$F$89)) * $I$74)</f>
        <v>0</v>
      </c>
      <c r="H98" s="2"/>
      <c r="M98" s="55" t="str">
        <f>'Input - Feedlot'!$D$34</f>
        <v>Direct application</v>
      </c>
      <c r="N98" s="55">
        <f>((1 - $I$69) * M$30 * $I$71 * F82 * (_xlfn.XLOOKUP($M98,$N$87:$N$89,$O$87:$O$89)) * $I$74)</f>
        <v>0</v>
      </c>
      <c r="O98" s="55">
        <f>((1 - $I$69) * N$30 * $I$71 * G82 * (_xlfn.XLOOKUP($M98,$N$87:$N$89,$O$87:$O$89)) * $I$74)</f>
        <v>0</v>
      </c>
      <c r="P98" s="55">
        <f>((1 - $I$69) * O$30 * $I$71 * H82 * (_xlfn.XLOOKUP($M98,$N$87:$N$89,$O$87:$O$89)) * $I$74)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
        <v>393</v>
      </c>
    </row>
    <row r="103" spans="3:18" ht="20.100000000000001" customHeight="1" x14ac:dyDescent="0.25">
      <c r="D103" s="5" t="s">
        <v>394</v>
      </c>
    </row>
    <row r="104" spans="3:18" ht="20.100000000000001" customHeight="1" x14ac:dyDescent="0.25">
      <c r="D104" s="13"/>
      <c r="E104" s="13"/>
    </row>
    <row r="105" spans="3:18" ht="20.100000000000001" customHeight="1" x14ac:dyDescent="0.25"/>
    <row r="106" spans="3:18" ht="20.100000000000001" customHeight="1" x14ac:dyDescent="0.25">
      <c r="D106" s="6"/>
    </row>
    <row r="107" spans="3:18" ht="20.100000000000001" customHeight="1" x14ac:dyDescent="0.25">
      <c r="D107" s="56" t="s">
        <v>28</v>
      </c>
      <c r="E107" s="1" t="s">
        <v>395</v>
      </c>
    </row>
    <row r="108" spans="3:18" ht="20.100000000000001" customHeight="1" x14ac:dyDescent="0.25">
      <c r="D108" s="56" t="s">
        <v>19</v>
      </c>
      <c r="E108" s="57" t="s">
        <v>365</v>
      </c>
    </row>
    <row r="109" spans="3:18" ht="20.100000000000001" customHeight="1" x14ac:dyDescent="0.25"/>
    <row r="110" spans="3:18" ht="20.100000000000001" customHeight="1" x14ac:dyDescent="0.25">
      <c r="D110" s="139" t="s">
        <v>360</v>
      </c>
      <c r="E110" s="142" t="s">
        <v>396</v>
      </c>
      <c r="F110" s="141"/>
      <c r="G110" s="139" t="s">
        <v>361</v>
      </c>
      <c r="H110" s="131" t="s">
        <v>377</v>
      </c>
      <c r="I110" s="140" t="str" cm="1">
        <f t="array" aca="1" ref="I110" ca="1">HYPERLINK(Common_InputFunctions.Utility_SourceHyperlink($D$27),$D$27)</f>
        <v>M1_Table_VS_j</v>
      </c>
      <c r="M110" s="139" t="s">
        <v>360</v>
      </c>
      <c r="N110" s="142" t="s">
        <v>396</v>
      </c>
      <c r="O110" s="141"/>
      <c r="P110" s="139" t="s">
        <v>361</v>
      </c>
      <c r="Q110" s="131" t="s">
        <v>377</v>
      </c>
      <c r="R110" s="140"/>
    </row>
    <row r="111" spans="3:18" ht="20.100000000000001" customHeight="1" x14ac:dyDescent="0.25">
      <c r="D111" s="139" t="s">
        <v>367</v>
      </c>
      <c r="E111" s="142" t="s">
        <v>368</v>
      </c>
      <c r="F111" s="141"/>
      <c r="G111" s="139" t="s">
        <v>378</v>
      </c>
      <c r="H111" s="131" t="s">
        <v>379</v>
      </c>
      <c r="I111" s="139">
        <f>'Constants - Feedlot'!$E$22</f>
        <v>0.19</v>
      </c>
      <c r="M111" s="139" t="s">
        <v>367</v>
      </c>
      <c r="N111" s="142" t="s">
        <v>368</v>
      </c>
      <c r="O111" s="141"/>
      <c r="P111" s="139" t="s">
        <v>378</v>
      </c>
      <c r="Q111" s="131" t="s">
        <v>379</v>
      </c>
      <c r="R111" s="139"/>
    </row>
    <row r="112" spans="3:18" ht="20.100000000000001" customHeight="1" x14ac:dyDescent="0.25">
      <c r="D112" s="139" t="s">
        <v>397</v>
      </c>
      <c r="E112" s="142" t="s">
        <v>398</v>
      </c>
      <c r="F112" s="141"/>
      <c r="G112" s="139" t="s">
        <v>327</v>
      </c>
      <c r="H112" s="130" t="s">
        <v>380</v>
      </c>
      <c r="I112" s="140" t="str" cm="1">
        <f t="array" aca="1" ref="I112" ca="1">HYPERLINK(Common_InputFunctions.Utility_SourceHyperlink($D$117),$D$117)</f>
        <v>Table_MMS_m-1_T-3</v>
      </c>
      <c r="M112" s="139" t="s">
        <v>397</v>
      </c>
      <c r="N112" s="142" t="s">
        <v>398</v>
      </c>
      <c r="O112" s="141"/>
      <c r="P112" s="139" t="s">
        <v>327</v>
      </c>
      <c r="Q112" s="130" t="s">
        <v>380</v>
      </c>
      <c r="R112" s="140"/>
    </row>
    <row r="113" spans="3:18" ht="20.100000000000001" customHeight="1" x14ac:dyDescent="0.25">
      <c r="D113" s="139" t="s">
        <v>399</v>
      </c>
      <c r="E113" s="142" t="s">
        <v>400</v>
      </c>
      <c r="F113" s="141"/>
      <c r="G113" s="139" t="s">
        <v>327</v>
      </c>
      <c r="H113" s="131" t="s">
        <v>379</v>
      </c>
      <c r="I113" s="139">
        <f>HLOOKUP(I115, Table_SourceData_Feedlot_MCF[#All], 6, FALSE)</f>
        <v>0.75</v>
      </c>
      <c r="M113" s="139" t="s">
        <v>399</v>
      </c>
      <c r="N113" s="142" t="s">
        <v>401</v>
      </c>
      <c r="O113" s="141"/>
      <c r="P113" s="139" t="s">
        <v>327</v>
      </c>
      <c r="Q113" s="131" t="s">
        <v>379</v>
      </c>
      <c r="R113" s="139">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9" t="s">
        <v>373</v>
      </c>
      <c r="E114" s="142" t="s">
        <v>374</v>
      </c>
      <c r="F114" s="141"/>
      <c r="G114" s="139" t="s">
        <v>381</v>
      </c>
      <c r="H114" s="131" t="s">
        <v>379</v>
      </c>
      <c r="I114" s="139">
        <f>'Constants - Common'!$D$175</f>
        <v>0.6784</v>
      </c>
      <c r="M114" s="139" t="s">
        <v>373</v>
      </c>
      <c r="N114" s="142" t="s">
        <v>374</v>
      </c>
      <c r="O114" s="141"/>
      <c r="P114" s="139" t="s">
        <v>381</v>
      </c>
      <c r="Q114" s="131" t="s">
        <v>379</v>
      </c>
      <c r="R114" s="139"/>
    </row>
    <row r="115" spans="3:18" ht="20.100000000000001" customHeight="1" x14ac:dyDescent="0.25">
      <c r="D115" s="139" t="s">
        <v>375</v>
      </c>
      <c r="E115" s="142" t="s">
        <v>376</v>
      </c>
      <c r="F115" s="141"/>
      <c r="G115" s="139"/>
      <c r="H115" s="130" t="s">
        <v>380</v>
      </c>
      <c r="I115" s="139" t="str">
        <f>Common_InputFunctions.Utility_LookupValueInTable('Input - Site'!$E$21,Table_AustralianStates[Common Name],Table_AustralianStates[Abbreviation])</f>
        <v>NSW</v>
      </c>
      <c r="M115" s="139" t="s">
        <v>375</v>
      </c>
      <c r="N115" s="142" t="s">
        <v>392</v>
      </c>
      <c r="O115" s="141"/>
      <c r="P115" s="139"/>
      <c r="Q115" s="130" t="s">
        <v>380</v>
      </c>
      <c r="R115" s="60">
        <f>'Input - Site'!$E$25</f>
        <v>18</v>
      </c>
    </row>
    <row r="116" spans="3:18" ht="20.100000000000001" customHeight="1" x14ac:dyDescent="0.25"/>
    <row r="117" spans="3:18" ht="20.100000000000001" customHeight="1" x14ac:dyDescent="0.25">
      <c r="D117" s="104" t="s">
        <v>117</v>
      </c>
    </row>
    <row r="118" spans="3:18" ht="20.100000000000001" customHeight="1" x14ac:dyDescent="0.25">
      <c r="D118" s="103" t="s">
        <v>119</v>
      </c>
    </row>
    <row r="119" spans="3:18" ht="20.100000000000001" customHeight="1" x14ac:dyDescent="0.25">
      <c r="D119" s="41" t="s">
        <v>118</v>
      </c>
      <c r="E119" s="41" t="s">
        <v>139</v>
      </c>
      <c r="F119" s="41" t="s">
        <v>140</v>
      </c>
      <c r="G119" s="41" t="s">
        <v>141</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216</v>
      </c>
      <c r="M122" s="104" t="s">
        <v>218</v>
      </c>
    </row>
    <row r="123" spans="3:18" ht="20.100000000000001" customHeight="1" x14ac:dyDescent="0.25">
      <c r="D123" s="103" t="s">
        <v>217</v>
      </c>
      <c r="M123" s="103" t="s">
        <v>219</v>
      </c>
    </row>
    <row r="124" spans="3:18" ht="20.100000000000001" customHeight="1" x14ac:dyDescent="0.25">
      <c r="D124" s="54" t="s">
        <v>118</v>
      </c>
      <c r="E124" s="54" t="s">
        <v>139</v>
      </c>
      <c r="F124" s="54" t="s">
        <v>140</v>
      </c>
      <c r="G124" s="54" t="s">
        <v>141</v>
      </c>
      <c r="M124" s="54" t="s">
        <v>118</v>
      </c>
      <c r="N124" s="54" t="s">
        <v>139</v>
      </c>
      <c r="O124" s="54" t="s">
        <v>140</v>
      </c>
      <c r="P124" s="54" t="s">
        <v>141</v>
      </c>
    </row>
    <row r="125" spans="3:18" ht="20.100000000000001" customHeight="1" x14ac:dyDescent="0.25">
      <c r="D125" s="55" t="str">
        <f>'Input - Feedlot'!$D$38</f>
        <v>Anaerobic lagoon</v>
      </c>
      <c r="E125" s="55">
        <f>(D$30 * $I$111 * E120 * $I$113 * $I$114)</f>
        <v>3.2092010495999991E-3</v>
      </c>
      <c r="F125" s="55">
        <f>(E$30 * $I$111 * F120 * $I$113 * $I$114)</f>
        <v>3.3326318591999997E-3</v>
      </c>
      <c r="G125" s="55">
        <f>(F$30 * $I$111 * G120 * $I$113 * $I$114)</f>
        <v>2.530331596799999E-3</v>
      </c>
      <c r="H125" s="2" t="str">
        <f>$E$108</f>
        <v>kg CH4/head/day</v>
      </c>
      <c r="M125" s="55" t="str">
        <f>'Input - Feedlot'!$D$38</f>
        <v>Anaerobic lagoon</v>
      </c>
      <c r="N125" s="55">
        <f>(M$30 * $I$111 * E120 * $R$113 * $I$114)</f>
        <v>3.2947797442559996E-3</v>
      </c>
      <c r="O125" s="55">
        <f>(N$30 * $I$111 * F120 * $R$113 * $I$114)</f>
        <v>3.4215020421119995E-3</v>
      </c>
      <c r="P125" s="55">
        <f>(O$30 * $I$111 * G120 * $R$113 * $I$114)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
        <v>402</v>
      </c>
    </row>
    <row r="130" spans="4:9" ht="20.100000000000001" customHeight="1" x14ac:dyDescent="0.25">
      <c r="D130" s="5" t="s">
        <v>403</v>
      </c>
    </row>
    <row r="131" spans="4:9" ht="20.100000000000001" customHeight="1" x14ac:dyDescent="0.25">
      <c r="D131" s="13"/>
      <c r="E131" s="13"/>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28</v>
      </c>
      <c r="E135" s="1" t="s">
        <v>404</v>
      </c>
    </row>
    <row r="136" spans="4:9" ht="20.100000000000001" customHeight="1" x14ac:dyDescent="0.25">
      <c r="D136" s="56" t="s">
        <v>19</v>
      </c>
      <c r="E136" s="57" t="s">
        <v>405</v>
      </c>
    </row>
    <row r="137" spans="4:9" ht="20.100000000000001" customHeight="1" x14ac:dyDescent="0.25"/>
    <row r="138" spans="4:9" ht="20.100000000000001" customHeight="1" x14ac:dyDescent="0.25">
      <c r="D138" s="139" t="s">
        <v>406</v>
      </c>
      <c r="E138" s="142" t="s">
        <v>407</v>
      </c>
      <c r="F138" s="141"/>
      <c r="G138" s="139" t="s">
        <v>326</v>
      </c>
      <c r="H138" s="130" t="s">
        <v>380</v>
      </c>
      <c r="I138" s="140" t="str" cm="1">
        <f t="array" aca="1" ref="I138" ca="1">HYPERLINK(Common_InputFunctions.Utility_SourceHyperlink($D$142),$D$142)</f>
        <v>Table_D_j</v>
      </c>
    </row>
    <row r="139" spans="4:9" ht="20.100000000000001" customHeight="1" x14ac:dyDescent="0.25">
      <c r="D139" s="139" t="s">
        <v>408</v>
      </c>
      <c r="E139" s="142" t="s">
        <v>409</v>
      </c>
      <c r="F139" s="141"/>
      <c r="G139" s="139" t="s">
        <v>365</v>
      </c>
      <c r="H139" s="131" t="s">
        <v>412</v>
      </c>
      <c r="I139" s="140" t="str" cm="1">
        <f t="array" aca="1" ref="I139" ca="1">HYPERLINK(Common_InputFunctions.Utility_SourceHyperlink($D$147),$D$147)</f>
        <v>M1_Table_M_j_m_T</v>
      </c>
    </row>
    <row r="140" spans="4:9" ht="20.100000000000001" customHeight="1" x14ac:dyDescent="0.25">
      <c r="D140" s="139" t="s">
        <v>410</v>
      </c>
      <c r="E140" s="142" t="s">
        <v>411</v>
      </c>
      <c r="F140" s="141"/>
      <c r="G140" s="139" t="s">
        <v>122</v>
      </c>
      <c r="H140" s="130" t="s">
        <v>380</v>
      </c>
      <c r="I140" s="140" t="str" cm="1">
        <f t="array" aca="1" ref="I140" ca="1">HYPERLINK(Common_InputFunctions.Utility_SourceHyperlink($D$156),$D$156)</f>
        <v>Table_N_j</v>
      </c>
    </row>
    <row r="141" spans="4:9" ht="20.100000000000001" customHeight="1" x14ac:dyDescent="0.25"/>
    <row r="142" spans="4:9" ht="20.100000000000001" customHeight="1" x14ac:dyDescent="0.25">
      <c r="D142" s="104" t="s">
        <v>123</v>
      </c>
    </row>
    <row r="143" spans="4:9" ht="20.100000000000001" customHeight="1" x14ac:dyDescent="0.25">
      <c r="D143" s="103" t="s">
        <v>121</v>
      </c>
    </row>
    <row r="144" spans="4:9" ht="20.100000000000001" customHeight="1" x14ac:dyDescent="0.25">
      <c r="D144" s="41" t="s">
        <v>139</v>
      </c>
      <c r="E144" s="41" t="s">
        <v>140</v>
      </c>
      <c r="F144" s="41" t="s">
        <v>141</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220</v>
      </c>
      <c r="M147" s="104" t="s">
        <v>222</v>
      </c>
    </row>
    <row r="148" spans="4:18" ht="20.100000000000001" customHeight="1" x14ac:dyDescent="0.25">
      <c r="D148" s="103" t="s">
        <v>221</v>
      </c>
      <c r="M148" s="103" t="s">
        <v>223</v>
      </c>
    </row>
    <row r="149" spans="4:18" ht="20.100000000000001" customHeight="1" x14ac:dyDescent="0.25">
      <c r="D149" s="54" t="s">
        <v>127</v>
      </c>
      <c r="E149" s="54" t="s">
        <v>66</v>
      </c>
      <c r="F149" s="54" t="s">
        <v>139</v>
      </c>
      <c r="G149" s="54" t="s">
        <v>140</v>
      </c>
      <c r="H149" s="54" t="s">
        <v>141</v>
      </c>
      <c r="M149" s="54" t="s">
        <v>127</v>
      </c>
      <c r="N149" s="54" t="s">
        <v>66</v>
      </c>
      <c r="O149" s="54" t="s">
        <v>139</v>
      </c>
      <c r="P149" s="54" t="s">
        <v>140</v>
      </c>
      <c r="Q149" s="54" t="s">
        <v>141</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3.2092010495999991E-3</v>
      </c>
      <c r="G154" s="55">
        <f>$F$125</f>
        <v>3.3326318591999997E-3</v>
      </c>
      <c r="H154" s="55">
        <f>$G$125</f>
        <v>2.530331596799999E-3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124</v>
      </c>
    </row>
    <row r="157" spans="4:18" ht="20.100000000000001" customHeight="1" x14ac:dyDescent="0.25">
      <c r="D157" s="103" t="s">
        <v>125</v>
      </c>
    </row>
    <row r="158" spans="4:18" ht="20.100000000000001" customHeight="1" x14ac:dyDescent="0.25">
      <c r="D158" s="41" t="s">
        <v>139</v>
      </c>
      <c r="E158" s="41" t="s">
        <v>140</v>
      </c>
      <c r="F158" s="41" t="s">
        <v>141</v>
      </c>
    </row>
    <row r="159" spans="4:18" ht="20.100000000000001" customHeight="1" x14ac:dyDescent="0.25">
      <c r="D159" s="107">
        <f>'Input - Feedlot'!$E$8</f>
        <v>4300</v>
      </c>
      <c r="E159" s="107">
        <f>'Input - Feedlot'!$F$8</f>
        <v>100</v>
      </c>
      <c r="F159" s="107">
        <f>'Input - Feedlot'!$G$8</f>
        <v>100</v>
      </c>
      <c r="G159" s="2" t="str">
        <f>G140</f>
        <v>head</v>
      </c>
    </row>
    <row r="160" spans="4:18" ht="20.100000000000001" customHeight="1" x14ac:dyDescent="0.25"/>
    <row r="161" spans="4:18" ht="20.100000000000001" customHeight="1" x14ac:dyDescent="0.25">
      <c r="D161" s="104" t="s">
        <v>129</v>
      </c>
      <c r="M161" s="104" t="s">
        <v>129</v>
      </c>
    </row>
    <row r="162" spans="4:18" ht="20.100000000000001" customHeight="1" x14ac:dyDescent="0.25">
      <c r="D162" s="103" t="s">
        <v>130</v>
      </c>
      <c r="M162" s="103" t="s">
        <v>130</v>
      </c>
    </row>
    <row r="163" spans="4:18" ht="20.100000000000001" customHeight="1" x14ac:dyDescent="0.25">
      <c r="D163" s="54" t="s">
        <v>127</v>
      </c>
      <c r="E163" s="54" t="s">
        <v>66</v>
      </c>
      <c r="F163" s="54" t="s">
        <v>139</v>
      </c>
      <c r="G163" s="54" t="s">
        <v>140</v>
      </c>
      <c r="H163" s="54" t="s">
        <v>141</v>
      </c>
      <c r="M163" s="54" t="s">
        <v>127</v>
      </c>
      <c r="N163" s="54" t="s">
        <v>66</v>
      </c>
      <c r="O163" s="54" t="s">
        <v>139</v>
      </c>
      <c r="P163" s="54" t="s">
        <v>140</v>
      </c>
      <c r="Q163" s="54" t="s">
        <v>141</v>
      </c>
    </row>
    <row r="164" spans="4:18" ht="20.100000000000001" customHeight="1" x14ac:dyDescent="0.25">
      <c r="D164" s="55">
        <v>1</v>
      </c>
      <c r="E164" s="55" t="str">
        <f>'Input - Feedlot'!$D$28</f>
        <v>Drylot (feed pad)</v>
      </c>
      <c r="F164" s="55">
        <f>((D$145 * F150 * D$159) * 10 ^ -3)</f>
        <v>0.82797387079679996</v>
      </c>
      <c r="G164" s="55">
        <f>((E$145 * G150 * E$159) * 10 ^ -3)</f>
        <v>3.1104564019199994E-2</v>
      </c>
      <c r="H164" s="55">
        <f>((F$145 * H150 * F$159) * 10 ^ -3)</f>
        <v>4.2172193279999978E-2</v>
      </c>
      <c r="I164" s="2" t="str">
        <f>$E$136</f>
        <v>t CH4</v>
      </c>
      <c r="M164" s="55">
        <v>1</v>
      </c>
      <c r="N164" s="55" t="str">
        <f>'Input - Feedlot'!$D$28</f>
        <v>Drylot (feed pad)</v>
      </c>
      <c r="O164" s="55">
        <f>((D$145 * O150 * D$159) * 10 ^ -3)</f>
        <v>0.82797387079679996</v>
      </c>
      <c r="P164" s="55">
        <f>((E$145 * P150 * E$159) * 10 ^ -3)</f>
        <v>3.1104564019199994E-2</v>
      </c>
      <c r="Q164" s="55">
        <f>((F$145 * Q150 * F$159) * 10 ^ -3)</f>
        <v>4.2172193279999978E-2</v>
      </c>
      <c r="R164" s="2" t="str">
        <f>$E$136</f>
        <v>t CH4</v>
      </c>
    </row>
    <row r="165" spans="4:18" ht="20.100000000000001" customHeight="1" x14ac:dyDescent="0.25">
      <c r="D165" s="55">
        <v>2</v>
      </c>
      <c r="E165" s="55" t="str">
        <f>'Input - Feedlot'!$D$32</f>
        <v>Solid storage</v>
      </c>
      <c r="F165" s="55">
        <f>((D$145 * F151 * D$159) * 10 ^ -3)</f>
        <v>0.16559477415936</v>
      </c>
      <c r="G165" s="55">
        <f>((E$145 * G151 * E$159) * 10 ^ -3)</f>
        <v>6.2209128038399984E-3</v>
      </c>
      <c r="H165" s="55">
        <f>((F$145 * H151 * F$159) * 10 ^ -3)</f>
        <v>8.4344386559999981E-3</v>
      </c>
      <c r="I165" s="2"/>
      <c r="M165" s="55">
        <v>2</v>
      </c>
      <c r="N165" s="55" t="str">
        <f>'Input - Feedlot'!$D$32</f>
        <v>Solid storage</v>
      </c>
      <c r="O165" s="55">
        <f>((D$145 * O151 * D$159) * 10 ^ -3)</f>
        <v>0.16559477415936</v>
      </c>
      <c r="P165" s="55">
        <f>((E$145 * P151 * E$159) * 10 ^ -3)</f>
        <v>6.2209128038399984E-3</v>
      </c>
      <c r="Q165" s="55">
        <f>((F$145 * Q151 * F$159) * 10 ^ -3)</f>
        <v>8.4344386559999981E-3</v>
      </c>
      <c r="R165" s="2"/>
    </row>
    <row r="166" spans="4:18" ht="20.100000000000001" customHeight="1" x14ac:dyDescent="0.25">
      <c r="D166" s="55">
        <v>2</v>
      </c>
      <c r="E166" s="55" t="str">
        <f>'Input - Feedlot'!$D$33</f>
        <v>Composting (passive windrow)</v>
      </c>
      <c r="F166" s="55">
        <f>((D$145 * F152 * D$159) * 10 ^ -3)</f>
        <v>8.2797387079679999E-2</v>
      </c>
      <c r="G166" s="55">
        <f>((E$145 * G152 * E$159) * 10 ^ -3)</f>
        <v>3.1104564019199992E-3</v>
      </c>
      <c r="H166" s="55">
        <f>((F$145 * H152 * F$159) * 10 ^ -3)</f>
        <v>4.217219327999999E-3</v>
      </c>
      <c r="I166" s="2"/>
      <c r="M166" s="55">
        <v>2</v>
      </c>
      <c r="N166" s="55" t="str">
        <f>'Input - Feedlot'!$D$33</f>
        <v>Composting (passive windrow)</v>
      </c>
      <c r="O166" s="55">
        <f>((D$145 * O152 * D$159) * 10 ^ -3)</f>
        <v>8.2797387079679999E-2</v>
      </c>
      <c r="P166" s="55">
        <f>((E$145 * P152 * E$159) * 10 ^ -3)</f>
        <v>3.1104564019199992E-3</v>
      </c>
      <c r="Q166" s="55">
        <f>((F$145 * Q152 * F$159) * 10 ^ -3)</f>
        <v>4.217219327999999E-3</v>
      </c>
      <c r="R166" s="2"/>
    </row>
    <row r="167" spans="4:18" ht="20.100000000000001" customHeight="1" x14ac:dyDescent="0.25">
      <c r="D167" s="55">
        <v>2</v>
      </c>
      <c r="E167" s="55" t="str">
        <f>'Input - Feedlot'!$D$34</f>
        <v>Direct application</v>
      </c>
      <c r="F167" s="55">
        <f>((D$145 * F153 * D$159) * 10 ^ -3)</f>
        <v>0</v>
      </c>
      <c r="G167" s="55">
        <f>((E$145 * G153 * E$159) * 10 ^ -3)</f>
        <v>0</v>
      </c>
      <c r="H167" s="55">
        <f>((F$145 * H153 * F$159) * 10 ^ -3)</f>
        <v>0</v>
      </c>
      <c r="I167" s="2"/>
      <c r="M167" s="55">
        <v>2</v>
      </c>
      <c r="N167" s="55" t="str">
        <f>'Input - Feedlot'!$D$34</f>
        <v>Direct application</v>
      </c>
      <c r="O167" s="55">
        <f>((D$145 * O153 * D$159) * 10 ^ -3)</f>
        <v>0</v>
      </c>
      <c r="P167" s="55">
        <f>((E$145 * P153 * E$159) * 10 ^ -3)</f>
        <v>0</v>
      </c>
      <c r="Q167" s="55">
        <f>((F$145 * Q153 * F$159) * 10 ^ -3)</f>
        <v>0</v>
      </c>
      <c r="R167" s="2"/>
    </row>
    <row r="168" spans="4:18" ht="20.100000000000001" customHeight="1" x14ac:dyDescent="0.25">
      <c r="D168" s="55">
        <v>3</v>
      </c>
      <c r="E168" s="55" t="str">
        <f>'Input - Feedlot'!$D$38</f>
        <v>Anaerobic lagoon</v>
      </c>
      <c r="F168" s="55">
        <f>((D$145 * F154 * D$159) * 10 ^ -3)</f>
        <v>1.2419608061951997</v>
      </c>
      <c r="G168" s="55">
        <f>((E$145 * G154 * E$159) * 10 ^ -3)</f>
        <v>4.6656846028799999E-2</v>
      </c>
      <c r="H168" s="55">
        <f>((F$145 * H154 * F$159) * 10 ^ -3)</f>
        <v>6.3258289919999974E-2</v>
      </c>
      <c r="I168" s="2"/>
      <c r="M168" s="55">
        <v>3</v>
      </c>
      <c r="N168" s="55" t="str">
        <f>'Input - Feedlot'!$D$38</f>
        <v>Anaerobic lagoon</v>
      </c>
      <c r="O168" s="55">
        <f>((D$145 * O154 * D$159) * 10 ^ -3)</f>
        <v>1.2750797610270719</v>
      </c>
      <c r="P168" s="55">
        <f>((E$145 * P154 * E$159) * 10 ^ -3)</f>
        <v>4.7901028589567997E-2</v>
      </c>
      <c r="Q168" s="55">
        <f>((F$145 * Q154 * F$159) * 10 ^ -3)</f>
        <v>6.4945177651199976E-2</v>
      </c>
      <c r="R168" s="2"/>
    </row>
    <row r="169" spans="4:18" ht="20.100000000000001" customHeight="1" x14ac:dyDescent="0.25"/>
    <row r="170" spans="4:18" ht="20.100000000000001" customHeight="1" x14ac:dyDescent="0.25"/>
    <row r="171" spans="4:18" ht="20.100000000000001" customHeight="1" x14ac:dyDescent="0.25">
      <c r="D171" s="108" t="s">
        <v>224</v>
      </c>
      <c r="E171" s="109">
        <f>SUM(F164:H168)</f>
        <v>2.5235017586687993</v>
      </c>
      <c r="F171" s="110" t="str">
        <f>$E$136</f>
        <v>t CH4</v>
      </c>
      <c r="M171" s="108" t="s">
        <v>225</v>
      </c>
      <c r="N171" s="109">
        <f>SUM(O164:Q168)</f>
        <v>2.5595517837926396</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2.5235017586687993</v>
      </c>
      <c r="H173" s="2" t="str">
        <f>$E$136</f>
        <v>t CH4</v>
      </c>
      <c r="M173" s="60" t="str" cm="1">
        <f t="array" ref="M173:N174">Common_Equations.Common_ConvertCH4ToCO2e_Arguments()</f>
        <v>ECH4</v>
      </c>
      <c r="N173" s="61" t="str">
        <v>Methane emissions (t CH4)</v>
      </c>
      <c r="O173" s="111"/>
      <c r="P173" s="55">
        <f>N171</f>
        <v>2.5595517837926396</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226</v>
      </c>
      <c r="E176" s="48" cm="1">
        <f t="array" ref="E176">Common_Equations.Common_ConvertCH4ToCO2e(G173,G174)</f>
        <v>70.658049242726378</v>
      </c>
      <c r="F176" s="112" t="str" cm="1">
        <f t="array" ref="F176">Common_Equations.Common_ConvertN2OToCO2e_Unit()</f>
        <v>t CO2e</v>
      </c>
      <c r="M176" s="48" t="s">
        <v>227</v>
      </c>
      <c r="N176" s="48" cm="1">
        <f t="array" ref="N176">Common_Equations.Common_ConvertCH4ToCO2e(P173,P174)</f>
        <v>71.667449946193912</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261</v>
      </c>
    </row>
    <row r="2" spans="1:20" s="9" customFormat="1" ht="20.100000000000001" customHeight="1" x14ac:dyDescent="0.25"/>
    <row r="3" spans="1:20" ht="20.100000000000001" customHeight="1" x14ac:dyDescent="0.25">
      <c r="A3" s="17" t="str">
        <f>HYPERLINK("#'Home'!A1", "Home")</f>
        <v>Home</v>
      </c>
      <c r="C3" s="4"/>
      <c r="D3" s="4" t="s">
        <v>160</v>
      </c>
      <c r="E3" s="4"/>
      <c r="F3" s="4"/>
      <c r="G3" s="4"/>
      <c r="H3" s="4"/>
      <c r="I3" s="4"/>
      <c r="J3" s="4"/>
      <c r="K3" s="4"/>
      <c r="L3" s="4"/>
      <c r="N3" s="4"/>
      <c r="O3" s="4" t="s">
        <v>161</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
        <v>413</v>
      </c>
    </row>
    <row r="6" spans="1:20" ht="20.100000000000001" customHeight="1" x14ac:dyDescent="0.25">
      <c r="A6" s="16"/>
      <c r="D6" s="5" t="s">
        <v>414</v>
      </c>
    </row>
    <row r="7" spans="1:20" ht="20.100000000000001" customHeight="1" x14ac:dyDescent="0.25">
      <c r="A7" s="20" t="s">
        <v>3</v>
      </c>
      <c r="D7" s="13" t="s">
        <v>131</v>
      </c>
      <c r="E7" s="13"/>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28</v>
      </c>
      <c r="E10" s="1" t="s">
        <v>415</v>
      </c>
    </row>
    <row r="11" spans="1:20" ht="20.100000000000001" customHeight="1" x14ac:dyDescent="0.25">
      <c r="A11" s="19" t="s">
        <v>75</v>
      </c>
      <c r="D11" s="56" t="s">
        <v>19</v>
      </c>
      <c r="E11" s="57" t="s">
        <v>416</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9" t="s">
        <v>417</v>
      </c>
      <c r="E13" s="142" t="s">
        <v>418</v>
      </c>
      <c r="F13" s="141"/>
      <c r="G13" s="139" t="s">
        <v>103</v>
      </c>
      <c r="H13" s="130" t="s">
        <v>380</v>
      </c>
      <c r="I13" s="140"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9" t="s">
        <v>419</v>
      </c>
      <c r="E14" s="142" t="s">
        <v>420</v>
      </c>
      <c r="F14" s="141"/>
      <c r="G14" s="139" t="s">
        <v>327</v>
      </c>
      <c r="H14" s="130" t="s">
        <v>380</v>
      </c>
      <c r="I14" s="140"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9">
        <v>6.25</v>
      </c>
      <c r="E15" s="142" t="s">
        <v>421</v>
      </c>
      <c r="F15" s="141"/>
      <c r="G15" s="139" t="s">
        <v>422</v>
      </c>
      <c r="H15" s="131" t="s">
        <v>379</v>
      </c>
      <c r="I15" s="139">
        <f>D15</f>
        <v>6.25</v>
      </c>
    </row>
    <row r="16" spans="1:20" ht="20.100000000000001" customHeight="1" x14ac:dyDescent="0.25"/>
    <row r="17" spans="1:19" ht="20.100000000000001" customHeight="1" x14ac:dyDescent="0.25">
      <c r="A17" s="18" t="s">
        <v>4</v>
      </c>
      <c r="D17" s="104" t="s">
        <v>150</v>
      </c>
      <c r="O17" s="104" t="s">
        <v>153</v>
      </c>
    </row>
    <row r="18" spans="1:19" ht="20.100000000000001" customHeight="1" x14ac:dyDescent="0.25">
      <c r="A18" s="17" t="str">
        <f>HYPERLINK("#'Constants - Feedlot'!A1", "Constants - Feedlot")</f>
        <v>Constants - Feedlot</v>
      </c>
      <c r="D18" s="103" t="s">
        <v>197</v>
      </c>
      <c r="O18" s="103" t="s">
        <v>198</v>
      </c>
    </row>
    <row r="19" spans="1:19" ht="20.100000000000001" customHeight="1" x14ac:dyDescent="0.25">
      <c r="A19" s="17" t="str">
        <f>HYPERLINK("#'Constants - Livestock'!A1", "Constants - Livestock")</f>
        <v>Constants - Livestock</v>
      </c>
      <c r="D19" s="41" t="s">
        <v>139</v>
      </c>
      <c r="E19" s="41" t="s">
        <v>140</v>
      </c>
      <c r="F19" s="41" t="s">
        <v>141</v>
      </c>
      <c r="O19" s="41" t="s">
        <v>139</v>
      </c>
      <c r="P19" s="41" t="s">
        <v>140</v>
      </c>
      <c r="Q19" s="41" t="s">
        <v>141</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103</v>
      </c>
      <c r="H20" s="2"/>
      <c r="I20" s="2"/>
      <c r="J20" s="2"/>
      <c r="K20" s="2"/>
      <c r="O20" s="55">
        <f>'Input - Feedlot'!$E$20</f>
        <v>10.4</v>
      </c>
      <c r="P20" s="55">
        <f>'Input - Feedlot'!$F$20</f>
        <v>10.8</v>
      </c>
      <c r="Q20" s="55">
        <f>'Input - Feedlot'!$G$20</f>
        <v>8.1999999999999993</v>
      </c>
      <c r="R20" s="2" t="s">
        <v>103</v>
      </c>
      <c r="S20" s="2"/>
    </row>
    <row r="21" spans="1:19" ht="20.100000000000001" customHeight="1" x14ac:dyDescent="0.25">
      <c r="A21" s="17" t="str">
        <f>HYPERLINK("#'Acknowledgements'!A1", "Acknowledgements")</f>
        <v>Acknowledgements</v>
      </c>
    </row>
    <row r="22" spans="1:19" ht="20.100000000000001" customHeight="1" x14ac:dyDescent="0.25">
      <c r="D22" s="104" t="s">
        <v>151</v>
      </c>
      <c r="O22" s="104" t="s">
        <v>154</v>
      </c>
    </row>
    <row r="23" spans="1:19" ht="20.100000000000001" customHeight="1" x14ac:dyDescent="0.25">
      <c r="D23" s="103" t="s">
        <v>196</v>
      </c>
      <c r="O23" s="103" t="s">
        <v>199</v>
      </c>
    </row>
    <row r="24" spans="1:19" ht="20.100000000000001" customHeight="1" x14ac:dyDescent="0.25">
      <c r="A24" s="17"/>
      <c r="D24" s="41" t="s">
        <v>139</v>
      </c>
      <c r="E24" s="41" t="s">
        <v>140</v>
      </c>
      <c r="F24" s="41" t="s">
        <v>141</v>
      </c>
      <c r="O24" s="41" t="s">
        <v>139</v>
      </c>
      <c r="P24" s="41" t="s">
        <v>140</v>
      </c>
      <c r="Q24" s="41" t="s">
        <v>141</v>
      </c>
    </row>
    <row r="25" spans="1:19" ht="20.100000000000001" customHeight="1" x14ac:dyDescent="0.25">
      <c r="A25" s="17"/>
      <c r="D25" s="55">
        <f>'Input - Feedlot'!$E$16</f>
        <v>0.14000000000000001</v>
      </c>
      <c r="E25" s="55">
        <f>'Input - Feedlot'!$F$16</f>
        <v>0.12</v>
      </c>
      <c r="F25" s="55">
        <f>'Input - Feedlot'!$G$16</f>
        <v>0.12</v>
      </c>
      <c r="G25" s="2" t="s">
        <v>327</v>
      </c>
      <c r="H25" s="2"/>
      <c r="I25" s="2"/>
      <c r="J25" s="2"/>
      <c r="K25" s="2"/>
      <c r="O25" s="55">
        <f>'Input - Feedlot'!$E$22</f>
        <v>0.14000000000000001</v>
      </c>
      <c r="P25" s="55">
        <f>'Input - Feedlot'!$F$22</f>
        <v>0.12</v>
      </c>
      <c r="Q25" s="55">
        <f>'Input - Feedlot'!$G$22</f>
        <v>0.12</v>
      </c>
      <c r="R25" s="2" t="s">
        <v>327</v>
      </c>
      <c r="S25" s="2"/>
    </row>
    <row r="26" spans="1:19" ht="20.100000000000001" customHeight="1" x14ac:dyDescent="0.25"/>
    <row r="27" spans="1:19" ht="20.100000000000001" customHeight="1" x14ac:dyDescent="0.25">
      <c r="D27" s="104" t="s">
        <v>152</v>
      </c>
      <c r="O27" s="104" t="s">
        <v>155</v>
      </c>
    </row>
    <row r="28" spans="1:19" ht="20.100000000000001" customHeight="1" x14ac:dyDescent="0.25">
      <c r="D28" s="103" t="s">
        <v>195</v>
      </c>
      <c r="O28" s="103" t="s">
        <v>200</v>
      </c>
    </row>
    <row r="29" spans="1:19" ht="20.100000000000001" customHeight="1" x14ac:dyDescent="0.25">
      <c r="D29" s="54" t="s">
        <v>139</v>
      </c>
      <c r="E29" s="54" t="s">
        <v>140</v>
      </c>
      <c r="F29" s="54" t="s">
        <v>141</v>
      </c>
      <c r="O29" s="54" t="s">
        <v>139</v>
      </c>
      <c r="P29" s="54" t="s">
        <v>140</v>
      </c>
      <c r="Q29" s="54" t="s">
        <v>141</v>
      </c>
    </row>
    <row r="30" spans="1:19" ht="20.100000000000001" customHeight="1" x14ac:dyDescent="0.25">
      <c r="D30" s="55">
        <f>(D20 * D25 / 6.25)</f>
        <v>0.23296000000000003</v>
      </c>
      <c r="E30" s="55">
        <f>(E20 * E25 / 6.25)</f>
        <v>0.20736000000000002</v>
      </c>
      <c r="F30" s="55">
        <f>(F20 * F25 / 6.25)</f>
        <v>0.15743999999999997</v>
      </c>
      <c r="G30" s="2" t="str">
        <f>$E$11</f>
        <v>kg N/head/day</v>
      </c>
      <c r="H30" s="2"/>
      <c r="I30" s="2"/>
      <c r="J30" s="2"/>
      <c r="K30" s="2"/>
      <c r="O30" s="55">
        <f>(O20 * O25 / 6.25)</f>
        <v>0.23296000000000003</v>
      </c>
      <c r="P30" s="55">
        <f>(P20 * P25 / 6.25)</f>
        <v>0.20736000000000002</v>
      </c>
      <c r="Q30" s="55">
        <f>(Q20 * Q25 / 6.25)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
        <v>423</v>
      </c>
    </row>
    <row r="35" spans="3:20" ht="20.100000000000001" customHeight="1" x14ac:dyDescent="0.25">
      <c r="D35" s="5" t="s">
        <v>424</v>
      </c>
    </row>
    <row r="36" spans="3:20" ht="20.100000000000001" customHeight="1" x14ac:dyDescent="0.25">
      <c r="D36" s="13"/>
      <c r="E36" s="13"/>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28</v>
      </c>
      <c r="E40" s="1" t="s">
        <v>425</v>
      </c>
    </row>
    <row r="41" spans="3:20" ht="20.100000000000001" customHeight="1" x14ac:dyDescent="0.25">
      <c r="D41" s="56" t="s">
        <v>19</v>
      </c>
      <c r="E41" s="57" t="s">
        <v>416</v>
      </c>
    </row>
    <row r="42" spans="3:20" ht="20.100000000000001" customHeight="1" x14ac:dyDescent="0.25"/>
    <row r="43" spans="3:20" ht="20.100000000000001" customHeight="1" x14ac:dyDescent="0.25">
      <c r="D43" s="139" t="s">
        <v>415</v>
      </c>
      <c r="E43" s="142" t="s">
        <v>426</v>
      </c>
      <c r="F43" s="141"/>
      <c r="G43" s="139" t="s">
        <v>416</v>
      </c>
      <c r="H43" s="131" t="s">
        <v>429</v>
      </c>
      <c r="I43" s="140" t="str" cm="1">
        <f t="array" aca="1" ref="I43" ca="1">HYPERLINK(Common_InputFunctions.Utility_SourceHyperlink($D$27),$D$27)</f>
        <v>M1_Table_NI_j</v>
      </c>
    </row>
    <row r="44" spans="3:20" ht="20.100000000000001" customHeight="1" x14ac:dyDescent="0.25">
      <c r="D44" s="139" t="s">
        <v>427</v>
      </c>
      <c r="E44" s="142" t="s">
        <v>428</v>
      </c>
      <c r="F44" s="141"/>
      <c r="G44" s="139" t="s">
        <v>327</v>
      </c>
      <c r="H44" s="130" t="s">
        <v>380</v>
      </c>
      <c r="I44" s="140" t="str" cm="1">
        <f t="array" aca="1" ref="I44" ca="1">HYPERLINK(Common_InputFunctions.Utility_SourceHyperlink($D$46),$D$46)</f>
        <v>M1_Table_NR_j</v>
      </c>
    </row>
    <row r="45" spans="3:20" ht="20.100000000000001" customHeight="1" x14ac:dyDescent="0.25"/>
    <row r="46" spans="3:20" ht="20.100000000000001" customHeight="1" x14ac:dyDescent="0.25">
      <c r="D46" s="104" t="s">
        <v>156</v>
      </c>
      <c r="E46" s="2"/>
      <c r="F46" s="2"/>
      <c r="O46" s="104" t="s">
        <v>157</v>
      </c>
      <c r="P46" s="2"/>
      <c r="Q46" s="2"/>
    </row>
    <row r="47" spans="3:20" ht="20.100000000000001" customHeight="1" x14ac:dyDescent="0.25">
      <c r="D47" s="103" t="s">
        <v>193</v>
      </c>
      <c r="O47" s="103" t="s">
        <v>194</v>
      </c>
    </row>
    <row r="48" spans="3:20" ht="20.100000000000001" customHeight="1" x14ac:dyDescent="0.25">
      <c r="D48" s="41" t="s">
        <v>139</v>
      </c>
      <c r="E48" s="41" t="s">
        <v>140</v>
      </c>
      <c r="F48" s="41" t="s">
        <v>141</v>
      </c>
      <c r="O48" s="41" t="s">
        <v>139</v>
      </c>
      <c r="P48" s="41" t="s">
        <v>140</v>
      </c>
      <c r="Q48" s="41" t="s">
        <v>141</v>
      </c>
    </row>
    <row r="49" spans="3:20" ht="20.100000000000001" customHeight="1" x14ac:dyDescent="0.25">
      <c r="D49" s="55">
        <f>'Input - Feedlot'!$E$17/100</f>
        <v>0.20399999999999999</v>
      </c>
      <c r="E49" s="55">
        <f>'Input - Feedlot'!$F$17/100</f>
        <v>0.127</v>
      </c>
      <c r="F49" s="55">
        <f>'Input - Feedlot'!$G$17/100</f>
        <v>7.0000000000000007E-2</v>
      </c>
      <c r="G49" s="2" t="s">
        <v>162</v>
      </c>
      <c r="H49" s="2"/>
      <c r="I49" s="2"/>
      <c r="J49" s="2"/>
      <c r="K49" s="2"/>
      <c r="O49" s="55">
        <f>'Input - Feedlot'!$E$23/100</f>
        <v>0.20399999999999999</v>
      </c>
      <c r="P49" s="55">
        <f>'Input - Feedlot'!$F$23/100</f>
        <v>0.127</v>
      </c>
      <c r="Q49" s="55">
        <f>'Input - Feedlot'!$G$23/100</f>
        <v>7.0000000000000007E-2</v>
      </c>
      <c r="R49" s="2" t="s">
        <v>327</v>
      </c>
      <c r="S49" s="2"/>
    </row>
    <row r="50" spans="3:20" ht="20.100000000000001" customHeight="1" x14ac:dyDescent="0.25"/>
    <row r="51" spans="3:20" ht="20.100000000000001" customHeight="1" x14ac:dyDescent="0.25">
      <c r="D51" s="104" t="s">
        <v>158</v>
      </c>
      <c r="O51" s="104" t="s">
        <v>159</v>
      </c>
    </row>
    <row r="52" spans="3:20" ht="20.100000000000001" customHeight="1" x14ac:dyDescent="0.25">
      <c r="D52" s="103" t="s">
        <v>193</v>
      </c>
      <c r="O52" s="103" t="s">
        <v>194</v>
      </c>
    </row>
    <row r="53" spans="3:20" ht="20.100000000000001" customHeight="1" x14ac:dyDescent="0.25">
      <c r="D53" s="54" t="s">
        <v>139</v>
      </c>
      <c r="E53" s="54" t="s">
        <v>140</v>
      </c>
      <c r="F53" s="54" t="s">
        <v>141</v>
      </c>
      <c r="O53" s="54" t="s">
        <v>139</v>
      </c>
      <c r="P53" s="54" t="s">
        <v>140</v>
      </c>
      <c r="Q53" s="54" t="s">
        <v>141</v>
      </c>
    </row>
    <row r="54" spans="3:20" ht="20.100000000000001" customHeight="1" x14ac:dyDescent="0.25">
      <c r="D54" s="55">
        <f>(D30 * (1 - D49))</f>
        <v>0.18543616000000004</v>
      </c>
      <c r="E54" s="55">
        <f>(E30 * (1 - E49))</f>
        <v>0.18102528000000001</v>
      </c>
      <c r="F54" s="55">
        <f>(F30 * (1 - F49))</f>
        <v>0.14641919999999997</v>
      </c>
      <c r="G54" s="2" t="str">
        <f>$E$41</f>
        <v>kg N/head/day</v>
      </c>
      <c r="H54" s="2"/>
      <c r="I54" s="2"/>
      <c r="J54" s="2"/>
      <c r="K54" s="2"/>
      <c r="O54" s="55">
        <f>(O30 * (1 - O49))</f>
        <v>0.18543616000000004</v>
      </c>
      <c r="P54" s="55">
        <f>(P30 * (1 - P49))</f>
        <v>0.18102528000000001</v>
      </c>
      <c r="Q54" s="55">
        <f>(Q30 * (1 - 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
        <v>430</v>
      </c>
    </row>
    <row r="59" spans="3:20" ht="20.100000000000001" customHeight="1" x14ac:dyDescent="0.25">
      <c r="D59" s="5" t="s">
        <v>431</v>
      </c>
    </row>
    <row r="60" spans="3:20" ht="20.100000000000001" customHeight="1" x14ac:dyDescent="0.25">
      <c r="D60" s="13"/>
      <c r="E60" s="13"/>
    </row>
    <row r="61" spans="3:20" ht="20.100000000000001" customHeight="1" x14ac:dyDescent="0.25"/>
    <row r="62" spans="3:20" ht="20.100000000000001" customHeight="1" x14ac:dyDescent="0.25">
      <c r="D62" s="6"/>
    </row>
    <row r="63" spans="3:20" ht="20.100000000000001" customHeight="1" x14ac:dyDescent="0.25">
      <c r="D63" s="56" t="s">
        <v>28</v>
      </c>
      <c r="E63" s="1" t="s">
        <v>432</v>
      </c>
    </row>
    <row r="64" spans="3:20" ht="20.100000000000001" customHeight="1" x14ac:dyDescent="0.25">
      <c r="D64" s="56" t="s">
        <v>19</v>
      </c>
      <c r="E64" s="57" t="s">
        <v>229</v>
      </c>
    </row>
    <row r="65" spans="4:15" ht="20.100000000000001" customHeight="1" x14ac:dyDescent="0.25"/>
    <row r="66" spans="4:15" ht="20.100000000000001" customHeight="1" x14ac:dyDescent="0.25">
      <c r="D66" s="139" t="str" cm="1">
        <f t="array" ref="D66:G68">(_xlfn.MAKEARRAY(3, 4, _xlfn.LAMBDA(_xlpm.r,_xlpm.c, INDEX({"N_j","number of cattle in each group","head","Input";"NE_j","nitrogen excretion","kg N/head/day","Calculated from 4.1.1.3 (4)";"D_j","duration of stay of cattle group","days","Input"}, _xlpm.r, _xlpm.c))))</f>
        <v>N_j</v>
      </c>
      <c r="E66" s="139" t="str">
        <v>number of cattle in each group</v>
      </c>
      <c r="F66" s="139" t="str">
        <v>head</v>
      </c>
      <c r="G66" s="130" t="str">
        <v>Input</v>
      </c>
      <c r="H66" s="140" t="str" cm="1">
        <f t="array" aca="1" ref="H66" ca="1">HYPERLINK(Common_InputFunctions.Utility_SourceHyperlink($D$70),$D$70)</f>
        <v>Table_N_j</v>
      </c>
    </row>
    <row r="67" spans="4:15" ht="20.100000000000001" customHeight="1" x14ac:dyDescent="0.25">
      <c r="D67" s="139" t="str">
        <v>NE_j</v>
      </c>
      <c r="E67" s="139" t="str">
        <v>nitrogen excretion</v>
      </c>
      <c r="F67" s="139" t="str">
        <v>kg N/head/day</v>
      </c>
      <c r="G67" s="131" t="str">
        <v>Calculated from 4.1.1.3 (4)</v>
      </c>
      <c r="H67" s="140" t="str" cm="1">
        <f t="array" aca="1" ref="H67" ca="1">HYPERLINK(Common_InputFunctions.Utility_SourceHyperlink($D$51),$D$51)</f>
        <v>M1_Table_NE_j</v>
      </c>
    </row>
    <row r="68" spans="4:15" ht="20.100000000000001" customHeight="1" x14ac:dyDescent="0.25">
      <c r="D68" s="139" t="str">
        <v>D_j</v>
      </c>
      <c r="E68" s="139" t="str">
        <v>duration of stay of cattle group</v>
      </c>
      <c r="F68" s="139" t="str">
        <v>days</v>
      </c>
      <c r="G68" s="130" t="str">
        <v>Input</v>
      </c>
      <c r="H68" s="140" t="str" cm="1">
        <f t="array" aca="1" ref="H68" ca="1">HYPERLINK(Common_InputFunctions.Utility_SourceHyperlink($D$75),$D$75)</f>
        <v>Table_D_j</v>
      </c>
    </row>
    <row r="69" spans="4:15" ht="20.100000000000001" customHeight="1" x14ac:dyDescent="0.25"/>
    <row r="70" spans="4:15" ht="20.100000000000001" customHeight="1" x14ac:dyDescent="0.25">
      <c r="D70" s="104" t="s">
        <v>124</v>
      </c>
    </row>
    <row r="71" spans="4:15" ht="20.100000000000001" customHeight="1" x14ac:dyDescent="0.25">
      <c r="D71" s="103" t="s">
        <v>125</v>
      </c>
    </row>
    <row r="72" spans="4:15" ht="20.100000000000001" customHeight="1" x14ac:dyDescent="0.25">
      <c r="D72" s="41" t="s">
        <v>139</v>
      </c>
      <c r="E72" s="41" t="s">
        <v>140</v>
      </c>
      <c r="F72" s="41" t="s">
        <v>141</v>
      </c>
    </row>
    <row r="73" spans="4:15" ht="20.100000000000001" customHeight="1" x14ac:dyDescent="0.25">
      <c r="D73" s="107">
        <f>'Input - Feedlot'!$E$8</f>
        <v>4300</v>
      </c>
      <c r="E73" s="107">
        <f>'Input - Feedlot'!$F$8</f>
        <v>100</v>
      </c>
      <c r="F73" s="107">
        <f>'Input - Feedlot'!$G$8</f>
        <v>100</v>
      </c>
      <c r="G73" s="2" t="s">
        <v>126</v>
      </c>
      <c r="H73" s="2"/>
      <c r="I73" s="2"/>
      <c r="J73" s="2"/>
      <c r="K73" s="2"/>
    </row>
    <row r="74" spans="4:15" ht="20.100000000000001" customHeight="1" x14ac:dyDescent="0.25"/>
    <row r="75" spans="4:15" ht="20.100000000000001" customHeight="1" x14ac:dyDescent="0.25">
      <c r="D75" s="104" t="s">
        <v>123</v>
      </c>
    </row>
    <row r="76" spans="4:15" ht="20.100000000000001" customHeight="1" x14ac:dyDescent="0.25">
      <c r="D76" s="103" t="s">
        <v>121</v>
      </c>
    </row>
    <row r="77" spans="4:15" ht="20.100000000000001" customHeight="1" x14ac:dyDescent="0.25">
      <c r="D77" s="41" t="s">
        <v>139</v>
      </c>
      <c r="E77" s="41" t="s">
        <v>140</v>
      </c>
      <c r="F77" s="41" t="s">
        <v>141</v>
      </c>
    </row>
    <row r="78" spans="4:15" ht="20.100000000000001" customHeight="1" x14ac:dyDescent="0.25">
      <c r="D78" s="107">
        <f>'Input - Feedlot'!$E$9</f>
        <v>90</v>
      </c>
      <c r="E78" s="107">
        <f>'Input - Feedlot'!$F$9</f>
        <v>140</v>
      </c>
      <c r="F78" s="107">
        <f>'Input - Feedlot'!$G$9</f>
        <v>250</v>
      </c>
      <c r="G78" s="2" t="s">
        <v>53</v>
      </c>
      <c r="H78" s="2"/>
      <c r="I78" s="2"/>
      <c r="J78" s="2"/>
      <c r="K78" s="2"/>
    </row>
    <row r="79" spans="4:15" ht="20.100000000000001" customHeight="1" x14ac:dyDescent="0.25"/>
    <row r="80" spans="4:15" ht="20.100000000000001" customHeight="1" x14ac:dyDescent="0.25">
      <c r="D80" s="104" t="s">
        <v>163</v>
      </c>
      <c r="O80" s="104" t="s">
        <v>164</v>
      </c>
    </row>
    <row r="81" spans="3:20" ht="20.100000000000001" customHeight="1" x14ac:dyDescent="0.25">
      <c r="D81" s="103" t="s">
        <v>191</v>
      </c>
      <c r="O81" s="103" t="s">
        <v>192</v>
      </c>
    </row>
    <row r="82" spans="3:20" ht="20.100000000000001" customHeight="1" x14ac:dyDescent="0.25">
      <c r="D82" s="54" t="s">
        <v>139</v>
      </c>
      <c r="E82" s="54" t="s">
        <v>140</v>
      </c>
      <c r="F82" s="54" t="s">
        <v>141</v>
      </c>
      <c r="O82" s="54" t="s">
        <v>139</v>
      </c>
      <c r="P82" s="54" t="s">
        <v>140</v>
      </c>
      <c r="Q82" s="54" t="s">
        <v>141</v>
      </c>
    </row>
    <row r="83" spans="3:20" ht="20.100000000000001" customHeight="1" x14ac:dyDescent="0.25">
      <c r="D83" s="107">
        <f>(D73 * D54 * D78)</f>
        <v>71763.793920000026</v>
      </c>
      <c r="E83" s="107">
        <f>(E73 * E54 * E78)</f>
        <v>2534.35392</v>
      </c>
      <c r="F83" s="107">
        <f>(F73 * F54 * F78)</f>
        <v>3660.4799999999991</v>
      </c>
      <c r="G83" s="2" t="str">
        <f>$E$64</f>
        <v>kg N</v>
      </c>
      <c r="H83" s="2"/>
      <c r="I83" s="2"/>
      <c r="J83" s="2"/>
      <c r="K83" s="2"/>
      <c r="O83" s="107">
        <f>(D73 * O54 * D78)</f>
        <v>71763.793920000026</v>
      </c>
      <c r="P83" s="107">
        <f>(E73 * P54 * E78)</f>
        <v>2534.35392</v>
      </c>
      <c r="Q83" s="107">
        <f>(F73 * Q54 * F78)</f>
        <v>3660.4799999999991</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
        <v>433</v>
      </c>
    </row>
    <row r="88" spans="3:20" ht="20.100000000000001" customHeight="1" x14ac:dyDescent="0.25">
      <c r="D88" s="5" t="s">
        <v>434</v>
      </c>
    </row>
    <row r="89" spans="3:20" ht="20.100000000000001" customHeight="1" x14ac:dyDescent="0.25">
      <c r="D89" s="13"/>
      <c r="E89" s="13"/>
    </row>
    <row r="90" spans="3:20" ht="20.100000000000001" customHeight="1" x14ac:dyDescent="0.25"/>
    <row r="91" spans="3:20" ht="20.100000000000001" customHeight="1" x14ac:dyDescent="0.25">
      <c r="D91" s="6"/>
    </row>
    <row r="92" spans="3:20" ht="20.100000000000001" customHeight="1" x14ac:dyDescent="0.25">
      <c r="D92" s="56" t="s">
        <v>28</v>
      </c>
      <c r="E92" s="1" t="s">
        <v>435</v>
      </c>
    </row>
    <row r="93" spans="3:20" ht="20.100000000000001" customHeight="1" x14ac:dyDescent="0.25">
      <c r="D93" s="56" t="s">
        <v>19</v>
      </c>
      <c r="E93" s="57" t="s">
        <v>229</v>
      </c>
    </row>
    <row r="94" spans="3:20" ht="20.100000000000001" customHeight="1" x14ac:dyDescent="0.25"/>
    <row r="95" spans="3:20" ht="20.100000000000001" customHeight="1" x14ac:dyDescent="0.25">
      <c r="D95" s="139" t="s">
        <v>432</v>
      </c>
      <c r="E95" s="142" t="s">
        <v>436</v>
      </c>
      <c r="F95" s="141"/>
      <c r="G95" s="139" t="s">
        <v>229</v>
      </c>
      <c r="H95" s="131" t="s">
        <v>438</v>
      </c>
      <c r="I95" s="140" t="str" cm="1">
        <f t="array" aca="1" ref="I95" ca="1">HYPERLINK(Common_InputFunctions.Utility_SourceHyperlink($D$80),$D$80)</f>
        <v>M1_Table_AE_j</v>
      </c>
    </row>
    <row r="96" spans="3:20" ht="20.100000000000001" customHeight="1" x14ac:dyDescent="0.25">
      <c r="D96" s="139" t="s">
        <v>437</v>
      </c>
      <c r="E96" s="142" t="s">
        <v>370</v>
      </c>
      <c r="F96" s="141"/>
      <c r="G96" s="139" t="s">
        <v>327</v>
      </c>
      <c r="H96" s="130" t="s">
        <v>380</v>
      </c>
      <c r="I96" s="140" t="str" cm="1">
        <f t="array" aca="1" ref="I96" ca="1">HYPERLINK(Common_InputFunctions.Utility_SourceHyperlink($D$98),$D$98)</f>
        <v>Table_MMS_j_m-5_T-1</v>
      </c>
    </row>
    <row r="97" spans="3:20" ht="20.100000000000001" customHeight="1" x14ac:dyDescent="0.25"/>
    <row r="98" spans="3:20" ht="20.100000000000001" customHeight="1" x14ac:dyDescent="0.25">
      <c r="D98" s="104" t="s">
        <v>165</v>
      </c>
    </row>
    <row r="99" spans="3:20" ht="20.100000000000001" customHeight="1" x14ac:dyDescent="0.25">
      <c r="D99" s="103" t="s">
        <v>108</v>
      </c>
    </row>
    <row r="100" spans="3:20" ht="20.100000000000001" customHeight="1" x14ac:dyDescent="0.25">
      <c r="D100" s="41" t="s">
        <v>105</v>
      </c>
      <c r="E100" s="41" t="s">
        <v>139</v>
      </c>
      <c r="F100" s="41" t="s">
        <v>140</v>
      </c>
      <c r="G100" s="41" t="s">
        <v>141</v>
      </c>
    </row>
    <row r="101" spans="3:20" ht="20.100000000000001" customHeight="1" x14ac:dyDescent="0.25">
      <c r="D101" s="55" t="str">
        <f>'Input - Feedlot'!$D$28</f>
        <v>Drylot (feed pad)</v>
      </c>
      <c r="E101" s="55">
        <f>'Input - Feedlot'!$E$28</f>
        <v>1</v>
      </c>
      <c r="F101" s="55">
        <f>'Input - Feedlot'!$F$28</f>
        <v>1</v>
      </c>
      <c r="G101" s="55">
        <f>'Input - Feedlot'!$G$28</f>
        <v>1</v>
      </c>
      <c r="H101" s="2" t="s">
        <v>327</v>
      </c>
      <c r="I101" s="2"/>
      <c r="J101" s="2"/>
      <c r="K101" s="2"/>
    </row>
    <row r="102" spans="3:20" ht="20.100000000000001" customHeight="1" x14ac:dyDescent="0.25"/>
    <row r="103" spans="3:20" ht="20.100000000000001" customHeight="1" x14ac:dyDescent="0.25">
      <c r="D103" s="104" t="s">
        <v>166</v>
      </c>
      <c r="O103" s="104" t="s">
        <v>167</v>
      </c>
    </row>
    <row r="104" spans="3:20" ht="20.100000000000001" customHeight="1" x14ac:dyDescent="0.25">
      <c r="D104" s="103" t="s">
        <v>189</v>
      </c>
      <c r="O104" s="103" t="s">
        <v>190</v>
      </c>
    </row>
    <row r="105" spans="3:20" ht="20.100000000000001" customHeight="1" x14ac:dyDescent="0.25">
      <c r="D105" s="54" t="s">
        <v>105</v>
      </c>
      <c r="E105" s="54" t="s">
        <v>139</v>
      </c>
      <c r="F105" s="54" t="s">
        <v>140</v>
      </c>
      <c r="G105" s="54" t="s">
        <v>141</v>
      </c>
      <c r="O105" s="54" t="s">
        <v>105</v>
      </c>
      <c r="P105" s="54" t="s">
        <v>139</v>
      </c>
      <c r="Q105" s="54" t="s">
        <v>140</v>
      </c>
      <c r="R105" s="54" t="s">
        <v>141</v>
      </c>
    </row>
    <row r="106" spans="3:20" ht="20.100000000000001" customHeight="1" x14ac:dyDescent="0.25">
      <c r="D106" s="55" t="str">
        <f>'Input - Feedlot'!$D$28</f>
        <v>Drylot (feed pad)</v>
      </c>
      <c r="E106" s="55">
        <f>(D83 * E101)</f>
        <v>71763.793920000026</v>
      </c>
      <c r="F106" s="55">
        <f>(E83 * F101)</f>
        <v>2534.35392</v>
      </c>
      <c r="G106" s="55">
        <f>(F83 * G101)</f>
        <v>3660.4799999999991</v>
      </c>
      <c r="H106" s="2" t="str">
        <f>$E$93</f>
        <v>kg N</v>
      </c>
      <c r="I106" s="2"/>
      <c r="J106" s="2"/>
      <c r="K106" s="2"/>
      <c r="O106" s="55" t="str">
        <f>'Input - Feedlot'!$D$28</f>
        <v>Drylot (feed pad)</v>
      </c>
      <c r="P106" s="55">
        <f>(O83 * E101)</f>
        <v>71763.793920000026</v>
      </c>
      <c r="Q106" s="55">
        <f>(P83 * F101)</f>
        <v>2534.35392</v>
      </c>
      <c r="R106" s="55">
        <f>(Q83 * G101)</f>
        <v>3660.4799999999991</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
        <v>439</v>
      </c>
    </row>
    <row r="111" spans="3:20" ht="20.100000000000001" customHeight="1" x14ac:dyDescent="0.25">
      <c r="D111" s="5" t="s">
        <v>440</v>
      </c>
    </row>
    <row r="112" spans="3:20" ht="20.100000000000001" customHeight="1" x14ac:dyDescent="0.25">
      <c r="D112" s="13"/>
      <c r="E112" s="13"/>
    </row>
    <row r="113" spans="4:18" ht="20.100000000000001" customHeight="1" x14ac:dyDescent="0.25">
      <c r="D113" s="6"/>
    </row>
    <row r="114" spans="4:18" ht="20.100000000000001" customHeight="1" x14ac:dyDescent="0.25"/>
    <row r="115" spans="4:18" ht="20.100000000000001" customHeight="1" x14ac:dyDescent="0.25">
      <c r="D115" s="56" t="s">
        <v>28</v>
      </c>
      <c r="E115" s="1" t="s">
        <v>441</v>
      </c>
    </row>
    <row r="116" spans="4:18" ht="20.100000000000001" customHeight="1" x14ac:dyDescent="0.25">
      <c r="D116" s="56" t="s">
        <v>19</v>
      </c>
      <c r="E116" s="57" t="s">
        <v>229</v>
      </c>
    </row>
    <row r="117" spans="4:18" ht="20.100000000000001" customHeight="1" x14ac:dyDescent="0.25"/>
    <row r="118" spans="4:18" ht="20.100000000000001" customHeight="1" x14ac:dyDescent="0.25">
      <c r="D118" s="139" t="s">
        <v>432</v>
      </c>
      <c r="E118" s="142" t="s">
        <v>436</v>
      </c>
      <c r="F118" s="141"/>
      <c r="G118" s="139" t="s">
        <v>229</v>
      </c>
      <c r="H118" s="131" t="s">
        <v>438</v>
      </c>
      <c r="I118" s="140" t="str" cm="1">
        <f t="array" aca="1" ref="I118" ca="1">HYPERLINK(Common_InputFunctions.Utility_SourceHyperlink($D$80),$D$80)</f>
        <v>M1_Table_AE_j</v>
      </c>
    </row>
    <row r="119" spans="4:18" ht="20.100000000000001" customHeight="1" x14ac:dyDescent="0.25">
      <c r="D119" s="139" t="s">
        <v>442</v>
      </c>
      <c r="E119" s="142" t="s">
        <v>398</v>
      </c>
      <c r="F119" s="141"/>
      <c r="G119" s="139" t="s">
        <v>327</v>
      </c>
      <c r="H119" s="130" t="s">
        <v>380</v>
      </c>
      <c r="I119" s="140"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170</v>
      </c>
    </row>
    <row r="122" spans="4:18" ht="20.100000000000001" customHeight="1" x14ac:dyDescent="0.25">
      <c r="D122" s="103" t="s">
        <v>169</v>
      </c>
    </row>
    <row r="123" spans="4:18" ht="20.100000000000001" customHeight="1" x14ac:dyDescent="0.25">
      <c r="D123" s="41" t="s">
        <v>118</v>
      </c>
      <c r="E123" s="41" t="s">
        <v>139</v>
      </c>
      <c r="F123" s="41" t="s">
        <v>140</v>
      </c>
      <c r="G123" s="41" t="s">
        <v>141</v>
      </c>
    </row>
    <row r="124" spans="4:18" ht="20.100000000000001" customHeight="1" x14ac:dyDescent="0.25">
      <c r="D124" s="55" t="str">
        <f>'Input - Feedlot'!$D$38</f>
        <v>Anaerobic lagoon</v>
      </c>
      <c r="E124" s="55">
        <f>'Input - Feedlot'!$E$38</f>
        <v>0.02</v>
      </c>
      <c r="F124" s="55">
        <f>'Input - Feedlot'!$F$38</f>
        <v>0.02</v>
      </c>
      <c r="G124" s="55">
        <f>'Input - Feedlot'!$G$38</f>
        <v>0.02</v>
      </c>
      <c r="H124" s="2" t="s">
        <v>327</v>
      </c>
      <c r="I124" s="2"/>
      <c r="J124" s="2"/>
      <c r="K124" s="2"/>
    </row>
    <row r="125" spans="4:18" ht="20.100000000000001" customHeight="1" x14ac:dyDescent="0.25"/>
    <row r="126" spans="4:18" ht="20.100000000000001" customHeight="1" x14ac:dyDescent="0.25">
      <c r="D126" s="104" t="s">
        <v>175</v>
      </c>
      <c r="O126" s="104" t="s">
        <v>176</v>
      </c>
    </row>
    <row r="127" spans="4:18" ht="20.100000000000001" customHeight="1" x14ac:dyDescent="0.25">
      <c r="D127" s="103" t="s">
        <v>187</v>
      </c>
      <c r="O127" s="103" t="s">
        <v>188</v>
      </c>
    </row>
    <row r="128" spans="4:18" ht="20.100000000000001" customHeight="1" x14ac:dyDescent="0.25">
      <c r="D128" s="54" t="s">
        <v>118</v>
      </c>
      <c r="E128" s="54" t="s">
        <v>139</v>
      </c>
      <c r="F128" s="54" t="s">
        <v>140</v>
      </c>
      <c r="G128" s="54" t="s">
        <v>141</v>
      </c>
      <c r="O128" s="54" t="s">
        <v>118</v>
      </c>
      <c r="P128" s="54" t="s">
        <v>139</v>
      </c>
      <c r="Q128" s="54" t="s">
        <v>140</v>
      </c>
      <c r="R128" s="54" t="s">
        <v>141</v>
      </c>
    </row>
    <row r="129" spans="3:20" ht="20.100000000000001" customHeight="1" x14ac:dyDescent="0.25">
      <c r="D129" s="55" t="str">
        <f>'Input - Feedlot'!$D$38</f>
        <v>Anaerobic lagoon</v>
      </c>
      <c r="E129" s="55">
        <f>(D83 * E124)</f>
        <v>1435.2758784000005</v>
      </c>
      <c r="F129" s="55">
        <f>(E83 * F124)</f>
        <v>50.687078400000004</v>
      </c>
      <c r="G129" s="55">
        <f>(F83 * G124)</f>
        <v>73.20959999999998</v>
      </c>
      <c r="H129" s="2" t="str">
        <f>$E$116</f>
        <v>kg N</v>
      </c>
      <c r="I129" s="2"/>
      <c r="J129" s="2"/>
      <c r="K129" s="2"/>
      <c r="O129" s="55" t="str">
        <f>'Input - Feedlot'!$D$38</f>
        <v>Anaerobic lagoon</v>
      </c>
      <c r="P129" s="55">
        <f>(O83 * E124)</f>
        <v>1435.2758784000005</v>
      </c>
      <c r="Q129" s="55">
        <f>(P83 * F124)</f>
        <v>50.687078400000004</v>
      </c>
      <c r="R129" s="55">
        <f>(Q83 * G124)</f>
        <v>73.20959999999998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
        <v>443</v>
      </c>
    </row>
    <row r="134" spans="3:20" ht="20.100000000000001" customHeight="1" x14ac:dyDescent="0.25">
      <c r="D134" s="5" t="s">
        <v>444</v>
      </c>
    </row>
    <row r="135" spans="3:20" ht="20.100000000000001" customHeight="1" x14ac:dyDescent="0.25">
      <c r="D135" s="13"/>
      <c r="E135" s="13"/>
    </row>
    <row r="136" spans="3:20" ht="20.100000000000001" customHeight="1" x14ac:dyDescent="0.25"/>
    <row r="137" spans="3:20" ht="20.100000000000001" customHeight="1" x14ac:dyDescent="0.25">
      <c r="D137" s="6"/>
    </row>
    <row r="138" spans="3:20" ht="20.100000000000001" customHeight="1" x14ac:dyDescent="0.25">
      <c r="D138" s="56" t="s">
        <v>28</v>
      </c>
      <c r="E138" s="1" t="s">
        <v>445</v>
      </c>
    </row>
    <row r="139" spans="3:20" ht="20.100000000000001" customHeight="1" x14ac:dyDescent="0.25">
      <c r="D139" s="56" t="s">
        <v>19</v>
      </c>
      <c r="E139" s="57" t="s">
        <v>229</v>
      </c>
    </row>
    <row r="140" spans="3:20" ht="20.100000000000001" customHeight="1" x14ac:dyDescent="0.25"/>
    <row r="141" spans="3:20" ht="20.100000000000001" customHeight="1" x14ac:dyDescent="0.25">
      <c r="D141" s="139" t="s">
        <v>435</v>
      </c>
      <c r="E141" s="142" t="s">
        <v>446</v>
      </c>
      <c r="F141" s="141"/>
      <c r="G141" s="139" t="s">
        <v>229</v>
      </c>
      <c r="H141" s="131" t="s">
        <v>453</v>
      </c>
      <c r="I141" s="140" t="str" cm="1">
        <f t="array" aca="1" ref="I141" ca="1">HYPERLINK(Common_InputFunctions.Utility_SourceHyperlink($D$103),$D$103)</f>
        <v>M1_Table_MN_j_m-5_T-1</v>
      </c>
    </row>
    <row r="142" spans="3:20" ht="20.100000000000001" customHeight="1" x14ac:dyDescent="0.25">
      <c r="D142" s="139" t="s">
        <v>447</v>
      </c>
      <c r="E142" s="142" t="s">
        <v>448</v>
      </c>
      <c r="F142" s="141"/>
      <c r="G142" s="139" t="s">
        <v>327</v>
      </c>
      <c r="H142" s="131" t="s">
        <v>379</v>
      </c>
      <c r="I142" s="139">
        <f>'Constants - Feedlot'!$F$113</f>
        <v>0.6</v>
      </c>
    </row>
    <row r="143" spans="3:20" ht="20.100000000000001" customHeight="1" x14ac:dyDescent="0.25">
      <c r="D143" s="139" t="s">
        <v>449</v>
      </c>
      <c r="E143" s="142" t="s">
        <v>450</v>
      </c>
      <c r="F143" s="141"/>
      <c r="G143" s="139" t="s">
        <v>454</v>
      </c>
      <c r="H143" s="131" t="s">
        <v>379</v>
      </c>
      <c r="I143" s="139">
        <f>'Constants - Feedlot'!$F$101</f>
        <v>5.4000000000000003E-3</v>
      </c>
    </row>
    <row r="144" spans="3:20" ht="20.100000000000001" customHeight="1" x14ac:dyDescent="0.25">
      <c r="D144" s="139" t="s">
        <v>451</v>
      </c>
      <c r="E144" s="142" t="s">
        <v>452</v>
      </c>
      <c r="F144" s="141"/>
      <c r="G144" s="139" t="s">
        <v>229</v>
      </c>
      <c r="H144" s="131" t="s">
        <v>455</v>
      </c>
      <c r="I144" s="140"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177</v>
      </c>
      <c r="O146" s="104" t="s">
        <v>178</v>
      </c>
    </row>
    <row r="147" spans="3:20" ht="20.100000000000001" customHeight="1" x14ac:dyDescent="0.25">
      <c r="D147" s="103" t="s">
        <v>185</v>
      </c>
      <c r="O147" s="103" t="s">
        <v>186</v>
      </c>
    </row>
    <row r="148" spans="3:20" ht="20.100000000000001" customHeight="1" x14ac:dyDescent="0.25">
      <c r="D148" s="54" t="s">
        <v>139</v>
      </c>
      <c r="E148" s="54" t="s">
        <v>140</v>
      </c>
      <c r="F148" s="54" t="s">
        <v>141</v>
      </c>
      <c r="O148" s="54" t="s">
        <v>139</v>
      </c>
      <c r="P148" s="54" t="s">
        <v>140</v>
      </c>
      <c r="Q148" s="54" t="s">
        <v>141</v>
      </c>
    </row>
    <row r="149" spans="3:20" ht="20.100000000000001" customHeight="1" x14ac:dyDescent="0.25">
      <c r="D149" s="55">
        <f>((E106 * (1 - $I$142 - $I$143)) - E129)</f>
        <v>26882.71720243201</v>
      </c>
      <c r="E149" s="55">
        <f>((F106 * (1 - $I$142 - $I$143)) - F129)</f>
        <v>949.36897843199995</v>
      </c>
      <c r="F149" s="55">
        <f>((G106 * (1 - $I$142 - $I$143)) - G129)</f>
        <v>1371.2158079999997</v>
      </c>
      <c r="G149" s="2" t="str">
        <f>$E$116</f>
        <v>kg N</v>
      </c>
      <c r="O149" s="55">
        <f>((P106 * (1 - $I$142 - $I$143)) - P129)</f>
        <v>26882.71720243201</v>
      </c>
      <c r="P149" s="55">
        <f>((Q106 * (1 - $I$142 - $I$143)) - Q129)</f>
        <v>949.36897843199995</v>
      </c>
      <c r="Q149" s="55">
        <f>((R106 * (1 - $I$142 - $I$143)) - R129)</f>
        <v>1371.2158079999997</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
        <v>456</v>
      </c>
    </row>
    <row r="154" spans="3:20" ht="20.100000000000001" customHeight="1" x14ac:dyDescent="0.25">
      <c r="D154" s="5" t="s">
        <v>457</v>
      </c>
    </row>
    <row r="155" spans="3:20" ht="20.100000000000001" customHeight="1" x14ac:dyDescent="0.25">
      <c r="D155" s="13"/>
      <c r="E155" s="13"/>
    </row>
    <row r="156" spans="3:20" ht="20.100000000000001" customHeight="1" x14ac:dyDescent="0.25"/>
    <row r="157" spans="3:20" ht="20.100000000000001" customHeight="1" x14ac:dyDescent="0.25">
      <c r="D157" s="6"/>
    </row>
    <row r="158" spans="3:20" ht="20.100000000000001" customHeight="1" x14ac:dyDescent="0.25">
      <c r="D158" s="56" t="s">
        <v>28</v>
      </c>
      <c r="E158" s="1" t="s">
        <v>458</v>
      </c>
    </row>
    <row r="159" spans="3:20" ht="20.100000000000001" customHeight="1" x14ac:dyDescent="0.25">
      <c r="D159" s="56" t="s">
        <v>19</v>
      </c>
      <c r="E159" s="57" t="s">
        <v>229</v>
      </c>
    </row>
    <row r="160" spans="3:20" ht="20.100000000000001" customHeight="1" x14ac:dyDescent="0.25"/>
    <row r="161" spans="4:19" ht="20.100000000000001" customHeight="1" x14ac:dyDescent="0.25">
      <c r="D161" s="139" t="s">
        <v>445</v>
      </c>
      <c r="E161" s="142" t="s">
        <v>459</v>
      </c>
      <c r="F161" s="141"/>
      <c r="G161" s="139" t="s">
        <v>229</v>
      </c>
      <c r="H161" s="131" t="s">
        <v>461</v>
      </c>
      <c r="I161" s="140" t="str" cm="1">
        <f t="array" aca="1" ref="I161" ca="1">HYPERLINK(Common_InputFunctions.Utility_SourceHyperlink($D$146),$D$146)</f>
        <v>M1_Table_NT_j_m-_T-2</v>
      </c>
    </row>
    <row r="162" spans="4:19" ht="20.100000000000001" customHeight="1" x14ac:dyDescent="0.25">
      <c r="D162" s="139" t="s">
        <v>460</v>
      </c>
      <c r="E162" s="142" t="s">
        <v>388</v>
      </c>
      <c r="F162" s="141"/>
      <c r="G162" s="139" t="s">
        <v>327</v>
      </c>
      <c r="H162" s="130" t="s">
        <v>380</v>
      </c>
      <c r="I162" s="140"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168</v>
      </c>
      <c r="L164" s="2"/>
    </row>
    <row r="165" spans="4:19" ht="20.100000000000001" customHeight="1" x14ac:dyDescent="0.25">
      <c r="D165" s="103" t="s">
        <v>113</v>
      </c>
    </row>
    <row r="166" spans="4:19" ht="20.100000000000001" customHeight="1" x14ac:dyDescent="0.25">
      <c r="D166" s="41" t="s">
        <v>101</v>
      </c>
      <c r="E166" s="41" t="s">
        <v>139</v>
      </c>
      <c r="F166" s="41" t="s">
        <v>140</v>
      </c>
      <c r="G166" s="41" t="s">
        <v>141</v>
      </c>
    </row>
    <row r="167" spans="4:19" ht="20.100000000000001" customHeight="1" x14ac:dyDescent="0.25">
      <c r="D167" s="55" t="str">
        <f>'Input - Feedlot'!$D$32</f>
        <v>Solid storage</v>
      </c>
      <c r="E167" s="55">
        <f>'Input - Feedlot'!$E$32</f>
        <v>0.2</v>
      </c>
      <c r="F167" s="55">
        <f>'Input - Feedlot'!$F$32</f>
        <v>0.2</v>
      </c>
      <c r="G167" s="55">
        <f>'Input - Feedlot'!$G$32</f>
        <v>0.2</v>
      </c>
      <c r="H167" s="2" t="s">
        <v>327</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327</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179</v>
      </c>
      <c r="O171" s="104" t="s">
        <v>179</v>
      </c>
    </row>
    <row r="172" spans="4:19" ht="20.100000000000001" customHeight="1" x14ac:dyDescent="0.25">
      <c r="D172" s="103" t="s">
        <v>183</v>
      </c>
      <c r="O172" s="103" t="s">
        <v>184</v>
      </c>
    </row>
    <row r="173" spans="4:19" ht="20.100000000000001" customHeight="1" x14ac:dyDescent="0.25">
      <c r="D173" s="54" t="s">
        <v>101</v>
      </c>
      <c r="E173" s="54" t="s">
        <v>139</v>
      </c>
      <c r="F173" s="54" t="s">
        <v>140</v>
      </c>
      <c r="G173" s="54" t="s">
        <v>141</v>
      </c>
      <c r="O173" s="54" t="s">
        <v>101</v>
      </c>
      <c r="P173" s="54" t="s">
        <v>139</v>
      </c>
      <c r="Q173" s="54" t="s">
        <v>140</v>
      </c>
      <c r="R173" s="54" t="s">
        <v>141</v>
      </c>
    </row>
    <row r="174" spans="4:19" ht="20.100000000000001" customHeight="1" x14ac:dyDescent="0.25">
      <c r="D174" s="55" t="str">
        <f>'Input - Feedlot'!$D$32</f>
        <v>Solid storage</v>
      </c>
      <c r="E174" s="55">
        <f>(D$149 * E167)</f>
        <v>5376.5434404864027</v>
      </c>
      <c r="F174" s="55">
        <f>(E$149 * F167)</f>
        <v>189.8737956864</v>
      </c>
      <c r="G174" s="55">
        <f>(F$149 * G167)</f>
        <v>274.24316159999995</v>
      </c>
      <c r="H174" s="2" t="str">
        <f>$E$159</f>
        <v>kg N</v>
      </c>
      <c r="I174" s="2"/>
      <c r="J174" s="2"/>
      <c r="K174" s="2"/>
      <c r="O174" s="55" t="str">
        <f>'Input - Feedlot'!$D$32</f>
        <v>Solid storage</v>
      </c>
      <c r="P174" s="55">
        <f>(O$149 * E167)</f>
        <v>5376.5434404864027</v>
      </c>
      <c r="Q174" s="55">
        <f>(P$149 * F167)</f>
        <v>189.8737956864</v>
      </c>
      <c r="R174" s="55">
        <f>(Q$149 * G167)</f>
        <v>274.24316159999995</v>
      </c>
      <c r="S174" s="2" t="str">
        <f>$E$159</f>
        <v>kg N</v>
      </c>
    </row>
    <row r="175" spans="4:19" ht="20.100000000000001" customHeight="1" x14ac:dyDescent="0.25">
      <c r="D175" s="55" t="str">
        <f>'Input - Feedlot'!$D$33</f>
        <v>Composting (passive windrow)</v>
      </c>
      <c r="E175" s="55">
        <f>(D$149 * E168)</f>
        <v>5376.5434404864027</v>
      </c>
      <c r="F175" s="55">
        <f>(E$149 * F168)</f>
        <v>189.8737956864</v>
      </c>
      <c r="G175" s="55">
        <f>(F$149 * G168)</f>
        <v>274.24316159999995</v>
      </c>
      <c r="H175" s="2" t="str">
        <f>$E$159</f>
        <v>kg N</v>
      </c>
      <c r="I175" s="2"/>
      <c r="J175" s="2"/>
      <c r="K175" s="2"/>
      <c r="O175" s="55" t="str">
        <f>'Input - Feedlot'!$D$33</f>
        <v>Composting (passive windrow)</v>
      </c>
      <c r="P175" s="55">
        <f>(O$149 * E168)</f>
        <v>5376.5434404864027</v>
      </c>
      <c r="Q175" s="55">
        <f>(P$149 * F168)</f>
        <v>189.8737956864</v>
      </c>
      <c r="R175" s="55">
        <f>(Q$149 * G168)</f>
        <v>274.24316159999995</v>
      </c>
      <c r="S175" s="2" t="str">
        <f>$E$159</f>
        <v>kg N</v>
      </c>
    </row>
    <row r="176" spans="4:19" ht="20.100000000000001" customHeight="1" x14ac:dyDescent="0.25">
      <c r="D176" s="55" t="str">
        <f>'Input - Feedlot'!$D$34</f>
        <v>Direct application</v>
      </c>
      <c r="E176" s="55">
        <f>(D$149 * E169)</f>
        <v>16129.630321459204</v>
      </c>
      <c r="F176" s="55">
        <f>(E$149 * F169)</f>
        <v>569.62138705919995</v>
      </c>
      <c r="G176" s="55">
        <f>(F$149 * G169)</f>
        <v>822.7294847999998</v>
      </c>
      <c r="H176" s="2" t="str">
        <f>$E$159</f>
        <v>kg N</v>
      </c>
      <c r="I176" s="2"/>
      <c r="J176" s="2"/>
      <c r="K176" s="2"/>
      <c r="O176" s="55" t="str">
        <f>'Input - Feedlot'!$D$34</f>
        <v>Direct application</v>
      </c>
      <c r="P176" s="55">
        <f>(O$149 * E169)</f>
        <v>16129.630321459204</v>
      </c>
      <c r="Q176" s="55">
        <f>(P$149 * F169)</f>
        <v>569.62138705919995</v>
      </c>
      <c r="R176" s="55">
        <f>(Q$149 * G169)</f>
        <v>822.7294847999998</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
        <v>462</v>
      </c>
    </row>
    <row r="180" spans="3:20" ht="20.100000000000001" customHeight="1" x14ac:dyDescent="0.25">
      <c r="D180" s="5" t="s">
        <v>463</v>
      </c>
    </row>
    <row r="181" spans="3:20" ht="20.100000000000001" customHeight="1" x14ac:dyDescent="0.25">
      <c r="D181" s="13"/>
      <c r="E181" s="13"/>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28</v>
      </c>
      <c r="E185" s="1" t="s">
        <v>464</v>
      </c>
    </row>
    <row r="186" spans="3:20" ht="20.100000000000001" customHeight="1" x14ac:dyDescent="0.25">
      <c r="D186" s="56" t="s">
        <v>19</v>
      </c>
      <c r="E186" s="57" t="s">
        <v>465</v>
      </c>
    </row>
    <row r="187" spans="3:20" ht="20.100000000000001" customHeight="1" x14ac:dyDescent="0.25"/>
    <row r="188" spans="3:20" ht="20.100000000000001" customHeight="1" x14ac:dyDescent="0.25">
      <c r="D188" s="139" t="s">
        <v>466</v>
      </c>
      <c r="E188" s="142" t="s">
        <v>467</v>
      </c>
      <c r="F188" s="141"/>
      <c r="G188" s="139" t="s">
        <v>229</v>
      </c>
      <c r="H188" s="131" t="s">
        <v>472</v>
      </c>
      <c r="I188" s="140" t="str" cm="1">
        <f t="array" aca="1" ref="I188" ca="1">HYPERLINK(Common_InputFunctions.Utility_SourceHyperlink($D$103),$D$103)</f>
        <v>M1_Table_MN_j_m-5_T-1</v>
      </c>
      <c r="J188" s="140" t="str" cm="1">
        <f t="array" aca="1" ref="J188" ca="1">HYPERLINK(Common_InputFunctions.Utility_SourceHyperlink($D$171),$D$171)</f>
        <v>M1_Table_MN_j_m_T-2</v>
      </c>
      <c r="K188" s="140" t="str" cm="1">
        <f t="array" aca="1" ref="K188" ca="1">HYPERLINK(Common_InputFunctions.Utility_SourceHyperlink($D$126),$D$126)</f>
        <v>M1_Table_MN_j_m-1_T-3</v>
      </c>
    </row>
    <row r="189" spans="3:20" ht="20.100000000000001" customHeight="1" x14ac:dyDescent="0.25">
      <c r="D189" s="139" t="s">
        <v>468</v>
      </c>
      <c r="E189" s="142" t="s">
        <v>469</v>
      </c>
      <c r="F189" s="141"/>
      <c r="G189" s="139" t="s">
        <v>473</v>
      </c>
      <c r="H189" s="131" t="s">
        <v>379</v>
      </c>
      <c r="I189" s="140" t="str" cm="1">
        <f t="array" aca="1" ref="I189" ca="1">HYPERLINK(Common_InputFunctions.Utility_SourceHyperlink($D$192),$D$192)</f>
        <v>Table_EF_j_m</v>
      </c>
      <c r="J189" s="139"/>
      <c r="K189" s="139"/>
    </row>
    <row r="190" spans="3:20" ht="20.100000000000001" customHeight="1" x14ac:dyDescent="0.25">
      <c r="D190" s="139" t="s">
        <v>470</v>
      </c>
      <c r="E190" s="142" t="s">
        <v>471</v>
      </c>
      <c r="F190" s="141"/>
      <c r="G190" s="139" t="s">
        <v>422</v>
      </c>
      <c r="H190" s="131" t="s">
        <v>379</v>
      </c>
      <c r="I190" s="139">
        <f>Common_InputFunctions.Utility_LookupValueInTableNumber("N2O",Table_GasToMolecularConversionFactor[Gas],Table_GasToMolecularConversionFactor[Conversion factor combined])</f>
        <v>1.5714285714285714</v>
      </c>
      <c r="J190" s="139"/>
      <c r="K190" s="139"/>
    </row>
    <row r="191" spans="3:20" ht="20.100000000000001" customHeight="1" x14ac:dyDescent="0.25"/>
    <row r="192" spans="3:20" ht="20.100000000000001" customHeight="1" x14ac:dyDescent="0.25">
      <c r="D192" s="104" t="s">
        <v>171</v>
      </c>
    </row>
    <row r="193" spans="4:19" ht="20.100000000000001" customHeight="1" x14ac:dyDescent="0.25">
      <c r="D193" s="103" t="s">
        <v>172</v>
      </c>
    </row>
    <row r="194" spans="4:19" ht="20.100000000000001" customHeight="1" x14ac:dyDescent="0.25">
      <c r="D194" s="116" t="s">
        <v>66</v>
      </c>
      <c r="E194" s="116" t="s">
        <v>173</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7" t="s">
        <v>349</v>
      </c>
      <c r="E200" s="94"/>
      <c r="F200" s="94"/>
      <c r="G200" s="90"/>
    </row>
    <row r="201" spans="4:19" ht="20.100000000000001" customHeight="1" x14ac:dyDescent="0.25">
      <c r="D201" s="96" t="s">
        <v>332</v>
      </c>
      <c r="E201" s="93"/>
      <c r="F201" s="93"/>
      <c r="G201" s="91"/>
    </row>
    <row r="202" spans="4:19" ht="20.100000000000001" customHeight="1" x14ac:dyDescent="0.25"/>
    <row r="203" spans="4:19" ht="20.100000000000001" customHeight="1" x14ac:dyDescent="0.25">
      <c r="D203" s="104" t="s">
        <v>180</v>
      </c>
      <c r="O203" s="104" t="s">
        <v>180</v>
      </c>
    </row>
    <row r="204" spans="4:19" ht="20.100000000000001" customHeight="1" x14ac:dyDescent="0.25">
      <c r="D204" s="103" t="s">
        <v>181</v>
      </c>
      <c r="O204" s="103" t="s">
        <v>182</v>
      </c>
    </row>
    <row r="205" spans="4:19" ht="20.100000000000001" customHeight="1" x14ac:dyDescent="0.25">
      <c r="D205" s="116" t="s">
        <v>66</v>
      </c>
      <c r="E205" s="54" t="s">
        <v>139</v>
      </c>
      <c r="F205" s="54" t="s">
        <v>140</v>
      </c>
      <c r="G205" s="54" t="s">
        <v>141</v>
      </c>
      <c r="O205" s="116" t="s">
        <v>66</v>
      </c>
      <c r="P205" s="54" t="s">
        <v>139</v>
      </c>
      <c r="Q205" s="54" t="s">
        <v>140</v>
      </c>
      <c r="R205" s="54" t="s">
        <v>141</v>
      </c>
    </row>
    <row r="206" spans="4:19" ht="20.100000000000001" customHeight="1" x14ac:dyDescent="0.25">
      <c r="D206" s="55" t="str">
        <f>'Input - Feedlot'!$D$28</f>
        <v>Drylot (feed pad)</v>
      </c>
      <c r="E206" s="55">
        <f>(SUMPRODUCT(E$106, $E195, $I$190) * 10 ^ -3)</f>
        <v>0.6089670512640003</v>
      </c>
      <c r="F206" s="55">
        <f>(SUMPRODUCT(F$106, $E195, $I$190) * 10 ^ -3)</f>
        <v>2.1505803264000003E-2</v>
      </c>
      <c r="G206" s="55">
        <f>(SUMPRODUCT(G$106, $E195, $I$190) * 10 ^ -3)</f>
        <v>3.1061787428571422E-2</v>
      </c>
      <c r="H206" s="2" t="str">
        <f>$E$186</f>
        <v>t N2O</v>
      </c>
      <c r="I206" s="2"/>
      <c r="J206" s="2"/>
      <c r="K206" s="2"/>
      <c r="O206" s="55" t="str">
        <f>'Input - Feedlot'!$D$28</f>
        <v>Drylot (feed pad)</v>
      </c>
      <c r="P206" s="55">
        <f>(SUMPRODUCT(P$106, $E195, $I$190) * 10 ^ -3)</f>
        <v>0.6089670512640003</v>
      </c>
      <c r="Q206" s="55">
        <f>(SUMPRODUCT(Q$106, $E195, $I$190) * 10 ^ -3)</f>
        <v>2.1505803264000003E-2</v>
      </c>
      <c r="R206" s="55">
        <f>(SUMPRODUCT(R$106, $E195, $I$190) * 10 ^ -3)</f>
        <v>3.1061787428571422E-2</v>
      </c>
      <c r="S206" s="2" t="str">
        <f>$E$186</f>
        <v>t N2O</v>
      </c>
    </row>
    <row r="207" spans="4:19" ht="20.100000000000001" customHeight="1" x14ac:dyDescent="0.25">
      <c r="D207" s="55" t="str">
        <f>'Input - Feedlot'!$D$32</f>
        <v>Solid storage</v>
      </c>
      <c r="E207" s="55">
        <f>(SUMPRODUCT(E$174, $E196, $I$190) * 10 ^ -3)</f>
        <v>4.2244269889536022E-2</v>
      </c>
      <c r="F207" s="55">
        <f>(SUMPRODUCT(F$174, $E196, $I$190) * 10 ^ -3)</f>
        <v>1.4918655375360003E-3</v>
      </c>
      <c r="G207" s="55">
        <f>(SUMPRODUCT(G$174, $E196, $I$190) * 10 ^ -3)</f>
        <v>2.1547676982857141E-3</v>
      </c>
      <c r="H207" s="2" t="str">
        <f>$E$186</f>
        <v>t N2O</v>
      </c>
      <c r="I207" s="2"/>
      <c r="J207" s="2"/>
      <c r="K207" s="2"/>
      <c r="O207" s="55" t="str">
        <f>'Input - Feedlot'!$D$32</f>
        <v>Solid storage</v>
      </c>
      <c r="P207" s="55">
        <f>(SUMPRODUCT(P$174, $E196, $I$190) * 10 ^ -3)</f>
        <v>4.2244269889536022E-2</v>
      </c>
      <c r="Q207" s="55">
        <f>(SUMPRODUCT(Q$174, $E196, $I$190) * 10 ^ -3)</f>
        <v>1.4918655375360003E-3</v>
      </c>
      <c r="R207" s="55">
        <f>(SUMPRODUCT(R$174, $E196, $I$190) * 10 ^ -3)</f>
        <v>2.1547676982857141E-3</v>
      </c>
      <c r="S207" s="2" t="str">
        <f>$E$186</f>
        <v>t N2O</v>
      </c>
    </row>
    <row r="208" spans="4:19" ht="20.100000000000001" customHeight="1" x14ac:dyDescent="0.25">
      <c r="D208" s="55" t="str">
        <f>'Input - Feedlot'!$D$33</f>
        <v>Composting (passive windrow)</v>
      </c>
      <c r="E208" s="55">
        <f>(SUMPRODUCT(E$175, $E197, $I$190) * 10 ^ -3)</f>
        <v>8.4488539779072044E-2</v>
      </c>
      <c r="F208" s="55">
        <f>(SUMPRODUCT(F$175, $E197, $I$190) * 10 ^ -3)</f>
        <v>2.9837310750720006E-3</v>
      </c>
      <c r="G208" s="55">
        <f>(SUMPRODUCT(G$175, $E197, $I$190) * 10 ^ -3)</f>
        <v>4.3095353965714282E-3</v>
      </c>
      <c r="H208" s="2" t="str">
        <f>$E$186</f>
        <v>t N2O</v>
      </c>
      <c r="I208" s="2"/>
      <c r="J208" s="2"/>
      <c r="K208" s="2"/>
      <c r="O208" s="55" t="str">
        <f>'Input - Feedlot'!$D$33</f>
        <v>Composting (passive windrow)</v>
      </c>
      <c r="P208" s="55">
        <f>(SUMPRODUCT(P$175, $E197, $I$190) * 10 ^ -3)</f>
        <v>8.4488539779072044E-2</v>
      </c>
      <c r="Q208" s="55">
        <f>(SUMPRODUCT(Q$175, $E197, $I$190) * 10 ^ -3)</f>
        <v>2.9837310750720006E-3</v>
      </c>
      <c r="R208" s="55">
        <f>(SUMPRODUCT(R$175, $E197, $I$190) * 10 ^ -3)</f>
        <v>4.3095353965714282E-3</v>
      </c>
      <c r="S208" s="2" t="str">
        <f>$E$186</f>
        <v>t N2O</v>
      </c>
    </row>
    <row r="209" spans="4:19" ht="20.100000000000001" customHeight="1" x14ac:dyDescent="0.25">
      <c r="D209" s="55" t="str">
        <f>'Input - Feedlot'!$D$34</f>
        <v>Direct application</v>
      </c>
      <c r="E209" s="55" t="s">
        <v>318</v>
      </c>
      <c r="F209" s="55" t="s">
        <v>318</v>
      </c>
      <c r="G209" s="55" t="s">
        <v>318</v>
      </c>
      <c r="H209" s="2" t="str">
        <f>$E$186</f>
        <v>t N2O</v>
      </c>
      <c r="I209" s="2"/>
      <c r="J209" s="2"/>
      <c r="K209" s="2"/>
      <c r="O209" s="55" t="str">
        <f>'Input - Feedlot'!$D$34</f>
        <v>Direct application</v>
      </c>
      <c r="P209" s="55" t="s">
        <v>318</v>
      </c>
      <c r="Q209" s="55" t="s">
        <v>318</v>
      </c>
      <c r="R209" s="55" t="s">
        <v>318</v>
      </c>
      <c r="S209" s="2" t="str">
        <f>$E$186</f>
        <v>t N2O</v>
      </c>
    </row>
    <row r="210" spans="4:19" ht="20.100000000000001" customHeight="1" x14ac:dyDescent="0.25">
      <c r="D210" s="55" t="str">
        <f>'Input - Feedlot'!$D$38</f>
        <v>Anaerobic lagoon</v>
      </c>
      <c r="E210" s="55">
        <f>(SUMPRODUCT(E$129, $E198, $I$190) * 10 ^ -3)</f>
        <v>0</v>
      </c>
      <c r="F210" s="55">
        <f>(SUMPRODUCT(F$129, $E198, $I$190) * 10 ^ -3)</f>
        <v>0</v>
      </c>
      <c r="G210" s="55">
        <f>(SUMPRODUCT(G$129, $E198, $I$190) * 10 ^ -3)</f>
        <v>0</v>
      </c>
      <c r="H210" s="2" t="str">
        <f>$E$186</f>
        <v>t N2O</v>
      </c>
      <c r="I210" s="2"/>
      <c r="J210" s="2"/>
      <c r="K210" s="2"/>
      <c r="O210" s="55" t="str">
        <f>'Input - Feedlot'!$D$38</f>
        <v>Anaerobic lagoon</v>
      </c>
      <c r="P210" s="55">
        <f>(SUMPRODUCT(P$129, $E198, $I$190) * 10 ^ -3)</f>
        <v>0</v>
      </c>
      <c r="Q210" s="55">
        <f>(SUMPRODUCT(Q$129, $E198, $I$190) * 10 ^ -3)</f>
        <v>0</v>
      </c>
      <c r="R210" s="55">
        <f>(SUMPRODUCT(R$129, $E198, $I$190) * 10 ^ -3)</f>
        <v>0</v>
      </c>
      <c r="S210" s="2" t="str">
        <f>$E$186</f>
        <v>t N2O</v>
      </c>
    </row>
    <row r="211" spans="4:19" ht="20.100000000000001" customHeight="1" x14ac:dyDescent="0.25"/>
    <row r="212" spans="4:19" ht="20.100000000000001" customHeight="1" x14ac:dyDescent="0.25">
      <c r="D212" s="108" t="s">
        <v>174</v>
      </c>
      <c r="E212" s="109">
        <f>SUM(E206:G210)</f>
        <v>0.79920735133264487</v>
      </c>
      <c r="F212" s="110" t="str">
        <f>$E$186</f>
        <v>t N2O</v>
      </c>
      <c r="O212" s="108" t="s">
        <v>174</v>
      </c>
      <c r="P212" s="109">
        <f>SUM(P206:R210)</f>
        <v>0.79920735133264487</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0.79920735133264487</v>
      </c>
      <c r="O214" s="60" t="str" cm="1">
        <f t="array" ref="O214:P215">Common_Equations.Common_ConvertN2OToCO2e_Arguments()</f>
        <v>EN2O</v>
      </c>
      <c r="P214" s="61" t="str">
        <v>Nitrous oxide emissions (t N2O)</v>
      </c>
      <c r="Q214" s="111"/>
      <c r="R214" s="55">
        <f>P212</f>
        <v>0.79920735133264487</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128</v>
      </c>
      <c r="E217" s="48" cm="1">
        <f t="array" ref="E217">Common_Equations.Common_ConvertN2OToCO2e(G214,G215)</f>
        <v>211.78994810315089</v>
      </c>
      <c r="F217" s="112" t="str" cm="1">
        <f t="array" ref="F217">Common_Equations.Common_ConvertN2OToCO2e_Unit()</f>
        <v>t CO2e</v>
      </c>
      <c r="O217" s="48" t="s">
        <v>128</v>
      </c>
      <c r="P217" s="48" cm="1">
        <f t="array" ref="P217">Common_Equations.Common_ConvertN2OToCO2e(R214,R215)</f>
        <v>211.78994810315089</v>
      </c>
      <c r="Q217" s="112" t="str" cm="1">
        <f t="array" ref="Q217">Common_Equations.Common_ConvertN2OToCO2e_Unit()</f>
        <v>t CO2e</v>
      </c>
    </row>
  </sheetData>
  <dataValidations disablePrompts="1"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262</v>
      </c>
    </row>
    <row r="2" spans="1:19" s="9" customFormat="1" ht="20.100000000000001" customHeight="1" x14ac:dyDescent="0.25"/>
    <row r="3" spans="1:19" ht="20.100000000000001" customHeight="1" x14ac:dyDescent="0.25">
      <c r="A3" s="17" t="str">
        <f>HYPERLINK("#'Home'!A1", "Home")</f>
        <v>Home</v>
      </c>
      <c r="C3" s="4"/>
      <c r="D3" s="4" t="s">
        <v>160</v>
      </c>
      <c r="E3" s="4"/>
      <c r="F3" s="4"/>
      <c r="G3" s="4"/>
      <c r="H3" s="4"/>
      <c r="I3" s="4"/>
      <c r="J3" s="4"/>
      <c r="L3" s="4"/>
      <c r="M3" s="4" t="s">
        <v>161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474</v>
      </c>
    </row>
    <row r="6" spans="1:19" ht="20.100000000000001" customHeight="1" x14ac:dyDescent="0.25">
      <c r="A6" s="16"/>
      <c r="D6" s="5" t="s">
        <v>475</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75</v>
      </c>
      <c r="D11" s="56" t="s">
        <v>28</v>
      </c>
      <c r="E11" s="1" t="s">
        <v>476</v>
      </c>
    </row>
    <row r="12" spans="1:19" ht="20.100000000000001" customHeight="1" x14ac:dyDescent="0.25">
      <c r="A12" s="17" t="str">
        <f>HYPERLINK("#'4.1.1.1-2 Methane'!A1", "4.1.1.1-2 Methane")</f>
        <v>4.1.1.1-2 Methane</v>
      </c>
      <c r="D12" s="56" t="s">
        <v>19</v>
      </c>
      <c r="E12" s="57" t="s">
        <v>229</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9" t="s">
        <v>466</v>
      </c>
      <c r="E14" s="139" t="s">
        <v>477</v>
      </c>
      <c r="F14" s="139"/>
      <c r="G14" s="139" t="s">
        <v>229</v>
      </c>
      <c r="H14" s="131" t="s">
        <v>472</v>
      </c>
      <c r="I14" s="140"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9" t="s">
        <v>478</v>
      </c>
      <c r="E15" s="139" t="s">
        <v>479</v>
      </c>
      <c r="F15" s="139"/>
      <c r="G15" s="139" t="s">
        <v>237</v>
      </c>
      <c r="H15" s="131" t="s">
        <v>379</v>
      </c>
      <c r="I15" s="140"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7" t="s">
        <v>333</v>
      </c>
      <c r="E17" s="94"/>
      <c r="F17" s="94"/>
      <c r="G17" s="90"/>
    </row>
    <row r="18" spans="1:18" ht="20.100000000000001" customHeight="1" x14ac:dyDescent="0.25">
      <c r="A18" s="17" t="str">
        <f>HYPERLINK("#'Constants - Feedlot'!A1", "Constants - Feedlot")</f>
        <v>Constants - Feedlot</v>
      </c>
      <c r="D18" s="96" t="s">
        <v>332</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263</v>
      </c>
      <c r="M20" s="104" t="s">
        <v>266</v>
      </c>
    </row>
    <row r="21" spans="1:18" ht="20.100000000000001" customHeight="1" x14ac:dyDescent="0.25">
      <c r="A21" s="17" t="str">
        <f>HYPERLINK("#'Acknowledgements'!A1", "Acknowledgements")</f>
        <v>Acknowledgements</v>
      </c>
      <c r="D21" s="103" t="s">
        <v>265</v>
      </c>
      <c r="M21" s="103" t="s">
        <v>267</v>
      </c>
    </row>
    <row r="22" spans="1:18" ht="20.100000000000001" customHeight="1" x14ac:dyDescent="0.25">
      <c r="D22" s="116" t="s">
        <v>66</v>
      </c>
      <c r="E22" s="54" t="s">
        <v>139</v>
      </c>
      <c r="F22" s="54" t="s">
        <v>140</v>
      </c>
      <c r="G22" s="54" t="s">
        <v>141</v>
      </c>
      <c r="M22" s="116" t="s">
        <v>66</v>
      </c>
      <c r="N22" s="54" t="s">
        <v>139</v>
      </c>
      <c r="O22" s="54" t="s">
        <v>140</v>
      </c>
      <c r="P22" s="54" t="s">
        <v>141</v>
      </c>
    </row>
    <row r="23" spans="1:18" ht="20.100000000000001" customHeight="1" x14ac:dyDescent="0.25">
      <c r="D23" s="55" t="str">
        <f>'Input - Feedlot'!$D$28</f>
        <v>Drylot (feed pad)</v>
      </c>
      <c r="E23" s="55">
        <f>'4.1.1.3-4 Direct N20'!$E$106</f>
        <v>71763.793920000026</v>
      </c>
      <c r="F23" s="55">
        <f>'4.1.1.3-4 Direct N20'!$F$106</f>
        <v>2534.35392</v>
      </c>
      <c r="G23" s="55">
        <f>'4.1.1.3-4 Direct N20'!$G$106</f>
        <v>3660.4799999999991</v>
      </c>
      <c r="H23" s="2" t="str">
        <f>$G$14</f>
        <v>kg N</v>
      </c>
      <c r="I23" s="2"/>
      <c r="M23" s="55" t="str">
        <f>'Input - Feedlot'!$D$28</f>
        <v>Drylot (feed pad)</v>
      </c>
      <c r="N23" s="55">
        <f>'4.1.1.3-4 Direct N20'!$P$106</f>
        <v>71763.793920000026</v>
      </c>
      <c r="O23" s="55">
        <f>'4.1.1.3-4 Direct N20'!$Q$106</f>
        <v>2534.35392</v>
      </c>
      <c r="P23" s="55">
        <f>'4.1.1.3-4 Direct N20'!$R$106</f>
        <v>3660.4799999999991</v>
      </c>
      <c r="Q23" s="2" t="str">
        <f>$G$14</f>
        <v>kg N</v>
      </c>
      <c r="R23" s="2"/>
    </row>
    <row r="24" spans="1:18" ht="20.100000000000001" customHeight="1" x14ac:dyDescent="0.25">
      <c r="A24" s="17"/>
      <c r="D24" s="55" t="str">
        <f>'Input - Feedlot'!$D$32</f>
        <v>Solid storage</v>
      </c>
      <c r="E24" s="55">
        <f>'4.1.1.3-4 Direct N20'!$E$174</f>
        <v>5376.5434404864027</v>
      </c>
      <c r="F24" s="55">
        <f>'4.1.1.3-4 Direct N20'!$F$174</f>
        <v>189.8737956864</v>
      </c>
      <c r="G24" s="55">
        <f>'4.1.1.3-4 Direct N20'!$G$174</f>
        <v>274.24316159999995</v>
      </c>
      <c r="H24" s="2"/>
      <c r="I24" s="2"/>
      <c r="M24" s="55" t="str">
        <f>'Input - Feedlot'!$D$32</f>
        <v>Solid storage</v>
      </c>
      <c r="N24" s="55">
        <f>'4.1.1.3-4 Direct N20'!$P$174</f>
        <v>5376.5434404864027</v>
      </c>
      <c r="O24" s="55">
        <f>'4.1.1.3-4 Direct N20'!$Q$174</f>
        <v>189.8737956864</v>
      </c>
      <c r="P24" s="55">
        <f>'4.1.1.3-4 Direct N20'!$R$174</f>
        <v>274.24316159999995</v>
      </c>
      <c r="Q24" s="2"/>
      <c r="R24" s="2"/>
    </row>
    <row r="25" spans="1:18" ht="20.100000000000001" customHeight="1" x14ac:dyDescent="0.25">
      <c r="A25" s="17"/>
      <c r="D25" s="55" t="str">
        <f>'Input - Feedlot'!$D$33</f>
        <v>Composting (passive windrow)</v>
      </c>
      <c r="E25" s="55">
        <f>'4.1.1.3-4 Direct N20'!$E$175</f>
        <v>5376.5434404864027</v>
      </c>
      <c r="F25" s="55">
        <f>'4.1.1.3-4 Direct N20'!$F$175</f>
        <v>189.8737956864</v>
      </c>
      <c r="G25" s="55">
        <f>'4.1.1.3-4 Direct N20'!$G$175</f>
        <v>274.24316159999995</v>
      </c>
      <c r="H25" s="2"/>
      <c r="I25" s="2"/>
      <c r="M25" s="55" t="str">
        <f>'Input - Feedlot'!$D$33</f>
        <v>Composting (passive windrow)</v>
      </c>
      <c r="N25" s="55">
        <f>'4.1.1.3-4 Direct N20'!$P$175</f>
        <v>5376.5434404864027</v>
      </c>
      <c r="O25" s="55">
        <f>'4.1.1.3-4 Direct N20'!$Q$175</f>
        <v>189.8737956864</v>
      </c>
      <c r="P25" s="55">
        <f>'4.1.1.3-4 Direct N20'!$R$175</f>
        <v>274.24316159999995</v>
      </c>
      <c r="Q25" s="2"/>
      <c r="R25" s="2"/>
    </row>
    <row r="26" spans="1:18" ht="20.100000000000001" customHeight="1" x14ac:dyDescent="0.25">
      <c r="D26" s="55" t="str">
        <f>'Input - Feedlot'!$D$34</f>
        <v>Direct application</v>
      </c>
      <c r="E26" s="55" t="s">
        <v>318</v>
      </c>
      <c r="F26" s="55" t="s">
        <v>318</v>
      </c>
      <c r="G26" s="55" t="s">
        <v>318</v>
      </c>
      <c r="H26" s="2"/>
      <c r="I26" s="2"/>
      <c r="M26" s="55" t="str">
        <f>'Input - Feedlot'!$D$34</f>
        <v>Direct application</v>
      </c>
      <c r="N26" s="55" t="s">
        <v>318</v>
      </c>
      <c r="O26" s="55" t="s">
        <v>318</v>
      </c>
      <c r="P26" s="55" t="s">
        <v>318</v>
      </c>
      <c r="Q26" s="2"/>
      <c r="R26" s="2"/>
    </row>
    <row r="27" spans="1:18" ht="20.100000000000001" customHeight="1" x14ac:dyDescent="0.25">
      <c r="D27" s="55" t="str">
        <f>'Input - Feedlot'!$D$38</f>
        <v>Anaerobic lagoon</v>
      </c>
      <c r="E27" s="55">
        <f>'4.1.1.3-4 Direct N20'!$E$129</f>
        <v>1435.2758784000005</v>
      </c>
      <c r="F27" s="55">
        <f>'4.1.1.3-4 Direct N20'!$F$129</f>
        <v>50.687078400000004</v>
      </c>
      <c r="G27" s="55">
        <f>'4.1.1.3-4 Direct N20'!$G$129</f>
        <v>73.20959999999998</v>
      </c>
      <c r="H27" s="2"/>
      <c r="I27" s="2"/>
      <c r="M27" s="55" t="str">
        <f>'Input - Feedlot'!$D$38</f>
        <v>Anaerobic lagoon</v>
      </c>
      <c r="N27" s="55">
        <f>'4.1.1.3-4 Direct N20'!$P$129</f>
        <v>1435.2758784000005</v>
      </c>
      <c r="O27" s="55">
        <f>'4.1.1.3-4 Direct N20'!$Q$129</f>
        <v>50.687078400000004</v>
      </c>
      <c r="P27" s="55">
        <f>'4.1.1.3-4 Direct N20'!$R$129</f>
        <v>73.20959999999998</v>
      </c>
      <c r="Q27" s="2"/>
      <c r="R27" s="2"/>
    </row>
    <row r="28" spans="1:18" ht="20.100000000000001" customHeight="1" x14ac:dyDescent="0.25"/>
    <row r="29" spans="1:18" ht="20.100000000000001" customHeight="1" x14ac:dyDescent="0.25">
      <c r="D29" s="104" t="s">
        <v>231</v>
      </c>
    </row>
    <row r="30" spans="1:18" ht="20.100000000000001" customHeight="1" x14ac:dyDescent="0.25">
      <c r="D30" s="103" t="s">
        <v>233</v>
      </c>
    </row>
    <row r="31" spans="1:18" ht="20.100000000000001" customHeight="1" x14ac:dyDescent="0.25">
      <c r="D31" s="116" t="s">
        <v>66</v>
      </c>
      <c r="E31" s="116" t="s">
        <v>173</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264</v>
      </c>
      <c r="M37" s="104" t="s">
        <v>264</v>
      </c>
    </row>
    <row r="38" spans="3:19" ht="20.100000000000001" customHeight="1" x14ac:dyDescent="0.25">
      <c r="D38" s="103" t="s">
        <v>265</v>
      </c>
      <c r="M38" s="103" t="s">
        <v>265</v>
      </c>
    </row>
    <row r="39" spans="3:19" ht="20.100000000000001" customHeight="1" x14ac:dyDescent="0.25">
      <c r="D39" s="116" t="s">
        <v>66</v>
      </c>
      <c r="E39" s="54" t="s">
        <v>139</v>
      </c>
      <c r="F39" s="54" t="s">
        <v>140</v>
      </c>
      <c r="G39" s="54" t="s">
        <v>141</v>
      </c>
      <c r="M39" s="116" t="s">
        <v>66</v>
      </c>
      <c r="N39" s="54" t="s">
        <v>139</v>
      </c>
      <c r="O39" s="54" t="s">
        <v>140</v>
      </c>
      <c r="P39" s="54" t="s">
        <v>141</v>
      </c>
    </row>
    <row r="40" spans="3:19" ht="20.100000000000001" customHeight="1" x14ac:dyDescent="0.25">
      <c r="D40" s="55" t="str">
        <f>'Input - Feedlot'!$D$28</f>
        <v>Drylot (feed pad)</v>
      </c>
      <c r="E40" s="55">
        <f>(E23 * $E32)</f>
        <v>43058.276352000015</v>
      </c>
      <c r="F40" s="55">
        <f>(F23 * $E32)</f>
        <v>1520.6123519999999</v>
      </c>
      <c r="G40" s="55">
        <f>(G23 * $E32)</f>
        <v>2196.2879999999996</v>
      </c>
      <c r="H40" s="2" t="str">
        <f>$E$12</f>
        <v>kg N</v>
      </c>
      <c r="I40" s="2"/>
      <c r="M40" s="55" t="str">
        <f>'Input - Feedlot'!$D$28</f>
        <v>Drylot (feed pad)</v>
      </c>
      <c r="N40" s="55">
        <f>(N23 * $E32)</f>
        <v>43058.276352000015</v>
      </c>
      <c r="O40" s="55">
        <f>(O23 * $E32)</f>
        <v>1520.6123519999999</v>
      </c>
      <c r="P40" s="55">
        <f>(P23 * $E32)</f>
        <v>2196.2879999999996</v>
      </c>
      <c r="Q40" s="2" t="str">
        <f>$E$12</f>
        <v>kg N</v>
      </c>
      <c r="R40" s="2"/>
    </row>
    <row r="41" spans="3:19" ht="20.100000000000001" customHeight="1" x14ac:dyDescent="0.25">
      <c r="D41" s="55" t="str">
        <f>'Input - Feedlot'!$D$32</f>
        <v>Solid storage</v>
      </c>
      <c r="E41" s="55">
        <f>(E24 * $E33)</f>
        <v>1344.1358601216007</v>
      </c>
      <c r="F41" s="55">
        <f>(F24 * $E33)</f>
        <v>47.4684489216</v>
      </c>
      <c r="G41" s="55">
        <f>(G24 * $E33)</f>
        <v>68.560790399999988</v>
      </c>
      <c r="H41" s="2"/>
      <c r="I41" s="2"/>
      <c r="M41" s="55" t="str">
        <f>'Input - Feedlot'!$D$32</f>
        <v>Solid storage</v>
      </c>
      <c r="N41" s="55">
        <f>(N24 * $E33)</f>
        <v>1344.1358601216007</v>
      </c>
      <c r="O41" s="55">
        <f>(O24 * $E33)</f>
        <v>47.4684489216</v>
      </c>
      <c r="P41" s="55">
        <f>(P24 * $E33)</f>
        <v>68.560790399999988</v>
      </c>
    </row>
    <row r="42" spans="3:19" ht="20.100000000000001" customHeight="1" x14ac:dyDescent="0.25">
      <c r="D42" s="55" t="str">
        <f>'Input - Feedlot'!$D$33</f>
        <v>Composting (passive windrow)</v>
      </c>
      <c r="E42" s="55">
        <f>(E25 * $E34)</f>
        <v>2150.6173761945611</v>
      </c>
      <c r="F42" s="55">
        <f>(F25 * $E34)</f>
        <v>75.949518274560006</v>
      </c>
      <c r="G42" s="55">
        <f>(G25 * $E34)</f>
        <v>109.69726463999999</v>
      </c>
      <c r="H42" s="2"/>
      <c r="I42" s="2"/>
      <c r="M42" s="55" t="str">
        <f>'Input - Feedlot'!$D$33</f>
        <v>Composting (passive windrow)</v>
      </c>
      <c r="N42" s="55">
        <f>(N25 * $E34)</f>
        <v>2150.6173761945611</v>
      </c>
      <c r="O42" s="55">
        <f>(O25 * $E34)</f>
        <v>75.949518274560006</v>
      </c>
      <c r="P42" s="55">
        <f>(P25 * $E34)</f>
        <v>109.69726463999999</v>
      </c>
    </row>
    <row r="43" spans="3:19" ht="20.100000000000001" customHeight="1" x14ac:dyDescent="0.25">
      <c r="D43" s="55" t="str">
        <f>'Input - Feedlot'!$D$34</f>
        <v>Direct application</v>
      </c>
      <c r="E43" s="55" t="s">
        <v>318</v>
      </c>
      <c r="F43" s="55" t="s">
        <v>318</v>
      </c>
      <c r="G43" s="55" t="s">
        <v>318</v>
      </c>
      <c r="H43" s="2"/>
      <c r="I43" s="2"/>
      <c r="M43" s="55" t="str">
        <f>'Input - Feedlot'!$D$34</f>
        <v>Direct application</v>
      </c>
      <c r="N43" s="55" t="s">
        <v>318</v>
      </c>
      <c r="O43" s="55" t="s">
        <v>318</v>
      </c>
      <c r="P43" s="55" t="s">
        <v>318</v>
      </c>
    </row>
    <row r="44" spans="3:19" ht="20.100000000000001" customHeight="1" x14ac:dyDescent="0.25">
      <c r="D44" s="55" t="str">
        <f>'Input - Feedlot'!$D$38</f>
        <v>Anaerobic lagoon</v>
      </c>
      <c r="E44" s="55">
        <f>(E27 * $E35)</f>
        <v>502.34655744000014</v>
      </c>
      <c r="F44" s="55">
        <f>(F27 * $E35)</f>
        <v>17.740477439999999</v>
      </c>
      <c r="G44" s="55">
        <f>(G27 * $E35)</f>
        <v>25.623359999999991</v>
      </c>
      <c r="H44" s="2"/>
      <c r="I44" s="2"/>
      <c r="M44" s="55" t="str">
        <f>'Input - Feedlot'!$D$38</f>
        <v>Anaerobic lagoon</v>
      </c>
      <c r="N44" s="55">
        <f>(N27 * $E35)</f>
        <v>502.34655744000014</v>
      </c>
      <c r="O44" s="55">
        <f>(O27 * $E35)</f>
        <v>17.740477439999999</v>
      </c>
      <c r="P44" s="55">
        <f>(P27 * $E35)</f>
        <v>25.623359999999991</v>
      </c>
    </row>
    <row r="45" spans="3:19" ht="20.100000000000001" customHeight="1" x14ac:dyDescent="0.25"/>
    <row r="46" spans="3:19" ht="20.100000000000001" customHeight="1" x14ac:dyDescent="0.25">
      <c r="D46" s="123" t="s">
        <v>268</v>
      </c>
      <c r="E46" s="48">
        <f>SUM(E40:G44)</f>
        <v>51117.316357432333</v>
      </c>
      <c r="F46" s="121" t="str">
        <f>$E$12</f>
        <v>kg N</v>
      </c>
      <c r="M46" s="123" t="s">
        <v>268</v>
      </c>
      <c r="N46" s="48">
        <f>SUM(N40:P44)</f>
        <v>51117.316357432333</v>
      </c>
      <c r="O46" s="121" t="str">
        <f>$E$12</f>
        <v>kg N</v>
      </c>
    </row>
    <row r="47" spans="3:19" ht="20.100000000000001" customHeight="1" x14ac:dyDescent="0.25"/>
    <row r="48" spans="3:19" ht="20.100000000000001" customHeight="1" x14ac:dyDescent="0.25">
      <c r="C48" s="122"/>
      <c r="D48" s="122"/>
      <c r="E48" s="122"/>
      <c r="F48" s="122"/>
      <c r="G48" s="122"/>
      <c r="H48" s="122"/>
      <c r="I48" s="122"/>
      <c r="J48" s="122"/>
      <c r="L48" s="122"/>
      <c r="M48" s="122"/>
      <c r="N48" s="122"/>
      <c r="O48" s="122"/>
      <c r="P48" s="122"/>
      <c r="Q48" s="122"/>
      <c r="R48" s="122"/>
      <c r="S48" s="122"/>
    </row>
    <row r="49" spans="4:18" ht="20.100000000000001" customHeight="1" x14ac:dyDescent="0.25"/>
    <row r="50" spans="4:18" ht="20.100000000000001" customHeight="1" x14ac:dyDescent="0.25">
      <c r="D50" s="6" t="s">
        <v>480</v>
      </c>
    </row>
    <row r="51" spans="4:18" ht="20.100000000000001" customHeight="1" x14ac:dyDescent="0.25">
      <c r="D51" s="5" t="s">
        <v>481</v>
      </c>
    </row>
    <row r="52" spans="4:18" ht="20.100000000000001" customHeight="1" x14ac:dyDescent="0.25">
      <c r="D52" s="13"/>
      <c r="E52" s="13"/>
    </row>
    <row r="53" spans="4:18" ht="20.100000000000001" customHeight="1" x14ac:dyDescent="0.25"/>
    <row r="54" spans="4:18" ht="20.100000000000001" customHeight="1" x14ac:dyDescent="0.25">
      <c r="D54" s="6"/>
    </row>
    <row r="55" spans="4:18" ht="20.100000000000001" customHeight="1" x14ac:dyDescent="0.25">
      <c r="D55" s="56" t="s">
        <v>28</v>
      </c>
      <c r="E55" s="1" t="s">
        <v>482</v>
      </c>
    </row>
    <row r="56" spans="4:18" ht="20.100000000000001" customHeight="1" x14ac:dyDescent="0.25">
      <c r="D56" s="56" t="s">
        <v>19</v>
      </c>
      <c r="E56" s="57" t="s">
        <v>465</v>
      </c>
    </row>
    <row r="57" spans="4:18" ht="20.100000000000001" customHeight="1" x14ac:dyDescent="0.25"/>
    <row r="58" spans="4:18" ht="20.100000000000001" customHeight="1" x14ac:dyDescent="0.25">
      <c r="D58" s="139" t="s">
        <v>476</v>
      </c>
      <c r="E58" s="142" t="s">
        <v>483</v>
      </c>
      <c r="F58" s="141"/>
      <c r="G58" s="139" t="s">
        <v>229</v>
      </c>
      <c r="H58" s="131" t="s">
        <v>491</v>
      </c>
      <c r="I58" s="139">
        <f>$E$46</f>
        <v>51117.316357432333</v>
      </c>
      <c r="M58" s="139" t="s">
        <v>476</v>
      </c>
      <c r="N58" s="142" t="s">
        <v>483</v>
      </c>
      <c r="O58" s="141"/>
      <c r="P58" s="139" t="s">
        <v>229</v>
      </c>
      <c r="Q58" s="131" t="s">
        <v>491</v>
      </c>
      <c r="R58" s="60">
        <f>$N$46</f>
        <v>51117.316357432333</v>
      </c>
    </row>
    <row r="59" spans="4:18" ht="20.100000000000001" customHeight="1" x14ac:dyDescent="0.25">
      <c r="D59" s="139" t="s">
        <v>484</v>
      </c>
      <c r="E59" s="142" t="s">
        <v>485</v>
      </c>
      <c r="F59" s="141"/>
      <c r="G59" s="139" t="s">
        <v>473</v>
      </c>
      <c r="H59" s="131" t="s">
        <v>379</v>
      </c>
      <c r="I59" s="139">
        <f>Common_InputFunctions.Utility_LookupN2OEFFromProdIrrigationRainfall($I$61,$I$62,$I$63,Table_SourceData_Common_EFN2O[Production system only],Table_SourceData_Common_EFN2O[Irrigation method],Table_SourceData_Common_EFN2O[Rainfall zone],Table_SourceData_Common_EFN2O[EFN2O])</f>
        <v>1.8E-3</v>
      </c>
      <c r="M59" s="139" t="s">
        <v>484</v>
      </c>
      <c r="N59" s="142" t="s">
        <v>485</v>
      </c>
      <c r="O59" s="141"/>
      <c r="P59" s="139" t="s">
        <v>473</v>
      </c>
      <c r="Q59" s="131" t="s">
        <v>379</v>
      </c>
      <c r="R59" s="60"/>
    </row>
    <row r="60" spans="4:18" ht="20.100000000000001" customHeight="1" x14ac:dyDescent="0.25">
      <c r="D60" s="139" t="s">
        <v>470</v>
      </c>
      <c r="E60" s="142" t="s">
        <v>471</v>
      </c>
      <c r="F60" s="141"/>
      <c r="G60" s="139"/>
      <c r="H60" s="131" t="s">
        <v>379</v>
      </c>
      <c r="I60" s="139">
        <f>Common_InputFunctions.Utility_LookupValueInTableNumber("N2O",Table_GasToMolecularConversionFactor[Gas],Table_GasToMolecularConversionFactor[Conversion factor combined])</f>
        <v>1.5714285714285714</v>
      </c>
      <c r="M60" s="139" t="s">
        <v>470</v>
      </c>
      <c r="N60" s="142" t="s">
        <v>471</v>
      </c>
      <c r="O60" s="141"/>
      <c r="P60" s="139"/>
      <c r="Q60" s="131" t="s">
        <v>379</v>
      </c>
      <c r="R60" s="60"/>
    </row>
    <row r="61" spans="4:18" ht="20.100000000000001" customHeight="1" x14ac:dyDescent="0.25">
      <c r="D61" s="139" t="s">
        <v>486</v>
      </c>
      <c r="E61" s="142" t="s">
        <v>487</v>
      </c>
      <c r="F61" s="141"/>
      <c r="G61" s="139"/>
      <c r="H61" s="130" t="s">
        <v>380</v>
      </c>
      <c r="I61" s="139" t="str">
        <f>'Input - Feedlot'!$E$41</f>
        <v>Pasture</v>
      </c>
      <c r="M61" s="139" t="s">
        <v>486</v>
      </c>
      <c r="N61" s="142" t="s">
        <v>487</v>
      </c>
      <c r="O61" s="141"/>
      <c r="P61" s="139"/>
      <c r="Q61" s="130" t="s">
        <v>380</v>
      </c>
      <c r="R61" s="60"/>
    </row>
    <row r="62" spans="4:18" ht="20.100000000000001" customHeight="1" x14ac:dyDescent="0.25">
      <c r="D62" s="139" t="s">
        <v>375</v>
      </c>
      <c r="E62" s="142" t="s">
        <v>488</v>
      </c>
      <c r="F62" s="141"/>
      <c r="G62" s="139"/>
      <c r="H62" s="130" t="s">
        <v>380</v>
      </c>
      <c r="I62" s="139" t="str">
        <f>'Input - Feedlot'!$E$42</f>
        <v>Not irrigated</v>
      </c>
      <c r="M62" s="139" t="s">
        <v>375</v>
      </c>
      <c r="N62" s="142" t="s">
        <v>488</v>
      </c>
      <c r="O62" s="141"/>
      <c r="P62" s="139"/>
      <c r="Q62" s="130" t="s">
        <v>380</v>
      </c>
      <c r="R62" s="60"/>
    </row>
    <row r="63" spans="4:18" ht="20.100000000000001" customHeight="1" x14ac:dyDescent="0.25">
      <c r="D63" s="139" t="s">
        <v>489</v>
      </c>
      <c r="E63" s="142" t="s">
        <v>490</v>
      </c>
      <c r="F63" s="141"/>
      <c r="G63" s="139"/>
      <c r="H63" s="130" t="s">
        <v>380</v>
      </c>
      <c r="I63" s="139" t="str">
        <f>'Input - Site'!$E$30</f>
        <v>High rainfall</v>
      </c>
      <c r="M63" s="139" t="s">
        <v>489</v>
      </c>
      <c r="N63" s="142" t="s">
        <v>490</v>
      </c>
      <c r="O63" s="141"/>
      <c r="P63" s="139"/>
      <c r="Q63" s="130" t="s">
        <v>380</v>
      </c>
      <c r="R63" s="60"/>
    </row>
    <row r="64" spans="4:18" ht="20.100000000000001" customHeight="1" x14ac:dyDescent="0.25"/>
    <row r="65" spans="4:16" ht="20.100000000000001" customHeight="1" x14ac:dyDescent="0.25">
      <c r="D65" s="108" t="s">
        <v>282</v>
      </c>
      <c r="E65" s="109">
        <f>((I58 * I59 * I60) * 10 ^ -3)</f>
        <v>0.14458898055388003</v>
      </c>
      <c r="F65" s="110" t="str">
        <f>$E$56</f>
        <v>t N2O</v>
      </c>
      <c r="M65" s="108" t="s">
        <v>282</v>
      </c>
      <c r="N65" s="109">
        <f>((R58 * I59 * I60) * 10 ^ -3)</f>
        <v>0.14458898055388003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0.14458898055388003</v>
      </c>
      <c r="M67" s="60" t="str" cm="1">
        <f t="array" ref="M67:N68">Common_Equations.Common_ConvertN2OToCO2e_Arguments()</f>
        <v>EN2O</v>
      </c>
      <c r="N67" s="61" t="str">
        <v>Nitrous oxide emissions (t N2O)</v>
      </c>
      <c r="O67" s="111"/>
      <c r="P67" s="55">
        <f>N65</f>
        <v>0.14458898055388003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128</v>
      </c>
      <c r="E70" s="48" cm="1">
        <f t="array" ref="E70">Common_Equations.Common_ConvertN2OToCO2e(G67,G68)</f>
        <v>38.316079846778209</v>
      </c>
      <c r="F70" s="112" t="str" cm="1">
        <f t="array" ref="F70">Common_Equations.Common_ConvertN2OToCO2e_Unit()</f>
        <v>t CO2e</v>
      </c>
      <c r="M70" s="48" t="s">
        <v>128</v>
      </c>
      <c r="N70" s="48" cm="1">
        <f t="array" ref="N70">Common_Equations.Common_ConvertN2OToCO2e(P67,P68)</f>
        <v>38.316079846778209</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228</v>
      </c>
    </row>
    <row r="2" spans="1:19" s="9" customFormat="1" ht="20.100000000000001" customHeight="1" x14ac:dyDescent="0.25"/>
    <row r="3" spans="1:19" ht="20.100000000000001" customHeight="1" x14ac:dyDescent="0.25">
      <c r="A3" s="17" t="str">
        <f>HYPERLINK("#'Home'!A1", "Home")</f>
        <v>Home</v>
      </c>
      <c r="C3" s="4"/>
      <c r="D3" s="4" t="s">
        <v>160</v>
      </c>
      <c r="E3" s="4"/>
      <c r="F3" s="4"/>
      <c r="G3" s="4"/>
      <c r="H3" s="4"/>
      <c r="I3" s="4"/>
      <c r="J3" s="4"/>
      <c r="K3" s="4"/>
      <c r="M3" s="4"/>
      <c r="N3" s="4" t="s">
        <v>161</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
        <v>492</v>
      </c>
    </row>
    <row r="6" spans="1:19" ht="20.100000000000001" customHeight="1" x14ac:dyDescent="0.25">
      <c r="A6" s="16"/>
      <c r="D6" s="5" t="s">
        <v>493</v>
      </c>
    </row>
    <row r="7" spans="1:19" ht="20.100000000000001" customHeight="1" x14ac:dyDescent="0.25">
      <c r="A7" s="20" t="s">
        <v>3</v>
      </c>
      <c r="D7" s="13"/>
      <c r="E7" s="13"/>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75</v>
      </c>
      <c r="D11" s="56" t="s">
        <v>28</v>
      </c>
      <c r="E11" s="1" t="s">
        <v>494</v>
      </c>
    </row>
    <row r="12" spans="1:19" ht="20.100000000000001" customHeight="1" x14ac:dyDescent="0.25">
      <c r="A12" s="17" t="str">
        <f>HYPERLINK("#'4.1.1.1-2 Methane'!A1", "4.1.1.1-2 Methane")</f>
        <v>4.1.1.1-2 Methane</v>
      </c>
      <c r="D12" s="56" t="s">
        <v>19</v>
      </c>
      <c r="E12" s="57" t="s">
        <v>229</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9" t="s">
        <v>495</v>
      </c>
      <c r="E14" s="142" t="s">
        <v>496</v>
      </c>
      <c r="F14" s="143"/>
      <c r="G14" s="141"/>
      <c r="H14" s="139" t="s">
        <v>229</v>
      </c>
      <c r="I14" s="131" t="s">
        <v>502</v>
      </c>
      <c r="J14" s="140"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9" t="s">
        <v>497</v>
      </c>
      <c r="E15" s="142" t="s">
        <v>498</v>
      </c>
      <c r="F15" s="143"/>
      <c r="G15" s="141"/>
      <c r="H15" s="139" t="s">
        <v>473</v>
      </c>
      <c r="I15" s="131" t="s">
        <v>379</v>
      </c>
      <c r="J15" s="140" t="str" cm="1">
        <f t="array" aca="1" ref="J15" ca="1">HYPERLINK(Common_InputFunctions.Utility_SourceHyperlink($D$27),$D$27)</f>
        <v>Table_EF_j_m_T-2-3</v>
      </c>
    </row>
    <row r="16" spans="1:19" ht="20.100000000000001" customHeight="1" x14ac:dyDescent="0.25">
      <c r="D16" s="139" t="s">
        <v>499</v>
      </c>
      <c r="E16" s="142" t="s">
        <v>500</v>
      </c>
      <c r="F16" s="143"/>
      <c r="G16" s="141"/>
      <c r="H16" s="139" t="s">
        <v>237</v>
      </c>
      <c r="I16" s="131" t="s">
        <v>379</v>
      </c>
      <c r="J16" s="140" t="str" cm="1">
        <f t="array" aca="1" ref="J16" ca="1">HYPERLINK(Common_InputFunctions.Utility_SourceHyperlink($D$36),$D$36)</f>
        <v>Table_FracGASM_m_T-2-3</v>
      </c>
    </row>
    <row r="17" spans="1:18" ht="20.100000000000001" customHeight="1" x14ac:dyDescent="0.25">
      <c r="A17" s="18" t="s">
        <v>4</v>
      </c>
      <c r="D17" s="139" t="s">
        <v>325</v>
      </c>
      <c r="E17" s="142" t="s">
        <v>501</v>
      </c>
      <c r="F17" s="143"/>
      <c r="G17" s="141"/>
      <c r="H17" s="139" t="s">
        <v>327</v>
      </c>
      <c r="I17" s="130" t="s">
        <v>380</v>
      </c>
      <c r="J17" s="140"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230</v>
      </c>
      <c r="N19" s="104" t="s">
        <v>238</v>
      </c>
    </row>
    <row r="20" spans="1:18" ht="20.100000000000001" customHeight="1" x14ac:dyDescent="0.25">
      <c r="A20" s="17" t="str">
        <f>HYPERLINK("#'Constants - Common'!A1", "Constants - Common")</f>
        <v>Constants - Common</v>
      </c>
      <c r="D20" s="103" t="s">
        <v>240</v>
      </c>
      <c r="N20" s="103" t="s">
        <v>239</v>
      </c>
    </row>
    <row r="21" spans="1:18" ht="20.100000000000001" customHeight="1" x14ac:dyDescent="0.25">
      <c r="A21" s="17" t="str">
        <f>HYPERLINK("#'Acknowledgements'!A1", "Acknowledgements")</f>
        <v>Acknowledgements</v>
      </c>
      <c r="D21" s="54" t="s">
        <v>66</v>
      </c>
      <c r="E21" s="54" t="s">
        <v>139</v>
      </c>
      <c r="F21" s="54" t="s">
        <v>140</v>
      </c>
      <c r="G21" s="54" t="s">
        <v>141</v>
      </c>
      <c r="N21" s="54" t="s">
        <v>66</v>
      </c>
      <c r="O21" s="54" t="s">
        <v>139</v>
      </c>
      <c r="P21" s="54" t="s">
        <v>140</v>
      </c>
      <c r="Q21" s="54" t="s">
        <v>141</v>
      </c>
    </row>
    <row r="22" spans="1:18" ht="20.100000000000001" customHeight="1" x14ac:dyDescent="0.25">
      <c r="D22" s="55" t="str">
        <f>'Input - Feedlot'!$D$32</f>
        <v>Solid storage</v>
      </c>
      <c r="E22" s="55">
        <f>'4.1.1.3-4 Direct N20'!$E$174</f>
        <v>5376.5434404864027</v>
      </c>
      <c r="F22" s="55">
        <f>'4.1.1.3-4 Direct N20'!$F$174</f>
        <v>189.8737956864</v>
      </c>
      <c r="G22" s="55">
        <f>'4.1.1.3-4 Direct N20'!$G$174</f>
        <v>274.24316159999995</v>
      </c>
      <c r="H22" s="2" t="s">
        <v>229</v>
      </c>
      <c r="I22" s="2"/>
      <c r="J22" s="2"/>
      <c r="N22" s="55" t="str">
        <f>'Input - Feedlot'!$D$32</f>
        <v>Solid storage</v>
      </c>
      <c r="O22" s="55">
        <f>'4.1.1.3-4 Direct N20'!$P$174</f>
        <v>5376.5434404864027</v>
      </c>
      <c r="P22" s="55">
        <f>'4.1.1.3-4 Direct N20'!$Q$174</f>
        <v>189.8737956864</v>
      </c>
      <c r="Q22" s="55">
        <f>'4.1.1.3-4 Direct N20'!$R$174</f>
        <v>274.24316159999995</v>
      </c>
      <c r="R22" s="2" t="s">
        <v>229</v>
      </c>
    </row>
    <row r="23" spans="1:18" ht="20.100000000000001" customHeight="1" x14ac:dyDescent="0.25">
      <c r="D23" s="55" t="str">
        <f>'Input - Feedlot'!$D$33</f>
        <v>Composting (passive windrow)</v>
      </c>
      <c r="E23" s="55">
        <f>'4.1.1.3-4 Direct N20'!$E$175</f>
        <v>5376.5434404864027</v>
      </c>
      <c r="F23" s="55">
        <f>'4.1.1.3-4 Direct N20'!$F$175</f>
        <v>189.8737956864</v>
      </c>
      <c r="G23" s="55">
        <f>'4.1.1.3-4 Direct N20'!$G$175</f>
        <v>274.24316159999995</v>
      </c>
      <c r="H23" s="2" t="s">
        <v>229</v>
      </c>
      <c r="I23" s="2"/>
      <c r="J23" s="2"/>
      <c r="N23" s="55" t="str">
        <f>'Input - Feedlot'!$D$33</f>
        <v>Composting (passive windrow)</v>
      </c>
      <c r="O23" s="55">
        <f>'4.1.1.3-4 Direct N20'!$P$175</f>
        <v>5376.5434404864027</v>
      </c>
      <c r="P23" s="55">
        <f>'4.1.1.3-4 Direct N20'!$Q$175</f>
        <v>189.8737956864</v>
      </c>
      <c r="Q23" s="55">
        <f>'4.1.1.3-4 Direct N20'!$R$175</f>
        <v>274.24316159999995</v>
      </c>
      <c r="R23" s="2" t="s">
        <v>229</v>
      </c>
    </row>
    <row r="24" spans="1:18" ht="20.100000000000001" customHeight="1" x14ac:dyDescent="0.25">
      <c r="A24" s="17"/>
      <c r="D24" s="55" t="str">
        <f>'Input - Feedlot'!$D$34</f>
        <v>Direct application</v>
      </c>
      <c r="E24" s="55">
        <f>'4.1.1.3-4 Direct N20'!$E$176</f>
        <v>16129.630321459204</v>
      </c>
      <c r="F24" s="55">
        <f>'4.1.1.3-4 Direct N20'!$F$176</f>
        <v>569.62138705919995</v>
      </c>
      <c r="G24" s="55">
        <f>'4.1.1.3-4 Direct N20'!$G$176</f>
        <v>822.7294847999998</v>
      </c>
      <c r="N24" s="55" t="str">
        <f>'Input - Feedlot'!$D$34</f>
        <v>Direct application</v>
      </c>
      <c r="O24" s="55">
        <f>'4.1.1.3-4 Direct N20'!$P$176</f>
        <v>16129.630321459204</v>
      </c>
      <c r="P24" s="55">
        <f>'4.1.1.3-4 Direct N20'!$Q$176</f>
        <v>569.62138705919995</v>
      </c>
      <c r="Q24" s="55">
        <f>'4.1.1.3-4 Direct N20'!$R$176</f>
        <v>822.7294847999998</v>
      </c>
      <c r="R24" s="2" t="s">
        <v>229</v>
      </c>
    </row>
    <row r="25" spans="1:18" ht="20.100000000000001" customHeight="1" x14ac:dyDescent="0.25">
      <c r="A25" s="17"/>
      <c r="D25" s="55" t="str">
        <f>'Input - Feedlot'!$D$38</f>
        <v>Anaerobic lagoon</v>
      </c>
      <c r="E25" s="55">
        <f>'4.1.1.3-4 Direct N20'!$E$129</f>
        <v>1435.2758784000005</v>
      </c>
      <c r="F25" s="55">
        <f>'4.1.1.3-4 Direct N20'!$F$129</f>
        <v>50.687078400000004</v>
      </c>
      <c r="G25" s="55">
        <f>'4.1.1.3-4 Direct N20'!$G$129</f>
        <v>73.20959999999998</v>
      </c>
      <c r="H25" s="2" t="s">
        <v>229</v>
      </c>
      <c r="I25" s="2"/>
      <c r="J25" s="2"/>
      <c r="N25" s="55" t="str">
        <f>'Input - Feedlot'!$D$38</f>
        <v>Anaerobic lagoon</v>
      </c>
      <c r="O25" s="55">
        <f>'4.1.1.3-4 Direct N20'!$P$129</f>
        <v>1435.2758784000005</v>
      </c>
      <c r="P25" s="55">
        <f>'4.1.1.3-4 Direct N20'!$Q$129</f>
        <v>50.687078400000004</v>
      </c>
      <c r="Q25" s="55">
        <f>'4.1.1.3-4 Direct N20'!$R$129</f>
        <v>73.20959999999998</v>
      </c>
      <c r="R25" s="2" t="s">
        <v>229</v>
      </c>
    </row>
    <row r="26" spans="1:18" ht="20.100000000000001" customHeight="1" x14ac:dyDescent="0.25"/>
    <row r="27" spans="1:18" ht="20.100000000000001" customHeight="1" x14ac:dyDescent="0.25">
      <c r="D27" s="104" t="s">
        <v>232</v>
      </c>
    </row>
    <row r="28" spans="1:18" ht="20.100000000000001" customHeight="1" x14ac:dyDescent="0.25">
      <c r="D28" s="103" t="s">
        <v>172</v>
      </c>
    </row>
    <row r="29" spans="1:18" ht="20.100000000000001" customHeight="1" x14ac:dyDescent="0.25">
      <c r="D29" s="116" t="s">
        <v>66</v>
      </c>
      <c r="E29" s="116" t="s">
        <v>173</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236</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236</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236</v>
      </c>
    </row>
    <row r="33" spans="4:10" ht="20.100000000000001" customHeight="1" x14ac:dyDescent="0.25">
      <c r="D33" s="55" t="s">
        <v>319</v>
      </c>
      <c r="E33" s="55">
        <f>_xlfn.XLOOKUP($D$33, Table_SourceData_Feedlot_NO2EFs[NIR definition], Table_SourceData_Feedlot_NO2EFs[EF mT])</f>
        <v>0</v>
      </c>
      <c r="F33" s="2" t="s">
        <v>236</v>
      </c>
    </row>
    <row r="34" spans="4:10" ht="20.100000000000001" customHeight="1" x14ac:dyDescent="0.25">
      <c r="D34" s="55" t="str">
        <f>'Input - Feedlot'!$D$38</f>
        <v>Anaerobic lagoon</v>
      </c>
      <c r="E34" s="55">
        <f>_xlfn.XLOOKUP($D$34, Table_SourceData_Feedlot_NO2EFs[NIR definition], Table_SourceData_Feedlot_NO2EFs[EF mT])</f>
        <v>0</v>
      </c>
      <c r="F34" s="2" t="s">
        <v>236</v>
      </c>
    </row>
    <row r="35" spans="4:10" ht="20.100000000000001" customHeight="1" x14ac:dyDescent="0.25"/>
    <row r="36" spans="4:10" ht="20.100000000000001" customHeight="1" x14ac:dyDescent="0.25">
      <c r="D36" s="104" t="s">
        <v>231</v>
      </c>
    </row>
    <row r="37" spans="4:10" ht="20.100000000000001" customHeight="1" x14ac:dyDescent="0.25">
      <c r="D37" s="103" t="s">
        <v>233</v>
      </c>
    </row>
    <row r="38" spans="4:10" ht="20.100000000000001" customHeight="1" x14ac:dyDescent="0.25">
      <c r="D38" s="116" t="s">
        <v>66</v>
      </c>
      <c r="E38" s="116" t="s">
        <v>173</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237</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237</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237</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237</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237</v>
      </c>
    </row>
    <row r="44" spans="4:10" ht="20.100000000000001" customHeight="1" x14ac:dyDescent="0.25"/>
    <row r="45" spans="4:10" ht="20.100000000000001" customHeight="1" x14ac:dyDescent="0.25">
      <c r="D45" s="104" t="s">
        <v>234</v>
      </c>
    </row>
    <row r="46" spans="4:10" ht="20.100000000000001" customHeight="1" x14ac:dyDescent="0.25">
      <c r="D46" s="103" t="s">
        <v>235</v>
      </c>
    </row>
    <row r="47" spans="4:10" ht="20.100000000000001" customHeight="1" x14ac:dyDescent="0.25">
      <c r="D47" s="65" t="s">
        <v>66</v>
      </c>
      <c r="E47" s="65" t="s">
        <v>325</v>
      </c>
    </row>
    <row r="48" spans="4:10" ht="20.100000000000001" customHeight="1" x14ac:dyDescent="0.25">
      <c r="D48" s="55" t="str">
        <f>'Input - Feedlot'!$D$32</f>
        <v>Solid storage</v>
      </c>
      <c r="E48" s="55">
        <f>'Input - Feedlot'!J32+'Input - Feedlot'!K32</f>
        <v>0.75</v>
      </c>
      <c r="F48" s="2" t="s">
        <v>327</v>
      </c>
      <c r="H48" s="2"/>
      <c r="I48" s="2"/>
      <c r="J48" s="2"/>
    </row>
    <row r="49" spans="3:19" ht="20.100000000000001" customHeight="1" x14ac:dyDescent="0.25">
      <c r="D49" s="55" t="str">
        <f>'Input - Feedlot'!$D$33</f>
        <v>Composting (passive windrow)</v>
      </c>
      <c r="E49" s="55">
        <f>'Input - Feedlot'!J33+'Input - Feedlot'!K33</f>
        <v>0.75</v>
      </c>
      <c r="F49" s="2" t="s">
        <v>327</v>
      </c>
      <c r="H49" s="2"/>
      <c r="I49" s="2"/>
      <c r="J49" s="2"/>
    </row>
    <row r="50" spans="3:19" ht="20.100000000000001" customHeight="1" x14ac:dyDescent="0.25">
      <c r="D50" s="55" t="str">
        <f>'Input - Feedlot'!$D$34</f>
        <v>Direct application</v>
      </c>
      <c r="E50" s="55">
        <f>'Input - Feedlot'!J34+'Input - Feedlot'!K34</f>
        <v>1</v>
      </c>
      <c r="F50" s="2" t="s">
        <v>327</v>
      </c>
      <c r="H50" s="2"/>
      <c r="I50" s="2"/>
      <c r="J50" s="2"/>
    </row>
    <row r="51" spans="3:19" ht="20.100000000000001" customHeight="1" x14ac:dyDescent="0.25">
      <c r="D51" s="55" t="str">
        <f>'Input - Feedlot'!$D$38</f>
        <v>Anaerobic lagoon</v>
      </c>
      <c r="E51" s="55">
        <f>'Input - Feedlot'!J38+'Input - Feedlot'!K38</f>
        <v>0.75</v>
      </c>
      <c r="F51" s="2" t="s">
        <v>327</v>
      </c>
      <c r="H51" s="2"/>
      <c r="I51" s="2"/>
      <c r="J51" s="2"/>
    </row>
    <row r="52" spans="3:19" ht="20.100000000000001" customHeight="1" x14ac:dyDescent="0.25"/>
    <row r="53" spans="3:19" ht="20.100000000000001" customHeight="1" x14ac:dyDescent="0.25">
      <c r="D53" s="104" t="s">
        <v>241</v>
      </c>
      <c r="N53" s="104" t="s">
        <v>254</v>
      </c>
    </row>
    <row r="54" spans="3:19" ht="20.100000000000001" customHeight="1" x14ac:dyDescent="0.25">
      <c r="D54" s="103" t="s">
        <v>256</v>
      </c>
      <c r="N54" s="103" t="s">
        <v>255</v>
      </c>
    </row>
    <row r="55" spans="3:19" ht="20.100000000000001" customHeight="1" x14ac:dyDescent="0.25">
      <c r="D55" s="54" t="s">
        <v>66</v>
      </c>
      <c r="E55" s="54" t="s">
        <v>139</v>
      </c>
      <c r="F55" s="54" t="s">
        <v>140</v>
      </c>
      <c r="G55" s="54" t="s">
        <v>141</v>
      </c>
      <c r="N55" s="54" t="s">
        <v>66</v>
      </c>
      <c r="O55" s="54" t="s">
        <v>139</v>
      </c>
      <c r="P55" s="54" t="s">
        <v>140</v>
      </c>
      <c r="Q55" s="54" t="s">
        <v>141</v>
      </c>
    </row>
    <row r="56" spans="3:19" ht="20.100000000000001" customHeight="1" x14ac:dyDescent="0.25">
      <c r="D56" s="55" t="str">
        <f>'Input - Feedlot'!$D$32</f>
        <v>Solid storage</v>
      </c>
      <c r="E56" s="55">
        <f>((E22 * (1 - (_xlfn.XLOOKUP($D56,$D$30:$D$34,$E$30:$E$34)) - (_xlfn.XLOOKUP($D56,$D$39:$D$43,$E$39:$E$43)))) * $E48)</f>
        <v>3004.1436473717777</v>
      </c>
      <c r="F56" s="55">
        <f>((F22 * (1 - (_xlfn.XLOOKUP($D56,$D$30:$D$34,$E$30:$E$34)) - (_xlfn.XLOOKUP($D56,$D$39:$D$43,$E$39:$E$43)))) * $E48)</f>
        <v>106.09198333977601</v>
      </c>
      <c r="G56" s="55">
        <f>((G22 * (1 - (_xlfn.XLOOKUP($D56,$D$30:$D$34,$E$30:$E$34)) - (_xlfn.XLOOKUP($D56,$D$39:$D$43,$E$39:$E$43)))) * $E48)</f>
        <v>153.23336654399998</v>
      </c>
      <c r="H56" s="2" t="str">
        <f>$E$12</f>
        <v>kg N</v>
      </c>
      <c r="I56" s="2"/>
      <c r="J56" s="2"/>
      <c r="N56" s="55" t="str">
        <f>'Input - Feedlot'!$D$32</f>
        <v>Solid storage</v>
      </c>
      <c r="O56" s="55">
        <f>((O22 * (1 - (_xlfn.XLOOKUP($N56,$D$30:$D$34,$E$30:$E$34)) - (_xlfn.XLOOKUP($N56,$D$39:$D$43,$E$39:$E$43)))) * $E48)</f>
        <v>3004.1436473717777</v>
      </c>
      <c r="P56" s="55">
        <f>((P22 * (1 - (_xlfn.XLOOKUP($N56,$D$30:$D$34,$E$30:$E$34)) - (_xlfn.XLOOKUP($N56,$D$39:$D$43,$E$39:$E$43)))) * $E48)</f>
        <v>106.09198333977601</v>
      </c>
      <c r="Q56" s="55">
        <f>((Q22 * (1 - (_xlfn.XLOOKUP($N56,$D$30:$D$34,$E$30:$E$34)) - (_xlfn.XLOOKUP($N56,$D$39:$D$43,$E$39:$E$43)))) * $E48)</f>
        <v>153.23336654399998</v>
      </c>
      <c r="R56" s="2" t="str">
        <f>$E$12</f>
        <v>kg N</v>
      </c>
    </row>
    <row r="57" spans="3:19" ht="20.100000000000001" customHeight="1" x14ac:dyDescent="0.25">
      <c r="D57" s="55" t="str">
        <f>'Input - Feedlot'!$D$33</f>
        <v>Composting (passive windrow)</v>
      </c>
      <c r="E57" s="55">
        <f>((E23 * (1 - (_xlfn.XLOOKUP($D57,$D$30:$D$34,$E$30:$E$34)) - (_xlfn.XLOOKUP($D57,$D$39:$D$43,$E$39:$E$43)))) * $E49)</f>
        <v>2379.1204724152331</v>
      </c>
      <c r="F57" s="55">
        <f>((F23 * (1 - (_xlfn.XLOOKUP($D57,$D$30:$D$34,$E$30:$E$34)) - (_xlfn.XLOOKUP($D57,$D$39:$D$43,$E$39:$E$43)))) * $E49)</f>
        <v>84.019154591231995</v>
      </c>
      <c r="G57" s="55">
        <f>((G23 * (1 - (_xlfn.XLOOKUP($D57,$D$30:$D$34,$E$30:$E$34)) - (_xlfn.XLOOKUP($D57,$D$39:$D$43,$E$39:$E$43)))) * $E49)</f>
        <v>121.35259900799997</v>
      </c>
      <c r="H57" s="2" t="str">
        <f>$E$12</f>
        <v>kg N</v>
      </c>
      <c r="I57" s="2"/>
      <c r="J57" s="2"/>
      <c r="N57" s="55" t="str">
        <f>'Input - Feedlot'!$D$33</f>
        <v>Composting (passive windrow)</v>
      </c>
      <c r="O57" s="55">
        <f>((O23 * (1 - (_xlfn.XLOOKUP($N57,$D$30:$D$34,$E$30:$E$34)) - (_xlfn.XLOOKUP($N57,$D$39:$D$43,$E$39:$E$43)))) * $E49)</f>
        <v>2379.1204724152331</v>
      </c>
      <c r="P57" s="55">
        <f>((P23 * (1 - (_xlfn.XLOOKUP($N57,$D$30:$D$34,$E$30:$E$34)) - (_xlfn.XLOOKUP($N57,$D$39:$D$43,$E$39:$E$43)))) * $E49)</f>
        <v>84.019154591231995</v>
      </c>
      <c r="Q57" s="55">
        <f>((Q23 * (1 - (_xlfn.XLOOKUP($N57,$D$30:$D$34,$E$30:$E$34)) - (_xlfn.XLOOKUP($N57,$D$39:$D$43,$E$39:$E$43)))) * $E49)</f>
        <v>121.35259900799997</v>
      </c>
      <c r="R57" s="2" t="str">
        <f>$E$12</f>
        <v>kg N</v>
      </c>
    </row>
    <row r="58" spans="3:19" ht="20.100000000000001" customHeight="1" x14ac:dyDescent="0.25">
      <c r="D58" s="55" t="str">
        <f>'Input - Feedlot'!$D$34</f>
        <v>Direct application</v>
      </c>
      <c r="E58" s="55">
        <f>((E24 * (1 - (_xlfn.XLOOKUP($D58,$D$30:$D$34,$E$30:$E$34)) - (_xlfn.XLOOKUP($D58,$D$39:$D$43,$E$39:$E$43)))) * $E50)</f>
        <v>16129.630321459204</v>
      </c>
      <c r="F58" s="55">
        <f>((F24 * (1 - (_xlfn.XLOOKUP($D58,$D$30:$D$34,$E$30:$E$34)) - (_xlfn.XLOOKUP($D58,$D$39:$D$43,$E$39:$E$43)))) * $E50)</f>
        <v>569.62138705919995</v>
      </c>
      <c r="G58" s="55">
        <f>((G24 * (1 - (_xlfn.XLOOKUP($D58,$D$30:$D$34,$E$30:$E$34)) - (_xlfn.XLOOKUP($D58,$D$39:$D$43,$E$39:$E$43)))) * $E50)</f>
        <v>822.7294847999998</v>
      </c>
      <c r="H58" s="2" t="str">
        <f>$E$12</f>
        <v>kg N</v>
      </c>
      <c r="I58" s="2"/>
      <c r="J58" s="2"/>
      <c r="N58" s="55" t="str">
        <f>'Input - Feedlot'!$D$34</f>
        <v>Direct application</v>
      </c>
      <c r="O58" s="55">
        <f>((O24 * (1 - (_xlfn.XLOOKUP($N58,$D$30:$D$34,$E$30:$E$34)) - (_xlfn.XLOOKUP($N58,$D$39:$D$43,$E$39:$E$43)))) * $E50)</f>
        <v>16129.630321459204</v>
      </c>
      <c r="P58" s="55">
        <f>((P24 * (1 - (_xlfn.XLOOKUP($N58,$D$30:$D$34,$E$30:$E$34)) - (_xlfn.XLOOKUP($N58,$D$39:$D$43,$E$39:$E$43)))) * $E50)</f>
        <v>569.62138705919995</v>
      </c>
      <c r="Q58" s="55">
        <f>((Q24 * (1 - (_xlfn.XLOOKUP($N58,$D$30:$D$34,$E$30:$E$34)) - (_xlfn.XLOOKUP($N58,$D$39:$D$43,$E$39:$E$43)))) * $E50)</f>
        <v>822.7294847999998</v>
      </c>
      <c r="R58" s="2" t="str">
        <f>$E$12</f>
        <v>kg N</v>
      </c>
    </row>
    <row r="59" spans="3:19" ht="20.100000000000001" customHeight="1" x14ac:dyDescent="0.25">
      <c r="D59" s="55" t="str">
        <f>'Input - Feedlot'!$D$38</f>
        <v>Anaerobic lagoon</v>
      </c>
      <c r="E59" s="55">
        <f>((E25 * (1 - (_xlfn.XLOOKUP($D59,$D$30:$D$34,$E$30:$E$34)) - (_xlfn.XLOOKUP($D59,$D$39:$D$43,$E$39:$E$43)))) * $E51)</f>
        <v>699.69699072000026</v>
      </c>
      <c r="F59" s="55">
        <f>((F25 * (1 - (_xlfn.XLOOKUP($D59,$D$30:$D$34,$E$30:$E$34)) - (_xlfn.XLOOKUP($D59,$D$39:$D$43,$E$39:$E$43)))) * $E51)</f>
        <v>24.709950720000002</v>
      </c>
      <c r="G59" s="55">
        <f>((G25 * (1 - (_xlfn.XLOOKUP($D59,$D$30:$D$34,$E$30:$E$34)) - (_xlfn.XLOOKUP($D59,$D$39:$D$43,$E$39:$E$43)))) * $E51)</f>
        <v>35.689679999999996</v>
      </c>
      <c r="H59" s="2" t="str">
        <f>$E$12</f>
        <v>kg N</v>
      </c>
      <c r="I59" s="2"/>
      <c r="J59" s="2"/>
      <c r="N59" s="55" t="str">
        <f>'Input - Feedlot'!$D$38</f>
        <v>Anaerobic lagoon</v>
      </c>
      <c r="O59" s="55">
        <f>((O25 * (1 - (_xlfn.XLOOKUP($N59,$D$30:$D$34,$E$30:$E$34)) - (_xlfn.XLOOKUP($N59,$D$39:$D$43,$E$39:$E$43)))) * $E51)</f>
        <v>699.69699072000026</v>
      </c>
      <c r="P59" s="55">
        <f>((P25 * (1 - (_xlfn.XLOOKUP($N59,$D$30:$D$34,$E$30:$E$34)) - (_xlfn.XLOOKUP($N59,$D$39:$D$43,$E$39:$E$43)))) * $E51)</f>
        <v>24.709950720000002</v>
      </c>
      <c r="Q59" s="55">
        <f>((Q25 * (1 - (_xlfn.XLOOKUP($N59,$D$30:$D$34,$E$30:$E$34)) - (_xlfn.XLOOKUP($N59,$D$39:$D$43,$E$39:$E$43)))) * $E51)</f>
        <v>35.689679999999996</v>
      </c>
      <c r="R59" s="2" t="str">
        <f>$E$12</f>
        <v>kg N</v>
      </c>
    </row>
    <row r="60" spans="3:19" ht="20.100000000000001" customHeight="1" x14ac:dyDescent="0.25"/>
    <row r="61" spans="3:19" ht="20.100000000000001" customHeight="1" x14ac:dyDescent="0.25">
      <c r="D61" s="108" t="s">
        <v>242</v>
      </c>
      <c r="E61" s="109">
        <f>SUM(E56:G59)</f>
        <v>24130.039038028423</v>
      </c>
      <c r="F61" s="110" t="str">
        <f>$E$12</f>
        <v>kg N</v>
      </c>
      <c r="N61" s="108" t="s">
        <v>242</v>
      </c>
      <c r="O61" s="109">
        <f>SUM(O56:Q59)</f>
        <v>24130.039038028423</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
        <v>503</v>
      </c>
    </row>
    <row r="66" spans="4:14" ht="20.100000000000001" customHeight="1" x14ac:dyDescent="0.25">
      <c r="D66" s="5" t="s">
        <v>504</v>
      </c>
    </row>
    <row r="67" spans="4:14" ht="20.100000000000001" customHeight="1" x14ac:dyDescent="0.25">
      <c r="D67" s="13"/>
      <c r="E67" s="13"/>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28</v>
      </c>
      <c r="E71" s="1" t="s">
        <v>505</v>
      </c>
    </row>
    <row r="72" spans="4:14" ht="20.100000000000001" customHeight="1" x14ac:dyDescent="0.25">
      <c r="D72" s="56" t="s">
        <v>19</v>
      </c>
      <c r="E72" s="57" t="s">
        <v>229</v>
      </c>
    </row>
    <row r="73" spans="4:14" ht="20.100000000000001" customHeight="1" x14ac:dyDescent="0.25"/>
    <row r="74" spans="4:14" ht="20.100000000000001" customHeight="1" x14ac:dyDescent="0.25">
      <c r="D74" s="139" t="s">
        <v>495</v>
      </c>
      <c r="E74" s="142" t="s">
        <v>496</v>
      </c>
      <c r="F74" s="143"/>
      <c r="G74" s="141"/>
      <c r="H74" s="139" t="s">
        <v>229</v>
      </c>
      <c r="I74" s="131" t="s">
        <v>502</v>
      </c>
      <c r="J74" s="140" t="str" cm="1">
        <f t="array" aca="1" ref="J74" ca="1">HYPERLINK(Common_InputFunctions.Utility_SourceHyperlink($D$19),$D$19)</f>
        <v>M1_Table_MN_j_m_T-2-3</v>
      </c>
    </row>
    <row r="75" spans="4:14" ht="20.100000000000001" customHeight="1" x14ac:dyDescent="0.25">
      <c r="D75" s="139" t="s">
        <v>497</v>
      </c>
      <c r="E75" s="142" t="s">
        <v>498</v>
      </c>
      <c r="F75" s="143"/>
      <c r="G75" s="141"/>
      <c r="H75" s="139" t="s">
        <v>473</v>
      </c>
      <c r="I75" s="131" t="s">
        <v>379</v>
      </c>
      <c r="J75" s="140" t="str" cm="1">
        <f t="array" aca="1" ref="J75" ca="1">HYPERLINK(Common_InputFunctions.Utility_SourceHyperlink($D$27),$D$27)</f>
        <v>Table_EF_j_m_T-2-3</v>
      </c>
    </row>
    <row r="76" spans="4:14" ht="20.100000000000001" customHeight="1" x14ac:dyDescent="0.25">
      <c r="D76" s="139" t="s">
        <v>499</v>
      </c>
      <c r="E76" s="142" t="s">
        <v>500</v>
      </c>
      <c r="F76" s="143"/>
      <c r="G76" s="141"/>
      <c r="H76" s="139" t="s">
        <v>237</v>
      </c>
      <c r="I76" s="131" t="s">
        <v>379</v>
      </c>
      <c r="J76" s="140" t="str" cm="1">
        <f t="array" aca="1" ref="J76" ca="1">HYPERLINK(Common_InputFunctions.Utility_SourceHyperlink($D$36),$D$36)</f>
        <v>Table_FracGASM_m_T-2-3</v>
      </c>
    </row>
    <row r="77" spans="4:14" ht="20.100000000000001" customHeight="1" x14ac:dyDescent="0.25">
      <c r="D77" s="139" t="s">
        <v>325</v>
      </c>
      <c r="E77" s="142" t="s">
        <v>501</v>
      </c>
      <c r="F77" s="143"/>
      <c r="G77" s="141"/>
      <c r="H77" s="139" t="s">
        <v>327</v>
      </c>
      <c r="I77" s="130" t="s">
        <v>380</v>
      </c>
      <c r="J77" s="140" t="str" cm="1">
        <f t="array" aca="1" ref="J77" ca="1">HYPERLINK(Common_InputFunctions.Utility_SourceHyperlink($D$45),$D$45)</f>
        <v>Table_PF</v>
      </c>
    </row>
    <row r="78" spans="4:14" ht="20.100000000000001" customHeight="1" x14ac:dyDescent="0.25"/>
    <row r="79" spans="4:14" ht="20.100000000000001" customHeight="1" x14ac:dyDescent="0.25">
      <c r="D79" s="104" t="s">
        <v>245</v>
      </c>
      <c r="N79" s="104" t="s">
        <v>250</v>
      </c>
    </row>
    <row r="80" spans="4:14" ht="20.100000000000001" customHeight="1" x14ac:dyDescent="0.25">
      <c r="D80" s="103" t="s">
        <v>253</v>
      </c>
      <c r="N80" s="103" t="s">
        <v>251</v>
      </c>
    </row>
    <row r="81" spans="3:19" ht="20.100000000000001" customHeight="1" x14ac:dyDescent="0.25">
      <c r="D81" s="54" t="s">
        <v>66</v>
      </c>
      <c r="E81" s="54" t="s">
        <v>139</v>
      </c>
      <c r="F81" s="54" t="s">
        <v>140</v>
      </c>
      <c r="G81" s="54" t="s">
        <v>141</v>
      </c>
      <c r="N81" s="54" t="s">
        <v>66</v>
      </c>
      <c r="O81" s="54" t="s">
        <v>139</v>
      </c>
      <c r="P81" s="54" t="s">
        <v>140</v>
      </c>
      <c r="Q81" s="54" t="s">
        <v>141</v>
      </c>
    </row>
    <row r="82" spans="3:19" ht="20.100000000000001" customHeight="1" x14ac:dyDescent="0.25">
      <c r="D82" s="55" t="str">
        <f>'Input - Feedlot'!$D$32</f>
        <v>Solid storage</v>
      </c>
      <c r="E82" s="55">
        <f>((E22 * (1 - (_xlfn.XLOOKUP($D82, $D$30:$D$34,$E$30:$E$34)) - (_xlfn.XLOOKUP($D82,$D$39:$D$43,$E$39:$E$43)))) * (1 - $E48))</f>
        <v>1001.3812157905925</v>
      </c>
      <c r="F82" s="55">
        <f>((F22 * (1 - (_xlfn.XLOOKUP($D82, $D$30:$D$34,$E$30:$E$34)) - (_xlfn.XLOOKUP($D82,$D$39:$D$43,$E$39:$E$43)))) * (1 - $E48))</f>
        <v>35.363994446592002</v>
      </c>
      <c r="G82" s="55">
        <f>((G22 * (1 - (_xlfn.XLOOKUP($D82, $D$30:$D$34,$E$30:$E$34)) - (_xlfn.XLOOKUP($D82,$D$39:$D$43,$E$39:$E$43)))) * (1 - $E48))</f>
        <v>51.07778884799999</v>
      </c>
      <c r="H82" s="2" t="str">
        <f>$E$12</f>
        <v>kg N</v>
      </c>
      <c r="I82" s="2"/>
      <c r="J82" s="2"/>
      <c r="N82" s="55" t="str">
        <f>'Input - Feedlot'!$D$32</f>
        <v>Solid storage</v>
      </c>
      <c r="O82" s="55">
        <f>((O22 * (1 - (_xlfn.XLOOKUP($N82, $D$30:$D$34,$E$30:$E$34)) - (_xlfn.XLOOKUP($N82,$D$39:$D$43,$E$39:$E$43)))) * (1 - $E48))</f>
        <v>1001.3812157905925</v>
      </c>
      <c r="P82" s="55">
        <f>((P22 * (1 - (_xlfn.XLOOKUP($N82, $D$30:$D$34,$E$30:$E$34)) - (_xlfn.XLOOKUP($N82,$D$39:$D$43,$E$39:$E$43)))) * (1 - $E48))</f>
        <v>35.363994446592002</v>
      </c>
      <c r="Q82" s="55">
        <f>((Q22 * (1 - (_xlfn.XLOOKUP($N82, $D$30:$D$34,$E$30:$E$34)) - (_xlfn.XLOOKUP($N82,$D$39:$D$43,$E$39:$E$43)))) * (1 - $E48))</f>
        <v>51.07778884799999</v>
      </c>
      <c r="R82" s="2" t="str">
        <f>$E$12</f>
        <v>kg N</v>
      </c>
    </row>
    <row r="83" spans="3:19" ht="20.100000000000001" customHeight="1" x14ac:dyDescent="0.25">
      <c r="D83" s="55" t="str">
        <f>'Input - Feedlot'!$D$33</f>
        <v>Composting (passive windrow)</v>
      </c>
      <c r="E83" s="55">
        <f>((E23 * (1 - (_xlfn.XLOOKUP($D83, $D$30:$D$34,$E$30:$E$34)) - (_xlfn.XLOOKUP($D83,$D$39:$D$43,$E$39:$E$43)))) * (1 - $E49))</f>
        <v>793.04015747174435</v>
      </c>
      <c r="F83" s="55">
        <f>((F23 * (1 - (_xlfn.XLOOKUP($D83, $D$30:$D$34,$E$30:$E$34)) - (_xlfn.XLOOKUP($D83,$D$39:$D$43,$E$39:$E$43)))) * (1 - $E49))</f>
        <v>28.006384863744</v>
      </c>
      <c r="G83" s="55">
        <f>((G23 * (1 - (_xlfn.XLOOKUP($D83, $D$30:$D$34,$E$30:$E$34)) - (_xlfn.XLOOKUP($D83,$D$39:$D$43,$E$39:$E$43)))) * (1 - $E49))</f>
        <v>40.45086633599999</v>
      </c>
      <c r="H83" s="2" t="str">
        <f>$E$12</f>
        <v>kg N</v>
      </c>
      <c r="I83" s="2"/>
      <c r="J83" s="2"/>
      <c r="N83" s="55" t="str">
        <f>'Input - Feedlot'!$D$33</f>
        <v>Composting (passive windrow)</v>
      </c>
      <c r="O83" s="55">
        <f>((O23 * (1 - (_xlfn.XLOOKUP($N83, $D$30:$D$34,$E$30:$E$34)) - (_xlfn.XLOOKUP($N83,$D$39:$D$43,$E$39:$E$43)))) * (1 - $E49))</f>
        <v>793.04015747174435</v>
      </c>
      <c r="P83" s="55">
        <f>((P23 * (1 - (_xlfn.XLOOKUP($N83, $D$30:$D$34,$E$30:$E$34)) - (_xlfn.XLOOKUP($N83,$D$39:$D$43,$E$39:$E$43)))) * (1 - $E49))</f>
        <v>28.006384863744</v>
      </c>
      <c r="Q83" s="55">
        <f>((Q23 * (1 - (_xlfn.XLOOKUP($N83, $D$30:$D$34,$E$30:$E$34)) - (_xlfn.XLOOKUP($N83,$D$39:$D$43,$E$39:$E$43)))) * (1 - $E49))</f>
        <v>40.45086633599999</v>
      </c>
      <c r="R83" s="2" t="str">
        <f>$E$12</f>
        <v>kg N</v>
      </c>
    </row>
    <row r="84" spans="3:19" ht="20.100000000000001" customHeight="1" x14ac:dyDescent="0.25">
      <c r="D84" s="55" t="str">
        <f>'Input - Feedlot'!$D$34</f>
        <v>Direct application</v>
      </c>
      <c r="E84" s="55">
        <f>((E24 * (1 - (_xlfn.XLOOKUP($D84, $D$30:$D$34,$E$30:$E$34)) - (_xlfn.XLOOKUP($D84,$D$39:$D$43,$E$39:$E$43)))) * (1 - $E50))</f>
        <v>0</v>
      </c>
      <c r="F84" s="55">
        <f>((F24 * (1 - (_xlfn.XLOOKUP($D84, $D$30:$D$34,$E$30:$E$34)) - (_xlfn.XLOOKUP($D84,$D$39:$D$43,$E$39:$E$43)))) * (1 - $E50))</f>
        <v>0</v>
      </c>
      <c r="G84" s="55">
        <f>((G24 * (1 - (_xlfn.XLOOKUP($D84, $D$30:$D$34,$E$30:$E$34)) - (_xlfn.XLOOKUP($D84,$D$39:$D$43,$E$39:$E$43)))) * (1 - $E50))</f>
        <v>0</v>
      </c>
      <c r="H84" s="2" t="str">
        <f>$E$12</f>
        <v>kg N</v>
      </c>
      <c r="I84" s="2"/>
      <c r="J84" s="2"/>
      <c r="N84" s="55" t="str">
        <f>'Input - Feedlot'!$D$34</f>
        <v>Direct application</v>
      </c>
      <c r="O84" s="55">
        <f>((O24 * (1 - (_xlfn.XLOOKUP($N84, $D$30:$D$34,$E$30:$E$34)) - (_xlfn.XLOOKUP($N84,$D$39:$D$43,$E$39:$E$43)))) * (1 - $E50))</f>
        <v>0</v>
      </c>
      <c r="P84" s="55">
        <f>((P24 * (1 - (_xlfn.XLOOKUP($N84, $D$30:$D$34,$E$30:$E$34)) - (_xlfn.XLOOKUP($N84,$D$39:$D$43,$E$39:$E$43)))) * (1 - $E50))</f>
        <v>0</v>
      </c>
      <c r="Q84" s="55">
        <f>((Q24 * (1 - (_xlfn.XLOOKUP($N84, $D$30:$D$34,$E$30:$E$34)) - (_xlfn.XLOOKUP($N84,$D$39:$D$43,$E$39:$E$43)))) * (1 - $E50))</f>
        <v>0</v>
      </c>
      <c r="R84" s="2" t="str">
        <f>$E$12</f>
        <v>kg N</v>
      </c>
    </row>
    <row r="85" spans="3:19" ht="20.100000000000001" customHeight="1" x14ac:dyDescent="0.25">
      <c r="D85" s="55" t="str">
        <f>'Input - Feedlot'!$D$38</f>
        <v>Anaerobic lagoon</v>
      </c>
      <c r="E85" s="55">
        <f>((E25 * (1 - (_xlfn.XLOOKUP($D85, $D$30:$D$34,$E$30:$E$34)) - (_xlfn.XLOOKUP($D85,$D$39:$D$43,$E$39:$E$43)))) * (1 - $E51))</f>
        <v>233.2323302400001</v>
      </c>
      <c r="F85" s="55">
        <f>((F25 * (1 - (_xlfn.XLOOKUP($D85, $D$30:$D$34,$E$30:$E$34)) - (_xlfn.XLOOKUP($D85,$D$39:$D$43,$E$39:$E$43)))) * (1 - $E51))</f>
        <v>8.2366502400000012</v>
      </c>
      <c r="G85" s="55">
        <f>((G25 * (1 - (_xlfn.XLOOKUP($D85, $D$30:$D$34,$E$30:$E$34)) - (_xlfn.XLOOKUP($D85,$D$39:$D$43,$E$39:$E$43)))) * (1 - $E51))</f>
        <v>11.896559999999997</v>
      </c>
      <c r="H85" s="2" t="str">
        <f>$E$12</f>
        <v>kg N</v>
      </c>
      <c r="I85" s="2"/>
      <c r="J85" s="2"/>
      <c r="N85" s="55" t="str">
        <f>'Input - Feedlot'!$D$38</f>
        <v>Anaerobic lagoon</v>
      </c>
      <c r="O85" s="55">
        <f>((O25 * (1 - (_xlfn.XLOOKUP($N85, $D$30:$D$34,$E$30:$E$34)) - (_xlfn.XLOOKUP($N85,$D$39:$D$43,$E$39:$E$43)))) * (1 - $E51))</f>
        <v>233.2323302400001</v>
      </c>
      <c r="P85" s="55">
        <f>((P25 * (1 - (_xlfn.XLOOKUP($N85, $D$30:$D$34,$E$30:$E$34)) - (_xlfn.XLOOKUP($N85,$D$39:$D$43,$E$39:$E$43)))) * (1 - $E51))</f>
        <v>8.2366502400000012</v>
      </c>
      <c r="Q85" s="55">
        <f>((Q25 * (1 - (_xlfn.XLOOKUP($N85, $D$30:$D$34,$E$30:$E$34)) - (_xlfn.XLOOKUP($N85,$D$39:$D$43,$E$39:$E$43)))) * (1 - $E51))</f>
        <v>11.896559999999997</v>
      </c>
      <c r="R85" s="2" t="str">
        <f>$E$12</f>
        <v>kg N</v>
      </c>
    </row>
    <row r="86" spans="3:19" ht="20.100000000000001" customHeight="1" x14ac:dyDescent="0.25"/>
    <row r="87" spans="3:19" ht="20.100000000000001" customHeight="1" x14ac:dyDescent="0.25">
      <c r="D87" s="108" t="s">
        <v>247</v>
      </c>
      <c r="E87" s="109">
        <f>SUM(E82:G85)</f>
        <v>2202.6859482366731</v>
      </c>
      <c r="F87" s="110" t="str">
        <f>$E$12</f>
        <v>kg N</v>
      </c>
      <c r="N87" s="108" t="s">
        <v>247</v>
      </c>
      <c r="O87" s="109">
        <f>SUM(O82:Q85)</f>
        <v>2202.6859482366731</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8"/>
      <c r="M90" s="48"/>
      <c r="N90" s="48"/>
      <c r="O90" s="48"/>
      <c r="P90" s="48"/>
      <c r="Q90" s="48"/>
      <c r="R90" s="48"/>
      <c r="S90" s="48"/>
    </row>
    <row r="91" spans="3:19" ht="20.100000000000001" customHeight="1" x14ac:dyDescent="0.25">
      <c r="D91" s="117"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257</v>
      </c>
      <c r="E92" s="93"/>
      <c r="F92" s="93"/>
      <c r="G92" s="93"/>
      <c r="H92" s="91"/>
    </row>
    <row r="93" spans="3:19" ht="20.100000000000001" customHeight="1" x14ac:dyDescent="0.25"/>
    <row r="94" spans="3:19" ht="20.100000000000001" customHeight="1" x14ac:dyDescent="0.25">
      <c r="D94" s="6" t="s">
        <v>308</v>
      </c>
    </row>
    <row r="95" spans="3:19" ht="20.100000000000001" customHeight="1" x14ac:dyDescent="0.25">
      <c r="D95" s="104" t="s">
        <v>243</v>
      </c>
    </row>
    <row r="96" spans="3:19" ht="20.100000000000001" customHeight="1" x14ac:dyDescent="0.25">
      <c r="D96" s="103" t="s">
        <v>244</v>
      </c>
    </row>
    <row r="97" spans="4:18" ht="20.100000000000001" customHeight="1" x14ac:dyDescent="0.25">
      <c r="D97" s="65" t="s">
        <v>66</v>
      </c>
      <c r="E97" s="65" t="s">
        <v>348</v>
      </c>
    </row>
    <row r="98" spans="4:18" ht="20.100000000000001" customHeight="1" x14ac:dyDescent="0.25">
      <c r="D98" s="55" t="str">
        <f>'Input - Feedlot'!$D$32</f>
        <v>Solid storage</v>
      </c>
      <c r="E98" s="55">
        <f>'Input - Feedlot'!J32</f>
        <v>0.25</v>
      </c>
      <c r="F98" s="2" t="s">
        <v>327</v>
      </c>
    </row>
    <row r="99" spans="4:18" ht="20.100000000000001" customHeight="1" x14ac:dyDescent="0.25">
      <c r="D99" s="55" t="str">
        <f>'Input - Feedlot'!$D$33</f>
        <v>Composting (passive windrow)</v>
      </c>
      <c r="E99" s="55">
        <f>'Input - Feedlot'!J33</f>
        <v>0.25</v>
      </c>
      <c r="F99" s="2" t="s">
        <v>327</v>
      </c>
    </row>
    <row r="100" spans="4:18" ht="20.100000000000001" customHeight="1" x14ac:dyDescent="0.25">
      <c r="D100" s="55" t="str">
        <f>'Input - Feedlot'!$D$34</f>
        <v>Direct application</v>
      </c>
      <c r="E100" s="55">
        <v>0</v>
      </c>
      <c r="F100" s="2" t="s">
        <v>327</v>
      </c>
    </row>
    <row r="101" spans="4:18" ht="20.100000000000001" customHeight="1" x14ac:dyDescent="0.25">
      <c r="D101" s="55" t="str">
        <f>'Input - Feedlot'!$D$38</f>
        <v>Anaerobic lagoon</v>
      </c>
      <c r="E101" s="55">
        <f>'Input - Feedlot'!J38</f>
        <v>0.25</v>
      </c>
      <c r="F101" s="2" t="s">
        <v>327</v>
      </c>
    </row>
    <row r="102" spans="4:18" ht="20.100000000000001" customHeight="1" x14ac:dyDescent="0.25"/>
    <row r="103" spans="4:18" ht="20.100000000000001" customHeight="1" x14ac:dyDescent="0.25">
      <c r="D103" s="104" t="s">
        <v>246</v>
      </c>
      <c r="N103" s="104" t="s">
        <v>248</v>
      </c>
    </row>
    <row r="104" spans="4:18" ht="20.100000000000001" customHeight="1" x14ac:dyDescent="0.25">
      <c r="D104" s="103" t="s">
        <v>252</v>
      </c>
      <c r="N104" s="103" t="s">
        <v>249</v>
      </c>
    </row>
    <row r="105" spans="4:18" ht="20.100000000000001" customHeight="1" x14ac:dyDescent="0.25">
      <c r="D105" s="54" t="s">
        <v>66</v>
      </c>
      <c r="E105" s="54" t="s">
        <v>139</v>
      </c>
      <c r="F105" s="54" t="s">
        <v>140</v>
      </c>
      <c r="G105" s="54" t="s">
        <v>141</v>
      </c>
      <c r="N105" s="54" t="s">
        <v>66</v>
      </c>
      <c r="O105" s="54" t="s">
        <v>139</v>
      </c>
      <c r="P105" s="54" t="s">
        <v>140</v>
      </c>
      <c r="Q105" s="54" t="s">
        <v>141</v>
      </c>
    </row>
    <row r="106" spans="4:18" ht="20.100000000000001" customHeight="1" x14ac:dyDescent="0.25">
      <c r="D106" s="55" t="str">
        <f>'Input - Feedlot'!$D$32</f>
        <v>Solid storage</v>
      </c>
      <c r="E106" s="55">
        <f>((E22 * (1 - (_xlfn.XLOOKUP($D106,$D$30:$D$34,$E$30:$E$34)) - (_xlfn.XLOOKUP($D106,$D$39:$D$43,$E$39:$E$43)))) * $E98)</f>
        <v>1001.3812157905925</v>
      </c>
      <c r="F106" s="55">
        <f>((F22 * (1 - (_xlfn.XLOOKUP($D106,$D$30:$D$34,$E$30:$E$34)) - (_xlfn.XLOOKUP($D106,$D$39:$D$43,$E$39:$E$43)))) * $E98)</f>
        <v>35.363994446592002</v>
      </c>
      <c r="G106" s="55">
        <f>((G22 * (1 - (_xlfn.XLOOKUP($D106,$D$30:$D$34,$E$30:$E$34)) - (_xlfn.XLOOKUP($D106,$D$39:$D$43,$E$39:$E$43)))) * $E98)</f>
        <v>51.07778884799999</v>
      </c>
      <c r="H106" s="2" t="str">
        <f>$E$12</f>
        <v>kg N</v>
      </c>
      <c r="I106" s="2"/>
      <c r="J106" s="2"/>
      <c r="N106" s="55" t="str">
        <f>'Input - Feedlot'!$D$32</f>
        <v>Solid storage</v>
      </c>
      <c r="O106" s="55">
        <f>((O22 * (1 - (_xlfn.XLOOKUP($N106,$D$30:$D$34,$E$30:$E$34)) - (_xlfn.XLOOKUP($N106,$D$39:$D$43,$E$39:$E$43)))) * $E98)</f>
        <v>1001.3812157905925</v>
      </c>
      <c r="P106" s="55">
        <f>((P22 * (1 - (_xlfn.XLOOKUP($N106,$D$30:$D$34,$E$30:$E$34)) - (_xlfn.XLOOKUP($N106,$D$39:$D$43,$E$39:$E$43)))) * $E98)</f>
        <v>35.363994446592002</v>
      </c>
      <c r="Q106" s="55">
        <f>((Q22 * (1 - (_xlfn.XLOOKUP($N106,$D$30:$D$34,$E$30:$E$34)) - (_xlfn.XLOOKUP($N106,$D$39:$D$43,$E$39:$E$43)))) * $E98)</f>
        <v>51.07778884799999</v>
      </c>
      <c r="R106" s="2" t="str">
        <f>$E$12</f>
        <v>kg N</v>
      </c>
    </row>
    <row r="107" spans="4:18" ht="20.100000000000001" customHeight="1" x14ac:dyDescent="0.25">
      <c r="D107" s="55" t="str">
        <f>'Input - Feedlot'!$D$33</f>
        <v>Composting (passive windrow)</v>
      </c>
      <c r="E107" s="55">
        <f>((E23 * (1 - (_xlfn.XLOOKUP($D107,$D$30:$D$34,$E$30:$E$34)) - (_xlfn.XLOOKUP($D107,$D$39:$D$43,$E$39:$E$43)))) * $E99)</f>
        <v>793.04015747174435</v>
      </c>
      <c r="F107" s="55">
        <f>((F23 * (1 - (_xlfn.XLOOKUP($D107,$D$30:$D$34,$E$30:$E$34)) - (_xlfn.XLOOKUP($D107,$D$39:$D$43,$E$39:$E$43)))) * $E99)</f>
        <v>28.006384863744</v>
      </c>
      <c r="G107" s="55">
        <f>((G23 * (1 - (_xlfn.XLOOKUP($D107,$D$30:$D$34,$E$30:$E$34)) - (_xlfn.XLOOKUP($D107,$D$39:$D$43,$E$39:$E$43)))) * $E99)</f>
        <v>40.45086633599999</v>
      </c>
      <c r="H107" s="2" t="str">
        <f>$E$12</f>
        <v>kg N</v>
      </c>
      <c r="I107" s="2"/>
      <c r="J107" s="2"/>
      <c r="N107" s="55" t="str">
        <f>'Input - Feedlot'!$D$33</f>
        <v>Composting (passive windrow)</v>
      </c>
      <c r="O107" s="55">
        <f>((O23 * (1 - (_xlfn.XLOOKUP($N107,$D$30:$D$34,$E$30:$E$34)) - (_xlfn.XLOOKUP($N107,$D$39:$D$43,$E$39:$E$43)))) * $E99)</f>
        <v>793.04015747174435</v>
      </c>
      <c r="P107" s="55">
        <f>((P23 * (1 - (_xlfn.XLOOKUP($N107,$D$30:$D$34,$E$30:$E$34)) - (_xlfn.XLOOKUP($N107,$D$39:$D$43,$E$39:$E$43)))) * $E99)</f>
        <v>28.006384863744</v>
      </c>
      <c r="Q107" s="55">
        <f>((Q23 * (1 - (_xlfn.XLOOKUP($N107,$D$30:$D$34,$E$30:$E$34)) - (_xlfn.XLOOKUP($N107,$D$39:$D$43,$E$39:$E$43)))) * $E99)</f>
        <v>40.45086633599999</v>
      </c>
      <c r="R107" s="2" t="str">
        <f>$E$12</f>
        <v>kg N</v>
      </c>
    </row>
    <row r="108" spans="4:18" ht="20.100000000000001" customHeight="1" x14ac:dyDescent="0.25">
      <c r="D108" s="55" t="str">
        <f>'Input - Feedlot'!$D$34</f>
        <v>Direct application</v>
      </c>
      <c r="E108" s="55">
        <f>((E24 * (1 - (_xlfn.XLOOKUP($D108,$D$30:$D$34,$E$30:$E$34)) - (_xlfn.XLOOKUP($D108,$D$39:$D$43,$E$39:$E$43)))) * $E100)</f>
        <v>0</v>
      </c>
      <c r="F108" s="55">
        <f>((F24 * (1 - (_xlfn.XLOOKUP($D108,$D$30:$D$34,$E$30:$E$34)) - (_xlfn.XLOOKUP($D108,$D$39:$D$43,$E$39:$E$43)))) * $E100)</f>
        <v>0</v>
      </c>
      <c r="G108" s="55">
        <f>((G24 * (1 - (_xlfn.XLOOKUP($D108,$D$30:$D$34,$E$30:$E$34)) - (_xlfn.XLOOKUP($D108,$D$39:$D$43,$E$39:$E$43)))) * $E100)</f>
        <v>0</v>
      </c>
      <c r="H108" s="2" t="str">
        <f>$E$12</f>
        <v>kg N</v>
      </c>
      <c r="I108" s="2"/>
      <c r="J108" s="2"/>
      <c r="N108" s="55" t="str">
        <f>'Input - Feedlot'!$D$34</f>
        <v>Direct application</v>
      </c>
      <c r="O108" s="55">
        <f>((O24 * (1 - (_xlfn.XLOOKUP($N108,$D$30:$D$34,$E$30:$E$34)) - (_xlfn.XLOOKUP($N108,$D$39:$D$43,$E$39:$E$43)))) * $E100)</f>
        <v>0</v>
      </c>
      <c r="P108" s="55">
        <f>((P24 * (1 - (_xlfn.XLOOKUP($N108,$D$30:$D$34,$E$30:$E$34)) - (_xlfn.XLOOKUP($N108,$D$39:$D$43,$E$39:$E$43)))) * $E100)</f>
        <v>0</v>
      </c>
      <c r="Q108" s="55">
        <f>((Q24 * (1 - (_xlfn.XLOOKUP($N108,$D$30:$D$34,$E$30:$E$34)) - (_xlfn.XLOOKUP($N108,$D$39:$D$43,$E$39:$E$43)))) * $E100)</f>
        <v>0</v>
      </c>
      <c r="R108" s="2" t="str">
        <f>$E$12</f>
        <v>kg N</v>
      </c>
    </row>
    <row r="109" spans="4:18" ht="20.100000000000001" customHeight="1" x14ac:dyDescent="0.25">
      <c r="D109" s="55" t="str">
        <f>'Input - Feedlot'!$D$38</f>
        <v>Anaerobic lagoon</v>
      </c>
      <c r="E109" s="55">
        <f>((E25 * (1 - (_xlfn.XLOOKUP($D109,$D$30:$D$34,$E$30:$E$34)) - (_xlfn.XLOOKUP($D109,$D$39:$D$43,$E$39:$E$43)))) * $E101)</f>
        <v>233.2323302400001</v>
      </c>
      <c r="F109" s="55">
        <f>((F25 * (1 - (_xlfn.XLOOKUP($D109,$D$30:$D$34,$E$30:$E$34)) - (_xlfn.XLOOKUP($D109,$D$39:$D$43,$E$39:$E$43)))) * $E101)</f>
        <v>8.2366502400000012</v>
      </c>
      <c r="G109" s="55">
        <f>((G25 * (1 - (_xlfn.XLOOKUP($D109,$D$30:$D$34,$E$30:$E$34)) - (_xlfn.XLOOKUP($D109,$D$39:$D$43,$E$39:$E$43)))) * $E101)</f>
        <v>11.896559999999997</v>
      </c>
      <c r="H109" s="2" t="str">
        <f>$E$12</f>
        <v>kg N</v>
      </c>
      <c r="I109" s="2"/>
      <c r="J109" s="2"/>
      <c r="N109" s="55" t="str">
        <f>'Input - Feedlot'!$D$38</f>
        <v>Anaerobic lagoon</v>
      </c>
      <c r="O109" s="55">
        <f>((O25 * (1 - (_xlfn.XLOOKUP($N109,$D$30:$D$34,$E$30:$E$34)) - (_xlfn.XLOOKUP($N109,$D$39:$D$43,$E$39:$E$43)))) * $E101)</f>
        <v>233.2323302400001</v>
      </c>
      <c r="P109" s="55">
        <f>((P25 * (1 - (_xlfn.XLOOKUP($N109,$D$30:$D$34,$E$30:$E$34)) - (_xlfn.XLOOKUP($N109,$D$39:$D$43,$E$39:$E$43)))) * $E101)</f>
        <v>8.2366502400000012</v>
      </c>
      <c r="Q109" s="55">
        <f>((Q25 * (1 - (_xlfn.XLOOKUP($N109,$D$30:$D$34,$E$30:$E$34)) - (_xlfn.XLOOKUP($N109,$D$39:$D$43,$E$39:$E$43)))) * $E101)</f>
        <v>11.896559999999997</v>
      </c>
      <c r="R109" s="2" t="str">
        <f>$E$12</f>
        <v>kg N</v>
      </c>
    </row>
    <row r="110" spans="4:18" ht="20.100000000000001" customHeight="1" x14ac:dyDescent="0.25"/>
    <row r="111" spans="4:18" ht="20.100000000000001" customHeight="1" x14ac:dyDescent="0.25">
      <c r="D111" s="108" t="s">
        <v>258</v>
      </c>
      <c r="E111" s="109">
        <f>SUM(E106:G109)</f>
        <v>2202.6859482366731</v>
      </c>
      <c r="F111" s="110" t="str">
        <f>$E$12</f>
        <v>kg N</v>
      </c>
      <c r="N111" s="108" t="s">
        <v>258</v>
      </c>
      <c r="O111" s="109">
        <f>SUM(O106:Q109)</f>
        <v>2202.6859482366731</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138</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506</v>
      </c>
      <c r="M5" s="1"/>
    </row>
    <row r="6" spans="1:21" ht="20.100000000000001" customHeight="1" x14ac:dyDescent="0.25">
      <c r="A6" s="16"/>
      <c r="D6" s="5" t="s">
        <v>507</v>
      </c>
      <c r="M6" s="1"/>
    </row>
    <row r="7" spans="1:21" ht="20.100000000000001" customHeight="1" x14ac:dyDescent="0.25">
      <c r="A7" s="20" t="s">
        <v>3</v>
      </c>
      <c r="D7" s="56" t="s">
        <v>385</v>
      </c>
      <c r="E7" s="1">
        <v>0.5</v>
      </c>
      <c r="F7" s="57" t="s">
        <v>508</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
        <v>509</v>
      </c>
      <c r="M10" s="1"/>
    </row>
    <row r="11" spans="1:21" ht="20.100000000000001" customHeight="1" x14ac:dyDescent="0.25">
      <c r="A11" s="19" t="s">
        <v>75</v>
      </c>
      <c r="D11" s="5" t="s">
        <v>507</v>
      </c>
      <c r="M11" s="1"/>
    </row>
    <row r="12" spans="1:21" ht="20.100000000000001" customHeight="1" x14ac:dyDescent="0.25">
      <c r="A12" s="17" t="str">
        <f>HYPERLINK("#'4.1.1.1-2 Methane'!A1", "4.1.1.1-2 Methane")</f>
        <v>4.1.1.1-2 Methane</v>
      </c>
      <c r="D12" s="56" t="s">
        <v>510</v>
      </c>
      <c r="E12" s="1">
        <v>0.02</v>
      </c>
      <c r="F12" s="57" t="s">
        <v>508</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
        <v>511</v>
      </c>
      <c r="M15" s="1"/>
    </row>
    <row r="16" spans="1:21" ht="20.100000000000001" customHeight="1" x14ac:dyDescent="0.25">
      <c r="D16" s="5" t="s">
        <v>507</v>
      </c>
      <c r="M16" s="1"/>
    </row>
    <row r="17" spans="1:13" ht="20.100000000000001" customHeight="1" x14ac:dyDescent="0.25">
      <c r="A17" s="18" t="s">
        <v>4</v>
      </c>
      <c r="D17" s="56" t="s">
        <v>512</v>
      </c>
      <c r="E17" s="1">
        <v>0.16</v>
      </c>
      <c r="F17" s="57" t="s">
        <v>508</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
        <v>513</v>
      </c>
      <c r="M20" s="1"/>
    </row>
    <row r="21" spans="1:13" ht="20.100000000000001" customHeight="1" x14ac:dyDescent="0.25">
      <c r="A21" s="17" t="str">
        <f>HYPERLINK("#'Acknowledgements'!A1", "Acknowledgements")</f>
        <v>Acknowledgements</v>
      </c>
      <c r="D21" s="5" t="s">
        <v>507</v>
      </c>
      <c r="M21" s="1"/>
    </row>
    <row r="22" spans="1:13" ht="20.100000000000001" customHeight="1" x14ac:dyDescent="0.25">
      <c r="D22" s="56" t="s">
        <v>514</v>
      </c>
      <c r="E22" s="1">
        <v>0.19</v>
      </c>
      <c r="F22" s="57" t="s">
        <v>515</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114</v>
      </c>
      <c r="G25" s="6" t="s">
        <v>274</v>
      </c>
      <c r="J25" s="6" t="s">
        <v>276</v>
      </c>
      <c r="M25" s="1"/>
    </row>
    <row r="26" spans="1:13" ht="20.100000000000001" customHeight="1" x14ac:dyDescent="0.25">
      <c r="M26" s="1"/>
    </row>
    <row r="27" spans="1:13" ht="20.100000000000001" customHeight="1" x14ac:dyDescent="0.25">
      <c r="D27" s="102" t="s">
        <v>66</v>
      </c>
      <c r="E27" s="39" t="s">
        <v>80</v>
      </c>
      <c r="G27" s="39" t="s">
        <v>275</v>
      </c>
      <c r="J27" s="39" t="s">
        <v>272</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277</v>
      </c>
      <c r="M28" s="1"/>
    </row>
    <row r="29" spans="1:13" ht="20.100000000000001" customHeight="1" x14ac:dyDescent="0.25">
      <c r="D29" s="39" t="str">
        <f>'Constants - Livestock'!$E$15</f>
        <v>Solid storage</v>
      </c>
      <c r="E29" s="39" t="str">
        <f>'Constants - Livestock'!$F$15</f>
        <v>Solid storage (m=4)</v>
      </c>
      <c r="G29" s="1" t="str">
        <f>'Constants - Common'!$F$187</f>
        <v>Pasture</v>
      </c>
      <c r="J29" s="39" t="s">
        <v>278</v>
      </c>
      <c r="M29" s="1"/>
    </row>
    <row r="30" spans="1:13" ht="20.100000000000001" customHeight="1" x14ac:dyDescent="0.25">
      <c r="D30" s="39" t="str">
        <f>'Constants - Livestock'!$E$17</f>
        <v>Composting (passive windrow)</v>
      </c>
      <c r="E30" s="39" t="str">
        <f>'Constants - Livestock'!$F$17</f>
        <v>Composting (passive windrow) (m=6)</v>
      </c>
      <c r="J30" s="1" t="s">
        <v>279</v>
      </c>
      <c r="M30" s="1"/>
    </row>
    <row r="31" spans="1:13" ht="20.100000000000001" customHeight="1" x14ac:dyDescent="0.25">
      <c r="D31" s="39" t="str">
        <f>'Constants - Livestock'!$E$26</f>
        <v>Direct application</v>
      </c>
      <c r="E31" s="39" t="str">
        <f>'Constants - Livestock'!$F$26</f>
        <v>Direct application (m=13)</v>
      </c>
      <c r="J31" s="1" t="s">
        <v>280</v>
      </c>
      <c r="M31" s="1"/>
    </row>
    <row r="32" spans="1:13" ht="20.100000000000001" customHeight="1" x14ac:dyDescent="0.25">
      <c r="D32" s="1" t="str">
        <f>'Constants - Livestock'!$E$10</f>
        <v>Anaerobic lagoon</v>
      </c>
      <c r="E32" s="1" t="str">
        <f>'Constants - Livestock'!$F$10</f>
        <v>Anaerobic lagoon (m=1)</v>
      </c>
      <c r="J32" s="1" t="s">
        <v>281</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
        <v>516</v>
      </c>
      <c r="M36" s="1"/>
    </row>
    <row r="37" spans="4:13" ht="20.100000000000001" customHeight="1" x14ac:dyDescent="0.25">
      <c r="D37" s="5" t="s">
        <v>517</v>
      </c>
      <c r="M37" s="1"/>
    </row>
    <row r="38" spans="4:13" ht="20.100000000000001" customHeight="1" x14ac:dyDescent="0.25">
      <c r="D38" s="39" t="s">
        <v>133</v>
      </c>
      <c r="E38" s="39" t="s">
        <v>146</v>
      </c>
      <c r="M38" s="1"/>
    </row>
    <row r="39" spans="4:13" ht="20.100000000000001" customHeight="1" x14ac:dyDescent="0.25">
      <c r="D39" s="39" t="s">
        <v>139</v>
      </c>
      <c r="E39" s="39" t="s">
        <v>518</v>
      </c>
      <c r="M39" s="24"/>
    </row>
    <row r="40" spans="4:13" ht="20.100000000000001" customHeight="1" x14ac:dyDescent="0.25">
      <c r="D40" s="1" t="s">
        <v>140</v>
      </c>
      <c r="E40" s="39" t="s">
        <v>519</v>
      </c>
      <c r="M40" s="24"/>
    </row>
    <row r="41" spans="4:13" ht="20.100000000000001" customHeight="1" x14ac:dyDescent="0.25">
      <c r="D41" s="1" t="s">
        <v>141</v>
      </c>
      <c r="E41" s="39" t="s">
        <v>520</v>
      </c>
      <c r="M41" s="24"/>
    </row>
    <row r="42" spans="4:13" ht="20.100000000000001" customHeight="1" x14ac:dyDescent="0.25">
      <c r="M42" s="24"/>
    </row>
    <row r="43" spans="4:13" ht="20.100000000000001" customHeight="1" x14ac:dyDescent="0.25">
      <c r="M43" s="24"/>
    </row>
    <row r="44" spans="4:13" ht="20.100000000000001" customHeight="1" x14ac:dyDescent="0.25">
      <c r="D44" s="6" t="s">
        <v>521</v>
      </c>
      <c r="M44" s="24"/>
    </row>
    <row r="45" spans="4:13" ht="20.100000000000001" customHeight="1" x14ac:dyDescent="0.25">
      <c r="D45" s="5" t="s">
        <v>522</v>
      </c>
      <c r="M45" s="24"/>
    </row>
    <row r="46" spans="4:13" ht="20.100000000000001" customHeight="1" x14ac:dyDescent="0.25">
      <c r="D46" s="58" t="s">
        <v>523</v>
      </c>
      <c r="M46" s="24"/>
    </row>
    <row r="47" spans="4:13" ht="20.100000000000001" customHeight="1" x14ac:dyDescent="0.25">
      <c r="D47" s="58" t="s">
        <v>524</v>
      </c>
      <c r="M47" s="24"/>
    </row>
    <row r="48" spans="4:13" ht="20.100000000000001" customHeight="1" x14ac:dyDescent="0.25">
      <c r="D48" s="58" t="s">
        <v>525</v>
      </c>
      <c r="M48" s="24"/>
    </row>
    <row r="49" spans="4:13" ht="20.100000000000001" customHeight="1" x14ac:dyDescent="0.25">
      <c r="D49" s="39" t="s">
        <v>133</v>
      </c>
      <c r="E49" s="39" t="s">
        <v>143</v>
      </c>
      <c r="F49" s="39" t="s">
        <v>19</v>
      </c>
      <c r="G49" s="39" t="s">
        <v>144</v>
      </c>
      <c r="H49" s="39" t="s">
        <v>135</v>
      </c>
      <c r="I49" s="39" t="s">
        <v>136</v>
      </c>
      <c r="J49" s="39" t="s">
        <v>137</v>
      </c>
      <c r="M49" s="24"/>
    </row>
    <row r="50" spans="4:13" ht="20.100000000000001" customHeight="1" x14ac:dyDescent="0.25">
      <c r="D50" s="39" t="s">
        <v>139</v>
      </c>
      <c r="E50" s="39" t="s">
        <v>526</v>
      </c>
      <c r="F50" s="39" t="s">
        <v>326</v>
      </c>
      <c r="G50" s="39">
        <v>70</v>
      </c>
      <c r="H50" s="39">
        <v>70</v>
      </c>
      <c r="I50" s="39">
        <v>70</v>
      </c>
      <c r="J50" s="39">
        <v>75</v>
      </c>
      <c r="M50" s="24"/>
    </row>
    <row r="51" spans="4:13" ht="20.100000000000001" customHeight="1" x14ac:dyDescent="0.25">
      <c r="D51" s="1" t="s">
        <v>139</v>
      </c>
      <c r="E51" s="39" t="s">
        <v>145</v>
      </c>
      <c r="F51" s="39" t="s">
        <v>527</v>
      </c>
      <c r="G51" s="39">
        <v>10</v>
      </c>
      <c r="H51" s="39">
        <v>10</v>
      </c>
      <c r="I51" s="39">
        <v>10.4</v>
      </c>
      <c r="J51" s="39">
        <v>10.4</v>
      </c>
      <c r="M51" s="24"/>
    </row>
    <row r="52" spans="4:13" ht="20.100000000000001" customHeight="1" x14ac:dyDescent="0.25">
      <c r="D52" s="1" t="s">
        <v>139</v>
      </c>
      <c r="E52" s="39" t="s">
        <v>149</v>
      </c>
      <c r="F52" s="39" t="s">
        <v>528</v>
      </c>
      <c r="G52" s="39">
        <v>21.1</v>
      </c>
      <c r="H52" s="39">
        <v>20.399999999999999</v>
      </c>
      <c r="I52" s="39">
        <v>20.399999999999999</v>
      </c>
      <c r="J52" s="39">
        <v>20.399999999999999</v>
      </c>
      <c r="M52" s="24"/>
    </row>
    <row r="53" spans="4:13" ht="20.100000000000001" customHeight="1" x14ac:dyDescent="0.25">
      <c r="D53" s="1" t="s">
        <v>140</v>
      </c>
      <c r="E53" s="39" t="s">
        <v>526</v>
      </c>
      <c r="F53" s="39" t="s">
        <v>326</v>
      </c>
      <c r="G53" s="39">
        <v>115</v>
      </c>
      <c r="H53" s="39">
        <v>115</v>
      </c>
      <c r="I53" s="39">
        <v>120</v>
      </c>
      <c r="J53" s="39">
        <v>150</v>
      </c>
      <c r="M53" s="24"/>
    </row>
    <row r="54" spans="4:13" ht="20.100000000000001" customHeight="1" x14ac:dyDescent="0.25">
      <c r="D54" s="1" t="s">
        <v>140</v>
      </c>
      <c r="E54" s="39" t="s">
        <v>145</v>
      </c>
      <c r="F54" s="39" t="s">
        <v>527</v>
      </c>
      <c r="G54" s="39">
        <v>11.2</v>
      </c>
      <c r="H54" s="39">
        <v>10.8</v>
      </c>
      <c r="I54" s="39">
        <v>10.8</v>
      </c>
      <c r="J54" s="39">
        <v>10.8</v>
      </c>
      <c r="M54" s="24"/>
    </row>
    <row r="55" spans="4:13" ht="20.100000000000001" customHeight="1" x14ac:dyDescent="0.25">
      <c r="D55" s="1" t="s">
        <v>140</v>
      </c>
      <c r="E55" s="39" t="s">
        <v>149</v>
      </c>
      <c r="F55" s="39" t="s">
        <v>528</v>
      </c>
      <c r="G55" s="39">
        <v>12.5</v>
      </c>
      <c r="H55" s="39">
        <v>12.7</v>
      </c>
      <c r="I55" s="39">
        <v>12.7</v>
      </c>
      <c r="J55" s="39">
        <v>12.7</v>
      </c>
      <c r="M55" s="24"/>
    </row>
    <row r="56" spans="4:13" ht="20.100000000000001" customHeight="1" x14ac:dyDescent="0.25">
      <c r="D56" s="1" t="s">
        <v>141</v>
      </c>
      <c r="E56" s="39" t="s">
        <v>526</v>
      </c>
      <c r="F56" s="39" t="s">
        <v>326</v>
      </c>
      <c r="G56" s="39">
        <v>250</v>
      </c>
      <c r="H56" s="39">
        <v>250</v>
      </c>
      <c r="I56" s="39">
        <v>250</v>
      </c>
      <c r="J56" s="39">
        <v>250</v>
      </c>
      <c r="M56" s="24"/>
    </row>
    <row r="57" spans="4:13" ht="20.100000000000001" customHeight="1" x14ac:dyDescent="0.25">
      <c r="D57" s="1" t="s">
        <v>141</v>
      </c>
      <c r="E57" s="39" t="s">
        <v>145</v>
      </c>
      <c r="F57" s="39" t="s">
        <v>527</v>
      </c>
      <c r="G57" s="39">
        <v>9</v>
      </c>
      <c r="H57" s="39">
        <v>8.5</v>
      </c>
      <c r="I57" s="39">
        <v>8.1999999999999993</v>
      </c>
      <c r="J57" s="39">
        <v>8.1999999999999993</v>
      </c>
      <c r="M57" s="24"/>
    </row>
    <row r="58" spans="4:13" ht="20.100000000000001" customHeight="1" x14ac:dyDescent="0.25">
      <c r="D58" s="1" t="s">
        <v>141</v>
      </c>
      <c r="E58" s="39" t="s">
        <v>149</v>
      </c>
      <c r="F58" s="39" t="s">
        <v>528</v>
      </c>
      <c r="G58" s="39">
        <v>6.6</v>
      </c>
      <c r="H58" s="39">
        <v>7</v>
      </c>
      <c r="I58" s="39">
        <v>7</v>
      </c>
      <c r="J58" s="39">
        <v>7</v>
      </c>
      <c r="M58" s="24"/>
    </row>
    <row r="59" spans="4:13" ht="20.100000000000001" customHeight="1" x14ac:dyDescent="0.25">
      <c r="M59" s="24"/>
    </row>
    <row r="60" spans="4:13" ht="20.100000000000001" customHeight="1" x14ac:dyDescent="0.25">
      <c r="M60" s="24"/>
    </row>
    <row r="61" spans="4:13" ht="20.100000000000001" customHeight="1" x14ac:dyDescent="0.25">
      <c r="D61" s="6" t="s">
        <v>529</v>
      </c>
      <c r="M61" s="24"/>
    </row>
    <row r="62" spans="4:13" ht="20.100000000000001" customHeight="1" x14ac:dyDescent="0.25">
      <c r="D62" s="5" t="s">
        <v>530</v>
      </c>
      <c r="M62" s="24"/>
    </row>
    <row r="63" spans="4:13" ht="20.100000000000001" customHeight="1" x14ac:dyDescent="0.25">
      <c r="D63" s="58" t="s">
        <v>523</v>
      </c>
      <c r="M63" s="24"/>
    </row>
    <row r="64" spans="4:13" ht="20.100000000000001" customHeight="1" x14ac:dyDescent="0.25">
      <c r="D64" s="58" t="s">
        <v>531</v>
      </c>
      <c r="M64" s="24"/>
    </row>
    <row r="65" spans="4:13" ht="20.100000000000001" customHeight="1" x14ac:dyDescent="0.25">
      <c r="D65" s="58" t="s">
        <v>524</v>
      </c>
      <c r="M65" s="24"/>
    </row>
    <row r="66" spans="4:13" ht="20.100000000000001" customHeight="1" x14ac:dyDescent="0.25">
      <c r="D66" s="39" t="s">
        <v>133</v>
      </c>
      <c r="E66" s="39" t="s">
        <v>134</v>
      </c>
      <c r="F66" s="39" t="s">
        <v>19</v>
      </c>
      <c r="G66" s="39" t="s">
        <v>135</v>
      </c>
      <c r="H66" s="39" t="s">
        <v>136</v>
      </c>
      <c r="I66" s="39" t="s">
        <v>137</v>
      </c>
      <c r="J66" s="39" t="s">
        <v>142</v>
      </c>
      <c r="M66" s="24"/>
    </row>
    <row r="67" spans="4:13" ht="20.100000000000001" customHeight="1" x14ac:dyDescent="0.25">
      <c r="D67" s="39" t="s">
        <v>139</v>
      </c>
      <c r="E67" s="39" t="s">
        <v>18</v>
      </c>
      <c r="F67" s="39" t="s">
        <v>327</v>
      </c>
      <c r="G67" s="39">
        <v>0.81</v>
      </c>
      <c r="H67" s="39">
        <v>0.81</v>
      </c>
      <c r="I67" s="39">
        <v>0.81</v>
      </c>
      <c r="J67" s="39">
        <v>0.81</v>
      </c>
      <c r="M67" s="24"/>
    </row>
    <row r="68" spans="4:13" ht="20.100000000000001" customHeight="1" x14ac:dyDescent="0.25">
      <c r="D68" s="1" t="s">
        <v>139</v>
      </c>
      <c r="E68" s="39" t="s">
        <v>132</v>
      </c>
      <c r="F68" s="39" t="s">
        <v>327</v>
      </c>
      <c r="G68" s="39">
        <v>0.14000000000000001</v>
      </c>
      <c r="H68" s="39">
        <v>0.14000000000000001</v>
      </c>
      <c r="I68" s="39">
        <v>0.14000000000000001</v>
      </c>
      <c r="J68" s="39">
        <v>0.14000000000000001</v>
      </c>
      <c r="M68" s="24"/>
    </row>
    <row r="69" spans="4:13" ht="20.100000000000001" customHeight="1" x14ac:dyDescent="0.25">
      <c r="D69" s="1" t="s">
        <v>139</v>
      </c>
      <c r="E69" s="39" t="s">
        <v>532</v>
      </c>
      <c r="F69" s="39" t="s">
        <v>533</v>
      </c>
      <c r="G69" s="39">
        <v>23</v>
      </c>
      <c r="H69" s="39">
        <v>22</v>
      </c>
      <c r="I69" s="39">
        <v>22</v>
      </c>
      <c r="J69" s="39">
        <v>22</v>
      </c>
      <c r="M69" s="24"/>
    </row>
    <row r="70" spans="4:13" ht="20.100000000000001" customHeight="1" x14ac:dyDescent="0.25">
      <c r="D70" s="1" t="s">
        <v>139</v>
      </c>
      <c r="E70" s="39" t="s">
        <v>534</v>
      </c>
      <c r="F70" s="39" t="s">
        <v>533</v>
      </c>
      <c r="G70" s="39">
        <v>4.5</v>
      </c>
      <c r="H70" s="39">
        <v>4.5</v>
      </c>
      <c r="I70" s="39">
        <v>4.8</v>
      </c>
      <c r="J70" s="39">
        <v>4.8</v>
      </c>
      <c r="M70" s="24"/>
    </row>
    <row r="71" spans="4:13" ht="20.100000000000001" customHeight="1" x14ac:dyDescent="0.25">
      <c r="D71" s="1" t="s">
        <v>140</v>
      </c>
      <c r="E71" s="39" t="s">
        <v>18</v>
      </c>
      <c r="F71" s="39" t="s">
        <v>327</v>
      </c>
      <c r="G71" s="39">
        <v>0.81</v>
      </c>
      <c r="H71" s="39">
        <v>0.81</v>
      </c>
      <c r="I71" s="39">
        <v>0.81</v>
      </c>
      <c r="J71" s="39">
        <v>0.81</v>
      </c>
      <c r="M71" s="24"/>
    </row>
    <row r="72" spans="4:13" ht="20.100000000000001" customHeight="1" x14ac:dyDescent="0.25">
      <c r="D72" s="1" t="s">
        <v>140</v>
      </c>
      <c r="E72" s="39" t="s">
        <v>132</v>
      </c>
      <c r="F72" s="39" t="s">
        <v>327</v>
      </c>
      <c r="G72" s="39">
        <v>0.13</v>
      </c>
      <c r="H72" s="39">
        <v>0.125</v>
      </c>
      <c r="I72" s="39">
        <v>0.12</v>
      </c>
      <c r="J72" s="39">
        <v>0.12</v>
      </c>
      <c r="M72" s="24"/>
    </row>
    <row r="73" spans="4:13" ht="20.100000000000001" customHeight="1" x14ac:dyDescent="0.25">
      <c r="D73" s="1" t="s">
        <v>140</v>
      </c>
      <c r="E73" s="39" t="s">
        <v>532</v>
      </c>
      <c r="F73" s="39" t="s">
        <v>533</v>
      </c>
      <c r="G73" s="39">
        <v>24</v>
      </c>
      <c r="H73" s="39">
        <v>22</v>
      </c>
      <c r="I73" s="39">
        <v>22</v>
      </c>
      <c r="J73" s="39">
        <v>22</v>
      </c>
      <c r="M73" s="24"/>
    </row>
    <row r="74" spans="4:13" ht="20.100000000000001" customHeight="1" x14ac:dyDescent="0.25">
      <c r="D74" s="1" t="s">
        <v>140</v>
      </c>
      <c r="E74" s="39" t="s">
        <v>534</v>
      </c>
      <c r="F74" s="39" t="s">
        <v>533</v>
      </c>
      <c r="G74" s="39">
        <v>5</v>
      </c>
      <c r="H74" s="39">
        <v>5</v>
      </c>
      <c r="I74" s="39">
        <v>5</v>
      </c>
      <c r="J74" s="39">
        <v>5</v>
      </c>
      <c r="M74" s="24"/>
    </row>
    <row r="75" spans="4:13" ht="20.100000000000001" customHeight="1" x14ac:dyDescent="0.25">
      <c r="D75" s="1" t="s">
        <v>535</v>
      </c>
      <c r="E75" s="39" t="s">
        <v>18</v>
      </c>
      <c r="F75" s="39" t="s">
        <v>327</v>
      </c>
      <c r="G75" s="39">
        <v>0.81</v>
      </c>
      <c r="H75" s="39">
        <v>0.81</v>
      </c>
      <c r="I75" s="39">
        <v>0.81</v>
      </c>
      <c r="J75" s="39">
        <v>0.81</v>
      </c>
      <c r="M75" s="24"/>
    </row>
    <row r="76" spans="4:13" ht="20.100000000000001" customHeight="1" x14ac:dyDescent="0.25">
      <c r="D76" s="1" t="s">
        <v>535</v>
      </c>
      <c r="E76" s="39" t="s">
        <v>132</v>
      </c>
      <c r="F76" s="39" t="s">
        <v>327</v>
      </c>
      <c r="G76" s="39">
        <v>0.13</v>
      </c>
      <c r="H76" s="39">
        <v>0.125</v>
      </c>
      <c r="I76" s="39">
        <v>0.12</v>
      </c>
      <c r="J76" s="39">
        <v>0.12</v>
      </c>
      <c r="M76" s="24"/>
    </row>
    <row r="77" spans="4:13" ht="20.100000000000001" customHeight="1" x14ac:dyDescent="0.25">
      <c r="D77" s="1" t="s">
        <v>535</v>
      </c>
      <c r="E77" s="39" t="s">
        <v>532</v>
      </c>
      <c r="F77" s="39" t="s">
        <v>533</v>
      </c>
      <c r="G77" s="39">
        <v>24</v>
      </c>
      <c r="H77" s="39">
        <v>24</v>
      </c>
      <c r="I77" s="39">
        <v>24</v>
      </c>
      <c r="J77" s="39">
        <v>24</v>
      </c>
      <c r="M77" s="24"/>
    </row>
    <row r="78" spans="4:13" ht="20.100000000000001" customHeight="1" x14ac:dyDescent="0.25">
      <c r="D78" s="1" t="s">
        <v>535</v>
      </c>
      <c r="E78" s="39" t="s">
        <v>534</v>
      </c>
      <c r="F78" s="39" t="s">
        <v>533</v>
      </c>
      <c r="G78" s="39">
        <v>5</v>
      </c>
      <c r="H78" s="39">
        <v>5</v>
      </c>
      <c r="I78" s="39">
        <v>5.5</v>
      </c>
      <c r="J78" s="39">
        <v>5.5</v>
      </c>
      <c r="M78" s="24"/>
    </row>
    <row r="79" spans="4:13" ht="20.100000000000001" customHeight="1" x14ac:dyDescent="0.25">
      <c r="M79" s="24"/>
    </row>
    <row r="80" spans="4:13" ht="20.100000000000001" customHeight="1" x14ac:dyDescent="0.25">
      <c r="M80" s="24"/>
    </row>
    <row r="81" spans="4:14" ht="20.100000000000001" customHeight="1" x14ac:dyDescent="0.25">
      <c r="D81" s="6" t="s">
        <v>536</v>
      </c>
      <c r="M81" s="1"/>
    </row>
    <row r="82" spans="4:14" ht="20.100000000000001" customHeight="1" x14ac:dyDescent="0.25">
      <c r="D82" s="5" t="s">
        <v>537</v>
      </c>
      <c r="M82" s="1"/>
    </row>
    <row r="83" spans="4:14" ht="20.100000000000001" customHeight="1" x14ac:dyDescent="0.25">
      <c r="D83" s="58" t="s">
        <v>523</v>
      </c>
      <c r="M83" s="1"/>
    </row>
    <row r="84" spans="4:14" ht="20.100000000000001" customHeight="1" x14ac:dyDescent="0.25">
      <c r="D84" s="58" t="s">
        <v>538</v>
      </c>
      <c r="M84" s="1"/>
    </row>
    <row r="85" spans="4:14" ht="20.100000000000001" customHeight="1" x14ac:dyDescent="0.25">
      <c r="D85" s="58" t="s">
        <v>539</v>
      </c>
      <c r="M85" s="1"/>
    </row>
    <row r="86" spans="4:14" ht="20.100000000000001" customHeight="1" x14ac:dyDescent="0.25">
      <c r="D86" s="58" t="s">
        <v>540</v>
      </c>
      <c r="M86" s="1"/>
    </row>
    <row r="87" spans="4:14" ht="20.100000000000001" customHeight="1" x14ac:dyDescent="0.25">
      <c r="M87" s="1"/>
    </row>
    <row r="88" spans="4:14" ht="20.100000000000001" customHeight="1" x14ac:dyDescent="0.25">
      <c r="D88" s="39" t="s">
        <v>109</v>
      </c>
      <c r="E88" s="39" t="s">
        <v>104</v>
      </c>
      <c r="F88" s="39" t="s">
        <v>82</v>
      </c>
      <c r="G88" s="39" t="s">
        <v>81</v>
      </c>
      <c r="H88" s="39" t="s">
        <v>84</v>
      </c>
      <c r="I88" s="39" t="s">
        <v>83</v>
      </c>
      <c r="J88" s="39" t="s">
        <v>85</v>
      </c>
      <c r="K88" s="39" t="s">
        <v>87</v>
      </c>
      <c r="L88" s="39" t="s">
        <v>88</v>
      </c>
      <c r="M88" s="39" t="s">
        <v>86</v>
      </c>
      <c r="N88" s="39" t="s">
        <v>98</v>
      </c>
    </row>
    <row r="89" spans="4:14" ht="20.100000000000001" customHeight="1" x14ac:dyDescent="0.25">
      <c r="D89" s="39" t="s">
        <v>541</v>
      </c>
      <c r="E89" s="39" t="s">
        <v>542</v>
      </c>
      <c r="F89" s="39">
        <v>0.01</v>
      </c>
      <c r="G89" s="39">
        <v>0.01</v>
      </c>
      <c r="H89" s="39">
        <v>0.03</v>
      </c>
      <c r="I89" s="39">
        <v>0.03</v>
      </c>
      <c r="J89" s="39">
        <v>0.01</v>
      </c>
      <c r="K89" s="39">
        <v>0.01</v>
      </c>
      <c r="L89" s="39">
        <v>0.01</v>
      </c>
      <c r="M89" s="39">
        <v>0.01</v>
      </c>
      <c r="N89" s="39" t="s">
        <v>100</v>
      </c>
    </row>
    <row r="90" spans="4:14" ht="20.100000000000001" customHeight="1" x14ac:dyDescent="0.25">
      <c r="D90" s="1" t="s">
        <v>543</v>
      </c>
      <c r="E90" s="39" t="s">
        <v>544</v>
      </c>
      <c r="F90" s="39">
        <v>0.02</v>
      </c>
      <c r="G90" s="39">
        <v>0.02</v>
      </c>
      <c r="H90" s="39">
        <v>0.02</v>
      </c>
      <c r="I90" s="39">
        <v>0.02</v>
      </c>
      <c r="J90" s="39">
        <v>0.02</v>
      </c>
      <c r="K90" s="39">
        <v>0.02</v>
      </c>
      <c r="L90" s="39">
        <v>0.02</v>
      </c>
      <c r="M90" s="39">
        <v>0.02</v>
      </c>
      <c r="N90" s="39" t="s">
        <v>340</v>
      </c>
    </row>
    <row r="91" spans="4:14" ht="20.100000000000001" customHeight="1" x14ac:dyDescent="0.25">
      <c r="D91" s="1" t="s">
        <v>543</v>
      </c>
      <c r="E91" s="39" t="s">
        <v>545</v>
      </c>
      <c r="F91" s="39">
        <v>0.01</v>
      </c>
      <c r="G91" s="39">
        <v>0.01</v>
      </c>
      <c r="H91" s="39">
        <v>0.01</v>
      </c>
      <c r="I91" s="39">
        <v>0.01</v>
      </c>
      <c r="J91" s="39">
        <v>0.01</v>
      </c>
      <c r="K91" s="39">
        <v>0.01</v>
      </c>
      <c r="L91" s="39">
        <v>0.01</v>
      </c>
      <c r="M91" s="39">
        <v>0.01</v>
      </c>
      <c r="N91" s="39" t="s">
        <v>339</v>
      </c>
    </row>
    <row r="92" spans="4:14" ht="20.100000000000001" customHeight="1" x14ac:dyDescent="0.25">
      <c r="D92" s="1" t="s">
        <v>543</v>
      </c>
      <c r="E92" s="39" t="s">
        <v>546</v>
      </c>
      <c r="F92" s="39">
        <v>0</v>
      </c>
      <c r="G92" s="39">
        <v>0</v>
      </c>
      <c r="H92" s="39">
        <v>0</v>
      </c>
      <c r="I92" s="39">
        <v>0</v>
      </c>
      <c r="J92" s="39">
        <v>0</v>
      </c>
      <c r="K92" s="39">
        <v>0</v>
      </c>
      <c r="L92" s="39">
        <v>0</v>
      </c>
      <c r="M92" s="39">
        <v>0</v>
      </c>
      <c r="N92" s="39" t="s">
        <v>319</v>
      </c>
    </row>
    <row r="93" spans="4:14" ht="20.100000000000001" customHeight="1" x14ac:dyDescent="0.25">
      <c r="D93" s="1" t="s">
        <v>547</v>
      </c>
      <c r="E93" s="39" t="s">
        <v>548</v>
      </c>
      <c r="F93" s="39">
        <v>0.75</v>
      </c>
      <c r="G93" s="39">
        <v>0.75</v>
      </c>
      <c r="H93" s="39">
        <v>0.77</v>
      </c>
      <c r="I93" s="39">
        <v>0.77</v>
      </c>
      <c r="J93" s="39">
        <v>0.75</v>
      </c>
      <c r="K93" s="39">
        <v>0.75</v>
      </c>
      <c r="L93" s="39">
        <v>0.77</v>
      </c>
      <c r="M93" s="39">
        <v>0.75</v>
      </c>
      <c r="N93" s="39" t="s">
        <v>335</v>
      </c>
    </row>
    <row r="94" spans="4:14" ht="20.100000000000001" customHeight="1" x14ac:dyDescent="0.25">
      <c r="M94" s="24"/>
    </row>
    <row r="95" spans="4:14" ht="20.100000000000001" customHeight="1" x14ac:dyDescent="0.25">
      <c r="M95" s="24"/>
    </row>
    <row r="96" spans="4:14" ht="20.100000000000001" customHeight="1" x14ac:dyDescent="0.25">
      <c r="D96" s="6" t="s">
        <v>549</v>
      </c>
      <c r="M96" s="24"/>
    </row>
    <row r="97" spans="4:14" ht="20.100000000000001" customHeight="1" x14ac:dyDescent="0.25">
      <c r="D97" s="5" t="s">
        <v>550</v>
      </c>
      <c r="M97" s="24"/>
    </row>
    <row r="98" spans="4:14" ht="20.100000000000001" customHeight="1" x14ac:dyDescent="0.25">
      <c r="D98" s="58" t="s">
        <v>523</v>
      </c>
      <c r="M98" s="24"/>
    </row>
    <row r="99" spans="4:14" ht="20.100000000000001" customHeight="1" x14ac:dyDescent="0.25">
      <c r="D99" s="58" t="s">
        <v>551</v>
      </c>
      <c r="M99" s="24"/>
    </row>
    <row r="100" spans="4:14" ht="20.100000000000001" customHeight="1" x14ac:dyDescent="0.25">
      <c r="D100" s="39" t="s">
        <v>109</v>
      </c>
      <c r="E100" s="39" t="s">
        <v>104</v>
      </c>
      <c r="F100" s="39" t="s">
        <v>147</v>
      </c>
      <c r="G100" s="39" t="s">
        <v>98</v>
      </c>
      <c r="M100" s="1"/>
      <c r="N100" s="24"/>
    </row>
    <row r="101" spans="4:14" ht="20.100000000000001" customHeight="1" x14ac:dyDescent="0.25">
      <c r="D101" s="39" t="s">
        <v>541</v>
      </c>
      <c r="E101" s="39" t="s">
        <v>542</v>
      </c>
      <c r="F101" s="39">
        <v>5.4000000000000003E-3</v>
      </c>
      <c r="G101" s="39" t="s">
        <v>100</v>
      </c>
      <c r="M101" s="1"/>
      <c r="N101" s="24"/>
    </row>
    <row r="102" spans="4:14" ht="20.100000000000001" customHeight="1" x14ac:dyDescent="0.25">
      <c r="D102" s="1" t="s">
        <v>543</v>
      </c>
      <c r="E102" s="39" t="s">
        <v>544</v>
      </c>
      <c r="F102" s="39">
        <v>5.0000000000000001E-3</v>
      </c>
      <c r="G102" s="39" t="s">
        <v>340</v>
      </c>
      <c r="M102" s="1"/>
      <c r="N102" s="24"/>
    </row>
    <row r="103" spans="4:14" ht="20.100000000000001" customHeight="1" x14ac:dyDescent="0.25">
      <c r="D103" s="1" t="s">
        <v>543</v>
      </c>
      <c r="E103" s="39" t="s">
        <v>545</v>
      </c>
      <c r="F103" s="39">
        <v>0.01</v>
      </c>
      <c r="G103" s="39" t="s">
        <v>339</v>
      </c>
      <c r="M103" s="24"/>
    </row>
    <row r="104" spans="4:14" ht="20.100000000000001" customHeight="1" x14ac:dyDescent="0.25">
      <c r="D104" s="1" t="s">
        <v>543</v>
      </c>
      <c r="E104" s="39" t="s">
        <v>546</v>
      </c>
      <c r="F104" s="39">
        <v>0</v>
      </c>
      <c r="G104" s="39" t="s">
        <v>319</v>
      </c>
      <c r="M104" s="24"/>
    </row>
    <row r="105" spans="4:14" ht="20.100000000000001" customHeight="1" x14ac:dyDescent="0.25">
      <c r="D105" s="1" t="s">
        <v>547</v>
      </c>
      <c r="E105" s="39" t="s">
        <v>552</v>
      </c>
      <c r="F105" s="39">
        <v>0</v>
      </c>
      <c r="G105" s="39" t="s">
        <v>335</v>
      </c>
      <c r="M105" s="24"/>
    </row>
    <row r="106" spans="4:14" ht="20.100000000000001" customHeight="1" x14ac:dyDescent="0.25">
      <c r="M106" s="24"/>
    </row>
    <row r="107" spans="4:14" ht="20.100000000000001" customHeight="1" x14ac:dyDescent="0.25">
      <c r="M107" s="24"/>
    </row>
    <row r="108" spans="4:14" ht="20.100000000000001" customHeight="1" x14ac:dyDescent="0.25">
      <c r="D108" s="6" t="s">
        <v>553</v>
      </c>
      <c r="M108" s="24"/>
    </row>
    <row r="109" spans="4:14" ht="20.100000000000001" customHeight="1" x14ac:dyDescent="0.25">
      <c r="D109" s="5" t="s">
        <v>554</v>
      </c>
      <c r="M109" s="24"/>
    </row>
    <row r="110" spans="4:14" ht="20.100000000000001" customHeight="1" x14ac:dyDescent="0.25">
      <c r="D110" s="58" t="s">
        <v>523</v>
      </c>
      <c r="M110" s="24"/>
    </row>
    <row r="111" spans="4:14" ht="20.100000000000001" customHeight="1" x14ac:dyDescent="0.25">
      <c r="D111" s="58" t="s">
        <v>551</v>
      </c>
      <c r="M111" s="24"/>
    </row>
    <row r="112" spans="4:14" ht="20.100000000000001" customHeight="1" x14ac:dyDescent="0.25">
      <c r="D112" s="114" t="s">
        <v>109</v>
      </c>
      <c r="E112" s="114" t="s">
        <v>104</v>
      </c>
      <c r="F112" s="114" t="s">
        <v>148</v>
      </c>
      <c r="G112" s="114" t="s">
        <v>98</v>
      </c>
      <c r="M112" s="24"/>
    </row>
    <row r="113" spans="4:22" ht="20.100000000000001" customHeight="1" x14ac:dyDescent="0.25">
      <c r="D113" s="1" t="s">
        <v>541</v>
      </c>
      <c r="E113" s="1" t="s">
        <v>542</v>
      </c>
      <c r="F113" s="1">
        <v>0.6</v>
      </c>
      <c r="G113" s="1" t="s">
        <v>100</v>
      </c>
      <c r="M113" s="24"/>
    </row>
    <row r="114" spans="4:22" ht="20.100000000000001" customHeight="1" x14ac:dyDescent="0.25">
      <c r="D114" s="1" t="s">
        <v>543</v>
      </c>
      <c r="E114" s="1" t="s">
        <v>544</v>
      </c>
      <c r="F114" s="1">
        <v>0.25</v>
      </c>
      <c r="G114" s="1" t="s">
        <v>340</v>
      </c>
      <c r="M114" s="24"/>
    </row>
    <row r="115" spans="4:22" ht="20.100000000000001" customHeight="1" x14ac:dyDescent="0.25">
      <c r="D115" s="1" t="s">
        <v>543</v>
      </c>
      <c r="E115" s="1" t="s">
        <v>545</v>
      </c>
      <c r="F115" s="1">
        <v>0.4</v>
      </c>
      <c r="G115" s="1" t="s">
        <v>339</v>
      </c>
      <c r="M115" s="24"/>
      <c r="V115" s="1"/>
    </row>
    <row r="116" spans="4:22" ht="20.100000000000001" customHeight="1" x14ac:dyDescent="0.25">
      <c r="D116" s="1" t="s">
        <v>543</v>
      </c>
      <c r="E116" s="1" t="s">
        <v>546</v>
      </c>
      <c r="F116" s="1">
        <v>0</v>
      </c>
      <c r="G116" s="1" t="s">
        <v>319</v>
      </c>
      <c r="M116" s="24"/>
      <c r="V116" s="1"/>
    </row>
    <row r="117" spans="4:22" ht="20.100000000000001" customHeight="1" x14ac:dyDescent="0.25">
      <c r="D117" s="1" t="s">
        <v>547</v>
      </c>
      <c r="E117" s="1" t="s">
        <v>548</v>
      </c>
      <c r="F117" s="1">
        <v>0.35</v>
      </c>
      <c r="G117" s="1" t="s">
        <v>335</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76</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555</v>
      </c>
      <c r="BM5" s="3"/>
    </row>
    <row r="6" spans="1:65" ht="20.100000000000001" customHeight="1" x14ac:dyDescent="0.25">
      <c r="A6"/>
      <c r="D6" s="39" t="s">
        <v>21</v>
      </c>
      <c r="E6" s="39" t="s">
        <v>22</v>
      </c>
      <c r="F6" s="39" t="s">
        <v>23</v>
      </c>
    </row>
    <row r="7" spans="1:65" ht="20.100000000000001" customHeight="1" x14ac:dyDescent="0.25">
      <c r="A7"/>
      <c r="D7" s="39" t="s">
        <v>116</v>
      </c>
      <c r="E7" s="39" t="s">
        <v>116</v>
      </c>
      <c r="F7" s="39" t="s">
        <v>82</v>
      </c>
    </row>
    <row r="8" spans="1:65" ht="20.100000000000001" customHeight="1" x14ac:dyDescent="0.25">
      <c r="A8"/>
      <c r="D8" s="39" t="s">
        <v>556</v>
      </c>
      <c r="E8" s="39" t="s">
        <v>81</v>
      </c>
      <c r="F8" s="39" t="s">
        <v>81</v>
      </c>
    </row>
    <row r="9" spans="1:65" ht="20.100000000000001" customHeight="1" x14ac:dyDescent="0.25">
      <c r="A9"/>
      <c r="D9" s="39" t="s">
        <v>557</v>
      </c>
      <c r="E9" s="39" t="s">
        <v>557</v>
      </c>
      <c r="F9" s="39" t="s">
        <v>87</v>
      </c>
    </row>
    <row r="10" spans="1:65" ht="20.100000000000001" customHeight="1" x14ac:dyDescent="0.25">
      <c r="A10"/>
      <c r="D10" s="39" t="s">
        <v>558</v>
      </c>
      <c r="E10" s="39" t="s">
        <v>558</v>
      </c>
      <c r="F10" s="39" t="s">
        <v>84</v>
      </c>
    </row>
    <row r="11" spans="1:65" ht="20.100000000000001" customHeight="1" x14ac:dyDescent="0.25">
      <c r="A11"/>
      <c r="D11" s="39" t="s">
        <v>559</v>
      </c>
      <c r="E11" s="39" t="s">
        <v>559</v>
      </c>
      <c r="F11" s="39" t="s">
        <v>85</v>
      </c>
      <c r="BM11" s="3"/>
    </row>
    <row r="12" spans="1:65" ht="20.100000000000001" customHeight="1" x14ac:dyDescent="0.25">
      <c r="A12"/>
      <c r="D12" s="39" t="s">
        <v>560</v>
      </c>
      <c r="E12" s="39" t="s">
        <v>560</v>
      </c>
      <c r="F12" s="39" t="s">
        <v>88</v>
      </c>
      <c r="BM12" s="3"/>
    </row>
    <row r="13" spans="1:65" ht="20.100000000000001" customHeight="1" x14ac:dyDescent="0.25">
      <c r="A13"/>
      <c r="D13" s="39" t="s">
        <v>561</v>
      </c>
      <c r="E13" s="39" t="s">
        <v>561</v>
      </c>
      <c r="F13" s="39" t="s">
        <v>86</v>
      </c>
    </row>
    <row r="14" spans="1:65" ht="20.100000000000001" customHeight="1" x14ac:dyDescent="0.25">
      <c r="A14"/>
      <c r="D14" s="39" t="s">
        <v>562</v>
      </c>
      <c r="E14" s="39" t="s">
        <v>562</v>
      </c>
      <c r="F14" s="39" t="s">
        <v>83</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563</v>
      </c>
    </row>
    <row r="19" spans="1:4" ht="20.100000000000001" customHeight="1" x14ac:dyDescent="0.25">
      <c r="A19"/>
      <c r="D19" s="5" t="s">
        <v>564</v>
      </c>
    </row>
    <row r="20" spans="1:4" ht="20.100000000000001" customHeight="1" x14ac:dyDescent="0.25">
      <c r="A20"/>
      <c r="D20" s="39" t="s">
        <v>24</v>
      </c>
    </row>
    <row r="21" spans="1:4" ht="20.100000000000001" customHeight="1" x14ac:dyDescent="0.25">
      <c r="A21"/>
      <c r="D21" s="39" t="s">
        <v>565</v>
      </c>
    </row>
    <row r="22" spans="1:4" ht="20.100000000000001" customHeight="1" x14ac:dyDescent="0.25">
      <c r="A22"/>
      <c r="D22" s="39" t="s">
        <v>566</v>
      </c>
    </row>
    <row r="23" spans="1:4" ht="20.100000000000001" customHeight="1" x14ac:dyDescent="0.25">
      <c r="A23"/>
      <c r="D23" s="39" t="s">
        <v>567</v>
      </c>
    </row>
    <row r="24" spans="1:4" ht="20.100000000000001" customHeight="1" x14ac:dyDescent="0.25">
      <c r="A24"/>
      <c r="D24" s="39" t="s">
        <v>568</v>
      </c>
    </row>
    <row r="25" spans="1:4" ht="20.100000000000001" customHeight="1" x14ac:dyDescent="0.25">
      <c r="A25"/>
      <c r="D25" s="39" t="s">
        <v>569</v>
      </c>
    </row>
    <row r="26" spans="1:4" ht="20.100000000000001" customHeight="1" x14ac:dyDescent="0.25">
      <c r="A26"/>
      <c r="D26" s="39" t="s">
        <v>570</v>
      </c>
    </row>
    <row r="27" spans="1:4" ht="20.100000000000001" customHeight="1" x14ac:dyDescent="0.25">
      <c r="A27"/>
      <c r="D27" s="39" t="s">
        <v>571</v>
      </c>
    </row>
    <row r="28" spans="1:4" ht="20.100000000000001" customHeight="1" x14ac:dyDescent="0.25">
      <c r="A28"/>
      <c r="D28" s="39" t="s">
        <v>572</v>
      </c>
    </row>
    <row r="29" spans="1:4" ht="20.100000000000001" customHeight="1" x14ac:dyDescent="0.25">
      <c r="A29"/>
      <c r="D29" s="39" t="s">
        <v>573</v>
      </c>
    </row>
    <row r="30" spans="1:4" ht="20.100000000000001" customHeight="1" x14ac:dyDescent="0.25">
      <c r="A30"/>
      <c r="D30" s="39" t="s">
        <v>33</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574</v>
      </c>
    </row>
    <row r="35" spans="1:8" ht="20.100000000000001" customHeight="1" x14ac:dyDescent="0.25">
      <c r="A35"/>
      <c r="D35" s="5" t="s">
        <v>575</v>
      </c>
    </row>
    <row r="36" spans="1:8" ht="20.100000000000001" customHeight="1" x14ac:dyDescent="0.25">
      <c r="A36"/>
      <c r="D36" s="39" t="s">
        <v>26</v>
      </c>
      <c r="E36" s="39" t="s">
        <v>27</v>
      </c>
    </row>
    <row r="37" spans="1:8" ht="20.100000000000001" customHeight="1" x14ac:dyDescent="0.25">
      <c r="A37"/>
      <c r="D37" s="39" t="s">
        <v>576</v>
      </c>
      <c r="E37" s="39">
        <v>1</v>
      </c>
    </row>
    <row r="38" spans="1:8" ht="20.100000000000001" customHeight="1" x14ac:dyDescent="0.25">
      <c r="A38"/>
      <c r="D38" s="39" t="s">
        <v>577</v>
      </c>
      <c r="E38" s="39">
        <v>28</v>
      </c>
    </row>
    <row r="39" spans="1:8" ht="20.100000000000001" customHeight="1" x14ac:dyDescent="0.25">
      <c r="A39"/>
      <c r="D39" s="39" t="s">
        <v>578</v>
      </c>
      <c r="E39" s="39">
        <v>265</v>
      </c>
    </row>
    <row r="40" spans="1:8" ht="20.100000000000001" customHeight="1" x14ac:dyDescent="0.25">
      <c r="A40"/>
      <c r="D40" s="39" t="s">
        <v>579</v>
      </c>
      <c r="E40" s="39">
        <v>6630</v>
      </c>
    </row>
    <row r="41" spans="1:8" ht="20.100000000000001" customHeight="1" x14ac:dyDescent="0.25">
      <c r="A41"/>
      <c r="D41" s="39" t="s">
        <v>580</v>
      </c>
      <c r="E41" s="39">
        <v>12200</v>
      </c>
    </row>
    <row r="42" spans="1:8" ht="20.100000000000001" customHeight="1" x14ac:dyDescent="0.25">
      <c r="D42" s="39" t="s">
        <v>581</v>
      </c>
      <c r="E42" s="39">
        <v>22800</v>
      </c>
    </row>
    <row r="43" spans="1:8" ht="20.100000000000001" customHeight="1" x14ac:dyDescent="0.25">
      <c r="D43" s="39" t="s">
        <v>582</v>
      </c>
      <c r="E43" s="39">
        <v>17200</v>
      </c>
    </row>
    <row r="44" spans="1:8" ht="20.100000000000001" customHeight="1" x14ac:dyDescent="0.25"/>
    <row r="45" spans="1:8" ht="20.100000000000001" customHeight="1" x14ac:dyDescent="0.25">
      <c r="D45" s="6" t="s">
        <v>583</v>
      </c>
    </row>
    <row r="46" spans="1:8" ht="20.100000000000001" customHeight="1" x14ac:dyDescent="0.25">
      <c r="D46" s="5" t="s">
        <v>575</v>
      </c>
    </row>
    <row r="47" spans="1:8" ht="20.100000000000001" customHeight="1" x14ac:dyDescent="0.25">
      <c r="D47" s="39" t="s">
        <v>26</v>
      </c>
      <c r="E47" s="39" t="s">
        <v>29</v>
      </c>
      <c r="F47" s="39" t="s">
        <v>30</v>
      </c>
      <c r="G47" s="39" t="s">
        <v>31</v>
      </c>
      <c r="H47" s="39" t="s">
        <v>32</v>
      </c>
    </row>
    <row r="48" spans="1:8" ht="20.100000000000001" customHeight="1" x14ac:dyDescent="0.25">
      <c r="D48" s="39" t="s">
        <v>576</v>
      </c>
      <c r="E48" s="39" t="s">
        <v>584</v>
      </c>
      <c r="F48" s="39">
        <v>44</v>
      </c>
      <c r="G48" s="39">
        <v>12</v>
      </c>
      <c r="H48" s="39">
        <f>Table_GasToMolecularConversionFactor[[#This Row],[Conversion factor 1]]/Table_GasToMolecularConversionFactor[[#This Row],[Conversion factor 2]]</f>
        <v>3.6666666666666665</v>
      </c>
    </row>
    <row r="49" spans="4:8" ht="20.100000000000001" customHeight="1" x14ac:dyDescent="0.25">
      <c r="D49" s="39" t="s">
        <v>577</v>
      </c>
      <c r="E49" s="39" t="s">
        <v>585</v>
      </c>
      <c r="F49" s="39">
        <v>16</v>
      </c>
      <c r="G49" s="39">
        <v>12</v>
      </c>
      <c r="H49" s="39">
        <f>Table_GasToMolecularConversionFactor[[#This Row],[Conversion factor 1]]/Table_GasToMolecularConversionFactor[[#This Row],[Conversion factor 2]]</f>
        <v>1.3333333333333333</v>
      </c>
    </row>
    <row r="50" spans="4:8" ht="20.100000000000001" customHeight="1" x14ac:dyDescent="0.25">
      <c r="D50" s="39" t="s">
        <v>578</v>
      </c>
      <c r="E50" s="39" t="s">
        <v>586</v>
      </c>
      <c r="F50" s="39">
        <v>44</v>
      </c>
      <c r="G50" s="39">
        <v>28</v>
      </c>
      <c r="H50" s="39">
        <f>Table_GasToMolecularConversionFactor[[#This Row],[Conversion factor 1]]/Table_GasToMolecularConversionFactor[[#This Row],[Conversion factor 2]]</f>
        <v>1.5714285714285714</v>
      </c>
    </row>
    <row r="51" spans="4:8" ht="20.100000000000001" customHeight="1" x14ac:dyDescent="0.25">
      <c r="D51" s="39" t="s">
        <v>587</v>
      </c>
      <c r="E51" s="39" t="s">
        <v>588</v>
      </c>
      <c r="F51" s="39">
        <v>46</v>
      </c>
      <c r="G51" s="39">
        <v>14</v>
      </c>
      <c r="H51" s="39">
        <f>Table_GasToMolecularConversionFactor[[#This Row],[Conversion factor 1]]/Table_GasToMolecularConversionFactor[[#This Row],[Conversion factor 2]]</f>
        <v>3.2857142857142856</v>
      </c>
    </row>
    <row r="52" spans="4:8" ht="20.100000000000001" customHeight="1" x14ac:dyDescent="0.25">
      <c r="D52" s="39" t="s">
        <v>589</v>
      </c>
      <c r="E52" s="39" t="s">
        <v>590</v>
      </c>
      <c r="F52" s="39">
        <v>28</v>
      </c>
      <c r="G52" s="39">
        <v>12</v>
      </c>
      <c r="H52" s="39">
        <f>Table_GasToMolecularConversionFactor[[#This Row],[Conversion factor 1]]/Table_GasToMolecularConversionFactor[[#This Row],[Conversion factor 2]]</f>
        <v>2.3333333333333335</v>
      </c>
    </row>
    <row r="53" spans="4:8" ht="20.100000000000001" customHeight="1" x14ac:dyDescent="0.25">
      <c r="D53" s="39" t="s">
        <v>591</v>
      </c>
      <c r="E53" s="39" t="s">
        <v>584</v>
      </c>
      <c r="F53" s="39">
        <v>44</v>
      </c>
      <c r="G53" s="39">
        <v>12</v>
      </c>
      <c r="H53" s="39">
        <f>Table_GasToMolecularConversionFactor[[#This Row],[Conversion factor 1]]/Table_GasToMolecularConversionFactor[[#This Row],[Conversion factor 2]]</f>
        <v>3.6666666666666665</v>
      </c>
    </row>
    <row r="54" spans="4:8" ht="20.100000000000001" customHeight="1" x14ac:dyDescent="0.25">
      <c r="D54" s="39" t="s">
        <v>592</v>
      </c>
      <c r="E54" s="39" t="s">
        <v>593</v>
      </c>
      <c r="F54" s="39">
        <v>14</v>
      </c>
      <c r="G54" s="39">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594</v>
      </c>
    </row>
    <row r="58" spans="4:8" ht="20.100000000000001" customHeight="1" x14ac:dyDescent="0.25">
      <c r="D58" s="5" t="s">
        <v>595</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47</v>
      </c>
    </row>
    <row r="64" spans="4:8" ht="20.100000000000001" customHeight="1" x14ac:dyDescent="0.25">
      <c r="D64" s="39" t="s">
        <v>596</v>
      </c>
      <c r="E64" s="39" t="s">
        <v>597</v>
      </c>
    </row>
    <row r="65" spans="4:5" ht="20.100000000000001" customHeight="1" x14ac:dyDescent="0.25">
      <c r="D65" s="39" t="s">
        <v>598</v>
      </c>
      <c r="E65" s="39" t="s">
        <v>597</v>
      </c>
    </row>
    <row r="66" spans="4:5" ht="20.100000000000001" customHeight="1" x14ac:dyDescent="0.25">
      <c r="D66" s="39" t="s">
        <v>599</v>
      </c>
      <c r="E66" s="39" t="s">
        <v>597</v>
      </c>
    </row>
    <row r="67" spans="4:5" ht="20.100000000000001" customHeight="1" x14ac:dyDescent="0.25">
      <c r="D67" s="39" t="s">
        <v>600</v>
      </c>
      <c r="E67" s="39" t="s">
        <v>601</v>
      </c>
    </row>
    <row r="68" spans="4:5" ht="20.100000000000001" customHeight="1" x14ac:dyDescent="0.25">
      <c r="D68" s="39" t="s">
        <v>602</v>
      </c>
      <c r="E68" s="39" t="s">
        <v>597</v>
      </c>
    </row>
    <row r="69" spans="4:5" ht="20.100000000000001" customHeight="1" x14ac:dyDescent="0.25">
      <c r="D69" s="39" t="s">
        <v>603</v>
      </c>
      <c r="E69" s="39" t="s">
        <v>601</v>
      </c>
    </row>
    <row r="70" spans="4:5" ht="20.100000000000001" customHeight="1" x14ac:dyDescent="0.25">
      <c r="D70" s="39" t="s">
        <v>604</v>
      </c>
      <c r="E70" s="39" t="s">
        <v>597</v>
      </c>
    </row>
    <row r="71" spans="4:5" ht="20.100000000000001" customHeight="1" x14ac:dyDescent="0.25">
      <c r="D71" s="39" t="s">
        <v>605</v>
      </c>
      <c r="E71" s="39" t="s">
        <v>601</v>
      </c>
    </row>
    <row r="72" spans="4:5" ht="20.100000000000001" customHeight="1" x14ac:dyDescent="0.25">
      <c r="D72" s="39" t="s">
        <v>606</v>
      </c>
      <c r="E72" s="39" t="s">
        <v>597</v>
      </c>
    </row>
    <row r="73" spans="4:5" ht="20.100000000000001" customHeight="1" x14ac:dyDescent="0.25">
      <c r="D73" s="39" t="s">
        <v>607</v>
      </c>
      <c r="E73" s="39" t="s">
        <v>601</v>
      </c>
    </row>
    <row r="74" spans="4:5" ht="20.100000000000001" customHeight="1" x14ac:dyDescent="0.25">
      <c r="D74" s="39" t="s">
        <v>608</v>
      </c>
      <c r="E74" s="39" t="s">
        <v>597</v>
      </c>
    </row>
    <row r="75" spans="4:5" ht="20.100000000000001" customHeight="1" x14ac:dyDescent="0.25">
      <c r="D75" s="39" t="s">
        <v>609</v>
      </c>
      <c r="E75" s="39" t="s">
        <v>601</v>
      </c>
    </row>
    <row r="76" spans="4:5" ht="20.100000000000001" customHeight="1" x14ac:dyDescent="0.25">
      <c r="D76" s="39" t="s">
        <v>610</v>
      </c>
      <c r="E76" s="39" t="s">
        <v>597</v>
      </c>
    </row>
    <row r="77" spans="4:5" ht="20.100000000000001" customHeight="1" x14ac:dyDescent="0.25">
      <c r="D77" s="39" t="s">
        <v>611</v>
      </c>
      <c r="E77" s="39" t="s">
        <v>601</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612</v>
      </c>
    </row>
    <row r="82" spans="4:20" ht="20.100000000000001" customHeight="1" x14ac:dyDescent="0.25">
      <c r="D82" s="5" t="s">
        <v>613</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
        <v>596</v>
      </c>
      <c r="E90" s="39" t="s">
        <v>614</v>
      </c>
      <c r="F90" s="39" t="s">
        <v>615</v>
      </c>
      <c r="G90" s="39" t="s">
        <v>616</v>
      </c>
      <c r="H90" s="39" t="s">
        <v>617</v>
      </c>
      <c r="I90" s="39" t="s">
        <v>615</v>
      </c>
      <c r="J90" s="39">
        <v>18.001000000000001</v>
      </c>
      <c r="K90" s="39">
        <v>999999</v>
      </c>
      <c r="L90" s="39">
        <v>-999999</v>
      </c>
      <c r="M90" s="39">
        <v>999999</v>
      </c>
      <c r="N90" s="39">
        <v>-999999</v>
      </c>
      <c r="O90" s="39">
        <v>7</v>
      </c>
      <c r="P90" s="39">
        <v>1000</v>
      </c>
      <c r="Q90" s="39">
        <v>999999</v>
      </c>
      <c r="R90" s="39">
        <v>-999999</v>
      </c>
      <c r="S90" s="39">
        <v>999999</v>
      </c>
      <c r="T90" s="39"/>
    </row>
    <row r="91" spans="4:20" ht="20.100000000000001" customHeight="1" x14ac:dyDescent="0.25">
      <c r="D91" s="39" t="s">
        <v>598</v>
      </c>
      <c r="E91" s="39" t="s">
        <v>614</v>
      </c>
      <c r="F91" s="39" t="s">
        <v>618</v>
      </c>
      <c r="G91" s="39" t="s">
        <v>616</v>
      </c>
      <c r="H91" s="39" t="s">
        <v>619</v>
      </c>
      <c r="I91" s="39" t="s">
        <v>615</v>
      </c>
      <c r="J91" s="39">
        <v>18.001000000000001</v>
      </c>
      <c r="K91" s="39">
        <v>999999</v>
      </c>
      <c r="L91" s="39">
        <v>2000.001</v>
      </c>
      <c r="M91" s="39">
        <v>999999</v>
      </c>
      <c r="N91" s="39">
        <v>-999999</v>
      </c>
      <c r="O91" s="39">
        <v>7</v>
      </c>
      <c r="P91" s="39">
        <v>-999999</v>
      </c>
      <c r="Q91" s="39">
        <v>999.99900000000002</v>
      </c>
      <c r="R91" s="39">
        <v>-999999</v>
      </c>
      <c r="S91" s="39">
        <v>999999</v>
      </c>
      <c r="T91" s="39"/>
    </row>
    <row r="92" spans="4:20" ht="20.100000000000001" customHeight="1" x14ac:dyDescent="0.25">
      <c r="D92" s="39" t="s">
        <v>599</v>
      </c>
      <c r="E92" s="39" t="s">
        <v>614</v>
      </c>
      <c r="F92" s="39" t="s">
        <v>620</v>
      </c>
      <c r="G92" s="39" t="s">
        <v>616</v>
      </c>
      <c r="H92" s="39" t="s">
        <v>619</v>
      </c>
      <c r="I92" s="39" t="s">
        <v>615</v>
      </c>
      <c r="J92" s="39">
        <v>18.001000000000001</v>
      </c>
      <c r="K92" s="39">
        <v>999999</v>
      </c>
      <c r="L92" s="39">
        <v>1000.001</v>
      </c>
      <c r="M92" s="39">
        <v>2000</v>
      </c>
      <c r="N92" s="39">
        <v>-999999</v>
      </c>
      <c r="O92" s="39">
        <v>7</v>
      </c>
      <c r="P92" s="39">
        <v>-999999</v>
      </c>
      <c r="Q92" s="39">
        <v>999.99900000000002</v>
      </c>
      <c r="R92" s="39">
        <v>-999999</v>
      </c>
      <c r="S92" s="39">
        <v>999999</v>
      </c>
      <c r="T92" s="39"/>
    </row>
    <row r="93" spans="4:20" ht="20.100000000000001" customHeight="1" x14ac:dyDescent="0.25">
      <c r="D93" s="39" t="s">
        <v>600</v>
      </c>
      <c r="E93" s="39" t="s">
        <v>614</v>
      </c>
      <c r="F93" s="39" t="s">
        <v>621</v>
      </c>
      <c r="G93" s="39" t="s">
        <v>616</v>
      </c>
      <c r="H93" s="39" t="s">
        <v>619</v>
      </c>
      <c r="I93" s="39" t="s">
        <v>615</v>
      </c>
      <c r="J93" s="39">
        <v>18.001000000000001</v>
      </c>
      <c r="K93" s="39">
        <v>999999</v>
      </c>
      <c r="L93" s="39">
        <v>-999999</v>
      </c>
      <c r="M93" s="39">
        <v>1000</v>
      </c>
      <c r="N93" s="39">
        <v>-999999</v>
      </c>
      <c r="O93" s="39">
        <v>7</v>
      </c>
      <c r="P93" s="39">
        <v>-999999</v>
      </c>
      <c r="Q93" s="39">
        <v>999.99900000000002</v>
      </c>
      <c r="R93" s="39">
        <v>-999999</v>
      </c>
      <c r="S93" s="39">
        <v>999999</v>
      </c>
      <c r="T93" s="39"/>
    </row>
    <row r="94" spans="4:20" ht="20.100000000000001" customHeight="1" x14ac:dyDescent="0.25">
      <c r="D94" s="39" t="s">
        <v>602</v>
      </c>
      <c r="E94" s="39" t="s">
        <v>622</v>
      </c>
      <c r="F94" s="39" t="s">
        <v>615</v>
      </c>
      <c r="G94" s="39" t="s">
        <v>615</v>
      </c>
      <c r="H94" s="39" t="s">
        <v>615</v>
      </c>
      <c r="I94" s="39" t="s">
        <v>623</v>
      </c>
      <c r="J94" s="39">
        <v>10.000999999999999</v>
      </c>
      <c r="K94" s="39">
        <v>999999</v>
      </c>
      <c r="L94" s="39">
        <v>-999999</v>
      </c>
      <c r="M94" s="39">
        <v>999999</v>
      </c>
      <c r="N94" s="39">
        <v>-999999</v>
      </c>
      <c r="O94" s="39">
        <v>999999</v>
      </c>
      <c r="P94" s="39">
        <v>-999999</v>
      </c>
      <c r="Q94" s="39">
        <v>999999</v>
      </c>
      <c r="R94" s="39">
        <v>1.0009999999999999</v>
      </c>
      <c r="S94" s="39">
        <v>999999</v>
      </c>
      <c r="T94" s="39"/>
    </row>
    <row r="95" spans="4:20" ht="20.100000000000001" customHeight="1" x14ac:dyDescent="0.25">
      <c r="D95" s="39" t="s">
        <v>603</v>
      </c>
      <c r="E95" s="39" t="s">
        <v>622</v>
      </c>
      <c r="F95" s="39" t="s">
        <v>615</v>
      </c>
      <c r="G95" s="39" t="s">
        <v>615</v>
      </c>
      <c r="H95" s="39" t="s">
        <v>615</v>
      </c>
      <c r="I95" s="39" t="s">
        <v>624</v>
      </c>
      <c r="J95" s="39">
        <v>10.000999999999999</v>
      </c>
      <c r="K95" s="39">
        <v>999999</v>
      </c>
      <c r="L95" s="39">
        <v>-999999</v>
      </c>
      <c r="M95" s="39">
        <v>999999</v>
      </c>
      <c r="N95" s="39">
        <v>-999999</v>
      </c>
      <c r="O95" s="39">
        <v>999999</v>
      </c>
      <c r="P95" s="39">
        <v>-999999</v>
      </c>
      <c r="Q95" s="39">
        <v>999999</v>
      </c>
      <c r="R95" s="39">
        <v>-999999</v>
      </c>
      <c r="S95" s="39">
        <v>1</v>
      </c>
      <c r="T95" s="39"/>
    </row>
    <row r="96" spans="4:20" ht="20.100000000000001" customHeight="1" x14ac:dyDescent="0.25">
      <c r="D96" s="39" t="s">
        <v>604</v>
      </c>
      <c r="E96" s="39" t="s">
        <v>625</v>
      </c>
      <c r="F96" s="39" t="s">
        <v>615</v>
      </c>
      <c r="G96" s="39" t="s">
        <v>615</v>
      </c>
      <c r="H96" s="39" t="s">
        <v>615</v>
      </c>
      <c r="I96" s="39" t="s">
        <v>623</v>
      </c>
      <c r="J96" s="39">
        <v>-999999</v>
      </c>
      <c r="K96" s="39">
        <v>10</v>
      </c>
      <c r="L96" s="39">
        <v>-999999</v>
      </c>
      <c r="M96" s="39">
        <v>999999</v>
      </c>
      <c r="N96" s="39">
        <v>-999999</v>
      </c>
      <c r="O96" s="39">
        <v>999999</v>
      </c>
      <c r="P96" s="39">
        <v>-999999</v>
      </c>
      <c r="Q96" s="39">
        <v>999999</v>
      </c>
      <c r="R96" s="39">
        <v>1.0009999999999999</v>
      </c>
      <c r="S96" s="39">
        <v>999999</v>
      </c>
      <c r="T96" s="39"/>
    </row>
    <row r="97" spans="4:20" ht="20.100000000000001" customHeight="1" x14ac:dyDescent="0.25">
      <c r="D97" s="39" t="s">
        <v>605</v>
      </c>
      <c r="E97" s="39" t="s">
        <v>625</v>
      </c>
      <c r="F97" s="39" t="s">
        <v>615</v>
      </c>
      <c r="G97" s="39" t="s">
        <v>615</v>
      </c>
      <c r="H97" s="39" t="s">
        <v>615</v>
      </c>
      <c r="I97" s="39" t="s">
        <v>624</v>
      </c>
      <c r="J97" s="39">
        <v>-999999</v>
      </c>
      <c r="K97" s="39">
        <v>10</v>
      </c>
      <c r="L97" s="39">
        <v>-999999</v>
      </c>
      <c r="M97" s="39">
        <v>999999</v>
      </c>
      <c r="N97" s="39">
        <v>-999999</v>
      </c>
      <c r="O97" s="39">
        <v>999999</v>
      </c>
      <c r="P97" s="39">
        <v>-999999</v>
      </c>
      <c r="Q97" s="39">
        <v>999999</v>
      </c>
      <c r="R97" s="39">
        <v>-999999</v>
      </c>
      <c r="S97" s="39">
        <v>1</v>
      </c>
      <c r="T97" s="39"/>
    </row>
    <row r="98" spans="4:20" ht="20.100000000000001" customHeight="1" x14ac:dyDescent="0.25"/>
    <row r="99" spans="4:20" ht="20.100000000000001" customHeight="1" x14ac:dyDescent="0.25">
      <c r="D99" s="57" t="s">
        <v>626</v>
      </c>
    </row>
    <row r="100" spans="4:20" ht="20.100000000000001" customHeight="1" x14ac:dyDescent="0.25">
      <c r="D100" s="57" t="s">
        <v>627</v>
      </c>
    </row>
    <row r="101" spans="4:20" ht="20.100000000000001" customHeight="1" x14ac:dyDescent="0.25">
      <c r="D101" s="57" t="s">
        <v>628</v>
      </c>
    </row>
    <row r="102" spans="4:20" ht="20.100000000000001" customHeight="1" x14ac:dyDescent="0.25">
      <c r="D102" s="57" t="s">
        <v>629</v>
      </c>
    </row>
    <row r="103" spans="4:20" ht="20.100000000000001" customHeight="1" x14ac:dyDescent="0.25">
      <c r="D103" s="57"/>
    </row>
    <row r="104" spans="4:20" ht="20.100000000000001" customHeight="1" x14ac:dyDescent="0.25"/>
    <row r="105" spans="4:20" ht="20.100000000000001" customHeight="1" x14ac:dyDescent="0.25">
      <c r="D105" s="6" t="s">
        <v>630</v>
      </c>
    </row>
    <row r="106" spans="4:20" ht="20.100000000000001" customHeight="1" x14ac:dyDescent="0.25">
      <c r="D106" s="5" t="s">
        <v>613</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
        <v>631</v>
      </c>
      <c r="E110" s="39" t="s">
        <v>632</v>
      </c>
      <c r="F110" s="39">
        <v>26</v>
      </c>
      <c r="G110" s="39">
        <v>999999</v>
      </c>
    </row>
    <row r="111" spans="4:20" ht="20.100000000000001" customHeight="1" x14ac:dyDescent="0.25">
      <c r="D111" s="39" t="s">
        <v>633</v>
      </c>
      <c r="E111" s="39" t="s">
        <v>634</v>
      </c>
      <c r="F111" s="39">
        <v>15</v>
      </c>
      <c r="G111" s="39">
        <v>25.998999999999999</v>
      </c>
    </row>
    <row r="112" spans="4:20" ht="20.100000000000001" customHeight="1" x14ac:dyDescent="0.25">
      <c r="D112" s="39" t="s">
        <v>635</v>
      </c>
      <c r="E112" s="39" t="s">
        <v>636</v>
      </c>
      <c r="F112" s="39">
        <v>-999999</v>
      </c>
      <c r="G112" s="39">
        <v>14.999000000000001</v>
      </c>
    </row>
    <row r="113" spans="4:66" ht="20.100000000000001" customHeight="1" x14ac:dyDescent="0.25"/>
    <row r="114" spans="4:66" ht="20.100000000000001" customHeight="1" x14ac:dyDescent="0.25"/>
    <row r="115" spans="4:66" ht="20.100000000000001" customHeight="1" x14ac:dyDescent="0.25">
      <c r="D115" s="6" t="s">
        <v>637</v>
      </c>
      <c r="BN115" s="7"/>
    </row>
    <row r="116" spans="4:66" ht="20.100000000000001" customHeight="1" x14ac:dyDescent="0.25">
      <c r="D116" s="5" t="s">
        <v>613</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
        <v>638</v>
      </c>
      <c r="E120" s="39" t="s">
        <v>639</v>
      </c>
      <c r="F120" s="39">
        <v>600.00099999999998</v>
      </c>
      <c r="G120" s="39">
        <v>999999</v>
      </c>
      <c r="BN120" s="7"/>
    </row>
    <row r="121" spans="4:66" ht="20.100000000000001" customHeight="1" x14ac:dyDescent="0.25">
      <c r="D121" s="39" t="s">
        <v>640</v>
      </c>
      <c r="E121" s="39" t="s">
        <v>641</v>
      </c>
      <c r="F121" s="39">
        <v>-999999</v>
      </c>
      <c r="G121" s="39">
        <v>600</v>
      </c>
      <c r="BN121" s="7"/>
    </row>
    <row r="122" spans="4:66" ht="20.100000000000001" customHeight="1" x14ac:dyDescent="0.25">
      <c r="BN122" s="7"/>
    </row>
    <row r="123" spans="4:66" ht="20.100000000000001" customHeight="1" x14ac:dyDescent="0.25"/>
    <row r="124" spans="4:66" ht="20.100000000000001" customHeight="1" x14ac:dyDescent="0.25">
      <c r="D124" s="6" t="s">
        <v>642</v>
      </c>
    </row>
    <row r="125" spans="4:66" ht="20.100000000000001" customHeight="1" x14ac:dyDescent="0.25">
      <c r="D125" s="5" t="s">
        <v>613</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
        <v>643</v>
      </c>
      <c r="E128" s="39" t="s">
        <v>644</v>
      </c>
    </row>
    <row r="129" spans="4:77" ht="20.100000000000001" customHeight="1" x14ac:dyDescent="0.25">
      <c r="D129" s="39" t="s">
        <v>645</v>
      </c>
      <c r="E129" s="39" t="s">
        <v>646</v>
      </c>
    </row>
    <row r="130" spans="4:77" ht="20.100000000000001" customHeight="1" x14ac:dyDescent="0.25"/>
    <row r="131" spans="4:77" ht="20.100000000000001" customHeight="1" x14ac:dyDescent="0.25"/>
    <row r="132" spans="4:77" ht="20.100000000000001" customHeight="1" x14ac:dyDescent="0.25">
      <c r="D132" s="6" t="s">
        <v>647</v>
      </c>
      <c r="E132" s="24"/>
    </row>
    <row r="133" spans="4:77" ht="20.100000000000001" customHeight="1" x14ac:dyDescent="0.25">
      <c r="D133" s="5" t="s">
        <v>648</v>
      </c>
      <c r="E133" s="24"/>
    </row>
    <row r="134" spans="4:77" ht="20.100000000000001" customHeight="1" x14ac:dyDescent="0.25">
      <c r="D134" t="s">
        <v>92</v>
      </c>
      <c r="E134" t="s">
        <v>93</v>
      </c>
    </row>
    <row r="135" spans="4:77" ht="20.100000000000001" customHeight="1" x14ac:dyDescent="0.25">
      <c r="D135" t="s">
        <v>649</v>
      </c>
      <c r="E135">
        <v>1</v>
      </c>
    </row>
    <row r="136" spans="4:77" ht="20.100000000000001" customHeight="1" x14ac:dyDescent="0.25">
      <c r="D136" s="1" t="s">
        <v>650</v>
      </c>
      <c r="E136" s="39">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651</v>
      </c>
      <c r="BN139" s="7"/>
      <c r="BO139" s="7"/>
      <c r="BP139" s="7"/>
      <c r="BQ139" s="7"/>
      <c r="BR139" s="7"/>
      <c r="BS139" s="7"/>
      <c r="BT139" s="7"/>
      <c r="BU139" s="7"/>
      <c r="BV139" s="7"/>
      <c r="BW139" s="7"/>
      <c r="BX139" s="7"/>
      <c r="BY139" s="7"/>
    </row>
    <row r="140" spans="4:77" ht="20.100000000000001" customHeight="1" x14ac:dyDescent="0.25">
      <c r="D140" s="5" t="s">
        <v>652</v>
      </c>
      <c r="BN140" s="7"/>
      <c r="BO140" s="7"/>
      <c r="BP140" s="7"/>
      <c r="BQ140" s="7"/>
      <c r="BR140" s="7"/>
      <c r="BS140" s="7"/>
      <c r="BT140" s="7"/>
      <c r="BU140" s="7"/>
      <c r="BV140" s="7"/>
      <c r="BW140" s="7"/>
      <c r="BX140" s="7"/>
      <c r="BY140" s="7"/>
    </row>
    <row r="141" spans="4:77" ht="20.100000000000001" customHeight="1" x14ac:dyDescent="0.25">
      <c r="D141" s="58" t="s">
        <v>653</v>
      </c>
      <c r="BN141" s="7"/>
    </row>
    <row r="142" spans="4:77" ht="20.100000000000001" customHeight="1" x14ac:dyDescent="0.25">
      <c r="D142" s="39" t="s">
        <v>301</v>
      </c>
      <c r="E142" s="39" t="s">
        <v>93</v>
      </c>
      <c r="BN142" s="7"/>
    </row>
    <row r="143" spans="4:77" ht="20.100000000000001" customHeight="1" x14ac:dyDescent="0.25">
      <c r="D143" s="39" t="s">
        <v>277</v>
      </c>
      <c r="E143" s="39">
        <v>0</v>
      </c>
      <c r="BN143" s="7"/>
    </row>
    <row r="144" spans="4:77" ht="20.100000000000001" customHeight="1" x14ac:dyDescent="0.25">
      <c r="D144" s="1" t="s">
        <v>278</v>
      </c>
      <c r="E144" s="39">
        <v>0</v>
      </c>
      <c r="BN144" s="7"/>
    </row>
    <row r="145" spans="4:66" ht="20.100000000000001" customHeight="1" x14ac:dyDescent="0.25">
      <c r="D145" s="1" t="s">
        <v>279</v>
      </c>
      <c r="E145" s="39">
        <v>1</v>
      </c>
      <c r="BN145" s="7"/>
    </row>
    <row r="146" spans="4:66" ht="20.100000000000001" customHeight="1" x14ac:dyDescent="0.25">
      <c r="D146" s="1" t="s">
        <v>280</v>
      </c>
      <c r="E146" s="39">
        <v>1</v>
      </c>
      <c r="BN146" s="7"/>
    </row>
    <row r="147" spans="4:66" ht="20.100000000000001" customHeight="1" x14ac:dyDescent="0.25">
      <c r="D147" s="1" t="s">
        <v>281</v>
      </c>
      <c r="E147" s="39">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654</v>
      </c>
      <c r="BN150" s="7"/>
    </row>
    <row r="151" spans="4:66" ht="20.100000000000001" customHeight="1" x14ac:dyDescent="0.25">
      <c r="D151" s="5" t="s">
        <v>655</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
        <v>656</v>
      </c>
      <c r="E154" s="39">
        <v>1</v>
      </c>
      <c r="BC154" s="3"/>
      <c r="BD154" s="3"/>
      <c r="BE154" s="3"/>
      <c r="BF154" s="3"/>
      <c r="BG154" s="3"/>
      <c r="BH154" s="3"/>
      <c r="BI154" s="3"/>
      <c r="BJ154" s="3"/>
      <c r="BK154" s="3"/>
      <c r="BL154" s="3"/>
      <c r="BM154" s="3"/>
    </row>
    <row r="155" spans="4:66" ht="20.100000000000001" customHeight="1" x14ac:dyDescent="0.25">
      <c r="D155" s="39" t="s">
        <v>657</v>
      </c>
      <c r="E155" s="39">
        <v>2</v>
      </c>
      <c r="BC155" s="3"/>
      <c r="BD155" s="3"/>
      <c r="BE155" s="3"/>
      <c r="BF155" s="3"/>
      <c r="BG155" s="3"/>
      <c r="BH155" s="3"/>
      <c r="BI155" s="3"/>
      <c r="BJ155" s="3"/>
      <c r="BK155" s="3"/>
      <c r="BL155" s="3"/>
      <c r="BM155" s="3"/>
    </row>
    <row r="156" spans="4:66" ht="20.100000000000001" customHeight="1" x14ac:dyDescent="0.25">
      <c r="D156" s="39" t="s">
        <v>658</v>
      </c>
      <c r="E156" s="39">
        <v>3</v>
      </c>
    </row>
    <row r="157" spans="4:66" ht="20.100000000000001" customHeight="1" x14ac:dyDescent="0.25">
      <c r="D157" s="39" t="s">
        <v>659</v>
      </c>
      <c r="E157" s="39">
        <v>4</v>
      </c>
    </row>
    <row r="158" spans="4:66" ht="20.100000000000001" customHeight="1" x14ac:dyDescent="0.25">
      <c r="D158" s="39" t="s">
        <v>660</v>
      </c>
      <c r="E158" s="39">
        <v>5</v>
      </c>
    </row>
    <row r="159" spans="4:66" ht="20.100000000000001" customHeight="1" x14ac:dyDescent="0.25"/>
    <row r="160" spans="4:66" ht="20.100000000000001" customHeight="1" x14ac:dyDescent="0.25"/>
    <row r="161" spans="4:68" ht="20.100000000000001" customHeight="1" x14ac:dyDescent="0.25">
      <c r="D161" s="6" t="s">
        <v>647</v>
      </c>
      <c r="E161" s="24"/>
    </row>
    <row r="162" spans="4:68" ht="20.100000000000001" customHeight="1" x14ac:dyDescent="0.25">
      <c r="D162" s="5" t="s">
        <v>648</v>
      </c>
      <c r="E162" s="24"/>
    </row>
    <row r="163" spans="4:68" ht="20.100000000000001" customHeight="1" x14ac:dyDescent="0.25">
      <c r="D163" s="5" t="s">
        <v>661</v>
      </c>
      <c r="E163" s="24"/>
    </row>
    <row r="164" spans="4:68" ht="20.100000000000001" customHeight="1" x14ac:dyDescent="0.25">
      <c r="D164" s="24" t="s">
        <v>662</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663</v>
      </c>
      <c r="BN167" s="7"/>
      <c r="BO167" s="7"/>
      <c r="BP167" s="7"/>
    </row>
    <row r="168" spans="4:68" ht="20.100000000000001" customHeight="1" x14ac:dyDescent="0.25">
      <c r="D168" s="5" t="s">
        <v>648</v>
      </c>
      <c r="BN168" s="7"/>
      <c r="BO168" s="7"/>
      <c r="BP168" s="7"/>
    </row>
    <row r="169" spans="4:68" ht="20.100000000000001" customHeight="1" x14ac:dyDescent="0.25">
      <c r="D169" s="5" t="s">
        <v>664</v>
      </c>
      <c r="BN169" s="7"/>
      <c r="BO169" s="7"/>
      <c r="BP169" s="7"/>
    </row>
    <row r="170" spans="4:68" ht="20.100000000000001" customHeight="1" x14ac:dyDescent="0.25">
      <c r="D170" s="1" t="s">
        <v>665</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666</v>
      </c>
      <c r="BN173" s="7"/>
      <c r="BO173" s="7"/>
      <c r="BP173" s="7"/>
    </row>
    <row r="174" spans="4:68" ht="20.100000000000001" customHeight="1" x14ac:dyDescent="0.25">
      <c r="D174" s="5" t="s">
        <v>667</v>
      </c>
      <c r="BN174" s="7"/>
      <c r="BO174" s="7"/>
      <c r="BP174" s="7"/>
    </row>
    <row r="175" spans="4:68" ht="20.100000000000001" customHeight="1" x14ac:dyDescent="0.25">
      <c r="D175" s="1">
        <v>0.6784</v>
      </c>
      <c r="E175" s="57" t="s">
        <v>381</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668</v>
      </c>
      <c r="BN178" s="7"/>
      <c r="BO178" s="7"/>
      <c r="BP178" s="7"/>
    </row>
    <row r="179" spans="4:68" ht="20.100000000000001" customHeight="1" x14ac:dyDescent="0.25">
      <c r="D179" s="5" t="s">
        <v>669</v>
      </c>
      <c r="BN179" s="7"/>
      <c r="BO179" s="7"/>
      <c r="BP179" s="7"/>
    </row>
    <row r="180" spans="4:68" ht="20.100000000000001" customHeight="1" x14ac:dyDescent="0.25">
      <c r="D180" s="57" t="s">
        <v>670</v>
      </c>
    </row>
    <row r="181" spans="4:68" ht="20.100000000000001" customHeight="1" x14ac:dyDescent="0.25">
      <c r="D181" s="58" t="s">
        <v>671</v>
      </c>
    </row>
    <row r="182" spans="4:68" ht="20.100000000000001" customHeight="1" x14ac:dyDescent="0.25">
      <c r="D182" s="58" t="s">
        <v>672</v>
      </c>
    </row>
    <row r="183" spans="4:68" ht="20.100000000000001" customHeight="1" x14ac:dyDescent="0.25">
      <c r="D183" s="58" t="s">
        <v>673</v>
      </c>
    </row>
    <row r="184" spans="4:68" ht="20.100000000000001" customHeight="1" x14ac:dyDescent="0.25">
      <c r="D184" s="58" t="s">
        <v>674</v>
      </c>
    </row>
    <row r="185" spans="4:68" ht="20.100000000000001" customHeight="1" x14ac:dyDescent="0.25">
      <c r="D185" s="58" t="s">
        <v>675</v>
      </c>
    </row>
    <row r="186" spans="4:68" ht="20.100000000000001" customHeight="1" x14ac:dyDescent="0.25">
      <c r="D186" s="39" t="s">
        <v>269</v>
      </c>
      <c r="E186" s="39" t="s">
        <v>270</v>
      </c>
      <c r="F186" s="39" t="s">
        <v>271</v>
      </c>
      <c r="G186" s="39" t="s">
        <v>272</v>
      </c>
      <c r="H186" s="39" t="s">
        <v>34</v>
      </c>
    </row>
    <row r="187" spans="4:68" ht="20.100000000000001" customHeight="1" x14ac:dyDescent="0.25">
      <c r="D187" s="39" t="s">
        <v>676</v>
      </c>
      <c r="E187" s="39">
        <v>5.8999999999999999E-3</v>
      </c>
      <c r="F187" s="39" t="s">
        <v>273</v>
      </c>
      <c r="G187" s="39" t="s">
        <v>615</v>
      </c>
      <c r="H187" s="39" t="s">
        <v>615</v>
      </c>
    </row>
    <row r="188" spans="4:68" ht="20.100000000000001" customHeight="1" x14ac:dyDescent="0.25">
      <c r="D188" s="39" t="s">
        <v>677</v>
      </c>
      <c r="E188" s="39">
        <v>7.0000000000000001E-3</v>
      </c>
      <c r="F188" s="39" t="s">
        <v>678</v>
      </c>
      <c r="G188" s="39" t="s">
        <v>615</v>
      </c>
      <c r="H188" s="39" t="s">
        <v>615</v>
      </c>
    </row>
    <row r="189" spans="4:68" ht="20.100000000000001" customHeight="1" x14ac:dyDescent="0.25">
      <c r="D189" s="39" t="s">
        <v>679</v>
      </c>
      <c r="E189" s="39">
        <v>1.8E-3</v>
      </c>
      <c r="F189" s="39" t="s">
        <v>273</v>
      </c>
      <c r="G189" s="39" t="s">
        <v>277</v>
      </c>
      <c r="H189" s="39" t="s">
        <v>640</v>
      </c>
    </row>
    <row r="190" spans="4:68" ht="20.100000000000001" customHeight="1" x14ac:dyDescent="0.25">
      <c r="D190" s="39" t="s">
        <v>679</v>
      </c>
      <c r="E190" s="39">
        <v>1.8E-3</v>
      </c>
      <c r="F190" s="39" t="s">
        <v>273</v>
      </c>
      <c r="G190" s="39" t="s">
        <v>277</v>
      </c>
      <c r="H190" s="39" t="s">
        <v>638</v>
      </c>
    </row>
    <row r="191" spans="4:68" ht="20.100000000000001" customHeight="1" x14ac:dyDescent="0.25">
      <c r="D191" s="39" t="s">
        <v>680</v>
      </c>
      <c r="E191" s="39">
        <v>2.8999999999999998E-3</v>
      </c>
      <c r="F191" s="39" t="s">
        <v>678</v>
      </c>
      <c r="G191" s="39" t="s">
        <v>277</v>
      </c>
      <c r="H191" s="39" t="s">
        <v>640</v>
      </c>
    </row>
    <row r="192" spans="4:68" ht="20.100000000000001" customHeight="1" x14ac:dyDescent="0.25">
      <c r="D192" s="39" t="s">
        <v>681</v>
      </c>
      <c r="E192" s="39">
        <v>8.0000000000000002E-3</v>
      </c>
      <c r="F192" s="39" t="s">
        <v>678</v>
      </c>
      <c r="G192" s="39" t="s">
        <v>277</v>
      </c>
      <c r="H192" s="39" t="s">
        <v>638</v>
      </c>
    </row>
    <row r="193" spans="4:8" ht="20.100000000000001" customHeight="1" x14ac:dyDescent="0.25">
      <c r="D193" s="39" t="s">
        <v>682</v>
      </c>
      <c r="E193" s="39">
        <v>1.9900000000000001E-2</v>
      </c>
      <c r="F193" s="39" t="s">
        <v>682</v>
      </c>
      <c r="G193" s="39" t="s">
        <v>615</v>
      </c>
      <c r="H193" s="39" t="s">
        <v>615</v>
      </c>
    </row>
    <row r="194" spans="4:8" ht="20.100000000000001" customHeight="1" x14ac:dyDescent="0.25">
      <c r="D194" s="39" t="s">
        <v>683</v>
      </c>
      <c r="E194" s="39">
        <v>5.3E-3</v>
      </c>
      <c r="F194" s="39" t="s">
        <v>683</v>
      </c>
      <c r="G194" s="39" t="s">
        <v>615</v>
      </c>
      <c r="H194" s="39" t="s">
        <v>615</v>
      </c>
    </row>
    <row r="195" spans="4:8" ht="20.100000000000001" customHeight="1" x14ac:dyDescent="0.25">
      <c r="D195" s="39" t="s">
        <v>684</v>
      </c>
      <c r="E195" s="39">
        <v>6.4000000000000003E-3</v>
      </c>
      <c r="F195" s="39" t="s">
        <v>684</v>
      </c>
      <c r="G195" s="39" t="s">
        <v>615</v>
      </c>
      <c r="H195" s="39" t="s">
        <v>615</v>
      </c>
    </row>
    <row r="196" spans="4:8" ht="20.100000000000001" customHeight="1" x14ac:dyDescent="0.25">
      <c r="D196" s="39" t="s">
        <v>685</v>
      </c>
      <c r="E196" s="39">
        <v>3.0000000000000001E-3</v>
      </c>
      <c r="F196" s="39" t="s">
        <v>686</v>
      </c>
      <c r="G196" s="39" t="s">
        <v>687</v>
      </c>
      <c r="H196" s="39" t="s">
        <v>615</v>
      </c>
    </row>
    <row r="197" spans="4:8" x14ac:dyDescent="0.25">
      <c r="D197" s="39" t="s">
        <v>688</v>
      </c>
      <c r="E197" s="39">
        <v>5.0000000000000001E-3</v>
      </c>
      <c r="F197" s="39" t="s">
        <v>686</v>
      </c>
      <c r="G197" s="39" t="s">
        <v>689</v>
      </c>
      <c r="H197" s="39" t="s">
        <v>615</v>
      </c>
    </row>
    <row r="198" spans="4:8" x14ac:dyDescent="0.25">
      <c r="D198" s="39" t="s">
        <v>690</v>
      </c>
      <c r="E198" s="39">
        <v>2.5999999999999999E-3</v>
      </c>
      <c r="F198" s="39" t="s">
        <v>690</v>
      </c>
      <c r="G198" s="39" t="s">
        <v>615</v>
      </c>
      <c r="H198" s="39" t="s">
        <v>615</v>
      </c>
    </row>
    <row r="199" spans="4:8" x14ac:dyDescent="0.25">
      <c r="D199" s="39" t="s">
        <v>691</v>
      </c>
      <c r="E199" s="39">
        <v>1.8E-3</v>
      </c>
      <c r="F199" s="39" t="s">
        <v>691</v>
      </c>
      <c r="G199" s="39" t="s">
        <v>615</v>
      </c>
      <c r="H199" s="39" t="s">
        <v>615</v>
      </c>
    </row>
    <row r="202" spans="4:8" ht="23.25" x14ac:dyDescent="0.25">
      <c r="D202" s="6" t="s">
        <v>692</v>
      </c>
    </row>
    <row r="203" spans="4:8" x14ac:dyDescent="0.25">
      <c r="D203" s="5" t="s">
        <v>693</v>
      </c>
    </row>
    <row r="204" spans="4:8" x14ac:dyDescent="0.25">
      <c r="D204" s="58" t="s">
        <v>694</v>
      </c>
    </row>
    <row r="205" spans="4:8" x14ac:dyDescent="0.25">
      <c r="D205" s="57" t="s">
        <v>695</v>
      </c>
    </row>
    <row r="206" spans="4:8" x14ac:dyDescent="0.25">
      <c r="D206" s="39" t="s">
        <v>10</v>
      </c>
      <c r="E206" s="39" t="s">
        <v>302</v>
      </c>
    </row>
    <row r="207" spans="4:8" x14ac:dyDescent="0.25">
      <c r="D207" s="39" t="s">
        <v>597</v>
      </c>
      <c r="E207" s="39">
        <v>6.0000000000000001E-3</v>
      </c>
    </row>
    <row r="208" spans="4:8" x14ac:dyDescent="0.25">
      <c r="D208" s="1" t="s">
        <v>601</v>
      </c>
      <c r="E208" s="39">
        <v>2E-3</v>
      </c>
    </row>
    <row r="211" spans="4:5" x14ac:dyDescent="0.25">
      <c r="D211" s="1" t="s">
        <v>696</v>
      </c>
    </row>
    <row r="212" spans="4:5" x14ac:dyDescent="0.25">
      <c r="D212" s="39" t="s">
        <v>304</v>
      </c>
      <c r="E212" s="39" t="s">
        <v>305</v>
      </c>
    </row>
    <row r="213" spans="4:5" x14ac:dyDescent="0.25">
      <c r="D213" s="39" t="s">
        <v>697</v>
      </c>
      <c r="E213" s="39" t="s">
        <v>698</v>
      </c>
    </row>
    <row r="214" spans="4:5" x14ac:dyDescent="0.25">
      <c r="D214" s="1" t="s">
        <v>699</v>
      </c>
      <c r="E214" s="39" t="s">
        <v>698</v>
      </c>
    </row>
    <row r="215" spans="4:5" x14ac:dyDescent="0.25">
      <c r="D215" s="1" t="s">
        <v>700</v>
      </c>
      <c r="E215" s="39" t="s">
        <v>701</v>
      </c>
    </row>
    <row r="216" spans="4:5" x14ac:dyDescent="0.25">
      <c r="D216" s="1" t="s">
        <v>702</v>
      </c>
      <c r="E216" s="39" t="s">
        <v>701</v>
      </c>
    </row>
    <row r="217" spans="4:5" x14ac:dyDescent="0.25">
      <c r="D217" s="1" t="s">
        <v>703</v>
      </c>
      <c r="E217" s="39" t="s">
        <v>701</v>
      </c>
    </row>
    <row r="218" spans="4:5" x14ac:dyDescent="0.25">
      <c r="D218" s="1" t="s">
        <v>704</v>
      </c>
      <c r="E218" s="39" t="s">
        <v>705</v>
      </c>
    </row>
    <row r="219" spans="4:5" x14ac:dyDescent="0.25">
      <c r="D219" s="1" t="s">
        <v>706</v>
      </c>
      <c r="E219" s="39" t="s">
        <v>705</v>
      </c>
    </row>
    <row r="220" spans="4:5" x14ac:dyDescent="0.25">
      <c r="D220" s="1" t="s">
        <v>707</v>
      </c>
      <c r="E220" s="39" t="s">
        <v>705</v>
      </c>
    </row>
    <row r="221" spans="4:5" x14ac:dyDescent="0.25">
      <c r="D221" s="1" t="s">
        <v>708</v>
      </c>
      <c r="E221" s="39" t="s">
        <v>709</v>
      </c>
    </row>
    <row r="222" spans="4:5" x14ac:dyDescent="0.25">
      <c r="D222" s="1" t="s">
        <v>710</v>
      </c>
      <c r="E222" s="39" t="s">
        <v>709</v>
      </c>
    </row>
    <row r="223" spans="4:5" x14ac:dyDescent="0.25">
      <c r="D223" s="1" t="s">
        <v>711</v>
      </c>
      <c r="E223" s="39" t="s">
        <v>709</v>
      </c>
    </row>
    <row r="224" spans="4:5" x14ac:dyDescent="0.25">
      <c r="D224" s="1" t="s">
        <v>712</v>
      </c>
      <c r="E224" s="39" t="s">
        <v>698</v>
      </c>
    </row>
    <row r="227" spans="4:19" ht="23.25" x14ac:dyDescent="0.25">
      <c r="D227" s="6" t="s">
        <v>713</v>
      </c>
    </row>
    <row r="228" spans="4:19" x14ac:dyDescent="0.25">
      <c r="D228" s="5" t="s">
        <v>714</v>
      </c>
    </row>
    <row r="229" spans="4:19" x14ac:dyDescent="0.25">
      <c r="D229" s="58" t="s">
        <v>715</v>
      </c>
    </row>
    <row r="231" spans="4:19" x14ac:dyDescent="0.25">
      <c r="D231" s="39" t="s">
        <v>51</v>
      </c>
      <c r="E231" s="39" t="s">
        <v>334</v>
      </c>
      <c r="F231" s="38" t="s">
        <v>335</v>
      </c>
      <c r="G231" s="39" t="s">
        <v>336</v>
      </c>
      <c r="H231" s="39" t="s">
        <v>337</v>
      </c>
      <c r="I231" s="39" t="s">
        <v>338</v>
      </c>
      <c r="J231" s="39" t="s">
        <v>339</v>
      </c>
      <c r="K231" s="39" t="s">
        <v>340</v>
      </c>
      <c r="L231" s="39" t="s">
        <v>341</v>
      </c>
      <c r="M231" s="39" t="s">
        <v>342</v>
      </c>
      <c r="N231" s="39" t="s">
        <v>343</v>
      </c>
      <c r="O231" s="39" t="s">
        <v>344</v>
      </c>
      <c r="P231" s="39" t="s">
        <v>345</v>
      </c>
      <c r="Q231" s="39" t="s">
        <v>319</v>
      </c>
      <c r="R231" s="39" t="s">
        <v>346</v>
      </c>
      <c r="S231" s="39" t="s">
        <v>347</v>
      </c>
    </row>
    <row r="232" spans="4:19" x14ac:dyDescent="0.25">
      <c r="D232" s="39" t="s">
        <v>635</v>
      </c>
      <c r="E232" s="39" t="s">
        <v>716</v>
      </c>
      <c r="F232" s="39">
        <v>0.66</v>
      </c>
      <c r="G232" s="39">
        <v>0.1</v>
      </c>
      <c r="H232" s="39">
        <v>0.1</v>
      </c>
      <c r="I232" s="39">
        <v>1E-3</v>
      </c>
      <c r="J232" s="39">
        <v>5.0000000000000001E-3</v>
      </c>
      <c r="K232" s="39">
        <v>0.02</v>
      </c>
      <c r="L232" s="39">
        <v>0.03</v>
      </c>
      <c r="M232" s="39">
        <v>0.04</v>
      </c>
      <c r="N232" s="39">
        <v>1.4999999999999999E-2</v>
      </c>
      <c r="O232" s="39">
        <v>1.4999999999999999E-2</v>
      </c>
      <c r="P232" s="39">
        <v>0</v>
      </c>
      <c r="Q232" s="39">
        <v>0</v>
      </c>
      <c r="R232" s="39">
        <v>4.7000000000000002E-3</v>
      </c>
      <c r="S232" s="39">
        <v>10</v>
      </c>
    </row>
    <row r="233" spans="4:19" x14ac:dyDescent="0.25">
      <c r="D233" s="1" t="s">
        <v>635</v>
      </c>
      <c r="E233" s="39">
        <v>11</v>
      </c>
      <c r="F233" s="39">
        <v>0.68</v>
      </c>
      <c r="G233" s="39">
        <v>0.1</v>
      </c>
      <c r="H233" s="39">
        <v>0.11</v>
      </c>
      <c r="I233" s="39">
        <v>1E-3</v>
      </c>
      <c r="J233" s="39">
        <v>5.0000000000000001E-3</v>
      </c>
      <c r="K233" s="39">
        <v>0.02</v>
      </c>
      <c r="L233" s="39">
        <v>0.03</v>
      </c>
      <c r="M233" s="39">
        <v>0.04</v>
      </c>
      <c r="N233" s="39">
        <v>1.4999999999999999E-2</v>
      </c>
      <c r="O233" s="39">
        <v>1.4999999999999999E-2</v>
      </c>
      <c r="P233" s="39">
        <v>0</v>
      </c>
      <c r="Q233" s="39">
        <v>0</v>
      </c>
      <c r="R233" s="39">
        <v>4.7000000000000002E-3</v>
      </c>
      <c r="S233" s="39">
        <v>11</v>
      </c>
    </row>
    <row r="234" spans="4:19" x14ac:dyDescent="0.25">
      <c r="D234" s="1" t="s">
        <v>635</v>
      </c>
      <c r="E234" s="39">
        <v>12</v>
      </c>
      <c r="F234" s="39">
        <v>0.7</v>
      </c>
      <c r="G234" s="39">
        <v>0.1</v>
      </c>
      <c r="H234" s="39">
        <v>0.13</v>
      </c>
      <c r="I234" s="39">
        <v>1E-3</v>
      </c>
      <c r="J234" s="39">
        <v>5.0000000000000001E-3</v>
      </c>
      <c r="K234" s="39">
        <v>0.02</v>
      </c>
      <c r="L234" s="39">
        <v>0.03</v>
      </c>
      <c r="M234" s="39">
        <v>0.04</v>
      </c>
      <c r="N234" s="39">
        <v>1.4999999999999999E-2</v>
      </c>
      <c r="O234" s="39">
        <v>1.4999999999999999E-2</v>
      </c>
      <c r="P234" s="39">
        <v>0</v>
      </c>
      <c r="Q234" s="39">
        <v>0</v>
      </c>
      <c r="R234" s="39">
        <v>4.7000000000000002E-3</v>
      </c>
      <c r="S234" s="39">
        <v>12</v>
      </c>
    </row>
    <row r="235" spans="4:19" x14ac:dyDescent="0.25">
      <c r="D235" s="1" t="s">
        <v>635</v>
      </c>
      <c r="E235" s="39">
        <v>13</v>
      </c>
      <c r="F235" s="39">
        <v>0.71</v>
      </c>
      <c r="G235" s="39">
        <v>0.1</v>
      </c>
      <c r="H235" s="39">
        <v>0.14000000000000001</v>
      </c>
      <c r="I235" s="39">
        <v>1E-3</v>
      </c>
      <c r="J235" s="39">
        <v>5.0000000000000001E-3</v>
      </c>
      <c r="K235" s="39">
        <v>0.02</v>
      </c>
      <c r="L235" s="39">
        <v>0.03</v>
      </c>
      <c r="M235" s="39">
        <v>0.04</v>
      </c>
      <c r="N235" s="39">
        <v>1.4999999999999999E-2</v>
      </c>
      <c r="O235" s="39">
        <v>1.4999999999999999E-2</v>
      </c>
      <c r="P235" s="39">
        <v>0</v>
      </c>
      <c r="Q235" s="39">
        <v>0</v>
      </c>
      <c r="R235" s="39">
        <v>4.7000000000000002E-3</v>
      </c>
      <c r="S235" s="39">
        <v>13</v>
      </c>
    </row>
    <row r="236" spans="4:19" x14ac:dyDescent="0.25">
      <c r="D236" s="1" t="s">
        <v>635</v>
      </c>
      <c r="E236" s="39">
        <v>14</v>
      </c>
      <c r="F236" s="39">
        <v>0.73</v>
      </c>
      <c r="G236" s="39">
        <v>0.1</v>
      </c>
      <c r="H236" s="39">
        <v>0.15</v>
      </c>
      <c r="I236" s="39">
        <v>1E-3</v>
      </c>
      <c r="J236" s="39">
        <v>5.0000000000000001E-3</v>
      </c>
      <c r="K236" s="39">
        <v>0.02</v>
      </c>
      <c r="L236" s="39">
        <v>0.03</v>
      </c>
      <c r="M236" s="39">
        <v>0.04</v>
      </c>
      <c r="N236" s="39">
        <v>1.4999999999999999E-2</v>
      </c>
      <c r="O236" s="39">
        <v>1.4999999999999999E-2</v>
      </c>
      <c r="P236" s="39">
        <v>0</v>
      </c>
      <c r="Q236" s="39">
        <v>0</v>
      </c>
      <c r="R236" s="39">
        <v>4.7000000000000002E-3</v>
      </c>
      <c r="S236" s="39">
        <v>14</v>
      </c>
    </row>
    <row r="237" spans="4:19" x14ac:dyDescent="0.25">
      <c r="D237" s="1" t="s">
        <v>633</v>
      </c>
      <c r="E237" s="39">
        <v>15</v>
      </c>
      <c r="F237" s="39">
        <v>0.74</v>
      </c>
      <c r="G237" s="39">
        <v>0.1</v>
      </c>
      <c r="H237" s="39">
        <v>0.17</v>
      </c>
      <c r="I237" s="39">
        <v>5.0000000000000001E-3</v>
      </c>
      <c r="J237" s="39">
        <v>0.01</v>
      </c>
      <c r="K237" s="39">
        <v>0.02</v>
      </c>
      <c r="L237" s="39">
        <v>0.03</v>
      </c>
      <c r="M237" s="39">
        <v>0.04</v>
      </c>
      <c r="N237" s="39">
        <v>1.4999999999999999E-2</v>
      </c>
      <c r="O237" s="39">
        <v>1.4999999999999999E-2</v>
      </c>
      <c r="P237" s="39">
        <v>0</v>
      </c>
      <c r="Q237" s="39">
        <v>0</v>
      </c>
      <c r="R237" s="39">
        <v>4.7000000000000002E-3</v>
      </c>
      <c r="S237" s="39">
        <v>15</v>
      </c>
    </row>
    <row r="238" spans="4:19" x14ac:dyDescent="0.25">
      <c r="D238" s="1" t="s">
        <v>633</v>
      </c>
      <c r="E238" s="39">
        <v>16</v>
      </c>
      <c r="F238" s="39">
        <v>0.75</v>
      </c>
      <c r="G238" s="39">
        <v>0.1</v>
      </c>
      <c r="H238" s="39">
        <v>0.18</v>
      </c>
      <c r="I238" s="39">
        <v>5.0000000000000001E-3</v>
      </c>
      <c r="J238" s="39">
        <v>0.01</v>
      </c>
      <c r="K238" s="39">
        <v>0.02</v>
      </c>
      <c r="L238" s="39">
        <v>0.03</v>
      </c>
      <c r="M238" s="39">
        <v>0.04</v>
      </c>
      <c r="N238" s="39">
        <v>1.4999999999999999E-2</v>
      </c>
      <c r="O238" s="39">
        <v>1.4999999999999999E-2</v>
      </c>
      <c r="P238" s="39">
        <v>0</v>
      </c>
      <c r="Q238" s="39">
        <v>0</v>
      </c>
      <c r="R238" s="39">
        <v>4.7000000000000002E-3</v>
      </c>
      <c r="S238" s="39">
        <v>16</v>
      </c>
    </row>
    <row r="239" spans="4:19" x14ac:dyDescent="0.25">
      <c r="D239" s="1" t="s">
        <v>633</v>
      </c>
      <c r="E239" s="39">
        <v>17</v>
      </c>
      <c r="F239" s="39">
        <v>0.76</v>
      </c>
      <c r="G239" s="39">
        <v>0.1</v>
      </c>
      <c r="H239" s="39">
        <v>0.2</v>
      </c>
      <c r="I239" s="39">
        <v>5.0000000000000001E-3</v>
      </c>
      <c r="J239" s="39">
        <v>0.01</v>
      </c>
      <c r="K239" s="39">
        <v>0.02</v>
      </c>
      <c r="L239" s="39">
        <v>0.03</v>
      </c>
      <c r="M239" s="39">
        <v>0.04</v>
      </c>
      <c r="N239" s="39">
        <v>1.4999999999999999E-2</v>
      </c>
      <c r="O239" s="39">
        <v>1.4999999999999999E-2</v>
      </c>
      <c r="P239" s="39">
        <v>0</v>
      </c>
      <c r="Q239" s="39">
        <v>0</v>
      </c>
      <c r="R239" s="39">
        <v>4.7000000000000002E-3</v>
      </c>
      <c r="S239" s="39">
        <v>17</v>
      </c>
    </row>
    <row r="240" spans="4:19" x14ac:dyDescent="0.25">
      <c r="D240" s="1" t="s">
        <v>633</v>
      </c>
      <c r="E240" s="39">
        <v>18</v>
      </c>
      <c r="F240" s="39">
        <v>0.77</v>
      </c>
      <c r="G240" s="39">
        <v>0.1</v>
      </c>
      <c r="H240" s="39">
        <v>0.22</v>
      </c>
      <c r="I240" s="39">
        <v>5.0000000000000001E-3</v>
      </c>
      <c r="J240" s="39">
        <v>0.01</v>
      </c>
      <c r="K240" s="39">
        <v>0.02</v>
      </c>
      <c r="L240" s="39">
        <v>0.03</v>
      </c>
      <c r="M240" s="39">
        <v>0.04</v>
      </c>
      <c r="N240" s="39">
        <v>1.4999999999999999E-2</v>
      </c>
      <c r="O240" s="39">
        <v>1.4999999999999999E-2</v>
      </c>
      <c r="P240" s="39">
        <v>0</v>
      </c>
      <c r="Q240" s="39">
        <v>0</v>
      </c>
      <c r="R240" s="39">
        <v>4.7000000000000002E-3</v>
      </c>
      <c r="S240" s="39">
        <v>18</v>
      </c>
    </row>
    <row r="241" spans="4:19" x14ac:dyDescent="0.25">
      <c r="D241" s="1" t="s">
        <v>633</v>
      </c>
      <c r="E241" s="39">
        <v>19</v>
      </c>
      <c r="F241" s="39">
        <v>0.77</v>
      </c>
      <c r="G241" s="39">
        <v>0.1</v>
      </c>
      <c r="H241" s="39">
        <v>0.24</v>
      </c>
      <c r="I241" s="39">
        <v>5.0000000000000001E-3</v>
      </c>
      <c r="J241" s="39">
        <v>0.01</v>
      </c>
      <c r="K241" s="39">
        <v>0.02</v>
      </c>
      <c r="L241" s="39">
        <v>0.03</v>
      </c>
      <c r="M241" s="39">
        <v>0.04</v>
      </c>
      <c r="N241" s="39">
        <v>1.4999999999999999E-2</v>
      </c>
      <c r="O241" s="39">
        <v>1.4999999999999999E-2</v>
      </c>
      <c r="P241" s="39">
        <v>0</v>
      </c>
      <c r="Q241" s="39">
        <v>0</v>
      </c>
      <c r="R241" s="39">
        <v>4.7000000000000002E-3</v>
      </c>
      <c r="S241" s="39">
        <v>19</v>
      </c>
    </row>
    <row r="242" spans="4:19" x14ac:dyDescent="0.25">
      <c r="D242" s="1" t="s">
        <v>633</v>
      </c>
      <c r="E242" s="39">
        <v>20</v>
      </c>
      <c r="F242" s="39">
        <v>0.78</v>
      </c>
      <c r="G242" s="39">
        <v>0.1</v>
      </c>
      <c r="H242" s="39">
        <v>0.26</v>
      </c>
      <c r="I242" s="39">
        <v>5.0000000000000001E-3</v>
      </c>
      <c r="J242" s="39">
        <v>0.01</v>
      </c>
      <c r="K242" s="39">
        <v>0.02</v>
      </c>
      <c r="L242" s="39">
        <v>0.03</v>
      </c>
      <c r="M242" s="39">
        <v>0.04</v>
      </c>
      <c r="N242" s="39">
        <v>1.4999999999999999E-2</v>
      </c>
      <c r="O242" s="39">
        <v>1.4999999999999999E-2</v>
      </c>
      <c r="P242" s="39">
        <v>0</v>
      </c>
      <c r="Q242" s="39">
        <v>0</v>
      </c>
      <c r="R242" s="39">
        <v>4.7000000000000002E-3</v>
      </c>
      <c r="S242" s="39">
        <v>20</v>
      </c>
    </row>
    <row r="243" spans="4:19" x14ac:dyDescent="0.25">
      <c r="D243" s="1" t="s">
        <v>633</v>
      </c>
      <c r="E243" s="39">
        <v>21</v>
      </c>
      <c r="F243" s="39">
        <v>0.78</v>
      </c>
      <c r="G243" s="39">
        <v>0.1</v>
      </c>
      <c r="H243" s="39">
        <v>0.28999999999999998</v>
      </c>
      <c r="I243" s="39">
        <v>5.0000000000000001E-3</v>
      </c>
      <c r="J243" s="39">
        <v>0.01</v>
      </c>
      <c r="K243" s="39">
        <v>0.02</v>
      </c>
      <c r="L243" s="39">
        <v>0.03</v>
      </c>
      <c r="M243" s="39">
        <v>0.04</v>
      </c>
      <c r="N243" s="39">
        <v>1.4999999999999999E-2</v>
      </c>
      <c r="O243" s="39">
        <v>1.4999999999999999E-2</v>
      </c>
      <c r="P243" s="39">
        <v>0</v>
      </c>
      <c r="Q243" s="39">
        <v>0</v>
      </c>
      <c r="R243" s="39">
        <v>4.7000000000000002E-3</v>
      </c>
      <c r="S243" s="39">
        <v>21</v>
      </c>
    </row>
    <row r="244" spans="4:19" x14ac:dyDescent="0.25">
      <c r="D244" s="1" t="s">
        <v>633</v>
      </c>
      <c r="E244" s="39">
        <v>22</v>
      </c>
      <c r="F244" s="39">
        <v>0.78</v>
      </c>
      <c r="G244" s="39">
        <v>0.1</v>
      </c>
      <c r="H244" s="39">
        <v>0.31</v>
      </c>
      <c r="I244" s="39">
        <v>5.0000000000000001E-3</v>
      </c>
      <c r="J244" s="39">
        <v>0.01</v>
      </c>
      <c r="K244" s="39">
        <v>0.02</v>
      </c>
      <c r="L244" s="39">
        <v>0.03</v>
      </c>
      <c r="M244" s="39">
        <v>0.04</v>
      </c>
      <c r="N244" s="39">
        <v>1.4999999999999999E-2</v>
      </c>
      <c r="O244" s="39">
        <v>1.4999999999999999E-2</v>
      </c>
      <c r="P244" s="39">
        <v>0</v>
      </c>
      <c r="Q244" s="39">
        <v>0</v>
      </c>
      <c r="R244" s="39">
        <v>4.7000000000000002E-3</v>
      </c>
      <c r="S244" s="39">
        <v>22</v>
      </c>
    </row>
    <row r="245" spans="4:19" x14ac:dyDescent="0.25">
      <c r="D245" s="1" t="s">
        <v>633</v>
      </c>
      <c r="E245" s="39">
        <v>23</v>
      </c>
      <c r="F245" s="39">
        <v>0.79</v>
      </c>
      <c r="G245" s="39">
        <v>0.1</v>
      </c>
      <c r="H245" s="39">
        <v>0.34</v>
      </c>
      <c r="I245" s="39">
        <v>5.0000000000000001E-3</v>
      </c>
      <c r="J245" s="39">
        <v>0.01</v>
      </c>
      <c r="K245" s="39">
        <v>0.02</v>
      </c>
      <c r="L245" s="39">
        <v>0.03</v>
      </c>
      <c r="M245" s="39">
        <v>0.04</v>
      </c>
      <c r="N245" s="39">
        <v>1.4999999999999999E-2</v>
      </c>
      <c r="O245" s="39">
        <v>1.4999999999999999E-2</v>
      </c>
      <c r="P245" s="39">
        <v>0</v>
      </c>
      <c r="Q245" s="39">
        <v>0</v>
      </c>
      <c r="R245" s="39">
        <v>4.7000000000000002E-3</v>
      </c>
      <c r="S245" s="39">
        <v>23</v>
      </c>
    </row>
    <row r="246" spans="4:19" x14ac:dyDescent="0.25">
      <c r="D246" s="1" t="s">
        <v>633</v>
      </c>
      <c r="E246" s="39">
        <v>24</v>
      </c>
      <c r="F246" s="39">
        <v>0.79</v>
      </c>
      <c r="G246" s="39">
        <v>0.1</v>
      </c>
      <c r="H246" s="39">
        <v>0.37</v>
      </c>
      <c r="I246" s="39">
        <v>5.0000000000000001E-3</v>
      </c>
      <c r="J246" s="39">
        <v>0.01</v>
      </c>
      <c r="K246" s="39">
        <v>0.02</v>
      </c>
      <c r="L246" s="39">
        <v>0.03</v>
      </c>
      <c r="M246" s="39">
        <v>0.04</v>
      </c>
      <c r="N246" s="39">
        <v>1.4999999999999999E-2</v>
      </c>
      <c r="O246" s="39">
        <v>1.4999999999999999E-2</v>
      </c>
      <c r="P246" s="39">
        <v>0</v>
      </c>
      <c r="Q246" s="39">
        <v>0</v>
      </c>
      <c r="R246" s="39">
        <v>4.7000000000000002E-3</v>
      </c>
      <c r="S246" s="39">
        <v>24</v>
      </c>
    </row>
    <row r="247" spans="4:19" x14ac:dyDescent="0.25">
      <c r="D247" s="1" t="s">
        <v>633</v>
      </c>
      <c r="E247" s="39">
        <v>25</v>
      </c>
      <c r="F247" s="39">
        <v>0.79</v>
      </c>
      <c r="G247" s="39">
        <v>0.1</v>
      </c>
      <c r="H247" s="39">
        <v>0.41</v>
      </c>
      <c r="I247" s="39">
        <v>5.0000000000000001E-3</v>
      </c>
      <c r="J247" s="39">
        <v>0.01</v>
      </c>
      <c r="K247" s="39">
        <v>0.02</v>
      </c>
      <c r="L247" s="39">
        <v>0.03</v>
      </c>
      <c r="M247" s="39">
        <v>0.04</v>
      </c>
      <c r="N247" s="39">
        <v>1.4999999999999999E-2</v>
      </c>
      <c r="O247" s="39">
        <v>1.4999999999999999E-2</v>
      </c>
      <c r="P247" s="39">
        <v>0</v>
      </c>
      <c r="Q247" s="39">
        <v>0</v>
      </c>
      <c r="R247" s="39">
        <v>4.7000000000000002E-3</v>
      </c>
      <c r="S247" s="39">
        <v>25</v>
      </c>
    </row>
    <row r="248" spans="4:19" x14ac:dyDescent="0.25">
      <c r="D248" s="1" t="s">
        <v>631</v>
      </c>
      <c r="E248" s="39">
        <v>26</v>
      </c>
      <c r="F248" s="39">
        <v>0.79</v>
      </c>
      <c r="G248" s="39">
        <v>0.1</v>
      </c>
      <c r="H248" s="39">
        <v>0.44</v>
      </c>
      <c r="I248" s="39">
        <v>0.01</v>
      </c>
      <c r="J248" s="39">
        <v>1.4999999999999999E-2</v>
      </c>
      <c r="K248" s="39">
        <v>0.02</v>
      </c>
      <c r="L248" s="39">
        <v>0.03</v>
      </c>
      <c r="M248" s="39">
        <v>0.04</v>
      </c>
      <c r="N248" s="39">
        <v>1.4999999999999999E-2</v>
      </c>
      <c r="O248" s="39">
        <v>1.4999999999999999E-2</v>
      </c>
      <c r="P248" s="39">
        <v>0</v>
      </c>
      <c r="Q248" s="39">
        <v>0</v>
      </c>
      <c r="R248" s="39">
        <v>4.7000000000000002E-3</v>
      </c>
      <c r="S248" s="39">
        <v>26</v>
      </c>
    </row>
    <row r="249" spans="4:19" x14ac:dyDescent="0.25">
      <c r="D249" s="1" t="s">
        <v>631</v>
      </c>
      <c r="E249" s="39">
        <v>27</v>
      </c>
      <c r="F249" s="39">
        <v>0.8</v>
      </c>
      <c r="G249" s="39">
        <v>0.1</v>
      </c>
      <c r="H249" s="39">
        <v>0.48</v>
      </c>
      <c r="I249" s="39">
        <v>0.01</v>
      </c>
      <c r="J249" s="39">
        <v>1.4999999999999999E-2</v>
      </c>
      <c r="K249" s="39">
        <v>0.02</v>
      </c>
      <c r="L249" s="39">
        <v>0.03</v>
      </c>
      <c r="M249" s="39">
        <v>0.04</v>
      </c>
      <c r="N249" s="39">
        <v>1.4999999999999999E-2</v>
      </c>
      <c r="O249" s="39">
        <v>1.4999999999999999E-2</v>
      </c>
      <c r="P249" s="39">
        <v>0</v>
      </c>
      <c r="Q249" s="39">
        <v>0</v>
      </c>
      <c r="R249" s="39">
        <v>4.7000000000000002E-3</v>
      </c>
      <c r="S249" s="39">
        <v>27</v>
      </c>
    </row>
    <row r="250" spans="4:19" x14ac:dyDescent="0.25">
      <c r="D250" s="1" t="s">
        <v>631</v>
      </c>
      <c r="E250" s="39" t="s">
        <v>717</v>
      </c>
      <c r="F250" s="39">
        <v>0.8</v>
      </c>
      <c r="G250" s="39">
        <v>0.1</v>
      </c>
      <c r="H250" s="39">
        <v>0.5</v>
      </c>
      <c r="I250" s="39">
        <v>0.01</v>
      </c>
      <c r="J250" s="39">
        <v>1.4999999999999999E-2</v>
      </c>
      <c r="K250" s="39">
        <v>0.02</v>
      </c>
      <c r="L250" s="39">
        <v>0.03</v>
      </c>
      <c r="M250" s="39">
        <v>0.04</v>
      </c>
      <c r="N250" s="39">
        <v>1.4999999999999999E-2</v>
      </c>
      <c r="O250" s="39">
        <v>1.4999999999999999E-2</v>
      </c>
      <c r="P250" s="39">
        <v>0</v>
      </c>
      <c r="Q250" s="39">
        <v>0</v>
      </c>
      <c r="R250" s="39">
        <v>4.7000000000000002E-3</v>
      </c>
      <c r="S250" s="39">
        <v>28</v>
      </c>
    </row>
    <row r="253" spans="4:19" ht="23.25" x14ac:dyDescent="0.25">
      <c r="D253" s="6" t="s">
        <v>718</v>
      </c>
    </row>
    <row r="254" spans="4:19" x14ac:dyDescent="0.25">
      <c r="D254" s="5" t="s">
        <v>719</v>
      </c>
    </row>
    <row r="255" spans="4:19" x14ac:dyDescent="0.25">
      <c r="D255" s="1" t="s">
        <v>357</v>
      </c>
    </row>
    <row r="256" spans="4:19" x14ac:dyDescent="0.25">
      <c r="D256" s="57" t="s">
        <v>695</v>
      </c>
    </row>
    <row r="257" spans="4:5" x14ac:dyDescent="0.25">
      <c r="D257" s="39" t="s">
        <v>356</v>
      </c>
      <c r="E257" s="39" t="s">
        <v>357</v>
      </c>
    </row>
    <row r="258" spans="4:5" x14ac:dyDescent="0.25">
      <c r="D258" s="39" t="s">
        <v>597</v>
      </c>
      <c r="E258" s="39">
        <v>6.0000000000000001E-3</v>
      </c>
    </row>
    <row r="259" spans="4:5" x14ac:dyDescent="0.25">
      <c r="D259" s="1" t="s">
        <v>601</v>
      </c>
      <c r="E259" s="39">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78</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720</v>
      </c>
      <c r="E6" s="3"/>
      <c r="F6" s="3"/>
      <c r="G6" s="3"/>
      <c r="H6" s="3"/>
    </row>
    <row r="7" spans="1:13" ht="20.100000000000001" customHeight="1" x14ac:dyDescent="0.25">
      <c r="A7" s="20" t="s">
        <v>3</v>
      </c>
      <c r="D7" s="3" t="s">
        <v>66</v>
      </c>
      <c r="E7" s="3"/>
      <c r="F7" s="3"/>
      <c r="G7" s="3"/>
      <c r="H7" s="3"/>
    </row>
    <row r="8" spans="1:13" ht="20.100000000000001" customHeight="1" x14ac:dyDescent="0.25">
      <c r="A8" s="17" t="str">
        <f>HYPERLINK("#'Input - Site'!A1", "Site")</f>
        <v>Site</v>
      </c>
      <c r="D8" s="5" t="s">
        <v>721</v>
      </c>
      <c r="E8" s="3"/>
      <c r="F8" s="3"/>
      <c r="G8" s="3"/>
      <c r="H8" s="3"/>
    </row>
    <row r="9" spans="1:13" ht="20.100000000000001" customHeight="1" x14ac:dyDescent="0.25">
      <c r="A9" s="17" t="str">
        <f>HYPERLINK("#'Input - Feedlot'!A1", "Feedlot")</f>
        <v>Feedlot</v>
      </c>
      <c r="D9" s="38" t="s">
        <v>79</v>
      </c>
      <c r="E9" s="39" t="s">
        <v>20</v>
      </c>
      <c r="F9" s="39" t="s">
        <v>80</v>
      </c>
      <c r="G9" s="3"/>
    </row>
    <row r="10" spans="1:13" ht="20.100000000000001" customHeight="1" x14ac:dyDescent="0.25">
      <c r="A10" s="17"/>
      <c r="D10" s="38">
        <v>1</v>
      </c>
      <c r="E10" s="38" t="s">
        <v>335</v>
      </c>
      <c r="F10" s="38" t="s">
        <v>722</v>
      </c>
      <c r="G10" s="3"/>
    </row>
    <row r="11" spans="1:13" ht="20.100000000000001" customHeight="1" x14ac:dyDescent="0.25">
      <c r="A11" s="19" t="s">
        <v>75</v>
      </c>
      <c r="D11" s="38">
        <v>2</v>
      </c>
      <c r="E11" s="38" t="s">
        <v>337</v>
      </c>
      <c r="F11" s="38" t="s">
        <v>723</v>
      </c>
      <c r="G11" s="3"/>
    </row>
    <row r="12" spans="1:13" ht="20.100000000000001" customHeight="1" x14ac:dyDescent="0.25">
      <c r="A12" s="17" t="str">
        <f>HYPERLINK("#'4.1.1.1-2 Methane'!A1", "4.1.1.1-2 Methane")</f>
        <v>4.1.1.1-2 Methane</v>
      </c>
      <c r="D12" s="39">
        <v>3</v>
      </c>
      <c r="E12" s="39" t="s">
        <v>338</v>
      </c>
      <c r="F12" s="39" t="s">
        <v>724</v>
      </c>
      <c r="G12" s="3"/>
    </row>
    <row r="13" spans="1:13" ht="20.100000000000001" customHeight="1" x14ac:dyDescent="0.25">
      <c r="A13" s="17" t="str">
        <f>HYPERLINK("#'4.1.1.3-4 Direct N20'!A1", "4.1.1.3-4 Direct N2O")</f>
        <v>4.1.1.3-4 Direct N2O</v>
      </c>
      <c r="D13" s="39" t="s">
        <v>725</v>
      </c>
      <c r="E13" s="39" t="s">
        <v>726</v>
      </c>
      <c r="F13" s="39" t="s">
        <v>727</v>
      </c>
      <c r="G13" s="3"/>
    </row>
    <row r="14" spans="1:13" ht="20.100000000000001" customHeight="1" x14ac:dyDescent="0.25">
      <c r="A14" s="17" t="str">
        <f>HYPERLINK("#'4.1.1.5-6 Atmos Deposition'!A1", "4.1.1.5-6 Atmospheric deposition")</f>
        <v>4.1.1.5-6 Atmospheric deposition</v>
      </c>
      <c r="D14" s="39" t="s">
        <v>728</v>
      </c>
      <c r="E14" s="39" t="s">
        <v>729</v>
      </c>
      <c r="F14" s="39" t="s">
        <v>730</v>
      </c>
      <c r="G14" s="3"/>
    </row>
    <row r="15" spans="1:13" ht="20.100000000000001" customHeight="1" x14ac:dyDescent="0.25">
      <c r="A15" s="17" t="str">
        <f>HYPERLINK("#'4.1.1.9 Manure applied to soils'!A1", "4.1.1.9 Manure applied to soils")</f>
        <v>4.1.1.9 Manure applied to soils</v>
      </c>
      <c r="D15" s="39">
        <v>4</v>
      </c>
      <c r="E15" s="39" t="s">
        <v>340</v>
      </c>
      <c r="F15" s="39" t="s">
        <v>731</v>
      </c>
      <c r="G15" s="3"/>
    </row>
    <row r="16" spans="1:13" ht="20.100000000000001" customHeight="1" x14ac:dyDescent="0.25">
      <c r="D16" s="39">
        <v>5</v>
      </c>
      <c r="E16" s="39" t="s">
        <v>100</v>
      </c>
      <c r="F16" s="39" t="s">
        <v>732</v>
      </c>
      <c r="G16" s="3"/>
    </row>
    <row r="17" spans="1:8" ht="20.100000000000001" customHeight="1" x14ac:dyDescent="0.25">
      <c r="A17" s="18" t="s">
        <v>4</v>
      </c>
      <c r="D17" s="39">
        <v>6</v>
      </c>
      <c r="E17" s="39" t="s">
        <v>339</v>
      </c>
      <c r="F17" s="39" t="s">
        <v>733</v>
      </c>
      <c r="G17" s="3"/>
    </row>
    <row r="18" spans="1:8" ht="20.100000000000001" customHeight="1" x14ac:dyDescent="0.25">
      <c r="A18" s="17" t="str">
        <f>HYPERLINK("#'Constants - Feedlot'!A1", "Constants - Feedlot")</f>
        <v>Constants - Feedlot</v>
      </c>
      <c r="D18" s="39">
        <v>7</v>
      </c>
      <c r="E18" s="39" t="s">
        <v>336</v>
      </c>
      <c r="F18" s="39" t="s">
        <v>734</v>
      </c>
      <c r="G18" s="3"/>
    </row>
    <row r="19" spans="1:8" ht="20.100000000000001" customHeight="1" x14ac:dyDescent="0.25">
      <c r="A19" s="71" t="str">
        <f>HYPERLINK("#'Constants - Livestock'!A1", "Constants - Livestock")</f>
        <v>Constants - Livestock</v>
      </c>
      <c r="D19" s="39">
        <v>8</v>
      </c>
      <c r="E19" s="39" t="s">
        <v>342</v>
      </c>
      <c r="F19" s="39" t="s">
        <v>735</v>
      </c>
      <c r="G19" s="3"/>
    </row>
    <row r="20" spans="1:8" ht="20.100000000000001" customHeight="1" x14ac:dyDescent="0.25">
      <c r="A20" s="17" t="str">
        <f>HYPERLINK("#'Constants - Common'!A1", "Constants - Common")</f>
        <v>Constants - Common</v>
      </c>
      <c r="D20" s="39">
        <v>9</v>
      </c>
      <c r="E20" s="39" t="s">
        <v>341</v>
      </c>
      <c r="F20" s="39" t="s">
        <v>736</v>
      </c>
      <c r="G20" s="3"/>
    </row>
    <row r="21" spans="1:8" ht="20.100000000000001" customHeight="1" x14ac:dyDescent="0.25">
      <c r="A21" s="17" t="str">
        <f>HYPERLINK("#'Acknowledgements'!A1", "Acknowledgements")</f>
        <v>Acknowledgements</v>
      </c>
      <c r="D21" s="39">
        <v>10</v>
      </c>
      <c r="E21" s="39" t="s">
        <v>343</v>
      </c>
      <c r="F21" s="39" t="s">
        <v>737</v>
      </c>
      <c r="G21" s="3"/>
    </row>
    <row r="22" spans="1:8" ht="20.100000000000001" customHeight="1" x14ac:dyDescent="0.25">
      <c r="D22" s="39">
        <v>11</v>
      </c>
      <c r="E22" s="39" t="s">
        <v>344</v>
      </c>
      <c r="F22" s="39" t="s">
        <v>738</v>
      </c>
      <c r="G22" s="3"/>
    </row>
    <row r="23" spans="1:8" ht="20.100000000000001" customHeight="1" x14ac:dyDescent="0.25">
      <c r="D23" s="39" t="s">
        <v>739</v>
      </c>
      <c r="E23" s="39" t="s">
        <v>740</v>
      </c>
      <c r="F23" s="39" t="s">
        <v>741</v>
      </c>
      <c r="G23" s="3"/>
    </row>
    <row r="24" spans="1:8" ht="20.100000000000001" customHeight="1" x14ac:dyDescent="0.25">
      <c r="A24" s="17"/>
      <c r="D24" s="39" t="s">
        <v>742</v>
      </c>
      <c r="E24" s="39" t="s">
        <v>743</v>
      </c>
      <c r="F24" s="39" t="s">
        <v>744</v>
      </c>
      <c r="G24" s="3"/>
    </row>
    <row r="25" spans="1:8" ht="20.100000000000001" customHeight="1" x14ac:dyDescent="0.25">
      <c r="A25" s="17"/>
      <c r="D25" s="39">
        <v>12</v>
      </c>
      <c r="E25" s="39" t="s">
        <v>345</v>
      </c>
      <c r="F25" s="39" t="s">
        <v>745</v>
      </c>
      <c r="G25" s="3"/>
    </row>
    <row r="26" spans="1:8" ht="20.100000000000001" customHeight="1" x14ac:dyDescent="0.25">
      <c r="D26" s="39">
        <v>13</v>
      </c>
      <c r="E26" s="39" t="s">
        <v>319</v>
      </c>
      <c r="F26" s="39" t="s">
        <v>746</v>
      </c>
      <c r="G26" s="3"/>
    </row>
    <row r="27" spans="1:8" ht="20.100000000000001" customHeight="1" x14ac:dyDescent="0.25">
      <c r="D27" s="39">
        <v>14</v>
      </c>
      <c r="E27" s="39" t="s">
        <v>346</v>
      </c>
      <c r="F27" s="39" t="s">
        <v>747</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77</v>
      </c>
    </row>
    <row r="17" spans="1:1" ht="20.100000000000001" customHeight="1" x14ac:dyDescent="0.25">
      <c r="A17" s="69" t="s">
        <v>73</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75</v>
      </c>
    </row>
    <row r="22" spans="1:1" ht="20.100000000000001" customHeight="1" x14ac:dyDescent="0.25">
      <c r="A22" s="69" t="s">
        <v>1</v>
      </c>
    </row>
    <row r="23" spans="1:1" ht="20.100000000000001" customHeight="1" x14ac:dyDescent="0.25">
      <c r="A23" s="69" t="s">
        <v>74</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77</v>
      </c>
    </row>
    <row r="32" spans="1:1" ht="20.100000000000001" customHeight="1" x14ac:dyDescent="0.25">
      <c r="A32" s="69" t="s">
        <v>73</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2026-06-10T02:24:34Z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