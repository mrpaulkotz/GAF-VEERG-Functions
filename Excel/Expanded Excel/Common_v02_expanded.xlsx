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B8345A2B-7EA0-4899-B492-B7D5BBDA6AF9}" xr6:coauthVersionLast="47" xr6:coauthVersionMax="47" xr10:uidLastSave="{00000000-0000-0000-0000-000000000000}"/>
  <bookViews>
    <workbookView xWindow="4680" yWindow="4680" windowWidth="28800" windowHeight="15345" activeTab="1" xr2:uid="{992023F3-CAB7-4E5B-A348-08D563A0EF40}"/>
  </bookViews>
  <sheets>
    <sheet name="Home" sheetId="3" r:id="rId1"/>
    <sheet name="Constants - Common" sheetId="2" r:id="rId2"/>
    <sheet name="Acknowledgements" sheetId="4" r:id="rId3"/>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7" i="2" l="1" a="1"/>
  <c r="D117" i="2" s="1"/>
  <c r="D107" i="2" a="1"/>
  <c r="D107" i="2" s="1"/>
  <c r="D83" i="2" a="1"/>
  <c r="D83" i="2" s="1"/>
  <c r="D59" i="2" a="1"/>
  <c r="D59" i="2" s="1"/>
  <c r="H54" i="2"/>
  <c r="H50" i="2" l="1"/>
  <c r="H51" i="2"/>
  <c r="H48" i="2"/>
  <c r="H52" i="2"/>
  <c r="H49" i="2"/>
  <c r="H5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<sst xmlns="http://schemas.openxmlformats.org/spreadsheetml/2006/main" count="392" uniqueCount="250">
  <si>
    <t>Climate zone</t>
  </si>
  <si>
    <t>State/Territory</t>
  </si>
  <si>
    <t>Common Name</t>
  </si>
  <si>
    <t>Abbreviation</t>
  </si>
  <si>
    <t>SA 4 Name</t>
  </si>
  <si>
    <t>Gas</t>
  </si>
  <si>
    <t>CO2-e factor</t>
  </si>
  <si>
    <t>Conversion factor</t>
  </si>
  <si>
    <t>Conversion factor 1</t>
  </si>
  <si>
    <t>Conversion factor 2</t>
  </si>
  <si>
    <t>Conversion factor combined</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</si>
  <si>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</si>
  <si>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</si>
  <si>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</si>
  <si>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</si>
  <si>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</si>
  <si>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</si>
  <si>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</si>
  <si>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</si>
  <si>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</si>
  <si>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</si>
  <si>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</si>
  <si>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</si>
  <si>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</si>
  <si>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</si>
  <si>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</si>
  <si>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</si>
  <si>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</si>
  <si>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Min MAT</t>
  </si>
  <si>
    <t>Max MAT</t>
  </si>
  <si>
    <t>Rainfall Zone</t>
  </si>
  <si>
    <t>Annual rainfall</t>
  </si>
  <si>
    <t>Leaching Zone</t>
  </si>
  <si>
    <t>Leaching criteria</t>
  </si>
  <si>
    <t>Data source</t>
  </si>
  <si>
    <t>Data score</t>
  </si>
  <si>
    <t>Constants - Common</t>
  </si>
  <si>
    <t>Is in leaching zone</t>
  </si>
  <si>
    <t>FracWET</t>
  </si>
  <si>
    <t>Production system j</t>
  </si>
  <si>
    <t>EFN2O</t>
  </si>
  <si>
    <t>Production system only</t>
  </si>
  <si>
    <t>Irrigation method</t>
  </si>
  <si>
    <t>Rainfall zone</t>
  </si>
  <si>
    <t>Home</t>
  </si>
  <si>
    <t>Acknowledgements</t>
  </si>
  <si>
    <t>Irrigation type i</t>
  </si>
  <si>
    <t>EFPRP</t>
  </si>
  <si>
    <t>Month</t>
  </si>
  <si>
    <t>Season</t>
  </si>
  <si>
    <t>Temperature zone</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</si>
  <si>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</si>
  <si>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</si>
  <si>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</si>
  <si>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</si>
  <si>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</si>
  <si>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</si>
  <si>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</si>
  <si>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</si>
  <si>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</si>
  <si>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</si>
  <si>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</si>
  <si>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</si>
  <si>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</si>
  <si>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(ºC)</t>
  </si>
  <si>
    <t>MAT raw</t>
  </si>
  <si>
    <t>Climate Zone</t>
  </si>
  <si>
    <t>EFNi &amp; EFN2Oi</t>
  </si>
  <si>
    <t>Australian states and territories</t>
  </si>
  <si>
    <t>New South Wales</t>
  </si>
  <si>
    <t>NSW</t>
  </si>
  <si>
    <t>Australian Capital Territory</t>
  </si>
  <si>
    <t>ACT</t>
  </si>
  <si>
    <t>Victoria</t>
  </si>
  <si>
    <t>VIC</t>
  </si>
  <si>
    <t>Queensland</t>
  </si>
  <si>
    <t>QLD</t>
  </si>
  <si>
    <t>South Australia</t>
  </si>
  <si>
    <t>SA</t>
  </si>
  <si>
    <t>Western Australia</t>
  </si>
  <si>
    <t>WA</t>
  </si>
  <si>
    <t>Tasmania</t>
  </si>
  <si>
    <t>TAS</t>
  </si>
  <si>
    <t>Northern Territory</t>
  </si>
  <si>
    <t>NT</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</si>
  <si>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</si>
  <si>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</si>
  <si>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</si>
  <si>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</si>
  <si>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</si>
  <si>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</si>
  <si>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</si>
  <si>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</si>
  <si>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</si>
  <si>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</si>
  <si>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</si>
  <si>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Western Australia - Outback (South)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</si>
  <si>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</si>
  <si>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</si>
  <si>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</si>
  <si>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</si>
  <si>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</si>
  <si>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</si>
  <si>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</si>
  <si>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</si>
  <si>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</si>
  <si>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</si>
  <si>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</si>
  <si>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</si>
  <si>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</si>
  <si>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</si>
  <si>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</si>
  <si>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</si>
  <si>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</si>
  <si>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</si>
  <si>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</si>
  <si>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</si>
  <si>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</si>
  <si>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</si>
  <si>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</si>
  <si>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</si>
  <si>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</si>
  <si>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</si>
  <si>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</si>
  <si>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</si>
  <si>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</si>
  <si>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</si>
  <si>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</si>
  <si>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</si>
  <si>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</si>
  <si>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</si>
  <si>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</si>
  <si>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</si>
  <si>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</si>
  <si>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</si>
  <si>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</si>
  <si>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</si>
  <si>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</si>
  <si>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</si>
  <si>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</si>
  <si>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</si>
  <si>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</si>
  <si>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</si>
  <si>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</si>
  <si>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</si>
  <si>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</si>
  <si>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</si>
  <si>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</si>
  <si>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</si>
  <si>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</si>
  <si>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</si>
  <si>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</si>
  <si>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</si>
  <si>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</si>
  <si>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</si>
  <si>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</si>
  <si>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</si>
  <si>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</si>
  <si>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</si>
  <si>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</si>
  <si>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</si>
  <si>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</si>
  <si>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</si>
  <si>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</si>
  <si>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</si>
  <si>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</si>
  <si>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</si>
  <si>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</si>
  <si>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</si>
  <si>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</si>
  <si>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</si>
  <si>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</si>
  <si>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</si>
  <si>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</si>
  <si>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</si>
  <si>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</si>
  <si>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</si>
  <si>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Not irrigated</t>
  </si>
  <si>
    <t>Drip irrigation</t>
  </si>
  <si>
    <t>Sprinkler irrigation</t>
  </si>
  <si>
    <t>Surface irrigation</t>
  </si>
  <si>
    <t>Other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</si>
  <si>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</si>
  <si>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</si>
  <si>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</si>
  <si>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</si>
  <si>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</si>
  <si>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</si>
  <si>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</si>
  <si>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</si>
  <si>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FracLEACH</t>
  </si>
  <si>
    <t>Emission factor for nitrogen leaching and runoff</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</si>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</sst>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
    <numFmt numFmtId="165" formatCode="#,##0.000"/>
    <numFmt numFmtId="166" formatCode="d/mm/yyyy;@"/>
    <numFmt numFmtId="167" formatCode="[$-C09]dd\-mmmm\-yyyy;@"/>
    <numFmt numFmtId="168" formatCode="#,##0.000000"/>
  </numFmts>
  <fonts count="3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4"/>
      <color theme="5"/>
      <name val="Times New Roman"/>
      <family val="1"/>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tint="-0.499984740745262"/>
      <name val="Times New Roman"/>
      <family val="1"/>
    </font>
    <font>
      <sz val="10"/>
      <color theme="0" tint="-0.499984740745262"/>
      <name val="Times New Roman"/>
      <family val="1"/>
    </font>
  </fonts>
  <fills count="13">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s>
  <borders count="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s>
  <cellStyleXfs count="59">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3" fillId="4" borderId="0">
      <alignment horizontal="left" vertical="center"/>
    </xf>
    <xf numFmtId="0" fontId="28" fillId="4" borderId="0">
      <alignment vertical="center"/>
    </xf>
    <xf numFmtId="0" fontId="3" fillId="4" borderId="0">
      <alignment horizontal="left" vertical="center"/>
    </xf>
    <xf numFmtId="0" fontId="26"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1">
      <alignment horizontal="center" vertical="center"/>
    </xf>
    <xf numFmtId="0" fontId="3" fillId="11" borderId="1">
      <alignment horizontal="center" vertical="center"/>
    </xf>
    <xf numFmtId="9" fontId="2" fillId="0" borderId="1">
      <alignment horizontal="center" vertical="center"/>
    </xf>
    <xf numFmtId="4" fontId="2" fillId="0" borderId="1">
      <alignment horizontal="center" vertical="center"/>
    </xf>
    <xf numFmtId="3" fontId="2" fillId="0" borderId="1">
      <alignment horizontal="center" vertical="center"/>
    </xf>
    <xf numFmtId="0" fontId="13" fillId="0" borderId="1">
      <alignment horizontal="center" vertical="center"/>
    </xf>
    <xf numFmtId="0" fontId="14" fillId="0" borderId="1">
      <alignment horizontal="center" vertical="center"/>
    </xf>
    <xf numFmtId="9" fontId="13" fillId="0" borderId="1">
      <alignment horizontal="center" vertical="center"/>
    </xf>
    <xf numFmtId="165" fontId="13" fillId="0" borderId="1">
      <alignment horizontal="center" vertical="center"/>
    </xf>
    <xf numFmtId="3" fontId="13" fillId="0" borderId="1">
      <alignment horizontal="center" vertical="center"/>
    </xf>
    <xf numFmtId="0" fontId="15" fillId="4" borderId="0">
      <alignment horizontal="left" vertical="center"/>
    </xf>
    <xf numFmtId="0" fontId="6" fillId="4" borderId="2">
      <alignment horizontal="left" vertical="center" indent="1"/>
    </xf>
    <xf numFmtId="164" fontId="8" fillId="4" borderId="2">
      <alignment horizontal="center" vertical="center"/>
    </xf>
    <xf numFmtId="0" fontId="3" fillId="4" borderId="2">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3">
      <alignment horizontal="left" vertical="center" indent="1"/>
    </xf>
    <xf numFmtId="0" fontId="18" fillId="10" borderId="0">
      <alignment horizontal="left" vertical="center" indent="1"/>
    </xf>
    <xf numFmtId="0" fontId="18" fillId="5" borderId="0">
      <alignment horizontal="left" vertical="center" indent="1"/>
    </xf>
    <xf numFmtId="0" fontId="18" fillId="8" borderId="0">
      <alignment horizontal="left" vertical="center" indent="1"/>
    </xf>
    <xf numFmtId="0" fontId="19" fillId="0" borderId="0">
      <alignment horizontal="left" vertical="center" indent="2"/>
    </xf>
    <xf numFmtId="0" fontId="29" fillId="12" borderId="4">
      <alignment horizontal="left" vertical="center"/>
    </xf>
    <xf numFmtId="3" fontId="21" fillId="4" borderId="1">
      <alignment horizontal="center" vertical="center"/>
    </xf>
    <xf numFmtId="167" fontId="2" fillId="0" borderId="1">
      <alignment horizontal="center" vertical="center"/>
    </xf>
    <xf numFmtId="0" fontId="22" fillId="0" borderId="0"/>
    <xf numFmtId="0" fontId="9" fillId="0" borderId="0"/>
    <xf numFmtId="0" fontId="22" fillId="0" borderId="0"/>
    <xf numFmtId="166" fontId="21" fillId="4" borderId="1">
      <alignment horizontal="center" vertical="center"/>
    </xf>
    <xf numFmtId="4" fontId="21" fillId="4" borderId="1">
      <alignment horizontal="center" vertical="center"/>
    </xf>
    <xf numFmtId="0" fontId="25" fillId="4" borderId="0">
      <alignment horizontal="left" vertical="center"/>
    </xf>
    <xf numFmtId="0" fontId="24" fillId="4" borderId="0" applyNumberFormat="0">
      <alignment horizontal="center" vertical="center"/>
    </xf>
    <xf numFmtId="165" fontId="21" fillId="4" borderId="1">
      <alignment horizontal="center" vertical="center"/>
    </xf>
    <xf numFmtId="0" fontId="20" fillId="4" borderId="0">
      <alignment horizontal="left" vertical="center"/>
    </xf>
    <xf numFmtId="168" fontId="21" fillId="4" borderId="1">
      <alignment horizontal="center" vertical="center"/>
    </xf>
    <xf numFmtId="0" fontId="21" fillId="4" borderId="1">
      <alignment horizontal="center" vertical="center"/>
    </xf>
    <xf numFmtId="0" fontId="6" fillId="4" borderId="0">
      <alignment horizontal="left" vertical="center"/>
    </xf>
    <xf numFmtId="0" fontId="27" fillId="4" borderId="0">
      <alignment horizontal="left" vertical="center"/>
    </xf>
    <xf numFmtId="0" fontId="9" fillId="0" borderId="0"/>
    <xf numFmtId="0" fontId="2" fillId="0" borderId="1">
      <alignment horizontal="center" vertical="center"/>
    </xf>
    <xf numFmtId="0" fontId="30" fillId="4" borderId="0">
      <alignment horizontal="left" vertical="center"/>
    </xf>
    <xf numFmtId="0" fontId="31" fillId="4" borderId="0">
      <alignment horizontal="left" vertical="center"/>
    </xf>
  </cellStyleXfs>
  <cellXfs count="15">
    <xf numFmtId="0" fontId="0" fillId="0" borderId="0" xfId="0"/>
    <xf numFmtId="0" fontId="26" fillId="4" borderId="0" xfId="8">
      <alignment horizontal="left" vertical="center"/>
    </xf>
    <xf numFmtId="0" fontId="3" fillId="4" borderId="0" xfId="7">
      <alignment horizontal="left" vertical="center"/>
    </xf>
    <xf numFmtId="0" fontId="16" fillId="3" borderId="0" xfId="4">
      <alignment vertical="center"/>
    </xf>
    <xf numFmtId="0" fontId="28" fillId="4" borderId="0" xfId="6">
      <alignment vertical="center"/>
    </xf>
    <xf numFmtId="0" fontId="23"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0" fillId="4" borderId="0" xfId="0" applyFill="1"/>
    <xf numFmtId="0" fontId="0" fillId="0" borderId="0" xfId="8" applyFont="1" applyFill="1">
      <alignment horizontal="left" vertical="center"/>
    </xf>
    <xf numFmtId="0" fontId="6" fillId="4" borderId="0" xfId="53">
      <alignment horizontal="left" vertical="center"/>
    </xf>
    <xf numFmtId="0" fontId="27" fillId="4" borderId="0" xfId="54">
      <alignment horizontal="left" vertical="center"/>
    </xf>
    <xf numFmtId="0" fontId="0" fillId="0" borderId="0" xfId="7" applyFont="1" applyFill="1">
      <alignment horizontal="left" vertical="center"/>
    </xf>
  </cellXfs>
  <cellStyles count="59">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s>
  <dxfs count="48">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7"/>
      <tableStyleElement type="headerRow" dxfId="46"/>
      <tableStyleElement type="totalRow" dxfId="45"/>
      <tableStyleElement type="firstColumn" dxfId="44"/>
      <tableStyleElement type="firstRowStripe" dxfId="43"/>
      <tableStyleElement type="secondRowStripe" dxfId="42"/>
    </tableStyle>
    <tableStyle name="Equation table" pivot="0" count="6" xr9:uid="{B247698E-E41D-4CCD-AA0A-C14817E9DE65}">
      <tableStyleElement type="wholeTable" dxfId="41"/>
      <tableStyleElement type="headerRow" dxfId="40"/>
      <tableStyleElement type="totalRow" dxfId="39"/>
      <tableStyleElement type="firstColumn" dxfId="38"/>
      <tableStyleElement type="firstRowStripe" dxfId="37"/>
      <tableStyleElement type="secondRowStripe" dxfId="36"/>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2.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5AFDDE-E44E-4566-9446-49D22D1085D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BD56FF8-29E2-4DF7-85A1-55618F035A34}" name="State/Territory">
      <calculatedColumnFormula array="1">Common_InputFunctions.Utility_DisplayArrayInTable(Common_SourceData.Common_SourceData_AustralianStatesTerritories_Data(),Table_AustralianStates[[#Headers],[State/Territory]],0)</calculatedColumnFormula>
    </tableColumn>
    <tableColumn id="2" xr3:uid="{F5DA0D0E-6BC4-4950-A99F-5113C027644B}" name="Common Name">
      <calculatedColumnFormula array="1">Common_InputFunctions.Utility_DisplayArrayInTable(Common_SourceData.Common_SourceData_AustralianStatesTerritories_Data(),Table_AustralianStates[[#Headers],[State/Territory]],0)</calculatedColumnFormula>
    </tableColumn>
    <tableColumn id="3" xr3:uid="{387B7C9E-D7D9-4D36-A290-1A81ACD3515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8A2510-6801-4CC4-A35D-1182F8B5B0D6}" name="Table_WASA4Areas" displayName="Table_WASA4Areas" ref="D20:D30" totalsRowShown="0">
  <autoFilter ref="D20:D30" xr:uid="{5FA81339-C6C8-4D36-BEEA-6C4AEDD9E676}">
    <filterColumn colId="0" hiddenButton="1"/>
  </autoFilter>
  <tableColumns count="1">
    <tableColumn id="1" xr3:uid="{FEC43FAA-C4DB-43B0-B971-1FF71C5C3EB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693B4F-0827-4BC0-8BFF-4E2F8802A9A6}" name="Table_GWPData" displayName="Table_GWPData" ref="D36:E43" totalsRowShown="0">
  <autoFilter ref="D36:E43" xr:uid="{B8E87A66-3E41-4AD3-925D-01EE21B43D7A}">
    <filterColumn colId="0" hiddenButton="1"/>
    <filterColumn colId="1" hiddenButton="1"/>
  </autoFilter>
  <tableColumns count="2">
    <tableColumn id="1" xr3:uid="{58198B4B-31B9-425F-A0C1-D1593EEF16FC}" name="Gas">
      <calculatedColumnFormula array="1">Common_InputFunctions.Utility_DisplayArrayInTable(Common_SourceData.Common_SourceData_GWP_Data(), Table_GWPData[[#Headers],[Gas]], 0)</calculatedColumnFormula>
    </tableColumn>
    <tableColumn id="2" xr3:uid="{B9F0B86C-9146-4976-B742-C78D7C3C114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2FC099-DF5F-42B5-806A-E7A93207469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6E029C1-D4D4-46E4-9D9D-9AA604F09519}" name="Gas">
      <calculatedColumnFormula array="1">Common_InputFunctions.Utility_DisplayArrayInTable(Common_SourceData.Common_SourceData_ConvertGasElementalToMolecular_Data(),Table_GasToMolecularConversionFactor[[#Headers],[Gas]], 0)</calculatedColumnFormula>
    </tableColumn>
    <tableColumn id="5" xr3:uid="{AD8A597E-16A3-42B7-A64E-7A1DF4ED3338}" name="Conversion factor">
      <calculatedColumnFormula array="1">Common_InputFunctions.Utility_DisplayArrayInTable(Common_SourceData.Common_SourceData_ConvertGasElementalToMolecular_Data(),Table_GasToMolecularConversionFactor[[#Headers],[Gas]], 0)</calculatedColumnFormula>
    </tableColumn>
    <tableColumn id="2" xr3:uid="{FB88E96D-D31C-4C55-BB92-4DA916E3D9DA}"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708733D-F7A9-4A74-8BE2-FF67131886D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26A421E-E754-4C8A-9D08-12DF73D61E7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FF0180F-7F7D-4433-BEE0-8A0A823637B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938BBE8-7B92-48A9-872B-3320D21DB63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58207C9-89A7-4F8D-BFB1-8E32C6E5CE10}"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354F10CE-DC7A-49A5-AA19-EEB6281A6412}"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38F4182B-B4B5-426D-98BC-0B2593A7B2AC}"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EE15735E-8ABF-428C-B015-3F1955A6D060}"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24D889BF-3FFC-47F8-87FE-E95F033D2601}"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8B1AA507-6E86-4E0A-8123-6045EBFC43F0}"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A64A9C-167B-48BE-9126-A0FC1AEC24A5}"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6A8CA332-9832-49EA-97FB-DD23C730245E}"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B24E0786-86EC-449C-85EE-60C753B18536}"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25C5B38E-3202-4F57-A055-5B1AD8BE4CEF}"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E486BEC3-9016-4BF3-8FB0-8F4450C55190}"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8C9D6103-6384-43E4-AD6A-556A38AB52A4}"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BF7FD137-AA7E-444B-8D18-DC8AB8FE4C1A}"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9EBF2EA-96A6-4345-93B0-3364616813EA}"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3EB0AAD6-2B47-4B1F-AB9F-DF46F10D5123}"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32A6A92-FC29-4D50-BA04-0826843E770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FCD4A06-823B-4A3F-89D0-46C27A9E1AA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605D6DF8-71A8-491A-BF4E-F6D008835D65}"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9FC6E4B-1485-47B3-B981-452B30BCE51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5FDD3467-EE45-473F-B48C-CD61900185F2}" name="Temperature Zone">
      <calculatedColumnFormula array="1">Common_InputFunctions.Utility_DisplayArrayInTable(Common_SourceData.Common_SourceData_TemperatureZones_Data(),Table_SourceData_TemperatureZones[[#Headers],[Temperature Zone]],0)</calculatedColumnFormula>
    </tableColumn>
    <tableColumn id="2" xr3:uid="{3152390A-DC85-4607-A3A6-0AA517B5C99A}" name="MAT">
      <calculatedColumnFormula array="1">Common_InputFunctions.Utility_DisplayArrayInTable(Common_SourceData.Common_SourceData_TemperatureZones_Data(),Table_SourceData_TemperatureZones[[#Headers],[Temperature Zone]],0)</calculatedColumnFormula>
    </tableColumn>
    <tableColumn id="3" xr3:uid="{0ADEDEE0-6AD4-4B94-BBD5-BCBB07E1B11F}" name="Min MAT">
      <calculatedColumnFormula array="1">Common_InputFunctions.Utility_DisplayArrayInTable(Common_SourceData.Common_SourceData_TemperatureZones_Data(),Table_SourceData_TemperatureZones[[#Headers],[Temperature Zone]],0)</calculatedColumnFormula>
    </tableColumn>
    <tableColumn id="4" xr3:uid="{865B2916-F18A-4E99-BE24-FAB9BFD4F68A}"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7337C26-229C-4E09-A297-90C453C060F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AEEFC53-E611-4230-AAAF-3DE6B5E5E950}" name="Rainfall Zone">
      <calculatedColumnFormula array="1">Common_InputFunctions.Utility_DisplayArrayInTable(Common_SourceData.Common_SourceData_RainfallZones_Data(),Table_SourceData_RainfallZones[[#Headers],[Rainfall Zone]],0)</calculatedColumnFormula>
    </tableColumn>
    <tableColumn id="2" xr3:uid="{C472DBB4-6A9E-4914-AA99-450142F197F5}" name="Annual rainfall">
      <calculatedColumnFormula array="1">Common_InputFunctions.Utility_DisplayArrayInTable(Common_SourceData.Common_SourceData_RainfallZones_Data(),Table_SourceData_RainfallZones[[#Headers],[Rainfall Zone]],0)</calculatedColumnFormula>
    </tableColumn>
    <tableColumn id="3" xr3:uid="{0286587B-B8A4-411F-86B6-7742963B61A7}" name="Min rainfall">
      <calculatedColumnFormula array="1">Common_InputFunctions.Utility_DisplayArrayInTable(Common_SourceData.Common_SourceData_RainfallZones_Data(),Table_SourceData_RainfallZones[[#Headers],[Rainfall Zone]],0)</calculatedColumnFormula>
    </tableColumn>
    <tableColumn id="4" xr3:uid="{9A50E08F-C1E5-4577-BFCD-3512C380DD3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DB7A349-D3DD-4014-9714-0EE906A8098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1D54A58-B9CE-4F4F-A6C1-9709184F0C68}" name="Leaching Zone">
      <calculatedColumnFormula array="1">Common_InputFunctions.Utility_DisplayArrayInTable(Common_SourceData.Common_SourceData_LeachingZones_Data(), Table_SourceData_LeachingZones[[#Headers],[Leaching Zone]], 0)</calculatedColumnFormula>
    </tableColumn>
    <tableColumn id="2" xr3:uid="{FA4910CF-D781-41C4-A05F-986A4A73D67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BFC15E8-D67C-4277-8EF9-438444043863}"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59A3EF04-81A1-4788-92ED-C93EB4567386}" name="Data source">
      <calculatedColumnFormula array="1">Common_InputFunctions.Utility_DisplayArrayInTable(Common_SourceData.Common_SourceData_DataScores_Scope3_Data(), Table_SourceData_DataScores_Scope3[[#Headers],[Data source]], 0)</calculatedColumnFormula>
    </tableColumn>
    <tableColumn id="2" xr3:uid="{08331E38-C96C-45D2-ABE0-F9E96883DAB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871F994-12EC-4014-A3F3-C7F599044252}" name="Table_SourceData_FracWET" displayName="Table_SourceData_FracWET" ref="D134:E136" totalsRowShown="0">
  <autoFilter ref="D134:E136" xr:uid="{308E99BE-FE1F-47A4-B2CA-97217277C4E9}">
    <filterColumn colId="0" hiddenButton="1"/>
    <filterColumn colId="1" hiddenButton="1"/>
  </autoFilter>
  <tableColumns count="2">
    <tableColumn id="1" xr3:uid="{CA74DB79-CAE7-4EF8-BA48-96421E9E9373}" name="Is in leaching zone">
      <calculatedColumnFormula array="1">Common_InputFunctions.Utility_DisplayArrayInTable(Common_SourceData.Common_SourceData_FracWET_Data(),Table_SourceData_FracWET[[#Headers],[Is in leaching zone]],0)</calculatedColumnFormula>
    </tableColumn>
    <tableColumn id="2" xr3:uid="{F0DDE0C3-8378-485B-A4A4-D07B38ADF801}"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FF24A4D-FB3A-4990-A60E-B22F27A2557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849A0981-50FD-4A56-9339-1D4877F4BC58}" name="Production system j">
      <calculatedColumnFormula array="1">Common_InputFunctions.Utility_DisplayArrayInTable(Common_SourceData.Common_SourceData_EFN2O_Data(), Table_SourceData_Common_EFN2O[[#Headers],[Production system j]], 0)</calculatedColumnFormula>
    </tableColumn>
    <tableColumn id="2" xr3:uid="{956974C7-4464-4357-8D9E-FC82DB381483}" name="EFN2O">
      <calculatedColumnFormula array="1">Common_InputFunctions.Utility_DisplayArrayInTable(Common_SourceData.Common_SourceData_EFN2O_Data(), Table_SourceData_Common_EFN2O[[#Headers],[Production system j]], 0)</calculatedColumnFormula>
    </tableColumn>
    <tableColumn id="3" xr3:uid="{31E180E3-1F8B-483C-A30C-1675039A95CA}" name="Production system only">
      <calculatedColumnFormula array="1">Common_InputFunctions.Utility_DisplayArrayInTable(Common_SourceData.Common_SourceData_EFN2O_Data(), Table_SourceData_Common_EFN2O[[#Headers],[Production system j]], 0)</calculatedColumnFormula>
    </tableColumn>
    <tableColumn id="4" xr3:uid="{C9763E21-E4AE-4087-BDBD-60136B5D44A0}" name="Irrigation method">
      <calculatedColumnFormula array="1">Common_InputFunctions.Utility_DisplayArrayInTable(Common_SourceData.Common_SourceData_EFN2O_Data(), Table_SourceData_Common_EFN2O[[#Headers],[Production system j]], 0)</calculatedColumnFormula>
    </tableColumn>
    <tableColumn id="5" xr3:uid="{3490D434-A455-4128-8D9F-A4C3B5BCB72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48CA34-50DE-46D5-B32A-BB3A1E818E3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18D772B-2FE9-457A-A200-8E17C55C340C}" name="Irrigation type i">
      <calculatedColumnFormula array="1">Common_InputFunctions.Utility_DisplayArrayInTable(Common_SourceData.Common_SourceData_FracWETIrrigation_Data(), Table_SourceData_FracWETIrrigation[[#Headers],[Irrigation type i]], 0)</calculatedColumnFormula>
    </tableColumn>
    <tableColumn id="2" xr3:uid="{A11A4C1D-EDEC-4818-93B7-672872C6D107}"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5BE3F89-D70E-4C53-A71C-E756622DEF3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18360C9-DDF8-4B7B-B842-EE0D39ED743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76E0F1A-E7CF-4E69-9C3F-6E0E84FF4B5D}"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7796C3A-D95E-4077-AA20-A8FE4145DAA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CBE043C-4D22-47C3-AE18-5E55E64542E1}" name="Month">
      <calculatedColumnFormula array="1">Common_InputFunctions.Utility_DisplayArrayInTable(Common_SourceData.Common_SourceData_MonthsToSeasons_Data(), Table_SourceData_Common_MonthToSeason[[#Headers],[Month]], 0)</calculatedColumnFormula>
    </tableColumn>
    <tableColumn id="2" xr3:uid="{10DA8C9D-4358-470A-AF6C-AE27470313DE}"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D72DD9B-C8FA-48F4-9A11-20231FF87B5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E03AF9F-C6DD-415E-A42C-F2360BC32F7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7B3EB32-B4EC-4553-A2E1-8AE19F5ED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245CE73-83DF-4AB6-BE51-10D787832614}"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96977D75-8628-4103-9D52-F7049CB2572B}"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64B281A-2EA4-4881-94F1-FEBD2B18C67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934BA44-DDF5-433B-A89F-5DB281BAB7B5}"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699EC0ED-651C-48B9-9F8F-73146B12DB72}"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E240578-9A8B-47C9-A356-B69BB058D44B}"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22DD34E-8EDF-42D6-BE68-8D30A5F4A8CF}"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30FA508-F44F-43A0-8A87-F28C2DB6D4D5}"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BD6E90D-D2CF-4733-8286-F67C28172389}"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EE74F5BC-4374-40FF-85F0-AE26E403B07E}"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53034D9-4966-41B7-BD99-44BBB861677D}"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9F06DF1-1149-43CE-9ADC-FD2C1D44B8D0}"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8CF9642-D223-420C-B387-277C82D3BB2E}"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0B403FCE-8D29-4E28-99ED-B0004709790F}"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6E01C14-1BB8-4015-9158-4CEB4D3B605C}"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3C12381E-3675-4A77-B50C-CAF33F1781C7}"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15B1FB4A-EB78-4095-8978-98D149B427BD}"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0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159CA-1C38-4131-B0D4-3DBCDED3299D}">
  <dimension ref="A1"/>
  <sheetViews>
    <sheetView workbookViewId="0">
      <selection activeCell="A2" sqref="A2"/>
    </sheetView>
  </sheetViews>
  <sheetFormatPr defaultRowHeight="15" x14ac:dyDescent="0.25"/>
  <sheetData>
    <row r="1" spans="1:1" x14ac:dyDescent="0.25">
      <c r="A1"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68956-F921-4291-AAEE-DE11952DD430}">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36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
        <v>68</v>
      </c>
      <c r="BM5" s="2"/>
    </row>
    <row r="6" spans="1:65" ht="20.100000000000001" customHeight="1" x14ac:dyDescent="0.25">
      <c r="A6"/>
      <c r="D6" s="11" t="s">
        <v>1</v>
      </c>
      <c r="E6" s="11" t="s">
        <v>2</v>
      </c>
      <c r="F6" s="11" t="s">
        <v>3</v>
      </c>
    </row>
    <row r="7" spans="1:65" ht="20.100000000000001" customHeight="1" x14ac:dyDescent="0.25">
      <c r="A7"/>
      <c r="D7" s="11" t="s">
        <v>69</v>
      </c>
      <c r="E7" s="11" t="s">
        <v>69</v>
      </c>
      <c r="F7" s="11" t="s">
        <v>70</v>
      </c>
    </row>
    <row r="8" spans="1:65" ht="20.100000000000001" customHeight="1" x14ac:dyDescent="0.25">
      <c r="A8"/>
      <c r="D8" s="11" t="s">
        <v>71</v>
      </c>
      <c r="E8" s="11" t="s">
        <v>72</v>
      </c>
      <c r="F8" s="11" t="s">
        <v>72</v>
      </c>
    </row>
    <row r="9" spans="1:65" ht="20.100000000000001" customHeight="1" x14ac:dyDescent="0.25">
      <c r="A9"/>
      <c r="D9" s="11" t="s">
        <v>73</v>
      </c>
      <c r="E9" s="11" t="s">
        <v>73</v>
      </c>
      <c r="F9" s="11" t="s">
        <v>74</v>
      </c>
    </row>
    <row r="10" spans="1:65" ht="20.100000000000001" customHeight="1" x14ac:dyDescent="0.25">
      <c r="A10"/>
      <c r="D10" s="11" t="s">
        <v>75</v>
      </c>
      <c r="E10" s="11" t="s">
        <v>75</v>
      </c>
      <c r="F10" s="11" t="s">
        <v>76</v>
      </c>
    </row>
    <row r="11" spans="1:65" ht="20.100000000000001" customHeight="1" x14ac:dyDescent="0.25">
      <c r="A11"/>
      <c r="D11" s="11" t="s">
        <v>77</v>
      </c>
      <c r="E11" s="11" t="s">
        <v>77</v>
      </c>
      <c r="F11" s="11" t="s">
        <v>78</v>
      </c>
      <c r="BM11" s="2"/>
    </row>
    <row r="12" spans="1:65" ht="20.100000000000001" customHeight="1" x14ac:dyDescent="0.25">
      <c r="A12"/>
      <c r="D12" s="11" t="s">
        <v>79</v>
      </c>
      <c r="E12" s="11" t="s">
        <v>79</v>
      </c>
      <c r="F12" s="11" t="s">
        <v>80</v>
      </c>
      <c r="BM12" s="2"/>
    </row>
    <row r="13" spans="1:65" ht="20.100000000000001" customHeight="1" x14ac:dyDescent="0.25">
      <c r="A13"/>
      <c r="D13" s="11" t="s">
        <v>81</v>
      </c>
      <c r="E13" s="11" t="s">
        <v>81</v>
      </c>
      <c r="F13" s="11" t="s">
        <v>82</v>
      </c>
    </row>
    <row r="14" spans="1:65" ht="20.100000000000001" customHeight="1" x14ac:dyDescent="0.25">
      <c r="A14"/>
      <c r="D14" s="11" t="s">
        <v>83</v>
      </c>
      <c r="E14" s="11" t="s">
        <v>83</v>
      </c>
      <c r="F14" s="11" t="s">
        <v>84</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
        <v>85</v>
      </c>
    </row>
    <row r="19" spans="1:4" ht="20.100000000000001" customHeight="1" x14ac:dyDescent="0.25">
      <c r="A19"/>
      <c r="D19" s="4" t="s">
        <v>86</v>
      </c>
    </row>
    <row r="20" spans="1:4" ht="20.100000000000001" customHeight="1" x14ac:dyDescent="0.25">
      <c r="A20"/>
      <c r="D20" s="11" t="s">
        <v>4</v>
      </c>
    </row>
    <row r="21" spans="1:4" ht="20.100000000000001" customHeight="1" x14ac:dyDescent="0.25">
      <c r="A21"/>
      <c r="D21" s="11" t="s">
        <v>87</v>
      </c>
    </row>
    <row r="22" spans="1:4" ht="20.100000000000001" customHeight="1" x14ac:dyDescent="0.25">
      <c r="A22"/>
      <c r="D22" s="11" t="s">
        <v>88</v>
      </c>
    </row>
    <row r="23" spans="1:4" ht="20.100000000000001" customHeight="1" x14ac:dyDescent="0.25">
      <c r="A23"/>
      <c r="D23" s="11" t="s">
        <v>89</v>
      </c>
    </row>
    <row r="24" spans="1:4" ht="20.100000000000001" customHeight="1" x14ac:dyDescent="0.25">
      <c r="A24"/>
      <c r="D24" s="11" t="s">
        <v>90</v>
      </c>
    </row>
    <row r="25" spans="1:4" ht="20.100000000000001" customHeight="1" x14ac:dyDescent="0.25">
      <c r="A25"/>
      <c r="D25" s="11" t="s">
        <v>91</v>
      </c>
    </row>
    <row r="26" spans="1:4" ht="20.100000000000001" customHeight="1" x14ac:dyDescent="0.25">
      <c r="A26"/>
      <c r="D26" s="11" t="s">
        <v>92</v>
      </c>
    </row>
    <row r="27" spans="1:4" ht="20.100000000000001" customHeight="1" x14ac:dyDescent="0.25">
      <c r="A27"/>
      <c r="D27" s="11" t="s">
        <v>93</v>
      </c>
    </row>
    <row r="28" spans="1:4" ht="20.100000000000001" customHeight="1" x14ac:dyDescent="0.25">
      <c r="A28"/>
      <c r="D28" s="11" t="s">
        <v>94</v>
      </c>
    </row>
    <row r="29" spans="1:4" ht="20.100000000000001" customHeight="1" x14ac:dyDescent="0.25">
      <c r="A29"/>
      <c r="D29" s="11" t="s">
        <v>95</v>
      </c>
    </row>
    <row r="30" spans="1:4" ht="20.100000000000001" customHeight="1" x14ac:dyDescent="0.25">
      <c r="A30"/>
      <c r="D30" s="11" t="s">
        <v>96</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
        <v>97</v>
      </c>
    </row>
    <row r="35" spans="1:8" ht="20.100000000000001" customHeight="1" x14ac:dyDescent="0.25">
      <c r="A35"/>
      <c r="D35" s="4" t="s">
        <v>98</v>
      </c>
    </row>
    <row r="36" spans="1:8" ht="20.100000000000001" customHeight="1" x14ac:dyDescent="0.25">
      <c r="A36"/>
      <c r="D36" s="11" t="s">
        <v>5</v>
      </c>
      <c r="E36" s="11" t="s">
        <v>6</v>
      </c>
    </row>
    <row r="37" spans="1:8" ht="20.100000000000001" customHeight="1" x14ac:dyDescent="0.25">
      <c r="A37"/>
      <c r="D37" s="11" t="s">
        <v>99</v>
      </c>
      <c r="E37" s="11">
        <v>1</v>
      </c>
    </row>
    <row r="38" spans="1:8" ht="20.100000000000001" customHeight="1" x14ac:dyDescent="0.25">
      <c r="A38"/>
      <c r="D38" s="11" t="s">
        <v>100</v>
      </c>
      <c r="E38" s="11">
        <v>28</v>
      </c>
    </row>
    <row r="39" spans="1:8" ht="20.100000000000001" customHeight="1" x14ac:dyDescent="0.25">
      <c r="A39"/>
      <c r="D39" s="11" t="s">
        <v>101</v>
      </c>
      <c r="E39" s="11">
        <v>265</v>
      </c>
    </row>
    <row r="40" spans="1:8" ht="20.100000000000001" customHeight="1" x14ac:dyDescent="0.25">
      <c r="A40"/>
      <c r="D40" s="11" t="s">
        <v>102</v>
      </c>
      <c r="E40" s="11">
        <v>6630</v>
      </c>
    </row>
    <row r="41" spans="1:8" ht="20.100000000000001" customHeight="1" x14ac:dyDescent="0.25">
      <c r="A41"/>
      <c r="D41" s="11" t="s">
        <v>103</v>
      </c>
      <c r="E41" s="11">
        <v>12200</v>
      </c>
    </row>
    <row r="42" spans="1:8" ht="20.100000000000001" customHeight="1" x14ac:dyDescent="0.25">
      <c r="D42" s="11" t="s">
        <v>104</v>
      </c>
      <c r="E42" s="11">
        <v>22800</v>
      </c>
    </row>
    <row r="43" spans="1:8" ht="20.100000000000001" customHeight="1" x14ac:dyDescent="0.25">
      <c r="D43" s="11" t="s">
        <v>105</v>
      </c>
      <c r="E43" s="11">
        <v>17200</v>
      </c>
    </row>
    <row r="44" spans="1:8" ht="20.100000000000001" customHeight="1" x14ac:dyDescent="0.25"/>
    <row r="45" spans="1:8" ht="20.100000000000001" customHeight="1" x14ac:dyDescent="0.25">
      <c r="D45" s="5" t="s">
        <v>106</v>
      </c>
    </row>
    <row r="46" spans="1:8" ht="20.100000000000001" customHeight="1" x14ac:dyDescent="0.25">
      <c r="D46" s="4" t="s">
        <v>98</v>
      </c>
    </row>
    <row r="47" spans="1:8" ht="20.100000000000001" customHeight="1" x14ac:dyDescent="0.25">
      <c r="D47" s="11" t="s">
        <v>5</v>
      </c>
      <c r="E47" s="11" t="s">
        <v>7</v>
      </c>
      <c r="F47" s="11" t="s">
        <v>8</v>
      </c>
      <c r="G47" s="11" t="s">
        <v>9</v>
      </c>
      <c r="H47" s="11" t="s">
        <v>10</v>
      </c>
    </row>
    <row r="48" spans="1:8" ht="20.100000000000001" customHeight="1" x14ac:dyDescent="0.25">
      <c r="D48" s="11" t="s">
        <v>99</v>
      </c>
      <c r="E48" s="11" t="s">
        <v>107</v>
      </c>
      <c r="F48" s="11">
        <v>44</v>
      </c>
      <c r="G48" s="11">
        <v>12</v>
      </c>
      <c r="H48" s="11">
        <f>Table_GasToMolecularConversionFactor[[#This Row],[Conversion factor 1]]/Table_GasToMolecularConversionFactor[[#This Row],[Conversion factor 2]]</f>
        <v>3.6666666666666665</v>
      </c>
    </row>
    <row r="49" spans="4:8" ht="20.100000000000001" customHeight="1" x14ac:dyDescent="0.25">
      <c r="D49" s="11" t="s">
        <v>100</v>
      </c>
      <c r="E49" s="11" t="s">
        <v>108</v>
      </c>
      <c r="F49" s="11">
        <v>16</v>
      </c>
      <c r="G49" s="11">
        <v>12</v>
      </c>
      <c r="H49" s="11">
        <f>Table_GasToMolecularConversionFactor[[#This Row],[Conversion factor 1]]/Table_GasToMolecularConversionFactor[[#This Row],[Conversion factor 2]]</f>
        <v>1.3333333333333333</v>
      </c>
    </row>
    <row r="50" spans="4:8" ht="20.100000000000001" customHeight="1" x14ac:dyDescent="0.25">
      <c r="D50" s="11" t="s">
        <v>101</v>
      </c>
      <c r="E50" s="11" t="s">
        <v>109</v>
      </c>
      <c r="F50" s="11">
        <v>44</v>
      </c>
      <c r="G50" s="11">
        <v>28</v>
      </c>
      <c r="H50" s="11">
        <f>Table_GasToMolecularConversionFactor[[#This Row],[Conversion factor 1]]/Table_GasToMolecularConversionFactor[[#This Row],[Conversion factor 2]]</f>
        <v>1.5714285714285714</v>
      </c>
    </row>
    <row r="51" spans="4:8" ht="20.100000000000001" customHeight="1" x14ac:dyDescent="0.25">
      <c r="D51" s="11" t="s">
        <v>110</v>
      </c>
      <c r="E51" s="11" t="s">
        <v>111</v>
      </c>
      <c r="F51" s="11">
        <v>46</v>
      </c>
      <c r="G51" s="11">
        <v>14</v>
      </c>
      <c r="H51" s="11">
        <f>Table_GasToMolecularConversionFactor[[#This Row],[Conversion factor 1]]/Table_GasToMolecularConversionFactor[[#This Row],[Conversion factor 2]]</f>
        <v>3.2857142857142856</v>
      </c>
    </row>
    <row r="52" spans="4:8" ht="20.100000000000001" customHeight="1" x14ac:dyDescent="0.25">
      <c r="D52" s="11" t="s">
        <v>112</v>
      </c>
      <c r="E52" s="11" t="s">
        <v>113</v>
      </c>
      <c r="F52" s="11">
        <v>28</v>
      </c>
      <c r="G52" s="11">
        <v>12</v>
      </c>
      <c r="H52" s="11">
        <f>Table_GasToMolecularConversionFactor[[#This Row],[Conversion factor 1]]/Table_GasToMolecularConversionFactor[[#This Row],[Conversion factor 2]]</f>
        <v>2.3333333333333335</v>
      </c>
    </row>
    <row r="53" spans="4:8" ht="20.100000000000001" customHeight="1" x14ac:dyDescent="0.25">
      <c r="D53" s="11" t="s">
        <v>114</v>
      </c>
      <c r="E53" s="11" t="s">
        <v>107</v>
      </c>
      <c r="F53" s="11">
        <v>44</v>
      </c>
      <c r="G53" s="11">
        <v>12</v>
      </c>
      <c r="H53" s="11">
        <f>Table_GasToMolecularConversionFactor[[#This Row],[Conversion factor 1]]/Table_GasToMolecularConversionFactor[[#This Row],[Conversion factor 2]]</f>
        <v>3.6666666666666665</v>
      </c>
    </row>
    <row r="54" spans="4:8" ht="20.100000000000001" customHeight="1" x14ac:dyDescent="0.25">
      <c r="D54" s="11" t="s">
        <v>115</v>
      </c>
      <c r="E54" s="11" t="s">
        <v>116</v>
      </c>
      <c r="F54" s="11">
        <v>14</v>
      </c>
      <c r="G54" s="11">
        <v>12</v>
      </c>
      <c r="H54" s="11">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
        <v>117</v>
      </c>
    </row>
    <row r="58" spans="4:8" ht="20.100000000000001" customHeight="1" x14ac:dyDescent="0.25">
      <c r="D58" s="4" t="s">
        <v>118</v>
      </c>
    </row>
    <row r="59" spans="4:8" ht="20.100000000000001" customHeight="1" x14ac:dyDescent="0.25">
      <c r="D59" s="13" t="str" cm="1">
        <f t="array" ref="D59:D61">"⚠️" &amp; Common_SourceData.Common_SourceData_WetAndDryZones_Variation()</f>
        <v>⚠️VARIATION OF SOURCE DATA:</v>
      </c>
    </row>
    <row r="60" spans="4:8" ht="20.100000000000001" customHeight="1" x14ac:dyDescent="0.25">
      <c r="D60" s="13" t="str">
        <v>⚠️Added warm / cool temperate moist / dry - low frost and high temp classes to accommodate climate scenarios excluded by VEERG criteria.</v>
      </c>
    </row>
    <row r="61" spans="4:8" ht="20.100000000000001" customHeight="1" x14ac:dyDescent="0.25">
      <c r="D61" s="13" t="str">
        <v>⚠️Fixed typo - Changed 'Fry' to 'Dry'.</v>
      </c>
    </row>
    <row r="62" spans="4:8" ht="20.100000000000001" customHeight="1" x14ac:dyDescent="0.25"/>
    <row r="63" spans="4:8" ht="20.100000000000001" customHeight="1" x14ac:dyDescent="0.25">
      <c r="D63" s="11" t="s">
        <v>0</v>
      </c>
      <c r="E63" s="11" t="s">
        <v>23</v>
      </c>
    </row>
    <row r="64" spans="4:8" ht="20.100000000000001" customHeight="1" x14ac:dyDescent="0.25">
      <c r="D64" s="11" t="s">
        <v>119</v>
      </c>
      <c r="E64" s="11" t="s">
        <v>120</v>
      </c>
    </row>
    <row r="65" spans="4:5" ht="20.100000000000001" customHeight="1" x14ac:dyDescent="0.25">
      <c r="D65" s="11" t="s">
        <v>121</v>
      </c>
      <c r="E65" s="11" t="s">
        <v>120</v>
      </c>
    </row>
    <row r="66" spans="4:5" ht="20.100000000000001" customHeight="1" x14ac:dyDescent="0.25">
      <c r="D66" s="11" t="s">
        <v>122</v>
      </c>
      <c r="E66" s="11" t="s">
        <v>120</v>
      </c>
    </row>
    <row r="67" spans="4:5" ht="20.100000000000001" customHeight="1" x14ac:dyDescent="0.25">
      <c r="D67" s="11" t="s">
        <v>123</v>
      </c>
      <c r="E67" s="11" t="s">
        <v>124</v>
      </c>
    </row>
    <row r="68" spans="4:5" ht="20.100000000000001" customHeight="1" x14ac:dyDescent="0.25">
      <c r="D68" s="11" t="s">
        <v>125</v>
      </c>
      <c r="E68" s="11" t="s">
        <v>120</v>
      </c>
    </row>
    <row r="69" spans="4:5" ht="20.100000000000001" customHeight="1" x14ac:dyDescent="0.25">
      <c r="D69" s="11" t="s">
        <v>126</v>
      </c>
      <c r="E69" s="11" t="s">
        <v>124</v>
      </c>
    </row>
    <row r="70" spans="4:5" ht="20.100000000000001" customHeight="1" x14ac:dyDescent="0.25">
      <c r="D70" s="11" t="s">
        <v>127</v>
      </c>
      <c r="E70" s="11" t="s">
        <v>120</v>
      </c>
    </row>
    <row r="71" spans="4:5" ht="20.100000000000001" customHeight="1" x14ac:dyDescent="0.25">
      <c r="D71" s="11" t="s">
        <v>128</v>
      </c>
      <c r="E71" s="11" t="s">
        <v>124</v>
      </c>
    </row>
    <row r="72" spans="4:5" ht="20.100000000000001" customHeight="1" x14ac:dyDescent="0.25">
      <c r="D72" s="11" t="s">
        <v>129</v>
      </c>
      <c r="E72" s="11" t="s">
        <v>120</v>
      </c>
    </row>
    <row r="73" spans="4:5" ht="20.100000000000001" customHeight="1" x14ac:dyDescent="0.25">
      <c r="D73" s="11" t="s">
        <v>130</v>
      </c>
      <c r="E73" s="11" t="s">
        <v>124</v>
      </c>
    </row>
    <row r="74" spans="4:5" ht="20.100000000000001" customHeight="1" x14ac:dyDescent="0.25">
      <c r="D74" s="11" t="s">
        <v>131</v>
      </c>
      <c r="E74" s="11" t="s">
        <v>120</v>
      </c>
    </row>
    <row r="75" spans="4:5" ht="20.100000000000001" customHeight="1" x14ac:dyDescent="0.25">
      <c r="D75" s="11" t="s">
        <v>132</v>
      </c>
      <c r="E75" s="11" t="s">
        <v>124</v>
      </c>
    </row>
    <row r="76" spans="4:5" ht="20.100000000000001" customHeight="1" x14ac:dyDescent="0.25">
      <c r="D76" s="11" t="s">
        <v>133</v>
      </c>
      <c r="E76" s="11" t="s">
        <v>120</v>
      </c>
    </row>
    <row r="77" spans="4:5" ht="20.100000000000001" customHeight="1" x14ac:dyDescent="0.25">
      <c r="D77" s="11" t="s">
        <v>134</v>
      </c>
      <c r="E77" s="11" t="s">
        <v>124</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
        <v>135</v>
      </c>
    </row>
    <row r="82" spans="4:20" ht="20.100000000000001" customHeight="1" x14ac:dyDescent="0.25">
      <c r="D82" s="4" t="s">
        <v>136</v>
      </c>
    </row>
    <row r="83" spans="4:20" ht="20.100000000000001" customHeight="1" x14ac:dyDescent="0.25">
      <c r="D83" s="13" t="str" cm="1">
        <f t="array" ref="D83:D87">"⚠️" &amp; Common_SourceData.Common_SourceData_ClimateZones_Variation()</f>
        <v>⚠️VARIATION OF SOURCE DATA:</v>
      </c>
    </row>
    <row r="84" spans="4:20" ht="20.100000000000001" customHeight="1" x14ac:dyDescent="0.25">
      <c r="D84" s="13" t="str">
        <v>⚠️Added warm / cool temperate moist / dry - low frost and high temp classes to accommodate climate scenarios excluded by VEERG criteria.</v>
      </c>
    </row>
    <row r="85" spans="4:20" ht="20.100000000000001" customHeight="1" x14ac:dyDescent="0.25">
      <c r="D85" s="13" t="str">
        <v>⚠️Fixed typo in MAT value for warm temperate dry - changed 10 to 11.</v>
      </c>
    </row>
    <row r="86" spans="4:20" ht="20.100000000000001" customHeight="1" x14ac:dyDescent="0.25">
      <c r="D86" s="13" t="str">
        <v>⚠️Added min and max columns for MAT, MAP, frost days per year, elevation, MAP:PET to calculate zones from real climate data.</v>
      </c>
    </row>
    <row r="87" spans="4:20" ht="20.100000000000001" customHeight="1" x14ac:dyDescent="0.25">
      <c r="D87" s="13" t="str">
        <v>⚠️GAF accepts rainfall as a proxy for precipitation.</v>
      </c>
    </row>
    <row r="88" spans="4:20" ht="20.100000000000001" customHeight="1" x14ac:dyDescent="0.25"/>
    <row r="89" spans="4:20" ht="20.100000000000001" customHeight="1" x14ac:dyDescent="0.25">
      <c r="D89" s="11" t="s">
        <v>0</v>
      </c>
      <c r="E89" s="11" t="s">
        <v>11</v>
      </c>
      <c r="F89" s="11" t="s">
        <v>12</v>
      </c>
      <c r="G89" s="11" t="s">
        <v>13</v>
      </c>
      <c r="H89" s="11" t="s">
        <v>14</v>
      </c>
      <c r="I89" s="11" t="s">
        <v>15</v>
      </c>
      <c r="J89" s="11" t="s">
        <v>16</v>
      </c>
      <c r="K89" s="11" t="s">
        <v>17</v>
      </c>
      <c r="L89" s="11" t="s">
        <v>18</v>
      </c>
      <c r="M89" s="11" t="s">
        <v>19</v>
      </c>
      <c r="N89" s="11" t="s">
        <v>20</v>
      </c>
      <c r="O89" s="11" t="s">
        <v>24</v>
      </c>
      <c r="P89" s="11" t="s">
        <v>21</v>
      </c>
      <c r="Q89" s="11" t="s">
        <v>25</v>
      </c>
      <c r="R89" s="11" t="s">
        <v>22</v>
      </c>
      <c r="S89" s="11" t="s">
        <v>26</v>
      </c>
      <c r="T89" s="11"/>
    </row>
    <row r="90" spans="4:20" ht="20.100000000000001" customHeight="1" x14ac:dyDescent="0.25">
      <c r="D90" s="11" t="s">
        <v>119</v>
      </c>
      <c r="E90" s="11" t="s">
        <v>137</v>
      </c>
      <c r="F90" s="11" t="s">
        <v>138</v>
      </c>
      <c r="G90" s="11" t="s">
        <v>139</v>
      </c>
      <c r="H90" s="11" t="s">
        <v>140</v>
      </c>
      <c r="I90" s="11" t="s">
        <v>138</v>
      </c>
      <c r="J90" s="11">
        <v>18.001000000000001</v>
      </c>
      <c r="K90" s="11">
        <v>999999</v>
      </c>
      <c r="L90" s="11">
        <v>-999999</v>
      </c>
      <c r="M90" s="11">
        <v>999999</v>
      </c>
      <c r="N90" s="11">
        <v>-999999</v>
      </c>
      <c r="O90" s="11">
        <v>7</v>
      </c>
      <c r="P90" s="11">
        <v>1000</v>
      </c>
      <c r="Q90" s="11">
        <v>999999</v>
      </c>
      <c r="R90" s="11">
        <v>-999999</v>
      </c>
      <c r="S90" s="11">
        <v>999999</v>
      </c>
      <c r="T90" s="11"/>
    </row>
    <row r="91" spans="4:20" ht="20.100000000000001" customHeight="1" x14ac:dyDescent="0.25">
      <c r="D91" s="11" t="s">
        <v>121</v>
      </c>
      <c r="E91" s="11" t="s">
        <v>137</v>
      </c>
      <c r="F91" s="11" t="s">
        <v>141</v>
      </c>
      <c r="G91" s="11" t="s">
        <v>139</v>
      </c>
      <c r="H91" s="11" t="s">
        <v>142</v>
      </c>
      <c r="I91" s="11" t="s">
        <v>138</v>
      </c>
      <c r="J91" s="11">
        <v>18.001000000000001</v>
      </c>
      <c r="K91" s="11">
        <v>999999</v>
      </c>
      <c r="L91" s="11">
        <v>2000.001</v>
      </c>
      <c r="M91" s="11">
        <v>999999</v>
      </c>
      <c r="N91" s="11">
        <v>-999999</v>
      </c>
      <c r="O91" s="11">
        <v>7</v>
      </c>
      <c r="P91" s="11">
        <v>-999999</v>
      </c>
      <c r="Q91" s="11">
        <v>999.99900000000002</v>
      </c>
      <c r="R91" s="11">
        <v>-999999</v>
      </c>
      <c r="S91" s="11">
        <v>999999</v>
      </c>
      <c r="T91" s="11"/>
    </row>
    <row r="92" spans="4:20" ht="20.100000000000001" customHeight="1" x14ac:dyDescent="0.25">
      <c r="D92" s="11" t="s">
        <v>122</v>
      </c>
      <c r="E92" s="11" t="s">
        <v>137</v>
      </c>
      <c r="F92" s="11" t="s">
        <v>143</v>
      </c>
      <c r="G92" s="11" t="s">
        <v>139</v>
      </c>
      <c r="H92" s="11" t="s">
        <v>142</v>
      </c>
      <c r="I92" s="11" t="s">
        <v>138</v>
      </c>
      <c r="J92" s="11">
        <v>18.001000000000001</v>
      </c>
      <c r="K92" s="11">
        <v>999999</v>
      </c>
      <c r="L92" s="11">
        <v>1000.001</v>
      </c>
      <c r="M92" s="11">
        <v>2000</v>
      </c>
      <c r="N92" s="11">
        <v>-999999</v>
      </c>
      <c r="O92" s="11">
        <v>7</v>
      </c>
      <c r="P92" s="11">
        <v>-999999</v>
      </c>
      <c r="Q92" s="11">
        <v>999.99900000000002</v>
      </c>
      <c r="R92" s="11">
        <v>-999999</v>
      </c>
      <c r="S92" s="11">
        <v>999999</v>
      </c>
      <c r="T92" s="11"/>
    </row>
    <row r="93" spans="4:20" ht="20.100000000000001" customHeight="1" x14ac:dyDescent="0.25">
      <c r="D93" s="11" t="s">
        <v>123</v>
      </c>
      <c r="E93" s="11" t="s">
        <v>137</v>
      </c>
      <c r="F93" s="11" t="s">
        <v>144</v>
      </c>
      <c r="G93" s="11" t="s">
        <v>139</v>
      </c>
      <c r="H93" s="11" t="s">
        <v>142</v>
      </c>
      <c r="I93" s="11" t="s">
        <v>138</v>
      </c>
      <c r="J93" s="11">
        <v>18.001000000000001</v>
      </c>
      <c r="K93" s="11">
        <v>999999</v>
      </c>
      <c r="L93" s="11">
        <v>-999999</v>
      </c>
      <c r="M93" s="11">
        <v>1000</v>
      </c>
      <c r="N93" s="11">
        <v>-999999</v>
      </c>
      <c r="O93" s="11">
        <v>7</v>
      </c>
      <c r="P93" s="11">
        <v>-999999</v>
      </c>
      <c r="Q93" s="11">
        <v>999.99900000000002</v>
      </c>
      <c r="R93" s="11">
        <v>-999999</v>
      </c>
      <c r="S93" s="11">
        <v>999999</v>
      </c>
      <c r="T93" s="11"/>
    </row>
    <row r="94" spans="4:20" ht="20.100000000000001" customHeight="1" x14ac:dyDescent="0.25">
      <c r="D94" s="11" t="s">
        <v>125</v>
      </c>
      <c r="E94" s="11" t="s">
        <v>145</v>
      </c>
      <c r="F94" s="11" t="s">
        <v>138</v>
      </c>
      <c r="G94" s="11" t="s">
        <v>138</v>
      </c>
      <c r="H94" s="11" t="s">
        <v>138</v>
      </c>
      <c r="I94" s="11" t="s">
        <v>146</v>
      </c>
      <c r="J94" s="11">
        <v>10.000999999999999</v>
      </c>
      <c r="K94" s="11">
        <v>999999</v>
      </c>
      <c r="L94" s="11">
        <v>-999999</v>
      </c>
      <c r="M94" s="11">
        <v>999999</v>
      </c>
      <c r="N94" s="11">
        <v>-999999</v>
      </c>
      <c r="O94" s="11">
        <v>999999</v>
      </c>
      <c r="P94" s="11">
        <v>-999999</v>
      </c>
      <c r="Q94" s="11">
        <v>999999</v>
      </c>
      <c r="R94" s="11">
        <v>1.0009999999999999</v>
      </c>
      <c r="S94" s="11">
        <v>999999</v>
      </c>
      <c r="T94" s="11"/>
    </row>
    <row r="95" spans="4:20" ht="20.100000000000001" customHeight="1" x14ac:dyDescent="0.25">
      <c r="D95" s="11" t="s">
        <v>126</v>
      </c>
      <c r="E95" s="11" t="s">
        <v>145</v>
      </c>
      <c r="F95" s="11" t="s">
        <v>138</v>
      </c>
      <c r="G95" s="11" t="s">
        <v>138</v>
      </c>
      <c r="H95" s="11" t="s">
        <v>138</v>
      </c>
      <c r="I95" s="11" t="s">
        <v>147</v>
      </c>
      <c r="J95" s="11">
        <v>10.000999999999999</v>
      </c>
      <c r="K95" s="11">
        <v>999999</v>
      </c>
      <c r="L95" s="11">
        <v>-999999</v>
      </c>
      <c r="M95" s="11">
        <v>999999</v>
      </c>
      <c r="N95" s="11">
        <v>-999999</v>
      </c>
      <c r="O95" s="11">
        <v>999999</v>
      </c>
      <c r="P95" s="11">
        <v>-999999</v>
      </c>
      <c r="Q95" s="11">
        <v>999999</v>
      </c>
      <c r="R95" s="11">
        <v>-999999</v>
      </c>
      <c r="S95" s="11">
        <v>1</v>
      </c>
      <c r="T95" s="11"/>
    </row>
    <row r="96" spans="4:20" ht="20.100000000000001" customHeight="1" x14ac:dyDescent="0.25">
      <c r="D96" s="11" t="s">
        <v>127</v>
      </c>
      <c r="E96" s="11" t="s">
        <v>148</v>
      </c>
      <c r="F96" s="11" t="s">
        <v>138</v>
      </c>
      <c r="G96" s="11" t="s">
        <v>138</v>
      </c>
      <c r="H96" s="11" t="s">
        <v>138</v>
      </c>
      <c r="I96" s="11" t="s">
        <v>146</v>
      </c>
      <c r="J96" s="11">
        <v>-999999</v>
      </c>
      <c r="K96" s="11">
        <v>10</v>
      </c>
      <c r="L96" s="11">
        <v>-999999</v>
      </c>
      <c r="M96" s="11">
        <v>999999</v>
      </c>
      <c r="N96" s="11">
        <v>-999999</v>
      </c>
      <c r="O96" s="11">
        <v>999999</v>
      </c>
      <c r="P96" s="11">
        <v>-999999</v>
      </c>
      <c r="Q96" s="11">
        <v>999999</v>
      </c>
      <c r="R96" s="11">
        <v>1.0009999999999999</v>
      </c>
      <c r="S96" s="11">
        <v>999999</v>
      </c>
      <c r="T96" s="11"/>
    </row>
    <row r="97" spans="4:20" ht="20.100000000000001" customHeight="1" x14ac:dyDescent="0.25">
      <c r="D97" s="11" t="s">
        <v>128</v>
      </c>
      <c r="E97" s="11" t="s">
        <v>148</v>
      </c>
      <c r="F97" s="11" t="s">
        <v>138</v>
      </c>
      <c r="G97" s="11" t="s">
        <v>138</v>
      </c>
      <c r="H97" s="11" t="s">
        <v>138</v>
      </c>
      <c r="I97" s="11" t="s">
        <v>147</v>
      </c>
      <c r="J97" s="11">
        <v>-999999</v>
      </c>
      <c r="K97" s="11">
        <v>10</v>
      </c>
      <c r="L97" s="11">
        <v>-999999</v>
      </c>
      <c r="M97" s="11">
        <v>999999</v>
      </c>
      <c r="N97" s="11">
        <v>-999999</v>
      </c>
      <c r="O97" s="11">
        <v>999999</v>
      </c>
      <c r="P97" s="11">
        <v>-999999</v>
      </c>
      <c r="Q97" s="11">
        <v>999999</v>
      </c>
      <c r="R97" s="11">
        <v>-999999</v>
      </c>
      <c r="S97" s="11">
        <v>1</v>
      </c>
      <c r="T97" s="11"/>
    </row>
    <row r="98" spans="4:20" ht="20.100000000000001" customHeight="1" x14ac:dyDescent="0.25"/>
    <row r="99" spans="4:20" ht="20.100000000000001" customHeight="1" x14ac:dyDescent="0.25">
      <c r="D99" s="12" t="s">
        <v>149</v>
      </c>
    </row>
    <row r="100" spans="4:20" ht="20.100000000000001" customHeight="1" x14ac:dyDescent="0.25">
      <c r="D100" s="12" t="s">
        <v>150</v>
      </c>
    </row>
    <row r="101" spans="4:20" ht="20.100000000000001" customHeight="1" x14ac:dyDescent="0.25">
      <c r="D101" s="12" t="s">
        <v>151</v>
      </c>
    </row>
    <row r="102" spans="4:20" ht="20.100000000000001" customHeight="1" x14ac:dyDescent="0.25">
      <c r="D102" s="12" t="s">
        <v>152</v>
      </c>
    </row>
    <row r="103" spans="4:20" ht="20.100000000000001" customHeight="1" x14ac:dyDescent="0.25">
      <c r="D103" s="12"/>
    </row>
    <row r="104" spans="4:20" ht="20.100000000000001" customHeight="1" x14ac:dyDescent="0.25"/>
    <row r="105" spans="4:20" ht="20.100000000000001" customHeight="1" x14ac:dyDescent="0.25">
      <c r="D105" s="5" t="s">
        <v>153</v>
      </c>
    </row>
    <row r="106" spans="4:20" ht="20.100000000000001" customHeight="1" x14ac:dyDescent="0.25">
      <c r="D106" s="4" t="s">
        <v>136</v>
      </c>
    </row>
    <row r="107" spans="4:20" ht="20.100000000000001" customHeight="1" x14ac:dyDescent="0.25">
      <c r="D107" s="1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1" t="s">
        <v>27</v>
      </c>
      <c r="E109" s="11" t="s">
        <v>11</v>
      </c>
      <c r="F109" s="11" t="s">
        <v>28</v>
      </c>
      <c r="G109" s="11" t="s">
        <v>29</v>
      </c>
    </row>
    <row r="110" spans="4:20" ht="20.100000000000001" customHeight="1" x14ac:dyDescent="0.25">
      <c r="D110" s="11" t="s">
        <v>154</v>
      </c>
      <c r="E110" s="11" t="s">
        <v>155</v>
      </c>
      <c r="F110" s="11">
        <v>26</v>
      </c>
      <c r="G110" s="11">
        <v>999999</v>
      </c>
    </row>
    <row r="111" spans="4:20" ht="20.100000000000001" customHeight="1" x14ac:dyDescent="0.25">
      <c r="D111" s="11" t="s">
        <v>156</v>
      </c>
      <c r="E111" s="11" t="s">
        <v>157</v>
      </c>
      <c r="F111" s="11">
        <v>15</v>
      </c>
      <c r="G111" s="11">
        <v>25.998999999999999</v>
      </c>
    </row>
    <row r="112" spans="4:20" ht="20.100000000000001" customHeight="1" x14ac:dyDescent="0.25">
      <c r="D112" s="11" t="s">
        <v>158</v>
      </c>
      <c r="E112" s="11" t="s">
        <v>159</v>
      </c>
      <c r="F112" s="11">
        <v>-999999</v>
      </c>
      <c r="G112" s="11">
        <v>14.999000000000001</v>
      </c>
    </row>
    <row r="113" spans="4:66" ht="20.100000000000001" customHeight="1" x14ac:dyDescent="0.25"/>
    <row r="114" spans="4:66" ht="20.100000000000001" customHeight="1" x14ac:dyDescent="0.25"/>
    <row r="115" spans="4:66" ht="20.100000000000001" customHeight="1" x14ac:dyDescent="0.25">
      <c r="D115" s="5" t="s">
        <v>160</v>
      </c>
      <c r="BN115" s="6"/>
    </row>
    <row r="116" spans="4:66" ht="20.100000000000001" customHeight="1" x14ac:dyDescent="0.25">
      <c r="D116" s="4" t="s">
        <v>136</v>
      </c>
      <c r="BN116" s="6"/>
    </row>
    <row r="117" spans="4:66" ht="20.100000000000001" customHeight="1" x14ac:dyDescent="0.25">
      <c r="D117" s="13"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11" t="s">
        <v>30</v>
      </c>
      <c r="E119" s="11" t="s">
        <v>31</v>
      </c>
      <c r="F119" s="11" t="s">
        <v>18</v>
      </c>
      <c r="G119" s="11" t="s">
        <v>19</v>
      </c>
      <c r="BN119" s="6"/>
    </row>
    <row r="120" spans="4:66" ht="20.100000000000001" customHeight="1" x14ac:dyDescent="0.25">
      <c r="D120" s="11" t="s">
        <v>161</v>
      </c>
      <c r="E120" s="11" t="s">
        <v>162</v>
      </c>
      <c r="F120" s="11">
        <v>600.00099999999998</v>
      </c>
      <c r="G120" s="11">
        <v>999999</v>
      </c>
      <c r="BN120" s="6"/>
    </row>
    <row r="121" spans="4:66" ht="20.100000000000001" customHeight="1" x14ac:dyDescent="0.25">
      <c r="D121" s="11" t="s">
        <v>163</v>
      </c>
      <c r="E121" s="11" t="s">
        <v>164</v>
      </c>
      <c r="F121" s="11">
        <v>-999999</v>
      </c>
      <c r="G121" s="11">
        <v>600</v>
      </c>
      <c r="BN121" s="6"/>
    </row>
    <row r="122" spans="4:66" ht="20.100000000000001" customHeight="1" x14ac:dyDescent="0.25">
      <c r="BN122" s="6"/>
    </row>
    <row r="123" spans="4:66" ht="20.100000000000001" customHeight="1" x14ac:dyDescent="0.25"/>
    <row r="124" spans="4:66" ht="20.100000000000001" customHeight="1" x14ac:dyDescent="0.25">
      <c r="D124" s="5" t="s">
        <v>165</v>
      </c>
    </row>
    <row r="125" spans="4:66" ht="20.100000000000001" customHeight="1" x14ac:dyDescent="0.25">
      <c r="D125" s="4" t="s">
        <v>136</v>
      </c>
    </row>
    <row r="126" spans="4:66" ht="20.100000000000001" customHeight="1" x14ac:dyDescent="0.25"/>
    <row r="127" spans="4:66" ht="20.100000000000001" customHeight="1" x14ac:dyDescent="0.25">
      <c r="D127" s="11" t="s">
        <v>32</v>
      </c>
      <c r="E127" s="11" t="s">
        <v>33</v>
      </c>
    </row>
    <row r="128" spans="4:66" ht="20.100000000000001" customHeight="1" x14ac:dyDescent="0.25">
      <c r="D128" s="11" t="s">
        <v>166</v>
      </c>
      <c r="E128" s="11" t="s">
        <v>167</v>
      </c>
    </row>
    <row r="129" spans="4:77" ht="20.100000000000001" customHeight="1" x14ac:dyDescent="0.25">
      <c r="D129" s="11" t="s">
        <v>168</v>
      </c>
      <c r="E129" s="11" t="s">
        <v>169</v>
      </c>
    </row>
    <row r="130" spans="4:77" ht="20.100000000000001" customHeight="1" x14ac:dyDescent="0.25"/>
    <row r="131" spans="4:77" ht="20.100000000000001" customHeight="1" x14ac:dyDescent="0.25"/>
    <row r="132" spans="4:77" ht="20.100000000000001" customHeight="1" x14ac:dyDescent="0.25">
      <c r="D132" s="5" t="s">
        <v>170</v>
      </c>
      <c r="E132" s="10"/>
    </row>
    <row r="133" spans="4:77" ht="20.100000000000001" customHeight="1" x14ac:dyDescent="0.25">
      <c r="D133" s="4" t="s">
        <v>171</v>
      </c>
      <c r="E133" s="10"/>
    </row>
    <row r="134" spans="4:77" ht="20.100000000000001" customHeight="1" x14ac:dyDescent="0.25">
      <c r="D134" t="s">
        <v>37</v>
      </c>
      <c r="E134" t="s">
        <v>38</v>
      </c>
    </row>
    <row r="135" spans="4:77" ht="20.100000000000001" customHeight="1" x14ac:dyDescent="0.25">
      <c r="D135" t="s">
        <v>172</v>
      </c>
      <c r="E135">
        <v>1</v>
      </c>
    </row>
    <row r="136" spans="4:77" ht="20.100000000000001" customHeight="1" x14ac:dyDescent="0.25">
      <c r="D136" s="1" t="s">
        <v>173</v>
      </c>
      <c r="E136" s="11">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
        <v>174</v>
      </c>
      <c r="BN139" s="6"/>
      <c r="BO139" s="6"/>
      <c r="BP139" s="6"/>
      <c r="BQ139" s="6"/>
      <c r="BR139" s="6"/>
      <c r="BS139" s="6"/>
      <c r="BT139" s="6"/>
      <c r="BU139" s="6"/>
      <c r="BV139" s="6"/>
      <c r="BW139" s="6"/>
      <c r="BX139" s="6"/>
      <c r="BY139" s="6"/>
    </row>
    <row r="140" spans="4:77" ht="20.100000000000001" customHeight="1" x14ac:dyDescent="0.25">
      <c r="D140" s="4" t="s">
        <v>175</v>
      </c>
      <c r="BN140" s="6"/>
      <c r="BO140" s="6"/>
      <c r="BP140" s="6"/>
      <c r="BQ140" s="6"/>
      <c r="BR140" s="6"/>
      <c r="BS140" s="6"/>
      <c r="BT140" s="6"/>
      <c r="BU140" s="6"/>
      <c r="BV140" s="6"/>
      <c r="BW140" s="6"/>
      <c r="BX140" s="6"/>
      <c r="BY140" s="6"/>
    </row>
    <row r="141" spans="4:77" ht="20.100000000000001" customHeight="1" x14ac:dyDescent="0.25">
      <c r="D141" s="13" t="s">
        <v>176</v>
      </c>
      <c r="BN141" s="6"/>
    </row>
    <row r="142" spans="4:77" ht="20.100000000000001" customHeight="1" x14ac:dyDescent="0.25">
      <c r="D142" s="11" t="s">
        <v>46</v>
      </c>
      <c r="E142" s="11" t="s">
        <v>38</v>
      </c>
      <c r="BN142" s="6"/>
    </row>
    <row r="143" spans="4:77" ht="20.100000000000001" customHeight="1" x14ac:dyDescent="0.25">
      <c r="D143" s="11" t="s">
        <v>177</v>
      </c>
      <c r="E143" s="11">
        <v>0</v>
      </c>
      <c r="BN143" s="6"/>
    </row>
    <row r="144" spans="4:77" ht="20.100000000000001" customHeight="1" x14ac:dyDescent="0.25">
      <c r="D144" s="1" t="s">
        <v>178</v>
      </c>
      <c r="E144" s="11">
        <v>0</v>
      </c>
      <c r="BN144" s="6"/>
    </row>
    <row r="145" spans="4:66" ht="20.100000000000001" customHeight="1" x14ac:dyDescent="0.25">
      <c r="D145" s="1" t="s">
        <v>179</v>
      </c>
      <c r="E145" s="11">
        <v>1</v>
      </c>
      <c r="BN145" s="6"/>
    </row>
    <row r="146" spans="4:66" ht="20.100000000000001" customHeight="1" x14ac:dyDescent="0.25">
      <c r="D146" s="1" t="s">
        <v>180</v>
      </c>
      <c r="E146" s="11">
        <v>1</v>
      </c>
      <c r="BN146" s="6"/>
    </row>
    <row r="147" spans="4:66" ht="20.100000000000001" customHeight="1" x14ac:dyDescent="0.25">
      <c r="D147" s="1" t="s">
        <v>181</v>
      </c>
      <c r="E147" s="11">
        <v>1</v>
      </c>
      <c r="BN147" s="6"/>
    </row>
    <row r="148" spans="4:66" ht="20.100000000000001" customHeight="1" x14ac:dyDescent="0.25">
      <c r="BN148" s="6"/>
    </row>
    <row r="149" spans="4:66" ht="20.100000000000001" customHeight="1" x14ac:dyDescent="0.25">
      <c r="BN149" s="6"/>
    </row>
    <row r="150" spans="4:66" ht="20.100000000000001" customHeight="1" x14ac:dyDescent="0.25">
      <c r="D150" s="5" t="s">
        <v>182</v>
      </c>
      <c r="BN150" s="6"/>
    </row>
    <row r="151" spans="4:66" ht="20.100000000000001" customHeight="1" x14ac:dyDescent="0.25">
      <c r="D151" s="4" t="s">
        <v>183</v>
      </c>
      <c r="BN151" s="6"/>
    </row>
    <row r="152" spans="4:66" ht="20.100000000000001" customHeight="1" x14ac:dyDescent="0.25">
      <c r="BN152" s="6"/>
    </row>
    <row r="153" spans="4:66" ht="20.100000000000001" customHeight="1" x14ac:dyDescent="0.25">
      <c r="D153" s="11" t="s">
        <v>34</v>
      </c>
      <c r="E153" s="11" t="s">
        <v>35</v>
      </c>
      <c r="BC153" s="2"/>
      <c r="BD153" s="2"/>
      <c r="BE153" s="2"/>
      <c r="BF153" s="2"/>
      <c r="BG153" s="2"/>
      <c r="BH153" s="2"/>
      <c r="BI153" s="2"/>
      <c r="BJ153" s="2"/>
      <c r="BK153" s="2"/>
      <c r="BL153" s="2"/>
      <c r="BM153" s="2"/>
    </row>
    <row r="154" spans="4:66" ht="20.100000000000001" customHeight="1" x14ac:dyDescent="0.25">
      <c r="D154" s="11" t="s">
        <v>184</v>
      </c>
      <c r="E154" s="11">
        <v>1</v>
      </c>
      <c r="BC154" s="2"/>
      <c r="BD154" s="2"/>
      <c r="BE154" s="2"/>
      <c r="BF154" s="2"/>
      <c r="BG154" s="2"/>
      <c r="BH154" s="2"/>
      <c r="BI154" s="2"/>
      <c r="BJ154" s="2"/>
      <c r="BK154" s="2"/>
      <c r="BL154" s="2"/>
      <c r="BM154" s="2"/>
    </row>
    <row r="155" spans="4:66" ht="20.100000000000001" customHeight="1" x14ac:dyDescent="0.25">
      <c r="D155" s="11" t="s">
        <v>185</v>
      </c>
      <c r="E155" s="11">
        <v>2</v>
      </c>
      <c r="BC155" s="2"/>
      <c r="BD155" s="2"/>
      <c r="BE155" s="2"/>
      <c r="BF155" s="2"/>
      <c r="BG155" s="2"/>
      <c r="BH155" s="2"/>
      <c r="BI155" s="2"/>
      <c r="BJ155" s="2"/>
      <c r="BK155" s="2"/>
      <c r="BL155" s="2"/>
      <c r="BM155" s="2"/>
    </row>
    <row r="156" spans="4:66" ht="20.100000000000001" customHeight="1" x14ac:dyDescent="0.25">
      <c r="D156" s="11" t="s">
        <v>186</v>
      </c>
      <c r="E156" s="11">
        <v>3</v>
      </c>
    </row>
    <row r="157" spans="4:66" ht="20.100000000000001" customHeight="1" x14ac:dyDescent="0.25">
      <c r="D157" s="11" t="s">
        <v>187</v>
      </c>
      <c r="E157" s="11">
        <v>4</v>
      </c>
    </row>
    <row r="158" spans="4:66" ht="20.100000000000001" customHeight="1" x14ac:dyDescent="0.25">
      <c r="D158" s="11" t="s">
        <v>188</v>
      </c>
      <c r="E158" s="11">
        <v>5</v>
      </c>
    </row>
    <row r="159" spans="4:66" ht="20.100000000000001" customHeight="1" x14ac:dyDescent="0.25"/>
    <row r="160" spans="4:66" ht="20.100000000000001" customHeight="1" x14ac:dyDescent="0.25"/>
    <row r="161" spans="4:68" ht="20.100000000000001" customHeight="1" x14ac:dyDescent="0.25">
      <c r="D161" s="5" t="s">
        <v>170</v>
      </c>
      <c r="E161" s="10"/>
    </row>
    <row r="162" spans="4:68" ht="20.100000000000001" customHeight="1" x14ac:dyDescent="0.25">
      <c r="D162" s="4" t="s">
        <v>171</v>
      </c>
      <c r="E162" s="10"/>
    </row>
    <row r="163" spans="4:68" ht="20.100000000000001" customHeight="1" x14ac:dyDescent="0.25">
      <c r="D163" s="4" t="s">
        <v>189</v>
      </c>
      <c r="E163" s="10"/>
    </row>
    <row r="164" spans="4:68" ht="20.100000000000001" customHeight="1" x14ac:dyDescent="0.25">
      <c r="D164" s="10" t="s">
        <v>190</v>
      </c>
      <c r="E164" s="10"/>
    </row>
    <row r="165" spans="4:68" ht="20.100000000000001" customHeight="1" x14ac:dyDescent="0.25">
      <c r="D165" s="1">
        <v>0.24</v>
      </c>
      <c r="BN165" s="6"/>
      <c r="BO165" s="6"/>
      <c r="BP165" s="6"/>
    </row>
    <row r="166" spans="4:68" ht="20.100000000000001" customHeight="1" x14ac:dyDescent="0.25">
      <c r="BN166" s="6"/>
      <c r="BO166" s="6"/>
      <c r="BP166" s="6"/>
    </row>
    <row r="167" spans="4:68" ht="20.100000000000001" customHeight="1" x14ac:dyDescent="0.25">
      <c r="D167" s="5" t="s">
        <v>191</v>
      </c>
      <c r="BN167" s="6"/>
      <c r="BO167" s="6"/>
      <c r="BP167" s="6"/>
    </row>
    <row r="168" spans="4:68" ht="20.100000000000001" customHeight="1" x14ac:dyDescent="0.25">
      <c r="D168" s="4" t="s">
        <v>171</v>
      </c>
      <c r="BN168" s="6"/>
      <c r="BO168" s="6"/>
      <c r="BP168" s="6"/>
    </row>
    <row r="169" spans="4:68" ht="20.100000000000001" customHeight="1" x14ac:dyDescent="0.25">
      <c r="D169" s="4" t="s">
        <v>192</v>
      </c>
      <c r="BN169" s="6"/>
      <c r="BO169" s="6"/>
      <c r="BP169" s="6"/>
    </row>
    <row r="170" spans="4:68" ht="20.100000000000001" customHeight="1" x14ac:dyDescent="0.25">
      <c r="D170" s="1" t="s">
        <v>193</v>
      </c>
      <c r="BN170" s="6"/>
      <c r="BO170" s="6"/>
      <c r="BP170" s="6"/>
    </row>
    <row r="171" spans="4:68" ht="20.100000000000001" customHeight="1" x14ac:dyDescent="0.25">
      <c r="D171" s="1">
        <v>1.0999999999999999E-2</v>
      </c>
      <c r="BN171" s="6"/>
      <c r="BO171" s="6"/>
      <c r="BP171" s="6"/>
    </row>
    <row r="172" spans="4:68" ht="20.100000000000001" customHeight="1" x14ac:dyDescent="0.25">
      <c r="BN172" s="6"/>
      <c r="BO172" s="6"/>
      <c r="BP172" s="6"/>
    </row>
    <row r="173" spans="4:68" ht="20.100000000000001" customHeight="1" x14ac:dyDescent="0.25">
      <c r="D173" s="5" t="s">
        <v>194</v>
      </c>
      <c r="BN173" s="6"/>
      <c r="BO173" s="6"/>
      <c r="BP173" s="6"/>
    </row>
    <row r="174" spans="4:68" ht="20.100000000000001" customHeight="1" x14ac:dyDescent="0.25">
      <c r="D174" s="4" t="s">
        <v>195</v>
      </c>
      <c r="BN174" s="6"/>
      <c r="BO174" s="6"/>
      <c r="BP174" s="6"/>
    </row>
    <row r="175" spans="4:68" ht="20.100000000000001" customHeight="1" x14ac:dyDescent="0.25">
      <c r="D175" s="1">
        <v>0.6784</v>
      </c>
      <c r="E175" s="12" t="s">
        <v>196</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
        <v>197</v>
      </c>
      <c r="BN178" s="6"/>
      <c r="BO178" s="6"/>
      <c r="BP178" s="6"/>
    </row>
    <row r="179" spans="4:68" ht="20.100000000000001" customHeight="1" x14ac:dyDescent="0.25">
      <c r="D179" s="4" t="s">
        <v>198</v>
      </c>
      <c r="BN179" s="6"/>
      <c r="BO179" s="6"/>
      <c r="BP179" s="6"/>
    </row>
    <row r="180" spans="4:68" ht="20.100000000000001" customHeight="1" x14ac:dyDescent="0.25">
      <c r="D180" s="12" t="s">
        <v>199</v>
      </c>
    </row>
    <row r="181" spans="4:68" ht="20.100000000000001" customHeight="1" x14ac:dyDescent="0.25">
      <c r="D181" s="13" t="s">
        <v>200</v>
      </c>
    </row>
    <row r="182" spans="4:68" ht="20.100000000000001" customHeight="1" x14ac:dyDescent="0.25">
      <c r="D182" s="13" t="s">
        <v>201</v>
      </c>
    </row>
    <row r="183" spans="4:68" ht="20.100000000000001" customHeight="1" x14ac:dyDescent="0.25">
      <c r="D183" s="13" t="s">
        <v>202</v>
      </c>
    </row>
    <row r="184" spans="4:68" ht="20.100000000000001" customHeight="1" x14ac:dyDescent="0.25">
      <c r="D184" s="13" t="s">
        <v>203</v>
      </c>
    </row>
    <row r="185" spans="4:68" ht="20.100000000000001" customHeight="1" x14ac:dyDescent="0.25">
      <c r="D185" s="13" t="s">
        <v>204</v>
      </c>
    </row>
    <row r="186" spans="4:68" ht="20.100000000000001" customHeight="1" x14ac:dyDescent="0.25">
      <c r="D186" s="11" t="s">
        <v>39</v>
      </c>
      <c r="E186" s="11" t="s">
        <v>40</v>
      </c>
      <c r="F186" s="11" t="s">
        <v>41</v>
      </c>
      <c r="G186" s="11" t="s">
        <v>42</v>
      </c>
      <c r="H186" s="11" t="s">
        <v>43</v>
      </c>
    </row>
    <row r="187" spans="4:68" ht="20.100000000000001" customHeight="1" x14ac:dyDescent="0.25">
      <c r="D187" s="11" t="s">
        <v>205</v>
      </c>
      <c r="E187" s="11">
        <v>5.8999999999999999E-3</v>
      </c>
      <c r="F187" s="11" t="s">
        <v>206</v>
      </c>
      <c r="G187" s="11" t="s">
        <v>138</v>
      </c>
      <c r="H187" s="11" t="s">
        <v>138</v>
      </c>
    </row>
    <row r="188" spans="4:68" ht="20.100000000000001" customHeight="1" x14ac:dyDescent="0.25">
      <c r="D188" s="11" t="s">
        <v>207</v>
      </c>
      <c r="E188" s="11">
        <v>7.0000000000000001E-3</v>
      </c>
      <c r="F188" s="11" t="s">
        <v>208</v>
      </c>
      <c r="G188" s="11" t="s">
        <v>138</v>
      </c>
      <c r="H188" s="11" t="s">
        <v>138</v>
      </c>
    </row>
    <row r="189" spans="4:68" ht="20.100000000000001" customHeight="1" x14ac:dyDescent="0.25">
      <c r="D189" s="11" t="s">
        <v>209</v>
      </c>
      <c r="E189" s="11">
        <v>1.8E-3</v>
      </c>
      <c r="F189" s="11" t="s">
        <v>206</v>
      </c>
      <c r="G189" s="11" t="s">
        <v>177</v>
      </c>
      <c r="H189" s="11" t="s">
        <v>163</v>
      </c>
    </row>
    <row r="190" spans="4:68" ht="20.100000000000001" customHeight="1" x14ac:dyDescent="0.25">
      <c r="D190" s="11" t="s">
        <v>209</v>
      </c>
      <c r="E190" s="11">
        <v>1.8E-3</v>
      </c>
      <c r="F190" s="11" t="s">
        <v>206</v>
      </c>
      <c r="G190" s="11" t="s">
        <v>177</v>
      </c>
      <c r="H190" s="11" t="s">
        <v>161</v>
      </c>
    </row>
    <row r="191" spans="4:68" ht="20.100000000000001" customHeight="1" x14ac:dyDescent="0.25">
      <c r="D191" s="11" t="s">
        <v>210</v>
      </c>
      <c r="E191" s="11">
        <v>2.8999999999999998E-3</v>
      </c>
      <c r="F191" s="11" t="s">
        <v>208</v>
      </c>
      <c r="G191" s="11" t="s">
        <v>177</v>
      </c>
      <c r="H191" s="11" t="s">
        <v>163</v>
      </c>
    </row>
    <row r="192" spans="4:68" ht="20.100000000000001" customHeight="1" x14ac:dyDescent="0.25">
      <c r="D192" s="11" t="s">
        <v>211</v>
      </c>
      <c r="E192" s="11">
        <v>8.0000000000000002E-3</v>
      </c>
      <c r="F192" s="11" t="s">
        <v>208</v>
      </c>
      <c r="G192" s="11" t="s">
        <v>177</v>
      </c>
      <c r="H192" s="11" t="s">
        <v>161</v>
      </c>
    </row>
    <row r="193" spans="4:8" ht="20.100000000000001" customHeight="1" x14ac:dyDescent="0.25">
      <c r="D193" s="11" t="s">
        <v>212</v>
      </c>
      <c r="E193" s="11">
        <v>1.9900000000000001E-2</v>
      </c>
      <c r="F193" s="11" t="s">
        <v>212</v>
      </c>
      <c r="G193" s="11" t="s">
        <v>138</v>
      </c>
      <c r="H193" s="11" t="s">
        <v>138</v>
      </c>
    </row>
    <row r="194" spans="4:8" ht="20.100000000000001" customHeight="1" x14ac:dyDescent="0.25">
      <c r="D194" s="11" t="s">
        <v>213</v>
      </c>
      <c r="E194" s="11">
        <v>5.3E-3</v>
      </c>
      <c r="F194" s="11" t="s">
        <v>213</v>
      </c>
      <c r="G194" s="11" t="s">
        <v>138</v>
      </c>
      <c r="H194" s="11" t="s">
        <v>138</v>
      </c>
    </row>
    <row r="195" spans="4:8" ht="20.100000000000001" customHeight="1" x14ac:dyDescent="0.25">
      <c r="D195" s="11" t="s">
        <v>214</v>
      </c>
      <c r="E195" s="11">
        <v>6.4000000000000003E-3</v>
      </c>
      <c r="F195" s="11" t="s">
        <v>214</v>
      </c>
      <c r="G195" s="11" t="s">
        <v>138</v>
      </c>
      <c r="H195" s="11" t="s">
        <v>138</v>
      </c>
    </row>
    <row r="196" spans="4:8" ht="20.100000000000001" customHeight="1" x14ac:dyDescent="0.25">
      <c r="D196" s="11" t="s">
        <v>215</v>
      </c>
      <c r="E196" s="11">
        <v>3.0000000000000001E-3</v>
      </c>
      <c r="F196" s="11" t="s">
        <v>216</v>
      </c>
      <c r="G196" s="11" t="s">
        <v>217</v>
      </c>
      <c r="H196" s="11" t="s">
        <v>138</v>
      </c>
    </row>
    <row r="197" spans="4:8" x14ac:dyDescent="0.25">
      <c r="D197" s="11" t="s">
        <v>218</v>
      </c>
      <c r="E197" s="11">
        <v>5.0000000000000001E-3</v>
      </c>
      <c r="F197" s="11" t="s">
        <v>216</v>
      </c>
      <c r="G197" s="11" t="s">
        <v>219</v>
      </c>
      <c r="H197" s="11" t="s">
        <v>138</v>
      </c>
    </row>
    <row r="198" spans="4:8" x14ac:dyDescent="0.25">
      <c r="D198" s="11" t="s">
        <v>220</v>
      </c>
      <c r="E198" s="11">
        <v>2.5999999999999999E-3</v>
      </c>
      <c r="F198" s="11" t="s">
        <v>220</v>
      </c>
      <c r="G198" s="11" t="s">
        <v>138</v>
      </c>
      <c r="H198" s="11" t="s">
        <v>138</v>
      </c>
    </row>
    <row r="199" spans="4:8" x14ac:dyDescent="0.25">
      <c r="D199" s="11" t="s">
        <v>221</v>
      </c>
      <c r="E199" s="11">
        <v>1.8E-3</v>
      </c>
      <c r="F199" s="11" t="s">
        <v>221</v>
      </c>
      <c r="G199" s="11" t="s">
        <v>138</v>
      </c>
      <c r="H199" s="11" t="s">
        <v>138</v>
      </c>
    </row>
    <row r="202" spans="4:8" ht="23.25" x14ac:dyDescent="0.25">
      <c r="D202" s="5" t="s">
        <v>222</v>
      </c>
    </row>
    <row r="203" spans="4:8" x14ac:dyDescent="0.25">
      <c r="D203" s="4" t="s">
        <v>223</v>
      </c>
    </row>
    <row r="204" spans="4:8" x14ac:dyDescent="0.25">
      <c r="D204" s="13" t="s">
        <v>224</v>
      </c>
    </row>
    <row r="205" spans="4:8" x14ac:dyDescent="0.25">
      <c r="D205" s="12" t="s">
        <v>225</v>
      </c>
    </row>
    <row r="206" spans="4:8" x14ac:dyDescent="0.25">
      <c r="D206" s="11" t="s">
        <v>0</v>
      </c>
      <c r="E206" s="11" t="s">
        <v>47</v>
      </c>
    </row>
    <row r="207" spans="4:8" x14ac:dyDescent="0.25">
      <c r="D207" s="11" t="s">
        <v>120</v>
      </c>
      <c r="E207" s="11">
        <v>6.0000000000000001E-3</v>
      </c>
    </row>
    <row r="208" spans="4:8" x14ac:dyDescent="0.25">
      <c r="D208" s="1" t="s">
        <v>124</v>
      </c>
      <c r="E208" s="11">
        <v>2E-3</v>
      </c>
    </row>
    <row r="211" spans="4:5" x14ac:dyDescent="0.25">
      <c r="D211" s="1" t="s">
        <v>226</v>
      </c>
    </row>
    <row r="212" spans="4:5" x14ac:dyDescent="0.25">
      <c r="D212" s="11" t="s">
        <v>48</v>
      </c>
      <c r="E212" s="11" t="s">
        <v>49</v>
      </c>
    </row>
    <row r="213" spans="4:5" x14ac:dyDescent="0.25">
      <c r="D213" s="11" t="s">
        <v>227</v>
      </c>
      <c r="E213" s="11" t="s">
        <v>228</v>
      </c>
    </row>
    <row r="214" spans="4:5" x14ac:dyDescent="0.25">
      <c r="D214" s="1" t="s">
        <v>229</v>
      </c>
      <c r="E214" s="11" t="s">
        <v>228</v>
      </c>
    </row>
    <row r="215" spans="4:5" x14ac:dyDescent="0.25">
      <c r="D215" s="1" t="s">
        <v>230</v>
      </c>
      <c r="E215" s="11" t="s">
        <v>231</v>
      </c>
    </row>
    <row r="216" spans="4:5" x14ac:dyDescent="0.25">
      <c r="D216" s="1" t="s">
        <v>232</v>
      </c>
      <c r="E216" s="11" t="s">
        <v>231</v>
      </c>
    </row>
    <row r="217" spans="4:5" x14ac:dyDescent="0.25">
      <c r="D217" s="1" t="s">
        <v>233</v>
      </c>
      <c r="E217" s="11" t="s">
        <v>231</v>
      </c>
    </row>
    <row r="218" spans="4:5" x14ac:dyDescent="0.25">
      <c r="D218" s="1" t="s">
        <v>234</v>
      </c>
      <c r="E218" s="11" t="s">
        <v>235</v>
      </c>
    </row>
    <row r="219" spans="4:5" x14ac:dyDescent="0.25">
      <c r="D219" s="1" t="s">
        <v>236</v>
      </c>
      <c r="E219" s="11" t="s">
        <v>235</v>
      </c>
    </row>
    <row r="220" spans="4:5" x14ac:dyDescent="0.25">
      <c r="D220" s="1" t="s">
        <v>237</v>
      </c>
      <c r="E220" s="11" t="s">
        <v>235</v>
      </c>
    </row>
    <row r="221" spans="4:5" x14ac:dyDescent="0.25">
      <c r="D221" s="1" t="s">
        <v>238</v>
      </c>
      <c r="E221" s="11" t="s">
        <v>239</v>
      </c>
    </row>
    <row r="222" spans="4:5" x14ac:dyDescent="0.25">
      <c r="D222" s="1" t="s">
        <v>240</v>
      </c>
      <c r="E222" s="11" t="s">
        <v>239</v>
      </c>
    </row>
    <row r="223" spans="4:5" x14ac:dyDescent="0.25">
      <c r="D223" s="1" t="s">
        <v>241</v>
      </c>
      <c r="E223" s="11" t="s">
        <v>239</v>
      </c>
    </row>
    <row r="224" spans="4:5" x14ac:dyDescent="0.25">
      <c r="D224" s="1" t="s">
        <v>242</v>
      </c>
      <c r="E224" s="11" t="s">
        <v>228</v>
      </c>
    </row>
    <row r="227" spans="4:19" ht="23.25" x14ac:dyDescent="0.25">
      <c r="D227" s="5" t="s">
        <v>243</v>
      </c>
    </row>
    <row r="228" spans="4:19" x14ac:dyDescent="0.25">
      <c r="D228" s="4" t="s">
        <v>244</v>
      </c>
    </row>
    <row r="229" spans="4:19" x14ac:dyDescent="0.25">
      <c r="D229" s="13" t="s">
        <v>245</v>
      </c>
    </row>
    <row r="231" spans="4:19" x14ac:dyDescent="0.25">
      <c r="D231" s="11" t="s">
        <v>50</v>
      </c>
      <c r="E231" s="11" t="s">
        <v>64</v>
      </c>
      <c r="F231" s="14" t="s">
        <v>51</v>
      </c>
      <c r="G231" s="11" t="s">
        <v>52</v>
      </c>
      <c r="H231" s="11" t="s">
        <v>53</v>
      </c>
      <c r="I231" s="11" t="s">
        <v>54</v>
      </c>
      <c r="J231" s="11" t="s">
        <v>55</v>
      </c>
      <c r="K231" s="11" t="s">
        <v>56</v>
      </c>
      <c r="L231" s="11" t="s">
        <v>57</v>
      </c>
      <c r="M231" s="11" t="s">
        <v>58</v>
      </c>
      <c r="N231" s="11" t="s">
        <v>59</v>
      </c>
      <c r="O231" s="11" t="s">
        <v>60</v>
      </c>
      <c r="P231" s="11" t="s">
        <v>61</v>
      </c>
      <c r="Q231" s="11" t="s">
        <v>62</v>
      </c>
      <c r="R231" s="11" t="s">
        <v>63</v>
      </c>
      <c r="S231" s="11" t="s">
        <v>65</v>
      </c>
    </row>
    <row r="232" spans="4:19" x14ac:dyDescent="0.25">
      <c r="D232" s="11" t="s">
        <v>158</v>
      </c>
      <c r="E232" s="11" t="s">
        <v>246</v>
      </c>
      <c r="F232" s="11">
        <v>0.66</v>
      </c>
      <c r="G232" s="11">
        <v>0.1</v>
      </c>
      <c r="H232" s="11">
        <v>0.1</v>
      </c>
      <c r="I232" s="11">
        <v>1E-3</v>
      </c>
      <c r="J232" s="11">
        <v>5.0000000000000001E-3</v>
      </c>
      <c r="K232" s="11">
        <v>0.02</v>
      </c>
      <c r="L232" s="11">
        <v>0.03</v>
      </c>
      <c r="M232" s="11">
        <v>0.04</v>
      </c>
      <c r="N232" s="11">
        <v>1.4999999999999999E-2</v>
      </c>
      <c r="O232" s="11">
        <v>1.4999999999999999E-2</v>
      </c>
      <c r="P232" s="11">
        <v>0</v>
      </c>
      <c r="Q232" s="11">
        <v>0</v>
      </c>
      <c r="R232" s="11">
        <v>4.7000000000000002E-3</v>
      </c>
      <c r="S232" s="11">
        <v>10</v>
      </c>
    </row>
    <row r="233" spans="4:19" x14ac:dyDescent="0.25">
      <c r="D233" s="1" t="s">
        <v>158</v>
      </c>
      <c r="E233" s="11">
        <v>11</v>
      </c>
      <c r="F233" s="11">
        <v>0.68</v>
      </c>
      <c r="G233" s="11">
        <v>0.1</v>
      </c>
      <c r="H233" s="11">
        <v>0.11</v>
      </c>
      <c r="I233" s="11">
        <v>1E-3</v>
      </c>
      <c r="J233" s="11">
        <v>5.0000000000000001E-3</v>
      </c>
      <c r="K233" s="11">
        <v>0.02</v>
      </c>
      <c r="L233" s="11">
        <v>0.03</v>
      </c>
      <c r="M233" s="11">
        <v>0.04</v>
      </c>
      <c r="N233" s="11">
        <v>1.4999999999999999E-2</v>
      </c>
      <c r="O233" s="11">
        <v>1.4999999999999999E-2</v>
      </c>
      <c r="P233" s="11">
        <v>0</v>
      </c>
      <c r="Q233" s="11">
        <v>0</v>
      </c>
      <c r="R233" s="11">
        <v>4.7000000000000002E-3</v>
      </c>
      <c r="S233" s="11">
        <v>11</v>
      </c>
    </row>
    <row r="234" spans="4:19" x14ac:dyDescent="0.25">
      <c r="D234" s="1" t="s">
        <v>158</v>
      </c>
      <c r="E234" s="11">
        <v>12</v>
      </c>
      <c r="F234" s="11">
        <v>0.7</v>
      </c>
      <c r="G234" s="11">
        <v>0.1</v>
      </c>
      <c r="H234" s="11">
        <v>0.13</v>
      </c>
      <c r="I234" s="11">
        <v>1E-3</v>
      </c>
      <c r="J234" s="11">
        <v>5.0000000000000001E-3</v>
      </c>
      <c r="K234" s="11">
        <v>0.02</v>
      </c>
      <c r="L234" s="11">
        <v>0.03</v>
      </c>
      <c r="M234" s="11">
        <v>0.04</v>
      </c>
      <c r="N234" s="11">
        <v>1.4999999999999999E-2</v>
      </c>
      <c r="O234" s="11">
        <v>1.4999999999999999E-2</v>
      </c>
      <c r="P234" s="11">
        <v>0</v>
      </c>
      <c r="Q234" s="11">
        <v>0</v>
      </c>
      <c r="R234" s="11">
        <v>4.7000000000000002E-3</v>
      </c>
      <c r="S234" s="11">
        <v>12</v>
      </c>
    </row>
    <row r="235" spans="4:19" x14ac:dyDescent="0.25">
      <c r="D235" s="1" t="s">
        <v>158</v>
      </c>
      <c r="E235" s="11">
        <v>13</v>
      </c>
      <c r="F235" s="11">
        <v>0.71</v>
      </c>
      <c r="G235" s="11">
        <v>0.1</v>
      </c>
      <c r="H235" s="11">
        <v>0.14000000000000001</v>
      </c>
      <c r="I235" s="11">
        <v>1E-3</v>
      </c>
      <c r="J235" s="11">
        <v>5.0000000000000001E-3</v>
      </c>
      <c r="K235" s="11">
        <v>0.02</v>
      </c>
      <c r="L235" s="11">
        <v>0.03</v>
      </c>
      <c r="M235" s="11">
        <v>0.04</v>
      </c>
      <c r="N235" s="11">
        <v>1.4999999999999999E-2</v>
      </c>
      <c r="O235" s="11">
        <v>1.4999999999999999E-2</v>
      </c>
      <c r="P235" s="11">
        <v>0</v>
      </c>
      <c r="Q235" s="11">
        <v>0</v>
      </c>
      <c r="R235" s="11">
        <v>4.7000000000000002E-3</v>
      </c>
      <c r="S235" s="11">
        <v>13</v>
      </c>
    </row>
    <row r="236" spans="4:19" x14ac:dyDescent="0.25">
      <c r="D236" s="1" t="s">
        <v>158</v>
      </c>
      <c r="E236" s="11">
        <v>14</v>
      </c>
      <c r="F236" s="11">
        <v>0.73</v>
      </c>
      <c r="G236" s="11">
        <v>0.1</v>
      </c>
      <c r="H236" s="11">
        <v>0.15</v>
      </c>
      <c r="I236" s="11">
        <v>1E-3</v>
      </c>
      <c r="J236" s="11">
        <v>5.0000000000000001E-3</v>
      </c>
      <c r="K236" s="11">
        <v>0.02</v>
      </c>
      <c r="L236" s="11">
        <v>0.03</v>
      </c>
      <c r="M236" s="11">
        <v>0.04</v>
      </c>
      <c r="N236" s="11">
        <v>1.4999999999999999E-2</v>
      </c>
      <c r="O236" s="11">
        <v>1.4999999999999999E-2</v>
      </c>
      <c r="P236" s="11">
        <v>0</v>
      </c>
      <c r="Q236" s="11">
        <v>0</v>
      </c>
      <c r="R236" s="11">
        <v>4.7000000000000002E-3</v>
      </c>
      <c r="S236" s="11">
        <v>14</v>
      </c>
    </row>
    <row r="237" spans="4:19" x14ac:dyDescent="0.25">
      <c r="D237" s="1" t="s">
        <v>156</v>
      </c>
      <c r="E237" s="11">
        <v>15</v>
      </c>
      <c r="F237" s="11">
        <v>0.74</v>
      </c>
      <c r="G237" s="11">
        <v>0.1</v>
      </c>
      <c r="H237" s="11">
        <v>0.17</v>
      </c>
      <c r="I237" s="11">
        <v>5.0000000000000001E-3</v>
      </c>
      <c r="J237" s="11">
        <v>0.01</v>
      </c>
      <c r="K237" s="11">
        <v>0.02</v>
      </c>
      <c r="L237" s="11">
        <v>0.03</v>
      </c>
      <c r="M237" s="11">
        <v>0.04</v>
      </c>
      <c r="N237" s="11">
        <v>1.4999999999999999E-2</v>
      </c>
      <c r="O237" s="11">
        <v>1.4999999999999999E-2</v>
      </c>
      <c r="P237" s="11">
        <v>0</v>
      </c>
      <c r="Q237" s="11">
        <v>0</v>
      </c>
      <c r="R237" s="11">
        <v>4.7000000000000002E-3</v>
      </c>
      <c r="S237" s="11">
        <v>15</v>
      </c>
    </row>
    <row r="238" spans="4:19" x14ac:dyDescent="0.25">
      <c r="D238" s="1" t="s">
        <v>156</v>
      </c>
      <c r="E238" s="11">
        <v>16</v>
      </c>
      <c r="F238" s="11">
        <v>0.75</v>
      </c>
      <c r="G238" s="11">
        <v>0.1</v>
      </c>
      <c r="H238" s="11">
        <v>0.18</v>
      </c>
      <c r="I238" s="11">
        <v>5.0000000000000001E-3</v>
      </c>
      <c r="J238" s="11">
        <v>0.01</v>
      </c>
      <c r="K238" s="11">
        <v>0.02</v>
      </c>
      <c r="L238" s="11">
        <v>0.03</v>
      </c>
      <c r="M238" s="11">
        <v>0.04</v>
      </c>
      <c r="N238" s="11">
        <v>1.4999999999999999E-2</v>
      </c>
      <c r="O238" s="11">
        <v>1.4999999999999999E-2</v>
      </c>
      <c r="P238" s="11">
        <v>0</v>
      </c>
      <c r="Q238" s="11">
        <v>0</v>
      </c>
      <c r="R238" s="11">
        <v>4.7000000000000002E-3</v>
      </c>
      <c r="S238" s="11">
        <v>16</v>
      </c>
    </row>
    <row r="239" spans="4:19" x14ac:dyDescent="0.25">
      <c r="D239" s="1" t="s">
        <v>156</v>
      </c>
      <c r="E239" s="11">
        <v>17</v>
      </c>
      <c r="F239" s="11">
        <v>0.76</v>
      </c>
      <c r="G239" s="11">
        <v>0.1</v>
      </c>
      <c r="H239" s="11">
        <v>0.2</v>
      </c>
      <c r="I239" s="11">
        <v>5.0000000000000001E-3</v>
      </c>
      <c r="J239" s="11">
        <v>0.01</v>
      </c>
      <c r="K239" s="11">
        <v>0.02</v>
      </c>
      <c r="L239" s="11">
        <v>0.03</v>
      </c>
      <c r="M239" s="11">
        <v>0.04</v>
      </c>
      <c r="N239" s="11">
        <v>1.4999999999999999E-2</v>
      </c>
      <c r="O239" s="11">
        <v>1.4999999999999999E-2</v>
      </c>
      <c r="P239" s="11">
        <v>0</v>
      </c>
      <c r="Q239" s="11">
        <v>0</v>
      </c>
      <c r="R239" s="11">
        <v>4.7000000000000002E-3</v>
      </c>
      <c r="S239" s="11">
        <v>17</v>
      </c>
    </row>
    <row r="240" spans="4:19" x14ac:dyDescent="0.25">
      <c r="D240" s="1" t="s">
        <v>156</v>
      </c>
      <c r="E240" s="11">
        <v>18</v>
      </c>
      <c r="F240" s="11">
        <v>0.77</v>
      </c>
      <c r="G240" s="11">
        <v>0.1</v>
      </c>
      <c r="H240" s="11">
        <v>0.22</v>
      </c>
      <c r="I240" s="11">
        <v>5.0000000000000001E-3</v>
      </c>
      <c r="J240" s="11">
        <v>0.01</v>
      </c>
      <c r="K240" s="11">
        <v>0.02</v>
      </c>
      <c r="L240" s="11">
        <v>0.03</v>
      </c>
      <c r="M240" s="11">
        <v>0.04</v>
      </c>
      <c r="N240" s="11">
        <v>1.4999999999999999E-2</v>
      </c>
      <c r="O240" s="11">
        <v>1.4999999999999999E-2</v>
      </c>
      <c r="P240" s="11">
        <v>0</v>
      </c>
      <c r="Q240" s="11">
        <v>0</v>
      </c>
      <c r="R240" s="11">
        <v>4.7000000000000002E-3</v>
      </c>
      <c r="S240" s="11">
        <v>18</v>
      </c>
    </row>
    <row r="241" spans="4:19" x14ac:dyDescent="0.25">
      <c r="D241" s="1" t="s">
        <v>156</v>
      </c>
      <c r="E241" s="11">
        <v>19</v>
      </c>
      <c r="F241" s="11">
        <v>0.77</v>
      </c>
      <c r="G241" s="11">
        <v>0.1</v>
      </c>
      <c r="H241" s="11">
        <v>0.24</v>
      </c>
      <c r="I241" s="11">
        <v>5.0000000000000001E-3</v>
      </c>
      <c r="J241" s="11">
        <v>0.01</v>
      </c>
      <c r="K241" s="11">
        <v>0.02</v>
      </c>
      <c r="L241" s="11">
        <v>0.03</v>
      </c>
      <c r="M241" s="11">
        <v>0.04</v>
      </c>
      <c r="N241" s="11">
        <v>1.4999999999999999E-2</v>
      </c>
      <c r="O241" s="11">
        <v>1.4999999999999999E-2</v>
      </c>
      <c r="P241" s="11">
        <v>0</v>
      </c>
      <c r="Q241" s="11">
        <v>0</v>
      </c>
      <c r="R241" s="11">
        <v>4.7000000000000002E-3</v>
      </c>
      <c r="S241" s="11">
        <v>19</v>
      </c>
    </row>
    <row r="242" spans="4:19" x14ac:dyDescent="0.25">
      <c r="D242" s="1" t="s">
        <v>156</v>
      </c>
      <c r="E242" s="11">
        <v>20</v>
      </c>
      <c r="F242" s="11">
        <v>0.78</v>
      </c>
      <c r="G242" s="11">
        <v>0.1</v>
      </c>
      <c r="H242" s="11">
        <v>0.26</v>
      </c>
      <c r="I242" s="11">
        <v>5.0000000000000001E-3</v>
      </c>
      <c r="J242" s="11">
        <v>0.01</v>
      </c>
      <c r="K242" s="11">
        <v>0.02</v>
      </c>
      <c r="L242" s="11">
        <v>0.03</v>
      </c>
      <c r="M242" s="11">
        <v>0.04</v>
      </c>
      <c r="N242" s="11">
        <v>1.4999999999999999E-2</v>
      </c>
      <c r="O242" s="11">
        <v>1.4999999999999999E-2</v>
      </c>
      <c r="P242" s="11">
        <v>0</v>
      </c>
      <c r="Q242" s="11">
        <v>0</v>
      </c>
      <c r="R242" s="11">
        <v>4.7000000000000002E-3</v>
      </c>
      <c r="S242" s="11">
        <v>20</v>
      </c>
    </row>
    <row r="243" spans="4:19" x14ac:dyDescent="0.25">
      <c r="D243" s="1" t="s">
        <v>156</v>
      </c>
      <c r="E243" s="11">
        <v>21</v>
      </c>
      <c r="F243" s="11">
        <v>0.78</v>
      </c>
      <c r="G243" s="11">
        <v>0.1</v>
      </c>
      <c r="H243" s="11">
        <v>0.28999999999999998</v>
      </c>
      <c r="I243" s="11">
        <v>5.0000000000000001E-3</v>
      </c>
      <c r="J243" s="11">
        <v>0.01</v>
      </c>
      <c r="K243" s="11">
        <v>0.02</v>
      </c>
      <c r="L243" s="11">
        <v>0.03</v>
      </c>
      <c r="M243" s="11">
        <v>0.04</v>
      </c>
      <c r="N243" s="11">
        <v>1.4999999999999999E-2</v>
      </c>
      <c r="O243" s="11">
        <v>1.4999999999999999E-2</v>
      </c>
      <c r="P243" s="11">
        <v>0</v>
      </c>
      <c r="Q243" s="11">
        <v>0</v>
      </c>
      <c r="R243" s="11">
        <v>4.7000000000000002E-3</v>
      </c>
      <c r="S243" s="11">
        <v>21</v>
      </c>
    </row>
    <row r="244" spans="4:19" x14ac:dyDescent="0.25">
      <c r="D244" s="1" t="s">
        <v>156</v>
      </c>
      <c r="E244" s="11">
        <v>22</v>
      </c>
      <c r="F244" s="11">
        <v>0.78</v>
      </c>
      <c r="G244" s="11">
        <v>0.1</v>
      </c>
      <c r="H244" s="11">
        <v>0.31</v>
      </c>
      <c r="I244" s="11">
        <v>5.0000000000000001E-3</v>
      </c>
      <c r="J244" s="11">
        <v>0.01</v>
      </c>
      <c r="K244" s="11">
        <v>0.02</v>
      </c>
      <c r="L244" s="11">
        <v>0.03</v>
      </c>
      <c r="M244" s="11">
        <v>0.04</v>
      </c>
      <c r="N244" s="11">
        <v>1.4999999999999999E-2</v>
      </c>
      <c r="O244" s="11">
        <v>1.4999999999999999E-2</v>
      </c>
      <c r="P244" s="11">
        <v>0</v>
      </c>
      <c r="Q244" s="11">
        <v>0</v>
      </c>
      <c r="R244" s="11">
        <v>4.7000000000000002E-3</v>
      </c>
      <c r="S244" s="11">
        <v>22</v>
      </c>
    </row>
    <row r="245" spans="4:19" x14ac:dyDescent="0.25">
      <c r="D245" s="1" t="s">
        <v>156</v>
      </c>
      <c r="E245" s="11">
        <v>23</v>
      </c>
      <c r="F245" s="11">
        <v>0.79</v>
      </c>
      <c r="G245" s="11">
        <v>0.1</v>
      </c>
      <c r="H245" s="11">
        <v>0.34</v>
      </c>
      <c r="I245" s="11">
        <v>5.0000000000000001E-3</v>
      </c>
      <c r="J245" s="11">
        <v>0.01</v>
      </c>
      <c r="K245" s="11">
        <v>0.02</v>
      </c>
      <c r="L245" s="11">
        <v>0.03</v>
      </c>
      <c r="M245" s="11">
        <v>0.04</v>
      </c>
      <c r="N245" s="11">
        <v>1.4999999999999999E-2</v>
      </c>
      <c r="O245" s="11">
        <v>1.4999999999999999E-2</v>
      </c>
      <c r="P245" s="11">
        <v>0</v>
      </c>
      <c r="Q245" s="11">
        <v>0</v>
      </c>
      <c r="R245" s="11">
        <v>4.7000000000000002E-3</v>
      </c>
      <c r="S245" s="11">
        <v>23</v>
      </c>
    </row>
    <row r="246" spans="4:19" x14ac:dyDescent="0.25">
      <c r="D246" s="1" t="s">
        <v>156</v>
      </c>
      <c r="E246" s="11">
        <v>24</v>
      </c>
      <c r="F246" s="11">
        <v>0.79</v>
      </c>
      <c r="G246" s="11">
        <v>0.1</v>
      </c>
      <c r="H246" s="11">
        <v>0.37</v>
      </c>
      <c r="I246" s="11">
        <v>5.0000000000000001E-3</v>
      </c>
      <c r="J246" s="11">
        <v>0.01</v>
      </c>
      <c r="K246" s="11">
        <v>0.02</v>
      </c>
      <c r="L246" s="11">
        <v>0.03</v>
      </c>
      <c r="M246" s="11">
        <v>0.04</v>
      </c>
      <c r="N246" s="11">
        <v>1.4999999999999999E-2</v>
      </c>
      <c r="O246" s="11">
        <v>1.4999999999999999E-2</v>
      </c>
      <c r="P246" s="11">
        <v>0</v>
      </c>
      <c r="Q246" s="11">
        <v>0</v>
      </c>
      <c r="R246" s="11">
        <v>4.7000000000000002E-3</v>
      </c>
      <c r="S246" s="11">
        <v>24</v>
      </c>
    </row>
    <row r="247" spans="4:19" x14ac:dyDescent="0.25">
      <c r="D247" s="1" t="s">
        <v>156</v>
      </c>
      <c r="E247" s="11">
        <v>25</v>
      </c>
      <c r="F247" s="11">
        <v>0.79</v>
      </c>
      <c r="G247" s="11">
        <v>0.1</v>
      </c>
      <c r="H247" s="11">
        <v>0.41</v>
      </c>
      <c r="I247" s="11">
        <v>5.0000000000000001E-3</v>
      </c>
      <c r="J247" s="11">
        <v>0.01</v>
      </c>
      <c r="K247" s="11">
        <v>0.02</v>
      </c>
      <c r="L247" s="11">
        <v>0.03</v>
      </c>
      <c r="M247" s="11">
        <v>0.04</v>
      </c>
      <c r="N247" s="11">
        <v>1.4999999999999999E-2</v>
      </c>
      <c r="O247" s="11">
        <v>1.4999999999999999E-2</v>
      </c>
      <c r="P247" s="11">
        <v>0</v>
      </c>
      <c r="Q247" s="11">
        <v>0</v>
      </c>
      <c r="R247" s="11">
        <v>4.7000000000000002E-3</v>
      </c>
      <c r="S247" s="11">
        <v>25</v>
      </c>
    </row>
    <row r="248" spans="4:19" x14ac:dyDescent="0.25">
      <c r="D248" s="1" t="s">
        <v>154</v>
      </c>
      <c r="E248" s="11">
        <v>26</v>
      </c>
      <c r="F248" s="11">
        <v>0.79</v>
      </c>
      <c r="G248" s="11">
        <v>0.1</v>
      </c>
      <c r="H248" s="11">
        <v>0.44</v>
      </c>
      <c r="I248" s="11">
        <v>0.01</v>
      </c>
      <c r="J248" s="11">
        <v>1.4999999999999999E-2</v>
      </c>
      <c r="K248" s="11">
        <v>0.02</v>
      </c>
      <c r="L248" s="11">
        <v>0.03</v>
      </c>
      <c r="M248" s="11">
        <v>0.04</v>
      </c>
      <c r="N248" s="11">
        <v>1.4999999999999999E-2</v>
      </c>
      <c r="O248" s="11">
        <v>1.4999999999999999E-2</v>
      </c>
      <c r="P248" s="11">
        <v>0</v>
      </c>
      <c r="Q248" s="11">
        <v>0</v>
      </c>
      <c r="R248" s="11">
        <v>4.7000000000000002E-3</v>
      </c>
      <c r="S248" s="11">
        <v>26</v>
      </c>
    </row>
    <row r="249" spans="4:19" x14ac:dyDescent="0.25">
      <c r="D249" s="1" t="s">
        <v>154</v>
      </c>
      <c r="E249" s="11">
        <v>27</v>
      </c>
      <c r="F249" s="11">
        <v>0.8</v>
      </c>
      <c r="G249" s="11">
        <v>0.1</v>
      </c>
      <c r="H249" s="11">
        <v>0.48</v>
      </c>
      <c r="I249" s="11">
        <v>0.01</v>
      </c>
      <c r="J249" s="11">
        <v>1.4999999999999999E-2</v>
      </c>
      <c r="K249" s="11">
        <v>0.02</v>
      </c>
      <c r="L249" s="11">
        <v>0.03</v>
      </c>
      <c r="M249" s="11">
        <v>0.04</v>
      </c>
      <c r="N249" s="11">
        <v>1.4999999999999999E-2</v>
      </c>
      <c r="O249" s="11">
        <v>1.4999999999999999E-2</v>
      </c>
      <c r="P249" s="11">
        <v>0</v>
      </c>
      <c r="Q249" s="11">
        <v>0</v>
      </c>
      <c r="R249" s="11">
        <v>4.7000000000000002E-3</v>
      </c>
      <c r="S249" s="11">
        <v>27</v>
      </c>
    </row>
    <row r="250" spans="4:19" x14ac:dyDescent="0.25">
      <c r="D250" s="1" t="s">
        <v>154</v>
      </c>
      <c r="E250" s="11" t="s">
        <v>247</v>
      </c>
      <c r="F250" s="11">
        <v>0.8</v>
      </c>
      <c r="G250" s="11">
        <v>0.1</v>
      </c>
      <c r="H250" s="11">
        <v>0.5</v>
      </c>
      <c r="I250" s="11">
        <v>0.01</v>
      </c>
      <c r="J250" s="11">
        <v>1.4999999999999999E-2</v>
      </c>
      <c r="K250" s="11">
        <v>0.02</v>
      </c>
      <c r="L250" s="11">
        <v>0.03</v>
      </c>
      <c r="M250" s="11">
        <v>0.04</v>
      </c>
      <c r="N250" s="11">
        <v>1.4999999999999999E-2</v>
      </c>
      <c r="O250" s="11">
        <v>1.4999999999999999E-2</v>
      </c>
      <c r="P250" s="11">
        <v>0</v>
      </c>
      <c r="Q250" s="11">
        <v>0</v>
      </c>
      <c r="R250" s="11">
        <v>4.7000000000000002E-3</v>
      </c>
      <c r="S250" s="11">
        <v>28</v>
      </c>
    </row>
    <row r="253" spans="4:19" ht="23.25" x14ac:dyDescent="0.25">
      <c r="D253" s="5" t="s">
        <v>248</v>
      </c>
    </row>
    <row r="254" spans="4:19" x14ac:dyDescent="0.25">
      <c r="D254" s="4" t="s">
        <v>249</v>
      </c>
    </row>
    <row r="255" spans="4:19" x14ac:dyDescent="0.25">
      <c r="D255" s="1" t="s">
        <v>67</v>
      </c>
    </row>
    <row r="256" spans="4:19" x14ac:dyDescent="0.25">
      <c r="D256" s="12" t="s">
        <v>225</v>
      </c>
    </row>
    <row r="257" spans="4:5" x14ac:dyDescent="0.25">
      <c r="D257" s="11" t="s">
        <v>66</v>
      </c>
      <c r="E257" s="11" t="s">
        <v>67</v>
      </c>
    </row>
    <row r="258" spans="4:5" x14ac:dyDescent="0.25">
      <c r="D258" s="11" t="s">
        <v>120</v>
      </c>
      <c r="E258" s="11">
        <v>6.0000000000000001E-3</v>
      </c>
    </row>
    <row r="259" spans="4:5" x14ac:dyDescent="0.25">
      <c r="D259" s="1" t="s">
        <v>124</v>
      </c>
      <c r="E259" s="11">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8506-5EB7-47C9-955C-A68351EE5687}">
  <dimension ref="A1"/>
  <sheetViews>
    <sheetView workbookViewId="0">
      <selection activeCell="A2" sqref="A2"/>
    </sheetView>
  </sheetViews>
  <sheetFormatPr defaultRowHeight="15" x14ac:dyDescent="0.25"/>
  <sheetData>
    <row r="1" spans="1:1" x14ac:dyDescent="0.25">
      <c r="A1" t="s">
        <v>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TQBDAEYAVABlAG0AcABlAHIAYQB0AHUAcgBlAFoAbwBuAGUAXwBUAGkAdABsAGUAIgAsACIAQwBvAG0AbQBvAG4AXwBTAG8AdQByAGMAZQBEAGEAdABhAC4AQwBvAG0AbQBvAG4AXwBTAG8AdQByAGMAZQBEAGEAdABhAF8ATQBDAEYAVABlAG0AcABlAHIAYQB0AHUAcgBlAFoAbwBuAGUAXwBVAG4AaQB0ACIALAAiAEMAbwBtAG0AbwBuAF8AUwBvAHUAcgBjAGUARABhAHQAYQAuAEMAbwBtAG0AbwBuAF8AUwBvAHUAcgBjAGUARABhAHQAYQBfAE0AQwBGAFQAZQBtAHAAZQByAGEAdAB1AHIAZQBaAG8AbgBlAF8AUwBvAHUAcgBjAGUAIgAsACIAQwBvAG0AbQBvAG4AXwBTAG8AdQByAGMAZQBEAGEAdABhAC4AQwBvAG0AbQBvAG4AXwBTAG8AdQByAGMAZQBEAGEAdABhAF8ATQBDAEYAVABlAG0AcABlAHIAYQB0AHUAcgBlAFoAbwBuAGUAXwBEAGEAdABhACIALAAiAEMAbwBtAG0AbwBuAF8AUwBvAHUAcgBjAGUARABhAHQAYQAuAEMAbwBtAG0AbwBuAF8AUwBvAHUAcgBjAGUARABhAHQAYQBfAE0AQwBGAFQAZQBtAHAAZQByAGEAdAB1AHIAZQBaAG8AbgBl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Home</vt:lpstr>
      <vt:lpstr>Constants - Common</vt:lpstr>
      <vt:lpstr>Acknowledgements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2026-06-10T02:31:56Z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