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59069BC-F97E-4527-96BD-D0CFF63EBA6C}" xr6:coauthVersionLast="47" xr6:coauthVersionMax="47" xr10:uidLastSave="{00000000-0000-0000-0000-000000000000}"/>
  <bookViews>
    <workbookView xWindow="4680" yWindow="4680" windowWidth="28800" windowHeight="15345" firstSheet="6" activeTab="6" xr2:uid="{992023F3-CAB7-4E5B-A348-08D563A0EF40}"/>
  </bookViews>
  <sheets>
    <sheet name="Home" sheetId="71" r:id="rId1"/>
    <sheet name="Overview" sheetId="118" r:id="rId2"/>
    <sheet name="Results" sheetId="13" r:id="rId3"/>
    <sheet name="Input - Solid waste" sheetId="70" r:id="rId4"/>
    <sheet name="10.1.1-2 Solid waste treatment" sheetId="69" r:id="rId5"/>
    <sheet name="Constants - Solid Waste" sheetId="110" r:id="rId6"/>
    <sheet name="Constants - Common" sheetId="122" r:id="rId7"/>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7" i="122" l="1" a="1"/>
  <c r="D117" i="122" s="1"/>
  <c r="D107" i="122" a="1"/>
  <c r="D107" i="122" s="1"/>
  <c r="D83" i="122" a="1"/>
  <c r="D83" i="122" s="1"/>
  <c r="D59" i="122" a="1"/>
  <c r="D59" i="122" s="1"/>
  <c r="A77" i="110"/>
  <c r="A49" i="110"/>
  <c r="A109" i="69"/>
  <c r="A136" i="69"/>
  <c r="A66" i="69"/>
  <c r="H54" i="122" l="1"/>
  <c r="H53" i="122"/>
  <c r="H50" i="122"/>
  <c r="H48" i="122"/>
  <c r="H51" i="122"/>
  <c r="H52" i="122"/>
  <c r="H49" i="122"/>
  <c r="A15" i="110"/>
  <c r="A14" i="110"/>
  <c r="A11" i="110"/>
  <c r="A8" i="110"/>
  <c r="A5" i="110"/>
  <c r="A4" i="110"/>
  <c r="A3" i="110"/>
  <c r="A15" i="69"/>
  <c r="A14" i="69"/>
  <c r="A11" i="69"/>
  <c r="A8" i="69"/>
  <c r="A5" i="69"/>
  <c r="A4" i="69"/>
  <c r="A3" i="69"/>
  <c r="A15" i="70"/>
  <c r="A14" i="70"/>
  <c r="A11" i="70"/>
  <c r="A8" i="70"/>
  <c r="A5" i="70"/>
  <c r="A4" i="70"/>
  <c r="A3" i="70"/>
  <c r="A15" i="118"/>
  <c r="A14" i="118"/>
  <c r="A11" i="118"/>
  <c r="A8" i="118"/>
  <c r="A5" i="118"/>
  <c r="A4" i="118"/>
  <c r="A3" i="118"/>
  <c r="A14" i="13"/>
  <c r="A11" i="13"/>
  <c r="A8" i="13"/>
  <c r="F136" i="69" l="1"/>
  <c r="J16" i="69" a="1"/>
  <c r="J16" i="69" s="1"/>
  <c r="J15" i="69" a="1"/>
  <c r="J15" i="69" s="1"/>
  <c r="J14" i="69" a="1"/>
  <c r="J14" i="69" s="1"/>
  <c r="J13" i="69" a="1"/>
  <c r="J13" i="69" s="1"/>
  <c r="I16" i="69" a="1"/>
  <c r="I16" i="69" s="1"/>
  <c r="I15" i="69" a="1"/>
  <c r="I15" i="69" s="1"/>
  <c r="I14" i="69" a="1"/>
  <c r="I14" i="69" s="1"/>
  <c r="I13" i="69" a="1"/>
  <c r="I13" i="69" s="1"/>
  <c r="O10" i="110"/>
  <c r="M10" i="110"/>
  <c r="K16" i="110"/>
  <c r="K15" i="110"/>
  <c r="K14" i="110"/>
  <c r="K13" i="110"/>
  <c r="K12" i="110"/>
  <c r="K11" i="110"/>
  <c r="K10" i="110"/>
  <c r="I20" i="110"/>
  <c r="I19" i="110"/>
  <c r="I18" i="110"/>
  <c r="I17" i="110"/>
  <c r="I16" i="110"/>
  <c r="I15" i="110"/>
  <c r="I14" i="110"/>
  <c r="I13" i="110"/>
  <c r="I12" i="110"/>
  <c r="I11" i="110"/>
  <c r="I10" i="110"/>
  <c r="F109" i="69" l="1"/>
  <c r="D115" i="69" a="1"/>
  <c r="D88" i="69" a="1"/>
  <c r="D45" i="69" a="1"/>
  <c r="E88" i="69" a="1"/>
  <c r="E45" i="69" a="1"/>
  <c r="H54" i="69" s="1" a="1"/>
  <c r="H54" i="69" s="1"/>
  <c r="E115" i="69" a="1"/>
  <c r="D21" i="69" a="1"/>
  <c r="E21" i="69" a="1"/>
  <c r="H26" i="69" s="1" a="1"/>
  <c r="H26" i="69" s="1"/>
  <c r="A15" i="13"/>
  <c r="A5" i="13"/>
  <c r="A4" i="13"/>
  <c r="A3" i="13"/>
  <c r="H24" i="69" l="1" a="1"/>
  <c r="H24" i="69" s="1"/>
  <c r="H61" i="69" a="1"/>
  <c r="H61" i="69" s="1"/>
  <c r="G121" i="69" a="1"/>
  <c r="G121" i="69" s="1"/>
  <c r="G101" i="69" a="1"/>
  <c r="G101" i="69" s="1"/>
  <c r="G134" i="69" a="1"/>
  <c r="G134" i="69" s="1"/>
  <c r="G120" i="69" a="1"/>
  <c r="G120" i="69" s="1"/>
  <c r="G100" i="69" a="1"/>
  <c r="G100" i="69" s="1"/>
  <c r="G133" i="69" a="1"/>
  <c r="G133" i="69" s="1"/>
  <c r="G119" i="69" a="1"/>
  <c r="G119" i="69" s="1"/>
  <c r="G99" i="69" a="1"/>
  <c r="G99" i="69" s="1"/>
  <c r="G132" i="69" a="1"/>
  <c r="G132" i="69" s="1"/>
  <c r="G118" i="69" a="1"/>
  <c r="G118" i="69" s="1"/>
  <c r="G98" i="69" a="1"/>
  <c r="G98" i="69" s="1"/>
  <c r="G131" i="69" a="1"/>
  <c r="G131" i="69" s="1"/>
  <c r="G117" i="69" a="1"/>
  <c r="G117" i="69" s="1"/>
  <c r="G97" i="69" a="1"/>
  <c r="G97" i="69" s="1"/>
  <c r="G130" i="69" a="1"/>
  <c r="G130" i="69" s="1"/>
  <c r="G116" i="69" a="1"/>
  <c r="G116" i="69" s="1"/>
  <c r="G96" i="69" a="1"/>
  <c r="G96" i="69" s="1"/>
  <c r="G129" i="69" a="1"/>
  <c r="G129" i="69" s="1"/>
  <c r="G95" i="69" a="1"/>
  <c r="G95" i="69" s="1"/>
  <c r="G127" i="69" a="1"/>
  <c r="G127" i="69" s="1"/>
  <c r="G93" i="69" a="1"/>
  <c r="G93" i="69" s="1"/>
  <c r="G126" i="69" a="1"/>
  <c r="G126" i="69" s="1"/>
  <c r="G106" i="69" a="1"/>
  <c r="G106" i="69" s="1"/>
  <c r="G105" i="69" a="1"/>
  <c r="G105" i="69" s="1"/>
  <c r="G124" i="69" a="1"/>
  <c r="G124" i="69" s="1"/>
  <c r="G104" i="69" a="1"/>
  <c r="G104" i="69" s="1"/>
  <c r="G89" i="69" a="1"/>
  <c r="G89" i="69" s="1"/>
  <c r="G122" i="69" a="1"/>
  <c r="G122" i="69" s="1"/>
  <c r="G102" i="69" a="1"/>
  <c r="G102" i="69" s="1"/>
  <c r="G128" i="69" a="1"/>
  <c r="G128" i="69" s="1"/>
  <c r="G94" i="69" a="1"/>
  <c r="G94" i="69" s="1"/>
  <c r="G107" i="69" a="1"/>
  <c r="G107" i="69" s="1"/>
  <c r="G92" i="69" a="1"/>
  <c r="G92" i="69" s="1"/>
  <c r="G125" i="69" a="1"/>
  <c r="G125" i="69" s="1"/>
  <c r="G91" i="69" a="1"/>
  <c r="G91" i="69" s="1"/>
  <c r="G90" i="69" a="1"/>
  <c r="G90" i="69" s="1"/>
  <c r="G123" i="69" a="1"/>
  <c r="G123" i="69" s="1"/>
  <c r="G103" i="69" a="1"/>
  <c r="G103" i="69" s="1"/>
  <c r="J107" i="69" a="1"/>
  <c r="J107" i="69" s="1"/>
  <c r="J93" i="69" a="1"/>
  <c r="J93" i="69" s="1"/>
  <c r="J100" i="69" a="1"/>
  <c r="J100" i="69" s="1"/>
  <c r="J106" i="69" a="1"/>
  <c r="J106" i="69" s="1"/>
  <c r="J92" i="69" a="1"/>
  <c r="J92" i="69" s="1"/>
  <c r="J102" i="69" a="1"/>
  <c r="J102" i="69" s="1"/>
  <c r="J99" i="69" a="1"/>
  <c r="J99" i="69" s="1"/>
  <c r="J105" i="69" a="1"/>
  <c r="J105" i="69" s="1"/>
  <c r="J91" i="69" a="1"/>
  <c r="J91" i="69" s="1"/>
  <c r="J104" i="69" a="1"/>
  <c r="J104" i="69" s="1"/>
  <c r="J90" i="69" a="1"/>
  <c r="J90" i="69" s="1"/>
  <c r="J101" i="69" a="1"/>
  <c r="J101" i="69" s="1"/>
  <c r="J103" i="69" a="1"/>
  <c r="J103" i="69" s="1"/>
  <c r="J89" i="69" a="1"/>
  <c r="J89" i="69" s="1"/>
  <c r="J98" i="69" a="1"/>
  <c r="J98" i="69" s="1"/>
  <c r="J97" i="69" a="1"/>
  <c r="J97" i="69" s="1"/>
  <c r="J96" i="69" a="1"/>
  <c r="J96" i="69" s="1"/>
  <c r="J94" i="69" a="1"/>
  <c r="J94" i="69" s="1"/>
  <c r="J95" i="69" a="1"/>
  <c r="J95" i="69" s="1"/>
  <c r="J129" i="69" a="1"/>
  <c r="J129" i="69" s="1"/>
  <c r="J128" i="69" a="1"/>
  <c r="J128" i="69" s="1"/>
  <c r="J127" i="69" a="1"/>
  <c r="J127" i="69" s="1"/>
  <c r="J126" i="69" a="1"/>
  <c r="J126" i="69" s="1"/>
  <c r="J125" i="69" a="1"/>
  <c r="J125" i="69" s="1"/>
  <c r="J124" i="69" a="1"/>
  <c r="J124" i="69" s="1"/>
  <c r="J121" i="69" a="1"/>
  <c r="J121" i="69" s="1"/>
  <c r="J119" i="69" a="1"/>
  <c r="J119" i="69" s="1"/>
  <c r="J118" i="69" a="1"/>
  <c r="J118" i="69" s="1"/>
  <c r="J134" i="69" a="1"/>
  <c r="J134" i="69" s="1"/>
  <c r="J120" i="69" a="1"/>
  <c r="J120" i="69" s="1"/>
  <c r="J133" i="69" a="1"/>
  <c r="J133" i="69" s="1"/>
  <c r="J132" i="69" a="1"/>
  <c r="J132" i="69" s="1"/>
  <c r="J131" i="69" a="1"/>
  <c r="J131" i="69" s="1"/>
  <c r="J117" i="69" a="1"/>
  <c r="J117" i="69" s="1"/>
  <c r="J130" i="69" a="1"/>
  <c r="J130" i="69" s="1"/>
  <c r="J116" i="69" a="1"/>
  <c r="J116" i="69" s="1"/>
  <c r="J123" i="69" a="1"/>
  <c r="J123" i="69" s="1"/>
  <c r="J122" i="69" a="1"/>
  <c r="J122" i="69" s="1"/>
  <c r="D115" i="69"/>
  <c r="H56" i="69" a="1"/>
  <c r="H56" i="69" s="1"/>
  <c r="H49" i="69" a="1"/>
  <c r="H49" i="69" s="1"/>
  <c r="H63" i="69" a="1"/>
  <c r="H63" i="69" s="1"/>
  <c r="H39" i="69" a="1"/>
  <c r="H39" i="69" s="1"/>
  <c r="H60" i="69" a="1"/>
  <c r="H60" i="69" s="1"/>
  <c r="E45" i="69"/>
  <c r="H45" i="69" s="1" a="1"/>
  <c r="H45" i="69" s="1"/>
  <c r="H25" i="69" a="1"/>
  <c r="H25" i="69" s="1"/>
  <c r="H55" i="69" a="1"/>
  <c r="H55" i="69" s="1"/>
  <c r="H64" i="69" a="1"/>
  <c r="H64" i="69" s="1"/>
  <c r="H59" i="69" a="1"/>
  <c r="H59" i="69" s="1"/>
  <c r="H31" i="69" a="1"/>
  <c r="H31" i="69" s="1"/>
  <c r="E115" i="69"/>
  <c r="E88" i="69"/>
  <c r="H62" i="69" a="1"/>
  <c r="H62" i="69" s="1"/>
  <c r="H57" i="69" a="1"/>
  <c r="H57" i="69" s="1"/>
  <c r="H53" i="69" a="1"/>
  <c r="H53" i="69" s="1"/>
  <c r="H51" i="69" a="1"/>
  <c r="H51" i="69" s="1"/>
  <c r="H50" i="69" a="1"/>
  <c r="H50" i="69" s="1"/>
  <c r="H48" i="69" a="1"/>
  <c r="H48" i="69" s="1"/>
  <c r="H47" i="69" a="1"/>
  <c r="H47" i="69" s="1"/>
  <c r="H58" i="69" a="1"/>
  <c r="H58" i="69" s="1"/>
  <c r="G57" i="69" a="1"/>
  <c r="G57" i="69" s="1"/>
  <c r="G56" i="69" a="1"/>
  <c r="G56" i="69" s="1"/>
  <c r="G55" i="69" a="1"/>
  <c r="G55" i="69" s="1"/>
  <c r="G54" i="69" a="1"/>
  <c r="G54" i="69" s="1"/>
  <c r="G53" i="69" a="1"/>
  <c r="G53" i="69" s="1"/>
  <c r="G52" i="69" a="1"/>
  <c r="G52" i="69" s="1"/>
  <c r="G51" i="69" a="1"/>
  <c r="G51" i="69" s="1"/>
  <c r="G64" i="69" a="1"/>
  <c r="G64" i="69" s="1"/>
  <c r="G50" i="69" a="1"/>
  <c r="G50" i="69" s="1"/>
  <c r="G63" i="69" a="1"/>
  <c r="G63" i="69" s="1"/>
  <c r="G49" i="69" a="1"/>
  <c r="G49" i="69" s="1"/>
  <c r="I49" i="69" s="1"/>
  <c r="G62" i="69" a="1"/>
  <c r="G62" i="69" s="1"/>
  <c r="G48" i="69" a="1"/>
  <c r="G48" i="69" s="1"/>
  <c r="G61" i="69" a="1"/>
  <c r="G61" i="69" s="1"/>
  <c r="G47" i="69" a="1"/>
  <c r="G47" i="69" s="1"/>
  <c r="G60" i="69" a="1"/>
  <c r="G60" i="69" s="1"/>
  <c r="G46" i="69" a="1"/>
  <c r="G46" i="69" s="1"/>
  <c r="G59" i="69" a="1"/>
  <c r="G59" i="69" s="1"/>
  <c r="G58" i="69" a="1"/>
  <c r="G58" i="69" s="1"/>
  <c r="D88" i="69"/>
  <c r="J88" i="69" s="1" a="1"/>
  <c r="J88" i="69" s="1"/>
  <c r="H38" i="69" a="1"/>
  <c r="H38" i="69" s="1"/>
  <c r="D45" i="69"/>
  <c r="H37" i="69" a="1"/>
  <c r="H37" i="69" s="1"/>
  <c r="H33" i="69" a="1"/>
  <c r="H33" i="69" s="1"/>
  <c r="D21" i="69"/>
  <c r="G38" i="69" a="1"/>
  <c r="G38" i="69" s="1"/>
  <c r="G24" i="69" a="1"/>
  <c r="G24" i="69" s="1"/>
  <c r="G37" i="69" a="1"/>
  <c r="G37" i="69" s="1"/>
  <c r="G23" i="69" a="1"/>
  <c r="G23" i="69" s="1"/>
  <c r="G36" i="69" a="1"/>
  <c r="G36" i="69" s="1"/>
  <c r="G22" i="69" a="1"/>
  <c r="G22" i="69" s="1"/>
  <c r="G35" i="69" a="1"/>
  <c r="G35" i="69" s="1"/>
  <c r="G34" i="69" a="1"/>
  <c r="G34" i="69" s="1"/>
  <c r="G33" i="69" a="1"/>
  <c r="G33" i="69" s="1"/>
  <c r="G32" i="69" a="1"/>
  <c r="G32" i="69" s="1"/>
  <c r="G31" i="69" a="1"/>
  <c r="G31" i="69" s="1"/>
  <c r="G30" i="69" a="1"/>
  <c r="G30" i="69" s="1"/>
  <c r="G29" i="69" a="1"/>
  <c r="G29" i="69" s="1"/>
  <c r="G28" i="69" a="1"/>
  <c r="G28" i="69" s="1"/>
  <c r="I28" i="69" s="1"/>
  <c r="G27" i="69" a="1"/>
  <c r="G27" i="69" s="1"/>
  <c r="G40" i="69" a="1"/>
  <c r="G40" i="69" s="1"/>
  <c r="G26" i="69" a="1"/>
  <c r="G26" i="69" s="1"/>
  <c r="G39" i="69" a="1"/>
  <c r="G39" i="69" s="1"/>
  <c r="G25" i="69" a="1"/>
  <c r="G25" i="69" s="1"/>
  <c r="H23" i="69" a="1"/>
  <c r="H23" i="69" s="1"/>
  <c r="H36" i="69" a="1"/>
  <c r="H36" i="69" s="1"/>
  <c r="H22" i="69" a="1"/>
  <c r="H22" i="69" s="1"/>
  <c r="H52" i="69" a="1"/>
  <c r="H52" i="69" s="1"/>
  <c r="H46" i="69" a="1"/>
  <c r="H46" i="69" s="1"/>
  <c r="H35" i="69" a="1"/>
  <c r="H35" i="69" s="1"/>
  <c r="H34" i="69" a="1"/>
  <c r="H34" i="69" s="1"/>
  <c r="H40" i="69" a="1"/>
  <c r="H40" i="69" s="1"/>
  <c r="E21" i="69"/>
  <c r="H21" i="69" s="1" a="1"/>
  <c r="H21" i="69" s="1"/>
  <c r="H32" i="69" a="1"/>
  <c r="H32" i="69" s="1"/>
  <c r="H30" i="69" a="1"/>
  <c r="H30" i="69" s="1"/>
  <c r="H29" i="69" a="1"/>
  <c r="H29" i="69" s="1"/>
  <c r="H28" i="69" a="1"/>
  <c r="H28" i="69" s="1"/>
  <c r="H27" i="69" a="1"/>
  <c r="H27" i="69" s="1"/>
  <c r="I29" i="69" l="1"/>
  <c r="H96" i="69" s="1"/>
  <c r="I96" i="69" s="1"/>
  <c r="K96" i="69" s="1"/>
  <c r="I47" i="69"/>
  <c r="I63" i="69"/>
  <c r="H133" i="69" s="1"/>
  <c r="I133" i="69" s="1"/>
  <c r="K133" i="69" s="1"/>
  <c r="I38" i="69"/>
  <c r="H105" i="69" s="1"/>
  <c r="I105" i="69" s="1"/>
  <c r="K105" i="69" s="1"/>
  <c r="I62" i="69"/>
  <c r="H132" i="69" s="1"/>
  <c r="I132" i="69" s="1"/>
  <c r="K132" i="69" s="1"/>
  <c r="I30" i="69"/>
  <c r="H97" i="69" s="1"/>
  <c r="I97" i="69" s="1"/>
  <c r="K97" i="69" s="1"/>
  <c r="I27" i="69"/>
  <c r="H94" i="69" s="1"/>
  <c r="I94" i="69" s="1"/>
  <c r="K94" i="69" s="1"/>
  <c r="I64" i="69"/>
  <c r="H134" i="69" s="1"/>
  <c r="I134" i="69" s="1"/>
  <c r="K134" i="69" s="1"/>
  <c r="I31" i="69"/>
  <c r="H98" i="69" s="1"/>
  <c r="I98" i="69" s="1"/>
  <c r="K98" i="69" s="1"/>
  <c r="I58" i="69"/>
  <c r="H128" i="69" s="1"/>
  <c r="I128" i="69" s="1"/>
  <c r="K128" i="69" s="1"/>
  <c r="I59" i="69"/>
  <c r="H129" i="69" s="1"/>
  <c r="I129" i="69" s="1"/>
  <c r="K129" i="69" s="1"/>
  <c r="I23" i="69"/>
  <c r="H90" i="69" s="1"/>
  <c r="I90" i="69" s="1"/>
  <c r="K90" i="69" s="1"/>
  <c r="I51" i="69"/>
  <c r="H121" i="69" s="1"/>
  <c r="I121" i="69" s="1"/>
  <c r="K121" i="69" s="1"/>
  <c r="I22" i="69"/>
  <c r="H89" i="69" s="1"/>
  <c r="I89" i="69" s="1"/>
  <c r="K89" i="69" s="1"/>
  <c r="I46" i="69"/>
  <c r="H116" i="69" s="1"/>
  <c r="I116" i="69" s="1"/>
  <c r="K116" i="69" s="1"/>
  <c r="I55" i="69"/>
  <c r="H125" i="69" s="1"/>
  <c r="I125" i="69" s="1"/>
  <c r="K125" i="69" s="1"/>
  <c r="I25" i="69"/>
  <c r="H92" i="69" s="1"/>
  <c r="I92" i="69" s="1"/>
  <c r="K92" i="69" s="1"/>
  <c r="I36" i="69"/>
  <c r="H103" i="69" s="1"/>
  <c r="I103" i="69" s="1"/>
  <c r="K103" i="69" s="1"/>
  <c r="I60" i="69"/>
  <c r="H130" i="69" s="1"/>
  <c r="I130" i="69" s="1"/>
  <c r="K130" i="69" s="1"/>
  <c r="I56" i="69"/>
  <c r="H126" i="69" s="1"/>
  <c r="I126" i="69" s="1"/>
  <c r="K126" i="69" s="1"/>
  <c r="I50" i="69"/>
  <c r="H120" i="69" s="1"/>
  <c r="I120" i="69" s="1"/>
  <c r="K120" i="69" s="1"/>
  <c r="I32" i="69"/>
  <c r="H99" i="69" s="1"/>
  <c r="I99" i="69" s="1"/>
  <c r="K99" i="69" s="1"/>
  <c r="I33" i="69"/>
  <c r="H100" i="69" s="1"/>
  <c r="I100" i="69" s="1"/>
  <c r="K100" i="69" s="1"/>
  <c r="I52" i="69"/>
  <c r="H122" i="69" s="1"/>
  <c r="I122" i="69" s="1"/>
  <c r="K122" i="69" s="1"/>
  <c r="I34" i="69"/>
  <c r="H101" i="69" s="1"/>
  <c r="I101" i="69" s="1"/>
  <c r="K101" i="69" s="1"/>
  <c r="I53" i="69"/>
  <c r="H123" i="69" s="1"/>
  <c r="I123" i="69" s="1"/>
  <c r="K123" i="69" s="1"/>
  <c r="I35" i="69"/>
  <c r="H102" i="69" s="1"/>
  <c r="I102" i="69" s="1"/>
  <c r="K102" i="69" s="1"/>
  <c r="I39" i="69"/>
  <c r="H106" i="69" s="1"/>
  <c r="I106" i="69" s="1"/>
  <c r="K106" i="69" s="1"/>
  <c r="I57" i="69"/>
  <c r="H127" i="69" s="1"/>
  <c r="I127" i="69" s="1"/>
  <c r="K127" i="69" s="1"/>
  <c r="I37" i="69"/>
  <c r="H104" i="69" s="1"/>
  <c r="I104" i="69" s="1"/>
  <c r="K104" i="69" s="1"/>
  <c r="I40" i="69"/>
  <c r="H107" i="69" s="1"/>
  <c r="I107" i="69" s="1"/>
  <c r="K107" i="69" s="1"/>
  <c r="I48" i="69"/>
  <c r="H118" i="69" s="1"/>
  <c r="I118" i="69" s="1"/>
  <c r="K118" i="69" s="1"/>
  <c r="I24" i="69"/>
  <c r="H91" i="69" s="1"/>
  <c r="I91" i="69" s="1"/>
  <c r="K91" i="69" s="1"/>
  <c r="I54" i="69"/>
  <c r="H124" i="69" s="1"/>
  <c r="I124" i="69" s="1"/>
  <c r="K124" i="69" s="1"/>
  <c r="I26" i="69"/>
  <c r="H93" i="69" s="1"/>
  <c r="I93" i="69" s="1"/>
  <c r="K93" i="69" s="1"/>
  <c r="I61" i="69"/>
  <c r="H131" i="69" s="1"/>
  <c r="I131" i="69" s="1"/>
  <c r="K131" i="69" s="1"/>
  <c r="G115" i="69" a="1"/>
  <c r="G115" i="69" s="1"/>
  <c r="G88" i="69" a="1"/>
  <c r="G88" i="69" s="1"/>
  <c r="H119" i="69"/>
  <c r="I119" i="69" s="1"/>
  <c r="K119" i="69" s="1"/>
  <c r="J115" i="69" a="1"/>
  <c r="J115" i="69" s="1"/>
  <c r="G45" i="69" a="1"/>
  <c r="G45" i="69" s="1"/>
  <c r="H117" i="69"/>
  <c r="I117" i="69" s="1"/>
  <c r="K117" i="69" s="1"/>
  <c r="G21" i="69" a="1"/>
  <c r="G21" i="69" s="1"/>
  <c r="H95" i="69"/>
  <c r="I95" i="69" s="1"/>
  <c r="K95" i="69" s="1"/>
  <c r="I21" i="69" l="1"/>
  <c r="H88" i="69" s="1"/>
  <c r="I88" i="69" s="1"/>
  <c r="I45" i="69"/>
  <c r="H115" i="69" s="1"/>
  <c r="I115" i="69" s="1"/>
  <c r="K88" i="69" l="1"/>
  <c r="E109" i="69" s="1"/>
  <c r="E9" i="13" s="1"/>
  <c r="F9" i="13" s="1"/>
  <c r="K115" i="69"/>
  <c r="E136" i="69" s="1"/>
  <c r="E13" i="13" s="1"/>
  <c r="F13" i="1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<sst xmlns="http://schemas.openxmlformats.org/spreadsheetml/2006/main" count="653" uniqueCount="377">
  <si>
    <t>Home</t>
  </si>
  <si>
    <t>INPUTS</t>
  </si>
  <si>
    <t>APPENDICES</t>
  </si>
  <si>
    <t>Emissions breakdown</t>
  </si>
  <si>
    <t>Climate zone</t>
  </si>
  <si>
    <t>Unit</t>
  </si>
  <si>
    <t>State/Territory</t>
  </si>
  <si>
    <t>Common Name</t>
  </si>
  <si>
    <t>Abbreviation</t>
  </si>
  <si>
    <t>SA 4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</si>
  <si>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</si>
  <si>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</si>
  <si>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</si>
  <si>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</si>
  <si>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</si>
  <si>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</si>
  <si>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</si>
  <si>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</si>
  <si>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</si>
  <si>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</si>
  <si>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</si>
  <si>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</si>
  <si>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</si>
  <si>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</si>
  <si>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</si>
  <si>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</si>
  <si>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</si>
  <si>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</si>
  <si>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</si>
  <si>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</si>
  <si>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</si>
  <si>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</si>
  <si>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</si>
  <si>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</si>
  <si>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</si>
  <si>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</si>
  <si>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</si>
  <si>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</si>
  <si>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</si>
  <si>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</si>
  <si>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</si>
  <si>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</si>
  <si>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</si>
  <si>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</si>
  <si>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</si>
  <si>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</si>
  <si>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</si>
  <si>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</si>
  <si>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</si>
  <si>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</si>
  <si>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</si>
  <si>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</si>
  <si>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</si>
  <si>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</si>
  <si>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</si>
  <si>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</si>
  <si>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</si>
  <si>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</si>
  <si>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</si>
  <si>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</si>
  <si>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</si>
  <si>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</si>
  <si>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</si>
  <si>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</si>
  <si>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</si>
  <si>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</si>
  <si>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</si>
  <si>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</si>
  <si>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</si>
  <si>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</si>
  <si>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</si>
  <si>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</si>
  <si>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</si>
  <si>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</si>
  <si>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</si>
  <si>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</si>
  <si>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</si>
  <si>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</si>
  <si>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</si>
  <si>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</si>
  <si>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</si>
  <si>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</si>
  <si>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</si>
  <si>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</si>
  <si>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</si>
  <si>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Description</t>
  </si>
  <si>
    <t>💡 You can add more rows to the table by right-clicking on the table and selecting "Insert &gt; Table rows above/below"</t>
  </si>
  <si>
    <t>Constants - Solid Waste</t>
  </si>
  <si>
    <t>Treatment type t</t>
  </si>
  <si>
    <t>Waste type w</t>
  </si>
  <si>
    <t>EFwt</t>
  </si>
  <si>
    <t>VTMw</t>
  </si>
  <si>
    <t>10.1.1-2 Solid waste treatment</t>
  </si>
  <si>
    <t>Treatment</t>
  </si>
  <si>
    <t>Waste type</t>
  </si>
  <si>
    <t>Vwt</t>
  </si>
  <si>
    <t>Qwt</t>
  </si>
  <si>
    <r>
      <t>Q</t>
    </r>
    <r>
      <rPr>
        <b/>
        <vertAlign val="subscript"/>
        <sz val="11"/>
        <color rgb="FF183C1B"/>
        <rFont val="Times New Roman"/>
        <family val="1"/>
      </rPr>
      <t>wt</t>
    </r>
  </si>
  <si>
    <r>
      <t>VTM</t>
    </r>
    <r>
      <rPr>
        <b/>
        <vertAlign val="subscript"/>
        <sz val="11"/>
        <color rgb="FF183C1B"/>
        <rFont val="Times New Roman"/>
        <family val="1"/>
      </rPr>
      <t>w</t>
    </r>
  </si>
  <si>
    <t>Input - Solid waste</t>
  </si>
  <si>
    <t>tonnes</t>
  </si>
  <si>
    <t>Amount unit (select)</t>
  </si>
  <si>
    <t>Treatment location (select)</t>
  </si>
  <si>
    <t>Waste type (select)</t>
  </si>
  <si>
    <t>Treatment type (select)</t>
  </si>
  <si>
    <t>Amount</t>
  </si>
  <si>
    <t>Landfill</t>
  </si>
  <si>
    <t>Table_WasteTypes_Landfill</t>
  </si>
  <si>
    <t>Table_WasteTypes_Incineration</t>
  </si>
  <si>
    <t>Table_WasteTypes_Composting</t>
  </si>
  <si>
    <t>Table_WasteTypes_Anaerobicdigestion</t>
  </si>
  <si>
    <t>Removed and treated off-site</t>
  </si>
  <si>
    <t>cubic metres m3</t>
  </si>
  <si>
    <t>Solid waste treatment</t>
  </si>
  <si>
    <t>Burn all the cardboard</t>
  </si>
  <si>
    <t>Treated on-site</t>
  </si>
  <si>
    <t>Incineration</t>
  </si>
  <si>
    <t>Paper and cardboard</t>
  </si>
  <si>
    <t>Table_V_w_t_onsite</t>
  </si>
  <si>
    <t>Table_V_w_t_offsite</t>
  </si>
  <si>
    <t>EFwtg</t>
  </si>
  <si>
    <t>Eg</t>
  </si>
  <si>
    <r>
      <rPr>
        <b/>
        <sz val="16"/>
        <color theme="1" tint="0.24994659260841701"/>
        <rFont val="Times New Roman"/>
        <family val="1"/>
      </rPr>
      <t>E</t>
    </r>
    <r>
      <rPr>
        <b/>
        <vertAlign val="subscript"/>
        <sz val="16"/>
        <color theme="1" tint="0.24994659260841701"/>
        <rFont val="Times New Roman"/>
        <family val="1"/>
      </rPr>
      <t>g</t>
    </r>
  </si>
  <si>
    <t>Volume of solid waste treated on-site (scope 1)</t>
  </si>
  <si>
    <t>Volume of solid waste sent offsite for treatment by third party (scope 3)</t>
  </si>
  <si>
    <t>Food waste (including animal carcasses, spoiled animal feed or crop)</t>
  </si>
  <si>
    <t>Qmasswt</t>
  </si>
  <si>
    <t>Qvolwt</t>
  </si>
  <si>
    <t>10:1.1.1 Solid waste treatment</t>
  </si>
  <si>
    <t>Scope 3 source</t>
  </si>
  <si>
    <t>Table_E_g_offsite</t>
  </si>
  <si>
    <t>Emissions from waste management of waste taken off-site (scope 3)</t>
  </si>
  <si>
    <t>Table_E_g_onsite</t>
  </si>
  <si>
    <t>Emissions from waste management of waste treated on-site (scope 1)</t>
  </si>
  <si>
    <t>EF source</t>
  </si>
  <si>
    <t>10: Solid Waste Treatment: Overview</t>
  </si>
  <si>
    <t>10: Solid Waste Treatment: Results</t>
  </si>
  <si>
    <t>Mass of waste from waste volume</t>
  </si>
  <si>
    <t>VEERG 2026: 10.1.1.1, Equation (2)</t>
  </si>
  <si>
    <t>Q_wt</t>
  </si>
  <si>
    <t>t</t>
  </si>
  <si>
    <t>V_wt</t>
  </si>
  <si>
    <t>volume of solid waste type w being sent to treatment facility t</t>
  </si>
  <si>
    <t>VTM_w</t>
  </si>
  <si>
    <t>conversion factor of volume to mass for waste type w</t>
  </si>
  <si>
    <t>w</t>
  </si>
  <si>
    <t>waste type</t>
  </si>
  <si>
    <t>treatment facility</t>
  </si>
  <si>
    <t>m3</t>
  </si>
  <si>
    <t>Input</t>
  </si>
  <si>
    <t>t/m3</t>
  </si>
  <si>
    <t>Constant</t>
  </si>
  <si>
    <t>Emissions from waste management by greenhouse gas</t>
  </si>
  <si>
    <t>VEERG 2026: 10.1.1.1, Equation (1)</t>
  </si>
  <si>
    <t>VARIATION ON SOURCE: Added Q_volwt and Q_masswt variables to clearly track input or calculated Q values</t>
  </si>
  <si>
    <t>E_g</t>
  </si>
  <si>
    <t>quantity of solid waste of type w being sent to treatment facility t, on a wet weight basis</t>
  </si>
  <si>
    <t>EF_wtg</t>
  </si>
  <si>
    <t>emission factor for greenhouse gas g for the management of waste at treatment facility t</t>
  </si>
  <si>
    <t>g</t>
  </si>
  <si>
    <t>greenhouse gas</t>
  </si>
  <si>
    <t>Q_volwt</t>
  </si>
  <si>
    <t>quantity of sold waste input as volume and converted to tonnes</t>
  </si>
  <si>
    <t>Q_masswt</t>
  </si>
  <si>
    <t>quantity of solid waste input as mass</t>
  </si>
  <si>
    <t>Sum of Q_volwt and Q_masswt</t>
  </si>
  <si>
    <t>t CO2e/t</t>
  </si>
  <si>
    <t>Calculated from 10.1.1.1 (2)</t>
  </si>
  <si>
    <t>VARIATION ON SOURCE: Fixed typo 'paper and carboard' to 'paper and cardboard'. Added EF source column with specific references.</t>
  </si>
  <si>
    <t>Emission factors for wastes disposed of at different treatment facilities</t>
  </si>
  <si>
    <t>VEERG 2026: Table A.4.1.1</t>
  </si>
  <si>
    <t>t CO2e / t</t>
  </si>
  <si>
    <t>NGAF 2025 table 15</t>
  </si>
  <si>
    <t>Green waste (including crop residues or prunnings)</t>
  </si>
  <si>
    <t>Wood</t>
  </si>
  <si>
    <t>Textiles</t>
  </si>
  <si>
    <t>Sludge</t>
  </si>
  <si>
    <t>Rubber and leather</t>
  </si>
  <si>
    <t>Inert waste (including concrete, metal, plastic or glass)</t>
  </si>
  <si>
    <t>Municipal solid waste</t>
  </si>
  <si>
    <t>Commercial and industrial waste</t>
  </si>
  <si>
    <t>Construction and demolition waste</t>
  </si>
  <si>
    <t>Food waste, green waste, wood, sludge</t>
  </si>
  <si>
    <t>Inert Waste</t>
  </si>
  <si>
    <t>Municipal Solid Waste</t>
  </si>
  <si>
    <t>NGAF 2025 Table 18</t>
  </si>
  <si>
    <t>Industrial Waste</t>
  </si>
  <si>
    <t>Composting</t>
  </si>
  <si>
    <t>All organic waste</t>
  </si>
  <si>
    <t>NGAF 2025 Table 19</t>
  </si>
  <si>
    <t>Anaerobic digestion</t>
  </si>
  <si>
    <t>Volume to mass conversion factor for various waste types</t>
  </si>
  <si>
    <t>VEERG 2026: Table A.4.1.2</t>
  </si>
  <si>
    <t>VARIATION OF SOURCE: Changed column header CFw to VTMw to match title variable.</t>
  </si>
  <si>
    <t>Green waste (including crop residues or prunings)</t>
  </si>
  <si>
    <t>Australian states and territories</t>
  </si>
  <si>
    <t>New South Wales</t>
  </si>
  <si>
    <t>NSW</t>
  </si>
  <si>
    <t>Australian Capital Territory</t>
  </si>
  <si>
    <t>ACT</t>
  </si>
  <si>
    <t>Victoria</t>
  </si>
  <si>
    <t>VIC</t>
  </si>
  <si>
    <t>Queensland</t>
  </si>
  <si>
    <t>QLD</t>
  </si>
  <si>
    <t>South Australia</t>
  </si>
  <si>
    <t>SA</t>
  </si>
  <si>
    <t>Western Australia</t>
  </si>
  <si>
    <t>WA</t>
  </si>
  <si>
    <t>Tasmania</t>
  </si>
  <si>
    <t>TAS</t>
  </si>
  <si>
    <t>Northern Territory</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</si>
  <si>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</si>
  <si>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</si>
  <si>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</si>
  <si>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</si>
  <si>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</si>
  <si>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</si>
  <si>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</si>
  <si>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</si>
  <si>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</si>
  <si>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</si>
  <si>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</si>
  <si>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</si>
  <si>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Western Australia - Outback (South)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</si>
  <si>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</si>
  <si>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</si>
  <si>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</si>
  <si>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</si>
  <si>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</si>
  <si>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</si>
  <si>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</si>
  <si>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</si>
  <si>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</si>
  <si>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</si>
  <si>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</si>
  <si>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</si>
  <si>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</si>
  <si>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</si>
  <si>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</si>
  <si>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</si>
  <si>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</si>
  <si>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</si>
  <si>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</si>
  <si>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</si>
  <si>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</si>
  <si>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</si>
  <si>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</si>
  <si>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</si>
  <si>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</si>
  <si>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</si>
  <si>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</si>
  <si>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</si>
  <si>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</si>
  <si>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</si>
  <si>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</si>
  <si>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</si>
  <si>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</si>
  <si>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</si>
  <si>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</si>
  <si>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</si>
  <si>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</si>
  <si>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</si>
  <si>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</si>
  <si>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</si>
  <si>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</si>
  <si>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</si>
  <si>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</si>
  <si>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</si>
  <si>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</si>
  <si>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</si>
  <si>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</si>
  <si>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</si>
  <si>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</si>
  <si>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</si>
  <si>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</si>
  <si>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</si>
  <si>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</si>
  <si>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</si>
  <si>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</si>
  <si>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</si>
  <si>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</si>
  <si>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</si>
  <si>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</si>
  <si>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</si>
  <si>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</si>
  <si>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</si>
  <si>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</si>
  <si>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</si>
  <si>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</si>
  <si>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</si>
  <si>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</si>
  <si>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</si>
  <si>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</si>
  <si>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</si>
  <si>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</si>
  <si>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</si>
  <si>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</si>
  <si>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</si>
  <si>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</si>
  <si>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</si>
  <si>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</si>
  <si>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</si>
  <si>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</si>
  <si>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</si>
  <si>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Not irrigated</t>
  </si>
  <si>
    <t>Drip irrigation</t>
  </si>
  <si>
    <t>Sprinkler irrigation</t>
  </si>
  <si>
    <t>Surface irrigation</t>
  </si>
  <si>
    <t>Other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</si>
  <si>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</si>
  <si>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</si>
  <si>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</si>
  <si>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</si>
  <si>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</si>
  <si>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</si>
  <si>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</si>
  <si>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</si>
  <si>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FracLEACH</t>
  </si>
  <si>
    <t>Emission factor for nitrogen leaching and runoff</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</si>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</sst>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s>
  <fonts count="54"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b/>
      <sz val="11"/>
      <color theme="1"/>
      <name val="Times New Roman"/>
      <family val="2"/>
      <scheme val="minor"/>
    </font>
    <font>
      <b/>
      <vertAlign val="subscript"/>
      <sz val="11"/>
      <color rgb="FF183C1B"/>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7">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7">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1" fillId="4" borderId="0" xfId="8" applyAlignment="1">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43" fontId="31" fillId="4" borderId="0" xfId="8" applyNumberFormat="1">
      <alignment horizontal="left" vertical="center"/>
    </xf>
    <xf numFmtId="0" fontId="12" fillId="6" borderId="0" xfId="29">
      <alignment horizontal="center" vertical="center"/>
      <protection locked="0"/>
    </xf>
    <xf numFmtId="0" fontId="20" fillId="8" borderId="0" xfId="37">
      <alignment horizontal="left" vertical="center" indent="1"/>
    </xf>
    <xf numFmtId="0" fontId="51" fillId="4" borderId="1" xfId="53" applyFont="1" applyBorder="1">
      <alignment horizontal="left" vertical="center"/>
    </xf>
    <xf numFmtId="0" fontId="39" fillId="4" borderId="0" xfId="57">
      <alignment horizontal="left" vertical="center"/>
    </xf>
    <xf numFmtId="0" fontId="40" fillId="4" borderId="0" xfId="58">
      <alignment horizontal="left" vertical="center"/>
    </xf>
    <xf numFmtId="0" fontId="5" fillId="2" borderId="0" xfId="9">
      <alignment horizontal="center" vertical="center"/>
    </xf>
    <xf numFmtId="0" fontId="26" fillId="4" borderId="5" xfId="52" applyBorder="1">
      <alignment horizontal="center" vertical="center"/>
    </xf>
    <xf numFmtId="0" fontId="52" fillId="2" borderId="0" xfId="8" applyFont="1" applyFill="1">
      <alignment horizontal="left" vertical="center"/>
    </xf>
    <xf numFmtId="0" fontId="2" fillId="0" borderId="2" xfId="56">
      <alignment horizontal="center" vertical="center"/>
    </xf>
    <xf numFmtId="0" fontId="45" fillId="4" borderId="2" xfId="64">
      <alignment horizontal="left" vertic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sz val="11"/>
        <color theme="1"/>
        <family val="2"/>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Equation table" pivot="0" count="6" xr9:uid="{B247698E-E41D-4CCD-AA0A-C14817E9DE65}">
      <tableStyleElement type="wholeTable" dxfId="65"/>
      <tableStyleElement type="headerRow" dxfId="64"/>
      <tableStyleElement type="totalRow" dxfId="63"/>
      <tableStyleElement type="firstColumn" dxfId="62"/>
      <tableStyleElement type="firstRowStripe" dxfId="61"/>
      <tableStyleElement type="secondRowStripe" dxfId="60"/>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2" Type="http://schemas.openxmlformats.org/officeDocument/2006/relationships/hyperlink" Target="#'10.1.1-2 Solid waste treatment'!D68"/><Relationship Id="rId1" Type="http://schemas.openxmlformats.org/officeDocument/2006/relationships/hyperlink" Target="#'10.1.1-2 Solid waste treatment'!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10.1.1 Solid waste treatment</a:t>
          </a:r>
        </a:p>
      </xdr:txBody>
    </xdr:sp>
    <xdr:clientData/>
  </xdr:oneCellAnchor>
  <xdr:twoCellAnchor>
    <xdr:from>
      <xdr:col>3</xdr:col>
      <xdr:colOff>282285</xdr:colOff>
      <xdr:row>9</xdr:row>
      <xdr:rowOff>132483</xdr:rowOff>
    </xdr:from>
    <xdr:to>
      <xdr:col>5</xdr:col>
      <xdr:colOff>575085</xdr:colOff>
      <xdr:row>12</xdr:row>
      <xdr:rowOff>109533</xdr:rowOff>
    </xdr:to>
    <xdr:sp macro="" textlink="'10.1.1-2 Solid waste treatment'!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Mass of waste from waste volume</a:t>
          </a:fld>
          <a:endParaRPr lang="en-AU" sz="1000">
            <a:solidFill>
              <a:srgbClr val="0C769E"/>
            </a:solidFill>
          </a:endParaRPr>
        </a:p>
      </xdr:txBody>
    </xdr:sp>
    <xdr:clientData/>
  </xdr:twoCellAnchor>
  <xdr:twoCellAnchor>
    <xdr:from>
      <xdr:col>3</xdr:col>
      <xdr:colOff>282285</xdr:colOff>
      <xdr:row>14</xdr:row>
      <xdr:rowOff>142008</xdr:rowOff>
    </xdr:from>
    <xdr:to>
      <xdr:col>5</xdr:col>
      <xdr:colOff>575085</xdr:colOff>
      <xdr:row>17</xdr:row>
      <xdr:rowOff>119058</xdr:rowOff>
    </xdr:to>
    <xdr:sp macro="" textlink="'10.1.1-2 Solid waste treatment'!D68">
      <xdr:nvSpPr>
        <xdr:cNvPr id="2" name="TextBox 1">
          <a:hlinkClick xmlns:r="http://schemas.openxmlformats.org/officeDocument/2006/relationships" r:id="rId2"/>
          <a:extLst>
            <a:ext uri="{FF2B5EF4-FFF2-40B4-BE49-F238E27FC236}">
              <a16:creationId xmlns:a16="http://schemas.microsoft.com/office/drawing/2014/main" id="{047A14AE-B267-4AD5-A886-4CB106B0A775}"/>
            </a:ext>
          </a:extLst>
        </xdr:cNvPr>
        <xdr:cNvSpPr txBox="1"/>
      </xdr:nvSpPr>
      <xdr:spPr>
        <a:xfrm>
          <a:off x="2958810" y="3742458"/>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6DD785-2BD4-4778-B848-1DE745244E64}" type="TxLink">
            <a:rPr lang="en-US" sz="1000" b="1" i="0" u="none" strike="noStrike">
              <a:solidFill>
                <a:srgbClr val="0C769E"/>
              </a:solidFill>
              <a:latin typeface="Times New Roman"/>
              <a:cs typeface="Times New Roman"/>
            </a:rPr>
            <a:pPr algn="ctr"/>
            <a:t>Emissions from waste management by greenhouse gas</a:t>
          </a:fld>
          <a:endParaRPr lang="en-AU" sz="1000" b="1">
            <a:solidFill>
              <a:srgbClr val="0C769E"/>
            </a:solidFill>
          </a:endParaRPr>
        </a:p>
      </xdr:txBody>
    </xdr:sp>
    <xdr:clientData/>
  </xdr:twoCellAnchor>
  <xdr:twoCellAnchor>
    <xdr:from>
      <xdr:col>4</xdr:col>
      <xdr:colOff>422336</xdr:colOff>
      <xdr:row>12</xdr:row>
      <xdr:rowOff>115882</xdr:rowOff>
    </xdr:from>
    <xdr:to>
      <xdr:col>4</xdr:col>
      <xdr:colOff>435036</xdr:colOff>
      <xdr:row>14</xdr:row>
      <xdr:rowOff>148357</xdr:rowOff>
    </xdr:to>
    <xdr:cxnSp macro="">
      <xdr:nvCxnSpPr>
        <xdr:cNvPr id="6" name="Connector: Curved 5">
          <a:extLst>
            <a:ext uri="{FF2B5EF4-FFF2-40B4-BE49-F238E27FC236}">
              <a16:creationId xmlns:a16="http://schemas.microsoft.com/office/drawing/2014/main" id="{0CA296AD-F39E-7853-57E4-65BAF4DD327C}"/>
            </a:ext>
          </a:extLst>
        </xdr:cNvPr>
        <xdr:cNvCxnSpPr>
          <a:stCxn id="5" idx="2"/>
          <a:endCxn id="2" idx="0"/>
        </xdr:cNvCxnSpPr>
      </xdr:nvCxnSpPr>
      <xdr:spPr>
        <a:xfrm rot="5400000">
          <a:off x="3450923" y="3478570"/>
          <a:ext cx="527775"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𝑉</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𝑉𝑇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𝑤</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𝑄_𝑤𝑡=𝑉_𝑤𝑡×𝑉𝑇𝑀_𝑤</a:t>
              </a:r>
              <a:endParaRPr lang="en-AU" sz="1100"/>
            </a:p>
          </xdr:txBody>
        </xdr:sp>
      </mc:Fallback>
    </mc:AlternateContent>
    <xdr:clientData/>
  </xdr:oneCellAnchor>
  <xdr:oneCellAnchor>
    <xdr:from>
      <xdr:col>3</xdr:col>
      <xdr:colOff>4762</xdr:colOff>
      <xdr:row>71</xdr:row>
      <xdr:rowOff>114300</xdr:rowOff>
    </xdr:from>
    <xdr:ext cx="1790426" cy="31290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𝑔</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𝑡</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𝑤</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𝑤𝑡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𝑤𝑡𝑔</m:t>
                                    </m:r>
                                  </m:sub>
                                </m:sSub>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8974089-6B94-669F-C797-A6A5F098A9A4}"/>
                </a:ext>
              </a:extLst>
            </xdr:cNvPr>
            <xdr:cNvSpPr txBox="1"/>
          </xdr:nvSpPr>
          <xdr:spPr>
            <a:xfrm>
              <a:off x="2681287" y="1758315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𝐸_𝑔=∑10_𝑡▒∑10_𝑤▒(𝑄_𝑤𝑡×𝐸𝐹_𝑤𝑡𝑔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SolidWaste" displayName="Table_Input_SolidWaste" ref="D9:I18" totalsRowShown="0" headerRowCellStyle="Input table column header">
  <autoFilter ref="D9:I18"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Treatment type (select)" dataCellStyle="Input select"/>
    <tableColumn id="2" xr3:uid="{E939A00A-2AD7-4027-AA19-0891463C586E}" name="Waste type (select)" dataCellStyle="Input select"/>
    <tableColumn id="3" xr3:uid="{A780C41E-A9D0-483D-B649-703E68E6813A}" name="Treatment location (select)" dataCellStyle="Input select"/>
    <tableColumn id="4" xr3:uid="{968E99D1-9586-4756-958A-AC8369FD4A59}" name="Amount" dataCellStyle="Input number general"/>
    <tableColumn id="7" xr3:uid="{6513162E-7AC6-46C4-9C43-97A9CB5546FD}" name="Amount unit (select)" dataCellStyle="Input select"/>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F52C87-665B-4565-984D-010681CEE8B6}" name="Table_SourceData_WasteSolid_WasteTreatmentEFs" displayName="Table_SourceData_WasteSolid_WasteTreatmentEFs" ref="D9:G29" totalsRowShown="0">
  <autoFilter ref="D9:G29" xr:uid="{4AF52C87-665B-4565-984D-010681CEE8B6}">
    <filterColumn colId="0" hiddenButton="1"/>
    <filterColumn colId="1" hiddenButton="1"/>
    <filterColumn colId="2" hiddenButton="1"/>
    <filterColumn colId="3" hiddenButton="1"/>
  </autoFilter>
  <tableColumns count="4">
    <tableColumn id="1" xr3:uid="{27ECD0A0-9936-4A60-BCC5-02F0C62FDA6C}"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B7AF1F5E-7BAC-4FF7-B59E-F905655514F2}" name="Waste type w" dataDxfId="23"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EEC6B364-DA50-41AA-A530-330FAEE98233}" name="EFwt" dataDxfId="22"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01FD94D2-85D3-4478-AB5E-04E4027C2978}" name="EF source" dataDxfId="21"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322750E-D63A-47D8-AB88-7693F1AFBB78}" name="Table_SourceData_WasteSolid_VolumeToMassConversion" displayName="Table_SourceData_WasteSolid_VolumeToMassConversion" ref="D37:E48" totalsRowShown="0">
  <autoFilter ref="D37:E48" xr:uid="{7322750E-D63A-47D8-AB88-7693F1AFBB78}">
    <filterColumn colId="0" hiddenButton="1"/>
    <filterColumn colId="1" hiddenButton="1"/>
  </autoFilter>
  <tableColumns count="2">
    <tableColumn id="1" xr3:uid="{E899A810-DA34-4DD3-9420-7017118A50BC}"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EC8E9200-43B6-459C-B7A6-907C4A1A3CDE}" name="VTMw" dataDxfId="20"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B942E3-1D24-4166-921C-DCC10960718D}" name="Table_WasteTypes_Landfill" displayName="Table_WasteTypes_Landfill" ref="I9:I20" totalsRowShown="0">
  <autoFilter ref="I9:I20" xr:uid="{99B942E3-1D24-4166-921C-DCC10960718D}">
    <filterColumn colId="0" hiddenButton="1"/>
  </autoFilter>
  <tableColumns count="1">
    <tableColumn id="1" xr3:uid="{74859A6A-085F-4CA9-9229-C28E9BE3FDB3}"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A900595-7035-4239-9059-ACC16835BF72}" name="Table_WasteTypes_Incineration" displayName="Table_WasteTypes_Incineration" ref="K9:K16" totalsRowShown="0" headerRowDxfId="19" headerRowCellStyle="Content normal" dataCellStyle="Content normal">
  <autoFilter ref="K9:K16" xr:uid="{9A900595-7035-4239-9059-ACC16835BF72}">
    <filterColumn colId="0" hiddenButton="1"/>
  </autoFilter>
  <tableColumns count="1">
    <tableColumn id="1" xr3:uid="{CF8EAE7E-F7CA-426B-9112-705975B5522A}" name="Waste type w" dataCellStyle="Content normal">
      <calculatedColumnFormula>E21</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C8D39D3-1330-49EB-B431-1B2B8C8238DC}" name="Table_WasteTypes_Composting" displayName="Table_WasteTypes_Composting" ref="M9:M10" totalsRowShown="0" headerRowDxfId="18" headerRowCellStyle="Content normal" dataCellStyle="Content normal">
  <autoFilter ref="M9:M10" xr:uid="{5C8D39D3-1330-49EB-B431-1B2B8C8238DC}">
    <filterColumn colId="0" hiddenButton="1"/>
  </autoFilter>
  <tableColumns count="1">
    <tableColumn id="1" xr3:uid="{5B9ABACD-52AE-4D64-BCA6-1DA86A1A3FC3}" name="Waste type w" dataCellStyle="Content normal">
      <calculatedColumnFormula>E28</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EC43E-DF68-429F-A2A4-58BFE6216EC3}" name="Table_WasteTypes_Anaerobicdigestion" displayName="Table_WasteTypes_Anaerobicdigestion" ref="O9:O10" totalsRowShown="0" headerRowDxfId="17" headerRowCellStyle="Content normal" dataCellStyle="Content normal">
  <autoFilter ref="O9:O10" xr:uid="{331EC43E-DF68-429F-A2A4-58BFE6216EC3}">
    <filterColumn colId="0" hiddenButton="1"/>
  </autoFilter>
  <tableColumns count="1">
    <tableColumn id="1" xr3:uid="{2D7DB5DA-05BB-4621-B5A8-576415999BBC}" name="Waste type w" dataCellStyle="Content normal">
      <calculatedColumnFormula>E29</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62C89A-EEF3-4557-BA4C-0BDCB416F42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D4B6DB4-481A-4FEF-868C-8FE4DDDC79FB}" name="State/Territory">
      <calculatedColumnFormula array="1">Common_InputFunctions.Utility_DisplayArrayInTable(Common_SourceData.Common_SourceData_AustralianStatesTerritories_Data(),Table_AustralianStates[[#Headers],[State/Territory]],0)</calculatedColumnFormula>
    </tableColumn>
    <tableColumn id="2" xr3:uid="{1DB9F4BB-866E-402A-8E72-F9AA1AAC977A}" name="Common Name">
      <calculatedColumnFormula array="1">Common_InputFunctions.Utility_DisplayArrayInTable(Common_SourceData.Common_SourceData_AustralianStatesTerritories_Data(),Table_AustralianStates[[#Headers],[State/Territory]],0)</calculatedColumnFormula>
    </tableColumn>
    <tableColumn id="3" xr3:uid="{CD22F0CE-24A4-4449-938F-AD8FC9554D8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CB9580B-B024-498E-BE40-18B3F2A5F8DC}" name="Table_WASA4Areas" displayName="Table_WASA4Areas" ref="D20:D30" totalsRowShown="0">
  <autoFilter ref="D20:D30" xr:uid="{5FA81339-C6C8-4D36-BEEA-6C4AEDD9E676}">
    <filterColumn colId="0" hiddenButton="1"/>
  </autoFilter>
  <tableColumns count="1">
    <tableColumn id="1" xr3:uid="{72ECD94F-7340-4F39-B20E-61C2CBB82AB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5B0C5E1-D46A-45D8-BED7-1CB1FE90EFE0}" name="Table_GWPData" displayName="Table_GWPData" ref="D36:E43" totalsRowShown="0">
  <autoFilter ref="D36:E43" xr:uid="{B8E87A66-3E41-4AD3-925D-01EE21B43D7A}">
    <filterColumn colId="0" hiddenButton="1"/>
    <filterColumn colId="1" hiddenButton="1"/>
  </autoFilter>
  <tableColumns count="2">
    <tableColumn id="1" xr3:uid="{3907B388-A89F-4C49-A00D-52C6520483B6}" name="Gas">
      <calculatedColumnFormula array="1">Common_InputFunctions.Utility_DisplayArrayInTable(Common_SourceData.Common_SourceData_GWP_Data(), Table_GWPData[[#Headers],[Gas]], 0)</calculatedColumnFormula>
    </tableColumn>
    <tableColumn id="2" xr3:uid="{7ABD4373-289A-47C0-AB6E-DAF0AE0FC6B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2231A79-E9DA-447C-87D4-2315CA0093A7}"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FD95996-691A-4A36-B2EF-412C3F1230B6}" name="Gas">
      <calculatedColumnFormula array="1">Common_InputFunctions.Utility_DisplayArrayInTable(Common_SourceData.Common_SourceData_ConvertGasElementalToMolecular_Data(),Table_GasToMolecularConversionFactor[[#Headers],[Gas]], 0)</calculatedColumnFormula>
    </tableColumn>
    <tableColumn id="5" xr3:uid="{6355F30E-601A-4138-9E7E-51DDA36EDCA2}" name="Conversion factor">
      <calculatedColumnFormula array="1">Common_InputFunctions.Utility_DisplayArrayInTable(Common_SourceData.Common_SourceData_ConvertGasElementalToMolecular_Data(),Table_GasToMolecularConversionFactor[[#Headers],[Gas]], 0)</calculatedColumnFormula>
    </tableColumn>
    <tableColumn id="2" xr3:uid="{186FBAF4-EDB1-474E-A037-5CCF28A1D4C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3847081-F467-4FAC-A371-F5EFFD2888A6}"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EF3B602-6607-43FB-B705-49E6F2C659A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6633ABF-6ACC-4B83-B388-F4D4B99A143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2B430F3-D1CF-4DBE-B788-FF3C20E22F2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C3CDDB25-5D60-4029-A9DA-FCDF6DED306F}" name="MA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3" xr3:uid="{9679764B-2260-453C-903D-6DDFD533890A}" name="MA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4" xr3:uid="{E0B96EC6-4CC7-4E17-A726-BE318859D69B}" name="Frost days per year"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5" xr3:uid="{99D9532F-D633-43D8-9E09-E4CDFE2DA99A}" name="Elevation"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6" xr3:uid="{8EE4536F-60D5-4869-942F-180544702200}" name="MAP:PET"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7" xr3:uid="{0FBAF10F-60EE-41D9-8B7E-87B685FD0BCF}" name="Min temp"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8" xr3:uid="{AAFC57CF-79ED-4BE2-8E90-4DD13CE49372}" name="Max temp"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9" xr3:uid="{957B0523-D24F-4CDC-962F-4D2B1660898D}" name="Min rainfall"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0" xr3:uid="{9E77BCDD-0E8C-4CF0-A1C5-85B308D8C052}" name="Max rainfall"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1" xr3:uid="{153CE395-CEED-4627-A2F5-BCEAC4C343B6}" name="Min frost days"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5" xr3:uid="{AF3247BE-0748-4077-A088-B88274EDB78C}" name="Max frost days"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2" xr3:uid="{CA08E02B-2B67-4F32-A544-1CD765406C64}" name="Min elevation"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6" xr3:uid="{C508455B-0B90-439D-B21C-483306D70F51}" name="Max elevation"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3" xr3:uid="{0F2F2640-788C-4191-ACF6-E8907F671213}" name="Min MAP:PET"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7" xr3:uid="{3886FF95-FFB6-4E58-8C4E-685D6C6DD1F1}" name="Max MAP:PET" totalsRowDxfId="45"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131D092-6791-4628-B313-820B767FA1E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82668848-C846-4A8E-BEB5-6A099515513D}"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02B3268-15E1-4043-8BFA-C290D5EDE873}" name="Wet or Dry Zone" totalsRowDxfId="44"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21B0C15-9385-4455-A368-122B3513FD7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140A241-9DC0-4978-AB67-A9BB3EADAD79}" name="Temperature Zone">
      <calculatedColumnFormula array="1">Common_InputFunctions.Utility_DisplayArrayInTable(Common_SourceData.Common_SourceData_TemperatureZones_Data(),Table_SourceData_TemperatureZones[[#Headers],[Temperature Zone]],0)</calculatedColumnFormula>
    </tableColumn>
    <tableColumn id="2" xr3:uid="{659A82A0-B467-4F90-B3D1-FF36E808AC00}" name="MAT">
      <calculatedColumnFormula array="1">Common_InputFunctions.Utility_DisplayArrayInTable(Common_SourceData.Common_SourceData_TemperatureZones_Data(),Table_SourceData_TemperatureZones[[#Headers],[Temperature Zone]],0)</calculatedColumnFormula>
    </tableColumn>
    <tableColumn id="3" xr3:uid="{EEEDF603-F8F9-4B3D-BB24-58F7CC3D6D09}" name="Min MAT">
      <calculatedColumnFormula array="1">Common_InputFunctions.Utility_DisplayArrayInTable(Common_SourceData.Common_SourceData_TemperatureZones_Data(),Table_SourceData_TemperatureZones[[#Headers],[Temperature Zone]],0)</calculatedColumnFormula>
    </tableColumn>
    <tableColumn id="4" xr3:uid="{17B93F0A-0356-41EE-AE8E-1DCCC8A1D16A}"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7D69BCB-2187-4456-838F-A72858BD363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B15094D7-0644-4721-A752-A739BCA90BE4}" name="Rainfall Zone">
      <calculatedColumnFormula array="1">Common_InputFunctions.Utility_DisplayArrayInTable(Common_SourceData.Common_SourceData_RainfallZones_Data(),Table_SourceData_RainfallZones[[#Headers],[Rainfall Zone]],0)</calculatedColumnFormula>
    </tableColumn>
    <tableColumn id="2" xr3:uid="{F4BC5612-F203-409C-93B7-6C3F9F5379B8}" name="Annual rainfall">
      <calculatedColumnFormula array="1">Common_InputFunctions.Utility_DisplayArrayInTable(Common_SourceData.Common_SourceData_RainfallZones_Data(),Table_SourceData_RainfallZones[[#Headers],[Rainfall Zone]],0)</calculatedColumnFormula>
    </tableColumn>
    <tableColumn id="3" xr3:uid="{BDC9CD07-0AFF-4F9C-9801-2326AEF5C824}" name="Min rainfall">
      <calculatedColumnFormula array="1">Common_InputFunctions.Utility_DisplayArrayInTable(Common_SourceData.Common_SourceData_RainfallZones_Data(),Table_SourceData_RainfallZones[[#Headers],[Rainfall Zone]],0)</calculatedColumnFormula>
    </tableColumn>
    <tableColumn id="4" xr3:uid="{D0F652DA-AFF8-4B04-8D06-1D159FFDD31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D5217865-95C3-40E1-AA89-56CB3B85D5D9}"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C628AE4-74F8-40E7-A17D-67CDF7905DDB}" name="Leaching Zone">
      <calculatedColumnFormula array="1">Common_InputFunctions.Utility_DisplayArrayInTable(Common_SourceData.Common_SourceData_LeachingZones_Data(), Table_SourceData_LeachingZones[[#Headers],[Leaching Zone]], 0)</calculatedColumnFormula>
    </tableColumn>
    <tableColumn id="2" xr3:uid="{16F1E50B-E11A-4101-AC47-557A6CCDE40D}"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6D8D80C-DC2C-4D39-8B80-9C99993C5EE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009E72D7-5CDD-434D-94EA-23F2C9B35DDC}" name="Data source">
      <calculatedColumnFormula array="1">Common_InputFunctions.Utility_DisplayArrayInTable(Common_SourceData.Common_SourceData_DataScores_Scope3_Data(), Table_SourceData_DataScores_Scope3[[#Headers],[Data source]], 0)</calculatedColumnFormula>
    </tableColumn>
    <tableColumn id="2" xr3:uid="{7ED12F1F-E783-47D4-B77A-057805442CA1}"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F6231B4-3BBC-49B3-811D-D50AE62D4042}" name="Table_SourceData_FracWET" displayName="Table_SourceData_FracWET" ref="D134:E136" totalsRowShown="0">
  <autoFilter ref="D134:E136" xr:uid="{308E99BE-FE1F-47A4-B2CA-97217277C4E9}">
    <filterColumn colId="0" hiddenButton="1"/>
    <filterColumn colId="1" hiddenButton="1"/>
  </autoFilter>
  <tableColumns count="2">
    <tableColumn id="1" xr3:uid="{A87C906C-828A-4DE3-9EB3-2FCA8EE8054D}" name="Is in leaching zone">
      <calculatedColumnFormula array="1">Common_InputFunctions.Utility_DisplayArrayInTable(Common_SourceData.Common_SourceData_FracWET_Data(),Table_SourceData_FracWET[[#Headers],[Is in leaching zone]],0)</calculatedColumnFormula>
    </tableColumn>
    <tableColumn id="2" xr3:uid="{D7930F92-DBDF-4FD8-BF44-B4D67BB114A7}" name="FracWET" dataDxfId="43">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3434731-85EF-4619-82A7-BFED79CB9497}"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BD056F0-A1CC-4A9C-B94B-F8E5AA03E7EA}" name="Production system j">
      <calculatedColumnFormula array="1">Common_InputFunctions.Utility_DisplayArrayInTable(Common_SourceData.Common_SourceData_EFN2O_Data(), Table_SourceData_Common_EFN2O[[#Headers],[Production system j]], 0)</calculatedColumnFormula>
    </tableColumn>
    <tableColumn id="2" xr3:uid="{F5F3835B-5BDD-4D93-8E74-BE19BF70454B}" name="EFN2O">
      <calculatedColumnFormula array="1">Common_InputFunctions.Utility_DisplayArrayInTable(Common_SourceData.Common_SourceData_EFN2O_Data(), Table_SourceData_Common_EFN2O[[#Headers],[Production system j]], 0)</calculatedColumnFormula>
    </tableColumn>
    <tableColumn id="3" xr3:uid="{8A59CACB-35E9-4470-AE06-195E43690545}" name="Production system only">
      <calculatedColumnFormula array="1">Common_InputFunctions.Utility_DisplayArrayInTable(Common_SourceData.Common_SourceData_EFN2O_Data(), Table_SourceData_Common_EFN2O[[#Headers],[Production system j]], 0)</calculatedColumnFormula>
    </tableColumn>
    <tableColumn id="4" xr3:uid="{6ED28D0B-B715-44F2-8387-D29DAA981F2E}" name="Irrigation method">
      <calculatedColumnFormula array="1">Common_InputFunctions.Utility_DisplayArrayInTable(Common_SourceData.Common_SourceData_EFN2O_Data(), Table_SourceData_Common_EFN2O[[#Headers],[Production system j]], 0)</calculatedColumnFormula>
    </tableColumn>
    <tableColumn id="5" xr3:uid="{EA6DCE58-4C54-48B7-8FBC-4C308A6B085B}"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A15A194-61C1-4500-ABA0-74793469560C}"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A399DD2C-2C8F-4921-AE90-4A605954450F}" name="Irrigation type i">
      <calculatedColumnFormula array="1">Common_InputFunctions.Utility_DisplayArrayInTable(Common_SourceData.Common_SourceData_FracWETIrrigation_Data(), Table_SourceData_FracWETIrrigation[[#Headers],[Irrigation type i]], 0)</calculatedColumnFormula>
    </tableColumn>
    <tableColumn id="2" xr3:uid="{4E1AF06C-CDE4-4181-A993-5B0147FA6DF4}" name="FracWET" dataDxfId="42"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85A22928-E920-409B-A0A8-7D229D3CCE6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4C2D9DB-EED2-456F-BEA2-E59493B2159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0EDC8DD-395C-467A-B621-EFC3308C0D3A}" name="EFPRP" dataDxfId="41"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E413DC2-3522-43D9-B1E2-E3DD5CDAB443}"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295FB4A-FD24-4CF1-93B7-91D96C60BA18}" name="Month">
      <calculatedColumnFormula array="1">Common_InputFunctions.Utility_DisplayArrayInTable(Common_SourceData.Common_SourceData_MonthsToSeasons_Data(), Table_SourceData_Common_MonthToSeason[[#Headers],[Month]], 0)</calculatedColumnFormula>
    </tableColumn>
    <tableColumn id="2" xr3:uid="{8C39FACA-411D-4F92-BE74-1F43448F529F}" name="Season" dataDxfId="40"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82D66-F0D0-4E45-A0D8-E36E9B74E28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888068E-C9B5-43FD-A916-9B770491474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0FC6643-2FC3-4D44-9372-A36B5CC73DD7}" name="MAT (ºC)"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0E51BB47-0324-4B13-8E89-7C9A5A09EC52}" name="Anaerobic lagoon"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312BF22-4881-442C-A8FD-F976FFCB79B7}" name="Digester / covered lagoons"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B70D6DD-C0F4-4284-8B69-FAEF867F1C6E}" name="Liquid systems"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2D0359C8-B312-4F0D-95CC-9F27DD9711CE}" name="Daily spread"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A63BD27-4E04-4451-82B2-4721FC78703D}" name="Composting (passive windrow)"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9E6852C8-02EF-45CF-AE8F-A903AAB60C57}" name="Solid storage"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4FF0616-5C4C-44A7-B4AB-CD29BC2285D1}" name="Pit storage"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F4831-78E1-4196-A054-44C26274DAB4}" name="Deep litter"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4FFBAFB-4252-464A-913F-2B9A9D6C2256}" name="Poultry manure with bedd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563BB03-86A6-4D44-AA7D-D448DA9F57D7}" name="Poultry manure without bedding"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7174980-0D39-4A0A-8B4A-73861E176A7D}" name="Direct processing"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D03C9E8-98A5-4484-920C-D6CF9FB7836F}" name="Direct application"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AFBD0566-0721-4CC3-A56B-684599A1581B}" name="Pasture range and paddock"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5C1DBBE-A111-4ED1-ABEE-B8DF2C7A1776}" name="MAT raw"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441E9C97-ACC7-4EAD-94B5-DD5294FCAEE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51F1B45-76B8-41BA-A4E8-39E28B5D22D8}"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C4AE05B-BAAC-4518-B0E9-FA3DAFBD52CD}" name="EFNi &amp; EFN2Oi" dataDxfId="24"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31"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printerSettings" Target="../printerSettings/printerSettings3.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1" Type="http://schemas.openxmlformats.org/officeDocument/2006/relationships/printerSettings" Target="../printerSettings/printerSettings4.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4" t="s">
        <v>135</v>
      </c>
      <c r="D1" s="55"/>
      <c r="E1" s="55"/>
      <c r="F1" s="55"/>
      <c r="G1" s="55"/>
      <c r="H1" s="55"/>
      <c r="I1" s="55"/>
      <c r="J1" s="55"/>
      <c r="K1" s="55"/>
      <c r="L1" s="55"/>
      <c r="M1" s="55"/>
      <c r="N1" s="55"/>
      <c r="O1" s="55"/>
      <c r="P1" s="55"/>
    </row>
    <row r="2" spans="1:17" ht="20.100000000000001" customHeight="1" x14ac:dyDescent="0.25">
      <c r="A2" s="8"/>
      <c r="C2" s="55"/>
      <c r="D2" s="55"/>
      <c r="E2" s="55"/>
      <c r="F2" s="55"/>
      <c r="G2" s="55"/>
      <c r="H2" s="55"/>
      <c r="I2" s="55"/>
      <c r="J2" s="55"/>
      <c r="K2" s="55"/>
      <c r="L2" s="55"/>
      <c r="M2" s="55"/>
      <c r="N2" s="55"/>
      <c r="O2" s="55"/>
      <c r="P2" s="55"/>
      <c r="Q2" s="56"/>
    </row>
    <row r="3" spans="1:17" ht="20.100000000000001" customHeight="1" x14ac:dyDescent="0.25">
      <c r="A3" s="13" t="str">
        <f>HYPERLINK("#'Home'!A1", "Home")</f>
        <v>Home</v>
      </c>
      <c r="C3" s="57"/>
      <c r="D3" s="57"/>
      <c r="E3" s="57"/>
      <c r="F3" s="57"/>
      <c r="G3" s="57"/>
      <c r="H3" s="57"/>
      <c r="I3" s="57"/>
      <c r="J3" s="57"/>
      <c r="K3" s="57"/>
      <c r="L3" s="57"/>
      <c r="M3" s="57"/>
      <c r="N3" s="57"/>
      <c r="O3" s="57"/>
      <c r="P3" s="57"/>
    </row>
    <row r="4" spans="1:17" ht="20.100000000000001" customHeight="1" x14ac:dyDescent="0.25">
      <c r="A4" s="43" t="str">
        <f>HYPERLINK("#'Overview'!A1", "Overview")</f>
        <v>Overview</v>
      </c>
    </row>
    <row r="5" spans="1:17" ht="20.100000000000001" customHeight="1" x14ac:dyDescent="0.25">
      <c r="A5" s="13" t="str">
        <f>HYPERLINK("#'Results'!A1", "Results")</f>
        <v>Results</v>
      </c>
      <c r="D5" s="41" t="s">
        <v>82</v>
      </c>
      <c r="E5" s="37"/>
      <c r="F5" s="37"/>
      <c r="G5" s="37"/>
      <c r="H5" s="37"/>
      <c r="I5" s="37"/>
      <c r="J5" s="37"/>
      <c r="K5" s="37"/>
      <c r="L5" s="37"/>
      <c r="M5" s="37"/>
      <c r="N5" s="37"/>
      <c r="O5" s="34"/>
    </row>
    <row r="6" spans="1:17" ht="20.100000000000001" customHeight="1" x14ac:dyDescent="0.25">
      <c r="A6" s="12"/>
      <c r="D6" s="58" t="s">
        <v>83</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Solid waste'!A1", "Solid waste")</f>
        <v>Solid waste</v>
      </c>
    </row>
    <row r="9" spans="1:17" ht="20.100000000000001" customHeight="1" x14ac:dyDescent="0.25">
      <c r="A9" s="13"/>
    </row>
    <row r="10" spans="1:17" ht="20.100000000000001" customHeight="1" x14ac:dyDescent="0.25">
      <c r="A10" s="15" t="s">
        <v>44</v>
      </c>
    </row>
    <row r="11" spans="1:17" ht="20.100000000000001" customHeight="1" x14ac:dyDescent="0.25">
      <c r="A11" s="13" t="str">
        <f>HYPERLINK("#'10.1.1-2 Solid waste treatment'!A1", "10.1.1-2 Solid waste treatment")</f>
        <v>10.1.1-2 Solid waste treatment</v>
      </c>
    </row>
    <row r="12" spans="1:17" ht="20.100000000000001" customHeight="1" x14ac:dyDescent="0.25">
      <c r="A12" s="13"/>
    </row>
    <row r="13" spans="1:17" ht="20.100000000000001" customHeight="1" x14ac:dyDescent="0.25">
      <c r="A13" s="14" t="s">
        <v>2</v>
      </c>
    </row>
    <row r="14" spans="1:17" ht="20.100000000000001" customHeight="1" x14ac:dyDescent="0.25">
      <c r="A14" s="13" t="str">
        <f>HYPERLINK("#'Constants - Solid waste'!A1", "Constants - Solid waste")</f>
        <v>Constants - Solid waste</v>
      </c>
      <c r="O14" s="1" t="s">
        <v>84</v>
      </c>
    </row>
    <row r="15" spans="1:17" ht="20.100000000000001" customHeight="1" x14ac:dyDescent="0.25">
      <c r="A15" s="13" t="str">
        <f>HYPERLINK("#'Constants - Common'!A1", "Constants - Common")</f>
        <v>Constants - Common</v>
      </c>
    </row>
    <row r="16" spans="1:17" ht="20.100000000000001" customHeight="1" x14ac:dyDescent="0.25"/>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80</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H87"/>
  <sheetViews>
    <sheetView showGridLines="0" zoomScaleNormal="100" workbookViewId="0">
      <selection activeCell="D22" sqref="D22"/>
    </sheetView>
  </sheetViews>
  <sheetFormatPr defaultRowHeight="15" x14ac:dyDescent="0.25"/>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3" t="e" vm="1">
        <v>#VALUE!</v>
      </c>
      <c r="C1" s="54" t="s">
        <v>136</v>
      </c>
    </row>
    <row r="2" spans="1:8" ht="20.100000000000001" customHeight="1" x14ac:dyDescent="0.25">
      <c r="A2" s="8"/>
      <c r="C2" s="8"/>
    </row>
    <row r="3" spans="1:8" ht="20.100000000000001" customHeight="1" x14ac:dyDescent="0.25">
      <c r="A3" s="13" t="str">
        <f>HYPERLINK("#'Home'!A1", "Home")</f>
        <v>Home</v>
      </c>
      <c r="C3" s="18"/>
      <c r="D3" s="18"/>
      <c r="E3" s="18"/>
      <c r="F3" s="18"/>
      <c r="G3" s="18"/>
      <c r="H3" s="18"/>
    </row>
    <row r="4" spans="1:8" ht="20.100000000000001" customHeight="1" x14ac:dyDescent="0.25">
      <c r="A4" s="13" t="str">
        <f>HYPERLINK("#'Overview'!A1", "Overview")</f>
        <v>Overview</v>
      </c>
      <c r="C4" s="18"/>
      <c r="D4" s="5" t="s">
        <v>3</v>
      </c>
      <c r="E4" s="19"/>
      <c r="F4" s="19"/>
      <c r="G4" s="19"/>
      <c r="H4" s="20"/>
    </row>
    <row r="5" spans="1:8" ht="20.100000000000001" customHeight="1" x14ac:dyDescent="0.3">
      <c r="A5" s="43" t="str">
        <f>HYPERLINK("#'Results'!A1", "Results")</f>
        <v>Results</v>
      </c>
      <c r="C5" s="18"/>
      <c r="D5" s="21"/>
      <c r="E5" s="22"/>
      <c r="F5" s="22"/>
      <c r="G5" s="22"/>
      <c r="H5" s="18"/>
    </row>
    <row r="6" spans="1:8" ht="20.100000000000001" customHeight="1" x14ac:dyDescent="0.25">
      <c r="A6" s="12"/>
      <c r="C6" s="18"/>
      <c r="D6" s="17" t="s">
        <v>79</v>
      </c>
      <c r="E6" s="18"/>
      <c r="F6" s="18"/>
      <c r="G6" s="18"/>
      <c r="H6" s="18"/>
    </row>
    <row r="7" spans="1:8" ht="20.100000000000001" customHeight="1" x14ac:dyDescent="0.25">
      <c r="A7" s="16" t="s">
        <v>1</v>
      </c>
      <c r="C7" s="18"/>
      <c r="D7" s="18"/>
      <c r="E7" s="18"/>
      <c r="F7" s="18"/>
      <c r="G7" s="18"/>
      <c r="H7" s="18"/>
    </row>
    <row r="8" spans="1:8" ht="20.100000000000001" customHeight="1" x14ac:dyDescent="0.25">
      <c r="A8" s="13" t="str">
        <f>HYPERLINK("#'Input - Solid waste'!A1", "Solid waste")</f>
        <v>Solid waste</v>
      </c>
      <c r="C8" s="18"/>
      <c r="D8" s="39" t="s">
        <v>49</v>
      </c>
      <c r="E8" s="39" t="s">
        <v>59</v>
      </c>
      <c r="F8" s="39" t="s">
        <v>60</v>
      </c>
      <c r="G8" s="39" t="s">
        <v>54</v>
      </c>
      <c r="H8" s="18"/>
    </row>
    <row r="9" spans="1:8" ht="20.100000000000001" customHeight="1" x14ac:dyDescent="0.25">
      <c r="A9" s="13"/>
      <c r="C9" s="18"/>
      <c r="D9" s="1" t="s">
        <v>128</v>
      </c>
      <c r="E9" s="53">
        <f>'10.1.1-2 Solid waste treatment'!E109</f>
        <v>210.92105000000001</v>
      </c>
      <c r="F9" s="53">
        <f>E9</f>
        <v>210.92105000000001</v>
      </c>
      <c r="G9" s="30" t="s">
        <v>57</v>
      </c>
      <c r="H9" s="18"/>
    </row>
    <row r="10" spans="1:8" ht="20.100000000000001" customHeight="1" x14ac:dyDescent="0.25">
      <c r="A10" s="15" t="s">
        <v>44</v>
      </c>
      <c r="C10" s="18"/>
      <c r="D10" s="1"/>
      <c r="E10" s="53"/>
      <c r="F10" s="53"/>
      <c r="G10" s="30"/>
      <c r="H10" s="18"/>
    </row>
    <row r="11" spans="1:8" ht="20.100000000000001" customHeight="1" x14ac:dyDescent="0.25">
      <c r="A11" s="13" t="str">
        <f>HYPERLINK("#'10.1.1-2 Solid waste treatment'!A1", "10.1.1-2 Solid waste treatment")</f>
        <v>10.1.1-2 Solid waste treatment</v>
      </c>
      <c r="C11" s="18"/>
      <c r="D11" s="1"/>
      <c r="E11" s="1"/>
      <c r="F11" s="1"/>
      <c r="G11" s="1"/>
      <c r="H11" s="18"/>
    </row>
    <row r="12" spans="1:8" ht="20.100000000000001" customHeight="1" x14ac:dyDescent="0.25">
      <c r="A12" s="13"/>
      <c r="C12" s="18"/>
      <c r="D12" s="39" t="s">
        <v>129</v>
      </c>
      <c r="E12" s="39" t="s">
        <v>59</v>
      </c>
      <c r="F12" s="39" t="s">
        <v>60</v>
      </c>
      <c r="G12" s="39" t="s">
        <v>54</v>
      </c>
      <c r="H12" s="18"/>
    </row>
    <row r="13" spans="1:8" ht="20.100000000000001" customHeight="1" x14ac:dyDescent="0.25">
      <c r="A13" s="14" t="s">
        <v>2</v>
      </c>
      <c r="C13" s="18"/>
      <c r="D13" s="1" t="s">
        <v>128</v>
      </c>
      <c r="E13" s="53">
        <f>'10.1.1-2 Solid waste treatment'!E136</f>
        <v>158.42105000000001</v>
      </c>
      <c r="F13" s="53">
        <f>E13</f>
        <v>158.42105000000001</v>
      </c>
      <c r="G13" s="30" t="s">
        <v>57</v>
      </c>
      <c r="H13" s="18"/>
    </row>
    <row r="14" spans="1:8" ht="20.100000000000001" customHeight="1" x14ac:dyDescent="0.25">
      <c r="A14" s="13" t="str">
        <f>HYPERLINK("#'Constants - Solid waste'!A1", "Constants - Solid waste")</f>
        <v>Constants - Solid waste</v>
      </c>
      <c r="C14" s="18"/>
      <c r="D14" s="1"/>
      <c r="E14" s="40"/>
      <c r="F14" s="30"/>
      <c r="G14" s="1"/>
      <c r="H14" s="18"/>
    </row>
    <row r="15" spans="1:8" ht="20.100000000000001" customHeight="1" x14ac:dyDescent="0.25">
      <c r="A15" s="13" t="str">
        <f>HYPERLINK("#'Constants - Common'!A1", "Constants - Common")</f>
        <v>Constants - Common</v>
      </c>
      <c r="C15" s="18"/>
      <c r="D15" s="1"/>
      <c r="E15" s="40"/>
      <c r="F15" s="30"/>
      <c r="G15" s="1"/>
      <c r="H15" s="18"/>
    </row>
    <row r="16" spans="1:8" ht="20.100000000000001" customHeight="1" x14ac:dyDescent="0.25">
      <c r="C16" s="18"/>
      <c r="D16" s="1"/>
      <c r="E16" s="1"/>
      <c r="F16" s="1"/>
      <c r="G16" s="1"/>
      <c r="H16" s="18"/>
    </row>
    <row r="17" spans="1:8" ht="20.100000000000001" customHeight="1" x14ac:dyDescent="0.25">
      <c r="C17" s="18"/>
      <c r="D17" s="1"/>
      <c r="E17" s="1"/>
      <c r="F17" s="1"/>
      <c r="G17" s="1"/>
      <c r="H17" s="18"/>
    </row>
    <row r="18" spans="1:8" ht="20.100000000000001" customHeight="1" x14ac:dyDescent="0.25">
      <c r="C18" s="18"/>
      <c r="D18" s="1"/>
      <c r="E18" s="1"/>
      <c r="F18" s="1"/>
      <c r="G18" s="1"/>
      <c r="H18" s="18"/>
    </row>
    <row r="19" spans="1:8" ht="20.100000000000001" customHeight="1" x14ac:dyDescent="0.25">
      <c r="C19" s="18"/>
      <c r="D19" s="1"/>
      <c r="E19" s="1"/>
      <c r="F19" s="1"/>
      <c r="G19" s="1"/>
      <c r="H19" s="18"/>
    </row>
    <row r="20" spans="1:8" ht="20.100000000000001" customHeight="1" x14ac:dyDescent="0.25">
      <c r="A20" s="13"/>
      <c r="C20" s="18"/>
      <c r="D20" s="1"/>
      <c r="E20" s="1"/>
      <c r="F20" s="1"/>
      <c r="G20" s="1"/>
      <c r="H20" s="18"/>
    </row>
    <row r="21" spans="1:8" ht="20.100000000000001" customHeight="1" x14ac:dyDescent="0.25">
      <c r="A21" s="13"/>
      <c r="C21" s="18"/>
      <c r="D21" s="1"/>
      <c r="E21" s="1"/>
      <c r="F21" s="1"/>
      <c r="G21" s="1"/>
      <c r="H21" s="18"/>
    </row>
    <row r="22" spans="1:8" ht="20.100000000000001" customHeight="1" x14ac:dyDescent="0.25">
      <c r="C22" s="18"/>
      <c r="D22" s="1"/>
      <c r="E22" s="1"/>
      <c r="F22" s="1"/>
      <c r="G22" s="1"/>
      <c r="H22" s="18"/>
    </row>
    <row r="23" spans="1:8" ht="20.100000000000001" customHeight="1" x14ac:dyDescent="0.25">
      <c r="A23" s="13"/>
      <c r="C23" s="18"/>
      <c r="D23" s="1"/>
      <c r="E23" s="1"/>
      <c r="F23" s="1"/>
      <c r="G23" s="1"/>
      <c r="H23" s="18"/>
    </row>
    <row r="24" spans="1:8" ht="20.100000000000001" customHeight="1" x14ac:dyDescent="0.25">
      <c r="C24" s="18"/>
      <c r="D24" s="1"/>
      <c r="E24" s="1"/>
      <c r="F24" s="1"/>
      <c r="G24" s="1"/>
      <c r="H24" s="18"/>
    </row>
    <row r="25" spans="1:8" ht="20.100000000000001" customHeight="1" x14ac:dyDescent="0.25">
      <c r="C25" s="18"/>
      <c r="D25" s="1"/>
      <c r="E25" s="1"/>
      <c r="F25" s="1"/>
      <c r="G25" s="1"/>
      <c r="H25" s="18"/>
    </row>
    <row r="26" spans="1:8" ht="20.100000000000001" customHeight="1" x14ac:dyDescent="0.25">
      <c r="C26" s="18"/>
      <c r="D26" s="1"/>
      <c r="E26" s="1"/>
      <c r="F26" s="1"/>
      <c r="G26" s="1"/>
      <c r="H26" s="18"/>
    </row>
    <row r="27" spans="1:8" ht="20.100000000000001" customHeight="1" x14ac:dyDescent="0.25">
      <c r="C27" s="18"/>
      <c r="D27" s="1"/>
      <c r="E27" s="1"/>
      <c r="F27" s="1"/>
      <c r="G27" s="1"/>
      <c r="H27" s="18"/>
    </row>
    <row r="28" spans="1:8" ht="20.100000000000001" customHeight="1" x14ac:dyDescent="0.25">
      <c r="C28" s="18"/>
      <c r="D28" s="1"/>
      <c r="E28" s="1"/>
      <c r="F28" s="1"/>
      <c r="G28" s="1"/>
      <c r="H28" s="18"/>
    </row>
    <row r="29" spans="1:8" ht="20.100000000000001" customHeight="1" x14ac:dyDescent="0.25">
      <c r="C29" s="18"/>
      <c r="D29" s="1"/>
      <c r="E29" s="1"/>
      <c r="F29" s="1"/>
      <c r="G29" s="1"/>
      <c r="H29" s="18"/>
    </row>
    <row r="30" spans="1:8" ht="20.100000000000001" customHeight="1" x14ac:dyDescent="0.25">
      <c r="C30" s="18"/>
      <c r="D30" s="1"/>
      <c r="E30" s="1"/>
      <c r="F30" s="1"/>
      <c r="G30" s="1"/>
      <c r="H30" s="18"/>
    </row>
    <row r="31" spans="1:8" ht="20.100000000000001" customHeight="1" x14ac:dyDescent="0.25">
      <c r="C31" s="18"/>
      <c r="D31" s="1"/>
      <c r="E31" s="1"/>
      <c r="F31" s="1"/>
      <c r="G31" s="1"/>
      <c r="H31" s="18"/>
    </row>
    <row r="32" spans="1:8" ht="20.100000000000001" customHeight="1" x14ac:dyDescent="0.25">
      <c r="C32" s="18"/>
      <c r="D32" s="1"/>
      <c r="E32" s="1"/>
      <c r="F32" s="1"/>
      <c r="G32" s="1"/>
      <c r="H32" s="18"/>
    </row>
    <row r="33" spans="3:8" ht="20.100000000000001" customHeight="1" x14ac:dyDescent="0.25">
      <c r="C33" s="18"/>
      <c r="D33" s="1"/>
      <c r="E33" s="1"/>
      <c r="F33" s="1"/>
      <c r="G33" s="1"/>
      <c r="H33" s="18"/>
    </row>
    <row r="34" spans="3:8" ht="20.100000000000001" customHeight="1" x14ac:dyDescent="0.25">
      <c r="C34" s="18"/>
      <c r="D34" s="1"/>
      <c r="E34" s="1"/>
      <c r="F34" s="1"/>
      <c r="G34" s="1"/>
      <c r="H34" s="18"/>
    </row>
    <row r="35" spans="3:8" ht="20.100000000000001" customHeight="1" x14ac:dyDescent="0.25">
      <c r="C35" s="18"/>
      <c r="D35" s="1"/>
      <c r="E35" s="1"/>
      <c r="F35" s="1"/>
      <c r="G35" s="1"/>
      <c r="H35" s="18"/>
    </row>
    <row r="36" spans="3:8" ht="20.100000000000001" customHeight="1" x14ac:dyDescent="0.25">
      <c r="C36" s="18"/>
      <c r="D36" s="1"/>
      <c r="E36" s="1"/>
      <c r="F36" s="1"/>
      <c r="G36" s="1"/>
      <c r="H36" s="18"/>
    </row>
    <row r="37" spans="3:8" ht="20.100000000000001" customHeight="1" x14ac:dyDescent="0.25">
      <c r="C37" s="18"/>
      <c r="D37" s="1"/>
      <c r="E37" s="1"/>
      <c r="F37" s="1"/>
      <c r="G37" s="1"/>
      <c r="H37" s="18"/>
    </row>
    <row r="38" spans="3:8" ht="20.100000000000001" customHeight="1" x14ac:dyDescent="0.25">
      <c r="C38" s="18"/>
      <c r="D38" s="1"/>
      <c r="E38" s="1"/>
      <c r="F38" s="1"/>
      <c r="G38" s="1"/>
      <c r="H38" s="18"/>
    </row>
    <row r="39" spans="3:8" ht="20.100000000000001" customHeight="1" x14ac:dyDescent="0.25">
      <c r="C39" s="18"/>
      <c r="D39" s="1"/>
      <c r="E39" s="1"/>
      <c r="F39" s="1"/>
      <c r="G39" s="1"/>
      <c r="H39" s="18"/>
    </row>
    <row r="40" spans="3:8" ht="20.100000000000001" customHeight="1" x14ac:dyDescent="0.25">
      <c r="C40" s="18"/>
      <c r="D40" s="1"/>
      <c r="E40" s="1"/>
      <c r="F40" s="1"/>
      <c r="G40" s="1"/>
      <c r="H40" s="18"/>
    </row>
    <row r="41" spans="3:8" ht="20.100000000000001" customHeight="1" x14ac:dyDescent="0.25">
      <c r="C41" s="18"/>
      <c r="D41" s="1"/>
      <c r="E41" s="1"/>
      <c r="F41" s="1"/>
      <c r="G41" s="1"/>
      <c r="H41" s="18"/>
    </row>
    <row r="42" spans="3:8" ht="20.100000000000001" customHeight="1" x14ac:dyDescent="0.25">
      <c r="C42" s="18"/>
      <c r="D42" s="1"/>
      <c r="E42" s="1"/>
      <c r="F42" s="1"/>
      <c r="G42" s="1"/>
      <c r="H42" s="18"/>
    </row>
    <row r="43" spans="3:8" ht="20.100000000000001" customHeight="1" x14ac:dyDescent="0.25">
      <c r="C43" s="18"/>
      <c r="D43" s="1"/>
      <c r="E43" s="1"/>
      <c r="F43" s="1"/>
      <c r="G43" s="1"/>
      <c r="H43" s="18"/>
    </row>
    <row r="44" spans="3:8" ht="20.100000000000001" customHeight="1" x14ac:dyDescent="0.25">
      <c r="C44" s="18"/>
      <c r="D44" s="1"/>
      <c r="E44" s="1"/>
      <c r="F44" s="1"/>
      <c r="G44" s="1"/>
      <c r="H44" s="18"/>
    </row>
    <row r="45" spans="3:8" ht="20.100000000000001" customHeight="1" x14ac:dyDescent="0.25">
      <c r="C45" s="18"/>
      <c r="D45" s="1"/>
      <c r="E45" s="1"/>
      <c r="F45" s="1"/>
      <c r="G45" s="1"/>
      <c r="H45" s="18"/>
    </row>
    <row r="46" spans="3:8" ht="20.100000000000001" customHeight="1" x14ac:dyDescent="0.25">
      <c r="C46" s="18"/>
      <c r="D46" s="1"/>
      <c r="E46" s="1"/>
      <c r="F46" s="1"/>
      <c r="G46" s="1"/>
      <c r="H46" s="18"/>
    </row>
    <row r="47" spans="3:8" ht="20.100000000000001" customHeight="1" x14ac:dyDescent="0.25">
      <c r="C47" s="18"/>
      <c r="D47" s="1"/>
      <c r="E47" s="1"/>
      <c r="F47" s="1"/>
      <c r="G47" s="1"/>
      <c r="H47" s="18"/>
    </row>
    <row r="48" spans="3:8" ht="20.100000000000001" customHeight="1" x14ac:dyDescent="0.25">
      <c r="C48" s="18"/>
      <c r="D48" s="1"/>
      <c r="E48" s="1"/>
      <c r="F48" s="1"/>
      <c r="G48" s="1"/>
      <c r="H48" s="18"/>
    </row>
    <row r="49" spans="3:8" ht="20.100000000000001" customHeight="1" x14ac:dyDescent="0.25">
      <c r="C49" s="18"/>
      <c r="D49" s="1"/>
      <c r="E49" s="1"/>
      <c r="F49" s="1"/>
      <c r="G49" s="1"/>
      <c r="H49" s="18"/>
    </row>
    <row r="50" spans="3:8" ht="20.100000000000001" customHeight="1" x14ac:dyDescent="0.25">
      <c r="C50" s="18"/>
      <c r="D50" s="1"/>
      <c r="E50" s="1"/>
      <c r="F50" s="1"/>
      <c r="G50" s="1"/>
      <c r="H50" s="18"/>
    </row>
    <row r="51" spans="3:8" ht="20.100000000000001" customHeight="1" x14ac:dyDescent="0.25">
      <c r="C51" s="18"/>
      <c r="D51" s="1"/>
      <c r="E51" s="1"/>
      <c r="F51" s="1"/>
      <c r="G51" s="1"/>
      <c r="H51" s="18"/>
    </row>
    <row r="52" spans="3:8" ht="20.100000000000001" customHeight="1" x14ac:dyDescent="0.25">
      <c r="C52" s="18"/>
      <c r="D52" s="1"/>
      <c r="E52" s="1"/>
      <c r="F52" s="1"/>
      <c r="G52" s="1"/>
      <c r="H52" s="18"/>
    </row>
    <row r="53" spans="3:8" ht="20.100000000000001" customHeight="1" x14ac:dyDescent="0.25">
      <c r="C53" s="18"/>
      <c r="D53" s="1"/>
      <c r="E53" s="1"/>
      <c r="F53" s="1"/>
      <c r="G53" s="1"/>
      <c r="H53" s="18"/>
    </row>
    <row r="54" spans="3:8" ht="20.100000000000001" customHeight="1" x14ac:dyDescent="0.25">
      <c r="C54" s="18"/>
      <c r="D54" s="1"/>
      <c r="E54" s="1"/>
      <c r="F54" s="1"/>
      <c r="G54" s="1"/>
      <c r="H54" s="18"/>
    </row>
    <row r="55" spans="3:8" ht="20.100000000000001" customHeight="1" x14ac:dyDescent="0.25">
      <c r="C55" s="18"/>
      <c r="D55" s="1"/>
      <c r="E55" s="1"/>
      <c r="F55" s="1"/>
      <c r="G55" s="1"/>
      <c r="H55" s="18"/>
    </row>
    <row r="56" spans="3:8" ht="20.100000000000001" customHeight="1" x14ac:dyDescent="0.25">
      <c r="C56" s="18"/>
      <c r="D56" s="1"/>
      <c r="E56" s="1"/>
      <c r="F56" s="1"/>
      <c r="G56" s="1"/>
      <c r="H56" s="18"/>
    </row>
    <row r="57" spans="3:8" ht="20.100000000000001" customHeight="1" x14ac:dyDescent="0.25">
      <c r="C57" s="18"/>
      <c r="D57" s="1"/>
      <c r="E57" s="1"/>
      <c r="F57" s="1"/>
      <c r="G57" s="1"/>
      <c r="H57" s="18"/>
    </row>
    <row r="58" spans="3:8" ht="20.100000000000001" customHeight="1" x14ac:dyDescent="0.25">
      <c r="C58" s="18"/>
      <c r="D58" s="1"/>
      <c r="E58" s="24"/>
      <c r="F58" s="23"/>
      <c r="G58" s="18"/>
      <c r="H58" s="18"/>
    </row>
    <row r="59" spans="3:8" ht="20.100000000000001" customHeight="1" x14ac:dyDescent="0.25">
      <c r="C59" s="18"/>
      <c r="D59" s="1"/>
      <c r="E59" s="1"/>
      <c r="F59" s="1"/>
      <c r="G59" s="1"/>
      <c r="H59" s="18"/>
    </row>
    <row r="60" spans="3:8" ht="20.100000000000001" customHeight="1" x14ac:dyDescent="0.25">
      <c r="C60" s="18"/>
      <c r="D60" s="1"/>
      <c r="E60" s="1"/>
      <c r="F60" s="1"/>
      <c r="G60" s="1"/>
      <c r="H60" s="18"/>
    </row>
    <row r="61" spans="3:8" ht="20.100000000000001" customHeight="1" x14ac:dyDescent="0.25">
      <c r="C61" s="18"/>
      <c r="D61" s="1"/>
      <c r="E61" s="1"/>
      <c r="F61" s="1"/>
      <c r="G61" s="1"/>
      <c r="H61" s="18"/>
    </row>
    <row r="62" spans="3:8" ht="20.100000000000001" customHeight="1" x14ac:dyDescent="0.25">
      <c r="C62" s="18"/>
      <c r="D62" s="1"/>
      <c r="E62" s="1"/>
      <c r="F62" s="1"/>
      <c r="G62" s="1"/>
      <c r="H62" s="18"/>
    </row>
    <row r="63" spans="3:8" ht="20.100000000000001" customHeight="1" x14ac:dyDescent="0.25">
      <c r="C63" s="18"/>
      <c r="D63" s="1"/>
      <c r="E63" s="1"/>
      <c r="F63" s="1"/>
      <c r="G63" s="1"/>
      <c r="H63" s="18"/>
    </row>
    <row r="64" spans="3:8" ht="20.100000000000001" customHeight="1" x14ac:dyDescent="0.25">
      <c r="C64" s="18"/>
      <c r="D64" s="1"/>
      <c r="E64" s="1"/>
      <c r="F64" s="1"/>
      <c r="G64" s="1"/>
      <c r="H64" s="18"/>
    </row>
    <row r="65" spans="3:8" ht="20.100000000000001" customHeight="1" x14ac:dyDescent="0.25">
      <c r="C65" s="18"/>
      <c r="D65" s="1"/>
      <c r="E65" s="1"/>
      <c r="F65" s="1"/>
      <c r="G65" s="1"/>
      <c r="H65" s="18"/>
    </row>
    <row r="66" spans="3:8" ht="20.100000000000001" customHeight="1" x14ac:dyDescent="0.25">
      <c r="C66" s="18"/>
      <c r="D66" s="1"/>
      <c r="E66" s="1"/>
      <c r="F66" s="1"/>
      <c r="G66" s="1"/>
      <c r="H66" s="18"/>
    </row>
    <row r="67" spans="3:8" ht="20.100000000000001" customHeight="1" x14ac:dyDescent="0.25">
      <c r="C67" s="18"/>
      <c r="D67" s="1"/>
      <c r="E67" s="1"/>
      <c r="F67" s="1"/>
      <c r="G67" s="1"/>
      <c r="H67" s="18"/>
    </row>
    <row r="68" spans="3:8" ht="20.100000000000001" customHeight="1" x14ac:dyDescent="0.25">
      <c r="C68" s="18"/>
      <c r="D68" s="1"/>
      <c r="E68" s="1"/>
      <c r="F68" s="1"/>
      <c r="G68" s="1"/>
      <c r="H68" s="18"/>
    </row>
    <row r="69" spans="3:8" ht="20.100000000000001" customHeight="1" x14ac:dyDescent="0.25">
      <c r="C69" s="18"/>
      <c r="D69" s="1"/>
      <c r="E69" s="1"/>
      <c r="F69" s="1"/>
      <c r="G69" s="1"/>
      <c r="H69" s="18"/>
    </row>
    <row r="70" spans="3:8" ht="20.100000000000001" customHeight="1" x14ac:dyDescent="0.25">
      <c r="C70" s="18"/>
      <c r="D70" s="1"/>
      <c r="E70" s="1"/>
      <c r="F70" s="1"/>
      <c r="G70" s="1"/>
      <c r="H70" s="18"/>
    </row>
    <row r="71" spans="3:8" ht="20.100000000000001" customHeight="1" x14ac:dyDescent="0.25">
      <c r="C71" s="18"/>
      <c r="D71" s="1"/>
      <c r="E71" s="1"/>
      <c r="F71" s="1"/>
      <c r="G71" s="1"/>
      <c r="H71" s="18"/>
    </row>
    <row r="72" spans="3:8" ht="20.100000000000001" customHeight="1" x14ac:dyDescent="0.25">
      <c r="C72" s="18"/>
      <c r="D72" s="1"/>
      <c r="E72" s="1"/>
      <c r="F72" s="1"/>
      <c r="G72" s="1"/>
      <c r="H72" s="18"/>
    </row>
    <row r="73" spans="3:8" ht="20.100000000000001" customHeight="1" x14ac:dyDescent="0.25">
      <c r="C73" s="18"/>
      <c r="D73" s="1"/>
      <c r="E73" s="1"/>
      <c r="F73" s="1"/>
      <c r="G73" s="1"/>
      <c r="H73" s="18"/>
    </row>
    <row r="74" spans="3:8" ht="20.100000000000001" customHeight="1" x14ac:dyDescent="0.25">
      <c r="C74" s="18"/>
      <c r="D74" s="1"/>
      <c r="E74" s="1"/>
      <c r="F74" s="1"/>
      <c r="G74" s="1"/>
      <c r="H74" s="18"/>
    </row>
    <row r="75" spans="3:8" ht="20.100000000000001" customHeight="1" x14ac:dyDescent="0.25">
      <c r="C75" s="18"/>
      <c r="D75" s="1"/>
      <c r="E75" s="1"/>
      <c r="F75" s="1"/>
      <c r="G75" s="1"/>
      <c r="H75" s="18"/>
    </row>
    <row r="76" spans="3:8" ht="15.75" x14ac:dyDescent="0.25">
      <c r="C76" s="18"/>
      <c r="D76" s="1"/>
      <c r="E76" s="1"/>
      <c r="F76" s="1"/>
      <c r="G76" s="1"/>
      <c r="H76" s="18"/>
    </row>
    <row r="77" spans="3:8" ht="15.75" x14ac:dyDescent="0.25">
      <c r="C77" s="18"/>
      <c r="D77" s="1"/>
      <c r="E77" s="1"/>
      <c r="F77" s="1"/>
      <c r="G77" s="1"/>
      <c r="H77" s="18"/>
    </row>
    <row r="78" spans="3:8" ht="15.75" x14ac:dyDescent="0.25">
      <c r="C78" s="18"/>
      <c r="D78" s="1"/>
      <c r="E78" s="1"/>
      <c r="F78" s="1"/>
      <c r="G78" s="1"/>
      <c r="H78" s="18"/>
    </row>
    <row r="79" spans="3:8" ht="15.75" x14ac:dyDescent="0.25">
      <c r="C79" s="18"/>
      <c r="D79" s="1"/>
      <c r="E79" s="1"/>
      <c r="F79" s="1"/>
      <c r="G79" s="1"/>
      <c r="H79" s="18"/>
    </row>
    <row r="80" spans="3:8" ht="15.75" x14ac:dyDescent="0.25">
      <c r="C80" s="18"/>
      <c r="D80" s="1"/>
      <c r="E80" s="1"/>
      <c r="F80" s="1"/>
      <c r="G80" s="1"/>
      <c r="H80" s="18"/>
    </row>
    <row r="81" spans="3:8" ht="15.75" x14ac:dyDescent="0.25">
      <c r="C81" s="18"/>
      <c r="D81" s="1"/>
      <c r="E81" s="1"/>
      <c r="F81" s="1"/>
      <c r="G81" s="1"/>
      <c r="H81" s="18"/>
    </row>
    <row r="82" spans="3:8" ht="15.75" x14ac:dyDescent="0.25">
      <c r="C82" s="18"/>
      <c r="D82" s="1"/>
      <c r="E82" s="1"/>
      <c r="F82" s="1"/>
      <c r="G82" s="1"/>
      <c r="H82" s="18"/>
    </row>
    <row r="83" spans="3:8" ht="15.75" x14ac:dyDescent="0.25">
      <c r="C83" s="18"/>
      <c r="D83" s="1"/>
      <c r="E83" s="1"/>
      <c r="F83" s="1"/>
      <c r="G83" s="1"/>
      <c r="H83" s="18"/>
    </row>
    <row r="84" spans="3:8" ht="15.75" x14ac:dyDescent="0.25">
      <c r="C84" s="18"/>
      <c r="D84" s="1"/>
      <c r="E84" s="1"/>
      <c r="F84" s="1"/>
      <c r="G84" s="1"/>
      <c r="H84" s="18"/>
    </row>
    <row r="85" spans="3:8" ht="15.75" x14ac:dyDescent="0.25">
      <c r="C85" s="18"/>
      <c r="D85" s="1"/>
      <c r="E85" s="1"/>
      <c r="F85" s="1"/>
      <c r="G85" s="1"/>
      <c r="H85" s="18"/>
    </row>
    <row r="86" spans="3:8" x14ac:dyDescent="0.25">
      <c r="C86" s="18"/>
      <c r="D86" s="18"/>
      <c r="E86" s="18"/>
      <c r="F86" s="18"/>
      <c r="G86" s="18"/>
      <c r="H86" s="18"/>
    </row>
    <row r="87" spans="3:8" x14ac:dyDescent="0.25">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D14" sqref="D14"/>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99</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113</v>
      </c>
    </row>
    <row r="6" spans="1:10" ht="20.100000000000001" customHeight="1" x14ac:dyDescent="0.25">
      <c r="A6" s="12"/>
    </row>
    <row r="7" spans="1:10" ht="20.100000000000001" customHeight="1" x14ac:dyDescent="0.25">
      <c r="A7" s="16" t="s">
        <v>1</v>
      </c>
      <c r="D7" s="60" t="s">
        <v>86</v>
      </c>
      <c r="E7" s="61"/>
    </row>
    <row r="8" spans="1:10" ht="20.100000000000001" customHeight="1" x14ac:dyDescent="0.25">
      <c r="A8" s="42" t="str">
        <f>HYPERLINK("#'Input - Solid waste'!A1", "Solid waste")</f>
        <v>Solid waste</v>
      </c>
    </row>
    <row r="9" spans="1:10" ht="20.100000000000001" customHeight="1" x14ac:dyDescent="0.25">
      <c r="A9" s="13"/>
      <c r="D9" s="67" t="s">
        <v>85</v>
      </c>
      <c r="E9" s="67" t="s">
        <v>104</v>
      </c>
      <c r="F9" s="67" t="s">
        <v>103</v>
      </c>
      <c r="G9" s="67" t="s">
        <v>102</v>
      </c>
      <c r="H9" s="67" t="s">
        <v>105</v>
      </c>
      <c r="I9" s="67" t="s">
        <v>101</v>
      </c>
    </row>
    <row r="10" spans="1:10" ht="20.100000000000001" customHeight="1" x14ac:dyDescent="0.25">
      <c r="A10" s="15" t="s">
        <v>44</v>
      </c>
      <c r="D10" s="26" t="s">
        <v>114</v>
      </c>
      <c r="E10" s="27" t="s">
        <v>116</v>
      </c>
      <c r="F10" s="27" t="s">
        <v>117</v>
      </c>
      <c r="G10" s="27" t="s">
        <v>111</v>
      </c>
      <c r="H10" s="75">
        <v>50</v>
      </c>
      <c r="I10" s="27" t="s">
        <v>112</v>
      </c>
    </row>
    <row r="11" spans="1:10" ht="20.100000000000001" customHeight="1" x14ac:dyDescent="0.25">
      <c r="A11" s="13" t="str">
        <f>HYPERLINK("#'10.1.1-2 Solid waste treatment'!A1", "10.1.1-2 Solid waste treatment")</f>
        <v>10.1.1-2 Solid waste treatment</v>
      </c>
      <c r="D11" s="26"/>
      <c r="E11" s="27" t="s">
        <v>116</v>
      </c>
      <c r="F11" s="27" t="s">
        <v>117</v>
      </c>
      <c r="G11" s="27" t="s">
        <v>115</v>
      </c>
      <c r="H11" s="75">
        <v>50</v>
      </c>
      <c r="I11" s="27" t="s">
        <v>112</v>
      </c>
    </row>
    <row r="12" spans="1:10" ht="20.100000000000001" customHeight="1" x14ac:dyDescent="0.25">
      <c r="A12" s="13"/>
      <c r="D12" s="26"/>
      <c r="E12" s="27" t="s">
        <v>116</v>
      </c>
      <c r="F12" s="27" t="s">
        <v>117</v>
      </c>
      <c r="G12" s="27" t="s">
        <v>111</v>
      </c>
      <c r="H12" s="75">
        <v>50</v>
      </c>
      <c r="I12" s="27" t="s">
        <v>100</v>
      </c>
    </row>
    <row r="13" spans="1:10" ht="20.100000000000001" customHeight="1" x14ac:dyDescent="0.25">
      <c r="A13" s="14" t="s">
        <v>2</v>
      </c>
      <c r="D13" s="26"/>
      <c r="E13" s="27" t="s">
        <v>116</v>
      </c>
      <c r="F13" s="27" t="s">
        <v>117</v>
      </c>
      <c r="G13" s="27" t="s">
        <v>115</v>
      </c>
      <c r="H13" s="75">
        <v>50</v>
      </c>
      <c r="I13" s="27" t="s">
        <v>100</v>
      </c>
    </row>
    <row r="14" spans="1:10" ht="20.100000000000001" customHeight="1" x14ac:dyDescent="0.25">
      <c r="A14" s="13" t="str">
        <f>HYPERLINK("#'Constants - Solid waste'!A1", "Constants - Solid waste")</f>
        <v>Constants - Solid waste</v>
      </c>
      <c r="D14" s="26"/>
      <c r="E14" s="27" t="s">
        <v>106</v>
      </c>
      <c r="F14" s="27" t="s">
        <v>125</v>
      </c>
      <c r="G14" s="27" t="s">
        <v>111</v>
      </c>
      <c r="H14" s="75">
        <v>50</v>
      </c>
      <c r="I14" s="27" t="s">
        <v>112</v>
      </c>
    </row>
    <row r="15" spans="1:10" ht="20.100000000000001" customHeight="1" x14ac:dyDescent="0.25">
      <c r="A15" s="13" t="str">
        <f>HYPERLINK("#'Constants - Common'!A1", "Constants - Common")</f>
        <v>Constants - Common</v>
      </c>
      <c r="D15" s="26"/>
      <c r="E15" s="27" t="s">
        <v>106</v>
      </c>
      <c r="F15" s="27" t="s">
        <v>125</v>
      </c>
      <c r="G15" s="27" t="s">
        <v>115</v>
      </c>
      <c r="H15" s="75">
        <v>50</v>
      </c>
      <c r="I15" s="27" t="s">
        <v>112</v>
      </c>
    </row>
    <row r="16" spans="1:10" ht="20.100000000000001" customHeight="1" x14ac:dyDescent="0.25">
      <c r="D16" s="26"/>
      <c r="E16" s="27" t="s">
        <v>106</v>
      </c>
      <c r="F16" s="27" t="s">
        <v>125</v>
      </c>
      <c r="G16" s="27" t="s">
        <v>111</v>
      </c>
      <c r="H16" s="75">
        <v>50</v>
      </c>
      <c r="I16" s="27" t="s">
        <v>100</v>
      </c>
    </row>
    <row r="17" spans="1:11" ht="20.100000000000001" customHeight="1" x14ac:dyDescent="0.25">
      <c r="D17" s="26"/>
      <c r="E17" s="27" t="s">
        <v>106</v>
      </c>
      <c r="F17" s="27" t="s">
        <v>125</v>
      </c>
      <c r="G17" s="27" t="s">
        <v>115</v>
      </c>
      <c r="H17" s="75">
        <v>50</v>
      </c>
      <c r="I17" s="27" t="s">
        <v>100</v>
      </c>
    </row>
    <row r="18" spans="1:11" ht="20.100000000000001" customHeight="1" x14ac:dyDescent="0.25">
      <c r="D18" s="26"/>
      <c r="E18" s="27" t="s">
        <v>106</v>
      </c>
      <c r="F18" s="27" t="s">
        <v>125</v>
      </c>
      <c r="G18" s="27" t="s">
        <v>115</v>
      </c>
      <c r="H18" s="75">
        <v>50</v>
      </c>
      <c r="I18" s="27" t="s">
        <v>112</v>
      </c>
    </row>
    <row r="19" spans="1:11" ht="20.100000000000001" customHeight="1" x14ac:dyDescent="0.25"/>
    <row r="20" spans="1:11" ht="20.100000000000001" customHeight="1" x14ac:dyDescent="0.25">
      <c r="A20" s="13"/>
    </row>
    <row r="21" spans="1:11" ht="20.100000000000001" customHeight="1" x14ac:dyDescent="0.25">
      <c r="A21" s="13"/>
    </row>
    <row r="22" spans="1:11" ht="20.100000000000001" customHeight="1" x14ac:dyDescent="0.25"/>
    <row r="23" spans="1:11" ht="20.100000000000001" customHeight="1" x14ac:dyDescent="0.25">
      <c r="A23" s="13"/>
    </row>
    <row r="24" spans="1:11" ht="20.100000000000001" customHeight="1" x14ac:dyDescent="0.25"/>
    <row r="25" spans="1:11" ht="20.100000000000001" customHeight="1" x14ac:dyDescent="0.25"/>
    <row r="26" spans="1:11" ht="20.100000000000001" customHeight="1" x14ac:dyDescent="0.25"/>
    <row r="27" spans="1:11" ht="20.100000000000001" customHeight="1" x14ac:dyDescent="0.25"/>
    <row r="28" spans="1:11" ht="20.100000000000001" customHeight="1" x14ac:dyDescent="0.25"/>
    <row r="29" spans="1:11" ht="20.100000000000001" customHeight="1" x14ac:dyDescent="0.25">
      <c r="A29" s="13"/>
      <c r="K29" s="47"/>
    </row>
    <row r="30" spans="1:11" ht="20.100000000000001" customHeight="1" x14ac:dyDescent="0.25">
      <c r="A30" s="13"/>
      <c r="K30" s="47"/>
    </row>
    <row r="31" spans="1:11" ht="20.100000000000001" customHeight="1" x14ac:dyDescent="0.25">
      <c r="A31" s="32"/>
      <c r="K31" s="47"/>
    </row>
    <row r="32" spans="1:11" ht="20.100000000000001" customHeight="1" x14ac:dyDescent="0.25">
      <c r="A32" s="32"/>
      <c r="K32" s="47"/>
    </row>
    <row r="33" spans="1:12" ht="20.100000000000001" customHeight="1" x14ac:dyDescent="0.25">
      <c r="A33" s="13"/>
      <c r="K33" s="47"/>
    </row>
    <row r="34" spans="1:12" ht="20.100000000000001" customHeight="1" x14ac:dyDescent="0.25">
      <c r="K34" s="47"/>
    </row>
    <row r="35" spans="1:12" ht="20.100000000000001" customHeight="1" x14ac:dyDescent="0.25"/>
    <row r="36" spans="1:12" ht="20.100000000000001" customHeight="1" x14ac:dyDescent="0.25">
      <c r="L36" s="47"/>
    </row>
    <row r="37" spans="1:12" ht="20.100000000000001" customHeight="1" x14ac:dyDescent="0.25">
      <c r="L37" s="47"/>
    </row>
    <row r="38" spans="1:12" ht="20.100000000000001" customHeight="1" x14ac:dyDescent="0.25">
      <c r="C38" s="46"/>
    </row>
    <row r="39" spans="1:12" ht="20.100000000000001" customHeight="1" x14ac:dyDescent="0.25">
      <c r="A39" s="13"/>
      <c r="C39" s="46"/>
      <c r="J39" s="46"/>
    </row>
    <row r="40" spans="1:12" s="47" customFormat="1" ht="20.100000000000001" customHeight="1" x14ac:dyDescent="0.25">
      <c r="C40" s="1"/>
      <c r="D40" s="1"/>
      <c r="E40" s="1"/>
      <c r="F40" s="1"/>
      <c r="G40" s="1"/>
      <c r="H40" s="1"/>
      <c r="I40" s="1"/>
      <c r="J40" s="1"/>
    </row>
    <row r="41" spans="1:12" s="47" customFormat="1" ht="20.100000000000001" customHeight="1" x14ac:dyDescent="0.25">
      <c r="A41" s="48"/>
      <c r="C41" s="1"/>
      <c r="D41" s="1"/>
      <c r="E41" s="1"/>
      <c r="F41" s="1"/>
      <c r="G41" s="1"/>
      <c r="H41" s="1"/>
      <c r="I41" s="1"/>
      <c r="J41" s="1"/>
      <c r="L41" s="47" t="s">
        <v>84</v>
      </c>
    </row>
    <row r="42" spans="1:12" ht="20.100000000000001" customHeight="1" x14ac:dyDescent="0.25"/>
    <row r="43" spans="1:12" ht="20.100000000000001" customHeight="1" x14ac:dyDescent="0.25"/>
    <row r="44" spans="1:12" ht="20.100000000000001" customHeight="1" x14ac:dyDescent="0.25">
      <c r="A44" s="52"/>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4" ht="20.100000000000001" customHeight="1" x14ac:dyDescent="0.25"/>
    <row r="50" spans="4:4" ht="20.100000000000001" customHeight="1" x14ac:dyDescent="0.25"/>
    <row r="51" spans="4:4" ht="20.100000000000001" customHeight="1" x14ac:dyDescent="0.25"/>
    <row r="52" spans="4:4" ht="20.100000000000001" customHeight="1" x14ac:dyDescent="0.25"/>
    <row r="53" spans="4:4" ht="20.100000000000001" customHeight="1" x14ac:dyDescent="0.25"/>
    <row r="54" spans="4:4" ht="20.100000000000001" customHeight="1" x14ac:dyDescent="0.25"/>
    <row r="55" spans="4:4" ht="20.100000000000001" customHeight="1" x14ac:dyDescent="0.25"/>
    <row r="56" spans="4:4" ht="20.100000000000001" customHeight="1" x14ac:dyDescent="0.25"/>
    <row r="57" spans="4:4" ht="20.100000000000001" customHeight="1" x14ac:dyDescent="0.25"/>
    <row r="58" spans="4:4" ht="20.100000000000001" customHeight="1" x14ac:dyDescent="0.25"/>
    <row r="59" spans="4:4" ht="20.100000000000001" customHeight="1" x14ac:dyDescent="0.25">
      <c r="D59" s="66"/>
    </row>
    <row r="60" spans="4:4" ht="20.100000000000001" customHeight="1" x14ac:dyDescent="0.25"/>
    <row r="61" spans="4:4" ht="20.100000000000001" customHeight="1" x14ac:dyDescent="0.25">
      <c r="D61" s="66"/>
    </row>
    <row r="62" spans="4:4" ht="20.100000000000001" customHeight="1" x14ac:dyDescent="0.25">
      <c r="D62" s="66"/>
    </row>
    <row r="63" spans="4:4" ht="20.100000000000001" customHeight="1" x14ac:dyDescent="0.25"/>
    <row r="64" spans="4: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8"/>
    </row>
  </sheetData>
  <conditionalFormatting sqref="F148:F149">
    <cfRule type="cellIs" dxfId="16" priority="20" operator="lessThan">
      <formula>0</formula>
    </cfRule>
  </conditionalFormatting>
  <conditionalFormatting sqref="F160:F161">
    <cfRule type="cellIs" dxfId="15" priority="19" operator="lessThan">
      <formula>0</formula>
    </cfRule>
  </conditionalFormatting>
  <conditionalFormatting sqref="F172:F173">
    <cfRule type="cellIs" dxfId="14" priority="18" operator="lessThan">
      <formula>0</formula>
    </cfRule>
  </conditionalFormatting>
  <conditionalFormatting sqref="F260:F261">
    <cfRule type="cellIs" dxfId="13" priority="93" operator="lessThan">
      <formula>0</formula>
    </cfRule>
  </conditionalFormatting>
  <conditionalFormatting sqref="F265:F266">
    <cfRule type="cellIs" dxfId="12" priority="92" operator="lessThan">
      <formula>0</formula>
    </cfRule>
  </conditionalFormatting>
  <conditionalFormatting sqref="F270:F271">
    <cfRule type="cellIs" dxfId="11" priority="91" operator="lessThan">
      <formula>0</formula>
    </cfRule>
  </conditionalFormatting>
  <conditionalFormatting sqref="F294:F295">
    <cfRule type="cellIs" dxfId="10" priority="85" operator="lessThan">
      <formula>0</formula>
    </cfRule>
  </conditionalFormatting>
  <conditionalFormatting sqref="F299:F300">
    <cfRule type="cellIs" dxfId="9" priority="84" operator="lessThan">
      <formula>0</formula>
    </cfRule>
  </conditionalFormatting>
  <conditionalFormatting sqref="F304:F305">
    <cfRule type="cellIs" dxfId="8" priority="83" operator="lessThan">
      <formula>0</formula>
    </cfRule>
  </conditionalFormatting>
  <conditionalFormatting sqref="I19 F57">
    <cfRule type="cellIs" dxfId="7" priority="62" operator="lessThan">
      <formula>0</formula>
    </cfRule>
  </conditionalFormatting>
  <conditionalFormatting sqref="I65:I69">
    <cfRule type="cellIs" dxfId="6" priority="5" operator="lessThan">
      <formula>0</formula>
    </cfRule>
  </conditionalFormatting>
  <conditionalFormatting sqref="I73 I132">
    <cfRule type="cellIs" dxfId="5" priority="74" operator="lessThan">
      <formula>0</formula>
    </cfRule>
  </conditionalFormatting>
  <conditionalFormatting sqref="I84:I86">
    <cfRule type="cellIs" dxfId="4" priority="4" operator="lessThan">
      <formula>0</formula>
    </cfRule>
  </conditionalFormatting>
  <conditionalFormatting sqref="I90:I93">
    <cfRule type="cellIs" dxfId="3" priority="3" operator="lessThan">
      <formula>0</formula>
    </cfRule>
  </conditionalFormatting>
  <conditionalFormatting sqref="I97:I101">
    <cfRule type="cellIs" dxfId="2" priority="1" operator="lessThan">
      <formula>0</formula>
    </cfRule>
  </conditionalFormatting>
  <conditionalFormatting sqref="J8 I51:I52 H53:H55 I54 I56:I58 I60:I61 I212 I218 E220:G220">
    <cfRule type="cellIs" dxfId="1" priority="79" operator="lessThan">
      <formula>0</formula>
    </cfRule>
  </conditionalFormatting>
  <conditionalFormatting sqref="J37 I45 F136:F137">
    <cfRule type="cellIs" dxfId="0" priority="21" operator="lessThan">
      <formula>0</formula>
    </cfRule>
  </conditionalFormatting>
  <dataValidations count="9">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E21" xr:uid="{48A1E533-1334-4AAC-A5F5-B295A34573CB}">
      <formula1>INDIRECT("Table_SourceData_ElectricityEFs[State, Territory or grid description]")</formula1>
    </dataValidation>
    <dataValidation type="list" allowBlank="1" showInputMessage="1" showErrorMessage="1" sqref="E10:E18" xr:uid="{BE2CA0F8-93F9-493C-B304-DCA372760E4E}">
      <formula1>INDIRECT(_xlfn.UNIQUE("Table_SourceData_WasteSolid_WasteTreatmentEFs[Treatment type t]"))</formula1>
    </dataValidation>
    <dataValidation type="list" allowBlank="1" showInputMessage="1" showErrorMessage="1" sqref="G10:G18" xr:uid="{EB782CB2-069D-4346-96A4-9C640517727F}">
      <formula1>"Treated on-site, Removed and treated off-site"</formula1>
    </dataValidation>
    <dataValidation type="list" allowBlank="1" showInputMessage="1" showErrorMessage="1" sqref="I10:I18" xr:uid="{5637D9FB-43C0-46B6-8C23-E9E5D77EE5AE}">
      <formula1>"tonnes, cubic metres m3"</formula1>
    </dataValidation>
    <dataValidation type="list" allowBlank="1" showInputMessage="1" showErrorMessage="1" sqref="F10:F18" xr:uid="{502FA925-EB70-4F2C-8CD1-14FB9D0D2E6F}">
      <formula1>INDIRECT("Table_WasteTypes_" &amp; SUBSTITUTE(E10, " ", "") &amp; "[Waste type w]")</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92</v>
      </c>
    </row>
    <row r="2" spans="1:12" s="8" customFormat="1" ht="20.100000000000001" customHeight="1" x14ac:dyDescent="0.25"/>
    <row r="3" spans="1:12" ht="20.100000000000001" customHeight="1" x14ac:dyDescent="0.25">
      <c r="A3" s="13" t="str">
        <f>HYPERLINK("#'Home'!A1", "Home")</f>
        <v>Home</v>
      </c>
      <c r="C3" s="3"/>
      <c r="D3" s="3" t="s">
        <v>48</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
        <v>137</v>
      </c>
    </row>
    <row r="6" spans="1:12" ht="20.100000000000001" customHeight="1" x14ac:dyDescent="0.25">
      <c r="A6" s="12"/>
      <c r="D6" s="4" t="s">
        <v>138</v>
      </c>
    </row>
    <row r="7" spans="1:12" ht="20.100000000000001" customHeight="1" x14ac:dyDescent="0.25">
      <c r="A7" s="16" t="s">
        <v>1</v>
      </c>
      <c r="D7" s="10"/>
      <c r="E7" s="10"/>
    </row>
    <row r="8" spans="1:12" ht="20.100000000000001" customHeight="1" x14ac:dyDescent="0.25">
      <c r="A8" s="13" t="str">
        <f>HYPERLINK("#'Input - Solid waste'!A1", "Solid waste")</f>
        <v>Solid waste</v>
      </c>
    </row>
    <row r="9" spans="1:12" ht="20.100000000000001" customHeight="1" x14ac:dyDescent="0.25">
      <c r="A9" s="13"/>
    </row>
    <row r="10" spans="1:12" ht="20.100000000000001" customHeight="1" x14ac:dyDescent="0.25">
      <c r="A10" s="15" t="s">
        <v>44</v>
      </c>
      <c r="D10" s="29" t="s">
        <v>12</v>
      </c>
      <c r="E10" s="1" t="s">
        <v>139</v>
      </c>
    </row>
    <row r="11" spans="1:12" ht="20.100000000000001" customHeight="1" x14ac:dyDescent="0.25">
      <c r="A11" s="68" t="str">
        <f>HYPERLINK("#'10.1.1-2 Solid waste treatment'!A1", "10.1.1-2 Solid waste treatment")</f>
        <v>10.1.1-2 Solid waste treatment</v>
      </c>
      <c r="D11" s="29" t="s">
        <v>5</v>
      </c>
      <c r="E11" s="30" t="s">
        <v>140</v>
      </c>
    </row>
    <row r="12" spans="1:12" ht="20.100000000000001" customHeight="1" x14ac:dyDescent="0.25">
      <c r="A12" s="13"/>
    </row>
    <row r="13" spans="1:12" ht="20.100000000000001" customHeight="1" x14ac:dyDescent="0.25">
      <c r="A13" s="14" t="s">
        <v>2</v>
      </c>
      <c r="D13" s="49" t="s">
        <v>141</v>
      </c>
      <c r="E13" s="51" t="s">
        <v>142</v>
      </c>
      <c r="F13" s="50"/>
      <c r="G13" s="49" t="s">
        <v>148</v>
      </c>
      <c r="H13" s="45" t="s">
        <v>149</v>
      </c>
      <c r="I13" s="76" t="str" cm="1">
        <f t="array" aca="1" ref="I13" ca="1">HYPERLINK(Common_InputFunctions.Utility_SourceHyperlink($D$18),$D$18)</f>
        <v>Table_V_w_t_onsite</v>
      </c>
      <c r="J13" s="76" t="str" cm="1">
        <f t="array" aca="1" ref="J13" ca="1">HYPERLINK(Common_InputFunctions.Utility_SourceHyperlink($D$42),$D$42)</f>
        <v>Table_V_w_t_offsite</v>
      </c>
      <c r="K13" s="76"/>
    </row>
    <row r="14" spans="1:12" ht="20.100000000000001" customHeight="1" x14ac:dyDescent="0.25">
      <c r="A14" s="13" t="str">
        <f>HYPERLINK("#'Constants - Solid waste'!A1", "Constants - Solid waste")</f>
        <v>Constants - Solid waste</v>
      </c>
      <c r="D14" s="49" t="s">
        <v>143</v>
      </c>
      <c r="E14" s="51" t="s">
        <v>144</v>
      </c>
      <c r="F14" s="50"/>
      <c r="G14" s="49" t="s">
        <v>150</v>
      </c>
      <c r="H14" s="44" t="s">
        <v>151</v>
      </c>
      <c r="I14" s="76" t="str" cm="1">
        <f t="array" aca="1" ref="I14" ca="1">HYPERLINK(Common_InputFunctions.Utility_SourceHyperlink($D$18),$D$18)</f>
        <v>Table_V_w_t_onsite</v>
      </c>
      <c r="J14" s="76" t="str" cm="1">
        <f t="array" aca="1" ref="J14" ca="1">HYPERLINK(Common_InputFunctions.Utility_SourceHyperlink($D$42),$D$42)</f>
        <v>Table_V_w_t_offsite</v>
      </c>
      <c r="K14" s="76"/>
    </row>
    <row r="15" spans="1:12" ht="20.100000000000001" customHeight="1" x14ac:dyDescent="0.25">
      <c r="A15" s="13" t="str">
        <f>HYPERLINK("#'Constants - Common'!A1", "Constants - Common")</f>
        <v>Constants - Common</v>
      </c>
      <c r="D15" s="49" t="s">
        <v>145</v>
      </c>
      <c r="E15" s="51" t="s">
        <v>146</v>
      </c>
      <c r="F15" s="50"/>
      <c r="G15" s="49"/>
      <c r="H15" s="45" t="s">
        <v>149</v>
      </c>
      <c r="I15" s="76" t="str" cm="1">
        <f t="array" aca="1" ref="I15" ca="1">HYPERLINK(Common_InputFunctions.Utility_SourceHyperlink($D$18),$D$18)</f>
        <v>Table_V_w_t_onsite</v>
      </c>
      <c r="J15" s="76" t="str" cm="1">
        <f t="array" aca="1" ref="J15" ca="1">HYPERLINK(Common_InputFunctions.Utility_SourceHyperlink($D$42),$D$42)</f>
        <v>Table_V_w_t_offsite</v>
      </c>
      <c r="K15" s="76"/>
    </row>
    <row r="16" spans="1:12" ht="20.100000000000001" customHeight="1" x14ac:dyDescent="0.25">
      <c r="D16" s="49" t="s">
        <v>140</v>
      </c>
      <c r="E16" s="51" t="s">
        <v>147</v>
      </c>
      <c r="F16" s="50"/>
      <c r="G16" s="49"/>
      <c r="H16" s="45" t="s">
        <v>149</v>
      </c>
      <c r="I16" s="76" t="str" cm="1">
        <f t="array" aca="1" ref="I16" ca="1">HYPERLINK(Common_InputFunctions.Utility_SourceHyperlink($D$18),$D$18)</f>
        <v>Table_V_w_t_onsite</v>
      </c>
      <c r="J16" s="76" t="str" cm="1">
        <f t="array" aca="1" ref="J16" ca="1">HYPERLINK(Common_InputFunctions.Utility_SourceHyperlink($D$42),$D$42)</f>
        <v>Table_V_w_t_offsite</v>
      </c>
      <c r="K16" s="76"/>
    </row>
    <row r="17" spans="1:9" ht="20.100000000000001" customHeight="1" x14ac:dyDescent="0.25"/>
    <row r="18" spans="1:9" ht="20.100000000000001" customHeight="1" x14ac:dyDescent="0.25">
      <c r="D18" s="70" t="s">
        <v>118</v>
      </c>
    </row>
    <row r="19" spans="1:9" ht="20.100000000000001" customHeight="1" x14ac:dyDescent="0.25">
      <c r="D19" s="71" t="s">
        <v>123</v>
      </c>
    </row>
    <row r="20" spans="1:9" ht="20.100000000000001" customHeight="1" x14ac:dyDescent="0.25">
      <c r="A20" s="13"/>
      <c r="D20" s="67" t="s">
        <v>93</v>
      </c>
      <c r="E20" s="67" t="s">
        <v>94</v>
      </c>
      <c r="F20" s="67"/>
      <c r="G20" s="67" t="s">
        <v>95</v>
      </c>
      <c r="H20" s="72" t="s">
        <v>98</v>
      </c>
      <c r="I20" s="72" t="s">
        <v>97</v>
      </c>
    </row>
    <row r="21" spans="1:9" ht="20.100000000000001" customHeight="1" x14ac:dyDescent="0.25">
      <c r="A21" s="13"/>
      <c r="D21" s="49" t="str" cm="1">
        <f t="array" ref="D21:D40">Table_SourceData_WasteSolid_WasteTreatmentEFs[Treatment type t]</f>
        <v>Landfill</v>
      </c>
      <c r="E21" s="51" t="str" cm="1">
        <f t="array" ref="E21:E40">Table_SourceData_WasteSolid_WasteTreatmentEFs[Waste type w]</f>
        <v>Food waste (including animal carcasses, spoiled animal feed or crop)</v>
      </c>
      <c r="F21" s="73"/>
      <c r="G21" s="28"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100</v>
      </c>
      <c r="H21" s="28" cm="1">
        <f t="array" ref="H21">Common_InputFunctions.Utility_LookupValueInTableNumber(E21,Table_SourceData_WasteSolid_VolumeToMassConversion[Waste type w],Table_SourceData_WasteSolid_VolumeToMassConversion[VTMw])</f>
        <v>0.5</v>
      </c>
      <c r="I21" s="28">
        <f>(G21 * H21)</f>
        <v>50</v>
      </c>
    </row>
    <row r="22" spans="1:9" ht="20.100000000000001" customHeight="1" x14ac:dyDescent="0.25">
      <c r="D22" s="49" t="str">
        <v>Landfill</v>
      </c>
      <c r="E22" s="51" t="str">
        <v>Paper and cardboard</v>
      </c>
      <c r="F22" s="73"/>
      <c r="G22" s="28"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0</v>
      </c>
      <c r="H22" s="28" cm="1">
        <f t="array" ref="H22">Common_InputFunctions.Utility_LookupValueInTableNumber(E22,Table_SourceData_WasteSolid_VolumeToMassConversion[Waste type w],Table_SourceData_WasteSolid_VolumeToMassConversion[VTMw])</f>
        <v>0.09</v>
      </c>
      <c r="I22" s="28">
        <f>(G22 * H22)</f>
        <v>0</v>
      </c>
    </row>
    <row r="23" spans="1:9" ht="20.100000000000001" customHeight="1" x14ac:dyDescent="0.25">
      <c r="A23" s="13"/>
      <c r="D23" s="49" t="str">
        <v>Landfill</v>
      </c>
      <c r="E23" s="51" t="str">
        <v>Green waste (including crop residues or prunnings)</v>
      </c>
      <c r="F23" s="73"/>
      <c r="G23" s="28"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0</v>
      </c>
      <c r="H23" s="28" cm="1">
        <f t="array" ref="H23">Common_InputFunctions.Utility_LookupValueInTableNumber(E23,Table_SourceData_WasteSolid_VolumeToMassConversion[Waste type w],Table_SourceData_WasteSolid_VolumeToMassConversion[VTMw])</f>
        <v>0</v>
      </c>
      <c r="I23" s="28">
        <f>(G23 * H23)</f>
        <v>0</v>
      </c>
    </row>
    <row r="24" spans="1:9" ht="20.100000000000001" customHeight="1" x14ac:dyDescent="0.25">
      <c r="D24" s="49" t="str">
        <v>Landfill</v>
      </c>
      <c r="E24" s="51" t="str">
        <v>Wood</v>
      </c>
      <c r="F24" s="73"/>
      <c r="G24" s="28"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28" cm="1">
        <f t="array" ref="H24">Common_InputFunctions.Utility_LookupValueInTableNumber(E24,Table_SourceData_WasteSolid_VolumeToMassConversion[Waste type w],Table_SourceData_WasteSolid_VolumeToMassConversion[VTMw])</f>
        <v>0.15</v>
      </c>
      <c r="I24" s="28">
        <f>(G24 * H24)</f>
        <v>0</v>
      </c>
    </row>
    <row r="25" spans="1:9" ht="20.100000000000001" customHeight="1" x14ac:dyDescent="0.25">
      <c r="D25" s="49" t="str">
        <v>Landfill</v>
      </c>
      <c r="E25" s="51" t="str">
        <v>Textiles</v>
      </c>
      <c r="F25" s="73"/>
      <c r="G25" s="28"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28" cm="1">
        <f t="array" ref="H25">Common_InputFunctions.Utility_LookupValueInTableNumber(E25,Table_SourceData_WasteSolid_VolumeToMassConversion[Waste type w],Table_SourceData_WasteSolid_VolumeToMassConversion[VTMw])</f>
        <v>0.14000000000000001</v>
      </c>
      <c r="I25" s="28">
        <f>(G25 * H25)</f>
        <v>0</v>
      </c>
    </row>
    <row r="26" spans="1:9" ht="20.100000000000001" customHeight="1" x14ac:dyDescent="0.25">
      <c r="D26" s="49" t="str">
        <v>Landfill</v>
      </c>
      <c r="E26" s="51" t="str">
        <v>Sludge</v>
      </c>
      <c r="F26" s="73"/>
      <c r="G26" s="28"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28" cm="1">
        <f t="array" ref="H26">Common_InputFunctions.Utility_LookupValueInTableNumber(E26,Table_SourceData_WasteSolid_VolumeToMassConversion[Waste type w],Table_SourceData_WasteSolid_VolumeToMassConversion[VTMw])</f>
        <v>0.72</v>
      </c>
      <c r="I26" s="28">
        <f>(G26 * H26)</f>
        <v>0</v>
      </c>
    </row>
    <row r="27" spans="1:9" ht="20.100000000000001" customHeight="1" x14ac:dyDescent="0.25">
      <c r="D27" s="49" t="str">
        <v>Landfill</v>
      </c>
      <c r="E27" s="51" t="str">
        <v>Rubber and leather</v>
      </c>
      <c r="F27" s="73"/>
      <c r="G27" s="28"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28" cm="1">
        <f t="array" ref="H27">Common_InputFunctions.Utility_LookupValueInTableNumber(E27,Table_SourceData_WasteSolid_VolumeToMassConversion[Waste type w],Table_SourceData_WasteSolid_VolumeToMassConversion[VTMw])</f>
        <v>0.14000000000000001</v>
      </c>
      <c r="I27" s="28">
        <f>(G27 * H27)</f>
        <v>0</v>
      </c>
    </row>
    <row r="28" spans="1:9" ht="20.100000000000001" customHeight="1" x14ac:dyDescent="0.25">
      <c r="D28" s="49" t="str">
        <v>Landfill</v>
      </c>
      <c r="E28" s="51" t="str">
        <v>Inert waste (including concrete, metal, plastic or glass)</v>
      </c>
      <c r="F28" s="73"/>
      <c r="G28" s="28"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28" cm="1">
        <f t="array" ref="H28">Common_InputFunctions.Utility_LookupValueInTableNumber(E28,Table_SourceData_WasteSolid_VolumeToMassConversion[Waste type w],Table_SourceData_WasteSolid_VolumeToMassConversion[VTMw])</f>
        <v>0.42</v>
      </c>
      <c r="I28" s="28">
        <f>(G28 * H28)</f>
        <v>0</v>
      </c>
    </row>
    <row r="29" spans="1:9" ht="20.100000000000001" customHeight="1" x14ac:dyDescent="0.25">
      <c r="D29" s="49" t="str">
        <v>Landfill</v>
      </c>
      <c r="E29" s="51" t="str">
        <v>Municipal solid waste</v>
      </c>
      <c r="F29" s="73"/>
      <c r="G29" s="28"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28" cm="1">
        <f t="array" ref="H29">Common_InputFunctions.Utility_LookupValueInTableNumber(E29,Table_SourceData_WasteSolid_VolumeToMassConversion[Waste type w],Table_SourceData_WasteSolid_VolumeToMassConversion[VTMw])</f>
        <v>0.36</v>
      </c>
      <c r="I29" s="28">
        <f>(G29 * H29)</f>
        <v>0</v>
      </c>
    </row>
    <row r="30" spans="1:9" ht="20.100000000000001" customHeight="1" x14ac:dyDescent="0.25">
      <c r="D30" s="49" t="str">
        <v>Landfill</v>
      </c>
      <c r="E30" s="51" t="str">
        <v>Commercial and industrial waste</v>
      </c>
      <c r="F30" s="73"/>
      <c r="G30" s="28"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28" cm="1">
        <f t="array" ref="H30">Common_InputFunctions.Utility_LookupValueInTableNumber(E30,Table_SourceData_WasteSolid_VolumeToMassConversion[Waste type w],Table_SourceData_WasteSolid_VolumeToMassConversion[VTMw])</f>
        <v>0.33</v>
      </c>
      <c r="I30" s="28">
        <f>(G30 * H30)</f>
        <v>0</v>
      </c>
    </row>
    <row r="31" spans="1:9" ht="20.100000000000001" customHeight="1" x14ac:dyDescent="0.25">
      <c r="D31" s="49" t="str">
        <v>Landfill</v>
      </c>
      <c r="E31" s="51" t="str">
        <v>Construction and demolition waste</v>
      </c>
      <c r="F31" s="73"/>
      <c r="G31" s="28"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28" cm="1">
        <f t="array" ref="H31">Common_InputFunctions.Utility_LookupValueInTableNumber(E31,Table_SourceData_WasteSolid_VolumeToMassConversion[Waste type w],Table_SourceData_WasteSolid_VolumeToMassConversion[VTMw])</f>
        <v>0.39</v>
      </c>
      <c r="I31" s="28">
        <f>(G31 * H31)</f>
        <v>0</v>
      </c>
    </row>
    <row r="32" spans="1:9" ht="20.100000000000001" customHeight="1" x14ac:dyDescent="0.25">
      <c r="D32" s="49" t="str">
        <v>Incineration</v>
      </c>
      <c r="E32" s="51" t="str">
        <v>Food waste, green waste, wood, sludge</v>
      </c>
      <c r="F32" s="73"/>
      <c r="G32" s="28" cm="1">
        <f t="array" ref="G32">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"cubic metres m3")</f>
        <v>0</v>
      </c>
      <c r="H32" s="28" cm="1">
        <f t="array" ref="H32">Common_InputFunctions.Utility_LookupValueInTableNumber(E32,Table_SourceData_WasteSolid_VolumeToMassConversion[Waste type w],Table_SourceData_WasteSolid_VolumeToMassConversion[VTMw])</f>
        <v>0</v>
      </c>
      <c r="I32" s="28">
        <f>(G32 * H32)</f>
        <v>0</v>
      </c>
    </row>
    <row r="33" spans="4:9" ht="20.100000000000001" customHeight="1" x14ac:dyDescent="0.25">
      <c r="D33" s="49" t="str">
        <v>Incineration</v>
      </c>
      <c r="E33" s="51" t="str">
        <v>Paper and cardboard</v>
      </c>
      <c r="F33" s="73"/>
      <c r="G33" s="28"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50</v>
      </c>
      <c r="H33" s="28" cm="1">
        <f t="array" ref="H33">Common_InputFunctions.Utility_LookupValueInTableNumber(E33,Table_SourceData_WasteSolid_VolumeToMassConversion[Waste type w],Table_SourceData_WasteSolid_VolumeToMassConversion[VTMw])</f>
        <v>0.09</v>
      </c>
      <c r="I33" s="28">
        <f>(G33 * H33)</f>
        <v>4.5</v>
      </c>
    </row>
    <row r="34" spans="4:9" ht="20.100000000000001" customHeight="1" x14ac:dyDescent="0.25">
      <c r="D34" s="49" t="str">
        <v>Incineration</v>
      </c>
      <c r="E34" s="51" t="str">
        <v>Textiles</v>
      </c>
      <c r="F34" s="73"/>
      <c r="G34" s="28"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0</v>
      </c>
      <c r="H34" s="28" cm="1">
        <f t="array" ref="H34">Common_InputFunctions.Utility_LookupValueInTableNumber(E34,Table_SourceData_WasteSolid_VolumeToMassConversion[Waste type w],Table_SourceData_WasteSolid_VolumeToMassConversion[VTMw])</f>
        <v>0.14000000000000001</v>
      </c>
      <c r="I34" s="28">
        <f>(G34 * H34)</f>
        <v>0</v>
      </c>
    </row>
    <row r="35" spans="4:9" ht="20.100000000000001" customHeight="1" x14ac:dyDescent="0.25">
      <c r="D35" s="49" t="str">
        <v>Incineration</v>
      </c>
      <c r="E35" s="51" t="str">
        <v>Rubber and leather</v>
      </c>
      <c r="F35" s="73"/>
      <c r="G35" s="28"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28" cm="1">
        <f t="array" ref="H35">Common_InputFunctions.Utility_LookupValueInTableNumber(E35,Table_SourceData_WasteSolid_VolumeToMassConversion[Waste type w],Table_SourceData_WasteSolid_VolumeToMassConversion[VTMw])</f>
        <v>0.14000000000000001</v>
      </c>
      <c r="I35" s="28">
        <f>(G35 * H35)</f>
        <v>0</v>
      </c>
    </row>
    <row r="36" spans="4:9" ht="20.100000000000001" customHeight="1" x14ac:dyDescent="0.25">
      <c r="D36" s="49" t="str">
        <v>Incineration</v>
      </c>
      <c r="E36" s="51" t="str">
        <v>Inert Waste</v>
      </c>
      <c r="F36" s="73"/>
      <c r="G36" s="28"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28" cm="1">
        <f t="array" ref="H36">Common_InputFunctions.Utility_LookupValueInTableNumber(E36,Table_SourceData_WasteSolid_VolumeToMassConversion[Waste type w],Table_SourceData_WasteSolid_VolumeToMassConversion[VTMw])</f>
        <v>0</v>
      </c>
      <c r="I36" s="28">
        <f>(G36 * H36)</f>
        <v>0</v>
      </c>
    </row>
    <row r="37" spans="4:9" ht="20.100000000000001" customHeight="1" x14ac:dyDescent="0.25">
      <c r="D37" s="49" t="str">
        <v>Incineration</v>
      </c>
      <c r="E37" s="51" t="str">
        <v>Municipal Solid Waste</v>
      </c>
      <c r="F37" s="73"/>
      <c r="G37" s="28"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0</v>
      </c>
      <c r="H37" s="28" cm="1">
        <f t="array" ref="H37">Common_InputFunctions.Utility_LookupValueInTableNumber(E37,Table_SourceData_WasteSolid_VolumeToMassConversion[Waste type w],Table_SourceData_WasteSolid_VolumeToMassConversion[VTMw])</f>
        <v>0.36</v>
      </c>
      <c r="I37" s="28">
        <f>(G37 * H37)</f>
        <v>0</v>
      </c>
    </row>
    <row r="38" spans="4:9" ht="20.100000000000001" customHeight="1" x14ac:dyDescent="0.25">
      <c r="D38" s="49" t="str">
        <v>Incineration</v>
      </c>
      <c r="E38" s="51" t="str">
        <v>Industrial Waste</v>
      </c>
      <c r="F38" s="73"/>
      <c r="G38" s="28"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28" cm="1">
        <f t="array" ref="H38">Common_InputFunctions.Utility_LookupValueInTableNumber(E38,Table_SourceData_WasteSolid_VolumeToMassConversion[Waste type w],Table_SourceData_WasteSolid_VolumeToMassConversion[VTMw])</f>
        <v>0</v>
      </c>
      <c r="I38" s="28">
        <f>(G38 * H38)</f>
        <v>0</v>
      </c>
    </row>
    <row r="39" spans="4:9" ht="20.100000000000001" customHeight="1" x14ac:dyDescent="0.25">
      <c r="D39" s="49" t="str">
        <v>Composting</v>
      </c>
      <c r="E39" s="51" t="str">
        <v>All organic waste</v>
      </c>
      <c r="F39" s="73"/>
      <c r="G39" s="28"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28" cm="1">
        <f t="array" ref="H39">Common_InputFunctions.Utility_LookupValueInTableNumber(E39,Table_SourceData_WasteSolid_VolumeToMassConversion[Waste type w],Table_SourceData_WasteSolid_VolumeToMassConversion[VTMw])</f>
        <v>0</v>
      </c>
      <c r="I39" s="28">
        <f>(G39 * H39)</f>
        <v>0</v>
      </c>
    </row>
    <row r="40" spans="4:9" ht="20.100000000000001" customHeight="1" x14ac:dyDescent="0.25">
      <c r="D40" s="49" t="str">
        <v>Anaerobic digestion</v>
      </c>
      <c r="E40" s="51" t="str">
        <v>All organic waste</v>
      </c>
      <c r="F40" s="73"/>
      <c r="G40" s="28"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28" cm="1">
        <f t="array" ref="H40">Common_InputFunctions.Utility_LookupValueInTableNumber(E40,Table_SourceData_WasteSolid_VolumeToMassConversion[Waste type w],Table_SourceData_WasteSolid_VolumeToMassConversion[VTMw])</f>
        <v>0</v>
      </c>
      <c r="I40" s="28">
        <f>(G40 * H40)</f>
        <v>0</v>
      </c>
    </row>
    <row r="41" spans="4:9" ht="20.100000000000001" customHeight="1" x14ac:dyDescent="0.25"/>
    <row r="42" spans="4:9" ht="20.100000000000001" customHeight="1" x14ac:dyDescent="0.25">
      <c r="D42" s="70" t="s">
        <v>119</v>
      </c>
    </row>
    <row r="43" spans="4:9" ht="20.100000000000001" customHeight="1" x14ac:dyDescent="0.25">
      <c r="D43" s="71" t="s">
        <v>124</v>
      </c>
    </row>
    <row r="44" spans="4:9" ht="20.100000000000001" customHeight="1" x14ac:dyDescent="0.25">
      <c r="D44" s="67" t="s">
        <v>93</v>
      </c>
      <c r="E44" s="67" t="s">
        <v>94</v>
      </c>
      <c r="F44" s="67"/>
      <c r="G44" s="67" t="s">
        <v>95</v>
      </c>
      <c r="H44" s="72" t="s">
        <v>98</v>
      </c>
      <c r="I44" s="72" t="s">
        <v>97</v>
      </c>
    </row>
    <row r="45" spans="4:9" ht="20.100000000000001" customHeight="1" x14ac:dyDescent="0.25">
      <c r="D45" s="49" t="str" cm="1">
        <f t="array" ref="D45:D64">Table_SourceData_WasteSolid_WasteTreatmentEFs[Treatment type t]</f>
        <v>Landfill</v>
      </c>
      <c r="E45" s="51" t="str" cm="1">
        <f t="array" ref="E45:E64">Table_SourceData_WasteSolid_WasteTreatmentEFs[Waste type w]</f>
        <v>Food waste (including animal carcasses, spoiled animal feed or crop)</v>
      </c>
      <c r="F45" s="73"/>
      <c r="G45" s="28"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"cubic metres m3")</f>
        <v>50</v>
      </c>
      <c r="H45" s="28" cm="1">
        <f t="array" ref="H45">Common_InputFunctions.Utility_LookupValueInTableNumber(E45,Table_SourceData_WasteSolid_VolumeToMassConversion[Waste type w],Table_SourceData_WasteSolid_VolumeToMassConversion[VTMw])</f>
        <v>0.5</v>
      </c>
      <c r="I45" s="28">
        <f>(G45 * H45)</f>
        <v>25</v>
      </c>
    </row>
    <row r="46" spans="4:9" ht="20.100000000000001" customHeight="1" x14ac:dyDescent="0.25">
      <c r="D46" s="49" t="str">
        <v>Landfill</v>
      </c>
      <c r="E46" s="51" t="str">
        <v>Paper and cardboard</v>
      </c>
      <c r="F46" s="73"/>
      <c r="G46" s="28"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"cubic metres m3")</f>
        <v>0</v>
      </c>
      <c r="H46" s="28" cm="1">
        <f t="array" ref="H46">Common_InputFunctions.Utility_LookupValueInTableNumber(E46,Table_SourceData_WasteSolid_VolumeToMassConversion[Waste type w],Table_SourceData_WasteSolid_VolumeToMassConversion[VTMw])</f>
        <v>0.09</v>
      </c>
      <c r="I46" s="28">
        <f>(G46 * H46)</f>
        <v>0</v>
      </c>
    </row>
    <row r="47" spans="4:9" ht="20.100000000000001" customHeight="1" x14ac:dyDescent="0.25">
      <c r="D47" s="49" t="str">
        <v>Landfill</v>
      </c>
      <c r="E47" s="51" t="str">
        <v>Green waste (including crop residues or prunnings)</v>
      </c>
      <c r="F47" s="73"/>
      <c r="G47" s="28"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"cubic metres m3")</f>
        <v>0</v>
      </c>
      <c r="H47" s="28" cm="1">
        <f t="array" ref="H47">Common_InputFunctions.Utility_LookupValueInTableNumber(E47,Table_SourceData_WasteSolid_VolumeToMassConversion[Waste type w],Table_SourceData_WasteSolid_VolumeToMassConversion[VTMw])</f>
        <v>0</v>
      </c>
      <c r="I47" s="28">
        <f>(G47 * H47)</f>
        <v>0</v>
      </c>
    </row>
    <row r="48" spans="4:9" ht="20.100000000000001" customHeight="1" x14ac:dyDescent="0.25">
      <c r="D48" s="49" t="str">
        <v>Landfill</v>
      </c>
      <c r="E48" s="51" t="str">
        <v>Wood</v>
      </c>
      <c r="F48" s="73"/>
      <c r="G48" s="28"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"cubic metres m3")</f>
        <v>0</v>
      </c>
      <c r="H48" s="28" cm="1">
        <f t="array" ref="H48">Common_InputFunctions.Utility_LookupValueInTableNumber(E48,Table_SourceData_WasteSolid_VolumeToMassConversion[Waste type w],Table_SourceData_WasteSolid_VolumeToMassConversion[VTMw])</f>
        <v>0.15</v>
      </c>
      <c r="I48" s="28">
        <f>(G48 * H48)</f>
        <v>0</v>
      </c>
    </row>
    <row r="49" spans="4:9" ht="20.100000000000001" customHeight="1" x14ac:dyDescent="0.25">
      <c r="D49" s="49" t="str">
        <v>Landfill</v>
      </c>
      <c r="E49" s="51" t="str">
        <v>Textiles</v>
      </c>
      <c r="F49" s="73"/>
      <c r="G49" s="28" cm="1">
        <f t="array" ref="G49">WasteSolid_InputFunctions.WasteSolid_InputFunctions_SumWasteTreatment(Table_Input_SolidWaste[Treatment type (select)],Table_Input_SolidWaste[Waste type (select)],Table_Input_SolidWaste[Treatment location (select)],Table_Input_SolidWaste[Amount unit (select)],Table_Input_SolidWaste[Amount],D49,E49, "Removed and treated off-site", "cubic metres m3")</f>
        <v>0</v>
      </c>
      <c r="H49" s="28" cm="1">
        <f t="array" ref="H49">Common_InputFunctions.Utility_LookupValueInTableNumber(E49,Table_SourceData_WasteSolid_VolumeToMassConversion[Waste type w],Table_SourceData_WasteSolid_VolumeToMassConversion[VTMw])</f>
        <v>0.14000000000000001</v>
      </c>
      <c r="I49" s="28">
        <f>(G49 * H49)</f>
        <v>0</v>
      </c>
    </row>
    <row r="50" spans="4:9" ht="20.100000000000001" customHeight="1" x14ac:dyDescent="0.25">
      <c r="D50" s="49" t="str">
        <v>Landfill</v>
      </c>
      <c r="E50" s="51" t="str">
        <v>Sludge</v>
      </c>
      <c r="F50" s="73"/>
      <c r="G50" s="28"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"cubic metres m3")</f>
        <v>0</v>
      </c>
      <c r="H50" s="28" cm="1">
        <f t="array" ref="H50">Common_InputFunctions.Utility_LookupValueInTableNumber(E50,Table_SourceData_WasteSolid_VolumeToMassConversion[Waste type w],Table_SourceData_WasteSolid_VolumeToMassConversion[VTMw])</f>
        <v>0.72</v>
      </c>
      <c r="I50" s="28">
        <f>(G50 * H50)</f>
        <v>0</v>
      </c>
    </row>
    <row r="51" spans="4:9" ht="20.100000000000001" customHeight="1" x14ac:dyDescent="0.25">
      <c r="D51" s="49" t="str">
        <v>Landfill</v>
      </c>
      <c r="E51" s="51" t="str">
        <v>Rubber and leather</v>
      </c>
      <c r="F51" s="73"/>
      <c r="G51" s="28"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"cubic metres m3")</f>
        <v>0</v>
      </c>
      <c r="H51" s="28" cm="1">
        <f t="array" ref="H51">Common_InputFunctions.Utility_LookupValueInTableNumber(E51,Table_SourceData_WasteSolid_VolumeToMassConversion[Waste type w],Table_SourceData_WasteSolid_VolumeToMassConversion[VTMw])</f>
        <v>0.14000000000000001</v>
      </c>
      <c r="I51" s="28">
        <f>(G51 * H51)</f>
        <v>0</v>
      </c>
    </row>
    <row r="52" spans="4:9" ht="20.100000000000001" customHeight="1" x14ac:dyDescent="0.25">
      <c r="D52" s="49" t="str">
        <v>Landfill</v>
      </c>
      <c r="E52" s="51" t="str">
        <v>Inert waste (including concrete, metal, plastic or glass)</v>
      </c>
      <c r="F52" s="73"/>
      <c r="G52" s="28"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"cubic metres m3")</f>
        <v>0</v>
      </c>
      <c r="H52" s="28" cm="1">
        <f t="array" ref="H52">Common_InputFunctions.Utility_LookupValueInTableNumber(E52,Table_SourceData_WasteSolid_VolumeToMassConversion[Waste type w],Table_SourceData_WasteSolid_VolumeToMassConversion[VTMw])</f>
        <v>0.42</v>
      </c>
      <c r="I52" s="28">
        <f>(G52 * H52)</f>
        <v>0</v>
      </c>
    </row>
    <row r="53" spans="4:9" ht="20.100000000000001" customHeight="1" x14ac:dyDescent="0.25">
      <c r="D53" s="49" t="str">
        <v>Landfill</v>
      </c>
      <c r="E53" s="51" t="str">
        <v>Municipal solid waste</v>
      </c>
      <c r="F53" s="73"/>
      <c r="G53" s="28"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"cubic metres m3")</f>
        <v>0</v>
      </c>
      <c r="H53" s="28" cm="1">
        <f t="array" ref="H53">Common_InputFunctions.Utility_LookupValueInTableNumber(E53,Table_SourceData_WasteSolid_VolumeToMassConversion[Waste type w],Table_SourceData_WasteSolid_VolumeToMassConversion[VTMw])</f>
        <v>0.36</v>
      </c>
      <c r="I53" s="28">
        <f>(G53 * H53)</f>
        <v>0</v>
      </c>
    </row>
    <row r="54" spans="4:9" ht="20.100000000000001" customHeight="1" x14ac:dyDescent="0.25">
      <c r="D54" s="49" t="str">
        <v>Landfill</v>
      </c>
      <c r="E54" s="51" t="str">
        <v>Commercial and industrial waste</v>
      </c>
      <c r="F54" s="73"/>
      <c r="G54" s="28"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"cubic metres m3")</f>
        <v>0</v>
      </c>
      <c r="H54" s="28" cm="1">
        <f t="array" ref="H54">Common_InputFunctions.Utility_LookupValueInTableNumber(E54,Table_SourceData_WasteSolid_VolumeToMassConversion[Waste type w],Table_SourceData_WasteSolid_VolumeToMassConversion[VTMw])</f>
        <v>0.33</v>
      </c>
      <c r="I54" s="28">
        <f>(G54 * H54)</f>
        <v>0</v>
      </c>
    </row>
    <row r="55" spans="4:9" ht="20.100000000000001" customHeight="1" x14ac:dyDescent="0.25">
      <c r="D55" s="49" t="str">
        <v>Landfill</v>
      </c>
      <c r="E55" s="51" t="str">
        <v>Construction and demolition waste</v>
      </c>
      <c r="F55" s="73"/>
      <c r="G55" s="28" cm="1">
        <f t="array" ref="G55">WasteSolid_InputFunctions.WasteSolid_InputFunctions_SumWasteTreatment(Table_Input_SolidWaste[Treatment type (select)],Table_Input_SolidWaste[Waste type (select)],Table_Input_SolidWaste[Treatment location (select)],Table_Input_SolidWaste[Amount unit (select)],Table_Input_SolidWaste[Amount],D55,E55, "Removed and treated off-site", "cubic metres m3")</f>
        <v>0</v>
      </c>
      <c r="H55" s="28" cm="1">
        <f t="array" ref="H55">Common_InputFunctions.Utility_LookupValueInTableNumber(E55,Table_SourceData_WasteSolid_VolumeToMassConversion[Waste type w],Table_SourceData_WasteSolid_VolumeToMassConversion[VTMw])</f>
        <v>0.39</v>
      </c>
      <c r="I55" s="28">
        <f>(G55 * H55)</f>
        <v>0</v>
      </c>
    </row>
    <row r="56" spans="4:9" ht="20.100000000000001" customHeight="1" x14ac:dyDescent="0.25">
      <c r="D56" s="49" t="str">
        <v>Incineration</v>
      </c>
      <c r="E56" s="51" t="str">
        <v>Food waste, green waste, wood, sludge</v>
      </c>
      <c r="F56" s="73"/>
      <c r="G56" s="28" cm="1">
        <f t="array" ref="G56">WasteSolid_InputFunctions.WasteSolid_InputFunctions_SumWasteTreatment(Table_Input_SolidWaste[Treatment type (select)],Table_Input_SolidWaste[Waste type (select)],Table_Input_SolidWaste[Treatment location (select)],Table_Input_SolidWaste[Amount unit (select)],Table_Input_SolidWaste[Amount],D56,E56, "Removed and treated off-site", "cubic metres m3")</f>
        <v>0</v>
      </c>
      <c r="H56" s="28" cm="1">
        <f t="array" ref="H56">Common_InputFunctions.Utility_LookupValueInTableNumber(E56,Table_SourceData_WasteSolid_VolumeToMassConversion[Waste type w],Table_SourceData_WasteSolid_VolumeToMassConversion[VTMw])</f>
        <v>0</v>
      </c>
      <c r="I56" s="28">
        <f>(G56 * H56)</f>
        <v>0</v>
      </c>
    </row>
    <row r="57" spans="4:9" ht="20.100000000000001" customHeight="1" x14ac:dyDescent="0.25">
      <c r="D57" s="49" t="str">
        <v>Incineration</v>
      </c>
      <c r="E57" s="51" t="str">
        <v>Paper and cardboard</v>
      </c>
      <c r="F57" s="73"/>
      <c r="G57" s="28" cm="1">
        <f t="array" ref="G57">WasteSolid_InputFunctions.WasteSolid_InputFunctions_SumWasteTreatment(Table_Input_SolidWaste[Treatment type (select)],Table_Input_SolidWaste[Waste type (select)],Table_Input_SolidWaste[Treatment location (select)],Table_Input_SolidWaste[Amount unit (select)],Table_Input_SolidWaste[Amount],D57,E57, "Removed and treated off-site", "cubic metres m3")</f>
        <v>50</v>
      </c>
      <c r="H57" s="28" cm="1">
        <f t="array" ref="H57">Common_InputFunctions.Utility_LookupValueInTableNumber(E57,Table_SourceData_WasteSolid_VolumeToMassConversion[Waste type w],Table_SourceData_WasteSolid_VolumeToMassConversion[VTMw])</f>
        <v>0.09</v>
      </c>
      <c r="I57" s="28">
        <f>(G57 * H57)</f>
        <v>4.5</v>
      </c>
    </row>
    <row r="58" spans="4:9" ht="20.100000000000001" customHeight="1" x14ac:dyDescent="0.25">
      <c r="D58" s="49" t="str">
        <v>Incineration</v>
      </c>
      <c r="E58" s="51" t="str">
        <v>Textiles</v>
      </c>
      <c r="F58" s="73"/>
      <c r="G58" s="28" cm="1">
        <f t="array" ref="G58">WasteSolid_InputFunctions.WasteSolid_InputFunctions_SumWasteTreatment(Table_Input_SolidWaste[Treatment type (select)],Table_Input_SolidWaste[Waste type (select)],Table_Input_SolidWaste[Treatment location (select)],Table_Input_SolidWaste[Amount unit (select)],Table_Input_SolidWaste[Amount],D58,E58, "Removed and treated off-site", "cubic metres m3")</f>
        <v>0</v>
      </c>
      <c r="H58" s="28" cm="1">
        <f t="array" ref="H58">Common_InputFunctions.Utility_LookupValueInTableNumber(E58,Table_SourceData_WasteSolid_VolumeToMassConversion[Waste type w],Table_SourceData_WasteSolid_VolumeToMassConversion[VTMw])</f>
        <v>0.14000000000000001</v>
      </c>
      <c r="I58" s="28">
        <f>(G58 * H58)</f>
        <v>0</v>
      </c>
    </row>
    <row r="59" spans="4:9" ht="20.100000000000001" customHeight="1" x14ac:dyDescent="0.25">
      <c r="D59" s="49" t="str">
        <v>Incineration</v>
      </c>
      <c r="E59" s="51" t="str">
        <v>Rubber and leather</v>
      </c>
      <c r="F59" s="73"/>
      <c r="G59" s="28"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0</v>
      </c>
      <c r="H59" s="28" cm="1">
        <f t="array" ref="H59">Common_InputFunctions.Utility_LookupValueInTableNumber(E59,Table_SourceData_WasteSolid_VolumeToMassConversion[Waste type w],Table_SourceData_WasteSolid_VolumeToMassConversion[VTMw])</f>
        <v>0.14000000000000001</v>
      </c>
      <c r="I59" s="28">
        <f>(G59 * H59)</f>
        <v>0</v>
      </c>
    </row>
    <row r="60" spans="4:9" ht="20.100000000000001" customHeight="1" x14ac:dyDescent="0.25">
      <c r="D60" s="49" t="str">
        <v>Incineration</v>
      </c>
      <c r="E60" s="51" t="str">
        <v>Inert Waste</v>
      </c>
      <c r="F60" s="73"/>
      <c r="G60" s="28"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0</v>
      </c>
      <c r="H60" s="28" cm="1">
        <f t="array" ref="H60">Common_InputFunctions.Utility_LookupValueInTableNumber(E60,Table_SourceData_WasteSolid_VolumeToMassConversion[Waste type w],Table_SourceData_WasteSolid_VolumeToMassConversion[VTMw])</f>
        <v>0</v>
      </c>
      <c r="I60" s="28">
        <f>(G60 * H60)</f>
        <v>0</v>
      </c>
    </row>
    <row r="61" spans="4:9" ht="20.100000000000001" customHeight="1" x14ac:dyDescent="0.25">
      <c r="D61" s="49" t="str">
        <v>Incineration</v>
      </c>
      <c r="E61" s="51" t="str">
        <v>Municipal Solid Waste</v>
      </c>
      <c r="F61" s="73"/>
      <c r="G61" s="28"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0</v>
      </c>
      <c r="H61" s="28" cm="1">
        <f t="array" ref="H61">Common_InputFunctions.Utility_LookupValueInTableNumber(E61,Table_SourceData_WasteSolid_VolumeToMassConversion[Waste type w],Table_SourceData_WasteSolid_VolumeToMassConversion[VTMw])</f>
        <v>0.36</v>
      </c>
      <c r="I61" s="28">
        <f>(G61 * H61)</f>
        <v>0</v>
      </c>
    </row>
    <row r="62" spans="4:9" ht="20.100000000000001" customHeight="1" x14ac:dyDescent="0.25">
      <c r="D62" s="49" t="str">
        <v>Incineration</v>
      </c>
      <c r="E62" s="51" t="str">
        <v>Industrial Waste</v>
      </c>
      <c r="F62" s="73"/>
      <c r="G62" s="28"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28" cm="1">
        <f t="array" ref="H62">Common_InputFunctions.Utility_LookupValueInTableNumber(E62,Table_SourceData_WasteSolid_VolumeToMassConversion[Waste type w],Table_SourceData_WasteSolid_VolumeToMassConversion[VTMw])</f>
        <v>0</v>
      </c>
      <c r="I62" s="28">
        <f>(G62 * H62)</f>
        <v>0</v>
      </c>
    </row>
    <row r="63" spans="4:9" ht="20.100000000000001" customHeight="1" x14ac:dyDescent="0.25">
      <c r="D63" s="49" t="str">
        <v>Composting</v>
      </c>
      <c r="E63" s="51" t="str">
        <v>All organic waste</v>
      </c>
      <c r="F63" s="73"/>
      <c r="G63" s="28"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28" cm="1">
        <f t="array" ref="H63">Common_InputFunctions.Utility_LookupValueInTableNumber(E63,Table_SourceData_WasteSolid_VolumeToMassConversion[Waste type w],Table_SourceData_WasteSolid_VolumeToMassConversion[VTMw])</f>
        <v>0</v>
      </c>
      <c r="I63" s="28">
        <f>(G63 * H63)</f>
        <v>0</v>
      </c>
    </row>
    <row r="64" spans="4:9" ht="20.100000000000001" customHeight="1" x14ac:dyDescent="0.25">
      <c r="D64" s="49" t="str">
        <v>Anaerobic digestion</v>
      </c>
      <c r="E64" s="51" t="str">
        <v>All organic waste</v>
      </c>
      <c r="F64" s="73"/>
      <c r="G64" s="28"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28" cm="1">
        <f t="array" ref="H64">Common_InputFunctions.Utility_LookupValueInTableNumber(E64,Table_SourceData_WasteSolid_VolumeToMassConversion[Waste type w],Table_SourceData_WasteSolid_VolumeToMassConversion[VTMw])</f>
        <v>0</v>
      </c>
      <c r="I64" s="28">
        <f>(G64 * H64)</f>
        <v>0</v>
      </c>
    </row>
    <row r="65" spans="1:12" ht="20.100000000000001" customHeight="1" x14ac:dyDescent="0.25"/>
    <row r="66" spans="1:12" ht="20.100000000000001" customHeight="1" x14ac:dyDescent="0.25">
      <c r="A66" s="52" t="str">
        <f>HYPERLINK("#A1", "▲ Back to top")</f>
        <v>▲ Back to top</v>
      </c>
    </row>
    <row r="67" spans="1:12" ht="20.100000000000001" customHeight="1" x14ac:dyDescent="0.25">
      <c r="C67" s="63"/>
      <c r="D67" s="63"/>
      <c r="E67" s="63"/>
      <c r="F67" s="63"/>
      <c r="G67" s="63"/>
      <c r="H67" s="63"/>
      <c r="I67" s="63"/>
      <c r="J67" s="63"/>
      <c r="K67" s="63"/>
      <c r="L67" s="63"/>
    </row>
    <row r="68" spans="1:12" ht="20.100000000000001" customHeight="1" x14ac:dyDescent="0.25">
      <c r="D68" s="5" t="s">
        <v>152</v>
      </c>
    </row>
    <row r="69" spans="1:12" ht="20.100000000000001" customHeight="1" x14ac:dyDescent="0.25">
      <c r="D69" s="4" t="s">
        <v>153</v>
      </c>
    </row>
    <row r="70" spans="1:12" ht="20.100000000000001" customHeight="1" x14ac:dyDescent="0.25">
      <c r="D70" s="31" t="s">
        <v>154</v>
      </c>
    </row>
    <row r="71" spans="1:12" ht="20.100000000000001" customHeight="1" x14ac:dyDescent="0.25">
      <c r="D71" s="10"/>
      <c r="E71" s="10"/>
    </row>
    <row r="72" spans="1:12" ht="20.100000000000001" customHeight="1" x14ac:dyDescent="0.25"/>
    <row r="73" spans="1:12" ht="20.100000000000001" customHeight="1" x14ac:dyDescent="0.25"/>
    <row r="74" spans="1:12" ht="20.100000000000001" customHeight="1" x14ac:dyDescent="0.25">
      <c r="D74" s="29" t="s">
        <v>12</v>
      </c>
      <c r="E74" s="1" t="s">
        <v>155</v>
      </c>
    </row>
    <row r="75" spans="1:12" ht="20.100000000000001" customHeight="1" x14ac:dyDescent="0.25">
      <c r="D75" s="29" t="s">
        <v>5</v>
      </c>
      <c r="E75" s="30" t="s">
        <v>57</v>
      </c>
    </row>
    <row r="76" spans="1:12" ht="20.100000000000001" customHeight="1" x14ac:dyDescent="0.25"/>
    <row r="77" spans="1:12" ht="20.100000000000001" customHeight="1" x14ac:dyDescent="0.25">
      <c r="D77" s="49" t="s">
        <v>139</v>
      </c>
      <c r="E77" s="51" t="s">
        <v>156</v>
      </c>
      <c r="F77" s="65"/>
      <c r="G77" s="50"/>
      <c r="H77" s="49" t="s">
        <v>140</v>
      </c>
      <c r="I77" s="44" t="s">
        <v>165</v>
      </c>
    </row>
    <row r="78" spans="1:12" ht="20.100000000000001" customHeight="1" x14ac:dyDescent="0.25">
      <c r="D78" s="49" t="s">
        <v>157</v>
      </c>
      <c r="E78" s="51" t="s">
        <v>158</v>
      </c>
      <c r="F78" s="65"/>
      <c r="G78" s="50"/>
      <c r="H78" s="49" t="s">
        <v>166</v>
      </c>
      <c r="I78" s="44" t="s">
        <v>151</v>
      </c>
    </row>
    <row r="79" spans="1:12" ht="20.100000000000001" customHeight="1" x14ac:dyDescent="0.25">
      <c r="D79" s="49" t="s">
        <v>145</v>
      </c>
      <c r="E79" s="51" t="s">
        <v>146</v>
      </c>
      <c r="F79" s="65"/>
      <c r="G79" s="50"/>
      <c r="H79" s="49"/>
      <c r="I79" s="45" t="s">
        <v>149</v>
      </c>
    </row>
    <row r="80" spans="1:12" ht="20.100000000000001" customHeight="1" x14ac:dyDescent="0.25">
      <c r="D80" s="49" t="s">
        <v>140</v>
      </c>
      <c r="E80" s="51" t="s">
        <v>147</v>
      </c>
      <c r="F80" s="65"/>
      <c r="G80" s="50"/>
      <c r="H80" s="49"/>
      <c r="I80" s="45" t="s">
        <v>149</v>
      </c>
    </row>
    <row r="81" spans="4:11" ht="20.100000000000001" customHeight="1" x14ac:dyDescent="0.25">
      <c r="D81" s="49" t="s">
        <v>159</v>
      </c>
      <c r="E81" s="51" t="s">
        <v>160</v>
      </c>
      <c r="F81" s="65"/>
      <c r="G81" s="50"/>
      <c r="H81" s="49"/>
      <c r="I81" s="45" t="s">
        <v>149</v>
      </c>
    </row>
    <row r="82" spans="4:11" ht="20.100000000000001" customHeight="1" x14ac:dyDescent="0.25">
      <c r="D82" s="49" t="s">
        <v>161</v>
      </c>
      <c r="E82" s="51" t="s">
        <v>162</v>
      </c>
      <c r="F82" s="65"/>
      <c r="G82" s="50"/>
      <c r="H82" s="49" t="s">
        <v>100</v>
      </c>
      <c r="I82" s="44" t="s">
        <v>167</v>
      </c>
    </row>
    <row r="83" spans="4:11" ht="20.100000000000001" customHeight="1" x14ac:dyDescent="0.25">
      <c r="D83" s="49" t="s">
        <v>163</v>
      </c>
      <c r="E83" s="51" t="s">
        <v>164</v>
      </c>
      <c r="F83" s="65"/>
      <c r="G83" s="50"/>
      <c r="H83" s="49" t="s">
        <v>100</v>
      </c>
      <c r="I83" s="45" t="s">
        <v>149</v>
      </c>
    </row>
    <row r="84" spans="4:11" ht="20.100000000000001" customHeight="1" x14ac:dyDescent="0.25"/>
    <row r="85" spans="4:11" ht="20.100000000000001" customHeight="1" x14ac:dyDescent="0.25">
      <c r="D85" s="70" t="s">
        <v>132</v>
      </c>
    </row>
    <row r="86" spans="4:11" ht="20.100000000000001" customHeight="1" x14ac:dyDescent="0.25">
      <c r="D86" s="71" t="s">
        <v>133</v>
      </c>
    </row>
    <row r="87" spans="4:11" ht="20.100000000000001" customHeight="1" x14ac:dyDescent="0.25">
      <c r="D87" s="67" t="s">
        <v>93</v>
      </c>
      <c r="E87" s="67" t="s">
        <v>94</v>
      </c>
      <c r="F87" s="67"/>
      <c r="G87" s="67" t="s">
        <v>126</v>
      </c>
      <c r="H87" s="72" t="s">
        <v>127</v>
      </c>
      <c r="I87" s="72" t="s">
        <v>96</v>
      </c>
      <c r="J87" s="72" t="s">
        <v>120</v>
      </c>
      <c r="K87" s="72" t="s">
        <v>121</v>
      </c>
    </row>
    <row r="88" spans="4:11" ht="20.100000000000001" customHeight="1" x14ac:dyDescent="0.25">
      <c r="D88" s="49" t="str" cm="1">
        <f t="array" ref="D88:D107">Table_SourceData_WasteSolid_WasteTreatmentEFs[Treatment type t]</f>
        <v>Landfill</v>
      </c>
      <c r="E88" s="51" t="str" cm="1">
        <f t="array" ref="E88:E107">Table_SourceData_WasteSolid_WasteTreatmentEFs[Waste type w]</f>
        <v>Food waste (including animal carcasses, spoiled animal feed or crop)</v>
      </c>
      <c r="F88" s="73"/>
      <c r="G88" s="28"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88" s="28">
        <f t="shared" ref="H88:H107" si="0">I21</f>
        <v>50</v>
      </c>
      <c r="I88" s="28">
        <f>G88+H88</f>
        <v>100</v>
      </c>
      <c r="J88" s="28" cm="1">
        <f t="array" ref="J88">Common_InputFunctions.Utility_LookupValueInTableTwoColumns(D88,E88,Table_SourceData_WasteSolid_WasteTreatmentEFs[Treatment type t],Table_SourceData_WasteSolid_WasteTreatmentEFs[Waste type w],Table_SourceData_WasteSolid_WasteTreatmentEFs[EFwt])</f>
        <v>2.1</v>
      </c>
      <c r="K88" s="28">
        <f>(I88 * J88)</f>
        <v>210</v>
      </c>
    </row>
    <row r="89" spans="4:11" ht="20.100000000000001" customHeight="1" x14ac:dyDescent="0.25">
      <c r="D89" s="49" t="str">
        <v>Landfill</v>
      </c>
      <c r="E89" s="51" t="str">
        <v>Paper and cardboard</v>
      </c>
      <c r="F89" s="73"/>
      <c r="G89" s="28"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0</v>
      </c>
      <c r="H89" s="28">
        <f t="shared" si="0"/>
        <v>0</v>
      </c>
      <c r="I89" s="28">
        <f t="shared" ref="I89:I107" si="1">G89+H89</f>
        <v>0</v>
      </c>
      <c r="J89" s="28" cm="1">
        <f t="array" ref="J89">Common_InputFunctions.Utility_LookupValueInTableTwoColumns(D89,E89,Table_SourceData_WasteSolid_WasteTreatmentEFs[Treatment type t],Table_SourceData_WasteSolid_WasteTreatmentEFs[Waste type w],Table_SourceData_WasteSolid_WasteTreatmentEFs[EFwt])</f>
        <v>3.3</v>
      </c>
      <c r="K89" s="28">
        <f>(I89 * J89)</f>
        <v>0</v>
      </c>
    </row>
    <row r="90" spans="4:11" ht="20.100000000000001" customHeight="1" x14ac:dyDescent="0.25">
      <c r="D90" s="49" t="str">
        <v>Landfill</v>
      </c>
      <c r="E90" s="51" t="str">
        <v>Green waste (including crop residues or prunnings)</v>
      </c>
      <c r="F90" s="73"/>
      <c r="G90" s="28"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0</v>
      </c>
      <c r="H90" s="28">
        <f t="shared" si="0"/>
        <v>0</v>
      </c>
      <c r="I90" s="28">
        <f t="shared" si="1"/>
        <v>0</v>
      </c>
      <c r="J90" s="28" cm="1">
        <f t="array" ref="J90">Common_InputFunctions.Utility_LookupValueInTableTwoColumns(D90,E90,Table_SourceData_WasteSolid_WasteTreatmentEFs[Treatment type t],Table_SourceData_WasteSolid_WasteTreatmentEFs[Waste type w],Table_SourceData_WasteSolid_WasteTreatmentEFs[EFwt])</f>
        <v>1.6</v>
      </c>
      <c r="K90" s="28">
        <f>(I90 * J90)</f>
        <v>0</v>
      </c>
    </row>
    <row r="91" spans="4:11" ht="20.100000000000001" customHeight="1" x14ac:dyDescent="0.25">
      <c r="D91" s="49" t="str">
        <v>Landfill</v>
      </c>
      <c r="E91" s="51" t="str">
        <v>Wood</v>
      </c>
      <c r="F91" s="73"/>
      <c r="G91" s="28"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91" s="28">
        <f t="shared" si="0"/>
        <v>0</v>
      </c>
      <c r="I91" s="28">
        <f t="shared" si="1"/>
        <v>0</v>
      </c>
      <c r="J91" s="28" cm="1">
        <f t="array" ref="J91">Common_InputFunctions.Utility_LookupValueInTableTwoColumns(D91,E91,Table_SourceData_WasteSolid_WasteTreatmentEFs[Treatment type t],Table_SourceData_WasteSolid_WasteTreatmentEFs[Waste type w],Table_SourceData_WasteSolid_WasteTreatmentEFs[EFwt])</f>
        <v>0.7</v>
      </c>
      <c r="K91" s="28">
        <f>(I91 * J91)</f>
        <v>0</v>
      </c>
    </row>
    <row r="92" spans="4:11" ht="20.100000000000001" customHeight="1" x14ac:dyDescent="0.25">
      <c r="D92" s="49" t="str">
        <v>Landfill</v>
      </c>
      <c r="E92" s="51" t="str">
        <v>Textiles</v>
      </c>
      <c r="F92" s="73"/>
      <c r="G92" s="28"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92" s="28">
        <f t="shared" si="0"/>
        <v>0</v>
      </c>
      <c r="I92" s="28">
        <f t="shared" si="1"/>
        <v>0</v>
      </c>
      <c r="J92" s="28" cm="1">
        <f t="array" ref="J92">Common_InputFunctions.Utility_LookupValueInTableTwoColumns(D92,E92,Table_SourceData_WasteSolid_WasteTreatmentEFs[Treatment type t],Table_SourceData_WasteSolid_WasteTreatmentEFs[Waste type w],Table_SourceData_WasteSolid_WasteTreatmentEFs[EFwt])</f>
        <v>2</v>
      </c>
      <c r="K92" s="28">
        <f>(I92 * J92)</f>
        <v>0</v>
      </c>
    </row>
    <row r="93" spans="4:11" ht="20.100000000000001" customHeight="1" x14ac:dyDescent="0.25">
      <c r="D93" s="49" t="str">
        <v>Landfill</v>
      </c>
      <c r="E93" s="51" t="str">
        <v>Sludge</v>
      </c>
      <c r="F93" s="73"/>
      <c r="G93" s="28" cm="1">
        <f t="array" ref="G93">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93" s="28">
        <f t="shared" si="0"/>
        <v>0</v>
      </c>
      <c r="I93" s="28">
        <f t="shared" si="1"/>
        <v>0</v>
      </c>
      <c r="J93" s="28" cm="1">
        <f t="array" ref="J93">Common_InputFunctions.Utility_LookupValueInTableTwoColumns(D93,E93,Table_SourceData_WasteSolid_WasteTreatmentEFs[Treatment type t],Table_SourceData_WasteSolid_WasteTreatmentEFs[Waste type w],Table_SourceData_WasteSolid_WasteTreatmentEFs[EFwt])</f>
        <v>0.4</v>
      </c>
      <c r="K93" s="28">
        <f>(I93 * J93)</f>
        <v>0</v>
      </c>
    </row>
    <row r="94" spans="4:11" ht="20.100000000000001" customHeight="1" x14ac:dyDescent="0.25">
      <c r="D94" s="49" t="str">
        <v>Landfill</v>
      </c>
      <c r="E94" s="51" t="str">
        <v>Rubber and leather</v>
      </c>
      <c r="F94" s="73"/>
      <c r="G94" s="28" cm="1">
        <f t="array" ref="G94">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94" s="28">
        <f t="shared" si="0"/>
        <v>0</v>
      </c>
      <c r="I94" s="28">
        <f t="shared" si="1"/>
        <v>0</v>
      </c>
      <c r="J94" s="28" cm="1">
        <f t="array" ref="J94">Common_InputFunctions.Utility_LookupValueInTableTwoColumns(D94,E94,Table_SourceData_WasteSolid_WasteTreatmentEFs[Treatment type t],Table_SourceData_WasteSolid_WasteTreatmentEFs[Waste type w],Table_SourceData_WasteSolid_WasteTreatmentEFs[EFwt])</f>
        <v>3.3</v>
      </c>
      <c r="K94" s="28">
        <f>(I94 * J94)</f>
        <v>0</v>
      </c>
    </row>
    <row r="95" spans="4:11" ht="20.100000000000001" customHeight="1" x14ac:dyDescent="0.25">
      <c r="D95" s="49" t="str">
        <v>Landfill</v>
      </c>
      <c r="E95" s="51" t="str">
        <v>Inert waste (including concrete, metal, plastic or glass)</v>
      </c>
      <c r="F95" s="73"/>
      <c r="G95" s="28" cm="1">
        <f t="array" ref="G95">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95" s="28">
        <f t="shared" si="0"/>
        <v>0</v>
      </c>
      <c r="I95" s="28">
        <f t="shared" si="1"/>
        <v>0</v>
      </c>
      <c r="J95" s="28" cm="1">
        <f t="array" ref="J95">Common_InputFunctions.Utility_LookupValueInTableTwoColumns(D95,E95,Table_SourceData_WasteSolid_WasteTreatmentEFs[Treatment type t],Table_SourceData_WasteSolid_WasteTreatmentEFs[Waste type w],Table_SourceData_WasteSolid_WasteTreatmentEFs[EFwt])</f>
        <v>0</v>
      </c>
      <c r="K95" s="28">
        <f>(I95 * J95)</f>
        <v>0</v>
      </c>
    </row>
    <row r="96" spans="4:11" ht="20.100000000000001" customHeight="1" x14ac:dyDescent="0.25">
      <c r="D96" s="49" t="str">
        <v>Landfill</v>
      </c>
      <c r="E96" s="51" t="str">
        <v>Municipal solid waste</v>
      </c>
      <c r="F96" s="73"/>
      <c r="G96" s="28" cm="1">
        <f t="array" ref="G96">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96" s="28">
        <f t="shared" si="0"/>
        <v>0</v>
      </c>
      <c r="I96" s="28">
        <f t="shared" si="1"/>
        <v>0</v>
      </c>
      <c r="J96" s="28" cm="1">
        <f t="array" ref="J96">Common_InputFunctions.Utility_LookupValueInTableTwoColumns(D96,E96,Table_SourceData_WasteSolid_WasteTreatmentEFs[Treatment type t],Table_SourceData_WasteSolid_WasteTreatmentEFs[Waste type w],Table_SourceData_WasteSolid_WasteTreatmentEFs[EFwt])</f>
        <v>1.6</v>
      </c>
      <c r="K96" s="28">
        <f>(I96 * J96)</f>
        <v>0</v>
      </c>
    </row>
    <row r="97" spans="1:11" ht="20.100000000000001" customHeight="1" x14ac:dyDescent="0.25">
      <c r="D97" s="49" t="str">
        <v>Landfill</v>
      </c>
      <c r="E97" s="51" t="str">
        <v>Commercial and industrial waste</v>
      </c>
      <c r="F97" s="73"/>
      <c r="G97" s="28" cm="1">
        <f t="array" ref="G97">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97" s="28">
        <f t="shared" si="0"/>
        <v>0</v>
      </c>
      <c r="I97" s="28">
        <f t="shared" si="1"/>
        <v>0</v>
      </c>
      <c r="J97" s="28" cm="1">
        <f t="array" ref="J97">Common_InputFunctions.Utility_LookupValueInTableTwoColumns(D97,E97,Table_SourceData_WasteSolid_WasteTreatmentEFs[Treatment type t],Table_SourceData_WasteSolid_WasteTreatmentEFs[Waste type w],Table_SourceData_WasteSolid_WasteTreatmentEFs[EFwt])</f>
        <v>1.3</v>
      </c>
      <c r="K97" s="28">
        <f>(I97 * J97)</f>
        <v>0</v>
      </c>
    </row>
    <row r="98" spans="1:11" ht="20.100000000000001" customHeight="1" x14ac:dyDescent="0.25">
      <c r="D98" s="49" t="str">
        <v>Landfill</v>
      </c>
      <c r="E98" s="51" t="str">
        <v>Construction and demolition waste</v>
      </c>
      <c r="F98" s="73"/>
      <c r="G98" s="28" cm="1">
        <f t="array" ref="G98">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98" s="28">
        <f t="shared" si="0"/>
        <v>0</v>
      </c>
      <c r="I98" s="28">
        <f t="shared" si="1"/>
        <v>0</v>
      </c>
      <c r="J98" s="28" cm="1">
        <f t="array" ref="J98">Common_InputFunctions.Utility_LookupValueInTableTwoColumns(D98,E98,Table_SourceData_WasteSolid_WasteTreatmentEFs[Treatment type t],Table_SourceData_WasteSolid_WasteTreatmentEFs[Waste type w],Table_SourceData_WasteSolid_WasteTreatmentEFs[EFwt])</f>
        <v>0.2</v>
      </c>
      <c r="K98" s="28">
        <f>(I98 * J98)</f>
        <v>0</v>
      </c>
    </row>
    <row r="99" spans="1:11" ht="20.100000000000001" customHeight="1" x14ac:dyDescent="0.25">
      <c r="D99" s="49" t="str">
        <v>Incineration</v>
      </c>
      <c r="E99" s="51" t="str">
        <v>Food waste, green waste, wood, sludge</v>
      </c>
      <c r="F99" s="73"/>
      <c r="G99" s="28" cm="1">
        <f t="array" ref="G99">WasteSolid_InputFunctions.WasteSolid_InputFunctions_SumWasteTreatment(Table_Input_SolidWaste[Treatment type (select)],Table_Input_SolidWaste[Waste type (select)],Table_Input_SolidWaste[Treatment location (select)],Table_Input_SolidWaste[Amount unit (select)],Table_Input_SolidWaste[Amount],D32,E32, "Treated on-site", "tonnes")</f>
        <v>0</v>
      </c>
      <c r="H99" s="28">
        <f t="shared" si="0"/>
        <v>0</v>
      </c>
      <c r="I99" s="28">
        <f t="shared" si="1"/>
        <v>0</v>
      </c>
      <c r="J99" s="28" cm="1">
        <f t="array" ref="J99">Common_InputFunctions.Utility_LookupValueInTableTwoColumns(D99,E99,Table_SourceData_WasteSolid_WasteTreatmentEFs[Treatment type t],Table_SourceData_WasteSolid_WasteTreatmentEFs[Waste type w],Table_SourceData_WasteSolid_WasteTreatmentEFs[EFwt])</f>
        <v>0</v>
      </c>
      <c r="K99" s="28">
        <f>(I99 * J99)</f>
        <v>0</v>
      </c>
    </row>
    <row r="100" spans="1:11" ht="20.100000000000001" customHeight="1" x14ac:dyDescent="0.25">
      <c r="D100" s="49" t="str">
        <v>Incineration</v>
      </c>
      <c r="E100" s="51" t="str">
        <v>Paper and cardboard</v>
      </c>
      <c r="F100" s="73"/>
      <c r="G100" s="28" cm="1">
        <f t="array" ref="G100">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50</v>
      </c>
      <c r="H100" s="28">
        <f t="shared" si="0"/>
        <v>4.5</v>
      </c>
      <c r="I100" s="28">
        <f t="shared" si="1"/>
        <v>54.5</v>
      </c>
      <c r="J100" s="28" cm="1">
        <f t="array" ref="J100">Common_InputFunctions.Utility_LookupValueInTableTwoColumns(D100,E100,Table_SourceData_WasteSolid_WasteTreatmentEFs[Treatment type t],Table_SourceData_WasteSolid_WasteTreatmentEFs[Waste type w],Table_SourceData_WasteSolid_WasteTreatmentEFs[EFwt])</f>
        <v>1.6899999999999998E-2</v>
      </c>
      <c r="K100" s="28">
        <f>(I100 * J100)</f>
        <v>0.92104999999999992</v>
      </c>
    </row>
    <row r="101" spans="1:11" ht="20.100000000000001" customHeight="1" x14ac:dyDescent="0.25">
      <c r="D101" s="49" t="str">
        <v>Incineration</v>
      </c>
      <c r="E101" s="51" t="str">
        <v>Textiles</v>
      </c>
      <c r="F101" s="73"/>
      <c r="G101" s="28" cm="1">
        <f t="array" ref="G101">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0</v>
      </c>
      <c r="H101" s="28">
        <f t="shared" si="0"/>
        <v>0</v>
      </c>
      <c r="I101" s="28">
        <f t="shared" si="1"/>
        <v>0</v>
      </c>
      <c r="J101" s="28" cm="1">
        <f t="array" ref="J101">Common_InputFunctions.Utility_LookupValueInTableTwoColumns(D101,E101,Table_SourceData_WasteSolid_WasteTreatmentEFs[Treatment type t],Table_SourceData_WasteSolid_WasteTreatmentEFs[Waste type w],Table_SourceData_WasteSolid_WasteTreatmentEFs[EFwt])</f>
        <v>0.36670000000000003</v>
      </c>
      <c r="K101" s="28">
        <f>(I101 * J101)</f>
        <v>0</v>
      </c>
    </row>
    <row r="102" spans="1:11" ht="20.100000000000001" customHeight="1" x14ac:dyDescent="0.25">
      <c r="D102" s="49" t="str">
        <v>Incineration</v>
      </c>
      <c r="E102" s="51" t="str">
        <v>Rubber and leather</v>
      </c>
      <c r="F102" s="73"/>
      <c r="G102" s="28" cm="1">
        <f t="array" ref="G102">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02" s="28">
        <f t="shared" si="0"/>
        <v>0</v>
      </c>
      <c r="I102" s="28">
        <f t="shared" si="1"/>
        <v>0</v>
      </c>
      <c r="J102" s="28" cm="1">
        <f t="array" ref="J102">Common_InputFunctions.Utility_LookupValueInTableTwoColumns(D102,E102,Table_SourceData_WasteSolid_WasteTreatmentEFs[Treatment type t],Table_SourceData_WasteSolid_WasteTreatmentEFs[Waste type w],Table_SourceData_WasteSolid_WasteTreatmentEFs[EFwt])</f>
        <v>0.4919</v>
      </c>
      <c r="K102" s="28">
        <f>(I102 * J102)</f>
        <v>0</v>
      </c>
    </row>
    <row r="103" spans="1:11" ht="20.100000000000001" customHeight="1" x14ac:dyDescent="0.25">
      <c r="D103" s="49" t="str">
        <v>Incineration</v>
      </c>
      <c r="E103" s="51" t="str">
        <v>Inert Waste</v>
      </c>
      <c r="F103" s="73"/>
      <c r="G103" s="28" cm="1">
        <f t="array" ref="G103">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03" s="28">
        <f t="shared" si="0"/>
        <v>0</v>
      </c>
      <c r="I103" s="28">
        <f t="shared" si="1"/>
        <v>0</v>
      </c>
      <c r="J103" s="28" cm="1">
        <f t="array" ref="J103">Common_InputFunctions.Utility_LookupValueInTableTwoColumns(D103,E103,Table_SourceData_WasteSolid_WasteTreatmentEFs[Treatment type t],Table_SourceData_WasteSolid_WasteTreatmentEFs[Waste type w],Table_SourceData_WasteSolid_WasteTreatmentEFs[EFwt])</f>
        <v>0.11</v>
      </c>
      <c r="K103" s="28">
        <f>(I103 * J103)</f>
        <v>0</v>
      </c>
    </row>
    <row r="104" spans="1:11" ht="20.100000000000001" customHeight="1" x14ac:dyDescent="0.25">
      <c r="D104" s="49" t="str">
        <v>Incineration</v>
      </c>
      <c r="E104" s="51" t="str">
        <v>Municipal Solid Waste</v>
      </c>
      <c r="F104" s="73"/>
      <c r="G104" s="28" cm="1">
        <f t="array" ref="G104">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0</v>
      </c>
      <c r="H104" s="28">
        <f t="shared" si="0"/>
        <v>0</v>
      </c>
      <c r="I104" s="28">
        <f t="shared" si="1"/>
        <v>0</v>
      </c>
      <c r="J104" s="28" cm="1">
        <f t="array" ref="J104">Common_InputFunctions.Utility_LookupValueInTableTwoColumns(D104,E104,Table_SourceData_WasteSolid_WasteTreatmentEFs[Treatment type t],Table_SourceData_WasteSolid_WasteTreatmentEFs[Waste type w],Table_SourceData_WasteSolid_WasteTreatmentEFs[EFwt])</f>
        <v>5.3699999999999998E-2</v>
      </c>
      <c r="K104" s="28">
        <f>(I104 * J104)</f>
        <v>0</v>
      </c>
    </row>
    <row r="105" spans="1:11" ht="20.100000000000001" customHeight="1" x14ac:dyDescent="0.25">
      <c r="D105" s="49" t="str">
        <v>Incineration</v>
      </c>
      <c r="E105" s="51" t="str">
        <v>Industrial Waste</v>
      </c>
      <c r="F105" s="73"/>
      <c r="G105" s="28" cm="1">
        <f t="array" ref="G105">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05" s="28">
        <f t="shared" si="0"/>
        <v>0</v>
      </c>
      <c r="I105" s="28">
        <f t="shared" si="1"/>
        <v>0</v>
      </c>
      <c r="J105" s="28" cm="1">
        <f t="array" ref="J105">Common_InputFunctions.Utility_LookupValueInTableTwoColumns(D105,E105,Table_SourceData_WasteSolid_WasteTreatmentEFs[Treatment type t],Table_SourceData_WasteSolid_WasteTreatmentEFs[Waste type w],Table_SourceData_WasteSolid_WasteTreatmentEFs[EFwt])</f>
        <v>1.649</v>
      </c>
      <c r="K105" s="28">
        <f>(I105 * J105)</f>
        <v>0</v>
      </c>
    </row>
    <row r="106" spans="1:11" ht="20.100000000000001" customHeight="1" x14ac:dyDescent="0.25">
      <c r="D106" s="49" t="str">
        <v>Composting</v>
      </c>
      <c r="E106" s="51" t="str">
        <v>All organic waste</v>
      </c>
      <c r="F106" s="73"/>
      <c r="G106" s="28" cm="1">
        <f t="array" ref="G106">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06" s="28">
        <f t="shared" si="0"/>
        <v>0</v>
      </c>
      <c r="I106" s="28">
        <f t="shared" si="1"/>
        <v>0</v>
      </c>
      <c r="J106" s="28" cm="1">
        <f t="array" ref="J106">Common_InputFunctions.Utility_LookupValueInTableTwoColumns(D106,E106,Table_SourceData_WasteSolid_WasteTreatmentEFs[Treatment type t],Table_SourceData_WasteSolid_WasteTreatmentEFs[Waste type w],Table_SourceData_WasteSolid_WasteTreatmentEFs[EFwt])</f>
        <v>4.5999999999999999E-2</v>
      </c>
      <c r="K106" s="28">
        <f>(I106 * J106)</f>
        <v>0</v>
      </c>
    </row>
    <row r="107" spans="1:11" ht="20.100000000000001" customHeight="1" x14ac:dyDescent="0.25">
      <c r="D107" s="49" t="str">
        <v>Anaerobic digestion</v>
      </c>
      <c r="E107" s="51" t="str">
        <v>All organic waste</v>
      </c>
      <c r="F107" s="73"/>
      <c r="G107" s="28" cm="1">
        <f t="array" ref="G107">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07" s="28">
        <f t="shared" si="0"/>
        <v>0</v>
      </c>
      <c r="I107" s="28">
        <f t="shared" si="1"/>
        <v>0</v>
      </c>
      <c r="J107" s="28" cm="1">
        <f t="array" ref="J107">Common_InputFunctions.Utility_LookupValueInTableTwoColumns(D107,E107,Table_SourceData_WasteSolid_WasteTreatmentEFs[Treatment type t],Table_SourceData_WasteSolid_WasteTreatmentEFs[Waste type w],Table_SourceData_WasteSolid_WasteTreatmentEFs[EFwt])</f>
        <v>2.8000000000000001E-2</v>
      </c>
      <c r="K107" s="28">
        <f>(I107 * J107)</f>
        <v>0</v>
      </c>
    </row>
    <row r="108" spans="1:11" ht="20.100000000000001" customHeight="1" x14ac:dyDescent="0.25"/>
    <row r="109" spans="1:11" ht="20.100000000000001" customHeight="1" x14ac:dyDescent="0.25">
      <c r="A109" s="52" t="str">
        <f>HYPERLINK("#A1", "▲ Back to top")</f>
        <v>▲ Back to top</v>
      </c>
      <c r="D109" s="62" t="s">
        <v>122</v>
      </c>
      <c r="E109" s="64">
        <f>SUM(K88:K107)</f>
        <v>210.92105000000001</v>
      </c>
      <c r="F109" s="69" t="str">
        <f>$E$75</f>
        <v>t CO2e</v>
      </c>
    </row>
    <row r="110" spans="1:11" ht="20.100000000000001" customHeight="1" x14ac:dyDescent="0.25"/>
    <row r="111" spans="1:11" ht="20.100000000000001" customHeight="1" x14ac:dyDescent="0.25"/>
    <row r="112" spans="1:11" ht="20.100000000000001" customHeight="1" x14ac:dyDescent="0.25">
      <c r="D112" s="70" t="s">
        <v>130</v>
      </c>
    </row>
    <row r="113" spans="4:11" ht="20.100000000000001" customHeight="1" x14ac:dyDescent="0.25">
      <c r="D113" s="71" t="s">
        <v>131</v>
      </c>
    </row>
    <row r="114" spans="4:11" ht="20.100000000000001" customHeight="1" x14ac:dyDescent="0.25">
      <c r="D114" s="67" t="s">
        <v>93</v>
      </c>
      <c r="E114" s="67" t="s">
        <v>94</v>
      </c>
      <c r="F114" s="67"/>
      <c r="G114" s="67" t="s">
        <v>126</v>
      </c>
      <c r="H114" s="72" t="s">
        <v>127</v>
      </c>
      <c r="I114" s="72" t="s">
        <v>96</v>
      </c>
      <c r="J114" s="72" t="s">
        <v>120</v>
      </c>
      <c r="K114" s="72" t="s">
        <v>121</v>
      </c>
    </row>
    <row r="115" spans="4:11" ht="20.100000000000001" customHeight="1" x14ac:dyDescent="0.25">
      <c r="D115" s="49" t="str" cm="1">
        <f t="array" ref="D115:D134">Table_SourceData_WasteSolid_WasteTreatmentEFs[Treatment type t]</f>
        <v>Landfill</v>
      </c>
      <c r="E115" s="51" t="str" cm="1">
        <f t="array" ref="E115:E134">Table_SourceData_WasteSolid_WasteTreatmentEFs[Waste type w]</f>
        <v>Food waste (including animal carcasses, spoiled animal feed or crop)</v>
      </c>
      <c r="F115" s="73"/>
      <c r="G115" s="28" cm="1">
        <f t="array" ref="G115">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15" s="28">
        <f t="shared" ref="H115:H134" si="2">I45</f>
        <v>25</v>
      </c>
      <c r="I115" s="28">
        <f>G115+H115</f>
        <v>75</v>
      </c>
      <c r="J115" s="28" cm="1">
        <f t="array" ref="J115">Common_InputFunctions.Utility_LookupValueInTableTwoColumns(D115,E115,Table_SourceData_WasteSolid_WasteTreatmentEFs[Treatment type t],Table_SourceData_WasteSolid_WasteTreatmentEFs[Waste type w],Table_SourceData_WasteSolid_WasteTreatmentEFs[EFwt])</f>
        <v>2.1</v>
      </c>
      <c r="K115" s="28">
        <f>(I115 * J115)</f>
        <v>157.5</v>
      </c>
    </row>
    <row r="116" spans="4:11" ht="20.100000000000001" customHeight="1" x14ac:dyDescent="0.25">
      <c r="D116" s="49" t="str">
        <v>Landfill</v>
      </c>
      <c r="E116" s="51" t="str">
        <v>Paper and cardboard</v>
      </c>
      <c r="F116" s="73"/>
      <c r="G116" s="28"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0</v>
      </c>
      <c r="H116" s="28">
        <f t="shared" si="2"/>
        <v>0</v>
      </c>
      <c r="I116" s="28">
        <f t="shared" ref="I116:I134" si="3">G116+H116</f>
        <v>0</v>
      </c>
      <c r="J116" s="28" cm="1">
        <f t="array" ref="J116">Common_InputFunctions.Utility_LookupValueInTableTwoColumns(D116,E116,Table_SourceData_WasteSolid_WasteTreatmentEFs[Treatment type t],Table_SourceData_WasteSolid_WasteTreatmentEFs[Waste type w],Table_SourceData_WasteSolid_WasteTreatmentEFs[EFwt])</f>
        <v>3.3</v>
      </c>
      <c r="K116" s="28">
        <f>(I116 * J116)</f>
        <v>0</v>
      </c>
    </row>
    <row r="117" spans="4:11" ht="20.100000000000001" customHeight="1" x14ac:dyDescent="0.25">
      <c r="D117" s="49" t="str">
        <v>Landfill</v>
      </c>
      <c r="E117" s="51" t="str">
        <v>Green waste (including crop residues or prunnings)</v>
      </c>
      <c r="F117" s="73"/>
      <c r="G117" s="28"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0</v>
      </c>
      <c r="H117" s="28">
        <f t="shared" si="2"/>
        <v>0</v>
      </c>
      <c r="I117" s="28">
        <f t="shared" si="3"/>
        <v>0</v>
      </c>
      <c r="J117" s="28" cm="1">
        <f t="array" ref="J117">Common_InputFunctions.Utility_LookupValueInTableTwoColumns(D117,E117,Table_SourceData_WasteSolid_WasteTreatmentEFs[Treatment type t],Table_SourceData_WasteSolid_WasteTreatmentEFs[Waste type w],Table_SourceData_WasteSolid_WasteTreatmentEFs[EFwt])</f>
        <v>1.6</v>
      </c>
      <c r="K117" s="28">
        <f>(I117 * J117)</f>
        <v>0</v>
      </c>
    </row>
    <row r="118" spans="4:11" ht="20.100000000000001" customHeight="1" x14ac:dyDescent="0.25">
      <c r="D118" s="49" t="str">
        <v>Landfill</v>
      </c>
      <c r="E118" s="51" t="str">
        <v>Wood</v>
      </c>
      <c r="F118" s="73"/>
      <c r="G118" s="28"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18" s="28">
        <f t="shared" si="2"/>
        <v>0</v>
      </c>
      <c r="I118" s="28">
        <f t="shared" si="3"/>
        <v>0</v>
      </c>
      <c r="J118" s="28" cm="1">
        <f t="array" ref="J118">Common_InputFunctions.Utility_LookupValueInTableTwoColumns(D118,E118,Table_SourceData_WasteSolid_WasteTreatmentEFs[Treatment type t],Table_SourceData_WasteSolid_WasteTreatmentEFs[Waste type w],Table_SourceData_WasteSolid_WasteTreatmentEFs[EFwt])</f>
        <v>0.7</v>
      </c>
      <c r="K118" s="28">
        <f>(I118 * J118)</f>
        <v>0</v>
      </c>
    </row>
    <row r="119" spans="4:11" ht="20.100000000000001" customHeight="1" x14ac:dyDescent="0.25">
      <c r="D119" s="49" t="str">
        <v>Landfill</v>
      </c>
      <c r="E119" s="51" t="str">
        <v>Textiles</v>
      </c>
      <c r="F119" s="73"/>
      <c r="G119" s="28"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19" s="28">
        <f t="shared" si="2"/>
        <v>0</v>
      </c>
      <c r="I119" s="28">
        <f t="shared" si="3"/>
        <v>0</v>
      </c>
      <c r="J119" s="28" cm="1">
        <f t="array" ref="J119">Common_InputFunctions.Utility_LookupValueInTableTwoColumns(D119,E119,Table_SourceData_WasteSolid_WasteTreatmentEFs[Treatment type t],Table_SourceData_WasteSolid_WasteTreatmentEFs[Waste type w],Table_SourceData_WasteSolid_WasteTreatmentEFs[EFwt])</f>
        <v>2</v>
      </c>
      <c r="K119" s="28">
        <f>(I119 * J119)</f>
        <v>0</v>
      </c>
    </row>
    <row r="120" spans="4:11" ht="20.100000000000001" customHeight="1" x14ac:dyDescent="0.25">
      <c r="D120" s="49" t="str">
        <v>Landfill</v>
      </c>
      <c r="E120" s="51" t="str">
        <v>Sludge</v>
      </c>
      <c r="F120" s="73"/>
      <c r="G120" s="28"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20" s="28">
        <f t="shared" si="2"/>
        <v>0</v>
      </c>
      <c r="I120" s="28">
        <f t="shared" si="3"/>
        <v>0</v>
      </c>
      <c r="J120" s="28" cm="1">
        <f t="array" ref="J120">Common_InputFunctions.Utility_LookupValueInTableTwoColumns(D120,E120,Table_SourceData_WasteSolid_WasteTreatmentEFs[Treatment type t],Table_SourceData_WasteSolid_WasteTreatmentEFs[Waste type w],Table_SourceData_WasteSolid_WasteTreatmentEFs[EFwt])</f>
        <v>0.4</v>
      </c>
      <c r="K120" s="28">
        <f>(I120 * J120)</f>
        <v>0</v>
      </c>
    </row>
    <row r="121" spans="4:11" ht="20.100000000000001" customHeight="1" x14ac:dyDescent="0.25">
      <c r="D121" s="49" t="str">
        <v>Landfill</v>
      </c>
      <c r="E121" s="51" t="str">
        <v>Rubber and leather</v>
      </c>
      <c r="F121" s="73"/>
      <c r="G121" s="28"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21" s="28">
        <f t="shared" si="2"/>
        <v>0</v>
      </c>
      <c r="I121" s="28">
        <f t="shared" si="3"/>
        <v>0</v>
      </c>
      <c r="J121" s="28" cm="1">
        <f t="array" ref="J121">Common_InputFunctions.Utility_LookupValueInTableTwoColumns(D121,E121,Table_SourceData_WasteSolid_WasteTreatmentEFs[Treatment type t],Table_SourceData_WasteSolid_WasteTreatmentEFs[Waste type w],Table_SourceData_WasteSolid_WasteTreatmentEFs[EFwt])</f>
        <v>3.3</v>
      </c>
      <c r="K121" s="28">
        <f>(I121 * J121)</f>
        <v>0</v>
      </c>
    </row>
    <row r="122" spans="4:11" ht="20.100000000000001" customHeight="1" x14ac:dyDescent="0.25">
      <c r="D122" s="49" t="str">
        <v>Landfill</v>
      </c>
      <c r="E122" s="51" t="str">
        <v>Inert waste (including concrete, metal, plastic or glass)</v>
      </c>
      <c r="F122" s="73"/>
      <c r="G122" s="28"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22" s="28">
        <f t="shared" si="2"/>
        <v>0</v>
      </c>
      <c r="I122" s="28">
        <f t="shared" si="3"/>
        <v>0</v>
      </c>
      <c r="J122" s="28" cm="1">
        <f t="array" ref="J122">Common_InputFunctions.Utility_LookupValueInTableTwoColumns(D122,E122,Table_SourceData_WasteSolid_WasteTreatmentEFs[Treatment type t],Table_SourceData_WasteSolid_WasteTreatmentEFs[Waste type w],Table_SourceData_WasteSolid_WasteTreatmentEFs[EFwt])</f>
        <v>0</v>
      </c>
      <c r="K122" s="28">
        <f>(I122 * J122)</f>
        <v>0</v>
      </c>
    </row>
    <row r="123" spans="4:11" ht="20.100000000000001" customHeight="1" x14ac:dyDescent="0.25">
      <c r="D123" s="49" t="str">
        <v>Landfill</v>
      </c>
      <c r="E123" s="51" t="str">
        <v>Municipal solid waste</v>
      </c>
      <c r="F123" s="73"/>
      <c r="G123" s="28"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23" s="28">
        <f t="shared" si="2"/>
        <v>0</v>
      </c>
      <c r="I123" s="28">
        <f t="shared" si="3"/>
        <v>0</v>
      </c>
      <c r="J123" s="28" cm="1">
        <f t="array" ref="J123">Common_InputFunctions.Utility_LookupValueInTableTwoColumns(D123,E123,Table_SourceData_WasteSolid_WasteTreatmentEFs[Treatment type t],Table_SourceData_WasteSolid_WasteTreatmentEFs[Waste type w],Table_SourceData_WasteSolid_WasteTreatmentEFs[EFwt])</f>
        <v>1.6</v>
      </c>
      <c r="K123" s="28">
        <f>(I123 * J123)</f>
        <v>0</v>
      </c>
    </row>
    <row r="124" spans="4:11" ht="20.100000000000001" customHeight="1" x14ac:dyDescent="0.25">
      <c r="D124" s="49" t="str">
        <v>Landfill</v>
      </c>
      <c r="E124" s="51" t="str">
        <v>Commercial and industrial waste</v>
      </c>
      <c r="F124" s="73"/>
      <c r="G124" s="28"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24" s="28">
        <f t="shared" si="2"/>
        <v>0</v>
      </c>
      <c r="I124" s="28">
        <f t="shared" si="3"/>
        <v>0</v>
      </c>
      <c r="J124" s="28" cm="1">
        <f t="array" ref="J124">Common_InputFunctions.Utility_LookupValueInTableTwoColumns(D124,E124,Table_SourceData_WasteSolid_WasteTreatmentEFs[Treatment type t],Table_SourceData_WasteSolid_WasteTreatmentEFs[Waste type w],Table_SourceData_WasteSolid_WasteTreatmentEFs[EFwt])</f>
        <v>1.3</v>
      </c>
      <c r="K124" s="28">
        <f>(I124 * J124)</f>
        <v>0</v>
      </c>
    </row>
    <row r="125" spans="4:11" ht="20.100000000000001" customHeight="1" x14ac:dyDescent="0.25">
      <c r="D125" s="49" t="str">
        <v>Landfill</v>
      </c>
      <c r="E125" s="51" t="str">
        <v>Construction and demolition waste</v>
      </c>
      <c r="F125" s="73"/>
      <c r="G125" s="28"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25" s="28">
        <f t="shared" si="2"/>
        <v>0</v>
      </c>
      <c r="I125" s="28">
        <f t="shared" si="3"/>
        <v>0</v>
      </c>
      <c r="J125" s="28" cm="1">
        <f t="array" ref="J125">Common_InputFunctions.Utility_LookupValueInTableTwoColumns(D125,E125,Table_SourceData_WasteSolid_WasteTreatmentEFs[Treatment type t],Table_SourceData_WasteSolid_WasteTreatmentEFs[Waste type w],Table_SourceData_WasteSolid_WasteTreatmentEFs[EFwt])</f>
        <v>0.2</v>
      </c>
      <c r="K125" s="28">
        <f>(I125 * J125)</f>
        <v>0</v>
      </c>
    </row>
    <row r="126" spans="4:11" ht="20.100000000000001" customHeight="1" x14ac:dyDescent="0.25">
      <c r="D126" s="49" t="str">
        <v>Incineration</v>
      </c>
      <c r="E126" s="51" t="str">
        <v>Food waste, green waste, wood, sludge</v>
      </c>
      <c r="F126" s="73"/>
      <c r="G126" s="28"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(select)],Table_Input_SolidWaste[Amount],D32,E32, "Removed and treated off-site", "tonnes")</f>
        <v>0</v>
      </c>
      <c r="H126" s="28">
        <f t="shared" si="2"/>
        <v>0</v>
      </c>
      <c r="I126" s="28">
        <f t="shared" si="3"/>
        <v>0</v>
      </c>
      <c r="J126" s="28" cm="1">
        <f t="array" ref="J126">Common_InputFunctions.Utility_LookupValueInTableTwoColumns(D126,E126,Table_SourceData_WasteSolid_WasteTreatmentEFs[Treatment type t],Table_SourceData_WasteSolid_WasteTreatmentEFs[Waste type w],Table_SourceData_WasteSolid_WasteTreatmentEFs[EFwt])</f>
        <v>0</v>
      </c>
      <c r="K126" s="28">
        <f>(I126 * J126)</f>
        <v>0</v>
      </c>
    </row>
    <row r="127" spans="4:11" ht="20.100000000000001" customHeight="1" x14ac:dyDescent="0.25">
      <c r="D127" s="49" t="str">
        <v>Incineration</v>
      </c>
      <c r="E127" s="51" t="str">
        <v>Paper and cardboard</v>
      </c>
      <c r="F127" s="73"/>
      <c r="G127" s="28" cm="1">
        <f t="array" ref="G127">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50</v>
      </c>
      <c r="H127" s="28">
        <f t="shared" si="2"/>
        <v>4.5</v>
      </c>
      <c r="I127" s="28">
        <f t="shared" si="3"/>
        <v>54.5</v>
      </c>
      <c r="J127" s="28" cm="1">
        <f t="array" ref="J127">Common_InputFunctions.Utility_LookupValueInTableTwoColumns(D127,E127,Table_SourceData_WasteSolid_WasteTreatmentEFs[Treatment type t],Table_SourceData_WasteSolid_WasteTreatmentEFs[Waste type w],Table_SourceData_WasteSolid_WasteTreatmentEFs[EFwt])</f>
        <v>1.6899999999999998E-2</v>
      </c>
      <c r="K127" s="28">
        <f>(I127 * J127)</f>
        <v>0.92104999999999992</v>
      </c>
    </row>
    <row r="128" spans="4:11" ht="20.100000000000001" customHeight="1" x14ac:dyDescent="0.25">
      <c r="D128" s="49" t="str">
        <v>Incineration</v>
      </c>
      <c r="E128" s="51" t="str">
        <v>Textiles</v>
      </c>
      <c r="F128" s="73"/>
      <c r="G128" s="28"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0</v>
      </c>
      <c r="H128" s="28">
        <f t="shared" si="2"/>
        <v>0</v>
      </c>
      <c r="I128" s="28">
        <f t="shared" si="3"/>
        <v>0</v>
      </c>
      <c r="J128" s="28" cm="1">
        <f t="array" ref="J128">Common_InputFunctions.Utility_LookupValueInTableTwoColumns(D128,E128,Table_SourceData_WasteSolid_WasteTreatmentEFs[Treatment type t],Table_SourceData_WasteSolid_WasteTreatmentEFs[Waste type w],Table_SourceData_WasteSolid_WasteTreatmentEFs[EFwt])</f>
        <v>0.36670000000000003</v>
      </c>
      <c r="K128" s="28">
        <f>(I128 * J128)</f>
        <v>0</v>
      </c>
    </row>
    <row r="129" spans="1:11" ht="20.100000000000001" customHeight="1" x14ac:dyDescent="0.25">
      <c r="D129" s="49" t="str">
        <v>Incineration</v>
      </c>
      <c r="E129" s="51" t="str">
        <v>Rubber and leather</v>
      </c>
      <c r="F129" s="73"/>
      <c r="G129" s="28"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29" s="28">
        <f t="shared" si="2"/>
        <v>0</v>
      </c>
      <c r="I129" s="28">
        <f t="shared" si="3"/>
        <v>0</v>
      </c>
      <c r="J129" s="28" cm="1">
        <f t="array" ref="J129">Common_InputFunctions.Utility_LookupValueInTableTwoColumns(D129,E129,Table_SourceData_WasteSolid_WasteTreatmentEFs[Treatment type t],Table_SourceData_WasteSolid_WasteTreatmentEFs[Waste type w],Table_SourceData_WasteSolid_WasteTreatmentEFs[EFwt])</f>
        <v>0.4919</v>
      </c>
      <c r="K129" s="28">
        <f>(I129 * J129)</f>
        <v>0</v>
      </c>
    </row>
    <row r="130" spans="1:11" ht="20.100000000000001" customHeight="1" x14ac:dyDescent="0.25">
      <c r="D130" s="49" t="str">
        <v>Incineration</v>
      </c>
      <c r="E130" s="51" t="str">
        <v>Inert Waste</v>
      </c>
      <c r="F130" s="73"/>
      <c r="G130" s="28"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30" s="28">
        <f t="shared" si="2"/>
        <v>0</v>
      </c>
      <c r="I130" s="28">
        <f t="shared" si="3"/>
        <v>0</v>
      </c>
      <c r="J130" s="28" cm="1">
        <f t="array" ref="J130">Common_InputFunctions.Utility_LookupValueInTableTwoColumns(D130,E130,Table_SourceData_WasteSolid_WasteTreatmentEFs[Treatment type t],Table_SourceData_WasteSolid_WasteTreatmentEFs[Waste type w],Table_SourceData_WasteSolid_WasteTreatmentEFs[EFwt])</f>
        <v>0.11</v>
      </c>
      <c r="K130" s="28">
        <f>(I130 * J130)</f>
        <v>0</v>
      </c>
    </row>
    <row r="131" spans="1:11" ht="20.100000000000001" customHeight="1" x14ac:dyDescent="0.25">
      <c r="D131" s="49" t="str">
        <v>Incineration</v>
      </c>
      <c r="E131" s="51" t="str">
        <v>Municipal Solid Waste</v>
      </c>
      <c r="F131" s="73"/>
      <c r="G131" s="28"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31" s="28">
        <f t="shared" si="2"/>
        <v>0</v>
      </c>
      <c r="I131" s="28">
        <f t="shared" si="3"/>
        <v>0</v>
      </c>
      <c r="J131" s="28" cm="1">
        <f t="array" ref="J131">Common_InputFunctions.Utility_LookupValueInTableTwoColumns(D131,E131,Table_SourceData_WasteSolid_WasteTreatmentEFs[Treatment type t],Table_SourceData_WasteSolid_WasteTreatmentEFs[Waste type w],Table_SourceData_WasteSolid_WasteTreatmentEFs[EFwt])</f>
        <v>5.3699999999999998E-2</v>
      </c>
      <c r="K131" s="28">
        <f>(I131 * J131)</f>
        <v>0</v>
      </c>
    </row>
    <row r="132" spans="1:11" ht="20.100000000000001" customHeight="1" x14ac:dyDescent="0.25">
      <c r="D132" s="49" t="str">
        <v>Incineration</v>
      </c>
      <c r="E132" s="51" t="str">
        <v>Industrial Waste</v>
      </c>
      <c r="F132" s="73"/>
      <c r="G132" s="28"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32" s="28">
        <f t="shared" si="2"/>
        <v>0</v>
      </c>
      <c r="I132" s="28">
        <f t="shared" si="3"/>
        <v>0</v>
      </c>
      <c r="J132" s="28" cm="1">
        <f t="array" ref="J132">Common_InputFunctions.Utility_LookupValueInTableTwoColumns(D132,E132,Table_SourceData_WasteSolid_WasteTreatmentEFs[Treatment type t],Table_SourceData_WasteSolid_WasteTreatmentEFs[Waste type w],Table_SourceData_WasteSolid_WasteTreatmentEFs[EFwt])</f>
        <v>1.649</v>
      </c>
      <c r="K132" s="28">
        <f>(I132 * J132)</f>
        <v>0</v>
      </c>
    </row>
    <row r="133" spans="1:11" ht="20.100000000000001" customHeight="1" x14ac:dyDescent="0.25">
      <c r="D133" s="49" t="str">
        <v>Composting</v>
      </c>
      <c r="E133" s="51" t="str">
        <v>All organic waste</v>
      </c>
      <c r="F133" s="73"/>
      <c r="G133" s="28"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33" s="28">
        <f t="shared" si="2"/>
        <v>0</v>
      </c>
      <c r="I133" s="28">
        <f t="shared" si="3"/>
        <v>0</v>
      </c>
      <c r="J133" s="28" cm="1">
        <f t="array" ref="J133">Common_InputFunctions.Utility_LookupValueInTableTwoColumns(D133,E133,Table_SourceData_WasteSolid_WasteTreatmentEFs[Treatment type t],Table_SourceData_WasteSolid_WasteTreatmentEFs[Waste type w],Table_SourceData_WasteSolid_WasteTreatmentEFs[EFwt])</f>
        <v>4.5999999999999999E-2</v>
      </c>
      <c r="K133" s="28">
        <f>(I133 * J133)</f>
        <v>0</v>
      </c>
    </row>
    <row r="134" spans="1:11" ht="20.100000000000001" customHeight="1" x14ac:dyDescent="0.25">
      <c r="D134" s="49" t="str">
        <v>Anaerobic digestion</v>
      </c>
      <c r="E134" s="51" t="str">
        <v>All organic waste</v>
      </c>
      <c r="F134" s="73"/>
      <c r="G134" s="28"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34" s="28">
        <f t="shared" si="2"/>
        <v>0</v>
      </c>
      <c r="I134" s="28">
        <f t="shared" si="3"/>
        <v>0</v>
      </c>
      <c r="J134" s="28" cm="1">
        <f t="array" ref="J134">Common_InputFunctions.Utility_LookupValueInTableTwoColumns(D134,E134,Table_SourceData_WasteSolid_WasteTreatmentEFs[Treatment type t],Table_SourceData_WasteSolid_WasteTreatmentEFs[Waste type w],Table_SourceData_WasteSolid_WasteTreatmentEFs[EFwt])</f>
        <v>2.8000000000000001E-2</v>
      </c>
      <c r="K134" s="28">
        <f>(I134 * J134)</f>
        <v>0</v>
      </c>
    </row>
    <row r="135" spans="1:11" ht="20.100000000000001" customHeight="1" x14ac:dyDescent="0.25"/>
    <row r="136" spans="1:11" ht="20.100000000000001" customHeight="1" x14ac:dyDescent="0.25">
      <c r="A136" s="52" t="str">
        <f>HYPERLINK("#A1", "▲ Back to top")</f>
        <v>▲ Back to top</v>
      </c>
      <c r="D136" s="62" t="s">
        <v>122</v>
      </c>
      <c r="E136" s="64">
        <f>SUM(K115:K134)</f>
        <v>158.42105000000001</v>
      </c>
      <c r="F136" s="69" t="str">
        <f>$E$75</f>
        <v>t CO2e</v>
      </c>
    </row>
    <row r="137" spans="1:11" ht="20.100000000000001" customHeight="1" x14ac:dyDescent="0.25"/>
    <row r="138" spans="1:11" ht="20.100000000000001" customHeight="1" x14ac:dyDescent="0.25"/>
    <row r="139" spans="1:11" ht="20.100000000000001" customHeight="1" x14ac:dyDescent="0.25"/>
    <row r="140" spans="1:11" ht="20.100000000000001" customHeight="1" x14ac:dyDescent="0.25"/>
    <row r="141" spans="1:11" ht="20.100000000000001" customHeight="1" x14ac:dyDescent="0.25"/>
    <row r="142" spans="1:11" ht="20.100000000000001" customHeight="1" x14ac:dyDescent="0.25"/>
    <row r="143" spans="1:11" ht="20.100000000000001" customHeight="1" x14ac:dyDescent="0.25"/>
    <row r="144" spans="1: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zoomScaleNormal="100" workbookViewId="0">
      <selection activeCell="G60" sqref="G60"/>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87</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
        <v>169</v>
      </c>
    </row>
    <row r="6" spans="1:35" ht="20.100000000000001" customHeight="1" x14ac:dyDescent="0.25">
      <c r="A6" s="12"/>
      <c r="D6" s="4" t="s">
        <v>170</v>
      </c>
      <c r="E6" s="31" t="s">
        <v>168</v>
      </c>
    </row>
    <row r="7" spans="1:35" ht="20.100000000000001" customHeight="1" x14ac:dyDescent="0.25">
      <c r="A7" s="16" t="s">
        <v>1</v>
      </c>
      <c r="D7" s="1" t="s">
        <v>90</v>
      </c>
    </row>
    <row r="8" spans="1:35" ht="20.100000000000001" customHeight="1" x14ac:dyDescent="0.25">
      <c r="A8" s="13" t="str">
        <f>HYPERLINK("#'Input - Solid waste'!A1", "Solid waste")</f>
        <v>Solid waste</v>
      </c>
      <c r="D8" s="30" t="s">
        <v>171</v>
      </c>
      <c r="I8" s="1" t="s">
        <v>107</v>
      </c>
      <c r="K8" s="1" t="s">
        <v>108</v>
      </c>
      <c r="M8" s="1" t="s">
        <v>109</v>
      </c>
      <c r="O8" s="1" t="s">
        <v>110</v>
      </c>
    </row>
    <row r="9" spans="1:35" ht="20.100000000000001" customHeight="1" x14ac:dyDescent="0.25">
      <c r="A9" s="13"/>
      <c r="D9" s="26" t="s">
        <v>88</v>
      </c>
      <c r="E9" s="26" t="s">
        <v>89</v>
      </c>
      <c r="F9" s="26" t="s">
        <v>90</v>
      </c>
      <c r="G9" s="26" t="s">
        <v>134</v>
      </c>
      <c r="I9" s="26" t="s">
        <v>89</v>
      </c>
      <c r="K9" s="74" t="s">
        <v>89</v>
      </c>
      <c r="M9" s="74" t="s">
        <v>89</v>
      </c>
      <c r="O9" s="74" t="s">
        <v>89</v>
      </c>
    </row>
    <row r="10" spans="1:35" ht="20.100000000000001" customHeight="1" x14ac:dyDescent="0.25">
      <c r="A10" s="15" t="s">
        <v>44</v>
      </c>
      <c r="D10" s="26" t="s">
        <v>106</v>
      </c>
      <c r="E10" s="26" t="s">
        <v>125</v>
      </c>
      <c r="F10" s="26">
        <v>2.1</v>
      </c>
      <c r="G10" s="26" t="s">
        <v>172</v>
      </c>
      <c r="I10" s="26" t="str">
        <f>Table_SourceData_WasteSolid_WasteTreatmentEFs[[#This Row],[Waste type w]]</f>
        <v>Food waste (including animal carcasses, spoiled animal feed or crop)</v>
      </c>
      <c r="K10" s="1" t="str">
        <f t="shared" ref="K10:K16" si="0">E21</f>
        <v>Food waste, green waste, wood, sludge</v>
      </c>
      <c r="M10" s="1" t="str">
        <f>E28</f>
        <v>All organic waste</v>
      </c>
      <c r="O10" s="1" t="str">
        <f>E29</f>
        <v>All organic waste</v>
      </c>
    </row>
    <row r="11" spans="1:35" ht="20.100000000000001" customHeight="1" x14ac:dyDescent="0.25">
      <c r="A11" s="13" t="str">
        <f>HYPERLINK("#'10.1.1-2 Solid waste treatment'!A1", "10.1.1-2 Solid waste treatment")</f>
        <v>10.1.1-2 Solid waste treatment</v>
      </c>
      <c r="D11" s="1" t="s">
        <v>106</v>
      </c>
      <c r="E11" s="26" t="s">
        <v>117</v>
      </c>
      <c r="F11" s="26">
        <v>3.3</v>
      </c>
      <c r="G11" s="26" t="s">
        <v>172</v>
      </c>
      <c r="I11" s="26" t="str">
        <f>Table_SourceData_WasteSolid_WasteTreatmentEFs[[#This Row],[Waste type w]]</f>
        <v>Paper and cardboard</v>
      </c>
      <c r="K11" s="1" t="str">
        <f t="shared" si="0"/>
        <v>Paper and cardboard</v>
      </c>
    </row>
    <row r="12" spans="1:35" ht="20.100000000000001" customHeight="1" x14ac:dyDescent="0.25">
      <c r="A12" s="13"/>
      <c r="D12" s="1" t="s">
        <v>106</v>
      </c>
      <c r="E12" s="26" t="s">
        <v>173</v>
      </c>
      <c r="F12" s="26">
        <v>1.6</v>
      </c>
      <c r="G12" s="26" t="s">
        <v>172</v>
      </c>
      <c r="I12" s="26" t="str">
        <f>Table_SourceData_WasteSolid_WasteTreatmentEFs[[#This Row],[Waste type w]]</f>
        <v>Green waste (including crop residues or prunnings)</v>
      </c>
      <c r="K12" s="1" t="str">
        <f t="shared" si="0"/>
        <v>Textiles</v>
      </c>
    </row>
    <row r="13" spans="1:35" ht="20.100000000000001" customHeight="1" x14ac:dyDescent="0.25">
      <c r="A13" s="14" t="s">
        <v>2</v>
      </c>
      <c r="D13" s="1" t="s">
        <v>106</v>
      </c>
      <c r="E13" s="26" t="s">
        <v>174</v>
      </c>
      <c r="F13" s="26">
        <v>0.7</v>
      </c>
      <c r="G13" s="26" t="s">
        <v>172</v>
      </c>
      <c r="I13" s="26" t="str">
        <f>Table_SourceData_WasteSolid_WasteTreatmentEFs[[#This Row],[Waste type w]]</f>
        <v>Wood</v>
      </c>
      <c r="K13" s="1" t="str">
        <f t="shared" si="0"/>
        <v>Rubber and leather</v>
      </c>
    </row>
    <row r="14" spans="1:35" ht="20.100000000000001" customHeight="1" x14ac:dyDescent="0.25">
      <c r="A14" s="59" t="str">
        <f>HYPERLINK("#'Constants - Solid waste'!A1", "Constants - Solid waste")</f>
        <v>Constants - Solid waste</v>
      </c>
      <c r="D14" s="1" t="s">
        <v>106</v>
      </c>
      <c r="E14" s="26" t="s">
        <v>175</v>
      </c>
      <c r="F14" s="26">
        <v>2</v>
      </c>
      <c r="G14" s="26" t="s">
        <v>172</v>
      </c>
      <c r="I14" s="26" t="str">
        <f>Table_SourceData_WasteSolid_WasteTreatmentEFs[[#This Row],[Waste type w]]</f>
        <v>Textiles</v>
      </c>
      <c r="K14" s="1" t="str">
        <f t="shared" si="0"/>
        <v>Inert Waste</v>
      </c>
    </row>
    <row r="15" spans="1:35" ht="20.100000000000001" customHeight="1" x14ac:dyDescent="0.25">
      <c r="A15" s="13" t="str">
        <f>HYPERLINK("#'Constants - Common'!A1", "Constants - Common")</f>
        <v>Constants - Common</v>
      </c>
      <c r="D15" s="1" t="s">
        <v>106</v>
      </c>
      <c r="E15" s="26" t="s">
        <v>176</v>
      </c>
      <c r="F15" s="26">
        <v>0.4</v>
      </c>
      <c r="G15" s="26" t="s">
        <v>172</v>
      </c>
      <c r="I15" s="26" t="str">
        <f>Table_SourceData_WasteSolid_WasteTreatmentEFs[[#This Row],[Waste type w]]</f>
        <v>Sludge</v>
      </c>
      <c r="K15" s="1" t="str">
        <f t="shared" si="0"/>
        <v>Municipal Solid Waste</v>
      </c>
    </row>
    <row r="16" spans="1:35" ht="20.100000000000001" customHeight="1" x14ac:dyDescent="0.25">
      <c r="D16" s="1" t="s">
        <v>106</v>
      </c>
      <c r="E16" s="26" t="s">
        <v>177</v>
      </c>
      <c r="F16" s="26">
        <v>3.3</v>
      </c>
      <c r="G16" s="26" t="s">
        <v>172</v>
      </c>
      <c r="I16" s="26" t="str">
        <f>Table_SourceData_WasteSolid_WasteTreatmentEFs[[#This Row],[Waste type w]]</f>
        <v>Rubber and leather</v>
      </c>
      <c r="K16" s="1" t="str">
        <f t="shared" si="0"/>
        <v>Industrial Waste</v>
      </c>
    </row>
    <row r="17" spans="1:9" ht="20.100000000000001" customHeight="1" x14ac:dyDescent="0.25">
      <c r="D17" s="1" t="s">
        <v>106</v>
      </c>
      <c r="E17" s="26" t="s">
        <v>178</v>
      </c>
      <c r="F17" s="26">
        <v>0</v>
      </c>
      <c r="G17" s="26" t="s">
        <v>172</v>
      </c>
      <c r="I17" s="26" t="str">
        <f>Table_SourceData_WasteSolid_WasteTreatmentEFs[[#This Row],[Waste type w]]</f>
        <v>Inert waste (including concrete, metal, plastic or glass)</v>
      </c>
    </row>
    <row r="18" spans="1:9" ht="20.100000000000001" customHeight="1" x14ac:dyDescent="0.25">
      <c r="D18" s="1" t="s">
        <v>106</v>
      </c>
      <c r="E18" s="26" t="s">
        <v>179</v>
      </c>
      <c r="F18" s="26">
        <v>1.6</v>
      </c>
      <c r="G18" s="26" t="s">
        <v>172</v>
      </c>
      <c r="I18" s="26" t="str">
        <f>Table_SourceData_WasteSolid_WasteTreatmentEFs[[#This Row],[Waste type w]]</f>
        <v>Municipal solid waste</v>
      </c>
    </row>
    <row r="19" spans="1:9" ht="20.100000000000001" customHeight="1" x14ac:dyDescent="0.25">
      <c r="D19" s="1" t="s">
        <v>106</v>
      </c>
      <c r="E19" s="26" t="s">
        <v>180</v>
      </c>
      <c r="F19" s="26">
        <v>1.3</v>
      </c>
      <c r="G19" s="26" t="s">
        <v>172</v>
      </c>
      <c r="I19" s="26" t="str">
        <f>Table_SourceData_WasteSolid_WasteTreatmentEFs[[#This Row],[Waste type w]]</f>
        <v>Commercial and industrial waste</v>
      </c>
    </row>
    <row r="20" spans="1:9" ht="20.100000000000001" customHeight="1" x14ac:dyDescent="0.25">
      <c r="A20" s="13"/>
      <c r="D20" s="1" t="s">
        <v>106</v>
      </c>
      <c r="E20" s="26" t="s">
        <v>181</v>
      </c>
      <c r="F20" s="26">
        <v>0.2</v>
      </c>
      <c r="G20" s="26" t="s">
        <v>172</v>
      </c>
      <c r="I20" s="26" t="str">
        <f>Table_SourceData_WasteSolid_WasteTreatmentEFs[[#This Row],[Waste type w]]</f>
        <v>Construction and demolition waste</v>
      </c>
    </row>
    <row r="21" spans="1:9" ht="20.100000000000001" customHeight="1" x14ac:dyDescent="0.25">
      <c r="A21" s="13"/>
      <c r="D21" s="1" t="s">
        <v>116</v>
      </c>
      <c r="E21" s="26" t="s">
        <v>182</v>
      </c>
      <c r="F21" s="26">
        <v>0</v>
      </c>
      <c r="G21" s="26"/>
    </row>
    <row r="22" spans="1:9" ht="20.100000000000001" customHeight="1" x14ac:dyDescent="0.25">
      <c r="D22" s="1" t="s">
        <v>116</v>
      </c>
      <c r="E22" s="26" t="s">
        <v>117</v>
      </c>
      <c r="F22" s="26">
        <v>1.6899999999999998E-2</v>
      </c>
      <c r="G22" s="26"/>
    </row>
    <row r="23" spans="1:9" ht="20.100000000000001" customHeight="1" x14ac:dyDescent="0.25">
      <c r="A23" s="13"/>
      <c r="D23" s="1" t="s">
        <v>116</v>
      </c>
      <c r="E23" s="26" t="s">
        <v>175</v>
      </c>
      <c r="F23" s="26">
        <v>0.36670000000000003</v>
      </c>
      <c r="G23" s="26"/>
    </row>
    <row r="24" spans="1:9" ht="20.100000000000001" customHeight="1" x14ac:dyDescent="0.25">
      <c r="D24" s="1" t="s">
        <v>116</v>
      </c>
      <c r="E24" s="26" t="s">
        <v>177</v>
      </c>
      <c r="F24" s="26">
        <v>0.4919</v>
      </c>
      <c r="G24" s="26"/>
    </row>
    <row r="25" spans="1:9" ht="20.100000000000001" customHeight="1" x14ac:dyDescent="0.25">
      <c r="D25" s="1" t="s">
        <v>116</v>
      </c>
      <c r="E25" s="26" t="s">
        <v>183</v>
      </c>
      <c r="F25" s="26">
        <v>0.11</v>
      </c>
      <c r="G25" s="26"/>
    </row>
    <row r="26" spans="1:9" ht="20.100000000000001" customHeight="1" x14ac:dyDescent="0.25">
      <c r="D26" s="1" t="s">
        <v>116</v>
      </c>
      <c r="E26" s="26" t="s">
        <v>184</v>
      </c>
      <c r="F26" s="26">
        <v>5.3699999999999998E-2</v>
      </c>
      <c r="G26" s="26" t="s">
        <v>185</v>
      </c>
    </row>
    <row r="27" spans="1:9" ht="20.100000000000001" customHeight="1" x14ac:dyDescent="0.25">
      <c r="D27" s="1" t="s">
        <v>116</v>
      </c>
      <c r="E27" s="26" t="s">
        <v>186</v>
      </c>
      <c r="F27" s="26">
        <v>1.649</v>
      </c>
      <c r="G27" s="26" t="s">
        <v>185</v>
      </c>
    </row>
    <row r="28" spans="1:9" ht="20.100000000000001" customHeight="1" x14ac:dyDescent="0.25">
      <c r="D28" s="1" t="s">
        <v>187</v>
      </c>
      <c r="E28" s="26" t="s">
        <v>188</v>
      </c>
      <c r="F28" s="26">
        <v>4.5999999999999999E-2</v>
      </c>
      <c r="G28" s="26" t="s">
        <v>189</v>
      </c>
    </row>
    <row r="29" spans="1:9" ht="20.100000000000001" customHeight="1" x14ac:dyDescent="0.25">
      <c r="D29" s="1" t="s">
        <v>190</v>
      </c>
      <c r="E29" s="26" t="s">
        <v>188</v>
      </c>
      <c r="F29" s="26">
        <v>2.8000000000000001E-2</v>
      </c>
      <c r="G29" s="26" t="s">
        <v>189</v>
      </c>
    </row>
    <row r="30" spans="1:9" ht="20.100000000000001" customHeight="1" x14ac:dyDescent="0.25"/>
    <row r="31" spans="1:9" ht="20.100000000000001" customHeight="1" x14ac:dyDescent="0.25"/>
    <row r="32" spans="1:9" ht="20.100000000000001" customHeight="1" x14ac:dyDescent="0.25">
      <c r="D32" s="5" t="s">
        <v>191</v>
      </c>
    </row>
    <row r="33" spans="4:5" ht="20.100000000000001" customHeight="1" x14ac:dyDescent="0.25">
      <c r="D33" s="4" t="s">
        <v>192</v>
      </c>
    </row>
    <row r="34" spans="4:5" ht="20.100000000000001" customHeight="1" x14ac:dyDescent="0.25">
      <c r="D34" s="31" t="s">
        <v>193</v>
      </c>
    </row>
    <row r="35" spans="4:5" ht="20.100000000000001" customHeight="1" x14ac:dyDescent="0.25">
      <c r="D35" s="1" t="s">
        <v>91</v>
      </c>
    </row>
    <row r="36" spans="4:5" ht="20.100000000000001" customHeight="1" x14ac:dyDescent="0.25">
      <c r="D36" s="30" t="s">
        <v>150</v>
      </c>
    </row>
    <row r="37" spans="4:5" ht="20.100000000000001" customHeight="1" x14ac:dyDescent="0.25">
      <c r="D37" s="26" t="s">
        <v>89</v>
      </c>
      <c r="E37" s="26" t="s">
        <v>91</v>
      </c>
    </row>
    <row r="38" spans="4:5" ht="20.100000000000001" customHeight="1" x14ac:dyDescent="0.25">
      <c r="D38" s="26" t="s">
        <v>125</v>
      </c>
      <c r="E38" s="26">
        <v>0.5</v>
      </c>
    </row>
    <row r="39" spans="4:5" ht="20.100000000000001" customHeight="1" x14ac:dyDescent="0.25">
      <c r="D39" s="1" t="s">
        <v>117</v>
      </c>
      <c r="E39" s="26">
        <v>0.09</v>
      </c>
    </row>
    <row r="40" spans="4:5" ht="20.100000000000001" customHeight="1" x14ac:dyDescent="0.25">
      <c r="D40" s="1" t="s">
        <v>194</v>
      </c>
      <c r="E40" s="26">
        <v>0.24</v>
      </c>
    </row>
    <row r="41" spans="4:5" ht="20.100000000000001" customHeight="1" x14ac:dyDescent="0.25">
      <c r="D41" s="1" t="s">
        <v>174</v>
      </c>
      <c r="E41" s="26">
        <v>0.15</v>
      </c>
    </row>
    <row r="42" spans="4:5" ht="20.100000000000001" customHeight="1" x14ac:dyDescent="0.25">
      <c r="D42" s="1" t="s">
        <v>175</v>
      </c>
      <c r="E42" s="26">
        <v>0.14000000000000001</v>
      </c>
    </row>
    <row r="43" spans="4:5" ht="20.100000000000001" customHeight="1" x14ac:dyDescent="0.25">
      <c r="D43" s="1" t="s">
        <v>176</v>
      </c>
      <c r="E43" s="26">
        <v>0.72</v>
      </c>
    </row>
    <row r="44" spans="4:5" ht="20.100000000000001" customHeight="1" x14ac:dyDescent="0.25">
      <c r="D44" s="1" t="s">
        <v>177</v>
      </c>
      <c r="E44" s="26">
        <v>0.14000000000000001</v>
      </c>
    </row>
    <row r="45" spans="4:5" ht="20.100000000000001" customHeight="1" x14ac:dyDescent="0.25">
      <c r="D45" s="1" t="s">
        <v>178</v>
      </c>
      <c r="E45" s="26">
        <v>0.42</v>
      </c>
    </row>
    <row r="46" spans="4:5" ht="20.100000000000001" customHeight="1" x14ac:dyDescent="0.25">
      <c r="D46" s="1" t="s">
        <v>179</v>
      </c>
      <c r="E46" s="26">
        <v>0.36</v>
      </c>
    </row>
    <row r="47" spans="4:5" ht="20.100000000000001" customHeight="1" x14ac:dyDescent="0.25">
      <c r="D47" s="1" t="s">
        <v>180</v>
      </c>
      <c r="E47" s="26">
        <v>0.33</v>
      </c>
    </row>
    <row r="48" spans="4:5" ht="20.100000000000001" customHeight="1" x14ac:dyDescent="0.25">
      <c r="D48" s="1" t="s">
        <v>181</v>
      </c>
      <c r="E48" s="26">
        <v>0.39</v>
      </c>
    </row>
    <row r="49" spans="1:1" ht="20.100000000000001" customHeight="1" x14ac:dyDescent="0.25">
      <c r="A49" s="52" t="str">
        <f>HYPERLINK("#A1", "▲ Back to top")</f>
        <v>▲ Back to top</v>
      </c>
    </row>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2"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B3525-8353-48E3-B0E3-4A36F8DAEFB6}">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45</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
        <v>195</v>
      </c>
      <c r="BM5" s="2"/>
    </row>
    <row r="6" spans="1:65" ht="20.100000000000001" customHeight="1" x14ac:dyDescent="0.25">
      <c r="A6"/>
      <c r="D6" s="26" t="s">
        <v>6</v>
      </c>
      <c r="E6" s="26" t="s">
        <v>7</v>
      </c>
      <c r="F6" s="26" t="s">
        <v>8</v>
      </c>
    </row>
    <row r="7" spans="1:65" ht="20.100000000000001" customHeight="1" x14ac:dyDescent="0.25">
      <c r="A7"/>
      <c r="D7" s="26" t="s">
        <v>196</v>
      </c>
      <c r="E7" s="26" t="s">
        <v>196</v>
      </c>
      <c r="F7" s="26" t="s">
        <v>197</v>
      </c>
    </row>
    <row r="8" spans="1:65" ht="20.100000000000001" customHeight="1" x14ac:dyDescent="0.25">
      <c r="A8"/>
      <c r="D8" s="26" t="s">
        <v>198</v>
      </c>
      <c r="E8" s="26" t="s">
        <v>199</v>
      </c>
      <c r="F8" s="26" t="s">
        <v>199</v>
      </c>
    </row>
    <row r="9" spans="1:65" ht="20.100000000000001" customHeight="1" x14ac:dyDescent="0.25">
      <c r="A9"/>
      <c r="D9" s="26" t="s">
        <v>200</v>
      </c>
      <c r="E9" s="26" t="s">
        <v>200</v>
      </c>
      <c r="F9" s="26" t="s">
        <v>201</v>
      </c>
    </row>
    <row r="10" spans="1:65" ht="20.100000000000001" customHeight="1" x14ac:dyDescent="0.25">
      <c r="A10"/>
      <c r="D10" s="26" t="s">
        <v>202</v>
      </c>
      <c r="E10" s="26" t="s">
        <v>202</v>
      </c>
      <c r="F10" s="26" t="s">
        <v>203</v>
      </c>
    </row>
    <row r="11" spans="1:65" ht="20.100000000000001" customHeight="1" x14ac:dyDescent="0.25">
      <c r="A11"/>
      <c r="D11" s="26" t="s">
        <v>204</v>
      </c>
      <c r="E11" s="26" t="s">
        <v>204</v>
      </c>
      <c r="F11" s="26" t="s">
        <v>205</v>
      </c>
      <c r="BM11" s="2"/>
    </row>
    <row r="12" spans="1:65" ht="20.100000000000001" customHeight="1" x14ac:dyDescent="0.25">
      <c r="A12"/>
      <c r="D12" s="26" t="s">
        <v>206</v>
      </c>
      <c r="E12" s="26" t="s">
        <v>206</v>
      </c>
      <c r="F12" s="26" t="s">
        <v>207</v>
      </c>
      <c r="BM12" s="2"/>
    </row>
    <row r="13" spans="1:65" ht="20.100000000000001" customHeight="1" x14ac:dyDescent="0.25">
      <c r="A13"/>
      <c r="D13" s="26" t="s">
        <v>208</v>
      </c>
      <c r="E13" s="26" t="s">
        <v>208</v>
      </c>
      <c r="F13" s="26" t="s">
        <v>209</v>
      </c>
    </row>
    <row r="14" spans="1:65" ht="20.100000000000001" customHeight="1" x14ac:dyDescent="0.25">
      <c r="A14"/>
      <c r="D14" s="26" t="s">
        <v>210</v>
      </c>
      <c r="E14" s="26" t="s">
        <v>210</v>
      </c>
      <c r="F14" s="26" t="s">
        <v>211</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
        <v>212</v>
      </c>
    </row>
    <row r="19" spans="1:4" ht="20.100000000000001" customHeight="1" x14ac:dyDescent="0.25">
      <c r="A19"/>
      <c r="D19" s="4" t="s">
        <v>213</v>
      </c>
    </row>
    <row r="20" spans="1:4" ht="20.100000000000001" customHeight="1" x14ac:dyDescent="0.25">
      <c r="A20"/>
      <c r="D20" s="26" t="s">
        <v>9</v>
      </c>
    </row>
    <row r="21" spans="1:4" ht="20.100000000000001" customHeight="1" x14ac:dyDescent="0.25">
      <c r="A21"/>
      <c r="D21" s="26" t="s">
        <v>214</v>
      </c>
    </row>
    <row r="22" spans="1:4" ht="20.100000000000001" customHeight="1" x14ac:dyDescent="0.25">
      <c r="A22"/>
      <c r="D22" s="26" t="s">
        <v>215</v>
      </c>
    </row>
    <row r="23" spans="1:4" ht="20.100000000000001" customHeight="1" x14ac:dyDescent="0.25">
      <c r="A23"/>
      <c r="D23" s="26" t="s">
        <v>216</v>
      </c>
    </row>
    <row r="24" spans="1:4" ht="20.100000000000001" customHeight="1" x14ac:dyDescent="0.25">
      <c r="A24"/>
      <c r="D24" s="26" t="s">
        <v>217</v>
      </c>
    </row>
    <row r="25" spans="1:4" ht="20.100000000000001" customHeight="1" x14ac:dyDescent="0.25">
      <c r="A25"/>
      <c r="D25" s="26" t="s">
        <v>218</v>
      </c>
    </row>
    <row r="26" spans="1:4" ht="20.100000000000001" customHeight="1" x14ac:dyDescent="0.25">
      <c r="A26"/>
      <c r="D26" s="26" t="s">
        <v>219</v>
      </c>
    </row>
    <row r="27" spans="1:4" ht="20.100000000000001" customHeight="1" x14ac:dyDescent="0.25">
      <c r="A27"/>
      <c r="D27" s="26" t="s">
        <v>220</v>
      </c>
    </row>
    <row r="28" spans="1:4" ht="20.100000000000001" customHeight="1" x14ac:dyDescent="0.25">
      <c r="A28"/>
      <c r="D28" s="26" t="s">
        <v>221</v>
      </c>
    </row>
    <row r="29" spans="1:4" ht="20.100000000000001" customHeight="1" x14ac:dyDescent="0.25">
      <c r="A29"/>
      <c r="D29" s="26" t="s">
        <v>222</v>
      </c>
    </row>
    <row r="30" spans="1:4" ht="20.100000000000001" customHeight="1" x14ac:dyDescent="0.25">
      <c r="A30"/>
      <c r="D30" s="26" t="s">
        <v>223</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
        <v>224</v>
      </c>
    </row>
    <row r="35" spans="1:8" ht="20.100000000000001" customHeight="1" x14ac:dyDescent="0.25">
      <c r="A35"/>
      <c r="D35" s="4" t="s">
        <v>225</v>
      </c>
    </row>
    <row r="36" spans="1:8" ht="20.100000000000001" customHeight="1" x14ac:dyDescent="0.25">
      <c r="A36"/>
      <c r="D36" s="26" t="s">
        <v>10</v>
      </c>
      <c r="E36" s="26" t="s">
        <v>11</v>
      </c>
    </row>
    <row r="37" spans="1:8" ht="20.100000000000001" customHeight="1" x14ac:dyDescent="0.25">
      <c r="A37"/>
      <c r="D37" s="26" t="s">
        <v>226</v>
      </c>
      <c r="E37" s="26">
        <v>1</v>
      </c>
    </row>
    <row r="38" spans="1:8" ht="20.100000000000001" customHeight="1" x14ac:dyDescent="0.25">
      <c r="A38"/>
      <c r="D38" s="26" t="s">
        <v>227</v>
      </c>
      <c r="E38" s="26">
        <v>28</v>
      </c>
    </row>
    <row r="39" spans="1:8" ht="20.100000000000001" customHeight="1" x14ac:dyDescent="0.25">
      <c r="A39"/>
      <c r="D39" s="26" t="s">
        <v>228</v>
      </c>
      <c r="E39" s="26">
        <v>265</v>
      </c>
    </row>
    <row r="40" spans="1:8" ht="20.100000000000001" customHeight="1" x14ac:dyDescent="0.25">
      <c r="A40"/>
      <c r="D40" s="26" t="s">
        <v>229</v>
      </c>
      <c r="E40" s="26">
        <v>6630</v>
      </c>
    </row>
    <row r="41" spans="1:8" ht="20.100000000000001" customHeight="1" x14ac:dyDescent="0.25">
      <c r="A41"/>
      <c r="D41" s="26" t="s">
        <v>230</v>
      </c>
      <c r="E41" s="26">
        <v>12200</v>
      </c>
    </row>
    <row r="42" spans="1:8" ht="20.100000000000001" customHeight="1" x14ac:dyDescent="0.25">
      <c r="D42" s="26" t="s">
        <v>231</v>
      </c>
      <c r="E42" s="26">
        <v>22800</v>
      </c>
    </row>
    <row r="43" spans="1:8" ht="20.100000000000001" customHeight="1" x14ac:dyDescent="0.25">
      <c r="D43" s="26" t="s">
        <v>232</v>
      </c>
      <c r="E43" s="26">
        <v>17200</v>
      </c>
    </row>
    <row r="44" spans="1:8" ht="20.100000000000001" customHeight="1" x14ac:dyDescent="0.25"/>
    <row r="45" spans="1:8" ht="20.100000000000001" customHeight="1" x14ac:dyDescent="0.25">
      <c r="D45" s="5" t="s">
        <v>233</v>
      </c>
    </row>
    <row r="46" spans="1:8" ht="20.100000000000001" customHeight="1" x14ac:dyDescent="0.25">
      <c r="D46" s="4" t="s">
        <v>225</v>
      </c>
    </row>
    <row r="47" spans="1:8" ht="20.100000000000001" customHeight="1" x14ac:dyDescent="0.25">
      <c r="D47" s="26" t="s">
        <v>10</v>
      </c>
      <c r="E47" s="26" t="s">
        <v>13</v>
      </c>
      <c r="F47" s="26" t="s">
        <v>14</v>
      </c>
      <c r="G47" s="26" t="s">
        <v>15</v>
      </c>
      <c r="H47" s="26" t="s">
        <v>16</v>
      </c>
    </row>
    <row r="48" spans="1:8" ht="20.100000000000001" customHeight="1" x14ac:dyDescent="0.25">
      <c r="D48" s="26" t="s">
        <v>226</v>
      </c>
      <c r="E48" s="26" t="s">
        <v>234</v>
      </c>
      <c r="F48" s="26">
        <v>44</v>
      </c>
      <c r="G48" s="26">
        <v>12</v>
      </c>
      <c r="H48" s="26">
        <f>Table_GasToMolecularConversionFactor[[#This Row],[Conversion factor 1]]/Table_GasToMolecularConversionFactor[[#This Row],[Conversion factor 2]]</f>
        <v>3.6666666666666665</v>
      </c>
    </row>
    <row r="49" spans="4:8" ht="20.100000000000001" customHeight="1" x14ac:dyDescent="0.25">
      <c r="D49" s="26" t="s">
        <v>227</v>
      </c>
      <c r="E49" s="26" t="s">
        <v>235</v>
      </c>
      <c r="F49" s="26">
        <v>16</v>
      </c>
      <c r="G49" s="26">
        <v>12</v>
      </c>
      <c r="H49" s="26">
        <f>Table_GasToMolecularConversionFactor[[#This Row],[Conversion factor 1]]/Table_GasToMolecularConversionFactor[[#This Row],[Conversion factor 2]]</f>
        <v>1.3333333333333333</v>
      </c>
    </row>
    <row r="50" spans="4:8" ht="20.100000000000001" customHeight="1" x14ac:dyDescent="0.25">
      <c r="D50" s="26" t="s">
        <v>228</v>
      </c>
      <c r="E50" s="26" t="s">
        <v>236</v>
      </c>
      <c r="F50" s="26">
        <v>44</v>
      </c>
      <c r="G50" s="26">
        <v>28</v>
      </c>
      <c r="H50" s="26">
        <f>Table_GasToMolecularConversionFactor[[#This Row],[Conversion factor 1]]/Table_GasToMolecularConversionFactor[[#This Row],[Conversion factor 2]]</f>
        <v>1.5714285714285714</v>
      </c>
    </row>
    <row r="51" spans="4:8" ht="20.100000000000001" customHeight="1" x14ac:dyDescent="0.25">
      <c r="D51" s="26" t="s">
        <v>237</v>
      </c>
      <c r="E51" s="26" t="s">
        <v>238</v>
      </c>
      <c r="F51" s="26">
        <v>46</v>
      </c>
      <c r="G51" s="26">
        <v>14</v>
      </c>
      <c r="H51" s="26">
        <f>Table_GasToMolecularConversionFactor[[#This Row],[Conversion factor 1]]/Table_GasToMolecularConversionFactor[[#This Row],[Conversion factor 2]]</f>
        <v>3.2857142857142856</v>
      </c>
    </row>
    <row r="52" spans="4:8" ht="20.100000000000001" customHeight="1" x14ac:dyDescent="0.25">
      <c r="D52" s="26" t="s">
        <v>239</v>
      </c>
      <c r="E52" s="26" t="s">
        <v>240</v>
      </c>
      <c r="F52" s="26">
        <v>28</v>
      </c>
      <c r="G52" s="26">
        <v>12</v>
      </c>
      <c r="H52" s="26">
        <f>Table_GasToMolecularConversionFactor[[#This Row],[Conversion factor 1]]/Table_GasToMolecularConversionFactor[[#This Row],[Conversion factor 2]]</f>
        <v>2.3333333333333335</v>
      </c>
    </row>
    <row r="53" spans="4:8" ht="20.100000000000001" customHeight="1" x14ac:dyDescent="0.25">
      <c r="D53" s="26" t="s">
        <v>241</v>
      </c>
      <c r="E53" s="26" t="s">
        <v>234</v>
      </c>
      <c r="F53" s="26">
        <v>44</v>
      </c>
      <c r="G53" s="26">
        <v>12</v>
      </c>
      <c r="H53" s="26">
        <f>Table_GasToMolecularConversionFactor[[#This Row],[Conversion factor 1]]/Table_GasToMolecularConversionFactor[[#This Row],[Conversion factor 2]]</f>
        <v>3.6666666666666665</v>
      </c>
    </row>
    <row r="54" spans="4:8" ht="20.100000000000001" customHeight="1" x14ac:dyDescent="0.25">
      <c r="D54" s="26" t="s">
        <v>242</v>
      </c>
      <c r="E54" s="26" t="s">
        <v>243</v>
      </c>
      <c r="F54" s="26">
        <v>14</v>
      </c>
      <c r="G54" s="26">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
        <v>244</v>
      </c>
    </row>
    <row r="58" spans="4:8" ht="20.100000000000001" customHeight="1" x14ac:dyDescent="0.25">
      <c r="D58" s="4" t="s">
        <v>245</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30</v>
      </c>
    </row>
    <row r="64" spans="4:8" ht="20.100000000000001" customHeight="1" x14ac:dyDescent="0.25">
      <c r="D64" s="26" t="s">
        <v>246</v>
      </c>
      <c r="E64" s="26" t="s">
        <v>247</v>
      </c>
    </row>
    <row r="65" spans="4:5" ht="20.100000000000001" customHeight="1" x14ac:dyDescent="0.25">
      <c r="D65" s="26" t="s">
        <v>248</v>
      </c>
      <c r="E65" s="26" t="s">
        <v>247</v>
      </c>
    </row>
    <row r="66" spans="4:5" ht="20.100000000000001" customHeight="1" x14ac:dyDescent="0.25">
      <c r="D66" s="26" t="s">
        <v>249</v>
      </c>
      <c r="E66" s="26" t="s">
        <v>247</v>
      </c>
    </row>
    <row r="67" spans="4:5" ht="20.100000000000001" customHeight="1" x14ac:dyDescent="0.25">
      <c r="D67" s="26" t="s">
        <v>250</v>
      </c>
      <c r="E67" s="26" t="s">
        <v>251</v>
      </c>
    </row>
    <row r="68" spans="4:5" ht="20.100000000000001" customHeight="1" x14ac:dyDescent="0.25">
      <c r="D68" s="26" t="s">
        <v>252</v>
      </c>
      <c r="E68" s="26" t="s">
        <v>247</v>
      </c>
    </row>
    <row r="69" spans="4:5" ht="20.100000000000001" customHeight="1" x14ac:dyDescent="0.25">
      <c r="D69" s="26" t="s">
        <v>253</v>
      </c>
      <c r="E69" s="26" t="s">
        <v>251</v>
      </c>
    </row>
    <row r="70" spans="4:5" ht="20.100000000000001" customHeight="1" x14ac:dyDescent="0.25">
      <c r="D70" s="26" t="s">
        <v>254</v>
      </c>
      <c r="E70" s="26" t="s">
        <v>247</v>
      </c>
    </row>
    <row r="71" spans="4:5" ht="20.100000000000001" customHeight="1" x14ac:dyDescent="0.25">
      <c r="D71" s="26" t="s">
        <v>255</v>
      </c>
      <c r="E71" s="26" t="s">
        <v>251</v>
      </c>
    </row>
    <row r="72" spans="4:5" ht="20.100000000000001" customHeight="1" x14ac:dyDescent="0.25">
      <c r="D72" s="26" t="s">
        <v>256</v>
      </c>
      <c r="E72" s="26" t="s">
        <v>247</v>
      </c>
    </row>
    <row r="73" spans="4:5" ht="20.100000000000001" customHeight="1" x14ac:dyDescent="0.25">
      <c r="D73" s="26" t="s">
        <v>257</v>
      </c>
      <c r="E73" s="26" t="s">
        <v>251</v>
      </c>
    </row>
    <row r="74" spans="4:5" ht="20.100000000000001" customHeight="1" x14ac:dyDescent="0.25">
      <c r="D74" s="26" t="s">
        <v>258</v>
      </c>
      <c r="E74" s="26" t="s">
        <v>247</v>
      </c>
    </row>
    <row r="75" spans="4:5" ht="20.100000000000001" customHeight="1" x14ac:dyDescent="0.25">
      <c r="D75" s="26" t="s">
        <v>259</v>
      </c>
      <c r="E75" s="26" t="s">
        <v>251</v>
      </c>
    </row>
    <row r="76" spans="4:5" ht="20.100000000000001" customHeight="1" x14ac:dyDescent="0.25">
      <c r="D76" s="26" t="s">
        <v>260</v>
      </c>
      <c r="E76" s="26" t="s">
        <v>247</v>
      </c>
    </row>
    <row r="77" spans="4:5" ht="20.100000000000001" customHeight="1" x14ac:dyDescent="0.25">
      <c r="D77" s="26" t="s">
        <v>261</v>
      </c>
      <c r="E77" s="26" t="s">
        <v>251</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
        <v>262</v>
      </c>
    </row>
    <row r="82" spans="4:20" ht="20.100000000000001" customHeight="1" x14ac:dyDescent="0.25">
      <c r="D82" s="4" t="s">
        <v>263</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18</v>
      </c>
      <c r="F89" s="26" t="s">
        <v>19</v>
      </c>
      <c r="G89" s="26" t="s">
        <v>20</v>
      </c>
      <c r="H89" s="26" t="s">
        <v>21</v>
      </c>
      <c r="I89" s="26" t="s">
        <v>22</v>
      </c>
      <c r="J89" s="26" t="s">
        <v>23</v>
      </c>
      <c r="K89" s="26" t="s">
        <v>24</v>
      </c>
      <c r="L89" s="26" t="s">
        <v>25</v>
      </c>
      <c r="M89" s="26" t="s">
        <v>26</v>
      </c>
      <c r="N89" s="26" t="s">
        <v>27</v>
      </c>
      <c r="O89" s="26" t="s">
        <v>31</v>
      </c>
      <c r="P89" s="26" t="s">
        <v>28</v>
      </c>
      <c r="Q89" s="26" t="s">
        <v>32</v>
      </c>
      <c r="R89" s="26" t="s">
        <v>29</v>
      </c>
      <c r="S89" s="26" t="s">
        <v>33</v>
      </c>
      <c r="T89" s="26"/>
    </row>
    <row r="90" spans="4:20" ht="20.100000000000001" customHeight="1" x14ac:dyDescent="0.25">
      <c r="D90" s="26" t="s">
        <v>246</v>
      </c>
      <c r="E90" s="26" t="s">
        <v>264</v>
      </c>
      <c r="F90" s="26" t="s">
        <v>265</v>
      </c>
      <c r="G90" s="26" t="s">
        <v>266</v>
      </c>
      <c r="H90" s="26" t="s">
        <v>267</v>
      </c>
      <c r="I90" s="26" t="s">
        <v>265</v>
      </c>
      <c r="J90" s="26">
        <v>18.001000000000001</v>
      </c>
      <c r="K90" s="26">
        <v>999999</v>
      </c>
      <c r="L90" s="26">
        <v>-999999</v>
      </c>
      <c r="M90" s="26">
        <v>999999</v>
      </c>
      <c r="N90" s="26">
        <v>-999999</v>
      </c>
      <c r="O90" s="26">
        <v>7</v>
      </c>
      <c r="P90" s="26">
        <v>1000</v>
      </c>
      <c r="Q90" s="26">
        <v>999999</v>
      </c>
      <c r="R90" s="26">
        <v>-999999</v>
      </c>
      <c r="S90" s="26">
        <v>999999</v>
      </c>
      <c r="T90" s="26"/>
    </row>
    <row r="91" spans="4:20" ht="20.100000000000001" customHeight="1" x14ac:dyDescent="0.25">
      <c r="D91" s="26" t="s">
        <v>248</v>
      </c>
      <c r="E91" s="26" t="s">
        <v>264</v>
      </c>
      <c r="F91" s="26" t="s">
        <v>268</v>
      </c>
      <c r="G91" s="26" t="s">
        <v>266</v>
      </c>
      <c r="H91" s="26" t="s">
        <v>269</v>
      </c>
      <c r="I91" s="26" t="s">
        <v>265</v>
      </c>
      <c r="J91" s="26">
        <v>18.001000000000001</v>
      </c>
      <c r="K91" s="26">
        <v>999999</v>
      </c>
      <c r="L91" s="26">
        <v>2000.001</v>
      </c>
      <c r="M91" s="26">
        <v>999999</v>
      </c>
      <c r="N91" s="26">
        <v>-999999</v>
      </c>
      <c r="O91" s="26">
        <v>7</v>
      </c>
      <c r="P91" s="26">
        <v>-999999</v>
      </c>
      <c r="Q91" s="26">
        <v>999.99900000000002</v>
      </c>
      <c r="R91" s="26">
        <v>-999999</v>
      </c>
      <c r="S91" s="26">
        <v>999999</v>
      </c>
      <c r="T91" s="26"/>
    </row>
    <row r="92" spans="4:20" ht="20.100000000000001" customHeight="1" x14ac:dyDescent="0.25">
      <c r="D92" s="26" t="s">
        <v>249</v>
      </c>
      <c r="E92" s="26" t="s">
        <v>264</v>
      </c>
      <c r="F92" s="26" t="s">
        <v>270</v>
      </c>
      <c r="G92" s="26" t="s">
        <v>266</v>
      </c>
      <c r="H92" s="26" t="s">
        <v>269</v>
      </c>
      <c r="I92" s="26" t="s">
        <v>265</v>
      </c>
      <c r="J92" s="26">
        <v>18.001000000000001</v>
      </c>
      <c r="K92" s="26">
        <v>999999</v>
      </c>
      <c r="L92" s="26">
        <v>1000.001</v>
      </c>
      <c r="M92" s="26">
        <v>2000</v>
      </c>
      <c r="N92" s="26">
        <v>-999999</v>
      </c>
      <c r="O92" s="26">
        <v>7</v>
      </c>
      <c r="P92" s="26">
        <v>-999999</v>
      </c>
      <c r="Q92" s="26">
        <v>999.99900000000002</v>
      </c>
      <c r="R92" s="26">
        <v>-999999</v>
      </c>
      <c r="S92" s="26">
        <v>999999</v>
      </c>
      <c r="T92" s="26"/>
    </row>
    <row r="93" spans="4:20" ht="20.100000000000001" customHeight="1" x14ac:dyDescent="0.25">
      <c r="D93" s="26" t="s">
        <v>250</v>
      </c>
      <c r="E93" s="26" t="s">
        <v>264</v>
      </c>
      <c r="F93" s="26" t="s">
        <v>271</v>
      </c>
      <c r="G93" s="26" t="s">
        <v>266</v>
      </c>
      <c r="H93" s="26" t="s">
        <v>269</v>
      </c>
      <c r="I93" s="26" t="s">
        <v>265</v>
      </c>
      <c r="J93" s="26">
        <v>18.001000000000001</v>
      </c>
      <c r="K93" s="26">
        <v>999999</v>
      </c>
      <c r="L93" s="26">
        <v>-999999</v>
      </c>
      <c r="M93" s="26">
        <v>1000</v>
      </c>
      <c r="N93" s="26">
        <v>-999999</v>
      </c>
      <c r="O93" s="26">
        <v>7</v>
      </c>
      <c r="P93" s="26">
        <v>-999999</v>
      </c>
      <c r="Q93" s="26">
        <v>999.99900000000002</v>
      </c>
      <c r="R93" s="26">
        <v>-999999</v>
      </c>
      <c r="S93" s="26">
        <v>999999</v>
      </c>
      <c r="T93" s="26"/>
    </row>
    <row r="94" spans="4:20" ht="20.100000000000001" customHeight="1" x14ac:dyDescent="0.25">
      <c r="D94" s="26" t="s">
        <v>252</v>
      </c>
      <c r="E94" s="26" t="s">
        <v>272</v>
      </c>
      <c r="F94" s="26" t="s">
        <v>265</v>
      </c>
      <c r="G94" s="26" t="s">
        <v>265</v>
      </c>
      <c r="H94" s="26" t="s">
        <v>265</v>
      </c>
      <c r="I94" s="26" t="s">
        <v>273</v>
      </c>
      <c r="J94" s="26">
        <v>10.000999999999999</v>
      </c>
      <c r="K94" s="26">
        <v>999999</v>
      </c>
      <c r="L94" s="26">
        <v>-999999</v>
      </c>
      <c r="M94" s="26">
        <v>999999</v>
      </c>
      <c r="N94" s="26">
        <v>-999999</v>
      </c>
      <c r="O94" s="26">
        <v>999999</v>
      </c>
      <c r="P94" s="26">
        <v>-999999</v>
      </c>
      <c r="Q94" s="26">
        <v>999999</v>
      </c>
      <c r="R94" s="26">
        <v>1.0009999999999999</v>
      </c>
      <c r="S94" s="26">
        <v>999999</v>
      </c>
      <c r="T94" s="26"/>
    </row>
    <row r="95" spans="4:20" ht="20.100000000000001" customHeight="1" x14ac:dyDescent="0.25">
      <c r="D95" s="26" t="s">
        <v>253</v>
      </c>
      <c r="E95" s="26" t="s">
        <v>272</v>
      </c>
      <c r="F95" s="26" t="s">
        <v>265</v>
      </c>
      <c r="G95" s="26" t="s">
        <v>265</v>
      </c>
      <c r="H95" s="26" t="s">
        <v>265</v>
      </c>
      <c r="I95" s="26" t="s">
        <v>274</v>
      </c>
      <c r="J95" s="26">
        <v>10.000999999999999</v>
      </c>
      <c r="K95" s="26">
        <v>999999</v>
      </c>
      <c r="L95" s="26">
        <v>-999999</v>
      </c>
      <c r="M95" s="26">
        <v>999999</v>
      </c>
      <c r="N95" s="26">
        <v>-999999</v>
      </c>
      <c r="O95" s="26">
        <v>999999</v>
      </c>
      <c r="P95" s="26">
        <v>-999999</v>
      </c>
      <c r="Q95" s="26">
        <v>999999</v>
      </c>
      <c r="R95" s="26">
        <v>-999999</v>
      </c>
      <c r="S95" s="26">
        <v>1</v>
      </c>
      <c r="T95" s="26"/>
    </row>
    <row r="96" spans="4:20" ht="20.100000000000001" customHeight="1" x14ac:dyDescent="0.25">
      <c r="D96" s="26" t="s">
        <v>254</v>
      </c>
      <c r="E96" s="26" t="s">
        <v>275</v>
      </c>
      <c r="F96" s="26" t="s">
        <v>265</v>
      </c>
      <c r="G96" s="26" t="s">
        <v>265</v>
      </c>
      <c r="H96" s="26" t="s">
        <v>265</v>
      </c>
      <c r="I96" s="26" t="s">
        <v>273</v>
      </c>
      <c r="J96" s="26">
        <v>-999999</v>
      </c>
      <c r="K96" s="26">
        <v>10</v>
      </c>
      <c r="L96" s="26">
        <v>-999999</v>
      </c>
      <c r="M96" s="26">
        <v>999999</v>
      </c>
      <c r="N96" s="26">
        <v>-999999</v>
      </c>
      <c r="O96" s="26">
        <v>999999</v>
      </c>
      <c r="P96" s="26">
        <v>-999999</v>
      </c>
      <c r="Q96" s="26">
        <v>999999</v>
      </c>
      <c r="R96" s="26">
        <v>1.0009999999999999</v>
      </c>
      <c r="S96" s="26">
        <v>999999</v>
      </c>
      <c r="T96" s="26"/>
    </row>
    <row r="97" spans="4:20" ht="20.100000000000001" customHeight="1" x14ac:dyDescent="0.25">
      <c r="D97" s="26" t="s">
        <v>255</v>
      </c>
      <c r="E97" s="26" t="s">
        <v>275</v>
      </c>
      <c r="F97" s="26" t="s">
        <v>265</v>
      </c>
      <c r="G97" s="26" t="s">
        <v>265</v>
      </c>
      <c r="H97" s="26" t="s">
        <v>265</v>
      </c>
      <c r="I97" s="26" t="s">
        <v>274</v>
      </c>
      <c r="J97" s="26">
        <v>-999999</v>
      </c>
      <c r="K97" s="26">
        <v>10</v>
      </c>
      <c r="L97" s="26">
        <v>-999999</v>
      </c>
      <c r="M97" s="26">
        <v>999999</v>
      </c>
      <c r="N97" s="26">
        <v>-999999</v>
      </c>
      <c r="O97" s="26">
        <v>999999</v>
      </c>
      <c r="P97" s="26">
        <v>-999999</v>
      </c>
      <c r="Q97" s="26">
        <v>999999</v>
      </c>
      <c r="R97" s="26">
        <v>-999999</v>
      </c>
      <c r="S97" s="26">
        <v>1</v>
      </c>
      <c r="T97" s="26"/>
    </row>
    <row r="98" spans="4:20" ht="20.100000000000001" customHeight="1" x14ac:dyDescent="0.25"/>
    <row r="99" spans="4:20" ht="20.100000000000001" customHeight="1" x14ac:dyDescent="0.25">
      <c r="D99" s="30" t="s">
        <v>276</v>
      </c>
    </row>
    <row r="100" spans="4:20" ht="20.100000000000001" customHeight="1" x14ac:dyDescent="0.25">
      <c r="D100" s="30" t="s">
        <v>277</v>
      </c>
    </row>
    <row r="101" spans="4:20" ht="20.100000000000001" customHeight="1" x14ac:dyDescent="0.25">
      <c r="D101" s="30" t="s">
        <v>278</v>
      </c>
    </row>
    <row r="102" spans="4:20" ht="20.100000000000001" customHeight="1" x14ac:dyDescent="0.25">
      <c r="D102" s="30" t="s">
        <v>279</v>
      </c>
    </row>
    <row r="103" spans="4:20" ht="20.100000000000001" customHeight="1" x14ac:dyDescent="0.25">
      <c r="D103" s="30"/>
    </row>
    <row r="104" spans="4:20" ht="20.100000000000001" customHeight="1" x14ac:dyDescent="0.25"/>
    <row r="105" spans="4:20" ht="20.100000000000001" customHeight="1" x14ac:dyDescent="0.25">
      <c r="D105" s="5" t="s">
        <v>280</v>
      </c>
    </row>
    <row r="106" spans="4:20" ht="20.100000000000001" customHeight="1" x14ac:dyDescent="0.25">
      <c r="D106" s="4" t="s">
        <v>263</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35</v>
      </c>
      <c r="E109" s="26" t="s">
        <v>18</v>
      </c>
      <c r="F109" s="26" t="s">
        <v>36</v>
      </c>
      <c r="G109" s="26" t="s">
        <v>37</v>
      </c>
    </row>
    <row r="110" spans="4:20" ht="20.100000000000001" customHeight="1" x14ac:dyDescent="0.25">
      <c r="D110" s="26" t="s">
        <v>281</v>
      </c>
      <c r="E110" s="26" t="s">
        <v>282</v>
      </c>
      <c r="F110" s="26">
        <v>26</v>
      </c>
      <c r="G110" s="26">
        <v>999999</v>
      </c>
    </row>
    <row r="111" spans="4:20" ht="20.100000000000001" customHeight="1" x14ac:dyDescent="0.25">
      <c r="D111" s="26" t="s">
        <v>283</v>
      </c>
      <c r="E111" s="26" t="s">
        <v>284</v>
      </c>
      <c r="F111" s="26">
        <v>15</v>
      </c>
      <c r="G111" s="26">
        <v>25.998999999999999</v>
      </c>
    </row>
    <row r="112" spans="4:20" ht="20.100000000000001" customHeight="1" x14ac:dyDescent="0.25">
      <c r="D112" s="26" t="s">
        <v>285</v>
      </c>
      <c r="E112" s="26" t="s">
        <v>286</v>
      </c>
      <c r="F112" s="26">
        <v>-999999</v>
      </c>
      <c r="G112" s="26">
        <v>14.999000000000001</v>
      </c>
    </row>
    <row r="113" spans="4:66" ht="20.100000000000001" customHeight="1" x14ac:dyDescent="0.25"/>
    <row r="114" spans="4:66" ht="20.100000000000001" customHeight="1" x14ac:dyDescent="0.25"/>
    <row r="115" spans="4:66" ht="20.100000000000001" customHeight="1" x14ac:dyDescent="0.25">
      <c r="D115" s="5" t="s">
        <v>287</v>
      </c>
      <c r="BN115" s="6"/>
    </row>
    <row r="116" spans="4:66" ht="20.100000000000001" customHeight="1" x14ac:dyDescent="0.25">
      <c r="D116" s="4" t="s">
        <v>263</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38</v>
      </c>
      <c r="E119" s="26" t="s">
        <v>39</v>
      </c>
      <c r="F119" s="26" t="s">
        <v>25</v>
      </c>
      <c r="G119" s="26" t="s">
        <v>26</v>
      </c>
      <c r="BN119" s="6"/>
    </row>
    <row r="120" spans="4:66" ht="20.100000000000001" customHeight="1" x14ac:dyDescent="0.25">
      <c r="D120" s="26" t="s">
        <v>288</v>
      </c>
      <c r="E120" s="26" t="s">
        <v>289</v>
      </c>
      <c r="F120" s="26">
        <v>600.00099999999998</v>
      </c>
      <c r="G120" s="26">
        <v>999999</v>
      </c>
      <c r="BN120" s="6"/>
    </row>
    <row r="121" spans="4:66" ht="20.100000000000001" customHeight="1" x14ac:dyDescent="0.25">
      <c r="D121" s="26" t="s">
        <v>290</v>
      </c>
      <c r="E121" s="26" t="s">
        <v>291</v>
      </c>
      <c r="F121" s="26">
        <v>-999999</v>
      </c>
      <c r="G121" s="26">
        <v>600</v>
      </c>
      <c r="BN121" s="6"/>
    </row>
    <row r="122" spans="4:66" ht="20.100000000000001" customHeight="1" x14ac:dyDescent="0.25">
      <c r="BN122" s="6"/>
    </row>
    <row r="123" spans="4:66" ht="20.100000000000001" customHeight="1" x14ac:dyDescent="0.25"/>
    <row r="124" spans="4:66" ht="20.100000000000001" customHeight="1" x14ac:dyDescent="0.25">
      <c r="D124" s="5" t="s">
        <v>292</v>
      </c>
    </row>
    <row r="125" spans="4:66" ht="20.100000000000001" customHeight="1" x14ac:dyDescent="0.25">
      <c r="D125" s="4" t="s">
        <v>263</v>
      </c>
    </row>
    <row r="126" spans="4:66" ht="20.100000000000001" customHeight="1" x14ac:dyDescent="0.25"/>
    <row r="127" spans="4:66" ht="20.100000000000001" customHeight="1" x14ac:dyDescent="0.25">
      <c r="D127" s="26" t="s">
        <v>40</v>
      </c>
      <c r="E127" s="26" t="s">
        <v>41</v>
      </c>
    </row>
    <row r="128" spans="4:66" ht="20.100000000000001" customHeight="1" x14ac:dyDescent="0.25">
      <c r="D128" s="26" t="s">
        <v>293</v>
      </c>
      <c r="E128" s="26" t="s">
        <v>294</v>
      </c>
    </row>
    <row r="129" spans="4:77" ht="20.100000000000001" customHeight="1" x14ac:dyDescent="0.25">
      <c r="D129" s="26" t="s">
        <v>295</v>
      </c>
      <c r="E129" s="26" t="s">
        <v>296</v>
      </c>
    </row>
    <row r="130" spans="4:77" ht="20.100000000000001" customHeight="1" x14ac:dyDescent="0.25"/>
    <row r="131" spans="4:77" ht="20.100000000000001" customHeight="1" x14ac:dyDescent="0.25"/>
    <row r="132" spans="4:77" ht="20.100000000000001" customHeight="1" x14ac:dyDescent="0.25">
      <c r="D132" s="5" t="s">
        <v>297</v>
      </c>
      <c r="E132" s="18"/>
    </row>
    <row r="133" spans="4:77" ht="20.100000000000001" customHeight="1" x14ac:dyDescent="0.25">
      <c r="D133" s="4" t="s">
        <v>298</v>
      </c>
      <c r="E133" s="18"/>
    </row>
    <row r="134" spans="4:77" ht="20.100000000000001" customHeight="1" x14ac:dyDescent="0.25">
      <c r="D134" t="s">
        <v>46</v>
      </c>
      <c r="E134" t="s">
        <v>47</v>
      </c>
    </row>
    <row r="135" spans="4:77" ht="20.100000000000001" customHeight="1" x14ac:dyDescent="0.25">
      <c r="D135" t="s">
        <v>299</v>
      </c>
      <c r="E135">
        <v>1</v>
      </c>
    </row>
    <row r="136" spans="4:77" ht="20.100000000000001" customHeight="1" x14ac:dyDescent="0.25">
      <c r="D136" s="1" t="s">
        <v>300</v>
      </c>
      <c r="E136" s="26">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
        <v>301</v>
      </c>
      <c r="BN139" s="6"/>
      <c r="BO139" s="6"/>
      <c r="BP139" s="6"/>
      <c r="BQ139" s="6"/>
      <c r="BR139" s="6"/>
      <c r="BS139" s="6"/>
      <c r="BT139" s="6"/>
      <c r="BU139" s="6"/>
      <c r="BV139" s="6"/>
      <c r="BW139" s="6"/>
      <c r="BX139" s="6"/>
      <c r="BY139" s="6"/>
    </row>
    <row r="140" spans="4:77" ht="20.100000000000001" customHeight="1" x14ac:dyDescent="0.25">
      <c r="D140" s="4" t="s">
        <v>302</v>
      </c>
      <c r="BN140" s="6"/>
      <c r="BO140" s="6"/>
      <c r="BP140" s="6"/>
      <c r="BQ140" s="6"/>
      <c r="BR140" s="6"/>
      <c r="BS140" s="6"/>
      <c r="BT140" s="6"/>
      <c r="BU140" s="6"/>
      <c r="BV140" s="6"/>
      <c r="BW140" s="6"/>
      <c r="BX140" s="6"/>
      <c r="BY140" s="6"/>
    </row>
    <row r="141" spans="4:77" ht="20.100000000000001" customHeight="1" x14ac:dyDescent="0.25">
      <c r="D141" s="31" t="s">
        <v>303</v>
      </c>
      <c r="BN141" s="6"/>
    </row>
    <row r="142" spans="4:77" ht="20.100000000000001" customHeight="1" x14ac:dyDescent="0.25">
      <c r="D142" s="26" t="s">
        <v>56</v>
      </c>
      <c r="E142" s="26" t="s">
        <v>47</v>
      </c>
      <c r="BN142" s="6"/>
    </row>
    <row r="143" spans="4:77" ht="20.100000000000001" customHeight="1" x14ac:dyDescent="0.25">
      <c r="D143" s="26" t="s">
        <v>304</v>
      </c>
      <c r="E143" s="26">
        <v>0</v>
      </c>
      <c r="BN143" s="6"/>
    </row>
    <row r="144" spans="4:77" ht="20.100000000000001" customHeight="1" x14ac:dyDescent="0.25">
      <c r="D144" s="1" t="s">
        <v>305</v>
      </c>
      <c r="E144" s="26">
        <v>0</v>
      </c>
      <c r="BN144" s="6"/>
    </row>
    <row r="145" spans="4:66" ht="20.100000000000001" customHeight="1" x14ac:dyDescent="0.25">
      <c r="D145" s="1" t="s">
        <v>306</v>
      </c>
      <c r="E145" s="26">
        <v>1</v>
      </c>
      <c r="BN145" s="6"/>
    </row>
    <row r="146" spans="4:66" ht="20.100000000000001" customHeight="1" x14ac:dyDescent="0.25">
      <c r="D146" s="1" t="s">
        <v>307</v>
      </c>
      <c r="E146" s="26">
        <v>1</v>
      </c>
      <c r="BN146" s="6"/>
    </row>
    <row r="147" spans="4:66" ht="20.100000000000001" customHeight="1" x14ac:dyDescent="0.25">
      <c r="D147" s="1" t="s">
        <v>308</v>
      </c>
      <c r="E147" s="26">
        <v>1</v>
      </c>
      <c r="BN147" s="6"/>
    </row>
    <row r="148" spans="4:66" ht="20.100000000000001" customHeight="1" x14ac:dyDescent="0.25">
      <c r="BN148" s="6"/>
    </row>
    <row r="149" spans="4:66" ht="20.100000000000001" customHeight="1" x14ac:dyDescent="0.25">
      <c r="BN149" s="6"/>
    </row>
    <row r="150" spans="4:66" ht="20.100000000000001" customHeight="1" x14ac:dyDescent="0.25">
      <c r="D150" s="5" t="s">
        <v>309</v>
      </c>
      <c r="BN150" s="6"/>
    </row>
    <row r="151" spans="4:66" ht="20.100000000000001" customHeight="1" x14ac:dyDescent="0.25">
      <c r="D151" s="4" t="s">
        <v>310</v>
      </c>
      <c r="BN151" s="6"/>
    </row>
    <row r="152" spans="4:66" ht="20.100000000000001" customHeight="1" x14ac:dyDescent="0.25">
      <c r="BN152" s="6"/>
    </row>
    <row r="153" spans="4:66" ht="20.100000000000001" customHeight="1" x14ac:dyDescent="0.25">
      <c r="D153" s="26" t="s">
        <v>42</v>
      </c>
      <c r="E153" s="26" t="s">
        <v>43</v>
      </c>
      <c r="BC153" s="2"/>
      <c r="BD153" s="2"/>
      <c r="BE153" s="2"/>
      <c r="BF153" s="2"/>
      <c r="BG153" s="2"/>
      <c r="BH153" s="2"/>
      <c r="BI153" s="2"/>
      <c r="BJ153" s="2"/>
      <c r="BK153" s="2"/>
      <c r="BL153" s="2"/>
      <c r="BM153" s="2"/>
    </row>
    <row r="154" spans="4:66" ht="20.100000000000001" customHeight="1" x14ac:dyDescent="0.25">
      <c r="D154" s="26" t="s">
        <v>311</v>
      </c>
      <c r="E154" s="26">
        <v>1</v>
      </c>
      <c r="BC154" s="2"/>
      <c r="BD154" s="2"/>
      <c r="BE154" s="2"/>
      <c r="BF154" s="2"/>
      <c r="BG154" s="2"/>
      <c r="BH154" s="2"/>
      <c r="BI154" s="2"/>
      <c r="BJ154" s="2"/>
      <c r="BK154" s="2"/>
      <c r="BL154" s="2"/>
      <c r="BM154" s="2"/>
    </row>
    <row r="155" spans="4:66" ht="20.100000000000001" customHeight="1" x14ac:dyDescent="0.25">
      <c r="D155" s="26" t="s">
        <v>312</v>
      </c>
      <c r="E155" s="26">
        <v>2</v>
      </c>
      <c r="BC155" s="2"/>
      <c r="BD155" s="2"/>
      <c r="BE155" s="2"/>
      <c r="BF155" s="2"/>
      <c r="BG155" s="2"/>
      <c r="BH155" s="2"/>
      <c r="BI155" s="2"/>
      <c r="BJ155" s="2"/>
      <c r="BK155" s="2"/>
      <c r="BL155" s="2"/>
      <c r="BM155" s="2"/>
    </row>
    <row r="156" spans="4:66" ht="20.100000000000001" customHeight="1" x14ac:dyDescent="0.25">
      <c r="D156" s="26" t="s">
        <v>313</v>
      </c>
      <c r="E156" s="26">
        <v>3</v>
      </c>
    </row>
    <row r="157" spans="4:66" ht="20.100000000000001" customHeight="1" x14ac:dyDescent="0.25">
      <c r="D157" s="26" t="s">
        <v>314</v>
      </c>
      <c r="E157" s="26">
        <v>4</v>
      </c>
    </row>
    <row r="158" spans="4:66" ht="20.100000000000001" customHeight="1" x14ac:dyDescent="0.25">
      <c r="D158" s="26" t="s">
        <v>315</v>
      </c>
      <c r="E158" s="26">
        <v>5</v>
      </c>
    </row>
    <row r="159" spans="4:66" ht="20.100000000000001" customHeight="1" x14ac:dyDescent="0.25"/>
    <row r="160" spans="4:66" ht="20.100000000000001" customHeight="1" x14ac:dyDescent="0.25"/>
    <row r="161" spans="4:68" ht="20.100000000000001" customHeight="1" x14ac:dyDescent="0.25">
      <c r="D161" s="5" t="s">
        <v>297</v>
      </c>
      <c r="E161" s="18"/>
    </row>
    <row r="162" spans="4:68" ht="20.100000000000001" customHeight="1" x14ac:dyDescent="0.25">
      <c r="D162" s="4" t="s">
        <v>298</v>
      </c>
      <c r="E162" s="18"/>
    </row>
    <row r="163" spans="4:68" ht="20.100000000000001" customHeight="1" x14ac:dyDescent="0.25">
      <c r="D163" s="4" t="s">
        <v>316</v>
      </c>
      <c r="E163" s="18"/>
    </row>
    <row r="164" spans="4:68" ht="20.100000000000001" customHeight="1" x14ac:dyDescent="0.25">
      <c r="D164" s="18" t="s">
        <v>317</v>
      </c>
      <c r="E164" s="18"/>
    </row>
    <row r="165" spans="4:68" ht="20.100000000000001" customHeight="1" x14ac:dyDescent="0.25">
      <c r="D165" s="1">
        <v>0.24</v>
      </c>
      <c r="BN165" s="6"/>
      <c r="BO165" s="6"/>
      <c r="BP165" s="6"/>
    </row>
    <row r="166" spans="4:68" ht="20.100000000000001" customHeight="1" x14ac:dyDescent="0.25">
      <c r="BN166" s="6"/>
      <c r="BO166" s="6"/>
      <c r="BP166" s="6"/>
    </row>
    <row r="167" spans="4:68" ht="20.100000000000001" customHeight="1" x14ac:dyDescent="0.25">
      <c r="D167" s="5" t="s">
        <v>318</v>
      </c>
      <c r="BN167" s="6"/>
      <c r="BO167" s="6"/>
      <c r="BP167" s="6"/>
    </row>
    <row r="168" spans="4:68" ht="20.100000000000001" customHeight="1" x14ac:dyDescent="0.25">
      <c r="D168" s="4" t="s">
        <v>298</v>
      </c>
      <c r="BN168" s="6"/>
      <c r="BO168" s="6"/>
      <c r="BP168" s="6"/>
    </row>
    <row r="169" spans="4:68" ht="20.100000000000001" customHeight="1" x14ac:dyDescent="0.25">
      <c r="D169" s="4" t="s">
        <v>319</v>
      </c>
      <c r="BN169" s="6"/>
      <c r="BO169" s="6"/>
      <c r="BP169" s="6"/>
    </row>
    <row r="170" spans="4:68" ht="20.100000000000001" customHeight="1" x14ac:dyDescent="0.25">
      <c r="D170" s="1" t="s">
        <v>320</v>
      </c>
      <c r="BN170" s="6"/>
      <c r="BO170" s="6"/>
      <c r="BP170" s="6"/>
    </row>
    <row r="171" spans="4:68" ht="20.100000000000001" customHeight="1" x14ac:dyDescent="0.25">
      <c r="D171" s="1">
        <v>1.0999999999999999E-2</v>
      </c>
      <c r="BN171" s="6"/>
      <c r="BO171" s="6"/>
      <c r="BP171" s="6"/>
    </row>
    <row r="172" spans="4:68" ht="20.100000000000001" customHeight="1" x14ac:dyDescent="0.25">
      <c r="BN172" s="6"/>
      <c r="BO172" s="6"/>
      <c r="BP172" s="6"/>
    </row>
    <row r="173" spans="4:68" ht="20.100000000000001" customHeight="1" x14ac:dyDescent="0.25">
      <c r="D173" s="5" t="s">
        <v>321</v>
      </c>
      <c r="BN173" s="6"/>
      <c r="BO173" s="6"/>
      <c r="BP173" s="6"/>
    </row>
    <row r="174" spans="4:68" ht="20.100000000000001" customHeight="1" x14ac:dyDescent="0.25">
      <c r="D174" s="4" t="s">
        <v>322</v>
      </c>
      <c r="BN174" s="6"/>
      <c r="BO174" s="6"/>
      <c r="BP174" s="6"/>
    </row>
    <row r="175" spans="4:68" ht="20.100000000000001" customHeight="1" x14ac:dyDescent="0.25">
      <c r="D175" s="1">
        <v>0.6784</v>
      </c>
      <c r="E175" s="30" t="s">
        <v>323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
        <v>324</v>
      </c>
      <c r="BN178" s="6"/>
      <c r="BO178" s="6"/>
      <c r="BP178" s="6"/>
    </row>
    <row r="179" spans="4:68" ht="20.100000000000001" customHeight="1" x14ac:dyDescent="0.25">
      <c r="D179" s="4" t="s">
        <v>325</v>
      </c>
      <c r="BN179" s="6"/>
      <c r="BO179" s="6"/>
      <c r="BP179" s="6"/>
    </row>
    <row r="180" spans="4:68" ht="20.100000000000001" customHeight="1" x14ac:dyDescent="0.25">
      <c r="D180" s="30" t="s">
        <v>326</v>
      </c>
    </row>
    <row r="181" spans="4:68" ht="20.100000000000001" customHeight="1" x14ac:dyDescent="0.25">
      <c r="D181" s="31" t="s">
        <v>327</v>
      </c>
    </row>
    <row r="182" spans="4:68" ht="20.100000000000001" customHeight="1" x14ac:dyDescent="0.25">
      <c r="D182" s="31" t="s">
        <v>328</v>
      </c>
    </row>
    <row r="183" spans="4:68" ht="20.100000000000001" customHeight="1" x14ac:dyDescent="0.25">
      <c r="D183" s="31" t="s">
        <v>329</v>
      </c>
    </row>
    <row r="184" spans="4:68" ht="20.100000000000001" customHeight="1" x14ac:dyDescent="0.25">
      <c r="D184" s="31" t="s">
        <v>330</v>
      </c>
    </row>
    <row r="185" spans="4:68" ht="20.100000000000001" customHeight="1" x14ac:dyDescent="0.25">
      <c r="D185" s="31" t="s">
        <v>331</v>
      </c>
    </row>
    <row r="186" spans="4:68" ht="20.100000000000001" customHeight="1" x14ac:dyDescent="0.25">
      <c r="D186" s="26" t="s">
        <v>50</v>
      </c>
      <c r="E186" s="26" t="s">
        <v>51</v>
      </c>
      <c r="F186" s="26" t="s">
        <v>52</v>
      </c>
      <c r="G186" s="26" t="s">
        <v>53</v>
      </c>
      <c r="H186" s="26" t="s">
        <v>17</v>
      </c>
    </row>
    <row r="187" spans="4:68" ht="20.100000000000001" customHeight="1" x14ac:dyDescent="0.25">
      <c r="D187" s="26" t="s">
        <v>332</v>
      </c>
      <c r="E187" s="26">
        <v>5.8999999999999999E-3</v>
      </c>
      <c r="F187" s="26" t="s">
        <v>333</v>
      </c>
      <c r="G187" s="26" t="s">
        <v>265</v>
      </c>
      <c r="H187" s="26" t="s">
        <v>265</v>
      </c>
    </row>
    <row r="188" spans="4:68" ht="20.100000000000001" customHeight="1" x14ac:dyDescent="0.25">
      <c r="D188" s="26" t="s">
        <v>334</v>
      </c>
      <c r="E188" s="26">
        <v>7.0000000000000001E-3</v>
      </c>
      <c r="F188" s="26" t="s">
        <v>335</v>
      </c>
      <c r="G188" s="26" t="s">
        <v>265</v>
      </c>
      <c r="H188" s="26" t="s">
        <v>265</v>
      </c>
    </row>
    <row r="189" spans="4:68" ht="20.100000000000001" customHeight="1" x14ac:dyDescent="0.25">
      <c r="D189" s="26" t="s">
        <v>336</v>
      </c>
      <c r="E189" s="26">
        <v>1.8E-3</v>
      </c>
      <c r="F189" s="26" t="s">
        <v>333</v>
      </c>
      <c r="G189" s="26" t="s">
        <v>304</v>
      </c>
      <c r="H189" s="26" t="s">
        <v>290</v>
      </c>
    </row>
    <row r="190" spans="4:68" ht="20.100000000000001" customHeight="1" x14ac:dyDescent="0.25">
      <c r="D190" s="26" t="s">
        <v>336</v>
      </c>
      <c r="E190" s="26">
        <v>1.8E-3</v>
      </c>
      <c r="F190" s="26" t="s">
        <v>333</v>
      </c>
      <c r="G190" s="26" t="s">
        <v>304</v>
      </c>
      <c r="H190" s="26" t="s">
        <v>288</v>
      </c>
    </row>
    <row r="191" spans="4:68" ht="20.100000000000001" customHeight="1" x14ac:dyDescent="0.25">
      <c r="D191" s="26" t="s">
        <v>337</v>
      </c>
      <c r="E191" s="26">
        <v>2.8999999999999998E-3</v>
      </c>
      <c r="F191" s="26" t="s">
        <v>335</v>
      </c>
      <c r="G191" s="26" t="s">
        <v>304</v>
      </c>
      <c r="H191" s="26" t="s">
        <v>290</v>
      </c>
    </row>
    <row r="192" spans="4:68" ht="20.100000000000001" customHeight="1" x14ac:dyDescent="0.25">
      <c r="D192" s="26" t="s">
        <v>338</v>
      </c>
      <c r="E192" s="26">
        <v>8.0000000000000002E-3</v>
      </c>
      <c r="F192" s="26" t="s">
        <v>335</v>
      </c>
      <c r="G192" s="26" t="s">
        <v>304</v>
      </c>
      <c r="H192" s="26" t="s">
        <v>288</v>
      </c>
    </row>
    <row r="193" spans="4:8" ht="20.100000000000001" customHeight="1" x14ac:dyDescent="0.25">
      <c r="D193" s="26" t="s">
        <v>339</v>
      </c>
      <c r="E193" s="26">
        <v>1.9900000000000001E-2</v>
      </c>
      <c r="F193" s="26" t="s">
        <v>339</v>
      </c>
      <c r="G193" s="26" t="s">
        <v>265</v>
      </c>
      <c r="H193" s="26" t="s">
        <v>265</v>
      </c>
    </row>
    <row r="194" spans="4:8" ht="20.100000000000001" customHeight="1" x14ac:dyDescent="0.25">
      <c r="D194" s="26" t="s">
        <v>340</v>
      </c>
      <c r="E194" s="26">
        <v>5.3E-3</v>
      </c>
      <c r="F194" s="26" t="s">
        <v>340</v>
      </c>
      <c r="G194" s="26" t="s">
        <v>265</v>
      </c>
      <c r="H194" s="26" t="s">
        <v>265</v>
      </c>
    </row>
    <row r="195" spans="4:8" ht="20.100000000000001" customHeight="1" x14ac:dyDescent="0.25">
      <c r="D195" s="26" t="s">
        <v>341</v>
      </c>
      <c r="E195" s="26">
        <v>6.4000000000000003E-3</v>
      </c>
      <c r="F195" s="26" t="s">
        <v>341</v>
      </c>
      <c r="G195" s="26" t="s">
        <v>265</v>
      </c>
      <c r="H195" s="26" t="s">
        <v>265</v>
      </c>
    </row>
    <row r="196" spans="4:8" ht="20.100000000000001" customHeight="1" x14ac:dyDescent="0.25">
      <c r="D196" s="26" t="s">
        <v>342</v>
      </c>
      <c r="E196" s="26">
        <v>3.0000000000000001E-3</v>
      </c>
      <c r="F196" s="26" t="s">
        <v>343</v>
      </c>
      <c r="G196" s="26" t="s">
        <v>344</v>
      </c>
      <c r="H196" s="26" t="s">
        <v>265</v>
      </c>
    </row>
    <row r="197" spans="4:8" x14ac:dyDescent="0.25">
      <c r="D197" s="26" t="s">
        <v>345</v>
      </c>
      <c r="E197" s="26">
        <v>5.0000000000000001E-3</v>
      </c>
      <c r="F197" s="26" t="s">
        <v>343</v>
      </c>
      <c r="G197" s="26" t="s">
        <v>346</v>
      </c>
      <c r="H197" s="26" t="s">
        <v>265</v>
      </c>
    </row>
    <row r="198" spans="4:8" x14ac:dyDescent="0.25">
      <c r="D198" s="26" t="s">
        <v>347</v>
      </c>
      <c r="E198" s="26">
        <v>2.5999999999999999E-3</v>
      </c>
      <c r="F198" s="26" t="s">
        <v>347</v>
      </c>
      <c r="G198" s="26" t="s">
        <v>265</v>
      </c>
      <c r="H198" s="26" t="s">
        <v>265</v>
      </c>
    </row>
    <row r="199" spans="4:8" x14ac:dyDescent="0.25">
      <c r="D199" s="26" t="s">
        <v>348</v>
      </c>
      <c r="E199" s="26">
        <v>1.8E-3</v>
      </c>
      <c r="F199" s="26" t="s">
        <v>348</v>
      </c>
      <c r="G199" s="26" t="s">
        <v>265</v>
      </c>
      <c r="H199" s="26" t="s">
        <v>265</v>
      </c>
    </row>
    <row r="202" spans="4:8" ht="23.25" x14ac:dyDescent="0.25">
      <c r="D202" s="5" t="s">
        <v>349</v>
      </c>
    </row>
    <row r="203" spans="4:8" x14ac:dyDescent="0.25">
      <c r="D203" s="4" t="s">
        <v>350</v>
      </c>
    </row>
    <row r="204" spans="4:8" x14ac:dyDescent="0.25">
      <c r="D204" s="31" t="s">
        <v>351</v>
      </c>
    </row>
    <row r="205" spans="4:8" x14ac:dyDescent="0.25">
      <c r="D205" s="30" t="s">
        <v>352</v>
      </c>
    </row>
    <row r="206" spans="4:8" x14ac:dyDescent="0.25">
      <c r="D206" s="26" t="s">
        <v>4</v>
      </c>
      <c r="E206" s="26" t="s">
        <v>58</v>
      </c>
    </row>
    <row r="207" spans="4:8" x14ac:dyDescent="0.25">
      <c r="D207" s="26" t="s">
        <v>247</v>
      </c>
      <c r="E207" s="26">
        <v>6.0000000000000001E-3</v>
      </c>
    </row>
    <row r="208" spans="4:8" x14ac:dyDescent="0.25">
      <c r="D208" s="1" t="s">
        <v>251</v>
      </c>
      <c r="E208" s="26">
        <v>2E-3</v>
      </c>
    </row>
    <row r="211" spans="4:5" x14ac:dyDescent="0.25">
      <c r="D211" s="1" t="s">
        <v>353</v>
      </c>
    </row>
    <row r="212" spans="4:5" x14ac:dyDescent="0.25">
      <c r="D212" s="26" t="s">
        <v>55</v>
      </c>
      <c r="E212" s="26" t="s">
        <v>61</v>
      </c>
    </row>
    <row r="213" spans="4:5" x14ac:dyDescent="0.25">
      <c r="D213" s="26" t="s">
        <v>354</v>
      </c>
      <c r="E213" s="26" t="s">
        <v>355</v>
      </c>
    </row>
    <row r="214" spans="4:5" x14ac:dyDescent="0.25">
      <c r="D214" s="1" t="s">
        <v>356</v>
      </c>
      <c r="E214" s="26" t="s">
        <v>355</v>
      </c>
    </row>
    <row r="215" spans="4:5" x14ac:dyDescent="0.25">
      <c r="D215" s="1" t="s">
        <v>357</v>
      </c>
      <c r="E215" s="26" t="s">
        <v>358</v>
      </c>
    </row>
    <row r="216" spans="4:5" x14ac:dyDescent="0.25">
      <c r="D216" s="1" t="s">
        <v>359</v>
      </c>
      <c r="E216" s="26" t="s">
        <v>358</v>
      </c>
    </row>
    <row r="217" spans="4:5" x14ac:dyDescent="0.25">
      <c r="D217" s="1" t="s">
        <v>360</v>
      </c>
      <c r="E217" s="26" t="s">
        <v>358</v>
      </c>
    </row>
    <row r="218" spans="4:5" x14ac:dyDescent="0.25">
      <c r="D218" s="1" t="s">
        <v>361</v>
      </c>
      <c r="E218" s="26" t="s">
        <v>362</v>
      </c>
    </row>
    <row r="219" spans="4:5" x14ac:dyDescent="0.25">
      <c r="D219" s="1" t="s">
        <v>363</v>
      </c>
      <c r="E219" s="26" t="s">
        <v>362</v>
      </c>
    </row>
    <row r="220" spans="4:5" x14ac:dyDescent="0.25">
      <c r="D220" s="1" t="s">
        <v>364</v>
      </c>
      <c r="E220" s="26" t="s">
        <v>362</v>
      </c>
    </row>
    <row r="221" spans="4:5" x14ac:dyDescent="0.25">
      <c r="D221" s="1" t="s">
        <v>365</v>
      </c>
      <c r="E221" s="26" t="s">
        <v>366</v>
      </c>
    </row>
    <row r="222" spans="4:5" x14ac:dyDescent="0.25">
      <c r="D222" s="1" t="s">
        <v>367</v>
      </c>
      <c r="E222" s="26" t="s">
        <v>366</v>
      </c>
    </row>
    <row r="223" spans="4:5" x14ac:dyDescent="0.25">
      <c r="D223" s="1" t="s">
        <v>368</v>
      </c>
      <c r="E223" s="26" t="s">
        <v>366</v>
      </c>
    </row>
    <row r="224" spans="4:5" x14ac:dyDescent="0.25">
      <c r="D224" s="1" t="s">
        <v>369</v>
      </c>
      <c r="E224" s="26" t="s">
        <v>355</v>
      </c>
    </row>
    <row r="227" spans="4:19" ht="23.25" x14ac:dyDescent="0.25">
      <c r="D227" s="5" t="s">
        <v>370</v>
      </c>
    </row>
    <row r="228" spans="4:19" x14ac:dyDescent="0.25">
      <c r="D228" s="4" t="s">
        <v>371</v>
      </c>
    </row>
    <row r="229" spans="4:19" x14ac:dyDescent="0.25">
      <c r="D229" s="31" t="s">
        <v>372</v>
      </c>
    </row>
    <row r="231" spans="4:19" x14ac:dyDescent="0.25">
      <c r="D231" s="26" t="s">
        <v>34</v>
      </c>
      <c r="E231" s="26" t="s">
        <v>69</v>
      </c>
      <c r="F231" s="25" t="s">
        <v>70</v>
      </c>
      <c r="G231" s="26" t="s">
        <v>65</v>
      </c>
      <c r="H231" s="26" t="s">
        <v>71</v>
      </c>
      <c r="I231" s="26" t="s">
        <v>72</v>
      </c>
      <c r="J231" s="26" t="s">
        <v>64</v>
      </c>
      <c r="K231" s="26" t="s">
        <v>63</v>
      </c>
      <c r="L231" s="26" t="s">
        <v>73</v>
      </c>
      <c r="M231" s="26" t="s">
        <v>74</v>
      </c>
      <c r="N231" s="26" t="s">
        <v>62</v>
      </c>
      <c r="O231" s="26" t="s">
        <v>75</v>
      </c>
      <c r="P231" s="26" t="s">
        <v>67</v>
      </c>
      <c r="Q231" s="26" t="s">
        <v>68</v>
      </c>
      <c r="R231" s="26" t="s">
        <v>66</v>
      </c>
      <c r="S231" s="26" t="s">
        <v>76</v>
      </c>
    </row>
    <row r="232" spans="4:19" x14ac:dyDescent="0.25">
      <c r="D232" s="26" t="s">
        <v>285</v>
      </c>
      <c r="E232" s="26" t="s">
        <v>373</v>
      </c>
      <c r="F232" s="26">
        <v>0.66</v>
      </c>
      <c r="G232" s="26">
        <v>0.1</v>
      </c>
      <c r="H232" s="26">
        <v>0.1</v>
      </c>
      <c r="I232" s="26">
        <v>1E-3</v>
      </c>
      <c r="J232" s="26">
        <v>5.0000000000000001E-3</v>
      </c>
      <c r="K232" s="26">
        <v>0.02</v>
      </c>
      <c r="L232" s="26">
        <v>0.03</v>
      </c>
      <c r="M232" s="26">
        <v>0.04</v>
      </c>
      <c r="N232" s="26">
        <v>1.4999999999999999E-2</v>
      </c>
      <c r="O232" s="26">
        <v>1.4999999999999999E-2</v>
      </c>
      <c r="P232" s="26">
        <v>0</v>
      </c>
      <c r="Q232" s="26">
        <v>0</v>
      </c>
      <c r="R232" s="26">
        <v>4.7000000000000002E-3</v>
      </c>
      <c r="S232" s="26">
        <v>10</v>
      </c>
    </row>
    <row r="233" spans="4:19" x14ac:dyDescent="0.25">
      <c r="D233" s="1" t="s">
        <v>285</v>
      </c>
      <c r="E233" s="26">
        <v>11</v>
      </c>
      <c r="F233" s="26">
        <v>0.68</v>
      </c>
      <c r="G233" s="26">
        <v>0.1</v>
      </c>
      <c r="H233" s="26">
        <v>0.11</v>
      </c>
      <c r="I233" s="26">
        <v>1E-3</v>
      </c>
      <c r="J233" s="26">
        <v>5.0000000000000001E-3</v>
      </c>
      <c r="K233" s="26">
        <v>0.02</v>
      </c>
      <c r="L233" s="26">
        <v>0.03</v>
      </c>
      <c r="M233" s="26">
        <v>0.04</v>
      </c>
      <c r="N233" s="26">
        <v>1.4999999999999999E-2</v>
      </c>
      <c r="O233" s="26">
        <v>1.4999999999999999E-2</v>
      </c>
      <c r="P233" s="26">
        <v>0</v>
      </c>
      <c r="Q233" s="26">
        <v>0</v>
      </c>
      <c r="R233" s="26">
        <v>4.7000000000000002E-3</v>
      </c>
      <c r="S233" s="26">
        <v>11</v>
      </c>
    </row>
    <row r="234" spans="4:19" x14ac:dyDescent="0.25">
      <c r="D234" s="1" t="s">
        <v>285</v>
      </c>
      <c r="E234" s="26">
        <v>12</v>
      </c>
      <c r="F234" s="26">
        <v>0.7</v>
      </c>
      <c r="G234" s="26">
        <v>0.1</v>
      </c>
      <c r="H234" s="26">
        <v>0.13</v>
      </c>
      <c r="I234" s="26">
        <v>1E-3</v>
      </c>
      <c r="J234" s="26">
        <v>5.0000000000000001E-3</v>
      </c>
      <c r="K234" s="26">
        <v>0.02</v>
      </c>
      <c r="L234" s="26">
        <v>0.03</v>
      </c>
      <c r="M234" s="26">
        <v>0.04</v>
      </c>
      <c r="N234" s="26">
        <v>1.4999999999999999E-2</v>
      </c>
      <c r="O234" s="26">
        <v>1.4999999999999999E-2</v>
      </c>
      <c r="P234" s="26">
        <v>0</v>
      </c>
      <c r="Q234" s="26">
        <v>0</v>
      </c>
      <c r="R234" s="26">
        <v>4.7000000000000002E-3</v>
      </c>
      <c r="S234" s="26">
        <v>12</v>
      </c>
    </row>
    <row r="235" spans="4:19" x14ac:dyDescent="0.25">
      <c r="D235" s="1" t="s">
        <v>285</v>
      </c>
      <c r="E235" s="26">
        <v>13</v>
      </c>
      <c r="F235" s="26">
        <v>0.71</v>
      </c>
      <c r="G235" s="26">
        <v>0.1</v>
      </c>
      <c r="H235" s="26">
        <v>0.14000000000000001</v>
      </c>
      <c r="I235" s="26">
        <v>1E-3</v>
      </c>
      <c r="J235" s="26">
        <v>5.0000000000000001E-3</v>
      </c>
      <c r="K235" s="26">
        <v>0.02</v>
      </c>
      <c r="L235" s="26">
        <v>0.03</v>
      </c>
      <c r="M235" s="26">
        <v>0.04</v>
      </c>
      <c r="N235" s="26">
        <v>1.4999999999999999E-2</v>
      </c>
      <c r="O235" s="26">
        <v>1.4999999999999999E-2</v>
      </c>
      <c r="P235" s="26">
        <v>0</v>
      </c>
      <c r="Q235" s="26">
        <v>0</v>
      </c>
      <c r="R235" s="26">
        <v>4.7000000000000002E-3</v>
      </c>
      <c r="S235" s="26">
        <v>13</v>
      </c>
    </row>
    <row r="236" spans="4:19" x14ac:dyDescent="0.25">
      <c r="D236" s="1" t="s">
        <v>285</v>
      </c>
      <c r="E236" s="26">
        <v>14</v>
      </c>
      <c r="F236" s="26">
        <v>0.73</v>
      </c>
      <c r="G236" s="26">
        <v>0.1</v>
      </c>
      <c r="H236" s="26">
        <v>0.15</v>
      </c>
      <c r="I236" s="26">
        <v>1E-3</v>
      </c>
      <c r="J236" s="26">
        <v>5.0000000000000001E-3</v>
      </c>
      <c r="K236" s="26">
        <v>0.02</v>
      </c>
      <c r="L236" s="26">
        <v>0.03</v>
      </c>
      <c r="M236" s="26">
        <v>0.04</v>
      </c>
      <c r="N236" s="26">
        <v>1.4999999999999999E-2</v>
      </c>
      <c r="O236" s="26">
        <v>1.4999999999999999E-2</v>
      </c>
      <c r="P236" s="26">
        <v>0</v>
      </c>
      <c r="Q236" s="26">
        <v>0</v>
      </c>
      <c r="R236" s="26">
        <v>4.7000000000000002E-3</v>
      </c>
      <c r="S236" s="26">
        <v>14</v>
      </c>
    </row>
    <row r="237" spans="4:19" x14ac:dyDescent="0.25">
      <c r="D237" s="1" t="s">
        <v>283</v>
      </c>
      <c r="E237" s="26">
        <v>15</v>
      </c>
      <c r="F237" s="26">
        <v>0.74</v>
      </c>
      <c r="G237" s="26">
        <v>0.1</v>
      </c>
      <c r="H237" s="26">
        <v>0.17</v>
      </c>
      <c r="I237" s="26">
        <v>5.0000000000000001E-3</v>
      </c>
      <c r="J237" s="26">
        <v>0.01</v>
      </c>
      <c r="K237" s="26">
        <v>0.02</v>
      </c>
      <c r="L237" s="26">
        <v>0.03</v>
      </c>
      <c r="M237" s="26">
        <v>0.04</v>
      </c>
      <c r="N237" s="26">
        <v>1.4999999999999999E-2</v>
      </c>
      <c r="O237" s="26">
        <v>1.4999999999999999E-2</v>
      </c>
      <c r="P237" s="26">
        <v>0</v>
      </c>
      <c r="Q237" s="26">
        <v>0</v>
      </c>
      <c r="R237" s="26">
        <v>4.7000000000000002E-3</v>
      </c>
      <c r="S237" s="26">
        <v>15</v>
      </c>
    </row>
    <row r="238" spans="4:19" x14ac:dyDescent="0.25">
      <c r="D238" s="1" t="s">
        <v>283</v>
      </c>
      <c r="E238" s="26">
        <v>16</v>
      </c>
      <c r="F238" s="26">
        <v>0.75</v>
      </c>
      <c r="G238" s="26">
        <v>0.1</v>
      </c>
      <c r="H238" s="26">
        <v>0.18</v>
      </c>
      <c r="I238" s="26">
        <v>5.0000000000000001E-3</v>
      </c>
      <c r="J238" s="26">
        <v>0.01</v>
      </c>
      <c r="K238" s="26">
        <v>0.02</v>
      </c>
      <c r="L238" s="26">
        <v>0.03</v>
      </c>
      <c r="M238" s="26">
        <v>0.04</v>
      </c>
      <c r="N238" s="26">
        <v>1.4999999999999999E-2</v>
      </c>
      <c r="O238" s="26">
        <v>1.4999999999999999E-2</v>
      </c>
      <c r="P238" s="26">
        <v>0</v>
      </c>
      <c r="Q238" s="26">
        <v>0</v>
      </c>
      <c r="R238" s="26">
        <v>4.7000000000000002E-3</v>
      </c>
      <c r="S238" s="26">
        <v>16</v>
      </c>
    </row>
    <row r="239" spans="4:19" x14ac:dyDescent="0.25">
      <c r="D239" s="1" t="s">
        <v>283</v>
      </c>
      <c r="E239" s="26">
        <v>17</v>
      </c>
      <c r="F239" s="26">
        <v>0.76</v>
      </c>
      <c r="G239" s="26">
        <v>0.1</v>
      </c>
      <c r="H239" s="26">
        <v>0.2</v>
      </c>
      <c r="I239" s="26">
        <v>5.0000000000000001E-3</v>
      </c>
      <c r="J239" s="26">
        <v>0.01</v>
      </c>
      <c r="K239" s="26">
        <v>0.02</v>
      </c>
      <c r="L239" s="26">
        <v>0.03</v>
      </c>
      <c r="M239" s="26">
        <v>0.04</v>
      </c>
      <c r="N239" s="26">
        <v>1.4999999999999999E-2</v>
      </c>
      <c r="O239" s="26">
        <v>1.4999999999999999E-2</v>
      </c>
      <c r="P239" s="26">
        <v>0</v>
      </c>
      <c r="Q239" s="26">
        <v>0</v>
      </c>
      <c r="R239" s="26">
        <v>4.7000000000000002E-3</v>
      </c>
      <c r="S239" s="26">
        <v>17</v>
      </c>
    </row>
    <row r="240" spans="4:19" x14ac:dyDescent="0.25">
      <c r="D240" s="1" t="s">
        <v>283</v>
      </c>
      <c r="E240" s="26">
        <v>18</v>
      </c>
      <c r="F240" s="26">
        <v>0.77</v>
      </c>
      <c r="G240" s="26">
        <v>0.1</v>
      </c>
      <c r="H240" s="26">
        <v>0.22</v>
      </c>
      <c r="I240" s="26">
        <v>5.0000000000000001E-3</v>
      </c>
      <c r="J240" s="26">
        <v>0.01</v>
      </c>
      <c r="K240" s="26">
        <v>0.02</v>
      </c>
      <c r="L240" s="26">
        <v>0.03</v>
      </c>
      <c r="M240" s="26">
        <v>0.04</v>
      </c>
      <c r="N240" s="26">
        <v>1.4999999999999999E-2</v>
      </c>
      <c r="O240" s="26">
        <v>1.4999999999999999E-2</v>
      </c>
      <c r="P240" s="26">
        <v>0</v>
      </c>
      <c r="Q240" s="26">
        <v>0</v>
      </c>
      <c r="R240" s="26">
        <v>4.7000000000000002E-3</v>
      </c>
      <c r="S240" s="26">
        <v>18</v>
      </c>
    </row>
    <row r="241" spans="4:19" x14ac:dyDescent="0.25">
      <c r="D241" s="1" t="s">
        <v>283</v>
      </c>
      <c r="E241" s="26">
        <v>19</v>
      </c>
      <c r="F241" s="26">
        <v>0.77</v>
      </c>
      <c r="G241" s="26">
        <v>0.1</v>
      </c>
      <c r="H241" s="26">
        <v>0.24</v>
      </c>
      <c r="I241" s="26">
        <v>5.0000000000000001E-3</v>
      </c>
      <c r="J241" s="26">
        <v>0.01</v>
      </c>
      <c r="K241" s="26">
        <v>0.02</v>
      </c>
      <c r="L241" s="26">
        <v>0.03</v>
      </c>
      <c r="M241" s="26">
        <v>0.04</v>
      </c>
      <c r="N241" s="26">
        <v>1.4999999999999999E-2</v>
      </c>
      <c r="O241" s="26">
        <v>1.4999999999999999E-2</v>
      </c>
      <c r="P241" s="26">
        <v>0</v>
      </c>
      <c r="Q241" s="26">
        <v>0</v>
      </c>
      <c r="R241" s="26">
        <v>4.7000000000000002E-3</v>
      </c>
      <c r="S241" s="26">
        <v>19</v>
      </c>
    </row>
    <row r="242" spans="4:19" x14ac:dyDescent="0.25">
      <c r="D242" s="1" t="s">
        <v>283</v>
      </c>
      <c r="E242" s="26">
        <v>20</v>
      </c>
      <c r="F242" s="26">
        <v>0.78</v>
      </c>
      <c r="G242" s="26">
        <v>0.1</v>
      </c>
      <c r="H242" s="26">
        <v>0.26</v>
      </c>
      <c r="I242" s="26">
        <v>5.0000000000000001E-3</v>
      </c>
      <c r="J242" s="26">
        <v>0.01</v>
      </c>
      <c r="K242" s="26">
        <v>0.02</v>
      </c>
      <c r="L242" s="26">
        <v>0.03</v>
      </c>
      <c r="M242" s="26">
        <v>0.04</v>
      </c>
      <c r="N242" s="26">
        <v>1.4999999999999999E-2</v>
      </c>
      <c r="O242" s="26">
        <v>1.4999999999999999E-2</v>
      </c>
      <c r="P242" s="26">
        <v>0</v>
      </c>
      <c r="Q242" s="26">
        <v>0</v>
      </c>
      <c r="R242" s="26">
        <v>4.7000000000000002E-3</v>
      </c>
      <c r="S242" s="26">
        <v>20</v>
      </c>
    </row>
    <row r="243" spans="4:19" x14ac:dyDescent="0.25">
      <c r="D243" s="1" t="s">
        <v>283</v>
      </c>
      <c r="E243" s="26">
        <v>21</v>
      </c>
      <c r="F243" s="26">
        <v>0.78</v>
      </c>
      <c r="G243" s="26">
        <v>0.1</v>
      </c>
      <c r="H243" s="26">
        <v>0.28999999999999998</v>
      </c>
      <c r="I243" s="26">
        <v>5.0000000000000001E-3</v>
      </c>
      <c r="J243" s="26">
        <v>0.01</v>
      </c>
      <c r="K243" s="26">
        <v>0.02</v>
      </c>
      <c r="L243" s="26">
        <v>0.03</v>
      </c>
      <c r="M243" s="26">
        <v>0.04</v>
      </c>
      <c r="N243" s="26">
        <v>1.4999999999999999E-2</v>
      </c>
      <c r="O243" s="26">
        <v>1.4999999999999999E-2</v>
      </c>
      <c r="P243" s="26">
        <v>0</v>
      </c>
      <c r="Q243" s="26">
        <v>0</v>
      </c>
      <c r="R243" s="26">
        <v>4.7000000000000002E-3</v>
      </c>
      <c r="S243" s="26">
        <v>21</v>
      </c>
    </row>
    <row r="244" spans="4:19" x14ac:dyDescent="0.25">
      <c r="D244" s="1" t="s">
        <v>283</v>
      </c>
      <c r="E244" s="26">
        <v>22</v>
      </c>
      <c r="F244" s="26">
        <v>0.78</v>
      </c>
      <c r="G244" s="26">
        <v>0.1</v>
      </c>
      <c r="H244" s="26">
        <v>0.31</v>
      </c>
      <c r="I244" s="26">
        <v>5.0000000000000001E-3</v>
      </c>
      <c r="J244" s="26">
        <v>0.01</v>
      </c>
      <c r="K244" s="26">
        <v>0.02</v>
      </c>
      <c r="L244" s="26">
        <v>0.03</v>
      </c>
      <c r="M244" s="26">
        <v>0.04</v>
      </c>
      <c r="N244" s="26">
        <v>1.4999999999999999E-2</v>
      </c>
      <c r="O244" s="26">
        <v>1.4999999999999999E-2</v>
      </c>
      <c r="P244" s="26">
        <v>0</v>
      </c>
      <c r="Q244" s="26">
        <v>0</v>
      </c>
      <c r="R244" s="26">
        <v>4.7000000000000002E-3</v>
      </c>
      <c r="S244" s="26">
        <v>22</v>
      </c>
    </row>
    <row r="245" spans="4:19" x14ac:dyDescent="0.25">
      <c r="D245" s="1" t="s">
        <v>283</v>
      </c>
      <c r="E245" s="26">
        <v>23</v>
      </c>
      <c r="F245" s="26">
        <v>0.79</v>
      </c>
      <c r="G245" s="26">
        <v>0.1</v>
      </c>
      <c r="H245" s="26">
        <v>0.34</v>
      </c>
      <c r="I245" s="26">
        <v>5.0000000000000001E-3</v>
      </c>
      <c r="J245" s="26">
        <v>0.01</v>
      </c>
      <c r="K245" s="26">
        <v>0.02</v>
      </c>
      <c r="L245" s="26">
        <v>0.03</v>
      </c>
      <c r="M245" s="26">
        <v>0.04</v>
      </c>
      <c r="N245" s="26">
        <v>1.4999999999999999E-2</v>
      </c>
      <c r="O245" s="26">
        <v>1.4999999999999999E-2</v>
      </c>
      <c r="P245" s="26">
        <v>0</v>
      </c>
      <c r="Q245" s="26">
        <v>0</v>
      </c>
      <c r="R245" s="26">
        <v>4.7000000000000002E-3</v>
      </c>
      <c r="S245" s="26">
        <v>23</v>
      </c>
    </row>
    <row r="246" spans="4:19" x14ac:dyDescent="0.25">
      <c r="D246" s="1" t="s">
        <v>283</v>
      </c>
      <c r="E246" s="26">
        <v>24</v>
      </c>
      <c r="F246" s="26">
        <v>0.79</v>
      </c>
      <c r="G246" s="26">
        <v>0.1</v>
      </c>
      <c r="H246" s="26">
        <v>0.37</v>
      </c>
      <c r="I246" s="26">
        <v>5.0000000000000001E-3</v>
      </c>
      <c r="J246" s="26">
        <v>0.01</v>
      </c>
      <c r="K246" s="26">
        <v>0.02</v>
      </c>
      <c r="L246" s="26">
        <v>0.03</v>
      </c>
      <c r="M246" s="26">
        <v>0.04</v>
      </c>
      <c r="N246" s="26">
        <v>1.4999999999999999E-2</v>
      </c>
      <c r="O246" s="26">
        <v>1.4999999999999999E-2</v>
      </c>
      <c r="P246" s="26">
        <v>0</v>
      </c>
      <c r="Q246" s="26">
        <v>0</v>
      </c>
      <c r="R246" s="26">
        <v>4.7000000000000002E-3</v>
      </c>
      <c r="S246" s="26">
        <v>24</v>
      </c>
    </row>
    <row r="247" spans="4:19" x14ac:dyDescent="0.25">
      <c r="D247" s="1" t="s">
        <v>283</v>
      </c>
      <c r="E247" s="26">
        <v>25</v>
      </c>
      <c r="F247" s="26">
        <v>0.79</v>
      </c>
      <c r="G247" s="26">
        <v>0.1</v>
      </c>
      <c r="H247" s="26">
        <v>0.41</v>
      </c>
      <c r="I247" s="26">
        <v>5.0000000000000001E-3</v>
      </c>
      <c r="J247" s="26">
        <v>0.01</v>
      </c>
      <c r="K247" s="26">
        <v>0.02</v>
      </c>
      <c r="L247" s="26">
        <v>0.03</v>
      </c>
      <c r="M247" s="26">
        <v>0.04</v>
      </c>
      <c r="N247" s="26">
        <v>1.4999999999999999E-2</v>
      </c>
      <c r="O247" s="26">
        <v>1.4999999999999999E-2</v>
      </c>
      <c r="P247" s="26">
        <v>0</v>
      </c>
      <c r="Q247" s="26">
        <v>0</v>
      </c>
      <c r="R247" s="26">
        <v>4.7000000000000002E-3</v>
      </c>
      <c r="S247" s="26">
        <v>25</v>
      </c>
    </row>
    <row r="248" spans="4:19" x14ac:dyDescent="0.25">
      <c r="D248" s="1" t="s">
        <v>281</v>
      </c>
      <c r="E248" s="26">
        <v>26</v>
      </c>
      <c r="F248" s="26">
        <v>0.79</v>
      </c>
      <c r="G248" s="26">
        <v>0.1</v>
      </c>
      <c r="H248" s="26">
        <v>0.44</v>
      </c>
      <c r="I248" s="26">
        <v>0.01</v>
      </c>
      <c r="J248" s="26">
        <v>1.4999999999999999E-2</v>
      </c>
      <c r="K248" s="26">
        <v>0.02</v>
      </c>
      <c r="L248" s="26">
        <v>0.03</v>
      </c>
      <c r="M248" s="26">
        <v>0.04</v>
      </c>
      <c r="N248" s="26">
        <v>1.4999999999999999E-2</v>
      </c>
      <c r="O248" s="26">
        <v>1.4999999999999999E-2</v>
      </c>
      <c r="P248" s="26">
        <v>0</v>
      </c>
      <c r="Q248" s="26">
        <v>0</v>
      </c>
      <c r="R248" s="26">
        <v>4.7000000000000002E-3</v>
      </c>
      <c r="S248" s="26">
        <v>26</v>
      </c>
    </row>
    <row r="249" spans="4:19" x14ac:dyDescent="0.25">
      <c r="D249" s="1" t="s">
        <v>281</v>
      </c>
      <c r="E249" s="26">
        <v>27</v>
      </c>
      <c r="F249" s="26">
        <v>0.8</v>
      </c>
      <c r="G249" s="26">
        <v>0.1</v>
      </c>
      <c r="H249" s="26">
        <v>0.48</v>
      </c>
      <c r="I249" s="26">
        <v>0.01</v>
      </c>
      <c r="J249" s="26">
        <v>1.4999999999999999E-2</v>
      </c>
      <c r="K249" s="26">
        <v>0.02</v>
      </c>
      <c r="L249" s="26">
        <v>0.03</v>
      </c>
      <c r="M249" s="26">
        <v>0.04</v>
      </c>
      <c r="N249" s="26">
        <v>1.4999999999999999E-2</v>
      </c>
      <c r="O249" s="26">
        <v>1.4999999999999999E-2</v>
      </c>
      <c r="P249" s="26">
        <v>0</v>
      </c>
      <c r="Q249" s="26">
        <v>0</v>
      </c>
      <c r="R249" s="26">
        <v>4.7000000000000002E-3</v>
      </c>
      <c r="S249" s="26">
        <v>27</v>
      </c>
    </row>
    <row r="250" spans="4:19" x14ac:dyDescent="0.25">
      <c r="D250" s="1" t="s">
        <v>281</v>
      </c>
      <c r="E250" s="26" t="s">
        <v>374</v>
      </c>
      <c r="F250" s="26">
        <v>0.8</v>
      </c>
      <c r="G250" s="26">
        <v>0.1</v>
      </c>
      <c r="H250" s="26">
        <v>0.5</v>
      </c>
      <c r="I250" s="26">
        <v>0.01</v>
      </c>
      <c r="J250" s="26">
        <v>1.4999999999999999E-2</v>
      </c>
      <c r="K250" s="26">
        <v>0.02</v>
      </c>
      <c r="L250" s="26">
        <v>0.03</v>
      </c>
      <c r="M250" s="26">
        <v>0.04</v>
      </c>
      <c r="N250" s="26">
        <v>1.4999999999999999E-2</v>
      </c>
      <c r="O250" s="26">
        <v>1.4999999999999999E-2</v>
      </c>
      <c r="P250" s="26">
        <v>0</v>
      </c>
      <c r="Q250" s="26">
        <v>0</v>
      </c>
      <c r="R250" s="26">
        <v>4.7000000000000002E-3</v>
      </c>
      <c r="S250" s="26">
        <v>28</v>
      </c>
    </row>
    <row r="253" spans="4:19" ht="23.25" x14ac:dyDescent="0.25">
      <c r="D253" s="5" t="s">
        <v>375</v>
      </c>
    </row>
    <row r="254" spans="4:19" x14ac:dyDescent="0.25">
      <c r="D254" s="4" t="s">
        <v>376</v>
      </c>
    </row>
    <row r="255" spans="4:19" x14ac:dyDescent="0.25">
      <c r="D255" s="1" t="s">
        <v>78</v>
      </c>
    </row>
    <row r="256" spans="4:19" x14ac:dyDescent="0.25">
      <c r="D256" s="30" t="s">
        <v>352</v>
      </c>
    </row>
    <row r="257" spans="4:5" x14ac:dyDescent="0.25">
      <c r="D257" s="26" t="s">
        <v>77</v>
      </c>
      <c r="E257" s="26" t="s">
        <v>78</v>
      </c>
    </row>
    <row r="258" spans="4:5" x14ac:dyDescent="0.25">
      <c r="D258" s="26" t="s">
        <v>247</v>
      </c>
      <c r="E258" s="26">
        <v>6.0000000000000001E-3</v>
      </c>
    </row>
    <row r="259" spans="4:5" x14ac:dyDescent="0.25">
      <c r="D259" s="1" t="s">
        <v>251</v>
      </c>
      <c r="E259" s="26">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gAx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uAGkAbgBnAHMAKQBcACIALAAgADEALgA2ACwAIABcACIATgBHAEEARgAgADIAMAAyADUAIAB0AGEAYgBsAGUAIAAxADUAXAAiADsAXABuACAAIAAgACAAIAAgACAAIABcACIATABhAG4AZABmAGkAbABsAFwAIgAsACAAXAAiAFcAbwBvAGQAXAAiACwAIAAwAC4ANwAsACAAXAAiAE4ARwBBAEYAIAAyADAAMgA1ACAAdABhAGIAbABlACAAMQA1AFwAIgA7AFwAbgAgACAAIAAgACAAIAAgACAAXAAiAEwAYQBuAGQAZgBpAGwAbABcACIALAAgAFwAIgBUAGUAeAB0AGkAbABlAHMAXAAiACwAIAAyAC4AMAAsACAAXAAiAE4ARwBBAEYAIAAyADAAMgA1ACAAdABhAGIAbABlACAAMQA1AFwAIgA7AFwAbgAgACAAIAAgACAAIAAgACAAXAAiAEwAYQBuAGQAZgBpAGwAbABcACIALAAgAFwAIgBTAGwAdQBkAGcAZQBcACIALAAgADAALgA0ACwAIABcACIATgBHAEEARgAgADIAMAAyADUAIAB0AGEAYgBsAGUAIAAxADUAXAAiADsAXABuACAAIAAgACAAIAAgACAAIABcACIATABhAG4AZABmAGkAbABsAFwAIgAsACAAXAAiAFIAdQBiAGIAZQByACAAYQBuAGQAIABsAGUAYQB0AGgAZQByAFwAIgAsACAAMwAuADMALAAgAFwAIgBOAEcAQQBGACAAMgAwADIANQAgAHQAYQBiAGwAZQAgADEANQBcACIAOwBcAG4AIAAgACAAIAAgACAAIAAgAFwAIgBMAGEAbgBkAGYAaQBsAGwAXAAiACwAIABcACIASQBuAGUAcgB0ACAAdwBhAHMAdABlACAAKABpAG4AYwBsAHUAZABpAG4AZwAgAGMAbwBuAGMAcgBlAHQAZQAsACAAbQBlAHQAYQBsACwAIABwAGwAYQBzAHQAaQBjACAAbwByACAAZwBsAGEAcwBzACkAXAAiACwAIAAwACwAIABcACIATgBHAEEARgAgADIAMAAyADUAIAB0AGEAYgBsAGUAIAAxADUAXAAiADsAXABuACAAIAAgACAAIAAgACAAIABcACIATABhAG4AZABmAGkAbABsAFwAIgAsACAAXAAiAE0AdQBuAGkAYwBpAHAAYQBsACAAcwBvAGwAaQBkACAAdwBhAHMAdABlAFwAIgAsACAAMQAuADYALAAgAFwAIgBOAEcAQQBGACAAMgAwADIANQAgAHQAYQBiAGwAZQAgADEANQBcACIAOwBcAG4AIAAgACAAIAAgACAAIAAgAFwAIgBMAGEAbgBkAGYAaQBsAGwAXAAiACwAIABcACIAQwBvAG0AbQBlAHIAYwBpAGEAbAAgAGEAbgBkACAAaQBuAGQAdQBzAHQAcgBpAGEAbAAgAHcAYQBzAHQAZQBcACIALAAgADEALgAzACwAIABcACIATgBHAEEARgAgADIAMAAyADUAIAB0AGEAYgBsAGUAIAAxADUAXAAiADsAXABuACAAIAAgACAAIAAgACAAIABcACIATABhAG4AZABmAGkAbABsAFwAIgAsACAAXAAiAEMAbwBuAHMAdAByAHUAYwB0AGkAbwBuACAAYQBuAGQAIABkAGUAbQBvAGwAaQB0AGkAbwBuACAAdwBhAHMAdABlAFwAIgAsACAAMAAuADIALAAgAFwAIgBOAEcAQQBGACAAMgAwADIANQAgAHQAYQBiAGwAZQAgADEANQBcACIAOw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FAAYQBwAGUAcgAgAGEAbgBkACAAYwBhAHIAZABiAG8AYQByAGQAXAAiACwAIAAwAC4AMAAxADYAOQAsACAAXAAiAFwAIgA7AFwAbgAgACAAIAAgACAAIAAgACAAXAAiAEkAbgBjAGkAbgBlAHIAYQB0AGkAbwBuAFwAIgAsACAAXAAiAFQAZQB4AHQAaQBsAGUAcwBcACIALAAgADAALgAzADYANgA3ACwAIABcACIAXAAiADsAXABuACAAIAAgACAAIAAgACAAIABcACIASQBuAGMAaQBuAGUAcgBhAHQAaQBvAG4AXAAiACwAIABcACIAUgB1AGIAYgBlAHIAIABhAG4AZAAgAGwAZQBhAHQAaABlAHIAXAAiACwAIAAwAC4ANAA5ADEAOQAsACAAXAAiAFwAIgA7AFwAbgAgACAAIAAgACAAIAAgACAAXAAiAEkAbgBjAGkAbgBlAHIAYQB0AGkAbwBuAFwAIgAsACAAXAAiAEkAbgBlAHIAdAAgAFcAYQBzAHQAZQBcACIALAAgADAALgAxADEAMAAwACwAIABcACIAXAAiADsAXABuACAAIAAgACAAIAAgACAAIABcACIASQBuAGMAaQBuAGUAcgBhAHQAaQBvAG4AXAAiACwAIABcACIATQB1AG4AaQBjAGkAcABhAGwAIABTAG8AbABpAGQAIABXAGEAcwB0AGUAXAAiACwAIAAwAC4AMAA1ADMANwAsACAAXAAiAE4ARwBBAEYAIAAyADAAMgA1ACAAVABhAGIAbABlACAAMQA4AFwAIgA7AFwAbgAgACAAIAAgACAAIAAgACAAXAAiAEkAbgBjAGkAbgBlAHIAYQB0AGkAbwBuAFwAIgAsACAAXAAiAEkAbgBkAHUAcwB0AHIAaQBhAGwAIABXAGEAcwB0AGUAXAAiACwAIAAxAC4ANgA0ADkALAAgAFwAIgBOAEcAQQBGACAAMgAwADIANQAgAFQAYQBiAGwAZQAgADEAOABcACIAOwBcAG4AIAAgACAAIAAgACAAIAAgAFwAIgBDAG8AbQBwAG8AcwB0AGkAbgBnAFwAIgAsACAAXAAiAEEAbABsACAAbwByAGcAYQBuAGkAYwAgAHcAYQBzAHQAZQBcACIALAAgADAALgAwADQANgAsACAAXAAiAE4ARwBBAEYAIAAyADAAMgA1ACAAVABhAGIAbABlACAAMQA5AFwAIgA7AFwAbgAgACAAIAAgACAAIAAgACAAXAAiAEEAbgBhAGUAcgBvAGIAaQBjACAAZABpAGcAZQBzAHQAaQBvAG4AXAAiACwAIABcACIAQQBsAGwAIABvAHIAZwBhAG4AaQBjACAAdwBhAHMAdABlAFwAIgAsACAAMAAuADAAMgA4ACwAIABcACIATgBHAEEARgAgADIAMAAyADUAIABUAGEAYgBsAGUAIAAxADkAXAAiAFwAbgAgACAAIAAgACAAIAB9ACwAIAByACwAIABjACkAXABuACkAKQApADsAXABuAFwAbgBXAGEAcwB0AGUAXwBFAG0AaQBzAHMAaQBvAG4ARgBhAGMAdABvAHIAcwBGAG8AcgBXAGEAcwB0AGUAVAByAGUAYQB0AG0AZQBuAHQAXwBWAGEAcgBpAGEAdABpAG8AbgBcAG4APQBMAEEATQBCAEQAQQAoACgAXAAiAFYAQQBSAEkAQQBUAEkATwBOACAATwBOACAAUwBPAFUAUgBDAEUAOgAgAEYAaQB4AGUAZAAgAHQAeQBwAG8AIABcAHUAMAAwADIANwBwAGEAcABlAHIAIABhAG4AZAAgAGMAYQByAGIAbwBhAHIAZABcAHUAMAAwADIANwAgAHQAbwAgAFwAdQAwADAAMgA3AHAAYQBwAGUAcgAgAGEAbgBkACAAYwBhAHIAZABiAG8AYQByAGQAXAB1ADAAMAAyADcALgAgAEEAZABkAGUAZAAgAEUARgAgAHMAbwB1AHIAYwBlACAAYwBvAGwAdQBtAG4AIAB3AGkAdABoACAAcwBwAGUAYwBpAGYAaQBjACAAcgBlAGYAZQByAGUAbgBjAGUAcwAuAFwAIgApACkAOwBcAG4AXABuAFwAbgAvACoAXABuAD0APQA9AD0APQA9AD0APQA9AD0APQA9AD0APQA9AD0APQA9AD0APQA9AD0APQA9AD0APQA9AD0APQA9AD0APQA9AD0APQA9AD0APQA9AD0APQA9AD0APQA9AD0APQA9AD0APQA9AD0APQA9AD0APQA9AD0APQA9AD0APQA9AD0APQA9AD0APQA9AD0APQA9AD0APQA9AD0AXABuAFQAYQBiAGwAZQAgAEEALgA0AC4AMQAuADIAOgAgAFYAbwBsAHUAbQBlACAAdABvACAAbQBhAHMAcwAgAGMAbwBuAHYAZQByAHMAaQBvAG4AIABmAGEAYwB0AG8AcgAgAGYAbwByACAAdgBhAHIAaQBvAHUAcwAgAHcAYQBzAHQAZQAgAHQAeQBwAGUAcwAgACgAdAAvAG0AMwApACAAKABWAFQATQB3ACkAXABuAD0APQA9AD0APQA9AD0APQA9AD0APQA9AD0APQA9AD0APQA9AD0APQA9AD0APQA9AD0APQA9AD0APQA9AD0APQA9AD0APQA9AD0APQA9AD0APQA9AD0APQA9AD0APQA9AD0APQA9AD0APQA9AD0APQA9AD0APQA9AD0APQA9AD0APQA9AD0APQA9AD0APQA9AD0APQA9AD0AXABuACoALwBcAG4AXABuAFcAYQBzAHQAZQBfAFcAYQBzAHQAZQBWAG8AbAB1AG0AZQBUAG8ATQBhAHMAcwBDAG8AbgB2AGUAcgBzAGkAbwBuAF8AVABpAHQAbABlAFwAbgA9AEwAQQBNAEIARABBACgAKABcACIAVgBvAGwAdQBtAGUAIAB0AG8AIABtAGEAcwBzACAAYwBvAG4AdgBlAHIAcwBpAG8AbgAgAGYAYQBjAHQAbwByACAAZgBvAHIAIAB2AGEAcgBpAG8AdQBzACAAdwBhAHMAdABlACAAdAB5AHAAZQBzAFwAIgApACkAOwBcAG4AXABuAFcAYQBzAHQAZQBfAFcAYQBzAHQAZQBWAG8AbAB1AG0AZQBUAG8ATQBhAHMAcwBDAG8AbgB2AGUAcgBzAGkAbwBuAF8AVgBhAHIAaQBhAGIAbABlAFwAbgA9AEwAQQBNAEIARABBACgAKABcACIAVgBUAE0AdwBcACIAKQApADsAXABuAFwAbgBXAGEAcwB0AGUAXwBXAGEAcwB0AGUAVgBvAGwAdQBtAGUAVABvAE0AYQBzAHMAQwBvAG4AdgBlAHIAcwBpAG8AbgBfAFUAbgBpAHQAXABuAD0ATABBAE0AQgBEAEEAKAAoAFwAIgB0AC8AbQAzAFwAIgApACkAOwBcAG4AXABuAFcAYQBzAHQAZQBfAFcAYQBzAHQAZQBWAG8AbAB1AG0AZQBUAG8ATQBhAHMAcwBDAG8AbgB2AGUAcgBzAGkAbwBuAF8AUwBvAHUAcgBjAGUAXABuAD0ATABBAE0AQgBEAEEAKAAoAFwAIgBWAEUARQBSAEcAIAAyADAAMgA2ADoAIABUAGEAYgBsAGUAIABBAC4ANAAuADEALgAyAFwAIgApACkAOwBcAG4AXABuAFcAYQBzAHQAZQBfAFcAYQBzAHQAZQBWAG8AbAB1AG0AZQBUAG8ATQBhAHMAcwBDAG8AbgB2AGUAcgBzAGkAbwBuAF8ARABhAHQAYQBcAG4APQBMAEEATQBCAEQAQQAoAFwAbgAgACAATQBBAEsARQBBAFIAUgBBAFkAKAAxADIALAAgADIALABcAG4AIAAgACAAIABMAEEATQBCAEQAQQAoAHIALABjACwAXABuACAAIAAgACAAIAAgAEkATgBEAEUAWAAoAHsAXABuACAAIAAgACAAIAAgACAAIABcACIAVwBhAHMAdABlACAAdAB5AHAAZQAgAHcAXAAiACwAIABcACIAVgBUAE0AdwBcACIAOwBcAG4AIAAgACAAIAAgACAAIAAgAFwAIgBGAG8AbwBkACAAdwBhAHMAdABlACAAKABpAG4AYwBsAHUAZABpAG4AZwAgAGEAbgBpAG0AYQBsACAAYwBhAHIAYwBhAHMAcwBlAHMALAAgAHMAcABvAGkAbABlAGQAIABhAG4AaQBtAGEAbAAgAGYAZQBlAGQAIABvAHIAIABjAHIAbwBwACkAXAAiACwAIAAwAC4ANQAwADsAXABuACAAIAAgACAAIAAgACAAIABcACIAUABhAHAAZQByACAAYQBuAGQAIABjAGEAcgBkAGIAbwBhAHIAZABcACIALAAgADAALgAwADkAOwBcAG4AIAAgACAAIAAgACAAIAAgAFwAIgBHAHIAZQBlAG4AIAB3AGEAcwB0AGUAIAAoAGkAbgBjAGwAdQBkAGkAbgBnACAAYwByAG8AcAAgAHIAZQBzAGkAZAB1AGUAcwAgAG8AcgAgAHAAcgB1AG4AaQBuAGcAcwApAFwAIgAsACAAMAAuADIANAA7AFwAbgAgACAAIAAgACAAIAAgACAAXAAiAFcAbwBvAGQAXAAiACwAIAAwAC4AMQA1ADsAXABuACAAIAAgACAAIAAgACAAIABcACIAVABlAHgAdABpAGwAZQBzAFwAIgAsACAAMAAuADEANAA7AFwAbgAgACAAIAAgACAAIAAgACAAXAAiAFMAbAB1AGQAZwBlAFwAIgAsACAAMAAuADcAMgA7AFwAbgAgACAAIAAgACAAIAAgACAAXAAiAFIAdQBiAGIAZQByACAAYQBuAGQAIABsAGUAYQB0AGgAZQByAFwAIgAsACAAMAAuADEANAA7AFwAbgAgACAAIAAgACAAIAAgACAAXAAiAEkAbgBlAHIAdAAgAHcAYQBzAHQAZQAgACgAaQBuAGMAbAB1AGQAaQBuAGcAIABjAG8AbgBjAHIAZQB0AGUALAAgAG0AZQB0AGEAbAAsACAAcABsAGEAcwB0AGkAYwAgAG8AcgAgAGcAbABhAHMAcwApAFwAIgAsACAAMAAuADQAMgA7AFwAbgAgACAAIAAgACAAIAAgACAAXAAiAE0AdQBuAGkAYwBpAHAAYQBsACAAcwBvAGwAaQBkACAAdwBhAHMAdABlAFwAIgAsACAAMAAuADMANgA7AFwAbgAgACAAIAAgACAAIAAgACAAXAAiAEMAbwBtAG0AZQByAGMAaQBhAGwAIABhAG4AZAAgAGkAbgBkAHUAcwB0AHIAaQBhAGwAIAB3AGEAcwB0AGUAXAAiACwAIAAwAC4AMwAzADsAXABuACAAIAAgACAAIAAgACAAIABcACIAQwBvAG4AcwB0AHIAdQBjAHQAaQBvAG4AIABhAG4AZAAgAGQAZQBtAG8AbABpAHQAaQBvAG4AIAB3AGEAcwB0AGUAXAAiACwAIAAwAC4AMwA5AFwAbgAgACAAIAAgACAAIAB9ACwAIAByACwAIABjACkAXABuACkAKQApADsAXABuAFwAbgBXAGEAcwB0AGUAXwBXAGEAcwB0AGUAVgBvAGwAdQBtAGUAVABvAE0AYQBzAHMAQwBvAG4AdgBlAHIAcwBpAG8AbgBfAFYAYQByAGkAYQB0AGkAbwBuAFwAbgA9AEwAQQBNAEIARABBACgAKABcACIAVgBBAFIASQBBAFQASQBPAE4AIABPAEYAIABTAE8AVQBSAEMARQA6ACAAQwBoAGEAbgBnAGUAZAAgAGMAbwBsAHUAbQBuACAAaABlAGEAZABlAHIAIABDAEYAdwAgAHQAbwAgAFYAVABNAHcAIAB0AG8AIABtAGEAdABjAGgAIAB0AGkAdABsAGUAIAB2AGEAcgBpAGEAYgBsAGUALgBcACIAKQApADsAXABuAFwAbgBcAG4AIgB9ACwAewAiAHAAYQB0AGgAIgA6ACIALwBwAHIAbwBqAGUAYwB0AHMALwBXAGEAcwB0AGUAUwBvAGwAaQBkAF8ASQBuAHAAdQB0AEYAdQBuAGMAdABpAG8AbgBzACIALAAiAHQAZQB4AHQAIgA6ACIAXABuAFcAYQBzAHQAZQBTAG8AbABpAGQAXwBJAG4AcAB1AHQARgB1AG4AYwB0AGkAbwBuAHMAXwBTAHUAbQBXAGEAcwB0AGUAVAByAGUAYQB0AG0AZQBuAHQAXABuAD0ATABBAE0AQgBEAEEAKABcAG4AIAAgAFQAcgBlAGEAdABtAGUAbgB0AEEAcgByAGEAeQAsACAAVwBhAHMAdABlAEEAcgByAGEAeQAsACAAVAByAGUAYQB0AG0AZQBuAHQATABvAGMAYQB0AGkAbwBuAEEAcgByAGEAeQAsACAAVQBuAGkAdABBAHIAcgBhAHkALAAgAEEAbQBvAHUAbgB0AEEAcgByAGEAeQAsAFwAbgAgACAAVAByAGUAYQB0AG0AZQBuAHQAVAB5AHAAZQAsACAAVwBhAHMAdABlAFQAeQBwAGUALAAgAFQAcgBlAGEAdABtAGUAbgB0AEwAbwBjAGEAdABpAG8AbgBUAHkAcABlACwAIABVAG4AaQB0AFQAeQBwAGUALABcAG4AIAAgAFMAVQBNAEkARgBTACgAXABuACAAIAAgACAAQQBtAG8AdQBuAHQAQQByAHIAYQB5ACwAXABuACAAIAAgAFQAcgBlAGEAdABtAGUAbgB0AEEAcgByAGEAeQAsACAAVAByAGUAYQB0AG0AZQBuAHQAVAB5AHAAZQAsAFwAbgAgACAAIAAgAFcAYQBzAHQAZQBBAHIAcgBhAHkALAAgAFcAYQBzAHQAZQBUAHkAcABlACwAXABuACAAIAAgACAAVAByAGUAYQB0AG0AZQBuAHQATABvAGMAYQB0AGkAbwBuAEEAcgByAGEAeQAsACAAVAByAGUAYQB0AG0AZQBuAHQATABvAGMAYQB0AGkAbwBuAFQAeQBwAGUALAAgAFwAbgAgACAAIAAgAFUAbgBpAHQAQQByAHIAYQB5ACwAIABVAG4AaQB0AFQAeQBwAGUAXABuACAAIAApAFwAbgApADs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cAYQBzAHQAZQBTAG8AbABpAGQAXwBFAHEAdQBhAHQAaQBvAG4AcwAuAFYARQBFAFIARwBfADEAMABfADEAXwAxAF8AMQBfAF8AMQBfAEUAbQBpAHMAcwBpAG8AbgBzAEYAcgBvAG0AVwBhAHMAdABlAE0AYQBuAGEAZwBlAG0AZQBuAHQAIgAsACIAVwBhAHMAdABlAFMAbwBsAGkAZABfAEUAcQB1AGEAdABpAG8AbgBzAC4AVgBFAEUAUgBHAF8AMQAwAF8AMQBfADEAXwAxAF8AXwAxAF8ARQBtAGkAcwBzAGkAbwBuAHMARgByAG8AbQBXAGEAcwB0AGUATQBhAG4AYQBnAGUAbQBlAG4AdABfAFQAaQB0AGwAZQAiACwAIgBXAGEAcwB0AGUAUwBvAGwAaQBkAF8ARQBxAHUAYQB0AGkAbwBuAHMALgBWAEUARQBSAEcAXwAxADAAXwAxAF8AMQBfADEAXwBfADEAXwBFAG0AaQBzAHMAaQBvAG4AcwBGAHIAbwBtAFcAYQBzAHQAZQBNAGEAbgBhAGcAZQBtAGUAbgB0AF8AVgBhAHIAaQBhAGIAbABlACIALAAiAFcAYQBzAHQAZQBTAG8AbABpAGQAXwBFAHEAdQBhAHQAaQBvAG4AcwAuAFYARQBFAFIARwBfADEAMABfADEAXwAxAF8AMQBfAF8AMQBfAEUAbQBpAHMAcwBpAG8AbgBzAEYAcgBvAG0AVwBhAHMAdABlAE0AYQBuAGEAZwBlAG0AZQBuAHQAXwBVAG4AaQB0ACIALAAiAFcAYQBzAHQAZQBTAG8AbABpAGQAXwBFAHEAdQBhAHQAaQBvAG4AcwAuAFYARQBFAFIARwBfADEAMABfADEAXwAxAF8AMQBfAF8AMQBfAEUAbQBpAHMAcwBpAG8AbgBzAEYAcgBvAG0AVwBhAHMAdABlAE0AYQBuAGEAZwBlAG0AZQBuAHQAXwBTAG8AdQByAGMAZQAiACwAIgBXAGEAcwB0AGUAUwBvAGwAaQBkAF8ARQBxAHUAYQB0AGkAbwBuAHMALgBWAEUARQBSAEcAXwAxADAAXwAxAF8AMQBfADEAXwBfADEAXwBFAG0AaQBzAHMAaQBvAG4AcwBGAHIAbwBtAFcAYQBzAHQAZQBNAGEAbgBhAGcAZQBtAGUAbgB0AF8ATgBJAFIAUgBlAGYAZQByAGUAbgBjAGUAIgAsACIAVwBhAHMAdABlAFMAbwBsAGkAZABfAEUAcQB1AGEAdABpAG8AbgBzAC4AVgBFAEUAUgBHAF8AMQAwAF8AMQBfADEAXwAxAF8AXwAxAF8ARQBtAGkAcwBzAGkAbwBuAHMARgByAG8AbQBXAGEAcwB0AGUATQBhAG4AYQBnAGUAbQBlAG4AdABfAEwAYQB0AGUAeABFAHEAdQBhAHQAaQBvAG4AIgAsACIAVwBhAHMAdABlAFMAbwBsAGkAZABfAEUAcQB1AGEAdABpAG8AbgBzAC4AVgBFAEUAUgBHAF8AMQAwAF8AMQBfADEAXwAxAF8AXwAxAF8ARQBtAGkAcwBzAGkAbwBuAHMARgByAG8AbQBXAGEAcwB0AGUATQBhAG4AYQBnAGUAbQBlAG4AdABfAEEAcgBnAHUAbQBlAG4AdABzACIALAAiAFcAYQBzAHQAZQBTAG8AbABpAGQAXwBFAHEAdQBhAHQAaQBvAG4AcwAuAFYARQBFAFIARwBfADEAMABfADEAXwAxAF8AMQBfAF8AMQBfAEUAbQBpAHMAcwBpAG8AbgBzAEYAcgBvAG0AVwBhAHMAdABlAE0AYQBuAGEAZwBlAG0AZQBuAHQAXwBWAGEAcgBpAGEAdABpAG8AbgAiACwAIgBXAGEAcwB0AGUAUwBvAGwAaQBkAF8ARQBxAHUAYQB0AGkAbwBuAHMALgBWAEUARQBSAEcAXwAxADAAXwAxAF8AMQBfADEAXwBfADIAXwBNAGEAcwBzAE8AZgBXAGEAcwB0AGUARgByAG8AbQBWAG8AbAB1AG0AZQAiACwAIgBXAGEAcwB0AGUAUwBvAGwAaQBkAF8ARQBxAHUAYQB0AGkAbwBuAHMALgBWAEUARQBSAEcAXwAxADAAXwAxAF8AMQBfADEAXwBfADIAXwBNAGEAcwBzAE8AZgBXAGEAcwB0AGUARgByAG8AbQBWAG8AbAB1AG0AZQBfAFQAaQB0AGwAZQAiACwAIgBXAGEAcwB0AGUAUwBvAGwAaQBkAF8ARQBxAHUAYQB0AGkAbwBuAHMALgBWAEUARQBSAEcAXwAxADAAXwAxAF8AMQBfADEAXwBfADIAXwBNAGEAcwBzAE8AZgBXAGEAcwB0AGUARgByAG8AbQBWAG8AbAB1AG0AZQBfAFYAYQByAGkAYQBiAGwAZQAiACwAIgBXAGEAcwB0AGUAUwBvAGwAaQBkAF8ARQBxAHUAYQB0AGkAbwBuAHMALgBWAEUARQBSAEcAXwAxADAAXwAxAF8AMQBfADEAXwBfADIAXwBNAGEAcwBzAE8AZgBXAGEAcwB0AGUARgByAG8AbQBWAG8AbAB1AG0AZQBfAFUAbgBpAHQAIgAsACIAVwBhAHMAdABlAFMAbwBsAGkAZABfAEUAcQB1AGEAdABpAG8AbgBzAC4AVgBFAEUAUgBHAF8AMQAwAF8AMQBfADEAXwAxAF8AXwAyAF8ATQBhAHMAcwBPAGYAVwBhAHMAdABlAEYAcgBvAG0AVgBvAGwAdQBtAGUAXwBTAG8AdQByAGMAZQAiACwAIgBXAGEAcwB0AGUAUwBvAGwAaQBkAF8ARQBxAHUAYQB0AGkAbwBuAHMALgBWAEUARQBSAEcAXwAxADAAXwAxAF8AMQBfADEAXwBfADIAXwBNAGEAcwBzAE8AZgBXAGEAcwB0AGUARgByAG8AbQBWAG8AbAB1AG0AZQBfAE4ASQBSAFIAZQBmAGUAcgBlAG4AYwBlACIALAAiAFcAYQBzAHQAZQBTAG8AbABpAGQAXwBFAHEAdQBhAHQAaQBvAG4AcwAuAFYARQBFAFIARwBfADEAMABfADEAXwAxAF8AMQBfAF8AMgBfAE0AYQBzAHMATwBmAFcAYQBzAHQAZQBGAHIAbwBtAFYAbwBsAHUAbQBlAF8ATABhAHQAZQB4AEUAcQB1AGEAdABpAG8AbgAiACwAIgBXAGEAcwB0AGUAUwBvAGwAaQBkAF8ARQBxAHUAYQB0AGkAbwBuAHMALgBWAEUARQBSAEcAXwAxADAAXwAxAF8AMQBfADEAXwBfADIAXwBNAGEAcwBzAE8AZgBXAGEAcwB0AGUARgByAG8AbQBWAG8AbAB1AG0AZQBfAEEAcgBnAHUAbQBlAG4AdABzACIALAAiAFcAYQBzAHQAZQBTAG8AbABpAGQAXwBTAG8AdQByAGMAZQBEAGEAdABhAC4AVwBhAHMAdABlAF8ARQBtAGkAcwBzAGkAbwBuAEYAYQBjAHQAbwByAHMARgBvAHIAVwBhAHMAdABlAFQAcgBlAGEAdABtAGUAbgB0AF8AVABpAHQAbABlACIALAAiAFcAYQBzAHQAZQBTAG8AbABpAGQAXwBTAG8AdQByAGMAZQBEAGEAdABhAC4AVwBhAHMAdABlAF8ARQBtAGkAcwBzAGkAbwBuAEYAYQBjAHQAbwByAHMARgBvAHIAVwBhAHMAdABlAFQAcgBlAGEAdABtAGUAbgB0AF8AVgBhAHIAaQBhAGIAbABlACIALAAiAFcAYQBzAHQAZQBTAG8AbABpAGQAXwBTAG8AdQByAGMAZQBEAGEAdABhAC4AVwBhAHMAdABlAF8ARQBtAGkAcwBzAGkAbwBuAEYAYQBjAHQAbwByAHMARgBvAHIAVwBhAHMAdABlAFQAcgBlAGEAdABtAGUAbgB0AF8AVQBuAGkAdAAiACwAIgBXAGEAcwB0AGUAUwBvAGwAaQBkAF8AUwBvAHUAcgBjAGUARABhAHQAYQAuAFcAYQBzAHQAZQBfAEUAbQBpAHMAcwBpAG8AbgBGAGEAYwB0AG8AcgBzAEYAbwByAFcAYQBzAHQAZQBUAHIAZQBhAHQAbQBlAG4AdABfAFMAbwB1AHIAYwBlACIALAAiAFcAYQBzAHQAZQBTAG8AbABpAGQAXwBTAG8AdQByAGMAZQBEAGEAdABhAC4AVwBhAHMAdABlAF8ARQBtAGkAcwBzAGkAbwBuAEYAYQBjAHQAbwByAHMARgBvAHIAVwBhAHMAdABlAFQAcgBlAGEAdABtAGUAbgB0AF8ARABhAHQAYQAiACwAIgBXAGEAcwB0AGUAUwBvAGwAaQBkAF8AUwBvAHUAcgBjAGUARABhAHQAYQAuAFcAYQBzAHQAZQBfAEUAbQBpAHMAcwBpAG8AbgBGAGEAYwB0AG8AcgBzAEYAbwByAFcAYQBzAHQAZQBUAHIAZQBhAHQAbQBlAG4AdABfAFYAYQByAGkAYQB0AGkAbwBuACIALAAiAFcAYQBzAHQAZQBTAG8AbABpAGQAXwBTAG8AdQByAGMAZQBEAGEAdABhAC4AVwBhAHMAdABlAF8AVwBhAHMAdABlAFYAbwBsAHUAbQBlAFQAbwBNAGEAcwBzAEMAbwBuAHYAZQByAHMAaQBvAG4AXwBUAGkAdABsAGUAIgAsACIAVwBhAHMAdABlAFMAbwBsAGkAZABfAFMAbwB1AHIAYwBlAEQAYQB0AGEALgBXAGEAcwB0AGUAXwBXAGEAcwB0AGUAVgBvAGwAdQBtAGUAVABvAE0AYQBzAHMAQwBvAG4AdgBlAHIAcwBpAG8AbgBfAFYAYQByAGkAYQBiAGwAZQAiACwAIgBXAGEAcwB0AGUAUwBvAGwAaQBkAF8AUwBvAHUAcgBjAGUARABhAHQAYQAuAFcAYQBzAHQAZQBfAFcAYQBzAHQAZQBWAG8AbAB1AG0AZQBUAG8ATQBhAHMAcwBDAG8AbgB2AGUAcgBzAGkAbwBuAF8AVQBuAGkAdAAiACwAIgBXAGEAcwB0AGUAUwBvAGwAaQBkAF8AUwBvAHUAcgBjAGUARABhAHQAYQAuAFcAYQBzAHQAZQBfAFcAYQBzAHQAZQBWAG8AbAB1AG0AZQBUAG8ATQBhAHMAcwBDAG8AbgB2AGUAcgBzAGkAbwBuAF8AUwBvAHUAcgBjAGUAIgAsACIAVwBhAHMAdABlAFMAbwBsAGkAZABfAFMAbwB1AHIAYwBlAEQAYQB0AGEALgBXAGEAcwB0AGUAXwBXAGEAcwB0AGUAVgBvAGwAdQBtAGUAVABvAE0AYQBzAHMAQwBvAG4AdgBlAHIAcwBpAG8AbgBfAEQAYQB0AGEAIgAsACIAVwBhAHMAdABlAFMAbwBsAGkAZABfAFMAbwB1AHIAYwBlAEQAYQB0AGEALgBXAGEAcwB0AGUAXwBXAGEAcwB0AGUAVgBvAGwAdQBtAGUAVABvAE0AYQBzAHMAQwBvAG4AdgBlAHIAcwBpAG8AbgBfAFYAYQByAGkAYQB0AGkAbwBuACIALAAiAFcAYQBzAHQAZQBTAG8AbABpAGQAXwBJAG4AcAB1AHQARgB1AG4AYwB0AGkAbwBuAHMALgBXAGEAcwB0AGUAUwBvAGwAaQBkAF8ASQBuAHAAdQB0AEYAdQBuAGMAdABpAG8AbgBzAF8AUwB1AG0AVwBhAHMAdABlAFQAcgBlAGEAdABtAGUAbgB0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Overview</vt:lpstr>
      <vt:lpstr>Results</vt:lpstr>
      <vt:lpstr>Input - Solid waste</vt:lpstr>
      <vt:lpstr>10.1.1-2 Solid waste treatment</vt:lpstr>
      <vt:lpstr>Constants - Solid Waste</vt:lpstr>
      <vt:lpstr>Constants - Common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2026-06-10T02:14:35Z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