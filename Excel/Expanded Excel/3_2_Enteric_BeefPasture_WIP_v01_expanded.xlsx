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D2BF4DFD-7339-4901-8A2E-D66991474174}" xr6:coauthVersionLast="47" xr6:coauthVersionMax="47" xr10:uidLastSave="{00000000-0000-0000-0000-000000000000}"/>
  <bookViews>
    <workbookView xWindow="4680" yWindow="4680" windowWidth="28800" windowHeight="15345" firstSheet="6" activeTab="6"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3" i="79" l="1"/>
  <c r="F153" i="79"/>
  <c r="G153" i="79"/>
  <c r="H153" i="79"/>
  <c r="I153" i="79"/>
  <c r="J153" i="79"/>
  <c r="K153" i="79"/>
  <c r="L153" i="79"/>
  <c r="M153" i="79"/>
  <c r="N153" i="79"/>
  <c r="O153" i="79"/>
  <c r="P153" i="79"/>
  <c r="E152" i="79"/>
  <c r="F152" i="79"/>
  <c r="G152" i="79"/>
  <c r="H152" i="79"/>
  <c r="I152" i="79"/>
  <c r="J152" i="79"/>
  <c r="K152" i="79"/>
  <c r="L152" i="79"/>
  <c r="M152" i="79"/>
  <c r="N152" i="79"/>
  <c r="O152" i="79"/>
  <c r="P152" i="79"/>
  <c r="E151" i="79"/>
  <c r="F151" i="79"/>
  <c r="G151" i="79"/>
  <c r="H151" i="79"/>
  <c r="I151" i="79"/>
  <c r="J151" i="79"/>
  <c r="K151" i="79"/>
  <c r="L151" i="79"/>
  <c r="M151" i="79"/>
  <c r="N151" i="79"/>
  <c r="O151" i="79"/>
  <c r="P151" i="79"/>
  <c r="E150" i="79"/>
  <c r="F150" i="79"/>
  <c r="G150" i="79"/>
  <c r="H150" i="79"/>
  <c r="I150" i="79"/>
  <c r="J150" i="79"/>
  <c r="K150" i="79"/>
  <c r="L150" i="79"/>
  <c r="M150" i="79"/>
  <c r="N150" i="79"/>
  <c r="O150" i="79"/>
  <c r="P150" i="79"/>
  <c r="D9" i="79"/>
  <c r="D8" i="79"/>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160" i="70"/>
  <c r="M160" i="70"/>
  <c r="L160" i="70"/>
  <c r="K160" i="70"/>
  <c r="J160" i="70"/>
  <c r="I160" i="70"/>
  <c r="H160" i="70"/>
  <c r="G160" i="70"/>
  <c r="F160" i="70"/>
  <c r="E160" i="70"/>
  <c r="N159" i="70"/>
  <c r="M159" i="70"/>
  <c r="L159" i="70"/>
  <c r="K159" i="70"/>
  <c r="J159" i="70"/>
  <c r="I159" i="70"/>
  <c r="H159" i="70"/>
  <c r="G159" i="70"/>
  <c r="F159" i="70"/>
  <c r="E159" i="70"/>
  <c r="N158" i="70"/>
  <c r="M158" i="70"/>
  <c r="L158" i="70"/>
  <c r="K158" i="70"/>
  <c r="J158" i="70"/>
  <c r="I158" i="70"/>
  <c r="H158" i="70"/>
  <c r="G158" i="70"/>
  <c r="F158" i="70"/>
  <c r="E158"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154" i="70"/>
  <c r="M154" i="70"/>
  <c r="L154" i="70"/>
  <c r="K154" i="70"/>
  <c r="J154" i="70"/>
  <c r="I154" i="70"/>
  <c r="H154" i="70"/>
  <c r="G154" i="70"/>
  <c r="F154" i="70"/>
  <c r="E154" i="70"/>
  <c r="N153" i="70"/>
  <c r="M153" i="70"/>
  <c r="L153" i="70"/>
  <c r="K153" i="70"/>
  <c r="J153" i="70"/>
  <c r="I153" i="70"/>
  <c r="H153" i="70"/>
  <c r="G153" i="70"/>
  <c r="F153" i="70"/>
  <c r="E15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38" i="70"/>
  <c r="M138" i="70"/>
  <c r="L138" i="70"/>
  <c r="K138" i="70"/>
  <c r="J138" i="70"/>
  <c r="I138" i="70"/>
  <c r="H138" i="70"/>
  <c r="G138" i="70"/>
  <c r="F138" i="70"/>
  <c r="E138" i="70"/>
  <c r="N137" i="70"/>
  <c r="M137" i="70"/>
  <c r="L137" i="70"/>
  <c r="K137" i="70"/>
  <c r="J137" i="70"/>
  <c r="I137" i="70"/>
  <c r="H137" i="70"/>
  <c r="G137" i="70"/>
  <c r="F137" i="70"/>
  <c r="E137" i="70"/>
  <c r="N136" i="70"/>
  <c r="M136" i="70"/>
  <c r="L136" i="70"/>
  <c r="K136" i="70"/>
  <c r="J136" i="70"/>
  <c r="I136" i="70"/>
  <c r="H136" i="70"/>
  <c r="G136" i="70"/>
  <c r="F136" i="70"/>
  <c r="E136"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132" i="70"/>
  <c r="M132" i="70"/>
  <c r="L132" i="70"/>
  <c r="K132" i="70"/>
  <c r="J132" i="70"/>
  <c r="I132" i="70"/>
  <c r="H132" i="70"/>
  <c r="G132" i="70"/>
  <c r="F132" i="70"/>
  <c r="E132" i="70"/>
  <c r="N131" i="70"/>
  <c r="M131" i="70"/>
  <c r="L131" i="70"/>
  <c r="K131" i="70"/>
  <c r="J131" i="70"/>
  <c r="I131" i="70"/>
  <c r="H131" i="70"/>
  <c r="G131" i="70"/>
  <c r="F131" i="70"/>
  <c r="E131" i="70"/>
  <c r="X164" i="69"/>
  <c r="G131" i="69"/>
  <c r="E173" i="70"/>
  <c r="E172" i="70"/>
  <c r="N150" i="70"/>
  <c r="M150" i="70"/>
  <c r="L150" i="70"/>
  <c r="K150" i="70"/>
  <c r="J150" i="70"/>
  <c r="I150" i="70"/>
  <c r="H150" i="70"/>
  <c r="G150" i="70"/>
  <c r="F150" i="70"/>
  <c r="E150" i="70"/>
  <c r="N149" i="70"/>
  <c r="M149" i="70"/>
  <c r="L149" i="70"/>
  <c r="K149" i="70"/>
  <c r="J149" i="70"/>
  <c r="I149" i="70"/>
  <c r="H149" i="70"/>
  <c r="G149" i="70"/>
  <c r="F149" i="70"/>
  <c r="E149" i="70"/>
  <c r="N148" i="70"/>
  <c r="M148" i="70"/>
  <c r="L148" i="70"/>
  <c r="K148" i="70"/>
  <c r="J148" i="70"/>
  <c r="I148" i="70"/>
  <c r="H148" i="70"/>
  <c r="G148" i="70"/>
  <c r="F148" i="70"/>
  <c r="E148" i="70"/>
  <c r="N147" i="70"/>
  <c r="M147" i="70"/>
  <c r="L147" i="70"/>
  <c r="K147" i="70"/>
  <c r="J147" i="70"/>
  <c r="I147" i="70"/>
  <c r="H147" i="70"/>
  <c r="G147" i="70"/>
  <c r="F147" i="70"/>
  <c r="E147" i="70"/>
  <c r="N128" i="70"/>
  <c r="M128" i="70"/>
  <c r="L128" i="70"/>
  <c r="K128" i="70"/>
  <c r="J128" i="70"/>
  <c r="I128" i="70"/>
  <c r="H128" i="70"/>
  <c r="G128" i="70"/>
  <c r="F128" i="70"/>
  <c r="E128" i="70"/>
  <c r="N127" i="70"/>
  <c r="M127" i="70"/>
  <c r="L127" i="70"/>
  <c r="K127" i="70"/>
  <c r="J127" i="70"/>
  <c r="I127" i="70"/>
  <c r="H127" i="70"/>
  <c r="G127" i="70"/>
  <c r="F127" i="70"/>
  <c r="E127" i="70"/>
  <c r="N126" i="70"/>
  <c r="M126" i="70"/>
  <c r="L126" i="70"/>
  <c r="K126" i="70"/>
  <c r="J126" i="70"/>
  <c r="I126" i="70"/>
  <c r="H126" i="70"/>
  <c r="G126" i="70"/>
  <c r="F126" i="70"/>
  <c r="E126" i="70"/>
  <c r="N125" i="70"/>
  <c r="M125" i="70"/>
  <c r="L125" i="70"/>
  <c r="K125" i="70"/>
  <c r="J125" i="70"/>
  <c r="I125" i="70"/>
  <c r="H125" i="70"/>
  <c r="G125" i="70"/>
  <c r="F125" i="70"/>
  <c r="E125" i="70"/>
  <c r="D117" i="107"/>
  <c r="D117" i="107" a="1"/>
  <c r="D107" i="107" a="1"/>
  <c r="D107" i="107" s="1"/>
  <c r="D83" i="107" a="1"/>
  <c r="D83" i="107" s="1"/>
  <c r="D59" i="107" a="1"/>
  <c r="D59" i="107" s="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I102" i="69" a="1"/>
  <c r="I102" i="69" s="1"/>
  <c r="I100" i="69" a="1"/>
  <c r="I100" i="69" s="1"/>
  <c r="I101" i="69" a="1"/>
  <c r="I101" i="69" s="1"/>
  <c r="AF133" i="69"/>
  <c r="O123" i="69"/>
  <c r="AF97" i="69"/>
  <c r="I43" i="69" a="1"/>
  <c r="I43" i="69" s="1"/>
  <c r="I42" i="69" a="1"/>
  <c r="I42" i="69" s="1"/>
  <c r="I41" i="69" a="1"/>
  <c r="I41" i="69" s="1"/>
  <c r="J13" i="69" a="1"/>
  <c r="J13" i="69" s="1"/>
  <c r="I80" i="69" a="1"/>
  <c r="I80" i="69" s="1"/>
  <c r="H53" i="107" l="1"/>
  <c r="H54" i="107"/>
  <c r="H50" i="107"/>
  <c r="H48" i="107"/>
  <c r="H51" i="107"/>
  <c r="H49" i="107"/>
  <c r="H52" i="107"/>
  <c r="O115" i="69"/>
  <c r="O107" i="69"/>
  <c r="F128" i="69"/>
  <c r="AF117" i="69"/>
  <c r="AF149" i="69"/>
  <c r="O85"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G21" i="69"/>
  <c r="F21" i="69"/>
  <c r="E21" i="69"/>
  <c r="V37" i="69" l="1" a="1"/>
  <c r="V37" i="69" s="1"/>
  <c r="V31" i="69" a="1"/>
  <c r="V31" i="69" s="1"/>
  <c r="W31" i="69" s="1" a="1"/>
  <c r="W31" i="69" s="1"/>
  <c r="V32" i="69" a="1"/>
  <c r="V32" i="69" s="1"/>
  <c r="W32" i="69" s="1" a="1"/>
  <c r="W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AA30" i="69" l="1"/>
  <c r="AB30" i="69"/>
  <c r="AC30" i="69"/>
  <c r="AC33" i="69"/>
  <c r="AB33" i="69"/>
  <c r="AA33" i="69"/>
  <c r="AC29" i="69"/>
  <c r="AB29" i="69"/>
  <c r="AA29" i="69"/>
  <c r="K27" i="69"/>
  <c r="L27" i="69"/>
  <c r="J27" i="69"/>
  <c r="AB32" i="69"/>
  <c r="AA32" i="69"/>
  <c r="AC32" i="69"/>
  <c r="AC31" i="69"/>
  <c r="AB31" i="69"/>
  <c r="AA31" i="69"/>
  <c r="AC34" i="69"/>
  <c r="AB34" i="69"/>
  <c r="AA34" i="69"/>
  <c r="L28" i="69"/>
  <c r="K28" i="69"/>
  <c r="J28" i="69"/>
  <c r="A17" i="15"/>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U150" i="69" l="1"/>
  <c r="U149" i="69"/>
  <c r="D59" i="69" l="1"/>
  <c r="D58" i="69"/>
  <c r="D57" i="69"/>
  <c r="D56" i="69"/>
  <c r="D51" i="69"/>
  <c r="D50" i="69"/>
  <c r="D49" i="69"/>
  <c r="D48" i="69"/>
  <c r="D369" i="79"/>
  <c r="E369" i="79"/>
  <c r="F369" i="79"/>
  <c r="G369" i="79"/>
  <c r="H369" i="79"/>
  <c r="I369" i="79"/>
  <c r="K369" i="79"/>
  <c r="N369" i="79"/>
  <c r="O369" i="79"/>
  <c r="D368" i="79"/>
  <c r="E368" i="79"/>
  <c r="F368" i="79"/>
  <c r="G368" i="79"/>
  <c r="H368" i="79"/>
  <c r="I368" i="79"/>
  <c r="K368" i="79"/>
  <c r="M368" i="79"/>
  <c r="O368" i="79"/>
  <c r="D367" i="79"/>
  <c r="E367" i="79"/>
  <c r="F367" i="79"/>
  <c r="G367" i="79"/>
  <c r="H367" i="79"/>
  <c r="J367" i="79"/>
  <c r="K367" i="79"/>
  <c r="L367" i="79"/>
  <c r="O367" i="79"/>
  <c r="D366" i="79"/>
  <c r="E366" i="79"/>
  <c r="F366" i="79"/>
  <c r="G366" i="79"/>
  <c r="H366" i="79"/>
  <c r="J366" i="79"/>
  <c r="K366" i="79"/>
  <c r="L366" i="79"/>
  <c r="O366" i="79"/>
  <c r="D365" i="79"/>
  <c r="E365" i="79"/>
  <c r="F365" i="79"/>
  <c r="G365" i="79"/>
  <c r="H365" i="79"/>
  <c r="I365" i="79"/>
  <c r="K365" i="79"/>
  <c r="M365" i="79"/>
  <c r="O365" i="79"/>
  <c r="D364" i="79"/>
  <c r="E364" i="79"/>
  <c r="F364" i="79"/>
  <c r="G364" i="79"/>
  <c r="H364" i="79"/>
  <c r="I364" i="79"/>
  <c r="K364" i="79"/>
  <c r="N364" i="79"/>
  <c r="O364" i="79"/>
  <c r="D363" i="79"/>
  <c r="E363" i="79"/>
  <c r="F363" i="79"/>
  <c r="G363" i="79"/>
  <c r="H363" i="79"/>
  <c r="J363" i="79"/>
  <c r="K363" i="79"/>
  <c r="N363" i="79"/>
  <c r="O363" i="79"/>
  <c r="O362" i="79"/>
  <c r="N362" i="79"/>
  <c r="K362" i="79"/>
  <c r="J362" i="79"/>
  <c r="H362" i="79"/>
  <c r="G362" i="79"/>
  <c r="F362" i="79"/>
  <c r="E362" i="79"/>
  <c r="D362" i="79"/>
  <c r="I338" i="79"/>
  <c r="K338" i="79"/>
  <c r="L338" i="79"/>
  <c r="I337" i="79"/>
  <c r="K337" i="79"/>
  <c r="L337" i="79"/>
  <c r="I336" i="79"/>
  <c r="K336" i="79"/>
  <c r="L336" i="79"/>
  <c r="L335" i="79"/>
  <c r="K335" i="79"/>
  <c r="I335" i="79"/>
  <c r="E282" i="79"/>
  <c r="F282" i="79"/>
  <c r="G282" i="79"/>
  <c r="H282" i="79"/>
  <c r="I282" i="79"/>
  <c r="J282" i="79"/>
  <c r="K282" i="79"/>
  <c r="L282" i="79"/>
  <c r="M282" i="79"/>
  <c r="N282" i="79"/>
  <c r="O282" i="79"/>
  <c r="P282" i="79"/>
  <c r="E281" i="79"/>
  <c r="F281" i="79"/>
  <c r="G281" i="79"/>
  <c r="H281" i="79"/>
  <c r="I281" i="79"/>
  <c r="J281" i="79"/>
  <c r="K281" i="79"/>
  <c r="L281" i="79"/>
  <c r="M281" i="79"/>
  <c r="N281" i="79"/>
  <c r="O281" i="79"/>
  <c r="P281" i="79"/>
  <c r="E280" i="79"/>
  <c r="F280" i="79"/>
  <c r="G280" i="79"/>
  <c r="H280" i="79"/>
  <c r="I280" i="79"/>
  <c r="J280" i="79"/>
  <c r="K280" i="79"/>
  <c r="L280" i="79"/>
  <c r="M280" i="79"/>
  <c r="N280" i="79"/>
  <c r="O280" i="79"/>
  <c r="P280" i="79"/>
  <c r="E279" i="79"/>
  <c r="F279" i="79"/>
  <c r="G279" i="79"/>
  <c r="H279" i="79"/>
  <c r="I279" i="79"/>
  <c r="J279" i="79"/>
  <c r="K279" i="79"/>
  <c r="L279" i="79"/>
  <c r="M279" i="79"/>
  <c r="N279" i="79"/>
  <c r="O279" i="79"/>
  <c r="P279" i="79"/>
  <c r="E278" i="79"/>
  <c r="F278" i="79"/>
  <c r="G278" i="79"/>
  <c r="H278" i="79"/>
  <c r="I278" i="79"/>
  <c r="J278" i="79"/>
  <c r="K278" i="79"/>
  <c r="L278" i="79"/>
  <c r="M278" i="79"/>
  <c r="N278" i="79"/>
  <c r="O278" i="79"/>
  <c r="P278" i="79"/>
  <c r="E277" i="79"/>
  <c r="F277" i="79"/>
  <c r="G277" i="79"/>
  <c r="H277" i="79"/>
  <c r="I277" i="79"/>
  <c r="J277" i="79"/>
  <c r="K277" i="79"/>
  <c r="L277" i="79"/>
  <c r="M277" i="79"/>
  <c r="N277" i="79"/>
  <c r="O277" i="79"/>
  <c r="P277" i="79"/>
  <c r="E276" i="79"/>
  <c r="F276" i="79"/>
  <c r="G276" i="79"/>
  <c r="H276" i="79"/>
  <c r="I276" i="79"/>
  <c r="J276" i="79"/>
  <c r="K276" i="79"/>
  <c r="L276" i="79"/>
  <c r="M276" i="79"/>
  <c r="N276" i="79"/>
  <c r="O276" i="79"/>
  <c r="P276" i="79"/>
  <c r="E275" i="79"/>
  <c r="F275" i="79"/>
  <c r="G275" i="79"/>
  <c r="H275" i="79"/>
  <c r="I275" i="79"/>
  <c r="J275" i="79"/>
  <c r="K275" i="79"/>
  <c r="L275" i="79"/>
  <c r="M275" i="79"/>
  <c r="N275" i="79"/>
  <c r="O275" i="79"/>
  <c r="P275" i="79"/>
  <c r="E274" i="79"/>
  <c r="F274" i="79"/>
  <c r="G274" i="79"/>
  <c r="H274" i="79"/>
  <c r="I274" i="79"/>
  <c r="J274" i="79"/>
  <c r="K274" i="79"/>
  <c r="L274" i="79"/>
  <c r="M274" i="79"/>
  <c r="N274" i="79"/>
  <c r="O274" i="79"/>
  <c r="P274" i="79"/>
  <c r="E273" i="79"/>
  <c r="F273" i="79"/>
  <c r="G273" i="79"/>
  <c r="H273" i="79"/>
  <c r="I273" i="79"/>
  <c r="J273" i="79"/>
  <c r="K273" i="79"/>
  <c r="L273" i="79"/>
  <c r="M273" i="79"/>
  <c r="N273" i="79"/>
  <c r="O273" i="79"/>
  <c r="P273" i="79"/>
  <c r="E272" i="79"/>
  <c r="F272" i="79"/>
  <c r="G272" i="79"/>
  <c r="H272" i="79"/>
  <c r="I272" i="79"/>
  <c r="J272" i="79"/>
  <c r="K272" i="79"/>
  <c r="L272" i="79"/>
  <c r="M272" i="79"/>
  <c r="N272" i="79"/>
  <c r="O272" i="79"/>
  <c r="P272" i="79"/>
  <c r="E271" i="79"/>
  <c r="F271" i="79"/>
  <c r="G271" i="79"/>
  <c r="H271" i="79"/>
  <c r="I271" i="79"/>
  <c r="J271" i="79"/>
  <c r="K271" i="79"/>
  <c r="L271" i="79"/>
  <c r="M271" i="79"/>
  <c r="N271" i="79"/>
  <c r="O271" i="79"/>
  <c r="P271" i="79"/>
  <c r="E270" i="79"/>
  <c r="F270" i="79"/>
  <c r="G270" i="79"/>
  <c r="H270" i="79"/>
  <c r="I270" i="79"/>
  <c r="J270" i="79"/>
  <c r="K270" i="79"/>
  <c r="L270" i="79"/>
  <c r="M270" i="79"/>
  <c r="N270" i="79"/>
  <c r="O270" i="79"/>
  <c r="P270" i="79"/>
  <c r="E269" i="79"/>
  <c r="F269" i="79"/>
  <c r="G269" i="79"/>
  <c r="H269" i="79"/>
  <c r="I269" i="79"/>
  <c r="J269" i="79"/>
  <c r="K269" i="79"/>
  <c r="L269" i="79"/>
  <c r="M269" i="79"/>
  <c r="N269" i="79"/>
  <c r="O269" i="79"/>
  <c r="P269" i="79"/>
  <c r="E268" i="79"/>
  <c r="F268" i="79"/>
  <c r="G268" i="79"/>
  <c r="H268" i="79"/>
  <c r="I268" i="79"/>
  <c r="J268" i="79"/>
  <c r="K268" i="79"/>
  <c r="L268" i="79"/>
  <c r="M268" i="79"/>
  <c r="N268" i="79"/>
  <c r="O268" i="79"/>
  <c r="P268" i="79"/>
  <c r="E267" i="79"/>
  <c r="F267" i="79"/>
  <c r="G267" i="79"/>
  <c r="H267" i="79"/>
  <c r="I267" i="79"/>
  <c r="J267" i="79"/>
  <c r="K267" i="79"/>
  <c r="L267" i="79"/>
  <c r="M267" i="79"/>
  <c r="N267" i="79"/>
  <c r="O267" i="79"/>
  <c r="P267" i="79"/>
  <c r="E266" i="79"/>
  <c r="F266" i="79"/>
  <c r="G266" i="79"/>
  <c r="H266" i="79"/>
  <c r="I266" i="79"/>
  <c r="J266" i="79"/>
  <c r="K266" i="79"/>
  <c r="L266" i="79"/>
  <c r="M266" i="79"/>
  <c r="N266" i="79"/>
  <c r="O266" i="79"/>
  <c r="P266" i="79"/>
  <c r="E265" i="79"/>
  <c r="F265" i="79"/>
  <c r="G265" i="79"/>
  <c r="H265" i="79"/>
  <c r="I265" i="79"/>
  <c r="J265" i="79"/>
  <c r="K265" i="79"/>
  <c r="L265" i="79"/>
  <c r="M265" i="79"/>
  <c r="N265" i="79"/>
  <c r="O265" i="79"/>
  <c r="P265" i="79"/>
  <c r="E264" i="79"/>
  <c r="F264" i="79"/>
  <c r="G264" i="79"/>
  <c r="H264" i="79"/>
  <c r="I264" i="79"/>
  <c r="J264" i="79"/>
  <c r="K264" i="79"/>
  <c r="L264" i="79"/>
  <c r="M264" i="79"/>
  <c r="N264" i="79"/>
  <c r="O264" i="79"/>
  <c r="P264" i="79"/>
  <c r="E263" i="79"/>
  <c r="F263" i="79"/>
  <c r="G263" i="79"/>
  <c r="H263" i="79"/>
  <c r="I263" i="79"/>
  <c r="J263" i="79"/>
  <c r="K263" i="79"/>
  <c r="L263" i="79"/>
  <c r="M263" i="79"/>
  <c r="N263" i="79"/>
  <c r="O263" i="79"/>
  <c r="P263" i="79"/>
  <c r="E262" i="79"/>
  <c r="F262" i="79"/>
  <c r="G262" i="79"/>
  <c r="H262" i="79"/>
  <c r="I262" i="79"/>
  <c r="J262" i="79"/>
  <c r="K262" i="79"/>
  <c r="L262" i="79"/>
  <c r="M262" i="79"/>
  <c r="N262" i="79"/>
  <c r="O262" i="79"/>
  <c r="P262" i="79"/>
  <c r="E261" i="79"/>
  <c r="F261" i="79"/>
  <c r="G261" i="79"/>
  <c r="H261" i="79"/>
  <c r="I261" i="79"/>
  <c r="J261" i="79"/>
  <c r="K261" i="79"/>
  <c r="L261" i="79"/>
  <c r="M261" i="79"/>
  <c r="N261" i="79"/>
  <c r="O261" i="79"/>
  <c r="P261" i="79"/>
  <c r="E260" i="79"/>
  <c r="F260" i="79"/>
  <c r="G260" i="79"/>
  <c r="H260" i="79"/>
  <c r="I260" i="79"/>
  <c r="J260" i="79"/>
  <c r="K260" i="79"/>
  <c r="L260" i="79"/>
  <c r="M260" i="79"/>
  <c r="N260" i="79"/>
  <c r="O260" i="79"/>
  <c r="P260" i="79"/>
  <c r="E259" i="79"/>
  <c r="F259" i="79"/>
  <c r="G259" i="79"/>
  <c r="H259" i="79"/>
  <c r="I259" i="79"/>
  <c r="J259" i="79"/>
  <c r="K259" i="79"/>
  <c r="L259" i="79"/>
  <c r="M259" i="79"/>
  <c r="N259" i="79"/>
  <c r="O259" i="79"/>
  <c r="P259" i="79"/>
  <c r="E258" i="79"/>
  <c r="F258" i="79"/>
  <c r="G258" i="79"/>
  <c r="H258" i="79"/>
  <c r="I258" i="79"/>
  <c r="J258" i="79"/>
  <c r="K258" i="79"/>
  <c r="L258" i="79"/>
  <c r="M258" i="79"/>
  <c r="N258" i="79"/>
  <c r="O258" i="79"/>
  <c r="P258" i="79"/>
  <c r="E257" i="79"/>
  <c r="F257" i="79"/>
  <c r="G257" i="79"/>
  <c r="H257" i="79"/>
  <c r="I257" i="79"/>
  <c r="J257" i="79"/>
  <c r="K257" i="79"/>
  <c r="L257" i="79"/>
  <c r="M257" i="79"/>
  <c r="N257" i="79"/>
  <c r="O257" i="79"/>
  <c r="P257" i="79"/>
  <c r="E256" i="79"/>
  <c r="F256" i="79"/>
  <c r="G256" i="79"/>
  <c r="H256" i="79"/>
  <c r="I256" i="79"/>
  <c r="J256" i="79"/>
  <c r="K256" i="79"/>
  <c r="L256" i="79"/>
  <c r="M256" i="79"/>
  <c r="N256" i="79"/>
  <c r="O256" i="79"/>
  <c r="P256" i="79"/>
  <c r="P255" i="79"/>
  <c r="O255" i="79"/>
  <c r="N255" i="79"/>
  <c r="M255" i="79"/>
  <c r="L255" i="79"/>
  <c r="K255" i="79"/>
  <c r="J255" i="79"/>
  <c r="I255" i="79"/>
  <c r="H255" i="79"/>
  <c r="G255" i="79"/>
  <c r="F255" i="79"/>
  <c r="E255" i="79"/>
  <c r="E254" i="79"/>
  <c r="F254" i="79"/>
  <c r="G254" i="79"/>
  <c r="H254" i="79"/>
  <c r="I254" i="79"/>
  <c r="J254" i="79"/>
  <c r="L254" i="79"/>
  <c r="M254" i="79"/>
  <c r="P254" i="79"/>
  <c r="E253" i="79"/>
  <c r="F253" i="79"/>
  <c r="G253" i="79"/>
  <c r="H253" i="79"/>
  <c r="I253" i="79"/>
  <c r="J253" i="79"/>
  <c r="K253" i="79"/>
  <c r="M253" i="79"/>
  <c r="P253" i="79"/>
  <c r="E252" i="79"/>
  <c r="F252" i="79"/>
  <c r="G252" i="79"/>
  <c r="H252" i="79"/>
  <c r="I252" i="79"/>
  <c r="J252" i="79"/>
  <c r="L252" i="79"/>
  <c r="M252" i="79"/>
  <c r="N252" i="79"/>
  <c r="E251" i="79"/>
  <c r="F251" i="79"/>
  <c r="G251" i="79"/>
  <c r="H251" i="79"/>
  <c r="I251" i="79"/>
  <c r="J251" i="79"/>
  <c r="L251" i="79"/>
  <c r="M251" i="79"/>
  <c r="N251" i="79"/>
  <c r="E250" i="79"/>
  <c r="F250" i="79"/>
  <c r="G250" i="79"/>
  <c r="H250" i="79"/>
  <c r="I250" i="79"/>
  <c r="J250" i="79"/>
  <c r="K250" i="79"/>
  <c r="M250" i="79"/>
  <c r="N250" i="79"/>
  <c r="E249" i="79"/>
  <c r="F249" i="79"/>
  <c r="G249" i="79"/>
  <c r="H249" i="79"/>
  <c r="I249" i="79"/>
  <c r="J249" i="79"/>
  <c r="K249" i="79"/>
  <c r="M249" i="79"/>
  <c r="N249" i="79"/>
  <c r="E248" i="79"/>
  <c r="F248" i="79"/>
  <c r="G248" i="79"/>
  <c r="H248" i="79"/>
  <c r="I248" i="79"/>
  <c r="J248" i="79"/>
  <c r="L248" i="79"/>
  <c r="M248" i="79"/>
  <c r="O248" i="79"/>
  <c r="E247" i="79"/>
  <c r="F247" i="79"/>
  <c r="G247" i="79"/>
  <c r="H247" i="79"/>
  <c r="I247" i="79"/>
  <c r="J247" i="79"/>
  <c r="L247" i="79"/>
  <c r="M247" i="79"/>
  <c r="P247" i="79"/>
  <c r="E246" i="79"/>
  <c r="F246" i="79"/>
  <c r="G246" i="79"/>
  <c r="H246" i="79"/>
  <c r="I246" i="79"/>
  <c r="J246" i="79"/>
  <c r="L246" i="79"/>
  <c r="M246" i="79"/>
  <c r="P246" i="79"/>
  <c r="E245" i="79"/>
  <c r="F245" i="79"/>
  <c r="G245" i="79"/>
  <c r="H245" i="79"/>
  <c r="I245" i="79"/>
  <c r="J245" i="79"/>
  <c r="L245" i="79"/>
  <c r="M245" i="79"/>
  <c r="P245" i="79"/>
  <c r="E244" i="79"/>
  <c r="F244" i="79"/>
  <c r="G244" i="79"/>
  <c r="H244" i="79"/>
  <c r="I244" i="79"/>
  <c r="J244" i="79"/>
  <c r="K244" i="79"/>
  <c r="M244" i="79"/>
  <c r="P244" i="79"/>
  <c r="E243" i="79"/>
  <c r="F243" i="79"/>
  <c r="G243" i="79"/>
  <c r="H243" i="79"/>
  <c r="I243" i="79"/>
  <c r="J243" i="79"/>
  <c r="L243" i="79"/>
  <c r="M243" i="79"/>
  <c r="P243" i="79"/>
  <c r="F242" i="79"/>
  <c r="G242" i="79"/>
  <c r="H242" i="79"/>
  <c r="I242" i="79"/>
  <c r="J242" i="79"/>
  <c r="K242" i="79"/>
  <c r="M242" i="79"/>
  <c r="N242" i="79"/>
  <c r="F241" i="79"/>
  <c r="G241" i="79"/>
  <c r="H241" i="79"/>
  <c r="I241" i="79"/>
  <c r="J241" i="79"/>
  <c r="K241" i="79"/>
  <c r="M241" i="79"/>
  <c r="O241" i="79"/>
  <c r="F240" i="79"/>
  <c r="G240" i="79"/>
  <c r="H240" i="79"/>
  <c r="I240" i="79"/>
  <c r="J240" i="79"/>
  <c r="L240" i="79"/>
  <c r="M240" i="79"/>
  <c r="P240" i="79"/>
  <c r="F239" i="79"/>
  <c r="G239" i="79"/>
  <c r="H239" i="79"/>
  <c r="I239" i="79"/>
  <c r="J239" i="79"/>
  <c r="K239" i="79"/>
  <c r="M239" i="79"/>
  <c r="P239" i="79"/>
  <c r="F238" i="79"/>
  <c r="G238" i="79"/>
  <c r="H238" i="79"/>
  <c r="I238" i="79"/>
  <c r="J238" i="79"/>
  <c r="L238" i="79"/>
  <c r="M238" i="79"/>
  <c r="N238" i="79"/>
  <c r="F237" i="79"/>
  <c r="G237" i="79"/>
  <c r="H237" i="79"/>
  <c r="I237" i="79"/>
  <c r="J237" i="79"/>
  <c r="L237" i="79"/>
  <c r="M237" i="79"/>
  <c r="N237" i="79"/>
  <c r="F236" i="79"/>
  <c r="G236" i="79"/>
  <c r="H236" i="79"/>
  <c r="I236" i="79"/>
  <c r="J236" i="79"/>
  <c r="K236" i="79"/>
  <c r="M236" i="79"/>
  <c r="N236" i="79"/>
  <c r="F235" i="79"/>
  <c r="G235" i="79"/>
  <c r="H235" i="79"/>
  <c r="I235" i="79"/>
  <c r="J235" i="79"/>
  <c r="K235" i="79"/>
  <c r="M235" i="79"/>
  <c r="N235" i="79"/>
  <c r="F234" i="79"/>
  <c r="G234" i="79"/>
  <c r="H234" i="79"/>
  <c r="I234" i="79"/>
  <c r="J234" i="79"/>
  <c r="L234" i="79"/>
  <c r="M234" i="79"/>
  <c r="O234" i="79"/>
  <c r="F233" i="79"/>
  <c r="G233" i="79"/>
  <c r="H233" i="79"/>
  <c r="I233" i="79"/>
  <c r="J233" i="79"/>
  <c r="L233" i="79"/>
  <c r="M233" i="79"/>
  <c r="P233" i="79"/>
  <c r="F232" i="79"/>
  <c r="G232" i="79"/>
  <c r="H232" i="79"/>
  <c r="I232" i="79"/>
  <c r="J232" i="79"/>
  <c r="L232" i="79"/>
  <c r="M232" i="79"/>
  <c r="P232" i="79"/>
  <c r="F231" i="79"/>
  <c r="G231" i="79"/>
  <c r="H231" i="79"/>
  <c r="I231" i="79"/>
  <c r="J231" i="79"/>
  <c r="L231" i="79"/>
  <c r="M231" i="79"/>
  <c r="P231" i="79"/>
  <c r="F226" i="79"/>
  <c r="G230" i="79"/>
  <c r="H226" i="79"/>
  <c r="I226" i="79"/>
  <c r="J226" i="79"/>
  <c r="L230" i="79"/>
  <c r="M226" i="79"/>
  <c r="P226" i="79"/>
  <c r="F229" i="79"/>
  <c r="G225" i="79"/>
  <c r="H225" i="79"/>
  <c r="I225" i="79"/>
  <c r="J225" i="79"/>
  <c r="K225" i="79"/>
  <c r="M225" i="79"/>
  <c r="N229" i="79"/>
  <c r="F228" i="79"/>
  <c r="G224" i="79"/>
  <c r="H224" i="79"/>
  <c r="I224" i="79"/>
  <c r="J224" i="79"/>
  <c r="K224" i="79"/>
  <c r="M224" i="79"/>
  <c r="N228" i="79"/>
  <c r="P223" i="79"/>
  <c r="M223" i="79"/>
  <c r="L223" i="79"/>
  <c r="J223" i="79"/>
  <c r="I223" i="79"/>
  <c r="H223" i="79"/>
  <c r="G227" i="79"/>
  <c r="F227" i="79"/>
  <c r="D99" i="70"/>
  <c r="D98" i="70"/>
  <c r="D97" i="70"/>
  <c r="D96" i="70"/>
  <c r="D95" i="70"/>
  <c r="D94" i="70"/>
  <c r="D93" i="70"/>
  <c r="D92" i="70"/>
  <c r="D91" i="70"/>
  <c r="D90" i="70"/>
  <c r="D89" i="70"/>
  <c r="D88" i="70"/>
  <c r="E7" i="70"/>
  <c r="E145" i="79"/>
  <c r="F145" i="79"/>
  <c r="F149" i="79" s="1"/>
  <c r="G145" i="79"/>
  <c r="H145" i="79"/>
  <c r="I145" i="79"/>
  <c r="J145" i="79"/>
  <c r="K145" i="79"/>
  <c r="L145" i="79"/>
  <c r="M145" i="79"/>
  <c r="N145" i="79"/>
  <c r="O145" i="79"/>
  <c r="P145" i="79"/>
  <c r="E144" i="79"/>
  <c r="F144" i="79"/>
  <c r="F148" i="79" s="1"/>
  <c r="G144" i="79"/>
  <c r="H144" i="79"/>
  <c r="I144" i="79"/>
  <c r="J144" i="79"/>
  <c r="K144" i="79"/>
  <c r="L144" i="79"/>
  <c r="M144" i="79"/>
  <c r="N144" i="79"/>
  <c r="O144" i="79"/>
  <c r="P144" i="79"/>
  <c r="E143" i="79"/>
  <c r="F143" i="79"/>
  <c r="F147" i="79" s="1"/>
  <c r="G143" i="79"/>
  <c r="H143" i="79"/>
  <c r="I143" i="79"/>
  <c r="J143" i="79"/>
  <c r="K143" i="79"/>
  <c r="L143" i="79"/>
  <c r="M143" i="79"/>
  <c r="N143" i="79"/>
  <c r="O143" i="79"/>
  <c r="P143" i="79"/>
  <c r="E142" i="79"/>
  <c r="F142" i="79"/>
  <c r="F146" i="79" s="1"/>
  <c r="G142" i="79"/>
  <c r="H142" i="79"/>
  <c r="I142" i="79"/>
  <c r="J142" i="79"/>
  <c r="K142" i="79"/>
  <c r="L142" i="79"/>
  <c r="M142" i="79"/>
  <c r="N142" i="79"/>
  <c r="O142" i="79"/>
  <c r="P142" i="79"/>
  <c r="E141" i="79"/>
  <c r="F141" i="79"/>
  <c r="G141" i="79"/>
  <c r="H141" i="79"/>
  <c r="I141" i="79"/>
  <c r="J141" i="79"/>
  <c r="K141" i="79"/>
  <c r="L141" i="79"/>
  <c r="M141" i="79"/>
  <c r="N141" i="79"/>
  <c r="O141" i="79"/>
  <c r="P141" i="79"/>
  <c r="E140" i="79"/>
  <c r="F140" i="79"/>
  <c r="G140" i="79"/>
  <c r="H140" i="79"/>
  <c r="I140" i="79"/>
  <c r="J140" i="79"/>
  <c r="K140" i="79"/>
  <c r="L140" i="79"/>
  <c r="M140" i="79"/>
  <c r="N140" i="79"/>
  <c r="O140" i="79"/>
  <c r="P140" i="79"/>
  <c r="E139" i="79"/>
  <c r="F139" i="79"/>
  <c r="G139" i="79"/>
  <c r="H139" i="79"/>
  <c r="I139" i="79"/>
  <c r="J139" i="79"/>
  <c r="K139" i="79"/>
  <c r="L139" i="79"/>
  <c r="M139" i="79"/>
  <c r="N139" i="79"/>
  <c r="O139" i="79"/>
  <c r="P139" i="79"/>
  <c r="E138" i="79"/>
  <c r="F138" i="79"/>
  <c r="G138" i="79"/>
  <c r="H138" i="79"/>
  <c r="I138" i="79"/>
  <c r="J138" i="79"/>
  <c r="K138" i="79"/>
  <c r="L138" i="79"/>
  <c r="M138" i="79"/>
  <c r="N138" i="79"/>
  <c r="O138" i="79"/>
  <c r="P138" i="79"/>
  <c r="E137" i="79"/>
  <c r="F137" i="79"/>
  <c r="G137" i="79"/>
  <c r="H137" i="79"/>
  <c r="I137" i="79"/>
  <c r="J137" i="79"/>
  <c r="K137" i="79"/>
  <c r="L137" i="79"/>
  <c r="M137" i="79"/>
  <c r="N137" i="79"/>
  <c r="O137" i="79"/>
  <c r="P137" i="79"/>
  <c r="E136" i="79"/>
  <c r="F136" i="79"/>
  <c r="G136" i="79"/>
  <c r="H136" i="79"/>
  <c r="I136" i="79"/>
  <c r="J136" i="79"/>
  <c r="K136" i="79"/>
  <c r="L136" i="79"/>
  <c r="M136" i="79"/>
  <c r="N136" i="79"/>
  <c r="O136" i="79"/>
  <c r="P136" i="79"/>
  <c r="E135" i="79"/>
  <c r="F135" i="79"/>
  <c r="G135" i="79"/>
  <c r="H135" i="79"/>
  <c r="I135" i="79"/>
  <c r="J135" i="79"/>
  <c r="K135" i="79"/>
  <c r="L135" i="79"/>
  <c r="M135" i="79"/>
  <c r="N135" i="79"/>
  <c r="O135" i="79"/>
  <c r="P135" i="79"/>
  <c r="E134" i="79"/>
  <c r="F134" i="79"/>
  <c r="G134" i="79"/>
  <c r="H134" i="79"/>
  <c r="I134" i="79"/>
  <c r="J134" i="79"/>
  <c r="K134" i="79"/>
  <c r="L134" i="79"/>
  <c r="M134" i="79"/>
  <c r="N134" i="79"/>
  <c r="O134" i="79"/>
  <c r="P134" i="79"/>
  <c r="E133" i="79"/>
  <c r="F133" i="79"/>
  <c r="G133" i="79"/>
  <c r="H133" i="79"/>
  <c r="I133" i="79"/>
  <c r="J133" i="79"/>
  <c r="K133" i="79"/>
  <c r="L133" i="79"/>
  <c r="M133" i="79"/>
  <c r="N133" i="79"/>
  <c r="O133" i="79"/>
  <c r="P133" i="79"/>
  <c r="E132" i="79"/>
  <c r="F132" i="79"/>
  <c r="G132" i="79"/>
  <c r="H132" i="79"/>
  <c r="I132" i="79"/>
  <c r="J132" i="79"/>
  <c r="K132" i="79"/>
  <c r="L132" i="79"/>
  <c r="M132" i="79"/>
  <c r="N132" i="79"/>
  <c r="O132" i="79"/>
  <c r="P132" i="79"/>
  <c r="E131" i="79"/>
  <c r="F131" i="79"/>
  <c r="G131" i="79"/>
  <c r="H131" i="79"/>
  <c r="I131" i="79"/>
  <c r="J131" i="79"/>
  <c r="K131" i="79"/>
  <c r="L131" i="79"/>
  <c r="M131" i="79"/>
  <c r="N131" i="79"/>
  <c r="O131" i="79"/>
  <c r="P131" i="79"/>
  <c r="E130" i="79"/>
  <c r="F130" i="79"/>
  <c r="G130" i="79"/>
  <c r="H130" i="79"/>
  <c r="I130" i="79"/>
  <c r="J130" i="79"/>
  <c r="K130" i="79"/>
  <c r="L130" i="79"/>
  <c r="M130" i="79"/>
  <c r="N130" i="79"/>
  <c r="O130" i="79"/>
  <c r="P130" i="79"/>
  <c r="E129" i="79"/>
  <c r="F129" i="79"/>
  <c r="G129" i="79"/>
  <c r="H129" i="79"/>
  <c r="I129" i="79"/>
  <c r="J129" i="79"/>
  <c r="K129" i="79"/>
  <c r="L129" i="79"/>
  <c r="M129" i="79"/>
  <c r="N129" i="79"/>
  <c r="O129" i="79"/>
  <c r="P129" i="79"/>
  <c r="E128" i="79"/>
  <c r="F128" i="79"/>
  <c r="G128" i="79"/>
  <c r="H128" i="79"/>
  <c r="I128" i="79"/>
  <c r="J128" i="79"/>
  <c r="K128" i="79"/>
  <c r="L128" i="79"/>
  <c r="M128" i="79"/>
  <c r="N128" i="79"/>
  <c r="O128" i="79"/>
  <c r="P128" i="79"/>
  <c r="E127" i="79"/>
  <c r="F127" i="79"/>
  <c r="G127" i="79"/>
  <c r="H127" i="79"/>
  <c r="I127" i="79"/>
  <c r="J127" i="79"/>
  <c r="K127" i="79"/>
  <c r="L127" i="79"/>
  <c r="M127" i="79"/>
  <c r="N127" i="79"/>
  <c r="O127" i="79"/>
  <c r="P127" i="79"/>
  <c r="E126" i="79"/>
  <c r="F126" i="79"/>
  <c r="G126" i="79"/>
  <c r="H126" i="79"/>
  <c r="I126" i="79"/>
  <c r="J126" i="79"/>
  <c r="K126" i="79"/>
  <c r="L126" i="79"/>
  <c r="M126" i="79"/>
  <c r="N126" i="79"/>
  <c r="O126" i="79"/>
  <c r="P126" i="79"/>
  <c r="E125" i="79"/>
  <c r="F125" i="79"/>
  <c r="G125" i="79"/>
  <c r="H125" i="79"/>
  <c r="I125" i="79"/>
  <c r="J125" i="79"/>
  <c r="K125" i="79"/>
  <c r="L125" i="79"/>
  <c r="M125" i="79"/>
  <c r="N125" i="79"/>
  <c r="O125" i="79"/>
  <c r="P125" i="79"/>
  <c r="E124" i="79"/>
  <c r="F124" i="79"/>
  <c r="G124" i="79"/>
  <c r="H124" i="79"/>
  <c r="I124" i="79"/>
  <c r="J124" i="79"/>
  <c r="K124" i="79"/>
  <c r="L124" i="79"/>
  <c r="M124" i="79"/>
  <c r="N124" i="79"/>
  <c r="O124" i="79"/>
  <c r="P124" i="79"/>
  <c r="E123" i="79"/>
  <c r="F123" i="79"/>
  <c r="G123" i="79"/>
  <c r="H123" i="79"/>
  <c r="I123" i="79"/>
  <c r="J123" i="79"/>
  <c r="K123" i="79"/>
  <c r="L123" i="79"/>
  <c r="M123" i="79"/>
  <c r="N123" i="79"/>
  <c r="O123" i="79"/>
  <c r="P123" i="79"/>
  <c r="E122" i="79"/>
  <c r="F122" i="79"/>
  <c r="G122" i="79"/>
  <c r="H122" i="79"/>
  <c r="I122" i="79"/>
  <c r="J122" i="79"/>
  <c r="K122" i="79"/>
  <c r="L122" i="79"/>
  <c r="M122" i="79"/>
  <c r="N122" i="79"/>
  <c r="O122" i="79"/>
  <c r="P122" i="79"/>
  <c r="E121" i="79"/>
  <c r="F121" i="79"/>
  <c r="G121" i="79"/>
  <c r="H121" i="79"/>
  <c r="I121" i="79"/>
  <c r="J121" i="79"/>
  <c r="K121" i="79"/>
  <c r="L121" i="79"/>
  <c r="M121" i="79"/>
  <c r="N121" i="79"/>
  <c r="O121" i="79"/>
  <c r="P121" i="79"/>
  <c r="E120" i="79"/>
  <c r="F120" i="79"/>
  <c r="G120" i="79"/>
  <c r="H120" i="79"/>
  <c r="I120" i="79"/>
  <c r="J120" i="79"/>
  <c r="K120" i="79"/>
  <c r="L120" i="79"/>
  <c r="M120" i="79"/>
  <c r="N120" i="79"/>
  <c r="O120" i="79"/>
  <c r="P120" i="79"/>
  <c r="E119" i="79"/>
  <c r="F119" i="79"/>
  <c r="G119" i="79"/>
  <c r="H119" i="79"/>
  <c r="I119" i="79"/>
  <c r="J119" i="79"/>
  <c r="K119" i="79"/>
  <c r="L119" i="79"/>
  <c r="M119" i="79"/>
  <c r="N119" i="79"/>
  <c r="O119" i="79"/>
  <c r="P119" i="79"/>
  <c r="P118" i="79"/>
  <c r="O118" i="79"/>
  <c r="N118" i="79"/>
  <c r="M118" i="79"/>
  <c r="L118" i="79"/>
  <c r="K118" i="79"/>
  <c r="J118" i="79"/>
  <c r="I118" i="79"/>
  <c r="H118" i="79"/>
  <c r="G118" i="79"/>
  <c r="F118" i="79"/>
  <c r="E118" i="79"/>
  <c r="E117" i="79"/>
  <c r="F117" i="79"/>
  <c r="G117" i="79"/>
  <c r="H117" i="79"/>
  <c r="I117" i="79"/>
  <c r="J117" i="79"/>
  <c r="K117" i="79"/>
  <c r="M117" i="79"/>
  <c r="N117" i="79"/>
  <c r="E116" i="79"/>
  <c r="F116" i="79"/>
  <c r="G116" i="79"/>
  <c r="H116" i="79"/>
  <c r="I116" i="79"/>
  <c r="J116" i="79"/>
  <c r="K116" i="79"/>
  <c r="M116" i="79"/>
  <c r="N116" i="79"/>
  <c r="E115" i="79"/>
  <c r="F115" i="79"/>
  <c r="G115" i="79"/>
  <c r="H115" i="79"/>
  <c r="I115" i="79"/>
  <c r="J115" i="79"/>
  <c r="K115" i="79"/>
  <c r="M115" i="79"/>
  <c r="N115" i="79"/>
  <c r="E114" i="79"/>
  <c r="F114" i="79"/>
  <c r="G114" i="79"/>
  <c r="H114" i="79"/>
  <c r="I114" i="79"/>
  <c r="J114" i="79"/>
  <c r="L114" i="79"/>
  <c r="M114" i="79"/>
  <c r="N114" i="79"/>
  <c r="E113" i="79"/>
  <c r="F113" i="79"/>
  <c r="G113" i="79"/>
  <c r="H113" i="79"/>
  <c r="I113" i="79"/>
  <c r="J113" i="79"/>
  <c r="L113" i="79"/>
  <c r="M113" i="79"/>
  <c r="O113" i="79"/>
  <c r="E112" i="79"/>
  <c r="F112" i="79"/>
  <c r="G112" i="79"/>
  <c r="H112" i="79"/>
  <c r="I112" i="79"/>
  <c r="J112" i="79"/>
  <c r="L112" i="79"/>
  <c r="M112" i="79"/>
  <c r="P112" i="79"/>
  <c r="E111" i="79"/>
  <c r="F111" i="79"/>
  <c r="G111" i="79"/>
  <c r="H111" i="79"/>
  <c r="I111" i="79"/>
  <c r="J111" i="79"/>
  <c r="L111" i="79"/>
  <c r="M111" i="79"/>
  <c r="N111" i="79"/>
  <c r="E110" i="79"/>
  <c r="F110" i="79"/>
  <c r="G110" i="79"/>
  <c r="H110" i="79"/>
  <c r="I110" i="79"/>
  <c r="J110" i="79"/>
  <c r="K110" i="79"/>
  <c r="M110" i="79"/>
  <c r="N110" i="79"/>
  <c r="E109" i="79"/>
  <c r="F109" i="79"/>
  <c r="G109" i="79"/>
  <c r="H109" i="79"/>
  <c r="I109" i="79"/>
  <c r="J109" i="79"/>
  <c r="L109" i="79"/>
  <c r="M109" i="79"/>
  <c r="N109" i="79"/>
  <c r="E108" i="79"/>
  <c r="F108" i="79"/>
  <c r="G108" i="79"/>
  <c r="H108" i="79"/>
  <c r="I108" i="79"/>
  <c r="J108" i="79"/>
  <c r="K108" i="79"/>
  <c r="M108" i="79"/>
  <c r="N108" i="79"/>
  <c r="E107" i="79"/>
  <c r="F107" i="79"/>
  <c r="G107" i="79"/>
  <c r="H107" i="79"/>
  <c r="I107" i="79"/>
  <c r="J107" i="79"/>
  <c r="L107" i="79"/>
  <c r="M107" i="79"/>
  <c r="N107" i="79"/>
  <c r="E106" i="79"/>
  <c r="F106" i="79"/>
  <c r="G106" i="79"/>
  <c r="H106" i="79"/>
  <c r="I106" i="79"/>
  <c r="J106" i="79"/>
  <c r="K106" i="79"/>
  <c r="M106" i="79"/>
  <c r="O106" i="79"/>
  <c r="G105" i="79"/>
  <c r="H105" i="79"/>
  <c r="I105" i="79"/>
  <c r="J105" i="79"/>
  <c r="K105" i="79"/>
  <c r="M105" i="79"/>
  <c r="N105" i="79"/>
  <c r="G104" i="79"/>
  <c r="H104" i="79"/>
  <c r="I104" i="79"/>
  <c r="J104" i="79"/>
  <c r="K104" i="79"/>
  <c r="M104" i="79"/>
  <c r="N104" i="79"/>
  <c r="G103" i="79"/>
  <c r="H103" i="79"/>
  <c r="I103" i="79"/>
  <c r="J103" i="79"/>
  <c r="K103" i="79"/>
  <c r="M103" i="79"/>
  <c r="O103" i="79"/>
  <c r="F98" i="79"/>
  <c r="G102" i="79"/>
  <c r="H102" i="79"/>
  <c r="I102" i="79"/>
  <c r="J102" i="79"/>
  <c r="L102" i="79"/>
  <c r="M102" i="79"/>
  <c r="P102" i="79"/>
  <c r="G101" i="79"/>
  <c r="H101" i="79"/>
  <c r="I101" i="79"/>
  <c r="J101" i="79"/>
  <c r="K101" i="79"/>
  <c r="M101" i="79"/>
  <c r="N101" i="79"/>
  <c r="G100" i="79"/>
  <c r="H100" i="79"/>
  <c r="I100" i="79"/>
  <c r="J100" i="79"/>
  <c r="K100" i="79"/>
  <c r="M100" i="79"/>
  <c r="N100" i="79"/>
  <c r="G99" i="79"/>
  <c r="H99" i="79"/>
  <c r="I99" i="79"/>
  <c r="J99" i="79"/>
  <c r="K99" i="79"/>
  <c r="M99" i="79"/>
  <c r="N99" i="79"/>
  <c r="F94" i="79"/>
  <c r="G98" i="79"/>
  <c r="H98" i="79"/>
  <c r="I98" i="79"/>
  <c r="J98" i="79"/>
  <c r="K98" i="79"/>
  <c r="M98" i="79"/>
  <c r="P98" i="79"/>
  <c r="G97" i="79"/>
  <c r="H97" i="79"/>
  <c r="I97" i="79"/>
  <c r="J97" i="79"/>
  <c r="L97" i="79"/>
  <c r="M97" i="79"/>
  <c r="N97" i="79"/>
  <c r="G96" i="79"/>
  <c r="H96" i="79"/>
  <c r="I96" i="79"/>
  <c r="J96" i="79"/>
  <c r="K96" i="79"/>
  <c r="M96" i="79"/>
  <c r="N96" i="79"/>
  <c r="G95" i="79"/>
  <c r="H95" i="79"/>
  <c r="I95" i="79"/>
  <c r="J95" i="79"/>
  <c r="K95" i="79"/>
  <c r="M95" i="79"/>
  <c r="N95" i="79"/>
  <c r="F90" i="79"/>
  <c r="G94" i="79"/>
  <c r="H94" i="79"/>
  <c r="I94" i="79"/>
  <c r="J94" i="79"/>
  <c r="K94" i="79"/>
  <c r="M94" i="79"/>
  <c r="O94" i="79"/>
  <c r="G93" i="79"/>
  <c r="H93" i="79"/>
  <c r="I93" i="79"/>
  <c r="J89" i="79"/>
  <c r="L89" i="79"/>
  <c r="M93" i="79"/>
  <c r="N93" i="79"/>
  <c r="G92" i="79"/>
  <c r="H92" i="79"/>
  <c r="I88" i="79"/>
  <c r="J88" i="79"/>
  <c r="L88" i="79"/>
  <c r="M92" i="79"/>
  <c r="N92" i="79"/>
  <c r="G87" i="79"/>
  <c r="H91" i="79"/>
  <c r="I87" i="79"/>
  <c r="J87" i="79"/>
  <c r="K91" i="79"/>
  <c r="M87" i="79"/>
  <c r="N91" i="79"/>
  <c r="N90" i="79"/>
  <c r="M86" i="79"/>
  <c r="K86" i="79"/>
  <c r="J90" i="79"/>
  <c r="I90" i="79"/>
  <c r="H86" i="79"/>
  <c r="G86" i="79"/>
  <c r="F86" i="79"/>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J67" i="70" l="1"/>
  <c r="E74" i="70"/>
  <c r="F71" i="70"/>
  <c r="E71" i="70"/>
  <c r="K66" i="70"/>
  <c r="M60" i="70"/>
  <c r="E62" i="70"/>
  <c r="L68" i="70"/>
  <c r="H62" i="70"/>
  <c r="G62" i="70"/>
  <c r="I63" i="70"/>
  <c r="H63" i="70"/>
  <c r="K68" i="70"/>
  <c r="G71" i="70"/>
  <c r="J72" i="70"/>
  <c r="E68" i="70"/>
  <c r="F67" i="70"/>
  <c r="L60" i="70"/>
  <c r="I68" i="70"/>
  <c r="I60" i="70"/>
  <c r="H72" i="70"/>
  <c r="F68" i="70"/>
  <c r="L66" i="70"/>
  <c r="F63" i="70"/>
  <c r="L61" i="70"/>
  <c r="H76" i="70"/>
  <c r="F72" i="70"/>
  <c r="L70" i="70"/>
  <c r="H69" i="70"/>
  <c r="N67" i="70"/>
  <c r="I69" i="70"/>
  <c r="M74" i="70"/>
  <c r="I73" i="70"/>
  <c r="E72" i="70"/>
  <c r="K70" i="70"/>
  <c r="L62" i="70"/>
  <c r="K72" i="70"/>
  <c r="K60" i="70"/>
  <c r="L69" i="70"/>
  <c r="G75" i="70"/>
  <c r="J77" i="70"/>
  <c r="F76" i="70"/>
  <c r="E61" i="70"/>
  <c r="I75" i="70"/>
  <c r="H75" i="70"/>
  <c r="K61" i="70"/>
  <c r="I77" i="70"/>
  <c r="E76" i="70"/>
  <c r="K74" i="70"/>
  <c r="E69" i="70"/>
  <c r="K62" i="70"/>
  <c r="G61" i="70"/>
  <c r="F66" i="70"/>
  <c r="M69" i="70"/>
  <c r="N73" i="70"/>
  <c r="J60" i="70"/>
  <c r="K69" i="70"/>
  <c r="AH39" i="69"/>
  <c r="AH38" i="69"/>
  <c r="AH37" i="69"/>
  <c r="AH36" i="69"/>
  <c r="AH35" i="69"/>
  <c r="AH34" i="69"/>
  <c r="AH33" i="69"/>
  <c r="AH32" i="69"/>
  <c r="AH31" i="69"/>
  <c r="AH30" i="69"/>
  <c r="J14" i="69" a="1"/>
  <c r="J14" i="69" s="1"/>
  <c r="J15" i="69" a="1"/>
  <c r="J15" i="69" s="1"/>
  <c r="AE140" i="69"/>
  <c r="AD141" i="69"/>
  <c r="AC142" i="69"/>
  <c r="AB143" i="69"/>
  <c r="V144" i="69"/>
  <c r="AE139" i="69"/>
  <c r="K33" i="70"/>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N60" i="70" s="1"/>
  <c r="P113" i="79"/>
  <c r="G88" i="79"/>
  <c r="G148" i="79" s="1"/>
  <c r="K88" i="79"/>
  <c r="O87" i="79"/>
  <c r="K93" i="79"/>
  <c r="O92" i="79"/>
  <c r="L94" i="79"/>
  <c r="O96" i="79"/>
  <c r="L99" i="79"/>
  <c r="P99" i="79"/>
  <c r="L104" i="79"/>
  <c r="O104" i="79"/>
  <c r="L116" i="79"/>
  <c r="N112" i="79"/>
  <c r="O107" i="79"/>
  <c r="M66" i="70" s="1"/>
  <c r="O114" i="79"/>
  <c r="H88" i="79"/>
  <c r="H148" i="79" s="1"/>
  <c r="K89" i="79"/>
  <c r="P87" i="79"/>
  <c r="I91" i="79"/>
  <c r="I147" i="79" s="1"/>
  <c r="L90" i="79"/>
  <c r="O93" i="79"/>
  <c r="L95" i="79"/>
  <c r="O97" i="79"/>
  <c r="L100" i="79"/>
  <c r="O100" i="79"/>
  <c r="L105" i="79"/>
  <c r="P104" i="79"/>
  <c r="L117" i="79"/>
  <c r="P107" i="79"/>
  <c r="N61" i="70" s="1"/>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I67" i="70" s="1"/>
  <c r="K109" i="79"/>
  <c r="I72" i="70" s="1"/>
  <c r="K111" i="79"/>
  <c r="K113" i="79"/>
  <c r="P108" i="79"/>
  <c r="P115" i="79"/>
  <c r="I86" i="79"/>
  <c r="I146" i="79" s="1"/>
  <c r="P88" i="79"/>
  <c r="L93" i="79"/>
  <c r="P91" i="79"/>
  <c r="P96" i="79"/>
  <c r="P101" i="79"/>
  <c r="N103" i="79"/>
  <c r="L106" i="79"/>
  <c r="O109" i="79"/>
  <c r="M73" i="70" s="1"/>
  <c r="O116" i="79"/>
  <c r="N89" i="79"/>
  <c r="I92" i="79"/>
  <c r="I148" i="79" s="1"/>
  <c r="M90" i="79"/>
  <c r="M146" i="79" s="1"/>
  <c r="P92" i="79"/>
  <c r="P97" i="79"/>
  <c r="F102" i="79"/>
  <c r="H77" i="70" s="1"/>
  <c r="P109" i="79"/>
  <c r="P116" i="79"/>
  <c r="O89" i="79"/>
  <c r="J92" i="79"/>
  <c r="J148" i="79" s="1"/>
  <c r="M91" i="79"/>
  <c r="M147" i="79" s="1"/>
  <c r="P93" i="79"/>
  <c r="L108" i="79"/>
  <c r="J62" i="70" s="1"/>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L98" i="70" l="1"/>
  <c r="K98" i="70"/>
  <c r="G97" i="70"/>
  <c r="M95" i="70"/>
  <c r="I94" i="70"/>
  <c r="E93" i="70"/>
  <c r="K91" i="70"/>
  <c r="G90" i="70"/>
  <c r="M88" i="70"/>
  <c r="I85" i="70"/>
  <c r="E84" i="70"/>
  <c r="K82" i="70"/>
  <c r="J82" i="70"/>
  <c r="L94" i="70"/>
  <c r="N88" i="70"/>
  <c r="N99" i="70"/>
  <c r="J98" i="70"/>
  <c r="F97" i="70"/>
  <c r="L95" i="70"/>
  <c r="H94" i="70"/>
  <c r="N92" i="70"/>
  <c r="J91" i="70"/>
  <c r="F90" i="70"/>
  <c r="L88" i="70"/>
  <c r="H85" i="70"/>
  <c r="N83" i="70"/>
  <c r="L83" i="70"/>
  <c r="G89" i="70"/>
  <c r="N91" i="70"/>
  <c r="F93" i="70"/>
  <c r="M99" i="70"/>
  <c r="I98" i="70"/>
  <c r="E97" i="70"/>
  <c r="K95" i="70"/>
  <c r="G94" i="70"/>
  <c r="M92" i="70"/>
  <c r="I91" i="70"/>
  <c r="E90" i="70"/>
  <c r="K88" i="70"/>
  <c r="G85" i="70"/>
  <c r="M83" i="70"/>
  <c r="I82" i="70"/>
  <c r="N89" i="70"/>
  <c r="F85" i="70"/>
  <c r="I84" i="70"/>
  <c r="L85" i="70"/>
  <c r="H90" i="70"/>
  <c r="L99" i="70"/>
  <c r="H98" i="70"/>
  <c r="N96" i="70"/>
  <c r="J95" i="70"/>
  <c r="F94" i="70"/>
  <c r="L92" i="70"/>
  <c r="H91" i="70"/>
  <c r="J88" i="70"/>
  <c r="H82" i="70"/>
  <c r="K90" i="70"/>
  <c r="F96" i="70"/>
  <c r="K99" i="70"/>
  <c r="G98" i="70"/>
  <c r="M96" i="70"/>
  <c r="I95" i="70"/>
  <c r="E94" i="70"/>
  <c r="K92" i="70"/>
  <c r="G91" i="70"/>
  <c r="M89" i="70"/>
  <c r="I88" i="70"/>
  <c r="E85" i="70"/>
  <c r="K83" i="70"/>
  <c r="G82" i="70"/>
  <c r="M94" i="70"/>
  <c r="J99" i="70"/>
  <c r="F98" i="70"/>
  <c r="L96" i="70"/>
  <c r="H95" i="70"/>
  <c r="N93" i="70"/>
  <c r="J92" i="70"/>
  <c r="F91" i="70"/>
  <c r="L89" i="70"/>
  <c r="H88" i="70"/>
  <c r="N84" i="70"/>
  <c r="J83" i="70"/>
  <c r="F82" i="70"/>
  <c r="G96" i="70"/>
  <c r="E83" i="70"/>
  <c r="N82" i="70"/>
  <c r="L82" i="70"/>
  <c r="I99" i="70"/>
  <c r="E98" i="70"/>
  <c r="K96" i="70"/>
  <c r="G95" i="70"/>
  <c r="M93" i="70"/>
  <c r="I92" i="70"/>
  <c r="E91" i="70"/>
  <c r="K89" i="70"/>
  <c r="G88" i="70"/>
  <c r="M84" i="70"/>
  <c r="I83" i="70"/>
  <c r="E82" i="70"/>
  <c r="J84" i="70"/>
  <c r="I93" i="70"/>
  <c r="J90" i="70"/>
  <c r="H99" i="70"/>
  <c r="N97" i="70"/>
  <c r="J96" i="70"/>
  <c r="F95" i="70"/>
  <c r="L93" i="70"/>
  <c r="H92" i="70"/>
  <c r="N90" i="70"/>
  <c r="J89" i="70"/>
  <c r="F88" i="70"/>
  <c r="L84" i="70"/>
  <c r="H83" i="70"/>
  <c r="N85" i="70"/>
  <c r="E92" i="70"/>
  <c r="J94" i="70"/>
  <c r="G99" i="70"/>
  <c r="M97" i="70"/>
  <c r="I96" i="70"/>
  <c r="E95" i="70"/>
  <c r="K93" i="70"/>
  <c r="G92" i="70"/>
  <c r="M90" i="70"/>
  <c r="I89" i="70"/>
  <c r="E88" i="70"/>
  <c r="K84" i="70"/>
  <c r="G83" i="70"/>
  <c r="L90" i="70"/>
  <c r="F83" i="70"/>
  <c r="M85" i="70"/>
  <c r="H84" i="70"/>
  <c r="L91" i="70"/>
  <c r="F99" i="70"/>
  <c r="L97" i="70"/>
  <c r="H96" i="70"/>
  <c r="N94" i="70"/>
  <c r="J93" i="70"/>
  <c r="F92" i="70"/>
  <c r="H89" i="70"/>
  <c r="F89" i="70"/>
  <c r="F84" i="70"/>
  <c r="E99" i="70"/>
  <c r="K97" i="70"/>
  <c r="N98" i="70"/>
  <c r="J97" i="70"/>
  <c r="H93" i="70"/>
  <c r="M98" i="70"/>
  <c r="I97" i="70"/>
  <c r="E96" i="70"/>
  <c r="K94" i="70"/>
  <c r="G93" i="70"/>
  <c r="M91" i="70"/>
  <c r="I90" i="70"/>
  <c r="E89" i="70"/>
  <c r="K85" i="70"/>
  <c r="G84" i="70"/>
  <c r="M82" i="70"/>
  <c r="H97" i="70"/>
  <c r="N95" i="70"/>
  <c r="J85" i="70"/>
  <c r="J70" i="70"/>
  <c r="N66" i="70"/>
  <c r="G66" i="70"/>
  <c r="H66" i="70"/>
  <c r="I62" i="70"/>
  <c r="G76" i="70"/>
  <c r="J73" i="70"/>
  <c r="J69" i="70"/>
  <c r="F62" i="70"/>
  <c r="K63" i="70"/>
  <c r="L63" i="70"/>
  <c r="M63" i="70"/>
  <c r="F61" i="70"/>
  <c r="K67" i="70"/>
  <c r="F69" i="70"/>
  <c r="H61" i="70"/>
  <c r="K77" i="70"/>
  <c r="N74" i="70"/>
  <c r="N70" i="70"/>
  <c r="J63" i="70"/>
  <c r="G67" i="70"/>
  <c r="H67" i="70"/>
  <c r="E66" i="70"/>
  <c r="N63" i="70"/>
  <c r="I70" i="70"/>
  <c r="N71" i="70"/>
  <c r="L67" i="70"/>
  <c r="G63" i="70"/>
  <c r="L77" i="70"/>
  <c r="L73" i="70"/>
  <c r="J68" i="70"/>
  <c r="E70" i="70"/>
  <c r="F70" i="70"/>
  <c r="M68" i="70"/>
  <c r="N68" i="70"/>
  <c r="G72" i="70"/>
  <c r="M71" i="70"/>
  <c r="H73" i="70"/>
  <c r="E60" i="70"/>
  <c r="H68" i="70"/>
  <c r="M77" i="70"/>
  <c r="F75" i="70"/>
  <c r="N69" i="70"/>
  <c r="I71" i="70"/>
  <c r="J71" i="70"/>
  <c r="G70" i="70"/>
  <c r="H70" i="70"/>
  <c r="G73" i="70"/>
  <c r="L74" i="70"/>
  <c r="I61" i="70"/>
  <c r="E67" i="70"/>
  <c r="M70" i="70"/>
  <c r="J76" i="70"/>
  <c r="H71" i="70"/>
  <c r="M72" i="70"/>
  <c r="N72" i="70"/>
  <c r="K71" i="70"/>
  <c r="L71" i="70"/>
  <c r="M62" i="70"/>
  <c r="F60" i="70"/>
  <c r="K73" i="70"/>
  <c r="N77" i="70"/>
  <c r="L72" i="70"/>
  <c r="G74" i="70"/>
  <c r="H74" i="70"/>
  <c r="E73" i="70"/>
  <c r="F73" i="70"/>
  <c r="I66" i="70"/>
  <c r="J61" i="70"/>
  <c r="E75" i="70"/>
  <c r="K76" i="70"/>
  <c r="F74" i="70"/>
  <c r="K75" i="70"/>
  <c r="L75" i="70"/>
  <c r="I74" i="70"/>
  <c r="J74" i="70"/>
  <c r="E63" i="70"/>
  <c r="M67" i="70"/>
  <c r="N62" i="70"/>
  <c r="I76" i="70"/>
  <c r="L76" i="70"/>
  <c r="J75" i="70"/>
  <c r="E77" i="70"/>
  <c r="F77" i="70"/>
  <c r="M75" i="70"/>
  <c r="N75" i="70"/>
  <c r="M61" i="70"/>
  <c r="G69" i="70"/>
  <c r="J66" i="70"/>
  <c r="H60" i="70"/>
  <c r="M76" i="70"/>
  <c r="N76" i="70"/>
  <c r="G68" i="70"/>
  <c r="G60" i="70"/>
  <c r="G77" i="70"/>
  <c r="P149" i="79"/>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F29" i="69" a="1"/>
  <c r="F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AA28" i="69" l="1"/>
  <c r="AC28" i="69"/>
  <c r="AB28" i="69"/>
  <c r="AC39" i="69"/>
  <c r="AB39" i="69"/>
  <c r="AA39" i="69"/>
  <c r="AA37" i="69"/>
  <c r="AB37" i="69"/>
  <c r="AC37" i="69"/>
  <c r="L29" i="69"/>
  <c r="K29" i="69"/>
  <c r="J29" i="69"/>
  <c r="AC38" i="69"/>
  <c r="AB38" i="69"/>
  <c r="AA38" i="69"/>
  <c r="L26" i="69"/>
  <c r="K26" i="69"/>
  <c r="J26" i="69"/>
  <c r="AC36" i="69"/>
  <c r="AB36" i="69"/>
  <c r="AA36" i="69"/>
  <c r="AA35" i="69"/>
  <c r="AC35" i="69"/>
  <c r="AB35" i="69"/>
  <c r="F57" i="69"/>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D61" i="69"/>
  <c r="X60" i="69"/>
  <c r="AC63" i="69"/>
  <c r="V61" i="69"/>
  <c r="W66" i="69"/>
  <c r="Y60" i="69"/>
  <c r="AC52" i="69"/>
  <c r="AE66" i="69"/>
  <c r="AE50" i="69"/>
  <c r="AC47" i="69"/>
  <c r="AC62" i="69"/>
  <c r="V54" i="69"/>
  <c r="V71" i="69"/>
  <c r="AD44" i="69"/>
  <c r="E56" i="69"/>
  <c r="Y54" i="69"/>
  <c r="AA66" i="69"/>
  <c r="W67" i="69"/>
  <c r="AD45" i="69"/>
  <c r="X44" i="69"/>
  <c r="AB54" i="69"/>
  <c r="AA60" i="69"/>
  <c r="Z51" i="69"/>
  <c r="Y65" i="69"/>
  <c r="V62" i="69"/>
  <c r="W68" i="69"/>
  <c r="Z70" i="69"/>
  <c r="AC48" i="69"/>
  <c r="W70" i="69"/>
  <c r="X55" i="69"/>
  <c r="V66" i="69"/>
  <c r="V45" i="69"/>
  <c r="V77" i="69" s="1"/>
  <c r="V98" i="69" s="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AA78" i="69" l="1"/>
  <c r="AA99" i="69" s="1"/>
  <c r="AA151" i="69" s="1"/>
  <c r="AA84" i="69"/>
  <c r="AA105" i="69" s="1"/>
  <c r="AA157" i="69" s="1"/>
  <c r="H65" i="69"/>
  <c r="H86" i="69" s="1"/>
  <c r="H124" i="69" s="1"/>
  <c r="AB86" i="69"/>
  <c r="AB107" i="69" s="1"/>
  <c r="AB159" i="69" s="1"/>
  <c r="F64" i="69"/>
  <c r="F85" i="69" s="1"/>
  <c r="F123" i="69" s="1"/>
  <c r="AC86" i="69"/>
  <c r="AC107" i="69" s="1"/>
  <c r="AC159" i="69" s="1"/>
  <c r="AC77" i="69"/>
  <c r="AC98" i="69" s="1"/>
  <c r="AC150" i="69" s="1"/>
  <c r="W78" i="69"/>
  <c r="W99" i="69" s="1"/>
  <c r="W151" i="69" s="1"/>
  <c r="H67" i="69"/>
  <c r="H88" i="69" s="1"/>
  <c r="H126" i="69" s="1"/>
  <c r="E65" i="69"/>
  <c r="E86" i="69" s="1"/>
  <c r="E124" i="69" s="1"/>
  <c r="K67" i="69"/>
  <c r="K88" i="69" s="1"/>
  <c r="K126" i="69" s="1"/>
  <c r="J67" i="69"/>
  <c r="J88" i="69" s="1"/>
  <c r="J126" i="69" s="1"/>
  <c r="I66" i="69"/>
  <c r="I87" i="69" s="1"/>
  <c r="I125" i="69" s="1"/>
  <c r="AD76" i="69"/>
  <c r="AD97" i="69" s="1"/>
  <c r="AD149" i="69" s="1"/>
  <c r="AD85" i="69"/>
  <c r="AD106" i="69" s="1"/>
  <c r="AD158" i="69" s="1"/>
  <c r="W84" i="69"/>
  <c r="W105" i="69" s="1"/>
  <c r="W157" i="69" s="1"/>
  <c r="W87" i="69"/>
  <c r="W108" i="69" s="1"/>
  <c r="W160" i="69" s="1"/>
  <c r="AB79" i="69"/>
  <c r="AB100" i="69" s="1"/>
  <c r="AB152" i="69" s="1"/>
  <c r="J64" i="69"/>
  <c r="J85" i="69" s="1"/>
  <c r="J123" i="69" s="1"/>
  <c r="AC78" i="69"/>
  <c r="AC99" i="69" s="1"/>
  <c r="AC151" i="69" s="1"/>
  <c r="V85" i="69"/>
  <c r="V106" i="69" s="1"/>
  <c r="V158" i="69" s="1"/>
  <c r="AA83" i="69"/>
  <c r="AA104" i="69" s="1"/>
  <c r="AA156" i="69" s="1"/>
  <c r="E64" i="69"/>
  <c r="E85" i="69" s="1"/>
  <c r="E123" i="69" s="1"/>
  <c r="AD78" i="69"/>
  <c r="AD99" i="69" s="1"/>
  <c r="AD151" i="69" s="1"/>
  <c r="AB87" i="69"/>
  <c r="AB108" i="69" s="1"/>
  <c r="AB160" i="69" s="1"/>
  <c r="F65" i="69"/>
  <c r="F86" i="69" s="1"/>
  <c r="F124" i="69" s="1"/>
  <c r="I64" i="69"/>
  <c r="I85" i="69" s="1"/>
  <c r="I123" i="69" s="1"/>
  <c r="Y86" i="69"/>
  <c r="Y107" i="69" s="1"/>
  <c r="Y159" i="69" s="1"/>
  <c r="AB85" i="69"/>
  <c r="AB106" i="69" s="1"/>
  <c r="AB158" i="69" s="1"/>
  <c r="L67" i="69"/>
  <c r="L88" i="69" s="1"/>
  <c r="L126" i="69" s="1"/>
  <c r="N66" i="69"/>
  <c r="N87" i="69" s="1"/>
  <c r="N125" i="69" s="1"/>
  <c r="X85" i="69"/>
  <c r="X106" i="69" s="1"/>
  <c r="X158" i="69" s="1"/>
  <c r="AA85" i="69"/>
  <c r="AA106" i="69" s="1"/>
  <c r="AA158" i="69" s="1"/>
  <c r="AE84" i="69"/>
  <c r="AE105" i="69" s="1"/>
  <c r="AE157" i="69" s="1"/>
  <c r="J65" i="69"/>
  <c r="J86" i="69" s="1"/>
  <c r="J124" i="69" s="1"/>
  <c r="M67" i="69"/>
  <c r="M88" i="69" s="1"/>
  <c r="M126" i="69" s="1"/>
  <c r="AE78" i="69"/>
  <c r="AE99" i="69" s="1"/>
  <c r="AE151" i="69" s="1"/>
  <c r="AC85" i="69"/>
  <c r="AC106" i="69" s="1"/>
  <c r="AC158" i="69" s="1"/>
  <c r="Z77" i="69"/>
  <c r="Z98" i="69" s="1"/>
  <c r="Z150" i="69" s="1"/>
  <c r="W83" i="69"/>
  <c r="W104" i="69" s="1"/>
  <c r="W156" i="69" s="1"/>
  <c r="V84" i="69"/>
  <c r="V105" i="69" s="1"/>
  <c r="V157" i="69" s="1"/>
  <c r="AC76" i="69"/>
  <c r="AC97" i="69" s="1"/>
  <c r="AC149" i="69" s="1"/>
  <c r="G64" i="69"/>
  <c r="G85" i="69" s="1"/>
  <c r="G123" i="69" s="1"/>
  <c r="AC80" i="69"/>
  <c r="AC101" i="69" s="1"/>
  <c r="AC153" i="69" s="1"/>
  <c r="K66" i="69"/>
  <c r="K87" i="69" s="1"/>
  <c r="K125" i="69" s="1"/>
  <c r="AC87" i="69"/>
  <c r="AC108" i="69" s="1"/>
  <c r="AC160" i="69" s="1"/>
  <c r="V78" i="69"/>
  <c r="V99" i="69" s="1"/>
  <c r="V151" i="69" s="1"/>
  <c r="AD86" i="69"/>
  <c r="AD107" i="69" s="1"/>
  <c r="AD159" i="69" s="1"/>
  <c r="Y85" i="69"/>
  <c r="Y106" i="69" s="1"/>
  <c r="Y158" i="69" s="1"/>
  <c r="AA80" i="69"/>
  <c r="AA101" i="69" s="1"/>
  <c r="AA153" i="69" s="1"/>
  <c r="L64" i="69"/>
  <c r="L85" i="69" s="1"/>
  <c r="L123" i="69" s="1"/>
  <c r="X77" i="69"/>
  <c r="X98" i="69" s="1"/>
  <c r="X150" i="69" s="1"/>
  <c r="Z87" i="69"/>
  <c r="Z108" i="69" s="1"/>
  <c r="Z160" i="69" s="1"/>
  <c r="AC81" i="69"/>
  <c r="AC102" i="69" s="1"/>
  <c r="AC154" i="69" s="1"/>
  <c r="AD81" i="69"/>
  <c r="AD102" i="69" s="1"/>
  <c r="AD154" i="69" s="1"/>
  <c r="AE77" i="69"/>
  <c r="AE98" i="69" s="1"/>
  <c r="AE150" i="69" s="1"/>
  <c r="W82" i="69"/>
  <c r="W103" i="69" s="1"/>
  <c r="W155" i="69" s="1"/>
  <c r="V83" i="69"/>
  <c r="V104" i="69" s="1"/>
  <c r="V156" i="69" s="1"/>
  <c r="AE80" i="69"/>
  <c r="AE101" i="69" s="1"/>
  <c r="AE153" i="69" s="1"/>
  <c r="V82" i="69"/>
  <c r="V103" i="69" s="1"/>
  <c r="V155" i="69" s="1"/>
  <c r="M64" i="69"/>
  <c r="M85" i="69" s="1"/>
  <c r="M123" i="69" s="1"/>
  <c r="Y83" i="69"/>
  <c r="Y104" i="69" s="1"/>
  <c r="Y156" i="69" s="1"/>
  <c r="AE79" i="69"/>
  <c r="AE100" i="69" s="1"/>
  <c r="AE152" i="69" s="1"/>
  <c r="X80" i="69"/>
  <c r="X101" i="69" s="1"/>
  <c r="X153" i="69" s="1"/>
  <c r="I65" i="69"/>
  <c r="I86" i="69" s="1"/>
  <c r="I124" i="69" s="1"/>
  <c r="M65" i="69"/>
  <c r="M86" i="69" s="1"/>
  <c r="M124" i="69" s="1"/>
  <c r="X84" i="69"/>
  <c r="X105" i="69" s="1"/>
  <c r="X157" i="69" s="1"/>
  <c r="X83" i="69"/>
  <c r="X104" i="69" s="1"/>
  <c r="X156" i="69" s="1"/>
  <c r="Z76" i="69"/>
  <c r="Z97" i="69" s="1"/>
  <c r="Z149" i="69" s="1"/>
  <c r="V86" i="69"/>
  <c r="V107" i="69" s="1"/>
  <c r="V159" i="69" s="1"/>
  <c r="F66" i="69"/>
  <c r="F87" i="69" s="1"/>
  <c r="F125" i="69" s="1"/>
  <c r="G65" i="69"/>
  <c r="G86" i="69" s="1"/>
  <c r="G124" i="69" s="1"/>
  <c r="AD84" i="69"/>
  <c r="AD105" i="69" s="1"/>
  <c r="AD157" i="69" s="1"/>
  <c r="AD80" i="69"/>
  <c r="AD101" i="69" s="1"/>
  <c r="AD153" i="69" s="1"/>
  <c r="AB78" i="69"/>
  <c r="AB99" i="69" s="1"/>
  <c r="AB151" i="69" s="1"/>
  <c r="X79" i="69"/>
  <c r="X100" i="69" s="1"/>
  <c r="X152" i="69" s="1"/>
  <c r="V81" i="69"/>
  <c r="V102" i="69" s="1"/>
  <c r="V154" i="69" s="1"/>
  <c r="AB83" i="69"/>
  <c r="AB104" i="69" s="1"/>
  <c r="AB156" i="69" s="1"/>
  <c r="L66" i="69"/>
  <c r="L87" i="69" s="1"/>
  <c r="L125" i="69" s="1"/>
  <c r="Z78" i="69"/>
  <c r="Z99" i="69" s="1"/>
  <c r="Z151" i="69" s="1"/>
  <c r="I67" i="69"/>
  <c r="I88" i="69" s="1"/>
  <c r="I126" i="69" s="1"/>
  <c r="AC84" i="69"/>
  <c r="AC105" i="69" s="1"/>
  <c r="AC157" i="69" s="1"/>
  <c r="AA79" i="69"/>
  <c r="AA100" i="69" s="1"/>
  <c r="AA152" i="69" s="1"/>
  <c r="L65" i="69"/>
  <c r="L86" i="69" s="1"/>
  <c r="L124" i="69" s="1"/>
  <c r="H66" i="69"/>
  <c r="H87" i="69" s="1"/>
  <c r="H125" i="69" s="1"/>
  <c r="F67" i="69"/>
  <c r="F88" i="69" s="1"/>
  <c r="F126" i="69" s="1"/>
  <c r="W79" i="69"/>
  <c r="W100" i="69" s="1"/>
  <c r="W152" i="69" s="1"/>
  <c r="E67" i="69"/>
  <c r="E88" i="69" s="1"/>
  <c r="E126" i="69" s="1"/>
  <c r="W81" i="69"/>
  <c r="W102" i="69" s="1"/>
  <c r="W154" i="69" s="1"/>
  <c r="G67" i="69"/>
  <c r="G88" i="69" s="1"/>
  <c r="G126" i="69" s="1"/>
  <c r="Y77" i="69"/>
  <c r="Y98" i="69" s="1"/>
  <c r="Y150" i="69" s="1"/>
  <c r="Y84" i="69"/>
  <c r="Y105" i="69" s="1"/>
  <c r="Y157" i="69" s="1"/>
  <c r="E66" i="69"/>
  <c r="E87" i="69" s="1"/>
  <c r="E125" i="69" s="1"/>
  <c r="N64" i="69"/>
  <c r="N85" i="69" s="1"/>
  <c r="N123" i="69" s="1"/>
  <c r="AB77" i="69"/>
  <c r="AB98" i="69" s="1"/>
  <c r="AB150" i="69" s="1"/>
  <c r="AD87" i="69"/>
  <c r="AD108" i="69" s="1"/>
  <c r="AD160" i="69" s="1"/>
  <c r="AA76" i="69"/>
  <c r="AA97" i="69" s="1"/>
  <c r="AA149" i="69" s="1"/>
  <c r="AB80" i="69"/>
  <c r="AB101" i="69" s="1"/>
  <c r="AB153" i="69" s="1"/>
  <c r="AA86" i="69"/>
  <c r="AA107" i="69" s="1"/>
  <c r="AA159" i="69" s="1"/>
  <c r="X87" i="69"/>
  <c r="X108" i="69" s="1"/>
  <c r="X160" i="69" s="1"/>
  <c r="W80" i="69"/>
  <c r="W101" i="69" s="1"/>
  <c r="W153" i="69" s="1"/>
  <c r="K65" i="69"/>
  <c r="K86" i="69" s="1"/>
  <c r="K124" i="69" s="1"/>
  <c r="V76" i="69"/>
  <c r="V97" i="69" s="1"/>
  <c r="V149" i="69" s="1"/>
  <c r="X86" i="69"/>
  <c r="X107" i="69" s="1"/>
  <c r="X159" i="69" s="1"/>
  <c r="Z82" i="69"/>
  <c r="Z103" i="69" s="1"/>
  <c r="Z155" i="69" s="1"/>
  <c r="V79" i="69"/>
  <c r="V100" i="69" s="1"/>
  <c r="V152" i="69" s="1"/>
  <c r="AC79" i="69"/>
  <c r="AC100" i="69" s="1"/>
  <c r="AC152" i="69" s="1"/>
  <c r="W85" i="69"/>
  <c r="W106" i="69" s="1"/>
  <c r="W158" i="69" s="1"/>
  <c r="Y76" i="69"/>
  <c r="Y97" i="69" s="1"/>
  <c r="Y149" i="69" s="1"/>
  <c r="W77" i="69"/>
  <c r="W98" i="69" s="1"/>
  <c r="W150" i="69" s="1"/>
  <c r="AE87" i="69"/>
  <c r="AE108" i="69" s="1"/>
  <c r="AE160" i="69" s="1"/>
  <c r="AD82" i="69"/>
  <c r="AD103" i="69" s="1"/>
  <c r="AD155" i="69" s="1"/>
  <c r="Z86" i="69"/>
  <c r="Z107" i="69" s="1"/>
  <c r="Z159" i="69" s="1"/>
  <c r="Y87" i="69"/>
  <c r="Y108" i="69" s="1"/>
  <c r="Y160" i="69" s="1"/>
  <c r="AA81" i="69"/>
  <c r="AA102" i="69" s="1"/>
  <c r="AA154" i="69" s="1"/>
  <c r="M66" i="69"/>
  <c r="M87" i="69" s="1"/>
  <c r="M125" i="69" s="1"/>
  <c r="N67" i="69"/>
  <c r="N88" i="69" s="1"/>
  <c r="N126" i="69" s="1"/>
  <c r="Y81" i="69"/>
  <c r="Y102" i="69" s="1"/>
  <c r="Y154" i="69" s="1"/>
  <c r="Z83" i="69"/>
  <c r="Z104" i="69" s="1"/>
  <c r="Z156" i="69" s="1"/>
  <c r="AE82" i="69"/>
  <c r="AE103" i="69" s="1"/>
  <c r="AE155" i="69" s="1"/>
  <c r="Z80" i="69"/>
  <c r="Z101" i="69" s="1"/>
  <c r="Z153" i="69" s="1"/>
  <c r="AE83" i="69"/>
  <c r="AE104" i="69" s="1"/>
  <c r="AE156" i="69" s="1"/>
  <c r="AB82" i="69"/>
  <c r="AB103" i="69" s="1"/>
  <c r="AB155" i="69" s="1"/>
  <c r="W76" i="69"/>
  <c r="W97" i="69" s="1"/>
  <c r="W149" i="69" s="1"/>
  <c r="AE76" i="69"/>
  <c r="AE97" i="69" s="1"/>
  <c r="AE149" i="69" s="1"/>
  <c r="AA87" i="69"/>
  <c r="AA108" i="69" s="1"/>
  <c r="AA160" i="69" s="1"/>
  <c r="V87" i="69"/>
  <c r="V108" i="69" s="1"/>
  <c r="V160" i="69" s="1"/>
  <c r="Z81" i="69"/>
  <c r="Z102" i="69" s="1"/>
  <c r="Z154" i="69" s="1"/>
  <c r="X76" i="69"/>
  <c r="X97" i="69" s="1"/>
  <c r="X149" i="69" s="1"/>
  <c r="Z84" i="69"/>
  <c r="Z105" i="69" s="1"/>
  <c r="Z157" i="69" s="1"/>
  <c r="G66" i="69"/>
  <c r="G87" i="69" s="1"/>
  <c r="G125" i="69" s="1"/>
  <c r="Y78" i="69"/>
  <c r="Y99" i="69" s="1"/>
  <c r="Y151" i="69" s="1"/>
  <c r="K64" i="69"/>
  <c r="K85" i="69" s="1"/>
  <c r="K123" i="69" s="1"/>
  <c r="AD77" i="69"/>
  <c r="AD98" i="69" s="1"/>
  <c r="AD150" i="69" s="1"/>
  <c r="AE85" i="69"/>
  <c r="AE106" i="69" s="1"/>
  <c r="AE158" i="69" s="1"/>
  <c r="Z85" i="69"/>
  <c r="Z106" i="69" s="1"/>
  <c r="Z158" i="69" s="1"/>
  <c r="AD79" i="69"/>
  <c r="AD100" i="69" s="1"/>
  <c r="AD152" i="69" s="1"/>
  <c r="AB76" i="69"/>
  <c r="AB97" i="69" s="1"/>
  <c r="AB149" i="69" s="1"/>
  <c r="AA77" i="69"/>
  <c r="AA98" i="69" s="1"/>
  <c r="AA150" i="69" s="1"/>
  <c r="AE86" i="69"/>
  <c r="AE107" i="69" s="1"/>
  <c r="AE159" i="69" s="1"/>
  <c r="Z79" i="69"/>
  <c r="Z100" i="69" s="1"/>
  <c r="Z152" i="69" s="1"/>
  <c r="AB81" i="69"/>
  <c r="AB102" i="69" s="1"/>
  <c r="AB154" i="69" s="1"/>
  <c r="AD83" i="69"/>
  <c r="AD104" i="69" s="1"/>
  <c r="AD156" i="69" s="1"/>
  <c r="H64" i="69"/>
  <c r="H85" i="69" s="1"/>
  <c r="H123" i="69" s="1"/>
  <c r="X82" i="69"/>
  <c r="X103" i="69" s="1"/>
  <c r="X155" i="69" s="1"/>
  <c r="AC82" i="69"/>
  <c r="AC103" i="69" s="1"/>
  <c r="AC155" i="69" s="1"/>
  <c r="X81" i="69"/>
  <c r="X102" i="69" s="1"/>
  <c r="X154" i="69" s="1"/>
  <c r="AB84" i="69"/>
  <c r="AB105" i="69" s="1"/>
  <c r="AB157" i="69" s="1"/>
  <c r="AA82" i="69"/>
  <c r="AA103" i="69" s="1"/>
  <c r="AA155" i="69" s="1"/>
  <c r="N65" i="69"/>
  <c r="N86" i="69" s="1"/>
  <c r="N124" i="69" s="1"/>
  <c r="J66" i="69"/>
  <c r="J87" i="69" s="1"/>
  <c r="J125" i="69" s="1"/>
  <c r="X78" i="69"/>
  <c r="X99" i="69" s="1"/>
  <c r="X151" i="69" s="1"/>
  <c r="Y80" i="69"/>
  <c r="Y101" i="69" s="1"/>
  <c r="Y153" i="69" s="1"/>
  <c r="Y79" i="69"/>
  <c r="Y100" i="69" s="1"/>
  <c r="Y152" i="69" s="1"/>
  <c r="V80" i="69"/>
  <c r="V101" i="69" s="1"/>
  <c r="V153" i="69" s="1"/>
  <c r="W86" i="69"/>
  <c r="W107" i="69" s="1"/>
  <c r="W159" i="69" s="1"/>
  <c r="AE81" i="69"/>
  <c r="AE102" i="69" s="1"/>
  <c r="AE154" i="69" s="1"/>
  <c r="Y82" i="69"/>
  <c r="Y103" i="69" s="1"/>
  <c r="Y155" i="69" s="1"/>
  <c r="AC83" i="69"/>
  <c r="AC104" i="69" s="1"/>
  <c r="AC156" i="69" s="1"/>
  <c r="E128" i="69" l="1"/>
  <c r="E7" i="1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<sst xmlns="http://schemas.openxmlformats.org/spreadsheetml/2006/main" count="2074" uniqueCount="545">
  <si>
    <t>Home</t>
  </si>
  <si>
    <t>INPUTS</t>
  </si>
  <si>
    <t>APPENDICES</t>
  </si>
  <si>
    <t>Emissions breakdown</t>
  </si>
  <si>
    <t>Test Farms</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</si>
  <si>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</si>
  <si>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</si>
  <si>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</si>
  <si>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</si>
  <si>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</si>
  <si>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</si>
  <si>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</si>
  <si>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</si>
  <si>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</si>
  <si>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</si>
  <si>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</si>
  <si>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</si>
  <si>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</si>
  <si>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</si>
  <si>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</si>
  <si>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</si>
  <si>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</si>
  <si>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</si>
  <si>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</si>
  <si>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</si>
  <si>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</si>
  <si>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</si>
  <si>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</si>
  <si>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</si>
  <si>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</si>
  <si>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</si>
  <si>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</si>
  <si>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</si>
  <si>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</si>
  <si>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</si>
  <si>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</si>
  <si>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</si>
  <si>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</si>
  <si>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</si>
  <si>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</si>
  <si>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</si>
  <si>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</si>
  <si>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</si>
  <si>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</si>
  <si>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</si>
  <si>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</si>
  <si>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</si>
  <si>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</si>
  <si>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</si>
  <si>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</si>
  <si>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</si>
  <si>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</si>
  <si>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</si>
  <si>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</si>
  <si>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</si>
  <si>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</si>
  <si>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</si>
  <si>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</si>
  <si>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</si>
  <si>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</si>
  <si>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</si>
  <si>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</si>
  <si>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</si>
  <si>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</si>
  <si>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</si>
  <si>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</si>
  <si>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</si>
  <si>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</si>
  <si>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</si>
  <si>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</si>
  <si>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</si>
  <si>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</si>
  <si>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</si>
  <si>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</si>
  <si>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</si>
  <si>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</si>
  <si>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</si>
  <si>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</si>
  <si>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</si>
  <si>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</si>
  <si>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</si>
  <si>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</si>
  <si>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</si>
  <si>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</si>
  <si>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</si>
  <si>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</si>
  <si>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</si>
  <si>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</si>
  <si>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</si>
  <si>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</si>
  <si>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</si>
  <si>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</si>
  <si>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</si>
  <si>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</si>
  <si>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</si>
  <si>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</si>
  <si>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</si>
  <si>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</si>
  <si>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</si>
  <si>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</si>
  <si>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</si>
  <si>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</si>
  <si>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</si>
  <si>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</si>
  <si>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</si>
  <si>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</si>
  <si>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</si>
  <si>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</si>
  <si>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</si>
  <si>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</si>
  <si>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</si>
  <si>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</si>
  <si>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</si>
  <si>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</si>
  <si>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</si>
  <si>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</si>
  <si>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</si>
  <si>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</si>
  <si>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</si>
  <si>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</si>
  <si>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</si>
  <si>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</si>
  <si>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</si>
  <si>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</si>
  <si>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</si>
  <si>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</si>
  <si>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</si>
  <si>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</si>
  <si>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</si>
  <si>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</si>
  <si>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</si>
  <si>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</si>
  <si>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</si>
  <si>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</si>
  <si>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</si>
  <si>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</si>
  <si>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</si>
  <si>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</si>
  <si>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</si>
  <si>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</si>
  <si>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</si>
  <si>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</si>
  <si>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</si>
  <si>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</si>
  <si>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</si>
  <si>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</si>
  <si>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</si>
  <si>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</si>
  <si>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</si>
  <si>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</si>
  <si>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</si>
  <si>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</si>
  <si>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</si>
  <si>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</si>
  <si>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</si>
  <si>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</si>
  <si>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</si>
  <si>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</si>
  <si>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</si>
  <si>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</si>
  <si>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</si>
  <si>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</si>
  <si>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</si>
  <si>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</si>
  <si>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</si>
  <si>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</si>
  <si>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</si>
  <si>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</si>
  <si>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</si>
  <si>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</si>
  <si>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</si>
  <si>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</si>
  <si>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</si>
  <si>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</si>
  <si>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</si>
  <si>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</si>
  <si>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</si>
  <si>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</si>
  <si>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</si>
  <si>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</si>
  <si>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</si>
  <si>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</si>
  <si>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</si>
  <si>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</si>
  <si>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</si>
  <si>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</si>
  <si>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</si>
  <si>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</si>
  <si>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</si>
  <si>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</si>
  <si>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</si>
  <si>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</si>
  <si>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</si>
  <si>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</si>
  <si>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</si>
  <si>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</si>
  <si>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</si>
  <si>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</si>
  <si>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</si>
  <si>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</si>
  <si>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</si>
  <si>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</si>
  <si>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</si>
  <si>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</si>
  <si>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</si>
  <si>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</si>
  <si>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</si>
  <si>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</si>
  <si>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</si>
  <si>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</si>
  <si>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</si>
  <si>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</si>
  <si>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</si>
  <si>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</si>
  <si>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</si>
  <si>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</si>
  <si>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</si>
  <si>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</si>
  <si>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</si>
  <si>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</si>
  <si>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</si>
  <si>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</si>
  <si>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</si>
  <si>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</si>
  <si>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</si>
  <si>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</si>
  <si>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</si>
  <si>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</si>
  <si>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</si>
  <si>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</si>
  <si>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</si>
  <si>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</si>
  <si>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</si>
  <si>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</si>
  <si>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</si>
  <si>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</si>
  <si>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</si>
  <si>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</si>
  <si>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</si>
  <si>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</si>
  <si>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</si>
  <si>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</si>
  <si>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</si>
  <si>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</si>
  <si>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</si>
  <si>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</si>
  <si>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</si>
  <si>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</si>
  <si>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</si>
  <si>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</si>
  <si>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</si>
  <si>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</si>
  <si>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</si>
  <si>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</si>
  <si>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</si>
  <si>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</si>
  <si>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</si>
  <si>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</si>
  <si>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</si>
  <si>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</si>
  <si>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</si>
  <si>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</si>
  <si>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</si>
  <si>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</si>
  <si>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</si>
  <si>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</si>
  <si>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</si>
  <si>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</si>
  <si>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</si>
  <si>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</si>
  <si>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Additional intake for milk production in the season of calving and the season after calving</t>
  </si>
  <si>
    <t>VEERG 2026: 3.2.1.1, Equation (4)</t>
  </si>
  <si>
    <t>MA_jk45</t>
  </si>
  <si>
    <t>LC_jk45</t>
  </si>
  <si>
    <t>proportion of cows greater than 1 year in calf in the season of calving expressed as a fraction</t>
  </si>
  <si>
    <t>FA_jk45calv</t>
  </si>
  <si>
    <t>feed adjustment value for lactating cows in the season of calving expressed as a fraction</t>
  </si>
  <si>
    <t>FA_jk45after</t>
  </si>
  <si>
    <t>feed adjustment value for lactating cows in the season immediately after calving expressed as a fraction</t>
  </si>
  <si>
    <t>b</t>
  </si>
  <si>
    <t>breed of cattle</t>
  </si>
  <si>
    <t>Input</t>
  </si>
  <si>
    <t>Constant</t>
  </si>
  <si>
    <t>Feed intake for grazing beef cattle</t>
  </si>
  <si>
    <t>VEERG 2026: 3.2.1.1, Equation (3)</t>
  </si>
  <si>
    <t>I_jkl</t>
  </si>
  <si>
    <t>kg DM/head/day</t>
  </si>
  <si>
    <t>W_jkl</t>
  </si>
  <si>
    <t>liveweight (kg)</t>
  </si>
  <si>
    <t>LWG_jkl</t>
  </si>
  <si>
    <t>live weight gain (kg/head/day)</t>
  </si>
  <si>
    <t>additional intake for milk production in cows greater than 2 years</t>
  </si>
  <si>
    <t>kg</t>
  </si>
  <si>
    <t>Calculated from 3.2.1.1, (4)</t>
  </si>
  <si>
    <t>Daily production of enteric methane</t>
  </si>
  <si>
    <t>VEERG 2026: 3.2.1.1, Equation (2)</t>
  </si>
  <si>
    <t>M_jkl</t>
  </si>
  <si>
    <t>kg CH4/head/day</t>
  </si>
  <si>
    <t>Total annual methane production from enteric fermentation in grazing beef cattle</t>
  </si>
  <si>
    <t>VEERG 2026: 3.2.1.1, Equation (1)</t>
  </si>
  <si>
    <t>E_enteric</t>
  </si>
  <si>
    <t>D_j</t>
  </si>
  <si>
    <t>number of days the animal is on the farm in each time-period</t>
  </si>
  <si>
    <t>daily production of enteric methane in each time-period, class and subclass</t>
  </si>
  <si>
    <t>N_jkl</t>
  </si>
  <si>
    <t>number of beef cattle in each time-period, class and subclass</t>
  </si>
  <si>
    <t>days</t>
  </si>
  <si>
    <t>Calculated from 3.2.1.1, (2)</t>
  </si>
  <si>
    <t>head</t>
  </si>
  <si>
    <t>Beef pasture cattle - Liveweight (kg) (Wjkl)</t>
  </si>
  <si>
    <t>VEERG 2026: Table A.1.2.1</t>
  </si>
  <si>
    <t>Wjkl</t>
  </si>
  <si>
    <t>ACT/NSW</t>
  </si>
  <si>
    <t>South Australia</t>
  </si>
  <si>
    <t>Tasmania</t>
  </si>
  <si>
    <t>Victoria</t>
  </si>
  <si>
    <t>Beef pasture cattle - Liveweight (kg) (Wjkl) for NT and QLD</t>
  </si>
  <si>
    <t>VEERG 2026: Table A.1.2.2</t>
  </si>
  <si>
    <t>Northern Territory</t>
  </si>
  <si>
    <t>NO</t>
  </si>
  <si>
    <t>Queensland</t>
  </si>
  <si>
    <t>Beef pasture cattle - Liveweight gain (kg) (LWGjkl)</t>
  </si>
  <si>
    <t>VEERG 2026: Table A.1.2.3</t>
  </si>
  <si>
    <t>LWGjkl</t>
  </si>
  <si>
    <t>Beef pasture cattle - Liveweight gain (kg) (LWGjkl) for NT and QLD</t>
  </si>
  <si>
    <t>VEERG 2026: Table A.1.2.4</t>
  </si>
  <si>
    <t>Beef pasture cattle - Dry matter digestibility of feed intake (fraction) (DMDj)</t>
  </si>
  <si>
    <t>VEERG 2026: Table A.1.2.5</t>
  </si>
  <si>
    <t>DMDj</t>
  </si>
  <si>
    <t>VARIATION ON SOURCE: Split ACT and NSW into separate rows. Duplicated QLD and NT rows with regions from table A.1.2.2 to aid lookup</t>
  </si>
  <si>
    <t>Beef pasture cattle - Crude protein content of feed intake (fraction) (CPj)</t>
  </si>
  <si>
    <t>VEERG 2026: Table A.1.2.6</t>
  </si>
  <si>
    <t>CPj</t>
  </si>
  <si>
    <t>Beef pasture cattle - Feed intake adjustment and milk production (kg/head/day)</t>
  </si>
  <si>
    <t>VEERG 2026: Table A.1.2.7</t>
  </si>
  <si>
    <t>MCjk=1,3,6; DMPjk=5</t>
  </si>
  <si>
    <t>Northern Brahman cross breed</t>
  </si>
  <si>
    <t>Beef pasture cattle - Standard reference weights (kg) (SRWk)</t>
  </si>
  <si>
    <t>VEERG 2026: Table A.1.2.8</t>
  </si>
  <si>
    <t>SRWk</t>
  </si>
  <si>
    <t>VARIATION ON SOURCE: Split ACT and NSW into separate rows. Added 'State abbreviation' column to aid lookup.</t>
  </si>
  <si>
    <t>Beef pasture cattle - Fraction of manure to each manure management system (fraction) (MMSm)</t>
  </si>
  <si>
    <t>VEERG 2026: Table A.1.2.9</t>
  </si>
  <si>
    <t>MMSm</t>
  </si>
  <si>
    <t>VARIATION ON SOURCE: Removed comma from 'Pasture range and paddock' to aid lookup</t>
  </si>
  <si>
    <t>Beef pasture cattle - Methane conversion factor per region (fraction) (MCFim)</t>
  </si>
  <si>
    <t>VEERG 2026: Table A.1.2.10</t>
  </si>
  <si>
    <t>MCFim</t>
  </si>
  <si>
    <t>Ash content of feed intake</t>
  </si>
  <si>
    <t>VEERG 2026: 4.2.2.3 CONSTANTS</t>
  </si>
  <si>
    <t>A</t>
  </si>
  <si>
    <t>Methane emissions potential</t>
  </si>
  <si>
    <t>B0</t>
  </si>
  <si>
    <t>m3 CH4 / kg VS</t>
  </si>
  <si>
    <t>Fraction of nitrogen volatilised from urine and faeces deposited on pasture</t>
  </si>
  <si>
    <t>FracGASMSoil</t>
  </si>
  <si>
    <t>Default fraction of N that is lost through leaching and runoff</t>
  </si>
  <si>
    <t>FracLEACH</t>
  </si>
  <si>
    <t>Australian states and territories</t>
  </si>
  <si>
    <t>New South Wales</t>
  </si>
  <si>
    <t>Australian Capital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</si>
  <si>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</si>
  <si>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</si>
  <si>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</si>
  <si>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</si>
  <si>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</si>
  <si>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</si>
  <si>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</si>
  <si>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</si>
  <si>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</si>
  <si>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</si>
  <si>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</si>
  <si>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Western Australia - Outback (South)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</si>
  <si>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</si>
  <si>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</si>
  <si>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</si>
  <si>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</si>
  <si>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</si>
  <si>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</si>
  <si>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</si>
  <si>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</si>
  <si>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</si>
  <si>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</si>
  <si>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</si>
  <si>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</si>
  <si>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</si>
  <si>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</si>
  <si>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</si>
  <si>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</si>
  <si>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</si>
  <si>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</si>
  <si>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</si>
  <si>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</si>
  <si>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</si>
  <si>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</si>
  <si>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</si>
  <si>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</si>
  <si>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</si>
  <si>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</si>
  <si>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</si>
  <si>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</si>
  <si>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</si>
  <si>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</si>
  <si>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</si>
  <si>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</si>
  <si>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</si>
  <si>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</si>
  <si>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</si>
  <si>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</si>
  <si>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</si>
  <si>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</si>
  <si>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</si>
  <si>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</si>
  <si>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</si>
  <si>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</si>
  <si>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</si>
  <si>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</si>
  <si>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</si>
  <si>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</si>
  <si>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</si>
  <si>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</si>
  <si>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</si>
  <si>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</si>
  <si>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</si>
  <si>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</si>
  <si>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</si>
  <si>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</si>
  <si>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</si>
  <si>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</si>
  <si>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</si>
  <si>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</si>
  <si>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</si>
  <si>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</si>
  <si>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</si>
  <si>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</si>
  <si>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</si>
  <si>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</si>
  <si>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</si>
  <si>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</si>
  <si>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</si>
  <si>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</si>
  <si>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</si>
  <si>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</si>
  <si>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</si>
  <si>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</si>
  <si>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</si>
  <si>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</si>
  <si>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</si>
  <si>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</si>
  <si>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</si>
  <si>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</si>
  <si>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</si>
  <si>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</si>
  <si>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</si>
  <si>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</si>
  <si>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</si>
  <si>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</si>
  <si>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</si>
  <si>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</si>
  <si>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</si>
  <si>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</si>
  <si>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</si>
  <si>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</si>
  <si>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</si>
  <si>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</si>
  <si>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</si>
  <si>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</si>
  <si>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</si>
  <si>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</si>
  <si>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</si>
  <si>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</si>
  <si>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</si>
  <si>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</si>
  <si>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</si>
  <si>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</si>
  <si>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</si>
  <si>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</si>
  <si>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</si>
  <si>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</si>
  <si>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</si>
  <si>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</si>
  <si>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</si>
  <si>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</si>
  <si>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</si>
  <si>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</si>
  <si>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</si>
  <si>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</si>
  <si>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</si>
  <si>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</si>
  <si>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</si>
  <si>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</si>
  <si>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</si>
  <si>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</si>
  <si>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</si>
  <si>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</si>
  <si>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</si>
  <si>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</si>
  <si>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February</t>
  </si>
  <si>
    <t>March</t>
  </si>
  <si>
    <t>April</t>
  </si>
  <si>
    <t>May</t>
  </si>
  <si>
    <t>June</t>
  </si>
  <si>
    <t>July</t>
  </si>
  <si>
    <t>August</t>
  </si>
  <si>
    <t>September</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</si>
  <si>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</si>
  <si>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</si>
  <si>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</si>
  <si>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</si>
  <si>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</si>
  <si>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</si>
  <si>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</si>
  <si>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</si>
  <si>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</si>
  <si>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</si>
  <si>
    <t>Table 5.12 Additional symbols used in algorithms for manure related emissions</t>
  </si>
  <si>
    <t>MMS</t>
  </si>
  <si>
    <t>National Inventory Report 2023 Volume 1: Table 5.12</t>
  </si>
  <si>
    <t>Anaerobic lagoon (m=1)</t>
  </si>
  <si>
    <t>Liquid systems (m=2)</t>
  </si>
  <si>
    <t>Daily spread (m=3)</t>
  </si>
  <si>
    <t>3a</t>
  </si>
  <si>
    <t>Sump and dispersal system</t>
  </si>
  <si>
    <t>Sump and dispersal system (m=3a)</t>
  </si>
  <si>
    <t>3b</t>
  </si>
  <si>
    <t>Drains to paddock</t>
  </si>
  <si>
    <t>Drains to paddock (m=3b)</t>
  </si>
  <si>
    <t>Solid storage (m=4)</t>
  </si>
  <si>
    <t>Drylot (feed pad)</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</si>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</sst>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9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9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9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9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9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9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9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9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9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9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8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8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8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8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8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8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8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8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8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8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7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53" totalsRowShown="0">
  <autoFilter ref="D85:P153"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7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7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7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7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7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7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7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7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7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6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6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6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6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6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6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6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6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6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6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5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5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5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5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5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5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5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5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5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5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4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4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4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4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4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4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4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4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4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4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3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3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3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3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3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34" dataCellStyle="Content normal">
      <calculatedColumnFormula>D351</calculatedColumnFormula>
    </tableColumn>
    <tableColumn id="2" xr3:uid="{B172192B-EDB5-47A5-A010-C82516ED13B5}" name="Bulls &lt; 1 year" dataDxfId="33" dataCellStyle="Content normal">
      <calculatedColumnFormula>E351</calculatedColumnFormula>
    </tableColumn>
    <tableColumn id="3" xr3:uid="{F83B528D-B6D7-4E92-967F-018ED1475D9B}" name="Bulls &gt; 1 year" dataDxfId="32" dataCellStyle="Content normal">
      <calculatedColumnFormula>F351</calculatedColumnFormula>
    </tableColumn>
    <tableColumn id="4" xr3:uid="{E83019D4-F113-4C9E-ADA7-433997A968A1}" name="Cows &lt; 1 year" dataDxfId="31" dataCellStyle="Content normal">
      <calculatedColumnFormula>G351</calculatedColumnFormula>
    </tableColumn>
    <tableColumn id="5" xr3:uid="{B51413B2-710F-409C-8C3C-6B72C8E99B49}" name="Cows 1-2 years" dataDxfId="30" dataCellStyle="Content normal">
      <calculatedColumnFormula>H351</calculatedColumnFormula>
    </tableColumn>
    <tableColumn id="6" xr3:uid="{F7B12596-1E7F-417C-83F5-67964BA7AAAE}" name="Cows 2-3 years" dataDxfId="29" dataCellStyle="Content normal">
      <calculatedColumnFormula>I351</calculatedColumnFormula>
    </tableColumn>
    <tableColumn id="7" xr3:uid="{C1B8EAD9-BCCE-49FF-9E3D-15E99DEC329C}" name="Cows &gt; 3 years" dataDxfId="28" dataCellStyle="Content normal">
      <calculatedColumnFormula>I351</calculatedColumnFormula>
    </tableColumn>
    <tableColumn id="8" xr3:uid="{6AB556D2-AF6C-4E98-9AA1-A8C6DC5F5CA9}" name="Steers &lt; 1 year" dataDxfId="27" dataCellStyle="Content normal">
      <calculatedColumnFormula>J351</calculatedColumnFormula>
    </tableColumn>
    <tableColumn id="9" xr3:uid="{46DC3CBA-6FB0-4A95-A39E-B2179DC8CFE6}" name="Steers 1-2 years" dataDxfId="26" dataCellStyle="Content normal">
      <calculatedColumnFormula>K351</calculatedColumnFormula>
    </tableColumn>
    <tableColumn id="10" xr3:uid="{105CEA90-EFAD-4757-B82A-B19E9A3F2664}" name="Steers 2-3 years" dataDxfId="25" dataCellStyle="Content normal"/>
    <tableColumn id="11" xr3:uid="{5E2A59D6-56CA-4967-885E-8602CA905B74}" name="Steers &gt;3 years" dataDxfId="24" dataCellStyle="Content normal"/>
    <tableColumn id="12" xr3:uid="{1C306FC1-FFBA-4C23-8EAD-1C07A5BAAA50}" name="State abbreviation" dataDxfId="23"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2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2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2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1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1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1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1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1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1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1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1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135"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134"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133"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132"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1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1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1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1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1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1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1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1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1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1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0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14" sqref="A14"/>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266</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86</v>
      </c>
      <c r="E6" s="107" t="s">
        <v>121</v>
      </c>
      <c r="F6" s="107" t="s">
        <v>122</v>
      </c>
      <c r="G6" s="107" t="s">
        <v>99</v>
      </c>
      <c r="H6" s="107" t="s">
        <v>123</v>
      </c>
      <c r="I6" s="107" t="s">
        <v>124</v>
      </c>
      <c r="J6" s="107" t="s">
        <v>100</v>
      </c>
      <c r="K6" s="22"/>
    </row>
    <row r="7" spans="1:11" ht="20.100000000000001" customHeight="1" x14ac:dyDescent="0.25">
      <c r="A7" s="17" t="str">
        <f>HYPERLINK("#'Input - Site'!A1", "Site")</f>
        <v>Site</v>
      </c>
      <c r="C7" s="22"/>
      <c r="D7" s="1" t="s">
        <v>265</v>
      </c>
      <c r="E7" s="105">
        <f>'3.2.1.1-2 Enteric Methane'!E128</f>
        <v>55.678061774650885</v>
      </c>
      <c r="F7" s="105">
        <f>'3.2.1.1-2 Enteric Methane'!V161</f>
        <v>56.163952698425533</v>
      </c>
      <c r="G7" s="53" t="s">
        <v>116</v>
      </c>
      <c r="H7" s="105">
        <f>'3.2.1.1-2 Enteric Methane'!E133</f>
        <v>1558.9857296902248</v>
      </c>
      <c r="I7" s="105">
        <f>'3.2.1.1-2 Enteric Methane'!V166</f>
        <v>1572.5906755559149</v>
      </c>
      <c r="J7" s="53" t="s">
        <v>119</v>
      </c>
      <c r="K7" s="22"/>
    </row>
    <row r="8" spans="1:11" ht="20.100000000000001" customHeight="1" x14ac:dyDescent="0.3">
      <c r="A8" s="17" t="str">
        <f>HYPERLINK("#'Input - Pasture Beef'!A1", "Pasture Beef")</f>
        <v>Pasture Beef</v>
      </c>
      <c r="C8" s="22"/>
      <c r="D8" s="29" t="s">
        <v>98</v>
      </c>
      <c r="E8" s="23"/>
      <c r="F8" s="23"/>
      <c r="G8" s="29"/>
      <c r="H8" s="106">
        <f>SUM(H7:H7)</f>
        <v>1558.9857296902248</v>
      </c>
      <c r="I8" s="106">
        <f>SUM(I7:I7)</f>
        <v>1572.5906755559149</v>
      </c>
      <c r="J8" s="101" t="s">
        <v>119</v>
      </c>
      <c r="K8" s="22"/>
    </row>
    <row r="9" spans="1:11" ht="20.100000000000001" customHeight="1" x14ac:dyDescent="0.25">
      <c r="A9" s="17"/>
      <c r="C9" s="22"/>
      <c r="D9" s="1"/>
      <c r="E9" s="1"/>
      <c r="F9" s="1"/>
      <c r="G9" s="24"/>
      <c r="H9" s="22"/>
      <c r="I9" s="1"/>
      <c r="J9" s="1"/>
      <c r="K9" s="22"/>
    </row>
    <row r="10" spans="1:11" ht="20.100000000000001" customHeight="1" x14ac:dyDescent="0.25">
      <c r="A10" s="19" t="s">
        <v>60</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8" sqref="A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74</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10</v>
      </c>
      <c r="N5" s="39"/>
    </row>
    <row r="6" spans="1:24" ht="20.100000000000001" customHeight="1" x14ac:dyDescent="0.25">
      <c r="A6" s="20" t="s">
        <v>1</v>
      </c>
      <c r="D6" s="14"/>
      <c r="N6" s="40"/>
    </row>
    <row r="7" spans="1:24" ht="20.100000000000001" customHeight="1" x14ac:dyDescent="0.25">
      <c r="A7" s="119" t="str">
        <f>HYPERLINK("#'Input - Site'!A1", "Site")</f>
        <v>Site</v>
      </c>
      <c r="D7" s="1" t="s">
        <v>5</v>
      </c>
      <c r="E7" s="32" t="s">
        <v>4</v>
      </c>
      <c r="F7" s="2"/>
    </row>
    <row r="8" spans="1:24" ht="20.100000000000001" customHeight="1" x14ac:dyDescent="0.25">
      <c r="A8" s="17" t="str">
        <f>HYPERLINK("#'Input - Pasture Beef'!A1", "Pasture Beef")</f>
        <v>Pasture Beef</v>
      </c>
      <c r="D8" s="10" t="s">
        <v>58</v>
      </c>
      <c r="E8" s="32" t="s">
        <v>59</v>
      </c>
    </row>
    <row r="9" spans="1:24" ht="20.100000000000001" customHeight="1" x14ac:dyDescent="0.25">
      <c r="A9" s="17"/>
      <c r="N9" s="41"/>
    </row>
    <row r="10" spans="1:24" ht="20.100000000000001" customHeight="1" x14ac:dyDescent="0.25">
      <c r="A10" s="19" t="s">
        <v>60</v>
      </c>
      <c r="D10" s="91" t="s">
        <v>73</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77</v>
      </c>
      <c r="E12" s="62">
        <v>45292</v>
      </c>
      <c r="F12" s="2" t="s">
        <v>56</v>
      </c>
    </row>
    <row r="13" spans="1:24" ht="20.100000000000001" customHeight="1" x14ac:dyDescent="0.25">
      <c r="A13" s="18" t="s">
        <v>2</v>
      </c>
      <c r="D13" s="10" t="s">
        <v>78</v>
      </c>
      <c r="E13" s="68">
        <f>DATE(YEAR(E12)+1,MONTH(E12),DAY(E12))-1</f>
        <v>45657</v>
      </c>
      <c r="F13" s="2" t="s">
        <v>12</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9</v>
      </c>
      <c r="N16" s="37"/>
      <c r="O16" s="37"/>
    </row>
    <row r="17" spans="1:25" ht="20.100000000000001" customHeight="1" x14ac:dyDescent="0.25">
      <c r="A17" s="17" t="str">
        <f>HYPERLINK("#'Acknowledgements'!A1", "Acknowledgements")</f>
        <v>Acknowledgements</v>
      </c>
    </row>
    <row r="18" spans="1:25" ht="20.100000000000001" customHeight="1" x14ac:dyDescent="0.25">
      <c r="A18"/>
      <c r="D18" s="93" t="s">
        <v>11</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6</v>
      </c>
      <c r="E21" s="38" t="s">
        <v>179</v>
      </c>
      <c r="F21" s="2" t="s">
        <v>8</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zoomScale="85" zoomScaleNormal="85" workbookViewId="0">
      <selection activeCell="A4" sqref="A4"/>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125</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80</v>
      </c>
      <c r="P5" s="3"/>
      <c r="T5" s="7"/>
    </row>
    <row r="6" spans="1:25" ht="20.100000000000001" customHeight="1" x14ac:dyDescent="0.25">
      <c r="A6" s="20" t="s">
        <v>1</v>
      </c>
      <c r="P6" s="3"/>
      <c r="T6" s="7"/>
    </row>
    <row r="7" spans="1:25" ht="20.100000000000001" customHeight="1" x14ac:dyDescent="0.25">
      <c r="A7" s="17" t="str">
        <f>HYPERLINK("#'Input - Site'!A1", "Site")</f>
        <v>Site</v>
      </c>
      <c r="D7" s="1" t="s">
        <v>6</v>
      </c>
      <c r="E7" s="51" t="str">
        <f>'Input - Site'!$E$21</f>
        <v>Western Australia</v>
      </c>
      <c r="P7" s="3"/>
      <c r="T7" s="7"/>
    </row>
    <row r="8" spans="1:25" ht="20.100000000000001" customHeight="1" x14ac:dyDescent="0.25">
      <c r="A8" s="119" t="str">
        <f>HYPERLINK("#'Input - Pasture Beef'!A1", "Pasture Beef")</f>
        <v>Pasture Beef</v>
      </c>
      <c r="D8" s="1" t="s">
        <v>165</v>
      </c>
      <c r="E8" s="38" t="s">
        <v>170</v>
      </c>
      <c r="F8" s="2" t="s">
        <v>8</v>
      </c>
      <c r="P8" s="3"/>
      <c r="T8" s="7"/>
    </row>
    <row r="9" spans="1:25" ht="20.100000000000001" customHeight="1" x14ac:dyDescent="0.25">
      <c r="A9" s="17"/>
      <c r="D9" s="1" t="s">
        <v>192</v>
      </c>
      <c r="E9" s="38" t="s">
        <v>200</v>
      </c>
      <c r="F9" s="2" t="s">
        <v>8</v>
      </c>
      <c r="T9" s="7"/>
    </row>
    <row r="10" spans="1:25" ht="20.100000000000001" customHeight="1" x14ac:dyDescent="0.25">
      <c r="A10" s="19" t="s">
        <v>60</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142</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139</v>
      </c>
      <c r="T14" s="37"/>
    </row>
    <row r="15" spans="1:25" ht="20.100000000000001" customHeight="1" x14ac:dyDescent="0.25">
      <c r="A15" s="17" t="str">
        <f>HYPERLINK("#'Constants - Livestock'!A1", "Constants - Livestock")</f>
        <v>Constants - Livestock</v>
      </c>
      <c r="D15" s="61" t="s">
        <v>140</v>
      </c>
      <c r="E15" s="61" t="s">
        <v>103</v>
      </c>
      <c r="F15" s="61" t="s">
        <v>102</v>
      </c>
      <c r="G15" s="61" t="s">
        <v>126</v>
      </c>
      <c r="H15" s="61" t="s">
        <v>127</v>
      </c>
      <c r="I15" s="61" t="s">
        <v>128</v>
      </c>
      <c r="J15" s="61" t="s">
        <v>129</v>
      </c>
      <c r="K15" s="61" t="s">
        <v>130</v>
      </c>
      <c r="L15" s="61" t="s">
        <v>131</v>
      </c>
      <c r="M15" s="61" t="s">
        <v>132</v>
      </c>
      <c r="N15" s="61" t="s">
        <v>133</v>
      </c>
      <c r="T15" s="37"/>
    </row>
    <row r="16" spans="1:25" ht="20.100000000000001" customHeight="1" x14ac:dyDescent="0.25">
      <c r="A16" s="17" t="str">
        <f>HYPERLINK("#'Constants - Common'!A1", "Constants - Common")</f>
        <v>Constants - Common</v>
      </c>
      <c r="D16" s="1" t="s">
        <v>134</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135</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136</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137</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141</v>
      </c>
      <c r="E21" s="61" t="s">
        <v>103</v>
      </c>
      <c r="F21" s="61" t="s">
        <v>102</v>
      </c>
      <c r="G21" s="61" t="s">
        <v>126</v>
      </c>
      <c r="H21" s="61" t="s">
        <v>127</v>
      </c>
      <c r="I21" s="61" t="s">
        <v>128</v>
      </c>
      <c r="J21" s="61" t="s">
        <v>129</v>
      </c>
      <c r="K21" s="61" t="s">
        <v>130</v>
      </c>
      <c r="L21" s="61" t="s">
        <v>131</v>
      </c>
      <c r="M21" s="61" t="s">
        <v>132</v>
      </c>
      <c r="N21" s="61" t="s">
        <v>133</v>
      </c>
      <c r="T21" s="7"/>
    </row>
    <row r="22" spans="1:20" ht="20.100000000000001" customHeight="1" x14ac:dyDescent="0.25">
      <c r="A22" s="17"/>
      <c r="D22" s="1" t="str">
        <f>TEXT('Input - Site'!$E$12, "mmmm yyyy")</f>
        <v>January 2024</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46</v>
      </c>
      <c r="T22" s="7"/>
    </row>
    <row r="23" spans="1:20" ht="20.100000000000001" customHeight="1" x14ac:dyDescent="0.25">
      <c r="A23" s="17"/>
      <c r="D23" s="1" t="str">
        <f>TEXT(EDATE('Input - Site'!$E$12,1), "mmmm yyyy")</f>
        <v>February 2024</v>
      </c>
      <c r="E23" s="64">
        <f t="shared" si="0"/>
        <v>29</v>
      </c>
      <c r="F23" s="64">
        <f t="shared" si="0"/>
        <v>29</v>
      </c>
      <c r="G23" s="64">
        <f t="shared" si="0"/>
        <v>29</v>
      </c>
      <c r="H23" s="64">
        <f t="shared" si="0"/>
        <v>29</v>
      </c>
      <c r="I23" s="64">
        <f t="shared" si="0"/>
        <v>29</v>
      </c>
      <c r="J23" s="64">
        <f t="shared" si="0"/>
        <v>29</v>
      </c>
      <c r="K23" s="64">
        <f t="shared" si="0"/>
        <v>29</v>
      </c>
      <c r="L23" s="64">
        <f t="shared" si="0"/>
        <v>29</v>
      </c>
      <c r="M23" s="64">
        <f t="shared" si="0"/>
        <v>29</v>
      </c>
      <c r="N23" s="64">
        <f t="shared" si="0"/>
        <v>29</v>
      </c>
      <c r="O23" s="2" t="s">
        <v>46</v>
      </c>
      <c r="T23" s="7"/>
    </row>
    <row r="24" spans="1:20" ht="20.100000000000001" customHeight="1" x14ac:dyDescent="0.25">
      <c r="A24" s="17"/>
      <c r="D24" s="1" t="str">
        <f>TEXT(EDATE('Input - Site'!$E$12,2), "mmmm yyyy")</f>
        <v>March 2024</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46</v>
      </c>
      <c r="T24" s="7"/>
    </row>
    <row r="25" spans="1:20" ht="20.100000000000001" customHeight="1" x14ac:dyDescent="0.25">
      <c r="D25" s="1" t="str">
        <f>TEXT(EDATE('Input - Site'!$E$12,3), "mmmm yyyy")</f>
        <v>April 2024</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46</v>
      </c>
      <c r="T25" s="7"/>
    </row>
    <row r="26" spans="1:20" ht="20.100000000000001" customHeight="1" x14ac:dyDescent="0.25">
      <c r="A26" s="17"/>
      <c r="D26" s="1" t="str">
        <f>TEXT(EDATE('Input - Site'!$E$12,4), "mmmm yyyy")</f>
        <v>May 2024</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46</v>
      </c>
      <c r="T26" s="7"/>
    </row>
    <row r="27" spans="1:20" ht="20.100000000000001" customHeight="1" x14ac:dyDescent="0.25">
      <c r="A27" s="17"/>
      <c r="D27" s="1" t="str">
        <f>TEXT(EDATE('Input - Site'!$E$12,5), "mmmm yyyy")</f>
        <v>June 2024</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46</v>
      </c>
      <c r="T27" s="7"/>
    </row>
    <row r="28" spans="1:20" ht="20.100000000000001" customHeight="1" x14ac:dyDescent="0.25">
      <c r="A28" s="17"/>
      <c r="D28" s="1" t="str">
        <f>TEXT(EDATE('Input - Site'!$E$12,6), "mmmm yyyy")</f>
        <v>July 2024</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46</v>
      </c>
      <c r="T28" s="7"/>
    </row>
    <row r="29" spans="1:20" ht="20.100000000000001" customHeight="1" x14ac:dyDescent="0.25">
      <c r="A29" s="17"/>
      <c r="D29" s="1" t="str">
        <f>TEXT(EDATE('Input - Site'!$E$12,7), "mmmm yyyy")</f>
        <v>August 2024</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46</v>
      </c>
      <c r="T29" s="7"/>
    </row>
    <row r="30" spans="1:20" ht="20.100000000000001" customHeight="1" x14ac:dyDescent="0.25">
      <c r="A30" s="17"/>
      <c r="D30" s="1" t="str">
        <f>TEXT(EDATE('Input - Site'!$E$12,8), "mmmm yyyy")</f>
        <v>September 2024</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46</v>
      </c>
      <c r="T30" s="7"/>
    </row>
    <row r="31" spans="1:20" ht="20.100000000000001" customHeight="1" x14ac:dyDescent="0.25">
      <c r="A31" s="65"/>
      <c r="D31" s="1" t="str">
        <f>TEXT(EDATE('Input - Site'!$E$12,9), "mmmm yyyy")</f>
        <v>October 2024</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46</v>
      </c>
      <c r="T31" s="7"/>
    </row>
    <row r="32" spans="1:20" ht="20.100000000000001" customHeight="1" x14ac:dyDescent="0.25">
      <c r="A32" s="65"/>
      <c r="D32" s="1" t="str">
        <f>TEXT(EDATE('Input - Site'!$E$12,10), "mmmm yyyy")</f>
        <v>November 2024</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46</v>
      </c>
      <c r="T32" s="7"/>
    </row>
    <row r="33" spans="1:20" ht="20.100000000000001" customHeight="1" x14ac:dyDescent="0.25">
      <c r="A33" s="17"/>
      <c r="D33" s="1" t="str">
        <f>TEXT(EDATE('Input - Site'!$E$12,11), "mmmm yyyy")</f>
        <v>December 2024</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81</v>
      </c>
      <c r="T36" s="7"/>
    </row>
    <row r="37" spans="1:20" ht="20.100000000000001" customHeight="1" x14ac:dyDescent="0.25">
      <c r="D37" s="61" t="s">
        <v>107</v>
      </c>
      <c r="E37" s="61" t="s">
        <v>103</v>
      </c>
      <c r="F37" s="61" t="s">
        <v>102</v>
      </c>
      <c r="G37" s="61" t="s">
        <v>126</v>
      </c>
      <c r="H37" s="61" t="s">
        <v>127</v>
      </c>
      <c r="I37" s="61" t="s">
        <v>128</v>
      </c>
      <c r="J37" s="61" t="s">
        <v>129</v>
      </c>
      <c r="K37" s="61" t="s">
        <v>130</v>
      </c>
      <c r="L37" s="61" t="s">
        <v>131</v>
      </c>
      <c r="M37" s="61" t="s">
        <v>132</v>
      </c>
      <c r="N37" s="61" t="s">
        <v>133</v>
      </c>
      <c r="T37" s="7"/>
    </row>
    <row r="38" spans="1:20" ht="20.100000000000001" customHeight="1" x14ac:dyDescent="0.25">
      <c r="D38" s="1" t="s">
        <v>134</v>
      </c>
      <c r="E38" s="64">
        <v>100</v>
      </c>
      <c r="F38" s="64">
        <v>100</v>
      </c>
      <c r="G38" s="64">
        <v>100</v>
      </c>
      <c r="H38" s="64">
        <v>100</v>
      </c>
      <c r="I38" s="64">
        <v>100</v>
      </c>
      <c r="J38" s="64">
        <v>100</v>
      </c>
      <c r="K38" s="64">
        <v>100</v>
      </c>
      <c r="L38" s="64">
        <v>100</v>
      </c>
      <c r="M38" s="64">
        <v>100</v>
      </c>
      <c r="N38" s="64">
        <v>100</v>
      </c>
      <c r="O38" s="2" t="s">
        <v>81</v>
      </c>
      <c r="T38" s="7"/>
    </row>
    <row r="39" spans="1:20" ht="20.100000000000001" customHeight="1" x14ac:dyDescent="0.25">
      <c r="A39" s="17"/>
      <c r="D39" s="1" t="s">
        <v>135</v>
      </c>
      <c r="E39" s="64">
        <v>100</v>
      </c>
      <c r="F39" s="64">
        <v>100</v>
      </c>
      <c r="G39" s="64">
        <v>100</v>
      </c>
      <c r="H39" s="64">
        <v>100</v>
      </c>
      <c r="I39" s="64">
        <v>100</v>
      </c>
      <c r="J39" s="64">
        <v>100</v>
      </c>
      <c r="K39" s="64">
        <v>100</v>
      </c>
      <c r="L39" s="64">
        <v>100</v>
      </c>
      <c r="M39" s="64">
        <v>100</v>
      </c>
      <c r="N39" s="64">
        <v>100</v>
      </c>
      <c r="O39" s="2" t="s">
        <v>81</v>
      </c>
      <c r="T39" s="7"/>
    </row>
    <row r="40" spans="1:20" ht="20.100000000000001" customHeight="1" x14ac:dyDescent="0.25">
      <c r="D40" s="1" t="s">
        <v>136</v>
      </c>
      <c r="E40" s="64">
        <v>100</v>
      </c>
      <c r="F40" s="64">
        <v>100</v>
      </c>
      <c r="G40" s="64">
        <v>100</v>
      </c>
      <c r="H40" s="64">
        <v>100</v>
      </c>
      <c r="I40" s="64">
        <v>100</v>
      </c>
      <c r="J40" s="64">
        <v>100</v>
      </c>
      <c r="K40" s="64">
        <v>100</v>
      </c>
      <c r="L40" s="64">
        <v>100</v>
      </c>
      <c r="M40" s="64">
        <v>100</v>
      </c>
      <c r="N40" s="64">
        <v>100</v>
      </c>
      <c r="O40" s="2" t="s">
        <v>81</v>
      </c>
      <c r="T40" s="7"/>
    </row>
    <row r="41" spans="1:20" ht="20.100000000000001" customHeight="1" x14ac:dyDescent="0.25">
      <c r="A41" s="43"/>
      <c r="D41" s="1" t="s">
        <v>137</v>
      </c>
      <c r="E41" s="64">
        <v>100</v>
      </c>
      <c r="F41" s="64">
        <v>100</v>
      </c>
      <c r="G41" s="64">
        <v>100</v>
      </c>
      <c r="H41" s="64">
        <v>100</v>
      </c>
      <c r="I41" s="64">
        <v>100</v>
      </c>
      <c r="J41" s="64">
        <v>100</v>
      </c>
      <c r="K41" s="64">
        <v>100</v>
      </c>
      <c r="L41" s="64">
        <v>100</v>
      </c>
      <c r="M41" s="64">
        <v>100</v>
      </c>
      <c r="N41" s="64">
        <v>100</v>
      </c>
      <c r="O41" s="2" t="s">
        <v>81</v>
      </c>
      <c r="T41" s="7"/>
    </row>
    <row r="42" spans="1:20" ht="20.100000000000001" customHeight="1" x14ac:dyDescent="0.25">
      <c r="O42" s="2"/>
      <c r="T42" s="7"/>
    </row>
    <row r="43" spans="1:20" ht="20.100000000000001" customHeight="1" x14ac:dyDescent="0.25">
      <c r="D43" s="61" t="s">
        <v>108</v>
      </c>
      <c r="E43" s="61" t="s">
        <v>103</v>
      </c>
      <c r="F43" s="61" t="s">
        <v>102</v>
      </c>
      <c r="G43" s="61" t="s">
        <v>126</v>
      </c>
      <c r="H43" s="61" t="s">
        <v>127</v>
      </c>
      <c r="I43" s="61" t="s">
        <v>128</v>
      </c>
      <c r="J43" s="61" t="s">
        <v>129</v>
      </c>
      <c r="K43" s="61" t="s">
        <v>130</v>
      </c>
      <c r="L43" s="61" t="s">
        <v>131</v>
      </c>
      <c r="M43" s="61" t="s">
        <v>132</v>
      </c>
      <c r="N43" s="61" t="s">
        <v>133</v>
      </c>
      <c r="O43" s="2"/>
      <c r="T43" s="7"/>
    </row>
    <row r="44" spans="1:20" ht="20.100000000000001" customHeight="1" x14ac:dyDescent="0.25">
      <c r="D44" s="1" t="str">
        <f>TEXT('Input - Site'!$E$12, "mmmm yyyy")</f>
        <v>January 2024</v>
      </c>
      <c r="E44" s="64">
        <v>100</v>
      </c>
      <c r="F44" s="64">
        <v>100</v>
      </c>
      <c r="G44" s="64">
        <v>100</v>
      </c>
      <c r="H44" s="64">
        <v>100</v>
      </c>
      <c r="I44" s="64">
        <v>100</v>
      </c>
      <c r="J44" s="64">
        <v>100</v>
      </c>
      <c r="K44" s="64">
        <v>100</v>
      </c>
      <c r="L44" s="64">
        <v>100</v>
      </c>
      <c r="M44" s="64">
        <v>100</v>
      </c>
      <c r="N44" s="64">
        <v>100</v>
      </c>
      <c r="O44" s="2" t="s">
        <v>81</v>
      </c>
      <c r="T44" s="7"/>
    </row>
    <row r="45" spans="1:20" ht="20.100000000000001" customHeight="1" x14ac:dyDescent="0.25">
      <c r="D45" s="1" t="str">
        <f>TEXT(EDATE('Input - Site'!$E$12,1), "mmmm yyyy")</f>
        <v>February 2024</v>
      </c>
      <c r="E45" s="64">
        <v>100</v>
      </c>
      <c r="F45" s="64">
        <v>100</v>
      </c>
      <c r="G45" s="64">
        <v>100</v>
      </c>
      <c r="H45" s="64">
        <v>100</v>
      </c>
      <c r="I45" s="64">
        <v>100</v>
      </c>
      <c r="J45" s="64">
        <v>100</v>
      </c>
      <c r="K45" s="64">
        <v>100</v>
      </c>
      <c r="L45" s="64">
        <v>100</v>
      </c>
      <c r="M45" s="64">
        <v>100</v>
      </c>
      <c r="N45" s="64">
        <v>100</v>
      </c>
      <c r="O45" s="2" t="s">
        <v>81</v>
      </c>
      <c r="T45" s="7"/>
    </row>
    <row r="46" spans="1:20" ht="20.100000000000001" customHeight="1" x14ac:dyDescent="0.25">
      <c r="D46" s="1" t="str">
        <f>TEXT(EDATE('Input - Site'!$E$12,2), "mmmm yyyy")</f>
        <v>March 2024</v>
      </c>
      <c r="E46" s="64">
        <v>100</v>
      </c>
      <c r="F46" s="64">
        <v>100</v>
      </c>
      <c r="G46" s="64">
        <v>100</v>
      </c>
      <c r="H46" s="64">
        <v>100</v>
      </c>
      <c r="I46" s="64">
        <v>100</v>
      </c>
      <c r="J46" s="64">
        <v>100</v>
      </c>
      <c r="K46" s="64">
        <v>100</v>
      </c>
      <c r="L46" s="64">
        <v>100</v>
      </c>
      <c r="M46" s="64">
        <v>100</v>
      </c>
      <c r="N46" s="64">
        <v>100</v>
      </c>
      <c r="O46" s="2" t="s">
        <v>81</v>
      </c>
      <c r="T46" s="7"/>
    </row>
    <row r="47" spans="1:20" ht="20.100000000000001" customHeight="1" x14ac:dyDescent="0.25">
      <c r="D47" s="1" t="str">
        <f>TEXT(EDATE('Input - Site'!$E$12,3), "mmmm yyyy")</f>
        <v>April 2024</v>
      </c>
      <c r="E47" s="64">
        <v>100</v>
      </c>
      <c r="F47" s="64">
        <v>100</v>
      </c>
      <c r="G47" s="64">
        <v>100</v>
      </c>
      <c r="H47" s="64">
        <v>100</v>
      </c>
      <c r="I47" s="64">
        <v>100</v>
      </c>
      <c r="J47" s="64">
        <v>100</v>
      </c>
      <c r="K47" s="64">
        <v>100</v>
      </c>
      <c r="L47" s="64">
        <v>100</v>
      </c>
      <c r="M47" s="64">
        <v>100</v>
      </c>
      <c r="N47" s="64">
        <v>100</v>
      </c>
      <c r="O47" s="2" t="s">
        <v>81</v>
      </c>
      <c r="T47" s="7"/>
    </row>
    <row r="48" spans="1:20" ht="20.100000000000001" customHeight="1" x14ac:dyDescent="0.25">
      <c r="D48" s="1" t="str">
        <f>TEXT(EDATE('Input - Site'!$E$12,4), "mmmm yyyy")</f>
        <v>May 2024</v>
      </c>
      <c r="E48" s="64">
        <v>100</v>
      </c>
      <c r="F48" s="64">
        <v>100</v>
      </c>
      <c r="G48" s="64">
        <v>100</v>
      </c>
      <c r="H48" s="64">
        <v>100</v>
      </c>
      <c r="I48" s="64">
        <v>100</v>
      </c>
      <c r="J48" s="64">
        <v>100</v>
      </c>
      <c r="K48" s="64">
        <v>100</v>
      </c>
      <c r="L48" s="64">
        <v>100</v>
      </c>
      <c r="M48" s="64">
        <v>100</v>
      </c>
      <c r="N48" s="64">
        <v>100</v>
      </c>
      <c r="O48" s="2" t="s">
        <v>81</v>
      </c>
      <c r="T48" s="7"/>
    </row>
    <row r="49" spans="4:20" ht="20.100000000000001" customHeight="1" x14ac:dyDescent="0.25">
      <c r="D49" s="1" t="str">
        <f>TEXT(EDATE('Input - Site'!$E$12,5), "mmmm yyyy")</f>
        <v>June 2024</v>
      </c>
      <c r="E49" s="64">
        <v>100</v>
      </c>
      <c r="F49" s="64">
        <v>100</v>
      </c>
      <c r="G49" s="64">
        <v>100</v>
      </c>
      <c r="H49" s="64">
        <v>100</v>
      </c>
      <c r="I49" s="64">
        <v>100</v>
      </c>
      <c r="J49" s="64">
        <v>100</v>
      </c>
      <c r="K49" s="64">
        <v>100</v>
      </c>
      <c r="L49" s="64">
        <v>100</v>
      </c>
      <c r="M49" s="64">
        <v>100</v>
      </c>
      <c r="N49" s="64">
        <v>100</v>
      </c>
      <c r="O49" s="2" t="s">
        <v>81</v>
      </c>
      <c r="T49" s="7"/>
    </row>
    <row r="50" spans="4:20" ht="20.100000000000001" customHeight="1" x14ac:dyDescent="0.25">
      <c r="D50" s="1" t="str">
        <f>TEXT(EDATE('Input - Site'!$E$12,6), "mmmm yyyy")</f>
        <v>July 2024</v>
      </c>
      <c r="E50" s="64">
        <v>100</v>
      </c>
      <c r="F50" s="64">
        <v>100</v>
      </c>
      <c r="G50" s="64">
        <v>100</v>
      </c>
      <c r="H50" s="64">
        <v>100</v>
      </c>
      <c r="I50" s="64">
        <v>100</v>
      </c>
      <c r="J50" s="64">
        <v>100</v>
      </c>
      <c r="K50" s="64">
        <v>100</v>
      </c>
      <c r="L50" s="64">
        <v>100</v>
      </c>
      <c r="M50" s="64">
        <v>100</v>
      </c>
      <c r="N50" s="64">
        <v>100</v>
      </c>
      <c r="O50" s="2" t="s">
        <v>81</v>
      </c>
      <c r="P50" s="3"/>
      <c r="T50" s="7"/>
    </row>
    <row r="51" spans="4:20" ht="20.100000000000001" customHeight="1" x14ac:dyDescent="0.25">
      <c r="D51" s="1" t="str">
        <f>TEXT(EDATE('Input - Site'!$E$12,7), "mmmm yyyy")</f>
        <v>August 2024</v>
      </c>
      <c r="E51" s="64">
        <v>100</v>
      </c>
      <c r="F51" s="64">
        <v>100</v>
      </c>
      <c r="G51" s="64">
        <v>100</v>
      </c>
      <c r="H51" s="64">
        <v>100</v>
      </c>
      <c r="I51" s="64">
        <v>100</v>
      </c>
      <c r="J51" s="64">
        <v>100</v>
      </c>
      <c r="K51" s="64">
        <v>100</v>
      </c>
      <c r="L51" s="64">
        <v>100</v>
      </c>
      <c r="M51" s="64">
        <v>100</v>
      </c>
      <c r="N51" s="64">
        <v>100</v>
      </c>
      <c r="O51" s="2" t="s">
        <v>81</v>
      </c>
      <c r="P51" s="3"/>
      <c r="T51" s="7"/>
    </row>
    <row r="52" spans="4:20" ht="20.100000000000001" customHeight="1" x14ac:dyDescent="0.25">
      <c r="D52" s="1" t="str">
        <f>TEXT(EDATE('Input - Site'!$E$12,8), "mmmm yyyy")</f>
        <v>September 2024</v>
      </c>
      <c r="E52" s="64">
        <v>100</v>
      </c>
      <c r="F52" s="64">
        <v>100</v>
      </c>
      <c r="G52" s="64">
        <v>100</v>
      </c>
      <c r="H52" s="64">
        <v>100</v>
      </c>
      <c r="I52" s="64">
        <v>100</v>
      </c>
      <c r="J52" s="64">
        <v>100</v>
      </c>
      <c r="K52" s="64">
        <v>100</v>
      </c>
      <c r="L52" s="64">
        <v>100</v>
      </c>
      <c r="M52" s="64">
        <v>100</v>
      </c>
      <c r="N52" s="64">
        <v>100</v>
      </c>
      <c r="O52" s="2" t="s">
        <v>81</v>
      </c>
      <c r="P52" s="3"/>
      <c r="T52" s="7"/>
    </row>
    <row r="53" spans="4:20" ht="20.100000000000001" customHeight="1" x14ac:dyDescent="0.25">
      <c r="D53" s="1" t="str">
        <f>TEXT(EDATE('Input - Site'!$E$12,9), "mmmm yyyy")</f>
        <v>October 2024</v>
      </c>
      <c r="E53" s="64">
        <v>100</v>
      </c>
      <c r="F53" s="64">
        <v>100</v>
      </c>
      <c r="G53" s="64">
        <v>100</v>
      </c>
      <c r="H53" s="64">
        <v>100</v>
      </c>
      <c r="I53" s="64">
        <v>100</v>
      </c>
      <c r="J53" s="64">
        <v>100</v>
      </c>
      <c r="K53" s="64">
        <v>100</v>
      </c>
      <c r="L53" s="64">
        <v>100</v>
      </c>
      <c r="M53" s="64">
        <v>100</v>
      </c>
      <c r="N53" s="64">
        <v>100</v>
      </c>
      <c r="O53" s="2" t="s">
        <v>81</v>
      </c>
      <c r="P53" s="3"/>
      <c r="T53" s="7"/>
    </row>
    <row r="54" spans="4:20" ht="20.100000000000001" customHeight="1" x14ac:dyDescent="0.25">
      <c r="D54" s="1" t="str">
        <f>TEXT(EDATE('Input - Site'!$E$12,10), "mmmm yyyy")</f>
        <v>November 2024</v>
      </c>
      <c r="E54" s="64">
        <v>100</v>
      </c>
      <c r="F54" s="64">
        <v>100</v>
      </c>
      <c r="G54" s="64">
        <v>100</v>
      </c>
      <c r="H54" s="64">
        <v>100</v>
      </c>
      <c r="I54" s="64">
        <v>100</v>
      </c>
      <c r="J54" s="64">
        <v>100</v>
      </c>
      <c r="K54" s="64">
        <v>100</v>
      </c>
      <c r="L54" s="64">
        <v>100</v>
      </c>
      <c r="M54" s="64">
        <v>100</v>
      </c>
      <c r="N54" s="64">
        <v>100</v>
      </c>
      <c r="O54" s="2" t="s">
        <v>81</v>
      </c>
      <c r="P54" s="3"/>
      <c r="T54" s="7"/>
    </row>
    <row r="55" spans="4:20" ht="20.100000000000001" customHeight="1" x14ac:dyDescent="0.25">
      <c r="D55" s="1" t="str">
        <f>TEXT(EDATE('Input - Site'!$E$12,11), "mmmm yyyy")</f>
        <v>December 2024</v>
      </c>
      <c r="E55" s="64">
        <v>100</v>
      </c>
      <c r="F55" s="64">
        <v>100</v>
      </c>
      <c r="G55" s="64">
        <v>100</v>
      </c>
      <c r="H55" s="64">
        <v>100</v>
      </c>
      <c r="I55" s="64">
        <v>100</v>
      </c>
      <c r="J55" s="64">
        <v>100</v>
      </c>
      <c r="K55" s="64">
        <v>100</v>
      </c>
      <c r="L55" s="64">
        <v>100</v>
      </c>
      <c r="M55" s="64">
        <v>100</v>
      </c>
      <c r="N55" s="64">
        <v>100</v>
      </c>
      <c r="O55" s="2" t="s">
        <v>81</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111</v>
      </c>
      <c r="P58" s="3"/>
      <c r="T58" s="7"/>
    </row>
    <row r="59" spans="4:20" ht="20.100000000000001" customHeight="1" x14ac:dyDescent="0.25">
      <c r="D59" s="61" t="s">
        <v>140</v>
      </c>
      <c r="E59" s="61" t="s">
        <v>103</v>
      </c>
      <c r="F59" s="61" t="s">
        <v>102</v>
      </c>
      <c r="G59" s="61" t="s">
        <v>126</v>
      </c>
      <c r="H59" s="61" t="s">
        <v>127</v>
      </c>
      <c r="I59" s="61" t="s">
        <v>128</v>
      </c>
      <c r="J59" s="61" t="s">
        <v>129</v>
      </c>
      <c r="K59" s="61" t="s">
        <v>130</v>
      </c>
      <c r="L59" s="61" t="s">
        <v>131</v>
      </c>
      <c r="M59" s="61" t="s">
        <v>132</v>
      </c>
      <c r="N59" s="61" t="s">
        <v>133</v>
      </c>
      <c r="P59" s="3"/>
      <c r="T59" s="7"/>
    </row>
    <row r="60" spans="4:20" ht="20.100000000000001" customHeight="1" x14ac:dyDescent="0.25">
      <c r="D60" s="1" t="s">
        <v>134</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105</v>
      </c>
      <c r="P60" s="3"/>
      <c r="T60" s="7"/>
    </row>
    <row r="61" spans="4:20" ht="20.100000000000001" customHeight="1" x14ac:dyDescent="0.25">
      <c r="D61" s="1" t="s">
        <v>135</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105</v>
      </c>
      <c r="P61" s="3"/>
      <c r="T61" s="7"/>
    </row>
    <row r="62" spans="4:20" ht="20.100000000000001" customHeight="1" x14ac:dyDescent="0.25">
      <c r="D62" s="1" t="s">
        <v>136</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105</v>
      </c>
      <c r="P62" s="3"/>
      <c r="T62" s="7"/>
    </row>
    <row r="63" spans="4:20" ht="20.100000000000001" customHeight="1" x14ac:dyDescent="0.25">
      <c r="D63" s="1" t="s">
        <v>137</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105</v>
      </c>
      <c r="P63" s="3"/>
      <c r="T63" s="7"/>
    </row>
    <row r="64" spans="4:20" ht="20.100000000000001" customHeight="1" x14ac:dyDescent="0.25">
      <c r="O64" s="2"/>
      <c r="P64" s="3"/>
      <c r="T64" s="7"/>
    </row>
    <row r="65" spans="4:20" ht="20.100000000000001" customHeight="1" x14ac:dyDescent="0.25">
      <c r="D65" s="61" t="s">
        <v>141</v>
      </c>
      <c r="E65" s="61" t="s">
        <v>103</v>
      </c>
      <c r="F65" s="61" t="s">
        <v>102</v>
      </c>
      <c r="G65" s="61" t="s">
        <v>126</v>
      </c>
      <c r="H65" s="61" t="s">
        <v>127</v>
      </c>
      <c r="I65" s="61" t="s">
        <v>128</v>
      </c>
      <c r="J65" s="61" t="s">
        <v>129</v>
      </c>
      <c r="K65" s="61" t="s">
        <v>130</v>
      </c>
      <c r="L65" s="61" t="s">
        <v>131</v>
      </c>
      <c r="M65" s="61" t="s">
        <v>132</v>
      </c>
      <c r="N65" s="61" t="s">
        <v>133</v>
      </c>
      <c r="O65" s="2"/>
      <c r="P65" s="3"/>
      <c r="T65" s="7"/>
    </row>
    <row r="66" spans="4:20" ht="20.100000000000001" customHeight="1" x14ac:dyDescent="0.25">
      <c r="D66" s="1" t="str">
        <f>TEXT('Input - Site'!$E$12, "mmmm yyyy")</f>
        <v>January 2024</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105</v>
      </c>
      <c r="P66" s="3"/>
      <c r="T66" s="7"/>
    </row>
    <row r="67" spans="4:20" ht="20.100000000000001" customHeight="1" x14ac:dyDescent="0.25">
      <c r="D67" s="1" t="str">
        <f>TEXT(EDATE('Input - Site'!$E$12,1), "mmmm yyyy")</f>
        <v>February 2024</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105</v>
      </c>
      <c r="P67" s="3"/>
      <c r="T67" s="7"/>
    </row>
    <row r="68" spans="4:20" ht="20.100000000000001" customHeight="1" x14ac:dyDescent="0.25">
      <c r="D68" s="1" t="str">
        <f>TEXT(EDATE('Input - Site'!$E$12,2), "mmmm yyyy")</f>
        <v>March 2024</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105</v>
      </c>
      <c r="P68" s="3"/>
      <c r="T68" s="7"/>
    </row>
    <row r="69" spans="4:20" ht="20.100000000000001" customHeight="1" x14ac:dyDescent="0.25">
      <c r="D69" s="1" t="str">
        <f>TEXT(EDATE('Input - Site'!$E$12,3), "mmmm yyyy")</f>
        <v>April 2024</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105</v>
      </c>
      <c r="P69" s="3"/>
      <c r="T69" s="7"/>
    </row>
    <row r="70" spans="4:20" ht="20.100000000000001" customHeight="1" x14ac:dyDescent="0.25">
      <c r="D70" s="1" t="str">
        <f>TEXT(EDATE('Input - Site'!$E$12,4), "mmmm yyyy")</f>
        <v>May 2024</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105</v>
      </c>
      <c r="P70" s="3"/>
      <c r="T70" s="7"/>
    </row>
    <row r="71" spans="4:20" ht="20.100000000000001" customHeight="1" x14ac:dyDescent="0.25">
      <c r="D71" s="1" t="str">
        <f>TEXT(EDATE('Input - Site'!$E$12,5), "mmmm yyyy")</f>
        <v>June 2024</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105</v>
      </c>
      <c r="P71" s="3"/>
      <c r="T71" s="7"/>
    </row>
    <row r="72" spans="4:20" ht="20.100000000000001" customHeight="1" x14ac:dyDescent="0.25">
      <c r="D72" s="1" t="str">
        <f>TEXT(EDATE('Input - Site'!$E$12,6), "mmmm yyyy")</f>
        <v>July 2024</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105</v>
      </c>
      <c r="T72" s="7"/>
    </row>
    <row r="73" spans="4:20" ht="20.100000000000001" customHeight="1" x14ac:dyDescent="0.25">
      <c r="D73" s="1" t="str">
        <f>TEXT(EDATE('Input - Site'!$E$12,7), "mmmm yyyy")</f>
        <v>August 2024</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105</v>
      </c>
      <c r="T73" s="7"/>
    </row>
    <row r="74" spans="4:20" ht="20.100000000000001" customHeight="1" x14ac:dyDescent="0.25">
      <c r="D74" s="1" t="str">
        <f>TEXT(EDATE('Input - Site'!$E$12,8), "mmmm yyyy")</f>
        <v>September 2024</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105</v>
      </c>
      <c r="T74" s="7"/>
    </row>
    <row r="75" spans="4:20" ht="20.100000000000001" customHeight="1" x14ac:dyDescent="0.25">
      <c r="D75" s="1" t="str">
        <f>TEXT(EDATE('Input - Site'!$E$12,9), "mmmm yyyy")</f>
        <v>October 2024</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105</v>
      </c>
      <c r="T75" s="7"/>
    </row>
    <row r="76" spans="4:20" ht="20.100000000000001" customHeight="1" x14ac:dyDescent="0.25">
      <c r="D76" s="1" t="str">
        <f>TEXT(EDATE('Input - Site'!$E$12,10), "mmmm yyyy")</f>
        <v>November 2024</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105</v>
      </c>
      <c r="T76" s="7"/>
    </row>
    <row r="77" spans="4:20" ht="20.100000000000001" customHeight="1" x14ac:dyDescent="0.25">
      <c r="D77" s="1" t="str">
        <f>TEXT(EDATE('Input - Site'!$E$12,11), "mmmm yyyy")</f>
        <v>December 2024</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105</v>
      </c>
      <c r="T77" s="7"/>
    </row>
    <row r="78" spans="4:20" ht="20.100000000000001" customHeight="1" x14ac:dyDescent="0.25">
      <c r="T78" s="7"/>
    </row>
    <row r="79" spans="4:20" ht="20.100000000000001" customHeight="1" x14ac:dyDescent="0.25">
      <c r="T79" s="7"/>
    </row>
    <row r="80" spans="4:20" ht="20.100000000000001" customHeight="1" x14ac:dyDescent="0.25">
      <c r="D80" s="47" t="s">
        <v>138</v>
      </c>
      <c r="T80" s="7"/>
    </row>
    <row r="81" spans="4:20" ht="20.100000000000001" customHeight="1" x14ac:dyDescent="0.25">
      <c r="D81" s="61" t="s">
        <v>140</v>
      </c>
      <c r="E81" s="61" t="s">
        <v>103</v>
      </c>
      <c r="F81" s="61" t="s">
        <v>102</v>
      </c>
      <c r="G81" s="61" t="s">
        <v>126</v>
      </c>
      <c r="H81" s="61" t="s">
        <v>127</v>
      </c>
      <c r="I81" s="61" t="s">
        <v>128</v>
      </c>
      <c r="J81" s="61" t="s">
        <v>129</v>
      </c>
      <c r="K81" s="61" t="s">
        <v>130</v>
      </c>
      <c r="L81" s="61" t="s">
        <v>131</v>
      </c>
      <c r="M81" s="61" t="s">
        <v>132</v>
      </c>
      <c r="N81" s="61" t="s">
        <v>133</v>
      </c>
      <c r="T81" s="7"/>
    </row>
    <row r="82" spans="4:20" ht="20.100000000000001" customHeight="1" x14ac:dyDescent="0.25">
      <c r="D82" s="1" t="s">
        <v>134</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106</v>
      </c>
      <c r="T82" s="7"/>
    </row>
    <row r="83" spans="4:20" ht="20.100000000000001" customHeight="1" x14ac:dyDescent="0.25">
      <c r="D83" s="1" t="s">
        <v>135</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106</v>
      </c>
      <c r="T83" s="7"/>
    </row>
    <row r="84" spans="4:20" ht="20.100000000000001" customHeight="1" x14ac:dyDescent="0.25">
      <c r="D84" s="1" t="s">
        <v>136</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106</v>
      </c>
      <c r="T84" s="7"/>
    </row>
    <row r="85" spans="4:20" ht="20.100000000000001" customHeight="1" x14ac:dyDescent="0.25">
      <c r="D85" s="1" t="s">
        <v>137</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106</v>
      </c>
      <c r="T85" s="7"/>
    </row>
    <row r="86" spans="4:20" ht="20.100000000000001" customHeight="1" x14ac:dyDescent="0.25">
      <c r="O86" s="2"/>
      <c r="T86" s="7"/>
    </row>
    <row r="87" spans="4:20" ht="20.100000000000001" customHeight="1" x14ac:dyDescent="0.25">
      <c r="D87" s="61" t="s">
        <v>141</v>
      </c>
      <c r="E87" s="61" t="s">
        <v>103</v>
      </c>
      <c r="F87" s="61" t="s">
        <v>102</v>
      </c>
      <c r="G87" s="61" t="s">
        <v>126</v>
      </c>
      <c r="H87" s="61" t="s">
        <v>127</v>
      </c>
      <c r="I87" s="61" t="s">
        <v>128</v>
      </c>
      <c r="J87" s="61" t="s">
        <v>129</v>
      </c>
      <c r="K87" s="61" t="s">
        <v>130</v>
      </c>
      <c r="L87" s="61" t="s">
        <v>131</v>
      </c>
      <c r="M87" s="61" t="s">
        <v>132</v>
      </c>
      <c r="N87" s="61" t="s">
        <v>133</v>
      </c>
      <c r="O87" s="2"/>
      <c r="T87" s="7"/>
    </row>
    <row r="88" spans="4:20" ht="20.100000000000001" customHeight="1" x14ac:dyDescent="0.25">
      <c r="D88" s="1" t="str">
        <f>TEXT('Input - Site'!$E$12, "mmmm yyyy")</f>
        <v>January 2024</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106</v>
      </c>
      <c r="T88" s="7"/>
    </row>
    <row r="89" spans="4:20" ht="20.100000000000001" customHeight="1" x14ac:dyDescent="0.25">
      <c r="D89" s="1" t="str">
        <f>TEXT(EDATE('Input - Site'!$E$12,1), "mmmm yyyy")</f>
        <v>February 2024</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106</v>
      </c>
      <c r="T89" s="7"/>
    </row>
    <row r="90" spans="4:20" ht="20.100000000000001" customHeight="1" x14ac:dyDescent="0.25">
      <c r="D90" s="1" t="str">
        <f>TEXT(EDATE('Input - Site'!$E$12,2), "mmmm yyyy")</f>
        <v>March 2024</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106</v>
      </c>
      <c r="T90" s="7"/>
    </row>
    <row r="91" spans="4:20" ht="20.100000000000001" customHeight="1" x14ac:dyDescent="0.25">
      <c r="D91" s="1" t="str">
        <f>TEXT(EDATE('Input - Site'!$E$12,3), "mmmm yyyy")</f>
        <v>April 2024</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106</v>
      </c>
      <c r="T91" s="7"/>
    </row>
    <row r="92" spans="4:20" ht="20.100000000000001" customHeight="1" x14ac:dyDescent="0.25">
      <c r="D92" s="1" t="str">
        <f>TEXT(EDATE('Input - Site'!$E$12,4), "mmmm yyyy")</f>
        <v>May 2024</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106</v>
      </c>
      <c r="T92" s="7"/>
    </row>
    <row r="93" spans="4:20" ht="20.100000000000001" customHeight="1" x14ac:dyDescent="0.25">
      <c r="D93" s="1" t="str">
        <f>TEXT(EDATE('Input - Site'!$E$12,5), "mmmm yyyy")</f>
        <v>June 2024</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106</v>
      </c>
      <c r="T93" s="7"/>
    </row>
    <row r="94" spans="4:20" ht="20.100000000000001" customHeight="1" x14ac:dyDescent="0.25">
      <c r="D94" s="1" t="str">
        <f>TEXT(EDATE('Input - Site'!$E$12,6), "mmmm yyyy")</f>
        <v>July 2024</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106</v>
      </c>
      <c r="T94" s="7"/>
    </row>
    <row r="95" spans="4:20" ht="20.100000000000001" customHeight="1" x14ac:dyDescent="0.25">
      <c r="D95" s="1" t="str">
        <f>TEXT(EDATE('Input - Site'!$E$12,7), "mmmm yyyy")</f>
        <v>August 2024</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106</v>
      </c>
      <c r="T95" s="7"/>
    </row>
    <row r="96" spans="4:20" ht="20.100000000000001" customHeight="1" x14ac:dyDescent="0.25">
      <c r="D96" s="1" t="str">
        <f>TEXT(EDATE('Input - Site'!$E$12,8), "mmmm yyyy")</f>
        <v>September 2024</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106</v>
      </c>
      <c r="T96" s="7"/>
    </row>
    <row r="97" spans="4:20" ht="20.100000000000001" customHeight="1" x14ac:dyDescent="0.25">
      <c r="D97" s="1" t="str">
        <f>TEXT(EDATE('Input - Site'!$E$12,9), "mmmm yyyy")</f>
        <v>October 2024</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106</v>
      </c>
      <c r="T97" s="7"/>
    </row>
    <row r="98" spans="4:20" ht="20.100000000000001" customHeight="1" x14ac:dyDescent="0.25">
      <c r="D98" s="1" t="str">
        <f>TEXT(EDATE('Input - Site'!$E$12,10), "mmmm yyyy")</f>
        <v>November 2024</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106</v>
      </c>
      <c r="T98" s="7"/>
    </row>
    <row r="99" spans="4:20" ht="20.100000000000001" customHeight="1" x14ac:dyDescent="0.25">
      <c r="D99" s="1" t="str">
        <f>TEXT(EDATE('Input - Site'!$E$12,11), "mmmm yyyy")</f>
        <v>December 2024</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106</v>
      </c>
      <c r="T99" s="7"/>
    </row>
    <row r="100" spans="4:20" ht="20.100000000000001" customHeight="1" x14ac:dyDescent="0.25">
      <c r="T100" s="7"/>
    </row>
    <row r="101" spans="4:20" ht="20.100000000000001" customHeight="1" x14ac:dyDescent="0.25">
      <c r="T101" s="7"/>
    </row>
    <row r="102" spans="4:20" ht="20.100000000000001" customHeight="1" x14ac:dyDescent="0.25">
      <c r="D102" s="47" t="s">
        <v>190</v>
      </c>
      <c r="K102" s="2"/>
      <c r="L102" s="2"/>
      <c r="M102" s="2"/>
      <c r="N102" s="2"/>
      <c r="O102" s="2"/>
      <c r="T102" s="7"/>
    </row>
    <row r="103" spans="4:20" ht="20.100000000000001" customHeight="1" x14ac:dyDescent="0.25">
      <c r="D103" s="61" t="s">
        <v>107</v>
      </c>
      <c r="E103" s="61"/>
      <c r="F103" s="61"/>
      <c r="G103" s="61"/>
      <c r="T103" s="7"/>
    </row>
    <row r="104" spans="4:20" ht="20.100000000000001" customHeight="1" x14ac:dyDescent="0.25">
      <c r="D104" s="1" t="s">
        <v>207</v>
      </c>
      <c r="E104" s="38" t="s">
        <v>137</v>
      </c>
      <c r="F104" s="2" t="s">
        <v>8</v>
      </c>
      <c r="T104" s="7"/>
    </row>
    <row r="105" spans="4:20" ht="20.100000000000001" customHeight="1" x14ac:dyDescent="0.25">
      <c r="T105" s="7"/>
    </row>
    <row r="106" spans="4:20" ht="20.100000000000001" customHeight="1" x14ac:dyDescent="0.25">
      <c r="E106" s="61" t="s">
        <v>127</v>
      </c>
      <c r="F106" s="61" t="s">
        <v>128</v>
      </c>
      <c r="G106" s="61" t="s">
        <v>129</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14</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108</v>
      </c>
      <c r="E110" s="61"/>
      <c r="F110" s="61"/>
      <c r="G110" s="61"/>
    </row>
    <row r="111" spans="4:20" ht="20.100000000000001" customHeight="1" x14ac:dyDescent="0.25">
      <c r="D111" s="1" t="s">
        <v>254</v>
      </c>
      <c r="E111" s="38" t="s">
        <v>252</v>
      </c>
      <c r="F111" s="2" t="s">
        <v>8</v>
      </c>
    </row>
    <row r="112" spans="4:20" ht="20.100000000000001" customHeight="1" x14ac:dyDescent="0.25">
      <c r="D112" s="1" t="s">
        <v>250</v>
      </c>
      <c r="E112" s="51" t="str">
        <f>TEXT(EDATE(E111,1), "mmmm yyyy")</f>
        <v>September 2024</v>
      </c>
    </row>
    <row r="113" spans="4:15" ht="20.100000000000001" customHeight="1" x14ac:dyDescent="0.25">
      <c r="D113" s="1" t="s">
        <v>251</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127</v>
      </c>
      <c r="F116" s="61" t="s">
        <v>128</v>
      </c>
      <c r="G116" s="61" t="s">
        <v>129</v>
      </c>
      <c r="L116" s="2"/>
      <c r="M116" s="2"/>
      <c r="N116" s="2"/>
      <c r="O116" s="2"/>
    </row>
    <row r="117" spans="4:15" ht="20.100000000000001" customHeight="1" x14ac:dyDescent="0.25">
      <c r="D117" s="1" t="str">
        <f>E111</f>
        <v>August 2024</v>
      </c>
      <c r="E117" s="45">
        <v>0.25</v>
      </c>
      <c r="F117" s="45">
        <v>0.25</v>
      </c>
      <c r="G117" s="45">
        <v>0.25</v>
      </c>
      <c r="H117" s="2" t="s">
        <v>14</v>
      </c>
      <c r="L117" s="2"/>
      <c r="M117" s="2"/>
      <c r="N117" s="2"/>
      <c r="O117" s="2"/>
    </row>
    <row r="118" spans="4:15" ht="20.100000000000001" customHeight="1" x14ac:dyDescent="0.25">
      <c r="D118" s="1" t="str">
        <f>E112</f>
        <v>September 2024</v>
      </c>
      <c r="E118" s="45">
        <v>0.25</v>
      </c>
      <c r="F118" s="45">
        <v>0.25</v>
      </c>
      <c r="G118" s="45">
        <v>0.25</v>
      </c>
      <c r="H118" s="2" t="s">
        <v>14</v>
      </c>
    </row>
    <row r="119" spans="4:15" ht="20.100000000000001" customHeight="1" x14ac:dyDescent="0.25">
      <c r="D119" s="1" t="str">
        <f>E113</f>
        <v>October 2024</v>
      </c>
      <c r="E119" s="45">
        <v>0.25</v>
      </c>
      <c r="F119" s="45">
        <v>0.25</v>
      </c>
      <c r="G119" s="45">
        <v>0.25</v>
      </c>
      <c r="H119" s="2" t="s">
        <v>14</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14</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13</v>
      </c>
      <c r="K123" s="2"/>
      <c r="L123" s="2"/>
      <c r="M123" s="2"/>
      <c r="N123" s="2"/>
      <c r="O123" s="2"/>
    </row>
    <row r="124" spans="4:15" ht="20.100000000000001" customHeight="1" x14ac:dyDescent="0.25">
      <c r="D124" s="61" t="s">
        <v>140</v>
      </c>
      <c r="E124" s="61" t="s">
        <v>103</v>
      </c>
      <c r="F124" s="61" t="s">
        <v>102</v>
      </c>
      <c r="G124" s="61" t="s">
        <v>126</v>
      </c>
      <c r="H124" s="61" t="s">
        <v>127</v>
      </c>
      <c r="I124" s="61" t="s">
        <v>128</v>
      </c>
      <c r="J124" s="61" t="s">
        <v>129</v>
      </c>
      <c r="K124" s="61" t="s">
        <v>130</v>
      </c>
      <c r="L124" s="61" t="s">
        <v>131</v>
      </c>
      <c r="M124" s="61" t="s">
        <v>132</v>
      </c>
      <c r="N124" s="61" t="s">
        <v>133</v>
      </c>
    </row>
    <row r="125" spans="4:15" ht="20.100000000000001" customHeight="1" x14ac:dyDescent="0.25">
      <c r="D125" s="1" t="s">
        <v>134</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112</v>
      </c>
    </row>
    <row r="126" spans="4:15" ht="20.100000000000001" customHeight="1" x14ac:dyDescent="0.25">
      <c r="D126" s="1" t="s">
        <v>135</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112</v>
      </c>
    </row>
    <row r="127" spans="4:15" ht="20.100000000000001" customHeight="1" x14ac:dyDescent="0.25">
      <c r="D127" s="1" t="s">
        <v>136</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112</v>
      </c>
    </row>
    <row r="128" spans="4:15" ht="20.100000000000001" customHeight="1" x14ac:dyDescent="0.25">
      <c r="D128" s="1" t="s">
        <v>137</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112</v>
      </c>
    </row>
    <row r="129" spans="4:15" ht="20.100000000000001" customHeight="1" x14ac:dyDescent="0.25"/>
    <row r="130" spans="4:15" ht="20.100000000000001" customHeight="1" x14ac:dyDescent="0.25">
      <c r="D130" s="61" t="s">
        <v>141</v>
      </c>
      <c r="E130" s="61" t="s">
        <v>103</v>
      </c>
      <c r="F130" s="61" t="s">
        <v>102</v>
      </c>
      <c r="G130" s="61" t="s">
        <v>126</v>
      </c>
      <c r="H130" s="61" t="s">
        <v>127</v>
      </c>
      <c r="I130" s="61" t="s">
        <v>128</v>
      </c>
      <c r="J130" s="61" t="s">
        <v>129</v>
      </c>
      <c r="K130" s="61" t="s">
        <v>130</v>
      </c>
      <c r="L130" s="61" t="s">
        <v>131</v>
      </c>
      <c r="M130" s="61" t="s">
        <v>132</v>
      </c>
      <c r="N130" s="61" t="s">
        <v>133</v>
      </c>
    </row>
    <row r="131" spans="4:15" ht="20.100000000000001" customHeight="1" x14ac:dyDescent="0.25">
      <c r="D131" s="1" t="str">
        <f>TEXT('Input - Site'!$E$12, "mmmm yyyy")</f>
        <v>January 2024</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112</v>
      </c>
    </row>
    <row r="132" spans="4:15" ht="20.100000000000001" customHeight="1" x14ac:dyDescent="0.25">
      <c r="D132" s="1" t="str">
        <f>TEXT(EDATE('Input - Site'!$E$12,1), "mmmm yyyy")</f>
        <v>February 2024</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112</v>
      </c>
    </row>
    <row r="133" spans="4:15" ht="20.100000000000001" customHeight="1" x14ac:dyDescent="0.25">
      <c r="D133" s="1" t="str">
        <f>TEXT(EDATE('Input - Site'!$E$12,2), "mmmm yyyy")</f>
        <v>March 2024</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112</v>
      </c>
    </row>
    <row r="134" spans="4:15" ht="20.100000000000001" customHeight="1" x14ac:dyDescent="0.25">
      <c r="D134" s="1" t="str">
        <f>TEXT(EDATE('Input - Site'!$E$12,3), "mmmm yyyy")</f>
        <v>April 2024</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112</v>
      </c>
    </row>
    <row r="135" spans="4:15" ht="20.100000000000001" customHeight="1" x14ac:dyDescent="0.25">
      <c r="D135" s="1" t="str">
        <f>TEXT(EDATE('Input - Site'!$E$12,4), "mmmm yyyy")</f>
        <v>May 2024</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112</v>
      </c>
    </row>
    <row r="136" spans="4:15" ht="20.100000000000001" customHeight="1" x14ac:dyDescent="0.25">
      <c r="D136" s="1" t="str">
        <f>TEXT(EDATE('Input - Site'!$E$12,5), "mmmm yyyy")</f>
        <v>June 2024</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112</v>
      </c>
    </row>
    <row r="137" spans="4:15" ht="20.100000000000001" customHeight="1" x14ac:dyDescent="0.25">
      <c r="D137" s="1" t="str">
        <f>TEXT(EDATE('Input - Site'!$E$12,6), "mmmm yyyy")</f>
        <v>July 2024</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112</v>
      </c>
    </row>
    <row r="138" spans="4:15" ht="20.100000000000001" customHeight="1" x14ac:dyDescent="0.25">
      <c r="D138" s="1" t="str">
        <f>TEXT(EDATE('Input - Site'!$E$12,7), "mmmm yyyy")</f>
        <v>August 2024</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112</v>
      </c>
    </row>
    <row r="139" spans="4:15" ht="20.100000000000001" customHeight="1" x14ac:dyDescent="0.25">
      <c r="D139" s="1" t="str">
        <f>TEXT(EDATE('Input - Site'!$E$12,8), "mmmm yyyy")</f>
        <v>September 2024</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112</v>
      </c>
    </row>
    <row r="140" spans="4:15" ht="20.100000000000001" customHeight="1" x14ac:dyDescent="0.25">
      <c r="D140" s="1" t="str">
        <f>TEXT(EDATE('Input - Site'!$E$12,9), "mmmm yyyy")</f>
        <v>October 2024</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112</v>
      </c>
    </row>
    <row r="141" spans="4:15" ht="20.100000000000001" customHeight="1" x14ac:dyDescent="0.25">
      <c r="D141" s="1" t="str">
        <f>TEXT(EDATE('Input - Site'!$E$12,10), "mmmm yyyy")</f>
        <v>November 2024</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112</v>
      </c>
    </row>
    <row r="142" spans="4:15" ht="20.100000000000001" customHeight="1" x14ac:dyDescent="0.25">
      <c r="D142" s="1" t="str">
        <f>TEXT(EDATE('Input - Site'!$E$12,11), "mmmm yyyy")</f>
        <v>December 2024</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112</v>
      </c>
    </row>
    <row r="143" spans="4:15" ht="20.100000000000001" customHeight="1" x14ac:dyDescent="0.25"/>
    <row r="144" spans="4:15" ht="20.100000000000001" customHeight="1" x14ac:dyDescent="0.25"/>
    <row r="145" spans="4:15" ht="20.100000000000001" customHeight="1" x14ac:dyDescent="0.25">
      <c r="D145" s="47" t="s">
        <v>83</v>
      </c>
      <c r="K145" s="2"/>
      <c r="L145" s="2"/>
      <c r="M145" s="2"/>
      <c r="N145" s="2"/>
      <c r="O145" s="2"/>
    </row>
    <row r="146" spans="4:15" ht="20.100000000000001" customHeight="1" x14ac:dyDescent="0.25">
      <c r="D146" s="61" t="s">
        <v>140</v>
      </c>
      <c r="E146" s="61" t="s">
        <v>103</v>
      </c>
      <c r="F146" s="61" t="s">
        <v>102</v>
      </c>
      <c r="G146" s="61" t="s">
        <v>126</v>
      </c>
      <c r="H146" s="61" t="s">
        <v>127</v>
      </c>
      <c r="I146" s="61" t="s">
        <v>128</v>
      </c>
      <c r="J146" s="61" t="s">
        <v>129</v>
      </c>
      <c r="K146" s="61" t="s">
        <v>130</v>
      </c>
      <c r="L146" s="61" t="s">
        <v>131</v>
      </c>
      <c r="M146" s="61" t="s">
        <v>132</v>
      </c>
      <c r="N146" s="61" t="s">
        <v>133</v>
      </c>
    </row>
    <row r="147" spans="4:15" ht="20.100000000000001" customHeight="1" x14ac:dyDescent="0.25">
      <c r="D147" s="1" t="s">
        <v>134</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112</v>
      </c>
    </row>
    <row r="148" spans="4:15" ht="20.100000000000001" customHeight="1" x14ac:dyDescent="0.25">
      <c r="D148" s="1" t="s">
        <v>135</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112</v>
      </c>
    </row>
    <row r="149" spans="4:15" ht="20.100000000000001" customHeight="1" x14ac:dyDescent="0.25">
      <c r="D149" s="1" t="s">
        <v>136</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112</v>
      </c>
    </row>
    <row r="150" spans="4:15" ht="20.100000000000001" customHeight="1" x14ac:dyDescent="0.25">
      <c r="D150" s="1" t="s">
        <v>137</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112</v>
      </c>
    </row>
    <row r="151" spans="4:15" ht="20.100000000000001" customHeight="1" x14ac:dyDescent="0.25"/>
    <row r="152" spans="4:15" ht="20.100000000000001" customHeight="1" x14ac:dyDescent="0.25">
      <c r="D152" s="61" t="s">
        <v>141</v>
      </c>
      <c r="E152" s="61" t="s">
        <v>103</v>
      </c>
      <c r="F152" s="61" t="s">
        <v>102</v>
      </c>
      <c r="G152" s="61" t="s">
        <v>126</v>
      </c>
      <c r="H152" s="61" t="s">
        <v>127</v>
      </c>
      <c r="I152" s="61" t="s">
        <v>128</v>
      </c>
      <c r="J152" s="61" t="s">
        <v>129</v>
      </c>
      <c r="K152" s="61" t="s">
        <v>130</v>
      </c>
      <c r="L152" s="61" t="s">
        <v>131</v>
      </c>
      <c r="M152" s="61" t="s">
        <v>132</v>
      </c>
      <c r="N152" s="61" t="s">
        <v>133</v>
      </c>
    </row>
    <row r="153" spans="4:15" ht="20.100000000000001" customHeight="1" x14ac:dyDescent="0.25">
      <c r="D153" s="1" t="str">
        <f>TEXT('Input - Site'!$E$12, "mmmm yyyy")</f>
        <v>January 2024</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112</v>
      </c>
    </row>
    <row r="154" spans="4:15" ht="20.100000000000001" customHeight="1" x14ac:dyDescent="0.25">
      <c r="D154" s="1" t="str">
        <f>TEXT(EDATE('Input - Site'!$E$12,1), "mmmm yyyy")</f>
        <v>February 2024</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112</v>
      </c>
    </row>
    <row r="155" spans="4:15" ht="20.100000000000001" customHeight="1" x14ac:dyDescent="0.25">
      <c r="D155" s="1" t="str">
        <f>TEXT(EDATE('Input - Site'!$E$12,2), "mmmm yyyy")</f>
        <v>March 2024</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112</v>
      </c>
    </row>
    <row r="156" spans="4:15" ht="20.100000000000001" customHeight="1" x14ac:dyDescent="0.25">
      <c r="D156" s="1" t="str">
        <f>TEXT(EDATE('Input - Site'!$E$12,3), "mmmm yyyy")</f>
        <v>April 2024</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112</v>
      </c>
    </row>
    <row r="157" spans="4:15" ht="20.100000000000001" customHeight="1" x14ac:dyDescent="0.25">
      <c r="D157" s="1" t="str">
        <f>TEXT(EDATE('Input - Site'!$E$12,4), "mmmm yyyy")</f>
        <v>May 2024</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112</v>
      </c>
    </row>
    <row r="158" spans="4:15" ht="20.100000000000001" customHeight="1" x14ac:dyDescent="0.25">
      <c r="D158" s="1" t="str">
        <f>TEXT(EDATE('Input - Site'!$E$12,5), "mmmm yyyy")</f>
        <v>June 2024</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112</v>
      </c>
    </row>
    <row r="159" spans="4:15" ht="20.100000000000001" customHeight="1" x14ac:dyDescent="0.25">
      <c r="D159" s="1" t="str">
        <f>TEXT(EDATE('Input - Site'!$E$12,6), "mmmm yyyy")</f>
        <v>July 2024</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112</v>
      </c>
    </row>
    <row r="160" spans="4:15" ht="20.100000000000001" customHeight="1" x14ac:dyDescent="0.25">
      <c r="D160" s="1" t="str">
        <f>TEXT(EDATE('Input - Site'!$E$12,7), "mmmm yyyy")</f>
        <v>August 2024</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112</v>
      </c>
    </row>
    <row r="161" spans="4:15" ht="20.100000000000001" customHeight="1" x14ac:dyDescent="0.25">
      <c r="D161" s="1" t="str">
        <f>TEXT(EDATE('Input - Site'!$E$12,8), "mmmm yyyy")</f>
        <v>September 2024</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112</v>
      </c>
    </row>
    <row r="162" spans="4:15" ht="20.100000000000001" customHeight="1" x14ac:dyDescent="0.25">
      <c r="D162" s="1" t="str">
        <f>TEXT(EDATE('Input - Site'!$E$12,9), "mmmm yyyy")</f>
        <v>October 2024</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112</v>
      </c>
    </row>
    <row r="163" spans="4:15" ht="20.100000000000001" customHeight="1" x14ac:dyDescent="0.25">
      <c r="D163" s="1" t="str">
        <f>TEXT(EDATE('Input - Site'!$E$12,10), "mmmm yyyy")</f>
        <v>November 2024</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112</v>
      </c>
    </row>
    <row r="164" spans="4:15" ht="20.100000000000001" customHeight="1" x14ac:dyDescent="0.25">
      <c r="D164" s="1" t="str">
        <f>TEXT(EDATE('Input - Site'!$E$12,11), "mmmm yyyy")</f>
        <v>December 2024</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112</v>
      </c>
    </row>
    <row r="165" spans="4:15" ht="20.100000000000001" customHeight="1" x14ac:dyDescent="0.25">
      <c r="L165" s="2"/>
      <c r="M165" s="2"/>
      <c r="N165" s="2"/>
      <c r="O165" s="2"/>
    </row>
    <row r="166" spans="4:15" x14ac:dyDescent="0.25">
      <c r="L166" s="2"/>
      <c r="M166" s="2"/>
      <c r="N166" s="2"/>
      <c r="O166" s="2"/>
    </row>
    <row r="167" spans="4:15" ht="18.75" x14ac:dyDescent="0.25">
      <c r="D167" s="47" t="s">
        <v>219</v>
      </c>
      <c r="L167" s="2"/>
      <c r="M167" s="2"/>
      <c r="N167" s="2"/>
      <c r="O167" s="2"/>
    </row>
    <row r="169" spans="4:15" x14ac:dyDescent="0.25">
      <c r="D169" s="1" t="s">
        <v>220</v>
      </c>
      <c r="E169" s="38" t="s">
        <v>110</v>
      </c>
      <c r="F169" s="2" t="s">
        <v>8</v>
      </c>
      <c r="L169" s="2"/>
      <c r="M169" s="2"/>
      <c r="N169" s="2"/>
      <c r="O169" s="2"/>
    </row>
    <row r="171" spans="4:15" x14ac:dyDescent="0.25">
      <c r="D171" s="61" t="s">
        <v>16</v>
      </c>
      <c r="E171" s="61" t="s">
        <v>221</v>
      </c>
      <c r="L171" s="2"/>
      <c r="M171" s="2"/>
      <c r="N171" s="2"/>
      <c r="O171" s="2"/>
    </row>
    <row r="172" spans="4:15" x14ac:dyDescent="0.25">
      <c r="D172" s="1" t="s">
        <v>109</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14</v>
      </c>
      <c r="L172" s="2"/>
      <c r="M172" s="2"/>
      <c r="N172" s="2"/>
      <c r="O172" s="2"/>
    </row>
    <row r="173" spans="4:15" x14ac:dyDescent="0.25">
      <c r="D173" s="1" t="s">
        <v>222</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14</v>
      </c>
      <c r="L173" s="2"/>
      <c r="M173" s="2"/>
      <c r="N173" s="2"/>
      <c r="O173" s="2"/>
    </row>
    <row r="174" spans="4:15" x14ac:dyDescent="0.25">
      <c r="L174" s="2"/>
      <c r="M174" s="2"/>
      <c r="N174" s="2"/>
      <c r="O174" s="2"/>
    </row>
    <row r="176" spans="4:15" x14ac:dyDescent="0.25">
      <c r="D176" s="1" t="s">
        <v>232</v>
      </c>
      <c r="E176" s="38" t="s">
        <v>235</v>
      </c>
      <c r="F176" s="2" t="s">
        <v>8</v>
      </c>
      <c r="L176" s="2"/>
      <c r="M176" s="2"/>
      <c r="N176" s="2"/>
      <c r="O176" s="2"/>
    </row>
    <row r="177" spans="5:6" x14ac:dyDescent="0.25">
      <c r="E177" s="38" t="s">
        <v>93</v>
      </c>
      <c r="F177" s="2" t="s">
        <v>8</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zoomScale="85" zoomScaleNormal="85" workbookViewId="0">
      <selection activeCell="A14" sqref="A14"/>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256</v>
      </c>
    </row>
    <row r="2" spans="1:35" s="9" customFormat="1" ht="20.100000000000001" customHeight="1" x14ac:dyDescent="0.25"/>
    <row r="3" spans="1:35" ht="20.100000000000001" customHeight="1" x14ac:dyDescent="0.25">
      <c r="A3" s="17" t="str">
        <f>HYPERLINK("#'Home'!A1", "Home")</f>
        <v>Home</v>
      </c>
      <c r="C3" s="4"/>
      <c r="D3" s="4" t="s">
        <v>84</v>
      </c>
      <c r="E3" s="4"/>
      <c r="F3" s="4"/>
      <c r="G3" s="4"/>
      <c r="H3" s="4"/>
      <c r="I3" s="4"/>
      <c r="J3" s="4"/>
      <c r="K3" s="4"/>
      <c r="L3" s="4"/>
      <c r="M3" s="4"/>
      <c r="N3" s="4"/>
      <c r="O3" s="4"/>
      <c r="P3" s="4"/>
      <c r="Q3" s="4"/>
      <c r="R3" s="4"/>
      <c r="T3" s="4"/>
      <c r="U3" s="4" t="s">
        <v>85</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
        <v>270</v>
      </c>
    </row>
    <row r="6" spans="1:35" ht="20.100000000000001" customHeight="1" x14ac:dyDescent="0.25">
      <c r="A6" s="20" t="s">
        <v>1</v>
      </c>
      <c r="D6" s="5" t="s">
        <v>271</v>
      </c>
    </row>
    <row r="7" spans="1:35" ht="20.100000000000001" customHeight="1" x14ac:dyDescent="0.25">
      <c r="A7" s="17" t="str">
        <f>HYPERLINK("#'Input - Site'!A1", "Site")</f>
        <v>Site</v>
      </c>
      <c r="D7" s="13"/>
      <c r="E7" s="13" t="s">
        <v>253</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60</v>
      </c>
      <c r="D10" s="52" t="s">
        <v>23</v>
      </c>
      <c r="E10" s="1" t="s">
        <v>272</v>
      </c>
    </row>
    <row r="11" spans="1:35" ht="20.100000000000001" customHeight="1" x14ac:dyDescent="0.25">
      <c r="A11" s="121" t="str">
        <f>HYPERLINK("#'3.2.1.1-2 Enteric Methane'!A1", "3.2.1.1-2 Enteric Methane")</f>
        <v>3.2.1.1-2 Enteric Methane</v>
      </c>
      <c r="D11" s="52" t="s">
        <v>15</v>
      </c>
      <c r="E11" s="53" t="s">
        <v>112</v>
      </c>
    </row>
    <row r="12" spans="1:35" ht="20.100000000000001" customHeight="1" x14ac:dyDescent="0.25">
      <c r="A12" s="17"/>
    </row>
    <row r="13" spans="1:35" ht="20.100000000000001" customHeight="1" x14ac:dyDescent="0.25">
      <c r="A13" s="18" t="s">
        <v>2</v>
      </c>
      <c r="D13" s="112" t="s">
        <v>273</v>
      </c>
      <c r="E13" s="117" t="s">
        <v>274</v>
      </c>
      <c r="F13" s="118"/>
      <c r="G13" s="116"/>
      <c r="H13" s="112" t="s">
        <v>112</v>
      </c>
      <c r="I13" s="114" t="s">
        <v>281</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
        <v>275</v>
      </c>
      <c r="E14" s="117" t="s">
        <v>276</v>
      </c>
      <c r="F14" s="118"/>
      <c r="G14" s="116"/>
      <c r="H14" s="112" t="s">
        <v>112</v>
      </c>
      <c r="I14" s="113" t="s">
        <v>282</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
        <v>277</v>
      </c>
      <c r="E15" s="117" t="s">
        <v>278</v>
      </c>
      <c r="F15" s="118"/>
      <c r="G15" s="116"/>
      <c r="H15" s="112" t="s">
        <v>112</v>
      </c>
      <c r="I15" s="113" t="s">
        <v>282</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
        <v>279</v>
      </c>
      <c r="E16" s="117" t="s">
        <v>280</v>
      </c>
      <c r="F16" s="118"/>
      <c r="G16" s="116"/>
      <c r="H16" s="112"/>
      <c r="I16" s="114" t="s">
        <v>281</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191</v>
      </c>
    </row>
    <row r="19" spans="1:34" ht="20.100000000000001" customHeight="1" x14ac:dyDescent="0.25">
      <c r="A19" s="17"/>
      <c r="D19" s="95" t="s">
        <v>214</v>
      </c>
      <c r="U19" s="96" t="s">
        <v>210</v>
      </c>
    </row>
    <row r="20" spans="1:34" ht="20.100000000000001" customHeight="1" x14ac:dyDescent="0.25">
      <c r="A20" s="17"/>
      <c r="D20" s="50" t="s">
        <v>145</v>
      </c>
      <c r="E20" s="115" t="s">
        <v>127</v>
      </c>
      <c r="F20" s="115" t="s">
        <v>128</v>
      </c>
      <c r="G20" s="115" t="s">
        <v>129</v>
      </c>
      <c r="U20" s="95" t="s">
        <v>211</v>
      </c>
    </row>
    <row r="21" spans="1:34" ht="20.100000000000001" customHeight="1" x14ac:dyDescent="0.25">
      <c r="D21" s="51" t="str">
        <f>'Input - Pasture Beef'!$E$104</f>
        <v>Winter</v>
      </c>
      <c r="E21" s="51">
        <f>'Input - Pasture Beef'!$E$107</f>
        <v>0.9</v>
      </c>
      <c r="F21" s="51">
        <f>'Input - Pasture Beef'!$F$107</f>
        <v>0.5</v>
      </c>
      <c r="G21" s="51">
        <f>'Input - Pasture Beef'!$G$107</f>
        <v>0.5</v>
      </c>
      <c r="H21" s="2" t="s">
        <v>79</v>
      </c>
      <c r="U21" s="50" t="s">
        <v>104</v>
      </c>
      <c r="V21" s="115" t="s">
        <v>127</v>
      </c>
      <c r="W21" s="115" t="s">
        <v>128</v>
      </c>
      <c r="X21" s="115" t="s">
        <v>129</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79</v>
      </c>
    </row>
    <row r="23" spans="1:34" ht="20.100000000000001" customHeight="1" x14ac:dyDescent="0.25">
      <c r="A23" s="17"/>
      <c r="D23" s="96" t="s">
        <v>201</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202</v>
      </c>
      <c r="Y24" s="2"/>
    </row>
    <row r="25" spans="1:34" ht="20.100000000000001" customHeight="1" x14ac:dyDescent="0.25">
      <c r="D25" s="50" t="s">
        <v>145</v>
      </c>
      <c r="E25" s="50" t="s">
        <v>207</v>
      </c>
      <c r="F25" s="50" t="s">
        <v>249</v>
      </c>
      <c r="G25" s="50" t="s">
        <v>103</v>
      </c>
      <c r="H25" s="50" t="s">
        <v>102</v>
      </c>
      <c r="I25" s="50" t="s">
        <v>126</v>
      </c>
      <c r="J25" s="50" t="s">
        <v>127</v>
      </c>
      <c r="K25" s="50" t="s">
        <v>128</v>
      </c>
      <c r="L25" s="50" t="s">
        <v>129</v>
      </c>
      <c r="M25" s="50" t="s">
        <v>130</v>
      </c>
      <c r="N25" s="50" t="s">
        <v>131</v>
      </c>
      <c r="O25" s="50" t="s">
        <v>132</v>
      </c>
      <c r="P25" s="50" t="s">
        <v>133</v>
      </c>
      <c r="U25" s="96" t="s">
        <v>212</v>
      </c>
    </row>
    <row r="26" spans="1:34" ht="20.100000000000001" customHeight="1" x14ac:dyDescent="0.25">
      <c r="D26" s="51" t="s">
        <v>134</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f>IFERROR(((E$21 * $F26) + (1 - E$21)), 1)</f>
        <v>1.0900000000000001</v>
      </c>
      <c r="K26" s="51">
        <f>IFERROR(((F$21 * $F26) + (1 - F$21)), 1)</f>
        <v>1.05</v>
      </c>
      <c r="L26" s="51">
        <f>IFERROR(((G$21 * $F26) + (1 - G$21)), 1)</f>
        <v>1.05</v>
      </c>
      <c r="M26" s="51">
        <v>1</v>
      </c>
      <c r="N26" s="51">
        <v>1</v>
      </c>
      <c r="O26" s="51">
        <v>1</v>
      </c>
      <c r="P26" s="51">
        <v>1</v>
      </c>
      <c r="Q26" s="2" t="str">
        <f>$E$11</f>
        <v>fraction</v>
      </c>
      <c r="U26" s="95" t="s">
        <v>213</v>
      </c>
    </row>
    <row r="27" spans="1:34" ht="20.100000000000001" customHeight="1" x14ac:dyDescent="0.25">
      <c r="D27" s="51" t="s">
        <v>135</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f>IFERROR(((E$21 * $F27) + (1 - E$21)), 1)</f>
        <v>1</v>
      </c>
      <c r="K27" s="51">
        <f>IFERROR(((F$21 * $F27) + (1 - F$21)), 1)</f>
        <v>1</v>
      </c>
      <c r="L27" s="51">
        <f>IFERROR(((G$21 * $F27) + (1 - G$21)), 1)</f>
        <v>1</v>
      </c>
      <c r="M27" s="51">
        <v>1</v>
      </c>
      <c r="N27" s="51">
        <v>1</v>
      </c>
      <c r="O27" s="51">
        <v>1</v>
      </c>
      <c r="P27" s="51">
        <v>1</v>
      </c>
      <c r="Q27" s="2" t="str">
        <f t="shared" ref="Q27:Q29" si="0">$E$11</f>
        <v>fraction</v>
      </c>
      <c r="U27" s="50" t="s">
        <v>104</v>
      </c>
      <c r="V27" s="50" t="s">
        <v>207</v>
      </c>
      <c r="W27" s="50" t="s">
        <v>249</v>
      </c>
      <c r="X27" s="50" t="s">
        <v>103</v>
      </c>
      <c r="Y27" s="50" t="s">
        <v>102</v>
      </c>
      <c r="Z27" s="50" t="s">
        <v>126</v>
      </c>
      <c r="AA27" s="50" t="s">
        <v>127</v>
      </c>
      <c r="AB27" s="50" t="s">
        <v>128</v>
      </c>
      <c r="AC27" s="50" t="s">
        <v>129</v>
      </c>
      <c r="AD27" s="50" t="s">
        <v>130</v>
      </c>
      <c r="AE27" s="50" t="s">
        <v>131</v>
      </c>
      <c r="AF27" s="50" t="s">
        <v>132</v>
      </c>
      <c r="AG27" s="50" t="s">
        <v>133</v>
      </c>
    </row>
    <row r="28" spans="1:34" ht="20.100000000000001" customHeight="1" x14ac:dyDescent="0.25">
      <c r="D28" s="51" t="s">
        <v>136</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f>IFERROR(((E$21 * $F28) + (1 - E$21)), 1)</f>
        <v>1</v>
      </c>
      <c r="K28" s="51">
        <f>IFERROR(((F$21 * $F28) + (1 - F$21)), 1)</f>
        <v>1</v>
      </c>
      <c r="L28" s="51">
        <f>IFERROR(((G$21 * $F28) + (1 - G$21)),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f>IFERROR(((V$22 * $W28) + (1 - V$22)), 1)</f>
        <v>1.0750000000000002</v>
      </c>
      <c r="AB28" s="51">
        <f>IFERROR(((W$22 * $W28) + (1 - W$22)), 1)</f>
        <v>1.0750000000000002</v>
      </c>
      <c r="AC28" s="51">
        <f>IFERROR(((X$22 * $W28) + (1 - X$22)), 1)</f>
        <v>1.0750000000000002</v>
      </c>
      <c r="AD28" s="51">
        <v>1</v>
      </c>
      <c r="AE28" s="51">
        <v>1</v>
      </c>
      <c r="AF28" s="51">
        <v>1</v>
      </c>
      <c r="AG28" s="51">
        <v>1</v>
      </c>
      <c r="AH28" s="2" t="str">
        <f>$E$11</f>
        <v>fraction</v>
      </c>
    </row>
    <row r="29" spans="1:34" ht="20.100000000000001" customHeight="1" x14ac:dyDescent="0.25">
      <c r="D29" s="51" t="s">
        <v>137</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f>IFERROR(((E$21 * $F29) + (1 - E$21)), 1)</f>
        <v>1.27</v>
      </c>
      <c r="K29" s="51">
        <f>IFERROR(((F$21 * $F29) + (1 - F$21)), 1)</f>
        <v>1.1499999999999999</v>
      </c>
      <c r="L29" s="51">
        <f>IFERROR(((G$21 * $F29) + (1 - G$21)),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f>IFERROR(((V$22 * $W29) + (1 - V$22)), 1)</f>
        <v>1</v>
      </c>
      <c r="AB29" s="51">
        <f>IFERROR(((W$22 * $W29) + (1 - W$22)), 1)</f>
        <v>1</v>
      </c>
      <c r="AC29" s="51">
        <f>IFERROR(((X$22 * $W29) + (1 - X$22)),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f>IFERROR(((V$22 * $W30) + (1 - V$22)), 1)</f>
        <v>1</v>
      </c>
      <c r="AB30" s="51">
        <f>IFERROR(((W$22 * $W30) + (1 - W$22)), 1)</f>
        <v>1</v>
      </c>
      <c r="AC30" s="51">
        <f>IFERROR(((X$22 * $W30) + (1 - X$22)),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f>IFERROR(((V$22 * $W31) + (1 - V$22)), 1)</f>
        <v>1</v>
      </c>
      <c r="AB31" s="51">
        <f>IFERROR(((W$22 * $W31) + (1 - W$22)), 1)</f>
        <v>1</v>
      </c>
      <c r="AC31" s="51">
        <f>IFERROR(((X$22 * $W31) + (1 - X$22)),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f>IFERROR(((V$22 * $W32) + (1 - V$22)), 1)</f>
        <v>1</v>
      </c>
      <c r="AB32" s="51">
        <f>IFERROR(((W$22 * $W32) + (1 - W$22)), 1)</f>
        <v>1</v>
      </c>
      <c r="AC32" s="51">
        <f>IFERROR(((X$22 * $W32) + (1 - X$22)), 1)</f>
        <v>1</v>
      </c>
      <c r="AD32" s="51">
        <v>1</v>
      </c>
      <c r="AE32" s="51">
        <v>1</v>
      </c>
      <c r="AF32" s="51">
        <v>1</v>
      </c>
      <c r="AG32" s="51">
        <v>1</v>
      </c>
      <c r="AH32" s="2" t="str">
        <f t="shared" si="1"/>
        <v>fraction</v>
      </c>
    </row>
    <row r="33" spans="4:34" ht="20.100000000000001" customHeight="1" x14ac:dyDescent="0.25">
      <c r="D33" s="6" t="s">
        <v>283</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f>IFERROR(((V$22 * $W33) + (1 - V$22)), 1)</f>
        <v>1</v>
      </c>
      <c r="AB33" s="51">
        <f>IFERROR(((W$22 * $W33) + (1 - W$22)), 1)</f>
        <v>1</v>
      </c>
      <c r="AC33" s="51">
        <f>IFERROR(((X$22 * $W33) + (1 - X$22)), 1)</f>
        <v>1</v>
      </c>
      <c r="AD33" s="51">
        <v>1</v>
      </c>
      <c r="AE33" s="51">
        <v>1</v>
      </c>
      <c r="AF33" s="51">
        <v>1</v>
      </c>
      <c r="AG33" s="51">
        <v>1</v>
      </c>
      <c r="AH33" s="2" t="str">
        <f t="shared" si="1"/>
        <v>fraction</v>
      </c>
    </row>
    <row r="34" spans="4:34" ht="20.100000000000001" customHeight="1" x14ac:dyDescent="0.25">
      <c r="D34" s="5" t="s">
        <v>284</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f>IFERROR(((V$22 * $W34) + (1 - V$22)), 1)</f>
        <v>1</v>
      </c>
      <c r="AB34" s="51">
        <f>IFERROR(((W$22 * $W34) + (1 - W$22)), 1)</f>
        <v>1</v>
      </c>
      <c r="AC34" s="51">
        <f>IFERROR(((X$22 * $W34) + (1 - X$22)), 1)</f>
        <v>1</v>
      </c>
      <c r="AD34" s="51">
        <v>1</v>
      </c>
      <c r="AE34" s="51">
        <v>1</v>
      </c>
      <c r="AF34" s="51">
        <v>1</v>
      </c>
      <c r="AG34" s="51">
        <v>1</v>
      </c>
      <c r="AH34" s="2" t="str">
        <f t="shared" si="1"/>
        <v>fraction</v>
      </c>
    </row>
    <row r="35" spans="4:34" ht="20.100000000000001" customHeight="1" x14ac:dyDescent="0.25">
      <c r="D35" s="13"/>
      <c r="E35" s="13"/>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f>IFERROR(((V$22 * $W35) + (1 - V$22)), 1)</f>
        <v>1.2250000000000001</v>
      </c>
      <c r="AB35" s="51">
        <f>IFERROR(((W$22 * $W35) + (1 - W$22)), 1)</f>
        <v>1.2250000000000001</v>
      </c>
      <c r="AC35" s="51">
        <f>IFERROR(((X$22 * $W35) + (1 - X$22)),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f>IFERROR(((V$22 * $W36) + (1 - V$22)), 1)</f>
        <v>1.2250000000000001</v>
      </c>
      <c r="AB36" s="51">
        <f>IFERROR(((W$22 * $W36) + (1 - W$22)), 1)</f>
        <v>1.2250000000000001</v>
      </c>
      <c r="AC36" s="51">
        <f>IFERROR(((X$22 * $W36) + (1 - X$22)),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f>IFERROR(((V$22 * $W37) + (1 - V$22)), 1)</f>
        <v>1.2250000000000001</v>
      </c>
      <c r="AB37" s="51">
        <f>IFERROR(((W$22 * $W37) + (1 - W$22)), 1)</f>
        <v>1.2250000000000001</v>
      </c>
      <c r="AC37" s="51">
        <f>IFERROR(((X$22 * $W37) + (1 - X$22)), 1)</f>
        <v>1.2250000000000001</v>
      </c>
      <c r="AD37" s="51">
        <v>1</v>
      </c>
      <c r="AE37" s="51">
        <v>1</v>
      </c>
      <c r="AF37" s="51">
        <v>1</v>
      </c>
      <c r="AG37" s="51">
        <v>1</v>
      </c>
      <c r="AH37" s="2" t="str">
        <f t="shared" si="1"/>
        <v>fraction</v>
      </c>
    </row>
    <row r="38" spans="4:34" ht="20.100000000000001" customHeight="1" x14ac:dyDescent="0.25">
      <c r="D38" s="52" t="s">
        <v>23</v>
      </c>
      <c r="E38" s="1" t="s">
        <v>285</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f>IFERROR(((V$22 * $W38) + (1 - V$22)), 1)</f>
        <v>1.0750000000000002</v>
      </c>
      <c r="AB38" s="51">
        <f>IFERROR(((W$22 * $W38) + (1 - W$22)), 1)</f>
        <v>1.0750000000000002</v>
      </c>
      <c r="AC38" s="51">
        <f>IFERROR(((X$22 * $W38) + (1 - X$22)), 1)</f>
        <v>1.0750000000000002</v>
      </c>
      <c r="AD38" s="51">
        <v>1</v>
      </c>
      <c r="AE38" s="51">
        <v>1</v>
      </c>
      <c r="AF38" s="51">
        <v>1</v>
      </c>
      <c r="AG38" s="51">
        <v>1</v>
      </c>
      <c r="AH38" s="2" t="str">
        <f t="shared" si="1"/>
        <v>fraction</v>
      </c>
    </row>
    <row r="39" spans="4:34" ht="20.100000000000001" customHeight="1" x14ac:dyDescent="0.25">
      <c r="D39" s="52" t="s">
        <v>15</v>
      </c>
      <c r="E39" s="53" t="s">
        <v>286</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f>IFERROR(((V$22 * $W39) + (1 - V$22)), 1)</f>
        <v>1.0750000000000002</v>
      </c>
      <c r="AB39" s="51">
        <f>IFERROR(((W$22 * $W39) + (1 - W$22)), 1)</f>
        <v>1.0750000000000002</v>
      </c>
      <c r="AC39" s="51">
        <f>IFERROR(((X$22 * $W39) + (1 - X$22)),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
        <v>287</v>
      </c>
      <c r="E41" s="117" t="s">
        <v>288</v>
      </c>
      <c r="F41" s="116"/>
      <c r="G41" s="112" t="s">
        <v>292</v>
      </c>
      <c r="H41" s="114" t="s">
        <v>281</v>
      </c>
      <c r="I41" s="111" t="str" cm="1">
        <f t="array" aca="1" ref="I41" ca="1">HYPERLINK(Common_InputFunctions.Utility_SourceHyperlink($D$45), $D$45)</f>
        <v>M1_Table_W_j_k_l</v>
      </c>
      <c r="U41" s="96" t="s">
        <v>255</v>
      </c>
    </row>
    <row r="42" spans="4:34" ht="20.100000000000001" customHeight="1" x14ac:dyDescent="0.25">
      <c r="D42" s="112" t="s">
        <v>289</v>
      </c>
      <c r="E42" s="117" t="s">
        <v>290</v>
      </c>
      <c r="F42" s="116"/>
      <c r="G42" s="112" t="s">
        <v>106</v>
      </c>
      <c r="H42" s="114" t="s">
        <v>281</v>
      </c>
      <c r="I42" s="111" t="str" cm="1">
        <f t="array" aca="1" ref="I42" ca="1">HYPERLINK(Common_InputFunctions.Utility_SourceHyperlink($D$53), $D$53)</f>
        <v>M1_Table_LWG_j_k_l</v>
      </c>
      <c r="U42" s="95" t="s">
        <v>215</v>
      </c>
    </row>
    <row r="43" spans="4:34" ht="20.100000000000001" customHeight="1" x14ac:dyDescent="0.25">
      <c r="D43" s="112" t="s">
        <v>272</v>
      </c>
      <c r="E43" s="117" t="s">
        <v>291</v>
      </c>
      <c r="F43" s="116"/>
      <c r="G43" s="112" t="s">
        <v>106</v>
      </c>
      <c r="H43" s="113" t="s">
        <v>293</v>
      </c>
      <c r="I43" s="111" t="str" cm="1">
        <f t="array" aca="1" ref="I43" ca="1">HYPERLINK(Common_InputFunctions.Utility_SourceHyperlink($D$23), $D$23)</f>
        <v>M1_Table_MA_j_k-4-5</v>
      </c>
      <c r="U43" s="50" t="s">
        <v>104</v>
      </c>
      <c r="V43" s="115" t="s">
        <v>103</v>
      </c>
      <c r="W43" s="115" t="s">
        <v>102</v>
      </c>
      <c r="X43" s="115" t="s">
        <v>126</v>
      </c>
      <c r="Y43" s="115" t="s">
        <v>127</v>
      </c>
      <c r="Z43" s="115" t="s">
        <v>128</v>
      </c>
      <c r="AA43" s="115" t="s">
        <v>129</v>
      </c>
      <c r="AB43" s="115" t="s">
        <v>130</v>
      </c>
      <c r="AC43" s="115" t="s">
        <v>131</v>
      </c>
      <c r="AD43" s="115" t="s">
        <v>132</v>
      </c>
      <c r="AE43" s="115" t="s">
        <v>133</v>
      </c>
      <c r="AF43" s="2"/>
    </row>
    <row r="44" spans="4:34" ht="20.100000000000001" customHeight="1" x14ac:dyDescent="0.25">
      <c r="U44" s="51" t="str">
        <f>TEXT('Input - Site'!$E$12, "mmmm yyyy")</f>
        <v>January 2024</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105</v>
      </c>
    </row>
    <row r="45" spans="4:34" ht="20.100000000000001" customHeight="1" x14ac:dyDescent="0.25">
      <c r="D45" s="96" t="s">
        <v>230</v>
      </c>
      <c r="U45" s="51" t="str">
        <f>TEXT(EDATE('Input - Site'!$E$12,1), "mmmm yyyy")</f>
        <v>February 2024</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105</v>
      </c>
    </row>
    <row r="46" spans="4:34" ht="20.100000000000001" customHeight="1" x14ac:dyDescent="0.25">
      <c r="D46" s="95" t="s">
        <v>205</v>
      </c>
      <c r="U46" s="51" t="str">
        <f>TEXT(EDATE('Input - Site'!$E$12,2), "mmmm yyyy")</f>
        <v>March 2024</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105</v>
      </c>
    </row>
    <row r="47" spans="4:34" ht="20.100000000000001" customHeight="1" x14ac:dyDescent="0.25">
      <c r="D47" s="50" t="s">
        <v>145</v>
      </c>
      <c r="E47" s="115" t="s">
        <v>103</v>
      </c>
      <c r="F47" s="115" t="s">
        <v>102</v>
      </c>
      <c r="G47" s="115" t="s">
        <v>126</v>
      </c>
      <c r="H47" s="115" t="s">
        <v>127</v>
      </c>
      <c r="I47" s="115" t="s">
        <v>128</v>
      </c>
      <c r="J47" s="115" t="s">
        <v>129</v>
      </c>
      <c r="K47" s="115" t="s">
        <v>130</v>
      </c>
      <c r="L47" s="115" t="s">
        <v>131</v>
      </c>
      <c r="M47" s="115" t="s">
        <v>132</v>
      </c>
      <c r="N47" s="115" t="s">
        <v>133</v>
      </c>
      <c r="U47" s="51" t="str">
        <f>TEXT(EDATE('Input - Site'!$E$12,3), "mmmm yyyy")</f>
        <v>April 2024</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105</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105</v>
      </c>
      <c r="P48" s="2"/>
      <c r="Q48" s="2"/>
      <c r="U48" s="51" t="str">
        <f>TEXT(EDATE('Input - Site'!$E$12,4), "mmmm yyyy")</f>
        <v>May 2024</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105</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105</v>
      </c>
      <c r="P49" s="2"/>
      <c r="Q49" s="2"/>
      <c r="U49" s="51" t="str">
        <f>TEXT(EDATE('Input - Site'!$E$12,5), "mmmm yyyy")</f>
        <v>June 2024</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105</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105</v>
      </c>
      <c r="P50" s="2"/>
      <c r="Q50" s="2"/>
      <c r="U50" s="51" t="str">
        <f>TEXT(EDATE('Input - Site'!$E$12,6), "mmmm yyyy")</f>
        <v>July 2024</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105</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105</v>
      </c>
      <c r="P51" s="2"/>
      <c r="Q51" s="2"/>
      <c r="U51" s="51" t="str">
        <f>TEXT(EDATE('Input - Site'!$E$12,7), "mmmm yyyy")</f>
        <v>August 2024</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105</v>
      </c>
      <c r="AG51" s="2"/>
      <c r="AH51" s="2"/>
    </row>
    <row r="52" spans="4:34" ht="20.100000000000001" customHeight="1" x14ac:dyDescent="0.25">
      <c r="U52" s="51" t="str">
        <f>TEXT(EDATE('Input - Site'!$E$12,8), "mmmm yyyy")</f>
        <v>September 2024</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105</v>
      </c>
      <c r="AG52" s="2"/>
      <c r="AH52" s="2"/>
    </row>
    <row r="53" spans="4:34" ht="20.100000000000001" customHeight="1" x14ac:dyDescent="0.25">
      <c r="D53" s="96" t="s">
        <v>203</v>
      </c>
      <c r="U53" s="51" t="str">
        <f>TEXT(EDATE('Input - Site'!$E$12,9), "mmmm yyyy")</f>
        <v>October 2024</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105</v>
      </c>
      <c r="AG53" s="2"/>
      <c r="AH53" s="2"/>
    </row>
    <row r="54" spans="4:34" ht="20.100000000000001" customHeight="1" x14ac:dyDescent="0.25">
      <c r="D54" s="95" t="s">
        <v>204</v>
      </c>
      <c r="U54" s="51" t="str">
        <f>TEXT(EDATE('Input - Site'!$E$12,10), "mmmm yyyy")</f>
        <v>November 2024</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105</v>
      </c>
      <c r="AG54" s="2"/>
      <c r="AH54" s="2"/>
    </row>
    <row r="55" spans="4:34" ht="20.100000000000001" customHeight="1" x14ac:dyDescent="0.25">
      <c r="D55" s="50" t="s">
        <v>145</v>
      </c>
      <c r="E55" s="115" t="s">
        <v>103</v>
      </c>
      <c r="F55" s="115" t="s">
        <v>102</v>
      </c>
      <c r="G55" s="115" t="s">
        <v>126</v>
      </c>
      <c r="H55" s="115" t="s">
        <v>127</v>
      </c>
      <c r="I55" s="115" t="s">
        <v>128</v>
      </c>
      <c r="J55" s="115" t="s">
        <v>129</v>
      </c>
      <c r="K55" s="115" t="s">
        <v>130</v>
      </c>
      <c r="L55" s="115" t="s">
        <v>131</v>
      </c>
      <c r="M55" s="115" t="s">
        <v>132</v>
      </c>
      <c r="N55" s="115" t="s">
        <v>133</v>
      </c>
      <c r="U55" s="51" t="str">
        <f>TEXT(EDATE('Input - Site'!$E$12,11), "mmmm yyyy")</f>
        <v>December 2024</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105</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105</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105</v>
      </c>
      <c r="P57" s="2"/>
      <c r="Q57" s="2"/>
      <c r="U57" s="96" t="s">
        <v>216</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105</v>
      </c>
      <c r="P58" s="2"/>
      <c r="Q58" s="2"/>
      <c r="U58" s="95" t="s">
        <v>217</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105</v>
      </c>
      <c r="P59" s="2"/>
      <c r="Q59" s="2"/>
      <c r="U59" s="50" t="s">
        <v>104</v>
      </c>
      <c r="V59" s="115" t="s">
        <v>103</v>
      </c>
      <c r="W59" s="115" t="s">
        <v>102</v>
      </c>
      <c r="X59" s="115" t="s">
        <v>126</v>
      </c>
      <c r="Y59" s="115" t="s">
        <v>127</v>
      </c>
      <c r="Z59" s="115" t="s">
        <v>128</v>
      </c>
      <c r="AA59" s="115" t="s">
        <v>129</v>
      </c>
      <c r="AB59" s="115" t="s">
        <v>130</v>
      </c>
      <c r="AC59" s="115" t="s">
        <v>131</v>
      </c>
      <c r="AD59" s="115" t="s">
        <v>132</v>
      </c>
      <c r="AE59" s="115" t="s">
        <v>133</v>
      </c>
      <c r="AG59" s="2"/>
      <c r="AH59" s="2"/>
    </row>
    <row r="60" spans="4:34" ht="20.100000000000001" customHeight="1" x14ac:dyDescent="0.25">
      <c r="U60" s="51" t="str">
        <f>TEXT('Input - Site'!$E$12, "mmmm yyyy")</f>
        <v>January 2024</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106</v>
      </c>
      <c r="AG60" s="2"/>
      <c r="AH60" s="2"/>
    </row>
    <row r="61" spans="4:34" ht="20.100000000000001" customHeight="1" x14ac:dyDescent="0.25">
      <c r="D61" s="96" t="s">
        <v>206</v>
      </c>
      <c r="U61" s="51" t="str">
        <f>TEXT(EDATE('Input - Site'!$E$12,1), "mmmm yyyy")</f>
        <v>February 2024</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106</v>
      </c>
      <c r="AG61" s="2"/>
      <c r="AH61" s="2"/>
    </row>
    <row r="62" spans="4:34" ht="20.100000000000001" customHeight="1" x14ac:dyDescent="0.25">
      <c r="D62" s="95" t="s">
        <v>114</v>
      </c>
      <c r="U62" s="51" t="str">
        <f>TEXT(EDATE('Input - Site'!$E$12,2), "mmmm yyyy")</f>
        <v>March 2024</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106</v>
      </c>
      <c r="AG62" s="2"/>
      <c r="AH62" s="2"/>
    </row>
    <row r="63" spans="4:34" ht="20.100000000000001" customHeight="1" x14ac:dyDescent="0.25">
      <c r="D63" s="50" t="s">
        <v>145</v>
      </c>
      <c r="E63" s="50" t="s">
        <v>103</v>
      </c>
      <c r="F63" s="50" t="s">
        <v>102</v>
      </c>
      <c r="G63" s="50" t="s">
        <v>126</v>
      </c>
      <c r="H63" s="50" t="s">
        <v>127</v>
      </c>
      <c r="I63" s="50" t="s">
        <v>128</v>
      </c>
      <c r="J63" s="50" t="s">
        <v>129</v>
      </c>
      <c r="K63" s="50" t="s">
        <v>130</v>
      </c>
      <c r="L63" s="50" t="s">
        <v>131</v>
      </c>
      <c r="M63" s="50" t="s">
        <v>132</v>
      </c>
      <c r="N63" s="50" t="s">
        <v>133</v>
      </c>
      <c r="U63" s="51" t="str">
        <f>TEXT(EDATE('Input - Site'!$E$12,3), "mmmm yyyy")</f>
        <v>April 2024</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106</v>
      </c>
      <c r="AG63" s="2"/>
      <c r="AH63" s="2"/>
    </row>
    <row r="64" spans="4:34" ht="20.100000000000001" customHeight="1" x14ac:dyDescent="0.25">
      <c r="D64" s="51" t="s">
        <v>134</v>
      </c>
      <c r="E64" s="51">
        <f>((1.185 + 0.00454 * E48 - 0.0000026 * E48 ^ 2 + 0.315 * E56) ^ 2 * G26)</f>
        <v>8.6709047296000001</v>
      </c>
      <c r="F64" s="51">
        <f>((1.185 + 0.00454 * F48 - 0.0000026 * F48 ^ 2 + 0.315 * F56) ^ 2 * H26)</f>
        <v>12.246500250000002</v>
      </c>
      <c r="G64" s="51">
        <f>((1.185 + 0.00454 * G48 - 0.0000026 * G48 ^ 2 + 0.315 * G56) ^ 2 * I26)</f>
        <v>6.6089612241000006</v>
      </c>
      <c r="H64" s="51">
        <f>((1.185 + 0.00454 * H48 - 0.0000026 * H48 ^ 2 + 0.315 * H56) ^ 2 * J26)</f>
        <v>9.4536614511090029</v>
      </c>
      <c r="I64" s="51">
        <f>((1.185 + 0.00454 * I48 - 0.0000026 * I48 ^ 2 + 0.315 * I56) ^ 2 * K26)</f>
        <v>10.112646138000002</v>
      </c>
      <c r="J64" s="51">
        <f>((1.185 + 0.00454 * J48 - 0.0000026 * J48 ^ 2 + 0.315 * J56) ^ 2 * L26)</f>
        <v>10.112646138000002</v>
      </c>
      <c r="K64" s="51">
        <f>((1.185 + 0.00454 * K48 - 0.0000026 * K48 ^ 2 + 0.315 * K56) ^ 2 * M26)</f>
        <v>7.6192560899999977</v>
      </c>
      <c r="L64" s="51">
        <f>((1.185 + 0.00454 * L48 - 0.0000026 * L48 ^ 2 + 0.315 * L56) ^ 2 * N26)</f>
        <v>9.6824279555999979</v>
      </c>
      <c r="M64" s="51">
        <f>((1.185 + 0.00454 * M48 - 0.0000026 * M48 ^ 2 + 0.315 * M56) ^ 2 * O26)</f>
        <v>9.6824279555999979</v>
      </c>
      <c r="N64" s="51">
        <f>((1.185 + 0.00454 * N48 - 0.0000026 * N48 ^ 2 + 0.315 * N56) ^ 2 * P26)</f>
        <v>9.6824279555999979</v>
      </c>
      <c r="O64" s="2" t="str">
        <f>$E$39</f>
        <v>kg DM/head/day</v>
      </c>
      <c r="P64" s="2"/>
      <c r="Q64" s="2"/>
      <c r="U64" s="51" t="str">
        <f>TEXT(EDATE('Input - Site'!$E$12,4), "mmmm yyyy")</f>
        <v>May 2024</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106</v>
      </c>
    </row>
    <row r="65" spans="3:34" ht="20.100000000000001" customHeight="1" x14ac:dyDescent="0.25">
      <c r="D65" s="51" t="s">
        <v>135</v>
      </c>
      <c r="E65" s="51">
        <f>((1.185 + 0.00454 * E49 - 0.0000026 * E49 ^ 2 + 0.315 * E57) ^ 2 * G27)</f>
        <v>7.1468536895999959</v>
      </c>
      <c r="F65" s="51">
        <f>((1.185 + 0.00454 * F49 - 0.0000026 * F49 ^ 2 + 0.315 * F57) ^ 2 * H27)</f>
        <v>9.4559940036000008</v>
      </c>
      <c r="G65" s="51">
        <f>((1.185 + 0.00454 * G49 - 0.0000026 * G49 ^ 2 + 0.315 * G57) ^ 2 * I27)</f>
        <v>6.010342559999998</v>
      </c>
      <c r="H65" s="51">
        <f>((1.185 + 0.00454 * H49 - 0.0000026 * H49 ^ 2 + 0.315 * H57) ^ 2 * J27)</f>
        <v>7.8705497025</v>
      </c>
      <c r="I65" s="51">
        <f>((1.185 + 0.00454 * I49 - 0.0000026 * I49 ^ 2 + 0.315 * I57) ^ 2 * K27)</f>
        <v>7.7928072335999978</v>
      </c>
      <c r="J65" s="51">
        <f>((1.185 + 0.00454 * J49 - 0.0000026 * J49 ^ 2 + 0.315 * J57) ^ 2 * L27)</f>
        <v>7.7928072335999978</v>
      </c>
      <c r="K65" s="51">
        <f>((1.185 + 0.00454 * K49 - 0.0000026 * K49 ^ 2 + 0.315 * K57) ^ 2 * M27)</f>
        <v>6.5876408896000003</v>
      </c>
      <c r="L65" s="51">
        <f>((1.185 + 0.00454 * L49 - 0.0000026 * L49 ^ 2 + 0.315 * L57) ^ 2 * N27)</f>
        <v>7.3430702361</v>
      </c>
      <c r="M65" s="51">
        <f>((1.185 + 0.00454 * M49 - 0.0000026 * M49 ^ 2 + 0.315 * M57) ^ 2 * O27)</f>
        <v>7.3430702361</v>
      </c>
      <c r="N65" s="51">
        <f>((1.185 + 0.00454 * N49 - 0.0000026 * N49 ^ 2 + 0.315 * N57) ^ 2 * P27)</f>
        <v>7.3430702361</v>
      </c>
      <c r="O65" s="2" t="str">
        <f>$E$39</f>
        <v>kg DM/head/day</v>
      </c>
      <c r="P65" s="2"/>
      <c r="Q65" s="2"/>
      <c r="U65" s="51" t="str">
        <f>TEXT(EDATE('Input - Site'!$E$12,5), "mmmm yyyy")</f>
        <v>June 2024</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106</v>
      </c>
    </row>
    <row r="66" spans="3:34" ht="20.100000000000001" customHeight="1" x14ac:dyDescent="0.25">
      <c r="D66" s="51" t="s">
        <v>136</v>
      </c>
      <c r="E66" s="51">
        <f>((1.185 + 0.00454 * E50 - 0.0000026 * E50 ^ 2 + 0.315 * E58) ^ 2 * G28)</f>
        <v>3.247204</v>
      </c>
      <c r="F66" s="51">
        <f>((1.185 + 0.00454 * F50 - 0.0000026 * F50 ^ 2 + 0.315 * F58) ^ 2 * H28)</f>
        <v>9.4246544015999998</v>
      </c>
      <c r="G66" s="51">
        <f>((1.185 + 0.00454 * G50 - 0.0000026 * G50 ^ 2 + 0.315 * G58) ^ 2 * I28)</f>
        <v>2.9603267136000002</v>
      </c>
      <c r="H66" s="51">
        <f>((1.185 + 0.00454 * H50 - 0.0000026 * H50 ^ 2 + 0.315 * H58) ^ 2 * J28)</f>
        <v>5.9577975395999987</v>
      </c>
      <c r="I66" s="51">
        <f>((1.185 + 0.00454 * I50 - 0.0000026 * I50 ^ 2 + 0.315 * I58) ^ 2 * K28)</f>
        <v>6.7179974480999993</v>
      </c>
      <c r="J66" s="51">
        <f>((1.185 + 0.00454 * J50 - 0.0000026 * J50 ^ 2 + 0.315 * J58) ^ 2 * L28)</f>
        <v>6.7179974480999993</v>
      </c>
      <c r="K66" s="51">
        <f>((1.185 + 0.00454 * K50 - 0.0000026 * K50 ^ 2 + 0.315 * K58) ^ 2 * M28)</f>
        <v>3.247204</v>
      </c>
      <c r="L66" s="51">
        <f>((1.185 + 0.00454 * L50 - 0.0000026 * L50 ^ 2 + 0.315 * L58) ^ 2 * N28)</f>
        <v>5.8953782416000013</v>
      </c>
      <c r="M66" s="51">
        <f>((1.185 + 0.00454 * M50 - 0.0000026 * M50 ^ 2 + 0.315 * M58) ^ 2 * O28)</f>
        <v>5.8953782416000013</v>
      </c>
      <c r="N66" s="51">
        <f>((1.185 + 0.00454 * N50 - 0.0000026 * N50 ^ 2 + 0.315 * N58) ^ 2 * P28)</f>
        <v>5.8953782416000013</v>
      </c>
      <c r="O66" s="2" t="str">
        <f>$E$39</f>
        <v>kg DM/head/day</v>
      </c>
      <c r="P66" s="2"/>
      <c r="Q66" s="2"/>
      <c r="U66" s="51" t="str">
        <f>TEXT(EDATE('Input - Site'!$E$12,6), "mmmm yyyy")</f>
        <v>July 2024</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106</v>
      </c>
    </row>
    <row r="67" spans="3:34" ht="20.100000000000001" customHeight="1" x14ac:dyDescent="0.25">
      <c r="D67" s="51" t="s">
        <v>137</v>
      </c>
      <c r="E67" s="51">
        <f>((1.185 + 0.00454 * E51 - 0.0000026 * E51 ^ 2 + 0.315 * E59) ^ 2 * G29)</f>
        <v>5.1328980481000004</v>
      </c>
      <c r="F67" s="51">
        <f>((1.185 + 0.00454 * F51 - 0.0000026 * F51 ^ 2 + 0.315 * F59) ^ 2 * H29)</f>
        <v>9.9748588899999984</v>
      </c>
      <c r="G67" s="51">
        <f>((1.185 + 0.00454 * G51 - 0.0000026 * G51 ^ 2 + 0.315 * G59) ^ 2 * I29)</f>
        <v>4.202705002500001</v>
      </c>
      <c r="H67" s="51">
        <f>((1.185 + 0.00454 * H51 - 0.0000026 * H51 ^ 2 + 0.315 * H59) ^ 2 * J29)</f>
        <v>7.5283222358070025</v>
      </c>
      <c r="I67" s="51">
        <f>((1.185 + 0.00454 * I51 - 0.0000026 * I51 ^ 2 + 0.315 * I59) ^ 2 * K29)</f>
        <v>9.145195140114998</v>
      </c>
      <c r="J67" s="51">
        <f>((1.185 + 0.00454 * J51 - 0.0000026 * J51 ^ 2 + 0.315 * J59) ^ 2 * L29)</f>
        <v>9.145195140114998</v>
      </c>
      <c r="K67" s="51">
        <f>((1.185 + 0.00454 * K51 - 0.0000026 * K51 ^ 2 + 0.315 * K59) ^ 2 * M29)</f>
        <v>4.5122681240999984</v>
      </c>
      <c r="L67" s="51">
        <f>((1.185 + 0.00454 * L51 - 0.0000026 * L51 ^ 2 + 0.315 * L59) ^ 2 * N29)</f>
        <v>6.8698506815999991</v>
      </c>
      <c r="M67" s="51">
        <f>((1.185 + 0.00454 * M51 - 0.0000026 * M51 ^ 2 + 0.315 * M59) ^ 2 * O29)</f>
        <v>6.8698506815999991</v>
      </c>
      <c r="N67" s="51">
        <f>((1.185 + 0.00454 * N51 - 0.0000026 * N51 ^ 2 + 0.315 * N59) ^ 2 * P29)</f>
        <v>6.8698506815999991</v>
      </c>
      <c r="O67" s="2" t="str">
        <f>$E$39</f>
        <v>kg DM/head/day</v>
      </c>
      <c r="P67" s="2"/>
      <c r="Q67" s="2"/>
      <c r="U67" s="51" t="str">
        <f>TEXT(EDATE('Input - Site'!$E$12,7), "mmmm yyyy")</f>
        <v>August 2024</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106</v>
      </c>
    </row>
    <row r="68" spans="3:34" ht="20.100000000000001" customHeight="1" x14ac:dyDescent="0.25">
      <c r="U68" s="51" t="str">
        <f>TEXT(EDATE('Input - Site'!$E$12,8), "mmmm yyyy")</f>
        <v>September 2024</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106</v>
      </c>
      <c r="AG68" s="2"/>
      <c r="AH68" s="2"/>
    </row>
    <row r="69" spans="3:34" ht="20.100000000000001" customHeight="1" x14ac:dyDescent="0.25">
      <c r="U69" s="51" t="str">
        <f>TEXT(EDATE('Input - Site'!$E$12,9), "mmmm yyyy")</f>
        <v>October 2024</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106</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2024</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106</v>
      </c>
      <c r="AG70" s="2"/>
      <c r="AH70" s="2"/>
    </row>
    <row r="71" spans="3:34" ht="20.100000000000001" customHeight="1" x14ac:dyDescent="0.25">
      <c r="D71" s="6" t="s">
        <v>294</v>
      </c>
      <c r="U71" s="51" t="str">
        <f>TEXT(EDATE('Input - Site'!$E$12,11), "mmmm yyyy")</f>
        <v>December 2024</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106</v>
      </c>
      <c r="AG71" s="2"/>
      <c r="AH71" s="2"/>
    </row>
    <row r="72" spans="3:34" ht="20.100000000000001" customHeight="1" x14ac:dyDescent="0.25">
      <c r="D72" s="5" t="s">
        <v>295</v>
      </c>
      <c r="AG72" s="2"/>
      <c r="AH72" s="2"/>
    </row>
    <row r="73" spans="3:34" ht="20.100000000000001" customHeight="1" x14ac:dyDescent="0.25">
      <c r="D73" s="13"/>
      <c r="E73" s="13"/>
      <c r="U73" s="96" t="s">
        <v>218</v>
      </c>
      <c r="AG73" s="2"/>
      <c r="AH73" s="2"/>
    </row>
    <row r="74" spans="3:34" ht="20.100000000000001" customHeight="1" x14ac:dyDescent="0.25">
      <c r="U74" s="95" t="s">
        <v>113</v>
      </c>
      <c r="AG74" s="2"/>
      <c r="AH74" s="2"/>
    </row>
    <row r="75" spans="3:34" ht="20.100000000000001" customHeight="1" x14ac:dyDescent="0.25">
      <c r="U75" s="50" t="s">
        <v>104</v>
      </c>
      <c r="V75" s="50" t="s">
        <v>103</v>
      </c>
      <c r="W75" s="50" t="s">
        <v>102</v>
      </c>
      <c r="X75" s="50" t="s">
        <v>126</v>
      </c>
      <c r="Y75" s="50" t="s">
        <v>127</v>
      </c>
      <c r="Z75" s="50" t="s">
        <v>128</v>
      </c>
      <c r="AA75" s="50" t="s">
        <v>129</v>
      </c>
      <c r="AB75" s="50" t="s">
        <v>130</v>
      </c>
      <c r="AC75" s="50" t="s">
        <v>131</v>
      </c>
      <c r="AD75" s="50" t="s">
        <v>132</v>
      </c>
      <c r="AE75" s="50" t="s">
        <v>133</v>
      </c>
      <c r="AG75" s="2"/>
      <c r="AH75" s="2"/>
    </row>
    <row r="76" spans="3:34" ht="20.100000000000001" customHeight="1" x14ac:dyDescent="0.25">
      <c r="U76" s="51" t="str">
        <f>TEXT('Input - Site'!$E$12, "mmmm yyyy")</f>
        <v>January 2024</v>
      </c>
      <c r="V76" s="51">
        <f>((1.185 + 0.00454 * V44 - 0.0000026 * V44 ^ 2 + 0.315 * V60) ^ 2 * X28)</f>
        <v>7.1468536895999959</v>
      </c>
      <c r="W76" s="51">
        <f>((1.185 + 0.00454 * W44 - 0.0000026 * W44 ^ 2 + 0.315 * W60) ^ 2 * Y28)</f>
        <v>9.4559940036000008</v>
      </c>
      <c r="X76" s="51">
        <f>((1.185 + 0.00454 * X44 - 0.0000026 * X44 ^ 2 + 0.315 * X60) ^ 2 * Z28)</f>
        <v>6.010342559999998</v>
      </c>
      <c r="Y76" s="51">
        <f>((1.185 + 0.00454 * Y44 - 0.0000026 * Y44 ^ 2 + 0.315 * Y60) ^ 2 * AA28)</f>
        <v>8.4608409301875014</v>
      </c>
      <c r="Z76" s="51">
        <f>((1.185 + 0.00454 * Z44 - 0.0000026 * Z44 ^ 2 + 0.315 * Z60) ^ 2 * AB28)</f>
        <v>8.3772677761199983</v>
      </c>
      <c r="AA76" s="51">
        <f>((1.185 + 0.00454 * AA44 - 0.0000026 * AA44 ^ 2 + 0.315 * AA60) ^ 2 * AC28)</f>
        <v>8.3772677761199983</v>
      </c>
      <c r="AB76" s="51">
        <f>((1.185 + 0.00454 * AB44 - 0.0000026 * AB44 ^ 2 + 0.315 * AB60) ^ 2 * AD28)</f>
        <v>6.5876408896000003</v>
      </c>
      <c r="AC76" s="51">
        <f>((1.185 + 0.00454 * AC44 - 0.0000026 * AC44 ^ 2 + 0.315 * AC60) ^ 2 * AE28)</f>
        <v>7.3430702361</v>
      </c>
      <c r="AD76" s="51">
        <f>((1.185 + 0.00454 * AD44 - 0.0000026 * AD44 ^ 2 + 0.315 * AD60) ^ 2 * AF28)</f>
        <v>7.3430702361</v>
      </c>
      <c r="AE76" s="51">
        <f>((1.185 + 0.00454 * AE44 - 0.0000026 * AE44 ^ 2 + 0.315 * AE60) ^ 2 * AG28)</f>
        <v>7.3430702361</v>
      </c>
      <c r="AF76" s="2" t="str">
        <f t="shared" ref="AF76:AF87" si="2">$E$39</f>
        <v>kg DM/head/day</v>
      </c>
      <c r="AG76" s="2"/>
      <c r="AH76" s="2"/>
    </row>
    <row r="77" spans="3:34" ht="20.100000000000001" customHeight="1" x14ac:dyDescent="0.25">
      <c r="D77" s="52" t="s">
        <v>23</v>
      </c>
      <c r="E77" s="1" t="s">
        <v>296</v>
      </c>
      <c r="U77" s="51" t="str">
        <f>TEXT(EDATE('Input - Site'!$E$12,1), "mmmm yyyy")</f>
        <v>February 2024</v>
      </c>
      <c r="V77" s="51">
        <f>((1.185 + 0.00454 * V45 - 0.0000026 * V45 ^ 2 + 0.315 * V61) ^ 2 * X29)</f>
        <v>7.1468536895999959</v>
      </c>
      <c r="W77" s="51">
        <f>((1.185 + 0.00454 * W45 - 0.0000026 * W45 ^ 2 + 0.315 * W61) ^ 2 * Y29)</f>
        <v>9.4559940036000008</v>
      </c>
      <c r="X77" s="51">
        <f>((1.185 + 0.00454 * X45 - 0.0000026 * X45 ^ 2 + 0.315 * X61) ^ 2 * Z29)</f>
        <v>6.010342559999998</v>
      </c>
      <c r="Y77" s="51">
        <f>((1.185 + 0.00454 * Y45 - 0.0000026 * Y45 ^ 2 + 0.315 * Y61) ^ 2 * AA29)</f>
        <v>7.8705497025</v>
      </c>
      <c r="Z77" s="51">
        <f>((1.185 + 0.00454 * Z45 - 0.0000026 * Z45 ^ 2 + 0.315 * Z61) ^ 2 * AB29)</f>
        <v>7.7928072335999978</v>
      </c>
      <c r="AA77" s="51">
        <f>((1.185 + 0.00454 * AA45 - 0.0000026 * AA45 ^ 2 + 0.315 * AA61) ^ 2 * AC29)</f>
        <v>7.7928072335999978</v>
      </c>
      <c r="AB77" s="51">
        <f>((1.185 + 0.00454 * AB45 - 0.0000026 * AB45 ^ 2 + 0.315 * AB61) ^ 2 * AD29)</f>
        <v>6.5876408896000003</v>
      </c>
      <c r="AC77" s="51">
        <f>((1.185 + 0.00454 * AC45 - 0.0000026 * AC45 ^ 2 + 0.315 * AC61) ^ 2 * AE29)</f>
        <v>7.3430702361</v>
      </c>
      <c r="AD77" s="51">
        <f>((1.185 + 0.00454 * AD45 - 0.0000026 * AD45 ^ 2 + 0.315 * AD61) ^ 2 * AF29)</f>
        <v>7.3430702361</v>
      </c>
      <c r="AE77" s="51">
        <f>((1.185 + 0.00454 * AE45 - 0.0000026 * AE45 ^ 2 + 0.315 * AE61) ^ 2 * AG29)</f>
        <v>7.3430702361</v>
      </c>
      <c r="AF77" s="2" t="str">
        <f t="shared" si="2"/>
        <v>kg DM/head/day</v>
      </c>
      <c r="AG77" s="2"/>
      <c r="AH77" s="2"/>
    </row>
    <row r="78" spans="3:34" ht="20.100000000000001" customHeight="1" x14ac:dyDescent="0.25">
      <c r="D78" s="52" t="s">
        <v>15</v>
      </c>
      <c r="E78" s="53" t="s">
        <v>297</v>
      </c>
      <c r="U78" s="51" t="str">
        <f>TEXT(EDATE('Input - Site'!$E$12,2), "mmmm yyyy")</f>
        <v>March 2024</v>
      </c>
      <c r="V78" s="51">
        <f>((1.185 + 0.00454 * V46 - 0.0000026 * V46 ^ 2 + 0.315 * V62) ^ 2 * X30)</f>
        <v>3.247204</v>
      </c>
      <c r="W78" s="51">
        <f>((1.185 + 0.00454 * W46 - 0.0000026 * W46 ^ 2 + 0.315 * W62) ^ 2 * Y30)</f>
        <v>9.4246544015999998</v>
      </c>
      <c r="X78" s="51">
        <f>((1.185 + 0.00454 * X46 - 0.0000026 * X46 ^ 2 + 0.315 * X62) ^ 2 * Z30)</f>
        <v>2.9603267136000002</v>
      </c>
      <c r="Y78" s="51">
        <f>((1.185 + 0.00454 * Y46 - 0.0000026 * Y46 ^ 2 + 0.315 * Y62) ^ 2 * AA30)</f>
        <v>5.9577975395999987</v>
      </c>
      <c r="Z78" s="51">
        <f>((1.185 + 0.00454 * Z46 - 0.0000026 * Z46 ^ 2 + 0.315 * Z62) ^ 2 * AB30)</f>
        <v>6.7179974480999993</v>
      </c>
      <c r="AA78" s="51">
        <f>((1.185 + 0.00454 * AA46 - 0.0000026 * AA46 ^ 2 + 0.315 * AA62) ^ 2 * AC30)</f>
        <v>6.7179974480999993</v>
      </c>
      <c r="AB78" s="51">
        <f>((1.185 + 0.00454 * AB46 - 0.0000026 * AB46 ^ 2 + 0.315 * AB62) ^ 2 * AD30)</f>
        <v>3.247204</v>
      </c>
      <c r="AC78" s="51">
        <f>((1.185 + 0.00454 * AC46 - 0.0000026 * AC46 ^ 2 + 0.315 * AC62) ^ 2 * AE30)</f>
        <v>5.8953782416000013</v>
      </c>
      <c r="AD78" s="51">
        <f>((1.185 + 0.00454 * AD46 - 0.0000026 * AD46 ^ 2 + 0.315 * AD62) ^ 2 * AF30)</f>
        <v>5.8953782416000013</v>
      </c>
      <c r="AE78" s="51">
        <f>((1.185 + 0.00454 * AE46 - 0.0000026 * AE46 ^ 2 + 0.315 * AE62) ^ 2 * AG30)</f>
        <v>5.8953782416000013</v>
      </c>
      <c r="AF78" s="2" t="str">
        <f t="shared" si="2"/>
        <v>kg DM/head/day</v>
      </c>
      <c r="AG78" s="2"/>
      <c r="AH78" s="2"/>
    </row>
    <row r="79" spans="3:34" ht="20.100000000000001" customHeight="1" x14ac:dyDescent="0.25">
      <c r="U79" s="51" t="str">
        <f>TEXT(EDATE('Input - Site'!$E$12,3), "mmmm yyyy")</f>
        <v>April 2024</v>
      </c>
      <c r="V79" s="51">
        <f>((1.185 + 0.00454 * V47 - 0.0000026 * V47 ^ 2 + 0.315 * V63) ^ 2 * X31)</f>
        <v>3.247204</v>
      </c>
      <c r="W79" s="51">
        <f>((1.185 + 0.00454 * W47 - 0.0000026 * W47 ^ 2 + 0.315 * W63) ^ 2 * Y31)</f>
        <v>9.4246544015999998</v>
      </c>
      <c r="X79" s="51">
        <f>((1.185 + 0.00454 * X47 - 0.0000026 * X47 ^ 2 + 0.315 * X63) ^ 2 * Z31)</f>
        <v>2.9603267136000002</v>
      </c>
      <c r="Y79" s="51">
        <f>((1.185 + 0.00454 * Y47 - 0.0000026 * Y47 ^ 2 + 0.315 * Y63) ^ 2 * AA31)</f>
        <v>5.9577975395999987</v>
      </c>
      <c r="Z79" s="51">
        <f>((1.185 + 0.00454 * Z47 - 0.0000026 * Z47 ^ 2 + 0.315 * Z63) ^ 2 * AB31)</f>
        <v>6.7179974480999993</v>
      </c>
      <c r="AA79" s="51">
        <f>((1.185 + 0.00454 * AA47 - 0.0000026 * AA47 ^ 2 + 0.315 * AA63) ^ 2 * AC31)</f>
        <v>6.7179974480999993</v>
      </c>
      <c r="AB79" s="51">
        <f>((1.185 + 0.00454 * AB47 - 0.0000026 * AB47 ^ 2 + 0.315 * AB63) ^ 2 * AD31)</f>
        <v>3.247204</v>
      </c>
      <c r="AC79" s="51">
        <f>((1.185 + 0.00454 * AC47 - 0.0000026 * AC47 ^ 2 + 0.315 * AC63) ^ 2 * AE31)</f>
        <v>5.8953782416000013</v>
      </c>
      <c r="AD79" s="51">
        <f>((1.185 + 0.00454 * AD47 - 0.0000026 * AD47 ^ 2 + 0.315 * AD63) ^ 2 * AF31)</f>
        <v>5.8953782416000013</v>
      </c>
      <c r="AE79" s="51">
        <f>((1.185 + 0.00454 * AE47 - 0.0000026 * AE47 ^ 2 + 0.315 * AE63) ^ 2 * AG31)</f>
        <v>5.8953782416000013</v>
      </c>
      <c r="AF79" s="2" t="str">
        <f t="shared" si="2"/>
        <v>kg DM/head/day</v>
      </c>
      <c r="AG79" s="2"/>
      <c r="AH79" s="2"/>
    </row>
    <row r="80" spans="3:34" ht="20.100000000000001" customHeight="1" x14ac:dyDescent="0.25">
      <c r="D80" s="112" t="s">
        <v>285</v>
      </c>
      <c r="E80" s="117"/>
      <c r="F80" s="116"/>
      <c r="G80" s="112"/>
      <c r="H80" s="113"/>
      <c r="I80" s="111" t="str" cm="1">
        <f t="array" aca="1" ref="I80" ca="1">HYPERLINK(Common_InputFunctions.Utility_SourceHyperlink($D$61), $D$61)</f>
        <v>M1_Table_I_j_k_l</v>
      </c>
      <c r="U80" s="51" t="str">
        <f>TEXT(EDATE('Input - Site'!$E$12,4), "mmmm yyyy")</f>
        <v>May 2024</v>
      </c>
      <c r="V80" s="51">
        <f>((1.185 + 0.00454 * V48 - 0.0000026 * V48 ^ 2 + 0.315 * V64) ^ 2 * X32)</f>
        <v>3.247204</v>
      </c>
      <c r="W80" s="51">
        <f>((1.185 + 0.00454 * W48 - 0.0000026 * W48 ^ 2 + 0.315 * W64) ^ 2 * Y32)</f>
        <v>9.4246544015999998</v>
      </c>
      <c r="X80" s="51">
        <f>((1.185 + 0.00454 * X48 - 0.0000026 * X48 ^ 2 + 0.315 * X64) ^ 2 * Z32)</f>
        <v>2.9603267136000002</v>
      </c>
      <c r="Y80" s="51">
        <f>((1.185 + 0.00454 * Y48 - 0.0000026 * Y48 ^ 2 + 0.315 * Y64) ^ 2 * AA32)</f>
        <v>5.9577975395999987</v>
      </c>
      <c r="Z80" s="51">
        <f>((1.185 + 0.00454 * Z48 - 0.0000026 * Z48 ^ 2 + 0.315 * Z64) ^ 2 * AB32)</f>
        <v>6.7179974480999993</v>
      </c>
      <c r="AA80" s="51">
        <f>((1.185 + 0.00454 * AA48 - 0.0000026 * AA48 ^ 2 + 0.315 * AA64) ^ 2 * AC32)</f>
        <v>6.7179974480999993</v>
      </c>
      <c r="AB80" s="51">
        <f>((1.185 + 0.00454 * AB48 - 0.0000026 * AB48 ^ 2 + 0.315 * AB64) ^ 2 * AD32)</f>
        <v>3.247204</v>
      </c>
      <c r="AC80" s="51">
        <f>((1.185 + 0.00454 * AC48 - 0.0000026 * AC48 ^ 2 + 0.315 * AC64) ^ 2 * AE32)</f>
        <v>5.8953782416000013</v>
      </c>
      <c r="AD80" s="51">
        <f>((1.185 + 0.00454 * AD48 - 0.0000026 * AD48 ^ 2 + 0.315 * AD64) ^ 2 * AF32)</f>
        <v>5.8953782416000013</v>
      </c>
      <c r="AE80" s="51">
        <f>((1.185 + 0.00454 * AE48 - 0.0000026 * AE48 ^ 2 + 0.315 * AE64) ^ 2 * AG32)</f>
        <v>5.8953782416000013</v>
      </c>
      <c r="AF80" s="2" t="str">
        <f t="shared" si="2"/>
        <v>kg DM/head/day</v>
      </c>
    </row>
    <row r="81" spans="3:35" ht="20.100000000000001" customHeight="1" x14ac:dyDescent="0.25">
      <c r="U81" s="51" t="str">
        <f>TEXT(EDATE('Input - Site'!$E$12,5), "mmmm yyyy")</f>
        <v>June 2024</v>
      </c>
      <c r="V81" s="51">
        <f>((1.185 + 0.00454 * V49 - 0.0000026 * V49 ^ 2 + 0.315 * V65) ^ 2 * X33)</f>
        <v>5.1328980481000004</v>
      </c>
      <c r="W81" s="51">
        <f>((1.185 + 0.00454 * W49 - 0.0000026 * W49 ^ 2 + 0.315 * W65) ^ 2 * Y33)</f>
        <v>9.9748588899999984</v>
      </c>
      <c r="X81" s="51">
        <f>((1.185 + 0.00454 * X49 - 0.0000026 * X49 ^ 2 + 0.315 * X65) ^ 2 * Z33)</f>
        <v>4.202705002500001</v>
      </c>
      <c r="Y81" s="51">
        <f>((1.185 + 0.00454 * Y49 - 0.0000026 * Y49 ^ 2 + 0.315 * Y65) ^ 2 * AA33)</f>
        <v>5.9278127841000021</v>
      </c>
      <c r="Z81" s="51">
        <f>((1.185 + 0.00454 * Z49 - 0.0000026 * Z49 ^ 2 + 0.315 * Z65) ^ 2 * AB33)</f>
        <v>7.952343600099999</v>
      </c>
      <c r="AA81" s="51">
        <f>((1.185 + 0.00454 * AA49 - 0.0000026 * AA49 ^ 2 + 0.315 * AA65) ^ 2 * AC33)</f>
        <v>7.952343600099999</v>
      </c>
      <c r="AB81" s="51">
        <f>((1.185 + 0.00454 * AB49 - 0.0000026 * AB49 ^ 2 + 0.315 * AB65) ^ 2 * AD33)</f>
        <v>4.5122681240999984</v>
      </c>
      <c r="AC81" s="51">
        <f>((1.185 + 0.00454 * AC49 - 0.0000026 * AC49 ^ 2 + 0.315 * AC65) ^ 2 * AE33)</f>
        <v>6.8698506815999991</v>
      </c>
      <c r="AD81" s="51">
        <f>((1.185 + 0.00454 * AD49 - 0.0000026 * AD49 ^ 2 + 0.315 * AD65) ^ 2 * AF33)</f>
        <v>6.8698506815999991</v>
      </c>
      <c r="AE81" s="51">
        <f>((1.185 + 0.00454 * AE49 - 0.0000026 * AE49 ^ 2 + 0.315 * AE65) ^ 2 * AG33)</f>
        <v>6.8698506815999991</v>
      </c>
      <c r="AF81" s="2" t="str">
        <f t="shared" si="2"/>
        <v>kg DM/head/day</v>
      </c>
    </row>
    <row r="82" spans="3:35" ht="20.100000000000001" customHeight="1" x14ac:dyDescent="0.25">
      <c r="D82" s="96" t="s">
        <v>257</v>
      </c>
      <c r="U82" s="51" t="str">
        <f>TEXT(EDATE('Input - Site'!$E$12,6), "mmmm yyyy")</f>
        <v>July 2024</v>
      </c>
      <c r="V82" s="51">
        <f>((1.185 + 0.00454 * V50 - 0.0000026 * V50 ^ 2 + 0.315 * V66) ^ 2 * X34)</f>
        <v>5.1328980481000004</v>
      </c>
      <c r="W82" s="51">
        <f>((1.185 + 0.00454 * W50 - 0.0000026 * W50 ^ 2 + 0.315 * W66) ^ 2 * Y34)</f>
        <v>9.9748588899999984</v>
      </c>
      <c r="X82" s="51">
        <f>((1.185 + 0.00454 * X50 - 0.0000026 * X50 ^ 2 + 0.315 * X66) ^ 2 * Z34)</f>
        <v>4.202705002500001</v>
      </c>
      <c r="Y82" s="51">
        <f>((1.185 + 0.00454 * Y50 - 0.0000026 * Y50 ^ 2 + 0.315 * Y66) ^ 2 * AA34)</f>
        <v>5.9278127841000021</v>
      </c>
      <c r="Z82" s="51">
        <f>((1.185 + 0.00454 * Z50 - 0.0000026 * Z50 ^ 2 + 0.315 * Z66) ^ 2 * AB34)</f>
        <v>7.952343600099999</v>
      </c>
      <c r="AA82" s="51">
        <f>((1.185 + 0.00454 * AA50 - 0.0000026 * AA50 ^ 2 + 0.315 * AA66) ^ 2 * AC34)</f>
        <v>7.952343600099999</v>
      </c>
      <c r="AB82" s="51">
        <f>((1.185 + 0.00454 * AB50 - 0.0000026 * AB50 ^ 2 + 0.315 * AB66) ^ 2 * AD34)</f>
        <v>4.5122681240999984</v>
      </c>
      <c r="AC82" s="51">
        <f>((1.185 + 0.00454 * AC50 - 0.0000026 * AC50 ^ 2 + 0.315 * AC66) ^ 2 * AE34)</f>
        <v>6.8698506815999991</v>
      </c>
      <c r="AD82" s="51">
        <f>((1.185 + 0.00454 * AD50 - 0.0000026 * AD50 ^ 2 + 0.315 * AD66) ^ 2 * AF34)</f>
        <v>6.8698506815999991</v>
      </c>
      <c r="AE82" s="51">
        <f>((1.185 + 0.00454 * AE50 - 0.0000026 * AE50 ^ 2 + 0.315 * AE66) ^ 2 * AG34)</f>
        <v>6.8698506815999991</v>
      </c>
      <c r="AF82" s="2" t="str">
        <f t="shared" si="2"/>
        <v>kg DM/head/day</v>
      </c>
    </row>
    <row r="83" spans="3:35" ht="20.100000000000001" customHeight="1" x14ac:dyDescent="0.25">
      <c r="D83" s="95" t="s">
        <v>258</v>
      </c>
      <c r="U83" s="51" t="str">
        <f>TEXT(EDATE('Input - Site'!$E$12,7), "mmmm yyyy")</f>
        <v>August 2024</v>
      </c>
      <c r="V83" s="51">
        <f>((1.185 + 0.00454 * V51 - 0.0000026 * V51 ^ 2 + 0.315 * V67) ^ 2 * X35)</f>
        <v>5.1328980481000004</v>
      </c>
      <c r="W83" s="51">
        <f>((1.185 + 0.00454 * W51 - 0.0000026 * W51 ^ 2 + 0.315 * W67) ^ 2 * Y35)</f>
        <v>9.9748588899999984</v>
      </c>
      <c r="X83" s="51">
        <f>((1.185 + 0.00454 * X51 - 0.0000026 * X51 ^ 2 + 0.315 * X67) ^ 2 * Z35)</f>
        <v>4.202705002500001</v>
      </c>
      <c r="Y83" s="51">
        <f>((1.185 + 0.00454 * Y51 - 0.0000026 * Y51 ^ 2 + 0.315 * Y67) ^ 2 * AA35)</f>
        <v>7.2615706605225032</v>
      </c>
      <c r="Z83" s="51">
        <f>((1.185 + 0.00454 * Z51 - 0.0000026 * Z51 ^ 2 + 0.315 * Z67) ^ 2 * AB35)</f>
        <v>9.7416209101224993</v>
      </c>
      <c r="AA83" s="51">
        <f>((1.185 + 0.00454 * AA51 - 0.0000026 * AA51 ^ 2 + 0.315 * AA67) ^ 2 * AC35)</f>
        <v>9.7416209101224993</v>
      </c>
      <c r="AB83" s="51">
        <f>((1.185 + 0.00454 * AB51 - 0.0000026 * AB51 ^ 2 + 0.315 * AB67) ^ 2 * AD35)</f>
        <v>4.5122681240999984</v>
      </c>
      <c r="AC83" s="51">
        <f>((1.185 + 0.00454 * AC51 - 0.0000026 * AC51 ^ 2 + 0.315 * AC67) ^ 2 * AE35)</f>
        <v>6.8698506815999991</v>
      </c>
      <c r="AD83" s="51">
        <f>((1.185 + 0.00454 * AD51 - 0.0000026 * AD51 ^ 2 + 0.315 * AD67) ^ 2 * AF35)</f>
        <v>6.8698506815999991</v>
      </c>
      <c r="AE83" s="51">
        <f>((1.185 + 0.00454 * AE51 - 0.0000026 * AE51 ^ 2 + 0.315 * AE67) ^ 2 * AG35)</f>
        <v>6.8698506815999991</v>
      </c>
      <c r="AF83" s="2" t="str">
        <f t="shared" si="2"/>
        <v>kg DM/head/day</v>
      </c>
    </row>
    <row r="84" spans="3:35" ht="20.100000000000001" customHeight="1" x14ac:dyDescent="0.25">
      <c r="D84" s="50" t="s">
        <v>145</v>
      </c>
      <c r="E84" s="50" t="s">
        <v>103</v>
      </c>
      <c r="F84" s="50" t="s">
        <v>102</v>
      </c>
      <c r="G84" s="50" t="s">
        <v>126</v>
      </c>
      <c r="H84" s="50" t="s">
        <v>127</v>
      </c>
      <c r="I84" s="50" t="s">
        <v>128</v>
      </c>
      <c r="J84" s="50" t="s">
        <v>129</v>
      </c>
      <c r="K84" s="50" t="s">
        <v>130</v>
      </c>
      <c r="L84" s="50" t="s">
        <v>131</v>
      </c>
      <c r="M84" s="50" t="s">
        <v>132</v>
      </c>
      <c r="N84" s="50" t="s">
        <v>133</v>
      </c>
      <c r="U84" s="51" t="str">
        <f>TEXT(EDATE('Input - Site'!$E$12,8), "mmmm yyyy")</f>
        <v>September 2024</v>
      </c>
      <c r="V84" s="51">
        <f>((1.185 + 0.00454 * V52 - 0.0000026 * V52 ^ 2 + 0.315 * V68) ^ 2 * X36)</f>
        <v>8.6709047296000001</v>
      </c>
      <c r="W84" s="51">
        <f>((1.185 + 0.00454 * W52 - 0.0000026 * W52 ^ 2 + 0.315 * W68) ^ 2 * Y36)</f>
        <v>12.246500250000002</v>
      </c>
      <c r="X84" s="51">
        <f>((1.185 + 0.00454 * X52 - 0.0000026 * X52 ^ 2 + 0.315 * X68) ^ 2 * Z36)</f>
        <v>6.6089612241000006</v>
      </c>
      <c r="Y84" s="51">
        <f>((1.185 + 0.00454 * Y52 - 0.0000026 * Y52 ^ 2 + 0.315 * Y68) ^ 2 * AA36)</f>
        <v>10.624527777622504</v>
      </c>
      <c r="Z84" s="51">
        <f>((1.185 + 0.00454 * Z52 - 0.0000026 * Z52 ^ 2 + 0.315 * Z68) ^ 2 * AB36)</f>
        <v>11.798087161000003</v>
      </c>
      <c r="AA84" s="51">
        <f>((1.185 + 0.00454 * AA52 - 0.0000026 * AA52 ^ 2 + 0.315 * AA68) ^ 2 * AC36)</f>
        <v>11.798087161000003</v>
      </c>
      <c r="AB84" s="51">
        <f>((1.185 + 0.00454 * AB52 - 0.0000026 * AB52 ^ 2 + 0.315 * AB68) ^ 2 * AD36)</f>
        <v>7.6192560899999977</v>
      </c>
      <c r="AC84" s="51">
        <f>((1.185 + 0.00454 * AC52 - 0.0000026 * AC52 ^ 2 + 0.315 * AC68) ^ 2 * AE36)</f>
        <v>9.6824279555999979</v>
      </c>
      <c r="AD84" s="51">
        <f>((1.185 + 0.00454 * AD52 - 0.0000026 * AD52 ^ 2 + 0.315 * AD68) ^ 2 * AF36)</f>
        <v>9.6824279555999979</v>
      </c>
      <c r="AE84" s="51">
        <f>((1.185 + 0.00454 * AE52 - 0.0000026 * AE52 ^ 2 + 0.315 * AE68) ^ 2 * AG36)</f>
        <v>9.6824279555999979</v>
      </c>
      <c r="AF84" s="2" t="str">
        <f t="shared" si="2"/>
        <v>kg DM/head/day</v>
      </c>
      <c r="AG84" s="2"/>
      <c r="AH84" s="2"/>
    </row>
    <row r="85" spans="3:35" ht="20.100000000000001" customHeight="1" x14ac:dyDescent="0.25">
      <c r="D85" s="51" t="s">
        <v>134</v>
      </c>
      <c r="E85" s="51">
        <f>(20.7 * E64 * 10 ^ -3)</f>
        <v>0.17948772790272</v>
      </c>
      <c r="F85" s="51">
        <f>(20.7 * F64 * 10 ^ -3)</f>
        <v>0.25350255517500003</v>
      </c>
      <c r="G85" s="51">
        <f>(20.7 * G64 * 10 ^ -3)</f>
        <v>0.13680549733887001</v>
      </c>
      <c r="H85" s="51">
        <f>(20.7 * H64 * 10 ^ -3)</f>
        <v>0.19569079203795636</v>
      </c>
      <c r="I85" s="51">
        <f>(20.7 * I64 * 10 ^ -3)</f>
        <v>0.20933177505660003</v>
      </c>
      <c r="J85" s="51">
        <f>(20.7 * J64 * 10 ^ -3)</f>
        <v>0.20933177505660003</v>
      </c>
      <c r="K85" s="51">
        <f>(20.7 * K64 * 10 ^ -3)</f>
        <v>0.15771860106299995</v>
      </c>
      <c r="L85" s="51">
        <f>(20.7 * L64 * 10 ^ -3)</f>
        <v>0.20042625868091996</v>
      </c>
      <c r="M85" s="51">
        <f>(20.7 * M64 * 10 ^ -3)</f>
        <v>0.20042625868091996</v>
      </c>
      <c r="N85" s="51">
        <f>(20.7 * N64 * 10 ^ -3)</f>
        <v>0.20042625868091996</v>
      </c>
      <c r="O85" s="2">
        <f>G80</f>
        <v>0</v>
      </c>
      <c r="P85" s="2"/>
      <c r="Q85" s="2"/>
      <c r="U85" s="51" t="str">
        <f>TEXT(EDATE('Input - Site'!$E$12,9), "mmmm yyyy")</f>
        <v>October 2024</v>
      </c>
      <c r="V85" s="51">
        <f>((1.185 + 0.00454 * V53 - 0.0000026 * V53 ^ 2 + 0.315 * V69) ^ 2 * X37)</f>
        <v>8.6709047296000001</v>
      </c>
      <c r="W85" s="51">
        <f>((1.185 + 0.00454 * W53 - 0.0000026 * W53 ^ 2 + 0.315 * W69) ^ 2 * Y37)</f>
        <v>12.246500250000002</v>
      </c>
      <c r="X85" s="51">
        <f>((1.185 + 0.00454 * X53 - 0.0000026 * X53 ^ 2 + 0.315 * X69) ^ 2 * Z37)</f>
        <v>6.6089612241000006</v>
      </c>
      <c r="Y85" s="51">
        <f>((1.185 + 0.00454 * Y53 - 0.0000026 * Y53 ^ 2 + 0.315 * Y69) ^ 2 * AA37)</f>
        <v>10.624527777622504</v>
      </c>
      <c r="Z85" s="51">
        <f>((1.185 + 0.00454 * Z53 - 0.0000026 * Z53 ^ 2 + 0.315 * Z69) ^ 2 * AB37)</f>
        <v>11.798087161000003</v>
      </c>
      <c r="AA85" s="51">
        <f>((1.185 + 0.00454 * AA53 - 0.0000026 * AA53 ^ 2 + 0.315 * AA69) ^ 2 * AC37)</f>
        <v>11.798087161000003</v>
      </c>
      <c r="AB85" s="51">
        <f>((1.185 + 0.00454 * AB53 - 0.0000026 * AB53 ^ 2 + 0.315 * AB69) ^ 2 * AD37)</f>
        <v>7.6192560899999977</v>
      </c>
      <c r="AC85" s="51">
        <f>((1.185 + 0.00454 * AC53 - 0.0000026 * AC53 ^ 2 + 0.315 * AC69) ^ 2 * AE37)</f>
        <v>9.6824279555999979</v>
      </c>
      <c r="AD85" s="51">
        <f>((1.185 + 0.00454 * AD53 - 0.0000026 * AD53 ^ 2 + 0.315 * AD69) ^ 2 * AF37)</f>
        <v>9.6824279555999979</v>
      </c>
      <c r="AE85" s="51">
        <f>((1.185 + 0.00454 * AE53 - 0.0000026 * AE53 ^ 2 + 0.315 * AE69) ^ 2 * AG37)</f>
        <v>9.6824279555999979</v>
      </c>
      <c r="AF85" s="2" t="str">
        <f t="shared" si="2"/>
        <v>kg DM/head/day</v>
      </c>
      <c r="AG85" s="2"/>
      <c r="AH85" s="2"/>
    </row>
    <row r="86" spans="3:35" ht="20.100000000000001" customHeight="1" x14ac:dyDescent="0.25">
      <c r="D86" s="51" t="s">
        <v>135</v>
      </c>
      <c r="E86" s="51">
        <f>(20.7 * E65 * 10 ^ -3)</f>
        <v>0.14793987137471989</v>
      </c>
      <c r="F86" s="51">
        <f>(20.7 * F65 * 10 ^ -3)</f>
        <v>0.19573907587452002</v>
      </c>
      <c r="G86" s="51">
        <f>(20.7 * G65 * 10 ^ -3)</f>
        <v>0.12441409099199996</v>
      </c>
      <c r="H86" s="51">
        <f>(20.7 * H65 * 10 ^ -3)</f>
        <v>0.16292037884175001</v>
      </c>
      <c r="I86" s="51">
        <f>(20.7 * I65 * 10 ^ -3)</f>
        <v>0.16131110973551996</v>
      </c>
      <c r="J86" s="51">
        <f>(20.7 * J65 * 10 ^ -3)</f>
        <v>0.16131110973551996</v>
      </c>
      <c r="K86" s="51">
        <f>(20.7 * K65 * 10 ^ -3)</f>
        <v>0.13636416641471999</v>
      </c>
      <c r="L86" s="51">
        <f>(20.7 * L65 * 10 ^ -3)</f>
        <v>0.15200155388727002</v>
      </c>
      <c r="M86" s="51">
        <f>(20.7 * M65 * 10 ^ -3)</f>
        <v>0.15200155388727002</v>
      </c>
      <c r="N86" s="51">
        <f>(20.7 * N65 * 10 ^ -3)</f>
        <v>0.15200155388727002</v>
      </c>
      <c r="O86" s="2"/>
      <c r="P86" s="2"/>
      <c r="Q86" s="2"/>
      <c r="U86" s="51" t="str">
        <f>TEXT(EDATE('Input - Site'!$E$12,10), "mmmm yyyy")</f>
        <v>November 2024</v>
      </c>
      <c r="V86" s="51">
        <f>((1.185 + 0.00454 * V54 - 0.0000026 * V54 ^ 2 + 0.315 * V70) ^ 2 * X38)</f>
        <v>8.6709047296000001</v>
      </c>
      <c r="W86" s="51">
        <f>((1.185 + 0.00454 * W54 - 0.0000026 * W54 ^ 2 + 0.315 * W70) ^ 2 * Y38)</f>
        <v>12.246500250000002</v>
      </c>
      <c r="X86" s="51">
        <f>((1.185 + 0.00454 * X54 - 0.0000026 * X54 ^ 2 + 0.315 * X70) ^ 2 * Z38)</f>
        <v>6.6089612241000006</v>
      </c>
      <c r="Y86" s="51">
        <f>((1.185 + 0.00454 * Y54 - 0.0000026 * Y54 ^ 2 + 0.315 * Y70) ^ 2 * AA38)</f>
        <v>9.3235651926075036</v>
      </c>
      <c r="Z86" s="51">
        <f>((1.185 + 0.00454 * Z54 - 0.0000026 * Z54 ^ 2 + 0.315 * Z70) ^ 2 * AB38)</f>
        <v>10.353423427000003</v>
      </c>
      <c r="AA86" s="51">
        <f>((1.185 + 0.00454 * AA54 - 0.0000026 * AA54 ^ 2 + 0.315 * AA70) ^ 2 * AC38)</f>
        <v>10.353423427000003</v>
      </c>
      <c r="AB86" s="51">
        <f>((1.185 + 0.00454 * AB54 - 0.0000026 * AB54 ^ 2 + 0.315 * AB70) ^ 2 * AD38)</f>
        <v>7.6192560899999977</v>
      </c>
      <c r="AC86" s="51">
        <f>((1.185 + 0.00454 * AC54 - 0.0000026 * AC54 ^ 2 + 0.315 * AC70) ^ 2 * AE38)</f>
        <v>9.6824279555999979</v>
      </c>
      <c r="AD86" s="51">
        <f>((1.185 + 0.00454 * AD54 - 0.0000026 * AD54 ^ 2 + 0.315 * AD70) ^ 2 * AF38)</f>
        <v>9.6824279555999979</v>
      </c>
      <c r="AE86" s="51">
        <f>((1.185 + 0.00454 * AE54 - 0.0000026 * AE54 ^ 2 + 0.315 * AE70) ^ 2 * AG38)</f>
        <v>9.6824279555999979</v>
      </c>
      <c r="AF86" s="2" t="str">
        <f t="shared" si="2"/>
        <v>kg DM/head/day</v>
      </c>
      <c r="AG86" s="2"/>
      <c r="AH86" s="2"/>
    </row>
    <row r="87" spans="3:35" ht="20.100000000000001" customHeight="1" x14ac:dyDescent="0.25">
      <c r="D87" s="51" t="s">
        <v>136</v>
      </c>
      <c r="E87" s="51">
        <f>(20.7 * E66 * 10 ^ -3)</f>
        <v>6.7217122800000001E-2</v>
      </c>
      <c r="F87" s="51">
        <f>(20.7 * F66 * 10 ^ -3)</f>
        <v>0.19509034611311998</v>
      </c>
      <c r="G87" s="51">
        <f>(20.7 * G66 * 10 ^ -3)</f>
        <v>6.1278762971520004E-2</v>
      </c>
      <c r="H87" s="51">
        <f>(20.7 * H66 * 10 ^ -3)</f>
        <v>0.12332640906971998</v>
      </c>
      <c r="I87" s="51">
        <f>(20.7 * I66 * 10 ^ -3)</f>
        <v>0.13906254717566999</v>
      </c>
      <c r="J87" s="51">
        <f>(20.7 * J66 * 10 ^ -3)</f>
        <v>0.13906254717566999</v>
      </c>
      <c r="K87" s="51">
        <f>(20.7 * K66 * 10 ^ -3)</f>
        <v>6.7217122800000001E-2</v>
      </c>
      <c r="L87" s="51">
        <f>(20.7 * L66 * 10 ^ -3)</f>
        <v>0.12203432960112003</v>
      </c>
      <c r="M87" s="51">
        <f>(20.7 * M66 * 10 ^ -3)</f>
        <v>0.12203432960112003</v>
      </c>
      <c r="N87" s="51">
        <f>(20.7 * N66 * 10 ^ -3)</f>
        <v>0.12203432960112003</v>
      </c>
      <c r="O87" s="2"/>
      <c r="P87" s="2"/>
      <c r="Q87" s="2"/>
      <c r="U87" s="51" t="str">
        <f>TEXT(EDATE('Input - Site'!$E$12,11), "mmmm yyyy")</f>
        <v>December 2024</v>
      </c>
      <c r="V87" s="51">
        <f>((1.185 + 0.00454 * V55 - 0.0000026 * V55 ^ 2 + 0.315 * V71) ^ 2 * X39)</f>
        <v>7.1468536895999959</v>
      </c>
      <c r="W87" s="51">
        <f>((1.185 + 0.00454 * W55 - 0.0000026 * W55 ^ 2 + 0.315 * W71) ^ 2 * Y39)</f>
        <v>9.4559940036000008</v>
      </c>
      <c r="X87" s="51">
        <f>((1.185 + 0.00454 * X55 - 0.0000026 * X55 ^ 2 + 0.315 * X71) ^ 2 * Z39)</f>
        <v>6.010342559999998</v>
      </c>
      <c r="Y87" s="51">
        <f>((1.185 + 0.00454 * Y55 - 0.0000026 * Y55 ^ 2 + 0.315 * Y71) ^ 2 * AA39)</f>
        <v>8.4608409301875014</v>
      </c>
      <c r="Z87" s="51">
        <f>((1.185 + 0.00454 * Z55 - 0.0000026 * Z55 ^ 2 + 0.315 * Z71) ^ 2 * AB39)</f>
        <v>8.3772677761199983</v>
      </c>
      <c r="AA87" s="51">
        <f>((1.185 + 0.00454 * AA55 - 0.0000026 * AA55 ^ 2 + 0.315 * AA71) ^ 2 * AC39)</f>
        <v>8.3772677761199983</v>
      </c>
      <c r="AB87" s="51">
        <f>((1.185 + 0.00454 * AB55 - 0.0000026 * AB55 ^ 2 + 0.315 * AB71) ^ 2 * AD39)</f>
        <v>6.5876408896000003</v>
      </c>
      <c r="AC87" s="51">
        <f>((1.185 + 0.00454 * AC55 - 0.0000026 * AC55 ^ 2 + 0.315 * AC71) ^ 2 * AE39)</f>
        <v>7.3430702361</v>
      </c>
      <c r="AD87" s="51">
        <f>((1.185 + 0.00454 * AD55 - 0.0000026 * AD55 ^ 2 + 0.315 * AD71) ^ 2 * AF39)</f>
        <v>7.3430702361</v>
      </c>
      <c r="AE87" s="51">
        <f>((1.185 + 0.00454 * AE55 - 0.0000026 * AE55 ^ 2 + 0.315 * AE71) ^ 2 * AG39)</f>
        <v>7.3430702361</v>
      </c>
      <c r="AF87" s="2" t="str">
        <f t="shared" si="2"/>
        <v>kg DM/head/day</v>
      </c>
      <c r="AG87" s="2"/>
      <c r="AH87" s="2"/>
    </row>
    <row r="88" spans="3:35" ht="20.100000000000001" customHeight="1" x14ac:dyDescent="0.25">
      <c r="D88" s="51" t="s">
        <v>137</v>
      </c>
      <c r="E88" s="51">
        <f>(20.7 * E67 * 10 ^ -3)</f>
        <v>0.10625098959567</v>
      </c>
      <c r="F88" s="51">
        <f>(20.7 * F67 * 10 ^ -3)</f>
        <v>0.20647957902299996</v>
      </c>
      <c r="G88" s="51">
        <f>(20.7 * G67 * 10 ^ -3)</f>
        <v>8.6995993551750014E-2</v>
      </c>
      <c r="H88" s="51">
        <f>(20.7 * H67 * 10 ^ -3)</f>
        <v>0.15583627028120495</v>
      </c>
      <c r="I88" s="51">
        <f>(20.7 * I67 * 10 ^ -3)</f>
        <v>0.18930553940038045</v>
      </c>
      <c r="J88" s="51">
        <f>(20.7 * J67 * 10 ^ -3)</f>
        <v>0.18930553940038045</v>
      </c>
      <c r="K88" s="51">
        <f>(20.7 * K67 * 10 ^ -3)</f>
        <v>9.3403950168869973E-2</v>
      </c>
      <c r="L88" s="51">
        <f>(20.7 * L67 * 10 ^ -3)</f>
        <v>0.14220590910911998</v>
      </c>
      <c r="M88" s="51">
        <f>(20.7 * M67 * 10 ^ -3)</f>
        <v>0.14220590910911998</v>
      </c>
      <c r="N88" s="51">
        <f>(20.7 * N67 * 10 ^ -3)</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
        <v>298</v>
      </c>
      <c r="U92" s="6" t="s">
        <v>294</v>
      </c>
    </row>
    <row r="93" spans="3:35" ht="20.100000000000001" customHeight="1" x14ac:dyDescent="0.25">
      <c r="D93" s="5" t="s">
        <v>299</v>
      </c>
    </row>
    <row r="94" spans="3:35" ht="20.100000000000001" customHeight="1" x14ac:dyDescent="0.25">
      <c r="D94" s="13"/>
      <c r="E94" s="13"/>
      <c r="U94" s="96" t="s">
        <v>263</v>
      </c>
    </row>
    <row r="95" spans="3:35" ht="20.100000000000001" customHeight="1" x14ac:dyDescent="0.25">
      <c r="U95" s="95" t="s">
        <v>264</v>
      </c>
    </row>
    <row r="96" spans="3:35" ht="20.100000000000001" customHeight="1" x14ac:dyDescent="0.25">
      <c r="U96" s="50" t="s">
        <v>104</v>
      </c>
      <c r="V96" s="50" t="s">
        <v>103</v>
      </c>
      <c r="W96" s="50" t="s">
        <v>102</v>
      </c>
      <c r="X96" s="50" t="s">
        <v>126</v>
      </c>
      <c r="Y96" s="50" t="s">
        <v>127</v>
      </c>
      <c r="Z96" s="50" t="s">
        <v>128</v>
      </c>
      <c r="AA96" s="50" t="s">
        <v>129</v>
      </c>
      <c r="AB96" s="50" t="s">
        <v>130</v>
      </c>
      <c r="AC96" s="50" t="s">
        <v>131</v>
      </c>
      <c r="AD96" s="50" t="s">
        <v>132</v>
      </c>
      <c r="AE96" s="50" t="s">
        <v>133</v>
      </c>
    </row>
    <row r="97" spans="4:35" ht="20.100000000000001" customHeight="1" x14ac:dyDescent="0.25">
      <c r="D97" s="52" t="s">
        <v>23</v>
      </c>
      <c r="E97" s="1" t="s">
        <v>300</v>
      </c>
      <c r="U97" s="51" t="str">
        <f>TEXT('Input - Site'!$E$12, "mmmm yyyy")</f>
        <v>January 2024</v>
      </c>
      <c r="V97" s="51">
        <f>(20.7 * V76 * 10 ^ -3)</f>
        <v>0.14793987137471989</v>
      </c>
      <c r="W97" s="51">
        <f>(20.7 * W76 * 10 ^ -3)</f>
        <v>0.19573907587452002</v>
      </c>
      <c r="X97" s="51">
        <f>(20.7 * X76 * 10 ^ -3)</f>
        <v>0.12441409099199996</v>
      </c>
      <c r="Y97" s="51">
        <f>(20.7 * Y76 * 10 ^ -3)</f>
        <v>0.17513940725488128</v>
      </c>
      <c r="Z97" s="51">
        <f>(20.7 * Z76 * 10 ^ -3)</f>
        <v>0.17340944296568395</v>
      </c>
      <c r="AA97" s="51">
        <f>(20.7 * AA76 * 10 ^ -3)</f>
        <v>0.17340944296568395</v>
      </c>
      <c r="AB97" s="51">
        <f>(20.7 * AB76 * 10 ^ -3)</f>
        <v>0.13636416641471999</v>
      </c>
      <c r="AC97" s="51">
        <f>(20.7 * AC76 * 10 ^ -3)</f>
        <v>0.15200155388727002</v>
      </c>
      <c r="AD97" s="51">
        <f>(20.7 * AD76 * 10 ^ -3)</f>
        <v>0.15200155388727002</v>
      </c>
      <c r="AE97" s="51">
        <f>(20.7 * AE76 * 10 ^ -3)</f>
        <v>0.15200155388727002</v>
      </c>
      <c r="AF97" s="2">
        <f>$G$80</f>
        <v>0</v>
      </c>
    </row>
    <row r="98" spans="4:35" ht="20.100000000000001" customHeight="1" x14ac:dyDescent="0.25">
      <c r="D98" s="52" t="s">
        <v>15</v>
      </c>
      <c r="E98" s="53" t="s">
        <v>116</v>
      </c>
      <c r="U98" s="51" t="str">
        <f>TEXT('Input - Site'!$E$12, "mmmm yyyy")</f>
        <v>January 2024</v>
      </c>
      <c r="V98" s="51">
        <f>(20.7 * V77 * 10 ^ -3)</f>
        <v>0.14793987137471989</v>
      </c>
      <c r="W98" s="51">
        <f>(20.7 * W77 * 10 ^ -3)</f>
        <v>0.19573907587452002</v>
      </c>
      <c r="X98" s="51">
        <f>(20.7 * X77 * 10 ^ -3)</f>
        <v>0.12441409099199996</v>
      </c>
      <c r="Y98" s="51">
        <f>(20.7 * Y77 * 10 ^ -3)</f>
        <v>0.16292037884175001</v>
      </c>
      <c r="Z98" s="51">
        <f>(20.7 * Z77 * 10 ^ -3)</f>
        <v>0.16131110973551996</v>
      </c>
      <c r="AA98" s="51">
        <f>(20.7 * AA77 * 10 ^ -3)</f>
        <v>0.16131110973551996</v>
      </c>
      <c r="AB98" s="51">
        <f>(20.7 * AB77 * 10 ^ -3)</f>
        <v>0.13636416641471999</v>
      </c>
      <c r="AC98" s="51">
        <f>(20.7 * AC77 * 10 ^ -3)</f>
        <v>0.15200155388727002</v>
      </c>
      <c r="AD98" s="51">
        <f>(20.7 * AD77 * 10 ^ -3)</f>
        <v>0.15200155388727002</v>
      </c>
      <c r="AE98" s="51">
        <f>(20.7 * AE77 * 10 ^ -3)</f>
        <v>0.15200155388727002</v>
      </c>
      <c r="AF98" s="2"/>
    </row>
    <row r="99" spans="4:35" ht="20.100000000000001" customHeight="1" x14ac:dyDescent="0.25">
      <c r="U99" s="51" t="str">
        <f>TEXT('Input - Site'!$E$12, "mmmm yyyy")</f>
        <v>January 2024</v>
      </c>
      <c r="V99" s="51">
        <f>(20.7 * V78 * 10 ^ -3)</f>
        <v>6.7217122800000001E-2</v>
      </c>
      <c r="W99" s="51">
        <f>(20.7 * W78 * 10 ^ -3)</f>
        <v>0.19509034611311998</v>
      </c>
      <c r="X99" s="51">
        <f>(20.7 * X78 * 10 ^ -3)</f>
        <v>6.1278762971520004E-2</v>
      </c>
      <c r="Y99" s="51">
        <f>(20.7 * Y78 * 10 ^ -3)</f>
        <v>0.12332640906971998</v>
      </c>
      <c r="Z99" s="51">
        <f>(20.7 * Z78 * 10 ^ -3)</f>
        <v>0.13906254717566999</v>
      </c>
      <c r="AA99" s="51">
        <f>(20.7 * AA78 * 10 ^ -3)</f>
        <v>0.13906254717566999</v>
      </c>
      <c r="AB99" s="51">
        <f>(20.7 * AB78 * 10 ^ -3)</f>
        <v>6.7217122800000001E-2</v>
      </c>
      <c r="AC99" s="51">
        <f>(20.7 * AC78 * 10 ^ -3)</f>
        <v>0.12203432960112003</v>
      </c>
      <c r="AD99" s="51">
        <f>(20.7 * AD78 * 10 ^ -3)</f>
        <v>0.12203432960112003</v>
      </c>
      <c r="AE99" s="51">
        <f>(20.7 * AE78 * 10 ^ -3)</f>
        <v>0.12203432960112003</v>
      </c>
      <c r="AF99" s="2"/>
    </row>
    <row r="100" spans="4:35" ht="20.100000000000001" customHeight="1" x14ac:dyDescent="0.25">
      <c r="D100" s="112" t="s">
        <v>301</v>
      </c>
      <c r="E100" s="117" t="s">
        <v>302</v>
      </c>
      <c r="F100" s="116"/>
      <c r="G100" s="112" t="s">
        <v>306</v>
      </c>
      <c r="H100" s="114" t="s">
        <v>281</v>
      </c>
      <c r="I100" s="111" t="str" cm="1">
        <f t="array" aca="1" ref="I100" ca="1">HYPERLINK(Common_InputFunctions.Utility_SourceHyperlink($D$112), $D$112)</f>
        <v>M1_Table_D_j</v>
      </c>
      <c r="U100" s="51" t="str">
        <f>TEXT('Input - Site'!$E$12, "mmmm yyyy")</f>
        <v>January 2024</v>
      </c>
      <c r="V100" s="51">
        <f>(20.7 * V79 * 10 ^ -3)</f>
        <v>6.7217122800000001E-2</v>
      </c>
      <c r="W100" s="51">
        <f>(20.7 * W79 * 10 ^ -3)</f>
        <v>0.19509034611311998</v>
      </c>
      <c r="X100" s="51">
        <f>(20.7 * X79 * 10 ^ -3)</f>
        <v>6.1278762971520004E-2</v>
      </c>
      <c r="Y100" s="51">
        <f>(20.7 * Y79 * 10 ^ -3)</f>
        <v>0.12332640906971998</v>
      </c>
      <c r="Z100" s="51">
        <f>(20.7 * Z79 * 10 ^ -3)</f>
        <v>0.13906254717566999</v>
      </c>
      <c r="AA100" s="51">
        <f>(20.7 * AA79 * 10 ^ -3)</f>
        <v>0.13906254717566999</v>
      </c>
      <c r="AB100" s="51">
        <f>(20.7 * AB79 * 10 ^ -3)</f>
        <v>6.7217122800000001E-2</v>
      </c>
      <c r="AC100" s="51">
        <f>(20.7 * AC79 * 10 ^ -3)</f>
        <v>0.12203432960112003</v>
      </c>
      <c r="AD100" s="51">
        <f>(20.7 * AD79 * 10 ^ -3)</f>
        <v>0.12203432960112003</v>
      </c>
      <c r="AE100" s="51">
        <f>(20.7 * AE79 * 10 ^ -3)</f>
        <v>0.12203432960112003</v>
      </c>
      <c r="AF100" s="2"/>
    </row>
    <row r="101" spans="4:35" ht="20.100000000000001" customHeight="1" x14ac:dyDescent="0.25">
      <c r="D101" s="112" t="s">
        <v>296</v>
      </c>
      <c r="E101" s="117" t="s">
        <v>303</v>
      </c>
      <c r="F101" s="116"/>
      <c r="G101" s="112" t="s">
        <v>297</v>
      </c>
      <c r="H101" s="113" t="s">
        <v>307</v>
      </c>
      <c r="I101" s="111" t="str" cm="1">
        <f t="array" aca="1" ref="I101" ca="1">HYPERLINK(Common_InputFunctions.Utility_SourceHyperlink($D$82), $D$82)</f>
        <v>M1_Table_M_j_k_l</v>
      </c>
      <c r="U101" s="51" t="str">
        <f>TEXT('Input - Site'!$E$12, "mmmm yyyy")</f>
        <v>January 2024</v>
      </c>
      <c r="V101" s="51">
        <f>(20.7 * V80 * 10 ^ -3)</f>
        <v>6.7217122800000001E-2</v>
      </c>
      <c r="W101" s="51">
        <f>(20.7 * W80 * 10 ^ -3)</f>
        <v>0.19509034611311998</v>
      </c>
      <c r="X101" s="51">
        <f>(20.7 * X80 * 10 ^ -3)</f>
        <v>6.1278762971520004E-2</v>
      </c>
      <c r="Y101" s="51">
        <f>(20.7 * Y80 * 10 ^ -3)</f>
        <v>0.12332640906971998</v>
      </c>
      <c r="Z101" s="51">
        <f>(20.7 * Z80 * 10 ^ -3)</f>
        <v>0.13906254717566999</v>
      </c>
      <c r="AA101" s="51">
        <f>(20.7 * AA80 * 10 ^ -3)</f>
        <v>0.13906254717566999</v>
      </c>
      <c r="AB101" s="51">
        <f>(20.7 * AB80 * 10 ^ -3)</f>
        <v>6.7217122800000001E-2</v>
      </c>
      <c r="AC101" s="51">
        <f>(20.7 * AC80 * 10 ^ -3)</f>
        <v>0.12203432960112003</v>
      </c>
      <c r="AD101" s="51">
        <f>(20.7 * AD80 * 10 ^ -3)</f>
        <v>0.12203432960112003</v>
      </c>
      <c r="AE101" s="51">
        <f>(20.7 * AE80 * 10 ^ -3)</f>
        <v>0.12203432960112003</v>
      </c>
      <c r="AF101" s="2"/>
    </row>
    <row r="102" spans="4:35" ht="20.100000000000001" customHeight="1" x14ac:dyDescent="0.25">
      <c r="D102" s="112" t="s">
        <v>304</v>
      </c>
      <c r="E102" s="117" t="s">
        <v>305</v>
      </c>
      <c r="F102" s="116"/>
      <c r="G102" s="112" t="s">
        <v>308</v>
      </c>
      <c r="H102" s="114" t="s">
        <v>281</v>
      </c>
      <c r="I102" s="111" t="str" cm="1">
        <f t="array" aca="1" ref="I102" ca="1">HYPERLINK(Common_InputFunctions.Utility_SourceHyperlink($D$104), $D$104)</f>
        <v>M1_Table_N_j_k_l</v>
      </c>
      <c r="U102" s="51" t="str">
        <f>TEXT('Input - Site'!$E$12, "mmmm yyyy")</f>
        <v>January 2024</v>
      </c>
      <c r="V102" s="51">
        <f>(20.7 * V81 * 10 ^ -3)</f>
        <v>0.10625098959567</v>
      </c>
      <c r="W102" s="51">
        <f>(20.7 * W81 * 10 ^ -3)</f>
        <v>0.20647957902299996</v>
      </c>
      <c r="X102" s="51">
        <f>(20.7 * X81 * 10 ^ -3)</f>
        <v>8.6995993551750014E-2</v>
      </c>
      <c r="Y102" s="51">
        <f>(20.7 * Y81 * 10 ^ -3)</f>
        <v>0.12270572463087004</v>
      </c>
      <c r="Z102" s="51">
        <f>(20.7 * Z81 * 10 ^ -3)</f>
        <v>0.16461351252206999</v>
      </c>
      <c r="AA102" s="51">
        <f>(20.7 * AA81 * 10 ^ -3)</f>
        <v>0.16461351252206999</v>
      </c>
      <c r="AB102" s="51">
        <f>(20.7 * AB81 * 10 ^ -3)</f>
        <v>9.3403950168869973E-2</v>
      </c>
      <c r="AC102" s="51">
        <f>(20.7 * AC81 * 10 ^ -3)</f>
        <v>0.14220590910911998</v>
      </c>
      <c r="AD102" s="51">
        <f>(20.7 * AD81 * 10 ^ -3)</f>
        <v>0.14220590910911998</v>
      </c>
      <c r="AE102" s="51">
        <f>(20.7 * AE81 * 10 ^ -3)</f>
        <v>0.14220590910911998</v>
      </c>
      <c r="AF102" s="2"/>
    </row>
    <row r="103" spans="4:35" ht="20.100000000000001" customHeight="1" x14ac:dyDescent="0.25">
      <c r="U103" s="51" t="str">
        <f>TEXT('Input - Site'!$E$12, "mmmm yyyy")</f>
        <v>January 2024</v>
      </c>
      <c r="V103" s="51">
        <f>(20.7 * V82 * 10 ^ -3)</f>
        <v>0.10625098959567</v>
      </c>
      <c r="W103" s="51">
        <f>(20.7 * W82 * 10 ^ -3)</f>
        <v>0.20647957902299996</v>
      </c>
      <c r="X103" s="51">
        <f>(20.7 * X82 * 10 ^ -3)</f>
        <v>8.6995993551750014E-2</v>
      </c>
      <c r="Y103" s="51">
        <f>(20.7 * Y82 * 10 ^ -3)</f>
        <v>0.12270572463087004</v>
      </c>
      <c r="Z103" s="51">
        <f>(20.7 * Z82 * 10 ^ -3)</f>
        <v>0.16461351252206999</v>
      </c>
      <c r="AA103" s="51">
        <f>(20.7 * AA82 * 10 ^ -3)</f>
        <v>0.16461351252206999</v>
      </c>
      <c r="AB103" s="51">
        <f>(20.7 * AB82 * 10 ^ -3)</f>
        <v>9.3403950168869973E-2</v>
      </c>
      <c r="AC103" s="51">
        <f>(20.7 * AC82 * 10 ^ -3)</f>
        <v>0.14220590910911998</v>
      </c>
      <c r="AD103" s="51">
        <f>(20.7 * AD82 * 10 ^ -3)</f>
        <v>0.14220590910911998</v>
      </c>
      <c r="AE103" s="51">
        <f>(20.7 * AE82 * 10 ^ -3)</f>
        <v>0.14220590910911998</v>
      </c>
      <c r="AF103" s="2"/>
    </row>
    <row r="104" spans="4:35" ht="20.100000000000001" customHeight="1" x14ac:dyDescent="0.25">
      <c r="D104" s="96" t="s">
        <v>224</v>
      </c>
      <c r="U104" s="51" t="str">
        <f>TEXT('Input - Site'!$E$12, "mmmm yyyy")</f>
        <v>January 2024</v>
      </c>
      <c r="V104" s="51">
        <f>(20.7 * V83 * 10 ^ -3)</f>
        <v>0.10625098959567</v>
      </c>
      <c r="W104" s="51">
        <f>(20.7 * W83 * 10 ^ -3)</f>
        <v>0.20647957902299996</v>
      </c>
      <c r="X104" s="51">
        <f>(20.7 * X83 * 10 ^ -3)</f>
        <v>8.6995993551750014E-2</v>
      </c>
      <c r="Y104" s="51">
        <f>(20.7 * Y83 * 10 ^ -3)</f>
        <v>0.15031451267281581</v>
      </c>
      <c r="Z104" s="51">
        <f>(20.7 * Z83 * 10 ^ -3)</f>
        <v>0.20165155283953573</v>
      </c>
      <c r="AA104" s="51">
        <f>(20.7 * AA83 * 10 ^ -3)</f>
        <v>0.20165155283953573</v>
      </c>
      <c r="AB104" s="51">
        <f>(20.7 * AB83 * 10 ^ -3)</f>
        <v>9.3403950168869973E-2</v>
      </c>
      <c r="AC104" s="51">
        <f>(20.7 * AC83 * 10 ^ -3)</f>
        <v>0.14220590910911998</v>
      </c>
      <c r="AD104" s="51">
        <f>(20.7 * AD83 * 10 ^ -3)</f>
        <v>0.14220590910911998</v>
      </c>
      <c r="AE104" s="51">
        <f>(20.7 * AE83 * 10 ^ -3)</f>
        <v>0.14220590910911998</v>
      </c>
      <c r="AF104" s="2"/>
    </row>
    <row r="105" spans="4:35" ht="20.100000000000001" customHeight="1" x14ac:dyDescent="0.25">
      <c r="D105" s="95" t="s">
        <v>225</v>
      </c>
      <c r="U105" s="51" t="str">
        <f>TEXT('Input - Site'!$E$12, "mmmm yyyy")</f>
        <v>January 2024</v>
      </c>
      <c r="V105" s="51">
        <f>(20.7 * V84 * 10 ^ -3)</f>
        <v>0.17948772790272</v>
      </c>
      <c r="W105" s="51">
        <f>(20.7 * W84 * 10 ^ -3)</f>
        <v>0.25350255517500003</v>
      </c>
      <c r="X105" s="51">
        <f>(20.7 * X84 * 10 ^ -3)</f>
        <v>0.13680549733887001</v>
      </c>
      <c r="Y105" s="51">
        <f>(20.7 * Y84 * 10 ^ -3)</f>
        <v>0.21992772499678584</v>
      </c>
      <c r="Z105" s="51">
        <f>(20.7 * Z84 * 10 ^ -3)</f>
        <v>0.24422040423270006</v>
      </c>
      <c r="AA105" s="51">
        <f>(20.7 * AA84 * 10 ^ -3)</f>
        <v>0.24422040423270006</v>
      </c>
      <c r="AB105" s="51">
        <f>(20.7 * AB84 * 10 ^ -3)</f>
        <v>0.15771860106299995</v>
      </c>
      <c r="AC105" s="51">
        <f>(20.7 * AC84 * 10 ^ -3)</f>
        <v>0.20042625868091996</v>
      </c>
      <c r="AD105" s="51">
        <f>(20.7 * AD84 * 10 ^ -3)</f>
        <v>0.20042625868091996</v>
      </c>
      <c r="AE105" s="51">
        <f>(20.7 * AE84 * 10 ^ -3)</f>
        <v>0.20042625868091996</v>
      </c>
      <c r="AF105" s="2"/>
    </row>
    <row r="106" spans="4:35" ht="20.100000000000001" customHeight="1" x14ac:dyDescent="0.25">
      <c r="D106" s="50" t="s">
        <v>145</v>
      </c>
      <c r="E106" s="115" t="s">
        <v>103</v>
      </c>
      <c r="F106" s="115" t="s">
        <v>102</v>
      </c>
      <c r="G106" s="115" t="s">
        <v>126</v>
      </c>
      <c r="H106" s="115" t="s">
        <v>127</v>
      </c>
      <c r="I106" s="115" t="s">
        <v>128</v>
      </c>
      <c r="J106" s="115" t="s">
        <v>129</v>
      </c>
      <c r="K106" s="115" t="s">
        <v>130</v>
      </c>
      <c r="L106" s="115" t="s">
        <v>131</v>
      </c>
      <c r="M106" s="115" t="s">
        <v>132</v>
      </c>
      <c r="N106" s="115" t="s">
        <v>133</v>
      </c>
      <c r="U106" s="51" t="str">
        <f>TEXT('Input - Site'!$E$12, "mmmm yyyy")</f>
        <v>January 2024</v>
      </c>
      <c r="V106" s="51">
        <f>(20.7 * V85 * 10 ^ -3)</f>
        <v>0.17948772790272</v>
      </c>
      <c r="W106" s="51">
        <f>(20.7 * W85 * 10 ^ -3)</f>
        <v>0.25350255517500003</v>
      </c>
      <c r="X106" s="51">
        <f>(20.7 * X85 * 10 ^ -3)</f>
        <v>0.13680549733887001</v>
      </c>
      <c r="Y106" s="51">
        <f>(20.7 * Y85 * 10 ^ -3)</f>
        <v>0.21992772499678584</v>
      </c>
      <c r="Z106" s="51">
        <f>(20.7 * Z85 * 10 ^ -3)</f>
        <v>0.24422040423270006</v>
      </c>
      <c r="AA106" s="51">
        <f>(20.7 * AA85 * 10 ^ -3)</f>
        <v>0.24422040423270006</v>
      </c>
      <c r="AB106" s="51">
        <f>(20.7 * AB85 * 10 ^ -3)</f>
        <v>0.15771860106299995</v>
      </c>
      <c r="AC106" s="51">
        <f>(20.7 * AC85 * 10 ^ -3)</f>
        <v>0.20042625868091996</v>
      </c>
      <c r="AD106" s="51">
        <f>(20.7 * AD85 * 10 ^ -3)</f>
        <v>0.20042625868091996</v>
      </c>
      <c r="AE106" s="51">
        <f>(20.7 * AE85 * 10 ^ -3)</f>
        <v>0.20042625868091996</v>
      </c>
      <c r="AF106" s="2"/>
    </row>
    <row r="107" spans="4:35" ht="20.100000000000001" customHeight="1" x14ac:dyDescent="0.25">
      <c r="D107" s="51" t="s">
        <v>134</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2024</v>
      </c>
      <c r="V107" s="51">
        <f>(20.7 * V86 * 10 ^ -3)</f>
        <v>0.17948772790272</v>
      </c>
      <c r="W107" s="51">
        <f>(20.7 * W86 * 10 ^ -3)</f>
        <v>0.25350255517500003</v>
      </c>
      <c r="X107" s="51">
        <f>(20.7 * X86 * 10 ^ -3)</f>
        <v>0.13680549733887001</v>
      </c>
      <c r="Y107" s="51">
        <f>(20.7 * Y86 * 10 ^ -3)</f>
        <v>0.19299779948697532</v>
      </c>
      <c r="Z107" s="51">
        <f>(20.7 * Z86 * 10 ^ -3)</f>
        <v>0.21431586493890006</v>
      </c>
      <c r="AA107" s="51">
        <f>(20.7 * AA86 * 10 ^ -3)</f>
        <v>0.21431586493890006</v>
      </c>
      <c r="AB107" s="51">
        <f>(20.7 * AB86 * 10 ^ -3)</f>
        <v>0.15771860106299995</v>
      </c>
      <c r="AC107" s="51">
        <f>(20.7 * AC86 * 10 ^ -3)</f>
        <v>0.20042625868091996</v>
      </c>
      <c r="AD107" s="51">
        <f>(20.7 * AD86 * 10 ^ -3)</f>
        <v>0.20042625868091996</v>
      </c>
      <c r="AE107" s="51">
        <f>(20.7 * AE86 * 10 ^ -3)</f>
        <v>0.20042625868091996</v>
      </c>
      <c r="AF107" s="2"/>
    </row>
    <row r="108" spans="4:35" ht="20.100000000000001" customHeight="1" x14ac:dyDescent="0.25">
      <c r="D108" s="51" t="s">
        <v>135</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2024</v>
      </c>
      <c r="V108" s="51">
        <f>(20.7 * V87 * 10 ^ -3)</f>
        <v>0.14793987137471989</v>
      </c>
      <c r="W108" s="51">
        <f>(20.7 * W87 * 10 ^ -3)</f>
        <v>0.19573907587452002</v>
      </c>
      <c r="X108" s="51">
        <f>(20.7 * X87 * 10 ^ -3)</f>
        <v>0.12441409099199996</v>
      </c>
      <c r="Y108" s="51">
        <f>(20.7 * Y87 * 10 ^ -3)</f>
        <v>0.17513940725488128</v>
      </c>
      <c r="Z108" s="51">
        <f>(20.7 * Z87 * 10 ^ -3)</f>
        <v>0.17340944296568395</v>
      </c>
      <c r="AA108" s="51">
        <f>(20.7 * AA87 * 10 ^ -3)</f>
        <v>0.17340944296568395</v>
      </c>
      <c r="AB108" s="51">
        <f>(20.7 * AB87 * 10 ^ -3)</f>
        <v>0.13636416641471999</v>
      </c>
      <c r="AC108" s="51">
        <f>(20.7 * AC87 * 10 ^ -3)</f>
        <v>0.15200155388727002</v>
      </c>
      <c r="AD108" s="51">
        <f>(20.7 * AD87 * 10 ^ -3)</f>
        <v>0.15200155388727002</v>
      </c>
      <c r="AE108" s="51">
        <f>(20.7 * AE87 * 10 ^ -3)</f>
        <v>0.15200155388727002</v>
      </c>
      <c r="AF108" s="2"/>
    </row>
    <row r="109" spans="4:35" ht="20.100000000000001" customHeight="1" x14ac:dyDescent="0.25">
      <c r="D109" s="51" t="s">
        <v>136</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137</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115</v>
      </c>
      <c r="U112" s="6" t="s">
        <v>298</v>
      </c>
    </row>
    <row r="113" spans="4:34" ht="20.100000000000001" customHeight="1" x14ac:dyDescent="0.25">
      <c r="D113" s="95" t="s">
        <v>226</v>
      </c>
    </row>
    <row r="114" spans="4:34" ht="20.100000000000001" customHeight="1" x14ac:dyDescent="0.25">
      <c r="D114" s="50" t="s">
        <v>145</v>
      </c>
      <c r="E114" s="115" t="s">
        <v>103</v>
      </c>
      <c r="F114" s="115" t="s">
        <v>102</v>
      </c>
      <c r="G114" s="115" t="s">
        <v>126</v>
      </c>
      <c r="H114" s="115" t="s">
        <v>127</v>
      </c>
      <c r="I114" s="115" t="s">
        <v>128</v>
      </c>
      <c r="J114" s="115" t="s">
        <v>129</v>
      </c>
      <c r="K114" s="115" t="s">
        <v>130</v>
      </c>
      <c r="L114" s="115" t="s">
        <v>131</v>
      </c>
      <c r="M114" s="115" t="s">
        <v>132</v>
      </c>
      <c r="N114" s="115" t="s">
        <v>133</v>
      </c>
      <c r="U114" s="96" t="s">
        <v>227</v>
      </c>
    </row>
    <row r="115" spans="4:34" ht="20.100000000000001" customHeight="1" x14ac:dyDescent="0.25">
      <c r="D115" s="51" t="s">
        <v>134</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228</v>
      </c>
      <c r="AH115" s="2"/>
    </row>
    <row r="116" spans="4:34" ht="20.100000000000001" customHeight="1" x14ac:dyDescent="0.25">
      <c r="D116" s="51" t="s">
        <v>135</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104</v>
      </c>
      <c r="V116" s="115" t="s">
        <v>103</v>
      </c>
      <c r="W116" s="115" t="s">
        <v>102</v>
      </c>
      <c r="X116" s="115" t="s">
        <v>126</v>
      </c>
      <c r="Y116" s="115" t="s">
        <v>127</v>
      </c>
      <c r="Z116" s="115" t="s">
        <v>128</v>
      </c>
      <c r="AA116" s="115" t="s">
        <v>129</v>
      </c>
      <c r="AB116" s="115" t="s">
        <v>130</v>
      </c>
      <c r="AC116" s="115" t="s">
        <v>131</v>
      </c>
      <c r="AD116" s="115" t="s">
        <v>132</v>
      </c>
      <c r="AE116" s="115" t="s">
        <v>133</v>
      </c>
      <c r="AF116" s="2"/>
      <c r="AH116" s="2"/>
    </row>
    <row r="117" spans="4:34" ht="20.100000000000001" customHeight="1" x14ac:dyDescent="0.25">
      <c r="D117" s="51" t="s">
        <v>136</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2024</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137</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2024</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2024</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259</v>
      </c>
      <c r="U120" s="51" t="str">
        <f>TEXT(EDATE('Input - Site'!$E$12,3), "mmmm yyyy")</f>
        <v>April 2024</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260</v>
      </c>
      <c r="U121" s="51" t="str">
        <f>TEXT(EDATE('Input - Site'!$E$12,4), "mmmm yyyy")</f>
        <v>May 2024</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145</v>
      </c>
      <c r="E122" s="50" t="s">
        <v>103</v>
      </c>
      <c r="F122" s="50" t="s">
        <v>102</v>
      </c>
      <c r="G122" s="50" t="s">
        <v>126</v>
      </c>
      <c r="H122" s="50" t="s">
        <v>127</v>
      </c>
      <c r="I122" s="50" t="s">
        <v>128</v>
      </c>
      <c r="J122" s="50" t="s">
        <v>129</v>
      </c>
      <c r="K122" s="50" t="s">
        <v>130</v>
      </c>
      <c r="L122" s="50" t="s">
        <v>131</v>
      </c>
      <c r="M122" s="50" t="s">
        <v>132</v>
      </c>
      <c r="N122" s="50" t="s">
        <v>133</v>
      </c>
      <c r="U122" s="51" t="str">
        <f>TEXT(EDATE('Input - Site'!$E$12,5), "mmmm yyyy")</f>
        <v>June 2024</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134</v>
      </c>
      <c r="E123" s="51">
        <f>((E115 * E85 * E107) * 10 ^ -3)</f>
        <v>1.6378255171123202</v>
      </c>
      <c r="F123" s="51">
        <f>((F115 * F85 * F107) * 10 ^ -3)</f>
        <v>2.3132108159718756</v>
      </c>
      <c r="G123" s="51">
        <f>((G115 * G85 * G107) * 10 ^ -3)</f>
        <v>1.2483501632171887</v>
      </c>
      <c r="H123" s="51">
        <f>((H115 * H85 * H107) * 10 ^ -3)</f>
        <v>1.7856784773463517</v>
      </c>
      <c r="I123" s="51">
        <f>((I115 * I85 * I107) * 10 ^ -3)</f>
        <v>1.9101524473914753</v>
      </c>
      <c r="J123" s="51">
        <f>((J115 * J85 * J107) * 10 ^ -3)</f>
        <v>1.9101524473914753</v>
      </c>
      <c r="K123" s="51">
        <f>((K115 * K85 * K107) * 10 ^ -3)</f>
        <v>1.4391822346998746</v>
      </c>
      <c r="L123" s="51">
        <f>((L115 * L85 * L107) * 10 ^ -3)</f>
        <v>1.8288896104633945</v>
      </c>
      <c r="M123" s="51">
        <f>((M115 * M85 * M107) * 10 ^ -3)</f>
        <v>1.8288896104633945</v>
      </c>
      <c r="N123" s="51">
        <f>((N115 * N85 * N107) * 10 ^ -3)</f>
        <v>1.8288896104633945</v>
      </c>
      <c r="O123" s="2" t="str">
        <f>E98</f>
        <v>t CH4</v>
      </c>
      <c r="Q123" s="2"/>
      <c r="U123" s="51" t="str">
        <f>TEXT(EDATE('Input - Site'!$E$12,6), "mmmm yyyy")</f>
        <v>July 2024</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135</v>
      </c>
      <c r="E124" s="51">
        <f>((E116 * E86 * E108) * 10 ^ -3)</f>
        <v>1.3499513262943192</v>
      </c>
      <c r="F124" s="51">
        <f>((F116 * F86 * F108) * 10 ^ -3)</f>
        <v>1.7861190673549951</v>
      </c>
      <c r="G124" s="51">
        <f>((G116 * G86 * G108) * 10 ^ -3)</f>
        <v>1.1352785803019998</v>
      </c>
      <c r="H124" s="51">
        <f>((H116 * H86 * H108) * 10 ^ -3)</f>
        <v>1.486648456930969</v>
      </c>
      <c r="I124" s="51">
        <f>((I116 * I86 * I108) * 10 ^ -3)</f>
        <v>1.4719638763366196</v>
      </c>
      <c r="J124" s="51">
        <f>((J116 * J86 * J108) * 10 ^ -3)</f>
        <v>1.4719638763366196</v>
      </c>
      <c r="K124" s="51">
        <f>((K116 * K86 * K108) * 10 ^ -3)</f>
        <v>1.2443230185343197</v>
      </c>
      <c r="L124" s="51">
        <f>((L116 * L86 * L108) * 10 ^ -3)</f>
        <v>1.3870141792213391</v>
      </c>
      <c r="M124" s="51">
        <f>((M116 * M86 * M108) * 10 ^ -3)</f>
        <v>1.3870141792213391</v>
      </c>
      <c r="N124" s="51">
        <f>((N116 * N86 * N108) * 10 ^ -3)</f>
        <v>1.3870141792213391</v>
      </c>
      <c r="O124" s="2"/>
      <c r="Q124" s="2"/>
      <c r="U124" s="51" t="str">
        <f>TEXT(EDATE('Input - Site'!$E$12,7), "mmmm yyyy")</f>
        <v>August 2024</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136</v>
      </c>
      <c r="E125" s="51">
        <f>((E117 * E87 * E109) * 10 ^ -3)</f>
        <v>0.61335624555000001</v>
      </c>
      <c r="F125" s="51">
        <f>((F117 * F87 * F109) * 10 ^ -3)</f>
        <v>1.7801994082822199</v>
      </c>
      <c r="G125" s="51">
        <f>((G117 * G87 * G109) * 10 ^ -3)</f>
        <v>0.55916871211511998</v>
      </c>
      <c r="H125" s="51">
        <f>((H117 * H87 * H109) * 10 ^ -3)</f>
        <v>1.1253534827611948</v>
      </c>
      <c r="I125" s="51">
        <f>((I117 * I87 * I109) * 10 ^ -3)</f>
        <v>1.2689457429779887</v>
      </c>
      <c r="J125" s="51">
        <f>((J117 * J87 * J109) * 10 ^ -3)</f>
        <v>1.2689457429779887</v>
      </c>
      <c r="K125" s="51">
        <f>((K117 * K87 * K109) * 10 ^ -3)</f>
        <v>0.61335624555000001</v>
      </c>
      <c r="L125" s="51">
        <f>((L117 * L87 * L109) * 10 ^ -3)</f>
        <v>1.1135632576102203</v>
      </c>
      <c r="M125" s="51">
        <f>((M117 * M87 * M109) * 10 ^ -3)</f>
        <v>1.1135632576102203</v>
      </c>
      <c r="N125" s="51">
        <f>((N117 * N87 * N109) * 10 ^ -3)</f>
        <v>1.1135632576102203</v>
      </c>
      <c r="O125" s="2"/>
      <c r="Q125" s="2"/>
      <c r="U125" s="51" t="str">
        <f>TEXT(EDATE('Input - Site'!$E$12,8), "mmmm yyyy")</f>
        <v>September 2024</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137</v>
      </c>
      <c r="E126" s="51">
        <f>((E118 * E88 * E110) * 10 ^ -3)</f>
        <v>0.96954028006048887</v>
      </c>
      <c r="F126" s="51">
        <f>((F118 * F88 * F110) * 10 ^ -3)</f>
        <v>1.8841261585848745</v>
      </c>
      <c r="G126" s="51">
        <f>((G118 * G88 * G110) * 10 ^ -3)</f>
        <v>0.79383844115971891</v>
      </c>
      <c r="H126" s="51">
        <f>((H118 * H88 * H110) * 10 ^ -3)</f>
        <v>1.422005966315995</v>
      </c>
      <c r="I126" s="51">
        <f>((I118 * I88 * I110) * 10 ^ -3)</f>
        <v>1.7274130470284719</v>
      </c>
      <c r="J126" s="51">
        <f>((J118 * J88 * J110) * 10 ^ -3)</f>
        <v>1.7274130470284719</v>
      </c>
      <c r="K126" s="51">
        <f>((K118 * K88 * K110) * 10 ^ -3)</f>
        <v>0.8523110452909386</v>
      </c>
      <c r="L126" s="51">
        <f>((L118 * L88 * L110) * 10 ^ -3)</f>
        <v>1.2976289206207199</v>
      </c>
      <c r="M126" s="51">
        <f>((M118 * M88 * M110) * 10 ^ -3)</f>
        <v>1.2976289206207199</v>
      </c>
      <c r="N126" s="51">
        <f>((N118 * N88 * N110) * 10 ^ -3)</f>
        <v>1.2976289206207199</v>
      </c>
      <c r="O126" s="2"/>
      <c r="Q126" s="2"/>
      <c r="U126" s="51" t="str">
        <f>TEXT(EDATE('Input - Site'!$E$12,9), "mmmm yyyy")</f>
        <v>October 2024</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2024</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231</v>
      </c>
      <c r="E128" s="98">
        <f>SUM(E123:N126)</f>
        <v>55.678061774650885</v>
      </c>
      <c r="F128" s="99" t="str">
        <f>$E$98</f>
        <v>t CH4</v>
      </c>
      <c r="Q128" s="2"/>
      <c r="U128" s="51" t="str">
        <f>TEXT(EDATE('Input - Site'!$E$12,11), "mmmm yyyy")</f>
        <v>December 2024</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117</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229</v>
      </c>
      <c r="AH131" s="2"/>
    </row>
    <row r="132" spans="4:34" ht="20.100000000000001" customHeight="1" x14ac:dyDescent="0.25">
      <c r="U132" s="50" t="s">
        <v>104</v>
      </c>
      <c r="V132" s="115" t="s">
        <v>103</v>
      </c>
      <c r="W132" s="115" t="s">
        <v>102</v>
      </c>
      <c r="X132" s="115" t="s">
        <v>126</v>
      </c>
      <c r="Y132" s="115" t="s">
        <v>127</v>
      </c>
      <c r="Z132" s="115" t="s">
        <v>128</v>
      </c>
      <c r="AA132" s="115" t="s">
        <v>129</v>
      </c>
      <c r="AB132" s="115" t="s">
        <v>130</v>
      </c>
      <c r="AC132" s="115" t="s">
        <v>131</v>
      </c>
      <c r="AD132" s="115" t="s">
        <v>132</v>
      </c>
      <c r="AE132" s="115" t="s">
        <v>133</v>
      </c>
      <c r="AF132" s="2"/>
      <c r="AH132" s="2"/>
    </row>
    <row r="133" spans="4:34" ht="20.100000000000001" customHeight="1" x14ac:dyDescent="0.25">
      <c r="D133" s="44" t="s">
        <v>82</v>
      </c>
      <c r="E133" s="44" cm="1">
        <f t="array" ref="E133">Common_Equations.Common_ConvertN2OToCO2e(G130,G131)</f>
        <v>1558.9857296902248</v>
      </c>
      <c r="F133" s="101" t="str" cm="1">
        <f t="array" ref="F133">Common_Equations.Common_ConvertN2OToCO2e_Unit()</f>
        <v>t CO2e</v>
      </c>
      <c r="U133" s="51" t="str">
        <f>TEXT('Input - Site'!$E$12, "mmmm yyyy")</f>
        <v>January 2024</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2024</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2024</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2024</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2024</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2024</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2024</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2024</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2024</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2024</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2024</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2024</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261</v>
      </c>
    </row>
    <row r="147" spans="21:32" ht="20.100000000000001" customHeight="1" x14ac:dyDescent="0.25">
      <c r="U147" s="95" t="s">
        <v>262</v>
      </c>
    </row>
    <row r="148" spans="21:32" ht="20.100000000000001" customHeight="1" x14ac:dyDescent="0.25">
      <c r="U148" s="50" t="s">
        <v>104</v>
      </c>
      <c r="V148" s="50" t="s">
        <v>103</v>
      </c>
      <c r="W148" s="50" t="s">
        <v>102</v>
      </c>
      <c r="X148" s="50" t="s">
        <v>126</v>
      </c>
      <c r="Y148" s="50" t="s">
        <v>127</v>
      </c>
      <c r="Z148" s="50" t="s">
        <v>128</v>
      </c>
      <c r="AA148" s="50" t="s">
        <v>129</v>
      </c>
      <c r="AB148" s="50" t="s">
        <v>130</v>
      </c>
      <c r="AC148" s="50" t="s">
        <v>131</v>
      </c>
      <c r="AD148" s="50" t="s">
        <v>132</v>
      </c>
      <c r="AE148" s="50" t="s">
        <v>133</v>
      </c>
    </row>
    <row r="149" spans="21:32" ht="20.100000000000001" customHeight="1" x14ac:dyDescent="0.25">
      <c r="U149" s="51" t="str">
        <f t="shared" ref="U149:U160" si="3">U133</f>
        <v>January 2024</v>
      </c>
      <c r="V149" s="51">
        <f>((V133 * V97 * V117) * 10 ^ -3)</f>
        <v>0.4586136012616317</v>
      </c>
      <c r="W149" s="51">
        <f>((W133 * W97 * W117) * 10 ^ -3)</f>
        <v>0.60679113521101213</v>
      </c>
      <c r="X149" s="51">
        <f>((X133 * X97 * X117) * 10 ^ -3)</f>
        <v>0.38568368207519993</v>
      </c>
      <c r="Y149" s="51">
        <f>((Y133 * Y97 * Y117) * 10 ^ -3)</f>
        <v>0.54293216249013199</v>
      </c>
      <c r="Z149" s="51">
        <f>((Z133 * Z97 * Z117) * 10 ^ -3)</f>
        <v>0.53756927319362025</v>
      </c>
      <c r="AA149" s="51">
        <f>((AA133 * AA97 * AA117) * 10 ^ -3)</f>
        <v>0.53756927319362025</v>
      </c>
      <c r="AB149" s="51">
        <f>((AB133 * AB97 * AB117) * 10 ^ -3)</f>
        <v>0.422728915885632</v>
      </c>
      <c r="AC149" s="51">
        <f>((AC133 * AC97 * AC117) * 10 ^ -3)</f>
        <v>0.47120481705053707</v>
      </c>
      <c r="AD149" s="51">
        <f>((AD133 * AD97 * AD117) * 10 ^ -3)</f>
        <v>0.47120481705053707</v>
      </c>
      <c r="AE149" s="51">
        <f>((AE133 * AE97 * AE117) * 10 ^ -3)</f>
        <v>0.47120481705053707</v>
      </c>
      <c r="AF149" s="2" t="str">
        <f>$E$98</f>
        <v>t CH4</v>
      </c>
    </row>
    <row r="150" spans="21:32" ht="20.100000000000001" customHeight="1" x14ac:dyDescent="0.25">
      <c r="U150" s="51" t="str">
        <f t="shared" si="3"/>
        <v>February 2024</v>
      </c>
      <c r="V150" s="51">
        <f>((V134 * V98 * V118) * 10 ^ -3)</f>
        <v>0.42902562698668767</v>
      </c>
      <c r="W150" s="51">
        <f>((W134 * W98 * W118) * 10 ^ -3)</f>
        <v>0.56764332003610807</v>
      </c>
      <c r="X150" s="51">
        <f>((X134 * X98 * X118) * 10 ^ -3)</f>
        <v>0.36080086387679988</v>
      </c>
      <c r="Y150" s="51">
        <f>((Y134 * Y98 * Y118) * 10 ^ -3)</f>
        <v>0.47246909864107506</v>
      </c>
      <c r="Z150" s="51">
        <f>((Z134 * Z98 * Z118) * 10 ^ -3)</f>
        <v>0.46780221823300788</v>
      </c>
      <c r="AA150" s="51">
        <f>((AA134 * AA98 * AA118) * 10 ^ -3)</f>
        <v>0.46780221823300788</v>
      </c>
      <c r="AB150" s="51">
        <f>((AB134 * AB98 * AB118) * 10 ^ -3)</f>
        <v>0.39545608260268794</v>
      </c>
      <c r="AC150" s="51">
        <f>((AC134 * AC98 * AC118) * 10 ^ -3)</f>
        <v>0.4408045062730831</v>
      </c>
      <c r="AD150" s="51">
        <f>((AD134 * AD98 * AD118) * 10 ^ -3)</f>
        <v>0.4408045062730831</v>
      </c>
      <c r="AE150" s="51">
        <f>((AE134 * AE98 * AE118) * 10 ^ -3)</f>
        <v>0.4408045062730831</v>
      </c>
      <c r="AF150" s="2"/>
    </row>
    <row r="151" spans="21:32" ht="20.100000000000001" customHeight="1" x14ac:dyDescent="0.25">
      <c r="U151" s="51" t="str">
        <f t="shared" si="3"/>
        <v>March 2024</v>
      </c>
      <c r="V151" s="51">
        <f>((V135 * V99 * V119) * 10 ^ -3)</f>
        <v>0.20837308068000002</v>
      </c>
      <c r="W151" s="51">
        <f>((W135 * W99 * W119) * 10 ^ -3)</f>
        <v>0.60478007295067204</v>
      </c>
      <c r="X151" s="51">
        <f>((X135 * X99 * X119) * 10 ^ -3)</f>
        <v>0.18996416521171203</v>
      </c>
      <c r="Y151" s="51">
        <f>((Y135 * Y99 * Y119) * 10 ^ -3)</f>
        <v>0.38231186811613199</v>
      </c>
      <c r="Z151" s="51">
        <f>((Z135 * Z99 * Z119) * 10 ^ -3)</f>
        <v>0.431093896244577</v>
      </c>
      <c r="AA151" s="51">
        <f>((AA135 * AA99 * AA119) * 10 ^ -3)</f>
        <v>0.431093896244577</v>
      </c>
      <c r="AB151" s="51">
        <f>((AB135 * AB99 * AB119) * 10 ^ -3)</f>
        <v>0.20837308068000002</v>
      </c>
      <c r="AC151" s="51">
        <f>((AC135 * AC99 * AC119) * 10 ^ -3)</f>
        <v>0.37830642176347212</v>
      </c>
      <c r="AD151" s="51">
        <f>((AD135 * AD99 * AD119) * 10 ^ -3)</f>
        <v>0.37830642176347212</v>
      </c>
      <c r="AE151" s="51">
        <f>((AE135 * AE99 * AE119) * 10 ^ -3)</f>
        <v>0.37830642176347212</v>
      </c>
      <c r="AF151" s="2"/>
    </row>
    <row r="152" spans="21:32" ht="20.100000000000001" customHeight="1" x14ac:dyDescent="0.25">
      <c r="U152" s="51" t="str">
        <f t="shared" si="3"/>
        <v>April 2024</v>
      </c>
      <c r="V152" s="51">
        <f>((V136 * V100 * V120) * 10 ^ -3)</f>
        <v>0.2016513684</v>
      </c>
      <c r="W152" s="51">
        <f>((W136 * W100 * W120) * 10 ^ -3)</f>
        <v>0.58527103833936001</v>
      </c>
      <c r="X152" s="51">
        <f>((X136 * X100 * X120) * 10 ^ -3)</f>
        <v>0.18383628891456003</v>
      </c>
      <c r="Y152" s="51">
        <f>((Y136 * Y100 * Y120) * 10 ^ -3)</f>
        <v>0.36997922720915993</v>
      </c>
      <c r="Z152" s="51">
        <f>((Z136 * Z100 * Z120) * 10 ^ -3)</f>
        <v>0.41718764152700993</v>
      </c>
      <c r="AA152" s="51">
        <f>((AA136 * AA100 * AA120) * 10 ^ -3)</f>
        <v>0.41718764152700993</v>
      </c>
      <c r="AB152" s="51">
        <f>((AB136 * AB100 * AB120) * 10 ^ -3)</f>
        <v>0.2016513684</v>
      </c>
      <c r="AC152" s="51">
        <f>((AC136 * AC100 * AC120) * 10 ^ -3)</f>
        <v>0.36610298880336012</v>
      </c>
      <c r="AD152" s="51">
        <f>((AD136 * AD100 * AD120) * 10 ^ -3)</f>
        <v>0.36610298880336012</v>
      </c>
      <c r="AE152" s="51">
        <f>((AE136 * AE100 * AE120) * 10 ^ -3)</f>
        <v>0.36610298880336012</v>
      </c>
      <c r="AF152" s="2"/>
    </row>
    <row r="153" spans="21:32" ht="20.100000000000001" customHeight="1" x14ac:dyDescent="0.25">
      <c r="U153" s="51" t="str">
        <f t="shared" si="3"/>
        <v>May 2024</v>
      </c>
      <c r="V153" s="51">
        <f>((V137 * V101 * V121) * 10 ^ -3)</f>
        <v>0.20837308068000002</v>
      </c>
      <c r="W153" s="51">
        <f>((W137 * W101 * W121) * 10 ^ -3)</f>
        <v>0.60478007295067204</v>
      </c>
      <c r="X153" s="51">
        <f>((X137 * X101 * X121) * 10 ^ -3)</f>
        <v>0.18996416521171203</v>
      </c>
      <c r="Y153" s="51">
        <f>((Y137 * Y101 * Y121) * 10 ^ -3)</f>
        <v>0.38231186811613199</v>
      </c>
      <c r="Z153" s="51">
        <f>((Z137 * Z101 * Z121) * 10 ^ -3)</f>
        <v>0.431093896244577</v>
      </c>
      <c r="AA153" s="51">
        <f>((AA137 * AA101 * AA121) * 10 ^ -3)</f>
        <v>0.431093896244577</v>
      </c>
      <c r="AB153" s="51">
        <f>((AB137 * AB101 * AB121) * 10 ^ -3)</f>
        <v>0.20837308068000002</v>
      </c>
      <c r="AC153" s="51">
        <f>((AC137 * AC101 * AC121) * 10 ^ -3)</f>
        <v>0.37830642176347212</v>
      </c>
      <c r="AD153" s="51">
        <f>((AD137 * AD101 * AD121) * 10 ^ -3)</f>
        <v>0.37830642176347212</v>
      </c>
      <c r="AE153" s="51">
        <f>((AE137 * AE101 * AE121) * 10 ^ -3)</f>
        <v>0.37830642176347212</v>
      </c>
      <c r="AF153" s="2"/>
    </row>
    <row r="154" spans="21:32" ht="20.100000000000001" customHeight="1" x14ac:dyDescent="0.25">
      <c r="U154" s="51" t="str">
        <f t="shared" si="3"/>
        <v>June 2024</v>
      </c>
      <c r="V154" s="51">
        <f>((V138 * V102 * V122) * 10 ^ -3)</f>
        <v>0.31875296878700998</v>
      </c>
      <c r="W154" s="51">
        <f>((W138 * W102 * W122) * 10 ^ -3)</f>
        <v>0.61943873706899988</v>
      </c>
      <c r="X154" s="51">
        <f>((X138 * X102 * X122) * 10 ^ -3)</f>
        <v>0.26098798065525008</v>
      </c>
      <c r="Y154" s="51">
        <f>((Y138 * Y102 * Y122) * 10 ^ -3)</f>
        <v>0.36811717389261017</v>
      </c>
      <c r="Z154" s="51">
        <f>((Z138 * Z102 * Z122) * 10 ^ -3)</f>
        <v>0.49384053756620999</v>
      </c>
      <c r="AA154" s="51">
        <f>((AA138 * AA102 * AA122) * 10 ^ -3)</f>
        <v>0.49384053756620999</v>
      </c>
      <c r="AB154" s="51">
        <f>((AB138 * AB102 * AB122) * 10 ^ -3)</f>
        <v>0.28021185050660996</v>
      </c>
      <c r="AC154" s="51">
        <f>((AC138 * AC102 * AC122) * 10 ^ -3)</f>
        <v>0.42661772732735997</v>
      </c>
      <c r="AD154" s="51">
        <f>((AD138 * AD102 * AD122) * 10 ^ -3)</f>
        <v>0.42661772732735997</v>
      </c>
      <c r="AE154" s="51">
        <f>((AE138 * AE102 * AE122) * 10 ^ -3)</f>
        <v>0.42661772732735997</v>
      </c>
      <c r="AF154" s="2"/>
    </row>
    <row r="155" spans="21:32" ht="20.100000000000001" customHeight="1" x14ac:dyDescent="0.25">
      <c r="U155" s="51" t="str">
        <f t="shared" si="3"/>
        <v>July 2024</v>
      </c>
      <c r="V155" s="51">
        <f>((V139 * V103 * V123) * 10 ^ -3)</f>
        <v>0.32937806774657702</v>
      </c>
      <c r="W155" s="51">
        <f>((W139 * W103 * W123) * 10 ^ -3)</f>
        <v>0.64008669497129989</v>
      </c>
      <c r="X155" s="51">
        <f>((X139 * X103 * X123) * 10 ^ -3)</f>
        <v>0.26968758001042503</v>
      </c>
      <c r="Y155" s="51">
        <f>((Y139 * Y103 * Y123) * 10 ^ -3)</f>
        <v>0.38038774635569711</v>
      </c>
      <c r="Z155" s="51">
        <f>((Z139 * Z103 * Z123) * 10 ^ -3)</f>
        <v>0.51030188881841698</v>
      </c>
      <c r="AA155" s="51">
        <f>((AA139 * AA103 * AA123) * 10 ^ -3)</f>
        <v>0.51030188881841698</v>
      </c>
      <c r="AB155" s="51">
        <f>((AB139 * AB103 * AB123) * 10 ^ -3)</f>
        <v>0.2895522455234969</v>
      </c>
      <c r="AC155" s="51">
        <f>((AC139 * AC103 * AC123) * 10 ^ -3)</f>
        <v>0.44083831823827196</v>
      </c>
      <c r="AD155" s="51">
        <f>((AD139 * AD103 * AD123) * 10 ^ -3)</f>
        <v>0.44083831823827196</v>
      </c>
      <c r="AE155" s="51">
        <f>((AE139 * AE103 * AE123) * 10 ^ -3)</f>
        <v>0.44083831823827196</v>
      </c>
      <c r="AF155" s="2"/>
    </row>
    <row r="156" spans="21:32" ht="20.100000000000001" customHeight="1" x14ac:dyDescent="0.25">
      <c r="U156" s="51" t="str">
        <f t="shared" si="3"/>
        <v>August 2024</v>
      </c>
      <c r="V156" s="51">
        <f>((V140 * V104 * V124) * 10 ^ -3)</f>
        <v>0.32937806774657702</v>
      </c>
      <c r="W156" s="51">
        <f>((W140 * W104 * W124) * 10 ^ -3)</f>
        <v>0.64008669497129989</v>
      </c>
      <c r="X156" s="51">
        <f>((X140 * X104 * X124) * 10 ^ -3)</f>
        <v>0.26968758001042503</v>
      </c>
      <c r="Y156" s="51">
        <f>((Y140 * Y104 * Y124) * 10 ^ -3)</f>
        <v>0.465974989285729</v>
      </c>
      <c r="Z156" s="51">
        <f>((Z140 * Z104 * Z124) * 10 ^ -3)</f>
        <v>0.62511981380256076</v>
      </c>
      <c r="AA156" s="51">
        <f>((AA140 * AA104 * AA124) * 10 ^ -3)</f>
        <v>0.62511981380256076</v>
      </c>
      <c r="AB156" s="51">
        <f>((AB140 * AB104 * AB124) * 10 ^ -3)</f>
        <v>0.2895522455234969</v>
      </c>
      <c r="AC156" s="51">
        <f>((AC140 * AC104 * AC124) * 10 ^ -3)</f>
        <v>0.44083831823827196</v>
      </c>
      <c r="AD156" s="51">
        <f>((AD140 * AD104 * AD124) * 10 ^ -3)</f>
        <v>0.44083831823827196</v>
      </c>
      <c r="AE156" s="51">
        <f>((AE140 * AE104 * AE124) * 10 ^ -3)</f>
        <v>0.44083831823827196</v>
      </c>
      <c r="AF156" s="2"/>
    </row>
    <row r="157" spans="21:32" ht="20.100000000000001" customHeight="1" x14ac:dyDescent="0.25">
      <c r="U157" s="51" t="str">
        <f t="shared" si="3"/>
        <v>September 2024</v>
      </c>
      <c r="V157" s="51">
        <f>((V141 * V105 * V125) * 10 ^ -3)</f>
        <v>0.53846318370816004</v>
      </c>
      <c r="W157" s="51">
        <f>((W141 * W105 * W125) * 10 ^ -3)</f>
        <v>0.76050766552500015</v>
      </c>
      <c r="X157" s="51">
        <f>((X141 * X105 * X125) * 10 ^ -3)</f>
        <v>0.41041649201661007</v>
      </c>
      <c r="Y157" s="51">
        <f>((Y141 * Y105 * Y125) * 10 ^ -3)</f>
        <v>0.65978317499035743</v>
      </c>
      <c r="Z157" s="51">
        <f>((Z141 * Z105 * Z125) * 10 ^ -3)</f>
        <v>0.73266121269810014</v>
      </c>
      <c r="AA157" s="51">
        <f>((AA141 * AA105 * AA125) * 10 ^ -3)</f>
        <v>0.73266121269810014</v>
      </c>
      <c r="AB157" s="51">
        <f>((AB141 * AB105 * AB125) * 10 ^ -3)</f>
        <v>0.47315580318899986</v>
      </c>
      <c r="AC157" s="51">
        <f>((AC141 * AC105 * AC125) * 10 ^ -3)</f>
        <v>0.60127877604275992</v>
      </c>
      <c r="AD157" s="51">
        <f>((AD141 * AD105 * AD125) * 10 ^ -3)</f>
        <v>0.60127877604275992</v>
      </c>
      <c r="AE157" s="51">
        <f>((AE141 * AE105 * AE125) * 10 ^ -3)</f>
        <v>0.60127877604275992</v>
      </c>
      <c r="AF157" s="2"/>
    </row>
    <row r="158" spans="21:32" ht="20.100000000000001" customHeight="1" x14ac:dyDescent="0.25">
      <c r="U158" s="51" t="str">
        <f t="shared" si="3"/>
        <v>October 2024</v>
      </c>
      <c r="V158" s="51">
        <f>((V142 * V106 * V126) * 10 ^ -3)</f>
        <v>0.556411956498432</v>
      </c>
      <c r="W158" s="51">
        <f>((W142 * W106 * W126) * 10 ^ -3)</f>
        <v>0.78585792104250007</v>
      </c>
      <c r="X158" s="51">
        <f>((X142 * X106 * X126) * 10 ^ -3)</f>
        <v>0.42409704175049701</v>
      </c>
      <c r="Y158" s="51">
        <f>((Y142 * Y106 * Y126) * 10 ^ -3)</f>
        <v>0.68177594749003623</v>
      </c>
      <c r="Z158" s="51">
        <f>((Z142 * Z106 * Z126) * 10 ^ -3)</f>
        <v>0.75708325312137015</v>
      </c>
      <c r="AA158" s="51">
        <f>((AA142 * AA106 * AA126) * 10 ^ -3)</f>
        <v>0.75708325312137015</v>
      </c>
      <c r="AB158" s="51">
        <f>((AB142 * AB106 * AB126) * 10 ^ -3)</f>
        <v>0.4889276632952998</v>
      </c>
      <c r="AC158" s="51">
        <f>((AC142 * AC106 * AC126) * 10 ^ -3)</f>
        <v>0.62132140191085194</v>
      </c>
      <c r="AD158" s="51">
        <f>((AD142 * AD106 * AD126) * 10 ^ -3)</f>
        <v>0.62132140191085194</v>
      </c>
      <c r="AE158" s="51">
        <f>((AE142 * AE106 * AE126) * 10 ^ -3)</f>
        <v>0.62132140191085194</v>
      </c>
      <c r="AF158" s="2"/>
    </row>
    <row r="159" spans="21:32" ht="20.100000000000001" customHeight="1" x14ac:dyDescent="0.25">
      <c r="U159" s="51" t="str">
        <f t="shared" si="3"/>
        <v>November 2024</v>
      </c>
      <c r="V159" s="51">
        <f>((V143 * V107 * V127) * 10 ^ -3)</f>
        <v>0.53846318370816004</v>
      </c>
      <c r="W159" s="51">
        <f>((W143 * W107 * W127) * 10 ^ -3)</f>
        <v>0.76050766552500015</v>
      </c>
      <c r="X159" s="51">
        <f>((X143 * X107 * X127) * 10 ^ -3)</f>
        <v>0.41041649201661007</v>
      </c>
      <c r="Y159" s="51">
        <f>((Y143 * Y107 * Y127) * 10 ^ -3)</f>
        <v>0.57899339846092601</v>
      </c>
      <c r="Z159" s="51">
        <f>((Z143 * Z107 * Z127) * 10 ^ -3)</f>
        <v>0.64294759481670016</v>
      </c>
      <c r="AA159" s="51">
        <f>((AA143 * AA107 * AA127) * 10 ^ -3)</f>
        <v>0.64294759481670016</v>
      </c>
      <c r="AB159" s="51">
        <f>((AB143 * AB107 * AB127) * 10 ^ -3)</f>
        <v>0.47315580318899986</v>
      </c>
      <c r="AC159" s="51">
        <f>((AC143 * AC107 * AC127) * 10 ^ -3)</f>
        <v>0.60127877604275992</v>
      </c>
      <c r="AD159" s="51">
        <f>((AD143 * AD107 * AD127) * 10 ^ -3)</f>
        <v>0.60127877604275992</v>
      </c>
      <c r="AE159" s="51">
        <f>((AE143 * AE107 * AE127) * 10 ^ -3)</f>
        <v>0.60127877604275992</v>
      </c>
      <c r="AF159" s="2"/>
    </row>
    <row r="160" spans="21:32" ht="20.100000000000001" customHeight="1" x14ac:dyDescent="0.25">
      <c r="U160" s="51" t="str">
        <f t="shared" si="3"/>
        <v>December 2024</v>
      </c>
      <c r="V160" s="51">
        <f>((V144 * V108 * V128) * 10 ^ -3)</f>
        <v>0.4586136012616317</v>
      </c>
      <c r="W160" s="51">
        <f>((W144 * W108 * W128) * 10 ^ -3)</f>
        <v>0.60679113521101213</v>
      </c>
      <c r="X160" s="51">
        <f>((X144 * X108 * X128) * 10 ^ -3)</f>
        <v>0.38568368207519993</v>
      </c>
      <c r="Y160" s="51">
        <f>((Y144 * Y108 * Y128) * 10 ^ -3)</f>
        <v>0.54293216249013199</v>
      </c>
      <c r="Z160" s="51">
        <f>((Z144 * Z108 * Z128) * 10 ^ -3)</f>
        <v>0.53756927319362025</v>
      </c>
      <c r="AA160" s="51">
        <f>((AA144 * AA108 * AA128) * 10 ^ -3)</f>
        <v>0.53756927319362025</v>
      </c>
      <c r="AB160" s="51">
        <f>((AB144 * AB108 * AB128) * 10 ^ -3)</f>
        <v>0.422728915885632</v>
      </c>
      <c r="AC160" s="51">
        <f>((AC144 * AC108 * AC128) * 10 ^ -3)</f>
        <v>0.47120481705053707</v>
      </c>
      <c r="AD160" s="51">
        <f>((AD144 * AD108 * AD128) * 10 ^ -3)</f>
        <v>0.47120481705053707</v>
      </c>
      <c r="AE160" s="51">
        <f>((AE144 * AE108 * AE128) * 10 ^ -3)</f>
        <v>0.47120481705053707</v>
      </c>
      <c r="AF160" s="2"/>
    </row>
    <row r="161" spans="21:24" ht="20.100000000000001" customHeight="1" x14ac:dyDescent="0.25">
      <c r="U161" s="97" t="s">
        <v>231</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82</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143</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233</v>
      </c>
      <c r="G5" s="6" t="s">
        <v>92</v>
      </c>
      <c r="M5" s="1" t="s">
        <v>167</v>
      </c>
      <c r="O5" s="1" t="s">
        <v>168</v>
      </c>
      <c r="Q5" s="1" t="s">
        <v>169</v>
      </c>
      <c r="S5" s="1" t="s">
        <v>180</v>
      </c>
    </row>
    <row r="6" spans="1:21" ht="20.100000000000001" customHeight="1" x14ac:dyDescent="0.25">
      <c r="A6" s="20" t="s">
        <v>1</v>
      </c>
      <c r="M6" s="1"/>
    </row>
    <row r="7" spans="1:21" ht="20.100000000000001" customHeight="1" x14ac:dyDescent="0.25">
      <c r="A7" s="17" t="str">
        <f>HYPERLINK("#'Input - Site'!A1", "Site")</f>
        <v>Site</v>
      </c>
      <c r="D7" s="36" t="s">
        <v>91</v>
      </c>
      <c r="G7" s="36" t="s">
        <v>90</v>
      </c>
      <c r="M7" t="s">
        <v>144</v>
      </c>
      <c r="O7" s="36" t="s">
        <v>144</v>
      </c>
      <c r="Q7" s="36" t="s">
        <v>144</v>
      </c>
      <c r="S7" s="36" t="s">
        <v>144</v>
      </c>
    </row>
    <row r="8" spans="1:21" ht="20.100000000000001" customHeight="1" x14ac:dyDescent="0.25">
      <c r="A8" s="17" t="str">
        <f>HYPERLINK("#'Input - Pasture Beef'!A1", "Pasture Beef")</f>
        <v>Pasture Beef</v>
      </c>
      <c r="D8" s="36" t="str">
        <f>'Constants - Common'!$F$187</f>
        <v>Pasture</v>
      </c>
      <c r="G8" s="36" t="s">
        <v>93</v>
      </c>
      <c r="M8" s="36" t="s">
        <v>170</v>
      </c>
      <c r="O8" s="36" t="s">
        <v>172</v>
      </c>
      <c r="Q8" s="36" t="s">
        <v>175</v>
      </c>
      <c r="S8" s="36" t="s">
        <v>163</v>
      </c>
    </row>
    <row r="9" spans="1:21" ht="20.100000000000001" customHeight="1" x14ac:dyDescent="0.25">
      <c r="A9" s="17"/>
      <c r="D9" s="1" t="str">
        <f>'Constants - Common'!$F$188</f>
        <v>Crop</v>
      </c>
      <c r="G9" s="36" t="s">
        <v>94</v>
      </c>
      <c r="M9" s="36" t="s">
        <v>171</v>
      </c>
      <c r="O9" s="36" t="s">
        <v>173</v>
      </c>
      <c r="Q9" s="36" t="s">
        <v>176</v>
      </c>
    </row>
    <row r="10" spans="1:21" ht="20.100000000000001" customHeight="1" x14ac:dyDescent="0.25">
      <c r="A10" s="19" t="s">
        <v>60</v>
      </c>
      <c r="G10" s="1" t="s">
        <v>95</v>
      </c>
      <c r="M10" s="36" t="s">
        <v>166</v>
      </c>
      <c r="O10" s="36" t="s">
        <v>174</v>
      </c>
      <c r="Q10" s="36" t="s">
        <v>177</v>
      </c>
      <c r="S10" s="1" t="s">
        <v>181</v>
      </c>
    </row>
    <row r="11" spans="1:21" ht="20.100000000000001" customHeight="1" x14ac:dyDescent="0.25">
      <c r="A11" s="17" t="str">
        <f>HYPERLINK("#'3.2.1.1-2 Enteric Methane'!A1", "3.2.1.1-2 Enteric Methane")</f>
        <v>3.2.1.1-2 Enteric Methane</v>
      </c>
      <c r="G11" s="1" t="s">
        <v>96</v>
      </c>
      <c r="M11" s="1"/>
      <c r="Q11" s="36" t="s">
        <v>178</v>
      </c>
    </row>
    <row r="12" spans="1:21" ht="20.100000000000001" customHeight="1" x14ac:dyDescent="0.25">
      <c r="A12" s="17"/>
      <c r="G12" s="1" t="s">
        <v>97</v>
      </c>
      <c r="M12" s="1"/>
      <c r="S12" s="36" t="s">
        <v>144</v>
      </c>
    </row>
    <row r="13" spans="1:21" ht="20.100000000000001" customHeight="1" x14ac:dyDescent="0.25">
      <c r="A13" s="18" t="s">
        <v>2</v>
      </c>
      <c r="M13" s="1"/>
      <c r="S13" s="36" t="s">
        <v>163</v>
      </c>
    </row>
    <row r="14" spans="1:21" ht="20.100000000000001" customHeight="1" x14ac:dyDescent="0.25">
      <c r="A14" s="122" t="str">
        <f>HYPERLINK("#'Constants - Pasture Beef'!A1", "Constants - Pasture Beef")</f>
        <v>Constants - Pasture Beef</v>
      </c>
      <c r="D14" s="6" t="s">
        <v>309</v>
      </c>
      <c r="M14" s="1"/>
    </row>
    <row r="15" spans="1:21" ht="20.100000000000001" customHeight="1" x14ac:dyDescent="0.25">
      <c r="A15" s="17" t="str">
        <f>HYPERLINK("#'Constants - Livestock'!A1", "Constants - Livestock")</f>
        <v>Constants - Livestock</v>
      </c>
      <c r="D15" s="5" t="s">
        <v>310</v>
      </c>
      <c r="M15" s="1"/>
      <c r="S15" s="1" t="s">
        <v>182</v>
      </c>
    </row>
    <row r="16" spans="1:21" ht="20.100000000000001" customHeight="1" x14ac:dyDescent="0.25">
      <c r="A16" s="17" t="str">
        <f>HYPERLINK("#'Constants - Common'!A1", "Constants - Common")</f>
        <v>Constants - Common</v>
      </c>
      <c r="D16" s="1" t="s">
        <v>311</v>
      </c>
      <c r="M16" s="1"/>
    </row>
    <row r="17" spans="1:19" ht="20.100000000000001" customHeight="1" x14ac:dyDescent="0.25">
      <c r="A17" s="17" t="str">
        <f>HYPERLINK("#'Acknowledgements'!A1", "Acknowledgements")</f>
        <v>Acknowledgements</v>
      </c>
      <c r="D17" s="53" t="s">
        <v>292</v>
      </c>
      <c r="M17" s="1"/>
      <c r="S17" s="36" t="s">
        <v>144</v>
      </c>
    </row>
    <row r="18" spans="1:19" ht="20.100000000000001" customHeight="1" x14ac:dyDescent="0.25">
      <c r="D18" s="36" t="s">
        <v>6</v>
      </c>
      <c r="E18" s="36" t="s">
        <v>144</v>
      </c>
      <c r="F18" s="36" t="s">
        <v>145</v>
      </c>
      <c r="G18" s="36" t="s">
        <v>146</v>
      </c>
      <c r="H18" s="36" t="s">
        <v>147</v>
      </c>
      <c r="I18" s="36" t="s">
        <v>148</v>
      </c>
      <c r="J18" s="36" t="s">
        <v>149</v>
      </c>
      <c r="K18" s="36" t="s">
        <v>150</v>
      </c>
      <c r="L18" s="36" t="s">
        <v>151</v>
      </c>
      <c r="M18" s="36" t="s">
        <v>152</v>
      </c>
      <c r="S18" s="36" t="s">
        <v>163</v>
      </c>
    </row>
    <row r="19" spans="1:19" ht="20.100000000000001" customHeight="1" x14ac:dyDescent="0.25">
      <c r="A19" s="17"/>
      <c r="D19" s="36" t="s">
        <v>312</v>
      </c>
      <c r="E19" s="36" t="s">
        <v>163</v>
      </c>
      <c r="F19" s="36" t="s">
        <v>134</v>
      </c>
      <c r="G19" s="36">
        <v>80</v>
      </c>
      <c r="H19" s="36">
        <v>480</v>
      </c>
      <c r="I19" s="36">
        <v>75</v>
      </c>
      <c r="J19" s="36">
        <v>300</v>
      </c>
      <c r="K19" s="36">
        <v>440</v>
      </c>
      <c r="L19" s="36">
        <v>75</v>
      </c>
      <c r="M19" s="36">
        <v>380</v>
      </c>
    </row>
    <row r="20" spans="1:19" ht="20.100000000000001" customHeight="1" x14ac:dyDescent="0.25">
      <c r="A20" s="17"/>
      <c r="D20" s="1" t="s">
        <v>312</v>
      </c>
      <c r="E20" s="36" t="s">
        <v>163</v>
      </c>
      <c r="F20" s="36" t="s">
        <v>135</v>
      </c>
      <c r="G20" s="36">
        <v>170</v>
      </c>
      <c r="H20" s="36">
        <v>520</v>
      </c>
      <c r="I20" s="36">
        <v>160</v>
      </c>
      <c r="J20" s="36">
        <v>360</v>
      </c>
      <c r="K20" s="36">
        <v>470</v>
      </c>
      <c r="L20" s="36">
        <v>160</v>
      </c>
      <c r="M20" s="36">
        <v>420</v>
      </c>
      <c r="S20" s="1" t="s">
        <v>183</v>
      </c>
    </row>
    <row r="21" spans="1:19" ht="20.100000000000001" customHeight="1" x14ac:dyDescent="0.25">
      <c r="D21" s="1" t="s">
        <v>312</v>
      </c>
      <c r="E21" s="36" t="s">
        <v>163</v>
      </c>
      <c r="F21" s="36" t="s">
        <v>136</v>
      </c>
      <c r="G21" s="36">
        <v>240</v>
      </c>
      <c r="H21" s="36">
        <v>550</v>
      </c>
      <c r="I21" s="36">
        <v>220</v>
      </c>
      <c r="J21" s="36">
        <v>390</v>
      </c>
      <c r="K21" s="36">
        <v>490</v>
      </c>
      <c r="L21" s="36">
        <v>220</v>
      </c>
      <c r="M21" s="36">
        <v>450</v>
      </c>
    </row>
    <row r="22" spans="1:19" ht="20.100000000000001" customHeight="1" x14ac:dyDescent="0.25">
      <c r="A22" s="17"/>
      <c r="D22" s="1" t="s">
        <v>312</v>
      </c>
      <c r="E22" s="36" t="s">
        <v>163</v>
      </c>
      <c r="F22" s="36" t="s">
        <v>137</v>
      </c>
      <c r="G22" s="36">
        <v>280</v>
      </c>
      <c r="H22" s="36">
        <v>560</v>
      </c>
      <c r="I22" s="36">
        <v>260</v>
      </c>
      <c r="J22" s="36">
        <v>410</v>
      </c>
      <c r="K22" s="36">
        <v>500</v>
      </c>
      <c r="L22" s="36">
        <v>260</v>
      </c>
      <c r="M22" s="36">
        <v>460</v>
      </c>
      <c r="S22" s="36" t="s">
        <v>144</v>
      </c>
    </row>
    <row r="23" spans="1:19" ht="20.100000000000001" customHeight="1" x14ac:dyDescent="0.25">
      <c r="A23" s="17"/>
      <c r="D23" s="1" t="s">
        <v>313</v>
      </c>
      <c r="E23" s="36" t="s">
        <v>163</v>
      </c>
      <c r="F23" s="36" t="s">
        <v>134</v>
      </c>
      <c r="G23" s="36">
        <v>250</v>
      </c>
      <c r="H23" s="36">
        <v>800</v>
      </c>
      <c r="I23" s="36">
        <v>220</v>
      </c>
      <c r="J23" s="36">
        <v>400</v>
      </c>
      <c r="K23" s="36">
        <v>500</v>
      </c>
      <c r="L23" s="36">
        <v>230</v>
      </c>
      <c r="M23" s="36">
        <v>420</v>
      </c>
      <c r="S23" s="36" t="s">
        <v>163</v>
      </c>
    </row>
    <row r="24" spans="1:19" ht="20.100000000000001" customHeight="1" x14ac:dyDescent="0.25">
      <c r="A24" s="17"/>
      <c r="D24" s="1" t="s">
        <v>313</v>
      </c>
      <c r="E24" s="36" t="s">
        <v>163</v>
      </c>
      <c r="F24" s="36" t="s">
        <v>135</v>
      </c>
      <c r="G24" s="36">
        <v>320</v>
      </c>
      <c r="H24" s="36">
        <v>800</v>
      </c>
      <c r="I24" s="36">
        <v>280</v>
      </c>
      <c r="J24" s="36">
        <v>420</v>
      </c>
      <c r="K24" s="36">
        <v>500</v>
      </c>
      <c r="L24" s="36">
        <v>290</v>
      </c>
      <c r="M24" s="36">
        <v>420</v>
      </c>
    </row>
    <row r="25" spans="1:19" ht="20.100000000000001" customHeight="1" x14ac:dyDescent="0.25">
      <c r="D25" s="1" t="s">
        <v>313</v>
      </c>
      <c r="E25" s="36" t="s">
        <v>163</v>
      </c>
      <c r="F25" s="36" t="s">
        <v>136</v>
      </c>
      <c r="G25" s="36">
        <v>80</v>
      </c>
      <c r="H25" s="36">
        <v>700</v>
      </c>
      <c r="I25" s="36">
        <v>70</v>
      </c>
      <c r="J25" s="36">
        <v>300</v>
      </c>
      <c r="K25" s="36">
        <v>450</v>
      </c>
      <c r="L25" s="36">
        <v>75</v>
      </c>
      <c r="M25" s="36">
        <v>400</v>
      </c>
      <c r="S25" s="1" t="s">
        <v>184</v>
      </c>
    </row>
    <row r="26" spans="1:19" ht="20.100000000000001" customHeight="1" x14ac:dyDescent="0.25">
      <c r="D26" s="1" t="s">
        <v>313</v>
      </c>
      <c r="E26" s="36" t="s">
        <v>163</v>
      </c>
      <c r="F26" s="36" t="s">
        <v>137</v>
      </c>
      <c r="G26" s="36">
        <v>160</v>
      </c>
      <c r="H26" s="36">
        <v>700</v>
      </c>
      <c r="I26" s="36">
        <v>140</v>
      </c>
      <c r="J26" s="36">
        <v>350</v>
      </c>
      <c r="K26" s="36">
        <v>450</v>
      </c>
      <c r="L26" s="36">
        <v>150</v>
      </c>
      <c r="M26" s="36">
        <v>400</v>
      </c>
    </row>
    <row r="27" spans="1:19" ht="20.100000000000001" customHeight="1" x14ac:dyDescent="0.25">
      <c r="D27" s="1" t="s">
        <v>314</v>
      </c>
      <c r="E27" s="36" t="s">
        <v>163</v>
      </c>
      <c r="F27" s="36" t="s">
        <v>134</v>
      </c>
      <c r="G27" s="36">
        <v>105</v>
      </c>
      <c r="H27" s="36">
        <v>700</v>
      </c>
      <c r="I27" s="36">
        <v>85</v>
      </c>
      <c r="J27" s="36">
        <v>300</v>
      </c>
      <c r="K27" s="36">
        <v>490</v>
      </c>
      <c r="L27" s="36">
        <v>90</v>
      </c>
      <c r="M27" s="36">
        <v>480</v>
      </c>
      <c r="S27" s="36" t="s">
        <v>144</v>
      </c>
    </row>
    <row r="28" spans="1:19" ht="20.100000000000001" customHeight="1" x14ac:dyDescent="0.25">
      <c r="D28" s="1" t="s">
        <v>314</v>
      </c>
      <c r="E28" s="36" t="s">
        <v>163</v>
      </c>
      <c r="F28" s="36" t="s">
        <v>135</v>
      </c>
      <c r="G28" s="36">
        <v>480</v>
      </c>
      <c r="H28" s="36">
        <v>750</v>
      </c>
      <c r="I28" s="36">
        <v>150</v>
      </c>
      <c r="J28" s="36">
        <v>350</v>
      </c>
      <c r="K28" s="36">
        <v>530</v>
      </c>
      <c r="L28" s="36">
        <v>160</v>
      </c>
      <c r="M28" s="36">
        <v>460</v>
      </c>
      <c r="S28" s="36" t="s">
        <v>163</v>
      </c>
    </row>
    <row r="29" spans="1:19" ht="20.100000000000001" customHeight="1" x14ac:dyDescent="0.25">
      <c r="D29" s="1" t="s">
        <v>314</v>
      </c>
      <c r="E29" s="36" t="s">
        <v>163</v>
      </c>
      <c r="F29" s="36" t="s">
        <v>136</v>
      </c>
      <c r="G29" s="36">
        <v>250</v>
      </c>
      <c r="H29" s="36">
        <v>725</v>
      </c>
      <c r="I29" s="36">
        <v>200</v>
      </c>
      <c r="J29" s="36">
        <v>360</v>
      </c>
      <c r="K29" s="36">
        <v>500</v>
      </c>
      <c r="L29" s="36">
        <v>215</v>
      </c>
      <c r="M29" s="36">
        <v>490</v>
      </c>
    </row>
    <row r="30" spans="1:19" ht="20.100000000000001" customHeight="1" x14ac:dyDescent="0.25">
      <c r="D30" s="1" t="s">
        <v>314</v>
      </c>
      <c r="E30" s="36" t="s">
        <v>163</v>
      </c>
      <c r="F30" s="36" t="s">
        <v>137</v>
      </c>
      <c r="G30" s="36">
        <v>260</v>
      </c>
      <c r="H30" s="36">
        <v>700</v>
      </c>
      <c r="I30" s="36">
        <v>210</v>
      </c>
      <c r="J30" s="36">
        <v>380</v>
      </c>
      <c r="K30" s="36">
        <v>460</v>
      </c>
      <c r="L30" s="36">
        <v>230</v>
      </c>
      <c r="M30" s="36">
        <v>470</v>
      </c>
    </row>
    <row r="31" spans="1:19" ht="20.100000000000001" customHeight="1" x14ac:dyDescent="0.25">
      <c r="D31" s="1" t="s">
        <v>315</v>
      </c>
      <c r="E31" s="36" t="s">
        <v>163</v>
      </c>
      <c r="F31" s="36" t="s">
        <v>134</v>
      </c>
      <c r="G31" s="36">
        <v>250</v>
      </c>
      <c r="H31" s="36">
        <v>820</v>
      </c>
      <c r="I31" s="36">
        <v>240</v>
      </c>
      <c r="J31" s="36">
        <v>410</v>
      </c>
      <c r="K31" s="36">
        <v>560</v>
      </c>
      <c r="L31" s="36">
        <v>240</v>
      </c>
      <c r="M31" s="36">
        <v>510</v>
      </c>
    </row>
    <row r="32" spans="1:19" ht="20.100000000000001" customHeight="1" x14ac:dyDescent="0.25">
      <c r="D32" s="1" t="s">
        <v>315</v>
      </c>
      <c r="E32" s="36" t="s">
        <v>163</v>
      </c>
      <c r="F32" s="36" t="s">
        <v>135</v>
      </c>
      <c r="G32" s="36">
        <v>280</v>
      </c>
      <c r="H32" s="36">
        <v>850</v>
      </c>
      <c r="I32" s="36">
        <v>260</v>
      </c>
      <c r="J32" s="36">
        <v>440</v>
      </c>
      <c r="K32" s="36">
        <v>550</v>
      </c>
      <c r="L32" s="36">
        <v>270</v>
      </c>
      <c r="M32" s="36">
        <v>520</v>
      </c>
    </row>
    <row r="33" spans="4:13" ht="20.100000000000001" customHeight="1" x14ac:dyDescent="0.25">
      <c r="D33" s="1" t="s">
        <v>315</v>
      </c>
      <c r="E33" s="36" t="s">
        <v>163</v>
      </c>
      <c r="F33" s="36" t="s">
        <v>136</v>
      </c>
      <c r="G33" s="36">
        <v>100</v>
      </c>
      <c r="H33" s="36">
        <v>700</v>
      </c>
      <c r="I33" s="36">
        <v>95</v>
      </c>
      <c r="J33" s="36">
        <v>300</v>
      </c>
      <c r="K33" s="36">
        <v>450</v>
      </c>
      <c r="L33" s="36">
        <v>95</v>
      </c>
      <c r="M33" s="36">
        <v>410</v>
      </c>
    </row>
    <row r="34" spans="4:13" ht="20.100000000000001" customHeight="1" x14ac:dyDescent="0.25">
      <c r="D34" s="1" t="s">
        <v>315</v>
      </c>
      <c r="E34" s="36" t="s">
        <v>163</v>
      </c>
      <c r="F34" s="36" t="s">
        <v>137</v>
      </c>
      <c r="G34" s="36">
        <v>150</v>
      </c>
      <c r="H34" s="36">
        <v>720</v>
      </c>
      <c r="I34" s="36">
        <v>140</v>
      </c>
      <c r="J34" s="36">
        <v>320</v>
      </c>
      <c r="K34" s="36">
        <v>470</v>
      </c>
      <c r="L34" s="36">
        <v>140</v>
      </c>
      <c r="M34" s="36">
        <v>440</v>
      </c>
    </row>
    <row r="35" spans="4:13" ht="20.100000000000001" customHeight="1" x14ac:dyDescent="0.25">
      <c r="D35" s="1" t="s">
        <v>179</v>
      </c>
      <c r="E35" s="36" t="s">
        <v>170</v>
      </c>
      <c r="F35" s="36" t="s">
        <v>134</v>
      </c>
      <c r="G35" s="36">
        <v>340</v>
      </c>
      <c r="H35" s="36">
        <v>800</v>
      </c>
      <c r="I35" s="36">
        <v>260</v>
      </c>
      <c r="J35" s="36">
        <v>420</v>
      </c>
      <c r="K35" s="36">
        <v>550</v>
      </c>
      <c r="L35" s="36">
        <v>300</v>
      </c>
      <c r="M35" s="36">
        <v>480</v>
      </c>
    </row>
    <row r="36" spans="4:13" ht="20.100000000000001" customHeight="1" x14ac:dyDescent="0.25">
      <c r="D36" s="1" t="s">
        <v>179</v>
      </c>
      <c r="E36" s="36" t="s">
        <v>170</v>
      </c>
      <c r="F36" s="36" t="s">
        <v>135</v>
      </c>
      <c r="G36" s="36">
        <v>380</v>
      </c>
      <c r="H36" s="36">
        <v>780</v>
      </c>
      <c r="I36" s="36">
        <v>300</v>
      </c>
      <c r="J36" s="36">
        <v>450</v>
      </c>
      <c r="K36" s="36">
        <v>530</v>
      </c>
      <c r="L36" s="36">
        <v>340</v>
      </c>
      <c r="M36" s="36">
        <v>470</v>
      </c>
    </row>
    <row r="37" spans="4:13" ht="20.100000000000001" customHeight="1" x14ac:dyDescent="0.25">
      <c r="D37" s="1" t="s">
        <v>179</v>
      </c>
      <c r="E37" s="36" t="s">
        <v>170</v>
      </c>
      <c r="F37" s="36" t="s">
        <v>136</v>
      </c>
      <c r="G37" s="36">
        <v>100</v>
      </c>
      <c r="H37" s="36">
        <v>680</v>
      </c>
      <c r="I37" s="36">
        <v>80</v>
      </c>
      <c r="J37" s="36">
        <v>320</v>
      </c>
      <c r="K37" s="36">
        <v>480</v>
      </c>
      <c r="L37" s="36">
        <v>100</v>
      </c>
      <c r="M37" s="36">
        <v>340</v>
      </c>
    </row>
    <row r="38" spans="4:13" ht="20.100000000000001" customHeight="1" x14ac:dyDescent="0.25">
      <c r="D38" s="1" t="s">
        <v>179</v>
      </c>
      <c r="E38" s="36" t="s">
        <v>170</v>
      </c>
      <c r="F38" s="36" t="s">
        <v>137</v>
      </c>
      <c r="G38" s="36">
        <v>190</v>
      </c>
      <c r="H38" s="36">
        <v>700</v>
      </c>
      <c r="I38" s="36">
        <v>150</v>
      </c>
      <c r="J38" s="36">
        <v>330</v>
      </c>
      <c r="K38" s="36">
        <v>490</v>
      </c>
      <c r="L38" s="36">
        <v>170</v>
      </c>
      <c r="M38" s="36">
        <v>360</v>
      </c>
    </row>
    <row r="39" spans="4:13" ht="20.100000000000001" customHeight="1" x14ac:dyDescent="0.25">
      <c r="D39" s="1" t="s">
        <v>179</v>
      </c>
      <c r="E39" s="36" t="s">
        <v>171</v>
      </c>
      <c r="F39" s="36" t="s">
        <v>134</v>
      </c>
      <c r="G39" s="36">
        <v>80</v>
      </c>
      <c r="H39" s="36">
        <v>450</v>
      </c>
      <c r="I39" s="36">
        <v>70</v>
      </c>
      <c r="J39" s="36">
        <v>260</v>
      </c>
      <c r="K39" s="36">
        <v>340</v>
      </c>
      <c r="L39" s="36">
        <v>80</v>
      </c>
      <c r="M39" s="36">
        <v>370</v>
      </c>
    </row>
    <row r="40" spans="4:13" ht="20.100000000000001" customHeight="1" x14ac:dyDescent="0.25">
      <c r="D40" s="1" t="s">
        <v>179</v>
      </c>
      <c r="E40" s="36" t="s">
        <v>171</v>
      </c>
      <c r="F40" s="36" t="s">
        <v>135</v>
      </c>
      <c r="G40" s="36">
        <v>150</v>
      </c>
      <c r="H40" s="36">
        <v>500</v>
      </c>
      <c r="I40" s="36">
        <v>140</v>
      </c>
      <c r="J40" s="36">
        <v>310</v>
      </c>
      <c r="K40" s="36">
        <v>360</v>
      </c>
      <c r="L40" s="36">
        <v>150</v>
      </c>
      <c r="M40" s="36">
        <v>400</v>
      </c>
    </row>
    <row r="41" spans="4:13" ht="20.100000000000001" customHeight="1" x14ac:dyDescent="0.25">
      <c r="D41" s="1" t="s">
        <v>179</v>
      </c>
      <c r="E41" s="36" t="s">
        <v>171</v>
      </c>
      <c r="F41" s="36" t="s">
        <v>136</v>
      </c>
      <c r="G41" s="36">
        <v>230</v>
      </c>
      <c r="H41" s="36">
        <v>550</v>
      </c>
      <c r="I41" s="36">
        <v>220</v>
      </c>
      <c r="J41" s="36">
        <v>330</v>
      </c>
      <c r="K41" s="36">
        <v>380</v>
      </c>
      <c r="L41" s="36">
        <v>230</v>
      </c>
      <c r="M41" s="36">
        <v>420</v>
      </c>
    </row>
    <row r="42" spans="4:13" ht="20.100000000000001" customHeight="1" x14ac:dyDescent="0.25">
      <c r="D42" s="1" t="s">
        <v>179</v>
      </c>
      <c r="E42" s="36" t="s">
        <v>171</v>
      </c>
      <c r="F42" s="36" t="s">
        <v>137</v>
      </c>
      <c r="G42" s="36">
        <v>250</v>
      </c>
      <c r="H42" s="36">
        <v>500</v>
      </c>
      <c r="I42" s="36">
        <v>240</v>
      </c>
      <c r="J42" s="36">
        <v>340</v>
      </c>
      <c r="K42" s="36">
        <v>360</v>
      </c>
      <c r="L42" s="36">
        <v>250</v>
      </c>
      <c r="M42" s="36">
        <v>390</v>
      </c>
    </row>
    <row r="43" spans="4:13" ht="20.100000000000001" customHeight="1" x14ac:dyDescent="0.25">
      <c r="D43" s="1" t="s">
        <v>179</v>
      </c>
      <c r="E43" s="36" t="s">
        <v>166</v>
      </c>
      <c r="F43" s="36" t="s">
        <v>134</v>
      </c>
      <c r="G43" s="36">
        <v>220</v>
      </c>
      <c r="H43" s="36">
        <v>500</v>
      </c>
      <c r="I43" s="36">
        <v>180</v>
      </c>
      <c r="J43" s="36">
        <v>300</v>
      </c>
      <c r="K43" s="36">
        <v>320</v>
      </c>
      <c r="L43" s="36">
        <v>210</v>
      </c>
      <c r="M43" s="36">
        <v>340</v>
      </c>
    </row>
    <row r="44" spans="4:13" ht="20.100000000000001" customHeight="1" x14ac:dyDescent="0.25">
      <c r="D44" s="1" t="s">
        <v>179</v>
      </c>
      <c r="E44" s="36" t="s">
        <v>166</v>
      </c>
      <c r="F44" s="36" t="s">
        <v>135</v>
      </c>
      <c r="G44" s="36">
        <v>110</v>
      </c>
      <c r="H44" s="36">
        <v>550</v>
      </c>
      <c r="I44" s="36">
        <v>90</v>
      </c>
      <c r="J44" s="36">
        <v>220</v>
      </c>
      <c r="K44" s="36">
        <v>380</v>
      </c>
      <c r="L44" s="36">
        <v>100</v>
      </c>
      <c r="M44" s="36">
        <v>390</v>
      </c>
    </row>
    <row r="45" spans="4:13" ht="20.100000000000001" customHeight="1" x14ac:dyDescent="0.25">
      <c r="D45" s="1" t="s">
        <v>179</v>
      </c>
      <c r="E45" s="36" t="s">
        <v>166</v>
      </c>
      <c r="F45" s="36" t="s">
        <v>136</v>
      </c>
      <c r="G45" s="36">
        <v>170</v>
      </c>
      <c r="H45" s="36">
        <v>600</v>
      </c>
      <c r="I45" s="36">
        <v>140</v>
      </c>
      <c r="J45" s="36">
        <v>270</v>
      </c>
      <c r="K45" s="36">
        <v>390</v>
      </c>
      <c r="L45" s="36">
        <v>160</v>
      </c>
      <c r="M45" s="36">
        <v>430</v>
      </c>
    </row>
    <row r="46" spans="4:13" ht="20.100000000000001" customHeight="1" x14ac:dyDescent="0.25">
      <c r="D46" s="1" t="s">
        <v>179</v>
      </c>
      <c r="E46" s="36" t="s">
        <v>166</v>
      </c>
      <c r="F46" s="36" t="s">
        <v>137</v>
      </c>
      <c r="G46" s="36">
        <v>200</v>
      </c>
      <c r="H46" s="36">
        <v>550</v>
      </c>
      <c r="I46" s="36">
        <v>150</v>
      </c>
      <c r="J46" s="36">
        <v>280</v>
      </c>
      <c r="K46" s="36">
        <v>350</v>
      </c>
      <c r="L46" s="36">
        <v>190</v>
      </c>
      <c r="M46" s="36">
        <v>400</v>
      </c>
    </row>
    <row r="47" spans="4:13" ht="20.100000000000001" customHeight="1" x14ac:dyDescent="0.25">
      <c r="M47" s="1"/>
    </row>
    <row r="48" spans="4:13" ht="20.100000000000001" customHeight="1" x14ac:dyDescent="0.25">
      <c r="M48" s="1"/>
    </row>
    <row r="49" spans="4:16" ht="20.100000000000001" customHeight="1" x14ac:dyDescent="0.25">
      <c r="D49" s="6" t="s">
        <v>316</v>
      </c>
      <c r="M49" s="1"/>
    </row>
    <row r="50" spans="4:16" ht="20.100000000000001" customHeight="1" x14ac:dyDescent="0.25">
      <c r="D50" s="5" t="s">
        <v>317</v>
      </c>
      <c r="M50" s="1"/>
    </row>
    <row r="51" spans="4:16" ht="20.100000000000001" customHeight="1" x14ac:dyDescent="0.25">
      <c r="D51" s="1" t="s">
        <v>311</v>
      </c>
      <c r="M51" s="1"/>
    </row>
    <row r="52" spans="4:16" ht="20.100000000000001" customHeight="1" x14ac:dyDescent="0.25">
      <c r="D52" s="53" t="s">
        <v>292</v>
      </c>
      <c r="M52" s="1"/>
    </row>
    <row r="53" spans="4:16" ht="20.100000000000001" customHeight="1" x14ac:dyDescent="0.25">
      <c r="D53" s="36" t="s">
        <v>6</v>
      </c>
      <c r="E53" s="36" t="s">
        <v>144</v>
      </c>
      <c r="F53" s="36" t="s">
        <v>145</v>
      </c>
      <c r="G53" s="36" t="s">
        <v>164</v>
      </c>
      <c r="H53" s="36" t="s">
        <v>153</v>
      </c>
      <c r="I53" s="36" t="s">
        <v>154</v>
      </c>
      <c r="J53" s="36" t="s">
        <v>155</v>
      </c>
      <c r="K53" s="36" t="s">
        <v>156</v>
      </c>
      <c r="L53" s="36" t="s">
        <v>157</v>
      </c>
      <c r="M53" s="36" t="s">
        <v>158</v>
      </c>
      <c r="N53" s="36" t="s">
        <v>159</v>
      </c>
      <c r="O53" s="36" t="s">
        <v>160</v>
      </c>
      <c r="P53" s="36" t="s">
        <v>161</v>
      </c>
    </row>
    <row r="54" spans="4:16" ht="20.100000000000001" customHeight="1" x14ac:dyDescent="0.25">
      <c r="D54" s="36" t="s">
        <v>318</v>
      </c>
      <c r="E54" s="36" t="s">
        <v>172</v>
      </c>
      <c r="F54" s="36" t="s">
        <v>134</v>
      </c>
      <c r="G54" s="36">
        <v>220</v>
      </c>
      <c r="H54" s="36">
        <v>706</v>
      </c>
      <c r="I54" s="36">
        <v>208</v>
      </c>
      <c r="J54" s="36">
        <v>323</v>
      </c>
      <c r="K54" s="36">
        <v>415</v>
      </c>
      <c r="L54" s="36">
        <v>467</v>
      </c>
      <c r="M54" s="36">
        <v>223</v>
      </c>
      <c r="N54" s="36">
        <v>371</v>
      </c>
      <c r="O54" s="36">
        <v>493</v>
      </c>
      <c r="P54" s="36">
        <v>585</v>
      </c>
    </row>
    <row r="55" spans="4:16" ht="20.100000000000001" customHeight="1" x14ac:dyDescent="0.25">
      <c r="D55" s="1" t="s">
        <v>318</v>
      </c>
      <c r="E55" s="36" t="s">
        <v>172</v>
      </c>
      <c r="F55" s="36" t="s">
        <v>135</v>
      </c>
      <c r="G55" s="36">
        <v>110</v>
      </c>
      <c r="H55" s="36">
        <v>703</v>
      </c>
      <c r="I55" s="36">
        <v>112</v>
      </c>
      <c r="J55" s="36">
        <v>256</v>
      </c>
      <c r="K55" s="36">
        <v>368</v>
      </c>
      <c r="L55" s="36">
        <v>465</v>
      </c>
      <c r="M55" s="36">
        <v>108</v>
      </c>
      <c r="N55" s="36">
        <v>280</v>
      </c>
      <c r="O55" s="36">
        <v>421</v>
      </c>
      <c r="P55" s="36">
        <v>543</v>
      </c>
    </row>
    <row r="56" spans="4:16" ht="20.100000000000001" customHeight="1" x14ac:dyDescent="0.25">
      <c r="D56" s="1" t="s">
        <v>318</v>
      </c>
      <c r="E56" s="36" t="s">
        <v>172</v>
      </c>
      <c r="F56" s="36" t="s">
        <v>136</v>
      </c>
      <c r="G56" s="36">
        <v>170</v>
      </c>
      <c r="H56" s="36">
        <v>721</v>
      </c>
      <c r="I56" s="36">
        <v>169</v>
      </c>
      <c r="J56" s="36">
        <v>306</v>
      </c>
      <c r="K56" s="36">
        <v>392</v>
      </c>
      <c r="L56" s="36">
        <v>464</v>
      </c>
      <c r="M56" s="36">
        <v>176</v>
      </c>
      <c r="N56" s="36">
        <v>339</v>
      </c>
      <c r="O56" s="36">
        <v>470</v>
      </c>
      <c r="P56" s="36">
        <v>580</v>
      </c>
    </row>
    <row r="57" spans="4:16" ht="20.100000000000001" customHeight="1" x14ac:dyDescent="0.25">
      <c r="D57" s="1" t="s">
        <v>318</v>
      </c>
      <c r="E57" s="36" t="s">
        <v>172</v>
      </c>
      <c r="F57" s="36" t="s">
        <v>137</v>
      </c>
      <c r="G57" s="36">
        <v>200</v>
      </c>
      <c r="H57" s="36">
        <v>727</v>
      </c>
      <c r="I57" s="36">
        <v>211</v>
      </c>
      <c r="J57" s="36">
        <v>338</v>
      </c>
      <c r="K57" s="36">
        <v>432</v>
      </c>
      <c r="L57" s="36">
        <v>492</v>
      </c>
      <c r="M57" s="36">
        <v>222</v>
      </c>
      <c r="N57" s="36">
        <v>377</v>
      </c>
      <c r="O57" s="36">
        <v>498</v>
      </c>
      <c r="P57" s="36">
        <v>590</v>
      </c>
    </row>
    <row r="58" spans="4:16" ht="20.100000000000001" customHeight="1" x14ac:dyDescent="0.25">
      <c r="D58" s="1" t="s">
        <v>318</v>
      </c>
      <c r="E58" s="36" t="s">
        <v>173</v>
      </c>
      <c r="F58" s="36" t="s">
        <v>134</v>
      </c>
      <c r="G58" s="36">
        <v>220</v>
      </c>
      <c r="H58" s="36">
        <v>620</v>
      </c>
      <c r="I58" s="36">
        <v>227</v>
      </c>
      <c r="J58" s="36">
        <v>319</v>
      </c>
      <c r="K58" s="36">
        <v>398</v>
      </c>
      <c r="L58" s="36">
        <v>452</v>
      </c>
      <c r="M58" s="36">
        <v>216</v>
      </c>
      <c r="N58" s="36">
        <v>334</v>
      </c>
      <c r="O58" s="36" t="s">
        <v>319</v>
      </c>
      <c r="P58" s="36" t="s">
        <v>319</v>
      </c>
    </row>
    <row r="59" spans="4:16" ht="20.100000000000001" customHeight="1" x14ac:dyDescent="0.25">
      <c r="D59" s="1" t="s">
        <v>318</v>
      </c>
      <c r="E59" s="36" t="s">
        <v>173</v>
      </c>
      <c r="F59" s="36" t="s">
        <v>135</v>
      </c>
      <c r="G59" s="36">
        <v>110</v>
      </c>
      <c r="H59" s="36">
        <v>650</v>
      </c>
      <c r="I59" s="36">
        <v>108</v>
      </c>
      <c r="J59" s="36">
        <v>262</v>
      </c>
      <c r="K59" s="36">
        <v>346</v>
      </c>
      <c r="L59" s="36">
        <v>430</v>
      </c>
      <c r="M59" s="36">
        <v>111</v>
      </c>
      <c r="N59" s="36">
        <v>236</v>
      </c>
      <c r="O59" s="36" t="s">
        <v>319</v>
      </c>
      <c r="P59" s="36" t="s">
        <v>319</v>
      </c>
    </row>
    <row r="60" spans="4:16" ht="20.100000000000001" customHeight="1" x14ac:dyDescent="0.25">
      <c r="D60" s="1" t="s">
        <v>318</v>
      </c>
      <c r="E60" s="36" t="s">
        <v>173</v>
      </c>
      <c r="F60" s="36" t="s">
        <v>136</v>
      </c>
      <c r="G60" s="36">
        <v>170</v>
      </c>
      <c r="H60" s="36">
        <v>670</v>
      </c>
      <c r="I60" s="36">
        <v>170</v>
      </c>
      <c r="J60" s="36">
        <v>266</v>
      </c>
      <c r="K60" s="36">
        <v>363</v>
      </c>
      <c r="L60" s="36">
        <v>444</v>
      </c>
      <c r="M60" s="36">
        <v>169</v>
      </c>
      <c r="N60" s="36">
        <v>282</v>
      </c>
      <c r="O60" s="36" t="s">
        <v>319</v>
      </c>
      <c r="P60" s="36" t="s">
        <v>319</v>
      </c>
    </row>
    <row r="61" spans="4:16" ht="20.100000000000001" customHeight="1" x14ac:dyDescent="0.25">
      <c r="D61" s="1" t="s">
        <v>318</v>
      </c>
      <c r="E61" s="36" t="s">
        <v>173</v>
      </c>
      <c r="F61" s="36" t="s">
        <v>137</v>
      </c>
      <c r="G61" s="36">
        <v>200</v>
      </c>
      <c r="H61" s="36">
        <v>660</v>
      </c>
      <c r="I61" s="36">
        <v>225</v>
      </c>
      <c r="J61" s="36">
        <v>307</v>
      </c>
      <c r="K61" s="36">
        <v>398</v>
      </c>
      <c r="L61" s="36">
        <v>452</v>
      </c>
      <c r="M61" s="36">
        <v>214</v>
      </c>
      <c r="N61" s="36">
        <v>326</v>
      </c>
      <c r="O61" s="36" t="s">
        <v>319</v>
      </c>
      <c r="P61" s="36" t="s">
        <v>319</v>
      </c>
    </row>
    <row r="62" spans="4:16" ht="20.100000000000001" customHeight="1" x14ac:dyDescent="0.25">
      <c r="D62" s="1" t="s">
        <v>318</v>
      </c>
      <c r="E62" s="36" t="s">
        <v>174</v>
      </c>
      <c r="F62" s="36" t="s">
        <v>134</v>
      </c>
      <c r="G62" s="36">
        <v>220</v>
      </c>
      <c r="H62" s="36">
        <v>620</v>
      </c>
      <c r="I62" s="36">
        <v>177</v>
      </c>
      <c r="J62" s="36">
        <v>267</v>
      </c>
      <c r="K62" s="36">
        <v>365</v>
      </c>
      <c r="L62" s="36">
        <v>406</v>
      </c>
      <c r="M62" s="36">
        <v>231</v>
      </c>
      <c r="N62" s="36">
        <v>249</v>
      </c>
      <c r="O62" s="36">
        <v>324</v>
      </c>
      <c r="P62" s="36" t="s">
        <v>319</v>
      </c>
    </row>
    <row r="63" spans="4:16" ht="20.100000000000001" customHeight="1" x14ac:dyDescent="0.25">
      <c r="D63" s="1" t="s">
        <v>318</v>
      </c>
      <c r="E63" s="36" t="s">
        <v>174</v>
      </c>
      <c r="F63" s="36" t="s">
        <v>135</v>
      </c>
      <c r="G63" s="36">
        <v>110</v>
      </c>
      <c r="H63" s="36">
        <v>650</v>
      </c>
      <c r="I63" s="36">
        <v>102</v>
      </c>
      <c r="J63" s="36">
        <v>203</v>
      </c>
      <c r="K63" s="36">
        <v>299</v>
      </c>
      <c r="L63" s="36">
        <v>380</v>
      </c>
      <c r="M63" s="36">
        <v>102</v>
      </c>
      <c r="N63" s="36">
        <v>218</v>
      </c>
      <c r="O63" s="36">
        <v>263</v>
      </c>
      <c r="P63" s="36" t="s">
        <v>319</v>
      </c>
    </row>
    <row r="64" spans="4:16" ht="20.100000000000001" customHeight="1" x14ac:dyDescent="0.25">
      <c r="D64" s="1" t="s">
        <v>318</v>
      </c>
      <c r="E64" s="36" t="s">
        <v>174</v>
      </c>
      <c r="F64" s="36" t="s">
        <v>136</v>
      </c>
      <c r="G64" s="36">
        <v>170</v>
      </c>
      <c r="H64" s="36">
        <v>670</v>
      </c>
      <c r="I64" s="36">
        <v>173</v>
      </c>
      <c r="J64" s="36">
        <v>250</v>
      </c>
      <c r="K64" s="36">
        <v>336</v>
      </c>
      <c r="L64" s="36">
        <v>414</v>
      </c>
      <c r="M64" s="36">
        <v>175</v>
      </c>
      <c r="N64" s="36">
        <v>243</v>
      </c>
      <c r="O64" s="36">
        <v>304</v>
      </c>
      <c r="P64" s="36" t="s">
        <v>319</v>
      </c>
    </row>
    <row r="65" spans="4:22" ht="20.100000000000001" customHeight="1" x14ac:dyDescent="0.25">
      <c r="D65" s="1" t="s">
        <v>318</v>
      </c>
      <c r="E65" s="36" t="s">
        <v>174</v>
      </c>
      <c r="F65" s="36" t="s">
        <v>137</v>
      </c>
      <c r="G65" s="36">
        <v>200</v>
      </c>
      <c r="H65" s="36">
        <v>660</v>
      </c>
      <c r="I65" s="36">
        <v>202</v>
      </c>
      <c r="J65" s="36">
        <v>272</v>
      </c>
      <c r="K65" s="36">
        <v>365</v>
      </c>
      <c r="L65" s="36">
        <v>390</v>
      </c>
      <c r="M65" s="36">
        <v>208</v>
      </c>
      <c r="N65" s="36">
        <v>260</v>
      </c>
      <c r="O65" s="36">
        <v>337</v>
      </c>
      <c r="P65" s="36" t="s">
        <v>319</v>
      </c>
    </row>
    <row r="66" spans="4:22" ht="20.100000000000001" customHeight="1" x14ac:dyDescent="0.25">
      <c r="D66" s="1" t="s">
        <v>320</v>
      </c>
      <c r="E66" s="36" t="s">
        <v>175</v>
      </c>
      <c r="F66" s="36" t="s">
        <v>134</v>
      </c>
      <c r="G66" s="36">
        <v>260</v>
      </c>
      <c r="H66" s="36">
        <v>705</v>
      </c>
      <c r="I66" s="36">
        <v>215</v>
      </c>
      <c r="J66" s="36">
        <v>302</v>
      </c>
      <c r="K66" s="36">
        <v>416</v>
      </c>
      <c r="L66" s="36">
        <v>519</v>
      </c>
      <c r="M66" s="36">
        <v>234</v>
      </c>
      <c r="N66" s="36">
        <v>455</v>
      </c>
      <c r="O66" s="36">
        <v>551</v>
      </c>
      <c r="P66" s="36">
        <v>660</v>
      </c>
    </row>
    <row r="67" spans="4:22" ht="20.100000000000001" customHeight="1" x14ac:dyDescent="0.25">
      <c r="D67" s="1" t="s">
        <v>320</v>
      </c>
      <c r="E67" s="36" t="s">
        <v>175</v>
      </c>
      <c r="F67" s="36" t="s">
        <v>135</v>
      </c>
      <c r="G67" s="36">
        <v>153</v>
      </c>
      <c r="H67" s="36">
        <v>703</v>
      </c>
      <c r="I67" s="36">
        <v>118</v>
      </c>
      <c r="J67" s="36">
        <v>277</v>
      </c>
      <c r="K67" s="36">
        <v>397</v>
      </c>
      <c r="L67" s="36">
        <v>483</v>
      </c>
      <c r="M67" s="36">
        <v>111</v>
      </c>
      <c r="N67" s="36">
        <v>304</v>
      </c>
      <c r="O67" s="36">
        <v>521</v>
      </c>
      <c r="P67" s="36">
        <v>547</v>
      </c>
    </row>
    <row r="68" spans="4:22" ht="20.100000000000001" customHeight="1" x14ac:dyDescent="0.25">
      <c r="D68" s="1" t="s">
        <v>320</v>
      </c>
      <c r="E68" s="36" t="s">
        <v>175</v>
      </c>
      <c r="F68" s="36" t="s">
        <v>136</v>
      </c>
      <c r="G68" s="36">
        <v>168</v>
      </c>
      <c r="H68" s="36">
        <v>718</v>
      </c>
      <c r="I68" s="36">
        <v>191</v>
      </c>
      <c r="J68" s="36">
        <v>319</v>
      </c>
      <c r="K68" s="36">
        <v>440</v>
      </c>
      <c r="L68" s="36">
        <v>506</v>
      </c>
      <c r="M68" s="36">
        <v>188</v>
      </c>
      <c r="N68" s="36">
        <v>326</v>
      </c>
      <c r="O68" s="36">
        <v>520</v>
      </c>
      <c r="P68" s="36">
        <v>582</v>
      </c>
    </row>
    <row r="69" spans="4:22" ht="20.100000000000001" customHeight="1" x14ac:dyDescent="0.25">
      <c r="D69" s="1" t="s">
        <v>320</v>
      </c>
      <c r="E69" s="36" t="s">
        <v>175</v>
      </c>
      <c r="F69" s="36" t="s">
        <v>137</v>
      </c>
      <c r="G69" s="36">
        <v>235</v>
      </c>
      <c r="H69" s="36">
        <v>722</v>
      </c>
      <c r="I69" s="36">
        <v>207</v>
      </c>
      <c r="J69" s="36">
        <v>352</v>
      </c>
      <c r="K69" s="36">
        <v>470</v>
      </c>
      <c r="L69" s="36">
        <v>514</v>
      </c>
      <c r="M69" s="36">
        <v>209</v>
      </c>
      <c r="N69" s="36">
        <v>421</v>
      </c>
      <c r="O69" s="36">
        <v>512</v>
      </c>
      <c r="P69" s="36">
        <v>605</v>
      </c>
    </row>
    <row r="70" spans="4:22" ht="20.100000000000001" customHeight="1" x14ac:dyDescent="0.25">
      <c r="D70" s="1" t="s">
        <v>320</v>
      </c>
      <c r="E70" s="36" t="s">
        <v>176</v>
      </c>
      <c r="F70" s="36" t="s">
        <v>134</v>
      </c>
      <c r="G70" s="36">
        <v>230</v>
      </c>
      <c r="H70" s="36">
        <v>674</v>
      </c>
      <c r="I70" s="36">
        <v>217</v>
      </c>
      <c r="J70" s="36">
        <v>344</v>
      </c>
      <c r="K70" s="36">
        <v>357</v>
      </c>
      <c r="L70" s="36">
        <v>467</v>
      </c>
      <c r="M70" s="36">
        <v>242</v>
      </c>
      <c r="N70" s="36">
        <v>370</v>
      </c>
      <c r="O70" s="36">
        <v>550</v>
      </c>
      <c r="P70" s="36">
        <v>620</v>
      </c>
    </row>
    <row r="71" spans="4:22" ht="20.100000000000001" customHeight="1" x14ac:dyDescent="0.25">
      <c r="D71" s="1" t="s">
        <v>320</v>
      </c>
      <c r="E71" s="36" t="s">
        <v>176</v>
      </c>
      <c r="F71" s="36" t="s">
        <v>135</v>
      </c>
      <c r="G71" s="36">
        <v>113</v>
      </c>
      <c r="H71" s="36">
        <v>669</v>
      </c>
      <c r="I71" s="36">
        <v>113</v>
      </c>
      <c r="J71" s="36">
        <v>283</v>
      </c>
      <c r="K71" s="36">
        <v>361</v>
      </c>
      <c r="L71" s="36">
        <v>477</v>
      </c>
      <c r="M71" s="36">
        <v>120</v>
      </c>
      <c r="N71" s="36">
        <v>273</v>
      </c>
      <c r="O71" s="36">
        <v>545</v>
      </c>
      <c r="P71" s="36">
        <v>553</v>
      </c>
      <c r="V71" s="1"/>
    </row>
    <row r="72" spans="4:22" ht="20.100000000000001" customHeight="1" x14ac:dyDescent="0.25">
      <c r="D72" s="1" t="s">
        <v>320</v>
      </c>
      <c r="E72" s="36" t="s">
        <v>176</v>
      </c>
      <c r="F72" s="36" t="s">
        <v>136</v>
      </c>
      <c r="G72" s="36">
        <v>172</v>
      </c>
      <c r="H72" s="36">
        <v>685</v>
      </c>
      <c r="I72" s="36">
        <v>172</v>
      </c>
      <c r="J72" s="36">
        <v>309</v>
      </c>
      <c r="K72" s="36">
        <v>376</v>
      </c>
      <c r="L72" s="36">
        <v>471</v>
      </c>
      <c r="M72" s="36">
        <v>238</v>
      </c>
      <c r="N72" s="36">
        <v>329</v>
      </c>
      <c r="O72" s="36">
        <v>573</v>
      </c>
      <c r="P72" s="36">
        <v>620</v>
      </c>
      <c r="V72" s="1"/>
    </row>
    <row r="73" spans="4:22" ht="20.100000000000001" customHeight="1" x14ac:dyDescent="0.25">
      <c r="D73" s="1" t="s">
        <v>320</v>
      </c>
      <c r="E73" s="36" t="s">
        <v>176</v>
      </c>
      <c r="F73" s="36" t="s">
        <v>137</v>
      </c>
      <c r="G73" s="36">
        <v>241</v>
      </c>
      <c r="H73" s="36">
        <v>692</v>
      </c>
      <c r="I73" s="36">
        <v>208</v>
      </c>
      <c r="J73" s="36">
        <v>344</v>
      </c>
      <c r="K73" s="36">
        <v>364</v>
      </c>
      <c r="L73" s="36">
        <v>484</v>
      </c>
      <c r="M73" s="36">
        <v>260</v>
      </c>
      <c r="N73" s="36">
        <v>350</v>
      </c>
      <c r="O73" s="36">
        <v>567</v>
      </c>
      <c r="P73" s="36">
        <v>620</v>
      </c>
      <c r="V73" s="1"/>
    </row>
    <row r="74" spans="4:22" ht="20.100000000000001" customHeight="1" x14ac:dyDescent="0.25">
      <c r="D74" s="1" t="s">
        <v>320</v>
      </c>
      <c r="E74" s="36" t="s">
        <v>177</v>
      </c>
      <c r="F74" s="36" t="s">
        <v>134</v>
      </c>
      <c r="G74" s="36">
        <v>236</v>
      </c>
      <c r="H74" s="36">
        <v>674</v>
      </c>
      <c r="I74" s="36">
        <v>178</v>
      </c>
      <c r="J74" s="36">
        <v>310</v>
      </c>
      <c r="K74" s="36">
        <v>428</v>
      </c>
      <c r="L74" s="36">
        <v>466</v>
      </c>
      <c r="M74" s="36">
        <v>193</v>
      </c>
      <c r="N74" s="36">
        <v>370</v>
      </c>
      <c r="O74" s="36">
        <v>519</v>
      </c>
      <c r="P74" s="36">
        <v>565</v>
      </c>
      <c r="V74" s="1"/>
    </row>
    <row r="75" spans="4:22" ht="20.100000000000001" customHeight="1" x14ac:dyDescent="0.25">
      <c r="D75" s="1" t="s">
        <v>320</v>
      </c>
      <c r="E75" s="36" t="s">
        <v>177</v>
      </c>
      <c r="F75" s="36" t="s">
        <v>135</v>
      </c>
      <c r="G75" s="36">
        <v>120</v>
      </c>
      <c r="H75" s="36">
        <v>669</v>
      </c>
      <c r="I75" s="36">
        <v>112</v>
      </c>
      <c r="J75" s="36">
        <v>250</v>
      </c>
      <c r="K75" s="36">
        <v>390</v>
      </c>
      <c r="L75" s="36">
        <v>448</v>
      </c>
      <c r="M75" s="36">
        <v>115</v>
      </c>
      <c r="N75" s="36">
        <v>273</v>
      </c>
      <c r="O75" s="36">
        <v>433</v>
      </c>
      <c r="P75" s="36">
        <v>556</v>
      </c>
      <c r="V75" s="1"/>
    </row>
    <row r="76" spans="4:22" ht="20.100000000000001" customHeight="1" x14ac:dyDescent="0.25">
      <c r="D76" s="1" t="s">
        <v>320</v>
      </c>
      <c r="E76" s="36" t="s">
        <v>177</v>
      </c>
      <c r="F76" s="36" t="s">
        <v>136</v>
      </c>
      <c r="G76" s="36">
        <v>125</v>
      </c>
      <c r="H76" s="36">
        <v>685</v>
      </c>
      <c r="I76" s="36">
        <v>140</v>
      </c>
      <c r="J76" s="36">
        <v>277</v>
      </c>
      <c r="K76" s="36">
        <v>407</v>
      </c>
      <c r="L76" s="36">
        <v>455</v>
      </c>
      <c r="M76" s="36">
        <v>141</v>
      </c>
      <c r="N76" s="36">
        <v>296</v>
      </c>
      <c r="O76" s="36">
        <v>445</v>
      </c>
      <c r="P76" s="36">
        <v>593</v>
      </c>
      <c r="V76" s="1"/>
    </row>
    <row r="77" spans="4:22" ht="20.100000000000001" customHeight="1" x14ac:dyDescent="0.25">
      <c r="D77" s="1" t="s">
        <v>320</v>
      </c>
      <c r="E77" s="36" t="s">
        <v>177</v>
      </c>
      <c r="F77" s="36" t="s">
        <v>137</v>
      </c>
      <c r="G77" s="36">
        <v>180</v>
      </c>
      <c r="H77" s="36">
        <v>692</v>
      </c>
      <c r="I77" s="36">
        <v>183</v>
      </c>
      <c r="J77" s="36">
        <v>316</v>
      </c>
      <c r="K77" s="36">
        <v>438</v>
      </c>
      <c r="L77" s="36">
        <v>468</v>
      </c>
      <c r="M77" s="36">
        <v>189</v>
      </c>
      <c r="N77" s="36">
        <v>354</v>
      </c>
      <c r="O77" s="36">
        <v>500</v>
      </c>
      <c r="P77" s="36">
        <v>553</v>
      </c>
      <c r="V77" s="1"/>
    </row>
    <row r="78" spans="4:22" ht="20.100000000000001" customHeight="1" x14ac:dyDescent="0.25">
      <c r="D78" s="1" t="s">
        <v>320</v>
      </c>
      <c r="E78" s="36" t="s">
        <v>178</v>
      </c>
      <c r="F78" s="36" t="s">
        <v>134</v>
      </c>
      <c r="G78" s="36">
        <v>190</v>
      </c>
      <c r="H78" s="36">
        <v>617</v>
      </c>
      <c r="I78" s="36">
        <v>174</v>
      </c>
      <c r="J78" s="36">
        <v>265</v>
      </c>
      <c r="K78" s="36">
        <v>371</v>
      </c>
      <c r="L78" s="36">
        <v>415</v>
      </c>
      <c r="M78" s="36">
        <v>170</v>
      </c>
      <c r="N78" s="36">
        <v>272</v>
      </c>
      <c r="O78" s="36">
        <v>392</v>
      </c>
      <c r="P78" s="36">
        <v>531</v>
      </c>
    </row>
    <row r="79" spans="4:22" ht="20.100000000000001" customHeight="1" x14ac:dyDescent="0.25">
      <c r="D79" s="1" t="s">
        <v>320</v>
      </c>
      <c r="E79" s="36" t="s">
        <v>178</v>
      </c>
      <c r="F79" s="36" t="s">
        <v>135</v>
      </c>
      <c r="G79" s="36">
        <v>119</v>
      </c>
      <c r="H79" s="36">
        <v>591</v>
      </c>
      <c r="I79" s="36">
        <v>140</v>
      </c>
      <c r="J79" s="36">
        <v>205</v>
      </c>
      <c r="K79" s="36">
        <v>310</v>
      </c>
      <c r="L79" s="36">
        <v>405</v>
      </c>
      <c r="M79" s="36">
        <v>133</v>
      </c>
      <c r="N79" s="36">
        <v>218</v>
      </c>
      <c r="O79" s="36">
        <v>315</v>
      </c>
      <c r="P79" s="36">
        <v>445</v>
      </c>
    </row>
    <row r="80" spans="4:22" ht="20.100000000000001" customHeight="1" x14ac:dyDescent="0.25">
      <c r="D80" s="1" t="s">
        <v>320</v>
      </c>
      <c r="E80" s="36" t="s">
        <v>178</v>
      </c>
      <c r="F80" s="36" t="s">
        <v>136</v>
      </c>
      <c r="G80" s="36">
        <v>175</v>
      </c>
      <c r="H80" s="36">
        <v>610</v>
      </c>
      <c r="I80" s="36">
        <v>163</v>
      </c>
      <c r="J80" s="36">
        <v>232</v>
      </c>
      <c r="K80" s="36">
        <v>351</v>
      </c>
      <c r="L80" s="36">
        <v>427</v>
      </c>
      <c r="M80" s="36">
        <v>146</v>
      </c>
      <c r="N80" s="36">
        <v>242</v>
      </c>
      <c r="O80" s="36">
        <v>320</v>
      </c>
      <c r="P80" s="36">
        <v>471</v>
      </c>
    </row>
    <row r="81" spans="4:22" ht="20.100000000000001" customHeight="1" x14ac:dyDescent="0.25">
      <c r="D81" s="1" t="s">
        <v>320</v>
      </c>
      <c r="E81" s="36" t="s">
        <v>178</v>
      </c>
      <c r="F81" s="36" t="s">
        <v>137</v>
      </c>
      <c r="G81" s="36">
        <v>192</v>
      </c>
      <c r="H81" s="36">
        <v>615</v>
      </c>
      <c r="I81" s="36">
        <v>162</v>
      </c>
      <c r="J81" s="36">
        <v>255</v>
      </c>
      <c r="K81" s="36">
        <v>364</v>
      </c>
      <c r="L81" s="36">
        <v>420</v>
      </c>
      <c r="M81" s="36">
        <v>157</v>
      </c>
      <c r="N81" s="36">
        <v>261</v>
      </c>
      <c r="O81" s="36">
        <v>342</v>
      </c>
      <c r="P81" s="36">
        <v>484</v>
      </c>
    </row>
    <row r="82" spans="4:22" ht="20.100000000000001" customHeight="1" x14ac:dyDescent="0.25">
      <c r="M82" s="1"/>
    </row>
    <row r="83" spans="4:22" ht="20.100000000000001" customHeight="1" x14ac:dyDescent="0.25">
      <c r="M83" s="1"/>
    </row>
    <row r="84" spans="4:22" ht="20.100000000000001" customHeight="1" x14ac:dyDescent="0.25">
      <c r="D84" s="6" t="s">
        <v>162</v>
      </c>
      <c r="M84" s="1"/>
    </row>
    <row r="85" spans="4:22" ht="20.100000000000001" customHeight="1" x14ac:dyDescent="0.25">
      <c r="D85" s="36" t="s">
        <v>6</v>
      </c>
      <c r="E85" s="36" t="s">
        <v>144</v>
      </c>
      <c r="F85" s="36" t="s">
        <v>145</v>
      </c>
      <c r="G85" s="109" t="s">
        <v>103</v>
      </c>
      <c r="H85" s="109" t="s">
        <v>102</v>
      </c>
      <c r="I85" s="109" t="s">
        <v>126</v>
      </c>
      <c r="J85" s="109" t="s">
        <v>127</v>
      </c>
      <c r="K85" s="109" t="s">
        <v>128</v>
      </c>
      <c r="L85" s="109" t="s">
        <v>129</v>
      </c>
      <c r="M85" s="109" t="s">
        <v>130</v>
      </c>
      <c r="N85" s="109" t="s">
        <v>131</v>
      </c>
      <c r="O85" s="109" t="s">
        <v>132</v>
      </c>
      <c r="P85" s="109" t="s">
        <v>133</v>
      </c>
      <c r="V85" s="1"/>
    </row>
    <row r="86" spans="4:22" ht="20.100000000000001" customHeight="1" x14ac:dyDescent="0.25">
      <c r="D86" s="36" t="s">
        <v>65</v>
      </c>
      <c r="E86" s="36" t="s">
        <v>163</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65</v>
      </c>
      <c r="E87" s="36" t="s">
        <v>163</v>
      </c>
      <c r="F87" s="36" t="s">
        <v>135</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65</v>
      </c>
      <c r="E88" s="36" t="s">
        <v>163</v>
      </c>
      <c r="F88" s="36" t="s">
        <v>136</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65</v>
      </c>
      <c r="E89" s="36" t="s">
        <v>163</v>
      </c>
      <c r="F89" s="36" t="s">
        <v>137</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66</v>
      </c>
      <c r="E90" s="36" t="s">
        <v>163</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66</v>
      </c>
      <c r="E91" s="36" t="s">
        <v>163</v>
      </c>
      <c r="F91" s="36" t="s">
        <v>135</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66</v>
      </c>
      <c r="E92" s="36" t="s">
        <v>163</v>
      </c>
      <c r="F92" s="36" t="s">
        <v>136</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66</v>
      </c>
      <c r="E93" s="36" t="s">
        <v>163</v>
      </c>
      <c r="F93" s="36" t="s">
        <v>137</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69</v>
      </c>
      <c r="E94" s="36" t="s">
        <v>163</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69</v>
      </c>
      <c r="E95" s="36" t="s">
        <v>163</v>
      </c>
      <c r="F95" s="36" t="s">
        <v>135</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69</v>
      </c>
      <c r="E96" s="36" t="s">
        <v>163</v>
      </c>
      <c r="F96" s="36" t="s">
        <v>136</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69</v>
      </c>
      <c r="E97" s="36" t="s">
        <v>163</v>
      </c>
      <c r="F97" s="36" t="s">
        <v>137</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70</v>
      </c>
      <c r="E98" s="36" t="s">
        <v>163</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70</v>
      </c>
      <c r="E99" s="36" t="s">
        <v>163</v>
      </c>
      <c r="F99" s="36" t="s">
        <v>135</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70</v>
      </c>
      <c r="E100" s="36" t="s">
        <v>163</v>
      </c>
      <c r="F100" s="36" t="s">
        <v>136</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70</v>
      </c>
      <c r="E101" s="36" t="s">
        <v>163</v>
      </c>
      <c r="F101" s="36" t="s">
        <v>137</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71</v>
      </c>
      <c r="E102" s="36" t="s">
        <v>163</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71</v>
      </c>
      <c r="E103" s="36" t="s">
        <v>163</v>
      </c>
      <c r="F103" s="36" t="s">
        <v>135</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71</v>
      </c>
      <c r="E104" s="36" t="s">
        <v>163</v>
      </c>
      <c r="F104" s="36" t="s">
        <v>136</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71</v>
      </c>
      <c r="E105" s="36" t="s">
        <v>163</v>
      </c>
      <c r="F105" s="36" t="s">
        <v>137</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72</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72</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72</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72</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72</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72</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72</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72</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72</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72</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72</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72</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67</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67</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67</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67</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67</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67</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67</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67</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67</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67</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67</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67</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68</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68</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68</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68</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68</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68</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68</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68</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68</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68</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68</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68</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68</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68</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68</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68</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267</v>
      </c>
      <c r="E146" s="1" t="s">
        <v>163</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267</v>
      </c>
      <c r="E147" s="1" t="s">
        <v>163</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267</v>
      </c>
      <c r="E148" s="1" t="s">
        <v>163</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267</v>
      </c>
      <c r="E149" s="1" t="s">
        <v>163</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
        <v>321</v>
      </c>
      <c r="E150" s="1" t="str">
        <f>E86</f>
        <v>n/a</v>
      </c>
      <c r="F150" s="1" t="str">
        <f>F86</f>
        <v>Spring</v>
      </c>
      <c r="G150" s="1">
        <f>G86</f>
        <v>80</v>
      </c>
      <c r="H150" s="1">
        <f>H86</f>
        <v>480</v>
      </c>
      <c r="I150" s="1">
        <f>I86</f>
        <v>75</v>
      </c>
      <c r="J150" s="1">
        <f>J86</f>
        <v>300</v>
      </c>
      <c r="K150" s="1">
        <f>K86</f>
        <v>440</v>
      </c>
      <c r="L150" s="1">
        <f>L86</f>
        <v>440</v>
      </c>
      <c r="M150" s="1">
        <f>M86</f>
        <v>75</v>
      </c>
      <c r="N150" s="1">
        <f>N86</f>
        <v>380</v>
      </c>
      <c r="O150" s="1">
        <f>O86</f>
        <v>380</v>
      </c>
      <c r="P150" s="1">
        <f>P86</f>
        <v>380</v>
      </c>
    </row>
    <row r="151" spans="4:16" ht="20.100000000000001" customHeight="1" x14ac:dyDescent="0.25">
      <c r="D151" s="5" t="s">
        <v>322</v>
      </c>
      <c r="E151" s="1" t="str">
        <f>E87</f>
        <v>n/a</v>
      </c>
      <c r="F151" s="1" t="str">
        <f>F87</f>
        <v>Summer</v>
      </c>
      <c r="G151" s="1">
        <f>G87</f>
        <v>170</v>
      </c>
      <c r="H151" s="1">
        <f>H87</f>
        <v>520</v>
      </c>
      <c r="I151" s="1">
        <f>I87</f>
        <v>160</v>
      </c>
      <c r="J151" s="1">
        <f>J87</f>
        <v>360</v>
      </c>
      <c r="K151" s="1">
        <f>K87</f>
        <v>470</v>
      </c>
      <c r="L151" s="1">
        <f>L87</f>
        <v>470</v>
      </c>
      <c r="M151" s="1">
        <f>M87</f>
        <v>160</v>
      </c>
      <c r="N151" s="1">
        <f>N87</f>
        <v>420</v>
      </c>
      <c r="O151" s="1">
        <f>O87</f>
        <v>420</v>
      </c>
      <c r="P151" s="1">
        <f>P87</f>
        <v>420</v>
      </c>
    </row>
    <row r="152" spans="4:16" ht="20.100000000000001" customHeight="1" x14ac:dyDescent="0.25">
      <c r="D152" s="1" t="s">
        <v>323</v>
      </c>
      <c r="E152" s="1" t="str">
        <f>E88</f>
        <v>n/a</v>
      </c>
      <c r="F152" s="1" t="str">
        <f>F88</f>
        <v>Autumn</v>
      </c>
      <c r="G152" s="1">
        <f>G88</f>
        <v>240</v>
      </c>
      <c r="H152" s="1">
        <f>H88</f>
        <v>550</v>
      </c>
      <c r="I152" s="1">
        <f>I88</f>
        <v>220</v>
      </c>
      <c r="J152" s="1">
        <f>J88</f>
        <v>390</v>
      </c>
      <c r="K152" s="1">
        <f>K88</f>
        <v>490</v>
      </c>
      <c r="L152" s="1">
        <f>L88</f>
        <v>490</v>
      </c>
      <c r="M152" s="1">
        <f>M88</f>
        <v>220</v>
      </c>
      <c r="N152" s="1">
        <f>N88</f>
        <v>450</v>
      </c>
      <c r="O152" s="1">
        <f>O88</f>
        <v>450</v>
      </c>
      <c r="P152" s="1">
        <f>P88</f>
        <v>450</v>
      </c>
    </row>
    <row r="153" spans="4:16" ht="20.100000000000001" customHeight="1" x14ac:dyDescent="0.25">
      <c r="D153" s="53" t="s">
        <v>292</v>
      </c>
      <c r="E153" s="1" t="str">
        <f>E89</f>
        <v>n/a</v>
      </c>
      <c r="F153" s="1" t="str">
        <f>F89</f>
        <v>Winter</v>
      </c>
      <c r="G153" s="1">
        <f>G89</f>
        <v>280</v>
      </c>
      <c r="H153" s="1">
        <f>H89</f>
        <v>560</v>
      </c>
      <c r="I153" s="1">
        <f>I89</f>
        <v>260</v>
      </c>
      <c r="J153" s="1">
        <f>J89</f>
        <v>410</v>
      </c>
      <c r="K153" s="1">
        <f>K89</f>
        <v>500</v>
      </c>
      <c r="L153" s="1">
        <f>L89</f>
        <v>500</v>
      </c>
      <c r="M153" s="1">
        <f>M89</f>
        <v>260</v>
      </c>
      <c r="N153" s="1">
        <f>N89</f>
        <v>460</v>
      </c>
      <c r="O153" s="1">
        <f>O89</f>
        <v>460</v>
      </c>
      <c r="P153" s="1">
        <f>P89</f>
        <v>460</v>
      </c>
    </row>
    <row r="154" spans="4:16" ht="20.100000000000001" customHeight="1" x14ac:dyDescent="0.25">
      <c r="D154" s="36" t="s">
        <v>6</v>
      </c>
      <c r="E154" s="36" t="s">
        <v>144</v>
      </c>
      <c r="F154" s="36" t="s">
        <v>145</v>
      </c>
      <c r="G154" s="36" t="s">
        <v>164</v>
      </c>
      <c r="H154" s="36" t="s">
        <v>153</v>
      </c>
      <c r="I154" s="36" t="s">
        <v>185</v>
      </c>
      <c r="J154" s="36" t="s">
        <v>149</v>
      </c>
      <c r="K154" s="36" t="s">
        <v>186</v>
      </c>
      <c r="L154" s="36" t="s">
        <v>158</v>
      </c>
      <c r="M154" s="36" t="s">
        <v>187</v>
      </c>
    </row>
    <row r="155" spans="4:16" ht="20.100000000000001" customHeight="1" x14ac:dyDescent="0.25">
      <c r="D155" s="36" t="s">
        <v>312</v>
      </c>
      <c r="E155" s="36" t="s">
        <v>163</v>
      </c>
      <c r="F155" s="36" t="s">
        <v>134</v>
      </c>
      <c r="G155" s="36">
        <v>0.5</v>
      </c>
      <c r="H155" s="36">
        <v>0.2</v>
      </c>
      <c r="I155" s="36">
        <v>0.5</v>
      </c>
      <c r="J155" s="36">
        <v>0.4</v>
      </c>
      <c r="K155" s="36">
        <v>0.3</v>
      </c>
      <c r="L155" s="36">
        <v>0.5</v>
      </c>
      <c r="M155" s="36">
        <v>0.4</v>
      </c>
    </row>
    <row r="156" spans="4:16" ht="20.100000000000001" customHeight="1" x14ac:dyDescent="0.25">
      <c r="D156" s="1" t="s">
        <v>312</v>
      </c>
      <c r="E156" s="36" t="s">
        <v>163</v>
      </c>
      <c r="F156" s="36" t="s">
        <v>135</v>
      </c>
      <c r="G156" s="36">
        <v>1</v>
      </c>
      <c r="H156" s="36">
        <v>0.4</v>
      </c>
      <c r="I156" s="36">
        <v>0.9</v>
      </c>
      <c r="J156" s="36">
        <v>0.7</v>
      </c>
      <c r="K156" s="36">
        <v>0.3</v>
      </c>
      <c r="L156" s="36">
        <v>0.9</v>
      </c>
      <c r="M156" s="36">
        <v>0.4</v>
      </c>
    </row>
    <row r="157" spans="4:16" ht="20.100000000000001" customHeight="1" x14ac:dyDescent="0.25">
      <c r="D157" s="1" t="s">
        <v>312</v>
      </c>
      <c r="E157" s="36" t="s">
        <v>163</v>
      </c>
      <c r="F157" s="36" t="s">
        <v>136</v>
      </c>
      <c r="G157" s="36">
        <v>0.8</v>
      </c>
      <c r="H157" s="36">
        <v>0.3</v>
      </c>
      <c r="I157" s="36">
        <v>0.7</v>
      </c>
      <c r="J157" s="36">
        <v>0.3</v>
      </c>
      <c r="K157" s="36">
        <v>0.2</v>
      </c>
      <c r="L157" s="36">
        <v>0.7</v>
      </c>
      <c r="M157" s="36">
        <v>0.3</v>
      </c>
    </row>
    <row r="158" spans="4:16" ht="20.100000000000001" customHeight="1" x14ac:dyDescent="0.25">
      <c r="D158" s="1" t="s">
        <v>312</v>
      </c>
      <c r="E158" s="36" t="s">
        <v>163</v>
      </c>
      <c r="F158" s="36" t="s">
        <v>137</v>
      </c>
      <c r="G158" s="36">
        <v>0.4</v>
      </c>
      <c r="H158" s="36">
        <v>0.1</v>
      </c>
      <c r="I158" s="36">
        <v>0.4</v>
      </c>
      <c r="J158" s="36">
        <v>0.2</v>
      </c>
      <c r="K158" s="36">
        <v>0.1</v>
      </c>
      <c r="L158" s="36">
        <v>0.4</v>
      </c>
      <c r="M158" s="36">
        <v>0.1</v>
      </c>
    </row>
    <row r="159" spans="4:16" ht="20.100000000000001" customHeight="1" x14ac:dyDescent="0.25">
      <c r="D159" s="1" t="s">
        <v>313</v>
      </c>
      <c r="E159" s="36" t="s">
        <v>163</v>
      </c>
      <c r="F159" s="36" t="s">
        <v>134</v>
      </c>
      <c r="G159" s="36">
        <v>0.99</v>
      </c>
      <c r="H159" s="36">
        <v>1.1000000000000001</v>
      </c>
      <c r="I159" s="36">
        <v>0.88</v>
      </c>
      <c r="J159" s="36">
        <v>0.55000000000000004</v>
      </c>
      <c r="K159" s="36">
        <v>0.55000000000000004</v>
      </c>
      <c r="L159" s="36">
        <v>0.88</v>
      </c>
      <c r="M159" s="36">
        <v>0.22</v>
      </c>
    </row>
    <row r="160" spans="4:16" ht="20.100000000000001" customHeight="1" x14ac:dyDescent="0.25">
      <c r="D160" s="1" t="s">
        <v>313</v>
      </c>
      <c r="E160" s="36" t="s">
        <v>163</v>
      </c>
      <c r="F160" s="36" t="s">
        <v>135</v>
      </c>
      <c r="G160" s="36">
        <v>0.77</v>
      </c>
      <c r="H160" s="36">
        <v>0</v>
      </c>
      <c r="I160" s="36">
        <v>0.66</v>
      </c>
      <c r="J160" s="36">
        <v>0.22</v>
      </c>
      <c r="K160" s="36">
        <v>0</v>
      </c>
      <c r="L160" s="36">
        <v>0.66</v>
      </c>
      <c r="M160" s="36">
        <v>0</v>
      </c>
    </row>
    <row r="161" spans="4:13" ht="20.100000000000001" customHeight="1" x14ac:dyDescent="0.25">
      <c r="D161" s="1" t="s">
        <v>313</v>
      </c>
      <c r="E161" s="36" t="s">
        <v>163</v>
      </c>
      <c r="F161" s="36" t="s">
        <v>136</v>
      </c>
      <c r="G161" s="36">
        <v>0.9</v>
      </c>
      <c r="H161" s="36">
        <v>-1.1000000000000001</v>
      </c>
      <c r="I161" s="36">
        <v>0.7</v>
      </c>
      <c r="J161" s="36">
        <v>0.22</v>
      </c>
      <c r="K161" s="36">
        <v>-0.55000000000000004</v>
      </c>
      <c r="L161" s="36">
        <v>0.8</v>
      </c>
      <c r="M161" s="36">
        <v>-0.22</v>
      </c>
    </row>
    <row r="162" spans="4:13" ht="20.100000000000001" customHeight="1" x14ac:dyDescent="0.25">
      <c r="D162" s="1" t="s">
        <v>313</v>
      </c>
      <c r="E162" s="36" t="s">
        <v>163</v>
      </c>
      <c r="F162" s="36" t="s">
        <v>137</v>
      </c>
      <c r="G162" s="36">
        <v>0.88</v>
      </c>
      <c r="H162" s="36">
        <v>0</v>
      </c>
      <c r="I162" s="36">
        <v>0.77</v>
      </c>
      <c r="J162" s="36">
        <v>0.55000000000000004</v>
      </c>
      <c r="K162" s="36">
        <v>0</v>
      </c>
      <c r="L162" s="36">
        <v>0.82</v>
      </c>
      <c r="M162" s="36">
        <v>0</v>
      </c>
    </row>
    <row r="163" spans="4:13" ht="20.100000000000001" customHeight="1" x14ac:dyDescent="0.25">
      <c r="D163" s="1" t="s">
        <v>314</v>
      </c>
      <c r="E163" s="36" t="s">
        <v>163</v>
      </c>
      <c r="F163" s="36" t="s">
        <v>134</v>
      </c>
      <c r="G163" s="36">
        <v>1</v>
      </c>
      <c r="H163" s="36">
        <v>0.5</v>
      </c>
      <c r="I163" s="36">
        <v>1</v>
      </c>
      <c r="J163" s="36">
        <v>1</v>
      </c>
      <c r="K163" s="36">
        <v>-0.44</v>
      </c>
      <c r="L163" s="36">
        <v>1</v>
      </c>
      <c r="M163" s="36">
        <v>0.5</v>
      </c>
    </row>
    <row r="164" spans="4:13" ht="20.100000000000001" customHeight="1" x14ac:dyDescent="0.25">
      <c r="D164" s="1" t="s">
        <v>314</v>
      </c>
      <c r="E164" s="36" t="s">
        <v>163</v>
      </c>
      <c r="F164" s="36" t="s">
        <v>135</v>
      </c>
      <c r="G164" s="36">
        <v>0.82</v>
      </c>
      <c r="H164" s="36">
        <v>0.55000000000000004</v>
      </c>
      <c r="I164" s="36">
        <v>0.71</v>
      </c>
      <c r="J164" s="36">
        <v>0.55000000000000004</v>
      </c>
      <c r="K164" s="36">
        <v>0.99</v>
      </c>
      <c r="L164" s="36">
        <v>0.77</v>
      </c>
      <c r="M164" s="36">
        <v>0.5</v>
      </c>
    </row>
    <row r="165" spans="4:13" ht="20.100000000000001" customHeight="1" x14ac:dyDescent="0.25">
      <c r="D165" s="1" t="s">
        <v>314</v>
      </c>
      <c r="E165" s="36" t="s">
        <v>163</v>
      </c>
      <c r="F165" s="36" t="s">
        <v>136</v>
      </c>
      <c r="G165" s="36">
        <v>0.77</v>
      </c>
      <c r="H165" s="36">
        <v>0.5</v>
      </c>
      <c r="I165" s="36">
        <v>0.55000000000000004</v>
      </c>
      <c r="J165" s="36">
        <v>0.11</v>
      </c>
      <c r="K165" s="36">
        <v>-0.33</v>
      </c>
      <c r="L165" s="36">
        <v>0.6</v>
      </c>
      <c r="M165" s="36">
        <v>0.33</v>
      </c>
    </row>
    <row r="166" spans="4:13" x14ac:dyDescent="0.25">
      <c r="D166" s="1" t="s">
        <v>314</v>
      </c>
      <c r="E166" s="36" t="s">
        <v>163</v>
      </c>
      <c r="F166" s="36" t="s">
        <v>137</v>
      </c>
      <c r="G166" s="36">
        <v>0.11</v>
      </c>
      <c r="H166" s="36">
        <v>-0.27</v>
      </c>
      <c r="I166" s="36">
        <v>0.11</v>
      </c>
      <c r="J166" s="36">
        <v>0.22</v>
      </c>
      <c r="K166" s="36">
        <v>-0.44</v>
      </c>
      <c r="L166" s="36">
        <v>0.16</v>
      </c>
      <c r="M166" s="36">
        <v>-0.22</v>
      </c>
    </row>
    <row r="167" spans="4:13" x14ac:dyDescent="0.25">
      <c r="D167" s="1" t="s">
        <v>315</v>
      </c>
      <c r="E167" s="36" t="s">
        <v>163</v>
      </c>
      <c r="F167" s="36" t="s">
        <v>134</v>
      </c>
      <c r="G167" s="36">
        <v>1.1000000000000001</v>
      </c>
      <c r="H167" s="36">
        <v>1.1000000000000001</v>
      </c>
      <c r="I167" s="36">
        <v>1.1000000000000001</v>
      </c>
      <c r="J167" s="36">
        <v>0.99</v>
      </c>
      <c r="K167" s="36">
        <v>0.99</v>
      </c>
      <c r="L167" s="36">
        <v>1.1000000000000001</v>
      </c>
      <c r="M167" s="36">
        <v>0.77</v>
      </c>
    </row>
    <row r="168" spans="4:13" x14ac:dyDescent="0.25">
      <c r="D168" s="1" t="s">
        <v>315</v>
      </c>
      <c r="E168" s="36" t="s">
        <v>163</v>
      </c>
      <c r="F168" s="36" t="s">
        <v>135</v>
      </c>
      <c r="G168" s="36">
        <v>0.33</v>
      </c>
      <c r="H168" s="36">
        <v>0.33</v>
      </c>
      <c r="I168" s="36">
        <v>0.22</v>
      </c>
      <c r="J168" s="36">
        <v>0.33</v>
      </c>
      <c r="K168" s="36">
        <v>-0.1</v>
      </c>
      <c r="L168" s="36">
        <v>0.33</v>
      </c>
      <c r="M168" s="36">
        <v>0.11</v>
      </c>
    </row>
    <row r="169" spans="4:13" x14ac:dyDescent="0.25">
      <c r="D169" s="1" t="s">
        <v>315</v>
      </c>
      <c r="E169" s="36" t="s">
        <v>163</v>
      </c>
      <c r="F169" s="36" t="s">
        <v>136</v>
      </c>
      <c r="G169" s="36">
        <v>0.5</v>
      </c>
      <c r="H169" s="36">
        <v>0.2</v>
      </c>
      <c r="I169" s="36">
        <v>0.55000000000000004</v>
      </c>
      <c r="J169" s="36">
        <v>0.44</v>
      </c>
      <c r="K169" s="36">
        <v>0.2</v>
      </c>
      <c r="L169" s="36">
        <v>0.55000000000000004</v>
      </c>
      <c r="M169" s="36">
        <v>0.2</v>
      </c>
    </row>
    <row r="170" spans="4:13" x14ac:dyDescent="0.25">
      <c r="D170" s="1" t="s">
        <v>315</v>
      </c>
      <c r="E170" s="36" t="s">
        <v>163</v>
      </c>
      <c r="F170" s="36" t="s">
        <v>137</v>
      </c>
      <c r="G170" s="36">
        <v>0.55000000000000004</v>
      </c>
      <c r="H170" s="36">
        <v>0.22</v>
      </c>
      <c r="I170" s="36">
        <v>0.49</v>
      </c>
      <c r="J170" s="36">
        <v>0.22</v>
      </c>
      <c r="K170" s="36">
        <v>0.22</v>
      </c>
      <c r="L170" s="36">
        <v>0.49</v>
      </c>
      <c r="M170" s="36">
        <v>0.33</v>
      </c>
    </row>
    <row r="171" spans="4:13" x14ac:dyDescent="0.25">
      <c r="D171" s="1" t="s">
        <v>179</v>
      </c>
      <c r="E171" s="36" t="s">
        <v>170</v>
      </c>
      <c r="F171" s="36" t="s">
        <v>134</v>
      </c>
      <c r="G171" s="36">
        <v>1.64</v>
      </c>
      <c r="H171" s="36">
        <v>1.1000000000000001</v>
      </c>
      <c r="I171" s="36">
        <v>1.21</v>
      </c>
      <c r="J171" s="36">
        <v>0.99</v>
      </c>
      <c r="K171" s="36">
        <v>0.66</v>
      </c>
      <c r="L171" s="36">
        <v>1.42</v>
      </c>
      <c r="M171" s="36">
        <v>1.1000000000000001</v>
      </c>
    </row>
    <row r="172" spans="4:13" x14ac:dyDescent="0.25">
      <c r="D172" s="1" t="s">
        <v>179</v>
      </c>
      <c r="E172" s="36" t="s">
        <v>170</v>
      </c>
      <c r="F172" s="36" t="s">
        <v>135</v>
      </c>
      <c r="G172" s="36">
        <v>0.44</v>
      </c>
      <c r="H172" s="36">
        <v>-0.22</v>
      </c>
      <c r="I172" s="36">
        <v>0.44</v>
      </c>
      <c r="J172" s="36">
        <v>0.33</v>
      </c>
      <c r="K172" s="36">
        <v>-0.22</v>
      </c>
      <c r="L172" s="36">
        <v>0.44</v>
      </c>
      <c r="M172" s="36">
        <v>-0.11</v>
      </c>
    </row>
    <row r="173" spans="4:13" x14ac:dyDescent="0.25">
      <c r="D173" s="1" t="s">
        <v>179</v>
      </c>
      <c r="E173" s="36" t="s">
        <v>170</v>
      </c>
      <c r="F173" s="36" t="s">
        <v>136</v>
      </c>
      <c r="G173" s="36">
        <v>0.6</v>
      </c>
      <c r="H173" s="36">
        <v>0</v>
      </c>
      <c r="I173" s="36">
        <v>0.6</v>
      </c>
      <c r="J173" s="36">
        <v>0.22</v>
      </c>
      <c r="K173" s="36">
        <v>-0.55000000000000004</v>
      </c>
      <c r="L173" s="36">
        <v>0.6</v>
      </c>
      <c r="M173" s="36">
        <v>0</v>
      </c>
    </row>
    <row r="174" spans="4:13" x14ac:dyDescent="0.25">
      <c r="D174" s="1" t="s">
        <v>179</v>
      </c>
      <c r="E174" s="36" t="s">
        <v>170</v>
      </c>
      <c r="F174" s="36" t="s">
        <v>137</v>
      </c>
      <c r="G174" s="36">
        <v>0.99</v>
      </c>
      <c r="H174" s="36">
        <v>0.22</v>
      </c>
      <c r="I174" s="36">
        <v>0.77</v>
      </c>
      <c r="J174" s="36">
        <v>0.11</v>
      </c>
      <c r="K174" s="36">
        <v>0.11</v>
      </c>
      <c r="L174" s="36">
        <v>0.77</v>
      </c>
      <c r="M174" s="36">
        <v>0.44</v>
      </c>
    </row>
    <row r="175" spans="4:13" x14ac:dyDescent="0.25">
      <c r="D175" s="1" t="s">
        <v>179</v>
      </c>
      <c r="E175" s="36" t="s">
        <v>171</v>
      </c>
      <c r="F175" s="36" t="s">
        <v>134</v>
      </c>
      <c r="G175" s="36">
        <v>0.7</v>
      </c>
      <c r="H175" s="36">
        <v>-0.55000000000000004</v>
      </c>
      <c r="I175" s="36">
        <v>0.7</v>
      </c>
      <c r="J175" s="36">
        <v>0.22</v>
      </c>
      <c r="K175" s="36">
        <v>-0.22</v>
      </c>
      <c r="L175" s="36">
        <v>0.7</v>
      </c>
      <c r="M175" s="36">
        <v>-0.22</v>
      </c>
    </row>
    <row r="176" spans="4:13" x14ac:dyDescent="0.25">
      <c r="D176" s="1" t="s">
        <v>179</v>
      </c>
      <c r="E176" s="36" t="s">
        <v>171</v>
      </c>
      <c r="F176" s="36" t="s">
        <v>135</v>
      </c>
      <c r="G176" s="36">
        <v>0.77</v>
      </c>
      <c r="H176" s="36">
        <v>0.55000000000000004</v>
      </c>
      <c r="I176" s="36">
        <v>0.77</v>
      </c>
      <c r="J176" s="36">
        <v>0.66</v>
      </c>
      <c r="K176" s="36">
        <v>0.55000000000000004</v>
      </c>
      <c r="L176" s="36">
        <v>0.77</v>
      </c>
      <c r="M176" s="36">
        <v>0.33</v>
      </c>
    </row>
    <row r="177" spans="4:16" x14ac:dyDescent="0.25">
      <c r="D177" s="1" t="s">
        <v>179</v>
      </c>
      <c r="E177" s="36" t="s">
        <v>171</v>
      </c>
      <c r="F177" s="36" t="s">
        <v>136</v>
      </c>
      <c r="G177" s="36">
        <v>0.88</v>
      </c>
      <c r="H177" s="36">
        <v>0.55000000000000004</v>
      </c>
      <c r="I177" s="36">
        <v>0.88</v>
      </c>
      <c r="J177" s="36">
        <v>0.22</v>
      </c>
      <c r="K177" s="36">
        <v>0.22</v>
      </c>
      <c r="L177" s="36">
        <v>0.88</v>
      </c>
      <c r="M177" s="36">
        <v>0.22</v>
      </c>
    </row>
    <row r="178" spans="4:16" x14ac:dyDescent="0.25">
      <c r="D178" s="1" t="s">
        <v>179</v>
      </c>
      <c r="E178" s="36" t="s">
        <v>171</v>
      </c>
      <c r="F178" s="36" t="s">
        <v>137</v>
      </c>
      <c r="G178" s="36">
        <v>0.22</v>
      </c>
      <c r="H178" s="36">
        <v>-0.55000000000000004</v>
      </c>
      <c r="I178" s="36">
        <v>0.22</v>
      </c>
      <c r="J178" s="36">
        <v>0.11</v>
      </c>
      <c r="K178" s="36">
        <v>-0.22</v>
      </c>
      <c r="L178" s="36">
        <v>0.22</v>
      </c>
      <c r="M178" s="36">
        <v>-0.33</v>
      </c>
    </row>
    <row r="179" spans="4:16" x14ac:dyDescent="0.25">
      <c r="D179" s="1" t="s">
        <v>179</v>
      </c>
      <c r="E179" s="36" t="s">
        <v>166</v>
      </c>
      <c r="F179" s="36" t="s">
        <v>134</v>
      </c>
      <c r="G179" s="36">
        <v>0.22</v>
      </c>
      <c r="H179" s="36">
        <v>-0.55000000000000004</v>
      </c>
      <c r="I179" s="36">
        <v>0.33</v>
      </c>
      <c r="J179" s="36">
        <v>0.22</v>
      </c>
      <c r="K179" s="36">
        <v>-0.33</v>
      </c>
      <c r="L179" s="36">
        <v>0.22</v>
      </c>
      <c r="M179" s="36">
        <v>-0.55000000000000004</v>
      </c>
    </row>
    <row r="180" spans="4:16" x14ac:dyDescent="0.25">
      <c r="D180" s="1" t="s">
        <v>179</v>
      </c>
      <c r="E180" s="36" t="s">
        <v>166</v>
      </c>
      <c r="F180" s="36" t="s">
        <v>135</v>
      </c>
      <c r="G180" s="36">
        <v>0.8</v>
      </c>
      <c r="H180" s="36">
        <v>0.55000000000000004</v>
      </c>
      <c r="I180" s="36">
        <v>0.7</v>
      </c>
      <c r="J180" s="36">
        <v>0.44</v>
      </c>
      <c r="K180" s="36">
        <v>0.66</v>
      </c>
      <c r="L180" s="36">
        <v>0.8</v>
      </c>
      <c r="M180" s="36">
        <v>0.55000000000000004</v>
      </c>
    </row>
    <row r="181" spans="4:16" x14ac:dyDescent="0.25">
      <c r="D181" s="1" t="s">
        <v>179</v>
      </c>
      <c r="E181" s="36" t="s">
        <v>166</v>
      </c>
      <c r="F181" s="36" t="s">
        <v>136</v>
      </c>
      <c r="G181" s="36">
        <v>0.66</v>
      </c>
      <c r="H181" s="36">
        <v>0.55000000000000004</v>
      </c>
      <c r="I181" s="36">
        <v>0.55000000000000004</v>
      </c>
      <c r="J181" s="36">
        <v>0.55000000000000004</v>
      </c>
      <c r="K181" s="36">
        <v>0.11</v>
      </c>
      <c r="L181" s="36">
        <v>0.66</v>
      </c>
      <c r="M181" s="36">
        <v>0.55000000000000004</v>
      </c>
    </row>
    <row r="182" spans="4:16" x14ac:dyDescent="0.25">
      <c r="D182" s="1" t="s">
        <v>179</v>
      </c>
      <c r="E182" s="36" t="s">
        <v>166</v>
      </c>
      <c r="F182" s="36" t="s">
        <v>137</v>
      </c>
      <c r="G182" s="36">
        <v>0.33</v>
      </c>
      <c r="H182" s="36">
        <v>-0.55000000000000004</v>
      </c>
      <c r="I182" s="36">
        <v>0.11</v>
      </c>
      <c r="J182" s="36">
        <v>0.11</v>
      </c>
      <c r="K182" s="36">
        <v>-0.44</v>
      </c>
      <c r="L182" s="36">
        <v>0.33</v>
      </c>
      <c r="M182" s="36">
        <v>-0.55000000000000004</v>
      </c>
    </row>
    <row r="183" spans="4:16" x14ac:dyDescent="0.25">
      <c r="M183" s="1"/>
    </row>
    <row r="184" spans="4:16" x14ac:dyDescent="0.25">
      <c r="M184" s="1"/>
    </row>
    <row r="185" spans="4:16" ht="23.25" x14ac:dyDescent="0.25">
      <c r="D185" s="6" t="s">
        <v>324</v>
      </c>
      <c r="M185" s="1"/>
    </row>
    <row r="186" spans="4:16" x14ac:dyDescent="0.25">
      <c r="D186" s="5" t="s">
        <v>325</v>
      </c>
      <c r="M186" s="1"/>
    </row>
    <row r="187" spans="4:16" x14ac:dyDescent="0.25">
      <c r="D187" s="1" t="s">
        <v>323</v>
      </c>
      <c r="M187" s="1"/>
    </row>
    <row r="188" spans="4:16" x14ac:dyDescent="0.25">
      <c r="D188" s="53" t="s">
        <v>292</v>
      </c>
      <c r="M188" s="1"/>
    </row>
    <row r="189" spans="4:16" x14ac:dyDescent="0.25">
      <c r="D189" s="36" t="s">
        <v>6</v>
      </c>
      <c r="E189" s="36" t="s">
        <v>144</v>
      </c>
      <c r="F189" s="36" t="s">
        <v>145</v>
      </c>
      <c r="G189" s="36" t="s">
        <v>164</v>
      </c>
      <c r="H189" s="36" t="s">
        <v>153</v>
      </c>
      <c r="I189" s="36" t="s">
        <v>185</v>
      </c>
      <c r="J189" s="36" t="s">
        <v>149</v>
      </c>
      <c r="K189" s="36" t="s">
        <v>188</v>
      </c>
      <c r="L189" s="36" t="s">
        <v>189</v>
      </c>
      <c r="M189" s="36" t="s">
        <v>158</v>
      </c>
      <c r="N189" s="36" t="s">
        <v>159</v>
      </c>
      <c r="O189" s="36" t="s">
        <v>160</v>
      </c>
      <c r="P189" s="36" t="s">
        <v>161</v>
      </c>
    </row>
    <row r="190" spans="4:16" x14ac:dyDescent="0.25">
      <c r="D190" s="36" t="s">
        <v>318</v>
      </c>
      <c r="E190" s="36" t="s">
        <v>172</v>
      </c>
      <c r="F190" s="36" t="s">
        <v>134</v>
      </c>
      <c r="G190" s="36">
        <v>0.22</v>
      </c>
      <c r="H190" s="36">
        <v>-0.23</v>
      </c>
      <c r="I190" s="36">
        <v>0.25</v>
      </c>
      <c r="J190" s="36">
        <v>0.17</v>
      </c>
      <c r="K190" s="36">
        <v>0.18</v>
      </c>
      <c r="L190" s="36">
        <v>-0.28000000000000003</v>
      </c>
      <c r="M190" s="36">
        <v>0.32</v>
      </c>
      <c r="N190" s="36">
        <v>0.24</v>
      </c>
      <c r="O190" s="36">
        <v>0.25</v>
      </c>
      <c r="P190" s="36">
        <v>-0.05</v>
      </c>
    </row>
    <row r="191" spans="4:16" x14ac:dyDescent="0.25">
      <c r="D191" s="1" t="s">
        <v>318</v>
      </c>
      <c r="E191" s="36" t="s">
        <v>172</v>
      </c>
      <c r="F191" s="36" t="s">
        <v>135</v>
      </c>
      <c r="G191" s="36">
        <v>0.66</v>
      </c>
      <c r="H191" s="36">
        <v>0.2</v>
      </c>
      <c r="I191" s="36">
        <v>0.62</v>
      </c>
      <c r="J191" s="36">
        <v>0.54</v>
      </c>
      <c r="K191" s="36">
        <v>0.38</v>
      </c>
      <c r="L191" s="36">
        <v>0.27</v>
      </c>
      <c r="M191" s="36">
        <v>0.75</v>
      </c>
      <c r="N191" s="36">
        <v>0.64</v>
      </c>
      <c r="O191" s="36">
        <v>0.55000000000000004</v>
      </c>
      <c r="P191" s="36">
        <v>0.48</v>
      </c>
    </row>
    <row r="192" spans="4:16" x14ac:dyDescent="0.25">
      <c r="D192" s="1" t="s">
        <v>318</v>
      </c>
      <c r="E192" s="36" t="s">
        <v>172</v>
      </c>
      <c r="F192" s="36" t="s">
        <v>136</v>
      </c>
      <c r="G192" s="36">
        <v>0.49</v>
      </c>
      <c r="H192" s="36">
        <v>0.13</v>
      </c>
      <c r="I192" s="36">
        <v>0.54</v>
      </c>
      <c r="J192" s="36">
        <v>0.45</v>
      </c>
      <c r="K192" s="36">
        <v>0.35</v>
      </c>
      <c r="L192" s="36">
        <v>0.15</v>
      </c>
      <c r="M192" s="36">
        <v>0.63</v>
      </c>
      <c r="N192" s="36">
        <v>0.54</v>
      </c>
      <c r="O192" s="36">
        <v>0.42</v>
      </c>
      <c r="P192" s="36">
        <v>0.26</v>
      </c>
    </row>
    <row r="193" spans="4:16" x14ac:dyDescent="0.25">
      <c r="D193" s="1" t="s">
        <v>318</v>
      </c>
      <c r="E193" s="36" t="s">
        <v>172</v>
      </c>
      <c r="F193" s="36" t="s">
        <v>137</v>
      </c>
      <c r="G193" s="36">
        <v>0.27</v>
      </c>
      <c r="H193" s="36">
        <v>-0.8</v>
      </c>
      <c r="I193" s="36">
        <v>0.22</v>
      </c>
      <c r="J193" s="36">
        <v>0.09</v>
      </c>
      <c r="K193" s="36">
        <v>0.12</v>
      </c>
      <c r="L193" s="36">
        <v>0.02</v>
      </c>
      <c r="M193" s="36">
        <v>0.25</v>
      </c>
      <c r="N193" s="36">
        <v>0.18</v>
      </c>
      <c r="O193" s="36">
        <v>0.12</v>
      </c>
      <c r="P193" s="36">
        <v>0.03</v>
      </c>
    </row>
    <row r="194" spans="4:16" x14ac:dyDescent="0.25">
      <c r="D194" s="1" t="s">
        <v>318</v>
      </c>
      <c r="E194" s="36" t="s">
        <v>173</v>
      </c>
      <c r="F194" s="36" t="s">
        <v>134</v>
      </c>
      <c r="G194" s="36">
        <v>0.22</v>
      </c>
      <c r="H194" s="36">
        <v>-0.44</v>
      </c>
      <c r="I194" s="36">
        <v>0.2</v>
      </c>
      <c r="J194" s="36">
        <v>0.21</v>
      </c>
      <c r="K194" s="36">
        <v>0.18</v>
      </c>
      <c r="L194" s="36">
        <v>0.01</v>
      </c>
      <c r="M194" s="36">
        <v>0.12</v>
      </c>
      <c r="N194" s="36">
        <v>0.09</v>
      </c>
      <c r="O194" s="36" t="s">
        <v>319</v>
      </c>
      <c r="P194" s="36" t="s">
        <v>319</v>
      </c>
    </row>
    <row r="195" spans="4:16" x14ac:dyDescent="0.25">
      <c r="D195" s="1" t="s">
        <v>318</v>
      </c>
      <c r="E195" s="36" t="s">
        <v>173</v>
      </c>
      <c r="F195" s="36" t="s">
        <v>135</v>
      </c>
      <c r="G195" s="36">
        <v>0.66</v>
      </c>
      <c r="H195" s="36">
        <v>0.22</v>
      </c>
      <c r="I195" s="36">
        <v>0.68</v>
      </c>
      <c r="J195" s="36">
        <v>0.22</v>
      </c>
      <c r="K195" s="36">
        <v>0.24</v>
      </c>
      <c r="L195" s="36">
        <v>0.25</v>
      </c>
      <c r="M195" s="36">
        <v>0.64</v>
      </c>
      <c r="N195" s="36">
        <v>0.37</v>
      </c>
      <c r="O195" s="36" t="s">
        <v>319</v>
      </c>
      <c r="P195" s="36" t="s">
        <v>319</v>
      </c>
    </row>
    <row r="196" spans="4:16" x14ac:dyDescent="0.25">
      <c r="D196" s="1" t="s">
        <v>318</v>
      </c>
      <c r="E196" s="36" t="s">
        <v>173</v>
      </c>
      <c r="F196" s="36" t="s">
        <v>136</v>
      </c>
      <c r="G196" s="36">
        <v>0.49</v>
      </c>
      <c r="H196" s="36">
        <v>0.05</v>
      </c>
      <c r="I196" s="36">
        <v>0.64</v>
      </c>
      <c r="J196" s="36">
        <v>0.25</v>
      </c>
      <c r="K196" s="36">
        <v>0.28999999999999998</v>
      </c>
      <c r="L196" s="36">
        <v>0.12</v>
      </c>
      <c r="M196" s="36">
        <v>0.56999999999999995</v>
      </c>
      <c r="N196" s="36">
        <v>0.49</v>
      </c>
      <c r="O196" s="36" t="s">
        <v>319</v>
      </c>
      <c r="P196" s="36" t="s">
        <v>319</v>
      </c>
    </row>
    <row r="197" spans="4:16" x14ac:dyDescent="0.25">
      <c r="D197" s="1" t="s">
        <v>318</v>
      </c>
      <c r="E197" s="36" t="s">
        <v>173</v>
      </c>
      <c r="F197" s="36" t="s">
        <v>137</v>
      </c>
      <c r="G197" s="36">
        <v>0.27</v>
      </c>
      <c r="H197" s="36">
        <v>-0.27</v>
      </c>
      <c r="I197" s="36">
        <v>0.31</v>
      </c>
      <c r="J197" s="36">
        <v>0.28999999999999998</v>
      </c>
      <c r="K197" s="36">
        <v>0.19</v>
      </c>
      <c r="L197" s="36">
        <v>0.04</v>
      </c>
      <c r="M197" s="36">
        <v>0.26</v>
      </c>
      <c r="N197" s="36">
        <v>0.28000000000000003</v>
      </c>
      <c r="O197" s="36" t="s">
        <v>319</v>
      </c>
      <c r="P197" s="36" t="s">
        <v>319</v>
      </c>
    </row>
    <row r="198" spans="4:16" x14ac:dyDescent="0.25">
      <c r="D198" s="1" t="s">
        <v>318</v>
      </c>
      <c r="E198" s="36" t="s">
        <v>174</v>
      </c>
      <c r="F198" s="36" t="s">
        <v>134</v>
      </c>
      <c r="G198" s="36">
        <v>0.22</v>
      </c>
      <c r="H198" s="36">
        <v>-0.44</v>
      </c>
      <c r="I198" s="36">
        <v>0</v>
      </c>
      <c r="J198" s="36">
        <v>0.15</v>
      </c>
      <c r="K198" s="36">
        <v>0.08</v>
      </c>
      <c r="L198" s="36">
        <v>0.17</v>
      </c>
      <c r="M198" s="36">
        <v>0.06</v>
      </c>
      <c r="N198" s="36">
        <v>0.02</v>
      </c>
      <c r="O198" s="36">
        <v>-0.14000000000000001</v>
      </c>
      <c r="P198" s="36" t="s">
        <v>319</v>
      </c>
    </row>
    <row r="199" spans="4:16" x14ac:dyDescent="0.25">
      <c r="D199" s="1" t="s">
        <v>318</v>
      </c>
      <c r="E199" s="36" t="s">
        <v>174</v>
      </c>
      <c r="F199" s="36" t="s">
        <v>135</v>
      </c>
      <c r="G199" s="36">
        <v>0.66</v>
      </c>
      <c r="H199" s="36">
        <v>0.22</v>
      </c>
      <c r="I199" s="36">
        <v>0.79</v>
      </c>
      <c r="J199" s="36">
        <v>0.4</v>
      </c>
      <c r="K199" s="36">
        <v>0.38</v>
      </c>
      <c r="L199" s="36">
        <v>0.27</v>
      </c>
      <c r="M199" s="36">
        <v>0.8</v>
      </c>
      <c r="N199" s="36">
        <v>0.16</v>
      </c>
      <c r="O199" s="36">
        <v>0.3</v>
      </c>
      <c r="P199" s="36" t="s">
        <v>319</v>
      </c>
    </row>
    <row r="200" spans="4:16" x14ac:dyDescent="0.25">
      <c r="D200" s="1" t="s">
        <v>318</v>
      </c>
      <c r="E200" s="36" t="s">
        <v>174</v>
      </c>
      <c r="F200" s="36" t="s">
        <v>136</v>
      </c>
      <c r="G200" s="36">
        <v>0.49</v>
      </c>
      <c r="H200" s="36">
        <v>0.05</v>
      </c>
      <c r="I200" s="36">
        <v>0.55000000000000004</v>
      </c>
      <c r="J200" s="36">
        <v>0.38</v>
      </c>
      <c r="K200" s="36">
        <v>0.36</v>
      </c>
      <c r="L200" s="36">
        <v>0.06</v>
      </c>
      <c r="M200" s="36">
        <v>0.57999999999999996</v>
      </c>
      <c r="N200" s="36">
        <v>0.23</v>
      </c>
      <c r="O200" s="36">
        <v>0.4</v>
      </c>
      <c r="P200" s="36" t="s">
        <v>319</v>
      </c>
    </row>
    <row r="201" spans="4:16" x14ac:dyDescent="0.25">
      <c r="D201" s="1" t="s">
        <v>318</v>
      </c>
      <c r="E201" s="36" t="s">
        <v>174</v>
      </c>
      <c r="F201" s="36" t="s">
        <v>137</v>
      </c>
      <c r="G201" s="36">
        <v>0.27</v>
      </c>
      <c r="H201" s="36">
        <v>-0.27</v>
      </c>
      <c r="I201" s="36">
        <v>0.02</v>
      </c>
      <c r="J201" s="36">
        <v>0.09</v>
      </c>
      <c r="K201" s="36">
        <v>0.16</v>
      </c>
      <c r="L201" s="36">
        <v>-0.04</v>
      </c>
      <c r="M201" s="36">
        <v>0.21</v>
      </c>
      <c r="N201" s="36">
        <v>0.03</v>
      </c>
      <c r="O201" s="36">
        <v>0.11</v>
      </c>
      <c r="P201" s="36" t="s">
        <v>319</v>
      </c>
    </row>
    <row r="202" spans="4:16" x14ac:dyDescent="0.25">
      <c r="D202" s="1" t="s">
        <v>320</v>
      </c>
      <c r="E202" s="36" t="s">
        <v>175</v>
      </c>
      <c r="F202" s="36" t="s">
        <v>134</v>
      </c>
      <c r="G202" s="36">
        <v>0.27</v>
      </c>
      <c r="H202" s="36">
        <v>-0.19</v>
      </c>
      <c r="I202" s="36">
        <v>0.38</v>
      </c>
      <c r="J202" s="36">
        <v>0.25</v>
      </c>
      <c r="K202" s="36">
        <v>7.0000000000000007E-2</v>
      </c>
      <c r="L202" s="36">
        <v>0.05</v>
      </c>
      <c r="M202" s="36">
        <v>0.52</v>
      </c>
      <c r="N202" s="36">
        <v>0.55000000000000004</v>
      </c>
      <c r="O202" s="36">
        <v>0.19</v>
      </c>
      <c r="P202" s="36">
        <v>0.6</v>
      </c>
    </row>
    <row r="203" spans="4:16" x14ac:dyDescent="0.25">
      <c r="D203" s="1" t="s">
        <v>320</v>
      </c>
      <c r="E203" s="36" t="s">
        <v>175</v>
      </c>
      <c r="F203" s="36" t="s">
        <v>135</v>
      </c>
      <c r="G203" s="36">
        <v>0.16</v>
      </c>
      <c r="H203" s="36">
        <v>0.16</v>
      </c>
      <c r="I203" s="36">
        <v>0.8</v>
      </c>
      <c r="J203" s="36">
        <v>0.56999999999999995</v>
      </c>
      <c r="K203" s="36">
        <v>0.76</v>
      </c>
      <c r="L203" s="36">
        <v>0.49</v>
      </c>
      <c r="M203" s="36">
        <v>0.84</v>
      </c>
      <c r="N203" s="36">
        <v>0.51</v>
      </c>
      <c r="O203" s="36">
        <v>0.36</v>
      </c>
      <c r="P203" s="36">
        <v>0.17</v>
      </c>
    </row>
    <row r="204" spans="4:16" x14ac:dyDescent="0.25">
      <c r="D204" s="1" t="s">
        <v>320</v>
      </c>
      <c r="E204" s="36" t="s">
        <v>175</v>
      </c>
      <c r="F204" s="36" t="s">
        <v>136</v>
      </c>
      <c r="G204" s="36">
        <v>0.45</v>
      </c>
      <c r="H204" s="36">
        <v>0.1</v>
      </c>
      <c r="I204" s="36">
        <v>0.49</v>
      </c>
      <c r="J204" s="36">
        <v>0.41</v>
      </c>
      <c r="K204" s="36">
        <v>0.4</v>
      </c>
      <c r="L204" s="36">
        <v>0.17</v>
      </c>
      <c r="M204" s="36">
        <v>0.54</v>
      </c>
      <c r="N204" s="36">
        <v>0.64</v>
      </c>
      <c r="O204" s="36">
        <v>-0.05</v>
      </c>
      <c r="P204" s="36">
        <v>0.32</v>
      </c>
    </row>
    <row r="205" spans="4:16" x14ac:dyDescent="0.25">
      <c r="D205" s="1" t="s">
        <v>320</v>
      </c>
      <c r="E205" s="36" t="s">
        <v>175</v>
      </c>
      <c r="F205" s="36" t="s">
        <v>137</v>
      </c>
      <c r="G205" s="36">
        <v>0.51</v>
      </c>
      <c r="H205" s="36">
        <v>-7.0000000000000007E-2</v>
      </c>
      <c r="I205" s="36">
        <v>0.13</v>
      </c>
      <c r="J205" s="36">
        <v>-0.09</v>
      </c>
      <c r="K205" s="36">
        <v>-0.13</v>
      </c>
      <c r="L205" s="36">
        <v>7.0000000000000007E-2</v>
      </c>
      <c r="M205" s="36">
        <v>0.25</v>
      </c>
      <c r="N205" s="36">
        <v>0.71</v>
      </c>
      <c r="O205" s="36">
        <v>0.17</v>
      </c>
      <c r="P205" s="36">
        <v>0.43</v>
      </c>
    </row>
    <row r="206" spans="4:16" x14ac:dyDescent="0.25">
      <c r="D206" s="1" t="s">
        <v>320</v>
      </c>
      <c r="E206" s="36" t="s">
        <v>176</v>
      </c>
      <c r="F206" s="36" t="s">
        <v>134</v>
      </c>
      <c r="G206" s="36">
        <v>-0.12</v>
      </c>
      <c r="H206" s="36">
        <v>-0.19</v>
      </c>
      <c r="I206" s="36">
        <v>0.41</v>
      </c>
      <c r="J206" s="36">
        <v>0.09</v>
      </c>
      <c r="K206" s="36">
        <v>0.41</v>
      </c>
      <c r="L206" s="36">
        <v>-0.19</v>
      </c>
      <c r="M206" s="36">
        <v>7.0000000000000007E-2</v>
      </c>
      <c r="N206" s="36">
        <v>1.07</v>
      </c>
      <c r="O206" s="36">
        <v>-0.08</v>
      </c>
      <c r="P206" s="36">
        <v>0</v>
      </c>
    </row>
    <row r="207" spans="4:16" x14ac:dyDescent="0.25">
      <c r="D207" s="1" t="s">
        <v>320</v>
      </c>
      <c r="E207" s="36" t="s">
        <v>176</v>
      </c>
      <c r="F207" s="36" t="s">
        <v>135</v>
      </c>
      <c r="G207" s="36">
        <v>0.65</v>
      </c>
      <c r="H207" s="36">
        <v>0.19</v>
      </c>
      <c r="I207" s="36">
        <v>0.65</v>
      </c>
      <c r="J207" s="36">
        <v>0.51</v>
      </c>
      <c r="K207" s="36">
        <v>0.18</v>
      </c>
      <c r="L207" s="36">
        <v>0.63</v>
      </c>
      <c r="M207" s="36">
        <v>1.3</v>
      </c>
      <c r="N207" s="36">
        <v>0.48</v>
      </c>
      <c r="O207" s="36">
        <v>1.1200000000000001</v>
      </c>
      <c r="P207" s="36">
        <v>0.38</v>
      </c>
    </row>
    <row r="208" spans="4:16" x14ac:dyDescent="0.25">
      <c r="D208" s="1" t="s">
        <v>320</v>
      </c>
      <c r="E208" s="36" t="s">
        <v>176</v>
      </c>
      <c r="F208" s="36" t="s">
        <v>136</v>
      </c>
      <c r="G208" s="36">
        <v>0.7</v>
      </c>
      <c r="H208" s="36">
        <v>0.13</v>
      </c>
      <c r="I208" s="36">
        <v>0.52</v>
      </c>
      <c r="J208" s="36">
        <v>0.34</v>
      </c>
      <c r="K208" s="36">
        <v>0.02</v>
      </c>
      <c r="L208" s="36">
        <v>0.04</v>
      </c>
      <c r="M208" s="36">
        <v>0.77</v>
      </c>
      <c r="N208" s="36">
        <v>0.42</v>
      </c>
      <c r="O208" s="36">
        <v>0.12</v>
      </c>
      <c r="P208" s="36">
        <v>0.74</v>
      </c>
    </row>
    <row r="209" spans="4:16" x14ac:dyDescent="0.25">
      <c r="D209" s="1" t="s">
        <v>320</v>
      </c>
      <c r="E209" s="36" t="s">
        <v>176</v>
      </c>
      <c r="F209" s="36" t="s">
        <v>137</v>
      </c>
      <c r="G209" s="36">
        <v>0.32</v>
      </c>
      <c r="H209" s="36">
        <v>-0.06</v>
      </c>
      <c r="I209" s="36">
        <v>0.25</v>
      </c>
      <c r="J209" s="36">
        <v>0.19</v>
      </c>
      <c r="K209" s="36">
        <v>-0.1</v>
      </c>
      <c r="L209" s="36">
        <v>-0.02</v>
      </c>
      <c r="M209" s="36">
        <v>0.02</v>
      </c>
      <c r="N209" s="36">
        <v>0.23</v>
      </c>
      <c r="O209" s="36">
        <v>-0.13</v>
      </c>
      <c r="P209" s="36">
        <v>0</v>
      </c>
    </row>
    <row r="210" spans="4:16" x14ac:dyDescent="0.25">
      <c r="D210" s="1" t="s">
        <v>320</v>
      </c>
      <c r="E210" s="36" t="s">
        <v>177</v>
      </c>
      <c r="F210" s="36" t="s">
        <v>134</v>
      </c>
      <c r="G210" s="36">
        <v>0.62</v>
      </c>
      <c r="H210" s="36">
        <v>-0.19</v>
      </c>
      <c r="I210" s="36">
        <v>0.37</v>
      </c>
      <c r="J210" s="36">
        <v>0.41</v>
      </c>
      <c r="K210" s="36">
        <v>0.06</v>
      </c>
      <c r="L210" s="36">
        <v>-0.02</v>
      </c>
      <c r="M210" s="36">
        <v>0.47</v>
      </c>
      <c r="N210" s="36">
        <v>0.44</v>
      </c>
      <c r="O210" s="36">
        <v>0.3</v>
      </c>
      <c r="P210" s="36">
        <v>0.13</v>
      </c>
    </row>
    <row r="211" spans="4:16" x14ac:dyDescent="0.25">
      <c r="D211" s="1" t="s">
        <v>320</v>
      </c>
      <c r="E211" s="36" t="s">
        <v>177</v>
      </c>
      <c r="F211" s="36" t="s">
        <v>135</v>
      </c>
      <c r="G211" s="36">
        <v>0.05</v>
      </c>
      <c r="H211" s="36">
        <v>0.19</v>
      </c>
      <c r="I211" s="36">
        <v>0.31</v>
      </c>
      <c r="J211" s="36">
        <v>0.54</v>
      </c>
      <c r="K211" s="36">
        <v>0.53</v>
      </c>
      <c r="L211" s="36">
        <v>0.15</v>
      </c>
      <c r="M211" s="36">
        <v>0.28000000000000003</v>
      </c>
      <c r="N211" s="36">
        <v>0.56999999999999995</v>
      </c>
      <c r="O211" s="36">
        <v>0.42</v>
      </c>
      <c r="P211" s="36">
        <v>0.4</v>
      </c>
    </row>
    <row r="212" spans="4:16" x14ac:dyDescent="0.25">
      <c r="D212" s="1" t="s">
        <v>320</v>
      </c>
      <c r="E212" s="36" t="s">
        <v>177</v>
      </c>
      <c r="F212" s="36" t="s">
        <v>136</v>
      </c>
      <c r="G212" s="36">
        <v>0.33</v>
      </c>
      <c r="H212" s="36">
        <v>0.13</v>
      </c>
      <c r="I212" s="36">
        <v>0.39</v>
      </c>
      <c r="J212" s="36">
        <v>0.36</v>
      </c>
      <c r="K212" s="36">
        <v>0.26</v>
      </c>
      <c r="L212" s="36">
        <v>0.11</v>
      </c>
      <c r="M212" s="36">
        <v>0.4</v>
      </c>
      <c r="N212" s="36">
        <v>0.44</v>
      </c>
      <c r="O212" s="36">
        <v>0.37</v>
      </c>
      <c r="P212" s="36">
        <v>-0.01</v>
      </c>
    </row>
    <row r="213" spans="4:16" x14ac:dyDescent="0.25">
      <c r="D213" s="1" t="s">
        <v>320</v>
      </c>
      <c r="E213" s="36" t="s">
        <v>177</v>
      </c>
      <c r="F213" s="36" t="s">
        <v>137</v>
      </c>
      <c r="G213" s="36">
        <v>0.61</v>
      </c>
      <c r="H213" s="36">
        <v>-0.06</v>
      </c>
      <c r="I213" s="36">
        <v>0.21</v>
      </c>
      <c r="J213" s="36">
        <v>0.18</v>
      </c>
      <c r="K213" s="36">
        <v>0.12</v>
      </c>
      <c r="L213" s="36">
        <v>0.06</v>
      </c>
      <c r="M213" s="36">
        <v>0.28999999999999998</v>
      </c>
      <c r="N213" s="36">
        <v>0.41</v>
      </c>
      <c r="O213" s="36">
        <v>0.41</v>
      </c>
      <c r="P213" s="36">
        <v>-0.15</v>
      </c>
    </row>
    <row r="214" spans="4:16" x14ac:dyDescent="0.25">
      <c r="D214" s="1" t="s">
        <v>320</v>
      </c>
      <c r="E214" s="36" t="s">
        <v>178</v>
      </c>
      <c r="F214" s="36" t="s">
        <v>134</v>
      </c>
      <c r="G214" s="36">
        <v>-0.2</v>
      </c>
      <c r="H214" s="36">
        <v>0.02</v>
      </c>
      <c r="I214" s="36">
        <v>0.24</v>
      </c>
      <c r="J214" s="36">
        <v>0.3</v>
      </c>
      <c r="K214" s="36">
        <v>0.23</v>
      </c>
      <c r="L214" s="36">
        <v>-0.05</v>
      </c>
      <c r="M214" s="36">
        <v>0.34</v>
      </c>
      <c r="N214" s="36">
        <v>0.3</v>
      </c>
      <c r="O214" s="36">
        <v>0.56999999999999995</v>
      </c>
      <c r="P214" s="36">
        <v>0.52</v>
      </c>
    </row>
    <row r="215" spans="4:16" x14ac:dyDescent="0.25">
      <c r="D215" s="1" t="s">
        <v>320</v>
      </c>
      <c r="E215" s="36" t="s">
        <v>178</v>
      </c>
      <c r="F215" s="36" t="s">
        <v>135</v>
      </c>
      <c r="G215" s="36">
        <v>0.62</v>
      </c>
      <c r="H215" s="36">
        <v>0.21</v>
      </c>
      <c r="I215" s="36">
        <v>0.25</v>
      </c>
      <c r="J215" s="36">
        <v>0.32</v>
      </c>
      <c r="K215" s="36">
        <v>0.47</v>
      </c>
      <c r="L215" s="36">
        <v>0.31</v>
      </c>
      <c r="M215" s="36">
        <v>0.14000000000000001</v>
      </c>
      <c r="N215" s="36">
        <v>0.4</v>
      </c>
      <c r="O215" s="36">
        <v>0.26</v>
      </c>
      <c r="P215" s="36">
        <v>0.43</v>
      </c>
    </row>
    <row r="216" spans="4:16" x14ac:dyDescent="0.25">
      <c r="D216" s="1" t="s">
        <v>320</v>
      </c>
      <c r="E216" s="36" t="s">
        <v>178</v>
      </c>
      <c r="F216" s="36" t="s">
        <v>136</v>
      </c>
      <c r="G216" s="36">
        <v>0.4</v>
      </c>
      <c r="H216" s="36">
        <v>0.13</v>
      </c>
      <c r="I216" s="36">
        <v>0.12</v>
      </c>
      <c r="J216" s="36">
        <v>0.27</v>
      </c>
      <c r="K216" s="36">
        <v>0.3</v>
      </c>
      <c r="L216" s="36">
        <v>0.08</v>
      </c>
      <c r="M216" s="36">
        <v>0.13</v>
      </c>
      <c r="N216" s="36">
        <v>0.24</v>
      </c>
      <c r="O216" s="36">
        <v>0.15</v>
      </c>
      <c r="P216" s="36">
        <v>0.21</v>
      </c>
    </row>
    <row r="217" spans="4:16" x14ac:dyDescent="0.25">
      <c r="D217" s="1" t="s">
        <v>320</v>
      </c>
      <c r="E217" s="36" t="s">
        <v>178</v>
      </c>
      <c r="F217" s="36" t="s">
        <v>137</v>
      </c>
      <c r="G217" s="36">
        <v>0.08</v>
      </c>
      <c r="H217" s="36">
        <v>0.04</v>
      </c>
      <c r="I217" s="36">
        <v>0.06</v>
      </c>
      <c r="J217" s="36">
        <v>0.18</v>
      </c>
      <c r="K217" s="36">
        <v>0.11</v>
      </c>
      <c r="L217" s="36">
        <v>-7.0000000000000007E-2</v>
      </c>
      <c r="M217" s="36">
        <v>0.13</v>
      </c>
      <c r="N217" s="36">
        <v>0.16</v>
      </c>
      <c r="O217" s="36">
        <v>0.4</v>
      </c>
      <c r="P217" s="36">
        <v>0.33</v>
      </c>
    </row>
    <row r="218" spans="4:16" x14ac:dyDescent="0.25">
      <c r="M218" s="1"/>
    </row>
    <row r="219" spans="4:16" x14ac:dyDescent="0.25">
      <c r="M219" s="1"/>
    </row>
    <row r="220" spans="4:16" ht="23.25" x14ac:dyDescent="0.25">
      <c r="D220" s="6" t="s">
        <v>162</v>
      </c>
      <c r="M220" s="1"/>
    </row>
    <row r="221" spans="4:16" x14ac:dyDescent="0.25">
      <c r="M221" s="1"/>
    </row>
    <row r="222" spans="4:16" x14ac:dyDescent="0.25">
      <c r="D222" s="36" t="s">
        <v>6</v>
      </c>
      <c r="E222" s="36" t="s">
        <v>144</v>
      </c>
      <c r="F222" s="36" t="s">
        <v>145</v>
      </c>
      <c r="G222" s="109" t="s">
        <v>103</v>
      </c>
      <c r="H222" s="109" t="s">
        <v>102</v>
      </c>
      <c r="I222" s="109" t="s">
        <v>126</v>
      </c>
      <c r="J222" s="109" t="s">
        <v>127</v>
      </c>
      <c r="K222" s="109" t="s">
        <v>128</v>
      </c>
      <c r="L222" s="109" t="s">
        <v>129</v>
      </c>
      <c r="M222" s="109" t="s">
        <v>130</v>
      </c>
      <c r="N222" s="109" t="s">
        <v>131</v>
      </c>
      <c r="O222" s="109" t="s">
        <v>132</v>
      </c>
      <c r="P222" s="109" t="s">
        <v>133</v>
      </c>
    </row>
    <row r="223" spans="4:16" x14ac:dyDescent="0.25">
      <c r="D223" s="36" t="s">
        <v>65</v>
      </c>
      <c r="E223" s="36" t="s">
        <v>163</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65</v>
      </c>
      <c r="E224" s="36" t="s">
        <v>163</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65</v>
      </c>
      <c r="E225" s="36" t="s">
        <v>163</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65</v>
      </c>
      <c r="E226" s="36" t="s">
        <v>163</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66</v>
      </c>
      <c r="E227" s="36" t="s">
        <v>163</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66</v>
      </c>
      <c r="E228" s="36" t="s">
        <v>163</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66</v>
      </c>
      <c r="E229" s="36" t="s">
        <v>163</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66</v>
      </c>
      <c r="E230" s="36" t="s">
        <v>163</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69</v>
      </c>
      <c r="E231" s="36" t="s">
        <v>163</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69</v>
      </c>
      <c r="E232" s="36" t="s">
        <v>163</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69</v>
      </c>
      <c r="E233" s="36" t="s">
        <v>163</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69</v>
      </c>
      <c r="E234" s="36" t="s">
        <v>163</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70</v>
      </c>
      <c r="E235" s="36" t="s">
        <v>163</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70</v>
      </c>
      <c r="E236" s="36" t="s">
        <v>163</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70</v>
      </c>
      <c r="E237" s="36" t="s">
        <v>163</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70</v>
      </c>
      <c r="E238" s="36" t="s">
        <v>163</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71</v>
      </c>
      <c r="E239" s="36" t="s">
        <v>163</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71</v>
      </c>
      <c r="E240" s="36" t="s">
        <v>163</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71</v>
      </c>
      <c r="E241" s="36" t="s">
        <v>163</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71</v>
      </c>
      <c r="E242" s="36" t="s">
        <v>163</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72</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72</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72</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72</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72</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72</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72</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72</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72</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72</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72</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72</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67</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67</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67</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67</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67</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67</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67</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67</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67</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67</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67</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67</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68</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68</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68</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68</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68</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68</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68</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68</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68</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68</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68</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68</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68</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68</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68</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68</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
        <v>326</v>
      </c>
      <c r="M285" s="22"/>
    </row>
    <row r="286" spans="4:16" x14ac:dyDescent="0.25">
      <c r="D286" s="5" t="s">
        <v>327</v>
      </c>
      <c r="M286" s="22"/>
    </row>
    <row r="287" spans="4:16" x14ac:dyDescent="0.25">
      <c r="D287" s="1" t="s">
        <v>328</v>
      </c>
      <c r="M287" s="22"/>
    </row>
    <row r="288" spans="4:16" x14ac:dyDescent="0.25">
      <c r="D288" s="53" t="s">
        <v>112</v>
      </c>
      <c r="M288" s="22"/>
    </row>
    <row r="289" spans="4:13" x14ac:dyDescent="0.25">
      <c r="D289" s="54" t="s">
        <v>329</v>
      </c>
      <c r="M289" s="22"/>
    </row>
    <row r="290" spans="4:13" x14ac:dyDescent="0.25">
      <c r="D290" s="36" t="s">
        <v>6</v>
      </c>
      <c r="E290" s="36" t="s">
        <v>144</v>
      </c>
      <c r="F290" s="36" t="s">
        <v>134</v>
      </c>
      <c r="G290" s="36" t="s">
        <v>135</v>
      </c>
      <c r="H290" s="36" t="s">
        <v>136</v>
      </c>
      <c r="I290" s="36" t="s">
        <v>137</v>
      </c>
      <c r="M290" s="22"/>
    </row>
    <row r="291" spans="4:13" x14ac:dyDescent="0.25">
      <c r="D291" s="36" t="s">
        <v>65</v>
      </c>
      <c r="E291" s="36" t="s">
        <v>163</v>
      </c>
      <c r="F291" s="36">
        <v>0.55000000000000004</v>
      </c>
      <c r="G291" s="36">
        <v>0.65</v>
      </c>
      <c r="H291" s="36">
        <v>0.6</v>
      </c>
      <c r="I291" s="36">
        <v>0.5</v>
      </c>
      <c r="M291" s="22"/>
    </row>
    <row r="292" spans="4:13" x14ac:dyDescent="0.25">
      <c r="D292" s="1" t="s">
        <v>66</v>
      </c>
      <c r="E292" s="36" t="s">
        <v>163</v>
      </c>
      <c r="F292" s="36">
        <v>0.55000000000000004</v>
      </c>
      <c r="G292" s="36">
        <v>0.65</v>
      </c>
      <c r="H292" s="36">
        <v>0.6</v>
      </c>
      <c r="I292" s="36">
        <v>0.5</v>
      </c>
      <c r="M292" s="22"/>
    </row>
    <row r="293" spans="4:13" x14ac:dyDescent="0.25">
      <c r="D293" s="1" t="s">
        <v>67</v>
      </c>
      <c r="E293" s="36" t="s">
        <v>172</v>
      </c>
      <c r="F293" s="36">
        <v>0.55000000000000004</v>
      </c>
      <c r="G293" s="36">
        <v>0.61</v>
      </c>
      <c r="H293" s="36">
        <v>0.56999999999999995</v>
      </c>
      <c r="I293" s="36">
        <v>0.54</v>
      </c>
      <c r="M293" s="22"/>
    </row>
    <row r="294" spans="4:13" x14ac:dyDescent="0.25">
      <c r="D294" s="1" t="s">
        <v>67</v>
      </c>
      <c r="E294" s="36" t="s">
        <v>173</v>
      </c>
      <c r="F294" s="36">
        <v>0.55000000000000004</v>
      </c>
      <c r="G294" s="36">
        <v>0.61</v>
      </c>
      <c r="H294" s="36">
        <v>0.56999999999999995</v>
      </c>
      <c r="I294" s="36">
        <v>0.54</v>
      </c>
      <c r="M294" s="22"/>
    </row>
    <row r="295" spans="4:13" x14ac:dyDescent="0.25">
      <c r="D295" s="1" t="s">
        <v>67</v>
      </c>
      <c r="E295" s="36" t="s">
        <v>174</v>
      </c>
      <c r="F295" s="36">
        <v>0.55000000000000004</v>
      </c>
      <c r="G295" s="36">
        <v>0.61</v>
      </c>
      <c r="H295" s="36">
        <v>0.56999999999999995</v>
      </c>
      <c r="I295" s="36">
        <v>0.54</v>
      </c>
      <c r="M295" s="22"/>
    </row>
    <row r="296" spans="4:13" x14ac:dyDescent="0.25">
      <c r="D296" s="1" t="s">
        <v>68</v>
      </c>
      <c r="E296" s="36" t="s">
        <v>175</v>
      </c>
      <c r="F296" s="36">
        <v>0.53</v>
      </c>
      <c r="G296" s="36">
        <v>0.56999999999999995</v>
      </c>
      <c r="H296" s="36">
        <v>0.55000000000000004</v>
      </c>
      <c r="I296" s="36">
        <v>0.51</v>
      </c>
      <c r="M296" s="22"/>
    </row>
    <row r="297" spans="4:13" x14ac:dyDescent="0.25">
      <c r="D297" s="1" t="s">
        <v>68</v>
      </c>
      <c r="E297" s="36" t="s">
        <v>176</v>
      </c>
      <c r="F297" s="36">
        <v>0.53</v>
      </c>
      <c r="G297" s="36">
        <v>0.56999999999999995</v>
      </c>
      <c r="H297" s="36">
        <v>0.55000000000000004</v>
      </c>
      <c r="I297" s="36">
        <v>0.51</v>
      </c>
      <c r="M297" s="22"/>
    </row>
    <row r="298" spans="4:13" x14ac:dyDescent="0.25">
      <c r="D298" s="1" t="s">
        <v>68</v>
      </c>
      <c r="E298" s="36" t="s">
        <v>177</v>
      </c>
      <c r="F298" s="36">
        <v>0.53</v>
      </c>
      <c r="G298" s="36">
        <v>0.56999999999999995</v>
      </c>
      <c r="H298" s="36">
        <v>0.55000000000000004</v>
      </c>
      <c r="I298" s="36">
        <v>0.51</v>
      </c>
      <c r="M298" s="22"/>
    </row>
    <row r="299" spans="4:13" x14ac:dyDescent="0.25">
      <c r="D299" s="1" t="s">
        <v>68</v>
      </c>
      <c r="E299" s="36" t="s">
        <v>178</v>
      </c>
      <c r="F299" s="36">
        <v>0.53</v>
      </c>
      <c r="G299" s="36">
        <v>0.56999999999999995</v>
      </c>
      <c r="H299" s="36">
        <v>0.55000000000000004</v>
      </c>
      <c r="I299" s="36">
        <v>0.51</v>
      </c>
      <c r="M299" s="22"/>
    </row>
    <row r="300" spans="4:13" x14ac:dyDescent="0.25">
      <c r="D300" s="1" t="s">
        <v>69</v>
      </c>
      <c r="E300" s="36" t="s">
        <v>163</v>
      </c>
      <c r="F300" s="36">
        <v>0.7</v>
      </c>
      <c r="G300" s="36">
        <v>0.55000000000000004</v>
      </c>
      <c r="H300" s="36">
        <v>0.55000000000000004</v>
      </c>
      <c r="I300" s="36">
        <v>0.75</v>
      </c>
      <c r="M300" s="22"/>
    </row>
    <row r="301" spans="4:13" x14ac:dyDescent="0.25">
      <c r="D301" s="1" t="s">
        <v>70</v>
      </c>
      <c r="E301" s="36" t="s">
        <v>163</v>
      </c>
      <c r="F301" s="36">
        <v>0.75</v>
      </c>
      <c r="G301" s="36">
        <v>0.6</v>
      </c>
      <c r="H301" s="36">
        <v>0.7</v>
      </c>
      <c r="I301" s="36">
        <v>0.75</v>
      </c>
      <c r="M301" s="22"/>
    </row>
    <row r="302" spans="4:13" x14ac:dyDescent="0.25">
      <c r="D302" s="1" t="s">
        <v>71</v>
      </c>
      <c r="E302" s="36" t="s">
        <v>163</v>
      </c>
      <c r="F302" s="36">
        <v>0.8</v>
      </c>
      <c r="G302" s="36">
        <v>0.55000000000000004</v>
      </c>
      <c r="H302" s="36">
        <v>0.6</v>
      </c>
      <c r="I302" s="36">
        <v>0.76</v>
      </c>
      <c r="M302" s="22"/>
    </row>
    <row r="303" spans="4:13" x14ac:dyDescent="0.25">
      <c r="D303" s="1" t="s">
        <v>72</v>
      </c>
      <c r="E303" s="36" t="s">
        <v>170</v>
      </c>
      <c r="F303" s="36">
        <v>0.8</v>
      </c>
      <c r="G303" s="36">
        <v>0.57999999999999996</v>
      </c>
      <c r="H303" s="36">
        <v>0.5</v>
      </c>
      <c r="I303" s="36">
        <v>0.75</v>
      </c>
      <c r="M303" s="22"/>
    </row>
    <row r="304" spans="4:13" x14ac:dyDescent="0.25">
      <c r="D304" s="1" t="s">
        <v>72</v>
      </c>
      <c r="E304" s="36" t="s">
        <v>171</v>
      </c>
      <c r="F304" s="36">
        <v>0.4</v>
      </c>
      <c r="G304" s="36">
        <v>0.65</v>
      </c>
      <c r="H304" s="36">
        <v>0.55000000000000004</v>
      </c>
      <c r="I304" s="36">
        <v>0.45</v>
      </c>
      <c r="M304" s="22"/>
    </row>
    <row r="305" spans="4:13" x14ac:dyDescent="0.25">
      <c r="D305" s="1" t="s">
        <v>72</v>
      </c>
      <c r="E305" s="36" t="s">
        <v>166</v>
      </c>
      <c r="F305" s="36">
        <v>0.4</v>
      </c>
      <c r="G305" s="36">
        <v>0.65</v>
      </c>
      <c r="H305" s="36">
        <v>0.55000000000000004</v>
      </c>
      <c r="I305" s="36">
        <v>0.45</v>
      </c>
      <c r="M305" s="22"/>
    </row>
    <row r="306" spans="4:13" x14ac:dyDescent="0.25">
      <c r="M306" s="22"/>
    </row>
    <row r="307" spans="4:13" x14ac:dyDescent="0.25">
      <c r="M307" s="22"/>
    </row>
    <row r="308" spans="4:13" ht="23.25" x14ac:dyDescent="0.25">
      <c r="D308" s="6" t="s">
        <v>330</v>
      </c>
      <c r="M308" s="22"/>
    </row>
    <row r="309" spans="4:13" x14ac:dyDescent="0.25">
      <c r="D309" s="5" t="s">
        <v>331</v>
      </c>
      <c r="M309" s="22"/>
    </row>
    <row r="310" spans="4:13" x14ac:dyDescent="0.25">
      <c r="D310" s="1" t="s">
        <v>332</v>
      </c>
      <c r="M310" s="22"/>
    </row>
    <row r="311" spans="4:13" x14ac:dyDescent="0.25">
      <c r="D311" s="53" t="s">
        <v>112</v>
      </c>
      <c r="M311" s="22"/>
    </row>
    <row r="312" spans="4:13" x14ac:dyDescent="0.25">
      <c r="D312" s="54" t="s">
        <v>329</v>
      </c>
      <c r="M312" s="22"/>
    </row>
    <row r="313" spans="4:13" x14ac:dyDescent="0.25">
      <c r="D313" s="36" t="s">
        <v>6</v>
      </c>
      <c r="E313" s="36" t="s">
        <v>144</v>
      </c>
      <c r="F313" s="36" t="s">
        <v>134</v>
      </c>
      <c r="G313" s="36" t="s">
        <v>135</v>
      </c>
      <c r="H313" s="36" t="s">
        <v>136</v>
      </c>
      <c r="I313" s="36" t="s">
        <v>137</v>
      </c>
      <c r="M313" s="22"/>
    </row>
    <row r="314" spans="4:13" x14ac:dyDescent="0.25">
      <c r="D314" s="36" t="s">
        <v>65</v>
      </c>
      <c r="E314" s="36" t="s">
        <v>163</v>
      </c>
      <c r="F314" s="36">
        <v>7.0000000000000007E-2</v>
      </c>
      <c r="G314" s="36">
        <v>0.13</v>
      </c>
      <c r="H314" s="36">
        <v>0.1</v>
      </c>
      <c r="I314" s="36">
        <v>0.06</v>
      </c>
      <c r="M314" s="22"/>
    </row>
    <row r="315" spans="4:13" x14ac:dyDescent="0.25">
      <c r="D315" s="36" t="s">
        <v>66</v>
      </c>
      <c r="E315" s="36" t="s">
        <v>163</v>
      </c>
      <c r="F315" s="36">
        <v>7.0000000000000007E-2</v>
      </c>
      <c r="G315" s="36">
        <v>0.13</v>
      </c>
      <c r="H315" s="36">
        <v>0.1</v>
      </c>
      <c r="I315" s="36">
        <v>0.06</v>
      </c>
      <c r="M315" s="22"/>
    </row>
    <row r="316" spans="4:13" x14ac:dyDescent="0.25">
      <c r="D316" s="36" t="s">
        <v>67</v>
      </c>
      <c r="E316" s="36" t="s">
        <v>172</v>
      </c>
      <c r="F316" s="36">
        <v>5.8000000000000003E-2</v>
      </c>
      <c r="G316" s="36">
        <v>9.1999999999999998E-2</v>
      </c>
      <c r="H316" s="36">
        <v>7.4999999999999997E-2</v>
      </c>
      <c r="I316" s="36">
        <v>5.2999999999999999E-2</v>
      </c>
      <c r="M316" s="22"/>
    </row>
    <row r="317" spans="4:13" x14ac:dyDescent="0.25">
      <c r="D317" s="36" t="s">
        <v>67</v>
      </c>
      <c r="E317" s="36" t="s">
        <v>173</v>
      </c>
      <c r="F317" s="36">
        <v>5.8000000000000003E-2</v>
      </c>
      <c r="G317" s="36">
        <v>9.1999999999999998E-2</v>
      </c>
      <c r="H317" s="36">
        <v>7.4999999999999997E-2</v>
      </c>
      <c r="I317" s="36">
        <v>5.2999999999999999E-2</v>
      </c>
      <c r="M317" s="22"/>
    </row>
    <row r="318" spans="4:13" x14ac:dyDescent="0.25">
      <c r="D318" s="36" t="s">
        <v>67</v>
      </c>
      <c r="E318" s="36" t="s">
        <v>174</v>
      </c>
      <c r="F318" s="36">
        <v>5.8000000000000003E-2</v>
      </c>
      <c r="G318" s="36">
        <v>9.1999999999999998E-2</v>
      </c>
      <c r="H318" s="36">
        <v>7.4999999999999997E-2</v>
      </c>
      <c r="I318" s="36">
        <v>5.2999999999999999E-2</v>
      </c>
      <c r="M318" s="22"/>
    </row>
    <row r="319" spans="4:13" x14ac:dyDescent="0.25">
      <c r="D319" s="36" t="s">
        <v>68</v>
      </c>
      <c r="E319" s="36" t="s">
        <v>175</v>
      </c>
      <c r="F319" s="36">
        <v>7.1999999999999995E-2</v>
      </c>
      <c r="G319" s="36">
        <v>9.9000000000000005E-2</v>
      </c>
      <c r="H319" s="36">
        <v>7.8E-2</v>
      </c>
      <c r="I319" s="36">
        <v>5.8999999999999997E-2</v>
      </c>
      <c r="M319" s="1"/>
    </row>
    <row r="320" spans="4:13" x14ac:dyDescent="0.25">
      <c r="D320" s="36" t="s">
        <v>68</v>
      </c>
      <c r="E320" s="36" t="s">
        <v>176</v>
      </c>
      <c r="F320" s="36">
        <v>7.1999999999999995E-2</v>
      </c>
      <c r="G320" s="36">
        <v>9.9000000000000005E-2</v>
      </c>
      <c r="H320" s="36">
        <v>7.8E-2</v>
      </c>
      <c r="I320" s="36">
        <v>5.8999999999999997E-2</v>
      </c>
      <c r="M320" s="1"/>
    </row>
    <row r="321" spans="4:13" x14ac:dyDescent="0.25">
      <c r="D321" s="36" t="s">
        <v>68</v>
      </c>
      <c r="E321" s="36" t="s">
        <v>177</v>
      </c>
      <c r="F321" s="36">
        <v>7.1999999999999995E-2</v>
      </c>
      <c r="G321" s="36">
        <v>9.9000000000000005E-2</v>
      </c>
      <c r="H321" s="36">
        <v>7.8E-2</v>
      </c>
      <c r="I321" s="36">
        <v>5.8999999999999997E-2</v>
      </c>
      <c r="M321" s="1"/>
    </row>
    <row r="322" spans="4:13" x14ac:dyDescent="0.25">
      <c r="D322" s="36" t="s">
        <v>68</v>
      </c>
      <c r="E322" s="36" t="s">
        <v>178</v>
      </c>
      <c r="F322" s="36">
        <v>7.1999999999999995E-2</v>
      </c>
      <c r="G322" s="36">
        <v>9.9000000000000005E-2</v>
      </c>
      <c r="H322" s="36">
        <v>7.8E-2</v>
      </c>
      <c r="I322" s="36">
        <v>5.8999999999999997E-2</v>
      </c>
      <c r="M322" s="1"/>
    </row>
    <row r="323" spans="4:13" x14ac:dyDescent="0.25">
      <c r="D323" s="36" t="s">
        <v>69</v>
      </c>
      <c r="E323" s="36" t="s">
        <v>163</v>
      </c>
      <c r="F323" s="36">
        <v>0.16</v>
      </c>
      <c r="G323" s="36">
        <v>7.0000000000000007E-2</v>
      </c>
      <c r="H323" s="36">
        <v>0.09</v>
      </c>
      <c r="I323" s="36">
        <v>0.2</v>
      </c>
      <c r="M323" s="1"/>
    </row>
    <row r="324" spans="4:13" x14ac:dyDescent="0.25">
      <c r="D324" s="36" t="s">
        <v>70</v>
      </c>
      <c r="E324" s="36" t="s">
        <v>163</v>
      </c>
      <c r="F324" s="36">
        <v>0.2</v>
      </c>
      <c r="G324" s="36">
        <v>0.1</v>
      </c>
      <c r="H324" s="36">
        <v>0.16</v>
      </c>
      <c r="I324" s="36">
        <v>0.2</v>
      </c>
      <c r="M324" s="1"/>
    </row>
    <row r="325" spans="4:13" x14ac:dyDescent="0.25">
      <c r="D325" s="36" t="s">
        <v>71</v>
      </c>
      <c r="E325" s="36" t="s">
        <v>163</v>
      </c>
      <c r="F325" s="36">
        <v>0.25</v>
      </c>
      <c r="G325" s="36">
        <v>7.0000000000000007E-2</v>
      </c>
      <c r="H325" s="36">
        <v>0.1</v>
      </c>
      <c r="I325" s="36">
        <v>0.21</v>
      </c>
      <c r="M325" s="1"/>
    </row>
    <row r="326" spans="4:13" x14ac:dyDescent="0.25">
      <c r="D326" s="36" t="s">
        <v>72</v>
      </c>
      <c r="E326" s="36" t="s">
        <v>170</v>
      </c>
      <c r="F326" s="36">
        <v>0.2</v>
      </c>
      <c r="G326" s="36">
        <v>0.09</v>
      </c>
      <c r="H326" s="36">
        <v>0.06</v>
      </c>
      <c r="I326" s="36">
        <v>0.2</v>
      </c>
      <c r="M326" s="1"/>
    </row>
    <row r="327" spans="4:13" x14ac:dyDescent="0.25">
      <c r="D327" s="36" t="s">
        <v>72</v>
      </c>
      <c r="E327" s="36" t="s">
        <v>171</v>
      </c>
      <c r="F327" s="36">
        <v>0.04</v>
      </c>
      <c r="G327" s="36">
        <v>0.12</v>
      </c>
      <c r="H327" s="36">
        <v>0.09</v>
      </c>
      <c r="I327" s="36">
        <v>0.06</v>
      </c>
      <c r="M327" s="1"/>
    </row>
    <row r="328" spans="4:13" x14ac:dyDescent="0.25">
      <c r="D328" s="36" t="s">
        <v>72</v>
      </c>
      <c r="E328" s="36" t="s">
        <v>166</v>
      </c>
      <c r="F328" s="36">
        <v>0.04</v>
      </c>
      <c r="G328" s="36">
        <v>0.12</v>
      </c>
      <c r="H328" s="36">
        <v>0.09</v>
      </c>
      <c r="I328" s="36">
        <v>0.06</v>
      </c>
      <c r="M328" s="1"/>
    </row>
    <row r="329" spans="4:13" x14ac:dyDescent="0.25">
      <c r="M329" s="1"/>
    </row>
    <row r="330" spans="4:13" x14ac:dyDescent="0.25">
      <c r="M330" s="1"/>
    </row>
    <row r="331" spans="4:13" ht="23.25" x14ac:dyDescent="0.25">
      <c r="D331" s="6" t="s">
        <v>333</v>
      </c>
      <c r="M331" s="1"/>
    </row>
    <row r="332" spans="4:13" x14ac:dyDescent="0.25">
      <c r="D332" s="5" t="s">
        <v>334</v>
      </c>
      <c r="M332" s="1"/>
    </row>
    <row r="333" spans="4:13" x14ac:dyDescent="0.25">
      <c r="D333" s="1" t="s">
        <v>335</v>
      </c>
      <c r="I333" s="54" t="s">
        <v>209</v>
      </c>
      <c r="M333" s="1"/>
    </row>
    <row r="334" spans="4:13" x14ac:dyDescent="0.25">
      <c r="D334" s="36" t="s">
        <v>101</v>
      </c>
      <c r="E334" s="36" t="s">
        <v>145</v>
      </c>
      <c r="F334" s="36" t="s">
        <v>193</v>
      </c>
      <c r="G334" s="36" t="s">
        <v>194</v>
      </c>
      <c r="I334" s="36" t="s">
        <v>101</v>
      </c>
      <c r="J334" s="36" t="s">
        <v>145</v>
      </c>
      <c r="K334" s="36" t="s">
        <v>193</v>
      </c>
      <c r="L334" s="36" t="s">
        <v>194</v>
      </c>
      <c r="M334" s="1"/>
    </row>
    <row r="335" spans="4:13" x14ac:dyDescent="0.25">
      <c r="D335" s="36" t="s">
        <v>200</v>
      </c>
      <c r="E335" s="36" t="s">
        <v>134</v>
      </c>
      <c r="F335" s="36">
        <v>1.3</v>
      </c>
      <c r="G335" s="36">
        <v>6</v>
      </c>
      <c r="I335" s="36" t="str">
        <f>Table_SourceData_PastureBeef_FeedIntakeAdjustment[[#This Row],[Breed]]</f>
        <v>Hereford or Shorthorn breeds</v>
      </c>
      <c r="J335" s="36" t="s">
        <v>207</v>
      </c>
      <c r="K335" s="36">
        <f>Table_SourceData_PastureBeef_FeedIntakeAdjustment[[#This Row],[Feed adjustment]]</f>
        <v>1.3</v>
      </c>
      <c r="L335" s="36">
        <f>Table_SourceData_PastureBeef_FeedIntakeAdjustment[[#This Row],[Milk intake/production]]</f>
        <v>6</v>
      </c>
      <c r="M335" s="1"/>
    </row>
    <row r="336" spans="4:13" x14ac:dyDescent="0.25">
      <c r="D336" s="1" t="s">
        <v>200</v>
      </c>
      <c r="E336" s="36" t="s">
        <v>135</v>
      </c>
      <c r="F336" s="36">
        <v>1.1000000000000001</v>
      </c>
      <c r="G336" s="36">
        <v>4</v>
      </c>
      <c r="I336" s="1" t="str">
        <f>Table_SourceData_PastureBeef_FeedIntakeAdjustment[[#This Row],[Breed]]</f>
        <v>Hereford or Shorthorn breeds</v>
      </c>
      <c r="J336" s="36" t="s">
        <v>208</v>
      </c>
      <c r="K336" s="36">
        <f>Table_SourceData_PastureBeef_FeedIntakeAdjustment[[#This Row],[Feed adjustment]]</f>
        <v>1.1000000000000001</v>
      </c>
      <c r="L336" s="36">
        <f>Table_SourceData_PastureBeef_FeedIntakeAdjustment[[#This Row],[Milk intake/production]]</f>
        <v>4</v>
      </c>
      <c r="M336" s="1"/>
    </row>
    <row r="337" spans="4:13" x14ac:dyDescent="0.25">
      <c r="D337" s="1" t="s">
        <v>200</v>
      </c>
      <c r="E337" s="36" t="s">
        <v>136</v>
      </c>
      <c r="F337" s="36">
        <v>0</v>
      </c>
      <c r="G337" s="36">
        <v>0</v>
      </c>
      <c r="I337" s="1" t="str">
        <f>D340</f>
        <v>Northern Brahman cross breed</v>
      </c>
      <c r="J337" s="36" t="s">
        <v>207</v>
      </c>
      <c r="K337" s="36">
        <f>F340</f>
        <v>1.3</v>
      </c>
      <c r="L337" s="36">
        <f t="shared" ref="L337:L338" si="135">G340</f>
        <v>4</v>
      </c>
      <c r="M337" s="1"/>
    </row>
    <row r="338" spans="4:13" x14ac:dyDescent="0.25">
      <c r="D338" s="1" t="s">
        <v>200</v>
      </c>
      <c r="E338" s="36" t="s">
        <v>137</v>
      </c>
      <c r="F338" s="36">
        <v>0</v>
      </c>
      <c r="G338" s="36">
        <v>0</v>
      </c>
      <c r="I338" s="1" t="str">
        <f>D341</f>
        <v>Northern Brahman cross breed</v>
      </c>
      <c r="J338" s="36" t="s">
        <v>208</v>
      </c>
      <c r="K338" s="36">
        <f t="shared" ref="K338" si="136">F341</f>
        <v>1.1000000000000001</v>
      </c>
      <c r="L338" s="36">
        <f t="shared" si="135"/>
        <v>3</v>
      </c>
      <c r="M338" s="1"/>
    </row>
    <row r="339" spans="4:13" x14ac:dyDescent="0.25">
      <c r="D339" s="1" t="s">
        <v>336</v>
      </c>
      <c r="E339" s="36" t="s">
        <v>134</v>
      </c>
      <c r="F339" s="36">
        <v>0</v>
      </c>
      <c r="G339" s="36">
        <v>0</v>
      </c>
      <c r="M339" s="1"/>
    </row>
    <row r="340" spans="4:13" x14ac:dyDescent="0.25">
      <c r="D340" s="1" t="s">
        <v>336</v>
      </c>
      <c r="E340" s="36" t="s">
        <v>135</v>
      </c>
      <c r="F340" s="36">
        <v>1.3</v>
      </c>
      <c r="G340" s="36">
        <v>4</v>
      </c>
      <c r="M340" s="1"/>
    </row>
    <row r="341" spans="4:13" x14ac:dyDescent="0.25">
      <c r="D341" s="1" t="s">
        <v>336</v>
      </c>
      <c r="E341" s="36" t="s">
        <v>136</v>
      </c>
      <c r="F341" s="36">
        <v>1.1000000000000001</v>
      </c>
      <c r="G341" s="36">
        <v>3</v>
      </c>
      <c r="M341" s="1"/>
    </row>
    <row r="342" spans="4:13" x14ac:dyDescent="0.25">
      <c r="D342" s="1" t="s">
        <v>336</v>
      </c>
      <c r="E342" s="36" t="s">
        <v>137</v>
      </c>
      <c r="F342" s="36">
        <v>0</v>
      </c>
      <c r="G342" s="36">
        <v>0</v>
      </c>
      <c r="M342" s="1"/>
    </row>
    <row r="343" spans="4:13" x14ac:dyDescent="0.25">
      <c r="M343" s="1"/>
    </row>
    <row r="344" spans="4:13" x14ac:dyDescent="0.25">
      <c r="M344" s="1"/>
    </row>
    <row r="345" spans="4:13" ht="23.25" x14ac:dyDescent="0.25">
      <c r="D345" s="6" t="s">
        <v>337</v>
      </c>
      <c r="M345" s="1"/>
    </row>
    <row r="346" spans="4:13" x14ac:dyDescent="0.25">
      <c r="D346" s="5" t="s">
        <v>338</v>
      </c>
      <c r="M346" s="1"/>
    </row>
    <row r="347" spans="4:13" x14ac:dyDescent="0.25">
      <c r="D347" s="1" t="s">
        <v>339</v>
      </c>
      <c r="M347" s="1"/>
    </row>
    <row r="348" spans="4:13" x14ac:dyDescent="0.25">
      <c r="D348" s="53" t="s">
        <v>292</v>
      </c>
      <c r="M348" s="1"/>
    </row>
    <row r="349" spans="4:13" x14ac:dyDescent="0.25">
      <c r="D349" s="54" t="s">
        <v>340</v>
      </c>
      <c r="M349" s="1"/>
    </row>
    <row r="350" spans="4:13" x14ac:dyDescent="0.25">
      <c r="D350" s="36" t="s">
        <v>6</v>
      </c>
      <c r="E350" s="36" t="s">
        <v>195</v>
      </c>
      <c r="F350" s="36" t="s">
        <v>196</v>
      </c>
      <c r="G350" s="36" t="s">
        <v>154</v>
      </c>
      <c r="H350" s="36" t="s">
        <v>155</v>
      </c>
      <c r="I350" s="36" t="s">
        <v>197</v>
      </c>
      <c r="J350" s="36" t="s">
        <v>158</v>
      </c>
      <c r="K350" s="36" t="s">
        <v>187</v>
      </c>
      <c r="L350" s="36" t="s">
        <v>198</v>
      </c>
      <c r="M350" s="1"/>
    </row>
    <row r="351" spans="4:13" x14ac:dyDescent="0.25">
      <c r="D351" s="36" t="s">
        <v>65</v>
      </c>
      <c r="E351" s="36">
        <v>700</v>
      </c>
      <c r="F351" s="36">
        <v>700</v>
      </c>
      <c r="G351" s="36">
        <v>500</v>
      </c>
      <c r="H351" s="36">
        <v>500</v>
      </c>
      <c r="I351" s="36">
        <v>500</v>
      </c>
      <c r="J351" s="36">
        <v>600</v>
      </c>
      <c r="K351" s="36">
        <v>600</v>
      </c>
      <c r="L351" s="36" t="s">
        <v>65</v>
      </c>
      <c r="M351" s="1"/>
    </row>
    <row r="352" spans="4:13" x14ac:dyDescent="0.25">
      <c r="D352" s="1" t="s">
        <v>66</v>
      </c>
      <c r="E352" s="36">
        <v>700</v>
      </c>
      <c r="F352" s="36">
        <v>700</v>
      </c>
      <c r="G352" s="36">
        <v>500</v>
      </c>
      <c r="H352" s="36">
        <v>500</v>
      </c>
      <c r="I352" s="36">
        <v>500</v>
      </c>
      <c r="J352" s="36">
        <v>600</v>
      </c>
      <c r="K352" s="36">
        <v>600</v>
      </c>
      <c r="L352" s="36" t="s">
        <v>66</v>
      </c>
      <c r="M352" s="1"/>
    </row>
    <row r="353" spans="4:15" x14ac:dyDescent="0.25">
      <c r="D353" s="1" t="s">
        <v>318</v>
      </c>
      <c r="E353" s="36">
        <v>770</v>
      </c>
      <c r="F353" s="36">
        <v>770</v>
      </c>
      <c r="G353" s="36">
        <v>550</v>
      </c>
      <c r="H353" s="36">
        <v>550</v>
      </c>
      <c r="I353" s="36">
        <v>550</v>
      </c>
      <c r="J353" s="36">
        <v>660</v>
      </c>
      <c r="K353" s="36">
        <v>660</v>
      </c>
      <c r="L353" s="36" t="s">
        <v>67</v>
      </c>
      <c r="M353" s="1"/>
    </row>
    <row r="354" spans="4:15" x14ac:dyDescent="0.25">
      <c r="D354" s="1" t="s">
        <v>320</v>
      </c>
      <c r="E354" s="36">
        <v>770</v>
      </c>
      <c r="F354" s="36">
        <v>770</v>
      </c>
      <c r="G354" s="36">
        <v>550</v>
      </c>
      <c r="H354" s="36">
        <v>550</v>
      </c>
      <c r="I354" s="36">
        <v>550</v>
      </c>
      <c r="J354" s="36">
        <v>660</v>
      </c>
      <c r="K354" s="36">
        <v>660</v>
      </c>
      <c r="L354" s="36" t="s">
        <v>68</v>
      </c>
      <c r="M354" s="1"/>
    </row>
    <row r="355" spans="4:15" x14ac:dyDescent="0.25">
      <c r="D355" s="1" t="s">
        <v>313</v>
      </c>
      <c r="E355" s="36">
        <v>770</v>
      </c>
      <c r="F355" s="36">
        <v>770</v>
      </c>
      <c r="G355" s="36">
        <v>550</v>
      </c>
      <c r="H355" s="36">
        <v>550</v>
      </c>
      <c r="I355" s="36">
        <v>550</v>
      </c>
      <c r="J355" s="36">
        <v>660</v>
      </c>
      <c r="K355" s="36">
        <v>660</v>
      </c>
      <c r="L355" s="36" t="s">
        <v>69</v>
      </c>
      <c r="M355" s="1"/>
    </row>
    <row r="356" spans="4:15" x14ac:dyDescent="0.25">
      <c r="D356" s="1" t="s">
        <v>314</v>
      </c>
      <c r="E356" s="36">
        <v>770</v>
      </c>
      <c r="F356" s="36">
        <v>770</v>
      </c>
      <c r="G356" s="36">
        <v>550</v>
      </c>
      <c r="H356" s="36">
        <v>550</v>
      </c>
      <c r="I356" s="36">
        <v>550</v>
      </c>
      <c r="J356" s="36">
        <v>660</v>
      </c>
      <c r="K356" s="36">
        <v>660</v>
      </c>
      <c r="L356" s="36" t="s">
        <v>70</v>
      </c>
      <c r="M356" s="1"/>
    </row>
    <row r="357" spans="4:15" x14ac:dyDescent="0.25">
      <c r="D357" s="1" t="s">
        <v>315</v>
      </c>
      <c r="E357" s="36">
        <v>770</v>
      </c>
      <c r="F357" s="36">
        <v>770</v>
      </c>
      <c r="G357" s="36">
        <v>550</v>
      </c>
      <c r="H357" s="36">
        <v>550</v>
      </c>
      <c r="I357" s="36">
        <v>550</v>
      </c>
      <c r="J357" s="36">
        <v>660</v>
      </c>
      <c r="K357" s="36">
        <v>660</v>
      </c>
      <c r="L357" s="36" t="s">
        <v>71</v>
      </c>
      <c r="M357" s="1"/>
    </row>
    <row r="358" spans="4:15" x14ac:dyDescent="0.25">
      <c r="D358" s="1" t="s">
        <v>179</v>
      </c>
      <c r="E358" s="36">
        <v>770</v>
      </c>
      <c r="F358" s="36">
        <v>770</v>
      </c>
      <c r="G358" s="36">
        <v>550</v>
      </c>
      <c r="H358" s="36">
        <v>550</v>
      </c>
      <c r="I358" s="36">
        <v>550</v>
      </c>
      <c r="J358" s="36">
        <v>660</v>
      </c>
      <c r="K358" s="36">
        <v>660</v>
      </c>
      <c r="L358" s="36" t="s">
        <v>72</v>
      </c>
      <c r="M358" s="1"/>
    </row>
    <row r="359" spans="4:15" x14ac:dyDescent="0.25">
      <c r="M359" s="1"/>
    </row>
    <row r="360" spans="4:15" x14ac:dyDescent="0.25">
      <c r="M360" s="1"/>
    </row>
    <row r="361" spans="4:15" x14ac:dyDescent="0.25">
      <c r="D361" s="36" t="s">
        <v>6</v>
      </c>
      <c r="E361" s="109" t="s">
        <v>103</v>
      </c>
      <c r="F361" s="109" t="s">
        <v>102</v>
      </c>
      <c r="G361" s="109" t="s">
        <v>126</v>
      </c>
      <c r="H361" s="109" t="s">
        <v>127</v>
      </c>
      <c r="I361" s="109" t="s">
        <v>128</v>
      </c>
      <c r="J361" s="109" t="s">
        <v>129</v>
      </c>
      <c r="K361" s="109" t="s">
        <v>130</v>
      </c>
      <c r="L361" s="109" t="s">
        <v>131</v>
      </c>
      <c r="M361" s="109" t="s">
        <v>132</v>
      </c>
      <c r="N361" s="109" t="s">
        <v>133</v>
      </c>
      <c r="O361" s="36" t="s">
        <v>198</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
        <v>341</v>
      </c>
      <c r="M372" s="1"/>
    </row>
    <row r="373" spans="4:15" x14ac:dyDescent="0.25">
      <c r="D373" s="5" t="s">
        <v>342</v>
      </c>
      <c r="M373" s="1"/>
    </row>
    <row r="374" spans="4:15" x14ac:dyDescent="0.25">
      <c r="D374" s="1" t="s">
        <v>343</v>
      </c>
      <c r="M374" s="1"/>
    </row>
    <row r="375" spans="4:15" x14ac:dyDescent="0.25">
      <c r="D375" s="53" t="s">
        <v>112</v>
      </c>
      <c r="E375" s="103" t="s">
        <v>223</v>
      </c>
      <c r="M375" s="1"/>
    </row>
    <row r="376" spans="4:15" x14ac:dyDescent="0.25">
      <c r="D376" s="54" t="s">
        <v>344</v>
      </c>
      <c r="M376" s="1"/>
    </row>
    <row r="377" spans="4:15" x14ac:dyDescent="0.25">
      <c r="D377" s="36" t="s">
        <v>6</v>
      </c>
      <c r="E377" s="36" t="s">
        <v>144</v>
      </c>
      <c r="F377" s="36" t="s">
        <v>109</v>
      </c>
      <c r="G377" s="36" t="s">
        <v>199</v>
      </c>
      <c r="M377" s="1"/>
    </row>
    <row r="378" spans="4:15" x14ac:dyDescent="0.25">
      <c r="D378" s="36" t="s">
        <v>65</v>
      </c>
      <c r="E378" s="36" t="s">
        <v>163</v>
      </c>
      <c r="F378" s="36">
        <v>99.191999999999993</v>
      </c>
      <c r="G378" s="36">
        <v>0.80800000000000005</v>
      </c>
      <c r="M378" s="1"/>
    </row>
    <row r="379" spans="4:15" x14ac:dyDescent="0.25">
      <c r="D379" s="1" t="s">
        <v>66</v>
      </c>
      <c r="E379" s="36" t="s">
        <v>163</v>
      </c>
      <c r="F379" s="36">
        <v>99.451999999999998</v>
      </c>
      <c r="G379" s="36">
        <v>0.54800000000000004</v>
      </c>
      <c r="M379" s="1"/>
    </row>
    <row r="380" spans="4:15" x14ac:dyDescent="0.25">
      <c r="D380" s="1" t="s">
        <v>69</v>
      </c>
      <c r="E380" s="36" t="s">
        <v>163</v>
      </c>
      <c r="F380" s="36">
        <v>99.759</v>
      </c>
      <c r="G380" s="36">
        <v>0.24099999999999999</v>
      </c>
      <c r="M380" s="1"/>
    </row>
    <row r="381" spans="4:15" x14ac:dyDescent="0.25">
      <c r="D381" s="1" t="s">
        <v>70</v>
      </c>
      <c r="E381" s="36" t="s">
        <v>163</v>
      </c>
      <c r="F381" s="36">
        <v>99.122</v>
      </c>
      <c r="G381" s="36">
        <v>0.878</v>
      </c>
      <c r="M381" s="1"/>
    </row>
    <row r="382" spans="4:15" x14ac:dyDescent="0.25">
      <c r="D382" s="1" t="s">
        <v>71</v>
      </c>
      <c r="E382" s="36" t="s">
        <v>163</v>
      </c>
      <c r="F382" s="36">
        <v>98.894000000000005</v>
      </c>
      <c r="G382" s="36">
        <v>1.1060000000000001</v>
      </c>
      <c r="M382" s="1"/>
    </row>
    <row r="383" spans="4:15" x14ac:dyDescent="0.25">
      <c r="D383" s="1" t="s">
        <v>72</v>
      </c>
      <c r="E383" s="36" t="s">
        <v>170</v>
      </c>
      <c r="F383" s="36">
        <v>99.622</v>
      </c>
      <c r="G383" s="36">
        <v>0.378</v>
      </c>
      <c r="M383" s="1"/>
    </row>
    <row r="384" spans="4:15" x14ac:dyDescent="0.25">
      <c r="D384" s="1" t="s">
        <v>72</v>
      </c>
      <c r="E384" s="36" t="s">
        <v>171</v>
      </c>
      <c r="F384" s="36">
        <v>99.998999999999995</v>
      </c>
      <c r="G384" s="36">
        <v>1E-3</v>
      </c>
      <c r="M384" s="1"/>
    </row>
    <row r="385" spans="4:13" x14ac:dyDescent="0.25">
      <c r="D385" s="1" t="s">
        <v>72</v>
      </c>
      <c r="E385" s="36" t="s">
        <v>166</v>
      </c>
      <c r="F385" s="36">
        <v>99.998999999999995</v>
      </c>
      <c r="G385" s="36">
        <v>1E-3</v>
      </c>
      <c r="M385" s="1"/>
    </row>
    <row r="386" spans="4:13" x14ac:dyDescent="0.25">
      <c r="D386" s="1" t="s">
        <v>67</v>
      </c>
      <c r="E386" s="36" t="s">
        <v>172</v>
      </c>
      <c r="F386" s="36">
        <v>99.998999999999995</v>
      </c>
      <c r="G386" s="36">
        <v>1E-3</v>
      </c>
      <c r="M386" s="1"/>
    </row>
    <row r="387" spans="4:13" x14ac:dyDescent="0.25">
      <c r="D387" s="1" t="s">
        <v>67</v>
      </c>
      <c r="E387" s="36" t="s">
        <v>173</v>
      </c>
      <c r="F387" s="36">
        <v>99.994</v>
      </c>
      <c r="G387" s="36">
        <v>6.0000000000000001E-3</v>
      </c>
      <c r="M387" s="1"/>
    </row>
    <row r="388" spans="4:13" x14ac:dyDescent="0.25">
      <c r="D388" s="1" t="s">
        <v>67</v>
      </c>
      <c r="E388" s="36" t="s">
        <v>174</v>
      </c>
      <c r="F388" s="36">
        <v>99.998999999999995</v>
      </c>
      <c r="G388" s="36">
        <v>1E-3</v>
      </c>
      <c r="M388" s="1"/>
    </row>
    <row r="389" spans="4:13" x14ac:dyDescent="0.25">
      <c r="D389" s="1" t="s">
        <v>68</v>
      </c>
      <c r="E389" s="36" t="s">
        <v>175</v>
      </c>
      <c r="F389" s="36">
        <v>99.772999999999996</v>
      </c>
      <c r="G389" s="36">
        <v>0.22700000000000001</v>
      </c>
      <c r="M389" s="1"/>
    </row>
    <row r="390" spans="4:13" x14ac:dyDescent="0.25">
      <c r="D390" s="1" t="s">
        <v>68</v>
      </c>
      <c r="E390" s="36" t="s">
        <v>176</v>
      </c>
      <c r="F390" s="36">
        <v>99.897999999999996</v>
      </c>
      <c r="G390" s="36">
        <v>0.10199999999999999</v>
      </c>
      <c r="M390" s="1"/>
    </row>
    <row r="391" spans="4:13" x14ac:dyDescent="0.25">
      <c r="D391" s="1" t="s">
        <v>68</v>
      </c>
      <c r="E391" s="36" t="s">
        <v>177</v>
      </c>
      <c r="F391" s="36">
        <v>99.978999999999999</v>
      </c>
      <c r="G391" s="36">
        <v>2.1000000000000001E-2</v>
      </c>
      <c r="M391" s="1"/>
    </row>
    <row r="392" spans="4:13" x14ac:dyDescent="0.25">
      <c r="D392" s="1" t="s">
        <v>68</v>
      </c>
      <c r="E392" s="36" t="s">
        <v>178</v>
      </c>
      <c r="F392" s="36">
        <v>99.977000000000004</v>
      </c>
      <c r="G392" s="36">
        <v>2.3E-2</v>
      </c>
      <c r="M392" s="1"/>
    </row>
    <row r="393" spans="4:13" x14ac:dyDescent="0.25">
      <c r="M393" s="1"/>
    </row>
    <row r="394" spans="4:13" x14ac:dyDescent="0.25">
      <c r="M394" s="1"/>
    </row>
    <row r="395" spans="4:13" ht="23.25" x14ac:dyDescent="0.25">
      <c r="D395" s="6" t="s">
        <v>345</v>
      </c>
      <c r="M395" s="1"/>
    </row>
    <row r="396" spans="4:13" x14ac:dyDescent="0.25">
      <c r="D396" s="5" t="s">
        <v>346</v>
      </c>
      <c r="M396" s="1"/>
    </row>
    <row r="397" spans="4:13" x14ac:dyDescent="0.25">
      <c r="D397" s="1" t="s">
        <v>347</v>
      </c>
      <c r="M397" s="1"/>
    </row>
    <row r="398" spans="4:13" x14ac:dyDescent="0.25">
      <c r="D398" s="53" t="s">
        <v>112</v>
      </c>
      <c r="M398" s="1"/>
    </row>
    <row r="399" spans="4:13" x14ac:dyDescent="0.25">
      <c r="D399" s="54" t="s">
        <v>344</v>
      </c>
      <c r="M399" s="1"/>
    </row>
    <row r="400" spans="4:13" x14ac:dyDescent="0.25">
      <c r="D400" s="36" t="s">
        <v>6</v>
      </c>
      <c r="E400" s="36" t="s">
        <v>144</v>
      </c>
      <c r="F400" s="36" t="s">
        <v>109</v>
      </c>
      <c r="G400" s="36" t="s">
        <v>199</v>
      </c>
      <c r="M400" s="1"/>
    </row>
    <row r="401" spans="4:13" x14ac:dyDescent="0.25">
      <c r="D401" s="36" t="s">
        <v>65</v>
      </c>
      <c r="E401" s="36" t="s">
        <v>163</v>
      </c>
      <c r="F401" s="36">
        <v>4.7000000000000002E-3</v>
      </c>
      <c r="G401" s="36">
        <v>0.71</v>
      </c>
      <c r="M401" s="1"/>
    </row>
    <row r="402" spans="4:13" x14ac:dyDescent="0.25">
      <c r="D402" s="36" t="s">
        <v>66</v>
      </c>
      <c r="E402" s="36" t="s">
        <v>163</v>
      </c>
      <c r="F402" s="36">
        <v>4.7000000000000002E-3</v>
      </c>
      <c r="G402" s="36">
        <v>0.75</v>
      </c>
      <c r="M402" s="1"/>
    </row>
    <row r="403" spans="4:13" x14ac:dyDescent="0.25">
      <c r="D403" s="36" t="s">
        <v>69</v>
      </c>
      <c r="E403" s="36" t="s">
        <v>163</v>
      </c>
      <c r="F403" s="36">
        <v>4.7000000000000002E-3</v>
      </c>
      <c r="G403" s="36">
        <v>0.74</v>
      </c>
      <c r="M403" s="1"/>
    </row>
    <row r="404" spans="4:13" x14ac:dyDescent="0.25">
      <c r="D404" s="36" t="s">
        <v>70</v>
      </c>
      <c r="E404" s="36" t="s">
        <v>163</v>
      </c>
      <c r="F404" s="36">
        <v>4.7000000000000002E-3</v>
      </c>
      <c r="G404" s="36">
        <v>0.7</v>
      </c>
      <c r="M404" s="1"/>
    </row>
    <row r="405" spans="4:13" x14ac:dyDescent="0.25">
      <c r="D405" s="36" t="s">
        <v>71</v>
      </c>
      <c r="E405" s="36" t="s">
        <v>163</v>
      </c>
      <c r="F405" s="36">
        <v>4.7000000000000002E-3</v>
      </c>
      <c r="G405" s="36">
        <v>0.74</v>
      </c>
      <c r="M405" s="1"/>
    </row>
    <row r="406" spans="4:13" x14ac:dyDescent="0.25">
      <c r="D406" s="36" t="s">
        <v>72</v>
      </c>
      <c r="E406" s="36" t="s">
        <v>170</v>
      </c>
      <c r="F406" s="36">
        <v>4.7000000000000002E-3</v>
      </c>
      <c r="G406" s="36">
        <v>0.76</v>
      </c>
      <c r="M406" s="1"/>
    </row>
    <row r="407" spans="4:13" x14ac:dyDescent="0.25">
      <c r="D407" s="36" t="s">
        <v>72</v>
      </c>
      <c r="E407" s="36" t="s">
        <v>171</v>
      </c>
      <c r="F407" s="36">
        <v>4.7000000000000002E-3</v>
      </c>
      <c r="G407" s="36">
        <v>0.76</v>
      </c>
      <c r="M407" s="1"/>
    </row>
    <row r="408" spans="4:13" x14ac:dyDescent="0.25">
      <c r="D408" s="36" t="s">
        <v>72</v>
      </c>
      <c r="E408" s="36" t="s">
        <v>166</v>
      </c>
      <c r="F408" s="36">
        <v>4.7000000000000002E-3</v>
      </c>
      <c r="G408" s="36">
        <v>0.76</v>
      </c>
      <c r="M408" s="1"/>
    </row>
    <row r="409" spans="4:13" x14ac:dyDescent="0.25">
      <c r="D409" s="36" t="s">
        <v>67</v>
      </c>
      <c r="E409" s="36" t="s">
        <v>172</v>
      </c>
      <c r="F409" s="36">
        <v>4.7000000000000002E-3</v>
      </c>
      <c r="G409" s="36">
        <v>0.8</v>
      </c>
      <c r="M409" s="1"/>
    </row>
    <row r="410" spans="4:13" x14ac:dyDescent="0.25">
      <c r="D410" s="36" t="s">
        <v>67</v>
      </c>
      <c r="E410" s="36" t="s">
        <v>173</v>
      </c>
      <c r="F410" s="36">
        <v>4.7000000000000002E-3</v>
      </c>
      <c r="G410" s="36">
        <v>0.8</v>
      </c>
      <c r="M410" s="1"/>
    </row>
    <row r="411" spans="4:13" x14ac:dyDescent="0.25">
      <c r="D411" s="36" t="s">
        <v>67</v>
      </c>
      <c r="E411" s="36" t="s">
        <v>174</v>
      </c>
      <c r="F411" s="36">
        <v>4.7000000000000002E-3</v>
      </c>
      <c r="G411" s="36">
        <v>0.8</v>
      </c>
      <c r="M411" s="1"/>
    </row>
    <row r="412" spans="4:13" x14ac:dyDescent="0.25">
      <c r="D412" s="36" t="s">
        <v>68</v>
      </c>
      <c r="E412" s="36" t="s">
        <v>175</v>
      </c>
      <c r="F412" s="36">
        <v>4.7000000000000002E-3</v>
      </c>
      <c r="G412" s="36">
        <v>0.78</v>
      </c>
      <c r="M412" s="1"/>
    </row>
    <row r="413" spans="4:13" x14ac:dyDescent="0.25">
      <c r="D413" s="36" t="s">
        <v>68</v>
      </c>
      <c r="E413" s="36" t="s">
        <v>176</v>
      </c>
      <c r="F413" s="36">
        <v>4.7000000000000002E-3</v>
      </c>
      <c r="G413" s="36">
        <v>0.78</v>
      </c>
      <c r="M413" s="1"/>
    </row>
    <row r="414" spans="4:13" x14ac:dyDescent="0.25">
      <c r="D414" s="36" t="s">
        <v>68</v>
      </c>
      <c r="E414" s="36" t="s">
        <v>177</v>
      </c>
      <c r="F414" s="36">
        <v>4.7000000000000002E-3</v>
      </c>
      <c r="G414" s="36">
        <v>0.78</v>
      </c>
      <c r="M414" s="1"/>
    </row>
    <row r="415" spans="4:13" x14ac:dyDescent="0.25">
      <c r="D415" s="36" t="s">
        <v>68</v>
      </c>
      <c r="E415" s="36" t="s">
        <v>178</v>
      </c>
      <c r="F415" s="36">
        <v>4.7000000000000002E-3</v>
      </c>
      <c r="G415" s="36">
        <v>0.78</v>
      </c>
      <c r="M415" s="1"/>
    </row>
    <row r="416" spans="4:13" x14ac:dyDescent="0.25">
      <c r="M416" s="1"/>
    </row>
    <row r="417" spans="4:13" x14ac:dyDescent="0.25">
      <c r="M417" s="1"/>
    </row>
    <row r="418" spans="4:13" ht="23.25" x14ac:dyDescent="0.25">
      <c r="D418" s="6" t="s">
        <v>348</v>
      </c>
      <c r="M418" s="1"/>
    </row>
    <row r="419" spans="4:13" x14ac:dyDescent="0.25">
      <c r="D419" s="5" t="s">
        <v>349</v>
      </c>
      <c r="M419" s="1"/>
    </row>
    <row r="420" spans="4:13" x14ac:dyDescent="0.25">
      <c r="D420" s="1" t="s">
        <v>350</v>
      </c>
      <c r="M420" s="1"/>
    </row>
    <row r="421" spans="4:13" x14ac:dyDescent="0.25">
      <c r="D421" s="53" t="s">
        <v>112</v>
      </c>
      <c r="M421" s="1"/>
    </row>
    <row r="422" spans="4:13" x14ac:dyDescent="0.25">
      <c r="D422" s="52">
        <v>0.08</v>
      </c>
      <c r="M422" s="1"/>
    </row>
    <row r="423" spans="4:13" x14ac:dyDescent="0.25">
      <c r="M423" s="1"/>
    </row>
    <row r="424" spans="4:13" ht="23.25" x14ac:dyDescent="0.25">
      <c r="D424" s="6" t="s">
        <v>351</v>
      </c>
      <c r="M424" s="1"/>
    </row>
    <row r="425" spans="4:13" x14ac:dyDescent="0.25">
      <c r="D425" s="5" t="s">
        <v>349</v>
      </c>
      <c r="M425" s="1"/>
    </row>
    <row r="426" spans="4:13" x14ac:dyDescent="0.25">
      <c r="D426" s="1" t="s">
        <v>352</v>
      </c>
      <c r="M426" s="1"/>
    </row>
    <row r="427" spans="4:13" x14ac:dyDescent="0.25">
      <c r="D427" s="53" t="s">
        <v>353</v>
      </c>
      <c r="M427" s="1"/>
    </row>
    <row r="428" spans="4:13" x14ac:dyDescent="0.25">
      <c r="D428" s="52">
        <v>0.19</v>
      </c>
      <c r="M428" s="1"/>
    </row>
    <row r="429" spans="4:13" x14ac:dyDescent="0.25">
      <c r="M429" s="1"/>
    </row>
    <row r="430" spans="4:13" ht="23.25" x14ac:dyDescent="0.25">
      <c r="D430" s="6" t="s">
        <v>354</v>
      </c>
      <c r="M430" s="1"/>
    </row>
    <row r="431" spans="4:13" x14ac:dyDescent="0.25">
      <c r="D431" s="5" t="s">
        <v>349</v>
      </c>
      <c r="M431" s="1"/>
    </row>
    <row r="432" spans="4:13" x14ac:dyDescent="0.25">
      <c r="D432" s="1" t="s">
        <v>355</v>
      </c>
      <c r="M432" s="1"/>
    </row>
    <row r="433" spans="4:13" x14ac:dyDescent="0.25">
      <c r="D433" s="53" t="s">
        <v>112</v>
      </c>
      <c r="M433" s="1"/>
    </row>
    <row r="434" spans="4:13" x14ac:dyDescent="0.25">
      <c r="D434" s="52">
        <v>0.21</v>
      </c>
      <c r="M434" s="1"/>
    </row>
    <row r="435" spans="4:13" x14ac:dyDescent="0.25">
      <c r="M435" s="1"/>
    </row>
    <row r="436" spans="4:13" ht="23.25" x14ac:dyDescent="0.25">
      <c r="D436" s="6" t="s">
        <v>356</v>
      </c>
      <c r="M436" s="1"/>
    </row>
    <row r="437" spans="4:13" x14ac:dyDescent="0.25">
      <c r="D437" s="5" t="s">
        <v>349</v>
      </c>
      <c r="M437" s="1"/>
    </row>
    <row r="438" spans="4:13" x14ac:dyDescent="0.25">
      <c r="D438" s="1" t="s">
        <v>357</v>
      </c>
      <c r="M438" s="1"/>
    </row>
    <row r="439" spans="4:13" x14ac:dyDescent="0.25">
      <c r="D439" s="53" t="s">
        <v>112</v>
      </c>
      <c r="M439" s="1"/>
    </row>
    <row r="440" spans="4:13" x14ac:dyDescent="0.25">
      <c r="D440" s="52">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61</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358</v>
      </c>
      <c r="BM5" s="3"/>
    </row>
    <row r="6" spans="1:65" ht="20.100000000000001" customHeight="1" x14ac:dyDescent="0.25">
      <c r="A6"/>
      <c r="D6" s="36" t="s">
        <v>17</v>
      </c>
      <c r="E6" s="36" t="s">
        <v>18</v>
      </c>
      <c r="F6" s="36" t="s">
        <v>19</v>
      </c>
    </row>
    <row r="7" spans="1:65" ht="20.100000000000001" customHeight="1" x14ac:dyDescent="0.25">
      <c r="A7"/>
      <c r="D7" s="36" t="s">
        <v>359</v>
      </c>
      <c r="E7" s="36" t="s">
        <v>359</v>
      </c>
      <c r="F7" s="36" t="s">
        <v>66</v>
      </c>
    </row>
    <row r="8" spans="1:65" ht="20.100000000000001" customHeight="1" x14ac:dyDescent="0.25">
      <c r="A8"/>
      <c r="D8" s="36" t="s">
        <v>360</v>
      </c>
      <c r="E8" s="36" t="s">
        <v>65</v>
      </c>
      <c r="F8" s="36" t="s">
        <v>65</v>
      </c>
    </row>
    <row r="9" spans="1:65" ht="20.100000000000001" customHeight="1" x14ac:dyDescent="0.25">
      <c r="A9"/>
      <c r="D9" s="36" t="s">
        <v>315</v>
      </c>
      <c r="E9" s="36" t="s">
        <v>315</v>
      </c>
      <c r="F9" s="36" t="s">
        <v>71</v>
      </c>
    </row>
    <row r="10" spans="1:65" ht="20.100000000000001" customHeight="1" x14ac:dyDescent="0.25">
      <c r="A10"/>
      <c r="D10" s="36" t="s">
        <v>320</v>
      </c>
      <c r="E10" s="36" t="s">
        <v>320</v>
      </c>
      <c r="F10" s="36" t="s">
        <v>68</v>
      </c>
    </row>
    <row r="11" spans="1:65" ht="20.100000000000001" customHeight="1" x14ac:dyDescent="0.25">
      <c r="A11"/>
      <c r="D11" s="36" t="s">
        <v>313</v>
      </c>
      <c r="E11" s="36" t="s">
        <v>313</v>
      </c>
      <c r="F11" s="36" t="s">
        <v>69</v>
      </c>
      <c r="BM11" s="3"/>
    </row>
    <row r="12" spans="1:65" ht="20.100000000000001" customHeight="1" x14ac:dyDescent="0.25">
      <c r="A12"/>
      <c r="D12" s="36" t="s">
        <v>179</v>
      </c>
      <c r="E12" s="36" t="s">
        <v>179</v>
      </c>
      <c r="F12" s="36" t="s">
        <v>72</v>
      </c>
      <c r="BM12" s="3"/>
    </row>
    <row r="13" spans="1:65" ht="20.100000000000001" customHeight="1" x14ac:dyDescent="0.25">
      <c r="A13"/>
      <c r="D13" s="36" t="s">
        <v>314</v>
      </c>
      <c r="E13" s="36" t="s">
        <v>314</v>
      </c>
      <c r="F13" s="36" t="s">
        <v>70</v>
      </c>
    </row>
    <row r="14" spans="1:65" ht="20.100000000000001" customHeight="1" x14ac:dyDescent="0.25">
      <c r="A14"/>
      <c r="D14" s="36" t="s">
        <v>318</v>
      </c>
      <c r="E14" s="36" t="s">
        <v>318</v>
      </c>
      <c r="F14" s="36" t="s">
        <v>67</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361</v>
      </c>
    </row>
    <row r="19" spans="1:4" ht="20.100000000000001" customHeight="1" x14ac:dyDescent="0.25">
      <c r="A19"/>
      <c r="D19" s="5" t="s">
        <v>362</v>
      </c>
    </row>
    <row r="20" spans="1:4" ht="20.100000000000001" customHeight="1" x14ac:dyDescent="0.25">
      <c r="A20"/>
      <c r="D20" s="36" t="s">
        <v>20</v>
      </c>
    </row>
    <row r="21" spans="1:4" ht="20.100000000000001" customHeight="1" x14ac:dyDescent="0.25">
      <c r="A21"/>
      <c r="D21" s="36" t="s">
        <v>363</v>
      </c>
    </row>
    <row r="22" spans="1:4" ht="20.100000000000001" customHeight="1" x14ac:dyDescent="0.25">
      <c r="A22"/>
      <c r="D22" s="36" t="s">
        <v>364</v>
      </c>
    </row>
    <row r="23" spans="1:4" ht="20.100000000000001" customHeight="1" x14ac:dyDescent="0.25">
      <c r="A23"/>
      <c r="D23" s="36" t="s">
        <v>365</v>
      </c>
    </row>
    <row r="24" spans="1:4" ht="20.100000000000001" customHeight="1" x14ac:dyDescent="0.25">
      <c r="A24"/>
      <c r="D24" s="36" t="s">
        <v>366</v>
      </c>
    </row>
    <row r="25" spans="1:4" ht="20.100000000000001" customHeight="1" x14ac:dyDescent="0.25">
      <c r="A25"/>
      <c r="D25" s="36" t="s">
        <v>367</v>
      </c>
    </row>
    <row r="26" spans="1:4" ht="20.100000000000001" customHeight="1" x14ac:dyDescent="0.25">
      <c r="A26"/>
      <c r="D26" s="36" t="s">
        <v>368</v>
      </c>
    </row>
    <row r="27" spans="1:4" ht="20.100000000000001" customHeight="1" x14ac:dyDescent="0.25">
      <c r="A27"/>
      <c r="D27" s="36" t="s">
        <v>369</v>
      </c>
    </row>
    <row r="28" spans="1:4" ht="20.100000000000001" customHeight="1" x14ac:dyDescent="0.25">
      <c r="A28"/>
      <c r="D28" s="36" t="s">
        <v>370</v>
      </c>
    </row>
    <row r="29" spans="1:4" ht="20.100000000000001" customHeight="1" x14ac:dyDescent="0.25">
      <c r="A29"/>
      <c r="D29" s="36" t="s">
        <v>371</v>
      </c>
    </row>
    <row r="30" spans="1:4" ht="20.100000000000001" customHeight="1" x14ac:dyDescent="0.25">
      <c r="A30"/>
      <c r="D30" s="36" t="s">
        <v>372</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373</v>
      </c>
    </row>
    <row r="35" spans="1:8" ht="20.100000000000001" customHeight="1" x14ac:dyDescent="0.25">
      <c r="A35"/>
      <c r="D35" s="5" t="s">
        <v>374</v>
      </c>
    </row>
    <row r="36" spans="1:8" ht="20.100000000000001" customHeight="1" x14ac:dyDescent="0.25">
      <c r="A36"/>
      <c r="D36" s="36" t="s">
        <v>21</v>
      </c>
      <c r="E36" s="36" t="s">
        <v>22</v>
      </c>
    </row>
    <row r="37" spans="1:8" ht="20.100000000000001" customHeight="1" x14ac:dyDescent="0.25">
      <c r="A37"/>
      <c r="D37" s="36" t="s">
        <v>375</v>
      </c>
      <c r="E37" s="36">
        <v>1</v>
      </c>
    </row>
    <row r="38" spans="1:8" ht="20.100000000000001" customHeight="1" x14ac:dyDescent="0.25">
      <c r="A38"/>
      <c r="D38" s="36" t="s">
        <v>376</v>
      </c>
      <c r="E38" s="36">
        <v>28</v>
      </c>
    </row>
    <row r="39" spans="1:8" ht="20.100000000000001" customHeight="1" x14ac:dyDescent="0.25">
      <c r="A39"/>
      <c r="D39" s="36" t="s">
        <v>377</v>
      </c>
      <c r="E39" s="36">
        <v>265</v>
      </c>
    </row>
    <row r="40" spans="1:8" ht="20.100000000000001" customHeight="1" x14ac:dyDescent="0.25">
      <c r="A40"/>
      <c r="D40" s="36" t="s">
        <v>378</v>
      </c>
      <c r="E40" s="36">
        <v>6630</v>
      </c>
    </row>
    <row r="41" spans="1:8" ht="20.100000000000001" customHeight="1" x14ac:dyDescent="0.25">
      <c r="A41"/>
      <c r="D41" s="36" t="s">
        <v>379</v>
      </c>
      <c r="E41" s="36">
        <v>12200</v>
      </c>
    </row>
    <row r="42" spans="1:8" ht="20.100000000000001" customHeight="1" x14ac:dyDescent="0.25">
      <c r="D42" s="36" t="s">
        <v>380</v>
      </c>
      <c r="E42" s="36">
        <v>22800</v>
      </c>
    </row>
    <row r="43" spans="1:8" ht="20.100000000000001" customHeight="1" x14ac:dyDescent="0.25">
      <c r="D43" s="36" t="s">
        <v>381</v>
      </c>
      <c r="E43" s="36">
        <v>17200</v>
      </c>
    </row>
    <row r="44" spans="1:8" ht="20.100000000000001" customHeight="1" x14ac:dyDescent="0.25"/>
    <row r="45" spans="1:8" ht="20.100000000000001" customHeight="1" x14ac:dyDescent="0.25">
      <c r="D45" s="6" t="s">
        <v>382</v>
      </c>
    </row>
    <row r="46" spans="1:8" ht="20.100000000000001" customHeight="1" x14ac:dyDescent="0.25">
      <c r="D46" s="5" t="s">
        <v>374</v>
      </c>
    </row>
    <row r="47" spans="1:8" ht="20.100000000000001" customHeight="1" x14ac:dyDescent="0.25">
      <c r="D47" s="36" t="s">
        <v>21</v>
      </c>
      <c r="E47" s="36" t="s">
        <v>24</v>
      </c>
      <c r="F47" s="36" t="s">
        <v>25</v>
      </c>
      <c r="G47" s="36" t="s">
        <v>26</v>
      </c>
      <c r="H47" s="36" t="s">
        <v>27</v>
      </c>
    </row>
    <row r="48" spans="1:8" ht="20.100000000000001" customHeight="1" x14ac:dyDescent="0.25">
      <c r="D48" s="36" t="s">
        <v>375</v>
      </c>
      <c r="E48" s="36" t="s">
        <v>383</v>
      </c>
      <c r="F48" s="36">
        <v>44</v>
      </c>
      <c r="G48" s="36">
        <v>12</v>
      </c>
      <c r="H48" s="36">
        <f>Table_GasToMolecularConversionFactor[[#This Row],[Conversion factor 1]]/Table_GasToMolecularConversionFactor[[#This Row],[Conversion factor 2]]</f>
        <v>3.6666666666666665</v>
      </c>
    </row>
    <row r="49" spans="4:8" ht="20.100000000000001" customHeight="1" x14ac:dyDescent="0.25">
      <c r="D49" s="36" t="s">
        <v>376</v>
      </c>
      <c r="E49" s="36" t="s">
        <v>384</v>
      </c>
      <c r="F49" s="36">
        <v>16</v>
      </c>
      <c r="G49" s="36">
        <v>12</v>
      </c>
      <c r="H49" s="36">
        <f>Table_GasToMolecularConversionFactor[[#This Row],[Conversion factor 1]]/Table_GasToMolecularConversionFactor[[#This Row],[Conversion factor 2]]</f>
        <v>1.3333333333333333</v>
      </c>
    </row>
    <row r="50" spans="4:8" ht="20.100000000000001" customHeight="1" x14ac:dyDescent="0.25">
      <c r="D50" s="36" t="s">
        <v>377</v>
      </c>
      <c r="E50" s="36" t="s">
        <v>385</v>
      </c>
      <c r="F50" s="36">
        <v>44</v>
      </c>
      <c r="G50" s="36">
        <v>28</v>
      </c>
      <c r="H50" s="36">
        <f>Table_GasToMolecularConversionFactor[[#This Row],[Conversion factor 1]]/Table_GasToMolecularConversionFactor[[#This Row],[Conversion factor 2]]</f>
        <v>1.5714285714285714</v>
      </c>
    </row>
    <row r="51" spans="4:8" ht="20.100000000000001" customHeight="1" x14ac:dyDescent="0.25">
      <c r="D51" s="36" t="s">
        <v>386</v>
      </c>
      <c r="E51" s="36" t="s">
        <v>387</v>
      </c>
      <c r="F51" s="36">
        <v>46</v>
      </c>
      <c r="G51" s="36">
        <v>14</v>
      </c>
      <c r="H51" s="36">
        <f>Table_GasToMolecularConversionFactor[[#This Row],[Conversion factor 1]]/Table_GasToMolecularConversionFactor[[#This Row],[Conversion factor 2]]</f>
        <v>3.2857142857142856</v>
      </c>
    </row>
    <row r="52" spans="4:8" ht="20.100000000000001" customHeight="1" x14ac:dyDescent="0.25">
      <c r="D52" s="36" t="s">
        <v>388</v>
      </c>
      <c r="E52" s="36" t="s">
        <v>389</v>
      </c>
      <c r="F52" s="36">
        <v>28</v>
      </c>
      <c r="G52" s="36">
        <v>12</v>
      </c>
      <c r="H52" s="36">
        <f>Table_GasToMolecularConversionFactor[[#This Row],[Conversion factor 1]]/Table_GasToMolecularConversionFactor[[#This Row],[Conversion factor 2]]</f>
        <v>2.3333333333333335</v>
      </c>
    </row>
    <row r="53" spans="4:8" ht="20.100000000000001" customHeight="1" x14ac:dyDescent="0.25">
      <c r="D53" s="36" t="s">
        <v>390</v>
      </c>
      <c r="E53" s="36" t="s">
        <v>383</v>
      </c>
      <c r="F53" s="36">
        <v>44</v>
      </c>
      <c r="G53" s="36">
        <v>12</v>
      </c>
      <c r="H53" s="36">
        <f>Table_GasToMolecularConversionFactor[[#This Row],[Conversion factor 1]]/Table_GasToMolecularConversionFactor[[#This Row],[Conversion factor 2]]</f>
        <v>3.6666666666666665</v>
      </c>
    </row>
    <row r="54" spans="4:8" ht="20.100000000000001" customHeight="1" x14ac:dyDescent="0.25">
      <c r="D54" s="36" t="s">
        <v>391</v>
      </c>
      <c r="E54" s="36" t="s">
        <v>392</v>
      </c>
      <c r="F54" s="36">
        <v>14</v>
      </c>
      <c r="G54" s="36">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393</v>
      </c>
    </row>
    <row r="58" spans="4:8" ht="20.100000000000001" customHeight="1" x14ac:dyDescent="0.25">
      <c r="D58" s="5" t="s">
        <v>394</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7</v>
      </c>
      <c r="E63" s="36" t="s">
        <v>41</v>
      </c>
    </row>
    <row r="64" spans="4:8" ht="20.100000000000001" customHeight="1" x14ac:dyDescent="0.25">
      <c r="D64" s="36" t="s">
        <v>395</v>
      </c>
      <c r="E64" s="36" t="s">
        <v>396</v>
      </c>
    </row>
    <row r="65" spans="4:5" ht="20.100000000000001" customHeight="1" x14ac:dyDescent="0.25">
      <c r="D65" s="36" t="s">
        <v>397</v>
      </c>
      <c r="E65" s="36" t="s">
        <v>396</v>
      </c>
    </row>
    <row r="66" spans="4:5" ht="20.100000000000001" customHeight="1" x14ac:dyDescent="0.25">
      <c r="D66" s="36" t="s">
        <v>398</v>
      </c>
      <c r="E66" s="36" t="s">
        <v>396</v>
      </c>
    </row>
    <row r="67" spans="4:5" ht="20.100000000000001" customHeight="1" x14ac:dyDescent="0.25">
      <c r="D67" s="36" t="s">
        <v>399</v>
      </c>
      <c r="E67" s="36" t="s">
        <v>400</v>
      </c>
    </row>
    <row r="68" spans="4:5" ht="20.100000000000001" customHeight="1" x14ac:dyDescent="0.25">
      <c r="D68" s="36" t="s">
        <v>401</v>
      </c>
      <c r="E68" s="36" t="s">
        <v>396</v>
      </c>
    </row>
    <row r="69" spans="4:5" ht="20.100000000000001" customHeight="1" x14ac:dyDescent="0.25">
      <c r="D69" s="36" t="s">
        <v>402</v>
      </c>
      <c r="E69" s="36" t="s">
        <v>400</v>
      </c>
    </row>
    <row r="70" spans="4:5" ht="20.100000000000001" customHeight="1" x14ac:dyDescent="0.25">
      <c r="D70" s="36" t="s">
        <v>403</v>
      </c>
      <c r="E70" s="36" t="s">
        <v>396</v>
      </c>
    </row>
    <row r="71" spans="4:5" ht="20.100000000000001" customHeight="1" x14ac:dyDescent="0.25">
      <c r="D71" s="36" t="s">
        <v>404</v>
      </c>
      <c r="E71" s="36" t="s">
        <v>400</v>
      </c>
    </row>
    <row r="72" spans="4:5" ht="20.100000000000001" customHeight="1" x14ac:dyDescent="0.25">
      <c r="D72" s="36" t="s">
        <v>405</v>
      </c>
      <c r="E72" s="36" t="s">
        <v>396</v>
      </c>
    </row>
    <row r="73" spans="4:5" ht="20.100000000000001" customHeight="1" x14ac:dyDescent="0.25">
      <c r="D73" s="36" t="s">
        <v>406</v>
      </c>
      <c r="E73" s="36" t="s">
        <v>400</v>
      </c>
    </row>
    <row r="74" spans="4:5" ht="20.100000000000001" customHeight="1" x14ac:dyDescent="0.25">
      <c r="D74" s="36" t="s">
        <v>407</v>
      </c>
      <c r="E74" s="36" t="s">
        <v>396</v>
      </c>
    </row>
    <row r="75" spans="4:5" ht="20.100000000000001" customHeight="1" x14ac:dyDescent="0.25">
      <c r="D75" s="36" t="s">
        <v>408</v>
      </c>
      <c r="E75" s="36" t="s">
        <v>400</v>
      </c>
    </row>
    <row r="76" spans="4:5" ht="20.100000000000001" customHeight="1" x14ac:dyDescent="0.25">
      <c r="D76" s="36" t="s">
        <v>409</v>
      </c>
      <c r="E76" s="36" t="s">
        <v>396</v>
      </c>
    </row>
    <row r="77" spans="4:5" ht="20.100000000000001" customHeight="1" x14ac:dyDescent="0.25">
      <c r="D77" s="36" t="s">
        <v>410</v>
      </c>
      <c r="E77" s="36" t="s">
        <v>400</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411</v>
      </c>
    </row>
    <row r="82" spans="4:20" ht="20.100000000000001" customHeight="1" x14ac:dyDescent="0.25">
      <c r="D82" s="5" t="s">
        <v>412</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7</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
        <v>395</v>
      </c>
      <c r="E90" s="36" t="s">
        <v>413</v>
      </c>
      <c r="F90" s="36" t="s">
        <v>414</v>
      </c>
      <c r="G90" s="36" t="s">
        <v>415</v>
      </c>
      <c r="H90" s="36" t="s">
        <v>416</v>
      </c>
      <c r="I90" s="36" t="s">
        <v>414</v>
      </c>
      <c r="J90" s="36">
        <v>18.001000000000001</v>
      </c>
      <c r="K90" s="36">
        <v>999999</v>
      </c>
      <c r="L90" s="36">
        <v>-999999</v>
      </c>
      <c r="M90" s="36">
        <v>999999</v>
      </c>
      <c r="N90" s="36">
        <v>-999999</v>
      </c>
      <c r="O90" s="36">
        <v>7</v>
      </c>
      <c r="P90" s="36">
        <v>1000</v>
      </c>
      <c r="Q90" s="36">
        <v>999999</v>
      </c>
      <c r="R90" s="36">
        <v>-999999</v>
      </c>
      <c r="S90" s="36">
        <v>999999</v>
      </c>
      <c r="T90" s="36"/>
    </row>
    <row r="91" spans="4:20" ht="20.100000000000001" customHeight="1" x14ac:dyDescent="0.25">
      <c r="D91" s="36" t="s">
        <v>397</v>
      </c>
      <c r="E91" s="36" t="s">
        <v>413</v>
      </c>
      <c r="F91" s="36" t="s">
        <v>417</v>
      </c>
      <c r="G91" s="36" t="s">
        <v>415</v>
      </c>
      <c r="H91" s="36" t="s">
        <v>418</v>
      </c>
      <c r="I91" s="36" t="s">
        <v>414</v>
      </c>
      <c r="J91" s="36">
        <v>18.001000000000001</v>
      </c>
      <c r="K91" s="36">
        <v>999999</v>
      </c>
      <c r="L91" s="36">
        <v>2000.001</v>
      </c>
      <c r="M91" s="36">
        <v>999999</v>
      </c>
      <c r="N91" s="36">
        <v>-999999</v>
      </c>
      <c r="O91" s="36">
        <v>7</v>
      </c>
      <c r="P91" s="36">
        <v>-999999</v>
      </c>
      <c r="Q91" s="36">
        <v>999.99900000000002</v>
      </c>
      <c r="R91" s="36">
        <v>-999999</v>
      </c>
      <c r="S91" s="36">
        <v>999999</v>
      </c>
      <c r="T91" s="36"/>
    </row>
    <row r="92" spans="4:20" ht="20.100000000000001" customHeight="1" x14ac:dyDescent="0.25">
      <c r="D92" s="36" t="s">
        <v>398</v>
      </c>
      <c r="E92" s="36" t="s">
        <v>413</v>
      </c>
      <c r="F92" s="36" t="s">
        <v>419</v>
      </c>
      <c r="G92" s="36" t="s">
        <v>415</v>
      </c>
      <c r="H92" s="36" t="s">
        <v>418</v>
      </c>
      <c r="I92" s="36" t="s">
        <v>414</v>
      </c>
      <c r="J92" s="36">
        <v>18.001000000000001</v>
      </c>
      <c r="K92" s="36">
        <v>999999</v>
      </c>
      <c r="L92" s="36">
        <v>1000.001</v>
      </c>
      <c r="M92" s="36">
        <v>2000</v>
      </c>
      <c r="N92" s="36">
        <v>-999999</v>
      </c>
      <c r="O92" s="36">
        <v>7</v>
      </c>
      <c r="P92" s="36">
        <v>-999999</v>
      </c>
      <c r="Q92" s="36">
        <v>999.99900000000002</v>
      </c>
      <c r="R92" s="36">
        <v>-999999</v>
      </c>
      <c r="S92" s="36">
        <v>999999</v>
      </c>
      <c r="T92" s="36"/>
    </row>
    <row r="93" spans="4:20" ht="20.100000000000001" customHeight="1" x14ac:dyDescent="0.25">
      <c r="D93" s="36" t="s">
        <v>399</v>
      </c>
      <c r="E93" s="36" t="s">
        <v>413</v>
      </c>
      <c r="F93" s="36" t="s">
        <v>420</v>
      </c>
      <c r="G93" s="36" t="s">
        <v>415</v>
      </c>
      <c r="H93" s="36" t="s">
        <v>418</v>
      </c>
      <c r="I93" s="36" t="s">
        <v>414</v>
      </c>
      <c r="J93" s="36">
        <v>18.001000000000001</v>
      </c>
      <c r="K93" s="36">
        <v>999999</v>
      </c>
      <c r="L93" s="36">
        <v>-999999</v>
      </c>
      <c r="M93" s="36">
        <v>1000</v>
      </c>
      <c r="N93" s="36">
        <v>-999999</v>
      </c>
      <c r="O93" s="36">
        <v>7</v>
      </c>
      <c r="P93" s="36">
        <v>-999999</v>
      </c>
      <c r="Q93" s="36">
        <v>999.99900000000002</v>
      </c>
      <c r="R93" s="36">
        <v>-999999</v>
      </c>
      <c r="S93" s="36">
        <v>999999</v>
      </c>
      <c r="T93" s="36"/>
    </row>
    <row r="94" spans="4:20" ht="20.100000000000001" customHeight="1" x14ac:dyDescent="0.25">
      <c r="D94" s="36" t="s">
        <v>401</v>
      </c>
      <c r="E94" s="36" t="s">
        <v>421</v>
      </c>
      <c r="F94" s="36" t="s">
        <v>414</v>
      </c>
      <c r="G94" s="36" t="s">
        <v>414</v>
      </c>
      <c r="H94" s="36" t="s">
        <v>414</v>
      </c>
      <c r="I94" s="36" t="s">
        <v>422</v>
      </c>
      <c r="J94" s="36">
        <v>10.000999999999999</v>
      </c>
      <c r="K94" s="36">
        <v>999999</v>
      </c>
      <c r="L94" s="36">
        <v>-999999</v>
      </c>
      <c r="M94" s="36">
        <v>999999</v>
      </c>
      <c r="N94" s="36">
        <v>-999999</v>
      </c>
      <c r="O94" s="36">
        <v>999999</v>
      </c>
      <c r="P94" s="36">
        <v>-999999</v>
      </c>
      <c r="Q94" s="36">
        <v>999999</v>
      </c>
      <c r="R94" s="36">
        <v>1.0009999999999999</v>
      </c>
      <c r="S94" s="36">
        <v>999999</v>
      </c>
      <c r="T94" s="36"/>
    </row>
    <row r="95" spans="4:20" ht="20.100000000000001" customHeight="1" x14ac:dyDescent="0.25">
      <c r="D95" s="36" t="s">
        <v>402</v>
      </c>
      <c r="E95" s="36" t="s">
        <v>421</v>
      </c>
      <c r="F95" s="36" t="s">
        <v>414</v>
      </c>
      <c r="G95" s="36" t="s">
        <v>414</v>
      </c>
      <c r="H95" s="36" t="s">
        <v>414</v>
      </c>
      <c r="I95" s="36" t="s">
        <v>423</v>
      </c>
      <c r="J95" s="36">
        <v>10.000999999999999</v>
      </c>
      <c r="K95" s="36">
        <v>999999</v>
      </c>
      <c r="L95" s="36">
        <v>-999999</v>
      </c>
      <c r="M95" s="36">
        <v>999999</v>
      </c>
      <c r="N95" s="36">
        <v>-999999</v>
      </c>
      <c r="O95" s="36">
        <v>999999</v>
      </c>
      <c r="P95" s="36">
        <v>-999999</v>
      </c>
      <c r="Q95" s="36">
        <v>999999</v>
      </c>
      <c r="R95" s="36">
        <v>-999999</v>
      </c>
      <c r="S95" s="36">
        <v>1</v>
      </c>
      <c r="T95" s="36"/>
    </row>
    <row r="96" spans="4:20" ht="20.100000000000001" customHeight="1" x14ac:dyDescent="0.25">
      <c r="D96" s="36" t="s">
        <v>403</v>
      </c>
      <c r="E96" s="36" t="s">
        <v>424</v>
      </c>
      <c r="F96" s="36" t="s">
        <v>414</v>
      </c>
      <c r="G96" s="36" t="s">
        <v>414</v>
      </c>
      <c r="H96" s="36" t="s">
        <v>414</v>
      </c>
      <c r="I96" s="36" t="s">
        <v>422</v>
      </c>
      <c r="J96" s="36">
        <v>-999999</v>
      </c>
      <c r="K96" s="36">
        <v>10</v>
      </c>
      <c r="L96" s="36">
        <v>-999999</v>
      </c>
      <c r="M96" s="36">
        <v>999999</v>
      </c>
      <c r="N96" s="36">
        <v>-999999</v>
      </c>
      <c r="O96" s="36">
        <v>999999</v>
      </c>
      <c r="P96" s="36">
        <v>-999999</v>
      </c>
      <c r="Q96" s="36">
        <v>999999</v>
      </c>
      <c r="R96" s="36">
        <v>1.0009999999999999</v>
      </c>
      <c r="S96" s="36">
        <v>999999</v>
      </c>
      <c r="T96" s="36"/>
    </row>
    <row r="97" spans="4:20" ht="20.100000000000001" customHeight="1" x14ac:dyDescent="0.25">
      <c r="D97" s="36" t="s">
        <v>404</v>
      </c>
      <c r="E97" s="36" t="s">
        <v>424</v>
      </c>
      <c r="F97" s="36" t="s">
        <v>414</v>
      </c>
      <c r="G97" s="36" t="s">
        <v>414</v>
      </c>
      <c r="H97" s="36" t="s">
        <v>414</v>
      </c>
      <c r="I97" s="36" t="s">
        <v>423</v>
      </c>
      <c r="J97" s="36">
        <v>-999999</v>
      </c>
      <c r="K97" s="36">
        <v>10</v>
      </c>
      <c r="L97" s="36">
        <v>-999999</v>
      </c>
      <c r="M97" s="36">
        <v>999999</v>
      </c>
      <c r="N97" s="36">
        <v>-999999</v>
      </c>
      <c r="O97" s="36">
        <v>999999</v>
      </c>
      <c r="P97" s="36">
        <v>-999999</v>
      </c>
      <c r="Q97" s="36">
        <v>999999</v>
      </c>
      <c r="R97" s="36">
        <v>-999999</v>
      </c>
      <c r="S97" s="36">
        <v>1</v>
      </c>
      <c r="T97" s="36"/>
    </row>
    <row r="98" spans="4:20" ht="20.100000000000001" customHeight="1" x14ac:dyDescent="0.25"/>
    <row r="99" spans="4:20" ht="20.100000000000001" customHeight="1" x14ac:dyDescent="0.25">
      <c r="D99" s="53" t="s">
        <v>425</v>
      </c>
    </row>
    <row r="100" spans="4:20" ht="20.100000000000001" customHeight="1" x14ac:dyDescent="0.25">
      <c r="D100" s="53" t="s">
        <v>426</v>
      </c>
    </row>
    <row r="101" spans="4:20" ht="20.100000000000001" customHeight="1" x14ac:dyDescent="0.25">
      <c r="D101" s="53" t="s">
        <v>427</v>
      </c>
    </row>
    <row r="102" spans="4:20" ht="20.100000000000001" customHeight="1" x14ac:dyDescent="0.25">
      <c r="D102" s="53" t="s">
        <v>428</v>
      </c>
    </row>
    <row r="103" spans="4:20" ht="20.100000000000001" customHeight="1" x14ac:dyDescent="0.25">
      <c r="D103" s="53"/>
    </row>
    <row r="104" spans="4:20" ht="20.100000000000001" customHeight="1" x14ac:dyDescent="0.25"/>
    <row r="105" spans="4:20" ht="20.100000000000001" customHeight="1" x14ac:dyDescent="0.25">
      <c r="D105" s="6" t="s">
        <v>429</v>
      </c>
    </row>
    <row r="106" spans="4:20" ht="20.100000000000001" customHeight="1" x14ac:dyDescent="0.25">
      <c r="D106" s="5" t="s">
        <v>412</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
        <v>430</v>
      </c>
      <c r="E110" s="36" t="s">
        <v>431</v>
      </c>
      <c r="F110" s="36">
        <v>26</v>
      </c>
      <c r="G110" s="36">
        <v>999999</v>
      </c>
    </row>
    <row r="111" spans="4:20" ht="20.100000000000001" customHeight="1" x14ac:dyDescent="0.25">
      <c r="D111" s="36" t="s">
        <v>432</v>
      </c>
      <c r="E111" s="36" t="s">
        <v>433</v>
      </c>
      <c r="F111" s="36">
        <v>15</v>
      </c>
      <c r="G111" s="36">
        <v>25.998999999999999</v>
      </c>
    </row>
    <row r="112" spans="4:20" ht="20.100000000000001" customHeight="1" x14ac:dyDescent="0.25">
      <c r="D112" s="36" t="s">
        <v>434</v>
      </c>
      <c r="E112" s="36" t="s">
        <v>435</v>
      </c>
      <c r="F112" s="36">
        <v>-999999</v>
      </c>
      <c r="G112" s="36">
        <v>14.999000000000001</v>
      </c>
    </row>
    <row r="113" spans="4:66" ht="20.100000000000001" customHeight="1" x14ac:dyDescent="0.25"/>
    <row r="114" spans="4:66" ht="20.100000000000001" customHeight="1" x14ac:dyDescent="0.25"/>
    <row r="115" spans="4:66" ht="20.100000000000001" customHeight="1" x14ac:dyDescent="0.25">
      <c r="D115" s="6" t="s">
        <v>436</v>
      </c>
      <c r="BN115" s="7"/>
    </row>
    <row r="116" spans="4:66" ht="20.100000000000001" customHeight="1" x14ac:dyDescent="0.25">
      <c r="D116" s="5" t="s">
        <v>412</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
        <v>437</v>
      </c>
      <c r="E120" s="36" t="s">
        <v>438</v>
      </c>
      <c r="F120" s="36">
        <v>600.00099999999998</v>
      </c>
      <c r="G120" s="36">
        <v>999999</v>
      </c>
      <c r="BN120" s="7"/>
    </row>
    <row r="121" spans="4:66" ht="20.100000000000001" customHeight="1" x14ac:dyDescent="0.25">
      <c r="D121" s="36" t="s">
        <v>439</v>
      </c>
      <c r="E121" s="36" t="s">
        <v>440</v>
      </c>
      <c r="F121" s="36">
        <v>-999999</v>
      </c>
      <c r="G121" s="36">
        <v>600</v>
      </c>
      <c r="BN121" s="7"/>
    </row>
    <row r="122" spans="4:66" ht="20.100000000000001" customHeight="1" x14ac:dyDescent="0.25">
      <c r="BN122" s="7"/>
    </row>
    <row r="123" spans="4:66" ht="20.100000000000001" customHeight="1" x14ac:dyDescent="0.25"/>
    <row r="124" spans="4:66" ht="20.100000000000001" customHeight="1" x14ac:dyDescent="0.25">
      <c r="D124" s="6" t="s">
        <v>441</v>
      </c>
    </row>
    <row r="125" spans="4:66" ht="20.100000000000001" customHeight="1" x14ac:dyDescent="0.25">
      <c r="D125" s="5" t="s">
        <v>412</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
        <v>442</v>
      </c>
      <c r="E128" s="36" t="s">
        <v>443</v>
      </c>
    </row>
    <row r="129" spans="4:77" ht="20.100000000000001" customHeight="1" x14ac:dyDescent="0.25">
      <c r="D129" s="36" t="s">
        <v>444</v>
      </c>
      <c r="E129" s="36" t="s">
        <v>445</v>
      </c>
    </row>
    <row r="130" spans="4:77" ht="20.100000000000001" customHeight="1" x14ac:dyDescent="0.25"/>
    <row r="131" spans="4:77" ht="20.100000000000001" customHeight="1" x14ac:dyDescent="0.25"/>
    <row r="132" spans="4:77" ht="20.100000000000001" customHeight="1" x14ac:dyDescent="0.25">
      <c r="D132" s="6" t="s">
        <v>446</v>
      </c>
      <c r="E132" s="22"/>
    </row>
    <row r="133" spans="4:77" ht="20.100000000000001" customHeight="1" x14ac:dyDescent="0.25">
      <c r="D133" s="5" t="s">
        <v>447</v>
      </c>
      <c r="E133" s="22"/>
    </row>
    <row r="134" spans="4:77" ht="20.100000000000001" customHeight="1" x14ac:dyDescent="0.25">
      <c r="D134" t="s">
        <v>75</v>
      </c>
      <c r="E134" t="s">
        <v>76</v>
      </c>
    </row>
    <row r="135" spans="4:77" ht="20.100000000000001" customHeight="1" x14ac:dyDescent="0.25">
      <c r="D135" t="s">
        <v>448</v>
      </c>
      <c r="E135">
        <v>1</v>
      </c>
    </row>
    <row r="136" spans="4:77" ht="20.100000000000001" customHeight="1" x14ac:dyDescent="0.25">
      <c r="D136" s="1" t="s">
        <v>449</v>
      </c>
      <c r="E136" s="36">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450</v>
      </c>
      <c r="BN139" s="7"/>
      <c r="BO139" s="7"/>
      <c r="BP139" s="7"/>
      <c r="BQ139" s="7"/>
      <c r="BR139" s="7"/>
      <c r="BS139" s="7"/>
      <c r="BT139" s="7"/>
      <c r="BU139" s="7"/>
      <c r="BV139" s="7"/>
      <c r="BW139" s="7"/>
      <c r="BX139" s="7"/>
      <c r="BY139" s="7"/>
    </row>
    <row r="140" spans="4:77" ht="20.100000000000001" customHeight="1" x14ac:dyDescent="0.25">
      <c r="D140" s="5" t="s">
        <v>451</v>
      </c>
      <c r="BN140" s="7"/>
      <c r="BO140" s="7"/>
      <c r="BP140" s="7"/>
      <c r="BQ140" s="7"/>
      <c r="BR140" s="7"/>
      <c r="BS140" s="7"/>
      <c r="BT140" s="7"/>
      <c r="BU140" s="7"/>
      <c r="BV140" s="7"/>
      <c r="BW140" s="7"/>
      <c r="BX140" s="7"/>
      <c r="BY140" s="7"/>
    </row>
    <row r="141" spans="4:77" ht="20.100000000000001" customHeight="1" x14ac:dyDescent="0.25">
      <c r="D141" s="54" t="s">
        <v>452</v>
      </c>
      <c r="BN141" s="7"/>
    </row>
    <row r="142" spans="4:77" ht="20.100000000000001" customHeight="1" x14ac:dyDescent="0.25">
      <c r="D142" s="36" t="s">
        <v>118</v>
      </c>
      <c r="E142" s="36" t="s">
        <v>76</v>
      </c>
      <c r="BN142" s="7"/>
    </row>
    <row r="143" spans="4:77" ht="20.100000000000001" customHeight="1" x14ac:dyDescent="0.25">
      <c r="D143" s="36" t="s">
        <v>93</v>
      </c>
      <c r="E143" s="36">
        <v>0</v>
      </c>
      <c r="BN143" s="7"/>
    </row>
    <row r="144" spans="4:77" ht="20.100000000000001" customHeight="1" x14ac:dyDescent="0.25">
      <c r="D144" s="1" t="s">
        <v>94</v>
      </c>
      <c r="E144" s="36">
        <v>0</v>
      </c>
      <c r="BN144" s="7"/>
    </row>
    <row r="145" spans="4:66" ht="20.100000000000001" customHeight="1" x14ac:dyDescent="0.25">
      <c r="D145" s="1" t="s">
        <v>95</v>
      </c>
      <c r="E145" s="36">
        <v>1</v>
      </c>
      <c r="BN145" s="7"/>
    </row>
    <row r="146" spans="4:66" ht="20.100000000000001" customHeight="1" x14ac:dyDescent="0.25">
      <c r="D146" s="1" t="s">
        <v>96</v>
      </c>
      <c r="E146" s="36">
        <v>1</v>
      </c>
      <c r="BN146" s="7"/>
    </row>
    <row r="147" spans="4:66" ht="20.100000000000001" customHeight="1" x14ac:dyDescent="0.25">
      <c r="D147" s="1" t="s">
        <v>97</v>
      </c>
      <c r="E147" s="36">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453</v>
      </c>
      <c r="BN150" s="7"/>
    </row>
    <row r="151" spans="4:66" ht="20.100000000000001" customHeight="1" x14ac:dyDescent="0.25">
      <c r="D151" s="5" t="s">
        <v>454</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
        <v>455</v>
      </c>
      <c r="E154" s="36">
        <v>1</v>
      </c>
      <c r="BC154" s="3"/>
      <c r="BD154" s="3"/>
      <c r="BE154" s="3"/>
      <c r="BF154" s="3"/>
      <c r="BG154" s="3"/>
      <c r="BH154" s="3"/>
      <c r="BI154" s="3"/>
      <c r="BJ154" s="3"/>
      <c r="BK154" s="3"/>
      <c r="BL154" s="3"/>
      <c r="BM154" s="3"/>
    </row>
    <row r="155" spans="4:66" ht="20.100000000000001" customHeight="1" x14ac:dyDescent="0.25">
      <c r="D155" s="36" t="s">
        <v>456</v>
      </c>
      <c r="E155" s="36">
        <v>2</v>
      </c>
      <c r="BC155" s="3"/>
      <c r="BD155" s="3"/>
      <c r="BE155" s="3"/>
      <c r="BF155" s="3"/>
      <c r="BG155" s="3"/>
      <c r="BH155" s="3"/>
      <c r="BI155" s="3"/>
      <c r="BJ155" s="3"/>
      <c r="BK155" s="3"/>
      <c r="BL155" s="3"/>
      <c r="BM155" s="3"/>
    </row>
    <row r="156" spans="4:66" ht="20.100000000000001" customHeight="1" x14ac:dyDescent="0.25">
      <c r="D156" s="36" t="s">
        <v>457</v>
      </c>
      <c r="E156" s="36">
        <v>3</v>
      </c>
    </row>
    <row r="157" spans="4:66" ht="20.100000000000001" customHeight="1" x14ac:dyDescent="0.25">
      <c r="D157" s="36" t="s">
        <v>458</v>
      </c>
      <c r="E157" s="36">
        <v>4</v>
      </c>
    </row>
    <row r="158" spans="4:66" ht="20.100000000000001" customHeight="1" x14ac:dyDescent="0.25">
      <c r="D158" s="36" t="s">
        <v>459</v>
      </c>
      <c r="E158" s="36">
        <v>5</v>
      </c>
    </row>
    <row r="159" spans="4:66" ht="20.100000000000001" customHeight="1" x14ac:dyDescent="0.25"/>
    <row r="160" spans="4:66" ht="20.100000000000001" customHeight="1" x14ac:dyDescent="0.25"/>
    <row r="161" spans="4:68" ht="20.100000000000001" customHeight="1" x14ac:dyDescent="0.25">
      <c r="D161" s="6" t="s">
        <v>446</v>
      </c>
      <c r="E161" s="22"/>
    </row>
    <row r="162" spans="4:68" ht="20.100000000000001" customHeight="1" x14ac:dyDescent="0.25">
      <c r="D162" s="5" t="s">
        <v>447</v>
      </c>
      <c r="E162" s="22"/>
    </row>
    <row r="163" spans="4:68" ht="20.100000000000001" customHeight="1" x14ac:dyDescent="0.25">
      <c r="D163" s="5" t="s">
        <v>460</v>
      </c>
      <c r="E163" s="22"/>
    </row>
    <row r="164" spans="4:68" ht="20.100000000000001" customHeight="1" x14ac:dyDescent="0.25">
      <c r="D164" s="22" t="s">
        <v>357</v>
      </c>
      <c r="E164" s="22"/>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461</v>
      </c>
      <c r="BN167" s="7"/>
      <c r="BO167" s="7"/>
      <c r="BP167" s="7"/>
    </row>
    <row r="168" spans="4:68" ht="20.100000000000001" customHeight="1" x14ac:dyDescent="0.25">
      <c r="D168" s="5" t="s">
        <v>447</v>
      </c>
      <c r="BN168" s="7"/>
      <c r="BO168" s="7"/>
      <c r="BP168" s="7"/>
    </row>
    <row r="169" spans="4:68" ht="20.100000000000001" customHeight="1" x14ac:dyDescent="0.25">
      <c r="D169" s="5" t="s">
        <v>462</v>
      </c>
      <c r="BN169" s="7"/>
      <c r="BO169" s="7"/>
      <c r="BP169" s="7"/>
    </row>
    <row r="170" spans="4:68" ht="20.100000000000001" customHeight="1" x14ac:dyDescent="0.25">
      <c r="D170" s="1" t="s">
        <v>463</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464</v>
      </c>
      <c r="BN173" s="7"/>
      <c r="BO173" s="7"/>
      <c r="BP173" s="7"/>
    </row>
    <row r="174" spans="4:68" ht="20.100000000000001" customHeight="1" x14ac:dyDescent="0.25">
      <c r="D174" s="5" t="s">
        <v>465</v>
      </c>
      <c r="BN174" s="7"/>
      <c r="BO174" s="7"/>
      <c r="BP174" s="7"/>
    </row>
    <row r="175" spans="4:68" ht="20.100000000000001" customHeight="1" x14ac:dyDescent="0.25">
      <c r="D175" s="1">
        <v>0.6784</v>
      </c>
      <c r="E175" s="53" t="s">
        <v>466</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467</v>
      </c>
      <c r="BN178" s="7"/>
      <c r="BO178" s="7"/>
      <c r="BP178" s="7"/>
    </row>
    <row r="179" spans="4:68" ht="20.100000000000001" customHeight="1" x14ac:dyDescent="0.25">
      <c r="D179" s="5" t="s">
        <v>468</v>
      </c>
      <c r="BN179" s="7"/>
      <c r="BO179" s="7"/>
      <c r="BP179" s="7"/>
    </row>
    <row r="180" spans="4:68" ht="20.100000000000001" customHeight="1" x14ac:dyDescent="0.25">
      <c r="D180" s="53" t="s">
        <v>469</v>
      </c>
    </row>
    <row r="181" spans="4:68" ht="20.100000000000001" customHeight="1" x14ac:dyDescent="0.25">
      <c r="D181" s="54" t="s">
        <v>470</v>
      </c>
    </row>
    <row r="182" spans="4:68" ht="20.100000000000001" customHeight="1" x14ac:dyDescent="0.25">
      <c r="D182" s="54" t="s">
        <v>471</v>
      </c>
    </row>
    <row r="183" spans="4:68" ht="20.100000000000001" customHeight="1" x14ac:dyDescent="0.25">
      <c r="D183" s="54" t="s">
        <v>472</v>
      </c>
    </row>
    <row r="184" spans="4:68" ht="20.100000000000001" customHeight="1" x14ac:dyDescent="0.25">
      <c r="D184" s="54" t="s">
        <v>473</v>
      </c>
    </row>
    <row r="185" spans="4:68" ht="20.100000000000001" customHeight="1" x14ac:dyDescent="0.25">
      <c r="D185" s="54" t="s">
        <v>474</v>
      </c>
    </row>
    <row r="186" spans="4:68" ht="20.100000000000001" customHeight="1" x14ac:dyDescent="0.25">
      <c r="D186" s="36" t="s">
        <v>87</v>
      </c>
      <c r="E186" s="36" t="s">
        <v>88</v>
      </c>
      <c r="F186" s="36" t="s">
        <v>89</v>
      </c>
      <c r="G186" s="36" t="s">
        <v>90</v>
      </c>
      <c r="H186" s="36" t="s">
        <v>28</v>
      </c>
    </row>
    <row r="187" spans="4:68" ht="20.100000000000001" customHeight="1" x14ac:dyDescent="0.25">
      <c r="D187" s="36" t="s">
        <v>475</v>
      </c>
      <c r="E187" s="36">
        <v>5.8999999999999999E-3</v>
      </c>
      <c r="F187" s="36" t="s">
        <v>235</v>
      </c>
      <c r="G187" s="36" t="s">
        <v>414</v>
      </c>
      <c r="H187" s="36" t="s">
        <v>414</v>
      </c>
    </row>
    <row r="188" spans="4:68" ht="20.100000000000001" customHeight="1" x14ac:dyDescent="0.25">
      <c r="D188" s="36" t="s">
        <v>476</v>
      </c>
      <c r="E188" s="36">
        <v>7.0000000000000001E-3</v>
      </c>
      <c r="F188" s="36" t="s">
        <v>477</v>
      </c>
      <c r="G188" s="36" t="s">
        <v>414</v>
      </c>
      <c r="H188" s="36" t="s">
        <v>414</v>
      </c>
    </row>
    <row r="189" spans="4:68" ht="20.100000000000001" customHeight="1" x14ac:dyDescent="0.25">
      <c r="D189" s="36" t="s">
        <v>478</v>
      </c>
      <c r="E189" s="36">
        <v>1.8E-3</v>
      </c>
      <c r="F189" s="36" t="s">
        <v>235</v>
      </c>
      <c r="G189" s="36" t="s">
        <v>93</v>
      </c>
      <c r="H189" s="36" t="s">
        <v>439</v>
      </c>
    </row>
    <row r="190" spans="4:68" ht="20.100000000000001" customHeight="1" x14ac:dyDescent="0.25">
      <c r="D190" s="36" t="s">
        <v>478</v>
      </c>
      <c r="E190" s="36">
        <v>1.8E-3</v>
      </c>
      <c r="F190" s="36" t="s">
        <v>235</v>
      </c>
      <c r="G190" s="36" t="s">
        <v>93</v>
      </c>
      <c r="H190" s="36" t="s">
        <v>437</v>
      </c>
    </row>
    <row r="191" spans="4:68" ht="20.100000000000001" customHeight="1" x14ac:dyDescent="0.25">
      <c r="D191" s="36" t="s">
        <v>479</v>
      </c>
      <c r="E191" s="36">
        <v>2.8999999999999998E-3</v>
      </c>
      <c r="F191" s="36" t="s">
        <v>477</v>
      </c>
      <c r="G191" s="36" t="s">
        <v>93</v>
      </c>
      <c r="H191" s="36" t="s">
        <v>439</v>
      </c>
    </row>
    <row r="192" spans="4:68" ht="20.100000000000001" customHeight="1" x14ac:dyDescent="0.25">
      <c r="D192" s="36" t="s">
        <v>480</v>
      </c>
      <c r="E192" s="36">
        <v>8.0000000000000002E-3</v>
      </c>
      <c r="F192" s="36" t="s">
        <v>477</v>
      </c>
      <c r="G192" s="36" t="s">
        <v>93</v>
      </c>
      <c r="H192" s="36" t="s">
        <v>437</v>
      </c>
    </row>
    <row r="193" spans="4:8" ht="20.100000000000001" customHeight="1" x14ac:dyDescent="0.25">
      <c r="D193" s="36" t="s">
        <v>481</v>
      </c>
      <c r="E193" s="36">
        <v>1.9900000000000001E-2</v>
      </c>
      <c r="F193" s="36" t="s">
        <v>481</v>
      </c>
      <c r="G193" s="36" t="s">
        <v>414</v>
      </c>
      <c r="H193" s="36" t="s">
        <v>414</v>
      </c>
    </row>
    <row r="194" spans="4:8" ht="20.100000000000001" customHeight="1" x14ac:dyDescent="0.25">
      <c r="D194" s="36" t="s">
        <v>482</v>
      </c>
      <c r="E194" s="36">
        <v>5.3E-3</v>
      </c>
      <c r="F194" s="36" t="s">
        <v>482</v>
      </c>
      <c r="G194" s="36" t="s">
        <v>414</v>
      </c>
      <c r="H194" s="36" t="s">
        <v>414</v>
      </c>
    </row>
    <row r="195" spans="4:8" ht="20.100000000000001" customHeight="1" x14ac:dyDescent="0.25">
      <c r="D195" s="36" t="s">
        <v>483</v>
      </c>
      <c r="E195" s="36">
        <v>6.4000000000000003E-3</v>
      </c>
      <c r="F195" s="36" t="s">
        <v>483</v>
      </c>
      <c r="G195" s="36" t="s">
        <v>414</v>
      </c>
      <c r="H195" s="36" t="s">
        <v>414</v>
      </c>
    </row>
    <row r="196" spans="4:8" ht="20.100000000000001" customHeight="1" x14ac:dyDescent="0.25">
      <c r="D196" s="36" t="s">
        <v>484</v>
      </c>
      <c r="E196" s="36">
        <v>3.0000000000000001E-3</v>
      </c>
      <c r="F196" s="36" t="s">
        <v>485</v>
      </c>
      <c r="G196" s="36" t="s">
        <v>486</v>
      </c>
      <c r="H196" s="36" t="s">
        <v>414</v>
      </c>
    </row>
    <row r="197" spans="4:8" x14ac:dyDescent="0.25">
      <c r="D197" s="36" t="s">
        <v>487</v>
      </c>
      <c r="E197" s="36">
        <v>5.0000000000000001E-3</v>
      </c>
      <c r="F197" s="36" t="s">
        <v>485</v>
      </c>
      <c r="G197" s="36" t="s">
        <v>488</v>
      </c>
      <c r="H197" s="36" t="s">
        <v>414</v>
      </c>
    </row>
    <row r="198" spans="4:8" x14ac:dyDescent="0.25">
      <c r="D198" s="36" t="s">
        <v>489</v>
      </c>
      <c r="E198" s="36">
        <v>2.5999999999999999E-3</v>
      </c>
      <c r="F198" s="36" t="s">
        <v>489</v>
      </c>
      <c r="G198" s="36" t="s">
        <v>414</v>
      </c>
      <c r="H198" s="36" t="s">
        <v>414</v>
      </c>
    </row>
    <row r="199" spans="4:8" x14ac:dyDescent="0.25">
      <c r="D199" s="36" t="s">
        <v>490</v>
      </c>
      <c r="E199" s="36">
        <v>1.8E-3</v>
      </c>
      <c r="F199" s="36" t="s">
        <v>490</v>
      </c>
      <c r="G199" s="36" t="s">
        <v>414</v>
      </c>
      <c r="H199" s="36" t="s">
        <v>414</v>
      </c>
    </row>
    <row r="202" spans="4:8" ht="23.25" x14ac:dyDescent="0.25">
      <c r="D202" s="6" t="s">
        <v>491</v>
      </c>
    </row>
    <row r="203" spans="4:8" x14ac:dyDescent="0.25">
      <c r="D203" s="5" t="s">
        <v>492</v>
      </c>
    </row>
    <row r="204" spans="4:8" x14ac:dyDescent="0.25">
      <c r="D204" s="54" t="s">
        <v>493</v>
      </c>
    </row>
    <row r="205" spans="4:8" x14ac:dyDescent="0.25">
      <c r="D205" s="53" t="s">
        <v>494</v>
      </c>
    </row>
    <row r="206" spans="4:8" x14ac:dyDescent="0.25">
      <c r="D206" s="36" t="s">
        <v>7</v>
      </c>
      <c r="E206" s="36" t="s">
        <v>120</v>
      </c>
    </row>
    <row r="207" spans="4:8" x14ac:dyDescent="0.25">
      <c r="D207" s="36" t="s">
        <v>396</v>
      </c>
      <c r="E207" s="36">
        <v>6.0000000000000001E-3</v>
      </c>
    </row>
    <row r="208" spans="4:8" x14ac:dyDescent="0.25">
      <c r="D208" s="1" t="s">
        <v>400</v>
      </c>
      <c r="E208" s="36">
        <v>2E-3</v>
      </c>
    </row>
    <row r="211" spans="4:5" x14ac:dyDescent="0.25">
      <c r="D211" s="1" t="s">
        <v>495</v>
      </c>
    </row>
    <row r="212" spans="4:5" x14ac:dyDescent="0.25">
      <c r="D212" s="36" t="s">
        <v>104</v>
      </c>
      <c r="E212" s="36" t="s">
        <v>145</v>
      </c>
    </row>
    <row r="213" spans="4:5" x14ac:dyDescent="0.25">
      <c r="D213" s="36" t="s">
        <v>496</v>
      </c>
      <c r="E213" s="36" t="s">
        <v>135</v>
      </c>
    </row>
    <row r="214" spans="4:5" x14ac:dyDescent="0.25">
      <c r="D214" s="1" t="s">
        <v>497</v>
      </c>
      <c r="E214" s="36" t="s">
        <v>135</v>
      </c>
    </row>
    <row r="215" spans="4:5" x14ac:dyDescent="0.25">
      <c r="D215" s="1" t="s">
        <v>498</v>
      </c>
      <c r="E215" s="36" t="s">
        <v>136</v>
      </c>
    </row>
    <row r="216" spans="4:5" x14ac:dyDescent="0.25">
      <c r="D216" s="1" t="s">
        <v>499</v>
      </c>
      <c r="E216" s="36" t="s">
        <v>136</v>
      </c>
    </row>
    <row r="217" spans="4:5" x14ac:dyDescent="0.25">
      <c r="D217" s="1" t="s">
        <v>500</v>
      </c>
      <c r="E217" s="36" t="s">
        <v>136</v>
      </c>
    </row>
    <row r="218" spans="4:5" x14ac:dyDescent="0.25">
      <c r="D218" s="1" t="s">
        <v>501</v>
      </c>
      <c r="E218" s="36" t="s">
        <v>137</v>
      </c>
    </row>
    <row r="219" spans="4:5" x14ac:dyDescent="0.25">
      <c r="D219" s="1" t="s">
        <v>502</v>
      </c>
      <c r="E219" s="36" t="s">
        <v>137</v>
      </c>
    </row>
    <row r="220" spans="4:5" x14ac:dyDescent="0.25">
      <c r="D220" s="1" t="s">
        <v>503</v>
      </c>
      <c r="E220" s="36" t="s">
        <v>137</v>
      </c>
    </row>
    <row r="221" spans="4:5" x14ac:dyDescent="0.25">
      <c r="D221" s="1" t="s">
        <v>504</v>
      </c>
      <c r="E221" s="36" t="s">
        <v>134</v>
      </c>
    </row>
    <row r="222" spans="4:5" x14ac:dyDescent="0.25">
      <c r="D222" s="1" t="s">
        <v>505</v>
      </c>
      <c r="E222" s="36" t="s">
        <v>134</v>
      </c>
    </row>
    <row r="223" spans="4:5" x14ac:dyDescent="0.25">
      <c r="D223" s="1" t="s">
        <v>506</v>
      </c>
      <c r="E223" s="36" t="s">
        <v>134</v>
      </c>
    </row>
    <row r="224" spans="4:5" x14ac:dyDescent="0.25">
      <c r="D224" s="1" t="s">
        <v>507</v>
      </c>
      <c r="E224" s="36" t="s">
        <v>135</v>
      </c>
    </row>
    <row r="227" spans="4:19" ht="23.25" x14ac:dyDescent="0.25">
      <c r="D227" s="6" t="s">
        <v>508</v>
      </c>
    </row>
    <row r="228" spans="4:19" x14ac:dyDescent="0.25">
      <c r="D228" s="5" t="s">
        <v>509</v>
      </c>
    </row>
    <row r="229" spans="4:19" x14ac:dyDescent="0.25">
      <c r="D229" s="54" t="s">
        <v>510</v>
      </c>
    </row>
    <row r="231" spans="4:19" x14ac:dyDescent="0.25">
      <c r="D231" s="36" t="s">
        <v>45</v>
      </c>
      <c r="E231" s="36" t="s">
        <v>236</v>
      </c>
      <c r="F231" s="35" t="s">
        <v>222</v>
      </c>
      <c r="G231" s="36" t="s">
        <v>237</v>
      </c>
      <c r="H231" s="36" t="s">
        <v>238</v>
      </c>
      <c r="I231" s="36" t="s">
        <v>239</v>
      </c>
      <c r="J231" s="36" t="s">
        <v>240</v>
      </c>
      <c r="K231" s="36" t="s">
        <v>241</v>
      </c>
      <c r="L231" s="36" t="s">
        <v>242</v>
      </c>
      <c r="M231" s="36" t="s">
        <v>243</v>
      </c>
      <c r="N231" s="36" t="s">
        <v>244</v>
      </c>
      <c r="O231" s="36" t="s">
        <v>245</v>
      </c>
      <c r="P231" s="36" t="s">
        <v>246</v>
      </c>
      <c r="Q231" s="36" t="s">
        <v>247</v>
      </c>
      <c r="R231" s="36" t="s">
        <v>109</v>
      </c>
      <c r="S231" s="36" t="s">
        <v>248</v>
      </c>
    </row>
    <row r="232" spans="4:19" x14ac:dyDescent="0.25">
      <c r="D232" s="36" t="s">
        <v>434</v>
      </c>
      <c r="E232" s="36" t="s">
        <v>511</v>
      </c>
      <c r="F232" s="36">
        <v>0.66</v>
      </c>
      <c r="G232" s="36">
        <v>0.1</v>
      </c>
      <c r="H232" s="36">
        <v>0.1</v>
      </c>
      <c r="I232" s="36">
        <v>1E-3</v>
      </c>
      <c r="J232" s="36">
        <v>5.0000000000000001E-3</v>
      </c>
      <c r="K232" s="36">
        <v>0.02</v>
      </c>
      <c r="L232" s="36">
        <v>0.03</v>
      </c>
      <c r="M232" s="36">
        <v>0.04</v>
      </c>
      <c r="N232" s="36">
        <v>1.4999999999999999E-2</v>
      </c>
      <c r="O232" s="36">
        <v>1.4999999999999999E-2</v>
      </c>
      <c r="P232" s="36">
        <v>0</v>
      </c>
      <c r="Q232" s="36">
        <v>0</v>
      </c>
      <c r="R232" s="36">
        <v>4.7000000000000002E-3</v>
      </c>
      <c r="S232" s="36">
        <v>10</v>
      </c>
    </row>
    <row r="233" spans="4:19" x14ac:dyDescent="0.25">
      <c r="D233" s="1" t="s">
        <v>434</v>
      </c>
      <c r="E233" s="36">
        <v>11</v>
      </c>
      <c r="F233" s="36">
        <v>0.68</v>
      </c>
      <c r="G233" s="36">
        <v>0.1</v>
      </c>
      <c r="H233" s="36">
        <v>0.11</v>
      </c>
      <c r="I233" s="36">
        <v>1E-3</v>
      </c>
      <c r="J233" s="36">
        <v>5.0000000000000001E-3</v>
      </c>
      <c r="K233" s="36">
        <v>0.02</v>
      </c>
      <c r="L233" s="36">
        <v>0.03</v>
      </c>
      <c r="M233" s="36">
        <v>0.04</v>
      </c>
      <c r="N233" s="36">
        <v>1.4999999999999999E-2</v>
      </c>
      <c r="O233" s="36">
        <v>1.4999999999999999E-2</v>
      </c>
      <c r="P233" s="36">
        <v>0</v>
      </c>
      <c r="Q233" s="36">
        <v>0</v>
      </c>
      <c r="R233" s="36">
        <v>4.7000000000000002E-3</v>
      </c>
      <c r="S233" s="36">
        <v>11</v>
      </c>
    </row>
    <row r="234" spans="4:19" x14ac:dyDescent="0.25">
      <c r="D234" s="1" t="s">
        <v>434</v>
      </c>
      <c r="E234" s="36">
        <v>12</v>
      </c>
      <c r="F234" s="36">
        <v>0.7</v>
      </c>
      <c r="G234" s="36">
        <v>0.1</v>
      </c>
      <c r="H234" s="36">
        <v>0.13</v>
      </c>
      <c r="I234" s="36">
        <v>1E-3</v>
      </c>
      <c r="J234" s="36">
        <v>5.0000000000000001E-3</v>
      </c>
      <c r="K234" s="36">
        <v>0.02</v>
      </c>
      <c r="L234" s="36">
        <v>0.03</v>
      </c>
      <c r="M234" s="36">
        <v>0.04</v>
      </c>
      <c r="N234" s="36">
        <v>1.4999999999999999E-2</v>
      </c>
      <c r="O234" s="36">
        <v>1.4999999999999999E-2</v>
      </c>
      <c r="P234" s="36">
        <v>0</v>
      </c>
      <c r="Q234" s="36">
        <v>0</v>
      </c>
      <c r="R234" s="36">
        <v>4.7000000000000002E-3</v>
      </c>
      <c r="S234" s="36">
        <v>12</v>
      </c>
    </row>
    <row r="235" spans="4:19" x14ac:dyDescent="0.25">
      <c r="D235" s="1" t="s">
        <v>434</v>
      </c>
      <c r="E235" s="36">
        <v>13</v>
      </c>
      <c r="F235" s="36">
        <v>0.71</v>
      </c>
      <c r="G235" s="36">
        <v>0.1</v>
      </c>
      <c r="H235" s="36">
        <v>0.14000000000000001</v>
      </c>
      <c r="I235" s="36">
        <v>1E-3</v>
      </c>
      <c r="J235" s="36">
        <v>5.0000000000000001E-3</v>
      </c>
      <c r="K235" s="36">
        <v>0.02</v>
      </c>
      <c r="L235" s="36">
        <v>0.03</v>
      </c>
      <c r="M235" s="36">
        <v>0.04</v>
      </c>
      <c r="N235" s="36">
        <v>1.4999999999999999E-2</v>
      </c>
      <c r="O235" s="36">
        <v>1.4999999999999999E-2</v>
      </c>
      <c r="P235" s="36">
        <v>0</v>
      </c>
      <c r="Q235" s="36">
        <v>0</v>
      </c>
      <c r="R235" s="36">
        <v>4.7000000000000002E-3</v>
      </c>
      <c r="S235" s="36">
        <v>13</v>
      </c>
    </row>
    <row r="236" spans="4:19" x14ac:dyDescent="0.25">
      <c r="D236" s="1" t="s">
        <v>434</v>
      </c>
      <c r="E236" s="36">
        <v>14</v>
      </c>
      <c r="F236" s="36">
        <v>0.73</v>
      </c>
      <c r="G236" s="36">
        <v>0.1</v>
      </c>
      <c r="H236" s="36">
        <v>0.15</v>
      </c>
      <c r="I236" s="36">
        <v>1E-3</v>
      </c>
      <c r="J236" s="36">
        <v>5.0000000000000001E-3</v>
      </c>
      <c r="K236" s="36">
        <v>0.02</v>
      </c>
      <c r="L236" s="36">
        <v>0.03</v>
      </c>
      <c r="M236" s="36">
        <v>0.04</v>
      </c>
      <c r="N236" s="36">
        <v>1.4999999999999999E-2</v>
      </c>
      <c r="O236" s="36">
        <v>1.4999999999999999E-2</v>
      </c>
      <c r="P236" s="36">
        <v>0</v>
      </c>
      <c r="Q236" s="36">
        <v>0</v>
      </c>
      <c r="R236" s="36">
        <v>4.7000000000000002E-3</v>
      </c>
      <c r="S236" s="36">
        <v>14</v>
      </c>
    </row>
    <row r="237" spans="4:19" x14ac:dyDescent="0.25">
      <c r="D237" s="1" t="s">
        <v>432</v>
      </c>
      <c r="E237" s="36">
        <v>15</v>
      </c>
      <c r="F237" s="36">
        <v>0.74</v>
      </c>
      <c r="G237" s="36">
        <v>0.1</v>
      </c>
      <c r="H237" s="36">
        <v>0.17</v>
      </c>
      <c r="I237" s="36">
        <v>5.0000000000000001E-3</v>
      </c>
      <c r="J237" s="36">
        <v>0.01</v>
      </c>
      <c r="K237" s="36">
        <v>0.02</v>
      </c>
      <c r="L237" s="36">
        <v>0.03</v>
      </c>
      <c r="M237" s="36">
        <v>0.04</v>
      </c>
      <c r="N237" s="36">
        <v>1.4999999999999999E-2</v>
      </c>
      <c r="O237" s="36">
        <v>1.4999999999999999E-2</v>
      </c>
      <c r="P237" s="36">
        <v>0</v>
      </c>
      <c r="Q237" s="36">
        <v>0</v>
      </c>
      <c r="R237" s="36">
        <v>4.7000000000000002E-3</v>
      </c>
      <c r="S237" s="36">
        <v>15</v>
      </c>
    </row>
    <row r="238" spans="4:19" x14ac:dyDescent="0.25">
      <c r="D238" s="1" t="s">
        <v>432</v>
      </c>
      <c r="E238" s="36">
        <v>16</v>
      </c>
      <c r="F238" s="36">
        <v>0.75</v>
      </c>
      <c r="G238" s="36">
        <v>0.1</v>
      </c>
      <c r="H238" s="36">
        <v>0.18</v>
      </c>
      <c r="I238" s="36">
        <v>5.0000000000000001E-3</v>
      </c>
      <c r="J238" s="36">
        <v>0.01</v>
      </c>
      <c r="K238" s="36">
        <v>0.02</v>
      </c>
      <c r="L238" s="36">
        <v>0.03</v>
      </c>
      <c r="M238" s="36">
        <v>0.04</v>
      </c>
      <c r="N238" s="36">
        <v>1.4999999999999999E-2</v>
      </c>
      <c r="O238" s="36">
        <v>1.4999999999999999E-2</v>
      </c>
      <c r="P238" s="36">
        <v>0</v>
      </c>
      <c r="Q238" s="36">
        <v>0</v>
      </c>
      <c r="R238" s="36">
        <v>4.7000000000000002E-3</v>
      </c>
      <c r="S238" s="36">
        <v>16</v>
      </c>
    </row>
    <row r="239" spans="4:19" x14ac:dyDescent="0.25">
      <c r="D239" s="1" t="s">
        <v>432</v>
      </c>
      <c r="E239" s="36">
        <v>17</v>
      </c>
      <c r="F239" s="36">
        <v>0.76</v>
      </c>
      <c r="G239" s="36">
        <v>0.1</v>
      </c>
      <c r="H239" s="36">
        <v>0.2</v>
      </c>
      <c r="I239" s="36">
        <v>5.0000000000000001E-3</v>
      </c>
      <c r="J239" s="36">
        <v>0.01</v>
      </c>
      <c r="K239" s="36">
        <v>0.02</v>
      </c>
      <c r="L239" s="36">
        <v>0.03</v>
      </c>
      <c r="M239" s="36">
        <v>0.04</v>
      </c>
      <c r="N239" s="36">
        <v>1.4999999999999999E-2</v>
      </c>
      <c r="O239" s="36">
        <v>1.4999999999999999E-2</v>
      </c>
      <c r="P239" s="36">
        <v>0</v>
      </c>
      <c r="Q239" s="36">
        <v>0</v>
      </c>
      <c r="R239" s="36">
        <v>4.7000000000000002E-3</v>
      </c>
      <c r="S239" s="36">
        <v>17</v>
      </c>
    </row>
    <row r="240" spans="4:19" x14ac:dyDescent="0.25">
      <c r="D240" s="1" t="s">
        <v>432</v>
      </c>
      <c r="E240" s="36">
        <v>18</v>
      </c>
      <c r="F240" s="36">
        <v>0.77</v>
      </c>
      <c r="G240" s="36">
        <v>0.1</v>
      </c>
      <c r="H240" s="36">
        <v>0.22</v>
      </c>
      <c r="I240" s="36">
        <v>5.0000000000000001E-3</v>
      </c>
      <c r="J240" s="36">
        <v>0.01</v>
      </c>
      <c r="K240" s="36">
        <v>0.02</v>
      </c>
      <c r="L240" s="36">
        <v>0.03</v>
      </c>
      <c r="M240" s="36">
        <v>0.04</v>
      </c>
      <c r="N240" s="36">
        <v>1.4999999999999999E-2</v>
      </c>
      <c r="O240" s="36">
        <v>1.4999999999999999E-2</v>
      </c>
      <c r="P240" s="36">
        <v>0</v>
      </c>
      <c r="Q240" s="36">
        <v>0</v>
      </c>
      <c r="R240" s="36">
        <v>4.7000000000000002E-3</v>
      </c>
      <c r="S240" s="36">
        <v>18</v>
      </c>
    </row>
    <row r="241" spans="4:19" x14ac:dyDescent="0.25">
      <c r="D241" s="1" t="s">
        <v>432</v>
      </c>
      <c r="E241" s="36">
        <v>19</v>
      </c>
      <c r="F241" s="36">
        <v>0.77</v>
      </c>
      <c r="G241" s="36">
        <v>0.1</v>
      </c>
      <c r="H241" s="36">
        <v>0.24</v>
      </c>
      <c r="I241" s="36">
        <v>5.0000000000000001E-3</v>
      </c>
      <c r="J241" s="36">
        <v>0.01</v>
      </c>
      <c r="K241" s="36">
        <v>0.02</v>
      </c>
      <c r="L241" s="36">
        <v>0.03</v>
      </c>
      <c r="M241" s="36">
        <v>0.04</v>
      </c>
      <c r="N241" s="36">
        <v>1.4999999999999999E-2</v>
      </c>
      <c r="O241" s="36">
        <v>1.4999999999999999E-2</v>
      </c>
      <c r="P241" s="36">
        <v>0</v>
      </c>
      <c r="Q241" s="36">
        <v>0</v>
      </c>
      <c r="R241" s="36">
        <v>4.7000000000000002E-3</v>
      </c>
      <c r="S241" s="36">
        <v>19</v>
      </c>
    </row>
    <row r="242" spans="4:19" x14ac:dyDescent="0.25">
      <c r="D242" s="1" t="s">
        <v>432</v>
      </c>
      <c r="E242" s="36">
        <v>20</v>
      </c>
      <c r="F242" s="36">
        <v>0.78</v>
      </c>
      <c r="G242" s="36">
        <v>0.1</v>
      </c>
      <c r="H242" s="36">
        <v>0.26</v>
      </c>
      <c r="I242" s="36">
        <v>5.0000000000000001E-3</v>
      </c>
      <c r="J242" s="36">
        <v>0.01</v>
      </c>
      <c r="K242" s="36">
        <v>0.02</v>
      </c>
      <c r="L242" s="36">
        <v>0.03</v>
      </c>
      <c r="M242" s="36">
        <v>0.04</v>
      </c>
      <c r="N242" s="36">
        <v>1.4999999999999999E-2</v>
      </c>
      <c r="O242" s="36">
        <v>1.4999999999999999E-2</v>
      </c>
      <c r="P242" s="36">
        <v>0</v>
      </c>
      <c r="Q242" s="36">
        <v>0</v>
      </c>
      <c r="R242" s="36">
        <v>4.7000000000000002E-3</v>
      </c>
      <c r="S242" s="36">
        <v>20</v>
      </c>
    </row>
    <row r="243" spans="4:19" x14ac:dyDescent="0.25">
      <c r="D243" s="1" t="s">
        <v>432</v>
      </c>
      <c r="E243" s="36">
        <v>21</v>
      </c>
      <c r="F243" s="36">
        <v>0.78</v>
      </c>
      <c r="G243" s="36">
        <v>0.1</v>
      </c>
      <c r="H243" s="36">
        <v>0.28999999999999998</v>
      </c>
      <c r="I243" s="36">
        <v>5.0000000000000001E-3</v>
      </c>
      <c r="J243" s="36">
        <v>0.01</v>
      </c>
      <c r="K243" s="36">
        <v>0.02</v>
      </c>
      <c r="L243" s="36">
        <v>0.03</v>
      </c>
      <c r="M243" s="36">
        <v>0.04</v>
      </c>
      <c r="N243" s="36">
        <v>1.4999999999999999E-2</v>
      </c>
      <c r="O243" s="36">
        <v>1.4999999999999999E-2</v>
      </c>
      <c r="P243" s="36">
        <v>0</v>
      </c>
      <c r="Q243" s="36">
        <v>0</v>
      </c>
      <c r="R243" s="36">
        <v>4.7000000000000002E-3</v>
      </c>
      <c r="S243" s="36">
        <v>21</v>
      </c>
    </row>
    <row r="244" spans="4:19" x14ac:dyDescent="0.25">
      <c r="D244" s="1" t="s">
        <v>432</v>
      </c>
      <c r="E244" s="36">
        <v>22</v>
      </c>
      <c r="F244" s="36">
        <v>0.78</v>
      </c>
      <c r="G244" s="36">
        <v>0.1</v>
      </c>
      <c r="H244" s="36">
        <v>0.31</v>
      </c>
      <c r="I244" s="36">
        <v>5.0000000000000001E-3</v>
      </c>
      <c r="J244" s="36">
        <v>0.01</v>
      </c>
      <c r="K244" s="36">
        <v>0.02</v>
      </c>
      <c r="L244" s="36">
        <v>0.03</v>
      </c>
      <c r="M244" s="36">
        <v>0.04</v>
      </c>
      <c r="N244" s="36">
        <v>1.4999999999999999E-2</v>
      </c>
      <c r="O244" s="36">
        <v>1.4999999999999999E-2</v>
      </c>
      <c r="P244" s="36">
        <v>0</v>
      </c>
      <c r="Q244" s="36">
        <v>0</v>
      </c>
      <c r="R244" s="36">
        <v>4.7000000000000002E-3</v>
      </c>
      <c r="S244" s="36">
        <v>22</v>
      </c>
    </row>
    <row r="245" spans="4:19" x14ac:dyDescent="0.25">
      <c r="D245" s="1" t="s">
        <v>432</v>
      </c>
      <c r="E245" s="36">
        <v>23</v>
      </c>
      <c r="F245" s="36">
        <v>0.79</v>
      </c>
      <c r="G245" s="36">
        <v>0.1</v>
      </c>
      <c r="H245" s="36">
        <v>0.34</v>
      </c>
      <c r="I245" s="36">
        <v>5.0000000000000001E-3</v>
      </c>
      <c r="J245" s="36">
        <v>0.01</v>
      </c>
      <c r="K245" s="36">
        <v>0.02</v>
      </c>
      <c r="L245" s="36">
        <v>0.03</v>
      </c>
      <c r="M245" s="36">
        <v>0.04</v>
      </c>
      <c r="N245" s="36">
        <v>1.4999999999999999E-2</v>
      </c>
      <c r="O245" s="36">
        <v>1.4999999999999999E-2</v>
      </c>
      <c r="P245" s="36">
        <v>0</v>
      </c>
      <c r="Q245" s="36">
        <v>0</v>
      </c>
      <c r="R245" s="36">
        <v>4.7000000000000002E-3</v>
      </c>
      <c r="S245" s="36">
        <v>23</v>
      </c>
    </row>
    <row r="246" spans="4:19" x14ac:dyDescent="0.25">
      <c r="D246" s="1" t="s">
        <v>432</v>
      </c>
      <c r="E246" s="36">
        <v>24</v>
      </c>
      <c r="F246" s="36">
        <v>0.79</v>
      </c>
      <c r="G246" s="36">
        <v>0.1</v>
      </c>
      <c r="H246" s="36">
        <v>0.37</v>
      </c>
      <c r="I246" s="36">
        <v>5.0000000000000001E-3</v>
      </c>
      <c r="J246" s="36">
        <v>0.01</v>
      </c>
      <c r="K246" s="36">
        <v>0.02</v>
      </c>
      <c r="L246" s="36">
        <v>0.03</v>
      </c>
      <c r="M246" s="36">
        <v>0.04</v>
      </c>
      <c r="N246" s="36">
        <v>1.4999999999999999E-2</v>
      </c>
      <c r="O246" s="36">
        <v>1.4999999999999999E-2</v>
      </c>
      <c r="P246" s="36">
        <v>0</v>
      </c>
      <c r="Q246" s="36">
        <v>0</v>
      </c>
      <c r="R246" s="36">
        <v>4.7000000000000002E-3</v>
      </c>
      <c r="S246" s="36">
        <v>24</v>
      </c>
    </row>
    <row r="247" spans="4:19" x14ac:dyDescent="0.25">
      <c r="D247" s="1" t="s">
        <v>432</v>
      </c>
      <c r="E247" s="36">
        <v>25</v>
      </c>
      <c r="F247" s="36">
        <v>0.79</v>
      </c>
      <c r="G247" s="36">
        <v>0.1</v>
      </c>
      <c r="H247" s="36">
        <v>0.41</v>
      </c>
      <c r="I247" s="36">
        <v>5.0000000000000001E-3</v>
      </c>
      <c r="J247" s="36">
        <v>0.01</v>
      </c>
      <c r="K247" s="36">
        <v>0.02</v>
      </c>
      <c r="L247" s="36">
        <v>0.03</v>
      </c>
      <c r="M247" s="36">
        <v>0.04</v>
      </c>
      <c r="N247" s="36">
        <v>1.4999999999999999E-2</v>
      </c>
      <c r="O247" s="36">
        <v>1.4999999999999999E-2</v>
      </c>
      <c r="P247" s="36">
        <v>0</v>
      </c>
      <c r="Q247" s="36">
        <v>0</v>
      </c>
      <c r="R247" s="36">
        <v>4.7000000000000002E-3</v>
      </c>
      <c r="S247" s="36">
        <v>25</v>
      </c>
    </row>
    <row r="248" spans="4:19" x14ac:dyDescent="0.25">
      <c r="D248" s="1" t="s">
        <v>430</v>
      </c>
      <c r="E248" s="36">
        <v>26</v>
      </c>
      <c r="F248" s="36">
        <v>0.79</v>
      </c>
      <c r="G248" s="36">
        <v>0.1</v>
      </c>
      <c r="H248" s="36">
        <v>0.44</v>
      </c>
      <c r="I248" s="36">
        <v>0.01</v>
      </c>
      <c r="J248" s="36">
        <v>1.4999999999999999E-2</v>
      </c>
      <c r="K248" s="36">
        <v>0.02</v>
      </c>
      <c r="L248" s="36">
        <v>0.03</v>
      </c>
      <c r="M248" s="36">
        <v>0.04</v>
      </c>
      <c r="N248" s="36">
        <v>1.4999999999999999E-2</v>
      </c>
      <c r="O248" s="36">
        <v>1.4999999999999999E-2</v>
      </c>
      <c r="P248" s="36">
        <v>0</v>
      </c>
      <c r="Q248" s="36">
        <v>0</v>
      </c>
      <c r="R248" s="36">
        <v>4.7000000000000002E-3</v>
      </c>
      <c r="S248" s="36">
        <v>26</v>
      </c>
    </row>
    <row r="249" spans="4:19" x14ac:dyDescent="0.25">
      <c r="D249" s="1" t="s">
        <v>430</v>
      </c>
      <c r="E249" s="36">
        <v>27</v>
      </c>
      <c r="F249" s="36">
        <v>0.8</v>
      </c>
      <c r="G249" s="36">
        <v>0.1</v>
      </c>
      <c r="H249" s="36">
        <v>0.48</v>
      </c>
      <c r="I249" s="36">
        <v>0.01</v>
      </c>
      <c r="J249" s="36">
        <v>1.4999999999999999E-2</v>
      </c>
      <c r="K249" s="36">
        <v>0.02</v>
      </c>
      <c r="L249" s="36">
        <v>0.03</v>
      </c>
      <c r="M249" s="36">
        <v>0.04</v>
      </c>
      <c r="N249" s="36">
        <v>1.4999999999999999E-2</v>
      </c>
      <c r="O249" s="36">
        <v>1.4999999999999999E-2</v>
      </c>
      <c r="P249" s="36">
        <v>0</v>
      </c>
      <c r="Q249" s="36">
        <v>0</v>
      </c>
      <c r="R249" s="36">
        <v>4.7000000000000002E-3</v>
      </c>
      <c r="S249" s="36">
        <v>27</v>
      </c>
    </row>
    <row r="250" spans="4:19" x14ac:dyDescent="0.25">
      <c r="D250" s="1" t="s">
        <v>430</v>
      </c>
      <c r="E250" s="36" t="s">
        <v>512</v>
      </c>
      <c r="F250" s="36">
        <v>0.8</v>
      </c>
      <c r="G250" s="36">
        <v>0.1</v>
      </c>
      <c r="H250" s="36">
        <v>0.5</v>
      </c>
      <c r="I250" s="36">
        <v>0.01</v>
      </c>
      <c r="J250" s="36">
        <v>1.4999999999999999E-2</v>
      </c>
      <c r="K250" s="36">
        <v>0.02</v>
      </c>
      <c r="L250" s="36">
        <v>0.03</v>
      </c>
      <c r="M250" s="36">
        <v>0.04</v>
      </c>
      <c r="N250" s="36">
        <v>1.4999999999999999E-2</v>
      </c>
      <c r="O250" s="36">
        <v>1.4999999999999999E-2</v>
      </c>
      <c r="P250" s="36">
        <v>0</v>
      </c>
      <c r="Q250" s="36">
        <v>0</v>
      </c>
      <c r="R250" s="36">
        <v>4.7000000000000002E-3</v>
      </c>
      <c r="S250" s="36">
        <v>28</v>
      </c>
    </row>
    <row r="253" spans="4:19" ht="23.25" x14ac:dyDescent="0.25">
      <c r="D253" s="6" t="s">
        <v>513</v>
      </c>
    </row>
    <row r="254" spans="4:19" x14ac:dyDescent="0.25">
      <c r="D254" s="5" t="s">
        <v>514</v>
      </c>
    </row>
    <row r="255" spans="4:19" x14ac:dyDescent="0.25">
      <c r="D255" s="1" t="s">
        <v>269</v>
      </c>
    </row>
    <row r="256" spans="4:19" x14ac:dyDescent="0.25">
      <c r="D256" s="53" t="s">
        <v>494</v>
      </c>
    </row>
    <row r="257" spans="4:5" x14ac:dyDescent="0.25">
      <c r="D257" s="36" t="s">
        <v>268</v>
      </c>
      <c r="E257" s="36" t="s">
        <v>269</v>
      </c>
    </row>
    <row r="258" spans="4:5" x14ac:dyDescent="0.25">
      <c r="D258" s="36" t="s">
        <v>396</v>
      </c>
      <c r="E258" s="36">
        <v>6.0000000000000001E-3</v>
      </c>
    </row>
    <row r="259" spans="4:5" x14ac:dyDescent="0.25">
      <c r="D259" s="1" t="s">
        <v>400</v>
      </c>
      <c r="E259" s="36">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62</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
        <v>515</v>
      </c>
      <c r="E6" s="3"/>
      <c r="F6" s="3"/>
      <c r="G6" s="3"/>
      <c r="H6" s="3"/>
    </row>
    <row r="7" spans="1:13" ht="20.100000000000001" customHeight="1" x14ac:dyDescent="0.25">
      <c r="A7" s="17" t="str">
        <f>HYPERLINK("#'Input - Site'!A1", "Site")</f>
        <v>Site</v>
      </c>
      <c r="D7" s="3" t="s">
        <v>516</v>
      </c>
      <c r="E7" s="3"/>
      <c r="F7" s="3"/>
      <c r="G7" s="3"/>
      <c r="H7" s="3"/>
    </row>
    <row r="8" spans="1:13" ht="20.100000000000001" customHeight="1" x14ac:dyDescent="0.25">
      <c r="A8" s="17" t="str">
        <f>HYPERLINK("#'Input - Pasture Beef'!A1", "Pasture Beef")</f>
        <v>Pasture Beef</v>
      </c>
      <c r="D8" s="5" t="s">
        <v>517</v>
      </c>
      <c r="E8" s="3"/>
      <c r="F8" s="3"/>
      <c r="G8" s="3"/>
      <c r="H8" s="3"/>
    </row>
    <row r="9" spans="1:13" ht="20.100000000000001" customHeight="1" x14ac:dyDescent="0.25">
      <c r="A9" s="17"/>
      <c r="D9" s="35" t="s">
        <v>63</v>
      </c>
      <c r="E9" s="36" t="s">
        <v>16</v>
      </c>
      <c r="F9" s="36" t="s">
        <v>64</v>
      </c>
      <c r="G9" s="3"/>
    </row>
    <row r="10" spans="1:13" ht="20.100000000000001" customHeight="1" x14ac:dyDescent="0.25">
      <c r="A10" s="19" t="s">
        <v>60</v>
      </c>
      <c r="D10" s="35">
        <v>1</v>
      </c>
      <c r="E10" s="35" t="s">
        <v>222</v>
      </c>
      <c r="F10" s="35" t="s">
        <v>518</v>
      </c>
      <c r="G10" s="3"/>
    </row>
    <row r="11" spans="1:13" ht="20.100000000000001" customHeight="1" x14ac:dyDescent="0.25">
      <c r="A11" s="17" t="str">
        <f>HYPERLINK("#'3.2.1.1-2 Enteric Methane'!A1", "3.2.1.1-2 Enteric Methane")</f>
        <v>3.2.1.1-2 Enteric Methane</v>
      </c>
      <c r="D11" s="35">
        <v>2</v>
      </c>
      <c r="E11" s="35" t="s">
        <v>238</v>
      </c>
      <c r="F11" s="35" t="s">
        <v>519</v>
      </c>
      <c r="G11" s="3"/>
    </row>
    <row r="12" spans="1:13" ht="20.100000000000001" customHeight="1" x14ac:dyDescent="0.25">
      <c r="A12" s="17"/>
      <c r="D12" s="36">
        <v>3</v>
      </c>
      <c r="E12" s="36" t="s">
        <v>239</v>
      </c>
      <c r="F12" s="36" t="s">
        <v>520</v>
      </c>
      <c r="G12" s="3"/>
    </row>
    <row r="13" spans="1:13" ht="20.100000000000001" customHeight="1" x14ac:dyDescent="0.25">
      <c r="A13" s="18" t="s">
        <v>2</v>
      </c>
      <c r="D13" s="36" t="s">
        <v>521</v>
      </c>
      <c r="E13" s="36" t="s">
        <v>522</v>
      </c>
      <c r="F13" s="36" t="s">
        <v>523</v>
      </c>
      <c r="G13" s="3"/>
    </row>
    <row r="14" spans="1:13" ht="20.100000000000001" customHeight="1" x14ac:dyDescent="0.25">
      <c r="A14" s="17" t="str">
        <f>HYPERLINK("#'Constants - Pasture Beef'!A1", "Constants - Pasture Beef")</f>
        <v>Constants - Pasture Beef</v>
      </c>
      <c r="D14" s="36" t="s">
        <v>524</v>
      </c>
      <c r="E14" s="36" t="s">
        <v>525</v>
      </c>
      <c r="F14" s="36" t="s">
        <v>526</v>
      </c>
      <c r="G14" s="3"/>
    </row>
    <row r="15" spans="1:13" ht="20.100000000000001" customHeight="1" x14ac:dyDescent="0.25">
      <c r="A15" s="122" t="str">
        <f>HYPERLINK("#'Constants - Livestock'!A1", "Constants - Livestock")</f>
        <v>Constants - Livestock</v>
      </c>
      <c r="D15" s="36">
        <v>4</v>
      </c>
      <c r="E15" s="36" t="s">
        <v>241</v>
      </c>
      <c r="F15" s="36" t="s">
        <v>527</v>
      </c>
      <c r="G15" s="3"/>
    </row>
    <row r="16" spans="1:13" ht="20.100000000000001" customHeight="1" x14ac:dyDescent="0.25">
      <c r="A16" s="17" t="str">
        <f>HYPERLINK("#'Constants - Common'!A1", "Constants - Common")</f>
        <v>Constants - Common</v>
      </c>
      <c r="D16" s="36">
        <v>5</v>
      </c>
      <c r="E16" s="36" t="s">
        <v>528</v>
      </c>
      <c r="F16" s="36" t="s">
        <v>529</v>
      </c>
      <c r="G16" s="3"/>
    </row>
    <row r="17" spans="1:8" ht="20.100000000000001" customHeight="1" x14ac:dyDescent="0.25">
      <c r="A17" s="17" t="str">
        <f>HYPERLINK("#'Acknowledgements'!A1", "Acknowledgements")</f>
        <v>Acknowledgements</v>
      </c>
      <c r="D17" s="36">
        <v>6</v>
      </c>
      <c r="E17" s="36" t="s">
        <v>240</v>
      </c>
      <c r="F17" s="36" t="s">
        <v>530</v>
      </c>
      <c r="G17" s="3"/>
    </row>
    <row r="18" spans="1:8" ht="20.100000000000001" customHeight="1" x14ac:dyDescent="0.25">
      <c r="D18" s="36">
        <v>7</v>
      </c>
      <c r="E18" s="36" t="s">
        <v>237</v>
      </c>
      <c r="F18" s="36" t="s">
        <v>531</v>
      </c>
      <c r="G18" s="3"/>
    </row>
    <row r="19" spans="1:8" ht="20.100000000000001" customHeight="1" x14ac:dyDescent="0.25">
      <c r="A19" s="17"/>
      <c r="D19" s="36">
        <v>8</v>
      </c>
      <c r="E19" s="36" t="s">
        <v>243</v>
      </c>
      <c r="F19" s="36" t="s">
        <v>532</v>
      </c>
      <c r="G19" s="3"/>
    </row>
    <row r="20" spans="1:8" ht="20.100000000000001" customHeight="1" x14ac:dyDescent="0.25">
      <c r="A20" s="17"/>
      <c r="D20" s="36">
        <v>9</v>
      </c>
      <c r="E20" s="36" t="s">
        <v>242</v>
      </c>
      <c r="F20" s="36" t="s">
        <v>533</v>
      </c>
      <c r="G20" s="3"/>
    </row>
    <row r="21" spans="1:8" ht="20.100000000000001" customHeight="1" x14ac:dyDescent="0.25">
      <c r="D21" s="36">
        <v>10</v>
      </c>
      <c r="E21" s="36" t="s">
        <v>244</v>
      </c>
      <c r="F21" s="36" t="s">
        <v>534</v>
      </c>
      <c r="G21" s="3"/>
    </row>
    <row r="22" spans="1:8" ht="20.100000000000001" customHeight="1" x14ac:dyDescent="0.25">
      <c r="A22" s="17"/>
      <c r="D22" s="36">
        <v>11</v>
      </c>
      <c r="E22" s="36" t="s">
        <v>245</v>
      </c>
      <c r="F22" s="36" t="s">
        <v>535</v>
      </c>
      <c r="G22" s="3"/>
    </row>
    <row r="23" spans="1:8" ht="20.100000000000001" customHeight="1" x14ac:dyDescent="0.25">
      <c r="A23" s="17"/>
      <c r="D23" s="36" t="s">
        <v>536</v>
      </c>
      <c r="E23" s="36" t="s">
        <v>537</v>
      </c>
      <c r="F23" s="36" t="s">
        <v>538</v>
      </c>
      <c r="G23" s="3"/>
    </row>
    <row r="24" spans="1:8" ht="20.100000000000001" customHeight="1" x14ac:dyDescent="0.25">
      <c r="A24" s="17"/>
      <c r="D24" s="36" t="s">
        <v>539</v>
      </c>
      <c r="E24" s="36" t="s">
        <v>540</v>
      </c>
      <c r="F24" s="36" t="s">
        <v>541</v>
      </c>
      <c r="G24" s="3"/>
    </row>
    <row r="25" spans="1:8" ht="20.100000000000001" customHeight="1" x14ac:dyDescent="0.25">
      <c r="D25" s="36">
        <v>12</v>
      </c>
      <c r="E25" s="36" t="s">
        <v>246</v>
      </c>
      <c r="F25" s="36" t="s">
        <v>542</v>
      </c>
      <c r="G25" s="3"/>
    </row>
    <row r="26" spans="1:8" ht="20.100000000000001" customHeight="1" x14ac:dyDescent="0.25">
      <c r="D26" s="36">
        <v>13</v>
      </c>
      <c r="E26" s="36" t="s">
        <v>247</v>
      </c>
      <c r="F26" s="36" t="s">
        <v>543</v>
      </c>
      <c r="G26" s="3"/>
    </row>
    <row r="27" spans="1:8" ht="20.100000000000001" customHeight="1" x14ac:dyDescent="0.25">
      <c r="D27" s="36">
        <v>14</v>
      </c>
      <c r="E27" s="36" t="s">
        <v>109</v>
      </c>
      <c r="F27" s="36" t="s">
        <v>544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2026-06-10T02:21:15Z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